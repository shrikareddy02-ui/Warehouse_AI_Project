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6edd2098c8d0c81/Desktop/"/>
    </mc:Choice>
  </mc:AlternateContent>
  <xr:revisionPtr revIDLastSave="0" documentId="8_{D4AD3E3A-B37F-4260-A8BC-B45213C8B35F}" xr6:coauthVersionLast="47" xr6:coauthVersionMax="47" xr10:uidLastSave="{00000000-0000-0000-0000-000000000000}"/>
  <bookViews>
    <workbookView xWindow="-110" yWindow="-110" windowWidth="19420" windowHeight="10300" xr2:uid="{F0240EB0-8435-4B6E-83EF-EA71102AFF02}"/>
  </bookViews>
  <sheets>
    <sheet name="Sheet1" sheetId="1" r:id="rId1"/>
  </sheets>
  <definedNames>
    <definedName name="_xlnm._FilterDatabase" localSheetId="0" hidden="1">Sheet1!$A$1:$Y$5336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M5312" i="1" l="1"/>
  <c r="M5309" i="1"/>
  <c r="M5290" i="1"/>
  <c r="M5289" i="1"/>
  <c r="M5281" i="1"/>
  <c r="M5273" i="1"/>
  <c r="M5272" i="1"/>
  <c r="M5263" i="1"/>
  <c r="M5261" i="1"/>
  <c r="M5260" i="1"/>
  <c r="M5256" i="1"/>
  <c r="P5256" i="1" s="1"/>
  <c r="U5256" i="1" s="1"/>
  <c r="M5253" i="1"/>
  <c r="M5252" i="1"/>
  <c r="M5251" i="1"/>
  <c r="M5250" i="1"/>
  <c r="M5243" i="1"/>
  <c r="M5242" i="1"/>
  <c r="M5241" i="1"/>
  <c r="M5240" i="1"/>
  <c r="M5232" i="1"/>
  <c r="M5231" i="1"/>
  <c r="M5230" i="1"/>
  <c r="M5229" i="1"/>
  <c r="P5229" i="1" s="1"/>
  <c r="U5229" i="1" s="1"/>
  <c r="M5223" i="1"/>
  <c r="M5219" i="1"/>
  <c r="M5218" i="1"/>
  <c r="M5217" i="1"/>
  <c r="M5211" i="1"/>
  <c r="M5207" i="1"/>
  <c r="M5206" i="1"/>
  <c r="M5205" i="1"/>
  <c r="M5204" i="1"/>
  <c r="M5203" i="1"/>
  <c r="M5202" i="1"/>
  <c r="M5201" i="1"/>
  <c r="P5201" i="1" s="1"/>
  <c r="U5201" i="1" s="1"/>
  <c r="M5200" i="1"/>
  <c r="M5199" i="1"/>
  <c r="M5198" i="1"/>
  <c r="M5197" i="1"/>
  <c r="M5191" i="1"/>
  <c r="M5188" i="1"/>
  <c r="M5186" i="1"/>
  <c r="M5184" i="1"/>
  <c r="M5175" i="1"/>
  <c r="M5157" i="1"/>
  <c r="M5153" i="1"/>
  <c r="M5149" i="1"/>
  <c r="P5149" i="1" s="1"/>
  <c r="U5149" i="1" s="1"/>
  <c r="M5147" i="1"/>
  <c r="M5146" i="1"/>
  <c r="M5144" i="1"/>
  <c r="M5124" i="1"/>
  <c r="M5120" i="1"/>
  <c r="M5104" i="1"/>
  <c r="M5100" i="1"/>
  <c r="M5094" i="1"/>
  <c r="M5086" i="1"/>
  <c r="M5085" i="1"/>
  <c r="M5083" i="1"/>
  <c r="M5082" i="1"/>
  <c r="M5081" i="1"/>
  <c r="M5080" i="1"/>
  <c r="M5079" i="1"/>
  <c r="M5071" i="1"/>
  <c r="M5058" i="1"/>
  <c r="M5056" i="1"/>
  <c r="M5028" i="1"/>
  <c r="M5026" i="1"/>
  <c r="M5025" i="1"/>
  <c r="M5024" i="1"/>
  <c r="M5008" i="1"/>
  <c r="M5005" i="1"/>
  <c r="P5005" i="1" s="1"/>
  <c r="U5005" i="1" s="1"/>
  <c r="M4937" i="1"/>
  <c r="M4897" i="1"/>
  <c r="M4896" i="1"/>
  <c r="M4834" i="1"/>
  <c r="M4802" i="1"/>
  <c r="M4754" i="1"/>
  <c r="M4752" i="1"/>
  <c r="M4742" i="1"/>
  <c r="M4740" i="1"/>
  <c r="M4739" i="1"/>
  <c r="M4718" i="1"/>
  <c r="M4711" i="1"/>
  <c r="P4711" i="1" s="1"/>
  <c r="U4711" i="1" s="1"/>
  <c r="M4710" i="1"/>
  <c r="M4706" i="1"/>
  <c r="M4705" i="1"/>
  <c r="M4693" i="1"/>
  <c r="M4692" i="1"/>
  <c r="M4691" i="1"/>
  <c r="M4690" i="1"/>
  <c r="M4689" i="1"/>
  <c r="M4686" i="1"/>
  <c r="M4685" i="1"/>
  <c r="M4679" i="1"/>
  <c r="M4677" i="1"/>
  <c r="P4677" i="1" s="1"/>
  <c r="U4677" i="1" s="1"/>
  <c r="M4672" i="1"/>
  <c r="M4663" i="1"/>
  <c r="M4660" i="1"/>
  <c r="M4658" i="1"/>
  <c r="M4656" i="1"/>
  <c r="M4649" i="1"/>
  <c r="M4648" i="1"/>
  <c r="M4639" i="1"/>
  <c r="M4633" i="1"/>
  <c r="M4631" i="1"/>
  <c r="M4629" i="1"/>
  <c r="M4628" i="1"/>
  <c r="P4628" i="1" s="1"/>
  <c r="U4628" i="1" s="1"/>
  <c r="M4622" i="1"/>
  <c r="M4611" i="1"/>
  <c r="M4610" i="1"/>
  <c r="M4609" i="1"/>
  <c r="M4608" i="1"/>
  <c r="M4607" i="1"/>
  <c r="M4606" i="1"/>
  <c r="M4605" i="1"/>
  <c r="M4604" i="1"/>
  <c r="M4603" i="1"/>
  <c r="M4602" i="1"/>
  <c r="M4601" i="1"/>
  <c r="P4601" i="1" s="1"/>
  <c r="U4601" i="1" s="1"/>
  <c r="M4600" i="1"/>
  <c r="M4599" i="1"/>
  <c r="M4595" i="1"/>
  <c r="M4594" i="1"/>
  <c r="M4593" i="1"/>
  <c r="M4592" i="1"/>
  <c r="M4591" i="1"/>
  <c r="M4590" i="1"/>
  <c r="M4589" i="1"/>
  <c r="M4588" i="1"/>
  <c r="M4587" i="1"/>
  <c r="M4585" i="1"/>
  <c r="P4585" i="1" s="1"/>
  <c r="U4585" i="1" s="1"/>
  <c r="M4584" i="1"/>
  <c r="M4583" i="1"/>
  <c r="M4582" i="1"/>
  <c r="M4580" i="1"/>
  <c r="M4579" i="1"/>
  <c r="M4578" i="1"/>
  <c r="M4577" i="1"/>
  <c r="M4576" i="1"/>
  <c r="M4575" i="1"/>
  <c r="M4574" i="1"/>
  <c r="M4573" i="1"/>
  <c r="M4566" i="1"/>
  <c r="M4565" i="1"/>
  <c r="M4564" i="1"/>
  <c r="M4563" i="1"/>
  <c r="M4562" i="1"/>
  <c r="M4561" i="1"/>
  <c r="M4557" i="1"/>
  <c r="M4556" i="1"/>
  <c r="M4555" i="1"/>
  <c r="M4554" i="1"/>
  <c r="M4553" i="1"/>
  <c r="M4552" i="1"/>
  <c r="M4531" i="1"/>
  <c r="P4531" i="1" s="1"/>
  <c r="U4531" i="1" s="1"/>
  <c r="M4529" i="1"/>
  <c r="M4528" i="1"/>
  <c r="M4527" i="1"/>
  <c r="M4516" i="1"/>
  <c r="M4514" i="1"/>
  <c r="M4512" i="1"/>
  <c r="M4510" i="1"/>
  <c r="M4500" i="1"/>
  <c r="M4491" i="1"/>
  <c r="M4478" i="1"/>
  <c r="M4470" i="1"/>
  <c r="M4445" i="1"/>
  <c r="P4445" i="1" s="1"/>
  <c r="U4445" i="1" s="1"/>
  <c r="M4356" i="1"/>
  <c r="M4270" i="1"/>
  <c r="M4241" i="1"/>
  <c r="M4129" i="1"/>
  <c r="M4128" i="1"/>
  <c r="M4116" i="1"/>
  <c r="M4109" i="1"/>
  <c r="M4102" i="1"/>
  <c r="M4101" i="1"/>
  <c r="M4100" i="1"/>
  <c r="M4098" i="1"/>
  <c r="M4091" i="1"/>
  <c r="P4091" i="1" s="1"/>
  <c r="U4091" i="1" s="1"/>
  <c r="M4078" i="1"/>
  <c r="M4074" i="1"/>
  <c r="M4068" i="1"/>
  <c r="M4067" i="1"/>
  <c r="M4057" i="1"/>
  <c r="M4055" i="1"/>
  <c r="M4053" i="1"/>
  <c r="M4051" i="1"/>
  <c r="M4049" i="1"/>
  <c r="M4044" i="1"/>
  <c r="M4040" i="1"/>
  <c r="M3986" i="1"/>
  <c r="P3986" i="1" s="1"/>
  <c r="U3986" i="1" s="1"/>
  <c r="M3984" i="1"/>
  <c r="M3982" i="1"/>
  <c r="M3973" i="1"/>
  <c r="M3972" i="1"/>
  <c r="M3970" i="1"/>
  <c r="M3969" i="1"/>
  <c r="M3968" i="1"/>
  <c r="M3967" i="1"/>
  <c r="M3941" i="1"/>
  <c r="M3940" i="1"/>
  <c r="M3939" i="1"/>
  <c r="M3938" i="1"/>
  <c r="P3938" i="1" s="1"/>
  <c r="U3938" i="1" s="1"/>
  <c r="M3931" i="1"/>
  <c r="M3928" i="1"/>
  <c r="M3926" i="1"/>
  <c r="M3925" i="1"/>
  <c r="M3923" i="1"/>
  <c r="M3922" i="1"/>
  <c r="M3921" i="1"/>
  <c r="M3847" i="1"/>
  <c r="M3815" i="1"/>
  <c r="M3812" i="1"/>
  <c r="M3810" i="1"/>
  <c r="M3804" i="1"/>
  <c r="P3804" i="1" s="1"/>
  <c r="U3804" i="1" s="1"/>
  <c r="M3802" i="1"/>
  <c r="M3800" i="1"/>
  <c r="M3792" i="1"/>
  <c r="M3791" i="1"/>
  <c r="M3789" i="1"/>
  <c r="M3776" i="1"/>
  <c r="M3755" i="1"/>
  <c r="M3695" i="1"/>
  <c r="M3679" i="1"/>
  <c r="M3677" i="1"/>
  <c r="M3671" i="1"/>
  <c r="M3667" i="1"/>
  <c r="P3667" i="1" s="1"/>
  <c r="U3667" i="1" s="1"/>
  <c r="M3665" i="1"/>
  <c r="M3664" i="1"/>
  <c r="M3662" i="1"/>
  <c r="M3660" i="1"/>
  <c r="M3628" i="1"/>
  <c r="M3600" i="1"/>
  <c r="M3568" i="1"/>
  <c r="M3567" i="1"/>
  <c r="M3566" i="1"/>
  <c r="M3564" i="1"/>
  <c r="M3490" i="1"/>
  <c r="M3461" i="1"/>
  <c r="P3461" i="1" s="1"/>
  <c r="U3461" i="1" s="1"/>
  <c r="M3430" i="1"/>
  <c r="M3413" i="1"/>
  <c r="M3412" i="1"/>
  <c r="M3404" i="1"/>
  <c r="M3403" i="1"/>
  <c r="M3402" i="1"/>
  <c r="M3369" i="1"/>
  <c r="M3368" i="1"/>
  <c r="M3364" i="1"/>
  <c r="M3353" i="1"/>
  <c r="M3350" i="1"/>
  <c r="M3342" i="1"/>
  <c r="M3296" i="1"/>
  <c r="M3284" i="1"/>
  <c r="M3280" i="1"/>
  <c r="M3278" i="1"/>
  <c r="M3274" i="1"/>
  <c r="M3272" i="1"/>
  <c r="M3266" i="1"/>
  <c r="M3264" i="1"/>
  <c r="M3261" i="1"/>
  <c r="M3228" i="1"/>
  <c r="M3224" i="1"/>
  <c r="M3222" i="1"/>
  <c r="M3215" i="1"/>
  <c r="M3214" i="1"/>
  <c r="M3206" i="1"/>
  <c r="M3205" i="1"/>
  <c r="M3204" i="1"/>
  <c r="M3189" i="1"/>
  <c r="M3188" i="1"/>
  <c r="M3181" i="1"/>
  <c r="M3180" i="1"/>
  <c r="M3178" i="1"/>
  <c r="M3174" i="1"/>
  <c r="M3173" i="1"/>
  <c r="P3173" i="1" s="1"/>
  <c r="U3173" i="1" s="1"/>
  <c r="M3172" i="1"/>
  <c r="M3171" i="1"/>
  <c r="M3164" i="1"/>
  <c r="M3163" i="1"/>
  <c r="M3162" i="1"/>
  <c r="M3161" i="1"/>
  <c r="M3160" i="1"/>
  <c r="M3151" i="1"/>
  <c r="M3147" i="1"/>
  <c r="M3133" i="1"/>
  <c r="M3132" i="1"/>
  <c r="M3127" i="1"/>
  <c r="P3127" i="1" s="1"/>
  <c r="U3127" i="1" s="1"/>
  <c r="M3120" i="1"/>
  <c r="P3120" i="1" s="1"/>
  <c r="U3120" i="1" s="1"/>
  <c r="M3119" i="1"/>
  <c r="M3118" i="1"/>
  <c r="M3117" i="1"/>
  <c r="M3113" i="1"/>
  <c r="M3112" i="1"/>
  <c r="M3111" i="1"/>
  <c r="M3107" i="1"/>
  <c r="M3106" i="1"/>
  <c r="M3105" i="1"/>
  <c r="M3104" i="1"/>
  <c r="M3102" i="1"/>
  <c r="M3100" i="1"/>
  <c r="M3099" i="1"/>
  <c r="M3098" i="1"/>
  <c r="M3095" i="1"/>
  <c r="M3091" i="1"/>
  <c r="M3082" i="1"/>
  <c r="M3067" i="1"/>
  <c r="M3065" i="1"/>
  <c r="M3061" i="1"/>
  <c r="M3060" i="1"/>
  <c r="M3058" i="1"/>
  <c r="M3056" i="1"/>
  <c r="P3056" i="1" s="1"/>
  <c r="U3056" i="1" s="1"/>
  <c r="M3053" i="1"/>
  <c r="P3053" i="1" s="1"/>
  <c r="U3053" i="1" s="1"/>
  <c r="M3037" i="1"/>
  <c r="M3036" i="1"/>
  <c r="M3035" i="1"/>
  <c r="M3026" i="1"/>
  <c r="M3025" i="1"/>
  <c r="M3024" i="1"/>
  <c r="M3015" i="1"/>
  <c r="M3014" i="1"/>
  <c r="M3012" i="1"/>
  <c r="M3001" i="1"/>
  <c r="M3000" i="1"/>
  <c r="P3000" i="1" s="1"/>
  <c r="U3000" i="1" s="1"/>
  <c r="M2999" i="1"/>
  <c r="M2991" i="1"/>
  <c r="M2988" i="1"/>
  <c r="M2987" i="1"/>
  <c r="M2986" i="1"/>
  <c r="M2985" i="1"/>
  <c r="M2945" i="1"/>
  <c r="M2942" i="1"/>
  <c r="M2941" i="1"/>
  <c r="M2940" i="1"/>
  <c r="M2939" i="1"/>
  <c r="M2938" i="1"/>
  <c r="P2938" i="1" s="1"/>
  <c r="U2938" i="1" s="1"/>
  <c r="M2937" i="1"/>
  <c r="M2927" i="1"/>
  <c r="M2926" i="1"/>
  <c r="M2925" i="1"/>
  <c r="M2924" i="1"/>
  <c r="M2923" i="1"/>
  <c r="M2922" i="1"/>
  <c r="M2921" i="1"/>
  <c r="M2920" i="1"/>
  <c r="M2919" i="1"/>
  <c r="M2918" i="1"/>
  <c r="M2917" i="1"/>
  <c r="P2917" i="1" s="1"/>
  <c r="U2917" i="1" s="1"/>
  <c r="M2911" i="1"/>
  <c r="M2910" i="1"/>
  <c r="M2908" i="1"/>
  <c r="M2907" i="1"/>
  <c r="M2906" i="1"/>
  <c r="M2905" i="1"/>
  <c r="M2900" i="1"/>
  <c r="M2898" i="1"/>
  <c r="M2897" i="1"/>
  <c r="M2895" i="1"/>
  <c r="M2894" i="1"/>
  <c r="M2893" i="1"/>
  <c r="P2893" i="1" s="1"/>
  <c r="U2893" i="1" s="1"/>
  <c r="M2892" i="1"/>
  <c r="P2892" i="1" s="1"/>
  <c r="U2892" i="1" s="1"/>
  <c r="M2891" i="1"/>
  <c r="M2860" i="1"/>
  <c r="M2858" i="1"/>
  <c r="M2829" i="1"/>
  <c r="M2818" i="1"/>
  <c r="M2807" i="1"/>
  <c r="M2782" i="1"/>
  <c r="M2745" i="1"/>
  <c r="M2731" i="1"/>
  <c r="M2720" i="1"/>
  <c r="M2716" i="1"/>
  <c r="P2716" i="1" s="1"/>
  <c r="U2716" i="1" s="1"/>
  <c r="M2712" i="1"/>
  <c r="P2712" i="1" s="1"/>
  <c r="U2712" i="1" s="1"/>
  <c r="M2700" i="1"/>
  <c r="M2699" i="1"/>
  <c r="M2698" i="1"/>
  <c r="M2688" i="1"/>
  <c r="M2686" i="1"/>
  <c r="M2681" i="1"/>
  <c r="M2678" i="1"/>
  <c r="M2676" i="1"/>
  <c r="M2674" i="1"/>
  <c r="M2665" i="1"/>
  <c r="M2652" i="1"/>
  <c r="P2652" i="1" s="1"/>
  <c r="U2652" i="1" s="1"/>
  <c r="M2651" i="1"/>
  <c r="M2650" i="1"/>
  <c r="M2648" i="1"/>
  <c r="M2628" i="1"/>
  <c r="M2627" i="1"/>
  <c r="M2621" i="1"/>
  <c r="M2615" i="1"/>
  <c r="M2614" i="1"/>
  <c r="M2613" i="1"/>
  <c r="M2612" i="1"/>
  <c r="M2610" i="1"/>
  <c r="M2609" i="1"/>
  <c r="P2609" i="1" s="1"/>
  <c r="U2609" i="1" s="1"/>
  <c r="M2608" i="1"/>
  <c r="M2607" i="1"/>
  <c r="M2606" i="1"/>
  <c r="M2605" i="1"/>
  <c r="M2604" i="1"/>
  <c r="M2603" i="1"/>
  <c r="M2602" i="1"/>
  <c r="M2601" i="1"/>
  <c r="M2591" i="1"/>
  <c r="M2579" i="1"/>
  <c r="M2577" i="1"/>
  <c r="M2575" i="1"/>
  <c r="P2575" i="1" s="1"/>
  <c r="U2575" i="1" s="1"/>
  <c r="M2556" i="1"/>
  <c r="P2556" i="1" s="1"/>
  <c r="U2556" i="1" s="1"/>
  <c r="M2554" i="1"/>
  <c r="M2519" i="1"/>
  <c r="M2517" i="1"/>
  <c r="M2516" i="1"/>
  <c r="M2515" i="1"/>
  <c r="M2513" i="1"/>
  <c r="M2512" i="1"/>
  <c r="M2505" i="1"/>
  <c r="M2484" i="1"/>
  <c r="M2482" i="1"/>
  <c r="M2480" i="1"/>
  <c r="P2480" i="1" s="1"/>
  <c r="U2480" i="1" s="1"/>
  <c r="M2478" i="1"/>
  <c r="M2460" i="1"/>
  <c r="M2458" i="1"/>
  <c r="M2457" i="1"/>
  <c r="M2446" i="1"/>
  <c r="M2442" i="1"/>
  <c r="M2441" i="1"/>
  <c r="M2440" i="1"/>
  <c r="M2439" i="1"/>
  <c r="M2437" i="1"/>
  <c r="M2425" i="1"/>
  <c r="M2397" i="1"/>
  <c r="P2397" i="1" s="1"/>
  <c r="U2397" i="1" s="1"/>
  <c r="M2388" i="1"/>
  <c r="P2388" i="1" s="1"/>
  <c r="U2388" i="1" s="1"/>
  <c r="M2385" i="1"/>
  <c r="M2383" i="1"/>
  <c r="M2380" i="1"/>
  <c r="M2373" i="1"/>
  <c r="M2359" i="1"/>
  <c r="M2319" i="1"/>
  <c r="M2302" i="1"/>
  <c r="M2268" i="1"/>
  <c r="M2266" i="1"/>
  <c r="M2158" i="1"/>
  <c r="M2156" i="1"/>
  <c r="P2156" i="1" s="1"/>
  <c r="U2156" i="1" s="1"/>
  <c r="M2131" i="1"/>
  <c r="M2125" i="1"/>
  <c r="M2096" i="1"/>
  <c r="M2046" i="1"/>
  <c r="M1988" i="1"/>
  <c r="M1986" i="1"/>
  <c r="M1984" i="1"/>
  <c r="M1981" i="1"/>
  <c r="M1949" i="1"/>
  <c r="M1941" i="1"/>
  <c r="M1940" i="1"/>
  <c r="M1928" i="1"/>
  <c r="P1928" i="1" s="1"/>
  <c r="U1928" i="1" s="1"/>
  <c r="M1927" i="1"/>
  <c r="M1926" i="1"/>
  <c r="M1924" i="1"/>
  <c r="M1905" i="1"/>
  <c r="M1901" i="1"/>
  <c r="M1900" i="1"/>
  <c r="M1899" i="1"/>
  <c r="M1898" i="1"/>
  <c r="M1888" i="1"/>
  <c r="M1887" i="1"/>
  <c r="M1885" i="1"/>
  <c r="M1884" i="1"/>
  <c r="P1884" i="1" s="1"/>
  <c r="U1884" i="1" s="1"/>
  <c r="M1882" i="1"/>
  <c r="M1881" i="1"/>
  <c r="M1878" i="1"/>
  <c r="M1872" i="1"/>
  <c r="M1871" i="1"/>
  <c r="M1870" i="1"/>
  <c r="M1864" i="1"/>
  <c r="M1863" i="1"/>
  <c r="M1862" i="1"/>
  <c r="M1858" i="1"/>
  <c r="M1857" i="1"/>
  <c r="M1856" i="1"/>
  <c r="P1856" i="1" s="1"/>
  <c r="U1856" i="1" s="1"/>
  <c r="M1849" i="1"/>
  <c r="P1849" i="1" s="1"/>
  <c r="U1849" i="1" s="1"/>
  <c r="M1845" i="1"/>
  <c r="M1844" i="1"/>
  <c r="M1840" i="1"/>
  <c r="M1830" i="1"/>
  <c r="M1829" i="1"/>
  <c r="M1828" i="1"/>
  <c r="M1827" i="1"/>
  <c r="M1825" i="1"/>
  <c r="M1820" i="1"/>
  <c r="M1817" i="1"/>
  <c r="M1816" i="1"/>
  <c r="P1816" i="1" s="1"/>
  <c r="U1816" i="1" s="1"/>
  <c r="M1815" i="1"/>
  <c r="M1814" i="1"/>
  <c r="M1812" i="1"/>
  <c r="M1811" i="1"/>
  <c r="M1804" i="1"/>
  <c r="M1801" i="1"/>
  <c r="M1791" i="1"/>
  <c r="M1790" i="1"/>
  <c r="M1789" i="1"/>
  <c r="M1788" i="1"/>
  <c r="M1787" i="1"/>
  <c r="M1786" i="1"/>
  <c r="P1786" i="1" s="1"/>
  <c r="U1786" i="1" s="1"/>
  <c r="M1784" i="1"/>
  <c r="M1783" i="1"/>
  <c r="M1782" i="1"/>
  <c r="M1781" i="1"/>
  <c r="M1780" i="1"/>
  <c r="M1779" i="1"/>
  <c r="M1778" i="1"/>
  <c r="M1776" i="1"/>
  <c r="M1763" i="1"/>
  <c r="M1762" i="1"/>
  <c r="M1761" i="1"/>
  <c r="M1760" i="1"/>
  <c r="P1760" i="1" s="1"/>
  <c r="U1760" i="1" s="1"/>
  <c r="M1759" i="1"/>
  <c r="M1758" i="1"/>
  <c r="M1757" i="1"/>
  <c r="M1756" i="1"/>
  <c r="M1755" i="1"/>
  <c r="M1754" i="1"/>
  <c r="M1749" i="1"/>
  <c r="M1748" i="1"/>
  <c r="M1747" i="1"/>
  <c r="M1746" i="1"/>
  <c r="M1744" i="1"/>
  <c r="M1743" i="1"/>
  <c r="P1743" i="1" s="1"/>
  <c r="U1743" i="1" s="1"/>
  <c r="M1742" i="1"/>
  <c r="M1741" i="1"/>
  <c r="M1740" i="1"/>
  <c r="M1708" i="1"/>
  <c r="M1707" i="1"/>
  <c r="M1706" i="1"/>
  <c r="M1704" i="1"/>
  <c r="M1619" i="1"/>
  <c r="M1615" i="1"/>
  <c r="M1544" i="1"/>
  <c r="M1542" i="1"/>
  <c r="M1505" i="1"/>
  <c r="P1505" i="1" s="1"/>
  <c r="U1505" i="1" s="1"/>
  <c r="M1494" i="1"/>
  <c r="M1493" i="1"/>
  <c r="M1486" i="1"/>
  <c r="M1474" i="1"/>
  <c r="M1473" i="1"/>
  <c r="M1472" i="1"/>
  <c r="M1471" i="1"/>
  <c r="M1458" i="1"/>
  <c r="M1456" i="1"/>
  <c r="M1450" i="1"/>
  <c r="M1448" i="1"/>
  <c r="M1446" i="1"/>
  <c r="M1445" i="1"/>
  <c r="P1445" i="1" s="1"/>
  <c r="U1445" i="1" s="1"/>
  <c r="M1444" i="1"/>
  <c r="M1440" i="1"/>
  <c r="M1436" i="1"/>
  <c r="M1435" i="1"/>
  <c r="M1434" i="1"/>
  <c r="M1433" i="1"/>
  <c r="M1432" i="1"/>
  <c r="M1431" i="1"/>
  <c r="M1430" i="1"/>
  <c r="M1429" i="1"/>
  <c r="M1428" i="1"/>
  <c r="P1428" i="1" s="1"/>
  <c r="U1428" i="1" s="1"/>
  <c r="M1427" i="1"/>
  <c r="M1426" i="1"/>
  <c r="M1425" i="1"/>
  <c r="M1424" i="1"/>
  <c r="M1422" i="1"/>
  <c r="M1410" i="1"/>
  <c r="M1403" i="1"/>
  <c r="M1401" i="1"/>
  <c r="M1400" i="1"/>
  <c r="M1398" i="1"/>
  <c r="M1386" i="1"/>
  <c r="M1382" i="1"/>
  <c r="P1382" i="1" s="1"/>
  <c r="U1382" i="1" s="1"/>
  <c r="M1381" i="1"/>
  <c r="P1381" i="1" s="1"/>
  <c r="U1381" i="1" s="1"/>
  <c r="M1380" i="1"/>
  <c r="M1379" i="1"/>
  <c r="M1378" i="1"/>
  <c r="M1377" i="1"/>
  <c r="M1376" i="1"/>
  <c r="M1375" i="1"/>
  <c r="M1374" i="1"/>
  <c r="M1373" i="1"/>
  <c r="M1371" i="1"/>
  <c r="M1370" i="1"/>
  <c r="M1369" i="1"/>
  <c r="P1369" i="1" s="1"/>
  <c r="U1369" i="1" s="1"/>
  <c r="M1366" i="1"/>
  <c r="M1359" i="1"/>
  <c r="M1358" i="1"/>
  <c r="M1357" i="1"/>
  <c r="M1354" i="1"/>
  <c r="M1353" i="1"/>
  <c r="M1346" i="1"/>
  <c r="M1345" i="1"/>
  <c r="M1344" i="1"/>
  <c r="M1340" i="1"/>
  <c r="M1339" i="1"/>
  <c r="M1338" i="1"/>
  <c r="M1337" i="1"/>
  <c r="P1337" i="1" s="1"/>
  <c r="U1337" i="1" s="1"/>
  <c r="M1336" i="1"/>
  <c r="M1335" i="1"/>
  <c r="M1334" i="1"/>
  <c r="M1333" i="1"/>
  <c r="M1332" i="1"/>
  <c r="M1331" i="1"/>
  <c r="M1330" i="1"/>
  <c r="M1329" i="1"/>
  <c r="M1328" i="1"/>
  <c r="M1327" i="1"/>
  <c r="M1326" i="1"/>
  <c r="M1325" i="1"/>
  <c r="P1325" i="1" s="1"/>
  <c r="U1325" i="1" s="1"/>
  <c r="M1324" i="1"/>
  <c r="M1323" i="1"/>
  <c r="M1322" i="1"/>
  <c r="M1320" i="1"/>
  <c r="M1308" i="1"/>
  <c r="M1306" i="1"/>
  <c r="M1305" i="1"/>
  <c r="M1289" i="1"/>
  <c r="M1267" i="1"/>
  <c r="M1257" i="1"/>
  <c r="M1256" i="1"/>
  <c r="P1256" i="1" s="1"/>
  <c r="U1256" i="1" s="1"/>
  <c r="M1226" i="1"/>
  <c r="M1190" i="1"/>
  <c r="M1166" i="1"/>
  <c r="M1161" i="1"/>
  <c r="M1160" i="1"/>
  <c r="M1159" i="1"/>
  <c r="M1158" i="1"/>
  <c r="M1142" i="1"/>
  <c r="M1139" i="1"/>
  <c r="M1138" i="1"/>
  <c r="M1133" i="1"/>
  <c r="M1127" i="1"/>
  <c r="P1127" i="1" s="1"/>
  <c r="U1127" i="1" s="1"/>
  <c r="M1126" i="1"/>
  <c r="M1125" i="1"/>
  <c r="M1121" i="1"/>
  <c r="M1107" i="1"/>
  <c r="M1103" i="1"/>
  <c r="M1102" i="1"/>
  <c r="M1101" i="1"/>
  <c r="M1100" i="1"/>
  <c r="M1099" i="1"/>
  <c r="M1098" i="1"/>
  <c r="M1097" i="1"/>
  <c r="M1096" i="1"/>
  <c r="P1096" i="1" s="1"/>
  <c r="U1096" i="1" s="1"/>
  <c r="M1095" i="1"/>
  <c r="M1094" i="1"/>
  <c r="M1093" i="1"/>
  <c r="M1090" i="1"/>
  <c r="M1088" i="1"/>
  <c r="M1087" i="1"/>
  <c r="M1086" i="1"/>
  <c r="M1079" i="1"/>
  <c r="M1078" i="1"/>
  <c r="M1077" i="1"/>
  <c r="M1076" i="1"/>
  <c r="M1072" i="1"/>
  <c r="P1072" i="1" s="1"/>
  <c r="U1072" i="1" s="1"/>
  <c r="M1068" i="1"/>
  <c r="P1068" i="1" s="1"/>
  <c r="U1068" i="1" s="1"/>
  <c r="M1067" i="1"/>
  <c r="M1066" i="1"/>
  <c r="M1064" i="1"/>
  <c r="M1063" i="1"/>
  <c r="M1062" i="1"/>
  <c r="M1061" i="1"/>
  <c r="M1059" i="1"/>
  <c r="M1055" i="1"/>
  <c r="M1054" i="1"/>
  <c r="M1053" i="1"/>
  <c r="M1051" i="1"/>
  <c r="P1051" i="1" s="1"/>
  <c r="U1051" i="1" s="1"/>
  <c r="M1049" i="1"/>
  <c r="P1049" i="1" s="1"/>
  <c r="U1049" i="1" s="1"/>
  <c r="M1048" i="1"/>
  <c r="M1047" i="1"/>
  <c r="M1046" i="1"/>
  <c r="M1045" i="1"/>
  <c r="M1044" i="1"/>
  <c r="M1043" i="1"/>
  <c r="M1040" i="1"/>
  <c r="M1039" i="1"/>
  <c r="M1037" i="1"/>
  <c r="M1036" i="1"/>
  <c r="M1035" i="1"/>
  <c r="P1035" i="1" s="1"/>
  <c r="U1035" i="1" s="1"/>
  <c r="M1034" i="1"/>
  <c r="M1032" i="1"/>
  <c r="M1031" i="1"/>
  <c r="M1029" i="1"/>
  <c r="M1028" i="1"/>
  <c r="M1027" i="1"/>
  <c r="M1026" i="1"/>
  <c r="M1025" i="1"/>
  <c r="M1024" i="1"/>
  <c r="M1023" i="1"/>
  <c r="M1022" i="1"/>
  <c r="M1021" i="1"/>
  <c r="P1021" i="1" s="1"/>
  <c r="U1021" i="1" s="1"/>
  <c r="M1020" i="1"/>
  <c r="P1020" i="1" s="1"/>
  <c r="U1020" i="1" s="1"/>
  <c r="M1019" i="1"/>
  <c r="M1018" i="1"/>
  <c r="M1017" i="1"/>
  <c r="M1016" i="1"/>
  <c r="M1015" i="1"/>
  <c r="M1014" i="1"/>
  <c r="M1013" i="1"/>
  <c r="M1012" i="1"/>
  <c r="M1011" i="1"/>
  <c r="M1010" i="1"/>
  <c r="M1009" i="1"/>
  <c r="P1009" i="1" s="1"/>
  <c r="U1009" i="1" s="1"/>
  <c r="M1008" i="1"/>
  <c r="P1008" i="1" s="1"/>
  <c r="U1008" i="1" s="1"/>
  <c r="M1007" i="1"/>
  <c r="M1006" i="1"/>
  <c r="M1005" i="1"/>
  <c r="M1004" i="1"/>
  <c r="M1003" i="1"/>
  <c r="M1002" i="1"/>
  <c r="M994" i="1"/>
  <c r="M993" i="1"/>
  <c r="M991" i="1"/>
  <c r="M990" i="1"/>
  <c r="M989" i="1"/>
  <c r="P989" i="1" s="1"/>
  <c r="U989" i="1" s="1"/>
  <c r="M988" i="1"/>
  <c r="M987" i="1"/>
  <c r="M986" i="1"/>
  <c r="M985" i="1"/>
  <c r="M984" i="1"/>
  <c r="M983" i="1"/>
  <c r="M982" i="1"/>
  <c r="M981" i="1"/>
  <c r="M980" i="1"/>
  <c r="M979" i="1"/>
  <c r="M971" i="1"/>
  <c r="M970" i="1"/>
  <c r="P970" i="1" s="1"/>
  <c r="U970" i="1" s="1"/>
  <c r="M969" i="1"/>
  <c r="M968" i="1"/>
  <c r="M962" i="1"/>
  <c r="M961" i="1"/>
  <c r="M960" i="1"/>
  <c r="M955" i="1"/>
  <c r="M954" i="1"/>
  <c r="M953" i="1"/>
  <c r="M949" i="1"/>
  <c r="M948" i="1"/>
  <c r="M947" i="1"/>
  <c r="M946" i="1"/>
  <c r="P946" i="1" s="1"/>
  <c r="U946" i="1" s="1"/>
  <c r="M945" i="1"/>
  <c r="M944" i="1"/>
  <c r="M943" i="1"/>
  <c r="M937" i="1"/>
  <c r="M936" i="1"/>
  <c r="M935" i="1"/>
  <c r="M934" i="1"/>
  <c r="M933" i="1"/>
  <c r="M932" i="1"/>
  <c r="M931" i="1"/>
  <c r="M928" i="1"/>
  <c r="M927" i="1"/>
  <c r="P927" i="1" s="1"/>
  <c r="U927" i="1" s="1"/>
  <c r="M919" i="1"/>
  <c r="M918" i="1"/>
  <c r="M904" i="1"/>
  <c r="M876" i="1"/>
  <c r="M875" i="1"/>
  <c r="M874" i="1"/>
  <c r="M873" i="1"/>
  <c r="M872" i="1"/>
  <c r="M871" i="1"/>
  <c r="M870" i="1"/>
  <c r="M869" i="1"/>
  <c r="M868" i="1"/>
  <c r="P868" i="1" s="1"/>
  <c r="U868" i="1" s="1"/>
  <c r="M861" i="1"/>
  <c r="M858" i="1"/>
  <c r="M841" i="1"/>
  <c r="M840" i="1"/>
  <c r="M792" i="1"/>
  <c r="M789" i="1"/>
  <c r="M781" i="1"/>
  <c r="M750" i="1"/>
  <c r="M748" i="1"/>
  <c r="M746" i="1"/>
  <c r="M726" i="1"/>
  <c r="M724" i="1"/>
  <c r="P724" i="1" s="1"/>
  <c r="U724" i="1" s="1"/>
  <c r="M721" i="1"/>
  <c r="P721" i="1" s="1"/>
  <c r="U721" i="1" s="1"/>
  <c r="M719" i="1"/>
  <c r="M717" i="1"/>
  <c r="M716" i="1"/>
  <c r="M715" i="1"/>
  <c r="M678" i="1"/>
  <c r="M641" i="1"/>
  <c r="M534" i="1"/>
  <c r="M401" i="1"/>
  <c r="M400" i="1"/>
  <c r="M359" i="1"/>
  <c r="M358" i="1"/>
  <c r="P358" i="1" s="1"/>
  <c r="U358" i="1" s="1"/>
  <c r="M357" i="1"/>
  <c r="M330" i="1"/>
  <c r="M327" i="1"/>
  <c r="M319" i="1"/>
  <c r="M312" i="1"/>
  <c r="M309" i="1"/>
  <c r="M308" i="1"/>
  <c r="M306" i="1"/>
  <c r="M304" i="1"/>
  <c r="M302" i="1"/>
  <c r="M293" i="1"/>
  <c r="M281" i="1"/>
  <c r="P281" i="1" s="1"/>
  <c r="U281" i="1" s="1"/>
  <c r="M280" i="1"/>
  <c r="M279" i="1"/>
  <c r="M278" i="1"/>
  <c r="M277" i="1"/>
  <c r="M276" i="1"/>
  <c r="M262" i="1"/>
  <c r="M229" i="1"/>
  <c r="M227" i="1"/>
  <c r="M225" i="1"/>
  <c r="M200" i="1"/>
  <c r="M188" i="1"/>
  <c r="M183" i="1"/>
  <c r="P183" i="1" s="1"/>
  <c r="U183" i="1" s="1"/>
  <c r="M182" i="1"/>
  <c r="M181" i="1"/>
  <c r="M180" i="1"/>
  <c r="M178" i="1"/>
  <c r="M177" i="1"/>
  <c r="M163" i="1"/>
  <c r="M152" i="1"/>
  <c r="M147" i="1"/>
  <c r="M139" i="1"/>
  <c r="M138" i="1"/>
  <c r="M135" i="1"/>
  <c r="M133" i="1"/>
  <c r="P133" i="1" s="1"/>
  <c r="U133" i="1" s="1"/>
  <c r="M113" i="1"/>
  <c r="P113" i="1" s="1"/>
  <c r="U113" i="1" s="1"/>
  <c r="M112" i="1"/>
  <c r="M111" i="1"/>
  <c r="M110" i="1"/>
  <c r="M109" i="1"/>
  <c r="M102" i="1"/>
  <c r="M101" i="1"/>
  <c r="M100" i="1"/>
  <c r="M99" i="1"/>
  <c r="M92" i="1"/>
  <c r="M90" i="1"/>
  <c r="M83" i="1"/>
  <c r="P83" i="1" s="1"/>
  <c r="U83" i="1" s="1"/>
  <c r="M80" i="1"/>
  <c r="M78" i="1"/>
  <c r="M71" i="1"/>
  <c r="M69" i="1"/>
  <c r="M66" i="1"/>
  <c r="M65" i="1"/>
  <c r="M64" i="1"/>
  <c r="M63" i="1"/>
  <c r="M62" i="1"/>
  <c r="M48" i="1"/>
  <c r="M47" i="1"/>
  <c r="M45" i="1"/>
  <c r="P45" i="1" s="1"/>
  <c r="U45" i="1" s="1"/>
  <c r="M42" i="1"/>
  <c r="M39" i="1"/>
  <c r="M38" i="1"/>
  <c r="M29" i="1"/>
  <c r="M28" i="1"/>
  <c r="M27" i="1"/>
  <c r="M26" i="1"/>
  <c r="M25" i="1"/>
  <c r="M20" i="1"/>
  <c r="M19" i="1"/>
  <c r="M14" i="1"/>
  <c r="M13" i="1"/>
  <c r="P13" i="1" s="1"/>
  <c r="U13" i="1" s="1"/>
  <c r="M12" i="1"/>
  <c r="P12" i="1" s="1"/>
  <c r="U12" i="1" s="1"/>
  <c r="M2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W600" i="1"/>
  <c r="W601" i="1"/>
  <c r="W602" i="1"/>
  <c r="W603" i="1"/>
  <c r="W604" i="1"/>
  <c r="W605" i="1"/>
  <c r="W606" i="1"/>
  <c r="W607" i="1"/>
  <c r="W608" i="1"/>
  <c r="W609" i="1"/>
  <c r="W610" i="1"/>
  <c r="W611" i="1"/>
  <c r="W612" i="1"/>
  <c r="W613" i="1"/>
  <c r="W614" i="1"/>
  <c r="W615" i="1"/>
  <c r="W616" i="1"/>
  <c r="W617" i="1"/>
  <c r="W618" i="1"/>
  <c r="W619" i="1"/>
  <c r="W620" i="1"/>
  <c r="W621" i="1"/>
  <c r="W622" i="1"/>
  <c r="W623" i="1"/>
  <c r="W624" i="1"/>
  <c r="W625" i="1"/>
  <c r="W626" i="1"/>
  <c r="W627" i="1"/>
  <c r="W628" i="1"/>
  <c r="W629" i="1"/>
  <c r="W630" i="1"/>
  <c r="W631" i="1"/>
  <c r="W632" i="1"/>
  <c r="W633" i="1"/>
  <c r="W634" i="1"/>
  <c r="W635" i="1"/>
  <c r="W636" i="1"/>
  <c r="W637" i="1"/>
  <c r="W638" i="1"/>
  <c r="W639" i="1"/>
  <c r="W640" i="1"/>
  <c r="W641" i="1"/>
  <c r="W642" i="1"/>
  <c r="W643" i="1"/>
  <c r="W644" i="1"/>
  <c r="W645" i="1"/>
  <c r="W646" i="1"/>
  <c r="W647" i="1"/>
  <c r="W648" i="1"/>
  <c r="W649" i="1"/>
  <c r="W650" i="1"/>
  <c r="W651" i="1"/>
  <c r="W652" i="1"/>
  <c r="W653" i="1"/>
  <c r="W654" i="1"/>
  <c r="W655" i="1"/>
  <c r="W656" i="1"/>
  <c r="W657" i="1"/>
  <c r="W658" i="1"/>
  <c r="W659" i="1"/>
  <c r="W660" i="1"/>
  <c r="W661" i="1"/>
  <c r="W662" i="1"/>
  <c r="W663" i="1"/>
  <c r="W664" i="1"/>
  <c r="W665" i="1"/>
  <c r="W666" i="1"/>
  <c r="W667" i="1"/>
  <c r="W668" i="1"/>
  <c r="W669" i="1"/>
  <c r="W670" i="1"/>
  <c r="W671" i="1"/>
  <c r="W672" i="1"/>
  <c r="W673" i="1"/>
  <c r="W674" i="1"/>
  <c r="W675" i="1"/>
  <c r="W676" i="1"/>
  <c r="W677" i="1"/>
  <c r="W678" i="1"/>
  <c r="W679" i="1"/>
  <c r="W680" i="1"/>
  <c r="W681" i="1"/>
  <c r="W682" i="1"/>
  <c r="W683" i="1"/>
  <c r="W684" i="1"/>
  <c r="W685" i="1"/>
  <c r="W686" i="1"/>
  <c r="W687" i="1"/>
  <c r="W688" i="1"/>
  <c r="W689" i="1"/>
  <c r="W690" i="1"/>
  <c r="W691" i="1"/>
  <c r="W692" i="1"/>
  <c r="W693" i="1"/>
  <c r="W694" i="1"/>
  <c r="W695" i="1"/>
  <c r="W696" i="1"/>
  <c r="W697" i="1"/>
  <c r="W698" i="1"/>
  <c r="W699" i="1"/>
  <c r="W700" i="1"/>
  <c r="W701" i="1"/>
  <c r="W702" i="1"/>
  <c r="W703" i="1"/>
  <c r="W704" i="1"/>
  <c r="W705" i="1"/>
  <c r="W706" i="1"/>
  <c r="W707" i="1"/>
  <c r="W708" i="1"/>
  <c r="W709" i="1"/>
  <c r="W710" i="1"/>
  <c r="W711" i="1"/>
  <c r="W712" i="1"/>
  <c r="W713" i="1"/>
  <c r="W714" i="1"/>
  <c r="W715" i="1"/>
  <c r="W716" i="1"/>
  <c r="W717" i="1"/>
  <c r="W718" i="1"/>
  <c r="W719" i="1"/>
  <c r="W720" i="1"/>
  <c r="W721" i="1"/>
  <c r="W722" i="1"/>
  <c r="W723" i="1"/>
  <c r="W724" i="1"/>
  <c r="W725" i="1"/>
  <c r="W726" i="1"/>
  <c r="W727" i="1"/>
  <c r="W728" i="1"/>
  <c r="W729" i="1"/>
  <c r="W730" i="1"/>
  <c r="W731" i="1"/>
  <c r="W732" i="1"/>
  <c r="W733" i="1"/>
  <c r="W734" i="1"/>
  <c r="W735" i="1"/>
  <c r="W736" i="1"/>
  <c r="W737" i="1"/>
  <c r="W738" i="1"/>
  <c r="W739" i="1"/>
  <c r="W740" i="1"/>
  <c r="W741" i="1"/>
  <c r="W742" i="1"/>
  <c r="W743" i="1"/>
  <c r="W744" i="1"/>
  <c r="W745" i="1"/>
  <c r="W746" i="1"/>
  <c r="W747" i="1"/>
  <c r="W748" i="1"/>
  <c r="W749" i="1"/>
  <c r="W750" i="1"/>
  <c r="W751" i="1"/>
  <c r="W752" i="1"/>
  <c r="W753" i="1"/>
  <c r="W754" i="1"/>
  <c r="W755" i="1"/>
  <c r="W756" i="1"/>
  <c r="W757" i="1"/>
  <c r="W758" i="1"/>
  <c r="W759" i="1"/>
  <c r="W760" i="1"/>
  <c r="W761" i="1"/>
  <c r="W762" i="1"/>
  <c r="W763" i="1"/>
  <c r="W764" i="1"/>
  <c r="W765" i="1"/>
  <c r="W766" i="1"/>
  <c r="W767" i="1"/>
  <c r="W768" i="1"/>
  <c r="W769" i="1"/>
  <c r="W770" i="1"/>
  <c r="W771" i="1"/>
  <c r="W772" i="1"/>
  <c r="W773" i="1"/>
  <c r="W774" i="1"/>
  <c r="W775" i="1"/>
  <c r="W776" i="1"/>
  <c r="W777" i="1"/>
  <c r="W778" i="1"/>
  <c r="W779" i="1"/>
  <c r="W780" i="1"/>
  <c r="W781" i="1"/>
  <c r="W782" i="1"/>
  <c r="W783" i="1"/>
  <c r="W784" i="1"/>
  <c r="W785" i="1"/>
  <c r="W786" i="1"/>
  <c r="W787" i="1"/>
  <c r="W788" i="1"/>
  <c r="W789" i="1"/>
  <c r="W790" i="1"/>
  <c r="W791" i="1"/>
  <c r="W792" i="1"/>
  <c r="W793" i="1"/>
  <c r="W794" i="1"/>
  <c r="W795" i="1"/>
  <c r="W796" i="1"/>
  <c r="W797" i="1"/>
  <c r="W798" i="1"/>
  <c r="W799" i="1"/>
  <c r="W800" i="1"/>
  <c r="W801" i="1"/>
  <c r="W802" i="1"/>
  <c r="W803" i="1"/>
  <c r="W804" i="1"/>
  <c r="W805" i="1"/>
  <c r="W806" i="1"/>
  <c r="W807" i="1"/>
  <c r="W808" i="1"/>
  <c r="W809" i="1"/>
  <c r="W810" i="1"/>
  <c r="W811" i="1"/>
  <c r="W812" i="1"/>
  <c r="W813" i="1"/>
  <c r="W814" i="1"/>
  <c r="W815" i="1"/>
  <c r="W816" i="1"/>
  <c r="W817" i="1"/>
  <c r="W818" i="1"/>
  <c r="W819" i="1"/>
  <c r="W820" i="1"/>
  <c r="W821" i="1"/>
  <c r="W822" i="1"/>
  <c r="W823" i="1"/>
  <c r="W824" i="1"/>
  <c r="W825" i="1"/>
  <c r="W826" i="1"/>
  <c r="W827" i="1"/>
  <c r="W828" i="1"/>
  <c r="W829" i="1"/>
  <c r="W830" i="1"/>
  <c r="W831" i="1"/>
  <c r="W832" i="1"/>
  <c r="W833" i="1"/>
  <c r="W834" i="1"/>
  <c r="W835" i="1"/>
  <c r="W836" i="1"/>
  <c r="W837" i="1"/>
  <c r="W838" i="1"/>
  <c r="W839" i="1"/>
  <c r="W840" i="1"/>
  <c r="W841" i="1"/>
  <c r="W842" i="1"/>
  <c r="W843" i="1"/>
  <c r="W844" i="1"/>
  <c r="W845" i="1"/>
  <c r="W846" i="1"/>
  <c r="W847" i="1"/>
  <c r="W848" i="1"/>
  <c r="W849" i="1"/>
  <c r="W850" i="1"/>
  <c r="W851" i="1"/>
  <c r="W852" i="1"/>
  <c r="W853" i="1"/>
  <c r="W854" i="1"/>
  <c r="W855" i="1"/>
  <c r="W856" i="1"/>
  <c r="W857" i="1"/>
  <c r="W858" i="1"/>
  <c r="W859" i="1"/>
  <c r="W860" i="1"/>
  <c r="W861" i="1"/>
  <c r="W862" i="1"/>
  <c r="W863" i="1"/>
  <c r="W864" i="1"/>
  <c r="W865" i="1"/>
  <c r="W866" i="1"/>
  <c r="W867" i="1"/>
  <c r="W868" i="1"/>
  <c r="W869" i="1"/>
  <c r="W870" i="1"/>
  <c r="W871" i="1"/>
  <c r="W872" i="1"/>
  <c r="W873" i="1"/>
  <c r="W874" i="1"/>
  <c r="W875" i="1"/>
  <c r="W876" i="1"/>
  <c r="W877" i="1"/>
  <c r="W878" i="1"/>
  <c r="W879" i="1"/>
  <c r="W880" i="1"/>
  <c r="W881" i="1"/>
  <c r="W882" i="1"/>
  <c r="W883" i="1"/>
  <c r="W884" i="1"/>
  <c r="W885" i="1"/>
  <c r="W886" i="1"/>
  <c r="W887" i="1"/>
  <c r="W888" i="1"/>
  <c r="W889" i="1"/>
  <c r="W890" i="1"/>
  <c r="W891" i="1"/>
  <c r="W892" i="1"/>
  <c r="W893" i="1"/>
  <c r="W894" i="1"/>
  <c r="W895" i="1"/>
  <c r="W896" i="1"/>
  <c r="W897" i="1"/>
  <c r="W898" i="1"/>
  <c r="W899" i="1"/>
  <c r="W900" i="1"/>
  <c r="W901" i="1"/>
  <c r="W902" i="1"/>
  <c r="W903" i="1"/>
  <c r="W904" i="1"/>
  <c r="W905" i="1"/>
  <c r="W906" i="1"/>
  <c r="W907" i="1"/>
  <c r="W908" i="1"/>
  <c r="W909" i="1"/>
  <c r="W910" i="1"/>
  <c r="W911" i="1"/>
  <c r="W912" i="1"/>
  <c r="W913" i="1"/>
  <c r="W914" i="1"/>
  <c r="W915" i="1"/>
  <c r="W916" i="1"/>
  <c r="W917" i="1"/>
  <c r="W918" i="1"/>
  <c r="W919" i="1"/>
  <c r="W920" i="1"/>
  <c r="W921" i="1"/>
  <c r="W922" i="1"/>
  <c r="W923" i="1"/>
  <c r="W924" i="1"/>
  <c r="W925" i="1"/>
  <c r="W926" i="1"/>
  <c r="W927" i="1"/>
  <c r="W928" i="1"/>
  <c r="W929" i="1"/>
  <c r="W930" i="1"/>
  <c r="W931" i="1"/>
  <c r="W932" i="1"/>
  <c r="W933" i="1"/>
  <c r="W934" i="1"/>
  <c r="W935" i="1"/>
  <c r="W936" i="1"/>
  <c r="W937" i="1"/>
  <c r="W938" i="1"/>
  <c r="W939" i="1"/>
  <c r="W940" i="1"/>
  <c r="W941" i="1"/>
  <c r="W942" i="1"/>
  <c r="W943" i="1"/>
  <c r="W944" i="1"/>
  <c r="W945" i="1"/>
  <c r="W946" i="1"/>
  <c r="W947" i="1"/>
  <c r="W948" i="1"/>
  <c r="W949" i="1"/>
  <c r="W950" i="1"/>
  <c r="W951" i="1"/>
  <c r="W952" i="1"/>
  <c r="W953" i="1"/>
  <c r="W954" i="1"/>
  <c r="W955" i="1"/>
  <c r="W956" i="1"/>
  <c r="W957" i="1"/>
  <c r="W958" i="1"/>
  <c r="W959" i="1"/>
  <c r="W960" i="1"/>
  <c r="W961" i="1"/>
  <c r="W962" i="1"/>
  <c r="W963" i="1"/>
  <c r="W964" i="1"/>
  <c r="W965" i="1"/>
  <c r="W966" i="1"/>
  <c r="W967" i="1"/>
  <c r="W968" i="1"/>
  <c r="W969" i="1"/>
  <c r="W970" i="1"/>
  <c r="W971" i="1"/>
  <c r="W972" i="1"/>
  <c r="W973" i="1"/>
  <c r="W974" i="1"/>
  <c r="W975" i="1"/>
  <c r="W976" i="1"/>
  <c r="W977" i="1"/>
  <c r="W978" i="1"/>
  <c r="W979" i="1"/>
  <c r="W980" i="1"/>
  <c r="W981" i="1"/>
  <c r="W982" i="1"/>
  <c r="W983" i="1"/>
  <c r="W984" i="1"/>
  <c r="W985" i="1"/>
  <c r="W986" i="1"/>
  <c r="W987" i="1"/>
  <c r="W988" i="1"/>
  <c r="W989" i="1"/>
  <c r="W990" i="1"/>
  <c r="W991" i="1"/>
  <c r="W992" i="1"/>
  <c r="W993" i="1"/>
  <c r="W994" i="1"/>
  <c r="W995" i="1"/>
  <c r="W996" i="1"/>
  <c r="W997" i="1"/>
  <c r="W998" i="1"/>
  <c r="W999" i="1"/>
  <c r="W1000" i="1"/>
  <c r="W1001" i="1"/>
  <c r="W1002" i="1"/>
  <c r="W1003" i="1"/>
  <c r="W1004" i="1"/>
  <c r="W1005" i="1"/>
  <c r="W1006" i="1"/>
  <c r="W1007" i="1"/>
  <c r="W1008" i="1"/>
  <c r="W1009" i="1"/>
  <c r="W1010" i="1"/>
  <c r="W1011" i="1"/>
  <c r="W1012" i="1"/>
  <c r="W1013" i="1"/>
  <c r="W1014" i="1"/>
  <c r="W1015" i="1"/>
  <c r="W1016" i="1"/>
  <c r="W1017" i="1"/>
  <c r="W1018" i="1"/>
  <c r="W1019" i="1"/>
  <c r="W1020" i="1"/>
  <c r="W1021" i="1"/>
  <c r="W1022" i="1"/>
  <c r="W1023" i="1"/>
  <c r="W1024" i="1"/>
  <c r="W1025" i="1"/>
  <c r="W1026" i="1"/>
  <c r="W1027" i="1"/>
  <c r="W1028" i="1"/>
  <c r="W1029" i="1"/>
  <c r="W1030" i="1"/>
  <c r="W1031" i="1"/>
  <c r="W1032" i="1"/>
  <c r="W1033" i="1"/>
  <c r="W1034" i="1"/>
  <c r="W1035" i="1"/>
  <c r="W1036" i="1"/>
  <c r="W1037" i="1"/>
  <c r="W1038" i="1"/>
  <c r="W1039" i="1"/>
  <c r="W1040" i="1"/>
  <c r="W1041" i="1"/>
  <c r="W1042" i="1"/>
  <c r="W1043" i="1"/>
  <c r="W1044" i="1"/>
  <c r="W1045" i="1"/>
  <c r="W1046" i="1"/>
  <c r="W1047" i="1"/>
  <c r="W1048" i="1"/>
  <c r="W1049" i="1"/>
  <c r="W1050" i="1"/>
  <c r="W1051" i="1"/>
  <c r="W1052" i="1"/>
  <c r="W1053" i="1"/>
  <c r="W1054" i="1"/>
  <c r="W1055" i="1"/>
  <c r="W1056" i="1"/>
  <c r="W1057" i="1"/>
  <c r="W1058" i="1"/>
  <c r="W1059" i="1"/>
  <c r="W1060" i="1"/>
  <c r="W1061" i="1"/>
  <c r="W1062" i="1"/>
  <c r="W1063" i="1"/>
  <c r="W1064" i="1"/>
  <c r="W1065" i="1"/>
  <c r="W1066" i="1"/>
  <c r="W1067" i="1"/>
  <c r="W1068" i="1"/>
  <c r="W1069" i="1"/>
  <c r="W1070" i="1"/>
  <c r="W1071" i="1"/>
  <c r="W1072" i="1"/>
  <c r="W1073" i="1"/>
  <c r="W1074" i="1"/>
  <c r="W1075" i="1"/>
  <c r="W1076" i="1"/>
  <c r="W1077" i="1"/>
  <c r="W1078" i="1"/>
  <c r="W1079" i="1"/>
  <c r="W1080" i="1"/>
  <c r="W1081" i="1"/>
  <c r="W1082" i="1"/>
  <c r="W1083" i="1"/>
  <c r="W1084" i="1"/>
  <c r="W1085" i="1"/>
  <c r="W1086" i="1"/>
  <c r="W1087" i="1"/>
  <c r="W1088" i="1"/>
  <c r="W1089" i="1"/>
  <c r="W1090" i="1"/>
  <c r="W1091" i="1"/>
  <c r="W1092" i="1"/>
  <c r="W1093" i="1"/>
  <c r="W1094" i="1"/>
  <c r="W1095" i="1"/>
  <c r="W1096" i="1"/>
  <c r="W1097" i="1"/>
  <c r="W1098" i="1"/>
  <c r="W1099" i="1"/>
  <c r="W1100" i="1"/>
  <c r="W1101" i="1"/>
  <c r="W1102" i="1"/>
  <c r="W1103" i="1"/>
  <c r="W1104" i="1"/>
  <c r="W1105" i="1"/>
  <c r="W1106" i="1"/>
  <c r="W1107" i="1"/>
  <c r="W1108" i="1"/>
  <c r="W1109" i="1"/>
  <c r="W1110" i="1"/>
  <c r="W1111" i="1"/>
  <c r="W1112" i="1"/>
  <c r="W1113" i="1"/>
  <c r="W1114" i="1"/>
  <c r="W1115" i="1"/>
  <c r="W1116" i="1"/>
  <c r="W1117" i="1"/>
  <c r="W1118" i="1"/>
  <c r="W1119" i="1"/>
  <c r="W1120" i="1"/>
  <c r="W1121" i="1"/>
  <c r="W1122" i="1"/>
  <c r="W1123" i="1"/>
  <c r="W1124" i="1"/>
  <c r="W1125" i="1"/>
  <c r="W1126" i="1"/>
  <c r="W1127" i="1"/>
  <c r="W1128" i="1"/>
  <c r="W1129" i="1"/>
  <c r="W1130" i="1"/>
  <c r="W1131" i="1"/>
  <c r="W1132" i="1"/>
  <c r="W1133" i="1"/>
  <c r="W1134" i="1"/>
  <c r="W1135" i="1"/>
  <c r="W1136" i="1"/>
  <c r="W1137" i="1"/>
  <c r="W1138" i="1"/>
  <c r="W1139" i="1"/>
  <c r="W1140" i="1"/>
  <c r="W1141" i="1"/>
  <c r="W1142" i="1"/>
  <c r="W1143" i="1"/>
  <c r="W1144" i="1"/>
  <c r="W1145" i="1"/>
  <c r="W1146" i="1"/>
  <c r="W1147" i="1"/>
  <c r="W1148" i="1"/>
  <c r="W1149" i="1"/>
  <c r="W1150" i="1"/>
  <c r="W1151" i="1"/>
  <c r="W1152" i="1"/>
  <c r="W1153" i="1"/>
  <c r="W1154" i="1"/>
  <c r="W1155" i="1"/>
  <c r="W1156" i="1"/>
  <c r="W1157" i="1"/>
  <c r="W1158" i="1"/>
  <c r="W1159" i="1"/>
  <c r="W1160" i="1"/>
  <c r="W1161" i="1"/>
  <c r="W1162" i="1"/>
  <c r="W1163" i="1"/>
  <c r="W1164" i="1"/>
  <c r="W1165" i="1"/>
  <c r="W1166" i="1"/>
  <c r="W1167" i="1"/>
  <c r="W1168" i="1"/>
  <c r="W1169" i="1"/>
  <c r="W1170" i="1"/>
  <c r="W1171" i="1"/>
  <c r="W1172" i="1"/>
  <c r="W1173" i="1"/>
  <c r="W1174" i="1"/>
  <c r="W1175" i="1"/>
  <c r="W1176" i="1"/>
  <c r="W1177" i="1"/>
  <c r="W1178" i="1"/>
  <c r="W1179" i="1"/>
  <c r="W1180" i="1"/>
  <c r="W1181" i="1"/>
  <c r="W1182" i="1"/>
  <c r="W1183" i="1"/>
  <c r="W1184" i="1"/>
  <c r="W1185" i="1"/>
  <c r="W1186" i="1"/>
  <c r="W1187" i="1"/>
  <c r="W1188" i="1"/>
  <c r="W1189" i="1"/>
  <c r="W1190" i="1"/>
  <c r="W1191" i="1"/>
  <c r="W1192" i="1"/>
  <c r="W1193" i="1"/>
  <c r="W1194" i="1"/>
  <c r="W1195" i="1"/>
  <c r="W1196" i="1"/>
  <c r="W1197" i="1"/>
  <c r="W1198" i="1"/>
  <c r="W1199" i="1"/>
  <c r="W1200" i="1"/>
  <c r="W1201" i="1"/>
  <c r="W1202" i="1"/>
  <c r="W1203" i="1"/>
  <c r="W1204" i="1"/>
  <c r="W1205" i="1"/>
  <c r="W1206" i="1"/>
  <c r="W1207" i="1"/>
  <c r="W1208" i="1"/>
  <c r="W1209" i="1"/>
  <c r="W1210" i="1"/>
  <c r="W1211" i="1"/>
  <c r="W1212" i="1"/>
  <c r="W1213" i="1"/>
  <c r="W1214" i="1"/>
  <c r="W1215" i="1"/>
  <c r="W1216" i="1"/>
  <c r="W1217" i="1"/>
  <c r="W1218" i="1"/>
  <c r="W1219" i="1"/>
  <c r="W1220" i="1"/>
  <c r="W1221" i="1"/>
  <c r="W1222" i="1"/>
  <c r="W1223" i="1"/>
  <c r="W1224" i="1"/>
  <c r="W1225" i="1"/>
  <c r="W1226" i="1"/>
  <c r="W1227" i="1"/>
  <c r="W1228" i="1"/>
  <c r="W1229" i="1"/>
  <c r="W1230" i="1"/>
  <c r="W1231" i="1"/>
  <c r="W1232" i="1"/>
  <c r="W1233" i="1"/>
  <c r="W1234" i="1"/>
  <c r="W1235" i="1"/>
  <c r="W1236" i="1"/>
  <c r="W1237" i="1"/>
  <c r="W1238" i="1"/>
  <c r="W1239" i="1"/>
  <c r="W1240" i="1"/>
  <c r="W1241" i="1"/>
  <c r="W1242" i="1"/>
  <c r="W1243" i="1"/>
  <c r="W1244" i="1"/>
  <c r="W1245" i="1"/>
  <c r="W1246" i="1"/>
  <c r="W1247" i="1"/>
  <c r="W1248" i="1"/>
  <c r="W1249" i="1"/>
  <c r="W1250" i="1"/>
  <c r="W1251" i="1"/>
  <c r="W1252" i="1"/>
  <c r="W1253" i="1"/>
  <c r="W1254" i="1"/>
  <c r="W1255" i="1"/>
  <c r="W1256" i="1"/>
  <c r="W1257" i="1"/>
  <c r="W1258" i="1"/>
  <c r="W1259" i="1"/>
  <c r="W1260" i="1"/>
  <c r="W1261" i="1"/>
  <c r="W1262" i="1"/>
  <c r="W1263" i="1"/>
  <c r="W1264" i="1"/>
  <c r="W1265" i="1"/>
  <c r="W1266" i="1"/>
  <c r="W1267" i="1"/>
  <c r="W1268" i="1"/>
  <c r="W1269" i="1"/>
  <c r="W1270" i="1"/>
  <c r="W1271" i="1"/>
  <c r="W1272" i="1"/>
  <c r="W1273" i="1"/>
  <c r="W1274" i="1"/>
  <c r="W1275" i="1"/>
  <c r="W1276" i="1"/>
  <c r="W1277" i="1"/>
  <c r="W1278" i="1"/>
  <c r="W1279" i="1"/>
  <c r="W1280" i="1"/>
  <c r="W1281" i="1"/>
  <c r="W1282" i="1"/>
  <c r="W1283" i="1"/>
  <c r="W1284" i="1"/>
  <c r="W1285" i="1"/>
  <c r="W1286" i="1"/>
  <c r="W1287" i="1"/>
  <c r="W1288" i="1"/>
  <c r="W1289" i="1"/>
  <c r="W1290" i="1"/>
  <c r="W1291" i="1"/>
  <c r="W1292" i="1"/>
  <c r="W1293" i="1"/>
  <c r="W1294" i="1"/>
  <c r="W1295" i="1"/>
  <c r="W1296" i="1"/>
  <c r="W1297" i="1"/>
  <c r="W1298" i="1"/>
  <c r="W1299" i="1"/>
  <c r="W1300" i="1"/>
  <c r="W1301" i="1"/>
  <c r="W1302" i="1"/>
  <c r="W1303" i="1"/>
  <c r="W1304" i="1"/>
  <c r="W1305" i="1"/>
  <c r="W1306" i="1"/>
  <c r="W1307" i="1"/>
  <c r="W1308" i="1"/>
  <c r="W1309" i="1"/>
  <c r="W1310" i="1"/>
  <c r="W1311" i="1"/>
  <c r="W1312" i="1"/>
  <c r="W1313" i="1"/>
  <c r="W1314" i="1"/>
  <c r="W1315" i="1"/>
  <c r="W1316" i="1"/>
  <c r="W1317" i="1"/>
  <c r="W1318" i="1"/>
  <c r="W1319" i="1"/>
  <c r="W1320" i="1"/>
  <c r="W1321" i="1"/>
  <c r="W1322" i="1"/>
  <c r="W1323" i="1"/>
  <c r="W1324" i="1"/>
  <c r="W1325" i="1"/>
  <c r="W1326" i="1"/>
  <c r="W1327" i="1"/>
  <c r="W1328" i="1"/>
  <c r="W1329" i="1"/>
  <c r="W1330" i="1"/>
  <c r="W1331" i="1"/>
  <c r="W1332" i="1"/>
  <c r="W1333" i="1"/>
  <c r="W1334" i="1"/>
  <c r="W1335" i="1"/>
  <c r="W1336" i="1"/>
  <c r="W1337" i="1"/>
  <c r="W1338" i="1"/>
  <c r="W1339" i="1"/>
  <c r="W1340" i="1"/>
  <c r="W1341" i="1"/>
  <c r="W1342" i="1"/>
  <c r="W1343" i="1"/>
  <c r="W1344" i="1"/>
  <c r="W1345" i="1"/>
  <c r="W1346" i="1"/>
  <c r="W1347" i="1"/>
  <c r="W1348" i="1"/>
  <c r="W1349" i="1"/>
  <c r="W1350" i="1"/>
  <c r="W1351" i="1"/>
  <c r="W1352" i="1"/>
  <c r="W1353" i="1"/>
  <c r="W1354" i="1"/>
  <c r="W1355" i="1"/>
  <c r="W1356" i="1"/>
  <c r="W1357" i="1"/>
  <c r="W1358" i="1"/>
  <c r="W1359" i="1"/>
  <c r="W1360" i="1"/>
  <c r="W1361" i="1"/>
  <c r="W1362" i="1"/>
  <c r="W1363" i="1"/>
  <c r="W1364" i="1"/>
  <c r="W1365" i="1"/>
  <c r="W1366" i="1"/>
  <c r="W1367" i="1"/>
  <c r="W1368" i="1"/>
  <c r="W1369" i="1"/>
  <c r="W1370" i="1"/>
  <c r="W1371" i="1"/>
  <c r="W1372" i="1"/>
  <c r="W1373" i="1"/>
  <c r="W1374" i="1"/>
  <c r="W1375" i="1"/>
  <c r="W1376" i="1"/>
  <c r="W1377" i="1"/>
  <c r="W1378" i="1"/>
  <c r="W1379" i="1"/>
  <c r="W1380" i="1"/>
  <c r="W1381" i="1"/>
  <c r="W1382" i="1"/>
  <c r="W1383" i="1"/>
  <c r="W1384" i="1"/>
  <c r="W1385" i="1"/>
  <c r="W1386" i="1"/>
  <c r="W1387" i="1"/>
  <c r="W1388" i="1"/>
  <c r="W1389" i="1"/>
  <c r="W1390" i="1"/>
  <c r="W1391" i="1"/>
  <c r="W1392" i="1"/>
  <c r="W1393" i="1"/>
  <c r="W1394" i="1"/>
  <c r="W1395" i="1"/>
  <c r="W1396" i="1"/>
  <c r="W1397" i="1"/>
  <c r="W1398" i="1"/>
  <c r="W1399" i="1"/>
  <c r="W1400" i="1"/>
  <c r="W1401" i="1"/>
  <c r="W1402" i="1"/>
  <c r="W1403" i="1"/>
  <c r="W1404" i="1"/>
  <c r="W1405" i="1"/>
  <c r="W1406" i="1"/>
  <c r="W1407" i="1"/>
  <c r="W1408" i="1"/>
  <c r="W1409" i="1"/>
  <c r="W1410" i="1"/>
  <c r="W1411" i="1"/>
  <c r="W1412" i="1"/>
  <c r="W1413" i="1"/>
  <c r="W1414" i="1"/>
  <c r="W1415" i="1"/>
  <c r="W1416" i="1"/>
  <c r="W1417" i="1"/>
  <c r="W1418" i="1"/>
  <c r="W1419" i="1"/>
  <c r="W1420" i="1"/>
  <c r="W1421" i="1"/>
  <c r="W1422" i="1"/>
  <c r="W1423" i="1"/>
  <c r="W1424" i="1"/>
  <c r="W1425" i="1"/>
  <c r="W1426" i="1"/>
  <c r="W1427" i="1"/>
  <c r="W1428" i="1"/>
  <c r="W1429" i="1"/>
  <c r="W1430" i="1"/>
  <c r="W1431" i="1"/>
  <c r="W1432" i="1"/>
  <c r="W1433" i="1"/>
  <c r="W1434" i="1"/>
  <c r="W1435" i="1"/>
  <c r="W1436" i="1"/>
  <c r="W1437" i="1"/>
  <c r="W1438" i="1"/>
  <c r="W1439" i="1"/>
  <c r="W1440" i="1"/>
  <c r="W1441" i="1"/>
  <c r="W1442" i="1"/>
  <c r="W1443" i="1"/>
  <c r="W1444" i="1"/>
  <c r="W1445" i="1"/>
  <c r="W1446" i="1"/>
  <c r="W1447" i="1"/>
  <c r="W1448" i="1"/>
  <c r="W1449" i="1"/>
  <c r="W1450" i="1"/>
  <c r="W1451" i="1"/>
  <c r="W1452" i="1"/>
  <c r="W1453" i="1"/>
  <c r="W1454" i="1"/>
  <c r="W1455" i="1"/>
  <c r="W1456" i="1"/>
  <c r="W1457" i="1"/>
  <c r="W1458" i="1"/>
  <c r="W1459" i="1"/>
  <c r="W1460" i="1"/>
  <c r="W1461" i="1"/>
  <c r="W1462" i="1"/>
  <c r="W1463" i="1"/>
  <c r="W1464" i="1"/>
  <c r="W1465" i="1"/>
  <c r="W1466" i="1"/>
  <c r="W1467" i="1"/>
  <c r="W1468" i="1"/>
  <c r="W1469" i="1"/>
  <c r="W1470" i="1"/>
  <c r="W1471" i="1"/>
  <c r="W1472" i="1"/>
  <c r="W1473" i="1"/>
  <c r="W1474" i="1"/>
  <c r="W1475" i="1"/>
  <c r="W1476" i="1"/>
  <c r="W1477" i="1"/>
  <c r="W1478" i="1"/>
  <c r="W1479" i="1"/>
  <c r="W1480" i="1"/>
  <c r="W1481" i="1"/>
  <c r="W1482" i="1"/>
  <c r="W1483" i="1"/>
  <c r="W1484" i="1"/>
  <c r="W1485" i="1"/>
  <c r="W1486" i="1"/>
  <c r="W1487" i="1"/>
  <c r="W1488" i="1"/>
  <c r="W1489" i="1"/>
  <c r="W1490" i="1"/>
  <c r="W1491" i="1"/>
  <c r="W1492" i="1"/>
  <c r="W1493" i="1"/>
  <c r="W1494" i="1"/>
  <c r="W1495" i="1"/>
  <c r="W1496" i="1"/>
  <c r="W1497" i="1"/>
  <c r="W1498" i="1"/>
  <c r="W1499" i="1"/>
  <c r="W1500" i="1"/>
  <c r="W1501" i="1"/>
  <c r="W1502" i="1"/>
  <c r="W1503" i="1"/>
  <c r="W1504" i="1"/>
  <c r="W1505" i="1"/>
  <c r="W1506" i="1"/>
  <c r="W1507" i="1"/>
  <c r="W1508" i="1"/>
  <c r="W1509" i="1"/>
  <c r="W1510" i="1"/>
  <c r="W1511" i="1"/>
  <c r="W1512" i="1"/>
  <c r="W1513" i="1"/>
  <c r="W1514" i="1"/>
  <c r="W1515" i="1"/>
  <c r="W1516" i="1"/>
  <c r="W1517" i="1"/>
  <c r="W1518" i="1"/>
  <c r="W1519" i="1"/>
  <c r="W1520" i="1"/>
  <c r="W1521" i="1"/>
  <c r="W1522" i="1"/>
  <c r="W1523" i="1"/>
  <c r="W1524" i="1"/>
  <c r="W1525" i="1"/>
  <c r="W1526" i="1"/>
  <c r="W1527" i="1"/>
  <c r="W1528" i="1"/>
  <c r="W1529" i="1"/>
  <c r="W1530" i="1"/>
  <c r="W1531" i="1"/>
  <c r="W1532" i="1"/>
  <c r="W1533" i="1"/>
  <c r="W1534" i="1"/>
  <c r="W1535" i="1"/>
  <c r="W1536" i="1"/>
  <c r="W1537" i="1"/>
  <c r="W1538" i="1"/>
  <c r="W1539" i="1"/>
  <c r="W1540" i="1"/>
  <c r="W1541" i="1"/>
  <c r="W1542" i="1"/>
  <c r="W1543" i="1"/>
  <c r="W1544" i="1"/>
  <c r="W1545" i="1"/>
  <c r="W1546" i="1"/>
  <c r="W1547" i="1"/>
  <c r="W1548" i="1"/>
  <c r="W1549" i="1"/>
  <c r="W1550" i="1"/>
  <c r="W1551" i="1"/>
  <c r="W1552" i="1"/>
  <c r="W1553" i="1"/>
  <c r="W1554" i="1"/>
  <c r="W1555" i="1"/>
  <c r="W1556" i="1"/>
  <c r="W1557" i="1"/>
  <c r="W1558" i="1"/>
  <c r="W1559" i="1"/>
  <c r="W1560" i="1"/>
  <c r="W1561" i="1"/>
  <c r="W1562" i="1"/>
  <c r="W1563" i="1"/>
  <c r="W1564" i="1"/>
  <c r="W1565" i="1"/>
  <c r="W1566" i="1"/>
  <c r="W1567" i="1"/>
  <c r="W1568" i="1"/>
  <c r="W1569" i="1"/>
  <c r="W1570" i="1"/>
  <c r="W1571" i="1"/>
  <c r="W1572" i="1"/>
  <c r="W1573" i="1"/>
  <c r="W1574" i="1"/>
  <c r="W1575" i="1"/>
  <c r="W1576" i="1"/>
  <c r="W1577" i="1"/>
  <c r="W1578" i="1"/>
  <c r="W1579" i="1"/>
  <c r="W1580" i="1"/>
  <c r="W1581" i="1"/>
  <c r="W1582" i="1"/>
  <c r="W1583" i="1"/>
  <c r="W1584" i="1"/>
  <c r="W1585" i="1"/>
  <c r="W1586" i="1"/>
  <c r="W1587" i="1"/>
  <c r="W1588" i="1"/>
  <c r="W1589" i="1"/>
  <c r="W1590" i="1"/>
  <c r="W1591" i="1"/>
  <c r="W1592" i="1"/>
  <c r="W1593" i="1"/>
  <c r="W1594" i="1"/>
  <c r="W1595" i="1"/>
  <c r="W1596" i="1"/>
  <c r="W1597" i="1"/>
  <c r="W1598" i="1"/>
  <c r="W1599" i="1"/>
  <c r="W1600" i="1"/>
  <c r="W1601" i="1"/>
  <c r="W1602" i="1"/>
  <c r="W1603" i="1"/>
  <c r="W1604" i="1"/>
  <c r="W1605" i="1"/>
  <c r="W1606" i="1"/>
  <c r="W1607" i="1"/>
  <c r="W1608" i="1"/>
  <c r="W1609" i="1"/>
  <c r="W1610" i="1"/>
  <c r="W1611" i="1"/>
  <c r="W1612" i="1"/>
  <c r="W1613" i="1"/>
  <c r="W1614" i="1"/>
  <c r="W1615" i="1"/>
  <c r="W1616" i="1"/>
  <c r="W1617" i="1"/>
  <c r="W1618" i="1"/>
  <c r="W1619" i="1"/>
  <c r="W1620" i="1"/>
  <c r="W1621" i="1"/>
  <c r="W1622" i="1"/>
  <c r="W1623" i="1"/>
  <c r="W1624" i="1"/>
  <c r="W1625" i="1"/>
  <c r="W1626" i="1"/>
  <c r="W1627" i="1"/>
  <c r="W1628" i="1"/>
  <c r="W1629" i="1"/>
  <c r="W1630" i="1"/>
  <c r="W1631" i="1"/>
  <c r="W1632" i="1"/>
  <c r="W1633" i="1"/>
  <c r="W1634" i="1"/>
  <c r="W1635" i="1"/>
  <c r="W1636" i="1"/>
  <c r="W1637" i="1"/>
  <c r="W1638" i="1"/>
  <c r="W1639" i="1"/>
  <c r="W1640" i="1"/>
  <c r="W1641" i="1"/>
  <c r="W1642" i="1"/>
  <c r="W1643" i="1"/>
  <c r="W1644" i="1"/>
  <c r="W1645" i="1"/>
  <c r="W1646" i="1"/>
  <c r="W1647" i="1"/>
  <c r="W1648" i="1"/>
  <c r="W1649" i="1"/>
  <c r="W1650" i="1"/>
  <c r="W1651" i="1"/>
  <c r="W1652" i="1"/>
  <c r="W1653" i="1"/>
  <c r="W1654" i="1"/>
  <c r="W1655" i="1"/>
  <c r="W1656" i="1"/>
  <c r="W1657" i="1"/>
  <c r="W1658" i="1"/>
  <c r="W1659" i="1"/>
  <c r="W1660" i="1"/>
  <c r="W1661" i="1"/>
  <c r="W1662" i="1"/>
  <c r="W1663" i="1"/>
  <c r="W1664" i="1"/>
  <c r="W1665" i="1"/>
  <c r="W1666" i="1"/>
  <c r="W1667" i="1"/>
  <c r="W1668" i="1"/>
  <c r="W1669" i="1"/>
  <c r="W1670" i="1"/>
  <c r="W1671" i="1"/>
  <c r="W1672" i="1"/>
  <c r="W1673" i="1"/>
  <c r="W1674" i="1"/>
  <c r="W1675" i="1"/>
  <c r="W1676" i="1"/>
  <c r="W1677" i="1"/>
  <c r="W1678" i="1"/>
  <c r="W1679" i="1"/>
  <c r="W1680" i="1"/>
  <c r="W1681" i="1"/>
  <c r="W1682" i="1"/>
  <c r="W1683" i="1"/>
  <c r="W1684" i="1"/>
  <c r="W1685" i="1"/>
  <c r="W1686" i="1"/>
  <c r="W1687" i="1"/>
  <c r="W1688" i="1"/>
  <c r="W1689" i="1"/>
  <c r="W1690" i="1"/>
  <c r="W1691" i="1"/>
  <c r="W1692" i="1"/>
  <c r="W1693" i="1"/>
  <c r="W1694" i="1"/>
  <c r="W1695" i="1"/>
  <c r="W1696" i="1"/>
  <c r="W1697" i="1"/>
  <c r="W1698" i="1"/>
  <c r="W1699" i="1"/>
  <c r="W1700" i="1"/>
  <c r="W1701" i="1"/>
  <c r="W1702" i="1"/>
  <c r="W1703" i="1"/>
  <c r="W1704" i="1"/>
  <c r="W1705" i="1"/>
  <c r="W1706" i="1"/>
  <c r="W1707" i="1"/>
  <c r="W1708" i="1"/>
  <c r="W1709" i="1"/>
  <c r="W1710" i="1"/>
  <c r="W1711" i="1"/>
  <c r="W1712" i="1"/>
  <c r="W1713" i="1"/>
  <c r="W1714" i="1"/>
  <c r="W1715" i="1"/>
  <c r="W1716" i="1"/>
  <c r="W1717" i="1"/>
  <c r="W1718" i="1"/>
  <c r="W1719" i="1"/>
  <c r="W1720" i="1"/>
  <c r="W1721" i="1"/>
  <c r="W1722" i="1"/>
  <c r="W1723" i="1"/>
  <c r="W1724" i="1"/>
  <c r="W1725" i="1"/>
  <c r="W1726" i="1"/>
  <c r="W1727" i="1"/>
  <c r="W1728" i="1"/>
  <c r="W1729" i="1"/>
  <c r="W1730" i="1"/>
  <c r="W1731" i="1"/>
  <c r="W1732" i="1"/>
  <c r="W1733" i="1"/>
  <c r="W1734" i="1"/>
  <c r="W1735" i="1"/>
  <c r="W1736" i="1"/>
  <c r="W1737" i="1"/>
  <c r="W1738" i="1"/>
  <c r="W1739" i="1"/>
  <c r="W1740" i="1"/>
  <c r="W1741" i="1"/>
  <c r="W1742" i="1"/>
  <c r="W1743" i="1"/>
  <c r="W1744" i="1"/>
  <c r="W1745" i="1"/>
  <c r="W1746" i="1"/>
  <c r="W1747" i="1"/>
  <c r="W1748" i="1"/>
  <c r="W1749" i="1"/>
  <c r="W1750" i="1"/>
  <c r="W1751" i="1"/>
  <c r="W1752" i="1"/>
  <c r="W1753" i="1"/>
  <c r="W1754" i="1"/>
  <c r="W1755" i="1"/>
  <c r="W1756" i="1"/>
  <c r="W1757" i="1"/>
  <c r="W1758" i="1"/>
  <c r="W1759" i="1"/>
  <c r="W1760" i="1"/>
  <c r="W1761" i="1"/>
  <c r="W1762" i="1"/>
  <c r="W1763" i="1"/>
  <c r="W1764" i="1"/>
  <c r="W1765" i="1"/>
  <c r="W1766" i="1"/>
  <c r="W1767" i="1"/>
  <c r="W1768" i="1"/>
  <c r="W1769" i="1"/>
  <c r="W1770" i="1"/>
  <c r="W1771" i="1"/>
  <c r="W1772" i="1"/>
  <c r="W1773" i="1"/>
  <c r="W1774" i="1"/>
  <c r="W1775" i="1"/>
  <c r="W1776" i="1"/>
  <c r="W1777" i="1"/>
  <c r="W1778" i="1"/>
  <c r="W1779" i="1"/>
  <c r="W1780" i="1"/>
  <c r="W1781" i="1"/>
  <c r="W1782" i="1"/>
  <c r="W1783" i="1"/>
  <c r="W1784" i="1"/>
  <c r="W1785" i="1"/>
  <c r="W1786" i="1"/>
  <c r="W1787" i="1"/>
  <c r="W1788" i="1"/>
  <c r="W1789" i="1"/>
  <c r="W1790" i="1"/>
  <c r="W1791" i="1"/>
  <c r="W1792" i="1"/>
  <c r="W1793" i="1"/>
  <c r="W1794" i="1"/>
  <c r="W1795" i="1"/>
  <c r="W1796" i="1"/>
  <c r="W1797" i="1"/>
  <c r="W1798" i="1"/>
  <c r="W1799" i="1"/>
  <c r="W1800" i="1"/>
  <c r="W1801" i="1"/>
  <c r="W1802" i="1"/>
  <c r="W1803" i="1"/>
  <c r="W1804" i="1"/>
  <c r="W1805" i="1"/>
  <c r="W1806" i="1"/>
  <c r="W1807" i="1"/>
  <c r="W1808" i="1"/>
  <c r="W1809" i="1"/>
  <c r="W1810" i="1"/>
  <c r="W1811" i="1"/>
  <c r="W1812" i="1"/>
  <c r="W1813" i="1"/>
  <c r="W1814" i="1"/>
  <c r="W1815" i="1"/>
  <c r="W1816" i="1"/>
  <c r="W1817" i="1"/>
  <c r="W1818" i="1"/>
  <c r="W1819" i="1"/>
  <c r="W1820" i="1"/>
  <c r="W1821" i="1"/>
  <c r="W1822" i="1"/>
  <c r="W1823" i="1"/>
  <c r="W1824" i="1"/>
  <c r="W1825" i="1"/>
  <c r="W1826" i="1"/>
  <c r="W1827" i="1"/>
  <c r="W1828" i="1"/>
  <c r="W1829" i="1"/>
  <c r="W1830" i="1"/>
  <c r="W1831" i="1"/>
  <c r="W1832" i="1"/>
  <c r="W1833" i="1"/>
  <c r="W1834" i="1"/>
  <c r="W1835" i="1"/>
  <c r="W1836" i="1"/>
  <c r="W1837" i="1"/>
  <c r="W1838" i="1"/>
  <c r="W1839" i="1"/>
  <c r="W1840" i="1"/>
  <c r="W1841" i="1"/>
  <c r="W1842" i="1"/>
  <c r="W1843" i="1"/>
  <c r="W1844" i="1"/>
  <c r="W1845" i="1"/>
  <c r="W1846" i="1"/>
  <c r="W1847" i="1"/>
  <c r="W1848" i="1"/>
  <c r="W1849" i="1"/>
  <c r="W1850" i="1"/>
  <c r="W1851" i="1"/>
  <c r="W1852" i="1"/>
  <c r="W1853" i="1"/>
  <c r="W1854" i="1"/>
  <c r="W1855" i="1"/>
  <c r="W1856" i="1"/>
  <c r="W1857" i="1"/>
  <c r="W1858" i="1"/>
  <c r="W1859" i="1"/>
  <c r="W1860" i="1"/>
  <c r="W1861" i="1"/>
  <c r="W1862" i="1"/>
  <c r="W1863" i="1"/>
  <c r="W1864" i="1"/>
  <c r="W1865" i="1"/>
  <c r="W1866" i="1"/>
  <c r="W1867" i="1"/>
  <c r="W1868" i="1"/>
  <c r="W1869" i="1"/>
  <c r="W1870" i="1"/>
  <c r="W1871" i="1"/>
  <c r="W1872" i="1"/>
  <c r="W1873" i="1"/>
  <c r="W1874" i="1"/>
  <c r="W1875" i="1"/>
  <c r="W1876" i="1"/>
  <c r="W1877" i="1"/>
  <c r="W1878" i="1"/>
  <c r="W1879" i="1"/>
  <c r="W1880" i="1"/>
  <c r="W1881" i="1"/>
  <c r="W1882" i="1"/>
  <c r="W1883" i="1"/>
  <c r="W1884" i="1"/>
  <c r="W1885" i="1"/>
  <c r="W1886" i="1"/>
  <c r="W1887" i="1"/>
  <c r="W1888" i="1"/>
  <c r="W1889" i="1"/>
  <c r="W1890" i="1"/>
  <c r="W1891" i="1"/>
  <c r="W1892" i="1"/>
  <c r="W1893" i="1"/>
  <c r="W1894" i="1"/>
  <c r="W1895" i="1"/>
  <c r="W1896" i="1"/>
  <c r="W1897" i="1"/>
  <c r="W1898" i="1"/>
  <c r="W1899" i="1"/>
  <c r="W1900" i="1"/>
  <c r="W1901" i="1"/>
  <c r="W1902" i="1"/>
  <c r="W1903" i="1"/>
  <c r="W1904" i="1"/>
  <c r="W1905" i="1"/>
  <c r="W1906" i="1"/>
  <c r="W1907" i="1"/>
  <c r="W1908" i="1"/>
  <c r="W1909" i="1"/>
  <c r="W1910" i="1"/>
  <c r="W1911" i="1"/>
  <c r="W1912" i="1"/>
  <c r="W1913" i="1"/>
  <c r="W1914" i="1"/>
  <c r="W1915" i="1"/>
  <c r="W1916" i="1"/>
  <c r="W1917" i="1"/>
  <c r="W1918" i="1"/>
  <c r="W1919" i="1"/>
  <c r="W1920" i="1"/>
  <c r="W1921" i="1"/>
  <c r="W1922" i="1"/>
  <c r="W1923" i="1"/>
  <c r="W1924" i="1"/>
  <c r="W1925" i="1"/>
  <c r="W1926" i="1"/>
  <c r="W1927" i="1"/>
  <c r="W1928" i="1"/>
  <c r="W1929" i="1"/>
  <c r="W1930" i="1"/>
  <c r="W1931" i="1"/>
  <c r="W1932" i="1"/>
  <c r="W1933" i="1"/>
  <c r="W1934" i="1"/>
  <c r="W1935" i="1"/>
  <c r="W1936" i="1"/>
  <c r="W1937" i="1"/>
  <c r="W1938" i="1"/>
  <c r="W1939" i="1"/>
  <c r="W1940" i="1"/>
  <c r="W1941" i="1"/>
  <c r="W1942" i="1"/>
  <c r="W1943" i="1"/>
  <c r="W1944" i="1"/>
  <c r="W1945" i="1"/>
  <c r="W1946" i="1"/>
  <c r="W1947" i="1"/>
  <c r="W1948" i="1"/>
  <c r="W1949" i="1"/>
  <c r="W1950" i="1"/>
  <c r="W1951" i="1"/>
  <c r="W1952" i="1"/>
  <c r="W1953" i="1"/>
  <c r="W1954" i="1"/>
  <c r="W1955" i="1"/>
  <c r="W1956" i="1"/>
  <c r="W1957" i="1"/>
  <c r="W1958" i="1"/>
  <c r="W1959" i="1"/>
  <c r="W1960" i="1"/>
  <c r="W1961" i="1"/>
  <c r="W1962" i="1"/>
  <c r="W1963" i="1"/>
  <c r="W1964" i="1"/>
  <c r="W1965" i="1"/>
  <c r="W1966" i="1"/>
  <c r="W1967" i="1"/>
  <c r="W1968" i="1"/>
  <c r="W1969" i="1"/>
  <c r="W1970" i="1"/>
  <c r="W1971" i="1"/>
  <c r="W1972" i="1"/>
  <c r="W1973" i="1"/>
  <c r="W1974" i="1"/>
  <c r="W1975" i="1"/>
  <c r="W1976" i="1"/>
  <c r="W1977" i="1"/>
  <c r="W1978" i="1"/>
  <c r="W1979" i="1"/>
  <c r="W1980" i="1"/>
  <c r="W1981" i="1"/>
  <c r="W1982" i="1"/>
  <c r="W1983" i="1"/>
  <c r="W1984" i="1"/>
  <c r="W1985" i="1"/>
  <c r="W1986" i="1"/>
  <c r="W1987" i="1"/>
  <c r="W1988" i="1"/>
  <c r="W1989" i="1"/>
  <c r="W1990" i="1"/>
  <c r="W1991" i="1"/>
  <c r="W1992" i="1"/>
  <c r="W1993" i="1"/>
  <c r="W1994" i="1"/>
  <c r="W1995" i="1"/>
  <c r="W1996" i="1"/>
  <c r="W1997" i="1"/>
  <c r="W1998" i="1"/>
  <c r="W1999" i="1"/>
  <c r="W2000" i="1"/>
  <c r="W2001" i="1"/>
  <c r="W2002" i="1"/>
  <c r="W2003" i="1"/>
  <c r="W2004" i="1"/>
  <c r="W2005" i="1"/>
  <c r="W2006" i="1"/>
  <c r="W2007" i="1"/>
  <c r="W2008" i="1"/>
  <c r="W2009" i="1"/>
  <c r="W2010" i="1"/>
  <c r="W2011" i="1"/>
  <c r="W2012" i="1"/>
  <c r="W2013" i="1"/>
  <c r="W2014" i="1"/>
  <c r="W2015" i="1"/>
  <c r="W2016" i="1"/>
  <c r="W2017" i="1"/>
  <c r="W2018" i="1"/>
  <c r="W2019" i="1"/>
  <c r="W2020" i="1"/>
  <c r="W2021" i="1"/>
  <c r="W2022" i="1"/>
  <c r="W2023" i="1"/>
  <c r="W2024" i="1"/>
  <c r="W2025" i="1"/>
  <c r="W2026" i="1"/>
  <c r="W2027" i="1"/>
  <c r="W2028" i="1"/>
  <c r="W2029" i="1"/>
  <c r="W2030" i="1"/>
  <c r="W2031" i="1"/>
  <c r="W2032" i="1"/>
  <c r="W2033" i="1"/>
  <c r="W2034" i="1"/>
  <c r="W2035" i="1"/>
  <c r="W2036" i="1"/>
  <c r="W2037" i="1"/>
  <c r="W2038" i="1"/>
  <c r="W2039" i="1"/>
  <c r="W2040" i="1"/>
  <c r="W2041" i="1"/>
  <c r="W2042" i="1"/>
  <c r="W2043" i="1"/>
  <c r="W2044" i="1"/>
  <c r="W2045" i="1"/>
  <c r="W2046" i="1"/>
  <c r="W2047" i="1"/>
  <c r="W2048" i="1"/>
  <c r="W2049" i="1"/>
  <c r="W2050" i="1"/>
  <c r="W2051" i="1"/>
  <c r="W2052" i="1"/>
  <c r="W2053" i="1"/>
  <c r="W2054" i="1"/>
  <c r="W2055" i="1"/>
  <c r="W2056" i="1"/>
  <c r="W2057" i="1"/>
  <c r="W2058" i="1"/>
  <c r="W2059" i="1"/>
  <c r="W2060" i="1"/>
  <c r="W2061" i="1"/>
  <c r="W2062" i="1"/>
  <c r="W2063" i="1"/>
  <c r="W2064" i="1"/>
  <c r="W2065" i="1"/>
  <c r="W2066" i="1"/>
  <c r="W2067" i="1"/>
  <c r="W2068" i="1"/>
  <c r="W2069" i="1"/>
  <c r="W2070" i="1"/>
  <c r="W2071" i="1"/>
  <c r="W2072" i="1"/>
  <c r="W2073" i="1"/>
  <c r="W2074" i="1"/>
  <c r="W2075" i="1"/>
  <c r="W2076" i="1"/>
  <c r="W2077" i="1"/>
  <c r="W2078" i="1"/>
  <c r="W2079" i="1"/>
  <c r="W2080" i="1"/>
  <c r="W2081" i="1"/>
  <c r="W2082" i="1"/>
  <c r="W2083" i="1"/>
  <c r="W2084" i="1"/>
  <c r="W2085" i="1"/>
  <c r="W2086" i="1"/>
  <c r="W2087" i="1"/>
  <c r="W2088" i="1"/>
  <c r="W2089" i="1"/>
  <c r="W2090" i="1"/>
  <c r="W2091" i="1"/>
  <c r="W2092" i="1"/>
  <c r="W2093" i="1"/>
  <c r="W2094" i="1"/>
  <c r="W2095" i="1"/>
  <c r="W2096" i="1"/>
  <c r="W2097" i="1"/>
  <c r="W2098" i="1"/>
  <c r="W2099" i="1"/>
  <c r="W2100" i="1"/>
  <c r="W2101" i="1"/>
  <c r="W2102" i="1"/>
  <c r="W2103" i="1"/>
  <c r="W2104" i="1"/>
  <c r="W2105" i="1"/>
  <c r="W2106" i="1"/>
  <c r="W2107" i="1"/>
  <c r="W2108" i="1"/>
  <c r="W2109" i="1"/>
  <c r="W2110" i="1"/>
  <c r="W2111" i="1"/>
  <c r="W2112" i="1"/>
  <c r="W2113" i="1"/>
  <c r="W2114" i="1"/>
  <c r="W2115" i="1"/>
  <c r="W2116" i="1"/>
  <c r="W2117" i="1"/>
  <c r="W2118" i="1"/>
  <c r="W2119" i="1"/>
  <c r="W2120" i="1"/>
  <c r="W2121" i="1"/>
  <c r="W2122" i="1"/>
  <c r="W2123" i="1"/>
  <c r="W2124" i="1"/>
  <c r="W2125" i="1"/>
  <c r="W2126" i="1"/>
  <c r="W2127" i="1"/>
  <c r="W2128" i="1"/>
  <c r="W2129" i="1"/>
  <c r="W2130" i="1"/>
  <c r="W2131" i="1"/>
  <c r="W2132" i="1"/>
  <c r="W2133" i="1"/>
  <c r="W2134" i="1"/>
  <c r="W2135" i="1"/>
  <c r="W2136" i="1"/>
  <c r="W2137" i="1"/>
  <c r="W2138" i="1"/>
  <c r="W2139" i="1"/>
  <c r="W2140" i="1"/>
  <c r="W2141" i="1"/>
  <c r="W2142" i="1"/>
  <c r="W2143" i="1"/>
  <c r="W2144" i="1"/>
  <c r="W2145" i="1"/>
  <c r="W2146" i="1"/>
  <c r="W2147" i="1"/>
  <c r="W2148" i="1"/>
  <c r="W2149" i="1"/>
  <c r="W2150" i="1"/>
  <c r="W2151" i="1"/>
  <c r="W2152" i="1"/>
  <c r="W2153" i="1"/>
  <c r="W2154" i="1"/>
  <c r="W2155" i="1"/>
  <c r="W2156" i="1"/>
  <c r="W2157" i="1"/>
  <c r="W2158" i="1"/>
  <c r="W2159" i="1"/>
  <c r="W2160" i="1"/>
  <c r="W2161" i="1"/>
  <c r="W2162" i="1"/>
  <c r="W2163" i="1"/>
  <c r="W2164" i="1"/>
  <c r="W2165" i="1"/>
  <c r="W2166" i="1"/>
  <c r="W2167" i="1"/>
  <c r="W2168" i="1"/>
  <c r="W2169" i="1"/>
  <c r="W2170" i="1"/>
  <c r="W2171" i="1"/>
  <c r="W2172" i="1"/>
  <c r="W2173" i="1"/>
  <c r="W2174" i="1"/>
  <c r="W2175" i="1"/>
  <c r="W2176" i="1"/>
  <c r="W2177" i="1"/>
  <c r="W2178" i="1"/>
  <c r="W2179" i="1"/>
  <c r="W2180" i="1"/>
  <c r="W2181" i="1"/>
  <c r="W2182" i="1"/>
  <c r="W2183" i="1"/>
  <c r="W2184" i="1"/>
  <c r="W2185" i="1"/>
  <c r="W2186" i="1"/>
  <c r="W2187" i="1"/>
  <c r="W2188" i="1"/>
  <c r="W2189" i="1"/>
  <c r="W2190" i="1"/>
  <c r="W2191" i="1"/>
  <c r="W2192" i="1"/>
  <c r="W2193" i="1"/>
  <c r="W2194" i="1"/>
  <c r="W2195" i="1"/>
  <c r="W2196" i="1"/>
  <c r="W2197" i="1"/>
  <c r="W2198" i="1"/>
  <c r="W2199" i="1"/>
  <c r="W2200" i="1"/>
  <c r="W2201" i="1"/>
  <c r="W2202" i="1"/>
  <c r="W2203" i="1"/>
  <c r="W2204" i="1"/>
  <c r="W2205" i="1"/>
  <c r="W2206" i="1"/>
  <c r="W2207" i="1"/>
  <c r="W2208" i="1"/>
  <c r="W2209" i="1"/>
  <c r="W2210" i="1"/>
  <c r="W2211" i="1"/>
  <c r="W2212" i="1"/>
  <c r="W2213" i="1"/>
  <c r="W2214" i="1"/>
  <c r="W2215" i="1"/>
  <c r="W2216" i="1"/>
  <c r="W2217" i="1"/>
  <c r="W2218" i="1"/>
  <c r="W2219" i="1"/>
  <c r="W2220" i="1"/>
  <c r="W2221" i="1"/>
  <c r="W2222" i="1"/>
  <c r="W2223" i="1"/>
  <c r="W2224" i="1"/>
  <c r="W2225" i="1"/>
  <c r="W2226" i="1"/>
  <c r="W2227" i="1"/>
  <c r="W2228" i="1"/>
  <c r="W2229" i="1"/>
  <c r="W2230" i="1"/>
  <c r="W2231" i="1"/>
  <c r="W2232" i="1"/>
  <c r="W2233" i="1"/>
  <c r="W2234" i="1"/>
  <c r="W2235" i="1"/>
  <c r="W2236" i="1"/>
  <c r="W2237" i="1"/>
  <c r="W2238" i="1"/>
  <c r="W2239" i="1"/>
  <c r="W2240" i="1"/>
  <c r="W2241" i="1"/>
  <c r="W2242" i="1"/>
  <c r="W2243" i="1"/>
  <c r="W2244" i="1"/>
  <c r="W2245" i="1"/>
  <c r="W2246" i="1"/>
  <c r="W2247" i="1"/>
  <c r="W2248" i="1"/>
  <c r="W2249" i="1"/>
  <c r="W2250" i="1"/>
  <c r="W2251" i="1"/>
  <c r="W2252" i="1"/>
  <c r="W2253" i="1"/>
  <c r="W2254" i="1"/>
  <c r="W2255" i="1"/>
  <c r="W2256" i="1"/>
  <c r="W2257" i="1"/>
  <c r="W2258" i="1"/>
  <c r="W2259" i="1"/>
  <c r="W2260" i="1"/>
  <c r="W2261" i="1"/>
  <c r="W2262" i="1"/>
  <c r="W2263" i="1"/>
  <c r="W2264" i="1"/>
  <c r="W2265" i="1"/>
  <c r="W2266" i="1"/>
  <c r="W2267" i="1"/>
  <c r="W2268" i="1"/>
  <c r="W2269" i="1"/>
  <c r="W2270" i="1"/>
  <c r="W2271" i="1"/>
  <c r="W2272" i="1"/>
  <c r="W2273" i="1"/>
  <c r="W2274" i="1"/>
  <c r="W2275" i="1"/>
  <c r="W2276" i="1"/>
  <c r="W2277" i="1"/>
  <c r="W2278" i="1"/>
  <c r="W2279" i="1"/>
  <c r="W2280" i="1"/>
  <c r="W2281" i="1"/>
  <c r="W2282" i="1"/>
  <c r="W2283" i="1"/>
  <c r="W2284" i="1"/>
  <c r="W2285" i="1"/>
  <c r="W2286" i="1"/>
  <c r="W2287" i="1"/>
  <c r="W2288" i="1"/>
  <c r="W2289" i="1"/>
  <c r="W2290" i="1"/>
  <c r="W2291" i="1"/>
  <c r="W2292" i="1"/>
  <c r="W2293" i="1"/>
  <c r="W2294" i="1"/>
  <c r="W2295" i="1"/>
  <c r="W2296" i="1"/>
  <c r="W2297" i="1"/>
  <c r="W2298" i="1"/>
  <c r="W2299" i="1"/>
  <c r="W2300" i="1"/>
  <c r="W2301" i="1"/>
  <c r="W2302" i="1"/>
  <c r="W2303" i="1"/>
  <c r="W2304" i="1"/>
  <c r="W2305" i="1"/>
  <c r="W2306" i="1"/>
  <c r="W2307" i="1"/>
  <c r="W2308" i="1"/>
  <c r="W2309" i="1"/>
  <c r="W2310" i="1"/>
  <c r="W2311" i="1"/>
  <c r="W2312" i="1"/>
  <c r="W2313" i="1"/>
  <c r="W2314" i="1"/>
  <c r="W2315" i="1"/>
  <c r="W2316" i="1"/>
  <c r="W2317" i="1"/>
  <c r="W2318" i="1"/>
  <c r="W2319" i="1"/>
  <c r="W2320" i="1"/>
  <c r="W2321" i="1"/>
  <c r="W2322" i="1"/>
  <c r="W2323" i="1"/>
  <c r="W2324" i="1"/>
  <c r="W2325" i="1"/>
  <c r="W2326" i="1"/>
  <c r="W2327" i="1"/>
  <c r="W2328" i="1"/>
  <c r="W2329" i="1"/>
  <c r="W2330" i="1"/>
  <c r="W2331" i="1"/>
  <c r="W2332" i="1"/>
  <c r="W2333" i="1"/>
  <c r="W2334" i="1"/>
  <c r="W2335" i="1"/>
  <c r="W2336" i="1"/>
  <c r="W2337" i="1"/>
  <c r="W2338" i="1"/>
  <c r="W2339" i="1"/>
  <c r="W2340" i="1"/>
  <c r="W2341" i="1"/>
  <c r="W2342" i="1"/>
  <c r="W2343" i="1"/>
  <c r="W2344" i="1"/>
  <c r="W2345" i="1"/>
  <c r="W2346" i="1"/>
  <c r="W2347" i="1"/>
  <c r="W2348" i="1"/>
  <c r="W2349" i="1"/>
  <c r="W2350" i="1"/>
  <c r="W2351" i="1"/>
  <c r="W2352" i="1"/>
  <c r="W2353" i="1"/>
  <c r="W2354" i="1"/>
  <c r="W2355" i="1"/>
  <c r="W2356" i="1"/>
  <c r="W2357" i="1"/>
  <c r="W2358" i="1"/>
  <c r="W2359" i="1"/>
  <c r="W2360" i="1"/>
  <c r="W2361" i="1"/>
  <c r="W2362" i="1"/>
  <c r="W2363" i="1"/>
  <c r="W2364" i="1"/>
  <c r="W2365" i="1"/>
  <c r="W2366" i="1"/>
  <c r="W2367" i="1"/>
  <c r="W2368" i="1"/>
  <c r="W2369" i="1"/>
  <c r="W2370" i="1"/>
  <c r="W2371" i="1"/>
  <c r="W2372" i="1"/>
  <c r="W2373" i="1"/>
  <c r="W2374" i="1"/>
  <c r="W2375" i="1"/>
  <c r="W2376" i="1"/>
  <c r="W2377" i="1"/>
  <c r="W2378" i="1"/>
  <c r="W2379" i="1"/>
  <c r="W2380" i="1"/>
  <c r="W2381" i="1"/>
  <c r="W2382" i="1"/>
  <c r="W2383" i="1"/>
  <c r="W2384" i="1"/>
  <c r="W2385" i="1"/>
  <c r="W2386" i="1"/>
  <c r="W2387" i="1"/>
  <c r="W2388" i="1"/>
  <c r="W2389" i="1"/>
  <c r="W2390" i="1"/>
  <c r="W2391" i="1"/>
  <c r="W2392" i="1"/>
  <c r="W2393" i="1"/>
  <c r="W2394" i="1"/>
  <c r="W2395" i="1"/>
  <c r="W2396" i="1"/>
  <c r="W2397" i="1"/>
  <c r="W2398" i="1"/>
  <c r="W2399" i="1"/>
  <c r="W2400" i="1"/>
  <c r="W2401" i="1"/>
  <c r="W2402" i="1"/>
  <c r="W2403" i="1"/>
  <c r="W2404" i="1"/>
  <c r="W2405" i="1"/>
  <c r="W2406" i="1"/>
  <c r="W2407" i="1"/>
  <c r="W2408" i="1"/>
  <c r="W2409" i="1"/>
  <c r="W2410" i="1"/>
  <c r="W2411" i="1"/>
  <c r="W2412" i="1"/>
  <c r="W2413" i="1"/>
  <c r="W2414" i="1"/>
  <c r="W2415" i="1"/>
  <c r="W2416" i="1"/>
  <c r="W2417" i="1"/>
  <c r="W2418" i="1"/>
  <c r="W2419" i="1"/>
  <c r="W2420" i="1"/>
  <c r="W2421" i="1"/>
  <c r="W2422" i="1"/>
  <c r="W2423" i="1"/>
  <c r="W2424" i="1"/>
  <c r="W2425" i="1"/>
  <c r="W2426" i="1"/>
  <c r="W2427" i="1"/>
  <c r="W2428" i="1"/>
  <c r="W2429" i="1"/>
  <c r="W2430" i="1"/>
  <c r="W2431" i="1"/>
  <c r="W2432" i="1"/>
  <c r="W2433" i="1"/>
  <c r="W2434" i="1"/>
  <c r="W2435" i="1"/>
  <c r="W2436" i="1"/>
  <c r="W2437" i="1"/>
  <c r="W2438" i="1"/>
  <c r="W2439" i="1"/>
  <c r="W2440" i="1"/>
  <c r="W2441" i="1"/>
  <c r="W2442" i="1"/>
  <c r="W2443" i="1"/>
  <c r="W2444" i="1"/>
  <c r="W2445" i="1"/>
  <c r="W2446" i="1"/>
  <c r="W2447" i="1"/>
  <c r="W2448" i="1"/>
  <c r="W2449" i="1"/>
  <c r="W2450" i="1"/>
  <c r="W2451" i="1"/>
  <c r="W2452" i="1"/>
  <c r="W2453" i="1"/>
  <c r="W2454" i="1"/>
  <c r="W2455" i="1"/>
  <c r="W2456" i="1"/>
  <c r="W2457" i="1"/>
  <c r="W2458" i="1"/>
  <c r="W2459" i="1"/>
  <c r="W2460" i="1"/>
  <c r="W2461" i="1"/>
  <c r="W2462" i="1"/>
  <c r="W2463" i="1"/>
  <c r="W2464" i="1"/>
  <c r="W2465" i="1"/>
  <c r="W2466" i="1"/>
  <c r="W2467" i="1"/>
  <c r="W2468" i="1"/>
  <c r="W2469" i="1"/>
  <c r="W2470" i="1"/>
  <c r="W2471" i="1"/>
  <c r="W2472" i="1"/>
  <c r="W2473" i="1"/>
  <c r="W2474" i="1"/>
  <c r="W2475" i="1"/>
  <c r="W2476" i="1"/>
  <c r="W2477" i="1"/>
  <c r="W2478" i="1"/>
  <c r="W2479" i="1"/>
  <c r="W2480" i="1"/>
  <c r="W2481" i="1"/>
  <c r="W2482" i="1"/>
  <c r="W2483" i="1"/>
  <c r="W2484" i="1"/>
  <c r="W2485" i="1"/>
  <c r="W2486" i="1"/>
  <c r="W2487" i="1"/>
  <c r="W2488" i="1"/>
  <c r="W2489" i="1"/>
  <c r="W2490" i="1"/>
  <c r="W2491" i="1"/>
  <c r="W2492" i="1"/>
  <c r="W2493" i="1"/>
  <c r="W2494" i="1"/>
  <c r="W2495" i="1"/>
  <c r="W2496" i="1"/>
  <c r="W2497" i="1"/>
  <c r="W2498" i="1"/>
  <c r="W2499" i="1"/>
  <c r="W2500" i="1"/>
  <c r="W2501" i="1"/>
  <c r="W2502" i="1"/>
  <c r="W2503" i="1"/>
  <c r="W2504" i="1"/>
  <c r="W2505" i="1"/>
  <c r="W2506" i="1"/>
  <c r="W2507" i="1"/>
  <c r="W2508" i="1"/>
  <c r="W2509" i="1"/>
  <c r="W2510" i="1"/>
  <c r="W2511" i="1"/>
  <c r="W2512" i="1"/>
  <c r="W2513" i="1"/>
  <c r="W2514" i="1"/>
  <c r="W2515" i="1"/>
  <c r="W2516" i="1"/>
  <c r="W2517" i="1"/>
  <c r="W2518" i="1"/>
  <c r="W2519" i="1"/>
  <c r="W2520" i="1"/>
  <c r="W2521" i="1"/>
  <c r="W2522" i="1"/>
  <c r="W2523" i="1"/>
  <c r="W2524" i="1"/>
  <c r="W2525" i="1"/>
  <c r="W2526" i="1"/>
  <c r="W2527" i="1"/>
  <c r="W2528" i="1"/>
  <c r="W2529" i="1"/>
  <c r="W2530" i="1"/>
  <c r="W2531" i="1"/>
  <c r="W2532" i="1"/>
  <c r="W2533" i="1"/>
  <c r="W2534" i="1"/>
  <c r="W2535" i="1"/>
  <c r="W2536" i="1"/>
  <c r="W2537" i="1"/>
  <c r="W2538" i="1"/>
  <c r="W2539" i="1"/>
  <c r="W2540" i="1"/>
  <c r="W2541" i="1"/>
  <c r="W2542" i="1"/>
  <c r="W2543" i="1"/>
  <c r="W2544" i="1"/>
  <c r="W2545" i="1"/>
  <c r="W2546" i="1"/>
  <c r="W2547" i="1"/>
  <c r="W2548" i="1"/>
  <c r="W2549" i="1"/>
  <c r="W2550" i="1"/>
  <c r="W2551" i="1"/>
  <c r="W2552" i="1"/>
  <c r="W2553" i="1"/>
  <c r="W2554" i="1"/>
  <c r="W2555" i="1"/>
  <c r="W2556" i="1"/>
  <c r="W2557" i="1"/>
  <c r="W2558" i="1"/>
  <c r="W2559" i="1"/>
  <c r="W2560" i="1"/>
  <c r="W2561" i="1"/>
  <c r="W2562" i="1"/>
  <c r="W2563" i="1"/>
  <c r="W2564" i="1"/>
  <c r="W2565" i="1"/>
  <c r="W2566" i="1"/>
  <c r="W2567" i="1"/>
  <c r="W2568" i="1"/>
  <c r="W2569" i="1"/>
  <c r="W2570" i="1"/>
  <c r="W2571" i="1"/>
  <c r="W2572" i="1"/>
  <c r="W2573" i="1"/>
  <c r="W2574" i="1"/>
  <c r="W2575" i="1"/>
  <c r="W2576" i="1"/>
  <c r="W2577" i="1"/>
  <c r="W2578" i="1"/>
  <c r="W2579" i="1"/>
  <c r="W2580" i="1"/>
  <c r="W2581" i="1"/>
  <c r="W2582" i="1"/>
  <c r="W2583" i="1"/>
  <c r="W2584" i="1"/>
  <c r="W2585" i="1"/>
  <c r="W2586" i="1"/>
  <c r="W2587" i="1"/>
  <c r="W2588" i="1"/>
  <c r="W2589" i="1"/>
  <c r="W2590" i="1"/>
  <c r="W2591" i="1"/>
  <c r="W2592" i="1"/>
  <c r="W2593" i="1"/>
  <c r="W2594" i="1"/>
  <c r="W2595" i="1"/>
  <c r="W2596" i="1"/>
  <c r="W2597" i="1"/>
  <c r="W2598" i="1"/>
  <c r="W2599" i="1"/>
  <c r="W2600" i="1"/>
  <c r="W2601" i="1"/>
  <c r="W2602" i="1"/>
  <c r="W2603" i="1"/>
  <c r="W2604" i="1"/>
  <c r="W2605" i="1"/>
  <c r="W2606" i="1"/>
  <c r="W2607" i="1"/>
  <c r="W2608" i="1"/>
  <c r="W2609" i="1"/>
  <c r="W2610" i="1"/>
  <c r="W2611" i="1"/>
  <c r="W2612" i="1"/>
  <c r="W2613" i="1"/>
  <c r="W2614" i="1"/>
  <c r="W2615" i="1"/>
  <c r="W2616" i="1"/>
  <c r="W2617" i="1"/>
  <c r="W2618" i="1"/>
  <c r="W2619" i="1"/>
  <c r="W2620" i="1"/>
  <c r="W2621" i="1"/>
  <c r="W2622" i="1"/>
  <c r="W2623" i="1"/>
  <c r="W2624" i="1"/>
  <c r="W2625" i="1"/>
  <c r="W2626" i="1"/>
  <c r="W2627" i="1"/>
  <c r="W2628" i="1"/>
  <c r="W2629" i="1"/>
  <c r="W2630" i="1"/>
  <c r="W2631" i="1"/>
  <c r="W2632" i="1"/>
  <c r="W2633" i="1"/>
  <c r="W2634" i="1"/>
  <c r="W2635" i="1"/>
  <c r="W2636" i="1"/>
  <c r="W2637" i="1"/>
  <c r="W2638" i="1"/>
  <c r="W2639" i="1"/>
  <c r="W2640" i="1"/>
  <c r="W2641" i="1"/>
  <c r="W2642" i="1"/>
  <c r="W2643" i="1"/>
  <c r="W2644" i="1"/>
  <c r="W2645" i="1"/>
  <c r="W2646" i="1"/>
  <c r="W2647" i="1"/>
  <c r="W2648" i="1"/>
  <c r="W2649" i="1"/>
  <c r="W2650" i="1"/>
  <c r="W2651" i="1"/>
  <c r="W2652" i="1"/>
  <c r="W2653" i="1"/>
  <c r="W2654" i="1"/>
  <c r="W2655" i="1"/>
  <c r="W2656" i="1"/>
  <c r="W2657" i="1"/>
  <c r="W2658" i="1"/>
  <c r="W2659" i="1"/>
  <c r="W2660" i="1"/>
  <c r="W2661" i="1"/>
  <c r="W2662" i="1"/>
  <c r="W2663" i="1"/>
  <c r="W2664" i="1"/>
  <c r="W2665" i="1"/>
  <c r="W2666" i="1"/>
  <c r="W2667" i="1"/>
  <c r="W2668" i="1"/>
  <c r="W2669" i="1"/>
  <c r="W2670" i="1"/>
  <c r="W2671" i="1"/>
  <c r="W2672" i="1"/>
  <c r="W2673" i="1"/>
  <c r="W2674" i="1"/>
  <c r="W2675" i="1"/>
  <c r="W2676" i="1"/>
  <c r="W2677" i="1"/>
  <c r="W2678" i="1"/>
  <c r="W2679" i="1"/>
  <c r="W2680" i="1"/>
  <c r="W2681" i="1"/>
  <c r="W2682" i="1"/>
  <c r="W2683" i="1"/>
  <c r="W2684" i="1"/>
  <c r="W2685" i="1"/>
  <c r="W2686" i="1"/>
  <c r="W2687" i="1"/>
  <c r="W2688" i="1"/>
  <c r="W2689" i="1"/>
  <c r="W2690" i="1"/>
  <c r="W2691" i="1"/>
  <c r="W2692" i="1"/>
  <c r="W2693" i="1"/>
  <c r="W2694" i="1"/>
  <c r="W2695" i="1"/>
  <c r="W2696" i="1"/>
  <c r="W2697" i="1"/>
  <c r="W2698" i="1"/>
  <c r="W2699" i="1"/>
  <c r="W2700" i="1"/>
  <c r="W2701" i="1"/>
  <c r="W2702" i="1"/>
  <c r="W2703" i="1"/>
  <c r="W2704" i="1"/>
  <c r="W2705" i="1"/>
  <c r="W2706" i="1"/>
  <c r="W2707" i="1"/>
  <c r="W2708" i="1"/>
  <c r="W2709" i="1"/>
  <c r="W2710" i="1"/>
  <c r="W2711" i="1"/>
  <c r="W2712" i="1"/>
  <c r="W2713" i="1"/>
  <c r="W2714" i="1"/>
  <c r="W2715" i="1"/>
  <c r="W2716" i="1"/>
  <c r="W2717" i="1"/>
  <c r="W2718" i="1"/>
  <c r="W2719" i="1"/>
  <c r="W2720" i="1"/>
  <c r="W2721" i="1"/>
  <c r="W2722" i="1"/>
  <c r="W2723" i="1"/>
  <c r="W2724" i="1"/>
  <c r="W2725" i="1"/>
  <c r="W2726" i="1"/>
  <c r="W2727" i="1"/>
  <c r="W2728" i="1"/>
  <c r="W2729" i="1"/>
  <c r="W2730" i="1"/>
  <c r="W2731" i="1"/>
  <c r="W2732" i="1"/>
  <c r="W2733" i="1"/>
  <c r="W2734" i="1"/>
  <c r="W2735" i="1"/>
  <c r="W2736" i="1"/>
  <c r="W2737" i="1"/>
  <c r="W2738" i="1"/>
  <c r="W2739" i="1"/>
  <c r="W2740" i="1"/>
  <c r="W2741" i="1"/>
  <c r="W2742" i="1"/>
  <c r="W2743" i="1"/>
  <c r="W2744" i="1"/>
  <c r="W2745" i="1"/>
  <c r="W2746" i="1"/>
  <c r="W2747" i="1"/>
  <c r="W2748" i="1"/>
  <c r="W2749" i="1"/>
  <c r="W2750" i="1"/>
  <c r="W2751" i="1"/>
  <c r="W2752" i="1"/>
  <c r="W2753" i="1"/>
  <c r="W2754" i="1"/>
  <c r="W2755" i="1"/>
  <c r="W2756" i="1"/>
  <c r="W2757" i="1"/>
  <c r="W2758" i="1"/>
  <c r="W2759" i="1"/>
  <c r="W2760" i="1"/>
  <c r="W2761" i="1"/>
  <c r="W2762" i="1"/>
  <c r="W2763" i="1"/>
  <c r="W2764" i="1"/>
  <c r="W2765" i="1"/>
  <c r="W2766" i="1"/>
  <c r="W2767" i="1"/>
  <c r="W2768" i="1"/>
  <c r="W2769" i="1"/>
  <c r="W2770" i="1"/>
  <c r="W2771" i="1"/>
  <c r="W2772" i="1"/>
  <c r="W2773" i="1"/>
  <c r="W2774" i="1"/>
  <c r="W2775" i="1"/>
  <c r="W2776" i="1"/>
  <c r="W2777" i="1"/>
  <c r="W2778" i="1"/>
  <c r="W2779" i="1"/>
  <c r="W2780" i="1"/>
  <c r="W2781" i="1"/>
  <c r="W2782" i="1"/>
  <c r="W2783" i="1"/>
  <c r="W2784" i="1"/>
  <c r="W2785" i="1"/>
  <c r="W2786" i="1"/>
  <c r="W2787" i="1"/>
  <c r="W2788" i="1"/>
  <c r="W2789" i="1"/>
  <c r="W2790" i="1"/>
  <c r="W2791" i="1"/>
  <c r="W2792" i="1"/>
  <c r="W2793" i="1"/>
  <c r="W2794" i="1"/>
  <c r="W2795" i="1"/>
  <c r="W2796" i="1"/>
  <c r="W2797" i="1"/>
  <c r="W2798" i="1"/>
  <c r="W2799" i="1"/>
  <c r="W2800" i="1"/>
  <c r="W2801" i="1"/>
  <c r="W2802" i="1"/>
  <c r="W2803" i="1"/>
  <c r="W2804" i="1"/>
  <c r="W2805" i="1"/>
  <c r="W2806" i="1"/>
  <c r="W2807" i="1"/>
  <c r="W2808" i="1"/>
  <c r="W2809" i="1"/>
  <c r="W2810" i="1"/>
  <c r="W2811" i="1"/>
  <c r="W2812" i="1"/>
  <c r="W2813" i="1"/>
  <c r="W2814" i="1"/>
  <c r="W2815" i="1"/>
  <c r="W2816" i="1"/>
  <c r="W2817" i="1"/>
  <c r="W2818" i="1"/>
  <c r="W2819" i="1"/>
  <c r="W2820" i="1"/>
  <c r="W2821" i="1"/>
  <c r="W2822" i="1"/>
  <c r="W2823" i="1"/>
  <c r="W2824" i="1"/>
  <c r="W2825" i="1"/>
  <c r="W2826" i="1"/>
  <c r="W2827" i="1"/>
  <c r="W2828" i="1"/>
  <c r="W2829" i="1"/>
  <c r="W2830" i="1"/>
  <c r="W2831" i="1"/>
  <c r="W2832" i="1"/>
  <c r="W2833" i="1"/>
  <c r="W2834" i="1"/>
  <c r="W2835" i="1"/>
  <c r="W2836" i="1"/>
  <c r="W2837" i="1"/>
  <c r="W2838" i="1"/>
  <c r="W2839" i="1"/>
  <c r="W2840" i="1"/>
  <c r="W2841" i="1"/>
  <c r="W2842" i="1"/>
  <c r="W2843" i="1"/>
  <c r="W2844" i="1"/>
  <c r="W2845" i="1"/>
  <c r="W2846" i="1"/>
  <c r="W2847" i="1"/>
  <c r="W2848" i="1"/>
  <c r="W2849" i="1"/>
  <c r="W2850" i="1"/>
  <c r="W2851" i="1"/>
  <c r="W2852" i="1"/>
  <c r="W2853" i="1"/>
  <c r="W2854" i="1"/>
  <c r="W2855" i="1"/>
  <c r="W2856" i="1"/>
  <c r="W2857" i="1"/>
  <c r="W2858" i="1"/>
  <c r="W2859" i="1"/>
  <c r="W2860" i="1"/>
  <c r="W2861" i="1"/>
  <c r="W2862" i="1"/>
  <c r="W2863" i="1"/>
  <c r="W2864" i="1"/>
  <c r="W2865" i="1"/>
  <c r="W2866" i="1"/>
  <c r="W2867" i="1"/>
  <c r="W2868" i="1"/>
  <c r="W2869" i="1"/>
  <c r="W2870" i="1"/>
  <c r="W2871" i="1"/>
  <c r="W2872" i="1"/>
  <c r="W2873" i="1"/>
  <c r="W2874" i="1"/>
  <c r="W2875" i="1"/>
  <c r="W2876" i="1"/>
  <c r="W2877" i="1"/>
  <c r="W2878" i="1"/>
  <c r="W2879" i="1"/>
  <c r="W2880" i="1"/>
  <c r="W2881" i="1"/>
  <c r="W2882" i="1"/>
  <c r="W2883" i="1"/>
  <c r="W2884" i="1"/>
  <c r="W2885" i="1"/>
  <c r="W2886" i="1"/>
  <c r="W2887" i="1"/>
  <c r="W2888" i="1"/>
  <c r="W2889" i="1"/>
  <c r="W2890" i="1"/>
  <c r="W2891" i="1"/>
  <c r="W2892" i="1"/>
  <c r="W2893" i="1"/>
  <c r="W2894" i="1"/>
  <c r="W2895" i="1"/>
  <c r="W2896" i="1"/>
  <c r="W2897" i="1"/>
  <c r="W2898" i="1"/>
  <c r="W2899" i="1"/>
  <c r="W2900" i="1"/>
  <c r="W2901" i="1"/>
  <c r="W2902" i="1"/>
  <c r="W2903" i="1"/>
  <c r="W2904" i="1"/>
  <c r="W2905" i="1"/>
  <c r="W2906" i="1"/>
  <c r="W2907" i="1"/>
  <c r="W2908" i="1"/>
  <c r="W2909" i="1"/>
  <c r="W2910" i="1"/>
  <c r="W2911" i="1"/>
  <c r="W2912" i="1"/>
  <c r="W2913" i="1"/>
  <c r="W2914" i="1"/>
  <c r="W2915" i="1"/>
  <c r="W2916" i="1"/>
  <c r="W2917" i="1"/>
  <c r="W2918" i="1"/>
  <c r="W2919" i="1"/>
  <c r="W2920" i="1"/>
  <c r="W2921" i="1"/>
  <c r="W2922" i="1"/>
  <c r="W2923" i="1"/>
  <c r="W2924" i="1"/>
  <c r="W2925" i="1"/>
  <c r="W2926" i="1"/>
  <c r="W2927" i="1"/>
  <c r="W2928" i="1"/>
  <c r="W2929" i="1"/>
  <c r="W2930" i="1"/>
  <c r="W2931" i="1"/>
  <c r="W2932" i="1"/>
  <c r="W2933" i="1"/>
  <c r="W2934" i="1"/>
  <c r="W2935" i="1"/>
  <c r="W2936" i="1"/>
  <c r="W2937" i="1"/>
  <c r="W2938" i="1"/>
  <c r="W2939" i="1"/>
  <c r="W2940" i="1"/>
  <c r="W2941" i="1"/>
  <c r="W2942" i="1"/>
  <c r="W2943" i="1"/>
  <c r="W2944" i="1"/>
  <c r="W2945" i="1"/>
  <c r="W2946" i="1"/>
  <c r="W2947" i="1"/>
  <c r="W2948" i="1"/>
  <c r="W2949" i="1"/>
  <c r="W2950" i="1"/>
  <c r="W2951" i="1"/>
  <c r="W2952" i="1"/>
  <c r="W2953" i="1"/>
  <c r="W2954" i="1"/>
  <c r="W2955" i="1"/>
  <c r="W2956" i="1"/>
  <c r="W2957" i="1"/>
  <c r="W2958" i="1"/>
  <c r="W2959" i="1"/>
  <c r="W2960" i="1"/>
  <c r="W2961" i="1"/>
  <c r="W2962" i="1"/>
  <c r="W2963" i="1"/>
  <c r="W2964" i="1"/>
  <c r="W2965" i="1"/>
  <c r="W2966" i="1"/>
  <c r="W2967" i="1"/>
  <c r="W2968" i="1"/>
  <c r="W2969" i="1"/>
  <c r="W2970" i="1"/>
  <c r="W2971" i="1"/>
  <c r="W2972" i="1"/>
  <c r="W2973" i="1"/>
  <c r="W2974" i="1"/>
  <c r="W2975" i="1"/>
  <c r="W2976" i="1"/>
  <c r="W2977" i="1"/>
  <c r="W2978" i="1"/>
  <c r="W2979" i="1"/>
  <c r="W2980" i="1"/>
  <c r="W2981" i="1"/>
  <c r="W2982" i="1"/>
  <c r="W2983" i="1"/>
  <c r="W2984" i="1"/>
  <c r="W2985" i="1"/>
  <c r="W2986" i="1"/>
  <c r="W2987" i="1"/>
  <c r="W2988" i="1"/>
  <c r="W2989" i="1"/>
  <c r="W2990" i="1"/>
  <c r="W2991" i="1"/>
  <c r="W2992" i="1"/>
  <c r="W2993" i="1"/>
  <c r="W2994" i="1"/>
  <c r="W2995" i="1"/>
  <c r="W2996" i="1"/>
  <c r="W2997" i="1"/>
  <c r="W2998" i="1"/>
  <c r="W2999" i="1"/>
  <c r="W3000" i="1"/>
  <c r="W3001" i="1"/>
  <c r="W3002" i="1"/>
  <c r="W3003" i="1"/>
  <c r="W3004" i="1"/>
  <c r="W3005" i="1"/>
  <c r="W3006" i="1"/>
  <c r="W3007" i="1"/>
  <c r="W3008" i="1"/>
  <c r="W3009" i="1"/>
  <c r="W3010" i="1"/>
  <c r="W3011" i="1"/>
  <c r="W3012" i="1"/>
  <c r="W3013" i="1"/>
  <c r="W3014" i="1"/>
  <c r="W3015" i="1"/>
  <c r="W3016" i="1"/>
  <c r="W3017" i="1"/>
  <c r="W3018" i="1"/>
  <c r="W3019" i="1"/>
  <c r="W3020" i="1"/>
  <c r="W3021" i="1"/>
  <c r="W3022" i="1"/>
  <c r="W3023" i="1"/>
  <c r="W3024" i="1"/>
  <c r="W3025" i="1"/>
  <c r="W3026" i="1"/>
  <c r="W3027" i="1"/>
  <c r="W3028" i="1"/>
  <c r="W3029" i="1"/>
  <c r="W3030" i="1"/>
  <c r="W3031" i="1"/>
  <c r="W3032" i="1"/>
  <c r="W3033" i="1"/>
  <c r="W3034" i="1"/>
  <c r="W3035" i="1"/>
  <c r="W3036" i="1"/>
  <c r="W3037" i="1"/>
  <c r="W3038" i="1"/>
  <c r="W3039" i="1"/>
  <c r="W3040" i="1"/>
  <c r="W3041" i="1"/>
  <c r="W3042" i="1"/>
  <c r="W3043" i="1"/>
  <c r="W3044" i="1"/>
  <c r="W3045" i="1"/>
  <c r="W3046" i="1"/>
  <c r="W3047" i="1"/>
  <c r="W3048" i="1"/>
  <c r="W3049" i="1"/>
  <c r="W3050" i="1"/>
  <c r="W3051" i="1"/>
  <c r="W3052" i="1"/>
  <c r="W3053" i="1"/>
  <c r="W3054" i="1"/>
  <c r="W3055" i="1"/>
  <c r="W3056" i="1"/>
  <c r="W3057" i="1"/>
  <c r="W3058" i="1"/>
  <c r="W3059" i="1"/>
  <c r="W3060" i="1"/>
  <c r="W3061" i="1"/>
  <c r="W3062" i="1"/>
  <c r="W3063" i="1"/>
  <c r="W3064" i="1"/>
  <c r="W3065" i="1"/>
  <c r="W3066" i="1"/>
  <c r="W3067" i="1"/>
  <c r="W3068" i="1"/>
  <c r="W3069" i="1"/>
  <c r="W3070" i="1"/>
  <c r="W3071" i="1"/>
  <c r="W3072" i="1"/>
  <c r="W3073" i="1"/>
  <c r="W3074" i="1"/>
  <c r="W3075" i="1"/>
  <c r="W3076" i="1"/>
  <c r="W3077" i="1"/>
  <c r="W3078" i="1"/>
  <c r="W3079" i="1"/>
  <c r="W3080" i="1"/>
  <c r="W3081" i="1"/>
  <c r="W3082" i="1"/>
  <c r="W3083" i="1"/>
  <c r="W3084" i="1"/>
  <c r="W3085" i="1"/>
  <c r="W3086" i="1"/>
  <c r="W3087" i="1"/>
  <c r="W3088" i="1"/>
  <c r="W3089" i="1"/>
  <c r="W3090" i="1"/>
  <c r="W3091" i="1"/>
  <c r="W3092" i="1"/>
  <c r="W3093" i="1"/>
  <c r="W3094" i="1"/>
  <c r="W3095" i="1"/>
  <c r="W3096" i="1"/>
  <c r="W3097" i="1"/>
  <c r="W3098" i="1"/>
  <c r="W3099" i="1"/>
  <c r="W3100" i="1"/>
  <c r="W3101" i="1"/>
  <c r="W3102" i="1"/>
  <c r="W3103" i="1"/>
  <c r="W3104" i="1"/>
  <c r="W3105" i="1"/>
  <c r="W3106" i="1"/>
  <c r="W3107" i="1"/>
  <c r="W3108" i="1"/>
  <c r="W3109" i="1"/>
  <c r="W3110" i="1"/>
  <c r="W3111" i="1"/>
  <c r="W3112" i="1"/>
  <c r="W3113" i="1"/>
  <c r="W3114" i="1"/>
  <c r="W3115" i="1"/>
  <c r="W3116" i="1"/>
  <c r="W3117" i="1"/>
  <c r="W3118" i="1"/>
  <c r="W3119" i="1"/>
  <c r="W3120" i="1"/>
  <c r="W3121" i="1"/>
  <c r="W3122" i="1"/>
  <c r="W3123" i="1"/>
  <c r="W3124" i="1"/>
  <c r="W3125" i="1"/>
  <c r="W3126" i="1"/>
  <c r="W3127" i="1"/>
  <c r="W3128" i="1"/>
  <c r="W3129" i="1"/>
  <c r="W3130" i="1"/>
  <c r="W3131" i="1"/>
  <c r="W3132" i="1"/>
  <c r="W3133" i="1"/>
  <c r="W3134" i="1"/>
  <c r="W3135" i="1"/>
  <c r="W3136" i="1"/>
  <c r="W3137" i="1"/>
  <c r="W3138" i="1"/>
  <c r="W3139" i="1"/>
  <c r="W3140" i="1"/>
  <c r="W3141" i="1"/>
  <c r="W3142" i="1"/>
  <c r="W3143" i="1"/>
  <c r="W3144" i="1"/>
  <c r="W3145" i="1"/>
  <c r="W3146" i="1"/>
  <c r="W3147" i="1"/>
  <c r="W3148" i="1"/>
  <c r="W3149" i="1"/>
  <c r="W3150" i="1"/>
  <c r="W3151" i="1"/>
  <c r="W3152" i="1"/>
  <c r="W3153" i="1"/>
  <c r="W3154" i="1"/>
  <c r="W3155" i="1"/>
  <c r="W3156" i="1"/>
  <c r="W3157" i="1"/>
  <c r="W3158" i="1"/>
  <c r="W3159" i="1"/>
  <c r="W3160" i="1"/>
  <c r="W3161" i="1"/>
  <c r="W3162" i="1"/>
  <c r="W3163" i="1"/>
  <c r="W3164" i="1"/>
  <c r="W3165" i="1"/>
  <c r="W3166" i="1"/>
  <c r="W3167" i="1"/>
  <c r="W3168" i="1"/>
  <c r="W3169" i="1"/>
  <c r="W3170" i="1"/>
  <c r="W3171" i="1"/>
  <c r="W3172" i="1"/>
  <c r="W3173" i="1"/>
  <c r="W3174" i="1"/>
  <c r="W3175" i="1"/>
  <c r="W3176" i="1"/>
  <c r="W3177" i="1"/>
  <c r="W3178" i="1"/>
  <c r="W3179" i="1"/>
  <c r="W3180" i="1"/>
  <c r="W3181" i="1"/>
  <c r="W3182" i="1"/>
  <c r="W3183" i="1"/>
  <c r="W3184" i="1"/>
  <c r="W3185" i="1"/>
  <c r="W3186" i="1"/>
  <c r="W3187" i="1"/>
  <c r="W3188" i="1"/>
  <c r="W3189" i="1"/>
  <c r="W3190" i="1"/>
  <c r="W3191" i="1"/>
  <c r="W3192" i="1"/>
  <c r="W3193" i="1"/>
  <c r="W3194" i="1"/>
  <c r="W3195" i="1"/>
  <c r="W3196" i="1"/>
  <c r="W3197" i="1"/>
  <c r="W3198" i="1"/>
  <c r="W3199" i="1"/>
  <c r="W3200" i="1"/>
  <c r="W3201" i="1"/>
  <c r="W3202" i="1"/>
  <c r="W3203" i="1"/>
  <c r="W3204" i="1"/>
  <c r="W3205" i="1"/>
  <c r="W3206" i="1"/>
  <c r="W3207" i="1"/>
  <c r="W3208" i="1"/>
  <c r="W3209" i="1"/>
  <c r="W3210" i="1"/>
  <c r="W3211" i="1"/>
  <c r="W3212" i="1"/>
  <c r="W3213" i="1"/>
  <c r="W3214" i="1"/>
  <c r="W3215" i="1"/>
  <c r="W3216" i="1"/>
  <c r="W3217" i="1"/>
  <c r="W3218" i="1"/>
  <c r="W3219" i="1"/>
  <c r="W3220" i="1"/>
  <c r="W3221" i="1"/>
  <c r="W3222" i="1"/>
  <c r="W3223" i="1"/>
  <c r="W3224" i="1"/>
  <c r="W3225" i="1"/>
  <c r="W3226" i="1"/>
  <c r="W3227" i="1"/>
  <c r="W3228" i="1"/>
  <c r="W3229" i="1"/>
  <c r="W3230" i="1"/>
  <c r="W3231" i="1"/>
  <c r="W3232" i="1"/>
  <c r="W3233" i="1"/>
  <c r="W3234" i="1"/>
  <c r="W3235" i="1"/>
  <c r="W3236" i="1"/>
  <c r="W3237" i="1"/>
  <c r="W3238" i="1"/>
  <c r="W3239" i="1"/>
  <c r="W3240" i="1"/>
  <c r="W3241" i="1"/>
  <c r="W3242" i="1"/>
  <c r="W3243" i="1"/>
  <c r="W3244" i="1"/>
  <c r="W3245" i="1"/>
  <c r="W3246" i="1"/>
  <c r="W3247" i="1"/>
  <c r="W3248" i="1"/>
  <c r="W3249" i="1"/>
  <c r="W3250" i="1"/>
  <c r="W3251" i="1"/>
  <c r="W3252" i="1"/>
  <c r="W3253" i="1"/>
  <c r="W3254" i="1"/>
  <c r="W3255" i="1"/>
  <c r="W3256" i="1"/>
  <c r="W3257" i="1"/>
  <c r="W3258" i="1"/>
  <c r="W3259" i="1"/>
  <c r="W3260" i="1"/>
  <c r="W3261" i="1"/>
  <c r="W3262" i="1"/>
  <c r="W3263" i="1"/>
  <c r="W3264" i="1"/>
  <c r="W3265" i="1"/>
  <c r="W3266" i="1"/>
  <c r="W3267" i="1"/>
  <c r="W3268" i="1"/>
  <c r="W3269" i="1"/>
  <c r="W3270" i="1"/>
  <c r="W3271" i="1"/>
  <c r="W3272" i="1"/>
  <c r="W3273" i="1"/>
  <c r="W3274" i="1"/>
  <c r="W3275" i="1"/>
  <c r="W3276" i="1"/>
  <c r="W3277" i="1"/>
  <c r="W3278" i="1"/>
  <c r="W3279" i="1"/>
  <c r="W3280" i="1"/>
  <c r="W3281" i="1"/>
  <c r="W3282" i="1"/>
  <c r="W3283" i="1"/>
  <c r="W3284" i="1"/>
  <c r="W3285" i="1"/>
  <c r="W3286" i="1"/>
  <c r="W3287" i="1"/>
  <c r="W3288" i="1"/>
  <c r="W3289" i="1"/>
  <c r="W3290" i="1"/>
  <c r="W3291" i="1"/>
  <c r="W3292" i="1"/>
  <c r="W3293" i="1"/>
  <c r="W3294" i="1"/>
  <c r="W3295" i="1"/>
  <c r="W3296" i="1"/>
  <c r="W3297" i="1"/>
  <c r="W3298" i="1"/>
  <c r="W3299" i="1"/>
  <c r="W3300" i="1"/>
  <c r="W3301" i="1"/>
  <c r="W3302" i="1"/>
  <c r="W3303" i="1"/>
  <c r="W3304" i="1"/>
  <c r="W3305" i="1"/>
  <c r="W3306" i="1"/>
  <c r="W3307" i="1"/>
  <c r="W3308" i="1"/>
  <c r="W3309" i="1"/>
  <c r="W3310" i="1"/>
  <c r="W3311" i="1"/>
  <c r="W3312" i="1"/>
  <c r="W3313" i="1"/>
  <c r="W3314" i="1"/>
  <c r="W3315" i="1"/>
  <c r="W3316" i="1"/>
  <c r="W3317" i="1"/>
  <c r="W3318" i="1"/>
  <c r="W3319" i="1"/>
  <c r="W3320" i="1"/>
  <c r="W3321" i="1"/>
  <c r="W3322" i="1"/>
  <c r="W3323" i="1"/>
  <c r="W3324" i="1"/>
  <c r="W3325" i="1"/>
  <c r="W3326" i="1"/>
  <c r="W3327" i="1"/>
  <c r="W3328" i="1"/>
  <c r="W3329" i="1"/>
  <c r="W3330" i="1"/>
  <c r="W3331" i="1"/>
  <c r="W3332" i="1"/>
  <c r="W3333" i="1"/>
  <c r="W3334" i="1"/>
  <c r="W3335" i="1"/>
  <c r="W3336" i="1"/>
  <c r="W3337" i="1"/>
  <c r="W3338" i="1"/>
  <c r="W3339" i="1"/>
  <c r="W3340" i="1"/>
  <c r="W3341" i="1"/>
  <c r="W3342" i="1"/>
  <c r="W3343" i="1"/>
  <c r="W3344" i="1"/>
  <c r="W3345" i="1"/>
  <c r="W3346" i="1"/>
  <c r="W3347" i="1"/>
  <c r="W3348" i="1"/>
  <c r="W3349" i="1"/>
  <c r="W3350" i="1"/>
  <c r="W3351" i="1"/>
  <c r="W3352" i="1"/>
  <c r="W3353" i="1"/>
  <c r="W3354" i="1"/>
  <c r="W3355" i="1"/>
  <c r="W3356" i="1"/>
  <c r="W3357" i="1"/>
  <c r="W3358" i="1"/>
  <c r="W3359" i="1"/>
  <c r="W3360" i="1"/>
  <c r="W3361" i="1"/>
  <c r="W3362" i="1"/>
  <c r="W3363" i="1"/>
  <c r="W3364" i="1"/>
  <c r="W3365" i="1"/>
  <c r="W3366" i="1"/>
  <c r="W3367" i="1"/>
  <c r="W3368" i="1"/>
  <c r="W3369" i="1"/>
  <c r="W3370" i="1"/>
  <c r="W3371" i="1"/>
  <c r="W3372" i="1"/>
  <c r="W3373" i="1"/>
  <c r="W3374" i="1"/>
  <c r="W3375" i="1"/>
  <c r="W3376" i="1"/>
  <c r="W3377" i="1"/>
  <c r="W3378" i="1"/>
  <c r="W3379" i="1"/>
  <c r="W3380" i="1"/>
  <c r="W3381" i="1"/>
  <c r="W3382" i="1"/>
  <c r="W3383" i="1"/>
  <c r="W3384" i="1"/>
  <c r="W3385" i="1"/>
  <c r="W3386" i="1"/>
  <c r="W3387" i="1"/>
  <c r="W3388" i="1"/>
  <c r="W3389" i="1"/>
  <c r="W3390" i="1"/>
  <c r="W3391" i="1"/>
  <c r="W3392" i="1"/>
  <c r="W3393" i="1"/>
  <c r="W3394" i="1"/>
  <c r="W3395" i="1"/>
  <c r="W3396" i="1"/>
  <c r="W3397" i="1"/>
  <c r="W3398" i="1"/>
  <c r="W3399" i="1"/>
  <c r="W3400" i="1"/>
  <c r="W3401" i="1"/>
  <c r="W3402" i="1"/>
  <c r="W3403" i="1"/>
  <c r="W3404" i="1"/>
  <c r="W3405" i="1"/>
  <c r="W3406" i="1"/>
  <c r="W3407" i="1"/>
  <c r="W3408" i="1"/>
  <c r="W3409" i="1"/>
  <c r="W3410" i="1"/>
  <c r="W3411" i="1"/>
  <c r="W3412" i="1"/>
  <c r="W3413" i="1"/>
  <c r="W3414" i="1"/>
  <c r="W3415" i="1"/>
  <c r="W3416" i="1"/>
  <c r="W3417" i="1"/>
  <c r="W3418" i="1"/>
  <c r="W3419" i="1"/>
  <c r="W3420" i="1"/>
  <c r="W3421" i="1"/>
  <c r="W3422" i="1"/>
  <c r="W3423" i="1"/>
  <c r="W3424" i="1"/>
  <c r="W3425" i="1"/>
  <c r="W3426" i="1"/>
  <c r="W3427" i="1"/>
  <c r="W3428" i="1"/>
  <c r="W3429" i="1"/>
  <c r="W3430" i="1"/>
  <c r="W3431" i="1"/>
  <c r="W3432" i="1"/>
  <c r="W3433" i="1"/>
  <c r="W3434" i="1"/>
  <c r="W3435" i="1"/>
  <c r="W3436" i="1"/>
  <c r="W3437" i="1"/>
  <c r="W3438" i="1"/>
  <c r="W3439" i="1"/>
  <c r="W3440" i="1"/>
  <c r="W3441" i="1"/>
  <c r="W3442" i="1"/>
  <c r="W3443" i="1"/>
  <c r="W3444" i="1"/>
  <c r="W3445" i="1"/>
  <c r="W3446" i="1"/>
  <c r="W3447" i="1"/>
  <c r="W3448" i="1"/>
  <c r="W3449" i="1"/>
  <c r="W3450" i="1"/>
  <c r="W3451" i="1"/>
  <c r="W3452" i="1"/>
  <c r="W3453" i="1"/>
  <c r="W3454" i="1"/>
  <c r="W3455" i="1"/>
  <c r="W3456" i="1"/>
  <c r="W3457" i="1"/>
  <c r="W3458" i="1"/>
  <c r="W3459" i="1"/>
  <c r="W3460" i="1"/>
  <c r="W3461" i="1"/>
  <c r="W3462" i="1"/>
  <c r="W3463" i="1"/>
  <c r="W3464" i="1"/>
  <c r="W3465" i="1"/>
  <c r="W3466" i="1"/>
  <c r="W3467" i="1"/>
  <c r="W3468" i="1"/>
  <c r="W3469" i="1"/>
  <c r="W3470" i="1"/>
  <c r="W3471" i="1"/>
  <c r="W3472" i="1"/>
  <c r="W3473" i="1"/>
  <c r="W3474" i="1"/>
  <c r="W3475" i="1"/>
  <c r="W3476" i="1"/>
  <c r="W3477" i="1"/>
  <c r="W3478" i="1"/>
  <c r="W3479" i="1"/>
  <c r="W3480" i="1"/>
  <c r="W3481" i="1"/>
  <c r="W3482" i="1"/>
  <c r="W3483" i="1"/>
  <c r="W3484" i="1"/>
  <c r="W3485" i="1"/>
  <c r="W3486" i="1"/>
  <c r="W3487" i="1"/>
  <c r="W3488" i="1"/>
  <c r="W3489" i="1"/>
  <c r="W3490" i="1"/>
  <c r="W3491" i="1"/>
  <c r="W3492" i="1"/>
  <c r="W3493" i="1"/>
  <c r="W3494" i="1"/>
  <c r="W3495" i="1"/>
  <c r="W3496" i="1"/>
  <c r="W3497" i="1"/>
  <c r="W3498" i="1"/>
  <c r="W3499" i="1"/>
  <c r="W3500" i="1"/>
  <c r="W3501" i="1"/>
  <c r="W3502" i="1"/>
  <c r="W3503" i="1"/>
  <c r="W3504" i="1"/>
  <c r="W3505" i="1"/>
  <c r="W3506" i="1"/>
  <c r="W3507" i="1"/>
  <c r="W3508" i="1"/>
  <c r="W3509" i="1"/>
  <c r="W3510" i="1"/>
  <c r="W3511" i="1"/>
  <c r="W3512" i="1"/>
  <c r="W3513" i="1"/>
  <c r="W3514" i="1"/>
  <c r="W3515" i="1"/>
  <c r="W3516" i="1"/>
  <c r="W3517" i="1"/>
  <c r="W3518" i="1"/>
  <c r="W3519" i="1"/>
  <c r="W3520" i="1"/>
  <c r="W3521" i="1"/>
  <c r="W3522" i="1"/>
  <c r="W3523" i="1"/>
  <c r="W3524" i="1"/>
  <c r="W3525" i="1"/>
  <c r="W3526" i="1"/>
  <c r="W3527" i="1"/>
  <c r="W3528" i="1"/>
  <c r="W3529" i="1"/>
  <c r="W3530" i="1"/>
  <c r="W3531" i="1"/>
  <c r="W3532" i="1"/>
  <c r="W3533" i="1"/>
  <c r="W3534" i="1"/>
  <c r="W3535" i="1"/>
  <c r="W3536" i="1"/>
  <c r="W3537" i="1"/>
  <c r="W3538" i="1"/>
  <c r="W3539" i="1"/>
  <c r="W3540" i="1"/>
  <c r="W3541" i="1"/>
  <c r="W3542" i="1"/>
  <c r="W3543" i="1"/>
  <c r="W3544" i="1"/>
  <c r="W3545" i="1"/>
  <c r="W3546" i="1"/>
  <c r="W3547" i="1"/>
  <c r="W3548" i="1"/>
  <c r="W3549" i="1"/>
  <c r="W3550" i="1"/>
  <c r="W3551" i="1"/>
  <c r="W3552" i="1"/>
  <c r="W3553" i="1"/>
  <c r="W3554" i="1"/>
  <c r="W3555" i="1"/>
  <c r="W3556" i="1"/>
  <c r="W3557" i="1"/>
  <c r="W3558" i="1"/>
  <c r="W3559" i="1"/>
  <c r="W3560" i="1"/>
  <c r="W3561" i="1"/>
  <c r="W3562" i="1"/>
  <c r="W3563" i="1"/>
  <c r="W3564" i="1"/>
  <c r="W3565" i="1"/>
  <c r="W3566" i="1"/>
  <c r="W3567" i="1"/>
  <c r="W3568" i="1"/>
  <c r="W3569" i="1"/>
  <c r="W3570" i="1"/>
  <c r="W3571" i="1"/>
  <c r="W3572" i="1"/>
  <c r="W3573" i="1"/>
  <c r="W3574" i="1"/>
  <c r="W3575" i="1"/>
  <c r="W3576" i="1"/>
  <c r="W3577" i="1"/>
  <c r="W3578" i="1"/>
  <c r="W3579" i="1"/>
  <c r="W3580" i="1"/>
  <c r="W3581" i="1"/>
  <c r="W3582" i="1"/>
  <c r="W3583" i="1"/>
  <c r="W3584" i="1"/>
  <c r="W3585" i="1"/>
  <c r="W3586" i="1"/>
  <c r="W3587" i="1"/>
  <c r="W3588" i="1"/>
  <c r="W3589" i="1"/>
  <c r="W3590" i="1"/>
  <c r="W3591" i="1"/>
  <c r="W3592" i="1"/>
  <c r="W3593" i="1"/>
  <c r="W3594" i="1"/>
  <c r="W3595" i="1"/>
  <c r="W3596" i="1"/>
  <c r="W3597" i="1"/>
  <c r="W3598" i="1"/>
  <c r="W3599" i="1"/>
  <c r="W3600" i="1"/>
  <c r="W3601" i="1"/>
  <c r="W3602" i="1"/>
  <c r="W3603" i="1"/>
  <c r="W3604" i="1"/>
  <c r="W3605" i="1"/>
  <c r="W3606" i="1"/>
  <c r="W3607" i="1"/>
  <c r="W3608" i="1"/>
  <c r="W3609" i="1"/>
  <c r="W3610" i="1"/>
  <c r="W3611" i="1"/>
  <c r="W3612" i="1"/>
  <c r="W3613" i="1"/>
  <c r="W3614" i="1"/>
  <c r="W3615" i="1"/>
  <c r="W3616" i="1"/>
  <c r="W3617" i="1"/>
  <c r="W3618" i="1"/>
  <c r="W3619" i="1"/>
  <c r="W3620" i="1"/>
  <c r="W3621" i="1"/>
  <c r="W3622" i="1"/>
  <c r="W3623" i="1"/>
  <c r="W3624" i="1"/>
  <c r="W3625" i="1"/>
  <c r="W3626" i="1"/>
  <c r="W3627" i="1"/>
  <c r="W3628" i="1"/>
  <c r="W3629" i="1"/>
  <c r="W3630" i="1"/>
  <c r="W3631" i="1"/>
  <c r="W3632" i="1"/>
  <c r="W3633" i="1"/>
  <c r="W3634" i="1"/>
  <c r="W3635" i="1"/>
  <c r="W3636" i="1"/>
  <c r="W3637" i="1"/>
  <c r="W3638" i="1"/>
  <c r="W3639" i="1"/>
  <c r="W3640" i="1"/>
  <c r="W3641" i="1"/>
  <c r="W3642" i="1"/>
  <c r="W3643" i="1"/>
  <c r="W3644" i="1"/>
  <c r="W3645" i="1"/>
  <c r="W3646" i="1"/>
  <c r="W3647" i="1"/>
  <c r="W3648" i="1"/>
  <c r="W3649" i="1"/>
  <c r="W3650" i="1"/>
  <c r="W3651" i="1"/>
  <c r="W3652" i="1"/>
  <c r="W3653" i="1"/>
  <c r="W3654" i="1"/>
  <c r="W3655" i="1"/>
  <c r="W3656" i="1"/>
  <c r="W3657" i="1"/>
  <c r="W3658" i="1"/>
  <c r="W3659" i="1"/>
  <c r="W3660" i="1"/>
  <c r="W3661" i="1"/>
  <c r="W3662" i="1"/>
  <c r="W3663" i="1"/>
  <c r="W3664" i="1"/>
  <c r="W3665" i="1"/>
  <c r="W3666" i="1"/>
  <c r="W3667" i="1"/>
  <c r="W3668" i="1"/>
  <c r="W3669" i="1"/>
  <c r="W3670" i="1"/>
  <c r="W3671" i="1"/>
  <c r="W3672" i="1"/>
  <c r="W3673" i="1"/>
  <c r="W3674" i="1"/>
  <c r="W3675" i="1"/>
  <c r="W3676" i="1"/>
  <c r="W3677" i="1"/>
  <c r="W3678" i="1"/>
  <c r="W3679" i="1"/>
  <c r="W3680" i="1"/>
  <c r="W3681" i="1"/>
  <c r="W3682" i="1"/>
  <c r="W3683" i="1"/>
  <c r="W3684" i="1"/>
  <c r="W3685" i="1"/>
  <c r="W3686" i="1"/>
  <c r="W3687" i="1"/>
  <c r="W3688" i="1"/>
  <c r="W3689" i="1"/>
  <c r="W3690" i="1"/>
  <c r="W3691" i="1"/>
  <c r="W3692" i="1"/>
  <c r="W3693" i="1"/>
  <c r="W3694" i="1"/>
  <c r="W3695" i="1"/>
  <c r="W3696" i="1"/>
  <c r="W3697" i="1"/>
  <c r="W3698" i="1"/>
  <c r="W3699" i="1"/>
  <c r="W3700" i="1"/>
  <c r="W3701" i="1"/>
  <c r="W3702" i="1"/>
  <c r="W3703" i="1"/>
  <c r="W3704" i="1"/>
  <c r="W3705" i="1"/>
  <c r="W3706" i="1"/>
  <c r="W3707" i="1"/>
  <c r="W3708" i="1"/>
  <c r="W3709" i="1"/>
  <c r="W3710" i="1"/>
  <c r="W3711" i="1"/>
  <c r="W3712" i="1"/>
  <c r="W3713" i="1"/>
  <c r="W3714" i="1"/>
  <c r="W3715" i="1"/>
  <c r="W3716" i="1"/>
  <c r="W3717" i="1"/>
  <c r="W3718" i="1"/>
  <c r="W3719" i="1"/>
  <c r="W3720" i="1"/>
  <c r="W3721" i="1"/>
  <c r="W3722" i="1"/>
  <c r="W3723" i="1"/>
  <c r="W3724" i="1"/>
  <c r="W3725" i="1"/>
  <c r="W3726" i="1"/>
  <c r="W3727" i="1"/>
  <c r="W3728" i="1"/>
  <c r="W3729" i="1"/>
  <c r="W3730" i="1"/>
  <c r="W3731" i="1"/>
  <c r="W3732" i="1"/>
  <c r="W3733" i="1"/>
  <c r="W3734" i="1"/>
  <c r="W3735" i="1"/>
  <c r="W3736" i="1"/>
  <c r="W3737" i="1"/>
  <c r="W3738" i="1"/>
  <c r="W3739" i="1"/>
  <c r="W3740" i="1"/>
  <c r="W3741" i="1"/>
  <c r="W3742" i="1"/>
  <c r="W3743" i="1"/>
  <c r="W3744" i="1"/>
  <c r="W3745" i="1"/>
  <c r="W3746" i="1"/>
  <c r="W3747" i="1"/>
  <c r="W3748" i="1"/>
  <c r="W3749" i="1"/>
  <c r="W3750" i="1"/>
  <c r="W3751" i="1"/>
  <c r="W3752" i="1"/>
  <c r="W3753" i="1"/>
  <c r="W3754" i="1"/>
  <c r="W3755" i="1"/>
  <c r="W3756" i="1"/>
  <c r="W3757" i="1"/>
  <c r="W3758" i="1"/>
  <c r="W3759" i="1"/>
  <c r="W3760" i="1"/>
  <c r="W3761" i="1"/>
  <c r="W3762" i="1"/>
  <c r="W3763" i="1"/>
  <c r="W3764" i="1"/>
  <c r="W3765" i="1"/>
  <c r="W3766" i="1"/>
  <c r="W3767" i="1"/>
  <c r="W3768" i="1"/>
  <c r="W3769" i="1"/>
  <c r="W3770" i="1"/>
  <c r="W3771" i="1"/>
  <c r="W3772" i="1"/>
  <c r="W3773" i="1"/>
  <c r="W3774" i="1"/>
  <c r="W3775" i="1"/>
  <c r="W3776" i="1"/>
  <c r="W3777" i="1"/>
  <c r="W3778" i="1"/>
  <c r="W3779" i="1"/>
  <c r="W3780" i="1"/>
  <c r="W3781" i="1"/>
  <c r="W3782" i="1"/>
  <c r="W3783" i="1"/>
  <c r="W3784" i="1"/>
  <c r="W3785" i="1"/>
  <c r="W3786" i="1"/>
  <c r="W3787" i="1"/>
  <c r="W3788" i="1"/>
  <c r="W3789" i="1"/>
  <c r="W3790" i="1"/>
  <c r="W3791" i="1"/>
  <c r="W3792" i="1"/>
  <c r="W3793" i="1"/>
  <c r="W3794" i="1"/>
  <c r="W3795" i="1"/>
  <c r="W3796" i="1"/>
  <c r="W3797" i="1"/>
  <c r="W3798" i="1"/>
  <c r="W3799" i="1"/>
  <c r="W3800" i="1"/>
  <c r="W3801" i="1"/>
  <c r="W3802" i="1"/>
  <c r="W3803" i="1"/>
  <c r="W3804" i="1"/>
  <c r="W3805" i="1"/>
  <c r="W3806" i="1"/>
  <c r="W3807" i="1"/>
  <c r="W3808" i="1"/>
  <c r="W3809" i="1"/>
  <c r="W3810" i="1"/>
  <c r="W3811" i="1"/>
  <c r="W3812" i="1"/>
  <c r="W3813" i="1"/>
  <c r="W3814" i="1"/>
  <c r="W3815" i="1"/>
  <c r="W3816" i="1"/>
  <c r="W3817" i="1"/>
  <c r="W3818" i="1"/>
  <c r="W3819" i="1"/>
  <c r="W3820" i="1"/>
  <c r="W3821" i="1"/>
  <c r="W3822" i="1"/>
  <c r="W3823" i="1"/>
  <c r="W3824" i="1"/>
  <c r="W3825" i="1"/>
  <c r="W3826" i="1"/>
  <c r="W3827" i="1"/>
  <c r="W3828" i="1"/>
  <c r="W3829" i="1"/>
  <c r="W3830" i="1"/>
  <c r="W3831" i="1"/>
  <c r="W3832" i="1"/>
  <c r="W3833" i="1"/>
  <c r="W3834" i="1"/>
  <c r="W3835" i="1"/>
  <c r="W3836" i="1"/>
  <c r="W3837" i="1"/>
  <c r="W3838" i="1"/>
  <c r="W3839" i="1"/>
  <c r="W3840" i="1"/>
  <c r="W3841" i="1"/>
  <c r="W3842" i="1"/>
  <c r="W3843" i="1"/>
  <c r="W3844" i="1"/>
  <c r="W3845" i="1"/>
  <c r="W3846" i="1"/>
  <c r="W3847" i="1"/>
  <c r="W3848" i="1"/>
  <c r="W3849" i="1"/>
  <c r="W3850" i="1"/>
  <c r="W3851" i="1"/>
  <c r="W3852" i="1"/>
  <c r="W3853" i="1"/>
  <c r="W3854" i="1"/>
  <c r="W3855" i="1"/>
  <c r="W3856" i="1"/>
  <c r="W3857" i="1"/>
  <c r="W3858" i="1"/>
  <c r="W3859" i="1"/>
  <c r="W3860" i="1"/>
  <c r="W3861" i="1"/>
  <c r="W3862" i="1"/>
  <c r="W3863" i="1"/>
  <c r="W3864" i="1"/>
  <c r="W3865" i="1"/>
  <c r="W3866" i="1"/>
  <c r="W3867" i="1"/>
  <c r="W3868" i="1"/>
  <c r="W3869" i="1"/>
  <c r="W3870" i="1"/>
  <c r="W3871" i="1"/>
  <c r="W3872" i="1"/>
  <c r="W3873" i="1"/>
  <c r="W3874" i="1"/>
  <c r="W3875" i="1"/>
  <c r="W3876" i="1"/>
  <c r="W3877" i="1"/>
  <c r="W3878" i="1"/>
  <c r="W3879" i="1"/>
  <c r="W3880" i="1"/>
  <c r="W3881" i="1"/>
  <c r="W3882" i="1"/>
  <c r="W3883" i="1"/>
  <c r="W3884" i="1"/>
  <c r="W3885" i="1"/>
  <c r="W3886" i="1"/>
  <c r="W3887" i="1"/>
  <c r="W3888" i="1"/>
  <c r="W3889" i="1"/>
  <c r="W3890" i="1"/>
  <c r="W3891" i="1"/>
  <c r="W3892" i="1"/>
  <c r="W3893" i="1"/>
  <c r="W3894" i="1"/>
  <c r="W3895" i="1"/>
  <c r="W3896" i="1"/>
  <c r="W3897" i="1"/>
  <c r="W3898" i="1"/>
  <c r="W3899" i="1"/>
  <c r="W3900" i="1"/>
  <c r="W3901" i="1"/>
  <c r="W3902" i="1"/>
  <c r="W3903" i="1"/>
  <c r="W3904" i="1"/>
  <c r="W3905" i="1"/>
  <c r="W3906" i="1"/>
  <c r="W3907" i="1"/>
  <c r="W3908" i="1"/>
  <c r="W3909" i="1"/>
  <c r="W3910" i="1"/>
  <c r="W3911" i="1"/>
  <c r="W3912" i="1"/>
  <c r="W3913" i="1"/>
  <c r="W3914" i="1"/>
  <c r="W3915" i="1"/>
  <c r="W3916" i="1"/>
  <c r="W3917" i="1"/>
  <c r="W3918" i="1"/>
  <c r="W3919" i="1"/>
  <c r="W3920" i="1"/>
  <c r="W3921" i="1"/>
  <c r="W3922" i="1"/>
  <c r="W3923" i="1"/>
  <c r="W3924" i="1"/>
  <c r="W3925" i="1"/>
  <c r="W3926" i="1"/>
  <c r="W3927" i="1"/>
  <c r="W3928" i="1"/>
  <c r="W3929" i="1"/>
  <c r="W3930" i="1"/>
  <c r="W3931" i="1"/>
  <c r="W3932" i="1"/>
  <c r="W3933" i="1"/>
  <c r="W3934" i="1"/>
  <c r="W3935" i="1"/>
  <c r="W3936" i="1"/>
  <c r="W3937" i="1"/>
  <c r="W3938" i="1"/>
  <c r="W3939" i="1"/>
  <c r="W3940" i="1"/>
  <c r="W3941" i="1"/>
  <c r="W3942" i="1"/>
  <c r="W3943" i="1"/>
  <c r="W3944" i="1"/>
  <c r="W3945" i="1"/>
  <c r="W3946" i="1"/>
  <c r="W3947" i="1"/>
  <c r="W3948" i="1"/>
  <c r="W3949" i="1"/>
  <c r="W3950" i="1"/>
  <c r="W3951" i="1"/>
  <c r="W3952" i="1"/>
  <c r="W3953" i="1"/>
  <c r="W3954" i="1"/>
  <c r="W3955" i="1"/>
  <c r="W3956" i="1"/>
  <c r="W3957" i="1"/>
  <c r="W3958" i="1"/>
  <c r="W3959" i="1"/>
  <c r="W3960" i="1"/>
  <c r="W3961" i="1"/>
  <c r="W3962" i="1"/>
  <c r="W3963" i="1"/>
  <c r="W3964" i="1"/>
  <c r="W3965" i="1"/>
  <c r="W3966" i="1"/>
  <c r="W3967" i="1"/>
  <c r="W3968" i="1"/>
  <c r="W3969" i="1"/>
  <c r="W3970" i="1"/>
  <c r="W3971" i="1"/>
  <c r="W3972" i="1"/>
  <c r="W3973" i="1"/>
  <c r="W3974" i="1"/>
  <c r="W3975" i="1"/>
  <c r="W3976" i="1"/>
  <c r="W3977" i="1"/>
  <c r="W3978" i="1"/>
  <c r="W3979" i="1"/>
  <c r="W3980" i="1"/>
  <c r="W3981" i="1"/>
  <c r="W3982" i="1"/>
  <c r="W3983" i="1"/>
  <c r="W3984" i="1"/>
  <c r="W3985" i="1"/>
  <c r="W3986" i="1"/>
  <c r="W3987" i="1"/>
  <c r="W3988" i="1"/>
  <c r="W3989" i="1"/>
  <c r="W3990" i="1"/>
  <c r="W3991" i="1"/>
  <c r="W3992" i="1"/>
  <c r="W3993" i="1"/>
  <c r="W3994" i="1"/>
  <c r="W3995" i="1"/>
  <c r="W3996" i="1"/>
  <c r="W3997" i="1"/>
  <c r="W3998" i="1"/>
  <c r="W3999" i="1"/>
  <c r="W4000" i="1"/>
  <c r="W4001" i="1"/>
  <c r="W4002" i="1"/>
  <c r="W4003" i="1"/>
  <c r="W4004" i="1"/>
  <c r="W4005" i="1"/>
  <c r="W4006" i="1"/>
  <c r="W4007" i="1"/>
  <c r="W4008" i="1"/>
  <c r="W4009" i="1"/>
  <c r="W4010" i="1"/>
  <c r="W4011" i="1"/>
  <c r="W4012" i="1"/>
  <c r="W4013" i="1"/>
  <c r="W4014" i="1"/>
  <c r="W4015" i="1"/>
  <c r="W4016" i="1"/>
  <c r="W4017" i="1"/>
  <c r="W4018" i="1"/>
  <c r="W4019" i="1"/>
  <c r="W4020" i="1"/>
  <c r="W4021" i="1"/>
  <c r="W4022" i="1"/>
  <c r="W4023" i="1"/>
  <c r="W4024" i="1"/>
  <c r="W4025" i="1"/>
  <c r="W4026" i="1"/>
  <c r="W4027" i="1"/>
  <c r="W4028" i="1"/>
  <c r="W4029" i="1"/>
  <c r="W4030" i="1"/>
  <c r="W4031" i="1"/>
  <c r="W4032" i="1"/>
  <c r="W4033" i="1"/>
  <c r="W4034" i="1"/>
  <c r="W4035" i="1"/>
  <c r="W4036" i="1"/>
  <c r="W4037" i="1"/>
  <c r="W4038" i="1"/>
  <c r="W4039" i="1"/>
  <c r="W4040" i="1"/>
  <c r="W4041" i="1"/>
  <c r="W4042" i="1"/>
  <c r="W4043" i="1"/>
  <c r="W4044" i="1"/>
  <c r="W4045" i="1"/>
  <c r="W4046" i="1"/>
  <c r="W4047" i="1"/>
  <c r="W4048" i="1"/>
  <c r="W4049" i="1"/>
  <c r="W4050" i="1"/>
  <c r="W4051" i="1"/>
  <c r="W4052" i="1"/>
  <c r="W4053" i="1"/>
  <c r="W4054" i="1"/>
  <c r="W4055" i="1"/>
  <c r="W4056" i="1"/>
  <c r="W4057" i="1"/>
  <c r="W4058" i="1"/>
  <c r="W4059" i="1"/>
  <c r="W4060" i="1"/>
  <c r="W4061" i="1"/>
  <c r="W4062" i="1"/>
  <c r="W4063" i="1"/>
  <c r="W4064" i="1"/>
  <c r="W4065" i="1"/>
  <c r="W4066" i="1"/>
  <c r="W4067" i="1"/>
  <c r="W4068" i="1"/>
  <c r="W4069" i="1"/>
  <c r="W4070" i="1"/>
  <c r="W4071" i="1"/>
  <c r="W4072" i="1"/>
  <c r="W4073" i="1"/>
  <c r="W4074" i="1"/>
  <c r="W4075" i="1"/>
  <c r="W4076" i="1"/>
  <c r="W4077" i="1"/>
  <c r="W4078" i="1"/>
  <c r="W4079" i="1"/>
  <c r="W4080" i="1"/>
  <c r="W4081" i="1"/>
  <c r="W4082" i="1"/>
  <c r="W4083" i="1"/>
  <c r="W4084" i="1"/>
  <c r="W4085" i="1"/>
  <c r="W4086" i="1"/>
  <c r="W4087" i="1"/>
  <c r="W4088" i="1"/>
  <c r="W4089" i="1"/>
  <c r="W4090" i="1"/>
  <c r="W4091" i="1"/>
  <c r="W4092" i="1"/>
  <c r="W4093" i="1"/>
  <c r="W4094" i="1"/>
  <c r="W4095" i="1"/>
  <c r="W4096" i="1"/>
  <c r="W4097" i="1"/>
  <c r="W4098" i="1"/>
  <c r="W4099" i="1"/>
  <c r="W4100" i="1"/>
  <c r="W4101" i="1"/>
  <c r="W4102" i="1"/>
  <c r="W4103" i="1"/>
  <c r="W4104" i="1"/>
  <c r="W4105" i="1"/>
  <c r="W4106" i="1"/>
  <c r="W4107" i="1"/>
  <c r="W4108" i="1"/>
  <c r="W4109" i="1"/>
  <c r="W4110" i="1"/>
  <c r="W4111" i="1"/>
  <c r="W4112" i="1"/>
  <c r="W4113" i="1"/>
  <c r="W4114" i="1"/>
  <c r="W4115" i="1"/>
  <c r="W4116" i="1"/>
  <c r="W4117" i="1"/>
  <c r="W4118" i="1"/>
  <c r="W4119" i="1"/>
  <c r="W4120" i="1"/>
  <c r="W4121" i="1"/>
  <c r="W4122" i="1"/>
  <c r="W4123" i="1"/>
  <c r="W4124" i="1"/>
  <c r="W4125" i="1"/>
  <c r="W4126" i="1"/>
  <c r="W4127" i="1"/>
  <c r="W4128" i="1"/>
  <c r="W4129" i="1"/>
  <c r="W4130" i="1"/>
  <c r="W4131" i="1"/>
  <c r="W4132" i="1"/>
  <c r="W4133" i="1"/>
  <c r="W4134" i="1"/>
  <c r="W4135" i="1"/>
  <c r="W4136" i="1"/>
  <c r="W4137" i="1"/>
  <c r="W4138" i="1"/>
  <c r="W4139" i="1"/>
  <c r="W4140" i="1"/>
  <c r="W4141" i="1"/>
  <c r="W4142" i="1"/>
  <c r="W4143" i="1"/>
  <c r="W4144" i="1"/>
  <c r="W4145" i="1"/>
  <c r="W4146" i="1"/>
  <c r="W4147" i="1"/>
  <c r="W4148" i="1"/>
  <c r="W4149" i="1"/>
  <c r="W4150" i="1"/>
  <c r="W4151" i="1"/>
  <c r="W4152" i="1"/>
  <c r="W4153" i="1"/>
  <c r="W4154" i="1"/>
  <c r="W4155" i="1"/>
  <c r="W4156" i="1"/>
  <c r="W4157" i="1"/>
  <c r="W4158" i="1"/>
  <c r="W4159" i="1"/>
  <c r="W4160" i="1"/>
  <c r="W4161" i="1"/>
  <c r="W4162" i="1"/>
  <c r="W4163" i="1"/>
  <c r="W4164" i="1"/>
  <c r="W4165" i="1"/>
  <c r="W4166" i="1"/>
  <c r="W4167" i="1"/>
  <c r="W4168" i="1"/>
  <c r="W4169" i="1"/>
  <c r="W4170" i="1"/>
  <c r="W4171" i="1"/>
  <c r="W4172" i="1"/>
  <c r="W4173" i="1"/>
  <c r="W4174" i="1"/>
  <c r="W4175" i="1"/>
  <c r="W4176" i="1"/>
  <c r="W4177" i="1"/>
  <c r="W4178" i="1"/>
  <c r="W4179" i="1"/>
  <c r="W4180" i="1"/>
  <c r="W4181" i="1"/>
  <c r="W4182" i="1"/>
  <c r="W4183" i="1"/>
  <c r="W4184" i="1"/>
  <c r="W4185" i="1"/>
  <c r="W4186" i="1"/>
  <c r="W4187" i="1"/>
  <c r="W4188" i="1"/>
  <c r="W4189" i="1"/>
  <c r="W4190" i="1"/>
  <c r="W4191" i="1"/>
  <c r="W4192" i="1"/>
  <c r="W4193" i="1"/>
  <c r="W4194" i="1"/>
  <c r="W4195" i="1"/>
  <c r="W4196" i="1"/>
  <c r="W4197" i="1"/>
  <c r="W4198" i="1"/>
  <c r="W4199" i="1"/>
  <c r="W4200" i="1"/>
  <c r="W4201" i="1"/>
  <c r="W4202" i="1"/>
  <c r="W4203" i="1"/>
  <c r="W4204" i="1"/>
  <c r="W4205" i="1"/>
  <c r="W4206" i="1"/>
  <c r="W4207" i="1"/>
  <c r="W4208" i="1"/>
  <c r="W4209" i="1"/>
  <c r="W4210" i="1"/>
  <c r="W4211" i="1"/>
  <c r="W4212" i="1"/>
  <c r="W4213" i="1"/>
  <c r="W4214" i="1"/>
  <c r="W4215" i="1"/>
  <c r="W4216" i="1"/>
  <c r="W4217" i="1"/>
  <c r="W4218" i="1"/>
  <c r="W4219" i="1"/>
  <c r="W4220" i="1"/>
  <c r="W4221" i="1"/>
  <c r="W4222" i="1"/>
  <c r="W4223" i="1"/>
  <c r="W4224" i="1"/>
  <c r="W4225" i="1"/>
  <c r="W4226" i="1"/>
  <c r="W4227" i="1"/>
  <c r="W4228" i="1"/>
  <c r="W4229" i="1"/>
  <c r="W4230" i="1"/>
  <c r="W4231" i="1"/>
  <c r="W4232" i="1"/>
  <c r="W4233" i="1"/>
  <c r="W4234" i="1"/>
  <c r="W4235" i="1"/>
  <c r="W4236" i="1"/>
  <c r="W4237" i="1"/>
  <c r="W4238" i="1"/>
  <c r="W4239" i="1"/>
  <c r="W4240" i="1"/>
  <c r="W4241" i="1"/>
  <c r="W4242" i="1"/>
  <c r="W4243" i="1"/>
  <c r="W4244" i="1"/>
  <c r="W4245" i="1"/>
  <c r="W4246" i="1"/>
  <c r="W4247" i="1"/>
  <c r="W4248" i="1"/>
  <c r="W4249" i="1"/>
  <c r="W4250" i="1"/>
  <c r="W4251" i="1"/>
  <c r="W4252" i="1"/>
  <c r="W4253" i="1"/>
  <c r="W4254" i="1"/>
  <c r="W4255" i="1"/>
  <c r="W4256" i="1"/>
  <c r="W4257" i="1"/>
  <c r="W4258" i="1"/>
  <c r="W4259" i="1"/>
  <c r="W4260" i="1"/>
  <c r="W4261" i="1"/>
  <c r="W4262" i="1"/>
  <c r="W4263" i="1"/>
  <c r="W4264" i="1"/>
  <c r="W4265" i="1"/>
  <c r="W4266" i="1"/>
  <c r="W4267" i="1"/>
  <c r="W4268" i="1"/>
  <c r="W4269" i="1"/>
  <c r="W4270" i="1"/>
  <c r="W4271" i="1"/>
  <c r="W4272" i="1"/>
  <c r="W4273" i="1"/>
  <c r="W4274" i="1"/>
  <c r="W4275" i="1"/>
  <c r="W4276" i="1"/>
  <c r="W4277" i="1"/>
  <c r="W4278" i="1"/>
  <c r="W4279" i="1"/>
  <c r="W4280" i="1"/>
  <c r="W4281" i="1"/>
  <c r="W4282" i="1"/>
  <c r="W4283" i="1"/>
  <c r="W4284" i="1"/>
  <c r="W4285" i="1"/>
  <c r="W4286" i="1"/>
  <c r="W4287" i="1"/>
  <c r="W4288" i="1"/>
  <c r="W4289" i="1"/>
  <c r="W4290" i="1"/>
  <c r="W4291" i="1"/>
  <c r="W4292" i="1"/>
  <c r="W4293" i="1"/>
  <c r="W4294" i="1"/>
  <c r="W4295" i="1"/>
  <c r="W4296" i="1"/>
  <c r="W4297" i="1"/>
  <c r="W4298" i="1"/>
  <c r="W4299" i="1"/>
  <c r="W4300" i="1"/>
  <c r="W4301" i="1"/>
  <c r="W4302" i="1"/>
  <c r="W4303" i="1"/>
  <c r="W4304" i="1"/>
  <c r="W4305" i="1"/>
  <c r="W4306" i="1"/>
  <c r="W4307" i="1"/>
  <c r="W4308" i="1"/>
  <c r="W4309" i="1"/>
  <c r="W4310" i="1"/>
  <c r="W4311" i="1"/>
  <c r="W4312" i="1"/>
  <c r="W4313" i="1"/>
  <c r="W4314" i="1"/>
  <c r="W4315" i="1"/>
  <c r="W4316" i="1"/>
  <c r="W4317" i="1"/>
  <c r="W4318" i="1"/>
  <c r="W4319" i="1"/>
  <c r="W4320" i="1"/>
  <c r="W4321" i="1"/>
  <c r="W4322" i="1"/>
  <c r="W4323" i="1"/>
  <c r="W4324" i="1"/>
  <c r="W4325" i="1"/>
  <c r="W4326" i="1"/>
  <c r="W4327" i="1"/>
  <c r="W4328" i="1"/>
  <c r="W4329" i="1"/>
  <c r="W4330" i="1"/>
  <c r="W4331" i="1"/>
  <c r="W4332" i="1"/>
  <c r="W4333" i="1"/>
  <c r="W4334" i="1"/>
  <c r="W4335" i="1"/>
  <c r="W4336" i="1"/>
  <c r="W4337" i="1"/>
  <c r="W4338" i="1"/>
  <c r="W4339" i="1"/>
  <c r="W4340" i="1"/>
  <c r="W4341" i="1"/>
  <c r="W4342" i="1"/>
  <c r="W4343" i="1"/>
  <c r="W4344" i="1"/>
  <c r="W4345" i="1"/>
  <c r="W4346" i="1"/>
  <c r="W4347" i="1"/>
  <c r="W4348" i="1"/>
  <c r="W4349" i="1"/>
  <c r="W4350" i="1"/>
  <c r="W4351" i="1"/>
  <c r="W4352" i="1"/>
  <c r="W4353" i="1"/>
  <c r="W4354" i="1"/>
  <c r="W4355" i="1"/>
  <c r="W4356" i="1"/>
  <c r="W4357" i="1"/>
  <c r="W4358" i="1"/>
  <c r="W4359" i="1"/>
  <c r="W4360" i="1"/>
  <c r="W4361" i="1"/>
  <c r="W4362" i="1"/>
  <c r="W4363" i="1"/>
  <c r="W4364" i="1"/>
  <c r="W4365" i="1"/>
  <c r="W4366" i="1"/>
  <c r="W4367" i="1"/>
  <c r="W4368" i="1"/>
  <c r="W4369" i="1"/>
  <c r="W4370" i="1"/>
  <c r="W4371" i="1"/>
  <c r="W4372" i="1"/>
  <c r="W4373" i="1"/>
  <c r="W4374" i="1"/>
  <c r="W4375" i="1"/>
  <c r="W4376" i="1"/>
  <c r="W4377" i="1"/>
  <c r="W4378" i="1"/>
  <c r="W4379" i="1"/>
  <c r="W4380" i="1"/>
  <c r="W4381" i="1"/>
  <c r="W4382" i="1"/>
  <c r="W4383" i="1"/>
  <c r="W4384" i="1"/>
  <c r="W4385" i="1"/>
  <c r="W4386" i="1"/>
  <c r="W4387" i="1"/>
  <c r="W4388" i="1"/>
  <c r="W4389" i="1"/>
  <c r="W4390" i="1"/>
  <c r="W4391" i="1"/>
  <c r="W4392" i="1"/>
  <c r="W4393" i="1"/>
  <c r="W4394" i="1"/>
  <c r="W4395" i="1"/>
  <c r="W4396" i="1"/>
  <c r="W4397" i="1"/>
  <c r="W4398" i="1"/>
  <c r="W4399" i="1"/>
  <c r="W4400" i="1"/>
  <c r="W4401" i="1"/>
  <c r="W4402" i="1"/>
  <c r="W4403" i="1"/>
  <c r="W4404" i="1"/>
  <c r="W4405" i="1"/>
  <c r="W4406" i="1"/>
  <c r="W4407" i="1"/>
  <c r="W4408" i="1"/>
  <c r="W4409" i="1"/>
  <c r="W4410" i="1"/>
  <c r="W4411" i="1"/>
  <c r="W4412" i="1"/>
  <c r="W4413" i="1"/>
  <c r="W4414" i="1"/>
  <c r="W4415" i="1"/>
  <c r="W4416" i="1"/>
  <c r="W4417" i="1"/>
  <c r="W4418" i="1"/>
  <c r="W4419" i="1"/>
  <c r="W4420" i="1"/>
  <c r="W4421" i="1"/>
  <c r="W4422" i="1"/>
  <c r="W4423" i="1"/>
  <c r="W4424" i="1"/>
  <c r="W4425" i="1"/>
  <c r="W4426" i="1"/>
  <c r="W4427" i="1"/>
  <c r="W4428" i="1"/>
  <c r="W4429" i="1"/>
  <c r="W4430" i="1"/>
  <c r="W4431" i="1"/>
  <c r="W4432" i="1"/>
  <c r="W4433" i="1"/>
  <c r="W4434" i="1"/>
  <c r="W4435" i="1"/>
  <c r="W4436" i="1"/>
  <c r="W4437" i="1"/>
  <c r="W4438" i="1"/>
  <c r="W4439" i="1"/>
  <c r="W4440" i="1"/>
  <c r="W4441" i="1"/>
  <c r="W4442" i="1"/>
  <c r="W4443" i="1"/>
  <c r="W4444" i="1"/>
  <c r="W4445" i="1"/>
  <c r="W4446" i="1"/>
  <c r="W4447" i="1"/>
  <c r="W4448" i="1"/>
  <c r="W4449" i="1"/>
  <c r="W4450" i="1"/>
  <c r="W4451" i="1"/>
  <c r="W4452" i="1"/>
  <c r="W4453" i="1"/>
  <c r="W4454" i="1"/>
  <c r="W4455" i="1"/>
  <c r="W4456" i="1"/>
  <c r="W4457" i="1"/>
  <c r="W4458" i="1"/>
  <c r="W4459" i="1"/>
  <c r="W4460" i="1"/>
  <c r="W4461" i="1"/>
  <c r="W4462" i="1"/>
  <c r="W4463" i="1"/>
  <c r="W4464" i="1"/>
  <c r="W4465" i="1"/>
  <c r="W4466" i="1"/>
  <c r="W4467" i="1"/>
  <c r="W4468" i="1"/>
  <c r="W4469" i="1"/>
  <c r="W4470" i="1"/>
  <c r="W4471" i="1"/>
  <c r="W4472" i="1"/>
  <c r="W4473" i="1"/>
  <c r="W4474" i="1"/>
  <c r="W4475" i="1"/>
  <c r="W4476" i="1"/>
  <c r="W4477" i="1"/>
  <c r="W4478" i="1"/>
  <c r="W4479" i="1"/>
  <c r="W4480" i="1"/>
  <c r="W4481" i="1"/>
  <c r="W4482" i="1"/>
  <c r="W4483" i="1"/>
  <c r="W4484" i="1"/>
  <c r="W4485" i="1"/>
  <c r="W4486" i="1"/>
  <c r="W4487" i="1"/>
  <c r="W4488" i="1"/>
  <c r="W4489" i="1"/>
  <c r="W4490" i="1"/>
  <c r="W4491" i="1"/>
  <c r="W4492" i="1"/>
  <c r="W4493" i="1"/>
  <c r="W4494" i="1"/>
  <c r="W4495" i="1"/>
  <c r="W4496" i="1"/>
  <c r="W4497" i="1"/>
  <c r="W4498" i="1"/>
  <c r="W4499" i="1"/>
  <c r="W4500" i="1"/>
  <c r="W4501" i="1"/>
  <c r="W4502" i="1"/>
  <c r="W4503" i="1"/>
  <c r="W4504" i="1"/>
  <c r="W4505" i="1"/>
  <c r="W4506" i="1"/>
  <c r="W4507" i="1"/>
  <c r="W4508" i="1"/>
  <c r="W4509" i="1"/>
  <c r="W4510" i="1"/>
  <c r="W4511" i="1"/>
  <c r="W4512" i="1"/>
  <c r="W4513" i="1"/>
  <c r="W4514" i="1"/>
  <c r="W4515" i="1"/>
  <c r="W4516" i="1"/>
  <c r="W4517" i="1"/>
  <c r="W4518" i="1"/>
  <c r="W4519" i="1"/>
  <c r="W4520" i="1"/>
  <c r="W4521" i="1"/>
  <c r="W4522" i="1"/>
  <c r="W4523" i="1"/>
  <c r="W4524" i="1"/>
  <c r="W4525" i="1"/>
  <c r="W4526" i="1"/>
  <c r="W4527" i="1"/>
  <c r="W4528" i="1"/>
  <c r="W4529" i="1"/>
  <c r="W4530" i="1"/>
  <c r="W4531" i="1"/>
  <c r="W4532" i="1"/>
  <c r="W4533" i="1"/>
  <c r="W4534" i="1"/>
  <c r="W4535" i="1"/>
  <c r="W4536" i="1"/>
  <c r="W4537" i="1"/>
  <c r="W4538" i="1"/>
  <c r="W4539" i="1"/>
  <c r="W4540" i="1"/>
  <c r="W4541" i="1"/>
  <c r="W4542" i="1"/>
  <c r="W4543" i="1"/>
  <c r="W4544" i="1"/>
  <c r="W4545" i="1"/>
  <c r="W4546" i="1"/>
  <c r="W4547" i="1"/>
  <c r="W4548" i="1"/>
  <c r="W4549" i="1"/>
  <c r="W4550" i="1"/>
  <c r="W4551" i="1"/>
  <c r="W4552" i="1"/>
  <c r="W4553" i="1"/>
  <c r="W4554" i="1"/>
  <c r="W4555" i="1"/>
  <c r="W4556" i="1"/>
  <c r="W4557" i="1"/>
  <c r="W4558" i="1"/>
  <c r="W4559" i="1"/>
  <c r="W4560" i="1"/>
  <c r="W4561" i="1"/>
  <c r="W4562" i="1"/>
  <c r="W4563" i="1"/>
  <c r="W4564" i="1"/>
  <c r="W4565" i="1"/>
  <c r="W4566" i="1"/>
  <c r="W4567" i="1"/>
  <c r="W4568" i="1"/>
  <c r="W4569" i="1"/>
  <c r="W4570" i="1"/>
  <c r="W4571" i="1"/>
  <c r="W4572" i="1"/>
  <c r="W4573" i="1"/>
  <c r="W4574" i="1"/>
  <c r="W4575" i="1"/>
  <c r="W4576" i="1"/>
  <c r="W4577" i="1"/>
  <c r="W4578" i="1"/>
  <c r="W4579" i="1"/>
  <c r="W4580" i="1"/>
  <c r="W4581" i="1"/>
  <c r="W4582" i="1"/>
  <c r="W4583" i="1"/>
  <c r="W4584" i="1"/>
  <c r="W4585" i="1"/>
  <c r="W4586" i="1"/>
  <c r="W4587" i="1"/>
  <c r="W4588" i="1"/>
  <c r="W4589" i="1"/>
  <c r="W4590" i="1"/>
  <c r="W4591" i="1"/>
  <c r="W4592" i="1"/>
  <c r="W4593" i="1"/>
  <c r="W4594" i="1"/>
  <c r="W4595" i="1"/>
  <c r="W4596" i="1"/>
  <c r="W4597" i="1"/>
  <c r="W4598" i="1"/>
  <c r="W4599" i="1"/>
  <c r="W4600" i="1"/>
  <c r="W4601" i="1"/>
  <c r="W4602" i="1"/>
  <c r="W4603" i="1"/>
  <c r="W4604" i="1"/>
  <c r="W4605" i="1"/>
  <c r="W4606" i="1"/>
  <c r="W4607" i="1"/>
  <c r="W4608" i="1"/>
  <c r="W4609" i="1"/>
  <c r="W4610" i="1"/>
  <c r="W4611" i="1"/>
  <c r="W4612" i="1"/>
  <c r="W4613" i="1"/>
  <c r="W4614" i="1"/>
  <c r="W4615" i="1"/>
  <c r="W4616" i="1"/>
  <c r="W4617" i="1"/>
  <c r="W4618" i="1"/>
  <c r="W4619" i="1"/>
  <c r="W4620" i="1"/>
  <c r="W4621" i="1"/>
  <c r="W4622" i="1"/>
  <c r="W4623" i="1"/>
  <c r="W4624" i="1"/>
  <c r="W4625" i="1"/>
  <c r="W4626" i="1"/>
  <c r="W4627" i="1"/>
  <c r="W4628" i="1"/>
  <c r="W4629" i="1"/>
  <c r="W4630" i="1"/>
  <c r="W4631" i="1"/>
  <c r="W4632" i="1"/>
  <c r="W4633" i="1"/>
  <c r="W4634" i="1"/>
  <c r="W4635" i="1"/>
  <c r="W4636" i="1"/>
  <c r="W4637" i="1"/>
  <c r="W4638" i="1"/>
  <c r="W4639" i="1"/>
  <c r="W4640" i="1"/>
  <c r="W4641" i="1"/>
  <c r="W4642" i="1"/>
  <c r="W4643" i="1"/>
  <c r="W4644" i="1"/>
  <c r="W4645" i="1"/>
  <c r="W4646" i="1"/>
  <c r="W4647" i="1"/>
  <c r="W4648" i="1"/>
  <c r="W4649" i="1"/>
  <c r="W4650" i="1"/>
  <c r="W4651" i="1"/>
  <c r="W4652" i="1"/>
  <c r="W4653" i="1"/>
  <c r="W4654" i="1"/>
  <c r="W4655" i="1"/>
  <c r="W4656" i="1"/>
  <c r="W4657" i="1"/>
  <c r="W4658" i="1"/>
  <c r="W4659" i="1"/>
  <c r="W4660" i="1"/>
  <c r="W4661" i="1"/>
  <c r="W4662" i="1"/>
  <c r="W4663" i="1"/>
  <c r="W4664" i="1"/>
  <c r="W4665" i="1"/>
  <c r="W4666" i="1"/>
  <c r="W4667" i="1"/>
  <c r="W4668" i="1"/>
  <c r="W4669" i="1"/>
  <c r="W4670" i="1"/>
  <c r="W4671" i="1"/>
  <c r="W4672" i="1"/>
  <c r="W4673" i="1"/>
  <c r="W4674" i="1"/>
  <c r="W4675" i="1"/>
  <c r="W4676" i="1"/>
  <c r="W4677" i="1"/>
  <c r="W4678" i="1"/>
  <c r="W4679" i="1"/>
  <c r="W4680" i="1"/>
  <c r="W4681" i="1"/>
  <c r="W4682" i="1"/>
  <c r="W4683" i="1"/>
  <c r="W4684" i="1"/>
  <c r="W4685" i="1"/>
  <c r="W4686" i="1"/>
  <c r="W4687" i="1"/>
  <c r="W4688" i="1"/>
  <c r="W4689" i="1"/>
  <c r="W4690" i="1"/>
  <c r="W4691" i="1"/>
  <c r="W4692" i="1"/>
  <c r="W4693" i="1"/>
  <c r="W4694" i="1"/>
  <c r="W4695" i="1"/>
  <c r="W4696" i="1"/>
  <c r="W4697" i="1"/>
  <c r="W4698" i="1"/>
  <c r="W4699" i="1"/>
  <c r="W4700" i="1"/>
  <c r="W4701" i="1"/>
  <c r="W4702" i="1"/>
  <c r="W4703" i="1"/>
  <c r="W4704" i="1"/>
  <c r="W4705" i="1"/>
  <c r="W4706" i="1"/>
  <c r="W4707" i="1"/>
  <c r="W4708" i="1"/>
  <c r="W4709" i="1"/>
  <c r="W4710" i="1"/>
  <c r="W4711" i="1"/>
  <c r="W4712" i="1"/>
  <c r="W4713" i="1"/>
  <c r="W4714" i="1"/>
  <c r="W4715" i="1"/>
  <c r="W4716" i="1"/>
  <c r="W4717" i="1"/>
  <c r="W4718" i="1"/>
  <c r="W4719" i="1"/>
  <c r="W4720" i="1"/>
  <c r="W4721" i="1"/>
  <c r="W4722" i="1"/>
  <c r="W4723" i="1"/>
  <c r="W4724" i="1"/>
  <c r="W4725" i="1"/>
  <c r="W4726" i="1"/>
  <c r="W4727" i="1"/>
  <c r="W4728" i="1"/>
  <c r="W4729" i="1"/>
  <c r="W4730" i="1"/>
  <c r="W4731" i="1"/>
  <c r="W4732" i="1"/>
  <c r="W4733" i="1"/>
  <c r="W4734" i="1"/>
  <c r="W4735" i="1"/>
  <c r="W4736" i="1"/>
  <c r="W4737" i="1"/>
  <c r="W4738" i="1"/>
  <c r="W4739" i="1"/>
  <c r="W4740" i="1"/>
  <c r="W4741" i="1"/>
  <c r="W4742" i="1"/>
  <c r="W4743" i="1"/>
  <c r="W4744" i="1"/>
  <c r="W4745" i="1"/>
  <c r="W4746" i="1"/>
  <c r="W4747" i="1"/>
  <c r="W4748" i="1"/>
  <c r="W4749" i="1"/>
  <c r="W4750" i="1"/>
  <c r="W4751" i="1"/>
  <c r="W4752" i="1"/>
  <c r="W4753" i="1"/>
  <c r="W4754" i="1"/>
  <c r="W4755" i="1"/>
  <c r="W4756" i="1"/>
  <c r="W4757" i="1"/>
  <c r="W4758" i="1"/>
  <c r="W4759" i="1"/>
  <c r="W4760" i="1"/>
  <c r="W4761" i="1"/>
  <c r="W4762" i="1"/>
  <c r="W4763" i="1"/>
  <c r="W4764" i="1"/>
  <c r="W4765" i="1"/>
  <c r="W4766" i="1"/>
  <c r="W4767" i="1"/>
  <c r="W4768" i="1"/>
  <c r="W4769" i="1"/>
  <c r="W4770" i="1"/>
  <c r="W4771" i="1"/>
  <c r="W4772" i="1"/>
  <c r="W4773" i="1"/>
  <c r="W4774" i="1"/>
  <c r="W4775" i="1"/>
  <c r="W4776" i="1"/>
  <c r="W4777" i="1"/>
  <c r="W4778" i="1"/>
  <c r="W4779" i="1"/>
  <c r="W4780" i="1"/>
  <c r="W4781" i="1"/>
  <c r="W4782" i="1"/>
  <c r="W4783" i="1"/>
  <c r="W4784" i="1"/>
  <c r="W4785" i="1"/>
  <c r="W4786" i="1"/>
  <c r="W4787" i="1"/>
  <c r="W4788" i="1"/>
  <c r="W4789" i="1"/>
  <c r="W4790" i="1"/>
  <c r="W4791" i="1"/>
  <c r="W4792" i="1"/>
  <c r="W4793" i="1"/>
  <c r="W4794" i="1"/>
  <c r="W4795" i="1"/>
  <c r="W4796" i="1"/>
  <c r="W4797" i="1"/>
  <c r="W4798" i="1"/>
  <c r="W4799" i="1"/>
  <c r="W4800" i="1"/>
  <c r="W4801" i="1"/>
  <c r="W4802" i="1"/>
  <c r="W4803" i="1"/>
  <c r="W4804" i="1"/>
  <c r="W4805" i="1"/>
  <c r="W4806" i="1"/>
  <c r="W4807" i="1"/>
  <c r="W4808" i="1"/>
  <c r="W4809" i="1"/>
  <c r="W4810" i="1"/>
  <c r="W4811" i="1"/>
  <c r="W4812" i="1"/>
  <c r="W4813" i="1"/>
  <c r="W4814" i="1"/>
  <c r="W4815" i="1"/>
  <c r="W4816" i="1"/>
  <c r="W4817" i="1"/>
  <c r="W4818" i="1"/>
  <c r="W4819" i="1"/>
  <c r="W4820" i="1"/>
  <c r="W4821" i="1"/>
  <c r="W4822" i="1"/>
  <c r="W4823" i="1"/>
  <c r="W4824" i="1"/>
  <c r="W4825" i="1"/>
  <c r="W4826" i="1"/>
  <c r="W4827" i="1"/>
  <c r="W4828" i="1"/>
  <c r="W4829" i="1"/>
  <c r="W4830" i="1"/>
  <c r="W4831" i="1"/>
  <c r="W4832" i="1"/>
  <c r="W4833" i="1"/>
  <c r="W4834" i="1"/>
  <c r="W4835" i="1"/>
  <c r="W4836" i="1"/>
  <c r="W4837" i="1"/>
  <c r="W4838" i="1"/>
  <c r="W4839" i="1"/>
  <c r="W4840" i="1"/>
  <c r="W4841" i="1"/>
  <c r="W4842" i="1"/>
  <c r="W4843" i="1"/>
  <c r="W4844" i="1"/>
  <c r="W4845" i="1"/>
  <c r="W4846" i="1"/>
  <c r="W4847" i="1"/>
  <c r="W4848" i="1"/>
  <c r="W4849" i="1"/>
  <c r="W4850" i="1"/>
  <c r="W4851" i="1"/>
  <c r="W4852" i="1"/>
  <c r="W4853" i="1"/>
  <c r="W4854" i="1"/>
  <c r="W4855" i="1"/>
  <c r="W4856" i="1"/>
  <c r="W4857" i="1"/>
  <c r="W4858" i="1"/>
  <c r="W4859" i="1"/>
  <c r="W4860" i="1"/>
  <c r="W4861" i="1"/>
  <c r="W4862" i="1"/>
  <c r="W4863" i="1"/>
  <c r="W4864" i="1"/>
  <c r="W4865" i="1"/>
  <c r="W4866" i="1"/>
  <c r="W4867" i="1"/>
  <c r="W4868" i="1"/>
  <c r="W4869" i="1"/>
  <c r="W4870" i="1"/>
  <c r="W4871" i="1"/>
  <c r="W4872" i="1"/>
  <c r="W4873" i="1"/>
  <c r="W4874" i="1"/>
  <c r="W4875" i="1"/>
  <c r="W4876" i="1"/>
  <c r="W4877" i="1"/>
  <c r="W4878" i="1"/>
  <c r="W4879" i="1"/>
  <c r="W4880" i="1"/>
  <c r="W4881" i="1"/>
  <c r="W4882" i="1"/>
  <c r="W4883" i="1"/>
  <c r="W4884" i="1"/>
  <c r="W4885" i="1"/>
  <c r="W4886" i="1"/>
  <c r="W4887" i="1"/>
  <c r="W4888" i="1"/>
  <c r="W4889" i="1"/>
  <c r="W4890" i="1"/>
  <c r="W4891" i="1"/>
  <c r="W4892" i="1"/>
  <c r="W4893" i="1"/>
  <c r="W4894" i="1"/>
  <c r="W4895" i="1"/>
  <c r="W4896" i="1"/>
  <c r="W4897" i="1"/>
  <c r="W4898" i="1"/>
  <c r="W4899" i="1"/>
  <c r="W4900" i="1"/>
  <c r="W4901" i="1"/>
  <c r="W4902" i="1"/>
  <c r="W4903" i="1"/>
  <c r="W4904" i="1"/>
  <c r="W4905" i="1"/>
  <c r="W4906" i="1"/>
  <c r="W4907" i="1"/>
  <c r="W4908" i="1"/>
  <c r="W4909" i="1"/>
  <c r="W4910" i="1"/>
  <c r="W4911" i="1"/>
  <c r="W4912" i="1"/>
  <c r="W4913" i="1"/>
  <c r="W4914" i="1"/>
  <c r="W4915" i="1"/>
  <c r="W4916" i="1"/>
  <c r="W4917" i="1"/>
  <c r="W4918" i="1"/>
  <c r="W4919" i="1"/>
  <c r="W4920" i="1"/>
  <c r="W4921" i="1"/>
  <c r="W4922" i="1"/>
  <c r="W4923" i="1"/>
  <c r="W4924" i="1"/>
  <c r="W4925" i="1"/>
  <c r="W4926" i="1"/>
  <c r="W4927" i="1"/>
  <c r="W4928" i="1"/>
  <c r="W4929" i="1"/>
  <c r="W4930" i="1"/>
  <c r="W4931" i="1"/>
  <c r="W4932" i="1"/>
  <c r="W4933" i="1"/>
  <c r="W4934" i="1"/>
  <c r="W4935" i="1"/>
  <c r="W4936" i="1"/>
  <c r="W4937" i="1"/>
  <c r="W4938" i="1"/>
  <c r="W4939" i="1"/>
  <c r="W4940" i="1"/>
  <c r="W4941" i="1"/>
  <c r="W4942" i="1"/>
  <c r="W4943" i="1"/>
  <c r="W4944" i="1"/>
  <c r="W4945" i="1"/>
  <c r="W4946" i="1"/>
  <c r="W4947" i="1"/>
  <c r="W4948" i="1"/>
  <c r="W4949" i="1"/>
  <c r="W4950" i="1"/>
  <c r="W4951" i="1"/>
  <c r="W4952" i="1"/>
  <c r="W4953" i="1"/>
  <c r="W4954" i="1"/>
  <c r="W4955" i="1"/>
  <c r="W4956" i="1"/>
  <c r="W4957" i="1"/>
  <c r="W4958" i="1"/>
  <c r="W4959" i="1"/>
  <c r="W4960" i="1"/>
  <c r="W4961" i="1"/>
  <c r="W4962" i="1"/>
  <c r="W4963" i="1"/>
  <c r="W4964" i="1"/>
  <c r="W4965" i="1"/>
  <c r="W4966" i="1"/>
  <c r="W4967" i="1"/>
  <c r="W4968" i="1"/>
  <c r="W4969" i="1"/>
  <c r="W4970" i="1"/>
  <c r="W4971" i="1"/>
  <c r="W4972" i="1"/>
  <c r="W4973" i="1"/>
  <c r="W4974" i="1"/>
  <c r="W4975" i="1"/>
  <c r="W4976" i="1"/>
  <c r="W4977" i="1"/>
  <c r="W4978" i="1"/>
  <c r="W4979" i="1"/>
  <c r="W4980" i="1"/>
  <c r="W4981" i="1"/>
  <c r="W4982" i="1"/>
  <c r="W4983" i="1"/>
  <c r="W4984" i="1"/>
  <c r="W4985" i="1"/>
  <c r="W4986" i="1"/>
  <c r="W4987" i="1"/>
  <c r="W4988" i="1"/>
  <c r="W4989" i="1"/>
  <c r="W4990" i="1"/>
  <c r="W4991" i="1"/>
  <c r="W4992" i="1"/>
  <c r="W4993" i="1"/>
  <c r="W4994" i="1"/>
  <c r="W4995" i="1"/>
  <c r="W4996" i="1"/>
  <c r="W4997" i="1"/>
  <c r="W4998" i="1"/>
  <c r="W4999" i="1"/>
  <c r="W5000" i="1"/>
  <c r="W5001" i="1"/>
  <c r="W5002" i="1"/>
  <c r="W5003" i="1"/>
  <c r="W5004" i="1"/>
  <c r="W5005" i="1"/>
  <c r="W5006" i="1"/>
  <c r="W5007" i="1"/>
  <c r="W5008" i="1"/>
  <c r="W5009" i="1"/>
  <c r="W5010" i="1"/>
  <c r="W5011" i="1"/>
  <c r="W5012" i="1"/>
  <c r="W5013" i="1"/>
  <c r="W5014" i="1"/>
  <c r="W5015" i="1"/>
  <c r="W5016" i="1"/>
  <c r="W5017" i="1"/>
  <c r="W5018" i="1"/>
  <c r="W5019" i="1"/>
  <c r="W5020" i="1"/>
  <c r="W5021" i="1"/>
  <c r="W5022" i="1"/>
  <c r="W5023" i="1"/>
  <c r="W5024" i="1"/>
  <c r="W5025" i="1"/>
  <c r="W5026" i="1"/>
  <c r="W5027" i="1"/>
  <c r="W5028" i="1"/>
  <c r="W5029" i="1"/>
  <c r="W5030" i="1"/>
  <c r="W5031" i="1"/>
  <c r="W5032" i="1"/>
  <c r="W5033" i="1"/>
  <c r="W5034" i="1"/>
  <c r="W5035" i="1"/>
  <c r="W5036" i="1"/>
  <c r="W5037" i="1"/>
  <c r="W5038" i="1"/>
  <c r="W5039" i="1"/>
  <c r="W5040" i="1"/>
  <c r="W5041" i="1"/>
  <c r="W5042" i="1"/>
  <c r="W5043" i="1"/>
  <c r="W5044" i="1"/>
  <c r="W5045" i="1"/>
  <c r="W5046" i="1"/>
  <c r="W5047" i="1"/>
  <c r="W5048" i="1"/>
  <c r="W5049" i="1"/>
  <c r="W5050" i="1"/>
  <c r="W5051" i="1"/>
  <c r="W5052" i="1"/>
  <c r="W5053" i="1"/>
  <c r="W5054" i="1"/>
  <c r="W5055" i="1"/>
  <c r="W5056" i="1"/>
  <c r="W5057" i="1"/>
  <c r="W5058" i="1"/>
  <c r="W5059" i="1"/>
  <c r="W5060" i="1"/>
  <c r="W5061" i="1"/>
  <c r="W5062" i="1"/>
  <c r="W5063" i="1"/>
  <c r="W5064" i="1"/>
  <c r="W5065" i="1"/>
  <c r="W5066" i="1"/>
  <c r="W5067" i="1"/>
  <c r="W5068" i="1"/>
  <c r="W5069" i="1"/>
  <c r="W5070" i="1"/>
  <c r="W5071" i="1"/>
  <c r="W5072" i="1"/>
  <c r="W5073" i="1"/>
  <c r="W5074" i="1"/>
  <c r="W5075" i="1"/>
  <c r="W5076" i="1"/>
  <c r="W5077" i="1"/>
  <c r="W5078" i="1"/>
  <c r="W5079" i="1"/>
  <c r="W5080" i="1"/>
  <c r="W5081" i="1"/>
  <c r="W5082" i="1"/>
  <c r="W5083" i="1"/>
  <c r="W5084" i="1"/>
  <c r="W5085" i="1"/>
  <c r="W5086" i="1"/>
  <c r="W5087" i="1"/>
  <c r="W5088" i="1"/>
  <c r="W5089" i="1"/>
  <c r="W5090" i="1"/>
  <c r="W5091" i="1"/>
  <c r="W5092" i="1"/>
  <c r="W5093" i="1"/>
  <c r="W5094" i="1"/>
  <c r="W5095" i="1"/>
  <c r="W5096" i="1"/>
  <c r="W5097" i="1"/>
  <c r="W5098" i="1"/>
  <c r="W5099" i="1"/>
  <c r="W5100" i="1"/>
  <c r="W5101" i="1"/>
  <c r="W5102" i="1"/>
  <c r="W5103" i="1"/>
  <c r="W5104" i="1"/>
  <c r="W5105" i="1"/>
  <c r="W5106" i="1"/>
  <c r="W5107" i="1"/>
  <c r="W5108" i="1"/>
  <c r="W5109" i="1"/>
  <c r="W5110" i="1"/>
  <c r="W5111" i="1"/>
  <c r="W5112" i="1"/>
  <c r="W5113" i="1"/>
  <c r="W5114" i="1"/>
  <c r="W5115" i="1"/>
  <c r="W5116" i="1"/>
  <c r="W5117" i="1"/>
  <c r="W5118" i="1"/>
  <c r="W5119" i="1"/>
  <c r="W5120" i="1"/>
  <c r="W5121" i="1"/>
  <c r="W5122" i="1"/>
  <c r="W5123" i="1"/>
  <c r="W5124" i="1"/>
  <c r="W5125" i="1"/>
  <c r="W5126" i="1"/>
  <c r="W5127" i="1"/>
  <c r="W5128" i="1"/>
  <c r="W5129" i="1"/>
  <c r="W5130" i="1"/>
  <c r="W5131" i="1"/>
  <c r="W5132" i="1"/>
  <c r="W5133" i="1"/>
  <c r="W5134" i="1"/>
  <c r="W5135" i="1"/>
  <c r="W5136" i="1"/>
  <c r="W5137" i="1"/>
  <c r="W5138" i="1"/>
  <c r="W5139" i="1"/>
  <c r="W5140" i="1"/>
  <c r="W5141" i="1"/>
  <c r="W5142" i="1"/>
  <c r="W5143" i="1"/>
  <c r="W5144" i="1"/>
  <c r="W5145" i="1"/>
  <c r="W5146" i="1"/>
  <c r="W5147" i="1"/>
  <c r="W5148" i="1"/>
  <c r="W5149" i="1"/>
  <c r="W5150" i="1"/>
  <c r="W5151" i="1"/>
  <c r="W5152" i="1"/>
  <c r="W5153" i="1"/>
  <c r="W5154" i="1"/>
  <c r="W5155" i="1"/>
  <c r="W5156" i="1"/>
  <c r="W5157" i="1"/>
  <c r="W5158" i="1"/>
  <c r="W5159" i="1"/>
  <c r="W5160" i="1"/>
  <c r="W5161" i="1"/>
  <c r="W5162" i="1"/>
  <c r="W5163" i="1"/>
  <c r="W5164" i="1"/>
  <c r="W5165" i="1"/>
  <c r="W5166" i="1"/>
  <c r="W5167" i="1"/>
  <c r="W5168" i="1"/>
  <c r="W5169" i="1"/>
  <c r="W5170" i="1"/>
  <c r="W5171" i="1"/>
  <c r="W5172" i="1"/>
  <c r="W5173" i="1"/>
  <c r="W5174" i="1"/>
  <c r="W5175" i="1"/>
  <c r="W5176" i="1"/>
  <c r="W5177" i="1"/>
  <c r="W5178" i="1"/>
  <c r="W5179" i="1"/>
  <c r="W5180" i="1"/>
  <c r="W5181" i="1"/>
  <c r="W5182" i="1"/>
  <c r="W5183" i="1"/>
  <c r="W5184" i="1"/>
  <c r="W5185" i="1"/>
  <c r="W5186" i="1"/>
  <c r="W5187" i="1"/>
  <c r="W5188" i="1"/>
  <c r="W5189" i="1"/>
  <c r="W5190" i="1"/>
  <c r="W5191" i="1"/>
  <c r="W5192" i="1"/>
  <c r="W5193" i="1"/>
  <c r="W5194" i="1"/>
  <c r="W5195" i="1"/>
  <c r="W5196" i="1"/>
  <c r="W5197" i="1"/>
  <c r="W5198" i="1"/>
  <c r="W5199" i="1"/>
  <c r="W5200" i="1"/>
  <c r="W5201" i="1"/>
  <c r="W5202" i="1"/>
  <c r="W5203" i="1"/>
  <c r="W5204" i="1"/>
  <c r="W5205" i="1"/>
  <c r="W5206" i="1"/>
  <c r="W5207" i="1"/>
  <c r="W5208" i="1"/>
  <c r="W5209" i="1"/>
  <c r="W5210" i="1"/>
  <c r="W5211" i="1"/>
  <c r="W5212" i="1"/>
  <c r="W5213" i="1"/>
  <c r="W5214" i="1"/>
  <c r="W5215" i="1"/>
  <c r="W5216" i="1"/>
  <c r="W5217" i="1"/>
  <c r="W5218" i="1"/>
  <c r="W5219" i="1"/>
  <c r="W5220" i="1"/>
  <c r="W5221" i="1"/>
  <c r="W5222" i="1"/>
  <c r="W5223" i="1"/>
  <c r="W5224" i="1"/>
  <c r="W5225" i="1"/>
  <c r="W5226" i="1"/>
  <c r="W5227" i="1"/>
  <c r="W5228" i="1"/>
  <c r="W5229" i="1"/>
  <c r="W5230" i="1"/>
  <c r="W5231" i="1"/>
  <c r="W5232" i="1"/>
  <c r="W5233" i="1"/>
  <c r="W5234" i="1"/>
  <c r="W5235" i="1"/>
  <c r="W5236" i="1"/>
  <c r="W5237" i="1"/>
  <c r="W5238" i="1"/>
  <c r="W5239" i="1"/>
  <c r="W5240" i="1"/>
  <c r="W5241" i="1"/>
  <c r="W5242" i="1"/>
  <c r="W5243" i="1"/>
  <c r="W5244" i="1"/>
  <c r="W5245" i="1"/>
  <c r="W5246" i="1"/>
  <c r="W5247" i="1"/>
  <c r="W5248" i="1"/>
  <c r="W5249" i="1"/>
  <c r="W5250" i="1"/>
  <c r="W5251" i="1"/>
  <c r="W5252" i="1"/>
  <c r="W5253" i="1"/>
  <c r="W5254" i="1"/>
  <c r="W5255" i="1"/>
  <c r="W5256" i="1"/>
  <c r="W5257" i="1"/>
  <c r="W5258" i="1"/>
  <c r="W5259" i="1"/>
  <c r="W5260" i="1"/>
  <c r="W5261" i="1"/>
  <c r="W5262" i="1"/>
  <c r="W5263" i="1"/>
  <c r="W5264" i="1"/>
  <c r="W5265" i="1"/>
  <c r="W5266" i="1"/>
  <c r="W5267" i="1"/>
  <c r="W5268" i="1"/>
  <c r="W5269" i="1"/>
  <c r="W5270" i="1"/>
  <c r="W5271" i="1"/>
  <c r="W5272" i="1"/>
  <c r="W5273" i="1"/>
  <c r="W5274" i="1"/>
  <c r="W5275" i="1"/>
  <c r="W5276" i="1"/>
  <c r="W5277" i="1"/>
  <c r="W5278" i="1"/>
  <c r="W5279" i="1"/>
  <c r="W5280" i="1"/>
  <c r="W5281" i="1"/>
  <c r="W5282" i="1"/>
  <c r="W5283" i="1"/>
  <c r="W5284" i="1"/>
  <c r="W5285" i="1"/>
  <c r="W5286" i="1"/>
  <c r="W5287" i="1"/>
  <c r="W5288" i="1"/>
  <c r="W5289" i="1"/>
  <c r="W5290" i="1"/>
  <c r="W5291" i="1"/>
  <c r="W5292" i="1"/>
  <c r="W5293" i="1"/>
  <c r="W5294" i="1"/>
  <c r="W5295" i="1"/>
  <c r="W5296" i="1"/>
  <c r="W5297" i="1"/>
  <c r="W5298" i="1"/>
  <c r="W5299" i="1"/>
  <c r="W5300" i="1"/>
  <c r="W5301" i="1"/>
  <c r="W5302" i="1"/>
  <c r="W5303" i="1"/>
  <c r="W5304" i="1"/>
  <c r="W5305" i="1"/>
  <c r="W5306" i="1"/>
  <c r="W5307" i="1"/>
  <c r="W5308" i="1"/>
  <c r="W5309" i="1"/>
  <c r="W5310" i="1"/>
  <c r="W5311" i="1"/>
  <c r="W5312" i="1"/>
  <c r="W5313" i="1"/>
  <c r="W5314" i="1"/>
  <c r="W5315" i="1"/>
  <c r="W5316" i="1"/>
  <c r="W5317" i="1"/>
  <c r="W5318" i="1"/>
  <c r="W5319" i="1"/>
  <c r="W5320" i="1"/>
  <c r="W5321" i="1"/>
  <c r="W5322" i="1"/>
  <c r="W5323" i="1"/>
  <c r="W5324" i="1"/>
  <c r="W5325" i="1"/>
  <c r="W5326" i="1"/>
  <c r="W5327" i="1"/>
  <c r="W5328" i="1"/>
  <c r="W5329" i="1"/>
  <c r="W5330" i="1"/>
  <c r="W5331" i="1"/>
  <c r="W5332" i="1"/>
  <c r="W5333" i="1"/>
  <c r="W5334" i="1"/>
  <c r="W5335" i="1"/>
  <c r="W5336" i="1"/>
  <c r="W2" i="1"/>
  <c r="U3846" i="1"/>
  <c r="T1375" i="1"/>
  <c r="T2261" i="1"/>
  <c r="T2705" i="1"/>
  <c r="T3303" i="1"/>
  <c r="T3548" i="1"/>
  <c r="T3759" i="1"/>
  <c r="T3903" i="1"/>
  <c r="T4001" i="1"/>
  <c r="T4112" i="1"/>
  <c r="T4286" i="1"/>
  <c r="T4373" i="1"/>
  <c r="T4460" i="1"/>
  <c r="T4564" i="1"/>
  <c r="T4635" i="1"/>
  <c r="T4719" i="1"/>
  <c r="T4780" i="1"/>
  <c r="T4828" i="1"/>
  <c r="T4876" i="1"/>
  <c r="T4924" i="1"/>
  <c r="T4972" i="1"/>
  <c r="T5020" i="1"/>
  <c r="T5068" i="1"/>
  <c r="X5068" i="1" s="1"/>
  <c r="Y5068" i="1" s="1"/>
  <c r="T5116" i="1"/>
  <c r="X5116" i="1" s="1"/>
  <c r="Y5116" i="1" s="1"/>
  <c r="T5164" i="1"/>
  <c r="T5212" i="1"/>
  <c r="T5260" i="1"/>
  <c r="T5308" i="1"/>
  <c r="L5312" i="1"/>
  <c r="L5309" i="1"/>
  <c r="L5290" i="1"/>
  <c r="L5289" i="1"/>
  <c r="L5281" i="1"/>
  <c r="L5273" i="1"/>
  <c r="L5272" i="1"/>
  <c r="L5263" i="1"/>
  <c r="L5261" i="1"/>
  <c r="L5260" i="1"/>
  <c r="L5256" i="1"/>
  <c r="Q5256" i="1" s="1"/>
  <c r="V5256" i="1" s="1"/>
  <c r="L5253" i="1"/>
  <c r="Q5253" i="1" s="1"/>
  <c r="V5253" i="1" s="1"/>
  <c r="L5252" i="1"/>
  <c r="L5251" i="1"/>
  <c r="L5250" i="1"/>
  <c r="L5243" i="1"/>
  <c r="L5242" i="1"/>
  <c r="L5241" i="1"/>
  <c r="L5240" i="1"/>
  <c r="L5232" i="1"/>
  <c r="L5231" i="1"/>
  <c r="L5230" i="1"/>
  <c r="L5229" i="1"/>
  <c r="Q5229" i="1" s="1"/>
  <c r="V5229" i="1" s="1"/>
  <c r="L5223" i="1"/>
  <c r="L5219" i="1"/>
  <c r="L5218" i="1"/>
  <c r="L5217" i="1"/>
  <c r="L5211" i="1"/>
  <c r="L5207" i="1"/>
  <c r="L5206" i="1"/>
  <c r="L5205" i="1"/>
  <c r="L5204" i="1"/>
  <c r="L5203" i="1"/>
  <c r="L5202" i="1"/>
  <c r="L5201" i="1"/>
  <c r="Q5201" i="1" s="1"/>
  <c r="V5201" i="1" s="1"/>
  <c r="L5200" i="1"/>
  <c r="Q5200" i="1" s="1"/>
  <c r="V5200" i="1" s="1"/>
  <c r="L5199" i="1"/>
  <c r="L5198" i="1"/>
  <c r="L5197" i="1"/>
  <c r="L5191" i="1"/>
  <c r="L5188" i="1"/>
  <c r="L5186" i="1"/>
  <c r="L5184" i="1"/>
  <c r="L5175" i="1"/>
  <c r="L5157" i="1"/>
  <c r="L5153" i="1"/>
  <c r="L5149" i="1"/>
  <c r="Q5149" i="1" s="1"/>
  <c r="V5149" i="1" s="1"/>
  <c r="L5147" i="1"/>
  <c r="Q5147" i="1" s="1"/>
  <c r="V5147" i="1" s="1"/>
  <c r="L5146" i="1"/>
  <c r="L5144" i="1"/>
  <c r="L5124" i="1"/>
  <c r="L5120" i="1"/>
  <c r="L5104" i="1"/>
  <c r="L5100" i="1"/>
  <c r="L5094" i="1"/>
  <c r="L5086" i="1"/>
  <c r="L5085" i="1"/>
  <c r="L5083" i="1"/>
  <c r="L5082" i="1"/>
  <c r="Q5082" i="1" s="1"/>
  <c r="V5082" i="1" s="1"/>
  <c r="L5081" i="1"/>
  <c r="Q5081" i="1" s="1"/>
  <c r="V5081" i="1" s="1"/>
  <c r="L5080" i="1"/>
  <c r="L5079" i="1"/>
  <c r="L5071" i="1"/>
  <c r="L5058" i="1"/>
  <c r="L5056" i="1"/>
  <c r="L5028" i="1"/>
  <c r="L5026" i="1"/>
  <c r="L5025" i="1"/>
  <c r="L5024" i="1"/>
  <c r="L5008" i="1"/>
  <c r="L5005" i="1"/>
  <c r="Q5005" i="1" s="1"/>
  <c r="V5005" i="1" s="1"/>
  <c r="L4937" i="1"/>
  <c r="Q4937" i="1" s="1"/>
  <c r="V4937" i="1" s="1"/>
  <c r="L4897" i="1"/>
  <c r="L4896" i="1"/>
  <c r="L4834" i="1"/>
  <c r="L4802" i="1"/>
  <c r="L4754" i="1"/>
  <c r="L4752" i="1"/>
  <c r="L4742" i="1"/>
  <c r="L4740" i="1"/>
  <c r="L4739" i="1"/>
  <c r="L4718" i="1"/>
  <c r="L4711" i="1"/>
  <c r="Q4711" i="1" s="1"/>
  <c r="V4711" i="1" s="1"/>
  <c r="L4710" i="1"/>
  <c r="Q4710" i="1" s="1"/>
  <c r="V4710" i="1" s="1"/>
  <c r="L4706" i="1"/>
  <c r="L4705" i="1"/>
  <c r="L4693" i="1"/>
  <c r="L4692" i="1"/>
  <c r="L4691" i="1"/>
  <c r="L4690" i="1"/>
  <c r="L4689" i="1"/>
  <c r="L4686" i="1"/>
  <c r="L4685" i="1"/>
  <c r="L4679" i="1"/>
  <c r="L4677" i="1"/>
  <c r="Q4677" i="1" s="1"/>
  <c r="V4677" i="1" s="1"/>
  <c r="L4672" i="1"/>
  <c r="Q4672" i="1" s="1"/>
  <c r="V4672" i="1" s="1"/>
  <c r="L4663" i="1"/>
  <c r="L4660" i="1"/>
  <c r="L4658" i="1"/>
  <c r="L4656" i="1"/>
  <c r="L4649" i="1"/>
  <c r="L4648" i="1"/>
  <c r="L4639" i="1"/>
  <c r="L4633" i="1"/>
  <c r="L4631" i="1"/>
  <c r="L4629" i="1"/>
  <c r="L4628" i="1"/>
  <c r="Q4628" i="1" s="1"/>
  <c r="V4628" i="1" s="1"/>
  <c r="L4622" i="1"/>
  <c r="Q4622" i="1" s="1"/>
  <c r="V4622" i="1" s="1"/>
  <c r="L4611" i="1"/>
  <c r="L4610" i="1"/>
  <c r="L4609" i="1"/>
  <c r="L4608" i="1"/>
  <c r="L4607" i="1"/>
  <c r="L4606" i="1"/>
  <c r="L4605" i="1"/>
  <c r="L4604" i="1"/>
  <c r="L4603" i="1"/>
  <c r="L4602" i="1"/>
  <c r="L4601" i="1"/>
  <c r="Q4601" i="1" s="1"/>
  <c r="V4601" i="1" s="1"/>
  <c r="L4600" i="1"/>
  <c r="Q4600" i="1" s="1"/>
  <c r="V4600" i="1" s="1"/>
  <c r="L4599" i="1"/>
  <c r="L4595" i="1"/>
  <c r="L4594" i="1"/>
  <c r="L4593" i="1"/>
  <c r="L4592" i="1"/>
  <c r="L4591" i="1"/>
  <c r="L4590" i="1"/>
  <c r="L4589" i="1"/>
  <c r="L4588" i="1"/>
  <c r="L4587" i="1"/>
  <c r="L4585" i="1"/>
  <c r="Q4585" i="1" s="1"/>
  <c r="V4585" i="1" s="1"/>
  <c r="L4584" i="1"/>
  <c r="Q4584" i="1" s="1"/>
  <c r="V4584" i="1" s="1"/>
  <c r="L4583" i="1"/>
  <c r="L4582" i="1"/>
  <c r="L4580" i="1"/>
  <c r="L4579" i="1"/>
  <c r="L4578" i="1"/>
  <c r="L4577" i="1"/>
  <c r="L4576" i="1"/>
  <c r="L4575" i="1"/>
  <c r="L4574" i="1"/>
  <c r="L4573" i="1"/>
  <c r="L4566" i="1"/>
  <c r="Q4566" i="1" s="1"/>
  <c r="V4566" i="1" s="1"/>
  <c r="L4565" i="1"/>
  <c r="Q4565" i="1" s="1"/>
  <c r="V4565" i="1" s="1"/>
  <c r="L4564" i="1"/>
  <c r="L4563" i="1"/>
  <c r="L4562" i="1"/>
  <c r="L4561" i="1"/>
  <c r="L4557" i="1"/>
  <c r="L4556" i="1"/>
  <c r="L4555" i="1"/>
  <c r="L4554" i="1"/>
  <c r="L4553" i="1"/>
  <c r="L4552" i="1"/>
  <c r="L4531" i="1"/>
  <c r="Q4531" i="1" s="1"/>
  <c r="V4531" i="1" s="1"/>
  <c r="L4529" i="1"/>
  <c r="Q4529" i="1" s="1"/>
  <c r="V4529" i="1" s="1"/>
  <c r="L4528" i="1"/>
  <c r="L4527" i="1"/>
  <c r="L4516" i="1"/>
  <c r="L4514" i="1"/>
  <c r="L4512" i="1"/>
  <c r="L4510" i="1"/>
  <c r="L4500" i="1"/>
  <c r="L4491" i="1"/>
  <c r="L4478" i="1"/>
  <c r="L4470" i="1"/>
  <c r="L4445" i="1"/>
  <c r="Q4445" i="1" s="1"/>
  <c r="V4445" i="1" s="1"/>
  <c r="L4356" i="1"/>
  <c r="Q4356" i="1" s="1"/>
  <c r="V4356" i="1" s="1"/>
  <c r="L4270" i="1"/>
  <c r="L4241" i="1"/>
  <c r="L4129" i="1"/>
  <c r="L4128" i="1"/>
  <c r="L4116" i="1"/>
  <c r="L4109" i="1"/>
  <c r="L4102" i="1"/>
  <c r="L4101" i="1"/>
  <c r="L4100" i="1"/>
  <c r="L4098" i="1"/>
  <c r="L4091" i="1"/>
  <c r="Q4091" i="1" s="1"/>
  <c r="V4091" i="1" s="1"/>
  <c r="L4078" i="1"/>
  <c r="Q4078" i="1" s="1"/>
  <c r="V4078" i="1" s="1"/>
  <c r="L4074" i="1"/>
  <c r="L4068" i="1"/>
  <c r="L4067" i="1"/>
  <c r="L4057" i="1"/>
  <c r="L4055" i="1"/>
  <c r="L4053" i="1"/>
  <c r="L4051" i="1"/>
  <c r="L4049" i="1"/>
  <c r="L4044" i="1"/>
  <c r="L4040" i="1"/>
  <c r="L3986" i="1"/>
  <c r="L3984" i="1"/>
  <c r="Q3984" i="1" s="1"/>
  <c r="V3984" i="1" s="1"/>
  <c r="L3982" i="1"/>
  <c r="L3973" i="1"/>
  <c r="L3972" i="1"/>
  <c r="L3970" i="1"/>
  <c r="L3969" i="1"/>
  <c r="L3968" i="1"/>
  <c r="L3967" i="1"/>
  <c r="L3941" i="1"/>
  <c r="L3940" i="1"/>
  <c r="L3939" i="1"/>
  <c r="L3938" i="1"/>
  <c r="L3931" i="1"/>
  <c r="Q3931" i="1" s="1"/>
  <c r="V3931" i="1" s="1"/>
  <c r="L3928" i="1"/>
  <c r="L3926" i="1"/>
  <c r="L3925" i="1"/>
  <c r="L3923" i="1"/>
  <c r="L3922" i="1"/>
  <c r="L3921" i="1"/>
  <c r="L3847" i="1"/>
  <c r="L3815" i="1"/>
  <c r="L3812" i="1"/>
  <c r="L3810" i="1"/>
  <c r="L3804" i="1"/>
  <c r="Q3804" i="1" s="1"/>
  <c r="V3804" i="1" s="1"/>
  <c r="L3802" i="1"/>
  <c r="Q3802" i="1" s="1"/>
  <c r="V3802" i="1" s="1"/>
  <c r="L3800" i="1"/>
  <c r="L3792" i="1"/>
  <c r="L3791" i="1"/>
  <c r="L3789" i="1"/>
  <c r="L3776" i="1"/>
  <c r="L3755" i="1"/>
  <c r="L3695" i="1"/>
  <c r="L3679" i="1"/>
  <c r="L3677" i="1"/>
  <c r="L3671" i="1"/>
  <c r="L3667" i="1"/>
  <c r="Q3667" i="1" s="1"/>
  <c r="V3667" i="1" s="1"/>
  <c r="L3665" i="1"/>
  <c r="Q3665" i="1" s="1"/>
  <c r="V3665" i="1" s="1"/>
  <c r="L3664" i="1"/>
  <c r="L3662" i="1"/>
  <c r="L3660" i="1"/>
  <c r="L3628" i="1"/>
  <c r="L3600" i="1"/>
  <c r="L3568" i="1"/>
  <c r="L3567" i="1"/>
  <c r="L3566" i="1"/>
  <c r="L3564" i="1"/>
  <c r="L3490" i="1"/>
  <c r="L3461" i="1"/>
  <c r="Q3461" i="1" s="1"/>
  <c r="V3461" i="1" s="1"/>
  <c r="L3430" i="1"/>
  <c r="Q3430" i="1" s="1"/>
  <c r="V3430" i="1" s="1"/>
  <c r="L3413" i="1"/>
  <c r="L3412" i="1"/>
  <c r="L3404" i="1"/>
  <c r="L3403" i="1"/>
  <c r="L3402" i="1"/>
  <c r="L3369" i="1"/>
  <c r="L3368" i="1"/>
  <c r="L3364" i="1"/>
  <c r="L3353" i="1"/>
  <c r="L3350" i="1"/>
  <c r="L3342" i="1"/>
  <c r="Q3342" i="1" s="1"/>
  <c r="V3342" i="1" s="1"/>
  <c r="L3296" i="1"/>
  <c r="Q3296" i="1" s="1"/>
  <c r="V3296" i="1" s="1"/>
  <c r="L3284" i="1"/>
  <c r="L3280" i="1"/>
  <c r="L3278" i="1"/>
  <c r="L3274" i="1"/>
  <c r="L3272" i="1"/>
  <c r="L3266" i="1"/>
  <c r="L3264" i="1"/>
  <c r="L3261" i="1"/>
  <c r="L3228" i="1"/>
  <c r="L3224" i="1"/>
  <c r="L3222" i="1"/>
  <c r="Q3222" i="1" s="1"/>
  <c r="V3222" i="1" s="1"/>
  <c r="L3215" i="1"/>
  <c r="Q3215" i="1" s="1"/>
  <c r="V3215" i="1" s="1"/>
  <c r="L3214" i="1"/>
  <c r="L3206" i="1"/>
  <c r="L3205" i="1"/>
  <c r="L3204" i="1"/>
  <c r="L3189" i="1"/>
  <c r="L3188" i="1"/>
  <c r="L3181" i="1"/>
  <c r="L3180" i="1"/>
  <c r="L3178" i="1"/>
  <c r="L3174" i="1"/>
  <c r="L3173" i="1"/>
  <c r="Q3173" i="1" s="1"/>
  <c r="V3173" i="1" s="1"/>
  <c r="L3172" i="1"/>
  <c r="Q3172" i="1" s="1"/>
  <c r="V3172" i="1" s="1"/>
  <c r="L3171" i="1"/>
  <c r="L3164" i="1"/>
  <c r="L3163" i="1"/>
  <c r="L3162" i="1"/>
  <c r="L3161" i="1"/>
  <c r="L3160" i="1"/>
  <c r="L3151" i="1"/>
  <c r="L3147" i="1"/>
  <c r="L3133" i="1"/>
  <c r="L3132" i="1"/>
  <c r="L3127" i="1"/>
  <c r="Q3127" i="1" s="1"/>
  <c r="V3127" i="1" s="1"/>
  <c r="L3120" i="1"/>
  <c r="Q3120" i="1" s="1"/>
  <c r="V3120" i="1" s="1"/>
  <c r="L3119" i="1"/>
  <c r="L3118" i="1"/>
  <c r="L3117" i="1"/>
  <c r="L3113" i="1"/>
  <c r="L3112" i="1"/>
  <c r="L3111" i="1"/>
  <c r="L3107" i="1"/>
  <c r="L3106" i="1"/>
  <c r="L3105" i="1"/>
  <c r="L3104" i="1"/>
  <c r="L3102" i="1"/>
  <c r="Q3102" i="1" s="1"/>
  <c r="V3102" i="1" s="1"/>
  <c r="L3100" i="1"/>
  <c r="Q3100" i="1" s="1"/>
  <c r="V3100" i="1" s="1"/>
  <c r="L3099" i="1"/>
  <c r="L3098" i="1"/>
  <c r="L3095" i="1"/>
  <c r="L3091" i="1"/>
  <c r="L3082" i="1"/>
  <c r="L3067" i="1"/>
  <c r="L3065" i="1"/>
  <c r="L3061" i="1"/>
  <c r="L3060" i="1"/>
  <c r="L3058" i="1"/>
  <c r="L3056" i="1"/>
  <c r="Q3056" i="1" s="1"/>
  <c r="V3056" i="1" s="1"/>
  <c r="L3053" i="1"/>
  <c r="Q3053" i="1" s="1"/>
  <c r="V3053" i="1" s="1"/>
  <c r="L3037" i="1"/>
  <c r="L3036" i="1"/>
  <c r="L3035" i="1"/>
  <c r="L3026" i="1"/>
  <c r="L3025" i="1"/>
  <c r="L3024" i="1"/>
  <c r="L3015" i="1"/>
  <c r="L3014" i="1"/>
  <c r="L3012" i="1"/>
  <c r="L3001" i="1"/>
  <c r="L3000" i="1"/>
  <c r="Q3000" i="1" s="1"/>
  <c r="V3000" i="1" s="1"/>
  <c r="L2999" i="1"/>
  <c r="Q2999" i="1" s="1"/>
  <c r="V2999" i="1" s="1"/>
  <c r="L2991" i="1"/>
  <c r="L2988" i="1"/>
  <c r="L2987" i="1"/>
  <c r="L2986" i="1"/>
  <c r="L2985" i="1"/>
  <c r="L2945" i="1"/>
  <c r="L2942" i="1"/>
  <c r="L2941" i="1"/>
  <c r="L2940" i="1"/>
  <c r="L2939" i="1"/>
  <c r="L2938" i="1"/>
  <c r="Q2938" i="1" s="1"/>
  <c r="V2938" i="1" s="1"/>
  <c r="L2937" i="1"/>
  <c r="Q2937" i="1" s="1"/>
  <c r="V2937" i="1" s="1"/>
  <c r="L2927" i="1"/>
  <c r="L2926" i="1"/>
  <c r="L2925" i="1"/>
  <c r="L2924" i="1"/>
  <c r="L2923" i="1"/>
  <c r="L2922" i="1"/>
  <c r="L2921" i="1"/>
  <c r="L2920" i="1"/>
  <c r="L2919" i="1"/>
  <c r="L2918" i="1"/>
  <c r="L2917" i="1"/>
  <c r="Q2917" i="1" s="1"/>
  <c r="V2917" i="1" s="1"/>
  <c r="L2911" i="1"/>
  <c r="Q2911" i="1" s="1"/>
  <c r="V2911" i="1" s="1"/>
  <c r="L2910" i="1"/>
  <c r="L2908" i="1"/>
  <c r="L2907" i="1"/>
  <c r="L2906" i="1"/>
  <c r="L2905" i="1"/>
  <c r="L2900" i="1"/>
  <c r="L2898" i="1"/>
  <c r="L2897" i="1"/>
  <c r="L2895" i="1"/>
  <c r="L2894" i="1"/>
  <c r="L2893" i="1"/>
  <c r="Q2893" i="1" s="1"/>
  <c r="V2893" i="1" s="1"/>
  <c r="L2892" i="1"/>
  <c r="Q2892" i="1" s="1"/>
  <c r="V2892" i="1" s="1"/>
  <c r="L2891" i="1"/>
  <c r="L2860" i="1"/>
  <c r="L2858" i="1"/>
  <c r="L2829" i="1"/>
  <c r="L2818" i="1"/>
  <c r="L2807" i="1"/>
  <c r="L2782" i="1"/>
  <c r="L2745" i="1"/>
  <c r="L2731" i="1"/>
  <c r="L2720" i="1"/>
  <c r="L2716" i="1"/>
  <c r="Q2716" i="1" s="1"/>
  <c r="V2716" i="1" s="1"/>
  <c r="L2712" i="1"/>
  <c r="Q2712" i="1" s="1"/>
  <c r="V2712" i="1" s="1"/>
  <c r="L2700" i="1"/>
  <c r="L2699" i="1"/>
  <c r="L2698" i="1"/>
  <c r="L2688" i="1"/>
  <c r="L2686" i="1"/>
  <c r="L2681" i="1"/>
  <c r="L2678" i="1"/>
  <c r="L2676" i="1"/>
  <c r="L2674" i="1"/>
  <c r="L2665" i="1"/>
  <c r="L2652" i="1"/>
  <c r="Q2652" i="1" s="1"/>
  <c r="V2652" i="1" s="1"/>
  <c r="L2651" i="1"/>
  <c r="Q2651" i="1" s="1"/>
  <c r="V2651" i="1" s="1"/>
  <c r="L2650" i="1"/>
  <c r="L2648" i="1"/>
  <c r="L2628" i="1"/>
  <c r="L2627" i="1"/>
  <c r="L2621" i="1"/>
  <c r="L2615" i="1"/>
  <c r="L2614" i="1"/>
  <c r="L2613" i="1"/>
  <c r="L2612" i="1"/>
  <c r="L2610" i="1"/>
  <c r="L2609" i="1"/>
  <c r="Q2609" i="1" s="1"/>
  <c r="V2609" i="1" s="1"/>
  <c r="L2608" i="1"/>
  <c r="Q2608" i="1" s="1"/>
  <c r="V2608" i="1" s="1"/>
  <c r="L2607" i="1"/>
  <c r="L2606" i="1"/>
  <c r="L2605" i="1"/>
  <c r="L2604" i="1"/>
  <c r="L2603" i="1"/>
  <c r="L2602" i="1"/>
  <c r="L2601" i="1"/>
  <c r="L2591" i="1"/>
  <c r="L2579" i="1"/>
  <c r="L2577" i="1"/>
  <c r="L2575" i="1"/>
  <c r="Q2575" i="1" s="1"/>
  <c r="V2575" i="1" s="1"/>
  <c r="L2556" i="1"/>
  <c r="Q2556" i="1" s="1"/>
  <c r="V2556" i="1" s="1"/>
  <c r="L2554" i="1"/>
  <c r="L2519" i="1"/>
  <c r="L2517" i="1"/>
  <c r="L2516" i="1"/>
  <c r="L2515" i="1"/>
  <c r="L2513" i="1"/>
  <c r="L2512" i="1"/>
  <c r="L2505" i="1"/>
  <c r="L2484" i="1"/>
  <c r="L2482" i="1"/>
  <c r="L2480" i="1"/>
  <c r="Q2480" i="1" s="1"/>
  <c r="V2480" i="1" s="1"/>
  <c r="L2478" i="1"/>
  <c r="Q2478" i="1" s="1"/>
  <c r="V2478" i="1" s="1"/>
  <c r="L2460" i="1"/>
  <c r="L2458" i="1"/>
  <c r="L2457" i="1"/>
  <c r="L2446" i="1"/>
  <c r="L2442" i="1"/>
  <c r="L2441" i="1"/>
  <c r="L2440" i="1"/>
  <c r="L2439" i="1"/>
  <c r="L2437" i="1"/>
  <c r="L2425" i="1"/>
  <c r="L2397" i="1"/>
  <c r="Q2397" i="1" s="1"/>
  <c r="V2397" i="1" s="1"/>
  <c r="L2388" i="1"/>
  <c r="Q2388" i="1" s="1"/>
  <c r="V2388" i="1" s="1"/>
  <c r="L2385" i="1"/>
  <c r="L2383" i="1"/>
  <c r="L2380" i="1"/>
  <c r="L2373" i="1"/>
  <c r="L2359" i="1"/>
  <c r="L2319" i="1"/>
  <c r="L2302" i="1"/>
  <c r="L2268" i="1"/>
  <c r="L2266" i="1"/>
  <c r="L2158" i="1"/>
  <c r="L2156" i="1"/>
  <c r="Q2156" i="1" s="1"/>
  <c r="V2156" i="1" s="1"/>
  <c r="L2131" i="1"/>
  <c r="Q2131" i="1" s="1"/>
  <c r="V2131" i="1" s="1"/>
  <c r="L2125" i="1"/>
  <c r="L2096" i="1"/>
  <c r="L2046" i="1"/>
  <c r="L1988" i="1"/>
  <c r="L1986" i="1"/>
  <c r="L1984" i="1"/>
  <c r="L1981" i="1"/>
  <c r="L1949" i="1"/>
  <c r="L1941" i="1"/>
  <c r="L1940" i="1"/>
  <c r="L1928" i="1"/>
  <c r="Q1928" i="1" s="1"/>
  <c r="V1928" i="1" s="1"/>
  <c r="L1927" i="1"/>
  <c r="Q1927" i="1" s="1"/>
  <c r="V1927" i="1" s="1"/>
  <c r="L1926" i="1"/>
  <c r="L1924" i="1"/>
  <c r="L1905" i="1"/>
  <c r="L1901" i="1"/>
  <c r="L1900" i="1"/>
  <c r="L1899" i="1"/>
  <c r="L1898" i="1"/>
  <c r="L1888" i="1"/>
  <c r="L1887" i="1"/>
  <c r="L1885" i="1"/>
  <c r="L1884" i="1"/>
  <c r="Q1884" i="1" s="1"/>
  <c r="V1884" i="1" s="1"/>
  <c r="L1882" i="1"/>
  <c r="Q1882" i="1" s="1"/>
  <c r="V1882" i="1" s="1"/>
  <c r="L1881" i="1"/>
  <c r="L1878" i="1"/>
  <c r="L1872" i="1"/>
  <c r="L1871" i="1"/>
  <c r="L1870" i="1"/>
  <c r="L1864" i="1"/>
  <c r="L1863" i="1"/>
  <c r="L1862" i="1"/>
  <c r="L1858" i="1"/>
  <c r="L1857" i="1"/>
  <c r="L1856" i="1"/>
  <c r="Q1856" i="1" s="1"/>
  <c r="V1856" i="1" s="1"/>
  <c r="L1849" i="1"/>
  <c r="Q1849" i="1" s="1"/>
  <c r="V1849" i="1" s="1"/>
  <c r="L1845" i="1"/>
  <c r="L1844" i="1"/>
  <c r="L1840" i="1"/>
  <c r="L1830" i="1"/>
  <c r="L1829" i="1"/>
  <c r="L1828" i="1"/>
  <c r="L1827" i="1"/>
  <c r="L1825" i="1"/>
  <c r="L1820" i="1"/>
  <c r="L1817" i="1"/>
  <c r="L1816" i="1"/>
  <c r="Q1816" i="1" s="1"/>
  <c r="V1816" i="1" s="1"/>
  <c r="L1815" i="1"/>
  <c r="L1814" i="1"/>
  <c r="L1812" i="1"/>
  <c r="L1811" i="1"/>
  <c r="L1804" i="1"/>
  <c r="L1801" i="1"/>
  <c r="L1791" i="1"/>
  <c r="L1790" i="1"/>
  <c r="L1789" i="1"/>
  <c r="L1788" i="1"/>
  <c r="L1787" i="1"/>
  <c r="L1786" i="1"/>
  <c r="Q1786" i="1" s="1"/>
  <c r="V1786" i="1" s="1"/>
  <c r="L1784" i="1"/>
  <c r="Q1784" i="1" s="1"/>
  <c r="V1784" i="1" s="1"/>
  <c r="L1783" i="1"/>
  <c r="L1782" i="1"/>
  <c r="L1781" i="1"/>
  <c r="L1780" i="1"/>
  <c r="L1779" i="1"/>
  <c r="L1778" i="1"/>
  <c r="L1776" i="1"/>
  <c r="L1763" i="1"/>
  <c r="L1762" i="1"/>
  <c r="L1761" i="1"/>
  <c r="L1760" i="1"/>
  <c r="Q1760" i="1" s="1"/>
  <c r="V1760" i="1" s="1"/>
  <c r="L1759" i="1"/>
  <c r="Q1759" i="1" s="1"/>
  <c r="V1759" i="1" s="1"/>
  <c r="L1758" i="1"/>
  <c r="L1757" i="1"/>
  <c r="L1756" i="1"/>
  <c r="L1755" i="1"/>
  <c r="L1754" i="1"/>
  <c r="L1749" i="1"/>
  <c r="L1748" i="1"/>
  <c r="L1747" i="1"/>
  <c r="L1746" i="1"/>
  <c r="L1744" i="1"/>
  <c r="L1743" i="1"/>
  <c r="L1742" i="1"/>
  <c r="Q1742" i="1" s="1"/>
  <c r="V1742" i="1" s="1"/>
  <c r="L1741" i="1"/>
  <c r="L1740" i="1"/>
  <c r="L1708" i="1"/>
  <c r="L1707" i="1"/>
  <c r="L1706" i="1"/>
  <c r="L1704" i="1"/>
  <c r="L1619" i="1"/>
  <c r="L1615" i="1"/>
  <c r="L1544" i="1"/>
  <c r="L1542" i="1"/>
  <c r="L1505" i="1"/>
  <c r="Q1505" i="1" s="1"/>
  <c r="V1505" i="1" s="1"/>
  <c r="L1494" i="1"/>
  <c r="Q1494" i="1" s="1"/>
  <c r="V1494" i="1" s="1"/>
  <c r="L1493" i="1"/>
  <c r="L1486" i="1"/>
  <c r="L1474" i="1"/>
  <c r="L1473" i="1"/>
  <c r="L1472" i="1"/>
  <c r="L1471" i="1"/>
  <c r="L1458" i="1"/>
  <c r="L1456" i="1"/>
  <c r="L1450" i="1"/>
  <c r="L1448" i="1"/>
  <c r="L1446" i="1"/>
  <c r="Q1446" i="1" s="1"/>
  <c r="V1446" i="1" s="1"/>
  <c r="L1445" i="1"/>
  <c r="Q1445" i="1" s="1"/>
  <c r="V1445" i="1" s="1"/>
  <c r="L1444" i="1"/>
  <c r="L1440" i="1"/>
  <c r="L1436" i="1"/>
  <c r="L1435" i="1"/>
  <c r="L1434" i="1"/>
  <c r="L1433" i="1"/>
  <c r="L1432" i="1"/>
  <c r="L1431" i="1"/>
  <c r="L1430" i="1"/>
  <c r="L1429" i="1"/>
  <c r="L1428" i="1"/>
  <c r="Q1428" i="1" s="1"/>
  <c r="V1428" i="1" s="1"/>
  <c r="L1427" i="1"/>
  <c r="Q1427" i="1" s="1"/>
  <c r="V1427" i="1" s="1"/>
  <c r="L1426" i="1"/>
  <c r="L1425" i="1"/>
  <c r="L1424" i="1"/>
  <c r="L1422" i="1"/>
  <c r="L1410" i="1"/>
  <c r="L1403" i="1"/>
  <c r="L1401" i="1"/>
  <c r="L1400" i="1"/>
  <c r="L1398" i="1"/>
  <c r="L1386" i="1"/>
  <c r="L1382" i="1"/>
  <c r="L1381" i="1"/>
  <c r="Q1381" i="1" s="1"/>
  <c r="V1381" i="1" s="1"/>
  <c r="L1380" i="1"/>
  <c r="L1379" i="1"/>
  <c r="L1378" i="1"/>
  <c r="L1377" i="1"/>
  <c r="L1376" i="1"/>
  <c r="L1375" i="1"/>
  <c r="L1374" i="1"/>
  <c r="L1373" i="1"/>
  <c r="L1371" i="1"/>
  <c r="L1370" i="1"/>
  <c r="L1369" i="1"/>
  <c r="Q1369" i="1" s="1"/>
  <c r="V1369" i="1" s="1"/>
  <c r="L1366" i="1"/>
  <c r="Q1366" i="1" s="1"/>
  <c r="V1366" i="1" s="1"/>
  <c r="L1359" i="1"/>
  <c r="L1358" i="1"/>
  <c r="L1357" i="1"/>
  <c r="L1354" i="1"/>
  <c r="L1353" i="1"/>
  <c r="L1346" i="1"/>
  <c r="L1345" i="1"/>
  <c r="L1344" i="1"/>
  <c r="L1340" i="1"/>
  <c r="L1339" i="1"/>
  <c r="L1338" i="1"/>
  <c r="Q1338" i="1" s="1"/>
  <c r="V1338" i="1" s="1"/>
  <c r="L1337" i="1"/>
  <c r="Q1337" i="1" s="1"/>
  <c r="V1337" i="1" s="1"/>
  <c r="L1336" i="1"/>
  <c r="L1335" i="1"/>
  <c r="L1334" i="1"/>
  <c r="L1333" i="1"/>
  <c r="L1332" i="1"/>
  <c r="L1331" i="1"/>
  <c r="L1330" i="1"/>
  <c r="L1329" i="1"/>
  <c r="L1328" i="1"/>
  <c r="L1327" i="1"/>
  <c r="L1326" i="1"/>
  <c r="Q1326" i="1" s="1"/>
  <c r="V1326" i="1" s="1"/>
  <c r="L1325" i="1"/>
  <c r="Q1325" i="1" s="1"/>
  <c r="V1325" i="1" s="1"/>
  <c r="L1324" i="1"/>
  <c r="L1323" i="1"/>
  <c r="L1322" i="1"/>
  <c r="L1320" i="1"/>
  <c r="L1308" i="1"/>
  <c r="L1306" i="1"/>
  <c r="L1305" i="1"/>
  <c r="L1289" i="1"/>
  <c r="L1267" i="1"/>
  <c r="L1257" i="1"/>
  <c r="L1256" i="1"/>
  <c r="Q1256" i="1" s="1"/>
  <c r="V1256" i="1" s="1"/>
  <c r="L1226" i="1"/>
  <c r="Q1226" i="1" s="1"/>
  <c r="V1226" i="1" s="1"/>
  <c r="L1190" i="1"/>
  <c r="L1166" i="1"/>
  <c r="L1161" i="1"/>
  <c r="L1160" i="1"/>
  <c r="L1159" i="1"/>
  <c r="L1158" i="1"/>
  <c r="L1142" i="1"/>
  <c r="L1139" i="1"/>
  <c r="L1138" i="1"/>
  <c r="L1133" i="1"/>
  <c r="L1127" i="1"/>
  <c r="Q1127" i="1" s="1"/>
  <c r="V1127" i="1" s="1"/>
  <c r="L1126" i="1"/>
  <c r="Q1126" i="1" s="1"/>
  <c r="V1126" i="1" s="1"/>
  <c r="L1125" i="1"/>
  <c r="L1121" i="1"/>
  <c r="L1107" i="1"/>
  <c r="L1103" i="1"/>
  <c r="L1102" i="1"/>
  <c r="L1101" i="1"/>
  <c r="L1100" i="1"/>
  <c r="L1099" i="1"/>
  <c r="L1098" i="1"/>
  <c r="L1097" i="1"/>
  <c r="L1096" i="1"/>
  <c r="Q1096" i="1" s="1"/>
  <c r="V1096" i="1" s="1"/>
  <c r="L1095" i="1"/>
  <c r="L1094" i="1"/>
  <c r="L1093" i="1"/>
  <c r="L1090" i="1"/>
  <c r="L1088" i="1"/>
  <c r="L1087" i="1"/>
  <c r="L1086" i="1"/>
  <c r="L1079" i="1"/>
  <c r="L1078" i="1"/>
  <c r="L1077" i="1"/>
  <c r="L1076" i="1"/>
  <c r="L1072" i="1"/>
  <c r="Q1072" i="1" s="1"/>
  <c r="V1072" i="1" s="1"/>
  <c r="L1068" i="1"/>
  <c r="Q1068" i="1" s="1"/>
  <c r="V1068" i="1" s="1"/>
  <c r="L1067" i="1"/>
  <c r="L1066" i="1"/>
  <c r="L1064" i="1"/>
  <c r="L1063" i="1"/>
  <c r="L1062" i="1"/>
  <c r="L1061" i="1"/>
  <c r="L1059" i="1"/>
  <c r="L1055" i="1"/>
  <c r="L1054" i="1"/>
  <c r="L1053" i="1"/>
  <c r="L1051" i="1"/>
  <c r="Q1051" i="1" s="1"/>
  <c r="V1051" i="1" s="1"/>
  <c r="L1049" i="1"/>
  <c r="Q1049" i="1" s="1"/>
  <c r="V1049" i="1" s="1"/>
  <c r="L1048" i="1"/>
  <c r="L1047" i="1"/>
  <c r="L1046" i="1"/>
  <c r="L1045" i="1"/>
  <c r="L1044" i="1"/>
  <c r="L1043" i="1"/>
  <c r="L1040" i="1"/>
  <c r="L1039" i="1"/>
  <c r="L1037" i="1"/>
  <c r="L1036" i="1"/>
  <c r="L1035" i="1"/>
  <c r="L1034" i="1"/>
  <c r="Q1034" i="1" s="1"/>
  <c r="V1034" i="1" s="1"/>
  <c r="L1032" i="1"/>
  <c r="L1031" i="1"/>
  <c r="L1029" i="1"/>
  <c r="L1028" i="1"/>
  <c r="L1027" i="1"/>
  <c r="L1026" i="1"/>
  <c r="L1025" i="1"/>
  <c r="L1024" i="1"/>
  <c r="L1023" i="1"/>
  <c r="L1022" i="1"/>
  <c r="L1021" i="1"/>
  <c r="Q1021" i="1" s="1"/>
  <c r="V1021" i="1" s="1"/>
  <c r="L1020" i="1"/>
  <c r="Q1020" i="1" s="1"/>
  <c r="V1020" i="1" s="1"/>
  <c r="L1019" i="1"/>
  <c r="L1018" i="1"/>
  <c r="L1017" i="1"/>
  <c r="L1016" i="1"/>
  <c r="L1015" i="1"/>
  <c r="L1014" i="1"/>
  <c r="L1013" i="1"/>
  <c r="L1012" i="1"/>
  <c r="L1011" i="1"/>
  <c r="L1010" i="1"/>
  <c r="L1009" i="1"/>
  <c r="Q1009" i="1" s="1"/>
  <c r="V1009" i="1" s="1"/>
  <c r="L1008" i="1"/>
  <c r="Q1008" i="1" s="1"/>
  <c r="V1008" i="1" s="1"/>
  <c r="L1007" i="1"/>
  <c r="L1006" i="1"/>
  <c r="L1005" i="1"/>
  <c r="L1004" i="1"/>
  <c r="L1003" i="1"/>
  <c r="L1002" i="1"/>
  <c r="L994" i="1"/>
  <c r="L993" i="1"/>
  <c r="L991" i="1"/>
  <c r="L990" i="1"/>
  <c r="L989" i="1"/>
  <c r="Q989" i="1" s="1"/>
  <c r="V989" i="1" s="1"/>
  <c r="L988" i="1"/>
  <c r="Q988" i="1" s="1"/>
  <c r="V988" i="1" s="1"/>
  <c r="L987" i="1"/>
  <c r="L986" i="1"/>
  <c r="L985" i="1"/>
  <c r="L984" i="1"/>
  <c r="L983" i="1"/>
  <c r="L982" i="1"/>
  <c r="L981" i="1"/>
  <c r="L980" i="1"/>
  <c r="L979" i="1"/>
  <c r="L971" i="1"/>
  <c r="L970" i="1"/>
  <c r="Q970" i="1" s="1"/>
  <c r="V970" i="1" s="1"/>
  <c r="L969" i="1"/>
  <c r="Q969" i="1" s="1"/>
  <c r="V969" i="1" s="1"/>
  <c r="L968" i="1"/>
  <c r="L962" i="1"/>
  <c r="L961" i="1"/>
  <c r="L960" i="1"/>
  <c r="L955" i="1"/>
  <c r="L954" i="1"/>
  <c r="L953" i="1"/>
  <c r="L949" i="1"/>
  <c r="L948" i="1"/>
  <c r="L947" i="1"/>
  <c r="L946" i="1"/>
  <c r="Q946" i="1" s="1"/>
  <c r="V946" i="1" s="1"/>
  <c r="L945" i="1"/>
  <c r="Q945" i="1" s="1"/>
  <c r="V945" i="1" s="1"/>
  <c r="L944" i="1"/>
  <c r="L943" i="1"/>
  <c r="L937" i="1"/>
  <c r="L936" i="1"/>
  <c r="L935" i="1"/>
  <c r="L934" i="1"/>
  <c r="L933" i="1"/>
  <c r="L932" i="1"/>
  <c r="L931" i="1"/>
  <c r="L928" i="1"/>
  <c r="L927" i="1"/>
  <c r="L919" i="1"/>
  <c r="Q919" i="1" s="1"/>
  <c r="V919" i="1" s="1"/>
  <c r="L918" i="1"/>
  <c r="L904" i="1"/>
  <c r="L876" i="1"/>
  <c r="L875" i="1"/>
  <c r="L874" i="1"/>
  <c r="L873" i="1"/>
  <c r="L872" i="1"/>
  <c r="L871" i="1"/>
  <c r="L870" i="1"/>
  <c r="L869" i="1"/>
  <c r="L868" i="1"/>
  <c r="Q868" i="1" s="1"/>
  <c r="V868" i="1" s="1"/>
  <c r="L861" i="1"/>
  <c r="Q861" i="1" s="1"/>
  <c r="V861" i="1" s="1"/>
  <c r="L858" i="1"/>
  <c r="L841" i="1"/>
  <c r="L840" i="1"/>
  <c r="L792" i="1"/>
  <c r="L789" i="1"/>
  <c r="L781" i="1"/>
  <c r="L750" i="1"/>
  <c r="L748" i="1"/>
  <c r="L746" i="1"/>
  <c r="L726" i="1"/>
  <c r="L724" i="1"/>
  <c r="Q724" i="1" s="1"/>
  <c r="V724" i="1" s="1"/>
  <c r="L721" i="1"/>
  <c r="Q721" i="1" s="1"/>
  <c r="V721" i="1" s="1"/>
  <c r="L719" i="1"/>
  <c r="L717" i="1"/>
  <c r="L716" i="1"/>
  <c r="L715" i="1"/>
  <c r="L678" i="1"/>
  <c r="L641" i="1"/>
  <c r="L534" i="1"/>
  <c r="L401" i="1"/>
  <c r="L400" i="1"/>
  <c r="L359" i="1"/>
  <c r="L358" i="1"/>
  <c r="Q358" i="1" s="1"/>
  <c r="V358" i="1" s="1"/>
  <c r="L357" i="1"/>
  <c r="Q357" i="1" s="1"/>
  <c r="V357" i="1" s="1"/>
  <c r="L330" i="1"/>
  <c r="L327" i="1"/>
  <c r="L319" i="1"/>
  <c r="L312" i="1"/>
  <c r="L309" i="1"/>
  <c r="L308" i="1"/>
  <c r="L306" i="1"/>
  <c r="L304" i="1"/>
  <c r="L302" i="1"/>
  <c r="L293" i="1"/>
  <c r="L281" i="1"/>
  <c r="Q281" i="1" s="1"/>
  <c r="V281" i="1" s="1"/>
  <c r="L280" i="1"/>
  <c r="Q280" i="1" s="1"/>
  <c r="V280" i="1" s="1"/>
  <c r="L279" i="1"/>
  <c r="L278" i="1"/>
  <c r="L277" i="1"/>
  <c r="L276" i="1"/>
  <c r="L262" i="1"/>
  <c r="L229" i="1"/>
  <c r="L227" i="1"/>
  <c r="L225" i="1"/>
  <c r="L200" i="1"/>
  <c r="L188" i="1"/>
  <c r="L183" i="1"/>
  <c r="L182" i="1"/>
  <c r="Q182" i="1" s="1"/>
  <c r="V182" i="1" s="1"/>
  <c r="L181" i="1"/>
  <c r="L180" i="1"/>
  <c r="L178" i="1"/>
  <c r="L177" i="1"/>
  <c r="L163" i="1"/>
  <c r="L152" i="1"/>
  <c r="L147" i="1"/>
  <c r="L139" i="1"/>
  <c r="L138" i="1"/>
  <c r="L135" i="1"/>
  <c r="L133" i="1"/>
  <c r="Q133" i="1" s="1"/>
  <c r="V133" i="1" s="1"/>
  <c r="L113" i="1"/>
  <c r="Q113" i="1" s="1"/>
  <c r="V113" i="1" s="1"/>
  <c r="L112" i="1"/>
  <c r="L111" i="1"/>
  <c r="L110" i="1"/>
  <c r="L109" i="1"/>
  <c r="L102" i="1"/>
  <c r="L101" i="1"/>
  <c r="L100" i="1"/>
  <c r="L99" i="1"/>
  <c r="L92" i="1"/>
  <c r="L90" i="1"/>
  <c r="L83" i="1"/>
  <c r="Q83" i="1" s="1"/>
  <c r="V83" i="1" s="1"/>
  <c r="L80" i="1"/>
  <c r="Q80" i="1" s="1"/>
  <c r="V80" i="1" s="1"/>
  <c r="L78" i="1"/>
  <c r="L71" i="1"/>
  <c r="L69" i="1"/>
  <c r="L66" i="1"/>
  <c r="L65" i="1"/>
  <c r="L64" i="1"/>
  <c r="L63" i="1"/>
  <c r="L62" i="1"/>
  <c r="L48" i="1"/>
  <c r="L47" i="1"/>
  <c r="L45" i="1"/>
  <c r="Q45" i="1" s="1"/>
  <c r="V45" i="1" s="1"/>
  <c r="L42" i="1"/>
  <c r="Q42" i="1" s="1"/>
  <c r="V42" i="1" s="1"/>
  <c r="L39" i="1"/>
  <c r="L38" i="1"/>
  <c r="L29" i="1"/>
  <c r="L28" i="1"/>
  <c r="L27" i="1"/>
  <c r="L26" i="1"/>
  <c r="L25" i="1"/>
  <c r="L20" i="1"/>
  <c r="L19" i="1"/>
  <c r="L14" i="1"/>
  <c r="L13" i="1"/>
  <c r="Q13" i="1" s="1"/>
  <c r="V13" i="1" s="1"/>
  <c r="L12" i="1"/>
  <c r="Q12" i="1" s="1"/>
  <c r="V12" i="1" s="1"/>
  <c r="L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S1331" i="1"/>
  <c r="S1332" i="1"/>
  <c r="S1333" i="1"/>
  <c r="S1334" i="1"/>
  <c r="S1335" i="1"/>
  <c r="S1336" i="1"/>
  <c r="S1337" i="1"/>
  <c r="S1338" i="1"/>
  <c r="S1339" i="1"/>
  <c r="S1340" i="1"/>
  <c r="S1341" i="1"/>
  <c r="S1342" i="1"/>
  <c r="S1343" i="1"/>
  <c r="S1344" i="1"/>
  <c r="S1345" i="1"/>
  <c r="S1346" i="1"/>
  <c r="S1347" i="1"/>
  <c r="S1348" i="1"/>
  <c r="S1349" i="1"/>
  <c r="S1350" i="1"/>
  <c r="S1351" i="1"/>
  <c r="S1352" i="1"/>
  <c r="S1353" i="1"/>
  <c r="S1354" i="1"/>
  <c r="S1355" i="1"/>
  <c r="S1356" i="1"/>
  <c r="S1357" i="1"/>
  <c r="S1358" i="1"/>
  <c r="S1359" i="1"/>
  <c r="S1360" i="1"/>
  <c r="S1361" i="1"/>
  <c r="S1362" i="1"/>
  <c r="S1363" i="1"/>
  <c r="S1364" i="1"/>
  <c r="S1365" i="1"/>
  <c r="S1366" i="1"/>
  <c r="S1367" i="1"/>
  <c r="S1368" i="1"/>
  <c r="S1369" i="1"/>
  <c r="S1370" i="1"/>
  <c r="S1371" i="1"/>
  <c r="S1372" i="1"/>
  <c r="S1373" i="1"/>
  <c r="S1374" i="1"/>
  <c r="S1375" i="1"/>
  <c r="S1376" i="1"/>
  <c r="S1377" i="1"/>
  <c r="S1378" i="1"/>
  <c r="S1379" i="1"/>
  <c r="S1380" i="1"/>
  <c r="S1381" i="1"/>
  <c r="S1382" i="1"/>
  <c r="S1383" i="1"/>
  <c r="S1384" i="1"/>
  <c r="S1385" i="1"/>
  <c r="S1386" i="1"/>
  <c r="S1387" i="1"/>
  <c r="S1388" i="1"/>
  <c r="S1389" i="1"/>
  <c r="S1390" i="1"/>
  <c r="S1391" i="1"/>
  <c r="S1392" i="1"/>
  <c r="S1393" i="1"/>
  <c r="S1394" i="1"/>
  <c r="S1395" i="1"/>
  <c r="S1396" i="1"/>
  <c r="S1397" i="1"/>
  <c r="S1398" i="1"/>
  <c r="S1399" i="1"/>
  <c r="S1400" i="1"/>
  <c r="S1401" i="1"/>
  <c r="S1402" i="1"/>
  <c r="S1403" i="1"/>
  <c r="S1404" i="1"/>
  <c r="S1405" i="1"/>
  <c r="S1406" i="1"/>
  <c r="S1407" i="1"/>
  <c r="S1408" i="1"/>
  <c r="S1409" i="1"/>
  <c r="S1410" i="1"/>
  <c r="S1411" i="1"/>
  <c r="S1412" i="1"/>
  <c r="S1413" i="1"/>
  <c r="S1414" i="1"/>
  <c r="S1415" i="1"/>
  <c r="S1416" i="1"/>
  <c r="S1417" i="1"/>
  <c r="S1418" i="1"/>
  <c r="S1419" i="1"/>
  <c r="S1420" i="1"/>
  <c r="S1421" i="1"/>
  <c r="S1422" i="1"/>
  <c r="S1423" i="1"/>
  <c r="S1424" i="1"/>
  <c r="S1425" i="1"/>
  <c r="S1426" i="1"/>
  <c r="S1427" i="1"/>
  <c r="S1428" i="1"/>
  <c r="S1429" i="1"/>
  <c r="S1430" i="1"/>
  <c r="S1431" i="1"/>
  <c r="S1432" i="1"/>
  <c r="S1433" i="1"/>
  <c r="S1434" i="1"/>
  <c r="S1435" i="1"/>
  <c r="S1436" i="1"/>
  <c r="S1437" i="1"/>
  <c r="S1438" i="1"/>
  <c r="S1439" i="1"/>
  <c r="S1440" i="1"/>
  <c r="S1441" i="1"/>
  <c r="S1442" i="1"/>
  <c r="S1443" i="1"/>
  <c r="S1444" i="1"/>
  <c r="S1445" i="1"/>
  <c r="S1446" i="1"/>
  <c r="S1447" i="1"/>
  <c r="S1448" i="1"/>
  <c r="S1449" i="1"/>
  <c r="S1450" i="1"/>
  <c r="S1451" i="1"/>
  <c r="S1452" i="1"/>
  <c r="S1453" i="1"/>
  <c r="S1454" i="1"/>
  <c r="S1455" i="1"/>
  <c r="S1456" i="1"/>
  <c r="S1457" i="1"/>
  <c r="S1458" i="1"/>
  <c r="S1459" i="1"/>
  <c r="S1460" i="1"/>
  <c r="S1461" i="1"/>
  <c r="S1462" i="1"/>
  <c r="S1463" i="1"/>
  <c r="S1464" i="1"/>
  <c r="S1465" i="1"/>
  <c r="S1466" i="1"/>
  <c r="S1467" i="1"/>
  <c r="S1468" i="1"/>
  <c r="S1469" i="1"/>
  <c r="S1470" i="1"/>
  <c r="S1471" i="1"/>
  <c r="S1472" i="1"/>
  <c r="S1473" i="1"/>
  <c r="S1474" i="1"/>
  <c r="S1475" i="1"/>
  <c r="S1476" i="1"/>
  <c r="S1477" i="1"/>
  <c r="S1478" i="1"/>
  <c r="S1479" i="1"/>
  <c r="S1480" i="1"/>
  <c r="S1481" i="1"/>
  <c r="S1482" i="1"/>
  <c r="S1483" i="1"/>
  <c r="S1484" i="1"/>
  <c r="S1485" i="1"/>
  <c r="S1486" i="1"/>
  <c r="S1487" i="1"/>
  <c r="S1488" i="1"/>
  <c r="S1489" i="1"/>
  <c r="S1490" i="1"/>
  <c r="S1491" i="1"/>
  <c r="S1492" i="1"/>
  <c r="S1493" i="1"/>
  <c r="S1494" i="1"/>
  <c r="S1495" i="1"/>
  <c r="S1496" i="1"/>
  <c r="S1497" i="1"/>
  <c r="S1498" i="1"/>
  <c r="S1499" i="1"/>
  <c r="S1500" i="1"/>
  <c r="S1501" i="1"/>
  <c r="S1502" i="1"/>
  <c r="S1503" i="1"/>
  <c r="S1504" i="1"/>
  <c r="S1505" i="1"/>
  <c r="S1506" i="1"/>
  <c r="S1507" i="1"/>
  <c r="S1508" i="1"/>
  <c r="S1509" i="1"/>
  <c r="S1510" i="1"/>
  <c r="S1511" i="1"/>
  <c r="S1512" i="1"/>
  <c r="S1513" i="1"/>
  <c r="S1514" i="1"/>
  <c r="S1515" i="1"/>
  <c r="S1516" i="1"/>
  <c r="S1517" i="1"/>
  <c r="S1518" i="1"/>
  <c r="S1519" i="1"/>
  <c r="S1520" i="1"/>
  <c r="S1521" i="1"/>
  <c r="S1522" i="1"/>
  <c r="S1523" i="1"/>
  <c r="S1524" i="1"/>
  <c r="S1525" i="1"/>
  <c r="S1526" i="1"/>
  <c r="S1527" i="1"/>
  <c r="S1528" i="1"/>
  <c r="S1529" i="1"/>
  <c r="S1530" i="1"/>
  <c r="S1531" i="1"/>
  <c r="S1532" i="1"/>
  <c r="S1533" i="1"/>
  <c r="S1534" i="1"/>
  <c r="S1535" i="1"/>
  <c r="S1536" i="1"/>
  <c r="S1537" i="1"/>
  <c r="S1538" i="1"/>
  <c r="S1539" i="1"/>
  <c r="S1540" i="1"/>
  <c r="S1541" i="1"/>
  <c r="S1542" i="1"/>
  <c r="S1543" i="1"/>
  <c r="S1544" i="1"/>
  <c r="S1545" i="1"/>
  <c r="S1546" i="1"/>
  <c r="S1547" i="1"/>
  <c r="S1548" i="1"/>
  <c r="S1549" i="1"/>
  <c r="S1550" i="1"/>
  <c r="S1551" i="1"/>
  <c r="S1552" i="1"/>
  <c r="S1553" i="1"/>
  <c r="S1554" i="1"/>
  <c r="S1555" i="1"/>
  <c r="S1556" i="1"/>
  <c r="S1557" i="1"/>
  <c r="S1558" i="1"/>
  <c r="S1559" i="1"/>
  <c r="S1560" i="1"/>
  <c r="S1561" i="1"/>
  <c r="S1562" i="1"/>
  <c r="S1563" i="1"/>
  <c r="S1564" i="1"/>
  <c r="S1565" i="1"/>
  <c r="S1566" i="1"/>
  <c r="S1567" i="1"/>
  <c r="S1568" i="1"/>
  <c r="S1569" i="1"/>
  <c r="S1570" i="1"/>
  <c r="S1571" i="1"/>
  <c r="S1572" i="1"/>
  <c r="S1573" i="1"/>
  <c r="S1574" i="1"/>
  <c r="S1575" i="1"/>
  <c r="S1576" i="1"/>
  <c r="S1577" i="1"/>
  <c r="S1578" i="1"/>
  <c r="S1579" i="1"/>
  <c r="S1580" i="1"/>
  <c r="S1581" i="1"/>
  <c r="S1582" i="1"/>
  <c r="S1583" i="1"/>
  <c r="S1584" i="1"/>
  <c r="S1585" i="1"/>
  <c r="S1586" i="1"/>
  <c r="S1587" i="1"/>
  <c r="S1588" i="1"/>
  <c r="S1589" i="1"/>
  <c r="S1590" i="1"/>
  <c r="S1591" i="1"/>
  <c r="S1592" i="1"/>
  <c r="S1593" i="1"/>
  <c r="S1594" i="1"/>
  <c r="S1595" i="1"/>
  <c r="S1596" i="1"/>
  <c r="S1597" i="1"/>
  <c r="S1598" i="1"/>
  <c r="S1599" i="1"/>
  <c r="S1600" i="1"/>
  <c r="S1601" i="1"/>
  <c r="S1602" i="1"/>
  <c r="S1603" i="1"/>
  <c r="S1604" i="1"/>
  <c r="S1605" i="1"/>
  <c r="S1606" i="1"/>
  <c r="S1607" i="1"/>
  <c r="S1608" i="1"/>
  <c r="S1609" i="1"/>
  <c r="S1610" i="1"/>
  <c r="S1611" i="1"/>
  <c r="S1612" i="1"/>
  <c r="S1613" i="1"/>
  <c r="S1614" i="1"/>
  <c r="S1615" i="1"/>
  <c r="S1616" i="1"/>
  <c r="S1617" i="1"/>
  <c r="S1618" i="1"/>
  <c r="S1619" i="1"/>
  <c r="S1620" i="1"/>
  <c r="S1621" i="1"/>
  <c r="S1622" i="1"/>
  <c r="S1623" i="1"/>
  <c r="S1624" i="1"/>
  <c r="S1625" i="1"/>
  <c r="S1626" i="1"/>
  <c r="S1627" i="1"/>
  <c r="S1628" i="1"/>
  <c r="S1629" i="1"/>
  <c r="S1630" i="1"/>
  <c r="S1631" i="1"/>
  <c r="S1632" i="1"/>
  <c r="S1633" i="1"/>
  <c r="S1634" i="1"/>
  <c r="S1635" i="1"/>
  <c r="S1636" i="1"/>
  <c r="S1637" i="1"/>
  <c r="S1638" i="1"/>
  <c r="S1639" i="1"/>
  <c r="S1640" i="1"/>
  <c r="S1641" i="1"/>
  <c r="S1642" i="1"/>
  <c r="S1643" i="1"/>
  <c r="S1644" i="1"/>
  <c r="S1645" i="1"/>
  <c r="S1646" i="1"/>
  <c r="S1647" i="1"/>
  <c r="S1648" i="1"/>
  <c r="S1649" i="1"/>
  <c r="S1650" i="1"/>
  <c r="S1651" i="1"/>
  <c r="S1652" i="1"/>
  <c r="S1653" i="1"/>
  <c r="S1654" i="1"/>
  <c r="S1655" i="1"/>
  <c r="S1656" i="1"/>
  <c r="S1657" i="1"/>
  <c r="S1658" i="1"/>
  <c r="S1659" i="1"/>
  <c r="S1660" i="1"/>
  <c r="S1661" i="1"/>
  <c r="S1662" i="1"/>
  <c r="S1663" i="1"/>
  <c r="S1664" i="1"/>
  <c r="S1665" i="1"/>
  <c r="S1666" i="1"/>
  <c r="S1667" i="1"/>
  <c r="S1668" i="1"/>
  <c r="S1669" i="1"/>
  <c r="S1670" i="1"/>
  <c r="S1671" i="1"/>
  <c r="S1672" i="1"/>
  <c r="S1673" i="1"/>
  <c r="S1674" i="1"/>
  <c r="S1675" i="1"/>
  <c r="S1676" i="1"/>
  <c r="S1677" i="1"/>
  <c r="S1678" i="1"/>
  <c r="S1679" i="1"/>
  <c r="S1680" i="1"/>
  <c r="S1681" i="1"/>
  <c r="S1682" i="1"/>
  <c r="S1683" i="1"/>
  <c r="S1684" i="1"/>
  <c r="S1685" i="1"/>
  <c r="S1686" i="1"/>
  <c r="S1687" i="1"/>
  <c r="S1688" i="1"/>
  <c r="S1689" i="1"/>
  <c r="S1690" i="1"/>
  <c r="S1691" i="1"/>
  <c r="S1692" i="1"/>
  <c r="S1693" i="1"/>
  <c r="S1694" i="1"/>
  <c r="S1695" i="1"/>
  <c r="S1696" i="1"/>
  <c r="S1697" i="1"/>
  <c r="S1698" i="1"/>
  <c r="S1699" i="1"/>
  <c r="S1700" i="1"/>
  <c r="S1701" i="1"/>
  <c r="S1702" i="1"/>
  <c r="S1703" i="1"/>
  <c r="S1704" i="1"/>
  <c r="S1705" i="1"/>
  <c r="S1706" i="1"/>
  <c r="S1707" i="1"/>
  <c r="S1708" i="1"/>
  <c r="S1709" i="1"/>
  <c r="S1710" i="1"/>
  <c r="S1711" i="1"/>
  <c r="S1712" i="1"/>
  <c r="S1713" i="1"/>
  <c r="S1714" i="1"/>
  <c r="S1715" i="1"/>
  <c r="S1716" i="1"/>
  <c r="S1717" i="1"/>
  <c r="S1718" i="1"/>
  <c r="S1719" i="1"/>
  <c r="S1720" i="1"/>
  <c r="S1721" i="1"/>
  <c r="S1722" i="1"/>
  <c r="S1723" i="1"/>
  <c r="S1724" i="1"/>
  <c r="S1725" i="1"/>
  <c r="S1726" i="1"/>
  <c r="S1727" i="1"/>
  <c r="S1728" i="1"/>
  <c r="S1729" i="1"/>
  <c r="S1730" i="1"/>
  <c r="S1731" i="1"/>
  <c r="S1732" i="1"/>
  <c r="S1733" i="1"/>
  <c r="S1734" i="1"/>
  <c r="S1735" i="1"/>
  <c r="S1736" i="1"/>
  <c r="S1737" i="1"/>
  <c r="S1738" i="1"/>
  <c r="S1739" i="1"/>
  <c r="S1740" i="1"/>
  <c r="S1741" i="1"/>
  <c r="S1742" i="1"/>
  <c r="S1743" i="1"/>
  <c r="S1744" i="1"/>
  <c r="S1745" i="1"/>
  <c r="S1746" i="1"/>
  <c r="S1747" i="1"/>
  <c r="S1748" i="1"/>
  <c r="S1749" i="1"/>
  <c r="S1750" i="1"/>
  <c r="S1751" i="1"/>
  <c r="S1752" i="1"/>
  <c r="S1753" i="1"/>
  <c r="S1754" i="1"/>
  <c r="S1755" i="1"/>
  <c r="S1756" i="1"/>
  <c r="S1757" i="1"/>
  <c r="S1758" i="1"/>
  <c r="S1759" i="1"/>
  <c r="S1760" i="1"/>
  <c r="S1761" i="1"/>
  <c r="S1762" i="1"/>
  <c r="S1763" i="1"/>
  <c r="S1764" i="1"/>
  <c r="S1765" i="1"/>
  <c r="S1766" i="1"/>
  <c r="S1767" i="1"/>
  <c r="S1768" i="1"/>
  <c r="S1769" i="1"/>
  <c r="S1770" i="1"/>
  <c r="S1771" i="1"/>
  <c r="S1772" i="1"/>
  <c r="S1773" i="1"/>
  <c r="S1774" i="1"/>
  <c r="S1775" i="1"/>
  <c r="S1776" i="1"/>
  <c r="S1777" i="1"/>
  <c r="S1778" i="1"/>
  <c r="S1779" i="1"/>
  <c r="S1780" i="1"/>
  <c r="S1781" i="1"/>
  <c r="S1782" i="1"/>
  <c r="S1783" i="1"/>
  <c r="S1784" i="1"/>
  <c r="S1785" i="1"/>
  <c r="S1786" i="1"/>
  <c r="S1787" i="1"/>
  <c r="S1788" i="1"/>
  <c r="S1789" i="1"/>
  <c r="S1790" i="1"/>
  <c r="S1791" i="1"/>
  <c r="S1792" i="1"/>
  <c r="S1793" i="1"/>
  <c r="S1794" i="1"/>
  <c r="S1795" i="1"/>
  <c r="S1796" i="1"/>
  <c r="S1797" i="1"/>
  <c r="S1798" i="1"/>
  <c r="S1799" i="1"/>
  <c r="S1800" i="1"/>
  <c r="S1801" i="1"/>
  <c r="S1802" i="1"/>
  <c r="S1803" i="1"/>
  <c r="S1804" i="1"/>
  <c r="S1805" i="1"/>
  <c r="S1806" i="1"/>
  <c r="S1807" i="1"/>
  <c r="S1808" i="1"/>
  <c r="S1809" i="1"/>
  <c r="S1810" i="1"/>
  <c r="S1811" i="1"/>
  <c r="S1812" i="1"/>
  <c r="S1813" i="1"/>
  <c r="S1814" i="1"/>
  <c r="S1815" i="1"/>
  <c r="S1816" i="1"/>
  <c r="S1817" i="1"/>
  <c r="S1818" i="1"/>
  <c r="S1819" i="1"/>
  <c r="S1820" i="1"/>
  <c r="S1821" i="1"/>
  <c r="S1822" i="1"/>
  <c r="S1823" i="1"/>
  <c r="S1824" i="1"/>
  <c r="S1825" i="1"/>
  <c r="S1826" i="1"/>
  <c r="S1827" i="1"/>
  <c r="S1828" i="1"/>
  <c r="S1829" i="1"/>
  <c r="S1830" i="1"/>
  <c r="S1831" i="1"/>
  <c r="S1832" i="1"/>
  <c r="S1833" i="1"/>
  <c r="S1834" i="1"/>
  <c r="S1835" i="1"/>
  <c r="S1836" i="1"/>
  <c r="S1837" i="1"/>
  <c r="S1838" i="1"/>
  <c r="S1839" i="1"/>
  <c r="S1840" i="1"/>
  <c r="S1841" i="1"/>
  <c r="S1842" i="1"/>
  <c r="S1843" i="1"/>
  <c r="S1844" i="1"/>
  <c r="S1845" i="1"/>
  <c r="S1846" i="1"/>
  <c r="S1847" i="1"/>
  <c r="S1848" i="1"/>
  <c r="S1849" i="1"/>
  <c r="S1850" i="1"/>
  <c r="S1851" i="1"/>
  <c r="S1852" i="1"/>
  <c r="S1853" i="1"/>
  <c r="S1854" i="1"/>
  <c r="S1855" i="1"/>
  <c r="S1856" i="1"/>
  <c r="S1857" i="1"/>
  <c r="S1858" i="1"/>
  <c r="S1859" i="1"/>
  <c r="S1860" i="1"/>
  <c r="S1861" i="1"/>
  <c r="S1862" i="1"/>
  <c r="S1863" i="1"/>
  <c r="S1864" i="1"/>
  <c r="S1865" i="1"/>
  <c r="S1866" i="1"/>
  <c r="S1867" i="1"/>
  <c r="S1868" i="1"/>
  <c r="S1869" i="1"/>
  <c r="S1870" i="1"/>
  <c r="S1871" i="1"/>
  <c r="S1872" i="1"/>
  <c r="S1873" i="1"/>
  <c r="S1874" i="1"/>
  <c r="S1875" i="1"/>
  <c r="S1876" i="1"/>
  <c r="S1877" i="1"/>
  <c r="S1878" i="1"/>
  <c r="S1879" i="1"/>
  <c r="S1880" i="1"/>
  <c r="S1881" i="1"/>
  <c r="S1882" i="1"/>
  <c r="S1883" i="1"/>
  <c r="S1884" i="1"/>
  <c r="S1885" i="1"/>
  <c r="S1886" i="1"/>
  <c r="S1887" i="1"/>
  <c r="S1888" i="1"/>
  <c r="S1889" i="1"/>
  <c r="S1890" i="1"/>
  <c r="S1891" i="1"/>
  <c r="S1892" i="1"/>
  <c r="S1893" i="1"/>
  <c r="S1894" i="1"/>
  <c r="S1895" i="1"/>
  <c r="S1896" i="1"/>
  <c r="S1897" i="1"/>
  <c r="S1898" i="1"/>
  <c r="S1899" i="1"/>
  <c r="S1900" i="1"/>
  <c r="S1901" i="1"/>
  <c r="S1902" i="1"/>
  <c r="S1903" i="1"/>
  <c r="S1904" i="1"/>
  <c r="S1905" i="1"/>
  <c r="S1906" i="1"/>
  <c r="S1907" i="1"/>
  <c r="S1908" i="1"/>
  <c r="S1909" i="1"/>
  <c r="S1910" i="1"/>
  <c r="S1911" i="1"/>
  <c r="S1912" i="1"/>
  <c r="S1913" i="1"/>
  <c r="S1914" i="1"/>
  <c r="S1915" i="1"/>
  <c r="S1916" i="1"/>
  <c r="S1917" i="1"/>
  <c r="S1918" i="1"/>
  <c r="S1919" i="1"/>
  <c r="S1920" i="1"/>
  <c r="S1921" i="1"/>
  <c r="S1922" i="1"/>
  <c r="S1923" i="1"/>
  <c r="S1924" i="1"/>
  <c r="S1925" i="1"/>
  <c r="S1926" i="1"/>
  <c r="S1927" i="1"/>
  <c r="S1928" i="1"/>
  <c r="S1929" i="1"/>
  <c r="S1930" i="1"/>
  <c r="S1931" i="1"/>
  <c r="S1932" i="1"/>
  <c r="S1933" i="1"/>
  <c r="S1934" i="1"/>
  <c r="S1935" i="1"/>
  <c r="S1936" i="1"/>
  <c r="S1937" i="1"/>
  <c r="S1938" i="1"/>
  <c r="S1939" i="1"/>
  <c r="S1940" i="1"/>
  <c r="S1941" i="1"/>
  <c r="S1942" i="1"/>
  <c r="S1943" i="1"/>
  <c r="S1944" i="1"/>
  <c r="S1945" i="1"/>
  <c r="S1946" i="1"/>
  <c r="S1947" i="1"/>
  <c r="S1948" i="1"/>
  <c r="S1949" i="1"/>
  <c r="S1950" i="1"/>
  <c r="S1951" i="1"/>
  <c r="S1952" i="1"/>
  <c r="S1953" i="1"/>
  <c r="S1954" i="1"/>
  <c r="S1955" i="1"/>
  <c r="S1956" i="1"/>
  <c r="S1957" i="1"/>
  <c r="S1958" i="1"/>
  <c r="S1959" i="1"/>
  <c r="S1960" i="1"/>
  <c r="S1961" i="1"/>
  <c r="S1962" i="1"/>
  <c r="S1963" i="1"/>
  <c r="S1964" i="1"/>
  <c r="S1965" i="1"/>
  <c r="S1966" i="1"/>
  <c r="S1967" i="1"/>
  <c r="S1968" i="1"/>
  <c r="S1969" i="1"/>
  <c r="S1970" i="1"/>
  <c r="S1971" i="1"/>
  <c r="S1972" i="1"/>
  <c r="S1973" i="1"/>
  <c r="S1974" i="1"/>
  <c r="S1975" i="1"/>
  <c r="S1976" i="1"/>
  <c r="S1977" i="1"/>
  <c r="S1978" i="1"/>
  <c r="S1979" i="1"/>
  <c r="S1980" i="1"/>
  <c r="S1981" i="1"/>
  <c r="S1982" i="1"/>
  <c r="S1983" i="1"/>
  <c r="S1984" i="1"/>
  <c r="S1985" i="1"/>
  <c r="S1986" i="1"/>
  <c r="S1987" i="1"/>
  <c r="S1988" i="1"/>
  <c r="S1989" i="1"/>
  <c r="S1990" i="1"/>
  <c r="S1991" i="1"/>
  <c r="S1992" i="1"/>
  <c r="S1993" i="1"/>
  <c r="S1994" i="1"/>
  <c r="S1995" i="1"/>
  <c r="S1996" i="1"/>
  <c r="S1997" i="1"/>
  <c r="S1998" i="1"/>
  <c r="S1999" i="1"/>
  <c r="S2000" i="1"/>
  <c r="S2001" i="1"/>
  <c r="S2002" i="1"/>
  <c r="S2003" i="1"/>
  <c r="S2004" i="1"/>
  <c r="S2005" i="1"/>
  <c r="S2006" i="1"/>
  <c r="S2007" i="1"/>
  <c r="S2008" i="1"/>
  <c r="S2009" i="1"/>
  <c r="S2010" i="1"/>
  <c r="S2011" i="1"/>
  <c r="S2012" i="1"/>
  <c r="S2013" i="1"/>
  <c r="S2014" i="1"/>
  <c r="S2015" i="1"/>
  <c r="S2016" i="1"/>
  <c r="S2017" i="1"/>
  <c r="S2018" i="1"/>
  <c r="S2019" i="1"/>
  <c r="S2020" i="1"/>
  <c r="S2021" i="1"/>
  <c r="S2022" i="1"/>
  <c r="S2023" i="1"/>
  <c r="S2024" i="1"/>
  <c r="S2025" i="1"/>
  <c r="S2026" i="1"/>
  <c r="S2027" i="1"/>
  <c r="S2028" i="1"/>
  <c r="S2029" i="1"/>
  <c r="S2030" i="1"/>
  <c r="S2031" i="1"/>
  <c r="S2032" i="1"/>
  <c r="S2033" i="1"/>
  <c r="S2034" i="1"/>
  <c r="S2035" i="1"/>
  <c r="S2036" i="1"/>
  <c r="S2037" i="1"/>
  <c r="S2038" i="1"/>
  <c r="S2039" i="1"/>
  <c r="S2040" i="1"/>
  <c r="S2041" i="1"/>
  <c r="S2042" i="1"/>
  <c r="S2043" i="1"/>
  <c r="S2044" i="1"/>
  <c r="S2045" i="1"/>
  <c r="S2046" i="1"/>
  <c r="S2047" i="1"/>
  <c r="S2048" i="1"/>
  <c r="S2049" i="1"/>
  <c r="S2050" i="1"/>
  <c r="S2051" i="1"/>
  <c r="S2052" i="1"/>
  <c r="S2053" i="1"/>
  <c r="S2054" i="1"/>
  <c r="S2055" i="1"/>
  <c r="S2056" i="1"/>
  <c r="S2057" i="1"/>
  <c r="S2058" i="1"/>
  <c r="S2059" i="1"/>
  <c r="S2060" i="1"/>
  <c r="S2061" i="1"/>
  <c r="S2062" i="1"/>
  <c r="S2063" i="1"/>
  <c r="S2064" i="1"/>
  <c r="S2065" i="1"/>
  <c r="S2066" i="1"/>
  <c r="S2067" i="1"/>
  <c r="S2068" i="1"/>
  <c r="S2069" i="1"/>
  <c r="S2070" i="1"/>
  <c r="S2071" i="1"/>
  <c r="S2072" i="1"/>
  <c r="S2073" i="1"/>
  <c r="S2074" i="1"/>
  <c r="S2075" i="1"/>
  <c r="S2076" i="1"/>
  <c r="S2077" i="1"/>
  <c r="S2078" i="1"/>
  <c r="S2079" i="1"/>
  <c r="S2080" i="1"/>
  <c r="S2081" i="1"/>
  <c r="S2082" i="1"/>
  <c r="S2083" i="1"/>
  <c r="S2084" i="1"/>
  <c r="S2085" i="1"/>
  <c r="S2086" i="1"/>
  <c r="S2087" i="1"/>
  <c r="S2088" i="1"/>
  <c r="S2089" i="1"/>
  <c r="S2090" i="1"/>
  <c r="S2091" i="1"/>
  <c r="S2092" i="1"/>
  <c r="S2093" i="1"/>
  <c r="S2094" i="1"/>
  <c r="S2095" i="1"/>
  <c r="S2096" i="1"/>
  <c r="S2097" i="1"/>
  <c r="S2098" i="1"/>
  <c r="S2099" i="1"/>
  <c r="S2100" i="1"/>
  <c r="S2101" i="1"/>
  <c r="S2102" i="1"/>
  <c r="S2103" i="1"/>
  <c r="S2104" i="1"/>
  <c r="S2105" i="1"/>
  <c r="S2106" i="1"/>
  <c r="S2107" i="1"/>
  <c r="S2108" i="1"/>
  <c r="S2109" i="1"/>
  <c r="S2110" i="1"/>
  <c r="S2111" i="1"/>
  <c r="S2112" i="1"/>
  <c r="S2113" i="1"/>
  <c r="S2114" i="1"/>
  <c r="S2115" i="1"/>
  <c r="S2116" i="1"/>
  <c r="S2117" i="1"/>
  <c r="S2118" i="1"/>
  <c r="S2119" i="1"/>
  <c r="S2120" i="1"/>
  <c r="S2121" i="1"/>
  <c r="S2122" i="1"/>
  <c r="S2123" i="1"/>
  <c r="S2124" i="1"/>
  <c r="S2125" i="1"/>
  <c r="S2126" i="1"/>
  <c r="S2127" i="1"/>
  <c r="S2128" i="1"/>
  <c r="S2129" i="1"/>
  <c r="S2130" i="1"/>
  <c r="S2131" i="1"/>
  <c r="S2132" i="1"/>
  <c r="S2133" i="1"/>
  <c r="S2134" i="1"/>
  <c r="S2135" i="1"/>
  <c r="S2136" i="1"/>
  <c r="S2137" i="1"/>
  <c r="S2138" i="1"/>
  <c r="S2139" i="1"/>
  <c r="S2140" i="1"/>
  <c r="S2141" i="1"/>
  <c r="S2142" i="1"/>
  <c r="S2143" i="1"/>
  <c r="S2144" i="1"/>
  <c r="S2145" i="1"/>
  <c r="S2146" i="1"/>
  <c r="S2147" i="1"/>
  <c r="S2148" i="1"/>
  <c r="S2149" i="1"/>
  <c r="S2150" i="1"/>
  <c r="S2151" i="1"/>
  <c r="S2152" i="1"/>
  <c r="S2153" i="1"/>
  <c r="S2154" i="1"/>
  <c r="S2155" i="1"/>
  <c r="S2156" i="1"/>
  <c r="S2157" i="1"/>
  <c r="S2158" i="1"/>
  <c r="S2159" i="1"/>
  <c r="S2160" i="1"/>
  <c r="S2161" i="1"/>
  <c r="S2162" i="1"/>
  <c r="S2163" i="1"/>
  <c r="S2164" i="1"/>
  <c r="S2165" i="1"/>
  <c r="S2166" i="1"/>
  <c r="S2167" i="1"/>
  <c r="S2168" i="1"/>
  <c r="S2169" i="1"/>
  <c r="S2170" i="1"/>
  <c r="S2171" i="1"/>
  <c r="S2172" i="1"/>
  <c r="S2173" i="1"/>
  <c r="S2174" i="1"/>
  <c r="S2175" i="1"/>
  <c r="S2176" i="1"/>
  <c r="S2177" i="1"/>
  <c r="S2178" i="1"/>
  <c r="S2179" i="1"/>
  <c r="S2180" i="1"/>
  <c r="S2181" i="1"/>
  <c r="S2182" i="1"/>
  <c r="S2183" i="1"/>
  <c r="S2184" i="1"/>
  <c r="S2185" i="1"/>
  <c r="S2186" i="1"/>
  <c r="S2187" i="1"/>
  <c r="S2188" i="1"/>
  <c r="S2189" i="1"/>
  <c r="S2190" i="1"/>
  <c r="S2191" i="1"/>
  <c r="S2192" i="1"/>
  <c r="S2193" i="1"/>
  <c r="S2194" i="1"/>
  <c r="S2195" i="1"/>
  <c r="S2196" i="1"/>
  <c r="S2197" i="1"/>
  <c r="S2198" i="1"/>
  <c r="S2199" i="1"/>
  <c r="S2200" i="1"/>
  <c r="S2201" i="1"/>
  <c r="S2202" i="1"/>
  <c r="S2203" i="1"/>
  <c r="S2204" i="1"/>
  <c r="S2205" i="1"/>
  <c r="S2206" i="1"/>
  <c r="S2207" i="1"/>
  <c r="S2208" i="1"/>
  <c r="S2209" i="1"/>
  <c r="S2210" i="1"/>
  <c r="S2211" i="1"/>
  <c r="S2212" i="1"/>
  <c r="S2213" i="1"/>
  <c r="S2214" i="1"/>
  <c r="S2215" i="1"/>
  <c r="S2216" i="1"/>
  <c r="S2217" i="1"/>
  <c r="S2218" i="1"/>
  <c r="S2219" i="1"/>
  <c r="S2220" i="1"/>
  <c r="S2221" i="1"/>
  <c r="S2222" i="1"/>
  <c r="S2223" i="1"/>
  <c r="S2224" i="1"/>
  <c r="S2225" i="1"/>
  <c r="S2226" i="1"/>
  <c r="S2227" i="1"/>
  <c r="S2228" i="1"/>
  <c r="S2229" i="1"/>
  <c r="S2230" i="1"/>
  <c r="S2231" i="1"/>
  <c r="S2232" i="1"/>
  <c r="S2233" i="1"/>
  <c r="S2234" i="1"/>
  <c r="S2235" i="1"/>
  <c r="S2236" i="1"/>
  <c r="S2237" i="1"/>
  <c r="S2238" i="1"/>
  <c r="S2239" i="1"/>
  <c r="S2240" i="1"/>
  <c r="S2241" i="1"/>
  <c r="S2242" i="1"/>
  <c r="S2243" i="1"/>
  <c r="S2244" i="1"/>
  <c r="S2245" i="1"/>
  <c r="S2246" i="1"/>
  <c r="S2247" i="1"/>
  <c r="S2248" i="1"/>
  <c r="S2249" i="1"/>
  <c r="S2250" i="1"/>
  <c r="S2251" i="1"/>
  <c r="S2252" i="1"/>
  <c r="S2253" i="1"/>
  <c r="S2254" i="1"/>
  <c r="S2255" i="1"/>
  <c r="S2256" i="1"/>
  <c r="S2257" i="1"/>
  <c r="S2258" i="1"/>
  <c r="S2259" i="1"/>
  <c r="S2260" i="1"/>
  <c r="S2261" i="1"/>
  <c r="S2262" i="1"/>
  <c r="S2263" i="1"/>
  <c r="S2264" i="1"/>
  <c r="S2265" i="1"/>
  <c r="S2266" i="1"/>
  <c r="S2267" i="1"/>
  <c r="S2268" i="1"/>
  <c r="S2269" i="1"/>
  <c r="S2270" i="1"/>
  <c r="S2271" i="1"/>
  <c r="S2272" i="1"/>
  <c r="S2273" i="1"/>
  <c r="S2274" i="1"/>
  <c r="S2275" i="1"/>
  <c r="S2276" i="1"/>
  <c r="S2277" i="1"/>
  <c r="S2278" i="1"/>
  <c r="S2279" i="1"/>
  <c r="S2280" i="1"/>
  <c r="S2281" i="1"/>
  <c r="S2282" i="1"/>
  <c r="S2283" i="1"/>
  <c r="S2284" i="1"/>
  <c r="S2285" i="1"/>
  <c r="S2286" i="1"/>
  <c r="S2287" i="1"/>
  <c r="S2288" i="1"/>
  <c r="S2289" i="1"/>
  <c r="S2290" i="1"/>
  <c r="S2291" i="1"/>
  <c r="S2292" i="1"/>
  <c r="S2293" i="1"/>
  <c r="S2294" i="1"/>
  <c r="S2295" i="1"/>
  <c r="S2296" i="1"/>
  <c r="S2297" i="1"/>
  <c r="S2298" i="1"/>
  <c r="S2299" i="1"/>
  <c r="S2300" i="1"/>
  <c r="S2301" i="1"/>
  <c r="S2302" i="1"/>
  <c r="S2303" i="1"/>
  <c r="S2304" i="1"/>
  <c r="S2305" i="1"/>
  <c r="S2306" i="1"/>
  <c r="S2307" i="1"/>
  <c r="S2308" i="1"/>
  <c r="S2309" i="1"/>
  <c r="S2310" i="1"/>
  <c r="S2311" i="1"/>
  <c r="S2312" i="1"/>
  <c r="S2313" i="1"/>
  <c r="S2314" i="1"/>
  <c r="S2315" i="1"/>
  <c r="S2316" i="1"/>
  <c r="S2317" i="1"/>
  <c r="S2318" i="1"/>
  <c r="S2319" i="1"/>
  <c r="S2320" i="1"/>
  <c r="S2321" i="1"/>
  <c r="S2322" i="1"/>
  <c r="S2323" i="1"/>
  <c r="S2324" i="1"/>
  <c r="S2325" i="1"/>
  <c r="S2326" i="1"/>
  <c r="S2327" i="1"/>
  <c r="S2328" i="1"/>
  <c r="S2329" i="1"/>
  <c r="S2330" i="1"/>
  <c r="S2331" i="1"/>
  <c r="S2332" i="1"/>
  <c r="S2333" i="1"/>
  <c r="S2334" i="1"/>
  <c r="S2335" i="1"/>
  <c r="S2336" i="1"/>
  <c r="S2337" i="1"/>
  <c r="S2338" i="1"/>
  <c r="S2339" i="1"/>
  <c r="S2340" i="1"/>
  <c r="S2341" i="1"/>
  <c r="S2342" i="1"/>
  <c r="S2343" i="1"/>
  <c r="S2344" i="1"/>
  <c r="S2345" i="1"/>
  <c r="S2346" i="1"/>
  <c r="S2347" i="1"/>
  <c r="S2348" i="1"/>
  <c r="S2349" i="1"/>
  <c r="S2350" i="1"/>
  <c r="S2351" i="1"/>
  <c r="S2352" i="1"/>
  <c r="S2353" i="1"/>
  <c r="S2354" i="1"/>
  <c r="S2355" i="1"/>
  <c r="S2356" i="1"/>
  <c r="S2357" i="1"/>
  <c r="S2358" i="1"/>
  <c r="S2359" i="1"/>
  <c r="S2360" i="1"/>
  <c r="S2361" i="1"/>
  <c r="S2362" i="1"/>
  <c r="S2363" i="1"/>
  <c r="S2364" i="1"/>
  <c r="S2365" i="1"/>
  <c r="S2366" i="1"/>
  <c r="S2367" i="1"/>
  <c r="S2368" i="1"/>
  <c r="S2369" i="1"/>
  <c r="S2370" i="1"/>
  <c r="S2371" i="1"/>
  <c r="S2372" i="1"/>
  <c r="S2373" i="1"/>
  <c r="S2374" i="1"/>
  <c r="S2375" i="1"/>
  <c r="S2376" i="1"/>
  <c r="S2377" i="1"/>
  <c r="S2378" i="1"/>
  <c r="S2379" i="1"/>
  <c r="S2380" i="1"/>
  <c r="S2381" i="1"/>
  <c r="S2382" i="1"/>
  <c r="S2383" i="1"/>
  <c r="S2384" i="1"/>
  <c r="S2385" i="1"/>
  <c r="S2386" i="1"/>
  <c r="S2387" i="1"/>
  <c r="S2388" i="1"/>
  <c r="S2389" i="1"/>
  <c r="S2390" i="1"/>
  <c r="S2391" i="1"/>
  <c r="S2392" i="1"/>
  <c r="S2393" i="1"/>
  <c r="S2394" i="1"/>
  <c r="S2395" i="1"/>
  <c r="S2396" i="1"/>
  <c r="S2397" i="1"/>
  <c r="S2398" i="1"/>
  <c r="S2399" i="1"/>
  <c r="S2400" i="1"/>
  <c r="S2401" i="1"/>
  <c r="S2402" i="1"/>
  <c r="S2403" i="1"/>
  <c r="S2404" i="1"/>
  <c r="S2405" i="1"/>
  <c r="S2406" i="1"/>
  <c r="S2407" i="1"/>
  <c r="S2408" i="1"/>
  <c r="S2409" i="1"/>
  <c r="S2410" i="1"/>
  <c r="S2411" i="1"/>
  <c r="S2412" i="1"/>
  <c r="S2413" i="1"/>
  <c r="S2414" i="1"/>
  <c r="S2415" i="1"/>
  <c r="S2416" i="1"/>
  <c r="S2417" i="1"/>
  <c r="S2418" i="1"/>
  <c r="S2419" i="1"/>
  <c r="S2420" i="1"/>
  <c r="S2421" i="1"/>
  <c r="S2422" i="1"/>
  <c r="S2423" i="1"/>
  <c r="S2424" i="1"/>
  <c r="S2425" i="1"/>
  <c r="S2426" i="1"/>
  <c r="S2427" i="1"/>
  <c r="S2428" i="1"/>
  <c r="S2429" i="1"/>
  <c r="S2430" i="1"/>
  <c r="S2431" i="1"/>
  <c r="S2432" i="1"/>
  <c r="S2433" i="1"/>
  <c r="S2434" i="1"/>
  <c r="S2435" i="1"/>
  <c r="S2436" i="1"/>
  <c r="S2437" i="1"/>
  <c r="S2438" i="1"/>
  <c r="S2439" i="1"/>
  <c r="S2440" i="1"/>
  <c r="S2441" i="1"/>
  <c r="S2442" i="1"/>
  <c r="S2443" i="1"/>
  <c r="S2444" i="1"/>
  <c r="S2445" i="1"/>
  <c r="S2446" i="1"/>
  <c r="S2447" i="1"/>
  <c r="S2448" i="1"/>
  <c r="S2449" i="1"/>
  <c r="S2450" i="1"/>
  <c r="S2451" i="1"/>
  <c r="S2452" i="1"/>
  <c r="S2453" i="1"/>
  <c r="S2454" i="1"/>
  <c r="S2455" i="1"/>
  <c r="S2456" i="1"/>
  <c r="S2457" i="1"/>
  <c r="S2458" i="1"/>
  <c r="S2459" i="1"/>
  <c r="S2460" i="1"/>
  <c r="S2461" i="1"/>
  <c r="S2462" i="1"/>
  <c r="S2463" i="1"/>
  <c r="S2464" i="1"/>
  <c r="S2465" i="1"/>
  <c r="S2466" i="1"/>
  <c r="S2467" i="1"/>
  <c r="S2468" i="1"/>
  <c r="S2469" i="1"/>
  <c r="S2470" i="1"/>
  <c r="S2471" i="1"/>
  <c r="S2472" i="1"/>
  <c r="S2473" i="1"/>
  <c r="S2474" i="1"/>
  <c r="S2475" i="1"/>
  <c r="S2476" i="1"/>
  <c r="S2477" i="1"/>
  <c r="S2478" i="1"/>
  <c r="S2479" i="1"/>
  <c r="S2480" i="1"/>
  <c r="S2481" i="1"/>
  <c r="S2482" i="1"/>
  <c r="S2483" i="1"/>
  <c r="S2484" i="1"/>
  <c r="S2485" i="1"/>
  <c r="S2486" i="1"/>
  <c r="S2487" i="1"/>
  <c r="S2488" i="1"/>
  <c r="S2489" i="1"/>
  <c r="S2490" i="1"/>
  <c r="S2491" i="1"/>
  <c r="S2492" i="1"/>
  <c r="S2493" i="1"/>
  <c r="S2494" i="1"/>
  <c r="S2495" i="1"/>
  <c r="S2496" i="1"/>
  <c r="S2497" i="1"/>
  <c r="S2498" i="1"/>
  <c r="S2499" i="1"/>
  <c r="S2500" i="1"/>
  <c r="S2501" i="1"/>
  <c r="S2502" i="1"/>
  <c r="S2503" i="1"/>
  <c r="S2504" i="1"/>
  <c r="S2505" i="1"/>
  <c r="S2506" i="1"/>
  <c r="S2507" i="1"/>
  <c r="S2508" i="1"/>
  <c r="S2509" i="1"/>
  <c r="S2510" i="1"/>
  <c r="S2511" i="1"/>
  <c r="S2512" i="1"/>
  <c r="S2513" i="1"/>
  <c r="S2514" i="1"/>
  <c r="S2515" i="1"/>
  <c r="S2516" i="1"/>
  <c r="S2517" i="1"/>
  <c r="S2518" i="1"/>
  <c r="S2519" i="1"/>
  <c r="S2520" i="1"/>
  <c r="S2521" i="1"/>
  <c r="S2522" i="1"/>
  <c r="S2523" i="1"/>
  <c r="S2524" i="1"/>
  <c r="S2525" i="1"/>
  <c r="S2526" i="1"/>
  <c r="S2527" i="1"/>
  <c r="S2528" i="1"/>
  <c r="S2529" i="1"/>
  <c r="S2530" i="1"/>
  <c r="S2531" i="1"/>
  <c r="S2532" i="1"/>
  <c r="S2533" i="1"/>
  <c r="S2534" i="1"/>
  <c r="S2535" i="1"/>
  <c r="S2536" i="1"/>
  <c r="S2537" i="1"/>
  <c r="S2538" i="1"/>
  <c r="S2539" i="1"/>
  <c r="S2540" i="1"/>
  <c r="S2541" i="1"/>
  <c r="S2542" i="1"/>
  <c r="S2543" i="1"/>
  <c r="S2544" i="1"/>
  <c r="S2545" i="1"/>
  <c r="S2546" i="1"/>
  <c r="S2547" i="1"/>
  <c r="S2548" i="1"/>
  <c r="S2549" i="1"/>
  <c r="S2550" i="1"/>
  <c r="S2551" i="1"/>
  <c r="S2552" i="1"/>
  <c r="S2553" i="1"/>
  <c r="S2554" i="1"/>
  <c r="S2555" i="1"/>
  <c r="S2556" i="1"/>
  <c r="S2557" i="1"/>
  <c r="S2558" i="1"/>
  <c r="S2559" i="1"/>
  <c r="S2560" i="1"/>
  <c r="S2561" i="1"/>
  <c r="S2562" i="1"/>
  <c r="S2563" i="1"/>
  <c r="S2564" i="1"/>
  <c r="S2565" i="1"/>
  <c r="S2566" i="1"/>
  <c r="S2567" i="1"/>
  <c r="S2568" i="1"/>
  <c r="S2569" i="1"/>
  <c r="S2570" i="1"/>
  <c r="S2571" i="1"/>
  <c r="S2572" i="1"/>
  <c r="S2573" i="1"/>
  <c r="S2574" i="1"/>
  <c r="S2575" i="1"/>
  <c r="S2576" i="1"/>
  <c r="S2577" i="1"/>
  <c r="S2578" i="1"/>
  <c r="S2579" i="1"/>
  <c r="S2580" i="1"/>
  <c r="S2581" i="1"/>
  <c r="S2582" i="1"/>
  <c r="S2583" i="1"/>
  <c r="S2584" i="1"/>
  <c r="S2585" i="1"/>
  <c r="S2586" i="1"/>
  <c r="S2587" i="1"/>
  <c r="S2588" i="1"/>
  <c r="S2589" i="1"/>
  <c r="S2590" i="1"/>
  <c r="S2591" i="1"/>
  <c r="S2592" i="1"/>
  <c r="S2593" i="1"/>
  <c r="S2594" i="1"/>
  <c r="S2595" i="1"/>
  <c r="S2596" i="1"/>
  <c r="S2597" i="1"/>
  <c r="S2598" i="1"/>
  <c r="S2599" i="1"/>
  <c r="S2600" i="1"/>
  <c r="S2601" i="1"/>
  <c r="S2602" i="1"/>
  <c r="S2603" i="1"/>
  <c r="S2604" i="1"/>
  <c r="S2605" i="1"/>
  <c r="S2606" i="1"/>
  <c r="S2607" i="1"/>
  <c r="S2608" i="1"/>
  <c r="S2609" i="1"/>
  <c r="S2610" i="1"/>
  <c r="S2611" i="1"/>
  <c r="S2612" i="1"/>
  <c r="S2613" i="1"/>
  <c r="S2614" i="1"/>
  <c r="S2615" i="1"/>
  <c r="S2616" i="1"/>
  <c r="S2617" i="1"/>
  <c r="S2618" i="1"/>
  <c r="S2619" i="1"/>
  <c r="S2620" i="1"/>
  <c r="S2621" i="1"/>
  <c r="S2622" i="1"/>
  <c r="S2623" i="1"/>
  <c r="S2624" i="1"/>
  <c r="S2625" i="1"/>
  <c r="S2626" i="1"/>
  <c r="S2627" i="1"/>
  <c r="S2628" i="1"/>
  <c r="S2629" i="1"/>
  <c r="S2630" i="1"/>
  <c r="S2631" i="1"/>
  <c r="S2632" i="1"/>
  <c r="S2633" i="1"/>
  <c r="S2634" i="1"/>
  <c r="S2635" i="1"/>
  <c r="S2636" i="1"/>
  <c r="S2637" i="1"/>
  <c r="S2638" i="1"/>
  <c r="S2639" i="1"/>
  <c r="S2640" i="1"/>
  <c r="S2641" i="1"/>
  <c r="S2642" i="1"/>
  <c r="S2643" i="1"/>
  <c r="S2644" i="1"/>
  <c r="S2645" i="1"/>
  <c r="S2646" i="1"/>
  <c r="S2647" i="1"/>
  <c r="S2648" i="1"/>
  <c r="S2649" i="1"/>
  <c r="S2650" i="1"/>
  <c r="S2651" i="1"/>
  <c r="S2652" i="1"/>
  <c r="S2653" i="1"/>
  <c r="S2654" i="1"/>
  <c r="S2655" i="1"/>
  <c r="S2656" i="1"/>
  <c r="S2657" i="1"/>
  <c r="S2658" i="1"/>
  <c r="S2659" i="1"/>
  <c r="S2660" i="1"/>
  <c r="S2661" i="1"/>
  <c r="S2662" i="1"/>
  <c r="S2663" i="1"/>
  <c r="S2664" i="1"/>
  <c r="S2665" i="1"/>
  <c r="S2666" i="1"/>
  <c r="S2667" i="1"/>
  <c r="S2668" i="1"/>
  <c r="S2669" i="1"/>
  <c r="S2670" i="1"/>
  <c r="S2671" i="1"/>
  <c r="S2672" i="1"/>
  <c r="S2673" i="1"/>
  <c r="S2674" i="1"/>
  <c r="S2675" i="1"/>
  <c r="S2676" i="1"/>
  <c r="S2677" i="1"/>
  <c r="S2678" i="1"/>
  <c r="S2679" i="1"/>
  <c r="S2680" i="1"/>
  <c r="S2681" i="1"/>
  <c r="S2682" i="1"/>
  <c r="S2683" i="1"/>
  <c r="S2684" i="1"/>
  <c r="S2685" i="1"/>
  <c r="S2686" i="1"/>
  <c r="S2687" i="1"/>
  <c r="S2688" i="1"/>
  <c r="S2689" i="1"/>
  <c r="S2690" i="1"/>
  <c r="S2691" i="1"/>
  <c r="S2692" i="1"/>
  <c r="S2693" i="1"/>
  <c r="S2694" i="1"/>
  <c r="S2695" i="1"/>
  <c r="S2696" i="1"/>
  <c r="S2697" i="1"/>
  <c r="S2698" i="1"/>
  <c r="S2699" i="1"/>
  <c r="S2700" i="1"/>
  <c r="S2701" i="1"/>
  <c r="S2702" i="1"/>
  <c r="S2703" i="1"/>
  <c r="S2704" i="1"/>
  <c r="S2705" i="1"/>
  <c r="S2706" i="1"/>
  <c r="S2707" i="1"/>
  <c r="S2708" i="1"/>
  <c r="S2709" i="1"/>
  <c r="S2710" i="1"/>
  <c r="S2711" i="1"/>
  <c r="S2712" i="1"/>
  <c r="S2713" i="1"/>
  <c r="S2714" i="1"/>
  <c r="S2715" i="1"/>
  <c r="S2716" i="1"/>
  <c r="S2717" i="1"/>
  <c r="S2718" i="1"/>
  <c r="S2719" i="1"/>
  <c r="S2720" i="1"/>
  <c r="S2721" i="1"/>
  <c r="S2722" i="1"/>
  <c r="S2723" i="1"/>
  <c r="S2724" i="1"/>
  <c r="S2725" i="1"/>
  <c r="S2726" i="1"/>
  <c r="S2727" i="1"/>
  <c r="S2728" i="1"/>
  <c r="S2729" i="1"/>
  <c r="S2730" i="1"/>
  <c r="S2731" i="1"/>
  <c r="S2732" i="1"/>
  <c r="S2733" i="1"/>
  <c r="S2734" i="1"/>
  <c r="S2735" i="1"/>
  <c r="S2736" i="1"/>
  <c r="S2737" i="1"/>
  <c r="S2738" i="1"/>
  <c r="S2739" i="1"/>
  <c r="S2740" i="1"/>
  <c r="S2741" i="1"/>
  <c r="S2742" i="1"/>
  <c r="S2743" i="1"/>
  <c r="S2744" i="1"/>
  <c r="S2745" i="1"/>
  <c r="S2746" i="1"/>
  <c r="S2747" i="1"/>
  <c r="S2748" i="1"/>
  <c r="S2749" i="1"/>
  <c r="S2750" i="1"/>
  <c r="S2751" i="1"/>
  <c r="S2752" i="1"/>
  <c r="S2753" i="1"/>
  <c r="S2754" i="1"/>
  <c r="S2755" i="1"/>
  <c r="S2756" i="1"/>
  <c r="S2757" i="1"/>
  <c r="S2758" i="1"/>
  <c r="S2759" i="1"/>
  <c r="S2760" i="1"/>
  <c r="S2761" i="1"/>
  <c r="S2762" i="1"/>
  <c r="S2763" i="1"/>
  <c r="S2764" i="1"/>
  <c r="S2765" i="1"/>
  <c r="S2766" i="1"/>
  <c r="S2767" i="1"/>
  <c r="S2768" i="1"/>
  <c r="S2769" i="1"/>
  <c r="S2770" i="1"/>
  <c r="S2771" i="1"/>
  <c r="S2772" i="1"/>
  <c r="S2773" i="1"/>
  <c r="S2774" i="1"/>
  <c r="S2775" i="1"/>
  <c r="S2776" i="1"/>
  <c r="S2777" i="1"/>
  <c r="S2778" i="1"/>
  <c r="S2779" i="1"/>
  <c r="S2780" i="1"/>
  <c r="S2781" i="1"/>
  <c r="S2782" i="1"/>
  <c r="S2783" i="1"/>
  <c r="S2784" i="1"/>
  <c r="S2785" i="1"/>
  <c r="S2786" i="1"/>
  <c r="S2787" i="1"/>
  <c r="S2788" i="1"/>
  <c r="S2789" i="1"/>
  <c r="S2790" i="1"/>
  <c r="S2791" i="1"/>
  <c r="S2792" i="1"/>
  <c r="S2793" i="1"/>
  <c r="S2794" i="1"/>
  <c r="S2795" i="1"/>
  <c r="S2796" i="1"/>
  <c r="S2797" i="1"/>
  <c r="S2798" i="1"/>
  <c r="S2799" i="1"/>
  <c r="S2800" i="1"/>
  <c r="S2801" i="1"/>
  <c r="S2802" i="1"/>
  <c r="S2803" i="1"/>
  <c r="S2804" i="1"/>
  <c r="S2805" i="1"/>
  <c r="S2806" i="1"/>
  <c r="S2807" i="1"/>
  <c r="S2808" i="1"/>
  <c r="S2809" i="1"/>
  <c r="S2810" i="1"/>
  <c r="S2811" i="1"/>
  <c r="S2812" i="1"/>
  <c r="S2813" i="1"/>
  <c r="S2814" i="1"/>
  <c r="S2815" i="1"/>
  <c r="S2816" i="1"/>
  <c r="S2817" i="1"/>
  <c r="S2818" i="1"/>
  <c r="S2819" i="1"/>
  <c r="S2820" i="1"/>
  <c r="S2821" i="1"/>
  <c r="S2822" i="1"/>
  <c r="S2823" i="1"/>
  <c r="S2824" i="1"/>
  <c r="S2825" i="1"/>
  <c r="S2826" i="1"/>
  <c r="S2827" i="1"/>
  <c r="S2828" i="1"/>
  <c r="S2829" i="1"/>
  <c r="S2830" i="1"/>
  <c r="S2831" i="1"/>
  <c r="S2832" i="1"/>
  <c r="S2833" i="1"/>
  <c r="S2834" i="1"/>
  <c r="S2835" i="1"/>
  <c r="S2836" i="1"/>
  <c r="S2837" i="1"/>
  <c r="S2838" i="1"/>
  <c r="S2839" i="1"/>
  <c r="S2840" i="1"/>
  <c r="S2841" i="1"/>
  <c r="S2842" i="1"/>
  <c r="S2843" i="1"/>
  <c r="S2844" i="1"/>
  <c r="S2845" i="1"/>
  <c r="S2846" i="1"/>
  <c r="S2847" i="1"/>
  <c r="S2848" i="1"/>
  <c r="S2849" i="1"/>
  <c r="S2850" i="1"/>
  <c r="S2851" i="1"/>
  <c r="S2852" i="1"/>
  <c r="S2853" i="1"/>
  <c r="S2854" i="1"/>
  <c r="S2855" i="1"/>
  <c r="S2856" i="1"/>
  <c r="S2857" i="1"/>
  <c r="S2858" i="1"/>
  <c r="S2859" i="1"/>
  <c r="S2860" i="1"/>
  <c r="S2861" i="1"/>
  <c r="S2862" i="1"/>
  <c r="S2863" i="1"/>
  <c r="S2864" i="1"/>
  <c r="S2865" i="1"/>
  <c r="S2866" i="1"/>
  <c r="S2867" i="1"/>
  <c r="S2868" i="1"/>
  <c r="S2869" i="1"/>
  <c r="S2870" i="1"/>
  <c r="S2871" i="1"/>
  <c r="S2872" i="1"/>
  <c r="S2873" i="1"/>
  <c r="S2874" i="1"/>
  <c r="S2875" i="1"/>
  <c r="S2876" i="1"/>
  <c r="S2877" i="1"/>
  <c r="S2878" i="1"/>
  <c r="S2879" i="1"/>
  <c r="S2880" i="1"/>
  <c r="S2881" i="1"/>
  <c r="S2882" i="1"/>
  <c r="S2883" i="1"/>
  <c r="S2884" i="1"/>
  <c r="S2885" i="1"/>
  <c r="S2886" i="1"/>
  <c r="S2887" i="1"/>
  <c r="S2888" i="1"/>
  <c r="S2889" i="1"/>
  <c r="S2890" i="1"/>
  <c r="S2891" i="1"/>
  <c r="S2892" i="1"/>
  <c r="S2893" i="1"/>
  <c r="S2894" i="1"/>
  <c r="S2895" i="1"/>
  <c r="S2896" i="1"/>
  <c r="S2897" i="1"/>
  <c r="S2898" i="1"/>
  <c r="S2899" i="1"/>
  <c r="S2900" i="1"/>
  <c r="S2901" i="1"/>
  <c r="S2902" i="1"/>
  <c r="S2903" i="1"/>
  <c r="S2904" i="1"/>
  <c r="S2905" i="1"/>
  <c r="S2906" i="1"/>
  <c r="S2907" i="1"/>
  <c r="S2908" i="1"/>
  <c r="S2909" i="1"/>
  <c r="S2910" i="1"/>
  <c r="S2911" i="1"/>
  <c r="S2912" i="1"/>
  <c r="S2913" i="1"/>
  <c r="S2914" i="1"/>
  <c r="S2915" i="1"/>
  <c r="S2916" i="1"/>
  <c r="S2917" i="1"/>
  <c r="S2918" i="1"/>
  <c r="S2919" i="1"/>
  <c r="S2920" i="1"/>
  <c r="S2921" i="1"/>
  <c r="S2922" i="1"/>
  <c r="S2923" i="1"/>
  <c r="S2924" i="1"/>
  <c r="S2925" i="1"/>
  <c r="S2926" i="1"/>
  <c r="S2927" i="1"/>
  <c r="S2928" i="1"/>
  <c r="S2929" i="1"/>
  <c r="S2930" i="1"/>
  <c r="S2931" i="1"/>
  <c r="S2932" i="1"/>
  <c r="S2933" i="1"/>
  <c r="S2934" i="1"/>
  <c r="S2935" i="1"/>
  <c r="S2936" i="1"/>
  <c r="S2937" i="1"/>
  <c r="S2938" i="1"/>
  <c r="S2939" i="1"/>
  <c r="S2940" i="1"/>
  <c r="S2941" i="1"/>
  <c r="S2942" i="1"/>
  <c r="S2943" i="1"/>
  <c r="S2944" i="1"/>
  <c r="S2945" i="1"/>
  <c r="S2946" i="1"/>
  <c r="S2947" i="1"/>
  <c r="S2948" i="1"/>
  <c r="S2949" i="1"/>
  <c r="S2950" i="1"/>
  <c r="S2951" i="1"/>
  <c r="S2952" i="1"/>
  <c r="S2953" i="1"/>
  <c r="S2954" i="1"/>
  <c r="S2955" i="1"/>
  <c r="S2956" i="1"/>
  <c r="S2957" i="1"/>
  <c r="S2958" i="1"/>
  <c r="S2959" i="1"/>
  <c r="S2960" i="1"/>
  <c r="S2961" i="1"/>
  <c r="S2962" i="1"/>
  <c r="S2963" i="1"/>
  <c r="S2964" i="1"/>
  <c r="S2965" i="1"/>
  <c r="S2966" i="1"/>
  <c r="S2967" i="1"/>
  <c r="S2968" i="1"/>
  <c r="S2969" i="1"/>
  <c r="S2970" i="1"/>
  <c r="S2971" i="1"/>
  <c r="S2972" i="1"/>
  <c r="S2973" i="1"/>
  <c r="S2974" i="1"/>
  <c r="S2975" i="1"/>
  <c r="S2976" i="1"/>
  <c r="S2977" i="1"/>
  <c r="S2978" i="1"/>
  <c r="S2979" i="1"/>
  <c r="S2980" i="1"/>
  <c r="S2981" i="1"/>
  <c r="S2982" i="1"/>
  <c r="S2983" i="1"/>
  <c r="S2984" i="1"/>
  <c r="S2985" i="1"/>
  <c r="S2986" i="1"/>
  <c r="S2987" i="1"/>
  <c r="S2988" i="1"/>
  <c r="S2989" i="1"/>
  <c r="S2990" i="1"/>
  <c r="S2991" i="1"/>
  <c r="S2992" i="1"/>
  <c r="S2993" i="1"/>
  <c r="S2994" i="1"/>
  <c r="S2995" i="1"/>
  <c r="S2996" i="1"/>
  <c r="S2997" i="1"/>
  <c r="S2998" i="1"/>
  <c r="S2999" i="1"/>
  <c r="S3000" i="1"/>
  <c r="S3001" i="1"/>
  <c r="S3002" i="1"/>
  <c r="S3003" i="1"/>
  <c r="S3004" i="1"/>
  <c r="S3005" i="1"/>
  <c r="S3006" i="1"/>
  <c r="S3007" i="1"/>
  <c r="S3008" i="1"/>
  <c r="S3009" i="1"/>
  <c r="S3010" i="1"/>
  <c r="S3011" i="1"/>
  <c r="S3012" i="1"/>
  <c r="S3013" i="1"/>
  <c r="S3014" i="1"/>
  <c r="S3015" i="1"/>
  <c r="S3016" i="1"/>
  <c r="S3017" i="1"/>
  <c r="S3018" i="1"/>
  <c r="S3019" i="1"/>
  <c r="S3020" i="1"/>
  <c r="S3021" i="1"/>
  <c r="S3022" i="1"/>
  <c r="S3023" i="1"/>
  <c r="S3024" i="1"/>
  <c r="S3025" i="1"/>
  <c r="S3026" i="1"/>
  <c r="S3027" i="1"/>
  <c r="S3028" i="1"/>
  <c r="S3029" i="1"/>
  <c r="S3030" i="1"/>
  <c r="S3031" i="1"/>
  <c r="S3032" i="1"/>
  <c r="S3033" i="1"/>
  <c r="S3034" i="1"/>
  <c r="S3035" i="1"/>
  <c r="S3036" i="1"/>
  <c r="S3037" i="1"/>
  <c r="S3038" i="1"/>
  <c r="S3039" i="1"/>
  <c r="S3040" i="1"/>
  <c r="S3041" i="1"/>
  <c r="S3042" i="1"/>
  <c r="S3043" i="1"/>
  <c r="S3044" i="1"/>
  <c r="S3045" i="1"/>
  <c r="S3046" i="1"/>
  <c r="S3047" i="1"/>
  <c r="S3048" i="1"/>
  <c r="S3049" i="1"/>
  <c r="S3050" i="1"/>
  <c r="S3051" i="1"/>
  <c r="S3052" i="1"/>
  <c r="S3053" i="1"/>
  <c r="S3054" i="1"/>
  <c r="S3055" i="1"/>
  <c r="S3056" i="1"/>
  <c r="S3057" i="1"/>
  <c r="S3058" i="1"/>
  <c r="S3059" i="1"/>
  <c r="S3060" i="1"/>
  <c r="S3061" i="1"/>
  <c r="S3062" i="1"/>
  <c r="S3063" i="1"/>
  <c r="S3064" i="1"/>
  <c r="S3065" i="1"/>
  <c r="S3066" i="1"/>
  <c r="S3067" i="1"/>
  <c r="S3068" i="1"/>
  <c r="S3069" i="1"/>
  <c r="S3070" i="1"/>
  <c r="S3071" i="1"/>
  <c r="S3072" i="1"/>
  <c r="S3073" i="1"/>
  <c r="S3074" i="1"/>
  <c r="S3075" i="1"/>
  <c r="S3076" i="1"/>
  <c r="S3077" i="1"/>
  <c r="S3078" i="1"/>
  <c r="S3079" i="1"/>
  <c r="S3080" i="1"/>
  <c r="S3081" i="1"/>
  <c r="S3082" i="1"/>
  <c r="S3083" i="1"/>
  <c r="S3084" i="1"/>
  <c r="S3085" i="1"/>
  <c r="S3086" i="1"/>
  <c r="S3087" i="1"/>
  <c r="S3088" i="1"/>
  <c r="S3089" i="1"/>
  <c r="S3090" i="1"/>
  <c r="S3091" i="1"/>
  <c r="S3092" i="1"/>
  <c r="S3093" i="1"/>
  <c r="S3094" i="1"/>
  <c r="S3095" i="1"/>
  <c r="S3096" i="1"/>
  <c r="S3097" i="1"/>
  <c r="S3098" i="1"/>
  <c r="S3099" i="1"/>
  <c r="S3100" i="1"/>
  <c r="S3101" i="1"/>
  <c r="S3102" i="1"/>
  <c r="S3103" i="1"/>
  <c r="S3104" i="1"/>
  <c r="S3105" i="1"/>
  <c r="S3106" i="1"/>
  <c r="S3107" i="1"/>
  <c r="S3108" i="1"/>
  <c r="S3109" i="1"/>
  <c r="S3110" i="1"/>
  <c r="S3111" i="1"/>
  <c r="S3112" i="1"/>
  <c r="S3113" i="1"/>
  <c r="S3114" i="1"/>
  <c r="S3115" i="1"/>
  <c r="S3116" i="1"/>
  <c r="S3117" i="1"/>
  <c r="S3118" i="1"/>
  <c r="S3119" i="1"/>
  <c r="S3120" i="1"/>
  <c r="S3121" i="1"/>
  <c r="S3122" i="1"/>
  <c r="S3123" i="1"/>
  <c r="S3124" i="1"/>
  <c r="S3125" i="1"/>
  <c r="S3126" i="1"/>
  <c r="S3127" i="1"/>
  <c r="S3128" i="1"/>
  <c r="S3129" i="1"/>
  <c r="S3130" i="1"/>
  <c r="S3131" i="1"/>
  <c r="S3132" i="1"/>
  <c r="S3133" i="1"/>
  <c r="S3134" i="1"/>
  <c r="S3135" i="1"/>
  <c r="S3136" i="1"/>
  <c r="S3137" i="1"/>
  <c r="S3138" i="1"/>
  <c r="S3139" i="1"/>
  <c r="S3140" i="1"/>
  <c r="S3141" i="1"/>
  <c r="S3142" i="1"/>
  <c r="S3143" i="1"/>
  <c r="S3144" i="1"/>
  <c r="S3145" i="1"/>
  <c r="S3146" i="1"/>
  <c r="S3147" i="1"/>
  <c r="S3148" i="1"/>
  <c r="S3149" i="1"/>
  <c r="S3150" i="1"/>
  <c r="S3151" i="1"/>
  <c r="S3152" i="1"/>
  <c r="S3153" i="1"/>
  <c r="S3154" i="1"/>
  <c r="S3155" i="1"/>
  <c r="S3156" i="1"/>
  <c r="S3157" i="1"/>
  <c r="S3158" i="1"/>
  <c r="S3159" i="1"/>
  <c r="S3160" i="1"/>
  <c r="S3161" i="1"/>
  <c r="S3162" i="1"/>
  <c r="S3163" i="1"/>
  <c r="S3164" i="1"/>
  <c r="S3165" i="1"/>
  <c r="S3166" i="1"/>
  <c r="S3167" i="1"/>
  <c r="S3168" i="1"/>
  <c r="S3169" i="1"/>
  <c r="S3170" i="1"/>
  <c r="S3171" i="1"/>
  <c r="S3172" i="1"/>
  <c r="S3173" i="1"/>
  <c r="S3174" i="1"/>
  <c r="S3175" i="1"/>
  <c r="S3176" i="1"/>
  <c r="S3177" i="1"/>
  <c r="S3178" i="1"/>
  <c r="S3179" i="1"/>
  <c r="S3180" i="1"/>
  <c r="S3181" i="1"/>
  <c r="S3182" i="1"/>
  <c r="S3183" i="1"/>
  <c r="S3184" i="1"/>
  <c r="S3185" i="1"/>
  <c r="S3186" i="1"/>
  <c r="S3187" i="1"/>
  <c r="S3188" i="1"/>
  <c r="S3189" i="1"/>
  <c r="S3190" i="1"/>
  <c r="S3191" i="1"/>
  <c r="S3192" i="1"/>
  <c r="S3193" i="1"/>
  <c r="S3194" i="1"/>
  <c r="S3195" i="1"/>
  <c r="S3196" i="1"/>
  <c r="S3197" i="1"/>
  <c r="S3198" i="1"/>
  <c r="S3199" i="1"/>
  <c r="S3200" i="1"/>
  <c r="S3201" i="1"/>
  <c r="S3202" i="1"/>
  <c r="S3203" i="1"/>
  <c r="S3204" i="1"/>
  <c r="S3205" i="1"/>
  <c r="S3206" i="1"/>
  <c r="S3207" i="1"/>
  <c r="S3208" i="1"/>
  <c r="S3209" i="1"/>
  <c r="S3210" i="1"/>
  <c r="S3211" i="1"/>
  <c r="S3212" i="1"/>
  <c r="S3213" i="1"/>
  <c r="S3214" i="1"/>
  <c r="S3215" i="1"/>
  <c r="S3216" i="1"/>
  <c r="S3217" i="1"/>
  <c r="S3218" i="1"/>
  <c r="S3219" i="1"/>
  <c r="S3220" i="1"/>
  <c r="S3221" i="1"/>
  <c r="S3222" i="1"/>
  <c r="S3223" i="1"/>
  <c r="S3224" i="1"/>
  <c r="S3225" i="1"/>
  <c r="S3226" i="1"/>
  <c r="S3227" i="1"/>
  <c r="S3228" i="1"/>
  <c r="S3229" i="1"/>
  <c r="S3230" i="1"/>
  <c r="S3231" i="1"/>
  <c r="S3232" i="1"/>
  <c r="S3233" i="1"/>
  <c r="S3234" i="1"/>
  <c r="S3235" i="1"/>
  <c r="S3236" i="1"/>
  <c r="S3237" i="1"/>
  <c r="S3238" i="1"/>
  <c r="S3239" i="1"/>
  <c r="S3240" i="1"/>
  <c r="S3241" i="1"/>
  <c r="S3242" i="1"/>
  <c r="S3243" i="1"/>
  <c r="S3244" i="1"/>
  <c r="S3245" i="1"/>
  <c r="S3246" i="1"/>
  <c r="S3247" i="1"/>
  <c r="S3248" i="1"/>
  <c r="S3249" i="1"/>
  <c r="S3250" i="1"/>
  <c r="S3251" i="1"/>
  <c r="S3252" i="1"/>
  <c r="S3253" i="1"/>
  <c r="S3254" i="1"/>
  <c r="S3255" i="1"/>
  <c r="S3256" i="1"/>
  <c r="S3257" i="1"/>
  <c r="S3258" i="1"/>
  <c r="S3259" i="1"/>
  <c r="S3260" i="1"/>
  <c r="S3261" i="1"/>
  <c r="S3262" i="1"/>
  <c r="S3263" i="1"/>
  <c r="S3264" i="1"/>
  <c r="S3265" i="1"/>
  <c r="S3266" i="1"/>
  <c r="S3267" i="1"/>
  <c r="S3268" i="1"/>
  <c r="S3269" i="1"/>
  <c r="S3270" i="1"/>
  <c r="S3271" i="1"/>
  <c r="S3272" i="1"/>
  <c r="S3273" i="1"/>
  <c r="S3274" i="1"/>
  <c r="S3275" i="1"/>
  <c r="S3276" i="1"/>
  <c r="S3277" i="1"/>
  <c r="S3278" i="1"/>
  <c r="S3279" i="1"/>
  <c r="S3280" i="1"/>
  <c r="S3281" i="1"/>
  <c r="S3282" i="1"/>
  <c r="S3283" i="1"/>
  <c r="S3284" i="1"/>
  <c r="S3285" i="1"/>
  <c r="S3286" i="1"/>
  <c r="S3287" i="1"/>
  <c r="S3288" i="1"/>
  <c r="S3289" i="1"/>
  <c r="S3290" i="1"/>
  <c r="S3291" i="1"/>
  <c r="S3292" i="1"/>
  <c r="S3293" i="1"/>
  <c r="S3294" i="1"/>
  <c r="S3295" i="1"/>
  <c r="S3296" i="1"/>
  <c r="S3297" i="1"/>
  <c r="S3298" i="1"/>
  <c r="S3299" i="1"/>
  <c r="S3300" i="1"/>
  <c r="S3301" i="1"/>
  <c r="S3302" i="1"/>
  <c r="S3303" i="1"/>
  <c r="S3304" i="1"/>
  <c r="S3305" i="1"/>
  <c r="S3306" i="1"/>
  <c r="S3307" i="1"/>
  <c r="S3308" i="1"/>
  <c r="S3309" i="1"/>
  <c r="S3310" i="1"/>
  <c r="S3311" i="1"/>
  <c r="S3312" i="1"/>
  <c r="S3313" i="1"/>
  <c r="S3314" i="1"/>
  <c r="S3315" i="1"/>
  <c r="S3316" i="1"/>
  <c r="S3317" i="1"/>
  <c r="S3318" i="1"/>
  <c r="S3319" i="1"/>
  <c r="S3320" i="1"/>
  <c r="S3321" i="1"/>
  <c r="S3322" i="1"/>
  <c r="S3323" i="1"/>
  <c r="S3324" i="1"/>
  <c r="S3325" i="1"/>
  <c r="S3326" i="1"/>
  <c r="S3327" i="1"/>
  <c r="S3328" i="1"/>
  <c r="S3329" i="1"/>
  <c r="S3330" i="1"/>
  <c r="S3331" i="1"/>
  <c r="S3332" i="1"/>
  <c r="S3333" i="1"/>
  <c r="S3334" i="1"/>
  <c r="S3335" i="1"/>
  <c r="S3336" i="1"/>
  <c r="S3337" i="1"/>
  <c r="S3338" i="1"/>
  <c r="S3339" i="1"/>
  <c r="S3340" i="1"/>
  <c r="S3341" i="1"/>
  <c r="S3342" i="1"/>
  <c r="S3343" i="1"/>
  <c r="S3344" i="1"/>
  <c r="S3345" i="1"/>
  <c r="S3346" i="1"/>
  <c r="S3347" i="1"/>
  <c r="S3348" i="1"/>
  <c r="S3349" i="1"/>
  <c r="S3350" i="1"/>
  <c r="S3351" i="1"/>
  <c r="S3352" i="1"/>
  <c r="S3353" i="1"/>
  <c r="S3354" i="1"/>
  <c r="S3355" i="1"/>
  <c r="S3356" i="1"/>
  <c r="S3357" i="1"/>
  <c r="S3358" i="1"/>
  <c r="S3359" i="1"/>
  <c r="S3360" i="1"/>
  <c r="S3361" i="1"/>
  <c r="S3362" i="1"/>
  <c r="S3363" i="1"/>
  <c r="S3364" i="1"/>
  <c r="S3365" i="1"/>
  <c r="S3366" i="1"/>
  <c r="S3367" i="1"/>
  <c r="S3368" i="1"/>
  <c r="S3369" i="1"/>
  <c r="S3370" i="1"/>
  <c r="S3371" i="1"/>
  <c r="S3372" i="1"/>
  <c r="S3373" i="1"/>
  <c r="S3374" i="1"/>
  <c r="S3375" i="1"/>
  <c r="S3376" i="1"/>
  <c r="S3377" i="1"/>
  <c r="S3378" i="1"/>
  <c r="S3379" i="1"/>
  <c r="S3380" i="1"/>
  <c r="S3381" i="1"/>
  <c r="S3382" i="1"/>
  <c r="S3383" i="1"/>
  <c r="S3384" i="1"/>
  <c r="S3385" i="1"/>
  <c r="S3386" i="1"/>
  <c r="S3387" i="1"/>
  <c r="S3388" i="1"/>
  <c r="S3389" i="1"/>
  <c r="S3390" i="1"/>
  <c r="S3391" i="1"/>
  <c r="S3392" i="1"/>
  <c r="S3393" i="1"/>
  <c r="S3394" i="1"/>
  <c r="S3395" i="1"/>
  <c r="S3396" i="1"/>
  <c r="S3397" i="1"/>
  <c r="S3398" i="1"/>
  <c r="S3399" i="1"/>
  <c r="S3400" i="1"/>
  <c r="S3401" i="1"/>
  <c r="S3402" i="1"/>
  <c r="S3403" i="1"/>
  <c r="S3404" i="1"/>
  <c r="S3405" i="1"/>
  <c r="S3406" i="1"/>
  <c r="S3407" i="1"/>
  <c r="S3408" i="1"/>
  <c r="S3409" i="1"/>
  <c r="S3410" i="1"/>
  <c r="S3411" i="1"/>
  <c r="S3412" i="1"/>
  <c r="S3413" i="1"/>
  <c r="S3414" i="1"/>
  <c r="S3415" i="1"/>
  <c r="S3416" i="1"/>
  <c r="S3417" i="1"/>
  <c r="S3418" i="1"/>
  <c r="S3419" i="1"/>
  <c r="S3420" i="1"/>
  <c r="S3421" i="1"/>
  <c r="S3422" i="1"/>
  <c r="S3423" i="1"/>
  <c r="S3424" i="1"/>
  <c r="S3425" i="1"/>
  <c r="S3426" i="1"/>
  <c r="S3427" i="1"/>
  <c r="S3428" i="1"/>
  <c r="S3429" i="1"/>
  <c r="S3430" i="1"/>
  <c r="S3431" i="1"/>
  <c r="S3432" i="1"/>
  <c r="S3433" i="1"/>
  <c r="S3434" i="1"/>
  <c r="S3435" i="1"/>
  <c r="S3436" i="1"/>
  <c r="S3437" i="1"/>
  <c r="S3438" i="1"/>
  <c r="S3439" i="1"/>
  <c r="S3440" i="1"/>
  <c r="S3441" i="1"/>
  <c r="S3442" i="1"/>
  <c r="S3443" i="1"/>
  <c r="S3444" i="1"/>
  <c r="S3445" i="1"/>
  <c r="S3446" i="1"/>
  <c r="S3447" i="1"/>
  <c r="S3448" i="1"/>
  <c r="S3449" i="1"/>
  <c r="S3450" i="1"/>
  <c r="S3451" i="1"/>
  <c r="S3452" i="1"/>
  <c r="S3453" i="1"/>
  <c r="S3454" i="1"/>
  <c r="S3455" i="1"/>
  <c r="S3456" i="1"/>
  <c r="S3457" i="1"/>
  <c r="S3458" i="1"/>
  <c r="S3459" i="1"/>
  <c r="S3460" i="1"/>
  <c r="S3461" i="1"/>
  <c r="S3462" i="1"/>
  <c r="S3463" i="1"/>
  <c r="S3464" i="1"/>
  <c r="S3465" i="1"/>
  <c r="S3466" i="1"/>
  <c r="S3467" i="1"/>
  <c r="S3468" i="1"/>
  <c r="S3469" i="1"/>
  <c r="S3470" i="1"/>
  <c r="S3471" i="1"/>
  <c r="S3472" i="1"/>
  <c r="S3473" i="1"/>
  <c r="S3474" i="1"/>
  <c r="S3475" i="1"/>
  <c r="S3476" i="1"/>
  <c r="S3477" i="1"/>
  <c r="S3478" i="1"/>
  <c r="S3479" i="1"/>
  <c r="S3480" i="1"/>
  <c r="S3481" i="1"/>
  <c r="S3482" i="1"/>
  <c r="S3483" i="1"/>
  <c r="S3484" i="1"/>
  <c r="S3485" i="1"/>
  <c r="S3486" i="1"/>
  <c r="S3487" i="1"/>
  <c r="S3488" i="1"/>
  <c r="S3489" i="1"/>
  <c r="S3490" i="1"/>
  <c r="S3491" i="1"/>
  <c r="S3492" i="1"/>
  <c r="S3493" i="1"/>
  <c r="S3494" i="1"/>
  <c r="S3495" i="1"/>
  <c r="S3496" i="1"/>
  <c r="S3497" i="1"/>
  <c r="S3498" i="1"/>
  <c r="S3499" i="1"/>
  <c r="S3500" i="1"/>
  <c r="S3501" i="1"/>
  <c r="S3502" i="1"/>
  <c r="S3503" i="1"/>
  <c r="S3504" i="1"/>
  <c r="S3505" i="1"/>
  <c r="S3506" i="1"/>
  <c r="S3507" i="1"/>
  <c r="S3508" i="1"/>
  <c r="S3509" i="1"/>
  <c r="S3510" i="1"/>
  <c r="S3511" i="1"/>
  <c r="S3512" i="1"/>
  <c r="S3513" i="1"/>
  <c r="S3514" i="1"/>
  <c r="S3515" i="1"/>
  <c r="S3516" i="1"/>
  <c r="S3517" i="1"/>
  <c r="S3518" i="1"/>
  <c r="S3519" i="1"/>
  <c r="S3520" i="1"/>
  <c r="S3521" i="1"/>
  <c r="S3522" i="1"/>
  <c r="S3523" i="1"/>
  <c r="S3524" i="1"/>
  <c r="S3525" i="1"/>
  <c r="S3526" i="1"/>
  <c r="S3527" i="1"/>
  <c r="S3528" i="1"/>
  <c r="S3529" i="1"/>
  <c r="S3530" i="1"/>
  <c r="S3531" i="1"/>
  <c r="S3532" i="1"/>
  <c r="S3533" i="1"/>
  <c r="S3534" i="1"/>
  <c r="S3535" i="1"/>
  <c r="S3536" i="1"/>
  <c r="S3537" i="1"/>
  <c r="S3538" i="1"/>
  <c r="S3539" i="1"/>
  <c r="S3540" i="1"/>
  <c r="S3541" i="1"/>
  <c r="S3542" i="1"/>
  <c r="S3543" i="1"/>
  <c r="S3544" i="1"/>
  <c r="S3545" i="1"/>
  <c r="S3546" i="1"/>
  <c r="S3547" i="1"/>
  <c r="S3548" i="1"/>
  <c r="S3549" i="1"/>
  <c r="S3550" i="1"/>
  <c r="S3551" i="1"/>
  <c r="S3552" i="1"/>
  <c r="S3553" i="1"/>
  <c r="S3554" i="1"/>
  <c r="S3555" i="1"/>
  <c r="S3556" i="1"/>
  <c r="S3557" i="1"/>
  <c r="S3558" i="1"/>
  <c r="S3559" i="1"/>
  <c r="S3560" i="1"/>
  <c r="S3561" i="1"/>
  <c r="S3562" i="1"/>
  <c r="S3563" i="1"/>
  <c r="S3564" i="1"/>
  <c r="S3565" i="1"/>
  <c r="S3566" i="1"/>
  <c r="S3567" i="1"/>
  <c r="S3568" i="1"/>
  <c r="S3569" i="1"/>
  <c r="S3570" i="1"/>
  <c r="S3571" i="1"/>
  <c r="S3572" i="1"/>
  <c r="S3573" i="1"/>
  <c r="S3574" i="1"/>
  <c r="S3575" i="1"/>
  <c r="S3576" i="1"/>
  <c r="S3577" i="1"/>
  <c r="S3578" i="1"/>
  <c r="S3579" i="1"/>
  <c r="S3580" i="1"/>
  <c r="S3581" i="1"/>
  <c r="S3582" i="1"/>
  <c r="S3583" i="1"/>
  <c r="S3584" i="1"/>
  <c r="S3585" i="1"/>
  <c r="S3586" i="1"/>
  <c r="S3587" i="1"/>
  <c r="S3588" i="1"/>
  <c r="S3589" i="1"/>
  <c r="S3590" i="1"/>
  <c r="S3591" i="1"/>
  <c r="S3592" i="1"/>
  <c r="S3593" i="1"/>
  <c r="S3594" i="1"/>
  <c r="S3595" i="1"/>
  <c r="S3596" i="1"/>
  <c r="S3597" i="1"/>
  <c r="S3598" i="1"/>
  <c r="S3599" i="1"/>
  <c r="S3600" i="1"/>
  <c r="S3601" i="1"/>
  <c r="S3602" i="1"/>
  <c r="S3603" i="1"/>
  <c r="S3604" i="1"/>
  <c r="S3605" i="1"/>
  <c r="S3606" i="1"/>
  <c r="S3607" i="1"/>
  <c r="S3608" i="1"/>
  <c r="S3609" i="1"/>
  <c r="S3610" i="1"/>
  <c r="S3611" i="1"/>
  <c r="S3612" i="1"/>
  <c r="S3613" i="1"/>
  <c r="S3614" i="1"/>
  <c r="S3615" i="1"/>
  <c r="S3616" i="1"/>
  <c r="S3617" i="1"/>
  <c r="S3618" i="1"/>
  <c r="S3619" i="1"/>
  <c r="S3620" i="1"/>
  <c r="S3621" i="1"/>
  <c r="S3622" i="1"/>
  <c r="S3623" i="1"/>
  <c r="S3624" i="1"/>
  <c r="S3625" i="1"/>
  <c r="S3626" i="1"/>
  <c r="S3627" i="1"/>
  <c r="S3628" i="1"/>
  <c r="S3629" i="1"/>
  <c r="S3630" i="1"/>
  <c r="S3631" i="1"/>
  <c r="S3632" i="1"/>
  <c r="S3633" i="1"/>
  <c r="S3634" i="1"/>
  <c r="S3635" i="1"/>
  <c r="S3636" i="1"/>
  <c r="S3637" i="1"/>
  <c r="S3638" i="1"/>
  <c r="S3639" i="1"/>
  <c r="S3640" i="1"/>
  <c r="S3641" i="1"/>
  <c r="S3642" i="1"/>
  <c r="S3643" i="1"/>
  <c r="S3644" i="1"/>
  <c r="S3645" i="1"/>
  <c r="S3646" i="1"/>
  <c r="S3647" i="1"/>
  <c r="S3648" i="1"/>
  <c r="S3649" i="1"/>
  <c r="S3650" i="1"/>
  <c r="S3651" i="1"/>
  <c r="S3652" i="1"/>
  <c r="S3653" i="1"/>
  <c r="S3654" i="1"/>
  <c r="S3655" i="1"/>
  <c r="S3656" i="1"/>
  <c r="S3657" i="1"/>
  <c r="S3658" i="1"/>
  <c r="S3659" i="1"/>
  <c r="S3660" i="1"/>
  <c r="S3661" i="1"/>
  <c r="S3662" i="1"/>
  <c r="S3663" i="1"/>
  <c r="S3664" i="1"/>
  <c r="S3665" i="1"/>
  <c r="S3666" i="1"/>
  <c r="S3667" i="1"/>
  <c r="S3668" i="1"/>
  <c r="S3669" i="1"/>
  <c r="S3670" i="1"/>
  <c r="S3671" i="1"/>
  <c r="S3672" i="1"/>
  <c r="S3673" i="1"/>
  <c r="S3674" i="1"/>
  <c r="S3675" i="1"/>
  <c r="S3676" i="1"/>
  <c r="S3677" i="1"/>
  <c r="S3678" i="1"/>
  <c r="S3679" i="1"/>
  <c r="S3680" i="1"/>
  <c r="S3681" i="1"/>
  <c r="S3682" i="1"/>
  <c r="S3683" i="1"/>
  <c r="S3684" i="1"/>
  <c r="S3685" i="1"/>
  <c r="S3686" i="1"/>
  <c r="S3687" i="1"/>
  <c r="S3688" i="1"/>
  <c r="S3689" i="1"/>
  <c r="S3690" i="1"/>
  <c r="S3691" i="1"/>
  <c r="S3692" i="1"/>
  <c r="S3693" i="1"/>
  <c r="S3694" i="1"/>
  <c r="S3695" i="1"/>
  <c r="S3696" i="1"/>
  <c r="S3697" i="1"/>
  <c r="S3698" i="1"/>
  <c r="S3699" i="1"/>
  <c r="S3700" i="1"/>
  <c r="S3701" i="1"/>
  <c r="S3702" i="1"/>
  <c r="S3703" i="1"/>
  <c r="S3704" i="1"/>
  <c r="S3705" i="1"/>
  <c r="S3706" i="1"/>
  <c r="S3707" i="1"/>
  <c r="S3708" i="1"/>
  <c r="S3709" i="1"/>
  <c r="S3710" i="1"/>
  <c r="S3711" i="1"/>
  <c r="S3712" i="1"/>
  <c r="S3713" i="1"/>
  <c r="S3714" i="1"/>
  <c r="S3715" i="1"/>
  <c r="S3716" i="1"/>
  <c r="S3717" i="1"/>
  <c r="S3718" i="1"/>
  <c r="S3719" i="1"/>
  <c r="S3720" i="1"/>
  <c r="S3721" i="1"/>
  <c r="S3722" i="1"/>
  <c r="S3723" i="1"/>
  <c r="S3724" i="1"/>
  <c r="S3725" i="1"/>
  <c r="S3726" i="1"/>
  <c r="S3727" i="1"/>
  <c r="S3728" i="1"/>
  <c r="S3729" i="1"/>
  <c r="S3730" i="1"/>
  <c r="S3731" i="1"/>
  <c r="S3732" i="1"/>
  <c r="S3733" i="1"/>
  <c r="S3734" i="1"/>
  <c r="S3735" i="1"/>
  <c r="S3736" i="1"/>
  <c r="S3737" i="1"/>
  <c r="S3738" i="1"/>
  <c r="S3739" i="1"/>
  <c r="S3740" i="1"/>
  <c r="S3741" i="1"/>
  <c r="S3742" i="1"/>
  <c r="S3743" i="1"/>
  <c r="S3744" i="1"/>
  <c r="S3745" i="1"/>
  <c r="S3746" i="1"/>
  <c r="S3747" i="1"/>
  <c r="S3748" i="1"/>
  <c r="S3749" i="1"/>
  <c r="S3750" i="1"/>
  <c r="S3751" i="1"/>
  <c r="S3752" i="1"/>
  <c r="S3753" i="1"/>
  <c r="S3754" i="1"/>
  <c r="S3755" i="1"/>
  <c r="S3756" i="1"/>
  <c r="S3757" i="1"/>
  <c r="S3758" i="1"/>
  <c r="S3759" i="1"/>
  <c r="S3760" i="1"/>
  <c r="S3761" i="1"/>
  <c r="S3762" i="1"/>
  <c r="S3763" i="1"/>
  <c r="S3764" i="1"/>
  <c r="S3765" i="1"/>
  <c r="S3766" i="1"/>
  <c r="S3767" i="1"/>
  <c r="S3768" i="1"/>
  <c r="S3769" i="1"/>
  <c r="S3770" i="1"/>
  <c r="S3771" i="1"/>
  <c r="S3772" i="1"/>
  <c r="S3773" i="1"/>
  <c r="S3774" i="1"/>
  <c r="S3775" i="1"/>
  <c r="S3776" i="1"/>
  <c r="S3777" i="1"/>
  <c r="S3778" i="1"/>
  <c r="S3779" i="1"/>
  <c r="S3780" i="1"/>
  <c r="S3781" i="1"/>
  <c r="S3782" i="1"/>
  <c r="S3783" i="1"/>
  <c r="S3784" i="1"/>
  <c r="S3785" i="1"/>
  <c r="S3786" i="1"/>
  <c r="S3787" i="1"/>
  <c r="S3788" i="1"/>
  <c r="S3789" i="1"/>
  <c r="S3790" i="1"/>
  <c r="S3791" i="1"/>
  <c r="S3792" i="1"/>
  <c r="S3793" i="1"/>
  <c r="S3794" i="1"/>
  <c r="S3795" i="1"/>
  <c r="S3796" i="1"/>
  <c r="S3797" i="1"/>
  <c r="S3798" i="1"/>
  <c r="S3799" i="1"/>
  <c r="S3800" i="1"/>
  <c r="S3801" i="1"/>
  <c r="S3802" i="1"/>
  <c r="S3803" i="1"/>
  <c r="S3804" i="1"/>
  <c r="S3805" i="1"/>
  <c r="S3806" i="1"/>
  <c r="S3807" i="1"/>
  <c r="S3808" i="1"/>
  <c r="S3809" i="1"/>
  <c r="S3810" i="1"/>
  <c r="S3811" i="1"/>
  <c r="S3812" i="1"/>
  <c r="S3813" i="1"/>
  <c r="S3814" i="1"/>
  <c r="S3815" i="1"/>
  <c r="S3816" i="1"/>
  <c r="S3817" i="1"/>
  <c r="S3818" i="1"/>
  <c r="S3819" i="1"/>
  <c r="S3820" i="1"/>
  <c r="S3821" i="1"/>
  <c r="S3822" i="1"/>
  <c r="S3823" i="1"/>
  <c r="S3824" i="1"/>
  <c r="S3825" i="1"/>
  <c r="S3826" i="1"/>
  <c r="S3827" i="1"/>
  <c r="S3828" i="1"/>
  <c r="S3829" i="1"/>
  <c r="S3830" i="1"/>
  <c r="S3831" i="1"/>
  <c r="S3832" i="1"/>
  <c r="S3833" i="1"/>
  <c r="S3834" i="1"/>
  <c r="S3835" i="1"/>
  <c r="S3836" i="1"/>
  <c r="S3837" i="1"/>
  <c r="S3838" i="1"/>
  <c r="S3839" i="1"/>
  <c r="S3840" i="1"/>
  <c r="S3841" i="1"/>
  <c r="S3842" i="1"/>
  <c r="S3843" i="1"/>
  <c r="S3844" i="1"/>
  <c r="S3845" i="1"/>
  <c r="S3846" i="1"/>
  <c r="S3847" i="1"/>
  <c r="S3848" i="1"/>
  <c r="S3849" i="1"/>
  <c r="S3850" i="1"/>
  <c r="S3851" i="1"/>
  <c r="S3852" i="1"/>
  <c r="S3853" i="1"/>
  <c r="S3854" i="1"/>
  <c r="S3855" i="1"/>
  <c r="S3856" i="1"/>
  <c r="S3857" i="1"/>
  <c r="S3858" i="1"/>
  <c r="S3859" i="1"/>
  <c r="S3860" i="1"/>
  <c r="S3861" i="1"/>
  <c r="S3862" i="1"/>
  <c r="S3863" i="1"/>
  <c r="S3864" i="1"/>
  <c r="S3865" i="1"/>
  <c r="S3866" i="1"/>
  <c r="S3867" i="1"/>
  <c r="S3868" i="1"/>
  <c r="S3869" i="1"/>
  <c r="S3870" i="1"/>
  <c r="S3871" i="1"/>
  <c r="S3872" i="1"/>
  <c r="S3873" i="1"/>
  <c r="S3874" i="1"/>
  <c r="S3875" i="1"/>
  <c r="S3876" i="1"/>
  <c r="S3877" i="1"/>
  <c r="S3878" i="1"/>
  <c r="S3879" i="1"/>
  <c r="S3880" i="1"/>
  <c r="S3881" i="1"/>
  <c r="S3882" i="1"/>
  <c r="S3883" i="1"/>
  <c r="S3884" i="1"/>
  <c r="S3885" i="1"/>
  <c r="S3886" i="1"/>
  <c r="S3887" i="1"/>
  <c r="S3888" i="1"/>
  <c r="S3889" i="1"/>
  <c r="S3890" i="1"/>
  <c r="S3891" i="1"/>
  <c r="S3892" i="1"/>
  <c r="S3893" i="1"/>
  <c r="S3894" i="1"/>
  <c r="S3895" i="1"/>
  <c r="S3896" i="1"/>
  <c r="S3897" i="1"/>
  <c r="S3898" i="1"/>
  <c r="S3899" i="1"/>
  <c r="S3900" i="1"/>
  <c r="S3901" i="1"/>
  <c r="S3902" i="1"/>
  <c r="S3903" i="1"/>
  <c r="S3904" i="1"/>
  <c r="S3905" i="1"/>
  <c r="S3906" i="1"/>
  <c r="S3907" i="1"/>
  <c r="S3908" i="1"/>
  <c r="S3909" i="1"/>
  <c r="S3910" i="1"/>
  <c r="S3911" i="1"/>
  <c r="S3912" i="1"/>
  <c r="S3913" i="1"/>
  <c r="S3914" i="1"/>
  <c r="S3915" i="1"/>
  <c r="S3916" i="1"/>
  <c r="S3917" i="1"/>
  <c r="S3918" i="1"/>
  <c r="S3919" i="1"/>
  <c r="S3920" i="1"/>
  <c r="S3921" i="1"/>
  <c r="S3922" i="1"/>
  <c r="S3923" i="1"/>
  <c r="S3924" i="1"/>
  <c r="S3925" i="1"/>
  <c r="S3926" i="1"/>
  <c r="S3927" i="1"/>
  <c r="S3928" i="1"/>
  <c r="S3929" i="1"/>
  <c r="S3930" i="1"/>
  <c r="S3931" i="1"/>
  <c r="S3932" i="1"/>
  <c r="S3933" i="1"/>
  <c r="S3934" i="1"/>
  <c r="S3935" i="1"/>
  <c r="S3936" i="1"/>
  <c r="S3937" i="1"/>
  <c r="S3938" i="1"/>
  <c r="S3939" i="1"/>
  <c r="S3940" i="1"/>
  <c r="S3941" i="1"/>
  <c r="S3942" i="1"/>
  <c r="S3943" i="1"/>
  <c r="S3944" i="1"/>
  <c r="S3945" i="1"/>
  <c r="S3946" i="1"/>
  <c r="S3947" i="1"/>
  <c r="S3948" i="1"/>
  <c r="S3949" i="1"/>
  <c r="S3950" i="1"/>
  <c r="S3951" i="1"/>
  <c r="S3952" i="1"/>
  <c r="S3953" i="1"/>
  <c r="S3954" i="1"/>
  <c r="S3955" i="1"/>
  <c r="S3956" i="1"/>
  <c r="S3957" i="1"/>
  <c r="S3958" i="1"/>
  <c r="S3959" i="1"/>
  <c r="S3960" i="1"/>
  <c r="S3961" i="1"/>
  <c r="S3962" i="1"/>
  <c r="S3963" i="1"/>
  <c r="S3964" i="1"/>
  <c r="S3965" i="1"/>
  <c r="S3966" i="1"/>
  <c r="S3967" i="1"/>
  <c r="S3968" i="1"/>
  <c r="S3969" i="1"/>
  <c r="S3970" i="1"/>
  <c r="S3971" i="1"/>
  <c r="S3972" i="1"/>
  <c r="S3973" i="1"/>
  <c r="S3974" i="1"/>
  <c r="S3975" i="1"/>
  <c r="S3976" i="1"/>
  <c r="S3977" i="1"/>
  <c r="S3978" i="1"/>
  <c r="S3979" i="1"/>
  <c r="S3980" i="1"/>
  <c r="S3981" i="1"/>
  <c r="S3982" i="1"/>
  <c r="S3983" i="1"/>
  <c r="S3984" i="1"/>
  <c r="S3985" i="1"/>
  <c r="S3986" i="1"/>
  <c r="S3987" i="1"/>
  <c r="S3988" i="1"/>
  <c r="S3989" i="1"/>
  <c r="S3990" i="1"/>
  <c r="S3991" i="1"/>
  <c r="S3992" i="1"/>
  <c r="S3993" i="1"/>
  <c r="S3994" i="1"/>
  <c r="S3995" i="1"/>
  <c r="S3996" i="1"/>
  <c r="S3997" i="1"/>
  <c r="S3998" i="1"/>
  <c r="S3999" i="1"/>
  <c r="S4000" i="1"/>
  <c r="S4001" i="1"/>
  <c r="S4002" i="1"/>
  <c r="S4003" i="1"/>
  <c r="S4004" i="1"/>
  <c r="S4005" i="1"/>
  <c r="S4006" i="1"/>
  <c r="S4007" i="1"/>
  <c r="S4008" i="1"/>
  <c r="S4009" i="1"/>
  <c r="S4010" i="1"/>
  <c r="S4011" i="1"/>
  <c r="S4012" i="1"/>
  <c r="S4013" i="1"/>
  <c r="S4014" i="1"/>
  <c r="S4015" i="1"/>
  <c r="S4016" i="1"/>
  <c r="S4017" i="1"/>
  <c r="S4018" i="1"/>
  <c r="S4019" i="1"/>
  <c r="S4020" i="1"/>
  <c r="S4021" i="1"/>
  <c r="S4022" i="1"/>
  <c r="S4023" i="1"/>
  <c r="S4024" i="1"/>
  <c r="S4025" i="1"/>
  <c r="S4026" i="1"/>
  <c r="S4027" i="1"/>
  <c r="S4028" i="1"/>
  <c r="S4029" i="1"/>
  <c r="S4030" i="1"/>
  <c r="S4031" i="1"/>
  <c r="S4032" i="1"/>
  <c r="S4033" i="1"/>
  <c r="S4034" i="1"/>
  <c r="S4035" i="1"/>
  <c r="S4036" i="1"/>
  <c r="S4037" i="1"/>
  <c r="S4038" i="1"/>
  <c r="S4039" i="1"/>
  <c r="S4040" i="1"/>
  <c r="S4041" i="1"/>
  <c r="S4042" i="1"/>
  <c r="S4043" i="1"/>
  <c r="S4044" i="1"/>
  <c r="S4045" i="1"/>
  <c r="S4046" i="1"/>
  <c r="S4047" i="1"/>
  <c r="S4048" i="1"/>
  <c r="S4049" i="1"/>
  <c r="S4050" i="1"/>
  <c r="S4051" i="1"/>
  <c r="S4052" i="1"/>
  <c r="S4053" i="1"/>
  <c r="S4054" i="1"/>
  <c r="S4055" i="1"/>
  <c r="S4056" i="1"/>
  <c r="S4057" i="1"/>
  <c r="S4058" i="1"/>
  <c r="S4059" i="1"/>
  <c r="S4060" i="1"/>
  <c r="S4061" i="1"/>
  <c r="S4062" i="1"/>
  <c r="S4063" i="1"/>
  <c r="S4064" i="1"/>
  <c r="S4065" i="1"/>
  <c r="S4066" i="1"/>
  <c r="S4067" i="1"/>
  <c r="S4068" i="1"/>
  <c r="S4069" i="1"/>
  <c r="S4070" i="1"/>
  <c r="S4071" i="1"/>
  <c r="S4072" i="1"/>
  <c r="S4073" i="1"/>
  <c r="S4074" i="1"/>
  <c r="S4075" i="1"/>
  <c r="S4076" i="1"/>
  <c r="S4077" i="1"/>
  <c r="S4078" i="1"/>
  <c r="S4079" i="1"/>
  <c r="S4080" i="1"/>
  <c r="S4081" i="1"/>
  <c r="S4082" i="1"/>
  <c r="S4083" i="1"/>
  <c r="S4084" i="1"/>
  <c r="S4085" i="1"/>
  <c r="S4086" i="1"/>
  <c r="S4087" i="1"/>
  <c r="S4088" i="1"/>
  <c r="S4089" i="1"/>
  <c r="S4090" i="1"/>
  <c r="S4091" i="1"/>
  <c r="S4092" i="1"/>
  <c r="S4093" i="1"/>
  <c r="S4094" i="1"/>
  <c r="S4095" i="1"/>
  <c r="S4096" i="1"/>
  <c r="S4097" i="1"/>
  <c r="S4098" i="1"/>
  <c r="S4099" i="1"/>
  <c r="S4100" i="1"/>
  <c r="S4101" i="1"/>
  <c r="S4102" i="1"/>
  <c r="S4103" i="1"/>
  <c r="S4104" i="1"/>
  <c r="S4105" i="1"/>
  <c r="S4106" i="1"/>
  <c r="S4107" i="1"/>
  <c r="S4108" i="1"/>
  <c r="S4109" i="1"/>
  <c r="S4110" i="1"/>
  <c r="S4111" i="1"/>
  <c r="S4112" i="1"/>
  <c r="S4113" i="1"/>
  <c r="S4114" i="1"/>
  <c r="S4115" i="1"/>
  <c r="S4116" i="1"/>
  <c r="S4117" i="1"/>
  <c r="S4118" i="1"/>
  <c r="S4119" i="1"/>
  <c r="S4120" i="1"/>
  <c r="S4121" i="1"/>
  <c r="S4122" i="1"/>
  <c r="S4123" i="1"/>
  <c r="S4124" i="1"/>
  <c r="S4125" i="1"/>
  <c r="S4126" i="1"/>
  <c r="S4127" i="1"/>
  <c r="S4128" i="1"/>
  <c r="S4129" i="1"/>
  <c r="S4130" i="1"/>
  <c r="S4131" i="1"/>
  <c r="S4132" i="1"/>
  <c r="S4133" i="1"/>
  <c r="S4134" i="1"/>
  <c r="S4135" i="1"/>
  <c r="S4136" i="1"/>
  <c r="S4137" i="1"/>
  <c r="S4138" i="1"/>
  <c r="S4139" i="1"/>
  <c r="S4140" i="1"/>
  <c r="S4141" i="1"/>
  <c r="S4142" i="1"/>
  <c r="S4143" i="1"/>
  <c r="S4144" i="1"/>
  <c r="S4145" i="1"/>
  <c r="S4146" i="1"/>
  <c r="S4147" i="1"/>
  <c r="S4148" i="1"/>
  <c r="S4149" i="1"/>
  <c r="S4150" i="1"/>
  <c r="S4151" i="1"/>
  <c r="S4152" i="1"/>
  <c r="S4153" i="1"/>
  <c r="S4154" i="1"/>
  <c r="S4155" i="1"/>
  <c r="S4156" i="1"/>
  <c r="S4157" i="1"/>
  <c r="S4158" i="1"/>
  <c r="S4159" i="1"/>
  <c r="S4160" i="1"/>
  <c r="S4161" i="1"/>
  <c r="S4162" i="1"/>
  <c r="S4163" i="1"/>
  <c r="S4164" i="1"/>
  <c r="S4165" i="1"/>
  <c r="S4166" i="1"/>
  <c r="S4167" i="1"/>
  <c r="S4168" i="1"/>
  <c r="S4169" i="1"/>
  <c r="S4170" i="1"/>
  <c r="S4171" i="1"/>
  <c r="S4172" i="1"/>
  <c r="S4173" i="1"/>
  <c r="S4174" i="1"/>
  <c r="S4175" i="1"/>
  <c r="S4176" i="1"/>
  <c r="S4177" i="1"/>
  <c r="S4178" i="1"/>
  <c r="S4179" i="1"/>
  <c r="S4180" i="1"/>
  <c r="S4181" i="1"/>
  <c r="S4182" i="1"/>
  <c r="S4183" i="1"/>
  <c r="S4184" i="1"/>
  <c r="S4185" i="1"/>
  <c r="S4186" i="1"/>
  <c r="S4187" i="1"/>
  <c r="S4188" i="1"/>
  <c r="S4189" i="1"/>
  <c r="S4190" i="1"/>
  <c r="S4191" i="1"/>
  <c r="S4192" i="1"/>
  <c r="S4193" i="1"/>
  <c r="S4194" i="1"/>
  <c r="S4195" i="1"/>
  <c r="S4196" i="1"/>
  <c r="S4197" i="1"/>
  <c r="S4198" i="1"/>
  <c r="S4199" i="1"/>
  <c r="S4200" i="1"/>
  <c r="S4201" i="1"/>
  <c r="S4202" i="1"/>
  <c r="S4203" i="1"/>
  <c r="S4204" i="1"/>
  <c r="S4205" i="1"/>
  <c r="S4206" i="1"/>
  <c r="S4207" i="1"/>
  <c r="S4208" i="1"/>
  <c r="S4209" i="1"/>
  <c r="S4210" i="1"/>
  <c r="S4211" i="1"/>
  <c r="S4212" i="1"/>
  <c r="S4213" i="1"/>
  <c r="S4214" i="1"/>
  <c r="S4215" i="1"/>
  <c r="S4216" i="1"/>
  <c r="S4217" i="1"/>
  <c r="S4218" i="1"/>
  <c r="S4219" i="1"/>
  <c r="S4220" i="1"/>
  <c r="S4221" i="1"/>
  <c r="S4222" i="1"/>
  <c r="S4223" i="1"/>
  <c r="S4224" i="1"/>
  <c r="S4225" i="1"/>
  <c r="S4226" i="1"/>
  <c r="S4227" i="1"/>
  <c r="S4228" i="1"/>
  <c r="S4229" i="1"/>
  <c r="S4230" i="1"/>
  <c r="S4231" i="1"/>
  <c r="S4232" i="1"/>
  <c r="S4233" i="1"/>
  <c r="S4234" i="1"/>
  <c r="S4235" i="1"/>
  <c r="S4236" i="1"/>
  <c r="S4237" i="1"/>
  <c r="S4238" i="1"/>
  <c r="S4239" i="1"/>
  <c r="S4240" i="1"/>
  <c r="S4241" i="1"/>
  <c r="S4242" i="1"/>
  <c r="S4243" i="1"/>
  <c r="S4244" i="1"/>
  <c r="S4245" i="1"/>
  <c r="S4246" i="1"/>
  <c r="S4247" i="1"/>
  <c r="S4248" i="1"/>
  <c r="S4249" i="1"/>
  <c r="S4250" i="1"/>
  <c r="S4251" i="1"/>
  <c r="S4252" i="1"/>
  <c r="S4253" i="1"/>
  <c r="S4254" i="1"/>
  <c r="S4255" i="1"/>
  <c r="S4256" i="1"/>
  <c r="S4257" i="1"/>
  <c r="S4258" i="1"/>
  <c r="S4259" i="1"/>
  <c r="S4260" i="1"/>
  <c r="S4261" i="1"/>
  <c r="S4262" i="1"/>
  <c r="S4263" i="1"/>
  <c r="S4264" i="1"/>
  <c r="S4265" i="1"/>
  <c r="S4266" i="1"/>
  <c r="S4267" i="1"/>
  <c r="S4268" i="1"/>
  <c r="S4269" i="1"/>
  <c r="S4270" i="1"/>
  <c r="S4271" i="1"/>
  <c r="S4272" i="1"/>
  <c r="S4273" i="1"/>
  <c r="S4274" i="1"/>
  <c r="S4275" i="1"/>
  <c r="S4276" i="1"/>
  <c r="S4277" i="1"/>
  <c r="S4278" i="1"/>
  <c r="S4279" i="1"/>
  <c r="S4280" i="1"/>
  <c r="S4281" i="1"/>
  <c r="S4282" i="1"/>
  <c r="S4283" i="1"/>
  <c r="S4284" i="1"/>
  <c r="S4285" i="1"/>
  <c r="S4286" i="1"/>
  <c r="S4287" i="1"/>
  <c r="S4288" i="1"/>
  <c r="S4289" i="1"/>
  <c r="S4290" i="1"/>
  <c r="S4291" i="1"/>
  <c r="S4292" i="1"/>
  <c r="S4293" i="1"/>
  <c r="S4294" i="1"/>
  <c r="S4295" i="1"/>
  <c r="S4296" i="1"/>
  <c r="S4297" i="1"/>
  <c r="S4298" i="1"/>
  <c r="S4299" i="1"/>
  <c r="S4300" i="1"/>
  <c r="S4301" i="1"/>
  <c r="S4302" i="1"/>
  <c r="S4303" i="1"/>
  <c r="S4304" i="1"/>
  <c r="S4305" i="1"/>
  <c r="S4306" i="1"/>
  <c r="S4307" i="1"/>
  <c r="S4308" i="1"/>
  <c r="S4309" i="1"/>
  <c r="S4310" i="1"/>
  <c r="S4311" i="1"/>
  <c r="S4312" i="1"/>
  <c r="S4313" i="1"/>
  <c r="S4314" i="1"/>
  <c r="S4315" i="1"/>
  <c r="S4316" i="1"/>
  <c r="S4317" i="1"/>
  <c r="S4318" i="1"/>
  <c r="S4319" i="1"/>
  <c r="S4320" i="1"/>
  <c r="S4321" i="1"/>
  <c r="S4322" i="1"/>
  <c r="S4323" i="1"/>
  <c r="S4324" i="1"/>
  <c r="S4325" i="1"/>
  <c r="S4326" i="1"/>
  <c r="S4327" i="1"/>
  <c r="S4328" i="1"/>
  <c r="S4329" i="1"/>
  <c r="S4330" i="1"/>
  <c r="S4331" i="1"/>
  <c r="S4332" i="1"/>
  <c r="S4333" i="1"/>
  <c r="S4334" i="1"/>
  <c r="S4335" i="1"/>
  <c r="S4336" i="1"/>
  <c r="S4337" i="1"/>
  <c r="S4338" i="1"/>
  <c r="S4339" i="1"/>
  <c r="S4340" i="1"/>
  <c r="S4341" i="1"/>
  <c r="S4342" i="1"/>
  <c r="S4343" i="1"/>
  <c r="S4344" i="1"/>
  <c r="S4345" i="1"/>
  <c r="S4346" i="1"/>
  <c r="S4347" i="1"/>
  <c r="S4348" i="1"/>
  <c r="S4349" i="1"/>
  <c r="S4350" i="1"/>
  <c r="S4351" i="1"/>
  <c r="S4352" i="1"/>
  <c r="S4353" i="1"/>
  <c r="S4354" i="1"/>
  <c r="S4355" i="1"/>
  <c r="S4356" i="1"/>
  <c r="S4357" i="1"/>
  <c r="S4358" i="1"/>
  <c r="S4359" i="1"/>
  <c r="S4360" i="1"/>
  <c r="S4361" i="1"/>
  <c r="S4362" i="1"/>
  <c r="S4363" i="1"/>
  <c r="S4364" i="1"/>
  <c r="S4365" i="1"/>
  <c r="S4366" i="1"/>
  <c r="S4367" i="1"/>
  <c r="S4368" i="1"/>
  <c r="S4369" i="1"/>
  <c r="S4370" i="1"/>
  <c r="S4371" i="1"/>
  <c r="S4372" i="1"/>
  <c r="S4373" i="1"/>
  <c r="S4374" i="1"/>
  <c r="S4375" i="1"/>
  <c r="S4376" i="1"/>
  <c r="S4377" i="1"/>
  <c r="S4378" i="1"/>
  <c r="S4379" i="1"/>
  <c r="S4380" i="1"/>
  <c r="S4381" i="1"/>
  <c r="S4382" i="1"/>
  <c r="S4383" i="1"/>
  <c r="S4384" i="1"/>
  <c r="S4385" i="1"/>
  <c r="S4386" i="1"/>
  <c r="S4387" i="1"/>
  <c r="S4388" i="1"/>
  <c r="S4389" i="1"/>
  <c r="S4390" i="1"/>
  <c r="S4391" i="1"/>
  <c r="S4392" i="1"/>
  <c r="S4393" i="1"/>
  <c r="S4394" i="1"/>
  <c r="S4395" i="1"/>
  <c r="S4396" i="1"/>
  <c r="S4397" i="1"/>
  <c r="S4398" i="1"/>
  <c r="S4399" i="1"/>
  <c r="S4400" i="1"/>
  <c r="S4401" i="1"/>
  <c r="S4402" i="1"/>
  <c r="S4403" i="1"/>
  <c r="S4404" i="1"/>
  <c r="S4405" i="1"/>
  <c r="S4406" i="1"/>
  <c r="S4407" i="1"/>
  <c r="S4408" i="1"/>
  <c r="S4409" i="1"/>
  <c r="S4410" i="1"/>
  <c r="S4411" i="1"/>
  <c r="S4412" i="1"/>
  <c r="S4413" i="1"/>
  <c r="S4414" i="1"/>
  <c r="S4415" i="1"/>
  <c r="S4416" i="1"/>
  <c r="S4417" i="1"/>
  <c r="S4418" i="1"/>
  <c r="S4419" i="1"/>
  <c r="S4420" i="1"/>
  <c r="S4421" i="1"/>
  <c r="S4422" i="1"/>
  <c r="S4423" i="1"/>
  <c r="S4424" i="1"/>
  <c r="S4425" i="1"/>
  <c r="S4426" i="1"/>
  <c r="S4427" i="1"/>
  <c r="S4428" i="1"/>
  <c r="S4429" i="1"/>
  <c r="S4430" i="1"/>
  <c r="S4431" i="1"/>
  <c r="S4432" i="1"/>
  <c r="S4433" i="1"/>
  <c r="S4434" i="1"/>
  <c r="S4435" i="1"/>
  <c r="S4436" i="1"/>
  <c r="S4437" i="1"/>
  <c r="S4438" i="1"/>
  <c r="S4439" i="1"/>
  <c r="S4440" i="1"/>
  <c r="S4441" i="1"/>
  <c r="S4442" i="1"/>
  <c r="S4443" i="1"/>
  <c r="S4444" i="1"/>
  <c r="S4445" i="1"/>
  <c r="S4446" i="1"/>
  <c r="S4447" i="1"/>
  <c r="S4448" i="1"/>
  <c r="S4449" i="1"/>
  <c r="S4450" i="1"/>
  <c r="S4451" i="1"/>
  <c r="S4452" i="1"/>
  <c r="S4453" i="1"/>
  <c r="S4454" i="1"/>
  <c r="S4455" i="1"/>
  <c r="S4456" i="1"/>
  <c r="S4457" i="1"/>
  <c r="S4458" i="1"/>
  <c r="S4459" i="1"/>
  <c r="S4460" i="1"/>
  <c r="S4461" i="1"/>
  <c r="S4462" i="1"/>
  <c r="S4463" i="1"/>
  <c r="S4464" i="1"/>
  <c r="S4465" i="1"/>
  <c r="S4466" i="1"/>
  <c r="S4467" i="1"/>
  <c r="S4468" i="1"/>
  <c r="S4469" i="1"/>
  <c r="S4470" i="1"/>
  <c r="S4471" i="1"/>
  <c r="S4472" i="1"/>
  <c r="S4473" i="1"/>
  <c r="S4474" i="1"/>
  <c r="S4475" i="1"/>
  <c r="S4476" i="1"/>
  <c r="S4477" i="1"/>
  <c r="S4478" i="1"/>
  <c r="S4479" i="1"/>
  <c r="S4480" i="1"/>
  <c r="S4481" i="1"/>
  <c r="S4482" i="1"/>
  <c r="S4483" i="1"/>
  <c r="S4484" i="1"/>
  <c r="S4485" i="1"/>
  <c r="S4486" i="1"/>
  <c r="S4487" i="1"/>
  <c r="S4488" i="1"/>
  <c r="S4489" i="1"/>
  <c r="S4490" i="1"/>
  <c r="S4491" i="1"/>
  <c r="S4492" i="1"/>
  <c r="S4493" i="1"/>
  <c r="S4494" i="1"/>
  <c r="S4495" i="1"/>
  <c r="S4496" i="1"/>
  <c r="S4497" i="1"/>
  <c r="S4498" i="1"/>
  <c r="S4499" i="1"/>
  <c r="S4500" i="1"/>
  <c r="S4501" i="1"/>
  <c r="S4502" i="1"/>
  <c r="S4503" i="1"/>
  <c r="S4504" i="1"/>
  <c r="S4505" i="1"/>
  <c r="S4506" i="1"/>
  <c r="S4507" i="1"/>
  <c r="S4508" i="1"/>
  <c r="S4509" i="1"/>
  <c r="S4510" i="1"/>
  <c r="S4511" i="1"/>
  <c r="S4512" i="1"/>
  <c r="S4513" i="1"/>
  <c r="S4514" i="1"/>
  <c r="S4515" i="1"/>
  <c r="S4516" i="1"/>
  <c r="S4517" i="1"/>
  <c r="S4518" i="1"/>
  <c r="S4519" i="1"/>
  <c r="S4520" i="1"/>
  <c r="S4521" i="1"/>
  <c r="S4522" i="1"/>
  <c r="S4523" i="1"/>
  <c r="S4524" i="1"/>
  <c r="S4525" i="1"/>
  <c r="S4526" i="1"/>
  <c r="S4527" i="1"/>
  <c r="S4528" i="1"/>
  <c r="S4529" i="1"/>
  <c r="S4530" i="1"/>
  <c r="S4531" i="1"/>
  <c r="S4532" i="1"/>
  <c r="S4533" i="1"/>
  <c r="S4534" i="1"/>
  <c r="S4535" i="1"/>
  <c r="S4536" i="1"/>
  <c r="S4537" i="1"/>
  <c r="S4538" i="1"/>
  <c r="S4539" i="1"/>
  <c r="S4540" i="1"/>
  <c r="S4541" i="1"/>
  <c r="S4542" i="1"/>
  <c r="S4543" i="1"/>
  <c r="S4544" i="1"/>
  <c r="S4545" i="1"/>
  <c r="S4546" i="1"/>
  <c r="S4547" i="1"/>
  <c r="S4548" i="1"/>
  <c r="S4549" i="1"/>
  <c r="S4550" i="1"/>
  <c r="S4551" i="1"/>
  <c r="S4552" i="1"/>
  <c r="S4553" i="1"/>
  <c r="S4554" i="1"/>
  <c r="S4555" i="1"/>
  <c r="S4556" i="1"/>
  <c r="S4557" i="1"/>
  <c r="S4558" i="1"/>
  <c r="S4559" i="1"/>
  <c r="S4560" i="1"/>
  <c r="S4561" i="1"/>
  <c r="S4562" i="1"/>
  <c r="S4563" i="1"/>
  <c r="S4564" i="1"/>
  <c r="S4565" i="1"/>
  <c r="S4566" i="1"/>
  <c r="S4567" i="1"/>
  <c r="S4568" i="1"/>
  <c r="S4569" i="1"/>
  <c r="S4570" i="1"/>
  <c r="S4571" i="1"/>
  <c r="S4572" i="1"/>
  <c r="S4573" i="1"/>
  <c r="S4574" i="1"/>
  <c r="S4575" i="1"/>
  <c r="S4576" i="1"/>
  <c r="S4577" i="1"/>
  <c r="S4578" i="1"/>
  <c r="S4579" i="1"/>
  <c r="S4580" i="1"/>
  <c r="S4581" i="1"/>
  <c r="S4582" i="1"/>
  <c r="S4583" i="1"/>
  <c r="S4584" i="1"/>
  <c r="S4585" i="1"/>
  <c r="S4586" i="1"/>
  <c r="S4587" i="1"/>
  <c r="S4588" i="1"/>
  <c r="S4589" i="1"/>
  <c r="S4590" i="1"/>
  <c r="S4591" i="1"/>
  <c r="S4592" i="1"/>
  <c r="S4593" i="1"/>
  <c r="S4594" i="1"/>
  <c r="S4595" i="1"/>
  <c r="S4596" i="1"/>
  <c r="S4597" i="1"/>
  <c r="S4598" i="1"/>
  <c r="S4599" i="1"/>
  <c r="S4600" i="1"/>
  <c r="S4601" i="1"/>
  <c r="S4602" i="1"/>
  <c r="S4603" i="1"/>
  <c r="S4604" i="1"/>
  <c r="S4605" i="1"/>
  <c r="S4606" i="1"/>
  <c r="S4607" i="1"/>
  <c r="S4608" i="1"/>
  <c r="S4609" i="1"/>
  <c r="S4610" i="1"/>
  <c r="S4611" i="1"/>
  <c r="S4612" i="1"/>
  <c r="S4613" i="1"/>
  <c r="S4614" i="1"/>
  <c r="S4615" i="1"/>
  <c r="S4616" i="1"/>
  <c r="S4617" i="1"/>
  <c r="S4618" i="1"/>
  <c r="S4619" i="1"/>
  <c r="S4620" i="1"/>
  <c r="S4621" i="1"/>
  <c r="S4622" i="1"/>
  <c r="S4623" i="1"/>
  <c r="S4624" i="1"/>
  <c r="S4625" i="1"/>
  <c r="S4626" i="1"/>
  <c r="S4627" i="1"/>
  <c r="S4628" i="1"/>
  <c r="S4629" i="1"/>
  <c r="S4630" i="1"/>
  <c r="S4631" i="1"/>
  <c r="S4632" i="1"/>
  <c r="S4633" i="1"/>
  <c r="S4634" i="1"/>
  <c r="S4635" i="1"/>
  <c r="S4636" i="1"/>
  <c r="S4637" i="1"/>
  <c r="S4638" i="1"/>
  <c r="S4639" i="1"/>
  <c r="S4640" i="1"/>
  <c r="S4641" i="1"/>
  <c r="S4642" i="1"/>
  <c r="S4643" i="1"/>
  <c r="S4644" i="1"/>
  <c r="S4645" i="1"/>
  <c r="S4646" i="1"/>
  <c r="S4647" i="1"/>
  <c r="S4648" i="1"/>
  <c r="S4649" i="1"/>
  <c r="S4650" i="1"/>
  <c r="S4651" i="1"/>
  <c r="S4652" i="1"/>
  <c r="S4653" i="1"/>
  <c r="S4654" i="1"/>
  <c r="S4655" i="1"/>
  <c r="S4656" i="1"/>
  <c r="S4657" i="1"/>
  <c r="S4658" i="1"/>
  <c r="S4659" i="1"/>
  <c r="S4660" i="1"/>
  <c r="S4661" i="1"/>
  <c r="S4662" i="1"/>
  <c r="S4663" i="1"/>
  <c r="S4664" i="1"/>
  <c r="S4665" i="1"/>
  <c r="S4666" i="1"/>
  <c r="S4667" i="1"/>
  <c r="S4668" i="1"/>
  <c r="S4669" i="1"/>
  <c r="S4670" i="1"/>
  <c r="S4671" i="1"/>
  <c r="S4672" i="1"/>
  <c r="S4673" i="1"/>
  <c r="S4674" i="1"/>
  <c r="S4675" i="1"/>
  <c r="S4676" i="1"/>
  <c r="S4677" i="1"/>
  <c r="S4678" i="1"/>
  <c r="S4679" i="1"/>
  <c r="S4680" i="1"/>
  <c r="S4681" i="1"/>
  <c r="S4682" i="1"/>
  <c r="S4683" i="1"/>
  <c r="S4684" i="1"/>
  <c r="S4685" i="1"/>
  <c r="S4686" i="1"/>
  <c r="S4687" i="1"/>
  <c r="S4688" i="1"/>
  <c r="S4689" i="1"/>
  <c r="S4690" i="1"/>
  <c r="S4691" i="1"/>
  <c r="S4692" i="1"/>
  <c r="S4693" i="1"/>
  <c r="S4694" i="1"/>
  <c r="S4695" i="1"/>
  <c r="S4696" i="1"/>
  <c r="S4697" i="1"/>
  <c r="S4698" i="1"/>
  <c r="S4699" i="1"/>
  <c r="S4700" i="1"/>
  <c r="S4701" i="1"/>
  <c r="S4702" i="1"/>
  <c r="S4703" i="1"/>
  <c r="S4704" i="1"/>
  <c r="S4705" i="1"/>
  <c r="S4706" i="1"/>
  <c r="S4707" i="1"/>
  <c r="S4708" i="1"/>
  <c r="S4709" i="1"/>
  <c r="S4710" i="1"/>
  <c r="S4711" i="1"/>
  <c r="S4712" i="1"/>
  <c r="S4713" i="1"/>
  <c r="S4714" i="1"/>
  <c r="S4715" i="1"/>
  <c r="S4716" i="1"/>
  <c r="S4717" i="1"/>
  <c r="S4718" i="1"/>
  <c r="S4719" i="1"/>
  <c r="S4720" i="1"/>
  <c r="S4721" i="1"/>
  <c r="S4722" i="1"/>
  <c r="S4723" i="1"/>
  <c r="S4724" i="1"/>
  <c r="S4725" i="1"/>
  <c r="S4726" i="1"/>
  <c r="S4727" i="1"/>
  <c r="S4728" i="1"/>
  <c r="S4729" i="1"/>
  <c r="S4730" i="1"/>
  <c r="S4731" i="1"/>
  <c r="S4732" i="1"/>
  <c r="S4733" i="1"/>
  <c r="S4734" i="1"/>
  <c r="S4735" i="1"/>
  <c r="S4736" i="1"/>
  <c r="S4737" i="1"/>
  <c r="S4738" i="1"/>
  <c r="S4739" i="1"/>
  <c r="S4740" i="1"/>
  <c r="S4741" i="1"/>
  <c r="S4742" i="1"/>
  <c r="S4743" i="1"/>
  <c r="S4744" i="1"/>
  <c r="S4745" i="1"/>
  <c r="S4746" i="1"/>
  <c r="S4747" i="1"/>
  <c r="S4748" i="1"/>
  <c r="S4749" i="1"/>
  <c r="S4750" i="1"/>
  <c r="S4751" i="1"/>
  <c r="S4752" i="1"/>
  <c r="S4753" i="1"/>
  <c r="S4754" i="1"/>
  <c r="S4755" i="1"/>
  <c r="S4756" i="1"/>
  <c r="S4757" i="1"/>
  <c r="S4758" i="1"/>
  <c r="S4759" i="1"/>
  <c r="S4760" i="1"/>
  <c r="S4761" i="1"/>
  <c r="S4762" i="1"/>
  <c r="S4763" i="1"/>
  <c r="S4764" i="1"/>
  <c r="S4765" i="1"/>
  <c r="S4766" i="1"/>
  <c r="S4767" i="1"/>
  <c r="S4768" i="1"/>
  <c r="S4769" i="1"/>
  <c r="S4770" i="1"/>
  <c r="S4771" i="1"/>
  <c r="S4772" i="1"/>
  <c r="S4773" i="1"/>
  <c r="S4774" i="1"/>
  <c r="S4775" i="1"/>
  <c r="S4776" i="1"/>
  <c r="S4777" i="1"/>
  <c r="S4778" i="1"/>
  <c r="S4779" i="1"/>
  <c r="S4780" i="1"/>
  <c r="S4781" i="1"/>
  <c r="S4782" i="1"/>
  <c r="S4783" i="1"/>
  <c r="S4784" i="1"/>
  <c r="S4785" i="1"/>
  <c r="S4786" i="1"/>
  <c r="S4787" i="1"/>
  <c r="S4788" i="1"/>
  <c r="S4789" i="1"/>
  <c r="S4790" i="1"/>
  <c r="S4791" i="1"/>
  <c r="S4792" i="1"/>
  <c r="S4793" i="1"/>
  <c r="S4794" i="1"/>
  <c r="S4795" i="1"/>
  <c r="S4796" i="1"/>
  <c r="S4797" i="1"/>
  <c r="S4798" i="1"/>
  <c r="S4799" i="1"/>
  <c r="S4800" i="1"/>
  <c r="S4801" i="1"/>
  <c r="S4802" i="1"/>
  <c r="S4803" i="1"/>
  <c r="S4804" i="1"/>
  <c r="S4805" i="1"/>
  <c r="S4806" i="1"/>
  <c r="S4807" i="1"/>
  <c r="S4808" i="1"/>
  <c r="S4809" i="1"/>
  <c r="S4810" i="1"/>
  <c r="S4811" i="1"/>
  <c r="S4812" i="1"/>
  <c r="S4813" i="1"/>
  <c r="S4814" i="1"/>
  <c r="S4815" i="1"/>
  <c r="S4816" i="1"/>
  <c r="S4817" i="1"/>
  <c r="S4818" i="1"/>
  <c r="S4819" i="1"/>
  <c r="S4820" i="1"/>
  <c r="S4821" i="1"/>
  <c r="S4822" i="1"/>
  <c r="S4823" i="1"/>
  <c r="S4824" i="1"/>
  <c r="S4825" i="1"/>
  <c r="S4826" i="1"/>
  <c r="S4827" i="1"/>
  <c r="S4828" i="1"/>
  <c r="S4829" i="1"/>
  <c r="S4830" i="1"/>
  <c r="S4831" i="1"/>
  <c r="S4832" i="1"/>
  <c r="S4833" i="1"/>
  <c r="S4834" i="1"/>
  <c r="S4835" i="1"/>
  <c r="S4836" i="1"/>
  <c r="S4837" i="1"/>
  <c r="S4838" i="1"/>
  <c r="S4839" i="1"/>
  <c r="S4840" i="1"/>
  <c r="S4841" i="1"/>
  <c r="S4842" i="1"/>
  <c r="S4843" i="1"/>
  <c r="S4844" i="1"/>
  <c r="S4845" i="1"/>
  <c r="S4846" i="1"/>
  <c r="S4847" i="1"/>
  <c r="S4848" i="1"/>
  <c r="S4849" i="1"/>
  <c r="S4850" i="1"/>
  <c r="S4851" i="1"/>
  <c r="S4852" i="1"/>
  <c r="S4853" i="1"/>
  <c r="S4854" i="1"/>
  <c r="S4855" i="1"/>
  <c r="S4856" i="1"/>
  <c r="S4857" i="1"/>
  <c r="S4858" i="1"/>
  <c r="S4859" i="1"/>
  <c r="S4860" i="1"/>
  <c r="S4861" i="1"/>
  <c r="S4862" i="1"/>
  <c r="S4863" i="1"/>
  <c r="S4864" i="1"/>
  <c r="S4865" i="1"/>
  <c r="S4866" i="1"/>
  <c r="S4867" i="1"/>
  <c r="S4868" i="1"/>
  <c r="S4869" i="1"/>
  <c r="S4870" i="1"/>
  <c r="S4871" i="1"/>
  <c r="S4872" i="1"/>
  <c r="S4873" i="1"/>
  <c r="S4874" i="1"/>
  <c r="S4875" i="1"/>
  <c r="S4876" i="1"/>
  <c r="S4877" i="1"/>
  <c r="S4878" i="1"/>
  <c r="S4879" i="1"/>
  <c r="S4880" i="1"/>
  <c r="S4881" i="1"/>
  <c r="S4882" i="1"/>
  <c r="S4883" i="1"/>
  <c r="S4884" i="1"/>
  <c r="S4885" i="1"/>
  <c r="S4886" i="1"/>
  <c r="S4887" i="1"/>
  <c r="S4888" i="1"/>
  <c r="S4889" i="1"/>
  <c r="S4890" i="1"/>
  <c r="S4891" i="1"/>
  <c r="S4892" i="1"/>
  <c r="S4893" i="1"/>
  <c r="S4894" i="1"/>
  <c r="S4895" i="1"/>
  <c r="S4896" i="1"/>
  <c r="S4897" i="1"/>
  <c r="S4898" i="1"/>
  <c r="S4899" i="1"/>
  <c r="S4900" i="1"/>
  <c r="S4901" i="1"/>
  <c r="S4902" i="1"/>
  <c r="S4903" i="1"/>
  <c r="S4904" i="1"/>
  <c r="S4905" i="1"/>
  <c r="S4906" i="1"/>
  <c r="S4907" i="1"/>
  <c r="S4908" i="1"/>
  <c r="S4909" i="1"/>
  <c r="S4910" i="1"/>
  <c r="S4911" i="1"/>
  <c r="S4912" i="1"/>
  <c r="S4913" i="1"/>
  <c r="S4914" i="1"/>
  <c r="S4915" i="1"/>
  <c r="S4916" i="1"/>
  <c r="S4917" i="1"/>
  <c r="S4918" i="1"/>
  <c r="S4919" i="1"/>
  <c r="S4920" i="1"/>
  <c r="S4921" i="1"/>
  <c r="S4922" i="1"/>
  <c r="S4923" i="1"/>
  <c r="S4924" i="1"/>
  <c r="S4925" i="1"/>
  <c r="S4926" i="1"/>
  <c r="S4927" i="1"/>
  <c r="S4928" i="1"/>
  <c r="S4929" i="1"/>
  <c r="S4930" i="1"/>
  <c r="S4931" i="1"/>
  <c r="S4932" i="1"/>
  <c r="S4933" i="1"/>
  <c r="S4934" i="1"/>
  <c r="S4935" i="1"/>
  <c r="S4936" i="1"/>
  <c r="S4937" i="1"/>
  <c r="S4938" i="1"/>
  <c r="S4939" i="1"/>
  <c r="S4940" i="1"/>
  <c r="S4941" i="1"/>
  <c r="S4942" i="1"/>
  <c r="S4943" i="1"/>
  <c r="S4944" i="1"/>
  <c r="S4945" i="1"/>
  <c r="S4946" i="1"/>
  <c r="S4947" i="1"/>
  <c r="S4948" i="1"/>
  <c r="S4949" i="1"/>
  <c r="S4950" i="1"/>
  <c r="S4951" i="1"/>
  <c r="S4952" i="1"/>
  <c r="S4953" i="1"/>
  <c r="S4954" i="1"/>
  <c r="S4955" i="1"/>
  <c r="S4956" i="1"/>
  <c r="S4957" i="1"/>
  <c r="S4958" i="1"/>
  <c r="S4959" i="1"/>
  <c r="S4960" i="1"/>
  <c r="S4961" i="1"/>
  <c r="S4962" i="1"/>
  <c r="S4963" i="1"/>
  <c r="S4964" i="1"/>
  <c r="S4965" i="1"/>
  <c r="S4966" i="1"/>
  <c r="S4967" i="1"/>
  <c r="S4968" i="1"/>
  <c r="S4969" i="1"/>
  <c r="S4970" i="1"/>
  <c r="S4971" i="1"/>
  <c r="S4972" i="1"/>
  <c r="S4973" i="1"/>
  <c r="S4974" i="1"/>
  <c r="S4975" i="1"/>
  <c r="S4976" i="1"/>
  <c r="S4977" i="1"/>
  <c r="S4978" i="1"/>
  <c r="S4979" i="1"/>
  <c r="S4980" i="1"/>
  <c r="S4981" i="1"/>
  <c r="S4982" i="1"/>
  <c r="S4983" i="1"/>
  <c r="S4984" i="1"/>
  <c r="S4985" i="1"/>
  <c r="S4986" i="1"/>
  <c r="S4987" i="1"/>
  <c r="S4988" i="1"/>
  <c r="S4989" i="1"/>
  <c r="S4990" i="1"/>
  <c r="S4991" i="1"/>
  <c r="S4992" i="1"/>
  <c r="S4993" i="1"/>
  <c r="S4994" i="1"/>
  <c r="S4995" i="1"/>
  <c r="S4996" i="1"/>
  <c r="S4997" i="1"/>
  <c r="S4998" i="1"/>
  <c r="S4999" i="1"/>
  <c r="S5000" i="1"/>
  <c r="S5001" i="1"/>
  <c r="S5002" i="1"/>
  <c r="S5003" i="1"/>
  <c r="S5004" i="1"/>
  <c r="S5005" i="1"/>
  <c r="S5006" i="1"/>
  <c r="S5007" i="1"/>
  <c r="S5008" i="1"/>
  <c r="S5009" i="1"/>
  <c r="S5010" i="1"/>
  <c r="S5011" i="1"/>
  <c r="S5012" i="1"/>
  <c r="S5013" i="1"/>
  <c r="S5014" i="1"/>
  <c r="S5015" i="1"/>
  <c r="S5016" i="1"/>
  <c r="S5017" i="1"/>
  <c r="S5018" i="1"/>
  <c r="S5019" i="1"/>
  <c r="S5020" i="1"/>
  <c r="S5021" i="1"/>
  <c r="S5022" i="1"/>
  <c r="S5023" i="1"/>
  <c r="S5024" i="1"/>
  <c r="S5025" i="1"/>
  <c r="S5026" i="1"/>
  <c r="S5027" i="1"/>
  <c r="S5028" i="1"/>
  <c r="S5029" i="1"/>
  <c r="S5030" i="1"/>
  <c r="S5031" i="1"/>
  <c r="S5032" i="1"/>
  <c r="S5033" i="1"/>
  <c r="S5034" i="1"/>
  <c r="S5035" i="1"/>
  <c r="S5036" i="1"/>
  <c r="S5037" i="1"/>
  <c r="S5038" i="1"/>
  <c r="S5039" i="1"/>
  <c r="S5040" i="1"/>
  <c r="S5041" i="1"/>
  <c r="S5042" i="1"/>
  <c r="S5043" i="1"/>
  <c r="S5044" i="1"/>
  <c r="S5045" i="1"/>
  <c r="S5046" i="1"/>
  <c r="S5047" i="1"/>
  <c r="S5048" i="1"/>
  <c r="S5049" i="1"/>
  <c r="S5050" i="1"/>
  <c r="S5051" i="1"/>
  <c r="S5052" i="1"/>
  <c r="S5053" i="1"/>
  <c r="S5054" i="1"/>
  <c r="S5055" i="1"/>
  <c r="S5056" i="1"/>
  <c r="S5057" i="1"/>
  <c r="S5058" i="1"/>
  <c r="S5059" i="1"/>
  <c r="S5060" i="1"/>
  <c r="S5061" i="1"/>
  <c r="S5062" i="1"/>
  <c r="S5063" i="1"/>
  <c r="S5064" i="1"/>
  <c r="S5065" i="1"/>
  <c r="S5066" i="1"/>
  <c r="S5067" i="1"/>
  <c r="S5068" i="1"/>
  <c r="S5069" i="1"/>
  <c r="S5070" i="1"/>
  <c r="S5071" i="1"/>
  <c r="S5072" i="1"/>
  <c r="S5073" i="1"/>
  <c r="S5074" i="1"/>
  <c r="S5075" i="1"/>
  <c r="S5076" i="1"/>
  <c r="S5077" i="1"/>
  <c r="S5078" i="1"/>
  <c r="S5079" i="1"/>
  <c r="S5080" i="1"/>
  <c r="S5081" i="1"/>
  <c r="S5082" i="1"/>
  <c r="S5083" i="1"/>
  <c r="S5084" i="1"/>
  <c r="S5085" i="1"/>
  <c r="S5086" i="1"/>
  <c r="S5087" i="1"/>
  <c r="S5088" i="1"/>
  <c r="S5089" i="1"/>
  <c r="S5090" i="1"/>
  <c r="S5091" i="1"/>
  <c r="S5092" i="1"/>
  <c r="S5093" i="1"/>
  <c r="S5094" i="1"/>
  <c r="S5095" i="1"/>
  <c r="S5096" i="1"/>
  <c r="S5097" i="1"/>
  <c r="S5098" i="1"/>
  <c r="S5099" i="1"/>
  <c r="S5100" i="1"/>
  <c r="S5101" i="1"/>
  <c r="S5102" i="1"/>
  <c r="S5103" i="1"/>
  <c r="S5104" i="1"/>
  <c r="S5105" i="1"/>
  <c r="S5106" i="1"/>
  <c r="S5107" i="1"/>
  <c r="S5108" i="1"/>
  <c r="S5109" i="1"/>
  <c r="S5110" i="1"/>
  <c r="S5111" i="1"/>
  <c r="S5112" i="1"/>
  <c r="S5113" i="1"/>
  <c r="S5114" i="1"/>
  <c r="S5115" i="1"/>
  <c r="S5116" i="1"/>
  <c r="S5117" i="1"/>
  <c r="S5118" i="1"/>
  <c r="S5119" i="1"/>
  <c r="S5120" i="1"/>
  <c r="S5121" i="1"/>
  <c r="S5122" i="1"/>
  <c r="S5123" i="1"/>
  <c r="S5124" i="1"/>
  <c r="S5125" i="1"/>
  <c r="S5126" i="1"/>
  <c r="S5127" i="1"/>
  <c r="S5128" i="1"/>
  <c r="S5129" i="1"/>
  <c r="S5130" i="1"/>
  <c r="S5131" i="1"/>
  <c r="S5132" i="1"/>
  <c r="S5133" i="1"/>
  <c r="S5134" i="1"/>
  <c r="S5135" i="1"/>
  <c r="S5136" i="1"/>
  <c r="S5137" i="1"/>
  <c r="S5138" i="1"/>
  <c r="S5139" i="1"/>
  <c r="S5140" i="1"/>
  <c r="S5141" i="1"/>
  <c r="S5142" i="1"/>
  <c r="S5143" i="1"/>
  <c r="S5144" i="1"/>
  <c r="S5145" i="1"/>
  <c r="S5146" i="1"/>
  <c r="S5147" i="1"/>
  <c r="S5148" i="1"/>
  <c r="S5149" i="1"/>
  <c r="S5150" i="1"/>
  <c r="S5151" i="1"/>
  <c r="S5152" i="1"/>
  <c r="S5153" i="1"/>
  <c r="S5154" i="1"/>
  <c r="S5155" i="1"/>
  <c r="S5156" i="1"/>
  <c r="S5157" i="1"/>
  <c r="S5158" i="1"/>
  <c r="S5159" i="1"/>
  <c r="S5160" i="1"/>
  <c r="S5161" i="1"/>
  <c r="S5162" i="1"/>
  <c r="S5163" i="1"/>
  <c r="S5164" i="1"/>
  <c r="S5165" i="1"/>
  <c r="S5166" i="1"/>
  <c r="S5167" i="1"/>
  <c r="S5168" i="1"/>
  <c r="S5169" i="1"/>
  <c r="S5170" i="1"/>
  <c r="S5171" i="1"/>
  <c r="S5172" i="1"/>
  <c r="S5173" i="1"/>
  <c r="S5174" i="1"/>
  <c r="S5175" i="1"/>
  <c r="S5176" i="1"/>
  <c r="S5177" i="1"/>
  <c r="S5178" i="1"/>
  <c r="S5179" i="1"/>
  <c r="S5180" i="1"/>
  <c r="S5181" i="1"/>
  <c r="S5182" i="1"/>
  <c r="S5183" i="1"/>
  <c r="S5184" i="1"/>
  <c r="S5185" i="1"/>
  <c r="S5186" i="1"/>
  <c r="S5187" i="1"/>
  <c r="S5188" i="1"/>
  <c r="S5189" i="1"/>
  <c r="S5190" i="1"/>
  <c r="S5191" i="1"/>
  <c r="S5192" i="1"/>
  <c r="S5193" i="1"/>
  <c r="S5194" i="1"/>
  <c r="S5195" i="1"/>
  <c r="S5196" i="1"/>
  <c r="S5197" i="1"/>
  <c r="S5198" i="1"/>
  <c r="S5199" i="1"/>
  <c r="S5200" i="1"/>
  <c r="S5201" i="1"/>
  <c r="S5202" i="1"/>
  <c r="S5203" i="1"/>
  <c r="S5204" i="1"/>
  <c r="S5205" i="1"/>
  <c r="S5206" i="1"/>
  <c r="S5207" i="1"/>
  <c r="S5208" i="1"/>
  <c r="S5209" i="1"/>
  <c r="S5210" i="1"/>
  <c r="S5211" i="1"/>
  <c r="S5212" i="1"/>
  <c r="S5213" i="1"/>
  <c r="S5214" i="1"/>
  <c r="S5215" i="1"/>
  <c r="S5216" i="1"/>
  <c r="S5217" i="1"/>
  <c r="S5218" i="1"/>
  <c r="S5219" i="1"/>
  <c r="S5220" i="1"/>
  <c r="S5221" i="1"/>
  <c r="S5222" i="1"/>
  <c r="S5223" i="1"/>
  <c r="S5224" i="1"/>
  <c r="S5225" i="1"/>
  <c r="S5226" i="1"/>
  <c r="S5227" i="1"/>
  <c r="S5228" i="1"/>
  <c r="S5229" i="1"/>
  <c r="S5230" i="1"/>
  <c r="S5231" i="1"/>
  <c r="S5232" i="1"/>
  <c r="S5233" i="1"/>
  <c r="S5234" i="1"/>
  <c r="S5235" i="1"/>
  <c r="S5236" i="1"/>
  <c r="S5237" i="1"/>
  <c r="S5238" i="1"/>
  <c r="S5239" i="1"/>
  <c r="S5240" i="1"/>
  <c r="S5241" i="1"/>
  <c r="S5242" i="1"/>
  <c r="S5243" i="1"/>
  <c r="S5244" i="1"/>
  <c r="S5245" i="1"/>
  <c r="S5246" i="1"/>
  <c r="S5247" i="1"/>
  <c r="S5248" i="1"/>
  <c r="S5249" i="1"/>
  <c r="S5250" i="1"/>
  <c r="S5251" i="1"/>
  <c r="S5252" i="1"/>
  <c r="S5253" i="1"/>
  <c r="S5254" i="1"/>
  <c r="S5255" i="1"/>
  <c r="S5256" i="1"/>
  <c r="S5257" i="1"/>
  <c r="S5258" i="1"/>
  <c r="S5259" i="1"/>
  <c r="S5260" i="1"/>
  <c r="S5261" i="1"/>
  <c r="S5262" i="1"/>
  <c r="S5263" i="1"/>
  <c r="S5264" i="1"/>
  <c r="S5265" i="1"/>
  <c r="S5266" i="1"/>
  <c r="S5267" i="1"/>
  <c r="S5268" i="1"/>
  <c r="S5269" i="1"/>
  <c r="S5270" i="1"/>
  <c r="S5271" i="1"/>
  <c r="S5272" i="1"/>
  <c r="S5273" i="1"/>
  <c r="S5274" i="1"/>
  <c r="S5275" i="1"/>
  <c r="S5276" i="1"/>
  <c r="S5277" i="1"/>
  <c r="S5278" i="1"/>
  <c r="S5279" i="1"/>
  <c r="S5280" i="1"/>
  <c r="S5281" i="1"/>
  <c r="S5282" i="1"/>
  <c r="S5283" i="1"/>
  <c r="S5284" i="1"/>
  <c r="S5285" i="1"/>
  <c r="S5286" i="1"/>
  <c r="S5287" i="1"/>
  <c r="S5288" i="1"/>
  <c r="S5289" i="1"/>
  <c r="S5290" i="1"/>
  <c r="S5291" i="1"/>
  <c r="S5292" i="1"/>
  <c r="S5293" i="1"/>
  <c r="S5294" i="1"/>
  <c r="S5295" i="1"/>
  <c r="S5296" i="1"/>
  <c r="S5297" i="1"/>
  <c r="S5298" i="1"/>
  <c r="S5299" i="1"/>
  <c r="S5300" i="1"/>
  <c r="S5301" i="1"/>
  <c r="S5302" i="1"/>
  <c r="S5303" i="1"/>
  <c r="S5304" i="1"/>
  <c r="S5305" i="1"/>
  <c r="S5306" i="1"/>
  <c r="S5307" i="1"/>
  <c r="S5308" i="1"/>
  <c r="S5309" i="1"/>
  <c r="S5310" i="1"/>
  <c r="S5311" i="1"/>
  <c r="S5312" i="1"/>
  <c r="S5313" i="1"/>
  <c r="S5314" i="1"/>
  <c r="S5315" i="1"/>
  <c r="S5316" i="1"/>
  <c r="S5317" i="1"/>
  <c r="S5318" i="1"/>
  <c r="S5319" i="1"/>
  <c r="S5320" i="1"/>
  <c r="S5321" i="1"/>
  <c r="S5322" i="1"/>
  <c r="S5323" i="1"/>
  <c r="S5324" i="1"/>
  <c r="S5325" i="1"/>
  <c r="S5326" i="1"/>
  <c r="S5327" i="1"/>
  <c r="S5328" i="1"/>
  <c r="S5329" i="1"/>
  <c r="S5330" i="1"/>
  <c r="S5331" i="1"/>
  <c r="S5332" i="1"/>
  <c r="S5333" i="1"/>
  <c r="S5334" i="1"/>
  <c r="S5335" i="1"/>
  <c r="S5336" i="1"/>
  <c r="S2" i="1"/>
  <c r="Q3" i="1"/>
  <c r="V3" i="1" s="1"/>
  <c r="Q4" i="1"/>
  <c r="V4" i="1" s="1"/>
  <c r="Q5" i="1"/>
  <c r="V5" i="1" s="1"/>
  <c r="Q6" i="1"/>
  <c r="V6" i="1" s="1"/>
  <c r="Q7" i="1"/>
  <c r="V7" i="1" s="1"/>
  <c r="Q8" i="1"/>
  <c r="V8" i="1" s="1"/>
  <c r="Q9" i="1"/>
  <c r="V9" i="1" s="1"/>
  <c r="Q10" i="1"/>
  <c r="V10" i="1" s="1"/>
  <c r="Q11" i="1"/>
  <c r="V11" i="1" s="1"/>
  <c r="Q14" i="1"/>
  <c r="V14" i="1" s="1"/>
  <c r="Q15" i="1"/>
  <c r="V15" i="1" s="1"/>
  <c r="Q16" i="1"/>
  <c r="V16" i="1" s="1"/>
  <c r="Q17" i="1"/>
  <c r="V17" i="1" s="1"/>
  <c r="Q18" i="1"/>
  <c r="V18" i="1" s="1"/>
  <c r="Q19" i="1"/>
  <c r="V19" i="1" s="1"/>
  <c r="Q20" i="1"/>
  <c r="V20" i="1" s="1"/>
  <c r="Q21" i="1"/>
  <c r="V21" i="1" s="1"/>
  <c r="Q22" i="1"/>
  <c r="V22" i="1" s="1"/>
  <c r="Q23" i="1"/>
  <c r="V23" i="1" s="1"/>
  <c r="Q24" i="1"/>
  <c r="V24" i="1" s="1"/>
  <c r="Q25" i="1"/>
  <c r="V25" i="1" s="1"/>
  <c r="Q26" i="1"/>
  <c r="V26" i="1" s="1"/>
  <c r="Q27" i="1"/>
  <c r="V27" i="1" s="1"/>
  <c r="Q28" i="1"/>
  <c r="V28" i="1" s="1"/>
  <c r="Q29" i="1"/>
  <c r="V29" i="1" s="1"/>
  <c r="Q30" i="1"/>
  <c r="V30" i="1" s="1"/>
  <c r="Q31" i="1"/>
  <c r="V31" i="1" s="1"/>
  <c r="Q32" i="1"/>
  <c r="V32" i="1" s="1"/>
  <c r="Q33" i="1"/>
  <c r="V33" i="1" s="1"/>
  <c r="Q34" i="1"/>
  <c r="V34" i="1" s="1"/>
  <c r="Q35" i="1"/>
  <c r="V35" i="1" s="1"/>
  <c r="Q36" i="1"/>
  <c r="V36" i="1" s="1"/>
  <c r="Q37" i="1"/>
  <c r="V37" i="1" s="1"/>
  <c r="Q38" i="1"/>
  <c r="V38" i="1" s="1"/>
  <c r="Q39" i="1"/>
  <c r="V39" i="1" s="1"/>
  <c r="Q40" i="1"/>
  <c r="V40" i="1" s="1"/>
  <c r="Q41" i="1"/>
  <c r="V41" i="1" s="1"/>
  <c r="Q43" i="1"/>
  <c r="V43" i="1" s="1"/>
  <c r="Q44" i="1"/>
  <c r="V44" i="1" s="1"/>
  <c r="Q46" i="1"/>
  <c r="V46" i="1" s="1"/>
  <c r="Q47" i="1"/>
  <c r="V47" i="1" s="1"/>
  <c r="Q48" i="1"/>
  <c r="V48" i="1" s="1"/>
  <c r="Q49" i="1"/>
  <c r="V49" i="1" s="1"/>
  <c r="Q50" i="1"/>
  <c r="V50" i="1" s="1"/>
  <c r="Q51" i="1"/>
  <c r="V51" i="1" s="1"/>
  <c r="Q52" i="1"/>
  <c r="V52" i="1" s="1"/>
  <c r="Q53" i="1"/>
  <c r="V53" i="1" s="1"/>
  <c r="Q54" i="1"/>
  <c r="V54" i="1" s="1"/>
  <c r="Q55" i="1"/>
  <c r="V55" i="1" s="1"/>
  <c r="Q56" i="1"/>
  <c r="V56" i="1" s="1"/>
  <c r="Q57" i="1"/>
  <c r="V57" i="1" s="1"/>
  <c r="Q58" i="1"/>
  <c r="V58" i="1" s="1"/>
  <c r="Q59" i="1"/>
  <c r="V59" i="1" s="1"/>
  <c r="Q60" i="1"/>
  <c r="V60" i="1" s="1"/>
  <c r="Q61" i="1"/>
  <c r="V61" i="1" s="1"/>
  <c r="Q62" i="1"/>
  <c r="V62" i="1" s="1"/>
  <c r="Q63" i="1"/>
  <c r="V63" i="1" s="1"/>
  <c r="Q64" i="1"/>
  <c r="V64" i="1" s="1"/>
  <c r="Q65" i="1"/>
  <c r="V65" i="1" s="1"/>
  <c r="Q66" i="1"/>
  <c r="V66" i="1" s="1"/>
  <c r="Q67" i="1"/>
  <c r="V67" i="1" s="1"/>
  <c r="Q68" i="1"/>
  <c r="V68" i="1" s="1"/>
  <c r="Q69" i="1"/>
  <c r="V69" i="1" s="1"/>
  <c r="Q70" i="1"/>
  <c r="V70" i="1" s="1"/>
  <c r="Q71" i="1"/>
  <c r="V71" i="1" s="1"/>
  <c r="Q72" i="1"/>
  <c r="V72" i="1" s="1"/>
  <c r="Q73" i="1"/>
  <c r="V73" i="1" s="1"/>
  <c r="Q74" i="1"/>
  <c r="V74" i="1" s="1"/>
  <c r="Q75" i="1"/>
  <c r="V75" i="1" s="1"/>
  <c r="Q76" i="1"/>
  <c r="V76" i="1" s="1"/>
  <c r="Q77" i="1"/>
  <c r="V77" i="1" s="1"/>
  <c r="Q78" i="1"/>
  <c r="V78" i="1" s="1"/>
  <c r="Q79" i="1"/>
  <c r="V79" i="1" s="1"/>
  <c r="Q81" i="1"/>
  <c r="V81" i="1" s="1"/>
  <c r="Q82" i="1"/>
  <c r="V82" i="1" s="1"/>
  <c r="Q84" i="1"/>
  <c r="V84" i="1" s="1"/>
  <c r="Q85" i="1"/>
  <c r="V85" i="1" s="1"/>
  <c r="Q86" i="1"/>
  <c r="V86" i="1" s="1"/>
  <c r="Q87" i="1"/>
  <c r="V87" i="1" s="1"/>
  <c r="Q88" i="1"/>
  <c r="V88" i="1" s="1"/>
  <c r="Q89" i="1"/>
  <c r="V89" i="1" s="1"/>
  <c r="Q90" i="1"/>
  <c r="V90" i="1" s="1"/>
  <c r="Q91" i="1"/>
  <c r="V91" i="1" s="1"/>
  <c r="Q92" i="1"/>
  <c r="V92" i="1" s="1"/>
  <c r="Q93" i="1"/>
  <c r="V93" i="1" s="1"/>
  <c r="Q94" i="1"/>
  <c r="V94" i="1" s="1"/>
  <c r="Q95" i="1"/>
  <c r="V95" i="1" s="1"/>
  <c r="Q96" i="1"/>
  <c r="V96" i="1" s="1"/>
  <c r="Q97" i="1"/>
  <c r="V97" i="1" s="1"/>
  <c r="Q98" i="1"/>
  <c r="V98" i="1" s="1"/>
  <c r="Q99" i="1"/>
  <c r="V99" i="1" s="1"/>
  <c r="Q100" i="1"/>
  <c r="V100" i="1" s="1"/>
  <c r="Q101" i="1"/>
  <c r="V101" i="1" s="1"/>
  <c r="Q102" i="1"/>
  <c r="V102" i="1" s="1"/>
  <c r="Q103" i="1"/>
  <c r="V103" i="1" s="1"/>
  <c r="Q104" i="1"/>
  <c r="V104" i="1" s="1"/>
  <c r="Q105" i="1"/>
  <c r="V105" i="1" s="1"/>
  <c r="Q106" i="1"/>
  <c r="V106" i="1" s="1"/>
  <c r="Q107" i="1"/>
  <c r="V107" i="1" s="1"/>
  <c r="Q108" i="1"/>
  <c r="V108" i="1" s="1"/>
  <c r="Q109" i="1"/>
  <c r="V109" i="1" s="1"/>
  <c r="Q110" i="1"/>
  <c r="V110" i="1" s="1"/>
  <c r="Q111" i="1"/>
  <c r="V111" i="1" s="1"/>
  <c r="Q112" i="1"/>
  <c r="V112" i="1" s="1"/>
  <c r="Q114" i="1"/>
  <c r="V114" i="1" s="1"/>
  <c r="Q115" i="1"/>
  <c r="V115" i="1" s="1"/>
  <c r="Q116" i="1"/>
  <c r="V116" i="1" s="1"/>
  <c r="Q117" i="1"/>
  <c r="V117" i="1" s="1"/>
  <c r="Q118" i="1"/>
  <c r="V118" i="1" s="1"/>
  <c r="Q119" i="1"/>
  <c r="V119" i="1" s="1"/>
  <c r="Q120" i="1"/>
  <c r="V120" i="1" s="1"/>
  <c r="Q121" i="1"/>
  <c r="V121" i="1" s="1"/>
  <c r="Q122" i="1"/>
  <c r="V122" i="1" s="1"/>
  <c r="Q123" i="1"/>
  <c r="V123" i="1" s="1"/>
  <c r="Q124" i="1"/>
  <c r="V124" i="1" s="1"/>
  <c r="Q125" i="1"/>
  <c r="V125" i="1" s="1"/>
  <c r="Q126" i="1"/>
  <c r="V126" i="1" s="1"/>
  <c r="Q127" i="1"/>
  <c r="V127" i="1" s="1"/>
  <c r="Q128" i="1"/>
  <c r="V128" i="1" s="1"/>
  <c r="Q129" i="1"/>
  <c r="V129" i="1" s="1"/>
  <c r="Q130" i="1"/>
  <c r="V130" i="1" s="1"/>
  <c r="Q131" i="1"/>
  <c r="V131" i="1" s="1"/>
  <c r="Q132" i="1"/>
  <c r="V132" i="1" s="1"/>
  <c r="Q134" i="1"/>
  <c r="V134" i="1" s="1"/>
  <c r="Q135" i="1"/>
  <c r="V135" i="1" s="1"/>
  <c r="Q136" i="1"/>
  <c r="V136" i="1" s="1"/>
  <c r="Q137" i="1"/>
  <c r="V137" i="1" s="1"/>
  <c r="Q138" i="1"/>
  <c r="V138" i="1" s="1"/>
  <c r="Q139" i="1"/>
  <c r="V139" i="1" s="1"/>
  <c r="Q140" i="1"/>
  <c r="V140" i="1" s="1"/>
  <c r="Q141" i="1"/>
  <c r="V141" i="1" s="1"/>
  <c r="Q142" i="1"/>
  <c r="V142" i="1" s="1"/>
  <c r="Q143" i="1"/>
  <c r="V143" i="1" s="1"/>
  <c r="Q144" i="1"/>
  <c r="V144" i="1" s="1"/>
  <c r="Q145" i="1"/>
  <c r="V145" i="1" s="1"/>
  <c r="Q146" i="1"/>
  <c r="V146" i="1" s="1"/>
  <c r="Q147" i="1"/>
  <c r="V147" i="1" s="1"/>
  <c r="Q148" i="1"/>
  <c r="V148" i="1" s="1"/>
  <c r="Q149" i="1"/>
  <c r="V149" i="1" s="1"/>
  <c r="Q150" i="1"/>
  <c r="V150" i="1" s="1"/>
  <c r="Q151" i="1"/>
  <c r="V151" i="1" s="1"/>
  <c r="Q152" i="1"/>
  <c r="V152" i="1" s="1"/>
  <c r="Q153" i="1"/>
  <c r="V153" i="1" s="1"/>
  <c r="Q154" i="1"/>
  <c r="V154" i="1" s="1"/>
  <c r="Q155" i="1"/>
  <c r="V155" i="1" s="1"/>
  <c r="Q156" i="1"/>
  <c r="V156" i="1" s="1"/>
  <c r="Q157" i="1"/>
  <c r="V157" i="1" s="1"/>
  <c r="Q158" i="1"/>
  <c r="V158" i="1" s="1"/>
  <c r="Q159" i="1"/>
  <c r="V159" i="1" s="1"/>
  <c r="Q160" i="1"/>
  <c r="V160" i="1" s="1"/>
  <c r="Q161" i="1"/>
  <c r="V161" i="1" s="1"/>
  <c r="Q162" i="1"/>
  <c r="V162" i="1" s="1"/>
  <c r="Q163" i="1"/>
  <c r="V163" i="1" s="1"/>
  <c r="Q164" i="1"/>
  <c r="V164" i="1" s="1"/>
  <c r="Q165" i="1"/>
  <c r="V165" i="1" s="1"/>
  <c r="Q166" i="1"/>
  <c r="V166" i="1" s="1"/>
  <c r="Q167" i="1"/>
  <c r="V167" i="1" s="1"/>
  <c r="Q168" i="1"/>
  <c r="V168" i="1" s="1"/>
  <c r="Q169" i="1"/>
  <c r="V169" i="1" s="1"/>
  <c r="Q170" i="1"/>
  <c r="V170" i="1" s="1"/>
  <c r="Q171" i="1"/>
  <c r="V171" i="1" s="1"/>
  <c r="Q172" i="1"/>
  <c r="V172" i="1" s="1"/>
  <c r="Q173" i="1"/>
  <c r="V173" i="1" s="1"/>
  <c r="Q174" i="1"/>
  <c r="V174" i="1" s="1"/>
  <c r="Q175" i="1"/>
  <c r="V175" i="1" s="1"/>
  <c r="Q176" i="1"/>
  <c r="V176" i="1" s="1"/>
  <c r="Q177" i="1"/>
  <c r="V177" i="1" s="1"/>
  <c r="Q178" i="1"/>
  <c r="V178" i="1" s="1"/>
  <c r="Q179" i="1"/>
  <c r="V179" i="1" s="1"/>
  <c r="Q180" i="1"/>
  <c r="V180" i="1" s="1"/>
  <c r="Q181" i="1"/>
  <c r="V181" i="1" s="1"/>
  <c r="Q183" i="1"/>
  <c r="V183" i="1" s="1"/>
  <c r="Q184" i="1"/>
  <c r="V184" i="1" s="1"/>
  <c r="Q185" i="1"/>
  <c r="V185" i="1" s="1"/>
  <c r="Q186" i="1"/>
  <c r="V186" i="1" s="1"/>
  <c r="Q187" i="1"/>
  <c r="V187" i="1" s="1"/>
  <c r="Q188" i="1"/>
  <c r="V188" i="1" s="1"/>
  <c r="Q189" i="1"/>
  <c r="V189" i="1" s="1"/>
  <c r="Q190" i="1"/>
  <c r="V190" i="1" s="1"/>
  <c r="Q191" i="1"/>
  <c r="V191" i="1" s="1"/>
  <c r="Q192" i="1"/>
  <c r="V192" i="1" s="1"/>
  <c r="Q193" i="1"/>
  <c r="V193" i="1" s="1"/>
  <c r="Q194" i="1"/>
  <c r="V194" i="1" s="1"/>
  <c r="Q195" i="1"/>
  <c r="V195" i="1" s="1"/>
  <c r="Q196" i="1"/>
  <c r="V196" i="1" s="1"/>
  <c r="Q197" i="1"/>
  <c r="V197" i="1" s="1"/>
  <c r="Q198" i="1"/>
  <c r="V198" i="1" s="1"/>
  <c r="Q199" i="1"/>
  <c r="V199" i="1" s="1"/>
  <c r="Q200" i="1"/>
  <c r="V200" i="1" s="1"/>
  <c r="Q201" i="1"/>
  <c r="V201" i="1" s="1"/>
  <c r="Q202" i="1"/>
  <c r="V202" i="1" s="1"/>
  <c r="Q203" i="1"/>
  <c r="V203" i="1" s="1"/>
  <c r="Q204" i="1"/>
  <c r="V204" i="1" s="1"/>
  <c r="Q205" i="1"/>
  <c r="V205" i="1" s="1"/>
  <c r="Q206" i="1"/>
  <c r="V206" i="1" s="1"/>
  <c r="Q207" i="1"/>
  <c r="V207" i="1" s="1"/>
  <c r="Q208" i="1"/>
  <c r="V208" i="1" s="1"/>
  <c r="Q209" i="1"/>
  <c r="V209" i="1" s="1"/>
  <c r="Q210" i="1"/>
  <c r="V210" i="1" s="1"/>
  <c r="Q211" i="1"/>
  <c r="V211" i="1" s="1"/>
  <c r="Q212" i="1"/>
  <c r="V212" i="1" s="1"/>
  <c r="Q213" i="1"/>
  <c r="V213" i="1" s="1"/>
  <c r="Q214" i="1"/>
  <c r="V214" i="1" s="1"/>
  <c r="Q215" i="1"/>
  <c r="V215" i="1" s="1"/>
  <c r="Q216" i="1"/>
  <c r="V216" i="1" s="1"/>
  <c r="Q217" i="1"/>
  <c r="V217" i="1" s="1"/>
  <c r="Q218" i="1"/>
  <c r="V218" i="1" s="1"/>
  <c r="Q219" i="1"/>
  <c r="V219" i="1" s="1"/>
  <c r="Q220" i="1"/>
  <c r="V220" i="1" s="1"/>
  <c r="Q221" i="1"/>
  <c r="V221" i="1" s="1"/>
  <c r="Q222" i="1"/>
  <c r="V222" i="1" s="1"/>
  <c r="Q223" i="1"/>
  <c r="V223" i="1" s="1"/>
  <c r="Q224" i="1"/>
  <c r="V224" i="1" s="1"/>
  <c r="Q225" i="1"/>
  <c r="V225" i="1" s="1"/>
  <c r="Q226" i="1"/>
  <c r="V226" i="1" s="1"/>
  <c r="Q227" i="1"/>
  <c r="V227" i="1" s="1"/>
  <c r="Q228" i="1"/>
  <c r="V228" i="1" s="1"/>
  <c r="Q229" i="1"/>
  <c r="V229" i="1" s="1"/>
  <c r="Q230" i="1"/>
  <c r="V230" i="1" s="1"/>
  <c r="Q231" i="1"/>
  <c r="V231" i="1" s="1"/>
  <c r="Q232" i="1"/>
  <c r="V232" i="1" s="1"/>
  <c r="Q233" i="1"/>
  <c r="V233" i="1" s="1"/>
  <c r="Q234" i="1"/>
  <c r="V234" i="1" s="1"/>
  <c r="Q235" i="1"/>
  <c r="V235" i="1" s="1"/>
  <c r="Q236" i="1"/>
  <c r="V236" i="1" s="1"/>
  <c r="Q237" i="1"/>
  <c r="V237" i="1" s="1"/>
  <c r="Q238" i="1"/>
  <c r="V238" i="1" s="1"/>
  <c r="Q239" i="1"/>
  <c r="V239" i="1" s="1"/>
  <c r="Q240" i="1"/>
  <c r="V240" i="1" s="1"/>
  <c r="Q241" i="1"/>
  <c r="V241" i="1" s="1"/>
  <c r="Q242" i="1"/>
  <c r="V242" i="1" s="1"/>
  <c r="Q243" i="1"/>
  <c r="V243" i="1" s="1"/>
  <c r="Q244" i="1"/>
  <c r="V244" i="1" s="1"/>
  <c r="Q245" i="1"/>
  <c r="V245" i="1" s="1"/>
  <c r="Q246" i="1"/>
  <c r="V246" i="1" s="1"/>
  <c r="Q247" i="1"/>
  <c r="V247" i="1" s="1"/>
  <c r="Q248" i="1"/>
  <c r="V248" i="1" s="1"/>
  <c r="Q249" i="1"/>
  <c r="V249" i="1" s="1"/>
  <c r="Q250" i="1"/>
  <c r="V250" i="1" s="1"/>
  <c r="Q251" i="1"/>
  <c r="V251" i="1" s="1"/>
  <c r="Q252" i="1"/>
  <c r="V252" i="1" s="1"/>
  <c r="Q253" i="1"/>
  <c r="V253" i="1" s="1"/>
  <c r="Q254" i="1"/>
  <c r="V254" i="1" s="1"/>
  <c r="Q255" i="1"/>
  <c r="V255" i="1" s="1"/>
  <c r="Q256" i="1"/>
  <c r="V256" i="1" s="1"/>
  <c r="Q257" i="1"/>
  <c r="V257" i="1" s="1"/>
  <c r="Q258" i="1"/>
  <c r="V258" i="1" s="1"/>
  <c r="Q259" i="1"/>
  <c r="V259" i="1" s="1"/>
  <c r="Q260" i="1"/>
  <c r="V260" i="1" s="1"/>
  <c r="Q261" i="1"/>
  <c r="V261" i="1" s="1"/>
  <c r="Q262" i="1"/>
  <c r="V262" i="1" s="1"/>
  <c r="Q263" i="1"/>
  <c r="V263" i="1" s="1"/>
  <c r="Q264" i="1"/>
  <c r="V264" i="1" s="1"/>
  <c r="Q265" i="1"/>
  <c r="V265" i="1" s="1"/>
  <c r="Q266" i="1"/>
  <c r="V266" i="1" s="1"/>
  <c r="Q267" i="1"/>
  <c r="V267" i="1" s="1"/>
  <c r="Q268" i="1"/>
  <c r="V268" i="1" s="1"/>
  <c r="Q269" i="1"/>
  <c r="V269" i="1" s="1"/>
  <c r="Q270" i="1"/>
  <c r="V270" i="1" s="1"/>
  <c r="Q271" i="1"/>
  <c r="V271" i="1" s="1"/>
  <c r="Q272" i="1"/>
  <c r="V272" i="1" s="1"/>
  <c r="Q273" i="1"/>
  <c r="V273" i="1" s="1"/>
  <c r="Q274" i="1"/>
  <c r="V274" i="1" s="1"/>
  <c r="Q275" i="1"/>
  <c r="V275" i="1" s="1"/>
  <c r="Q276" i="1"/>
  <c r="V276" i="1" s="1"/>
  <c r="Q277" i="1"/>
  <c r="V277" i="1" s="1"/>
  <c r="Q278" i="1"/>
  <c r="V278" i="1" s="1"/>
  <c r="Q279" i="1"/>
  <c r="V279" i="1" s="1"/>
  <c r="Q282" i="1"/>
  <c r="V282" i="1" s="1"/>
  <c r="Q283" i="1"/>
  <c r="V283" i="1" s="1"/>
  <c r="Q284" i="1"/>
  <c r="V284" i="1" s="1"/>
  <c r="Q285" i="1"/>
  <c r="V285" i="1" s="1"/>
  <c r="Q286" i="1"/>
  <c r="V286" i="1" s="1"/>
  <c r="Q287" i="1"/>
  <c r="V287" i="1" s="1"/>
  <c r="Q288" i="1"/>
  <c r="V288" i="1" s="1"/>
  <c r="Q289" i="1"/>
  <c r="V289" i="1" s="1"/>
  <c r="Q290" i="1"/>
  <c r="V290" i="1" s="1"/>
  <c r="Q291" i="1"/>
  <c r="V291" i="1" s="1"/>
  <c r="Q292" i="1"/>
  <c r="V292" i="1" s="1"/>
  <c r="Q293" i="1"/>
  <c r="V293" i="1" s="1"/>
  <c r="Q294" i="1"/>
  <c r="V294" i="1" s="1"/>
  <c r="Q295" i="1"/>
  <c r="V295" i="1" s="1"/>
  <c r="Q296" i="1"/>
  <c r="V296" i="1" s="1"/>
  <c r="Q297" i="1"/>
  <c r="V297" i="1" s="1"/>
  <c r="Q298" i="1"/>
  <c r="V298" i="1" s="1"/>
  <c r="Q299" i="1"/>
  <c r="V299" i="1" s="1"/>
  <c r="Q300" i="1"/>
  <c r="V300" i="1" s="1"/>
  <c r="Q301" i="1"/>
  <c r="V301" i="1" s="1"/>
  <c r="Q302" i="1"/>
  <c r="V302" i="1" s="1"/>
  <c r="Q303" i="1"/>
  <c r="V303" i="1" s="1"/>
  <c r="Q304" i="1"/>
  <c r="V304" i="1" s="1"/>
  <c r="Q305" i="1"/>
  <c r="V305" i="1" s="1"/>
  <c r="Q306" i="1"/>
  <c r="V306" i="1" s="1"/>
  <c r="Q307" i="1"/>
  <c r="V307" i="1" s="1"/>
  <c r="Q308" i="1"/>
  <c r="V308" i="1" s="1"/>
  <c r="Q309" i="1"/>
  <c r="V309" i="1" s="1"/>
  <c r="Q310" i="1"/>
  <c r="V310" i="1" s="1"/>
  <c r="Q311" i="1"/>
  <c r="V311" i="1" s="1"/>
  <c r="Q312" i="1"/>
  <c r="V312" i="1" s="1"/>
  <c r="Q313" i="1"/>
  <c r="V313" i="1" s="1"/>
  <c r="Q314" i="1"/>
  <c r="V314" i="1" s="1"/>
  <c r="Q315" i="1"/>
  <c r="V315" i="1" s="1"/>
  <c r="Q316" i="1"/>
  <c r="V316" i="1" s="1"/>
  <c r="Q317" i="1"/>
  <c r="V317" i="1" s="1"/>
  <c r="Q318" i="1"/>
  <c r="V318" i="1" s="1"/>
  <c r="Q319" i="1"/>
  <c r="V319" i="1" s="1"/>
  <c r="Q320" i="1"/>
  <c r="V320" i="1" s="1"/>
  <c r="Q321" i="1"/>
  <c r="V321" i="1" s="1"/>
  <c r="Q322" i="1"/>
  <c r="V322" i="1" s="1"/>
  <c r="Q323" i="1"/>
  <c r="V323" i="1" s="1"/>
  <c r="Q324" i="1"/>
  <c r="V324" i="1" s="1"/>
  <c r="Q325" i="1"/>
  <c r="V325" i="1" s="1"/>
  <c r="Q326" i="1"/>
  <c r="V326" i="1" s="1"/>
  <c r="Q327" i="1"/>
  <c r="V327" i="1" s="1"/>
  <c r="Q328" i="1"/>
  <c r="V328" i="1" s="1"/>
  <c r="Q329" i="1"/>
  <c r="V329" i="1" s="1"/>
  <c r="Q330" i="1"/>
  <c r="V330" i="1" s="1"/>
  <c r="Q331" i="1"/>
  <c r="V331" i="1" s="1"/>
  <c r="Q332" i="1"/>
  <c r="V332" i="1" s="1"/>
  <c r="Q333" i="1"/>
  <c r="V333" i="1" s="1"/>
  <c r="Q334" i="1"/>
  <c r="V334" i="1" s="1"/>
  <c r="Q335" i="1"/>
  <c r="V335" i="1" s="1"/>
  <c r="Q336" i="1"/>
  <c r="V336" i="1" s="1"/>
  <c r="Q337" i="1"/>
  <c r="V337" i="1" s="1"/>
  <c r="Q338" i="1"/>
  <c r="V338" i="1" s="1"/>
  <c r="Q339" i="1"/>
  <c r="V339" i="1" s="1"/>
  <c r="Q340" i="1"/>
  <c r="V340" i="1" s="1"/>
  <c r="Q341" i="1"/>
  <c r="V341" i="1" s="1"/>
  <c r="Q342" i="1"/>
  <c r="V342" i="1" s="1"/>
  <c r="Q343" i="1"/>
  <c r="V343" i="1" s="1"/>
  <c r="Q344" i="1"/>
  <c r="V344" i="1" s="1"/>
  <c r="Q345" i="1"/>
  <c r="V345" i="1" s="1"/>
  <c r="Q346" i="1"/>
  <c r="V346" i="1" s="1"/>
  <c r="Q347" i="1"/>
  <c r="V347" i="1" s="1"/>
  <c r="Q348" i="1"/>
  <c r="V348" i="1" s="1"/>
  <c r="Q349" i="1"/>
  <c r="V349" i="1" s="1"/>
  <c r="Q350" i="1"/>
  <c r="V350" i="1" s="1"/>
  <c r="Q351" i="1"/>
  <c r="V351" i="1" s="1"/>
  <c r="Q352" i="1"/>
  <c r="V352" i="1" s="1"/>
  <c r="Q353" i="1"/>
  <c r="V353" i="1" s="1"/>
  <c r="Q354" i="1"/>
  <c r="V354" i="1" s="1"/>
  <c r="Q355" i="1"/>
  <c r="V355" i="1" s="1"/>
  <c r="Q356" i="1"/>
  <c r="V356" i="1" s="1"/>
  <c r="Q359" i="1"/>
  <c r="V359" i="1" s="1"/>
  <c r="Q360" i="1"/>
  <c r="V360" i="1" s="1"/>
  <c r="Q361" i="1"/>
  <c r="V361" i="1" s="1"/>
  <c r="Q362" i="1"/>
  <c r="V362" i="1" s="1"/>
  <c r="Q363" i="1"/>
  <c r="V363" i="1" s="1"/>
  <c r="Q364" i="1"/>
  <c r="V364" i="1" s="1"/>
  <c r="Q365" i="1"/>
  <c r="V365" i="1" s="1"/>
  <c r="Q366" i="1"/>
  <c r="V366" i="1" s="1"/>
  <c r="Q367" i="1"/>
  <c r="V367" i="1" s="1"/>
  <c r="Q368" i="1"/>
  <c r="V368" i="1" s="1"/>
  <c r="Q369" i="1"/>
  <c r="V369" i="1" s="1"/>
  <c r="Q370" i="1"/>
  <c r="V370" i="1" s="1"/>
  <c r="Q371" i="1"/>
  <c r="V371" i="1" s="1"/>
  <c r="Q372" i="1"/>
  <c r="V372" i="1" s="1"/>
  <c r="Q373" i="1"/>
  <c r="V373" i="1" s="1"/>
  <c r="Q374" i="1"/>
  <c r="V374" i="1" s="1"/>
  <c r="Q375" i="1"/>
  <c r="V375" i="1" s="1"/>
  <c r="Q376" i="1"/>
  <c r="V376" i="1" s="1"/>
  <c r="Q377" i="1"/>
  <c r="V377" i="1" s="1"/>
  <c r="Q378" i="1"/>
  <c r="V378" i="1" s="1"/>
  <c r="Q379" i="1"/>
  <c r="V379" i="1" s="1"/>
  <c r="Q380" i="1"/>
  <c r="V380" i="1" s="1"/>
  <c r="Q381" i="1"/>
  <c r="V381" i="1" s="1"/>
  <c r="Q382" i="1"/>
  <c r="V382" i="1" s="1"/>
  <c r="Q383" i="1"/>
  <c r="V383" i="1" s="1"/>
  <c r="Q384" i="1"/>
  <c r="V384" i="1" s="1"/>
  <c r="Q385" i="1"/>
  <c r="V385" i="1" s="1"/>
  <c r="Q386" i="1"/>
  <c r="V386" i="1" s="1"/>
  <c r="Q387" i="1"/>
  <c r="V387" i="1" s="1"/>
  <c r="Q388" i="1"/>
  <c r="V388" i="1" s="1"/>
  <c r="Q389" i="1"/>
  <c r="V389" i="1" s="1"/>
  <c r="Q390" i="1"/>
  <c r="V390" i="1" s="1"/>
  <c r="Q391" i="1"/>
  <c r="V391" i="1" s="1"/>
  <c r="Q392" i="1"/>
  <c r="V392" i="1" s="1"/>
  <c r="Q393" i="1"/>
  <c r="V393" i="1" s="1"/>
  <c r="Q394" i="1"/>
  <c r="V394" i="1" s="1"/>
  <c r="Q395" i="1"/>
  <c r="V395" i="1" s="1"/>
  <c r="Q396" i="1"/>
  <c r="V396" i="1" s="1"/>
  <c r="Q397" i="1"/>
  <c r="V397" i="1" s="1"/>
  <c r="Q398" i="1"/>
  <c r="V398" i="1" s="1"/>
  <c r="Q399" i="1"/>
  <c r="V399" i="1" s="1"/>
  <c r="Q400" i="1"/>
  <c r="V400" i="1" s="1"/>
  <c r="Q401" i="1"/>
  <c r="V401" i="1" s="1"/>
  <c r="Q402" i="1"/>
  <c r="V402" i="1" s="1"/>
  <c r="Q403" i="1"/>
  <c r="V403" i="1" s="1"/>
  <c r="Q404" i="1"/>
  <c r="V404" i="1" s="1"/>
  <c r="Q405" i="1"/>
  <c r="V405" i="1" s="1"/>
  <c r="Q406" i="1"/>
  <c r="V406" i="1" s="1"/>
  <c r="Q407" i="1"/>
  <c r="V407" i="1" s="1"/>
  <c r="Q408" i="1"/>
  <c r="V408" i="1" s="1"/>
  <c r="Q409" i="1"/>
  <c r="V409" i="1" s="1"/>
  <c r="Q410" i="1"/>
  <c r="V410" i="1" s="1"/>
  <c r="Q411" i="1"/>
  <c r="V411" i="1" s="1"/>
  <c r="Q412" i="1"/>
  <c r="V412" i="1" s="1"/>
  <c r="Q413" i="1"/>
  <c r="V413" i="1" s="1"/>
  <c r="Q414" i="1"/>
  <c r="V414" i="1" s="1"/>
  <c r="Q415" i="1"/>
  <c r="V415" i="1" s="1"/>
  <c r="Q416" i="1"/>
  <c r="V416" i="1" s="1"/>
  <c r="Q417" i="1"/>
  <c r="V417" i="1" s="1"/>
  <c r="Q418" i="1"/>
  <c r="V418" i="1" s="1"/>
  <c r="Q419" i="1"/>
  <c r="V419" i="1" s="1"/>
  <c r="Q420" i="1"/>
  <c r="V420" i="1" s="1"/>
  <c r="Q421" i="1"/>
  <c r="V421" i="1" s="1"/>
  <c r="Q422" i="1"/>
  <c r="V422" i="1" s="1"/>
  <c r="Q423" i="1"/>
  <c r="V423" i="1" s="1"/>
  <c r="Q424" i="1"/>
  <c r="V424" i="1" s="1"/>
  <c r="Q425" i="1"/>
  <c r="V425" i="1" s="1"/>
  <c r="Q426" i="1"/>
  <c r="V426" i="1" s="1"/>
  <c r="Q427" i="1"/>
  <c r="V427" i="1" s="1"/>
  <c r="Q428" i="1"/>
  <c r="V428" i="1" s="1"/>
  <c r="Q429" i="1"/>
  <c r="V429" i="1" s="1"/>
  <c r="Q430" i="1"/>
  <c r="V430" i="1" s="1"/>
  <c r="Q431" i="1"/>
  <c r="V431" i="1" s="1"/>
  <c r="Q432" i="1"/>
  <c r="V432" i="1" s="1"/>
  <c r="Q433" i="1"/>
  <c r="V433" i="1" s="1"/>
  <c r="Q434" i="1"/>
  <c r="V434" i="1" s="1"/>
  <c r="Q435" i="1"/>
  <c r="V435" i="1" s="1"/>
  <c r="Q436" i="1"/>
  <c r="V436" i="1" s="1"/>
  <c r="Q437" i="1"/>
  <c r="V437" i="1" s="1"/>
  <c r="Q438" i="1"/>
  <c r="V438" i="1" s="1"/>
  <c r="Q439" i="1"/>
  <c r="V439" i="1" s="1"/>
  <c r="Q440" i="1"/>
  <c r="V440" i="1" s="1"/>
  <c r="Q441" i="1"/>
  <c r="V441" i="1" s="1"/>
  <c r="Q442" i="1"/>
  <c r="V442" i="1" s="1"/>
  <c r="Q443" i="1"/>
  <c r="V443" i="1" s="1"/>
  <c r="Q444" i="1"/>
  <c r="V444" i="1" s="1"/>
  <c r="Q445" i="1"/>
  <c r="V445" i="1" s="1"/>
  <c r="Q446" i="1"/>
  <c r="V446" i="1" s="1"/>
  <c r="Q447" i="1"/>
  <c r="V447" i="1" s="1"/>
  <c r="Q448" i="1"/>
  <c r="V448" i="1" s="1"/>
  <c r="Q449" i="1"/>
  <c r="V449" i="1" s="1"/>
  <c r="Q450" i="1"/>
  <c r="V450" i="1" s="1"/>
  <c r="Q451" i="1"/>
  <c r="V451" i="1" s="1"/>
  <c r="Q452" i="1"/>
  <c r="V452" i="1" s="1"/>
  <c r="Q453" i="1"/>
  <c r="V453" i="1" s="1"/>
  <c r="Q454" i="1"/>
  <c r="V454" i="1" s="1"/>
  <c r="Q455" i="1"/>
  <c r="V455" i="1" s="1"/>
  <c r="Q456" i="1"/>
  <c r="V456" i="1" s="1"/>
  <c r="Q457" i="1"/>
  <c r="V457" i="1" s="1"/>
  <c r="Q458" i="1"/>
  <c r="V458" i="1" s="1"/>
  <c r="Q459" i="1"/>
  <c r="V459" i="1" s="1"/>
  <c r="Q460" i="1"/>
  <c r="V460" i="1" s="1"/>
  <c r="Q461" i="1"/>
  <c r="V461" i="1" s="1"/>
  <c r="Q462" i="1"/>
  <c r="V462" i="1" s="1"/>
  <c r="Q463" i="1"/>
  <c r="V463" i="1" s="1"/>
  <c r="Q464" i="1"/>
  <c r="V464" i="1" s="1"/>
  <c r="Q465" i="1"/>
  <c r="V465" i="1" s="1"/>
  <c r="Q466" i="1"/>
  <c r="V466" i="1" s="1"/>
  <c r="Q467" i="1"/>
  <c r="V467" i="1" s="1"/>
  <c r="Q468" i="1"/>
  <c r="V468" i="1" s="1"/>
  <c r="Q469" i="1"/>
  <c r="V469" i="1" s="1"/>
  <c r="Q470" i="1"/>
  <c r="V470" i="1" s="1"/>
  <c r="Q471" i="1"/>
  <c r="V471" i="1" s="1"/>
  <c r="Q472" i="1"/>
  <c r="V472" i="1" s="1"/>
  <c r="Q473" i="1"/>
  <c r="V473" i="1" s="1"/>
  <c r="Q474" i="1"/>
  <c r="V474" i="1" s="1"/>
  <c r="Q475" i="1"/>
  <c r="V475" i="1" s="1"/>
  <c r="Q476" i="1"/>
  <c r="V476" i="1" s="1"/>
  <c r="Q477" i="1"/>
  <c r="V477" i="1" s="1"/>
  <c r="Q478" i="1"/>
  <c r="V478" i="1" s="1"/>
  <c r="Q479" i="1"/>
  <c r="V479" i="1" s="1"/>
  <c r="Q480" i="1"/>
  <c r="V480" i="1" s="1"/>
  <c r="Q481" i="1"/>
  <c r="V481" i="1" s="1"/>
  <c r="Q482" i="1"/>
  <c r="V482" i="1" s="1"/>
  <c r="Q483" i="1"/>
  <c r="V483" i="1" s="1"/>
  <c r="Q484" i="1"/>
  <c r="V484" i="1" s="1"/>
  <c r="Q485" i="1"/>
  <c r="V485" i="1" s="1"/>
  <c r="Q486" i="1"/>
  <c r="V486" i="1" s="1"/>
  <c r="Q487" i="1"/>
  <c r="V487" i="1" s="1"/>
  <c r="Q488" i="1"/>
  <c r="V488" i="1" s="1"/>
  <c r="Q489" i="1"/>
  <c r="V489" i="1" s="1"/>
  <c r="Q490" i="1"/>
  <c r="V490" i="1" s="1"/>
  <c r="Q491" i="1"/>
  <c r="V491" i="1" s="1"/>
  <c r="Q492" i="1"/>
  <c r="V492" i="1" s="1"/>
  <c r="Q493" i="1"/>
  <c r="V493" i="1" s="1"/>
  <c r="Q494" i="1"/>
  <c r="V494" i="1" s="1"/>
  <c r="Q495" i="1"/>
  <c r="V495" i="1" s="1"/>
  <c r="Q496" i="1"/>
  <c r="V496" i="1" s="1"/>
  <c r="Q497" i="1"/>
  <c r="V497" i="1" s="1"/>
  <c r="Q498" i="1"/>
  <c r="V498" i="1" s="1"/>
  <c r="Q499" i="1"/>
  <c r="V499" i="1" s="1"/>
  <c r="Q500" i="1"/>
  <c r="V500" i="1" s="1"/>
  <c r="Q501" i="1"/>
  <c r="V501" i="1" s="1"/>
  <c r="Q502" i="1"/>
  <c r="V502" i="1" s="1"/>
  <c r="Q503" i="1"/>
  <c r="V503" i="1" s="1"/>
  <c r="Q504" i="1"/>
  <c r="V504" i="1" s="1"/>
  <c r="Q505" i="1"/>
  <c r="V505" i="1" s="1"/>
  <c r="Q506" i="1"/>
  <c r="V506" i="1" s="1"/>
  <c r="Q507" i="1"/>
  <c r="V507" i="1" s="1"/>
  <c r="Q508" i="1"/>
  <c r="V508" i="1" s="1"/>
  <c r="Q509" i="1"/>
  <c r="V509" i="1" s="1"/>
  <c r="Q510" i="1"/>
  <c r="V510" i="1" s="1"/>
  <c r="Q511" i="1"/>
  <c r="V511" i="1" s="1"/>
  <c r="Q512" i="1"/>
  <c r="V512" i="1" s="1"/>
  <c r="Q513" i="1"/>
  <c r="V513" i="1" s="1"/>
  <c r="Q514" i="1"/>
  <c r="V514" i="1" s="1"/>
  <c r="Q515" i="1"/>
  <c r="V515" i="1" s="1"/>
  <c r="Q516" i="1"/>
  <c r="V516" i="1" s="1"/>
  <c r="Q517" i="1"/>
  <c r="V517" i="1" s="1"/>
  <c r="Q518" i="1"/>
  <c r="V518" i="1" s="1"/>
  <c r="Q519" i="1"/>
  <c r="V519" i="1" s="1"/>
  <c r="Q520" i="1"/>
  <c r="V520" i="1" s="1"/>
  <c r="Q521" i="1"/>
  <c r="V521" i="1" s="1"/>
  <c r="Q522" i="1"/>
  <c r="V522" i="1" s="1"/>
  <c r="Q523" i="1"/>
  <c r="V523" i="1" s="1"/>
  <c r="Q524" i="1"/>
  <c r="V524" i="1" s="1"/>
  <c r="Q525" i="1"/>
  <c r="V525" i="1" s="1"/>
  <c r="Q526" i="1"/>
  <c r="V526" i="1" s="1"/>
  <c r="Q527" i="1"/>
  <c r="V527" i="1" s="1"/>
  <c r="Q528" i="1"/>
  <c r="V528" i="1" s="1"/>
  <c r="Q529" i="1"/>
  <c r="V529" i="1" s="1"/>
  <c r="Q530" i="1"/>
  <c r="V530" i="1" s="1"/>
  <c r="Q531" i="1"/>
  <c r="V531" i="1" s="1"/>
  <c r="Q532" i="1"/>
  <c r="V532" i="1" s="1"/>
  <c r="Q533" i="1"/>
  <c r="V533" i="1" s="1"/>
  <c r="Q534" i="1"/>
  <c r="V534" i="1" s="1"/>
  <c r="Q535" i="1"/>
  <c r="V535" i="1" s="1"/>
  <c r="Q536" i="1"/>
  <c r="V536" i="1" s="1"/>
  <c r="Q537" i="1"/>
  <c r="V537" i="1" s="1"/>
  <c r="Q538" i="1"/>
  <c r="V538" i="1" s="1"/>
  <c r="Q539" i="1"/>
  <c r="V539" i="1" s="1"/>
  <c r="Q540" i="1"/>
  <c r="V540" i="1" s="1"/>
  <c r="Q541" i="1"/>
  <c r="V541" i="1" s="1"/>
  <c r="Q542" i="1"/>
  <c r="V542" i="1" s="1"/>
  <c r="Q543" i="1"/>
  <c r="V543" i="1" s="1"/>
  <c r="Q544" i="1"/>
  <c r="V544" i="1" s="1"/>
  <c r="Q545" i="1"/>
  <c r="V545" i="1" s="1"/>
  <c r="Q546" i="1"/>
  <c r="V546" i="1" s="1"/>
  <c r="Q547" i="1"/>
  <c r="V547" i="1" s="1"/>
  <c r="Q548" i="1"/>
  <c r="V548" i="1" s="1"/>
  <c r="Q549" i="1"/>
  <c r="V549" i="1" s="1"/>
  <c r="Q550" i="1"/>
  <c r="V550" i="1" s="1"/>
  <c r="Q551" i="1"/>
  <c r="V551" i="1" s="1"/>
  <c r="Q552" i="1"/>
  <c r="V552" i="1" s="1"/>
  <c r="Q553" i="1"/>
  <c r="V553" i="1" s="1"/>
  <c r="Q554" i="1"/>
  <c r="V554" i="1" s="1"/>
  <c r="Q555" i="1"/>
  <c r="V555" i="1" s="1"/>
  <c r="Q556" i="1"/>
  <c r="V556" i="1" s="1"/>
  <c r="Q557" i="1"/>
  <c r="V557" i="1" s="1"/>
  <c r="Q558" i="1"/>
  <c r="V558" i="1" s="1"/>
  <c r="Q559" i="1"/>
  <c r="V559" i="1" s="1"/>
  <c r="Q560" i="1"/>
  <c r="V560" i="1" s="1"/>
  <c r="Q561" i="1"/>
  <c r="V561" i="1" s="1"/>
  <c r="Q562" i="1"/>
  <c r="V562" i="1" s="1"/>
  <c r="Q563" i="1"/>
  <c r="V563" i="1" s="1"/>
  <c r="Q564" i="1"/>
  <c r="V564" i="1" s="1"/>
  <c r="Q565" i="1"/>
  <c r="V565" i="1" s="1"/>
  <c r="Q566" i="1"/>
  <c r="V566" i="1" s="1"/>
  <c r="Q567" i="1"/>
  <c r="V567" i="1" s="1"/>
  <c r="Q568" i="1"/>
  <c r="V568" i="1" s="1"/>
  <c r="Q569" i="1"/>
  <c r="V569" i="1" s="1"/>
  <c r="Q570" i="1"/>
  <c r="V570" i="1" s="1"/>
  <c r="Q571" i="1"/>
  <c r="V571" i="1" s="1"/>
  <c r="Q572" i="1"/>
  <c r="V572" i="1" s="1"/>
  <c r="Q573" i="1"/>
  <c r="V573" i="1" s="1"/>
  <c r="Q574" i="1"/>
  <c r="V574" i="1" s="1"/>
  <c r="Q575" i="1"/>
  <c r="V575" i="1" s="1"/>
  <c r="Q576" i="1"/>
  <c r="V576" i="1" s="1"/>
  <c r="Q577" i="1"/>
  <c r="V577" i="1" s="1"/>
  <c r="Q578" i="1"/>
  <c r="V578" i="1" s="1"/>
  <c r="Q579" i="1"/>
  <c r="V579" i="1" s="1"/>
  <c r="Q580" i="1"/>
  <c r="V580" i="1" s="1"/>
  <c r="Q581" i="1"/>
  <c r="V581" i="1" s="1"/>
  <c r="Q582" i="1"/>
  <c r="V582" i="1" s="1"/>
  <c r="Q583" i="1"/>
  <c r="V583" i="1" s="1"/>
  <c r="Q584" i="1"/>
  <c r="V584" i="1" s="1"/>
  <c r="Q585" i="1"/>
  <c r="V585" i="1" s="1"/>
  <c r="Q586" i="1"/>
  <c r="V586" i="1" s="1"/>
  <c r="Q587" i="1"/>
  <c r="V587" i="1" s="1"/>
  <c r="Q588" i="1"/>
  <c r="V588" i="1" s="1"/>
  <c r="Q589" i="1"/>
  <c r="V589" i="1" s="1"/>
  <c r="Q590" i="1"/>
  <c r="V590" i="1" s="1"/>
  <c r="Q591" i="1"/>
  <c r="V591" i="1" s="1"/>
  <c r="Q592" i="1"/>
  <c r="V592" i="1" s="1"/>
  <c r="Q593" i="1"/>
  <c r="V593" i="1" s="1"/>
  <c r="Q594" i="1"/>
  <c r="V594" i="1" s="1"/>
  <c r="Q595" i="1"/>
  <c r="V595" i="1" s="1"/>
  <c r="Q596" i="1"/>
  <c r="V596" i="1" s="1"/>
  <c r="Q597" i="1"/>
  <c r="V597" i="1" s="1"/>
  <c r="Q598" i="1"/>
  <c r="V598" i="1" s="1"/>
  <c r="Q599" i="1"/>
  <c r="V599" i="1" s="1"/>
  <c r="Q600" i="1"/>
  <c r="V600" i="1" s="1"/>
  <c r="Q601" i="1"/>
  <c r="V601" i="1" s="1"/>
  <c r="Q602" i="1"/>
  <c r="V602" i="1" s="1"/>
  <c r="Q603" i="1"/>
  <c r="V603" i="1" s="1"/>
  <c r="Q604" i="1"/>
  <c r="V604" i="1" s="1"/>
  <c r="Q605" i="1"/>
  <c r="V605" i="1" s="1"/>
  <c r="Q606" i="1"/>
  <c r="V606" i="1" s="1"/>
  <c r="Q607" i="1"/>
  <c r="V607" i="1" s="1"/>
  <c r="Q608" i="1"/>
  <c r="V608" i="1" s="1"/>
  <c r="Q609" i="1"/>
  <c r="V609" i="1" s="1"/>
  <c r="Q610" i="1"/>
  <c r="V610" i="1" s="1"/>
  <c r="Q611" i="1"/>
  <c r="V611" i="1" s="1"/>
  <c r="Q612" i="1"/>
  <c r="V612" i="1" s="1"/>
  <c r="Q613" i="1"/>
  <c r="V613" i="1" s="1"/>
  <c r="Q614" i="1"/>
  <c r="V614" i="1" s="1"/>
  <c r="Q615" i="1"/>
  <c r="V615" i="1" s="1"/>
  <c r="Q616" i="1"/>
  <c r="V616" i="1" s="1"/>
  <c r="Q617" i="1"/>
  <c r="V617" i="1" s="1"/>
  <c r="Q618" i="1"/>
  <c r="V618" i="1" s="1"/>
  <c r="Q619" i="1"/>
  <c r="V619" i="1" s="1"/>
  <c r="Q620" i="1"/>
  <c r="V620" i="1" s="1"/>
  <c r="Q621" i="1"/>
  <c r="V621" i="1" s="1"/>
  <c r="Q622" i="1"/>
  <c r="V622" i="1" s="1"/>
  <c r="Q623" i="1"/>
  <c r="V623" i="1" s="1"/>
  <c r="Q624" i="1"/>
  <c r="V624" i="1" s="1"/>
  <c r="Q625" i="1"/>
  <c r="V625" i="1" s="1"/>
  <c r="Q626" i="1"/>
  <c r="V626" i="1" s="1"/>
  <c r="Q627" i="1"/>
  <c r="V627" i="1" s="1"/>
  <c r="Q628" i="1"/>
  <c r="V628" i="1" s="1"/>
  <c r="Q629" i="1"/>
  <c r="V629" i="1" s="1"/>
  <c r="Q630" i="1"/>
  <c r="V630" i="1" s="1"/>
  <c r="Q631" i="1"/>
  <c r="V631" i="1" s="1"/>
  <c r="Q632" i="1"/>
  <c r="V632" i="1" s="1"/>
  <c r="Q633" i="1"/>
  <c r="V633" i="1" s="1"/>
  <c r="Q634" i="1"/>
  <c r="V634" i="1" s="1"/>
  <c r="Q635" i="1"/>
  <c r="V635" i="1" s="1"/>
  <c r="Q636" i="1"/>
  <c r="V636" i="1" s="1"/>
  <c r="Q637" i="1"/>
  <c r="V637" i="1" s="1"/>
  <c r="Q638" i="1"/>
  <c r="V638" i="1" s="1"/>
  <c r="Q639" i="1"/>
  <c r="V639" i="1" s="1"/>
  <c r="Q640" i="1"/>
  <c r="V640" i="1" s="1"/>
  <c r="Q641" i="1"/>
  <c r="V641" i="1" s="1"/>
  <c r="Q642" i="1"/>
  <c r="V642" i="1" s="1"/>
  <c r="Q643" i="1"/>
  <c r="V643" i="1" s="1"/>
  <c r="Q644" i="1"/>
  <c r="V644" i="1" s="1"/>
  <c r="Q645" i="1"/>
  <c r="V645" i="1" s="1"/>
  <c r="Q646" i="1"/>
  <c r="V646" i="1" s="1"/>
  <c r="Q647" i="1"/>
  <c r="V647" i="1" s="1"/>
  <c r="Q648" i="1"/>
  <c r="V648" i="1" s="1"/>
  <c r="Q649" i="1"/>
  <c r="V649" i="1" s="1"/>
  <c r="Q650" i="1"/>
  <c r="V650" i="1" s="1"/>
  <c r="Q651" i="1"/>
  <c r="V651" i="1" s="1"/>
  <c r="Q652" i="1"/>
  <c r="V652" i="1" s="1"/>
  <c r="Q653" i="1"/>
  <c r="V653" i="1" s="1"/>
  <c r="Q654" i="1"/>
  <c r="V654" i="1" s="1"/>
  <c r="Q655" i="1"/>
  <c r="V655" i="1" s="1"/>
  <c r="Q656" i="1"/>
  <c r="V656" i="1" s="1"/>
  <c r="Q657" i="1"/>
  <c r="V657" i="1" s="1"/>
  <c r="Q658" i="1"/>
  <c r="V658" i="1" s="1"/>
  <c r="Q659" i="1"/>
  <c r="V659" i="1" s="1"/>
  <c r="Q660" i="1"/>
  <c r="V660" i="1" s="1"/>
  <c r="Q661" i="1"/>
  <c r="V661" i="1" s="1"/>
  <c r="Q662" i="1"/>
  <c r="V662" i="1" s="1"/>
  <c r="Q663" i="1"/>
  <c r="V663" i="1" s="1"/>
  <c r="Q664" i="1"/>
  <c r="V664" i="1" s="1"/>
  <c r="Q665" i="1"/>
  <c r="V665" i="1" s="1"/>
  <c r="Q666" i="1"/>
  <c r="V666" i="1" s="1"/>
  <c r="Q667" i="1"/>
  <c r="V667" i="1" s="1"/>
  <c r="Q668" i="1"/>
  <c r="V668" i="1" s="1"/>
  <c r="Q669" i="1"/>
  <c r="V669" i="1" s="1"/>
  <c r="Q670" i="1"/>
  <c r="V670" i="1" s="1"/>
  <c r="Q671" i="1"/>
  <c r="V671" i="1" s="1"/>
  <c r="Q672" i="1"/>
  <c r="V672" i="1" s="1"/>
  <c r="Q673" i="1"/>
  <c r="V673" i="1" s="1"/>
  <c r="Q674" i="1"/>
  <c r="V674" i="1" s="1"/>
  <c r="Q675" i="1"/>
  <c r="V675" i="1" s="1"/>
  <c r="Q676" i="1"/>
  <c r="V676" i="1" s="1"/>
  <c r="Q677" i="1"/>
  <c r="V677" i="1" s="1"/>
  <c r="Q678" i="1"/>
  <c r="V678" i="1" s="1"/>
  <c r="Q679" i="1"/>
  <c r="V679" i="1" s="1"/>
  <c r="Q680" i="1"/>
  <c r="V680" i="1" s="1"/>
  <c r="Q681" i="1"/>
  <c r="V681" i="1" s="1"/>
  <c r="Q682" i="1"/>
  <c r="V682" i="1" s="1"/>
  <c r="Q683" i="1"/>
  <c r="V683" i="1" s="1"/>
  <c r="Q684" i="1"/>
  <c r="V684" i="1" s="1"/>
  <c r="Q685" i="1"/>
  <c r="V685" i="1" s="1"/>
  <c r="Q686" i="1"/>
  <c r="V686" i="1" s="1"/>
  <c r="Q687" i="1"/>
  <c r="V687" i="1" s="1"/>
  <c r="Q688" i="1"/>
  <c r="V688" i="1" s="1"/>
  <c r="Q689" i="1"/>
  <c r="V689" i="1" s="1"/>
  <c r="Q690" i="1"/>
  <c r="V690" i="1" s="1"/>
  <c r="Q691" i="1"/>
  <c r="V691" i="1" s="1"/>
  <c r="Q692" i="1"/>
  <c r="V692" i="1" s="1"/>
  <c r="Q693" i="1"/>
  <c r="V693" i="1" s="1"/>
  <c r="Q694" i="1"/>
  <c r="V694" i="1" s="1"/>
  <c r="Q695" i="1"/>
  <c r="V695" i="1" s="1"/>
  <c r="Q696" i="1"/>
  <c r="V696" i="1" s="1"/>
  <c r="Q697" i="1"/>
  <c r="V697" i="1" s="1"/>
  <c r="Q698" i="1"/>
  <c r="V698" i="1" s="1"/>
  <c r="Q699" i="1"/>
  <c r="V699" i="1" s="1"/>
  <c r="Q700" i="1"/>
  <c r="V700" i="1" s="1"/>
  <c r="Q701" i="1"/>
  <c r="V701" i="1" s="1"/>
  <c r="Q702" i="1"/>
  <c r="V702" i="1" s="1"/>
  <c r="Q703" i="1"/>
  <c r="V703" i="1" s="1"/>
  <c r="Q704" i="1"/>
  <c r="V704" i="1" s="1"/>
  <c r="Q705" i="1"/>
  <c r="V705" i="1" s="1"/>
  <c r="Q706" i="1"/>
  <c r="V706" i="1" s="1"/>
  <c r="Q707" i="1"/>
  <c r="V707" i="1" s="1"/>
  <c r="Q708" i="1"/>
  <c r="V708" i="1" s="1"/>
  <c r="Q709" i="1"/>
  <c r="V709" i="1" s="1"/>
  <c r="Q710" i="1"/>
  <c r="V710" i="1" s="1"/>
  <c r="Q711" i="1"/>
  <c r="V711" i="1" s="1"/>
  <c r="Q712" i="1"/>
  <c r="V712" i="1" s="1"/>
  <c r="Q713" i="1"/>
  <c r="V713" i="1" s="1"/>
  <c r="Q714" i="1"/>
  <c r="V714" i="1" s="1"/>
  <c r="Q715" i="1"/>
  <c r="V715" i="1" s="1"/>
  <c r="Q716" i="1"/>
  <c r="V716" i="1" s="1"/>
  <c r="Q717" i="1"/>
  <c r="V717" i="1" s="1"/>
  <c r="Q718" i="1"/>
  <c r="V718" i="1" s="1"/>
  <c r="Q719" i="1"/>
  <c r="V719" i="1" s="1"/>
  <c r="Q720" i="1"/>
  <c r="V720" i="1" s="1"/>
  <c r="Q722" i="1"/>
  <c r="V722" i="1" s="1"/>
  <c r="Q723" i="1"/>
  <c r="V723" i="1" s="1"/>
  <c r="Q725" i="1"/>
  <c r="V725" i="1" s="1"/>
  <c r="Q726" i="1"/>
  <c r="V726" i="1" s="1"/>
  <c r="Q727" i="1"/>
  <c r="V727" i="1" s="1"/>
  <c r="Q728" i="1"/>
  <c r="V728" i="1" s="1"/>
  <c r="Q729" i="1"/>
  <c r="V729" i="1" s="1"/>
  <c r="Q730" i="1"/>
  <c r="V730" i="1" s="1"/>
  <c r="Q731" i="1"/>
  <c r="V731" i="1" s="1"/>
  <c r="Q732" i="1"/>
  <c r="V732" i="1" s="1"/>
  <c r="Q733" i="1"/>
  <c r="V733" i="1" s="1"/>
  <c r="Q734" i="1"/>
  <c r="V734" i="1" s="1"/>
  <c r="Q735" i="1"/>
  <c r="V735" i="1" s="1"/>
  <c r="Q736" i="1"/>
  <c r="V736" i="1" s="1"/>
  <c r="Q737" i="1"/>
  <c r="V737" i="1" s="1"/>
  <c r="Q738" i="1"/>
  <c r="V738" i="1" s="1"/>
  <c r="Q739" i="1"/>
  <c r="V739" i="1" s="1"/>
  <c r="Q740" i="1"/>
  <c r="V740" i="1" s="1"/>
  <c r="Q741" i="1"/>
  <c r="V741" i="1" s="1"/>
  <c r="Q742" i="1"/>
  <c r="V742" i="1" s="1"/>
  <c r="Q743" i="1"/>
  <c r="V743" i="1" s="1"/>
  <c r="Q744" i="1"/>
  <c r="V744" i="1" s="1"/>
  <c r="Q745" i="1"/>
  <c r="V745" i="1" s="1"/>
  <c r="Q746" i="1"/>
  <c r="V746" i="1" s="1"/>
  <c r="Q747" i="1"/>
  <c r="V747" i="1" s="1"/>
  <c r="Q748" i="1"/>
  <c r="V748" i="1" s="1"/>
  <c r="Q749" i="1"/>
  <c r="V749" i="1" s="1"/>
  <c r="Q750" i="1"/>
  <c r="V750" i="1" s="1"/>
  <c r="Q751" i="1"/>
  <c r="V751" i="1" s="1"/>
  <c r="Q752" i="1"/>
  <c r="V752" i="1" s="1"/>
  <c r="Q753" i="1"/>
  <c r="V753" i="1" s="1"/>
  <c r="Q754" i="1"/>
  <c r="V754" i="1" s="1"/>
  <c r="Q755" i="1"/>
  <c r="V755" i="1" s="1"/>
  <c r="Q756" i="1"/>
  <c r="V756" i="1" s="1"/>
  <c r="Q757" i="1"/>
  <c r="V757" i="1" s="1"/>
  <c r="Q758" i="1"/>
  <c r="V758" i="1" s="1"/>
  <c r="Q759" i="1"/>
  <c r="V759" i="1" s="1"/>
  <c r="Q760" i="1"/>
  <c r="V760" i="1" s="1"/>
  <c r="Q761" i="1"/>
  <c r="V761" i="1" s="1"/>
  <c r="Q762" i="1"/>
  <c r="V762" i="1" s="1"/>
  <c r="Q763" i="1"/>
  <c r="V763" i="1" s="1"/>
  <c r="Q764" i="1"/>
  <c r="V764" i="1" s="1"/>
  <c r="Q765" i="1"/>
  <c r="V765" i="1" s="1"/>
  <c r="Q766" i="1"/>
  <c r="V766" i="1" s="1"/>
  <c r="Q767" i="1"/>
  <c r="V767" i="1" s="1"/>
  <c r="Q768" i="1"/>
  <c r="V768" i="1" s="1"/>
  <c r="Q769" i="1"/>
  <c r="V769" i="1" s="1"/>
  <c r="Q770" i="1"/>
  <c r="V770" i="1" s="1"/>
  <c r="Q771" i="1"/>
  <c r="V771" i="1" s="1"/>
  <c r="Q772" i="1"/>
  <c r="V772" i="1" s="1"/>
  <c r="Q773" i="1"/>
  <c r="V773" i="1" s="1"/>
  <c r="Q774" i="1"/>
  <c r="V774" i="1" s="1"/>
  <c r="Q775" i="1"/>
  <c r="V775" i="1" s="1"/>
  <c r="Q776" i="1"/>
  <c r="V776" i="1" s="1"/>
  <c r="Q777" i="1"/>
  <c r="V777" i="1" s="1"/>
  <c r="Q778" i="1"/>
  <c r="V778" i="1" s="1"/>
  <c r="Q779" i="1"/>
  <c r="V779" i="1" s="1"/>
  <c r="Q780" i="1"/>
  <c r="V780" i="1" s="1"/>
  <c r="Q781" i="1"/>
  <c r="V781" i="1" s="1"/>
  <c r="Q782" i="1"/>
  <c r="V782" i="1" s="1"/>
  <c r="Q783" i="1"/>
  <c r="V783" i="1" s="1"/>
  <c r="Q784" i="1"/>
  <c r="V784" i="1" s="1"/>
  <c r="Q785" i="1"/>
  <c r="V785" i="1" s="1"/>
  <c r="Q786" i="1"/>
  <c r="V786" i="1" s="1"/>
  <c r="Q787" i="1"/>
  <c r="V787" i="1" s="1"/>
  <c r="Q788" i="1"/>
  <c r="V788" i="1" s="1"/>
  <c r="Q789" i="1"/>
  <c r="V789" i="1" s="1"/>
  <c r="Q790" i="1"/>
  <c r="V790" i="1" s="1"/>
  <c r="Q791" i="1"/>
  <c r="V791" i="1" s="1"/>
  <c r="Q792" i="1"/>
  <c r="V792" i="1" s="1"/>
  <c r="Q793" i="1"/>
  <c r="V793" i="1" s="1"/>
  <c r="Q794" i="1"/>
  <c r="V794" i="1" s="1"/>
  <c r="Q795" i="1"/>
  <c r="V795" i="1" s="1"/>
  <c r="Q796" i="1"/>
  <c r="V796" i="1" s="1"/>
  <c r="Q797" i="1"/>
  <c r="V797" i="1" s="1"/>
  <c r="Q798" i="1"/>
  <c r="V798" i="1" s="1"/>
  <c r="Q799" i="1"/>
  <c r="V799" i="1" s="1"/>
  <c r="Q800" i="1"/>
  <c r="V800" i="1" s="1"/>
  <c r="Q801" i="1"/>
  <c r="V801" i="1" s="1"/>
  <c r="Q802" i="1"/>
  <c r="V802" i="1" s="1"/>
  <c r="Q803" i="1"/>
  <c r="V803" i="1" s="1"/>
  <c r="Q804" i="1"/>
  <c r="V804" i="1" s="1"/>
  <c r="Q805" i="1"/>
  <c r="V805" i="1" s="1"/>
  <c r="Q806" i="1"/>
  <c r="V806" i="1" s="1"/>
  <c r="Q807" i="1"/>
  <c r="V807" i="1" s="1"/>
  <c r="Q808" i="1"/>
  <c r="V808" i="1" s="1"/>
  <c r="Q809" i="1"/>
  <c r="V809" i="1" s="1"/>
  <c r="Q810" i="1"/>
  <c r="V810" i="1" s="1"/>
  <c r="Q811" i="1"/>
  <c r="V811" i="1" s="1"/>
  <c r="Q812" i="1"/>
  <c r="V812" i="1" s="1"/>
  <c r="Q813" i="1"/>
  <c r="V813" i="1" s="1"/>
  <c r="Q814" i="1"/>
  <c r="V814" i="1" s="1"/>
  <c r="Q815" i="1"/>
  <c r="V815" i="1" s="1"/>
  <c r="Q816" i="1"/>
  <c r="V816" i="1" s="1"/>
  <c r="Q817" i="1"/>
  <c r="V817" i="1" s="1"/>
  <c r="Q818" i="1"/>
  <c r="V818" i="1" s="1"/>
  <c r="Q819" i="1"/>
  <c r="V819" i="1" s="1"/>
  <c r="Q820" i="1"/>
  <c r="V820" i="1" s="1"/>
  <c r="Q821" i="1"/>
  <c r="V821" i="1" s="1"/>
  <c r="Q822" i="1"/>
  <c r="V822" i="1" s="1"/>
  <c r="Q823" i="1"/>
  <c r="V823" i="1" s="1"/>
  <c r="Q824" i="1"/>
  <c r="V824" i="1" s="1"/>
  <c r="Q825" i="1"/>
  <c r="V825" i="1" s="1"/>
  <c r="Q826" i="1"/>
  <c r="V826" i="1" s="1"/>
  <c r="Q827" i="1"/>
  <c r="V827" i="1" s="1"/>
  <c r="Q828" i="1"/>
  <c r="V828" i="1" s="1"/>
  <c r="Q829" i="1"/>
  <c r="V829" i="1" s="1"/>
  <c r="Q830" i="1"/>
  <c r="V830" i="1" s="1"/>
  <c r="Q831" i="1"/>
  <c r="V831" i="1" s="1"/>
  <c r="Q832" i="1"/>
  <c r="V832" i="1" s="1"/>
  <c r="Q833" i="1"/>
  <c r="V833" i="1" s="1"/>
  <c r="Q834" i="1"/>
  <c r="V834" i="1" s="1"/>
  <c r="Q835" i="1"/>
  <c r="V835" i="1" s="1"/>
  <c r="Q836" i="1"/>
  <c r="V836" i="1" s="1"/>
  <c r="Q837" i="1"/>
  <c r="V837" i="1" s="1"/>
  <c r="Q838" i="1"/>
  <c r="V838" i="1" s="1"/>
  <c r="Q839" i="1"/>
  <c r="V839" i="1" s="1"/>
  <c r="Q840" i="1"/>
  <c r="V840" i="1" s="1"/>
  <c r="Q841" i="1"/>
  <c r="V841" i="1" s="1"/>
  <c r="Q842" i="1"/>
  <c r="V842" i="1" s="1"/>
  <c r="Q843" i="1"/>
  <c r="V843" i="1" s="1"/>
  <c r="Q844" i="1"/>
  <c r="V844" i="1" s="1"/>
  <c r="Q845" i="1"/>
  <c r="V845" i="1" s="1"/>
  <c r="Q846" i="1"/>
  <c r="V846" i="1" s="1"/>
  <c r="Q847" i="1"/>
  <c r="V847" i="1" s="1"/>
  <c r="Q848" i="1"/>
  <c r="V848" i="1" s="1"/>
  <c r="Q849" i="1"/>
  <c r="V849" i="1" s="1"/>
  <c r="Q850" i="1"/>
  <c r="V850" i="1" s="1"/>
  <c r="Q851" i="1"/>
  <c r="V851" i="1" s="1"/>
  <c r="Q852" i="1"/>
  <c r="V852" i="1" s="1"/>
  <c r="Q853" i="1"/>
  <c r="V853" i="1" s="1"/>
  <c r="Q854" i="1"/>
  <c r="V854" i="1" s="1"/>
  <c r="Q855" i="1"/>
  <c r="V855" i="1" s="1"/>
  <c r="Q856" i="1"/>
  <c r="V856" i="1" s="1"/>
  <c r="Q857" i="1"/>
  <c r="V857" i="1" s="1"/>
  <c r="Q858" i="1"/>
  <c r="V858" i="1" s="1"/>
  <c r="Q859" i="1"/>
  <c r="V859" i="1" s="1"/>
  <c r="Q860" i="1"/>
  <c r="V860" i="1" s="1"/>
  <c r="Q862" i="1"/>
  <c r="V862" i="1" s="1"/>
  <c r="Q863" i="1"/>
  <c r="V863" i="1" s="1"/>
  <c r="Q864" i="1"/>
  <c r="V864" i="1" s="1"/>
  <c r="Q865" i="1"/>
  <c r="V865" i="1" s="1"/>
  <c r="Q866" i="1"/>
  <c r="V866" i="1" s="1"/>
  <c r="Q867" i="1"/>
  <c r="V867" i="1" s="1"/>
  <c r="Q869" i="1"/>
  <c r="V869" i="1" s="1"/>
  <c r="Q870" i="1"/>
  <c r="V870" i="1" s="1"/>
  <c r="Q871" i="1"/>
  <c r="V871" i="1" s="1"/>
  <c r="Q872" i="1"/>
  <c r="V872" i="1" s="1"/>
  <c r="Q873" i="1"/>
  <c r="V873" i="1" s="1"/>
  <c r="Q874" i="1"/>
  <c r="V874" i="1" s="1"/>
  <c r="Q875" i="1"/>
  <c r="V875" i="1" s="1"/>
  <c r="Q876" i="1"/>
  <c r="V876" i="1" s="1"/>
  <c r="Q877" i="1"/>
  <c r="V877" i="1" s="1"/>
  <c r="Q878" i="1"/>
  <c r="V878" i="1" s="1"/>
  <c r="Q879" i="1"/>
  <c r="V879" i="1" s="1"/>
  <c r="Q880" i="1"/>
  <c r="V880" i="1" s="1"/>
  <c r="Q881" i="1"/>
  <c r="V881" i="1" s="1"/>
  <c r="Q882" i="1"/>
  <c r="V882" i="1" s="1"/>
  <c r="Q883" i="1"/>
  <c r="V883" i="1" s="1"/>
  <c r="Q884" i="1"/>
  <c r="V884" i="1" s="1"/>
  <c r="Q885" i="1"/>
  <c r="V885" i="1" s="1"/>
  <c r="Q886" i="1"/>
  <c r="V886" i="1" s="1"/>
  <c r="Q887" i="1"/>
  <c r="V887" i="1" s="1"/>
  <c r="Q888" i="1"/>
  <c r="V888" i="1" s="1"/>
  <c r="Q889" i="1"/>
  <c r="V889" i="1" s="1"/>
  <c r="Q890" i="1"/>
  <c r="V890" i="1" s="1"/>
  <c r="Q891" i="1"/>
  <c r="V891" i="1" s="1"/>
  <c r="Q892" i="1"/>
  <c r="V892" i="1" s="1"/>
  <c r="Q893" i="1"/>
  <c r="V893" i="1" s="1"/>
  <c r="Q894" i="1"/>
  <c r="V894" i="1" s="1"/>
  <c r="Q895" i="1"/>
  <c r="V895" i="1" s="1"/>
  <c r="Q896" i="1"/>
  <c r="V896" i="1" s="1"/>
  <c r="Q897" i="1"/>
  <c r="V897" i="1" s="1"/>
  <c r="Q898" i="1"/>
  <c r="V898" i="1" s="1"/>
  <c r="Q899" i="1"/>
  <c r="V899" i="1" s="1"/>
  <c r="Q900" i="1"/>
  <c r="V900" i="1" s="1"/>
  <c r="Q901" i="1"/>
  <c r="V901" i="1" s="1"/>
  <c r="Q902" i="1"/>
  <c r="V902" i="1" s="1"/>
  <c r="Q903" i="1"/>
  <c r="V903" i="1" s="1"/>
  <c r="Q904" i="1"/>
  <c r="V904" i="1" s="1"/>
  <c r="Q905" i="1"/>
  <c r="V905" i="1" s="1"/>
  <c r="Q906" i="1"/>
  <c r="V906" i="1" s="1"/>
  <c r="Q907" i="1"/>
  <c r="V907" i="1" s="1"/>
  <c r="Q908" i="1"/>
  <c r="V908" i="1" s="1"/>
  <c r="Q909" i="1"/>
  <c r="V909" i="1" s="1"/>
  <c r="Q910" i="1"/>
  <c r="V910" i="1" s="1"/>
  <c r="Q911" i="1"/>
  <c r="V911" i="1" s="1"/>
  <c r="Q912" i="1"/>
  <c r="V912" i="1" s="1"/>
  <c r="Q913" i="1"/>
  <c r="V913" i="1" s="1"/>
  <c r="Q914" i="1"/>
  <c r="V914" i="1" s="1"/>
  <c r="Q915" i="1"/>
  <c r="V915" i="1" s="1"/>
  <c r="Q916" i="1"/>
  <c r="V916" i="1" s="1"/>
  <c r="Q917" i="1"/>
  <c r="V917" i="1" s="1"/>
  <c r="Q918" i="1"/>
  <c r="V918" i="1" s="1"/>
  <c r="Q920" i="1"/>
  <c r="V920" i="1" s="1"/>
  <c r="Q921" i="1"/>
  <c r="V921" i="1" s="1"/>
  <c r="Q922" i="1"/>
  <c r="V922" i="1" s="1"/>
  <c r="Q923" i="1"/>
  <c r="V923" i="1" s="1"/>
  <c r="Q924" i="1"/>
  <c r="V924" i="1" s="1"/>
  <c r="Q925" i="1"/>
  <c r="V925" i="1" s="1"/>
  <c r="Q926" i="1"/>
  <c r="V926" i="1" s="1"/>
  <c r="Q927" i="1"/>
  <c r="V927" i="1" s="1"/>
  <c r="Q928" i="1"/>
  <c r="V928" i="1" s="1"/>
  <c r="Q929" i="1"/>
  <c r="V929" i="1" s="1"/>
  <c r="Q930" i="1"/>
  <c r="V930" i="1" s="1"/>
  <c r="Q931" i="1"/>
  <c r="V931" i="1" s="1"/>
  <c r="Q932" i="1"/>
  <c r="V932" i="1" s="1"/>
  <c r="Q933" i="1"/>
  <c r="V933" i="1" s="1"/>
  <c r="Q934" i="1"/>
  <c r="V934" i="1" s="1"/>
  <c r="Q935" i="1"/>
  <c r="V935" i="1" s="1"/>
  <c r="Q936" i="1"/>
  <c r="V936" i="1" s="1"/>
  <c r="Q937" i="1"/>
  <c r="V937" i="1" s="1"/>
  <c r="Q938" i="1"/>
  <c r="V938" i="1" s="1"/>
  <c r="Q939" i="1"/>
  <c r="V939" i="1" s="1"/>
  <c r="Q940" i="1"/>
  <c r="V940" i="1" s="1"/>
  <c r="Q941" i="1"/>
  <c r="V941" i="1" s="1"/>
  <c r="Q942" i="1"/>
  <c r="V942" i="1" s="1"/>
  <c r="Q943" i="1"/>
  <c r="V943" i="1" s="1"/>
  <c r="Q944" i="1"/>
  <c r="V944" i="1" s="1"/>
  <c r="Q947" i="1"/>
  <c r="V947" i="1" s="1"/>
  <c r="Q948" i="1"/>
  <c r="V948" i="1" s="1"/>
  <c r="Q949" i="1"/>
  <c r="V949" i="1" s="1"/>
  <c r="Q950" i="1"/>
  <c r="V950" i="1" s="1"/>
  <c r="Q951" i="1"/>
  <c r="V951" i="1" s="1"/>
  <c r="Q952" i="1"/>
  <c r="V952" i="1" s="1"/>
  <c r="Q953" i="1"/>
  <c r="V953" i="1" s="1"/>
  <c r="Q954" i="1"/>
  <c r="V954" i="1" s="1"/>
  <c r="Q955" i="1"/>
  <c r="V955" i="1" s="1"/>
  <c r="Q956" i="1"/>
  <c r="V956" i="1" s="1"/>
  <c r="Q957" i="1"/>
  <c r="V957" i="1" s="1"/>
  <c r="Q958" i="1"/>
  <c r="V958" i="1" s="1"/>
  <c r="Q959" i="1"/>
  <c r="V959" i="1" s="1"/>
  <c r="Q960" i="1"/>
  <c r="V960" i="1" s="1"/>
  <c r="Q961" i="1"/>
  <c r="V961" i="1" s="1"/>
  <c r="Q962" i="1"/>
  <c r="V962" i="1" s="1"/>
  <c r="Q963" i="1"/>
  <c r="V963" i="1" s="1"/>
  <c r="Q964" i="1"/>
  <c r="V964" i="1" s="1"/>
  <c r="Q965" i="1"/>
  <c r="V965" i="1" s="1"/>
  <c r="Q966" i="1"/>
  <c r="V966" i="1" s="1"/>
  <c r="Q967" i="1"/>
  <c r="V967" i="1" s="1"/>
  <c r="Q968" i="1"/>
  <c r="V968" i="1" s="1"/>
  <c r="Q971" i="1"/>
  <c r="V971" i="1" s="1"/>
  <c r="Q972" i="1"/>
  <c r="V972" i="1" s="1"/>
  <c r="Q973" i="1"/>
  <c r="V973" i="1" s="1"/>
  <c r="Q974" i="1"/>
  <c r="V974" i="1" s="1"/>
  <c r="Q975" i="1"/>
  <c r="V975" i="1" s="1"/>
  <c r="Q976" i="1"/>
  <c r="V976" i="1" s="1"/>
  <c r="Q977" i="1"/>
  <c r="V977" i="1" s="1"/>
  <c r="Q978" i="1"/>
  <c r="V978" i="1" s="1"/>
  <c r="Q979" i="1"/>
  <c r="V979" i="1" s="1"/>
  <c r="Q980" i="1"/>
  <c r="V980" i="1" s="1"/>
  <c r="Q981" i="1"/>
  <c r="V981" i="1" s="1"/>
  <c r="Q982" i="1"/>
  <c r="V982" i="1" s="1"/>
  <c r="Q983" i="1"/>
  <c r="V983" i="1" s="1"/>
  <c r="Q984" i="1"/>
  <c r="V984" i="1" s="1"/>
  <c r="Q985" i="1"/>
  <c r="V985" i="1" s="1"/>
  <c r="Q986" i="1"/>
  <c r="V986" i="1" s="1"/>
  <c r="Q987" i="1"/>
  <c r="V987" i="1" s="1"/>
  <c r="Q990" i="1"/>
  <c r="V990" i="1" s="1"/>
  <c r="Q991" i="1"/>
  <c r="V991" i="1" s="1"/>
  <c r="Q992" i="1"/>
  <c r="V992" i="1" s="1"/>
  <c r="Q993" i="1"/>
  <c r="V993" i="1" s="1"/>
  <c r="Q994" i="1"/>
  <c r="V994" i="1" s="1"/>
  <c r="Q995" i="1"/>
  <c r="V995" i="1" s="1"/>
  <c r="Q996" i="1"/>
  <c r="V996" i="1" s="1"/>
  <c r="Q997" i="1"/>
  <c r="V997" i="1" s="1"/>
  <c r="Q998" i="1"/>
  <c r="V998" i="1" s="1"/>
  <c r="Q999" i="1"/>
  <c r="V999" i="1" s="1"/>
  <c r="Q1000" i="1"/>
  <c r="V1000" i="1" s="1"/>
  <c r="Q1001" i="1"/>
  <c r="V1001" i="1" s="1"/>
  <c r="Q1002" i="1"/>
  <c r="V1002" i="1" s="1"/>
  <c r="Q1003" i="1"/>
  <c r="V1003" i="1" s="1"/>
  <c r="Q1004" i="1"/>
  <c r="V1004" i="1" s="1"/>
  <c r="Q1005" i="1"/>
  <c r="V1005" i="1" s="1"/>
  <c r="Q1006" i="1"/>
  <c r="V1006" i="1" s="1"/>
  <c r="Q1007" i="1"/>
  <c r="V1007" i="1" s="1"/>
  <c r="Q1010" i="1"/>
  <c r="V1010" i="1" s="1"/>
  <c r="Q1011" i="1"/>
  <c r="V1011" i="1" s="1"/>
  <c r="Q1012" i="1"/>
  <c r="V1012" i="1" s="1"/>
  <c r="Q1013" i="1"/>
  <c r="V1013" i="1" s="1"/>
  <c r="Q1014" i="1"/>
  <c r="V1014" i="1" s="1"/>
  <c r="Q1015" i="1"/>
  <c r="V1015" i="1" s="1"/>
  <c r="Q1016" i="1"/>
  <c r="V1016" i="1" s="1"/>
  <c r="Q1017" i="1"/>
  <c r="V1017" i="1" s="1"/>
  <c r="Q1018" i="1"/>
  <c r="V1018" i="1" s="1"/>
  <c r="Q1019" i="1"/>
  <c r="V1019" i="1" s="1"/>
  <c r="Q1022" i="1"/>
  <c r="V1022" i="1" s="1"/>
  <c r="Q1023" i="1"/>
  <c r="V1023" i="1" s="1"/>
  <c r="Q1024" i="1"/>
  <c r="V1024" i="1" s="1"/>
  <c r="Q1025" i="1"/>
  <c r="V1025" i="1" s="1"/>
  <c r="Q1026" i="1"/>
  <c r="V1026" i="1" s="1"/>
  <c r="Q1027" i="1"/>
  <c r="V1027" i="1" s="1"/>
  <c r="Q1028" i="1"/>
  <c r="V1028" i="1" s="1"/>
  <c r="Q1029" i="1"/>
  <c r="V1029" i="1" s="1"/>
  <c r="Q1030" i="1"/>
  <c r="V1030" i="1" s="1"/>
  <c r="Q1031" i="1"/>
  <c r="V1031" i="1" s="1"/>
  <c r="Q1032" i="1"/>
  <c r="V1032" i="1" s="1"/>
  <c r="Q1033" i="1"/>
  <c r="V1033" i="1" s="1"/>
  <c r="Q1035" i="1"/>
  <c r="V1035" i="1" s="1"/>
  <c r="Q1036" i="1"/>
  <c r="V1036" i="1" s="1"/>
  <c r="Q1037" i="1"/>
  <c r="V1037" i="1" s="1"/>
  <c r="Q1038" i="1"/>
  <c r="V1038" i="1" s="1"/>
  <c r="Q1039" i="1"/>
  <c r="V1039" i="1" s="1"/>
  <c r="Q1040" i="1"/>
  <c r="V1040" i="1" s="1"/>
  <c r="Q1041" i="1"/>
  <c r="V1041" i="1" s="1"/>
  <c r="Q1042" i="1"/>
  <c r="V1042" i="1" s="1"/>
  <c r="Q1043" i="1"/>
  <c r="V1043" i="1" s="1"/>
  <c r="Q1044" i="1"/>
  <c r="V1044" i="1" s="1"/>
  <c r="Q1045" i="1"/>
  <c r="V1045" i="1" s="1"/>
  <c r="Q1046" i="1"/>
  <c r="V1046" i="1" s="1"/>
  <c r="Q1047" i="1"/>
  <c r="V1047" i="1" s="1"/>
  <c r="Q1048" i="1"/>
  <c r="V1048" i="1" s="1"/>
  <c r="Q1050" i="1"/>
  <c r="V1050" i="1" s="1"/>
  <c r="Q1052" i="1"/>
  <c r="V1052" i="1" s="1"/>
  <c r="Q1053" i="1"/>
  <c r="V1053" i="1" s="1"/>
  <c r="Q1054" i="1"/>
  <c r="V1054" i="1" s="1"/>
  <c r="Q1055" i="1"/>
  <c r="V1055" i="1" s="1"/>
  <c r="Q1056" i="1"/>
  <c r="V1056" i="1" s="1"/>
  <c r="Q1057" i="1"/>
  <c r="V1057" i="1" s="1"/>
  <c r="Q1058" i="1"/>
  <c r="V1058" i="1" s="1"/>
  <c r="Q1059" i="1"/>
  <c r="V1059" i="1" s="1"/>
  <c r="Q1060" i="1"/>
  <c r="V1060" i="1" s="1"/>
  <c r="Q1061" i="1"/>
  <c r="V1061" i="1" s="1"/>
  <c r="Q1062" i="1"/>
  <c r="V1062" i="1" s="1"/>
  <c r="Q1063" i="1"/>
  <c r="V1063" i="1" s="1"/>
  <c r="Q1064" i="1"/>
  <c r="V1064" i="1" s="1"/>
  <c r="Q1065" i="1"/>
  <c r="V1065" i="1" s="1"/>
  <c r="Q1066" i="1"/>
  <c r="V1066" i="1" s="1"/>
  <c r="Q1067" i="1"/>
  <c r="V1067" i="1" s="1"/>
  <c r="Q1069" i="1"/>
  <c r="V1069" i="1" s="1"/>
  <c r="Q1070" i="1"/>
  <c r="V1070" i="1" s="1"/>
  <c r="Q1071" i="1"/>
  <c r="V1071" i="1" s="1"/>
  <c r="Q1073" i="1"/>
  <c r="V1073" i="1" s="1"/>
  <c r="Q1074" i="1"/>
  <c r="V1074" i="1" s="1"/>
  <c r="Q1075" i="1"/>
  <c r="V1075" i="1" s="1"/>
  <c r="Q1076" i="1"/>
  <c r="V1076" i="1" s="1"/>
  <c r="Q1077" i="1"/>
  <c r="V1077" i="1" s="1"/>
  <c r="Q1078" i="1"/>
  <c r="V1078" i="1" s="1"/>
  <c r="Q1079" i="1"/>
  <c r="V1079" i="1" s="1"/>
  <c r="Q1080" i="1"/>
  <c r="V1080" i="1" s="1"/>
  <c r="Q1081" i="1"/>
  <c r="V1081" i="1" s="1"/>
  <c r="Q1082" i="1"/>
  <c r="V1082" i="1" s="1"/>
  <c r="Q1083" i="1"/>
  <c r="V1083" i="1" s="1"/>
  <c r="Q1084" i="1"/>
  <c r="V1084" i="1" s="1"/>
  <c r="Q1085" i="1"/>
  <c r="V1085" i="1" s="1"/>
  <c r="Q1086" i="1"/>
  <c r="V1086" i="1" s="1"/>
  <c r="Q1087" i="1"/>
  <c r="V1087" i="1" s="1"/>
  <c r="Q1088" i="1"/>
  <c r="V1088" i="1" s="1"/>
  <c r="Q1089" i="1"/>
  <c r="V1089" i="1" s="1"/>
  <c r="Q1090" i="1"/>
  <c r="V1090" i="1" s="1"/>
  <c r="Q1091" i="1"/>
  <c r="V1091" i="1" s="1"/>
  <c r="Q1092" i="1"/>
  <c r="V1092" i="1" s="1"/>
  <c r="Q1093" i="1"/>
  <c r="V1093" i="1" s="1"/>
  <c r="Q1094" i="1"/>
  <c r="V1094" i="1" s="1"/>
  <c r="Q1095" i="1"/>
  <c r="V1095" i="1" s="1"/>
  <c r="Q1097" i="1"/>
  <c r="V1097" i="1" s="1"/>
  <c r="Q1098" i="1"/>
  <c r="V1098" i="1" s="1"/>
  <c r="Q1099" i="1"/>
  <c r="V1099" i="1" s="1"/>
  <c r="Q1100" i="1"/>
  <c r="V1100" i="1" s="1"/>
  <c r="Q1101" i="1"/>
  <c r="V1101" i="1" s="1"/>
  <c r="Q1102" i="1"/>
  <c r="V1102" i="1" s="1"/>
  <c r="Q1103" i="1"/>
  <c r="V1103" i="1" s="1"/>
  <c r="Q1104" i="1"/>
  <c r="V1104" i="1" s="1"/>
  <c r="Q1105" i="1"/>
  <c r="V1105" i="1" s="1"/>
  <c r="Q1106" i="1"/>
  <c r="V1106" i="1" s="1"/>
  <c r="Q1107" i="1"/>
  <c r="V1107" i="1" s="1"/>
  <c r="Q1108" i="1"/>
  <c r="V1108" i="1" s="1"/>
  <c r="Q1109" i="1"/>
  <c r="V1109" i="1" s="1"/>
  <c r="Q1110" i="1"/>
  <c r="V1110" i="1" s="1"/>
  <c r="Q1111" i="1"/>
  <c r="V1111" i="1" s="1"/>
  <c r="Q1112" i="1"/>
  <c r="V1112" i="1" s="1"/>
  <c r="Q1113" i="1"/>
  <c r="V1113" i="1" s="1"/>
  <c r="Q1114" i="1"/>
  <c r="V1114" i="1" s="1"/>
  <c r="Q1115" i="1"/>
  <c r="V1115" i="1" s="1"/>
  <c r="Q1116" i="1"/>
  <c r="V1116" i="1" s="1"/>
  <c r="Q1117" i="1"/>
  <c r="V1117" i="1" s="1"/>
  <c r="Q1118" i="1"/>
  <c r="V1118" i="1" s="1"/>
  <c r="Q1119" i="1"/>
  <c r="V1119" i="1" s="1"/>
  <c r="Q1120" i="1"/>
  <c r="V1120" i="1" s="1"/>
  <c r="Q1121" i="1"/>
  <c r="V1121" i="1" s="1"/>
  <c r="Q1122" i="1"/>
  <c r="V1122" i="1" s="1"/>
  <c r="Q1123" i="1"/>
  <c r="V1123" i="1" s="1"/>
  <c r="Q1124" i="1"/>
  <c r="V1124" i="1" s="1"/>
  <c r="Q1125" i="1"/>
  <c r="V1125" i="1" s="1"/>
  <c r="Q1128" i="1"/>
  <c r="V1128" i="1" s="1"/>
  <c r="Q1129" i="1"/>
  <c r="V1129" i="1" s="1"/>
  <c r="Q1130" i="1"/>
  <c r="V1130" i="1" s="1"/>
  <c r="Q1131" i="1"/>
  <c r="V1131" i="1" s="1"/>
  <c r="Q1132" i="1"/>
  <c r="V1132" i="1" s="1"/>
  <c r="Q1133" i="1"/>
  <c r="V1133" i="1" s="1"/>
  <c r="Q1134" i="1"/>
  <c r="V1134" i="1" s="1"/>
  <c r="Q1135" i="1"/>
  <c r="V1135" i="1" s="1"/>
  <c r="Q1136" i="1"/>
  <c r="V1136" i="1" s="1"/>
  <c r="Q1137" i="1"/>
  <c r="V1137" i="1" s="1"/>
  <c r="Q1138" i="1"/>
  <c r="V1138" i="1" s="1"/>
  <c r="Q1139" i="1"/>
  <c r="V1139" i="1" s="1"/>
  <c r="Q1140" i="1"/>
  <c r="V1140" i="1" s="1"/>
  <c r="Q1141" i="1"/>
  <c r="V1141" i="1" s="1"/>
  <c r="Q1142" i="1"/>
  <c r="V1142" i="1" s="1"/>
  <c r="Q1143" i="1"/>
  <c r="V1143" i="1" s="1"/>
  <c r="Q1144" i="1"/>
  <c r="V1144" i="1" s="1"/>
  <c r="Q1145" i="1"/>
  <c r="V1145" i="1" s="1"/>
  <c r="Q1146" i="1"/>
  <c r="V1146" i="1" s="1"/>
  <c r="Q1147" i="1"/>
  <c r="V1147" i="1" s="1"/>
  <c r="Q1148" i="1"/>
  <c r="V1148" i="1" s="1"/>
  <c r="Q1149" i="1"/>
  <c r="V1149" i="1" s="1"/>
  <c r="Q1150" i="1"/>
  <c r="V1150" i="1" s="1"/>
  <c r="Q1151" i="1"/>
  <c r="V1151" i="1" s="1"/>
  <c r="Q1152" i="1"/>
  <c r="V1152" i="1" s="1"/>
  <c r="Q1153" i="1"/>
  <c r="V1153" i="1" s="1"/>
  <c r="Q1154" i="1"/>
  <c r="V1154" i="1" s="1"/>
  <c r="Q1155" i="1"/>
  <c r="V1155" i="1" s="1"/>
  <c r="Q1156" i="1"/>
  <c r="V1156" i="1" s="1"/>
  <c r="Q1157" i="1"/>
  <c r="V1157" i="1" s="1"/>
  <c r="Q1158" i="1"/>
  <c r="V1158" i="1" s="1"/>
  <c r="Q1159" i="1"/>
  <c r="V1159" i="1" s="1"/>
  <c r="Q1160" i="1"/>
  <c r="V1160" i="1" s="1"/>
  <c r="Q1161" i="1"/>
  <c r="V1161" i="1" s="1"/>
  <c r="Q1162" i="1"/>
  <c r="V1162" i="1" s="1"/>
  <c r="Q1163" i="1"/>
  <c r="V1163" i="1" s="1"/>
  <c r="Q1164" i="1"/>
  <c r="V1164" i="1" s="1"/>
  <c r="Q1165" i="1"/>
  <c r="V1165" i="1" s="1"/>
  <c r="Q1166" i="1"/>
  <c r="V1166" i="1" s="1"/>
  <c r="Q1167" i="1"/>
  <c r="V1167" i="1" s="1"/>
  <c r="Q1168" i="1"/>
  <c r="V1168" i="1" s="1"/>
  <c r="Q1169" i="1"/>
  <c r="V1169" i="1" s="1"/>
  <c r="Q1170" i="1"/>
  <c r="V1170" i="1" s="1"/>
  <c r="Q1171" i="1"/>
  <c r="V1171" i="1" s="1"/>
  <c r="Q1172" i="1"/>
  <c r="V1172" i="1" s="1"/>
  <c r="Q1173" i="1"/>
  <c r="V1173" i="1" s="1"/>
  <c r="Q1174" i="1"/>
  <c r="V1174" i="1" s="1"/>
  <c r="Q1175" i="1"/>
  <c r="V1175" i="1" s="1"/>
  <c r="Q1176" i="1"/>
  <c r="V1176" i="1" s="1"/>
  <c r="Q1177" i="1"/>
  <c r="V1177" i="1" s="1"/>
  <c r="Q1178" i="1"/>
  <c r="V1178" i="1" s="1"/>
  <c r="Q1179" i="1"/>
  <c r="V1179" i="1" s="1"/>
  <c r="Q1180" i="1"/>
  <c r="V1180" i="1" s="1"/>
  <c r="Q1181" i="1"/>
  <c r="V1181" i="1" s="1"/>
  <c r="Q1182" i="1"/>
  <c r="V1182" i="1" s="1"/>
  <c r="Q1183" i="1"/>
  <c r="V1183" i="1" s="1"/>
  <c r="Q1184" i="1"/>
  <c r="V1184" i="1" s="1"/>
  <c r="Q1185" i="1"/>
  <c r="V1185" i="1" s="1"/>
  <c r="Q1186" i="1"/>
  <c r="V1186" i="1" s="1"/>
  <c r="Q1187" i="1"/>
  <c r="V1187" i="1" s="1"/>
  <c r="Q1188" i="1"/>
  <c r="V1188" i="1" s="1"/>
  <c r="Q1189" i="1"/>
  <c r="V1189" i="1" s="1"/>
  <c r="Q1190" i="1"/>
  <c r="V1190" i="1" s="1"/>
  <c r="Q1191" i="1"/>
  <c r="V1191" i="1" s="1"/>
  <c r="Q1192" i="1"/>
  <c r="V1192" i="1" s="1"/>
  <c r="Q1193" i="1"/>
  <c r="V1193" i="1" s="1"/>
  <c r="Q1194" i="1"/>
  <c r="V1194" i="1" s="1"/>
  <c r="Q1195" i="1"/>
  <c r="V1195" i="1" s="1"/>
  <c r="Q1196" i="1"/>
  <c r="V1196" i="1" s="1"/>
  <c r="Q1197" i="1"/>
  <c r="V1197" i="1" s="1"/>
  <c r="Q1198" i="1"/>
  <c r="V1198" i="1" s="1"/>
  <c r="Q1199" i="1"/>
  <c r="V1199" i="1" s="1"/>
  <c r="Q1200" i="1"/>
  <c r="V1200" i="1" s="1"/>
  <c r="Q1201" i="1"/>
  <c r="V1201" i="1" s="1"/>
  <c r="Q1202" i="1"/>
  <c r="V1202" i="1" s="1"/>
  <c r="Q1203" i="1"/>
  <c r="V1203" i="1" s="1"/>
  <c r="Q1204" i="1"/>
  <c r="V1204" i="1" s="1"/>
  <c r="Q1205" i="1"/>
  <c r="V1205" i="1" s="1"/>
  <c r="Q1206" i="1"/>
  <c r="V1206" i="1" s="1"/>
  <c r="Q1207" i="1"/>
  <c r="V1207" i="1" s="1"/>
  <c r="Q1208" i="1"/>
  <c r="V1208" i="1" s="1"/>
  <c r="Q1209" i="1"/>
  <c r="V1209" i="1" s="1"/>
  <c r="Q1210" i="1"/>
  <c r="V1210" i="1" s="1"/>
  <c r="Q1211" i="1"/>
  <c r="V1211" i="1" s="1"/>
  <c r="Q1212" i="1"/>
  <c r="V1212" i="1" s="1"/>
  <c r="Q1213" i="1"/>
  <c r="V1213" i="1" s="1"/>
  <c r="Q1214" i="1"/>
  <c r="V1214" i="1" s="1"/>
  <c r="Q1215" i="1"/>
  <c r="V1215" i="1" s="1"/>
  <c r="Q1216" i="1"/>
  <c r="V1216" i="1" s="1"/>
  <c r="Q1217" i="1"/>
  <c r="V1217" i="1" s="1"/>
  <c r="Q1218" i="1"/>
  <c r="V1218" i="1" s="1"/>
  <c r="Q1219" i="1"/>
  <c r="V1219" i="1" s="1"/>
  <c r="Q1220" i="1"/>
  <c r="V1220" i="1" s="1"/>
  <c r="Q1221" i="1"/>
  <c r="V1221" i="1" s="1"/>
  <c r="Q1222" i="1"/>
  <c r="V1222" i="1" s="1"/>
  <c r="Q1223" i="1"/>
  <c r="V1223" i="1" s="1"/>
  <c r="Q1224" i="1"/>
  <c r="V1224" i="1" s="1"/>
  <c r="Q1225" i="1"/>
  <c r="V1225" i="1" s="1"/>
  <c r="Q1227" i="1"/>
  <c r="V1227" i="1" s="1"/>
  <c r="Q1228" i="1"/>
  <c r="V1228" i="1" s="1"/>
  <c r="Q1229" i="1"/>
  <c r="V1229" i="1" s="1"/>
  <c r="Q1230" i="1"/>
  <c r="V1230" i="1" s="1"/>
  <c r="Q1231" i="1"/>
  <c r="V1231" i="1" s="1"/>
  <c r="Q1232" i="1"/>
  <c r="V1232" i="1" s="1"/>
  <c r="Q1233" i="1"/>
  <c r="V1233" i="1" s="1"/>
  <c r="Q1234" i="1"/>
  <c r="V1234" i="1" s="1"/>
  <c r="Q1235" i="1"/>
  <c r="V1235" i="1" s="1"/>
  <c r="Q1236" i="1"/>
  <c r="V1236" i="1" s="1"/>
  <c r="Q1237" i="1"/>
  <c r="V1237" i="1" s="1"/>
  <c r="Q1238" i="1"/>
  <c r="V1238" i="1" s="1"/>
  <c r="Q1239" i="1"/>
  <c r="V1239" i="1" s="1"/>
  <c r="Q1240" i="1"/>
  <c r="V1240" i="1" s="1"/>
  <c r="Q1241" i="1"/>
  <c r="V1241" i="1" s="1"/>
  <c r="Q1242" i="1"/>
  <c r="V1242" i="1" s="1"/>
  <c r="Q1243" i="1"/>
  <c r="V1243" i="1" s="1"/>
  <c r="Q1244" i="1"/>
  <c r="V1244" i="1" s="1"/>
  <c r="Q1245" i="1"/>
  <c r="V1245" i="1" s="1"/>
  <c r="Q1246" i="1"/>
  <c r="V1246" i="1" s="1"/>
  <c r="Q1247" i="1"/>
  <c r="V1247" i="1" s="1"/>
  <c r="Q1248" i="1"/>
  <c r="V1248" i="1" s="1"/>
  <c r="Q1249" i="1"/>
  <c r="V1249" i="1" s="1"/>
  <c r="Q1250" i="1"/>
  <c r="V1250" i="1" s="1"/>
  <c r="Q1251" i="1"/>
  <c r="V1251" i="1" s="1"/>
  <c r="Q1252" i="1"/>
  <c r="V1252" i="1" s="1"/>
  <c r="Q1253" i="1"/>
  <c r="V1253" i="1" s="1"/>
  <c r="Q1254" i="1"/>
  <c r="V1254" i="1" s="1"/>
  <c r="Q1255" i="1"/>
  <c r="V1255" i="1" s="1"/>
  <c r="Q1257" i="1"/>
  <c r="V1257" i="1" s="1"/>
  <c r="Q1258" i="1"/>
  <c r="V1258" i="1" s="1"/>
  <c r="Q1259" i="1"/>
  <c r="V1259" i="1" s="1"/>
  <c r="Q1260" i="1"/>
  <c r="V1260" i="1" s="1"/>
  <c r="Q1261" i="1"/>
  <c r="V1261" i="1" s="1"/>
  <c r="Q1262" i="1"/>
  <c r="V1262" i="1" s="1"/>
  <c r="Q1263" i="1"/>
  <c r="V1263" i="1" s="1"/>
  <c r="Q1264" i="1"/>
  <c r="V1264" i="1" s="1"/>
  <c r="Q1265" i="1"/>
  <c r="V1265" i="1" s="1"/>
  <c r="Q1266" i="1"/>
  <c r="V1266" i="1" s="1"/>
  <c r="Q1267" i="1"/>
  <c r="V1267" i="1" s="1"/>
  <c r="Q1268" i="1"/>
  <c r="V1268" i="1" s="1"/>
  <c r="Q1269" i="1"/>
  <c r="V1269" i="1" s="1"/>
  <c r="Q1270" i="1"/>
  <c r="V1270" i="1" s="1"/>
  <c r="Q1271" i="1"/>
  <c r="V1271" i="1" s="1"/>
  <c r="Q1272" i="1"/>
  <c r="V1272" i="1" s="1"/>
  <c r="Q1273" i="1"/>
  <c r="V1273" i="1" s="1"/>
  <c r="Q1274" i="1"/>
  <c r="V1274" i="1" s="1"/>
  <c r="Q1275" i="1"/>
  <c r="V1275" i="1" s="1"/>
  <c r="Q1276" i="1"/>
  <c r="V1276" i="1" s="1"/>
  <c r="Q1277" i="1"/>
  <c r="V1277" i="1" s="1"/>
  <c r="Q1278" i="1"/>
  <c r="V1278" i="1" s="1"/>
  <c r="Q1279" i="1"/>
  <c r="V1279" i="1" s="1"/>
  <c r="Q1280" i="1"/>
  <c r="V1280" i="1" s="1"/>
  <c r="Q1281" i="1"/>
  <c r="V1281" i="1" s="1"/>
  <c r="Q1282" i="1"/>
  <c r="V1282" i="1" s="1"/>
  <c r="Q1283" i="1"/>
  <c r="V1283" i="1" s="1"/>
  <c r="Q1284" i="1"/>
  <c r="V1284" i="1" s="1"/>
  <c r="Q1285" i="1"/>
  <c r="V1285" i="1" s="1"/>
  <c r="Q1286" i="1"/>
  <c r="V1286" i="1" s="1"/>
  <c r="Q1287" i="1"/>
  <c r="V1287" i="1" s="1"/>
  <c r="Q1288" i="1"/>
  <c r="V1288" i="1" s="1"/>
  <c r="Q1289" i="1"/>
  <c r="V1289" i="1" s="1"/>
  <c r="Q1290" i="1"/>
  <c r="V1290" i="1" s="1"/>
  <c r="Q1291" i="1"/>
  <c r="V1291" i="1" s="1"/>
  <c r="Q1292" i="1"/>
  <c r="V1292" i="1" s="1"/>
  <c r="Q1293" i="1"/>
  <c r="V1293" i="1" s="1"/>
  <c r="Q1294" i="1"/>
  <c r="V1294" i="1" s="1"/>
  <c r="Q1295" i="1"/>
  <c r="V1295" i="1" s="1"/>
  <c r="Q1296" i="1"/>
  <c r="V1296" i="1" s="1"/>
  <c r="Q1297" i="1"/>
  <c r="V1297" i="1" s="1"/>
  <c r="Q1298" i="1"/>
  <c r="V1298" i="1" s="1"/>
  <c r="Q1299" i="1"/>
  <c r="V1299" i="1" s="1"/>
  <c r="Q1300" i="1"/>
  <c r="V1300" i="1" s="1"/>
  <c r="Q1301" i="1"/>
  <c r="V1301" i="1" s="1"/>
  <c r="Q1302" i="1"/>
  <c r="V1302" i="1" s="1"/>
  <c r="Q1303" i="1"/>
  <c r="V1303" i="1" s="1"/>
  <c r="Q1304" i="1"/>
  <c r="V1304" i="1" s="1"/>
  <c r="Q1305" i="1"/>
  <c r="V1305" i="1" s="1"/>
  <c r="Q1306" i="1"/>
  <c r="V1306" i="1" s="1"/>
  <c r="Q1307" i="1"/>
  <c r="V1307" i="1" s="1"/>
  <c r="Q1308" i="1"/>
  <c r="V1308" i="1" s="1"/>
  <c r="Q1309" i="1"/>
  <c r="V1309" i="1" s="1"/>
  <c r="Q1310" i="1"/>
  <c r="V1310" i="1" s="1"/>
  <c r="Q1311" i="1"/>
  <c r="V1311" i="1" s="1"/>
  <c r="Q1312" i="1"/>
  <c r="V1312" i="1" s="1"/>
  <c r="Q1313" i="1"/>
  <c r="V1313" i="1" s="1"/>
  <c r="Q1314" i="1"/>
  <c r="V1314" i="1" s="1"/>
  <c r="Q1315" i="1"/>
  <c r="V1315" i="1" s="1"/>
  <c r="Q1316" i="1"/>
  <c r="V1316" i="1" s="1"/>
  <c r="Q1317" i="1"/>
  <c r="V1317" i="1" s="1"/>
  <c r="Q1318" i="1"/>
  <c r="V1318" i="1" s="1"/>
  <c r="Q1319" i="1"/>
  <c r="V1319" i="1" s="1"/>
  <c r="Q1320" i="1"/>
  <c r="V1320" i="1" s="1"/>
  <c r="Q1321" i="1"/>
  <c r="V1321" i="1" s="1"/>
  <c r="Q1322" i="1"/>
  <c r="V1322" i="1" s="1"/>
  <c r="Q1323" i="1"/>
  <c r="V1323" i="1" s="1"/>
  <c r="Q1324" i="1"/>
  <c r="V1324" i="1" s="1"/>
  <c r="Q1327" i="1"/>
  <c r="V1327" i="1" s="1"/>
  <c r="Q1328" i="1"/>
  <c r="V1328" i="1" s="1"/>
  <c r="Q1329" i="1"/>
  <c r="V1329" i="1" s="1"/>
  <c r="Q1330" i="1"/>
  <c r="V1330" i="1" s="1"/>
  <c r="Q1331" i="1"/>
  <c r="V1331" i="1" s="1"/>
  <c r="Q1332" i="1"/>
  <c r="V1332" i="1" s="1"/>
  <c r="Q1333" i="1"/>
  <c r="V1333" i="1" s="1"/>
  <c r="Q1334" i="1"/>
  <c r="V1334" i="1" s="1"/>
  <c r="Q1335" i="1"/>
  <c r="V1335" i="1" s="1"/>
  <c r="Q1336" i="1"/>
  <c r="V1336" i="1" s="1"/>
  <c r="Q1339" i="1"/>
  <c r="V1339" i="1" s="1"/>
  <c r="Q1340" i="1"/>
  <c r="V1340" i="1" s="1"/>
  <c r="Q1341" i="1"/>
  <c r="V1341" i="1" s="1"/>
  <c r="Q1342" i="1"/>
  <c r="V1342" i="1" s="1"/>
  <c r="Q1343" i="1"/>
  <c r="V1343" i="1" s="1"/>
  <c r="Q1344" i="1"/>
  <c r="V1344" i="1" s="1"/>
  <c r="Q1345" i="1"/>
  <c r="V1345" i="1" s="1"/>
  <c r="Q1346" i="1"/>
  <c r="V1346" i="1" s="1"/>
  <c r="Q1347" i="1"/>
  <c r="V1347" i="1" s="1"/>
  <c r="Q1348" i="1"/>
  <c r="V1348" i="1" s="1"/>
  <c r="Q1349" i="1"/>
  <c r="V1349" i="1" s="1"/>
  <c r="Q1350" i="1"/>
  <c r="V1350" i="1" s="1"/>
  <c r="Q1351" i="1"/>
  <c r="V1351" i="1" s="1"/>
  <c r="Q1352" i="1"/>
  <c r="V1352" i="1" s="1"/>
  <c r="Q1353" i="1"/>
  <c r="V1353" i="1" s="1"/>
  <c r="Q1354" i="1"/>
  <c r="V1354" i="1" s="1"/>
  <c r="Q1355" i="1"/>
  <c r="V1355" i="1" s="1"/>
  <c r="Q1356" i="1"/>
  <c r="V1356" i="1" s="1"/>
  <c r="Q1357" i="1"/>
  <c r="V1357" i="1" s="1"/>
  <c r="Q1358" i="1"/>
  <c r="V1358" i="1" s="1"/>
  <c r="Q1359" i="1"/>
  <c r="V1359" i="1" s="1"/>
  <c r="Q1360" i="1"/>
  <c r="V1360" i="1" s="1"/>
  <c r="Q1361" i="1"/>
  <c r="V1361" i="1" s="1"/>
  <c r="Q1362" i="1"/>
  <c r="V1362" i="1" s="1"/>
  <c r="Q1363" i="1"/>
  <c r="V1363" i="1" s="1"/>
  <c r="Q1364" i="1"/>
  <c r="V1364" i="1" s="1"/>
  <c r="Q1365" i="1"/>
  <c r="V1365" i="1" s="1"/>
  <c r="Q1367" i="1"/>
  <c r="V1367" i="1" s="1"/>
  <c r="Q1368" i="1"/>
  <c r="V1368" i="1" s="1"/>
  <c r="Q1370" i="1"/>
  <c r="V1370" i="1" s="1"/>
  <c r="Q1371" i="1"/>
  <c r="V1371" i="1" s="1"/>
  <c r="Q1372" i="1"/>
  <c r="V1372" i="1" s="1"/>
  <c r="Q1373" i="1"/>
  <c r="V1373" i="1" s="1"/>
  <c r="Q1374" i="1"/>
  <c r="V1374" i="1" s="1"/>
  <c r="Q1375" i="1"/>
  <c r="V1375" i="1" s="1"/>
  <c r="Q1376" i="1"/>
  <c r="V1376" i="1" s="1"/>
  <c r="Q1377" i="1"/>
  <c r="V1377" i="1" s="1"/>
  <c r="Q1378" i="1"/>
  <c r="V1378" i="1" s="1"/>
  <c r="Q1379" i="1"/>
  <c r="V1379" i="1" s="1"/>
  <c r="Q1380" i="1"/>
  <c r="V1380" i="1" s="1"/>
  <c r="Q1382" i="1"/>
  <c r="V1382" i="1" s="1"/>
  <c r="Q1383" i="1"/>
  <c r="V1383" i="1" s="1"/>
  <c r="Q1384" i="1"/>
  <c r="V1384" i="1" s="1"/>
  <c r="Q1385" i="1"/>
  <c r="V1385" i="1" s="1"/>
  <c r="Q1386" i="1"/>
  <c r="V1386" i="1" s="1"/>
  <c r="Q1387" i="1"/>
  <c r="V1387" i="1" s="1"/>
  <c r="Q1388" i="1"/>
  <c r="V1388" i="1" s="1"/>
  <c r="Q1389" i="1"/>
  <c r="V1389" i="1" s="1"/>
  <c r="Q1390" i="1"/>
  <c r="V1390" i="1" s="1"/>
  <c r="Q1391" i="1"/>
  <c r="V1391" i="1" s="1"/>
  <c r="Q1392" i="1"/>
  <c r="V1392" i="1" s="1"/>
  <c r="Q1393" i="1"/>
  <c r="V1393" i="1" s="1"/>
  <c r="Q1394" i="1"/>
  <c r="V1394" i="1" s="1"/>
  <c r="Q1395" i="1"/>
  <c r="V1395" i="1" s="1"/>
  <c r="Q1396" i="1"/>
  <c r="V1396" i="1" s="1"/>
  <c r="Q1397" i="1"/>
  <c r="V1397" i="1" s="1"/>
  <c r="Q1398" i="1"/>
  <c r="V1398" i="1" s="1"/>
  <c r="Q1399" i="1"/>
  <c r="V1399" i="1" s="1"/>
  <c r="Q1400" i="1"/>
  <c r="V1400" i="1" s="1"/>
  <c r="Q1401" i="1"/>
  <c r="V1401" i="1" s="1"/>
  <c r="Q1402" i="1"/>
  <c r="V1402" i="1" s="1"/>
  <c r="Q1403" i="1"/>
  <c r="V1403" i="1" s="1"/>
  <c r="Q1404" i="1"/>
  <c r="V1404" i="1" s="1"/>
  <c r="Q1405" i="1"/>
  <c r="V1405" i="1" s="1"/>
  <c r="Q1406" i="1"/>
  <c r="V1406" i="1" s="1"/>
  <c r="Q1407" i="1"/>
  <c r="V1407" i="1" s="1"/>
  <c r="Q1408" i="1"/>
  <c r="V1408" i="1" s="1"/>
  <c r="Q1409" i="1"/>
  <c r="V1409" i="1" s="1"/>
  <c r="Q1410" i="1"/>
  <c r="V1410" i="1" s="1"/>
  <c r="Q1411" i="1"/>
  <c r="V1411" i="1" s="1"/>
  <c r="Q1412" i="1"/>
  <c r="V1412" i="1" s="1"/>
  <c r="Q1413" i="1"/>
  <c r="V1413" i="1" s="1"/>
  <c r="Q1414" i="1"/>
  <c r="V1414" i="1" s="1"/>
  <c r="Q1415" i="1"/>
  <c r="V1415" i="1" s="1"/>
  <c r="Q1416" i="1"/>
  <c r="V1416" i="1" s="1"/>
  <c r="Q1417" i="1"/>
  <c r="V1417" i="1" s="1"/>
  <c r="Q1418" i="1"/>
  <c r="V1418" i="1" s="1"/>
  <c r="Q1419" i="1"/>
  <c r="V1419" i="1" s="1"/>
  <c r="Q1420" i="1"/>
  <c r="V1420" i="1" s="1"/>
  <c r="Q1421" i="1"/>
  <c r="V1421" i="1" s="1"/>
  <c r="Q1422" i="1"/>
  <c r="V1422" i="1" s="1"/>
  <c r="Q1423" i="1"/>
  <c r="V1423" i="1" s="1"/>
  <c r="Q1424" i="1"/>
  <c r="V1424" i="1" s="1"/>
  <c r="Q1425" i="1"/>
  <c r="V1425" i="1" s="1"/>
  <c r="Q1426" i="1"/>
  <c r="V1426" i="1" s="1"/>
  <c r="Q1429" i="1"/>
  <c r="V1429" i="1" s="1"/>
  <c r="Q1430" i="1"/>
  <c r="V1430" i="1" s="1"/>
  <c r="Q1431" i="1"/>
  <c r="V1431" i="1" s="1"/>
  <c r="Q1432" i="1"/>
  <c r="V1432" i="1" s="1"/>
  <c r="Q1433" i="1"/>
  <c r="V1433" i="1" s="1"/>
  <c r="Q1434" i="1"/>
  <c r="V1434" i="1" s="1"/>
  <c r="Q1435" i="1"/>
  <c r="V1435" i="1" s="1"/>
  <c r="Q1436" i="1"/>
  <c r="V1436" i="1" s="1"/>
  <c r="Q1437" i="1"/>
  <c r="V1437" i="1" s="1"/>
  <c r="Q1438" i="1"/>
  <c r="V1438" i="1" s="1"/>
  <c r="Q1439" i="1"/>
  <c r="V1439" i="1" s="1"/>
  <c r="Q1440" i="1"/>
  <c r="V1440" i="1" s="1"/>
  <c r="Q1441" i="1"/>
  <c r="V1441" i="1" s="1"/>
  <c r="Q1442" i="1"/>
  <c r="V1442" i="1" s="1"/>
  <c r="Q1443" i="1"/>
  <c r="V1443" i="1" s="1"/>
  <c r="Q1444" i="1"/>
  <c r="V1444" i="1" s="1"/>
  <c r="Q1447" i="1"/>
  <c r="V1447" i="1" s="1"/>
  <c r="Q1448" i="1"/>
  <c r="V1448" i="1" s="1"/>
  <c r="Q1449" i="1"/>
  <c r="V1449" i="1" s="1"/>
  <c r="Q1450" i="1"/>
  <c r="V1450" i="1" s="1"/>
  <c r="Q1451" i="1"/>
  <c r="V1451" i="1" s="1"/>
  <c r="Q1452" i="1"/>
  <c r="V1452" i="1" s="1"/>
  <c r="Q1453" i="1"/>
  <c r="V1453" i="1" s="1"/>
  <c r="Q1454" i="1"/>
  <c r="V1454" i="1" s="1"/>
  <c r="Q1455" i="1"/>
  <c r="V1455" i="1" s="1"/>
  <c r="Q1456" i="1"/>
  <c r="V1456" i="1" s="1"/>
  <c r="Q1457" i="1"/>
  <c r="V1457" i="1" s="1"/>
  <c r="Q1458" i="1"/>
  <c r="V1458" i="1" s="1"/>
  <c r="Q1459" i="1"/>
  <c r="V1459" i="1" s="1"/>
  <c r="Q1460" i="1"/>
  <c r="V1460" i="1" s="1"/>
  <c r="Q1461" i="1"/>
  <c r="V1461" i="1" s="1"/>
  <c r="Q1462" i="1"/>
  <c r="V1462" i="1" s="1"/>
  <c r="Q1463" i="1"/>
  <c r="V1463" i="1" s="1"/>
  <c r="Q1464" i="1"/>
  <c r="V1464" i="1" s="1"/>
  <c r="Q1465" i="1"/>
  <c r="V1465" i="1" s="1"/>
  <c r="Q1466" i="1"/>
  <c r="V1466" i="1" s="1"/>
  <c r="Q1467" i="1"/>
  <c r="V1467" i="1" s="1"/>
  <c r="Q1468" i="1"/>
  <c r="V1468" i="1" s="1"/>
  <c r="Q1469" i="1"/>
  <c r="V1469" i="1" s="1"/>
  <c r="Q1470" i="1"/>
  <c r="V1470" i="1" s="1"/>
  <c r="Q1471" i="1"/>
  <c r="V1471" i="1" s="1"/>
  <c r="Q1472" i="1"/>
  <c r="V1472" i="1" s="1"/>
  <c r="Q1473" i="1"/>
  <c r="V1473" i="1" s="1"/>
  <c r="Q1474" i="1"/>
  <c r="V1474" i="1" s="1"/>
  <c r="Q1475" i="1"/>
  <c r="V1475" i="1" s="1"/>
  <c r="Q1476" i="1"/>
  <c r="V1476" i="1" s="1"/>
  <c r="Q1477" i="1"/>
  <c r="V1477" i="1" s="1"/>
  <c r="Q1478" i="1"/>
  <c r="V1478" i="1" s="1"/>
  <c r="Q1479" i="1"/>
  <c r="V1479" i="1" s="1"/>
  <c r="Q1480" i="1"/>
  <c r="V1480" i="1" s="1"/>
  <c r="Q1481" i="1"/>
  <c r="V1481" i="1" s="1"/>
  <c r="Q1482" i="1"/>
  <c r="V1482" i="1" s="1"/>
  <c r="Q1483" i="1"/>
  <c r="V1483" i="1" s="1"/>
  <c r="Q1484" i="1"/>
  <c r="V1484" i="1" s="1"/>
  <c r="Q1485" i="1"/>
  <c r="V1485" i="1" s="1"/>
  <c r="Q1486" i="1"/>
  <c r="V1486" i="1" s="1"/>
  <c r="Q1487" i="1"/>
  <c r="V1487" i="1" s="1"/>
  <c r="Q1488" i="1"/>
  <c r="V1488" i="1" s="1"/>
  <c r="Q1489" i="1"/>
  <c r="V1489" i="1" s="1"/>
  <c r="Q1490" i="1"/>
  <c r="V1490" i="1" s="1"/>
  <c r="Q1491" i="1"/>
  <c r="V1491" i="1" s="1"/>
  <c r="Q1492" i="1"/>
  <c r="V1492" i="1" s="1"/>
  <c r="Q1493" i="1"/>
  <c r="V1493" i="1" s="1"/>
  <c r="Q1495" i="1"/>
  <c r="V1495" i="1" s="1"/>
  <c r="Q1496" i="1"/>
  <c r="V1496" i="1" s="1"/>
  <c r="Q1497" i="1"/>
  <c r="V1497" i="1" s="1"/>
  <c r="Q1498" i="1"/>
  <c r="V1498" i="1" s="1"/>
  <c r="Q1499" i="1"/>
  <c r="V1499" i="1" s="1"/>
  <c r="Q1500" i="1"/>
  <c r="V1500" i="1" s="1"/>
  <c r="Q1501" i="1"/>
  <c r="V1501" i="1" s="1"/>
  <c r="Q1502" i="1"/>
  <c r="V1502" i="1" s="1"/>
  <c r="Q1503" i="1"/>
  <c r="V1503" i="1" s="1"/>
  <c r="Q1504" i="1"/>
  <c r="V1504" i="1" s="1"/>
  <c r="Q1506" i="1"/>
  <c r="V1506" i="1" s="1"/>
  <c r="Q1507" i="1"/>
  <c r="V1507" i="1" s="1"/>
  <c r="Q1508" i="1"/>
  <c r="V1508" i="1" s="1"/>
  <c r="Q1509" i="1"/>
  <c r="V1509" i="1" s="1"/>
  <c r="Q1510" i="1"/>
  <c r="V1510" i="1" s="1"/>
  <c r="Q1511" i="1"/>
  <c r="V1511" i="1" s="1"/>
  <c r="Q1512" i="1"/>
  <c r="V1512" i="1" s="1"/>
  <c r="Q1513" i="1"/>
  <c r="V1513" i="1" s="1"/>
  <c r="Q1514" i="1"/>
  <c r="V1514" i="1" s="1"/>
  <c r="Q1515" i="1"/>
  <c r="V1515" i="1" s="1"/>
  <c r="Q1516" i="1"/>
  <c r="V1516" i="1" s="1"/>
  <c r="Q1517" i="1"/>
  <c r="V1517" i="1" s="1"/>
  <c r="Q1518" i="1"/>
  <c r="V1518" i="1" s="1"/>
  <c r="Q1519" i="1"/>
  <c r="V1519" i="1" s="1"/>
  <c r="Q1520" i="1"/>
  <c r="V1520" i="1" s="1"/>
  <c r="Q1521" i="1"/>
  <c r="V1521" i="1" s="1"/>
  <c r="Q1522" i="1"/>
  <c r="V1522" i="1" s="1"/>
  <c r="Q1523" i="1"/>
  <c r="V1523" i="1" s="1"/>
  <c r="Q1524" i="1"/>
  <c r="V1524" i="1" s="1"/>
  <c r="Q1525" i="1"/>
  <c r="V1525" i="1" s="1"/>
  <c r="Q1526" i="1"/>
  <c r="V1526" i="1" s="1"/>
  <c r="Q1527" i="1"/>
  <c r="V1527" i="1" s="1"/>
  <c r="Q1528" i="1"/>
  <c r="V1528" i="1" s="1"/>
  <c r="Q1529" i="1"/>
  <c r="V1529" i="1" s="1"/>
  <c r="Q1530" i="1"/>
  <c r="V1530" i="1" s="1"/>
  <c r="Q1531" i="1"/>
  <c r="V1531" i="1" s="1"/>
  <c r="Q1532" i="1"/>
  <c r="V1532" i="1" s="1"/>
  <c r="Q1533" i="1"/>
  <c r="V1533" i="1" s="1"/>
  <c r="Q1534" i="1"/>
  <c r="V1534" i="1" s="1"/>
  <c r="Q1535" i="1"/>
  <c r="V1535" i="1" s="1"/>
  <c r="Q1536" i="1"/>
  <c r="V1536" i="1" s="1"/>
  <c r="Q1537" i="1"/>
  <c r="V1537" i="1" s="1"/>
  <c r="Q1538" i="1"/>
  <c r="V1538" i="1" s="1"/>
  <c r="Q1539" i="1"/>
  <c r="V1539" i="1" s="1"/>
  <c r="Q1540" i="1"/>
  <c r="V1540" i="1" s="1"/>
  <c r="Q1541" i="1"/>
  <c r="V1541" i="1" s="1"/>
  <c r="Q1542" i="1"/>
  <c r="V1542" i="1" s="1"/>
  <c r="Q1543" i="1"/>
  <c r="V1543" i="1" s="1"/>
  <c r="Q1544" i="1"/>
  <c r="V1544" i="1" s="1"/>
  <c r="Q1545" i="1"/>
  <c r="V1545" i="1" s="1"/>
  <c r="Q1546" i="1"/>
  <c r="V1546" i="1" s="1"/>
  <c r="Q1547" i="1"/>
  <c r="V1547" i="1" s="1"/>
  <c r="Q1548" i="1"/>
  <c r="V1548" i="1" s="1"/>
  <c r="Q1549" i="1"/>
  <c r="V1549" i="1" s="1"/>
  <c r="Q1550" i="1"/>
  <c r="V1550" i="1" s="1"/>
  <c r="Q1551" i="1"/>
  <c r="V1551" i="1" s="1"/>
  <c r="Q1552" i="1"/>
  <c r="V1552" i="1" s="1"/>
  <c r="Q1553" i="1"/>
  <c r="V1553" i="1" s="1"/>
  <c r="Q1554" i="1"/>
  <c r="V1554" i="1" s="1"/>
  <c r="Q1555" i="1"/>
  <c r="V1555" i="1" s="1"/>
  <c r="Q1556" i="1"/>
  <c r="V1556" i="1" s="1"/>
  <c r="Q1557" i="1"/>
  <c r="V1557" i="1" s="1"/>
  <c r="Q1558" i="1"/>
  <c r="V1558" i="1" s="1"/>
  <c r="Q1559" i="1"/>
  <c r="V1559" i="1" s="1"/>
  <c r="Q1560" i="1"/>
  <c r="V1560" i="1" s="1"/>
  <c r="Q1561" i="1"/>
  <c r="V1561" i="1" s="1"/>
  <c r="Q1562" i="1"/>
  <c r="V1562" i="1" s="1"/>
  <c r="Q1563" i="1"/>
  <c r="V1563" i="1" s="1"/>
  <c r="Q1564" i="1"/>
  <c r="V1564" i="1" s="1"/>
  <c r="Q1565" i="1"/>
  <c r="V1565" i="1" s="1"/>
  <c r="Q1566" i="1"/>
  <c r="V1566" i="1" s="1"/>
  <c r="Q1567" i="1"/>
  <c r="V1567" i="1" s="1"/>
  <c r="Q1568" i="1"/>
  <c r="V1568" i="1" s="1"/>
  <c r="Q1569" i="1"/>
  <c r="V1569" i="1" s="1"/>
  <c r="Q1570" i="1"/>
  <c r="V1570" i="1" s="1"/>
  <c r="Q1571" i="1"/>
  <c r="V1571" i="1" s="1"/>
  <c r="Q1572" i="1"/>
  <c r="V1572" i="1" s="1"/>
  <c r="Q1573" i="1"/>
  <c r="V1573" i="1" s="1"/>
  <c r="Q1574" i="1"/>
  <c r="V1574" i="1" s="1"/>
  <c r="Q1575" i="1"/>
  <c r="V1575" i="1" s="1"/>
  <c r="Q1576" i="1"/>
  <c r="V1576" i="1" s="1"/>
  <c r="Q1577" i="1"/>
  <c r="V1577" i="1" s="1"/>
  <c r="Q1578" i="1"/>
  <c r="V1578" i="1" s="1"/>
  <c r="Q1579" i="1"/>
  <c r="V1579" i="1" s="1"/>
  <c r="Q1580" i="1"/>
  <c r="V1580" i="1" s="1"/>
  <c r="Q1581" i="1"/>
  <c r="V1581" i="1" s="1"/>
  <c r="Q1582" i="1"/>
  <c r="V1582" i="1" s="1"/>
  <c r="Q1583" i="1"/>
  <c r="V1583" i="1" s="1"/>
  <c r="Q1584" i="1"/>
  <c r="V1584" i="1" s="1"/>
  <c r="Q1585" i="1"/>
  <c r="V1585" i="1" s="1"/>
  <c r="Q1586" i="1"/>
  <c r="V1586" i="1" s="1"/>
  <c r="Q1587" i="1"/>
  <c r="V1587" i="1" s="1"/>
  <c r="Q1588" i="1"/>
  <c r="V1588" i="1" s="1"/>
  <c r="Q1589" i="1"/>
  <c r="V1589" i="1" s="1"/>
  <c r="Q1590" i="1"/>
  <c r="V1590" i="1" s="1"/>
  <c r="Q1591" i="1"/>
  <c r="V1591" i="1" s="1"/>
  <c r="Q1592" i="1"/>
  <c r="V1592" i="1" s="1"/>
  <c r="Q1593" i="1"/>
  <c r="V1593" i="1" s="1"/>
  <c r="Q1594" i="1"/>
  <c r="V1594" i="1" s="1"/>
  <c r="Q1595" i="1"/>
  <c r="V1595" i="1" s="1"/>
  <c r="Q1596" i="1"/>
  <c r="V1596" i="1" s="1"/>
  <c r="Q1597" i="1"/>
  <c r="V1597" i="1" s="1"/>
  <c r="Q1598" i="1"/>
  <c r="V1598" i="1" s="1"/>
  <c r="Q1599" i="1"/>
  <c r="V1599" i="1" s="1"/>
  <c r="Q1600" i="1"/>
  <c r="V1600" i="1" s="1"/>
  <c r="Q1601" i="1"/>
  <c r="V1601" i="1" s="1"/>
  <c r="Q1602" i="1"/>
  <c r="V1602" i="1" s="1"/>
  <c r="Q1603" i="1"/>
  <c r="V1603" i="1" s="1"/>
  <c r="Q1604" i="1"/>
  <c r="V1604" i="1" s="1"/>
  <c r="Q1605" i="1"/>
  <c r="V1605" i="1" s="1"/>
  <c r="Q1606" i="1"/>
  <c r="V1606" i="1" s="1"/>
  <c r="Q1607" i="1"/>
  <c r="V1607" i="1" s="1"/>
  <c r="Q1608" i="1"/>
  <c r="V1608" i="1" s="1"/>
  <c r="Q1609" i="1"/>
  <c r="V1609" i="1" s="1"/>
  <c r="Q1610" i="1"/>
  <c r="V1610" i="1" s="1"/>
  <c r="Q1611" i="1"/>
  <c r="V1611" i="1" s="1"/>
  <c r="Q1612" i="1"/>
  <c r="V1612" i="1" s="1"/>
  <c r="Q1613" i="1"/>
  <c r="V1613" i="1" s="1"/>
  <c r="Q1614" i="1"/>
  <c r="V1614" i="1" s="1"/>
  <c r="Q1615" i="1"/>
  <c r="V1615" i="1" s="1"/>
  <c r="Q1616" i="1"/>
  <c r="V1616" i="1" s="1"/>
  <c r="Q1617" i="1"/>
  <c r="V1617" i="1" s="1"/>
  <c r="Q1618" i="1"/>
  <c r="V1618" i="1" s="1"/>
  <c r="Q1619" i="1"/>
  <c r="V1619" i="1" s="1"/>
  <c r="Q1620" i="1"/>
  <c r="V1620" i="1" s="1"/>
  <c r="Q1621" i="1"/>
  <c r="V1621" i="1" s="1"/>
  <c r="Q1622" i="1"/>
  <c r="V1622" i="1" s="1"/>
  <c r="Q1623" i="1"/>
  <c r="V1623" i="1" s="1"/>
  <c r="Q1624" i="1"/>
  <c r="V1624" i="1" s="1"/>
  <c r="Q1625" i="1"/>
  <c r="V1625" i="1" s="1"/>
  <c r="Q1626" i="1"/>
  <c r="V1626" i="1" s="1"/>
  <c r="Q1627" i="1"/>
  <c r="V1627" i="1" s="1"/>
  <c r="Q1628" i="1"/>
  <c r="V1628" i="1" s="1"/>
  <c r="Q1629" i="1"/>
  <c r="V1629" i="1" s="1"/>
  <c r="Q1630" i="1"/>
  <c r="V1630" i="1" s="1"/>
  <c r="Q1631" i="1"/>
  <c r="V1631" i="1" s="1"/>
  <c r="Q1632" i="1"/>
  <c r="V1632" i="1" s="1"/>
  <c r="Q1633" i="1"/>
  <c r="V1633" i="1" s="1"/>
  <c r="Q1634" i="1"/>
  <c r="V1634" i="1" s="1"/>
  <c r="Q1635" i="1"/>
  <c r="V1635" i="1" s="1"/>
  <c r="Q1636" i="1"/>
  <c r="V1636" i="1" s="1"/>
  <c r="Q1637" i="1"/>
  <c r="V1637" i="1" s="1"/>
  <c r="Q1638" i="1"/>
  <c r="V1638" i="1" s="1"/>
  <c r="Q1639" i="1"/>
  <c r="V1639" i="1" s="1"/>
  <c r="Q1640" i="1"/>
  <c r="V1640" i="1" s="1"/>
  <c r="Q1641" i="1"/>
  <c r="V1641" i="1" s="1"/>
  <c r="Q1642" i="1"/>
  <c r="V1642" i="1" s="1"/>
  <c r="Q1643" i="1"/>
  <c r="V1643" i="1" s="1"/>
  <c r="Q1644" i="1"/>
  <c r="V1644" i="1" s="1"/>
  <c r="Q1645" i="1"/>
  <c r="V1645" i="1" s="1"/>
  <c r="Q1646" i="1"/>
  <c r="V1646" i="1" s="1"/>
  <c r="Q1647" i="1"/>
  <c r="V1647" i="1" s="1"/>
  <c r="Q1648" i="1"/>
  <c r="V1648" i="1" s="1"/>
  <c r="Q1649" i="1"/>
  <c r="V1649" i="1" s="1"/>
  <c r="Q1650" i="1"/>
  <c r="V1650" i="1" s="1"/>
  <c r="Q1651" i="1"/>
  <c r="V1651" i="1" s="1"/>
  <c r="Q1652" i="1"/>
  <c r="V1652" i="1" s="1"/>
  <c r="Q1653" i="1"/>
  <c r="V1653" i="1" s="1"/>
  <c r="Q1654" i="1"/>
  <c r="V1654" i="1" s="1"/>
  <c r="Q1655" i="1"/>
  <c r="V1655" i="1" s="1"/>
  <c r="Q1656" i="1"/>
  <c r="V1656" i="1" s="1"/>
  <c r="Q1657" i="1"/>
  <c r="V1657" i="1" s="1"/>
  <c r="Q1658" i="1"/>
  <c r="V1658" i="1" s="1"/>
  <c r="Q1659" i="1"/>
  <c r="V1659" i="1" s="1"/>
  <c r="Q1660" i="1"/>
  <c r="V1660" i="1" s="1"/>
  <c r="Q1661" i="1"/>
  <c r="V1661" i="1" s="1"/>
  <c r="Q1662" i="1"/>
  <c r="V1662" i="1" s="1"/>
  <c r="Q1663" i="1"/>
  <c r="V1663" i="1" s="1"/>
  <c r="Q1664" i="1"/>
  <c r="V1664" i="1" s="1"/>
  <c r="Q1665" i="1"/>
  <c r="V1665" i="1" s="1"/>
  <c r="Q1666" i="1"/>
  <c r="V1666" i="1" s="1"/>
  <c r="Q1667" i="1"/>
  <c r="V1667" i="1" s="1"/>
  <c r="Q1668" i="1"/>
  <c r="V1668" i="1" s="1"/>
  <c r="Q1669" i="1"/>
  <c r="V1669" i="1" s="1"/>
  <c r="Q1670" i="1"/>
  <c r="V1670" i="1" s="1"/>
  <c r="Q1671" i="1"/>
  <c r="V1671" i="1" s="1"/>
  <c r="Q1672" i="1"/>
  <c r="V1672" i="1" s="1"/>
  <c r="Q1673" i="1"/>
  <c r="V1673" i="1" s="1"/>
  <c r="Q1674" i="1"/>
  <c r="V1674" i="1" s="1"/>
  <c r="Q1675" i="1"/>
  <c r="V1675" i="1" s="1"/>
  <c r="Q1676" i="1"/>
  <c r="V1676" i="1" s="1"/>
  <c r="Q1677" i="1"/>
  <c r="V1677" i="1" s="1"/>
  <c r="Q1678" i="1"/>
  <c r="V1678" i="1" s="1"/>
  <c r="Q1679" i="1"/>
  <c r="V1679" i="1" s="1"/>
  <c r="Q1680" i="1"/>
  <c r="V1680" i="1" s="1"/>
  <c r="Q1681" i="1"/>
  <c r="V1681" i="1" s="1"/>
  <c r="Q1682" i="1"/>
  <c r="V1682" i="1" s="1"/>
  <c r="Q1683" i="1"/>
  <c r="V1683" i="1" s="1"/>
  <c r="Q1684" i="1"/>
  <c r="V1684" i="1" s="1"/>
  <c r="Q1685" i="1"/>
  <c r="V1685" i="1" s="1"/>
  <c r="Q1686" i="1"/>
  <c r="V1686" i="1" s="1"/>
  <c r="Q1687" i="1"/>
  <c r="V1687" i="1" s="1"/>
  <c r="Q1688" i="1"/>
  <c r="V1688" i="1" s="1"/>
  <c r="Q1689" i="1"/>
  <c r="V1689" i="1" s="1"/>
  <c r="Q1690" i="1"/>
  <c r="V1690" i="1" s="1"/>
  <c r="Q1691" i="1"/>
  <c r="V1691" i="1" s="1"/>
  <c r="Q1692" i="1"/>
  <c r="V1692" i="1" s="1"/>
  <c r="Q1693" i="1"/>
  <c r="V1693" i="1" s="1"/>
  <c r="Q1694" i="1"/>
  <c r="V1694" i="1" s="1"/>
  <c r="Q1695" i="1"/>
  <c r="V1695" i="1" s="1"/>
  <c r="Q1696" i="1"/>
  <c r="V1696" i="1" s="1"/>
  <c r="Q1697" i="1"/>
  <c r="V1697" i="1" s="1"/>
  <c r="Q1698" i="1"/>
  <c r="V1698" i="1" s="1"/>
  <c r="Q1699" i="1"/>
  <c r="V1699" i="1" s="1"/>
  <c r="Q1700" i="1"/>
  <c r="V1700" i="1" s="1"/>
  <c r="Q1701" i="1"/>
  <c r="V1701" i="1" s="1"/>
  <c r="Q1702" i="1"/>
  <c r="V1702" i="1" s="1"/>
  <c r="Q1703" i="1"/>
  <c r="V1703" i="1" s="1"/>
  <c r="Q1704" i="1"/>
  <c r="V1704" i="1" s="1"/>
  <c r="Q1705" i="1"/>
  <c r="V1705" i="1" s="1"/>
  <c r="Q1706" i="1"/>
  <c r="V1706" i="1" s="1"/>
  <c r="Q1707" i="1"/>
  <c r="V1707" i="1" s="1"/>
  <c r="Q1708" i="1"/>
  <c r="V1708" i="1" s="1"/>
  <c r="Q1709" i="1"/>
  <c r="V1709" i="1" s="1"/>
  <c r="Q1710" i="1"/>
  <c r="V1710" i="1" s="1"/>
  <c r="Q1711" i="1"/>
  <c r="V1711" i="1" s="1"/>
  <c r="Q1712" i="1"/>
  <c r="V1712" i="1" s="1"/>
  <c r="Q1713" i="1"/>
  <c r="V1713" i="1" s="1"/>
  <c r="Q1714" i="1"/>
  <c r="V1714" i="1" s="1"/>
  <c r="Q1715" i="1"/>
  <c r="V1715" i="1" s="1"/>
  <c r="Q1716" i="1"/>
  <c r="V1716" i="1" s="1"/>
  <c r="Q1717" i="1"/>
  <c r="V1717" i="1" s="1"/>
  <c r="Q1718" i="1"/>
  <c r="V1718" i="1" s="1"/>
  <c r="Q1719" i="1"/>
  <c r="V1719" i="1" s="1"/>
  <c r="Q1720" i="1"/>
  <c r="V1720" i="1" s="1"/>
  <c r="Q1721" i="1"/>
  <c r="V1721" i="1" s="1"/>
  <c r="Q1722" i="1"/>
  <c r="V1722" i="1" s="1"/>
  <c r="Q1723" i="1"/>
  <c r="V1723" i="1" s="1"/>
  <c r="Q1724" i="1"/>
  <c r="V1724" i="1" s="1"/>
  <c r="Q1725" i="1"/>
  <c r="V1725" i="1" s="1"/>
  <c r="Q1726" i="1"/>
  <c r="V1726" i="1" s="1"/>
  <c r="Q1727" i="1"/>
  <c r="V1727" i="1" s="1"/>
  <c r="Q1728" i="1"/>
  <c r="V1728" i="1" s="1"/>
  <c r="Q1729" i="1"/>
  <c r="V1729" i="1" s="1"/>
  <c r="Q1730" i="1"/>
  <c r="V1730" i="1" s="1"/>
  <c r="Q1731" i="1"/>
  <c r="V1731" i="1" s="1"/>
  <c r="Q1732" i="1"/>
  <c r="V1732" i="1" s="1"/>
  <c r="Q1733" i="1"/>
  <c r="V1733" i="1" s="1"/>
  <c r="Q1734" i="1"/>
  <c r="V1734" i="1" s="1"/>
  <c r="Q1735" i="1"/>
  <c r="V1735" i="1" s="1"/>
  <c r="Q1736" i="1"/>
  <c r="V1736" i="1" s="1"/>
  <c r="Q1737" i="1"/>
  <c r="V1737" i="1" s="1"/>
  <c r="Q1738" i="1"/>
  <c r="V1738" i="1" s="1"/>
  <c r="Q1739" i="1"/>
  <c r="V1739" i="1" s="1"/>
  <c r="Q1740" i="1"/>
  <c r="V1740" i="1" s="1"/>
  <c r="Q1741" i="1"/>
  <c r="V1741" i="1" s="1"/>
  <c r="Q1743" i="1"/>
  <c r="V1743" i="1" s="1"/>
  <c r="Q1744" i="1"/>
  <c r="V1744" i="1" s="1"/>
  <c r="Q1745" i="1"/>
  <c r="V1745" i="1" s="1"/>
  <c r="Q1746" i="1"/>
  <c r="V1746" i="1" s="1"/>
  <c r="Q1747" i="1"/>
  <c r="V1747" i="1" s="1"/>
  <c r="Q1748" i="1"/>
  <c r="V1748" i="1" s="1"/>
  <c r="Q1749" i="1"/>
  <c r="V1749" i="1" s="1"/>
  <c r="Q1750" i="1"/>
  <c r="V1750" i="1" s="1"/>
  <c r="Q1751" i="1"/>
  <c r="V1751" i="1" s="1"/>
  <c r="Q1752" i="1"/>
  <c r="V1752" i="1" s="1"/>
  <c r="Q1753" i="1"/>
  <c r="V1753" i="1" s="1"/>
  <c r="Q1754" i="1"/>
  <c r="V1754" i="1" s="1"/>
  <c r="Q1755" i="1"/>
  <c r="V1755" i="1" s="1"/>
  <c r="Q1756" i="1"/>
  <c r="V1756" i="1" s="1"/>
  <c r="Q1757" i="1"/>
  <c r="V1757" i="1" s="1"/>
  <c r="Q1758" i="1"/>
  <c r="V1758" i="1" s="1"/>
  <c r="Q1761" i="1"/>
  <c r="V1761" i="1" s="1"/>
  <c r="Q1762" i="1"/>
  <c r="V1762" i="1" s="1"/>
  <c r="Q1763" i="1"/>
  <c r="V1763" i="1" s="1"/>
  <c r="Q1764" i="1"/>
  <c r="V1764" i="1" s="1"/>
  <c r="Q1765" i="1"/>
  <c r="V1765" i="1" s="1"/>
  <c r="Q1766" i="1"/>
  <c r="V1766" i="1" s="1"/>
  <c r="Q1767" i="1"/>
  <c r="V1767" i="1" s="1"/>
  <c r="Q1768" i="1"/>
  <c r="V1768" i="1" s="1"/>
  <c r="Q1769" i="1"/>
  <c r="V1769" i="1" s="1"/>
  <c r="Q1770" i="1"/>
  <c r="V1770" i="1" s="1"/>
  <c r="Q1771" i="1"/>
  <c r="V1771" i="1" s="1"/>
  <c r="Q1772" i="1"/>
  <c r="V1772" i="1" s="1"/>
  <c r="Q1773" i="1"/>
  <c r="V1773" i="1" s="1"/>
  <c r="Q1774" i="1"/>
  <c r="V1774" i="1" s="1"/>
  <c r="Q1775" i="1"/>
  <c r="V1775" i="1" s="1"/>
  <c r="Q1776" i="1"/>
  <c r="V1776" i="1" s="1"/>
  <c r="Q1777" i="1"/>
  <c r="V1777" i="1" s="1"/>
  <c r="Q1778" i="1"/>
  <c r="V1778" i="1" s="1"/>
  <c r="Q1779" i="1"/>
  <c r="V1779" i="1" s="1"/>
  <c r="Q1780" i="1"/>
  <c r="V1780" i="1" s="1"/>
  <c r="Q1781" i="1"/>
  <c r="V1781" i="1" s="1"/>
  <c r="Q1782" i="1"/>
  <c r="V1782" i="1" s="1"/>
  <c r="Q1783" i="1"/>
  <c r="V1783" i="1" s="1"/>
  <c r="Q1785" i="1"/>
  <c r="V1785" i="1" s="1"/>
  <c r="Q1787" i="1"/>
  <c r="V1787" i="1" s="1"/>
  <c r="Q1788" i="1"/>
  <c r="V1788" i="1" s="1"/>
  <c r="Q1789" i="1"/>
  <c r="V1789" i="1" s="1"/>
  <c r="Q1790" i="1"/>
  <c r="V1790" i="1" s="1"/>
  <c r="Q1791" i="1"/>
  <c r="V1791" i="1" s="1"/>
  <c r="Q1792" i="1"/>
  <c r="V1792" i="1" s="1"/>
  <c r="Q1793" i="1"/>
  <c r="V1793" i="1" s="1"/>
  <c r="Q1794" i="1"/>
  <c r="V1794" i="1" s="1"/>
  <c r="Q1795" i="1"/>
  <c r="V1795" i="1" s="1"/>
  <c r="Q1796" i="1"/>
  <c r="V1796" i="1" s="1"/>
  <c r="Q1797" i="1"/>
  <c r="V1797" i="1" s="1"/>
  <c r="Q1798" i="1"/>
  <c r="V1798" i="1" s="1"/>
  <c r="Q1799" i="1"/>
  <c r="V1799" i="1" s="1"/>
  <c r="Q1800" i="1"/>
  <c r="V1800" i="1" s="1"/>
  <c r="Q1801" i="1"/>
  <c r="V1801" i="1" s="1"/>
  <c r="Q1802" i="1"/>
  <c r="V1802" i="1" s="1"/>
  <c r="Q1803" i="1"/>
  <c r="V1803" i="1" s="1"/>
  <c r="Q1804" i="1"/>
  <c r="V1804" i="1" s="1"/>
  <c r="Q1805" i="1"/>
  <c r="V1805" i="1" s="1"/>
  <c r="Q1806" i="1"/>
  <c r="V1806" i="1" s="1"/>
  <c r="Q1807" i="1"/>
  <c r="V1807" i="1" s="1"/>
  <c r="Q1808" i="1"/>
  <c r="V1808" i="1" s="1"/>
  <c r="Q1809" i="1"/>
  <c r="V1809" i="1" s="1"/>
  <c r="Q1810" i="1"/>
  <c r="V1810" i="1" s="1"/>
  <c r="Q1811" i="1"/>
  <c r="V1811" i="1" s="1"/>
  <c r="Q1812" i="1"/>
  <c r="V1812" i="1" s="1"/>
  <c r="Q1813" i="1"/>
  <c r="V1813" i="1" s="1"/>
  <c r="Q1814" i="1"/>
  <c r="V1814" i="1" s="1"/>
  <c r="Q1815" i="1"/>
  <c r="V1815" i="1" s="1"/>
  <c r="Q1817" i="1"/>
  <c r="V1817" i="1" s="1"/>
  <c r="Q1818" i="1"/>
  <c r="V1818" i="1" s="1"/>
  <c r="Q1819" i="1"/>
  <c r="V1819" i="1" s="1"/>
  <c r="Q1820" i="1"/>
  <c r="V1820" i="1" s="1"/>
  <c r="Q1821" i="1"/>
  <c r="V1821" i="1" s="1"/>
  <c r="Q1822" i="1"/>
  <c r="V1822" i="1" s="1"/>
  <c r="Q1823" i="1"/>
  <c r="V1823" i="1" s="1"/>
  <c r="Q1824" i="1"/>
  <c r="V1824" i="1" s="1"/>
  <c r="Q1825" i="1"/>
  <c r="V1825" i="1" s="1"/>
  <c r="Q1826" i="1"/>
  <c r="V1826" i="1" s="1"/>
  <c r="Q1827" i="1"/>
  <c r="V1827" i="1" s="1"/>
  <c r="Q1828" i="1"/>
  <c r="V1828" i="1" s="1"/>
  <c r="Q1829" i="1"/>
  <c r="V1829" i="1" s="1"/>
  <c r="Q1830" i="1"/>
  <c r="V1830" i="1" s="1"/>
  <c r="Q1831" i="1"/>
  <c r="V1831" i="1" s="1"/>
  <c r="Q1832" i="1"/>
  <c r="V1832" i="1" s="1"/>
  <c r="Q1833" i="1"/>
  <c r="V1833" i="1" s="1"/>
  <c r="Q1834" i="1"/>
  <c r="V1834" i="1" s="1"/>
  <c r="Q1835" i="1"/>
  <c r="V1835" i="1" s="1"/>
  <c r="Q1836" i="1"/>
  <c r="V1836" i="1" s="1"/>
  <c r="Q1837" i="1"/>
  <c r="V1837" i="1" s="1"/>
  <c r="Q1838" i="1"/>
  <c r="V1838" i="1" s="1"/>
  <c r="Q1839" i="1"/>
  <c r="V1839" i="1" s="1"/>
  <c r="Q1840" i="1"/>
  <c r="V1840" i="1" s="1"/>
  <c r="Q1841" i="1"/>
  <c r="V1841" i="1" s="1"/>
  <c r="Q1842" i="1"/>
  <c r="V1842" i="1" s="1"/>
  <c r="Q1843" i="1"/>
  <c r="V1843" i="1" s="1"/>
  <c r="Q1844" i="1"/>
  <c r="V1844" i="1" s="1"/>
  <c r="Q1845" i="1"/>
  <c r="V1845" i="1" s="1"/>
  <c r="Q1846" i="1"/>
  <c r="V1846" i="1" s="1"/>
  <c r="Q1847" i="1"/>
  <c r="V1847" i="1" s="1"/>
  <c r="Q1848" i="1"/>
  <c r="V1848" i="1" s="1"/>
  <c r="Q1850" i="1"/>
  <c r="V1850" i="1" s="1"/>
  <c r="Q1851" i="1"/>
  <c r="V1851" i="1" s="1"/>
  <c r="Q1852" i="1"/>
  <c r="V1852" i="1" s="1"/>
  <c r="Q1853" i="1"/>
  <c r="V1853" i="1" s="1"/>
  <c r="Q1854" i="1"/>
  <c r="V1854" i="1" s="1"/>
  <c r="Q1855" i="1"/>
  <c r="V1855" i="1" s="1"/>
  <c r="Q1857" i="1"/>
  <c r="V1857" i="1" s="1"/>
  <c r="Q1858" i="1"/>
  <c r="V1858" i="1" s="1"/>
  <c r="Q1859" i="1"/>
  <c r="V1859" i="1" s="1"/>
  <c r="Q1860" i="1"/>
  <c r="V1860" i="1" s="1"/>
  <c r="Q1861" i="1"/>
  <c r="V1861" i="1" s="1"/>
  <c r="Q1862" i="1"/>
  <c r="V1862" i="1" s="1"/>
  <c r="Q1863" i="1"/>
  <c r="V1863" i="1" s="1"/>
  <c r="Q1864" i="1"/>
  <c r="V1864" i="1" s="1"/>
  <c r="Q1865" i="1"/>
  <c r="V1865" i="1" s="1"/>
  <c r="Q1866" i="1"/>
  <c r="V1866" i="1" s="1"/>
  <c r="Q1867" i="1"/>
  <c r="V1867" i="1" s="1"/>
  <c r="Q1868" i="1"/>
  <c r="V1868" i="1" s="1"/>
  <c r="Q1869" i="1"/>
  <c r="V1869" i="1" s="1"/>
  <c r="Q1870" i="1"/>
  <c r="V1870" i="1" s="1"/>
  <c r="Q1871" i="1"/>
  <c r="V1871" i="1" s="1"/>
  <c r="Q1872" i="1"/>
  <c r="V1872" i="1" s="1"/>
  <c r="Q1873" i="1"/>
  <c r="V1873" i="1" s="1"/>
  <c r="Q1874" i="1"/>
  <c r="V1874" i="1" s="1"/>
  <c r="Q1875" i="1"/>
  <c r="V1875" i="1" s="1"/>
  <c r="Q1876" i="1"/>
  <c r="V1876" i="1" s="1"/>
  <c r="Q1877" i="1"/>
  <c r="V1877" i="1" s="1"/>
  <c r="Q1878" i="1"/>
  <c r="V1878" i="1" s="1"/>
  <c r="Q1879" i="1"/>
  <c r="V1879" i="1" s="1"/>
  <c r="Q1880" i="1"/>
  <c r="V1880" i="1" s="1"/>
  <c r="Q1881" i="1"/>
  <c r="V1881" i="1" s="1"/>
  <c r="Q1883" i="1"/>
  <c r="V1883" i="1" s="1"/>
  <c r="Q1885" i="1"/>
  <c r="V1885" i="1" s="1"/>
  <c r="Q1886" i="1"/>
  <c r="V1886" i="1" s="1"/>
  <c r="Q1887" i="1"/>
  <c r="V1887" i="1" s="1"/>
  <c r="Q1888" i="1"/>
  <c r="V1888" i="1" s="1"/>
  <c r="Q1889" i="1"/>
  <c r="V1889" i="1" s="1"/>
  <c r="Q1890" i="1"/>
  <c r="V1890" i="1" s="1"/>
  <c r="Q1891" i="1"/>
  <c r="V1891" i="1" s="1"/>
  <c r="Q1892" i="1"/>
  <c r="V1892" i="1" s="1"/>
  <c r="Q1893" i="1"/>
  <c r="V1893" i="1" s="1"/>
  <c r="Q1894" i="1"/>
  <c r="V1894" i="1" s="1"/>
  <c r="Q1895" i="1"/>
  <c r="V1895" i="1" s="1"/>
  <c r="Q1896" i="1"/>
  <c r="V1896" i="1" s="1"/>
  <c r="Q1897" i="1"/>
  <c r="V1897" i="1" s="1"/>
  <c r="Q1898" i="1"/>
  <c r="V1898" i="1" s="1"/>
  <c r="Q1899" i="1"/>
  <c r="V1899" i="1" s="1"/>
  <c r="Q1900" i="1"/>
  <c r="V1900" i="1" s="1"/>
  <c r="Q1901" i="1"/>
  <c r="V1901" i="1" s="1"/>
  <c r="Q1902" i="1"/>
  <c r="V1902" i="1" s="1"/>
  <c r="Q1903" i="1"/>
  <c r="V1903" i="1" s="1"/>
  <c r="Q1904" i="1"/>
  <c r="V1904" i="1" s="1"/>
  <c r="Q1905" i="1"/>
  <c r="V1905" i="1" s="1"/>
  <c r="Q1906" i="1"/>
  <c r="V1906" i="1" s="1"/>
  <c r="Q1907" i="1"/>
  <c r="V1907" i="1" s="1"/>
  <c r="Q1908" i="1"/>
  <c r="V1908" i="1" s="1"/>
  <c r="Q1909" i="1"/>
  <c r="V1909" i="1" s="1"/>
  <c r="Q1910" i="1"/>
  <c r="V1910" i="1" s="1"/>
  <c r="Q1911" i="1"/>
  <c r="V1911" i="1" s="1"/>
  <c r="Q1912" i="1"/>
  <c r="V1912" i="1" s="1"/>
  <c r="Q1913" i="1"/>
  <c r="V1913" i="1" s="1"/>
  <c r="Q1914" i="1"/>
  <c r="V1914" i="1" s="1"/>
  <c r="Q1915" i="1"/>
  <c r="V1915" i="1" s="1"/>
  <c r="Q1916" i="1"/>
  <c r="V1916" i="1" s="1"/>
  <c r="Q1917" i="1"/>
  <c r="V1917" i="1" s="1"/>
  <c r="Q1918" i="1"/>
  <c r="V1918" i="1" s="1"/>
  <c r="Q1919" i="1"/>
  <c r="V1919" i="1" s="1"/>
  <c r="Q1920" i="1"/>
  <c r="V1920" i="1" s="1"/>
  <c r="Q1921" i="1"/>
  <c r="V1921" i="1" s="1"/>
  <c r="Q1922" i="1"/>
  <c r="V1922" i="1" s="1"/>
  <c r="Q1923" i="1"/>
  <c r="V1923" i="1" s="1"/>
  <c r="Q1924" i="1"/>
  <c r="V1924" i="1" s="1"/>
  <c r="Q1925" i="1"/>
  <c r="V1925" i="1" s="1"/>
  <c r="Q1926" i="1"/>
  <c r="V1926" i="1" s="1"/>
  <c r="Q1929" i="1"/>
  <c r="V1929" i="1" s="1"/>
  <c r="Q1930" i="1"/>
  <c r="V1930" i="1" s="1"/>
  <c r="Q1931" i="1"/>
  <c r="V1931" i="1" s="1"/>
  <c r="Q1932" i="1"/>
  <c r="V1932" i="1" s="1"/>
  <c r="Q1933" i="1"/>
  <c r="V1933" i="1" s="1"/>
  <c r="Q1934" i="1"/>
  <c r="V1934" i="1" s="1"/>
  <c r="Q1935" i="1"/>
  <c r="V1935" i="1" s="1"/>
  <c r="Q1936" i="1"/>
  <c r="V1936" i="1" s="1"/>
  <c r="Q1937" i="1"/>
  <c r="V1937" i="1" s="1"/>
  <c r="Q1938" i="1"/>
  <c r="V1938" i="1" s="1"/>
  <c r="Q1939" i="1"/>
  <c r="V1939" i="1" s="1"/>
  <c r="Q1940" i="1"/>
  <c r="V1940" i="1" s="1"/>
  <c r="Q1941" i="1"/>
  <c r="V1941" i="1" s="1"/>
  <c r="Q1942" i="1"/>
  <c r="V1942" i="1" s="1"/>
  <c r="Q1943" i="1"/>
  <c r="V1943" i="1" s="1"/>
  <c r="Q1944" i="1"/>
  <c r="V1944" i="1" s="1"/>
  <c r="Q1945" i="1"/>
  <c r="V1945" i="1" s="1"/>
  <c r="Q1946" i="1"/>
  <c r="V1946" i="1" s="1"/>
  <c r="Q1947" i="1"/>
  <c r="V1947" i="1" s="1"/>
  <c r="Q1948" i="1"/>
  <c r="V1948" i="1" s="1"/>
  <c r="Q1949" i="1"/>
  <c r="V1949" i="1" s="1"/>
  <c r="Q1950" i="1"/>
  <c r="V1950" i="1" s="1"/>
  <c r="Q1951" i="1"/>
  <c r="V1951" i="1" s="1"/>
  <c r="Q1952" i="1"/>
  <c r="V1952" i="1" s="1"/>
  <c r="Q1953" i="1"/>
  <c r="V1953" i="1" s="1"/>
  <c r="Q1954" i="1"/>
  <c r="V1954" i="1" s="1"/>
  <c r="Q1955" i="1"/>
  <c r="V1955" i="1" s="1"/>
  <c r="Q1956" i="1"/>
  <c r="V1956" i="1" s="1"/>
  <c r="Q1957" i="1"/>
  <c r="V1957" i="1" s="1"/>
  <c r="Q1958" i="1"/>
  <c r="V1958" i="1" s="1"/>
  <c r="Q1959" i="1"/>
  <c r="V1959" i="1" s="1"/>
  <c r="Q1960" i="1"/>
  <c r="V1960" i="1" s="1"/>
  <c r="Q1961" i="1"/>
  <c r="V1961" i="1" s="1"/>
  <c r="Q1962" i="1"/>
  <c r="V1962" i="1" s="1"/>
  <c r="Q1963" i="1"/>
  <c r="V1963" i="1" s="1"/>
  <c r="Q1964" i="1"/>
  <c r="V1964" i="1" s="1"/>
  <c r="Q1965" i="1"/>
  <c r="V1965" i="1" s="1"/>
  <c r="Q1966" i="1"/>
  <c r="V1966" i="1" s="1"/>
  <c r="Q1967" i="1"/>
  <c r="V1967" i="1" s="1"/>
  <c r="Q1968" i="1"/>
  <c r="V1968" i="1" s="1"/>
  <c r="Q1969" i="1"/>
  <c r="V1969" i="1" s="1"/>
  <c r="Q1970" i="1"/>
  <c r="V1970" i="1" s="1"/>
  <c r="Q1971" i="1"/>
  <c r="V1971" i="1" s="1"/>
  <c r="Q1972" i="1"/>
  <c r="V1972" i="1" s="1"/>
  <c r="Q1973" i="1"/>
  <c r="V1973" i="1" s="1"/>
  <c r="Q1974" i="1"/>
  <c r="V1974" i="1" s="1"/>
  <c r="Q1975" i="1"/>
  <c r="V1975" i="1" s="1"/>
  <c r="Q1976" i="1"/>
  <c r="V1976" i="1" s="1"/>
  <c r="Q1977" i="1"/>
  <c r="V1977" i="1" s="1"/>
  <c r="Q1978" i="1"/>
  <c r="V1978" i="1" s="1"/>
  <c r="Q1979" i="1"/>
  <c r="V1979" i="1" s="1"/>
  <c r="Q1980" i="1"/>
  <c r="V1980" i="1" s="1"/>
  <c r="Q1981" i="1"/>
  <c r="V1981" i="1" s="1"/>
  <c r="Q1982" i="1"/>
  <c r="V1982" i="1" s="1"/>
  <c r="Q1983" i="1"/>
  <c r="V1983" i="1" s="1"/>
  <c r="Q1984" i="1"/>
  <c r="V1984" i="1" s="1"/>
  <c r="Q1985" i="1"/>
  <c r="V1985" i="1" s="1"/>
  <c r="Q1986" i="1"/>
  <c r="V1986" i="1" s="1"/>
  <c r="Q1987" i="1"/>
  <c r="V1987" i="1" s="1"/>
  <c r="Q1988" i="1"/>
  <c r="V1988" i="1" s="1"/>
  <c r="Q1989" i="1"/>
  <c r="V1989" i="1" s="1"/>
  <c r="Q1990" i="1"/>
  <c r="V1990" i="1" s="1"/>
  <c r="Q1991" i="1"/>
  <c r="V1991" i="1" s="1"/>
  <c r="Q1992" i="1"/>
  <c r="V1992" i="1" s="1"/>
  <c r="Q1993" i="1"/>
  <c r="V1993" i="1" s="1"/>
  <c r="Q1994" i="1"/>
  <c r="V1994" i="1" s="1"/>
  <c r="Q1995" i="1"/>
  <c r="V1995" i="1" s="1"/>
  <c r="Q1996" i="1"/>
  <c r="V1996" i="1" s="1"/>
  <c r="Q1997" i="1"/>
  <c r="V1997" i="1" s="1"/>
  <c r="Q1998" i="1"/>
  <c r="V1998" i="1" s="1"/>
  <c r="Q1999" i="1"/>
  <c r="V1999" i="1" s="1"/>
  <c r="Q2000" i="1"/>
  <c r="V2000" i="1" s="1"/>
  <c r="Q2001" i="1"/>
  <c r="V2001" i="1" s="1"/>
  <c r="Q2002" i="1"/>
  <c r="V2002" i="1" s="1"/>
  <c r="Q2003" i="1"/>
  <c r="V2003" i="1" s="1"/>
  <c r="Q2004" i="1"/>
  <c r="V2004" i="1" s="1"/>
  <c r="Q2005" i="1"/>
  <c r="V2005" i="1" s="1"/>
  <c r="Q2006" i="1"/>
  <c r="V2006" i="1" s="1"/>
  <c r="Q2007" i="1"/>
  <c r="V2007" i="1" s="1"/>
  <c r="Q2008" i="1"/>
  <c r="V2008" i="1" s="1"/>
  <c r="Q2009" i="1"/>
  <c r="V2009" i="1" s="1"/>
  <c r="Q2010" i="1"/>
  <c r="V2010" i="1" s="1"/>
  <c r="Q2011" i="1"/>
  <c r="V2011" i="1" s="1"/>
  <c r="Q2012" i="1"/>
  <c r="V2012" i="1" s="1"/>
  <c r="Q2013" i="1"/>
  <c r="V2013" i="1" s="1"/>
  <c r="Q2014" i="1"/>
  <c r="V2014" i="1" s="1"/>
  <c r="Q2015" i="1"/>
  <c r="V2015" i="1" s="1"/>
  <c r="Q2016" i="1"/>
  <c r="V2016" i="1" s="1"/>
  <c r="Q2017" i="1"/>
  <c r="V2017" i="1" s="1"/>
  <c r="Q2018" i="1"/>
  <c r="V2018" i="1" s="1"/>
  <c r="Q2019" i="1"/>
  <c r="V2019" i="1" s="1"/>
  <c r="Q2020" i="1"/>
  <c r="V2020" i="1" s="1"/>
  <c r="Q2021" i="1"/>
  <c r="V2021" i="1" s="1"/>
  <c r="Q2022" i="1"/>
  <c r="V2022" i="1" s="1"/>
  <c r="Q2023" i="1"/>
  <c r="V2023" i="1" s="1"/>
  <c r="Q2024" i="1"/>
  <c r="V2024" i="1" s="1"/>
  <c r="Q2025" i="1"/>
  <c r="V2025" i="1" s="1"/>
  <c r="Q2026" i="1"/>
  <c r="V2026" i="1" s="1"/>
  <c r="Q2027" i="1"/>
  <c r="V2027" i="1" s="1"/>
  <c r="Q2028" i="1"/>
  <c r="V2028" i="1" s="1"/>
  <c r="Q2029" i="1"/>
  <c r="V2029" i="1" s="1"/>
  <c r="Q2030" i="1"/>
  <c r="V2030" i="1" s="1"/>
  <c r="Q2031" i="1"/>
  <c r="V2031" i="1" s="1"/>
  <c r="Q2032" i="1"/>
  <c r="V2032" i="1" s="1"/>
  <c r="Q2033" i="1"/>
  <c r="V2033" i="1" s="1"/>
  <c r="Q2034" i="1"/>
  <c r="V2034" i="1" s="1"/>
  <c r="Q2035" i="1"/>
  <c r="V2035" i="1" s="1"/>
  <c r="Q2036" i="1"/>
  <c r="V2036" i="1" s="1"/>
  <c r="Q2037" i="1"/>
  <c r="V2037" i="1" s="1"/>
  <c r="Q2038" i="1"/>
  <c r="V2038" i="1" s="1"/>
  <c r="Q2039" i="1"/>
  <c r="V2039" i="1" s="1"/>
  <c r="Q2040" i="1"/>
  <c r="V2040" i="1" s="1"/>
  <c r="Q2041" i="1"/>
  <c r="V2041" i="1" s="1"/>
  <c r="Q2042" i="1"/>
  <c r="V2042" i="1" s="1"/>
  <c r="Q2043" i="1"/>
  <c r="V2043" i="1" s="1"/>
  <c r="Q2044" i="1"/>
  <c r="V2044" i="1" s="1"/>
  <c r="Q2045" i="1"/>
  <c r="V2045" i="1" s="1"/>
  <c r="Q2046" i="1"/>
  <c r="V2046" i="1" s="1"/>
  <c r="Q2047" i="1"/>
  <c r="V2047" i="1" s="1"/>
  <c r="Q2048" i="1"/>
  <c r="V2048" i="1" s="1"/>
  <c r="Q2049" i="1"/>
  <c r="V2049" i="1" s="1"/>
  <c r="Q2050" i="1"/>
  <c r="V2050" i="1" s="1"/>
  <c r="Q2051" i="1"/>
  <c r="V2051" i="1" s="1"/>
  <c r="Q2052" i="1"/>
  <c r="V2052" i="1" s="1"/>
  <c r="Q2053" i="1"/>
  <c r="V2053" i="1" s="1"/>
  <c r="Q2054" i="1"/>
  <c r="V2054" i="1" s="1"/>
  <c r="Q2055" i="1"/>
  <c r="V2055" i="1" s="1"/>
  <c r="Q2056" i="1"/>
  <c r="V2056" i="1" s="1"/>
  <c r="Q2057" i="1"/>
  <c r="V2057" i="1" s="1"/>
  <c r="Q2058" i="1"/>
  <c r="V2058" i="1" s="1"/>
  <c r="Q2059" i="1"/>
  <c r="V2059" i="1" s="1"/>
  <c r="Q2060" i="1"/>
  <c r="V2060" i="1" s="1"/>
  <c r="Q2061" i="1"/>
  <c r="V2061" i="1" s="1"/>
  <c r="Q2062" i="1"/>
  <c r="V2062" i="1" s="1"/>
  <c r="Q2063" i="1"/>
  <c r="V2063" i="1" s="1"/>
  <c r="Q2064" i="1"/>
  <c r="V2064" i="1" s="1"/>
  <c r="Q2065" i="1"/>
  <c r="V2065" i="1" s="1"/>
  <c r="Q2066" i="1"/>
  <c r="V2066" i="1" s="1"/>
  <c r="Q2067" i="1"/>
  <c r="V2067" i="1" s="1"/>
  <c r="Q2068" i="1"/>
  <c r="V2068" i="1" s="1"/>
  <c r="Q2069" i="1"/>
  <c r="V2069" i="1" s="1"/>
  <c r="Q2070" i="1"/>
  <c r="V2070" i="1" s="1"/>
  <c r="Q2071" i="1"/>
  <c r="V2071" i="1" s="1"/>
  <c r="Q2072" i="1"/>
  <c r="V2072" i="1" s="1"/>
  <c r="Q2073" i="1"/>
  <c r="V2073" i="1" s="1"/>
  <c r="Q2074" i="1"/>
  <c r="V2074" i="1" s="1"/>
  <c r="Q2075" i="1"/>
  <c r="V2075" i="1" s="1"/>
  <c r="Q2076" i="1"/>
  <c r="V2076" i="1" s="1"/>
  <c r="Q2077" i="1"/>
  <c r="V2077" i="1" s="1"/>
  <c r="Q2078" i="1"/>
  <c r="V2078" i="1" s="1"/>
  <c r="Q2079" i="1"/>
  <c r="V2079" i="1" s="1"/>
  <c r="Q2080" i="1"/>
  <c r="V2080" i="1" s="1"/>
  <c r="Q2081" i="1"/>
  <c r="V2081" i="1" s="1"/>
  <c r="Q2082" i="1"/>
  <c r="V2082" i="1" s="1"/>
  <c r="Q2083" i="1"/>
  <c r="V2083" i="1" s="1"/>
  <c r="Q2084" i="1"/>
  <c r="V2084" i="1" s="1"/>
  <c r="Q2085" i="1"/>
  <c r="V2085" i="1" s="1"/>
  <c r="Q2086" i="1"/>
  <c r="V2086" i="1" s="1"/>
  <c r="Q2087" i="1"/>
  <c r="V2087" i="1" s="1"/>
  <c r="Q2088" i="1"/>
  <c r="V2088" i="1" s="1"/>
  <c r="Q2089" i="1"/>
  <c r="V2089" i="1" s="1"/>
  <c r="Q2090" i="1"/>
  <c r="V2090" i="1" s="1"/>
  <c r="Q2091" i="1"/>
  <c r="V2091" i="1" s="1"/>
  <c r="Q2092" i="1"/>
  <c r="V2092" i="1" s="1"/>
  <c r="Q2093" i="1"/>
  <c r="V2093" i="1" s="1"/>
  <c r="Q2094" i="1"/>
  <c r="V2094" i="1" s="1"/>
  <c r="Q2095" i="1"/>
  <c r="V2095" i="1" s="1"/>
  <c r="Q2096" i="1"/>
  <c r="V2096" i="1" s="1"/>
  <c r="Q2097" i="1"/>
  <c r="V2097" i="1" s="1"/>
  <c r="Q2098" i="1"/>
  <c r="V2098" i="1" s="1"/>
  <c r="Q2099" i="1"/>
  <c r="V2099" i="1" s="1"/>
  <c r="Q2100" i="1"/>
  <c r="V2100" i="1" s="1"/>
  <c r="Q2101" i="1"/>
  <c r="V2101" i="1" s="1"/>
  <c r="Q2102" i="1"/>
  <c r="V2102" i="1" s="1"/>
  <c r="Q2103" i="1"/>
  <c r="V2103" i="1" s="1"/>
  <c r="Q2104" i="1"/>
  <c r="V2104" i="1" s="1"/>
  <c r="Q2105" i="1"/>
  <c r="V2105" i="1" s="1"/>
  <c r="Q2106" i="1"/>
  <c r="V2106" i="1" s="1"/>
  <c r="Q2107" i="1"/>
  <c r="V2107" i="1" s="1"/>
  <c r="Q2108" i="1"/>
  <c r="V2108" i="1" s="1"/>
  <c r="Q2109" i="1"/>
  <c r="V2109" i="1" s="1"/>
  <c r="Q2110" i="1"/>
  <c r="V2110" i="1" s="1"/>
  <c r="Q2111" i="1"/>
  <c r="V2111" i="1" s="1"/>
  <c r="Q2112" i="1"/>
  <c r="V2112" i="1" s="1"/>
  <c r="Q2113" i="1"/>
  <c r="V2113" i="1" s="1"/>
  <c r="Q2114" i="1"/>
  <c r="V2114" i="1" s="1"/>
  <c r="Q2115" i="1"/>
  <c r="V2115" i="1" s="1"/>
  <c r="Q2116" i="1"/>
  <c r="V2116" i="1" s="1"/>
  <c r="Q2117" i="1"/>
  <c r="V2117" i="1" s="1"/>
  <c r="Q2118" i="1"/>
  <c r="V2118" i="1" s="1"/>
  <c r="Q2119" i="1"/>
  <c r="V2119" i="1" s="1"/>
  <c r="Q2120" i="1"/>
  <c r="V2120" i="1" s="1"/>
  <c r="Q2121" i="1"/>
  <c r="V2121" i="1" s="1"/>
  <c r="Q2122" i="1"/>
  <c r="V2122" i="1" s="1"/>
  <c r="Q2123" i="1"/>
  <c r="V2123" i="1" s="1"/>
  <c r="Q2124" i="1"/>
  <c r="V2124" i="1" s="1"/>
  <c r="Q2125" i="1"/>
  <c r="V2125" i="1" s="1"/>
  <c r="Q2126" i="1"/>
  <c r="V2126" i="1" s="1"/>
  <c r="Q2127" i="1"/>
  <c r="V2127" i="1" s="1"/>
  <c r="Q2128" i="1"/>
  <c r="V2128" i="1" s="1"/>
  <c r="Q2129" i="1"/>
  <c r="V2129" i="1" s="1"/>
  <c r="Q2130" i="1"/>
  <c r="V2130" i="1" s="1"/>
  <c r="Q2132" i="1"/>
  <c r="V2132" i="1" s="1"/>
  <c r="Q2133" i="1"/>
  <c r="V2133" i="1" s="1"/>
  <c r="Q2134" i="1"/>
  <c r="V2134" i="1" s="1"/>
  <c r="Q2135" i="1"/>
  <c r="V2135" i="1" s="1"/>
  <c r="Q2136" i="1"/>
  <c r="V2136" i="1" s="1"/>
  <c r="Q2137" i="1"/>
  <c r="V2137" i="1" s="1"/>
  <c r="Q2138" i="1"/>
  <c r="V2138" i="1" s="1"/>
  <c r="Q2139" i="1"/>
  <c r="V2139" i="1" s="1"/>
  <c r="Q2140" i="1"/>
  <c r="V2140" i="1" s="1"/>
  <c r="Q2141" i="1"/>
  <c r="V2141" i="1" s="1"/>
  <c r="Q2142" i="1"/>
  <c r="V2142" i="1" s="1"/>
  <c r="Q2143" i="1"/>
  <c r="V2143" i="1" s="1"/>
  <c r="Q2144" i="1"/>
  <c r="V2144" i="1" s="1"/>
  <c r="Q2145" i="1"/>
  <c r="V2145" i="1" s="1"/>
  <c r="Q2146" i="1"/>
  <c r="V2146" i="1" s="1"/>
  <c r="Q2147" i="1"/>
  <c r="V2147" i="1" s="1"/>
  <c r="Q2148" i="1"/>
  <c r="V2148" i="1" s="1"/>
  <c r="Q2149" i="1"/>
  <c r="V2149" i="1" s="1"/>
  <c r="Q2150" i="1"/>
  <c r="V2150" i="1" s="1"/>
  <c r="Q2151" i="1"/>
  <c r="V2151" i="1" s="1"/>
  <c r="Q2152" i="1"/>
  <c r="V2152" i="1" s="1"/>
  <c r="Q2153" i="1"/>
  <c r="V2153" i="1" s="1"/>
  <c r="Q2154" i="1"/>
  <c r="V2154" i="1" s="1"/>
  <c r="Q2155" i="1"/>
  <c r="V2155" i="1" s="1"/>
  <c r="Q2157" i="1"/>
  <c r="V2157" i="1" s="1"/>
  <c r="Q2158" i="1"/>
  <c r="V2158" i="1" s="1"/>
  <c r="Q2159" i="1"/>
  <c r="V2159" i="1" s="1"/>
  <c r="Q2160" i="1"/>
  <c r="V2160" i="1" s="1"/>
  <c r="Q2161" i="1"/>
  <c r="V2161" i="1" s="1"/>
  <c r="Q2162" i="1"/>
  <c r="V2162" i="1" s="1"/>
  <c r="Q2163" i="1"/>
  <c r="V2163" i="1" s="1"/>
  <c r="Q2164" i="1"/>
  <c r="V2164" i="1" s="1"/>
  <c r="Q2165" i="1"/>
  <c r="V2165" i="1" s="1"/>
  <c r="Q2166" i="1"/>
  <c r="V2166" i="1" s="1"/>
  <c r="Q2167" i="1"/>
  <c r="V2167" i="1" s="1"/>
  <c r="Q2168" i="1"/>
  <c r="V2168" i="1" s="1"/>
  <c r="Q2169" i="1"/>
  <c r="V2169" i="1" s="1"/>
  <c r="Q2170" i="1"/>
  <c r="V2170" i="1" s="1"/>
  <c r="Q2171" i="1"/>
  <c r="V2171" i="1" s="1"/>
  <c r="Q2172" i="1"/>
  <c r="V2172" i="1" s="1"/>
  <c r="Q2173" i="1"/>
  <c r="V2173" i="1" s="1"/>
  <c r="Q2174" i="1"/>
  <c r="V2174" i="1" s="1"/>
  <c r="Q2175" i="1"/>
  <c r="V2175" i="1" s="1"/>
  <c r="Q2176" i="1"/>
  <c r="V2176" i="1" s="1"/>
  <c r="Q2177" i="1"/>
  <c r="V2177" i="1" s="1"/>
  <c r="Q2178" i="1"/>
  <c r="V2178" i="1" s="1"/>
  <c r="Q2179" i="1"/>
  <c r="V2179" i="1" s="1"/>
  <c r="Q2180" i="1"/>
  <c r="V2180" i="1" s="1"/>
  <c r="Q2181" i="1"/>
  <c r="V2181" i="1" s="1"/>
  <c r="Q2182" i="1"/>
  <c r="V2182" i="1" s="1"/>
  <c r="Q2183" i="1"/>
  <c r="V2183" i="1" s="1"/>
  <c r="Q2184" i="1"/>
  <c r="V2184" i="1" s="1"/>
  <c r="Q2185" i="1"/>
  <c r="V2185" i="1" s="1"/>
  <c r="Q2186" i="1"/>
  <c r="V2186" i="1" s="1"/>
  <c r="Q2187" i="1"/>
  <c r="V2187" i="1" s="1"/>
  <c r="Q2188" i="1"/>
  <c r="V2188" i="1" s="1"/>
  <c r="Q2189" i="1"/>
  <c r="V2189" i="1" s="1"/>
  <c r="Q2190" i="1"/>
  <c r="V2190" i="1" s="1"/>
  <c r="Q2191" i="1"/>
  <c r="V2191" i="1" s="1"/>
  <c r="Q2192" i="1"/>
  <c r="V2192" i="1" s="1"/>
  <c r="Q2193" i="1"/>
  <c r="V2193" i="1" s="1"/>
  <c r="Q2194" i="1"/>
  <c r="V2194" i="1" s="1"/>
  <c r="Q2195" i="1"/>
  <c r="V2195" i="1" s="1"/>
  <c r="Q2196" i="1"/>
  <c r="V2196" i="1" s="1"/>
  <c r="Q2197" i="1"/>
  <c r="V2197" i="1" s="1"/>
  <c r="Q2198" i="1"/>
  <c r="V2198" i="1" s="1"/>
  <c r="Q2199" i="1"/>
  <c r="V2199" i="1" s="1"/>
  <c r="Q2200" i="1"/>
  <c r="V2200" i="1" s="1"/>
  <c r="Q2201" i="1"/>
  <c r="V2201" i="1" s="1"/>
  <c r="Q2202" i="1"/>
  <c r="V2202" i="1" s="1"/>
  <c r="Q2203" i="1"/>
  <c r="V2203" i="1" s="1"/>
  <c r="Q2204" i="1"/>
  <c r="V2204" i="1" s="1"/>
  <c r="Q2205" i="1"/>
  <c r="V2205" i="1" s="1"/>
  <c r="Q2206" i="1"/>
  <c r="V2206" i="1" s="1"/>
  <c r="Q2207" i="1"/>
  <c r="V2207" i="1" s="1"/>
  <c r="Q2208" i="1"/>
  <c r="V2208" i="1" s="1"/>
  <c r="Q2209" i="1"/>
  <c r="V2209" i="1" s="1"/>
  <c r="Q2210" i="1"/>
  <c r="V2210" i="1" s="1"/>
  <c r="Q2211" i="1"/>
  <c r="V2211" i="1" s="1"/>
  <c r="Q2212" i="1"/>
  <c r="V2212" i="1" s="1"/>
  <c r="Q2213" i="1"/>
  <c r="V2213" i="1" s="1"/>
  <c r="Q2214" i="1"/>
  <c r="V2214" i="1" s="1"/>
  <c r="Q2215" i="1"/>
  <c r="V2215" i="1" s="1"/>
  <c r="Q2216" i="1"/>
  <c r="V2216" i="1" s="1"/>
  <c r="Q2217" i="1"/>
  <c r="V2217" i="1" s="1"/>
  <c r="Q2218" i="1"/>
  <c r="V2218" i="1" s="1"/>
  <c r="Q2219" i="1"/>
  <c r="V2219" i="1" s="1"/>
  <c r="Q2220" i="1"/>
  <c r="V2220" i="1" s="1"/>
  <c r="Q2221" i="1"/>
  <c r="V2221" i="1" s="1"/>
  <c r="Q2222" i="1"/>
  <c r="V2222" i="1" s="1"/>
  <c r="Q2223" i="1"/>
  <c r="V2223" i="1" s="1"/>
  <c r="Q2224" i="1"/>
  <c r="V2224" i="1" s="1"/>
  <c r="Q2225" i="1"/>
  <c r="V2225" i="1" s="1"/>
  <c r="Q2226" i="1"/>
  <c r="V2226" i="1" s="1"/>
  <c r="Q2227" i="1"/>
  <c r="V2227" i="1" s="1"/>
  <c r="Q2228" i="1"/>
  <c r="V2228" i="1" s="1"/>
  <c r="Q2229" i="1"/>
  <c r="V2229" i="1" s="1"/>
  <c r="Q2230" i="1"/>
  <c r="V2230" i="1" s="1"/>
  <c r="Q2231" i="1"/>
  <c r="V2231" i="1" s="1"/>
  <c r="Q2232" i="1"/>
  <c r="V2232" i="1" s="1"/>
  <c r="Q2233" i="1"/>
  <c r="V2233" i="1" s="1"/>
  <c r="Q2234" i="1"/>
  <c r="V2234" i="1" s="1"/>
  <c r="Q2235" i="1"/>
  <c r="V2235" i="1" s="1"/>
  <c r="Q2236" i="1"/>
  <c r="V2236" i="1" s="1"/>
  <c r="Q2237" i="1"/>
  <c r="V2237" i="1" s="1"/>
  <c r="Q2238" i="1"/>
  <c r="V2238" i="1" s="1"/>
  <c r="Q2239" i="1"/>
  <c r="V2239" i="1" s="1"/>
  <c r="Q2240" i="1"/>
  <c r="V2240" i="1" s="1"/>
  <c r="Q2241" i="1"/>
  <c r="V2241" i="1" s="1"/>
  <c r="Q2242" i="1"/>
  <c r="V2242" i="1" s="1"/>
  <c r="Q2243" i="1"/>
  <c r="V2243" i="1" s="1"/>
  <c r="Q2244" i="1"/>
  <c r="V2244" i="1" s="1"/>
  <c r="Q2245" i="1"/>
  <c r="V2245" i="1" s="1"/>
  <c r="Q2246" i="1"/>
  <c r="V2246" i="1" s="1"/>
  <c r="Q2247" i="1"/>
  <c r="V2247" i="1" s="1"/>
  <c r="Q2248" i="1"/>
  <c r="V2248" i="1" s="1"/>
  <c r="Q2249" i="1"/>
  <c r="V2249" i="1" s="1"/>
  <c r="Q2250" i="1"/>
  <c r="V2250" i="1" s="1"/>
  <c r="Q2251" i="1"/>
  <c r="V2251" i="1" s="1"/>
  <c r="Q2252" i="1"/>
  <c r="V2252" i="1" s="1"/>
  <c r="Q2253" i="1"/>
  <c r="V2253" i="1" s="1"/>
  <c r="Q2254" i="1"/>
  <c r="V2254" i="1" s="1"/>
  <c r="Q2255" i="1"/>
  <c r="V2255" i="1" s="1"/>
  <c r="Q2256" i="1"/>
  <c r="V2256" i="1" s="1"/>
  <c r="Q2257" i="1"/>
  <c r="V2257" i="1" s="1"/>
  <c r="Q2258" i="1"/>
  <c r="V2258" i="1" s="1"/>
  <c r="Q2259" i="1"/>
  <c r="V2259" i="1" s="1"/>
  <c r="Q2260" i="1"/>
  <c r="V2260" i="1" s="1"/>
  <c r="Q2261" i="1"/>
  <c r="V2261" i="1" s="1"/>
  <c r="Q2262" i="1"/>
  <c r="V2262" i="1" s="1"/>
  <c r="Q2263" i="1"/>
  <c r="V2263" i="1" s="1"/>
  <c r="Q2264" i="1"/>
  <c r="V2264" i="1" s="1"/>
  <c r="Q2265" i="1"/>
  <c r="V2265" i="1" s="1"/>
  <c r="Q2266" i="1"/>
  <c r="V2266" i="1" s="1"/>
  <c r="Q2267" i="1"/>
  <c r="V2267" i="1" s="1"/>
  <c r="Q2268" i="1"/>
  <c r="V2268" i="1" s="1"/>
  <c r="Q2269" i="1"/>
  <c r="V2269" i="1" s="1"/>
  <c r="Q2270" i="1"/>
  <c r="V2270" i="1" s="1"/>
  <c r="Q2271" i="1"/>
  <c r="V2271" i="1" s="1"/>
  <c r="Q2272" i="1"/>
  <c r="V2272" i="1" s="1"/>
  <c r="Q2273" i="1"/>
  <c r="V2273" i="1" s="1"/>
  <c r="Q2274" i="1"/>
  <c r="V2274" i="1" s="1"/>
  <c r="Q2275" i="1"/>
  <c r="V2275" i="1" s="1"/>
  <c r="Q2276" i="1"/>
  <c r="V2276" i="1" s="1"/>
  <c r="Q2277" i="1"/>
  <c r="V2277" i="1" s="1"/>
  <c r="Q2278" i="1"/>
  <c r="V2278" i="1" s="1"/>
  <c r="Q2279" i="1"/>
  <c r="V2279" i="1" s="1"/>
  <c r="Q2280" i="1"/>
  <c r="V2280" i="1" s="1"/>
  <c r="Q2281" i="1"/>
  <c r="V2281" i="1" s="1"/>
  <c r="Q2282" i="1"/>
  <c r="V2282" i="1" s="1"/>
  <c r="Q2283" i="1"/>
  <c r="V2283" i="1" s="1"/>
  <c r="Q2284" i="1"/>
  <c r="V2284" i="1" s="1"/>
  <c r="Q2285" i="1"/>
  <c r="V2285" i="1" s="1"/>
  <c r="Q2286" i="1"/>
  <c r="V2286" i="1" s="1"/>
  <c r="Q2287" i="1"/>
  <c r="V2287" i="1" s="1"/>
  <c r="Q2288" i="1"/>
  <c r="V2288" i="1" s="1"/>
  <c r="Q2289" i="1"/>
  <c r="V2289" i="1" s="1"/>
  <c r="Q2290" i="1"/>
  <c r="V2290" i="1" s="1"/>
  <c r="Q2291" i="1"/>
  <c r="V2291" i="1" s="1"/>
  <c r="Q2292" i="1"/>
  <c r="V2292" i="1" s="1"/>
  <c r="Q2293" i="1"/>
  <c r="V2293" i="1" s="1"/>
  <c r="Q2294" i="1"/>
  <c r="V2294" i="1" s="1"/>
  <c r="Q2295" i="1"/>
  <c r="V2295" i="1" s="1"/>
  <c r="Q2296" i="1"/>
  <c r="V2296" i="1" s="1"/>
  <c r="Q2297" i="1"/>
  <c r="V2297" i="1" s="1"/>
  <c r="Q2298" i="1"/>
  <c r="V2298" i="1" s="1"/>
  <c r="Q2299" i="1"/>
  <c r="V2299" i="1" s="1"/>
  <c r="Q2300" i="1"/>
  <c r="V2300" i="1" s="1"/>
  <c r="Q2301" i="1"/>
  <c r="V2301" i="1" s="1"/>
  <c r="Q2302" i="1"/>
  <c r="V2302" i="1" s="1"/>
  <c r="Q2303" i="1"/>
  <c r="V2303" i="1" s="1"/>
  <c r="Q2304" i="1"/>
  <c r="V2304" i="1" s="1"/>
  <c r="Q2305" i="1"/>
  <c r="V2305" i="1" s="1"/>
  <c r="Q2306" i="1"/>
  <c r="V2306" i="1" s="1"/>
  <c r="Q2307" i="1"/>
  <c r="V2307" i="1" s="1"/>
  <c r="Q2308" i="1"/>
  <c r="V2308" i="1" s="1"/>
  <c r="Q2309" i="1"/>
  <c r="V2309" i="1" s="1"/>
  <c r="Q2310" i="1"/>
  <c r="V2310" i="1" s="1"/>
  <c r="Q2311" i="1"/>
  <c r="V2311" i="1" s="1"/>
  <c r="Q2312" i="1"/>
  <c r="V2312" i="1" s="1"/>
  <c r="Q2313" i="1"/>
  <c r="V2313" i="1" s="1"/>
  <c r="Q2314" i="1"/>
  <c r="V2314" i="1" s="1"/>
  <c r="Q2315" i="1"/>
  <c r="V2315" i="1" s="1"/>
  <c r="Q2316" i="1"/>
  <c r="V2316" i="1" s="1"/>
  <c r="Q2317" i="1"/>
  <c r="V2317" i="1" s="1"/>
  <c r="Q2318" i="1"/>
  <c r="V2318" i="1" s="1"/>
  <c r="Q2319" i="1"/>
  <c r="V2319" i="1" s="1"/>
  <c r="Q2320" i="1"/>
  <c r="V2320" i="1" s="1"/>
  <c r="Q2321" i="1"/>
  <c r="V2321" i="1" s="1"/>
  <c r="Q2322" i="1"/>
  <c r="V2322" i="1" s="1"/>
  <c r="Q2323" i="1"/>
  <c r="V2323" i="1" s="1"/>
  <c r="Q2324" i="1"/>
  <c r="V2324" i="1" s="1"/>
  <c r="Q2325" i="1"/>
  <c r="V2325" i="1" s="1"/>
  <c r="Q2326" i="1"/>
  <c r="V2326" i="1" s="1"/>
  <c r="Q2327" i="1"/>
  <c r="V2327" i="1" s="1"/>
  <c r="Q2328" i="1"/>
  <c r="V2328" i="1" s="1"/>
  <c r="Q2329" i="1"/>
  <c r="V2329" i="1" s="1"/>
  <c r="Q2330" i="1"/>
  <c r="V2330" i="1" s="1"/>
  <c r="Q2331" i="1"/>
  <c r="V2331" i="1" s="1"/>
  <c r="Q2332" i="1"/>
  <c r="V2332" i="1" s="1"/>
  <c r="Q2333" i="1"/>
  <c r="V2333" i="1" s="1"/>
  <c r="Q2334" i="1"/>
  <c r="V2334" i="1" s="1"/>
  <c r="Q2335" i="1"/>
  <c r="V2335" i="1" s="1"/>
  <c r="Q2336" i="1"/>
  <c r="V2336" i="1" s="1"/>
  <c r="Q2337" i="1"/>
  <c r="V2337" i="1" s="1"/>
  <c r="Q2338" i="1"/>
  <c r="V2338" i="1" s="1"/>
  <c r="Q2339" i="1"/>
  <c r="V2339" i="1" s="1"/>
  <c r="Q2340" i="1"/>
  <c r="V2340" i="1" s="1"/>
  <c r="Q2341" i="1"/>
  <c r="V2341" i="1" s="1"/>
  <c r="Q2342" i="1"/>
  <c r="V2342" i="1" s="1"/>
  <c r="Q2343" i="1"/>
  <c r="V2343" i="1" s="1"/>
  <c r="Q2344" i="1"/>
  <c r="V2344" i="1" s="1"/>
  <c r="Q2345" i="1"/>
  <c r="V2345" i="1" s="1"/>
  <c r="Q2346" i="1"/>
  <c r="V2346" i="1" s="1"/>
  <c r="Q2347" i="1"/>
  <c r="V2347" i="1" s="1"/>
  <c r="Q2348" i="1"/>
  <c r="V2348" i="1" s="1"/>
  <c r="Q2349" i="1"/>
  <c r="V2349" i="1" s="1"/>
  <c r="Q2350" i="1"/>
  <c r="V2350" i="1" s="1"/>
  <c r="Q2351" i="1"/>
  <c r="V2351" i="1" s="1"/>
  <c r="Q2352" i="1"/>
  <c r="V2352" i="1" s="1"/>
  <c r="Q2353" i="1"/>
  <c r="V2353" i="1" s="1"/>
  <c r="Q2354" i="1"/>
  <c r="V2354" i="1" s="1"/>
  <c r="Q2355" i="1"/>
  <c r="V2355" i="1" s="1"/>
  <c r="Q2356" i="1"/>
  <c r="V2356" i="1" s="1"/>
  <c r="Q2357" i="1"/>
  <c r="V2357" i="1" s="1"/>
  <c r="Q2358" i="1"/>
  <c r="V2358" i="1" s="1"/>
  <c r="Q2359" i="1"/>
  <c r="V2359" i="1" s="1"/>
  <c r="Q2360" i="1"/>
  <c r="V2360" i="1" s="1"/>
  <c r="Q2361" i="1"/>
  <c r="V2361" i="1" s="1"/>
  <c r="Q2362" i="1"/>
  <c r="V2362" i="1" s="1"/>
  <c r="Q2363" i="1"/>
  <c r="V2363" i="1" s="1"/>
  <c r="Q2364" i="1"/>
  <c r="V2364" i="1" s="1"/>
  <c r="Q2365" i="1"/>
  <c r="V2365" i="1" s="1"/>
  <c r="Q2366" i="1"/>
  <c r="V2366" i="1" s="1"/>
  <c r="Q2367" i="1"/>
  <c r="V2367" i="1" s="1"/>
  <c r="Q2368" i="1"/>
  <c r="V2368" i="1" s="1"/>
  <c r="Q2369" i="1"/>
  <c r="V2369" i="1" s="1"/>
  <c r="Q2370" i="1"/>
  <c r="V2370" i="1" s="1"/>
  <c r="Q2371" i="1"/>
  <c r="V2371" i="1" s="1"/>
  <c r="Q2372" i="1"/>
  <c r="V2372" i="1" s="1"/>
  <c r="Q2373" i="1"/>
  <c r="V2373" i="1" s="1"/>
  <c r="Q2374" i="1"/>
  <c r="V2374" i="1" s="1"/>
  <c r="Q2375" i="1"/>
  <c r="V2375" i="1" s="1"/>
  <c r="Q2376" i="1"/>
  <c r="V2376" i="1" s="1"/>
  <c r="Q2377" i="1"/>
  <c r="V2377" i="1" s="1"/>
  <c r="Q2378" i="1"/>
  <c r="V2378" i="1" s="1"/>
  <c r="Q2379" i="1"/>
  <c r="V2379" i="1" s="1"/>
  <c r="Q2380" i="1"/>
  <c r="V2380" i="1" s="1"/>
  <c r="Q2381" i="1"/>
  <c r="V2381" i="1" s="1"/>
  <c r="Q2382" i="1"/>
  <c r="V2382" i="1" s="1"/>
  <c r="Q2383" i="1"/>
  <c r="V2383" i="1" s="1"/>
  <c r="Q2384" i="1"/>
  <c r="V2384" i="1" s="1"/>
  <c r="Q2385" i="1"/>
  <c r="V2385" i="1" s="1"/>
  <c r="Q2386" i="1"/>
  <c r="V2386" i="1" s="1"/>
  <c r="Q2387" i="1"/>
  <c r="V2387" i="1" s="1"/>
  <c r="Q2389" i="1"/>
  <c r="V2389" i="1" s="1"/>
  <c r="Q2390" i="1"/>
  <c r="V2390" i="1" s="1"/>
  <c r="Q2391" i="1"/>
  <c r="V2391" i="1" s="1"/>
  <c r="Q2392" i="1"/>
  <c r="V2392" i="1" s="1"/>
  <c r="Q2393" i="1"/>
  <c r="V2393" i="1" s="1"/>
  <c r="Q2394" i="1"/>
  <c r="V2394" i="1" s="1"/>
  <c r="Q2395" i="1"/>
  <c r="V2395" i="1" s="1"/>
  <c r="Q2396" i="1"/>
  <c r="V2396" i="1" s="1"/>
  <c r="Q2398" i="1"/>
  <c r="V2398" i="1" s="1"/>
  <c r="Q2399" i="1"/>
  <c r="V2399" i="1" s="1"/>
  <c r="Q2400" i="1"/>
  <c r="V2400" i="1" s="1"/>
  <c r="Q2401" i="1"/>
  <c r="V2401" i="1" s="1"/>
  <c r="Q2402" i="1"/>
  <c r="V2402" i="1" s="1"/>
  <c r="Q2403" i="1"/>
  <c r="V2403" i="1" s="1"/>
  <c r="Q2404" i="1"/>
  <c r="V2404" i="1" s="1"/>
  <c r="Q2405" i="1"/>
  <c r="V2405" i="1" s="1"/>
  <c r="Q2406" i="1"/>
  <c r="V2406" i="1" s="1"/>
  <c r="Q2407" i="1"/>
  <c r="V2407" i="1" s="1"/>
  <c r="Q2408" i="1"/>
  <c r="V2408" i="1" s="1"/>
  <c r="Q2409" i="1"/>
  <c r="V2409" i="1" s="1"/>
  <c r="Q2410" i="1"/>
  <c r="V2410" i="1" s="1"/>
  <c r="Q2411" i="1"/>
  <c r="V2411" i="1" s="1"/>
  <c r="Q2412" i="1"/>
  <c r="V2412" i="1" s="1"/>
  <c r="Q2413" i="1"/>
  <c r="V2413" i="1" s="1"/>
  <c r="Q2414" i="1"/>
  <c r="V2414" i="1" s="1"/>
  <c r="Q2415" i="1"/>
  <c r="V2415" i="1" s="1"/>
  <c r="Q2416" i="1"/>
  <c r="V2416" i="1" s="1"/>
  <c r="Q2417" i="1"/>
  <c r="V2417" i="1" s="1"/>
  <c r="Q2418" i="1"/>
  <c r="V2418" i="1" s="1"/>
  <c r="Q2419" i="1"/>
  <c r="V2419" i="1" s="1"/>
  <c r="Q2420" i="1"/>
  <c r="V2420" i="1" s="1"/>
  <c r="Q2421" i="1"/>
  <c r="V2421" i="1" s="1"/>
  <c r="Q2422" i="1"/>
  <c r="V2422" i="1" s="1"/>
  <c r="Q2423" i="1"/>
  <c r="V2423" i="1" s="1"/>
  <c r="Q2424" i="1"/>
  <c r="V2424" i="1" s="1"/>
  <c r="Q2425" i="1"/>
  <c r="V2425" i="1" s="1"/>
  <c r="Q2426" i="1"/>
  <c r="V2426" i="1" s="1"/>
  <c r="Q2427" i="1"/>
  <c r="V2427" i="1" s="1"/>
  <c r="Q2428" i="1"/>
  <c r="V2428" i="1" s="1"/>
  <c r="Q2429" i="1"/>
  <c r="V2429" i="1" s="1"/>
  <c r="Q2430" i="1"/>
  <c r="V2430" i="1" s="1"/>
  <c r="Q2431" i="1"/>
  <c r="V2431" i="1" s="1"/>
  <c r="Q2432" i="1"/>
  <c r="V2432" i="1" s="1"/>
  <c r="Q2433" i="1"/>
  <c r="V2433" i="1" s="1"/>
  <c r="Q2434" i="1"/>
  <c r="V2434" i="1" s="1"/>
  <c r="Q2435" i="1"/>
  <c r="V2435" i="1" s="1"/>
  <c r="Q2436" i="1"/>
  <c r="V2436" i="1" s="1"/>
  <c r="Q2437" i="1"/>
  <c r="V2437" i="1" s="1"/>
  <c r="Q2438" i="1"/>
  <c r="V2438" i="1" s="1"/>
  <c r="Q2439" i="1"/>
  <c r="V2439" i="1" s="1"/>
  <c r="Q2440" i="1"/>
  <c r="V2440" i="1" s="1"/>
  <c r="Q2441" i="1"/>
  <c r="V2441" i="1" s="1"/>
  <c r="Q2442" i="1"/>
  <c r="V2442" i="1" s="1"/>
  <c r="Q2443" i="1"/>
  <c r="V2443" i="1" s="1"/>
  <c r="Q2444" i="1"/>
  <c r="V2444" i="1" s="1"/>
  <c r="Q2445" i="1"/>
  <c r="V2445" i="1" s="1"/>
  <c r="Q2446" i="1"/>
  <c r="V2446" i="1" s="1"/>
  <c r="Q2447" i="1"/>
  <c r="V2447" i="1" s="1"/>
  <c r="Q2448" i="1"/>
  <c r="V2448" i="1" s="1"/>
  <c r="Q2449" i="1"/>
  <c r="V2449" i="1" s="1"/>
  <c r="Q2450" i="1"/>
  <c r="V2450" i="1" s="1"/>
  <c r="Q2451" i="1"/>
  <c r="V2451" i="1" s="1"/>
  <c r="Q2452" i="1"/>
  <c r="V2452" i="1" s="1"/>
  <c r="Q2453" i="1"/>
  <c r="V2453" i="1" s="1"/>
  <c r="Q2454" i="1"/>
  <c r="V2454" i="1" s="1"/>
  <c r="Q2455" i="1"/>
  <c r="V2455" i="1" s="1"/>
  <c r="Q2456" i="1"/>
  <c r="V2456" i="1" s="1"/>
  <c r="Q2457" i="1"/>
  <c r="V2457" i="1" s="1"/>
  <c r="Q2458" i="1"/>
  <c r="V2458" i="1" s="1"/>
  <c r="Q2459" i="1"/>
  <c r="V2459" i="1" s="1"/>
  <c r="Q2460" i="1"/>
  <c r="V2460" i="1" s="1"/>
  <c r="Q2461" i="1"/>
  <c r="V2461" i="1" s="1"/>
  <c r="Q2462" i="1"/>
  <c r="V2462" i="1" s="1"/>
  <c r="Q2463" i="1"/>
  <c r="V2463" i="1" s="1"/>
  <c r="Q2464" i="1"/>
  <c r="V2464" i="1" s="1"/>
  <c r="Q2465" i="1"/>
  <c r="V2465" i="1" s="1"/>
  <c r="Q2466" i="1"/>
  <c r="V2466" i="1" s="1"/>
  <c r="Q2467" i="1"/>
  <c r="V2467" i="1" s="1"/>
  <c r="Q2468" i="1"/>
  <c r="V2468" i="1" s="1"/>
  <c r="Q2469" i="1"/>
  <c r="V2469" i="1" s="1"/>
  <c r="Q2470" i="1"/>
  <c r="V2470" i="1" s="1"/>
  <c r="Q2471" i="1"/>
  <c r="V2471" i="1" s="1"/>
  <c r="Q2472" i="1"/>
  <c r="V2472" i="1" s="1"/>
  <c r="Q2473" i="1"/>
  <c r="V2473" i="1" s="1"/>
  <c r="Q2474" i="1"/>
  <c r="V2474" i="1" s="1"/>
  <c r="Q2475" i="1"/>
  <c r="V2475" i="1" s="1"/>
  <c r="Q2476" i="1"/>
  <c r="V2476" i="1" s="1"/>
  <c r="Q2477" i="1"/>
  <c r="V2477" i="1" s="1"/>
  <c r="Q2479" i="1"/>
  <c r="V2479" i="1" s="1"/>
  <c r="Q2481" i="1"/>
  <c r="V2481" i="1" s="1"/>
  <c r="Q2482" i="1"/>
  <c r="V2482" i="1" s="1"/>
  <c r="Q2483" i="1"/>
  <c r="V2483" i="1" s="1"/>
  <c r="Q2484" i="1"/>
  <c r="V2484" i="1" s="1"/>
  <c r="Q2485" i="1"/>
  <c r="V2485" i="1" s="1"/>
  <c r="Q2486" i="1"/>
  <c r="V2486" i="1" s="1"/>
  <c r="Q2487" i="1"/>
  <c r="V2487" i="1" s="1"/>
  <c r="Q2488" i="1"/>
  <c r="V2488" i="1" s="1"/>
  <c r="Q2489" i="1"/>
  <c r="V2489" i="1" s="1"/>
  <c r="Q2490" i="1"/>
  <c r="V2490" i="1" s="1"/>
  <c r="Q2491" i="1"/>
  <c r="V2491" i="1" s="1"/>
  <c r="Q2492" i="1"/>
  <c r="V2492" i="1" s="1"/>
  <c r="Q2493" i="1"/>
  <c r="V2493" i="1" s="1"/>
  <c r="Q2494" i="1"/>
  <c r="V2494" i="1" s="1"/>
  <c r="Q2495" i="1"/>
  <c r="V2495" i="1" s="1"/>
  <c r="Q2496" i="1"/>
  <c r="V2496" i="1" s="1"/>
  <c r="Q2497" i="1"/>
  <c r="V2497" i="1" s="1"/>
  <c r="Q2498" i="1"/>
  <c r="V2498" i="1" s="1"/>
  <c r="Q2499" i="1"/>
  <c r="V2499" i="1" s="1"/>
  <c r="Q2500" i="1"/>
  <c r="V2500" i="1" s="1"/>
  <c r="Q2501" i="1"/>
  <c r="V2501" i="1" s="1"/>
  <c r="Q2502" i="1"/>
  <c r="V2502" i="1" s="1"/>
  <c r="Q2503" i="1"/>
  <c r="V2503" i="1" s="1"/>
  <c r="Q2504" i="1"/>
  <c r="V2504" i="1" s="1"/>
  <c r="Q2505" i="1"/>
  <c r="V2505" i="1" s="1"/>
  <c r="Q2506" i="1"/>
  <c r="V2506" i="1" s="1"/>
  <c r="Q2507" i="1"/>
  <c r="V2507" i="1" s="1"/>
  <c r="Q2508" i="1"/>
  <c r="V2508" i="1" s="1"/>
  <c r="Q2509" i="1"/>
  <c r="V2509" i="1" s="1"/>
  <c r="Q2510" i="1"/>
  <c r="V2510" i="1" s="1"/>
  <c r="Q2511" i="1"/>
  <c r="V2511" i="1" s="1"/>
  <c r="Q2512" i="1"/>
  <c r="V2512" i="1" s="1"/>
  <c r="Q2513" i="1"/>
  <c r="V2513" i="1" s="1"/>
  <c r="Q2514" i="1"/>
  <c r="V2514" i="1" s="1"/>
  <c r="Q2515" i="1"/>
  <c r="V2515" i="1" s="1"/>
  <c r="Q2516" i="1"/>
  <c r="V2516" i="1" s="1"/>
  <c r="Q2517" i="1"/>
  <c r="V2517" i="1" s="1"/>
  <c r="Q2518" i="1"/>
  <c r="V2518" i="1" s="1"/>
  <c r="Q2519" i="1"/>
  <c r="V2519" i="1" s="1"/>
  <c r="Q2520" i="1"/>
  <c r="V2520" i="1" s="1"/>
  <c r="Q2521" i="1"/>
  <c r="V2521" i="1" s="1"/>
  <c r="Q2522" i="1"/>
  <c r="V2522" i="1" s="1"/>
  <c r="Q2523" i="1"/>
  <c r="V2523" i="1" s="1"/>
  <c r="Q2524" i="1"/>
  <c r="V2524" i="1" s="1"/>
  <c r="Q2525" i="1"/>
  <c r="V2525" i="1" s="1"/>
  <c r="Q2526" i="1"/>
  <c r="V2526" i="1" s="1"/>
  <c r="Q2527" i="1"/>
  <c r="V2527" i="1" s="1"/>
  <c r="Q2528" i="1"/>
  <c r="V2528" i="1" s="1"/>
  <c r="Q2529" i="1"/>
  <c r="V2529" i="1" s="1"/>
  <c r="Q2530" i="1"/>
  <c r="V2530" i="1" s="1"/>
  <c r="Q2531" i="1"/>
  <c r="V2531" i="1" s="1"/>
  <c r="Q2532" i="1"/>
  <c r="V2532" i="1" s="1"/>
  <c r="Q2533" i="1"/>
  <c r="V2533" i="1" s="1"/>
  <c r="Q2534" i="1"/>
  <c r="V2534" i="1" s="1"/>
  <c r="Q2535" i="1"/>
  <c r="V2535" i="1" s="1"/>
  <c r="Q2536" i="1"/>
  <c r="V2536" i="1" s="1"/>
  <c r="Q2537" i="1"/>
  <c r="V2537" i="1" s="1"/>
  <c r="Q2538" i="1"/>
  <c r="V2538" i="1" s="1"/>
  <c r="Q2539" i="1"/>
  <c r="V2539" i="1" s="1"/>
  <c r="Q2540" i="1"/>
  <c r="V2540" i="1" s="1"/>
  <c r="Q2541" i="1"/>
  <c r="V2541" i="1" s="1"/>
  <c r="Q2542" i="1"/>
  <c r="V2542" i="1" s="1"/>
  <c r="Q2543" i="1"/>
  <c r="V2543" i="1" s="1"/>
  <c r="Q2544" i="1"/>
  <c r="V2544" i="1" s="1"/>
  <c r="Q2545" i="1"/>
  <c r="V2545" i="1" s="1"/>
  <c r="Q2546" i="1"/>
  <c r="V2546" i="1" s="1"/>
  <c r="Q2547" i="1"/>
  <c r="V2547" i="1" s="1"/>
  <c r="Q2548" i="1"/>
  <c r="V2548" i="1" s="1"/>
  <c r="Q2549" i="1"/>
  <c r="V2549" i="1" s="1"/>
  <c r="Q2550" i="1"/>
  <c r="V2550" i="1" s="1"/>
  <c r="Q2551" i="1"/>
  <c r="V2551" i="1" s="1"/>
  <c r="Q2552" i="1"/>
  <c r="V2552" i="1" s="1"/>
  <c r="Q2553" i="1"/>
  <c r="V2553" i="1" s="1"/>
  <c r="Q2554" i="1"/>
  <c r="V2554" i="1" s="1"/>
  <c r="Q2555" i="1"/>
  <c r="V2555" i="1" s="1"/>
  <c r="Q2557" i="1"/>
  <c r="V2557" i="1" s="1"/>
  <c r="Q2558" i="1"/>
  <c r="V2558" i="1" s="1"/>
  <c r="Q2559" i="1"/>
  <c r="V2559" i="1" s="1"/>
  <c r="Q2560" i="1"/>
  <c r="V2560" i="1" s="1"/>
  <c r="Q2561" i="1"/>
  <c r="V2561" i="1" s="1"/>
  <c r="Q2562" i="1"/>
  <c r="V2562" i="1" s="1"/>
  <c r="Q2563" i="1"/>
  <c r="V2563" i="1" s="1"/>
  <c r="Q2564" i="1"/>
  <c r="V2564" i="1" s="1"/>
  <c r="Q2565" i="1"/>
  <c r="V2565" i="1" s="1"/>
  <c r="Q2566" i="1"/>
  <c r="V2566" i="1" s="1"/>
  <c r="Q2567" i="1"/>
  <c r="V2567" i="1" s="1"/>
  <c r="Q2568" i="1"/>
  <c r="V2568" i="1" s="1"/>
  <c r="Q2569" i="1"/>
  <c r="V2569" i="1" s="1"/>
  <c r="Q2570" i="1"/>
  <c r="V2570" i="1" s="1"/>
  <c r="Q2571" i="1"/>
  <c r="V2571" i="1" s="1"/>
  <c r="Q2572" i="1"/>
  <c r="V2572" i="1" s="1"/>
  <c r="Q2573" i="1"/>
  <c r="V2573" i="1" s="1"/>
  <c r="Q2574" i="1"/>
  <c r="V2574" i="1" s="1"/>
  <c r="Q2576" i="1"/>
  <c r="V2576" i="1" s="1"/>
  <c r="Q2577" i="1"/>
  <c r="V2577" i="1" s="1"/>
  <c r="Q2578" i="1"/>
  <c r="V2578" i="1" s="1"/>
  <c r="Q2579" i="1"/>
  <c r="V2579" i="1" s="1"/>
  <c r="Q2580" i="1"/>
  <c r="V2580" i="1" s="1"/>
  <c r="Q2581" i="1"/>
  <c r="V2581" i="1" s="1"/>
  <c r="Q2582" i="1"/>
  <c r="V2582" i="1" s="1"/>
  <c r="Q2583" i="1"/>
  <c r="V2583" i="1" s="1"/>
  <c r="Q2584" i="1"/>
  <c r="V2584" i="1" s="1"/>
  <c r="Q2585" i="1"/>
  <c r="V2585" i="1" s="1"/>
  <c r="Q2586" i="1"/>
  <c r="V2586" i="1" s="1"/>
  <c r="Q2587" i="1"/>
  <c r="V2587" i="1" s="1"/>
  <c r="Q2588" i="1"/>
  <c r="V2588" i="1" s="1"/>
  <c r="Q2589" i="1"/>
  <c r="V2589" i="1" s="1"/>
  <c r="Q2590" i="1"/>
  <c r="V2590" i="1" s="1"/>
  <c r="Q2591" i="1"/>
  <c r="V2591" i="1" s="1"/>
  <c r="Q2592" i="1"/>
  <c r="V2592" i="1" s="1"/>
  <c r="Q2593" i="1"/>
  <c r="V2593" i="1" s="1"/>
  <c r="Q2594" i="1"/>
  <c r="V2594" i="1" s="1"/>
  <c r="Q2595" i="1"/>
  <c r="V2595" i="1" s="1"/>
  <c r="Q2596" i="1"/>
  <c r="V2596" i="1" s="1"/>
  <c r="Q2597" i="1"/>
  <c r="V2597" i="1" s="1"/>
  <c r="Q2598" i="1"/>
  <c r="V2598" i="1" s="1"/>
  <c r="Q2599" i="1"/>
  <c r="V2599" i="1" s="1"/>
  <c r="Q2600" i="1"/>
  <c r="V2600" i="1" s="1"/>
  <c r="Q2601" i="1"/>
  <c r="V2601" i="1" s="1"/>
  <c r="Q2602" i="1"/>
  <c r="V2602" i="1" s="1"/>
  <c r="Q2603" i="1"/>
  <c r="V2603" i="1" s="1"/>
  <c r="Q2604" i="1"/>
  <c r="V2604" i="1" s="1"/>
  <c r="Q2605" i="1"/>
  <c r="V2605" i="1" s="1"/>
  <c r="Q2606" i="1"/>
  <c r="V2606" i="1" s="1"/>
  <c r="Q2607" i="1"/>
  <c r="V2607" i="1" s="1"/>
  <c r="Q2610" i="1"/>
  <c r="V2610" i="1" s="1"/>
  <c r="Q2611" i="1"/>
  <c r="V2611" i="1" s="1"/>
  <c r="Q2612" i="1"/>
  <c r="V2612" i="1" s="1"/>
  <c r="Q2613" i="1"/>
  <c r="V2613" i="1" s="1"/>
  <c r="Q2614" i="1"/>
  <c r="V2614" i="1" s="1"/>
  <c r="Q2615" i="1"/>
  <c r="V2615" i="1" s="1"/>
  <c r="Q2616" i="1"/>
  <c r="V2616" i="1" s="1"/>
  <c r="Q2617" i="1"/>
  <c r="V2617" i="1" s="1"/>
  <c r="Q2618" i="1"/>
  <c r="V2618" i="1" s="1"/>
  <c r="Q2619" i="1"/>
  <c r="V2619" i="1" s="1"/>
  <c r="Q2620" i="1"/>
  <c r="V2620" i="1" s="1"/>
  <c r="Q2621" i="1"/>
  <c r="V2621" i="1" s="1"/>
  <c r="Q2622" i="1"/>
  <c r="V2622" i="1" s="1"/>
  <c r="Q2623" i="1"/>
  <c r="V2623" i="1" s="1"/>
  <c r="Q2624" i="1"/>
  <c r="V2624" i="1" s="1"/>
  <c r="Q2625" i="1"/>
  <c r="V2625" i="1" s="1"/>
  <c r="Q2626" i="1"/>
  <c r="V2626" i="1" s="1"/>
  <c r="Q2627" i="1"/>
  <c r="V2627" i="1" s="1"/>
  <c r="Q2628" i="1"/>
  <c r="V2628" i="1" s="1"/>
  <c r="Q2629" i="1"/>
  <c r="V2629" i="1" s="1"/>
  <c r="Q2630" i="1"/>
  <c r="V2630" i="1" s="1"/>
  <c r="Q2631" i="1"/>
  <c r="V2631" i="1" s="1"/>
  <c r="Q2632" i="1"/>
  <c r="V2632" i="1" s="1"/>
  <c r="Q2633" i="1"/>
  <c r="V2633" i="1" s="1"/>
  <c r="Q2634" i="1"/>
  <c r="V2634" i="1" s="1"/>
  <c r="Q2635" i="1"/>
  <c r="V2635" i="1" s="1"/>
  <c r="Q2636" i="1"/>
  <c r="V2636" i="1" s="1"/>
  <c r="Q2637" i="1"/>
  <c r="V2637" i="1" s="1"/>
  <c r="Q2638" i="1"/>
  <c r="V2638" i="1" s="1"/>
  <c r="Q2639" i="1"/>
  <c r="V2639" i="1" s="1"/>
  <c r="Q2640" i="1"/>
  <c r="V2640" i="1" s="1"/>
  <c r="Q2641" i="1"/>
  <c r="V2641" i="1" s="1"/>
  <c r="Q2642" i="1"/>
  <c r="V2642" i="1" s="1"/>
  <c r="Q2643" i="1"/>
  <c r="V2643" i="1" s="1"/>
  <c r="Q2644" i="1"/>
  <c r="V2644" i="1" s="1"/>
  <c r="Q2645" i="1"/>
  <c r="V2645" i="1" s="1"/>
  <c r="Q2646" i="1"/>
  <c r="V2646" i="1" s="1"/>
  <c r="Q2647" i="1"/>
  <c r="V2647" i="1" s="1"/>
  <c r="Q2648" i="1"/>
  <c r="V2648" i="1" s="1"/>
  <c r="Q2649" i="1"/>
  <c r="V2649" i="1" s="1"/>
  <c r="Q2650" i="1"/>
  <c r="V2650" i="1" s="1"/>
  <c r="Q2653" i="1"/>
  <c r="V2653" i="1" s="1"/>
  <c r="Q2654" i="1"/>
  <c r="V2654" i="1" s="1"/>
  <c r="Q2655" i="1"/>
  <c r="V2655" i="1" s="1"/>
  <c r="Q2656" i="1"/>
  <c r="V2656" i="1" s="1"/>
  <c r="Q2657" i="1"/>
  <c r="V2657" i="1" s="1"/>
  <c r="Q2658" i="1"/>
  <c r="V2658" i="1" s="1"/>
  <c r="Q2659" i="1"/>
  <c r="V2659" i="1" s="1"/>
  <c r="Q2660" i="1"/>
  <c r="V2660" i="1" s="1"/>
  <c r="Q2661" i="1"/>
  <c r="V2661" i="1" s="1"/>
  <c r="Q2662" i="1"/>
  <c r="V2662" i="1" s="1"/>
  <c r="Q2663" i="1"/>
  <c r="V2663" i="1" s="1"/>
  <c r="Q2664" i="1"/>
  <c r="V2664" i="1" s="1"/>
  <c r="Q2665" i="1"/>
  <c r="V2665" i="1" s="1"/>
  <c r="Q2666" i="1"/>
  <c r="V2666" i="1" s="1"/>
  <c r="Q2667" i="1"/>
  <c r="V2667" i="1" s="1"/>
  <c r="Q2668" i="1"/>
  <c r="V2668" i="1" s="1"/>
  <c r="Q2669" i="1"/>
  <c r="V2669" i="1" s="1"/>
  <c r="Q2670" i="1"/>
  <c r="V2670" i="1" s="1"/>
  <c r="Q2671" i="1"/>
  <c r="V2671" i="1" s="1"/>
  <c r="Q2672" i="1"/>
  <c r="V2672" i="1" s="1"/>
  <c r="Q2673" i="1"/>
  <c r="V2673" i="1" s="1"/>
  <c r="Q2674" i="1"/>
  <c r="V2674" i="1" s="1"/>
  <c r="Q2675" i="1"/>
  <c r="V2675" i="1" s="1"/>
  <c r="Q2676" i="1"/>
  <c r="V2676" i="1" s="1"/>
  <c r="Q2677" i="1"/>
  <c r="V2677" i="1" s="1"/>
  <c r="Q2678" i="1"/>
  <c r="V2678" i="1" s="1"/>
  <c r="Q2679" i="1"/>
  <c r="V2679" i="1" s="1"/>
  <c r="Q2680" i="1"/>
  <c r="V2680" i="1" s="1"/>
  <c r="Q2681" i="1"/>
  <c r="V2681" i="1" s="1"/>
  <c r="Q2682" i="1"/>
  <c r="V2682" i="1" s="1"/>
  <c r="Q2683" i="1"/>
  <c r="V2683" i="1" s="1"/>
  <c r="Q2684" i="1"/>
  <c r="V2684" i="1" s="1"/>
  <c r="Q2685" i="1"/>
  <c r="V2685" i="1" s="1"/>
  <c r="Q2686" i="1"/>
  <c r="V2686" i="1" s="1"/>
  <c r="Q2687" i="1"/>
  <c r="V2687" i="1" s="1"/>
  <c r="Q2688" i="1"/>
  <c r="V2688" i="1" s="1"/>
  <c r="Q2689" i="1"/>
  <c r="V2689" i="1" s="1"/>
  <c r="Q2690" i="1"/>
  <c r="V2690" i="1" s="1"/>
  <c r="Q2691" i="1"/>
  <c r="V2691" i="1" s="1"/>
  <c r="Q2692" i="1"/>
  <c r="V2692" i="1" s="1"/>
  <c r="Q2693" i="1"/>
  <c r="V2693" i="1" s="1"/>
  <c r="Q2694" i="1"/>
  <c r="V2694" i="1" s="1"/>
  <c r="Q2695" i="1"/>
  <c r="V2695" i="1" s="1"/>
  <c r="Q2696" i="1"/>
  <c r="V2696" i="1" s="1"/>
  <c r="Q2697" i="1"/>
  <c r="V2697" i="1" s="1"/>
  <c r="Q2698" i="1"/>
  <c r="V2698" i="1" s="1"/>
  <c r="Q2699" i="1"/>
  <c r="V2699" i="1" s="1"/>
  <c r="Q2700" i="1"/>
  <c r="V2700" i="1" s="1"/>
  <c r="Q2701" i="1"/>
  <c r="V2701" i="1" s="1"/>
  <c r="Q2702" i="1"/>
  <c r="V2702" i="1" s="1"/>
  <c r="Q2703" i="1"/>
  <c r="V2703" i="1" s="1"/>
  <c r="Q2704" i="1"/>
  <c r="V2704" i="1" s="1"/>
  <c r="Q2705" i="1"/>
  <c r="V2705" i="1" s="1"/>
  <c r="Q2706" i="1"/>
  <c r="V2706" i="1" s="1"/>
  <c r="Q2707" i="1"/>
  <c r="V2707" i="1" s="1"/>
  <c r="Q2708" i="1"/>
  <c r="V2708" i="1" s="1"/>
  <c r="Q2709" i="1"/>
  <c r="V2709" i="1" s="1"/>
  <c r="Q2710" i="1"/>
  <c r="V2710" i="1" s="1"/>
  <c r="Q2711" i="1"/>
  <c r="V2711" i="1" s="1"/>
  <c r="Q2713" i="1"/>
  <c r="V2713" i="1" s="1"/>
  <c r="Q2714" i="1"/>
  <c r="V2714" i="1" s="1"/>
  <c r="Q2715" i="1"/>
  <c r="V2715" i="1" s="1"/>
  <c r="Q2717" i="1"/>
  <c r="V2717" i="1" s="1"/>
  <c r="Q2718" i="1"/>
  <c r="V2718" i="1" s="1"/>
  <c r="Q2719" i="1"/>
  <c r="V2719" i="1" s="1"/>
  <c r="Q2720" i="1"/>
  <c r="V2720" i="1" s="1"/>
  <c r="Q2721" i="1"/>
  <c r="V2721" i="1" s="1"/>
  <c r="Q2722" i="1"/>
  <c r="V2722" i="1" s="1"/>
  <c r="Q2723" i="1"/>
  <c r="V2723" i="1" s="1"/>
  <c r="Q2724" i="1"/>
  <c r="V2724" i="1" s="1"/>
  <c r="Q2725" i="1"/>
  <c r="V2725" i="1" s="1"/>
  <c r="Q2726" i="1"/>
  <c r="V2726" i="1" s="1"/>
  <c r="Q2727" i="1"/>
  <c r="V2727" i="1" s="1"/>
  <c r="Q2728" i="1"/>
  <c r="V2728" i="1" s="1"/>
  <c r="Q2729" i="1"/>
  <c r="V2729" i="1" s="1"/>
  <c r="Q2730" i="1"/>
  <c r="V2730" i="1" s="1"/>
  <c r="Q2731" i="1"/>
  <c r="V2731" i="1" s="1"/>
  <c r="Q2732" i="1"/>
  <c r="V2732" i="1" s="1"/>
  <c r="Q2733" i="1"/>
  <c r="V2733" i="1" s="1"/>
  <c r="Q2734" i="1"/>
  <c r="V2734" i="1" s="1"/>
  <c r="Q2735" i="1"/>
  <c r="V2735" i="1" s="1"/>
  <c r="Q2736" i="1"/>
  <c r="V2736" i="1" s="1"/>
  <c r="Q2737" i="1"/>
  <c r="V2737" i="1" s="1"/>
  <c r="Q2738" i="1"/>
  <c r="V2738" i="1" s="1"/>
  <c r="Q2739" i="1"/>
  <c r="V2739" i="1" s="1"/>
  <c r="Q2740" i="1"/>
  <c r="V2740" i="1" s="1"/>
  <c r="Q2741" i="1"/>
  <c r="V2741" i="1" s="1"/>
  <c r="Q2742" i="1"/>
  <c r="V2742" i="1" s="1"/>
  <c r="Q2743" i="1"/>
  <c r="V2743" i="1" s="1"/>
  <c r="Q2744" i="1"/>
  <c r="V2744" i="1" s="1"/>
  <c r="Q2745" i="1"/>
  <c r="V2745" i="1" s="1"/>
  <c r="Q2746" i="1"/>
  <c r="V2746" i="1" s="1"/>
  <c r="Q2747" i="1"/>
  <c r="V2747" i="1" s="1"/>
  <c r="Q2748" i="1"/>
  <c r="V2748" i="1" s="1"/>
  <c r="Q2749" i="1"/>
  <c r="V2749" i="1" s="1"/>
  <c r="Q2750" i="1"/>
  <c r="V2750" i="1" s="1"/>
  <c r="Q2751" i="1"/>
  <c r="V2751" i="1" s="1"/>
  <c r="Q2752" i="1"/>
  <c r="V2752" i="1" s="1"/>
  <c r="Q2753" i="1"/>
  <c r="V2753" i="1" s="1"/>
  <c r="Q2754" i="1"/>
  <c r="V2754" i="1" s="1"/>
  <c r="Q2755" i="1"/>
  <c r="V2755" i="1" s="1"/>
  <c r="Q2756" i="1"/>
  <c r="V2756" i="1" s="1"/>
  <c r="Q2757" i="1"/>
  <c r="V2757" i="1" s="1"/>
  <c r="Q2758" i="1"/>
  <c r="V2758" i="1" s="1"/>
  <c r="Q2759" i="1"/>
  <c r="V2759" i="1" s="1"/>
  <c r="Q2760" i="1"/>
  <c r="V2760" i="1" s="1"/>
  <c r="Q2761" i="1"/>
  <c r="V2761" i="1" s="1"/>
  <c r="Q2762" i="1"/>
  <c r="V2762" i="1" s="1"/>
  <c r="Q2763" i="1"/>
  <c r="V2763" i="1" s="1"/>
  <c r="Q2764" i="1"/>
  <c r="V2764" i="1" s="1"/>
  <c r="Q2765" i="1"/>
  <c r="V2765" i="1" s="1"/>
  <c r="Q2766" i="1"/>
  <c r="V2766" i="1" s="1"/>
  <c r="Q2767" i="1"/>
  <c r="V2767" i="1" s="1"/>
  <c r="Q2768" i="1"/>
  <c r="V2768" i="1" s="1"/>
  <c r="Q2769" i="1"/>
  <c r="V2769" i="1" s="1"/>
  <c r="Q2770" i="1"/>
  <c r="V2770" i="1" s="1"/>
  <c r="Q2771" i="1"/>
  <c r="V2771" i="1" s="1"/>
  <c r="Q2772" i="1"/>
  <c r="V2772" i="1" s="1"/>
  <c r="Q2773" i="1"/>
  <c r="V2773" i="1" s="1"/>
  <c r="Q2774" i="1"/>
  <c r="V2774" i="1" s="1"/>
  <c r="Q2775" i="1"/>
  <c r="V2775" i="1" s="1"/>
  <c r="Q2776" i="1"/>
  <c r="V2776" i="1" s="1"/>
  <c r="Q2777" i="1"/>
  <c r="V2777" i="1" s="1"/>
  <c r="Q2778" i="1"/>
  <c r="V2778" i="1" s="1"/>
  <c r="Q2779" i="1"/>
  <c r="V2779" i="1" s="1"/>
  <c r="Q2780" i="1"/>
  <c r="V2780" i="1" s="1"/>
  <c r="Q2781" i="1"/>
  <c r="V2781" i="1" s="1"/>
  <c r="Q2782" i="1"/>
  <c r="V2782" i="1" s="1"/>
  <c r="Q2783" i="1"/>
  <c r="V2783" i="1" s="1"/>
  <c r="Q2784" i="1"/>
  <c r="V2784" i="1" s="1"/>
  <c r="Q2785" i="1"/>
  <c r="V2785" i="1" s="1"/>
  <c r="Q2786" i="1"/>
  <c r="V2786" i="1" s="1"/>
  <c r="Q2787" i="1"/>
  <c r="V2787" i="1" s="1"/>
  <c r="Q2788" i="1"/>
  <c r="V2788" i="1" s="1"/>
  <c r="Q2789" i="1"/>
  <c r="V2789" i="1" s="1"/>
  <c r="Q2790" i="1"/>
  <c r="V2790" i="1" s="1"/>
  <c r="Q2791" i="1"/>
  <c r="V2791" i="1" s="1"/>
  <c r="Q2792" i="1"/>
  <c r="V2792" i="1" s="1"/>
  <c r="Q2793" i="1"/>
  <c r="V2793" i="1" s="1"/>
  <c r="Q2794" i="1"/>
  <c r="V2794" i="1" s="1"/>
  <c r="Q2795" i="1"/>
  <c r="V2795" i="1" s="1"/>
  <c r="Q2796" i="1"/>
  <c r="V2796" i="1" s="1"/>
  <c r="Q2797" i="1"/>
  <c r="V2797" i="1" s="1"/>
  <c r="Q2798" i="1"/>
  <c r="V2798" i="1" s="1"/>
  <c r="Q2799" i="1"/>
  <c r="V2799" i="1" s="1"/>
  <c r="Q2800" i="1"/>
  <c r="V2800" i="1" s="1"/>
  <c r="Q2801" i="1"/>
  <c r="V2801" i="1" s="1"/>
  <c r="Q2802" i="1"/>
  <c r="V2802" i="1" s="1"/>
  <c r="Q2803" i="1"/>
  <c r="V2803" i="1" s="1"/>
  <c r="Q2804" i="1"/>
  <c r="V2804" i="1" s="1"/>
  <c r="Q2805" i="1"/>
  <c r="V2805" i="1" s="1"/>
  <c r="Q2806" i="1"/>
  <c r="V2806" i="1" s="1"/>
  <c r="Q2807" i="1"/>
  <c r="V2807" i="1" s="1"/>
  <c r="Q2808" i="1"/>
  <c r="V2808" i="1" s="1"/>
  <c r="Q2809" i="1"/>
  <c r="V2809" i="1" s="1"/>
  <c r="Q2810" i="1"/>
  <c r="V2810" i="1" s="1"/>
  <c r="Q2811" i="1"/>
  <c r="V2811" i="1" s="1"/>
  <c r="Q2812" i="1"/>
  <c r="V2812" i="1" s="1"/>
  <c r="Q2813" i="1"/>
  <c r="V2813" i="1" s="1"/>
  <c r="Q2814" i="1"/>
  <c r="V2814" i="1" s="1"/>
  <c r="Q2815" i="1"/>
  <c r="V2815" i="1" s="1"/>
  <c r="Q2816" i="1"/>
  <c r="V2816" i="1" s="1"/>
  <c r="Q2817" i="1"/>
  <c r="V2817" i="1" s="1"/>
  <c r="Q2818" i="1"/>
  <c r="V2818" i="1" s="1"/>
  <c r="Q2819" i="1"/>
  <c r="V2819" i="1" s="1"/>
  <c r="Q2820" i="1"/>
  <c r="V2820" i="1" s="1"/>
  <c r="Q2821" i="1"/>
  <c r="V2821" i="1" s="1"/>
  <c r="Q2822" i="1"/>
  <c r="V2822" i="1" s="1"/>
  <c r="Q2823" i="1"/>
  <c r="V2823" i="1" s="1"/>
  <c r="Q2824" i="1"/>
  <c r="V2824" i="1" s="1"/>
  <c r="Q2825" i="1"/>
  <c r="V2825" i="1" s="1"/>
  <c r="Q2826" i="1"/>
  <c r="V2826" i="1" s="1"/>
  <c r="Q2827" i="1"/>
  <c r="V2827" i="1" s="1"/>
  <c r="Q2828" i="1"/>
  <c r="V2828" i="1" s="1"/>
  <c r="Q2829" i="1"/>
  <c r="V2829" i="1" s="1"/>
  <c r="Q2830" i="1"/>
  <c r="V2830" i="1" s="1"/>
  <c r="Q2831" i="1"/>
  <c r="V2831" i="1" s="1"/>
  <c r="Q2832" i="1"/>
  <c r="V2832" i="1" s="1"/>
  <c r="Q2833" i="1"/>
  <c r="V2833" i="1" s="1"/>
  <c r="Q2834" i="1"/>
  <c r="V2834" i="1" s="1"/>
  <c r="Q2835" i="1"/>
  <c r="V2835" i="1" s="1"/>
  <c r="Q2836" i="1"/>
  <c r="V2836" i="1" s="1"/>
  <c r="Q2837" i="1"/>
  <c r="V2837" i="1" s="1"/>
  <c r="Q2838" i="1"/>
  <c r="V2838" i="1" s="1"/>
  <c r="Q2839" i="1"/>
  <c r="V2839" i="1" s="1"/>
  <c r="Q2840" i="1"/>
  <c r="V2840" i="1" s="1"/>
  <c r="Q2841" i="1"/>
  <c r="V2841" i="1" s="1"/>
  <c r="Q2842" i="1"/>
  <c r="V2842" i="1" s="1"/>
  <c r="Q2843" i="1"/>
  <c r="V2843" i="1" s="1"/>
  <c r="Q2844" i="1"/>
  <c r="V2844" i="1" s="1"/>
  <c r="Q2845" i="1"/>
  <c r="V2845" i="1" s="1"/>
  <c r="Q2846" i="1"/>
  <c r="V2846" i="1" s="1"/>
  <c r="Q2847" i="1"/>
  <c r="V2847" i="1" s="1"/>
  <c r="Q2848" i="1"/>
  <c r="V2848" i="1" s="1"/>
  <c r="Q2849" i="1"/>
  <c r="V2849" i="1" s="1"/>
  <c r="Q2850" i="1"/>
  <c r="V2850" i="1" s="1"/>
  <c r="Q2851" i="1"/>
  <c r="V2851" i="1" s="1"/>
  <c r="Q2852" i="1"/>
  <c r="V2852" i="1" s="1"/>
  <c r="Q2853" i="1"/>
  <c r="V2853" i="1" s="1"/>
  <c r="Q2854" i="1"/>
  <c r="V2854" i="1" s="1"/>
  <c r="Q2855" i="1"/>
  <c r="V2855" i="1" s="1"/>
  <c r="Q2856" i="1"/>
  <c r="V2856" i="1" s="1"/>
  <c r="Q2857" i="1"/>
  <c r="V2857" i="1" s="1"/>
  <c r="Q2858" i="1"/>
  <c r="V2858" i="1" s="1"/>
  <c r="Q2859" i="1"/>
  <c r="V2859" i="1" s="1"/>
  <c r="Q2860" i="1"/>
  <c r="V2860" i="1" s="1"/>
  <c r="Q2861" i="1"/>
  <c r="V2861" i="1" s="1"/>
  <c r="Q2862" i="1"/>
  <c r="V2862" i="1" s="1"/>
  <c r="Q2863" i="1"/>
  <c r="V2863" i="1" s="1"/>
  <c r="Q2864" i="1"/>
  <c r="V2864" i="1" s="1"/>
  <c r="Q2865" i="1"/>
  <c r="V2865" i="1" s="1"/>
  <c r="Q2866" i="1"/>
  <c r="V2866" i="1" s="1"/>
  <c r="Q2867" i="1"/>
  <c r="V2867" i="1" s="1"/>
  <c r="Q2868" i="1"/>
  <c r="V2868" i="1" s="1"/>
  <c r="Q2869" i="1"/>
  <c r="V2869" i="1" s="1"/>
  <c r="Q2870" i="1"/>
  <c r="V2870" i="1" s="1"/>
  <c r="Q2871" i="1"/>
  <c r="V2871" i="1" s="1"/>
  <c r="Q2872" i="1"/>
  <c r="V2872" i="1" s="1"/>
  <c r="Q2873" i="1"/>
  <c r="V2873" i="1" s="1"/>
  <c r="Q2874" i="1"/>
  <c r="V2874" i="1" s="1"/>
  <c r="Q2875" i="1"/>
  <c r="V2875" i="1" s="1"/>
  <c r="Q2876" i="1"/>
  <c r="V2876" i="1" s="1"/>
  <c r="Q2877" i="1"/>
  <c r="V2877" i="1" s="1"/>
  <c r="Q2878" i="1"/>
  <c r="V2878" i="1" s="1"/>
  <c r="Q2879" i="1"/>
  <c r="V2879" i="1" s="1"/>
  <c r="Q2880" i="1"/>
  <c r="V2880" i="1" s="1"/>
  <c r="Q2881" i="1"/>
  <c r="V2881" i="1" s="1"/>
  <c r="Q2882" i="1"/>
  <c r="V2882" i="1" s="1"/>
  <c r="Q2883" i="1"/>
  <c r="V2883" i="1" s="1"/>
  <c r="Q2884" i="1"/>
  <c r="V2884" i="1" s="1"/>
  <c r="Q2885" i="1"/>
  <c r="V2885" i="1" s="1"/>
  <c r="Q2886" i="1"/>
  <c r="V2886" i="1" s="1"/>
  <c r="Q2887" i="1"/>
  <c r="V2887" i="1" s="1"/>
  <c r="Q2888" i="1"/>
  <c r="V2888" i="1" s="1"/>
  <c r="Q2889" i="1"/>
  <c r="V2889" i="1" s="1"/>
  <c r="Q2890" i="1"/>
  <c r="V2890" i="1" s="1"/>
  <c r="Q2891" i="1"/>
  <c r="V2891" i="1" s="1"/>
  <c r="Q2894" i="1"/>
  <c r="V2894" i="1" s="1"/>
  <c r="Q2895" i="1"/>
  <c r="V2895" i="1" s="1"/>
  <c r="Q2896" i="1"/>
  <c r="V2896" i="1" s="1"/>
  <c r="Q2897" i="1"/>
  <c r="V2897" i="1" s="1"/>
  <c r="Q2898" i="1"/>
  <c r="V2898" i="1" s="1"/>
  <c r="Q2899" i="1"/>
  <c r="V2899" i="1" s="1"/>
  <c r="Q2900" i="1"/>
  <c r="V2900" i="1" s="1"/>
  <c r="Q2901" i="1"/>
  <c r="V2901" i="1" s="1"/>
  <c r="Q2902" i="1"/>
  <c r="V2902" i="1" s="1"/>
  <c r="Q2903" i="1"/>
  <c r="V2903" i="1" s="1"/>
  <c r="Q2904" i="1"/>
  <c r="V2904" i="1" s="1"/>
  <c r="Q2905" i="1"/>
  <c r="V2905" i="1" s="1"/>
  <c r="Q2906" i="1"/>
  <c r="V2906" i="1" s="1"/>
  <c r="Q2907" i="1"/>
  <c r="V2907" i="1" s="1"/>
  <c r="Q2908" i="1"/>
  <c r="V2908" i="1" s="1"/>
  <c r="Q2909" i="1"/>
  <c r="V2909" i="1" s="1"/>
  <c r="Q2910" i="1"/>
  <c r="V2910" i="1" s="1"/>
  <c r="Q2912" i="1"/>
  <c r="V2912" i="1" s="1"/>
  <c r="Q2913" i="1"/>
  <c r="V2913" i="1" s="1"/>
  <c r="Q2914" i="1"/>
  <c r="V2914" i="1" s="1"/>
  <c r="Q2915" i="1"/>
  <c r="V2915" i="1" s="1"/>
  <c r="Q2916" i="1"/>
  <c r="V2916" i="1" s="1"/>
  <c r="Q2918" i="1"/>
  <c r="V2918" i="1" s="1"/>
  <c r="Q2919" i="1"/>
  <c r="V2919" i="1" s="1"/>
  <c r="Q2920" i="1"/>
  <c r="V2920" i="1" s="1"/>
  <c r="Q2921" i="1"/>
  <c r="V2921" i="1" s="1"/>
  <c r="Q2922" i="1"/>
  <c r="V2922" i="1" s="1"/>
  <c r="Q2923" i="1"/>
  <c r="V2923" i="1" s="1"/>
  <c r="Q2924" i="1"/>
  <c r="V2924" i="1" s="1"/>
  <c r="Q2925" i="1"/>
  <c r="V2925" i="1" s="1"/>
  <c r="Q2926" i="1"/>
  <c r="V2926" i="1" s="1"/>
  <c r="Q2927" i="1"/>
  <c r="V2927" i="1" s="1"/>
  <c r="Q2928" i="1"/>
  <c r="V2928" i="1" s="1"/>
  <c r="Q2929" i="1"/>
  <c r="V2929" i="1" s="1"/>
  <c r="Q2930" i="1"/>
  <c r="V2930" i="1" s="1"/>
  <c r="Q2931" i="1"/>
  <c r="V2931" i="1" s="1"/>
  <c r="Q2932" i="1"/>
  <c r="V2932" i="1" s="1"/>
  <c r="Q2933" i="1"/>
  <c r="V2933" i="1" s="1"/>
  <c r="Q2934" i="1"/>
  <c r="V2934" i="1" s="1"/>
  <c r="Q2935" i="1"/>
  <c r="V2935" i="1" s="1"/>
  <c r="Q2936" i="1"/>
  <c r="V2936" i="1" s="1"/>
  <c r="Q2939" i="1"/>
  <c r="V2939" i="1" s="1"/>
  <c r="Q2940" i="1"/>
  <c r="V2940" i="1" s="1"/>
  <c r="Q2941" i="1"/>
  <c r="V2941" i="1" s="1"/>
  <c r="Q2942" i="1"/>
  <c r="V2942" i="1" s="1"/>
  <c r="Q2943" i="1"/>
  <c r="V2943" i="1" s="1"/>
  <c r="Q2944" i="1"/>
  <c r="V2944" i="1" s="1"/>
  <c r="Q2945" i="1"/>
  <c r="V2945" i="1" s="1"/>
  <c r="Q2946" i="1"/>
  <c r="V2946" i="1" s="1"/>
  <c r="Q2947" i="1"/>
  <c r="V2947" i="1" s="1"/>
  <c r="Q2948" i="1"/>
  <c r="V2948" i="1" s="1"/>
  <c r="Q2949" i="1"/>
  <c r="V2949" i="1" s="1"/>
  <c r="Q2950" i="1"/>
  <c r="V2950" i="1" s="1"/>
  <c r="Q2951" i="1"/>
  <c r="V2951" i="1" s="1"/>
  <c r="Q2952" i="1"/>
  <c r="V2952" i="1" s="1"/>
  <c r="Q2953" i="1"/>
  <c r="V2953" i="1" s="1"/>
  <c r="Q2954" i="1"/>
  <c r="V2954" i="1" s="1"/>
  <c r="Q2955" i="1"/>
  <c r="V2955" i="1" s="1"/>
  <c r="Q2956" i="1"/>
  <c r="V2956" i="1" s="1"/>
  <c r="Q2957" i="1"/>
  <c r="V2957" i="1" s="1"/>
  <c r="Q2958" i="1"/>
  <c r="V2958" i="1" s="1"/>
  <c r="Q2959" i="1"/>
  <c r="V2959" i="1" s="1"/>
  <c r="Q2960" i="1"/>
  <c r="V2960" i="1" s="1"/>
  <c r="Q2961" i="1"/>
  <c r="V2961" i="1" s="1"/>
  <c r="Q2962" i="1"/>
  <c r="V2962" i="1" s="1"/>
  <c r="Q2963" i="1"/>
  <c r="V2963" i="1" s="1"/>
  <c r="Q2964" i="1"/>
  <c r="V2964" i="1" s="1"/>
  <c r="Q2965" i="1"/>
  <c r="V2965" i="1" s="1"/>
  <c r="Q2966" i="1"/>
  <c r="V2966" i="1" s="1"/>
  <c r="Q2967" i="1"/>
  <c r="V2967" i="1" s="1"/>
  <c r="Q2968" i="1"/>
  <c r="V2968" i="1" s="1"/>
  <c r="Q2969" i="1"/>
  <c r="V2969" i="1" s="1"/>
  <c r="Q2970" i="1"/>
  <c r="V2970" i="1" s="1"/>
  <c r="Q2971" i="1"/>
  <c r="V2971" i="1" s="1"/>
  <c r="Q2972" i="1"/>
  <c r="V2972" i="1" s="1"/>
  <c r="Q2973" i="1"/>
  <c r="V2973" i="1" s="1"/>
  <c r="Q2974" i="1"/>
  <c r="V2974" i="1" s="1"/>
  <c r="Q2975" i="1"/>
  <c r="V2975" i="1" s="1"/>
  <c r="Q2976" i="1"/>
  <c r="V2976" i="1" s="1"/>
  <c r="Q2977" i="1"/>
  <c r="V2977" i="1" s="1"/>
  <c r="Q2978" i="1"/>
  <c r="V2978" i="1" s="1"/>
  <c r="Q2979" i="1"/>
  <c r="V2979" i="1" s="1"/>
  <c r="Q2980" i="1"/>
  <c r="V2980" i="1" s="1"/>
  <c r="Q2981" i="1"/>
  <c r="V2981" i="1" s="1"/>
  <c r="Q2982" i="1"/>
  <c r="V2982" i="1" s="1"/>
  <c r="Q2983" i="1"/>
  <c r="V2983" i="1" s="1"/>
  <c r="Q2984" i="1"/>
  <c r="V2984" i="1" s="1"/>
  <c r="Q2985" i="1"/>
  <c r="V2985" i="1" s="1"/>
  <c r="Q2986" i="1"/>
  <c r="V2986" i="1" s="1"/>
  <c r="Q2987" i="1"/>
  <c r="V2987" i="1" s="1"/>
  <c r="Q2988" i="1"/>
  <c r="V2988" i="1" s="1"/>
  <c r="Q2989" i="1"/>
  <c r="V2989" i="1" s="1"/>
  <c r="Q2990" i="1"/>
  <c r="V2990" i="1" s="1"/>
  <c r="Q2991" i="1"/>
  <c r="V2991" i="1" s="1"/>
  <c r="Q2992" i="1"/>
  <c r="V2992" i="1" s="1"/>
  <c r="Q2993" i="1"/>
  <c r="V2993" i="1" s="1"/>
  <c r="Q2994" i="1"/>
  <c r="V2994" i="1" s="1"/>
  <c r="Q2995" i="1"/>
  <c r="V2995" i="1" s="1"/>
  <c r="Q2996" i="1"/>
  <c r="V2996" i="1" s="1"/>
  <c r="Q2997" i="1"/>
  <c r="V2997" i="1" s="1"/>
  <c r="Q2998" i="1"/>
  <c r="V2998" i="1" s="1"/>
  <c r="Q3001" i="1"/>
  <c r="V3001" i="1" s="1"/>
  <c r="Q3002" i="1"/>
  <c r="V3002" i="1" s="1"/>
  <c r="Q3003" i="1"/>
  <c r="V3003" i="1" s="1"/>
  <c r="Q3004" i="1"/>
  <c r="V3004" i="1" s="1"/>
  <c r="Q3005" i="1"/>
  <c r="V3005" i="1" s="1"/>
  <c r="Q3006" i="1"/>
  <c r="V3006" i="1" s="1"/>
  <c r="Q3007" i="1"/>
  <c r="V3007" i="1" s="1"/>
  <c r="Q3008" i="1"/>
  <c r="V3008" i="1" s="1"/>
  <c r="Q3009" i="1"/>
  <c r="V3009" i="1" s="1"/>
  <c r="Q3010" i="1"/>
  <c r="V3010" i="1" s="1"/>
  <c r="Q3011" i="1"/>
  <c r="V3011" i="1" s="1"/>
  <c r="Q3012" i="1"/>
  <c r="V3012" i="1" s="1"/>
  <c r="Q3013" i="1"/>
  <c r="V3013" i="1" s="1"/>
  <c r="Q3014" i="1"/>
  <c r="V3014" i="1" s="1"/>
  <c r="Q3015" i="1"/>
  <c r="V3015" i="1" s="1"/>
  <c r="Q3016" i="1"/>
  <c r="V3016" i="1" s="1"/>
  <c r="Q3017" i="1"/>
  <c r="V3017" i="1" s="1"/>
  <c r="Q3018" i="1"/>
  <c r="V3018" i="1" s="1"/>
  <c r="Q3019" i="1"/>
  <c r="V3019" i="1" s="1"/>
  <c r="Q3020" i="1"/>
  <c r="V3020" i="1" s="1"/>
  <c r="Q3021" i="1"/>
  <c r="V3021" i="1" s="1"/>
  <c r="Q3022" i="1"/>
  <c r="V3022" i="1" s="1"/>
  <c r="Q3023" i="1"/>
  <c r="V3023" i="1" s="1"/>
  <c r="Q3024" i="1"/>
  <c r="V3024" i="1" s="1"/>
  <c r="Q3025" i="1"/>
  <c r="V3025" i="1" s="1"/>
  <c r="Q3026" i="1"/>
  <c r="V3026" i="1" s="1"/>
  <c r="Q3027" i="1"/>
  <c r="V3027" i="1" s="1"/>
  <c r="Q3028" i="1"/>
  <c r="V3028" i="1" s="1"/>
  <c r="Q3029" i="1"/>
  <c r="V3029" i="1" s="1"/>
  <c r="Q3030" i="1"/>
  <c r="V3030" i="1" s="1"/>
  <c r="Q3031" i="1"/>
  <c r="V3031" i="1" s="1"/>
  <c r="Q3032" i="1"/>
  <c r="V3032" i="1" s="1"/>
  <c r="Q3033" i="1"/>
  <c r="V3033" i="1" s="1"/>
  <c r="Q3034" i="1"/>
  <c r="V3034" i="1" s="1"/>
  <c r="Q3035" i="1"/>
  <c r="V3035" i="1" s="1"/>
  <c r="Q3036" i="1"/>
  <c r="V3036" i="1" s="1"/>
  <c r="Q3037" i="1"/>
  <c r="V3037" i="1" s="1"/>
  <c r="Q3038" i="1"/>
  <c r="V3038" i="1" s="1"/>
  <c r="Q3039" i="1"/>
  <c r="V3039" i="1" s="1"/>
  <c r="Q3040" i="1"/>
  <c r="V3040" i="1" s="1"/>
  <c r="Q3041" i="1"/>
  <c r="V3041" i="1" s="1"/>
  <c r="Q3042" i="1"/>
  <c r="V3042" i="1" s="1"/>
  <c r="Q3043" i="1"/>
  <c r="V3043" i="1" s="1"/>
  <c r="Q3044" i="1"/>
  <c r="V3044" i="1" s="1"/>
  <c r="Q3045" i="1"/>
  <c r="V3045" i="1" s="1"/>
  <c r="Q3046" i="1"/>
  <c r="V3046" i="1" s="1"/>
  <c r="Q3047" i="1"/>
  <c r="V3047" i="1" s="1"/>
  <c r="Q3048" i="1"/>
  <c r="V3048" i="1" s="1"/>
  <c r="Q3049" i="1"/>
  <c r="V3049" i="1" s="1"/>
  <c r="Q3050" i="1"/>
  <c r="V3050" i="1" s="1"/>
  <c r="Q3051" i="1"/>
  <c r="V3051" i="1" s="1"/>
  <c r="Q3052" i="1"/>
  <c r="V3052" i="1" s="1"/>
  <c r="Q3054" i="1"/>
  <c r="V3054" i="1" s="1"/>
  <c r="Q3055" i="1"/>
  <c r="V3055" i="1" s="1"/>
  <c r="Q3057" i="1"/>
  <c r="V3057" i="1" s="1"/>
  <c r="Q3058" i="1"/>
  <c r="V3058" i="1" s="1"/>
  <c r="Q3059" i="1"/>
  <c r="V3059" i="1" s="1"/>
  <c r="Q3060" i="1"/>
  <c r="V3060" i="1" s="1"/>
  <c r="Q3061" i="1"/>
  <c r="V3061" i="1" s="1"/>
  <c r="Q3062" i="1"/>
  <c r="V3062" i="1" s="1"/>
  <c r="Q3063" i="1"/>
  <c r="V3063" i="1" s="1"/>
  <c r="Q3064" i="1"/>
  <c r="V3064" i="1" s="1"/>
  <c r="Q3065" i="1"/>
  <c r="V3065" i="1" s="1"/>
  <c r="Q3066" i="1"/>
  <c r="V3066" i="1" s="1"/>
  <c r="Q3067" i="1"/>
  <c r="V3067" i="1" s="1"/>
  <c r="Q3068" i="1"/>
  <c r="V3068" i="1" s="1"/>
  <c r="Q3069" i="1"/>
  <c r="V3069" i="1" s="1"/>
  <c r="Q3070" i="1"/>
  <c r="V3070" i="1" s="1"/>
  <c r="Q3071" i="1"/>
  <c r="V3071" i="1" s="1"/>
  <c r="Q3072" i="1"/>
  <c r="V3072" i="1" s="1"/>
  <c r="Q3073" i="1"/>
  <c r="V3073" i="1" s="1"/>
  <c r="Q3074" i="1"/>
  <c r="V3074" i="1" s="1"/>
  <c r="Q3075" i="1"/>
  <c r="V3075" i="1" s="1"/>
  <c r="Q3076" i="1"/>
  <c r="V3076" i="1" s="1"/>
  <c r="Q3077" i="1"/>
  <c r="V3077" i="1" s="1"/>
  <c r="Q3078" i="1"/>
  <c r="V3078" i="1" s="1"/>
  <c r="Q3079" i="1"/>
  <c r="V3079" i="1" s="1"/>
  <c r="Q3080" i="1"/>
  <c r="V3080" i="1" s="1"/>
  <c r="Q3081" i="1"/>
  <c r="V3081" i="1" s="1"/>
  <c r="Q3082" i="1"/>
  <c r="V3082" i="1" s="1"/>
  <c r="Q3083" i="1"/>
  <c r="V3083" i="1" s="1"/>
  <c r="Q3084" i="1"/>
  <c r="V3084" i="1" s="1"/>
  <c r="Q3085" i="1"/>
  <c r="V3085" i="1" s="1"/>
  <c r="Q3086" i="1"/>
  <c r="V3086" i="1" s="1"/>
  <c r="Q3087" i="1"/>
  <c r="V3087" i="1" s="1"/>
  <c r="Q3088" i="1"/>
  <c r="V3088" i="1" s="1"/>
  <c r="Q3089" i="1"/>
  <c r="V3089" i="1" s="1"/>
  <c r="Q3090" i="1"/>
  <c r="V3090" i="1" s="1"/>
  <c r="Q3091" i="1"/>
  <c r="V3091" i="1" s="1"/>
  <c r="Q3092" i="1"/>
  <c r="V3092" i="1" s="1"/>
  <c r="Q3093" i="1"/>
  <c r="V3093" i="1" s="1"/>
  <c r="Q3094" i="1"/>
  <c r="V3094" i="1" s="1"/>
  <c r="Q3095" i="1"/>
  <c r="V3095" i="1" s="1"/>
  <c r="Q3096" i="1"/>
  <c r="V3096" i="1" s="1"/>
  <c r="Q3097" i="1"/>
  <c r="V3097" i="1" s="1"/>
  <c r="Q3098" i="1"/>
  <c r="V3098" i="1" s="1"/>
  <c r="Q3099" i="1"/>
  <c r="V3099" i="1" s="1"/>
  <c r="Q3101" i="1"/>
  <c r="V3101" i="1" s="1"/>
  <c r="Q3103" i="1"/>
  <c r="V3103" i="1" s="1"/>
  <c r="Q3104" i="1"/>
  <c r="V3104" i="1" s="1"/>
  <c r="Q3105" i="1"/>
  <c r="V3105" i="1" s="1"/>
  <c r="Q3106" i="1"/>
  <c r="V3106" i="1" s="1"/>
  <c r="Q3107" i="1"/>
  <c r="V3107" i="1" s="1"/>
  <c r="Q3108" i="1"/>
  <c r="V3108" i="1" s="1"/>
  <c r="Q3109" i="1"/>
  <c r="V3109" i="1" s="1"/>
  <c r="Q3110" i="1"/>
  <c r="V3110" i="1" s="1"/>
  <c r="Q3111" i="1"/>
  <c r="V3111" i="1" s="1"/>
  <c r="Q3112" i="1"/>
  <c r="V3112" i="1" s="1"/>
  <c r="Q3113" i="1"/>
  <c r="V3113" i="1" s="1"/>
  <c r="Q3114" i="1"/>
  <c r="V3114" i="1" s="1"/>
  <c r="Q3115" i="1"/>
  <c r="V3115" i="1" s="1"/>
  <c r="Q3116" i="1"/>
  <c r="V3116" i="1" s="1"/>
  <c r="Q3117" i="1"/>
  <c r="V3117" i="1" s="1"/>
  <c r="Q3118" i="1"/>
  <c r="V3118" i="1" s="1"/>
  <c r="Q3119" i="1"/>
  <c r="V3119" i="1" s="1"/>
  <c r="Q3121" i="1"/>
  <c r="V3121" i="1" s="1"/>
  <c r="Q3122" i="1"/>
  <c r="V3122" i="1" s="1"/>
  <c r="Q3123" i="1"/>
  <c r="V3123" i="1" s="1"/>
  <c r="Q3124" i="1"/>
  <c r="V3124" i="1" s="1"/>
  <c r="Q3125" i="1"/>
  <c r="V3125" i="1" s="1"/>
  <c r="Q3126" i="1"/>
  <c r="V3126" i="1" s="1"/>
  <c r="Q3128" i="1"/>
  <c r="V3128" i="1" s="1"/>
  <c r="Q3129" i="1"/>
  <c r="V3129" i="1" s="1"/>
  <c r="Q3130" i="1"/>
  <c r="V3130" i="1" s="1"/>
  <c r="Q3131" i="1"/>
  <c r="V3131" i="1" s="1"/>
  <c r="Q3132" i="1"/>
  <c r="V3132" i="1" s="1"/>
  <c r="Q3133" i="1"/>
  <c r="V3133" i="1" s="1"/>
  <c r="Q3134" i="1"/>
  <c r="V3134" i="1" s="1"/>
  <c r="Q3135" i="1"/>
  <c r="V3135" i="1" s="1"/>
  <c r="Q3136" i="1"/>
  <c r="V3136" i="1" s="1"/>
  <c r="Q3137" i="1"/>
  <c r="V3137" i="1" s="1"/>
  <c r="Q3138" i="1"/>
  <c r="V3138" i="1" s="1"/>
  <c r="Q3139" i="1"/>
  <c r="V3139" i="1" s="1"/>
  <c r="Q3140" i="1"/>
  <c r="V3140" i="1" s="1"/>
  <c r="Q3141" i="1"/>
  <c r="V3141" i="1" s="1"/>
  <c r="Q3142" i="1"/>
  <c r="V3142" i="1" s="1"/>
  <c r="Q3143" i="1"/>
  <c r="V3143" i="1" s="1"/>
  <c r="Q3144" i="1"/>
  <c r="V3144" i="1" s="1"/>
  <c r="Q3145" i="1"/>
  <c r="V3145" i="1" s="1"/>
  <c r="Q3146" i="1"/>
  <c r="V3146" i="1" s="1"/>
  <c r="Q3147" i="1"/>
  <c r="V3147" i="1" s="1"/>
  <c r="Q3148" i="1"/>
  <c r="V3148" i="1" s="1"/>
  <c r="Q3149" i="1"/>
  <c r="V3149" i="1" s="1"/>
  <c r="Q3150" i="1"/>
  <c r="V3150" i="1" s="1"/>
  <c r="Q3151" i="1"/>
  <c r="V3151" i="1" s="1"/>
  <c r="Q3152" i="1"/>
  <c r="V3152" i="1" s="1"/>
  <c r="Q3153" i="1"/>
  <c r="V3153" i="1" s="1"/>
  <c r="Q3154" i="1"/>
  <c r="V3154" i="1" s="1"/>
  <c r="Q3155" i="1"/>
  <c r="V3155" i="1" s="1"/>
  <c r="Q3156" i="1"/>
  <c r="V3156" i="1" s="1"/>
  <c r="Q3157" i="1"/>
  <c r="V3157" i="1" s="1"/>
  <c r="Q3158" i="1"/>
  <c r="V3158" i="1" s="1"/>
  <c r="Q3159" i="1"/>
  <c r="V3159" i="1" s="1"/>
  <c r="Q3160" i="1"/>
  <c r="V3160" i="1" s="1"/>
  <c r="Q3161" i="1"/>
  <c r="V3161" i="1" s="1"/>
  <c r="Q3162" i="1"/>
  <c r="V3162" i="1" s="1"/>
  <c r="Q3163" i="1"/>
  <c r="V3163" i="1" s="1"/>
  <c r="Q3164" i="1"/>
  <c r="V3164" i="1" s="1"/>
  <c r="Q3165" i="1"/>
  <c r="V3165" i="1" s="1"/>
  <c r="Q3166" i="1"/>
  <c r="V3166" i="1" s="1"/>
  <c r="Q3167" i="1"/>
  <c r="V3167" i="1" s="1"/>
  <c r="Q3168" i="1"/>
  <c r="V3168" i="1" s="1"/>
  <c r="Q3169" i="1"/>
  <c r="V3169" i="1" s="1"/>
  <c r="Q3170" i="1"/>
  <c r="V3170" i="1" s="1"/>
  <c r="Q3171" i="1"/>
  <c r="V3171" i="1" s="1"/>
  <c r="Q3174" i="1"/>
  <c r="V3174" i="1" s="1"/>
  <c r="Q3175" i="1"/>
  <c r="V3175" i="1" s="1"/>
  <c r="Q3176" i="1"/>
  <c r="V3176" i="1" s="1"/>
  <c r="Q3177" i="1"/>
  <c r="V3177" i="1" s="1"/>
  <c r="Q3178" i="1"/>
  <c r="V3178" i="1" s="1"/>
  <c r="Q3179" i="1"/>
  <c r="V3179" i="1" s="1"/>
  <c r="Q3180" i="1"/>
  <c r="V3180" i="1" s="1"/>
  <c r="Q3181" i="1"/>
  <c r="V3181" i="1" s="1"/>
  <c r="Q3182" i="1"/>
  <c r="V3182" i="1" s="1"/>
  <c r="Q3183" i="1"/>
  <c r="V3183" i="1" s="1"/>
  <c r="Q3184" i="1"/>
  <c r="V3184" i="1" s="1"/>
  <c r="Q3185" i="1"/>
  <c r="V3185" i="1" s="1"/>
  <c r="Q3186" i="1"/>
  <c r="V3186" i="1" s="1"/>
  <c r="Q3187" i="1"/>
  <c r="V3187" i="1" s="1"/>
  <c r="Q3188" i="1"/>
  <c r="V3188" i="1" s="1"/>
  <c r="Q3189" i="1"/>
  <c r="V3189" i="1" s="1"/>
  <c r="Q3190" i="1"/>
  <c r="V3190" i="1" s="1"/>
  <c r="Q3191" i="1"/>
  <c r="V3191" i="1" s="1"/>
  <c r="Q3192" i="1"/>
  <c r="V3192" i="1" s="1"/>
  <c r="Q3193" i="1"/>
  <c r="V3193" i="1" s="1"/>
  <c r="Q3194" i="1"/>
  <c r="V3194" i="1" s="1"/>
  <c r="Q3195" i="1"/>
  <c r="V3195" i="1" s="1"/>
  <c r="Q3196" i="1"/>
  <c r="V3196" i="1" s="1"/>
  <c r="Q3197" i="1"/>
  <c r="V3197" i="1" s="1"/>
  <c r="Q3198" i="1"/>
  <c r="V3198" i="1" s="1"/>
  <c r="Q3199" i="1"/>
  <c r="V3199" i="1" s="1"/>
  <c r="Q3200" i="1"/>
  <c r="V3200" i="1" s="1"/>
  <c r="Q3201" i="1"/>
  <c r="V3201" i="1" s="1"/>
  <c r="Q3202" i="1"/>
  <c r="V3202" i="1" s="1"/>
  <c r="Q3203" i="1"/>
  <c r="V3203" i="1" s="1"/>
  <c r="Q3204" i="1"/>
  <c r="V3204" i="1" s="1"/>
  <c r="Q3205" i="1"/>
  <c r="V3205" i="1" s="1"/>
  <c r="Q3206" i="1"/>
  <c r="V3206" i="1" s="1"/>
  <c r="Q3207" i="1"/>
  <c r="V3207" i="1" s="1"/>
  <c r="Q3208" i="1"/>
  <c r="V3208" i="1" s="1"/>
  <c r="Q3209" i="1"/>
  <c r="V3209" i="1" s="1"/>
  <c r="Q3210" i="1"/>
  <c r="V3210" i="1" s="1"/>
  <c r="Q3211" i="1"/>
  <c r="V3211" i="1" s="1"/>
  <c r="Q3212" i="1"/>
  <c r="V3212" i="1" s="1"/>
  <c r="Q3213" i="1"/>
  <c r="V3213" i="1" s="1"/>
  <c r="Q3214" i="1"/>
  <c r="V3214" i="1" s="1"/>
  <c r="Q3216" i="1"/>
  <c r="V3216" i="1" s="1"/>
  <c r="Q3217" i="1"/>
  <c r="V3217" i="1" s="1"/>
  <c r="Q3218" i="1"/>
  <c r="V3218" i="1" s="1"/>
  <c r="Q3219" i="1"/>
  <c r="V3219" i="1" s="1"/>
  <c r="Q3220" i="1"/>
  <c r="V3220" i="1" s="1"/>
  <c r="Q3221" i="1"/>
  <c r="V3221" i="1" s="1"/>
  <c r="Q3223" i="1"/>
  <c r="V3223" i="1" s="1"/>
  <c r="Q3224" i="1"/>
  <c r="V3224" i="1" s="1"/>
  <c r="Q3225" i="1"/>
  <c r="V3225" i="1" s="1"/>
  <c r="Q3226" i="1"/>
  <c r="V3226" i="1" s="1"/>
  <c r="Q3227" i="1"/>
  <c r="V3227" i="1" s="1"/>
  <c r="Q3228" i="1"/>
  <c r="V3228" i="1" s="1"/>
  <c r="Q3229" i="1"/>
  <c r="V3229" i="1" s="1"/>
  <c r="Q3230" i="1"/>
  <c r="V3230" i="1" s="1"/>
  <c r="Q3231" i="1"/>
  <c r="V3231" i="1" s="1"/>
  <c r="Q3232" i="1"/>
  <c r="V3232" i="1" s="1"/>
  <c r="Q3233" i="1"/>
  <c r="V3233" i="1" s="1"/>
  <c r="Q3234" i="1"/>
  <c r="V3234" i="1" s="1"/>
  <c r="Q3235" i="1"/>
  <c r="V3235" i="1" s="1"/>
  <c r="Q3236" i="1"/>
  <c r="V3236" i="1" s="1"/>
  <c r="Q3237" i="1"/>
  <c r="V3237" i="1" s="1"/>
  <c r="Q3238" i="1"/>
  <c r="V3238" i="1" s="1"/>
  <c r="Q3239" i="1"/>
  <c r="V3239" i="1" s="1"/>
  <c r="Q3240" i="1"/>
  <c r="V3240" i="1" s="1"/>
  <c r="Q3241" i="1"/>
  <c r="V3241" i="1" s="1"/>
  <c r="Q3242" i="1"/>
  <c r="V3242" i="1" s="1"/>
  <c r="Q3243" i="1"/>
  <c r="V3243" i="1" s="1"/>
  <c r="Q3244" i="1"/>
  <c r="V3244" i="1" s="1"/>
  <c r="Q3245" i="1"/>
  <c r="V3245" i="1" s="1"/>
  <c r="Q3246" i="1"/>
  <c r="V3246" i="1" s="1"/>
  <c r="Q3247" i="1"/>
  <c r="V3247" i="1" s="1"/>
  <c r="Q3248" i="1"/>
  <c r="V3248" i="1" s="1"/>
  <c r="Q3249" i="1"/>
  <c r="V3249" i="1" s="1"/>
  <c r="Q3250" i="1"/>
  <c r="V3250" i="1" s="1"/>
  <c r="Q3251" i="1"/>
  <c r="V3251" i="1" s="1"/>
  <c r="Q3252" i="1"/>
  <c r="V3252" i="1" s="1"/>
  <c r="Q3253" i="1"/>
  <c r="V3253" i="1" s="1"/>
  <c r="Q3254" i="1"/>
  <c r="V3254" i="1" s="1"/>
  <c r="Q3255" i="1"/>
  <c r="V3255" i="1" s="1"/>
  <c r="Q3256" i="1"/>
  <c r="V3256" i="1" s="1"/>
  <c r="Q3257" i="1"/>
  <c r="V3257" i="1" s="1"/>
  <c r="Q3258" i="1"/>
  <c r="V3258" i="1" s="1"/>
  <c r="Q3259" i="1"/>
  <c r="V3259" i="1" s="1"/>
  <c r="Q3260" i="1"/>
  <c r="V3260" i="1" s="1"/>
  <c r="Q3261" i="1"/>
  <c r="V3261" i="1" s="1"/>
  <c r="Q3262" i="1"/>
  <c r="V3262" i="1" s="1"/>
  <c r="Q3263" i="1"/>
  <c r="V3263" i="1" s="1"/>
  <c r="Q3264" i="1"/>
  <c r="V3264" i="1" s="1"/>
  <c r="Q3265" i="1"/>
  <c r="V3265" i="1" s="1"/>
  <c r="Q3266" i="1"/>
  <c r="V3266" i="1" s="1"/>
  <c r="Q3267" i="1"/>
  <c r="V3267" i="1" s="1"/>
  <c r="Q3268" i="1"/>
  <c r="V3268" i="1" s="1"/>
  <c r="Q3269" i="1"/>
  <c r="V3269" i="1" s="1"/>
  <c r="Q3270" i="1"/>
  <c r="V3270" i="1" s="1"/>
  <c r="Q3271" i="1"/>
  <c r="V3271" i="1" s="1"/>
  <c r="Q3272" i="1"/>
  <c r="V3272" i="1" s="1"/>
  <c r="Q3273" i="1"/>
  <c r="V3273" i="1" s="1"/>
  <c r="Q3274" i="1"/>
  <c r="V3274" i="1" s="1"/>
  <c r="Q3275" i="1"/>
  <c r="V3275" i="1" s="1"/>
  <c r="Q3276" i="1"/>
  <c r="V3276" i="1" s="1"/>
  <c r="Q3277" i="1"/>
  <c r="V3277" i="1" s="1"/>
  <c r="Q3278" i="1"/>
  <c r="V3278" i="1" s="1"/>
  <c r="Q3279" i="1"/>
  <c r="V3279" i="1" s="1"/>
  <c r="Q3280" i="1"/>
  <c r="V3280" i="1" s="1"/>
  <c r="Q3281" i="1"/>
  <c r="V3281" i="1" s="1"/>
  <c r="Q3282" i="1"/>
  <c r="V3282" i="1" s="1"/>
  <c r="Q3283" i="1"/>
  <c r="V3283" i="1" s="1"/>
  <c r="Q3284" i="1"/>
  <c r="V3284" i="1" s="1"/>
  <c r="Q3285" i="1"/>
  <c r="V3285" i="1" s="1"/>
  <c r="Q3286" i="1"/>
  <c r="V3286" i="1" s="1"/>
  <c r="Q3287" i="1"/>
  <c r="V3287" i="1" s="1"/>
  <c r="Q3288" i="1"/>
  <c r="V3288" i="1" s="1"/>
  <c r="Q3289" i="1"/>
  <c r="V3289" i="1" s="1"/>
  <c r="Q3290" i="1"/>
  <c r="V3290" i="1" s="1"/>
  <c r="Q3291" i="1"/>
  <c r="V3291" i="1" s="1"/>
  <c r="Q3292" i="1"/>
  <c r="V3292" i="1" s="1"/>
  <c r="Q3293" i="1"/>
  <c r="V3293" i="1" s="1"/>
  <c r="Q3294" i="1"/>
  <c r="V3294" i="1" s="1"/>
  <c r="Q3295" i="1"/>
  <c r="V3295" i="1" s="1"/>
  <c r="Q3297" i="1"/>
  <c r="V3297" i="1" s="1"/>
  <c r="Q3298" i="1"/>
  <c r="V3298" i="1" s="1"/>
  <c r="Q3299" i="1"/>
  <c r="V3299" i="1" s="1"/>
  <c r="Q3300" i="1"/>
  <c r="V3300" i="1" s="1"/>
  <c r="Q3301" i="1"/>
  <c r="V3301" i="1" s="1"/>
  <c r="Q3302" i="1"/>
  <c r="V3302" i="1" s="1"/>
  <c r="Q3303" i="1"/>
  <c r="V3303" i="1" s="1"/>
  <c r="Q3304" i="1"/>
  <c r="V3304" i="1" s="1"/>
  <c r="Q3305" i="1"/>
  <c r="V3305" i="1" s="1"/>
  <c r="Q3306" i="1"/>
  <c r="V3306" i="1" s="1"/>
  <c r="Q3307" i="1"/>
  <c r="V3307" i="1" s="1"/>
  <c r="Q3308" i="1"/>
  <c r="V3308" i="1" s="1"/>
  <c r="Q3309" i="1"/>
  <c r="V3309" i="1" s="1"/>
  <c r="Q3310" i="1"/>
  <c r="V3310" i="1" s="1"/>
  <c r="Q3311" i="1"/>
  <c r="V3311" i="1" s="1"/>
  <c r="Q3312" i="1"/>
  <c r="V3312" i="1" s="1"/>
  <c r="Q3313" i="1"/>
  <c r="V3313" i="1" s="1"/>
  <c r="Q3314" i="1"/>
  <c r="V3314" i="1" s="1"/>
  <c r="Q3315" i="1"/>
  <c r="V3315" i="1" s="1"/>
  <c r="Q3316" i="1"/>
  <c r="V3316" i="1" s="1"/>
  <c r="Q3317" i="1"/>
  <c r="V3317" i="1" s="1"/>
  <c r="Q3318" i="1"/>
  <c r="V3318" i="1" s="1"/>
  <c r="Q3319" i="1"/>
  <c r="V3319" i="1" s="1"/>
  <c r="Q3320" i="1"/>
  <c r="V3320" i="1" s="1"/>
  <c r="Q3321" i="1"/>
  <c r="V3321" i="1" s="1"/>
  <c r="Q3322" i="1"/>
  <c r="V3322" i="1" s="1"/>
  <c r="Q3323" i="1"/>
  <c r="V3323" i="1" s="1"/>
  <c r="Q3324" i="1"/>
  <c r="V3324" i="1" s="1"/>
  <c r="Q3325" i="1"/>
  <c r="V3325" i="1" s="1"/>
  <c r="Q3326" i="1"/>
  <c r="V3326" i="1" s="1"/>
  <c r="Q3327" i="1"/>
  <c r="V3327" i="1" s="1"/>
  <c r="Q3328" i="1"/>
  <c r="V3328" i="1" s="1"/>
  <c r="Q3329" i="1"/>
  <c r="V3329" i="1" s="1"/>
  <c r="Q3330" i="1"/>
  <c r="V3330" i="1" s="1"/>
  <c r="Q3331" i="1"/>
  <c r="V3331" i="1" s="1"/>
  <c r="Q3332" i="1"/>
  <c r="V3332" i="1" s="1"/>
  <c r="Q3333" i="1"/>
  <c r="V3333" i="1" s="1"/>
  <c r="Q3334" i="1"/>
  <c r="V3334" i="1" s="1"/>
  <c r="Q3335" i="1"/>
  <c r="V3335" i="1" s="1"/>
  <c r="Q3336" i="1"/>
  <c r="V3336" i="1" s="1"/>
  <c r="Q3337" i="1"/>
  <c r="V3337" i="1" s="1"/>
  <c r="Q3338" i="1"/>
  <c r="V3338" i="1" s="1"/>
  <c r="Q3339" i="1"/>
  <c r="V3339" i="1" s="1"/>
  <c r="Q3340" i="1"/>
  <c r="V3340" i="1" s="1"/>
  <c r="Q3341" i="1"/>
  <c r="V3341" i="1" s="1"/>
  <c r="Q3343" i="1"/>
  <c r="V3343" i="1" s="1"/>
  <c r="Q3344" i="1"/>
  <c r="V3344" i="1" s="1"/>
  <c r="Q3345" i="1"/>
  <c r="V3345" i="1" s="1"/>
  <c r="Q3346" i="1"/>
  <c r="V3346" i="1" s="1"/>
  <c r="Q3347" i="1"/>
  <c r="V3347" i="1" s="1"/>
  <c r="Q3348" i="1"/>
  <c r="V3348" i="1" s="1"/>
  <c r="Q3349" i="1"/>
  <c r="V3349" i="1" s="1"/>
  <c r="Q3350" i="1"/>
  <c r="V3350" i="1" s="1"/>
  <c r="Q3351" i="1"/>
  <c r="V3351" i="1" s="1"/>
  <c r="Q3352" i="1"/>
  <c r="V3352" i="1" s="1"/>
  <c r="Q3353" i="1"/>
  <c r="V3353" i="1" s="1"/>
  <c r="Q3354" i="1"/>
  <c r="V3354" i="1" s="1"/>
  <c r="Q3355" i="1"/>
  <c r="V3355" i="1" s="1"/>
  <c r="Q3356" i="1"/>
  <c r="V3356" i="1" s="1"/>
  <c r="Q3357" i="1"/>
  <c r="V3357" i="1" s="1"/>
  <c r="Q3358" i="1"/>
  <c r="V3358" i="1" s="1"/>
  <c r="Q3359" i="1"/>
  <c r="V3359" i="1" s="1"/>
  <c r="Q3360" i="1"/>
  <c r="V3360" i="1" s="1"/>
  <c r="Q3361" i="1"/>
  <c r="V3361" i="1" s="1"/>
  <c r="Q3362" i="1"/>
  <c r="V3362" i="1" s="1"/>
  <c r="Q3363" i="1"/>
  <c r="V3363" i="1" s="1"/>
  <c r="Q3364" i="1"/>
  <c r="V3364" i="1" s="1"/>
  <c r="Q3365" i="1"/>
  <c r="V3365" i="1" s="1"/>
  <c r="Q3366" i="1"/>
  <c r="V3366" i="1" s="1"/>
  <c r="Q3367" i="1"/>
  <c r="V3367" i="1" s="1"/>
  <c r="Q3368" i="1"/>
  <c r="V3368" i="1" s="1"/>
  <c r="Q3369" i="1"/>
  <c r="V3369" i="1" s="1"/>
  <c r="Q3370" i="1"/>
  <c r="V3370" i="1" s="1"/>
  <c r="Q3371" i="1"/>
  <c r="V3371" i="1" s="1"/>
  <c r="Q3372" i="1"/>
  <c r="V3372" i="1" s="1"/>
  <c r="Q3373" i="1"/>
  <c r="V3373" i="1" s="1"/>
  <c r="Q3374" i="1"/>
  <c r="V3374" i="1" s="1"/>
  <c r="Q3375" i="1"/>
  <c r="V3375" i="1" s="1"/>
  <c r="Q3376" i="1"/>
  <c r="V3376" i="1" s="1"/>
  <c r="Q3377" i="1"/>
  <c r="V3377" i="1" s="1"/>
  <c r="Q3378" i="1"/>
  <c r="V3378" i="1" s="1"/>
  <c r="Q3379" i="1"/>
  <c r="V3379" i="1" s="1"/>
  <c r="Q3380" i="1"/>
  <c r="V3380" i="1" s="1"/>
  <c r="Q3381" i="1"/>
  <c r="V3381" i="1" s="1"/>
  <c r="Q3382" i="1"/>
  <c r="V3382" i="1" s="1"/>
  <c r="Q3383" i="1"/>
  <c r="V3383" i="1" s="1"/>
  <c r="Q3384" i="1"/>
  <c r="V3384" i="1" s="1"/>
  <c r="Q3385" i="1"/>
  <c r="V3385" i="1" s="1"/>
  <c r="Q3386" i="1"/>
  <c r="V3386" i="1" s="1"/>
  <c r="Q3387" i="1"/>
  <c r="V3387" i="1" s="1"/>
  <c r="Q3388" i="1"/>
  <c r="V3388" i="1" s="1"/>
  <c r="Q3389" i="1"/>
  <c r="V3389" i="1" s="1"/>
  <c r="Q3390" i="1"/>
  <c r="V3390" i="1" s="1"/>
  <c r="Q3391" i="1"/>
  <c r="V3391" i="1" s="1"/>
  <c r="Q3392" i="1"/>
  <c r="V3392" i="1" s="1"/>
  <c r="Q3393" i="1"/>
  <c r="V3393" i="1" s="1"/>
  <c r="Q3394" i="1"/>
  <c r="V3394" i="1" s="1"/>
  <c r="Q3395" i="1"/>
  <c r="V3395" i="1" s="1"/>
  <c r="Q3396" i="1"/>
  <c r="V3396" i="1" s="1"/>
  <c r="Q3397" i="1"/>
  <c r="V3397" i="1" s="1"/>
  <c r="Q3398" i="1"/>
  <c r="V3398" i="1" s="1"/>
  <c r="Q3399" i="1"/>
  <c r="V3399" i="1" s="1"/>
  <c r="Q3400" i="1"/>
  <c r="V3400" i="1" s="1"/>
  <c r="Q3401" i="1"/>
  <c r="V3401" i="1" s="1"/>
  <c r="Q3402" i="1"/>
  <c r="V3402" i="1" s="1"/>
  <c r="Q3403" i="1"/>
  <c r="V3403" i="1" s="1"/>
  <c r="Q3404" i="1"/>
  <c r="V3404" i="1" s="1"/>
  <c r="Q3405" i="1"/>
  <c r="V3405" i="1" s="1"/>
  <c r="Q3406" i="1"/>
  <c r="V3406" i="1" s="1"/>
  <c r="Q3407" i="1"/>
  <c r="V3407" i="1" s="1"/>
  <c r="Q3408" i="1"/>
  <c r="V3408" i="1" s="1"/>
  <c r="Q3409" i="1"/>
  <c r="V3409" i="1" s="1"/>
  <c r="Q3410" i="1"/>
  <c r="V3410" i="1" s="1"/>
  <c r="Q3411" i="1"/>
  <c r="V3411" i="1" s="1"/>
  <c r="Q3412" i="1"/>
  <c r="V3412" i="1" s="1"/>
  <c r="Q3413" i="1"/>
  <c r="V3413" i="1" s="1"/>
  <c r="Q3414" i="1"/>
  <c r="V3414" i="1" s="1"/>
  <c r="Q3415" i="1"/>
  <c r="V3415" i="1" s="1"/>
  <c r="Q3416" i="1"/>
  <c r="V3416" i="1" s="1"/>
  <c r="Q3417" i="1"/>
  <c r="V3417" i="1" s="1"/>
  <c r="Q3418" i="1"/>
  <c r="V3418" i="1" s="1"/>
  <c r="Q3419" i="1"/>
  <c r="V3419" i="1" s="1"/>
  <c r="Q3420" i="1"/>
  <c r="V3420" i="1" s="1"/>
  <c r="Q3421" i="1"/>
  <c r="V3421" i="1" s="1"/>
  <c r="Q3422" i="1"/>
  <c r="V3422" i="1" s="1"/>
  <c r="Q3423" i="1"/>
  <c r="V3423" i="1" s="1"/>
  <c r="Q3424" i="1"/>
  <c r="V3424" i="1" s="1"/>
  <c r="Q3425" i="1"/>
  <c r="V3425" i="1" s="1"/>
  <c r="Q3426" i="1"/>
  <c r="V3426" i="1" s="1"/>
  <c r="Q3427" i="1"/>
  <c r="V3427" i="1" s="1"/>
  <c r="Q3428" i="1"/>
  <c r="V3428" i="1" s="1"/>
  <c r="Q3429" i="1"/>
  <c r="V3429" i="1" s="1"/>
  <c r="Q3431" i="1"/>
  <c r="V3431" i="1" s="1"/>
  <c r="Q3432" i="1"/>
  <c r="V3432" i="1" s="1"/>
  <c r="Q3433" i="1"/>
  <c r="V3433" i="1" s="1"/>
  <c r="Q3434" i="1"/>
  <c r="V3434" i="1" s="1"/>
  <c r="Q3435" i="1"/>
  <c r="V3435" i="1" s="1"/>
  <c r="Q3436" i="1"/>
  <c r="V3436" i="1" s="1"/>
  <c r="Q3437" i="1"/>
  <c r="V3437" i="1" s="1"/>
  <c r="Q3438" i="1"/>
  <c r="V3438" i="1" s="1"/>
  <c r="Q3439" i="1"/>
  <c r="V3439" i="1" s="1"/>
  <c r="Q3440" i="1"/>
  <c r="V3440" i="1" s="1"/>
  <c r="Q3441" i="1"/>
  <c r="V3441" i="1" s="1"/>
  <c r="Q3442" i="1"/>
  <c r="V3442" i="1" s="1"/>
  <c r="Q3443" i="1"/>
  <c r="V3443" i="1" s="1"/>
  <c r="Q3444" i="1"/>
  <c r="V3444" i="1" s="1"/>
  <c r="Q3445" i="1"/>
  <c r="V3445" i="1" s="1"/>
  <c r="Q3446" i="1"/>
  <c r="V3446" i="1" s="1"/>
  <c r="Q3447" i="1"/>
  <c r="V3447" i="1" s="1"/>
  <c r="Q3448" i="1"/>
  <c r="V3448" i="1" s="1"/>
  <c r="Q3449" i="1"/>
  <c r="V3449" i="1" s="1"/>
  <c r="Q3450" i="1"/>
  <c r="V3450" i="1" s="1"/>
  <c r="Q3451" i="1"/>
  <c r="V3451" i="1" s="1"/>
  <c r="Q3452" i="1"/>
  <c r="V3452" i="1" s="1"/>
  <c r="Q3453" i="1"/>
  <c r="V3453" i="1" s="1"/>
  <c r="Q3454" i="1"/>
  <c r="V3454" i="1" s="1"/>
  <c r="Q3455" i="1"/>
  <c r="V3455" i="1" s="1"/>
  <c r="Q3456" i="1"/>
  <c r="V3456" i="1" s="1"/>
  <c r="Q3457" i="1"/>
  <c r="V3457" i="1" s="1"/>
  <c r="Q3458" i="1"/>
  <c r="V3458" i="1" s="1"/>
  <c r="Q3459" i="1"/>
  <c r="V3459" i="1" s="1"/>
  <c r="Q3460" i="1"/>
  <c r="V3460" i="1" s="1"/>
  <c r="Q3462" i="1"/>
  <c r="V3462" i="1" s="1"/>
  <c r="Q3463" i="1"/>
  <c r="V3463" i="1" s="1"/>
  <c r="Q3464" i="1"/>
  <c r="V3464" i="1" s="1"/>
  <c r="Q3465" i="1"/>
  <c r="V3465" i="1" s="1"/>
  <c r="Q3466" i="1"/>
  <c r="V3466" i="1" s="1"/>
  <c r="Q3467" i="1"/>
  <c r="V3467" i="1" s="1"/>
  <c r="Q3468" i="1"/>
  <c r="V3468" i="1" s="1"/>
  <c r="Q3469" i="1"/>
  <c r="V3469" i="1" s="1"/>
  <c r="Q3470" i="1"/>
  <c r="V3470" i="1" s="1"/>
  <c r="Q3471" i="1"/>
  <c r="V3471" i="1" s="1"/>
  <c r="Q3472" i="1"/>
  <c r="V3472" i="1" s="1"/>
  <c r="Q3473" i="1"/>
  <c r="V3473" i="1" s="1"/>
  <c r="Q3474" i="1"/>
  <c r="V3474" i="1" s="1"/>
  <c r="Q3475" i="1"/>
  <c r="V3475" i="1" s="1"/>
  <c r="Q3476" i="1"/>
  <c r="V3476" i="1" s="1"/>
  <c r="Q3477" i="1"/>
  <c r="V3477" i="1" s="1"/>
  <c r="Q3478" i="1"/>
  <c r="V3478" i="1" s="1"/>
  <c r="Q3479" i="1"/>
  <c r="V3479" i="1" s="1"/>
  <c r="Q3480" i="1"/>
  <c r="V3480" i="1" s="1"/>
  <c r="Q3481" i="1"/>
  <c r="V3481" i="1" s="1"/>
  <c r="Q3482" i="1"/>
  <c r="V3482" i="1" s="1"/>
  <c r="Q3483" i="1"/>
  <c r="V3483" i="1" s="1"/>
  <c r="Q3484" i="1"/>
  <c r="V3484" i="1" s="1"/>
  <c r="Q3485" i="1"/>
  <c r="V3485" i="1" s="1"/>
  <c r="Q3486" i="1"/>
  <c r="V3486" i="1" s="1"/>
  <c r="Q3487" i="1"/>
  <c r="V3487" i="1" s="1"/>
  <c r="Q3488" i="1"/>
  <c r="V3488" i="1" s="1"/>
  <c r="Q3489" i="1"/>
  <c r="V3489" i="1" s="1"/>
  <c r="Q3490" i="1"/>
  <c r="V3490" i="1" s="1"/>
  <c r="Q3491" i="1"/>
  <c r="V3491" i="1" s="1"/>
  <c r="Q3492" i="1"/>
  <c r="V3492" i="1" s="1"/>
  <c r="Q3493" i="1"/>
  <c r="V3493" i="1" s="1"/>
  <c r="Q3494" i="1"/>
  <c r="V3494" i="1" s="1"/>
  <c r="Q3495" i="1"/>
  <c r="V3495" i="1" s="1"/>
  <c r="Q3496" i="1"/>
  <c r="V3496" i="1" s="1"/>
  <c r="Q3497" i="1"/>
  <c r="V3497" i="1" s="1"/>
  <c r="Q3498" i="1"/>
  <c r="V3498" i="1" s="1"/>
  <c r="Q3499" i="1"/>
  <c r="V3499" i="1" s="1"/>
  <c r="Q3500" i="1"/>
  <c r="V3500" i="1" s="1"/>
  <c r="Q3501" i="1"/>
  <c r="V3501" i="1" s="1"/>
  <c r="Q3502" i="1"/>
  <c r="V3502" i="1" s="1"/>
  <c r="Q3503" i="1"/>
  <c r="V3503" i="1" s="1"/>
  <c r="Q3504" i="1"/>
  <c r="V3504" i="1" s="1"/>
  <c r="Q3505" i="1"/>
  <c r="V3505" i="1" s="1"/>
  <c r="Q3506" i="1"/>
  <c r="V3506" i="1" s="1"/>
  <c r="Q3507" i="1"/>
  <c r="V3507" i="1" s="1"/>
  <c r="Q3508" i="1"/>
  <c r="V3508" i="1" s="1"/>
  <c r="Q3509" i="1"/>
  <c r="V3509" i="1" s="1"/>
  <c r="Q3510" i="1"/>
  <c r="V3510" i="1" s="1"/>
  <c r="Q3511" i="1"/>
  <c r="V3511" i="1" s="1"/>
  <c r="Q3512" i="1"/>
  <c r="V3512" i="1" s="1"/>
  <c r="Q3513" i="1"/>
  <c r="V3513" i="1" s="1"/>
  <c r="Q3514" i="1"/>
  <c r="V3514" i="1" s="1"/>
  <c r="Q3515" i="1"/>
  <c r="V3515" i="1" s="1"/>
  <c r="Q3516" i="1"/>
  <c r="V3516" i="1" s="1"/>
  <c r="Q3517" i="1"/>
  <c r="V3517" i="1" s="1"/>
  <c r="Q3518" i="1"/>
  <c r="V3518" i="1" s="1"/>
  <c r="Q3519" i="1"/>
  <c r="V3519" i="1" s="1"/>
  <c r="Q3520" i="1"/>
  <c r="V3520" i="1" s="1"/>
  <c r="Q3521" i="1"/>
  <c r="V3521" i="1" s="1"/>
  <c r="Q3522" i="1"/>
  <c r="V3522" i="1" s="1"/>
  <c r="Q3523" i="1"/>
  <c r="V3523" i="1" s="1"/>
  <c r="Q3524" i="1"/>
  <c r="V3524" i="1" s="1"/>
  <c r="Q3525" i="1"/>
  <c r="V3525" i="1" s="1"/>
  <c r="Q3526" i="1"/>
  <c r="V3526" i="1" s="1"/>
  <c r="Q3527" i="1"/>
  <c r="V3527" i="1" s="1"/>
  <c r="Q3528" i="1"/>
  <c r="V3528" i="1" s="1"/>
  <c r="Q3529" i="1"/>
  <c r="V3529" i="1" s="1"/>
  <c r="Q3530" i="1"/>
  <c r="V3530" i="1" s="1"/>
  <c r="Q3531" i="1"/>
  <c r="V3531" i="1" s="1"/>
  <c r="Q3532" i="1"/>
  <c r="V3532" i="1" s="1"/>
  <c r="Q3533" i="1"/>
  <c r="V3533" i="1" s="1"/>
  <c r="Q3534" i="1"/>
  <c r="V3534" i="1" s="1"/>
  <c r="Q3535" i="1"/>
  <c r="V3535" i="1" s="1"/>
  <c r="Q3536" i="1"/>
  <c r="V3536" i="1" s="1"/>
  <c r="Q3537" i="1"/>
  <c r="V3537" i="1" s="1"/>
  <c r="Q3538" i="1"/>
  <c r="V3538" i="1" s="1"/>
  <c r="Q3539" i="1"/>
  <c r="V3539" i="1" s="1"/>
  <c r="Q3540" i="1"/>
  <c r="V3540" i="1" s="1"/>
  <c r="Q3541" i="1"/>
  <c r="V3541" i="1" s="1"/>
  <c r="Q3542" i="1"/>
  <c r="V3542" i="1" s="1"/>
  <c r="Q3543" i="1"/>
  <c r="V3543" i="1" s="1"/>
  <c r="Q3544" i="1"/>
  <c r="V3544" i="1" s="1"/>
  <c r="Q3545" i="1"/>
  <c r="V3545" i="1" s="1"/>
  <c r="Q3546" i="1"/>
  <c r="V3546" i="1" s="1"/>
  <c r="Q3547" i="1"/>
  <c r="V3547" i="1" s="1"/>
  <c r="Q3548" i="1"/>
  <c r="V3548" i="1" s="1"/>
  <c r="Q3549" i="1"/>
  <c r="V3549" i="1" s="1"/>
  <c r="Q3550" i="1"/>
  <c r="V3550" i="1" s="1"/>
  <c r="Q3551" i="1"/>
  <c r="V3551" i="1" s="1"/>
  <c r="Q3552" i="1"/>
  <c r="V3552" i="1" s="1"/>
  <c r="Q3553" i="1"/>
  <c r="V3553" i="1" s="1"/>
  <c r="Q3554" i="1"/>
  <c r="V3554" i="1" s="1"/>
  <c r="Q3555" i="1"/>
  <c r="V3555" i="1" s="1"/>
  <c r="Q3556" i="1"/>
  <c r="V3556" i="1" s="1"/>
  <c r="Q3557" i="1"/>
  <c r="V3557" i="1" s="1"/>
  <c r="Q3558" i="1"/>
  <c r="V3558" i="1" s="1"/>
  <c r="Q3559" i="1"/>
  <c r="V3559" i="1" s="1"/>
  <c r="Q3560" i="1"/>
  <c r="V3560" i="1" s="1"/>
  <c r="Q3561" i="1"/>
  <c r="V3561" i="1" s="1"/>
  <c r="Q3562" i="1"/>
  <c r="V3562" i="1" s="1"/>
  <c r="Q3563" i="1"/>
  <c r="V3563" i="1" s="1"/>
  <c r="Q3564" i="1"/>
  <c r="V3564" i="1" s="1"/>
  <c r="Q3565" i="1"/>
  <c r="V3565" i="1" s="1"/>
  <c r="Q3566" i="1"/>
  <c r="V3566" i="1" s="1"/>
  <c r="Q3567" i="1"/>
  <c r="V3567" i="1" s="1"/>
  <c r="Q3568" i="1"/>
  <c r="V3568" i="1" s="1"/>
  <c r="Q3569" i="1"/>
  <c r="V3569" i="1" s="1"/>
  <c r="Q3570" i="1"/>
  <c r="V3570" i="1" s="1"/>
  <c r="Q3571" i="1"/>
  <c r="V3571" i="1" s="1"/>
  <c r="Q3572" i="1"/>
  <c r="V3572" i="1" s="1"/>
  <c r="Q3573" i="1"/>
  <c r="V3573" i="1" s="1"/>
  <c r="Q3574" i="1"/>
  <c r="V3574" i="1" s="1"/>
  <c r="Q3575" i="1"/>
  <c r="V3575" i="1" s="1"/>
  <c r="Q3576" i="1"/>
  <c r="V3576" i="1" s="1"/>
  <c r="Q3577" i="1"/>
  <c r="V3577" i="1" s="1"/>
  <c r="Q3578" i="1"/>
  <c r="V3578" i="1" s="1"/>
  <c r="Q3579" i="1"/>
  <c r="V3579" i="1" s="1"/>
  <c r="Q3580" i="1"/>
  <c r="V3580" i="1" s="1"/>
  <c r="Q3581" i="1"/>
  <c r="V3581" i="1" s="1"/>
  <c r="Q3582" i="1"/>
  <c r="V3582" i="1" s="1"/>
  <c r="Q3583" i="1"/>
  <c r="V3583" i="1" s="1"/>
  <c r="Q3584" i="1"/>
  <c r="V3584" i="1" s="1"/>
  <c r="Q3585" i="1"/>
  <c r="V3585" i="1" s="1"/>
  <c r="Q3586" i="1"/>
  <c r="V3586" i="1" s="1"/>
  <c r="Q3587" i="1"/>
  <c r="V3587" i="1" s="1"/>
  <c r="Q3588" i="1"/>
  <c r="V3588" i="1" s="1"/>
  <c r="Q3589" i="1"/>
  <c r="V3589" i="1" s="1"/>
  <c r="Q3590" i="1"/>
  <c r="V3590" i="1" s="1"/>
  <c r="Q3591" i="1"/>
  <c r="V3591" i="1" s="1"/>
  <c r="Q3592" i="1"/>
  <c r="V3592" i="1" s="1"/>
  <c r="Q3593" i="1"/>
  <c r="V3593" i="1" s="1"/>
  <c r="Q3594" i="1"/>
  <c r="V3594" i="1" s="1"/>
  <c r="Q3595" i="1"/>
  <c r="V3595" i="1" s="1"/>
  <c r="Q3596" i="1"/>
  <c r="V3596" i="1" s="1"/>
  <c r="Q3597" i="1"/>
  <c r="V3597" i="1" s="1"/>
  <c r="Q3598" i="1"/>
  <c r="V3598" i="1" s="1"/>
  <c r="Q3599" i="1"/>
  <c r="V3599" i="1" s="1"/>
  <c r="Q3600" i="1"/>
  <c r="V3600" i="1" s="1"/>
  <c r="Q3601" i="1"/>
  <c r="V3601" i="1" s="1"/>
  <c r="Q3602" i="1"/>
  <c r="V3602" i="1" s="1"/>
  <c r="Q3603" i="1"/>
  <c r="V3603" i="1" s="1"/>
  <c r="Q3604" i="1"/>
  <c r="V3604" i="1" s="1"/>
  <c r="Q3605" i="1"/>
  <c r="V3605" i="1" s="1"/>
  <c r="Q3606" i="1"/>
  <c r="V3606" i="1" s="1"/>
  <c r="Q3607" i="1"/>
  <c r="V3607" i="1" s="1"/>
  <c r="Q3608" i="1"/>
  <c r="V3608" i="1" s="1"/>
  <c r="Q3609" i="1"/>
  <c r="V3609" i="1" s="1"/>
  <c r="Q3610" i="1"/>
  <c r="V3610" i="1" s="1"/>
  <c r="Q3611" i="1"/>
  <c r="V3611" i="1" s="1"/>
  <c r="Q3612" i="1"/>
  <c r="V3612" i="1" s="1"/>
  <c r="Q3613" i="1"/>
  <c r="V3613" i="1" s="1"/>
  <c r="Q3614" i="1"/>
  <c r="V3614" i="1" s="1"/>
  <c r="Q3615" i="1"/>
  <c r="V3615" i="1" s="1"/>
  <c r="Q3616" i="1"/>
  <c r="V3616" i="1" s="1"/>
  <c r="Q3617" i="1"/>
  <c r="V3617" i="1" s="1"/>
  <c r="Q3618" i="1"/>
  <c r="V3618" i="1" s="1"/>
  <c r="Q3619" i="1"/>
  <c r="V3619" i="1" s="1"/>
  <c r="Q3620" i="1"/>
  <c r="V3620" i="1" s="1"/>
  <c r="Q3621" i="1"/>
  <c r="V3621" i="1" s="1"/>
  <c r="Q3622" i="1"/>
  <c r="V3622" i="1" s="1"/>
  <c r="Q3623" i="1"/>
  <c r="V3623" i="1" s="1"/>
  <c r="Q3624" i="1"/>
  <c r="V3624" i="1" s="1"/>
  <c r="Q3625" i="1"/>
  <c r="V3625" i="1" s="1"/>
  <c r="Q3626" i="1"/>
  <c r="V3626" i="1" s="1"/>
  <c r="Q3627" i="1"/>
  <c r="V3627" i="1" s="1"/>
  <c r="Q3628" i="1"/>
  <c r="V3628" i="1" s="1"/>
  <c r="Q3629" i="1"/>
  <c r="V3629" i="1" s="1"/>
  <c r="Q3630" i="1"/>
  <c r="V3630" i="1" s="1"/>
  <c r="Q3631" i="1"/>
  <c r="V3631" i="1" s="1"/>
  <c r="Q3632" i="1"/>
  <c r="V3632" i="1" s="1"/>
  <c r="Q3633" i="1"/>
  <c r="V3633" i="1" s="1"/>
  <c r="Q3634" i="1"/>
  <c r="V3634" i="1" s="1"/>
  <c r="Q3635" i="1"/>
  <c r="V3635" i="1" s="1"/>
  <c r="Q3636" i="1"/>
  <c r="V3636" i="1" s="1"/>
  <c r="Q3637" i="1"/>
  <c r="V3637" i="1" s="1"/>
  <c r="Q3638" i="1"/>
  <c r="V3638" i="1" s="1"/>
  <c r="Q3639" i="1"/>
  <c r="V3639" i="1" s="1"/>
  <c r="Q3640" i="1"/>
  <c r="V3640" i="1" s="1"/>
  <c r="Q3641" i="1"/>
  <c r="V3641" i="1" s="1"/>
  <c r="Q3642" i="1"/>
  <c r="V3642" i="1" s="1"/>
  <c r="Q3643" i="1"/>
  <c r="V3643" i="1" s="1"/>
  <c r="Q3644" i="1"/>
  <c r="V3644" i="1" s="1"/>
  <c r="Q3645" i="1"/>
  <c r="V3645" i="1" s="1"/>
  <c r="Q3646" i="1"/>
  <c r="V3646" i="1" s="1"/>
  <c r="Q3647" i="1"/>
  <c r="V3647" i="1" s="1"/>
  <c r="Q3648" i="1"/>
  <c r="V3648" i="1" s="1"/>
  <c r="Q3649" i="1"/>
  <c r="V3649" i="1" s="1"/>
  <c r="Q3650" i="1"/>
  <c r="V3650" i="1" s="1"/>
  <c r="Q3651" i="1"/>
  <c r="V3651" i="1" s="1"/>
  <c r="Q3652" i="1"/>
  <c r="V3652" i="1" s="1"/>
  <c r="Q3653" i="1"/>
  <c r="V3653" i="1" s="1"/>
  <c r="Q3654" i="1"/>
  <c r="V3654" i="1" s="1"/>
  <c r="Q3655" i="1"/>
  <c r="V3655" i="1" s="1"/>
  <c r="Q3656" i="1"/>
  <c r="V3656" i="1" s="1"/>
  <c r="Q3657" i="1"/>
  <c r="V3657" i="1" s="1"/>
  <c r="Q3658" i="1"/>
  <c r="V3658" i="1" s="1"/>
  <c r="Q3659" i="1"/>
  <c r="V3659" i="1" s="1"/>
  <c r="Q3660" i="1"/>
  <c r="V3660" i="1" s="1"/>
  <c r="Q3661" i="1"/>
  <c r="V3661" i="1" s="1"/>
  <c r="Q3662" i="1"/>
  <c r="V3662" i="1" s="1"/>
  <c r="Q3663" i="1"/>
  <c r="V3663" i="1" s="1"/>
  <c r="Q3664" i="1"/>
  <c r="V3664" i="1" s="1"/>
  <c r="Q3666" i="1"/>
  <c r="V3666" i="1" s="1"/>
  <c r="Q3668" i="1"/>
  <c r="V3668" i="1" s="1"/>
  <c r="Q3669" i="1"/>
  <c r="V3669" i="1" s="1"/>
  <c r="Q3670" i="1"/>
  <c r="V3670" i="1" s="1"/>
  <c r="Q3671" i="1"/>
  <c r="V3671" i="1" s="1"/>
  <c r="Q3672" i="1"/>
  <c r="V3672" i="1" s="1"/>
  <c r="Q3673" i="1"/>
  <c r="V3673" i="1" s="1"/>
  <c r="Q3674" i="1"/>
  <c r="V3674" i="1" s="1"/>
  <c r="Q3675" i="1"/>
  <c r="V3675" i="1" s="1"/>
  <c r="Q3676" i="1"/>
  <c r="V3676" i="1" s="1"/>
  <c r="Q3677" i="1"/>
  <c r="V3677" i="1" s="1"/>
  <c r="Q3678" i="1"/>
  <c r="V3678" i="1" s="1"/>
  <c r="Q3679" i="1"/>
  <c r="V3679" i="1" s="1"/>
  <c r="Q3680" i="1"/>
  <c r="V3680" i="1" s="1"/>
  <c r="Q3681" i="1"/>
  <c r="V3681" i="1" s="1"/>
  <c r="Q3682" i="1"/>
  <c r="V3682" i="1" s="1"/>
  <c r="Q3683" i="1"/>
  <c r="V3683" i="1" s="1"/>
  <c r="Q3684" i="1"/>
  <c r="V3684" i="1" s="1"/>
  <c r="Q3685" i="1"/>
  <c r="V3685" i="1" s="1"/>
  <c r="Q3686" i="1"/>
  <c r="V3686" i="1" s="1"/>
  <c r="Q3687" i="1"/>
  <c r="V3687" i="1" s="1"/>
  <c r="Q3688" i="1"/>
  <c r="V3688" i="1" s="1"/>
  <c r="Q3689" i="1"/>
  <c r="V3689" i="1" s="1"/>
  <c r="Q3690" i="1"/>
  <c r="V3690" i="1" s="1"/>
  <c r="Q3691" i="1"/>
  <c r="V3691" i="1" s="1"/>
  <c r="Q3692" i="1"/>
  <c r="V3692" i="1" s="1"/>
  <c r="Q3693" i="1"/>
  <c r="V3693" i="1" s="1"/>
  <c r="Q3694" i="1"/>
  <c r="V3694" i="1" s="1"/>
  <c r="Q3695" i="1"/>
  <c r="V3695" i="1" s="1"/>
  <c r="Q3696" i="1"/>
  <c r="V3696" i="1" s="1"/>
  <c r="Q3697" i="1"/>
  <c r="V3697" i="1" s="1"/>
  <c r="Q3698" i="1"/>
  <c r="V3698" i="1" s="1"/>
  <c r="Q3699" i="1"/>
  <c r="V3699" i="1" s="1"/>
  <c r="Q3700" i="1"/>
  <c r="V3700" i="1" s="1"/>
  <c r="Q3701" i="1"/>
  <c r="V3701" i="1" s="1"/>
  <c r="Q3702" i="1"/>
  <c r="V3702" i="1" s="1"/>
  <c r="Q3703" i="1"/>
  <c r="V3703" i="1" s="1"/>
  <c r="Q3704" i="1"/>
  <c r="V3704" i="1" s="1"/>
  <c r="Q3705" i="1"/>
  <c r="V3705" i="1" s="1"/>
  <c r="Q3706" i="1"/>
  <c r="V3706" i="1" s="1"/>
  <c r="Q3707" i="1"/>
  <c r="V3707" i="1" s="1"/>
  <c r="Q3708" i="1"/>
  <c r="V3708" i="1" s="1"/>
  <c r="Q3709" i="1"/>
  <c r="V3709" i="1" s="1"/>
  <c r="Q3710" i="1"/>
  <c r="V3710" i="1" s="1"/>
  <c r="Q3711" i="1"/>
  <c r="V3711" i="1" s="1"/>
  <c r="Q3712" i="1"/>
  <c r="V3712" i="1" s="1"/>
  <c r="Q3713" i="1"/>
  <c r="V3713" i="1" s="1"/>
  <c r="Q3714" i="1"/>
  <c r="V3714" i="1" s="1"/>
  <c r="Q3715" i="1"/>
  <c r="V3715" i="1" s="1"/>
  <c r="Q3716" i="1"/>
  <c r="V3716" i="1" s="1"/>
  <c r="Q3717" i="1"/>
  <c r="V3717" i="1" s="1"/>
  <c r="Q3718" i="1"/>
  <c r="V3718" i="1" s="1"/>
  <c r="Q3719" i="1"/>
  <c r="V3719" i="1" s="1"/>
  <c r="Q3720" i="1"/>
  <c r="V3720" i="1" s="1"/>
  <c r="Q3721" i="1"/>
  <c r="V3721" i="1" s="1"/>
  <c r="Q3722" i="1"/>
  <c r="V3722" i="1" s="1"/>
  <c r="Q3723" i="1"/>
  <c r="V3723" i="1" s="1"/>
  <c r="Q3724" i="1"/>
  <c r="V3724" i="1" s="1"/>
  <c r="Q3725" i="1"/>
  <c r="V3725" i="1" s="1"/>
  <c r="Q3726" i="1"/>
  <c r="V3726" i="1" s="1"/>
  <c r="Q3727" i="1"/>
  <c r="V3727" i="1" s="1"/>
  <c r="Q3728" i="1"/>
  <c r="V3728" i="1" s="1"/>
  <c r="Q3729" i="1"/>
  <c r="V3729" i="1" s="1"/>
  <c r="Q3730" i="1"/>
  <c r="V3730" i="1" s="1"/>
  <c r="Q3731" i="1"/>
  <c r="V3731" i="1" s="1"/>
  <c r="Q3732" i="1"/>
  <c r="V3732" i="1" s="1"/>
  <c r="Q3733" i="1"/>
  <c r="V3733" i="1" s="1"/>
  <c r="Q3734" i="1"/>
  <c r="V3734" i="1" s="1"/>
  <c r="Q3735" i="1"/>
  <c r="V3735" i="1" s="1"/>
  <c r="Q3736" i="1"/>
  <c r="V3736" i="1" s="1"/>
  <c r="Q3737" i="1"/>
  <c r="V3737" i="1" s="1"/>
  <c r="Q3738" i="1"/>
  <c r="V3738" i="1" s="1"/>
  <c r="Q3739" i="1"/>
  <c r="V3739" i="1" s="1"/>
  <c r="Q3740" i="1"/>
  <c r="V3740" i="1" s="1"/>
  <c r="Q3741" i="1"/>
  <c r="V3741" i="1" s="1"/>
  <c r="Q3742" i="1"/>
  <c r="V3742" i="1" s="1"/>
  <c r="Q3743" i="1"/>
  <c r="V3743" i="1" s="1"/>
  <c r="Q3744" i="1"/>
  <c r="V3744" i="1" s="1"/>
  <c r="Q3745" i="1"/>
  <c r="V3745" i="1" s="1"/>
  <c r="Q3746" i="1"/>
  <c r="V3746" i="1" s="1"/>
  <c r="Q3747" i="1"/>
  <c r="V3747" i="1" s="1"/>
  <c r="Q3748" i="1"/>
  <c r="V3748" i="1" s="1"/>
  <c r="Q3749" i="1"/>
  <c r="V3749" i="1" s="1"/>
  <c r="Q3750" i="1"/>
  <c r="V3750" i="1" s="1"/>
  <c r="Q3751" i="1"/>
  <c r="V3751" i="1" s="1"/>
  <c r="Q3752" i="1"/>
  <c r="V3752" i="1" s="1"/>
  <c r="Q3753" i="1"/>
  <c r="V3753" i="1" s="1"/>
  <c r="Q3754" i="1"/>
  <c r="V3754" i="1" s="1"/>
  <c r="Q3755" i="1"/>
  <c r="V3755" i="1" s="1"/>
  <c r="Q3756" i="1"/>
  <c r="V3756" i="1" s="1"/>
  <c r="Q3757" i="1"/>
  <c r="V3757" i="1" s="1"/>
  <c r="Q3758" i="1"/>
  <c r="V3758" i="1" s="1"/>
  <c r="Q3759" i="1"/>
  <c r="V3759" i="1" s="1"/>
  <c r="Q3760" i="1"/>
  <c r="V3760" i="1" s="1"/>
  <c r="Q3761" i="1"/>
  <c r="V3761" i="1" s="1"/>
  <c r="Q3762" i="1"/>
  <c r="V3762" i="1" s="1"/>
  <c r="Q3763" i="1"/>
  <c r="V3763" i="1" s="1"/>
  <c r="Q3764" i="1"/>
  <c r="V3764" i="1" s="1"/>
  <c r="Q3765" i="1"/>
  <c r="V3765" i="1" s="1"/>
  <c r="Q3766" i="1"/>
  <c r="V3766" i="1" s="1"/>
  <c r="Q3767" i="1"/>
  <c r="V3767" i="1" s="1"/>
  <c r="Q3768" i="1"/>
  <c r="V3768" i="1" s="1"/>
  <c r="Q3769" i="1"/>
  <c r="V3769" i="1" s="1"/>
  <c r="Q3770" i="1"/>
  <c r="V3770" i="1" s="1"/>
  <c r="Q3771" i="1"/>
  <c r="V3771" i="1" s="1"/>
  <c r="Q3772" i="1"/>
  <c r="V3772" i="1" s="1"/>
  <c r="Q3773" i="1"/>
  <c r="V3773" i="1" s="1"/>
  <c r="Q3774" i="1"/>
  <c r="V3774" i="1" s="1"/>
  <c r="Q3775" i="1"/>
  <c r="V3775" i="1" s="1"/>
  <c r="Q3776" i="1"/>
  <c r="V3776" i="1" s="1"/>
  <c r="Q3777" i="1"/>
  <c r="V3777" i="1" s="1"/>
  <c r="Q3778" i="1"/>
  <c r="V3778" i="1" s="1"/>
  <c r="Q3779" i="1"/>
  <c r="V3779" i="1" s="1"/>
  <c r="Q3780" i="1"/>
  <c r="V3780" i="1" s="1"/>
  <c r="Q3781" i="1"/>
  <c r="V3781" i="1" s="1"/>
  <c r="Q3782" i="1"/>
  <c r="V3782" i="1" s="1"/>
  <c r="Q3783" i="1"/>
  <c r="V3783" i="1" s="1"/>
  <c r="Q3784" i="1"/>
  <c r="V3784" i="1" s="1"/>
  <c r="Q3785" i="1"/>
  <c r="V3785" i="1" s="1"/>
  <c r="Q3786" i="1"/>
  <c r="V3786" i="1" s="1"/>
  <c r="Q3787" i="1"/>
  <c r="V3787" i="1" s="1"/>
  <c r="Q3788" i="1"/>
  <c r="V3788" i="1" s="1"/>
  <c r="Q3789" i="1"/>
  <c r="V3789" i="1" s="1"/>
  <c r="Q3790" i="1"/>
  <c r="V3790" i="1" s="1"/>
  <c r="Q3791" i="1"/>
  <c r="V3791" i="1" s="1"/>
  <c r="Q3792" i="1"/>
  <c r="V3792" i="1" s="1"/>
  <c r="Q3793" i="1"/>
  <c r="V3793" i="1" s="1"/>
  <c r="Q3794" i="1"/>
  <c r="V3794" i="1" s="1"/>
  <c r="Q3795" i="1"/>
  <c r="V3795" i="1" s="1"/>
  <c r="Q3796" i="1"/>
  <c r="V3796" i="1" s="1"/>
  <c r="Q3797" i="1"/>
  <c r="V3797" i="1" s="1"/>
  <c r="Q3798" i="1"/>
  <c r="V3798" i="1" s="1"/>
  <c r="Q3799" i="1"/>
  <c r="V3799" i="1" s="1"/>
  <c r="Q3800" i="1"/>
  <c r="V3800" i="1" s="1"/>
  <c r="Q3801" i="1"/>
  <c r="V3801" i="1" s="1"/>
  <c r="Q3803" i="1"/>
  <c r="V3803" i="1" s="1"/>
  <c r="Q3805" i="1"/>
  <c r="V3805" i="1" s="1"/>
  <c r="Q3806" i="1"/>
  <c r="V3806" i="1" s="1"/>
  <c r="Q3807" i="1"/>
  <c r="V3807" i="1" s="1"/>
  <c r="Q3808" i="1"/>
  <c r="V3808" i="1" s="1"/>
  <c r="Q3809" i="1"/>
  <c r="V3809" i="1" s="1"/>
  <c r="Q3810" i="1"/>
  <c r="V3810" i="1" s="1"/>
  <c r="Q3811" i="1"/>
  <c r="V3811" i="1" s="1"/>
  <c r="Q3812" i="1"/>
  <c r="V3812" i="1" s="1"/>
  <c r="Q3813" i="1"/>
  <c r="V3813" i="1" s="1"/>
  <c r="Q3814" i="1"/>
  <c r="V3814" i="1" s="1"/>
  <c r="Q3815" i="1"/>
  <c r="V3815" i="1" s="1"/>
  <c r="Q3816" i="1"/>
  <c r="V3816" i="1" s="1"/>
  <c r="Q3817" i="1"/>
  <c r="V3817" i="1" s="1"/>
  <c r="Q3818" i="1"/>
  <c r="V3818" i="1" s="1"/>
  <c r="Q3819" i="1"/>
  <c r="V3819" i="1" s="1"/>
  <c r="Q3820" i="1"/>
  <c r="V3820" i="1" s="1"/>
  <c r="Q3821" i="1"/>
  <c r="V3821" i="1" s="1"/>
  <c r="Q3822" i="1"/>
  <c r="V3822" i="1" s="1"/>
  <c r="Q3823" i="1"/>
  <c r="V3823" i="1" s="1"/>
  <c r="Q3824" i="1"/>
  <c r="V3824" i="1" s="1"/>
  <c r="Q3825" i="1"/>
  <c r="V3825" i="1" s="1"/>
  <c r="Q3826" i="1"/>
  <c r="V3826" i="1" s="1"/>
  <c r="Q3827" i="1"/>
  <c r="V3827" i="1" s="1"/>
  <c r="Q3828" i="1"/>
  <c r="V3828" i="1" s="1"/>
  <c r="Q3829" i="1"/>
  <c r="V3829" i="1" s="1"/>
  <c r="Q3830" i="1"/>
  <c r="V3830" i="1" s="1"/>
  <c r="Q3831" i="1"/>
  <c r="V3831" i="1" s="1"/>
  <c r="Q3832" i="1"/>
  <c r="V3832" i="1" s="1"/>
  <c r="Q3833" i="1"/>
  <c r="V3833" i="1" s="1"/>
  <c r="Q3834" i="1"/>
  <c r="V3834" i="1" s="1"/>
  <c r="Q3835" i="1"/>
  <c r="V3835" i="1" s="1"/>
  <c r="Q3836" i="1"/>
  <c r="V3836" i="1" s="1"/>
  <c r="Q3837" i="1"/>
  <c r="V3837" i="1" s="1"/>
  <c r="Q3838" i="1"/>
  <c r="V3838" i="1" s="1"/>
  <c r="Q3839" i="1"/>
  <c r="V3839" i="1" s="1"/>
  <c r="Q3840" i="1"/>
  <c r="V3840" i="1" s="1"/>
  <c r="Q3841" i="1"/>
  <c r="V3841" i="1" s="1"/>
  <c r="Q3842" i="1"/>
  <c r="V3842" i="1" s="1"/>
  <c r="Q3843" i="1"/>
  <c r="V3843" i="1" s="1"/>
  <c r="Q3844" i="1"/>
  <c r="V3844" i="1" s="1"/>
  <c r="Q3845" i="1"/>
  <c r="V3845" i="1" s="1"/>
  <c r="Q3846" i="1"/>
  <c r="V3846" i="1" s="1"/>
  <c r="Q3847" i="1"/>
  <c r="V3847" i="1" s="1"/>
  <c r="Q3848" i="1"/>
  <c r="V3848" i="1" s="1"/>
  <c r="Q3849" i="1"/>
  <c r="V3849" i="1" s="1"/>
  <c r="Q3850" i="1"/>
  <c r="V3850" i="1" s="1"/>
  <c r="Q3851" i="1"/>
  <c r="V3851" i="1" s="1"/>
  <c r="Q3852" i="1"/>
  <c r="V3852" i="1" s="1"/>
  <c r="Q3853" i="1"/>
  <c r="V3853" i="1" s="1"/>
  <c r="Q3854" i="1"/>
  <c r="V3854" i="1" s="1"/>
  <c r="Q3855" i="1"/>
  <c r="V3855" i="1" s="1"/>
  <c r="Q3856" i="1"/>
  <c r="V3856" i="1" s="1"/>
  <c r="Q3857" i="1"/>
  <c r="V3857" i="1" s="1"/>
  <c r="Q3858" i="1"/>
  <c r="V3858" i="1" s="1"/>
  <c r="Q3859" i="1"/>
  <c r="V3859" i="1" s="1"/>
  <c r="Q3860" i="1"/>
  <c r="V3860" i="1" s="1"/>
  <c r="Q3861" i="1"/>
  <c r="V3861" i="1" s="1"/>
  <c r="Q3862" i="1"/>
  <c r="V3862" i="1" s="1"/>
  <c r="Q3863" i="1"/>
  <c r="V3863" i="1" s="1"/>
  <c r="Q3864" i="1"/>
  <c r="V3864" i="1" s="1"/>
  <c r="Q3865" i="1"/>
  <c r="V3865" i="1" s="1"/>
  <c r="Q3866" i="1"/>
  <c r="V3866" i="1" s="1"/>
  <c r="Q3867" i="1"/>
  <c r="V3867" i="1" s="1"/>
  <c r="Q3868" i="1"/>
  <c r="V3868" i="1" s="1"/>
  <c r="Q3869" i="1"/>
  <c r="V3869" i="1" s="1"/>
  <c r="Q3870" i="1"/>
  <c r="V3870" i="1" s="1"/>
  <c r="Q3871" i="1"/>
  <c r="V3871" i="1" s="1"/>
  <c r="Q3872" i="1"/>
  <c r="V3872" i="1" s="1"/>
  <c r="Q3873" i="1"/>
  <c r="V3873" i="1" s="1"/>
  <c r="Q3874" i="1"/>
  <c r="V3874" i="1" s="1"/>
  <c r="Q3875" i="1"/>
  <c r="V3875" i="1" s="1"/>
  <c r="Q3876" i="1"/>
  <c r="V3876" i="1" s="1"/>
  <c r="Q3877" i="1"/>
  <c r="V3877" i="1" s="1"/>
  <c r="Q3878" i="1"/>
  <c r="V3878" i="1" s="1"/>
  <c r="Q3879" i="1"/>
  <c r="V3879" i="1" s="1"/>
  <c r="Q3880" i="1"/>
  <c r="V3880" i="1" s="1"/>
  <c r="Q3881" i="1"/>
  <c r="V3881" i="1" s="1"/>
  <c r="Q3882" i="1"/>
  <c r="V3882" i="1" s="1"/>
  <c r="Q3883" i="1"/>
  <c r="V3883" i="1" s="1"/>
  <c r="Q3884" i="1"/>
  <c r="V3884" i="1" s="1"/>
  <c r="Q3885" i="1"/>
  <c r="V3885" i="1" s="1"/>
  <c r="Q3886" i="1"/>
  <c r="V3886" i="1" s="1"/>
  <c r="Q3887" i="1"/>
  <c r="V3887" i="1" s="1"/>
  <c r="Q3888" i="1"/>
  <c r="V3888" i="1" s="1"/>
  <c r="Q3889" i="1"/>
  <c r="V3889" i="1" s="1"/>
  <c r="Q3890" i="1"/>
  <c r="V3890" i="1" s="1"/>
  <c r="Q3891" i="1"/>
  <c r="V3891" i="1" s="1"/>
  <c r="Q3892" i="1"/>
  <c r="V3892" i="1" s="1"/>
  <c r="Q3893" i="1"/>
  <c r="V3893" i="1" s="1"/>
  <c r="Q3894" i="1"/>
  <c r="V3894" i="1" s="1"/>
  <c r="Q3895" i="1"/>
  <c r="V3895" i="1" s="1"/>
  <c r="Q3896" i="1"/>
  <c r="V3896" i="1" s="1"/>
  <c r="Q3897" i="1"/>
  <c r="V3897" i="1" s="1"/>
  <c r="Q3898" i="1"/>
  <c r="V3898" i="1" s="1"/>
  <c r="Q3899" i="1"/>
  <c r="V3899" i="1" s="1"/>
  <c r="Q3900" i="1"/>
  <c r="V3900" i="1" s="1"/>
  <c r="Q3901" i="1"/>
  <c r="V3901" i="1" s="1"/>
  <c r="Q3902" i="1"/>
  <c r="V3902" i="1" s="1"/>
  <c r="Q3903" i="1"/>
  <c r="V3903" i="1" s="1"/>
  <c r="Q3904" i="1"/>
  <c r="V3904" i="1" s="1"/>
  <c r="Q3905" i="1"/>
  <c r="V3905" i="1" s="1"/>
  <c r="Q3906" i="1"/>
  <c r="V3906" i="1" s="1"/>
  <c r="Q3907" i="1"/>
  <c r="V3907" i="1" s="1"/>
  <c r="Q3908" i="1"/>
  <c r="V3908" i="1" s="1"/>
  <c r="Q3909" i="1"/>
  <c r="V3909" i="1" s="1"/>
  <c r="Q3910" i="1"/>
  <c r="V3910" i="1" s="1"/>
  <c r="Q3911" i="1"/>
  <c r="V3911" i="1" s="1"/>
  <c r="Q3912" i="1"/>
  <c r="V3912" i="1" s="1"/>
  <c r="Q3913" i="1"/>
  <c r="V3913" i="1" s="1"/>
  <c r="Q3914" i="1"/>
  <c r="V3914" i="1" s="1"/>
  <c r="Q3915" i="1"/>
  <c r="V3915" i="1" s="1"/>
  <c r="Q3916" i="1"/>
  <c r="V3916" i="1" s="1"/>
  <c r="Q3917" i="1"/>
  <c r="V3917" i="1" s="1"/>
  <c r="Q3918" i="1"/>
  <c r="V3918" i="1" s="1"/>
  <c r="Q3919" i="1"/>
  <c r="V3919" i="1" s="1"/>
  <c r="Q3920" i="1"/>
  <c r="V3920" i="1" s="1"/>
  <c r="Q3921" i="1"/>
  <c r="V3921" i="1" s="1"/>
  <c r="Q3922" i="1"/>
  <c r="V3922" i="1" s="1"/>
  <c r="Q3923" i="1"/>
  <c r="V3923" i="1" s="1"/>
  <c r="Q3924" i="1"/>
  <c r="V3924" i="1" s="1"/>
  <c r="Q3925" i="1"/>
  <c r="V3925" i="1" s="1"/>
  <c r="Q3926" i="1"/>
  <c r="V3926" i="1" s="1"/>
  <c r="Q3927" i="1"/>
  <c r="V3927" i="1" s="1"/>
  <c r="Q3928" i="1"/>
  <c r="V3928" i="1" s="1"/>
  <c r="Q3929" i="1"/>
  <c r="V3929" i="1" s="1"/>
  <c r="Q3930" i="1"/>
  <c r="V3930" i="1" s="1"/>
  <c r="Q3932" i="1"/>
  <c r="V3932" i="1" s="1"/>
  <c r="Q3933" i="1"/>
  <c r="V3933" i="1" s="1"/>
  <c r="Q3934" i="1"/>
  <c r="V3934" i="1" s="1"/>
  <c r="Q3935" i="1"/>
  <c r="V3935" i="1" s="1"/>
  <c r="Q3936" i="1"/>
  <c r="V3936" i="1" s="1"/>
  <c r="Q3937" i="1"/>
  <c r="V3937" i="1" s="1"/>
  <c r="Q3938" i="1"/>
  <c r="V3938" i="1" s="1"/>
  <c r="Q3939" i="1"/>
  <c r="V3939" i="1" s="1"/>
  <c r="Q3940" i="1"/>
  <c r="V3940" i="1" s="1"/>
  <c r="Q3941" i="1"/>
  <c r="V3941" i="1" s="1"/>
  <c r="Q3942" i="1"/>
  <c r="V3942" i="1" s="1"/>
  <c r="Q3943" i="1"/>
  <c r="V3943" i="1" s="1"/>
  <c r="Q3944" i="1"/>
  <c r="V3944" i="1" s="1"/>
  <c r="Q3945" i="1"/>
  <c r="V3945" i="1" s="1"/>
  <c r="Q3946" i="1"/>
  <c r="V3946" i="1" s="1"/>
  <c r="Q3947" i="1"/>
  <c r="V3947" i="1" s="1"/>
  <c r="Q3948" i="1"/>
  <c r="V3948" i="1" s="1"/>
  <c r="Q3949" i="1"/>
  <c r="V3949" i="1" s="1"/>
  <c r="Q3950" i="1"/>
  <c r="V3950" i="1" s="1"/>
  <c r="Q3951" i="1"/>
  <c r="V3951" i="1" s="1"/>
  <c r="Q3952" i="1"/>
  <c r="V3952" i="1" s="1"/>
  <c r="Q3953" i="1"/>
  <c r="V3953" i="1" s="1"/>
  <c r="Q3954" i="1"/>
  <c r="V3954" i="1" s="1"/>
  <c r="Q3955" i="1"/>
  <c r="V3955" i="1" s="1"/>
  <c r="Q3956" i="1"/>
  <c r="V3956" i="1" s="1"/>
  <c r="Q3957" i="1"/>
  <c r="V3957" i="1" s="1"/>
  <c r="Q3958" i="1"/>
  <c r="V3958" i="1" s="1"/>
  <c r="Q3959" i="1"/>
  <c r="V3959" i="1" s="1"/>
  <c r="Q3960" i="1"/>
  <c r="V3960" i="1" s="1"/>
  <c r="Q3961" i="1"/>
  <c r="V3961" i="1" s="1"/>
  <c r="Q3962" i="1"/>
  <c r="V3962" i="1" s="1"/>
  <c r="Q3963" i="1"/>
  <c r="V3963" i="1" s="1"/>
  <c r="Q3964" i="1"/>
  <c r="V3964" i="1" s="1"/>
  <c r="Q3965" i="1"/>
  <c r="V3965" i="1" s="1"/>
  <c r="Q3966" i="1"/>
  <c r="V3966" i="1" s="1"/>
  <c r="Q3967" i="1"/>
  <c r="V3967" i="1" s="1"/>
  <c r="Q3968" i="1"/>
  <c r="V3968" i="1" s="1"/>
  <c r="Q3969" i="1"/>
  <c r="V3969" i="1" s="1"/>
  <c r="Q3970" i="1"/>
  <c r="V3970" i="1" s="1"/>
  <c r="Q3971" i="1"/>
  <c r="V3971" i="1" s="1"/>
  <c r="Q3972" i="1"/>
  <c r="V3972" i="1" s="1"/>
  <c r="Q3973" i="1"/>
  <c r="V3973" i="1" s="1"/>
  <c r="Q3974" i="1"/>
  <c r="V3974" i="1" s="1"/>
  <c r="Q3975" i="1"/>
  <c r="V3975" i="1" s="1"/>
  <c r="Q3976" i="1"/>
  <c r="V3976" i="1" s="1"/>
  <c r="Q3977" i="1"/>
  <c r="V3977" i="1" s="1"/>
  <c r="Q3978" i="1"/>
  <c r="V3978" i="1" s="1"/>
  <c r="Q3979" i="1"/>
  <c r="V3979" i="1" s="1"/>
  <c r="Q3980" i="1"/>
  <c r="V3980" i="1" s="1"/>
  <c r="Q3981" i="1"/>
  <c r="V3981" i="1" s="1"/>
  <c r="Q3982" i="1"/>
  <c r="V3982" i="1" s="1"/>
  <c r="Q3983" i="1"/>
  <c r="V3983" i="1" s="1"/>
  <c r="Q3985" i="1"/>
  <c r="V3985" i="1" s="1"/>
  <c r="Q3986" i="1"/>
  <c r="V3986" i="1" s="1"/>
  <c r="Q3987" i="1"/>
  <c r="V3987" i="1" s="1"/>
  <c r="Q3988" i="1"/>
  <c r="V3988" i="1" s="1"/>
  <c r="Q3989" i="1"/>
  <c r="V3989" i="1" s="1"/>
  <c r="Q3990" i="1"/>
  <c r="V3990" i="1" s="1"/>
  <c r="Q3991" i="1"/>
  <c r="V3991" i="1" s="1"/>
  <c r="Q3992" i="1"/>
  <c r="V3992" i="1" s="1"/>
  <c r="Q3993" i="1"/>
  <c r="V3993" i="1" s="1"/>
  <c r="Q3994" i="1"/>
  <c r="V3994" i="1" s="1"/>
  <c r="Q3995" i="1"/>
  <c r="V3995" i="1" s="1"/>
  <c r="Q3996" i="1"/>
  <c r="V3996" i="1" s="1"/>
  <c r="Q3997" i="1"/>
  <c r="V3997" i="1" s="1"/>
  <c r="Q3998" i="1"/>
  <c r="V3998" i="1" s="1"/>
  <c r="Q3999" i="1"/>
  <c r="V3999" i="1" s="1"/>
  <c r="Q4000" i="1"/>
  <c r="V4000" i="1" s="1"/>
  <c r="Q4001" i="1"/>
  <c r="V4001" i="1" s="1"/>
  <c r="Q4002" i="1"/>
  <c r="V4002" i="1" s="1"/>
  <c r="Q4003" i="1"/>
  <c r="V4003" i="1" s="1"/>
  <c r="Q4004" i="1"/>
  <c r="V4004" i="1" s="1"/>
  <c r="Q4005" i="1"/>
  <c r="V4005" i="1" s="1"/>
  <c r="Q4006" i="1"/>
  <c r="V4006" i="1" s="1"/>
  <c r="Q4007" i="1"/>
  <c r="V4007" i="1" s="1"/>
  <c r="Q4008" i="1"/>
  <c r="V4008" i="1" s="1"/>
  <c r="Q4009" i="1"/>
  <c r="V4009" i="1" s="1"/>
  <c r="Q4010" i="1"/>
  <c r="V4010" i="1" s="1"/>
  <c r="Q4011" i="1"/>
  <c r="V4011" i="1" s="1"/>
  <c r="Q4012" i="1"/>
  <c r="V4012" i="1" s="1"/>
  <c r="Q4013" i="1"/>
  <c r="V4013" i="1" s="1"/>
  <c r="Q4014" i="1"/>
  <c r="V4014" i="1" s="1"/>
  <c r="Q4015" i="1"/>
  <c r="V4015" i="1" s="1"/>
  <c r="Q4016" i="1"/>
  <c r="V4016" i="1" s="1"/>
  <c r="Q4017" i="1"/>
  <c r="V4017" i="1" s="1"/>
  <c r="Q4018" i="1"/>
  <c r="V4018" i="1" s="1"/>
  <c r="Q4019" i="1"/>
  <c r="V4019" i="1" s="1"/>
  <c r="Q4020" i="1"/>
  <c r="V4020" i="1" s="1"/>
  <c r="Q4021" i="1"/>
  <c r="V4021" i="1" s="1"/>
  <c r="Q4022" i="1"/>
  <c r="V4022" i="1" s="1"/>
  <c r="Q4023" i="1"/>
  <c r="V4023" i="1" s="1"/>
  <c r="Q4024" i="1"/>
  <c r="V4024" i="1" s="1"/>
  <c r="Q4025" i="1"/>
  <c r="V4025" i="1" s="1"/>
  <c r="Q4026" i="1"/>
  <c r="V4026" i="1" s="1"/>
  <c r="Q4027" i="1"/>
  <c r="V4027" i="1" s="1"/>
  <c r="Q4028" i="1"/>
  <c r="V4028" i="1" s="1"/>
  <c r="Q4029" i="1"/>
  <c r="V4029" i="1" s="1"/>
  <c r="Q4030" i="1"/>
  <c r="V4030" i="1" s="1"/>
  <c r="Q4031" i="1"/>
  <c r="V4031" i="1" s="1"/>
  <c r="Q4032" i="1"/>
  <c r="V4032" i="1" s="1"/>
  <c r="Q4033" i="1"/>
  <c r="V4033" i="1" s="1"/>
  <c r="Q4034" i="1"/>
  <c r="V4034" i="1" s="1"/>
  <c r="Q4035" i="1"/>
  <c r="V4035" i="1" s="1"/>
  <c r="Q4036" i="1"/>
  <c r="V4036" i="1" s="1"/>
  <c r="Q4037" i="1"/>
  <c r="V4037" i="1" s="1"/>
  <c r="Q4038" i="1"/>
  <c r="V4038" i="1" s="1"/>
  <c r="Q4039" i="1"/>
  <c r="V4039" i="1" s="1"/>
  <c r="Q4040" i="1"/>
  <c r="V4040" i="1" s="1"/>
  <c r="Q4041" i="1"/>
  <c r="V4041" i="1" s="1"/>
  <c r="Q4042" i="1"/>
  <c r="V4042" i="1" s="1"/>
  <c r="Q4043" i="1"/>
  <c r="V4043" i="1" s="1"/>
  <c r="Q4044" i="1"/>
  <c r="V4044" i="1" s="1"/>
  <c r="Q4045" i="1"/>
  <c r="V4045" i="1" s="1"/>
  <c r="Q4046" i="1"/>
  <c r="V4046" i="1" s="1"/>
  <c r="Q4047" i="1"/>
  <c r="V4047" i="1" s="1"/>
  <c r="Q4048" i="1"/>
  <c r="V4048" i="1" s="1"/>
  <c r="Q4049" i="1"/>
  <c r="V4049" i="1" s="1"/>
  <c r="Q4050" i="1"/>
  <c r="V4050" i="1" s="1"/>
  <c r="Q4051" i="1"/>
  <c r="V4051" i="1" s="1"/>
  <c r="Q4052" i="1"/>
  <c r="V4052" i="1" s="1"/>
  <c r="Q4053" i="1"/>
  <c r="V4053" i="1" s="1"/>
  <c r="Q4054" i="1"/>
  <c r="V4054" i="1" s="1"/>
  <c r="Q4055" i="1"/>
  <c r="V4055" i="1" s="1"/>
  <c r="Q4056" i="1"/>
  <c r="V4056" i="1" s="1"/>
  <c r="Q4057" i="1"/>
  <c r="V4057" i="1" s="1"/>
  <c r="Q4058" i="1"/>
  <c r="V4058" i="1" s="1"/>
  <c r="Q4059" i="1"/>
  <c r="V4059" i="1" s="1"/>
  <c r="Q4060" i="1"/>
  <c r="V4060" i="1" s="1"/>
  <c r="Q4061" i="1"/>
  <c r="V4061" i="1" s="1"/>
  <c r="Q4062" i="1"/>
  <c r="V4062" i="1" s="1"/>
  <c r="Q4063" i="1"/>
  <c r="V4063" i="1" s="1"/>
  <c r="Q4064" i="1"/>
  <c r="V4064" i="1" s="1"/>
  <c r="Q4065" i="1"/>
  <c r="V4065" i="1" s="1"/>
  <c r="Q4066" i="1"/>
  <c r="V4066" i="1" s="1"/>
  <c r="Q4067" i="1"/>
  <c r="V4067" i="1" s="1"/>
  <c r="Q4068" i="1"/>
  <c r="V4068" i="1" s="1"/>
  <c r="Q4069" i="1"/>
  <c r="V4069" i="1" s="1"/>
  <c r="Q4070" i="1"/>
  <c r="V4070" i="1" s="1"/>
  <c r="Q4071" i="1"/>
  <c r="V4071" i="1" s="1"/>
  <c r="Q4072" i="1"/>
  <c r="V4072" i="1" s="1"/>
  <c r="Q4073" i="1"/>
  <c r="V4073" i="1" s="1"/>
  <c r="Q4074" i="1"/>
  <c r="V4074" i="1" s="1"/>
  <c r="Q4075" i="1"/>
  <c r="V4075" i="1" s="1"/>
  <c r="Q4076" i="1"/>
  <c r="V4076" i="1" s="1"/>
  <c r="Q4077" i="1"/>
  <c r="V4077" i="1" s="1"/>
  <c r="Q4079" i="1"/>
  <c r="V4079" i="1" s="1"/>
  <c r="Q4080" i="1"/>
  <c r="V4080" i="1" s="1"/>
  <c r="Q4081" i="1"/>
  <c r="V4081" i="1" s="1"/>
  <c r="Q4082" i="1"/>
  <c r="V4082" i="1" s="1"/>
  <c r="Q4083" i="1"/>
  <c r="V4083" i="1" s="1"/>
  <c r="Q4084" i="1"/>
  <c r="V4084" i="1" s="1"/>
  <c r="Q4085" i="1"/>
  <c r="V4085" i="1" s="1"/>
  <c r="Q4086" i="1"/>
  <c r="V4086" i="1" s="1"/>
  <c r="Q4087" i="1"/>
  <c r="V4087" i="1" s="1"/>
  <c r="Q4088" i="1"/>
  <c r="V4088" i="1" s="1"/>
  <c r="Q4089" i="1"/>
  <c r="V4089" i="1" s="1"/>
  <c r="Q4090" i="1"/>
  <c r="V4090" i="1" s="1"/>
  <c r="Q4092" i="1"/>
  <c r="V4092" i="1" s="1"/>
  <c r="Q4093" i="1"/>
  <c r="V4093" i="1" s="1"/>
  <c r="Q4094" i="1"/>
  <c r="V4094" i="1" s="1"/>
  <c r="Q4095" i="1"/>
  <c r="V4095" i="1" s="1"/>
  <c r="Q4096" i="1"/>
  <c r="V4096" i="1" s="1"/>
  <c r="Q4097" i="1"/>
  <c r="V4097" i="1" s="1"/>
  <c r="Q4098" i="1"/>
  <c r="V4098" i="1" s="1"/>
  <c r="Q4099" i="1"/>
  <c r="V4099" i="1" s="1"/>
  <c r="Q4100" i="1"/>
  <c r="V4100" i="1" s="1"/>
  <c r="Q4101" i="1"/>
  <c r="V4101" i="1" s="1"/>
  <c r="Q4102" i="1"/>
  <c r="V4102" i="1" s="1"/>
  <c r="Q4103" i="1"/>
  <c r="V4103" i="1" s="1"/>
  <c r="Q4104" i="1"/>
  <c r="V4104" i="1" s="1"/>
  <c r="Q4105" i="1"/>
  <c r="V4105" i="1" s="1"/>
  <c r="Q4106" i="1"/>
  <c r="V4106" i="1" s="1"/>
  <c r="Q4107" i="1"/>
  <c r="V4107" i="1" s="1"/>
  <c r="Q4108" i="1"/>
  <c r="V4108" i="1" s="1"/>
  <c r="Q4109" i="1"/>
  <c r="V4109" i="1" s="1"/>
  <c r="Q4110" i="1"/>
  <c r="V4110" i="1" s="1"/>
  <c r="Q4111" i="1"/>
  <c r="V4111" i="1" s="1"/>
  <c r="Q4112" i="1"/>
  <c r="V4112" i="1" s="1"/>
  <c r="Q4113" i="1"/>
  <c r="V4113" i="1" s="1"/>
  <c r="Q4114" i="1"/>
  <c r="V4114" i="1" s="1"/>
  <c r="Q4115" i="1"/>
  <c r="V4115" i="1" s="1"/>
  <c r="Q4116" i="1"/>
  <c r="V4116" i="1" s="1"/>
  <c r="Q4117" i="1"/>
  <c r="V4117" i="1" s="1"/>
  <c r="Q4118" i="1"/>
  <c r="V4118" i="1" s="1"/>
  <c r="Q4119" i="1"/>
  <c r="V4119" i="1" s="1"/>
  <c r="Q4120" i="1"/>
  <c r="V4120" i="1" s="1"/>
  <c r="Q4121" i="1"/>
  <c r="V4121" i="1" s="1"/>
  <c r="Q4122" i="1"/>
  <c r="V4122" i="1" s="1"/>
  <c r="Q4123" i="1"/>
  <c r="V4123" i="1" s="1"/>
  <c r="Q4124" i="1"/>
  <c r="V4124" i="1" s="1"/>
  <c r="Q4125" i="1"/>
  <c r="V4125" i="1" s="1"/>
  <c r="Q4126" i="1"/>
  <c r="V4126" i="1" s="1"/>
  <c r="Q4127" i="1"/>
  <c r="V4127" i="1" s="1"/>
  <c r="Q4128" i="1"/>
  <c r="V4128" i="1" s="1"/>
  <c r="Q4129" i="1"/>
  <c r="V4129" i="1" s="1"/>
  <c r="Q4130" i="1"/>
  <c r="V4130" i="1" s="1"/>
  <c r="Q4131" i="1"/>
  <c r="V4131" i="1" s="1"/>
  <c r="Q4132" i="1"/>
  <c r="V4132" i="1" s="1"/>
  <c r="Q4133" i="1"/>
  <c r="V4133" i="1" s="1"/>
  <c r="Q4134" i="1"/>
  <c r="V4134" i="1" s="1"/>
  <c r="Q4135" i="1"/>
  <c r="V4135" i="1" s="1"/>
  <c r="Q4136" i="1"/>
  <c r="V4136" i="1" s="1"/>
  <c r="Q4137" i="1"/>
  <c r="V4137" i="1" s="1"/>
  <c r="Q4138" i="1"/>
  <c r="V4138" i="1" s="1"/>
  <c r="Q4139" i="1"/>
  <c r="V4139" i="1" s="1"/>
  <c r="Q4140" i="1"/>
  <c r="V4140" i="1" s="1"/>
  <c r="Q4141" i="1"/>
  <c r="V4141" i="1" s="1"/>
  <c r="Q4142" i="1"/>
  <c r="V4142" i="1" s="1"/>
  <c r="Q4143" i="1"/>
  <c r="V4143" i="1" s="1"/>
  <c r="Q4144" i="1"/>
  <c r="V4144" i="1" s="1"/>
  <c r="Q4145" i="1"/>
  <c r="V4145" i="1" s="1"/>
  <c r="Q4146" i="1"/>
  <c r="V4146" i="1" s="1"/>
  <c r="Q4147" i="1"/>
  <c r="V4147" i="1" s="1"/>
  <c r="Q4148" i="1"/>
  <c r="V4148" i="1" s="1"/>
  <c r="Q4149" i="1"/>
  <c r="V4149" i="1" s="1"/>
  <c r="Q4150" i="1"/>
  <c r="V4150" i="1" s="1"/>
  <c r="Q4151" i="1"/>
  <c r="V4151" i="1" s="1"/>
  <c r="Q4152" i="1"/>
  <c r="V4152" i="1" s="1"/>
  <c r="Q4153" i="1"/>
  <c r="V4153" i="1" s="1"/>
  <c r="Q4154" i="1"/>
  <c r="V4154" i="1" s="1"/>
  <c r="Q4155" i="1"/>
  <c r="V4155" i="1" s="1"/>
  <c r="Q4156" i="1"/>
  <c r="V4156" i="1" s="1"/>
  <c r="Q4157" i="1"/>
  <c r="V4157" i="1" s="1"/>
  <c r="Q4158" i="1"/>
  <c r="V4158" i="1" s="1"/>
  <c r="Q4159" i="1"/>
  <c r="V4159" i="1" s="1"/>
  <c r="Q4160" i="1"/>
  <c r="V4160" i="1" s="1"/>
  <c r="Q4161" i="1"/>
  <c r="V4161" i="1" s="1"/>
  <c r="Q4162" i="1"/>
  <c r="V4162" i="1" s="1"/>
  <c r="Q4163" i="1"/>
  <c r="V4163" i="1" s="1"/>
  <c r="Q4164" i="1"/>
  <c r="V4164" i="1" s="1"/>
  <c r="Q4165" i="1"/>
  <c r="V4165" i="1" s="1"/>
  <c r="Q4166" i="1"/>
  <c r="V4166" i="1" s="1"/>
  <c r="Q4167" i="1"/>
  <c r="V4167" i="1" s="1"/>
  <c r="Q4168" i="1"/>
  <c r="V4168" i="1" s="1"/>
  <c r="Q4169" i="1"/>
  <c r="V4169" i="1" s="1"/>
  <c r="Q4170" i="1"/>
  <c r="V4170" i="1" s="1"/>
  <c r="Q4171" i="1"/>
  <c r="V4171" i="1" s="1"/>
  <c r="Q4172" i="1"/>
  <c r="V4172" i="1" s="1"/>
  <c r="Q4173" i="1"/>
  <c r="V4173" i="1" s="1"/>
  <c r="Q4174" i="1"/>
  <c r="V4174" i="1" s="1"/>
  <c r="Q4175" i="1"/>
  <c r="V4175" i="1" s="1"/>
  <c r="Q4176" i="1"/>
  <c r="V4176" i="1" s="1"/>
  <c r="Q4177" i="1"/>
  <c r="V4177" i="1" s="1"/>
  <c r="Q4178" i="1"/>
  <c r="V4178" i="1" s="1"/>
  <c r="Q4179" i="1"/>
  <c r="V4179" i="1" s="1"/>
  <c r="Q4180" i="1"/>
  <c r="V4180" i="1" s="1"/>
  <c r="Q4181" i="1"/>
  <c r="V4181" i="1" s="1"/>
  <c r="Q4182" i="1"/>
  <c r="V4182" i="1" s="1"/>
  <c r="Q4183" i="1"/>
  <c r="V4183" i="1" s="1"/>
  <c r="Q4184" i="1"/>
  <c r="V4184" i="1" s="1"/>
  <c r="Q4185" i="1"/>
  <c r="V4185" i="1" s="1"/>
  <c r="Q4186" i="1"/>
  <c r="V4186" i="1" s="1"/>
  <c r="Q4187" i="1"/>
  <c r="V4187" i="1" s="1"/>
  <c r="Q4188" i="1"/>
  <c r="V4188" i="1" s="1"/>
  <c r="Q4189" i="1"/>
  <c r="V4189" i="1" s="1"/>
  <c r="Q4190" i="1"/>
  <c r="V4190" i="1" s="1"/>
  <c r="Q4191" i="1"/>
  <c r="V4191" i="1" s="1"/>
  <c r="Q4192" i="1"/>
  <c r="V4192" i="1" s="1"/>
  <c r="Q4193" i="1"/>
  <c r="V4193" i="1" s="1"/>
  <c r="Q4194" i="1"/>
  <c r="V4194" i="1" s="1"/>
  <c r="Q4195" i="1"/>
  <c r="V4195" i="1" s="1"/>
  <c r="Q4196" i="1"/>
  <c r="V4196" i="1" s="1"/>
  <c r="Q4197" i="1"/>
  <c r="V4197" i="1" s="1"/>
  <c r="Q4198" i="1"/>
  <c r="V4198" i="1" s="1"/>
  <c r="Q4199" i="1"/>
  <c r="V4199" i="1" s="1"/>
  <c r="Q4200" i="1"/>
  <c r="V4200" i="1" s="1"/>
  <c r="Q4201" i="1"/>
  <c r="V4201" i="1" s="1"/>
  <c r="Q4202" i="1"/>
  <c r="V4202" i="1" s="1"/>
  <c r="Q4203" i="1"/>
  <c r="V4203" i="1" s="1"/>
  <c r="Q4204" i="1"/>
  <c r="V4204" i="1" s="1"/>
  <c r="Q4205" i="1"/>
  <c r="V4205" i="1" s="1"/>
  <c r="Q4206" i="1"/>
  <c r="V4206" i="1" s="1"/>
  <c r="Q4207" i="1"/>
  <c r="V4207" i="1" s="1"/>
  <c r="Q4208" i="1"/>
  <c r="V4208" i="1" s="1"/>
  <c r="Q4209" i="1"/>
  <c r="V4209" i="1" s="1"/>
  <c r="Q4210" i="1"/>
  <c r="V4210" i="1" s="1"/>
  <c r="Q4211" i="1"/>
  <c r="V4211" i="1" s="1"/>
  <c r="Q4212" i="1"/>
  <c r="V4212" i="1" s="1"/>
  <c r="Q4213" i="1"/>
  <c r="V4213" i="1" s="1"/>
  <c r="Q4214" i="1"/>
  <c r="V4214" i="1" s="1"/>
  <c r="Q4215" i="1"/>
  <c r="V4215" i="1" s="1"/>
  <c r="Q4216" i="1"/>
  <c r="V4216" i="1" s="1"/>
  <c r="Q4217" i="1"/>
  <c r="V4217" i="1" s="1"/>
  <c r="Q4218" i="1"/>
  <c r="V4218" i="1" s="1"/>
  <c r="Q4219" i="1"/>
  <c r="V4219" i="1" s="1"/>
  <c r="Q4220" i="1"/>
  <c r="V4220" i="1" s="1"/>
  <c r="Q4221" i="1"/>
  <c r="V4221" i="1" s="1"/>
  <c r="Q4222" i="1"/>
  <c r="V4222" i="1" s="1"/>
  <c r="Q4223" i="1"/>
  <c r="V4223" i="1" s="1"/>
  <c r="Q4224" i="1"/>
  <c r="V4224" i="1" s="1"/>
  <c r="Q4225" i="1"/>
  <c r="V4225" i="1" s="1"/>
  <c r="Q4226" i="1"/>
  <c r="V4226" i="1" s="1"/>
  <c r="Q4227" i="1"/>
  <c r="V4227" i="1" s="1"/>
  <c r="Q4228" i="1"/>
  <c r="V4228" i="1" s="1"/>
  <c r="Q4229" i="1"/>
  <c r="V4229" i="1" s="1"/>
  <c r="Q4230" i="1"/>
  <c r="V4230" i="1" s="1"/>
  <c r="Q4231" i="1"/>
  <c r="V4231" i="1" s="1"/>
  <c r="Q4232" i="1"/>
  <c r="V4232" i="1" s="1"/>
  <c r="Q4233" i="1"/>
  <c r="V4233" i="1" s="1"/>
  <c r="Q4234" i="1"/>
  <c r="V4234" i="1" s="1"/>
  <c r="Q4235" i="1"/>
  <c r="V4235" i="1" s="1"/>
  <c r="Q4236" i="1"/>
  <c r="V4236" i="1" s="1"/>
  <c r="Q4237" i="1"/>
  <c r="V4237" i="1" s="1"/>
  <c r="Q4238" i="1"/>
  <c r="V4238" i="1" s="1"/>
  <c r="Q4239" i="1"/>
  <c r="V4239" i="1" s="1"/>
  <c r="Q4240" i="1"/>
  <c r="V4240" i="1" s="1"/>
  <c r="Q4241" i="1"/>
  <c r="V4241" i="1" s="1"/>
  <c r="Q4242" i="1"/>
  <c r="V4242" i="1" s="1"/>
  <c r="Q4243" i="1"/>
  <c r="V4243" i="1" s="1"/>
  <c r="Q4244" i="1"/>
  <c r="V4244" i="1" s="1"/>
  <c r="Q4245" i="1"/>
  <c r="V4245" i="1" s="1"/>
  <c r="Q4246" i="1"/>
  <c r="V4246" i="1" s="1"/>
  <c r="Q4247" i="1"/>
  <c r="V4247" i="1" s="1"/>
  <c r="Q4248" i="1"/>
  <c r="V4248" i="1" s="1"/>
  <c r="Q4249" i="1"/>
  <c r="V4249" i="1" s="1"/>
  <c r="Q4250" i="1"/>
  <c r="V4250" i="1" s="1"/>
  <c r="Q4251" i="1"/>
  <c r="V4251" i="1" s="1"/>
  <c r="Q4252" i="1"/>
  <c r="V4252" i="1" s="1"/>
  <c r="Q4253" i="1"/>
  <c r="V4253" i="1" s="1"/>
  <c r="Q4254" i="1"/>
  <c r="V4254" i="1" s="1"/>
  <c r="Q4255" i="1"/>
  <c r="V4255" i="1" s="1"/>
  <c r="Q4256" i="1"/>
  <c r="V4256" i="1" s="1"/>
  <c r="Q4257" i="1"/>
  <c r="V4257" i="1" s="1"/>
  <c r="Q4258" i="1"/>
  <c r="V4258" i="1" s="1"/>
  <c r="Q4259" i="1"/>
  <c r="V4259" i="1" s="1"/>
  <c r="Q4260" i="1"/>
  <c r="V4260" i="1" s="1"/>
  <c r="Q4261" i="1"/>
  <c r="V4261" i="1" s="1"/>
  <c r="Q4262" i="1"/>
  <c r="V4262" i="1" s="1"/>
  <c r="Q4263" i="1"/>
  <c r="V4263" i="1" s="1"/>
  <c r="Q4264" i="1"/>
  <c r="V4264" i="1" s="1"/>
  <c r="Q4265" i="1"/>
  <c r="V4265" i="1" s="1"/>
  <c r="Q4266" i="1"/>
  <c r="V4266" i="1" s="1"/>
  <c r="Q4267" i="1"/>
  <c r="V4267" i="1" s="1"/>
  <c r="Q4268" i="1"/>
  <c r="V4268" i="1" s="1"/>
  <c r="Q4269" i="1"/>
  <c r="V4269" i="1" s="1"/>
  <c r="Q4270" i="1"/>
  <c r="V4270" i="1" s="1"/>
  <c r="Q4271" i="1"/>
  <c r="V4271" i="1" s="1"/>
  <c r="Q4272" i="1"/>
  <c r="V4272" i="1" s="1"/>
  <c r="Q4273" i="1"/>
  <c r="V4273" i="1" s="1"/>
  <c r="Q4274" i="1"/>
  <c r="V4274" i="1" s="1"/>
  <c r="Q4275" i="1"/>
  <c r="V4275" i="1" s="1"/>
  <c r="Q4276" i="1"/>
  <c r="V4276" i="1" s="1"/>
  <c r="Q4277" i="1"/>
  <c r="V4277" i="1" s="1"/>
  <c r="Q4278" i="1"/>
  <c r="V4278" i="1" s="1"/>
  <c r="Q4279" i="1"/>
  <c r="V4279" i="1" s="1"/>
  <c r="Q4280" i="1"/>
  <c r="V4280" i="1" s="1"/>
  <c r="Q4281" i="1"/>
  <c r="V4281" i="1" s="1"/>
  <c r="Q4282" i="1"/>
  <c r="V4282" i="1" s="1"/>
  <c r="Q4283" i="1"/>
  <c r="V4283" i="1" s="1"/>
  <c r="Q4284" i="1"/>
  <c r="V4284" i="1" s="1"/>
  <c r="Q4285" i="1"/>
  <c r="V4285" i="1" s="1"/>
  <c r="Q4286" i="1"/>
  <c r="V4286" i="1" s="1"/>
  <c r="Q4287" i="1"/>
  <c r="V4287" i="1" s="1"/>
  <c r="Q4288" i="1"/>
  <c r="V4288" i="1" s="1"/>
  <c r="Q4289" i="1"/>
  <c r="V4289" i="1" s="1"/>
  <c r="Q4290" i="1"/>
  <c r="V4290" i="1" s="1"/>
  <c r="Q4291" i="1"/>
  <c r="V4291" i="1" s="1"/>
  <c r="Q4292" i="1"/>
  <c r="V4292" i="1" s="1"/>
  <c r="Q4293" i="1"/>
  <c r="V4293" i="1" s="1"/>
  <c r="Q4294" i="1"/>
  <c r="V4294" i="1" s="1"/>
  <c r="Q4295" i="1"/>
  <c r="V4295" i="1" s="1"/>
  <c r="Q4296" i="1"/>
  <c r="V4296" i="1" s="1"/>
  <c r="Q4297" i="1"/>
  <c r="V4297" i="1" s="1"/>
  <c r="Q4298" i="1"/>
  <c r="V4298" i="1" s="1"/>
  <c r="Q4299" i="1"/>
  <c r="V4299" i="1" s="1"/>
  <c r="Q4300" i="1"/>
  <c r="V4300" i="1" s="1"/>
  <c r="Q4301" i="1"/>
  <c r="V4301" i="1" s="1"/>
  <c r="Q4302" i="1"/>
  <c r="V4302" i="1" s="1"/>
  <c r="Q4303" i="1"/>
  <c r="V4303" i="1" s="1"/>
  <c r="Q4304" i="1"/>
  <c r="V4304" i="1" s="1"/>
  <c r="Q4305" i="1"/>
  <c r="V4305" i="1" s="1"/>
  <c r="Q4306" i="1"/>
  <c r="V4306" i="1" s="1"/>
  <c r="Q4307" i="1"/>
  <c r="V4307" i="1" s="1"/>
  <c r="Q4308" i="1"/>
  <c r="V4308" i="1" s="1"/>
  <c r="Q4309" i="1"/>
  <c r="V4309" i="1" s="1"/>
  <c r="Q4310" i="1"/>
  <c r="V4310" i="1" s="1"/>
  <c r="Q4311" i="1"/>
  <c r="V4311" i="1" s="1"/>
  <c r="Q4312" i="1"/>
  <c r="V4312" i="1" s="1"/>
  <c r="Q4313" i="1"/>
  <c r="V4313" i="1" s="1"/>
  <c r="Q4314" i="1"/>
  <c r="V4314" i="1" s="1"/>
  <c r="Q4315" i="1"/>
  <c r="V4315" i="1" s="1"/>
  <c r="Q4316" i="1"/>
  <c r="V4316" i="1" s="1"/>
  <c r="Q4317" i="1"/>
  <c r="V4317" i="1" s="1"/>
  <c r="Q4318" i="1"/>
  <c r="V4318" i="1" s="1"/>
  <c r="Q4319" i="1"/>
  <c r="V4319" i="1" s="1"/>
  <c r="Q4320" i="1"/>
  <c r="V4320" i="1" s="1"/>
  <c r="Q4321" i="1"/>
  <c r="V4321" i="1" s="1"/>
  <c r="Q4322" i="1"/>
  <c r="V4322" i="1" s="1"/>
  <c r="Q4323" i="1"/>
  <c r="V4323" i="1" s="1"/>
  <c r="Q4324" i="1"/>
  <c r="V4324" i="1" s="1"/>
  <c r="Q4325" i="1"/>
  <c r="V4325" i="1" s="1"/>
  <c r="Q4326" i="1"/>
  <c r="V4326" i="1" s="1"/>
  <c r="Q4327" i="1"/>
  <c r="V4327" i="1" s="1"/>
  <c r="Q4328" i="1"/>
  <c r="V4328" i="1" s="1"/>
  <c r="Q4329" i="1"/>
  <c r="V4329" i="1" s="1"/>
  <c r="Q4330" i="1"/>
  <c r="V4330" i="1" s="1"/>
  <c r="Q4331" i="1"/>
  <c r="V4331" i="1" s="1"/>
  <c r="Q4332" i="1"/>
  <c r="V4332" i="1" s="1"/>
  <c r="Q4333" i="1"/>
  <c r="V4333" i="1" s="1"/>
  <c r="Q4334" i="1"/>
  <c r="V4334" i="1" s="1"/>
  <c r="Q4335" i="1"/>
  <c r="V4335" i="1" s="1"/>
  <c r="Q4336" i="1"/>
  <c r="V4336" i="1" s="1"/>
  <c r="Q4337" i="1"/>
  <c r="V4337" i="1" s="1"/>
  <c r="Q4338" i="1"/>
  <c r="V4338" i="1" s="1"/>
  <c r="Q4339" i="1"/>
  <c r="V4339" i="1" s="1"/>
  <c r="Q4340" i="1"/>
  <c r="V4340" i="1" s="1"/>
  <c r="Q4341" i="1"/>
  <c r="V4341" i="1" s="1"/>
  <c r="Q4342" i="1"/>
  <c r="V4342" i="1" s="1"/>
  <c r="Q4343" i="1"/>
  <c r="V4343" i="1" s="1"/>
  <c r="Q4344" i="1"/>
  <c r="V4344" i="1" s="1"/>
  <c r="Q4345" i="1"/>
  <c r="V4345" i="1" s="1"/>
  <c r="Q4346" i="1"/>
  <c r="V4346" i="1" s="1"/>
  <c r="Q4347" i="1"/>
  <c r="V4347" i="1" s="1"/>
  <c r="Q4348" i="1"/>
  <c r="V4348" i="1" s="1"/>
  <c r="Q4349" i="1"/>
  <c r="V4349" i="1" s="1"/>
  <c r="Q4350" i="1"/>
  <c r="V4350" i="1" s="1"/>
  <c r="Q4351" i="1"/>
  <c r="V4351" i="1" s="1"/>
  <c r="Q4352" i="1"/>
  <c r="V4352" i="1" s="1"/>
  <c r="Q4353" i="1"/>
  <c r="V4353" i="1" s="1"/>
  <c r="Q4354" i="1"/>
  <c r="V4354" i="1" s="1"/>
  <c r="Q4355" i="1"/>
  <c r="V4355" i="1" s="1"/>
  <c r="Q4357" i="1"/>
  <c r="V4357" i="1" s="1"/>
  <c r="Q4358" i="1"/>
  <c r="V4358" i="1" s="1"/>
  <c r="Q4359" i="1"/>
  <c r="V4359" i="1" s="1"/>
  <c r="Q4360" i="1"/>
  <c r="V4360" i="1" s="1"/>
  <c r="Q4361" i="1"/>
  <c r="V4361" i="1" s="1"/>
  <c r="Q4362" i="1"/>
  <c r="V4362" i="1" s="1"/>
  <c r="Q4363" i="1"/>
  <c r="V4363" i="1" s="1"/>
  <c r="Q4364" i="1"/>
  <c r="V4364" i="1" s="1"/>
  <c r="Q4365" i="1"/>
  <c r="V4365" i="1" s="1"/>
  <c r="Q4366" i="1"/>
  <c r="V4366" i="1" s="1"/>
  <c r="Q4367" i="1"/>
  <c r="V4367" i="1" s="1"/>
  <c r="Q4368" i="1"/>
  <c r="V4368" i="1" s="1"/>
  <c r="Q4369" i="1"/>
  <c r="V4369" i="1" s="1"/>
  <c r="Q4370" i="1"/>
  <c r="V4370" i="1" s="1"/>
  <c r="Q4371" i="1"/>
  <c r="V4371" i="1" s="1"/>
  <c r="Q4372" i="1"/>
  <c r="V4372" i="1" s="1"/>
  <c r="Q4373" i="1"/>
  <c r="V4373" i="1" s="1"/>
  <c r="Q4374" i="1"/>
  <c r="V4374" i="1" s="1"/>
  <c r="Q4375" i="1"/>
  <c r="V4375" i="1" s="1"/>
  <c r="Q4376" i="1"/>
  <c r="V4376" i="1" s="1"/>
  <c r="Q4377" i="1"/>
  <c r="V4377" i="1" s="1"/>
  <c r="Q4378" i="1"/>
  <c r="V4378" i="1" s="1"/>
  <c r="Q4379" i="1"/>
  <c r="V4379" i="1" s="1"/>
  <c r="Q4380" i="1"/>
  <c r="V4380" i="1" s="1"/>
  <c r="Q4381" i="1"/>
  <c r="V4381" i="1" s="1"/>
  <c r="Q4382" i="1"/>
  <c r="V4382" i="1" s="1"/>
  <c r="Q4383" i="1"/>
  <c r="V4383" i="1" s="1"/>
  <c r="Q4384" i="1"/>
  <c r="V4384" i="1" s="1"/>
  <c r="Q4385" i="1"/>
  <c r="V4385" i="1" s="1"/>
  <c r="Q4386" i="1"/>
  <c r="V4386" i="1" s="1"/>
  <c r="Q4387" i="1"/>
  <c r="V4387" i="1" s="1"/>
  <c r="Q4388" i="1"/>
  <c r="V4388" i="1" s="1"/>
  <c r="Q4389" i="1"/>
  <c r="V4389" i="1" s="1"/>
  <c r="Q4390" i="1"/>
  <c r="V4390" i="1" s="1"/>
  <c r="Q4391" i="1"/>
  <c r="V4391" i="1" s="1"/>
  <c r="Q4392" i="1"/>
  <c r="V4392" i="1" s="1"/>
  <c r="Q4393" i="1"/>
  <c r="V4393" i="1" s="1"/>
  <c r="Q4394" i="1"/>
  <c r="V4394" i="1" s="1"/>
  <c r="Q4395" i="1"/>
  <c r="V4395" i="1" s="1"/>
  <c r="Q4396" i="1"/>
  <c r="V4396" i="1" s="1"/>
  <c r="Q4397" i="1"/>
  <c r="V4397" i="1" s="1"/>
  <c r="Q4398" i="1"/>
  <c r="V4398" i="1" s="1"/>
  <c r="Q4399" i="1"/>
  <c r="V4399" i="1" s="1"/>
  <c r="Q4400" i="1"/>
  <c r="V4400" i="1" s="1"/>
  <c r="Q4401" i="1"/>
  <c r="V4401" i="1" s="1"/>
  <c r="Q4402" i="1"/>
  <c r="V4402" i="1" s="1"/>
  <c r="Q4403" i="1"/>
  <c r="V4403" i="1" s="1"/>
  <c r="Q4404" i="1"/>
  <c r="V4404" i="1" s="1"/>
  <c r="Q4405" i="1"/>
  <c r="V4405" i="1" s="1"/>
  <c r="Q4406" i="1"/>
  <c r="V4406" i="1" s="1"/>
  <c r="Q4407" i="1"/>
  <c r="V4407" i="1" s="1"/>
  <c r="Q4408" i="1"/>
  <c r="V4408" i="1" s="1"/>
  <c r="Q4409" i="1"/>
  <c r="V4409" i="1" s="1"/>
  <c r="Q4410" i="1"/>
  <c r="V4410" i="1" s="1"/>
  <c r="Q4411" i="1"/>
  <c r="V4411" i="1" s="1"/>
  <c r="Q4412" i="1"/>
  <c r="V4412" i="1" s="1"/>
  <c r="Q4413" i="1"/>
  <c r="V4413" i="1" s="1"/>
  <c r="Q4414" i="1"/>
  <c r="V4414" i="1" s="1"/>
  <c r="Q4415" i="1"/>
  <c r="V4415" i="1" s="1"/>
  <c r="Q4416" i="1"/>
  <c r="V4416" i="1" s="1"/>
  <c r="Q4417" i="1"/>
  <c r="V4417" i="1" s="1"/>
  <c r="Q4418" i="1"/>
  <c r="V4418" i="1" s="1"/>
  <c r="Q4419" i="1"/>
  <c r="V4419" i="1" s="1"/>
  <c r="Q4420" i="1"/>
  <c r="V4420" i="1" s="1"/>
  <c r="Q4421" i="1"/>
  <c r="V4421" i="1" s="1"/>
  <c r="Q4422" i="1"/>
  <c r="V4422" i="1" s="1"/>
  <c r="Q4423" i="1"/>
  <c r="V4423" i="1" s="1"/>
  <c r="Q4424" i="1"/>
  <c r="V4424" i="1" s="1"/>
  <c r="Q4425" i="1"/>
  <c r="V4425" i="1" s="1"/>
  <c r="Q4426" i="1"/>
  <c r="V4426" i="1" s="1"/>
  <c r="Q4427" i="1"/>
  <c r="V4427" i="1" s="1"/>
  <c r="Q4428" i="1"/>
  <c r="V4428" i="1" s="1"/>
  <c r="Q4429" i="1"/>
  <c r="V4429" i="1" s="1"/>
  <c r="Q4430" i="1"/>
  <c r="V4430" i="1" s="1"/>
  <c r="Q4431" i="1"/>
  <c r="V4431" i="1" s="1"/>
  <c r="Q4432" i="1"/>
  <c r="V4432" i="1" s="1"/>
  <c r="Q4433" i="1"/>
  <c r="V4433" i="1" s="1"/>
  <c r="Q4434" i="1"/>
  <c r="V4434" i="1" s="1"/>
  <c r="Q4435" i="1"/>
  <c r="V4435" i="1" s="1"/>
  <c r="Q4436" i="1"/>
  <c r="V4436" i="1" s="1"/>
  <c r="Q4437" i="1"/>
  <c r="V4437" i="1" s="1"/>
  <c r="Q4438" i="1"/>
  <c r="V4438" i="1" s="1"/>
  <c r="Q4439" i="1"/>
  <c r="V4439" i="1" s="1"/>
  <c r="Q4440" i="1"/>
  <c r="V4440" i="1" s="1"/>
  <c r="Q4441" i="1"/>
  <c r="V4441" i="1" s="1"/>
  <c r="Q4442" i="1"/>
  <c r="V4442" i="1" s="1"/>
  <c r="Q4443" i="1"/>
  <c r="V4443" i="1" s="1"/>
  <c r="Q4444" i="1"/>
  <c r="V4444" i="1" s="1"/>
  <c r="Q4446" i="1"/>
  <c r="V4446" i="1" s="1"/>
  <c r="Q4447" i="1"/>
  <c r="V4447" i="1" s="1"/>
  <c r="Q4448" i="1"/>
  <c r="V4448" i="1" s="1"/>
  <c r="Q4449" i="1"/>
  <c r="V4449" i="1" s="1"/>
  <c r="Q4450" i="1"/>
  <c r="V4450" i="1" s="1"/>
  <c r="Q4451" i="1"/>
  <c r="V4451" i="1" s="1"/>
  <c r="Q4452" i="1"/>
  <c r="V4452" i="1" s="1"/>
  <c r="Q4453" i="1"/>
  <c r="V4453" i="1" s="1"/>
  <c r="Q4454" i="1"/>
  <c r="V4454" i="1" s="1"/>
  <c r="Q4455" i="1"/>
  <c r="V4455" i="1" s="1"/>
  <c r="Q4456" i="1"/>
  <c r="V4456" i="1" s="1"/>
  <c r="Q4457" i="1"/>
  <c r="V4457" i="1" s="1"/>
  <c r="Q4458" i="1"/>
  <c r="V4458" i="1" s="1"/>
  <c r="Q4459" i="1"/>
  <c r="V4459" i="1" s="1"/>
  <c r="Q4460" i="1"/>
  <c r="V4460" i="1" s="1"/>
  <c r="Q4461" i="1"/>
  <c r="V4461" i="1" s="1"/>
  <c r="Q4462" i="1"/>
  <c r="V4462" i="1" s="1"/>
  <c r="Q4463" i="1"/>
  <c r="V4463" i="1" s="1"/>
  <c r="Q4464" i="1"/>
  <c r="V4464" i="1" s="1"/>
  <c r="Q4465" i="1"/>
  <c r="V4465" i="1" s="1"/>
  <c r="Q4466" i="1"/>
  <c r="V4466" i="1" s="1"/>
  <c r="Q4467" i="1"/>
  <c r="V4467" i="1" s="1"/>
  <c r="Q4468" i="1"/>
  <c r="V4468" i="1" s="1"/>
  <c r="Q4469" i="1"/>
  <c r="V4469" i="1" s="1"/>
  <c r="Q4470" i="1"/>
  <c r="V4470" i="1" s="1"/>
  <c r="Q4471" i="1"/>
  <c r="V4471" i="1" s="1"/>
  <c r="Q4472" i="1"/>
  <c r="V4472" i="1" s="1"/>
  <c r="Q4473" i="1"/>
  <c r="V4473" i="1" s="1"/>
  <c r="Q4474" i="1"/>
  <c r="V4474" i="1" s="1"/>
  <c r="Q4475" i="1"/>
  <c r="V4475" i="1" s="1"/>
  <c r="Q4476" i="1"/>
  <c r="V4476" i="1" s="1"/>
  <c r="Q4477" i="1"/>
  <c r="V4477" i="1" s="1"/>
  <c r="Q4478" i="1"/>
  <c r="V4478" i="1" s="1"/>
  <c r="Q4479" i="1"/>
  <c r="V4479" i="1" s="1"/>
  <c r="Q4480" i="1"/>
  <c r="V4480" i="1" s="1"/>
  <c r="Q4481" i="1"/>
  <c r="V4481" i="1" s="1"/>
  <c r="Q4482" i="1"/>
  <c r="V4482" i="1" s="1"/>
  <c r="Q4483" i="1"/>
  <c r="V4483" i="1" s="1"/>
  <c r="Q4484" i="1"/>
  <c r="V4484" i="1" s="1"/>
  <c r="Q4485" i="1"/>
  <c r="V4485" i="1" s="1"/>
  <c r="Q4486" i="1"/>
  <c r="V4486" i="1" s="1"/>
  <c r="Q4487" i="1"/>
  <c r="V4487" i="1" s="1"/>
  <c r="Q4488" i="1"/>
  <c r="V4488" i="1" s="1"/>
  <c r="Q4489" i="1"/>
  <c r="V4489" i="1" s="1"/>
  <c r="Q4490" i="1"/>
  <c r="V4490" i="1" s="1"/>
  <c r="Q4491" i="1"/>
  <c r="V4491" i="1" s="1"/>
  <c r="Q4492" i="1"/>
  <c r="V4492" i="1" s="1"/>
  <c r="Q4493" i="1"/>
  <c r="V4493" i="1" s="1"/>
  <c r="Q4494" i="1"/>
  <c r="V4494" i="1" s="1"/>
  <c r="Q4495" i="1"/>
  <c r="V4495" i="1" s="1"/>
  <c r="Q4496" i="1"/>
  <c r="V4496" i="1" s="1"/>
  <c r="Q4497" i="1"/>
  <c r="V4497" i="1" s="1"/>
  <c r="Q4498" i="1"/>
  <c r="V4498" i="1" s="1"/>
  <c r="Q4499" i="1"/>
  <c r="V4499" i="1" s="1"/>
  <c r="Q4500" i="1"/>
  <c r="V4500" i="1" s="1"/>
  <c r="Q4501" i="1"/>
  <c r="V4501" i="1" s="1"/>
  <c r="Q4502" i="1"/>
  <c r="V4502" i="1" s="1"/>
  <c r="Q4503" i="1"/>
  <c r="V4503" i="1" s="1"/>
  <c r="Q4504" i="1"/>
  <c r="V4504" i="1" s="1"/>
  <c r="Q4505" i="1"/>
  <c r="V4505" i="1" s="1"/>
  <c r="Q4506" i="1"/>
  <c r="V4506" i="1" s="1"/>
  <c r="Q4507" i="1"/>
  <c r="V4507" i="1" s="1"/>
  <c r="Q4508" i="1"/>
  <c r="V4508" i="1" s="1"/>
  <c r="Q4509" i="1"/>
  <c r="V4509" i="1" s="1"/>
  <c r="Q4510" i="1"/>
  <c r="V4510" i="1" s="1"/>
  <c r="Q4511" i="1"/>
  <c r="V4511" i="1" s="1"/>
  <c r="Q4512" i="1"/>
  <c r="V4512" i="1" s="1"/>
  <c r="Q4513" i="1"/>
  <c r="V4513" i="1" s="1"/>
  <c r="Q4514" i="1"/>
  <c r="V4514" i="1" s="1"/>
  <c r="Q4515" i="1"/>
  <c r="V4515" i="1" s="1"/>
  <c r="Q4516" i="1"/>
  <c r="V4516" i="1" s="1"/>
  <c r="Q4517" i="1"/>
  <c r="V4517" i="1" s="1"/>
  <c r="Q4518" i="1"/>
  <c r="V4518" i="1" s="1"/>
  <c r="Q4519" i="1"/>
  <c r="V4519" i="1" s="1"/>
  <c r="Q4520" i="1"/>
  <c r="V4520" i="1" s="1"/>
  <c r="Q4521" i="1"/>
  <c r="V4521" i="1" s="1"/>
  <c r="Q4522" i="1"/>
  <c r="V4522" i="1" s="1"/>
  <c r="Q4523" i="1"/>
  <c r="V4523" i="1" s="1"/>
  <c r="Q4524" i="1"/>
  <c r="V4524" i="1" s="1"/>
  <c r="Q4525" i="1"/>
  <c r="V4525" i="1" s="1"/>
  <c r="Q4526" i="1"/>
  <c r="V4526" i="1" s="1"/>
  <c r="Q4527" i="1"/>
  <c r="V4527" i="1" s="1"/>
  <c r="Q4528" i="1"/>
  <c r="V4528" i="1" s="1"/>
  <c r="Q4530" i="1"/>
  <c r="V4530" i="1" s="1"/>
  <c r="Q4532" i="1"/>
  <c r="V4532" i="1" s="1"/>
  <c r="Q4533" i="1"/>
  <c r="V4533" i="1" s="1"/>
  <c r="Q4534" i="1"/>
  <c r="V4534" i="1" s="1"/>
  <c r="Q4535" i="1"/>
  <c r="V4535" i="1" s="1"/>
  <c r="Q4536" i="1"/>
  <c r="V4536" i="1" s="1"/>
  <c r="Q4537" i="1"/>
  <c r="V4537" i="1" s="1"/>
  <c r="Q4538" i="1"/>
  <c r="V4538" i="1" s="1"/>
  <c r="Q4539" i="1"/>
  <c r="V4539" i="1" s="1"/>
  <c r="Q4540" i="1"/>
  <c r="V4540" i="1" s="1"/>
  <c r="Q4541" i="1"/>
  <c r="V4541" i="1" s="1"/>
  <c r="Q4542" i="1"/>
  <c r="V4542" i="1" s="1"/>
  <c r="Q4543" i="1"/>
  <c r="V4543" i="1" s="1"/>
  <c r="Q4544" i="1"/>
  <c r="V4544" i="1" s="1"/>
  <c r="Q4545" i="1"/>
  <c r="V4545" i="1" s="1"/>
  <c r="Q4546" i="1"/>
  <c r="V4546" i="1" s="1"/>
  <c r="Q4547" i="1"/>
  <c r="V4547" i="1" s="1"/>
  <c r="Q4548" i="1"/>
  <c r="V4548" i="1" s="1"/>
  <c r="Q4549" i="1"/>
  <c r="V4549" i="1" s="1"/>
  <c r="Q4550" i="1"/>
  <c r="V4550" i="1" s="1"/>
  <c r="Q4551" i="1"/>
  <c r="V4551" i="1" s="1"/>
  <c r="Q4552" i="1"/>
  <c r="V4552" i="1" s="1"/>
  <c r="Q4553" i="1"/>
  <c r="V4553" i="1" s="1"/>
  <c r="Q4554" i="1"/>
  <c r="V4554" i="1" s="1"/>
  <c r="Q4555" i="1"/>
  <c r="V4555" i="1" s="1"/>
  <c r="Q4556" i="1"/>
  <c r="V4556" i="1" s="1"/>
  <c r="Q4557" i="1"/>
  <c r="V4557" i="1" s="1"/>
  <c r="Q4558" i="1"/>
  <c r="V4558" i="1" s="1"/>
  <c r="Q4559" i="1"/>
  <c r="V4559" i="1" s="1"/>
  <c r="Q4560" i="1"/>
  <c r="V4560" i="1" s="1"/>
  <c r="Q4561" i="1"/>
  <c r="V4561" i="1" s="1"/>
  <c r="Q4562" i="1"/>
  <c r="V4562" i="1" s="1"/>
  <c r="Q4563" i="1"/>
  <c r="V4563" i="1" s="1"/>
  <c r="Q4564" i="1"/>
  <c r="V4564" i="1" s="1"/>
  <c r="Q4567" i="1"/>
  <c r="V4567" i="1" s="1"/>
  <c r="Q4568" i="1"/>
  <c r="V4568" i="1" s="1"/>
  <c r="Q4569" i="1"/>
  <c r="V4569" i="1" s="1"/>
  <c r="Q4570" i="1"/>
  <c r="V4570" i="1" s="1"/>
  <c r="Q4571" i="1"/>
  <c r="V4571" i="1" s="1"/>
  <c r="Q4572" i="1"/>
  <c r="V4572" i="1" s="1"/>
  <c r="Q4573" i="1"/>
  <c r="V4573" i="1" s="1"/>
  <c r="Q4574" i="1"/>
  <c r="V4574" i="1" s="1"/>
  <c r="Q4575" i="1"/>
  <c r="V4575" i="1" s="1"/>
  <c r="Q4576" i="1"/>
  <c r="V4576" i="1" s="1"/>
  <c r="Q4577" i="1"/>
  <c r="V4577" i="1" s="1"/>
  <c r="Q4578" i="1"/>
  <c r="V4578" i="1" s="1"/>
  <c r="Q4579" i="1"/>
  <c r="V4579" i="1" s="1"/>
  <c r="Q4580" i="1"/>
  <c r="V4580" i="1" s="1"/>
  <c r="Q4581" i="1"/>
  <c r="V4581" i="1" s="1"/>
  <c r="Q4582" i="1"/>
  <c r="V4582" i="1" s="1"/>
  <c r="Q4583" i="1"/>
  <c r="V4583" i="1" s="1"/>
  <c r="Q4586" i="1"/>
  <c r="V4586" i="1" s="1"/>
  <c r="Q4587" i="1"/>
  <c r="V4587" i="1" s="1"/>
  <c r="Q4588" i="1"/>
  <c r="V4588" i="1" s="1"/>
  <c r="Q4589" i="1"/>
  <c r="V4589" i="1" s="1"/>
  <c r="Q4590" i="1"/>
  <c r="V4590" i="1" s="1"/>
  <c r="Q4591" i="1"/>
  <c r="V4591" i="1" s="1"/>
  <c r="Q4592" i="1"/>
  <c r="V4592" i="1" s="1"/>
  <c r="Q4593" i="1"/>
  <c r="V4593" i="1" s="1"/>
  <c r="Q4594" i="1"/>
  <c r="V4594" i="1" s="1"/>
  <c r="Q4595" i="1"/>
  <c r="V4595" i="1" s="1"/>
  <c r="Q4596" i="1"/>
  <c r="V4596" i="1" s="1"/>
  <c r="Q4597" i="1"/>
  <c r="V4597" i="1" s="1"/>
  <c r="Q4598" i="1"/>
  <c r="V4598" i="1" s="1"/>
  <c r="Q4599" i="1"/>
  <c r="V4599" i="1" s="1"/>
  <c r="Q4602" i="1"/>
  <c r="V4602" i="1" s="1"/>
  <c r="Q4603" i="1"/>
  <c r="V4603" i="1" s="1"/>
  <c r="Q4604" i="1"/>
  <c r="V4604" i="1" s="1"/>
  <c r="Q4605" i="1"/>
  <c r="V4605" i="1" s="1"/>
  <c r="Q4606" i="1"/>
  <c r="V4606" i="1" s="1"/>
  <c r="Q4607" i="1"/>
  <c r="V4607" i="1" s="1"/>
  <c r="Q4608" i="1"/>
  <c r="V4608" i="1" s="1"/>
  <c r="Q4609" i="1"/>
  <c r="V4609" i="1" s="1"/>
  <c r="Q4610" i="1"/>
  <c r="V4610" i="1" s="1"/>
  <c r="Q4611" i="1"/>
  <c r="V4611" i="1" s="1"/>
  <c r="Q4612" i="1"/>
  <c r="V4612" i="1" s="1"/>
  <c r="Q4613" i="1"/>
  <c r="V4613" i="1" s="1"/>
  <c r="Q4614" i="1"/>
  <c r="V4614" i="1" s="1"/>
  <c r="Q4615" i="1"/>
  <c r="V4615" i="1" s="1"/>
  <c r="Q4616" i="1"/>
  <c r="V4616" i="1" s="1"/>
  <c r="Q4617" i="1"/>
  <c r="V4617" i="1" s="1"/>
  <c r="Q4618" i="1"/>
  <c r="V4618" i="1" s="1"/>
  <c r="Q4619" i="1"/>
  <c r="V4619" i="1" s="1"/>
  <c r="Q4620" i="1"/>
  <c r="V4620" i="1" s="1"/>
  <c r="Q4621" i="1"/>
  <c r="V4621" i="1" s="1"/>
  <c r="Q4623" i="1"/>
  <c r="V4623" i="1" s="1"/>
  <c r="Q4624" i="1"/>
  <c r="V4624" i="1" s="1"/>
  <c r="Q4625" i="1"/>
  <c r="V4625" i="1" s="1"/>
  <c r="Q4626" i="1"/>
  <c r="V4626" i="1" s="1"/>
  <c r="Q4627" i="1"/>
  <c r="V4627" i="1" s="1"/>
  <c r="Q4629" i="1"/>
  <c r="V4629" i="1" s="1"/>
  <c r="Q4630" i="1"/>
  <c r="V4630" i="1" s="1"/>
  <c r="Q4631" i="1"/>
  <c r="V4631" i="1" s="1"/>
  <c r="Q4632" i="1"/>
  <c r="V4632" i="1" s="1"/>
  <c r="Q4633" i="1"/>
  <c r="V4633" i="1" s="1"/>
  <c r="Q4634" i="1"/>
  <c r="V4634" i="1" s="1"/>
  <c r="Q4635" i="1"/>
  <c r="V4635" i="1" s="1"/>
  <c r="Q4636" i="1"/>
  <c r="V4636" i="1" s="1"/>
  <c r="Q4637" i="1"/>
  <c r="V4637" i="1" s="1"/>
  <c r="Q4638" i="1"/>
  <c r="V4638" i="1" s="1"/>
  <c r="Q4639" i="1"/>
  <c r="V4639" i="1" s="1"/>
  <c r="Q4640" i="1"/>
  <c r="V4640" i="1" s="1"/>
  <c r="Q4641" i="1"/>
  <c r="V4641" i="1" s="1"/>
  <c r="Q4642" i="1"/>
  <c r="V4642" i="1" s="1"/>
  <c r="Q4643" i="1"/>
  <c r="V4643" i="1" s="1"/>
  <c r="Q4644" i="1"/>
  <c r="V4644" i="1" s="1"/>
  <c r="Q4645" i="1"/>
  <c r="V4645" i="1" s="1"/>
  <c r="Q4646" i="1"/>
  <c r="V4646" i="1" s="1"/>
  <c r="Q4647" i="1"/>
  <c r="V4647" i="1" s="1"/>
  <c r="Q4648" i="1"/>
  <c r="V4648" i="1" s="1"/>
  <c r="Q4649" i="1"/>
  <c r="V4649" i="1" s="1"/>
  <c r="Q4650" i="1"/>
  <c r="V4650" i="1" s="1"/>
  <c r="Q4651" i="1"/>
  <c r="V4651" i="1" s="1"/>
  <c r="Q4652" i="1"/>
  <c r="V4652" i="1" s="1"/>
  <c r="Q4653" i="1"/>
  <c r="V4653" i="1" s="1"/>
  <c r="Q4654" i="1"/>
  <c r="V4654" i="1" s="1"/>
  <c r="Q4655" i="1"/>
  <c r="V4655" i="1" s="1"/>
  <c r="Q4656" i="1"/>
  <c r="V4656" i="1" s="1"/>
  <c r="Q4657" i="1"/>
  <c r="V4657" i="1" s="1"/>
  <c r="Q4658" i="1"/>
  <c r="V4658" i="1" s="1"/>
  <c r="Q4659" i="1"/>
  <c r="V4659" i="1" s="1"/>
  <c r="Q4660" i="1"/>
  <c r="V4660" i="1" s="1"/>
  <c r="Q4661" i="1"/>
  <c r="V4661" i="1" s="1"/>
  <c r="Q4662" i="1"/>
  <c r="V4662" i="1" s="1"/>
  <c r="Q4663" i="1"/>
  <c r="V4663" i="1" s="1"/>
  <c r="Q4664" i="1"/>
  <c r="V4664" i="1" s="1"/>
  <c r="Q4665" i="1"/>
  <c r="V4665" i="1" s="1"/>
  <c r="Q4666" i="1"/>
  <c r="V4666" i="1" s="1"/>
  <c r="Q4667" i="1"/>
  <c r="V4667" i="1" s="1"/>
  <c r="Q4668" i="1"/>
  <c r="V4668" i="1" s="1"/>
  <c r="Q4669" i="1"/>
  <c r="V4669" i="1" s="1"/>
  <c r="Q4670" i="1"/>
  <c r="V4670" i="1" s="1"/>
  <c r="Q4671" i="1"/>
  <c r="V4671" i="1" s="1"/>
  <c r="Q4673" i="1"/>
  <c r="V4673" i="1" s="1"/>
  <c r="Q4674" i="1"/>
  <c r="V4674" i="1" s="1"/>
  <c r="Q4675" i="1"/>
  <c r="V4675" i="1" s="1"/>
  <c r="Q4676" i="1"/>
  <c r="V4676" i="1" s="1"/>
  <c r="Q4678" i="1"/>
  <c r="V4678" i="1" s="1"/>
  <c r="Q4679" i="1"/>
  <c r="V4679" i="1" s="1"/>
  <c r="Q4680" i="1"/>
  <c r="V4680" i="1" s="1"/>
  <c r="Q4681" i="1"/>
  <c r="V4681" i="1" s="1"/>
  <c r="Q4682" i="1"/>
  <c r="V4682" i="1" s="1"/>
  <c r="Q4683" i="1"/>
  <c r="V4683" i="1" s="1"/>
  <c r="Q4684" i="1"/>
  <c r="V4684" i="1" s="1"/>
  <c r="Q4685" i="1"/>
  <c r="V4685" i="1" s="1"/>
  <c r="Q4686" i="1"/>
  <c r="V4686" i="1" s="1"/>
  <c r="Q4687" i="1"/>
  <c r="V4687" i="1" s="1"/>
  <c r="Q4688" i="1"/>
  <c r="V4688" i="1" s="1"/>
  <c r="Q4689" i="1"/>
  <c r="V4689" i="1" s="1"/>
  <c r="Q4690" i="1"/>
  <c r="V4690" i="1" s="1"/>
  <c r="Q4691" i="1"/>
  <c r="V4691" i="1" s="1"/>
  <c r="Q4692" i="1"/>
  <c r="V4692" i="1" s="1"/>
  <c r="Q4693" i="1"/>
  <c r="V4693" i="1" s="1"/>
  <c r="Q4694" i="1"/>
  <c r="V4694" i="1" s="1"/>
  <c r="Q4695" i="1"/>
  <c r="V4695" i="1" s="1"/>
  <c r="Q4696" i="1"/>
  <c r="V4696" i="1" s="1"/>
  <c r="Q4697" i="1"/>
  <c r="V4697" i="1" s="1"/>
  <c r="Q4698" i="1"/>
  <c r="V4698" i="1" s="1"/>
  <c r="Q4699" i="1"/>
  <c r="V4699" i="1" s="1"/>
  <c r="Q4700" i="1"/>
  <c r="V4700" i="1" s="1"/>
  <c r="Q4701" i="1"/>
  <c r="V4701" i="1" s="1"/>
  <c r="Q4702" i="1"/>
  <c r="V4702" i="1" s="1"/>
  <c r="Q4703" i="1"/>
  <c r="V4703" i="1" s="1"/>
  <c r="Q4704" i="1"/>
  <c r="V4704" i="1" s="1"/>
  <c r="Q4705" i="1"/>
  <c r="V4705" i="1" s="1"/>
  <c r="Q4706" i="1"/>
  <c r="V4706" i="1" s="1"/>
  <c r="Q4707" i="1"/>
  <c r="V4707" i="1" s="1"/>
  <c r="Q4708" i="1"/>
  <c r="V4708" i="1" s="1"/>
  <c r="Q4709" i="1"/>
  <c r="V4709" i="1" s="1"/>
  <c r="Q4712" i="1"/>
  <c r="V4712" i="1" s="1"/>
  <c r="Q4713" i="1"/>
  <c r="V4713" i="1" s="1"/>
  <c r="Q4714" i="1"/>
  <c r="V4714" i="1" s="1"/>
  <c r="Q4715" i="1"/>
  <c r="V4715" i="1" s="1"/>
  <c r="Q4716" i="1"/>
  <c r="V4716" i="1" s="1"/>
  <c r="Q4717" i="1"/>
  <c r="V4717" i="1" s="1"/>
  <c r="Q4718" i="1"/>
  <c r="V4718" i="1" s="1"/>
  <c r="Q4719" i="1"/>
  <c r="V4719" i="1" s="1"/>
  <c r="Q4720" i="1"/>
  <c r="V4720" i="1" s="1"/>
  <c r="Q4721" i="1"/>
  <c r="V4721" i="1" s="1"/>
  <c r="Q4722" i="1"/>
  <c r="V4722" i="1" s="1"/>
  <c r="Q4723" i="1"/>
  <c r="V4723" i="1" s="1"/>
  <c r="Q4724" i="1"/>
  <c r="V4724" i="1" s="1"/>
  <c r="Q4725" i="1"/>
  <c r="V4725" i="1" s="1"/>
  <c r="Q4726" i="1"/>
  <c r="V4726" i="1" s="1"/>
  <c r="Q4727" i="1"/>
  <c r="V4727" i="1" s="1"/>
  <c r="Q4728" i="1"/>
  <c r="V4728" i="1" s="1"/>
  <c r="Q4729" i="1"/>
  <c r="V4729" i="1" s="1"/>
  <c r="Q4730" i="1"/>
  <c r="V4730" i="1" s="1"/>
  <c r="Q4731" i="1"/>
  <c r="V4731" i="1" s="1"/>
  <c r="Q4732" i="1"/>
  <c r="V4732" i="1" s="1"/>
  <c r="Q4733" i="1"/>
  <c r="V4733" i="1" s="1"/>
  <c r="Q4734" i="1"/>
  <c r="V4734" i="1" s="1"/>
  <c r="Q4735" i="1"/>
  <c r="V4735" i="1" s="1"/>
  <c r="Q4736" i="1"/>
  <c r="V4736" i="1" s="1"/>
  <c r="Q4737" i="1"/>
  <c r="V4737" i="1" s="1"/>
  <c r="Q4738" i="1"/>
  <c r="V4738" i="1" s="1"/>
  <c r="Q4739" i="1"/>
  <c r="V4739" i="1" s="1"/>
  <c r="Q4740" i="1"/>
  <c r="V4740" i="1" s="1"/>
  <c r="Q4741" i="1"/>
  <c r="V4741" i="1" s="1"/>
  <c r="Q4742" i="1"/>
  <c r="V4742" i="1" s="1"/>
  <c r="Q4743" i="1"/>
  <c r="V4743" i="1" s="1"/>
  <c r="Q4744" i="1"/>
  <c r="V4744" i="1" s="1"/>
  <c r="Q4745" i="1"/>
  <c r="V4745" i="1" s="1"/>
  <c r="Q4746" i="1"/>
  <c r="V4746" i="1" s="1"/>
  <c r="Q4747" i="1"/>
  <c r="V4747" i="1" s="1"/>
  <c r="Q4748" i="1"/>
  <c r="V4748" i="1" s="1"/>
  <c r="Q4749" i="1"/>
  <c r="V4749" i="1" s="1"/>
  <c r="Q4750" i="1"/>
  <c r="V4750" i="1" s="1"/>
  <c r="Q4751" i="1"/>
  <c r="V4751" i="1" s="1"/>
  <c r="Q4752" i="1"/>
  <c r="V4752" i="1" s="1"/>
  <c r="Q4753" i="1"/>
  <c r="V4753" i="1" s="1"/>
  <c r="Q4754" i="1"/>
  <c r="V4754" i="1" s="1"/>
  <c r="Q4755" i="1"/>
  <c r="V4755" i="1" s="1"/>
  <c r="Q4756" i="1"/>
  <c r="V4756" i="1" s="1"/>
  <c r="Q4757" i="1"/>
  <c r="V4757" i="1" s="1"/>
  <c r="Q4758" i="1"/>
  <c r="V4758" i="1" s="1"/>
  <c r="Q4759" i="1"/>
  <c r="V4759" i="1" s="1"/>
  <c r="Q4760" i="1"/>
  <c r="V4760" i="1" s="1"/>
  <c r="Q4761" i="1"/>
  <c r="V4761" i="1" s="1"/>
  <c r="Q4762" i="1"/>
  <c r="V4762" i="1" s="1"/>
  <c r="Q4763" i="1"/>
  <c r="V4763" i="1" s="1"/>
  <c r="Q4764" i="1"/>
  <c r="V4764" i="1" s="1"/>
  <c r="Q4765" i="1"/>
  <c r="V4765" i="1" s="1"/>
  <c r="Q4766" i="1"/>
  <c r="V4766" i="1" s="1"/>
  <c r="Q4767" i="1"/>
  <c r="V4767" i="1" s="1"/>
  <c r="Q4768" i="1"/>
  <c r="V4768" i="1" s="1"/>
  <c r="Q4769" i="1"/>
  <c r="V4769" i="1" s="1"/>
  <c r="Q4770" i="1"/>
  <c r="V4770" i="1" s="1"/>
  <c r="Q4771" i="1"/>
  <c r="V4771" i="1" s="1"/>
  <c r="Q4772" i="1"/>
  <c r="V4772" i="1" s="1"/>
  <c r="Q4773" i="1"/>
  <c r="V4773" i="1" s="1"/>
  <c r="Q4774" i="1"/>
  <c r="V4774" i="1" s="1"/>
  <c r="Q4775" i="1"/>
  <c r="V4775" i="1" s="1"/>
  <c r="Q4776" i="1"/>
  <c r="V4776" i="1" s="1"/>
  <c r="Q4777" i="1"/>
  <c r="V4777" i="1" s="1"/>
  <c r="Q4778" i="1"/>
  <c r="V4778" i="1" s="1"/>
  <c r="Q4779" i="1"/>
  <c r="V4779" i="1" s="1"/>
  <c r="Q4780" i="1"/>
  <c r="V4780" i="1" s="1"/>
  <c r="Q4781" i="1"/>
  <c r="V4781" i="1" s="1"/>
  <c r="Q4782" i="1"/>
  <c r="V4782" i="1" s="1"/>
  <c r="Q4783" i="1"/>
  <c r="V4783" i="1" s="1"/>
  <c r="Q4784" i="1"/>
  <c r="V4784" i="1" s="1"/>
  <c r="Q4785" i="1"/>
  <c r="V4785" i="1" s="1"/>
  <c r="Q4786" i="1"/>
  <c r="V4786" i="1" s="1"/>
  <c r="Q4787" i="1"/>
  <c r="V4787" i="1" s="1"/>
  <c r="Q4788" i="1"/>
  <c r="V4788" i="1" s="1"/>
  <c r="Q4789" i="1"/>
  <c r="V4789" i="1" s="1"/>
  <c r="Q4790" i="1"/>
  <c r="V4790" i="1" s="1"/>
  <c r="Q4791" i="1"/>
  <c r="V4791" i="1" s="1"/>
  <c r="Q4792" i="1"/>
  <c r="V4792" i="1" s="1"/>
  <c r="Q4793" i="1"/>
  <c r="V4793" i="1" s="1"/>
  <c r="Q4794" i="1"/>
  <c r="V4794" i="1" s="1"/>
  <c r="Q4795" i="1"/>
  <c r="V4795" i="1" s="1"/>
  <c r="Q4796" i="1"/>
  <c r="V4796" i="1" s="1"/>
  <c r="Q4797" i="1"/>
  <c r="V4797" i="1" s="1"/>
  <c r="Q4798" i="1"/>
  <c r="V4798" i="1" s="1"/>
  <c r="Q4799" i="1"/>
  <c r="V4799" i="1" s="1"/>
  <c r="Q4800" i="1"/>
  <c r="V4800" i="1" s="1"/>
  <c r="Q4801" i="1"/>
  <c r="V4801" i="1" s="1"/>
  <c r="Q4802" i="1"/>
  <c r="V4802" i="1" s="1"/>
  <c r="Q4803" i="1"/>
  <c r="V4803" i="1" s="1"/>
  <c r="Q4804" i="1"/>
  <c r="V4804" i="1" s="1"/>
  <c r="Q4805" i="1"/>
  <c r="V4805" i="1" s="1"/>
  <c r="Q4806" i="1"/>
  <c r="V4806" i="1" s="1"/>
  <c r="Q4807" i="1"/>
  <c r="V4807" i="1" s="1"/>
  <c r="Q4808" i="1"/>
  <c r="V4808" i="1" s="1"/>
  <c r="Q4809" i="1"/>
  <c r="V4809" i="1" s="1"/>
  <c r="Q4810" i="1"/>
  <c r="V4810" i="1" s="1"/>
  <c r="Q4811" i="1"/>
  <c r="V4811" i="1" s="1"/>
  <c r="Q4812" i="1"/>
  <c r="V4812" i="1" s="1"/>
  <c r="Q4813" i="1"/>
  <c r="V4813" i="1" s="1"/>
  <c r="Q4814" i="1"/>
  <c r="V4814" i="1" s="1"/>
  <c r="Q4815" i="1"/>
  <c r="V4815" i="1" s="1"/>
  <c r="Q4816" i="1"/>
  <c r="V4816" i="1" s="1"/>
  <c r="Q4817" i="1"/>
  <c r="V4817" i="1" s="1"/>
  <c r="Q4818" i="1"/>
  <c r="V4818" i="1" s="1"/>
  <c r="Q4819" i="1"/>
  <c r="V4819" i="1" s="1"/>
  <c r="Q4820" i="1"/>
  <c r="V4820" i="1" s="1"/>
  <c r="Q4821" i="1"/>
  <c r="V4821" i="1" s="1"/>
  <c r="Q4822" i="1"/>
  <c r="V4822" i="1" s="1"/>
  <c r="Q4823" i="1"/>
  <c r="V4823" i="1" s="1"/>
  <c r="Q4824" i="1"/>
  <c r="V4824" i="1" s="1"/>
  <c r="Q4825" i="1"/>
  <c r="V4825" i="1" s="1"/>
  <c r="Q4826" i="1"/>
  <c r="V4826" i="1" s="1"/>
  <c r="Q4827" i="1"/>
  <c r="V4827" i="1" s="1"/>
  <c r="Q4828" i="1"/>
  <c r="V4828" i="1" s="1"/>
  <c r="Q4829" i="1"/>
  <c r="V4829" i="1" s="1"/>
  <c r="Q4830" i="1"/>
  <c r="V4830" i="1" s="1"/>
  <c r="Q4831" i="1"/>
  <c r="V4831" i="1" s="1"/>
  <c r="Q4832" i="1"/>
  <c r="V4832" i="1" s="1"/>
  <c r="Q4833" i="1"/>
  <c r="V4833" i="1" s="1"/>
  <c r="Q4834" i="1"/>
  <c r="V4834" i="1" s="1"/>
  <c r="Q4835" i="1"/>
  <c r="V4835" i="1" s="1"/>
  <c r="Q4836" i="1"/>
  <c r="V4836" i="1" s="1"/>
  <c r="Q4837" i="1"/>
  <c r="V4837" i="1" s="1"/>
  <c r="Q4838" i="1"/>
  <c r="V4838" i="1" s="1"/>
  <c r="Q4839" i="1"/>
  <c r="V4839" i="1" s="1"/>
  <c r="Q4840" i="1"/>
  <c r="V4840" i="1" s="1"/>
  <c r="Q4841" i="1"/>
  <c r="V4841" i="1" s="1"/>
  <c r="Q4842" i="1"/>
  <c r="V4842" i="1" s="1"/>
  <c r="Q4843" i="1"/>
  <c r="V4843" i="1" s="1"/>
  <c r="Q4844" i="1"/>
  <c r="V4844" i="1" s="1"/>
  <c r="Q4845" i="1"/>
  <c r="V4845" i="1" s="1"/>
  <c r="Q4846" i="1"/>
  <c r="V4846" i="1" s="1"/>
  <c r="Q4847" i="1"/>
  <c r="V4847" i="1" s="1"/>
  <c r="Q4848" i="1"/>
  <c r="V4848" i="1" s="1"/>
  <c r="Q4849" i="1"/>
  <c r="V4849" i="1" s="1"/>
  <c r="Q4850" i="1"/>
  <c r="V4850" i="1" s="1"/>
  <c r="Q4851" i="1"/>
  <c r="V4851" i="1" s="1"/>
  <c r="Q4852" i="1"/>
  <c r="V4852" i="1" s="1"/>
  <c r="Q4853" i="1"/>
  <c r="V4853" i="1" s="1"/>
  <c r="Q4854" i="1"/>
  <c r="V4854" i="1" s="1"/>
  <c r="Q4855" i="1"/>
  <c r="V4855" i="1" s="1"/>
  <c r="Q4856" i="1"/>
  <c r="V4856" i="1" s="1"/>
  <c r="Q4857" i="1"/>
  <c r="V4857" i="1" s="1"/>
  <c r="Q4858" i="1"/>
  <c r="V4858" i="1" s="1"/>
  <c r="Q4859" i="1"/>
  <c r="V4859" i="1" s="1"/>
  <c r="Q4860" i="1"/>
  <c r="V4860" i="1" s="1"/>
  <c r="Q4861" i="1"/>
  <c r="V4861" i="1" s="1"/>
  <c r="Q4862" i="1"/>
  <c r="V4862" i="1" s="1"/>
  <c r="Q4863" i="1"/>
  <c r="V4863" i="1" s="1"/>
  <c r="Q4864" i="1"/>
  <c r="V4864" i="1" s="1"/>
  <c r="Q4865" i="1"/>
  <c r="V4865" i="1" s="1"/>
  <c r="Q4866" i="1"/>
  <c r="V4866" i="1" s="1"/>
  <c r="Q4867" i="1"/>
  <c r="V4867" i="1" s="1"/>
  <c r="Q4868" i="1"/>
  <c r="V4868" i="1" s="1"/>
  <c r="Q4869" i="1"/>
  <c r="V4869" i="1" s="1"/>
  <c r="Q4870" i="1"/>
  <c r="V4870" i="1" s="1"/>
  <c r="Q4871" i="1"/>
  <c r="V4871" i="1" s="1"/>
  <c r="Q4872" i="1"/>
  <c r="V4872" i="1" s="1"/>
  <c r="Q4873" i="1"/>
  <c r="V4873" i="1" s="1"/>
  <c r="Q4874" i="1"/>
  <c r="V4874" i="1" s="1"/>
  <c r="Q4875" i="1"/>
  <c r="V4875" i="1" s="1"/>
  <c r="Q4876" i="1"/>
  <c r="V4876" i="1" s="1"/>
  <c r="Q4877" i="1"/>
  <c r="V4877" i="1" s="1"/>
  <c r="Q4878" i="1"/>
  <c r="V4878" i="1" s="1"/>
  <c r="Q4879" i="1"/>
  <c r="V4879" i="1" s="1"/>
  <c r="Q4880" i="1"/>
  <c r="V4880" i="1" s="1"/>
  <c r="Q4881" i="1"/>
  <c r="V4881" i="1" s="1"/>
  <c r="Q4882" i="1"/>
  <c r="V4882" i="1" s="1"/>
  <c r="Q4883" i="1"/>
  <c r="V4883" i="1" s="1"/>
  <c r="Q4884" i="1"/>
  <c r="V4884" i="1" s="1"/>
  <c r="Q4885" i="1"/>
  <c r="V4885" i="1" s="1"/>
  <c r="Q4886" i="1"/>
  <c r="V4886" i="1" s="1"/>
  <c r="Q4887" i="1"/>
  <c r="V4887" i="1" s="1"/>
  <c r="Q4888" i="1"/>
  <c r="V4888" i="1" s="1"/>
  <c r="Q4889" i="1"/>
  <c r="V4889" i="1" s="1"/>
  <c r="Q4890" i="1"/>
  <c r="V4890" i="1" s="1"/>
  <c r="Q4891" i="1"/>
  <c r="V4891" i="1" s="1"/>
  <c r="Q4892" i="1"/>
  <c r="V4892" i="1" s="1"/>
  <c r="Q4893" i="1"/>
  <c r="V4893" i="1" s="1"/>
  <c r="Q4894" i="1"/>
  <c r="V4894" i="1" s="1"/>
  <c r="Q4895" i="1"/>
  <c r="V4895" i="1" s="1"/>
  <c r="Q4896" i="1"/>
  <c r="V4896" i="1" s="1"/>
  <c r="Q4897" i="1"/>
  <c r="V4897" i="1" s="1"/>
  <c r="Q4898" i="1"/>
  <c r="V4898" i="1" s="1"/>
  <c r="Q4899" i="1"/>
  <c r="V4899" i="1" s="1"/>
  <c r="Q4900" i="1"/>
  <c r="V4900" i="1" s="1"/>
  <c r="Q4901" i="1"/>
  <c r="V4901" i="1" s="1"/>
  <c r="Q4902" i="1"/>
  <c r="V4902" i="1" s="1"/>
  <c r="Q4903" i="1"/>
  <c r="V4903" i="1" s="1"/>
  <c r="Q4904" i="1"/>
  <c r="V4904" i="1" s="1"/>
  <c r="Q4905" i="1"/>
  <c r="V4905" i="1" s="1"/>
  <c r="Q4906" i="1"/>
  <c r="V4906" i="1" s="1"/>
  <c r="Q4907" i="1"/>
  <c r="V4907" i="1" s="1"/>
  <c r="Q4908" i="1"/>
  <c r="V4908" i="1" s="1"/>
  <c r="Q4909" i="1"/>
  <c r="V4909" i="1" s="1"/>
  <c r="Q4910" i="1"/>
  <c r="V4910" i="1" s="1"/>
  <c r="Q4911" i="1"/>
  <c r="V4911" i="1" s="1"/>
  <c r="Q4912" i="1"/>
  <c r="V4912" i="1" s="1"/>
  <c r="Q4913" i="1"/>
  <c r="V4913" i="1" s="1"/>
  <c r="Q4914" i="1"/>
  <c r="V4914" i="1" s="1"/>
  <c r="Q4915" i="1"/>
  <c r="V4915" i="1" s="1"/>
  <c r="Q4916" i="1"/>
  <c r="V4916" i="1" s="1"/>
  <c r="Q4917" i="1"/>
  <c r="V4917" i="1" s="1"/>
  <c r="Q4918" i="1"/>
  <c r="V4918" i="1" s="1"/>
  <c r="Q4919" i="1"/>
  <c r="V4919" i="1" s="1"/>
  <c r="Q4920" i="1"/>
  <c r="V4920" i="1" s="1"/>
  <c r="Q4921" i="1"/>
  <c r="V4921" i="1" s="1"/>
  <c r="Q4922" i="1"/>
  <c r="V4922" i="1" s="1"/>
  <c r="Q4923" i="1"/>
  <c r="V4923" i="1" s="1"/>
  <c r="Q4924" i="1"/>
  <c r="V4924" i="1" s="1"/>
  <c r="Q4925" i="1"/>
  <c r="V4925" i="1" s="1"/>
  <c r="Q4926" i="1"/>
  <c r="V4926" i="1" s="1"/>
  <c r="Q4927" i="1"/>
  <c r="V4927" i="1" s="1"/>
  <c r="Q4928" i="1"/>
  <c r="V4928" i="1" s="1"/>
  <c r="Q4929" i="1"/>
  <c r="V4929" i="1" s="1"/>
  <c r="Q4930" i="1"/>
  <c r="V4930" i="1" s="1"/>
  <c r="Q4931" i="1"/>
  <c r="V4931" i="1" s="1"/>
  <c r="Q4932" i="1"/>
  <c r="V4932" i="1" s="1"/>
  <c r="Q4933" i="1"/>
  <c r="V4933" i="1" s="1"/>
  <c r="Q4934" i="1"/>
  <c r="V4934" i="1" s="1"/>
  <c r="Q4935" i="1"/>
  <c r="V4935" i="1" s="1"/>
  <c r="Q4936" i="1"/>
  <c r="V4936" i="1" s="1"/>
  <c r="Q4938" i="1"/>
  <c r="V4938" i="1" s="1"/>
  <c r="Q4939" i="1"/>
  <c r="V4939" i="1" s="1"/>
  <c r="Q4940" i="1"/>
  <c r="V4940" i="1" s="1"/>
  <c r="Q4941" i="1"/>
  <c r="V4941" i="1" s="1"/>
  <c r="Q4942" i="1"/>
  <c r="V4942" i="1" s="1"/>
  <c r="Q4943" i="1"/>
  <c r="V4943" i="1" s="1"/>
  <c r="Q4944" i="1"/>
  <c r="V4944" i="1" s="1"/>
  <c r="Q4945" i="1"/>
  <c r="V4945" i="1" s="1"/>
  <c r="Q4946" i="1"/>
  <c r="V4946" i="1" s="1"/>
  <c r="Q4947" i="1"/>
  <c r="V4947" i="1" s="1"/>
  <c r="Q4948" i="1"/>
  <c r="V4948" i="1" s="1"/>
  <c r="Q4949" i="1"/>
  <c r="V4949" i="1" s="1"/>
  <c r="Q4950" i="1"/>
  <c r="V4950" i="1" s="1"/>
  <c r="Q4951" i="1"/>
  <c r="V4951" i="1" s="1"/>
  <c r="Q4952" i="1"/>
  <c r="V4952" i="1" s="1"/>
  <c r="Q4953" i="1"/>
  <c r="V4953" i="1" s="1"/>
  <c r="Q4954" i="1"/>
  <c r="V4954" i="1" s="1"/>
  <c r="Q4955" i="1"/>
  <c r="V4955" i="1" s="1"/>
  <c r="Q4956" i="1"/>
  <c r="V4956" i="1" s="1"/>
  <c r="Q4957" i="1"/>
  <c r="V4957" i="1" s="1"/>
  <c r="Q4958" i="1"/>
  <c r="V4958" i="1" s="1"/>
  <c r="Q4959" i="1"/>
  <c r="V4959" i="1" s="1"/>
  <c r="Q4960" i="1"/>
  <c r="V4960" i="1" s="1"/>
  <c r="Q4961" i="1"/>
  <c r="V4961" i="1" s="1"/>
  <c r="Q4962" i="1"/>
  <c r="V4962" i="1" s="1"/>
  <c r="Q4963" i="1"/>
  <c r="V4963" i="1" s="1"/>
  <c r="Q4964" i="1"/>
  <c r="V4964" i="1" s="1"/>
  <c r="Q4965" i="1"/>
  <c r="V4965" i="1" s="1"/>
  <c r="Q4966" i="1"/>
  <c r="V4966" i="1" s="1"/>
  <c r="Q4967" i="1"/>
  <c r="V4967" i="1" s="1"/>
  <c r="Q4968" i="1"/>
  <c r="V4968" i="1" s="1"/>
  <c r="Q4969" i="1"/>
  <c r="V4969" i="1" s="1"/>
  <c r="Q4970" i="1"/>
  <c r="V4970" i="1" s="1"/>
  <c r="Q4971" i="1"/>
  <c r="V4971" i="1" s="1"/>
  <c r="Q4972" i="1"/>
  <c r="V4972" i="1" s="1"/>
  <c r="Q4973" i="1"/>
  <c r="V4973" i="1" s="1"/>
  <c r="Q4974" i="1"/>
  <c r="V4974" i="1" s="1"/>
  <c r="Q4975" i="1"/>
  <c r="V4975" i="1" s="1"/>
  <c r="Q4976" i="1"/>
  <c r="V4976" i="1" s="1"/>
  <c r="Q4977" i="1"/>
  <c r="V4977" i="1" s="1"/>
  <c r="Q4978" i="1"/>
  <c r="V4978" i="1" s="1"/>
  <c r="Q4979" i="1"/>
  <c r="V4979" i="1" s="1"/>
  <c r="Q4980" i="1"/>
  <c r="V4980" i="1" s="1"/>
  <c r="Q4981" i="1"/>
  <c r="V4981" i="1" s="1"/>
  <c r="Q4982" i="1"/>
  <c r="V4982" i="1" s="1"/>
  <c r="Q4983" i="1"/>
  <c r="V4983" i="1" s="1"/>
  <c r="Q4984" i="1"/>
  <c r="V4984" i="1" s="1"/>
  <c r="Q4985" i="1"/>
  <c r="V4985" i="1" s="1"/>
  <c r="Q4986" i="1"/>
  <c r="V4986" i="1" s="1"/>
  <c r="Q4987" i="1"/>
  <c r="V4987" i="1" s="1"/>
  <c r="Q4988" i="1"/>
  <c r="V4988" i="1" s="1"/>
  <c r="Q4989" i="1"/>
  <c r="V4989" i="1" s="1"/>
  <c r="Q4990" i="1"/>
  <c r="V4990" i="1" s="1"/>
  <c r="Q4991" i="1"/>
  <c r="V4991" i="1" s="1"/>
  <c r="Q4992" i="1"/>
  <c r="V4992" i="1" s="1"/>
  <c r="Q4993" i="1"/>
  <c r="V4993" i="1" s="1"/>
  <c r="Q4994" i="1"/>
  <c r="V4994" i="1" s="1"/>
  <c r="Q4995" i="1"/>
  <c r="V4995" i="1" s="1"/>
  <c r="Q4996" i="1"/>
  <c r="V4996" i="1" s="1"/>
  <c r="Q4997" i="1"/>
  <c r="V4997" i="1" s="1"/>
  <c r="Q4998" i="1"/>
  <c r="V4998" i="1" s="1"/>
  <c r="Q4999" i="1"/>
  <c r="V4999" i="1" s="1"/>
  <c r="Q5000" i="1"/>
  <c r="V5000" i="1" s="1"/>
  <c r="Q5001" i="1"/>
  <c r="V5001" i="1" s="1"/>
  <c r="Q5002" i="1"/>
  <c r="V5002" i="1" s="1"/>
  <c r="Q5003" i="1"/>
  <c r="V5003" i="1" s="1"/>
  <c r="Q5004" i="1"/>
  <c r="V5004" i="1" s="1"/>
  <c r="Q5006" i="1"/>
  <c r="V5006" i="1" s="1"/>
  <c r="Q5007" i="1"/>
  <c r="V5007" i="1" s="1"/>
  <c r="Q5008" i="1"/>
  <c r="V5008" i="1" s="1"/>
  <c r="Q5009" i="1"/>
  <c r="V5009" i="1" s="1"/>
  <c r="Q5010" i="1"/>
  <c r="V5010" i="1" s="1"/>
  <c r="Q5011" i="1"/>
  <c r="V5011" i="1" s="1"/>
  <c r="Q5012" i="1"/>
  <c r="V5012" i="1" s="1"/>
  <c r="Q5013" i="1"/>
  <c r="V5013" i="1" s="1"/>
  <c r="Q5014" i="1"/>
  <c r="V5014" i="1" s="1"/>
  <c r="Q5015" i="1"/>
  <c r="V5015" i="1" s="1"/>
  <c r="Q5016" i="1"/>
  <c r="V5016" i="1" s="1"/>
  <c r="Q5017" i="1"/>
  <c r="V5017" i="1" s="1"/>
  <c r="Q5018" i="1"/>
  <c r="V5018" i="1" s="1"/>
  <c r="Q5019" i="1"/>
  <c r="V5019" i="1" s="1"/>
  <c r="Q5020" i="1"/>
  <c r="V5020" i="1" s="1"/>
  <c r="Q5021" i="1"/>
  <c r="V5021" i="1" s="1"/>
  <c r="Q5022" i="1"/>
  <c r="V5022" i="1" s="1"/>
  <c r="Q5023" i="1"/>
  <c r="V5023" i="1" s="1"/>
  <c r="Q5024" i="1"/>
  <c r="V5024" i="1" s="1"/>
  <c r="Q5025" i="1"/>
  <c r="V5025" i="1" s="1"/>
  <c r="Q5026" i="1"/>
  <c r="V5026" i="1" s="1"/>
  <c r="Q5027" i="1"/>
  <c r="V5027" i="1" s="1"/>
  <c r="Q5028" i="1"/>
  <c r="V5028" i="1" s="1"/>
  <c r="Q5029" i="1"/>
  <c r="V5029" i="1" s="1"/>
  <c r="Q5030" i="1"/>
  <c r="V5030" i="1" s="1"/>
  <c r="Q5031" i="1"/>
  <c r="V5031" i="1" s="1"/>
  <c r="Q5032" i="1"/>
  <c r="V5032" i="1" s="1"/>
  <c r="Q5033" i="1"/>
  <c r="V5033" i="1" s="1"/>
  <c r="Q5034" i="1"/>
  <c r="V5034" i="1" s="1"/>
  <c r="Q5035" i="1"/>
  <c r="V5035" i="1" s="1"/>
  <c r="Q5036" i="1"/>
  <c r="V5036" i="1" s="1"/>
  <c r="Q5037" i="1"/>
  <c r="V5037" i="1" s="1"/>
  <c r="Q5038" i="1"/>
  <c r="V5038" i="1" s="1"/>
  <c r="Q5039" i="1"/>
  <c r="V5039" i="1" s="1"/>
  <c r="Q5040" i="1"/>
  <c r="V5040" i="1" s="1"/>
  <c r="Q5041" i="1"/>
  <c r="V5041" i="1" s="1"/>
  <c r="Q5042" i="1"/>
  <c r="V5042" i="1" s="1"/>
  <c r="Q5043" i="1"/>
  <c r="V5043" i="1" s="1"/>
  <c r="Q5044" i="1"/>
  <c r="V5044" i="1" s="1"/>
  <c r="Q5045" i="1"/>
  <c r="V5045" i="1" s="1"/>
  <c r="Q5046" i="1"/>
  <c r="V5046" i="1" s="1"/>
  <c r="Q5047" i="1"/>
  <c r="V5047" i="1" s="1"/>
  <c r="Q5048" i="1"/>
  <c r="V5048" i="1" s="1"/>
  <c r="Q5049" i="1"/>
  <c r="V5049" i="1" s="1"/>
  <c r="Q5050" i="1"/>
  <c r="V5050" i="1" s="1"/>
  <c r="Q5051" i="1"/>
  <c r="V5051" i="1" s="1"/>
  <c r="Q5052" i="1"/>
  <c r="V5052" i="1" s="1"/>
  <c r="Q5053" i="1"/>
  <c r="V5053" i="1" s="1"/>
  <c r="Q5054" i="1"/>
  <c r="V5054" i="1" s="1"/>
  <c r="Q5055" i="1"/>
  <c r="V5055" i="1" s="1"/>
  <c r="Q5056" i="1"/>
  <c r="V5056" i="1" s="1"/>
  <c r="Q5057" i="1"/>
  <c r="V5057" i="1" s="1"/>
  <c r="Q5058" i="1"/>
  <c r="V5058" i="1" s="1"/>
  <c r="Q5059" i="1"/>
  <c r="V5059" i="1" s="1"/>
  <c r="Q5060" i="1"/>
  <c r="V5060" i="1" s="1"/>
  <c r="Q5061" i="1"/>
  <c r="V5061" i="1" s="1"/>
  <c r="Q5062" i="1"/>
  <c r="V5062" i="1" s="1"/>
  <c r="Q5063" i="1"/>
  <c r="V5063" i="1" s="1"/>
  <c r="Q5064" i="1"/>
  <c r="V5064" i="1" s="1"/>
  <c r="Q5065" i="1"/>
  <c r="V5065" i="1" s="1"/>
  <c r="Q5066" i="1"/>
  <c r="V5066" i="1" s="1"/>
  <c r="Q5067" i="1"/>
  <c r="V5067" i="1" s="1"/>
  <c r="Q5068" i="1"/>
  <c r="V5068" i="1" s="1"/>
  <c r="Q5069" i="1"/>
  <c r="V5069" i="1" s="1"/>
  <c r="Q5070" i="1"/>
  <c r="V5070" i="1" s="1"/>
  <c r="Q5071" i="1"/>
  <c r="V5071" i="1" s="1"/>
  <c r="Q5072" i="1"/>
  <c r="V5072" i="1" s="1"/>
  <c r="Q5073" i="1"/>
  <c r="V5073" i="1" s="1"/>
  <c r="Q5074" i="1"/>
  <c r="V5074" i="1" s="1"/>
  <c r="Q5075" i="1"/>
  <c r="V5075" i="1" s="1"/>
  <c r="Q5076" i="1"/>
  <c r="V5076" i="1" s="1"/>
  <c r="Q5077" i="1"/>
  <c r="V5077" i="1" s="1"/>
  <c r="Q5078" i="1"/>
  <c r="V5078" i="1" s="1"/>
  <c r="Q5079" i="1"/>
  <c r="V5079" i="1" s="1"/>
  <c r="Q5080" i="1"/>
  <c r="V5080" i="1" s="1"/>
  <c r="Q5083" i="1"/>
  <c r="V5083" i="1" s="1"/>
  <c r="Q5084" i="1"/>
  <c r="V5084" i="1" s="1"/>
  <c r="Q5085" i="1"/>
  <c r="V5085" i="1" s="1"/>
  <c r="Q5086" i="1"/>
  <c r="V5086" i="1" s="1"/>
  <c r="Q5087" i="1"/>
  <c r="V5087" i="1" s="1"/>
  <c r="Q5088" i="1"/>
  <c r="V5088" i="1" s="1"/>
  <c r="Q5089" i="1"/>
  <c r="V5089" i="1" s="1"/>
  <c r="Q5090" i="1"/>
  <c r="V5090" i="1" s="1"/>
  <c r="Q5091" i="1"/>
  <c r="V5091" i="1" s="1"/>
  <c r="Q5092" i="1"/>
  <c r="V5092" i="1" s="1"/>
  <c r="Q5093" i="1"/>
  <c r="V5093" i="1" s="1"/>
  <c r="Q5094" i="1"/>
  <c r="V5094" i="1" s="1"/>
  <c r="Q5095" i="1"/>
  <c r="V5095" i="1" s="1"/>
  <c r="Q5096" i="1"/>
  <c r="V5096" i="1" s="1"/>
  <c r="Q5097" i="1"/>
  <c r="V5097" i="1" s="1"/>
  <c r="Q5098" i="1"/>
  <c r="V5098" i="1" s="1"/>
  <c r="Q5099" i="1"/>
  <c r="V5099" i="1" s="1"/>
  <c r="Q5100" i="1"/>
  <c r="V5100" i="1" s="1"/>
  <c r="Q5101" i="1"/>
  <c r="V5101" i="1" s="1"/>
  <c r="Q5102" i="1"/>
  <c r="V5102" i="1" s="1"/>
  <c r="Q5103" i="1"/>
  <c r="V5103" i="1" s="1"/>
  <c r="Q5104" i="1"/>
  <c r="V5104" i="1" s="1"/>
  <c r="Q5105" i="1"/>
  <c r="V5105" i="1" s="1"/>
  <c r="Q5106" i="1"/>
  <c r="V5106" i="1" s="1"/>
  <c r="Q5107" i="1"/>
  <c r="V5107" i="1" s="1"/>
  <c r="Q5108" i="1"/>
  <c r="V5108" i="1" s="1"/>
  <c r="Q5109" i="1"/>
  <c r="V5109" i="1" s="1"/>
  <c r="Q5110" i="1"/>
  <c r="V5110" i="1" s="1"/>
  <c r="Q5111" i="1"/>
  <c r="V5111" i="1" s="1"/>
  <c r="Q5112" i="1"/>
  <c r="V5112" i="1" s="1"/>
  <c r="Q5113" i="1"/>
  <c r="V5113" i="1" s="1"/>
  <c r="Q5114" i="1"/>
  <c r="V5114" i="1" s="1"/>
  <c r="Q5115" i="1"/>
  <c r="V5115" i="1" s="1"/>
  <c r="Q5116" i="1"/>
  <c r="V5116" i="1" s="1"/>
  <c r="Q5117" i="1"/>
  <c r="V5117" i="1" s="1"/>
  <c r="Q5118" i="1"/>
  <c r="V5118" i="1" s="1"/>
  <c r="Q5119" i="1"/>
  <c r="V5119" i="1" s="1"/>
  <c r="Q5120" i="1"/>
  <c r="V5120" i="1" s="1"/>
  <c r="Q5121" i="1"/>
  <c r="V5121" i="1" s="1"/>
  <c r="Q5122" i="1"/>
  <c r="V5122" i="1" s="1"/>
  <c r="Q5123" i="1"/>
  <c r="V5123" i="1" s="1"/>
  <c r="Q5124" i="1"/>
  <c r="V5124" i="1" s="1"/>
  <c r="Q5125" i="1"/>
  <c r="V5125" i="1" s="1"/>
  <c r="Q5126" i="1"/>
  <c r="V5126" i="1" s="1"/>
  <c r="Q5127" i="1"/>
  <c r="V5127" i="1" s="1"/>
  <c r="Q5128" i="1"/>
  <c r="V5128" i="1" s="1"/>
  <c r="Q5129" i="1"/>
  <c r="V5129" i="1" s="1"/>
  <c r="Q5130" i="1"/>
  <c r="V5130" i="1" s="1"/>
  <c r="Q5131" i="1"/>
  <c r="V5131" i="1" s="1"/>
  <c r="Q5132" i="1"/>
  <c r="V5132" i="1" s="1"/>
  <c r="Q5133" i="1"/>
  <c r="V5133" i="1" s="1"/>
  <c r="Q5134" i="1"/>
  <c r="V5134" i="1" s="1"/>
  <c r="Q5135" i="1"/>
  <c r="V5135" i="1" s="1"/>
  <c r="Q5136" i="1"/>
  <c r="V5136" i="1" s="1"/>
  <c r="Q5137" i="1"/>
  <c r="V5137" i="1" s="1"/>
  <c r="Q5138" i="1"/>
  <c r="V5138" i="1" s="1"/>
  <c r="Q5139" i="1"/>
  <c r="V5139" i="1" s="1"/>
  <c r="Q5140" i="1"/>
  <c r="V5140" i="1" s="1"/>
  <c r="Q5141" i="1"/>
  <c r="V5141" i="1" s="1"/>
  <c r="Q5142" i="1"/>
  <c r="V5142" i="1" s="1"/>
  <c r="Q5143" i="1"/>
  <c r="V5143" i="1" s="1"/>
  <c r="Q5144" i="1"/>
  <c r="V5144" i="1" s="1"/>
  <c r="Q5145" i="1"/>
  <c r="V5145" i="1" s="1"/>
  <c r="Q5146" i="1"/>
  <c r="V5146" i="1" s="1"/>
  <c r="Q5148" i="1"/>
  <c r="V5148" i="1" s="1"/>
  <c r="Q5150" i="1"/>
  <c r="V5150" i="1" s="1"/>
  <c r="Q5151" i="1"/>
  <c r="V5151" i="1" s="1"/>
  <c r="Q5152" i="1"/>
  <c r="V5152" i="1" s="1"/>
  <c r="Q5153" i="1"/>
  <c r="V5153" i="1" s="1"/>
  <c r="Q5154" i="1"/>
  <c r="V5154" i="1" s="1"/>
  <c r="Q5155" i="1"/>
  <c r="V5155" i="1" s="1"/>
  <c r="Q5156" i="1"/>
  <c r="V5156" i="1" s="1"/>
  <c r="Q5157" i="1"/>
  <c r="V5157" i="1" s="1"/>
  <c r="Q5158" i="1"/>
  <c r="V5158" i="1" s="1"/>
  <c r="Q5159" i="1"/>
  <c r="V5159" i="1" s="1"/>
  <c r="Q5160" i="1"/>
  <c r="V5160" i="1" s="1"/>
  <c r="Q5161" i="1"/>
  <c r="V5161" i="1" s="1"/>
  <c r="Q5162" i="1"/>
  <c r="V5162" i="1" s="1"/>
  <c r="Q5163" i="1"/>
  <c r="V5163" i="1" s="1"/>
  <c r="Q5164" i="1"/>
  <c r="V5164" i="1" s="1"/>
  <c r="Q5165" i="1"/>
  <c r="V5165" i="1" s="1"/>
  <c r="Q5166" i="1"/>
  <c r="V5166" i="1" s="1"/>
  <c r="Q5167" i="1"/>
  <c r="V5167" i="1" s="1"/>
  <c r="Q5168" i="1"/>
  <c r="V5168" i="1" s="1"/>
  <c r="Q5169" i="1"/>
  <c r="V5169" i="1" s="1"/>
  <c r="Q5170" i="1"/>
  <c r="V5170" i="1" s="1"/>
  <c r="Q5171" i="1"/>
  <c r="V5171" i="1" s="1"/>
  <c r="Q5172" i="1"/>
  <c r="V5172" i="1" s="1"/>
  <c r="Q5173" i="1"/>
  <c r="V5173" i="1" s="1"/>
  <c r="Q5174" i="1"/>
  <c r="V5174" i="1" s="1"/>
  <c r="Q5175" i="1"/>
  <c r="V5175" i="1" s="1"/>
  <c r="Q5176" i="1"/>
  <c r="V5176" i="1" s="1"/>
  <c r="Q5177" i="1"/>
  <c r="V5177" i="1" s="1"/>
  <c r="Q5178" i="1"/>
  <c r="V5178" i="1" s="1"/>
  <c r="Q5179" i="1"/>
  <c r="V5179" i="1" s="1"/>
  <c r="Q5180" i="1"/>
  <c r="V5180" i="1" s="1"/>
  <c r="Q5181" i="1"/>
  <c r="V5181" i="1" s="1"/>
  <c r="Q5182" i="1"/>
  <c r="V5182" i="1" s="1"/>
  <c r="Q5183" i="1"/>
  <c r="V5183" i="1" s="1"/>
  <c r="Q5184" i="1"/>
  <c r="V5184" i="1" s="1"/>
  <c r="Q5185" i="1"/>
  <c r="V5185" i="1" s="1"/>
  <c r="Q5186" i="1"/>
  <c r="V5186" i="1" s="1"/>
  <c r="Q5187" i="1"/>
  <c r="V5187" i="1" s="1"/>
  <c r="Q5188" i="1"/>
  <c r="V5188" i="1" s="1"/>
  <c r="Q5189" i="1"/>
  <c r="V5189" i="1" s="1"/>
  <c r="Q5190" i="1"/>
  <c r="V5190" i="1" s="1"/>
  <c r="Q5191" i="1"/>
  <c r="V5191" i="1" s="1"/>
  <c r="Q5192" i="1"/>
  <c r="V5192" i="1" s="1"/>
  <c r="Q5193" i="1"/>
  <c r="V5193" i="1" s="1"/>
  <c r="Q5194" i="1"/>
  <c r="V5194" i="1" s="1"/>
  <c r="Q5195" i="1"/>
  <c r="V5195" i="1" s="1"/>
  <c r="Q5196" i="1"/>
  <c r="V5196" i="1" s="1"/>
  <c r="Q5197" i="1"/>
  <c r="V5197" i="1" s="1"/>
  <c r="Q5198" i="1"/>
  <c r="V5198" i="1" s="1"/>
  <c r="Q5199" i="1"/>
  <c r="V5199" i="1" s="1"/>
  <c r="Q5202" i="1"/>
  <c r="V5202" i="1" s="1"/>
  <c r="Q5203" i="1"/>
  <c r="V5203" i="1" s="1"/>
  <c r="Q5204" i="1"/>
  <c r="V5204" i="1" s="1"/>
  <c r="Q5205" i="1"/>
  <c r="V5205" i="1" s="1"/>
  <c r="Q5206" i="1"/>
  <c r="V5206" i="1" s="1"/>
  <c r="Q5207" i="1"/>
  <c r="V5207" i="1" s="1"/>
  <c r="Q5208" i="1"/>
  <c r="V5208" i="1" s="1"/>
  <c r="Q5209" i="1"/>
  <c r="V5209" i="1" s="1"/>
  <c r="Q5210" i="1"/>
  <c r="V5210" i="1" s="1"/>
  <c r="Q5211" i="1"/>
  <c r="V5211" i="1" s="1"/>
  <c r="Q5212" i="1"/>
  <c r="V5212" i="1" s="1"/>
  <c r="Q5213" i="1"/>
  <c r="V5213" i="1" s="1"/>
  <c r="Q5214" i="1"/>
  <c r="V5214" i="1" s="1"/>
  <c r="Q5215" i="1"/>
  <c r="V5215" i="1" s="1"/>
  <c r="Q5216" i="1"/>
  <c r="V5216" i="1" s="1"/>
  <c r="Q5217" i="1"/>
  <c r="V5217" i="1" s="1"/>
  <c r="Q5218" i="1"/>
  <c r="V5218" i="1" s="1"/>
  <c r="Q5219" i="1"/>
  <c r="V5219" i="1" s="1"/>
  <c r="Q5220" i="1"/>
  <c r="V5220" i="1" s="1"/>
  <c r="Q5221" i="1"/>
  <c r="V5221" i="1" s="1"/>
  <c r="Q5222" i="1"/>
  <c r="V5222" i="1" s="1"/>
  <c r="Q5223" i="1"/>
  <c r="V5223" i="1" s="1"/>
  <c r="Q5224" i="1"/>
  <c r="V5224" i="1" s="1"/>
  <c r="Q5225" i="1"/>
  <c r="V5225" i="1" s="1"/>
  <c r="Q5226" i="1"/>
  <c r="V5226" i="1" s="1"/>
  <c r="Q5227" i="1"/>
  <c r="V5227" i="1" s="1"/>
  <c r="Q5228" i="1"/>
  <c r="V5228" i="1" s="1"/>
  <c r="Q5230" i="1"/>
  <c r="V5230" i="1" s="1"/>
  <c r="Q5231" i="1"/>
  <c r="V5231" i="1" s="1"/>
  <c r="Q5232" i="1"/>
  <c r="V5232" i="1" s="1"/>
  <c r="Q5233" i="1"/>
  <c r="V5233" i="1" s="1"/>
  <c r="Q5234" i="1"/>
  <c r="V5234" i="1" s="1"/>
  <c r="Q5235" i="1"/>
  <c r="V5235" i="1" s="1"/>
  <c r="Q5236" i="1"/>
  <c r="V5236" i="1" s="1"/>
  <c r="Q5237" i="1"/>
  <c r="V5237" i="1" s="1"/>
  <c r="Q5238" i="1"/>
  <c r="V5238" i="1" s="1"/>
  <c r="Q5239" i="1"/>
  <c r="V5239" i="1" s="1"/>
  <c r="Q5240" i="1"/>
  <c r="V5240" i="1" s="1"/>
  <c r="Q5241" i="1"/>
  <c r="V5241" i="1" s="1"/>
  <c r="Q5242" i="1"/>
  <c r="V5242" i="1" s="1"/>
  <c r="Q5243" i="1"/>
  <c r="V5243" i="1" s="1"/>
  <c r="Q5244" i="1"/>
  <c r="V5244" i="1" s="1"/>
  <c r="Q5245" i="1"/>
  <c r="V5245" i="1" s="1"/>
  <c r="Q5246" i="1"/>
  <c r="V5246" i="1" s="1"/>
  <c r="Q5247" i="1"/>
  <c r="V5247" i="1" s="1"/>
  <c r="Q5248" i="1"/>
  <c r="V5248" i="1" s="1"/>
  <c r="Q5249" i="1"/>
  <c r="V5249" i="1" s="1"/>
  <c r="Q5250" i="1"/>
  <c r="V5250" i="1" s="1"/>
  <c r="Q5251" i="1"/>
  <c r="V5251" i="1" s="1"/>
  <c r="Q5252" i="1"/>
  <c r="V5252" i="1" s="1"/>
  <c r="Q5254" i="1"/>
  <c r="V5254" i="1" s="1"/>
  <c r="Q5255" i="1"/>
  <c r="V5255" i="1" s="1"/>
  <c r="Q5257" i="1"/>
  <c r="V5257" i="1" s="1"/>
  <c r="Q5258" i="1"/>
  <c r="V5258" i="1" s="1"/>
  <c r="Q5259" i="1"/>
  <c r="V5259" i="1" s="1"/>
  <c r="Q5260" i="1"/>
  <c r="V5260" i="1" s="1"/>
  <c r="Q5261" i="1"/>
  <c r="V5261" i="1" s="1"/>
  <c r="Q5262" i="1"/>
  <c r="V5262" i="1" s="1"/>
  <c r="Q5263" i="1"/>
  <c r="V5263" i="1" s="1"/>
  <c r="Q5264" i="1"/>
  <c r="V5264" i="1" s="1"/>
  <c r="Q5265" i="1"/>
  <c r="V5265" i="1" s="1"/>
  <c r="Q5266" i="1"/>
  <c r="V5266" i="1" s="1"/>
  <c r="Q5267" i="1"/>
  <c r="V5267" i="1" s="1"/>
  <c r="Q5268" i="1"/>
  <c r="V5268" i="1" s="1"/>
  <c r="Q5269" i="1"/>
  <c r="V5269" i="1" s="1"/>
  <c r="Q5270" i="1"/>
  <c r="V5270" i="1" s="1"/>
  <c r="Q5271" i="1"/>
  <c r="V5271" i="1" s="1"/>
  <c r="Q5272" i="1"/>
  <c r="V5272" i="1" s="1"/>
  <c r="Q5273" i="1"/>
  <c r="V5273" i="1" s="1"/>
  <c r="Q5274" i="1"/>
  <c r="V5274" i="1" s="1"/>
  <c r="Q5275" i="1"/>
  <c r="V5275" i="1" s="1"/>
  <c r="Q5276" i="1"/>
  <c r="V5276" i="1" s="1"/>
  <c r="Q5277" i="1"/>
  <c r="V5277" i="1" s="1"/>
  <c r="Q5278" i="1"/>
  <c r="V5278" i="1" s="1"/>
  <c r="Q5279" i="1"/>
  <c r="V5279" i="1" s="1"/>
  <c r="Q5280" i="1"/>
  <c r="V5280" i="1" s="1"/>
  <c r="Q5281" i="1"/>
  <c r="V5281" i="1" s="1"/>
  <c r="Q5282" i="1"/>
  <c r="V5282" i="1" s="1"/>
  <c r="Q5283" i="1"/>
  <c r="V5283" i="1" s="1"/>
  <c r="Q5284" i="1"/>
  <c r="V5284" i="1" s="1"/>
  <c r="Q5285" i="1"/>
  <c r="V5285" i="1" s="1"/>
  <c r="Q5286" i="1"/>
  <c r="V5286" i="1" s="1"/>
  <c r="Q5287" i="1"/>
  <c r="V5287" i="1" s="1"/>
  <c r="Q5288" i="1"/>
  <c r="V5288" i="1" s="1"/>
  <c r="Q5289" i="1"/>
  <c r="V5289" i="1" s="1"/>
  <c r="Q5290" i="1"/>
  <c r="V5290" i="1" s="1"/>
  <c r="Q5291" i="1"/>
  <c r="V5291" i="1" s="1"/>
  <c r="Q5292" i="1"/>
  <c r="V5292" i="1" s="1"/>
  <c r="Q5293" i="1"/>
  <c r="V5293" i="1" s="1"/>
  <c r="Q5294" i="1"/>
  <c r="V5294" i="1" s="1"/>
  <c r="Q5295" i="1"/>
  <c r="V5295" i="1" s="1"/>
  <c r="Q5296" i="1"/>
  <c r="V5296" i="1" s="1"/>
  <c r="Q5297" i="1"/>
  <c r="V5297" i="1" s="1"/>
  <c r="Q5298" i="1"/>
  <c r="V5298" i="1" s="1"/>
  <c r="Q5299" i="1"/>
  <c r="V5299" i="1" s="1"/>
  <c r="Q5300" i="1"/>
  <c r="V5300" i="1" s="1"/>
  <c r="Q5301" i="1"/>
  <c r="V5301" i="1" s="1"/>
  <c r="Q5302" i="1"/>
  <c r="V5302" i="1" s="1"/>
  <c r="Q5303" i="1"/>
  <c r="V5303" i="1" s="1"/>
  <c r="Q5304" i="1"/>
  <c r="V5304" i="1" s="1"/>
  <c r="Q5305" i="1"/>
  <c r="V5305" i="1" s="1"/>
  <c r="Q5306" i="1"/>
  <c r="V5306" i="1" s="1"/>
  <c r="Q5307" i="1"/>
  <c r="V5307" i="1" s="1"/>
  <c r="Q5308" i="1"/>
  <c r="V5308" i="1" s="1"/>
  <c r="Q5309" i="1"/>
  <c r="V5309" i="1" s="1"/>
  <c r="Q5310" i="1"/>
  <c r="V5310" i="1" s="1"/>
  <c r="Q5311" i="1"/>
  <c r="V5311" i="1" s="1"/>
  <c r="Q5312" i="1"/>
  <c r="V5312" i="1" s="1"/>
  <c r="Q5313" i="1"/>
  <c r="V5313" i="1" s="1"/>
  <c r="Q5314" i="1"/>
  <c r="V5314" i="1" s="1"/>
  <c r="Q5315" i="1"/>
  <c r="V5315" i="1" s="1"/>
  <c r="Q5316" i="1"/>
  <c r="V5316" i="1" s="1"/>
  <c r="Q5317" i="1"/>
  <c r="V5317" i="1" s="1"/>
  <c r="Q5318" i="1"/>
  <c r="V5318" i="1" s="1"/>
  <c r="Q5319" i="1"/>
  <c r="V5319" i="1" s="1"/>
  <c r="Q5320" i="1"/>
  <c r="V5320" i="1" s="1"/>
  <c r="Q5321" i="1"/>
  <c r="V5321" i="1" s="1"/>
  <c r="Q5322" i="1"/>
  <c r="V5322" i="1" s="1"/>
  <c r="Q5323" i="1"/>
  <c r="V5323" i="1" s="1"/>
  <c r="Q5324" i="1"/>
  <c r="V5324" i="1" s="1"/>
  <c r="Q5325" i="1"/>
  <c r="V5325" i="1" s="1"/>
  <c r="Q5326" i="1"/>
  <c r="V5326" i="1" s="1"/>
  <c r="Q5327" i="1"/>
  <c r="V5327" i="1" s="1"/>
  <c r="Q5328" i="1"/>
  <c r="V5328" i="1" s="1"/>
  <c r="Q5329" i="1"/>
  <c r="V5329" i="1" s="1"/>
  <c r="Q5330" i="1"/>
  <c r="V5330" i="1" s="1"/>
  <c r="Q5331" i="1"/>
  <c r="V5331" i="1" s="1"/>
  <c r="Q5332" i="1"/>
  <c r="V5332" i="1" s="1"/>
  <c r="Q5333" i="1"/>
  <c r="V5333" i="1" s="1"/>
  <c r="Q5334" i="1"/>
  <c r="V5334" i="1" s="1"/>
  <c r="Q5335" i="1"/>
  <c r="V5335" i="1" s="1"/>
  <c r="Q5336" i="1"/>
  <c r="V5336" i="1" s="1"/>
  <c r="Q2" i="1"/>
  <c r="V2" i="1" s="1"/>
  <c r="P3" i="1"/>
  <c r="U3" i="1" s="1"/>
  <c r="P4" i="1"/>
  <c r="U4" i="1" s="1"/>
  <c r="P5" i="1"/>
  <c r="U5" i="1" s="1"/>
  <c r="P6" i="1"/>
  <c r="U6" i="1" s="1"/>
  <c r="P7" i="1"/>
  <c r="U7" i="1" s="1"/>
  <c r="P8" i="1"/>
  <c r="U8" i="1" s="1"/>
  <c r="P9" i="1"/>
  <c r="U9" i="1" s="1"/>
  <c r="P10" i="1"/>
  <c r="U10" i="1" s="1"/>
  <c r="P11" i="1"/>
  <c r="U11" i="1" s="1"/>
  <c r="P14" i="1"/>
  <c r="U14" i="1" s="1"/>
  <c r="P15" i="1"/>
  <c r="U15" i="1" s="1"/>
  <c r="P16" i="1"/>
  <c r="U16" i="1" s="1"/>
  <c r="P17" i="1"/>
  <c r="U17" i="1" s="1"/>
  <c r="P18" i="1"/>
  <c r="U18" i="1" s="1"/>
  <c r="P19" i="1"/>
  <c r="U19" i="1" s="1"/>
  <c r="P20" i="1"/>
  <c r="U20" i="1" s="1"/>
  <c r="P21" i="1"/>
  <c r="U21" i="1" s="1"/>
  <c r="P22" i="1"/>
  <c r="U22" i="1" s="1"/>
  <c r="P23" i="1"/>
  <c r="U23" i="1" s="1"/>
  <c r="P24" i="1"/>
  <c r="U24" i="1" s="1"/>
  <c r="P25" i="1"/>
  <c r="U25" i="1" s="1"/>
  <c r="P26" i="1"/>
  <c r="U26" i="1" s="1"/>
  <c r="P27" i="1"/>
  <c r="U27" i="1" s="1"/>
  <c r="P28" i="1"/>
  <c r="U28" i="1" s="1"/>
  <c r="P29" i="1"/>
  <c r="U29" i="1" s="1"/>
  <c r="P30" i="1"/>
  <c r="U30" i="1" s="1"/>
  <c r="P31" i="1"/>
  <c r="U31" i="1" s="1"/>
  <c r="P32" i="1"/>
  <c r="U32" i="1" s="1"/>
  <c r="P33" i="1"/>
  <c r="U33" i="1" s="1"/>
  <c r="P34" i="1"/>
  <c r="U34" i="1" s="1"/>
  <c r="P35" i="1"/>
  <c r="U35" i="1" s="1"/>
  <c r="P36" i="1"/>
  <c r="U36" i="1" s="1"/>
  <c r="P37" i="1"/>
  <c r="U37" i="1" s="1"/>
  <c r="P38" i="1"/>
  <c r="U38" i="1" s="1"/>
  <c r="P39" i="1"/>
  <c r="U39" i="1" s="1"/>
  <c r="P40" i="1"/>
  <c r="U40" i="1" s="1"/>
  <c r="P41" i="1"/>
  <c r="U41" i="1" s="1"/>
  <c r="P42" i="1"/>
  <c r="U42" i="1" s="1"/>
  <c r="P43" i="1"/>
  <c r="U43" i="1" s="1"/>
  <c r="P44" i="1"/>
  <c r="U44" i="1" s="1"/>
  <c r="P46" i="1"/>
  <c r="U46" i="1" s="1"/>
  <c r="P47" i="1"/>
  <c r="U47" i="1" s="1"/>
  <c r="P48" i="1"/>
  <c r="U48" i="1" s="1"/>
  <c r="P49" i="1"/>
  <c r="U49" i="1" s="1"/>
  <c r="P50" i="1"/>
  <c r="U50" i="1" s="1"/>
  <c r="P51" i="1"/>
  <c r="U51" i="1" s="1"/>
  <c r="P52" i="1"/>
  <c r="U52" i="1" s="1"/>
  <c r="P53" i="1"/>
  <c r="U53" i="1" s="1"/>
  <c r="P54" i="1"/>
  <c r="U54" i="1" s="1"/>
  <c r="P55" i="1"/>
  <c r="U55" i="1" s="1"/>
  <c r="P56" i="1"/>
  <c r="U56" i="1" s="1"/>
  <c r="P57" i="1"/>
  <c r="U57" i="1" s="1"/>
  <c r="P58" i="1"/>
  <c r="U58" i="1" s="1"/>
  <c r="P59" i="1"/>
  <c r="U59" i="1" s="1"/>
  <c r="P60" i="1"/>
  <c r="U60" i="1" s="1"/>
  <c r="P61" i="1"/>
  <c r="U61" i="1" s="1"/>
  <c r="P62" i="1"/>
  <c r="U62" i="1" s="1"/>
  <c r="P63" i="1"/>
  <c r="U63" i="1" s="1"/>
  <c r="P64" i="1"/>
  <c r="U64" i="1" s="1"/>
  <c r="P65" i="1"/>
  <c r="U65" i="1" s="1"/>
  <c r="P66" i="1"/>
  <c r="U66" i="1" s="1"/>
  <c r="P67" i="1"/>
  <c r="U67" i="1" s="1"/>
  <c r="P68" i="1"/>
  <c r="U68" i="1" s="1"/>
  <c r="P69" i="1"/>
  <c r="U69" i="1" s="1"/>
  <c r="P70" i="1"/>
  <c r="U70" i="1" s="1"/>
  <c r="P71" i="1"/>
  <c r="U71" i="1" s="1"/>
  <c r="P72" i="1"/>
  <c r="U72" i="1" s="1"/>
  <c r="P73" i="1"/>
  <c r="U73" i="1" s="1"/>
  <c r="P74" i="1"/>
  <c r="U74" i="1" s="1"/>
  <c r="P75" i="1"/>
  <c r="U75" i="1" s="1"/>
  <c r="P76" i="1"/>
  <c r="U76" i="1" s="1"/>
  <c r="P77" i="1"/>
  <c r="U77" i="1" s="1"/>
  <c r="P78" i="1"/>
  <c r="U78" i="1" s="1"/>
  <c r="P79" i="1"/>
  <c r="U79" i="1" s="1"/>
  <c r="P80" i="1"/>
  <c r="U80" i="1" s="1"/>
  <c r="P81" i="1"/>
  <c r="U81" i="1" s="1"/>
  <c r="P82" i="1"/>
  <c r="U82" i="1" s="1"/>
  <c r="P84" i="1"/>
  <c r="U84" i="1" s="1"/>
  <c r="P85" i="1"/>
  <c r="U85" i="1" s="1"/>
  <c r="P86" i="1"/>
  <c r="U86" i="1" s="1"/>
  <c r="P87" i="1"/>
  <c r="U87" i="1" s="1"/>
  <c r="P88" i="1"/>
  <c r="U88" i="1" s="1"/>
  <c r="P89" i="1"/>
  <c r="U89" i="1" s="1"/>
  <c r="P90" i="1"/>
  <c r="U90" i="1" s="1"/>
  <c r="P91" i="1"/>
  <c r="U91" i="1" s="1"/>
  <c r="P92" i="1"/>
  <c r="U92" i="1" s="1"/>
  <c r="P93" i="1"/>
  <c r="U93" i="1" s="1"/>
  <c r="P94" i="1"/>
  <c r="U94" i="1" s="1"/>
  <c r="P95" i="1"/>
  <c r="U95" i="1" s="1"/>
  <c r="P96" i="1"/>
  <c r="U96" i="1" s="1"/>
  <c r="P97" i="1"/>
  <c r="U97" i="1" s="1"/>
  <c r="P98" i="1"/>
  <c r="U98" i="1" s="1"/>
  <c r="P99" i="1"/>
  <c r="U99" i="1" s="1"/>
  <c r="P100" i="1"/>
  <c r="U100" i="1" s="1"/>
  <c r="P101" i="1"/>
  <c r="U101" i="1" s="1"/>
  <c r="P102" i="1"/>
  <c r="U102" i="1" s="1"/>
  <c r="P103" i="1"/>
  <c r="U103" i="1" s="1"/>
  <c r="P104" i="1"/>
  <c r="U104" i="1" s="1"/>
  <c r="P105" i="1"/>
  <c r="U105" i="1" s="1"/>
  <c r="P106" i="1"/>
  <c r="U106" i="1" s="1"/>
  <c r="P107" i="1"/>
  <c r="U107" i="1" s="1"/>
  <c r="P108" i="1"/>
  <c r="U108" i="1" s="1"/>
  <c r="P109" i="1"/>
  <c r="U109" i="1" s="1"/>
  <c r="P110" i="1"/>
  <c r="U110" i="1" s="1"/>
  <c r="P111" i="1"/>
  <c r="U111" i="1" s="1"/>
  <c r="P112" i="1"/>
  <c r="U112" i="1" s="1"/>
  <c r="P114" i="1"/>
  <c r="U114" i="1" s="1"/>
  <c r="P115" i="1"/>
  <c r="U115" i="1" s="1"/>
  <c r="P116" i="1"/>
  <c r="U116" i="1" s="1"/>
  <c r="P117" i="1"/>
  <c r="U117" i="1" s="1"/>
  <c r="P118" i="1"/>
  <c r="U118" i="1" s="1"/>
  <c r="P119" i="1"/>
  <c r="U119" i="1" s="1"/>
  <c r="P120" i="1"/>
  <c r="U120" i="1" s="1"/>
  <c r="P121" i="1"/>
  <c r="U121" i="1" s="1"/>
  <c r="P122" i="1"/>
  <c r="U122" i="1" s="1"/>
  <c r="P123" i="1"/>
  <c r="U123" i="1" s="1"/>
  <c r="P124" i="1"/>
  <c r="U124" i="1" s="1"/>
  <c r="P125" i="1"/>
  <c r="U125" i="1" s="1"/>
  <c r="P126" i="1"/>
  <c r="U126" i="1" s="1"/>
  <c r="P127" i="1"/>
  <c r="U127" i="1" s="1"/>
  <c r="P128" i="1"/>
  <c r="U128" i="1" s="1"/>
  <c r="P129" i="1"/>
  <c r="U129" i="1" s="1"/>
  <c r="P130" i="1"/>
  <c r="U130" i="1" s="1"/>
  <c r="P131" i="1"/>
  <c r="U131" i="1" s="1"/>
  <c r="P132" i="1"/>
  <c r="U132" i="1" s="1"/>
  <c r="P134" i="1"/>
  <c r="U134" i="1" s="1"/>
  <c r="P135" i="1"/>
  <c r="U135" i="1" s="1"/>
  <c r="P136" i="1"/>
  <c r="U136" i="1" s="1"/>
  <c r="P137" i="1"/>
  <c r="U137" i="1" s="1"/>
  <c r="P138" i="1"/>
  <c r="U138" i="1" s="1"/>
  <c r="P139" i="1"/>
  <c r="U139" i="1" s="1"/>
  <c r="P140" i="1"/>
  <c r="U140" i="1" s="1"/>
  <c r="P141" i="1"/>
  <c r="U141" i="1" s="1"/>
  <c r="P142" i="1"/>
  <c r="U142" i="1" s="1"/>
  <c r="P143" i="1"/>
  <c r="U143" i="1" s="1"/>
  <c r="P144" i="1"/>
  <c r="U144" i="1" s="1"/>
  <c r="P145" i="1"/>
  <c r="U145" i="1" s="1"/>
  <c r="P146" i="1"/>
  <c r="U146" i="1" s="1"/>
  <c r="P147" i="1"/>
  <c r="U147" i="1" s="1"/>
  <c r="P148" i="1"/>
  <c r="U148" i="1" s="1"/>
  <c r="P149" i="1"/>
  <c r="U149" i="1" s="1"/>
  <c r="P150" i="1"/>
  <c r="U150" i="1" s="1"/>
  <c r="P151" i="1"/>
  <c r="U151" i="1" s="1"/>
  <c r="P152" i="1"/>
  <c r="U152" i="1" s="1"/>
  <c r="P153" i="1"/>
  <c r="U153" i="1" s="1"/>
  <c r="P154" i="1"/>
  <c r="U154" i="1" s="1"/>
  <c r="P155" i="1"/>
  <c r="U155" i="1" s="1"/>
  <c r="P156" i="1"/>
  <c r="U156" i="1" s="1"/>
  <c r="P157" i="1"/>
  <c r="U157" i="1" s="1"/>
  <c r="P158" i="1"/>
  <c r="U158" i="1" s="1"/>
  <c r="P159" i="1"/>
  <c r="U159" i="1" s="1"/>
  <c r="P160" i="1"/>
  <c r="U160" i="1" s="1"/>
  <c r="P161" i="1"/>
  <c r="U161" i="1" s="1"/>
  <c r="P162" i="1"/>
  <c r="U162" i="1" s="1"/>
  <c r="P163" i="1"/>
  <c r="U163" i="1" s="1"/>
  <c r="P164" i="1"/>
  <c r="U164" i="1" s="1"/>
  <c r="P165" i="1"/>
  <c r="U165" i="1" s="1"/>
  <c r="P166" i="1"/>
  <c r="U166" i="1" s="1"/>
  <c r="P167" i="1"/>
  <c r="U167" i="1" s="1"/>
  <c r="P168" i="1"/>
  <c r="U168" i="1" s="1"/>
  <c r="P169" i="1"/>
  <c r="U169" i="1" s="1"/>
  <c r="P170" i="1"/>
  <c r="U170" i="1" s="1"/>
  <c r="P171" i="1"/>
  <c r="U171" i="1" s="1"/>
  <c r="P172" i="1"/>
  <c r="U172" i="1" s="1"/>
  <c r="P173" i="1"/>
  <c r="U173" i="1" s="1"/>
  <c r="P174" i="1"/>
  <c r="U174" i="1" s="1"/>
  <c r="P175" i="1"/>
  <c r="U175" i="1" s="1"/>
  <c r="P176" i="1"/>
  <c r="U176" i="1" s="1"/>
  <c r="P177" i="1"/>
  <c r="U177" i="1" s="1"/>
  <c r="P178" i="1"/>
  <c r="U178" i="1" s="1"/>
  <c r="P179" i="1"/>
  <c r="U179" i="1" s="1"/>
  <c r="P180" i="1"/>
  <c r="U180" i="1" s="1"/>
  <c r="P181" i="1"/>
  <c r="U181" i="1" s="1"/>
  <c r="P182" i="1"/>
  <c r="U182" i="1" s="1"/>
  <c r="P184" i="1"/>
  <c r="U184" i="1" s="1"/>
  <c r="P185" i="1"/>
  <c r="U185" i="1" s="1"/>
  <c r="P186" i="1"/>
  <c r="U186" i="1" s="1"/>
  <c r="P187" i="1"/>
  <c r="U187" i="1" s="1"/>
  <c r="P188" i="1"/>
  <c r="U188" i="1" s="1"/>
  <c r="P189" i="1"/>
  <c r="U189" i="1" s="1"/>
  <c r="P190" i="1"/>
  <c r="U190" i="1" s="1"/>
  <c r="P191" i="1"/>
  <c r="U191" i="1" s="1"/>
  <c r="P192" i="1"/>
  <c r="U192" i="1" s="1"/>
  <c r="P193" i="1"/>
  <c r="U193" i="1" s="1"/>
  <c r="P194" i="1"/>
  <c r="U194" i="1" s="1"/>
  <c r="P195" i="1"/>
  <c r="U195" i="1" s="1"/>
  <c r="P196" i="1"/>
  <c r="U196" i="1" s="1"/>
  <c r="P197" i="1"/>
  <c r="U197" i="1" s="1"/>
  <c r="P198" i="1"/>
  <c r="U198" i="1" s="1"/>
  <c r="P199" i="1"/>
  <c r="U199" i="1" s="1"/>
  <c r="P200" i="1"/>
  <c r="U200" i="1" s="1"/>
  <c r="P201" i="1"/>
  <c r="U201" i="1" s="1"/>
  <c r="P202" i="1"/>
  <c r="U202" i="1" s="1"/>
  <c r="P203" i="1"/>
  <c r="U203" i="1" s="1"/>
  <c r="P204" i="1"/>
  <c r="U204" i="1" s="1"/>
  <c r="P205" i="1"/>
  <c r="U205" i="1" s="1"/>
  <c r="P206" i="1"/>
  <c r="U206" i="1" s="1"/>
  <c r="P207" i="1"/>
  <c r="U207" i="1" s="1"/>
  <c r="P208" i="1"/>
  <c r="U208" i="1" s="1"/>
  <c r="P209" i="1"/>
  <c r="U209" i="1" s="1"/>
  <c r="P210" i="1"/>
  <c r="U210" i="1" s="1"/>
  <c r="P211" i="1"/>
  <c r="U211" i="1" s="1"/>
  <c r="P212" i="1"/>
  <c r="U212" i="1" s="1"/>
  <c r="P213" i="1"/>
  <c r="U213" i="1" s="1"/>
  <c r="P214" i="1"/>
  <c r="U214" i="1" s="1"/>
  <c r="P215" i="1"/>
  <c r="U215" i="1" s="1"/>
  <c r="P216" i="1"/>
  <c r="U216" i="1" s="1"/>
  <c r="P217" i="1"/>
  <c r="U217" i="1" s="1"/>
  <c r="P218" i="1"/>
  <c r="U218" i="1" s="1"/>
  <c r="P219" i="1"/>
  <c r="U219" i="1" s="1"/>
  <c r="P220" i="1"/>
  <c r="U220" i="1" s="1"/>
  <c r="P221" i="1"/>
  <c r="U221" i="1" s="1"/>
  <c r="P222" i="1"/>
  <c r="U222" i="1" s="1"/>
  <c r="P223" i="1"/>
  <c r="U223" i="1" s="1"/>
  <c r="P224" i="1"/>
  <c r="U224" i="1" s="1"/>
  <c r="P225" i="1"/>
  <c r="U225" i="1" s="1"/>
  <c r="P226" i="1"/>
  <c r="U226" i="1" s="1"/>
  <c r="P227" i="1"/>
  <c r="U227" i="1" s="1"/>
  <c r="P228" i="1"/>
  <c r="U228" i="1" s="1"/>
  <c r="P229" i="1"/>
  <c r="U229" i="1" s="1"/>
  <c r="P230" i="1"/>
  <c r="U230" i="1" s="1"/>
  <c r="P231" i="1"/>
  <c r="U231" i="1" s="1"/>
  <c r="P232" i="1"/>
  <c r="U232" i="1" s="1"/>
  <c r="P233" i="1"/>
  <c r="U233" i="1" s="1"/>
  <c r="P234" i="1"/>
  <c r="U234" i="1" s="1"/>
  <c r="P235" i="1"/>
  <c r="U235" i="1" s="1"/>
  <c r="P236" i="1"/>
  <c r="U236" i="1" s="1"/>
  <c r="P237" i="1"/>
  <c r="U237" i="1" s="1"/>
  <c r="P238" i="1"/>
  <c r="U238" i="1" s="1"/>
  <c r="P239" i="1"/>
  <c r="U239" i="1" s="1"/>
  <c r="P240" i="1"/>
  <c r="U240" i="1" s="1"/>
  <c r="P241" i="1"/>
  <c r="U241" i="1" s="1"/>
  <c r="P242" i="1"/>
  <c r="U242" i="1" s="1"/>
  <c r="P243" i="1"/>
  <c r="U243" i="1" s="1"/>
  <c r="P244" i="1"/>
  <c r="U244" i="1" s="1"/>
  <c r="P245" i="1"/>
  <c r="U245" i="1" s="1"/>
  <c r="P246" i="1"/>
  <c r="U246" i="1" s="1"/>
  <c r="P247" i="1"/>
  <c r="U247" i="1" s="1"/>
  <c r="P248" i="1"/>
  <c r="U248" i="1" s="1"/>
  <c r="P249" i="1"/>
  <c r="U249" i="1" s="1"/>
  <c r="P250" i="1"/>
  <c r="U250" i="1" s="1"/>
  <c r="P251" i="1"/>
  <c r="U251" i="1" s="1"/>
  <c r="P252" i="1"/>
  <c r="U252" i="1" s="1"/>
  <c r="P253" i="1"/>
  <c r="U253" i="1" s="1"/>
  <c r="P254" i="1"/>
  <c r="U254" i="1" s="1"/>
  <c r="P255" i="1"/>
  <c r="U255" i="1" s="1"/>
  <c r="P256" i="1"/>
  <c r="U256" i="1" s="1"/>
  <c r="P257" i="1"/>
  <c r="U257" i="1" s="1"/>
  <c r="P258" i="1"/>
  <c r="U258" i="1" s="1"/>
  <c r="P259" i="1"/>
  <c r="U259" i="1" s="1"/>
  <c r="P260" i="1"/>
  <c r="U260" i="1" s="1"/>
  <c r="P261" i="1"/>
  <c r="U261" i="1" s="1"/>
  <c r="P262" i="1"/>
  <c r="U262" i="1" s="1"/>
  <c r="P263" i="1"/>
  <c r="U263" i="1" s="1"/>
  <c r="P264" i="1"/>
  <c r="U264" i="1" s="1"/>
  <c r="P265" i="1"/>
  <c r="U265" i="1" s="1"/>
  <c r="P266" i="1"/>
  <c r="U266" i="1" s="1"/>
  <c r="P267" i="1"/>
  <c r="U267" i="1" s="1"/>
  <c r="P268" i="1"/>
  <c r="U268" i="1" s="1"/>
  <c r="P269" i="1"/>
  <c r="U269" i="1" s="1"/>
  <c r="P270" i="1"/>
  <c r="U270" i="1" s="1"/>
  <c r="P271" i="1"/>
  <c r="U271" i="1" s="1"/>
  <c r="P272" i="1"/>
  <c r="U272" i="1" s="1"/>
  <c r="P273" i="1"/>
  <c r="U273" i="1" s="1"/>
  <c r="P274" i="1"/>
  <c r="U274" i="1" s="1"/>
  <c r="P275" i="1"/>
  <c r="U275" i="1" s="1"/>
  <c r="P276" i="1"/>
  <c r="U276" i="1" s="1"/>
  <c r="P277" i="1"/>
  <c r="U277" i="1" s="1"/>
  <c r="P278" i="1"/>
  <c r="U278" i="1" s="1"/>
  <c r="P279" i="1"/>
  <c r="U279" i="1" s="1"/>
  <c r="P280" i="1"/>
  <c r="U280" i="1" s="1"/>
  <c r="P282" i="1"/>
  <c r="U282" i="1" s="1"/>
  <c r="P283" i="1"/>
  <c r="U283" i="1" s="1"/>
  <c r="P284" i="1"/>
  <c r="U284" i="1" s="1"/>
  <c r="P285" i="1"/>
  <c r="U285" i="1" s="1"/>
  <c r="P286" i="1"/>
  <c r="U286" i="1" s="1"/>
  <c r="P287" i="1"/>
  <c r="U287" i="1" s="1"/>
  <c r="P288" i="1"/>
  <c r="U288" i="1" s="1"/>
  <c r="P289" i="1"/>
  <c r="U289" i="1" s="1"/>
  <c r="P290" i="1"/>
  <c r="U290" i="1" s="1"/>
  <c r="P291" i="1"/>
  <c r="U291" i="1" s="1"/>
  <c r="P292" i="1"/>
  <c r="U292" i="1" s="1"/>
  <c r="P293" i="1"/>
  <c r="U293" i="1" s="1"/>
  <c r="P294" i="1"/>
  <c r="U294" i="1" s="1"/>
  <c r="P295" i="1"/>
  <c r="U295" i="1" s="1"/>
  <c r="P296" i="1"/>
  <c r="U296" i="1" s="1"/>
  <c r="P297" i="1"/>
  <c r="U297" i="1" s="1"/>
  <c r="P298" i="1"/>
  <c r="U298" i="1" s="1"/>
  <c r="P299" i="1"/>
  <c r="U299" i="1" s="1"/>
  <c r="P300" i="1"/>
  <c r="U300" i="1" s="1"/>
  <c r="P301" i="1"/>
  <c r="U301" i="1" s="1"/>
  <c r="P302" i="1"/>
  <c r="U302" i="1" s="1"/>
  <c r="P303" i="1"/>
  <c r="U303" i="1" s="1"/>
  <c r="P304" i="1"/>
  <c r="U304" i="1" s="1"/>
  <c r="P305" i="1"/>
  <c r="U305" i="1" s="1"/>
  <c r="P306" i="1"/>
  <c r="U306" i="1" s="1"/>
  <c r="P307" i="1"/>
  <c r="U307" i="1" s="1"/>
  <c r="P308" i="1"/>
  <c r="U308" i="1" s="1"/>
  <c r="P309" i="1"/>
  <c r="U309" i="1" s="1"/>
  <c r="P310" i="1"/>
  <c r="U310" i="1" s="1"/>
  <c r="P311" i="1"/>
  <c r="U311" i="1" s="1"/>
  <c r="P312" i="1"/>
  <c r="U312" i="1" s="1"/>
  <c r="P313" i="1"/>
  <c r="U313" i="1" s="1"/>
  <c r="P314" i="1"/>
  <c r="U314" i="1" s="1"/>
  <c r="P315" i="1"/>
  <c r="U315" i="1" s="1"/>
  <c r="P316" i="1"/>
  <c r="U316" i="1" s="1"/>
  <c r="P317" i="1"/>
  <c r="U317" i="1" s="1"/>
  <c r="P318" i="1"/>
  <c r="U318" i="1" s="1"/>
  <c r="P319" i="1"/>
  <c r="U319" i="1" s="1"/>
  <c r="P320" i="1"/>
  <c r="U320" i="1" s="1"/>
  <c r="P321" i="1"/>
  <c r="U321" i="1" s="1"/>
  <c r="P322" i="1"/>
  <c r="U322" i="1" s="1"/>
  <c r="P323" i="1"/>
  <c r="U323" i="1" s="1"/>
  <c r="P324" i="1"/>
  <c r="U324" i="1" s="1"/>
  <c r="P325" i="1"/>
  <c r="U325" i="1" s="1"/>
  <c r="P326" i="1"/>
  <c r="U326" i="1" s="1"/>
  <c r="P327" i="1"/>
  <c r="U327" i="1" s="1"/>
  <c r="P328" i="1"/>
  <c r="U328" i="1" s="1"/>
  <c r="P329" i="1"/>
  <c r="U329" i="1" s="1"/>
  <c r="P330" i="1"/>
  <c r="U330" i="1" s="1"/>
  <c r="P331" i="1"/>
  <c r="U331" i="1" s="1"/>
  <c r="P332" i="1"/>
  <c r="U332" i="1" s="1"/>
  <c r="P333" i="1"/>
  <c r="U333" i="1" s="1"/>
  <c r="P334" i="1"/>
  <c r="U334" i="1" s="1"/>
  <c r="P335" i="1"/>
  <c r="U335" i="1" s="1"/>
  <c r="P336" i="1"/>
  <c r="U336" i="1" s="1"/>
  <c r="P337" i="1"/>
  <c r="U337" i="1" s="1"/>
  <c r="P338" i="1"/>
  <c r="U338" i="1" s="1"/>
  <c r="P339" i="1"/>
  <c r="U339" i="1" s="1"/>
  <c r="P340" i="1"/>
  <c r="U340" i="1" s="1"/>
  <c r="P341" i="1"/>
  <c r="U341" i="1" s="1"/>
  <c r="P342" i="1"/>
  <c r="U342" i="1" s="1"/>
  <c r="P343" i="1"/>
  <c r="U343" i="1" s="1"/>
  <c r="P344" i="1"/>
  <c r="U344" i="1" s="1"/>
  <c r="P345" i="1"/>
  <c r="U345" i="1" s="1"/>
  <c r="P346" i="1"/>
  <c r="U346" i="1" s="1"/>
  <c r="P347" i="1"/>
  <c r="U347" i="1" s="1"/>
  <c r="P348" i="1"/>
  <c r="U348" i="1" s="1"/>
  <c r="P349" i="1"/>
  <c r="U349" i="1" s="1"/>
  <c r="P350" i="1"/>
  <c r="U350" i="1" s="1"/>
  <c r="P351" i="1"/>
  <c r="U351" i="1" s="1"/>
  <c r="P352" i="1"/>
  <c r="U352" i="1" s="1"/>
  <c r="P353" i="1"/>
  <c r="U353" i="1" s="1"/>
  <c r="P354" i="1"/>
  <c r="U354" i="1" s="1"/>
  <c r="P355" i="1"/>
  <c r="U355" i="1" s="1"/>
  <c r="P356" i="1"/>
  <c r="U356" i="1" s="1"/>
  <c r="P357" i="1"/>
  <c r="U357" i="1" s="1"/>
  <c r="P359" i="1"/>
  <c r="U359" i="1" s="1"/>
  <c r="P360" i="1"/>
  <c r="U360" i="1" s="1"/>
  <c r="P361" i="1"/>
  <c r="U361" i="1" s="1"/>
  <c r="P362" i="1"/>
  <c r="U362" i="1" s="1"/>
  <c r="P363" i="1"/>
  <c r="U363" i="1" s="1"/>
  <c r="P364" i="1"/>
  <c r="U364" i="1" s="1"/>
  <c r="P365" i="1"/>
  <c r="U365" i="1" s="1"/>
  <c r="P366" i="1"/>
  <c r="U366" i="1" s="1"/>
  <c r="P367" i="1"/>
  <c r="U367" i="1" s="1"/>
  <c r="P368" i="1"/>
  <c r="U368" i="1" s="1"/>
  <c r="P369" i="1"/>
  <c r="U369" i="1" s="1"/>
  <c r="P370" i="1"/>
  <c r="U370" i="1" s="1"/>
  <c r="P371" i="1"/>
  <c r="U371" i="1" s="1"/>
  <c r="P372" i="1"/>
  <c r="U372" i="1" s="1"/>
  <c r="P373" i="1"/>
  <c r="U373" i="1" s="1"/>
  <c r="P374" i="1"/>
  <c r="U374" i="1" s="1"/>
  <c r="P375" i="1"/>
  <c r="U375" i="1" s="1"/>
  <c r="P376" i="1"/>
  <c r="U376" i="1" s="1"/>
  <c r="P377" i="1"/>
  <c r="U377" i="1" s="1"/>
  <c r="P378" i="1"/>
  <c r="U378" i="1" s="1"/>
  <c r="P379" i="1"/>
  <c r="U379" i="1" s="1"/>
  <c r="P380" i="1"/>
  <c r="U380" i="1" s="1"/>
  <c r="P381" i="1"/>
  <c r="U381" i="1" s="1"/>
  <c r="P382" i="1"/>
  <c r="U382" i="1" s="1"/>
  <c r="P383" i="1"/>
  <c r="U383" i="1" s="1"/>
  <c r="P384" i="1"/>
  <c r="U384" i="1" s="1"/>
  <c r="P385" i="1"/>
  <c r="U385" i="1" s="1"/>
  <c r="P386" i="1"/>
  <c r="U386" i="1" s="1"/>
  <c r="P387" i="1"/>
  <c r="U387" i="1" s="1"/>
  <c r="P388" i="1"/>
  <c r="U388" i="1" s="1"/>
  <c r="P389" i="1"/>
  <c r="U389" i="1" s="1"/>
  <c r="P390" i="1"/>
  <c r="U390" i="1" s="1"/>
  <c r="P391" i="1"/>
  <c r="U391" i="1" s="1"/>
  <c r="P392" i="1"/>
  <c r="U392" i="1" s="1"/>
  <c r="P393" i="1"/>
  <c r="U393" i="1" s="1"/>
  <c r="P394" i="1"/>
  <c r="U394" i="1" s="1"/>
  <c r="P395" i="1"/>
  <c r="U395" i="1" s="1"/>
  <c r="P396" i="1"/>
  <c r="U396" i="1" s="1"/>
  <c r="P397" i="1"/>
  <c r="U397" i="1" s="1"/>
  <c r="P398" i="1"/>
  <c r="U398" i="1" s="1"/>
  <c r="P399" i="1"/>
  <c r="U399" i="1" s="1"/>
  <c r="P400" i="1"/>
  <c r="U400" i="1" s="1"/>
  <c r="P401" i="1"/>
  <c r="U401" i="1" s="1"/>
  <c r="P402" i="1"/>
  <c r="U402" i="1" s="1"/>
  <c r="P403" i="1"/>
  <c r="U403" i="1" s="1"/>
  <c r="P404" i="1"/>
  <c r="U404" i="1" s="1"/>
  <c r="P405" i="1"/>
  <c r="U405" i="1" s="1"/>
  <c r="P406" i="1"/>
  <c r="U406" i="1" s="1"/>
  <c r="P407" i="1"/>
  <c r="U407" i="1" s="1"/>
  <c r="P408" i="1"/>
  <c r="U408" i="1" s="1"/>
  <c r="P409" i="1"/>
  <c r="U409" i="1" s="1"/>
  <c r="P410" i="1"/>
  <c r="U410" i="1" s="1"/>
  <c r="P411" i="1"/>
  <c r="U411" i="1" s="1"/>
  <c r="P412" i="1"/>
  <c r="U412" i="1" s="1"/>
  <c r="P413" i="1"/>
  <c r="U413" i="1" s="1"/>
  <c r="P414" i="1"/>
  <c r="U414" i="1" s="1"/>
  <c r="P415" i="1"/>
  <c r="U415" i="1" s="1"/>
  <c r="P416" i="1"/>
  <c r="U416" i="1" s="1"/>
  <c r="P417" i="1"/>
  <c r="U417" i="1" s="1"/>
  <c r="P418" i="1"/>
  <c r="U418" i="1" s="1"/>
  <c r="P419" i="1"/>
  <c r="U419" i="1" s="1"/>
  <c r="P420" i="1"/>
  <c r="U420" i="1" s="1"/>
  <c r="P421" i="1"/>
  <c r="U421" i="1" s="1"/>
  <c r="P422" i="1"/>
  <c r="U422" i="1" s="1"/>
  <c r="P423" i="1"/>
  <c r="U423" i="1" s="1"/>
  <c r="P424" i="1"/>
  <c r="U424" i="1" s="1"/>
  <c r="P425" i="1"/>
  <c r="U425" i="1" s="1"/>
  <c r="P426" i="1"/>
  <c r="U426" i="1" s="1"/>
  <c r="P427" i="1"/>
  <c r="U427" i="1" s="1"/>
  <c r="P428" i="1"/>
  <c r="U428" i="1" s="1"/>
  <c r="P429" i="1"/>
  <c r="U429" i="1" s="1"/>
  <c r="P430" i="1"/>
  <c r="U430" i="1" s="1"/>
  <c r="P431" i="1"/>
  <c r="U431" i="1" s="1"/>
  <c r="P432" i="1"/>
  <c r="U432" i="1" s="1"/>
  <c r="P433" i="1"/>
  <c r="U433" i="1" s="1"/>
  <c r="P434" i="1"/>
  <c r="U434" i="1" s="1"/>
  <c r="P435" i="1"/>
  <c r="U435" i="1" s="1"/>
  <c r="P436" i="1"/>
  <c r="U436" i="1" s="1"/>
  <c r="P437" i="1"/>
  <c r="U437" i="1" s="1"/>
  <c r="P438" i="1"/>
  <c r="U438" i="1" s="1"/>
  <c r="P439" i="1"/>
  <c r="U439" i="1" s="1"/>
  <c r="P440" i="1"/>
  <c r="U440" i="1" s="1"/>
  <c r="P441" i="1"/>
  <c r="U441" i="1" s="1"/>
  <c r="P442" i="1"/>
  <c r="U442" i="1" s="1"/>
  <c r="P443" i="1"/>
  <c r="U443" i="1" s="1"/>
  <c r="P444" i="1"/>
  <c r="U444" i="1" s="1"/>
  <c r="P445" i="1"/>
  <c r="U445" i="1" s="1"/>
  <c r="P446" i="1"/>
  <c r="U446" i="1" s="1"/>
  <c r="P447" i="1"/>
  <c r="U447" i="1" s="1"/>
  <c r="P448" i="1"/>
  <c r="U448" i="1" s="1"/>
  <c r="P449" i="1"/>
  <c r="U449" i="1" s="1"/>
  <c r="P450" i="1"/>
  <c r="U450" i="1" s="1"/>
  <c r="P451" i="1"/>
  <c r="U451" i="1" s="1"/>
  <c r="P452" i="1"/>
  <c r="U452" i="1" s="1"/>
  <c r="P453" i="1"/>
  <c r="U453" i="1" s="1"/>
  <c r="P454" i="1"/>
  <c r="U454" i="1" s="1"/>
  <c r="P455" i="1"/>
  <c r="U455" i="1" s="1"/>
  <c r="P456" i="1"/>
  <c r="U456" i="1" s="1"/>
  <c r="P457" i="1"/>
  <c r="U457" i="1" s="1"/>
  <c r="P458" i="1"/>
  <c r="U458" i="1" s="1"/>
  <c r="P459" i="1"/>
  <c r="U459" i="1" s="1"/>
  <c r="P460" i="1"/>
  <c r="U460" i="1" s="1"/>
  <c r="P461" i="1"/>
  <c r="U461" i="1" s="1"/>
  <c r="P462" i="1"/>
  <c r="U462" i="1" s="1"/>
  <c r="P463" i="1"/>
  <c r="U463" i="1" s="1"/>
  <c r="P464" i="1"/>
  <c r="U464" i="1" s="1"/>
  <c r="P465" i="1"/>
  <c r="U465" i="1" s="1"/>
  <c r="P466" i="1"/>
  <c r="U466" i="1" s="1"/>
  <c r="P467" i="1"/>
  <c r="U467" i="1" s="1"/>
  <c r="P468" i="1"/>
  <c r="U468" i="1" s="1"/>
  <c r="P469" i="1"/>
  <c r="U469" i="1" s="1"/>
  <c r="P470" i="1"/>
  <c r="U470" i="1" s="1"/>
  <c r="P471" i="1"/>
  <c r="U471" i="1" s="1"/>
  <c r="P472" i="1"/>
  <c r="U472" i="1" s="1"/>
  <c r="P473" i="1"/>
  <c r="U473" i="1" s="1"/>
  <c r="P474" i="1"/>
  <c r="U474" i="1" s="1"/>
  <c r="P475" i="1"/>
  <c r="U475" i="1" s="1"/>
  <c r="P476" i="1"/>
  <c r="U476" i="1" s="1"/>
  <c r="P477" i="1"/>
  <c r="U477" i="1" s="1"/>
  <c r="P478" i="1"/>
  <c r="U478" i="1" s="1"/>
  <c r="P479" i="1"/>
  <c r="U479" i="1" s="1"/>
  <c r="P480" i="1"/>
  <c r="U480" i="1" s="1"/>
  <c r="P481" i="1"/>
  <c r="U481" i="1" s="1"/>
  <c r="P482" i="1"/>
  <c r="U482" i="1" s="1"/>
  <c r="P483" i="1"/>
  <c r="U483" i="1" s="1"/>
  <c r="P484" i="1"/>
  <c r="U484" i="1" s="1"/>
  <c r="P485" i="1"/>
  <c r="U485" i="1" s="1"/>
  <c r="P486" i="1"/>
  <c r="U486" i="1" s="1"/>
  <c r="P487" i="1"/>
  <c r="U487" i="1" s="1"/>
  <c r="P488" i="1"/>
  <c r="U488" i="1" s="1"/>
  <c r="P489" i="1"/>
  <c r="U489" i="1" s="1"/>
  <c r="P490" i="1"/>
  <c r="U490" i="1" s="1"/>
  <c r="P491" i="1"/>
  <c r="U491" i="1" s="1"/>
  <c r="P492" i="1"/>
  <c r="U492" i="1" s="1"/>
  <c r="P493" i="1"/>
  <c r="U493" i="1" s="1"/>
  <c r="P494" i="1"/>
  <c r="U494" i="1" s="1"/>
  <c r="P495" i="1"/>
  <c r="U495" i="1" s="1"/>
  <c r="P496" i="1"/>
  <c r="U496" i="1" s="1"/>
  <c r="P497" i="1"/>
  <c r="U497" i="1" s="1"/>
  <c r="P498" i="1"/>
  <c r="U498" i="1" s="1"/>
  <c r="P499" i="1"/>
  <c r="U499" i="1" s="1"/>
  <c r="P500" i="1"/>
  <c r="U500" i="1" s="1"/>
  <c r="P501" i="1"/>
  <c r="U501" i="1" s="1"/>
  <c r="P502" i="1"/>
  <c r="U502" i="1" s="1"/>
  <c r="P503" i="1"/>
  <c r="U503" i="1" s="1"/>
  <c r="P504" i="1"/>
  <c r="U504" i="1" s="1"/>
  <c r="P505" i="1"/>
  <c r="U505" i="1" s="1"/>
  <c r="P506" i="1"/>
  <c r="U506" i="1" s="1"/>
  <c r="P507" i="1"/>
  <c r="U507" i="1" s="1"/>
  <c r="P508" i="1"/>
  <c r="U508" i="1" s="1"/>
  <c r="P509" i="1"/>
  <c r="U509" i="1" s="1"/>
  <c r="P510" i="1"/>
  <c r="U510" i="1" s="1"/>
  <c r="P511" i="1"/>
  <c r="U511" i="1" s="1"/>
  <c r="P512" i="1"/>
  <c r="U512" i="1" s="1"/>
  <c r="P513" i="1"/>
  <c r="U513" i="1" s="1"/>
  <c r="P514" i="1"/>
  <c r="U514" i="1" s="1"/>
  <c r="P515" i="1"/>
  <c r="U515" i="1" s="1"/>
  <c r="P516" i="1"/>
  <c r="U516" i="1" s="1"/>
  <c r="P517" i="1"/>
  <c r="U517" i="1" s="1"/>
  <c r="P518" i="1"/>
  <c r="U518" i="1" s="1"/>
  <c r="P519" i="1"/>
  <c r="U519" i="1" s="1"/>
  <c r="P520" i="1"/>
  <c r="U520" i="1" s="1"/>
  <c r="P521" i="1"/>
  <c r="U521" i="1" s="1"/>
  <c r="P522" i="1"/>
  <c r="U522" i="1" s="1"/>
  <c r="P523" i="1"/>
  <c r="U523" i="1" s="1"/>
  <c r="P524" i="1"/>
  <c r="U524" i="1" s="1"/>
  <c r="P525" i="1"/>
  <c r="U525" i="1" s="1"/>
  <c r="P526" i="1"/>
  <c r="U526" i="1" s="1"/>
  <c r="P527" i="1"/>
  <c r="U527" i="1" s="1"/>
  <c r="P528" i="1"/>
  <c r="U528" i="1" s="1"/>
  <c r="P529" i="1"/>
  <c r="U529" i="1" s="1"/>
  <c r="P530" i="1"/>
  <c r="U530" i="1" s="1"/>
  <c r="P531" i="1"/>
  <c r="U531" i="1" s="1"/>
  <c r="P532" i="1"/>
  <c r="U532" i="1" s="1"/>
  <c r="P533" i="1"/>
  <c r="U533" i="1" s="1"/>
  <c r="P534" i="1"/>
  <c r="U534" i="1" s="1"/>
  <c r="P535" i="1"/>
  <c r="U535" i="1" s="1"/>
  <c r="P536" i="1"/>
  <c r="U536" i="1" s="1"/>
  <c r="P537" i="1"/>
  <c r="U537" i="1" s="1"/>
  <c r="P538" i="1"/>
  <c r="U538" i="1" s="1"/>
  <c r="P539" i="1"/>
  <c r="U539" i="1" s="1"/>
  <c r="P540" i="1"/>
  <c r="U540" i="1" s="1"/>
  <c r="P541" i="1"/>
  <c r="U541" i="1" s="1"/>
  <c r="P542" i="1"/>
  <c r="U542" i="1" s="1"/>
  <c r="P543" i="1"/>
  <c r="U543" i="1" s="1"/>
  <c r="P544" i="1"/>
  <c r="U544" i="1" s="1"/>
  <c r="P545" i="1"/>
  <c r="U545" i="1" s="1"/>
  <c r="P546" i="1"/>
  <c r="U546" i="1" s="1"/>
  <c r="P547" i="1"/>
  <c r="U547" i="1" s="1"/>
  <c r="P548" i="1"/>
  <c r="U548" i="1" s="1"/>
  <c r="P549" i="1"/>
  <c r="U549" i="1" s="1"/>
  <c r="P550" i="1"/>
  <c r="U550" i="1" s="1"/>
  <c r="P551" i="1"/>
  <c r="U551" i="1" s="1"/>
  <c r="P552" i="1"/>
  <c r="U552" i="1" s="1"/>
  <c r="P553" i="1"/>
  <c r="U553" i="1" s="1"/>
  <c r="P554" i="1"/>
  <c r="U554" i="1" s="1"/>
  <c r="P555" i="1"/>
  <c r="U555" i="1" s="1"/>
  <c r="P556" i="1"/>
  <c r="U556" i="1" s="1"/>
  <c r="P557" i="1"/>
  <c r="U557" i="1" s="1"/>
  <c r="P558" i="1"/>
  <c r="U558" i="1" s="1"/>
  <c r="P559" i="1"/>
  <c r="U559" i="1" s="1"/>
  <c r="P560" i="1"/>
  <c r="U560" i="1" s="1"/>
  <c r="P561" i="1"/>
  <c r="U561" i="1" s="1"/>
  <c r="P562" i="1"/>
  <c r="U562" i="1" s="1"/>
  <c r="P563" i="1"/>
  <c r="U563" i="1" s="1"/>
  <c r="P564" i="1"/>
  <c r="U564" i="1" s="1"/>
  <c r="P565" i="1"/>
  <c r="U565" i="1" s="1"/>
  <c r="P566" i="1"/>
  <c r="U566" i="1" s="1"/>
  <c r="P567" i="1"/>
  <c r="U567" i="1" s="1"/>
  <c r="P568" i="1"/>
  <c r="U568" i="1" s="1"/>
  <c r="P569" i="1"/>
  <c r="U569" i="1" s="1"/>
  <c r="P570" i="1"/>
  <c r="U570" i="1" s="1"/>
  <c r="P571" i="1"/>
  <c r="U571" i="1" s="1"/>
  <c r="P572" i="1"/>
  <c r="U572" i="1" s="1"/>
  <c r="P573" i="1"/>
  <c r="U573" i="1" s="1"/>
  <c r="P574" i="1"/>
  <c r="U574" i="1" s="1"/>
  <c r="P575" i="1"/>
  <c r="U575" i="1" s="1"/>
  <c r="P576" i="1"/>
  <c r="U576" i="1" s="1"/>
  <c r="P577" i="1"/>
  <c r="U577" i="1" s="1"/>
  <c r="P578" i="1"/>
  <c r="U578" i="1" s="1"/>
  <c r="P579" i="1"/>
  <c r="U579" i="1" s="1"/>
  <c r="P580" i="1"/>
  <c r="U580" i="1" s="1"/>
  <c r="P581" i="1"/>
  <c r="U581" i="1" s="1"/>
  <c r="P582" i="1"/>
  <c r="U582" i="1" s="1"/>
  <c r="P583" i="1"/>
  <c r="U583" i="1" s="1"/>
  <c r="P584" i="1"/>
  <c r="U584" i="1" s="1"/>
  <c r="P585" i="1"/>
  <c r="U585" i="1" s="1"/>
  <c r="P586" i="1"/>
  <c r="U586" i="1" s="1"/>
  <c r="P587" i="1"/>
  <c r="U587" i="1" s="1"/>
  <c r="P588" i="1"/>
  <c r="U588" i="1" s="1"/>
  <c r="P589" i="1"/>
  <c r="U589" i="1" s="1"/>
  <c r="P590" i="1"/>
  <c r="U590" i="1" s="1"/>
  <c r="P591" i="1"/>
  <c r="U591" i="1" s="1"/>
  <c r="P592" i="1"/>
  <c r="U592" i="1" s="1"/>
  <c r="P593" i="1"/>
  <c r="U593" i="1" s="1"/>
  <c r="P594" i="1"/>
  <c r="U594" i="1" s="1"/>
  <c r="P595" i="1"/>
  <c r="U595" i="1" s="1"/>
  <c r="P596" i="1"/>
  <c r="U596" i="1" s="1"/>
  <c r="P597" i="1"/>
  <c r="U597" i="1" s="1"/>
  <c r="P598" i="1"/>
  <c r="U598" i="1" s="1"/>
  <c r="P599" i="1"/>
  <c r="U599" i="1" s="1"/>
  <c r="P600" i="1"/>
  <c r="U600" i="1" s="1"/>
  <c r="P601" i="1"/>
  <c r="U601" i="1" s="1"/>
  <c r="P602" i="1"/>
  <c r="U602" i="1" s="1"/>
  <c r="P603" i="1"/>
  <c r="U603" i="1" s="1"/>
  <c r="P604" i="1"/>
  <c r="U604" i="1" s="1"/>
  <c r="P605" i="1"/>
  <c r="U605" i="1" s="1"/>
  <c r="P606" i="1"/>
  <c r="U606" i="1" s="1"/>
  <c r="P607" i="1"/>
  <c r="U607" i="1" s="1"/>
  <c r="P608" i="1"/>
  <c r="U608" i="1" s="1"/>
  <c r="P609" i="1"/>
  <c r="U609" i="1" s="1"/>
  <c r="P610" i="1"/>
  <c r="U610" i="1" s="1"/>
  <c r="P611" i="1"/>
  <c r="U611" i="1" s="1"/>
  <c r="P612" i="1"/>
  <c r="U612" i="1" s="1"/>
  <c r="P613" i="1"/>
  <c r="U613" i="1" s="1"/>
  <c r="P614" i="1"/>
  <c r="U614" i="1" s="1"/>
  <c r="P615" i="1"/>
  <c r="U615" i="1" s="1"/>
  <c r="P616" i="1"/>
  <c r="U616" i="1" s="1"/>
  <c r="P617" i="1"/>
  <c r="U617" i="1" s="1"/>
  <c r="P618" i="1"/>
  <c r="U618" i="1" s="1"/>
  <c r="P619" i="1"/>
  <c r="U619" i="1" s="1"/>
  <c r="P620" i="1"/>
  <c r="U620" i="1" s="1"/>
  <c r="P621" i="1"/>
  <c r="U621" i="1" s="1"/>
  <c r="P622" i="1"/>
  <c r="U622" i="1" s="1"/>
  <c r="P623" i="1"/>
  <c r="U623" i="1" s="1"/>
  <c r="P624" i="1"/>
  <c r="U624" i="1" s="1"/>
  <c r="P625" i="1"/>
  <c r="U625" i="1" s="1"/>
  <c r="P626" i="1"/>
  <c r="U626" i="1" s="1"/>
  <c r="P627" i="1"/>
  <c r="U627" i="1" s="1"/>
  <c r="P628" i="1"/>
  <c r="U628" i="1" s="1"/>
  <c r="P629" i="1"/>
  <c r="U629" i="1" s="1"/>
  <c r="P630" i="1"/>
  <c r="U630" i="1" s="1"/>
  <c r="P631" i="1"/>
  <c r="U631" i="1" s="1"/>
  <c r="P632" i="1"/>
  <c r="U632" i="1" s="1"/>
  <c r="P633" i="1"/>
  <c r="U633" i="1" s="1"/>
  <c r="P634" i="1"/>
  <c r="U634" i="1" s="1"/>
  <c r="P635" i="1"/>
  <c r="U635" i="1" s="1"/>
  <c r="P636" i="1"/>
  <c r="U636" i="1" s="1"/>
  <c r="P637" i="1"/>
  <c r="U637" i="1" s="1"/>
  <c r="P638" i="1"/>
  <c r="U638" i="1" s="1"/>
  <c r="P639" i="1"/>
  <c r="U639" i="1" s="1"/>
  <c r="P640" i="1"/>
  <c r="U640" i="1" s="1"/>
  <c r="P641" i="1"/>
  <c r="U641" i="1" s="1"/>
  <c r="P642" i="1"/>
  <c r="U642" i="1" s="1"/>
  <c r="P643" i="1"/>
  <c r="U643" i="1" s="1"/>
  <c r="P644" i="1"/>
  <c r="U644" i="1" s="1"/>
  <c r="P645" i="1"/>
  <c r="U645" i="1" s="1"/>
  <c r="P646" i="1"/>
  <c r="U646" i="1" s="1"/>
  <c r="P647" i="1"/>
  <c r="U647" i="1" s="1"/>
  <c r="P648" i="1"/>
  <c r="U648" i="1" s="1"/>
  <c r="P649" i="1"/>
  <c r="U649" i="1" s="1"/>
  <c r="P650" i="1"/>
  <c r="U650" i="1" s="1"/>
  <c r="P651" i="1"/>
  <c r="U651" i="1" s="1"/>
  <c r="P652" i="1"/>
  <c r="U652" i="1" s="1"/>
  <c r="P653" i="1"/>
  <c r="U653" i="1" s="1"/>
  <c r="P654" i="1"/>
  <c r="U654" i="1" s="1"/>
  <c r="P655" i="1"/>
  <c r="U655" i="1" s="1"/>
  <c r="P656" i="1"/>
  <c r="U656" i="1" s="1"/>
  <c r="P657" i="1"/>
  <c r="U657" i="1" s="1"/>
  <c r="P658" i="1"/>
  <c r="U658" i="1" s="1"/>
  <c r="P659" i="1"/>
  <c r="U659" i="1" s="1"/>
  <c r="P660" i="1"/>
  <c r="U660" i="1" s="1"/>
  <c r="P661" i="1"/>
  <c r="U661" i="1" s="1"/>
  <c r="P662" i="1"/>
  <c r="U662" i="1" s="1"/>
  <c r="P663" i="1"/>
  <c r="U663" i="1" s="1"/>
  <c r="P664" i="1"/>
  <c r="U664" i="1" s="1"/>
  <c r="P665" i="1"/>
  <c r="U665" i="1" s="1"/>
  <c r="P666" i="1"/>
  <c r="U666" i="1" s="1"/>
  <c r="P667" i="1"/>
  <c r="U667" i="1" s="1"/>
  <c r="P668" i="1"/>
  <c r="U668" i="1" s="1"/>
  <c r="P669" i="1"/>
  <c r="U669" i="1" s="1"/>
  <c r="P670" i="1"/>
  <c r="U670" i="1" s="1"/>
  <c r="P671" i="1"/>
  <c r="U671" i="1" s="1"/>
  <c r="P672" i="1"/>
  <c r="U672" i="1" s="1"/>
  <c r="P673" i="1"/>
  <c r="U673" i="1" s="1"/>
  <c r="P674" i="1"/>
  <c r="U674" i="1" s="1"/>
  <c r="P675" i="1"/>
  <c r="U675" i="1" s="1"/>
  <c r="P676" i="1"/>
  <c r="U676" i="1" s="1"/>
  <c r="P677" i="1"/>
  <c r="U677" i="1" s="1"/>
  <c r="P678" i="1"/>
  <c r="U678" i="1" s="1"/>
  <c r="P679" i="1"/>
  <c r="U679" i="1" s="1"/>
  <c r="P680" i="1"/>
  <c r="U680" i="1" s="1"/>
  <c r="P681" i="1"/>
  <c r="U681" i="1" s="1"/>
  <c r="P682" i="1"/>
  <c r="U682" i="1" s="1"/>
  <c r="P683" i="1"/>
  <c r="U683" i="1" s="1"/>
  <c r="P684" i="1"/>
  <c r="U684" i="1" s="1"/>
  <c r="P685" i="1"/>
  <c r="U685" i="1" s="1"/>
  <c r="P686" i="1"/>
  <c r="U686" i="1" s="1"/>
  <c r="P687" i="1"/>
  <c r="U687" i="1" s="1"/>
  <c r="P688" i="1"/>
  <c r="U688" i="1" s="1"/>
  <c r="P689" i="1"/>
  <c r="U689" i="1" s="1"/>
  <c r="P690" i="1"/>
  <c r="U690" i="1" s="1"/>
  <c r="P691" i="1"/>
  <c r="U691" i="1" s="1"/>
  <c r="P692" i="1"/>
  <c r="U692" i="1" s="1"/>
  <c r="P693" i="1"/>
  <c r="U693" i="1" s="1"/>
  <c r="P694" i="1"/>
  <c r="U694" i="1" s="1"/>
  <c r="P695" i="1"/>
  <c r="U695" i="1" s="1"/>
  <c r="P696" i="1"/>
  <c r="U696" i="1" s="1"/>
  <c r="P697" i="1"/>
  <c r="U697" i="1" s="1"/>
  <c r="P698" i="1"/>
  <c r="U698" i="1" s="1"/>
  <c r="P699" i="1"/>
  <c r="U699" i="1" s="1"/>
  <c r="P700" i="1"/>
  <c r="U700" i="1" s="1"/>
  <c r="P701" i="1"/>
  <c r="U701" i="1" s="1"/>
  <c r="P702" i="1"/>
  <c r="U702" i="1" s="1"/>
  <c r="P703" i="1"/>
  <c r="U703" i="1" s="1"/>
  <c r="P704" i="1"/>
  <c r="U704" i="1" s="1"/>
  <c r="P705" i="1"/>
  <c r="U705" i="1" s="1"/>
  <c r="P706" i="1"/>
  <c r="U706" i="1" s="1"/>
  <c r="P707" i="1"/>
  <c r="U707" i="1" s="1"/>
  <c r="P708" i="1"/>
  <c r="U708" i="1" s="1"/>
  <c r="P709" i="1"/>
  <c r="U709" i="1" s="1"/>
  <c r="P710" i="1"/>
  <c r="U710" i="1" s="1"/>
  <c r="P711" i="1"/>
  <c r="U711" i="1" s="1"/>
  <c r="P712" i="1"/>
  <c r="U712" i="1" s="1"/>
  <c r="P713" i="1"/>
  <c r="U713" i="1" s="1"/>
  <c r="P714" i="1"/>
  <c r="U714" i="1" s="1"/>
  <c r="P715" i="1"/>
  <c r="U715" i="1" s="1"/>
  <c r="P716" i="1"/>
  <c r="U716" i="1" s="1"/>
  <c r="P717" i="1"/>
  <c r="U717" i="1" s="1"/>
  <c r="P718" i="1"/>
  <c r="U718" i="1" s="1"/>
  <c r="P719" i="1"/>
  <c r="U719" i="1" s="1"/>
  <c r="P720" i="1"/>
  <c r="U720" i="1" s="1"/>
  <c r="P722" i="1"/>
  <c r="U722" i="1" s="1"/>
  <c r="P723" i="1"/>
  <c r="U723" i="1" s="1"/>
  <c r="P725" i="1"/>
  <c r="U725" i="1" s="1"/>
  <c r="P726" i="1"/>
  <c r="U726" i="1" s="1"/>
  <c r="P727" i="1"/>
  <c r="U727" i="1" s="1"/>
  <c r="P728" i="1"/>
  <c r="U728" i="1" s="1"/>
  <c r="P729" i="1"/>
  <c r="U729" i="1" s="1"/>
  <c r="P730" i="1"/>
  <c r="U730" i="1" s="1"/>
  <c r="P731" i="1"/>
  <c r="U731" i="1" s="1"/>
  <c r="P732" i="1"/>
  <c r="U732" i="1" s="1"/>
  <c r="P733" i="1"/>
  <c r="U733" i="1" s="1"/>
  <c r="P734" i="1"/>
  <c r="U734" i="1" s="1"/>
  <c r="P735" i="1"/>
  <c r="U735" i="1" s="1"/>
  <c r="P736" i="1"/>
  <c r="U736" i="1" s="1"/>
  <c r="P737" i="1"/>
  <c r="U737" i="1" s="1"/>
  <c r="P738" i="1"/>
  <c r="U738" i="1" s="1"/>
  <c r="P739" i="1"/>
  <c r="U739" i="1" s="1"/>
  <c r="P740" i="1"/>
  <c r="U740" i="1" s="1"/>
  <c r="P741" i="1"/>
  <c r="U741" i="1" s="1"/>
  <c r="P742" i="1"/>
  <c r="U742" i="1" s="1"/>
  <c r="P743" i="1"/>
  <c r="U743" i="1" s="1"/>
  <c r="P744" i="1"/>
  <c r="U744" i="1" s="1"/>
  <c r="P745" i="1"/>
  <c r="U745" i="1" s="1"/>
  <c r="P746" i="1"/>
  <c r="U746" i="1" s="1"/>
  <c r="P747" i="1"/>
  <c r="U747" i="1" s="1"/>
  <c r="P748" i="1"/>
  <c r="U748" i="1" s="1"/>
  <c r="P749" i="1"/>
  <c r="U749" i="1" s="1"/>
  <c r="P750" i="1"/>
  <c r="U750" i="1" s="1"/>
  <c r="P751" i="1"/>
  <c r="U751" i="1" s="1"/>
  <c r="P752" i="1"/>
  <c r="U752" i="1" s="1"/>
  <c r="P753" i="1"/>
  <c r="U753" i="1" s="1"/>
  <c r="P754" i="1"/>
  <c r="U754" i="1" s="1"/>
  <c r="P755" i="1"/>
  <c r="U755" i="1" s="1"/>
  <c r="P756" i="1"/>
  <c r="U756" i="1" s="1"/>
  <c r="P757" i="1"/>
  <c r="U757" i="1" s="1"/>
  <c r="P758" i="1"/>
  <c r="U758" i="1" s="1"/>
  <c r="P759" i="1"/>
  <c r="U759" i="1" s="1"/>
  <c r="P760" i="1"/>
  <c r="U760" i="1" s="1"/>
  <c r="P761" i="1"/>
  <c r="U761" i="1" s="1"/>
  <c r="P762" i="1"/>
  <c r="U762" i="1" s="1"/>
  <c r="P763" i="1"/>
  <c r="U763" i="1" s="1"/>
  <c r="P764" i="1"/>
  <c r="U764" i="1" s="1"/>
  <c r="P765" i="1"/>
  <c r="U765" i="1" s="1"/>
  <c r="P766" i="1"/>
  <c r="U766" i="1" s="1"/>
  <c r="P767" i="1"/>
  <c r="U767" i="1" s="1"/>
  <c r="P768" i="1"/>
  <c r="U768" i="1" s="1"/>
  <c r="P769" i="1"/>
  <c r="U769" i="1" s="1"/>
  <c r="P770" i="1"/>
  <c r="U770" i="1" s="1"/>
  <c r="P771" i="1"/>
  <c r="U771" i="1" s="1"/>
  <c r="P772" i="1"/>
  <c r="U772" i="1" s="1"/>
  <c r="P773" i="1"/>
  <c r="U773" i="1" s="1"/>
  <c r="P774" i="1"/>
  <c r="U774" i="1" s="1"/>
  <c r="P775" i="1"/>
  <c r="U775" i="1" s="1"/>
  <c r="P776" i="1"/>
  <c r="U776" i="1" s="1"/>
  <c r="P777" i="1"/>
  <c r="U777" i="1" s="1"/>
  <c r="P778" i="1"/>
  <c r="U778" i="1" s="1"/>
  <c r="P779" i="1"/>
  <c r="U779" i="1" s="1"/>
  <c r="P780" i="1"/>
  <c r="U780" i="1" s="1"/>
  <c r="P781" i="1"/>
  <c r="U781" i="1" s="1"/>
  <c r="P782" i="1"/>
  <c r="U782" i="1" s="1"/>
  <c r="P783" i="1"/>
  <c r="U783" i="1" s="1"/>
  <c r="P784" i="1"/>
  <c r="U784" i="1" s="1"/>
  <c r="P785" i="1"/>
  <c r="U785" i="1" s="1"/>
  <c r="P786" i="1"/>
  <c r="U786" i="1" s="1"/>
  <c r="P787" i="1"/>
  <c r="U787" i="1" s="1"/>
  <c r="P788" i="1"/>
  <c r="U788" i="1" s="1"/>
  <c r="P789" i="1"/>
  <c r="U789" i="1" s="1"/>
  <c r="P790" i="1"/>
  <c r="U790" i="1" s="1"/>
  <c r="P791" i="1"/>
  <c r="U791" i="1" s="1"/>
  <c r="P792" i="1"/>
  <c r="U792" i="1" s="1"/>
  <c r="P793" i="1"/>
  <c r="U793" i="1" s="1"/>
  <c r="P794" i="1"/>
  <c r="U794" i="1" s="1"/>
  <c r="P795" i="1"/>
  <c r="U795" i="1" s="1"/>
  <c r="P796" i="1"/>
  <c r="U796" i="1" s="1"/>
  <c r="P797" i="1"/>
  <c r="U797" i="1" s="1"/>
  <c r="P798" i="1"/>
  <c r="U798" i="1" s="1"/>
  <c r="P799" i="1"/>
  <c r="U799" i="1" s="1"/>
  <c r="P800" i="1"/>
  <c r="U800" i="1" s="1"/>
  <c r="P801" i="1"/>
  <c r="U801" i="1" s="1"/>
  <c r="P802" i="1"/>
  <c r="U802" i="1" s="1"/>
  <c r="P803" i="1"/>
  <c r="U803" i="1" s="1"/>
  <c r="P804" i="1"/>
  <c r="U804" i="1" s="1"/>
  <c r="P805" i="1"/>
  <c r="U805" i="1" s="1"/>
  <c r="P806" i="1"/>
  <c r="U806" i="1" s="1"/>
  <c r="P807" i="1"/>
  <c r="U807" i="1" s="1"/>
  <c r="P808" i="1"/>
  <c r="U808" i="1" s="1"/>
  <c r="P809" i="1"/>
  <c r="U809" i="1" s="1"/>
  <c r="P810" i="1"/>
  <c r="U810" i="1" s="1"/>
  <c r="P811" i="1"/>
  <c r="U811" i="1" s="1"/>
  <c r="P812" i="1"/>
  <c r="U812" i="1" s="1"/>
  <c r="P813" i="1"/>
  <c r="U813" i="1" s="1"/>
  <c r="P814" i="1"/>
  <c r="U814" i="1" s="1"/>
  <c r="P815" i="1"/>
  <c r="U815" i="1" s="1"/>
  <c r="P816" i="1"/>
  <c r="U816" i="1" s="1"/>
  <c r="P817" i="1"/>
  <c r="U817" i="1" s="1"/>
  <c r="P818" i="1"/>
  <c r="U818" i="1" s="1"/>
  <c r="P819" i="1"/>
  <c r="U819" i="1" s="1"/>
  <c r="P820" i="1"/>
  <c r="U820" i="1" s="1"/>
  <c r="P821" i="1"/>
  <c r="U821" i="1" s="1"/>
  <c r="P822" i="1"/>
  <c r="U822" i="1" s="1"/>
  <c r="P823" i="1"/>
  <c r="U823" i="1" s="1"/>
  <c r="P824" i="1"/>
  <c r="U824" i="1" s="1"/>
  <c r="P825" i="1"/>
  <c r="U825" i="1" s="1"/>
  <c r="P826" i="1"/>
  <c r="U826" i="1" s="1"/>
  <c r="P827" i="1"/>
  <c r="U827" i="1" s="1"/>
  <c r="P828" i="1"/>
  <c r="U828" i="1" s="1"/>
  <c r="P829" i="1"/>
  <c r="U829" i="1" s="1"/>
  <c r="P830" i="1"/>
  <c r="U830" i="1" s="1"/>
  <c r="P831" i="1"/>
  <c r="U831" i="1" s="1"/>
  <c r="P832" i="1"/>
  <c r="U832" i="1" s="1"/>
  <c r="P833" i="1"/>
  <c r="U833" i="1" s="1"/>
  <c r="P834" i="1"/>
  <c r="U834" i="1" s="1"/>
  <c r="P835" i="1"/>
  <c r="U835" i="1" s="1"/>
  <c r="P836" i="1"/>
  <c r="U836" i="1" s="1"/>
  <c r="P837" i="1"/>
  <c r="U837" i="1" s="1"/>
  <c r="P838" i="1"/>
  <c r="U838" i="1" s="1"/>
  <c r="P839" i="1"/>
  <c r="U839" i="1" s="1"/>
  <c r="P840" i="1"/>
  <c r="U840" i="1" s="1"/>
  <c r="P841" i="1"/>
  <c r="U841" i="1" s="1"/>
  <c r="P842" i="1"/>
  <c r="U842" i="1" s="1"/>
  <c r="P843" i="1"/>
  <c r="U843" i="1" s="1"/>
  <c r="P844" i="1"/>
  <c r="U844" i="1" s="1"/>
  <c r="P845" i="1"/>
  <c r="U845" i="1" s="1"/>
  <c r="P846" i="1"/>
  <c r="U846" i="1" s="1"/>
  <c r="P847" i="1"/>
  <c r="U847" i="1" s="1"/>
  <c r="P848" i="1"/>
  <c r="U848" i="1" s="1"/>
  <c r="P849" i="1"/>
  <c r="U849" i="1" s="1"/>
  <c r="P850" i="1"/>
  <c r="U850" i="1" s="1"/>
  <c r="P851" i="1"/>
  <c r="U851" i="1" s="1"/>
  <c r="P852" i="1"/>
  <c r="U852" i="1" s="1"/>
  <c r="P853" i="1"/>
  <c r="U853" i="1" s="1"/>
  <c r="P854" i="1"/>
  <c r="U854" i="1" s="1"/>
  <c r="P855" i="1"/>
  <c r="U855" i="1" s="1"/>
  <c r="P856" i="1"/>
  <c r="U856" i="1" s="1"/>
  <c r="P857" i="1"/>
  <c r="U857" i="1" s="1"/>
  <c r="P858" i="1"/>
  <c r="U858" i="1" s="1"/>
  <c r="P859" i="1"/>
  <c r="U859" i="1" s="1"/>
  <c r="P860" i="1"/>
  <c r="U860" i="1" s="1"/>
  <c r="P861" i="1"/>
  <c r="U861" i="1" s="1"/>
  <c r="P862" i="1"/>
  <c r="U862" i="1" s="1"/>
  <c r="P863" i="1"/>
  <c r="U863" i="1" s="1"/>
  <c r="P864" i="1"/>
  <c r="U864" i="1" s="1"/>
  <c r="P865" i="1"/>
  <c r="U865" i="1" s="1"/>
  <c r="P866" i="1"/>
  <c r="U866" i="1" s="1"/>
  <c r="P867" i="1"/>
  <c r="U867" i="1" s="1"/>
  <c r="P869" i="1"/>
  <c r="U869" i="1" s="1"/>
  <c r="P870" i="1"/>
  <c r="U870" i="1" s="1"/>
  <c r="P871" i="1"/>
  <c r="U871" i="1" s="1"/>
  <c r="P872" i="1"/>
  <c r="U872" i="1" s="1"/>
  <c r="P873" i="1"/>
  <c r="U873" i="1" s="1"/>
  <c r="P874" i="1"/>
  <c r="U874" i="1" s="1"/>
  <c r="P875" i="1"/>
  <c r="U875" i="1" s="1"/>
  <c r="P876" i="1"/>
  <c r="U876" i="1" s="1"/>
  <c r="P877" i="1"/>
  <c r="U877" i="1" s="1"/>
  <c r="P878" i="1"/>
  <c r="U878" i="1" s="1"/>
  <c r="P879" i="1"/>
  <c r="U879" i="1" s="1"/>
  <c r="P880" i="1"/>
  <c r="U880" i="1" s="1"/>
  <c r="P881" i="1"/>
  <c r="U881" i="1" s="1"/>
  <c r="P882" i="1"/>
  <c r="U882" i="1" s="1"/>
  <c r="P883" i="1"/>
  <c r="U883" i="1" s="1"/>
  <c r="P884" i="1"/>
  <c r="U884" i="1" s="1"/>
  <c r="P885" i="1"/>
  <c r="U885" i="1" s="1"/>
  <c r="P886" i="1"/>
  <c r="U886" i="1" s="1"/>
  <c r="P887" i="1"/>
  <c r="U887" i="1" s="1"/>
  <c r="P888" i="1"/>
  <c r="U888" i="1" s="1"/>
  <c r="P889" i="1"/>
  <c r="U889" i="1" s="1"/>
  <c r="P890" i="1"/>
  <c r="U890" i="1" s="1"/>
  <c r="P891" i="1"/>
  <c r="U891" i="1" s="1"/>
  <c r="P892" i="1"/>
  <c r="U892" i="1" s="1"/>
  <c r="P893" i="1"/>
  <c r="U893" i="1" s="1"/>
  <c r="P894" i="1"/>
  <c r="U894" i="1" s="1"/>
  <c r="P895" i="1"/>
  <c r="U895" i="1" s="1"/>
  <c r="P896" i="1"/>
  <c r="U896" i="1" s="1"/>
  <c r="P897" i="1"/>
  <c r="U897" i="1" s="1"/>
  <c r="P898" i="1"/>
  <c r="U898" i="1" s="1"/>
  <c r="P899" i="1"/>
  <c r="U899" i="1" s="1"/>
  <c r="P900" i="1"/>
  <c r="U900" i="1" s="1"/>
  <c r="P901" i="1"/>
  <c r="U901" i="1" s="1"/>
  <c r="P902" i="1"/>
  <c r="U902" i="1" s="1"/>
  <c r="P903" i="1"/>
  <c r="U903" i="1" s="1"/>
  <c r="P904" i="1"/>
  <c r="U904" i="1" s="1"/>
  <c r="P905" i="1"/>
  <c r="U905" i="1" s="1"/>
  <c r="P906" i="1"/>
  <c r="U906" i="1" s="1"/>
  <c r="P907" i="1"/>
  <c r="U907" i="1" s="1"/>
  <c r="P908" i="1"/>
  <c r="U908" i="1" s="1"/>
  <c r="P909" i="1"/>
  <c r="U909" i="1" s="1"/>
  <c r="P910" i="1"/>
  <c r="U910" i="1" s="1"/>
  <c r="P911" i="1"/>
  <c r="U911" i="1" s="1"/>
  <c r="P912" i="1"/>
  <c r="U912" i="1" s="1"/>
  <c r="P913" i="1"/>
  <c r="U913" i="1" s="1"/>
  <c r="P914" i="1"/>
  <c r="U914" i="1" s="1"/>
  <c r="P915" i="1"/>
  <c r="U915" i="1" s="1"/>
  <c r="P916" i="1"/>
  <c r="U916" i="1" s="1"/>
  <c r="P917" i="1"/>
  <c r="U917" i="1" s="1"/>
  <c r="P918" i="1"/>
  <c r="U918" i="1" s="1"/>
  <c r="P919" i="1"/>
  <c r="U919" i="1" s="1"/>
  <c r="P920" i="1"/>
  <c r="U920" i="1" s="1"/>
  <c r="P921" i="1"/>
  <c r="U921" i="1" s="1"/>
  <c r="P922" i="1"/>
  <c r="U922" i="1" s="1"/>
  <c r="P923" i="1"/>
  <c r="U923" i="1" s="1"/>
  <c r="P924" i="1"/>
  <c r="U924" i="1" s="1"/>
  <c r="P925" i="1"/>
  <c r="U925" i="1" s="1"/>
  <c r="P926" i="1"/>
  <c r="U926" i="1" s="1"/>
  <c r="P928" i="1"/>
  <c r="U928" i="1" s="1"/>
  <c r="P929" i="1"/>
  <c r="U929" i="1" s="1"/>
  <c r="P930" i="1"/>
  <c r="U930" i="1" s="1"/>
  <c r="P931" i="1"/>
  <c r="U931" i="1" s="1"/>
  <c r="P932" i="1"/>
  <c r="U932" i="1" s="1"/>
  <c r="P933" i="1"/>
  <c r="U933" i="1" s="1"/>
  <c r="P934" i="1"/>
  <c r="U934" i="1" s="1"/>
  <c r="P935" i="1"/>
  <c r="U935" i="1" s="1"/>
  <c r="P936" i="1"/>
  <c r="U936" i="1" s="1"/>
  <c r="P937" i="1"/>
  <c r="U937" i="1" s="1"/>
  <c r="P938" i="1"/>
  <c r="U938" i="1" s="1"/>
  <c r="P939" i="1"/>
  <c r="U939" i="1" s="1"/>
  <c r="P940" i="1"/>
  <c r="U940" i="1" s="1"/>
  <c r="P941" i="1"/>
  <c r="U941" i="1" s="1"/>
  <c r="P942" i="1"/>
  <c r="U942" i="1" s="1"/>
  <c r="P943" i="1"/>
  <c r="U943" i="1" s="1"/>
  <c r="P944" i="1"/>
  <c r="U944" i="1" s="1"/>
  <c r="P945" i="1"/>
  <c r="U945" i="1" s="1"/>
  <c r="P947" i="1"/>
  <c r="U947" i="1" s="1"/>
  <c r="P948" i="1"/>
  <c r="U948" i="1" s="1"/>
  <c r="P949" i="1"/>
  <c r="U949" i="1" s="1"/>
  <c r="P950" i="1"/>
  <c r="U950" i="1" s="1"/>
  <c r="P951" i="1"/>
  <c r="U951" i="1" s="1"/>
  <c r="P952" i="1"/>
  <c r="U952" i="1" s="1"/>
  <c r="P953" i="1"/>
  <c r="U953" i="1" s="1"/>
  <c r="P954" i="1"/>
  <c r="U954" i="1" s="1"/>
  <c r="P955" i="1"/>
  <c r="U955" i="1" s="1"/>
  <c r="P956" i="1"/>
  <c r="U956" i="1" s="1"/>
  <c r="P957" i="1"/>
  <c r="U957" i="1" s="1"/>
  <c r="P958" i="1"/>
  <c r="U958" i="1" s="1"/>
  <c r="P959" i="1"/>
  <c r="U959" i="1" s="1"/>
  <c r="P960" i="1"/>
  <c r="U960" i="1" s="1"/>
  <c r="P961" i="1"/>
  <c r="U961" i="1" s="1"/>
  <c r="P962" i="1"/>
  <c r="U962" i="1" s="1"/>
  <c r="P963" i="1"/>
  <c r="U963" i="1" s="1"/>
  <c r="P964" i="1"/>
  <c r="U964" i="1" s="1"/>
  <c r="P965" i="1"/>
  <c r="U965" i="1" s="1"/>
  <c r="P966" i="1"/>
  <c r="U966" i="1" s="1"/>
  <c r="P967" i="1"/>
  <c r="U967" i="1" s="1"/>
  <c r="P968" i="1"/>
  <c r="U968" i="1" s="1"/>
  <c r="P969" i="1"/>
  <c r="U969" i="1" s="1"/>
  <c r="P971" i="1"/>
  <c r="U971" i="1" s="1"/>
  <c r="P972" i="1"/>
  <c r="U972" i="1" s="1"/>
  <c r="P973" i="1"/>
  <c r="U973" i="1" s="1"/>
  <c r="P974" i="1"/>
  <c r="U974" i="1" s="1"/>
  <c r="P975" i="1"/>
  <c r="U975" i="1" s="1"/>
  <c r="P976" i="1"/>
  <c r="U976" i="1" s="1"/>
  <c r="P977" i="1"/>
  <c r="U977" i="1" s="1"/>
  <c r="P978" i="1"/>
  <c r="U978" i="1" s="1"/>
  <c r="P979" i="1"/>
  <c r="U979" i="1" s="1"/>
  <c r="P980" i="1"/>
  <c r="U980" i="1" s="1"/>
  <c r="P981" i="1"/>
  <c r="U981" i="1" s="1"/>
  <c r="P982" i="1"/>
  <c r="U982" i="1" s="1"/>
  <c r="P983" i="1"/>
  <c r="U983" i="1" s="1"/>
  <c r="P984" i="1"/>
  <c r="U984" i="1" s="1"/>
  <c r="P985" i="1"/>
  <c r="U985" i="1" s="1"/>
  <c r="P986" i="1"/>
  <c r="U986" i="1" s="1"/>
  <c r="P987" i="1"/>
  <c r="U987" i="1" s="1"/>
  <c r="P988" i="1"/>
  <c r="U988" i="1" s="1"/>
  <c r="P990" i="1"/>
  <c r="U990" i="1" s="1"/>
  <c r="P991" i="1"/>
  <c r="U991" i="1" s="1"/>
  <c r="P992" i="1"/>
  <c r="U992" i="1" s="1"/>
  <c r="P993" i="1"/>
  <c r="U993" i="1" s="1"/>
  <c r="P994" i="1"/>
  <c r="U994" i="1" s="1"/>
  <c r="P995" i="1"/>
  <c r="U995" i="1" s="1"/>
  <c r="P996" i="1"/>
  <c r="U996" i="1" s="1"/>
  <c r="P997" i="1"/>
  <c r="U997" i="1" s="1"/>
  <c r="P998" i="1"/>
  <c r="U998" i="1" s="1"/>
  <c r="P999" i="1"/>
  <c r="U999" i="1" s="1"/>
  <c r="P1000" i="1"/>
  <c r="U1000" i="1" s="1"/>
  <c r="P1001" i="1"/>
  <c r="U1001" i="1" s="1"/>
  <c r="P1002" i="1"/>
  <c r="U1002" i="1" s="1"/>
  <c r="P1003" i="1"/>
  <c r="U1003" i="1" s="1"/>
  <c r="P1004" i="1"/>
  <c r="U1004" i="1" s="1"/>
  <c r="P1005" i="1"/>
  <c r="U1005" i="1" s="1"/>
  <c r="P1006" i="1"/>
  <c r="U1006" i="1" s="1"/>
  <c r="P1007" i="1"/>
  <c r="U1007" i="1" s="1"/>
  <c r="P1010" i="1"/>
  <c r="U1010" i="1" s="1"/>
  <c r="P1011" i="1"/>
  <c r="U1011" i="1" s="1"/>
  <c r="P1012" i="1"/>
  <c r="U1012" i="1" s="1"/>
  <c r="P1013" i="1"/>
  <c r="U1013" i="1" s="1"/>
  <c r="P1014" i="1"/>
  <c r="U1014" i="1" s="1"/>
  <c r="P1015" i="1"/>
  <c r="U1015" i="1" s="1"/>
  <c r="P1016" i="1"/>
  <c r="U1016" i="1" s="1"/>
  <c r="P1017" i="1"/>
  <c r="U1017" i="1" s="1"/>
  <c r="P1018" i="1"/>
  <c r="U1018" i="1" s="1"/>
  <c r="P1019" i="1"/>
  <c r="U1019" i="1" s="1"/>
  <c r="P1022" i="1"/>
  <c r="U1022" i="1" s="1"/>
  <c r="P1023" i="1"/>
  <c r="U1023" i="1" s="1"/>
  <c r="P1024" i="1"/>
  <c r="U1024" i="1" s="1"/>
  <c r="P1025" i="1"/>
  <c r="U1025" i="1" s="1"/>
  <c r="P1026" i="1"/>
  <c r="U1026" i="1" s="1"/>
  <c r="P1027" i="1"/>
  <c r="U1027" i="1" s="1"/>
  <c r="P1028" i="1"/>
  <c r="U1028" i="1" s="1"/>
  <c r="P1029" i="1"/>
  <c r="U1029" i="1" s="1"/>
  <c r="P1030" i="1"/>
  <c r="U1030" i="1" s="1"/>
  <c r="P1031" i="1"/>
  <c r="U1031" i="1" s="1"/>
  <c r="P1032" i="1"/>
  <c r="U1032" i="1" s="1"/>
  <c r="P1033" i="1"/>
  <c r="U1033" i="1" s="1"/>
  <c r="P1034" i="1"/>
  <c r="U1034" i="1" s="1"/>
  <c r="P1036" i="1"/>
  <c r="U1036" i="1" s="1"/>
  <c r="P1037" i="1"/>
  <c r="U1037" i="1" s="1"/>
  <c r="P1038" i="1"/>
  <c r="U1038" i="1" s="1"/>
  <c r="P1039" i="1"/>
  <c r="U1039" i="1" s="1"/>
  <c r="P1040" i="1"/>
  <c r="U1040" i="1" s="1"/>
  <c r="P1041" i="1"/>
  <c r="U1041" i="1" s="1"/>
  <c r="P1042" i="1"/>
  <c r="U1042" i="1" s="1"/>
  <c r="P1043" i="1"/>
  <c r="U1043" i="1" s="1"/>
  <c r="P1044" i="1"/>
  <c r="U1044" i="1" s="1"/>
  <c r="P1045" i="1"/>
  <c r="U1045" i="1" s="1"/>
  <c r="P1046" i="1"/>
  <c r="U1046" i="1" s="1"/>
  <c r="P1047" i="1"/>
  <c r="U1047" i="1" s="1"/>
  <c r="P1048" i="1"/>
  <c r="U1048" i="1" s="1"/>
  <c r="P1050" i="1"/>
  <c r="U1050" i="1" s="1"/>
  <c r="P1052" i="1"/>
  <c r="U1052" i="1" s="1"/>
  <c r="P1053" i="1"/>
  <c r="U1053" i="1" s="1"/>
  <c r="P1054" i="1"/>
  <c r="U1054" i="1" s="1"/>
  <c r="P1055" i="1"/>
  <c r="U1055" i="1" s="1"/>
  <c r="P1056" i="1"/>
  <c r="U1056" i="1" s="1"/>
  <c r="P1057" i="1"/>
  <c r="U1057" i="1" s="1"/>
  <c r="P1058" i="1"/>
  <c r="U1058" i="1" s="1"/>
  <c r="P1059" i="1"/>
  <c r="U1059" i="1" s="1"/>
  <c r="P1060" i="1"/>
  <c r="U1060" i="1" s="1"/>
  <c r="P1061" i="1"/>
  <c r="U1061" i="1" s="1"/>
  <c r="P1062" i="1"/>
  <c r="U1062" i="1" s="1"/>
  <c r="P1063" i="1"/>
  <c r="U1063" i="1" s="1"/>
  <c r="P1064" i="1"/>
  <c r="U1064" i="1" s="1"/>
  <c r="P1065" i="1"/>
  <c r="U1065" i="1" s="1"/>
  <c r="P1066" i="1"/>
  <c r="U1066" i="1" s="1"/>
  <c r="P1067" i="1"/>
  <c r="U1067" i="1" s="1"/>
  <c r="P1069" i="1"/>
  <c r="U1069" i="1" s="1"/>
  <c r="P1070" i="1"/>
  <c r="U1070" i="1" s="1"/>
  <c r="P1071" i="1"/>
  <c r="U1071" i="1" s="1"/>
  <c r="P1073" i="1"/>
  <c r="U1073" i="1" s="1"/>
  <c r="P1074" i="1"/>
  <c r="U1074" i="1" s="1"/>
  <c r="P1075" i="1"/>
  <c r="U1075" i="1" s="1"/>
  <c r="P1076" i="1"/>
  <c r="U1076" i="1" s="1"/>
  <c r="P1077" i="1"/>
  <c r="U1077" i="1" s="1"/>
  <c r="P1078" i="1"/>
  <c r="U1078" i="1" s="1"/>
  <c r="P1079" i="1"/>
  <c r="U1079" i="1" s="1"/>
  <c r="P1080" i="1"/>
  <c r="U1080" i="1" s="1"/>
  <c r="P1081" i="1"/>
  <c r="U1081" i="1" s="1"/>
  <c r="P1082" i="1"/>
  <c r="U1082" i="1" s="1"/>
  <c r="P1083" i="1"/>
  <c r="U1083" i="1" s="1"/>
  <c r="P1084" i="1"/>
  <c r="U1084" i="1" s="1"/>
  <c r="P1085" i="1"/>
  <c r="U1085" i="1" s="1"/>
  <c r="P1086" i="1"/>
  <c r="U1086" i="1" s="1"/>
  <c r="P1087" i="1"/>
  <c r="U1087" i="1" s="1"/>
  <c r="P1088" i="1"/>
  <c r="U1088" i="1" s="1"/>
  <c r="P1089" i="1"/>
  <c r="U1089" i="1" s="1"/>
  <c r="P1090" i="1"/>
  <c r="U1090" i="1" s="1"/>
  <c r="P1091" i="1"/>
  <c r="U1091" i="1" s="1"/>
  <c r="P1092" i="1"/>
  <c r="U1092" i="1" s="1"/>
  <c r="P1093" i="1"/>
  <c r="U1093" i="1" s="1"/>
  <c r="P1094" i="1"/>
  <c r="U1094" i="1" s="1"/>
  <c r="P1095" i="1"/>
  <c r="U1095" i="1" s="1"/>
  <c r="P1097" i="1"/>
  <c r="U1097" i="1" s="1"/>
  <c r="P1098" i="1"/>
  <c r="U1098" i="1" s="1"/>
  <c r="P1099" i="1"/>
  <c r="U1099" i="1" s="1"/>
  <c r="P1100" i="1"/>
  <c r="U1100" i="1" s="1"/>
  <c r="P1101" i="1"/>
  <c r="U1101" i="1" s="1"/>
  <c r="P1102" i="1"/>
  <c r="U1102" i="1" s="1"/>
  <c r="P1103" i="1"/>
  <c r="U1103" i="1" s="1"/>
  <c r="P1104" i="1"/>
  <c r="U1104" i="1" s="1"/>
  <c r="P1105" i="1"/>
  <c r="U1105" i="1" s="1"/>
  <c r="P1106" i="1"/>
  <c r="U1106" i="1" s="1"/>
  <c r="P1107" i="1"/>
  <c r="U1107" i="1" s="1"/>
  <c r="P1108" i="1"/>
  <c r="U1108" i="1" s="1"/>
  <c r="P1109" i="1"/>
  <c r="U1109" i="1" s="1"/>
  <c r="P1110" i="1"/>
  <c r="U1110" i="1" s="1"/>
  <c r="P1111" i="1"/>
  <c r="U1111" i="1" s="1"/>
  <c r="P1112" i="1"/>
  <c r="U1112" i="1" s="1"/>
  <c r="P1113" i="1"/>
  <c r="U1113" i="1" s="1"/>
  <c r="P1114" i="1"/>
  <c r="U1114" i="1" s="1"/>
  <c r="P1115" i="1"/>
  <c r="U1115" i="1" s="1"/>
  <c r="P1116" i="1"/>
  <c r="U1116" i="1" s="1"/>
  <c r="P1117" i="1"/>
  <c r="U1117" i="1" s="1"/>
  <c r="P1118" i="1"/>
  <c r="U1118" i="1" s="1"/>
  <c r="P1119" i="1"/>
  <c r="U1119" i="1" s="1"/>
  <c r="P1120" i="1"/>
  <c r="U1120" i="1" s="1"/>
  <c r="P1121" i="1"/>
  <c r="U1121" i="1" s="1"/>
  <c r="P1122" i="1"/>
  <c r="U1122" i="1" s="1"/>
  <c r="P1123" i="1"/>
  <c r="U1123" i="1" s="1"/>
  <c r="P1124" i="1"/>
  <c r="U1124" i="1" s="1"/>
  <c r="P1125" i="1"/>
  <c r="U1125" i="1" s="1"/>
  <c r="P1126" i="1"/>
  <c r="U1126" i="1" s="1"/>
  <c r="P1128" i="1"/>
  <c r="U1128" i="1" s="1"/>
  <c r="P1129" i="1"/>
  <c r="U1129" i="1" s="1"/>
  <c r="P1130" i="1"/>
  <c r="U1130" i="1" s="1"/>
  <c r="P1131" i="1"/>
  <c r="U1131" i="1" s="1"/>
  <c r="P1132" i="1"/>
  <c r="U1132" i="1" s="1"/>
  <c r="P1133" i="1"/>
  <c r="U1133" i="1" s="1"/>
  <c r="P1134" i="1"/>
  <c r="U1134" i="1" s="1"/>
  <c r="P1135" i="1"/>
  <c r="U1135" i="1" s="1"/>
  <c r="P1136" i="1"/>
  <c r="U1136" i="1" s="1"/>
  <c r="P1137" i="1"/>
  <c r="U1137" i="1" s="1"/>
  <c r="P1138" i="1"/>
  <c r="U1138" i="1" s="1"/>
  <c r="P1139" i="1"/>
  <c r="U1139" i="1" s="1"/>
  <c r="P1140" i="1"/>
  <c r="U1140" i="1" s="1"/>
  <c r="P1141" i="1"/>
  <c r="U1141" i="1" s="1"/>
  <c r="P1142" i="1"/>
  <c r="U1142" i="1" s="1"/>
  <c r="P1143" i="1"/>
  <c r="U1143" i="1" s="1"/>
  <c r="P1144" i="1"/>
  <c r="U1144" i="1" s="1"/>
  <c r="P1145" i="1"/>
  <c r="U1145" i="1" s="1"/>
  <c r="P1146" i="1"/>
  <c r="U1146" i="1" s="1"/>
  <c r="P1147" i="1"/>
  <c r="U1147" i="1" s="1"/>
  <c r="P1148" i="1"/>
  <c r="U1148" i="1" s="1"/>
  <c r="P1149" i="1"/>
  <c r="U1149" i="1" s="1"/>
  <c r="P1150" i="1"/>
  <c r="U1150" i="1" s="1"/>
  <c r="P1151" i="1"/>
  <c r="U1151" i="1" s="1"/>
  <c r="P1152" i="1"/>
  <c r="U1152" i="1" s="1"/>
  <c r="P1153" i="1"/>
  <c r="U1153" i="1" s="1"/>
  <c r="P1154" i="1"/>
  <c r="U1154" i="1" s="1"/>
  <c r="P1155" i="1"/>
  <c r="U1155" i="1" s="1"/>
  <c r="P1156" i="1"/>
  <c r="U1156" i="1" s="1"/>
  <c r="P1157" i="1"/>
  <c r="U1157" i="1" s="1"/>
  <c r="P1158" i="1"/>
  <c r="U1158" i="1" s="1"/>
  <c r="P1159" i="1"/>
  <c r="U1159" i="1" s="1"/>
  <c r="P1160" i="1"/>
  <c r="U1160" i="1" s="1"/>
  <c r="P1161" i="1"/>
  <c r="U1161" i="1" s="1"/>
  <c r="P1162" i="1"/>
  <c r="U1162" i="1" s="1"/>
  <c r="P1163" i="1"/>
  <c r="U1163" i="1" s="1"/>
  <c r="P1164" i="1"/>
  <c r="U1164" i="1" s="1"/>
  <c r="P1165" i="1"/>
  <c r="U1165" i="1" s="1"/>
  <c r="P1166" i="1"/>
  <c r="U1166" i="1" s="1"/>
  <c r="P1167" i="1"/>
  <c r="U1167" i="1" s="1"/>
  <c r="P1168" i="1"/>
  <c r="U1168" i="1" s="1"/>
  <c r="P1169" i="1"/>
  <c r="U1169" i="1" s="1"/>
  <c r="P1170" i="1"/>
  <c r="U1170" i="1" s="1"/>
  <c r="P1171" i="1"/>
  <c r="U1171" i="1" s="1"/>
  <c r="P1172" i="1"/>
  <c r="U1172" i="1" s="1"/>
  <c r="P1173" i="1"/>
  <c r="U1173" i="1" s="1"/>
  <c r="P1174" i="1"/>
  <c r="U1174" i="1" s="1"/>
  <c r="P1175" i="1"/>
  <c r="U1175" i="1" s="1"/>
  <c r="P1176" i="1"/>
  <c r="U1176" i="1" s="1"/>
  <c r="P1177" i="1"/>
  <c r="U1177" i="1" s="1"/>
  <c r="P1178" i="1"/>
  <c r="U1178" i="1" s="1"/>
  <c r="P1179" i="1"/>
  <c r="U1179" i="1" s="1"/>
  <c r="P1180" i="1"/>
  <c r="U1180" i="1" s="1"/>
  <c r="P1181" i="1"/>
  <c r="U1181" i="1" s="1"/>
  <c r="P1182" i="1"/>
  <c r="U1182" i="1" s="1"/>
  <c r="P1183" i="1"/>
  <c r="U1183" i="1" s="1"/>
  <c r="P1184" i="1"/>
  <c r="U1184" i="1" s="1"/>
  <c r="P1185" i="1"/>
  <c r="U1185" i="1" s="1"/>
  <c r="P1186" i="1"/>
  <c r="U1186" i="1" s="1"/>
  <c r="P1187" i="1"/>
  <c r="U1187" i="1" s="1"/>
  <c r="P1188" i="1"/>
  <c r="U1188" i="1" s="1"/>
  <c r="P1189" i="1"/>
  <c r="U1189" i="1" s="1"/>
  <c r="P1190" i="1"/>
  <c r="U1190" i="1" s="1"/>
  <c r="P1191" i="1"/>
  <c r="U1191" i="1" s="1"/>
  <c r="P1192" i="1"/>
  <c r="U1192" i="1" s="1"/>
  <c r="P1193" i="1"/>
  <c r="U1193" i="1" s="1"/>
  <c r="P1194" i="1"/>
  <c r="U1194" i="1" s="1"/>
  <c r="P1195" i="1"/>
  <c r="U1195" i="1" s="1"/>
  <c r="P1196" i="1"/>
  <c r="U1196" i="1" s="1"/>
  <c r="P1197" i="1"/>
  <c r="U1197" i="1" s="1"/>
  <c r="P1198" i="1"/>
  <c r="U1198" i="1" s="1"/>
  <c r="P1199" i="1"/>
  <c r="U1199" i="1" s="1"/>
  <c r="P1200" i="1"/>
  <c r="U1200" i="1" s="1"/>
  <c r="P1201" i="1"/>
  <c r="U1201" i="1" s="1"/>
  <c r="P1202" i="1"/>
  <c r="U1202" i="1" s="1"/>
  <c r="P1203" i="1"/>
  <c r="U1203" i="1" s="1"/>
  <c r="P1204" i="1"/>
  <c r="U1204" i="1" s="1"/>
  <c r="P1205" i="1"/>
  <c r="U1205" i="1" s="1"/>
  <c r="P1206" i="1"/>
  <c r="U1206" i="1" s="1"/>
  <c r="P1207" i="1"/>
  <c r="U1207" i="1" s="1"/>
  <c r="P1208" i="1"/>
  <c r="U1208" i="1" s="1"/>
  <c r="P1209" i="1"/>
  <c r="U1209" i="1" s="1"/>
  <c r="P1210" i="1"/>
  <c r="U1210" i="1" s="1"/>
  <c r="P1211" i="1"/>
  <c r="U1211" i="1" s="1"/>
  <c r="P1212" i="1"/>
  <c r="U1212" i="1" s="1"/>
  <c r="P1213" i="1"/>
  <c r="U1213" i="1" s="1"/>
  <c r="P1214" i="1"/>
  <c r="U1214" i="1" s="1"/>
  <c r="P1215" i="1"/>
  <c r="U1215" i="1" s="1"/>
  <c r="P1216" i="1"/>
  <c r="U1216" i="1" s="1"/>
  <c r="P1217" i="1"/>
  <c r="U1217" i="1" s="1"/>
  <c r="P1218" i="1"/>
  <c r="U1218" i="1" s="1"/>
  <c r="P1219" i="1"/>
  <c r="U1219" i="1" s="1"/>
  <c r="P1220" i="1"/>
  <c r="U1220" i="1" s="1"/>
  <c r="P1221" i="1"/>
  <c r="U1221" i="1" s="1"/>
  <c r="P1222" i="1"/>
  <c r="U1222" i="1" s="1"/>
  <c r="P1223" i="1"/>
  <c r="U1223" i="1" s="1"/>
  <c r="P1224" i="1"/>
  <c r="U1224" i="1" s="1"/>
  <c r="P1225" i="1"/>
  <c r="U1225" i="1" s="1"/>
  <c r="P1226" i="1"/>
  <c r="U1226" i="1" s="1"/>
  <c r="P1227" i="1"/>
  <c r="U1227" i="1" s="1"/>
  <c r="P1228" i="1"/>
  <c r="U1228" i="1" s="1"/>
  <c r="P1229" i="1"/>
  <c r="U1229" i="1" s="1"/>
  <c r="P1230" i="1"/>
  <c r="U1230" i="1" s="1"/>
  <c r="P1231" i="1"/>
  <c r="U1231" i="1" s="1"/>
  <c r="P1232" i="1"/>
  <c r="U1232" i="1" s="1"/>
  <c r="P1233" i="1"/>
  <c r="U1233" i="1" s="1"/>
  <c r="P1234" i="1"/>
  <c r="U1234" i="1" s="1"/>
  <c r="P1235" i="1"/>
  <c r="U1235" i="1" s="1"/>
  <c r="P1236" i="1"/>
  <c r="U1236" i="1" s="1"/>
  <c r="P1237" i="1"/>
  <c r="U1237" i="1" s="1"/>
  <c r="P1238" i="1"/>
  <c r="U1238" i="1" s="1"/>
  <c r="P1239" i="1"/>
  <c r="U1239" i="1" s="1"/>
  <c r="P1240" i="1"/>
  <c r="U1240" i="1" s="1"/>
  <c r="P1241" i="1"/>
  <c r="U1241" i="1" s="1"/>
  <c r="P1242" i="1"/>
  <c r="U1242" i="1" s="1"/>
  <c r="P1243" i="1"/>
  <c r="U1243" i="1" s="1"/>
  <c r="P1244" i="1"/>
  <c r="U1244" i="1" s="1"/>
  <c r="P1245" i="1"/>
  <c r="U1245" i="1" s="1"/>
  <c r="P1246" i="1"/>
  <c r="U1246" i="1" s="1"/>
  <c r="P1247" i="1"/>
  <c r="U1247" i="1" s="1"/>
  <c r="P1248" i="1"/>
  <c r="U1248" i="1" s="1"/>
  <c r="P1249" i="1"/>
  <c r="U1249" i="1" s="1"/>
  <c r="P1250" i="1"/>
  <c r="U1250" i="1" s="1"/>
  <c r="P1251" i="1"/>
  <c r="U1251" i="1" s="1"/>
  <c r="P1252" i="1"/>
  <c r="U1252" i="1" s="1"/>
  <c r="P1253" i="1"/>
  <c r="U1253" i="1" s="1"/>
  <c r="P1254" i="1"/>
  <c r="U1254" i="1" s="1"/>
  <c r="P1255" i="1"/>
  <c r="U1255" i="1" s="1"/>
  <c r="P1257" i="1"/>
  <c r="U1257" i="1" s="1"/>
  <c r="P1258" i="1"/>
  <c r="U1258" i="1" s="1"/>
  <c r="P1259" i="1"/>
  <c r="U1259" i="1" s="1"/>
  <c r="P1260" i="1"/>
  <c r="U1260" i="1" s="1"/>
  <c r="P1261" i="1"/>
  <c r="U1261" i="1" s="1"/>
  <c r="P1262" i="1"/>
  <c r="U1262" i="1" s="1"/>
  <c r="P1263" i="1"/>
  <c r="U1263" i="1" s="1"/>
  <c r="P1264" i="1"/>
  <c r="U1264" i="1" s="1"/>
  <c r="P1265" i="1"/>
  <c r="U1265" i="1" s="1"/>
  <c r="P1266" i="1"/>
  <c r="U1266" i="1" s="1"/>
  <c r="P1267" i="1"/>
  <c r="U1267" i="1" s="1"/>
  <c r="P1268" i="1"/>
  <c r="U1268" i="1" s="1"/>
  <c r="P1269" i="1"/>
  <c r="U1269" i="1" s="1"/>
  <c r="P1270" i="1"/>
  <c r="U1270" i="1" s="1"/>
  <c r="P1271" i="1"/>
  <c r="U1271" i="1" s="1"/>
  <c r="P1272" i="1"/>
  <c r="U1272" i="1" s="1"/>
  <c r="P1273" i="1"/>
  <c r="U1273" i="1" s="1"/>
  <c r="P1274" i="1"/>
  <c r="U1274" i="1" s="1"/>
  <c r="P1275" i="1"/>
  <c r="U1275" i="1" s="1"/>
  <c r="P1276" i="1"/>
  <c r="U1276" i="1" s="1"/>
  <c r="P1277" i="1"/>
  <c r="U1277" i="1" s="1"/>
  <c r="P1278" i="1"/>
  <c r="U1278" i="1" s="1"/>
  <c r="P1279" i="1"/>
  <c r="U1279" i="1" s="1"/>
  <c r="P1280" i="1"/>
  <c r="U1280" i="1" s="1"/>
  <c r="P1281" i="1"/>
  <c r="U1281" i="1" s="1"/>
  <c r="P1282" i="1"/>
  <c r="U1282" i="1" s="1"/>
  <c r="P1283" i="1"/>
  <c r="U1283" i="1" s="1"/>
  <c r="P1284" i="1"/>
  <c r="U1284" i="1" s="1"/>
  <c r="P1285" i="1"/>
  <c r="U1285" i="1" s="1"/>
  <c r="P1286" i="1"/>
  <c r="U1286" i="1" s="1"/>
  <c r="P1287" i="1"/>
  <c r="U1287" i="1" s="1"/>
  <c r="P1288" i="1"/>
  <c r="U1288" i="1" s="1"/>
  <c r="P1289" i="1"/>
  <c r="U1289" i="1" s="1"/>
  <c r="P1290" i="1"/>
  <c r="U1290" i="1" s="1"/>
  <c r="P1291" i="1"/>
  <c r="U1291" i="1" s="1"/>
  <c r="P1292" i="1"/>
  <c r="U1292" i="1" s="1"/>
  <c r="P1293" i="1"/>
  <c r="U1293" i="1" s="1"/>
  <c r="P1294" i="1"/>
  <c r="U1294" i="1" s="1"/>
  <c r="P1295" i="1"/>
  <c r="U1295" i="1" s="1"/>
  <c r="P1296" i="1"/>
  <c r="U1296" i="1" s="1"/>
  <c r="P1297" i="1"/>
  <c r="U1297" i="1" s="1"/>
  <c r="P1298" i="1"/>
  <c r="U1298" i="1" s="1"/>
  <c r="P1299" i="1"/>
  <c r="U1299" i="1" s="1"/>
  <c r="P1300" i="1"/>
  <c r="U1300" i="1" s="1"/>
  <c r="P1301" i="1"/>
  <c r="U1301" i="1" s="1"/>
  <c r="P1302" i="1"/>
  <c r="U1302" i="1" s="1"/>
  <c r="P1303" i="1"/>
  <c r="U1303" i="1" s="1"/>
  <c r="P1304" i="1"/>
  <c r="U1304" i="1" s="1"/>
  <c r="P1305" i="1"/>
  <c r="U1305" i="1" s="1"/>
  <c r="P1306" i="1"/>
  <c r="U1306" i="1" s="1"/>
  <c r="P1307" i="1"/>
  <c r="U1307" i="1" s="1"/>
  <c r="P1308" i="1"/>
  <c r="U1308" i="1" s="1"/>
  <c r="P1309" i="1"/>
  <c r="U1309" i="1" s="1"/>
  <c r="P1310" i="1"/>
  <c r="U1310" i="1" s="1"/>
  <c r="P1311" i="1"/>
  <c r="U1311" i="1" s="1"/>
  <c r="P1312" i="1"/>
  <c r="U1312" i="1" s="1"/>
  <c r="P1313" i="1"/>
  <c r="U1313" i="1" s="1"/>
  <c r="P1314" i="1"/>
  <c r="U1314" i="1" s="1"/>
  <c r="P1315" i="1"/>
  <c r="U1315" i="1" s="1"/>
  <c r="P1316" i="1"/>
  <c r="U1316" i="1" s="1"/>
  <c r="P1317" i="1"/>
  <c r="U1317" i="1" s="1"/>
  <c r="P1318" i="1"/>
  <c r="U1318" i="1" s="1"/>
  <c r="P1319" i="1"/>
  <c r="U1319" i="1" s="1"/>
  <c r="P1320" i="1"/>
  <c r="U1320" i="1" s="1"/>
  <c r="P1321" i="1"/>
  <c r="U1321" i="1" s="1"/>
  <c r="P1322" i="1"/>
  <c r="U1322" i="1" s="1"/>
  <c r="P1323" i="1"/>
  <c r="U1323" i="1" s="1"/>
  <c r="P1324" i="1"/>
  <c r="U1324" i="1" s="1"/>
  <c r="P1326" i="1"/>
  <c r="U1326" i="1" s="1"/>
  <c r="P1327" i="1"/>
  <c r="U1327" i="1" s="1"/>
  <c r="P1328" i="1"/>
  <c r="U1328" i="1" s="1"/>
  <c r="P1329" i="1"/>
  <c r="U1329" i="1" s="1"/>
  <c r="P1330" i="1"/>
  <c r="U1330" i="1" s="1"/>
  <c r="P1331" i="1"/>
  <c r="U1331" i="1" s="1"/>
  <c r="P1332" i="1"/>
  <c r="U1332" i="1" s="1"/>
  <c r="P1333" i="1"/>
  <c r="U1333" i="1" s="1"/>
  <c r="P1334" i="1"/>
  <c r="U1334" i="1" s="1"/>
  <c r="P1335" i="1"/>
  <c r="U1335" i="1" s="1"/>
  <c r="P1336" i="1"/>
  <c r="U1336" i="1" s="1"/>
  <c r="P1338" i="1"/>
  <c r="U1338" i="1" s="1"/>
  <c r="P1339" i="1"/>
  <c r="U1339" i="1" s="1"/>
  <c r="P1340" i="1"/>
  <c r="U1340" i="1" s="1"/>
  <c r="P1341" i="1"/>
  <c r="U1341" i="1" s="1"/>
  <c r="P1342" i="1"/>
  <c r="U1342" i="1" s="1"/>
  <c r="P1343" i="1"/>
  <c r="U1343" i="1" s="1"/>
  <c r="P1344" i="1"/>
  <c r="U1344" i="1" s="1"/>
  <c r="P1345" i="1"/>
  <c r="U1345" i="1" s="1"/>
  <c r="P1346" i="1"/>
  <c r="U1346" i="1" s="1"/>
  <c r="P1347" i="1"/>
  <c r="U1347" i="1" s="1"/>
  <c r="P1348" i="1"/>
  <c r="U1348" i="1" s="1"/>
  <c r="P1349" i="1"/>
  <c r="U1349" i="1" s="1"/>
  <c r="P1350" i="1"/>
  <c r="U1350" i="1" s="1"/>
  <c r="P1351" i="1"/>
  <c r="U1351" i="1" s="1"/>
  <c r="P1352" i="1"/>
  <c r="U1352" i="1" s="1"/>
  <c r="P1353" i="1"/>
  <c r="U1353" i="1" s="1"/>
  <c r="P1354" i="1"/>
  <c r="U1354" i="1" s="1"/>
  <c r="P1355" i="1"/>
  <c r="U1355" i="1" s="1"/>
  <c r="P1356" i="1"/>
  <c r="U1356" i="1" s="1"/>
  <c r="P1357" i="1"/>
  <c r="U1357" i="1" s="1"/>
  <c r="P1358" i="1"/>
  <c r="U1358" i="1" s="1"/>
  <c r="P1359" i="1"/>
  <c r="U1359" i="1" s="1"/>
  <c r="P1360" i="1"/>
  <c r="U1360" i="1" s="1"/>
  <c r="P1361" i="1"/>
  <c r="U1361" i="1" s="1"/>
  <c r="P1362" i="1"/>
  <c r="U1362" i="1" s="1"/>
  <c r="P1363" i="1"/>
  <c r="U1363" i="1" s="1"/>
  <c r="P1364" i="1"/>
  <c r="U1364" i="1" s="1"/>
  <c r="P1365" i="1"/>
  <c r="U1365" i="1" s="1"/>
  <c r="P1366" i="1"/>
  <c r="U1366" i="1" s="1"/>
  <c r="P1367" i="1"/>
  <c r="U1367" i="1" s="1"/>
  <c r="P1368" i="1"/>
  <c r="U1368" i="1" s="1"/>
  <c r="P1370" i="1"/>
  <c r="U1370" i="1" s="1"/>
  <c r="P1371" i="1"/>
  <c r="U1371" i="1" s="1"/>
  <c r="P1372" i="1"/>
  <c r="U1372" i="1" s="1"/>
  <c r="P1373" i="1"/>
  <c r="U1373" i="1" s="1"/>
  <c r="P1374" i="1"/>
  <c r="U1374" i="1" s="1"/>
  <c r="P1375" i="1"/>
  <c r="U1375" i="1" s="1"/>
  <c r="P1376" i="1"/>
  <c r="U1376" i="1" s="1"/>
  <c r="P1377" i="1"/>
  <c r="U1377" i="1" s="1"/>
  <c r="P1378" i="1"/>
  <c r="U1378" i="1" s="1"/>
  <c r="P1379" i="1"/>
  <c r="U1379" i="1" s="1"/>
  <c r="P1380" i="1"/>
  <c r="U1380" i="1" s="1"/>
  <c r="P1383" i="1"/>
  <c r="U1383" i="1" s="1"/>
  <c r="P1384" i="1"/>
  <c r="U1384" i="1" s="1"/>
  <c r="P1385" i="1"/>
  <c r="U1385" i="1" s="1"/>
  <c r="P1386" i="1"/>
  <c r="U1386" i="1" s="1"/>
  <c r="P1387" i="1"/>
  <c r="U1387" i="1" s="1"/>
  <c r="P1388" i="1"/>
  <c r="U1388" i="1" s="1"/>
  <c r="P1389" i="1"/>
  <c r="U1389" i="1" s="1"/>
  <c r="P1390" i="1"/>
  <c r="U1390" i="1" s="1"/>
  <c r="P1391" i="1"/>
  <c r="U1391" i="1" s="1"/>
  <c r="P1392" i="1"/>
  <c r="U1392" i="1" s="1"/>
  <c r="P1393" i="1"/>
  <c r="U1393" i="1" s="1"/>
  <c r="P1394" i="1"/>
  <c r="U1394" i="1" s="1"/>
  <c r="P1395" i="1"/>
  <c r="U1395" i="1" s="1"/>
  <c r="P1396" i="1"/>
  <c r="U1396" i="1" s="1"/>
  <c r="P1397" i="1"/>
  <c r="U1397" i="1" s="1"/>
  <c r="P1398" i="1"/>
  <c r="U1398" i="1" s="1"/>
  <c r="P1399" i="1"/>
  <c r="U1399" i="1" s="1"/>
  <c r="P1400" i="1"/>
  <c r="U1400" i="1" s="1"/>
  <c r="P1401" i="1"/>
  <c r="U1401" i="1" s="1"/>
  <c r="P1402" i="1"/>
  <c r="U1402" i="1" s="1"/>
  <c r="P1403" i="1"/>
  <c r="U1403" i="1" s="1"/>
  <c r="P1404" i="1"/>
  <c r="U1404" i="1" s="1"/>
  <c r="P1405" i="1"/>
  <c r="U1405" i="1" s="1"/>
  <c r="P1406" i="1"/>
  <c r="U1406" i="1" s="1"/>
  <c r="P1407" i="1"/>
  <c r="U1407" i="1" s="1"/>
  <c r="P1408" i="1"/>
  <c r="U1408" i="1" s="1"/>
  <c r="P1409" i="1"/>
  <c r="U1409" i="1" s="1"/>
  <c r="P1410" i="1"/>
  <c r="U1410" i="1" s="1"/>
  <c r="P1411" i="1"/>
  <c r="U1411" i="1" s="1"/>
  <c r="P1412" i="1"/>
  <c r="U1412" i="1" s="1"/>
  <c r="P1413" i="1"/>
  <c r="U1413" i="1" s="1"/>
  <c r="P1414" i="1"/>
  <c r="U1414" i="1" s="1"/>
  <c r="P1415" i="1"/>
  <c r="U1415" i="1" s="1"/>
  <c r="P1416" i="1"/>
  <c r="U1416" i="1" s="1"/>
  <c r="P1417" i="1"/>
  <c r="U1417" i="1" s="1"/>
  <c r="P1418" i="1"/>
  <c r="U1418" i="1" s="1"/>
  <c r="P1419" i="1"/>
  <c r="U1419" i="1" s="1"/>
  <c r="P1420" i="1"/>
  <c r="U1420" i="1" s="1"/>
  <c r="P1421" i="1"/>
  <c r="U1421" i="1" s="1"/>
  <c r="P1422" i="1"/>
  <c r="U1422" i="1" s="1"/>
  <c r="P1423" i="1"/>
  <c r="U1423" i="1" s="1"/>
  <c r="P1424" i="1"/>
  <c r="U1424" i="1" s="1"/>
  <c r="P1425" i="1"/>
  <c r="U1425" i="1" s="1"/>
  <c r="P1426" i="1"/>
  <c r="U1426" i="1" s="1"/>
  <c r="P1427" i="1"/>
  <c r="U1427" i="1" s="1"/>
  <c r="P1429" i="1"/>
  <c r="U1429" i="1" s="1"/>
  <c r="P1430" i="1"/>
  <c r="U1430" i="1" s="1"/>
  <c r="P1431" i="1"/>
  <c r="U1431" i="1" s="1"/>
  <c r="P1432" i="1"/>
  <c r="U1432" i="1" s="1"/>
  <c r="P1433" i="1"/>
  <c r="U1433" i="1" s="1"/>
  <c r="P1434" i="1"/>
  <c r="U1434" i="1" s="1"/>
  <c r="P1435" i="1"/>
  <c r="U1435" i="1" s="1"/>
  <c r="P1436" i="1"/>
  <c r="U1436" i="1" s="1"/>
  <c r="P1437" i="1"/>
  <c r="U1437" i="1" s="1"/>
  <c r="P1438" i="1"/>
  <c r="U1438" i="1" s="1"/>
  <c r="P1439" i="1"/>
  <c r="U1439" i="1" s="1"/>
  <c r="P1440" i="1"/>
  <c r="U1440" i="1" s="1"/>
  <c r="P1441" i="1"/>
  <c r="U1441" i="1" s="1"/>
  <c r="P1442" i="1"/>
  <c r="U1442" i="1" s="1"/>
  <c r="P1443" i="1"/>
  <c r="U1443" i="1" s="1"/>
  <c r="P1444" i="1"/>
  <c r="U1444" i="1" s="1"/>
  <c r="P1446" i="1"/>
  <c r="U1446" i="1" s="1"/>
  <c r="P1447" i="1"/>
  <c r="U1447" i="1" s="1"/>
  <c r="P1448" i="1"/>
  <c r="U1448" i="1" s="1"/>
  <c r="P1449" i="1"/>
  <c r="U1449" i="1" s="1"/>
  <c r="P1450" i="1"/>
  <c r="U1450" i="1" s="1"/>
  <c r="P1451" i="1"/>
  <c r="U1451" i="1" s="1"/>
  <c r="P1452" i="1"/>
  <c r="U1452" i="1" s="1"/>
  <c r="P1453" i="1"/>
  <c r="U1453" i="1" s="1"/>
  <c r="P1454" i="1"/>
  <c r="U1454" i="1" s="1"/>
  <c r="P1455" i="1"/>
  <c r="U1455" i="1" s="1"/>
  <c r="P1456" i="1"/>
  <c r="U1456" i="1" s="1"/>
  <c r="P1457" i="1"/>
  <c r="U1457" i="1" s="1"/>
  <c r="P1458" i="1"/>
  <c r="U1458" i="1" s="1"/>
  <c r="P1459" i="1"/>
  <c r="U1459" i="1" s="1"/>
  <c r="P1460" i="1"/>
  <c r="U1460" i="1" s="1"/>
  <c r="P1461" i="1"/>
  <c r="U1461" i="1" s="1"/>
  <c r="P1462" i="1"/>
  <c r="U1462" i="1" s="1"/>
  <c r="P1463" i="1"/>
  <c r="U1463" i="1" s="1"/>
  <c r="P1464" i="1"/>
  <c r="U1464" i="1" s="1"/>
  <c r="P1465" i="1"/>
  <c r="U1465" i="1" s="1"/>
  <c r="P1466" i="1"/>
  <c r="U1466" i="1" s="1"/>
  <c r="P1467" i="1"/>
  <c r="U1467" i="1" s="1"/>
  <c r="P1468" i="1"/>
  <c r="U1468" i="1" s="1"/>
  <c r="P1469" i="1"/>
  <c r="U1469" i="1" s="1"/>
  <c r="P1470" i="1"/>
  <c r="U1470" i="1" s="1"/>
  <c r="P1471" i="1"/>
  <c r="U1471" i="1" s="1"/>
  <c r="P1472" i="1"/>
  <c r="U1472" i="1" s="1"/>
  <c r="P1473" i="1"/>
  <c r="U1473" i="1" s="1"/>
  <c r="P1474" i="1"/>
  <c r="U1474" i="1" s="1"/>
  <c r="P1475" i="1"/>
  <c r="U1475" i="1" s="1"/>
  <c r="P1476" i="1"/>
  <c r="U1476" i="1" s="1"/>
  <c r="P1477" i="1"/>
  <c r="U1477" i="1" s="1"/>
  <c r="P1478" i="1"/>
  <c r="U1478" i="1" s="1"/>
  <c r="P1479" i="1"/>
  <c r="U1479" i="1" s="1"/>
  <c r="P1480" i="1"/>
  <c r="U1480" i="1" s="1"/>
  <c r="P1481" i="1"/>
  <c r="U1481" i="1" s="1"/>
  <c r="P1482" i="1"/>
  <c r="U1482" i="1" s="1"/>
  <c r="P1483" i="1"/>
  <c r="U1483" i="1" s="1"/>
  <c r="P1484" i="1"/>
  <c r="U1484" i="1" s="1"/>
  <c r="P1485" i="1"/>
  <c r="U1485" i="1" s="1"/>
  <c r="P1486" i="1"/>
  <c r="U1486" i="1" s="1"/>
  <c r="P1487" i="1"/>
  <c r="U1487" i="1" s="1"/>
  <c r="P1488" i="1"/>
  <c r="U1488" i="1" s="1"/>
  <c r="P1489" i="1"/>
  <c r="U1489" i="1" s="1"/>
  <c r="P1490" i="1"/>
  <c r="U1490" i="1" s="1"/>
  <c r="P1491" i="1"/>
  <c r="U1491" i="1" s="1"/>
  <c r="P1492" i="1"/>
  <c r="U1492" i="1" s="1"/>
  <c r="P1493" i="1"/>
  <c r="U1493" i="1" s="1"/>
  <c r="P1494" i="1"/>
  <c r="U1494" i="1" s="1"/>
  <c r="P1495" i="1"/>
  <c r="U1495" i="1" s="1"/>
  <c r="P1496" i="1"/>
  <c r="U1496" i="1" s="1"/>
  <c r="P1497" i="1"/>
  <c r="U1497" i="1" s="1"/>
  <c r="P1498" i="1"/>
  <c r="U1498" i="1" s="1"/>
  <c r="P1499" i="1"/>
  <c r="U1499" i="1" s="1"/>
  <c r="P1500" i="1"/>
  <c r="U1500" i="1" s="1"/>
  <c r="P1501" i="1"/>
  <c r="U1501" i="1" s="1"/>
  <c r="P1502" i="1"/>
  <c r="U1502" i="1" s="1"/>
  <c r="P1503" i="1"/>
  <c r="U1503" i="1" s="1"/>
  <c r="P1504" i="1"/>
  <c r="U1504" i="1" s="1"/>
  <c r="P1506" i="1"/>
  <c r="U1506" i="1" s="1"/>
  <c r="P1507" i="1"/>
  <c r="U1507" i="1" s="1"/>
  <c r="P1508" i="1"/>
  <c r="U1508" i="1" s="1"/>
  <c r="P1509" i="1"/>
  <c r="U1509" i="1" s="1"/>
  <c r="P1510" i="1"/>
  <c r="U1510" i="1" s="1"/>
  <c r="P1511" i="1"/>
  <c r="U1511" i="1" s="1"/>
  <c r="P1512" i="1"/>
  <c r="U1512" i="1" s="1"/>
  <c r="P1513" i="1"/>
  <c r="U1513" i="1" s="1"/>
  <c r="P1514" i="1"/>
  <c r="U1514" i="1" s="1"/>
  <c r="P1515" i="1"/>
  <c r="U1515" i="1" s="1"/>
  <c r="P1516" i="1"/>
  <c r="U1516" i="1" s="1"/>
  <c r="P1517" i="1"/>
  <c r="U1517" i="1" s="1"/>
  <c r="P1518" i="1"/>
  <c r="U1518" i="1" s="1"/>
  <c r="P1519" i="1"/>
  <c r="U1519" i="1" s="1"/>
  <c r="P1520" i="1"/>
  <c r="U1520" i="1" s="1"/>
  <c r="P1521" i="1"/>
  <c r="U1521" i="1" s="1"/>
  <c r="P1522" i="1"/>
  <c r="U1522" i="1" s="1"/>
  <c r="P1523" i="1"/>
  <c r="U1523" i="1" s="1"/>
  <c r="P1524" i="1"/>
  <c r="U1524" i="1" s="1"/>
  <c r="P1525" i="1"/>
  <c r="U1525" i="1" s="1"/>
  <c r="P1526" i="1"/>
  <c r="U1526" i="1" s="1"/>
  <c r="P1527" i="1"/>
  <c r="U1527" i="1" s="1"/>
  <c r="P1528" i="1"/>
  <c r="U1528" i="1" s="1"/>
  <c r="P1529" i="1"/>
  <c r="U1529" i="1" s="1"/>
  <c r="P1530" i="1"/>
  <c r="U1530" i="1" s="1"/>
  <c r="P1531" i="1"/>
  <c r="U1531" i="1" s="1"/>
  <c r="P1532" i="1"/>
  <c r="U1532" i="1" s="1"/>
  <c r="P1533" i="1"/>
  <c r="U1533" i="1" s="1"/>
  <c r="P1534" i="1"/>
  <c r="U1534" i="1" s="1"/>
  <c r="P1535" i="1"/>
  <c r="U1535" i="1" s="1"/>
  <c r="P1536" i="1"/>
  <c r="U1536" i="1" s="1"/>
  <c r="P1537" i="1"/>
  <c r="U1537" i="1" s="1"/>
  <c r="P1538" i="1"/>
  <c r="U1538" i="1" s="1"/>
  <c r="P1539" i="1"/>
  <c r="U1539" i="1" s="1"/>
  <c r="P1540" i="1"/>
  <c r="U1540" i="1" s="1"/>
  <c r="P1541" i="1"/>
  <c r="U1541" i="1" s="1"/>
  <c r="P1542" i="1"/>
  <c r="U1542" i="1" s="1"/>
  <c r="P1543" i="1"/>
  <c r="U1543" i="1" s="1"/>
  <c r="P1544" i="1"/>
  <c r="U1544" i="1" s="1"/>
  <c r="P1545" i="1"/>
  <c r="U1545" i="1" s="1"/>
  <c r="P1546" i="1"/>
  <c r="U1546" i="1" s="1"/>
  <c r="P1547" i="1"/>
  <c r="U1547" i="1" s="1"/>
  <c r="P1548" i="1"/>
  <c r="U1548" i="1" s="1"/>
  <c r="P1549" i="1"/>
  <c r="U1549" i="1" s="1"/>
  <c r="P1550" i="1"/>
  <c r="U1550" i="1" s="1"/>
  <c r="P1551" i="1"/>
  <c r="U1551" i="1" s="1"/>
  <c r="P1552" i="1"/>
  <c r="U1552" i="1" s="1"/>
  <c r="P1553" i="1"/>
  <c r="U1553" i="1" s="1"/>
  <c r="P1554" i="1"/>
  <c r="U1554" i="1" s="1"/>
  <c r="P1555" i="1"/>
  <c r="U1555" i="1" s="1"/>
  <c r="P1556" i="1"/>
  <c r="U1556" i="1" s="1"/>
  <c r="P1557" i="1"/>
  <c r="U1557" i="1" s="1"/>
  <c r="P1558" i="1"/>
  <c r="U1558" i="1" s="1"/>
  <c r="P1559" i="1"/>
  <c r="U1559" i="1" s="1"/>
  <c r="P1560" i="1"/>
  <c r="U1560" i="1" s="1"/>
  <c r="P1561" i="1"/>
  <c r="U1561" i="1" s="1"/>
  <c r="P1562" i="1"/>
  <c r="U1562" i="1" s="1"/>
  <c r="P1563" i="1"/>
  <c r="U1563" i="1" s="1"/>
  <c r="P1564" i="1"/>
  <c r="U1564" i="1" s="1"/>
  <c r="P1565" i="1"/>
  <c r="U1565" i="1" s="1"/>
  <c r="P1566" i="1"/>
  <c r="U1566" i="1" s="1"/>
  <c r="P1567" i="1"/>
  <c r="U1567" i="1" s="1"/>
  <c r="P1568" i="1"/>
  <c r="U1568" i="1" s="1"/>
  <c r="P1569" i="1"/>
  <c r="U1569" i="1" s="1"/>
  <c r="P1570" i="1"/>
  <c r="U1570" i="1" s="1"/>
  <c r="P1571" i="1"/>
  <c r="U1571" i="1" s="1"/>
  <c r="P1572" i="1"/>
  <c r="U1572" i="1" s="1"/>
  <c r="P1573" i="1"/>
  <c r="U1573" i="1" s="1"/>
  <c r="P1574" i="1"/>
  <c r="U1574" i="1" s="1"/>
  <c r="P1575" i="1"/>
  <c r="U1575" i="1" s="1"/>
  <c r="P1576" i="1"/>
  <c r="U1576" i="1" s="1"/>
  <c r="P1577" i="1"/>
  <c r="U1577" i="1" s="1"/>
  <c r="P1578" i="1"/>
  <c r="U1578" i="1" s="1"/>
  <c r="P1579" i="1"/>
  <c r="U1579" i="1" s="1"/>
  <c r="P1580" i="1"/>
  <c r="U1580" i="1" s="1"/>
  <c r="P1581" i="1"/>
  <c r="U1581" i="1" s="1"/>
  <c r="P1582" i="1"/>
  <c r="U1582" i="1" s="1"/>
  <c r="P1583" i="1"/>
  <c r="U1583" i="1" s="1"/>
  <c r="P1584" i="1"/>
  <c r="U1584" i="1" s="1"/>
  <c r="P1585" i="1"/>
  <c r="U1585" i="1" s="1"/>
  <c r="P1586" i="1"/>
  <c r="U1586" i="1" s="1"/>
  <c r="P1587" i="1"/>
  <c r="U1587" i="1" s="1"/>
  <c r="P1588" i="1"/>
  <c r="U1588" i="1" s="1"/>
  <c r="P1589" i="1"/>
  <c r="U1589" i="1" s="1"/>
  <c r="P1590" i="1"/>
  <c r="U1590" i="1" s="1"/>
  <c r="P1591" i="1"/>
  <c r="U1591" i="1" s="1"/>
  <c r="P1592" i="1"/>
  <c r="U1592" i="1" s="1"/>
  <c r="P1593" i="1"/>
  <c r="U1593" i="1" s="1"/>
  <c r="P1594" i="1"/>
  <c r="U1594" i="1" s="1"/>
  <c r="P1595" i="1"/>
  <c r="U1595" i="1" s="1"/>
  <c r="P1596" i="1"/>
  <c r="U1596" i="1" s="1"/>
  <c r="P1597" i="1"/>
  <c r="U1597" i="1" s="1"/>
  <c r="P1598" i="1"/>
  <c r="U1598" i="1" s="1"/>
  <c r="P1599" i="1"/>
  <c r="U1599" i="1" s="1"/>
  <c r="P1600" i="1"/>
  <c r="U1600" i="1" s="1"/>
  <c r="P1601" i="1"/>
  <c r="U1601" i="1" s="1"/>
  <c r="P1602" i="1"/>
  <c r="U1602" i="1" s="1"/>
  <c r="P1603" i="1"/>
  <c r="U1603" i="1" s="1"/>
  <c r="P1604" i="1"/>
  <c r="U1604" i="1" s="1"/>
  <c r="P1605" i="1"/>
  <c r="U1605" i="1" s="1"/>
  <c r="P1606" i="1"/>
  <c r="U1606" i="1" s="1"/>
  <c r="P1607" i="1"/>
  <c r="U1607" i="1" s="1"/>
  <c r="P1608" i="1"/>
  <c r="U1608" i="1" s="1"/>
  <c r="P1609" i="1"/>
  <c r="U1609" i="1" s="1"/>
  <c r="P1610" i="1"/>
  <c r="U1610" i="1" s="1"/>
  <c r="P1611" i="1"/>
  <c r="U1611" i="1" s="1"/>
  <c r="P1612" i="1"/>
  <c r="U1612" i="1" s="1"/>
  <c r="P1613" i="1"/>
  <c r="U1613" i="1" s="1"/>
  <c r="P1614" i="1"/>
  <c r="U1614" i="1" s="1"/>
  <c r="P1615" i="1"/>
  <c r="U1615" i="1" s="1"/>
  <c r="P1616" i="1"/>
  <c r="U1616" i="1" s="1"/>
  <c r="P1617" i="1"/>
  <c r="U1617" i="1" s="1"/>
  <c r="P1618" i="1"/>
  <c r="U1618" i="1" s="1"/>
  <c r="P1619" i="1"/>
  <c r="U1619" i="1" s="1"/>
  <c r="P1620" i="1"/>
  <c r="U1620" i="1" s="1"/>
  <c r="P1621" i="1"/>
  <c r="U1621" i="1" s="1"/>
  <c r="P1622" i="1"/>
  <c r="U1622" i="1" s="1"/>
  <c r="P1623" i="1"/>
  <c r="U1623" i="1" s="1"/>
  <c r="P1624" i="1"/>
  <c r="U1624" i="1" s="1"/>
  <c r="P1625" i="1"/>
  <c r="U1625" i="1" s="1"/>
  <c r="P1626" i="1"/>
  <c r="U1626" i="1" s="1"/>
  <c r="P1627" i="1"/>
  <c r="U1627" i="1" s="1"/>
  <c r="P1628" i="1"/>
  <c r="U1628" i="1" s="1"/>
  <c r="P1629" i="1"/>
  <c r="U1629" i="1" s="1"/>
  <c r="P1630" i="1"/>
  <c r="U1630" i="1" s="1"/>
  <c r="P1631" i="1"/>
  <c r="U1631" i="1" s="1"/>
  <c r="P1632" i="1"/>
  <c r="U1632" i="1" s="1"/>
  <c r="P1633" i="1"/>
  <c r="U1633" i="1" s="1"/>
  <c r="P1634" i="1"/>
  <c r="U1634" i="1" s="1"/>
  <c r="P1635" i="1"/>
  <c r="U1635" i="1" s="1"/>
  <c r="P1636" i="1"/>
  <c r="U1636" i="1" s="1"/>
  <c r="P1637" i="1"/>
  <c r="U1637" i="1" s="1"/>
  <c r="P1638" i="1"/>
  <c r="U1638" i="1" s="1"/>
  <c r="P1639" i="1"/>
  <c r="U1639" i="1" s="1"/>
  <c r="P1640" i="1"/>
  <c r="U1640" i="1" s="1"/>
  <c r="P1641" i="1"/>
  <c r="U1641" i="1" s="1"/>
  <c r="P1642" i="1"/>
  <c r="U1642" i="1" s="1"/>
  <c r="P1643" i="1"/>
  <c r="U1643" i="1" s="1"/>
  <c r="P1644" i="1"/>
  <c r="U1644" i="1" s="1"/>
  <c r="P1645" i="1"/>
  <c r="U1645" i="1" s="1"/>
  <c r="P1646" i="1"/>
  <c r="U1646" i="1" s="1"/>
  <c r="P1647" i="1"/>
  <c r="U1647" i="1" s="1"/>
  <c r="P1648" i="1"/>
  <c r="U1648" i="1" s="1"/>
  <c r="P1649" i="1"/>
  <c r="U1649" i="1" s="1"/>
  <c r="P1650" i="1"/>
  <c r="U1650" i="1" s="1"/>
  <c r="P1651" i="1"/>
  <c r="U1651" i="1" s="1"/>
  <c r="P1652" i="1"/>
  <c r="U1652" i="1" s="1"/>
  <c r="P1653" i="1"/>
  <c r="U1653" i="1" s="1"/>
  <c r="P1654" i="1"/>
  <c r="U1654" i="1" s="1"/>
  <c r="P1655" i="1"/>
  <c r="U1655" i="1" s="1"/>
  <c r="P1656" i="1"/>
  <c r="U1656" i="1" s="1"/>
  <c r="P1657" i="1"/>
  <c r="U1657" i="1" s="1"/>
  <c r="P1658" i="1"/>
  <c r="U1658" i="1" s="1"/>
  <c r="P1659" i="1"/>
  <c r="U1659" i="1" s="1"/>
  <c r="P1660" i="1"/>
  <c r="U1660" i="1" s="1"/>
  <c r="P1661" i="1"/>
  <c r="U1661" i="1" s="1"/>
  <c r="P1662" i="1"/>
  <c r="U1662" i="1" s="1"/>
  <c r="P1663" i="1"/>
  <c r="U1663" i="1" s="1"/>
  <c r="P1664" i="1"/>
  <c r="U1664" i="1" s="1"/>
  <c r="P1665" i="1"/>
  <c r="U1665" i="1" s="1"/>
  <c r="P1666" i="1"/>
  <c r="U1666" i="1" s="1"/>
  <c r="P1667" i="1"/>
  <c r="U1667" i="1" s="1"/>
  <c r="P1668" i="1"/>
  <c r="U1668" i="1" s="1"/>
  <c r="P1669" i="1"/>
  <c r="U1669" i="1" s="1"/>
  <c r="P1670" i="1"/>
  <c r="U1670" i="1" s="1"/>
  <c r="P1671" i="1"/>
  <c r="U1671" i="1" s="1"/>
  <c r="P1672" i="1"/>
  <c r="U1672" i="1" s="1"/>
  <c r="P1673" i="1"/>
  <c r="U1673" i="1" s="1"/>
  <c r="P1674" i="1"/>
  <c r="U1674" i="1" s="1"/>
  <c r="P1675" i="1"/>
  <c r="U1675" i="1" s="1"/>
  <c r="P1676" i="1"/>
  <c r="U1676" i="1" s="1"/>
  <c r="P1677" i="1"/>
  <c r="U1677" i="1" s="1"/>
  <c r="P1678" i="1"/>
  <c r="U1678" i="1" s="1"/>
  <c r="P1679" i="1"/>
  <c r="U1679" i="1" s="1"/>
  <c r="P1680" i="1"/>
  <c r="U1680" i="1" s="1"/>
  <c r="P1681" i="1"/>
  <c r="U1681" i="1" s="1"/>
  <c r="P1682" i="1"/>
  <c r="U1682" i="1" s="1"/>
  <c r="P1683" i="1"/>
  <c r="U1683" i="1" s="1"/>
  <c r="P1684" i="1"/>
  <c r="U1684" i="1" s="1"/>
  <c r="P1685" i="1"/>
  <c r="U1685" i="1" s="1"/>
  <c r="P1686" i="1"/>
  <c r="U1686" i="1" s="1"/>
  <c r="P1687" i="1"/>
  <c r="U1687" i="1" s="1"/>
  <c r="P1688" i="1"/>
  <c r="U1688" i="1" s="1"/>
  <c r="P1689" i="1"/>
  <c r="U1689" i="1" s="1"/>
  <c r="P1690" i="1"/>
  <c r="U1690" i="1" s="1"/>
  <c r="P1691" i="1"/>
  <c r="U1691" i="1" s="1"/>
  <c r="P1692" i="1"/>
  <c r="U1692" i="1" s="1"/>
  <c r="P1693" i="1"/>
  <c r="U1693" i="1" s="1"/>
  <c r="P1694" i="1"/>
  <c r="U1694" i="1" s="1"/>
  <c r="P1695" i="1"/>
  <c r="U1695" i="1" s="1"/>
  <c r="P1696" i="1"/>
  <c r="U1696" i="1" s="1"/>
  <c r="P1697" i="1"/>
  <c r="U1697" i="1" s="1"/>
  <c r="P1698" i="1"/>
  <c r="U1698" i="1" s="1"/>
  <c r="P1699" i="1"/>
  <c r="U1699" i="1" s="1"/>
  <c r="P1700" i="1"/>
  <c r="U1700" i="1" s="1"/>
  <c r="P1701" i="1"/>
  <c r="U1701" i="1" s="1"/>
  <c r="P1702" i="1"/>
  <c r="U1702" i="1" s="1"/>
  <c r="P1703" i="1"/>
  <c r="U1703" i="1" s="1"/>
  <c r="P1704" i="1"/>
  <c r="U1704" i="1" s="1"/>
  <c r="P1705" i="1"/>
  <c r="U1705" i="1" s="1"/>
  <c r="P1706" i="1"/>
  <c r="U1706" i="1" s="1"/>
  <c r="P1707" i="1"/>
  <c r="U1707" i="1" s="1"/>
  <c r="P1708" i="1"/>
  <c r="U1708" i="1" s="1"/>
  <c r="P1709" i="1"/>
  <c r="U1709" i="1" s="1"/>
  <c r="P1710" i="1"/>
  <c r="U1710" i="1" s="1"/>
  <c r="P1711" i="1"/>
  <c r="U1711" i="1" s="1"/>
  <c r="P1712" i="1"/>
  <c r="U1712" i="1" s="1"/>
  <c r="P1713" i="1"/>
  <c r="U1713" i="1" s="1"/>
  <c r="P1714" i="1"/>
  <c r="U1714" i="1" s="1"/>
  <c r="P1715" i="1"/>
  <c r="U1715" i="1" s="1"/>
  <c r="P1716" i="1"/>
  <c r="U1716" i="1" s="1"/>
  <c r="P1717" i="1"/>
  <c r="U1717" i="1" s="1"/>
  <c r="P1718" i="1"/>
  <c r="U1718" i="1" s="1"/>
  <c r="P1719" i="1"/>
  <c r="U1719" i="1" s="1"/>
  <c r="P1720" i="1"/>
  <c r="U1720" i="1" s="1"/>
  <c r="P1721" i="1"/>
  <c r="U1721" i="1" s="1"/>
  <c r="P1722" i="1"/>
  <c r="U1722" i="1" s="1"/>
  <c r="P1723" i="1"/>
  <c r="U1723" i="1" s="1"/>
  <c r="P1724" i="1"/>
  <c r="U1724" i="1" s="1"/>
  <c r="P1725" i="1"/>
  <c r="U1725" i="1" s="1"/>
  <c r="P1726" i="1"/>
  <c r="U1726" i="1" s="1"/>
  <c r="P1727" i="1"/>
  <c r="U1727" i="1" s="1"/>
  <c r="P1728" i="1"/>
  <c r="U1728" i="1" s="1"/>
  <c r="P1729" i="1"/>
  <c r="U1729" i="1" s="1"/>
  <c r="P1730" i="1"/>
  <c r="U1730" i="1" s="1"/>
  <c r="P1731" i="1"/>
  <c r="U1731" i="1" s="1"/>
  <c r="P1732" i="1"/>
  <c r="U1732" i="1" s="1"/>
  <c r="P1733" i="1"/>
  <c r="U1733" i="1" s="1"/>
  <c r="P1734" i="1"/>
  <c r="U1734" i="1" s="1"/>
  <c r="P1735" i="1"/>
  <c r="U1735" i="1" s="1"/>
  <c r="P1736" i="1"/>
  <c r="U1736" i="1" s="1"/>
  <c r="P1737" i="1"/>
  <c r="U1737" i="1" s="1"/>
  <c r="P1738" i="1"/>
  <c r="U1738" i="1" s="1"/>
  <c r="P1739" i="1"/>
  <c r="U1739" i="1" s="1"/>
  <c r="P1740" i="1"/>
  <c r="U1740" i="1" s="1"/>
  <c r="P1741" i="1"/>
  <c r="U1741" i="1" s="1"/>
  <c r="P1742" i="1"/>
  <c r="U1742" i="1" s="1"/>
  <c r="P1744" i="1"/>
  <c r="U1744" i="1" s="1"/>
  <c r="P1745" i="1"/>
  <c r="U1745" i="1" s="1"/>
  <c r="P1746" i="1"/>
  <c r="U1746" i="1" s="1"/>
  <c r="P1747" i="1"/>
  <c r="U1747" i="1" s="1"/>
  <c r="P1748" i="1"/>
  <c r="U1748" i="1" s="1"/>
  <c r="P1749" i="1"/>
  <c r="U1749" i="1" s="1"/>
  <c r="P1750" i="1"/>
  <c r="U1750" i="1" s="1"/>
  <c r="P1751" i="1"/>
  <c r="U1751" i="1" s="1"/>
  <c r="P1752" i="1"/>
  <c r="U1752" i="1" s="1"/>
  <c r="P1753" i="1"/>
  <c r="U1753" i="1" s="1"/>
  <c r="P1754" i="1"/>
  <c r="U1754" i="1" s="1"/>
  <c r="P1755" i="1"/>
  <c r="U1755" i="1" s="1"/>
  <c r="P1756" i="1"/>
  <c r="U1756" i="1" s="1"/>
  <c r="P1757" i="1"/>
  <c r="U1757" i="1" s="1"/>
  <c r="P1758" i="1"/>
  <c r="U1758" i="1" s="1"/>
  <c r="P1759" i="1"/>
  <c r="U1759" i="1" s="1"/>
  <c r="P1761" i="1"/>
  <c r="U1761" i="1" s="1"/>
  <c r="P1762" i="1"/>
  <c r="U1762" i="1" s="1"/>
  <c r="P1763" i="1"/>
  <c r="U1763" i="1" s="1"/>
  <c r="P1764" i="1"/>
  <c r="U1764" i="1" s="1"/>
  <c r="P1765" i="1"/>
  <c r="U1765" i="1" s="1"/>
  <c r="P1766" i="1"/>
  <c r="U1766" i="1" s="1"/>
  <c r="P1767" i="1"/>
  <c r="U1767" i="1" s="1"/>
  <c r="P1768" i="1"/>
  <c r="U1768" i="1" s="1"/>
  <c r="P1769" i="1"/>
  <c r="U1769" i="1" s="1"/>
  <c r="P1770" i="1"/>
  <c r="U1770" i="1" s="1"/>
  <c r="P1771" i="1"/>
  <c r="U1771" i="1" s="1"/>
  <c r="P1772" i="1"/>
  <c r="U1772" i="1" s="1"/>
  <c r="P1773" i="1"/>
  <c r="U1773" i="1" s="1"/>
  <c r="P1774" i="1"/>
  <c r="U1774" i="1" s="1"/>
  <c r="P1775" i="1"/>
  <c r="U1775" i="1" s="1"/>
  <c r="P1776" i="1"/>
  <c r="U1776" i="1" s="1"/>
  <c r="P1777" i="1"/>
  <c r="U1777" i="1" s="1"/>
  <c r="P1778" i="1"/>
  <c r="U1778" i="1" s="1"/>
  <c r="P1779" i="1"/>
  <c r="U1779" i="1" s="1"/>
  <c r="P1780" i="1"/>
  <c r="U1780" i="1" s="1"/>
  <c r="P1781" i="1"/>
  <c r="U1781" i="1" s="1"/>
  <c r="P1782" i="1"/>
  <c r="U1782" i="1" s="1"/>
  <c r="P1783" i="1"/>
  <c r="U1783" i="1" s="1"/>
  <c r="P1784" i="1"/>
  <c r="U1784" i="1" s="1"/>
  <c r="P1785" i="1"/>
  <c r="U1785" i="1" s="1"/>
  <c r="P1787" i="1"/>
  <c r="U1787" i="1" s="1"/>
  <c r="P1788" i="1"/>
  <c r="U1788" i="1" s="1"/>
  <c r="P1789" i="1"/>
  <c r="U1789" i="1" s="1"/>
  <c r="P1790" i="1"/>
  <c r="U1790" i="1" s="1"/>
  <c r="P1791" i="1"/>
  <c r="U1791" i="1" s="1"/>
  <c r="P1792" i="1"/>
  <c r="U1792" i="1" s="1"/>
  <c r="P1793" i="1"/>
  <c r="U1793" i="1" s="1"/>
  <c r="P1794" i="1"/>
  <c r="U1794" i="1" s="1"/>
  <c r="P1795" i="1"/>
  <c r="U1795" i="1" s="1"/>
  <c r="P1796" i="1"/>
  <c r="U1796" i="1" s="1"/>
  <c r="P1797" i="1"/>
  <c r="U1797" i="1" s="1"/>
  <c r="P1798" i="1"/>
  <c r="U1798" i="1" s="1"/>
  <c r="P1799" i="1"/>
  <c r="U1799" i="1" s="1"/>
  <c r="P1800" i="1"/>
  <c r="U1800" i="1" s="1"/>
  <c r="P1801" i="1"/>
  <c r="U1801" i="1" s="1"/>
  <c r="P1802" i="1"/>
  <c r="U1802" i="1" s="1"/>
  <c r="P1803" i="1"/>
  <c r="U1803" i="1" s="1"/>
  <c r="P1804" i="1"/>
  <c r="U1804" i="1" s="1"/>
  <c r="P1805" i="1"/>
  <c r="U1805" i="1" s="1"/>
  <c r="P1806" i="1"/>
  <c r="U1806" i="1" s="1"/>
  <c r="P1807" i="1"/>
  <c r="U1807" i="1" s="1"/>
  <c r="P1808" i="1"/>
  <c r="U1808" i="1" s="1"/>
  <c r="P1809" i="1"/>
  <c r="U1809" i="1" s="1"/>
  <c r="P1810" i="1"/>
  <c r="U1810" i="1" s="1"/>
  <c r="P1811" i="1"/>
  <c r="U1811" i="1" s="1"/>
  <c r="P1812" i="1"/>
  <c r="U1812" i="1" s="1"/>
  <c r="P1813" i="1"/>
  <c r="U1813" i="1" s="1"/>
  <c r="P1814" i="1"/>
  <c r="U1814" i="1" s="1"/>
  <c r="P1815" i="1"/>
  <c r="U1815" i="1" s="1"/>
  <c r="P1817" i="1"/>
  <c r="U1817" i="1" s="1"/>
  <c r="P1818" i="1"/>
  <c r="U1818" i="1" s="1"/>
  <c r="P1819" i="1"/>
  <c r="U1819" i="1" s="1"/>
  <c r="P1820" i="1"/>
  <c r="U1820" i="1" s="1"/>
  <c r="P1821" i="1"/>
  <c r="U1821" i="1" s="1"/>
  <c r="P1822" i="1"/>
  <c r="U1822" i="1" s="1"/>
  <c r="P1823" i="1"/>
  <c r="U1823" i="1" s="1"/>
  <c r="P1824" i="1"/>
  <c r="U1824" i="1" s="1"/>
  <c r="P1825" i="1"/>
  <c r="U1825" i="1" s="1"/>
  <c r="P1826" i="1"/>
  <c r="U1826" i="1" s="1"/>
  <c r="P1827" i="1"/>
  <c r="U1827" i="1" s="1"/>
  <c r="P1828" i="1"/>
  <c r="U1828" i="1" s="1"/>
  <c r="P1829" i="1"/>
  <c r="U1829" i="1" s="1"/>
  <c r="P1830" i="1"/>
  <c r="U1830" i="1" s="1"/>
  <c r="P1831" i="1"/>
  <c r="U1831" i="1" s="1"/>
  <c r="P1832" i="1"/>
  <c r="U1832" i="1" s="1"/>
  <c r="P1833" i="1"/>
  <c r="U1833" i="1" s="1"/>
  <c r="P1834" i="1"/>
  <c r="U1834" i="1" s="1"/>
  <c r="P1835" i="1"/>
  <c r="U1835" i="1" s="1"/>
  <c r="P1836" i="1"/>
  <c r="U1836" i="1" s="1"/>
  <c r="P1837" i="1"/>
  <c r="U1837" i="1" s="1"/>
  <c r="P1838" i="1"/>
  <c r="U1838" i="1" s="1"/>
  <c r="P1839" i="1"/>
  <c r="U1839" i="1" s="1"/>
  <c r="P1840" i="1"/>
  <c r="U1840" i="1" s="1"/>
  <c r="P1841" i="1"/>
  <c r="U1841" i="1" s="1"/>
  <c r="P1842" i="1"/>
  <c r="U1842" i="1" s="1"/>
  <c r="P1843" i="1"/>
  <c r="U1843" i="1" s="1"/>
  <c r="P1844" i="1"/>
  <c r="U1844" i="1" s="1"/>
  <c r="P1845" i="1"/>
  <c r="U1845" i="1" s="1"/>
  <c r="P1846" i="1"/>
  <c r="U1846" i="1" s="1"/>
  <c r="P1847" i="1"/>
  <c r="U1847" i="1" s="1"/>
  <c r="P1848" i="1"/>
  <c r="U1848" i="1" s="1"/>
  <c r="P1850" i="1"/>
  <c r="U1850" i="1" s="1"/>
  <c r="P1851" i="1"/>
  <c r="U1851" i="1" s="1"/>
  <c r="P1852" i="1"/>
  <c r="U1852" i="1" s="1"/>
  <c r="P1853" i="1"/>
  <c r="U1853" i="1" s="1"/>
  <c r="P1854" i="1"/>
  <c r="U1854" i="1" s="1"/>
  <c r="P1855" i="1"/>
  <c r="U1855" i="1" s="1"/>
  <c r="P1857" i="1"/>
  <c r="U1857" i="1" s="1"/>
  <c r="P1858" i="1"/>
  <c r="U1858" i="1" s="1"/>
  <c r="P1859" i="1"/>
  <c r="U1859" i="1" s="1"/>
  <c r="P1860" i="1"/>
  <c r="U1860" i="1" s="1"/>
  <c r="P1861" i="1"/>
  <c r="U1861" i="1" s="1"/>
  <c r="P1862" i="1"/>
  <c r="U1862" i="1" s="1"/>
  <c r="P1863" i="1"/>
  <c r="U1863" i="1" s="1"/>
  <c r="P1864" i="1"/>
  <c r="U1864" i="1" s="1"/>
  <c r="P1865" i="1"/>
  <c r="U1865" i="1" s="1"/>
  <c r="P1866" i="1"/>
  <c r="U1866" i="1" s="1"/>
  <c r="P1867" i="1"/>
  <c r="U1867" i="1" s="1"/>
  <c r="P1868" i="1"/>
  <c r="U1868" i="1" s="1"/>
  <c r="P1869" i="1"/>
  <c r="U1869" i="1" s="1"/>
  <c r="P1870" i="1"/>
  <c r="U1870" i="1" s="1"/>
  <c r="P1871" i="1"/>
  <c r="U1871" i="1" s="1"/>
  <c r="P1872" i="1"/>
  <c r="U1872" i="1" s="1"/>
  <c r="P1873" i="1"/>
  <c r="U1873" i="1" s="1"/>
  <c r="P1874" i="1"/>
  <c r="U1874" i="1" s="1"/>
  <c r="P1875" i="1"/>
  <c r="U1875" i="1" s="1"/>
  <c r="P1876" i="1"/>
  <c r="U1876" i="1" s="1"/>
  <c r="P1877" i="1"/>
  <c r="U1877" i="1" s="1"/>
  <c r="P1878" i="1"/>
  <c r="U1878" i="1" s="1"/>
  <c r="P1879" i="1"/>
  <c r="U1879" i="1" s="1"/>
  <c r="P1880" i="1"/>
  <c r="U1880" i="1" s="1"/>
  <c r="P1881" i="1"/>
  <c r="U1881" i="1" s="1"/>
  <c r="P1882" i="1"/>
  <c r="U1882" i="1" s="1"/>
  <c r="P1883" i="1"/>
  <c r="U1883" i="1" s="1"/>
  <c r="P1885" i="1"/>
  <c r="U1885" i="1" s="1"/>
  <c r="P1886" i="1"/>
  <c r="U1886" i="1" s="1"/>
  <c r="P1887" i="1"/>
  <c r="U1887" i="1" s="1"/>
  <c r="P1888" i="1"/>
  <c r="U1888" i="1" s="1"/>
  <c r="P1889" i="1"/>
  <c r="U1889" i="1" s="1"/>
  <c r="P1890" i="1"/>
  <c r="U1890" i="1" s="1"/>
  <c r="P1891" i="1"/>
  <c r="U1891" i="1" s="1"/>
  <c r="P1892" i="1"/>
  <c r="U1892" i="1" s="1"/>
  <c r="P1893" i="1"/>
  <c r="U1893" i="1" s="1"/>
  <c r="P1894" i="1"/>
  <c r="U1894" i="1" s="1"/>
  <c r="P1895" i="1"/>
  <c r="U1895" i="1" s="1"/>
  <c r="P1896" i="1"/>
  <c r="U1896" i="1" s="1"/>
  <c r="P1897" i="1"/>
  <c r="U1897" i="1" s="1"/>
  <c r="P1898" i="1"/>
  <c r="U1898" i="1" s="1"/>
  <c r="P1899" i="1"/>
  <c r="U1899" i="1" s="1"/>
  <c r="P1900" i="1"/>
  <c r="U1900" i="1" s="1"/>
  <c r="P1901" i="1"/>
  <c r="U1901" i="1" s="1"/>
  <c r="P1902" i="1"/>
  <c r="U1902" i="1" s="1"/>
  <c r="P1903" i="1"/>
  <c r="U1903" i="1" s="1"/>
  <c r="P1904" i="1"/>
  <c r="U1904" i="1" s="1"/>
  <c r="P1905" i="1"/>
  <c r="U1905" i="1" s="1"/>
  <c r="P1906" i="1"/>
  <c r="U1906" i="1" s="1"/>
  <c r="P1907" i="1"/>
  <c r="U1907" i="1" s="1"/>
  <c r="P1908" i="1"/>
  <c r="U1908" i="1" s="1"/>
  <c r="P1909" i="1"/>
  <c r="U1909" i="1" s="1"/>
  <c r="P1910" i="1"/>
  <c r="U1910" i="1" s="1"/>
  <c r="P1911" i="1"/>
  <c r="U1911" i="1" s="1"/>
  <c r="P1912" i="1"/>
  <c r="U1912" i="1" s="1"/>
  <c r="P1913" i="1"/>
  <c r="U1913" i="1" s="1"/>
  <c r="P1914" i="1"/>
  <c r="U1914" i="1" s="1"/>
  <c r="P1915" i="1"/>
  <c r="U1915" i="1" s="1"/>
  <c r="P1916" i="1"/>
  <c r="U1916" i="1" s="1"/>
  <c r="P1917" i="1"/>
  <c r="U1917" i="1" s="1"/>
  <c r="P1918" i="1"/>
  <c r="U1918" i="1" s="1"/>
  <c r="P1919" i="1"/>
  <c r="U1919" i="1" s="1"/>
  <c r="P1920" i="1"/>
  <c r="U1920" i="1" s="1"/>
  <c r="P1921" i="1"/>
  <c r="U1921" i="1" s="1"/>
  <c r="P1922" i="1"/>
  <c r="U1922" i="1" s="1"/>
  <c r="P1923" i="1"/>
  <c r="U1923" i="1" s="1"/>
  <c r="P1924" i="1"/>
  <c r="U1924" i="1" s="1"/>
  <c r="P1925" i="1"/>
  <c r="U1925" i="1" s="1"/>
  <c r="P1926" i="1"/>
  <c r="U1926" i="1" s="1"/>
  <c r="P1927" i="1"/>
  <c r="U1927" i="1" s="1"/>
  <c r="P1929" i="1"/>
  <c r="U1929" i="1" s="1"/>
  <c r="P1930" i="1"/>
  <c r="U1930" i="1" s="1"/>
  <c r="P1931" i="1"/>
  <c r="U1931" i="1" s="1"/>
  <c r="P1932" i="1"/>
  <c r="U1932" i="1" s="1"/>
  <c r="P1933" i="1"/>
  <c r="U1933" i="1" s="1"/>
  <c r="P1934" i="1"/>
  <c r="U1934" i="1" s="1"/>
  <c r="P1935" i="1"/>
  <c r="U1935" i="1" s="1"/>
  <c r="P1936" i="1"/>
  <c r="U1936" i="1" s="1"/>
  <c r="P1937" i="1"/>
  <c r="U1937" i="1" s="1"/>
  <c r="P1938" i="1"/>
  <c r="U1938" i="1" s="1"/>
  <c r="P1939" i="1"/>
  <c r="U1939" i="1" s="1"/>
  <c r="P1940" i="1"/>
  <c r="U1940" i="1" s="1"/>
  <c r="P1941" i="1"/>
  <c r="U1941" i="1" s="1"/>
  <c r="P1942" i="1"/>
  <c r="U1942" i="1" s="1"/>
  <c r="P1943" i="1"/>
  <c r="U1943" i="1" s="1"/>
  <c r="P1944" i="1"/>
  <c r="U1944" i="1" s="1"/>
  <c r="P1945" i="1"/>
  <c r="U1945" i="1" s="1"/>
  <c r="P1946" i="1"/>
  <c r="U1946" i="1" s="1"/>
  <c r="P1947" i="1"/>
  <c r="U1947" i="1" s="1"/>
  <c r="P1948" i="1"/>
  <c r="U1948" i="1" s="1"/>
  <c r="P1949" i="1"/>
  <c r="U1949" i="1" s="1"/>
  <c r="P1950" i="1"/>
  <c r="U1950" i="1" s="1"/>
  <c r="P1951" i="1"/>
  <c r="U1951" i="1" s="1"/>
  <c r="P1952" i="1"/>
  <c r="U1952" i="1" s="1"/>
  <c r="P1953" i="1"/>
  <c r="U1953" i="1" s="1"/>
  <c r="P1954" i="1"/>
  <c r="U1954" i="1" s="1"/>
  <c r="P1955" i="1"/>
  <c r="U1955" i="1" s="1"/>
  <c r="P1956" i="1"/>
  <c r="U1956" i="1" s="1"/>
  <c r="P1957" i="1"/>
  <c r="U1957" i="1" s="1"/>
  <c r="P1958" i="1"/>
  <c r="U1958" i="1" s="1"/>
  <c r="P1959" i="1"/>
  <c r="U1959" i="1" s="1"/>
  <c r="P1960" i="1"/>
  <c r="U1960" i="1" s="1"/>
  <c r="P1961" i="1"/>
  <c r="U1961" i="1" s="1"/>
  <c r="P1962" i="1"/>
  <c r="U1962" i="1" s="1"/>
  <c r="P1963" i="1"/>
  <c r="U1963" i="1" s="1"/>
  <c r="P1964" i="1"/>
  <c r="U1964" i="1" s="1"/>
  <c r="P1965" i="1"/>
  <c r="U1965" i="1" s="1"/>
  <c r="P1966" i="1"/>
  <c r="U1966" i="1" s="1"/>
  <c r="P1967" i="1"/>
  <c r="U1967" i="1" s="1"/>
  <c r="P1968" i="1"/>
  <c r="U1968" i="1" s="1"/>
  <c r="P1969" i="1"/>
  <c r="U1969" i="1" s="1"/>
  <c r="P1970" i="1"/>
  <c r="U1970" i="1" s="1"/>
  <c r="P1971" i="1"/>
  <c r="U1971" i="1" s="1"/>
  <c r="P1972" i="1"/>
  <c r="U1972" i="1" s="1"/>
  <c r="P1973" i="1"/>
  <c r="U1973" i="1" s="1"/>
  <c r="P1974" i="1"/>
  <c r="U1974" i="1" s="1"/>
  <c r="P1975" i="1"/>
  <c r="U1975" i="1" s="1"/>
  <c r="P1976" i="1"/>
  <c r="U1976" i="1" s="1"/>
  <c r="P1977" i="1"/>
  <c r="U1977" i="1" s="1"/>
  <c r="P1978" i="1"/>
  <c r="U1978" i="1" s="1"/>
  <c r="P1979" i="1"/>
  <c r="U1979" i="1" s="1"/>
  <c r="P1980" i="1"/>
  <c r="U1980" i="1" s="1"/>
  <c r="P1981" i="1"/>
  <c r="U1981" i="1" s="1"/>
  <c r="P1982" i="1"/>
  <c r="U1982" i="1" s="1"/>
  <c r="P1983" i="1"/>
  <c r="U1983" i="1" s="1"/>
  <c r="P1984" i="1"/>
  <c r="U1984" i="1" s="1"/>
  <c r="P1985" i="1"/>
  <c r="U1985" i="1" s="1"/>
  <c r="P1986" i="1"/>
  <c r="U1986" i="1" s="1"/>
  <c r="P1987" i="1"/>
  <c r="U1987" i="1" s="1"/>
  <c r="P1988" i="1"/>
  <c r="U1988" i="1" s="1"/>
  <c r="P1989" i="1"/>
  <c r="U1989" i="1" s="1"/>
  <c r="P1990" i="1"/>
  <c r="U1990" i="1" s="1"/>
  <c r="P1991" i="1"/>
  <c r="U1991" i="1" s="1"/>
  <c r="P1992" i="1"/>
  <c r="U1992" i="1" s="1"/>
  <c r="P1993" i="1"/>
  <c r="U1993" i="1" s="1"/>
  <c r="P1994" i="1"/>
  <c r="U1994" i="1" s="1"/>
  <c r="P1995" i="1"/>
  <c r="U1995" i="1" s="1"/>
  <c r="P1996" i="1"/>
  <c r="U1996" i="1" s="1"/>
  <c r="P1997" i="1"/>
  <c r="U1997" i="1" s="1"/>
  <c r="P1998" i="1"/>
  <c r="U1998" i="1" s="1"/>
  <c r="P1999" i="1"/>
  <c r="U1999" i="1" s="1"/>
  <c r="P2000" i="1"/>
  <c r="U2000" i="1" s="1"/>
  <c r="P2001" i="1"/>
  <c r="U2001" i="1" s="1"/>
  <c r="P2002" i="1"/>
  <c r="U2002" i="1" s="1"/>
  <c r="P2003" i="1"/>
  <c r="U2003" i="1" s="1"/>
  <c r="P2004" i="1"/>
  <c r="U2004" i="1" s="1"/>
  <c r="P2005" i="1"/>
  <c r="U2005" i="1" s="1"/>
  <c r="P2006" i="1"/>
  <c r="U2006" i="1" s="1"/>
  <c r="P2007" i="1"/>
  <c r="U2007" i="1" s="1"/>
  <c r="P2008" i="1"/>
  <c r="U2008" i="1" s="1"/>
  <c r="P2009" i="1"/>
  <c r="U2009" i="1" s="1"/>
  <c r="P2010" i="1"/>
  <c r="U2010" i="1" s="1"/>
  <c r="P2011" i="1"/>
  <c r="U2011" i="1" s="1"/>
  <c r="P2012" i="1"/>
  <c r="U2012" i="1" s="1"/>
  <c r="P2013" i="1"/>
  <c r="U2013" i="1" s="1"/>
  <c r="P2014" i="1"/>
  <c r="U2014" i="1" s="1"/>
  <c r="P2015" i="1"/>
  <c r="U2015" i="1" s="1"/>
  <c r="P2016" i="1"/>
  <c r="U2016" i="1" s="1"/>
  <c r="P2017" i="1"/>
  <c r="U2017" i="1" s="1"/>
  <c r="P2018" i="1"/>
  <c r="U2018" i="1" s="1"/>
  <c r="P2019" i="1"/>
  <c r="U2019" i="1" s="1"/>
  <c r="P2020" i="1"/>
  <c r="U2020" i="1" s="1"/>
  <c r="P2021" i="1"/>
  <c r="U2021" i="1" s="1"/>
  <c r="P2022" i="1"/>
  <c r="U2022" i="1" s="1"/>
  <c r="P2023" i="1"/>
  <c r="U2023" i="1" s="1"/>
  <c r="P2024" i="1"/>
  <c r="U2024" i="1" s="1"/>
  <c r="P2025" i="1"/>
  <c r="U2025" i="1" s="1"/>
  <c r="P2026" i="1"/>
  <c r="U2026" i="1" s="1"/>
  <c r="P2027" i="1"/>
  <c r="U2027" i="1" s="1"/>
  <c r="P2028" i="1"/>
  <c r="U2028" i="1" s="1"/>
  <c r="P2029" i="1"/>
  <c r="U2029" i="1" s="1"/>
  <c r="P2030" i="1"/>
  <c r="U2030" i="1" s="1"/>
  <c r="P2031" i="1"/>
  <c r="U2031" i="1" s="1"/>
  <c r="P2032" i="1"/>
  <c r="U2032" i="1" s="1"/>
  <c r="P2033" i="1"/>
  <c r="U2033" i="1" s="1"/>
  <c r="P2034" i="1"/>
  <c r="U2034" i="1" s="1"/>
  <c r="P2035" i="1"/>
  <c r="U2035" i="1" s="1"/>
  <c r="P2036" i="1"/>
  <c r="U2036" i="1" s="1"/>
  <c r="P2037" i="1"/>
  <c r="U2037" i="1" s="1"/>
  <c r="P2038" i="1"/>
  <c r="U2038" i="1" s="1"/>
  <c r="P2039" i="1"/>
  <c r="U2039" i="1" s="1"/>
  <c r="P2040" i="1"/>
  <c r="U2040" i="1" s="1"/>
  <c r="P2041" i="1"/>
  <c r="U2041" i="1" s="1"/>
  <c r="P2042" i="1"/>
  <c r="U2042" i="1" s="1"/>
  <c r="P2043" i="1"/>
  <c r="U2043" i="1" s="1"/>
  <c r="P2044" i="1"/>
  <c r="U2044" i="1" s="1"/>
  <c r="P2045" i="1"/>
  <c r="U2045" i="1" s="1"/>
  <c r="P2046" i="1"/>
  <c r="U2046" i="1" s="1"/>
  <c r="P2047" i="1"/>
  <c r="U2047" i="1" s="1"/>
  <c r="P2048" i="1"/>
  <c r="U2048" i="1" s="1"/>
  <c r="P2049" i="1"/>
  <c r="U2049" i="1" s="1"/>
  <c r="P2050" i="1"/>
  <c r="U2050" i="1" s="1"/>
  <c r="P2051" i="1"/>
  <c r="U2051" i="1" s="1"/>
  <c r="P2052" i="1"/>
  <c r="U2052" i="1" s="1"/>
  <c r="P2053" i="1"/>
  <c r="U2053" i="1" s="1"/>
  <c r="P2054" i="1"/>
  <c r="U2054" i="1" s="1"/>
  <c r="P2055" i="1"/>
  <c r="U2055" i="1" s="1"/>
  <c r="P2056" i="1"/>
  <c r="U2056" i="1" s="1"/>
  <c r="P2057" i="1"/>
  <c r="U2057" i="1" s="1"/>
  <c r="P2058" i="1"/>
  <c r="U2058" i="1" s="1"/>
  <c r="P2059" i="1"/>
  <c r="U2059" i="1" s="1"/>
  <c r="P2060" i="1"/>
  <c r="U2060" i="1" s="1"/>
  <c r="P2061" i="1"/>
  <c r="U2061" i="1" s="1"/>
  <c r="P2062" i="1"/>
  <c r="U2062" i="1" s="1"/>
  <c r="P2063" i="1"/>
  <c r="U2063" i="1" s="1"/>
  <c r="P2064" i="1"/>
  <c r="U2064" i="1" s="1"/>
  <c r="P2065" i="1"/>
  <c r="U2065" i="1" s="1"/>
  <c r="P2066" i="1"/>
  <c r="U2066" i="1" s="1"/>
  <c r="P2067" i="1"/>
  <c r="U2067" i="1" s="1"/>
  <c r="P2068" i="1"/>
  <c r="U2068" i="1" s="1"/>
  <c r="P2069" i="1"/>
  <c r="U2069" i="1" s="1"/>
  <c r="P2070" i="1"/>
  <c r="U2070" i="1" s="1"/>
  <c r="P2071" i="1"/>
  <c r="U2071" i="1" s="1"/>
  <c r="P2072" i="1"/>
  <c r="U2072" i="1" s="1"/>
  <c r="P2073" i="1"/>
  <c r="U2073" i="1" s="1"/>
  <c r="P2074" i="1"/>
  <c r="U2074" i="1" s="1"/>
  <c r="P2075" i="1"/>
  <c r="U2075" i="1" s="1"/>
  <c r="P2076" i="1"/>
  <c r="U2076" i="1" s="1"/>
  <c r="P2077" i="1"/>
  <c r="U2077" i="1" s="1"/>
  <c r="P2078" i="1"/>
  <c r="U2078" i="1" s="1"/>
  <c r="P2079" i="1"/>
  <c r="U2079" i="1" s="1"/>
  <c r="P2080" i="1"/>
  <c r="U2080" i="1" s="1"/>
  <c r="P2081" i="1"/>
  <c r="U2081" i="1" s="1"/>
  <c r="P2082" i="1"/>
  <c r="U2082" i="1" s="1"/>
  <c r="P2083" i="1"/>
  <c r="U2083" i="1" s="1"/>
  <c r="P2084" i="1"/>
  <c r="U2084" i="1" s="1"/>
  <c r="P2085" i="1"/>
  <c r="U2085" i="1" s="1"/>
  <c r="P2086" i="1"/>
  <c r="U2086" i="1" s="1"/>
  <c r="P2087" i="1"/>
  <c r="U2087" i="1" s="1"/>
  <c r="P2088" i="1"/>
  <c r="U2088" i="1" s="1"/>
  <c r="P2089" i="1"/>
  <c r="U2089" i="1" s="1"/>
  <c r="P2090" i="1"/>
  <c r="U2090" i="1" s="1"/>
  <c r="P2091" i="1"/>
  <c r="U2091" i="1" s="1"/>
  <c r="P2092" i="1"/>
  <c r="U2092" i="1" s="1"/>
  <c r="P2093" i="1"/>
  <c r="U2093" i="1" s="1"/>
  <c r="P2094" i="1"/>
  <c r="U2094" i="1" s="1"/>
  <c r="P2095" i="1"/>
  <c r="U2095" i="1" s="1"/>
  <c r="P2096" i="1"/>
  <c r="U2096" i="1" s="1"/>
  <c r="P2097" i="1"/>
  <c r="U2097" i="1" s="1"/>
  <c r="P2098" i="1"/>
  <c r="U2098" i="1" s="1"/>
  <c r="P2099" i="1"/>
  <c r="U2099" i="1" s="1"/>
  <c r="P2100" i="1"/>
  <c r="U2100" i="1" s="1"/>
  <c r="P2101" i="1"/>
  <c r="U2101" i="1" s="1"/>
  <c r="P2102" i="1"/>
  <c r="U2102" i="1" s="1"/>
  <c r="P2103" i="1"/>
  <c r="U2103" i="1" s="1"/>
  <c r="P2104" i="1"/>
  <c r="U2104" i="1" s="1"/>
  <c r="P2105" i="1"/>
  <c r="U2105" i="1" s="1"/>
  <c r="P2106" i="1"/>
  <c r="U2106" i="1" s="1"/>
  <c r="P2107" i="1"/>
  <c r="U2107" i="1" s="1"/>
  <c r="P2108" i="1"/>
  <c r="U2108" i="1" s="1"/>
  <c r="P2109" i="1"/>
  <c r="U2109" i="1" s="1"/>
  <c r="P2110" i="1"/>
  <c r="U2110" i="1" s="1"/>
  <c r="P2111" i="1"/>
  <c r="U2111" i="1" s="1"/>
  <c r="P2112" i="1"/>
  <c r="U2112" i="1" s="1"/>
  <c r="P2113" i="1"/>
  <c r="U2113" i="1" s="1"/>
  <c r="P2114" i="1"/>
  <c r="U2114" i="1" s="1"/>
  <c r="P2115" i="1"/>
  <c r="U2115" i="1" s="1"/>
  <c r="P2116" i="1"/>
  <c r="U2116" i="1" s="1"/>
  <c r="P2117" i="1"/>
  <c r="U2117" i="1" s="1"/>
  <c r="P2118" i="1"/>
  <c r="U2118" i="1" s="1"/>
  <c r="P2119" i="1"/>
  <c r="U2119" i="1" s="1"/>
  <c r="P2120" i="1"/>
  <c r="U2120" i="1" s="1"/>
  <c r="P2121" i="1"/>
  <c r="U2121" i="1" s="1"/>
  <c r="P2122" i="1"/>
  <c r="U2122" i="1" s="1"/>
  <c r="P2123" i="1"/>
  <c r="U2123" i="1" s="1"/>
  <c r="P2124" i="1"/>
  <c r="U2124" i="1" s="1"/>
  <c r="P2125" i="1"/>
  <c r="U2125" i="1" s="1"/>
  <c r="P2126" i="1"/>
  <c r="U2126" i="1" s="1"/>
  <c r="P2127" i="1"/>
  <c r="U2127" i="1" s="1"/>
  <c r="P2128" i="1"/>
  <c r="U2128" i="1" s="1"/>
  <c r="P2129" i="1"/>
  <c r="U2129" i="1" s="1"/>
  <c r="P2130" i="1"/>
  <c r="U2130" i="1" s="1"/>
  <c r="P2131" i="1"/>
  <c r="U2131" i="1" s="1"/>
  <c r="P2132" i="1"/>
  <c r="U2132" i="1" s="1"/>
  <c r="P2133" i="1"/>
  <c r="U2133" i="1" s="1"/>
  <c r="P2134" i="1"/>
  <c r="U2134" i="1" s="1"/>
  <c r="P2135" i="1"/>
  <c r="U2135" i="1" s="1"/>
  <c r="P2136" i="1"/>
  <c r="U2136" i="1" s="1"/>
  <c r="P2137" i="1"/>
  <c r="U2137" i="1" s="1"/>
  <c r="P2138" i="1"/>
  <c r="U2138" i="1" s="1"/>
  <c r="P2139" i="1"/>
  <c r="U2139" i="1" s="1"/>
  <c r="P2140" i="1"/>
  <c r="U2140" i="1" s="1"/>
  <c r="P2141" i="1"/>
  <c r="U2141" i="1" s="1"/>
  <c r="P2142" i="1"/>
  <c r="U2142" i="1" s="1"/>
  <c r="P2143" i="1"/>
  <c r="U2143" i="1" s="1"/>
  <c r="P2144" i="1"/>
  <c r="U2144" i="1" s="1"/>
  <c r="P2145" i="1"/>
  <c r="U2145" i="1" s="1"/>
  <c r="P2146" i="1"/>
  <c r="U2146" i="1" s="1"/>
  <c r="P2147" i="1"/>
  <c r="U2147" i="1" s="1"/>
  <c r="P2148" i="1"/>
  <c r="U2148" i="1" s="1"/>
  <c r="P2149" i="1"/>
  <c r="U2149" i="1" s="1"/>
  <c r="P2150" i="1"/>
  <c r="U2150" i="1" s="1"/>
  <c r="P2151" i="1"/>
  <c r="U2151" i="1" s="1"/>
  <c r="P2152" i="1"/>
  <c r="U2152" i="1" s="1"/>
  <c r="P2153" i="1"/>
  <c r="U2153" i="1" s="1"/>
  <c r="P2154" i="1"/>
  <c r="U2154" i="1" s="1"/>
  <c r="P2155" i="1"/>
  <c r="U2155" i="1" s="1"/>
  <c r="P2157" i="1"/>
  <c r="U2157" i="1" s="1"/>
  <c r="P2158" i="1"/>
  <c r="U2158" i="1" s="1"/>
  <c r="P2159" i="1"/>
  <c r="U2159" i="1" s="1"/>
  <c r="P2160" i="1"/>
  <c r="U2160" i="1" s="1"/>
  <c r="P2161" i="1"/>
  <c r="U2161" i="1" s="1"/>
  <c r="P2162" i="1"/>
  <c r="U2162" i="1" s="1"/>
  <c r="P2163" i="1"/>
  <c r="U2163" i="1" s="1"/>
  <c r="P2164" i="1"/>
  <c r="U2164" i="1" s="1"/>
  <c r="P2165" i="1"/>
  <c r="U2165" i="1" s="1"/>
  <c r="P2166" i="1"/>
  <c r="U2166" i="1" s="1"/>
  <c r="P2167" i="1"/>
  <c r="U2167" i="1" s="1"/>
  <c r="P2168" i="1"/>
  <c r="U2168" i="1" s="1"/>
  <c r="P2169" i="1"/>
  <c r="U2169" i="1" s="1"/>
  <c r="P2170" i="1"/>
  <c r="U2170" i="1" s="1"/>
  <c r="P2171" i="1"/>
  <c r="U2171" i="1" s="1"/>
  <c r="P2172" i="1"/>
  <c r="U2172" i="1" s="1"/>
  <c r="P2173" i="1"/>
  <c r="U2173" i="1" s="1"/>
  <c r="P2174" i="1"/>
  <c r="U2174" i="1" s="1"/>
  <c r="P2175" i="1"/>
  <c r="U2175" i="1" s="1"/>
  <c r="P2176" i="1"/>
  <c r="U2176" i="1" s="1"/>
  <c r="P2177" i="1"/>
  <c r="U2177" i="1" s="1"/>
  <c r="P2178" i="1"/>
  <c r="U2178" i="1" s="1"/>
  <c r="P2179" i="1"/>
  <c r="U2179" i="1" s="1"/>
  <c r="P2180" i="1"/>
  <c r="U2180" i="1" s="1"/>
  <c r="P2181" i="1"/>
  <c r="U2181" i="1" s="1"/>
  <c r="P2182" i="1"/>
  <c r="U2182" i="1" s="1"/>
  <c r="P2183" i="1"/>
  <c r="U2183" i="1" s="1"/>
  <c r="P2184" i="1"/>
  <c r="U2184" i="1" s="1"/>
  <c r="P2185" i="1"/>
  <c r="U2185" i="1" s="1"/>
  <c r="P2186" i="1"/>
  <c r="U2186" i="1" s="1"/>
  <c r="P2187" i="1"/>
  <c r="U2187" i="1" s="1"/>
  <c r="P2188" i="1"/>
  <c r="U2188" i="1" s="1"/>
  <c r="P2189" i="1"/>
  <c r="U2189" i="1" s="1"/>
  <c r="P2190" i="1"/>
  <c r="U2190" i="1" s="1"/>
  <c r="P2191" i="1"/>
  <c r="U2191" i="1" s="1"/>
  <c r="P2192" i="1"/>
  <c r="U2192" i="1" s="1"/>
  <c r="P2193" i="1"/>
  <c r="U2193" i="1" s="1"/>
  <c r="P2194" i="1"/>
  <c r="U2194" i="1" s="1"/>
  <c r="P2195" i="1"/>
  <c r="U2195" i="1" s="1"/>
  <c r="P2196" i="1"/>
  <c r="U2196" i="1" s="1"/>
  <c r="P2197" i="1"/>
  <c r="U2197" i="1" s="1"/>
  <c r="P2198" i="1"/>
  <c r="U2198" i="1" s="1"/>
  <c r="P2199" i="1"/>
  <c r="U2199" i="1" s="1"/>
  <c r="P2200" i="1"/>
  <c r="U2200" i="1" s="1"/>
  <c r="P2201" i="1"/>
  <c r="U2201" i="1" s="1"/>
  <c r="P2202" i="1"/>
  <c r="U2202" i="1" s="1"/>
  <c r="P2203" i="1"/>
  <c r="U2203" i="1" s="1"/>
  <c r="P2204" i="1"/>
  <c r="U2204" i="1" s="1"/>
  <c r="P2205" i="1"/>
  <c r="U2205" i="1" s="1"/>
  <c r="P2206" i="1"/>
  <c r="U2206" i="1" s="1"/>
  <c r="P2207" i="1"/>
  <c r="U2207" i="1" s="1"/>
  <c r="P2208" i="1"/>
  <c r="U2208" i="1" s="1"/>
  <c r="P2209" i="1"/>
  <c r="U2209" i="1" s="1"/>
  <c r="P2210" i="1"/>
  <c r="U2210" i="1" s="1"/>
  <c r="P2211" i="1"/>
  <c r="U2211" i="1" s="1"/>
  <c r="P2212" i="1"/>
  <c r="U2212" i="1" s="1"/>
  <c r="P2213" i="1"/>
  <c r="U2213" i="1" s="1"/>
  <c r="P2214" i="1"/>
  <c r="U2214" i="1" s="1"/>
  <c r="P2215" i="1"/>
  <c r="U2215" i="1" s="1"/>
  <c r="P2216" i="1"/>
  <c r="U2216" i="1" s="1"/>
  <c r="P2217" i="1"/>
  <c r="U2217" i="1" s="1"/>
  <c r="P2218" i="1"/>
  <c r="U2218" i="1" s="1"/>
  <c r="P2219" i="1"/>
  <c r="U2219" i="1" s="1"/>
  <c r="P2220" i="1"/>
  <c r="U2220" i="1" s="1"/>
  <c r="P2221" i="1"/>
  <c r="U2221" i="1" s="1"/>
  <c r="P2222" i="1"/>
  <c r="U2222" i="1" s="1"/>
  <c r="P2223" i="1"/>
  <c r="U2223" i="1" s="1"/>
  <c r="P2224" i="1"/>
  <c r="U2224" i="1" s="1"/>
  <c r="P2225" i="1"/>
  <c r="U2225" i="1" s="1"/>
  <c r="P2226" i="1"/>
  <c r="U2226" i="1" s="1"/>
  <c r="P2227" i="1"/>
  <c r="U2227" i="1" s="1"/>
  <c r="P2228" i="1"/>
  <c r="U2228" i="1" s="1"/>
  <c r="P2229" i="1"/>
  <c r="U2229" i="1" s="1"/>
  <c r="P2230" i="1"/>
  <c r="U2230" i="1" s="1"/>
  <c r="P2231" i="1"/>
  <c r="U2231" i="1" s="1"/>
  <c r="P2232" i="1"/>
  <c r="U2232" i="1" s="1"/>
  <c r="P2233" i="1"/>
  <c r="U2233" i="1" s="1"/>
  <c r="P2234" i="1"/>
  <c r="U2234" i="1" s="1"/>
  <c r="P2235" i="1"/>
  <c r="U2235" i="1" s="1"/>
  <c r="P2236" i="1"/>
  <c r="U2236" i="1" s="1"/>
  <c r="P2237" i="1"/>
  <c r="U2237" i="1" s="1"/>
  <c r="P2238" i="1"/>
  <c r="U2238" i="1" s="1"/>
  <c r="P2239" i="1"/>
  <c r="U2239" i="1" s="1"/>
  <c r="P2240" i="1"/>
  <c r="U2240" i="1" s="1"/>
  <c r="P2241" i="1"/>
  <c r="U2241" i="1" s="1"/>
  <c r="P2242" i="1"/>
  <c r="U2242" i="1" s="1"/>
  <c r="P2243" i="1"/>
  <c r="U2243" i="1" s="1"/>
  <c r="P2244" i="1"/>
  <c r="U2244" i="1" s="1"/>
  <c r="P2245" i="1"/>
  <c r="U2245" i="1" s="1"/>
  <c r="P2246" i="1"/>
  <c r="U2246" i="1" s="1"/>
  <c r="P2247" i="1"/>
  <c r="U2247" i="1" s="1"/>
  <c r="P2248" i="1"/>
  <c r="U2248" i="1" s="1"/>
  <c r="P2249" i="1"/>
  <c r="U2249" i="1" s="1"/>
  <c r="P2250" i="1"/>
  <c r="U2250" i="1" s="1"/>
  <c r="P2251" i="1"/>
  <c r="U2251" i="1" s="1"/>
  <c r="P2252" i="1"/>
  <c r="U2252" i="1" s="1"/>
  <c r="P2253" i="1"/>
  <c r="U2253" i="1" s="1"/>
  <c r="P2254" i="1"/>
  <c r="U2254" i="1" s="1"/>
  <c r="P2255" i="1"/>
  <c r="U2255" i="1" s="1"/>
  <c r="P2256" i="1"/>
  <c r="U2256" i="1" s="1"/>
  <c r="P2257" i="1"/>
  <c r="U2257" i="1" s="1"/>
  <c r="P2258" i="1"/>
  <c r="U2258" i="1" s="1"/>
  <c r="P2259" i="1"/>
  <c r="U2259" i="1" s="1"/>
  <c r="P2260" i="1"/>
  <c r="U2260" i="1" s="1"/>
  <c r="P2261" i="1"/>
  <c r="U2261" i="1" s="1"/>
  <c r="P2262" i="1"/>
  <c r="U2262" i="1" s="1"/>
  <c r="P2263" i="1"/>
  <c r="U2263" i="1" s="1"/>
  <c r="P2264" i="1"/>
  <c r="U2264" i="1" s="1"/>
  <c r="P2265" i="1"/>
  <c r="U2265" i="1" s="1"/>
  <c r="P2266" i="1"/>
  <c r="U2266" i="1" s="1"/>
  <c r="P2267" i="1"/>
  <c r="U2267" i="1" s="1"/>
  <c r="P2268" i="1"/>
  <c r="U2268" i="1" s="1"/>
  <c r="P2269" i="1"/>
  <c r="U2269" i="1" s="1"/>
  <c r="P2270" i="1"/>
  <c r="U2270" i="1" s="1"/>
  <c r="P2271" i="1"/>
  <c r="U2271" i="1" s="1"/>
  <c r="P2272" i="1"/>
  <c r="U2272" i="1" s="1"/>
  <c r="P2273" i="1"/>
  <c r="U2273" i="1" s="1"/>
  <c r="P2274" i="1"/>
  <c r="U2274" i="1" s="1"/>
  <c r="P2275" i="1"/>
  <c r="U2275" i="1" s="1"/>
  <c r="P2276" i="1"/>
  <c r="U2276" i="1" s="1"/>
  <c r="P2277" i="1"/>
  <c r="U2277" i="1" s="1"/>
  <c r="P2278" i="1"/>
  <c r="U2278" i="1" s="1"/>
  <c r="P2279" i="1"/>
  <c r="U2279" i="1" s="1"/>
  <c r="P2280" i="1"/>
  <c r="U2280" i="1" s="1"/>
  <c r="P2281" i="1"/>
  <c r="U2281" i="1" s="1"/>
  <c r="P2282" i="1"/>
  <c r="U2282" i="1" s="1"/>
  <c r="P2283" i="1"/>
  <c r="U2283" i="1" s="1"/>
  <c r="P2284" i="1"/>
  <c r="U2284" i="1" s="1"/>
  <c r="P2285" i="1"/>
  <c r="U2285" i="1" s="1"/>
  <c r="P2286" i="1"/>
  <c r="U2286" i="1" s="1"/>
  <c r="P2287" i="1"/>
  <c r="U2287" i="1" s="1"/>
  <c r="P2288" i="1"/>
  <c r="U2288" i="1" s="1"/>
  <c r="P2289" i="1"/>
  <c r="U2289" i="1" s="1"/>
  <c r="P2290" i="1"/>
  <c r="U2290" i="1" s="1"/>
  <c r="P2291" i="1"/>
  <c r="U2291" i="1" s="1"/>
  <c r="P2292" i="1"/>
  <c r="U2292" i="1" s="1"/>
  <c r="P2293" i="1"/>
  <c r="U2293" i="1" s="1"/>
  <c r="P2294" i="1"/>
  <c r="U2294" i="1" s="1"/>
  <c r="P2295" i="1"/>
  <c r="U2295" i="1" s="1"/>
  <c r="P2296" i="1"/>
  <c r="U2296" i="1" s="1"/>
  <c r="P2297" i="1"/>
  <c r="U2297" i="1" s="1"/>
  <c r="P2298" i="1"/>
  <c r="U2298" i="1" s="1"/>
  <c r="P2299" i="1"/>
  <c r="U2299" i="1" s="1"/>
  <c r="P2300" i="1"/>
  <c r="U2300" i="1" s="1"/>
  <c r="P2301" i="1"/>
  <c r="U2301" i="1" s="1"/>
  <c r="P2302" i="1"/>
  <c r="U2302" i="1" s="1"/>
  <c r="P2303" i="1"/>
  <c r="U2303" i="1" s="1"/>
  <c r="P2304" i="1"/>
  <c r="U2304" i="1" s="1"/>
  <c r="P2305" i="1"/>
  <c r="U2305" i="1" s="1"/>
  <c r="P2306" i="1"/>
  <c r="U2306" i="1" s="1"/>
  <c r="P2307" i="1"/>
  <c r="U2307" i="1" s="1"/>
  <c r="P2308" i="1"/>
  <c r="U2308" i="1" s="1"/>
  <c r="P2309" i="1"/>
  <c r="U2309" i="1" s="1"/>
  <c r="P2310" i="1"/>
  <c r="U2310" i="1" s="1"/>
  <c r="P2311" i="1"/>
  <c r="U2311" i="1" s="1"/>
  <c r="P2312" i="1"/>
  <c r="U2312" i="1" s="1"/>
  <c r="P2313" i="1"/>
  <c r="U2313" i="1" s="1"/>
  <c r="P2314" i="1"/>
  <c r="U2314" i="1" s="1"/>
  <c r="P2315" i="1"/>
  <c r="U2315" i="1" s="1"/>
  <c r="P2316" i="1"/>
  <c r="U2316" i="1" s="1"/>
  <c r="P2317" i="1"/>
  <c r="U2317" i="1" s="1"/>
  <c r="P2318" i="1"/>
  <c r="U2318" i="1" s="1"/>
  <c r="P2319" i="1"/>
  <c r="U2319" i="1" s="1"/>
  <c r="P2320" i="1"/>
  <c r="U2320" i="1" s="1"/>
  <c r="P2321" i="1"/>
  <c r="U2321" i="1" s="1"/>
  <c r="P2322" i="1"/>
  <c r="U2322" i="1" s="1"/>
  <c r="P2323" i="1"/>
  <c r="U2323" i="1" s="1"/>
  <c r="P2324" i="1"/>
  <c r="U2324" i="1" s="1"/>
  <c r="P2325" i="1"/>
  <c r="U2325" i="1" s="1"/>
  <c r="P2326" i="1"/>
  <c r="U2326" i="1" s="1"/>
  <c r="P2327" i="1"/>
  <c r="U2327" i="1" s="1"/>
  <c r="P2328" i="1"/>
  <c r="U2328" i="1" s="1"/>
  <c r="P2329" i="1"/>
  <c r="U2329" i="1" s="1"/>
  <c r="P2330" i="1"/>
  <c r="U2330" i="1" s="1"/>
  <c r="P2331" i="1"/>
  <c r="U2331" i="1" s="1"/>
  <c r="P2332" i="1"/>
  <c r="U2332" i="1" s="1"/>
  <c r="P2333" i="1"/>
  <c r="U2333" i="1" s="1"/>
  <c r="P2334" i="1"/>
  <c r="U2334" i="1" s="1"/>
  <c r="P2335" i="1"/>
  <c r="U2335" i="1" s="1"/>
  <c r="P2336" i="1"/>
  <c r="U2336" i="1" s="1"/>
  <c r="P2337" i="1"/>
  <c r="U2337" i="1" s="1"/>
  <c r="P2338" i="1"/>
  <c r="U2338" i="1" s="1"/>
  <c r="P2339" i="1"/>
  <c r="U2339" i="1" s="1"/>
  <c r="P2340" i="1"/>
  <c r="U2340" i="1" s="1"/>
  <c r="P2341" i="1"/>
  <c r="U2341" i="1" s="1"/>
  <c r="P2342" i="1"/>
  <c r="U2342" i="1" s="1"/>
  <c r="P2343" i="1"/>
  <c r="U2343" i="1" s="1"/>
  <c r="P2344" i="1"/>
  <c r="U2344" i="1" s="1"/>
  <c r="P2345" i="1"/>
  <c r="U2345" i="1" s="1"/>
  <c r="P2346" i="1"/>
  <c r="U2346" i="1" s="1"/>
  <c r="P2347" i="1"/>
  <c r="U2347" i="1" s="1"/>
  <c r="P2348" i="1"/>
  <c r="U2348" i="1" s="1"/>
  <c r="P2349" i="1"/>
  <c r="U2349" i="1" s="1"/>
  <c r="P2350" i="1"/>
  <c r="U2350" i="1" s="1"/>
  <c r="P2351" i="1"/>
  <c r="U2351" i="1" s="1"/>
  <c r="P2352" i="1"/>
  <c r="U2352" i="1" s="1"/>
  <c r="P2353" i="1"/>
  <c r="U2353" i="1" s="1"/>
  <c r="P2354" i="1"/>
  <c r="U2354" i="1" s="1"/>
  <c r="P2355" i="1"/>
  <c r="U2355" i="1" s="1"/>
  <c r="P2356" i="1"/>
  <c r="U2356" i="1" s="1"/>
  <c r="P2357" i="1"/>
  <c r="U2357" i="1" s="1"/>
  <c r="P2358" i="1"/>
  <c r="U2358" i="1" s="1"/>
  <c r="P2359" i="1"/>
  <c r="U2359" i="1" s="1"/>
  <c r="P2360" i="1"/>
  <c r="U2360" i="1" s="1"/>
  <c r="P2361" i="1"/>
  <c r="U2361" i="1" s="1"/>
  <c r="P2362" i="1"/>
  <c r="U2362" i="1" s="1"/>
  <c r="P2363" i="1"/>
  <c r="U2363" i="1" s="1"/>
  <c r="P2364" i="1"/>
  <c r="U2364" i="1" s="1"/>
  <c r="P2365" i="1"/>
  <c r="U2365" i="1" s="1"/>
  <c r="P2366" i="1"/>
  <c r="U2366" i="1" s="1"/>
  <c r="P2367" i="1"/>
  <c r="U2367" i="1" s="1"/>
  <c r="P2368" i="1"/>
  <c r="U2368" i="1" s="1"/>
  <c r="P2369" i="1"/>
  <c r="U2369" i="1" s="1"/>
  <c r="P2370" i="1"/>
  <c r="U2370" i="1" s="1"/>
  <c r="P2371" i="1"/>
  <c r="U2371" i="1" s="1"/>
  <c r="P2372" i="1"/>
  <c r="U2372" i="1" s="1"/>
  <c r="P2373" i="1"/>
  <c r="U2373" i="1" s="1"/>
  <c r="P2374" i="1"/>
  <c r="U2374" i="1" s="1"/>
  <c r="P2375" i="1"/>
  <c r="U2375" i="1" s="1"/>
  <c r="P2376" i="1"/>
  <c r="U2376" i="1" s="1"/>
  <c r="P2377" i="1"/>
  <c r="U2377" i="1" s="1"/>
  <c r="P2378" i="1"/>
  <c r="U2378" i="1" s="1"/>
  <c r="P2379" i="1"/>
  <c r="U2379" i="1" s="1"/>
  <c r="P2380" i="1"/>
  <c r="U2380" i="1" s="1"/>
  <c r="P2381" i="1"/>
  <c r="U2381" i="1" s="1"/>
  <c r="P2382" i="1"/>
  <c r="U2382" i="1" s="1"/>
  <c r="P2383" i="1"/>
  <c r="U2383" i="1" s="1"/>
  <c r="P2384" i="1"/>
  <c r="U2384" i="1" s="1"/>
  <c r="P2385" i="1"/>
  <c r="U2385" i="1" s="1"/>
  <c r="P2386" i="1"/>
  <c r="U2386" i="1" s="1"/>
  <c r="P2387" i="1"/>
  <c r="U2387" i="1" s="1"/>
  <c r="P2389" i="1"/>
  <c r="U2389" i="1" s="1"/>
  <c r="P2390" i="1"/>
  <c r="U2390" i="1" s="1"/>
  <c r="P2391" i="1"/>
  <c r="U2391" i="1" s="1"/>
  <c r="P2392" i="1"/>
  <c r="U2392" i="1" s="1"/>
  <c r="P2393" i="1"/>
  <c r="U2393" i="1" s="1"/>
  <c r="P2394" i="1"/>
  <c r="U2394" i="1" s="1"/>
  <c r="P2395" i="1"/>
  <c r="U2395" i="1" s="1"/>
  <c r="P2396" i="1"/>
  <c r="U2396" i="1" s="1"/>
  <c r="P2398" i="1"/>
  <c r="U2398" i="1" s="1"/>
  <c r="P2399" i="1"/>
  <c r="U2399" i="1" s="1"/>
  <c r="P2400" i="1"/>
  <c r="U2400" i="1" s="1"/>
  <c r="P2401" i="1"/>
  <c r="U2401" i="1" s="1"/>
  <c r="P2402" i="1"/>
  <c r="U2402" i="1" s="1"/>
  <c r="P2403" i="1"/>
  <c r="U2403" i="1" s="1"/>
  <c r="P2404" i="1"/>
  <c r="U2404" i="1" s="1"/>
  <c r="P2405" i="1"/>
  <c r="U2405" i="1" s="1"/>
  <c r="P2406" i="1"/>
  <c r="U2406" i="1" s="1"/>
  <c r="P2407" i="1"/>
  <c r="U2407" i="1" s="1"/>
  <c r="P2408" i="1"/>
  <c r="U2408" i="1" s="1"/>
  <c r="P2409" i="1"/>
  <c r="U2409" i="1" s="1"/>
  <c r="P2410" i="1"/>
  <c r="U2410" i="1" s="1"/>
  <c r="P2411" i="1"/>
  <c r="U2411" i="1" s="1"/>
  <c r="P2412" i="1"/>
  <c r="U2412" i="1" s="1"/>
  <c r="P2413" i="1"/>
  <c r="U2413" i="1" s="1"/>
  <c r="P2414" i="1"/>
  <c r="U2414" i="1" s="1"/>
  <c r="P2415" i="1"/>
  <c r="U2415" i="1" s="1"/>
  <c r="P2416" i="1"/>
  <c r="U2416" i="1" s="1"/>
  <c r="P2417" i="1"/>
  <c r="U2417" i="1" s="1"/>
  <c r="P2418" i="1"/>
  <c r="U2418" i="1" s="1"/>
  <c r="P2419" i="1"/>
  <c r="U2419" i="1" s="1"/>
  <c r="P2420" i="1"/>
  <c r="U2420" i="1" s="1"/>
  <c r="P2421" i="1"/>
  <c r="U2421" i="1" s="1"/>
  <c r="P2422" i="1"/>
  <c r="U2422" i="1" s="1"/>
  <c r="P2423" i="1"/>
  <c r="U2423" i="1" s="1"/>
  <c r="P2424" i="1"/>
  <c r="U2424" i="1" s="1"/>
  <c r="P2425" i="1"/>
  <c r="U2425" i="1" s="1"/>
  <c r="P2426" i="1"/>
  <c r="U2426" i="1" s="1"/>
  <c r="P2427" i="1"/>
  <c r="U2427" i="1" s="1"/>
  <c r="P2428" i="1"/>
  <c r="U2428" i="1" s="1"/>
  <c r="P2429" i="1"/>
  <c r="U2429" i="1" s="1"/>
  <c r="P2430" i="1"/>
  <c r="U2430" i="1" s="1"/>
  <c r="P2431" i="1"/>
  <c r="U2431" i="1" s="1"/>
  <c r="P2432" i="1"/>
  <c r="U2432" i="1" s="1"/>
  <c r="P2433" i="1"/>
  <c r="U2433" i="1" s="1"/>
  <c r="P2434" i="1"/>
  <c r="U2434" i="1" s="1"/>
  <c r="P2435" i="1"/>
  <c r="U2435" i="1" s="1"/>
  <c r="P2436" i="1"/>
  <c r="U2436" i="1" s="1"/>
  <c r="P2437" i="1"/>
  <c r="U2437" i="1" s="1"/>
  <c r="P2438" i="1"/>
  <c r="U2438" i="1" s="1"/>
  <c r="P2439" i="1"/>
  <c r="U2439" i="1" s="1"/>
  <c r="P2440" i="1"/>
  <c r="U2440" i="1" s="1"/>
  <c r="P2441" i="1"/>
  <c r="U2441" i="1" s="1"/>
  <c r="P2442" i="1"/>
  <c r="U2442" i="1" s="1"/>
  <c r="P2443" i="1"/>
  <c r="U2443" i="1" s="1"/>
  <c r="P2444" i="1"/>
  <c r="U2444" i="1" s="1"/>
  <c r="P2445" i="1"/>
  <c r="U2445" i="1" s="1"/>
  <c r="P2446" i="1"/>
  <c r="U2446" i="1" s="1"/>
  <c r="P2447" i="1"/>
  <c r="U2447" i="1" s="1"/>
  <c r="P2448" i="1"/>
  <c r="U2448" i="1" s="1"/>
  <c r="P2449" i="1"/>
  <c r="U2449" i="1" s="1"/>
  <c r="P2450" i="1"/>
  <c r="U2450" i="1" s="1"/>
  <c r="P2451" i="1"/>
  <c r="U2451" i="1" s="1"/>
  <c r="P2452" i="1"/>
  <c r="U2452" i="1" s="1"/>
  <c r="P2453" i="1"/>
  <c r="U2453" i="1" s="1"/>
  <c r="P2454" i="1"/>
  <c r="U2454" i="1" s="1"/>
  <c r="P2455" i="1"/>
  <c r="U2455" i="1" s="1"/>
  <c r="P2456" i="1"/>
  <c r="U2456" i="1" s="1"/>
  <c r="P2457" i="1"/>
  <c r="U2457" i="1" s="1"/>
  <c r="P2458" i="1"/>
  <c r="U2458" i="1" s="1"/>
  <c r="P2459" i="1"/>
  <c r="U2459" i="1" s="1"/>
  <c r="P2460" i="1"/>
  <c r="U2460" i="1" s="1"/>
  <c r="P2461" i="1"/>
  <c r="U2461" i="1" s="1"/>
  <c r="P2462" i="1"/>
  <c r="U2462" i="1" s="1"/>
  <c r="P2463" i="1"/>
  <c r="U2463" i="1" s="1"/>
  <c r="P2464" i="1"/>
  <c r="U2464" i="1" s="1"/>
  <c r="P2465" i="1"/>
  <c r="U2465" i="1" s="1"/>
  <c r="P2466" i="1"/>
  <c r="U2466" i="1" s="1"/>
  <c r="P2467" i="1"/>
  <c r="U2467" i="1" s="1"/>
  <c r="P2468" i="1"/>
  <c r="U2468" i="1" s="1"/>
  <c r="P2469" i="1"/>
  <c r="U2469" i="1" s="1"/>
  <c r="P2470" i="1"/>
  <c r="U2470" i="1" s="1"/>
  <c r="P2471" i="1"/>
  <c r="U2471" i="1" s="1"/>
  <c r="P2472" i="1"/>
  <c r="U2472" i="1" s="1"/>
  <c r="P2473" i="1"/>
  <c r="U2473" i="1" s="1"/>
  <c r="P2474" i="1"/>
  <c r="U2474" i="1" s="1"/>
  <c r="P2475" i="1"/>
  <c r="U2475" i="1" s="1"/>
  <c r="P2476" i="1"/>
  <c r="U2476" i="1" s="1"/>
  <c r="P2477" i="1"/>
  <c r="U2477" i="1" s="1"/>
  <c r="P2478" i="1"/>
  <c r="U2478" i="1" s="1"/>
  <c r="P2479" i="1"/>
  <c r="U2479" i="1" s="1"/>
  <c r="P2481" i="1"/>
  <c r="U2481" i="1" s="1"/>
  <c r="P2482" i="1"/>
  <c r="U2482" i="1" s="1"/>
  <c r="P2483" i="1"/>
  <c r="U2483" i="1" s="1"/>
  <c r="P2484" i="1"/>
  <c r="U2484" i="1" s="1"/>
  <c r="P2485" i="1"/>
  <c r="U2485" i="1" s="1"/>
  <c r="P2486" i="1"/>
  <c r="U2486" i="1" s="1"/>
  <c r="P2487" i="1"/>
  <c r="U2487" i="1" s="1"/>
  <c r="P2488" i="1"/>
  <c r="U2488" i="1" s="1"/>
  <c r="P2489" i="1"/>
  <c r="U2489" i="1" s="1"/>
  <c r="P2490" i="1"/>
  <c r="U2490" i="1" s="1"/>
  <c r="P2491" i="1"/>
  <c r="U2491" i="1" s="1"/>
  <c r="P2492" i="1"/>
  <c r="U2492" i="1" s="1"/>
  <c r="P2493" i="1"/>
  <c r="U2493" i="1" s="1"/>
  <c r="P2494" i="1"/>
  <c r="U2494" i="1" s="1"/>
  <c r="P2495" i="1"/>
  <c r="U2495" i="1" s="1"/>
  <c r="P2496" i="1"/>
  <c r="U2496" i="1" s="1"/>
  <c r="P2497" i="1"/>
  <c r="U2497" i="1" s="1"/>
  <c r="P2498" i="1"/>
  <c r="U2498" i="1" s="1"/>
  <c r="P2499" i="1"/>
  <c r="U2499" i="1" s="1"/>
  <c r="P2500" i="1"/>
  <c r="U2500" i="1" s="1"/>
  <c r="P2501" i="1"/>
  <c r="U2501" i="1" s="1"/>
  <c r="P2502" i="1"/>
  <c r="U2502" i="1" s="1"/>
  <c r="P2503" i="1"/>
  <c r="U2503" i="1" s="1"/>
  <c r="P2504" i="1"/>
  <c r="U2504" i="1" s="1"/>
  <c r="P2505" i="1"/>
  <c r="U2505" i="1" s="1"/>
  <c r="P2506" i="1"/>
  <c r="U2506" i="1" s="1"/>
  <c r="P2507" i="1"/>
  <c r="U2507" i="1" s="1"/>
  <c r="P2508" i="1"/>
  <c r="U2508" i="1" s="1"/>
  <c r="P2509" i="1"/>
  <c r="U2509" i="1" s="1"/>
  <c r="P2510" i="1"/>
  <c r="U2510" i="1" s="1"/>
  <c r="P2511" i="1"/>
  <c r="U2511" i="1" s="1"/>
  <c r="P2512" i="1"/>
  <c r="U2512" i="1" s="1"/>
  <c r="P2513" i="1"/>
  <c r="U2513" i="1" s="1"/>
  <c r="P2514" i="1"/>
  <c r="U2514" i="1" s="1"/>
  <c r="P2515" i="1"/>
  <c r="U2515" i="1" s="1"/>
  <c r="P2516" i="1"/>
  <c r="U2516" i="1" s="1"/>
  <c r="P2517" i="1"/>
  <c r="U2517" i="1" s="1"/>
  <c r="P2518" i="1"/>
  <c r="U2518" i="1" s="1"/>
  <c r="P2519" i="1"/>
  <c r="U2519" i="1" s="1"/>
  <c r="P2520" i="1"/>
  <c r="U2520" i="1" s="1"/>
  <c r="P2521" i="1"/>
  <c r="U2521" i="1" s="1"/>
  <c r="P2522" i="1"/>
  <c r="U2522" i="1" s="1"/>
  <c r="P2523" i="1"/>
  <c r="U2523" i="1" s="1"/>
  <c r="P2524" i="1"/>
  <c r="U2524" i="1" s="1"/>
  <c r="P2525" i="1"/>
  <c r="U2525" i="1" s="1"/>
  <c r="P2526" i="1"/>
  <c r="U2526" i="1" s="1"/>
  <c r="P2527" i="1"/>
  <c r="U2527" i="1" s="1"/>
  <c r="P2528" i="1"/>
  <c r="U2528" i="1" s="1"/>
  <c r="P2529" i="1"/>
  <c r="U2529" i="1" s="1"/>
  <c r="P2530" i="1"/>
  <c r="U2530" i="1" s="1"/>
  <c r="P2531" i="1"/>
  <c r="U2531" i="1" s="1"/>
  <c r="P2532" i="1"/>
  <c r="U2532" i="1" s="1"/>
  <c r="P2533" i="1"/>
  <c r="U2533" i="1" s="1"/>
  <c r="P2534" i="1"/>
  <c r="U2534" i="1" s="1"/>
  <c r="P2535" i="1"/>
  <c r="U2535" i="1" s="1"/>
  <c r="P2536" i="1"/>
  <c r="U2536" i="1" s="1"/>
  <c r="P2537" i="1"/>
  <c r="U2537" i="1" s="1"/>
  <c r="P2538" i="1"/>
  <c r="U2538" i="1" s="1"/>
  <c r="P2539" i="1"/>
  <c r="U2539" i="1" s="1"/>
  <c r="P2540" i="1"/>
  <c r="U2540" i="1" s="1"/>
  <c r="P2541" i="1"/>
  <c r="U2541" i="1" s="1"/>
  <c r="P2542" i="1"/>
  <c r="U2542" i="1" s="1"/>
  <c r="P2543" i="1"/>
  <c r="U2543" i="1" s="1"/>
  <c r="P2544" i="1"/>
  <c r="U2544" i="1" s="1"/>
  <c r="P2545" i="1"/>
  <c r="U2545" i="1" s="1"/>
  <c r="P2546" i="1"/>
  <c r="U2546" i="1" s="1"/>
  <c r="P2547" i="1"/>
  <c r="U2547" i="1" s="1"/>
  <c r="P2548" i="1"/>
  <c r="U2548" i="1" s="1"/>
  <c r="P2549" i="1"/>
  <c r="U2549" i="1" s="1"/>
  <c r="P2550" i="1"/>
  <c r="U2550" i="1" s="1"/>
  <c r="P2551" i="1"/>
  <c r="U2551" i="1" s="1"/>
  <c r="P2552" i="1"/>
  <c r="U2552" i="1" s="1"/>
  <c r="P2553" i="1"/>
  <c r="U2553" i="1" s="1"/>
  <c r="P2554" i="1"/>
  <c r="U2554" i="1" s="1"/>
  <c r="P2555" i="1"/>
  <c r="U2555" i="1" s="1"/>
  <c r="P2557" i="1"/>
  <c r="U2557" i="1" s="1"/>
  <c r="P2558" i="1"/>
  <c r="U2558" i="1" s="1"/>
  <c r="P2559" i="1"/>
  <c r="U2559" i="1" s="1"/>
  <c r="P2560" i="1"/>
  <c r="U2560" i="1" s="1"/>
  <c r="P2561" i="1"/>
  <c r="U2561" i="1" s="1"/>
  <c r="P2562" i="1"/>
  <c r="U2562" i="1" s="1"/>
  <c r="P2563" i="1"/>
  <c r="U2563" i="1" s="1"/>
  <c r="P2564" i="1"/>
  <c r="U2564" i="1" s="1"/>
  <c r="P2565" i="1"/>
  <c r="U2565" i="1" s="1"/>
  <c r="P2566" i="1"/>
  <c r="U2566" i="1" s="1"/>
  <c r="P2567" i="1"/>
  <c r="U2567" i="1" s="1"/>
  <c r="P2568" i="1"/>
  <c r="U2568" i="1" s="1"/>
  <c r="P2569" i="1"/>
  <c r="U2569" i="1" s="1"/>
  <c r="P2570" i="1"/>
  <c r="U2570" i="1" s="1"/>
  <c r="P2571" i="1"/>
  <c r="U2571" i="1" s="1"/>
  <c r="P2572" i="1"/>
  <c r="U2572" i="1" s="1"/>
  <c r="P2573" i="1"/>
  <c r="U2573" i="1" s="1"/>
  <c r="P2574" i="1"/>
  <c r="U2574" i="1" s="1"/>
  <c r="P2576" i="1"/>
  <c r="U2576" i="1" s="1"/>
  <c r="P2577" i="1"/>
  <c r="U2577" i="1" s="1"/>
  <c r="P2578" i="1"/>
  <c r="U2578" i="1" s="1"/>
  <c r="P2579" i="1"/>
  <c r="U2579" i="1" s="1"/>
  <c r="P2580" i="1"/>
  <c r="U2580" i="1" s="1"/>
  <c r="P2581" i="1"/>
  <c r="U2581" i="1" s="1"/>
  <c r="P2582" i="1"/>
  <c r="U2582" i="1" s="1"/>
  <c r="P2583" i="1"/>
  <c r="U2583" i="1" s="1"/>
  <c r="P2584" i="1"/>
  <c r="U2584" i="1" s="1"/>
  <c r="P2585" i="1"/>
  <c r="U2585" i="1" s="1"/>
  <c r="P2586" i="1"/>
  <c r="U2586" i="1" s="1"/>
  <c r="P2587" i="1"/>
  <c r="U2587" i="1" s="1"/>
  <c r="P2588" i="1"/>
  <c r="U2588" i="1" s="1"/>
  <c r="P2589" i="1"/>
  <c r="U2589" i="1" s="1"/>
  <c r="P2590" i="1"/>
  <c r="U2590" i="1" s="1"/>
  <c r="P2591" i="1"/>
  <c r="U2591" i="1" s="1"/>
  <c r="P2592" i="1"/>
  <c r="U2592" i="1" s="1"/>
  <c r="P2593" i="1"/>
  <c r="U2593" i="1" s="1"/>
  <c r="P2594" i="1"/>
  <c r="U2594" i="1" s="1"/>
  <c r="P2595" i="1"/>
  <c r="U2595" i="1" s="1"/>
  <c r="P2596" i="1"/>
  <c r="U2596" i="1" s="1"/>
  <c r="P2597" i="1"/>
  <c r="U2597" i="1" s="1"/>
  <c r="P2598" i="1"/>
  <c r="U2598" i="1" s="1"/>
  <c r="P2599" i="1"/>
  <c r="U2599" i="1" s="1"/>
  <c r="P2600" i="1"/>
  <c r="U2600" i="1" s="1"/>
  <c r="P2601" i="1"/>
  <c r="U2601" i="1" s="1"/>
  <c r="P2602" i="1"/>
  <c r="U2602" i="1" s="1"/>
  <c r="P2603" i="1"/>
  <c r="U2603" i="1" s="1"/>
  <c r="P2604" i="1"/>
  <c r="U2604" i="1" s="1"/>
  <c r="P2605" i="1"/>
  <c r="U2605" i="1" s="1"/>
  <c r="P2606" i="1"/>
  <c r="U2606" i="1" s="1"/>
  <c r="P2607" i="1"/>
  <c r="U2607" i="1" s="1"/>
  <c r="P2608" i="1"/>
  <c r="U2608" i="1" s="1"/>
  <c r="P2610" i="1"/>
  <c r="U2610" i="1" s="1"/>
  <c r="P2611" i="1"/>
  <c r="U2611" i="1" s="1"/>
  <c r="P2612" i="1"/>
  <c r="U2612" i="1" s="1"/>
  <c r="P2613" i="1"/>
  <c r="U2613" i="1" s="1"/>
  <c r="P2614" i="1"/>
  <c r="U2614" i="1" s="1"/>
  <c r="P2615" i="1"/>
  <c r="U2615" i="1" s="1"/>
  <c r="P2616" i="1"/>
  <c r="U2616" i="1" s="1"/>
  <c r="P2617" i="1"/>
  <c r="U2617" i="1" s="1"/>
  <c r="P2618" i="1"/>
  <c r="U2618" i="1" s="1"/>
  <c r="P2619" i="1"/>
  <c r="U2619" i="1" s="1"/>
  <c r="P2620" i="1"/>
  <c r="U2620" i="1" s="1"/>
  <c r="P2621" i="1"/>
  <c r="U2621" i="1" s="1"/>
  <c r="P2622" i="1"/>
  <c r="U2622" i="1" s="1"/>
  <c r="P2623" i="1"/>
  <c r="U2623" i="1" s="1"/>
  <c r="P2624" i="1"/>
  <c r="U2624" i="1" s="1"/>
  <c r="P2625" i="1"/>
  <c r="U2625" i="1" s="1"/>
  <c r="P2626" i="1"/>
  <c r="U2626" i="1" s="1"/>
  <c r="P2627" i="1"/>
  <c r="U2627" i="1" s="1"/>
  <c r="P2628" i="1"/>
  <c r="U2628" i="1" s="1"/>
  <c r="P2629" i="1"/>
  <c r="U2629" i="1" s="1"/>
  <c r="P2630" i="1"/>
  <c r="U2630" i="1" s="1"/>
  <c r="P2631" i="1"/>
  <c r="U2631" i="1" s="1"/>
  <c r="P2632" i="1"/>
  <c r="U2632" i="1" s="1"/>
  <c r="P2633" i="1"/>
  <c r="U2633" i="1" s="1"/>
  <c r="P2634" i="1"/>
  <c r="U2634" i="1" s="1"/>
  <c r="P2635" i="1"/>
  <c r="U2635" i="1" s="1"/>
  <c r="P2636" i="1"/>
  <c r="U2636" i="1" s="1"/>
  <c r="P2637" i="1"/>
  <c r="U2637" i="1" s="1"/>
  <c r="P2638" i="1"/>
  <c r="U2638" i="1" s="1"/>
  <c r="P2639" i="1"/>
  <c r="U2639" i="1" s="1"/>
  <c r="P2640" i="1"/>
  <c r="U2640" i="1" s="1"/>
  <c r="P2641" i="1"/>
  <c r="U2641" i="1" s="1"/>
  <c r="P2642" i="1"/>
  <c r="U2642" i="1" s="1"/>
  <c r="P2643" i="1"/>
  <c r="U2643" i="1" s="1"/>
  <c r="P2644" i="1"/>
  <c r="U2644" i="1" s="1"/>
  <c r="P2645" i="1"/>
  <c r="U2645" i="1" s="1"/>
  <c r="P2646" i="1"/>
  <c r="U2646" i="1" s="1"/>
  <c r="P2647" i="1"/>
  <c r="U2647" i="1" s="1"/>
  <c r="P2648" i="1"/>
  <c r="U2648" i="1" s="1"/>
  <c r="P2649" i="1"/>
  <c r="U2649" i="1" s="1"/>
  <c r="P2650" i="1"/>
  <c r="U2650" i="1" s="1"/>
  <c r="P2651" i="1"/>
  <c r="U2651" i="1" s="1"/>
  <c r="P2653" i="1"/>
  <c r="U2653" i="1" s="1"/>
  <c r="P2654" i="1"/>
  <c r="U2654" i="1" s="1"/>
  <c r="P2655" i="1"/>
  <c r="U2655" i="1" s="1"/>
  <c r="P2656" i="1"/>
  <c r="U2656" i="1" s="1"/>
  <c r="P2657" i="1"/>
  <c r="U2657" i="1" s="1"/>
  <c r="P2658" i="1"/>
  <c r="U2658" i="1" s="1"/>
  <c r="P2659" i="1"/>
  <c r="U2659" i="1" s="1"/>
  <c r="P2660" i="1"/>
  <c r="U2660" i="1" s="1"/>
  <c r="P2661" i="1"/>
  <c r="U2661" i="1" s="1"/>
  <c r="P2662" i="1"/>
  <c r="U2662" i="1" s="1"/>
  <c r="P2663" i="1"/>
  <c r="U2663" i="1" s="1"/>
  <c r="P2664" i="1"/>
  <c r="U2664" i="1" s="1"/>
  <c r="P2665" i="1"/>
  <c r="U2665" i="1" s="1"/>
  <c r="P2666" i="1"/>
  <c r="U2666" i="1" s="1"/>
  <c r="P2667" i="1"/>
  <c r="U2667" i="1" s="1"/>
  <c r="P2668" i="1"/>
  <c r="U2668" i="1" s="1"/>
  <c r="P2669" i="1"/>
  <c r="U2669" i="1" s="1"/>
  <c r="P2670" i="1"/>
  <c r="U2670" i="1" s="1"/>
  <c r="P2671" i="1"/>
  <c r="U2671" i="1" s="1"/>
  <c r="P2672" i="1"/>
  <c r="U2672" i="1" s="1"/>
  <c r="P2673" i="1"/>
  <c r="U2673" i="1" s="1"/>
  <c r="P2674" i="1"/>
  <c r="U2674" i="1" s="1"/>
  <c r="P2675" i="1"/>
  <c r="U2675" i="1" s="1"/>
  <c r="P2676" i="1"/>
  <c r="U2676" i="1" s="1"/>
  <c r="P2677" i="1"/>
  <c r="U2677" i="1" s="1"/>
  <c r="P2678" i="1"/>
  <c r="U2678" i="1" s="1"/>
  <c r="P2679" i="1"/>
  <c r="U2679" i="1" s="1"/>
  <c r="P2680" i="1"/>
  <c r="U2680" i="1" s="1"/>
  <c r="P2681" i="1"/>
  <c r="U2681" i="1" s="1"/>
  <c r="P2682" i="1"/>
  <c r="U2682" i="1" s="1"/>
  <c r="P2683" i="1"/>
  <c r="U2683" i="1" s="1"/>
  <c r="P2684" i="1"/>
  <c r="U2684" i="1" s="1"/>
  <c r="P2685" i="1"/>
  <c r="U2685" i="1" s="1"/>
  <c r="P2686" i="1"/>
  <c r="U2686" i="1" s="1"/>
  <c r="P2687" i="1"/>
  <c r="U2687" i="1" s="1"/>
  <c r="P2688" i="1"/>
  <c r="U2688" i="1" s="1"/>
  <c r="P2689" i="1"/>
  <c r="U2689" i="1" s="1"/>
  <c r="P2690" i="1"/>
  <c r="U2690" i="1" s="1"/>
  <c r="P2691" i="1"/>
  <c r="U2691" i="1" s="1"/>
  <c r="P2692" i="1"/>
  <c r="U2692" i="1" s="1"/>
  <c r="P2693" i="1"/>
  <c r="U2693" i="1" s="1"/>
  <c r="P2694" i="1"/>
  <c r="U2694" i="1" s="1"/>
  <c r="P2695" i="1"/>
  <c r="U2695" i="1" s="1"/>
  <c r="P2696" i="1"/>
  <c r="U2696" i="1" s="1"/>
  <c r="P2697" i="1"/>
  <c r="U2697" i="1" s="1"/>
  <c r="P2698" i="1"/>
  <c r="U2698" i="1" s="1"/>
  <c r="P2699" i="1"/>
  <c r="U2699" i="1" s="1"/>
  <c r="P2700" i="1"/>
  <c r="U2700" i="1" s="1"/>
  <c r="P2701" i="1"/>
  <c r="U2701" i="1" s="1"/>
  <c r="P2702" i="1"/>
  <c r="U2702" i="1" s="1"/>
  <c r="P2703" i="1"/>
  <c r="U2703" i="1" s="1"/>
  <c r="P2704" i="1"/>
  <c r="U2704" i="1" s="1"/>
  <c r="P2705" i="1"/>
  <c r="U2705" i="1" s="1"/>
  <c r="P2706" i="1"/>
  <c r="U2706" i="1" s="1"/>
  <c r="P2707" i="1"/>
  <c r="U2707" i="1" s="1"/>
  <c r="P2708" i="1"/>
  <c r="U2708" i="1" s="1"/>
  <c r="P2709" i="1"/>
  <c r="U2709" i="1" s="1"/>
  <c r="P2710" i="1"/>
  <c r="U2710" i="1" s="1"/>
  <c r="P2711" i="1"/>
  <c r="U2711" i="1" s="1"/>
  <c r="P2713" i="1"/>
  <c r="U2713" i="1" s="1"/>
  <c r="P2714" i="1"/>
  <c r="U2714" i="1" s="1"/>
  <c r="P2715" i="1"/>
  <c r="U2715" i="1" s="1"/>
  <c r="P2717" i="1"/>
  <c r="U2717" i="1" s="1"/>
  <c r="P2718" i="1"/>
  <c r="U2718" i="1" s="1"/>
  <c r="P2719" i="1"/>
  <c r="U2719" i="1" s="1"/>
  <c r="P2720" i="1"/>
  <c r="U2720" i="1" s="1"/>
  <c r="P2721" i="1"/>
  <c r="U2721" i="1" s="1"/>
  <c r="P2722" i="1"/>
  <c r="U2722" i="1" s="1"/>
  <c r="P2723" i="1"/>
  <c r="U2723" i="1" s="1"/>
  <c r="P2724" i="1"/>
  <c r="U2724" i="1" s="1"/>
  <c r="P2725" i="1"/>
  <c r="U2725" i="1" s="1"/>
  <c r="P2726" i="1"/>
  <c r="U2726" i="1" s="1"/>
  <c r="P2727" i="1"/>
  <c r="U2727" i="1" s="1"/>
  <c r="P2728" i="1"/>
  <c r="U2728" i="1" s="1"/>
  <c r="P2729" i="1"/>
  <c r="U2729" i="1" s="1"/>
  <c r="P2730" i="1"/>
  <c r="U2730" i="1" s="1"/>
  <c r="P2731" i="1"/>
  <c r="U2731" i="1" s="1"/>
  <c r="P2732" i="1"/>
  <c r="U2732" i="1" s="1"/>
  <c r="P2733" i="1"/>
  <c r="U2733" i="1" s="1"/>
  <c r="P2734" i="1"/>
  <c r="U2734" i="1" s="1"/>
  <c r="P2735" i="1"/>
  <c r="U2735" i="1" s="1"/>
  <c r="P2736" i="1"/>
  <c r="U2736" i="1" s="1"/>
  <c r="P2737" i="1"/>
  <c r="U2737" i="1" s="1"/>
  <c r="P2738" i="1"/>
  <c r="U2738" i="1" s="1"/>
  <c r="P2739" i="1"/>
  <c r="U2739" i="1" s="1"/>
  <c r="P2740" i="1"/>
  <c r="U2740" i="1" s="1"/>
  <c r="P2741" i="1"/>
  <c r="U2741" i="1" s="1"/>
  <c r="P2742" i="1"/>
  <c r="U2742" i="1" s="1"/>
  <c r="P2743" i="1"/>
  <c r="U2743" i="1" s="1"/>
  <c r="P2744" i="1"/>
  <c r="U2744" i="1" s="1"/>
  <c r="P2745" i="1"/>
  <c r="U2745" i="1" s="1"/>
  <c r="P2746" i="1"/>
  <c r="U2746" i="1" s="1"/>
  <c r="P2747" i="1"/>
  <c r="U2747" i="1" s="1"/>
  <c r="P2748" i="1"/>
  <c r="U2748" i="1" s="1"/>
  <c r="P2749" i="1"/>
  <c r="U2749" i="1" s="1"/>
  <c r="P2750" i="1"/>
  <c r="U2750" i="1" s="1"/>
  <c r="P2751" i="1"/>
  <c r="U2751" i="1" s="1"/>
  <c r="P2752" i="1"/>
  <c r="U2752" i="1" s="1"/>
  <c r="P2753" i="1"/>
  <c r="U2753" i="1" s="1"/>
  <c r="P2754" i="1"/>
  <c r="U2754" i="1" s="1"/>
  <c r="P2755" i="1"/>
  <c r="U2755" i="1" s="1"/>
  <c r="P2756" i="1"/>
  <c r="U2756" i="1" s="1"/>
  <c r="P2757" i="1"/>
  <c r="U2757" i="1" s="1"/>
  <c r="P2758" i="1"/>
  <c r="U2758" i="1" s="1"/>
  <c r="P2759" i="1"/>
  <c r="U2759" i="1" s="1"/>
  <c r="P2760" i="1"/>
  <c r="U2760" i="1" s="1"/>
  <c r="P2761" i="1"/>
  <c r="U2761" i="1" s="1"/>
  <c r="P2762" i="1"/>
  <c r="U2762" i="1" s="1"/>
  <c r="P2763" i="1"/>
  <c r="U2763" i="1" s="1"/>
  <c r="P2764" i="1"/>
  <c r="U2764" i="1" s="1"/>
  <c r="P2765" i="1"/>
  <c r="U2765" i="1" s="1"/>
  <c r="P2766" i="1"/>
  <c r="U2766" i="1" s="1"/>
  <c r="P2767" i="1"/>
  <c r="U2767" i="1" s="1"/>
  <c r="P2768" i="1"/>
  <c r="U2768" i="1" s="1"/>
  <c r="P2769" i="1"/>
  <c r="U2769" i="1" s="1"/>
  <c r="P2770" i="1"/>
  <c r="U2770" i="1" s="1"/>
  <c r="P2771" i="1"/>
  <c r="U2771" i="1" s="1"/>
  <c r="P2772" i="1"/>
  <c r="U2772" i="1" s="1"/>
  <c r="P2773" i="1"/>
  <c r="U2773" i="1" s="1"/>
  <c r="P2774" i="1"/>
  <c r="U2774" i="1" s="1"/>
  <c r="P2775" i="1"/>
  <c r="U2775" i="1" s="1"/>
  <c r="P2776" i="1"/>
  <c r="U2776" i="1" s="1"/>
  <c r="P2777" i="1"/>
  <c r="U2777" i="1" s="1"/>
  <c r="P2778" i="1"/>
  <c r="U2778" i="1" s="1"/>
  <c r="P2779" i="1"/>
  <c r="U2779" i="1" s="1"/>
  <c r="P2780" i="1"/>
  <c r="U2780" i="1" s="1"/>
  <c r="P2781" i="1"/>
  <c r="U2781" i="1" s="1"/>
  <c r="P2782" i="1"/>
  <c r="U2782" i="1" s="1"/>
  <c r="P2783" i="1"/>
  <c r="U2783" i="1" s="1"/>
  <c r="P2784" i="1"/>
  <c r="U2784" i="1" s="1"/>
  <c r="P2785" i="1"/>
  <c r="U2785" i="1" s="1"/>
  <c r="P2786" i="1"/>
  <c r="U2786" i="1" s="1"/>
  <c r="P2787" i="1"/>
  <c r="U2787" i="1" s="1"/>
  <c r="P2788" i="1"/>
  <c r="U2788" i="1" s="1"/>
  <c r="P2789" i="1"/>
  <c r="U2789" i="1" s="1"/>
  <c r="P2790" i="1"/>
  <c r="U2790" i="1" s="1"/>
  <c r="P2791" i="1"/>
  <c r="U2791" i="1" s="1"/>
  <c r="P2792" i="1"/>
  <c r="U2792" i="1" s="1"/>
  <c r="P2793" i="1"/>
  <c r="U2793" i="1" s="1"/>
  <c r="P2794" i="1"/>
  <c r="U2794" i="1" s="1"/>
  <c r="P2795" i="1"/>
  <c r="U2795" i="1" s="1"/>
  <c r="P2796" i="1"/>
  <c r="U2796" i="1" s="1"/>
  <c r="P2797" i="1"/>
  <c r="U2797" i="1" s="1"/>
  <c r="P2798" i="1"/>
  <c r="U2798" i="1" s="1"/>
  <c r="P2799" i="1"/>
  <c r="U2799" i="1" s="1"/>
  <c r="P2800" i="1"/>
  <c r="U2800" i="1" s="1"/>
  <c r="P2801" i="1"/>
  <c r="U2801" i="1" s="1"/>
  <c r="P2802" i="1"/>
  <c r="U2802" i="1" s="1"/>
  <c r="P2803" i="1"/>
  <c r="U2803" i="1" s="1"/>
  <c r="P2804" i="1"/>
  <c r="U2804" i="1" s="1"/>
  <c r="P2805" i="1"/>
  <c r="U2805" i="1" s="1"/>
  <c r="P2806" i="1"/>
  <c r="U2806" i="1" s="1"/>
  <c r="P2807" i="1"/>
  <c r="U2807" i="1" s="1"/>
  <c r="P2808" i="1"/>
  <c r="U2808" i="1" s="1"/>
  <c r="P2809" i="1"/>
  <c r="U2809" i="1" s="1"/>
  <c r="P2810" i="1"/>
  <c r="U2810" i="1" s="1"/>
  <c r="P2811" i="1"/>
  <c r="U2811" i="1" s="1"/>
  <c r="P2812" i="1"/>
  <c r="U2812" i="1" s="1"/>
  <c r="P2813" i="1"/>
  <c r="U2813" i="1" s="1"/>
  <c r="P2814" i="1"/>
  <c r="U2814" i="1" s="1"/>
  <c r="P2815" i="1"/>
  <c r="U2815" i="1" s="1"/>
  <c r="P2816" i="1"/>
  <c r="U2816" i="1" s="1"/>
  <c r="P2817" i="1"/>
  <c r="U2817" i="1" s="1"/>
  <c r="P2818" i="1"/>
  <c r="U2818" i="1" s="1"/>
  <c r="P2819" i="1"/>
  <c r="U2819" i="1" s="1"/>
  <c r="P2820" i="1"/>
  <c r="U2820" i="1" s="1"/>
  <c r="P2821" i="1"/>
  <c r="U2821" i="1" s="1"/>
  <c r="P2822" i="1"/>
  <c r="U2822" i="1" s="1"/>
  <c r="P2823" i="1"/>
  <c r="U2823" i="1" s="1"/>
  <c r="P2824" i="1"/>
  <c r="U2824" i="1" s="1"/>
  <c r="P2825" i="1"/>
  <c r="U2825" i="1" s="1"/>
  <c r="P2826" i="1"/>
  <c r="U2826" i="1" s="1"/>
  <c r="P2827" i="1"/>
  <c r="U2827" i="1" s="1"/>
  <c r="P2828" i="1"/>
  <c r="U2828" i="1" s="1"/>
  <c r="P2829" i="1"/>
  <c r="U2829" i="1" s="1"/>
  <c r="P2830" i="1"/>
  <c r="U2830" i="1" s="1"/>
  <c r="P2831" i="1"/>
  <c r="U2831" i="1" s="1"/>
  <c r="P2832" i="1"/>
  <c r="U2832" i="1" s="1"/>
  <c r="P2833" i="1"/>
  <c r="U2833" i="1" s="1"/>
  <c r="P2834" i="1"/>
  <c r="U2834" i="1" s="1"/>
  <c r="P2835" i="1"/>
  <c r="U2835" i="1" s="1"/>
  <c r="P2836" i="1"/>
  <c r="U2836" i="1" s="1"/>
  <c r="P2837" i="1"/>
  <c r="U2837" i="1" s="1"/>
  <c r="P2838" i="1"/>
  <c r="U2838" i="1" s="1"/>
  <c r="P2839" i="1"/>
  <c r="U2839" i="1" s="1"/>
  <c r="P2840" i="1"/>
  <c r="U2840" i="1" s="1"/>
  <c r="P2841" i="1"/>
  <c r="U2841" i="1" s="1"/>
  <c r="P2842" i="1"/>
  <c r="U2842" i="1" s="1"/>
  <c r="P2843" i="1"/>
  <c r="U2843" i="1" s="1"/>
  <c r="P2844" i="1"/>
  <c r="U2844" i="1" s="1"/>
  <c r="P2845" i="1"/>
  <c r="U2845" i="1" s="1"/>
  <c r="P2846" i="1"/>
  <c r="U2846" i="1" s="1"/>
  <c r="P2847" i="1"/>
  <c r="U2847" i="1" s="1"/>
  <c r="P2848" i="1"/>
  <c r="U2848" i="1" s="1"/>
  <c r="P2849" i="1"/>
  <c r="U2849" i="1" s="1"/>
  <c r="P2850" i="1"/>
  <c r="U2850" i="1" s="1"/>
  <c r="P2851" i="1"/>
  <c r="U2851" i="1" s="1"/>
  <c r="P2852" i="1"/>
  <c r="U2852" i="1" s="1"/>
  <c r="P2853" i="1"/>
  <c r="U2853" i="1" s="1"/>
  <c r="P2854" i="1"/>
  <c r="U2854" i="1" s="1"/>
  <c r="P2855" i="1"/>
  <c r="U2855" i="1" s="1"/>
  <c r="P2856" i="1"/>
  <c r="U2856" i="1" s="1"/>
  <c r="P2857" i="1"/>
  <c r="U2857" i="1" s="1"/>
  <c r="P2858" i="1"/>
  <c r="U2858" i="1" s="1"/>
  <c r="P2859" i="1"/>
  <c r="U2859" i="1" s="1"/>
  <c r="P2860" i="1"/>
  <c r="U2860" i="1" s="1"/>
  <c r="P2861" i="1"/>
  <c r="U2861" i="1" s="1"/>
  <c r="P2862" i="1"/>
  <c r="U2862" i="1" s="1"/>
  <c r="P2863" i="1"/>
  <c r="U2863" i="1" s="1"/>
  <c r="P2864" i="1"/>
  <c r="U2864" i="1" s="1"/>
  <c r="P2865" i="1"/>
  <c r="U2865" i="1" s="1"/>
  <c r="P2866" i="1"/>
  <c r="U2866" i="1" s="1"/>
  <c r="P2867" i="1"/>
  <c r="U2867" i="1" s="1"/>
  <c r="P2868" i="1"/>
  <c r="U2868" i="1" s="1"/>
  <c r="P2869" i="1"/>
  <c r="U2869" i="1" s="1"/>
  <c r="P2870" i="1"/>
  <c r="U2870" i="1" s="1"/>
  <c r="P2871" i="1"/>
  <c r="U2871" i="1" s="1"/>
  <c r="P2872" i="1"/>
  <c r="U2872" i="1" s="1"/>
  <c r="P2873" i="1"/>
  <c r="U2873" i="1" s="1"/>
  <c r="P2874" i="1"/>
  <c r="U2874" i="1" s="1"/>
  <c r="P2875" i="1"/>
  <c r="U2875" i="1" s="1"/>
  <c r="P2876" i="1"/>
  <c r="U2876" i="1" s="1"/>
  <c r="P2877" i="1"/>
  <c r="U2877" i="1" s="1"/>
  <c r="P2878" i="1"/>
  <c r="U2878" i="1" s="1"/>
  <c r="P2879" i="1"/>
  <c r="U2879" i="1" s="1"/>
  <c r="P2880" i="1"/>
  <c r="U2880" i="1" s="1"/>
  <c r="P2881" i="1"/>
  <c r="U2881" i="1" s="1"/>
  <c r="P2882" i="1"/>
  <c r="U2882" i="1" s="1"/>
  <c r="P2883" i="1"/>
  <c r="U2883" i="1" s="1"/>
  <c r="P2884" i="1"/>
  <c r="U2884" i="1" s="1"/>
  <c r="P2885" i="1"/>
  <c r="U2885" i="1" s="1"/>
  <c r="P2886" i="1"/>
  <c r="U2886" i="1" s="1"/>
  <c r="P2887" i="1"/>
  <c r="U2887" i="1" s="1"/>
  <c r="P2888" i="1"/>
  <c r="U2888" i="1" s="1"/>
  <c r="P2889" i="1"/>
  <c r="U2889" i="1" s="1"/>
  <c r="P2890" i="1"/>
  <c r="U2890" i="1" s="1"/>
  <c r="P2891" i="1"/>
  <c r="U2891" i="1" s="1"/>
  <c r="P2894" i="1"/>
  <c r="U2894" i="1" s="1"/>
  <c r="P2895" i="1"/>
  <c r="U2895" i="1" s="1"/>
  <c r="P2896" i="1"/>
  <c r="U2896" i="1" s="1"/>
  <c r="P2897" i="1"/>
  <c r="U2897" i="1" s="1"/>
  <c r="P2898" i="1"/>
  <c r="U2898" i="1" s="1"/>
  <c r="P2899" i="1"/>
  <c r="U2899" i="1" s="1"/>
  <c r="P2900" i="1"/>
  <c r="U2900" i="1" s="1"/>
  <c r="P2901" i="1"/>
  <c r="U2901" i="1" s="1"/>
  <c r="P2902" i="1"/>
  <c r="U2902" i="1" s="1"/>
  <c r="P2903" i="1"/>
  <c r="U2903" i="1" s="1"/>
  <c r="P2904" i="1"/>
  <c r="U2904" i="1" s="1"/>
  <c r="P2905" i="1"/>
  <c r="U2905" i="1" s="1"/>
  <c r="P2906" i="1"/>
  <c r="U2906" i="1" s="1"/>
  <c r="P2907" i="1"/>
  <c r="U2907" i="1" s="1"/>
  <c r="P2908" i="1"/>
  <c r="U2908" i="1" s="1"/>
  <c r="P2909" i="1"/>
  <c r="U2909" i="1" s="1"/>
  <c r="P2910" i="1"/>
  <c r="U2910" i="1" s="1"/>
  <c r="P2911" i="1"/>
  <c r="U2911" i="1" s="1"/>
  <c r="P2912" i="1"/>
  <c r="U2912" i="1" s="1"/>
  <c r="P2913" i="1"/>
  <c r="U2913" i="1" s="1"/>
  <c r="P2914" i="1"/>
  <c r="U2914" i="1" s="1"/>
  <c r="P2915" i="1"/>
  <c r="U2915" i="1" s="1"/>
  <c r="P2916" i="1"/>
  <c r="U2916" i="1" s="1"/>
  <c r="P2918" i="1"/>
  <c r="U2918" i="1" s="1"/>
  <c r="P2919" i="1"/>
  <c r="U2919" i="1" s="1"/>
  <c r="P2920" i="1"/>
  <c r="U2920" i="1" s="1"/>
  <c r="P2921" i="1"/>
  <c r="U2921" i="1" s="1"/>
  <c r="P2922" i="1"/>
  <c r="U2922" i="1" s="1"/>
  <c r="P2923" i="1"/>
  <c r="U2923" i="1" s="1"/>
  <c r="P2924" i="1"/>
  <c r="U2924" i="1" s="1"/>
  <c r="P2925" i="1"/>
  <c r="U2925" i="1" s="1"/>
  <c r="P2926" i="1"/>
  <c r="U2926" i="1" s="1"/>
  <c r="P2927" i="1"/>
  <c r="U2927" i="1" s="1"/>
  <c r="P2928" i="1"/>
  <c r="U2928" i="1" s="1"/>
  <c r="P2929" i="1"/>
  <c r="U2929" i="1" s="1"/>
  <c r="P2930" i="1"/>
  <c r="U2930" i="1" s="1"/>
  <c r="P2931" i="1"/>
  <c r="U2931" i="1" s="1"/>
  <c r="P2932" i="1"/>
  <c r="U2932" i="1" s="1"/>
  <c r="P2933" i="1"/>
  <c r="U2933" i="1" s="1"/>
  <c r="P2934" i="1"/>
  <c r="U2934" i="1" s="1"/>
  <c r="P2935" i="1"/>
  <c r="U2935" i="1" s="1"/>
  <c r="P2936" i="1"/>
  <c r="U2936" i="1" s="1"/>
  <c r="P2937" i="1"/>
  <c r="U2937" i="1" s="1"/>
  <c r="P2939" i="1"/>
  <c r="U2939" i="1" s="1"/>
  <c r="P2940" i="1"/>
  <c r="U2940" i="1" s="1"/>
  <c r="P2941" i="1"/>
  <c r="U2941" i="1" s="1"/>
  <c r="P2942" i="1"/>
  <c r="U2942" i="1" s="1"/>
  <c r="P2943" i="1"/>
  <c r="U2943" i="1" s="1"/>
  <c r="P2944" i="1"/>
  <c r="U2944" i="1" s="1"/>
  <c r="P2945" i="1"/>
  <c r="U2945" i="1" s="1"/>
  <c r="P2946" i="1"/>
  <c r="U2946" i="1" s="1"/>
  <c r="P2947" i="1"/>
  <c r="U2947" i="1" s="1"/>
  <c r="P2948" i="1"/>
  <c r="U2948" i="1" s="1"/>
  <c r="P2949" i="1"/>
  <c r="U2949" i="1" s="1"/>
  <c r="P2950" i="1"/>
  <c r="U2950" i="1" s="1"/>
  <c r="P2951" i="1"/>
  <c r="U2951" i="1" s="1"/>
  <c r="P2952" i="1"/>
  <c r="U2952" i="1" s="1"/>
  <c r="P2953" i="1"/>
  <c r="U2953" i="1" s="1"/>
  <c r="P2954" i="1"/>
  <c r="U2954" i="1" s="1"/>
  <c r="P2955" i="1"/>
  <c r="U2955" i="1" s="1"/>
  <c r="P2956" i="1"/>
  <c r="U2956" i="1" s="1"/>
  <c r="P2957" i="1"/>
  <c r="U2957" i="1" s="1"/>
  <c r="P2958" i="1"/>
  <c r="U2958" i="1" s="1"/>
  <c r="P2959" i="1"/>
  <c r="U2959" i="1" s="1"/>
  <c r="P2960" i="1"/>
  <c r="U2960" i="1" s="1"/>
  <c r="P2961" i="1"/>
  <c r="U2961" i="1" s="1"/>
  <c r="P2962" i="1"/>
  <c r="U2962" i="1" s="1"/>
  <c r="P2963" i="1"/>
  <c r="U2963" i="1" s="1"/>
  <c r="P2964" i="1"/>
  <c r="U2964" i="1" s="1"/>
  <c r="P2965" i="1"/>
  <c r="U2965" i="1" s="1"/>
  <c r="P2966" i="1"/>
  <c r="U2966" i="1" s="1"/>
  <c r="P2967" i="1"/>
  <c r="U2967" i="1" s="1"/>
  <c r="P2968" i="1"/>
  <c r="U2968" i="1" s="1"/>
  <c r="P2969" i="1"/>
  <c r="U2969" i="1" s="1"/>
  <c r="P2970" i="1"/>
  <c r="U2970" i="1" s="1"/>
  <c r="P2971" i="1"/>
  <c r="U2971" i="1" s="1"/>
  <c r="P2972" i="1"/>
  <c r="U2972" i="1" s="1"/>
  <c r="P2973" i="1"/>
  <c r="U2973" i="1" s="1"/>
  <c r="P2974" i="1"/>
  <c r="U2974" i="1" s="1"/>
  <c r="P2975" i="1"/>
  <c r="U2975" i="1" s="1"/>
  <c r="P2976" i="1"/>
  <c r="U2976" i="1" s="1"/>
  <c r="P2977" i="1"/>
  <c r="U2977" i="1" s="1"/>
  <c r="P2978" i="1"/>
  <c r="U2978" i="1" s="1"/>
  <c r="P2979" i="1"/>
  <c r="U2979" i="1" s="1"/>
  <c r="P2980" i="1"/>
  <c r="U2980" i="1" s="1"/>
  <c r="P2981" i="1"/>
  <c r="U2981" i="1" s="1"/>
  <c r="P2982" i="1"/>
  <c r="U2982" i="1" s="1"/>
  <c r="P2983" i="1"/>
  <c r="U2983" i="1" s="1"/>
  <c r="P2984" i="1"/>
  <c r="U2984" i="1" s="1"/>
  <c r="P2985" i="1"/>
  <c r="U2985" i="1" s="1"/>
  <c r="P2986" i="1"/>
  <c r="U2986" i="1" s="1"/>
  <c r="P2987" i="1"/>
  <c r="U2987" i="1" s="1"/>
  <c r="P2988" i="1"/>
  <c r="U2988" i="1" s="1"/>
  <c r="P2989" i="1"/>
  <c r="U2989" i="1" s="1"/>
  <c r="P2990" i="1"/>
  <c r="U2990" i="1" s="1"/>
  <c r="P2991" i="1"/>
  <c r="U2991" i="1" s="1"/>
  <c r="P2992" i="1"/>
  <c r="U2992" i="1" s="1"/>
  <c r="P2993" i="1"/>
  <c r="U2993" i="1" s="1"/>
  <c r="P2994" i="1"/>
  <c r="U2994" i="1" s="1"/>
  <c r="P2995" i="1"/>
  <c r="U2995" i="1" s="1"/>
  <c r="P2996" i="1"/>
  <c r="U2996" i="1" s="1"/>
  <c r="P2997" i="1"/>
  <c r="U2997" i="1" s="1"/>
  <c r="P2998" i="1"/>
  <c r="U2998" i="1" s="1"/>
  <c r="P2999" i="1"/>
  <c r="U2999" i="1" s="1"/>
  <c r="P3001" i="1"/>
  <c r="U3001" i="1" s="1"/>
  <c r="P3002" i="1"/>
  <c r="U3002" i="1" s="1"/>
  <c r="P3003" i="1"/>
  <c r="U3003" i="1" s="1"/>
  <c r="P3004" i="1"/>
  <c r="U3004" i="1" s="1"/>
  <c r="P3005" i="1"/>
  <c r="U3005" i="1" s="1"/>
  <c r="P3006" i="1"/>
  <c r="U3006" i="1" s="1"/>
  <c r="P3007" i="1"/>
  <c r="U3007" i="1" s="1"/>
  <c r="P3008" i="1"/>
  <c r="U3008" i="1" s="1"/>
  <c r="P3009" i="1"/>
  <c r="U3009" i="1" s="1"/>
  <c r="P3010" i="1"/>
  <c r="U3010" i="1" s="1"/>
  <c r="P3011" i="1"/>
  <c r="U3011" i="1" s="1"/>
  <c r="P3012" i="1"/>
  <c r="U3012" i="1" s="1"/>
  <c r="P3013" i="1"/>
  <c r="U3013" i="1" s="1"/>
  <c r="P3014" i="1"/>
  <c r="U3014" i="1" s="1"/>
  <c r="P3015" i="1"/>
  <c r="U3015" i="1" s="1"/>
  <c r="P3016" i="1"/>
  <c r="U3016" i="1" s="1"/>
  <c r="P3017" i="1"/>
  <c r="U3017" i="1" s="1"/>
  <c r="P3018" i="1"/>
  <c r="U3018" i="1" s="1"/>
  <c r="P3019" i="1"/>
  <c r="U3019" i="1" s="1"/>
  <c r="P3020" i="1"/>
  <c r="U3020" i="1" s="1"/>
  <c r="P3021" i="1"/>
  <c r="U3021" i="1" s="1"/>
  <c r="P3022" i="1"/>
  <c r="U3022" i="1" s="1"/>
  <c r="P3023" i="1"/>
  <c r="U3023" i="1" s="1"/>
  <c r="P3024" i="1"/>
  <c r="U3024" i="1" s="1"/>
  <c r="P3025" i="1"/>
  <c r="U3025" i="1" s="1"/>
  <c r="P3026" i="1"/>
  <c r="U3026" i="1" s="1"/>
  <c r="P3027" i="1"/>
  <c r="U3027" i="1" s="1"/>
  <c r="P3028" i="1"/>
  <c r="U3028" i="1" s="1"/>
  <c r="P3029" i="1"/>
  <c r="U3029" i="1" s="1"/>
  <c r="P3030" i="1"/>
  <c r="U3030" i="1" s="1"/>
  <c r="P3031" i="1"/>
  <c r="U3031" i="1" s="1"/>
  <c r="P3032" i="1"/>
  <c r="U3032" i="1" s="1"/>
  <c r="P3033" i="1"/>
  <c r="U3033" i="1" s="1"/>
  <c r="P3034" i="1"/>
  <c r="U3034" i="1" s="1"/>
  <c r="P3035" i="1"/>
  <c r="U3035" i="1" s="1"/>
  <c r="P3036" i="1"/>
  <c r="U3036" i="1" s="1"/>
  <c r="P3037" i="1"/>
  <c r="U3037" i="1" s="1"/>
  <c r="P3038" i="1"/>
  <c r="U3038" i="1" s="1"/>
  <c r="P3039" i="1"/>
  <c r="U3039" i="1" s="1"/>
  <c r="P3040" i="1"/>
  <c r="U3040" i="1" s="1"/>
  <c r="P3041" i="1"/>
  <c r="U3041" i="1" s="1"/>
  <c r="P3042" i="1"/>
  <c r="U3042" i="1" s="1"/>
  <c r="P3043" i="1"/>
  <c r="U3043" i="1" s="1"/>
  <c r="P3044" i="1"/>
  <c r="U3044" i="1" s="1"/>
  <c r="P3045" i="1"/>
  <c r="U3045" i="1" s="1"/>
  <c r="P3046" i="1"/>
  <c r="U3046" i="1" s="1"/>
  <c r="P3047" i="1"/>
  <c r="U3047" i="1" s="1"/>
  <c r="P3048" i="1"/>
  <c r="U3048" i="1" s="1"/>
  <c r="P3049" i="1"/>
  <c r="U3049" i="1" s="1"/>
  <c r="P3050" i="1"/>
  <c r="U3050" i="1" s="1"/>
  <c r="P3051" i="1"/>
  <c r="U3051" i="1" s="1"/>
  <c r="P3052" i="1"/>
  <c r="U3052" i="1" s="1"/>
  <c r="P3054" i="1"/>
  <c r="U3054" i="1" s="1"/>
  <c r="P3055" i="1"/>
  <c r="U3055" i="1" s="1"/>
  <c r="P3057" i="1"/>
  <c r="U3057" i="1" s="1"/>
  <c r="P3058" i="1"/>
  <c r="U3058" i="1" s="1"/>
  <c r="P3059" i="1"/>
  <c r="U3059" i="1" s="1"/>
  <c r="P3060" i="1"/>
  <c r="U3060" i="1" s="1"/>
  <c r="P3061" i="1"/>
  <c r="U3061" i="1" s="1"/>
  <c r="P3062" i="1"/>
  <c r="U3062" i="1" s="1"/>
  <c r="P3063" i="1"/>
  <c r="U3063" i="1" s="1"/>
  <c r="P3064" i="1"/>
  <c r="U3064" i="1" s="1"/>
  <c r="P3065" i="1"/>
  <c r="U3065" i="1" s="1"/>
  <c r="P3066" i="1"/>
  <c r="U3066" i="1" s="1"/>
  <c r="P3067" i="1"/>
  <c r="U3067" i="1" s="1"/>
  <c r="P3068" i="1"/>
  <c r="U3068" i="1" s="1"/>
  <c r="P3069" i="1"/>
  <c r="U3069" i="1" s="1"/>
  <c r="P3070" i="1"/>
  <c r="U3070" i="1" s="1"/>
  <c r="P3071" i="1"/>
  <c r="U3071" i="1" s="1"/>
  <c r="P3072" i="1"/>
  <c r="U3072" i="1" s="1"/>
  <c r="P3073" i="1"/>
  <c r="U3073" i="1" s="1"/>
  <c r="P3074" i="1"/>
  <c r="U3074" i="1" s="1"/>
  <c r="P3075" i="1"/>
  <c r="U3075" i="1" s="1"/>
  <c r="P3076" i="1"/>
  <c r="U3076" i="1" s="1"/>
  <c r="P3077" i="1"/>
  <c r="U3077" i="1" s="1"/>
  <c r="P3078" i="1"/>
  <c r="U3078" i="1" s="1"/>
  <c r="P3079" i="1"/>
  <c r="U3079" i="1" s="1"/>
  <c r="P3080" i="1"/>
  <c r="U3080" i="1" s="1"/>
  <c r="P3081" i="1"/>
  <c r="U3081" i="1" s="1"/>
  <c r="P3082" i="1"/>
  <c r="U3082" i="1" s="1"/>
  <c r="P3083" i="1"/>
  <c r="U3083" i="1" s="1"/>
  <c r="P3084" i="1"/>
  <c r="U3084" i="1" s="1"/>
  <c r="P3085" i="1"/>
  <c r="U3085" i="1" s="1"/>
  <c r="P3086" i="1"/>
  <c r="U3086" i="1" s="1"/>
  <c r="P3087" i="1"/>
  <c r="U3087" i="1" s="1"/>
  <c r="P3088" i="1"/>
  <c r="U3088" i="1" s="1"/>
  <c r="P3089" i="1"/>
  <c r="U3089" i="1" s="1"/>
  <c r="P3090" i="1"/>
  <c r="U3090" i="1" s="1"/>
  <c r="P3091" i="1"/>
  <c r="U3091" i="1" s="1"/>
  <c r="P3092" i="1"/>
  <c r="U3092" i="1" s="1"/>
  <c r="P3093" i="1"/>
  <c r="U3093" i="1" s="1"/>
  <c r="P3094" i="1"/>
  <c r="U3094" i="1" s="1"/>
  <c r="P3095" i="1"/>
  <c r="U3095" i="1" s="1"/>
  <c r="P3096" i="1"/>
  <c r="U3096" i="1" s="1"/>
  <c r="P3097" i="1"/>
  <c r="U3097" i="1" s="1"/>
  <c r="P3098" i="1"/>
  <c r="U3098" i="1" s="1"/>
  <c r="P3099" i="1"/>
  <c r="U3099" i="1" s="1"/>
  <c r="P3100" i="1"/>
  <c r="U3100" i="1" s="1"/>
  <c r="P3101" i="1"/>
  <c r="U3101" i="1" s="1"/>
  <c r="P3102" i="1"/>
  <c r="U3102" i="1" s="1"/>
  <c r="P3103" i="1"/>
  <c r="U3103" i="1" s="1"/>
  <c r="P3104" i="1"/>
  <c r="U3104" i="1" s="1"/>
  <c r="P3105" i="1"/>
  <c r="U3105" i="1" s="1"/>
  <c r="P3106" i="1"/>
  <c r="U3106" i="1" s="1"/>
  <c r="P3107" i="1"/>
  <c r="U3107" i="1" s="1"/>
  <c r="P3108" i="1"/>
  <c r="U3108" i="1" s="1"/>
  <c r="P3109" i="1"/>
  <c r="U3109" i="1" s="1"/>
  <c r="P3110" i="1"/>
  <c r="U3110" i="1" s="1"/>
  <c r="P3111" i="1"/>
  <c r="U3111" i="1" s="1"/>
  <c r="P3112" i="1"/>
  <c r="U3112" i="1" s="1"/>
  <c r="P3113" i="1"/>
  <c r="U3113" i="1" s="1"/>
  <c r="P3114" i="1"/>
  <c r="U3114" i="1" s="1"/>
  <c r="P3115" i="1"/>
  <c r="U3115" i="1" s="1"/>
  <c r="P3116" i="1"/>
  <c r="U3116" i="1" s="1"/>
  <c r="P3117" i="1"/>
  <c r="U3117" i="1" s="1"/>
  <c r="P3118" i="1"/>
  <c r="U3118" i="1" s="1"/>
  <c r="P3119" i="1"/>
  <c r="U3119" i="1" s="1"/>
  <c r="P3121" i="1"/>
  <c r="U3121" i="1" s="1"/>
  <c r="P3122" i="1"/>
  <c r="U3122" i="1" s="1"/>
  <c r="P3123" i="1"/>
  <c r="U3123" i="1" s="1"/>
  <c r="P3124" i="1"/>
  <c r="U3124" i="1" s="1"/>
  <c r="P3125" i="1"/>
  <c r="U3125" i="1" s="1"/>
  <c r="P3126" i="1"/>
  <c r="U3126" i="1" s="1"/>
  <c r="P3128" i="1"/>
  <c r="U3128" i="1" s="1"/>
  <c r="P3129" i="1"/>
  <c r="U3129" i="1" s="1"/>
  <c r="P3130" i="1"/>
  <c r="U3130" i="1" s="1"/>
  <c r="P3131" i="1"/>
  <c r="U3131" i="1" s="1"/>
  <c r="P3132" i="1"/>
  <c r="U3132" i="1" s="1"/>
  <c r="P3133" i="1"/>
  <c r="U3133" i="1" s="1"/>
  <c r="P3134" i="1"/>
  <c r="U3134" i="1" s="1"/>
  <c r="P3135" i="1"/>
  <c r="U3135" i="1" s="1"/>
  <c r="P3136" i="1"/>
  <c r="U3136" i="1" s="1"/>
  <c r="P3137" i="1"/>
  <c r="U3137" i="1" s="1"/>
  <c r="P3138" i="1"/>
  <c r="U3138" i="1" s="1"/>
  <c r="P3139" i="1"/>
  <c r="U3139" i="1" s="1"/>
  <c r="P3140" i="1"/>
  <c r="U3140" i="1" s="1"/>
  <c r="P3141" i="1"/>
  <c r="U3141" i="1" s="1"/>
  <c r="P3142" i="1"/>
  <c r="U3142" i="1" s="1"/>
  <c r="P3143" i="1"/>
  <c r="U3143" i="1" s="1"/>
  <c r="P3144" i="1"/>
  <c r="U3144" i="1" s="1"/>
  <c r="P3145" i="1"/>
  <c r="U3145" i="1" s="1"/>
  <c r="P3146" i="1"/>
  <c r="U3146" i="1" s="1"/>
  <c r="P3147" i="1"/>
  <c r="U3147" i="1" s="1"/>
  <c r="P3148" i="1"/>
  <c r="U3148" i="1" s="1"/>
  <c r="P3149" i="1"/>
  <c r="U3149" i="1" s="1"/>
  <c r="P3150" i="1"/>
  <c r="U3150" i="1" s="1"/>
  <c r="P3151" i="1"/>
  <c r="U3151" i="1" s="1"/>
  <c r="P3152" i="1"/>
  <c r="U3152" i="1" s="1"/>
  <c r="P3153" i="1"/>
  <c r="U3153" i="1" s="1"/>
  <c r="P3154" i="1"/>
  <c r="U3154" i="1" s="1"/>
  <c r="P3155" i="1"/>
  <c r="U3155" i="1" s="1"/>
  <c r="P3156" i="1"/>
  <c r="U3156" i="1" s="1"/>
  <c r="P3157" i="1"/>
  <c r="U3157" i="1" s="1"/>
  <c r="P3158" i="1"/>
  <c r="U3158" i="1" s="1"/>
  <c r="P3159" i="1"/>
  <c r="U3159" i="1" s="1"/>
  <c r="P3160" i="1"/>
  <c r="U3160" i="1" s="1"/>
  <c r="P3161" i="1"/>
  <c r="U3161" i="1" s="1"/>
  <c r="P3162" i="1"/>
  <c r="U3162" i="1" s="1"/>
  <c r="P3163" i="1"/>
  <c r="U3163" i="1" s="1"/>
  <c r="P3164" i="1"/>
  <c r="U3164" i="1" s="1"/>
  <c r="P3165" i="1"/>
  <c r="U3165" i="1" s="1"/>
  <c r="P3166" i="1"/>
  <c r="U3166" i="1" s="1"/>
  <c r="P3167" i="1"/>
  <c r="U3167" i="1" s="1"/>
  <c r="P3168" i="1"/>
  <c r="U3168" i="1" s="1"/>
  <c r="P3169" i="1"/>
  <c r="U3169" i="1" s="1"/>
  <c r="P3170" i="1"/>
  <c r="U3170" i="1" s="1"/>
  <c r="P3171" i="1"/>
  <c r="U3171" i="1" s="1"/>
  <c r="P3172" i="1"/>
  <c r="U3172" i="1" s="1"/>
  <c r="P3174" i="1"/>
  <c r="U3174" i="1" s="1"/>
  <c r="P3175" i="1"/>
  <c r="U3175" i="1" s="1"/>
  <c r="P3176" i="1"/>
  <c r="U3176" i="1" s="1"/>
  <c r="P3177" i="1"/>
  <c r="U3177" i="1" s="1"/>
  <c r="P3178" i="1"/>
  <c r="U3178" i="1" s="1"/>
  <c r="P3179" i="1"/>
  <c r="U3179" i="1" s="1"/>
  <c r="P3180" i="1"/>
  <c r="U3180" i="1" s="1"/>
  <c r="P3181" i="1"/>
  <c r="U3181" i="1" s="1"/>
  <c r="P3182" i="1"/>
  <c r="U3182" i="1" s="1"/>
  <c r="P3183" i="1"/>
  <c r="U3183" i="1" s="1"/>
  <c r="P3184" i="1"/>
  <c r="U3184" i="1" s="1"/>
  <c r="P3185" i="1"/>
  <c r="U3185" i="1" s="1"/>
  <c r="P3186" i="1"/>
  <c r="U3186" i="1" s="1"/>
  <c r="P3187" i="1"/>
  <c r="U3187" i="1" s="1"/>
  <c r="P3188" i="1"/>
  <c r="U3188" i="1" s="1"/>
  <c r="P3189" i="1"/>
  <c r="U3189" i="1" s="1"/>
  <c r="P3190" i="1"/>
  <c r="U3190" i="1" s="1"/>
  <c r="P3191" i="1"/>
  <c r="U3191" i="1" s="1"/>
  <c r="P3192" i="1"/>
  <c r="U3192" i="1" s="1"/>
  <c r="P3193" i="1"/>
  <c r="U3193" i="1" s="1"/>
  <c r="P3194" i="1"/>
  <c r="U3194" i="1" s="1"/>
  <c r="P3195" i="1"/>
  <c r="U3195" i="1" s="1"/>
  <c r="P3196" i="1"/>
  <c r="U3196" i="1" s="1"/>
  <c r="P3197" i="1"/>
  <c r="U3197" i="1" s="1"/>
  <c r="P3198" i="1"/>
  <c r="U3198" i="1" s="1"/>
  <c r="P3199" i="1"/>
  <c r="U3199" i="1" s="1"/>
  <c r="P3200" i="1"/>
  <c r="U3200" i="1" s="1"/>
  <c r="P3201" i="1"/>
  <c r="U3201" i="1" s="1"/>
  <c r="P3202" i="1"/>
  <c r="U3202" i="1" s="1"/>
  <c r="P3203" i="1"/>
  <c r="U3203" i="1" s="1"/>
  <c r="P3204" i="1"/>
  <c r="U3204" i="1" s="1"/>
  <c r="P3205" i="1"/>
  <c r="U3205" i="1" s="1"/>
  <c r="P3206" i="1"/>
  <c r="U3206" i="1" s="1"/>
  <c r="P3207" i="1"/>
  <c r="U3207" i="1" s="1"/>
  <c r="P3208" i="1"/>
  <c r="U3208" i="1" s="1"/>
  <c r="P3209" i="1"/>
  <c r="U3209" i="1" s="1"/>
  <c r="P3210" i="1"/>
  <c r="U3210" i="1" s="1"/>
  <c r="P3211" i="1"/>
  <c r="U3211" i="1" s="1"/>
  <c r="P3212" i="1"/>
  <c r="U3212" i="1" s="1"/>
  <c r="P3213" i="1"/>
  <c r="U3213" i="1" s="1"/>
  <c r="P3214" i="1"/>
  <c r="U3214" i="1" s="1"/>
  <c r="P3215" i="1"/>
  <c r="U3215" i="1" s="1"/>
  <c r="P3216" i="1"/>
  <c r="U3216" i="1" s="1"/>
  <c r="P3217" i="1"/>
  <c r="U3217" i="1" s="1"/>
  <c r="P3218" i="1"/>
  <c r="U3218" i="1" s="1"/>
  <c r="P3219" i="1"/>
  <c r="U3219" i="1" s="1"/>
  <c r="P3220" i="1"/>
  <c r="U3220" i="1" s="1"/>
  <c r="P3221" i="1"/>
  <c r="U3221" i="1" s="1"/>
  <c r="P3222" i="1"/>
  <c r="U3222" i="1" s="1"/>
  <c r="P3223" i="1"/>
  <c r="U3223" i="1" s="1"/>
  <c r="P3224" i="1"/>
  <c r="U3224" i="1" s="1"/>
  <c r="P3225" i="1"/>
  <c r="U3225" i="1" s="1"/>
  <c r="P3226" i="1"/>
  <c r="U3226" i="1" s="1"/>
  <c r="P3227" i="1"/>
  <c r="U3227" i="1" s="1"/>
  <c r="P3228" i="1"/>
  <c r="U3228" i="1" s="1"/>
  <c r="P3229" i="1"/>
  <c r="U3229" i="1" s="1"/>
  <c r="P3230" i="1"/>
  <c r="U3230" i="1" s="1"/>
  <c r="P3231" i="1"/>
  <c r="U3231" i="1" s="1"/>
  <c r="P3232" i="1"/>
  <c r="U3232" i="1" s="1"/>
  <c r="P3233" i="1"/>
  <c r="U3233" i="1" s="1"/>
  <c r="P3234" i="1"/>
  <c r="U3234" i="1" s="1"/>
  <c r="P3235" i="1"/>
  <c r="U3235" i="1" s="1"/>
  <c r="P3236" i="1"/>
  <c r="U3236" i="1" s="1"/>
  <c r="P3237" i="1"/>
  <c r="U3237" i="1" s="1"/>
  <c r="P3238" i="1"/>
  <c r="U3238" i="1" s="1"/>
  <c r="P3239" i="1"/>
  <c r="U3239" i="1" s="1"/>
  <c r="P3240" i="1"/>
  <c r="U3240" i="1" s="1"/>
  <c r="P3241" i="1"/>
  <c r="U3241" i="1" s="1"/>
  <c r="P3242" i="1"/>
  <c r="U3242" i="1" s="1"/>
  <c r="P3243" i="1"/>
  <c r="U3243" i="1" s="1"/>
  <c r="P3244" i="1"/>
  <c r="U3244" i="1" s="1"/>
  <c r="P3245" i="1"/>
  <c r="U3245" i="1" s="1"/>
  <c r="P3246" i="1"/>
  <c r="U3246" i="1" s="1"/>
  <c r="P3247" i="1"/>
  <c r="U3247" i="1" s="1"/>
  <c r="P3248" i="1"/>
  <c r="U3248" i="1" s="1"/>
  <c r="P3249" i="1"/>
  <c r="U3249" i="1" s="1"/>
  <c r="P3250" i="1"/>
  <c r="U3250" i="1" s="1"/>
  <c r="P3251" i="1"/>
  <c r="U3251" i="1" s="1"/>
  <c r="P3252" i="1"/>
  <c r="U3252" i="1" s="1"/>
  <c r="P3253" i="1"/>
  <c r="U3253" i="1" s="1"/>
  <c r="P3254" i="1"/>
  <c r="U3254" i="1" s="1"/>
  <c r="P3255" i="1"/>
  <c r="U3255" i="1" s="1"/>
  <c r="P3256" i="1"/>
  <c r="U3256" i="1" s="1"/>
  <c r="P3257" i="1"/>
  <c r="U3257" i="1" s="1"/>
  <c r="P3258" i="1"/>
  <c r="U3258" i="1" s="1"/>
  <c r="P3259" i="1"/>
  <c r="U3259" i="1" s="1"/>
  <c r="P3260" i="1"/>
  <c r="U3260" i="1" s="1"/>
  <c r="P3261" i="1"/>
  <c r="U3261" i="1" s="1"/>
  <c r="P3262" i="1"/>
  <c r="U3262" i="1" s="1"/>
  <c r="P3263" i="1"/>
  <c r="U3263" i="1" s="1"/>
  <c r="P3264" i="1"/>
  <c r="U3264" i="1" s="1"/>
  <c r="P3265" i="1"/>
  <c r="U3265" i="1" s="1"/>
  <c r="P3266" i="1"/>
  <c r="U3266" i="1" s="1"/>
  <c r="P3267" i="1"/>
  <c r="U3267" i="1" s="1"/>
  <c r="P3268" i="1"/>
  <c r="U3268" i="1" s="1"/>
  <c r="P3269" i="1"/>
  <c r="U3269" i="1" s="1"/>
  <c r="P3270" i="1"/>
  <c r="U3270" i="1" s="1"/>
  <c r="P3271" i="1"/>
  <c r="U3271" i="1" s="1"/>
  <c r="P3272" i="1"/>
  <c r="U3272" i="1" s="1"/>
  <c r="P3273" i="1"/>
  <c r="U3273" i="1" s="1"/>
  <c r="P3274" i="1"/>
  <c r="U3274" i="1" s="1"/>
  <c r="P3275" i="1"/>
  <c r="U3275" i="1" s="1"/>
  <c r="P3276" i="1"/>
  <c r="U3276" i="1" s="1"/>
  <c r="P3277" i="1"/>
  <c r="U3277" i="1" s="1"/>
  <c r="P3278" i="1"/>
  <c r="U3278" i="1" s="1"/>
  <c r="P3279" i="1"/>
  <c r="U3279" i="1" s="1"/>
  <c r="P3280" i="1"/>
  <c r="U3280" i="1" s="1"/>
  <c r="P3281" i="1"/>
  <c r="U3281" i="1" s="1"/>
  <c r="P3282" i="1"/>
  <c r="U3282" i="1" s="1"/>
  <c r="P3283" i="1"/>
  <c r="U3283" i="1" s="1"/>
  <c r="P3284" i="1"/>
  <c r="U3284" i="1" s="1"/>
  <c r="P3285" i="1"/>
  <c r="U3285" i="1" s="1"/>
  <c r="P3286" i="1"/>
  <c r="U3286" i="1" s="1"/>
  <c r="P3287" i="1"/>
  <c r="U3287" i="1" s="1"/>
  <c r="P3288" i="1"/>
  <c r="U3288" i="1" s="1"/>
  <c r="P3289" i="1"/>
  <c r="U3289" i="1" s="1"/>
  <c r="P3290" i="1"/>
  <c r="U3290" i="1" s="1"/>
  <c r="P3291" i="1"/>
  <c r="U3291" i="1" s="1"/>
  <c r="P3292" i="1"/>
  <c r="U3292" i="1" s="1"/>
  <c r="P3293" i="1"/>
  <c r="U3293" i="1" s="1"/>
  <c r="P3294" i="1"/>
  <c r="U3294" i="1" s="1"/>
  <c r="P3295" i="1"/>
  <c r="U3295" i="1" s="1"/>
  <c r="P3296" i="1"/>
  <c r="U3296" i="1" s="1"/>
  <c r="P3297" i="1"/>
  <c r="U3297" i="1" s="1"/>
  <c r="P3298" i="1"/>
  <c r="U3298" i="1" s="1"/>
  <c r="P3299" i="1"/>
  <c r="U3299" i="1" s="1"/>
  <c r="P3300" i="1"/>
  <c r="U3300" i="1" s="1"/>
  <c r="P3301" i="1"/>
  <c r="U3301" i="1" s="1"/>
  <c r="P3302" i="1"/>
  <c r="U3302" i="1" s="1"/>
  <c r="P3303" i="1"/>
  <c r="U3303" i="1" s="1"/>
  <c r="P3304" i="1"/>
  <c r="U3304" i="1" s="1"/>
  <c r="P3305" i="1"/>
  <c r="U3305" i="1" s="1"/>
  <c r="P3306" i="1"/>
  <c r="U3306" i="1" s="1"/>
  <c r="P3307" i="1"/>
  <c r="U3307" i="1" s="1"/>
  <c r="P3308" i="1"/>
  <c r="U3308" i="1" s="1"/>
  <c r="P3309" i="1"/>
  <c r="U3309" i="1" s="1"/>
  <c r="P3310" i="1"/>
  <c r="U3310" i="1" s="1"/>
  <c r="P3311" i="1"/>
  <c r="U3311" i="1" s="1"/>
  <c r="P3312" i="1"/>
  <c r="U3312" i="1" s="1"/>
  <c r="P3313" i="1"/>
  <c r="U3313" i="1" s="1"/>
  <c r="P3314" i="1"/>
  <c r="U3314" i="1" s="1"/>
  <c r="P3315" i="1"/>
  <c r="U3315" i="1" s="1"/>
  <c r="P3316" i="1"/>
  <c r="U3316" i="1" s="1"/>
  <c r="P3317" i="1"/>
  <c r="U3317" i="1" s="1"/>
  <c r="P3318" i="1"/>
  <c r="U3318" i="1" s="1"/>
  <c r="P3319" i="1"/>
  <c r="U3319" i="1" s="1"/>
  <c r="P3320" i="1"/>
  <c r="U3320" i="1" s="1"/>
  <c r="P3321" i="1"/>
  <c r="U3321" i="1" s="1"/>
  <c r="P3322" i="1"/>
  <c r="U3322" i="1" s="1"/>
  <c r="P3323" i="1"/>
  <c r="U3323" i="1" s="1"/>
  <c r="P3324" i="1"/>
  <c r="U3324" i="1" s="1"/>
  <c r="P3325" i="1"/>
  <c r="U3325" i="1" s="1"/>
  <c r="P3326" i="1"/>
  <c r="U3326" i="1" s="1"/>
  <c r="P3327" i="1"/>
  <c r="U3327" i="1" s="1"/>
  <c r="P3328" i="1"/>
  <c r="U3328" i="1" s="1"/>
  <c r="P3329" i="1"/>
  <c r="U3329" i="1" s="1"/>
  <c r="P3330" i="1"/>
  <c r="U3330" i="1" s="1"/>
  <c r="P3331" i="1"/>
  <c r="U3331" i="1" s="1"/>
  <c r="P3332" i="1"/>
  <c r="U3332" i="1" s="1"/>
  <c r="P3333" i="1"/>
  <c r="U3333" i="1" s="1"/>
  <c r="P3334" i="1"/>
  <c r="U3334" i="1" s="1"/>
  <c r="P3335" i="1"/>
  <c r="U3335" i="1" s="1"/>
  <c r="P3336" i="1"/>
  <c r="U3336" i="1" s="1"/>
  <c r="P3337" i="1"/>
  <c r="U3337" i="1" s="1"/>
  <c r="P3338" i="1"/>
  <c r="U3338" i="1" s="1"/>
  <c r="P3339" i="1"/>
  <c r="U3339" i="1" s="1"/>
  <c r="P3340" i="1"/>
  <c r="U3340" i="1" s="1"/>
  <c r="P3341" i="1"/>
  <c r="U3341" i="1" s="1"/>
  <c r="P3342" i="1"/>
  <c r="U3342" i="1" s="1"/>
  <c r="P3343" i="1"/>
  <c r="U3343" i="1" s="1"/>
  <c r="P3344" i="1"/>
  <c r="U3344" i="1" s="1"/>
  <c r="P3345" i="1"/>
  <c r="U3345" i="1" s="1"/>
  <c r="P3346" i="1"/>
  <c r="U3346" i="1" s="1"/>
  <c r="P3347" i="1"/>
  <c r="U3347" i="1" s="1"/>
  <c r="P3348" i="1"/>
  <c r="U3348" i="1" s="1"/>
  <c r="P3349" i="1"/>
  <c r="U3349" i="1" s="1"/>
  <c r="P3350" i="1"/>
  <c r="U3350" i="1" s="1"/>
  <c r="P3351" i="1"/>
  <c r="U3351" i="1" s="1"/>
  <c r="P3352" i="1"/>
  <c r="U3352" i="1" s="1"/>
  <c r="P3353" i="1"/>
  <c r="U3353" i="1" s="1"/>
  <c r="P3354" i="1"/>
  <c r="U3354" i="1" s="1"/>
  <c r="P3355" i="1"/>
  <c r="U3355" i="1" s="1"/>
  <c r="P3356" i="1"/>
  <c r="U3356" i="1" s="1"/>
  <c r="P3357" i="1"/>
  <c r="U3357" i="1" s="1"/>
  <c r="P3358" i="1"/>
  <c r="U3358" i="1" s="1"/>
  <c r="P3359" i="1"/>
  <c r="U3359" i="1" s="1"/>
  <c r="P3360" i="1"/>
  <c r="U3360" i="1" s="1"/>
  <c r="P3361" i="1"/>
  <c r="U3361" i="1" s="1"/>
  <c r="P3362" i="1"/>
  <c r="U3362" i="1" s="1"/>
  <c r="P3363" i="1"/>
  <c r="U3363" i="1" s="1"/>
  <c r="P3364" i="1"/>
  <c r="U3364" i="1" s="1"/>
  <c r="P3365" i="1"/>
  <c r="U3365" i="1" s="1"/>
  <c r="P3366" i="1"/>
  <c r="U3366" i="1" s="1"/>
  <c r="P3367" i="1"/>
  <c r="U3367" i="1" s="1"/>
  <c r="P3368" i="1"/>
  <c r="U3368" i="1" s="1"/>
  <c r="P3369" i="1"/>
  <c r="U3369" i="1" s="1"/>
  <c r="P3370" i="1"/>
  <c r="U3370" i="1" s="1"/>
  <c r="P3371" i="1"/>
  <c r="U3371" i="1" s="1"/>
  <c r="P3372" i="1"/>
  <c r="U3372" i="1" s="1"/>
  <c r="P3373" i="1"/>
  <c r="U3373" i="1" s="1"/>
  <c r="P3374" i="1"/>
  <c r="U3374" i="1" s="1"/>
  <c r="P3375" i="1"/>
  <c r="U3375" i="1" s="1"/>
  <c r="P3376" i="1"/>
  <c r="U3376" i="1" s="1"/>
  <c r="P3377" i="1"/>
  <c r="U3377" i="1" s="1"/>
  <c r="P3378" i="1"/>
  <c r="U3378" i="1" s="1"/>
  <c r="P3379" i="1"/>
  <c r="U3379" i="1" s="1"/>
  <c r="P3380" i="1"/>
  <c r="U3380" i="1" s="1"/>
  <c r="P3381" i="1"/>
  <c r="U3381" i="1" s="1"/>
  <c r="P3382" i="1"/>
  <c r="U3382" i="1" s="1"/>
  <c r="P3383" i="1"/>
  <c r="U3383" i="1" s="1"/>
  <c r="P3384" i="1"/>
  <c r="U3384" i="1" s="1"/>
  <c r="P3385" i="1"/>
  <c r="U3385" i="1" s="1"/>
  <c r="P3386" i="1"/>
  <c r="U3386" i="1" s="1"/>
  <c r="P3387" i="1"/>
  <c r="U3387" i="1" s="1"/>
  <c r="P3388" i="1"/>
  <c r="U3388" i="1" s="1"/>
  <c r="P3389" i="1"/>
  <c r="U3389" i="1" s="1"/>
  <c r="P3390" i="1"/>
  <c r="U3390" i="1" s="1"/>
  <c r="P3391" i="1"/>
  <c r="U3391" i="1" s="1"/>
  <c r="P3392" i="1"/>
  <c r="U3392" i="1" s="1"/>
  <c r="P3393" i="1"/>
  <c r="U3393" i="1" s="1"/>
  <c r="P3394" i="1"/>
  <c r="U3394" i="1" s="1"/>
  <c r="P3395" i="1"/>
  <c r="U3395" i="1" s="1"/>
  <c r="P3396" i="1"/>
  <c r="U3396" i="1" s="1"/>
  <c r="P3397" i="1"/>
  <c r="U3397" i="1" s="1"/>
  <c r="P3398" i="1"/>
  <c r="U3398" i="1" s="1"/>
  <c r="P3399" i="1"/>
  <c r="U3399" i="1" s="1"/>
  <c r="P3400" i="1"/>
  <c r="U3400" i="1" s="1"/>
  <c r="P3401" i="1"/>
  <c r="U3401" i="1" s="1"/>
  <c r="P3402" i="1"/>
  <c r="U3402" i="1" s="1"/>
  <c r="P3403" i="1"/>
  <c r="U3403" i="1" s="1"/>
  <c r="P3404" i="1"/>
  <c r="U3404" i="1" s="1"/>
  <c r="P3405" i="1"/>
  <c r="U3405" i="1" s="1"/>
  <c r="P3406" i="1"/>
  <c r="U3406" i="1" s="1"/>
  <c r="P3407" i="1"/>
  <c r="U3407" i="1" s="1"/>
  <c r="P3408" i="1"/>
  <c r="U3408" i="1" s="1"/>
  <c r="P3409" i="1"/>
  <c r="U3409" i="1" s="1"/>
  <c r="P3410" i="1"/>
  <c r="U3410" i="1" s="1"/>
  <c r="P3411" i="1"/>
  <c r="U3411" i="1" s="1"/>
  <c r="P3412" i="1"/>
  <c r="U3412" i="1" s="1"/>
  <c r="P3413" i="1"/>
  <c r="U3413" i="1" s="1"/>
  <c r="P3414" i="1"/>
  <c r="U3414" i="1" s="1"/>
  <c r="P3415" i="1"/>
  <c r="U3415" i="1" s="1"/>
  <c r="P3416" i="1"/>
  <c r="U3416" i="1" s="1"/>
  <c r="P3417" i="1"/>
  <c r="U3417" i="1" s="1"/>
  <c r="P3418" i="1"/>
  <c r="U3418" i="1" s="1"/>
  <c r="P3419" i="1"/>
  <c r="U3419" i="1" s="1"/>
  <c r="P3420" i="1"/>
  <c r="U3420" i="1" s="1"/>
  <c r="P3421" i="1"/>
  <c r="U3421" i="1" s="1"/>
  <c r="P3422" i="1"/>
  <c r="U3422" i="1" s="1"/>
  <c r="P3423" i="1"/>
  <c r="U3423" i="1" s="1"/>
  <c r="P3424" i="1"/>
  <c r="U3424" i="1" s="1"/>
  <c r="P3425" i="1"/>
  <c r="U3425" i="1" s="1"/>
  <c r="P3426" i="1"/>
  <c r="U3426" i="1" s="1"/>
  <c r="P3427" i="1"/>
  <c r="U3427" i="1" s="1"/>
  <c r="P3428" i="1"/>
  <c r="U3428" i="1" s="1"/>
  <c r="P3429" i="1"/>
  <c r="U3429" i="1" s="1"/>
  <c r="P3430" i="1"/>
  <c r="U3430" i="1" s="1"/>
  <c r="P3431" i="1"/>
  <c r="U3431" i="1" s="1"/>
  <c r="P3432" i="1"/>
  <c r="U3432" i="1" s="1"/>
  <c r="P3433" i="1"/>
  <c r="U3433" i="1" s="1"/>
  <c r="P3434" i="1"/>
  <c r="U3434" i="1" s="1"/>
  <c r="P3435" i="1"/>
  <c r="U3435" i="1" s="1"/>
  <c r="P3436" i="1"/>
  <c r="U3436" i="1" s="1"/>
  <c r="P3437" i="1"/>
  <c r="U3437" i="1" s="1"/>
  <c r="P3438" i="1"/>
  <c r="U3438" i="1" s="1"/>
  <c r="P3439" i="1"/>
  <c r="U3439" i="1" s="1"/>
  <c r="P3440" i="1"/>
  <c r="U3440" i="1" s="1"/>
  <c r="P3441" i="1"/>
  <c r="U3441" i="1" s="1"/>
  <c r="P3442" i="1"/>
  <c r="U3442" i="1" s="1"/>
  <c r="P3443" i="1"/>
  <c r="U3443" i="1" s="1"/>
  <c r="P3444" i="1"/>
  <c r="U3444" i="1" s="1"/>
  <c r="P3445" i="1"/>
  <c r="U3445" i="1" s="1"/>
  <c r="P3446" i="1"/>
  <c r="U3446" i="1" s="1"/>
  <c r="P3447" i="1"/>
  <c r="U3447" i="1" s="1"/>
  <c r="P3448" i="1"/>
  <c r="U3448" i="1" s="1"/>
  <c r="P3449" i="1"/>
  <c r="U3449" i="1" s="1"/>
  <c r="P3450" i="1"/>
  <c r="U3450" i="1" s="1"/>
  <c r="P3451" i="1"/>
  <c r="U3451" i="1" s="1"/>
  <c r="P3452" i="1"/>
  <c r="U3452" i="1" s="1"/>
  <c r="P3453" i="1"/>
  <c r="U3453" i="1" s="1"/>
  <c r="P3454" i="1"/>
  <c r="U3454" i="1" s="1"/>
  <c r="P3455" i="1"/>
  <c r="U3455" i="1" s="1"/>
  <c r="P3456" i="1"/>
  <c r="U3456" i="1" s="1"/>
  <c r="P3457" i="1"/>
  <c r="U3457" i="1" s="1"/>
  <c r="P3458" i="1"/>
  <c r="U3458" i="1" s="1"/>
  <c r="P3459" i="1"/>
  <c r="U3459" i="1" s="1"/>
  <c r="P3460" i="1"/>
  <c r="U3460" i="1" s="1"/>
  <c r="P3462" i="1"/>
  <c r="U3462" i="1" s="1"/>
  <c r="P3463" i="1"/>
  <c r="U3463" i="1" s="1"/>
  <c r="P3464" i="1"/>
  <c r="U3464" i="1" s="1"/>
  <c r="P3465" i="1"/>
  <c r="U3465" i="1" s="1"/>
  <c r="P3466" i="1"/>
  <c r="U3466" i="1" s="1"/>
  <c r="P3467" i="1"/>
  <c r="U3467" i="1" s="1"/>
  <c r="P3468" i="1"/>
  <c r="U3468" i="1" s="1"/>
  <c r="P3469" i="1"/>
  <c r="U3469" i="1" s="1"/>
  <c r="P3470" i="1"/>
  <c r="U3470" i="1" s="1"/>
  <c r="P3471" i="1"/>
  <c r="U3471" i="1" s="1"/>
  <c r="P3472" i="1"/>
  <c r="U3472" i="1" s="1"/>
  <c r="P3473" i="1"/>
  <c r="U3473" i="1" s="1"/>
  <c r="P3474" i="1"/>
  <c r="U3474" i="1" s="1"/>
  <c r="P3475" i="1"/>
  <c r="U3475" i="1" s="1"/>
  <c r="P3476" i="1"/>
  <c r="U3476" i="1" s="1"/>
  <c r="P3477" i="1"/>
  <c r="U3477" i="1" s="1"/>
  <c r="P3478" i="1"/>
  <c r="U3478" i="1" s="1"/>
  <c r="P3479" i="1"/>
  <c r="U3479" i="1" s="1"/>
  <c r="P3480" i="1"/>
  <c r="U3480" i="1" s="1"/>
  <c r="P3481" i="1"/>
  <c r="U3481" i="1" s="1"/>
  <c r="P3482" i="1"/>
  <c r="U3482" i="1" s="1"/>
  <c r="P3483" i="1"/>
  <c r="U3483" i="1" s="1"/>
  <c r="P3484" i="1"/>
  <c r="U3484" i="1" s="1"/>
  <c r="P3485" i="1"/>
  <c r="U3485" i="1" s="1"/>
  <c r="P3486" i="1"/>
  <c r="U3486" i="1" s="1"/>
  <c r="P3487" i="1"/>
  <c r="U3487" i="1" s="1"/>
  <c r="P3488" i="1"/>
  <c r="U3488" i="1" s="1"/>
  <c r="P3489" i="1"/>
  <c r="U3489" i="1" s="1"/>
  <c r="P3490" i="1"/>
  <c r="U3490" i="1" s="1"/>
  <c r="P3491" i="1"/>
  <c r="U3491" i="1" s="1"/>
  <c r="P3492" i="1"/>
  <c r="U3492" i="1" s="1"/>
  <c r="P3493" i="1"/>
  <c r="U3493" i="1" s="1"/>
  <c r="P3494" i="1"/>
  <c r="U3494" i="1" s="1"/>
  <c r="P3495" i="1"/>
  <c r="U3495" i="1" s="1"/>
  <c r="P3496" i="1"/>
  <c r="U3496" i="1" s="1"/>
  <c r="P3497" i="1"/>
  <c r="U3497" i="1" s="1"/>
  <c r="P3498" i="1"/>
  <c r="U3498" i="1" s="1"/>
  <c r="P3499" i="1"/>
  <c r="U3499" i="1" s="1"/>
  <c r="P3500" i="1"/>
  <c r="U3500" i="1" s="1"/>
  <c r="P3501" i="1"/>
  <c r="U3501" i="1" s="1"/>
  <c r="P3502" i="1"/>
  <c r="U3502" i="1" s="1"/>
  <c r="P3503" i="1"/>
  <c r="U3503" i="1" s="1"/>
  <c r="P3504" i="1"/>
  <c r="U3504" i="1" s="1"/>
  <c r="P3505" i="1"/>
  <c r="U3505" i="1" s="1"/>
  <c r="P3506" i="1"/>
  <c r="U3506" i="1" s="1"/>
  <c r="P3507" i="1"/>
  <c r="U3507" i="1" s="1"/>
  <c r="P3508" i="1"/>
  <c r="U3508" i="1" s="1"/>
  <c r="P3509" i="1"/>
  <c r="U3509" i="1" s="1"/>
  <c r="P3510" i="1"/>
  <c r="U3510" i="1" s="1"/>
  <c r="P3511" i="1"/>
  <c r="U3511" i="1" s="1"/>
  <c r="P3512" i="1"/>
  <c r="U3512" i="1" s="1"/>
  <c r="P3513" i="1"/>
  <c r="U3513" i="1" s="1"/>
  <c r="P3514" i="1"/>
  <c r="U3514" i="1" s="1"/>
  <c r="P3515" i="1"/>
  <c r="U3515" i="1" s="1"/>
  <c r="P3516" i="1"/>
  <c r="U3516" i="1" s="1"/>
  <c r="P3517" i="1"/>
  <c r="U3517" i="1" s="1"/>
  <c r="P3518" i="1"/>
  <c r="U3518" i="1" s="1"/>
  <c r="P3519" i="1"/>
  <c r="U3519" i="1" s="1"/>
  <c r="P3520" i="1"/>
  <c r="U3520" i="1" s="1"/>
  <c r="P3521" i="1"/>
  <c r="U3521" i="1" s="1"/>
  <c r="P3522" i="1"/>
  <c r="U3522" i="1" s="1"/>
  <c r="P3523" i="1"/>
  <c r="U3523" i="1" s="1"/>
  <c r="P3524" i="1"/>
  <c r="U3524" i="1" s="1"/>
  <c r="P3525" i="1"/>
  <c r="U3525" i="1" s="1"/>
  <c r="P3526" i="1"/>
  <c r="U3526" i="1" s="1"/>
  <c r="P3527" i="1"/>
  <c r="U3527" i="1" s="1"/>
  <c r="P3528" i="1"/>
  <c r="U3528" i="1" s="1"/>
  <c r="P3529" i="1"/>
  <c r="U3529" i="1" s="1"/>
  <c r="P3530" i="1"/>
  <c r="U3530" i="1" s="1"/>
  <c r="P3531" i="1"/>
  <c r="U3531" i="1" s="1"/>
  <c r="P3532" i="1"/>
  <c r="U3532" i="1" s="1"/>
  <c r="P3533" i="1"/>
  <c r="U3533" i="1" s="1"/>
  <c r="P3534" i="1"/>
  <c r="U3534" i="1" s="1"/>
  <c r="P3535" i="1"/>
  <c r="U3535" i="1" s="1"/>
  <c r="P3536" i="1"/>
  <c r="U3536" i="1" s="1"/>
  <c r="P3537" i="1"/>
  <c r="U3537" i="1" s="1"/>
  <c r="P3538" i="1"/>
  <c r="U3538" i="1" s="1"/>
  <c r="P3539" i="1"/>
  <c r="U3539" i="1" s="1"/>
  <c r="P3540" i="1"/>
  <c r="U3540" i="1" s="1"/>
  <c r="P3541" i="1"/>
  <c r="U3541" i="1" s="1"/>
  <c r="P3542" i="1"/>
  <c r="U3542" i="1" s="1"/>
  <c r="P3543" i="1"/>
  <c r="U3543" i="1" s="1"/>
  <c r="P3544" i="1"/>
  <c r="U3544" i="1" s="1"/>
  <c r="P3545" i="1"/>
  <c r="U3545" i="1" s="1"/>
  <c r="P3546" i="1"/>
  <c r="U3546" i="1" s="1"/>
  <c r="P3547" i="1"/>
  <c r="U3547" i="1" s="1"/>
  <c r="P3548" i="1"/>
  <c r="U3548" i="1" s="1"/>
  <c r="P3549" i="1"/>
  <c r="U3549" i="1" s="1"/>
  <c r="P3550" i="1"/>
  <c r="U3550" i="1" s="1"/>
  <c r="P3551" i="1"/>
  <c r="U3551" i="1" s="1"/>
  <c r="P3552" i="1"/>
  <c r="U3552" i="1" s="1"/>
  <c r="P3553" i="1"/>
  <c r="U3553" i="1" s="1"/>
  <c r="P3554" i="1"/>
  <c r="U3554" i="1" s="1"/>
  <c r="P3555" i="1"/>
  <c r="U3555" i="1" s="1"/>
  <c r="P3556" i="1"/>
  <c r="U3556" i="1" s="1"/>
  <c r="P3557" i="1"/>
  <c r="U3557" i="1" s="1"/>
  <c r="P3558" i="1"/>
  <c r="U3558" i="1" s="1"/>
  <c r="P3559" i="1"/>
  <c r="U3559" i="1" s="1"/>
  <c r="P3560" i="1"/>
  <c r="U3560" i="1" s="1"/>
  <c r="P3561" i="1"/>
  <c r="U3561" i="1" s="1"/>
  <c r="P3562" i="1"/>
  <c r="U3562" i="1" s="1"/>
  <c r="P3563" i="1"/>
  <c r="U3563" i="1" s="1"/>
  <c r="P3564" i="1"/>
  <c r="U3564" i="1" s="1"/>
  <c r="P3565" i="1"/>
  <c r="U3565" i="1" s="1"/>
  <c r="P3566" i="1"/>
  <c r="U3566" i="1" s="1"/>
  <c r="P3567" i="1"/>
  <c r="U3567" i="1" s="1"/>
  <c r="P3568" i="1"/>
  <c r="U3568" i="1" s="1"/>
  <c r="P3569" i="1"/>
  <c r="U3569" i="1" s="1"/>
  <c r="P3570" i="1"/>
  <c r="U3570" i="1" s="1"/>
  <c r="P3571" i="1"/>
  <c r="U3571" i="1" s="1"/>
  <c r="P3572" i="1"/>
  <c r="U3572" i="1" s="1"/>
  <c r="P3573" i="1"/>
  <c r="U3573" i="1" s="1"/>
  <c r="P3574" i="1"/>
  <c r="U3574" i="1" s="1"/>
  <c r="P3575" i="1"/>
  <c r="U3575" i="1" s="1"/>
  <c r="P3576" i="1"/>
  <c r="U3576" i="1" s="1"/>
  <c r="P3577" i="1"/>
  <c r="U3577" i="1" s="1"/>
  <c r="P3578" i="1"/>
  <c r="U3578" i="1" s="1"/>
  <c r="P3579" i="1"/>
  <c r="U3579" i="1" s="1"/>
  <c r="P3580" i="1"/>
  <c r="U3580" i="1" s="1"/>
  <c r="P3581" i="1"/>
  <c r="U3581" i="1" s="1"/>
  <c r="P3582" i="1"/>
  <c r="U3582" i="1" s="1"/>
  <c r="P3583" i="1"/>
  <c r="U3583" i="1" s="1"/>
  <c r="P3584" i="1"/>
  <c r="U3584" i="1" s="1"/>
  <c r="P3585" i="1"/>
  <c r="U3585" i="1" s="1"/>
  <c r="P3586" i="1"/>
  <c r="U3586" i="1" s="1"/>
  <c r="P3587" i="1"/>
  <c r="U3587" i="1" s="1"/>
  <c r="P3588" i="1"/>
  <c r="U3588" i="1" s="1"/>
  <c r="P3589" i="1"/>
  <c r="U3589" i="1" s="1"/>
  <c r="P3590" i="1"/>
  <c r="U3590" i="1" s="1"/>
  <c r="P3591" i="1"/>
  <c r="U3591" i="1" s="1"/>
  <c r="P3592" i="1"/>
  <c r="U3592" i="1" s="1"/>
  <c r="P3593" i="1"/>
  <c r="U3593" i="1" s="1"/>
  <c r="P3594" i="1"/>
  <c r="U3594" i="1" s="1"/>
  <c r="P3595" i="1"/>
  <c r="U3595" i="1" s="1"/>
  <c r="P3596" i="1"/>
  <c r="U3596" i="1" s="1"/>
  <c r="P3597" i="1"/>
  <c r="U3597" i="1" s="1"/>
  <c r="P3598" i="1"/>
  <c r="U3598" i="1" s="1"/>
  <c r="P3599" i="1"/>
  <c r="U3599" i="1" s="1"/>
  <c r="P3600" i="1"/>
  <c r="U3600" i="1" s="1"/>
  <c r="P3601" i="1"/>
  <c r="U3601" i="1" s="1"/>
  <c r="P3602" i="1"/>
  <c r="U3602" i="1" s="1"/>
  <c r="P3603" i="1"/>
  <c r="U3603" i="1" s="1"/>
  <c r="P3604" i="1"/>
  <c r="U3604" i="1" s="1"/>
  <c r="P3605" i="1"/>
  <c r="U3605" i="1" s="1"/>
  <c r="P3606" i="1"/>
  <c r="U3606" i="1" s="1"/>
  <c r="P3607" i="1"/>
  <c r="U3607" i="1" s="1"/>
  <c r="P3608" i="1"/>
  <c r="U3608" i="1" s="1"/>
  <c r="P3609" i="1"/>
  <c r="U3609" i="1" s="1"/>
  <c r="P3610" i="1"/>
  <c r="U3610" i="1" s="1"/>
  <c r="P3611" i="1"/>
  <c r="U3611" i="1" s="1"/>
  <c r="P3612" i="1"/>
  <c r="U3612" i="1" s="1"/>
  <c r="P3613" i="1"/>
  <c r="U3613" i="1" s="1"/>
  <c r="P3614" i="1"/>
  <c r="U3614" i="1" s="1"/>
  <c r="P3615" i="1"/>
  <c r="U3615" i="1" s="1"/>
  <c r="P3616" i="1"/>
  <c r="U3616" i="1" s="1"/>
  <c r="P3617" i="1"/>
  <c r="U3617" i="1" s="1"/>
  <c r="P3618" i="1"/>
  <c r="U3618" i="1" s="1"/>
  <c r="P3619" i="1"/>
  <c r="U3619" i="1" s="1"/>
  <c r="P3620" i="1"/>
  <c r="U3620" i="1" s="1"/>
  <c r="P3621" i="1"/>
  <c r="U3621" i="1" s="1"/>
  <c r="P3622" i="1"/>
  <c r="U3622" i="1" s="1"/>
  <c r="P3623" i="1"/>
  <c r="U3623" i="1" s="1"/>
  <c r="P3624" i="1"/>
  <c r="U3624" i="1" s="1"/>
  <c r="P3625" i="1"/>
  <c r="U3625" i="1" s="1"/>
  <c r="P3626" i="1"/>
  <c r="U3626" i="1" s="1"/>
  <c r="P3627" i="1"/>
  <c r="U3627" i="1" s="1"/>
  <c r="P3628" i="1"/>
  <c r="U3628" i="1" s="1"/>
  <c r="P3629" i="1"/>
  <c r="U3629" i="1" s="1"/>
  <c r="P3630" i="1"/>
  <c r="U3630" i="1" s="1"/>
  <c r="P3631" i="1"/>
  <c r="U3631" i="1" s="1"/>
  <c r="P3632" i="1"/>
  <c r="U3632" i="1" s="1"/>
  <c r="P3633" i="1"/>
  <c r="U3633" i="1" s="1"/>
  <c r="P3634" i="1"/>
  <c r="U3634" i="1" s="1"/>
  <c r="P3635" i="1"/>
  <c r="U3635" i="1" s="1"/>
  <c r="P3636" i="1"/>
  <c r="U3636" i="1" s="1"/>
  <c r="P3637" i="1"/>
  <c r="U3637" i="1" s="1"/>
  <c r="P3638" i="1"/>
  <c r="U3638" i="1" s="1"/>
  <c r="P3639" i="1"/>
  <c r="U3639" i="1" s="1"/>
  <c r="P3640" i="1"/>
  <c r="U3640" i="1" s="1"/>
  <c r="P3641" i="1"/>
  <c r="U3641" i="1" s="1"/>
  <c r="P3642" i="1"/>
  <c r="U3642" i="1" s="1"/>
  <c r="P3643" i="1"/>
  <c r="U3643" i="1" s="1"/>
  <c r="P3644" i="1"/>
  <c r="U3644" i="1" s="1"/>
  <c r="P3645" i="1"/>
  <c r="U3645" i="1" s="1"/>
  <c r="P3646" i="1"/>
  <c r="U3646" i="1" s="1"/>
  <c r="P3647" i="1"/>
  <c r="U3647" i="1" s="1"/>
  <c r="P3648" i="1"/>
  <c r="U3648" i="1" s="1"/>
  <c r="P3649" i="1"/>
  <c r="U3649" i="1" s="1"/>
  <c r="P3650" i="1"/>
  <c r="U3650" i="1" s="1"/>
  <c r="P3651" i="1"/>
  <c r="U3651" i="1" s="1"/>
  <c r="P3652" i="1"/>
  <c r="U3652" i="1" s="1"/>
  <c r="P3653" i="1"/>
  <c r="U3653" i="1" s="1"/>
  <c r="P3654" i="1"/>
  <c r="U3654" i="1" s="1"/>
  <c r="P3655" i="1"/>
  <c r="U3655" i="1" s="1"/>
  <c r="P3656" i="1"/>
  <c r="U3656" i="1" s="1"/>
  <c r="P3657" i="1"/>
  <c r="U3657" i="1" s="1"/>
  <c r="P3658" i="1"/>
  <c r="U3658" i="1" s="1"/>
  <c r="P3659" i="1"/>
  <c r="U3659" i="1" s="1"/>
  <c r="P3660" i="1"/>
  <c r="U3660" i="1" s="1"/>
  <c r="P3661" i="1"/>
  <c r="U3661" i="1" s="1"/>
  <c r="P3662" i="1"/>
  <c r="U3662" i="1" s="1"/>
  <c r="P3663" i="1"/>
  <c r="U3663" i="1" s="1"/>
  <c r="P3664" i="1"/>
  <c r="U3664" i="1" s="1"/>
  <c r="P3665" i="1"/>
  <c r="U3665" i="1" s="1"/>
  <c r="P3666" i="1"/>
  <c r="U3666" i="1" s="1"/>
  <c r="P3668" i="1"/>
  <c r="U3668" i="1" s="1"/>
  <c r="P3669" i="1"/>
  <c r="U3669" i="1" s="1"/>
  <c r="P3670" i="1"/>
  <c r="U3670" i="1" s="1"/>
  <c r="P3671" i="1"/>
  <c r="U3671" i="1" s="1"/>
  <c r="P3672" i="1"/>
  <c r="U3672" i="1" s="1"/>
  <c r="P3673" i="1"/>
  <c r="U3673" i="1" s="1"/>
  <c r="P3674" i="1"/>
  <c r="U3674" i="1" s="1"/>
  <c r="P3675" i="1"/>
  <c r="U3675" i="1" s="1"/>
  <c r="P3676" i="1"/>
  <c r="U3676" i="1" s="1"/>
  <c r="P3677" i="1"/>
  <c r="U3677" i="1" s="1"/>
  <c r="P3678" i="1"/>
  <c r="U3678" i="1" s="1"/>
  <c r="P3679" i="1"/>
  <c r="U3679" i="1" s="1"/>
  <c r="P3680" i="1"/>
  <c r="U3680" i="1" s="1"/>
  <c r="P3681" i="1"/>
  <c r="U3681" i="1" s="1"/>
  <c r="P3682" i="1"/>
  <c r="U3682" i="1" s="1"/>
  <c r="P3683" i="1"/>
  <c r="U3683" i="1" s="1"/>
  <c r="P3684" i="1"/>
  <c r="U3684" i="1" s="1"/>
  <c r="P3685" i="1"/>
  <c r="U3685" i="1" s="1"/>
  <c r="P3686" i="1"/>
  <c r="U3686" i="1" s="1"/>
  <c r="P3687" i="1"/>
  <c r="U3687" i="1" s="1"/>
  <c r="P3688" i="1"/>
  <c r="U3688" i="1" s="1"/>
  <c r="P3689" i="1"/>
  <c r="U3689" i="1" s="1"/>
  <c r="P3690" i="1"/>
  <c r="U3690" i="1" s="1"/>
  <c r="P3691" i="1"/>
  <c r="U3691" i="1" s="1"/>
  <c r="P3692" i="1"/>
  <c r="U3692" i="1" s="1"/>
  <c r="P3693" i="1"/>
  <c r="U3693" i="1" s="1"/>
  <c r="P3694" i="1"/>
  <c r="U3694" i="1" s="1"/>
  <c r="P3695" i="1"/>
  <c r="U3695" i="1" s="1"/>
  <c r="P3696" i="1"/>
  <c r="U3696" i="1" s="1"/>
  <c r="P3697" i="1"/>
  <c r="U3697" i="1" s="1"/>
  <c r="P3698" i="1"/>
  <c r="U3698" i="1" s="1"/>
  <c r="P3699" i="1"/>
  <c r="U3699" i="1" s="1"/>
  <c r="P3700" i="1"/>
  <c r="U3700" i="1" s="1"/>
  <c r="P3701" i="1"/>
  <c r="U3701" i="1" s="1"/>
  <c r="P3702" i="1"/>
  <c r="U3702" i="1" s="1"/>
  <c r="P3703" i="1"/>
  <c r="U3703" i="1" s="1"/>
  <c r="P3704" i="1"/>
  <c r="U3704" i="1" s="1"/>
  <c r="P3705" i="1"/>
  <c r="U3705" i="1" s="1"/>
  <c r="P3706" i="1"/>
  <c r="U3706" i="1" s="1"/>
  <c r="P3707" i="1"/>
  <c r="U3707" i="1" s="1"/>
  <c r="P3708" i="1"/>
  <c r="U3708" i="1" s="1"/>
  <c r="P3709" i="1"/>
  <c r="U3709" i="1" s="1"/>
  <c r="P3710" i="1"/>
  <c r="U3710" i="1" s="1"/>
  <c r="P3711" i="1"/>
  <c r="U3711" i="1" s="1"/>
  <c r="P3712" i="1"/>
  <c r="U3712" i="1" s="1"/>
  <c r="P3713" i="1"/>
  <c r="U3713" i="1" s="1"/>
  <c r="P3714" i="1"/>
  <c r="U3714" i="1" s="1"/>
  <c r="P3715" i="1"/>
  <c r="U3715" i="1" s="1"/>
  <c r="P3716" i="1"/>
  <c r="U3716" i="1" s="1"/>
  <c r="P3717" i="1"/>
  <c r="U3717" i="1" s="1"/>
  <c r="P3718" i="1"/>
  <c r="U3718" i="1" s="1"/>
  <c r="P3719" i="1"/>
  <c r="U3719" i="1" s="1"/>
  <c r="P3720" i="1"/>
  <c r="U3720" i="1" s="1"/>
  <c r="P3721" i="1"/>
  <c r="U3721" i="1" s="1"/>
  <c r="P3722" i="1"/>
  <c r="U3722" i="1" s="1"/>
  <c r="P3723" i="1"/>
  <c r="U3723" i="1" s="1"/>
  <c r="P3724" i="1"/>
  <c r="U3724" i="1" s="1"/>
  <c r="P3725" i="1"/>
  <c r="U3725" i="1" s="1"/>
  <c r="P3726" i="1"/>
  <c r="U3726" i="1" s="1"/>
  <c r="P3727" i="1"/>
  <c r="U3727" i="1" s="1"/>
  <c r="P3728" i="1"/>
  <c r="U3728" i="1" s="1"/>
  <c r="P3729" i="1"/>
  <c r="U3729" i="1" s="1"/>
  <c r="P3730" i="1"/>
  <c r="U3730" i="1" s="1"/>
  <c r="P3731" i="1"/>
  <c r="U3731" i="1" s="1"/>
  <c r="P3732" i="1"/>
  <c r="U3732" i="1" s="1"/>
  <c r="P3733" i="1"/>
  <c r="U3733" i="1" s="1"/>
  <c r="P3734" i="1"/>
  <c r="U3734" i="1" s="1"/>
  <c r="P3735" i="1"/>
  <c r="U3735" i="1" s="1"/>
  <c r="P3736" i="1"/>
  <c r="U3736" i="1" s="1"/>
  <c r="P3737" i="1"/>
  <c r="U3737" i="1" s="1"/>
  <c r="P3738" i="1"/>
  <c r="U3738" i="1" s="1"/>
  <c r="P3739" i="1"/>
  <c r="U3739" i="1" s="1"/>
  <c r="P3740" i="1"/>
  <c r="U3740" i="1" s="1"/>
  <c r="P3741" i="1"/>
  <c r="U3741" i="1" s="1"/>
  <c r="P3742" i="1"/>
  <c r="U3742" i="1" s="1"/>
  <c r="P3743" i="1"/>
  <c r="U3743" i="1" s="1"/>
  <c r="P3744" i="1"/>
  <c r="U3744" i="1" s="1"/>
  <c r="P3745" i="1"/>
  <c r="U3745" i="1" s="1"/>
  <c r="P3746" i="1"/>
  <c r="U3746" i="1" s="1"/>
  <c r="P3747" i="1"/>
  <c r="U3747" i="1" s="1"/>
  <c r="P3748" i="1"/>
  <c r="U3748" i="1" s="1"/>
  <c r="P3749" i="1"/>
  <c r="U3749" i="1" s="1"/>
  <c r="P3750" i="1"/>
  <c r="U3750" i="1" s="1"/>
  <c r="P3751" i="1"/>
  <c r="U3751" i="1" s="1"/>
  <c r="P3752" i="1"/>
  <c r="U3752" i="1" s="1"/>
  <c r="P3753" i="1"/>
  <c r="U3753" i="1" s="1"/>
  <c r="P3754" i="1"/>
  <c r="U3754" i="1" s="1"/>
  <c r="P3755" i="1"/>
  <c r="U3755" i="1" s="1"/>
  <c r="P3756" i="1"/>
  <c r="U3756" i="1" s="1"/>
  <c r="P3757" i="1"/>
  <c r="U3757" i="1" s="1"/>
  <c r="P3758" i="1"/>
  <c r="U3758" i="1" s="1"/>
  <c r="P3759" i="1"/>
  <c r="U3759" i="1" s="1"/>
  <c r="P3760" i="1"/>
  <c r="U3760" i="1" s="1"/>
  <c r="P3761" i="1"/>
  <c r="U3761" i="1" s="1"/>
  <c r="P3762" i="1"/>
  <c r="U3762" i="1" s="1"/>
  <c r="P3763" i="1"/>
  <c r="U3763" i="1" s="1"/>
  <c r="P3764" i="1"/>
  <c r="U3764" i="1" s="1"/>
  <c r="P3765" i="1"/>
  <c r="U3765" i="1" s="1"/>
  <c r="P3766" i="1"/>
  <c r="U3766" i="1" s="1"/>
  <c r="P3767" i="1"/>
  <c r="U3767" i="1" s="1"/>
  <c r="P3768" i="1"/>
  <c r="U3768" i="1" s="1"/>
  <c r="P3769" i="1"/>
  <c r="U3769" i="1" s="1"/>
  <c r="P3770" i="1"/>
  <c r="U3770" i="1" s="1"/>
  <c r="P3771" i="1"/>
  <c r="U3771" i="1" s="1"/>
  <c r="P3772" i="1"/>
  <c r="U3772" i="1" s="1"/>
  <c r="P3773" i="1"/>
  <c r="U3773" i="1" s="1"/>
  <c r="P3774" i="1"/>
  <c r="U3774" i="1" s="1"/>
  <c r="P3775" i="1"/>
  <c r="U3775" i="1" s="1"/>
  <c r="P3776" i="1"/>
  <c r="U3776" i="1" s="1"/>
  <c r="P3777" i="1"/>
  <c r="U3777" i="1" s="1"/>
  <c r="P3778" i="1"/>
  <c r="U3778" i="1" s="1"/>
  <c r="P3779" i="1"/>
  <c r="U3779" i="1" s="1"/>
  <c r="P3780" i="1"/>
  <c r="U3780" i="1" s="1"/>
  <c r="P3781" i="1"/>
  <c r="U3781" i="1" s="1"/>
  <c r="P3782" i="1"/>
  <c r="U3782" i="1" s="1"/>
  <c r="P3783" i="1"/>
  <c r="U3783" i="1" s="1"/>
  <c r="P3784" i="1"/>
  <c r="U3784" i="1" s="1"/>
  <c r="P3785" i="1"/>
  <c r="U3785" i="1" s="1"/>
  <c r="P3786" i="1"/>
  <c r="U3786" i="1" s="1"/>
  <c r="P3787" i="1"/>
  <c r="U3787" i="1" s="1"/>
  <c r="P3788" i="1"/>
  <c r="U3788" i="1" s="1"/>
  <c r="P3789" i="1"/>
  <c r="U3789" i="1" s="1"/>
  <c r="P3790" i="1"/>
  <c r="U3790" i="1" s="1"/>
  <c r="P3791" i="1"/>
  <c r="U3791" i="1" s="1"/>
  <c r="P3792" i="1"/>
  <c r="U3792" i="1" s="1"/>
  <c r="P3793" i="1"/>
  <c r="U3793" i="1" s="1"/>
  <c r="P3794" i="1"/>
  <c r="U3794" i="1" s="1"/>
  <c r="P3795" i="1"/>
  <c r="U3795" i="1" s="1"/>
  <c r="P3796" i="1"/>
  <c r="U3796" i="1" s="1"/>
  <c r="P3797" i="1"/>
  <c r="U3797" i="1" s="1"/>
  <c r="P3798" i="1"/>
  <c r="U3798" i="1" s="1"/>
  <c r="P3799" i="1"/>
  <c r="U3799" i="1" s="1"/>
  <c r="P3800" i="1"/>
  <c r="U3800" i="1" s="1"/>
  <c r="P3801" i="1"/>
  <c r="U3801" i="1" s="1"/>
  <c r="P3802" i="1"/>
  <c r="U3802" i="1" s="1"/>
  <c r="P3803" i="1"/>
  <c r="U3803" i="1" s="1"/>
  <c r="P3805" i="1"/>
  <c r="U3805" i="1" s="1"/>
  <c r="P3806" i="1"/>
  <c r="U3806" i="1" s="1"/>
  <c r="P3807" i="1"/>
  <c r="U3807" i="1" s="1"/>
  <c r="P3808" i="1"/>
  <c r="U3808" i="1" s="1"/>
  <c r="P3809" i="1"/>
  <c r="U3809" i="1" s="1"/>
  <c r="P3810" i="1"/>
  <c r="U3810" i="1" s="1"/>
  <c r="P3811" i="1"/>
  <c r="U3811" i="1" s="1"/>
  <c r="P3812" i="1"/>
  <c r="U3812" i="1" s="1"/>
  <c r="P3813" i="1"/>
  <c r="U3813" i="1" s="1"/>
  <c r="P3814" i="1"/>
  <c r="U3814" i="1" s="1"/>
  <c r="P3815" i="1"/>
  <c r="U3815" i="1" s="1"/>
  <c r="P3816" i="1"/>
  <c r="U3816" i="1" s="1"/>
  <c r="P3817" i="1"/>
  <c r="U3817" i="1" s="1"/>
  <c r="P3818" i="1"/>
  <c r="U3818" i="1" s="1"/>
  <c r="P3819" i="1"/>
  <c r="U3819" i="1" s="1"/>
  <c r="P3820" i="1"/>
  <c r="U3820" i="1" s="1"/>
  <c r="P3821" i="1"/>
  <c r="U3821" i="1" s="1"/>
  <c r="P3822" i="1"/>
  <c r="U3822" i="1" s="1"/>
  <c r="P3823" i="1"/>
  <c r="U3823" i="1" s="1"/>
  <c r="P3824" i="1"/>
  <c r="U3824" i="1" s="1"/>
  <c r="P3825" i="1"/>
  <c r="U3825" i="1" s="1"/>
  <c r="P3826" i="1"/>
  <c r="U3826" i="1" s="1"/>
  <c r="P3827" i="1"/>
  <c r="U3827" i="1" s="1"/>
  <c r="P3828" i="1"/>
  <c r="U3828" i="1" s="1"/>
  <c r="P3829" i="1"/>
  <c r="U3829" i="1" s="1"/>
  <c r="P3830" i="1"/>
  <c r="U3830" i="1" s="1"/>
  <c r="P3831" i="1"/>
  <c r="U3831" i="1" s="1"/>
  <c r="P3832" i="1"/>
  <c r="U3832" i="1" s="1"/>
  <c r="P3833" i="1"/>
  <c r="U3833" i="1" s="1"/>
  <c r="P3834" i="1"/>
  <c r="U3834" i="1" s="1"/>
  <c r="P3835" i="1"/>
  <c r="U3835" i="1" s="1"/>
  <c r="P3836" i="1"/>
  <c r="U3836" i="1" s="1"/>
  <c r="P3837" i="1"/>
  <c r="U3837" i="1" s="1"/>
  <c r="P3838" i="1"/>
  <c r="U3838" i="1" s="1"/>
  <c r="P3839" i="1"/>
  <c r="U3839" i="1" s="1"/>
  <c r="P3840" i="1"/>
  <c r="U3840" i="1" s="1"/>
  <c r="P3841" i="1"/>
  <c r="U3841" i="1" s="1"/>
  <c r="P3842" i="1"/>
  <c r="U3842" i="1" s="1"/>
  <c r="P3843" i="1"/>
  <c r="U3843" i="1" s="1"/>
  <c r="P3844" i="1"/>
  <c r="U3844" i="1" s="1"/>
  <c r="P3845" i="1"/>
  <c r="U3845" i="1" s="1"/>
  <c r="P3846" i="1"/>
  <c r="P3847" i="1"/>
  <c r="U3847" i="1" s="1"/>
  <c r="P3848" i="1"/>
  <c r="U3848" i="1" s="1"/>
  <c r="P3849" i="1"/>
  <c r="U3849" i="1" s="1"/>
  <c r="P3850" i="1"/>
  <c r="U3850" i="1" s="1"/>
  <c r="P3851" i="1"/>
  <c r="U3851" i="1" s="1"/>
  <c r="P3852" i="1"/>
  <c r="U3852" i="1" s="1"/>
  <c r="P3853" i="1"/>
  <c r="U3853" i="1" s="1"/>
  <c r="P3854" i="1"/>
  <c r="U3854" i="1" s="1"/>
  <c r="P3855" i="1"/>
  <c r="U3855" i="1" s="1"/>
  <c r="P3856" i="1"/>
  <c r="U3856" i="1" s="1"/>
  <c r="P3857" i="1"/>
  <c r="U3857" i="1" s="1"/>
  <c r="P3858" i="1"/>
  <c r="U3858" i="1" s="1"/>
  <c r="P3859" i="1"/>
  <c r="U3859" i="1" s="1"/>
  <c r="P3860" i="1"/>
  <c r="U3860" i="1" s="1"/>
  <c r="P3861" i="1"/>
  <c r="U3861" i="1" s="1"/>
  <c r="P3862" i="1"/>
  <c r="U3862" i="1" s="1"/>
  <c r="P3863" i="1"/>
  <c r="U3863" i="1" s="1"/>
  <c r="P3864" i="1"/>
  <c r="U3864" i="1" s="1"/>
  <c r="P3865" i="1"/>
  <c r="U3865" i="1" s="1"/>
  <c r="P3866" i="1"/>
  <c r="U3866" i="1" s="1"/>
  <c r="P3867" i="1"/>
  <c r="U3867" i="1" s="1"/>
  <c r="P3868" i="1"/>
  <c r="U3868" i="1" s="1"/>
  <c r="P3869" i="1"/>
  <c r="U3869" i="1" s="1"/>
  <c r="P3870" i="1"/>
  <c r="U3870" i="1" s="1"/>
  <c r="P3871" i="1"/>
  <c r="U3871" i="1" s="1"/>
  <c r="P3872" i="1"/>
  <c r="U3872" i="1" s="1"/>
  <c r="P3873" i="1"/>
  <c r="U3873" i="1" s="1"/>
  <c r="P3874" i="1"/>
  <c r="U3874" i="1" s="1"/>
  <c r="P3875" i="1"/>
  <c r="U3875" i="1" s="1"/>
  <c r="P3876" i="1"/>
  <c r="U3876" i="1" s="1"/>
  <c r="P3877" i="1"/>
  <c r="U3877" i="1" s="1"/>
  <c r="P3878" i="1"/>
  <c r="U3878" i="1" s="1"/>
  <c r="P3879" i="1"/>
  <c r="U3879" i="1" s="1"/>
  <c r="P3880" i="1"/>
  <c r="U3880" i="1" s="1"/>
  <c r="P3881" i="1"/>
  <c r="U3881" i="1" s="1"/>
  <c r="P3882" i="1"/>
  <c r="U3882" i="1" s="1"/>
  <c r="P3883" i="1"/>
  <c r="U3883" i="1" s="1"/>
  <c r="P3884" i="1"/>
  <c r="U3884" i="1" s="1"/>
  <c r="P3885" i="1"/>
  <c r="U3885" i="1" s="1"/>
  <c r="P3886" i="1"/>
  <c r="U3886" i="1" s="1"/>
  <c r="P3887" i="1"/>
  <c r="U3887" i="1" s="1"/>
  <c r="P3888" i="1"/>
  <c r="U3888" i="1" s="1"/>
  <c r="P3889" i="1"/>
  <c r="U3889" i="1" s="1"/>
  <c r="P3890" i="1"/>
  <c r="U3890" i="1" s="1"/>
  <c r="P3891" i="1"/>
  <c r="U3891" i="1" s="1"/>
  <c r="P3892" i="1"/>
  <c r="U3892" i="1" s="1"/>
  <c r="P3893" i="1"/>
  <c r="U3893" i="1" s="1"/>
  <c r="P3894" i="1"/>
  <c r="U3894" i="1" s="1"/>
  <c r="P3895" i="1"/>
  <c r="U3895" i="1" s="1"/>
  <c r="P3896" i="1"/>
  <c r="U3896" i="1" s="1"/>
  <c r="P3897" i="1"/>
  <c r="U3897" i="1" s="1"/>
  <c r="P3898" i="1"/>
  <c r="U3898" i="1" s="1"/>
  <c r="P3899" i="1"/>
  <c r="U3899" i="1" s="1"/>
  <c r="P3900" i="1"/>
  <c r="U3900" i="1" s="1"/>
  <c r="P3901" i="1"/>
  <c r="U3901" i="1" s="1"/>
  <c r="P3902" i="1"/>
  <c r="U3902" i="1" s="1"/>
  <c r="P3903" i="1"/>
  <c r="U3903" i="1" s="1"/>
  <c r="P3904" i="1"/>
  <c r="U3904" i="1" s="1"/>
  <c r="P3905" i="1"/>
  <c r="U3905" i="1" s="1"/>
  <c r="P3906" i="1"/>
  <c r="U3906" i="1" s="1"/>
  <c r="P3907" i="1"/>
  <c r="U3907" i="1" s="1"/>
  <c r="P3908" i="1"/>
  <c r="U3908" i="1" s="1"/>
  <c r="P3909" i="1"/>
  <c r="U3909" i="1" s="1"/>
  <c r="P3910" i="1"/>
  <c r="U3910" i="1" s="1"/>
  <c r="P3911" i="1"/>
  <c r="U3911" i="1" s="1"/>
  <c r="P3912" i="1"/>
  <c r="U3912" i="1" s="1"/>
  <c r="P3913" i="1"/>
  <c r="U3913" i="1" s="1"/>
  <c r="P3914" i="1"/>
  <c r="U3914" i="1" s="1"/>
  <c r="P3915" i="1"/>
  <c r="U3915" i="1" s="1"/>
  <c r="P3916" i="1"/>
  <c r="U3916" i="1" s="1"/>
  <c r="P3917" i="1"/>
  <c r="U3917" i="1" s="1"/>
  <c r="P3918" i="1"/>
  <c r="U3918" i="1" s="1"/>
  <c r="P3919" i="1"/>
  <c r="U3919" i="1" s="1"/>
  <c r="P3920" i="1"/>
  <c r="U3920" i="1" s="1"/>
  <c r="P3921" i="1"/>
  <c r="U3921" i="1" s="1"/>
  <c r="P3922" i="1"/>
  <c r="U3922" i="1" s="1"/>
  <c r="P3923" i="1"/>
  <c r="U3923" i="1" s="1"/>
  <c r="P3924" i="1"/>
  <c r="U3924" i="1" s="1"/>
  <c r="P3925" i="1"/>
  <c r="U3925" i="1" s="1"/>
  <c r="P3926" i="1"/>
  <c r="U3926" i="1" s="1"/>
  <c r="P3927" i="1"/>
  <c r="U3927" i="1" s="1"/>
  <c r="P3928" i="1"/>
  <c r="U3928" i="1" s="1"/>
  <c r="P3929" i="1"/>
  <c r="U3929" i="1" s="1"/>
  <c r="P3930" i="1"/>
  <c r="U3930" i="1" s="1"/>
  <c r="P3931" i="1"/>
  <c r="U3931" i="1" s="1"/>
  <c r="P3932" i="1"/>
  <c r="U3932" i="1" s="1"/>
  <c r="P3933" i="1"/>
  <c r="U3933" i="1" s="1"/>
  <c r="P3934" i="1"/>
  <c r="U3934" i="1" s="1"/>
  <c r="P3935" i="1"/>
  <c r="U3935" i="1" s="1"/>
  <c r="P3936" i="1"/>
  <c r="U3936" i="1" s="1"/>
  <c r="P3937" i="1"/>
  <c r="U3937" i="1" s="1"/>
  <c r="P3939" i="1"/>
  <c r="U3939" i="1" s="1"/>
  <c r="P3940" i="1"/>
  <c r="U3940" i="1" s="1"/>
  <c r="P3941" i="1"/>
  <c r="U3941" i="1" s="1"/>
  <c r="P3942" i="1"/>
  <c r="U3942" i="1" s="1"/>
  <c r="P3943" i="1"/>
  <c r="U3943" i="1" s="1"/>
  <c r="P3944" i="1"/>
  <c r="U3944" i="1" s="1"/>
  <c r="P3945" i="1"/>
  <c r="U3945" i="1" s="1"/>
  <c r="P3946" i="1"/>
  <c r="U3946" i="1" s="1"/>
  <c r="P3947" i="1"/>
  <c r="U3947" i="1" s="1"/>
  <c r="P3948" i="1"/>
  <c r="U3948" i="1" s="1"/>
  <c r="P3949" i="1"/>
  <c r="U3949" i="1" s="1"/>
  <c r="P3950" i="1"/>
  <c r="U3950" i="1" s="1"/>
  <c r="P3951" i="1"/>
  <c r="U3951" i="1" s="1"/>
  <c r="P3952" i="1"/>
  <c r="U3952" i="1" s="1"/>
  <c r="P3953" i="1"/>
  <c r="U3953" i="1" s="1"/>
  <c r="P3954" i="1"/>
  <c r="U3954" i="1" s="1"/>
  <c r="P3955" i="1"/>
  <c r="U3955" i="1" s="1"/>
  <c r="P3956" i="1"/>
  <c r="U3956" i="1" s="1"/>
  <c r="P3957" i="1"/>
  <c r="U3957" i="1" s="1"/>
  <c r="P3958" i="1"/>
  <c r="U3958" i="1" s="1"/>
  <c r="P3959" i="1"/>
  <c r="U3959" i="1" s="1"/>
  <c r="P3960" i="1"/>
  <c r="U3960" i="1" s="1"/>
  <c r="P3961" i="1"/>
  <c r="U3961" i="1" s="1"/>
  <c r="P3962" i="1"/>
  <c r="U3962" i="1" s="1"/>
  <c r="P3963" i="1"/>
  <c r="U3963" i="1" s="1"/>
  <c r="P3964" i="1"/>
  <c r="U3964" i="1" s="1"/>
  <c r="P3965" i="1"/>
  <c r="U3965" i="1" s="1"/>
  <c r="P3966" i="1"/>
  <c r="U3966" i="1" s="1"/>
  <c r="P3967" i="1"/>
  <c r="U3967" i="1" s="1"/>
  <c r="P3968" i="1"/>
  <c r="U3968" i="1" s="1"/>
  <c r="P3969" i="1"/>
  <c r="U3969" i="1" s="1"/>
  <c r="P3970" i="1"/>
  <c r="U3970" i="1" s="1"/>
  <c r="P3971" i="1"/>
  <c r="U3971" i="1" s="1"/>
  <c r="P3972" i="1"/>
  <c r="U3972" i="1" s="1"/>
  <c r="P3973" i="1"/>
  <c r="U3973" i="1" s="1"/>
  <c r="P3974" i="1"/>
  <c r="U3974" i="1" s="1"/>
  <c r="P3975" i="1"/>
  <c r="U3975" i="1" s="1"/>
  <c r="P3976" i="1"/>
  <c r="U3976" i="1" s="1"/>
  <c r="P3977" i="1"/>
  <c r="U3977" i="1" s="1"/>
  <c r="P3978" i="1"/>
  <c r="U3978" i="1" s="1"/>
  <c r="P3979" i="1"/>
  <c r="U3979" i="1" s="1"/>
  <c r="P3980" i="1"/>
  <c r="U3980" i="1" s="1"/>
  <c r="P3981" i="1"/>
  <c r="U3981" i="1" s="1"/>
  <c r="P3982" i="1"/>
  <c r="U3982" i="1" s="1"/>
  <c r="P3983" i="1"/>
  <c r="U3983" i="1" s="1"/>
  <c r="P3984" i="1"/>
  <c r="U3984" i="1" s="1"/>
  <c r="P3985" i="1"/>
  <c r="U3985" i="1" s="1"/>
  <c r="P3987" i="1"/>
  <c r="U3987" i="1" s="1"/>
  <c r="P3988" i="1"/>
  <c r="U3988" i="1" s="1"/>
  <c r="P3989" i="1"/>
  <c r="U3989" i="1" s="1"/>
  <c r="P3990" i="1"/>
  <c r="U3990" i="1" s="1"/>
  <c r="P3991" i="1"/>
  <c r="U3991" i="1" s="1"/>
  <c r="P3992" i="1"/>
  <c r="U3992" i="1" s="1"/>
  <c r="P3993" i="1"/>
  <c r="U3993" i="1" s="1"/>
  <c r="P3994" i="1"/>
  <c r="U3994" i="1" s="1"/>
  <c r="P3995" i="1"/>
  <c r="U3995" i="1" s="1"/>
  <c r="P3996" i="1"/>
  <c r="U3996" i="1" s="1"/>
  <c r="P3997" i="1"/>
  <c r="U3997" i="1" s="1"/>
  <c r="P3998" i="1"/>
  <c r="U3998" i="1" s="1"/>
  <c r="P3999" i="1"/>
  <c r="U3999" i="1" s="1"/>
  <c r="P4000" i="1"/>
  <c r="U4000" i="1" s="1"/>
  <c r="P4001" i="1"/>
  <c r="U4001" i="1" s="1"/>
  <c r="P4002" i="1"/>
  <c r="U4002" i="1" s="1"/>
  <c r="P4003" i="1"/>
  <c r="U4003" i="1" s="1"/>
  <c r="P4004" i="1"/>
  <c r="U4004" i="1" s="1"/>
  <c r="P4005" i="1"/>
  <c r="U4005" i="1" s="1"/>
  <c r="P4006" i="1"/>
  <c r="U4006" i="1" s="1"/>
  <c r="P4007" i="1"/>
  <c r="U4007" i="1" s="1"/>
  <c r="P4008" i="1"/>
  <c r="U4008" i="1" s="1"/>
  <c r="P4009" i="1"/>
  <c r="U4009" i="1" s="1"/>
  <c r="P4010" i="1"/>
  <c r="U4010" i="1" s="1"/>
  <c r="P4011" i="1"/>
  <c r="U4011" i="1" s="1"/>
  <c r="P4012" i="1"/>
  <c r="U4012" i="1" s="1"/>
  <c r="P4013" i="1"/>
  <c r="U4013" i="1" s="1"/>
  <c r="P4014" i="1"/>
  <c r="U4014" i="1" s="1"/>
  <c r="P4015" i="1"/>
  <c r="U4015" i="1" s="1"/>
  <c r="P4016" i="1"/>
  <c r="U4016" i="1" s="1"/>
  <c r="P4017" i="1"/>
  <c r="U4017" i="1" s="1"/>
  <c r="P4018" i="1"/>
  <c r="U4018" i="1" s="1"/>
  <c r="P4019" i="1"/>
  <c r="U4019" i="1" s="1"/>
  <c r="P4020" i="1"/>
  <c r="U4020" i="1" s="1"/>
  <c r="P4021" i="1"/>
  <c r="U4021" i="1" s="1"/>
  <c r="P4022" i="1"/>
  <c r="U4022" i="1" s="1"/>
  <c r="P4023" i="1"/>
  <c r="U4023" i="1" s="1"/>
  <c r="P4024" i="1"/>
  <c r="U4024" i="1" s="1"/>
  <c r="P4025" i="1"/>
  <c r="U4025" i="1" s="1"/>
  <c r="P4026" i="1"/>
  <c r="U4026" i="1" s="1"/>
  <c r="P4027" i="1"/>
  <c r="U4027" i="1" s="1"/>
  <c r="P4028" i="1"/>
  <c r="U4028" i="1" s="1"/>
  <c r="P4029" i="1"/>
  <c r="U4029" i="1" s="1"/>
  <c r="P4030" i="1"/>
  <c r="U4030" i="1" s="1"/>
  <c r="P4031" i="1"/>
  <c r="U4031" i="1" s="1"/>
  <c r="P4032" i="1"/>
  <c r="U4032" i="1" s="1"/>
  <c r="P4033" i="1"/>
  <c r="U4033" i="1" s="1"/>
  <c r="P4034" i="1"/>
  <c r="U4034" i="1" s="1"/>
  <c r="P4035" i="1"/>
  <c r="U4035" i="1" s="1"/>
  <c r="P4036" i="1"/>
  <c r="U4036" i="1" s="1"/>
  <c r="P4037" i="1"/>
  <c r="U4037" i="1" s="1"/>
  <c r="P4038" i="1"/>
  <c r="U4038" i="1" s="1"/>
  <c r="P4039" i="1"/>
  <c r="U4039" i="1" s="1"/>
  <c r="P4040" i="1"/>
  <c r="U4040" i="1" s="1"/>
  <c r="P4041" i="1"/>
  <c r="U4041" i="1" s="1"/>
  <c r="P4042" i="1"/>
  <c r="U4042" i="1" s="1"/>
  <c r="P4043" i="1"/>
  <c r="U4043" i="1" s="1"/>
  <c r="P4044" i="1"/>
  <c r="U4044" i="1" s="1"/>
  <c r="P4045" i="1"/>
  <c r="U4045" i="1" s="1"/>
  <c r="P4046" i="1"/>
  <c r="U4046" i="1" s="1"/>
  <c r="P4047" i="1"/>
  <c r="U4047" i="1" s="1"/>
  <c r="P4048" i="1"/>
  <c r="U4048" i="1" s="1"/>
  <c r="P4049" i="1"/>
  <c r="U4049" i="1" s="1"/>
  <c r="P4050" i="1"/>
  <c r="U4050" i="1" s="1"/>
  <c r="P4051" i="1"/>
  <c r="U4051" i="1" s="1"/>
  <c r="P4052" i="1"/>
  <c r="U4052" i="1" s="1"/>
  <c r="P4053" i="1"/>
  <c r="U4053" i="1" s="1"/>
  <c r="P4054" i="1"/>
  <c r="U4054" i="1" s="1"/>
  <c r="P4055" i="1"/>
  <c r="U4055" i="1" s="1"/>
  <c r="P4056" i="1"/>
  <c r="U4056" i="1" s="1"/>
  <c r="P4057" i="1"/>
  <c r="U4057" i="1" s="1"/>
  <c r="P4058" i="1"/>
  <c r="U4058" i="1" s="1"/>
  <c r="P4059" i="1"/>
  <c r="U4059" i="1" s="1"/>
  <c r="P4060" i="1"/>
  <c r="U4060" i="1" s="1"/>
  <c r="P4061" i="1"/>
  <c r="U4061" i="1" s="1"/>
  <c r="P4062" i="1"/>
  <c r="U4062" i="1" s="1"/>
  <c r="P4063" i="1"/>
  <c r="U4063" i="1" s="1"/>
  <c r="P4064" i="1"/>
  <c r="U4064" i="1" s="1"/>
  <c r="P4065" i="1"/>
  <c r="U4065" i="1" s="1"/>
  <c r="P4066" i="1"/>
  <c r="U4066" i="1" s="1"/>
  <c r="P4067" i="1"/>
  <c r="U4067" i="1" s="1"/>
  <c r="P4068" i="1"/>
  <c r="U4068" i="1" s="1"/>
  <c r="P4069" i="1"/>
  <c r="U4069" i="1" s="1"/>
  <c r="P4070" i="1"/>
  <c r="U4070" i="1" s="1"/>
  <c r="P4071" i="1"/>
  <c r="U4071" i="1" s="1"/>
  <c r="P4072" i="1"/>
  <c r="U4072" i="1" s="1"/>
  <c r="P4073" i="1"/>
  <c r="U4073" i="1" s="1"/>
  <c r="P4074" i="1"/>
  <c r="U4074" i="1" s="1"/>
  <c r="P4075" i="1"/>
  <c r="U4075" i="1" s="1"/>
  <c r="P4076" i="1"/>
  <c r="U4076" i="1" s="1"/>
  <c r="P4077" i="1"/>
  <c r="U4077" i="1" s="1"/>
  <c r="P4078" i="1"/>
  <c r="U4078" i="1" s="1"/>
  <c r="P4079" i="1"/>
  <c r="U4079" i="1" s="1"/>
  <c r="P4080" i="1"/>
  <c r="U4080" i="1" s="1"/>
  <c r="P4081" i="1"/>
  <c r="U4081" i="1" s="1"/>
  <c r="P4082" i="1"/>
  <c r="U4082" i="1" s="1"/>
  <c r="P4083" i="1"/>
  <c r="U4083" i="1" s="1"/>
  <c r="P4084" i="1"/>
  <c r="U4084" i="1" s="1"/>
  <c r="P4085" i="1"/>
  <c r="U4085" i="1" s="1"/>
  <c r="P4086" i="1"/>
  <c r="U4086" i="1" s="1"/>
  <c r="P4087" i="1"/>
  <c r="U4087" i="1" s="1"/>
  <c r="P4088" i="1"/>
  <c r="U4088" i="1" s="1"/>
  <c r="P4089" i="1"/>
  <c r="U4089" i="1" s="1"/>
  <c r="P4090" i="1"/>
  <c r="U4090" i="1" s="1"/>
  <c r="P4092" i="1"/>
  <c r="U4092" i="1" s="1"/>
  <c r="P4093" i="1"/>
  <c r="U4093" i="1" s="1"/>
  <c r="P4094" i="1"/>
  <c r="U4094" i="1" s="1"/>
  <c r="P4095" i="1"/>
  <c r="U4095" i="1" s="1"/>
  <c r="P4096" i="1"/>
  <c r="U4096" i="1" s="1"/>
  <c r="P4097" i="1"/>
  <c r="U4097" i="1" s="1"/>
  <c r="P4098" i="1"/>
  <c r="U4098" i="1" s="1"/>
  <c r="P4099" i="1"/>
  <c r="U4099" i="1" s="1"/>
  <c r="P4100" i="1"/>
  <c r="U4100" i="1" s="1"/>
  <c r="P4101" i="1"/>
  <c r="U4101" i="1" s="1"/>
  <c r="P4102" i="1"/>
  <c r="U4102" i="1" s="1"/>
  <c r="P4103" i="1"/>
  <c r="U4103" i="1" s="1"/>
  <c r="P4104" i="1"/>
  <c r="U4104" i="1" s="1"/>
  <c r="P4105" i="1"/>
  <c r="U4105" i="1" s="1"/>
  <c r="P4106" i="1"/>
  <c r="U4106" i="1" s="1"/>
  <c r="P4107" i="1"/>
  <c r="U4107" i="1" s="1"/>
  <c r="P4108" i="1"/>
  <c r="U4108" i="1" s="1"/>
  <c r="P4109" i="1"/>
  <c r="U4109" i="1" s="1"/>
  <c r="P4110" i="1"/>
  <c r="U4110" i="1" s="1"/>
  <c r="P4111" i="1"/>
  <c r="U4111" i="1" s="1"/>
  <c r="P4112" i="1"/>
  <c r="U4112" i="1" s="1"/>
  <c r="P4113" i="1"/>
  <c r="U4113" i="1" s="1"/>
  <c r="P4114" i="1"/>
  <c r="U4114" i="1" s="1"/>
  <c r="P4115" i="1"/>
  <c r="U4115" i="1" s="1"/>
  <c r="P4116" i="1"/>
  <c r="U4116" i="1" s="1"/>
  <c r="P4117" i="1"/>
  <c r="U4117" i="1" s="1"/>
  <c r="P4118" i="1"/>
  <c r="U4118" i="1" s="1"/>
  <c r="P4119" i="1"/>
  <c r="U4119" i="1" s="1"/>
  <c r="P4120" i="1"/>
  <c r="U4120" i="1" s="1"/>
  <c r="P4121" i="1"/>
  <c r="U4121" i="1" s="1"/>
  <c r="P4122" i="1"/>
  <c r="U4122" i="1" s="1"/>
  <c r="P4123" i="1"/>
  <c r="U4123" i="1" s="1"/>
  <c r="P4124" i="1"/>
  <c r="U4124" i="1" s="1"/>
  <c r="P4125" i="1"/>
  <c r="U4125" i="1" s="1"/>
  <c r="P4126" i="1"/>
  <c r="U4126" i="1" s="1"/>
  <c r="P4127" i="1"/>
  <c r="U4127" i="1" s="1"/>
  <c r="P4128" i="1"/>
  <c r="U4128" i="1" s="1"/>
  <c r="P4129" i="1"/>
  <c r="U4129" i="1" s="1"/>
  <c r="P4130" i="1"/>
  <c r="U4130" i="1" s="1"/>
  <c r="P4131" i="1"/>
  <c r="U4131" i="1" s="1"/>
  <c r="P4132" i="1"/>
  <c r="U4132" i="1" s="1"/>
  <c r="P4133" i="1"/>
  <c r="U4133" i="1" s="1"/>
  <c r="P4134" i="1"/>
  <c r="U4134" i="1" s="1"/>
  <c r="P4135" i="1"/>
  <c r="U4135" i="1" s="1"/>
  <c r="P4136" i="1"/>
  <c r="U4136" i="1" s="1"/>
  <c r="P4137" i="1"/>
  <c r="U4137" i="1" s="1"/>
  <c r="P4138" i="1"/>
  <c r="U4138" i="1" s="1"/>
  <c r="P4139" i="1"/>
  <c r="U4139" i="1" s="1"/>
  <c r="P4140" i="1"/>
  <c r="U4140" i="1" s="1"/>
  <c r="P4141" i="1"/>
  <c r="U4141" i="1" s="1"/>
  <c r="P4142" i="1"/>
  <c r="U4142" i="1" s="1"/>
  <c r="P4143" i="1"/>
  <c r="U4143" i="1" s="1"/>
  <c r="P4144" i="1"/>
  <c r="U4144" i="1" s="1"/>
  <c r="P4145" i="1"/>
  <c r="U4145" i="1" s="1"/>
  <c r="P4146" i="1"/>
  <c r="U4146" i="1" s="1"/>
  <c r="P4147" i="1"/>
  <c r="U4147" i="1" s="1"/>
  <c r="P4148" i="1"/>
  <c r="U4148" i="1" s="1"/>
  <c r="P4149" i="1"/>
  <c r="U4149" i="1" s="1"/>
  <c r="P4150" i="1"/>
  <c r="U4150" i="1" s="1"/>
  <c r="P4151" i="1"/>
  <c r="U4151" i="1" s="1"/>
  <c r="P4152" i="1"/>
  <c r="U4152" i="1" s="1"/>
  <c r="P4153" i="1"/>
  <c r="U4153" i="1" s="1"/>
  <c r="P4154" i="1"/>
  <c r="U4154" i="1" s="1"/>
  <c r="P4155" i="1"/>
  <c r="U4155" i="1" s="1"/>
  <c r="P4156" i="1"/>
  <c r="U4156" i="1" s="1"/>
  <c r="P4157" i="1"/>
  <c r="U4157" i="1" s="1"/>
  <c r="P4158" i="1"/>
  <c r="U4158" i="1" s="1"/>
  <c r="P4159" i="1"/>
  <c r="U4159" i="1" s="1"/>
  <c r="P4160" i="1"/>
  <c r="U4160" i="1" s="1"/>
  <c r="P4161" i="1"/>
  <c r="U4161" i="1" s="1"/>
  <c r="P4162" i="1"/>
  <c r="U4162" i="1" s="1"/>
  <c r="P4163" i="1"/>
  <c r="U4163" i="1" s="1"/>
  <c r="P4164" i="1"/>
  <c r="U4164" i="1" s="1"/>
  <c r="P4165" i="1"/>
  <c r="U4165" i="1" s="1"/>
  <c r="P4166" i="1"/>
  <c r="U4166" i="1" s="1"/>
  <c r="P4167" i="1"/>
  <c r="U4167" i="1" s="1"/>
  <c r="P4168" i="1"/>
  <c r="U4168" i="1" s="1"/>
  <c r="P4169" i="1"/>
  <c r="U4169" i="1" s="1"/>
  <c r="P4170" i="1"/>
  <c r="U4170" i="1" s="1"/>
  <c r="P4171" i="1"/>
  <c r="U4171" i="1" s="1"/>
  <c r="P4172" i="1"/>
  <c r="U4172" i="1" s="1"/>
  <c r="P4173" i="1"/>
  <c r="U4173" i="1" s="1"/>
  <c r="P4174" i="1"/>
  <c r="U4174" i="1" s="1"/>
  <c r="P4175" i="1"/>
  <c r="U4175" i="1" s="1"/>
  <c r="P4176" i="1"/>
  <c r="U4176" i="1" s="1"/>
  <c r="P4177" i="1"/>
  <c r="U4177" i="1" s="1"/>
  <c r="P4178" i="1"/>
  <c r="U4178" i="1" s="1"/>
  <c r="P4179" i="1"/>
  <c r="U4179" i="1" s="1"/>
  <c r="P4180" i="1"/>
  <c r="U4180" i="1" s="1"/>
  <c r="P4181" i="1"/>
  <c r="U4181" i="1" s="1"/>
  <c r="P4182" i="1"/>
  <c r="U4182" i="1" s="1"/>
  <c r="P4183" i="1"/>
  <c r="U4183" i="1" s="1"/>
  <c r="P4184" i="1"/>
  <c r="U4184" i="1" s="1"/>
  <c r="P4185" i="1"/>
  <c r="U4185" i="1" s="1"/>
  <c r="P4186" i="1"/>
  <c r="U4186" i="1" s="1"/>
  <c r="P4187" i="1"/>
  <c r="U4187" i="1" s="1"/>
  <c r="P4188" i="1"/>
  <c r="U4188" i="1" s="1"/>
  <c r="P4189" i="1"/>
  <c r="U4189" i="1" s="1"/>
  <c r="P4190" i="1"/>
  <c r="U4190" i="1" s="1"/>
  <c r="P4191" i="1"/>
  <c r="U4191" i="1" s="1"/>
  <c r="P4192" i="1"/>
  <c r="U4192" i="1" s="1"/>
  <c r="P4193" i="1"/>
  <c r="U4193" i="1" s="1"/>
  <c r="P4194" i="1"/>
  <c r="U4194" i="1" s="1"/>
  <c r="P4195" i="1"/>
  <c r="U4195" i="1" s="1"/>
  <c r="P4196" i="1"/>
  <c r="U4196" i="1" s="1"/>
  <c r="P4197" i="1"/>
  <c r="U4197" i="1" s="1"/>
  <c r="P4198" i="1"/>
  <c r="U4198" i="1" s="1"/>
  <c r="P4199" i="1"/>
  <c r="U4199" i="1" s="1"/>
  <c r="P4200" i="1"/>
  <c r="U4200" i="1" s="1"/>
  <c r="P4201" i="1"/>
  <c r="U4201" i="1" s="1"/>
  <c r="P4202" i="1"/>
  <c r="U4202" i="1" s="1"/>
  <c r="P4203" i="1"/>
  <c r="U4203" i="1" s="1"/>
  <c r="P4204" i="1"/>
  <c r="U4204" i="1" s="1"/>
  <c r="P4205" i="1"/>
  <c r="U4205" i="1" s="1"/>
  <c r="P4206" i="1"/>
  <c r="U4206" i="1" s="1"/>
  <c r="P4207" i="1"/>
  <c r="U4207" i="1" s="1"/>
  <c r="P4208" i="1"/>
  <c r="U4208" i="1" s="1"/>
  <c r="P4209" i="1"/>
  <c r="U4209" i="1" s="1"/>
  <c r="P4210" i="1"/>
  <c r="U4210" i="1" s="1"/>
  <c r="P4211" i="1"/>
  <c r="U4211" i="1" s="1"/>
  <c r="P4212" i="1"/>
  <c r="U4212" i="1" s="1"/>
  <c r="P4213" i="1"/>
  <c r="U4213" i="1" s="1"/>
  <c r="P4214" i="1"/>
  <c r="U4214" i="1" s="1"/>
  <c r="P4215" i="1"/>
  <c r="U4215" i="1" s="1"/>
  <c r="P4216" i="1"/>
  <c r="U4216" i="1" s="1"/>
  <c r="P4217" i="1"/>
  <c r="U4217" i="1" s="1"/>
  <c r="P4218" i="1"/>
  <c r="U4218" i="1" s="1"/>
  <c r="P4219" i="1"/>
  <c r="U4219" i="1" s="1"/>
  <c r="P4220" i="1"/>
  <c r="U4220" i="1" s="1"/>
  <c r="P4221" i="1"/>
  <c r="U4221" i="1" s="1"/>
  <c r="P4222" i="1"/>
  <c r="U4222" i="1" s="1"/>
  <c r="P4223" i="1"/>
  <c r="U4223" i="1" s="1"/>
  <c r="P4224" i="1"/>
  <c r="U4224" i="1" s="1"/>
  <c r="P4225" i="1"/>
  <c r="U4225" i="1" s="1"/>
  <c r="P4226" i="1"/>
  <c r="U4226" i="1" s="1"/>
  <c r="P4227" i="1"/>
  <c r="U4227" i="1" s="1"/>
  <c r="P4228" i="1"/>
  <c r="U4228" i="1" s="1"/>
  <c r="P4229" i="1"/>
  <c r="U4229" i="1" s="1"/>
  <c r="P4230" i="1"/>
  <c r="U4230" i="1" s="1"/>
  <c r="P4231" i="1"/>
  <c r="U4231" i="1" s="1"/>
  <c r="P4232" i="1"/>
  <c r="U4232" i="1" s="1"/>
  <c r="P4233" i="1"/>
  <c r="U4233" i="1" s="1"/>
  <c r="P4234" i="1"/>
  <c r="U4234" i="1" s="1"/>
  <c r="P4235" i="1"/>
  <c r="U4235" i="1" s="1"/>
  <c r="P4236" i="1"/>
  <c r="U4236" i="1" s="1"/>
  <c r="P4237" i="1"/>
  <c r="U4237" i="1" s="1"/>
  <c r="P4238" i="1"/>
  <c r="U4238" i="1" s="1"/>
  <c r="P4239" i="1"/>
  <c r="U4239" i="1" s="1"/>
  <c r="P4240" i="1"/>
  <c r="U4240" i="1" s="1"/>
  <c r="P4241" i="1"/>
  <c r="U4241" i="1" s="1"/>
  <c r="P4242" i="1"/>
  <c r="U4242" i="1" s="1"/>
  <c r="P4243" i="1"/>
  <c r="U4243" i="1" s="1"/>
  <c r="P4244" i="1"/>
  <c r="U4244" i="1" s="1"/>
  <c r="P4245" i="1"/>
  <c r="U4245" i="1" s="1"/>
  <c r="P4246" i="1"/>
  <c r="U4246" i="1" s="1"/>
  <c r="P4247" i="1"/>
  <c r="U4247" i="1" s="1"/>
  <c r="P4248" i="1"/>
  <c r="U4248" i="1" s="1"/>
  <c r="P4249" i="1"/>
  <c r="U4249" i="1" s="1"/>
  <c r="P4250" i="1"/>
  <c r="U4250" i="1" s="1"/>
  <c r="P4251" i="1"/>
  <c r="U4251" i="1" s="1"/>
  <c r="P4252" i="1"/>
  <c r="U4252" i="1" s="1"/>
  <c r="P4253" i="1"/>
  <c r="U4253" i="1" s="1"/>
  <c r="P4254" i="1"/>
  <c r="U4254" i="1" s="1"/>
  <c r="P4255" i="1"/>
  <c r="U4255" i="1" s="1"/>
  <c r="P4256" i="1"/>
  <c r="U4256" i="1" s="1"/>
  <c r="P4257" i="1"/>
  <c r="U4257" i="1" s="1"/>
  <c r="P4258" i="1"/>
  <c r="U4258" i="1" s="1"/>
  <c r="P4259" i="1"/>
  <c r="U4259" i="1" s="1"/>
  <c r="P4260" i="1"/>
  <c r="U4260" i="1" s="1"/>
  <c r="P4261" i="1"/>
  <c r="U4261" i="1" s="1"/>
  <c r="P4262" i="1"/>
  <c r="U4262" i="1" s="1"/>
  <c r="P4263" i="1"/>
  <c r="U4263" i="1" s="1"/>
  <c r="P4264" i="1"/>
  <c r="U4264" i="1" s="1"/>
  <c r="P4265" i="1"/>
  <c r="U4265" i="1" s="1"/>
  <c r="P4266" i="1"/>
  <c r="U4266" i="1" s="1"/>
  <c r="P4267" i="1"/>
  <c r="U4267" i="1" s="1"/>
  <c r="P4268" i="1"/>
  <c r="U4268" i="1" s="1"/>
  <c r="P4269" i="1"/>
  <c r="U4269" i="1" s="1"/>
  <c r="P4270" i="1"/>
  <c r="U4270" i="1" s="1"/>
  <c r="P4271" i="1"/>
  <c r="U4271" i="1" s="1"/>
  <c r="P4272" i="1"/>
  <c r="U4272" i="1" s="1"/>
  <c r="P4273" i="1"/>
  <c r="U4273" i="1" s="1"/>
  <c r="P4274" i="1"/>
  <c r="U4274" i="1" s="1"/>
  <c r="P4275" i="1"/>
  <c r="U4275" i="1" s="1"/>
  <c r="P4276" i="1"/>
  <c r="U4276" i="1" s="1"/>
  <c r="P4277" i="1"/>
  <c r="U4277" i="1" s="1"/>
  <c r="P4278" i="1"/>
  <c r="U4278" i="1" s="1"/>
  <c r="P4279" i="1"/>
  <c r="U4279" i="1" s="1"/>
  <c r="P4280" i="1"/>
  <c r="U4280" i="1" s="1"/>
  <c r="P4281" i="1"/>
  <c r="U4281" i="1" s="1"/>
  <c r="P4282" i="1"/>
  <c r="U4282" i="1" s="1"/>
  <c r="P4283" i="1"/>
  <c r="U4283" i="1" s="1"/>
  <c r="P4284" i="1"/>
  <c r="U4284" i="1" s="1"/>
  <c r="P4285" i="1"/>
  <c r="U4285" i="1" s="1"/>
  <c r="P4286" i="1"/>
  <c r="U4286" i="1" s="1"/>
  <c r="P4287" i="1"/>
  <c r="U4287" i="1" s="1"/>
  <c r="P4288" i="1"/>
  <c r="U4288" i="1" s="1"/>
  <c r="P4289" i="1"/>
  <c r="U4289" i="1" s="1"/>
  <c r="P4290" i="1"/>
  <c r="U4290" i="1" s="1"/>
  <c r="P4291" i="1"/>
  <c r="U4291" i="1" s="1"/>
  <c r="P4292" i="1"/>
  <c r="U4292" i="1" s="1"/>
  <c r="P4293" i="1"/>
  <c r="U4293" i="1" s="1"/>
  <c r="P4294" i="1"/>
  <c r="U4294" i="1" s="1"/>
  <c r="P4295" i="1"/>
  <c r="U4295" i="1" s="1"/>
  <c r="P4296" i="1"/>
  <c r="U4296" i="1" s="1"/>
  <c r="P4297" i="1"/>
  <c r="U4297" i="1" s="1"/>
  <c r="P4298" i="1"/>
  <c r="U4298" i="1" s="1"/>
  <c r="P4299" i="1"/>
  <c r="U4299" i="1" s="1"/>
  <c r="P4300" i="1"/>
  <c r="U4300" i="1" s="1"/>
  <c r="P4301" i="1"/>
  <c r="U4301" i="1" s="1"/>
  <c r="P4302" i="1"/>
  <c r="U4302" i="1" s="1"/>
  <c r="P4303" i="1"/>
  <c r="U4303" i="1" s="1"/>
  <c r="P4304" i="1"/>
  <c r="U4304" i="1" s="1"/>
  <c r="P4305" i="1"/>
  <c r="U4305" i="1" s="1"/>
  <c r="P4306" i="1"/>
  <c r="U4306" i="1" s="1"/>
  <c r="P4307" i="1"/>
  <c r="U4307" i="1" s="1"/>
  <c r="P4308" i="1"/>
  <c r="U4308" i="1" s="1"/>
  <c r="P4309" i="1"/>
  <c r="U4309" i="1" s="1"/>
  <c r="P4310" i="1"/>
  <c r="U4310" i="1" s="1"/>
  <c r="P4311" i="1"/>
  <c r="U4311" i="1" s="1"/>
  <c r="P4312" i="1"/>
  <c r="U4312" i="1" s="1"/>
  <c r="P4313" i="1"/>
  <c r="U4313" i="1" s="1"/>
  <c r="P4314" i="1"/>
  <c r="U4314" i="1" s="1"/>
  <c r="P4315" i="1"/>
  <c r="U4315" i="1" s="1"/>
  <c r="P4316" i="1"/>
  <c r="U4316" i="1" s="1"/>
  <c r="P4317" i="1"/>
  <c r="U4317" i="1" s="1"/>
  <c r="P4318" i="1"/>
  <c r="U4318" i="1" s="1"/>
  <c r="P4319" i="1"/>
  <c r="U4319" i="1" s="1"/>
  <c r="P4320" i="1"/>
  <c r="U4320" i="1" s="1"/>
  <c r="P4321" i="1"/>
  <c r="U4321" i="1" s="1"/>
  <c r="P4322" i="1"/>
  <c r="U4322" i="1" s="1"/>
  <c r="P4323" i="1"/>
  <c r="U4323" i="1" s="1"/>
  <c r="P4324" i="1"/>
  <c r="U4324" i="1" s="1"/>
  <c r="P4325" i="1"/>
  <c r="U4325" i="1" s="1"/>
  <c r="P4326" i="1"/>
  <c r="U4326" i="1" s="1"/>
  <c r="P4327" i="1"/>
  <c r="U4327" i="1" s="1"/>
  <c r="P4328" i="1"/>
  <c r="U4328" i="1" s="1"/>
  <c r="P4329" i="1"/>
  <c r="U4329" i="1" s="1"/>
  <c r="P4330" i="1"/>
  <c r="U4330" i="1" s="1"/>
  <c r="P4331" i="1"/>
  <c r="U4331" i="1" s="1"/>
  <c r="P4332" i="1"/>
  <c r="U4332" i="1" s="1"/>
  <c r="P4333" i="1"/>
  <c r="U4333" i="1" s="1"/>
  <c r="P4334" i="1"/>
  <c r="U4334" i="1" s="1"/>
  <c r="P4335" i="1"/>
  <c r="U4335" i="1" s="1"/>
  <c r="P4336" i="1"/>
  <c r="U4336" i="1" s="1"/>
  <c r="P4337" i="1"/>
  <c r="U4337" i="1" s="1"/>
  <c r="P4338" i="1"/>
  <c r="U4338" i="1" s="1"/>
  <c r="P4339" i="1"/>
  <c r="U4339" i="1" s="1"/>
  <c r="P4340" i="1"/>
  <c r="U4340" i="1" s="1"/>
  <c r="P4341" i="1"/>
  <c r="U4341" i="1" s="1"/>
  <c r="P4342" i="1"/>
  <c r="U4342" i="1" s="1"/>
  <c r="P4343" i="1"/>
  <c r="U4343" i="1" s="1"/>
  <c r="P4344" i="1"/>
  <c r="U4344" i="1" s="1"/>
  <c r="P4345" i="1"/>
  <c r="U4345" i="1" s="1"/>
  <c r="P4346" i="1"/>
  <c r="U4346" i="1" s="1"/>
  <c r="P4347" i="1"/>
  <c r="U4347" i="1" s="1"/>
  <c r="P4348" i="1"/>
  <c r="U4348" i="1" s="1"/>
  <c r="P4349" i="1"/>
  <c r="U4349" i="1" s="1"/>
  <c r="P4350" i="1"/>
  <c r="U4350" i="1" s="1"/>
  <c r="P4351" i="1"/>
  <c r="U4351" i="1" s="1"/>
  <c r="P4352" i="1"/>
  <c r="U4352" i="1" s="1"/>
  <c r="P4353" i="1"/>
  <c r="U4353" i="1" s="1"/>
  <c r="P4354" i="1"/>
  <c r="U4354" i="1" s="1"/>
  <c r="P4355" i="1"/>
  <c r="U4355" i="1" s="1"/>
  <c r="P4356" i="1"/>
  <c r="U4356" i="1" s="1"/>
  <c r="P4357" i="1"/>
  <c r="U4357" i="1" s="1"/>
  <c r="P4358" i="1"/>
  <c r="U4358" i="1" s="1"/>
  <c r="P4359" i="1"/>
  <c r="U4359" i="1" s="1"/>
  <c r="P4360" i="1"/>
  <c r="U4360" i="1" s="1"/>
  <c r="P4361" i="1"/>
  <c r="U4361" i="1" s="1"/>
  <c r="P4362" i="1"/>
  <c r="U4362" i="1" s="1"/>
  <c r="P4363" i="1"/>
  <c r="U4363" i="1" s="1"/>
  <c r="P4364" i="1"/>
  <c r="U4364" i="1" s="1"/>
  <c r="P4365" i="1"/>
  <c r="U4365" i="1" s="1"/>
  <c r="P4366" i="1"/>
  <c r="U4366" i="1" s="1"/>
  <c r="P4367" i="1"/>
  <c r="U4367" i="1" s="1"/>
  <c r="P4368" i="1"/>
  <c r="U4368" i="1" s="1"/>
  <c r="P4369" i="1"/>
  <c r="U4369" i="1" s="1"/>
  <c r="P4370" i="1"/>
  <c r="U4370" i="1" s="1"/>
  <c r="P4371" i="1"/>
  <c r="U4371" i="1" s="1"/>
  <c r="P4372" i="1"/>
  <c r="U4372" i="1" s="1"/>
  <c r="P4373" i="1"/>
  <c r="U4373" i="1" s="1"/>
  <c r="P4374" i="1"/>
  <c r="U4374" i="1" s="1"/>
  <c r="P4375" i="1"/>
  <c r="U4375" i="1" s="1"/>
  <c r="P4376" i="1"/>
  <c r="U4376" i="1" s="1"/>
  <c r="P4377" i="1"/>
  <c r="U4377" i="1" s="1"/>
  <c r="P4378" i="1"/>
  <c r="U4378" i="1" s="1"/>
  <c r="P4379" i="1"/>
  <c r="U4379" i="1" s="1"/>
  <c r="P4380" i="1"/>
  <c r="U4380" i="1" s="1"/>
  <c r="P4381" i="1"/>
  <c r="U4381" i="1" s="1"/>
  <c r="P4382" i="1"/>
  <c r="U4382" i="1" s="1"/>
  <c r="P4383" i="1"/>
  <c r="U4383" i="1" s="1"/>
  <c r="P4384" i="1"/>
  <c r="U4384" i="1" s="1"/>
  <c r="P4385" i="1"/>
  <c r="U4385" i="1" s="1"/>
  <c r="P4386" i="1"/>
  <c r="U4386" i="1" s="1"/>
  <c r="P4387" i="1"/>
  <c r="U4387" i="1" s="1"/>
  <c r="P4388" i="1"/>
  <c r="U4388" i="1" s="1"/>
  <c r="P4389" i="1"/>
  <c r="U4389" i="1" s="1"/>
  <c r="P4390" i="1"/>
  <c r="U4390" i="1" s="1"/>
  <c r="P4391" i="1"/>
  <c r="U4391" i="1" s="1"/>
  <c r="P4392" i="1"/>
  <c r="U4392" i="1" s="1"/>
  <c r="P4393" i="1"/>
  <c r="U4393" i="1" s="1"/>
  <c r="P4394" i="1"/>
  <c r="U4394" i="1" s="1"/>
  <c r="P4395" i="1"/>
  <c r="U4395" i="1" s="1"/>
  <c r="P4396" i="1"/>
  <c r="U4396" i="1" s="1"/>
  <c r="P4397" i="1"/>
  <c r="U4397" i="1" s="1"/>
  <c r="P4398" i="1"/>
  <c r="U4398" i="1" s="1"/>
  <c r="P4399" i="1"/>
  <c r="U4399" i="1" s="1"/>
  <c r="P4400" i="1"/>
  <c r="U4400" i="1" s="1"/>
  <c r="P4401" i="1"/>
  <c r="U4401" i="1" s="1"/>
  <c r="P4402" i="1"/>
  <c r="U4402" i="1" s="1"/>
  <c r="P4403" i="1"/>
  <c r="U4403" i="1" s="1"/>
  <c r="P4404" i="1"/>
  <c r="U4404" i="1" s="1"/>
  <c r="P4405" i="1"/>
  <c r="U4405" i="1" s="1"/>
  <c r="P4406" i="1"/>
  <c r="U4406" i="1" s="1"/>
  <c r="P4407" i="1"/>
  <c r="U4407" i="1" s="1"/>
  <c r="P4408" i="1"/>
  <c r="U4408" i="1" s="1"/>
  <c r="P4409" i="1"/>
  <c r="U4409" i="1" s="1"/>
  <c r="P4410" i="1"/>
  <c r="U4410" i="1" s="1"/>
  <c r="P4411" i="1"/>
  <c r="U4411" i="1" s="1"/>
  <c r="P4412" i="1"/>
  <c r="U4412" i="1" s="1"/>
  <c r="P4413" i="1"/>
  <c r="U4413" i="1" s="1"/>
  <c r="P4414" i="1"/>
  <c r="U4414" i="1" s="1"/>
  <c r="P4415" i="1"/>
  <c r="U4415" i="1" s="1"/>
  <c r="P4416" i="1"/>
  <c r="U4416" i="1" s="1"/>
  <c r="P4417" i="1"/>
  <c r="U4417" i="1" s="1"/>
  <c r="P4418" i="1"/>
  <c r="U4418" i="1" s="1"/>
  <c r="P4419" i="1"/>
  <c r="U4419" i="1" s="1"/>
  <c r="P4420" i="1"/>
  <c r="U4420" i="1" s="1"/>
  <c r="P4421" i="1"/>
  <c r="U4421" i="1" s="1"/>
  <c r="P4422" i="1"/>
  <c r="U4422" i="1" s="1"/>
  <c r="P4423" i="1"/>
  <c r="U4423" i="1" s="1"/>
  <c r="P4424" i="1"/>
  <c r="U4424" i="1" s="1"/>
  <c r="P4425" i="1"/>
  <c r="U4425" i="1" s="1"/>
  <c r="P4426" i="1"/>
  <c r="U4426" i="1" s="1"/>
  <c r="P4427" i="1"/>
  <c r="U4427" i="1" s="1"/>
  <c r="P4428" i="1"/>
  <c r="U4428" i="1" s="1"/>
  <c r="P4429" i="1"/>
  <c r="U4429" i="1" s="1"/>
  <c r="P4430" i="1"/>
  <c r="U4430" i="1" s="1"/>
  <c r="P4431" i="1"/>
  <c r="U4431" i="1" s="1"/>
  <c r="P4432" i="1"/>
  <c r="U4432" i="1" s="1"/>
  <c r="P4433" i="1"/>
  <c r="U4433" i="1" s="1"/>
  <c r="P4434" i="1"/>
  <c r="U4434" i="1" s="1"/>
  <c r="P4435" i="1"/>
  <c r="U4435" i="1" s="1"/>
  <c r="P4436" i="1"/>
  <c r="U4436" i="1" s="1"/>
  <c r="P4437" i="1"/>
  <c r="U4437" i="1" s="1"/>
  <c r="P4438" i="1"/>
  <c r="U4438" i="1" s="1"/>
  <c r="P4439" i="1"/>
  <c r="U4439" i="1" s="1"/>
  <c r="P4440" i="1"/>
  <c r="U4440" i="1" s="1"/>
  <c r="P4441" i="1"/>
  <c r="U4441" i="1" s="1"/>
  <c r="P4442" i="1"/>
  <c r="U4442" i="1" s="1"/>
  <c r="P4443" i="1"/>
  <c r="U4443" i="1" s="1"/>
  <c r="P4444" i="1"/>
  <c r="U4444" i="1" s="1"/>
  <c r="P4446" i="1"/>
  <c r="U4446" i="1" s="1"/>
  <c r="P4447" i="1"/>
  <c r="U4447" i="1" s="1"/>
  <c r="P4448" i="1"/>
  <c r="U4448" i="1" s="1"/>
  <c r="P4449" i="1"/>
  <c r="U4449" i="1" s="1"/>
  <c r="P4450" i="1"/>
  <c r="U4450" i="1" s="1"/>
  <c r="P4451" i="1"/>
  <c r="U4451" i="1" s="1"/>
  <c r="P4452" i="1"/>
  <c r="U4452" i="1" s="1"/>
  <c r="P4453" i="1"/>
  <c r="U4453" i="1" s="1"/>
  <c r="P4454" i="1"/>
  <c r="U4454" i="1" s="1"/>
  <c r="P4455" i="1"/>
  <c r="U4455" i="1" s="1"/>
  <c r="P4456" i="1"/>
  <c r="U4456" i="1" s="1"/>
  <c r="P4457" i="1"/>
  <c r="U4457" i="1" s="1"/>
  <c r="P4458" i="1"/>
  <c r="U4458" i="1" s="1"/>
  <c r="P4459" i="1"/>
  <c r="U4459" i="1" s="1"/>
  <c r="P4460" i="1"/>
  <c r="U4460" i="1" s="1"/>
  <c r="P4461" i="1"/>
  <c r="U4461" i="1" s="1"/>
  <c r="P4462" i="1"/>
  <c r="U4462" i="1" s="1"/>
  <c r="P4463" i="1"/>
  <c r="U4463" i="1" s="1"/>
  <c r="P4464" i="1"/>
  <c r="U4464" i="1" s="1"/>
  <c r="P4465" i="1"/>
  <c r="U4465" i="1" s="1"/>
  <c r="P4466" i="1"/>
  <c r="U4466" i="1" s="1"/>
  <c r="P4467" i="1"/>
  <c r="U4467" i="1" s="1"/>
  <c r="P4468" i="1"/>
  <c r="U4468" i="1" s="1"/>
  <c r="P4469" i="1"/>
  <c r="U4469" i="1" s="1"/>
  <c r="P4470" i="1"/>
  <c r="U4470" i="1" s="1"/>
  <c r="P4471" i="1"/>
  <c r="U4471" i="1" s="1"/>
  <c r="P4472" i="1"/>
  <c r="U4472" i="1" s="1"/>
  <c r="P4473" i="1"/>
  <c r="U4473" i="1" s="1"/>
  <c r="P4474" i="1"/>
  <c r="U4474" i="1" s="1"/>
  <c r="P4475" i="1"/>
  <c r="U4475" i="1" s="1"/>
  <c r="P4476" i="1"/>
  <c r="U4476" i="1" s="1"/>
  <c r="P4477" i="1"/>
  <c r="U4477" i="1" s="1"/>
  <c r="P4478" i="1"/>
  <c r="U4478" i="1" s="1"/>
  <c r="P4479" i="1"/>
  <c r="U4479" i="1" s="1"/>
  <c r="P4480" i="1"/>
  <c r="U4480" i="1" s="1"/>
  <c r="P4481" i="1"/>
  <c r="U4481" i="1" s="1"/>
  <c r="P4482" i="1"/>
  <c r="U4482" i="1" s="1"/>
  <c r="P4483" i="1"/>
  <c r="U4483" i="1" s="1"/>
  <c r="P4484" i="1"/>
  <c r="U4484" i="1" s="1"/>
  <c r="P4485" i="1"/>
  <c r="U4485" i="1" s="1"/>
  <c r="P4486" i="1"/>
  <c r="U4486" i="1" s="1"/>
  <c r="P4487" i="1"/>
  <c r="U4487" i="1" s="1"/>
  <c r="P4488" i="1"/>
  <c r="U4488" i="1" s="1"/>
  <c r="P4489" i="1"/>
  <c r="U4489" i="1" s="1"/>
  <c r="P4490" i="1"/>
  <c r="U4490" i="1" s="1"/>
  <c r="P4491" i="1"/>
  <c r="U4491" i="1" s="1"/>
  <c r="P4492" i="1"/>
  <c r="U4492" i="1" s="1"/>
  <c r="P4493" i="1"/>
  <c r="U4493" i="1" s="1"/>
  <c r="P4494" i="1"/>
  <c r="U4494" i="1" s="1"/>
  <c r="P4495" i="1"/>
  <c r="U4495" i="1" s="1"/>
  <c r="P4496" i="1"/>
  <c r="U4496" i="1" s="1"/>
  <c r="P4497" i="1"/>
  <c r="U4497" i="1" s="1"/>
  <c r="P4498" i="1"/>
  <c r="U4498" i="1" s="1"/>
  <c r="P4499" i="1"/>
  <c r="U4499" i="1" s="1"/>
  <c r="P4500" i="1"/>
  <c r="U4500" i="1" s="1"/>
  <c r="P4501" i="1"/>
  <c r="U4501" i="1" s="1"/>
  <c r="P4502" i="1"/>
  <c r="U4502" i="1" s="1"/>
  <c r="P4503" i="1"/>
  <c r="U4503" i="1" s="1"/>
  <c r="P4504" i="1"/>
  <c r="U4504" i="1" s="1"/>
  <c r="P4505" i="1"/>
  <c r="U4505" i="1" s="1"/>
  <c r="P4506" i="1"/>
  <c r="U4506" i="1" s="1"/>
  <c r="P4507" i="1"/>
  <c r="U4507" i="1" s="1"/>
  <c r="P4508" i="1"/>
  <c r="U4508" i="1" s="1"/>
  <c r="P4509" i="1"/>
  <c r="U4509" i="1" s="1"/>
  <c r="P4510" i="1"/>
  <c r="U4510" i="1" s="1"/>
  <c r="P4511" i="1"/>
  <c r="U4511" i="1" s="1"/>
  <c r="P4512" i="1"/>
  <c r="U4512" i="1" s="1"/>
  <c r="P4513" i="1"/>
  <c r="U4513" i="1" s="1"/>
  <c r="P4514" i="1"/>
  <c r="U4514" i="1" s="1"/>
  <c r="P4515" i="1"/>
  <c r="U4515" i="1" s="1"/>
  <c r="P4516" i="1"/>
  <c r="U4516" i="1" s="1"/>
  <c r="P4517" i="1"/>
  <c r="U4517" i="1" s="1"/>
  <c r="P4518" i="1"/>
  <c r="U4518" i="1" s="1"/>
  <c r="P4519" i="1"/>
  <c r="U4519" i="1" s="1"/>
  <c r="P4520" i="1"/>
  <c r="U4520" i="1" s="1"/>
  <c r="P4521" i="1"/>
  <c r="U4521" i="1" s="1"/>
  <c r="P4522" i="1"/>
  <c r="U4522" i="1" s="1"/>
  <c r="P4523" i="1"/>
  <c r="U4523" i="1" s="1"/>
  <c r="P4524" i="1"/>
  <c r="U4524" i="1" s="1"/>
  <c r="P4525" i="1"/>
  <c r="U4525" i="1" s="1"/>
  <c r="P4526" i="1"/>
  <c r="U4526" i="1" s="1"/>
  <c r="P4527" i="1"/>
  <c r="U4527" i="1" s="1"/>
  <c r="P4528" i="1"/>
  <c r="U4528" i="1" s="1"/>
  <c r="P4529" i="1"/>
  <c r="U4529" i="1" s="1"/>
  <c r="P4530" i="1"/>
  <c r="U4530" i="1" s="1"/>
  <c r="P4532" i="1"/>
  <c r="U4532" i="1" s="1"/>
  <c r="P4533" i="1"/>
  <c r="U4533" i="1" s="1"/>
  <c r="P4534" i="1"/>
  <c r="U4534" i="1" s="1"/>
  <c r="P4535" i="1"/>
  <c r="U4535" i="1" s="1"/>
  <c r="P4536" i="1"/>
  <c r="U4536" i="1" s="1"/>
  <c r="P4537" i="1"/>
  <c r="U4537" i="1" s="1"/>
  <c r="P4538" i="1"/>
  <c r="U4538" i="1" s="1"/>
  <c r="P4539" i="1"/>
  <c r="U4539" i="1" s="1"/>
  <c r="P4540" i="1"/>
  <c r="U4540" i="1" s="1"/>
  <c r="P4541" i="1"/>
  <c r="U4541" i="1" s="1"/>
  <c r="P4542" i="1"/>
  <c r="U4542" i="1" s="1"/>
  <c r="P4543" i="1"/>
  <c r="U4543" i="1" s="1"/>
  <c r="P4544" i="1"/>
  <c r="U4544" i="1" s="1"/>
  <c r="P4545" i="1"/>
  <c r="U4545" i="1" s="1"/>
  <c r="P4546" i="1"/>
  <c r="U4546" i="1" s="1"/>
  <c r="P4547" i="1"/>
  <c r="U4547" i="1" s="1"/>
  <c r="P4548" i="1"/>
  <c r="U4548" i="1" s="1"/>
  <c r="P4549" i="1"/>
  <c r="U4549" i="1" s="1"/>
  <c r="P4550" i="1"/>
  <c r="U4550" i="1" s="1"/>
  <c r="P4551" i="1"/>
  <c r="U4551" i="1" s="1"/>
  <c r="P4552" i="1"/>
  <c r="U4552" i="1" s="1"/>
  <c r="P4553" i="1"/>
  <c r="U4553" i="1" s="1"/>
  <c r="P4554" i="1"/>
  <c r="U4554" i="1" s="1"/>
  <c r="P4555" i="1"/>
  <c r="U4555" i="1" s="1"/>
  <c r="P4556" i="1"/>
  <c r="U4556" i="1" s="1"/>
  <c r="P4557" i="1"/>
  <c r="U4557" i="1" s="1"/>
  <c r="P4558" i="1"/>
  <c r="U4558" i="1" s="1"/>
  <c r="P4559" i="1"/>
  <c r="U4559" i="1" s="1"/>
  <c r="P4560" i="1"/>
  <c r="U4560" i="1" s="1"/>
  <c r="P4561" i="1"/>
  <c r="U4561" i="1" s="1"/>
  <c r="P4562" i="1"/>
  <c r="U4562" i="1" s="1"/>
  <c r="P4563" i="1"/>
  <c r="U4563" i="1" s="1"/>
  <c r="P4564" i="1"/>
  <c r="U4564" i="1" s="1"/>
  <c r="P4565" i="1"/>
  <c r="U4565" i="1" s="1"/>
  <c r="P4566" i="1"/>
  <c r="U4566" i="1" s="1"/>
  <c r="P4567" i="1"/>
  <c r="U4567" i="1" s="1"/>
  <c r="P4568" i="1"/>
  <c r="U4568" i="1" s="1"/>
  <c r="P4569" i="1"/>
  <c r="U4569" i="1" s="1"/>
  <c r="P4570" i="1"/>
  <c r="U4570" i="1" s="1"/>
  <c r="P4571" i="1"/>
  <c r="U4571" i="1" s="1"/>
  <c r="P4572" i="1"/>
  <c r="U4572" i="1" s="1"/>
  <c r="P4573" i="1"/>
  <c r="U4573" i="1" s="1"/>
  <c r="P4574" i="1"/>
  <c r="U4574" i="1" s="1"/>
  <c r="P4575" i="1"/>
  <c r="U4575" i="1" s="1"/>
  <c r="P4576" i="1"/>
  <c r="U4576" i="1" s="1"/>
  <c r="P4577" i="1"/>
  <c r="U4577" i="1" s="1"/>
  <c r="P4578" i="1"/>
  <c r="U4578" i="1" s="1"/>
  <c r="P4579" i="1"/>
  <c r="U4579" i="1" s="1"/>
  <c r="P4580" i="1"/>
  <c r="U4580" i="1" s="1"/>
  <c r="P4581" i="1"/>
  <c r="U4581" i="1" s="1"/>
  <c r="P4582" i="1"/>
  <c r="U4582" i="1" s="1"/>
  <c r="P4583" i="1"/>
  <c r="U4583" i="1" s="1"/>
  <c r="P4584" i="1"/>
  <c r="U4584" i="1" s="1"/>
  <c r="P4586" i="1"/>
  <c r="U4586" i="1" s="1"/>
  <c r="P4587" i="1"/>
  <c r="U4587" i="1" s="1"/>
  <c r="P4588" i="1"/>
  <c r="U4588" i="1" s="1"/>
  <c r="P4589" i="1"/>
  <c r="U4589" i="1" s="1"/>
  <c r="P4590" i="1"/>
  <c r="U4590" i="1" s="1"/>
  <c r="P4591" i="1"/>
  <c r="U4591" i="1" s="1"/>
  <c r="P4592" i="1"/>
  <c r="U4592" i="1" s="1"/>
  <c r="P4593" i="1"/>
  <c r="U4593" i="1" s="1"/>
  <c r="P4594" i="1"/>
  <c r="U4594" i="1" s="1"/>
  <c r="P4595" i="1"/>
  <c r="U4595" i="1" s="1"/>
  <c r="P4596" i="1"/>
  <c r="U4596" i="1" s="1"/>
  <c r="P4597" i="1"/>
  <c r="U4597" i="1" s="1"/>
  <c r="P4598" i="1"/>
  <c r="U4598" i="1" s="1"/>
  <c r="P4599" i="1"/>
  <c r="U4599" i="1" s="1"/>
  <c r="P4600" i="1"/>
  <c r="U4600" i="1" s="1"/>
  <c r="P4602" i="1"/>
  <c r="U4602" i="1" s="1"/>
  <c r="P4603" i="1"/>
  <c r="U4603" i="1" s="1"/>
  <c r="P4604" i="1"/>
  <c r="U4604" i="1" s="1"/>
  <c r="P4605" i="1"/>
  <c r="U4605" i="1" s="1"/>
  <c r="P4606" i="1"/>
  <c r="U4606" i="1" s="1"/>
  <c r="P4607" i="1"/>
  <c r="U4607" i="1" s="1"/>
  <c r="P4608" i="1"/>
  <c r="U4608" i="1" s="1"/>
  <c r="P4609" i="1"/>
  <c r="U4609" i="1" s="1"/>
  <c r="P4610" i="1"/>
  <c r="U4610" i="1" s="1"/>
  <c r="P4611" i="1"/>
  <c r="U4611" i="1" s="1"/>
  <c r="P4612" i="1"/>
  <c r="U4612" i="1" s="1"/>
  <c r="P4613" i="1"/>
  <c r="U4613" i="1" s="1"/>
  <c r="P4614" i="1"/>
  <c r="U4614" i="1" s="1"/>
  <c r="P4615" i="1"/>
  <c r="U4615" i="1" s="1"/>
  <c r="P4616" i="1"/>
  <c r="U4616" i="1" s="1"/>
  <c r="P4617" i="1"/>
  <c r="U4617" i="1" s="1"/>
  <c r="P4618" i="1"/>
  <c r="U4618" i="1" s="1"/>
  <c r="P4619" i="1"/>
  <c r="U4619" i="1" s="1"/>
  <c r="P4620" i="1"/>
  <c r="U4620" i="1" s="1"/>
  <c r="P4621" i="1"/>
  <c r="U4621" i="1" s="1"/>
  <c r="P4622" i="1"/>
  <c r="U4622" i="1" s="1"/>
  <c r="P4623" i="1"/>
  <c r="U4623" i="1" s="1"/>
  <c r="P4624" i="1"/>
  <c r="U4624" i="1" s="1"/>
  <c r="P4625" i="1"/>
  <c r="U4625" i="1" s="1"/>
  <c r="P4626" i="1"/>
  <c r="U4626" i="1" s="1"/>
  <c r="P4627" i="1"/>
  <c r="U4627" i="1" s="1"/>
  <c r="P4629" i="1"/>
  <c r="U4629" i="1" s="1"/>
  <c r="P4630" i="1"/>
  <c r="U4630" i="1" s="1"/>
  <c r="P4631" i="1"/>
  <c r="U4631" i="1" s="1"/>
  <c r="P4632" i="1"/>
  <c r="U4632" i="1" s="1"/>
  <c r="P4633" i="1"/>
  <c r="U4633" i="1" s="1"/>
  <c r="P4634" i="1"/>
  <c r="U4634" i="1" s="1"/>
  <c r="P4635" i="1"/>
  <c r="U4635" i="1" s="1"/>
  <c r="P4636" i="1"/>
  <c r="U4636" i="1" s="1"/>
  <c r="P4637" i="1"/>
  <c r="U4637" i="1" s="1"/>
  <c r="P4638" i="1"/>
  <c r="U4638" i="1" s="1"/>
  <c r="P4639" i="1"/>
  <c r="U4639" i="1" s="1"/>
  <c r="P4640" i="1"/>
  <c r="U4640" i="1" s="1"/>
  <c r="P4641" i="1"/>
  <c r="U4641" i="1" s="1"/>
  <c r="P4642" i="1"/>
  <c r="U4642" i="1" s="1"/>
  <c r="P4643" i="1"/>
  <c r="U4643" i="1" s="1"/>
  <c r="P4644" i="1"/>
  <c r="U4644" i="1" s="1"/>
  <c r="P4645" i="1"/>
  <c r="U4645" i="1" s="1"/>
  <c r="P4646" i="1"/>
  <c r="U4646" i="1" s="1"/>
  <c r="P4647" i="1"/>
  <c r="U4647" i="1" s="1"/>
  <c r="P4648" i="1"/>
  <c r="U4648" i="1" s="1"/>
  <c r="P4649" i="1"/>
  <c r="U4649" i="1" s="1"/>
  <c r="P4650" i="1"/>
  <c r="U4650" i="1" s="1"/>
  <c r="P4651" i="1"/>
  <c r="U4651" i="1" s="1"/>
  <c r="P4652" i="1"/>
  <c r="U4652" i="1" s="1"/>
  <c r="P4653" i="1"/>
  <c r="U4653" i="1" s="1"/>
  <c r="P4654" i="1"/>
  <c r="U4654" i="1" s="1"/>
  <c r="P4655" i="1"/>
  <c r="U4655" i="1" s="1"/>
  <c r="P4656" i="1"/>
  <c r="U4656" i="1" s="1"/>
  <c r="P4657" i="1"/>
  <c r="U4657" i="1" s="1"/>
  <c r="P4658" i="1"/>
  <c r="U4658" i="1" s="1"/>
  <c r="P4659" i="1"/>
  <c r="U4659" i="1" s="1"/>
  <c r="P4660" i="1"/>
  <c r="U4660" i="1" s="1"/>
  <c r="P4661" i="1"/>
  <c r="U4661" i="1" s="1"/>
  <c r="P4662" i="1"/>
  <c r="U4662" i="1" s="1"/>
  <c r="P4663" i="1"/>
  <c r="U4663" i="1" s="1"/>
  <c r="P4664" i="1"/>
  <c r="U4664" i="1" s="1"/>
  <c r="P4665" i="1"/>
  <c r="U4665" i="1" s="1"/>
  <c r="P4666" i="1"/>
  <c r="U4666" i="1" s="1"/>
  <c r="P4667" i="1"/>
  <c r="U4667" i="1" s="1"/>
  <c r="P4668" i="1"/>
  <c r="U4668" i="1" s="1"/>
  <c r="P4669" i="1"/>
  <c r="U4669" i="1" s="1"/>
  <c r="P4670" i="1"/>
  <c r="U4670" i="1" s="1"/>
  <c r="P4671" i="1"/>
  <c r="U4671" i="1" s="1"/>
  <c r="P4672" i="1"/>
  <c r="U4672" i="1" s="1"/>
  <c r="P4673" i="1"/>
  <c r="U4673" i="1" s="1"/>
  <c r="P4674" i="1"/>
  <c r="U4674" i="1" s="1"/>
  <c r="P4675" i="1"/>
  <c r="U4675" i="1" s="1"/>
  <c r="P4676" i="1"/>
  <c r="U4676" i="1" s="1"/>
  <c r="P4678" i="1"/>
  <c r="U4678" i="1" s="1"/>
  <c r="P4679" i="1"/>
  <c r="U4679" i="1" s="1"/>
  <c r="P4680" i="1"/>
  <c r="U4680" i="1" s="1"/>
  <c r="P4681" i="1"/>
  <c r="U4681" i="1" s="1"/>
  <c r="P4682" i="1"/>
  <c r="U4682" i="1" s="1"/>
  <c r="P4683" i="1"/>
  <c r="U4683" i="1" s="1"/>
  <c r="P4684" i="1"/>
  <c r="U4684" i="1" s="1"/>
  <c r="P4685" i="1"/>
  <c r="U4685" i="1" s="1"/>
  <c r="P4686" i="1"/>
  <c r="U4686" i="1" s="1"/>
  <c r="P4687" i="1"/>
  <c r="U4687" i="1" s="1"/>
  <c r="P4688" i="1"/>
  <c r="U4688" i="1" s="1"/>
  <c r="P4689" i="1"/>
  <c r="U4689" i="1" s="1"/>
  <c r="P4690" i="1"/>
  <c r="U4690" i="1" s="1"/>
  <c r="P4691" i="1"/>
  <c r="U4691" i="1" s="1"/>
  <c r="P4692" i="1"/>
  <c r="U4692" i="1" s="1"/>
  <c r="P4693" i="1"/>
  <c r="U4693" i="1" s="1"/>
  <c r="P4694" i="1"/>
  <c r="U4694" i="1" s="1"/>
  <c r="P4695" i="1"/>
  <c r="U4695" i="1" s="1"/>
  <c r="P4696" i="1"/>
  <c r="U4696" i="1" s="1"/>
  <c r="P4697" i="1"/>
  <c r="U4697" i="1" s="1"/>
  <c r="P4698" i="1"/>
  <c r="U4698" i="1" s="1"/>
  <c r="P4699" i="1"/>
  <c r="U4699" i="1" s="1"/>
  <c r="P4700" i="1"/>
  <c r="U4700" i="1" s="1"/>
  <c r="P4701" i="1"/>
  <c r="U4701" i="1" s="1"/>
  <c r="P4702" i="1"/>
  <c r="U4702" i="1" s="1"/>
  <c r="P4703" i="1"/>
  <c r="U4703" i="1" s="1"/>
  <c r="P4704" i="1"/>
  <c r="U4704" i="1" s="1"/>
  <c r="P4705" i="1"/>
  <c r="U4705" i="1" s="1"/>
  <c r="P4706" i="1"/>
  <c r="U4706" i="1" s="1"/>
  <c r="P4707" i="1"/>
  <c r="U4707" i="1" s="1"/>
  <c r="P4708" i="1"/>
  <c r="U4708" i="1" s="1"/>
  <c r="P4709" i="1"/>
  <c r="U4709" i="1" s="1"/>
  <c r="P4710" i="1"/>
  <c r="U4710" i="1" s="1"/>
  <c r="P4712" i="1"/>
  <c r="U4712" i="1" s="1"/>
  <c r="P4713" i="1"/>
  <c r="U4713" i="1" s="1"/>
  <c r="P4714" i="1"/>
  <c r="U4714" i="1" s="1"/>
  <c r="P4715" i="1"/>
  <c r="U4715" i="1" s="1"/>
  <c r="P4716" i="1"/>
  <c r="U4716" i="1" s="1"/>
  <c r="P4717" i="1"/>
  <c r="U4717" i="1" s="1"/>
  <c r="P4718" i="1"/>
  <c r="U4718" i="1" s="1"/>
  <c r="P4719" i="1"/>
  <c r="U4719" i="1" s="1"/>
  <c r="P4720" i="1"/>
  <c r="U4720" i="1" s="1"/>
  <c r="P4721" i="1"/>
  <c r="U4721" i="1" s="1"/>
  <c r="P4722" i="1"/>
  <c r="U4722" i="1" s="1"/>
  <c r="P4723" i="1"/>
  <c r="U4723" i="1" s="1"/>
  <c r="P4724" i="1"/>
  <c r="U4724" i="1" s="1"/>
  <c r="P4725" i="1"/>
  <c r="U4725" i="1" s="1"/>
  <c r="P4726" i="1"/>
  <c r="U4726" i="1" s="1"/>
  <c r="P4727" i="1"/>
  <c r="U4727" i="1" s="1"/>
  <c r="P4728" i="1"/>
  <c r="U4728" i="1" s="1"/>
  <c r="P4729" i="1"/>
  <c r="U4729" i="1" s="1"/>
  <c r="P4730" i="1"/>
  <c r="U4730" i="1" s="1"/>
  <c r="P4731" i="1"/>
  <c r="U4731" i="1" s="1"/>
  <c r="P4732" i="1"/>
  <c r="U4732" i="1" s="1"/>
  <c r="P4733" i="1"/>
  <c r="U4733" i="1" s="1"/>
  <c r="P4734" i="1"/>
  <c r="U4734" i="1" s="1"/>
  <c r="P4735" i="1"/>
  <c r="U4735" i="1" s="1"/>
  <c r="P4736" i="1"/>
  <c r="U4736" i="1" s="1"/>
  <c r="P4737" i="1"/>
  <c r="U4737" i="1" s="1"/>
  <c r="P4738" i="1"/>
  <c r="U4738" i="1" s="1"/>
  <c r="P4739" i="1"/>
  <c r="U4739" i="1" s="1"/>
  <c r="P4740" i="1"/>
  <c r="U4740" i="1" s="1"/>
  <c r="P4741" i="1"/>
  <c r="U4741" i="1" s="1"/>
  <c r="P4742" i="1"/>
  <c r="U4742" i="1" s="1"/>
  <c r="P4743" i="1"/>
  <c r="U4743" i="1" s="1"/>
  <c r="P4744" i="1"/>
  <c r="U4744" i="1" s="1"/>
  <c r="P4745" i="1"/>
  <c r="U4745" i="1" s="1"/>
  <c r="P4746" i="1"/>
  <c r="U4746" i="1" s="1"/>
  <c r="P4747" i="1"/>
  <c r="U4747" i="1" s="1"/>
  <c r="P4748" i="1"/>
  <c r="U4748" i="1" s="1"/>
  <c r="P4749" i="1"/>
  <c r="U4749" i="1" s="1"/>
  <c r="P4750" i="1"/>
  <c r="U4750" i="1" s="1"/>
  <c r="P4751" i="1"/>
  <c r="U4751" i="1" s="1"/>
  <c r="P4752" i="1"/>
  <c r="U4752" i="1" s="1"/>
  <c r="P4753" i="1"/>
  <c r="U4753" i="1" s="1"/>
  <c r="P4754" i="1"/>
  <c r="U4754" i="1" s="1"/>
  <c r="P4755" i="1"/>
  <c r="U4755" i="1" s="1"/>
  <c r="P4756" i="1"/>
  <c r="U4756" i="1" s="1"/>
  <c r="P4757" i="1"/>
  <c r="U4757" i="1" s="1"/>
  <c r="P4758" i="1"/>
  <c r="U4758" i="1" s="1"/>
  <c r="P4759" i="1"/>
  <c r="U4759" i="1" s="1"/>
  <c r="P4760" i="1"/>
  <c r="U4760" i="1" s="1"/>
  <c r="P4761" i="1"/>
  <c r="U4761" i="1" s="1"/>
  <c r="P4762" i="1"/>
  <c r="U4762" i="1" s="1"/>
  <c r="P4763" i="1"/>
  <c r="U4763" i="1" s="1"/>
  <c r="P4764" i="1"/>
  <c r="U4764" i="1" s="1"/>
  <c r="P4765" i="1"/>
  <c r="U4765" i="1" s="1"/>
  <c r="P4766" i="1"/>
  <c r="U4766" i="1" s="1"/>
  <c r="P4767" i="1"/>
  <c r="U4767" i="1" s="1"/>
  <c r="P4768" i="1"/>
  <c r="U4768" i="1" s="1"/>
  <c r="P4769" i="1"/>
  <c r="U4769" i="1" s="1"/>
  <c r="P4770" i="1"/>
  <c r="U4770" i="1" s="1"/>
  <c r="P4771" i="1"/>
  <c r="U4771" i="1" s="1"/>
  <c r="P4772" i="1"/>
  <c r="U4772" i="1" s="1"/>
  <c r="P4773" i="1"/>
  <c r="U4773" i="1" s="1"/>
  <c r="P4774" i="1"/>
  <c r="U4774" i="1" s="1"/>
  <c r="P4775" i="1"/>
  <c r="U4775" i="1" s="1"/>
  <c r="P4776" i="1"/>
  <c r="U4776" i="1" s="1"/>
  <c r="P4777" i="1"/>
  <c r="U4777" i="1" s="1"/>
  <c r="P4778" i="1"/>
  <c r="U4778" i="1" s="1"/>
  <c r="P4779" i="1"/>
  <c r="U4779" i="1" s="1"/>
  <c r="P4780" i="1"/>
  <c r="U4780" i="1" s="1"/>
  <c r="P4781" i="1"/>
  <c r="U4781" i="1" s="1"/>
  <c r="P4782" i="1"/>
  <c r="U4782" i="1" s="1"/>
  <c r="P4783" i="1"/>
  <c r="U4783" i="1" s="1"/>
  <c r="P4784" i="1"/>
  <c r="U4784" i="1" s="1"/>
  <c r="P4785" i="1"/>
  <c r="U4785" i="1" s="1"/>
  <c r="P4786" i="1"/>
  <c r="U4786" i="1" s="1"/>
  <c r="P4787" i="1"/>
  <c r="U4787" i="1" s="1"/>
  <c r="P4788" i="1"/>
  <c r="U4788" i="1" s="1"/>
  <c r="P4789" i="1"/>
  <c r="U4789" i="1" s="1"/>
  <c r="P4790" i="1"/>
  <c r="U4790" i="1" s="1"/>
  <c r="P4791" i="1"/>
  <c r="U4791" i="1" s="1"/>
  <c r="P4792" i="1"/>
  <c r="U4792" i="1" s="1"/>
  <c r="P4793" i="1"/>
  <c r="U4793" i="1" s="1"/>
  <c r="P4794" i="1"/>
  <c r="U4794" i="1" s="1"/>
  <c r="P4795" i="1"/>
  <c r="U4795" i="1" s="1"/>
  <c r="P4796" i="1"/>
  <c r="U4796" i="1" s="1"/>
  <c r="P4797" i="1"/>
  <c r="U4797" i="1" s="1"/>
  <c r="P4798" i="1"/>
  <c r="U4798" i="1" s="1"/>
  <c r="P4799" i="1"/>
  <c r="U4799" i="1" s="1"/>
  <c r="P4800" i="1"/>
  <c r="U4800" i="1" s="1"/>
  <c r="P4801" i="1"/>
  <c r="U4801" i="1" s="1"/>
  <c r="P4802" i="1"/>
  <c r="U4802" i="1" s="1"/>
  <c r="P4803" i="1"/>
  <c r="U4803" i="1" s="1"/>
  <c r="P4804" i="1"/>
  <c r="U4804" i="1" s="1"/>
  <c r="P4805" i="1"/>
  <c r="U4805" i="1" s="1"/>
  <c r="P4806" i="1"/>
  <c r="U4806" i="1" s="1"/>
  <c r="P4807" i="1"/>
  <c r="U4807" i="1" s="1"/>
  <c r="P4808" i="1"/>
  <c r="U4808" i="1" s="1"/>
  <c r="P4809" i="1"/>
  <c r="U4809" i="1" s="1"/>
  <c r="P4810" i="1"/>
  <c r="U4810" i="1" s="1"/>
  <c r="P4811" i="1"/>
  <c r="U4811" i="1" s="1"/>
  <c r="P4812" i="1"/>
  <c r="U4812" i="1" s="1"/>
  <c r="P4813" i="1"/>
  <c r="U4813" i="1" s="1"/>
  <c r="P4814" i="1"/>
  <c r="U4814" i="1" s="1"/>
  <c r="P4815" i="1"/>
  <c r="U4815" i="1" s="1"/>
  <c r="P4816" i="1"/>
  <c r="U4816" i="1" s="1"/>
  <c r="P4817" i="1"/>
  <c r="U4817" i="1" s="1"/>
  <c r="P4818" i="1"/>
  <c r="U4818" i="1" s="1"/>
  <c r="P4819" i="1"/>
  <c r="U4819" i="1" s="1"/>
  <c r="P4820" i="1"/>
  <c r="U4820" i="1" s="1"/>
  <c r="P4821" i="1"/>
  <c r="U4821" i="1" s="1"/>
  <c r="P4822" i="1"/>
  <c r="U4822" i="1" s="1"/>
  <c r="P4823" i="1"/>
  <c r="U4823" i="1" s="1"/>
  <c r="P4824" i="1"/>
  <c r="U4824" i="1" s="1"/>
  <c r="P4825" i="1"/>
  <c r="U4825" i="1" s="1"/>
  <c r="P4826" i="1"/>
  <c r="U4826" i="1" s="1"/>
  <c r="P4827" i="1"/>
  <c r="U4827" i="1" s="1"/>
  <c r="P4828" i="1"/>
  <c r="U4828" i="1" s="1"/>
  <c r="P4829" i="1"/>
  <c r="U4829" i="1" s="1"/>
  <c r="P4830" i="1"/>
  <c r="U4830" i="1" s="1"/>
  <c r="P4831" i="1"/>
  <c r="U4831" i="1" s="1"/>
  <c r="P4832" i="1"/>
  <c r="U4832" i="1" s="1"/>
  <c r="P4833" i="1"/>
  <c r="U4833" i="1" s="1"/>
  <c r="P4834" i="1"/>
  <c r="U4834" i="1" s="1"/>
  <c r="P4835" i="1"/>
  <c r="U4835" i="1" s="1"/>
  <c r="P4836" i="1"/>
  <c r="U4836" i="1" s="1"/>
  <c r="P4837" i="1"/>
  <c r="U4837" i="1" s="1"/>
  <c r="P4838" i="1"/>
  <c r="U4838" i="1" s="1"/>
  <c r="P4839" i="1"/>
  <c r="U4839" i="1" s="1"/>
  <c r="P4840" i="1"/>
  <c r="U4840" i="1" s="1"/>
  <c r="P4841" i="1"/>
  <c r="U4841" i="1" s="1"/>
  <c r="P4842" i="1"/>
  <c r="U4842" i="1" s="1"/>
  <c r="P4843" i="1"/>
  <c r="U4843" i="1" s="1"/>
  <c r="P4844" i="1"/>
  <c r="U4844" i="1" s="1"/>
  <c r="P4845" i="1"/>
  <c r="U4845" i="1" s="1"/>
  <c r="P4846" i="1"/>
  <c r="U4846" i="1" s="1"/>
  <c r="P4847" i="1"/>
  <c r="U4847" i="1" s="1"/>
  <c r="P4848" i="1"/>
  <c r="U4848" i="1" s="1"/>
  <c r="P4849" i="1"/>
  <c r="U4849" i="1" s="1"/>
  <c r="P4850" i="1"/>
  <c r="U4850" i="1" s="1"/>
  <c r="P4851" i="1"/>
  <c r="U4851" i="1" s="1"/>
  <c r="P4852" i="1"/>
  <c r="U4852" i="1" s="1"/>
  <c r="P4853" i="1"/>
  <c r="U4853" i="1" s="1"/>
  <c r="P4854" i="1"/>
  <c r="U4854" i="1" s="1"/>
  <c r="P4855" i="1"/>
  <c r="U4855" i="1" s="1"/>
  <c r="P4856" i="1"/>
  <c r="U4856" i="1" s="1"/>
  <c r="P4857" i="1"/>
  <c r="U4857" i="1" s="1"/>
  <c r="P4858" i="1"/>
  <c r="U4858" i="1" s="1"/>
  <c r="P4859" i="1"/>
  <c r="U4859" i="1" s="1"/>
  <c r="P4860" i="1"/>
  <c r="U4860" i="1" s="1"/>
  <c r="P4861" i="1"/>
  <c r="U4861" i="1" s="1"/>
  <c r="P4862" i="1"/>
  <c r="U4862" i="1" s="1"/>
  <c r="P4863" i="1"/>
  <c r="U4863" i="1" s="1"/>
  <c r="P4864" i="1"/>
  <c r="U4864" i="1" s="1"/>
  <c r="P4865" i="1"/>
  <c r="U4865" i="1" s="1"/>
  <c r="P4866" i="1"/>
  <c r="U4866" i="1" s="1"/>
  <c r="P4867" i="1"/>
  <c r="U4867" i="1" s="1"/>
  <c r="P4868" i="1"/>
  <c r="U4868" i="1" s="1"/>
  <c r="P4869" i="1"/>
  <c r="U4869" i="1" s="1"/>
  <c r="P4870" i="1"/>
  <c r="U4870" i="1" s="1"/>
  <c r="P4871" i="1"/>
  <c r="U4871" i="1" s="1"/>
  <c r="P4872" i="1"/>
  <c r="U4872" i="1" s="1"/>
  <c r="P4873" i="1"/>
  <c r="U4873" i="1" s="1"/>
  <c r="P4874" i="1"/>
  <c r="U4874" i="1" s="1"/>
  <c r="P4875" i="1"/>
  <c r="U4875" i="1" s="1"/>
  <c r="P4876" i="1"/>
  <c r="U4876" i="1" s="1"/>
  <c r="P4877" i="1"/>
  <c r="U4877" i="1" s="1"/>
  <c r="P4878" i="1"/>
  <c r="U4878" i="1" s="1"/>
  <c r="P4879" i="1"/>
  <c r="U4879" i="1" s="1"/>
  <c r="P4880" i="1"/>
  <c r="U4880" i="1" s="1"/>
  <c r="P4881" i="1"/>
  <c r="U4881" i="1" s="1"/>
  <c r="P4882" i="1"/>
  <c r="U4882" i="1" s="1"/>
  <c r="P4883" i="1"/>
  <c r="U4883" i="1" s="1"/>
  <c r="P4884" i="1"/>
  <c r="U4884" i="1" s="1"/>
  <c r="P4885" i="1"/>
  <c r="U4885" i="1" s="1"/>
  <c r="P4886" i="1"/>
  <c r="U4886" i="1" s="1"/>
  <c r="P4887" i="1"/>
  <c r="U4887" i="1" s="1"/>
  <c r="P4888" i="1"/>
  <c r="U4888" i="1" s="1"/>
  <c r="P4889" i="1"/>
  <c r="U4889" i="1" s="1"/>
  <c r="P4890" i="1"/>
  <c r="U4890" i="1" s="1"/>
  <c r="P4891" i="1"/>
  <c r="U4891" i="1" s="1"/>
  <c r="P4892" i="1"/>
  <c r="U4892" i="1" s="1"/>
  <c r="P4893" i="1"/>
  <c r="U4893" i="1" s="1"/>
  <c r="P4894" i="1"/>
  <c r="U4894" i="1" s="1"/>
  <c r="P4895" i="1"/>
  <c r="U4895" i="1" s="1"/>
  <c r="P4896" i="1"/>
  <c r="U4896" i="1" s="1"/>
  <c r="P4897" i="1"/>
  <c r="U4897" i="1" s="1"/>
  <c r="P4898" i="1"/>
  <c r="U4898" i="1" s="1"/>
  <c r="P4899" i="1"/>
  <c r="U4899" i="1" s="1"/>
  <c r="P4900" i="1"/>
  <c r="U4900" i="1" s="1"/>
  <c r="P4901" i="1"/>
  <c r="U4901" i="1" s="1"/>
  <c r="P4902" i="1"/>
  <c r="U4902" i="1" s="1"/>
  <c r="P4903" i="1"/>
  <c r="U4903" i="1" s="1"/>
  <c r="P4904" i="1"/>
  <c r="U4904" i="1" s="1"/>
  <c r="P4905" i="1"/>
  <c r="U4905" i="1" s="1"/>
  <c r="P4906" i="1"/>
  <c r="U4906" i="1" s="1"/>
  <c r="P4907" i="1"/>
  <c r="U4907" i="1" s="1"/>
  <c r="P4908" i="1"/>
  <c r="U4908" i="1" s="1"/>
  <c r="P4909" i="1"/>
  <c r="U4909" i="1" s="1"/>
  <c r="P4910" i="1"/>
  <c r="U4910" i="1" s="1"/>
  <c r="P4911" i="1"/>
  <c r="U4911" i="1" s="1"/>
  <c r="P4912" i="1"/>
  <c r="U4912" i="1" s="1"/>
  <c r="P4913" i="1"/>
  <c r="U4913" i="1" s="1"/>
  <c r="P4914" i="1"/>
  <c r="U4914" i="1" s="1"/>
  <c r="P4915" i="1"/>
  <c r="U4915" i="1" s="1"/>
  <c r="P4916" i="1"/>
  <c r="U4916" i="1" s="1"/>
  <c r="P4917" i="1"/>
  <c r="U4917" i="1" s="1"/>
  <c r="P4918" i="1"/>
  <c r="U4918" i="1" s="1"/>
  <c r="P4919" i="1"/>
  <c r="U4919" i="1" s="1"/>
  <c r="P4920" i="1"/>
  <c r="U4920" i="1" s="1"/>
  <c r="P4921" i="1"/>
  <c r="U4921" i="1" s="1"/>
  <c r="P4922" i="1"/>
  <c r="U4922" i="1" s="1"/>
  <c r="P4923" i="1"/>
  <c r="U4923" i="1" s="1"/>
  <c r="P4924" i="1"/>
  <c r="U4924" i="1" s="1"/>
  <c r="P4925" i="1"/>
  <c r="U4925" i="1" s="1"/>
  <c r="P4926" i="1"/>
  <c r="U4926" i="1" s="1"/>
  <c r="P4927" i="1"/>
  <c r="U4927" i="1" s="1"/>
  <c r="P4928" i="1"/>
  <c r="U4928" i="1" s="1"/>
  <c r="P4929" i="1"/>
  <c r="U4929" i="1" s="1"/>
  <c r="P4930" i="1"/>
  <c r="U4930" i="1" s="1"/>
  <c r="P4931" i="1"/>
  <c r="U4931" i="1" s="1"/>
  <c r="P4932" i="1"/>
  <c r="U4932" i="1" s="1"/>
  <c r="P4933" i="1"/>
  <c r="U4933" i="1" s="1"/>
  <c r="P4934" i="1"/>
  <c r="U4934" i="1" s="1"/>
  <c r="P4935" i="1"/>
  <c r="U4935" i="1" s="1"/>
  <c r="P4936" i="1"/>
  <c r="U4936" i="1" s="1"/>
  <c r="P4937" i="1"/>
  <c r="U4937" i="1" s="1"/>
  <c r="P4938" i="1"/>
  <c r="U4938" i="1" s="1"/>
  <c r="P4939" i="1"/>
  <c r="U4939" i="1" s="1"/>
  <c r="P4940" i="1"/>
  <c r="U4940" i="1" s="1"/>
  <c r="P4941" i="1"/>
  <c r="U4941" i="1" s="1"/>
  <c r="P4942" i="1"/>
  <c r="U4942" i="1" s="1"/>
  <c r="P4943" i="1"/>
  <c r="U4943" i="1" s="1"/>
  <c r="P4944" i="1"/>
  <c r="U4944" i="1" s="1"/>
  <c r="P4945" i="1"/>
  <c r="U4945" i="1" s="1"/>
  <c r="P4946" i="1"/>
  <c r="U4946" i="1" s="1"/>
  <c r="P4947" i="1"/>
  <c r="U4947" i="1" s="1"/>
  <c r="P4948" i="1"/>
  <c r="U4948" i="1" s="1"/>
  <c r="P4949" i="1"/>
  <c r="U4949" i="1" s="1"/>
  <c r="P4950" i="1"/>
  <c r="U4950" i="1" s="1"/>
  <c r="P4951" i="1"/>
  <c r="U4951" i="1" s="1"/>
  <c r="P4952" i="1"/>
  <c r="U4952" i="1" s="1"/>
  <c r="P4953" i="1"/>
  <c r="U4953" i="1" s="1"/>
  <c r="P4954" i="1"/>
  <c r="U4954" i="1" s="1"/>
  <c r="P4955" i="1"/>
  <c r="U4955" i="1" s="1"/>
  <c r="P4956" i="1"/>
  <c r="U4956" i="1" s="1"/>
  <c r="P4957" i="1"/>
  <c r="U4957" i="1" s="1"/>
  <c r="P4958" i="1"/>
  <c r="U4958" i="1" s="1"/>
  <c r="P4959" i="1"/>
  <c r="U4959" i="1" s="1"/>
  <c r="P4960" i="1"/>
  <c r="U4960" i="1" s="1"/>
  <c r="P4961" i="1"/>
  <c r="U4961" i="1" s="1"/>
  <c r="P4962" i="1"/>
  <c r="U4962" i="1" s="1"/>
  <c r="P4963" i="1"/>
  <c r="U4963" i="1" s="1"/>
  <c r="P4964" i="1"/>
  <c r="U4964" i="1" s="1"/>
  <c r="P4965" i="1"/>
  <c r="U4965" i="1" s="1"/>
  <c r="P4966" i="1"/>
  <c r="U4966" i="1" s="1"/>
  <c r="P4967" i="1"/>
  <c r="U4967" i="1" s="1"/>
  <c r="P4968" i="1"/>
  <c r="U4968" i="1" s="1"/>
  <c r="P4969" i="1"/>
  <c r="U4969" i="1" s="1"/>
  <c r="P4970" i="1"/>
  <c r="U4970" i="1" s="1"/>
  <c r="P4971" i="1"/>
  <c r="U4971" i="1" s="1"/>
  <c r="P4972" i="1"/>
  <c r="U4972" i="1" s="1"/>
  <c r="P4973" i="1"/>
  <c r="U4973" i="1" s="1"/>
  <c r="P4974" i="1"/>
  <c r="U4974" i="1" s="1"/>
  <c r="P4975" i="1"/>
  <c r="U4975" i="1" s="1"/>
  <c r="P4976" i="1"/>
  <c r="U4976" i="1" s="1"/>
  <c r="P4977" i="1"/>
  <c r="U4977" i="1" s="1"/>
  <c r="P4978" i="1"/>
  <c r="U4978" i="1" s="1"/>
  <c r="P4979" i="1"/>
  <c r="U4979" i="1" s="1"/>
  <c r="P4980" i="1"/>
  <c r="U4980" i="1" s="1"/>
  <c r="P4981" i="1"/>
  <c r="U4981" i="1" s="1"/>
  <c r="P4982" i="1"/>
  <c r="U4982" i="1" s="1"/>
  <c r="P4983" i="1"/>
  <c r="U4983" i="1" s="1"/>
  <c r="P4984" i="1"/>
  <c r="U4984" i="1" s="1"/>
  <c r="P4985" i="1"/>
  <c r="U4985" i="1" s="1"/>
  <c r="P4986" i="1"/>
  <c r="U4986" i="1" s="1"/>
  <c r="P4987" i="1"/>
  <c r="U4987" i="1" s="1"/>
  <c r="P4988" i="1"/>
  <c r="U4988" i="1" s="1"/>
  <c r="P4989" i="1"/>
  <c r="U4989" i="1" s="1"/>
  <c r="P4990" i="1"/>
  <c r="U4990" i="1" s="1"/>
  <c r="P4991" i="1"/>
  <c r="U4991" i="1" s="1"/>
  <c r="P4992" i="1"/>
  <c r="U4992" i="1" s="1"/>
  <c r="P4993" i="1"/>
  <c r="U4993" i="1" s="1"/>
  <c r="P4994" i="1"/>
  <c r="U4994" i="1" s="1"/>
  <c r="P4995" i="1"/>
  <c r="U4995" i="1" s="1"/>
  <c r="P4996" i="1"/>
  <c r="U4996" i="1" s="1"/>
  <c r="P4997" i="1"/>
  <c r="U4997" i="1" s="1"/>
  <c r="P4998" i="1"/>
  <c r="U4998" i="1" s="1"/>
  <c r="P4999" i="1"/>
  <c r="U4999" i="1" s="1"/>
  <c r="P5000" i="1"/>
  <c r="U5000" i="1" s="1"/>
  <c r="P5001" i="1"/>
  <c r="U5001" i="1" s="1"/>
  <c r="P5002" i="1"/>
  <c r="U5002" i="1" s="1"/>
  <c r="P5003" i="1"/>
  <c r="U5003" i="1" s="1"/>
  <c r="P5004" i="1"/>
  <c r="U5004" i="1" s="1"/>
  <c r="P5006" i="1"/>
  <c r="U5006" i="1" s="1"/>
  <c r="P5007" i="1"/>
  <c r="U5007" i="1" s="1"/>
  <c r="P5008" i="1"/>
  <c r="U5008" i="1" s="1"/>
  <c r="P5009" i="1"/>
  <c r="U5009" i="1" s="1"/>
  <c r="P5010" i="1"/>
  <c r="U5010" i="1" s="1"/>
  <c r="P5011" i="1"/>
  <c r="U5011" i="1" s="1"/>
  <c r="P5012" i="1"/>
  <c r="U5012" i="1" s="1"/>
  <c r="P5013" i="1"/>
  <c r="U5013" i="1" s="1"/>
  <c r="P5014" i="1"/>
  <c r="U5014" i="1" s="1"/>
  <c r="P5015" i="1"/>
  <c r="U5015" i="1" s="1"/>
  <c r="P5016" i="1"/>
  <c r="U5016" i="1" s="1"/>
  <c r="P5017" i="1"/>
  <c r="U5017" i="1" s="1"/>
  <c r="P5018" i="1"/>
  <c r="U5018" i="1" s="1"/>
  <c r="P5019" i="1"/>
  <c r="U5019" i="1" s="1"/>
  <c r="P5020" i="1"/>
  <c r="U5020" i="1" s="1"/>
  <c r="P5021" i="1"/>
  <c r="U5021" i="1" s="1"/>
  <c r="P5022" i="1"/>
  <c r="U5022" i="1" s="1"/>
  <c r="P5023" i="1"/>
  <c r="U5023" i="1" s="1"/>
  <c r="P5024" i="1"/>
  <c r="U5024" i="1" s="1"/>
  <c r="P5025" i="1"/>
  <c r="U5025" i="1" s="1"/>
  <c r="P5026" i="1"/>
  <c r="U5026" i="1" s="1"/>
  <c r="P5027" i="1"/>
  <c r="U5027" i="1" s="1"/>
  <c r="P5028" i="1"/>
  <c r="U5028" i="1" s="1"/>
  <c r="P5029" i="1"/>
  <c r="U5029" i="1" s="1"/>
  <c r="P5030" i="1"/>
  <c r="U5030" i="1" s="1"/>
  <c r="P5031" i="1"/>
  <c r="U5031" i="1" s="1"/>
  <c r="P5032" i="1"/>
  <c r="U5032" i="1" s="1"/>
  <c r="P5033" i="1"/>
  <c r="U5033" i="1" s="1"/>
  <c r="P5034" i="1"/>
  <c r="U5034" i="1" s="1"/>
  <c r="P5035" i="1"/>
  <c r="U5035" i="1" s="1"/>
  <c r="P5036" i="1"/>
  <c r="U5036" i="1" s="1"/>
  <c r="P5037" i="1"/>
  <c r="U5037" i="1" s="1"/>
  <c r="P5038" i="1"/>
  <c r="U5038" i="1" s="1"/>
  <c r="P5039" i="1"/>
  <c r="U5039" i="1" s="1"/>
  <c r="P5040" i="1"/>
  <c r="U5040" i="1" s="1"/>
  <c r="P5041" i="1"/>
  <c r="U5041" i="1" s="1"/>
  <c r="P5042" i="1"/>
  <c r="U5042" i="1" s="1"/>
  <c r="P5043" i="1"/>
  <c r="U5043" i="1" s="1"/>
  <c r="P5044" i="1"/>
  <c r="U5044" i="1" s="1"/>
  <c r="P5045" i="1"/>
  <c r="U5045" i="1" s="1"/>
  <c r="P5046" i="1"/>
  <c r="U5046" i="1" s="1"/>
  <c r="P5047" i="1"/>
  <c r="U5047" i="1" s="1"/>
  <c r="P5048" i="1"/>
  <c r="U5048" i="1" s="1"/>
  <c r="P5049" i="1"/>
  <c r="U5049" i="1" s="1"/>
  <c r="P5050" i="1"/>
  <c r="U5050" i="1" s="1"/>
  <c r="P5051" i="1"/>
  <c r="U5051" i="1" s="1"/>
  <c r="P5052" i="1"/>
  <c r="U5052" i="1" s="1"/>
  <c r="P5053" i="1"/>
  <c r="U5053" i="1" s="1"/>
  <c r="P5054" i="1"/>
  <c r="U5054" i="1" s="1"/>
  <c r="P5055" i="1"/>
  <c r="U5055" i="1" s="1"/>
  <c r="P5056" i="1"/>
  <c r="U5056" i="1" s="1"/>
  <c r="P5057" i="1"/>
  <c r="U5057" i="1" s="1"/>
  <c r="P5058" i="1"/>
  <c r="U5058" i="1" s="1"/>
  <c r="P5059" i="1"/>
  <c r="U5059" i="1" s="1"/>
  <c r="P5060" i="1"/>
  <c r="U5060" i="1" s="1"/>
  <c r="P5061" i="1"/>
  <c r="U5061" i="1" s="1"/>
  <c r="P5062" i="1"/>
  <c r="U5062" i="1" s="1"/>
  <c r="P5063" i="1"/>
  <c r="U5063" i="1" s="1"/>
  <c r="P5064" i="1"/>
  <c r="U5064" i="1" s="1"/>
  <c r="P5065" i="1"/>
  <c r="U5065" i="1" s="1"/>
  <c r="P5066" i="1"/>
  <c r="U5066" i="1" s="1"/>
  <c r="P5067" i="1"/>
  <c r="U5067" i="1" s="1"/>
  <c r="P5068" i="1"/>
  <c r="U5068" i="1" s="1"/>
  <c r="P5069" i="1"/>
  <c r="U5069" i="1" s="1"/>
  <c r="P5070" i="1"/>
  <c r="U5070" i="1" s="1"/>
  <c r="P5071" i="1"/>
  <c r="U5071" i="1" s="1"/>
  <c r="P5072" i="1"/>
  <c r="U5072" i="1" s="1"/>
  <c r="P5073" i="1"/>
  <c r="U5073" i="1" s="1"/>
  <c r="P5074" i="1"/>
  <c r="U5074" i="1" s="1"/>
  <c r="P5075" i="1"/>
  <c r="U5075" i="1" s="1"/>
  <c r="P5076" i="1"/>
  <c r="U5076" i="1" s="1"/>
  <c r="P5077" i="1"/>
  <c r="U5077" i="1" s="1"/>
  <c r="P5078" i="1"/>
  <c r="U5078" i="1" s="1"/>
  <c r="P5079" i="1"/>
  <c r="U5079" i="1" s="1"/>
  <c r="P5080" i="1"/>
  <c r="U5080" i="1" s="1"/>
  <c r="P5081" i="1"/>
  <c r="U5081" i="1" s="1"/>
  <c r="P5082" i="1"/>
  <c r="U5082" i="1" s="1"/>
  <c r="P5083" i="1"/>
  <c r="U5083" i="1" s="1"/>
  <c r="P5084" i="1"/>
  <c r="U5084" i="1" s="1"/>
  <c r="P5085" i="1"/>
  <c r="U5085" i="1" s="1"/>
  <c r="P5086" i="1"/>
  <c r="U5086" i="1" s="1"/>
  <c r="P5087" i="1"/>
  <c r="U5087" i="1" s="1"/>
  <c r="P5088" i="1"/>
  <c r="U5088" i="1" s="1"/>
  <c r="P5089" i="1"/>
  <c r="U5089" i="1" s="1"/>
  <c r="P5090" i="1"/>
  <c r="U5090" i="1" s="1"/>
  <c r="P5091" i="1"/>
  <c r="U5091" i="1" s="1"/>
  <c r="P5092" i="1"/>
  <c r="U5092" i="1" s="1"/>
  <c r="P5093" i="1"/>
  <c r="U5093" i="1" s="1"/>
  <c r="P5094" i="1"/>
  <c r="U5094" i="1" s="1"/>
  <c r="P5095" i="1"/>
  <c r="U5095" i="1" s="1"/>
  <c r="P5096" i="1"/>
  <c r="U5096" i="1" s="1"/>
  <c r="P5097" i="1"/>
  <c r="U5097" i="1" s="1"/>
  <c r="P5098" i="1"/>
  <c r="U5098" i="1" s="1"/>
  <c r="P5099" i="1"/>
  <c r="U5099" i="1" s="1"/>
  <c r="P5100" i="1"/>
  <c r="U5100" i="1" s="1"/>
  <c r="P5101" i="1"/>
  <c r="U5101" i="1" s="1"/>
  <c r="P5102" i="1"/>
  <c r="U5102" i="1" s="1"/>
  <c r="P5103" i="1"/>
  <c r="U5103" i="1" s="1"/>
  <c r="P5104" i="1"/>
  <c r="U5104" i="1" s="1"/>
  <c r="P5105" i="1"/>
  <c r="U5105" i="1" s="1"/>
  <c r="P5106" i="1"/>
  <c r="U5106" i="1" s="1"/>
  <c r="P5107" i="1"/>
  <c r="U5107" i="1" s="1"/>
  <c r="P5108" i="1"/>
  <c r="U5108" i="1" s="1"/>
  <c r="P5109" i="1"/>
  <c r="U5109" i="1" s="1"/>
  <c r="P5110" i="1"/>
  <c r="U5110" i="1" s="1"/>
  <c r="P5111" i="1"/>
  <c r="U5111" i="1" s="1"/>
  <c r="P5112" i="1"/>
  <c r="U5112" i="1" s="1"/>
  <c r="P5113" i="1"/>
  <c r="U5113" i="1" s="1"/>
  <c r="P5114" i="1"/>
  <c r="U5114" i="1" s="1"/>
  <c r="P5115" i="1"/>
  <c r="U5115" i="1" s="1"/>
  <c r="P5116" i="1"/>
  <c r="U5116" i="1" s="1"/>
  <c r="P5117" i="1"/>
  <c r="U5117" i="1" s="1"/>
  <c r="P5118" i="1"/>
  <c r="U5118" i="1" s="1"/>
  <c r="P5119" i="1"/>
  <c r="U5119" i="1" s="1"/>
  <c r="P5120" i="1"/>
  <c r="U5120" i="1" s="1"/>
  <c r="P5121" i="1"/>
  <c r="U5121" i="1" s="1"/>
  <c r="P5122" i="1"/>
  <c r="U5122" i="1" s="1"/>
  <c r="P5123" i="1"/>
  <c r="U5123" i="1" s="1"/>
  <c r="P5124" i="1"/>
  <c r="U5124" i="1" s="1"/>
  <c r="P5125" i="1"/>
  <c r="U5125" i="1" s="1"/>
  <c r="P5126" i="1"/>
  <c r="U5126" i="1" s="1"/>
  <c r="P5127" i="1"/>
  <c r="U5127" i="1" s="1"/>
  <c r="P5128" i="1"/>
  <c r="U5128" i="1" s="1"/>
  <c r="P5129" i="1"/>
  <c r="U5129" i="1" s="1"/>
  <c r="P5130" i="1"/>
  <c r="U5130" i="1" s="1"/>
  <c r="P5131" i="1"/>
  <c r="U5131" i="1" s="1"/>
  <c r="P5132" i="1"/>
  <c r="U5132" i="1" s="1"/>
  <c r="P5133" i="1"/>
  <c r="U5133" i="1" s="1"/>
  <c r="P5134" i="1"/>
  <c r="U5134" i="1" s="1"/>
  <c r="P5135" i="1"/>
  <c r="U5135" i="1" s="1"/>
  <c r="P5136" i="1"/>
  <c r="U5136" i="1" s="1"/>
  <c r="P5137" i="1"/>
  <c r="U5137" i="1" s="1"/>
  <c r="P5138" i="1"/>
  <c r="U5138" i="1" s="1"/>
  <c r="P5139" i="1"/>
  <c r="U5139" i="1" s="1"/>
  <c r="P5140" i="1"/>
  <c r="U5140" i="1" s="1"/>
  <c r="P5141" i="1"/>
  <c r="U5141" i="1" s="1"/>
  <c r="P5142" i="1"/>
  <c r="U5142" i="1" s="1"/>
  <c r="P5143" i="1"/>
  <c r="U5143" i="1" s="1"/>
  <c r="P5144" i="1"/>
  <c r="U5144" i="1" s="1"/>
  <c r="P5145" i="1"/>
  <c r="U5145" i="1" s="1"/>
  <c r="P5146" i="1"/>
  <c r="U5146" i="1" s="1"/>
  <c r="P5147" i="1"/>
  <c r="U5147" i="1" s="1"/>
  <c r="P5148" i="1"/>
  <c r="U5148" i="1" s="1"/>
  <c r="P5150" i="1"/>
  <c r="U5150" i="1" s="1"/>
  <c r="P5151" i="1"/>
  <c r="U5151" i="1" s="1"/>
  <c r="P5152" i="1"/>
  <c r="U5152" i="1" s="1"/>
  <c r="P5153" i="1"/>
  <c r="U5153" i="1" s="1"/>
  <c r="P5154" i="1"/>
  <c r="U5154" i="1" s="1"/>
  <c r="P5155" i="1"/>
  <c r="U5155" i="1" s="1"/>
  <c r="P5156" i="1"/>
  <c r="U5156" i="1" s="1"/>
  <c r="P5157" i="1"/>
  <c r="U5157" i="1" s="1"/>
  <c r="P5158" i="1"/>
  <c r="U5158" i="1" s="1"/>
  <c r="P5159" i="1"/>
  <c r="U5159" i="1" s="1"/>
  <c r="P5160" i="1"/>
  <c r="U5160" i="1" s="1"/>
  <c r="P5161" i="1"/>
  <c r="U5161" i="1" s="1"/>
  <c r="P5162" i="1"/>
  <c r="U5162" i="1" s="1"/>
  <c r="P5163" i="1"/>
  <c r="U5163" i="1" s="1"/>
  <c r="P5164" i="1"/>
  <c r="U5164" i="1" s="1"/>
  <c r="P5165" i="1"/>
  <c r="U5165" i="1" s="1"/>
  <c r="P5166" i="1"/>
  <c r="U5166" i="1" s="1"/>
  <c r="P5167" i="1"/>
  <c r="U5167" i="1" s="1"/>
  <c r="P5168" i="1"/>
  <c r="U5168" i="1" s="1"/>
  <c r="P5169" i="1"/>
  <c r="U5169" i="1" s="1"/>
  <c r="P5170" i="1"/>
  <c r="U5170" i="1" s="1"/>
  <c r="P5171" i="1"/>
  <c r="U5171" i="1" s="1"/>
  <c r="P5172" i="1"/>
  <c r="U5172" i="1" s="1"/>
  <c r="P5173" i="1"/>
  <c r="U5173" i="1" s="1"/>
  <c r="P5174" i="1"/>
  <c r="U5174" i="1" s="1"/>
  <c r="P5175" i="1"/>
  <c r="U5175" i="1" s="1"/>
  <c r="P5176" i="1"/>
  <c r="U5176" i="1" s="1"/>
  <c r="P5177" i="1"/>
  <c r="U5177" i="1" s="1"/>
  <c r="P5178" i="1"/>
  <c r="U5178" i="1" s="1"/>
  <c r="P5179" i="1"/>
  <c r="U5179" i="1" s="1"/>
  <c r="P5180" i="1"/>
  <c r="U5180" i="1" s="1"/>
  <c r="P5181" i="1"/>
  <c r="U5181" i="1" s="1"/>
  <c r="P5182" i="1"/>
  <c r="U5182" i="1" s="1"/>
  <c r="P5183" i="1"/>
  <c r="U5183" i="1" s="1"/>
  <c r="P5184" i="1"/>
  <c r="U5184" i="1" s="1"/>
  <c r="P5185" i="1"/>
  <c r="U5185" i="1" s="1"/>
  <c r="P5186" i="1"/>
  <c r="U5186" i="1" s="1"/>
  <c r="P5187" i="1"/>
  <c r="U5187" i="1" s="1"/>
  <c r="P5188" i="1"/>
  <c r="U5188" i="1" s="1"/>
  <c r="P5189" i="1"/>
  <c r="U5189" i="1" s="1"/>
  <c r="P5190" i="1"/>
  <c r="U5190" i="1" s="1"/>
  <c r="P5191" i="1"/>
  <c r="U5191" i="1" s="1"/>
  <c r="P5192" i="1"/>
  <c r="U5192" i="1" s="1"/>
  <c r="P5193" i="1"/>
  <c r="U5193" i="1" s="1"/>
  <c r="P5194" i="1"/>
  <c r="U5194" i="1" s="1"/>
  <c r="P5195" i="1"/>
  <c r="U5195" i="1" s="1"/>
  <c r="P5196" i="1"/>
  <c r="U5196" i="1" s="1"/>
  <c r="P5197" i="1"/>
  <c r="U5197" i="1" s="1"/>
  <c r="P5198" i="1"/>
  <c r="U5198" i="1" s="1"/>
  <c r="P5199" i="1"/>
  <c r="U5199" i="1" s="1"/>
  <c r="P5200" i="1"/>
  <c r="U5200" i="1" s="1"/>
  <c r="P5202" i="1"/>
  <c r="U5202" i="1" s="1"/>
  <c r="P5203" i="1"/>
  <c r="U5203" i="1" s="1"/>
  <c r="P5204" i="1"/>
  <c r="U5204" i="1" s="1"/>
  <c r="P5205" i="1"/>
  <c r="U5205" i="1" s="1"/>
  <c r="P5206" i="1"/>
  <c r="U5206" i="1" s="1"/>
  <c r="P5207" i="1"/>
  <c r="U5207" i="1" s="1"/>
  <c r="P5208" i="1"/>
  <c r="U5208" i="1" s="1"/>
  <c r="P5209" i="1"/>
  <c r="U5209" i="1" s="1"/>
  <c r="P5210" i="1"/>
  <c r="U5210" i="1" s="1"/>
  <c r="P5211" i="1"/>
  <c r="U5211" i="1" s="1"/>
  <c r="P5212" i="1"/>
  <c r="U5212" i="1" s="1"/>
  <c r="P5213" i="1"/>
  <c r="U5213" i="1" s="1"/>
  <c r="P5214" i="1"/>
  <c r="U5214" i="1" s="1"/>
  <c r="P5215" i="1"/>
  <c r="U5215" i="1" s="1"/>
  <c r="P5216" i="1"/>
  <c r="U5216" i="1" s="1"/>
  <c r="P5217" i="1"/>
  <c r="U5217" i="1" s="1"/>
  <c r="P5218" i="1"/>
  <c r="U5218" i="1" s="1"/>
  <c r="P5219" i="1"/>
  <c r="U5219" i="1" s="1"/>
  <c r="P5220" i="1"/>
  <c r="U5220" i="1" s="1"/>
  <c r="P5221" i="1"/>
  <c r="U5221" i="1" s="1"/>
  <c r="P5222" i="1"/>
  <c r="U5222" i="1" s="1"/>
  <c r="P5223" i="1"/>
  <c r="U5223" i="1" s="1"/>
  <c r="P5224" i="1"/>
  <c r="U5224" i="1" s="1"/>
  <c r="P5225" i="1"/>
  <c r="U5225" i="1" s="1"/>
  <c r="P5226" i="1"/>
  <c r="U5226" i="1" s="1"/>
  <c r="P5227" i="1"/>
  <c r="U5227" i="1" s="1"/>
  <c r="P5228" i="1"/>
  <c r="U5228" i="1" s="1"/>
  <c r="P5230" i="1"/>
  <c r="U5230" i="1" s="1"/>
  <c r="P5231" i="1"/>
  <c r="U5231" i="1" s="1"/>
  <c r="P5232" i="1"/>
  <c r="U5232" i="1" s="1"/>
  <c r="P5233" i="1"/>
  <c r="U5233" i="1" s="1"/>
  <c r="P5234" i="1"/>
  <c r="U5234" i="1" s="1"/>
  <c r="P5235" i="1"/>
  <c r="U5235" i="1" s="1"/>
  <c r="P5236" i="1"/>
  <c r="U5236" i="1" s="1"/>
  <c r="P5237" i="1"/>
  <c r="U5237" i="1" s="1"/>
  <c r="P5238" i="1"/>
  <c r="U5238" i="1" s="1"/>
  <c r="P5239" i="1"/>
  <c r="U5239" i="1" s="1"/>
  <c r="P5240" i="1"/>
  <c r="U5240" i="1" s="1"/>
  <c r="P5241" i="1"/>
  <c r="U5241" i="1" s="1"/>
  <c r="P5242" i="1"/>
  <c r="U5242" i="1" s="1"/>
  <c r="P5243" i="1"/>
  <c r="U5243" i="1" s="1"/>
  <c r="P5244" i="1"/>
  <c r="U5244" i="1" s="1"/>
  <c r="P5245" i="1"/>
  <c r="U5245" i="1" s="1"/>
  <c r="P5246" i="1"/>
  <c r="U5246" i="1" s="1"/>
  <c r="P5247" i="1"/>
  <c r="U5247" i="1" s="1"/>
  <c r="P5248" i="1"/>
  <c r="U5248" i="1" s="1"/>
  <c r="P5249" i="1"/>
  <c r="U5249" i="1" s="1"/>
  <c r="P5250" i="1"/>
  <c r="U5250" i="1" s="1"/>
  <c r="P5251" i="1"/>
  <c r="U5251" i="1" s="1"/>
  <c r="P5252" i="1"/>
  <c r="U5252" i="1" s="1"/>
  <c r="P5253" i="1"/>
  <c r="U5253" i="1" s="1"/>
  <c r="P5254" i="1"/>
  <c r="U5254" i="1" s="1"/>
  <c r="P5255" i="1"/>
  <c r="U5255" i="1" s="1"/>
  <c r="P5257" i="1"/>
  <c r="U5257" i="1" s="1"/>
  <c r="P5258" i="1"/>
  <c r="U5258" i="1" s="1"/>
  <c r="P5259" i="1"/>
  <c r="U5259" i="1" s="1"/>
  <c r="P5260" i="1"/>
  <c r="U5260" i="1" s="1"/>
  <c r="P5261" i="1"/>
  <c r="U5261" i="1" s="1"/>
  <c r="P5262" i="1"/>
  <c r="U5262" i="1" s="1"/>
  <c r="P5263" i="1"/>
  <c r="U5263" i="1" s="1"/>
  <c r="P5264" i="1"/>
  <c r="U5264" i="1" s="1"/>
  <c r="P5265" i="1"/>
  <c r="U5265" i="1" s="1"/>
  <c r="P5266" i="1"/>
  <c r="U5266" i="1" s="1"/>
  <c r="P5267" i="1"/>
  <c r="U5267" i="1" s="1"/>
  <c r="P5268" i="1"/>
  <c r="U5268" i="1" s="1"/>
  <c r="P5269" i="1"/>
  <c r="U5269" i="1" s="1"/>
  <c r="P5270" i="1"/>
  <c r="U5270" i="1" s="1"/>
  <c r="P5271" i="1"/>
  <c r="U5271" i="1" s="1"/>
  <c r="P5272" i="1"/>
  <c r="U5272" i="1" s="1"/>
  <c r="P5273" i="1"/>
  <c r="U5273" i="1" s="1"/>
  <c r="P5274" i="1"/>
  <c r="U5274" i="1" s="1"/>
  <c r="P5275" i="1"/>
  <c r="U5275" i="1" s="1"/>
  <c r="P5276" i="1"/>
  <c r="U5276" i="1" s="1"/>
  <c r="P5277" i="1"/>
  <c r="U5277" i="1" s="1"/>
  <c r="P5278" i="1"/>
  <c r="U5278" i="1" s="1"/>
  <c r="P5279" i="1"/>
  <c r="U5279" i="1" s="1"/>
  <c r="P5280" i="1"/>
  <c r="U5280" i="1" s="1"/>
  <c r="P5281" i="1"/>
  <c r="U5281" i="1" s="1"/>
  <c r="P5282" i="1"/>
  <c r="U5282" i="1" s="1"/>
  <c r="P5283" i="1"/>
  <c r="U5283" i="1" s="1"/>
  <c r="P5284" i="1"/>
  <c r="U5284" i="1" s="1"/>
  <c r="P5285" i="1"/>
  <c r="U5285" i="1" s="1"/>
  <c r="P5286" i="1"/>
  <c r="U5286" i="1" s="1"/>
  <c r="P5287" i="1"/>
  <c r="U5287" i="1" s="1"/>
  <c r="P5288" i="1"/>
  <c r="U5288" i="1" s="1"/>
  <c r="P5289" i="1"/>
  <c r="U5289" i="1" s="1"/>
  <c r="P5290" i="1"/>
  <c r="U5290" i="1" s="1"/>
  <c r="P5291" i="1"/>
  <c r="U5291" i="1" s="1"/>
  <c r="P5292" i="1"/>
  <c r="U5292" i="1" s="1"/>
  <c r="P5293" i="1"/>
  <c r="U5293" i="1" s="1"/>
  <c r="P5294" i="1"/>
  <c r="U5294" i="1" s="1"/>
  <c r="P5295" i="1"/>
  <c r="U5295" i="1" s="1"/>
  <c r="P5296" i="1"/>
  <c r="U5296" i="1" s="1"/>
  <c r="P5297" i="1"/>
  <c r="U5297" i="1" s="1"/>
  <c r="P5298" i="1"/>
  <c r="U5298" i="1" s="1"/>
  <c r="P5299" i="1"/>
  <c r="U5299" i="1" s="1"/>
  <c r="P5300" i="1"/>
  <c r="U5300" i="1" s="1"/>
  <c r="P5301" i="1"/>
  <c r="U5301" i="1" s="1"/>
  <c r="P5302" i="1"/>
  <c r="U5302" i="1" s="1"/>
  <c r="P5303" i="1"/>
  <c r="U5303" i="1" s="1"/>
  <c r="P5304" i="1"/>
  <c r="U5304" i="1" s="1"/>
  <c r="P5305" i="1"/>
  <c r="U5305" i="1" s="1"/>
  <c r="P5306" i="1"/>
  <c r="U5306" i="1" s="1"/>
  <c r="P5307" i="1"/>
  <c r="U5307" i="1" s="1"/>
  <c r="P5308" i="1"/>
  <c r="U5308" i="1" s="1"/>
  <c r="P5309" i="1"/>
  <c r="U5309" i="1" s="1"/>
  <c r="P5310" i="1"/>
  <c r="U5310" i="1" s="1"/>
  <c r="P5311" i="1"/>
  <c r="U5311" i="1" s="1"/>
  <c r="P5312" i="1"/>
  <c r="U5312" i="1" s="1"/>
  <c r="P5313" i="1"/>
  <c r="U5313" i="1" s="1"/>
  <c r="P5314" i="1"/>
  <c r="U5314" i="1" s="1"/>
  <c r="P5315" i="1"/>
  <c r="U5315" i="1" s="1"/>
  <c r="P5316" i="1"/>
  <c r="U5316" i="1" s="1"/>
  <c r="P5317" i="1"/>
  <c r="U5317" i="1" s="1"/>
  <c r="P5318" i="1"/>
  <c r="U5318" i="1" s="1"/>
  <c r="P5319" i="1"/>
  <c r="U5319" i="1" s="1"/>
  <c r="P5320" i="1"/>
  <c r="U5320" i="1" s="1"/>
  <c r="P5321" i="1"/>
  <c r="U5321" i="1" s="1"/>
  <c r="P5322" i="1"/>
  <c r="U5322" i="1" s="1"/>
  <c r="P5323" i="1"/>
  <c r="U5323" i="1" s="1"/>
  <c r="P5324" i="1"/>
  <c r="U5324" i="1" s="1"/>
  <c r="P5325" i="1"/>
  <c r="U5325" i="1" s="1"/>
  <c r="P5326" i="1"/>
  <c r="U5326" i="1" s="1"/>
  <c r="P5327" i="1"/>
  <c r="U5327" i="1" s="1"/>
  <c r="P5328" i="1"/>
  <c r="U5328" i="1" s="1"/>
  <c r="P5329" i="1"/>
  <c r="U5329" i="1" s="1"/>
  <c r="P5330" i="1"/>
  <c r="U5330" i="1" s="1"/>
  <c r="P5331" i="1"/>
  <c r="U5331" i="1" s="1"/>
  <c r="P5332" i="1"/>
  <c r="U5332" i="1" s="1"/>
  <c r="P5333" i="1"/>
  <c r="U5333" i="1" s="1"/>
  <c r="P5334" i="1"/>
  <c r="U5334" i="1" s="1"/>
  <c r="P5335" i="1"/>
  <c r="U5335" i="1" s="1"/>
  <c r="P5336" i="1"/>
  <c r="U5336" i="1" s="1"/>
  <c r="P2" i="1"/>
  <c r="U2" i="1" s="1"/>
  <c r="O3" i="1"/>
  <c r="T3" i="1" s="1"/>
  <c r="O4" i="1"/>
  <c r="T4" i="1" s="1"/>
  <c r="O5" i="1"/>
  <c r="T5" i="1" s="1"/>
  <c r="O6" i="1"/>
  <c r="T6" i="1" s="1"/>
  <c r="O7" i="1"/>
  <c r="T7" i="1" s="1"/>
  <c r="O8" i="1"/>
  <c r="T8" i="1" s="1"/>
  <c r="O9" i="1"/>
  <c r="T9" i="1" s="1"/>
  <c r="O10" i="1"/>
  <c r="T10" i="1" s="1"/>
  <c r="O11" i="1"/>
  <c r="T11" i="1" s="1"/>
  <c r="O12" i="1"/>
  <c r="T12" i="1" s="1"/>
  <c r="O13" i="1"/>
  <c r="T13" i="1" s="1"/>
  <c r="O14" i="1"/>
  <c r="T14" i="1" s="1"/>
  <c r="O15" i="1"/>
  <c r="T15" i="1" s="1"/>
  <c r="O16" i="1"/>
  <c r="T16" i="1" s="1"/>
  <c r="O17" i="1"/>
  <c r="T17" i="1" s="1"/>
  <c r="O18" i="1"/>
  <c r="T18" i="1" s="1"/>
  <c r="O19" i="1"/>
  <c r="T19" i="1" s="1"/>
  <c r="O20" i="1"/>
  <c r="T20" i="1" s="1"/>
  <c r="O21" i="1"/>
  <c r="T21" i="1" s="1"/>
  <c r="O22" i="1"/>
  <c r="T22" i="1" s="1"/>
  <c r="O23" i="1"/>
  <c r="T23" i="1" s="1"/>
  <c r="O24" i="1"/>
  <c r="T24" i="1" s="1"/>
  <c r="O25" i="1"/>
  <c r="T25" i="1" s="1"/>
  <c r="O26" i="1"/>
  <c r="T26" i="1" s="1"/>
  <c r="O27" i="1"/>
  <c r="T27" i="1" s="1"/>
  <c r="O28" i="1"/>
  <c r="T28" i="1" s="1"/>
  <c r="O29" i="1"/>
  <c r="T29" i="1" s="1"/>
  <c r="O30" i="1"/>
  <c r="T30" i="1" s="1"/>
  <c r="O31" i="1"/>
  <c r="T31" i="1" s="1"/>
  <c r="O32" i="1"/>
  <c r="T32" i="1" s="1"/>
  <c r="O33" i="1"/>
  <c r="T33" i="1" s="1"/>
  <c r="O34" i="1"/>
  <c r="T34" i="1" s="1"/>
  <c r="O35" i="1"/>
  <c r="T35" i="1" s="1"/>
  <c r="O36" i="1"/>
  <c r="T36" i="1" s="1"/>
  <c r="O37" i="1"/>
  <c r="T37" i="1" s="1"/>
  <c r="O38" i="1"/>
  <c r="T38" i="1" s="1"/>
  <c r="O39" i="1"/>
  <c r="T39" i="1" s="1"/>
  <c r="O40" i="1"/>
  <c r="T40" i="1" s="1"/>
  <c r="O41" i="1"/>
  <c r="T41" i="1" s="1"/>
  <c r="O42" i="1"/>
  <c r="T42" i="1" s="1"/>
  <c r="O43" i="1"/>
  <c r="T43" i="1" s="1"/>
  <c r="O44" i="1"/>
  <c r="T44" i="1" s="1"/>
  <c r="O45" i="1"/>
  <c r="T45" i="1" s="1"/>
  <c r="O46" i="1"/>
  <c r="T46" i="1" s="1"/>
  <c r="O47" i="1"/>
  <c r="T47" i="1" s="1"/>
  <c r="O48" i="1"/>
  <c r="T48" i="1" s="1"/>
  <c r="O49" i="1"/>
  <c r="T49" i="1" s="1"/>
  <c r="O50" i="1"/>
  <c r="T50" i="1" s="1"/>
  <c r="O51" i="1"/>
  <c r="T51" i="1" s="1"/>
  <c r="O52" i="1"/>
  <c r="T52" i="1" s="1"/>
  <c r="O53" i="1"/>
  <c r="T53" i="1" s="1"/>
  <c r="O54" i="1"/>
  <c r="T54" i="1" s="1"/>
  <c r="O55" i="1"/>
  <c r="T55" i="1" s="1"/>
  <c r="O56" i="1"/>
  <c r="T56" i="1" s="1"/>
  <c r="O57" i="1"/>
  <c r="T57" i="1" s="1"/>
  <c r="O58" i="1"/>
  <c r="T58" i="1" s="1"/>
  <c r="O59" i="1"/>
  <c r="T59" i="1" s="1"/>
  <c r="O60" i="1"/>
  <c r="T60" i="1" s="1"/>
  <c r="O61" i="1"/>
  <c r="T61" i="1" s="1"/>
  <c r="O62" i="1"/>
  <c r="T62" i="1" s="1"/>
  <c r="O63" i="1"/>
  <c r="T63" i="1" s="1"/>
  <c r="O64" i="1"/>
  <c r="T64" i="1" s="1"/>
  <c r="O65" i="1"/>
  <c r="T65" i="1" s="1"/>
  <c r="O66" i="1"/>
  <c r="T66" i="1" s="1"/>
  <c r="O67" i="1"/>
  <c r="T67" i="1" s="1"/>
  <c r="O68" i="1"/>
  <c r="T68" i="1" s="1"/>
  <c r="O69" i="1"/>
  <c r="T69" i="1" s="1"/>
  <c r="O70" i="1"/>
  <c r="T70" i="1" s="1"/>
  <c r="O71" i="1"/>
  <c r="T71" i="1" s="1"/>
  <c r="O72" i="1"/>
  <c r="T72" i="1" s="1"/>
  <c r="O73" i="1"/>
  <c r="T73" i="1" s="1"/>
  <c r="O74" i="1"/>
  <c r="T74" i="1" s="1"/>
  <c r="O75" i="1"/>
  <c r="T75" i="1" s="1"/>
  <c r="O76" i="1"/>
  <c r="T76" i="1" s="1"/>
  <c r="O77" i="1"/>
  <c r="T77" i="1" s="1"/>
  <c r="O78" i="1"/>
  <c r="T78" i="1" s="1"/>
  <c r="O79" i="1"/>
  <c r="T79" i="1" s="1"/>
  <c r="O80" i="1"/>
  <c r="T80" i="1" s="1"/>
  <c r="O81" i="1"/>
  <c r="T81" i="1" s="1"/>
  <c r="O82" i="1"/>
  <c r="T82" i="1" s="1"/>
  <c r="O83" i="1"/>
  <c r="T83" i="1" s="1"/>
  <c r="O84" i="1"/>
  <c r="T84" i="1" s="1"/>
  <c r="O85" i="1"/>
  <c r="T85" i="1" s="1"/>
  <c r="O86" i="1"/>
  <c r="T86" i="1" s="1"/>
  <c r="O87" i="1"/>
  <c r="T87" i="1" s="1"/>
  <c r="O88" i="1"/>
  <c r="T88" i="1" s="1"/>
  <c r="O89" i="1"/>
  <c r="T89" i="1" s="1"/>
  <c r="O90" i="1"/>
  <c r="T90" i="1" s="1"/>
  <c r="O91" i="1"/>
  <c r="T91" i="1" s="1"/>
  <c r="O92" i="1"/>
  <c r="T92" i="1" s="1"/>
  <c r="O93" i="1"/>
  <c r="T93" i="1" s="1"/>
  <c r="O94" i="1"/>
  <c r="T94" i="1" s="1"/>
  <c r="O95" i="1"/>
  <c r="T95" i="1" s="1"/>
  <c r="O96" i="1"/>
  <c r="T96" i="1" s="1"/>
  <c r="O97" i="1"/>
  <c r="T97" i="1" s="1"/>
  <c r="O98" i="1"/>
  <c r="T98" i="1" s="1"/>
  <c r="O99" i="1"/>
  <c r="T99" i="1" s="1"/>
  <c r="O100" i="1"/>
  <c r="T100" i="1" s="1"/>
  <c r="O101" i="1"/>
  <c r="T101" i="1" s="1"/>
  <c r="O102" i="1"/>
  <c r="T102" i="1" s="1"/>
  <c r="O103" i="1"/>
  <c r="T103" i="1" s="1"/>
  <c r="O104" i="1"/>
  <c r="T104" i="1" s="1"/>
  <c r="O105" i="1"/>
  <c r="T105" i="1" s="1"/>
  <c r="O106" i="1"/>
  <c r="T106" i="1" s="1"/>
  <c r="O107" i="1"/>
  <c r="T107" i="1" s="1"/>
  <c r="O108" i="1"/>
  <c r="T108" i="1" s="1"/>
  <c r="O109" i="1"/>
  <c r="T109" i="1" s="1"/>
  <c r="O110" i="1"/>
  <c r="T110" i="1" s="1"/>
  <c r="O111" i="1"/>
  <c r="T111" i="1" s="1"/>
  <c r="O112" i="1"/>
  <c r="T112" i="1" s="1"/>
  <c r="O113" i="1"/>
  <c r="T113" i="1" s="1"/>
  <c r="O114" i="1"/>
  <c r="T114" i="1" s="1"/>
  <c r="O115" i="1"/>
  <c r="T115" i="1" s="1"/>
  <c r="O116" i="1"/>
  <c r="T116" i="1" s="1"/>
  <c r="O117" i="1"/>
  <c r="T117" i="1" s="1"/>
  <c r="O118" i="1"/>
  <c r="T118" i="1" s="1"/>
  <c r="O119" i="1"/>
  <c r="T119" i="1" s="1"/>
  <c r="O120" i="1"/>
  <c r="T120" i="1" s="1"/>
  <c r="O121" i="1"/>
  <c r="T121" i="1" s="1"/>
  <c r="O122" i="1"/>
  <c r="T122" i="1" s="1"/>
  <c r="O123" i="1"/>
  <c r="T123" i="1" s="1"/>
  <c r="O124" i="1"/>
  <c r="T124" i="1" s="1"/>
  <c r="O125" i="1"/>
  <c r="T125" i="1" s="1"/>
  <c r="O126" i="1"/>
  <c r="T126" i="1" s="1"/>
  <c r="O127" i="1"/>
  <c r="T127" i="1" s="1"/>
  <c r="O128" i="1"/>
  <c r="T128" i="1" s="1"/>
  <c r="O129" i="1"/>
  <c r="T129" i="1" s="1"/>
  <c r="O130" i="1"/>
  <c r="T130" i="1" s="1"/>
  <c r="O131" i="1"/>
  <c r="T131" i="1" s="1"/>
  <c r="O132" i="1"/>
  <c r="T132" i="1" s="1"/>
  <c r="O133" i="1"/>
  <c r="T133" i="1" s="1"/>
  <c r="O134" i="1"/>
  <c r="T134" i="1" s="1"/>
  <c r="O135" i="1"/>
  <c r="T135" i="1" s="1"/>
  <c r="O136" i="1"/>
  <c r="T136" i="1" s="1"/>
  <c r="O137" i="1"/>
  <c r="T137" i="1" s="1"/>
  <c r="O138" i="1"/>
  <c r="T138" i="1" s="1"/>
  <c r="O139" i="1"/>
  <c r="T139" i="1" s="1"/>
  <c r="O140" i="1"/>
  <c r="T140" i="1" s="1"/>
  <c r="O141" i="1"/>
  <c r="T141" i="1" s="1"/>
  <c r="O142" i="1"/>
  <c r="T142" i="1" s="1"/>
  <c r="O143" i="1"/>
  <c r="T143" i="1" s="1"/>
  <c r="O144" i="1"/>
  <c r="T144" i="1" s="1"/>
  <c r="O145" i="1"/>
  <c r="T145" i="1" s="1"/>
  <c r="O146" i="1"/>
  <c r="T146" i="1" s="1"/>
  <c r="O147" i="1"/>
  <c r="T147" i="1" s="1"/>
  <c r="O148" i="1"/>
  <c r="T148" i="1" s="1"/>
  <c r="O149" i="1"/>
  <c r="T149" i="1" s="1"/>
  <c r="O150" i="1"/>
  <c r="T150" i="1" s="1"/>
  <c r="O151" i="1"/>
  <c r="T151" i="1" s="1"/>
  <c r="O152" i="1"/>
  <c r="T152" i="1" s="1"/>
  <c r="O153" i="1"/>
  <c r="T153" i="1" s="1"/>
  <c r="O154" i="1"/>
  <c r="T154" i="1" s="1"/>
  <c r="O155" i="1"/>
  <c r="T155" i="1" s="1"/>
  <c r="O156" i="1"/>
  <c r="T156" i="1" s="1"/>
  <c r="O157" i="1"/>
  <c r="T157" i="1" s="1"/>
  <c r="O158" i="1"/>
  <c r="T158" i="1" s="1"/>
  <c r="O159" i="1"/>
  <c r="T159" i="1" s="1"/>
  <c r="O160" i="1"/>
  <c r="T160" i="1" s="1"/>
  <c r="O161" i="1"/>
  <c r="T161" i="1" s="1"/>
  <c r="O162" i="1"/>
  <c r="T162" i="1" s="1"/>
  <c r="O163" i="1"/>
  <c r="T163" i="1" s="1"/>
  <c r="O164" i="1"/>
  <c r="T164" i="1" s="1"/>
  <c r="O165" i="1"/>
  <c r="T165" i="1" s="1"/>
  <c r="O166" i="1"/>
  <c r="T166" i="1" s="1"/>
  <c r="O167" i="1"/>
  <c r="T167" i="1" s="1"/>
  <c r="O168" i="1"/>
  <c r="T168" i="1" s="1"/>
  <c r="O169" i="1"/>
  <c r="T169" i="1" s="1"/>
  <c r="O170" i="1"/>
  <c r="T170" i="1" s="1"/>
  <c r="O171" i="1"/>
  <c r="T171" i="1" s="1"/>
  <c r="O172" i="1"/>
  <c r="T172" i="1" s="1"/>
  <c r="O173" i="1"/>
  <c r="T173" i="1" s="1"/>
  <c r="O174" i="1"/>
  <c r="T174" i="1" s="1"/>
  <c r="O175" i="1"/>
  <c r="T175" i="1" s="1"/>
  <c r="O176" i="1"/>
  <c r="T176" i="1" s="1"/>
  <c r="O177" i="1"/>
  <c r="T177" i="1" s="1"/>
  <c r="O178" i="1"/>
  <c r="T178" i="1" s="1"/>
  <c r="O179" i="1"/>
  <c r="T179" i="1" s="1"/>
  <c r="O180" i="1"/>
  <c r="T180" i="1" s="1"/>
  <c r="O181" i="1"/>
  <c r="T181" i="1" s="1"/>
  <c r="O182" i="1"/>
  <c r="T182" i="1" s="1"/>
  <c r="O183" i="1"/>
  <c r="T183" i="1" s="1"/>
  <c r="O184" i="1"/>
  <c r="T184" i="1" s="1"/>
  <c r="O185" i="1"/>
  <c r="T185" i="1" s="1"/>
  <c r="O186" i="1"/>
  <c r="T186" i="1" s="1"/>
  <c r="O187" i="1"/>
  <c r="T187" i="1" s="1"/>
  <c r="O188" i="1"/>
  <c r="T188" i="1" s="1"/>
  <c r="O189" i="1"/>
  <c r="T189" i="1" s="1"/>
  <c r="O190" i="1"/>
  <c r="T190" i="1" s="1"/>
  <c r="O191" i="1"/>
  <c r="T191" i="1" s="1"/>
  <c r="O192" i="1"/>
  <c r="T192" i="1" s="1"/>
  <c r="O193" i="1"/>
  <c r="T193" i="1" s="1"/>
  <c r="O194" i="1"/>
  <c r="T194" i="1" s="1"/>
  <c r="O195" i="1"/>
  <c r="T195" i="1" s="1"/>
  <c r="O196" i="1"/>
  <c r="T196" i="1" s="1"/>
  <c r="O197" i="1"/>
  <c r="T197" i="1" s="1"/>
  <c r="O198" i="1"/>
  <c r="T198" i="1" s="1"/>
  <c r="O199" i="1"/>
  <c r="T199" i="1" s="1"/>
  <c r="O200" i="1"/>
  <c r="T200" i="1" s="1"/>
  <c r="O201" i="1"/>
  <c r="T201" i="1" s="1"/>
  <c r="O202" i="1"/>
  <c r="T202" i="1" s="1"/>
  <c r="O203" i="1"/>
  <c r="T203" i="1" s="1"/>
  <c r="O204" i="1"/>
  <c r="T204" i="1" s="1"/>
  <c r="O205" i="1"/>
  <c r="T205" i="1" s="1"/>
  <c r="O206" i="1"/>
  <c r="T206" i="1" s="1"/>
  <c r="O207" i="1"/>
  <c r="T207" i="1" s="1"/>
  <c r="O208" i="1"/>
  <c r="T208" i="1" s="1"/>
  <c r="O209" i="1"/>
  <c r="T209" i="1" s="1"/>
  <c r="O210" i="1"/>
  <c r="T210" i="1" s="1"/>
  <c r="O211" i="1"/>
  <c r="T211" i="1" s="1"/>
  <c r="O212" i="1"/>
  <c r="T212" i="1" s="1"/>
  <c r="O213" i="1"/>
  <c r="T213" i="1" s="1"/>
  <c r="O214" i="1"/>
  <c r="T214" i="1" s="1"/>
  <c r="O215" i="1"/>
  <c r="T215" i="1" s="1"/>
  <c r="O216" i="1"/>
  <c r="T216" i="1" s="1"/>
  <c r="O217" i="1"/>
  <c r="T217" i="1" s="1"/>
  <c r="O218" i="1"/>
  <c r="T218" i="1" s="1"/>
  <c r="O219" i="1"/>
  <c r="T219" i="1" s="1"/>
  <c r="O220" i="1"/>
  <c r="T220" i="1" s="1"/>
  <c r="O221" i="1"/>
  <c r="T221" i="1" s="1"/>
  <c r="O222" i="1"/>
  <c r="T222" i="1" s="1"/>
  <c r="O223" i="1"/>
  <c r="T223" i="1" s="1"/>
  <c r="O224" i="1"/>
  <c r="T224" i="1" s="1"/>
  <c r="O225" i="1"/>
  <c r="T225" i="1" s="1"/>
  <c r="O226" i="1"/>
  <c r="T226" i="1" s="1"/>
  <c r="O227" i="1"/>
  <c r="T227" i="1" s="1"/>
  <c r="O228" i="1"/>
  <c r="T228" i="1" s="1"/>
  <c r="O229" i="1"/>
  <c r="T229" i="1" s="1"/>
  <c r="O230" i="1"/>
  <c r="T230" i="1" s="1"/>
  <c r="O231" i="1"/>
  <c r="T231" i="1" s="1"/>
  <c r="O232" i="1"/>
  <c r="T232" i="1" s="1"/>
  <c r="O233" i="1"/>
  <c r="T233" i="1" s="1"/>
  <c r="O234" i="1"/>
  <c r="T234" i="1" s="1"/>
  <c r="O235" i="1"/>
  <c r="T235" i="1" s="1"/>
  <c r="O236" i="1"/>
  <c r="T236" i="1" s="1"/>
  <c r="O237" i="1"/>
  <c r="T237" i="1" s="1"/>
  <c r="O238" i="1"/>
  <c r="T238" i="1" s="1"/>
  <c r="O239" i="1"/>
  <c r="T239" i="1" s="1"/>
  <c r="O240" i="1"/>
  <c r="T240" i="1" s="1"/>
  <c r="O241" i="1"/>
  <c r="T241" i="1" s="1"/>
  <c r="O242" i="1"/>
  <c r="T242" i="1" s="1"/>
  <c r="O243" i="1"/>
  <c r="T243" i="1" s="1"/>
  <c r="O244" i="1"/>
  <c r="T244" i="1" s="1"/>
  <c r="O245" i="1"/>
  <c r="T245" i="1" s="1"/>
  <c r="O246" i="1"/>
  <c r="T246" i="1" s="1"/>
  <c r="O247" i="1"/>
  <c r="T247" i="1" s="1"/>
  <c r="O248" i="1"/>
  <c r="T248" i="1" s="1"/>
  <c r="O249" i="1"/>
  <c r="T249" i="1" s="1"/>
  <c r="O250" i="1"/>
  <c r="T250" i="1" s="1"/>
  <c r="O251" i="1"/>
  <c r="T251" i="1" s="1"/>
  <c r="O252" i="1"/>
  <c r="T252" i="1" s="1"/>
  <c r="O253" i="1"/>
  <c r="T253" i="1" s="1"/>
  <c r="O254" i="1"/>
  <c r="T254" i="1" s="1"/>
  <c r="O255" i="1"/>
  <c r="T255" i="1" s="1"/>
  <c r="O256" i="1"/>
  <c r="T256" i="1" s="1"/>
  <c r="O257" i="1"/>
  <c r="T257" i="1" s="1"/>
  <c r="O258" i="1"/>
  <c r="T258" i="1" s="1"/>
  <c r="O259" i="1"/>
  <c r="T259" i="1" s="1"/>
  <c r="O260" i="1"/>
  <c r="T260" i="1" s="1"/>
  <c r="O261" i="1"/>
  <c r="T261" i="1" s="1"/>
  <c r="O262" i="1"/>
  <c r="T262" i="1" s="1"/>
  <c r="O263" i="1"/>
  <c r="T263" i="1" s="1"/>
  <c r="O264" i="1"/>
  <c r="T264" i="1" s="1"/>
  <c r="O265" i="1"/>
  <c r="T265" i="1" s="1"/>
  <c r="O266" i="1"/>
  <c r="T266" i="1" s="1"/>
  <c r="O267" i="1"/>
  <c r="T267" i="1" s="1"/>
  <c r="O268" i="1"/>
  <c r="T268" i="1" s="1"/>
  <c r="O269" i="1"/>
  <c r="T269" i="1" s="1"/>
  <c r="O270" i="1"/>
  <c r="T270" i="1" s="1"/>
  <c r="O271" i="1"/>
  <c r="T271" i="1" s="1"/>
  <c r="O272" i="1"/>
  <c r="T272" i="1" s="1"/>
  <c r="O273" i="1"/>
  <c r="T273" i="1" s="1"/>
  <c r="O274" i="1"/>
  <c r="T274" i="1" s="1"/>
  <c r="O275" i="1"/>
  <c r="T275" i="1" s="1"/>
  <c r="O276" i="1"/>
  <c r="T276" i="1" s="1"/>
  <c r="O277" i="1"/>
  <c r="T277" i="1" s="1"/>
  <c r="O278" i="1"/>
  <c r="T278" i="1" s="1"/>
  <c r="O279" i="1"/>
  <c r="T279" i="1" s="1"/>
  <c r="O280" i="1"/>
  <c r="T280" i="1" s="1"/>
  <c r="O281" i="1"/>
  <c r="T281" i="1" s="1"/>
  <c r="O282" i="1"/>
  <c r="T282" i="1" s="1"/>
  <c r="O283" i="1"/>
  <c r="T283" i="1" s="1"/>
  <c r="O284" i="1"/>
  <c r="T284" i="1" s="1"/>
  <c r="O285" i="1"/>
  <c r="T285" i="1" s="1"/>
  <c r="O286" i="1"/>
  <c r="T286" i="1" s="1"/>
  <c r="O287" i="1"/>
  <c r="T287" i="1" s="1"/>
  <c r="O288" i="1"/>
  <c r="T288" i="1" s="1"/>
  <c r="O289" i="1"/>
  <c r="T289" i="1" s="1"/>
  <c r="O290" i="1"/>
  <c r="T290" i="1" s="1"/>
  <c r="O291" i="1"/>
  <c r="T291" i="1" s="1"/>
  <c r="O292" i="1"/>
  <c r="T292" i="1" s="1"/>
  <c r="O293" i="1"/>
  <c r="T293" i="1" s="1"/>
  <c r="O294" i="1"/>
  <c r="T294" i="1" s="1"/>
  <c r="O295" i="1"/>
  <c r="T295" i="1" s="1"/>
  <c r="O296" i="1"/>
  <c r="T296" i="1" s="1"/>
  <c r="O297" i="1"/>
  <c r="T297" i="1" s="1"/>
  <c r="O298" i="1"/>
  <c r="T298" i="1" s="1"/>
  <c r="O299" i="1"/>
  <c r="T299" i="1" s="1"/>
  <c r="O300" i="1"/>
  <c r="T300" i="1" s="1"/>
  <c r="O301" i="1"/>
  <c r="T301" i="1" s="1"/>
  <c r="O302" i="1"/>
  <c r="T302" i="1" s="1"/>
  <c r="O303" i="1"/>
  <c r="T303" i="1" s="1"/>
  <c r="O304" i="1"/>
  <c r="T304" i="1" s="1"/>
  <c r="O305" i="1"/>
  <c r="T305" i="1" s="1"/>
  <c r="O306" i="1"/>
  <c r="T306" i="1" s="1"/>
  <c r="O307" i="1"/>
  <c r="T307" i="1" s="1"/>
  <c r="O308" i="1"/>
  <c r="T308" i="1" s="1"/>
  <c r="O309" i="1"/>
  <c r="T309" i="1" s="1"/>
  <c r="O310" i="1"/>
  <c r="T310" i="1" s="1"/>
  <c r="O311" i="1"/>
  <c r="T311" i="1" s="1"/>
  <c r="O312" i="1"/>
  <c r="T312" i="1" s="1"/>
  <c r="O313" i="1"/>
  <c r="T313" i="1" s="1"/>
  <c r="O314" i="1"/>
  <c r="T314" i="1" s="1"/>
  <c r="O315" i="1"/>
  <c r="T315" i="1" s="1"/>
  <c r="O316" i="1"/>
  <c r="T316" i="1" s="1"/>
  <c r="O317" i="1"/>
  <c r="T317" i="1" s="1"/>
  <c r="O318" i="1"/>
  <c r="T318" i="1" s="1"/>
  <c r="O319" i="1"/>
  <c r="T319" i="1" s="1"/>
  <c r="O320" i="1"/>
  <c r="T320" i="1" s="1"/>
  <c r="O321" i="1"/>
  <c r="T321" i="1" s="1"/>
  <c r="O322" i="1"/>
  <c r="T322" i="1" s="1"/>
  <c r="O323" i="1"/>
  <c r="T323" i="1" s="1"/>
  <c r="O324" i="1"/>
  <c r="T324" i="1" s="1"/>
  <c r="O325" i="1"/>
  <c r="T325" i="1" s="1"/>
  <c r="O326" i="1"/>
  <c r="T326" i="1" s="1"/>
  <c r="O327" i="1"/>
  <c r="T327" i="1" s="1"/>
  <c r="O328" i="1"/>
  <c r="T328" i="1" s="1"/>
  <c r="O329" i="1"/>
  <c r="T329" i="1" s="1"/>
  <c r="O330" i="1"/>
  <c r="T330" i="1" s="1"/>
  <c r="O331" i="1"/>
  <c r="T331" i="1" s="1"/>
  <c r="O332" i="1"/>
  <c r="T332" i="1" s="1"/>
  <c r="O333" i="1"/>
  <c r="T333" i="1" s="1"/>
  <c r="O334" i="1"/>
  <c r="T334" i="1" s="1"/>
  <c r="O335" i="1"/>
  <c r="T335" i="1" s="1"/>
  <c r="O336" i="1"/>
  <c r="T336" i="1" s="1"/>
  <c r="O337" i="1"/>
  <c r="T337" i="1" s="1"/>
  <c r="O338" i="1"/>
  <c r="T338" i="1" s="1"/>
  <c r="O339" i="1"/>
  <c r="T339" i="1" s="1"/>
  <c r="O340" i="1"/>
  <c r="T340" i="1" s="1"/>
  <c r="O341" i="1"/>
  <c r="T341" i="1" s="1"/>
  <c r="O342" i="1"/>
  <c r="T342" i="1" s="1"/>
  <c r="O343" i="1"/>
  <c r="T343" i="1" s="1"/>
  <c r="O344" i="1"/>
  <c r="T344" i="1" s="1"/>
  <c r="O345" i="1"/>
  <c r="T345" i="1" s="1"/>
  <c r="O346" i="1"/>
  <c r="T346" i="1" s="1"/>
  <c r="O347" i="1"/>
  <c r="T347" i="1" s="1"/>
  <c r="O348" i="1"/>
  <c r="T348" i="1" s="1"/>
  <c r="O349" i="1"/>
  <c r="T349" i="1" s="1"/>
  <c r="O350" i="1"/>
  <c r="T350" i="1" s="1"/>
  <c r="O351" i="1"/>
  <c r="T351" i="1" s="1"/>
  <c r="O352" i="1"/>
  <c r="T352" i="1" s="1"/>
  <c r="O353" i="1"/>
  <c r="T353" i="1" s="1"/>
  <c r="O354" i="1"/>
  <c r="T354" i="1" s="1"/>
  <c r="O355" i="1"/>
  <c r="T355" i="1" s="1"/>
  <c r="O356" i="1"/>
  <c r="T356" i="1" s="1"/>
  <c r="O357" i="1"/>
  <c r="T357" i="1" s="1"/>
  <c r="O358" i="1"/>
  <c r="T358" i="1" s="1"/>
  <c r="O359" i="1"/>
  <c r="T359" i="1" s="1"/>
  <c r="O360" i="1"/>
  <c r="T360" i="1" s="1"/>
  <c r="O361" i="1"/>
  <c r="T361" i="1" s="1"/>
  <c r="O362" i="1"/>
  <c r="T362" i="1" s="1"/>
  <c r="O363" i="1"/>
  <c r="T363" i="1" s="1"/>
  <c r="O364" i="1"/>
  <c r="T364" i="1" s="1"/>
  <c r="O365" i="1"/>
  <c r="T365" i="1" s="1"/>
  <c r="O366" i="1"/>
  <c r="T366" i="1" s="1"/>
  <c r="O367" i="1"/>
  <c r="T367" i="1" s="1"/>
  <c r="O368" i="1"/>
  <c r="T368" i="1" s="1"/>
  <c r="O369" i="1"/>
  <c r="T369" i="1" s="1"/>
  <c r="O370" i="1"/>
  <c r="T370" i="1" s="1"/>
  <c r="O371" i="1"/>
  <c r="T371" i="1" s="1"/>
  <c r="O372" i="1"/>
  <c r="T372" i="1" s="1"/>
  <c r="O373" i="1"/>
  <c r="T373" i="1" s="1"/>
  <c r="O374" i="1"/>
  <c r="T374" i="1" s="1"/>
  <c r="O375" i="1"/>
  <c r="T375" i="1" s="1"/>
  <c r="O376" i="1"/>
  <c r="T376" i="1" s="1"/>
  <c r="O377" i="1"/>
  <c r="T377" i="1" s="1"/>
  <c r="O378" i="1"/>
  <c r="T378" i="1" s="1"/>
  <c r="O379" i="1"/>
  <c r="T379" i="1" s="1"/>
  <c r="O380" i="1"/>
  <c r="T380" i="1" s="1"/>
  <c r="O381" i="1"/>
  <c r="T381" i="1" s="1"/>
  <c r="O382" i="1"/>
  <c r="T382" i="1" s="1"/>
  <c r="O383" i="1"/>
  <c r="T383" i="1" s="1"/>
  <c r="O384" i="1"/>
  <c r="T384" i="1" s="1"/>
  <c r="O385" i="1"/>
  <c r="T385" i="1" s="1"/>
  <c r="O386" i="1"/>
  <c r="T386" i="1" s="1"/>
  <c r="O387" i="1"/>
  <c r="T387" i="1" s="1"/>
  <c r="O388" i="1"/>
  <c r="T388" i="1" s="1"/>
  <c r="O389" i="1"/>
  <c r="T389" i="1" s="1"/>
  <c r="O390" i="1"/>
  <c r="T390" i="1" s="1"/>
  <c r="O391" i="1"/>
  <c r="T391" i="1" s="1"/>
  <c r="O392" i="1"/>
  <c r="T392" i="1" s="1"/>
  <c r="O393" i="1"/>
  <c r="T393" i="1" s="1"/>
  <c r="O394" i="1"/>
  <c r="T394" i="1" s="1"/>
  <c r="O395" i="1"/>
  <c r="T395" i="1" s="1"/>
  <c r="O396" i="1"/>
  <c r="T396" i="1" s="1"/>
  <c r="O397" i="1"/>
  <c r="T397" i="1" s="1"/>
  <c r="O398" i="1"/>
  <c r="T398" i="1" s="1"/>
  <c r="O399" i="1"/>
  <c r="T399" i="1" s="1"/>
  <c r="O400" i="1"/>
  <c r="T400" i="1" s="1"/>
  <c r="O401" i="1"/>
  <c r="T401" i="1" s="1"/>
  <c r="O402" i="1"/>
  <c r="T402" i="1" s="1"/>
  <c r="O403" i="1"/>
  <c r="T403" i="1" s="1"/>
  <c r="O404" i="1"/>
  <c r="T404" i="1" s="1"/>
  <c r="O405" i="1"/>
  <c r="T405" i="1" s="1"/>
  <c r="O406" i="1"/>
  <c r="T406" i="1" s="1"/>
  <c r="O407" i="1"/>
  <c r="T407" i="1" s="1"/>
  <c r="O408" i="1"/>
  <c r="T408" i="1" s="1"/>
  <c r="O409" i="1"/>
  <c r="T409" i="1" s="1"/>
  <c r="O410" i="1"/>
  <c r="T410" i="1" s="1"/>
  <c r="O411" i="1"/>
  <c r="T411" i="1" s="1"/>
  <c r="O412" i="1"/>
  <c r="T412" i="1" s="1"/>
  <c r="O413" i="1"/>
  <c r="T413" i="1" s="1"/>
  <c r="O414" i="1"/>
  <c r="T414" i="1" s="1"/>
  <c r="O415" i="1"/>
  <c r="T415" i="1" s="1"/>
  <c r="O416" i="1"/>
  <c r="T416" i="1" s="1"/>
  <c r="O417" i="1"/>
  <c r="T417" i="1" s="1"/>
  <c r="O418" i="1"/>
  <c r="T418" i="1" s="1"/>
  <c r="O419" i="1"/>
  <c r="T419" i="1" s="1"/>
  <c r="O420" i="1"/>
  <c r="T420" i="1" s="1"/>
  <c r="O421" i="1"/>
  <c r="T421" i="1" s="1"/>
  <c r="O422" i="1"/>
  <c r="T422" i="1" s="1"/>
  <c r="O423" i="1"/>
  <c r="T423" i="1" s="1"/>
  <c r="O424" i="1"/>
  <c r="T424" i="1" s="1"/>
  <c r="O425" i="1"/>
  <c r="T425" i="1" s="1"/>
  <c r="O426" i="1"/>
  <c r="T426" i="1" s="1"/>
  <c r="O427" i="1"/>
  <c r="T427" i="1" s="1"/>
  <c r="O428" i="1"/>
  <c r="T428" i="1" s="1"/>
  <c r="O429" i="1"/>
  <c r="T429" i="1" s="1"/>
  <c r="O430" i="1"/>
  <c r="T430" i="1" s="1"/>
  <c r="O431" i="1"/>
  <c r="T431" i="1" s="1"/>
  <c r="O432" i="1"/>
  <c r="T432" i="1" s="1"/>
  <c r="O433" i="1"/>
  <c r="T433" i="1" s="1"/>
  <c r="O434" i="1"/>
  <c r="T434" i="1" s="1"/>
  <c r="O435" i="1"/>
  <c r="T435" i="1" s="1"/>
  <c r="O436" i="1"/>
  <c r="T436" i="1" s="1"/>
  <c r="O437" i="1"/>
  <c r="T437" i="1" s="1"/>
  <c r="O438" i="1"/>
  <c r="T438" i="1" s="1"/>
  <c r="O439" i="1"/>
  <c r="T439" i="1" s="1"/>
  <c r="O440" i="1"/>
  <c r="T440" i="1" s="1"/>
  <c r="O441" i="1"/>
  <c r="T441" i="1" s="1"/>
  <c r="O442" i="1"/>
  <c r="T442" i="1" s="1"/>
  <c r="O443" i="1"/>
  <c r="T443" i="1" s="1"/>
  <c r="O444" i="1"/>
  <c r="T444" i="1" s="1"/>
  <c r="O445" i="1"/>
  <c r="T445" i="1" s="1"/>
  <c r="O446" i="1"/>
  <c r="T446" i="1" s="1"/>
  <c r="O447" i="1"/>
  <c r="T447" i="1" s="1"/>
  <c r="O448" i="1"/>
  <c r="T448" i="1" s="1"/>
  <c r="O449" i="1"/>
  <c r="T449" i="1" s="1"/>
  <c r="O450" i="1"/>
  <c r="T450" i="1" s="1"/>
  <c r="O451" i="1"/>
  <c r="T451" i="1" s="1"/>
  <c r="O452" i="1"/>
  <c r="T452" i="1" s="1"/>
  <c r="O453" i="1"/>
  <c r="T453" i="1" s="1"/>
  <c r="O454" i="1"/>
  <c r="T454" i="1" s="1"/>
  <c r="O455" i="1"/>
  <c r="T455" i="1" s="1"/>
  <c r="O456" i="1"/>
  <c r="T456" i="1" s="1"/>
  <c r="O457" i="1"/>
  <c r="T457" i="1" s="1"/>
  <c r="O458" i="1"/>
  <c r="T458" i="1" s="1"/>
  <c r="O459" i="1"/>
  <c r="T459" i="1" s="1"/>
  <c r="O460" i="1"/>
  <c r="T460" i="1" s="1"/>
  <c r="O461" i="1"/>
  <c r="T461" i="1" s="1"/>
  <c r="O462" i="1"/>
  <c r="T462" i="1" s="1"/>
  <c r="O463" i="1"/>
  <c r="T463" i="1" s="1"/>
  <c r="O464" i="1"/>
  <c r="T464" i="1" s="1"/>
  <c r="O465" i="1"/>
  <c r="T465" i="1" s="1"/>
  <c r="O466" i="1"/>
  <c r="T466" i="1" s="1"/>
  <c r="O467" i="1"/>
  <c r="T467" i="1" s="1"/>
  <c r="O468" i="1"/>
  <c r="T468" i="1" s="1"/>
  <c r="O469" i="1"/>
  <c r="T469" i="1" s="1"/>
  <c r="O470" i="1"/>
  <c r="T470" i="1" s="1"/>
  <c r="O471" i="1"/>
  <c r="T471" i="1" s="1"/>
  <c r="O472" i="1"/>
  <c r="T472" i="1" s="1"/>
  <c r="O473" i="1"/>
  <c r="T473" i="1" s="1"/>
  <c r="O474" i="1"/>
  <c r="T474" i="1" s="1"/>
  <c r="O475" i="1"/>
  <c r="T475" i="1" s="1"/>
  <c r="O476" i="1"/>
  <c r="T476" i="1" s="1"/>
  <c r="O477" i="1"/>
  <c r="T477" i="1" s="1"/>
  <c r="O478" i="1"/>
  <c r="T478" i="1" s="1"/>
  <c r="O479" i="1"/>
  <c r="T479" i="1" s="1"/>
  <c r="O480" i="1"/>
  <c r="T480" i="1" s="1"/>
  <c r="O481" i="1"/>
  <c r="T481" i="1" s="1"/>
  <c r="O482" i="1"/>
  <c r="T482" i="1" s="1"/>
  <c r="O483" i="1"/>
  <c r="T483" i="1" s="1"/>
  <c r="O484" i="1"/>
  <c r="T484" i="1" s="1"/>
  <c r="O485" i="1"/>
  <c r="T485" i="1" s="1"/>
  <c r="O486" i="1"/>
  <c r="T486" i="1" s="1"/>
  <c r="O487" i="1"/>
  <c r="T487" i="1" s="1"/>
  <c r="O488" i="1"/>
  <c r="T488" i="1" s="1"/>
  <c r="O489" i="1"/>
  <c r="T489" i="1" s="1"/>
  <c r="O490" i="1"/>
  <c r="T490" i="1" s="1"/>
  <c r="O491" i="1"/>
  <c r="T491" i="1" s="1"/>
  <c r="O492" i="1"/>
  <c r="T492" i="1" s="1"/>
  <c r="O493" i="1"/>
  <c r="T493" i="1" s="1"/>
  <c r="O494" i="1"/>
  <c r="T494" i="1" s="1"/>
  <c r="O495" i="1"/>
  <c r="T495" i="1" s="1"/>
  <c r="O496" i="1"/>
  <c r="T496" i="1" s="1"/>
  <c r="O497" i="1"/>
  <c r="T497" i="1" s="1"/>
  <c r="O498" i="1"/>
  <c r="T498" i="1" s="1"/>
  <c r="O499" i="1"/>
  <c r="T499" i="1" s="1"/>
  <c r="O500" i="1"/>
  <c r="T500" i="1" s="1"/>
  <c r="O501" i="1"/>
  <c r="T501" i="1" s="1"/>
  <c r="O502" i="1"/>
  <c r="T502" i="1" s="1"/>
  <c r="O503" i="1"/>
  <c r="T503" i="1" s="1"/>
  <c r="O504" i="1"/>
  <c r="T504" i="1" s="1"/>
  <c r="O505" i="1"/>
  <c r="T505" i="1" s="1"/>
  <c r="O506" i="1"/>
  <c r="T506" i="1" s="1"/>
  <c r="O507" i="1"/>
  <c r="T507" i="1" s="1"/>
  <c r="O508" i="1"/>
  <c r="T508" i="1" s="1"/>
  <c r="O509" i="1"/>
  <c r="T509" i="1" s="1"/>
  <c r="O510" i="1"/>
  <c r="T510" i="1" s="1"/>
  <c r="O511" i="1"/>
  <c r="T511" i="1" s="1"/>
  <c r="O512" i="1"/>
  <c r="T512" i="1" s="1"/>
  <c r="O513" i="1"/>
  <c r="T513" i="1" s="1"/>
  <c r="O514" i="1"/>
  <c r="T514" i="1" s="1"/>
  <c r="O515" i="1"/>
  <c r="T515" i="1" s="1"/>
  <c r="O516" i="1"/>
  <c r="T516" i="1" s="1"/>
  <c r="O517" i="1"/>
  <c r="T517" i="1" s="1"/>
  <c r="O518" i="1"/>
  <c r="T518" i="1" s="1"/>
  <c r="O519" i="1"/>
  <c r="T519" i="1" s="1"/>
  <c r="O520" i="1"/>
  <c r="T520" i="1" s="1"/>
  <c r="O521" i="1"/>
  <c r="T521" i="1" s="1"/>
  <c r="O522" i="1"/>
  <c r="T522" i="1" s="1"/>
  <c r="O523" i="1"/>
  <c r="T523" i="1" s="1"/>
  <c r="O524" i="1"/>
  <c r="T524" i="1" s="1"/>
  <c r="O525" i="1"/>
  <c r="T525" i="1" s="1"/>
  <c r="O526" i="1"/>
  <c r="T526" i="1" s="1"/>
  <c r="O527" i="1"/>
  <c r="T527" i="1" s="1"/>
  <c r="O528" i="1"/>
  <c r="T528" i="1" s="1"/>
  <c r="O529" i="1"/>
  <c r="T529" i="1" s="1"/>
  <c r="O530" i="1"/>
  <c r="T530" i="1" s="1"/>
  <c r="O531" i="1"/>
  <c r="T531" i="1" s="1"/>
  <c r="O532" i="1"/>
  <c r="T532" i="1" s="1"/>
  <c r="O533" i="1"/>
  <c r="T533" i="1" s="1"/>
  <c r="O534" i="1"/>
  <c r="T534" i="1" s="1"/>
  <c r="O535" i="1"/>
  <c r="T535" i="1" s="1"/>
  <c r="O536" i="1"/>
  <c r="T536" i="1" s="1"/>
  <c r="O537" i="1"/>
  <c r="T537" i="1" s="1"/>
  <c r="O538" i="1"/>
  <c r="T538" i="1" s="1"/>
  <c r="O539" i="1"/>
  <c r="T539" i="1" s="1"/>
  <c r="O540" i="1"/>
  <c r="T540" i="1" s="1"/>
  <c r="O541" i="1"/>
  <c r="T541" i="1" s="1"/>
  <c r="O542" i="1"/>
  <c r="T542" i="1" s="1"/>
  <c r="O543" i="1"/>
  <c r="T543" i="1" s="1"/>
  <c r="O544" i="1"/>
  <c r="T544" i="1" s="1"/>
  <c r="O545" i="1"/>
  <c r="T545" i="1" s="1"/>
  <c r="O546" i="1"/>
  <c r="T546" i="1" s="1"/>
  <c r="O547" i="1"/>
  <c r="T547" i="1" s="1"/>
  <c r="O548" i="1"/>
  <c r="T548" i="1" s="1"/>
  <c r="O549" i="1"/>
  <c r="T549" i="1" s="1"/>
  <c r="O550" i="1"/>
  <c r="T550" i="1" s="1"/>
  <c r="O551" i="1"/>
  <c r="T551" i="1" s="1"/>
  <c r="O552" i="1"/>
  <c r="T552" i="1" s="1"/>
  <c r="O553" i="1"/>
  <c r="T553" i="1" s="1"/>
  <c r="O554" i="1"/>
  <c r="T554" i="1" s="1"/>
  <c r="O555" i="1"/>
  <c r="T555" i="1" s="1"/>
  <c r="O556" i="1"/>
  <c r="T556" i="1" s="1"/>
  <c r="O557" i="1"/>
  <c r="T557" i="1" s="1"/>
  <c r="O558" i="1"/>
  <c r="T558" i="1" s="1"/>
  <c r="O559" i="1"/>
  <c r="T559" i="1" s="1"/>
  <c r="O560" i="1"/>
  <c r="T560" i="1" s="1"/>
  <c r="O561" i="1"/>
  <c r="T561" i="1" s="1"/>
  <c r="O562" i="1"/>
  <c r="T562" i="1" s="1"/>
  <c r="O563" i="1"/>
  <c r="T563" i="1" s="1"/>
  <c r="O564" i="1"/>
  <c r="T564" i="1" s="1"/>
  <c r="O565" i="1"/>
  <c r="T565" i="1" s="1"/>
  <c r="O566" i="1"/>
  <c r="T566" i="1" s="1"/>
  <c r="O567" i="1"/>
  <c r="T567" i="1" s="1"/>
  <c r="O568" i="1"/>
  <c r="T568" i="1" s="1"/>
  <c r="O569" i="1"/>
  <c r="T569" i="1" s="1"/>
  <c r="O570" i="1"/>
  <c r="T570" i="1" s="1"/>
  <c r="O571" i="1"/>
  <c r="T571" i="1" s="1"/>
  <c r="O572" i="1"/>
  <c r="T572" i="1" s="1"/>
  <c r="O573" i="1"/>
  <c r="T573" i="1" s="1"/>
  <c r="O574" i="1"/>
  <c r="T574" i="1" s="1"/>
  <c r="O575" i="1"/>
  <c r="T575" i="1" s="1"/>
  <c r="O576" i="1"/>
  <c r="T576" i="1" s="1"/>
  <c r="O577" i="1"/>
  <c r="T577" i="1" s="1"/>
  <c r="O578" i="1"/>
  <c r="T578" i="1" s="1"/>
  <c r="O579" i="1"/>
  <c r="T579" i="1" s="1"/>
  <c r="O580" i="1"/>
  <c r="T580" i="1" s="1"/>
  <c r="O581" i="1"/>
  <c r="T581" i="1" s="1"/>
  <c r="O582" i="1"/>
  <c r="T582" i="1" s="1"/>
  <c r="O583" i="1"/>
  <c r="T583" i="1" s="1"/>
  <c r="O584" i="1"/>
  <c r="T584" i="1" s="1"/>
  <c r="O585" i="1"/>
  <c r="T585" i="1" s="1"/>
  <c r="O586" i="1"/>
  <c r="T586" i="1" s="1"/>
  <c r="O587" i="1"/>
  <c r="T587" i="1" s="1"/>
  <c r="O588" i="1"/>
  <c r="T588" i="1" s="1"/>
  <c r="O589" i="1"/>
  <c r="T589" i="1" s="1"/>
  <c r="O590" i="1"/>
  <c r="T590" i="1" s="1"/>
  <c r="O591" i="1"/>
  <c r="T591" i="1" s="1"/>
  <c r="O592" i="1"/>
  <c r="T592" i="1" s="1"/>
  <c r="O593" i="1"/>
  <c r="T593" i="1" s="1"/>
  <c r="O594" i="1"/>
  <c r="T594" i="1" s="1"/>
  <c r="O595" i="1"/>
  <c r="T595" i="1" s="1"/>
  <c r="O596" i="1"/>
  <c r="T596" i="1" s="1"/>
  <c r="O597" i="1"/>
  <c r="T597" i="1" s="1"/>
  <c r="O598" i="1"/>
  <c r="T598" i="1" s="1"/>
  <c r="O599" i="1"/>
  <c r="T599" i="1" s="1"/>
  <c r="O600" i="1"/>
  <c r="T600" i="1" s="1"/>
  <c r="O601" i="1"/>
  <c r="T601" i="1" s="1"/>
  <c r="O602" i="1"/>
  <c r="T602" i="1" s="1"/>
  <c r="O603" i="1"/>
  <c r="T603" i="1" s="1"/>
  <c r="O604" i="1"/>
  <c r="T604" i="1" s="1"/>
  <c r="O605" i="1"/>
  <c r="T605" i="1" s="1"/>
  <c r="O606" i="1"/>
  <c r="T606" i="1" s="1"/>
  <c r="O607" i="1"/>
  <c r="T607" i="1" s="1"/>
  <c r="O608" i="1"/>
  <c r="T608" i="1" s="1"/>
  <c r="O609" i="1"/>
  <c r="T609" i="1" s="1"/>
  <c r="O610" i="1"/>
  <c r="T610" i="1" s="1"/>
  <c r="O611" i="1"/>
  <c r="T611" i="1" s="1"/>
  <c r="O612" i="1"/>
  <c r="T612" i="1" s="1"/>
  <c r="O613" i="1"/>
  <c r="T613" i="1" s="1"/>
  <c r="O614" i="1"/>
  <c r="T614" i="1" s="1"/>
  <c r="O615" i="1"/>
  <c r="T615" i="1" s="1"/>
  <c r="O616" i="1"/>
  <c r="T616" i="1" s="1"/>
  <c r="O617" i="1"/>
  <c r="T617" i="1" s="1"/>
  <c r="O618" i="1"/>
  <c r="T618" i="1" s="1"/>
  <c r="O619" i="1"/>
  <c r="T619" i="1" s="1"/>
  <c r="O620" i="1"/>
  <c r="T620" i="1" s="1"/>
  <c r="O621" i="1"/>
  <c r="T621" i="1" s="1"/>
  <c r="O622" i="1"/>
  <c r="T622" i="1" s="1"/>
  <c r="O623" i="1"/>
  <c r="T623" i="1" s="1"/>
  <c r="O624" i="1"/>
  <c r="T624" i="1" s="1"/>
  <c r="O625" i="1"/>
  <c r="T625" i="1" s="1"/>
  <c r="O626" i="1"/>
  <c r="T626" i="1" s="1"/>
  <c r="O627" i="1"/>
  <c r="T627" i="1" s="1"/>
  <c r="O628" i="1"/>
  <c r="T628" i="1" s="1"/>
  <c r="O629" i="1"/>
  <c r="T629" i="1" s="1"/>
  <c r="O630" i="1"/>
  <c r="T630" i="1" s="1"/>
  <c r="O631" i="1"/>
  <c r="T631" i="1" s="1"/>
  <c r="O632" i="1"/>
  <c r="T632" i="1" s="1"/>
  <c r="O633" i="1"/>
  <c r="T633" i="1" s="1"/>
  <c r="O634" i="1"/>
  <c r="T634" i="1" s="1"/>
  <c r="O635" i="1"/>
  <c r="T635" i="1" s="1"/>
  <c r="O636" i="1"/>
  <c r="T636" i="1" s="1"/>
  <c r="O637" i="1"/>
  <c r="T637" i="1" s="1"/>
  <c r="O638" i="1"/>
  <c r="T638" i="1" s="1"/>
  <c r="O639" i="1"/>
  <c r="T639" i="1" s="1"/>
  <c r="O640" i="1"/>
  <c r="T640" i="1" s="1"/>
  <c r="O641" i="1"/>
  <c r="T641" i="1" s="1"/>
  <c r="O642" i="1"/>
  <c r="T642" i="1" s="1"/>
  <c r="O643" i="1"/>
  <c r="T643" i="1" s="1"/>
  <c r="O644" i="1"/>
  <c r="T644" i="1" s="1"/>
  <c r="O645" i="1"/>
  <c r="T645" i="1" s="1"/>
  <c r="O646" i="1"/>
  <c r="T646" i="1" s="1"/>
  <c r="O647" i="1"/>
  <c r="T647" i="1" s="1"/>
  <c r="O648" i="1"/>
  <c r="T648" i="1" s="1"/>
  <c r="O649" i="1"/>
  <c r="T649" i="1" s="1"/>
  <c r="O650" i="1"/>
  <c r="T650" i="1" s="1"/>
  <c r="O651" i="1"/>
  <c r="T651" i="1" s="1"/>
  <c r="O652" i="1"/>
  <c r="T652" i="1" s="1"/>
  <c r="O653" i="1"/>
  <c r="T653" i="1" s="1"/>
  <c r="O654" i="1"/>
  <c r="T654" i="1" s="1"/>
  <c r="O655" i="1"/>
  <c r="T655" i="1" s="1"/>
  <c r="O656" i="1"/>
  <c r="T656" i="1" s="1"/>
  <c r="O657" i="1"/>
  <c r="T657" i="1" s="1"/>
  <c r="O658" i="1"/>
  <c r="T658" i="1" s="1"/>
  <c r="O659" i="1"/>
  <c r="T659" i="1" s="1"/>
  <c r="O660" i="1"/>
  <c r="T660" i="1" s="1"/>
  <c r="O661" i="1"/>
  <c r="T661" i="1" s="1"/>
  <c r="O662" i="1"/>
  <c r="T662" i="1" s="1"/>
  <c r="O663" i="1"/>
  <c r="T663" i="1" s="1"/>
  <c r="O664" i="1"/>
  <c r="T664" i="1" s="1"/>
  <c r="O665" i="1"/>
  <c r="T665" i="1" s="1"/>
  <c r="O666" i="1"/>
  <c r="T666" i="1" s="1"/>
  <c r="O667" i="1"/>
  <c r="T667" i="1" s="1"/>
  <c r="O668" i="1"/>
  <c r="T668" i="1" s="1"/>
  <c r="O669" i="1"/>
  <c r="T669" i="1" s="1"/>
  <c r="O670" i="1"/>
  <c r="T670" i="1" s="1"/>
  <c r="O671" i="1"/>
  <c r="T671" i="1" s="1"/>
  <c r="O672" i="1"/>
  <c r="T672" i="1" s="1"/>
  <c r="O673" i="1"/>
  <c r="T673" i="1" s="1"/>
  <c r="O674" i="1"/>
  <c r="T674" i="1" s="1"/>
  <c r="O675" i="1"/>
  <c r="T675" i="1" s="1"/>
  <c r="O676" i="1"/>
  <c r="T676" i="1" s="1"/>
  <c r="O677" i="1"/>
  <c r="T677" i="1" s="1"/>
  <c r="O678" i="1"/>
  <c r="T678" i="1" s="1"/>
  <c r="O679" i="1"/>
  <c r="T679" i="1" s="1"/>
  <c r="O680" i="1"/>
  <c r="T680" i="1" s="1"/>
  <c r="O681" i="1"/>
  <c r="T681" i="1" s="1"/>
  <c r="O682" i="1"/>
  <c r="T682" i="1" s="1"/>
  <c r="O683" i="1"/>
  <c r="T683" i="1" s="1"/>
  <c r="O684" i="1"/>
  <c r="T684" i="1" s="1"/>
  <c r="O685" i="1"/>
  <c r="T685" i="1" s="1"/>
  <c r="O686" i="1"/>
  <c r="T686" i="1" s="1"/>
  <c r="O687" i="1"/>
  <c r="T687" i="1" s="1"/>
  <c r="O688" i="1"/>
  <c r="T688" i="1" s="1"/>
  <c r="O689" i="1"/>
  <c r="T689" i="1" s="1"/>
  <c r="O690" i="1"/>
  <c r="T690" i="1" s="1"/>
  <c r="O691" i="1"/>
  <c r="T691" i="1" s="1"/>
  <c r="O692" i="1"/>
  <c r="T692" i="1" s="1"/>
  <c r="O693" i="1"/>
  <c r="T693" i="1" s="1"/>
  <c r="O694" i="1"/>
  <c r="T694" i="1" s="1"/>
  <c r="O695" i="1"/>
  <c r="T695" i="1" s="1"/>
  <c r="O696" i="1"/>
  <c r="T696" i="1" s="1"/>
  <c r="O697" i="1"/>
  <c r="T697" i="1" s="1"/>
  <c r="O698" i="1"/>
  <c r="T698" i="1" s="1"/>
  <c r="O699" i="1"/>
  <c r="T699" i="1" s="1"/>
  <c r="O700" i="1"/>
  <c r="T700" i="1" s="1"/>
  <c r="O701" i="1"/>
  <c r="T701" i="1" s="1"/>
  <c r="O702" i="1"/>
  <c r="T702" i="1" s="1"/>
  <c r="O703" i="1"/>
  <c r="T703" i="1" s="1"/>
  <c r="O704" i="1"/>
  <c r="T704" i="1" s="1"/>
  <c r="O705" i="1"/>
  <c r="T705" i="1" s="1"/>
  <c r="O706" i="1"/>
  <c r="T706" i="1" s="1"/>
  <c r="O707" i="1"/>
  <c r="T707" i="1" s="1"/>
  <c r="O708" i="1"/>
  <c r="T708" i="1" s="1"/>
  <c r="O709" i="1"/>
  <c r="T709" i="1" s="1"/>
  <c r="O710" i="1"/>
  <c r="T710" i="1" s="1"/>
  <c r="O711" i="1"/>
  <c r="T711" i="1" s="1"/>
  <c r="O712" i="1"/>
  <c r="T712" i="1" s="1"/>
  <c r="O713" i="1"/>
  <c r="T713" i="1" s="1"/>
  <c r="O714" i="1"/>
  <c r="T714" i="1" s="1"/>
  <c r="O715" i="1"/>
  <c r="T715" i="1" s="1"/>
  <c r="O716" i="1"/>
  <c r="T716" i="1" s="1"/>
  <c r="O717" i="1"/>
  <c r="T717" i="1" s="1"/>
  <c r="O718" i="1"/>
  <c r="T718" i="1" s="1"/>
  <c r="O719" i="1"/>
  <c r="T719" i="1" s="1"/>
  <c r="O720" i="1"/>
  <c r="T720" i="1" s="1"/>
  <c r="O721" i="1"/>
  <c r="T721" i="1" s="1"/>
  <c r="O722" i="1"/>
  <c r="T722" i="1" s="1"/>
  <c r="O723" i="1"/>
  <c r="T723" i="1" s="1"/>
  <c r="O724" i="1"/>
  <c r="T724" i="1" s="1"/>
  <c r="O725" i="1"/>
  <c r="T725" i="1" s="1"/>
  <c r="O726" i="1"/>
  <c r="T726" i="1" s="1"/>
  <c r="O727" i="1"/>
  <c r="T727" i="1" s="1"/>
  <c r="O728" i="1"/>
  <c r="T728" i="1" s="1"/>
  <c r="O729" i="1"/>
  <c r="T729" i="1" s="1"/>
  <c r="O730" i="1"/>
  <c r="T730" i="1" s="1"/>
  <c r="O731" i="1"/>
  <c r="T731" i="1" s="1"/>
  <c r="O732" i="1"/>
  <c r="T732" i="1" s="1"/>
  <c r="O733" i="1"/>
  <c r="T733" i="1" s="1"/>
  <c r="O734" i="1"/>
  <c r="T734" i="1" s="1"/>
  <c r="O735" i="1"/>
  <c r="T735" i="1" s="1"/>
  <c r="O736" i="1"/>
  <c r="T736" i="1" s="1"/>
  <c r="O737" i="1"/>
  <c r="T737" i="1" s="1"/>
  <c r="O738" i="1"/>
  <c r="T738" i="1" s="1"/>
  <c r="O739" i="1"/>
  <c r="T739" i="1" s="1"/>
  <c r="O740" i="1"/>
  <c r="T740" i="1" s="1"/>
  <c r="O741" i="1"/>
  <c r="T741" i="1" s="1"/>
  <c r="O742" i="1"/>
  <c r="T742" i="1" s="1"/>
  <c r="O743" i="1"/>
  <c r="T743" i="1" s="1"/>
  <c r="O744" i="1"/>
  <c r="T744" i="1" s="1"/>
  <c r="O745" i="1"/>
  <c r="T745" i="1" s="1"/>
  <c r="O746" i="1"/>
  <c r="T746" i="1" s="1"/>
  <c r="O747" i="1"/>
  <c r="T747" i="1" s="1"/>
  <c r="O748" i="1"/>
  <c r="T748" i="1" s="1"/>
  <c r="O749" i="1"/>
  <c r="T749" i="1" s="1"/>
  <c r="O750" i="1"/>
  <c r="T750" i="1" s="1"/>
  <c r="O751" i="1"/>
  <c r="T751" i="1" s="1"/>
  <c r="O752" i="1"/>
  <c r="T752" i="1" s="1"/>
  <c r="O753" i="1"/>
  <c r="T753" i="1" s="1"/>
  <c r="O754" i="1"/>
  <c r="T754" i="1" s="1"/>
  <c r="O755" i="1"/>
  <c r="T755" i="1" s="1"/>
  <c r="O756" i="1"/>
  <c r="T756" i="1" s="1"/>
  <c r="O757" i="1"/>
  <c r="T757" i="1" s="1"/>
  <c r="O758" i="1"/>
  <c r="T758" i="1" s="1"/>
  <c r="O759" i="1"/>
  <c r="T759" i="1" s="1"/>
  <c r="O760" i="1"/>
  <c r="T760" i="1" s="1"/>
  <c r="O761" i="1"/>
  <c r="T761" i="1" s="1"/>
  <c r="O762" i="1"/>
  <c r="T762" i="1" s="1"/>
  <c r="O763" i="1"/>
  <c r="T763" i="1" s="1"/>
  <c r="O764" i="1"/>
  <c r="T764" i="1" s="1"/>
  <c r="O765" i="1"/>
  <c r="T765" i="1" s="1"/>
  <c r="O766" i="1"/>
  <c r="T766" i="1" s="1"/>
  <c r="O767" i="1"/>
  <c r="T767" i="1" s="1"/>
  <c r="O768" i="1"/>
  <c r="T768" i="1" s="1"/>
  <c r="O769" i="1"/>
  <c r="T769" i="1" s="1"/>
  <c r="O770" i="1"/>
  <c r="T770" i="1" s="1"/>
  <c r="O771" i="1"/>
  <c r="T771" i="1" s="1"/>
  <c r="O772" i="1"/>
  <c r="T772" i="1" s="1"/>
  <c r="O773" i="1"/>
  <c r="T773" i="1" s="1"/>
  <c r="O774" i="1"/>
  <c r="T774" i="1" s="1"/>
  <c r="O775" i="1"/>
  <c r="T775" i="1" s="1"/>
  <c r="O776" i="1"/>
  <c r="T776" i="1" s="1"/>
  <c r="O777" i="1"/>
  <c r="T777" i="1" s="1"/>
  <c r="O778" i="1"/>
  <c r="T778" i="1" s="1"/>
  <c r="O779" i="1"/>
  <c r="T779" i="1" s="1"/>
  <c r="O780" i="1"/>
  <c r="T780" i="1" s="1"/>
  <c r="O781" i="1"/>
  <c r="T781" i="1" s="1"/>
  <c r="O782" i="1"/>
  <c r="T782" i="1" s="1"/>
  <c r="O783" i="1"/>
  <c r="T783" i="1" s="1"/>
  <c r="O784" i="1"/>
  <c r="T784" i="1" s="1"/>
  <c r="O785" i="1"/>
  <c r="T785" i="1" s="1"/>
  <c r="O786" i="1"/>
  <c r="T786" i="1" s="1"/>
  <c r="O787" i="1"/>
  <c r="T787" i="1" s="1"/>
  <c r="O788" i="1"/>
  <c r="T788" i="1" s="1"/>
  <c r="O789" i="1"/>
  <c r="T789" i="1" s="1"/>
  <c r="O790" i="1"/>
  <c r="T790" i="1" s="1"/>
  <c r="O791" i="1"/>
  <c r="T791" i="1" s="1"/>
  <c r="O792" i="1"/>
  <c r="T792" i="1" s="1"/>
  <c r="O793" i="1"/>
  <c r="T793" i="1" s="1"/>
  <c r="O794" i="1"/>
  <c r="T794" i="1" s="1"/>
  <c r="O795" i="1"/>
  <c r="T795" i="1" s="1"/>
  <c r="O796" i="1"/>
  <c r="T796" i="1" s="1"/>
  <c r="O797" i="1"/>
  <c r="T797" i="1" s="1"/>
  <c r="O798" i="1"/>
  <c r="T798" i="1" s="1"/>
  <c r="O799" i="1"/>
  <c r="T799" i="1" s="1"/>
  <c r="O800" i="1"/>
  <c r="T800" i="1" s="1"/>
  <c r="O801" i="1"/>
  <c r="T801" i="1" s="1"/>
  <c r="O802" i="1"/>
  <c r="T802" i="1" s="1"/>
  <c r="O803" i="1"/>
  <c r="T803" i="1" s="1"/>
  <c r="O804" i="1"/>
  <c r="T804" i="1" s="1"/>
  <c r="O805" i="1"/>
  <c r="T805" i="1" s="1"/>
  <c r="O806" i="1"/>
  <c r="T806" i="1" s="1"/>
  <c r="O807" i="1"/>
  <c r="T807" i="1" s="1"/>
  <c r="O808" i="1"/>
  <c r="T808" i="1" s="1"/>
  <c r="O809" i="1"/>
  <c r="T809" i="1" s="1"/>
  <c r="O810" i="1"/>
  <c r="T810" i="1" s="1"/>
  <c r="O811" i="1"/>
  <c r="T811" i="1" s="1"/>
  <c r="O812" i="1"/>
  <c r="T812" i="1" s="1"/>
  <c r="O813" i="1"/>
  <c r="T813" i="1" s="1"/>
  <c r="O814" i="1"/>
  <c r="T814" i="1" s="1"/>
  <c r="O815" i="1"/>
  <c r="T815" i="1" s="1"/>
  <c r="O816" i="1"/>
  <c r="T816" i="1" s="1"/>
  <c r="O817" i="1"/>
  <c r="T817" i="1" s="1"/>
  <c r="O818" i="1"/>
  <c r="T818" i="1" s="1"/>
  <c r="O819" i="1"/>
  <c r="T819" i="1" s="1"/>
  <c r="O820" i="1"/>
  <c r="T820" i="1" s="1"/>
  <c r="O821" i="1"/>
  <c r="T821" i="1" s="1"/>
  <c r="O822" i="1"/>
  <c r="T822" i="1" s="1"/>
  <c r="O823" i="1"/>
  <c r="T823" i="1" s="1"/>
  <c r="O824" i="1"/>
  <c r="T824" i="1" s="1"/>
  <c r="O825" i="1"/>
  <c r="T825" i="1" s="1"/>
  <c r="O826" i="1"/>
  <c r="T826" i="1" s="1"/>
  <c r="O827" i="1"/>
  <c r="T827" i="1" s="1"/>
  <c r="O828" i="1"/>
  <c r="T828" i="1" s="1"/>
  <c r="O829" i="1"/>
  <c r="T829" i="1" s="1"/>
  <c r="O830" i="1"/>
  <c r="T830" i="1" s="1"/>
  <c r="O831" i="1"/>
  <c r="T831" i="1" s="1"/>
  <c r="O832" i="1"/>
  <c r="T832" i="1" s="1"/>
  <c r="O833" i="1"/>
  <c r="T833" i="1" s="1"/>
  <c r="O834" i="1"/>
  <c r="T834" i="1" s="1"/>
  <c r="O835" i="1"/>
  <c r="T835" i="1" s="1"/>
  <c r="O836" i="1"/>
  <c r="T836" i="1" s="1"/>
  <c r="O837" i="1"/>
  <c r="T837" i="1" s="1"/>
  <c r="O838" i="1"/>
  <c r="T838" i="1" s="1"/>
  <c r="O839" i="1"/>
  <c r="T839" i="1" s="1"/>
  <c r="O840" i="1"/>
  <c r="T840" i="1" s="1"/>
  <c r="O841" i="1"/>
  <c r="T841" i="1" s="1"/>
  <c r="O842" i="1"/>
  <c r="T842" i="1" s="1"/>
  <c r="O843" i="1"/>
  <c r="T843" i="1" s="1"/>
  <c r="O844" i="1"/>
  <c r="T844" i="1" s="1"/>
  <c r="O845" i="1"/>
  <c r="T845" i="1" s="1"/>
  <c r="O846" i="1"/>
  <c r="T846" i="1" s="1"/>
  <c r="O847" i="1"/>
  <c r="T847" i="1" s="1"/>
  <c r="O848" i="1"/>
  <c r="T848" i="1" s="1"/>
  <c r="O849" i="1"/>
  <c r="T849" i="1" s="1"/>
  <c r="O850" i="1"/>
  <c r="T850" i="1" s="1"/>
  <c r="O851" i="1"/>
  <c r="T851" i="1" s="1"/>
  <c r="O852" i="1"/>
  <c r="T852" i="1" s="1"/>
  <c r="O853" i="1"/>
  <c r="T853" i="1" s="1"/>
  <c r="O854" i="1"/>
  <c r="T854" i="1" s="1"/>
  <c r="O855" i="1"/>
  <c r="T855" i="1" s="1"/>
  <c r="O856" i="1"/>
  <c r="T856" i="1" s="1"/>
  <c r="O857" i="1"/>
  <c r="T857" i="1" s="1"/>
  <c r="O858" i="1"/>
  <c r="T858" i="1" s="1"/>
  <c r="O859" i="1"/>
  <c r="T859" i="1" s="1"/>
  <c r="O860" i="1"/>
  <c r="T860" i="1" s="1"/>
  <c r="O861" i="1"/>
  <c r="T861" i="1" s="1"/>
  <c r="O862" i="1"/>
  <c r="T862" i="1" s="1"/>
  <c r="O863" i="1"/>
  <c r="T863" i="1" s="1"/>
  <c r="O864" i="1"/>
  <c r="T864" i="1" s="1"/>
  <c r="O865" i="1"/>
  <c r="T865" i="1" s="1"/>
  <c r="O866" i="1"/>
  <c r="T866" i="1" s="1"/>
  <c r="O867" i="1"/>
  <c r="T867" i="1" s="1"/>
  <c r="O868" i="1"/>
  <c r="T868" i="1" s="1"/>
  <c r="O869" i="1"/>
  <c r="T869" i="1" s="1"/>
  <c r="O870" i="1"/>
  <c r="T870" i="1" s="1"/>
  <c r="O871" i="1"/>
  <c r="T871" i="1" s="1"/>
  <c r="O872" i="1"/>
  <c r="T872" i="1" s="1"/>
  <c r="O873" i="1"/>
  <c r="T873" i="1" s="1"/>
  <c r="O874" i="1"/>
  <c r="T874" i="1" s="1"/>
  <c r="O875" i="1"/>
  <c r="T875" i="1" s="1"/>
  <c r="O876" i="1"/>
  <c r="T876" i="1" s="1"/>
  <c r="O877" i="1"/>
  <c r="T877" i="1" s="1"/>
  <c r="O878" i="1"/>
  <c r="T878" i="1" s="1"/>
  <c r="O879" i="1"/>
  <c r="T879" i="1" s="1"/>
  <c r="O880" i="1"/>
  <c r="T880" i="1" s="1"/>
  <c r="O881" i="1"/>
  <c r="T881" i="1" s="1"/>
  <c r="O882" i="1"/>
  <c r="T882" i="1" s="1"/>
  <c r="O883" i="1"/>
  <c r="T883" i="1" s="1"/>
  <c r="O884" i="1"/>
  <c r="T884" i="1" s="1"/>
  <c r="O885" i="1"/>
  <c r="T885" i="1" s="1"/>
  <c r="O886" i="1"/>
  <c r="T886" i="1" s="1"/>
  <c r="O887" i="1"/>
  <c r="T887" i="1" s="1"/>
  <c r="O888" i="1"/>
  <c r="T888" i="1" s="1"/>
  <c r="O889" i="1"/>
  <c r="T889" i="1" s="1"/>
  <c r="O890" i="1"/>
  <c r="T890" i="1" s="1"/>
  <c r="O891" i="1"/>
  <c r="T891" i="1" s="1"/>
  <c r="O892" i="1"/>
  <c r="T892" i="1" s="1"/>
  <c r="O893" i="1"/>
  <c r="T893" i="1" s="1"/>
  <c r="O894" i="1"/>
  <c r="T894" i="1" s="1"/>
  <c r="O895" i="1"/>
  <c r="T895" i="1" s="1"/>
  <c r="O896" i="1"/>
  <c r="T896" i="1" s="1"/>
  <c r="O897" i="1"/>
  <c r="T897" i="1" s="1"/>
  <c r="O898" i="1"/>
  <c r="T898" i="1" s="1"/>
  <c r="O899" i="1"/>
  <c r="T899" i="1" s="1"/>
  <c r="O900" i="1"/>
  <c r="T900" i="1" s="1"/>
  <c r="O901" i="1"/>
  <c r="T901" i="1" s="1"/>
  <c r="O902" i="1"/>
  <c r="T902" i="1" s="1"/>
  <c r="O903" i="1"/>
  <c r="T903" i="1" s="1"/>
  <c r="O904" i="1"/>
  <c r="T904" i="1" s="1"/>
  <c r="O905" i="1"/>
  <c r="T905" i="1" s="1"/>
  <c r="O906" i="1"/>
  <c r="T906" i="1" s="1"/>
  <c r="O907" i="1"/>
  <c r="T907" i="1" s="1"/>
  <c r="O908" i="1"/>
  <c r="T908" i="1" s="1"/>
  <c r="O909" i="1"/>
  <c r="T909" i="1" s="1"/>
  <c r="O910" i="1"/>
  <c r="T910" i="1" s="1"/>
  <c r="O911" i="1"/>
  <c r="T911" i="1" s="1"/>
  <c r="O912" i="1"/>
  <c r="T912" i="1" s="1"/>
  <c r="O913" i="1"/>
  <c r="T913" i="1" s="1"/>
  <c r="O914" i="1"/>
  <c r="T914" i="1" s="1"/>
  <c r="O915" i="1"/>
  <c r="T915" i="1" s="1"/>
  <c r="O916" i="1"/>
  <c r="T916" i="1" s="1"/>
  <c r="O917" i="1"/>
  <c r="T917" i="1" s="1"/>
  <c r="O918" i="1"/>
  <c r="T918" i="1" s="1"/>
  <c r="O919" i="1"/>
  <c r="T919" i="1" s="1"/>
  <c r="O920" i="1"/>
  <c r="T920" i="1" s="1"/>
  <c r="O921" i="1"/>
  <c r="T921" i="1" s="1"/>
  <c r="O922" i="1"/>
  <c r="T922" i="1" s="1"/>
  <c r="O923" i="1"/>
  <c r="T923" i="1" s="1"/>
  <c r="O924" i="1"/>
  <c r="T924" i="1" s="1"/>
  <c r="O925" i="1"/>
  <c r="T925" i="1" s="1"/>
  <c r="O926" i="1"/>
  <c r="T926" i="1" s="1"/>
  <c r="O927" i="1"/>
  <c r="T927" i="1" s="1"/>
  <c r="O928" i="1"/>
  <c r="T928" i="1" s="1"/>
  <c r="O929" i="1"/>
  <c r="T929" i="1" s="1"/>
  <c r="O930" i="1"/>
  <c r="T930" i="1" s="1"/>
  <c r="O931" i="1"/>
  <c r="T931" i="1" s="1"/>
  <c r="O932" i="1"/>
  <c r="T932" i="1" s="1"/>
  <c r="O933" i="1"/>
  <c r="T933" i="1" s="1"/>
  <c r="O934" i="1"/>
  <c r="T934" i="1" s="1"/>
  <c r="O935" i="1"/>
  <c r="T935" i="1" s="1"/>
  <c r="O936" i="1"/>
  <c r="T936" i="1" s="1"/>
  <c r="O937" i="1"/>
  <c r="T937" i="1" s="1"/>
  <c r="O938" i="1"/>
  <c r="T938" i="1" s="1"/>
  <c r="O939" i="1"/>
  <c r="T939" i="1" s="1"/>
  <c r="O940" i="1"/>
  <c r="T940" i="1" s="1"/>
  <c r="O941" i="1"/>
  <c r="T941" i="1" s="1"/>
  <c r="O942" i="1"/>
  <c r="T942" i="1" s="1"/>
  <c r="O943" i="1"/>
  <c r="T943" i="1" s="1"/>
  <c r="O944" i="1"/>
  <c r="T944" i="1" s="1"/>
  <c r="O945" i="1"/>
  <c r="T945" i="1" s="1"/>
  <c r="O946" i="1"/>
  <c r="T946" i="1" s="1"/>
  <c r="O947" i="1"/>
  <c r="T947" i="1" s="1"/>
  <c r="O948" i="1"/>
  <c r="T948" i="1" s="1"/>
  <c r="O949" i="1"/>
  <c r="T949" i="1" s="1"/>
  <c r="O950" i="1"/>
  <c r="T950" i="1" s="1"/>
  <c r="O951" i="1"/>
  <c r="T951" i="1" s="1"/>
  <c r="O952" i="1"/>
  <c r="T952" i="1" s="1"/>
  <c r="O953" i="1"/>
  <c r="T953" i="1" s="1"/>
  <c r="O954" i="1"/>
  <c r="T954" i="1" s="1"/>
  <c r="O955" i="1"/>
  <c r="T955" i="1" s="1"/>
  <c r="O956" i="1"/>
  <c r="T956" i="1" s="1"/>
  <c r="O957" i="1"/>
  <c r="T957" i="1" s="1"/>
  <c r="O958" i="1"/>
  <c r="T958" i="1" s="1"/>
  <c r="O959" i="1"/>
  <c r="T959" i="1" s="1"/>
  <c r="O960" i="1"/>
  <c r="T960" i="1" s="1"/>
  <c r="O961" i="1"/>
  <c r="T961" i="1" s="1"/>
  <c r="O962" i="1"/>
  <c r="T962" i="1" s="1"/>
  <c r="O963" i="1"/>
  <c r="T963" i="1" s="1"/>
  <c r="O964" i="1"/>
  <c r="T964" i="1" s="1"/>
  <c r="O965" i="1"/>
  <c r="T965" i="1" s="1"/>
  <c r="O966" i="1"/>
  <c r="T966" i="1" s="1"/>
  <c r="O967" i="1"/>
  <c r="T967" i="1" s="1"/>
  <c r="O968" i="1"/>
  <c r="T968" i="1" s="1"/>
  <c r="O969" i="1"/>
  <c r="T969" i="1" s="1"/>
  <c r="O970" i="1"/>
  <c r="T970" i="1" s="1"/>
  <c r="O971" i="1"/>
  <c r="T971" i="1" s="1"/>
  <c r="O972" i="1"/>
  <c r="T972" i="1" s="1"/>
  <c r="O973" i="1"/>
  <c r="T973" i="1" s="1"/>
  <c r="O974" i="1"/>
  <c r="T974" i="1" s="1"/>
  <c r="O975" i="1"/>
  <c r="T975" i="1" s="1"/>
  <c r="O976" i="1"/>
  <c r="T976" i="1" s="1"/>
  <c r="O977" i="1"/>
  <c r="T977" i="1" s="1"/>
  <c r="O978" i="1"/>
  <c r="T978" i="1" s="1"/>
  <c r="O979" i="1"/>
  <c r="T979" i="1" s="1"/>
  <c r="O980" i="1"/>
  <c r="T980" i="1" s="1"/>
  <c r="O981" i="1"/>
  <c r="T981" i="1" s="1"/>
  <c r="O982" i="1"/>
  <c r="T982" i="1" s="1"/>
  <c r="O983" i="1"/>
  <c r="T983" i="1" s="1"/>
  <c r="O984" i="1"/>
  <c r="T984" i="1" s="1"/>
  <c r="O985" i="1"/>
  <c r="T985" i="1" s="1"/>
  <c r="O986" i="1"/>
  <c r="T986" i="1" s="1"/>
  <c r="O987" i="1"/>
  <c r="T987" i="1" s="1"/>
  <c r="O988" i="1"/>
  <c r="T988" i="1" s="1"/>
  <c r="O989" i="1"/>
  <c r="T989" i="1" s="1"/>
  <c r="O990" i="1"/>
  <c r="T990" i="1" s="1"/>
  <c r="O991" i="1"/>
  <c r="T991" i="1" s="1"/>
  <c r="O992" i="1"/>
  <c r="T992" i="1" s="1"/>
  <c r="O993" i="1"/>
  <c r="T993" i="1" s="1"/>
  <c r="O994" i="1"/>
  <c r="T994" i="1" s="1"/>
  <c r="O995" i="1"/>
  <c r="T995" i="1" s="1"/>
  <c r="O996" i="1"/>
  <c r="T996" i="1" s="1"/>
  <c r="O997" i="1"/>
  <c r="T997" i="1" s="1"/>
  <c r="O998" i="1"/>
  <c r="T998" i="1" s="1"/>
  <c r="O999" i="1"/>
  <c r="T999" i="1" s="1"/>
  <c r="O1000" i="1"/>
  <c r="T1000" i="1" s="1"/>
  <c r="O1001" i="1"/>
  <c r="T1001" i="1" s="1"/>
  <c r="O1002" i="1"/>
  <c r="T1002" i="1" s="1"/>
  <c r="O1003" i="1"/>
  <c r="T1003" i="1" s="1"/>
  <c r="O1004" i="1"/>
  <c r="T1004" i="1" s="1"/>
  <c r="O1005" i="1"/>
  <c r="T1005" i="1" s="1"/>
  <c r="O1006" i="1"/>
  <c r="T1006" i="1" s="1"/>
  <c r="O1007" i="1"/>
  <c r="T1007" i="1" s="1"/>
  <c r="O1008" i="1"/>
  <c r="T1008" i="1" s="1"/>
  <c r="O1009" i="1"/>
  <c r="T1009" i="1" s="1"/>
  <c r="O1010" i="1"/>
  <c r="T1010" i="1" s="1"/>
  <c r="O1011" i="1"/>
  <c r="T1011" i="1" s="1"/>
  <c r="O1012" i="1"/>
  <c r="T1012" i="1" s="1"/>
  <c r="O1013" i="1"/>
  <c r="T1013" i="1" s="1"/>
  <c r="O1014" i="1"/>
  <c r="T1014" i="1" s="1"/>
  <c r="O1015" i="1"/>
  <c r="T1015" i="1" s="1"/>
  <c r="O1016" i="1"/>
  <c r="T1016" i="1" s="1"/>
  <c r="O1017" i="1"/>
  <c r="T1017" i="1" s="1"/>
  <c r="O1018" i="1"/>
  <c r="T1018" i="1" s="1"/>
  <c r="O1019" i="1"/>
  <c r="T1019" i="1" s="1"/>
  <c r="O1020" i="1"/>
  <c r="T1020" i="1" s="1"/>
  <c r="O1021" i="1"/>
  <c r="T1021" i="1" s="1"/>
  <c r="O1022" i="1"/>
  <c r="T1022" i="1" s="1"/>
  <c r="O1023" i="1"/>
  <c r="T1023" i="1" s="1"/>
  <c r="O1024" i="1"/>
  <c r="T1024" i="1" s="1"/>
  <c r="O1025" i="1"/>
  <c r="T1025" i="1" s="1"/>
  <c r="O1026" i="1"/>
  <c r="T1026" i="1" s="1"/>
  <c r="O1027" i="1"/>
  <c r="T1027" i="1" s="1"/>
  <c r="O1028" i="1"/>
  <c r="T1028" i="1" s="1"/>
  <c r="O1029" i="1"/>
  <c r="T1029" i="1" s="1"/>
  <c r="O1030" i="1"/>
  <c r="T1030" i="1" s="1"/>
  <c r="O1031" i="1"/>
  <c r="T1031" i="1" s="1"/>
  <c r="O1032" i="1"/>
  <c r="T1032" i="1" s="1"/>
  <c r="O1033" i="1"/>
  <c r="T1033" i="1" s="1"/>
  <c r="O1034" i="1"/>
  <c r="T1034" i="1" s="1"/>
  <c r="O1035" i="1"/>
  <c r="T1035" i="1" s="1"/>
  <c r="O1036" i="1"/>
  <c r="T1036" i="1" s="1"/>
  <c r="O1037" i="1"/>
  <c r="T1037" i="1" s="1"/>
  <c r="O1038" i="1"/>
  <c r="T1038" i="1" s="1"/>
  <c r="O1039" i="1"/>
  <c r="T1039" i="1" s="1"/>
  <c r="O1040" i="1"/>
  <c r="T1040" i="1" s="1"/>
  <c r="O1041" i="1"/>
  <c r="T1041" i="1" s="1"/>
  <c r="O1042" i="1"/>
  <c r="T1042" i="1" s="1"/>
  <c r="O1043" i="1"/>
  <c r="T1043" i="1" s="1"/>
  <c r="O1044" i="1"/>
  <c r="T1044" i="1" s="1"/>
  <c r="O1045" i="1"/>
  <c r="T1045" i="1" s="1"/>
  <c r="O1046" i="1"/>
  <c r="T1046" i="1" s="1"/>
  <c r="O1047" i="1"/>
  <c r="T1047" i="1" s="1"/>
  <c r="O1048" i="1"/>
  <c r="T1048" i="1" s="1"/>
  <c r="O1049" i="1"/>
  <c r="T1049" i="1" s="1"/>
  <c r="O1050" i="1"/>
  <c r="T1050" i="1" s="1"/>
  <c r="O1051" i="1"/>
  <c r="T1051" i="1" s="1"/>
  <c r="O1052" i="1"/>
  <c r="T1052" i="1" s="1"/>
  <c r="O1053" i="1"/>
  <c r="T1053" i="1" s="1"/>
  <c r="O1054" i="1"/>
  <c r="T1054" i="1" s="1"/>
  <c r="O1055" i="1"/>
  <c r="T1055" i="1" s="1"/>
  <c r="O1056" i="1"/>
  <c r="T1056" i="1" s="1"/>
  <c r="O1057" i="1"/>
  <c r="T1057" i="1" s="1"/>
  <c r="O1058" i="1"/>
  <c r="T1058" i="1" s="1"/>
  <c r="O1059" i="1"/>
  <c r="T1059" i="1" s="1"/>
  <c r="O1060" i="1"/>
  <c r="T1060" i="1" s="1"/>
  <c r="O1061" i="1"/>
  <c r="T1061" i="1" s="1"/>
  <c r="O1062" i="1"/>
  <c r="T1062" i="1" s="1"/>
  <c r="O1063" i="1"/>
  <c r="T1063" i="1" s="1"/>
  <c r="O1064" i="1"/>
  <c r="T1064" i="1" s="1"/>
  <c r="O1065" i="1"/>
  <c r="T1065" i="1" s="1"/>
  <c r="O1066" i="1"/>
  <c r="T1066" i="1" s="1"/>
  <c r="O1067" i="1"/>
  <c r="T1067" i="1" s="1"/>
  <c r="O1068" i="1"/>
  <c r="T1068" i="1" s="1"/>
  <c r="O1069" i="1"/>
  <c r="T1069" i="1" s="1"/>
  <c r="O1070" i="1"/>
  <c r="T1070" i="1" s="1"/>
  <c r="O1071" i="1"/>
  <c r="T1071" i="1" s="1"/>
  <c r="O1072" i="1"/>
  <c r="T1072" i="1" s="1"/>
  <c r="O1073" i="1"/>
  <c r="T1073" i="1" s="1"/>
  <c r="O1074" i="1"/>
  <c r="T1074" i="1" s="1"/>
  <c r="O1075" i="1"/>
  <c r="T1075" i="1" s="1"/>
  <c r="O1076" i="1"/>
  <c r="T1076" i="1" s="1"/>
  <c r="O1077" i="1"/>
  <c r="T1077" i="1" s="1"/>
  <c r="O1078" i="1"/>
  <c r="T1078" i="1" s="1"/>
  <c r="O1079" i="1"/>
  <c r="T1079" i="1" s="1"/>
  <c r="O1080" i="1"/>
  <c r="T1080" i="1" s="1"/>
  <c r="O1081" i="1"/>
  <c r="T1081" i="1" s="1"/>
  <c r="O1082" i="1"/>
  <c r="T1082" i="1" s="1"/>
  <c r="O1083" i="1"/>
  <c r="T1083" i="1" s="1"/>
  <c r="O1084" i="1"/>
  <c r="T1084" i="1" s="1"/>
  <c r="O1085" i="1"/>
  <c r="T1085" i="1" s="1"/>
  <c r="O1086" i="1"/>
  <c r="T1086" i="1" s="1"/>
  <c r="O1087" i="1"/>
  <c r="T1087" i="1" s="1"/>
  <c r="O1088" i="1"/>
  <c r="T1088" i="1" s="1"/>
  <c r="O1089" i="1"/>
  <c r="T1089" i="1" s="1"/>
  <c r="O1090" i="1"/>
  <c r="T1090" i="1" s="1"/>
  <c r="O1091" i="1"/>
  <c r="T1091" i="1" s="1"/>
  <c r="O1092" i="1"/>
  <c r="T1092" i="1" s="1"/>
  <c r="O1093" i="1"/>
  <c r="T1093" i="1" s="1"/>
  <c r="O1094" i="1"/>
  <c r="T1094" i="1" s="1"/>
  <c r="O1095" i="1"/>
  <c r="T1095" i="1" s="1"/>
  <c r="O1096" i="1"/>
  <c r="T1096" i="1" s="1"/>
  <c r="O1097" i="1"/>
  <c r="T1097" i="1" s="1"/>
  <c r="O1098" i="1"/>
  <c r="T1098" i="1" s="1"/>
  <c r="O1099" i="1"/>
  <c r="T1099" i="1" s="1"/>
  <c r="O1100" i="1"/>
  <c r="T1100" i="1" s="1"/>
  <c r="O1101" i="1"/>
  <c r="T1101" i="1" s="1"/>
  <c r="O1102" i="1"/>
  <c r="T1102" i="1" s="1"/>
  <c r="O1103" i="1"/>
  <c r="T1103" i="1" s="1"/>
  <c r="O1104" i="1"/>
  <c r="T1104" i="1" s="1"/>
  <c r="O1105" i="1"/>
  <c r="T1105" i="1" s="1"/>
  <c r="O1106" i="1"/>
  <c r="T1106" i="1" s="1"/>
  <c r="O1107" i="1"/>
  <c r="T1107" i="1" s="1"/>
  <c r="O1108" i="1"/>
  <c r="T1108" i="1" s="1"/>
  <c r="O1109" i="1"/>
  <c r="T1109" i="1" s="1"/>
  <c r="O1110" i="1"/>
  <c r="T1110" i="1" s="1"/>
  <c r="O1111" i="1"/>
  <c r="T1111" i="1" s="1"/>
  <c r="O1112" i="1"/>
  <c r="T1112" i="1" s="1"/>
  <c r="O1113" i="1"/>
  <c r="T1113" i="1" s="1"/>
  <c r="O1114" i="1"/>
  <c r="T1114" i="1" s="1"/>
  <c r="O1115" i="1"/>
  <c r="T1115" i="1" s="1"/>
  <c r="O1116" i="1"/>
  <c r="T1116" i="1" s="1"/>
  <c r="O1117" i="1"/>
  <c r="T1117" i="1" s="1"/>
  <c r="O1118" i="1"/>
  <c r="T1118" i="1" s="1"/>
  <c r="O1119" i="1"/>
  <c r="T1119" i="1" s="1"/>
  <c r="O1120" i="1"/>
  <c r="T1120" i="1" s="1"/>
  <c r="O1121" i="1"/>
  <c r="T1121" i="1" s="1"/>
  <c r="O1122" i="1"/>
  <c r="T1122" i="1" s="1"/>
  <c r="O1123" i="1"/>
  <c r="T1123" i="1" s="1"/>
  <c r="O1124" i="1"/>
  <c r="T1124" i="1" s="1"/>
  <c r="O1125" i="1"/>
  <c r="T1125" i="1" s="1"/>
  <c r="O1126" i="1"/>
  <c r="T1126" i="1" s="1"/>
  <c r="O1127" i="1"/>
  <c r="T1127" i="1" s="1"/>
  <c r="O1128" i="1"/>
  <c r="T1128" i="1" s="1"/>
  <c r="O1129" i="1"/>
  <c r="T1129" i="1" s="1"/>
  <c r="O1130" i="1"/>
  <c r="T1130" i="1" s="1"/>
  <c r="O1131" i="1"/>
  <c r="T1131" i="1" s="1"/>
  <c r="O1132" i="1"/>
  <c r="T1132" i="1" s="1"/>
  <c r="O1133" i="1"/>
  <c r="T1133" i="1" s="1"/>
  <c r="O1134" i="1"/>
  <c r="T1134" i="1" s="1"/>
  <c r="O1135" i="1"/>
  <c r="T1135" i="1" s="1"/>
  <c r="O1136" i="1"/>
  <c r="T1136" i="1" s="1"/>
  <c r="O1137" i="1"/>
  <c r="T1137" i="1" s="1"/>
  <c r="O1138" i="1"/>
  <c r="T1138" i="1" s="1"/>
  <c r="O1139" i="1"/>
  <c r="T1139" i="1" s="1"/>
  <c r="O1140" i="1"/>
  <c r="T1140" i="1" s="1"/>
  <c r="O1141" i="1"/>
  <c r="T1141" i="1" s="1"/>
  <c r="O1142" i="1"/>
  <c r="T1142" i="1" s="1"/>
  <c r="O1143" i="1"/>
  <c r="T1143" i="1" s="1"/>
  <c r="O1144" i="1"/>
  <c r="T1144" i="1" s="1"/>
  <c r="O1145" i="1"/>
  <c r="T1145" i="1" s="1"/>
  <c r="O1146" i="1"/>
  <c r="T1146" i="1" s="1"/>
  <c r="O1147" i="1"/>
  <c r="T1147" i="1" s="1"/>
  <c r="O1148" i="1"/>
  <c r="T1148" i="1" s="1"/>
  <c r="O1149" i="1"/>
  <c r="T1149" i="1" s="1"/>
  <c r="O1150" i="1"/>
  <c r="T1150" i="1" s="1"/>
  <c r="O1151" i="1"/>
  <c r="T1151" i="1" s="1"/>
  <c r="O1152" i="1"/>
  <c r="T1152" i="1" s="1"/>
  <c r="O1153" i="1"/>
  <c r="T1153" i="1" s="1"/>
  <c r="O1154" i="1"/>
  <c r="T1154" i="1" s="1"/>
  <c r="O1155" i="1"/>
  <c r="T1155" i="1" s="1"/>
  <c r="O1156" i="1"/>
  <c r="T1156" i="1" s="1"/>
  <c r="O1157" i="1"/>
  <c r="T1157" i="1" s="1"/>
  <c r="O1158" i="1"/>
  <c r="T1158" i="1" s="1"/>
  <c r="O1159" i="1"/>
  <c r="T1159" i="1" s="1"/>
  <c r="O1160" i="1"/>
  <c r="T1160" i="1" s="1"/>
  <c r="O1161" i="1"/>
  <c r="T1161" i="1" s="1"/>
  <c r="O1162" i="1"/>
  <c r="T1162" i="1" s="1"/>
  <c r="O1163" i="1"/>
  <c r="T1163" i="1" s="1"/>
  <c r="O1164" i="1"/>
  <c r="T1164" i="1" s="1"/>
  <c r="O1165" i="1"/>
  <c r="T1165" i="1" s="1"/>
  <c r="O1166" i="1"/>
  <c r="T1166" i="1" s="1"/>
  <c r="O1167" i="1"/>
  <c r="T1167" i="1" s="1"/>
  <c r="O1168" i="1"/>
  <c r="T1168" i="1" s="1"/>
  <c r="O1169" i="1"/>
  <c r="T1169" i="1" s="1"/>
  <c r="O1170" i="1"/>
  <c r="T1170" i="1" s="1"/>
  <c r="O1171" i="1"/>
  <c r="T1171" i="1" s="1"/>
  <c r="O1172" i="1"/>
  <c r="T1172" i="1" s="1"/>
  <c r="O1173" i="1"/>
  <c r="T1173" i="1" s="1"/>
  <c r="O1174" i="1"/>
  <c r="T1174" i="1" s="1"/>
  <c r="O1175" i="1"/>
  <c r="T1175" i="1" s="1"/>
  <c r="O1176" i="1"/>
  <c r="T1176" i="1" s="1"/>
  <c r="O1177" i="1"/>
  <c r="T1177" i="1" s="1"/>
  <c r="O1178" i="1"/>
  <c r="T1178" i="1" s="1"/>
  <c r="O1179" i="1"/>
  <c r="T1179" i="1" s="1"/>
  <c r="O1180" i="1"/>
  <c r="T1180" i="1" s="1"/>
  <c r="O1181" i="1"/>
  <c r="T1181" i="1" s="1"/>
  <c r="O1182" i="1"/>
  <c r="T1182" i="1" s="1"/>
  <c r="O1183" i="1"/>
  <c r="T1183" i="1" s="1"/>
  <c r="O1184" i="1"/>
  <c r="T1184" i="1" s="1"/>
  <c r="O1185" i="1"/>
  <c r="T1185" i="1" s="1"/>
  <c r="O1186" i="1"/>
  <c r="T1186" i="1" s="1"/>
  <c r="O1187" i="1"/>
  <c r="T1187" i="1" s="1"/>
  <c r="O1188" i="1"/>
  <c r="T1188" i="1" s="1"/>
  <c r="O1189" i="1"/>
  <c r="T1189" i="1" s="1"/>
  <c r="O1190" i="1"/>
  <c r="T1190" i="1" s="1"/>
  <c r="O1191" i="1"/>
  <c r="T1191" i="1" s="1"/>
  <c r="O1192" i="1"/>
  <c r="T1192" i="1" s="1"/>
  <c r="O1193" i="1"/>
  <c r="T1193" i="1" s="1"/>
  <c r="O1194" i="1"/>
  <c r="T1194" i="1" s="1"/>
  <c r="O1195" i="1"/>
  <c r="T1195" i="1" s="1"/>
  <c r="O1196" i="1"/>
  <c r="T1196" i="1" s="1"/>
  <c r="O1197" i="1"/>
  <c r="T1197" i="1" s="1"/>
  <c r="O1198" i="1"/>
  <c r="T1198" i="1" s="1"/>
  <c r="O1199" i="1"/>
  <c r="T1199" i="1" s="1"/>
  <c r="O1200" i="1"/>
  <c r="T1200" i="1" s="1"/>
  <c r="O1201" i="1"/>
  <c r="T1201" i="1" s="1"/>
  <c r="O1202" i="1"/>
  <c r="T1202" i="1" s="1"/>
  <c r="O1203" i="1"/>
  <c r="T1203" i="1" s="1"/>
  <c r="O1204" i="1"/>
  <c r="T1204" i="1" s="1"/>
  <c r="O1205" i="1"/>
  <c r="T1205" i="1" s="1"/>
  <c r="O1206" i="1"/>
  <c r="T1206" i="1" s="1"/>
  <c r="O1207" i="1"/>
  <c r="T1207" i="1" s="1"/>
  <c r="O1208" i="1"/>
  <c r="T1208" i="1" s="1"/>
  <c r="O1209" i="1"/>
  <c r="T1209" i="1" s="1"/>
  <c r="O1210" i="1"/>
  <c r="T1210" i="1" s="1"/>
  <c r="O1211" i="1"/>
  <c r="T1211" i="1" s="1"/>
  <c r="O1212" i="1"/>
  <c r="T1212" i="1" s="1"/>
  <c r="O1213" i="1"/>
  <c r="T1213" i="1" s="1"/>
  <c r="O1214" i="1"/>
  <c r="T1214" i="1" s="1"/>
  <c r="O1215" i="1"/>
  <c r="T1215" i="1" s="1"/>
  <c r="O1216" i="1"/>
  <c r="T1216" i="1" s="1"/>
  <c r="O1217" i="1"/>
  <c r="T1217" i="1" s="1"/>
  <c r="O1218" i="1"/>
  <c r="T1218" i="1" s="1"/>
  <c r="O1219" i="1"/>
  <c r="T1219" i="1" s="1"/>
  <c r="O1220" i="1"/>
  <c r="T1220" i="1" s="1"/>
  <c r="O1221" i="1"/>
  <c r="T1221" i="1" s="1"/>
  <c r="O1222" i="1"/>
  <c r="T1222" i="1" s="1"/>
  <c r="O1223" i="1"/>
  <c r="T1223" i="1" s="1"/>
  <c r="O1224" i="1"/>
  <c r="T1224" i="1" s="1"/>
  <c r="O1225" i="1"/>
  <c r="T1225" i="1" s="1"/>
  <c r="O1226" i="1"/>
  <c r="T1226" i="1" s="1"/>
  <c r="O1227" i="1"/>
  <c r="T1227" i="1" s="1"/>
  <c r="O1228" i="1"/>
  <c r="T1228" i="1" s="1"/>
  <c r="O1229" i="1"/>
  <c r="T1229" i="1" s="1"/>
  <c r="O1230" i="1"/>
  <c r="T1230" i="1" s="1"/>
  <c r="O1231" i="1"/>
  <c r="T1231" i="1" s="1"/>
  <c r="O1232" i="1"/>
  <c r="T1232" i="1" s="1"/>
  <c r="O1233" i="1"/>
  <c r="T1233" i="1" s="1"/>
  <c r="O1234" i="1"/>
  <c r="T1234" i="1" s="1"/>
  <c r="O1235" i="1"/>
  <c r="T1235" i="1" s="1"/>
  <c r="O1236" i="1"/>
  <c r="T1236" i="1" s="1"/>
  <c r="O1237" i="1"/>
  <c r="T1237" i="1" s="1"/>
  <c r="O1238" i="1"/>
  <c r="T1238" i="1" s="1"/>
  <c r="O1239" i="1"/>
  <c r="T1239" i="1" s="1"/>
  <c r="O1240" i="1"/>
  <c r="T1240" i="1" s="1"/>
  <c r="O1241" i="1"/>
  <c r="T1241" i="1" s="1"/>
  <c r="O1242" i="1"/>
  <c r="T1242" i="1" s="1"/>
  <c r="O1243" i="1"/>
  <c r="T1243" i="1" s="1"/>
  <c r="O1244" i="1"/>
  <c r="T1244" i="1" s="1"/>
  <c r="O1245" i="1"/>
  <c r="T1245" i="1" s="1"/>
  <c r="O1246" i="1"/>
  <c r="T1246" i="1" s="1"/>
  <c r="O1247" i="1"/>
  <c r="T1247" i="1" s="1"/>
  <c r="O1248" i="1"/>
  <c r="T1248" i="1" s="1"/>
  <c r="O1249" i="1"/>
  <c r="T1249" i="1" s="1"/>
  <c r="O1250" i="1"/>
  <c r="T1250" i="1" s="1"/>
  <c r="O1251" i="1"/>
  <c r="T1251" i="1" s="1"/>
  <c r="O1252" i="1"/>
  <c r="T1252" i="1" s="1"/>
  <c r="O1253" i="1"/>
  <c r="T1253" i="1" s="1"/>
  <c r="O1254" i="1"/>
  <c r="T1254" i="1" s="1"/>
  <c r="O1255" i="1"/>
  <c r="T1255" i="1" s="1"/>
  <c r="O1256" i="1"/>
  <c r="T1256" i="1" s="1"/>
  <c r="O1257" i="1"/>
  <c r="T1257" i="1" s="1"/>
  <c r="O1258" i="1"/>
  <c r="T1258" i="1" s="1"/>
  <c r="O1259" i="1"/>
  <c r="T1259" i="1" s="1"/>
  <c r="O1260" i="1"/>
  <c r="T1260" i="1" s="1"/>
  <c r="O1261" i="1"/>
  <c r="T1261" i="1" s="1"/>
  <c r="O1262" i="1"/>
  <c r="T1262" i="1" s="1"/>
  <c r="O1263" i="1"/>
  <c r="T1263" i="1" s="1"/>
  <c r="O1264" i="1"/>
  <c r="T1264" i="1" s="1"/>
  <c r="O1265" i="1"/>
  <c r="T1265" i="1" s="1"/>
  <c r="O1266" i="1"/>
  <c r="T1266" i="1" s="1"/>
  <c r="O1267" i="1"/>
  <c r="T1267" i="1" s="1"/>
  <c r="O1268" i="1"/>
  <c r="T1268" i="1" s="1"/>
  <c r="O1269" i="1"/>
  <c r="T1269" i="1" s="1"/>
  <c r="O1270" i="1"/>
  <c r="T1270" i="1" s="1"/>
  <c r="O1271" i="1"/>
  <c r="T1271" i="1" s="1"/>
  <c r="O1272" i="1"/>
  <c r="T1272" i="1" s="1"/>
  <c r="O1273" i="1"/>
  <c r="T1273" i="1" s="1"/>
  <c r="O1274" i="1"/>
  <c r="T1274" i="1" s="1"/>
  <c r="O1275" i="1"/>
  <c r="T1275" i="1" s="1"/>
  <c r="O1276" i="1"/>
  <c r="T1276" i="1" s="1"/>
  <c r="O1277" i="1"/>
  <c r="T1277" i="1" s="1"/>
  <c r="O1278" i="1"/>
  <c r="T1278" i="1" s="1"/>
  <c r="O1279" i="1"/>
  <c r="T1279" i="1" s="1"/>
  <c r="O1280" i="1"/>
  <c r="T1280" i="1" s="1"/>
  <c r="O1281" i="1"/>
  <c r="T1281" i="1" s="1"/>
  <c r="O1282" i="1"/>
  <c r="T1282" i="1" s="1"/>
  <c r="O1283" i="1"/>
  <c r="T1283" i="1" s="1"/>
  <c r="O1284" i="1"/>
  <c r="T1284" i="1" s="1"/>
  <c r="O1285" i="1"/>
  <c r="T1285" i="1" s="1"/>
  <c r="O1286" i="1"/>
  <c r="T1286" i="1" s="1"/>
  <c r="O1287" i="1"/>
  <c r="T1287" i="1" s="1"/>
  <c r="O1288" i="1"/>
  <c r="T1288" i="1" s="1"/>
  <c r="O1289" i="1"/>
  <c r="T1289" i="1" s="1"/>
  <c r="O1290" i="1"/>
  <c r="T1290" i="1" s="1"/>
  <c r="O1291" i="1"/>
  <c r="T1291" i="1" s="1"/>
  <c r="O1292" i="1"/>
  <c r="T1292" i="1" s="1"/>
  <c r="O1293" i="1"/>
  <c r="T1293" i="1" s="1"/>
  <c r="O1294" i="1"/>
  <c r="T1294" i="1" s="1"/>
  <c r="O1295" i="1"/>
  <c r="T1295" i="1" s="1"/>
  <c r="O1296" i="1"/>
  <c r="T1296" i="1" s="1"/>
  <c r="O1297" i="1"/>
  <c r="T1297" i="1" s="1"/>
  <c r="O1298" i="1"/>
  <c r="T1298" i="1" s="1"/>
  <c r="O1299" i="1"/>
  <c r="T1299" i="1" s="1"/>
  <c r="O1300" i="1"/>
  <c r="T1300" i="1" s="1"/>
  <c r="O1301" i="1"/>
  <c r="T1301" i="1" s="1"/>
  <c r="O1302" i="1"/>
  <c r="T1302" i="1" s="1"/>
  <c r="O1303" i="1"/>
  <c r="T1303" i="1" s="1"/>
  <c r="O1304" i="1"/>
  <c r="T1304" i="1" s="1"/>
  <c r="O1305" i="1"/>
  <c r="T1305" i="1" s="1"/>
  <c r="O1306" i="1"/>
  <c r="T1306" i="1" s="1"/>
  <c r="O1307" i="1"/>
  <c r="T1307" i="1" s="1"/>
  <c r="O1308" i="1"/>
  <c r="T1308" i="1" s="1"/>
  <c r="O1309" i="1"/>
  <c r="T1309" i="1" s="1"/>
  <c r="O1310" i="1"/>
  <c r="T1310" i="1" s="1"/>
  <c r="O1311" i="1"/>
  <c r="T1311" i="1" s="1"/>
  <c r="O1312" i="1"/>
  <c r="T1312" i="1" s="1"/>
  <c r="O1313" i="1"/>
  <c r="T1313" i="1" s="1"/>
  <c r="O1314" i="1"/>
  <c r="T1314" i="1" s="1"/>
  <c r="O1315" i="1"/>
  <c r="T1315" i="1" s="1"/>
  <c r="O1316" i="1"/>
  <c r="T1316" i="1" s="1"/>
  <c r="O1317" i="1"/>
  <c r="T1317" i="1" s="1"/>
  <c r="O1318" i="1"/>
  <c r="T1318" i="1" s="1"/>
  <c r="O1319" i="1"/>
  <c r="T1319" i="1" s="1"/>
  <c r="O1320" i="1"/>
  <c r="T1320" i="1" s="1"/>
  <c r="O1321" i="1"/>
  <c r="T1321" i="1" s="1"/>
  <c r="O1322" i="1"/>
  <c r="T1322" i="1" s="1"/>
  <c r="O1323" i="1"/>
  <c r="T1323" i="1" s="1"/>
  <c r="O1324" i="1"/>
  <c r="T1324" i="1" s="1"/>
  <c r="O1325" i="1"/>
  <c r="T1325" i="1" s="1"/>
  <c r="O1326" i="1"/>
  <c r="T1326" i="1" s="1"/>
  <c r="O1327" i="1"/>
  <c r="T1327" i="1" s="1"/>
  <c r="O1328" i="1"/>
  <c r="T1328" i="1" s="1"/>
  <c r="O1329" i="1"/>
  <c r="T1329" i="1" s="1"/>
  <c r="O1330" i="1"/>
  <c r="T1330" i="1" s="1"/>
  <c r="O1331" i="1"/>
  <c r="T1331" i="1" s="1"/>
  <c r="O1332" i="1"/>
  <c r="T1332" i="1" s="1"/>
  <c r="O1333" i="1"/>
  <c r="T1333" i="1" s="1"/>
  <c r="O1334" i="1"/>
  <c r="T1334" i="1" s="1"/>
  <c r="O1335" i="1"/>
  <c r="T1335" i="1" s="1"/>
  <c r="O1336" i="1"/>
  <c r="T1336" i="1" s="1"/>
  <c r="O1337" i="1"/>
  <c r="T1337" i="1" s="1"/>
  <c r="O1338" i="1"/>
  <c r="T1338" i="1" s="1"/>
  <c r="O1339" i="1"/>
  <c r="T1339" i="1" s="1"/>
  <c r="O1340" i="1"/>
  <c r="T1340" i="1" s="1"/>
  <c r="O1341" i="1"/>
  <c r="T1341" i="1" s="1"/>
  <c r="O1342" i="1"/>
  <c r="T1342" i="1" s="1"/>
  <c r="O1343" i="1"/>
  <c r="T1343" i="1" s="1"/>
  <c r="O1344" i="1"/>
  <c r="T1344" i="1" s="1"/>
  <c r="O1345" i="1"/>
  <c r="T1345" i="1" s="1"/>
  <c r="O1346" i="1"/>
  <c r="T1346" i="1" s="1"/>
  <c r="O1347" i="1"/>
  <c r="T1347" i="1" s="1"/>
  <c r="O1348" i="1"/>
  <c r="T1348" i="1" s="1"/>
  <c r="O1349" i="1"/>
  <c r="T1349" i="1" s="1"/>
  <c r="O1350" i="1"/>
  <c r="T1350" i="1" s="1"/>
  <c r="O1351" i="1"/>
  <c r="T1351" i="1" s="1"/>
  <c r="O1352" i="1"/>
  <c r="T1352" i="1" s="1"/>
  <c r="O1353" i="1"/>
  <c r="T1353" i="1" s="1"/>
  <c r="O1354" i="1"/>
  <c r="T1354" i="1" s="1"/>
  <c r="O1355" i="1"/>
  <c r="T1355" i="1" s="1"/>
  <c r="O1356" i="1"/>
  <c r="T1356" i="1" s="1"/>
  <c r="O1357" i="1"/>
  <c r="T1357" i="1" s="1"/>
  <c r="O1358" i="1"/>
  <c r="T1358" i="1" s="1"/>
  <c r="O1359" i="1"/>
  <c r="T1359" i="1" s="1"/>
  <c r="O1360" i="1"/>
  <c r="T1360" i="1" s="1"/>
  <c r="O1361" i="1"/>
  <c r="T1361" i="1" s="1"/>
  <c r="O1362" i="1"/>
  <c r="T1362" i="1" s="1"/>
  <c r="O1363" i="1"/>
  <c r="T1363" i="1" s="1"/>
  <c r="O1364" i="1"/>
  <c r="T1364" i="1" s="1"/>
  <c r="O1365" i="1"/>
  <c r="T1365" i="1" s="1"/>
  <c r="O1366" i="1"/>
  <c r="T1366" i="1" s="1"/>
  <c r="O1367" i="1"/>
  <c r="T1367" i="1" s="1"/>
  <c r="O1368" i="1"/>
  <c r="T1368" i="1" s="1"/>
  <c r="O1369" i="1"/>
  <c r="T1369" i="1" s="1"/>
  <c r="O1370" i="1"/>
  <c r="T1370" i="1" s="1"/>
  <c r="O1371" i="1"/>
  <c r="T1371" i="1" s="1"/>
  <c r="O1372" i="1"/>
  <c r="T1372" i="1" s="1"/>
  <c r="O1373" i="1"/>
  <c r="T1373" i="1" s="1"/>
  <c r="O1374" i="1"/>
  <c r="T1374" i="1" s="1"/>
  <c r="O1375" i="1"/>
  <c r="O1376" i="1"/>
  <c r="T1376" i="1" s="1"/>
  <c r="O1377" i="1"/>
  <c r="T1377" i="1" s="1"/>
  <c r="O1378" i="1"/>
  <c r="T1378" i="1" s="1"/>
  <c r="O1379" i="1"/>
  <c r="T1379" i="1" s="1"/>
  <c r="O1380" i="1"/>
  <c r="T1380" i="1" s="1"/>
  <c r="O1381" i="1"/>
  <c r="T1381" i="1" s="1"/>
  <c r="O1382" i="1"/>
  <c r="T1382" i="1" s="1"/>
  <c r="O1383" i="1"/>
  <c r="T1383" i="1" s="1"/>
  <c r="O1384" i="1"/>
  <c r="T1384" i="1" s="1"/>
  <c r="O1385" i="1"/>
  <c r="T1385" i="1" s="1"/>
  <c r="O1386" i="1"/>
  <c r="T1386" i="1" s="1"/>
  <c r="O1387" i="1"/>
  <c r="T1387" i="1" s="1"/>
  <c r="O1388" i="1"/>
  <c r="T1388" i="1" s="1"/>
  <c r="O1389" i="1"/>
  <c r="T1389" i="1" s="1"/>
  <c r="O1390" i="1"/>
  <c r="T1390" i="1" s="1"/>
  <c r="O1391" i="1"/>
  <c r="T1391" i="1" s="1"/>
  <c r="O1392" i="1"/>
  <c r="T1392" i="1" s="1"/>
  <c r="O1393" i="1"/>
  <c r="T1393" i="1" s="1"/>
  <c r="O1394" i="1"/>
  <c r="T1394" i="1" s="1"/>
  <c r="O1395" i="1"/>
  <c r="T1395" i="1" s="1"/>
  <c r="O1396" i="1"/>
  <c r="T1396" i="1" s="1"/>
  <c r="O1397" i="1"/>
  <c r="T1397" i="1" s="1"/>
  <c r="O1398" i="1"/>
  <c r="T1398" i="1" s="1"/>
  <c r="O1399" i="1"/>
  <c r="T1399" i="1" s="1"/>
  <c r="O1400" i="1"/>
  <c r="T1400" i="1" s="1"/>
  <c r="O1401" i="1"/>
  <c r="T1401" i="1" s="1"/>
  <c r="O1402" i="1"/>
  <c r="T1402" i="1" s="1"/>
  <c r="O1403" i="1"/>
  <c r="T1403" i="1" s="1"/>
  <c r="O1404" i="1"/>
  <c r="T1404" i="1" s="1"/>
  <c r="O1405" i="1"/>
  <c r="T1405" i="1" s="1"/>
  <c r="O1406" i="1"/>
  <c r="T1406" i="1" s="1"/>
  <c r="O1407" i="1"/>
  <c r="T1407" i="1" s="1"/>
  <c r="O1408" i="1"/>
  <c r="T1408" i="1" s="1"/>
  <c r="O1409" i="1"/>
  <c r="T1409" i="1" s="1"/>
  <c r="O1410" i="1"/>
  <c r="T1410" i="1" s="1"/>
  <c r="O1411" i="1"/>
  <c r="T1411" i="1" s="1"/>
  <c r="O1412" i="1"/>
  <c r="T1412" i="1" s="1"/>
  <c r="O1413" i="1"/>
  <c r="T1413" i="1" s="1"/>
  <c r="O1414" i="1"/>
  <c r="T1414" i="1" s="1"/>
  <c r="O1415" i="1"/>
  <c r="T1415" i="1" s="1"/>
  <c r="O1416" i="1"/>
  <c r="T1416" i="1" s="1"/>
  <c r="O1417" i="1"/>
  <c r="T1417" i="1" s="1"/>
  <c r="O1418" i="1"/>
  <c r="T1418" i="1" s="1"/>
  <c r="O1419" i="1"/>
  <c r="T1419" i="1" s="1"/>
  <c r="O1420" i="1"/>
  <c r="T1420" i="1" s="1"/>
  <c r="O1421" i="1"/>
  <c r="T1421" i="1" s="1"/>
  <c r="O1422" i="1"/>
  <c r="T1422" i="1" s="1"/>
  <c r="O1423" i="1"/>
  <c r="T1423" i="1" s="1"/>
  <c r="O1424" i="1"/>
  <c r="T1424" i="1" s="1"/>
  <c r="O1425" i="1"/>
  <c r="T1425" i="1" s="1"/>
  <c r="O1426" i="1"/>
  <c r="T1426" i="1" s="1"/>
  <c r="O1427" i="1"/>
  <c r="T1427" i="1" s="1"/>
  <c r="O1428" i="1"/>
  <c r="T1428" i="1" s="1"/>
  <c r="O1429" i="1"/>
  <c r="T1429" i="1" s="1"/>
  <c r="O1430" i="1"/>
  <c r="T1430" i="1" s="1"/>
  <c r="O1431" i="1"/>
  <c r="T1431" i="1" s="1"/>
  <c r="O1432" i="1"/>
  <c r="T1432" i="1" s="1"/>
  <c r="O1433" i="1"/>
  <c r="T1433" i="1" s="1"/>
  <c r="O1434" i="1"/>
  <c r="T1434" i="1" s="1"/>
  <c r="O1435" i="1"/>
  <c r="T1435" i="1" s="1"/>
  <c r="O1436" i="1"/>
  <c r="T1436" i="1" s="1"/>
  <c r="O1437" i="1"/>
  <c r="T1437" i="1" s="1"/>
  <c r="O1438" i="1"/>
  <c r="T1438" i="1" s="1"/>
  <c r="O1439" i="1"/>
  <c r="T1439" i="1" s="1"/>
  <c r="O1440" i="1"/>
  <c r="T1440" i="1" s="1"/>
  <c r="O1441" i="1"/>
  <c r="T1441" i="1" s="1"/>
  <c r="O1442" i="1"/>
  <c r="T1442" i="1" s="1"/>
  <c r="O1443" i="1"/>
  <c r="T1443" i="1" s="1"/>
  <c r="O1444" i="1"/>
  <c r="T1444" i="1" s="1"/>
  <c r="O1445" i="1"/>
  <c r="T1445" i="1" s="1"/>
  <c r="O1446" i="1"/>
  <c r="T1446" i="1" s="1"/>
  <c r="O1447" i="1"/>
  <c r="T1447" i="1" s="1"/>
  <c r="O1448" i="1"/>
  <c r="T1448" i="1" s="1"/>
  <c r="O1449" i="1"/>
  <c r="T1449" i="1" s="1"/>
  <c r="O1450" i="1"/>
  <c r="T1450" i="1" s="1"/>
  <c r="O1451" i="1"/>
  <c r="T1451" i="1" s="1"/>
  <c r="O1452" i="1"/>
  <c r="T1452" i="1" s="1"/>
  <c r="O1453" i="1"/>
  <c r="T1453" i="1" s="1"/>
  <c r="O1454" i="1"/>
  <c r="T1454" i="1" s="1"/>
  <c r="O1455" i="1"/>
  <c r="T1455" i="1" s="1"/>
  <c r="O1456" i="1"/>
  <c r="T1456" i="1" s="1"/>
  <c r="O1457" i="1"/>
  <c r="T1457" i="1" s="1"/>
  <c r="O1458" i="1"/>
  <c r="T1458" i="1" s="1"/>
  <c r="O1459" i="1"/>
  <c r="T1459" i="1" s="1"/>
  <c r="O1460" i="1"/>
  <c r="T1460" i="1" s="1"/>
  <c r="O1461" i="1"/>
  <c r="T1461" i="1" s="1"/>
  <c r="O1462" i="1"/>
  <c r="T1462" i="1" s="1"/>
  <c r="O1463" i="1"/>
  <c r="T1463" i="1" s="1"/>
  <c r="O1464" i="1"/>
  <c r="T1464" i="1" s="1"/>
  <c r="O1465" i="1"/>
  <c r="T1465" i="1" s="1"/>
  <c r="O1466" i="1"/>
  <c r="T1466" i="1" s="1"/>
  <c r="O1467" i="1"/>
  <c r="T1467" i="1" s="1"/>
  <c r="O1468" i="1"/>
  <c r="T1468" i="1" s="1"/>
  <c r="O1469" i="1"/>
  <c r="T1469" i="1" s="1"/>
  <c r="O1470" i="1"/>
  <c r="T1470" i="1" s="1"/>
  <c r="O1471" i="1"/>
  <c r="T1471" i="1" s="1"/>
  <c r="O1472" i="1"/>
  <c r="T1472" i="1" s="1"/>
  <c r="O1473" i="1"/>
  <c r="T1473" i="1" s="1"/>
  <c r="O1474" i="1"/>
  <c r="T1474" i="1" s="1"/>
  <c r="O1475" i="1"/>
  <c r="T1475" i="1" s="1"/>
  <c r="O1476" i="1"/>
  <c r="T1476" i="1" s="1"/>
  <c r="O1477" i="1"/>
  <c r="T1477" i="1" s="1"/>
  <c r="O1478" i="1"/>
  <c r="T1478" i="1" s="1"/>
  <c r="O1479" i="1"/>
  <c r="T1479" i="1" s="1"/>
  <c r="O1480" i="1"/>
  <c r="T1480" i="1" s="1"/>
  <c r="O1481" i="1"/>
  <c r="T1481" i="1" s="1"/>
  <c r="O1482" i="1"/>
  <c r="T1482" i="1" s="1"/>
  <c r="O1483" i="1"/>
  <c r="T1483" i="1" s="1"/>
  <c r="O1484" i="1"/>
  <c r="T1484" i="1" s="1"/>
  <c r="O1485" i="1"/>
  <c r="T1485" i="1" s="1"/>
  <c r="O1486" i="1"/>
  <c r="T1486" i="1" s="1"/>
  <c r="O1487" i="1"/>
  <c r="T1487" i="1" s="1"/>
  <c r="O1488" i="1"/>
  <c r="T1488" i="1" s="1"/>
  <c r="O1489" i="1"/>
  <c r="T1489" i="1" s="1"/>
  <c r="O1490" i="1"/>
  <c r="T1490" i="1" s="1"/>
  <c r="O1491" i="1"/>
  <c r="T1491" i="1" s="1"/>
  <c r="O1492" i="1"/>
  <c r="T1492" i="1" s="1"/>
  <c r="O1493" i="1"/>
  <c r="T1493" i="1" s="1"/>
  <c r="O1494" i="1"/>
  <c r="T1494" i="1" s="1"/>
  <c r="O1495" i="1"/>
  <c r="T1495" i="1" s="1"/>
  <c r="O1496" i="1"/>
  <c r="T1496" i="1" s="1"/>
  <c r="O1497" i="1"/>
  <c r="T1497" i="1" s="1"/>
  <c r="O1498" i="1"/>
  <c r="T1498" i="1" s="1"/>
  <c r="O1499" i="1"/>
  <c r="T1499" i="1" s="1"/>
  <c r="O1500" i="1"/>
  <c r="T1500" i="1" s="1"/>
  <c r="O1501" i="1"/>
  <c r="T1501" i="1" s="1"/>
  <c r="O1502" i="1"/>
  <c r="T1502" i="1" s="1"/>
  <c r="O1503" i="1"/>
  <c r="T1503" i="1" s="1"/>
  <c r="O1504" i="1"/>
  <c r="T1504" i="1" s="1"/>
  <c r="O1505" i="1"/>
  <c r="T1505" i="1" s="1"/>
  <c r="O1506" i="1"/>
  <c r="T1506" i="1" s="1"/>
  <c r="O1507" i="1"/>
  <c r="T1507" i="1" s="1"/>
  <c r="O1508" i="1"/>
  <c r="T1508" i="1" s="1"/>
  <c r="O1509" i="1"/>
  <c r="T1509" i="1" s="1"/>
  <c r="O1510" i="1"/>
  <c r="T1510" i="1" s="1"/>
  <c r="O1511" i="1"/>
  <c r="T1511" i="1" s="1"/>
  <c r="O1512" i="1"/>
  <c r="T1512" i="1" s="1"/>
  <c r="O1513" i="1"/>
  <c r="T1513" i="1" s="1"/>
  <c r="O1514" i="1"/>
  <c r="T1514" i="1" s="1"/>
  <c r="O1515" i="1"/>
  <c r="T1515" i="1" s="1"/>
  <c r="O1516" i="1"/>
  <c r="T1516" i="1" s="1"/>
  <c r="O1517" i="1"/>
  <c r="T1517" i="1" s="1"/>
  <c r="O1518" i="1"/>
  <c r="T1518" i="1" s="1"/>
  <c r="O1519" i="1"/>
  <c r="T1519" i="1" s="1"/>
  <c r="O1520" i="1"/>
  <c r="T1520" i="1" s="1"/>
  <c r="O1521" i="1"/>
  <c r="T1521" i="1" s="1"/>
  <c r="O1522" i="1"/>
  <c r="T1522" i="1" s="1"/>
  <c r="O1523" i="1"/>
  <c r="T1523" i="1" s="1"/>
  <c r="O1524" i="1"/>
  <c r="T1524" i="1" s="1"/>
  <c r="O1525" i="1"/>
  <c r="T1525" i="1" s="1"/>
  <c r="O1526" i="1"/>
  <c r="T1526" i="1" s="1"/>
  <c r="O1527" i="1"/>
  <c r="T1527" i="1" s="1"/>
  <c r="O1528" i="1"/>
  <c r="T1528" i="1" s="1"/>
  <c r="O1529" i="1"/>
  <c r="T1529" i="1" s="1"/>
  <c r="O1530" i="1"/>
  <c r="T1530" i="1" s="1"/>
  <c r="O1531" i="1"/>
  <c r="T1531" i="1" s="1"/>
  <c r="O1532" i="1"/>
  <c r="T1532" i="1" s="1"/>
  <c r="O1533" i="1"/>
  <c r="T1533" i="1" s="1"/>
  <c r="O1534" i="1"/>
  <c r="T1534" i="1" s="1"/>
  <c r="O1535" i="1"/>
  <c r="T1535" i="1" s="1"/>
  <c r="O1536" i="1"/>
  <c r="T1536" i="1" s="1"/>
  <c r="O1537" i="1"/>
  <c r="T1537" i="1" s="1"/>
  <c r="O1538" i="1"/>
  <c r="T1538" i="1" s="1"/>
  <c r="O1539" i="1"/>
  <c r="T1539" i="1" s="1"/>
  <c r="O1540" i="1"/>
  <c r="T1540" i="1" s="1"/>
  <c r="O1541" i="1"/>
  <c r="T1541" i="1" s="1"/>
  <c r="O1542" i="1"/>
  <c r="T1542" i="1" s="1"/>
  <c r="O1543" i="1"/>
  <c r="T1543" i="1" s="1"/>
  <c r="O1544" i="1"/>
  <c r="T1544" i="1" s="1"/>
  <c r="O1545" i="1"/>
  <c r="T1545" i="1" s="1"/>
  <c r="O1546" i="1"/>
  <c r="T1546" i="1" s="1"/>
  <c r="O1547" i="1"/>
  <c r="T1547" i="1" s="1"/>
  <c r="O1548" i="1"/>
  <c r="T1548" i="1" s="1"/>
  <c r="O1549" i="1"/>
  <c r="T1549" i="1" s="1"/>
  <c r="O1550" i="1"/>
  <c r="T1550" i="1" s="1"/>
  <c r="O1551" i="1"/>
  <c r="T1551" i="1" s="1"/>
  <c r="O1552" i="1"/>
  <c r="T1552" i="1" s="1"/>
  <c r="O1553" i="1"/>
  <c r="T1553" i="1" s="1"/>
  <c r="O1554" i="1"/>
  <c r="T1554" i="1" s="1"/>
  <c r="O1555" i="1"/>
  <c r="T1555" i="1" s="1"/>
  <c r="O1556" i="1"/>
  <c r="T1556" i="1" s="1"/>
  <c r="O1557" i="1"/>
  <c r="T1557" i="1" s="1"/>
  <c r="O1558" i="1"/>
  <c r="T1558" i="1" s="1"/>
  <c r="O1559" i="1"/>
  <c r="T1559" i="1" s="1"/>
  <c r="O1560" i="1"/>
  <c r="T1560" i="1" s="1"/>
  <c r="O1561" i="1"/>
  <c r="T1561" i="1" s="1"/>
  <c r="O1562" i="1"/>
  <c r="T1562" i="1" s="1"/>
  <c r="O1563" i="1"/>
  <c r="T1563" i="1" s="1"/>
  <c r="O1564" i="1"/>
  <c r="T1564" i="1" s="1"/>
  <c r="O1565" i="1"/>
  <c r="T1565" i="1" s="1"/>
  <c r="O1566" i="1"/>
  <c r="T1566" i="1" s="1"/>
  <c r="O1567" i="1"/>
  <c r="T1567" i="1" s="1"/>
  <c r="O1568" i="1"/>
  <c r="T1568" i="1" s="1"/>
  <c r="O1569" i="1"/>
  <c r="T1569" i="1" s="1"/>
  <c r="O1570" i="1"/>
  <c r="T1570" i="1" s="1"/>
  <c r="O1571" i="1"/>
  <c r="T1571" i="1" s="1"/>
  <c r="O1572" i="1"/>
  <c r="T1572" i="1" s="1"/>
  <c r="O1573" i="1"/>
  <c r="T1573" i="1" s="1"/>
  <c r="O1574" i="1"/>
  <c r="T1574" i="1" s="1"/>
  <c r="O1575" i="1"/>
  <c r="T1575" i="1" s="1"/>
  <c r="O1576" i="1"/>
  <c r="T1576" i="1" s="1"/>
  <c r="O1577" i="1"/>
  <c r="T1577" i="1" s="1"/>
  <c r="O1578" i="1"/>
  <c r="T1578" i="1" s="1"/>
  <c r="O1579" i="1"/>
  <c r="T1579" i="1" s="1"/>
  <c r="O1580" i="1"/>
  <c r="T1580" i="1" s="1"/>
  <c r="O1581" i="1"/>
  <c r="T1581" i="1" s="1"/>
  <c r="O1582" i="1"/>
  <c r="T1582" i="1" s="1"/>
  <c r="O1583" i="1"/>
  <c r="T1583" i="1" s="1"/>
  <c r="O1584" i="1"/>
  <c r="T1584" i="1" s="1"/>
  <c r="O1585" i="1"/>
  <c r="T1585" i="1" s="1"/>
  <c r="O1586" i="1"/>
  <c r="T1586" i="1" s="1"/>
  <c r="O1587" i="1"/>
  <c r="T1587" i="1" s="1"/>
  <c r="O1588" i="1"/>
  <c r="T1588" i="1" s="1"/>
  <c r="O1589" i="1"/>
  <c r="T1589" i="1" s="1"/>
  <c r="O1590" i="1"/>
  <c r="T1590" i="1" s="1"/>
  <c r="O1591" i="1"/>
  <c r="T1591" i="1" s="1"/>
  <c r="O1592" i="1"/>
  <c r="T1592" i="1" s="1"/>
  <c r="O1593" i="1"/>
  <c r="T1593" i="1" s="1"/>
  <c r="O1594" i="1"/>
  <c r="T1594" i="1" s="1"/>
  <c r="O1595" i="1"/>
  <c r="T1595" i="1" s="1"/>
  <c r="O1596" i="1"/>
  <c r="T1596" i="1" s="1"/>
  <c r="O1597" i="1"/>
  <c r="T1597" i="1" s="1"/>
  <c r="O1598" i="1"/>
  <c r="T1598" i="1" s="1"/>
  <c r="O1599" i="1"/>
  <c r="T1599" i="1" s="1"/>
  <c r="O1600" i="1"/>
  <c r="T1600" i="1" s="1"/>
  <c r="O1601" i="1"/>
  <c r="T1601" i="1" s="1"/>
  <c r="O1602" i="1"/>
  <c r="T1602" i="1" s="1"/>
  <c r="O1603" i="1"/>
  <c r="T1603" i="1" s="1"/>
  <c r="O1604" i="1"/>
  <c r="T1604" i="1" s="1"/>
  <c r="O1605" i="1"/>
  <c r="T1605" i="1" s="1"/>
  <c r="O1606" i="1"/>
  <c r="T1606" i="1" s="1"/>
  <c r="O1607" i="1"/>
  <c r="T1607" i="1" s="1"/>
  <c r="O1608" i="1"/>
  <c r="T1608" i="1" s="1"/>
  <c r="O1609" i="1"/>
  <c r="T1609" i="1" s="1"/>
  <c r="O1610" i="1"/>
  <c r="T1610" i="1" s="1"/>
  <c r="O1611" i="1"/>
  <c r="T1611" i="1" s="1"/>
  <c r="O1612" i="1"/>
  <c r="T1612" i="1" s="1"/>
  <c r="O1613" i="1"/>
  <c r="T1613" i="1" s="1"/>
  <c r="O1614" i="1"/>
  <c r="T1614" i="1" s="1"/>
  <c r="O1615" i="1"/>
  <c r="T1615" i="1" s="1"/>
  <c r="O1616" i="1"/>
  <c r="T1616" i="1" s="1"/>
  <c r="O1617" i="1"/>
  <c r="T1617" i="1" s="1"/>
  <c r="O1618" i="1"/>
  <c r="T1618" i="1" s="1"/>
  <c r="O1619" i="1"/>
  <c r="T1619" i="1" s="1"/>
  <c r="O1620" i="1"/>
  <c r="T1620" i="1" s="1"/>
  <c r="O1621" i="1"/>
  <c r="T1621" i="1" s="1"/>
  <c r="O1622" i="1"/>
  <c r="T1622" i="1" s="1"/>
  <c r="O1623" i="1"/>
  <c r="T1623" i="1" s="1"/>
  <c r="O1624" i="1"/>
  <c r="T1624" i="1" s="1"/>
  <c r="O1625" i="1"/>
  <c r="T1625" i="1" s="1"/>
  <c r="O1626" i="1"/>
  <c r="T1626" i="1" s="1"/>
  <c r="O1627" i="1"/>
  <c r="T1627" i="1" s="1"/>
  <c r="O1628" i="1"/>
  <c r="T1628" i="1" s="1"/>
  <c r="O1629" i="1"/>
  <c r="T1629" i="1" s="1"/>
  <c r="O1630" i="1"/>
  <c r="T1630" i="1" s="1"/>
  <c r="O1631" i="1"/>
  <c r="T1631" i="1" s="1"/>
  <c r="O1632" i="1"/>
  <c r="T1632" i="1" s="1"/>
  <c r="O1633" i="1"/>
  <c r="T1633" i="1" s="1"/>
  <c r="O1634" i="1"/>
  <c r="T1634" i="1" s="1"/>
  <c r="O1635" i="1"/>
  <c r="T1635" i="1" s="1"/>
  <c r="O1636" i="1"/>
  <c r="T1636" i="1" s="1"/>
  <c r="O1637" i="1"/>
  <c r="T1637" i="1" s="1"/>
  <c r="O1638" i="1"/>
  <c r="T1638" i="1" s="1"/>
  <c r="O1639" i="1"/>
  <c r="T1639" i="1" s="1"/>
  <c r="O1640" i="1"/>
  <c r="T1640" i="1" s="1"/>
  <c r="O1641" i="1"/>
  <c r="T1641" i="1" s="1"/>
  <c r="O1642" i="1"/>
  <c r="T1642" i="1" s="1"/>
  <c r="O1643" i="1"/>
  <c r="T1643" i="1" s="1"/>
  <c r="O1644" i="1"/>
  <c r="T1644" i="1" s="1"/>
  <c r="O1645" i="1"/>
  <c r="T1645" i="1" s="1"/>
  <c r="O1646" i="1"/>
  <c r="T1646" i="1" s="1"/>
  <c r="O1647" i="1"/>
  <c r="T1647" i="1" s="1"/>
  <c r="O1648" i="1"/>
  <c r="T1648" i="1" s="1"/>
  <c r="O1649" i="1"/>
  <c r="T1649" i="1" s="1"/>
  <c r="O1650" i="1"/>
  <c r="T1650" i="1" s="1"/>
  <c r="O1651" i="1"/>
  <c r="T1651" i="1" s="1"/>
  <c r="O1652" i="1"/>
  <c r="T1652" i="1" s="1"/>
  <c r="O1653" i="1"/>
  <c r="T1653" i="1" s="1"/>
  <c r="O1654" i="1"/>
  <c r="T1654" i="1" s="1"/>
  <c r="O1655" i="1"/>
  <c r="T1655" i="1" s="1"/>
  <c r="O1656" i="1"/>
  <c r="T1656" i="1" s="1"/>
  <c r="O1657" i="1"/>
  <c r="T1657" i="1" s="1"/>
  <c r="O1658" i="1"/>
  <c r="T1658" i="1" s="1"/>
  <c r="O1659" i="1"/>
  <c r="T1659" i="1" s="1"/>
  <c r="O1660" i="1"/>
  <c r="T1660" i="1" s="1"/>
  <c r="O1661" i="1"/>
  <c r="T1661" i="1" s="1"/>
  <c r="O1662" i="1"/>
  <c r="T1662" i="1" s="1"/>
  <c r="O1663" i="1"/>
  <c r="T1663" i="1" s="1"/>
  <c r="O1664" i="1"/>
  <c r="T1664" i="1" s="1"/>
  <c r="O1665" i="1"/>
  <c r="T1665" i="1" s="1"/>
  <c r="O1666" i="1"/>
  <c r="T1666" i="1" s="1"/>
  <c r="O1667" i="1"/>
  <c r="T1667" i="1" s="1"/>
  <c r="O1668" i="1"/>
  <c r="T1668" i="1" s="1"/>
  <c r="O1669" i="1"/>
  <c r="T1669" i="1" s="1"/>
  <c r="O1670" i="1"/>
  <c r="T1670" i="1" s="1"/>
  <c r="O1671" i="1"/>
  <c r="T1671" i="1" s="1"/>
  <c r="O1672" i="1"/>
  <c r="T1672" i="1" s="1"/>
  <c r="O1673" i="1"/>
  <c r="T1673" i="1" s="1"/>
  <c r="O1674" i="1"/>
  <c r="T1674" i="1" s="1"/>
  <c r="O1675" i="1"/>
  <c r="T1675" i="1" s="1"/>
  <c r="O1676" i="1"/>
  <c r="T1676" i="1" s="1"/>
  <c r="O1677" i="1"/>
  <c r="T1677" i="1" s="1"/>
  <c r="O1678" i="1"/>
  <c r="T1678" i="1" s="1"/>
  <c r="O1679" i="1"/>
  <c r="T1679" i="1" s="1"/>
  <c r="O1680" i="1"/>
  <c r="T1680" i="1" s="1"/>
  <c r="O1681" i="1"/>
  <c r="T1681" i="1" s="1"/>
  <c r="O1682" i="1"/>
  <c r="T1682" i="1" s="1"/>
  <c r="O1683" i="1"/>
  <c r="T1683" i="1" s="1"/>
  <c r="O1684" i="1"/>
  <c r="T1684" i="1" s="1"/>
  <c r="O1685" i="1"/>
  <c r="T1685" i="1" s="1"/>
  <c r="O1686" i="1"/>
  <c r="T1686" i="1" s="1"/>
  <c r="O1687" i="1"/>
  <c r="T1687" i="1" s="1"/>
  <c r="O1688" i="1"/>
  <c r="T1688" i="1" s="1"/>
  <c r="O1689" i="1"/>
  <c r="T1689" i="1" s="1"/>
  <c r="O1690" i="1"/>
  <c r="T1690" i="1" s="1"/>
  <c r="O1691" i="1"/>
  <c r="T1691" i="1" s="1"/>
  <c r="O1692" i="1"/>
  <c r="T1692" i="1" s="1"/>
  <c r="O1693" i="1"/>
  <c r="T1693" i="1" s="1"/>
  <c r="O1694" i="1"/>
  <c r="T1694" i="1" s="1"/>
  <c r="O1695" i="1"/>
  <c r="T1695" i="1" s="1"/>
  <c r="O1696" i="1"/>
  <c r="T1696" i="1" s="1"/>
  <c r="O1697" i="1"/>
  <c r="T1697" i="1" s="1"/>
  <c r="O1698" i="1"/>
  <c r="T1698" i="1" s="1"/>
  <c r="O1699" i="1"/>
  <c r="T1699" i="1" s="1"/>
  <c r="O1700" i="1"/>
  <c r="T1700" i="1" s="1"/>
  <c r="O1701" i="1"/>
  <c r="T1701" i="1" s="1"/>
  <c r="O1702" i="1"/>
  <c r="T1702" i="1" s="1"/>
  <c r="O1703" i="1"/>
  <c r="T1703" i="1" s="1"/>
  <c r="O1704" i="1"/>
  <c r="T1704" i="1" s="1"/>
  <c r="O1705" i="1"/>
  <c r="T1705" i="1" s="1"/>
  <c r="O1706" i="1"/>
  <c r="T1706" i="1" s="1"/>
  <c r="O1707" i="1"/>
  <c r="T1707" i="1" s="1"/>
  <c r="O1708" i="1"/>
  <c r="T1708" i="1" s="1"/>
  <c r="O1709" i="1"/>
  <c r="T1709" i="1" s="1"/>
  <c r="O1710" i="1"/>
  <c r="T1710" i="1" s="1"/>
  <c r="O1711" i="1"/>
  <c r="T1711" i="1" s="1"/>
  <c r="O1712" i="1"/>
  <c r="T1712" i="1" s="1"/>
  <c r="O1713" i="1"/>
  <c r="T1713" i="1" s="1"/>
  <c r="O1714" i="1"/>
  <c r="T1714" i="1" s="1"/>
  <c r="O1715" i="1"/>
  <c r="T1715" i="1" s="1"/>
  <c r="O1716" i="1"/>
  <c r="T1716" i="1" s="1"/>
  <c r="O1717" i="1"/>
  <c r="T1717" i="1" s="1"/>
  <c r="O1718" i="1"/>
  <c r="T1718" i="1" s="1"/>
  <c r="O1719" i="1"/>
  <c r="T1719" i="1" s="1"/>
  <c r="O1720" i="1"/>
  <c r="T1720" i="1" s="1"/>
  <c r="O1721" i="1"/>
  <c r="T1721" i="1" s="1"/>
  <c r="O1722" i="1"/>
  <c r="T1722" i="1" s="1"/>
  <c r="O1723" i="1"/>
  <c r="T1723" i="1" s="1"/>
  <c r="O1724" i="1"/>
  <c r="T1724" i="1" s="1"/>
  <c r="O1725" i="1"/>
  <c r="T1725" i="1" s="1"/>
  <c r="O1726" i="1"/>
  <c r="T1726" i="1" s="1"/>
  <c r="O1727" i="1"/>
  <c r="T1727" i="1" s="1"/>
  <c r="O1728" i="1"/>
  <c r="T1728" i="1" s="1"/>
  <c r="O1729" i="1"/>
  <c r="T1729" i="1" s="1"/>
  <c r="O1730" i="1"/>
  <c r="T1730" i="1" s="1"/>
  <c r="O1731" i="1"/>
  <c r="T1731" i="1" s="1"/>
  <c r="O1732" i="1"/>
  <c r="T1732" i="1" s="1"/>
  <c r="O1733" i="1"/>
  <c r="T1733" i="1" s="1"/>
  <c r="O1734" i="1"/>
  <c r="T1734" i="1" s="1"/>
  <c r="O1735" i="1"/>
  <c r="T1735" i="1" s="1"/>
  <c r="O1736" i="1"/>
  <c r="T1736" i="1" s="1"/>
  <c r="O1737" i="1"/>
  <c r="T1737" i="1" s="1"/>
  <c r="O1738" i="1"/>
  <c r="T1738" i="1" s="1"/>
  <c r="O1739" i="1"/>
  <c r="T1739" i="1" s="1"/>
  <c r="O1740" i="1"/>
  <c r="T1740" i="1" s="1"/>
  <c r="O1741" i="1"/>
  <c r="T1741" i="1" s="1"/>
  <c r="O1742" i="1"/>
  <c r="T1742" i="1" s="1"/>
  <c r="O1743" i="1"/>
  <c r="T1743" i="1" s="1"/>
  <c r="O1744" i="1"/>
  <c r="T1744" i="1" s="1"/>
  <c r="O1745" i="1"/>
  <c r="T1745" i="1" s="1"/>
  <c r="O1746" i="1"/>
  <c r="T1746" i="1" s="1"/>
  <c r="O1747" i="1"/>
  <c r="T1747" i="1" s="1"/>
  <c r="O1748" i="1"/>
  <c r="T1748" i="1" s="1"/>
  <c r="O1749" i="1"/>
  <c r="T1749" i="1" s="1"/>
  <c r="O1750" i="1"/>
  <c r="T1750" i="1" s="1"/>
  <c r="O1751" i="1"/>
  <c r="T1751" i="1" s="1"/>
  <c r="O1752" i="1"/>
  <c r="T1752" i="1" s="1"/>
  <c r="O1753" i="1"/>
  <c r="T1753" i="1" s="1"/>
  <c r="O1754" i="1"/>
  <c r="T1754" i="1" s="1"/>
  <c r="O1755" i="1"/>
  <c r="T1755" i="1" s="1"/>
  <c r="O1756" i="1"/>
  <c r="T1756" i="1" s="1"/>
  <c r="O1757" i="1"/>
  <c r="T1757" i="1" s="1"/>
  <c r="O1758" i="1"/>
  <c r="T1758" i="1" s="1"/>
  <c r="O1759" i="1"/>
  <c r="T1759" i="1" s="1"/>
  <c r="O1760" i="1"/>
  <c r="T1760" i="1" s="1"/>
  <c r="O1761" i="1"/>
  <c r="T1761" i="1" s="1"/>
  <c r="O1762" i="1"/>
  <c r="T1762" i="1" s="1"/>
  <c r="O1763" i="1"/>
  <c r="T1763" i="1" s="1"/>
  <c r="O1764" i="1"/>
  <c r="T1764" i="1" s="1"/>
  <c r="O1765" i="1"/>
  <c r="T1765" i="1" s="1"/>
  <c r="O1766" i="1"/>
  <c r="T1766" i="1" s="1"/>
  <c r="O1767" i="1"/>
  <c r="T1767" i="1" s="1"/>
  <c r="O1768" i="1"/>
  <c r="T1768" i="1" s="1"/>
  <c r="O1769" i="1"/>
  <c r="T1769" i="1" s="1"/>
  <c r="O1770" i="1"/>
  <c r="T1770" i="1" s="1"/>
  <c r="O1771" i="1"/>
  <c r="T1771" i="1" s="1"/>
  <c r="O1772" i="1"/>
  <c r="T1772" i="1" s="1"/>
  <c r="O1773" i="1"/>
  <c r="T1773" i="1" s="1"/>
  <c r="O1774" i="1"/>
  <c r="T1774" i="1" s="1"/>
  <c r="O1775" i="1"/>
  <c r="T1775" i="1" s="1"/>
  <c r="O1776" i="1"/>
  <c r="T1776" i="1" s="1"/>
  <c r="O1777" i="1"/>
  <c r="T1777" i="1" s="1"/>
  <c r="O1778" i="1"/>
  <c r="T1778" i="1" s="1"/>
  <c r="O1779" i="1"/>
  <c r="T1779" i="1" s="1"/>
  <c r="O1780" i="1"/>
  <c r="T1780" i="1" s="1"/>
  <c r="O1781" i="1"/>
  <c r="T1781" i="1" s="1"/>
  <c r="O1782" i="1"/>
  <c r="T1782" i="1" s="1"/>
  <c r="O1783" i="1"/>
  <c r="T1783" i="1" s="1"/>
  <c r="O1784" i="1"/>
  <c r="T1784" i="1" s="1"/>
  <c r="O1785" i="1"/>
  <c r="T1785" i="1" s="1"/>
  <c r="O1786" i="1"/>
  <c r="T1786" i="1" s="1"/>
  <c r="O1787" i="1"/>
  <c r="T1787" i="1" s="1"/>
  <c r="O1788" i="1"/>
  <c r="T1788" i="1" s="1"/>
  <c r="O1789" i="1"/>
  <c r="T1789" i="1" s="1"/>
  <c r="O1790" i="1"/>
  <c r="T1790" i="1" s="1"/>
  <c r="O1791" i="1"/>
  <c r="T1791" i="1" s="1"/>
  <c r="O1792" i="1"/>
  <c r="T1792" i="1" s="1"/>
  <c r="O1793" i="1"/>
  <c r="T1793" i="1" s="1"/>
  <c r="O1794" i="1"/>
  <c r="T1794" i="1" s="1"/>
  <c r="O1795" i="1"/>
  <c r="T1795" i="1" s="1"/>
  <c r="O1796" i="1"/>
  <c r="T1796" i="1" s="1"/>
  <c r="O1797" i="1"/>
  <c r="T1797" i="1" s="1"/>
  <c r="O1798" i="1"/>
  <c r="T1798" i="1" s="1"/>
  <c r="O1799" i="1"/>
  <c r="T1799" i="1" s="1"/>
  <c r="O1800" i="1"/>
  <c r="T1800" i="1" s="1"/>
  <c r="O1801" i="1"/>
  <c r="T1801" i="1" s="1"/>
  <c r="O1802" i="1"/>
  <c r="T1802" i="1" s="1"/>
  <c r="O1803" i="1"/>
  <c r="T1803" i="1" s="1"/>
  <c r="O1804" i="1"/>
  <c r="T1804" i="1" s="1"/>
  <c r="O1805" i="1"/>
  <c r="T1805" i="1" s="1"/>
  <c r="O1806" i="1"/>
  <c r="T1806" i="1" s="1"/>
  <c r="O1807" i="1"/>
  <c r="T1807" i="1" s="1"/>
  <c r="O1808" i="1"/>
  <c r="T1808" i="1" s="1"/>
  <c r="O1809" i="1"/>
  <c r="T1809" i="1" s="1"/>
  <c r="O1810" i="1"/>
  <c r="T1810" i="1" s="1"/>
  <c r="O1811" i="1"/>
  <c r="T1811" i="1" s="1"/>
  <c r="O1812" i="1"/>
  <c r="T1812" i="1" s="1"/>
  <c r="O1813" i="1"/>
  <c r="T1813" i="1" s="1"/>
  <c r="O1814" i="1"/>
  <c r="T1814" i="1" s="1"/>
  <c r="O1815" i="1"/>
  <c r="T1815" i="1" s="1"/>
  <c r="O1816" i="1"/>
  <c r="T1816" i="1" s="1"/>
  <c r="O1817" i="1"/>
  <c r="T1817" i="1" s="1"/>
  <c r="O1818" i="1"/>
  <c r="T1818" i="1" s="1"/>
  <c r="O1819" i="1"/>
  <c r="T1819" i="1" s="1"/>
  <c r="O1820" i="1"/>
  <c r="T1820" i="1" s="1"/>
  <c r="O1821" i="1"/>
  <c r="T1821" i="1" s="1"/>
  <c r="O1822" i="1"/>
  <c r="T1822" i="1" s="1"/>
  <c r="O1823" i="1"/>
  <c r="T1823" i="1" s="1"/>
  <c r="O1824" i="1"/>
  <c r="T1824" i="1" s="1"/>
  <c r="O1825" i="1"/>
  <c r="T1825" i="1" s="1"/>
  <c r="O1826" i="1"/>
  <c r="T1826" i="1" s="1"/>
  <c r="O1827" i="1"/>
  <c r="T1827" i="1" s="1"/>
  <c r="O1828" i="1"/>
  <c r="T1828" i="1" s="1"/>
  <c r="O1829" i="1"/>
  <c r="T1829" i="1" s="1"/>
  <c r="O1830" i="1"/>
  <c r="T1830" i="1" s="1"/>
  <c r="O1831" i="1"/>
  <c r="T1831" i="1" s="1"/>
  <c r="O1832" i="1"/>
  <c r="T1832" i="1" s="1"/>
  <c r="O1833" i="1"/>
  <c r="T1833" i="1" s="1"/>
  <c r="O1834" i="1"/>
  <c r="T1834" i="1" s="1"/>
  <c r="O1835" i="1"/>
  <c r="T1835" i="1" s="1"/>
  <c r="O1836" i="1"/>
  <c r="T1836" i="1" s="1"/>
  <c r="O1837" i="1"/>
  <c r="T1837" i="1" s="1"/>
  <c r="O1838" i="1"/>
  <c r="T1838" i="1" s="1"/>
  <c r="O1839" i="1"/>
  <c r="T1839" i="1" s="1"/>
  <c r="O1840" i="1"/>
  <c r="T1840" i="1" s="1"/>
  <c r="O1841" i="1"/>
  <c r="T1841" i="1" s="1"/>
  <c r="O1842" i="1"/>
  <c r="T1842" i="1" s="1"/>
  <c r="O1843" i="1"/>
  <c r="T1843" i="1" s="1"/>
  <c r="O1844" i="1"/>
  <c r="T1844" i="1" s="1"/>
  <c r="O1845" i="1"/>
  <c r="T1845" i="1" s="1"/>
  <c r="O1846" i="1"/>
  <c r="T1846" i="1" s="1"/>
  <c r="O1847" i="1"/>
  <c r="T1847" i="1" s="1"/>
  <c r="O1848" i="1"/>
  <c r="T1848" i="1" s="1"/>
  <c r="O1849" i="1"/>
  <c r="T1849" i="1" s="1"/>
  <c r="O1850" i="1"/>
  <c r="T1850" i="1" s="1"/>
  <c r="O1851" i="1"/>
  <c r="T1851" i="1" s="1"/>
  <c r="O1852" i="1"/>
  <c r="T1852" i="1" s="1"/>
  <c r="O1853" i="1"/>
  <c r="T1853" i="1" s="1"/>
  <c r="O1854" i="1"/>
  <c r="T1854" i="1" s="1"/>
  <c r="O1855" i="1"/>
  <c r="T1855" i="1" s="1"/>
  <c r="O1856" i="1"/>
  <c r="T1856" i="1" s="1"/>
  <c r="O1857" i="1"/>
  <c r="T1857" i="1" s="1"/>
  <c r="O1858" i="1"/>
  <c r="T1858" i="1" s="1"/>
  <c r="O1859" i="1"/>
  <c r="T1859" i="1" s="1"/>
  <c r="O1860" i="1"/>
  <c r="T1860" i="1" s="1"/>
  <c r="O1861" i="1"/>
  <c r="T1861" i="1" s="1"/>
  <c r="O1862" i="1"/>
  <c r="T1862" i="1" s="1"/>
  <c r="O1863" i="1"/>
  <c r="T1863" i="1" s="1"/>
  <c r="O1864" i="1"/>
  <c r="T1864" i="1" s="1"/>
  <c r="O1865" i="1"/>
  <c r="T1865" i="1" s="1"/>
  <c r="O1866" i="1"/>
  <c r="T1866" i="1" s="1"/>
  <c r="O1867" i="1"/>
  <c r="T1867" i="1" s="1"/>
  <c r="O1868" i="1"/>
  <c r="T1868" i="1" s="1"/>
  <c r="O1869" i="1"/>
  <c r="T1869" i="1" s="1"/>
  <c r="O1870" i="1"/>
  <c r="T1870" i="1" s="1"/>
  <c r="O1871" i="1"/>
  <c r="T1871" i="1" s="1"/>
  <c r="O1872" i="1"/>
  <c r="T1872" i="1" s="1"/>
  <c r="O1873" i="1"/>
  <c r="T1873" i="1" s="1"/>
  <c r="O1874" i="1"/>
  <c r="T1874" i="1" s="1"/>
  <c r="O1875" i="1"/>
  <c r="T1875" i="1" s="1"/>
  <c r="O1876" i="1"/>
  <c r="T1876" i="1" s="1"/>
  <c r="O1877" i="1"/>
  <c r="T1877" i="1" s="1"/>
  <c r="O1878" i="1"/>
  <c r="T1878" i="1" s="1"/>
  <c r="O1879" i="1"/>
  <c r="T1879" i="1" s="1"/>
  <c r="O1880" i="1"/>
  <c r="T1880" i="1" s="1"/>
  <c r="O1881" i="1"/>
  <c r="T1881" i="1" s="1"/>
  <c r="O1882" i="1"/>
  <c r="T1882" i="1" s="1"/>
  <c r="O1883" i="1"/>
  <c r="T1883" i="1" s="1"/>
  <c r="O1884" i="1"/>
  <c r="T1884" i="1" s="1"/>
  <c r="O1885" i="1"/>
  <c r="T1885" i="1" s="1"/>
  <c r="O1886" i="1"/>
  <c r="T1886" i="1" s="1"/>
  <c r="O1887" i="1"/>
  <c r="T1887" i="1" s="1"/>
  <c r="O1888" i="1"/>
  <c r="T1888" i="1" s="1"/>
  <c r="O1889" i="1"/>
  <c r="T1889" i="1" s="1"/>
  <c r="O1890" i="1"/>
  <c r="T1890" i="1" s="1"/>
  <c r="O1891" i="1"/>
  <c r="T1891" i="1" s="1"/>
  <c r="O1892" i="1"/>
  <c r="T1892" i="1" s="1"/>
  <c r="O1893" i="1"/>
  <c r="T1893" i="1" s="1"/>
  <c r="O1894" i="1"/>
  <c r="T1894" i="1" s="1"/>
  <c r="O1895" i="1"/>
  <c r="T1895" i="1" s="1"/>
  <c r="O1896" i="1"/>
  <c r="T1896" i="1" s="1"/>
  <c r="O1897" i="1"/>
  <c r="T1897" i="1" s="1"/>
  <c r="O1898" i="1"/>
  <c r="T1898" i="1" s="1"/>
  <c r="O1899" i="1"/>
  <c r="T1899" i="1" s="1"/>
  <c r="O1900" i="1"/>
  <c r="T1900" i="1" s="1"/>
  <c r="O1901" i="1"/>
  <c r="T1901" i="1" s="1"/>
  <c r="O1902" i="1"/>
  <c r="T1902" i="1" s="1"/>
  <c r="O1903" i="1"/>
  <c r="T1903" i="1" s="1"/>
  <c r="O1904" i="1"/>
  <c r="T1904" i="1" s="1"/>
  <c r="O1905" i="1"/>
  <c r="T1905" i="1" s="1"/>
  <c r="O1906" i="1"/>
  <c r="T1906" i="1" s="1"/>
  <c r="O1907" i="1"/>
  <c r="T1907" i="1" s="1"/>
  <c r="O1908" i="1"/>
  <c r="T1908" i="1" s="1"/>
  <c r="O1909" i="1"/>
  <c r="T1909" i="1" s="1"/>
  <c r="O1910" i="1"/>
  <c r="T1910" i="1" s="1"/>
  <c r="O1911" i="1"/>
  <c r="T1911" i="1" s="1"/>
  <c r="O1912" i="1"/>
  <c r="T1912" i="1" s="1"/>
  <c r="O1913" i="1"/>
  <c r="T1913" i="1" s="1"/>
  <c r="O1914" i="1"/>
  <c r="T1914" i="1" s="1"/>
  <c r="O1915" i="1"/>
  <c r="T1915" i="1" s="1"/>
  <c r="O1916" i="1"/>
  <c r="T1916" i="1" s="1"/>
  <c r="O1917" i="1"/>
  <c r="T1917" i="1" s="1"/>
  <c r="O1918" i="1"/>
  <c r="T1918" i="1" s="1"/>
  <c r="O1919" i="1"/>
  <c r="T1919" i="1" s="1"/>
  <c r="O1920" i="1"/>
  <c r="T1920" i="1" s="1"/>
  <c r="O1921" i="1"/>
  <c r="T1921" i="1" s="1"/>
  <c r="O1922" i="1"/>
  <c r="T1922" i="1" s="1"/>
  <c r="O1923" i="1"/>
  <c r="T1923" i="1" s="1"/>
  <c r="O1924" i="1"/>
  <c r="T1924" i="1" s="1"/>
  <c r="O1925" i="1"/>
  <c r="T1925" i="1" s="1"/>
  <c r="O1926" i="1"/>
  <c r="T1926" i="1" s="1"/>
  <c r="O1927" i="1"/>
  <c r="T1927" i="1" s="1"/>
  <c r="O1928" i="1"/>
  <c r="T1928" i="1" s="1"/>
  <c r="O1929" i="1"/>
  <c r="T1929" i="1" s="1"/>
  <c r="O1930" i="1"/>
  <c r="T1930" i="1" s="1"/>
  <c r="O1931" i="1"/>
  <c r="T1931" i="1" s="1"/>
  <c r="O1932" i="1"/>
  <c r="T1932" i="1" s="1"/>
  <c r="O1933" i="1"/>
  <c r="T1933" i="1" s="1"/>
  <c r="O1934" i="1"/>
  <c r="T1934" i="1" s="1"/>
  <c r="O1935" i="1"/>
  <c r="T1935" i="1" s="1"/>
  <c r="O1936" i="1"/>
  <c r="T1936" i="1" s="1"/>
  <c r="O1937" i="1"/>
  <c r="T1937" i="1" s="1"/>
  <c r="O1938" i="1"/>
  <c r="T1938" i="1" s="1"/>
  <c r="O1939" i="1"/>
  <c r="T1939" i="1" s="1"/>
  <c r="O1940" i="1"/>
  <c r="T1940" i="1" s="1"/>
  <c r="O1941" i="1"/>
  <c r="T1941" i="1" s="1"/>
  <c r="O1942" i="1"/>
  <c r="T1942" i="1" s="1"/>
  <c r="O1943" i="1"/>
  <c r="T1943" i="1" s="1"/>
  <c r="O1944" i="1"/>
  <c r="T1944" i="1" s="1"/>
  <c r="O1945" i="1"/>
  <c r="T1945" i="1" s="1"/>
  <c r="O1946" i="1"/>
  <c r="T1946" i="1" s="1"/>
  <c r="O1947" i="1"/>
  <c r="T1947" i="1" s="1"/>
  <c r="O1948" i="1"/>
  <c r="T1948" i="1" s="1"/>
  <c r="O1949" i="1"/>
  <c r="T1949" i="1" s="1"/>
  <c r="O1950" i="1"/>
  <c r="T1950" i="1" s="1"/>
  <c r="O1951" i="1"/>
  <c r="T1951" i="1" s="1"/>
  <c r="O1952" i="1"/>
  <c r="T1952" i="1" s="1"/>
  <c r="O1953" i="1"/>
  <c r="T1953" i="1" s="1"/>
  <c r="O1954" i="1"/>
  <c r="T1954" i="1" s="1"/>
  <c r="O1955" i="1"/>
  <c r="T1955" i="1" s="1"/>
  <c r="O1956" i="1"/>
  <c r="T1956" i="1" s="1"/>
  <c r="O1957" i="1"/>
  <c r="T1957" i="1" s="1"/>
  <c r="O1958" i="1"/>
  <c r="T1958" i="1" s="1"/>
  <c r="O1959" i="1"/>
  <c r="T1959" i="1" s="1"/>
  <c r="O1960" i="1"/>
  <c r="T1960" i="1" s="1"/>
  <c r="O1961" i="1"/>
  <c r="T1961" i="1" s="1"/>
  <c r="O1962" i="1"/>
  <c r="T1962" i="1" s="1"/>
  <c r="O1963" i="1"/>
  <c r="T1963" i="1" s="1"/>
  <c r="O1964" i="1"/>
  <c r="T1964" i="1" s="1"/>
  <c r="O1965" i="1"/>
  <c r="T1965" i="1" s="1"/>
  <c r="O1966" i="1"/>
  <c r="T1966" i="1" s="1"/>
  <c r="O1967" i="1"/>
  <c r="T1967" i="1" s="1"/>
  <c r="O1968" i="1"/>
  <c r="T1968" i="1" s="1"/>
  <c r="O1969" i="1"/>
  <c r="T1969" i="1" s="1"/>
  <c r="O1970" i="1"/>
  <c r="T1970" i="1" s="1"/>
  <c r="O1971" i="1"/>
  <c r="T1971" i="1" s="1"/>
  <c r="O1972" i="1"/>
  <c r="T1972" i="1" s="1"/>
  <c r="O1973" i="1"/>
  <c r="T1973" i="1" s="1"/>
  <c r="O1974" i="1"/>
  <c r="T1974" i="1" s="1"/>
  <c r="O1975" i="1"/>
  <c r="T1975" i="1" s="1"/>
  <c r="O1976" i="1"/>
  <c r="T1976" i="1" s="1"/>
  <c r="O1977" i="1"/>
  <c r="T1977" i="1" s="1"/>
  <c r="O1978" i="1"/>
  <c r="T1978" i="1" s="1"/>
  <c r="O1979" i="1"/>
  <c r="T1979" i="1" s="1"/>
  <c r="O1980" i="1"/>
  <c r="T1980" i="1" s="1"/>
  <c r="O1981" i="1"/>
  <c r="T1981" i="1" s="1"/>
  <c r="O1982" i="1"/>
  <c r="T1982" i="1" s="1"/>
  <c r="O1983" i="1"/>
  <c r="T1983" i="1" s="1"/>
  <c r="O1984" i="1"/>
  <c r="T1984" i="1" s="1"/>
  <c r="O1985" i="1"/>
  <c r="T1985" i="1" s="1"/>
  <c r="O1986" i="1"/>
  <c r="T1986" i="1" s="1"/>
  <c r="O1987" i="1"/>
  <c r="T1987" i="1" s="1"/>
  <c r="O1988" i="1"/>
  <c r="T1988" i="1" s="1"/>
  <c r="O1989" i="1"/>
  <c r="T1989" i="1" s="1"/>
  <c r="O1990" i="1"/>
  <c r="T1990" i="1" s="1"/>
  <c r="O1991" i="1"/>
  <c r="T1991" i="1" s="1"/>
  <c r="O1992" i="1"/>
  <c r="T1992" i="1" s="1"/>
  <c r="O1993" i="1"/>
  <c r="T1993" i="1" s="1"/>
  <c r="O1994" i="1"/>
  <c r="T1994" i="1" s="1"/>
  <c r="O1995" i="1"/>
  <c r="T1995" i="1" s="1"/>
  <c r="O1996" i="1"/>
  <c r="T1996" i="1" s="1"/>
  <c r="O1997" i="1"/>
  <c r="T1997" i="1" s="1"/>
  <c r="O1998" i="1"/>
  <c r="T1998" i="1" s="1"/>
  <c r="O1999" i="1"/>
  <c r="T1999" i="1" s="1"/>
  <c r="O2000" i="1"/>
  <c r="T2000" i="1" s="1"/>
  <c r="O2001" i="1"/>
  <c r="T2001" i="1" s="1"/>
  <c r="O2002" i="1"/>
  <c r="T2002" i="1" s="1"/>
  <c r="O2003" i="1"/>
  <c r="T2003" i="1" s="1"/>
  <c r="O2004" i="1"/>
  <c r="T2004" i="1" s="1"/>
  <c r="O2005" i="1"/>
  <c r="T2005" i="1" s="1"/>
  <c r="O2006" i="1"/>
  <c r="T2006" i="1" s="1"/>
  <c r="O2007" i="1"/>
  <c r="T2007" i="1" s="1"/>
  <c r="O2008" i="1"/>
  <c r="T2008" i="1" s="1"/>
  <c r="O2009" i="1"/>
  <c r="T2009" i="1" s="1"/>
  <c r="O2010" i="1"/>
  <c r="T2010" i="1" s="1"/>
  <c r="O2011" i="1"/>
  <c r="T2011" i="1" s="1"/>
  <c r="O2012" i="1"/>
  <c r="T2012" i="1" s="1"/>
  <c r="O2013" i="1"/>
  <c r="T2013" i="1" s="1"/>
  <c r="O2014" i="1"/>
  <c r="T2014" i="1" s="1"/>
  <c r="O2015" i="1"/>
  <c r="T2015" i="1" s="1"/>
  <c r="O2016" i="1"/>
  <c r="T2016" i="1" s="1"/>
  <c r="O2017" i="1"/>
  <c r="T2017" i="1" s="1"/>
  <c r="O2018" i="1"/>
  <c r="T2018" i="1" s="1"/>
  <c r="O2019" i="1"/>
  <c r="T2019" i="1" s="1"/>
  <c r="O2020" i="1"/>
  <c r="T2020" i="1" s="1"/>
  <c r="O2021" i="1"/>
  <c r="T2021" i="1" s="1"/>
  <c r="O2022" i="1"/>
  <c r="T2022" i="1" s="1"/>
  <c r="O2023" i="1"/>
  <c r="T2023" i="1" s="1"/>
  <c r="O2024" i="1"/>
  <c r="T2024" i="1" s="1"/>
  <c r="O2025" i="1"/>
  <c r="T2025" i="1" s="1"/>
  <c r="O2026" i="1"/>
  <c r="T2026" i="1" s="1"/>
  <c r="O2027" i="1"/>
  <c r="T2027" i="1" s="1"/>
  <c r="O2028" i="1"/>
  <c r="T2028" i="1" s="1"/>
  <c r="O2029" i="1"/>
  <c r="T2029" i="1" s="1"/>
  <c r="O2030" i="1"/>
  <c r="T2030" i="1" s="1"/>
  <c r="O2031" i="1"/>
  <c r="T2031" i="1" s="1"/>
  <c r="O2032" i="1"/>
  <c r="T2032" i="1" s="1"/>
  <c r="O2033" i="1"/>
  <c r="T2033" i="1" s="1"/>
  <c r="O2034" i="1"/>
  <c r="T2034" i="1" s="1"/>
  <c r="O2035" i="1"/>
  <c r="T2035" i="1" s="1"/>
  <c r="O2036" i="1"/>
  <c r="T2036" i="1" s="1"/>
  <c r="O2037" i="1"/>
  <c r="T2037" i="1" s="1"/>
  <c r="O2038" i="1"/>
  <c r="T2038" i="1" s="1"/>
  <c r="O2039" i="1"/>
  <c r="T2039" i="1" s="1"/>
  <c r="O2040" i="1"/>
  <c r="T2040" i="1" s="1"/>
  <c r="O2041" i="1"/>
  <c r="T2041" i="1" s="1"/>
  <c r="O2042" i="1"/>
  <c r="T2042" i="1" s="1"/>
  <c r="O2043" i="1"/>
  <c r="T2043" i="1" s="1"/>
  <c r="O2044" i="1"/>
  <c r="T2044" i="1" s="1"/>
  <c r="O2045" i="1"/>
  <c r="T2045" i="1" s="1"/>
  <c r="O2046" i="1"/>
  <c r="T2046" i="1" s="1"/>
  <c r="O2047" i="1"/>
  <c r="T2047" i="1" s="1"/>
  <c r="O2048" i="1"/>
  <c r="T2048" i="1" s="1"/>
  <c r="O2049" i="1"/>
  <c r="T2049" i="1" s="1"/>
  <c r="O2050" i="1"/>
  <c r="T2050" i="1" s="1"/>
  <c r="O2051" i="1"/>
  <c r="T2051" i="1" s="1"/>
  <c r="O2052" i="1"/>
  <c r="T2052" i="1" s="1"/>
  <c r="O2053" i="1"/>
  <c r="T2053" i="1" s="1"/>
  <c r="O2054" i="1"/>
  <c r="T2054" i="1" s="1"/>
  <c r="O2055" i="1"/>
  <c r="T2055" i="1" s="1"/>
  <c r="O2056" i="1"/>
  <c r="T2056" i="1" s="1"/>
  <c r="O2057" i="1"/>
  <c r="T2057" i="1" s="1"/>
  <c r="O2058" i="1"/>
  <c r="T2058" i="1" s="1"/>
  <c r="O2059" i="1"/>
  <c r="T2059" i="1" s="1"/>
  <c r="O2060" i="1"/>
  <c r="T2060" i="1" s="1"/>
  <c r="O2061" i="1"/>
  <c r="T2061" i="1" s="1"/>
  <c r="O2062" i="1"/>
  <c r="T2062" i="1" s="1"/>
  <c r="O2063" i="1"/>
  <c r="T2063" i="1" s="1"/>
  <c r="O2064" i="1"/>
  <c r="T2064" i="1" s="1"/>
  <c r="O2065" i="1"/>
  <c r="T2065" i="1" s="1"/>
  <c r="O2066" i="1"/>
  <c r="T2066" i="1" s="1"/>
  <c r="O2067" i="1"/>
  <c r="T2067" i="1" s="1"/>
  <c r="O2068" i="1"/>
  <c r="T2068" i="1" s="1"/>
  <c r="O2069" i="1"/>
  <c r="T2069" i="1" s="1"/>
  <c r="O2070" i="1"/>
  <c r="T2070" i="1" s="1"/>
  <c r="O2071" i="1"/>
  <c r="T2071" i="1" s="1"/>
  <c r="O2072" i="1"/>
  <c r="T2072" i="1" s="1"/>
  <c r="O2073" i="1"/>
  <c r="T2073" i="1" s="1"/>
  <c r="O2074" i="1"/>
  <c r="T2074" i="1" s="1"/>
  <c r="O2075" i="1"/>
  <c r="T2075" i="1" s="1"/>
  <c r="O2076" i="1"/>
  <c r="T2076" i="1" s="1"/>
  <c r="O2077" i="1"/>
  <c r="T2077" i="1" s="1"/>
  <c r="O2078" i="1"/>
  <c r="T2078" i="1" s="1"/>
  <c r="O2079" i="1"/>
  <c r="T2079" i="1" s="1"/>
  <c r="O2080" i="1"/>
  <c r="T2080" i="1" s="1"/>
  <c r="O2081" i="1"/>
  <c r="T2081" i="1" s="1"/>
  <c r="O2082" i="1"/>
  <c r="T2082" i="1" s="1"/>
  <c r="O2083" i="1"/>
  <c r="T2083" i="1" s="1"/>
  <c r="O2084" i="1"/>
  <c r="T2084" i="1" s="1"/>
  <c r="O2085" i="1"/>
  <c r="T2085" i="1" s="1"/>
  <c r="O2086" i="1"/>
  <c r="T2086" i="1" s="1"/>
  <c r="O2087" i="1"/>
  <c r="T2087" i="1" s="1"/>
  <c r="O2088" i="1"/>
  <c r="T2088" i="1" s="1"/>
  <c r="O2089" i="1"/>
  <c r="T2089" i="1" s="1"/>
  <c r="O2090" i="1"/>
  <c r="T2090" i="1" s="1"/>
  <c r="O2091" i="1"/>
  <c r="T2091" i="1" s="1"/>
  <c r="O2092" i="1"/>
  <c r="T2092" i="1" s="1"/>
  <c r="O2093" i="1"/>
  <c r="T2093" i="1" s="1"/>
  <c r="O2094" i="1"/>
  <c r="T2094" i="1" s="1"/>
  <c r="O2095" i="1"/>
  <c r="T2095" i="1" s="1"/>
  <c r="O2096" i="1"/>
  <c r="T2096" i="1" s="1"/>
  <c r="O2097" i="1"/>
  <c r="T2097" i="1" s="1"/>
  <c r="O2098" i="1"/>
  <c r="T2098" i="1" s="1"/>
  <c r="O2099" i="1"/>
  <c r="T2099" i="1" s="1"/>
  <c r="O2100" i="1"/>
  <c r="T2100" i="1" s="1"/>
  <c r="O2101" i="1"/>
  <c r="T2101" i="1" s="1"/>
  <c r="O2102" i="1"/>
  <c r="T2102" i="1" s="1"/>
  <c r="O2103" i="1"/>
  <c r="T2103" i="1" s="1"/>
  <c r="O2104" i="1"/>
  <c r="T2104" i="1" s="1"/>
  <c r="O2105" i="1"/>
  <c r="T2105" i="1" s="1"/>
  <c r="O2106" i="1"/>
  <c r="T2106" i="1" s="1"/>
  <c r="O2107" i="1"/>
  <c r="T2107" i="1" s="1"/>
  <c r="O2108" i="1"/>
  <c r="T2108" i="1" s="1"/>
  <c r="O2109" i="1"/>
  <c r="T2109" i="1" s="1"/>
  <c r="O2110" i="1"/>
  <c r="T2110" i="1" s="1"/>
  <c r="O2111" i="1"/>
  <c r="T2111" i="1" s="1"/>
  <c r="O2112" i="1"/>
  <c r="T2112" i="1" s="1"/>
  <c r="O2113" i="1"/>
  <c r="T2113" i="1" s="1"/>
  <c r="O2114" i="1"/>
  <c r="T2114" i="1" s="1"/>
  <c r="O2115" i="1"/>
  <c r="T2115" i="1" s="1"/>
  <c r="O2116" i="1"/>
  <c r="T2116" i="1" s="1"/>
  <c r="O2117" i="1"/>
  <c r="T2117" i="1" s="1"/>
  <c r="O2118" i="1"/>
  <c r="T2118" i="1" s="1"/>
  <c r="O2119" i="1"/>
  <c r="T2119" i="1" s="1"/>
  <c r="O2120" i="1"/>
  <c r="T2120" i="1" s="1"/>
  <c r="O2121" i="1"/>
  <c r="T2121" i="1" s="1"/>
  <c r="O2122" i="1"/>
  <c r="T2122" i="1" s="1"/>
  <c r="O2123" i="1"/>
  <c r="T2123" i="1" s="1"/>
  <c r="O2124" i="1"/>
  <c r="T2124" i="1" s="1"/>
  <c r="O2125" i="1"/>
  <c r="T2125" i="1" s="1"/>
  <c r="O2126" i="1"/>
  <c r="T2126" i="1" s="1"/>
  <c r="O2127" i="1"/>
  <c r="T2127" i="1" s="1"/>
  <c r="O2128" i="1"/>
  <c r="T2128" i="1" s="1"/>
  <c r="O2129" i="1"/>
  <c r="T2129" i="1" s="1"/>
  <c r="O2130" i="1"/>
  <c r="T2130" i="1" s="1"/>
  <c r="O2131" i="1"/>
  <c r="T2131" i="1" s="1"/>
  <c r="O2132" i="1"/>
  <c r="T2132" i="1" s="1"/>
  <c r="O2133" i="1"/>
  <c r="T2133" i="1" s="1"/>
  <c r="O2134" i="1"/>
  <c r="T2134" i="1" s="1"/>
  <c r="O2135" i="1"/>
  <c r="T2135" i="1" s="1"/>
  <c r="O2136" i="1"/>
  <c r="T2136" i="1" s="1"/>
  <c r="O2137" i="1"/>
  <c r="T2137" i="1" s="1"/>
  <c r="O2138" i="1"/>
  <c r="T2138" i="1" s="1"/>
  <c r="O2139" i="1"/>
  <c r="T2139" i="1" s="1"/>
  <c r="O2140" i="1"/>
  <c r="T2140" i="1" s="1"/>
  <c r="O2141" i="1"/>
  <c r="T2141" i="1" s="1"/>
  <c r="O2142" i="1"/>
  <c r="T2142" i="1" s="1"/>
  <c r="O2143" i="1"/>
  <c r="T2143" i="1" s="1"/>
  <c r="O2144" i="1"/>
  <c r="T2144" i="1" s="1"/>
  <c r="O2145" i="1"/>
  <c r="T2145" i="1" s="1"/>
  <c r="O2146" i="1"/>
  <c r="T2146" i="1" s="1"/>
  <c r="O2147" i="1"/>
  <c r="T2147" i="1" s="1"/>
  <c r="O2148" i="1"/>
  <c r="T2148" i="1" s="1"/>
  <c r="O2149" i="1"/>
  <c r="T2149" i="1" s="1"/>
  <c r="O2150" i="1"/>
  <c r="T2150" i="1" s="1"/>
  <c r="O2151" i="1"/>
  <c r="T2151" i="1" s="1"/>
  <c r="O2152" i="1"/>
  <c r="T2152" i="1" s="1"/>
  <c r="O2153" i="1"/>
  <c r="T2153" i="1" s="1"/>
  <c r="O2154" i="1"/>
  <c r="T2154" i="1" s="1"/>
  <c r="O2155" i="1"/>
  <c r="T2155" i="1" s="1"/>
  <c r="O2156" i="1"/>
  <c r="T2156" i="1" s="1"/>
  <c r="O2157" i="1"/>
  <c r="T2157" i="1" s="1"/>
  <c r="O2158" i="1"/>
  <c r="T2158" i="1" s="1"/>
  <c r="O2159" i="1"/>
  <c r="T2159" i="1" s="1"/>
  <c r="O2160" i="1"/>
  <c r="T2160" i="1" s="1"/>
  <c r="O2161" i="1"/>
  <c r="T2161" i="1" s="1"/>
  <c r="O2162" i="1"/>
  <c r="T2162" i="1" s="1"/>
  <c r="O2163" i="1"/>
  <c r="T2163" i="1" s="1"/>
  <c r="O2164" i="1"/>
  <c r="T2164" i="1" s="1"/>
  <c r="O2165" i="1"/>
  <c r="T2165" i="1" s="1"/>
  <c r="O2166" i="1"/>
  <c r="T2166" i="1" s="1"/>
  <c r="O2167" i="1"/>
  <c r="T2167" i="1" s="1"/>
  <c r="O2168" i="1"/>
  <c r="T2168" i="1" s="1"/>
  <c r="O2169" i="1"/>
  <c r="T2169" i="1" s="1"/>
  <c r="O2170" i="1"/>
  <c r="T2170" i="1" s="1"/>
  <c r="O2171" i="1"/>
  <c r="T2171" i="1" s="1"/>
  <c r="O2172" i="1"/>
  <c r="T2172" i="1" s="1"/>
  <c r="O2173" i="1"/>
  <c r="T2173" i="1" s="1"/>
  <c r="O2174" i="1"/>
  <c r="T2174" i="1" s="1"/>
  <c r="O2175" i="1"/>
  <c r="T2175" i="1" s="1"/>
  <c r="O2176" i="1"/>
  <c r="T2176" i="1" s="1"/>
  <c r="O2177" i="1"/>
  <c r="T2177" i="1" s="1"/>
  <c r="O2178" i="1"/>
  <c r="T2178" i="1" s="1"/>
  <c r="O2179" i="1"/>
  <c r="T2179" i="1" s="1"/>
  <c r="O2180" i="1"/>
  <c r="T2180" i="1" s="1"/>
  <c r="O2181" i="1"/>
  <c r="T2181" i="1" s="1"/>
  <c r="O2182" i="1"/>
  <c r="T2182" i="1" s="1"/>
  <c r="O2183" i="1"/>
  <c r="T2183" i="1" s="1"/>
  <c r="O2184" i="1"/>
  <c r="T2184" i="1" s="1"/>
  <c r="O2185" i="1"/>
  <c r="T2185" i="1" s="1"/>
  <c r="O2186" i="1"/>
  <c r="T2186" i="1" s="1"/>
  <c r="O2187" i="1"/>
  <c r="T2187" i="1" s="1"/>
  <c r="O2188" i="1"/>
  <c r="T2188" i="1" s="1"/>
  <c r="O2189" i="1"/>
  <c r="T2189" i="1" s="1"/>
  <c r="O2190" i="1"/>
  <c r="T2190" i="1" s="1"/>
  <c r="O2191" i="1"/>
  <c r="T2191" i="1" s="1"/>
  <c r="O2192" i="1"/>
  <c r="T2192" i="1" s="1"/>
  <c r="O2193" i="1"/>
  <c r="T2193" i="1" s="1"/>
  <c r="O2194" i="1"/>
  <c r="T2194" i="1" s="1"/>
  <c r="O2195" i="1"/>
  <c r="T2195" i="1" s="1"/>
  <c r="O2196" i="1"/>
  <c r="T2196" i="1" s="1"/>
  <c r="O2197" i="1"/>
  <c r="T2197" i="1" s="1"/>
  <c r="O2198" i="1"/>
  <c r="T2198" i="1" s="1"/>
  <c r="O2199" i="1"/>
  <c r="T2199" i="1" s="1"/>
  <c r="O2200" i="1"/>
  <c r="T2200" i="1" s="1"/>
  <c r="O2201" i="1"/>
  <c r="T2201" i="1" s="1"/>
  <c r="O2202" i="1"/>
  <c r="T2202" i="1" s="1"/>
  <c r="O2203" i="1"/>
  <c r="T2203" i="1" s="1"/>
  <c r="O2204" i="1"/>
  <c r="T2204" i="1" s="1"/>
  <c r="O2205" i="1"/>
  <c r="T2205" i="1" s="1"/>
  <c r="O2206" i="1"/>
  <c r="T2206" i="1" s="1"/>
  <c r="O2207" i="1"/>
  <c r="T2207" i="1" s="1"/>
  <c r="O2208" i="1"/>
  <c r="T2208" i="1" s="1"/>
  <c r="O2209" i="1"/>
  <c r="T2209" i="1" s="1"/>
  <c r="O2210" i="1"/>
  <c r="T2210" i="1" s="1"/>
  <c r="O2211" i="1"/>
  <c r="T2211" i="1" s="1"/>
  <c r="O2212" i="1"/>
  <c r="T2212" i="1" s="1"/>
  <c r="O2213" i="1"/>
  <c r="T2213" i="1" s="1"/>
  <c r="O2214" i="1"/>
  <c r="T2214" i="1" s="1"/>
  <c r="O2215" i="1"/>
  <c r="T2215" i="1" s="1"/>
  <c r="O2216" i="1"/>
  <c r="T2216" i="1" s="1"/>
  <c r="O2217" i="1"/>
  <c r="T2217" i="1" s="1"/>
  <c r="O2218" i="1"/>
  <c r="T2218" i="1" s="1"/>
  <c r="O2219" i="1"/>
  <c r="T2219" i="1" s="1"/>
  <c r="O2220" i="1"/>
  <c r="T2220" i="1" s="1"/>
  <c r="O2221" i="1"/>
  <c r="T2221" i="1" s="1"/>
  <c r="O2222" i="1"/>
  <c r="T2222" i="1" s="1"/>
  <c r="O2223" i="1"/>
  <c r="T2223" i="1" s="1"/>
  <c r="O2224" i="1"/>
  <c r="T2224" i="1" s="1"/>
  <c r="O2225" i="1"/>
  <c r="T2225" i="1" s="1"/>
  <c r="O2226" i="1"/>
  <c r="T2226" i="1" s="1"/>
  <c r="O2227" i="1"/>
  <c r="T2227" i="1" s="1"/>
  <c r="O2228" i="1"/>
  <c r="T2228" i="1" s="1"/>
  <c r="O2229" i="1"/>
  <c r="T2229" i="1" s="1"/>
  <c r="O2230" i="1"/>
  <c r="T2230" i="1" s="1"/>
  <c r="O2231" i="1"/>
  <c r="T2231" i="1" s="1"/>
  <c r="O2232" i="1"/>
  <c r="T2232" i="1" s="1"/>
  <c r="O2233" i="1"/>
  <c r="T2233" i="1" s="1"/>
  <c r="O2234" i="1"/>
  <c r="T2234" i="1" s="1"/>
  <c r="O2235" i="1"/>
  <c r="T2235" i="1" s="1"/>
  <c r="O2236" i="1"/>
  <c r="T2236" i="1" s="1"/>
  <c r="O2237" i="1"/>
  <c r="T2237" i="1" s="1"/>
  <c r="O2238" i="1"/>
  <c r="T2238" i="1" s="1"/>
  <c r="O2239" i="1"/>
  <c r="T2239" i="1" s="1"/>
  <c r="O2240" i="1"/>
  <c r="T2240" i="1" s="1"/>
  <c r="O2241" i="1"/>
  <c r="T2241" i="1" s="1"/>
  <c r="O2242" i="1"/>
  <c r="T2242" i="1" s="1"/>
  <c r="O2243" i="1"/>
  <c r="T2243" i="1" s="1"/>
  <c r="O2244" i="1"/>
  <c r="T2244" i="1" s="1"/>
  <c r="O2245" i="1"/>
  <c r="T2245" i="1" s="1"/>
  <c r="O2246" i="1"/>
  <c r="T2246" i="1" s="1"/>
  <c r="O2247" i="1"/>
  <c r="T2247" i="1" s="1"/>
  <c r="O2248" i="1"/>
  <c r="T2248" i="1" s="1"/>
  <c r="O2249" i="1"/>
  <c r="T2249" i="1" s="1"/>
  <c r="O2250" i="1"/>
  <c r="T2250" i="1" s="1"/>
  <c r="O2251" i="1"/>
  <c r="T2251" i="1" s="1"/>
  <c r="O2252" i="1"/>
  <c r="T2252" i="1" s="1"/>
  <c r="O2253" i="1"/>
  <c r="T2253" i="1" s="1"/>
  <c r="O2254" i="1"/>
  <c r="T2254" i="1" s="1"/>
  <c r="O2255" i="1"/>
  <c r="T2255" i="1" s="1"/>
  <c r="O2256" i="1"/>
  <c r="T2256" i="1" s="1"/>
  <c r="O2257" i="1"/>
  <c r="T2257" i="1" s="1"/>
  <c r="O2258" i="1"/>
  <c r="T2258" i="1" s="1"/>
  <c r="O2259" i="1"/>
  <c r="T2259" i="1" s="1"/>
  <c r="O2260" i="1"/>
  <c r="T2260" i="1" s="1"/>
  <c r="O2261" i="1"/>
  <c r="O2262" i="1"/>
  <c r="T2262" i="1" s="1"/>
  <c r="O2263" i="1"/>
  <c r="T2263" i="1" s="1"/>
  <c r="O2264" i="1"/>
  <c r="T2264" i="1" s="1"/>
  <c r="O2265" i="1"/>
  <c r="T2265" i="1" s="1"/>
  <c r="O2266" i="1"/>
  <c r="T2266" i="1" s="1"/>
  <c r="O2267" i="1"/>
  <c r="T2267" i="1" s="1"/>
  <c r="O2268" i="1"/>
  <c r="T2268" i="1" s="1"/>
  <c r="O2269" i="1"/>
  <c r="T2269" i="1" s="1"/>
  <c r="O2270" i="1"/>
  <c r="T2270" i="1" s="1"/>
  <c r="O2271" i="1"/>
  <c r="T2271" i="1" s="1"/>
  <c r="O2272" i="1"/>
  <c r="T2272" i="1" s="1"/>
  <c r="O2273" i="1"/>
  <c r="T2273" i="1" s="1"/>
  <c r="O2274" i="1"/>
  <c r="T2274" i="1" s="1"/>
  <c r="O2275" i="1"/>
  <c r="T2275" i="1" s="1"/>
  <c r="O2276" i="1"/>
  <c r="T2276" i="1" s="1"/>
  <c r="O2277" i="1"/>
  <c r="T2277" i="1" s="1"/>
  <c r="O2278" i="1"/>
  <c r="T2278" i="1" s="1"/>
  <c r="O2279" i="1"/>
  <c r="T2279" i="1" s="1"/>
  <c r="O2280" i="1"/>
  <c r="T2280" i="1" s="1"/>
  <c r="O2281" i="1"/>
  <c r="T2281" i="1" s="1"/>
  <c r="O2282" i="1"/>
  <c r="T2282" i="1" s="1"/>
  <c r="O2283" i="1"/>
  <c r="T2283" i="1" s="1"/>
  <c r="O2284" i="1"/>
  <c r="T2284" i="1" s="1"/>
  <c r="O2285" i="1"/>
  <c r="T2285" i="1" s="1"/>
  <c r="O2286" i="1"/>
  <c r="T2286" i="1" s="1"/>
  <c r="O2287" i="1"/>
  <c r="T2287" i="1" s="1"/>
  <c r="O2288" i="1"/>
  <c r="T2288" i="1" s="1"/>
  <c r="O2289" i="1"/>
  <c r="T2289" i="1" s="1"/>
  <c r="O2290" i="1"/>
  <c r="T2290" i="1" s="1"/>
  <c r="O2291" i="1"/>
  <c r="T2291" i="1" s="1"/>
  <c r="O2292" i="1"/>
  <c r="T2292" i="1" s="1"/>
  <c r="O2293" i="1"/>
  <c r="T2293" i="1" s="1"/>
  <c r="O2294" i="1"/>
  <c r="T2294" i="1" s="1"/>
  <c r="O2295" i="1"/>
  <c r="T2295" i="1" s="1"/>
  <c r="O2296" i="1"/>
  <c r="T2296" i="1" s="1"/>
  <c r="O2297" i="1"/>
  <c r="T2297" i="1" s="1"/>
  <c r="O2298" i="1"/>
  <c r="T2298" i="1" s="1"/>
  <c r="O2299" i="1"/>
  <c r="T2299" i="1" s="1"/>
  <c r="O2300" i="1"/>
  <c r="T2300" i="1" s="1"/>
  <c r="O2301" i="1"/>
  <c r="T2301" i="1" s="1"/>
  <c r="O2302" i="1"/>
  <c r="T2302" i="1" s="1"/>
  <c r="O2303" i="1"/>
  <c r="T2303" i="1" s="1"/>
  <c r="O2304" i="1"/>
  <c r="T2304" i="1" s="1"/>
  <c r="O2305" i="1"/>
  <c r="T2305" i="1" s="1"/>
  <c r="O2306" i="1"/>
  <c r="T2306" i="1" s="1"/>
  <c r="O2307" i="1"/>
  <c r="T2307" i="1" s="1"/>
  <c r="O2308" i="1"/>
  <c r="T2308" i="1" s="1"/>
  <c r="O2309" i="1"/>
  <c r="T2309" i="1" s="1"/>
  <c r="O2310" i="1"/>
  <c r="T2310" i="1" s="1"/>
  <c r="O2311" i="1"/>
  <c r="T2311" i="1" s="1"/>
  <c r="O2312" i="1"/>
  <c r="T2312" i="1" s="1"/>
  <c r="O2313" i="1"/>
  <c r="T2313" i="1" s="1"/>
  <c r="O2314" i="1"/>
  <c r="T2314" i="1" s="1"/>
  <c r="O2315" i="1"/>
  <c r="T2315" i="1" s="1"/>
  <c r="O2316" i="1"/>
  <c r="T2316" i="1" s="1"/>
  <c r="O2317" i="1"/>
  <c r="T2317" i="1" s="1"/>
  <c r="O2318" i="1"/>
  <c r="T2318" i="1" s="1"/>
  <c r="O2319" i="1"/>
  <c r="T2319" i="1" s="1"/>
  <c r="O2320" i="1"/>
  <c r="T2320" i="1" s="1"/>
  <c r="O2321" i="1"/>
  <c r="T2321" i="1" s="1"/>
  <c r="O2322" i="1"/>
  <c r="T2322" i="1" s="1"/>
  <c r="O2323" i="1"/>
  <c r="T2323" i="1" s="1"/>
  <c r="O2324" i="1"/>
  <c r="T2324" i="1" s="1"/>
  <c r="O2325" i="1"/>
  <c r="T2325" i="1" s="1"/>
  <c r="O2326" i="1"/>
  <c r="T2326" i="1" s="1"/>
  <c r="O2327" i="1"/>
  <c r="T2327" i="1" s="1"/>
  <c r="O2328" i="1"/>
  <c r="T2328" i="1" s="1"/>
  <c r="O2329" i="1"/>
  <c r="T2329" i="1" s="1"/>
  <c r="O2330" i="1"/>
  <c r="T2330" i="1" s="1"/>
  <c r="O2331" i="1"/>
  <c r="T2331" i="1" s="1"/>
  <c r="O2332" i="1"/>
  <c r="T2332" i="1" s="1"/>
  <c r="O2333" i="1"/>
  <c r="T2333" i="1" s="1"/>
  <c r="O2334" i="1"/>
  <c r="T2334" i="1" s="1"/>
  <c r="O2335" i="1"/>
  <c r="T2335" i="1" s="1"/>
  <c r="O2336" i="1"/>
  <c r="T2336" i="1" s="1"/>
  <c r="O2337" i="1"/>
  <c r="T2337" i="1" s="1"/>
  <c r="O2338" i="1"/>
  <c r="T2338" i="1" s="1"/>
  <c r="O2339" i="1"/>
  <c r="T2339" i="1" s="1"/>
  <c r="O2340" i="1"/>
  <c r="T2340" i="1" s="1"/>
  <c r="O2341" i="1"/>
  <c r="T2341" i="1" s="1"/>
  <c r="O2342" i="1"/>
  <c r="T2342" i="1" s="1"/>
  <c r="O2343" i="1"/>
  <c r="T2343" i="1" s="1"/>
  <c r="O2344" i="1"/>
  <c r="T2344" i="1" s="1"/>
  <c r="O2345" i="1"/>
  <c r="T2345" i="1" s="1"/>
  <c r="O2346" i="1"/>
  <c r="T2346" i="1" s="1"/>
  <c r="O2347" i="1"/>
  <c r="T2347" i="1" s="1"/>
  <c r="O2348" i="1"/>
  <c r="T2348" i="1" s="1"/>
  <c r="O2349" i="1"/>
  <c r="T2349" i="1" s="1"/>
  <c r="O2350" i="1"/>
  <c r="T2350" i="1" s="1"/>
  <c r="O2351" i="1"/>
  <c r="T2351" i="1" s="1"/>
  <c r="O2352" i="1"/>
  <c r="T2352" i="1" s="1"/>
  <c r="O2353" i="1"/>
  <c r="T2353" i="1" s="1"/>
  <c r="O2354" i="1"/>
  <c r="T2354" i="1" s="1"/>
  <c r="O2355" i="1"/>
  <c r="T2355" i="1" s="1"/>
  <c r="O2356" i="1"/>
  <c r="T2356" i="1" s="1"/>
  <c r="O2357" i="1"/>
  <c r="T2357" i="1" s="1"/>
  <c r="O2358" i="1"/>
  <c r="T2358" i="1" s="1"/>
  <c r="O2359" i="1"/>
  <c r="T2359" i="1" s="1"/>
  <c r="O2360" i="1"/>
  <c r="T2360" i="1" s="1"/>
  <c r="O2361" i="1"/>
  <c r="T2361" i="1" s="1"/>
  <c r="O2362" i="1"/>
  <c r="T2362" i="1" s="1"/>
  <c r="O2363" i="1"/>
  <c r="T2363" i="1" s="1"/>
  <c r="O2364" i="1"/>
  <c r="T2364" i="1" s="1"/>
  <c r="O2365" i="1"/>
  <c r="T2365" i="1" s="1"/>
  <c r="O2366" i="1"/>
  <c r="T2366" i="1" s="1"/>
  <c r="O2367" i="1"/>
  <c r="T2367" i="1" s="1"/>
  <c r="O2368" i="1"/>
  <c r="T2368" i="1" s="1"/>
  <c r="O2369" i="1"/>
  <c r="T2369" i="1" s="1"/>
  <c r="O2370" i="1"/>
  <c r="T2370" i="1" s="1"/>
  <c r="O2371" i="1"/>
  <c r="T2371" i="1" s="1"/>
  <c r="O2372" i="1"/>
  <c r="T2372" i="1" s="1"/>
  <c r="O2373" i="1"/>
  <c r="T2373" i="1" s="1"/>
  <c r="O2374" i="1"/>
  <c r="T2374" i="1" s="1"/>
  <c r="O2375" i="1"/>
  <c r="T2375" i="1" s="1"/>
  <c r="O2376" i="1"/>
  <c r="T2376" i="1" s="1"/>
  <c r="O2377" i="1"/>
  <c r="T2377" i="1" s="1"/>
  <c r="O2378" i="1"/>
  <c r="T2378" i="1" s="1"/>
  <c r="O2379" i="1"/>
  <c r="T2379" i="1" s="1"/>
  <c r="O2380" i="1"/>
  <c r="T2380" i="1" s="1"/>
  <c r="O2381" i="1"/>
  <c r="T2381" i="1" s="1"/>
  <c r="O2382" i="1"/>
  <c r="T2382" i="1" s="1"/>
  <c r="O2383" i="1"/>
  <c r="T2383" i="1" s="1"/>
  <c r="O2384" i="1"/>
  <c r="T2384" i="1" s="1"/>
  <c r="O2385" i="1"/>
  <c r="T2385" i="1" s="1"/>
  <c r="O2386" i="1"/>
  <c r="T2386" i="1" s="1"/>
  <c r="O2387" i="1"/>
  <c r="T2387" i="1" s="1"/>
  <c r="O2388" i="1"/>
  <c r="T2388" i="1" s="1"/>
  <c r="O2389" i="1"/>
  <c r="T2389" i="1" s="1"/>
  <c r="O2390" i="1"/>
  <c r="T2390" i="1" s="1"/>
  <c r="O2391" i="1"/>
  <c r="T2391" i="1" s="1"/>
  <c r="O2392" i="1"/>
  <c r="T2392" i="1" s="1"/>
  <c r="O2393" i="1"/>
  <c r="T2393" i="1" s="1"/>
  <c r="O2394" i="1"/>
  <c r="T2394" i="1" s="1"/>
  <c r="O2395" i="1"/>
  <c r="T2395" i="1" s="1"/>
  <c r="O2396" i="1"/>
  <c r="T2396" i="1" s="1"/>
  <c r="O2397" i="1"/>
  <c r="T2397" i="1" s="1"/>
  <c r="O2398" i="1"/>
  <c r="T2398" i="1" s="1"/>
  <c r="O2399" i="1"/>
  <c r="T2399" i="1" s="1"/>
  <c r="O2400" i="1"/>
  <c r="T2400" i="1" s="1"/>
  <c r="O2401" i="1"/>
  <c r="T2401" i="1" s="1"/>
  <c r="O2402" i="1"/>
  <c r="T2402" i="1" s="1"/>
  <c r="O2403" i="1"/>
  <c r="T2403" i="1" s="1"/>
  <c r="O2404" i="1"/>
  <c r="T2404" i="1" s="1"/>
  <c r="O2405" i="1"/>
  <c r="T2405" i="1" s="1"/>
  <c r="O2406" i="1"/>
  <c r="T2406" i="1" s="1"/>
  <c r="O2407" i="1"/>
  <c r="T2407" i="1" s="1"/>
  <c r="O2408" i="1"/>
  <c r="T2408" i="1" s="1"/>
  <c r="O2409" i="1"/>
  <c r="T2409" i="1" s="1"/>
  <c r="O2410" i="1"/>
  <c r="T2410" i="1" s="1"/>
  <c r="O2411" i="1"/>
  <c r="T2411" i="1" s="1"/>
  <c r="O2412" i="1"/>
  <c r="T2412" i="1" s="1"/>
  <c r="O2413" i="1"/>
  <c r="T2413" i="1" s="1"/>
  <c r="O2414" i="1"/>
  <c r="T2414" i="1" s="1"/>
  <c r="O2415" i="1"/>
  <c r="T2415" i="1" s="1"/>
  <c r="O2416" i="1"/>
  <c r="T2416" i="1" s="1"/>
  <c r="O2417" i="1"/>
  <c r="T2417" i="1" s="1"/>
  <c r="O2418" i="1"/>
  <c r="T2418" i="1" s="1"/>
  <c r="O2419" i="1"/>
  <c r="T2419" i="1" s="1"/>
  <c r="O2420" i="1"/>
  <c r="T2420" i="1" s="1"/>
  <c r="O2421" i="1"/>
  <c r="T2421" i="1" s="1"/>
  <c r="O2422" i="1"/>
  <c r="T2422" i="1" s="1"/>
  <c r="O2423" i="1"/>
  <c r="T2423" i="1" s="1"/>
  <c r="O2424" i="1"/>
  <c r="T2424" i="1" s="1"/>
  <c r="O2425" i="1"/>
  <c r="T2425" i="1" s="1"/>
  <c r="O2426" i="1"/>
  <c r="T2426" i="1" s="1"/>
  <c r="O2427" i="1"/>
  <c r="T2427" i="1" s="1"/>
  <c r="O2428" i="1"/>
  <c r="T2428" i="1" s="1"/>
  <c r="O2429" i="1"/>
  <c r="T2429" i="1" s="1"/>
  <c r="O2430" i="1"/>
  <c r="T2430" i="1" s="1"/>
  <c r="O2431" i="1"/>
  <c r="T2431" i="1" s="1"/>
  <c r="O2432" i="1"/>
  <c r="T2432" i="1" s="1"/>
  <c r="O2433" i="1"/>
  <c r="T2433" i="1" s="1"/>
  <c r="O2434" i="1"/>
  <c r="T2434" i="1" s="1"/>
  <c r="O2435" i="1"/>
  <c r="T2435" i="1" s="1"/>
  <c r="O2436" i="1"/>
  <c r="T2436" i="1" s="1"/>
  <c r="O2437" i="1"/>
  <c r="T2437" i="1" s="1"/>
  <c r="O2438" i="1"/>
  <c r="T2438" i="1" s="1"/>
  <c r="O2439" i="1"/>
  <c r="T2439" i="1" s="1"/>
  <c r="O2440" i="1"/>
  <c r="T2440" i="1" s="1"/>
  <c r="O2441" i="1"/>
  <c r="T2441" i="1" s="1"/>
  <c r="O2442" i="1"/>
  <c r="T2442" i="1" s="1"/>
  <c r="O2443" i="1"/>
  <c r="T2443" i="1" s="1"/>
  <c r="O2444" i="1"/>
  <c r="T2444" i="1" s="1"/>
  <c r="O2445" i="1"/>
  <c r="T2445" i="1" s="1"/>
  <c r="O2446" i="1"/>
  <c r="T2446" i="1" s="1"/>
  <c r="O2447" i="1"/>
  <c r="T2447" i="1" s="1"/>
  <c r="O2448" i="1"/>
  <c r="T2448" i="1" s="1"/>
  <c r="O2449" i="1"/>
  <c r="T2449" i="1" s="1"/>
  <c r="O2450" i="1"/>
  <c r="T2450" i="1" s="1"/>
  <c r="O2451" i="1"/>
  <c r="T2451" i="1" s="1"/>
  <c r="O2452" i="1"/>
  <c r="T2452" i="1" s="1"/>
  <c r="O2453" i="1"/>
  <c r="T2453" i="1" s="1"/>
  <c r="O2454" i="1"/>
  <c r="T2454" i="1" s="1"/>
  <c r="O2455" i="1"/>
  <c r="T2455" i="1" s="1"/>
  <c r="O2456" i="1"/>
  <c r="T2456" i="1" s="1"/>
  <c r="O2457" i="1"/>
  <c r="T2457" i="1" s="1"/>
  <c r="O2458" i="1"/>
  <c r="T2458" i="1" s="1"/>
  <c r="O2459" i="1"/>
  <c r="T2459" i="1" s="1"/>
  <c r="O2460" i="1"/>
  <c r="T2460" i="1" s="1"/>
  <c r="O2461" i="1"/>
  <c r="T2461" i="1" s="1"/>
  <c r="O2462" i="1"/>
  <c r="T2462" i="1" s="1"/>
  <c r="O2463" i="1"/>
  <c r="T2463" i="1" s="1"/>
  <c r="O2464" i="1"/>
  <c r="T2464" i="1" s="1"/>
  <c r="O2465" i="1"/>
  <c r="T2465" i="1" s="1"/>
  <c r="O2466" i="1"/>
  <c r="T2466" i="1" s="1"/>
  <c r="O2467" i="1"/>
  <c r="T2467" i="1" s="1"/>
  <c r="O2468" i="1"/>
  <c r="T2468" i="1" s="1"/>
  <c r="O2469" i="1"/>
  <c r="T2469" i="1" s="1"/>
  <c r="O2470" i="1"/>
  <c r="T2470" i="1" s="1"/>
  <c r="O2471" i="1"/>
  <c r="T2471" i="1" s="1"/>
  <c r="O2472" i="1"/>
  <c r="T2472" i="1" s="1"/>
  <c r="O2473" i="1"/>
  <c r="T2473" i="1" s="1"/>
  <c r="O2474" i="1"/>
  <c r="T2474" i="1" s="1"/>
  <c r="O2475" i="1"/>
  <c r="T2475" i="1" s="1"/>
  <c r="O2476" i="1"/>
  <c r="T2476" i="1" s="1"/>
  <c r="O2477" i="1"/>
  <c r="T2477" i="1" s="1"/>
  <c r="O2478" i="1"/>
  <c r="T2478" i="1" s="1"/>
  <c r="O2479" i="1"/>
  <c r="T2479" i="1" s="1"/>
  <c r="O2480" i="1"/>
  <c r="T2480" i="1" s="1"/>
  <c r="O2481" i="1"/>
  <c r="T2481" i="1" s="1"/>
  <c r="O2482" i="1"/>
  <c r="T2482" i="1" s="1"/>
  <c r="O2483" i="1"/>
  <c r="T2483" i="1" s="1"/>
  <c r="O2484" i="1"/>
  <c r="T2484" i="1" s="1"/>
  <c r="O2485" i="1"/>
  <c r="T2485" i="1" s="1"/>
  <c r="O2486" i="1"/>
  <c r="T2486" i="1" s="1"/>
  <c r="O2487" i="1"/>
  <c r="T2487" i="1" s="1"/>
  <c r="O2488" i="1"/>
  <c r="T2488" i="1" s="1"/>
  <c r="O2489" i="1"/>
  <c r="T2489" i="1" s="1"/>
  <c r="O2490" i="1"/>
  <c r="T2490" i="1" s="1"/>
  <c r="O2491" i="1"/>
  <c r="T2491" i="1" s="1"/>
  <c r="O2492" i="1"/>
  <c r="T2492" i="1" s="1"/>
  <c r="O2493" i="1"/>
  <c r="T2493" i="1" s="1"/>
  <c r="O2494" i="1"/>
  <c r="T2494" i="1" s="1"/>
  <c r="O2495" i="1"/>
  <c r="T2495" i="1" s="1"/>
  <c r="O2496" i="1"/>
  <c r="T2496" i="1" s="1"/>
  <c r="O2497" i="1"/>
  <c r="T2497" i="1" s="1"/>
  <c r="O2498" i="1"/>
  <c r="T2498" i="1" s="1"/>
  <c r="O2499" i="1"/>
  <c r="T2499" i="1" s="1"/>
  <c r="O2500" i="1"/>
  <c r="T2500" i="1" s="1"/>
  <c r="O2501" i="1"/>
  <c r="T2501" i="1" s="1"/>
  <c r="O2502" i="1"/>
  <c r="T2502" i="1" s="1"/>
  <c r="O2503" i="1"/>
  <c r="T2503" i="1" s="1"/>
  <c r="O2504" i="1"/>
  <c r="T2504" i="1" s="1"/>
  <c r="O2505" i="1"/>
  <c r="T2505" i="1" s="1"/>
  <c r="O2506" i="1"/>
  <c r="T2506" i="1" s="1"/>
  <c r="O2507" i="1"/>
  <c r="T2507" i="1" s="1"/>
  <c r="O2508" i="1"/>
  <c r="T2508" i="1" s="1"/>
  <c r="O2509" i="1"/>
  <c r="T2509" i="1" s="1"/>
  <c r="O2510" i="1"/>
  <c r="T2510" i="1" s="1"/>
  <c r="O2511" i="1"/>
  <c r="T2511" i="1" s="1"/>
  <c r="O2512" i="1"/>
  <c r="T2512" i="1" s="1"/>
  <c r="O2513" i="1"/>
  <c r="T2513" i="1" s="1"/>
  <c r="O2514" i="1"/>
  <c r="T2514" i="1" s="1"/>
  <c r="O2515" i="1"/>
  <c r="T2515" i="1" s="1"/>
  <c r="O2516" i="1"/>
  <c r="T2516" i="1" s="1"/>
  <c r="O2517" i="1"/>
  <c r="T2517" i="1" s="1"/>
  <c r="O2518" i="1"/>
  <c r="T2518" i="1" s="1"/>
  <c r="O2519" i="1"/>
  <c r="T2519" i="1" s="1"/>
  <c r="O2520" i="1"/>
  <c r="T2520" i="1" s="1"/>
  <c r="O2521" i="1"/>
  <c r="T2521" i="1" s="1"/>
  <c r="O2522" i="1"/>
  <c r="T2522" i="1" s="1"/>
  <c r="O2523" i="1"/>
  <c r="T2523" i="1" s="1"/>
  <c r="O2524" i="1"/>
  <c r="T2524" i="1" s="1"/>
  <c r="O2525" i="1"/>
  <c r="T2525" i="1" s="1"/>
  <c r="O2526" i="1"/>
  <c r="T2526" i="1" s="1"/>
  <c r="O2527" i="1"/>
  <c r="T2527" i="1" s="1"/>
  <c r="O2528" i="1"/>
  <c r="T2528" i="1" s="1"/>
  <c r="O2529" i="1"/>
  <c r="T2529" i="1" s="1"/>
  <c r="O2530" i="1"/>
  <c r="T2530" i="1" s="1"/>
  <c r="O2531" i="1"/>
  <c r="T2531" i="1" s="1"/>
  <c r="O2532" i="1"/>
  <c r="T2532" i="1" s="1"/>
  <c r="O2533" i="1"/>
  <c r="T2533" i="1" s="1"/>
  <c r="O2534" i="1"/>
  <c r="T2534" i="1" s="1"/>
  <c r="O2535" i="1"/>
  <c r="T2535" i="1" s="1"/>
  <c r="O2536" i="1"/>
  <c r="T2536" i="1" s="1"/>
  <c r="O2537" i="1"/>
  <c r="T2537" i="1" s="1"/>
  <c r="O2538" i="1"/>
  <c r="T2538" i="1" s="1"/>
  <c r="O2539" i="1"/>
  <c r="T2539" i="1" s="1"/>
  <c r="O2540" i="1"/>
  <c r="T2540" i="1" s="1"/>
  <c r="O2541" i="1"/>
  <c r="T2541" i="1" s="1"/>
  <c r="O2542" i="1"/>
  <c r="T2542" i="1" s="1"/>
  <c r="O2543" i="1"/>
  <c r="T2543" i="1" s="1"/>
  <c r="O2544" i="1"/>
  <c r="T2544" i="1" s="1"/>
  <c r="O2545" i="1"/>
  <c r="T2545" i="1" s="1"/>
  <c r="O2546" i="1"/>
  <c r="T2546" i="1" s="1"/>
  <c r="O2547" i="1"/>
  <c r="T2547" i="1" s="1"/>
  <c r="O2548" i="1"/>
  <c r="T2548" i="1" s="1"/>
  <c r="O2549" i="1"/>
  <c r="T2549" i="1" s="1"/>
  <c r="O2550" i="1"/>
  <c r="T2550" i="1" s="1"/>
  <c r="O2551" i="1"/>
  <c r="T2551" i="1" s="1"/>
  <c r="O2552" i="1"/>
  <c r="T2552" i="1" s="1"/>
  <c r="O2553" i="1"/>
  <c r="T2553" i="1" s="1"/>
  <c r="O2554" i="1"/>
  <c r="T2554" i="1" s="1"/>
  <c r="O2555" i="1"/>
  <c r="T2555" i="1" s="1"/>
  <c r="O2556" i="1"/>
  <c r="T2556" i="1" s="1"/>
  <c r="O2557" i="1"/>
  <c r="T2557" i="1" s="1"/>
  <c r="O2558" i="1"/>
  <c r="T2558" i="1" s="1"/>
  <c r="O2559" i="1"/>
  <c r="T2559" i="1" s="1"/>
  <c r="O2560" i="1"/>
  <c r="T2560" i="1" s="1"/>
  <c r="O2561" i="1"/>
  <c r="T2561" i="1" s="1"/>
  <c r="O2562" i="1"/>
  <c r="T2562" i="1" s="1"/>
  <c r="O2563" i="1"/>
  <c r="T2563" i="1" s="1"/>
  <c r="O2564" i="1"/>
  <c r="T2564" i="1" s="1"/>
  <c r="O2565" i="1"/>
  <c r="T2565" i="1" s="1"/>
  <c r="O2566" i="1"/>
  <c r="T2566" i="1" s="1"/>
  <c r="O2567" i="1"/>
  <c r="T2567" i="1" s="1"/>
  <c r="O2568" i="1"/>
  <c r="T2568" i="1" s="1"/>
  <c r="O2569" i="1"/>
  <c r="T2569" i="1" s="1"/>
  <c r="O2570" i="1"/>
  <c r="T2570" i="1" s="1"/>
  <c r="O2571" i="1"/>
  <c r="T2571" i="1" s="1"/>
  <c r="O2572" i="1"/>
  <c r="T2572" i="1" s="1"/>
  <c r="O2573" i="1"/>
  <c r="T2573" i="1" s="1"/>
  <c r="O2574" i="1"/>
  <c r="T2574" i="1" s="1"/>
  <c r="O2575" i="1"/>
  <c r="T2575" i="1" s="1"/>
  <c r="O2576" i="1"/>
  <c r="T2576" i="1" s="1"/>
  <c r="O2577" i="1"/>
  <c r="T2577" i="1" s="1"/>
  <c r="O2578" i="1"/>
  <c r="T2578" i="1" s="1"/>
  <c r="O2579" i="1"/>
  <c r="T2579" i="1" s="1"/>
  <c r="O2580" i="1"/>
  <c r="T2580" i="1" s="1"/>
  <c r="O2581" i="1"/>
  <c r="T2581" i="1" s="1"/>
  <c r="O2582" i="1"/>
  <c r="T2582" i="1" s="1"/>
  <c r="O2583" i="1"/>
  <c r="T2583" i="1" s="1"/>
  <c r="O2584" i="1"/>
  <c r="T2584" i="1" s="1"/>
  <c r="O2585" i="1"/>
  <c r="T2585" i="1" s="1"/>
  <c r="O2586" i="1"/>
  <c r="T2586" i="1" s="1"/>
  <c r="O2587" i="1"/>
  <c r="T2587" i="1" s="1"/>
  <c r="O2588" i="1"/>
  <c r="T2588" i="1" s="1"/>
  <c r="O2589" i="1"/>
  <c r="T2589" i="1" s="1"/>
  <c r="O2590" i="1"/>
  <c r="T2590" i="1" s="1"/>
  <c r="O2591" i="1"/>
  <c r="T2591" i="1" s="1"/>
  <c r="O2592" i="1"/>
  <c r="T2592" i="1" s="1"/>
  <c r="O2593" i="1"/>
  <c r="T2593" i="1" s="1"/>
  <c r="O2594" i="1"/>
  <c r="T2594" i="1" s="1"/>
  <c r="O2595" i="1"/>
  <c r="T2595" i="1" s="1"/>
  <c r="O2596" i="1"/>
  <c r="T2596" i="1" s="1"/>
  <c r="O2597" i="1"/>
  <c r="T2597" i="1" s="1"/>
  <c r="O2598" i="1"/>
  <c r="T2598" i="1" s="1"/>
  <c r="O2599" i="1"/>
  <c r="T2599" i="1" s="1"/>
  <c r="O2600" i="1"/>
  <c r="T2600" i="1" s="1"/>
  <c r="O2601" i="1"/>
  <c r="T2601" i="1" s="1"/>
  <c r="O2602" i="1"/>
  <c r="T2602" i="1" s="1"/>
  <c r="O2603" i="1"/>
  <c r="T2603" i="1" s="1"/>
  <c r="O2604" i="1"/>
  <c r="T2604" i="1" s="1"/>
  <c r="O2605" i="1"/>
  <c r="T2605" i="1" s="1"/>
  <c r="O2606" i="1"/>
  <c r="T2606" i="1" s="1"/>
  <c r="O2607" i="1"/>
  <c r="T2607" i="1" s="1"/>
  <c r="O2608" i="1"/>
  <c r="T2608" i="1" s="1"/>
  <c r="O2609" i="1"/>
  <c r="T2609" i="1" s="1"/>
  <c r="O2610" i="1"/>
  <c r="T2610" i="1" s="1"/>
  <c r="O2611" i="1"/>
  <c r="T2611" i="1" s="1"/>
  <c r="O2612" i="1"/>
  <c r="T2612" i="1" s="1"/>
  <c r="O2613" i="1"/>
  <c r="T2613" i="1" s="1"/>
  <c r="O2614" i="1"/>
  <c r="T2614" i="1" s="1"/>
  <c r="O2615" i="1"/>
  <c r="T2615" i="1" s="1"/>
  <c r="O2616" i="1"/>
  <c r="T2616" i="1" s="1"/>
  <c r="O2617" i="1"/>
  <c r="T2617" i="1" s="1"/>
  <c r="O2618" i="1"/>
  <c r="T2618" i="1" s="1"/>
  <c r="O2619" i="1"/>
  <c r="T2619" i="1" s="1"/>
  <c r="O2620" i="1"/>
  <c r="T2620" i="1" s="1"/>
  <c r="O2621" i="1"/>
  <c r="T2621" i="1" s="1"/>
  <c r="O2622" i="1"/>
  <c r="T2622" i="1" s="1"/>
  <c r="O2623" i="1"/>
  <c r="T2623" i="1" s="1"/>
  <c r="O2624" i="1"/>
  <c r="T2624" i="1" s="1"/>
  <c r="O2625" i="1"/>
  <c r="T2625" i="1" s="1"/>
  <c r="O2626" i="1"/>
  <c r="T2626" i="1" s="1"/>
  <c r="O2627" i="1"/>
  <c r="T2627" i="1" s="1"/>
  <c r="O2628" i="1"/>
  <c r="T2628" i="1" s="1"/>
  <c r="O2629" i="1"/>
  <c r="T2629" i="1" s="1"/>
  <c r="O2630" i="1"/>
  <c r="T2630" i="1" s="1"/>
  <c r="O2631" i="1"/>
  <c r="T2631" i="1" s="1"/>
  <c r="O2632" i="1"/>
  <c r="T2632" i="1" s="1"/>
  <c r="O2633" i="1"/>
  <c r="T2633" i="1" s="1"/>
  <c r="O2634" i="1"/>
  <c r="T2634" i="1" s="1"/>
  <c r="O2635" i="1"/>
  <c r="T2635" i="1" s="1"/>
  <c r="O2636" i="1"/>
  <c r="T2636" i="1" s="1"/>
  <c r="O2637" i="1"/>
  <c r="T2637" i="1" s="1"/>
  <c r="O2638" i="1"/>
  <c r="T2638" i="1" s="1"/>
  <c r="O2639" i="1"/>
  <c r="T2639" i="1" s="1"/>
  <c r="O2640" i="1"/>
  <c r="T2640" i="1" s="1"/>
  <c r="O2641" i="1"/>
  <c r="T2641" i="1" s="1"/>
  <c r="O2642" i="1"/>
  <c r="T2642" i="1" s="1"/>
  <c r="O2643" i="1"/>
  <c r="T2643" i="1" s="1"/>
  <c r="O2644" i="1"/>
  <c r="T2644" i="1" s="1"/>
  <c r="O2645" i="1"/>
  <c r="T2645" i="1" s="1"/>
  <c r="O2646" i="1"/>
  <c r="T2646" i="1" s="1"/>
  <c r="O2647" i="1"/>
  <c r="T2647" i="1" s="1"/>
  <c r="O2648" i="1"/>
  <c r="T2648" i="1" s="1"/>
  <c r="O2649" i="1"/>
  <c r="T2649" i="1" s="1"/>
  <c r="O2650" i="1"/>
  <c r="T2650" i="1" s="1"/>
  <c r="O2651" i="1"/>
  <c r="T2651" i="1" s="1"/>
  <c r="O2652" i="1"/>
  <c r="T2652" i="1" s="1"/>
  <c r="O2653" i="1"/>
  <c r="T2653" i="1" s="1"/>
  <c r="O2654" i="1"/>
  <c r="T2654" i="1" s="1"/>
  <c r="O2655" i="1"/>
  <c r="T2655" i="1" s="1"/>
  <c r="O2656" i="1"/>
  <c r="T2656" i="1" s="1"/>
  <c r="O2657" i="1"/>
  <c r="T2657" i="1" s="1"/>
  <c r="O2658" i="1"/>
  <c r="T2658" i="1" s="1"/>
  <c r="O2659" i="1"/>
  <c r="T2659" i="1" s="1"/>
  <c r="O2660" i="1"/>
  <c r="T2660" i="1" s="1"/>
  <c r="O2661" i="1"/>
  <c r="T2661" i="1" s="1"/>
  <c r="O2662" i="1"/>
  <c r="T2662" i="1" s="1"/>
  <c r="O2663" i="1"/>
  <c r="T2663" i="1" s="1"/>
  <c r="O2664" i="1"/>
  <c r="T2664" i="1" s="1"/>
  <c r="O2665" i="1"/>
  <c r="T2665" i="1" s="1"/>
  <c r="O2666" i="1"/>
  <c r="T2666" i="1" s="1"/>
  <c r="O2667" i="1"/>
  <c r="T2667" i="1" s="1"/>
  <c r="O2668" i="1"/>
  <c r="T2668" i="1" s="1"/>
  <c r="O2669" i="1"/>
  <c r="T2669" i="1" s="1"/>
  <c r="O2670" i="1"/>
  <c r="T2670" i="1" s="1"/>
  <c r="O2671" i="1"/>
  <c r="T2671" i="1" s="1"/>
  <c r="O2672" i="1"/>
  <c r="T2672" i="1" s="1"/>
  <c r="O2673" i="1"/>
  <c r="T2673" i="1" s="1"/>
  <c r="O2674" i="1"/>
  <c r="T2674" i="1" s="1"/>
  <c r="O2675" i="1"/>
  <c r="T2675" i="1" s="1"/>
  <c r="O2676" i="1"/>
  <c r="T2676" i="1" s="1"/>
  <c r="O2677" i="1"/>
  <c r="T2677" i="1" s="1"/>
  <c r="O2678" i="1"/>
  <c r="T2678" i="1" s="1"/>
  <c r="O2679" i="1"/>
  <c r="T2679" i="1" s="1"/>
  <c r="O2680" i="1"/>
  <c r="T2680" i="1" s="1"/>
  <c r="O2681" i="1"/>
  <c r="T2681" i="1" s="1"/>
  <c r="O2682" i="1"/>
  <c r="T2682" i="1" s="1"/>
  <c r="O2683" i="1"/>
  <c r="T2683" i="1" s="1"/>
  <c r="O2684" i="1"/>
  <c r="T2684" i="1" s="1"/>
  <c r="O2685" i="1"/>
  <c r="T2685" i="1" s="1"/>
  <c r="O2686" i="1"/>
  <c r="T2686" i="1" s="1"/>
  <c r="O2687" i="1"/>
  <c r="T2687" i="1" s="1"/>
  <c r="O2688" i="1"/>
  <c r="T2688" i="1" s="1"/>
  <c r="O2689" i="1"/>
  <c r="T2689" i="1" s="1"/>
  <c r="O2690" i="1"/>
  <c r="T2690" i="1" s="1"/>
  <c r="O2691" i="1"/>
  <c r="T2691" i="1" s="1"/>
  <c r="O2692" i="1"/>
  <c r="T2692" i="1" s="1"/>
  <c r="O2693" i="1"/>
  <c r="T2693" i="1" s="1"/>
  <c r="O2694" i="1"/>
  <c r="T2694" i="1" s="1"/>
  <c r="O2695" i="1"/>
  <c r="T2695" i="1" s="1"/>
  <c r="O2696" i="1"/>
  <c r="T2696" i="1" s="1"/>
  <c r="O2697" i="1"/>
  <c r="T2697" i="1" s="1"/>
  <c r="O2698" i="1"/>
  <c r="T2698" i="1" s="1"/>
  <c r="O2699" i="1"/>
  <c r="T2699" i="1" s="1"/>
  <c r="O2700" i="1"/>
  <c r="T2700" i="1" s="1"/>
  <c r="O2701" i="1"/>
  <c r="T2701" i="1" s="1"/>
  <c r="O2702" i="1"/>
  <c r="T2702" i="1" s="1"/>
  <c r="O2703" i="1"/>
  <c r="T2703" i="1" s="1"/>
  <c r="O2704" i="1"/>
  <c r="T2704" i="1" s="1"/>
  <c r="O2705" i="1"/>
  <c r="O2706" i="1"/>
  <c r="T2706" i="1" s="1"/>
  <c r="O2707" i="1"/>
  <c r="T2707" i="1" s="1"/>
  <c r="O2708" i="1"/>
  <c r="T2708" i="1" s="1"/>
  <c r="O2709" i="1"/>
  <c r="T2709" i="1" s="1"/>
  <c r="O2710" i="1"/>
  <c r="T2710" i="1" s="1"/>
  <c r="O2711" i="1"/>
  <c r="T2711" i="1" s="1"/>
  <c r="O2712" i="1"/>
  <c r="T2712" i="1" s="1"/>
  <c r="O2713" i="1"/>
  <c r="T2713" i="1" s="1"/>
  <c r="O2714" i="1"/>
  <c r="T2714" i="1" s="1"/>
  <c r="O2715" i="1"/>
  <c r="T2715" i="1" s="1"/>
  <c r="O2716" i="1"/>
  <c r="T2716" i="1" s="1"/>
  <c r="O2717" i="1"/>
  <c r="T2717" i="1" s="1"/>
  <c r="O2718" i="1"/>
  <c r="T2718" i="1" s="1"/>
  <c r="O2719" i="1"/>
  <c r="T2719" i="1" s="1"/>
  <c r="O2720" i="1"/>
  <c r="T2720" i="1" s="1"/>
  <c r="O2721" i="1"/>
  <c r="T2721" i="1" s="1"/>
  <c r="O2722" i="1"/>
  <c r="T2722" i="1" s="1"/>
  <c r="O2723" i="1"/>
  <c r="T2723" i="1" s="1"/>
  <c r="O2724" i="1"/>
  <c r="T2724" i="1" s="1"/>
  <c r="O2725" i="1"/>
  <c r="T2725" i="1" s="1"/>
  <c r="O2726" i="1"/>
  <c r="T2726" i="1" s="1"/>
  <c r="O2727" i="1"/>
  <c r="T2727" i="1" s="1"/>
  <c r="O2728" i="1"/>
  <c r="T2728" i="1" s="1"/>
  <c r="O2729" i="1"/>
  <c r="T2729" i="1" s="1"/>
  <c r="O2730" i="1"/>
  <c r="T2730" i="1" s="1"/>
  <c r="O2731" i="1"/>
  <c r="T2731" i="1" s="1"/>
  <c r="O2732" i="1"/>
  <c r="T2732" i="1" s="1"/>
  <c r="O2733" i="1"/>
  <c r="T2733" i="1" s="1"/>
  <c r="O2734" i="1"/>
  <c r="T2734" i="1" s="1"/>
  <c r="O2735" i="1"/>
  <c r="T2735" i="1" s="1"/>
  <c r="O2736" i="1"/>
  <c r="T2736" i="1" s="1"/>
  <c r="O2737" i="1"/>
  <c r="T2737" i="1" s="1"/>
  <c r="O2738" i="1"/>
  <c r="T2738" i="1" s="1"/>
  <c r="O2739" i="1"/>
  <c r="T2739" i="1" s="1"/>
  <c r="O2740" i="1"/>
  <c r="T2740" i="1" s="1"/>
  <c r="O2741" i="1"/>
  <c r="T2741" i="1" s="1"/>
  <c r="O2742" i="1"/>
  <c r="T2742" i="1" s="1"/>
  <c r="O2743" i="1"/>
  <c r="T2743" i="1" s="1"/>
  <c r="O2744" i="1"/>
  <c r="T2744" i="1" s="1"/>
  <c r="O2745" i="1"/>
  <c r="T2745" i="1" s="1"/>
  <c r="O2746" i="1"/>
  <c r="T2746" i="1" s="1"/>
  <c r="O2747" i="1"/>
  <c r="T2747" i="1" s="1"/>
  <c r="O2748" i="1"/>
  <c r="T2748" i="1" s="1"/>
  <c r="O2749" i="1"/>
  <c r="T2749" i="1" s="1"/>
  <c r="O2750" i="1"/>
  <c r="T2750" i="1" s="1"/>
  <c r="O2751" i="1"/>
  <c r="T2751" i="1" s="1"/>
  <c r="O2752" i="1"/>
  <c r="T2752" i="1" s="1"/>
  <c r="O2753" i="1"/>
  <c r="T2753" i="1" s="1"/>
  <c r="O2754" i="1"/>
  <c r="T2754" i="1" s="1"/>
  <c r="O2755" i="1"/>
  <c r="T2755" i="1" s="1"/>
  <c r="O2756" i="1"/>
  <c r="T2756" i="1" s="1"/>
  <c r="O2757" i="1"/>
  <c r="T2757" i="1" s="1"/>
  <c r="O2758" i="1"/>
  <c r="T2758" i="1" s="1"/>
  <c r="O2759" i="1"/>
  <c r="T2759" i="1" s="1"/>
  <c r="O2760" i="1"/>
  <c r="T2760" i="1" s="1"/>
  <c r="O2761" i="1"/>
  <c r="T2761" i="1" s="1"/>
  <c r="O2762" i="1"/>
  <c r="T2762" i="1" s="1"/>
  <c r="O2763" i="1"/>
  <c r="T2763" i="1" s="1"/>
  <c r="O2764" i="1"/>
  <c r="T2764" i="1" s="1"/>
  <c r="O2765" i="1"/>
  <c r="T2765" i="1" s="1"/>
  <c r="O2766" i="1"/>
  <c r="T2766" i="1" s="1"/>
  <c r="O2767" i="1"/>
  <c r="T2767" i="1" s="1"/>
  <c r="O2768" i="1"/>
  <c r="T2768" i="1" s="1"/>
  <c r="O2769" i="1"/>
  <c r="T2769" i="1" s="1"/>
  <c r="O2770" i="1"/>
  <c r="T2770" i="1" s="1"/>
  <c r="O2771" i="1"/>
  <c r="T2771" i="1" s="1"/>
  <c r="O2772" i="1"/>
  <c r="T2772" i="1" s="1"/>
  <c r="O2773" i="1"/>
  <c r="T2773" i="1" s="1"/>
  <c r="O2774" i="1"/>
  <c r="T2774" i="1" s="1"/>
  <c r="O2775" i="1"/>
  <c r="T2775" i="1" s="1"/>
  <c r="O2776" i="1"/>
  <c r="T2776" i="1" s="1"/>
  <c r="O2777" i="1"/>
  <c r="T2777" i="1" s="1"/>
  <c r="O2778" i="1"/>
  <c r="T2778" i="1" s="1"/>
  <c r="O2779" i="1"/>
  <c r="T2779" i="1" s="1"/>
  <c r="O2780" i="1"/>
  <c r="T2780" i="1" s="1"/>
  <c r="O2781" i="1"/>
  <c r="T2781" i="1" s="1"/>
  <c r="O2782" i="1"/>
  <c r="T2782" i="1" s="1"/>
  <c r="O2783" i="1"/>
  <c r="T2783" i="1" s="1"/>
  <c r="O2784" i="1"/>
  <c r="T2784" i="1" s="1"/>
  <c r="O2785" i="1"/>
  <c r="T2785" i="1" s="1"/>
  <c r="O2786" i="1"/>
  <c r="T2786" i="1" s="1"/>
  <c r="O2787" i="1"/>
  <c r="T2787" i="1" s="1"/>
  <c r="O2788" i="1"/>
  <c r="T2788" i="1" s="1"/>
  <c r="O2789" i="1"/>
  <c r="T2789" i="1" s="1"/>
  <c r="O2790" i="1"/>
  <c r="T2790" i="1" s="1"/>
  <c r="O2791" i="1"/>
  <c r="T2791" i="1" s="1"/>
  <c r="O2792" i="1"/>
  <c r="T2792" i="1" s="1"/>
  <c r="O2793" i="1"/>
  <c r="T2793" i="1" s="1"/>
  <c r="O2794" i="1"/>
  <c r="T2794" i="1" s="1"/>
  <c r="O2795" i="1"/>
  <c r="T2795" i="1" s="1"/>
  <c r="O2796" i="1"/>
  <c r="T2796" i="1" s="1"/>
  <c r="O2797" i="1"/>
  <c r="T2797" i="1" s="1"/>
  <c r="O2798" i="1"/>
  <c r="T2798" i="1" s="1"/>
  <c r="O2799" i="1"/>
  <c r="T2799" i="1" s="1"/>
  <c r="O2800" i="1"/>
  <c r="T2800" i="1" s="1"/>
  <c r="O2801" i="1"/>
  <c r="T2801" i="1" s="1"/>
  <c r="O2802" i="1"/>
  <c r="T2802" i="1" s="1"/>
  <c r="O2803" i="1"/>
  <c r="T2803" i="1" s="1"/>
  <c r="O2804" i="1"/>
  <c r="T2804" i="1" s="1"/>
  <c r="O2805" i="1"/>
  <c r="T2805" i="1" s="1"/>
  <c r="O2806" i="1"/>
  <c r="T2806" i="1" s="1"/>
  <c r="O2807" i="1"/>
  <c r="T2807" i="1" s="1"/>
  <c r="O2808" i="1"/>
  <c r="T2808" i="1" s="1"/>
  <c r="O2809" i="1"/>
  <c r="T2809" i="1" s="1"/>
  <c r="O2810" i="1"/>
  <c r="T2810" i="1" s="1"/>
  <c r="O2811" i="1"/>
  <c r="T2811" i="1" s="1"/>
  <c r="O2812" i="1"/>
  <c r="T2812" i="1" s="1"/>
  <c r="O2813" i="1"/>
  <c r="T2813" i="1" s="1"/>
  <c r="O2814" i="1"/>
  <c r="T2814" i="1" s="1"/>
  <c r="O2815" i="1"/>
  <c r="T2815" i="1" s="1"/>
  <c r="O2816" i="1"/>
  <c r="T2816" i="1" s="1"/>
  <c r="O2817" i="1"/>
  <c r="T2817" i="1" s="1"/>
  <c r="O2818" i="1"/>
  <c r="T2818" i="1" s="1"/>
  <c r="O2819" i="1"/>
  <c r="T2819" i="1" s="1"/>
  <c r="O2820" i="1"/>
  <c r="T2820" i="1" s="1"/>
  <c r="O2821" i="1"/>
  <c r="T2821" i="1" s="1"/>
  <c r="O2822" i="1"/>
  <c r="T2822" i="1" s="1"/>
  <c r="O2823" i="1"/>
  <c r="T2823" i="1" s="1"/>
  <c r="O2824" i="1"/>
  <c r="T2824" i="1" s="1"/>
  <c r="O2825" i="1"/>
  <c r="T2825" i="1" s="1"/>
  <c r="O2826" i="1"/>
  <c r="T2826" i="1" s="1"/>
  <c r="O2827" i="1"/>
  <c r="T2827" i="1" s="1"/>
  <c r="O2828" i="1"/>
  <c r="T2828" i="1" s="1"/>
  <c r="O2829" i="1"/>
  <c r="T2829" i="1" s="1"/>
  <c r="O2830" i="1"/>
  <c r="T2830" i="1" s="1"/>
  <c r="O2831" i="1"/>
  <c r="T2831" i="1" s="1"/>
  <c r="O2832" i="1"/>
  <c r="T2832" i="1" s="1"/>
  <c r="O2833" i="1"/>
  <c r="T2833" i="1" s="1"/>
  <c r="O2834" i="1"/>
  <c r="T2834" i="1" s="1"/>
  <c r="O2835" i="1"/>
  <c r="T2835" i="1" s="1"/>
  <c r="O2836" i="1"/>
  <c r="T2836" i="1" s="1"/>
  <c r="O2837" i="1"/>
  <c r="T2837" i="1" s="1"/>
  <c r="O2838" i="1"/>
  <c r="T2838" i="1" s="1"/>
  <c r="O2839" i="1"/>
  <c r="T2839" i="1" s="1"/>
  <c r="O2840" i="1"/>
  <c r="T2840" i="1" s="1"/>
  <c r="O2841" i="1"/>
  <c r="T2841" i="1" s="1"/>
  <c r="O2842" i="1"/>
  <c r="T2842" i="1" s="1"/>
  <c r="O2843" i="1"/>
  <c r="T2843" i="1" s="1"/>
  <c r="O2844" i="1"/>
  <c r="T2844" i="1" s="1"/>
  <c r="O2845" i="1"/>
  <c r="T2845" i="1" s="1"/>
  <c r="O2846" i="1"/>
  <c r="T2846" i="1" s="1"/>
  <c r="O2847" i="1"/>
  <c r="T2847" i="1" s="1"/>
  <c r="O2848" i="1"/>
  <c r="T2848" i="1" s="1"/>
  <c r="O2849" i="1"/>
  <c r="T2849" i="1" s="1"/>
  <c r="O2850" i="1"/>
  <c r="T2850" i="1" s="1"/>
  <c r="O2851" i="1"/>
  <c r="T2851" i="1" s="1"/>
  <c r="O2852" i="1"/>
  <c r="T2852" i="1" s="1"/>
  <c r="O2853" i="1"/>
  <c r="T2853" i="1" s="1"/>
  <c r="O2854" i="1"/>
  <c r="T2854" i="1" s="1"/>
  <c r="O2855" i="1"/>
  <c r="T2855" i="1" s="1"/>
  <c r="O2856" i="1"/>
  <c r="T2856" i="1" s="1"/>
  <c r="O2857" i="1"/>
  <c r="T2857" i="1" s="1"/>
  <c r="O2858" i="1"/>
  <c r="T2858" i="1" s="1"/>
  <c r="O2859" i="1"/>
  <c r="T2859" i="1" s="1"/>
  <c r="O2860" i="1"/>
  <c r="T2860" i="1" s="1"/>
  <c r="O2861" i="1"/>
  <c r="T2861" i="1" s="1"/>
  <c r="O2862" i="1"/>
  <c r="T2862" i="1" s="1"/>
  <c r="O2863" i="1"/>
  <c r="T2863" i="1" s="1"/>
  <c r="O2864" i="1"/>
  <c r="T2864" i="1" s="1"/>
  <c r="O2865" i="1"/>
  <c r="T2865" i="1" s="1"/>
  <c r="O2866" i="1"/>
  <c r="T2866" i="1" s="1"/>
  <c r="O2867" i="1"/>
  <c r="T2867" i="1" s="1"/>
  <c r="O2868" i="1"/>
  <c r="T2868" i="1" s="1"/>
  <c r="O2869" i="1"/>
  <c r="T2869" i="1" s="1"/>
  <c r="O2870" i="1"/>
  <c r="T2870" i="1" s="1"/>
  <c r="O2871" i="1"/>
  <c r="T2871" i="1" s="1"/>
  <c r="O2872" i="1"/>
  <c r="T2872" i="1" s="1"/>
  <c r="O2873" i="1"/>
  <c r="T2873" i="1" s="1"/>
  <c r="O2874" i="1"/>
  <c r="T2874" i="1" s="1"/>
  <c r="O2875" i="1"/>
  <c r="T2875" i="1" s="1"/>
  <c r="O2876" i="1"/>
  <c r="T2876" i="1" s="1"/>
  <c r="O2877" i="1"/>
  <c r="T2877" i="1" s="1"/>
  <c r="O2878" i="1"/>
  <c r="T2878" i="1" s="1"/>
  <c r="O2879" i="1"/>
  <c r="T2879" i="1" s="1"/>
  <c r="O2880" i="1"/>
  <c r="T2880" i="1" s="1"/>
  <c r="O2881" i="1"/>
  <c r="T2881" i="1" s="1"/>
  <c r="O2882" i="1"/>
  <c r="T2882" i="1" s="1"/>
  <c r="O2883" i="1"/>
  <c r="T2883" i="1" s="1"/>
  <c r="O2884" i="1"/>
  <c r="T2884" i="1" s="1"/>
  <c r="O2885" i="1"/>
  <c r="T2885" i="1" s="1"/>
  <c r="O2886" i="1"/>
  <c r="T2886" i="1" s="1"/>
  <c r="O2887" i="1"/>
  <c r="T2887" i="1" s="1"/>
  <c r="O2888" i="1"/>
  <c r="T2888" i="1" s="1"/>
  <c r="O2889" i="1"/>
  <c r="T2889" i="1" s="1"/>
  <c r="O2890" i="1"/>
  <c r="T2890" i="1" s="1"/>
  <c r="O2891" i="1"/>
  <c r="T2891" i="1" s="1"/>
  <c r="O2892" i="1"/>
  <c r="T2892" i="1" s="1"/>
  <c r="O2893" i="1"/>
  <c r="T2893" i="1" s="1"/>
  <c r="O2894" i="1"/>
  <c r="T2894" i="1" s="1"/>
  <c r="O2895" i="1"/>
  <c r="T2895" i="1" s="1"/>
  <c r="O2896" i="1"/>
  <c r="T2896" i="1" s="1"/>
  <c r="O2897" i="1"/>
  <c r="T2897" i="1" s="1"/>
  <c r="O2898" i="1"/>
  <c r="T2898" i="1" s="1"/>
  <c r="O2899" i="1"/>
  <c r="T2899" i="1" s="1"/>
  <c r="O2900" i="1"/>
  <c r="T2900" i="1" s="1"/>
  <c r="O2901" i="1"/>
  <c r="T2901" i="1" s="1"/>
  <c r="O2902" i="1"/>
  <c r="T2902" i="1" s="1"/>
  <c r="O2903" i="1"/>
  <c r="T2903" i="1" s="1"/>
  <c r="O2904" i="1"/>
  <c r="T2904" i="1" s="1"/>
  <c r="O2905" i="1"/>
  <c r="T2905" i="1" s="1"/>
  <c r="O2906" i="1"/>
  <c r="T2906" i="1" s="1"/>
  <c r="O2907" i="1"/>
  <c r="T2907" i="1" s="1"/>
  <c r="O2908" i="1"/>
  <c r="T2908" i="1" s="1"/>
  <c r="O2909" i="1"/>
  <c r="T2909" i="1" s="1"/>
  <c r="O2910" i="1"/>
  <c r="T2910" i="1" s="1"/>
  <c r="O2911" i="1"/>
  <c r="T2911" i="1" s="1"/>
  <c r="O2912" i="1"/>
  <c r="T2912" i="1" s="1"/>
  <c r="O2913" i="1"/>
  <c r="T2913" i="1" s="1"/>
  <c r="O2914" i="1"/>
  <c r="T2914" i="1" s="1"/>
  <c r="O2915" i="1"/>
  <c r="T2915" i="1" s="1"/>
  <c r="O2916" i="1"/>
  <c r="T2916" i="1" s="1"/>
  <c r="O2917" i="1"/>
  <c r="T2917" i="1" s="1"/>
  <c r="O2918" i="1"/>
  <c r="T2918" i="1" s="1"/>
  <c r="O2919" i="1"/>
  <c r="T2919" i="1" s="1"/>
  <c r="O2920" i="1"/>
  <c r="T2920" i="1" s="1"/>
  <c r="O2921" i="1"/>
  <c r="T2921" i="1" s="1"/>
  <c r="O2922" i="1"/>
  <c r="T2922" i="1" s="1"/>
  <c r="O2923" i="1"/>
  <c r="T2923" i="1" s="1"/>
  <c r="O2924" i="1"/>
  <c r="T2924" i="1" s="1"/>
  <c r="O2925" i="1"/>
  <c r="T2925" i="1" s="1"/>
  <c r="O2926" i="1"/>
  <c r="T2926" i="1" s="1"/>
  <c r="O2927" i="1"/>
  <c r="T2927" i="1" s="1"/>
  <c r="O2928" i="1"/>
  <c r="T2928" i="1" s="1"/>
  <c r="O2929" i="1"/>
  <c r="T2929" i="1" s="1"/>
  <c r="O2930" i="1"/>
  <c r="T2930" i="1" s="1"/>
  <c r="O2931" i="1"/>
  <c r="T2931" i="1" s="1"/>
  <c r="O2932" i="1"/>
  <c r="T2932" i="1" s="1"/>
  <c r="O2933" i="1"/>
  <c r="T2933" i="1" s="1"/>
  <c r="O2934" i="1"/>
  <c r="T2934" i="1" s="1"/>
  <c r="O2935" i="1"/>
  <c r="T2935" i="1" s="1"/>
  <c r="O2936" i="1"/>
  <c r="T2936" i="1" s="1"/>
  <c r="O2937" i="1"/>
  <c r="T2937" i="1" s="1"/>
  <c r="O2938" i="1"/>
  <c r="T2938" i="1" s="1"/>
  <c r="O2939" i="1"/>
  <c r="T2939" i="1" s="1"/>
  <c r="O2940" i="1"/>
  <c r="T2940" i="1" s="1"/>
  <c r="O2941" i="1"/>
  <c r="T2941" i="1" s="1"/>
  <c r="O2942" i="1"/>
  <c r="T2942" i="1" s="1"/>
  <c r="O2943" i="1"/>
  <c r="T2943" i="1" s="1"/>
  <c r="O2944" i="1"/>
  <c r="T2944" i="1" s="1"/>
  <c r="O2945" i="1"/>
  <c r="T2945" i="1" s="1"/>
  <c r="O2946" i="1"/>
  <c r="T2946" i="1" s="1"/>
  <c r="O2947" i="1"/>
  <c r="T2947" i="1" s="1"/>
  <c r="O2948" i="1"/>
  <c r="T2948" i="1" s="1"/>
  <c r="O2949" i="1"/>
  <c r="T2949" i="1" s="1"/>
  <c r="O2950" i="1"/>
  <c r="T2950" i="1" s="1"/>
  <c r="O2951" i="1"/>
  <c r="T2951" i="1" s="1"/>
  <c r="O2952" i="1"/>
  <c r="T2952" i="1" s="1"/>
  <c r="O2953" i="1"/>
  <c r="T2953" i="1" s="1"/>
  <c r="O2954" i="1"/>
  <c r="T2954" i="1" s="1"/>
  <c r="O2955" i="1"/>
  <c r="T2955" i="1" s="1"/>
  <c r="O2956" i="1"/>
  <c r="T2956" i="1" s="1"/>
  <c r="O2957" i="1"/>
  <c r="T2957" i="1" s="1"/>
  <c r="O2958" i="1"/>
  <c r="T2958" i="1" s="1"/>
  <c r="O2959" i="1"/>
  <c r="T2959" i="1" s="1"/>
  <c r="O2960" i="1"/>
  <c r="T2960" i="1" s="1"/>
  <c r="O2961" i="1"/>
  <c r="T2961" i="1" s="1"/>
  <c r="O2962" i="1"/>
  <c r="T2962" i="1" s="1"/>
  <c r="O2963" i="1"/>
  <c r="T2963" i="1" s="1"/>
  <c r="O2964" i="1"/>
  <c r="T2964" i="1" s="1"/>
  <c r="O2965" i="1"/>
  <c r="T2965" i="1" s="1"/>
  <c r="O2966" i="1"/>
  <c r="T2966" i="1" s="1"/>
  <c r="O2967" i="1"/>
  <c r="T2967" i="1" s="1"/>
  <c r="O2968" i="1"/>
  <c r="T2968" i="1" s="1"/>
  <c r="O2969" i="1"/>
  <c r="T2969" i="1" s="1"/>
  <c r="O2970" i="1"/>
  <c r="T2970" i="1" s="1"/>
  <c r="O2971" i="1"/>
  <c r="T2971" i="1" s="1"/>
  <c r="O2972" i="1"/>
  <c r="T2972" i="1" s="1"/>
  <c r="O2973" i="1"/>
  <c r="T2973" i="1" s="1"/>
  <c r="O2974" i="1"/>
  <c r="T2974" i="1" s="1"/>
  <c r="O2975" i="1"/>
  <c r="T2975" i="1" s="1"/>
  <c r="O2976" i="1"/>
  <c r="T2976" i="1" s="1"/>
  <c r="O2977" i="1"/>
  <c r="T2977" i="1" s="1"/>
  <c r="O2978" i="1"/>
  <c r="T2978" i="1" s="1"/>
  <c r="O2979" i="1"/>
  <c r="T2979" i="1" s="1"/>
  <c r="O2980" i="1"/>
  <c r="T2980" i="1" s="1"/>
  <c r="O2981" i="1"/>
  <c r="T2981" i="1" s="1"/>
  <c r="O2982" i="1"/>
  <c r="T2982" i="1" s="1"/>
  <c r="O2983" i="1"/>
  <c r="T2983" i="1" s="1"/>
  <c r="O2984" i="1"/>
  <c r="T2984" i="1" s="1"/>
  <c r="O2985" i="1"/>
  <c r="T2985" i="1" s="1"/>
  <c r="O2986" i="1"/>
  <c r="T2986" i="1" s="1"/>
  <c r="O2987" i="1"/>
  <c r="T2987" i="1" s="1"/>
  <c r="O2988" i="1"/>
  <c r="T2988" i="1" s="1"/>
  <c r="O2989" i="1"/>
  <c r="T2989" i="1" s="1"/>
  <c r="O2990" i="1"/>
  <c r="T2990" i="1" s="1"/>
  <c r="O2991" i="1"/>
  <c r="T2991" i="1" s="1"/>
  <c r="O2992" i="1"/>
  <c r="T2992" i="1" s="1"/>
  <c r="O2993" i="1"/>
  <c r="T2993" i="1" s="1"/>
  <c r="O2994" i="1"/>
  <c r="T2994" i="1" s="1"/>
  <c r="O2995" i="1"/>
  <c r="T2995" i="1" s="1"/>
  <c r="O2996" i="1"/>
  <c r="T2996" i="1" s="1"/>
  <c r="O2997" i="1"/>
  <c r="T2997" i="1" s="1"/>
  <c r="O2998" i="1"/>
  <c r="T2998" i="1" s="1"/>
  <c r="O2999" i="1"/>
  <c r="T2999" i="1" s="1"/>
  <c r="O3000" i="1"/>
  <c r="T3000" i="1" s="1"/>
  <c r="O3001" i="1"/>
  <c r="T3001" i="1" s="1"/>
  <c r="O3002" i="1"/>
  <c r="T3002" i="1" s="1"/>
  <c r="O3003" i="1"/>
  <c r="T3003" i="1" s="1"/>
  <c r="O3004" i="1"/>
  <c r="T3004" i="1" s="1"/>
  <c r="O3005" i="1"/>
  <c r="T3005" i="1" s="1"/>
  <c r="O3006" i="1"/>
  <c r="T3006" i="1" s="1"/>
  <c r="O3007" i="1"/>
  <c r="T3007" i="1" s="1"/>
  <c r="O3008" i="1"/>
  <c r="T3008" i="1" s="1"/>
  <c r="O3009" i="1"/>
  <c r="T3009" i="1" s="1"/>
  <c r="O3010" i="1"/>
  <c r="T3010" i="1" s="1"/>
  <c r="O3011" i="1"/>
  <c r="T3011" i="1" s="1"/>
  <c r="O3012" i="1"/>
  <c r="T3012" i="1" s="1"/>
  <c r="O3013" i="1"/>
  <c r="T3013" i="1" s="1"/>
  <c r="O3014" i="1"/>
  <c r="T3014" i="1" s="1"/>
  <c r="O3015" i="1"/>
  <c r="T3015" i="1" s="1"/>
  <c r="O3016" i="1"/>
  <c r="T3016" i="1" s="1"/>
  <c r="O3017" i="1"/>
  <c r="T3017" i="1" s="1"/>
  <c r="O3018" i="1"/>
  <c r="T3018" i="1" s="1"/>
  <c r="O3019" i="1"/>
  <c r="T3019" i="1" s="1"/>
  <c r="O3020" i="1"/>
  <c r="T3020" i="1" s="1"/>
  <c r="O3021" i="1"/>
  <c r="T3021" i="1" s="1"/>
  <c r="O3022" i="1"/>
  <c r="T3022" i="1" s="1"/>
  <c r="O3023" i="1"/>
  <c r="T3023" i="1" s="1"/>
  <c r="O3024" i="1"/>
  <c r="T3024" i="1" s="1"/>
  <c r="O3025" i="1"/>
  <c r="T3025" i="1" s="1"/>
  <c r="O3026" i="1"/>
  <c r="T3026" i="1" s="1"/>
  <c r="O3027" i="1"/>
  <c r="T3027" i="1" s="1"/>
  <c r="O3028" i="1"/>
  <c r="T3028" i="1" s="1"/>
  <c r="O3029" i="1"/>
  <c r="T3029" i="1" s="1"/>
  <c r="O3030" i="1"/>
  <c r="T3030" i="1" s="1"/>
  <c r="O3031" i="1"/>
  <c r="T3031" i="1" s="1"/>
  <c r="O3032" i="1"/>
  <c r="T3032" i="1" s="1"/>
  <c r="O3033" i="1"/>
  <c r="T3033" i="1" s="1"/>
  <c r="O3034" i="1"/>
  <c r="T3034" i="1" s="1"/>
  <c r="O3035" i="1"/>
  <c r="T3035" i="1" s="1"/>
  <c r="O3036" i="1"/>
  <c r="T3036" i="1" s="1"/>
  <c r="O3037" i="1"/>
  <c r="T3037" i="1" s="1"/>
  <c r="O3038" i="1"/>
  <c r="T3038" i="1" s="1"/>
  <c r="O3039" i="1"/>
  <c r="T3039" i="1" s="1"/>
  <c r="O3040" i="1"/>
  <c r="T3040" i="1" s="1"/>
  <c r="O3041" i="1"/>
  <c r="T3041" i="1" s="1"/>
  <c r="O3042" i="1"/>
  <c r="T3042" i="1" s="1"/>
  <c r="O3043" i="1"/>
  <c r="T3043" i="1" s="1"/>
  <c r="O3044" i="1"/>
  <c r="T3044" i="1" s="1"/>
  <c r="O3045" i="1"/>
  <c r="T3045" i="1" s="1"/>
  <c r="O3046" i="1"/>
  <c r="T3046" i="1" s="1"/>
  <c r="O3047" i="1"/>
  <c r="T3047" i="1" s="1"/>
  <c r="O3048" i="1"/>
  <c r="T3048" i="1" s="1"/>
  <c r="O3049" i="1"/>
  <c r="T3049" i="1" s="1"/>
  <c r="O3050" i="1"/>
  <c r="T3050" i="1" s="1"/>
  <c r="O3051" i="1"/>
  <c r="T3051" i="1" s="1"/>
  <c r="O3052" i="1"/>
  <c r="T3052" i="1" s="1"/>
  <c r="O3053" i="1"/>
  <c r="T3053" i="1" s="1"/>
  <c r="O3054" i="1"/>
  <c r="T3054" i="1" s="1"/>
  <c r="O3055" i="1"/>
  <c r="T3055" i="1" s="1"/>
  <c r="O3056" i="1"/>
  <c r="T3056" i="1" s="1"/>
  <c r="O3057" i="1"/>
  <c r="T3057" i="1" s="1"/>
  <c r="O3058" i="1"/>
  <c r="T3058" i="1" s="1"/>
  <c r="O3059" i="1"/>
  <c r="T3059" i="1" s="1"/>
  <c r="O3060" i="1"/>
  <c r="T3060" i="1" s="1"/>
  <c r="O3061" i="1"/>
  <c r="T3061" i="1" s="1"/>
  <c r="O3062" i="1"/>
  <c r="T3062" i="1" s="1"/>
  <c r="O3063" i="1"/>
  <c r="T3063" i="1" s="1"/>
  <c r="O3064" i="1"/>
  <c r="T3064" i="1" s="1"/>
  <c r="O3065" i="1"/>
  <c r="T3065" i="1" s="1"/>
  <c r="O3066" i="1"/>
  <c r="T3066" i="1" s="1"/>
  <c r="O3067" i="1"/>
  <c r="T3067" i="1" s="1"/>
  <c r="O3068" i="1"/>
  <c r="T3068" i="1" s="1"/>
  <c r="O3069" i="1"/>
  <c r="T3069" i="1" s="1"/>
  <c r="O3070" i="1"/>
  <c r="T3070" i="1" s="1"/>
  <c r="O3071" i="1"/>
  <c r="T3071" i="1" s="1"/>
  <c r="O3072" i="1"/>
  <c r="T3072" i="1" s="1"/>
  <c r="O3073" i="1"/>
  <c r="T3073" i="1" s="1"/>
  <c r="O3074" i="1"/>
  <c r="T3074" i="1" s="1"/>
  <c r="O3075" i="1"/>
  <c r="T3075" i="1" s="1"/>
  <c r="O3076" i="1"/>
  <c r="T3076" i="1" s="1"/>
  <c r="O3077" i="1"/>
  <c r="T3077" i="1" s="1"/>
  <c r="O3078" i="1"/>
  <c r="T3078" i="1" s="1"/>
  <c r="O3079" i="1"/>
  <c r="T3079" i="1" s="1"/>
  <c r="O3080" i="1"/>
  <c r="T3080" i="1" s="1"/>
  <c r="O3081" i="1"/>
  <c r="T3081" i="1" s="1"/>
  <c r="O3082" i="1"/>
  <c r="T3082" i="1" s="1"/>
  <c r="O3083" i="1"/>
  <c r="T3083" i="1" s="1"/>
  <c r="O3084" i="1"/>
  <c r="T3084" i="1" s="1"/>
  <c r="O3085" i="1"/>
  <c r="T3085" i="1" s="1"/>
  <c r="O3086" i="1"/>
  <c r="T3086" i="1" s="1"/>
  <c r="O3087" i="1"/>
  <c r="T3087" i="1" s="1"/>
  <c r="O3088" i="1"/>
  <c r="T3088" i="1" s="1"/>
  <c r="O3089" i="1"/>
  <c r="T3089" i="1" s="1"/>
  <c r="O3090" i="1"/>
  <c r="T3090" i="1" s="1"/>
  <c r="O3091" i="1"/>
  <c r="T3091" i="1" s="1"/>
  <c r="O3092" i="1"/>
  <c r="T3092" i="1" s="1"/>
  <c r="O3093" i="1"/>
  <c r="T3093" i="1" s="1"/>
  <c r="O3094" i="1"/>
  <c r="T3094" i="1" s="1"/>
  <c r="O3095" i="1"/>
  <c r="T3095" i="1" s="1"/>
  <c r="O3096" i="1"/>
  <c r="T3096" i="1" s="1"/>
  <c r="O3097" i="1"/>
  <c r="T3097" i="1" s="1"/>
  <c r="O3098" i="1"/>
  <c r="T3098" i="1" s="1"/>
  <c r="O3099" i="1"/>
  <c r="T3099" i="1" s="1"/>
  <c r="O3100" i="1"/>
  <c r="T3100" i="1" s="1"/>
  <c r="O3101" i="1"/>
  <c r="T3101" i="1" s="1"/>
  <c r="O3102" i="1"/>
  <c r="T3102" i="1" s="1"/>
  <c r="O3103" i="1"/>
  <c r="T3103" i="1" s="1"/>
  <c r="O3104" i="1"/>
  <c r="T3104" i="1" s="1"/>
  <c r="O3105" i="1"/>
  <c r="T3105" i="1" s="1"/>
  <c r="O3106" i="1"/>
  <c r="T3106" i="1" s="1"/>
  <c r="O3107" i="1"/>
  <c r="T3107" i="1" s="1"/>
  <c r="O3108" i="1"/>
  <c r="T3108" i="1" s="1"/>
  <c r="O3109" i="1"/>
  <c r="T3109" i="1" s="1"/>
  <c r="O3110" i="1"/>
  <c r="T3110" i="1" s="1"/>
  <c r="O3111" i="1"/>
  <c r="T3111" i="1" s="1"/>
  <c r="O3112" i="1"/>
  <c r="T3112" i="1" s="1"/>
  <c r="O3113" i="1"/>
  <c r="T3113" i="1" s="1"/>
  <c r="O3114" i="1"/>
  <c r="T3114" i="1" s="1"/>
  <c r="O3115" i="1"/>
  <c r="T3115" i="1" s="1"/>
  <c r="O3116" i="1"/>
  <c r="T3116" i="1" s="1"/>
  <c r="O3117" i="1"/>
  <c r="T3117" i="1" s="1"/>
  <c r="O3118" i="1"/>
  <c r="T3118" i="1" s="1"/>
  <c r="O3119" i="1"/>
  <c r="T3119" i="1" s="1"/>
  <c r="O3120" i="1"/>
  <c r="T3120" i="1" s="1"/>
  <c r="O3121" i="1"/>
  <c r="T3121" i="1" s="1"/>
  <c r="O3122" i="1"/>
  <c r="T3122" i="1" s="1"/>
  <c r="O3123" i="1"/>
  <c r="T3123" i="1" s="1"/>
  <c r="O3124" i="1"/>
  <c r="T3124" i="1" s="1"/>
  <c r="O3125" i="1"/>
  <c r="T3125" i="1" s="1"/>
  <c r="O3126" i="1"/>
  <c r="T3126" i="1" s="1"/>
  <c r="O3127" i="1"/>
  <c r="T3127" i="1" s="1"/>
  <c r="O3128" i="1"/>
  <c r="T3128" i="1" s="1"/>
  <c r="O3129" i="1"/>
  <c r="T3129" i="1" s="1"/>
  <c r="O3130" i="1"/>
  <c r="T3130" i="1" s="1"/>
  <c r="O3131" i="1"/>
  <c r="T3131" i="1" s="1"/>
  <c r="O3132" i="1"/>
  <c r="T3132" i="1" s="1"/>
  <c r="O3133" i="1"/>
  <c r="T3133" i="1" s="1"/>
  <c r="O3134" i="1"/>
  <c r="T3134" i="1" s="1"/>
  <c r="O3135" i="1"/>
  <c r="T3135" i="1" s="1"/>
  <c r="O3136" i="1"/>
  <c r="T3136" i="1" s="1"/>
  <c r="O3137" i="1"/>
  <c r="T3137" i="1" s="1"/>
  <c r="O3138" i="1"/>
  <c r="T3138" i="1" s="1"/>
  <c r="O3139" i="1"/>
  <c r="T3139" i="1" s="1"/>
  <c r="O3140" i="1"/>
  <c r="T3140" i="1" s="1"/>
  <c r="O3141" i="1"/>
  <c r="T3141" i="1" s="1"/>
  <c r="O3142" i="1"/>
  <c r="T3142" i="1" s="1"/>
  <c r="O3143" i="1"/>
  <c r="T3143" i="1" s="1"/>
  <c r="O3144" i="1"/>
  <c r="T3144" i="1" s="1"/>
  <c r="O3145" i="1"/>
  <c r="T3145" i="1" s="1"/>
  <c r="O3146" i="1"/>
  <c r="T3146" i="1" s="1"/>
  <c r="O3147" i="1"/>
  <c r="T3147" i="1" s="1"/>
  <c r="O3148" i="1"/>
  <c r="T3148" i="1" s="1"/>
  <c r="O3149" i="1"/>
  <c r="T3149" i="1" s="1"/>
  <c r="O3150" i="1"/>
  <c r="T3150" i="1" s="1"/>
  <c r="O3151" i="1"/>
  <c r="T3151" i="1" s="1"/>
  <c r="O3152" i="1"/>
  <c r="T3152" i="1" s="1"/>
  <c r="O3153" i="1"/>
  <c r="T3153" i="1" s="1"/>
  <c r="O3154" i="1"/>
  <c r="T3154" i="1" s="1"/>
  <c r="O3155" i="1"/>
  <c r="T3155" i="1" s="1"/>
  <c r="O3156" i="1"/>
  <c r="T3156" i="1" s="1"/>
  <c r="O3157" i="1"/>
  <c r="T3157" i="1" s="1"/>
  <c r="O3158" i="1"/>
  <c r="T3158" i="1" s="1"/>
  <c r="O3159" i="1"/>
  <c r="T3159" i="1" s="1"/>
  <c r="O3160" i="1"/>
  <c r="T3160" i="1" s="1"/>
  <c r="O3161" i="1"/>
  <c r="T3161" i="1" s="1"/>
  <c r="O3162" i="1"/>
  <c r="T3162" i="1" s="1"/>
  <c r="O3163" i="1"/>
  <c r="T3163" i="1" s="1"/>
  <c r="O3164" i="1"/>
  <c r="T3164" i="1" s="1"/>
  <c r="O3165" i="1"/>
  <c r="T3165" i="1" s="1"/>
  <c r="O3166" i="1"/>
  <c r="T3166" i="1" s="1"/>
  <c r="O3167" i="1"/>
  <c r="T3167" i="1" s="1"/>
  <c r="O3168" i="1"/>
  <c r="T3168" i="1" s="1"/>
  <c r="O3169" i="1"/>
  <c r="T3169" i="1" s="1"/>
  <c r="O3170" i="1"/>
  <c r="T3170" i="1" s="1"/>
  <c r="O3171" i="1"/>
  <c r="T3171" i="1" s="1"/>
  <c r="O3172" i="1"/>
  <c r="T3172" i="1" s="1"/>
  <c r="O3173" i="1"/>
  <c r="T3173" i="1" s="1"/>
  <c r="O3174" i="1"/>
  <c r="T3174" i="1" s="1"/>
  <c r="O3175" i="1"/>
  <c r="T3175" i="1" s="1"/>
  <c r="O3176" i="1"/>
  <c r="T3176" i="1" s="1"/>
  <c r="O3177" i="1"/>
  <c r="T3177" i="1" s="1"/>
  <c r="O3178" i="1"/>
  <c r="T3178" i="1" s="1"/>
  <c r="O3179" i="1"/>
  <c r="T3179" i="1" s="1"/>
  <c r="O3180" i="1"/>
  <c r="T3180" i="1" s="1"/>
  <c r="O3181" i="1"/>
  <c r="T3181" i="1" s="1"/>
  <c r="O3182" i="1"/>
  <c r="T3182" i="1" s="1"/>
  <c r="O3183" i="1"/>
  <c r="T3183" i="1" s="1"/>
  <c r="O3184" i="1"/>
  <c r="T3184" i="1" s="1"/>
  <c r="O3185" i="1"/>
  <c r="T3185" i="1" s="1"/>
  <c r="O3186" i="1"/>
  <c r="T3186" i="1" s="1"/>
  <c r="O3187" i="1"/>
  <c r="T3187" i="1" s="1"/>
  <c r="O3188" i="1"/>
  <c r="T3188" i="1" s="1"/>
  <c r="O3189" i="1"/>
  <c r="T3189" i="1" s="1"/>
  <c r="O3190" i="1"/>
  <c r="T3190" i="1" s="1"/>
  <c r="O3191" i="1"/>
  <c r="T3191" i="1" s="1"/>
  <c r="O3192" i="1"/>
  <c r="T3192" i="1" s="1"/>
  <c r="O3193" i="1"/>
  <c r="T3193" i="1" s="1"/>
  <c r="O3194" i="1"/>
  <c r="T3194" i="1" s="1"/>
  <c r="O3195" i="1"/>
  <c r="T3195" i="1" s="1"/>
  <c r="O3196" i="1"/>
  <c r="T3196" i="1" s="1"/>
  <c r="O3197" i="1"/>
  <c r="T3197" i="1" s="1"/>
  <c r="O3198" i="1"/>
  <c r="T3198" i="1" s="1"/>
  <c r="O3199" i="1"/>
  <c r="T3199" i="1" s="1"/>
  <c r="O3200" i="1"/>
  <c r="T3200" i="1" s="1"/>
  <c r="O3201" i="1"/>
  <c r="T3201" i="1" s="1"/>
  <c r="O3202" i="1"/>
  <c r="T3202" i="1" s="1"/>
  <c r="O3203" i="1"/>
  <c r="T3203" i="1" s="1"/>
  <c r="O3204" i="1"/>
  <c r="T3204" i="1" s="1"/>
  <c r="O3205" i="1"/>
  <c r="T3205" i="1" s="1"/>
  <c r="O3206" i="1"/>
  <c r="T3206" i="1" s="1"/>
  <c r="O3207" i="1"/>
  <c r="T3207" i="1" s="1"/>
  <c r="O3208" i="1"/>
  <c r="T3208" i="1" s="1"/>
  <c r="O3209" i="1"/>
  <c r="T3209" i="1" s="1"/>
  <c r="O3210" i="1"/>
  <c r="T3210" i="1" s="1"/>
  <c r="O3211" i="1"/>
  <c r="T3211" i="1" s="1"/>
  <c r="O3212" i="1"/>
  <c r="T3212" i="1" s="1"/>
  <c r="O3213" i="1"/>
  <c r="T3213" i="1" s="1"/>
  <c r="O3214" i="1"/>
  <c r="T3214" i="1" s="1"/>
  <c r="O3215" i="1"/>
  <c r="T3215" i="1" s="1"/>
  <c r="O3216" i="1"/>
  <c r="T3216" i="1" s="1"/>
  <c r="O3217" i="1"/>
  <c r="T3217" i="1" s="1"/>
  <c r="O3218" i="1"/>
  <c r="T3218" i="1" s="1"/>
  <c r="O3219" i="1"/>
  <c r="T3219" i="1" s="1"/>
  <c r="O3220" i="1"/>
  <c r="T3220" i="1" s="1"/>
  <c r="O3221" i="1"/>
  <c r="T3221" i="1" s="1"/>
  <c r="O3222" i="1"/>
  <c r="T3222" i="1" s="1"/>
  <c r="O3223" i="1"/>
  <c r="T3223" i="1" s="1"/>
  <c r="O3224" i="1"/>
  <c r="T3224" i="1" s="1"/>
  <c r="O3225" i="1"/>
  <c r="T3225" i="1" s="1"/>
  <c r="O3226" i="1"/>
  <c r="T3226" i="1" s="1"/>
  <c r="O3227" i="1"/>
  <c r="T3227" i="1" s="1"/>
  <c r="O3228" i="1"/>
  <c r="T3228" i="1" s="1"/>
  <c r="O3229" i="1"/>
  <c r="T3229" i="1" s="1"/>
  <c r="O3230" i="1"/>
  <c r="T3230" i="1" s="1"/>
  <c r="O3231" i="1"/>
  <c r="T3231" i="1" s="1"/>
  <c r="O3232" i="1"/>
  <c r="T3232" i="1" s="1"/>
  <c r="O3233" i="1"/>
  <c r="T3233" i="1" s="1"/>
  <c r="O3234" i="1"/>
  <c r="T3234" i="1" s="1"/>
  <c r="O3235" i="1"/>
  <c r="T3235" i="1" s="1"/>
  <c r="O3236" i="1"/>
  <c r="T3236" i="1" s="1"/>
  <c r="O3237" i="1"/>
  <c r="T3237" i="1" s="1"/>
  <c r="O3238" i="1"/>
  <c r="T3238" i="1" s="1"/>
  <c r="O3239" i="1"/>
  <c r="T3239" i="1" s="1"/>
  <c r="O3240" i="1"/>
  <c r="T3240" i="1" s="1"/>
  <c r="O3241" i="1"/>
  <c r="T3241" i="1" s="1"/>
  <c r="O3242" i="1"/>
  <c r="T3242" i="1" s="1"/>
  <c r="O3243" i="1"/>
  <c r="T3243" i="1" s="1"/>
  <c r="O3244" i="1"/>
  <c r="T3244" i="1" s="1"/>
  <c r="O3245" i="1"/>
  <c r="T3245" i="1" s="1"/>
  <c r="O3246" i="1"/>
  <c r="T3246" i="1" s="1"/>
  <c r="O3247" i="1"/>
  <c r="T3247" i="1" s="1"/>
  <c r="O3248" i="1"/>
  <c r="T3248" i="1" s="1"/>
  <c r="O3249" i="1"/>
  <c r="T3249" i="1" s="1"/>
  <c r="O3250" i="1"/>
  <c r="T3250" i="1" s="1"/>
  <c r="O3251" i="1"/>
  <c r="T3251" i="1" s="1"/>
  <c r="O3252" i="1"/>
  <c r="T3252" i="1" s="1"/>
  <c r="O3253" i="1"/>
  <c r="T3253" i="1" s="1"/>
  <c r="O3254" i="1"/>
  <c r="T3254" i="1" s="1"/>
  <c r="O3255" i="1"/>
  <c r="T3255" i="1" s="1"/>
  <c r="O3256" i="1"/>
  <c r="T3256" i="1" s="1"/>
  <c r="O3257" i="1"/>
  <c r="T3257" i="1" s="1"/>
  <c r="O3258" i="1"/>
  <c r="T3258" i="1" s="1"/>
  <c r="O3259" i="1"/>
  <c r="T3259" i="1" s="1"/>
  <c r="O3260" i="1"/>
  <c r="T3260" i="1" s="1"/>
  <c r="O3261" i="1"/>
  <c r="T3261" i="1" s="1"/>
  <c r="O3262" i="1"/>
  <c r="T3262" i="1" s="1"/>
  <c r="O3263" i="1"/>
  <c r="T3263" i="1" s="1"/>
  <c r="O3264" i="1"/>
  <c r="T3264" i="1" s="1"/>
  <c r="O3265" i="1"/>
  <c r="T3265" i="1" s="1"/>
  <c r="O3266" i="1"/>
  <c r="T3266" i="1" s="1"/>
  <c r="O3267" i="1"/>
  <c r="T3267" i="1" s="1"/>
  <c r="O3268" i="1"/>
  <c r="T3268" i="1" s="1"/>
  <c r="O3269" i="1"/>
  <c r="T3269" i="1" s="1"/>
  <c r="O3270" i="1"/>
  <c r="T3270" i="1" s="1"/>
  <c r="O3271" i="1"/>
  <c r="T3271" i="1" s="1"/>
  <c r="O3272" i="1"/>
  <c r="T3272" i="1" s="1"/>
  <c r="O3273" i="1"/>
  <c r="T3273" i="1" s="1"/>
  <c r="O3274" i="1"/>
  <c r="T3274" i="1" s="1"/>
  <c r="O3275" i="1"/>
  <c r="T3275" i="1" s="1"/>
  <c r="O3276" i="1"/>
  <c r="T3276" i="1" s="1"/>
  <c r="O3277" i="1"/>
  <c r="T3277" i="1" s="1"/>
  <c r="O3278" i="1"/>
  <c r="T3278" i="1" s="1"/>
  <c r="O3279" i="1"/>
  <c r="T3279" i="1" s="1"/>
  <c r="O3280" i="1"/>
  <c r="T3280" i="1" s="1"/>
  <c r="O3281" i="1"/>
  <c r="T3281" i="1" s="1"/>
  <c r="O3282" i="1"/>
  <c r="T3282" i="1" s="1"/>
  <c r="O3283" i="1"/>
  <c r="T3283" i="1" s="1"/>
  <c r="O3284" i="1"/>
  <c r="T3284" i="1" s="1"/>
  <c r="O3285" i="1"/>
  <c r="T3285" i="1" s="1"/>
  <c r="O3286" i="1"/>
  <c r="T3286" i="1" s="1"/>
  <c r="O3287" i="1"/>
  <c r="T3287" i="1" s="1"/>
  <c r="O3288" i="1"/>
  <c r="T3288" i="1" s="1"/>
  <c r="O3289" i="1"/>
  <c r="T3289" i="1" s="1"/>
  <c r="O3290" i="1"/>
  <c r="T3290" i="1" s="1"/>
  <c r="O3291" i="1"/>
  <c r="T3291" i="1" s="1"/>
  <c r="O3292" i="1"/>
  <c r="T3292" i="1" s="1"/>
  <c r="O3293" i="1"/>
  <c r="T3293" i="1" s="1"/>
  <c r="O3294" i="1"/>
  <c r="T3294" i="1" s="1"/>
  <c r="O3295" i="1"/>
  <c r="T3295" i="1" s="1"/>
  <c r="O3296" i="1"/>
  <c r="T3296" i="1" s="1"/>
  <c r="O3297" i="1"/>
  <c r="T3297" i="1" s="1"/>
  <c r="O3298" i="1"/>
  <c r="T3298" i="1" s="1"/>
  <c r="O3299" i="1"/>
  <c r="T3299" i="1" s="1"/>
  <c r="O3300" i="1"/>
  <c r="T3300" i="1" s="1"/>
  <c r="O3301" i="1"/>
  <c r="T3301" i="1" s="1"/>
  <c r="O3302" i="1"/>
  <c r="T3302" i="1" s="1"/>
  <c r="O3303" i="1"/>
  <c r="O3304" i="1"/>
  <c r="T3304" i="1" s="1"/>
  <c r="O3305" i="1"/>
  <c r="T3305" i="1" s="1"/>
  <c r="O3306" i="1"/>
  <c r="T3306" i="1" s="1"/>
  <c r="O3307" i="1"/>
  <c r="T3307" i="1" s="1"/>
  <c r="O3308" i="1"/>
  <c r="T3308" i="1" s="1"/>
  <c r="O3309" i="1"/>
  <c r="T3309" i="1" s="1"/>
  <c r="O3310" i="1"/>
  <c r="T3310" i="1" s="1"/>
  <c r="O3311" i="1"/>
  <c r="T3311" i="1" s="1"/>
  <c r="O3312" i="1"/>
  <c r="T3312" i="1" s="1"/>
  <c r="O3313" i="1"/>
  <c r="T3313" i="1" s="1"/>
  <c r="O3314" i="1"/>
  <c r="T3314" i="1" s="1"/>
  <c r="O3315" i="1"/>
  <c r="T3315" i="1" s="1"/>
  <c r="O3316" i="1"/>
  <c r="T3316" i="1" s="1"/>
  <c r="O3317" i="1"/>
  <c r="T3317" i="1" s="1"/>
  <c r="O3318" i="1"/>
  <c r="T3318" i="1" s="1"/>
  <c r="O3319" i="1"/>
  <c r="T3319" i="1" s="1"/>
  <c r="O3320" i="1"/>
  <c r="T3320" i="1" s="1"/>
  <c r="O3321" i="1"/>
  <c r="T3321" i="1" s="1"/>
  <c r="O3322" i="1"/>
  <c r="T3322" i="1" s="1"/>
  <c r="O3323" i="1"/>
  <c r="T3323" i="1" s="1"/>
  <c r="O3324" i="1"/>
  <c r="T3324" i="1" s="1"/>
  <c r="O3325" i="1"/>
  <c r="T3325" i="1" s="1"/>
  <c r="O3326" i="1"/>
  <c r="T3326" i="1" s="1"/>
  <c r="O3327" i="1"/>
  <c r="T3327" i="1" s="1"/>
  <c r="O3328" i="1"/>
  <c r="T3328" i="1" s="1"/>
  <c r="O3329" i="1"/>
  <c r="T3329" i="1" s="1"/>
  <c r="O3330" i="1"/>
  <c r="T3330" i="1" s="1"/>
  <c r="O3331" i="1"/>
  <c r="T3331" i="1" s="1"/>
  <c r="O3332" i="1"/>
  <c r="T3332" i="1" s="1"/>
  <c r="O3333" i="1"/>
  <c r="T3333" i="1" s="1"/>
  <c r="O3334" i="1"/>
  <c r="T3334" i="1" s="1"/>
  <c r="O3335" i="1"/>
  <c r="T3335" i="1" s="1"/>
  <c r="O3336" i="1"/>
  <c r="T3336" i="1" s="1"/>
  <c r="O3337" i="1"/>
  <c r="T3337" i="1" s="1"/>
  <c r="O3338" i="1"/>
  <c r="T3338" i="1" s="1"/>
  <c r="O3339" i="1"/>
  <c r="T3339" i="1" s="1"/>
  <c r="O3340" i="1"/>
  <c r="T3340" i="1" s="1"/>
  <c r="O3341" i="1"/>
  <c r="T3341" i="1" s="1"/>
  <c r="O3342" i="1"/>
  <c r="T3342" i="1" s="1"/>
  <c r="O3343" i="1"/>
  <c r="T3343" i="1" s="1"/>
  <c r="O3344" i="1"/>
  <c r="T3344" i="1" s="1"/>
  <c r="O3345" i="1"/>
  <c r="T3345" i="1" s="1"/>
  <c r="O3346" i="1"/>
  <c r="T3346" i="1" s="1"/>
  <c r="O3347" i="1"/>
  <c r="T3347" i="1" s="1"/>
  <c r="O3348" i="1"/>
  <c r="T3348" i="1" s="1"/>
  <c r="O3349" i="1"/>
  <c r="T3349" i="1" s="1"/>
  <c r="O3350" i="1"/>
  <c r="T3350" i="1" s="1"/>
  <c r="O3351" i="1"/>
  <c r="T3351" i="1" s="1"/>
  <c r="O3352" i="1"/>
  <c r="T3352" i="1" s="1"/>
  <c r="O3353" i="1"/>
  <c r="T3353" i="1" s="1"/>
  <c r="O3354" i="1"/>
  <c r="T3354" i="1" s="1"/>
  <c r="O3355" i="1"/>
  <c r="T3355" i="1" s="1"/>
  <c r="O3356" i="1"/>
  <c r="T3356" i="1" s="1"/>
  <c r="O3357" i="1"/>
  <c r="T3357" i="1" s="1"/>
  <c r="O3358" i="1"/>
  <c r="T3358" i="1" s="1"/>
  <c r="O3359" i="1"/>
  <c r="T3359" i="1" s="1"/>
  <c r="O3360" i="1"/>
  <c r="T3360" i="1" s="1"/>
  <c r="O3361" i="1"/>
  <c r="T3361" i="1" s="1"/>
  <c r="O3362" i="1"/>
  <c r="T3362" i="1" s="1"/>
  <c r="O3363" i="1"/>
  <c r="T3363" i="1" s="1"/>
  <c r="O3364" i="1"/>
  <c r="T3364" i="1" s="1"/>
  <c r="O3365" i="1"/>
  <c r="T3365" i="1" s="1"/>
  <c r="O3366" i="1"/>
  <c r="T3366" i="1" s="1"/>
  <c r="O3367" i="1"/>
  <c r="T3367" i="1" s="1"/>
  <c r="O3368" i="1"/>
  <c r="T3368" i="1" s="1"/>
  <c r="O3369" i="1"/>
  <c r="T3369" i="1" s="1"/>
  <c r="O3370" i="1"/>
  <c r="T3370" i="1" s="1"/>
  <c r="O3371" i="1"/>
  <c r="T3371" i="1" s="1"/>
  <c r="O3372" i="1"/>
  <c r="T3372" i="1" s="1"/>
  <c r="O3373" i="1"/>
  <c r="T3373" i="1" s="1"/>
  <c r="O3374" i="1"/>
  <c r="T3374" i="1" s="1"/>
  <c r="O3375" i="1"/>
  <c r="T3375" i="1" s="1"/>
  <c r="O3376" i="1"/>
  <c r="T3376" i="1" s="1"/>
  <c r="O3377" i="1"/>
  <c r="T3377" i="1" s="1"/>
  <c r="O3378" i="1"/>
  <c r="T3378" i="1" s="1"/>
  <c r="O3379" i="1"/>
  <c r="T3379" i="1" s="1"/>
  <c r="O3380" i="1"/>
  <c r="T3380" i="1" s="1"/>
  <c r="O3381" i="1"/>
  <c r="T3381" i="1" s="1"/>
  <c r="O3382" i="1"/>
  <c r="T3382" i="1" s="1"/>
  <c r="O3383" i="1"/>
  <c r="T3383" i="1" s="1"/>
  <c r="O3384" i="1"/>
  <c r="T3384" i="1" s="1"/>
  <c r="O3385" i="1"/>
  <c r="T3385" i="1" s="1"/>
  <c r="O3386" i="1"/>
  <c r="T3386" i="1" s="1"/>
  <c r="O3387" i="1"/>
  <c r="T3387" i="1" s="1"/>
  <c r="O3388" i="1"/>
  <c r="T3388" i="1" s="1"/>
  <c r="O3389" i="1"/>
  <c r="T3389" i="1" s="1"/>
  <c r="O3390" i="1"/>
  <c r="T3390" i="1" s="1"/>
  <c r="O3391" i="1"/>
  <c r="T3391" i="1" s="1"/>
  <c r="O3392" i="1"/>
  <c r="T3392" i="1" s="1"/>
  <c r="O3393" i="1"/>
  <c r="T3393" i="1" s="1"/>
  <c r="O3394" i="1"/>
  <c r="T3394" i="1" s="1"/>
  <c r="O3395" i="1"/>
  <c r="T3395" i="1" s="1"/>
  <c r="O3396" i="1"/>
  <c r="T3396" i="1" s="1"/>
  <c r="O3397" i="1"/>
  <c r="T3397" i="1" s="1"/>
  <c r="O3398" i="1"/>
  <c r="T3398" i="1" s="1"/>
  <c r="O3399" i="1"/>
  <c r="T3399" i="1" s="1"/>
  <c r="O3400" i="1"/>
  <c r="T3400" i="1" s="1"/>
  <c r="O3401" i="1"/>
  <c r="T3401" i="1" s="1"/>
  <c r="O3402" i="1"/>
  <c r="T3402" i="1" s="1"/>
  <c r="O3403" i="1"/>
  <c r="T3403" i="1" s="1"/>
  <c r="O3404" i="1"/>
  <c r="T3404" i="1" s="1"/>
  <c r="O3405" i="1"/>
  <c r="T3405" i="1" s="1"/>
  <c r="O3406" i="1"/>
  <c r="T3406" i="1" s="1"/>
  <c r="O3407" i="1"/>
  <c r="T3407" i="1" s="1"/>
  <c r="O3408" i="1"/>
  <c r="T3408" i="1" s="1"/>
  <c r="O3409" i="1"/>
  <c r="T3409" i="1" s="1"/>
  <c r="O3410" i="1"/>
  <c r="T3410" i="1" s="1"/>
  <c r="O3411" i="1"/>
  <c r="T3411" i="1" s="1"/>
  <c r="O3412" i="1"/>
  <c r="T3412" i="1" s="1"/>
  <c r="O3413" i="1"/>
  <c r="T3413" i="1" s="1"/>
  <c r="O3414" i="1"/>
  <c r="T3414" i="1" s="1"/>
  <c r="O3415" i="1"/>
  <c r="T3415" i="1" s="1"/>
  <c r="O3416" i="1"/>
  <c r="T3416" i="1" s="1"/>
  <c r="O3417" i="1"/>
  <c r="T3417" i="1" s="1"/>
  <c r="O3418" i="1"/>
  <c r="T3418" i="1" s="1"/>
  <c r="O3419" i="1"/>
  <c r="T3419" i="1" s="1"/>
  <c r="O3420" i="1"/>
  <c r="T3420" i="1" s="1"/>
  <c r="O3421" i="1"/>
  <c r="T3421" i="1" s="1"/>
  <c r="O3422" i="1"/>
  <c r="T3422" i="1" s="1"/>
  <c r="O3423" i="1"/>
  <c r="T3423" i="1" s="1"/>
  <c r="O3424" i="1"/>
  <c r="T3424" i="1" s="1"/>
  <c r="O3425" i="1"/>
  <c r="T3425" i="1" s="1"/>
  <c r="O3426" i="1"/>
  <c r="T3426" i="1" s="1"/>
  <c r="O3427" i="1"/>
  <c r="T3427" i="1" s="1"/>
  <c r="O3428" i="1"/>
  <c r="T3428" i="1" s="1"/>
  <c r="O3429" i="1"/>
  <c r="T3429" i="1" s="1"/>
  <c r="O3430" i="1"/>
  <c r="T3430" i="1" s="1"/>
  <c r="O3431" i="1"/>
  <c r="T3431" i="1" s="1"/>
  <c r="O3432" i="1"/>
  <c r="T3432" i="1" s="1"/>
  <c r="O3433" i="1"/>
  <c r="T3433" i="1" s="1"/>
  <c r="O3434" i="1"/>
  <c r="T3434" i="1" s="1"/>
  <c r="O3435" i="1"/>
  <c r="T3435" i="1" s="1"/>
  <c r="O3436" i="1"/>
  <c r="T3436" i="1" s="1"/>
  <c r="O3437" i="1"/>
  <c r="T3437" i="1" s="1"/>
  <c r="O3438" i="1"/>
  <c r="T3438" i="1" s="1"/>
  <c r="O3439" i="1"/>
  <c r="T3439" i="1" s="1"/>
  <c r="O3440" i="1"/>
  <c r="T3440" i="1" s="1"/>
  <c r="O3441" i="1"/>
  <c r="T3441" i="1" s="1"/>
  <c r="O3442" i="1"/>
  <c r="T3442" i="1" s="1"/>
  <c r="O3443" i="1"/>
  <c r="T3443" i="1" s="1"/>
  <c r="O3444" i="1"/>
  <c r="T3444" i="1" s="1"/>
  <c r="O3445" i="1"/>
  <c r="T3445" i="1" s="1"/>
  <c r="O3446" i="1"/>
  <c r="T3446" i="1" s="1"/>
  <c r="O3447" i="1"/>
  <c r="T3447" i="1" s="1"/>
  <c r="O3448" i="1"/>
  <c r="T3448" i="1" s="1"/>
  <c r="O3449" i="1"/>
  <c r="T3449" i="1" s="1"/>
  <c r="O3450" i="1"/>
  <c r="T3450" i="1" s="1"/>
  <c r="O3451" i="1"/>
  <c r="T3451" i="1" s="1"/>
  <c r="O3452" i="1"/>
  <c r="T3452" i="1" s="1"/>
  <c r="O3453" i="1"/>
  <c r="T3453" i="1" s="1"/>
  <c r="O3454" i="1"/>
  <c r="T3454" i="1" s="1"/>
  <c r="O3455" i="1"/>
  <c r="T3455" i="1" s="1"/>
  <c r="O3456" i="1"/>
  <c r="T3456" i="1" s="1"/>
  <c r="O3457" i="1"/>
  <c r="T3457" i="1" s="1"/>
  <c r="O3458" i="1"/>
  <c r="T3458" i="1" s="1"/>
  <c r="O3459" i="1"/>
  <c r="T3459" i="1" s="1"/>
  <c r="O3460" i="1"/>
  <c r="T3460" i="1" s="1"/>
  <c r="O3461" i="1"/>
  <c r="T3461" i="1" s="1"/>
  <c r="O3462" i="1"/>
  <c r="T3462" i="1" s="1"/>
  <c r="O3463" i="1"/>
  <c r="T3463" i="1" s="1"/>
  <c r="O3464" i="1"/>
  <c r="T3464" i="1" s="1"/>
  <c r="O3465" i="1"/>
  <c r="T3465" i="1" s="1"/>
  <c r="O3466" i="1"/>
  <c r="T3466" i="1" s="1"/>
  <c r="O3467" i="1"/>
  <c r="T3467" i="1" s="1"/>
  <c r="O3468" i="1"/>
  <c r="T3468" i="1" s="1"/>
  <c r="O3469" i="1"/>
  <c r="T3469" i="1" s="1"/>
  <c r="O3470" i="1"/>
  <c r="T3470" i="1" s="1"/>
  <c r="O3471" i="1"/>
  <c r="T3471" i="1" s="1"/>
  <c r="O3472" i="1"/>
  <c r="T3472" i="1" s="1"/>
  <c r="O3473" i="1"/>
  <c r="T3473" i="1" s="1"/>
  <c r="O3474" i="1"/>
  <c r="T3474" i="1" s="1"/>
  <c r="O3475" i="1"/>
  <c r="T3475" i="1" s="1"/>
  <c r="O3476" i="1"/>
  <c r="T3476" i="1" s="1"/>
  <c r="O3477" i="1"/>
  <c r="T3477" i="1" s="1"/>
  <c r="O3478" i="1"/>
  <c r="T3478" i="1" s="1"/>
  <c r="O3479" i="1"/>
  <c r="T3479" i="1" s="1"/>
  <c r="O3480" i="1"/>
  <c r="T3480" i="1" s="1"/>
  <c r="O3481" i="1"/>
  <c r="T3481" i="1" s="1"/>
  <c r="O3482" i="1"/>
  <c r="T3482" i="1" s="1"/>
  <c r="O3483" i="1"/>
  <c r="T3483" i="1" s="1"/>
  <c r="O3484" i="1"/>
  <c r="T3484" i="1" s="1"/>
  <c r="O3485" i="1"/>
  <c r="T3485" i="1" s="1"/>
  <c r="O3486" i="1"/>
  <c r="T3486" i="1" s="1"/>
  <c r="O3487" i="1"/>
  <c r="T3487" i="1" s="1"/>
  <c r="O3488" i="1"/>
  <c r="T3488" i="1" s="1"/>
  <c r="O3489" i="1"/>
  <c r="T3489" i="1" s="1"/>
  <c r="O3490" i="1"/>
  <c r="T3490" i="1" s="1"/>
  <c r="O3491" i="1"/>
  <c r="T3491" i="1" s="1"/>
  <c r="O3492" i="1"/>
  <c r="T3492" i="1" s="1"/>
  <c r="O3493" i="1"/>
  <c r="T3493" i="1" s="1"/>
  <c r="O3494" i="1"/>
  <c r="T3494" i="1" s="1"/>
  <c r="O3495" i="1"/>
  <c r="T3495" i="1" s="1"/>
  <c r="O3496" i="1"/>
  <c r="T3496" i="1" s="1"/>
  <c r="O3497" i="1"/>
  <c r="T3497" i="1" s="1"/>
  <c r="O3498" i="1"/>
  <c r="T3498" i="1" s="1"/>
  <c r="O3499" i="1"/>
  <c r="T3499" i="1" s="1"/>
  <c r="O3500" i="1"/>
  <c r="T3500" i="1" s="1"/>
  <c r="O3501" i="1"/>
  <c r="T3501" i="1" s="1"/>
  <c r="O3502" i="1"/>
  <c r="T3502" i="1" s="1"/>
  <c r="O3503" i="1"/>
  <c r="T3503" i="1" s="1"/>
  <c r="O3504" i="1"/>
  <c r="T3504" i="1" s="1"/>
  <c r="O3505" i="1"/>
  <c r="T3505" i="1" s="1"/>
  <c r="O3506" i="1"/>
  <c r="T3506" i="1" s="1"/>
  <c r="O3507" i="1"/>
  <c r="T3507" i="1" s="1"/>
  <c r="O3508" i="1"/>
  <c r="T3508" i="1" s="1"/>
  <c r="O3509" i="1"/>
  <c r="T3509" i="1" s="1"/>
  <c r="O3510" i="1"/>
  <c r="T3510" i="1" s="1"/>
  <c r="O3511" i="1"/>
  <c r="T3511" i="1" s="1"/>
  <c r="O3512" i="1"/>
  <c r="T3512" i="1" s="1"/>
  <c r="O3513" i="1"/>
  <c r="T3513" i="1" s="1"/>
  <c r="O3514" i="1"/>
  <c r="T3514" i="1" s="1"/>
  <c r="O3515" i="1"/>
  <c r="T3515" i="1" s="1"/>
  <c r="O3516" i="1"/>
  <c r="T3516" i="1" s="1"/>
  <c r="O3517" i="1"/>
  <c r="T3517" i="1" s="1"/>
  <c r="O3518" i="1"/>
  <c r="T3518" i="1" s="1"/>
  <c r="O3519" i="1"/>
  <c r="T3519" i="1" s="1"/>
  <c r="O3520" i="1"/>
  <c r="T3520" i="1" s="1"/>
  <c r="O3521" i="1"/>
  <c r="T3521" i="1" s="1"/>
  <c r="O3522" i="1"/>
  <c r="T3522" i="1" s="1"/>
  <c r="O3523" i="1"/>
  <c r="T3523" i="1" s="1"/>
  <c r="O3524" i="1"/>
  <c r="T3524" i="1" s="1"/>
  <c r="O3525" i="1"/>
  <c r="T3525" i="1" s="1"/>
  <c r="O3526" i="1"/>
  <c r="T3526" i="1" s="1"/>
  <c r="O3527" i="1"/>
  <c r="T3527" i="1" s="1"/>
  <c r="O3528" i="1"/>
  <c r="T3528" i="1" s="1"/>
  <c r="O3529" i="1"/>
  <c r="T3529" i="1" s="1"/>
  <c r="O3530" i="1"/>
  <c r="T3530" i="1" s="1"/>
  <c r="O3531" i="1"/>
  <c r="T3531" i="1" s="1"/>
  <c r="O3532" i="1"/>
  <c r="T3532" i="1" s="1"/>
  <c r="O3533" i="1"/>
  <c r="T3533" i="1" s="1"/>
  <c r="O3534" i="1"/>
  <c r="T3534" i="1" s="1"/>
  <c r="O3535" i="1"/>
  <c r="T3535" i="1" s="1"/>
  <c r="O3536" i="1"/>
  <c r="T3536" i="1" s="1"/>
  <c r="O3537" i="1"/>
  <c r="T3537" i="1" s="1"/>
  <c r="O3538" i="1"/>
  <c r="T3538" i="1" s="1"/>
  <c r="O3539" i="1"/>
  <c r="T3539" i="1" s="1"/>
  <c r="O3540" i="1"/>
  <c r="T3540" i="1" s="1"/>
  <c r="O3541" i="1"/>
  <c r="T3541" i="1" s="1"/>
  <c r="O3542" i="1"/>
  <c r="T3542" i="1" s="1"/>
  <c r="O3543" i="1"/>
  <c r="T3543" i="1" s="1"/>
  <c r="O3544" i="1"/>
  <c r="T3544" i="1" s="1"/>
  <c r="O3545" i="1"/>
  <c r="T3545" i="1" s="1"/>
  <c r="O3546" i="1"/>
  <c r="T3546" i="1" s="1"/>
  <c r="O3547" i="1"/>
  <c r="T3547" i="1" s="1"/>
  <c r="O3548" i="1"/>
  <c r="O3549" i="1"/>
  <c r="T3549" i="1" s="1"/>
  <c r="O3550" i="1"/>
  <c r="T3550" i="1" s="1"/>
  <c r="O3551" i="1"/>
  <c r="T3551" i="1" s="1"/>
  <c r="O3552" i="1"/>
  <c r="T3552" i="1" s="1"/>
  <c r="O3553" i="1"/>
  <c r="T3553" i="1" s="1"/>
  <c r="O3554" i="1"/>
  <c r="T3554" i="1" s="1"/>
  <c r="O3555" i="1"/>
  <c r="T3555" i="1" s="1"/>
  <c r="O3556" i="1"/>
  <c r="T3556" i="1" s="1"/>
  <c r="O3557" i="1"/>
  <c r="T3557" i="1" s="1"/>
  <c r="O3558" i="1"/>
  <c r="T3558" i="1" s="1"/>
  <c r="O3559" i="1"/>
  <c r="T3559" i="1" s="1"/>
  <c r="O3560" i="1"/>
  <c r="T3560" i="1" s="1"/>
  <c r="O3561" i="1"/>
  <c r="T3561" i="1" s="1"/>
  <c r="O3562" i="1"/>
  <c r="T3562" i="1" s="1"/>
  <c r="O3563" i="1"/>
  <c r="T3563" i="1" s="1"/>
  <c r="O3564" i="1"/>
  <c r="T3564" i="1" s="1"/>
  <c r="O3565" i="1"/>
  <c r="T3565" i="1" s="1"/>
  <c r="O3566" i="1"/>
  <c r="T3566" i="1" s="1"/>
  <c r="O3567" i="1"/>
  <c r="T3567" i="1" s="1"/>
  <c r="O3568" i="1"/>
  <c r="T3568" i="1" s="1"/>
  <c r="O3569" i="1"/>
  <c r="T3569" i="1" s="1"/>
  <c r="O3570" i="1"/>
  <c r="T3570" i="1" s="1"/>
  <c r="O3571" i="1"/>
  <c r="T3571" i="1" s="1"/>
  <c r="O3572" i="1"/>
  <c r="T3572" i="1" s="1"/>
  <c r="O3573" i="1"/>
  <c r="T3573" i="1" s="1"/>
  <c r="O3574" i="1"/>
  <c r="T3574" i="1" s="1"/>
  <c r="O3575" i="1"/>
  <c r="T3575" i="1" s="1"/>
  <c r="O3576" i="1"/>
  <c r="T3576" i="1" s="1"/>
  <c r="O3577" i="1"/>
  <c r="T3577" i="1" s="1"/>
  <c r="O3578" i="1"/>
  <c r="T3578" i="1" s="1"/>
  <c r="O3579" i="1"/>
  <c r="T3579" i="1" s="1"/>
  <c r="O3580" i="1"/>
  <c r="T3580" i="1" s="1"/>
  <c r="O3581" i="1"/>
  <c r="T3581" i="1" s="1"/>
  <c r="O3582" i="1"/>
  <c r="T3582" i="1" s="1"/>
  <c r="O3583" i="1"/>
  <c r="T3583" i="1" s="1"/>
  <c r="O3584" i="1"/>
  <c r="T3584" i="1" s="1"/>
  <c r="O3585" i="1"/>
  <c r="T3585" i="1" s="1"/>
  <c r="O3586" i="1"/>
  <c r="T3586" i="1" s="1"/>
  <c r="O3587" i="1"/>
  <c r="T3587" i="1" s="1"/>
  <c r="O3588" i="1"/>
  <c r="T3588" i="1" s="1"/>
  <c r="O3589" i="1"/>
  <c r="T3589" i="1" s="1"/>
  <c r="O3590" i="1"/>
  <c r="T3590" i="1" s="1"/>
  <c r="O3591" i="1"/>
  <c r="T3591" i="1" s="1"/>
  <c r="O3592" i="1"/>
  <c r="T3592" i="1" s="1"/>
  <c r="O3593" i="1"/>
  <c r="T3593" i="1" s="1"/>
  <c r="O3594" i="1"/>
  <c r="T3594" i="1" s="1"/>
  <c r="O3595" i="1"/>
  <c r="T3595" i="1" s="1"/>
  <c r="O3596" i="1"/>
  <c r="T3596" i="1" s="1"/>
  <c r="O3597" i="1"/>
  <c r="T3597" i="1" s="1"/>
  <c r="O3598" i="1"/>
  <c r="T3598" i="1" s="1"/>
  <c r="O3599" i="1"/>
  <c r="T3599" i="1" s="1"/>
  <c r="O3600" i="1"/>
  <c r="T3600" i="1" s="1"/>
  <c r="O3601" i="1"/>
  <c r="T3601" i="1" s="1"/>
  <c r="O3602" i="1"/>
  <c r="T3602" i="1" s="1"/>
  <c r="O3603" i="1"/>
  <c r="T3603" i="1" s="1"/>
  <c r="O3604" i="1"/>
  <c r="T3604" i="1" s="1"/>
  <c r="O3605" i="1"/>
  <c r="T3605" i="1" s="1"/>
  <c r="O3606" i="1"/>
  <c r="T3606" i="1" s="1"/>
  <c r="O3607" i="1"/>
  <c r="T3607" i="1" s="1"/>
  <c r="O3608" i="1"/>
  <c r="T3608" i="1" s="1"/>
  <c r="O3609" i="1"/>
  <c r="T3609" i="1" s="1"/>
  <c r="O3610" i="1"/>
  <c r="T3610" i="1" s="1"/>
  <c r="O3611" i="1"/>
  <c r="T3611" i="1" s="1"/>
  <c r="O3612" i="1"/>
  <c r="T3612" i="1" s="1"/>
  <c r="O3613" i="1"/>
  <c r="T3613" i="1" s="1"/>
  <c r="O3614" i="1"/>
  <c r="T3614" i="1" s="1"/>
  <c r="O3615" i="1"/>
  <c r="T3615" i="1" s="1"/>
  <c r="O3616" i="1"/>
  <c r="T3616" i="1" s="1"/>
  <c r="O3617" i="1"/>
  <c r="T3617" i="1" s="1"/>
  <c r="O3618" i="1"/>
  <c r="T3618" i="1" s="1"/>
  <c r="O3619" i="1"/>
  <c r="T3619" i="1" s="1"/>
  <c r="O3620" i="1"/>
  <c r="T3620" i="1" s="1"/>
  <c r="O3621" i="1"/>
  <c r="T3621" i="1" s="1"/>
  <c r="O3622" i="1"/>
  <c r="T3622" i="1" s="1"/>
  <c r="O3623" i="1"/>
  <c r="T3623" i="1" s="1"/>
  <c r="O3624" i="1"/>
  <c r="T3624" i="1" s="1"/>
  <c r="O3625" i="1"/>
  <c r="T3625" i="1" s="1"/>
  <c r="O3626" i="1"/>
  <c r="T3626" i="1" s="1"/>
  <c r="O3627" i="1"/>
  <c r="T3627" i="1" s="1"/>
  <c r="O3628" i="1"/>
  <c r="T3628" i="1" s="1"/>
  <c r="O3629" i="1"/>
  <c r="T3629" i="1" s="1"/>
  <c r="O3630" i="1"/>
  <c r="T3630" i="1" s="1"/>
  <c r="O3631" i="1"/>
  <c r="T3631" i="1" s="1"/>
  <c r="O3632" i="1"/>
  <c r="T3632" i="1" s="1"/>
  <c r="O3633" i="1"/>
  <c r="T3633" i="1" s="1"/>
  <c r="O3634" i="1"/>
  <c r="T3634" i="1" s="1"/>
  <c r="O3635" i="1"/>
  <c r="T3635" i="1" s="1"/>
  <c r="O3636" i="1"/>
  <c r="T3636" i="1" s="1"/>
  <c r="O3637" i="1"/>
  <c r="T3637" i="1" s="1"/>
  <c r="O3638" i="1"/>
  <c r="T3638" i="1" s="1"/>
  <c r="O3639" i="1"/>
  <c r="T3639" i="1" s="1"/>
  <c r="O3640" i="1"/>
  <c r="T3640" i="1" s="1"/>
  <c r="O3641" i="1"/>
  <c r="T3641" i="1" s="1"/>
  <c r="O3642" i="1"/>
  <c r="T3642" i="1" s="1"/>
  <c r="O3643" i="1"/>
  <c r="T3643" i="1" s="1"/>
  <c r="O3644" i="1"/>
  <c r="T3644" i="1" s="1"/>
  <c r="O3645" i="1"/>
  <c r="T3645" i="1" s="1"/>
  <c r="O3646" i="1"/>
  <c r="T3646" i="1" s="1"/>
  <c r="O3647" i="1"/>
  <c r="T3647" i="1" s="1"/>
  <c r="O3648" i="1"/>
  <c r="T3648" i="1" s="1"/>
  <c r="O3649" i="1"/>
  <c r="T3649" i="1" s="1"/>
  <c r="O3650" i="1"/>
  <c r="T3650" i="1" s="1"/>
  <c r="O3651" i="1"/>
  <c r="T3651" i="1" s="1"/>
  <c r="O3652" i="1"/>
  <c r="T3652" i="1" s="1"/>
  <c r="O3653" i="1"/>
  <c r="T3653" i="1" s="1"/>
  <c r="O3654" i="1"/>
  <c r="T3654" i="1" s="1"/>
  <c r="O3655" i="1"/>
  <c r="T3655" i="1" s="1"/>
  <c r="O3656" i="1"/>
  <c r="T3656" i="1" s="1"/>
  <c r="O3657" i="1"/>
  <c r="T3657" i="1" s="1"/>
  <c r="O3658" i="1"/>
  <c r="T3658" i="1" s="1"/>
  <c r="O3659" i="1"/>
  <c r="T3659" i="1" s="1"/>
  <c r="O3660" i="1"/>
  <c r="T3660" i="1" s="1"/>
  <c r="O3661" i="1"/>
  <c r="T3661" i="1" s="1"/>
  <c r="O3662" i="1"/>
  <c r="T3662" i="1" s="1"/>
  <c r="O3663" i="1"/>
  <c r="T3663" i="1" s="1"/>
  <c r="O3664" i="1"/>
  <c r="T3664" i="1" s="1"/>
  <c r="O3665" i="1"/>
  <c r="T3665" i="1" s="1"/>
  <c r="O3666" i="1"/>
  <c r="T3666" i="1" s="1"/>
  <c r="O3667" i="1"/>
  <c r="T3667" i="1" s="1"/>
  <c r="O3668" i="1"/>
  <c r="T3668" i="1" s="1"/>
  <c r="O3669" i="1"/>
  <c r="T3669" i="1" s="1"/>
  <c r="O3670" i="1"/>
  <c r="T3670" i="1" s="1"/>
  <c r="O3671" i="1"/>
  <c r="T3671" i="1" s="1"/>
  <c r="O3672" i="1"/>
  <c r="T3672" i="1" s="1"/>
  <c r="O3673" i="1"/>
  <c r="T3673" i="1" s="1"/>
  <c r="O3674" i="1"/>
  <c r="T3674" i="1" s="1"/>
  <c r="O3675" i="1"/>
  <c r="T3675" i="1" s="1"/>
  <c r="O3676" i="1"/>
  <c r="T3676" i="1" s="1"/>
  <c r="O3677" i="1"/>
  <c r="T3677" i="1" s="1"/>
  <c r="O3678" i="1"/>
  <c r="T3678" i="1" s="1"/>
  <c r="O3679" i="1"/>
  <c r="T3679" i="1" s="1"/>
  <c r="O3680" i="1"/>
  <c r="T3680" i="1" s="1"/>
  <c r="O3681" i="1"/>
  <c r="T3681" i="1" s="1"/>
  <c r="O3682" i="1"/>
  <c r="T3682" i="1" s="1"/>
  <c r="O3683" i="1"/>
  <c r="T3683" i="1" s="1"/>
  <c r="O3684" i="1"/>
  <c r="T3684" i="1" s="1"/>
  <c r="O3685" i="1"/>
  <c r="T3685" i="1" s="1"/>
  <c r="O3686" i="1"/>
  <c r="T3686" i="1" s="1"/>
  <c r="O3687" i="1"/>
  <c r="T3687" i="1" s="1"/>
  <c r="O3688" i="1"/>
  <c r="T3688" i="1" s="1"/>
  <c r="O3689" i="1"/>
  <c r="T3689" i="1" s="1"/>
  <c r="O3690" i="1"/>
  <c r="T3690" i="1" s="1"/>
  <c r="O3691" i="1"/>
  <c r="T3691" i="1" s="1"/>
  <c r="O3692" i="1"/>
  <c r="T3692" i="1" s="1"/>
  <c r="O3693" i="1"/>
  <c r="T3693" i="1" s="1"/>
  <c r="O3694" i="1"/>
  <c r="T3694" i="1" s="1"/>
  <c r="O3695" i="1"/>
  <c r="T3695" i="1" s="1"/>
  <c r="O3696" i="1"/>
  <c r="T3696" i="1" s="1"/>
  <c r="O3697" i="1"/>
  <c r="T3697" i="1" s="1"/>
  <c r="O3698" i="1"/>
  <c r="T3698" i="1" s="1"/>
  <c r="O3699" i="1"/>
  <c r="T3699" i="1" s="1"/>
  <c r="O3700" i="1"/>
  <c r="T3700" i="1" s="1"/>
  <c r="O3701" i="1"/>
  <c r="T3701" i="1" s="1"/>
  <c r="O3702" i="1"/>
  <c r="T3702" i="1" s="1"/>
  <c r="O3703" i="1"/>
  <c r="T3703" i="1" s="1"/>
  <c r="O3704" i="1"/>
  <c r="T3704" i="1" s="1"/>
  <c r="O3705" i="1"/>
  <c r="T3705" i="1" s="1"/>
  <c r="O3706" i="1"/>
  <c r="T3706" i="1" s="1"/>
  <c r="O3707" i="1"/>
  <c r="T3707" i="1" s="1"/>
  <c r="O3708" i="1"/>
  <c r="T3708" i="1" s="1"/>
  <c r="O3709" i="1"/>
  <c r="T3709" i="1" s="1"/>
  <c r="O3710" i="1"/>
  <c r="T3710" i="1" s="1"/>
  <c r="O3711" i="1"/>
  <c r="T3711" i="1" s="1"/>
  <c r="O3712" i="1"/>
  <c r="T3712" i="1" s="1"/>
  <c r="O3713" i="1"/>
  <c r="T3713" i="1" s="1"/>
  <c r="O3714" i="1"/>
  <c r="T3714" i="1" s="1"/>
  <c r="O3715" i="1"/>
  <c r="T3715" i="1" s="1"/>
  <c r="O3716" i="1"/>
  <c r="T3716" i="1" s="1"/>
  <c r="O3717" i="1"/>
  <c r="T3717" i="1" s="1"/>
  <c r="O3718" i="1"/>
  <c r="T3718" i="1" s="1"/>
  <c r="O3719" i="1"/>
  <c r="T3719" i="1" s="1"/>
  <c r="O3720" i="1"/>
  <c r="T3720" i="1" s="1"/>
  <c r="O3721" i="1"/>
  <c r="T3721" i="1" s="1"/>
  <c r="O3722" i="1"/>
  <c r="T3722" i="1" s="1"/>
  <c r="O3723" i="1"/>
  <c r="T3723" i="1" s="1"/>
  <c r="O3724" i="1"/>
  <c r="T3724" i="1" s="1"/>
  <c r="O3725" i="1"/>
  <c r="T3725" i="1" s="1"/>
  <c r="O3726" i="1"/>
  <c r="T3726" i="1" s="1"/>
  <c r="O3727" i="1"/>
  <c r="T3727" i="1" s="1"/>
  <c r="O3728" i="1"/>
  <c r="T3728" i="1" s="1"/>
  <c r="O3729" i="1"/>
  <c r="T3729" i="1" s="1"/>
  <c r="O3730" i="1"/>
  <c r="T3730" i="1" s="1"/>
  <c r="O3731" i="1"/>
  <c r="T3731" i="1" s="1"/>
  <c r="O3732" i="1"/>
  <c r="T3732" i="1" s="1"/>
  <c r="O3733" i="1"/>
  <c r="T3733" i="1" s="1"/>
  <c r="O3734" i="1"/>
  <c r="T3734" i="1" s="1"/>
  <c r="O3735" i="1"/>
  <c r="T3735" i="1" s="1"/>
  <c r="O3736" i="1"/>
  <c r="T3736" i="1" s="1"/>
  <c r="O3737" i="1"/>
  <c r="T3737" i="1" s="1"/>
  <c r="O3738" i="1"/>
  <c r="T3738" i="1" s="1"/>
  <c r="O3739" i="1"/>
  <c r="T3739" i="1" s="1"/>
  <c r="O3740" i="1"/>
  <c r="T3740" i="1" s="1"/>
  <c r="O3741" i="1"/>
  <c r="T3741" i="1" s="1"/>
  <c r="O3742" i="1"/>
  <c r="T3742" i="1" s="1"/>
  <c r="O3743" i="1"/>
  <c r="T3743" i="1" s="1"/>
  <c r="O3744" i="1"/>
  <c r="T3744" i="1" s="1"/>
  <c r="O3745" i="1"/>
  <c r="T3745" i="1" s="1"/>
  <c r="O3746" i="1"/>
  <c r="T3746" i="1" s="1"/>
  <c r="O3747" i="1"/>
  <c r="T3747" i="1" s="1"/>
  <c r="O3748" i="1"/>
  <c r="T3748" i="1" s="1"/>
  <c r="O3749" i="1"/>
  <c r="T3749" i="1" s="1"/>
  <c r="O3750" i="1"/>
  <c r="T3750" i="1" s="1"/>
  <c r="O3751" i="1"/>
  <c r="T3751" i="1" s="1"/>
  <c r="O3752" i="1"/>
  <c r="T3752" i="1" s="1"/>
  <c r="O3753" i="1"/>
  <c r="T3753" i="1" s="1"/>
  <c r="O3754" i="1"/>
  <c r="T3754" i="1" s="1"/>
  <c r="O3755" i="1"/>
  <c r="T3755" i="1" s="1"/>
  <c r="O3756" i="1"/>
  <c r="T3756" i="1" s="1"/>
  <c r="O3757" i="1"/>
  <c r="T3757" i="1" s="1"/>
  <c r="O3758" i="1"/>
  <c r="T3758" i="1" s="1"/>
  <c r="O3759" i="1"/>
  <c r="O3760" i="1"/>
  <c r="T3760" i="1" s="1"/>
  <c r="O3761" i="1"/>
  <c r="T3761" i="1" s="1"/>
  <c r="O3762" i="1"/>
  <c r="T3762" i="1" s="1"/>
  <c r="O3763" i="1"/>
  <c r="T3763" i="1" s="1"/>
  <c r="O3764" i="1"/>
  <c r="T3764" i="1" s="1"/>
  <c r="O3765" i="1"/>
  <c r="T3765" i="1" s="1"/>
  <c r="O3766" i="1"/>
  <c r="T3766" i="1" s="1"/>
  <c r="O3767" i="1"/>
  <c r="T3767" i="1" s="1"/>
  <c r="O3768" i="1"/>
  <c r="T3768" i="1" s="1"/>
  <c r="O3769" i="1"/>
  <c r="T3769" i="1" s="1"/>
  <c r="O3770" i="1"/>
  <c r="T3770" i="1" s="1"/>
  <c r="O3771" i="1"/>
  <c r="T3771" i="1" s="1"/>
  <c r="O3772" i="1"/>
  <c r="T3772" i="1" s="1"/>
  <c r="O3773" i="1"/>
  <c r="T3773" i="1" s="1"/>
  <c r="O3774" i="1"/>
  <c r="T3774" i="1" s="1"/>
  <c r="O3775" i="1"/>
  <c r="T3775" i="1" s="1"/>
  <c r="O3776" i="1"/>
  <c r="T3776" i="1" s="1"/>
  <c r="O3777" i="1"/>
  <c r="T3777" i="1" s="1"/>
  <c r="O3778" i="1"/>
  <c r="T3778" i="1" s="1"/>
  <c r="O3779" i="1"/>
  <c r="T3779" i="1" s="1"/>
  <c r="O3780" i="1"/>
  <c r="T3780" i="1" s="1"/>
  <c r="O3781" i="1"/>
  <c r="T3781" i="1" s="1"/>
  <c r="O3782" i="1"/>
  <c r="T3782" i="1" s="1"/>
  <c r="O3783" i="1"/>
  <c r="T3783" i="1" s="1"/>
  <c r="O3784" i="1"/>
  <c r="T3784" i="1" s="1"/>
  <c r="O3785" i="1"/>
  <c r="T3785" i="1" s="1"/>
  <c r="O3786" i="1"/>
  <c r="T3786" i="1" s="1"/>
  <c r="O3787" i="1"/>
  <c r="T3787" i="1" s="1"/>
  <c r="O3788" i="1"/>
  <c r="T3788" i="1" s="1"/>
  <c r="O3789" i="1"/>
  <c r="T3789" i="1" s="1"/>
  <c r="O3790" i="1"/>
  <c r="T3790" i="1" s="1"/>
  <c r="O3791" i="1"/>
  <c r="T3791" i="1" s="1"/>
  <c r="O3792" i="1"/>
  <c r="T3792" i="1" s="1"/>
  <c r="O3793" i="1"/>
  <c r="T3793" i="1" s="1"/>
  <c r="O3794" i="1"/>
  <c r="T3794" i="1" s="1"/>
  <c r="O3795" i="1"/>
  <c r="T3795" i="1" s="1"/>
  <c r="O3796" i="1"/>
  <c r="T3796" i="1" s="1"/>
  <c r="O3797" i="1"/>
  <c r="T3797" i="1" s="1"/>
  <c r="O3798" i="1"/>
  <c r="T3798" i="1" s="1"/>
  <c r="O3799" i="1"/>
  <c r="T3799" i="1" s="1"/>
  <c r="O3800" i="1"/>
  <c r="T3800" i="1" s="1"/>
  <c r="O3801" i="1"/>
  <c r="T3801" i="1" s="1"/>
  <c r="O3802" i="1"/>
  <c r="T3802" i="1" s="1"/>
  <c r="O3803" i="1"/>
  <c r="T3803" i="1" s="1"/>
  <c r="O3804" i="1"/>
  <c r="T3804" i="1" s="1"/>
  <c r="O3805" i="1"/>
  <c r="T3805" i="1" s="1"/>
  <c r="O3806" i="1"/>
  <c r="T3806" i="1" s="1"/>
  <c r="O3807" i="1"/>
  <c r="T3807" i="1" s="1"/>
  <c r="O3808" i="1"/>
  <c r="T3808" i="1" s="1"/>
  <c r="O3809" i="1"/>
  <c r="T3809" i="1" s="1"/>
  <c r="O3810" i="1"/>
  <c r="T3810" i="1" s="1"/>
  <c r="O3811" i="1"/>
  <c r="T3811" i="1" s="1"/>
  <c r="O3812" i="1"/>
  <c r="T3812" i="1" s="1"/>
  <c r="O3813" i="1"/>
  <c r="T3813" i="1" s="1"/>
  <c r="O3814" i="1"/>
  <c r="T3814" i="1" s="1"/>
  <c r="O3815" i="1"/>
  <c r="T3815" i="1" s="1"/>
  <c r="O3816" i="1"/>
  <c r="T3816" i="1" s="1"/>
  <c r="O3817" i="1"/>
  <c r="T3817" i="1" s="1"/>
  <c r="O3818" i="1"/>
  <c r="T3818" i="1" s="1"/>
  <c r="O3819" i="1"/>
  <c r="T3819" i="1" s="1"/>
  <c r="O3820" i="1"/>
  <c r="T3820" i="1" s="1"/>
  <c r="O3821" i="1"/>
  <c r="T3821" i="1" s="1"/>
  <c r="O3822" i="1"/>
  <c r="T3822" i="1" s="1"/>
  <c r="O3823" i="1"/>
  <c r="T3823" i="1" s="1"/>
  <c r="O3824" i="1"/>
  <c r="T3824" i="1" s="1"/>
  <c r="O3825" i="1"/>
  <c r="T3825" i="1" s="1"/>
  <c r="O3826" i="1"/>
  <c r="T3826" i="1" s="1"/>
  <c r="O3827" i="1"/>
  <c r="T3827" i="1" s="1"/>
  <c r="O3828" i="1"/>
  <c r="T3828" i="1" s="1"/>
  <c r="O3829" i="1"/>
  <c r="T3829" i="1" s="1"/>
  <c r="O3830" i="1"/>
  <c r="T3830" i="1" s="1"/>
  <c r="O3831" i="1"/>
  <c r="T3831" i="1" s="1"/>
  <c r="O3832" i="1"/>
  <c r="T3832" i="1" s="1"/>
  <c r="O3833" i="1"/>
  <c r="T3833" i="1" s="1"/>
  <c r="O3834" i="1"/>
  <c r="T3834" i="1" s="1"/>
  <c r="O3835" i="1"/>
  <c r="T3835" i="1" s="1"/>
  <c r="O3836" i="1"/>
  <c r="T3836" i="1" s="1"/>
  <c r="O3837" i="1"/>
  <c r="T3837" i="1" s="1"/>
  <c r="O3838" i="1"/>
  <c r="T3838" i="1" s="1"/>
  <c r="O3839" i="1"/>
  <c r="T3839" i="1" s="1"/>
  <c r="O3840" i="1"/>
  <c r="T3840" i="1" s="1"/>
  <c r="O3841" i="1"/>
  <c r="T3841" i="1" s="1"/>
  <c r="O3842" i="1"/>
  <c r="T3842" i="1" s="1"/>
  <c r="O3843" i="1"/>
  <c r="T3843" i="1" s="1"/>
  <c r="O3844" i="1"/>
  <c r="T3844" i="1" s="1"/>
  <c r="O3845" i="1"/>
  <c r="T3845" i="1" s="1"/>
  <c r="O3846" i="1"/>
  <c r="T3846" i="1" s="1"/>
  <c r="O3847" i="1"/>
  <c r="T3847" i="1" s="1"/>
  <c r="O3848" i="1"/>
  <c r="T3848" i="1" s="1"/>
  <c r="O3849" i="1"/>
  <c r="T3849" i="1" s="1"/>
  <c r="O3850" i="1"/>
  <c r="T3850" i="1" s="1"/>
  <c r="O3851" i="1"/>
  <c r="T3851" i="1" s="1"/>
  <c r="O3852" i="1"/>
  <c r="T3852" i="1" s="1"/>
  <c r="O3853" i="1"/>
  <c r="T3853" i="1" s="1"/>
  <c r="O3854" i="1"/>
  <c r="T3854" i="1" s="1"/>
  <c r="O3855" i="1"/>
  <c r="T3855" i="1" s="1"/>
  <c r="O3856" i="1"/>
  <c r="T3856" i="1" s="1"/>
  <c r="O3857" i="1"/>
  <c r="T3857" i="1" s="1"/>
  <c r="O3858" i="1"/>
  <c r="T3858" i="1" s="1"/>
  <c r="O3859" i="1"/>
  <c r="T3859" i="1" s="1"/>
  <c r="O3860" i="1"/>
  <c r="T3860" i="1" s="1"/>
  <c r="O3861" i="1"/>
  <c r="T3861" i="1" s="1"/>
  <c r="O3862" i="1"/>
  <c r="T3862" i="1" s="1"/>
  <c r="O3863" i="1"/>
  <c r="T3863" i="1" s="1"/>
  <c r="O3864" i="1"/>
  <c r="T3864" i="1" s="1"/>
  <c r="O3865" i="1"/>
  <c r="T3865" i="1" s="1"/>
  <c r="O3866" i="1"/>
  <c r="T3866" i="1" s="1"/>
  <c r="O3867" i="1"/>
  <c r="T3867" i="1" s="1"/>
  <c r="O3868" i="1"/>
  <c r="T3868" i="1" s="1"/>
  <c r="O3869" i="1"/>
  <c r="T3869" i="1" s="1"/>
  <c r="O3870" i="1"/>
  <c r="T3870" i="1" s="1"/>
  <c r="O3871" i="1"/>
  <c r="T3871" i="1" s="1"/>
  <c r="O3872" i="1"/>
  <c r="T3872" i="1" s="1"/>
  <c r="O3873" i="1"/>
  <c r="T3873" i="1" s="1"/>
  <c r="O3874" i="1"/>
  <c r="T3874" i="1" s="1"/>
  <c r="O3875" i="1"/>
  <c r="T3875" i="1" s="1"/>
  <c r="O3876" i="1"/>
  <c r="T3876" i="1" s="1"/>
  <c r="O3877" i="1"/>
  <c r="T3877" i="1" s="1"/>
  <c r="O3878" i="1"/>
  <c r="T3878" i="1" s="1"/>
  <c r="O3879" i="1"/>
  <c r="T3879" i="1" s="1"/>
  <c r="O3880" i="1"/>
  <c r="T3880" i="1" s="1"/>
  <c r="O3881" i="1"/>
  <c r="T3881" i="1" s="1"/>
  <c r="O3882" i="1"/>
  <c r="T3882" i="1" s="1"/>
  <c r="O3883" i="1"/>
  <c r="T3883" i="1" s="1"/>
  <c r="O3884" i="1"/>
  <c r="T3884" i="1" s="1"/>
  <c r="O3885" i="1"/>
  <c r="T3885" i="1" s="1"/>
  <c r="O3886" i="1"/>
  <c r="T3886" i="1" s="1"/>
  <c r="O3887" i="1"/>
  <c r="T3887" i="1" s="1"/>
  <c r="O3888" i="1"/>
  <c r="T3888" i="1" s="1"/>
  <c r="O3889" i="1"/>
  <c r="T3889" i="1" s="1"/>
  <c r="O3890" i="1"/>
  <c r="T3890" i="1" s="1"/>
  <c r="O3891" i="1"/>
  <c r="T3891" i="1" s="1"/>
  <c r="O3892" i="1"/>
  <c r="T3892" i="1" s="1"/>
  <c r="O3893" i="1"/>
  <c r="T3893" i="1" s="1"/>
  <c r="O3894" i="1"/>
  <c r="T3894" i="1" s="1"/>
  <c r="O3895" i="1"/>
  <c r="T3895" i="1" s="1"/>
  <c r="O3896" i="1"/>
  <c r="T3896" i="1" s="1"/>
  <c r="O3897" i="1"/>
  <c r="T3897" i="1" s="1"/>
  <c r="O3898" i="1"/>
  <c r="T3898" i="1" s="1"/>
  <c r="O3899" i="1"/>
  <c r="T3899" i="1" s="1"/>
  <c r="O3900" i="1"/>
  <c r="T3900" i="1" s="1"/>
  <c r="O3901" i="1"/>
  <c r="T3901" i="1" s="1"/>
  <c r="O3902" i="1"/>
  <c r="T3902" i="1" s="1"/>
  <c r="O3903" i="1"/>
  <c r="O3904" i="1"/>
  <c r="T3904" i="1" s="1"/>
  <c r="O3905" i="1"/>
  <c r="T3905" i="1" s="1"/>
  <c r="O3906" i="1"/>
  <c r="T3906" i="1" s="1"/>
  <c r="O3907" i="1"/>
  <c r="T3907" i="1" s="1"/>
  <c r="O3908" i="1"/>
  <c r="T3908" i="1" s="1"/>
  <c r="O3909" i="1"/>
  <c r="T3909" i="1" s="1"/>
  <c r="O3910" i="1"/>
  <c r="T3910" i="1" s="1"/>
  <c r="O3911" i="1"/>
  <c r="T3911" i="1" s="1"/>
  <c r="O3912" i="1"/>
  <c r="T3912" i="1" s="1"/>
  <c r="O3913" i="1"/>
  <c r="T3913" i="1" s="1"/>
  <c r="O3914" i="1"/>
  <c r="T3914" i="1" s="1"/>
  <c r="O3915" i="1"/>
  <c r="T3915" i="1" s="1"/>
  <c r="O3916" i="1"/>
  <c r="T3916" i="1" s="1"/>
  <c r="O3917" i="1"/>
  <c r="T3917" i="1" s="1"/>
  <c r="O3918" i="1"/>
  <c r="T3918" i="1" s="1"/>
  <c r="O3919" i="1"/>
  <c r="T3919" i="1" s="1"/>
  <c r="O3920" i="1"/>
  <c r="T3920" i="1" s="1"/>
  <c r="O3921" i="1"/>
  <c r="T3921" i="1" s="1"/>
  <c r="O3922" i="1"/>
  <c r="T3922" i="1" s="1"/>
  <c r="O3923" i="1"/>
  <c r="T3923" i="1" s="1"/>
  <c r="O3924" i="1"/>
  <c r="T3924" i="1" s="1"/>
  <c r="O3925" i="1"/>
  <c r="T3925" i="1" s="1"/>
  <c r="O3926" i="1"/>
  <c r="T3926" i="1" s="1"/>
  <c r="O3927" i="1"/>
  <c r="T3927" i="1" s="1"/>
  <c r="O3928" i="1"/>
  <c r="T3928" i="1" s="1"/>
  <c r="O3929" i="1"/>
  <c r="T3929" i="1" s="1"/>
  <c r="O3930" i="1"/>
  <c r="T3930" i="1" s="1"/>
  <c r="O3931" i="1"/>
  <c r="T3931" i="1" s="1"/>
  <c r="O3932" i="1"/>
  <c r="T3932" i="1" s="1"/>
  <c r="O3933" i="1"/>
  <c r="T3933" i="1" s="1"/>
  <c r="O3934" i="1"/>
  <c r="T3934" i="1" s="1"/>
  <c r="O3935" i="1"/>
  <c r="T3935" i="1" s="1"/>
  <c r="O3936" i="1"/>
  <c r="T3936" i="1" s="1"/>
  <c r="O3937" i="1"/>
  <c r="T3937" i="1" s="1"/>
  <c r="O3938" i="1"/>
  <c r="T3938" i="1" s="1"/>
  <c r="O3939" i="1"/>
  <c r="T3939" i="1" s="1"/>
  <c r="O3940" i="1"/>
  <c r="T3940" i="1" s="1"/>
  <c r="O3941" i="1"/>
  <c r="T3941" i="1" s="1"/>
  <c r="O3942" i="1"/>
  <c r="T3942" i="1" s="1"/>
  <c r="O3943" i="1"/>
  <c r="T3943" i="1" s="1"/>
  <c r="O3944" i="1"/>
  <c r="T3944" i="1" s="1"/>
  <c r="O3945" i="1"/>
  <c r="T3945" i="1" s="1"/>
  <c r="O3946" i="1"/>
  <c r="T3946" i="1" s="1"/>
  <c r="O3947" i="1"/>
  <c r="T3947" i="1" s="1"/>
  <c r="O3948" i="1"/>
  <c r="T3948" i="1" s="1"/>
  <c r="O3949" i="1"/>
  <c r="T3949" i="1" s="1"/>
  <c r="O3950" i="1"/>
  <c r="T3950" i="1" s="1"/>
  <c r="O3951" i="1"/>
  <c r="T3951" i="1" s="1"/>
  <c r="O3952" i="1"/>
  <c r="T3952" i="1" s="1"/>
  <c r="O3953" i="1"/>
  <c r="T3953" i="1" s="1"/>
  <c r="O3954" i="1"/>
  <c r="T3954" i="1" s="1"/>
  <c r="O3955" i="1"/>
  <c r="T3955" i="1" s="1"/>
  <c r="O3956" i="1"/>
  <c r="T3956" i="1" s="1"/>
  <c r="O3957" i="1"/>
  <c r="T3957" i="1" s="1"/>
  <c r="O3958" i="1"/>
  <c r="T3958" i="1" s="1"/>
  <c r="O3959" i="1"/>
  <c r="T3959" i="1" s="1"/>
  <c r="O3960" i="1"/>
  <c r="T3960" i="1" s="1"/>
  <c r="O3961" i="1"/>
  <c r="T3961" i="1" s="1"/>
  <c r="O3962" i="1"/>
  <c r="T3962" i="1" s="1"/>
  <c r="O3963" i="1"/>
  <c r="T3963" i="1" s="1"/>
  <c r="O3964" i="1"/>
  <c r="T3964" i="1" s="1"/>
  <c r="O3965" i="1"/>
  <c r="T3965" i="1" s="1"/>
  <c r="O3966" i="1"/>
  <c r="T3966" i="1" s="1"/>
  <c r="O3967" i="1"/>
  <c r="T3967" i="1" s="1"/>
  <c r="O3968" i="1"/>
  <c r="T3968" i="1" s="1"/>
  <c r="O3969" i="1"/>
  <c r="T3969" i="1" s="1"/>
  <c r="O3970" i="1"/>
  <c r="T3970" i="1" s="1"/>
  <c r="O3971" i="1"/>
  <c r="T3971" i="1" s="1"/>
  <c r="O3972" i="1"/>
  <c r="T3972" i="1" s="1"/>
  <c r="O3973" i="1"/>
  <c r="T3973" i="1" s="1"/>
  <c r="O3974" i="1"/>
  <c r="T3974" i="1" s="1"/>
  <c r="O3975" i="1"/>
  <c r="T3975" i="1" s="1"/>
  <c r="O3976" i="1"/>
  <c r="T3976" i="1" s="1"/>
  <c r="O3977" i="1"/>
  <c r="T3977" i="1" s="1"/>
  <c r="O3978" i="1"/>
  <c r="T3978" i="1" s="1"/>
  <c r="O3979" i="1"/>
  <c r="T3979" i="1" s="1"/>
  <c r="O3980" i="1"/>
  <c r="T3980" i="1" s="1"/>
  <c r="O3981" i="1"/>
  <c r="T3981" i="1" s="1"/>
  <c r="O3982" i="1"/>
  <c r="T3982" i="1" s="1"/>
  <c r="O3983" i="1"/>
  <c r="T3983" i="1" s="1"/>
  <c r="O3984" i="1"/>
  <c r="T3984" i="1" s="1"/>
  <c r="O3985" i="1"/>
  <c r="T3985" i="1" s="1"/>
  <c r="O3986" i="1"/>
  <c r="T3986" i="1" s="1"/>
  <c r="O3987" i="1"/>
  <c r="T3987" i="1" s="1"/>
  <c r="O3988" i="1"/>
  <c r="T3988" i="1" s="1"/>
  <c r="O3989" i="1"/>
  <c r="T3989" i="1" s="1"/>
  <c r="O3990" i="1"/>
  <c r="T3990" i="1" s="1"/>
  <c r="O3991" i="1"/>
  <c r="T3991" i="1" s="1"/>
  <c r="O3992" i="1"/>
  <c r="T3992" i="1" s="1"/>
  <c r="O3993" i="1"/>
  <c r="T3993" i="1" s="1"/>
  <c r="O3994" i="1"/>
  <c r="T3994" i="1" s="1"/>
  <c r="O3995" i="1"/>
  <c r="T3995" i="1" s="1"/>
  <c r="O3996" i="1"/>
  <c r="T3996" i="1" s="1"/>
  <c r="O3997" i="1"/>
  <c r="T3997" i="1" s="1"/>
  <c r="O3998" i="1"/>
  <c r="T3998" i="1" s="1"/>
  <c r="O3999" i="1"/>
  <c r="T3999" i="1" s="1"/>
  <c r="O4000" i="1"/>
  <c r="T4000" i="1" s="1"/>
  <c r="O4001" i="1"/>
  <c r="O4002" i="1"/>
  <c r="T4002" i="1" s="1"/>
  <c r="O4003" i="1"/>
  <c r="T4003" i="1" s="1"/>
  <c r="O4004" i="1"/>
  <c r="T4004" i="1" s="1"/>
  <c r="O4005" i="1"/>
  <c r="T4005" i="1" s="1"/>
  <c r="O4006" i="1"/>
  <c r="T4006" i="1" s="1"/>
  <c r="O4007" i="1"/>
  <c r="T4007" i="1" s="1"/>
  <c r="O4008" i="1"/>
  <c r="T4008" i="1" s="1"/>
  <c r="O4009" i="1"/>
  <c r="T4009" i="1" s="1"/>
  <c r="O4010" i="1"/>
  <c r="T4010" i="1" s="1"/>
  <c r="O4011" i="1"/>
  <c r="T4011" i="1" s="1"/>
  <c r="O4012" i="1"/>
  <c r="T4012" i="1" s="1"/>
  <c r="O4013" i="1"/>
  <c r="T4013" i="1" s="1"/>
  <c r="O4014" i="1"/>
  <c r="T4014" i="1" s="1"/>
  <c r="O4015" i="1"/>
  <c r="T4015" i="1" s="1"/>
  <c r="O4016" i="1"/>
  <c r="T4016" i="1" s="1"/>
  <c r="O4017" i="1"/>
  <c r="T4017" i="1" s="1"/>
  <c r="O4018" i="1"/>
  <c r="T4018" i="1" s="1"/>
  <c r="O4019" i="1"/>
  <c r="T4019" i="1" s="1"/>
  <c r="O4020" i="1"/>
  <c r="T4020" i="1" s="1"/>
  <c r="O4021" i="1"/>
  <c r="T4021" i="1" s="1"/>
  <c r="O4022" i="1"/>
  <c r="T4022" i="1" s="1"/>
  <c r="O4023" i="1"/>
  <c r="T4023" i="1" s="1"/>
  <c r="O4024" i="1"/>
  <c r="T4024" i="1" s="1"/>
  <c r="O4025" i="1"/>
  <c r="T4025" i="1" s="1"/>
  <c r="O4026" i="1"/>
  <c r="T4026" i="1" s="1"/>
  <c r="O4027" i="1"/>
  <c r="T4027" i="1" s="1"/>
  <c r="O4028" i="1"/>
  <c r="T4028" i="1" s="1"/>
  <c r="O4029" i="1"/>
  <c r="T4029" i="1" s="1"/>
  <c r="O4030" i="1"/>
  <c r="T4030" i="1" s="1"/>
  <c r="O4031" i="1"/>
  <c r="T4031" i="1" s="1"/>
  <c r="O4032" i="1"/>
  <c r="T4032" i="1" s="1"/>
  <c r="O4033" i="1"/>
  <c r="T4033" i="1" s="1"/>
  <c r="O4034" i="1"/>
  <c r="T4034" i="1" s="1"/>
  <c r="O4035" i="1"/>
  <c r="T4035" i="1" s="1"/>
  <c r="O4036" i="1"/>
  <c r="T4036" i="1" s="1"/>
  <c r="O4037" i="1"/>
  <c r="T4037" i="1" s="1"/>
  <c r="O4038" i="1"/>
  <c r="T4038" i="1" s="1"/>
  <c r="O4039" i="1"/>
  <c r="T4039" i="1" s="1"/>
  <c r="O4040" i="1"/>
  <c r="T4040" i="1" s="1"/>
  <c r="O4041" i="1"/>
  <c r="T4041" i="1" s="1"/>
  <c r="O4042" i="1"/>
  <c r="T4042" i="1" s="1"/>
  <c r="O4043" i="1"/>
  <c r="T4043" i="1" s="1"/>
  <c r="O4044" i="1"/>
  <c r="T4044" i="1" s="1"/>
  <c r="O4045" i="1"/>
  <c r="T4045" i="1" s="1"/>
  <c r="O4046" i="1"/>
  <c r="T4046" i="1" s="1"/>
  <c r="O4047" i="1"/>
  <c r="T4047" i="1" s="1"/>
  <c r="O4048" i="1"/>
  <c r="T4048" i="1" s="1"/>
  <c r="O4049" i="1"/>
  <c r="T4049" i="1" s="1"/>
  <c r="O4050" i="1"/>
  <c r="T4050" i="1" s="1"/>
  <c r="O4051" i="1"/>
  <c r="T4051" i="1" s="1"/>
  <c r="O4052" i="1"/>
  <c r="T4052" i="1" s="1"/>
  <c r="O4053" i="1"/>
  <c r="T4053" i="1" s="1"/>
  <c r="O4054" i="1"/>
  <c r="T4054" i="1" s="1"/>
  <c r="O4055" i="1"/>
  <c r="T4055" i="1" s="1"/>
  <c r="O4056" i="1"/>
  <c r="T4056" i="1" s="1"/>
  <c r="O4057" i="1"/>
  <c r="T4057" i="1" s="1"/>
  <c r="O4058" i="1"/>
  <c r="T4058" i="1" s="1"/>
  <c r="O4059" i="1"/>
  <c r="T4059" i="1" s="1"/>
  <c r="O4060" i="1"/>
  <c r="T4060" i="1" s="1"/>
  <c r="O4061" i="1"/>
  <c r="T4061" i="1" s="1"/>
  <c r="O4062" i="1"/>
  <c r="T4062" i="1" s="1"/>
  <c r="O4063" i="1"/>
  <c r="T4063" i="1" s="1"/>
  <c r="O4064" i="1"/>
  <c r="T4064" i="1" s="1"/>
  <c r="O4065" i="1"/>
  <c r="T4065" i="1" s="1"/>
  <c r="O4066" i="1"/>
  <c r="T4066" i="1" s="1"/>
  <c r="O4067" i="1"/>
  <c r="T4067" i="1" s="1"/>
  <c r="O4068" i="1"/>
  <c r="T4068" i="1" s="1"/>
  <c r="O4069" i="1"/>
  <c r="T4069" i="1" s="1"/>
  <c r="O4070" i="1"/>
  <c r="T4070" i="1" s="1"/>
  <c r="O4071" i="1"/>
  <c r="T4071" i="1" s="1"/>
  <c r="O4072" i="1"/>
  <c r="T4072" i="1" s="1"/>
  <c r="O4073" i="1"/>
  <c r="T4073" i="1" s="1"/>
  <c r="O4074" i="1"/>
  <c r="T4074" i="1" s="1"/>
  <c r="O4075" i="1"/>
  <c r="T4075" i="1" s="1"/>
  <c r="O4076" i="1"/>
  <c r="T4076" i="1" s="1"/>
  <c r="O4077" i="1"/>
  <c r="T4077" i="1" s="1"/>
  <c r="O4078" i="1"/>
  <c r="T4078" i="1" s="1"/>
  <c r="O4079" i="1"/>
  <c r="T4079" i="1" s="1"/>
  <c r="O4080" i="1"/>
  <c r="T4080" i="1" s="1"/>
  <c r="O4081" i="1"/>
  <c r="T4081" i="1" s="1"/>
  <c r="O4082" i="1"/>
  <c r="T4082" i="1" s="1"/>
  <c r="O4083" i="1"/>
  <c r="T4083" i="1" s="1"/>
  <c r="O4084" i="1"/>
  <c r="T4084" i="1" s="1"/>
  <c r="O4085" i="1"/>
  <c r="T4085" i="1" s="1"/>
  <c r="O4086" i="1"/>
  <c r="T4086" i="1" s="1"/>
  <c r="O4087" i="1"/>
  <c r="T4087" i="1" s="1"/>
  <c r="O4088" i="1"/>
  <c r="T4088" i="1" s="1"/>
  <c r="O4089" i="1"/>
  <c r="T4089" i="1" s="1"/>
  <c r="O4090" i="1"/>
  <c r="T4090" i="1" s="1"/>
  <c r="O4091" i="1"/>
  <c r="T4091" i="1" s="1"/>
  <c r="O4092" i="1"/>
  <c r="T4092" i="1" s="1"/>
  <c r="O4093" i="1"/>
  <c r="T4093" i="1" s="1"/>
  <c r="O4094" i="1"/>
  <c r="T4094" i="1" s="1"/>
  <c r="O4095" i="1"/>
  <c r="T4095" i="1" s="1"/>
  <c r="O4096" i="1"/>
  <c r="T4096" i="1" s="1"/>
  <c r="O4097" i="1"/>
  <c r="T4097" i="1" s="1"/>
  <c r="O4098" i="1"/>
  <c r="T4098" i="1" s="1"/>
  <c r="O4099" i="1"/>
  <c r="T4099" i="1" s="1"/>
  <c r="O4100" i="1"/>
  <c r="T4100" i="1" s="1"/>
  <c r="O4101" i="1"/>
  <c r="T4101" i="1" s="1"/>
  <c r="O4102" i="1"/>
  <c r="T4102" i="1" s="1"/>
  <c r="O4103" i="1"/>
  <c r="T4103" i="1" s="1"/>
  <c r="O4104" i="1"/>
  <c r="T4104" i="1" s="1"/>
  <c r="O4105" i="1"/>
  <c r="T4105" i="1" s="1"/>
  <c r="O4106" i="1"/>
  <c r="T4106" i="1" s="1"/>
  <c r="O4107" i="1"/>
  <c r="T4107" i="1" s="1"/>
  <c r="O4108" i="1"/>
  <c r="T4108" i="1" s="1"/>
  <c r="O4109" i="1"/>
  <c r="T4109" i="1" s="1"/>
  <c r="O4110" i="1"/>
  <c r="T4110" i="1" s="1"/>
  <c r="O4111" i="1"/>
  <c r="T4111" i="1" s="1"/>
  <c r="O4112" i="1"/>
  <c r="O4113" i="1"/>
  <c r="T4113" i="1" s="1"/>
  <c r="O4114" i="1"/>
  <c r="T4114" i="1" s="1"/>
  <c r="O4115" i="1"/>
  <c r="T4115" i="1" s="1"/>
  <c r="O4116" i="1"/>
  <c r="T4116" i="1" s="1"/>
  <c r="O4117" i="1"/>
  <c r="T4117" i="1" s="1"/>
  <c r="O4118" i="1"/>
  <c r="T4118" i="1" s="1"/>
  <c r="O4119" i="1"/>
  <c r="T4119" i="1" s="1"/>
  <c r="O4120" i="1"/>
  <c r="T4120" i="1" s="1"/>
  <c r="O4121" i="1"/>
  <c r="T4121" i="1" s="1"/>
  <c r="O4122" i="1"/>
  <c r="T4122" i="1" s="1"/>
  <c r="O4123" i="1"/>
  <c r="T4123" i="1" s="1"/>
  <c r="O4124" i="1"/>
  <c r="T4124" i="1" s="1"/>
  <c r="O4125" i="1"/>
  <c r="T4125" i="1" s="1"/>
  <c r="O4126" i="1"/>
  <c r="T4126" i="1" s="1"/>
  <c r="O4127" i="1"/>
  <c r="T4127" i="1" s="1"/>
  <c r="O4128" i="1"/>
  <c r="T4128" i="1" s="1"/>
  <c r="O4129" i="1"/>
  <c r="T4129" i="1" s="1"/>
  <c r="O4130" i="1"/>
  <c r="T4130" i="1" s="1"/>
  <c r="O4131" i="1"/>
  <c r="T4131" i="1" s="1"/>
  <c r="O4132" i="1"/>
  <c r="T4132" i="1" s="1"/>
  <c r="O4133" i="1"/>
  <c r="T4133" i="1" s="1"/>
  <c r="O4134" i="1"/>
  <c r="T4134" i="1" s="1"/>
  <c r="O4135" i="1"/>
  <c r="T4135" i="1" s="1"/>
  <c r="O4136" i="1"/>
  <c r="T4136" i="1" s="1"/>
  <c r="O4137" i="1"/>
  <c r="T4137" i="1" s="1"/>
  <c r="O4138" i="1"/>
  <c r="T4138" i="1" s="1"/>
  <c r="O4139" i="1"/>
  <c r="T4139" i="1" s="1"/>
  <c r="O4140" i="1"/>
  <c r="T4140" i="1" s="1"/>
  <c r="O4141" i="1"/>
  <c r="T4141" i="1" s="1"/>
  <c r="O4142" i="1"/>
  <c r="T4142" i="1" s="1"/>
  <c r="O4143" i="1"/>
  <c r="T4143" i="1" s="1"/>
  <c r="O4144" i="1"/>
  <c r="T4144" i="1" s="1"/>
  <c r="O4145" i="1"/>
  <c r="T4145" i="1" s="1"/>
  <c r="O4146" i="1"/>
  <c r="T4146" i="1" s="1"/>
  <c r="O4147" i="1"/>
  <c r="T4147" i="1" s="1"/>
  <c r="O4148" i="1"/>
  <c r="T4148" i="1" s="1"/>
  <c r="O4149" i="1"/>
  <c r="T4149" i="1" s="1"/>
  <c r="O4150" i="1"/>
  <c r="T4150" i="1" s="1"/>
  <c r="O4151" i="1"/>
  <c r="T4151" i="1" s="1"/>
  <c r="O4152" i="1"/>
  <c r="T4152" i="1" s="1"/>
  <c r="O4153" i="1"/>
  <c r="T4153" i="1" s="1"/>
  <c r="O4154" i="1"/>
  <c r="T4154" i="1" s="1"/>
  <c r="O4155" i="1"/>
  <c r="T4155" i="1" s="1"/>
  <c r="O4156" i="1"/>
  <c r="T4156" i="1" s="1"/>
  <c r="O4157" i="1"/>
  <c r="T4157" i="1" s="1"/>
  <c r="O4158" i="1"/>
  <c r="T4158" i="1" s="1"/>
  <c r="O4159" i="1"/>
  <c r="T4159" i="1" s="1"/>
  <c r="O4160" i="1"/>
  <c r="T4160" i="1" s="1"/>
  <c r="O4161" i="1"/>
  <c r="T4161" i="1" s="1"/>
  <c r="O4162" i="1"/>
  <c r="T4162" i="1" s="1"/>
  <c r="O4163" i="1"/>
  <c r="T4163" i="1" s="1"/>
  <c r="O4164" i="1"/>
  <c r="T4164" i="1" s="1"/>
  <c r="O4165" i="1"/>
  <c r="T4165" i="1" s="1"/>
  <c r="O4166" i="1"/>
  <c r="T4166" i="1" s="1"/>
  <c r="O4167" i="1"/>
  <c r="T4167" i="1" s="1"/>
  <c r="O4168" i="1"/>
  <c r="T4168" i="1" s="1"/>
  <c r="O4169" i="1"/>
  <c r="T4169" i="1" s="1"/>
  <c r="O4170" i="1"/>
  <c r="T4170" i="1" s="1"/>
  <c r="O4171" i="1"/>
  <c r="T4171" i="1" s="1"/>
  <c r="O4172" i="1"/>
  <c r="T4172" i="1" s="1"/>
  <c r="O4173" i="1"/>
  <c r="T4173" i="1" s="1"/>
  <c r="O4174" i="1"/>
  <c r="T4174" i="1" s="1"/>
  <c r="O4175" i="1"/>
  <c r="T4175" i="1" s="1"/>
  <c r="O4176" i="1"/>
  <c r="T4176" i="1" s="1"/>
  <c r="O4177" i="1"/>
  <c r="T4177" i="1" s="1"/>
  <c r="O4178" i="1"/>
  <c r="T4178" i="1" s="1"/>
  <c r="O4179" i="1"/>
  <c r="T4179" i="1" s="1"/>
  <c r="O4180" i="1"/>
  <c r="T4180" i="1" s="1"/>
  <c r="O4181" i="1"/>
  <c r="T4181" i="1" s="1"/>
  <c r="O4182" i="1"/>
  <c r="T4182" i="1" s="1"/>
  <c r="O4183" i="1"/>
  <c r="T4183" i="1" s="1"/>
  <c r="O4184" i="1"/>
  <c r="T4184" i="1" s="1"/>
  <c r="O4185" i="1"/>
  <c r="T4185" i="1" s="1"/>
  <c r="O4186" i="1"/>
  <c r="T4186" i="1" s="1"/>
  <c r="O4187" i="1"/>
  <c r="T4187" i="1" s="1"/>
  <c r="O4188" i="1"/>
  <c r="T4188" i="1" s="1"/>
  <c r="O4189" i="1"/>
  <c r="T4189" i="1" s="1"/>
  <c r="O4190" i="1"/>
  <c r="T4190" i="1" s="1"/>
  <c r="O4191" i="1"/>
  <c r="T4191" i="1" s="1"/>
  <c r="O4192" i="1"/>
  <c r="T4192" i="1" s="1"/>
  <c r="O4193" i="1"/>
  <c r="T4193" i="1" s="1"/>
  <c r="O4194" i="1"/>
  <c r="T4194" i="1" s="1"/>
  <c r="O4195" i="1"/>
  <c r="T4195" i="1" s="1"/>
  <c r="X4195" i="1" s="1"/>
  <c r="Y4195" i="1" s="1"/>
  <c r="O4196" i="1"/>
  <c r="T4196" i="1" s="1"/>
  <c r="O4197" i="1"/>
  <c r="T4197" i="1" s="1"/>
  <c r="O4198" i="1"/>
  <c r="T4198" i="1" s="1"/>
  <c r="O4199" i="1"/>
  <c r="T4199" i="1" s="1"/>
  <c r="O4200" i="1"/>
  <c r="T4200" i="1" s="1"/>
  <c r="O4201" i="1"/>
  <c r="T4201" i="1" s="1"/>
  <c r="O4202" i="1"/>
  <c r="T4202" i="1" s="1"/>
  <c r="O4203" i="1"/>
  <c r="T4203" i="1" s="1"/>
  <c r="O4204" i="1"/>
  <c r="T4204" i="1" s="1"/>
  <c r="O4205" i="1"/>
  <c r="T4205" i="1" s="1"/>
  <c r="O4206" i="1"/>
  <c r="T4206" i="1" s="1"/>
  <c r="O4207" i="1"/>
  <c r="T4207" i="1" s="1"/>
  <c r="O4208" i="1"/>
  <c r="T4208" i="1" s="1"/>
  <c r="O4209" i="1"/>
  <c r="T4209" i="1" s="1"/>
  <c r="O4210" i="1"/>
  <c r="T4210" i="1" s="1"/>
  <c r="O4211" i="1"/>
  <c r="T4211" i="1" s="1"/>
  <c r="O4212" i="1"/>
  <c r="T4212" i="1" s="1"/>
  <c r="O4213" i="1"/>
  <c r="T4213" i="1" s="1"/>
  <c r="O4214" i="1"/>
  <c r="T4214" i="1" s="1"/>
  <c r="O4215" i="1"/>
  <c r="T4215" i="1" s="1"/>
  <c r="O4216" i="1"/>
  <c r="T4216" i="1" s="1"/>
  <c r="O4217" i="1"/>
  <c r="T4217" i="1" s="1"/>
  <c r="O4218" i="1"/>
  <c r="T4218" i="1" s="1"/>
  <c r="O4219" i="1"/>
  <c r="T4219" i="1" s="1"/>
  <c r="O4220" i="1"/>
  <c r="T4220" i="1" s="1"/>
  <c r="O4221" i="1"/>
  <c r="T4221" i="1" s="1"/>
  <c r="O4222" i="1"/>
  <c r="T4222" i="1" s="1"/>
  <c r="O4223" i="1"/>
  <c r="T4223" i="1" s="1"/>
  <c r="O4224" i="1"/>
  <c r="T4224" i="1" s="1"/>
  <c r="O4225" i="1"/>
  <c r="T4225" i="1" s="1"/>
  <c r="O4226" i="1"/>
  <c r="T4226" i="1" s="1"/>
  <c r="O4227" i="1"/>
  <c r="T4227" i="1" s="1"/>
  <c r="O4228" i="1"/>
  <c r="T4228" i="1" s="1"/>
  <c r="O4229" i="1"/>
  <c r="T4229" i="1" s="1"/>
  <c r="O4230" i="1"/>
  <c r="T4230" i="1" s="1"/>
  <c r="O4231" i="1"/>
  <c r="T4231" i="1" s="1"/>
  <c r="O4232" i="1"/>
  <c r="T4232" i="1" s="1"/>
  <c r="O4233" i="1"/>
  <c r="T4233" i="1" s="1"/>
  <c r="O4234" i="1"/>
  <c r="T4234" i="1" s="1"/>
  <c r="O4235" i="1"/>
  <c r="T4235" i="1" s="1"/>
  <c r="O4236" i="1"/>
  <c r="T4236" i="1" s="1"/>
  <c r="O4237" i="1"/>
  <c r="T4237" i="1" s="1"/>
  <c r="O4238" i="1"/>
  <c r="T4238" i="1" s="1"/>
  <c r="O4239" i="1"/>
  <c r="T4239" i="1" s="1"/>
  <c r="O4240" i="1"/>
  <c r="T4240" i="1" s="1"/>
  <c r="O4241" i="1"/>
  <c r="T4241" i="1" s="1"/>
  <c r="O4242" i="1"/>
  <c r="T4242" i="1" s="1"/>
  <c r="O4243" i="1"/>
  <c r="T4243" i="1" s="1"/>
  <c r="O4244" i="1"/>
  <c r="T4244" i="1" s="1"/>
  <c r="O4245" i="1"/>
  <c r="T4245" i="1" s="1"/>
  <c r="O4246" i="1"/>
  <c r="T4246" i="1" s="1"/>
  <c r="O4247" i="1"/>
  <c r="T4247" i="1" s="1"/>
  <c r="O4248" i="1"/>
  <c r="T4248" i="1" s="1"/>
  <c r="O4249" i="1"/>
  <c r="T4249" i="1" s="1"/>
  <c r="O4250" i="1"/>
  <c r="T4250" i="1" s="1"/>
  <c r="O4251" i="1"/>
  <c r="T4251" i="1" s="1"/>
  <c r="O4252" i="1"/>
  <c r="T4252" i="1" s="1"/>
  <c r="O4253" i="1"/>
  <c r="T4253" i="1" s="1"/>
  <c r="O4254" i="1"/>
  <c r="T4254" i="1" s="1"/>
  <c r="O4255" i="1"/>
  <c r="T4255" i="1" s="1"/>
  <c r="O4256" i="1"/>
  <c r="T4256" i="1" s="1"/>
  <c r="O4257" i="1"/>
  <c r="T4257" i="1" s="1"/>
  <c r="O4258" i="1"/>
  <c r="T4258" i="1" s="1"/>
  <c r="O4259" i="1"/>
  <c r="T4259" i="1" s="1"/>
  <c r="O4260" i="1"/>
  <c r="T4260" i="1" s="1"/>
  <c r="O4261" i="1"/>
  <c r="T4261" i="1" s="1"/>
  <c r="O4262" i="1"/>
  <c r="T4262" i="1" s="1"/>
  <c r="O4263" i="1"/>
  <c r="T4263" i="1" s="1"/>
  <c r="O4264" i="1"/>
  <c r="T4264" i="1" s="1"/>
  <c r="O4265" i="1"/>
  <c r="T4265" i="1" s="1"/>
  <c r="O4266" i="1"/>
  <c r="T4266" i="1" s="1"/>
  <c r="O4267" i="1"/>
  <c r="T4267" i="1" s="1"/>
  <c r="O4268" i="1"/>
  <c r="T4268" i="1" s="1"/>
  <c r="O4269" i="1"/>
  <c r="T4269" i="1" s="1"/>
  <c r="O4270" i="1"/>
  <c r="T4270" i="1" s="1"/>
  <c r="O4271" i="1"/>
  <c r="T4271" i="1" s="1"/>
  <c r="O4272" i="1"/>
  <c r="T4272" i="1" s="1"/>
  <c r="O4273" i="1"/>
  <c r="T4273" i="1" s="1"/>
  <c r="O4274" i="1"/>
  <c r="T4274" i="1" s="1"/>
  <c r="O4275" i="1"/>
  <c r="T4275" i="1" s="1"/>
  <c r="O4276" i="1"/>
  <c r="T4276" i="1" s="1"/>
  <c r="O4277" i="1"/>
  <c r="T4277" i="1" s="1"/>
  <c r="O4278" i="1"/>
  <c r="T4278" i="1" s="1"/>
  <c r="O4279" i="1"/>
  <c r="T4279" i="1" s="1"/>
  <c r="O4280" i="1"/>
  <c r="T4280" i="1" s="1"/>
  <c r="O4281" i="1"/>
  <c r="T4281" i="1" s="1"/>
  <c r="O4282" i="1"/>
  <c r="T4282" i="1" s="1"/>
  <c r="O4283" i="1"/>
  <c r="T4283" i="1" s="1"/>
  <c r="O4284" i="1"/>
  <c r="T4284" i="1" s="1"/>
  <c r="O4285" i="1"/>
  <c r="T4285" i="1" s="1"/>
  <c r="O4286" i="1"/>
  <c r="O4287" i="1"/>
  <c r="T4287" i="1" s="1"/>
  <c r="O4288" i="1"/>
  <c r="T4288" i="1" s="1"/>
  <c r="O4289" i="1"/>
  <c r="T4289" i="1" s="1"/>
  <c r="O4290" i="1"/>
  <c r="T4290" i="1" s="1"/>
  <c r="O4291" i="1"/>
  <c r="T4291" i="1" s="1"/>
  <c r="O4292" i="1"/>
  <c r="T4292" i="1" s="1"/>
  <c r="O4293" i="1"/>
  <c r="T4293" i="1" s="1"/>
  <c r="O4294" i="1"/>
  <c r="T4294" i="1" s="1"/>
  <c r="O4295" i="1"/>
  <c r="T4295" i="1" s="1"/>
  <c r="O4296" i="1"/>
  <c r="T4296" i="1" s="1"/>
  <c r="O4297" i="1"/>
  <c r="T4297" i="1" s="1"/>
  <c r="O4298" i="1"/>
  <c r="T4298" i="1" s="1"/>
  <c r="O4299" i="1"/>
  <c r="T4299" i="1" s="1"/>
  <c r="O4300" i="1"/>
  <c r="T4300" i="1" s="1"/>
  <c r="O4301" i="1"/>
  <c r="T4301" i="1" s="1"/>
  <c r="O4302" i="1"/>
  <c r="T4302" i="1" s="1"/>
  <c r="O4303" i="1"/>
  <c r="T4303" i="1" s="1"/>
  <c r="O4304" i="1"/>
  <c r="T4304" i="1" s="1"/>
  <c r="O4305" i="1"/>
  <c r="T4305" i="1" s="1"/>
  <c r="O4306" i="1"/>
  <c r="T4306" i="1" s="1"/>
  <c r="O4307" i="1"/>
  <c r="T4307" i="1" s="1"/>
  <c r="O4308" i="1"/>
  <c r="T4308" i="1" s="1"/>
  <c r="O4309" i="1"/>
  <c r="T4309" i="1" s="1"/>
  <c r="O4310" i="1"/>
  <c r="T4310" i="1" s="1"/>
  <c r="O4311" i="1"/>
  <c r="T4311" i="1" s="1"/>
  <c r="O4312" i="1"/>
  <c r="T4312" i="1" s="1"/>
  <c r="O4313" i="1"/>
  <c r="T4313" i="1" s="1"/>
  <c r="O4314" i="1"/>
  <c r="T4314" i="1" s="1"/>
  <c r="O4315" i="1"/>
  <c r="T4315" i="1" s="1"/>
  <c r="O4316" i="1"/>
  <c r="T4316" i="1" s="1"/>
  <c r="O4317" i="1"/>
  <c r="T4317" i="1" s="1"/>
  <c r="O4318" i="1"/>
  <c r="T4318" i="1" s="1"/>
  <c r="O4319" i="1"/>
  <c r="T4319" i="1" s="1"/>
  <c r="O4320" i="1"/>
  <c r="T4320" i="1" s="1"/>
  <c r="O4321" i="1"/>
  <c r="T4321" i="1" s="1"/>
  <c r="O4322" i="1"/>
  <c r="T4322" i="1" s="1"/>
  <c r="O4323" i="1"/>
  <c r="T4323" i="1" s="1"/>
  <c r="O4324" i="1"/>
  <c r="T4324" i="1" s="1"/>
  <c r="O4325" i="1"/>
  <c r="T4325" i="1" s="1"/>
  <c r="O4326" i="1"/>
  <c r="T4326" i="1" s="1"/>
  <c r="O4327" i="1"/>
  <c r="T4327" i="1" s="1"/>
  <c r="O4328" i="1"/>
  <c r="T4328" i="1" s="1"/>
  <c r="O4329" i="1"/>
  <c r="T4329" i="1" s="1"/>
  <c r="O4330" i="1"/>
  <c r="T4330" i="1" s="1"/>
  <c r="O4331" i="1"/>
  <c r="T4331" i="1" s="1"/>
  <c r="O4332" i="1"/>
  <c r="T4332" i="1" s="1"/>
  <c r="O4333" i="1"/>
  <c r="T4333" i="1" s="1"/>
  <c r="O4334" i="1"/>
  <c r="T4334" i="1" s="1"/>
  <c r="O4335" i="1"/>
  <c r="T4335" i="1" s="1"/>
  <c r="O4336" i="1"/>
  <c r="T4336" i="1" s="1"/>
  <c r="O4337" i="1"/>
  <c r="T4337" i="1" s="1"/>
  <c r="O4338" i="1"/>
  <c r="T4338" i="1" s="1"/>
  <c r="O4339" i="1"/>
  <c r="T4339" i="1" s="1"/>
  <c r="O4340" i="1"/>
  <c r="T4340" i="1" s="1"/>
  <c r="O4341" i="1"/>
  <c r="T4341" i="1" s="1"/>
  <c r="O4342" i="1"/>
  <c r="T4342" i="1" s="1"/>
  <c r="O4343" i="1"/>
  <c r="T4343" i="1" s="1"/>
  <c r="O4344" i="1"/>
  <c r="T4344" i="1" s="1"/>
  <c r="O4345" i="1"/>
  <c r="T4345" i="1" s="1"/>
  <c r="O4346" i="1"/>
  <c r="T4346" i="1" s="1"/>
  <c r="O4347" i="1"/>
  <c r="T4347" i="1" s="1"/>
  <c r="O4348" i="1"/>
  <c r="T4348" i="1" s="1"/>
  <c r="O4349" i="1"/>
  <c r="T4349" i="1" s="1"/>
  <c r="O4350" i="1"/>
  <c r="T4350" i="1" s="1"/>
  <c r="O4351" i="1"/>
  <c r="T4351" i="1" s="1"/>
  <c r="O4352" i="1"/>
  <c r="T4352" i="1" s="1"/>
  <c r="O4353" i="1"/>
  <c r="T4353" i="1" s="1"/>
  <c r="O4354" i="1"/>
  <c r="T4354" i="1" s="1"/>
  <c r="O4355" i="1"/>
  <c r="T4355" i="1" s="1"/>
  <c r="O4356" i="1"/>
  <c r="T4356" i="1" s="1"/>
  <c r="O4357" i="1"/>
  <c r="T4357" i="1" s="1"/>
  <c r="O4358" i="1"/>
  <c r="T4358" i="1" s="1"/>
  <c r="O4359" i="1"/>
  <c r="T4359" i="1" s="1"/>
  <c r="O4360" i="1"/>
  <c r="T4360" i="1" s="1"/>
  <c r="O4361" i="1"/>
  <c r="T4361" i="1" s="1"/>
  <c r="O4362" i="1"/>
  <c r="T4362" i="1" s="1"/>
  <c r="O4363" i="1"/>
  <c r="T4363" i="1" s="1"/>
  <c r="O4364" i="1"/>
  <c r="T4364" i="1" s="1"/>
  <c r="O4365" i="1"/>
  <c r="T4365" i="1" s="1"/>
  <c r="O4366" i="1"/>
  <c r="T4366" i="1" s="1"/>
  <c r="O4367" i="1"/>
  <c r="T4367" i="1" s="1"/>
  <c r="O4368" i="1"/>
  <c r="T4368" i="1" s="1"/>
  <c r="O4369" i="1"/>
  <c r="T4369" i="1" s="1"/>
  <c r="O4370" i="1"/>
  <c r="T4370" i="1" s="1"/>
  <c r="O4371" i="1"/>
  <c r="T4371" i="1" s="1"/>
  <c r="O4372" i="1"/>
  <c r="T4372" i="1" s="1"/>
  <c r="O4373" i="1"/>
  <c r="O4374" i="1"/>
  <c r="T4374" i="1" s="1"/>
  <c r="O4375" i="1"/>
  <c r="T4375" i="1" s="1"/>
  <c r="O4376" i="1"/>
  <c r="T4376" i="1" s="1"/>
  <c r="O4377" i="1"/>
  <c r="T4377" i="1" s="1"/>
  <c r="O4378" i="1"/>
  <c r="T4378" i="1" s="1"/>
  <c r="O4379" i="1"/>
  <c r="T4379" i="1" s="1"/>
  <c r="O4380" i="1"/>
  <c r="T4380" i="1" s="1"/>
  <c r="O4381" i="1"/>
  <c r="T4381" i="1" s="1"/>
  <c r="O4382" i="1"/>
  <c r="T4382" i="1" s="1"/>
  <c r="O4383" i="1"/>
  <c r="T4383" i="1" s="1"/>
  <c r="O4384" i="1"/>
  <c r="T4384" i="1" s="1"/>
  <c r="O4385" i="1"/>
  <c r="T4385" i="1" s="1"/>
  <c r="O4386" i="1"/>
  <c r="T4386" i="1" s="1"/>
  <c r="O4387" i="1"/>
  <c r="T4387" i="1" s="1"/>
  <c r="O4388" i="1"/>
  <c r="T4388" i="1" s="1"/>
  <c r="O4389" i="1"/>
  <c r="T4389" i="1" s="1"/>
  <c r="O4390" i="1"/>
  <c r="T4390" i="1" s="1"/>
  <c r="O4391" i="1"/>
  <c r="T4391" i="1" s="1"/>
  <c r="O4392" i="1"/>
  <c r="T4392" i="1" s="1"/>
  <c r="O4393" i="1"/>
  <c r="T4393" i="1" s="1"/>
  <c r="O4394" i="1"/>
  <c r="T4394" i="1" s="1"/>
  <c r="O4395" i="1"/>
  <c r="T4395" i="1" s="1"/>
  <c r="O4396" i="1"/>
  <c r="T4396" i="1" s="1"/>
  <c r="O4397" i="1"/>
  <c r="T4397" i="1" s="1"/>
  <c r="O4398" i="1"/>
  <c r="T4398" i="1" s="1"/>
  <c r="O4399" i="1"/>
  <c r="T4399" i="1" s="1"/>
  <c r="O4400" i="1"/>
  <c r="T4400" i="1" s="1"/>
  <c r="O4401" i="1"/>
  <c r="T4401" i="1" s="1"/>
  <c r="O4402" i="1"/>
  <c r="T4402" i="1" s="1"/>
  <c r="O4403" i="1"/>
  <c r="T4403" i="1" s="1"/>
  <c r="O4404" i="1"/>
  <c r="T4404" i="1" s="1"/>
  <c r="O4405" i="1"/>
  <c r="T4405" i="1" s="1"/>
  <c r="O4406" i="1"/>
  <c r="T4406" i="1" s="1"/>
  <c r="O4407" i="1"/>
  <c r="T4407" i="1" s="1"/>
  <c r="O4408" i="1"/>
  <c r="T4408" i="1" s="1"/>
  <c r="O4409" i="1"/>
  <c r="T4409" i="1" s="1"/>
  <c r="O4410" i="1"/>
  <c r="T4410" i="1" s="1"/>
  <c r="O4411" i="1"/>
  <c r="T4411" i="1" s="1"/>
  <c r="O4412" i="1"/>
  <c r="T4412" i="1" s="1"/>
  <c r="O4413" i="1"/>
  <c r="T4413" i="1" s="1"/>
  <c r="O4414" i="1"/>
  <c r="T4414" i="1" s="1"/>
  <c r="O4415" i="1"/>
  <c r="T4415" i="1" s="1"/>
  <c r="O4416" i="1"/>
  <c r="T4416" i="1" s="1"/>
  <c r="O4417" i="1"/>
  <c r="T4417" i="1" s="1"/>
  <c r="O4418" i="1"/>
  <c r="T4418" i="1" s="1"/>
  <c r="O4419" i="1"/>
  <c r="T4419" i="1" s="1"/>
  <c r="O4420" i="1"/>
  <c r="T4420" i="1" s="1"/>
  <c r="O4421" i="1"/>
  <c r="T4421" i="1" s="1"/>
  <c r="O4422" i="1"/>
  <c r="T4422" i="1" s="1"/>
  <c r="O4423" i="1"/>
  <c r="T4423" i="1" s="1"/>
  <c r="O4424" i="1"/>
  <c r="T4424" i="1" s="1"/>
  <c r="O4425" i="1"/>
  <c r="T4425" i="1" s="1"/>
  <c r="O4426" i="1"/>
  <c r="T4426" i="1" s="1"/>
  <c r="O4427" i="1"/>
  <c r="T4427" i="1" s="1"/>
  <c r="O4428" i="1"/>
  <c r="T4428" i="1" s="1"/>
  <c r="O4429" i="1"/>
  <c r="T4429" i="1" s="1"/>
  <c r="O4430" i="1"/>
  <c r="T4430" i="1" s="1"/>
  <c r="O4431" i="1"/>
  <c r="T4431" i="1" s="1"/>
  <c r="O4432" i="1"/>
  <c r="T4432" i="1" s="1"/>
  <c r="O4433" i="1"/>
  <c r="T4433" i="1" s="1"/>
  <c r="O4434" i="1"/>
  <c r="T4434" i="1" s="1"/>
  <c r="O4435" i="1"/>
  <c r="T4435" i="1" s="1"/>
  <c r="O4436" i="1"/>
  <c r="T4436" i="1" s="1"/>
  <c r="O4437" i="1"/>
  <c r="T4437" i="1" s="1"/>
  <c r="O4438" i="1"/>
  <c r="T4438" i="1" s="1"/>
  <c r="O4439" i="1"/>
  <c r="T4439" i="1" s="1"/>
  <c r="O4440" i="1"/>
  <c r="T4440" i="1" s="1"/>
  <c r="O4441" i="1"/>
  <c r="T4441" i="1" s="1"/>
  <c r="O4442" i="1"/>
  <c r="T4442" i="1" s="1"/>
  <c r="O4443" i="1"/>
  <c r="T4443" i="1" s="1"/>
  <c r="O4444" i="1"/>
  <c r="T4444" i="1" s="1"/>
  <c r="X4444" i="1" s="1"/>
  <c r="Y4444" i="1" s="1"/>
  <c r="O4445" i="1"/>
  <c r="T4445" i="1" s="1"/>
  <c r="O4446" i="1"/>
  <c r="T4446" i="1" s="1"/>
  <c r="O4447" i="1"/>
  <c r="T4447" i="1" s="1"/>
  <c r="O4448" i="1"/>
  <c r="T4448" i="1" s="1"/>
  <c r="O4449" i="1"/>
  <c r="T4449" i="1" s="1"/>
  <c r="O4450" i="1"/>
  <c r="T4450" i="1" s="1"/>
  <c r="O4451" i="1"/>
  <c r="T4451" i="1" s="1"/>
  <c r="O4452" i="1"/>
  <c r="T4452" i="1" s="1"/>
  <c r="O4453" i="1"/>
  <c r="T4453" i="1" s="1"/>
  <c r="O4454" i="1"/>
  <c r="T4454" i="1" s="1"/>
  <c r="O4455" i="1"/>
  <c r="T4455" i="1" s="1"/>
  <c r="O4456" i="1"/>
  <c r="T4456" i="1" s="1"/>
  <c r="O4457" i="1"/>
  <c r="T4457" i="1" s="1"/>
  <c r="O4458" i="1"/>
  <c r="T4458" i="1" s="1"/>
  <c r="O4459" i="1"/>
  <c r="T4459" i="1" s="1"/>
  <c r="O4460" i="1"/>
  <c r="O4461" i="1"/>
  <c r="T4461" i="1" s="1"/>
  <c r="O4462" i="1"/>
  <c r="T4462" i="1" s="1"/>
  <c r="O4463" i="1"/>
  <c r="T4463" i="1" s="1"/>
  <c r="O4464" i="1"/>
  <c r="T4464" i="1" s="1"/>
  <c r="O4465" i="1"/>
  <c r="T4465" i="1" s="1"/>
  <c r="O4466" i="1"/>
  <c r="T4466" i="1" s="1"/>
  <c r="O4467" i="1"/>
  <c r="T4467" i="1" s="1"/>
  <c r="O4468" i="1"/>
  <c r="T4468" i="1" s="1"/>
  <c r="O4469" i="1"/>
  <c r="T4469" i="1" s="1"/>
  <c r="O4470" i="1"/>
  <c r="T4470" i="1" s="1"/>
  <c r="O4471" i="1"/>
  <c r="T4471" i="1" s="1"/>
  <c r="O4472" i="1"/>
  <c r="T4472" i="1" s="1"/>
  <c r="O4473" i="1"/>
  <c r="T4473" i="1" s="1"/>
  <c r="O4474" i="1"/>
  <c r="T4474" i="1" s="1"/>
  <c r="O4475" i="1"/>
  <c r="T4475" i="1" s="1"/>
  <c r="X4475" i="1" s="1"/>
  <c r="Y4475" i="1" s="1"/>
  <c r="O4476" i="1"/>
  <c r="T4476" i="1" s="1"/>
  <c r="O4477" i="1"/>
  <c r="T4477" i="1" s="1"/>
  <c r="O4478" i="1"/>
  <c r="T4478" i="1" s="1"/>
  <c r="O4479" i="1"/>
  <c r="T4479" i="1" s="1"/>
  <c r="O4480" i="1"/>
  <c r="T4480" i="1" s="1"/>
  <c r="O4481" i="1"/>
  <c r="T4481" i="1" s="1"/>
  <c r="O4482" i="1"/>
  <c r="T4482" i="1" s="1"/>
  <c r="O4483" i="1"/>
  <c r="T4483" i="1" s="1"/>
  <c r="O4484" i="1"/>
  <c r="T4484" i="1" s="1"/>
  <c r="O4485" i="1"/>
  <c r="T4485" i="1" s="1"/>
  <c r="O4486" i="1"/>
  <c r="T4486" i="1" s="1"/>
  <c r="O4487" i="1"/>
  <c r="T4487" i="1" s="1"/>
  <c r="O4488" i="1"/>
  <c r="T4488" i="1" s="1"/>
  <c r="O4489" i="1"/>
  <c r="T4489" i="1" s="1"/>
  <c r="O4490" i="1"/>
  <c r="T4490" i="1" s="1"/>
  <c r="O4491" i="1"/>
  <c r="T4491" i="1" s="1"/>
  <c r="O4492" i="1"/>
  <c r="T4492" i="1" s="1"/>
  <c r="O4493" i="1"/>
  <c r="T4493" i="1" s="1"/>
  <c r="O4494" i="1"/>
  <c r="T4494" i="1" s="1"/>
  <c r="O4495" i="1"/>
  <c r="T4495" i="1" s="1"/>
  <c r="O4496" i="1"/>
  <c r="T4496" i="1" s="1"/>
  <c r="O4497" i="1"/>
  <c r="T4497" i="1" s="1"/>
  <c r="O4498" i="1"/>
  <c r="T4498" i="1" s="1"/>
  <c r="O4499" i="1"/>
  <c r="T4499" i="1" s="1"/>
  <c r="O4500" i="1"/>
  <c r="T4500" i="1" s="1"/>
  <c r="O4501" i="1"/>
  <c r="T4501" i="1" s="1"/>
  <c r="O4502" i="1"/>
  <c r="T4502" i="1" s="1"/>
  <c r="O4503" i="1"/>
  <c r="T4503" i="1" s="1"/>
  <c r="O4504" i="1"/>
  <c r="T4504" i="1" s="1"/>
  <c r="O4505" i="1"/>
  <c r="T4505" i="1" s="1"/>
  <c r="O4506" i="1"/>
  <c r="T4506" i="1" s="1"/>
  <c r="O4507" i="1"/>
  <c r="T4507" i="1" s="1"/>
  <c r="O4508" i="1"/>
  <c r="T4508" i="1" s="1"/>
  <c r="O4509" i="1"/>
  <c r="T4509" i="1" s="1"/>
  <c r="O4510" i="1"/>
  <c r="T4510" i="1" s="1"/>
  <c r="O4511" i="1"/>
  <c r="T4511" i="1" s="1"/>
  <c r="O4512" i="1"/>
  <c r="T4512" i="1" s="1"/>
  <c r="O4513" i="1"/>
  <c r="T4513" i="1" s="1"/>
  <c r="O4514" i="1"/>
  <c r="T4514" i="1" s="1"/>
  <c r="O4515" i="1"/>
  <c r="T4515" i="1" s="1"/>
  <c r="O4516" i="1"/>
  <c r="T4516" i="1" s="1"/>
  <c r="O4517" i="1"/>
  <c r="T4517" i="1" s="1"/>
  <c r="O4518" i="1"/>
  <c r="T4518" i="1" s="1"/>
  <c r="O4519" i="1"/>
  <c r="T4519" i="1" s="1"/>
  <c r="O4520" i="1"/>
  <c r="T4520" i="1" s="1"/>
  <c r="O4521" i="1"/>
  <c r="T4521" i="1" s="1"/>
  <c r="O4522" i="1"/>
  <c r="T4522" i="1" s="1"/>
  <c r="O4523" i="1"/>
  <c r="T4523" i="1" s="1"/>
  <c r="O4524" i="1"/>
  <c r="T4524" i="1" s="1"/>
  <c r="O4525" i="1"/>
  <c r="T4525" i="1" s="1"/>
  <c r="O4526" i="1"/>
  <c r="T4526" i="1" s="1"/>
  <c r="O4527" i="1"/>
  <c r="T4527" i="1" s="1"/>
  <c r="O4528" i="1"/>
  <c r="T4528" i="1" s="1"/>
  <c r="O4529" i="1"/>
  <c r="T4529" i="1" s="1"/>
  <c r="O4530" i="1"/>
  <c r="T4530" i="1" s="1"/>
  <c r="O4531" i="1"/>
  <c r="T4531" i="1" s="1"/>
  <c r="O4532" i="1"/>
  <c r="T4532" i="1" s="1"/>
  <c r="O4533" i="1"/>
  <c r="T4533" i="1" s="1"/>
  <c r="O4534" i="1"/>
  <c r="T4534" i="1" s="1"/>
  <c r="O4535" i="1"/>
  <c r="T4535" i="1" s="1"/>
  <c r="O4536" i="1"/>
  <c r="T4536" i="1" s="1"/>
  <c r="O4537" i="1"/>
  <c r="T4537" i="1" s="1"/>
  <c r="O4538" i="1"/>
  <c r="T4538" i="1" s="1"/>
  <c r="O4539" i="1"/>
  <c r="T4539" i="1" s="1"/>
  <c r="O4540" i="1"/>
  <c r="T4540" i="1" s="1"/>
  <c r="O4541" i="1"/>
  <c r="T4541" i="1" s="1"/>
  <c r="O4542" i="1"/>
  <c r="T4542" i="1" s="1"/>
  <c r="O4543" i="1"/>
  <c r="T4543" i="1" s="1"/>
  <c r="O4544" i="1"/>
  <c r="T4544" i="1" s="1"/>
  <c r="O4545" i="1"/>
  <c r="T4545" i="1" s="1"/>
  <c r="O4546" i="1"/>
  <c r="T4546" i="1" s="1"/>
  <c r="O4547" i="1"/>
  <c r="T4547" i="1" s="1"/>
  <c r="O4548" i="1"/>
  <c r="T4548" i="1" s="1"/>
  <c r="O4549" i="1"/>
  <c r="T4549" i="1" s="1"/>
  <c r="O4550" i="1"/>
  <c r="T4550" i="1" s="1"/>
  <c r="O4551" i="1"/>
  <c r="T4551" i="1" s="1"/>
  <c r="O4552" i="1"/>
  <c r="T4552" i="1" s="1"/>
  <c r="O4553" i="1"/>
  <c r="T4553" i="1" s="1"/>
  <c r="O4554" i="1"/>
  <c r="T4554" i="1" s="1"/>
  <c r="O4555" i="1"/>
  <c r="T4555" i="1" s="1"/>
  <c r="O4556" i="1"/>
  <c r="T4556" i="1" s="1"/>
  <c r="O4557" i="1"/>
  <c r="T4557" i="1" s="1"/>
  <c r="O4558" i="1"/>
  <c r="T4558" i="1" s="1"/>
  <c r="O4559" i="1"/>
  <c r="T4559" i="1" s="1"/>
  <c r="O4560" i="1"/>
  <c r="T4560" i="1" s="1"/>
  <c r="O4561" i="1"/>
  <c r="T4561" i="1" s="1"/>
  <c r="O4562" i="1"/>
  <c r="T4562" i="1" s="1"/>
  <c r="O4563" i="1"/>
  <c r="T4563" i="1" s="1"/>
  <c r="O4564" i="1"/>
  <c r="O4565" i="1"/>
  <c r="T4565" i="1" s="1"/>
  <c r="O4566" i="1"/>
  <c r="T4566" i="1" s="1"/>
  <c r="O4567" i="1"/>
  <c r="T4567" i="1" s="1"/>
  <c r="O4568" i="1"/>
  <c r="T4568" i="1" s="1"/>
  <c r="O4569" i="1"/>
  <c r="T4569" i="1" s="1"/>
  <c r="O4570" i="1"/>
  <c r="T4570" i="1" s="1"/>
  <c r="O4571" i="1"/>
  <c r="T4571" i="1" s="1"/>
  <c r="O4572" i="1"/>
  <c r="T4572" i="1" s="1"/>
  <c r="O4573" i="1"/>
  <c r="T4573" i="1" s="1"/>
  <c r="O4574" i="1"/>
  <c r="T4574" i="1" s="1"/>
  <c r="O4575" i="1"/>
  <c r="T4575" i="1" s="1"/>
  <c r="O4576" i="1"/>
  <c r="T4576" i="1" s="1"/>
  <c r="O4577" i="1"/>
  <c r="T4577" i="1" s="1"/>
  <c r="O4578" i="1"/>
  <c r="T4578" i="1" s="1"/>
  <c r="O4579" i="1"/>
  <c r="T4579" i="1" s="1"/>
  <c r="O4580" i="1"/>
  <c r="T4580" i="1" s="1"/>
  <c r="O4581" i="1"/>
  <c r="T4581" i="1" s="1"/>
  <c r="O4582" i="1"/>
  <c r="T4582" i="1" s="1"/>
  <c r="O4583" i="1"/>
  <c r="T4583" i="1" s="1"/>
  <c r="O4584" i="1"/>
  <c r="T4584" i="1" s="1"/>
  <c r="O4585" i="1"/>
  <c r="T4585" i="1" s="1"/>
  <c r="O4586" i="1"/>
  <c r="T4586" i="1" s="1"/>
  <c r="O4587" i="1"/>
  <c r="T4587" i="1" s="1"/>
  <c r="O4588" i="1"/>
  <c r="T4588" i="1" s="1"/>
  <c r="O4589" i="1"/>
  <c r="T4589" i="1" s="1"/>
  <c r="O4590" i="1"/>
  <c r="T4590" i="1" s="1"/>
  <c r="O4591" i="1"/>
  <c r="T4591" i="1" s="1"/>
  <c r="O4592" i="1"/>
  <c r="T4592" i="1" s="1"/>
  <c r="O4593" i="1"/>
  <c r="T4593" i="1" s="1"/>
  <c r="O4594" i="1"/>
  <c r="T4594" i="1" s="1"/>
  <c r="O4595" i="1"/>
  <c r="T4595" i="1" s="1"/>
  <c r="O4596" i="1"/>
  <c r="T4596" i="1" s="1"/>
  <c r="O4597" i="1"/>
  <c r="T4597" i="1" s="1"/>
  <c r="O4598" i="1"/>
  <c r="T4598" i="1" s="1"/>
  <c r="O4599" i="1"/>
  <c r="T4599" i="1" s="1"/>
  <c r="O4600" i="1"/>
  <c r="T4600" i="1" s="1"/>
  <c r="O4601" i="1"/>
  <c r="T4601" i="1" s="1"/>
  <c r="O4602" i="1"/>
  <c r="T4602" i="1" s="1"/>
  <c r="O4603" i="1"/>
  <c r="T4603" i="1" s="1"/>
  <c r="O4604" i="1"/>
  <c r="T4604" i="1" s="1"/>
  <c r="O4605" i="1"/>
  <c r="T4605" i="1" s="1"/>
  <c r="O4606" i="1"/>
  <c r="T4606" i="1" s="1"/>
  <c r="O4607" i="1"/>
  <c r="T4607" i="1" s="1"/>
  <c r="O4608" i="1"/>
  <c r="T4608" i="1" s="1"/>
  <c r="O4609" i="1"/>
  <c r="T4609" i="1" s="1"/>
  <c r="O4610" i="1"/>
  <c r="T4610" i="1" s="1"/>
  <c r="O4611" i="1"/>
  <c r="T4611" i="1" s="1"/>
  <c r="O4612" i="1"/>
  <c r="T4612" i="1" s="1"/>
  <c r="O4613" i="1"/>
  <c r="T4613" i="1" s="1"/>
  <c r="O4614" i="1"/>
  <c r="T4614" i="1" s="1"/>
  <c r="O4615" i="1"/>
  <c r="T4615" i="1" s="1"/>
  <c r="O4616" i="1"/>
  <c r="T4616" i="1" s="1"/>
  <c r="O4617" i="1"/>
  <c r="T4617" i="1" s="1"/>
  <c r="O4618" i="1"/>
  <c r="T4618" i="1" s="1"/>
  <c r="O4619" i="1"/>
  <c r="T4619" i="1" s="1"/>
  <c r="O4620" i="1"/>
  <c r="T4620" i="1" s="1"/>
  <c r="O4621" i="1"/>
  <c r="T4621" i="1" s="1"/>
  <c r="O4622" i="1"/>
  <c r="T4622" i="1" s="1"/>
  <c r="O4623" i="1"/>
  <c r="T4623" i="1" s="1"/>
  <c r="O4624" i="1"/>
  <c r="T4624" i="1" s="1"/>
  <c r="O4625" i="1"/>
  <c r="T4625" i="1" s="1"/>
  <c r="O4626" i="1"/>
  <c r="T4626" i="1" s="1"/>
  <c r="X4626" i="1" s="1"/>
  <c r="Y4626" i="1" s="1"/>
  <c r="O4627" i="1"/>
  <c r="T4627" i="1" s="1"/>
  <c r="O4628" i="1"/>
  <c r="T4628" i="1" s="1"/>
  <c r="O4629" i="1"/>
  <c r="T4629" i="1" s="1"/>
  <c r="O4630" i="1"/>
  <c r="T4630" i="1" s="1"/>
  <c r="O4631" i="1"/>
  <c r="T4631" i="1" s="1"/>
  <c r="O4632" i="1"/>
  <c r="T4632" i="1" s="1"/>
  <c r="O4633" i="1"/>
  <c r="T4633" i="1" s="1"/>
  <c r="O4634" i="1"/>
  <c r="T4634" i="1" s="1"/>
  <c r="O4635" i="1"/>
  <c r="O4636" i="1"/>
  <c r="T4636" i="1" s="1"/>
  <c r="O4637" i="1"/>
  <c r="T4637" i="1" s="1"/>
  <c r="O4638" i="1"/>
  <c r="T4638" i="1" s="1"/>
  <c r="O4639" i="1"/>
  <c r="T4639" i="1" s="1"/>
  <c r="O4640" i="1"/>
  <c r="T4640" i="1" s="1"/>
  <c r="O4641" i="1"/>
  <c r="T4641" i="1" s="1"/>
  <c r="O4642" i="1"/>
  <c r="T4642" i="1" s="1"/>
  <c r="O4643" i="1"/>
  <c r="T4643" i="1" s="1"/>
  <c r="O4644" i="1"/>
  <c r="T4644" i="1" s="1"/>
  <c r="O4645" i="1"/>
  <c r="T4645" i="1" s="1"/>
  <c r="O4646" i="1"/>
  <c r="T4646" i="1" s="1"/>
  <c r="O4647" i="1"/>
  <c r="T4647" i="1" s="1"/>
  <c r="O4648" i="1"/>
  <c r="T4648" i="1" s="1"/>
  <c r="O4649" i="1"/>
  <c r="T4649" i="1" s="1"/>
  <c r="O4650" i="1"/>
  <c r="T4650" i="1" s="1"/>
  <c r="O4651" i="1"/>
  <c r="T4651" i="1" s="1"/>
  <c r="O4652" i="1"/>
  <c r="T4652" i="1" s="1"/>
  <c r="O4653" i="1"/>
  <c r="T4653" i="1" s="1"/>
  <c r="O4654" i="1"/>
  <c r="T4654" i="1" s="1"/>
  <c r="O4655" i="1"/>
  <c r="T4655" i="1" s="1"/>
  <c r="O4656" i="1"/>
  <c r="T4656" i="1" s="1"/>
  <c r="O4657" i="1"/>
  <c r="T4657" i="1" s="1"/>
  <c r="O4658" i="1"/>
  <c r="T4658" i="1" s="1"/>
  <c r="O4659" i="1"/>
  <c r="T4659" i="1" s="1"/>
  <c r="O4660" i="1"/>
  <c r="T4660" i="1" s="1"/>
  <c r="O4661" i="1"/>
  <c r="T4661" i="1" s="1"/>
  <c r="O4662" i="1"/>
  <c r="T4662" i="1" s="1"/>
  <c r="O4663" i="1"/>
  <c r="T4663" i="1" s="1"/>
  <c r="O4664" i="1"/>
  <c r="T4664" i="1" s="1"/>
  <c r="O4665" i="1"/>
  <c r="T4665" i="1" s="1"/>
  <c r="O4666" i="1"/>
  <c r="T4666" i="1" s="1"/>
  <c r="O4667" i="1"/>
  <c r="T4667" i="1" s="1"/>
  <c r="O4668" i="1"/>
  <c r="T4668" i="1" s="1"/>
  <c r="O4669" i="1"/>
  <c r="T4669" i="1" s="1"/>
  <c r="O4670" i="1"/>
  <c r="T4670" i="1" s="1"/>
  <c r="O4671" i="1"/>
  <c r="T4671" i="1" s="1"/>
  <c r="O4672" i="1"/>
  <c r="T4672" i="1" s="1"/>
  <c r="O4673" i="1"/>
  <c r="T4673" i="1" s="1"/>
  <c r="X4673" i="1" s="1"/>
  <c r="Y4673" i="1" s="1"/>
  <c r="O4674" i="1"/>
  <c r="T4674" i="1" s="1"/>
  <c r="O4675" i="1"/>
  <c r="T4675" i="1" s="1"/>
  <c r="O4676" i="1"/>
  <c r="T4676" i="1" s="1"/>
  <c r="O4677" i="1"/>
  <c r="T4677" i="1" s="1"/>
  <c r="O4678" i="1"/>
  <c r="T4678" i="1" s="1"/>
  <c r="O4679" i="1"/>
  <c r="T4679" i="1" s="1"/>
  <c r="O4680" i="1"/>
  <c r="T4680" i="1" s="1"/>
  <c r="O4681" i="1"/>
  <c r="T4681" i="1" s="1"/>
  <c r="O4682" i="1"/>
  <c r="T4682" i="1" s="1"/>
  <c r="O4683" i="1"/>
  <c r="T4683" i="1" s="1"/>
  <c r="O4684" i="1"/>
  <c r="T4684" i="1" s="1"/>
  <c r="O4685" i="1"/>
  <c r="T4685" i="1" s="1"/>
  <c r="O4686" i="1"/>
  <c r="T4686" i="1" s="1"/>
  <c r="O4687" i="1"/>
  <c r="T4687" i="1" s="1"/>
  <c r="O4688" i="1"/>
  <c r="T4688" i="1" s="1"/>
  <c r="O4689" i="1"/>
  <c r="T4689" i="1" s="1"/>
  <c r="O4690" i="1"/>
  <c r="T4690" i="1" s="1"/>
  <c r="O4691" i="1"/>
  <c r="T4691" i="1" s="1"/>
  <c r="O4692" i="1"/>
  <c r="T4692" i="1" s="1"/>
  <c r="O4693" i="1"/>
  <c r="T4693" i="1" s="1"/>
  <c r="O4694" i="1"/>
  <c r="T4694" i="1" s="1"/>
  <c r="O4695" i="1"/>
  <c r="T4695" i="1" s="1"/>
  <c r="O4696" i="1"/>
  <c r="T4696" i="1" s="1"/>
  <c r="O4697" i="1"/>
  <c r="T4697" i="1" s="1"/>
  <c r="O4698" i="1"/>
  <c r="T4698" i="1" s="1"/>
  <c r="X4698" i="1" s="1"/>
  <c r="Y4698" i="1" s="1"/>
  <c r="O4699" i="1"/>
  <c r="T4699" i="1" s="1"/>
  <c r="O4700" i="1"/>
  <c r="T4700" i="1" s="1"/>
  <c r="O4701" i="1"/>
  <c r="T4701" i="1" s="1"/>
  <c r="O4702" i="1"/>
  <c r="T4702" i="1" s="1"/>
  <c r="O4703" i="1"/>
  <c r="T4703" i="1" s="1"/>
  <c r="O4704" i="1"/>
  <c r="T4704" i="1" s="1"/>
  <c r="O4705" i="1"/>
  <c r="T4705" i="1" s="1"/>
  <c r="O4706" i="1"/>
  <c r="T4706" i="1" s="1"/>
  <c r="O4707" i="1"/>
  <c r="T4707" i="1" s="1"/>
  <c r="O4708" i="1"/>
  <c r="T4708" i="1" s="1"/>
  <c r="O4709" i="1"/>
  <c r="T4709" i="1" s="1"/>
  <c r="O4710" i="1"/>
  <c r="T4710" i="1" s="1"/>
  <c r="O4711" i="1"/>
  <c r="T4711" i="1" s="1"/>
  <c r="O4712" i="1"/>
  <c r="T4712" i="1" s="1"/>
  <c r="O4713" i="1"/>
  <c r="T4713" i="1" s="1"/>
  <c r="O4714" i="1"/>
  <c r="T4714" i="1" s="1"/>
  <c r="O4715" i="1"/>
  <c r="T4715" i="1" s="1"/>
  <c r="O4716" i="1"/>
  <c r="T4716" i="1" s="1"/>
  <c r="O4717" i="1"/>
  <c r="T4717" i="1" s="1"/>
  <c r="O4718" i="1"/>
  <c r="T4718" i="1" s="1"/>
  <c r="O4719" i="1"/>
  <c r="O4720" i="1"/>
  <c r="T4720" i="1" s="1"/>
  <c r="O4721" i="1"/>
  <c r="T4721" i="1" s="1"/>
  <c r="O4722" i="1"/>
  <c r="T4722" i="1" s="1"/>
  <c r="O4723" i="1"/>
  <c r="T4723" i="1" s="1"/>
  <c r="O4724" i="1"/>
  <c r="T4724" i="1" s="1"/>
  <c r="O4725" i="1"/>
  <c r="T4725" i="1" s="1"/>
  <c r="O4726" i="1"/>
  <c r="T4726" i="1" s="1"/>
  <c r="O4727" i="1"/>
  <c r="T4727" i="1" s="1"/>
  <c r="O4728" i="1"/>
  <c r="T4728" i="1" s="1"/>
  <c r="O4729" i="1"/>
  <c r="T4729" i="1" s="1"/>
  <c r="O4730" i="1"/>
  <c r="T4730" i="1" s="1"/>
  <c r="O4731" i="1"/>
  <c r="T4731" i="1" s="1"/>
  <c r="O4732" i="1"/>
  <c r="T4732" i="1" s="1"/>
  <c r="O4733" i="1"/>
  <c r="T4733" i="1" s="1"/>
  <c r="O4734" i="1"/>
  <c r="T4734" i="1" s="1"/>
  <c r="O4735" i="1"/>
  <c r="T4735" i="1" s="1"/>
  <c r="O4736" i="1"/>
  <c r="T4736" i="1" s="1"/>
  <c r="O4737" i="1"/>
  <c r="T4737" i="1" s="1"/>
  <c r="O4738" i="1"/>
  <c r="T4738" i="1" s="1"/>
  <c r="O4739" i="1"/>
  <c r="T4739" i="1" s="1"/>
  <c r="O4740" i="1"/>
  <c r="T4740" i="1" s="1"/>
  <c r="O4741" i="1"/>
  <c r="T4741" i="1" s="1"/>
  <c r="O4742" i="1"/>
  <c r="T4742" i="1" s="1"/>
  <c r="O4743" i="1"/>
  <c r="T4743" i="1" s="1"/>
  <c r="O4744" i="1"/>
  <c r="T4744" i="1" s="1"/>
  <c r="O4745" i="1"/>
  <c r="T4745" i="1" s="1"/>
  <c r="X4745" i="1" s="1"/>
  <c r="Y4745" i="1" s="1"/>
  <c r="O4746" i="1"/>
  <c r="T4746" i="1" s="1"/>
  <c r="O4747" i="1"/>
  <c r="T4747" i="1" s="1"/>
  <c r="O4748" i="1"/>
  <c r="T4748" i="1" s="1"/>
  <c r="O4749" i="1"/>
  <c r="T4749" i="1" s="1"/>
  <c r="O4750" i="1"/>
  <c r="T4750" i="1" s="1"/>
  <c r="O4751" i="1"/>
  <c r="T4751" i="1" s="1"/>
  <c r="O4752" i="1"/>
  <c r="T4752" i="1" s="1"/>
  <c r="O4753" i="1"/>
  <c r="T4753" i="1" s="1"/>
  <c r="O4754" i="1"/>
  <c r="T4754" i="1" s="1"/>
  <c r="O4755" i="1"/>
  <c r="T4755" i="1" s="1"/>
  <c r="O4756" i="1"/>
  <c r="T4756" i="1" s="1"/>
  <c r="O4757" i="1"/>
  <c r="T4757" i="1" s="1"/>
  <c r="O4758" i="1"/>
  <c r="T4758" i="1" s="1"/>
  <c r="O4759" i="1"/>
  <c r="T4759" i="1" s="1"/>
  <c r="O4760" i="1"/>
  <c r="T4760" i="1" s="1"/>
  <c r="O4761" i="1"/>
  <c r="T4761" i="1" s="1"/>
  <c r="O4762" i="1"/>
  <c r="T4762" i="1" s="1"/>
  <c r="O4763" i="1"/>
  <c r="T4763" i="1" s="1"/>
  <c r="O4764" i="1"/>
  <c r="T4764" i="1" s="1"/>
  <c r="O4765" i="1"/>
  <c r="T4765" i="1" s="1"/>
  <c r="O4766" i="1"/>
  <c r="T4766" i="1" s="1"/>
  <c r="O4767" i="1"/>
  <c r="T4767" i="1" s="1"/>
  <c r="O4768" i="1"/>
  <c r="T4768" i="1" s="1"/>
  <c r="O4769" i="1"/>
  <c r="T4769" i="1" s="1"/>
  <c r="O4770" i="1"/>
  <c r="T4770" i="1" s="1"/>
  <c r="X4770" i="1" s="1"/>
  <c r="Y4770" i="1" s="1"/>
  <c r="O4771" i="1"/>
  <c r="T4771" i="1" s="1"/>
  <c r="O4772" i="1"/>
  <c r="T4772" i="1" s="1"/>
  <c r="O4773" i="1"/>
  <c r="T4773" i="1" s="1"/>
  <c r="O4774" i="1"/>
  <c r="T4774" i="1" s="1"/>
  <c r="O4775" i="1"/>
  <c r="T4775" i="1" s="1"/>
  <c r="O4776" i="1"/>
  <c r="T4776" i="1" s="1"/>
  <c r="O4777" i="1"/>
  <c r="T4777" i="1" s="1"/>
  <c r="O4778" i="1"/>
  <c r="T4778" i="1" s="1"/>
  <c r="O4779" i="1"/>
  <c r="T4779" i="1" s="1"/>
  <c r="O4780" i="1"/>
  <c r="O4781" i="1"/>
  <c r="T4781" i="1" s="1"/>
  <c r="O4782" i="1"/>
  <c r="T4782" i="1" s="1"/>
  <c r="O4783" i="1"/>
  <c r="T4783" i="1" s="1"/>
  <c r="O4784" i="1"/>
  <c r="T4784" i="1" s="1"/>
  <c r="O4785" i="1"/>
  <c r="T4785" i="1" s="1"/>
  <c r="O4786" i="1"/>
  <c r="T4786" i="1" s="1"/>
  <c r="O4787" i="1"/>
  <c r="T4787" i="1" s="1"/>
  <c r="O4788" i="1"/>
  <c r="T4788" i="1" s="1"/>
  <c r="O4789" i="1"/>
  <c r="T4789" i="1" s="1"/>
  <c r="O4790" i="1"/>
  <c r="T4790" i="1" s="1"/>
  <c r="O4791" i="1"/>
  <c r="T4791" i="1" s="1"/>
  <c r="O4792" i="1"/>
  <c r="T4792" i="1" s="1"/>
  <c r="O4793" i="1"/>
  <c r="T4793" i="1" s="1"/>
  <c r="O4794" i="1"/>
  <c r="T4794" i="1" s="1"/>
  <c r="O4795" i="1"/>
  <c r="T4795" i="1" s="1"/>
  <c r="O4796" i="1"/>
  <c r="T4796" i="1" s="1"/>
  <c r="O4797" i="1"/>
  <c r="T4797" i="1" s="1"/>
  <c r="O4798" i="1"/>
  <c r="T4798" i="1" s="1"/>
  <c r="O4799" i="1"/>
  <c r="T4799" i="1" s="1"/>
  <c r="O4800" i="1"/>
  <c r="T4800" i="1" s="1"/>
  <c r="O4801" i="1"/>
  <c r="T4801" i="1" s="1"/>
  <c r="O4802" i="1"/>
  <c r="T4802" i="1" s="1"/>
  <c r="O4803" i="1"/>
  <c r="T4803" i="1" s="1"/>
  <c r="O4804" i="1"/>
  <c r="T4804" i="1" s="1"/>
  <c r="O4805" i="1"/>
  <c r="T4805" i="1" s="1"/>
  <c r="O4806" i="1"/>
  <c r="T4806" i="1" s="1"/>
  <c r="O4807" i="1"/>
  <c r="T4807" i="1" s="1"/>
  <c r="O4808" i="1"/>
  <c r="T4808" i="1" s="1"/>
  <c r="O4809" i="1"/>
  <c r="T4809" i="1" s="1"/>
  <c r="O4810" i="1"/>
  <c r="T4810" i="1" s="1"/>
  <c r="O4811" i="1"/>
  <c r="T4811" i="1" s="1"/>
  <c r="O4812" i="1"/>
  <c r="T4812" i="1" s="1"/>
  <c r="O4813" i="1"/>
  <c r="T4813" i="1" s="1"/>
  <c r="O4814" i="1"/>
  <c r="T4814" i="1" s="1"/>
  <c r="O4815" i="1"/>
  <c r="T4815" i="1" s="1"/>
  <c r="O4816" i="1"/>
  <c r="T4816" i="1" s="1"/>
  <c r="O4817" i="1"/>
  <c r="T4817" i="1" s="1"/>
  <c r="X4817" i="1" s="1"/>
  <c r="Y4817" i="1" s="1"/>
  <c r="O4818" i="1"/>
  <c r="T4818" i="1" s="1"/>
  <c r="O4819" i="1"/>
  <c r="T4819" i="1" s="1"/>
  <c r="O4820" i="1"/>
  <c r="T4820" i="1" s="1"/>
  <c r="O4821" i="1"/>
  <c r="T4821" i="1" s="1"/>
  <c r="O4822" i="1"/>
  <c r="T4822" i="1" s="1"/>
  <c r="O4823" i="1"/>
  <c r="T4823" i="1" s="1"/>
  <c r="O4824" i="1"/>
  <c r="T4824" i="1" s="1"/>
  <c r="O4825" i="1"/>
  <c r="T4825" i="1" s="1"/>
  <c r="O4826" i="1"/>
  <c r="T4826" i="1" s="1"/>
  <c r="O4827" i="1"/>
  <c r="T4827" i="1" s="1"/>
  <c r="O4828" i="1"/>
  <c r="O4829" i="1"/>
  <c r="T4829" i="1" s="1"/>
  <c r="O4830" i="1"/>
  <c r="T4830" i="1" s="1"/>
  <c r="O4831" i="1"/>
  <c r="T4831" i="1" s="1"/>
  <c r="O4832" i="1"/>
  <c r="T4832" i="1" s="1"/>
  <c r="O4833" i="1"/>
  <c r="T4833" i="1" s="1"/>
  <c r="O4834" i="1"/>
  <c r="T4834" i="1" s="1"/>
  <c r="O4835" i="1"/>
  <c r="T4835" i="1" s="1"/>
  <c r="O4836" i="1"/>
  <c r="T4836" i="1" s="1"/>
  <c r="O4837" i="1"/>
  <c r="T4837" i="1" s="1"/>
  <c r="O4838" i="1"/>
  <c r="T4838" i="1" s="1"/>
  <c r="O4839" i="1"/>
  <c r="T4839" i="1" s="1"/>
  <c r="O4840" i="1"/>
  <c r="T4840" i="1" s="1"/>
  <c r="O4841" i="1"/>
  <c r="T4841" i="1" s="1"/>
  <c r="O4842" i="1"/>
  <c r="T4842" i="1" s="1"/>
  <c r="X4842" i="1" s="1"/>
  <c r="Y4842" i="1" s="1"/>
  <c r="O4843" i="1"/>
  <c r="T4843" i="1" s="1"/>
  <c r="O4844" i="1"/>
  <c r="T4844" i="1" s="1"/>
  <c r="O4845" i="1"/>
  <c r="T4845" i="1" s="1"/>
  <c r="O4846" i="1"/>
  <c r="T4846" i="1" s="1"/>
  <c r="O4847" i="1"/>
  <c r="T4847" i="1" s="1"/>
  <c r="O4848" i="1"/>
  <c r="T4848" i="1" s="1"/>
  <c r="O4849" i="1"/>
  <c r="T4849" i="1" s="1"/>
  <c r="O4850" i="1"/>
  <c r="T4850" i="1" s="1"/>
  <c r="O4851" i="1"/>
  <c r="T4851" i="1" s="1"/>
  <c r="O4852" i="1"/>
  <c r="T4852" i="1" s="1"/>
  <c r="O4853" i="1"/>
  <c r="T4853" i="1" s="1"/>
  <c r="O4854" i="1"/>
  <c r="T4854" i="1" s="1"/>
  <c r="O4855" i="1"/>
  <c r="T4855" i="1" s="1"/>
  <c r="O4856" i="1"/>
  <c r="T4856" i="1" s="1"/>
  <c r="O4857" i="1"/>
  <c r="T4857" i="1" s="1"/>
  <c r="O4858" i="1"/>
  <c r="T4858" i="1" s="1"/>
  <c r="O4859" i="1"/>
  <c r="T4859" i="1" s="1"/>
  <c r="O4860" i="1"/>
  <c r="T4860" i="1" s="1"/>
  <c r="O4861" i="1"/>
  <c r="T4861" i="1" s="1"/>
  <c r="O4862" i="1"/>
  <c r="T4862" i="1" s="1"/>
  <c r="O4863" i="1"/>
  <c r="T4863" i="1" s="1"/>
  <c r="O4864" i="1"/>
  <c r="T4864" i="1" s="1"/>
  <c r="O4865" i="1"/>
  <c r="T4865" i="1" s="1"/>
  <c r="O4866" i="1"/>
  <c r="T4866" i="1" s="1"/>
  <c r="O4867" i="1"/>
  <c r="T4867" i="1" s="1"/>
  <c r="O4868" i="1"/>
  <c r="T4868" i="1" s="1"/>
  <c r="O4869" i="1"/>
  <c r="T4869" i="1" s="1"/>
  <c r="O4870" i="1"/>
  <c r="T4870" i="1" s="1"/>
  <c r="O4871" i="1"/>
  <c r="T4871" i="1" s="1"/>
  <c r="O4872" i="1"/>
  <c r="T4872" i="1" s="1"/>
  <c r="O4873" i="1"/>
  <c r="T4873" i="1" s="1"/>
  <c r="O4874" i="1"/>
  <c r="T4874" i="1" s="1"/>
  <c r="O4875" i="1"/>
  <c r="T4875" i="1" s="1"/>
  <c r="O4876" i="1"/>
  <c r="O4877" i="1"/>
  <c r="T4877" i="1" s="1"/>
  <c r="O4878" i="1"/>
  <c r="T4878" i="1" s="1"/>
  <c r="O4879" i="1"/>
  <c r="T4879" i="1" s="1"/>
  <c r="O4880" i="1"/>
  <c r="T4880" i="1" s="1"/>
  <c r="O4881" i="1"/>
  <c r="T4881" i="1" s="1"/>
  <c r="O4882" i="1"/>
  <c r="T4882" i="1" s="1"/>
  <c r="O4883" i="1"/>
  <c r="T4883" i="1" s="1"/>
  <c r="O4884" i="1"/>
  <c r="T4884" i="1" s="1"/>
  <c r="O4885" i="1"/>
  <c r="T4885" i="1" s="1"/>
  <c r="O4886" i="1"/>
  <c r="T4886" i="1" s="1"/>
  <c r="O4887" i="1"/>
  <c r="T4887" i="1" s="1"/>
  <c r="O4888" i="1"/>
  <c r="T4888" i="1" s="1"/>
  <c r="O4889" i="1"/>
  <c r="T4889" i="1" s="1"/>
  <c r="X4889" i="1" s="1"/>
  <c r="Y4889" i="1" s="1"/>
  <c r="O4890" i="1"/>
  <c r="T4890" i="1" s="1"/>
  <c r="O4891" i="1"/>
  <c r="T4891" i="1" s="1"/>
  <c r="O4892" i="1"/>
  <c r="T4892" i="1" s="1"/>
  <c r="O4893" i="1"/>
  <c r="T4893" i="1" s="1"/>
  <c r="O4894" i="1"/>
  <c r="T4894" i="1" s="1"/>
  <c r="O4895" i="1"/>
  <c r="T4895" i="1" s="1"/>
  <c r="O4896" i="1"/>
  <c r="T4896" i="1" s="1"/>
  <c r="O4897" i="1"/>
  <c r="T4897" i="1" s="1"/>
  <c r="O4898" i="1"/>
  <c r="T4898" i="1" s="1"/>
  <c r="O4899" i="1"/>
  <c r="T4899" i="1" s="1"/>
  <c r="O4900" i="1"/>
  <c r="T4900" i="1" s="1"/>
  <c r="O4901" i="1"/>
  <c r="T4901" i="1" s="1"/>
  <c r="O4902" i="1"/>
  <c r="T4902" i="1" s="1"/>
  <c r="O4903" i="1"/>
  <c r="T4903" i="1" s="1"/>
  <c r="O4904" i="1"/>
  <c r="T4904" i="1" s="1"/>
  <c r="O4905" i="1"/>
  <c r="T4905" i="1" s="1"/>
  <c r="O4906" i="1"/>
  <c r="T4906" i="1" s="1"/>
  <c r="O4907" i="1"/>
  <c r="T4907" i="1" s="1"/>
  <c r="O4908" i="1"/>
  <c r="T4908" i="1" s="1"/>
  <c r="O4909" i="1"/>
  <c r="T4909" i="1" s="1"/>
  <c r="O4910" i="1"/>
  <c r="T4910" i="1" s="1"/>
  <c r="O4911" i="1"/>
  <c r="T4911" i="1" s="1"/>
  <c r="O4912" i="1"/>
  <c r="T4912" i="1" s="1"/>
  <c r="O4913" i="1"/>
  <c r="T4913" i="1" s="1"/>
  <c r="O4914" i="1"/>
  <c r="T4914" i="1" s="1"/>
  <c r="X4914" i="1" s="1"/>
  <c r="Y4914" i="1" s="1"/>
  <c r="O4915" i="1"/>
  <c r="T4915" i="1" s="1"/>
  <c r="O4916" i="1"/>
  <c r="T4916" i="1" s="1"/>
  <c r="O4917" i="1"/>
  <c r="T4917" i="1" s="1"/>
  <c r="O4918" i="1"/>
  <c r="T4918" i="1" s="1"/>
  <c r="O4919" i="1"/>
  <c r="T4919" i="1" s="1"/>
  <c r="O4920" i="1"/>
  <c r="T4920" i="1" s="1"/>
  <c r="O4921" i="1"/>
  <c r="T4921" i="1" s="1"/>
  <c r="O4922" i="1"/>
  <c r="T4922" i="1" s="1"/>
  <c r="O4923" i="1"/>
  <c r="T4923" i="1" s="1"/>
  <c r="O4924" i="1"/>
  <c r="O4925" i="1"/>
  <c r="T4925" i="1" s="1"/>
  <c r="O4926" i="1"/>
  <c r="T4926" i="1" s="1"/>
  <c r="O4927" i="1"/>
  <c r="T4927" i="1" s="1"/>
  <c r="O4928" i="1"/>
  <c r="T4928" i="1" s="1"/>
  <c r="O4929" i="1"/>
  <c r="T4929" i="1" s="1"/>
  <c r="O4930" i="1"/>
  <c r="T4930" i="1" s="1"/>
  <c r="O4931" i="1"/>
  <c r="T4931" i="1" s="1"/>
  <c r="O4932" i="1"/>
  <c r="T4932" i="1" s="1"/>
  <c r="O4933" i="1"/>
  <c r="T4933" i="1" s="1"/>
  <c r="O4934" i="1"/>
  <c r="T4934" i="1" s="1"/>
  <c r="O4935" i="1"/>
  <c r="T4935" i="1" s="1"/>
  <c r="O4936" i="1"/>
  <c r="T4936" i="1" s="1"/>
  <c r="O4937" i="1"/>
  <c r="T4937" i="1" s="1"/>
  <c r="O4938" i="1"/>
  <c r="T4938" i="1" s="1"/>
  <c r="O4939" i="1"/>
  <c r="T4939" i="1" s="1"/>
  <c r="O4940" i="1"/>
  <c r="T4940" i="1" s="1"/>
  <c r="O4941" i="1"/>
  <c r="T4941" i="1" s="1"/>
  <c r="O4942" i="1"/>
  <c r="T4942" i="1" s="1"/>
  <c r="O4943" i="1"/>
  <c r="T4943" i="1" s="1"/>
  <c r="O4944" i="1"/>
  <c r="T4944" i="1" s="1"/>
  <c r="O4945" i="1"/>
  <c r="T4945" i="1" s="1"/>
  <c r="O4946" i="1"/>
  <c r="T4946" i="1" s="1"/>
  <c r="O4947" i="1"/>
  <c r="T4947" i="1" s="1"/>
  <c r="O4948" i="1"/>
  <c r="T4948" i="1" s="1"/>
  <c r="O4949" i="1"/>
  <c r="T4949" i="1" s="1"/>
  <c r="O4950" i="1"/>
  <c r="T4950" i="1" s="1"/>
  <c r="O4951" i="1"/>
  <c r="T4951" i="1" s="1"/>
  <c r="O4952" i="1"/>
  <c r="T4952" i="1" s="1"/>
  <c r="O4953" i="1"/>
  <c r="T4953" i="1" s="1"/>
  <c r="O4954" i="1"/>
  <c r="T4954" i="1" s="1"/>
  <c r="O4955" i="1"/>
  <c r="T4955" i="1" s="1"/>
  <c r="O4956" i="1"/>
  <c r="T4956" i="1" s="1"/>
  <c r="O4957" i="1"/>
  <c r="T4957" i="1" s="1"/>
  <c r="O4958" i="1"/>
  <c r="T4958" i="1" s="1"/>
  <c r="O4959" i="1"/>
  <c r="T4959" i="1" s="1"/>
  <c r="O4960" i="1"/>
  <c r="T4960" i="1" s="1"/>
  <c r="O4961" i="1"/>
  <c r="T4961" i="1" s="1"/>
  <c r="O4962" i="1"/>
  <c r="T4962" i="1" s="1"/>
  <c r="O4963" i="1"/>
  <c r="T4963" i="1" s="1"/>
  <c r="O4964" i="1"/>
  <c r="T4964" i="1" s="1"/>
  <c r="O4965" i="1"/>
  <c r="T4965" i="1" s="1"/>
  <c r="O4966" i="1"/>
  <c r="T4966" i="1" s="1"/>
  <c r="O4967" i="1"/>
  <c r="T4967" i="1" s="1"/>
  <c r="O4968" i="1"/>
  <c r="T4968" i="1" s="1"/>
  <c r="O4969" i="1"/>
  <c r="T4969" i="1" s="1"/>
  <c r="O4970" i="1"/>
  <c r="T4970" i="1" s="1"/>
  <c r="O4971" i="1"/>
  <c r="T4971" i="1" s="1"/>
  <c r="O4972" i="1"/>
  <c r="O4973" i="1"/>
  <c r="T4973" i="1" s="1"/>
  <c r="O4974" i="1"/>
  <c r="T4974" i="1" s="1"/>
  <c r="O4975" i="1"/>
  <c r="T4975" i="1" s="1"/>
  <c r="O4976" i="1"/>
  <c r="T4976" i="1" s="1"/>
  <c r="O4977" i="1"/>
  <c r="T4977" i="1" s="1"/>
  <c r="O4978" i="1"/>
  <c r="T4978" i="1" s="1"/>
  <c r="O4979" i="1"/>
  <c r="T4979" i="1" s="1"/>
  <c r="O4980" i="1"/>
  <c r="T4980" i="1" s="1"/>
  <c r="O4981" i="1"/>
  <c r="T4981" i="1" s="1"/>
  <c r="O4982" i="1"/>
  <c r="T4982" i="1" s="1"/>
  <c r="O4983" i="1"/>
  <c r="T4983" i="1" s="1"/>
  <c r="O4984" i="1"/>
  <c r="T4984" i="1" s="1"/>
  <c r="O4985" i="1"/>
  <c r="T4985" i="1" s="1"/>
  <c r="O4986" i="1"/>
  <c r="T4986" i="1" s="1"/>
  <c r="O4987" i="1"/>
  <c r="T4987" i="1" s="1"/>
  <c r="O4988" i="1"/>
  <c r="T4988" i="1" s="1"/>
  <c r="O4989" i="1"/>
  <c r="T4989" i="1" s="1"/>
  <c r="O4990" i="1"/>
  <c r="T4990" i="1" s="1"/>
  <c r="O4991" i="1"/>
  <c r="T4991" i="1" s="1"/>
  <c r="O4992" i="1"/>
  <c r="T4992" i="1" s="1"/>
  <c r="O4993" i="1"/>
  <c r="T4993" i="1" s="1"/>
  <c r="O4994" i="1"/>
  <c r="T4994" i="1" s="1"/>
  <c r="O4995" i="1"/>
  <c r="T4995" i="1" s="1"/>
  <c r="O4996" i="1"/>
  <c r="T4996" i="1" s="1"/>
  <c r="O4997" i="1"/>
  <c r="T4997" i="1" s="1"/>
  <c r="O4998" i="1"/>
  <c r="T4998" i="1" s="1"/>
  <c r="O4999" i="1"/>
  <c r="T4999" i="1" s="1"/>
  <c r="O5000" i="1"/>
  <c r="T5000" i="1" s="1"/>
  <c r="O5001" i="1"/>
  <c r="T5001" i="1" s="1"/>
  <c r="O5002" i="1"/>
  <c r="T5002" i="1" s="1"/>
  <c r="O5003" i="1"/>
  <c r="T5003" i="1" s="1"/>
  <c r="O5004" i="1"/>
  <c r="T5004" i="1" s="1"/>
  <c r="O5005" i="1"/>
  <c r="T5005" i="1" s="1"/>
  <c r="O5006" i="1"/>
  <c r="T5006" i="1" s="1"/>
  <c r="O5007" i="1"/>
  <c r="T5007" i="1" s="1"/>
  <c r="O5008" i="1"/>
  <c r="T5008" i="1" s="1"/>
  <c r="O5009" i="1"/>
  <c r="T5009" i="1" s="1"/>
  <c r="O5010" i="1"/>
  <c r="T5010" i="1" s="1"/>
  <c r="O5011" i="1"/>
  <c r="T5011" i="1" s="1"/>
  <c r="O5012" i="1"/>
  <c r="T5012" i="1" s="1"/>
  <c r="O5013" i="1"/>
  <c r="T5013" i="1" s="1"/>
  <c r="O5014" i="1"/>
  <c r="T5014" i="1" s="1"/>
  <c r="O5015" i="1"/>
  <c r="T5015" i="1" s="1"/>
  <c r="O5016" i="1"/>
  <c r="T5016" i="1" s="1"/>
  <c r="O5017" i="1"/>
  <c r="T5017" i="1" s="1"/>
  <c r="O5018" i="1"/>
  <c r="T5018" i="1" s="1"/>
  <c r="O5019" i="1"/>
  <c r="T5019" i="1" s="1"/>
  <c r="O5020" i="1"/>
  <c r="O5021" i="1"/>
  <c r="T5021" i="1" s="1"/>
  <c r="O5022" i="1"/>
  <c r="T5022" i="1" s="1"/>
  <c r="O5023" i="1"/>
  <c r="T5023" i="1" s="1"/>
  <c r="O5024" i="1"/>
  <c r="T5024" i="1" s="1"/>
  <c r="O5025" i="1"/>
  <c r="T5025" i="1" s="1"/>
  <c r="O5026" i="1"/>
  <c r="T5026" i="1" s="1"/>
  <c r="O5027" i="1"/>
  <c r="T5027" i="1" s="1"/>
  <c r="O5028" i="1"/>
  <c r="T5028" i="1" s="1"/>
  <c r="O5029" i="1"/>
  <c r="T5029" i="1" s="1"/>
  <c r="O5030" i="1"/>
  <c r="T5030" i="1" s="1"/>
  <c r="O5031" i="1"/>
  <c r="T5031" i="1" s="1"/>
  <c r="O5032" i="1"/>
  <c r="T5032" i="1" s="1"/>
  <c r="X5032" i="1" s="1"/>
  <c r="Y5032" i="1" s="1"/>
  <c r="O5033" i="1"/>
  <c r="T5033" i="1" s="1"/>
  <c r="O5034" i="1"/>
  <c r="T5034" i="1" s="1"/>
  <c r="O5035" i="1"/>
  <c r="T5035" i="1" s="1"/>
  <c r="O5036" i="1"/>
  <c r="T5036" i="1" s="1"/>
  <c r="O5037" i="1"/>
  <c r="T5037" i="1" s="1"/>
  <c r="O5038" i="1"/>
  <c r="T5038" i="1" s="1"/>
  <c r="O5039" i="1"/>
  <c r="T5039" i="1" s="1"/>
  <c r="O5040" i="1"/>
  <c r="T5040" i="1" s="1"/>
  <c r="O5041" i="1"/>
  <c r="T5041" i="1" s="1"/>
  <c r="O5042" i="1"/>
  <c r="T5042" i="1" s="1"/>
  <c r="O5043" i="1"/>
  <c r="T5043" i="1" s="1"/>
  <c r="O5044" i="1"/>
  <c r="T5044" i="1" s="1"/>
  <c r="O5045" i="1"/>
  <c r="T5045" i="1" s="1"/>
  <c r="O5046" i="1"/>
  <c r="T5046" i="1" s="1"/>
  <c r="O5047" i="1"/>
  <c r="T5047" i="1" s="1"/>
  <c r="O5048" i="1"/>
  <c r="T5048" i="1" s="1"/>
  <c r="O5049" i="1"/>
  <c r="T5049" i="1" s="1"/>
  <c r="O5050" i="1"/>
  <c r="T5050" i="1" s="1"/>
  <c r="O5051" i="1"/>
  <c r="T5051" i="1" s="1"/>
  <c r="O5052" i="1"/>
  <c r="T5052" i="1" s="1"/>
  <c r="O5053" i="1"/>
  <c r="T5053" i="1" s="1"/>
  <c r="O5054" i="1"/>
  <c r="T5054" i="1" s="1"/>
  <c r="O5055" i="1"/>
  <c r="T5055" i="1" s="1"/>
  <c r="O5056" i="1"/>
  <c r="T5056" i="1" s="1"/>
  <c r="O5057" i="1"/>
  <c r="T5057" i="1" s="1"/>
  <c r="O5058" i="1"/>
  <c r="T5058" i="1" s="1"/>
  <c r="O5059" i="1"/>
  <c r="T5059" i="1" s="1"/>
  <c r="O5060" i="1"/>
  <c r="T5060" i="1" s="1"/>
  <c r="O5061" i="1"/>
  <c r="T5061" i="1" s="1"/>
  <c r="O5062" i="1"/>
  <c r="T5062" i="1" s="1"/>
  <c r="O5063" i="1"/>
  <c r="T5063" i="1" s="1"/>
  <c r="O5064" i="1"/>
  <c r="T5064" i="1" s="1"/>
  <c r="O5065" i="1"/>
  <c r="T5065" i="1" s="1"/>
  <c r="O5066" i="1"/>
  <c r="T5066" i="1" s="1"/>
  <c r="O5067" i="1"/>
  <c r="T5067" i="1" s="1"/>
  <c r="O5068" i="1"/>
  <c r="O5069" i="1"/>
  <c r="T5069" i="1" s="1"/>
  <c r="O5070" i="1"/>
  <c r="T5070" i="1" s="1"/>
  <c r="O5071" i="1"/>
  <c r="T5071" i="1" s="1"/>
  <c r="O5072" i="1"/>
  <c r="T5072" i="1" s="1"/>
  <c r="O5073" i="1"/>
  <c r="T5073" i="1" s="1"/>
  <c r="O5074" i="1"/>
  <c r="T5074" i="1" s="1"/>
  <c r="O5075" i="1"/>
  <c r="T5075" i="1" s="1"/>
  <c r="O5076" i="1"/>
  <c r="T5076" i="1" s="1"/>
  <c r="O5077" i="1"/>
  <c r="T5077" i="1" s="1"/>
  <c r="O5078" i="1"/>
  <c r="T5078" i="1" s="1"/>
  <c r="O5079" i="1"/>
  <c r="T5079" i="1" s="1"/>
  <c r="O5080" i="1"/>
  <c r="T5080" i="1" s="1"/>
  <c r="O5081" i="1"/>
  <c r="T5081" i="1" s="1"/>
  <c r="O5082" i="1"/>
  <c r="T5082" i="1" s="1"/>
  <c r="O5083" i="1"/>
  <c r="T5083" i="1" s="1"/>
  <c r="O5084" i="1"/>
  <c r="T5084" i="1" s="1"/>
  <c r="O5085" i="1"/>
  <c r="T5085" i="1" s="1"/>
  <c r="O5086" i="1"/>
  <c r="T5086" i="1" s="1"/>
  <c r="O5087" i="1"/>
  <c r="T5087" i="1" s="1"/>
  <c r="O5088" i="1"/>
  <c r="T5088" i="1" s="1"/>
  <c r="O5089" i="1"/>
  <c r="T5089" i="1" s="1"/>
  <c r="O5090" i="1"/>
  <c r="T5090" i="1" s="1"/>
  <c r="O5091" i="1"/>
  <c r="T5091" i="1" s="1"/>
  <c r="O5092" i="1"/>
  <c r="T5092" i="1" s="1"/>
  <c r="O5093" i="1"/>
  <c r="T5093" i="1" s="1"/>
  <c r="O5094" i="1"/>
  <c r="T5094" i="1" s="1"/>
  <c r="O5095" i="1"/>
  <c r="T5095" i="1" s="1"/>
  <c r="O5096" i="1"/>
  <c r="T5096" i="1" s="1"/>
  <c r="O5097" i="1"/>
  <c r="T5097" i="1" s="1"/>
  <c r="X5097" i="1" s="1"/>
  <c r="Y5097" i="1" s="1"/>
  <c r="O5098" i="1"/>
  <c r="T5098" i="1" s="1"/>
  <c r="O5099" i="1"/>
  <c r="T5099" i="1" s="1"/>
  <c r="O5100" i="1"/>
  <c r="T5100" i="1" s="1"/>
  <c r="O5101" i="1"/>
  <c r="T5101" i="1" s="1"/>
  <c r="O5102" i="1"/>
  <c r="T5102" i="1" s="1"/>
  <c r="O5103" i="1"/>
  <c r="T5103" i="1" s="1"/>
  <c r="O5104" i="1"/>
  <c r="T5104" i="1" s="1"/>
  <c r="O5105" i="1"/>
  <c r="T5105" i="1" s="1"/>
  <c r="O5106" i="1"/>
  <c r="T5106" i="1" s="1"/>
  <c r="O5107" i="1"/>
  <c r="T5107" i="1" s="1"/>
  <c r="O5108" i="1"/>
  <c r="T5108" i="1" s="1"/>
  <c r="O5109" i="1"/>
  <c r="T5109" i="1" s="1"/>
  <c r="O5110" i="1"/>
  <c r="T5110" i="1" s="1"/>
  <c r="O5111" i="1"/>
  <c r="T5111" i="1" s="1"/>
  <c r="O5112" i="1"/>
  <c r="T5112" i="1" s="1"/>
  <c r="O5113" i="1"/>
  <c r="T5113" i="1" s="1"/>
  <c r="O5114" i="1"/>
  <c r="T5114" i="1" s="1"/>
  <c r="O5115" i="1"/>
  <c r="T5115" i="1" s="1"/>
  <c r="O5116" i="1"/>
  <c r="O5117" i="1"/>
  <c r="T5117" i="1" s="1"/>
  <c r="O5118" i="1"/>
  <c r="T5118" i="1" s="1"/>
  <c r="O5119" i="1"/>
  <c r="T5119" i="1" s="1"/>
  <c r="O5120" i="1"/>
  <c r="T5120" i="1" s="1"/>
  <c r="O5121" i="1"/>
  <c r="T5121" i="1" s="1"/>
  <c r="O5122" i="1"/>
  <c r="T5122" i="1" s="1"/>
  <c r="O5123" i="1"/>
  <c r="T5123" i="1" s="1"/>
  <c r="O5124" i="1"/>
  <c r="T5124" i="1" s="1"/>
  <c r="O5125" i="1"/>
  <c r="T5125" i="1" s="1"/>
  <c r="O5126" i="1"/>
  <c r="T5126" i="1" s="1"/>
  <c r="O5127" i="1"/>
  <c r="T5127" i="1" s="1"/>
  <c r="O5128" i="1"/>
  <c r="T5128" i="1" s="1"/>
  <c r="O5129" i="1"/>
  <c r="T5129" i="1" s="1"/>
  <c r="O5130" i="1"/>
  <c r="T5130" i="1" s="1"/>
  <c r="O5131" i="1"/>
  <c r="T5131" i="1" s="1"/>
  <c r="O5132" i="1"/>
  <c r="T5132" i="1" s="1"/>
  <c r="O5133" i="1"/>
  <c r="T5133" i="1" s="1"/>
  <c r="X5133" i="1" s="1"/>
  <c r="Y5133" i="1" s="1"/>
  <c r="O5134" i="1"/>
  <c r="T5134" i="1" s="1"/>
  <c r="O5135" i="1"/>
  <c r="T5135" i="1" s="1"/>
  <c r="O5136" i="1"/>
  <c r="T5136" i="1" s="1"/>
  <c r="O5137" i="1"/>
  <c r="T5137" i="1" s="1"/>
  <c r="O5138" i="1"/>
  <c r="T5138" i="1" s="1"/>
  <c r="O5139" i="1"/>
  <c r="T5139" i="1" s="1"/>
  <c r="O5140" i="1"/>
  <c r="T5140" i="1" s="1"/>
  <c r="O5141" i="1"/>
  <c r="T5141" i="1" s="1"/>
  <c r="O5142" i="1"/>
  <c r="T5142" i="1" s="1"/>
  <c r="O5143" i="1"/>
  <c r="T5143" i="1" s="1"/>
  <c r="O5144" i="1"/>
  <c r="T5144" i="1" s="1"/>
  <c r="O5145" i="1"/>
  <c r="T5145" i="1" s="1"/>
  <c r="O5146" i="1"/>
  <c r="T5146" i="1" s="1"/>
  <c r="O5147" i="1"/>
  <c r="T5147" i="1" s="1"/>
  <c r="O5148" i="1"/>
  <c r="T5148" i="1" s="1"/>
  <c r="O5149" i="1"/>
  <c r="T5149" i="1" s="1"/>
  <c r="O5150" i="1"/>
  <c r="T5150" i="1" s="1"/>
  <c r="O5151" i="1"/>
  <c r="T5151" i="1" s="1"/>
  <c r="O5152" i="1"/>
  <c r="T5152" i="1" s="1"/>
  <c r="X5152" i="1" s="1"/>
  <c r="Y5152" i="1" s="1"/>
  <c r="O5153" i="1"/>
  <c r="T5153" i="1" s="1"/>
  <c r="O5154" i="1"/>
  <c r="T5154" i="1" s="1"/>
  <c r="O5155" i="1"/>
  <c r="T5155" i="1" s="1"/>
  <c r="O5156" i="1"/>
  <c r="T5156" i="1" s="1"/>
  <c r="O5157" i="1"/>
  <c r="T5157" i="1" s="1"/>
  <c r="O5158" i="1"/>
  <c r="T5158" i="1" s="1"/>
  <c r="O5159" i="1"/>
  <c r="T5159" i="1" s="1"/>
  <c r="O5160" i="1"/>
  <c r="T5160" i="1" s="1"/>
  <c r="O5161" i="1"/>
  <c r="T5161" i="1" s="1"/>
  <c r="X5161" i="1" s="1"/>
  <c r="Y5161" i="1" s="1"/>
  <c r="O5162" i="1"/>
  <c r="T5162" i="1" s="1"/>
  <c r="O5163" i="1"/>
  <c r="T5163" i="1" s="1"/>
  <c r="O5164" i="1"/>
  <c r="O5165" i="1"/>
  <c r="T5165" i="1" s="1"/>
  <c r="O5166" i="1"/>
  <c r="T5166" i="1" s="1"/>
  <c r="O5167" i="1"/>
  <c r="T5167" i="1" s="1"/>
  <c r="O5168" i="1"/>
  <c r="T5168" i="1" s="1"/>
  <c r="O5169" i="1"/>
  <c r="T5169" i="1" s="1"/>
  <c r="O5170" i="1"/>
  <c r="T5170" i="1" s="1"/>
  <c r="O5171" i="1"/>
  <c r="T5171" i="1" s="1"/>
  <c r="O5172" i="1"/>
  <c r="T5172" i="1" s="1"/>
  <c r="O5173" i="1"/>
  <c r="T5173" i="1" s="1"/>
  <c r="O5174" i="1"/>
  <c r="T5174" i="1" s="1"/>
  <c r="O5175" i="1"/>
  <c r="T5175" i="1" s="1"/>
  <c r="O5176" i="1"/>
  <c r="T5176" i="1" s="1"/>
  <c r="O5177" i="1"/>
  <c r="T5177" i="1" s="1"/>
  <c r="O5178" i="1"/>
  <c r="T5178" i="1" s="1"/>
  <c r="O5179" i="1"/>
  <c r="T5179" i="1" s="1"/>
  <c r="O5180" i="1"/>
  <c r="T5180" i="1" s="1"/>
  <c r="O5181" i="1"/>
  <c r="T5181" i="1" s="1"/>
  <c r="O5182" i="1"/>
  <c r="T5182" i="1" s="1"/>
  <c r="O5183" i="1"/>
  <c r="T5183" i="1" s="1"/>
  <c r="O5184" i="1"/>
  <c r="T5184" i="1" s="1"/>
  <c r="O5185" i="1"/>
  <c r="T5185" i="1" s="1"/>
  <c r="O5186" i="1"/>
  <c r="T5186" i="1" s="1"/>
  <c r="O5187" i="1"/>
  <c r="T5187" i="1" s="1"/>
  <c r="O5188" i="1"/>
  <c r="T5188" i="1" s="1"/>
  <c r="O5189" i="1"/>
  <c r="T5189" i="1" s="1"/>
  <c r="O5190" i="1"/>
  <c r="T5190" i="1" s="1"/>
  <c r="O5191" i="1"/>
  <c r="T5191" i="1" s="1"/>
  <c r="O5192" i="1"/>
  <c r="T5192" i="1" s="1"/>
  <c r="O5193" i="1"/>
  <c r="T5193" i="1" s="1"/>
  <c r="O5194" i="1"/>
  <c r="T5194" i="1" s="1"/>
  <c r="O5195" i="1"/>
  <c r="T5195" i="1" s="1"/>
  <c r="O5196" i="1"/>
  <c r="T5196" i="1" s="1"/>
  <c r="O5197" i="1"/>
  <c r="T5197" i="1" s="1"/>
  <c r="X5197" i="1" s="1"/>
  <c r="Y5197" i="1" s="1"/>
  <c r="O5198" i="1"/>
  <c r="T5198" i="1" s="1"/>
  <c r="O5199" i="1"/>
  <c r="T5199" i="1" s="1"/>
  <c r="O5200" i="1"/>
  <c r="T5200" i="1" s="1"/>
  <c r="O5201" i="1"/>
  <c r="T5201" i="1" s="1"/>
  <c r="O5202" i="1"/>
  <c r="T5202" i="1" s="1"/>
  <c r="O5203" i="1"/>
  <c r="T5203" i="1" s="1"/>
  <c r="O5204" i="1"/>
  <c r="T5204" i="1" s="1"/>
  <c r="O5205" i="1"/>
  <c r="T5205" i="1" s="1"/>
  <c r="X5205" i="1" s="1"/>
  <c r="Y5205" i="1" s="1"/>
  <c r="O5206" i="1"/>
  <c r="T5206" i="1" s="1"/>
  <c r="O5207" i="1"/>
  <c r="T5207" i="1" s="1"/>
  <c r="O5208" i="1"/>
  <c r="T5208" i="1" s="1"/>
  <c r="O5209" i="1"/>
  <c r="T5209" i="1" s="1"/>
  <c r="O5210" i="1"/>
  <c r="T5210" i="1" s="1"/>
  <c r="O5211" i="1"/>
  <c r="T5211" i="1" s="1"/>
  <c r="X5211" i="1" s="1"/>
  <c r="Y5211" i="1" s="1"/>
  <c r="O5212" i="1"/>
  <c r="O5213" i="1"/>
  <c r="T5213" i="1" s="1"/>
  <c r="O5214" i="1"/>
  <c r="T5214" i="1" s="1"/>
  <c r="O5215" i="1"/>
  <c r="T5215" i="1" s="1"/>
  <c r="O5216" i="1"/>
  <c r="T5216" i="1" s="1"/>
  <c r="O5217" i="1"/>
  <c r="T5217" i="1" s="1"/>
  <c r="O5218" i="1"/>
  <c r="T5218" i="1" s="1"/>
  <c r="O5219" i="1"/>
  <c r="T5219" i="1" s="1"/>
  <c r="O5220" i="1"/>
  <c r="T5220" i="1" s="1"/>
  <c r="O5221" i="1"/>
  <c r="T5221" i="1" s="1"/>
  <c r="O5222" i="1"/>
  <c r="T5222" i="1" s="1"/>
  <c r="O5223" i="1"/>
  <c r="T5223" i="1" s="1"/>
  <c r="O5224" i="1"/>
  <c r="T5224" i="1" s="1"/>
  <c r="O5225" i="1"/>
  <c r="T5225" i="1" s="1"/>
  <c r="O5226" i="1"/>
  <c r="T5226" i="1" s="1"/>
  <c r="O5227" i="1"/>
  <c r="T5227" i="1" s="1"/>
  <c r="O5228" i="1"/>
  <c r="T5228" i="1" s="1"/>
  <c r="O5229" i="1"/>
  <c r="T5229" i="1" s="1"/>
  <c r="O5230" i="1"/>
  <c r="T5230" i="1" s="1"/>
  <c r="O5231" i="1"/>
  <c r="T5231" i="1" s="1"/>
  <c r="O5232" i="1"/>
  <c r="T5232" i="1" s="1"/>
  <c r="O5233" i="1"/>
  <c r="T5233" i="1" s="1"/>
  <c r="O5234" i="1"/>
  <c r="T5234" i="1" s="1"/>
  <c r="O5235" i="1"/>
  <c r="T5235" i="1" s="1"/>
  <c r="X5235" i="1" s="1"/>
  <c r="Y5235" i="1" s="1"/>
  <c r="O5236" i="1"/>
  <c r="T5236" i="1" s="1"/>
  <c r="O5237" i="1"/>
  <c r="T5237" i="1" s="1"/>
  <c r="O5238" i="1"/>
  <c r="T5238" i="1" s="1"/>
  <c r="O5239" i="1"/>
  <c r="T5239" i="1" s="1"/>
  <c r="O5240" i="1"/>
  <c r="T5240" i="1" s="1"/>
  <c r="O5241" i="1"/>
  <c r="T5241" i="1" s="1"/>
  <c r="O5242" i="1"/>
  <c r="T5242" i="1" s="1"/>
  <c r="O5243" i="1"/>
  <c r="T5243" i="1" s="1"/>
  <c r="O5244" i="1"/>
  <c r="T5244" i="1" s="1"/>
  <c r="O5245" i="1"/>
  <c r="T5245" i="1" s="1"/>
  <c r="O5246" i="1"/>
  <c r="T5246" i="1" s="1"/>
  <c r="O5247" i="1"/>
  <c r="T5247" i="1" s="1"/>
  <c r="X5247" i="1" s="1"/>
  <c r="Y5247" i="1" s="1"/>
  <c r="O5248" i="1"/>
  <c r="T5248" i="1" s="1"/>
  <c r="O5249" i="1"/>
  <c r="T5249" i="1" s="1"/>
  <c r="O5250" i="1"/>
  <c r="T5250" i="1" s="1"/>
  <c r="O5251" i="1"/>
  <c r="T5251" i="1" s="1"/>
  <c r="O5252" i="1"/>
  <c r="T5252" i="1" s="1"/>
  <c r="O5253" i="1"/>
  <c r="T5253" i="1" s="1"/>
  <c r="O5254" i="1"/>
  <c r="T5254" i="1" s="1"/>
  <c r="X5254" i="1" s="1"/>
  <c r="Y5254" i="1" s="1"/>
  <c r="O5255" i="1"/>
  <c r="T5255" i="1" s="1"/>
  <c r="O5256" i="1"/>
  <c r="T5256" i="1" s="1"/>
  <c r="O5257" i="1"/>
  <c r="T5257" i="1" s="1"/>
  <c r="O5258" i="1"/>
  <c r="T5258" i="1" s="1"/>
  <c r="O5259" i="1"/>
  <c r="T5259" i="1" s="1"/>
  <c r="O5260" i="1"/>
  <c r="O5261" i="1"/>
  <c r="T5261" i="1" s="1"/>
  <c r="O5262" i="1"/>
  <c r="T5262" i="1" s="1"/>
  <c r="O5263" i="1"/>
  <c r="T5263" i="1" s="1"/>
  <c r="O5264" i="1"/>
  <c r="T5264" i="1" s="1"/>
  <c r="O5265" i="1"/>
  <c r="T5265" i="1" s="1"/>
  <c r="O5266" i="1"/>
  <c r="T5266" i="1" s="1"/>
  <c r="X5266" i="1" s="1"/>
  <c r="Y5266" i="1" s="1"/>
  <c r="O5267" i="1"/>
  <c r="T5267" i="1" s="1"/>
  <c r="O5268" i="1"/>
  <c r="T5268" i="1" s="1"/>
  <c r="O5269" i="1"/>
  <c r="T5269" i="1" s="1"/>
  <c r="O5270" i="1"/>
  <c r="T5270" i="1" s="1"/>
  <c r="O5271" i="1"/>
  <c r="T5271" i="1" s="1"/>
  <c r="O5272" i="1"/>
  <c r="T5272" i="1" s="1"/>
  <c r="O5273" i="1"/>
  <c r="T5273" i="1" s="1"/>
  <c r="O5274" i="1"/>
  <c r="T5274" i="1" s="1"/>
  <c r="O5275" i="1"/>
  <c r="T5275" i="1" s="1"/>
  <c r="O5276" i="1"/>
  <c r="T5276" i="1" s="1"/>
  <c r="O5277" i="1"/>
  <c r="T5277" i="1" s="1"/>
  <c r="O5278" i="1"/>
  <c r="T5278" i="1" s="1"/>
  <c r="X5278" i="1" s="1"/>
  <c r="Y5278" i="1" s="1"/>
  <c r="O5279" i="1"/>
  <c r="T5279" i="1" s="1"/>
  <c r="O5280" i="1"/>
  <c r="T5280" i="1" s="1"/>
  <c r="O5281" i="1"/>
  <c r="T5281" i="1" s="1"/>
  <c r="O5282" i="1"/>
  <c r="T5282" i="1" s="1"/>
  <c r="O5283" i="1"/>
  <c r="T5283" i="1" s="1"/>
  <c r="O5284" i="1"/>
  <c r="T5284" i="1" s="1"/>
  <c r="O5285" i="1"/>
  <c r="T5285" i="1" s="1"/>
  <c r="O5286" i="1"/>
  <c r="T5286" i="1" s="1"/>
  <c r="O5287" i="1"/>
  <c r="T5287" i="1" s="1"/>
  <c r="O5288" i="1"/>
  <c r="T5288" i="1" s="1"/>
  <c r="O5289" i="1"/>
  <c r="T5289" i="1" s="1"/>
  <c r="O5290" i="1"/>
  <c r="T5290" i="1" s="1"/>
  <c r="O5291" i="1"/>
  <c r="T5291" i="1" s="1"/>
  <c r="O5292" i="1"/>
  <c r="T5292" i="1" s="1"/>
  <c r="O5293" i="1"/>
  <c r="T5293" i="1" s="1"/>
  <c r="O5294" i="1"/>
  <c r="T5294" i="1" s="1"/>
  <c r="O5295" i="1"/>
  <c r="T5295" i="1" s="1"/>
  <c r="O5296" i="1"/>
  <c r="T5296" i="1" s="1"/>
  <c r="O5297" i="1"/>
  <c r="T5297" i="1" s="1"/>
  <c r="O5298" i="1"/>
  <c r="T5298" i="1" s="1"/>
  <c r="O5299" i="1"/>
  <c r="T5299" i="1" s="1"/>
  <c r="O5300" i="1"/>
  <c r="T5300" i="1" s="1"/>
  <c r="O5301" i="1"/>
  <c r="T5301" i="1" s="1"/>
  <c r="O5302" i="1"/>
  <c r="T5302" i="1" s="1"/>
  <c r="X5302" i="1" s="1"/>
  <c r="Y5302" i="1" s="1"/>
  <c r="O5303" i="1"/>
  <c r="T5303" i="1" s="1"/>
  <c r="O5304" i="1"/>
  <c r="T5304" i="1" s="1"/>
  <c r="O5305" i="1"/>
  <c r="T5305" i="1" s="1"/>
  <c r="O5306" i="1"/>
  <c r="T5306" i="1" s="1"/>
  <c r="O5307" i="1"/>
  <c r="T5307" i="1" s="1"/>
  <c r="O5308" i="1"/>
  <c r="O5309" i="1"/>
  <c r="T5309" i="1" s="1"/>
  <c r="O5310" i="1"/>
  <c r="T5310" i="1" s="1"/>
  <c r="O5311" i="1"/>
  <c r="T5311" i="1" s="1"/>
  <c r="O5312" i="1"/>
  <c r="T5312" i="1" s="1"/>
  <c r="O5313" i="1"/>
  <c r="T5313" i="1" s="1"/>
  <c r="O5314" i="1"/>
  <c r="T5314" i="1" s="1"/>
  <c r="X5314" i="1" s="1"/>
  <c r="Y5314" i="1" s="1"/>
  <c r="O5315" i="1"/>
  <c r="T5315" i="1" s="1"/>
  <c r="O5316" i="1"/>
  <c r="T5316" i="1" s="1"/>
  <c r="O5317" i="1"/>
  <c r="T5317" i="1" s="1"/>
  <c r="O5318" i="1"/>
  <c r="T5318" i="1" s="1"/>
  <c r="O5319" i="1"/>
  <c r="T5319" i="1" s="1"/>
  <c r="O5320" i="1"/>
  <c r="T5320" i="1" s="1"/>
  <c r="O5321" i="1"/>
  <c r="T5321" i="1" s="1"/>
  <c r="O5322" i="1"/>
  <c r="T5322" i="1" s="1"/>
  <c r="O5323" i="1"/>
  <c r="T5323" i="1" s="1"/>
  <c r="O5324" i="1"/>
  <c r="T5324" i="1" s="1"/>
  <c r="O5325" i="1"/>
  <c r="T5325" i="1" s="1"/>
  <c r="O5326" i="1"/>
  <c r="T5326" i="1" s="1"/>
  <c r="X5326" i="1" s="1"/>
  <c r="Y5326" i="1" s="1"/>
  <c r="O5327" i="1"/>
  <c r="T5327" i="1" s="1"/>
  <c r="O5328" i="1"/>
  <c r="T5328" i="1" s="1"/>
  <c r="O5329" i="1"/>
  <c r="T5329" i="1" s="1"/>
  <c r="O5330" i="1"/>
  <c r="T5330" i="1" s="1"/>
  <c r="O5331" i="1"/>
  <c r="T5331" i="1" s="1"/>
  <c r="O5332" i="1"/>
  <c r="T5332" i="1" s="1"/>
  <c r="O5333" i="1"/>
  <c r="T5333" i="1" s="1"/>
  <c r="O5334" i="1"/>
  <c r="T5334" i="1" s="1"/>
  <c r="O5335" i="1"/>
  <c r="T5335" i="1" s="1"/>
  <c r="O5336" i="1"/>
  <c r="T5336" i="1" s="1"/>
  <c r="O2" i="1"/>
  <c r="T2" i="1" s="1"/>
  <c r="X5169" i="1" l="1"/>
  <c r="Y5169" i="1" s="1"/>
  <c r="X5177" i="1"/>
  <c r="Y5177" i="1" s="1"/>
  <c r="X5141" i="1"/>
  <c r="Y5141" i="1" s="1"/>
  <c r="X5105" i="1"/>
  <c r="Y5105" i="1" s="1"/>
  <c r="X5125" i="1"/>
  <c r="Y5125" i="1" s="1"/>
  <c r="X5089" i="1"/>
  <c r="Y5089" i="1" s="1"/>
  <c r="X5290" i="1"/>
  <c r="Y5290" i="1" s="1"/>
  <c r="X5242" i="1"/>
  <c r="Y5242" i="1" s="1"/>
  <c r="X5230" i="1"/>
  <c r="Y5230" i="1" s="1"/>
  <c r="X5218" i="1"/>
  <c r="Y5218" i="1" s="1"/>
  <c r="X4529" i="1"/>
  <c r="Y4529" i="1" s="1"/>
  <c r="X4601" i="1"/>
  <c r="Y4601" i="1" s="1"/>
  <c r="X4554" i="1"/>
  <c r="Y4554" i="1" s="1"/>
  <c r="X5188" i="1"/>
  <c r="Y5188" i="1" s="1"/>
  <c r="X5080" i="1"/>
  <c r="Y5080" i="1" s="1"/>
  <c r="X5223" i="1"/>
  <c r="Y5223" i="1" s="1"/>
  <c r="X4996" i="1"/>
  <c r="Y4996" i="1" s="1"/>
  <c r="X4960" i="1"/>
  <c r="Y4960" i="1" s="1"/>
  <c r="X5331" i="1"/>
  <c r="Y5331" i="1" s="1"/>
  <c r="X5307" i="1"/>
  <c r="Y5307" i="1" s="1"/>
  <c r="X5283" i="1"/>
  <c r="Y5283" i="1" s="1"/>
  <c r="X5259" i="1"/>
  <c r="Y5259" i="1" s="1"/>
  <c r="X4387" i="1"/>
  <c r="Y4387" i="1" s="1"/>
  <c r="X4266" i="1"/>
  <c r="Y4266" i="1" s="1"/>
  <c r="X5295" i="1"/>
  <c r="Y5295" i="1" s="1"/>
  <c r="X4350" i="1"/>
  <c r="Y4350" i="1" s="1"/>
  <c r="X5319" i="1"/>
  <c r="Y5319" i="1" s="1"/>
  <c r="X5271" i="1"/>
  <c r="Y5271" i="1" s="1"/>
  <c r="X3725" i="1"/>
  <c r="Y3725" i="1" s="1"/>
  <c r="X5329" i="1"/>
  <c r="Y5329" i="1" s="1"/>
  <c r="X5317" i="1"/>
  <c r="Y5317" i="1" s="1"/>
  <c r="X5305" i="1"/>
  <c r="Y5305" i="1" s="1"/>
  <c r="X5293" i="1"/>
  <c r="Y5293" i="1" s="1"/>
  <c r="X5281" i="1"/>
  <c r="Y5281" i="1" s="1"/>
  <c r="X5269" i="1"/>
  <c r="Y5269" i="1" s="1"/>
  <c r="X5257" i="1"/>
  <c r="Y5257" i="1" s="1"/>
  <c r="X5245" i="1"/>
  <c r="Y5245" i="1" s="1"/>
  <c r="X5233" i="1"/>
  <c r="Y5233" i="1" s="1"/>
  <c r="X5221" i="1"/>
  <c r="Y5221" i="1" s="1"/>
  <c r="X5209" i="1"/>
  <c r="Y5209" i="1" s="1"/>
  <c r="X5185" i="1"/>
  <c r="Y5185" i="1" s="1"/>
  <c r="X5173" i="1"/>
  <c r="Y5173" i="1" s="1"/>
  <c r="X5149" i="1"/>
  <c r="Y5149" i="1" s="1"/>
  <c r="X5137" i="1"/>
  <c r="Y5137" i="1" s="1"/>
  <c r="X5113" i="1"/>
  <c r="Y5113" i="1" s="1"/>
  <c r="X5101" i="1"/>
  <c r="Y5101" i="1" s="1"/>
  <c r="X5077" i="1"/>
  <c r="Y5077" i="1" s="1"/>
  <c r="X5065" i="1"/>
  <c r="Y5065" i="1" s="1"/>
  <c r="X5206" i="1"/>
  <c r="Y5206" i="1" s="1"/>
  <c r="X5194" i="1"/>
  <c r="Y5194" i="1" s="1"/>
  <c r="X5182" i="1"/>
  <c r="Y5182" i="1" s="1"/>
  <c r="X5170" i="1"/>
  <c r="Y5170" i="1" s="1"/>
  <c r="X5158" i="1"/>
  <c r="Y5158" i="1" s="1"/>
  <c r="X5146" i="1"/>
  <c r="Y5146" i="1" s="1"/>
  <c r="X5134" i="1"/>
  <c r="Y5134" i="1" s="1"/>
  <c r="X5122" i="1"/>
  <c r="Y5122" i="1" s="1"/>
  <c r="X5110" i="1"/>
  <c r="Y5110" i="1" s="1"/>
  <c r="X5098" i="1"/>
  <c r="Y5098" i="1" s="1"/>
  <c r="X5086" i="1"/>
  <c r="Y5086" i="1" s="1"/>
  <c r="X5074" i="1"/>
  <c r="Y5074" i="1" s="1"/>
  <c r="X5062" i="1"/>
  <c r="Y5062" i="1" s="1"/>
  <c r="X5050" i="1"/>
  <c r="Y5050" i="1" s="1"/>
  <c r="X5038" i="1"/>
  <c r="Y5038" i="1" s="1"/>
  <c r="X5026" i="1"/>
  <c r="Y5026" i="1" s="1"/>
  <c r="X5014" i="1"/>
  <c r="Y5014" i="1" s="1"/>
  <c r="X5002" i="1"/>
  <c r="Y5002" i="1" s="1"/>
  <c r="X4990" i="1"/>
  <c r="Y4990" i="1" s="1"/>
  <c r="X4978" i="1"/>
  <c r="Y4978" i="1" s="1"/>
  <c r="X4966" i="1"/>
  <c r="Y4966" i="1" s="1"/>
  <c r="X4954" i="1"/>
  <c r="Y4954" i="1" s="1"/>
  <c r="X4942" i="1"/>
  <c r="Y4942" i="1" s="1"/>
  <c r="X4930" i="1"/>
  <c r="Y4930" i="1" s="1"/>
  <c r="X4918" i="1"/>
  <c r="Y4918" i="1" s="1"/>
  <c r="X4906" i="1"/>
  <c r="Y4906" i="1" s="1"/>
  <c r="X4894" i="1"/>
  <c r="Y4894" i="1" s="1"/>
  <c r="X4882" i="1"/>
  <c r="Y4882" i="1" s="1"/>
  <c r="X4870" i="1"/>
  <c r="Y4870" i="1" s="1"/>
  <c r="X4858" i="1"/>
  <c r="Y4858" i="1" s="1"/>
  <c r="X4846" i="1"/>
  <c r="Y4846" i="1" s="1"/>
  <c r="X4834" i="1"/>
  <c r="Y4834" i="1" s="1"/>
  <c r="X4822" i="1"/>
  <c r="Y4822" i="1" s="1"/>
  <c r="X4810" i="1"/>
  <c r="Y4810" i="1" s="1"/>
  <c r="X4798" i="1"/>
  <c r="Y4798" i="1" s="1"/>
  <c r="X4786" i="1"/>
  <c r="Y4786" i="1" s="1"/>
  <c r="X4774" i="1"/>
  <c r="Y4774" i="1" s="1"/>
  <c r="X4762" i="1"/>
  <c r="Y4762" i="1" s="1"/>
  <c r="X4750" i="1"/>
  <c r="Y4750" i="1" s="1"/>
  <c r="X4738" i="1"/>
  <c r="Y4738" i="1" s="1"/>
  <c r="X4726" i="1"/>
  <c r="Y4726" i="1" s="1"/>
  <c r="X4714" i="1"/>
  <c r="Y4714" i="1" s="1"/>
  <c r="X4702" i="1"/>
  <c r="Y4702" i="1" s="1"/>
  <c r="X4690" i="1"/>
  <c r="Y4690" i="1" s="1"/>
  <c r="X4678" i="1"/>
  <c r="Y4678" i="1" s="1"/>
  <c r="X4666" i="1"/>
  <c r="Y4666" i="1" s="1"/>
  <c r="X4654" i="1"/>
  <c r="Y4654" i="1" s="1"/>
  <c r="X4642" i="1"/>
  <c r="Y4642" i="1" s="1"/>
  <c r="X4630" i="1"/>
  <c r="Y4630" i="1" s="1"/>
  <c r="X4618" i="1"/>
  <c r="Y4618" i="1" s="1"/>
  <c r="X4606" i="1"/>
  <c r="Y4606" i="1" s="1"/>
  <c r="X4594" i="1"/>
  <c r="Y4594" i="1" s="1"/>
  <c r="X4582" i="1"/>
  <c r="Y4582" i="1" s="1"/>
  <c r="X4570" i="1"/>
  <c r="Y4570" i="1" s="1"/>
  <c r="X4558" i="1"/>
  <c r="Y4558" i="1" s="1"/>
  <c r="X4546" i="1"/>
  <c r="Y4546" i="1" s="1"/>
  <c r="X4534" i="1"/>
  <c r="Y4534" i="1" s="1"/>
  <c r="X4522" i="1"/>
  <c r="Y4522" i="1" s="1"/>
  <c r="X4510" i="1"/>
  <c r="Y4510" i="1" s="1"/>
  <c r="X4498" i="1"/>
  <c r="Y4498" i="1" s="1"/>
  <c r="X4486" i="1"/>
  <c r="Y4486" i="1" s="1"/>
  <c r="X4474" i="1"/>
  <c r="Y4474" i="1" s="1"/>
  <c r="X4462" i="1"/>
  <c r="Y4462" i="1" s="1"/>
  <c r="X4450" i="1"/>
  <c r="Y4450" i="1" s="1"/>
  <c r="X4438" i="1"/>
  <c r="Y4438" i="1" s="1"/>
  <c r="X4426" i="1"/>
  <c r="Y4426" i="1" s="1"/>
  <c r="X4414" i="1"/>
  <c r="Y4414" i="1" s="1"/>
  <c r="X4402" i="1"/>
  <c r="Y4402" i="1" s="1"/>
  <c r="X4390" i="1"/>
  <c r="Y4390" i="1" s="1"/>
  <c r="X4378" i="1"/>
  <c r="Y4378" i="1" s="1"/>
  <c r="X4366" i="1"/>
  <c r="Y4366" i="1" s="1"/>
  <c r="X4354" i="1"/>
  <c r="Y4354" i="1" s="1"/>
  <c r="X4342" i="1"/>
  <c r="Y4342" i="1" s="1"/>
  <c r="X4330" i="1"/>
  <c r="Y4330" i="1" s="1"/>
  <c r="X4318" i="1"/>
  <c r="Y4318" i="1" s="1"/>
  <c r="X4306" i="1"/>
  <c r="Y4306" i="1" s="1"/>
  <c r="X4294" i="1"/>
  <c r="Y4294" i="1" s="1"/>
  <c r="X4282" i="1"/>
  <c r="Y4282" i="1" s="1"/>
  <c r="X4270" i="1"/>
  <c r="Y4270" i="1" s="1"/>
  <c r="X4258" i="1"/>
  <c r="Y4258" i="1" s="1"/>
  <c r="X4246" i="1"/>
  <c r="Y4246" i="1" s="1"/>
  <c r="X4234" i="1"/>
  <c r="Y4234" i="1" s="1"/>
  <c r="X4222" i="1"/>
  <c r="Y4222" i="1" s="1"/>
  <c r="X4210" i="1"/>
  <c r="Y4210" i="1" s="1"/>
  <c r="X4198" i="1"/>
  <c r="Y4198" i="1" s="1"/>
  <c r="X4186" i="1"/>
  <c r="Y4186" i="1" s="1"/>
  <c r="X4174" i="1"/>
  <c r="Y4174" i="1" s="1"/>
  <c r="X4162" i="1"/>
  <c r="Y4162" i="1" s="1"/>
  <c r="X4150" i="1"/>
  <c r="Y4150" i="1" s="1"/>
  <c r="X4138" i="1"/>
  <c r="Y4138" i="1" s="1"/>
  <c r="X4126" i="1"/>
  <c r="Y4126" i="1" s="1"/>
  <c r="X4114" i="1"/>
  <c r="Y4114" i="1" s="1"/>
  <c r="X4102" i="1"/>
  <c r="Y4102" i="1" s="1"/>
  <c r="X4090" i="1"/>
  <c r="Y4090" i="1" s="1"/>
  <c r="X4078" i="1"/>
  <c r="Y4078" i="1" s="1"/>
  <c r="X4066" i="1"/>
  <c r="Y4066" i="1" s="1"/>
  <c r="X4054" i="1"/>
  <c r="Y4054" i="1" s="1"/>
  <c r="X4042" i="1"/>
  <c r="Y4042" i="1" s="1"/>
  <c r="X4030" i="1"/>
  <c r="Y4030" i="1" s="1"/>
  <c r="X4018" i="1"/>
  <c r="Y4018" i="1" s="1"/>
  <c r="X4006" i="1"/>
  <c r="Y4006" i="1" s="1"/>
  <c r="X3994" i="1"/>
  <c r="Y3994" i="1" s="1"/>
  <c r="X3982" i="1"/>
  <c r="Y3982" i="1" s="1"/>
  <c r="X3970" i="1"/>
  <c r="Y3970" i="1" s="1"/>
  <c r="X3958" i="1"/>
  <c r="Y3958" i="1" s="1"/>
  <c r="X3946" i="1"/>
  <c r="Y3946" i="1" s="1"/>
  <c r="X3934" i="1"/>
  <c r="Y3934" i="1" s="1"/>
  <c r="X3922" i="1"/>
  <c r="Y3922" i="1" s="1"/>
  <c r="X3910" i="1"/>
  <c r="Y3910" i="1" s="1"/>
  <c r="X3898" i="1"/>
  <c r="Y3898" i="1" s="1"/>
  <c r="X3886" i="1"/>
  <c r="Y3886" i="1" s="1"/>
  <c r="X3874" i="1"/>
  <c r="Y3874" i="1" s="1"/>
  <c r="X3862" i="1"/>
  <c r="Y3862" i="1" s="1"/>
  <c r="X3850" i="1"/>
  <c r="Y3850" i="1" s="1"/>
  <c r="X3838" i="1"/>
  <c r="Y3838" i="1" s="1"/>
  <c r="X3826" i="1"/>
  <c r="Y3826" i="1" s="1"/>
  <c r="X3814" i="1"/>
  <c r="Y3814" i="1" s="1"/>
  <c r="X3802" i="1"/>
  <c r="Y3802" i="1" s="1"/>
  <c r="X3790" i="1"/>
  <c r="Y3790" i="1" s="1"/>
  <c r="X3778" i="1"/>
  <c r="Y3778" i="1" s="1"/>
  <c r="X3766" i="1"/>
  <c r="Y3766" i="1" s="1"/>
  <c r="X3754" i="1"/>
  <c r="Y3754" i="1" s="1"/>
  <c r="X3742" i="1"/>
  <c r="Y3742" i="1" s="1"/>
  <c r="X3730" i="1"/>
  <c r="Y3730" i="1" s="1"/>
  <c r="X3718" i="1"/>
  <c r="Y3718" i="1" s="1"/>
  <c r="X3706" i="1"/>
  <c r="Y3706" i="1" s="1"/>
  <c r="X3694" i="1"/>
  <c r="Y3694" i="1" s="1"/>
  <c r="X3682" i="1"/>
  <c r="Y3682" i="1" s="1"/>
  <c r="X3670" i="1"/>
  <c r="Y3670" i="1" s="1"/>
  <c r="X3658" i="1"/>
  <c r="Y3658" i="1" s="1"/>
  <c r="X3646" i="1"/>
  <c r="Y3646" i="1" s="1"/>
  <c r="X3634" i="1"/>
  <c r="Y3634" i="1" s="1"/>
  <c r="X3622" i="1"/>
  <c r="Y3622" i="1" s="1"/>
  <c r="X3610" i="1"/>
  <c r="Y3610" i="1" s="1"/>
  <c r="X3598" i="1"/>
  <c r="Y3598" i="1" s="1"/>
  <c r="X3586" i="1"/>
  <c r="Y3586" i="1" s="1"/>
  <c r="X3574" i="1"/>
  <c r="Y3574" i="1" s="1"/>
  <c r="X3562" i="1"/>
  <c r="Y3562" i="1" s="1"/>
  <c r="X3550" i="1"/>
  <c r="Y3550" i="1" s="1"/>
  <c r="X3538" i="1"/>
  <c r="Y3538" i="1" s="1"/>
  <c r="X3526" i="1"/>
  <c r="Y3526" i="1" s="1"/>
  <c r="X3514" i="1"/>
  <c r="Y3514" i="1" s="1"/>
  <c r="X3502" i="1"/>
  <c r="Y3502" i="1" s="1"/>
  <c r="X3490" i="1"/>
  <c r="Y3490" i="1" s="1"/>
  <c r="X3478" i="1"/>
  <c r="Y3478" i="1" s="1"/>
  <c r="X3466" i="1"/>
  <c r="Y3466" i="1" s="1"/>
  <c r="X3454" i="1"/>
  <c r="Y3454" i="1" s="1"/>
  <c r="X3442" i="1"/>
  <c r="Y3442" i="1" s="1"/>
  <c r="X3430" i="1"/>
  <c r="Y3430" i="1" s="1"/>
  <c r="X3418" i="1"/>
  <c r="Y3418" i="1" s="1"/>
  <c r="X3406" i="1"/>
  <c r="Y3406" i="1" s="1"/>
  <c r="X3394" i="1"/>
  <c r="Y3394" i="1" s="1"/>
  <c r="X3382" i="1"/>
  <c r="Y3382" i="1" s="1"/>
  <c r="X3370" i="1"/>
  <c r="Y3370" i="1" s="1"/>
  <c r="X3358" i="1"/>
  <c r="Y3358" i="1" s="1"/>
  <c r="X3346" i="1"/>
  <c r="Y3346" i="1" s="1"/>
  <c r="X3334" i="1"/>
  <c r="Y3334" i="1" s="1"/>
  <c r="X3322" i="1"/>
  <c r="Y3322" i="1" s="1"/>
  <c r="X3310" i="1"/>
  <c r="Y3310" i="1" s="1"/>
  <c r="X3298" i="1"/>
  <c r="Y3298" i="1" s="1"/>
  <c r="X3286" i="1"/>
  <c r="Y3286" i="1" s="1"/>
  <c r="X3274" i="1"/>
  <c r="Y3274" i="1" s="1"/>
  <c r="X3262" i="1"/>
  <c r="Y3262" i="1" s="1"/>
  <c r="X3250" i="1"/>
  <c r="Y3250" i="1" s="1"/>
  <c r="X3238" i="1"/>
  <c r="Y3238" i="1" s="1"/>
  <c r="X3226" i="1"/>
  <c r="Y3226" i="1" s="1"/>
  <c r="X3214" i="1"/>
  <c r="Y3214" i="1" s="1"/>
  <c r="X3202" i="1"/>
  <c r="Y3202" i="1" s="1"/>
  <c r="X3190" i="1"/>
  <c r="Y3190" i="1" s="1"/>
  <c r="X3178" i="1"/>
  <c r="Y3178" i="1" s="1"/>
  <c r="X3166" i="1"/>
  <c r="Y3166" i="1" s="1"/>
  <c r="X3154" i="1"/>
  <c r="Y3154" i="1" s="1"/>
  <c r="X3142" i="1"/>
  <c r="Y3142" i="1" s="1"/>
  <c r="X3130" i="1"/>
  <c r="Y3130" i="1" s="1"/>
  <c r="X3118" i="1"/>
  <c r="Y3118" i="1" s="1"/>
  <c r="X3106" i="1"/>
  <c r="Y3106" i="1" s="1"/>
  <c r="X3094" i="1"/>
  <c r="Y3094" i="1" s="1"/>
  <c r="X3082" i="1"/>
  <c r="Y3082" i="1" s="1"/>
  <c r="X3070" i="1"/>
  <c r="Y3070" i="1" s="1"/>
  <c r="X3058" i="1"/>
  <c r="Y3058" i="1" s="1"/>
  <c r="X3046" i="1"/>
  <c r="Y3046" i="1" s="1"/>
  <c r="X3034" i="1"/>
  <c r="Y3034" i="1" s="1"/>
  <c r="X3022" i="1"/>
  <c r="Y3022" i="1" s="1"/>
  <c r="X3010" i="1"/>
  <c r="Y3010" i="1" s="1"/>
  <c r="X2998" i="1"/>
  <c r="Y2998" i="1" s="1"/>
  <c r="X2986" i="1"/>
  <c r="Y2986" i="1" s="1"/>
  <c r="X2974" i="1"/>
  <c r="Y2974" i="1" s="1"/>
  <c r="X2962" i="1"/>
  <c r="Y2962" i="1" s="1"/>
  <c r="X2950" i="1"/>
  <c r="Y2950" i="1" s="1"/>
  <c r="X2938" i="1"/>
  <c r="Y2938" i="1" s="1"/>
  <c r="X2926" i="1"/>
  <c r="Y2926" i="1" s="1"/>
  <c r="X2914" i="1"/>
  <c r="Y2914" i="1" s="1"/>
  <c r="X2902" i="1"/>
  <c r="Y2902" i="1" s="1"/>
  <c r="X2890" i="1"/>
  <c r="Y2890" i="1" s="1"/>
  <c r="X2878" i="1"/>
  <c r="Y2878" i="1" s="1"/>
  <c r="X2866" i="1"/>
  <c r="Y2866" i="1" s="1"/>
  <c r="X2854" i="1"/>
  <c r="Y2854" i="1" s="1"/>
  <c r="X2842" i="1"/>
  <c r="Y2842" i="1" s="1"/>
  <c r="X2830" i="1"/>
  <c r="Y2830" i="1" s="1"/>
  <c r="X2818" i="1"/>
  <c r="Y2818" i="1" s="1"/>
  <c r="X2806" i="1"/>
  <c r="Y2806" i="1" s="1"/>
  <c r="X2794" i="1"/>
  <c r="Y2794" i="1" s="1"/>
  <c r="X2782" i="1"/>
  <c r="Y2782" i="1" s="1"/>
  <c r="X2770" i="1"/>
  <c r="Y2770" i="1" s="1"/>
  <c r="X2758" i="1"/>
  <c r="Y2758" i="1" s="1"/>
  <c r="X2746" i="1"/>
  <c r="Y2746" i="1" s="1"/>
  <c r="X2734" i="1"/>
  <c r="Y2734" i="1" s="1"/>
  <c r="X2722" i="1"/>
  <c r="Y2722" i="1" s="1"/>
  <c r="X2710" i="1"/>
  <c r="Y2710" i="1" s="1"/>
  <c r="X2698" i="1"/>
  <c r="Y2698" i="1" s="1"/>
  <c r="X2686" i="1"/>
  <c r="Y2686" i="1" s="1"/>
  <c r="X2674" i="1"/>
  <c r="Y2674" i="1" s="1"/>
  <c r="X2662" i="1"/>
  <c r="Y2662" i="1" s="1"/>
  <c r="X2650" i="1"/>
  <c r="Y2650" i="1" s="1"/>
  <c r="X2638" i="1"/>
  <c r="Y2638" i="1" s="1"/>
  <c r="X2626" i="1"/>
  <c r="Y2626" i="1" s="1"/>
  <c r="X2614" i="1"/>
  <c r="Y2614" i="1" s="1"/>
  <c r="X2602" i="1"/>
  <c r="Y2602" i="1" s="1"/>
  <c r="X2590" i="1"/>
  <c r="Y2590" i="1" s="1"/>
  <c r="X2578" i="1"/>
  <c r="Y2578" i="1" s="1"/>
  <c r="X2566" i="1"/>
  <c r="Y2566" i="1" s="1"/>
  <c r="X2554" i="1"/>
  <c r="Y2554" i="1" s="1"/>
  <c r="X2542" i="1"/>
  <c r="Y2542" i="1" s="1"/>
  <c r="X2530" i="1"/>
  <c r="Y2530" i="1" s="1"/>
  <c r="X2518" i="1"/>
  <c r="Y2518" i="1" s="1"/>
  <c r="X2506" i="1"/>
  <c r="Y2506" i="1" s="1"/>
  <c r="X2494" i="1"/>
  <c r="Y2494" i="1" s="1"/>
  <c r="X2482" i="1"/>
  <c r="Y2482" i="1" s="1"/>
  <c r="X2470" i="1"/>
  <c r="Y2470" i="1" s="1"/>
  <c r="X2458" i="1"/>
  <c r="Y2458" i="1" s="1"/>
  <c r="X2446" i="1"/>
  <c r="Y2446" i="1" s="1"/>
  <c r="X2434" i="1"/>
  <c r="Y2434" i="1" s="1"/>
  <c r="X2422" i="1"/>
  <c r="Y2422" i="1" s="1"/>
  <c r="X2410" i="1"/>
  <c r="Y2410" i="1" s="1"/>
  <c r="X2398" i="1"/>
  <c r="Y2398" i="1" s="1"/>
  <c r="X2386" i="1"/>
  <c r="Y2386" i="1" s="1"/>
  <c r="X2374" i="1"/>
  <c r="Y2374" i="1" s="1"/>
  <c r="X2362" i="1"/>
  <c r="Y2362" i="1" s="1"/>
  <c r="X2350" i="1"/>
  <c r="Y2350" i="1" s="1"/>
  <c r="X2338" i="1"/>
  <c r="Y2338" i="1" s="1"/>
  <c r="X2326" i="1"/>
  <c r="Y2326" i="1" s="1"/>
  <c r="X2314" i="1"/>
  <c r="Y2314" i="1" s="1"/>
  <c r="X2302" i="1"/>
  <c r="Y2302" i="1" s="1"/>
  <c r="X2290" i="1"/>
  <c r="Y2290" i="1" s="1"/>
  <c r="X2278" i="1"/>
  <c r="Y2278" i="1" s="1"/>
  <c r="X2266" i="1"/>
  <c r="Y2266" i="1" s="1"/>
  <c r="X2254" i="1"/>
  <c r="Y2254" i="1" s="1"/>
  <c r="X2242" i="1"/>
  <c r="Y2242" i="1" s="1"/>
  <c r="X2230" i="1"/>
  <c r="Y2230" i="1" s="1"/>
  <c r="X2218" i="1"/>
  <c r="Y2218" i="1" s="1"/>
  <c r="X2206" i="1"/>
  <c r="Y2206" i="1" s="1"/>
  <c r="X2194" i="1"/>
  <c r="Y2194" i="1" s="1"/>
  <c r="X2182" i="1"/>
  <c r="Y2182" i="1" s="1"/>
  <c r="X2170" i="1"/>
  <c r="Y2170" i="1" s="1"/>
  <c r="X2158" i="1"/>
  <c r="Y2158" i="1" s="1"/>
  <c r="X2146" i="1"/>
  <c r="Y2146" i="1" s="1"/>
  <c r="X2134" i="1"/>
  <c r="Y2134" i="1" s="1"/>
  <c r="X2122" i="1"/>
  <c r="Y2122" i="1" s="1"/>
  <c r="X2110" i="1"/>
  <c r="Y2110" i="1" s="1"/>
  <c r="X2098" i="1"/>
  <c r="Y2098" i="1" s="1"/>
  <c r="X2086" i="1"/>
  <c r="Y2086" i="1" s="1"/>
  <c r="X2074" i="1"/>
  <c r="Y2074" i="1" s="1"/>
  <c r="X2062" i="1"/>
  <c r="Y2062" i="1" s="1"/>
  <c r="X2050" i="1"/>
  <c r="Y2050" i="1" s="1"/>
  <c r="X2038" i="1"/>
  <c r="Y2038" i="1" s="1"/>
  <c r="X2026" i="1"/>
  <c r="Y2026" i="1" s="1"/>
  <c r="X2014" i="1"/>
  <c r="Y2014" i="1" s="1"/>
  <c r="X2002" i="1"/>
  <c r="Y2002" i="1" s="1"/>
  <c r="X1990" i="1"/>
  <c r="Y1990" i="1" s="1"/>
  <c r="X1978" i="1"/>
  <c r="Y1978" i="1" s="1"/>
  <c r="X1966" i="1"/>
  <c r="Y1966" i="1" s="1"/>
  <c r="X5334" i="1"/>
  <c r="Y5334" i="1" s="1"/>
  <c r="X5322" i="1"/>
  <c r="Y5322" i="1" s="1"/>
  <c r="X5310" i="1"/>
  <c r="Y5310" i="1" s="1"/>
  <c r="X5298" i="1"/>
  <c r="Y5298" i="1" s="1"/>
  <c r="X5286" i="1"/>
  <c r="Y5286" i="1" s="1"/>
  <c r="X5274" i="1"/>
  <c r="Y5274" i="1" s="1"/>
  <c r="X5262" i="1"/>
  <c r="Y5262" i="1" s="1"/>
  <c r="X5250" i="1"/>
  <c r="Y5250" i="1" s="1"/>
  <c r="X5238" i="1"/>
  <c r="Y5238" i="1" s="1"/>
  <c r="X5226" i="1"/>
  <c r="Y5226" i="1" s="1"/>
  <c r="X5214" i="1"/>
  <c r="Y5214" i="1" s="1"/>
  <c r="X5202" i="1"/>
  <c r="Y5202" i="1" s="1"/>
  <c r="X5190" i="1"/>
  <c r="Y5190" i="1" s="1"/>
  <c r="X5178" i="1"/>
  <c r="Y5178" i="1" s="1"/>
  <c r="X5166" i="1"/>
  <c r="Y5166" i="1" s="1"/>
  <c r="X5154" i="1"/>
  <c r="Y5154" i="1" s="1"/>
  <c r="X5142" i="1"/>
  <c r="Y5142" i="1" s="1"/>
  <c r="X5130" i="1"/>
  <c r="Y5130" i="1" s="1"/>
  <c r="X5118" i="1"/>
  <c r="Y5118" i="1" s="1"/>
  <c r="X5106" i="1"/>
  <c r="Y5106" i="1" s="1"/>
  <c r="X5094" i="1"/>
  <c r="Y5094" i="1" s="1"/>
  <c r="X5082" i="1"/>
  <c r="Y5082" i="1" s="1"/>
  <c r="X5070" i="1"/>
  <c r="Y5070" i="1" s="1"/>
  <c r="X5058" i="1"/>
  <c r="Y5058" i="1" s="1"/>
  <c r="X5046" i="1"/>
  <c r="Y5046" i="1" s="1"/>
  <c r="X5034" i="1"/>
  <c r="Y5034" i="1" s="1"/>
  <c r="X5022" i="1"/>
  <c r="Y5022" i="1" s="1"/>
  <c r="X5010" i="1"/>
  <c r="Y5010" i="1" s="1"/>
  <c r="X4998" i="1"/>
  <c r="Y4998" i="1" s="1"/>
  <c r="X4986" i="1"/>
  <c r="Y4986" i="1" s="1"/>
  <c r="X4974" i="1"/>
  <c r="Y4974" i="1" s="1"/>
  <c r="X4962" i="1"/>
  <c r="Y4962" i="1" s="1"/>
  <c r="X4950" i="1"/>
  <c r="Y4950" i="1" s="1"/>
  <c r="X4938" i="1"/>
  <c r="Y4938" i="1" s="1"/>
  <c r="X4926" i="1"/>
  <c r="Y4926" i="1" s="1"/>
  <c r="X4902" i="1"/>
  <c r="Y4902" i="1" s="1"/>
  <c r="X4890" i="1"/>
  <c r="Y4890" i="1" s="1"/>
  <c r="X4878" i="1"/>
  <c r="Y4878" i="1" s="1"/>
  <c r="X4866" i="1"/>
  <c r="Y4866" i="1" s="1"/>
  <c r="X4854" i="1"/>
  <c r="Y4854" i="1" s="1"/>
  <c r="X4830" i="1"/>
  <c r="Y4830" i="1" s="1"/>
  <c r="X4818" i="1"/>
  <c r="Y4818" i="1" s="1"/>
  <c r="X4806" i="1"/>
  <c r="Y4806" i="1" s="1"/>
  <c r="X4794" i="1"/>
  <c r="Y4794" i="1" s="1"/>
  <c r="X4782" i="1"/>
  <c r="Y4782" i="1" s="1"/>
  <c r="X4758" i="1"/>
  <c r="Y4758" i="1" s="1"/>
  <c r="X4746" i="1"/>
  <c r="Y4746" i="1" s="1"/>
  <c r="X4734" i="1"/>
  <c r="Y4734" i="1" s="1"/>
  <c r="X4722" i="1"/>
  <c r="Y4722" i="1" s="1"/>
  <c r="X4710" i="1"/>
  <c r="Y4710" i="1" s="1"/>
  <c r="X4686" i="1"/>
  <c r="Y4686" i="1" s="1"/>
  <c r="X4674" i="1"/>
  <c r="Y4674" i="1" s="1"/>
  <c r="X4662" i="1"/>
  <c r="Y4662" i="1" s="1"/>
  <c r="X4650" i="1"/>
  <c r="Y4650" i="1" s="1"/>
  <c r="X4638" i="1"/>
  <c r="Y4638" i="1" s="1"/>
  <c r="X4614" i="1"/>
  <c r="Y4614" i="1" s="1"/>
  <c r="X4602" i="1"/>
  <c r="Y4602" i="1" s="1"/>
  <c r="X4590" i="1"/>
  <c r="Y4590" i="1" s="1"/>
  <c r="X4578" i="1"/>
  <c r="Y4578" i="1" s="1"/>
  <c r="X4566" i="1"/>
  <c r="Y4566" i="1" s="1"/>
  <c r="X4542" i="1"/>
  <c r="Y4542" i="1" s="1"/>
  <c r="X4530" i="1"/>
  <c r="Y4530" i="1" s="1"/>
  <c r="X4518" i="1"/>
  <c r="Y4518" i="1" s="1"/>
  <c r="X4506" i="1"/>
  <c r="Y4506" i="1" s="1"/>
  <c r="X4494" i="1"/>
  <c r="Y4494" i="1" s="1"/>
  <c r="X4482" i="1"/>
  <c r="Y4482" i="1" s="1"/>
  <c r="X4470" i="1"/>
  <c r="Y4470" i="1" s="1"/>
  <c r="X4458" i="1"/>
  <c r="Y4458" i="1" s="1"/>
  <c r="X4446" i="1"/>
  <c r="Y4446" i="1" s="1"/>
  <c r="X4434" i="1"/>
  <c r="Y4434" i="1" s="1"/>
  <c r="X4422" i="1"/>
  <c r="Y4422" i="1" s="1"/>
  <c r="X4410" i="1"/>
  <c r="Y4410" i="1" s="1"/>
  <c r="X4398" i="1"/>
  <c r="Y4398" i="1" s="1"/>
  <c r="X4386" i="1"/>
  <c r="Y4386" i="1" s="1"/>
  <c r="X5333" i="1"/>
  <c r="Y5333" i="1" s="1"/>
  <c r="X5321" i="1"/>
  <c r="Y5321" i="1" s="1"/>
  <c r="X5309" i="1"/>
  <c r="Y5309" i="1" s="1"/>
  <c r="X5297" i="1"/>
  <c r="Y5297" i="1" s="1"/>
  <c r="X5285" i="1"/>
  <c r="Y5285" i="1" s="1"/>
  <c r="X5273" i="1"/>
  <c r="Y5273" i="1" s="1"/>
  <c r="X5261" i="1"/>
  <c r="Y5261" i="1" s="1"/>
  <c r="X5249" i="1"/>
  <c r="Y5249" i="1" s="1"/>
  <c r="X5237" i="1"/>
  <c r="Y5237" i="1" s="1"/>
  <c r="X5225" i="1"/>
  <c r="Y5225" i="1" s="1"/>
  <c r="X5213" i="1"/>
  <c r="Y5213" i="1" s="1"/>
  <c r="X5201" i="1"/>
  <c r="Y5201" i="1" s="1"/>
  <c r="X5189" i="1"/>
  <c r="Y5189" i="1" s="1"/>
  <c r="X5165" i="1"/>
  <c r="Y5165" i="1" s="1"/>
  <c r="X5153" i="1"/>
  <c r="Y5153" i="1" s="1"/>
  <c r="X5129" i="1"/>
  <c r="Y5129" i="1" s="1"/>
  <c r="X5117" i="1"/>
  <c r="Y5117" i="1" s="1"/>
  <c r="X5093" i="1"/>
  <c r="Y5093" i="1" s="1"/>
  <c r="X5081" i="1"/>
  <c r="Y5081" i="1" s="1"/>
  <c r="X5069" i="1"/>
  <c r="Y5069" i="1" s="1"/>
  <c r="X5057" i="1"/>
  <c r="Y5057" i="1" s="1"/>
  <c r="X5045" i="1"/>
  <c r="Y5045" i="1" s="1"/>
  <c r="X5033" i="1"/>
  <c r="Y5033" i="1" s="1"/>
  <c r="X5021" i="1"/>
  <c r="Y5021" i="1" s="1"/>
  <c r="X5009" i="1"/>
  <c r="Y5009" i="1" s="1"/>
  <c r="X4997" i="1"/>
  <c r="Y4997" i="1" s="1"/>
  <c r="X4985" i="1"/>
  <c r="Y4985" i="1" s="1"/>
  <c r="X4973" i="1"/>
  <c r="Y4973" i="1" s="1"/>
  <c r="X4961" i="1"/>
  <c r="Y4961" i="1" s="1"/>
  <c r="X4949" i="1"/>
  <c r="Y4949" i="1" s="1"/>
  <c r="X4937" i="1"/>
  <c r="Y4937" i="1" s="1"/>
  <c r="X4925" i="1"/>
  <c r="Y4925" i="1" s="1"/>
  <c r="X4913" i="1"/>
  <c r="Y4913" i="1" s="1"/>
  <c r="X4901" i="1"/>
  <c r="Y4901" i="1" s="1"/>
  <c r="X4877" i="1"/>
  <c r="Y4877" i="1" s="1"/>
  <c r="X4865" i="1"/>
  <c r="Y4865" i="1" s="1"/>
  <c r="X4853" i="1"/>
  <c r="Y4853" i="1" s="1"/>
  <c r="X4841" i="1"/>
  <c r="Y4841" i="1" s="1"/>
  <c r="X4829" i="1"/>
  <c r="Y4829" i="1" s="1"/>
  <c r="X4805" i="1"/>
  <c r="Y4805" i="1" s="1"/>
  <c r="X4793" i="1"/>
  <c r="Y4793" i="1" s="1"/>
  <c r="X4781" i="1"/>
  <c r="Y4781" i="1" s="1"/>
  <c r="X4769" i="1"/>
  <c r="Y4769" i="1" s="1"/>
  <c r="X4757" i="1"/>
  <c r="Y4757" i="1" s="1"/>
  <c r="X4733" i="1"/>
  <c r="Y4733" i="1" s="1"/>
  <c r="X4721" i="1"/>
  <c r="Y4721" i="1" s="1"/>
  <c r="X4709" i="1"/>
  <c r="Y4709" i="1" s="1"/>
  <c r="X4697" i="1"/>
  <c r="Y4697" i="1" s="1"/>
  <c r="X4685" i="1"/>
  <c r="Y4685" i="1" s="1"/>
  <c r="X4661" i="1"/>
  <c r="Y4661" i="1" s="1"/>
  <c r="X4649" i="1"/>
  <c r="Y4649" i="1" s="1"/>
  <c r="X4637" i="1"/>
  <c r="Y4637" i="1" s="1"/>
  <c r="X4625" i="1"/>
  <c r="Y4625" i="1" s="1"/>
  <c r="X4613" i="1"/>
  <c r="Y4613" i="1" s="1"/>
  <c r="X4589" i="1"/>
  <c r="Y4589" i="1" s="1"/>
  <c r="X4577" i="1"/>
  <c r="Y4577" i="1" s="1"/>
  <c r="X4565" i="1"/>
  <c r="Y4565" i="1" s="1"/>
  <c r="X4553" i="1"/>
  <c r="Y4553" i="1" s="1"/>
  <c r="X4541" i="1"/>
  <c r="Y4541" i="1" s="1"/>
  <c r="X4517" i="1"/>
  <c r="Y4517" i="1" s="1"/>
  <c r="X4505" i="1"/>
  <c r="Y4505" i="1" s="1"/>
  <c r="X4493" i="1"/>
  <c r="Y4493" i="1" s="1"/>
  <c r="X4481" i="1"/>
  <c r="Y4481" i="1" s="1"/>
  <c r="X4469" i="1"/>
  <c r="Y4469" i="1" s="1"/>
  <c r="X4457" i="1"/>
  <c r="Y4457" i="1" s="1"/>
  <c r="X4445" i="1"/>
  <c r="Y4445" i="1" s="1"/>
  <c r="X4433" i="1"/>
  <c r="Y4433" i="1" s="1"/>
  <c r="X4421" i="1"/>
  <c r="Y4421" i="1" s="1"/>
  <c r="X4409" i="1"/>
  <c r="Y4409" i="1" s="1"/>
  <c r="X4397" i="1"/>
  <c r="Y4397" i="1" s="1"/>
  <c r="X4385" i="1"/>
  <c r="Y4385" i="1" s="1"/>
  <c r="X4373" i="1"/>
  <c r="Y4373" i="1" s="1"/>
  <c r="X4361" i="1"/>
  <c r="Y4361" i="1" s="1"/>
  <c r="X4349" i="1"/>
  <c r="Y4349" i="1" s="1"/>
  <c r="X4337" i="1"/>
  <c r="Y4337" i="1" s="1"/>
  <c r="X4325" i="1"/>
  <c r="Y4325" i="1" s="1"/>
  <c r="X4313" i="1"/>
  <c r="Y4313" i="1" s="1"/>
  <c r="X4301" i="1"/>
  <c r="Y4301" i="1" s="1"/>
  <c r="X4289" i="1"/>
  <c r="Y4289" i="1" s="1"/>
  <c r="X4277" i="1"/>
  <c r="Y4277" i="1" s="1"/>
  <c r="X4265" i="1"/>
  <c r="Y4265" i="1" s="1"/>
  <c r="X4253" i="1"/>
  <c r="Y4253" i="1" s="1"/>
  <c r="X4241" i="1"/>
  <c r="Y4241" i="1" s="1"/>
  <c r="X4229" i="1"/>
  <c r="Y4229" i="1" s="1"/>
  <c r="X4217" i="1"/>
  <c r="Y4217" i="1" s="1"/>
  <c r="X4205" i="1"/>
  <c r="Y4205" i="1" s="1"/>
  <c r="X4193" i="1"/>
  <c r="Y4193" i="1" s="1"/>
  <c r="X4181" i="1"/>
  <c r="Y4181" i="1" s="1"/>
  <c r="X4169" i="1"/>
  <c r="Y4169" i="1" s="1"/>
  <c r="X4157" i="1"/>
  <c r="Y4157" i="1" s="1"/>
  <c r="X4145" i="1"/>
  <c r="Y4145" i="1" s="1"/>
  <c r="X4133" i="1"/>
  <c r="Y4133" i="1" s="1"/>
  <c r="X4121" i="1"/>
  <c r="Y4121" i="1" s="1"/>
  <c r="X4109" i="1"/>
  <c r="Y4109" i="1" s="1"/>
  <c r="X4097" i="1"/>
  <c r="Y4097" i="1" s="1"/>
  <c r="X4085" i="1"/>
  <c r="Y4085" i="1" s="1"/>
  <c r="X4073" i="1"/>
  <c r="Y4073" i="1" s="1"/>
  <c r="X4061" i="1"/>
  <c r="Y4061" i="1" s="1"/>
  <c r="X4049" i="1"/>
  <c r="Y4049" i="1" s="1"/>
  <c r="X4037" i="1"/>
  <c r="Y4037" i="1" s="1"/>
  <c r="X4025" i="1"/>
  <c r="Y4025" i="1" s="1"/>
  <c r="X4013" i="1"/>
  <c r="Y4013" i="1" s="1"/>
  <c r="X4001" i="1"/>
  <c r="Y4001" i="1" s="1"/>
  <c r="X3989" i="1"/>
  <c r="Y3989" i="1" s="1"/>
  <c r="X3977" i="1"/>
  <c r="Y3977" i="1" s="1"/>
  <c r="X3965" i="1"/>
  <c r="Y3965" i="1" s="1"/>
  <c r="X3953" i="1"/>
  <c r="Y3953" i="1" s="1"/>
  <c r="X3941" i="1"/>
  <c r="Y3941" i="1" s="1"/>
  <c r="X3929" i="1"/>
  <c r="Y3929" i="1" s="1"/>
  <c r="X3917" i="1"/>
  <c r="Y3917" i="1" s="1"/>
  <c r="X3905" i="1"/>
  <c r="Y3905" i="1" s="1"/>
  <c r="X3893" i="1"/>
  <c r="Y3893" i="1" s="1"/>
  <c r="X3881" i="1"/>
  <c r="Y3881" i="1" s="1"/>
  <c r="X3869" i="1"/>
  <c r="Y3869" i="1" s="1"/>
  <c r="X3857" i="1"/>
  <c r="Y3857" i="1" s="1"/>
  <c r="X3845" i="1"/>
  <c r="Y3845" i="1" s="1"/>
  <c r="X3833" i="1"/>
  <c r="Y3833" i="1" s="1"/>
  <c r="X5332" i="1"/>
  <c r="Y5332" i="1" s="1"/>
  <c r="X5320" i="1"/>
  <c r="Y5320" i="1" s="1"/>
  <c r="X5308" i="1"/>
  <c r="Y5308" i="1" s="1"/>
  <c r="X5296" i="1"/>
  <c r="Y5296" i="1" s="1"/>
  <c r="X5284" i="1"/>
  <c r="Y5284" i="1" s="1"/>
  <c r="X5272" i="1"/>
  <c r="Y5272" i="1" s="1"/>
  <c r="X5260" i="1"/>
  <c r="Y5260" i="1" s="1"/>
  <c r="X5248" i="1"/>
  <c r="Y5248" i="1" s="1"/>
  <c r="X5236" i="1"/>
  <c r="Y5236" i="1" s="1"/>
  <c r="X5224" i="1"/>
  <c r="Y5224" i="1" s="1"/>
  <c r="X5212" i="1"/>
  <c r="Y5212" i="1" s="1"/>
  <c r="X5200" i="1"/>
  <c r="Y5200" i="1" s="1"/>
  <c r="X5176" i="1"/>
  <c r="Y5176" i="1" s="1"/>
  <c r="X5164" i="1"/>
  <c r="Y5164" i="1" s="1"/>
  <c r="X5140" i="1"/>
  <c r="Y5140" i="1" s="1"/>
  <c r="X5128" i="1"/>
  <c r="Y5128" i="1" s="1"/>
  <c r="X5104" i="1"/>
  <c r="Y5104" i="1" s="1"/>
  <c r="X5092" i="1"/>
  <c r="Y5092" i="1" s="1"/>
  <c r="X5056" i="1"/>
  <c r="Y5056" i="1" s="1"/>
  <c r="X5044" i="1"/>
  <c r="Y5044" i="1" s="1"/>
  <c r="X5020" i="1"/>
  <c r="Y5020" i="1" s="1"/>
  <c r="X5008" i="1"/>
  <c r="Y5008" i="1" s="1"/>
  <c r="X4984" i="1"/>
  <c r="Y4984" i="1" s="1"/>
  <c r="X4972" i="1"/>
  <c r="Y4972" i="1" s="1"/>
  <c r="X4948" i="1"/>
  <c r="Y4948" i="1" s="1"/>
  <c r="X4936" i="1"/>
  <c r="Y4936" i="1" s="1"/>
  <c r="X4924" i="1"/>
  <c r="Y4924" i="1" s="1"/>
  <c r="X4912" i="1"/>
  <c r="Y4912" i="1" s="1"/>
  <c r="X4900" i="1"/>
  <c r="Y4900" i="1" s="1"/>
  <c r="X4888" i="1"/>
  <c r="Y4888" i="1" s="1"/>
  <c r="X4876" i="1"/>
  <c r="Y4876" i="1" s="1"/>
  <c r="X4864" i="1"/>
  <c r="Y4864" i="1" s="1"/>
  <c r="X4852" i="1"/>
  <c r="Y4852" i="1" s="1"/>
  <c r="X4840" i="1"/>
  <c r="Y4840" i="1" s="1"/>
  <c r="X4828" i="1"/>
  <c r="Y4828" i="1" s="1"/>
  <c r="X4816" i="1"/>
  <c r="Y4816" i="1" s="1"/>
  <c r="X4804" i="1"/>
  <c r="Y4804" i="1" s="1"/>
  <c r="X4792" i="1"/>
  <c r="Y4792" i="1" s="1"/>
  <c r="X4780" i="1"/>
  <c r="Y4780" i="1" s="1"/>
  <c r="X4768" i="1"/>
  <c r="Y4768" i="1" s="1"/>
  <c r="X4756" i="1"/>
  <c r="Y4756" i="1" s="1"/>
  <c r="X4744" i="1"/>
  <c r="Y4744" i="1" s="1"/>
  <c r="X4732" i="1"/>
  <c r="Y4732" i="1" s="1"/>
  <c r="X4720" i="1"/>
  <c r="Y4720" i="1" s="1"/>
  <c r="X4708" i="1"/>
  <c r="Y4708" i="1" s="1"/>
  <c r="X4696" i="1"/>
  <c r="Y4696" i="1" s="1"/>
  <c r="X4684" i="1"/>
  <c r="Y4684" i="1" s="1"/>
  <c r="X4672" i="1"/>
  <c r="Y4672" i="1" s="1"/>
  <c r="X4660" i="1"/>
  <c r="Y4660" i="1" s="1"/>
  <c r="X4648" i="1"/>
  <c r="Y4648" i="1" s="1"/>
  <c r="X4636" i="1"/>
  <c r="Y4636" i="1" s="1"/>
  <c r="X4624" i="1"/>
  <c r="Y4624" i="1" s="1"/>
  <c r="X4612" i="1"/>
  <c r="Y4612" i="1" s="1"/>
  <c r="X4600" i="1"/>
  <c r="Y4600" i="1" s="1"/>
  <c r="X4588" i="1"/>
  <c r="Y4588" i="1" s="1"/>
  <c r="X4576" i="1"/>
  <c r="Y4576" i="1" s="1"/>
  <c r="X4564" i="1"/>
  <c r="Y4564" i="1" s="1"/>
  <c r="X4552" i="1"/>
  <c r="Y4552" i="1" s="1"/>
  <c r="X4540" i="1"/>
  <c r="Y4540" i="1" s="1"/>
  <c r="X4528" i="1"/>
  <c r="Y4528" i="1" s="1"/>
  <c r="X4516" i="1"/>
  <c r="Y4516" i="1" s="1"/>
  <c r="X4504" i="1"/>
  <c r="Y4504" i="1" s="1"/>
  <c r="X4492" i="1"/>
  <c r="Y4492" i="1" s="1"/>
  <c r="X4480" i="1"/>
  <c r="Y4480" i="1" s="1"/>
  <c r="X4468" i="1"/>
  <c r="Y4468" i="1" s="1"/>
  <c r="X4456" i="1"/>
  <c r="Y4456" i="1" s="1"/>
  <c r="X4432" i="1"/>
  <c r="Y4432" i="1" s="1"/>
  <c r="X4420" i="1"/>
  <c r="Y4420" i="1" s="1"/>
  <c r="X4408" i="1"/>
  <c r="Y4408" i="1" s="1"/>
  <c r="X4396" i="1"/>
  <c r="Y4396" i="1" s="1"/>
  <c r="X4384" i="1"/>
  <c r="Y4384" i="1" s="1"/>
  <c r="X4372" i="1"/>
  <c r="Y4372" i="1" s="1"/>
  <c r="X4360" i="1"/>
  <c r="Y4360" i="1" s="1"/>
  <c r="X4348" i="1"/>
  <c r="Y4348" i="1" s="1"/>
  <c r="X4336" i="1"/>
  <c r="Y4336" i="1" s="1"/>
  <c r="X4324" i="1"/>
  <c r="Y4324" i="1" s="1"/>
  <c r="X4312" i="1"/>
  <c r="Y4312" i="1" s="1"/>
  <c r="X4300" i="1"/>
  <c r="Y4300" i="1" s="1"/>
  <c r="X4288" i="1"/>
  <c r="Y4288" i="1" s="1"/>
  <c r="X4276" i="1"/>
  <c r="Y4276" i="1" s="1"/>
  <c r="X4264" i="1"/>
  <c r="Y4264" i="1" s="1"/>
  <c r="X4252" i="1"/>
  <c r="Y4252" i="1" s="1"/>
  <c r="X4240" i="1"/>
  <c r="Y4240" i="1" s="1"/>
  <c r="X4228" i="1"/>
  <c r="Y4228" i="1" s="1"/>
  <c r="X4216" i="1"/>
  <c r="Y4216" i="1" s="1"/>
  <c r="X4204" i="1"/>
  <c r="Y4204" i="1" s="1"/>
  <c r="X4192" i="1"/>
  <c r="Y4192" i="1" s="1"/>
  <c r="X4180" i="1"/>
  <c r="Y4180" i="1" s="1"/>
  <c r="X4168" i="1"/>
  <c r="Y4168" i="1" s="1"/>
  <c r="X4156" i="1"/>
  <c r="Y4156" i="1" s="1"/>
  <c r="X4144" i="1"/>
  <c r="Y4144" i="1" s="1"/>
  <c r="X4132" i="1"/>
  <c r="Y4132" i="1" s="1"/>
  <c r="X5199" i="1"/>
  <c r="Y5199" i="1" s="1"/>
  <c r="X5187" i="1"/>
  <c r="Y5187" i="1" s="1"/>
  <c r="X5175" i="1"/>
  <c r="Y5175" i="1" s="1"/>
  <c r="X5163" i="1"/>
  <c r="Y5163" i="1" s="1"/>
  <c r="X5151" i="1"/>
  <c r="Y5151" i="1" s="1"/>
  <c r="X5139" i="1"/>
  <c r="Y5139" i="1" s="1"/>
  <c r="X5127" i="1"/>
  <c r="Y5127" i="1" s="1"/>
  <c r="X5115" i="1"/>
  <c r="Y5115" i="1" s="1"/>
  <c r="X5103" i="1"/>
  <c r="Y5103" i="1" s="1"/>
  <c r="X5091" i="1"/>
  <c r="Y5091" i="1" s="1"/>
  <c r="X5079" i="1"/>
  <c r="Y5079" i="1" s="1"/>
  <c r="X5067" i="1"/>
  <c r="Y5067" i="1" s="1"/>
  <c r="X5055" i="1"/>
  <c r="Y5055" i="1" s="1"/>
  <c r="X5043" i="1"/>
  <c r="Y5043" i="1" s="1"/>
  <c r="X5031" i="1"/>
  <c r="Y5031" i="1" s="1"/>
  <c r="X5019" i="1"/>
  <c r="Y5019" i="1" s="1"/>
  <c r="X5007" i="1"/>
  <c r="Y5007" i="1" s="1"/>
  <c r="X4995" i="1"/>
  <c r="Y4995" i="1" s="1"/>
  <c r="X4983" i="1"/>
  <c r="Y4983" i="1" s="1"/>
  <c r="X4971" i="1"/>
  <c r="Y4971" i="1" s="1"/>
  <c r="X4959" i="1"/>
  <c r="Y4959" i="1" s="1"/>
  <c r="X4947" i="1"/>
  <c r="Y4947" i="1" s="1"/>
  <c r="X4935" i="1"/>
  <c r="Y4935" i="1" s="1"/>
  <c r="X4923" i="1"/>
  <c r="Y4923" i="1" s="1"/>
  <c r="X4911" i="1"/>
  <c r="Y4911" i="1" s="1"/>
  <c r="X4899" i="1"/>
  <c r="Y4899" i="1" s="1"/>
  <c r="X4887" i="1"/>
  <c r="Y4887" i="1" s="1"/>
  <c r="X4875" i="1"/>
  <c r="Y4875" i="1" s="1"/>
  <c r="X4863" i="1"/>
  <c r="Y4863" i="1" s="1"/>
  <c r="X4851" i="1"/>
  <c r="Y4851" i="1" s="1"/>
  <c r="X4839" i="1"/>
  <c r="Y4839" i="1" s="1"/>
  <c r="X4827" i="1"/>
  <c r="Y4827" i="1" s="1"/>
  <c r="X4815" i="1"/>
  <c r="Y4815" i="1" s="1"/>
  <c r="X4803" i="1"/>
  <c r="Y4803" i="1" s="1"/>
  <c r="X4791" i="1"/>
  <c r="Y4791" i="1" s="1"/>
  <c r="X4779" i="1"/>
  <c r="Y4779" i="1" s="1"/>
  <c r="X4767" i="1"/>
  <c r="Y4767" i="1" s="1"/>
  <c r="X4755" i="1"/>
  <c r="Y4755" i="1" s="1"/>
  <c r="X4743" i="1"/>
  <c r="Y4743" i="1" s="1"/>
  <c r="X4731" i="1"/>
  <c r="Y4731" i="1" s="1"/>
  <c r="X4719" i="1"/>
  <c r="Y4719" i="1" s="1"/>
  <c r="X5327" i="1"/>
  <c r="Y5327" i="1" s="1"/>
  <c r="X5315" i="1"/>
  <c r="Y5315" i="1" s="1"/>
  <c r="X5303" i="1"/>
  <c r="Y5303" i="1" s="1"/>
  <c r="X5291" i="1"/>
  <c r="Y5291" i="1" s="1"/>
  <c r="X5279" i="1"/>
  <c r="Y5279" i="1" s="1"/>
  <c r="X5267" i="1"/>
  <c r="Y5267" i="1" s="1"/>
  <c r="X5255" i="1"/>
  <c r="Y5255" i="1" s="1"/>
  <c r="X5243" i="1"/>
  <c r="Y5243" i="1" s="1"/>
  <c r="X5231" i="1"/>
  <c r="Y5231" i="1" s="1"/>
  <c r="X5219" i="1"/>
  <c r="Y5219" i="1" s="1"/>
  <c r="X5207" i="1"/>
  <c r="Y5207" i="1" s="1"/>
  <c r="X5195" i="1"/>
  <c r="Y5195" i="1" s="1"/>
  <c r="X5183" i="1"/>
  <c r="Y5183" i="1" s="1"/>
  <c r="X5171" i="1"/>
  <c r="Y5171" i="1" s="1"/>
  <c r="X5159" i="1"/>
  <c r="Y5159" i="1" s="1"/>
  <c r="X5147" i="1"/>
  <c r="Y5147" i="1" s="1"/>
  <c r="X5135" i="1"/>
  <c r="Y5135" i="1" s="1"/>
  <c r="X5123" i="1"/>
  <c r="Y5123" i="1" s="1"/>
  <c r="X5111" i="1"/>
  <c r="Y5111" i="1" s="1"/>
  <c r="X5099" i="1"/>
  <c r="Y5099" i="1" s="1"/>
  <c r="X5087" i="1"/>
  <c r="Y5087" i="1" s="1"/>
  <c r="X5075" i="1"/>
  <c r="Y5075" i="1" s="1"/>
  <c r="X5063" i="1"/>
  <c r="Y5063" i="1" s="1"/>
  <c r="X5051" i="1"/>
  <c r="Y5051" i="1" s="1"/>
  <c r="X5039" i="1"/>
  <c r="Y5039" i="1" s="1"/>
  <c r="X5027" i="1"/>
  <c r="Y5027" i="1" s="1"/>
  <c r="X5015" i="1"/>
  <c r="Y5015" i="1" s="1"/>
  <c r="X5003" i="1"/>
  <c r="Y5003" i="1" s="1"/>
  <c r="X4991" i="1"/>
  <c r="Y4991" i="1" s="1"/>
  <c r="X4979" i="1"/>
  <c r="Y4979" i="1" s="1"/>
  <c r="X4967" i="1"/>
  <c r="Y4967" i="1" s="1"/>
  <c r="X4955" i="1"/>
  <c r="Y4955" i="1" s="1"/>
  <c r="X4943" i="1"/>
  <c r="Y4943" i="1" s="1"/>
  <c r="X4931" i="1"/>
  <c r="Y4931" i="1" s="1"/>
  <c r="X4919" i="1"/>
  <c r="Y4919" i="1" s="1"/>
  <c r="X4907" i="1"/>
  <c r="Y4907" i="1" s="1"/>
  <c r="X4895" i="1"/>
  <c r="Y4895" i="1" s="1"/>
  <c r="X4883" i="1"/>
  <c r="Y4883" i="1" s="1"/>
  <c r="X4871" i="1"/>
  <c r="Y4871" i="1" s="1"/>
  <c r="X4859" i="1"/>
  <c r="Y4859" i="1" s="1"/>
  <c r="X4847" i="1"/>
  <c r="Y4847" i="1" s="1"/>
  <c r="X4835" i="1"/>
  <c r="Y4835" i="1" s="1"/>
  <c r="X4823" i="1"/>
  <c r="Y4823" i="1" s="1"/>
  <c r="X4811" i="1"/>
  <c r="Y4811" i="1" s="1"/>
  <c r="X4799" i="1"/>
  <c r="Y4799" i="1" s="1"/>
  <c r="X4787" i="1"/>
  <c r="Y4787" i="1" s="1"/>
  <c r="X4775" i="1"/>
  <c r="Y4775" i="1" s="1"/>
  <c r="X4763" i="1"/>
  <c r="Y4763" i="1" s="1"/>
  <c r="X5335" i="1"/>
  <c r="Y5335" i="1" s="1"/>
  <c r="X5323" i="1"/>
  <c r="Y5323" i="1" s="1"/>
  <c r="X5311" i="1"/>
  <c r="Y5311" i="1" s="1"/>
  <c r="X5299" i="1"/>
  <c r="Y5299" i="1" s="1"/>
  <c r="X5287" i="1"/>
  <c r="Y5287" i="1" s="1"/>
  <c r="X5275" i="1"/>
  <c r="Y5275" i="1" s="1"/>
  <c r="X5263" i="1"/>
  <c r="Y5263" i="1" s="1"/>
  <c r="X5251" i="1"/>
  <c r="Y5251" i="1" s="1"/>
  <c r="X5239" i="1"/>
  <c r="Y5239" i="1" s="1"/>
  <c r="X5227" i="1"/>
  <c r="Y5227" i="1" s="1"/>
  <c r="X5215" i="1"/>
  <c r="Y5215" i="1" s="1"/>
  <c r="X5203" i="1"/>
  <c r="Y5203" i="1" s="1"/>
  <c r="X5191" i="1"/>
  <c r="Y5191" i="1" s="1"/>
  <c r="X5179" i="1"/>
  <c r="Y5179" i="1" s="1"/>
  <c r="X5167" i="1"/>
  <c r="Y5167" i="1" s="1"/>
  <c r="X5155" i="1"/>
  <c r="Y5155" i="1" s="1"/>
  <c r="X5143" i="1"/>
  <c r="Y5143" i="1" s="1"/>
  <c r="X5131" i="1"/>
  <c r="Y5131" i="1" s="1"/>
  <c r="X5119" i="1"/>
  <c r="Y5119" i="1" s="1"/>
  <c r="X5107" i="1"/>
  <c r="Y5107" i="1" s="1"/>
  <c r="X5095" i="1"/>
  <c r="Y5095" i="1" s="1"/>
  <c r="X5083" i="1"/>
  <c r="Y5083" i="1" s="1"/>
  <c r="X5071" i="1"/>
  <c r="Y5071" i="1" s="1"/>
  <c r="X5059" i="1"/>
  <c r="Y5059" i="1" s="1"/>
  <c r="X5047" i="1"/>
  <c r="Y5047" i="1" s="1"/>
  <c r="X5035" i="1"/>
  <c r="Y5035" i="1" s="1"/>
  <c r="X5023" i="1"/>
  <c r="Y5023" i="1" s="1"/>
  <c r="X5011" i="1"/>
  <c r="Y5011" i="1" s="1"/>
  <c r="X4999" i="1"/>
  <c r="Y4999" i="1" s="1"/>
  <c r="X4987" i="1"/>
  <c r="Y4987" i="1" s="1"/>
  <c r="X4975" i="1"/>
  <c r="Y4975" i="1" s="1"/>
  <c r="X4963" i="1"/>
  <c r="Y4963" i="1" s="1"/>
  <c r="X4951" i="1"/>
  <c r="Y4951" i="1" s="1"/>
  <c r="X4939" i="1"/>
  <c r="Y4939" i="1" s="1"/>
  <c r="X4927" i="1"/>
  <c r="Y4927" i="1" s="1"/>
  <c r="X4915" i="1"/>
  <c r="Y4915" i="1" s="1"/>
  <c r="X4903" i="1"/>
  <c r="Y4903" i="1" s="1"/>
  <c r="X4891" i="1"/>
  <c r="Y4891" i="1" s="1"/>
  <c r="X4879" i="1"/>
  <c r="Y4879" i="1" s="1"/>
  <c r="X4867" i="1"/>
  <c r="Y4867" i="1" s="1"/>
  <c r="X4855" i="1"/>
  <c r="Y4855" i="1" s="1"/>
  <c r="X4843" i="1"/>
  <c r="Y4843" i="1" s="1"/>
  <c r="X4831" i="1"/>
  <c r="Y4831" i="1" s="1"/>
  <c r="X4819" i="1"/>
  <c r="Y4819" i="1" s="1"/>
  <c r="X4807" i="1"/>
  <c r="Y4807" i="1" s="1"/>
  <c r="X4795" i="1"/>
  <c r="Y4795" i="1" s="1"/>
  <c r="X4783" i="1"/>
  <c r="Y4783" i="1" s="1"/>
  <c r="X4771" i="1"/>
  <c r="Y4771" i="1" s="1"/>
  <c r="X4759" i="1"/>
  <c r="Y4759" i="1" s="1"/>
  <c r="X4374" i="1"/>
  <c r="Y4374" i="1" s="1"/>
  <c r="X4362" i="1"/>
  <c r="Y4362" i="1" s="1"/>
  <c r="X4338" i="1"/>
  <c r="Y4338" i="1" s="1"/>
  <c r="X4326" i="1"/>
  <c r="Y4326" i="1" s="1"/>
  <c r="X4314" i="1"/>
  <c r="Y4314" i="1" s="1"/>
  <c r="X4302" i="1"/>
  <c r="Y4302" i="1" s="1"/>
  <c r="X4290" i="1"/>
  <c r="Y4290" i="1" s="1"/>
  <c r="X4278" i="1"/>
  <c r="Y4278" i="1" s="1"/>
  <c r="X4254" i="1"/>
  <c r="Y4254" i="1" s="1"/>
  <c r="X4242" i="1"/>
  <c r="Y4242" i="1" s="1"/>
  <c r="X4230" i="1"/>
  <c r="Y4230" i="1" s="1"/>
  <c r="X4218" i="1"/>
  <c r="Y4218" i="1" s="1"/>
  <c r="X4206" i="1"/>
  <c r="Y4206" i="1" s="1"/>
  <c r="X4194" i="1"/>
  <c r="Y4194" i="1" s="1"/>
  <c r="X4182" i="1"/>
  <c r="Y4182" i="1" s="1"/>
  <c r="X4170" i="1"/>
  <c r="Y4170" i="1" s="1"/>
  <c r="X4158" i="1"/>
  <c r="Y4158" i="1" s="1"/>
  <c r="X4146" i="1"/>
  <c r="Y4146" i="1" s="1"/>
  <c r="X4134" i="1"/>
  <c r="Y4134" i="1" s="1"/>
  <c r="X4122" i="1"/>
  <c r="Y4122" i="1" s="1"/>
  <c r="X4110" i="1"/>
  <c r="Y4110" i="1" s="1"/>
  <c r="X4098" i="1"/>
  <c r="Y4098" i="1" s="1"/>
  <c r="X4086" i="1"/>
  <c r="Y4086" i="1" s="1"/>
  <c r="X4074" i="1"/>
  <c r="Y4074" i="1" s="1"/>
  <c r="X4062" i="1"/>
  <c r="Y4062" i="1" s="1"/>
  <c r="X4050" i="1"/>
  <c r="Y4050" i="1" s="1"/>
  <c r="X4038" i="1"/>
  <c r="Y4038" i="1" s="1"/>
  <c r="X4026" i="1"/>
  <c r="Y4026" i="1" s="1"/>
  <c r="X4014" i="1"/>
  <c r="Y4014" i="1" s="1"/>
  <c r="X4002" i="1"/>
  <c r="Y4002" i="1" s="1"/>
  <c r="X3990" i="1"/>
  <c r="Y3990" i="1" s="1"/>
  <c r="X3978" i="1"/>
  <c r="Y3978" i="1" s="1"/>
  <c r="X3966" i="1"/>
  <c r="Y3966" i="1" s="1"/>
  <c r="X3954" i="1"/>
  <c r="Y3954" i="1" s="1"/>
  <c r="X3942" i="1"/>
  <c r="Y3942" i="1" s="1"/>
  <c r="X3930" i="1"/>
  <c r="Y3930" i="1" s="1"/>
  <c r="X3918" i="1"/>
  <c r="Y3918" i="1" s="1"/>
  <c r="X3906" i="1"/>
  <c r="Y3906" i="1" s="1"/>
  <c r="X3894" i="1"/>
  <c r="Y3894" i="1" s="1"/>
  <c r="X3882" i="1"/>
  <c r="Y3882" i="1" s="1"/>
  <c r="X3870" i="1"/>
  <c r="Y3870" i="1" s="1"/>
  <c r="X3858" i="1"/>
  <c r="Y3858" i="1" s="1"/>
  <c r="X3846" i="1"/>
  <c r="Y3846" i="1" s="1"/>
  <c r="X3834" i="1"/>
  <c r="Y3834" i="1" s="1"/>
  <c r="X3822" i="1"/>
  <c r="Y3822" i="1" s="1"/>
  <c r="X3810" i="1"/>
  <c r="Y3810" i="1" s="1"/>
  <c r="X3798" i="1"/>
  <c r="Y3798" i="1" s="1"/>
  <c r="X3786" i="1"/>
  <c r="Y3786" i="1" s="1"/>
  <c r="X3774" i="1"/>
  <c r="Y3774" i="1" s="1"/>
  <c r="X3762" i="1"/>
  <c r="Y3762" i="1" s="1"/>
  <c r="X3750" i="1"/>
  <c r="Y3750" i="1" s="1"/>
  <c r="X3738" i="1"/>
  <c r="Y3738" i="1" s="1"/>
  <c r="X3726" i="1"/>
  <c r="Y3726" i="1" s="1"/>
  <c r="X3714" i="1"/>
  <c r="Y3714" i="1" s="1"/>
  <c r="X3702" i="1"/>
  <c r="Y3702" i="1" s="1"/>
  <c r="X3690" i="1"/>
  <c r="Y3690" i="1" s="1"/>
  <c r="X3678" i="1"/>
  <c r="Y3678" i="1" s="1"/>
  <c r="X3666" i="1"/>
  <c r="Y3666" i="1" s="1"/>
  <c r="X3654" i="1"/>
  <c r="Y3654" i="1" s="1"/>
  <c r="X3642" i="1"/>
  <c r="Y3642" i="1" s="1"/>
  <c r="X3630" i="1"/>
  <c r="Y3630" i="1" s="1"/>
  <c r="X3618" i="1"/>
  <c r="Y3618" i="1" s="1"/>
  <c r="X3606" i="1"/>
  <c r="Y3606" i="1" s="1"/>
  <c r="X3594" i="1"/>
  <c r="Y3594" i="1" s="1"/>
  <c r="X3582" i="1"/>
  <c r="Y3582" i="1" s="1"/>
  <c r="X3570" i="1"/>
  <c r="Y3570" i="1" s="1"/>
  <c r="X3558" i="1"/>
  <c r="Y3558" i="1" s="1"/>
  <c r="X3546" i="1"/>
  <c r="Y3546" i="1" s="1"/>
  <c r="X3534" i="1"/>
  <c r="Y3534" i="1" s="1"/>
  <c r="X3522" i="1"/>
  <c r="Y3522" i="1" s="1"/>
  <c r="X3510" i="1"/>
  <c r="Y3510" i="1" s="1"/>
  <c r="X3498" i="1"/>
  <c r="Y3498" i="1" s="1"/>
  <c r="X3486" i="1"/>
  <c r="Y3486" i="1" s="1"/>
  <c r="X3474" i="1"/>
  <c r="Y3474" i="1" s="1"/>
  <c r="X3462" i="1"/>
  <c r="Y3462" i="1" s="1"/>
  <c r="X3450" i="1"/>
  <c r="Y3450" i="1" s="1"/>
  <c r="X3438" i="1"/>
  <c r="Y3438" i="1" s="1"/>
  <c r="X3426" i="1"/>
  <c r="Y3426" i="1" s="1"/>
  <c r="X3414" i="1"/>
  <c r="Y3414" i="1" s="1"/>
  <c r="X3402" i="1"/>
  <c r="Y3402" i="1" s="1"/>
  <c r="X3390" i="1"/>
  <c r="Y3390" i="1" s="1"/>
  <c r="X3378" i="1"/>
  <c r="Y3378" i="1" s="1"/>
  <c r="X3366" i="1"/>
  <c r="Y3366" i="1" s="1"/>
  <c r="X3354" i="1"/>
  <c r="Y3354" i="1" s="1"/>
  <c r="X3342" i="1"/>
  <c r="Y3342" i="1" s="1"/>
  <c r="X3330" i="1"/>
  <c r="Y3330" i="1" s="1"/>
  <c r="X3318" i="1"/>
  <c r="Y3318" i="1" s="1"/>
  <c r="X3306" i="1"/>
  <c r="Y3306" i="1" s="1"/>
  <c r="X3294" i="1"/>
  <c r="Y3294" i="1" s="1"/>
  <c r="X3282" i="1"/>
  <c r="Y3282" i="1" s="1"/>
  <c r="X3270" i="1"/>
  <c r="Y3270" i="1" s="1"/>
  <c r="X3258" i="1"/>
  <c r="Y3258" i="1" s="1"/>
  <c r="X3246" i="1"/>
  <c r="Y3246" i="1" s="1"/>
  <c r="X3234" i="1"/>
  <c r="Y3234" i="1" s="1"/>
  <c r="X3222" i="1"/>
  <c r="Y3222" i="1" s="1"/>
  <c r="X3210" i="1"/>
  <c r="Y3210" i="1" s="1"/>
  <c r="X3198" i="1"/>
  <c r="Y3198" i="1" s="1"/>
  <c r="X3186" i="1"/>
  <c r="Y3186" i="1" s="1"/>
  <c r="X3174" i="1"/>
  <c r="Y3174" i="1" s="1"/>
  <c r="X3162" i="1"/>
  <c r="Y3162" i="1" s="1"/>
  <c r="X3150" i="1"/>
  <c r="Y3150" i="1" s="1"/>
  <c r="X3138" i="1"/>
  <c r="Y3138" i="1" s="1"/>
  <c r="X3126" i="1"/>
  <c r="Y3126" i="1" s="1"/>
  <c r="X3114" i="1"/>
  <c r="Y3114" i="1" s="1"/>
  <c r="X3102" i="1"/>
  <c r="Y3102" i="1" s="1"/>
  <c r="X3090" i="1"/>
  <c r="Y3090" i="1" s="1"/>
  <c r="X3078" i="1"/>
  <c r="Y3078" i="1" s="1"/>
  <c r="X3066" i="1"/>
  <c r="Y3066" i="1" s="1"/>
  <c r="X3054" i="1"/>
  <c r="Y3054" i="1" s="1"/>
  <c r="X3042" i="1"/>
  <c r="Y3042" i="1" s="1"/>
  <c r="X3030" i="1"/>
  <c r="Y3030" i="1" s="1"/>
  <c r="X3018" i="1"/>
  <c r="Y3018" i="1" s="1"/>
  <c r="X3006" i="1"/>
  <c r="Y3006" i="1" s="1"/>
  <c r="X2994" i="1"/>
  <c r="Y2994" i="1" s="1"/>
  <c r="X2982" i="1"/>
  <c r="Y2982" i="1" s="1"/>
  <c r="X2970" i="1"/>
  <c r="Y2970" i="1" s="1"/>
  <c r="X2958" i="1"/>
  <c r="Y2958" i="1" s="1"/>
  <c r="X2946" i="1"/>
  <c r="Y2946" i="1" s="1"/>
  <c r="X2934" i="1"/>
  <c r="Y2934" i="1" s="1"/>
  <c r="X2922" i="1"/>
  <c r="Y2922" i="1" s="1"/>
  <c r="X2910" i="1"/>
  <c r="Y2910" i="1" s="1"/>
  <c r="X2898" i="1"/>
  <c r="Y2898" i="1" s="1"/>
  <c r="X2886" i="1"/>
  <c r="Y2886" i="1" s="1"/>
  <c r="X2874" i="1"/>
  <c r="Y2874" i="1" s="1"/>
  <c r="X2862" i="1"/>
  <c r="Y2862" i="1" s="1"/>
  <c r="X2850" i="1"/>
  <c r="Y2850" i="1" s="1"/>
  <c r="X2838" i="1"/>
  <c r="Y2838" i="1" s="1"/>
  <c r="X2826" i="1"/>
  <c r="Y2826" i="1" s="1"/>
  <c r="X2814" i="1"/>
  <c r="Y2814" i="1" s="1"/>
  <c r="X2802" i="1"/>
  <c r="Y2802" i="1" s="1"/>
  <c r="X2790" i="1"/>
  <c r="Y2790" i="1" s="1"/>
  <c r="X2778" i="1"/>
  <c r="Y2778" i="1" s="1"/>
  <c r="X2766" i="1"/>
  <c r="Y2766" i="1" s="1"/>
  <c r="X2754" i="1"/>
  <c r="Y2754" i="1" s="1"/>
  <c r="X2742" i="1"/>
  <c r="Y2742" i="1" s="1"/>
  <c r="X2730" i="1"/>
  <c r="Y2730" i="1" s="1"/>
  <c r="X2718" i="1"/>
  <c r="Y2718" i="1" s="1"/>
  <c r="X2706" i="1"/>
  <c r="Y2706" i="1" s="1"/>
  <c r="X2694" i="1"/>
  <c r="Y2694" i="1" s="1"/>
  <c r="X2682" i="1"/>
  <c r="Y2682" i="1" s="1"/>
  <c r="X2670" i="1"/>
  <c r="Y2670" i="1" s="1"/>
  <c r="X2658" i="1"/>
  <c r="Y2658" i="1" s="1"/>
  <c r="X2646" i="1"/>
  <c r="Y2646" i="1" s="1"/>
  <c r="X2634" i="1"/>
  <c r="Y2634" i="1" s="1"/>
  <c r="X2622" i="1"/>
  <c r="Y2622" i="1" s="1"/>
  <c r="X2610" i="1"/>
  <c r="Y2610" i="1" s="1"/>
  <c r="X2598" i="1"/>
  <c r="Y2598" i="1" s="1"/>
  <c r="X2586" i="1"/>
  <c r="Y2586" i="1" s="1"/>
  <c r="X2574" i="1"/>
  <c r="Y2574" i="1" s="1"/>
  <c r="X2562" i="1"/>
  <c r="Y2562" i="1" s="1"/>
  <c r="X2550" i="1"/>
  <c r="Y2550" i="1" s="1"/>
  <c r="X2538" i="1"/>
  <c r="Y2538" i="1" s="1"/>
  <c r="X2526" i="1"/>
  <c r="Y2526" i="1" s="1"/>
  <c r="X2514" i="1"/>
  <c r="Y2514" i="1" s="1"/>
  <c r="X2502" i="1"/>
  <c r="Y2502" i="1" s="1"/>
  <c r="X2490" i="1"/>
  <c r="Y2490" i="1" s="1"/>
  <c r="X2478" i="1"/>
  <c r="Y2478" i="1" s="1"/>
  <c r="X2466" i="1"/>
  <c r="Y2466" i="1" s="1"/>
  <c r="X2454" i="1"/>
  <c r="Y2454" i="1" s="1"/>
  <c r="X2442" i="1"/>
  <c r="Y2442" i="1" s="1"/>
  <c r="X2430" i="1"/>
  <c r="Y2430" i="1" s="1"/>
  <c r="X2418" i="1"/>
  <c r="Y2418" i="1" s="1"/>
  <c r="X2406" i="1"/>
  <c r="Y2406" i="1" s="1"/>
  <c r="X3821" i="1"/>
  <c r="Y3821" i="1" s="1"/>
  <c r="X3809" i="1"/>
  <c r="Y3809" i="1" s="1"/>
  <c r="X3797" i="1"/>
  <c r="Y3797" i="1" s="1"/>
  <c r="X3785" i="1"/>
  <c r="Y3785" i="1" s="1"/>
  <c r="X3773" i="1"/>
  <c r="Y3773" i="1" s="1"/>
  <c r="X3761" i="1"/>
  <c r="Y3761" i="1" s="1"/>
  <c r="X3749" i="1"/>
  <c r="Y3749" i="1" s="1"/>
  <c r="X3737" i="1"/>
  <c r="Y3737" i="1" s="1"/>
  <c r="X3713" i="1"/>
  <c r="Y3713" i="1" s="1"/>
  <c r="X3701" i="1"/>
  <c r="Y3701" i="1" s="1"/>
  <c r="X3689" i="1"/>
  <c r="Y3689" i="1" s="1"/>
  <c r="X3677" i="1"/>
  <c r="Y3677" i="1" s="1"/>
  <c r="X3665" i="1"/>
  <c r="Y3665" i="1" s="1"/>
  <c r="X3653" i="1"/>
  <c r="Y3653" i="1" s="1"/>
  <c r="X3641" i="1"/>
  <c r="Y3641" i="1" s="1"/>
  <c r="X3629" i="1"/>
  <c r="Y3629" i="1" s="1"/>
  <c r="X3617" i="1"/>
  <c r="Y3617" i="1" s="1"/>
  <c r="X3605" i="1"/>
  <c r="Y3605" i="1" s="1"/>
  <c r="X3593" i="1"/>
  <c r="Y3593" i="1" s="1"/>
  <c r="X3581" i="1"/>
  <c r="Y3581" i="1" s="1"/>
  <c r="X3569" i="1"/>
  <c r="Y3569" i="1" s="1"/>
  <c r="X3557" i="1"/>
  <c r="Y3557" i="1" s="1"/>
  <c r="X3545" i="1"/>
  <c r="Y3545" i="1" s="1"/>
  <c r="X3533" i="1"/>
  <c r="Y3533" i="1" s="1"/>
  <c r="X3521" i="1"/>
  <c r="Y3521" i="1" s="1"/>
  <c r="X3509" i="1"/>
  <c r="Y3509" i="1" s="1"/>
  <c r="X3497" i="1"/>
  <c r="Y3497" i="1" s="1"/>
  <c r="X3485" i="1"/>
  <c r="Y3485" i="1" s="1"/>
  <c r="X3473" i="1"/>
  <c r="Y3473" i="1" s="1"/>
  <c r="X3461" i="1"/>
  <c r="Y3461" i="1" s="1"/>
  <c r="X3449" i="1"/>
  <c r="Y3449" i="1" s="1"/>
  <c r="X3437" i="1"/>
  <c r="Y3437" i="1" s="1"/>
  <c r="X3425" i="1"/>
  <c r="Y3425" i="1" s="1"/>
  <c r="X3413" i="1"/>
  <c r="Y3413" i="1" s="1"/>
  <c r="X3401" i="1"/>
  <c r="Y3401" i="1" s="1"/>
  <c r="X3389" i="1"/>
  <c r="Y3389" i="1" s="1"/>
  <c r="X3377" i="1"/>
  <c r="Y3377" i="1" s="1"/>
  <c r="X3365" i="1"/>
  <c r="Y3365" i="1" s="1"/>
  <c r="X3353" i="1"/>
  <c r="Y3353" i="1" s="1"/>
  <c r="X3341" i="1"/>
  <c r="Y3341" i="1" s="1"/>
  <c r="X3329" i="1"/>
  <c r="Y3329" i="1" s="1"/>
  <c r="X3317" i="1"/>
  <c r="Y3317" i="1" s="1"/>
  <c r="X3305" i="1"/>
  <c r="Y3305" i="1" s="1"/>
  <c r="X3293" i="1"/>
  <c r="Y3293" i="1" s="1"/>
  <c r="X3281" i="1"/>
  <c r="Y3281" i="1" s="1"/>
  <c r="X3269" i="1"/>
  <c r="Y3269" i="1" s="1"/>
  <c r="X3257" i="1"/>
  <c r="Y3257" i="1" s="1"/>
  <c r="X3245" i="1"/>
  <c r="Y3245" i="1" s="1"/>
  <c r="X3233" i="1"/>
  <c r="Y3233" i="1" s="1"/>
  <c r="X3221" i="1"/>
  <c r="Y3221" i="1" s="1"/>
  <c r="X3209" i="1"/>
  <c r="Y3209" i="1" s="1"/>
  <c r="X3197" i="1"/>
  <c r="Y3197" i="1" s="1"/>
  <c r="X3185" i="1"/>
  <c r="Y3185" i="1" s="1"/>
  <c r="X3173" i="1"/>
  <c r="Y3173" i="1" s="1"/>
  <c r="X3161" i="1"/>
  <c r="Y3161" i="1" s="1"/>
  <c r="X3149" i="1"/>
  <c r="Y3149" i="1" s="1"/>
  <c r="X3137" i="1"/>
  <c r="Y3137" i="1" s="1"/>
  <c r="X3125" i="1"/>
  <c r="Y3125" i="1" s="1"/>
  <c r="X3113" i="1"/>
  <c r="Y3113" i="1" s="1"/>
  <c r="X3101" i="1"/>
  <c r="Y3101" i="1" s="1"/>
  <c r="X3089" i="1"/>
  <c r="Y3089" i="1" s="1"/>
  <c r="X3077" i="1"/>
  <c r="Y3077" i="1" s="1"/>
  <c r="X3065" i="1"/>
  <c r="Y3065" i="1" s="1"/>
  <c r="X3053" i="1"/>
  <c r="Y3053" i="1" s="1"/>
  <c r="X3041" i="1"/>
  <c r="Y3041" i="1" s="1"/>
  <c r="X3029" i="1"/>
  <c r="Y3029" i="1" s="1"/>
  <c r="X3017" i="1"/>
  <c r="Y3017" i="1" s="1"/>
  <c r="X3005" i="1"/>
  <c r="Y3005" i="1" s="1"/>
  <c r="X2993" i="1"/>
  <c r="Y2993" i="1" s="1"/>
  <c r="X2981" i="1"/>
  <c r="Y2981" i="1" s="1"/>
  <c r="X2969" i="1"/>
  <c r="Y2969" i="1" s="1"/>
  <c r="X2957" i="1"/>
  <c r="Y2957" i="1" s="1"/>
  <c r="X2945" i="1"/>
  <c r="Y2945" i="1" s="1"/>
  <c r="X2933" i="1"/>
  <c r="Y2933" i="1" s="1"/>
  <c r="X2921" i="1"/>
  <c r="Y2921" i="1" s="1"/>
  <c r="X2909" i="1"/>
  <c r="Y2909" i="1" s="1"/>
  <c r="X2897" i="1"/>
  <c r="Y2897" i="1" s="1"/>
  <c r="X2885" i="1"/>
  <c r="Y2885" i="1" s="1"/>
  <c r="X2873" i="1"/>
  <c r="Y2873" i="1" s="1"/>
  <c r="X2861" i="1"/>
  <c r="Y2861" i="1" s="1"/>
  <c r="X2849" i="1"/>
  <c r="Y2849" i="1" s="1"/>
  <c r="X2837" i="1"/>
  <c r="Y2837" i="1" s="1"/>
  <c r="X2825" i="1"/>
  <c r="Y2825" i="1" s="1"/>
  <c r="X2813" i="1"/>
  <c r="Y2813" i="1" s="1"/>
  <c r="X2801" i="1"/>
  <c r="Y2801" i="1" s="1"/>
  <c r="X2789" i="1"/>
  <c r="Y2789" i="1" s="1"/>
  <c r="X2777" i="1"/>
  <c r="Y2777" i="1" s="1"/>
  <c r="X2765" i="1"/>
  <c r="Y2765" i="1" s="1"/>
  <c r="X2753" i="1"/>
  <c r="Y2753" i="1" s="1"/>
  <c r="X2741" i="1"/>
  <c r="Y2741" i="1" s="1"/>
  <c r="X2729" i="1"/>
  <c r="Y2729" i="1" s="1"/>
  <c r="X2717" i="1"/>
  <c r="Y2717" i="1" s="1"/>
  <c r="X2705" i="1"/>
  <c r="Y2705" i="1" s="1"/>
  <c r="X2693" i="1"/>
  <c r="Y2693" i="1" s="1"/>
  <c r="X2681" i="1"/>
  <c r="Y2681" i="1" s="1"/>
  <c r="X2669" i="1"/>
  <c r="Y2669" i="1" s="1"/>
  <c r="X2657" i="1"/>
  <c r="Y2657" i="1" s="1"/>
  <c r="X2645" i="1"/>
  <c r="Y2645" i="1" s="1"/>
  <c r="X2633" i="1"/>
  <c r="Y2633" i="1" s="1"/>
  <c r="X2621" i="1"/>
  <c r="Y2621" i="1" s="1"/>
  <c r="X2609" i="1"/>
  <c r="Y2609" i="1" s="1"/>
  <c r="X2597" i="1"/>
  <c r="Y2597" i="1" s="1"/>
  <c r="X2585" i="1"/>
  <c r="Y2585" i="1" s="1"/>
  <c r="X2573" i="1"/>
  <c r="Y2573" i="1" s="1"/>
  <c r="X2561" i="1"/>
  <c r="Y2561" i="1" s="1"/>
  <c r="X2549" i="1"/>
  <c r="Y2549" i="1" s="1"/>
  <c r="X2537" i="1"/>
  <c r="Y2537" i="1" s="1"/>
  <c r="X2525" i="1"/>
  <c r="Y2525" i="1" s="1"/>
  <c r="X2513" i="1"/>
  <c r="Y2513" i="1" s="1"/>
  <c r="X2501" i="1"/>
  <c r="Y2501" i="1" s="1"/>
  <c r="X2489" i="1"/>
  <c r="Y2489" i="1" s="1"/>
  <c r="X2477" i="1"/>
  <c r="Y2477" i="1" s="1"/>
  <c r="X2465" i="1"/>
  <c r="Y2465" i="1" s="1"/>
  <c r="X2453" i="1"/>
  <c r="Y2453" i="1" s="1"/>
  <c r="X2441" i="1"/>
  <c r="Y2441" i="1" s="1"/>
  <c r="X2429" i="1"/>
  <c r="Y2429" i="1" s="1"/>
  <c r="X2417" i="1"/>
  <c r="Y2417" i="1" s="1"/>
  <c r="X2405" i="1"/>
  <c r="Y2405" i="1" s="1"/>
  <c r="X2393" i="1"/>
  <c r="Y2393" i="1" s="1"/>
  <c r="X2381" i="1"/>
  <c r="Y2381" i="1" s="1"/>
  <c r="X2369" i="1"/>
  <c r="Y2369" i="1" s="1"/>
  <c r="X2357" i="1"/>
  <c r="Y2357" i="1" s="1"/>
  <c r="X2345" i="1"/>
  <c r="Y2345" i="1" s="1"/>
  <c r="X2333" i="1"/>
  <c r="Y2333" i="1" s="1"/>
  <c r="X2321" i="1"/>
  <c r="Y2321" i="1" s="1"/>
  <c r="X2309" i="1"/>
  <c r="Y2309" i="1" s="1"/>
  <c r="X2297" i="1"/>
  <c r="Y2297" i="1" s="1"/>
  <c r="X2285" i="1"/>
  <c r="Y2285" i="1" s="1"/>
  <c r="X2273" i="1"/>
  <c r="Y2273" i="1" s="1"/>
  <c r="X2261" i="1"/>
  <c r="Y2261" i="1" s="1"/>
  <c r="X2249" i="1"/>
  <c r="Y2249" i="1" s="1"/>
  <c r="X2237" i="1"/>
  <c r="Y2237" i="1" s="1"/>
  <c r="X2225" i="1"/>
  <c r="Y2225" i="1" s="1"/>
  <c r="X2213" i="1"/>
  <c r="Y2213" i="1" s="1"/>
  <c r="X2201" i="1"/>
  <c r="Y2201" i="1" s="1"/>
  <c r="X2189" i="1"/>
  <c r="Y2189" i="1" s="1"/>
  <c r="X2177" i="1"/>
  <c r="Y2177" i="1" s="1"/>
  <c r="X2165" i="1"/>
  <c r="Y2165" i="1" s="1"/>
  <c r="X2153" i="1"/>
  <c r="Y2153" i="1" s="1"/>
  <c r="X2141" i="1"/>
  <c r="Y2141" i="1" s="1"/>
  <c r="X2129" i="1"/>
  <c r="Y2129" i="1" s="1"/>
  <c r="X2117" i="1"/>
  <c r="Y2117" i="1" s="1"/>
  <c r="X2105" i="1"/>
  <c r="Y2105" i="1" s="1"/>
  <c r="X2093" i="1"/>
  <c r="Y2093" i="1" s="1"/>
  <c r="X2081" i="1"/>
  <c r="Y2081" i="1" s="1"/>
  <c r="X2069" i="1"/>
  <c r="Y2069" i="1" s="1"/>
  <c r="X2057" i="1"/>
  <c r="Y2057" i="1" s="1"/>
  <c r="X2045" i="1"/>
  <c r="Y2045" i="1" s="1"/>
  <c r="X2033" i="1"/>
  <c r="Y2033" i="1" s="1"/>
  <c r="X2021" i="1"/>
  <c r="Y2021" i="1" s="1"/>
  <c r="X2009" i="1"/>
  <c r="Y2009" i="1" s="1"/>
  <c r="X1997" i="1"/>
  <c r="Y1997" i="1" s="1"/>
  <c r="X1985" i="1"/>
  <c r="Y1985" i="1" s="1"/>
  <c r="X1973" i="1"/>
  <c r="Y1973" i="1" s="1"/>
  <c r="X1961" i="1"/>
  <c r="Y1961" i="1" s="1"/>
  <c r="X1949" i="1"/>
  <c r="Y1949" i="1" s="1"/>
  <c r="X1937" i="1"/>
  <c r="Y1937" i="1" s="1"/>
  <c r="X1925" i="1"/>
  <c r="Y1925" i="1" s="1"/>
  <c r="X1913" i="1"/>
  <c r="Y1913" i="1" s="1"/>
  <c r="X1901" i="1"/>
  <c r="Y1901" i="1" s="1"/>
  <c r="X1889" i="1"/>
  <c r="Y1889" i="1" s="1"/>
  <c r="X1877" i="1"/>
  <c r="Y1877" i="1" s="1"/>
  <c r="X1865" i="1"/>
  <c r="Y1865" i="1" s="1"/>
  <c r="X1853" i="1"/>
  <c r="Y1853" i="1" s="1"/>
  <c r="X1841" i="1"/>
  <c r="Y1841" i="1" s="1"/>
  <c r="X1829" i="1"/>
  <c r="Y1829" i="1" s="1"/>
  <c r="X1817" i="1"/>
  <c r="Y1817" i="1" s="1"/>
  <c r="X1805" i="1"/>
  <c r="Y1805" i="1" s="1"/>
  <c r="X1793" i="1"/>
  <c r="Y1793" i="1" s="1"/>
  <c r="X1781" i="1"/>
  <c r="Y1781" i="1" s="1"/>
  <c r="X4120" i="1"/>
  <c r="Y4120" i="1" s="1"/>
  <c r="X4108" i="1"/>
  <c r="Y4108" i="1" s="1"/>
  <c r="X4096" i="1"/>
  <c r="Y4096" i="1" s="1"/>
  <c r="X4084" i="1"/>
  <c r="Y4084" i="1" s="1"/>
  <c r="X4072" i="1"/>
  <c r="Y4072" i="1" s="1"/>
  <c r="X4060" i="1"/>
  <c r="Y4060" i="1" s="1"/>
  <c r="X4048" i="1"/>
  <c r="Y4048" i="1" s="1"/>
  <c r="X4036" i="1"/>
  <c r="Y4036" i="1" s="1"/>
  <c r="X4024" i="1"/>
  <c r="Y4024" i="1" s="1"/>
  <c r="X4012" i="1"/>
  <c r="Y4012" i="1" s="1"/>
  <c r="X4000" i="1"/>
  <c r="Y4000" i="1" s="1"/>
  <c r="X3988" i="1"/>
  <c r="Y3988" i="1" s="1"/>
  <c r="X3976" i="1"/>
  <c r="Y3976" i="1" s="1"/>
  <c r="X3964" i="1"/>
  <c r="Y3964" i="1" s="1"/>
  <c r="X3952" i="1"/>
  <c r="Y3952" i="1" s="1"/>
  <c r="X3940" i="1"/>
  <c r="Y3940" i="1" s="1"/>
  <c r="X3928" i="1"/>
  <c r="Y3928" i="1" s="1"/>
  <c r="X3916" i="1"/>
  <c r="Y3916" i="1" s="1"/>
  <c r="X3904" i="1"/>
  <c r="Y3904" i="1" s="1"/>
  <c r="X3892" i="1"/>
  <c r="Y3892" i="1" s="1"/>
  <c r="X3880" i="1"/>
  <c r="Y3880" i="1" s="1"/>
  <c r="X3868" i="1"/>
  <c r="Y3868" i="1" s="1"/>
  <c r="X3856" i="1"/>
  <c r="Y3856" i="1" s="1"/>
  <c r="X3844" i="1"/>
  <c r="Y3844" i="1" s="1"/>
  <c r="X3832" i="1"/>
  <c r="Y3832" i="1" s="1"/>
  <c r="X3820" i="1"/>
  <c r="Y3820" i="1" s="1"/>
  <c r="X3808" i="1"/>
  <c r="Y3808" i="1" s="1"/>
  <c r="X3796" i="1"/>
  <c r="Y3796" i="1" s="1"/>
  <c r="X3784" i="1"/>
  <c r="Y3784" i="1" s="1"/>
  <c r="X3772" i="1"/>
  <c r="Y3772" i="1" s="1"/>
  <c r="X3760" i="1"/>
  <c r="Y3760" i="1" s="1"/>
  <c r="X3748" i="1"/>
  <c r="Y3748" i="1" s="1"/>
  <c r="X3736" i="1"/>
  <c r="Y3736" i="1" s="1"/>
  <c r="X3724" i="1"/>
  <c r="Y3724" i="1" s="1"/>
  <c r="X3712" i="1"/>
  <c r="Y3712" i="1" s="1"/>
  <c r="X3700" i="1"/>
  <c r="Y3700" i="1" s="1"/>
  <c r="X3688" i="1"/>
  <c r="Y3688" i="1" s="1"/>
  <c r="X3676" i="1"/>
  <c r="Y3676" i="1" s="1"/>
  <c r="X3664" i="1"/>
  <c r="Y3664" i="1" s="1"/>
  <c r="X3652" i="1"/>
  <c r="Y3652" i="1" s="1"/>
  <c r="X3640" i="1"/>
  <c r="Y3640" i="1" s="1"/>
  <c r="X3628" i="1"/>
  <c r="Y3628" i="1" s="1"/>
  <c r="X3616" i="1"/>
  <c r="Y3616" i="1" s="1"/>
  <c r="X3604" i="1"/>
  <c r="Y3604" i="1" s="1"/>
  <c r="X3592" i="1"/>
  <c r="Y3592" i="1" s="1"/>
  <c r="X3580" i="1"/>
  <c r="Y3580" i="1" s="1"/>
  <c r="X3568" i="1"/>
  <c r="Y3568" i="1" s="1"/>
  <c r="X3556" i="1"/>
  <c r="Y3556" i="1" s="1"/>
  <c r="X3544" i="1"/>
  <c r="Y3544" i="1" s="1"/>
  <c r="X3532" i="1"/>
  <c r="Y3532" i="1" s="1"/>
  <c r="X3520" i="1"/>
  <c r="Y3520" i="1" s="1"/>
  <c r="X3508" i="1"/>
  <c r="Y3508" i="1" s="1"/>
  <c r="X3496" i="1"/>
  <c r="Y3496" i="1" s="1"/>
  <c r="X3484" i="1"/>
  <c r="Y3484" i="1" s="1"/>
  <c r="X3472" i="1"/>
  <c r="Y3472" i="1" s="1"/>
  <c r="X3460" i="1"/>
  <c r="Y3460" i="1" s="1"/>
  <c r="X3448" i="1"/>
  <c r="Y3448" i="1" s="1"/>
  <c r="X3436" i="1"/>
  <c r="Y3436" i="1" s="1"/>
  <c r="X3424" i="1"/>
  <c r="Y3424" i="1" s="1"/>
  <c r="X3412" i="1"/>
  <c r="Y3412" i="1" s="1"/>
  <c r="X3400" i="1"/>
  <c r="Y3400" i="1" s="1"/>
  <c r="X3388" i="1"/>
  <c r="Y3388" i="1" s="1"/>
  <c r="X3376" i="1"/>
  <c r="Y3376" i="1" s="1"/>
  <c r="X3364" i="1"/>
  <c r="Y3364" i="1" s="1"/>
  <c r="X3352" i="1"/>
  <c r="Y3352" i="1" s="1"/>
  <c r="X3340" i="1"/>
  <c r="Y3340" i="1" s="1"/>
  <c r="X3328" i="1"/>
  <c r="Y3328" i="1" s="1"/>
  <c r="X3316" i="1"/>
  <c r="Y3316" i="1" s="1"/>
  <c r="X3304" i="1"/>
  <c r="Y3304" i="1" s="1"/>
  <c r="X3292" i="1"/>
  <c r="Y3292" i="1" s="1"/>
  <c r="X3280" i="1"/>
  <c r="Y3280" i="1" s="1"/>
  <c r="X3268" i="1"/>
  <c r="Y3268" i="1" s="1"/>
  <c r="X3256" i="1"/>
  <c r="Y3256" i="1" s="1"/>
  <c r="X3244" i="1"/>
  <c r="Y3244" i="1" s="1"/>
  <c r="X3232" i="1"/>
  <c r="Y3232" i="1" s="1"/>
  <c r="X3220" i="1"/>
  <c r="Y3220" i="1" s="1"/>
  <c r="X3208" i="1"/>
  <c r="Y3208" i="1" s="1"/>
  <c r="X3196" i="1"/>
  <c r="Y3196" i="1" s="1"/>
  <c r="X3184" i="1"/>
  <c r="Y3184" i="1" s="1"/>
  <c r="X3172" i="1"/>
  <c r="Y3172" i="1" s="1"/>
  <c r="X3160" i="1"/>
  <c r="Y3160" i="1" s="1"/>
  <c r="X3148" i="1"/>
  <c r="Y3148" i="1" s="1"/>
  <c r="X3136" i="1"/>
  <c r="Y3136" i="1" s="1"/>
  <c r="X3124" i="1"/>
  <c r="Y3124" i="1" s="1"/>
  <c r="X3112" i="1"/>
  <c r="Y3112" i="1" s="1"/>
  <c r="X3100" i="1"/>
  <c r="Y3100" i="1" s="1"/>
  <c r="X3088" i="1"/>
  <c r="Y3088" i="1" s="1"/>
  <c r="X3076" i="1"/>
  <c r="Y3076" i="1" s="1"/>
  <c r="X3064" i="1"/>
  <c r="Y3064" i="1" s="1"/>
  <c r="X3052" i="1"/>
  <c r="Y3052" i="1" s="1"/>
  <c r="X3040" i="1"/>
  <c r="Y3040" i="1" s="1"/>
  <c r="X3028" i="1"/>
  <c r="Y3028" i="1" s="1"/>
  <c r="X3016" i="1"/>
  <c r="Y3016" i="1" s="1"/>
  <c r="X3004" i="1"/>
  <c r="Y3004" i="1" s="1"/>
  <c r="X2992" i="1"/>
  <c r="Y2992" i="1" s="1"/>
  <c r="X2980" i="1"/>
  <c r="Y2980" i="1" s="1"/>
  <c r="X2968" i="1"/>
  <c r="Y2968" i="1" s="1"/>
  <c r="X2956" i="1"/>
  <c r="Y2956" i="1" s="1"/>
  <c r="X2944" i="1"/>
  <c r="Y2944" i="1" s="1"/>
  <c r="X2932" i="1"/>
  <c r="Y2932" i="1" s="1"/>
  <c r="X2920" i="1"/>
  <c r="Y2920" i="1" s="1"/>
  <c r="X2908" i="1"/>
  <c r="Y2908" i="1" s="1"/>
  <c r="X2896" i="1"/>
  <c r="Y2896" i="1" s="1"/>
  <c r="X2884" i="1"/>
  <c r="Y2884" i="1" s="1"/>
  <c r="X2872" i="1"/>
  <c r="Y2872" i="1" s="1"/>
  <c r="X2860" i="1"/>
  <c r="Y2860" i="1" s="1"/>
  <c r="X2848" i="1"/>
  <c r="Y2848" i="1" s="1"/>
  <c r="X2836" i="1"/>
  <c r="Y2836" i="1" s="1"/>
  <c r="X2824" i="1"/>
  <c r="Y2824" i="1" s="1"/>
  <c r="X2812" i="1"/>
  <c r="Y2812" i="1" s="1"/>
  <c r="X2800" i="1"/>
  <c r="Y2800" i="1" s="1"/>
  <c r="X2788" i="1"/>
  <c r="Y2788" i="1" s="1"/>
  <c r="X2776" i="1"/>
  <c r="Y2776" i="1" s="1"/>
  <c r="X2764" i="1"/>
  <c r="Y2764" i="1" s="1"/>
  <c r="X2752" i="1"/>
  <c r="Y2752" i="1" s="1"/>
  <c r="X2740" i="1"/>
  <c r="Y2740" i="1" s="1"/>
  <c r="X2728" i="1"/>
  <c r="Y2728" i="1" s="1"/>
  <c r="X2716" i="1"/>
  <c r="Y2716" i="1" s="1"/>
  <c r="X2704" i="1"/>
  <c r="Y2704" i="1" s="1"/>
  <c r="X2692" i="1"/>
  <c r="Y2692" i="1" s="1"/>
  <c r="X2680" i="1"/>
  <c r="Y2680" i="1" s="1"/>
  <c r="X2668" i="1"/>
  <c r="Y2668" i="1" s="1"/>
  <c r="X2656" i="1"/>
  <c r="Y2656" i="1" s="1"/>
  <c r="X2644" i="1"/>
  <c r="Y2644" i="1" s="1"/>
  <c r="X2632" i="1"/>
  <c r="Y2632" i="1" s="1"/>
  <c r="X2620" i="1"/>
  <c r="Y2620" i="1" s="1"/>
  <c r="X2608" i="1"/>
  <c r="Y2608" i="1" s="1"/>
  <c r="X2596" i="1"/>
  <c r="Y2596" i="1" s="1"/>
  <c r="X2584" i="1"/>
  <c r="Y2584" i="1" s="1"/>
  <c r="X2572" i="1"/>
  <c r="Y2572" i="1" s="1"/>
  <c r="X2560" i="1"/>
  <c r="Y2560" i="1" s="1"/>
  <c r="X2548" i="1"/>
  <c r="Y2548" i="1" s="1"/>
  <c r="X2536" i="1"/>
  <c r="Y2536" i="1" s="1"/>
  <c r="X2524" i="1"/>
  <c r="Y2524" i="1" s="1"/>
  <c r="X2512" i="1"/>
  <c r="Y2512" i="1" s="1"/>
  <c r="X2500" i="1"/>
  <c r="Y2500" i="1" s="1"/>
  <c r="X2488" i="1"/>
  <c r="Y2488" i="1" s="1"/>
  <c r="X2476" i="1"/>
  <c r="Y2476" i="1" s="1"/>
  <c r="X2464" i="1"/>
  <c r="Y2464" i="1" s="1"/>
  <c r="X2452" i="1"/>
  <c r="Y2452" i="1" s="1"/>
  <c r="X2440" i="1"/>
  <c r="Y2440" i="1" s="1"/>
  <c r="X2428" i="1"/>
  <c r="Y2428" i="1" s="1"/>
  <c r="X2416" i="1"/>
  <c r="Y2416" i="1" s="1"/>
  <c r="X2404" i="1"/>
  <c r="Y2404" i="1" s="1"/>
  <c r="X2392" i="1"/>
  <c r="Y2392" i="1" s="1"/>
  <c r="X2380" i="1"/>
  <c r="Y2380" i="1" s="1"/>
  <c r="X2368" i="1"/>
  <c r="Y2368" i="1" s="1"/>
  <c r="X2356" i="1"/>
  <c r="Y2356" i="1" s="1"/>
  <c r="X2344" i="1"/>
  <c r="Y2344" i="1" s="1"/>
  <c r="X2332" i="1"/>
  <c r="Y2332" i="1" s="1"/>
  <c r="X2320" i="1"/>
  <c r="Y2320" i="1" s="1"/>
  <c r="X2308" i="1"/>
  <c r="Y2308" i="1" s="1"/>
  <c r="X2296" i="1"/>
  <c r="Y2296" i="1" s="1"/>
  <c r="X2284" i="1"/>
  <c r="Y2284" i="1" s="1"/>
  <c r="X2272" i="1"/>
  <c r="Y2272" i="1" s="1"/>
  <c r="X2260" i="1"/>
  <c r="Y2260" i="1" s="1"/>
  <c r="X2248" i="1"/>
  <c r="Y2248" i="1" s="1"/>
  <c r="X2236" i="1"/>
  <c r="Y2236" i="1" s="1"/>
  <c r="X2224" i="1"/>
  <c r="Y2224" i="1" s="1"/>
  <c r="X2212" i="1"/>
  <c r="Y2212" i="1" s="1"/>
  <c r="X2200" i="1"/>
  <c r="Y2200" i="1" s="1"/>
  <c r="X2188" i="1"/>
  <c r="Y2188" i="1" s="1"/>
  <c r="X2176" i="1"/>
  <c r="Y2176" i="1" s="1"/>
  <c r="X2164" i="1"/>
  <c r="Y2164" i="1" s="1"/>
  <c r="X2152" i="1"/>
  <c r="Y2152" i="1" s="1"/>
  <c r="X2140" i="1"/>
  <c r="Y2140" i="1" s="1"/>
  <c r="X2128" i="1"/>
  <c r="Y2128" i="1" s="1"/>
  <c r="X2116" i="1"/>
  <c r="Y2116" i="1" s="1"/>
  <c r="X2104" i="1"/>
  <c r="Y2104" i="1" s="1"/>
  <c r="X2092" i="1"/>
  <c r="Y2092" i="1" s="1"/>
  <c r="X2080" i="1"/>
  <c r="Y2080" i="1" s="1"/>
  <c r="X2068" i="1"/>
  <c r="Y2068" i="1" s="1"/>
  <c r="X2056" i="1"/>
  <c r="Y2056" i="1" s="1"/>
  <c r="X4707" i="1"/>
  <c r="Y4707" i="1" s="1"/>
  <c r="X4695" i="1"/>
  <c r="Y4695" i="1" s="1"/>
  <c r="X4683" i="1"/>
  <c r="Y4683" i="1" s="1"/>
  <c r="X4671" i="1"/>
  <c r="Y4671" i="1" s="1"/>
  <c r="X4659" i="1"/>
  <c r="Y4659" i="1" s="1"/>
  <c r="X4647" i="1"/>
  <c r="Y4647" i="1" s="1"/>
  <c r="X4635" i="1"/>
  <c r="Y4635" i="1" s="1"/>
  <c r="X4623" i="1"/>
  <c r="Y4623" i="1" s="1"/>
  <c r="X4611" i="1"/>
  <c r="Y4611" i="1" s="1"/>
  <c r="X4599" i="1"/>
  <c r="Y4599" i="1" s="1"/>
  <c r="X4587" i="1"/>
  <c r="Y4587" i="1" s="1"/>
  <c r="X4575" i="1"/>
  <c r="Y4575" i="1" s="1"/>
  <c r="X4563" i="1"/>
  <c r="Y4563" i="1" s="1"/>
  <c r="X4551" i="1"/>
  <c r="Y4551" i="1" s="1"/>
  <c r="X4539" i="1"/>
  <c r="Y4539" i="1" s="1"/>
  <c r="X4527" i="1"/>
  <c r="Y4527" i="1" s="1"/>
  <c r="X4515" i="1"/>
  <c r="Y4515" i="1" s="1"/>
  <c r="X4503" i="1"/>
  <c r="Y4503" i="1" s="1"/>
  <c r="X4491" i="1"/>
  <c r="Y4491" i="1" s="1"/>
  <c r="X4479" i="1"/>
  <c r="Y4479" i="1" s="1"/>
  <c r="X4467" i="1"/>
  <c r="Y4467" i="1" s="1"/>
  <c r="X4455" i="1"/>
  <c r="Y4455" i="1" s="1"/>
  <c r="X4443" i="1"/>
  <c r="Y4443" i="1" s="1"/>
  <c r="X4431" i="1"/>
  <c r="Y4431" i="1" s="1"/>
  <c r="X4419" i="1"/>
  <c r="Y4419" i="1" s="1"/>
  <c r="X4407" i="1"/>
  <c r="Y4407" i="1" s="1"/>
  <c r="X4395" i="1"/>
  <c r="Y4395" i="1" s="1"/>
  <c r="X4383" i="1"/>
  <c r="Y4383" i="1" s="1"/>
  <c r="X4371" i="1"/>
  <c r="Y4371" i="1" s="1"/>
  <c r="X4359" i="1"/>
  <c r="Y4359" i="1" s="1"/>
  <c r="X4347" i="1"/>
  <c r="Y4347" i="1" s="1"/>
  <c r="X4335" i="1"/>
  <c r="Y4335" i="1" s="1"/>
  <c r="X4323" i="1"/>
  <c r="Y4323" i="1" s="1"/>
  <c r="X4311" i="1"/>
  <c r="Y4311" i="1" s="1"/>
  <c r="X4299" i="1"/>
  <c r="Y4299" i="1" s="1"/>
  <c r="X4287" i="1"/>
  <c r="Y4287" i="1" s="1"/>
  <c r="X4275" i="1"/>
  <c r="Y4275" i="1" s="1"/>
  <c r="X4263" i="1"/>
  <c r="Y4263" i="1" s="1"/>
  <c r="X4251" i="1"/>
  <c r="Y4251" i="1" s="1"/>
  <c r="X4239" i="1"/>
  <c r="Y4239" i="1" s="1"/>
  <c r="X4227" i="1"/>
  <c r="Y4227" i="1" s="1"/>
  <c r="X4215" i="1"/>
  <c r="Y4215" i="1" s="1"/>
  <c r="X4203" i="1"/>
  <c r="Y4203" i="1" s="1"/>
  <c r="X4191" i="1"/>
  <c r="Y4191" i="1" s="1"/>
  <c r="X4179" i="1"/>
  <c r="Y4179" i="1" s="1"/>
  <c r="X4167" i="1"/>
  <c r="Y4167" i="1" s="1"/>
  <c r="X4155" i="1"/>
  <c r="Y4155" i="1" s="1"/>
  <c r="X4143" i="1"/>
  <c r="Y4143" i="1" s="1"/>
  <c r="X4131" i="1"/>
  <c r="Y4131" i="1" s="1"/>
  <c r="X4119" i="1"/>
  <c r="Y4119" i="1" s="1"/>
  <c r="X4107" i="1"/>
  <c r="Y4107" i="1" s="1"/>
  <c r="X4095" i="1"/>
  <c r="Y4095" i="1" s="1"/>
  <c r="X4083" i="1"/>
  <c r="Y4083" i="1" s="1"/>
  <c r="X4071" i="1"/>
  <c r="Y4071" i="1" s="1"/>
  <c r="X4059" i="1"/>
  <c r="Y4059" i="1" s="1"/>
  <c r="X4047" i="1"/>
  <c r="Y4047" i="1" s="1"/>
  <c r="X4035" i="1"/>
  <c r="Y4035" i="1" s="1"/>
  <c r="X4023" i="1"/>
  <c r="Y4023" i="1" s="1"/>
  <c r="X4011" i="1"/>
  <c r="Y4011" i="1" s="1"/>
  <c r="X3999" i="1"/>
  <c r="Y3999" i="1" s="1"/>
  <c r="X3987" i="1"/>
  <c r="Y3987" i="1" s="1"/>
  <c r="X3975" i="1"/>
  <c r="Y3975" i="1" s="1"/>
  <c r="X3963" i="1"/>
  <c r="Y3963" i="1" s="1"/>
  <c r="X3951" i="1"/>
  <c r="Y3951" i="1" s="1"/>
  <c r="X3939" i="1"/>
  <c r="Y3939" i="1" s="1"/>
  <c r="X3927" i="1"/>
  <c r="Y3927" i="1" s="1"/>
  <c r="X3915" i="1"/>
  <c r="Y3915" i="1" s="1"/>
  <c r="X3903" i="1"/>
  <c r="Y3903" i="1" s="1"/>
  <c r="X3891" i="1"/>
  <c r="Y3891" i="1" s="1"/>
  <c r="X3879" i="1"/>
  <c r="Y3879" i="1" s="1"/>
  <c r="X3867" i="1"/>
  <c r="Y3867" i="1" s="1"/>
  <c r="X3855" i="1"/>
  <c r="Y3855" i="1" s="1"/>
  <c r="X3843" i="1"/>
  <c r="Y3843" i="1" s="1"/>
  <c r="X3831" i="1"/>
  <c r="Y3831" i="1" s="1"/>
  <c r="X3819" i="1"/>
  <c r="Y3819" i="1" s="1"/>
  <c r="X3807" i="1"/>
  <c r="Y3807" i="1" s="1"/>
  <c r="X3795" i="1"/>
  <c r="Y3795" i="1" s="1"/>
  <c r="X3783" i="1"/>
  <c r="Y3783" i="1" s="1"/>
  <c r="X3771" i="1"/>
  <c r="Y3771" i="1" s="1"/>
  <c r="X3759" i="1"/>
  <c r="Y3759" i="1" s="1"/>
  <c r="X3747" i="1"/>
  <c r="Y3747" i="1" s="1"/>
  <c r="X3735" i="1"/>
  <c r="Y3735" i="1" s="1"/>
  <c r="X3723" i="1"/>
  <c r="Y3723" i="1" s="1"/>
  <c r="X3711" i="1"/>
  <c r="Y3711" i="1" s="1"/>
  <c r="X3699" i="1"/>
  <c r="Y3699" i="1" s="1"/>
  <c r="X3687" i="1"/>
  <c r="Y3687" i="1" s="1"/>
  <c r="X3675" i="1"/>
  <c r="Y3675" i="1" s="1"/>
  <c r="X3663" i="1"/>
  <c r="Y3663" i="1" s="1"/>
  <c r="X3651" i="1"/>
  <c r="Y3651" i="1" s="1"/>
  <c r="X3639" i="1"/>
  <c r="Y3639" i="1" s="1"/>
  <c r="X3627" i="1"/>
  <c r="Y3627" i="1" s="1"/>
  <c r="X3615" i="1"/>
  <c r="Y3615" i="1" s="1"/>
  <c r="X3603" i="1"/>
  <c r="Y3603" i="1" s="1"/>
  <c r="X3591" i="1"/>
  <c r="Y3591" i="1" s="1"/>
  <c r="X3579" i="1"/>
  <c r="Y3579" i="1" s="1"/>
  <c r="X3567" i="1"/>
  <c r="Y3567" i="1" s="1"/>
  <c r="X3555" i="1"/>
  <c r="Y3555" i="1" s="1"/>
  <c r="X3543" i="1"/>
  <c r="Y3543" i="1" s="1"/>
  <c r="X3531" i="1"/>
  <c r="Y3531" i="1" s="1"/>
  <c r="X3519" i="1"/>
  <c r="Y3519" i="1" s="1"/>
  <c r="X3507" i="1"/>
  <c r="Y3507" i="1" s="1"/>
  <c r="X3495" i="1"/>
  <c r="Y3495" i="1" s="1"/>
  <c r="X3483" i="1"/>
  <c r="Y3483" i="1" s="1"/>
  <c r="X3471" i="1"/>
  <c r="Y3471" i="1" s="1"/>
  <c r="X3459" i="1"/>
  <c r="Y3459" i="1" s="1"/>
  <c r="X3447" i="1"/>
  <c r="Y3447" i="1" s="1"/>
  <c r="X3435" i="1"/>
  <c r="Y3435" i="1" s="1"/>
  <c r="X3423" i="1"/>
  <c r="Y3423" i="1" s="1"/>
  <c r="X3411" i="1"/>
  <c r="Y3411" i="1" s="1"/>
  <c r="X3399" i="1"/>
  <c r="Y3399" i="1" s="1"/>
  <c r="X3387" i="1"/>
  <c r="Y3387" i="1" s="1"/>
  <c r="X3375" i="1"/>
  <c r="Y3375" i="1" s="1"/>
  <c r="X3363" i="1"/>
  <c r="Y3363" i="1" s="1"/>
  <c r="X3351" i="1"/>
  <c r="Y3351" i="1" s="1"/>
  <c r="X3339" i="1"/>
  <c r="Y3339" i="1" s="1"/>
  <c r="X3327" i="1"/>
  <c r="Y3327" i="1" s="1"/>
  <c r="X3315" i="1"/>
  <c r="Y3315" i="1" s="1"/>
  <c r="X3303" i="1"/>
  <c r="Y3303" i="1" s="1"/>
  <c r="X3291" i="1"/>
  <c r="Y3291" i="1" s="1"/>
  <c r="X3279" i="1"/>
  <c r="Y3279" i="1" s="1"/>
  <c r="X3267" i="1"/>
  <c r="Y3267" i="1" s="1"/>
  <c r="X3255" i="1"/>
  <c r="Y3255" i="1" s="1"/>
  <c r="X3243" i="1"/>
  <c r="Y3243" i="1" s="1"/>
  <c r="X3231" i="1"/>
  <c r="Y3231" i="1" s="1"/>
  <c r="X3219" i="1"/>
  <c r="Y3219" i="1" s="1"/>
  <c r="X3207" i="1"/>
  <c r="Y3207" i="1" s="1"/>
  <c r="X3195" i="1"/>
  <c r="Y3195" i="1" s="1"/>
  <c r="X3183" i="1"/>
  <c r="Y3183" i="1" s="1"/>
  <c r="X3171" i="1"/>
  <c r="Y3171" i="1" s="1"/>
  <c r="X3159" i="1"/>
  <c r="Y3159" i="1" s="1"/>
  <c r="X3147" i="1"/>
  <c r="Y3147" i="1" s="1"/>
  <c r="X3135" i="1"/>
  <c r="Y3135" i="1" s="1"/>
  <c r="X3123" i="1"/>
  <c r="Y3123" i="1" s="1"/>
  <c r="X3111" i="1"/>
  <c r="Y3111" i="1" s="1"/>
  <c r="X3099" i="1"/>
  <c r="Y3099" i="1" s="1"/>
  <c r="X3087" i="1"/>
  <c r="Y3087" i="1" s="1"/>
  <c r="X3075" i="1"/>
  <c r="Y3075" i="1" s="1"/>
  <c r="X5330" i="1"/>
  <c r="Y5330" i="1" s="1"/>
  <c r="X5318" i="1"/>
  <c r="Y5318" i="1" s="1"/>
  <c r="X5306" i="1"/>
  <c r="Y5306" i="1" s="1"/>
  <c r="X3063" i="1"/>
  <c r="Y3063" i="1" s="1"/>
  <c r="X3051" i="1"/>
  <c r="Y3051" i="1" s="1"/>
  <c r="X3039" i="1"/>
  <c r="Y3039" i="1" s="1"/>
  <c r="X3027" i="1"/>
  <c r="Y3027" i="1" s="1"/>
  <c r="X3015" i="1"/>
  <c r="Y3015" i="1" s="1"/>
  <c r="X3003" i="1"/>
  <c r="Y3003" i="1" s="1"/>
  <c r="X2991" i="1"/>
  <c r="Y2991" i="1" s="1"/>
  <c r="X2979" i="1"/>
  <c r="Y2979" i="1" s="1"/>
  <c r="X2967" i="1"/>
  <c r="Y2967" i="1" s="1"/>
  <c r="X2955" i="1"/>
  <c r="Y2955" i="1" s="1"/>
  <c r="X2943" i="1"/>
  <c r="Y2943" i="1" s="1"/>
  <c r="X2931" i="1"/>
  <c r="Y2931" i="1" s="1"/>
  <c r="X2919" i="1"/>
  <c r="Y2919" i="1" s="1"/>
  <c r="X2907" i="1"/>
  <c r="Y2907" i="1" s="1"/>
  <c r="X2895" i="1"/>
  <c r="Y2895" i="1" s="1"/>
  <c r="X2883" i="1"/>
  <c r="Y2883" i="1" s="1"/>
  <c r="X2871" i="1"/>
  <c r="Y2871" i="1" s="1"/>
  <c r="X2859" i="1"/>
  <c r="Y2859" i="1" s="1"/>
  <c r="X2847" i="1"/>
  <c r="Y2847" i="1" s="1"/>
  <c r="X2835" i="1"/>
  <c r="Y2835" i="1" s="1"/>
  <c r="X2823" i="1"/>
  <c r="Y2823" i="1" s="1"/>
  <c r="X2811" i="1"/>
  <c r="Y2811" i="1" s="1"/>
  <c r="X2799" i="1"/>
  <c r="Y2799" i="1" s="1"/>
  <c r="X2787" i="1"/>
  <c r="Y2787" i="1" s="1"/>
  <c r="X2775" i="1"/>
  <c r="Y2775" i="1" s="1"/>
  <c r="X2763" i="1"/>
  <c r="Y2763" i="1" s="1"/>
  <c r="X2751" i="1"/>
  <c r="Y2751" i="1" s="1"/>
  <c r="X2739" i="1"/>
  <c r="Y2739" i="1" s="1"/>
  <c r="X2727" i="1"/>
  <c r="Y2727" i="1" s="1"/>
  <c r="X2715" i="1"/>
  <c r="Y2715" i="1" s="1"/>
  <c r="X2703" i="1"/>
  <c r="Y2703" i="1" s="1"/>
  <c r="X2691" i="1"/>
  <c r="Y2691" i="1" s="1"/>
  <c r="X2679" i="1"/>
  <c r="Y2679" i="1" s="1"/>
  <c r="X2667" i="1"/>
  <c r="Y2667" i="1" s="1"/>
  <c r="X2655" i="1"/>
  <c r="Y2655" i="1" s="1"/>
  <c r="X2643" i="1"/>
  <c r="Y2643" i="1" s="1"/>
  <c r="X2631" i="1"/>
  <c r="Y2631" i="1" s="1"/>
  <c r="X2619" i="1"/>
  <c r="Y2619" i="1" s="1"/>
  <c r="X2607" i="1"/>
  <c r="Y2607" i="1" s="1"/>
  <c r="X2595" i="1"/>
  <c r="Y2595" i="1" s="1"/>
  <c r="X2583" i="1"/>
  <c r="Y2583" i="1" s="1"/>
  <c r="X2571" i="1"/>
  <c r="Y2571" i="1" s="1"/>
  <c r="X2559" i="1"/>
  <c r="Y2559" i="1" s="1"/>
  <c r="X2547" i="1"/>
  <c r="Y2547" i="1" s="1"/>
  <c r="X2535" i="1"/>
  <c r="Y2535" i="1" s="1"/>
  <c r="X2523" i="1"/>
  <c r="Y2523" i="1" s="1"/>
  <c r="X2511" i="1"/>
  <c r="Y2511" i="1" s="1"/>
  <c r="X2499" i="1"/>
  <c r="Y2499" i="1" s="1"/>
  <c r="X2487" i="1"/>
  <c r="Y2487" i="1" s="1"/>
  <c r="X2475" i="1"/>
  <c r="Y2475" i="1" s="1"/>
  <c r="X2463" i="1"/>
  <c r="Y2463" i="1" s="1"/>
  <c r="X2451" i="1"/>
  <c r="Y2451" i="1" s="1"/>
  <c r="X2439" i="1"/>
  <c r="Y2439" i="1" s="1"/>
  <c r="X2427" i="1"/>
  <c r="Y2427" i="1" s="1"/>
  <c r="X2415" i="1"/>
  <c r="Y2415" i="1" s="1"/>
  <c r="X2403" i="1"/>
  <c r="Y2403" i="1" s="1"/>
  <c r="X2391" i="1"/>
  <c r="Y2391" i="1" s="1"/>
  <c r="X2379" i="1"/>
  <c r="Y2379" i="1" s="1"/>
  <c r="X2367" i="1"/>
  <c r="Y2367" i="1" s="1"/>
  <c r="X2355" i="1"/>
  <c r="Y2355" i="1" s="1"/>
  <c r="X2343" i="1"/>
  <c r="Y2343" i="1" s="1"/>
  <c r="X2331" i="1"/>
  <c r="Y2331" i="1" s="1"/>
  <c r="X2319" i="1"/>
  <c r="Y2319" i="1" s="1"/>
  <c r="X2307" i="1"/>
  <c r="Y2307" i="1" s="1"/>
  <c r="X2295" i="1"/>
  <c r="Y2295" i="1" s="1"/>
  <c r="X2283" i="1"/>
  <c r="Y2283" i="1" s="1"/>
  <c r="X2271" i="1"/>
  <c r="Y2271" i="1" s="1"/>
  <c r="X2259" i="1"/>
  <c r="Y2259" i="1" s="1"/>
  <c r="X2247" i="1"/>
  <c r="Y2247" i="1" s="1"/>
  <c r="X2235" i="1"/>
  <c r="Y2235" i="1" s="1"/>
  <c r="X2223" i="1"/>
  <c r="Y2223" i="1" s="1"/>
  <c r="X2211" i="1"/>
  <c r="Y2211" i="1" s="1"/>
  <c r="X2199" i="1"/>
  <c r="Y2199" i="1" s="1"/>
  <c r="X2187" i="1"/>
  <c r="Y2187" i="1" s="1"/>
  <c r="X2175" i="1"/>
  <c r="Y2175" i="1" s="1"/>
  <c r="X2163" i="1"/>
  <c r="Y2163" i="1" s="1"/>
  <c r="X2151" i="1"/>
  <c r="Y2151" i="1" s="1"/>
  <c r="X2139" i="1"/>
  <c r="Y2139" i="1" s="1"/>
  <c r="X2127" i="1"/>
  <c r="Y2127" i="1" s="1"/>
  <c r="X2115" i="1"/>
  <c r="Y2115" i="1" s="1"/>
  <c r="X2103" i="1"/>
  <c r="Y2103" i="1" s="1"/>
  <c r="X2091" i="1"/>
  <c r="Y2091" i="1" s="1"/>
  <c r="X2079" i="1"/>
  <c r="Y2079" i="1" s="1"/>
  <c r="X2067" i="1"/>
  <c r="Y2067" i="1" s="1"/>
  <c r="X2055" i="1"/>
  <c r="Y2055" i="1" s="1"/>
  <c r="X5294" i="1"/>
  <c r="Y5294" i="1" s="1"/>
  <c r="X5282" i="1"/>
  <c r="Y5282" i="1" s="1"/>
  <c r="X5270" i="1"/>
  <c r="Y5270" i="1" s="1"/>
  <c r="X5258" i="1"/>
  <c r="Y5258" i="1" s="1"/>
  <c r="X5246" i="1"/>
  <c r="Y5246" i="1" s="1"/>
  <c r="X5234" i="1"/>
  <c r="Y5234" i="1" s="1"/>
  <c r="X5222" i="1"/>
  <c r="Y5222" i="1" s="1"/>
  <c r="X5210" i="1"/>
  <c r="Y5210" i="1" s="1"/>
  <c r="X5198" i="1"/>
  <c r="Y5198" i="1" s="1"/>
  <c r="X5186" i="1"/>
  <c r="Y5186" i="1" s="1"/>
  <c r="X5174" i="1"/>
  <c r="Y5174" i="1" s="1"/>
  <c r="X5162" i="1"/>
  <c r="Y5162" i="1" s="1"/>
  <c r="X5150" i="1"/>
  <c r="Y5150" i="1" s="1"/>
  <c r="X5138" i="1"/>
  <c r="Y5138" i="1" s="1"/>
  <c r="X5126" i="1"/>
  <c r="Y5126" i="1" s="1"/>
  <c r="X5114" i="1"/>
  <c r="Y5114" i="1" s="1"/>
  <c r="X5102" i="1"/>
  <c r="Y5102" i="1" s="1"/>
  <c r="X5090" i="1"/>
  <c r="Y5090" i="1" s="1"/>
  <c r="X5078" i="1"/>
  <c r="Y5078" i="1" s="1"/>
  <c r="X5066" i="1"/>
  <c r="Y5066" i="1" s="1"/>
  <c r="X5054" i="1"/>
  <c r="Y5054" i="1" s="1"/>
  <c r="X5042" i="1"/>
  <c r="Y5042" i="1" s="1"/>
  <c r="X5030" i="1"/>
  <c r="Y5030" i="1" s="1"/>
  <c r="X5018" i="1"/>
  <c r="Y5018" i="1" s="1"/>
  <c r="X5006" i="1"/>
  <c r="Y5006" i="1" s="1"/>
  <c r="X4994" i="1"/>
  <c r="Y4994" i="1" s="1"/>
  <c r="X4982" i="1"/>
  <c r="Y4982" i="1" s="1"/>
  <c r="X4970" i="1"/>
  <c r="Y4970" i="1" s="1"/>
  <c r="X4958" i="1"/>
  <c r="Y4958" i="1" s="1"/>
  <c r="X4946" i="1"/>
  <c r="Y4946" i="1" s="1"/>
  <c r="X4934" i="1"/>
  <c r="Y4934" i="1" s="1"/>
  <c r="X4922" i="1"/>
  <c r="Y4922" i="1" s="1"/>
  <c r="X4910" i="1"/>
  <c r="Y4910" i="1" s="1"/>
  <c r="X4898" i="1"/>
  <c r="Y4898" i="1" s="1"/>
  <c r="X4886" i="1"/>
  <c r="Y4886" i="1" s="1"/>
  <c r="X4874" i="1"/>
  <c r="Y4874" i="1" s="1"/>
  <c r="X4862" i="1"/>
  <c r="Y4862" i="1" s="1"/>
  <c r="X4850" i="1"/>
  <c r="Y4850" i="1" s="1"/>
  <c r="X4838" i="1"/>
  <c r="Y4838" i="1" s="1"/>
  <c r="X4826" i="1"/>
  <c r="Y4826" i="1" s="1"/>
  <c r="X4814" i="1"/>
  <c r="Y4814" i="1" s="1"/>
  <c r="X4802" i="1"/>
  <c r="Y4802" i="1" s="1"/>
  <c r="X4790" i="1"/>
  <c r="Y4790" i="1" s="1"/>
  <c r="X4778" i="1"/>
  <c r="Y4778" i="1" s="1"/>
  <c r="X4766" i="1"/>
  <c r="Y4766" i="1" s="1"/>
  <c r="X4754" i="1"/>
  <c r="Y4754" i="1" s="1"/>
  <c r="X4742" i="1"/>
  <c r="Y4742" i="1" s="1"/>
  <c r="X4730" i="1"/>
  <c r="Y4730" i="1" s="1"/>
  <c r="X4718" i="1"/>
  <c r="Y4718" i="1" s="1"/>
  <c r="X4706" i="1"/>
  <c r="Y4706" i="1" s="1"/>
  <c r="X4694" i="1"/>
  <c r="Y4694" i="1" s="1"/>
  <c r="X4682" i="1"/>
  <c r="Y4682" i="1" s="1"/>
  <c r="X4670" i="1"/>
  <c r="Y4670" i="1" s="1"/>
  <c r="X4658" i="1"/>
  <c r="Y4658" i="1" s="1"/>
  <c r="X4646" i="1"/>
  <c r="Y4646" i="1" s="1"/>
  <c r="X4634" i="1"/>
  <c r="Y4634" i="1" s="1"/>
  <c r="X4622" i="1"/>
  <c r="Y4622" i="1" s="1"/>
  <c r="X4610" i="1"/>
  <c r="Y4610" i="1" s="1"/>
  <c r="X4598" i="1"/>
  <c r="Y4598" i="1" s="1"/>
  <c r="X4586" i="1"/>
  <c r="Y4586" i="1" s="1"/>
  <c r="X4574" i="1"/>
  <c r="Y4574" i="1" s="1"/>
  <c r="X4562" i="1"/>
  <c r="Y4562" i="1" s="1"/>
  <c r="X4550" i="1"/>
  <c r="Y4550" i="1" s="1"/>
  <c r="X4538" i="1"/>
  <c r="Y4538" i="1" s="1"/>
  <c r="X4526" i="1"/>
  <c r="Y4526" i="1" s="1"/>
  <c r="X4514" i="1"/>
  <c r="Y4514" i="1" s="1"/>
  <c r="X4502" i="1"/>
  <c r="Y4502" i="1" s="1"/>
  <c r="X4490" i="1"/>
  <c r="Y4490" i="1" s="1"/>
  <c r="X4478" i="1"/>
  <c r="Y4478" i="1" s="1"/>
  <c r="X4466" i="1"/>
  <c r="Y4466" i="1" s="1"/>
  <c r="X4454" i="1"/>
  <c r="Y4454" i="1" s="1"/>
  <c r="X4442" i="1"/>
  <c r="Y4442" i="1" s="1"/>
  <c r="X4430" i="1"/>
  <c r="Y4430" i="1" s="1"/>
  <c r="X4418" i="1"/>
  <c r="Y4418" i="1" s="1"/>
  <c r="X4406" i="1"/>
  <c r="Y4406" i="1" s="1"/>
  <c r="X4394" i="1"/>
  <c r="Y4394" i="1" s="1"/>
  <c r="X4382" i="1"/>
  <c r="Y4382" i="1" s="1"/>
  <c r="X4370" i="1"/>
  <c r="Y4370" i="1" s="1"/>
  <c r="X4358" i="1"/>
  <c r="Y4358" i="1" s="1"/>
  <c r="X4346" i="1"/>
  <c r="Y4346" i="1" s="1"/>
  <c r="X4334" i="1"/>
  <c r="Y4334" i="1" s="1"/>
  <c r="X4322" i="1"/>
  <c r="Y4322" i="1" s="1"/>
  <c r="X4310" i="1"/>
  <c r="Y4310" i="1" s="1"/>
  <c r="X4298" i="1"/>
  <c r="Y4298" i="1" s="1"/>
  <c r="X4286" i="1"/>
  <c r="Y4286" i="1" s="1"/>
  <c r="X4274" i="1"/>
  <c r="Y4274" i="1" s="1"/>
  <c r="X4262" i="1"/>
  <c r="Y4262" i="1" s="1"/>
  <c r="X4250" i="1"/>
  <c r="Y4250" i="1" s="1"/>
  <c r="X4238" i="1"/>
  <c r="Y4238" i="1" s="1"/>
  <c r="X4226" i="1"/>
  <c r="Y4226" i="1" s="1"/>
  <c r="X4214" i="1"/>
  <c r="Y4214" i="1" s="1"/>
  <c r="X4202" i="1"/>
  <c r="Y4202" i="1" s="1"/>
  <c r="X4190" i="1"/>
  <c r="Y4190" i="1" s="1"/>
  <c r="X4178" i="1"/>
  <c r="Y4178" i="1" s="1"/>
  <c r="X4166" i="1"/>
  <c r="Y4166" i="1" s="1"/>
  <c r="X5053" i="1"/>
  <c r="Y5053" i="1" s="1"/>
  <c r="X5041" i="1"/>
  <c r="Y5041" i="1" s="1"/>
  <c r="X5029" i="1"/>
  <c r="Y5029" i="1" s="1"/>
  <c r="X5017" i="1"/>
  <c r="Y5017" i="1" s="1"/>
  <c r="X5005" i="1"/>
  <c r="Y5005" i="1" s="1"/>
  <c r="X4993" i="1"/>
  <c r="Y4993" i="1" s="1"/>
  <c r="X4981" i="1"/>
  <c r="Y4981" i="1" s="1"/>
  <c r="X4969" i="1"/>
  <c r="Y4969" i="1" s="1"/>
  <c r="X4957" i="1"/>
  <c r="Y4957" i="1" s="1"/>
  <c r="X4945" i="1"/>
  <c r="Y4945" i="1" s="1"/>
  <c r="X4933" i="1"/>
  <c r="Y4933" i="1" s="1"/>
  <c r="X4921" i="1"/>
  <c r="Y4921" i="1" s="1"/>
  <c r="X4909" i="1"/>
  <c r="Y4909" i="1" s="1"/>
  <c r="X4897" i="1"/>
  <c r="Y4897" i="1" s="1"/>
  <c r="X4885" i="1"/>
  <c r="Y4885" i="1" s="1"/>
  <c r="X4873" i="1"/>
  <c r="Y4873" i="1" s="1"/>
  <c r="X4861" i="1"/>
  <c r="Y4861" i="1" s="1"/>
  <c r="X4849" i="1"/>
  <c r="Y4849" i="1" s="1"/>
  <c r="X4837" i="1"/>
  <c r="Y4837" i="1" s="1"/>
  <c r="X4825" i="1"/>
  <c r="Y4825" i="1" s="1"/>
  <c r="X4813" i="1"/>
  <c r="Y4813" i="1" s="1"/>
  <c r="X4801" i="1"/>
  <c r="Y4801" i="1" s="1"/>
  <c r="X4789" i="1"/>
  <c r="Y4789" i="1" s="1"/>
  <c r="X4777" i="1"/>
  <c r="Y4777" i="1" s="1"/>
  <c r="X4765" i="1"/>
  <c r="Y4765" i="1" s="1"/>
  <c r="X4753" i="1"/>
  <c r="Y4753" i="1" s="1"/>
  <c r="X4741" i="1"/>
  <c r="Y4741" i="1" s="1"/>
  <c r="X4729" i="1"/>
  <c r="Y4729" i="1" s="1"/>
  <c r="X4717" i="1"/>
  <c r="Y4717" i="1" s="1"/>
  <c r="X4705" i="1"/>
  <c r="Y4705" i="1" s="1"/>
  <c r="X4693" i="1"/>
  <c r="Y4693" i="1" s="1"/>
  <c r="X4681" i="1"/>
  <c r="Y4681" i="1" s="1"/>
  <c r="X4669" i="1"/>
  <c r="Y4669" i="1" s="1"/>
  <c r="X4657" i="1"/>
  <c r="Y4657" i="1" s="1"/>
  <c r="X4645" i="1"/>
  <c r="Y4645" i="1" s="1"/>
  <c r="X4633" i="1"/>
  <c r="Y4633" i="1" s="1"/>
  <c r="X4621" i="1"/>
  <c r="Y4621" i="1" s="1"/>
  <c r="X4609" i="1"/>
  <c r="Y4609" i="1" s="1"/>
  <c r="X4597" i="1"/>
  <c r="Y4597" i="1" s="1"/>
  <c r="X4585" i="1"/>
  <c r="Y4585" i="1" s="1"/>
  <c r="X4573" i="1"/>
  <c r="Y4573" i="1" s="1"/>
  <c r="X4561" i="1"/>
  <c r="Y4561" i="1" s="1"/>
  <c r="X4549" i="1"/>
  <c r="Y4549" i="1" s="1"/>
  <c r="X4537" i="1"/>
  <c r="Y4537" i="1" s="1"/>
  <c r="X4525" i="1"/>
  <c r="Y4525" i="1" s="1"/>
  <c r="X4513" i="1"/>
  <c r="Y4513" i="1" s="1"/>
  <c r="X4501" i="1"/>
  <c r="Y4501" i="1" s="1"/>
  <c r="X4489" i="1"/>
  <c r="Y4489" i="1" s="1"/>
  <c r="X4477" i="1"/>
  <c r="Y4477" i="1" s="1"/>
  <c r="X4465" i="1"/>
  <c r="Y4465" i="1" s="1"/>
  <c r="X4453" i="1"/>
  <c r="Y4453" i="1" s="1"/>
  <c r="X4441" i="1"/>
  <c r="Y4441" i="1" s="1"/>
  <c r="X4429" i="1"/>
  <c r="Y4429" i="1" s="1"/>
  <c r="X4417" i="1"/>
  <c r="Y4417" i="1" s="1"/>
  <c r="X4405" i="1"/>
  <c r="Y4405" i="1" s="1"/>
  <c r="X4393" i="1"/>
  <c r="Y4393" i="1" s="1"/>
  <c r="X4381" i="1"/>
  <c r="Y4381" i="1" s="1"/>
  <c r="X4369" i="1"/>
  <c r="Y4369" i="1" s="1"/>
  <c r="X4357" i="1"/>
  <c r="Y4357" i="1" s="1"/>
  <c r="X4345" i="1"/>
  <c r="Y4345" i="1" s="1"/>
  <c r="X4333" i="1"/>
  <c r="Y4333" i="1" s="1"/>
  <c r="X4321" i="1"/>
  <c r="Y4321" i="1" s="1"/>
  <c r="X4309" i="1"/>
  <c r="Y4309" i="1" s="1"/>
  <c r="X4297" i="1"/>
  <c r="Y4297" i="1" s="1"/>
  <c r="X4285" i="1"/>
  <c r="Y4285" i="1" s="1"/>
  <c r="X4273" i="1"/>
  <c r="Y4273" i="1" s="1"/>
  <c r="X4261" i="1"/>
  <c r="Y4261" i="1" s="1"/>
  <c r="X4249" i="1"/>
  <c r="Y4249" i="1" s="1"/>
  <c r="X4237" i="1"/>
  <c r="Y4237" i="1" s="1"/>
  <c r="X4225" i="1"/>
  <c r="Y4225" i="1" s="1"/>
  <c r="X4213" i="1"/>
  <c r="Y4213" i="1" s="1"/>
  <c r="X4201" i="1"/>
  <c r="Y4201" i="1" s="1"/>
  <c r="X4189" i="1"/>
  <c r="Y4189" i="1" s="1"/>
  <c r="X4177" i="1"/>
  <c r="Y4177" i="1" s="1"/>
  <c r="X4165" i="1"/>
  <c r="Y4165" i="1" s="1"/>
  <c r="X4153" i="1"/>
  <c r="Y4153" i="1" s="1"/>
  <c r="X4141" i="1"/>
  <c r="Y4141" i="1" s="1"/>
  <c r="X4129" i="1"/>
  <c r="Y4129" i="1" s="1"/>
  <c r="X4117" i="1"/>
  <c r="Y4117" i="1" s="1"/>
  <c r="X4105" i="1"/>
  <c r="Y4105" i="1" s="1"/>
  <c r="X4093" i="1"/>
  <c r="Y4093" i="1" s="1"/>
  <c r="X4081" i="1"/>
  <c r="Y4081" i="1" s="1"/>
  <c r="X4069" i="1"/>
  <c r="Y4069" i="1" s="1"/>
  <c r="X4057" i="1"/>
  <c r="Y4057" i="1" s="1"/>
  <c r="X4045" i="1"/>
  <c r="Y4045" i="1" s="1"/>
  <c r="X4751" i="1"/>
  <c r="Y4751" i="1" s="1"/>
  <c r="X4739" i="1"/>
  <c r="Y4739" i="1" s="1"/>
  <c r="X4727" i="1"/>
  <c r="Y4727" i="1" s="1"/>
  <c r="X4715" i="1"/>
  <c r="Y4715" i="1" s="1"/>
  <c r="X4703" i="1"/>
  <c r="Y4703" i="1" s="1"/>
  <c r="X4691" i="1"/>
  <c r="Y4691" i="1" s="1"/>
  <c r="X4679" i="1"/>
  <c r="Y4679" i="1" s="1"/>
  <c r="X4667" i="1"/>
  <c r="Y4667" i="1" s="1"/>
  <c r="X4655" i="1"/>
  <c r="Y4655" i="1" s="1"/>
  <c r="X4643" i="1"/>
  <c r="Y4643" i="1" s="1"/>
  <c r="X4631" i="1"/>
  <c r="Y4631" i="1" s="1"/>
  <c r="X4619" i="1"/>
  <c r="Y4619" i="1" s="1"/>
  <c r="X4607" i="1"/>
  <c r="Y4607" i="1" s="1"/>
  <c r="X4595" i="1"/>
  <c r="Y4595" i="1" s="1"/>
  <c r="X4583" i="1"/>
  <c r="Y4583" i="1" s="1"/>
  <c r="X4571" i="1"/>
  <c r="Y4571" i="1" s="1"/>
  <c r="X4559" i="1"/>
  <c r="Y4559" i="1" s="1"/>
  <c r="X4547" i="1"/>
  <c r="Y4547" i="1" s="1"/>
  <c r="X4535" i="1"/>
  <c r="Y4535" i="1" s="1"/>
  <c r="X4523" i="1"/>
  <c r="Y4523" i="1" s="1"/>
  <c r="X4511" i="1"/>
  <c r="Y4511" i="1" s="1"/>
  <c r="X4499" i="1"/>
  <c r="Y4499" i="1" s="1"/>
  <c r="X4487" i="1"/>
  <c r="Y4487" i="1" s="1"/>
  <c r="X4463" i="1"/>
  <c r="Y4463" i="1" s="1"/>
  <c r="X4451" i="1"/>
  <c r="Y4451" i="1" s="1"/>
  <c r="X4439" i="1"/>
  <c r="Y4439" i="1" s="1"/>
  <c r="X4427" i="1"/>
  <c r="Y4427" i="1" s="1"/>
  <c r="X4415" i="1"/>
  <c r="Y4415" i="1" s="1"/>
  <c r="X4403" i="1"/>
  <c r="Y4403" i="1" s="1"/>
  <c r="X4391" i="1"/>
  <c r="Y4391" i="1" s="1"/>
  <c r="X4379" i="1"/>
  <c r="Y4379" i="1" s="1"/>
  <c r="X4367" i="1"/>
  <c r="Y4367" i="1" s="1"/>
  <c r="X4355" i="1"/>
  <c r="Y4355" i="1" s="1"/>
  <c r="X4343" i="1"/>
  <c r="Y4343" i="1" s="1"/>
  <c r="X4331" i="1"/>
  <c r="Y4331" i="1" s="1"/>
  <c r="X4319" i="1"/>
  <c r="Y4319" i="1" s="1"/>
  <c r="X4307" i="1"/>
  <c r="Y4307" i="1" s="1"/>
  <c r="X4295" i="1"/>
  <c r="Y4295" i="1" s="1"/>
  <c r="X4283" i="1"/>
  <c r="Y4283" i="1" s="1"/>
  <c r="X4271" i="1"/>
  <c r="Y4271" i="1" s="1"/>
  <c r="X4259" i="1"/>
  <c r="Y4259" i="1" s="1"/>
  <c r="X4247" i="1"/>
  <c r="Y4247" i="1" s="1"/>
  <c r="X4235" i="1"/>
  <c r="Y4235" i="1" s="1"/>
  <c r="X4223" i="1"/>
  <c r="Y4223" i="1" s="1"/>
  <c r="X4211" i="1"/>
  <c r="Y4211" i="1" s="1"/>
  <c r="X4199" i="1"/>
  <c r="Y4199" i="1" s="1"/>
  <c r="X4187" i="1"/>
  <c r="Y4187" i="1" s="1"/>
  <c r="X4175" i="1"/>
  <c r="Y4175" i="1" s="1"/>
  <c r="X4163" i="1"/>
  <c r="Y4163" i="1" s="1"/>
  <c r="X4151" i="1"/>
  <c r="Y4151" i="1" s="1"/>
  <c r="X4139" i="1"/>
  <c r="Y4139" i="1" s="1"/>
  <c r="X4127" i="1"/>
  <c r="Y4127" i="1" s="1"/>
  <c r="X4115" i="1"/>
  <c r="Y4115" i="1" s="1"/>
  <c r="X4103" i="1"/>
  <c r="Y4103" i="1" s="1"/>
  <c r="X4091" i="1"/>
  <c r="Y4091" i="1" s="1"/>
  <c r="X4079" i="1"/>
  <c r="Y4079" i="1" s="1"/>
  <c r="X4067" i="1"/>
  <c r="Y4067" i="1" s="1"/>
  <c r="X4055" i="1"/>
  <c r="Y4055" i="1" s="1"/>
  <c r="X4043" i="1"/>
  <c r="Y4043" i="1" s="1"/>
  <c r="X4031" i="1"/>
  <c r="Y4031" i="1" s="1"/>
  <c r="X4019" i="1"/>
  <c r="Y4019" i="1" s="1"/>
  <c r="X4007" i="1"/>
  <c r="Y4007" i="1" s="1"/>
  <c r="X3995" i="1"/>
  <c r="Y3995" i="1" s="1"/>
  <c r="X3983" i="1"/>
  <c r="Y3983" i="1" s="1"/>
  <c r="X3971" i="1"/>
  <c r="Y3971" i="1" s="1"/>
  <c r="X3959" i="1"/>
  <c r="Y3959" i="1" s="1"/>
  <c r="X3947" i="1"/>
  <c r="Y3947" i="1" s="1"/>
  <c r="X3935" i="1"/>
  <c r="Y3935" i="1" s="1"/>
  <c r="X3923" i="1"/>
  <c r="Y3923" i="1" s="1"/>
  <c r="X3911" i="1"/>
  <c r="Y3911" i="1" s="1"/>
  <c r="X3899" i="1"/>
  <c r="Y3899" i="1" s="1"/>
  <c r="X3887" i="1"/>
  <c r="Y3887" i="1" s="1"/>
  <c r="X3875" i="1"/>
  <c r="Y3875" i="1" s="1"/>
  <c r="X3863" i="1"/>
  <c r="Y3863" i="1" s="1"/>
  <c r="X3851" i="1"/>
  <c r="Y3851" i="1" s="1"/>
  <c r="X3839" i="1"/>
  <c r="Y3839" i="1" s="1"/>
  <c r="X3827" i="1"/>
  <c r="Y3827" i="1" s="1"/>
  <c r="X3815" i="1"/>
  <c r="Y3815" i="1" s="1"/>
  <c r="X3803" i="1"/>
  <c r="Y3803" i="1" s="1"/>
  <c r="X3791" i="1"/>
  <c r="Y3791" i="1" s="1"/>
  <c r="X3779" i="1"/>
  <c r="Y3779" i="1" s="1"/>
  <c r="X3767" i="1"/>
  <c r="Y3767" i="1" s="1"/>
  <c r="X3755" i="1"/>
  <c r="Y3755" i="1" s="1"/>
  <c r="X3743" i="1"/>
  <c r="Y3743" i="1" s="1"/>
  <c r="X3731" i="1"/>
  <c r="Y3731" i="1" s="1"/>
  <c r="X3719" i="1"/>
  <c r="Y3719" i="1" s="1"/>
  <c r="X3707" i="1"/>
  <c r="Y3707" i="1" s="1"/>
  <c r="X3695" i="1"/>
  <c r="Y3695" i="1" s="1"/>
  <c r="X3683" i="1"/>
  <c r="Y3683" i="1" s="1"/>
  <c r="X3671" i="1"/>
  <c r="Y3671" i="1" s="1"/>
  <c r="X3659" i="1"/>
  <c r="Y3659" i="1" s="1"/>
  <c r="X3647" i="1"/>
  <c r="Y3647" i="1" s="1"/>
  <c r="X3635" i="1"/>
  <c r="Y3635" i="1" s="1"/>
  <c r="X3623" i="1"/>
  <c r="Y3623" i="1" s="1"/>
  <c r="X3611" i="1"/>
  <c r="Y3611" i="1" s="1"/>
  <c r="X3599" i="1"/>
  <c r="Y3599" i="1" s="1"/>
  <c r="X3587" i="1"/>
  <c r="Y3587" i="1" s="1"/>
  <c r="X3575" i="1"/>
  <c r="Y3575" i="1" s="1"/>
  <c r="X3563" i="1"/>
  <c r="Y3563" i="1" s="1"/>
  <c r="X3551" i="1"/>
  <c r="Y3551" i="1" s="1"/>
  <c r="X3539" i="1"/>
  <c r="Y3539" i="1" s="1"/>
  <c r="X3527" i="1"/>
  <c r="Y3527" i="1" s="1"/>
  <c r="X3515" i="1"/>
  <c r="Y3515" i="1" s="1"/>
  <c r="X3503" i="1"/>
  <c r="Y3503" i="1" s="1"/>
  <c r="X1954" i="1"/>
  <c r="Y1954" i="1" s="1"/>
  <c r="X1942" i="1"/>
  <c r="Y1942" i="1" s="1"/>
  <c r="X1930" i="1"/>
  <c r="Y1930" i="1" s="1"/>
  <c r="X1918" i="1"/>
  <c r="Y1918" i="1" s="1"/>
  <c r="X1906" i="1"/>
  <c r="Y1906" i="1" s="1"/>
  <c r="X1894" i="1"/>
  <c r="Y1894" i="1" s="1"/>
  <c r="X1882" i="1"/>
  <c r="Y1882" i="1" s="1"/>
  <c r="X1870" i="1"/>
  <c r="Y1870" i="1" s="1"/>
  <c r="X1858" i="1"/>
  <c r="Y1858" i="1" s="1"/>
  <c r="X1846" i="1"/>
  <c r="Y1846" i="1" s="1"/>
  <c r="X1834" i="1"/>
  <c r="Y1834" i="1" s="1"/>
  <c r="X1822" i="1"/>
  <c r="Y1822" i="1" s="1"/>
  <c r="X1810" i="1"/>
  <c r="Y1810" i="1" s="1"/>
  <c r="X1798" i="1"/>
  <c r="Y1798" i="1" s="1"/>
  <c r="X1786" i="1"/>
  <c r="Y1786" i="1" s="1"/>
  <c r="X1774" i="1"/>
  <c r="Y1774" i="1" s="1"/>
  <c r="X1762" i="1"/>
  <c r="Y1762" i="1" s="1"/>
  <c r="X1750" i="1"/>
  <c r="Y1750" i="1" s="1"/>
  <c r="X1738" i="1"/>
  <c r="Y1738" i="1" s="1"/>
  <c r="X1726" i="1"/>
  <c r="Y1726" i="1" s="1"/>
  <c r="X1714" i="1"/>
  <c r="Y1714" i="1" s="1"/>
  <c r="X1702" i="1"/>
  <c r="Y1702" i="1" s="1"/>
  <c r="X1690" i="1"/>
  <c r="Y1690" i="1" s="1"/>
  <c r="X1678" i="1"/>
  <c r="Y1678" i="1" s="1"/>
  <c r="X1666" i="1"/>
  <c r="Y1666" i="1" s="1"/>
  <c r="X1654" i="1"/>
  <c r="Y1654" i="1" s="1"/>
  <c r="X1642" i="1"/>
  <c r="Y1642" i="1" s="1"/>
  <c r="X1630" i="1"/>
  <c r="Y1630" i="1" s="1"/>
  <c r="X1618" i="1"/>
  <c r="Y1618" i="1" s="1"/>
  <c r="X1606" i="1"/>
  <c r="Y1606" i="1" s="1"/>
  <c r="X1594" i="1"/>
  <c r="Y1594" i="1" s="1"/>
  <c r="X1582" i="1"/>
  <c r="Y1582" i="1" s="1"/>
  <c r="X1570" i="1"/>
  <c r="Y1570" i="1" s="1"/>
  <c r="X1558" i="1"/>
  <c r="Y1558" i="1" s="1"/>
  <c r="X1546" i="1"/>
  <c r="Y1546" i="1" s="1"/>
  <c r="X1534" i="1"/>
  <c r="Y1534" i="1" s="1"/>
  <c r="X1522" i="1"/>
  <c r="Y1522" i="1" s="1"/>
  <c r="X1510" i="1"/>
  <c r="Y1510" i="1" s="1"/>
  <c r="X1498" i="1"/>
  <c r="Y1498" i="1" s="1"/>
  <c r="X1486" i="1"/>
  <c r="Y1486" i="1" s="1"/>
  <c r="X1474" i="1"/>
  <c r="Y1474" i="1" s="1"/>
  <c r="X1462" i="1"/>
  <c r="Y1462" i="1" s="1"/>
  <c r="X1450" i="1"/>
  <c r="Y1450" i="1" s="1"/>
  <c r="X1438" i="1"/>
  <c r="Y1438" i="1" s="1"/>
  <c r="X1426" i="1"/>
  <c r="Y1426" i="1" s="1"/>
  <c r="X1414" i="1"/>
  <c r="Y1414" i="1" s="1"/>
  <c r="X1402" i="1"/>
  <c r="Y1402" i="1" s="1"/>
  <c r="X1390" i="1"/>
  <c r="Y1390" i="1" s="1"/>
  <c r="X1378" i="1"/>
  <c r="Y1378" i="1" s="1"/>
  <c r="X1366" i="1"/>
  <c r="Y1366" i="1" s="1"/>
  <c r="X1354" i="1"/>
  <c r="Y1354" i="1" s="1"/>
  <c r="X1342" i="1"/>
  <c r="Y1342" i="1" s="1"/>
  <c r="X1330" i="1"/>
  <c r="Y1330" i="1" s="1"/>
  <c r="X1318" i="1"/>
  <c r="Y1318" i="1" s="1"/>
  <c r="X1306" i="1"/>
  <c r="Y1306" i="1" s="1"/>
  <c r="X1294" i="1"/>
  <c r="Y1294" i="1" s="1"/>
  <c r="X1282" i="1"/>
  <c r="Y1282" i="1" s="1"/>
  <c r="X1270" i="1"/>
  <c r="Y1270" i="1" s="1"/>
  <c r="X1258" i="1"/>
  <c r="Y1258" i="1" s="1"/>
  <c r="X1246" i="1"/>
  <c r="Y1246" i="1" s="1"/>
  <c r="X1234" i="1"/>
  <c r="Y1234" i="1" s="1"/>
  <c r="X1222" i="1"/>
  <c r="Y1222" i="1" s="1"/>
  <c r="X1210" i="1"/>
  <c r="Y1210" i="1" s="1"/>
  <c r="X1198" i="1"/>
  <c r="Y1198" i="1" s="1"/>
  <c r="X1186" i="1"/>
  <c r="Y1186" i="1" s="1"/>
  <c r="X1174" i="1"/>
  <c r="Y1174" i="1" s="1"/>
  <c r="X1162" i="1"/>
  <c r="Y1162" i="1" s="1"/>
  <c r="X1150" i="1"/>
  <c r="Y1150" i="1" s="1"/>
  <c r="X1138" i="1"/>
  <c r="Y1138" i="1" s="1"/>
  <c r="X1126" i="1"/>
  <c r="Y1126" i="1" s="1"/>
  <c r="X1114" i="1"/>
  <c r="Y1114" i="1" s="1"/>
  <c r="X1102" i="1"/>
  <c r="Y1102" i="1" s="1"/>
  <c r="X1090" i="1"/>
  <c r="Y1090" i="1" s="1"/>
  <c r="X1078" i="1"/>
  <c r="Y1078" i="1" s="1"/>
  <c r="X1066" i="1"/>
  <c r="Y1066" i="1" s="1"/>
  <c r="X1054" i="1"/>
  <c r="Y1054" i="1" s="1"/>
  <c r="X1042" i="1"/>
  <c r="Y1042" i="1" s="1"/>
  <c r="X1030" i="1"/>
  <c r="Y1030" i="1" s="1"/>
  <c r="X1018" i="1"/>
  <c r="Y1018" i="1" s="1"/>
  <c r="X1006" i="1"/>
  <c r="Y1006" i="1" s="1"/>
  <c r="X994" i="1"/>
  <c r="Y994" i="1" s="1"/>
  <c r="X982" i="1"/>
  <c r="Y982" i="1" s="1"/>
  <c r="X970" i="1"/>
  <c r="Y970" i="1" s="1"/>
  <c r="X958" i="1"/>
  <c r="Y958" i="1" s="1"/>
  <c r="X946" i="1"/>
  <c r="Y946" i="1" s="1"/>
  <c r="X934" i="1"/>
  <c r="Y934" i="1" s="1"/>
  <c r="X922" i="1"/>
  <c r="Y922" i="1" s="1"/>
  <c r="X910" i="1"/>
  <c r="Y910" i="1" s="1"/>
  <c r="X898" i="1"/>
  <c r="Y898" i="1" s="1"/>
  <c r="X886" i="1"/>
  <c r="Y886" i="1" s="1"/>
  <c r="X874" i="1"/>
  <c r="Y874" i="1" s="1"/>
  <c r="X862" i="1"/>
  <c r="Y862" i="1" s="1"/>
  <c r="X850" i="1"/>
  <c r="Y850" i="1" s="1"/>
  <c r="X838" i="1"/>
  <c r="Y838" i="1" s="1"/>
  <c r="X826" i="1"/>
  <c r="Y826" i="1" s="1"/>
  <c r="X814" i="1"/>
  <c r="Y814" i="1" s="1"/>
  <c r="X802" i="1"/>
  <c r="Y802" i="1" s="1"/>
  <c r="X790" i="1"/>
  <c r="Y790" i="1" s="1"/>
  <c r="X778" i="1"/>
  <c r="Y778" i="1" s="1"/>
  <c r="X2" i="1"/>
  <c r="Y2" i="1" s="1"/>
  <c r="X5325" i="1"/>
  <c r="Y5325" i="1" s="1"/>
  <c r="X5313" i="1"/>
  <c r="Y5313" i="1" s="1"/>
  <c r="X5301" i="1"/>
  <c r="Y5301" i="1" s="1"/>
  <c r="X5289" i="1"/>
  <c r="Y5289" i="1" s="1"/>
  <c r="X5277" i="1"/>
  <c r="Y5277" i="1" s="1"/>
  <c r="X5265" i="1"/>
  <c r="Y5265" i="1" s="1"/>
  <c r="X5253" i="1"/>
  <c r="Y5253" i="1" s="1"/>
  <c r="X5241" i="1"/>
  <c r="Y5241" i="1" s="1"/>
  <c r="X5229" i="1"/>
  <c r="Y5229" i="1" s="1"/>
  <c r="X5217" i="1"/>
  <c r="Y5217" i="1" s="1"/>
  <c r="X5193" i="1"/>
  <c r="Y5193" i="1" s="1"/>
  <c r="X5181" i="1"/>
  <c r="Y5181" i="1" s="1"/>
  <c r="X5157" i="1"/>
  <c r="Y5157" i="1" s="1"/>
  <c r="X5145" i="1"/>
  <c r="Y5145" i="1" s="1"/>
  <c r="X5121" i="1"/>
  <c r="Y5121" i="1" s="1"/>
  <c r="X5109" i="1"/>
  <c r="Y5109" i="1" s="1"/>
  <c r="X5085" i="1"/>
  <c r="Y5085" i="1" s="1"/>
  <c r="X5073" i="1"/>
  <c r="Y5073" i="1" s="1"/>
  <c r="X5061" i="1"/>
  <c r="Y5061" i="1" s="1"/>
  <c r="X5049" i="1"/>
  <c r="Y5049" i="1" s="1"/>
  <c r="X5037" i="1"/>
  <c r="Y5037" i="1" s="1"/>
  <c r="X5025" i="1"/>
  <c r="Y5025" i="1" s="1"/>
  <c r="X5013" i="1"/>
  <c r="Y5013" i="1" s="1"/>
  <c r="X5001" i="1"/>
  <c r="Y5001" i="1" s="1"/>
  <c r="X4989" i="1"/>
  <c r="Y4989" i="1" s="1"/>
  <c r="X4977" i="1"/>
  <c r="Y4977" i="1" s="1"/>
  <c r="X4965" i="1"/>
  <c r="Y4965" i="1" s="1"/>
  <c r="X4953" i="1"/>
  <c r="Y4953" i="1" s="1"/>
  <c r="X4941" i="1"/>
  <c r="Y4941" i="1" s="1"/>
  <c r="X4929" i="1"/>
  <c r="Y4929" i="1" s="1"/>
  <c r="X4917" i="1"/>
  <c r="Y4917" i="1" s="1"/>
  <c r="X4905" i="1"/>
  <c r="Y4905" i="1" s="1"/>
  <c r="X4893" i="1"/>
  <c r="Y4893" i="1" s="1"/>
  <c r="X4881" i="1"/>
  <c r="Y4881" i="1" s="1"/>
  <c r="X4869" i="1"/>
  <c r="Y4869" i="1" s="1"/>
  <c r="X4857" i="1"/>
  <c r="Y4857" i="1" s="1"/>
  <c r="X4845" i="1"/>
  <c r="Y4845" i="1" s="1"/>
  <c r="X4833" i="1"/>
  <c r="Y4833" i="1" s="1"/>
  <c r="X4821" i="1"/>
  <c r="Y4821" i="1" s="1"/>
  <c r="X4809" i="1"/>
  <c r="Y4809" i="1" s="1"/>
  <c r="X4797" i="1"/>
  <c r="Y4797" i="1" s="1"/>
  <c r="X4785" i="1"/>
  <c r="Y4785" i="1" s="1"/>
  <c r="X4773" i="1"/>
  <c r="Y4773" i="1" s="1"/>
  <c r="X4761" i="1"/>
  <c r="Y4761" i="1" s="1"/>
  <c r="X4749" i="1"/>
  <c r="Y4749" i="1" s="1"/>
  <c r="X4737" i="1"/>
  <c r="Y4737" i="1" s="1"/>
  <c r="X4725" i="1"/>
  <c r="Y4725" i="1" s="1"/>
  <c r="X4713" i="1"/>
  <c r="Y4713" i="1" s="1"/>
  <c r="X4701" i="1"/>
  <c r="Y4701" i="1" s="1"/>
  <c r="X4689" i="1"/>
  <c r="Y4689" i="1" s="1"/>
  <c r="X4677" i="1"/>
  <c r="Y4677" i="1" s="1"/>
  <c r="X4665" i="1"/>
  <c r="Y4665" i="1" s="1"/>
  <c r="X4653" i="1"/>
  <c r="Y4653" i="1" s="1"/>
  <c r="X4641" i="1"/>
  <c r="Y4641" i="1" s="1"/>
  <c r="X4629" i="1"/>
  <c r="Y4629" i="1" s="1"/>
  <c r="X4617" i="1"/>
  <c r="Y4617" i="1" s="1"/>
  <c r="X4605" i="1"/>
  <c r="Y4605" i="1" s="1"/>
  <c r="X4593" i="1"/>
  <c r="Y4593" i="1" s="1"/>
  <c r="X4581" i="1"/>
  <c r="Y4581" i="1" s="1"/>
  <c r="X4569" i="1"/>
  <c r="Y4569" i="1" s="1"/>
  <c r="X4557" i="1"/>
  <c r="Y4557" i="1" s="1"/>
  <c r="X4545" i="1"/>
  <c r="Y4545" i="1" s="1"/>
  <c r="X4533" i="1"/>
  <c r="Y4533" i="1" s="1"/>
  <c r="X4521" i="1"/>
  <c r="Y4521" i="1" s="1"/>
  <c r="X4509" i="1"/>
  <c r="Y4509" i="1" s="1"/>
  <c r="X4497" i="1"/>
  <c r="Y4497" i="1" s="1"/>
  <c r="X4485" i="1"/>
  <c r="Y4485" i="1" s="1"/>
  <c r="X4473" i="1"/>
  <c r="Y4473" i="1" s="1"/>
  <c r="X4461" i="1"/>
  <c r="Y4461" i="1" s="1"/>
  <c r="X4449" i="1"/>
  <c r="Y4449" i="1" s="1"/>
  <c r="X4437" i="1"/>
  <c r="Y4437" i="1" s="1"/>
  <c r="X4425" i="1"/>
  <c r="Y4425" i="1" s="1"/>
  <c r="X4413" i="1"/>
  <c r="Y4413" i="1" s="1"/>
  <c r="X4401" i="1"/>
  <c r="Y4401" i="1" s="1"/>
  <c r="X4389" i="1"/>
  <c r="Y4389" i="1" s="1"/>
  <c r="X4377" i="1"/>
  <c r="Y4377" i="1" s="1"/>
  <c r="X4365" i="1"/>
  <c r="Y4365" i="1" s="1"/>
  <c r="X4353" i="1"/>
  <c r="Y4353" i="1" s="1"/>
  <c r="X4341" i="1"/>
  <c r="Y4341" i="1" s="1"/>
  <c r="X4329" i="1"/>
  <c r="Y4329" i="1" s="1"/>
  <c r="X4317" i="1"/>
  <c r="Y4317" i="1" s="1"/>
  <c r="X4305" i="1"/>
  <c r="Y4305" i="1" s="1"/>
  <c r="X4293" i="1"/>
  <c r="Y4293" i="1" s="1"/>
  <c r="X4281" i="1"/>
  <c r="Y4281" i="1" s="1"/>
  <c r="X4269" i="1"/>
  <c r="Y4269" i="1" s="1"/>
  <c r="X4257" i="1"/>
  <c r="Y4257" i="1" s="1"/>
  <c r="X4245" i="1"/>
  <c r="Y4245" i="1" s="1"/>
  <c r="X4233" i="1"/>
  <c r="Y4233" i="1" s="1"/>
  <c r="X4221" i="1"/>
  <c r="Y4221" i="1" s="1"/>
  <c r="X4209" i="1"/>
  <c r="Y4209" i="1" s="1"/>
  <c r="X4197" i="1"/>
  <c r="Y4197" i="1" s="1"/>
  <c r="X4185" i="1"/>
  <c r="Y4185" i="1" s="1"/>
  <c r="X4173" i="1"/>
  <c r="Y4173" i="1" s="1"/>
  <c r="X4161" i="1"/>
  <c r="Y4161" i="1" s="1"/>
  <c r="X5328" i="1"/>
  <c r="Y5328" i="1" s="1"/>
  <c r="X5316" i="1"/>
  <c r="Y5316" i="1" s="1"/>
  <c r="X5304" i="1"/>
  <c r="Y5304" i="1" s="1"/>
  <c r="X5292" i="1"/>
  <c r="Y5292" i="1" s="1"/>
  <c r="X5280" i="1"/>
  <c r="Y5280" i="1" s="1"/>
  <c r="X5268" i="1"/>
  <c r="Y5268" i="1" s="1"/>
  <c r="X5256" i="1"/>
  <c r="Y5256" i="1" s="1"/>
  <c r="X5244" i="1"/>
  <c r="Y5244" i="1" s="1"/>
  <c r="X5232" i="1"/>
  <c r="Y5232" i="1" s="1"/>
  <c r="X5220" i="1"/>
  <c r="Y5220" i="1" s="1"/>
  <c r="X5208" i="1"/>
  <c r="Y5208" i="1" s="1"/>
  <c r="X5196" i="1"/>
  <c r="Y5196" i="1" s="1"/>
  <c r="X5184" i="1"/>
  <c r="Y5184" i="1" s="1"/>
  <c r="X5172" i="1"/>
  <c r="Y5172" i="1" s="1"/>
  <c r="X5160" i="1"/>
  <c r="Y5160" i="1" s="1"/>
  <c r="X5148" i="1"/>
  <c r="Y5148" i="1" s="1"/>
  <c r="X5136" i="1"/>
  <c r="Y5136" i="1" s="1"/>
  <c r="X5124" i="1"/>
  <c r="Y5124" i="1" s="1"/>
  <c r="X5112" i="1"/>
  <c r="Y5112" i="1" s="1"/>
  <c r="X5100" i="1"/>
  <c r="Y5100" i="1" s="1"/>
  <c r="X5088" i="1"/>
  <c r="Y5088" i="1" s="1"/>
  <c r="X5076" i="1"/>
  <c r="Y5076" i="1" s="1"/>
  <c r="X5064" i="1"/>
  <c r="Y5064" i="1" s="1"/>
  <c r="X5052" i="1"/>
  <c r="Y5052" i="1" s="1"/>
  <c r="X5040" i="1"/>
  <c r="Y5040" i="1" s="1"/>
  <c r="X5028" i="1"/>
  <c r="Y5028" i="1" s="1"/>
  <c r="X5016" i="1"/>
  <c r="Y5016" i="1" s="1"/>
  <c r="X5004" i="1"/>
  <c r="Y5004" i="1" s="1"/>
  <c r="X4992" i="1"/>
  <c r="Y4992" i="1" s="1"/>
  <c r="X4980" i="1"/>
  <c r="Y4980" i="1" s="1"/>
  <c r="X4968" i="1"/>
  <c r="Y4968" i="1" s="1"/>
  <c r="X4956" i="1"/>
  <c r="Y4956" i="1" s="1"/>
  <c r="X4944" i="1"/>
  <c r="Y4944" i="1" s="1"/>
  <c r="X4932" i="1"/>
  <c r="Y4932" i="1" s="1"/>
  <c r="X4920" i="1"/>
  <c r="Y4920" i="1" s="1"/>
  <c r="X4908" i="1"/>
  <c r="Y4908" i="1" s="1"/>
  <c r="X4896" i="1"/>
  <c r="Y4896" i="1" s="1"/>
  <c r="X4884" i="1"/>
  <c r="Y4884" i="1" s="1"/>
  <c r="X4872" i="1"/>
  <c r="Y4872" i="1" s="1"/>
  <c r="X4860" i="1"/>
  <c r="Y4860" i="1" s="1"/>
  <c r="X4848" i="1"/>
  <c r="Y4848" i="1" s="1"/>
  <c r="X4836" i="1"/>
  <c r="Y4836" i="1" s="1"/>
  <c r="X4824" i="1"/>
  <c r="Y4824" i="1" s="1"/>
  <c r="X4812" i="1"/>
  <c r="Y4812" i="1" s="1"/>
  <c r="X4800" i="1"/>
  <c r="Y4800" i="1" s="1"/>
  <c r="X4788" i="1"/>
  <c r="Y4788" i="1" s="1"/>
  <c r="X4776" i="1"/>
  <c r="Y4776" i="1" s="1"/>
  <c r="X4764" i="1"/>
  <c r="Y4764" i="1" s="1"/>
  <c r="X4752" i="1"/>
  <c r="Y4752" i="1" s="1"/>
  <c r="X4740" i="1"/>
  <c r="Y4740" i="1" s="1"/>
  <c r="X4728" i="1"/>
  <c r="Y4728" i="1" s="1"/>
  <c r="X4716" i="1"/>
  <c r="Y4716" i="1" s="1"/>
  <c r="X4704" i="1"/>
  <c r="Y4704" i="1" s="1"/>
  <c r="X4692" i="1"/>
  <c r="Y4692" i="1" s="1"/>
  <c r="X4680" i="1"/>
  <c r="Y4680" i="1" s="1"/>
  <c r="X4668" i="1"/>
  <c r="Y4668" i="1" s="1"/>
  <c r="X4656" i="1"/>
  <c r="Y4656" i="1" s="1"/>
  <c r="X4644" i="1"/>
  <c r="Y4644" i="1" s="1"/>
  <c r="X4632" i="1"/>
  <c r="Y4632" i="1" s="1"/>
  <c r="X4620" i="1"/>
  <c r="Y4620" i="1" s="1"/>
  <c r="X4608" i="1"/>
  <c r="Y4608" i="1" s="1"/>
  <c r="X4596" i="1"/>
  <c r="Y4596" i="1" s="1"/>
  <c r="X4584" i="1"/>
  <c r="Y4584" i="1" s="1"/>
  <c r="X4572" i="1"/>
  <c r="Y4572" i="1" s="1"/>
  <c r="X4560" i="1"/>
  <c r="Y4560" i="1" s="1"/>
  <c r="X4548" i="1"/>
  <c r="Y4548" i="1" s="1"/>
  <c r="X4536" i="1"/>
  <c r="Y4536" i="1" s="1"/>
  <c r="X4524" i="1"/>
  <c r="Y4524" i="1" s="1"/>
  <c r="X4512" i="1"/>
  <c r="Y4512" i="1" s="1"/>
  <c r="X4500" i="1"/>
  <c r="Y4500" i="1" s="1"/>
  <c r="X4488" i="1"/>
  <c r="Y4488" i="1" s="1"/>
  <c r="X4476" i="1"/>
  <c r="Y4476" i="1" s="1"/>
  <c r="X4464" i="1"/>
  <c r="Y4464" i="1" s="1"/>
  <c r="X4452" i="1"/>
  <c r="Y4452" i="1" s="1"/>
  <c r="X4440" i="1"/>
  <c r="Y4440" i="1" s="1"/>
  <c r="X4428" i="1"/>
  <c r="Y4428" i="1" s="1"/>
  <c r="X4416" i="1"/>
  <c r="Y4416" i="1" s="1"/>
  <c r="X4404" i="1"/>
  <c r="Y4404" i="1" s="1"/>
  <c r="X4392" i="1"/>
  <c r="Y4392" i="1" s="1"/>
  <c r="X4380" i="1"/>
  <c r="Y4380" i="1" s="1"/>
  <c r="X4368" i="1"/>
  <c r="Y4368" i="1" s="1"/>
  <c r="X4356" i="1"/>
  <c r="Y4356" i="1" s="1"/>
  <c r="X4344" i="1"/>
  <c r="Y4344" i="1" s="1"/>
  <c r="X4332" i="1"/>
  <c r="Y4332" i="1" s="1"/>
  <c r="X4320" i="1"/>
  <c r="Y4320" i="1" s="1"/>
  <c r="X4308" i="1"/>
  <c r="Y4308" i="1" s="1"/>
  <c r="X4296" i="1"/>
  <c r="Y4296" i="1" s="1"/>
  <c r="X4284" i="1"/>
  <c r="Y4284" i="1" s="1"/>
  <c r="X4272" i="1"/>
  <c r="Y4272" i="1" s="1"/>
  <c r="X4260" i="1"/>
  <c r="Y4260" i="1" s="1"/>
  <c r="X4248" i="1"/>
  <c r="Y4248" i="1" s="1"/>
  <c r="X4236" i="1"/>
  <c r="Y4236" i="1" s="1"/>
  <c r="X4224" i="1"/>
  <c r="Y4224" i="1" s="1"/>
  <c r="X3491" i="1"/>
  <c r="Y3491" i="1" s="1"/>
  <c r="X3479" i="1"/>
  <c r="Y3479" i="1" s="1"/>
  <c r="X3467" i="1"/>
  <c r="Y3467" i="1" s="1"/>
  <c r="X3455" i="1"/>
  <c r="Y3455" i="1" s="1"/>
  <c r="X3443" i="1"/>
  <c r="Y3443" i="1" s="1"/>
  <c r="X3431" i="1"/>
  <c r="Y3431" i="1" s="1"/>
  <c r="X3419" i="1"/>
  <c r="Y3419" i="1" s="1"/>
  <c r="X3407" i="1"/>
  <c r="Y3407" i="1" s="1"/>
  <c r="X3395" i="1"/>
  <c r="Y3395" i="1" s="1"/>
  <c r="X3383" i="1"/>
  <c r="Y3383" i="1" s="1"/>
  <c r="X3371" i="1"/>
  <c r="Y3371" i="1" s="1"/>
  <c r="X3359" i="1"/>
  <c r="Y3359" i="1" s="1"/>
  <c r="X3347" i="1"/>
  <c r="Y3347" i="1" s="1"/>
  <c r="X3335" i="1"/>
  <c r="Y3335" i="1" s="1"/>
  <c r="X3323" i="1"/>
  <c r="Y3323" i="1" s="1"/>
  <c r="X3311" i="1"/>
  <c r="Y3311" i="1" s="1"/>
  <c r="X3299" i="1"/>
  <c r="Y3299" i="1" s="1"/>
  <c r="X3287" i="1"/>
  <c r="Y3287" i="1" s="1"/>
  <c r="X3275" i="1"/>
  <c r="Y3275" i="1" s="1"/>
  <c r="X3263" i="1"/>
  <c r="Y3263" i="1" s="1"/>
  <c r="X3251" i="1"/>
  <c r="Y3251" i="1" s="1"/>
  <c r="X3239" i="1"/>
  <c r="Y3239" i="1" s="1"/>
  <c r="X3227" i="1"/>
  <c r="Y3227" i="1" s="1"/>
  <c r="X3215" i="1"/>
  <c r="Y3215" i="1" s="1"/>
  <c r="X3203" i="1"/>
  <c r="Y3203" i="1" s="1"/>
  <c r="X3191" i="1"/>
  <c r="Y3191" i="1" s="1"/>
  <c r="X3179" i="1"/>
  <c r="Y3179" i="1" s="1"/>
  <c r="X3167" i="1"/>
  <c r="Y3167" i="1" s="1"/>
  <c r="X3155" i="1"/>
  <c r="Y3155" i="1" s="1"/>
  <c r="X3143" i="1"/>
  <c r="Y3143" i="1" s="1"/>
  <c r="X3131" i="1"/>
  <c r="Y3131" i="1" s="1"/>
  <c r="X3119" i="1"/>
  <c r="Y3119" i="1" s="1"/>
  <c r="X3107" i="1"/>
  <c r="Y3107" i="1" s="1"/>
  <c r="X3095" i="1"/>
  <c r="Y3095" i="1" s="1"/>
  <c r="X3083" i="1"/>
  <c r="Y3083" i="1" s="1"/>
  <c r="X3071" i="1"/>
  <c r="Y3071" i="1" s="1"/>
  <c r="X3059" i="1"/>
  <c r="Y3059" i="1" s="1"/>
  <c r="X3047" i="1"/>
  <c r="Y3047" i="1" s="1"/>
  <c r="X3035" i="1"/>
  <c r="Y3035" i="1" s="1"/>
  <c r="X3023" i="1"/>
  <c r="Y3023" i="1" s="1"/>
  <c r="X3011" i="1"/>
  <c r="Y3011" i="1" s="1"/>
  <c r="X2999" i="1"/>
  <c r="Y2999" i="1" s="1"/>
  <c r="X2987" i="1"/>
  <c r="Y2987" i="1" s="1"/>
  <c r="X2975" i="1"/>
  <c r="Y2975" i="1" s="1"/>
  <c r="X2963" i="1"/>
  <c r="Y2963" i="1" s="1"/>
  <c r="X2951" i="1"/>
  <c r="Y2951" i="1" s="1"/>
  <c r="X2939" i="1"/>
  <c r="Y2939" i="1" s="1"/>
  <c r="X2927" i="1"/>
  <c r="Y2927" i="1" s="1"/>
  <c r="X2915" i="1"/>
  <c r="Y2915" i="1" s="1"/>
  <c r="X2903" i="1"/>
  <c r="Y2903" i="1" s="1"/>
  <c r="X2891" i="1"/>
  <c r="Y2891" i="1" s="1"/>
  <c r="X2879" i="1"/>
  <c r="Y2879" i="1" s="1"/>
  <c r="X2867" i="1"/>
  <c r="Y2867" i="1" s="1"/>
  <c r="X2855" i="1"/>
  <c r="Y2855" i="1" s="1"/>
  <c r="X2843" i="1"/>
  <c r="Y2843" i="1" s="1"/>
  <c r="X2831" i="1"/>
  <c r="Y2831" i="1" s="1"/>
  <c r="X2819" i="1"/>
  <c r="Y2819" i="1" s="1"/>
  <c r="X2807" i="1"/>
  <c r="Y2807" i="1" s="1"/>
  <c r="X2795" i="1"/>
  <c r="Y2795" i="1" s="1"/>
  <c r="X2783" i="1"/>
  <c r="Y2783" i="1" s="1"/>
  <c r="X2771" i="1"/>
  <c r="Y2771" i="1" s="1"/>
  <c r="X2759" i="1"/>
  <c r="Y2759" i="1" s="1"/>
  <c r="X2747" i="1"/>
  <c r="Y2747" i="1" s="1"/>
  <c r="X2735" i="1"/>
  <c r="Y2735" i="1" s="1"/>
  <c r="X2723" i="1"/>
  <c r="Y2723" i="1" s="1"/>
  <c r="X2711" i="1"/>
  <c r="Y2711" i="1" s="1"/>
  <c r="X2699" i="1"/>
  <c r="Y2699" i="1" s="1"/>
  <c r="X2687" i="1"/>
  <c r="Y2687" i="1" s="1"/>
  <c r="X2675" i="1"/>
  <c r="Y2675" i="1" s="1"/>
  <c r="X2663" i="1"/>
  <c r="Y2663" i="1" s="1"/>
  <c r="X2651" i="1"/>
  <c r="Y2651" i="1" s="1"/>
  <c r="X2639" i="1"/>
  <c r="Y2639" i="1" s="1"/>
  <c r="X2627" i="1"/>
  <c r="Y2627" i="1" s="1"/>
  <c r="X2615" i="1"/>
  <c r="Y2615" i="1" s="1"/>
  <c r="X2603" i="1"/>
  <c r="Y2603" i="1" s="1"/>
  <c r="X2591" i="1"/>
  <c r="Y2591" i="1" s="1"/>
  <c r="X2579" i="1"/>
  <c r="Y2579" i="1" s="1"/>
  <c r="X2567" i="1"/>
  <c r="Y2567" i="1" s="1"/>
  <c r="X2555" i="1"/>
  <c r="Y2555" i="1" s="1"/>
  <c r="X2543" i="1"/>
  <c r="Y2543" i="1" s="1"/>
  <c r="X2531" i="1"/>
  <c r="Y2531" i="1" s="1"/>
  <c r="X2519" i="1"/>
  <c r="Y2519" i="1" s="1"/>
  <c r="X2507" i="1"/>
  <c r="Y2507" i="1" s="1"/>
  <c r="X2495" i="1"/>
  <c r="Y2495" i="1" s="1"/>
  <c r="X2483" i="1"/>
  <c r="Y2483" i="1" s="1"/>
  <c r="X2471" i="1"/>
  <c r="Y2471" i="1" s="1"/>
  <c r="X2459" i="1"/>
  <c r="Y2459" i="1" s="1"/>
  <c r="X2447" i="1"/>
  <c r="Y2447" i="1" s="1"/>
  <c r="X2435" i="1"/>
  <c r="Y2435" i="1" s="1"/>
  <c r="X2423" i="1"/>
  <c r="Y2423" i="1" s="1"/>
  <c r="X2411" i="1"/>
  <c r="Y2411" i="1" s="1"/>
  <c r="X2399" i="1"/>
  <c r="Y2399" i="1" s="1"/>
  <c r="X2387" i="1"/>
  <c r="Y2387" i="1" s="1"/>
  <c r="X2375" i="1"/>
  <c r="Y2375" i="1" s="1"/>
  <c r="X2363" i="1"/>
  <c r="Y2363" i="1" s="1"/>
  <c r="X2351" i="1"/>
  <c r="Y2351" i="1" s="1"/>
  <c r="X2339" i="1"/>
  <c r="Y2339" i="1" s="1"/>
  <c r="X2327" i="1"/>
  <c r="Y2327" i="1" s="1"/>
  <c r="X2315" i="1"/>
  <c r="Y2315" i="1" s="1"/>
  <c r="X2303" i="1"/>
  <c r="Y2303" i="1" s="1"/>
  <c r="X2291" i="1"/>
  <c r="Y2291" i="1" s="1"/>
  <c r="X2279" i="1"/>
  <c r="Y2279" i="1" s="1"/>
  <c r="X2267" i="1"/>
  <c r="Y2267" i="1" s="1"/>
  <c r="X2255" i="1"/>
  <c r="Y2255" i="1" s="1"/>
  <c r="X2243" i="1"/>
  <c r="Y2243" i="1" s="1"/>
  <c r="X2231" i="1"/>
  <c r="Y2231" i="1" s="1"/>
  <c r="X2219" i="1"/>
  <c r="Y2219" i="1" s="1"/>
  <c r="X2207" i="1"/>
  <c r="Y2207" i="1" s="1"/>
  <c r="X2195" i="1"/>
  <c r="Y2195" i="1" s="1"/>
  <c r="X2183" i="1"/>
  <c r="Y2183" i="1" s="1"/>
  <c r="X2171" i="1"/>
  <c r="Y2171" i="1" s="1"/>
  <c r="X2159" i="1"/>
  <c r="Y2159" i="1" s="1"/>
  <c r="X2147" i="1"/>
  <c r="Y2147" i="1" s="1"/>
  <c r="X2135" i="1"/>
  <c r="Y2135" i="1" s="1"/>
  <c r="X2123" i="1"/>
  <c r="Y2123" i="1" s="1"/>
  <c r="X2111" i="1"/>
  <c r="Y2111" i="1" s="1"/>
  <c r="X2099" i="1"/>
  <c r="Y2099" i="1" s="1"/>
  <c r="X2087" i="1"/>
  <c r="Y2087" i="1" s="1"/>
  <c r="X2075" i="1"/>
  <c r="Y2075" i="1" s="1"/>
  <c r="X2063" i="1"/>
  <c r="Y2063" i="1" s="1"/>
  <c r="X2051" i="1"/>
  <c r="Y2051" i="1" s="1"/>
  <c r="X2039" i="1"/>
  <c r="Y2039" i="1" s="1"/>
  <c r="X2027" i="1"/>
  <c r="Y2027" i="1" s="1"/>
  <c r="X2015" i="1"/>
  <c r="Y2015" i="1" s="1"/>
  <c r="X2003" i="1"/>
  <c r="Y2003" i="1" s="1"/>
  <c r="X1991" i="1"/>
  <c r="Y1991" i="1" s="1"/>
  <c r="X1979" i="1"/>
  <c r="Y1979" i="1" s="1"/>
  <c r="X1967" i="1"/>
  <c r="Y1967" i="1" s="1"/>
  <c r="X1955" i="1"/>
  <c r="Y1955" i="1" s="1"/>
  <c r="X766" i="1"/>
  <c r="Y766" i="1" s="1"/>
  <c r="X754" i="1"/>
  <c r="Y754" i="1" s="1"/>
  <c r="X742" i="1"/>
  <c r="Y742" i="1" s="1"/>
  <c r="X730" i="1"/>
  <c r="Y730" i="1" s="1"/>
  <c r="X718" i="1"/>
  <c r="Y718" i="1" s="1"/>
  <c r="X706" i="1"/>
  <c r="Y706" i="1" s="1"/>
  <c r="X694" i="1"/>
  <c r="Y694" i="1" s="1"/>
  <c r="X682" i="1"/>
  <c r="Y682" i="1" s="1"/>
  <c r="X670" i="1"/>
  <c r="Y670" i="1" s="1"/>
  <c r="X658" i="1"/>
  <c r="Y658" i="1" s="1"/>
  <c r="X646" i="1"/>
  <c r="Y646" i="1" s="1"/>
  <c r="X634" i="1"/>
  <c r="Y634" i="1" s="1"/>
  <c r="X622" i="1"/>
  <c r="Y622" i="1" s="1"/>
  <c r="X610" i="1"/>
  <c r="Y610" i="1" s="1"/>
  <c r="X598" i="1"/>
  <c r="Y598" i="1" s="1"/>
  <c r="X586" i="1"/>
  <c r="Y586" i="1" s="1"/>
  <c r="X574" i="1"/>
  <c r="Y574" i="1" s="1"/>
  <c r="X562" i="1"/>
  <c r="Y562" i="1" s="1"/>
  <c r="X4149" i="1"/>
  <c r="Y4149" i="1" s="1"/>
  <c r="X4137" i="1"/>
  <c r="Y4137" i="1" s="1"/>
  <c r="X4125" i="1"/>
  <c r="Y4125" i="1" s="1"/>
  <c r="X4113" i="1"/>
  <c r="Y4113" i="1" s="1"/>
  <c r="X4101" i="1"/>
  <c r="Y4101" i="1" s="1"/>
  <c r="X4089" i="1"/>
  <c r="Y4089" i="1" s="1"/>
  <c r="X4077" i="1"/>
  <c r="Y4077" i="1" s="1"/>
  <c r="X4065" i="1"/>
  <c r="Y4065" i="1" s="1"/>
  <c r="X4053" i="1"/>
  <c r="Y4053" i="1" s="1"/>
  <c r="X4041" i="1"/>
  <c r="Y4041" i="1" s="1"/>
  <c r="X4029" i="1"/>
  <c r="Y4029" i="1" s="1"/>
  <c r="X4017" i="1"/>
  <c r="Y4017" i="1" s="1"/>
  <c r="X4005" i="1"/>
  <c r="Y4005" i="1" s="1"/>
  <c r="X3993" i="1"/>
  <c r="Y3993" i="1" s="1"/>
  <c r="X3981" i="1"/>
  <c r="Y3981" i="1" s="1"/>
  <c r="X3969" i="1"/>
  <c r="Y3969" i="1" s="1"/>
  <c r="X3957" i="1"/>
  <c r="Y3957" i="1" s="1"/>
  <c r="X3945" i="1"/>
  <c r="Y3945" i="1" s="1"/>
  <c r="X3933" i="1"/>
  <c r="Y3933" i="1" s="1"/>
  <c r="X3921" i="1"/>
  <c r="Y3921" i="1" s="1"/>
  <c r="X3909" i="1"/>
  <c r="Y3909" i="1" s="1"/>
  <c r="X3897" i="1"/>
  <c r="Y3897" i="1" s="1"/>
  <c r="X3885" i="1"/>
  <c r="Y3885" i="1" s="1"/>
  <c r="X3873" i="1"/>
  <c r="Y3873" i="1" s="1"/>
  <c r="X3861" i="1"/>
  <c r="Y3861" i="1" s="1"/>
  <c r="X3849" i="1"/>
  <c r="Y3849" i="1" s="1"/>
  <c r="X3837" i="1"/>
  <c r="Y3837" i="1" s="1"/>
  <c r="X3825" i="1"/>
  <c r="Y3825" i="1" s="1"/>
  <c r="X3813" i="1"/>
  <c r="Y3813" i="1" s="1"/>
  <c r="X3801" i="1"/>
  <c r="Y3801" i="1" s="1"/>
  <c r="X3789" i="1"/>
  <c r="Y3789" i="1" s="1"/>
  <c r="X3777" i="1"/>
  <c r="Y3777" i="1" s="1"/>
  <c r="X3765" i="1"/>
  <c r="Y3765" i="1" s="1"/>
  <c r="X3753" i="1"/>
  <c r="Y3753" i="1" s="1"/>
  <c r="X3741" i="1"/>
  <c r="Y3741" i="1" s="1"/>
  <c r="X3729" i="1"/>
  <c r="Y3729" i="1" s="1"/>
  <c r="X3717" i="1"/>
  <c r="Y3717" i="1" s="1"/>
  <c r="X3705" i="1"/>
  <c r="Y3705" i="1" s="1"/>
  <c r="X3693" i="1"/>
  <c r="Y3693" i="1" s="1"/>
  <c r="X3681" i="1"/>
  <c r="Y3681" i="1" s="1"/>
  <c r="X3669" i="1"/>
  <c r="Y3669" i="1" s="1"/>
  <c r="X3657" i="1"/>
  <c r="Y3657" i="1" s="1"/>
  <c r="X3645" i="1"/>
  <c r="Y3645" i="1" s="1"/>
  <c r="X3633" i="1"/>
  <c r="Y3633" i="1" s="1"/>
  <c r="X3621" i="1"/>
  <c r="Y3621" i="1" s="1"/>
  <c r="X3609" i="1"/>
  <c r="Y3609" i="1" s="1"/>
  <c r="X3597" i="1"/>
  <c r="Y3597" i="1" s="1"/>
  <c r="X3585" i="1"/>
  <c r="Y3585" i="1" s="1"/>
  <c r="X3573" i="1"/>
  <c r="Y3573" i="1" s="1"/>
  <c r="X3561" i="1"/>
  <c r="Y3561" i="1" s="1"/>
  <c r="X3549" i="1"/>
  <c r="Y3549" i="1" s="1"/>
  <c r="X3537" i="1"/>
  <c r="Y3537" i="1" s="1"/>
  <c r="X3525" i="1"/>
  <c r="Y3525" i="1" s="1"/>
  <c r="X3513" i="1"/>
  <c r="Y3513" i="1" s="1"/>
  <c r="X3501" i="1"/>
  <c r="Y3501" i="1" s="1"/>
  <c r="X3489" i="1"/>
  <c r="Y3489" i="1" s="1"/>
  <c r="X3477" i="1"/>
  <c r="Y3477" i="1" s="1"/>
  <c r="X3465" i="1"/>
  <c r="Y3465" i="1" s="1"/>
  <c r="X3453" i="1"/>
  <c r="Y3453" i="1" s="1"/>
  <c r="X3441" i="1"/>
  <c r="Y3441" i="1" s="1"/>
  <c r="X3429" i="1"/>
  <c r="Y3429" i="1" s="1"/>
  <c r="X3417" i="1"/>
  <c r="Y3417" i="1" s="1"/>
  <c r="X3405" i="1"/>
  <c r="Y3405" i="1" s="1"/>
  <c r="X3393" i="1"/>
  <c r="Y3393" i="1" s="1"/>
  <c r="X3381" i="1"/>
  <c r="Y3381" i="1" s="1"/>
  <c r="X3369" i="1"/>
  <c r="Y3369" i="1" s="1"/>
  <c r="X3357" i="1"/>
  <c r="Y3357" i="1" s="1"/>
  <c r="X3345" i="1"/>
  <c r="Y3345" i="1" s="1"/>
  <c r="X3333" i="1"/>
  <c r="Y3333" i="1" s="1"/>
  <c r="X3321" i="1"/>
  <c r="Y3321" i="1" s="1"/>
  <c r="X3309" i="1"/>
  <c r="Y3309" i="1" s="1"/>
  <c r="X3297" i="1"/>
  <c r="Y3297" i="1" s="1"/>
  <c r="X5336" i="1"/>
  <c r="Y5336" i="1" s="1"/>
  <c r="X5324" i="1"/>
  <c r="Y5324" i="1" s="1"/>
  <c r="X5312" i="1"/>
  <c r="Y5312" i="1" s="1"/>
  <c r="X5300" i="1"/>
  <c r="Y5300" i="1" s="1"/>
  <c r="X5288" i="1"/>
  <c r="Y5288" i="1" s="1"/>
  <c r="X5276" i="1"/>
  <c r="Y5276" i="1" s="1"/>
  <c r="X5264" i="1"/>
  <c r="Y5264" i="1" s="1"/>
  <c r="X5252" i="1"/>
  <c r="Y5252" i="1" s="1"/>
  <c r="X5240" i="1"/>
  <c r="Y5240" i="1" s="1"/>
  <c r="X5228" i="1"/>
  <c r="Y5228" i="1" s="1"/>
  <c r="X5216" i="1"/>
  <c r="Y5216" i="1" s="1"/>
  <c r="X5204" i="1"/>
  <c r="Y5204" i="1" s="1"/>
  <c r="X5192" i="1"/>
  <c r="Y5192" i="1" s="1"/>
  <c r="X5180" i="1"/>
  <c r="Y5180" i="1" s="1"/>
  <c r="X5168" i="1"/>
  <c r="Y5168" i="1" s="1"/>
  <c r="X5156" i="1"/>
  <c r="Y5156" i="1" s="1"/>
  <c r="X5144" i="1"/>
  <c r="Y5144" i="1" s="1"/>
  <c r="X5132" i="1"/>
  <c r="Y5132" i="1" s="1"/>
  <c r="X5120" i="1"/>
  <c r="Y5120" i="1" s="1"/>
  <c r="X5108" i="1"/>
  <c r="Y5108" i="1" s="1"/>
  <c r="X5096" i="1"/>
  <c r="Y5096" i="1" s="1"/>
  <c r="X5084" i="1"/>
  <c r="Y5084" i="1" s="1"/>
  <c r="X5072" i="1"/>
  <c r="Y5072" i="1" s="1"/>
  <c r="X5060" i="1"/>
  <c r="Y5060" i="1" s="1"/>
  <c r="X5048" i="1"/>
  <c r="Y5048" i="1" s="1"/>
  <c r="X5036" i="1"/>
  <c r="Y5036" i="1" s="1"/>
  <c r="X5024" i="1"/>
  <c r="Y5024" i="1" s="1"/>
  <c r="X5012" i="1"/>
  <c r="Y5012" i="1" s="1"/>
  <c r="X5000" i="1"/>
  <c r="Y5000" i="1" s="1"/>
  <c r="X4988" i="1"/>
  <c r="Y4988" i="1" s="1"/>
  <c r="X4976" i="1"/>
  <c r="Y4976" i="1" s="1"/>
  <c r="X4964" i="1"/>
  <c r="Y4964" i="1" s="1"/>
  <c r="X4952" i="1"/>
  <c r="Y4952" i="1" s="1"/>
  <c r="X4940" i="1"/>
  <c r="Y4940" i="1" s="1"/>
  <c r="X4928" i="1"/>
  <c r="Y4928" i="1" s="1"/>
  <c r="X4916" i="1"/>
  <c r="Y4916" i="1" s="1"/>
  <c r="X4904" i="1"/>
  <c r="Y4904" i="1" s="1"/>
  <c r="X4892" i="1"/>
  <c r="Y4892" i="1" s="1"/>
  <c r="X4880" i="1"/>
  <c r="Y4880" i="1" s="1"/>
  <c r="X4868" i="1"/>
  <c r="Y4868" i="1" s="1"/>
  <c r="X4856" i="1"/>
  <c r="Y4856" i="1" s="1"/>
  <c r="X4844" i="1"/>
  <c r="Y4844" i="1" s="1"/>
  <c r="X4832" i="1"/>
  <c r="Y4832" i="1" s="1"/>
  <c r="X4820" i="1"/>
  <c r="Y4820" i="1" s="1"/>
  <c r="X4808" i="1"/>
  <c r="Y4808" i="1" s="1"/>
  <c r="X4796" i="1"/>
  <c r="Y4796" i="1" s="1"/>
  <c r="X4784" i="1"/>
  <c r="Y4784" i="1" s="1"/>
  <c r="X4772" i="1"/>
  <c r="Y4772" i="1" s="1"/>
  <c r="X4760" i="1"/>
  <c r="Y4760" i="1" s="1"/>
  <c r="X4748" i="1"/>
  <c r="Y4748" i="1" s="1"/>
  <c r="X4736" i="1"/>
  <c r="Y4736" i="1" s="1"/>
  <c r="X4724" i="1"/>
  <c r="Y4724" i="1" s="1"/>
  <c r="X4712" i="1"/>
  <c r="Y4712" i="1" s="1"/>
  <c r="X4700" i="1"/>
  <c r="Y4700" i="1" s="1"/>
  <c r="X4688" i="1"/>
  <c r="Y4688" i="1" s="1"/>
  <c r="X4676" i="1"/>
  <c r="Y4676" i="1" s="1"/>
  <c r="X4664" i="1"/>
  <c r="Y4664" i="1" s="1"/>
  <c r="X4652" i="1"/>
  <c r="Y4652" i="1" s="1"/>
  <c r="X4640" i="1"/>
  <c r="Y4640" i="1" s="1"/>
  <c r="X4628" i="1"/>
  <c r="Y4628" i="1" s="1"/>
  <c r="X4616" i="1"/>
  <c r="Y4616" i="1" s="1"/>
  <c r="X4604" i="1"/>
  <c r="Y4604" i="1" s="1"/>
  <c r="X4592" i="1"/>
  <c r="Y4592" i="1" s="1"/>
  <c r="X4580" i="1"/>
  <c r="Y4580" i="1" s="1"/>
  <c r="X4568" i="1"/>
  <c r="Y4568" i="1" s="1"/>
  <c r="X4556" i="1"/>
  <c r="Y4556" i="1" s="1"/>
  <c r="X4544" i="1"/>
  <c r="Y4544" i="1" s="1"/>
  <c r="X4532" i="1"/>
  <c r="Y4532" i="1" s="1"/>
  <c r="X4520" i="1"/>
  <c r="Y4520" i="1" s="1"/>
  <c r="X4508" i="1"/>
  <c r="Y4508" i="1" s="1"/>
  <c r="X4496" i="1"/>
  <c r="Y4496" i="1" s="1"/>
  <c r="X4484" i="1"/>
  <c r="Y4484" i="1" s="1"/>
  <c r="X4472" i="1"/>
  <c r="Y4472" i="1" s="1"/>
  <c r="X4460" i="1"/>
  <c r="Y4460" i="1" s="1"/>
  <c r="X4448" i="1"/>
  <c r="Y4448" i="1" s="1"/>
  <c r="X4436" i="1"/>
  <c r="Y4436" i="1" s="1"/>
  <c r="X4424" i="1"/>
  <c r="Y4424" i="1" s="1"/>
  <c r="X4412" i="1"/>
  <c r="Y4412" i="1" s="1"/>
  <c r="X4400" i="1"/>
  <c r="Y4400" i="1" s="1"/>
  <c r="X4388" i="1"/>
  <c r="Y4388" i="1" s="1"/>
  <c r="X4376" i="1"/>
  <c r="Y4376" i="1" s="1"/>
  <c r="X4364" i="1"/>
  <c r="Y4364" i="1" s="1"/>
  <c r="X4352" i="1"/>
  <c r="Y4352" i="1" s="1"/>
  <c r="X4340" i="1"/>
  <c r="Y4340" i="1" s="1"/>
  <c r="X4328" i="1"/>
  <c r="Y4328" i="1" s="1"/>
  <c r="X4316" i="1"/>
  <c r="Y4316" i="1" s="1"/>
  <c r="X4304" i="1"/>
  <c r="Y4304" i="1" s="1"/>
  <c r="X4292" i="1"/>
  <c r="Y4292" i="1" s="1"/>
  <c r="X4280" i="1"/>
  <c r="Y4280" i="1" s="1"/>
  <c r="X4268" i="1"/>
  <c r="Y4268" i="1" s="1"/>
  <c r="X4256" i="1"/>
  <c r="Y4256" i="1" s="1"/>
  <c r="X4244" i="1"/>
  <c r="Y4244" i="1" s="1"/>
  <c r="X4232" i="1"/>
  <c r="Y4232" i="1" s="1"/>
  <c r="X4220" i="1"/>
  <c r="Y4220" i="1" s="1"/>
  <c r="X4208" i="1"/>
  <c r="Y4208" i="1" s="1"/>
  <c r="X4196" i="1"/>
  <c r="Y4196" i="1" s="1"/>
  <c r="X4184" i="1"/>
  <c r="Y4184" i="1" s="1"/>
  <c r="X4172" i="1"/>
  <c r="Y4172" i="1" s="1"/>
  <c r="X4747" i="1"/>
  <c r="Y4747" i="1" s="1"/>
  <c r="X4735" i="1"/>
  <c r="Y4735" i="1" s="1"/>
  <c r="X4723" i="1"/>
  <c r="Y4723" i="1" s="1"/>
  <c r="X4711" i="1"/>
  <c r="Y4711" i="1" s="1"/>
  <c r="X4699" i="1"/>
  <c r="Y4699" i="1" s="1"/>
  <c r="X4687" i="1"/>
  <c r="Y4687" i="1" s="1"/>
  <c r="X4675" i="1"/>
  <c r="Y4675" i="1" s="1"/>
  <c r="X4663" i="1"/>
  <c r="Y4663" i="1" s="1"/>
  <c r="X4651" i="1"/>
  <c r="Y4651" i="1" s="1"/>
  <c r="X4639" i="1"/>
  <c r="Y4639" i="1" s="1"/>
  <c r="X4627" i="1"/>
  <c r="Y4627" i="1" s="1"/>
  <c r="X4615" i="1"/>
  <c r="Y4615" i="1" s="1"/>
  <c r="X4603" i="1"/>
  <c r="Y4603" i="1" s="1"/>
  <c r="X4591" i="1"/>
  <c r="Y4591" i="1" s="1"/>
  <c r="X4579" i="1"/>
  <c r="Y4579" i="1" s="1"/>
  <c r="X4567" i="1"/>
  <c r="Y4567" i="1" s="1"/>
  <c r="X4555" i="1"/>
  <c r="Y4555" i="1" s="1"/>
  <c r="X4543" i="1"/>
  <c r="Y4543" i="1" s="1"/>
  <c r="X4531" i="1"/>
  <c r="Y4531" i="1" s="1"/>
  <c r="X4519" i="1"/>
  <c r="Y4519" i="1" s="1"/>
  <c r="X4507" i="1"/>
  <c r="Y4507" i="1" s="1"/>
  <c r="X4495" i="1"/>
  <c r="Y4495" i="1" s="1"/>
  <c r="X4483" i="1"/>
  <c r="Y4483" i="1" s="1"/>
  <c r="X4471" i="1"/>
  <c r="Y4471" i="1" s="1"/>
  <c r="X4459" i="1"/>
  <c r="Y4459" i="1" s="1"/>
  <c r="X4447" i="1"/>
  <c r="Y4447" i="1" s="1"/>
  <c r="X4435" i="1"/>
  <c r="Y4435" i="1" s="1"/>
  <c r="X4423" i="1"/>
  <c r="Y4423" i="1" s="1"/>
  <c r="X4411" i="1"/>
  <c r="Y4411" i="1" s="1"/>
  <c r="X4399" i="1"/>
  <c r="Y4399" i="1" s="1"/>
  <c r="X4375" i="1"/>
  <c r="Y4375" i="1" s="1"/>
  <c r="X4363" i="1"/>
  <c r="Y4363" i="1" s="1"/>
  <c r="X4351" i="1"/>
  <c r="Y4351" i="1" s="1"/>
  <c r="X4339" i="1"/>
  <c r="Y4339" i="1" s="1"/>
  <c r="X4327" i="1"/>
  <c r="Y4327" i="1" s="1"/>
  <c r="X4315" i="1"/>
  <c r="Y4315" i="1" s="1"/>
  <c r="X4303" i="1"/>
  <c r="Y4303" i="1" s="1"/>
  <c r="X4291" i="1"/>
  <c r="Y4291" i="1" s="1"/>
  <c r="X4279" i="1"/>
  <c r="Y4279" i="1" s="1"/>
  <c r="X4267" i="1"/>
  <c r="Y4267" i="1" s="1"/>
  <c r="X4255" i="1"/>
  <c r="Y4255" i="1" s="1"/>
  <c r="X4243" i="1"/>
  <c r="Y4243" i="1" s="1"/>
  <c r="X4231" i="1"/>
  <c r="Y4231" i="1" s="1"/>
  <c r="X4219" i="1"/>
  <c r="Y4219" i="1" s="1"/>
  <c r="X4207" i="1"/>
  <c r="Y4207" i="1" s="1"/>
  <c r="X4183" i="1"/>
  <c r="Y4183" i="1" s="1"/>
  <c r="X4171" i="1"/>
  <c r="Y4171" i="1" s="1"/>
  <c r="X4159" i="1"/>
  <c r="Y4159" i="1" s="1"/>
  <c r="X4147" i="1"/>
  <c r="Y4147" i="1" s="1"/>
  <c r="X4135" i="1"/>
  <c r="Y4135" i="1" s="1"/>
  <c r="X4123" i="1"/>
  <c r="Y4123" i="1" s="1"/>
  <c r="X4111" i="1"/>
  <c r="Y4111" i="1" s="1"/>
  <c r="X4099" i="1"/>
  <c r="Y4099" i="1" s="1"/>
  <c r="X4087" i="1"/>
  <c r="Y4087" i="1" s="1"/>
  <c r="X4075" i="1"/>
  <c r="Y4075" i="1" s="1"/>
  <c r="X4063" i="1"/>
  <c r="Y4063" i="1" s="1"/>
  <c r="X4051" i="1"/>
  <c r="Y4051" i="1" s="1"/>
  <c r="X4039" i="1"/>
  <c r="Y4039" i="1" s="1"/>
  <c r="X4027" i="1"/>
  <c r="Y4027" i="1" s="1"/>
  <c r="X4015" i="1"/>
  <c r="Y4015" i="1" s="1"/>
  <c r="X4003" i="1"/>
  <c r="Y4003" i="1" s="1"/>
  <c r="X3991" i="1"/>
  <c r="Y3991" i="1" s="1"/>
  <c r="X3979" i="1"/>
  <c r="Y3979" i="1" s="1"/>
  <c r="X3967" i="1"/>
  <c r="Y3967" i="1" s="1"/>
  <c r="X3955" i="1"/>
  <c r="Y3955" i="1" s="1"/>
  <c r="X3943" i="1"/>
  <c r="Y3943" i="1" s="1"/>
  <c r="X3931" i="1"/>
  <c r="Y3931" i="1" s="1"/>
  <c r="X3919" i="1"/>
  <c r="Y3919" i="1" s="1"/>
  <c r="X3907" i="1"/>
  <c r="Y3907" i="1" s="1"/>
  <c r="X3895" i="1"/>
  <c r="Y3895" i="1" s="1"/>
  <c r="X3883" i="1"/>
  <c r="Y3883" i="1" s="1"/>
  <c r="X3871" i="1"/>
  <c r="Y3871" i="1" s="1"/>
  <c r="X3859" i="1"/>
  <c r="Y3859" i="1" s="1"/>
  <c r="X3847" i="1"/>
  <c r="Y3847" i="1" s="1"/>
  <c r="X3835" i="1"/>
  <c r="Y3835" i="1" s="1"/>
  <c r="X3823" i="1"/>
  <c r="Y3823" i="1" s="1"/>
  <c r="X3811" i="1"/>
  <c r="Y3811" i="1" s="1"/>
  <c r="X3799" i="1"/>
  <c r="Y3799" i="1" s="1"/>
  <c r="X3787" i="1"/>
  <c r="Y3787" i="1" s="1"/>
  <c r="X3775" i="1"/>
  <c r="Y3775" i="1" s="1"/>
  <c r="X3763" i="1"/>
  <c r="Y3763" i="1" s="1"/>
  <c r="X3751" i="1"/>
  <c r="Y3751" i="1" s="1"/>
  <c r="X3739" i="1"/>
  <c r="Y3739" i="1" s="1"/>
  <c r="X3727" i="1"/>
  <c r="Y3727" i="1" s="1"/>
  <c r="X3715" i="1"/>
  <c r="Y3715" i="1" s="1"/>
  <c r="X3703" i="1"/>
  <c r="Y3703" i="1" s="1"/>
  <c r="X3691" i="1"/>
  <c r="Y3691" i="1" s="1"/>
  <c r="X3679" i="1"/>
  <c r="Y3679" i="1" s="1"/>
  <c r="X3667" i="1"/>
  <c r="Y3667" i="1" s="1"/>
  <c r="X3655" i="1"/>
  <c r="Y3655" i="1" s="1"/>
  <c r="X3643" i="1"/>
  <c r="Y3643" i="1" s="1"/>
  <c r="X3631" i="1"/>
  <c r="Y3631" i="1" s="1"/>
  <c r="X3619" i="1"/>
  <c r="Y3619" i="1" s="1"/>
  <c r="X3607" i="1"/>
  <c r="Y3607" i="1" s="1"/>
  <c r="X3595" i="1"/>
  <c r="Y3595" i="1" s="1"/>
  <c r="X3583" i="1"/>
  <c r="Y3583" i="1" s="1"/>
  <c r="X3571" i="1"/>
  <c r="Y3571" i="1" s="1"/>
  <c r="X3559" i="1"/>
  <c r="Y3559" i="1" s="1"/>
  <c r="X3547" i="1"/>
  <c r="Y3547" i="1" s="1"/>
  <c r="X3535" i="1"/>
  <c r="Y3535" i="1" s="1"/>
  <c r="X3523" i="1"/>
  <c r="Y3523" i="1" s="1"/>
  <c r="X3511" i="1"/>
  <c r="Y3511" i="1" s="1"/>
  <c r="X3499" i="1"/>
  <c r="Y3499" i="1" s="1"/>
  <c r="X3487" i="1"/>
  <c r="Y3487" i="1" s="1"/>
  <c r="X3475" i="1"/>
  <c r="Y3475" i="1" s="1"/>
  <c r="X3463" i="1"/>
  <c r="Y3463" i="1" s="1"/>
  <c r="X3451" i="1"/>
  <c r="Y3451" i="1" s="1"/>
  <c r="X3439" i="1"/>
  <c r="Y3439" i="1" s="1"/>
  <c r="X3427" i="1"/>
  <c r="Y3427" i="1" s="1"/>
  <c r="X3415" i="1"/>
  <c r="Y3415" i="1" s="1"/>
  <c r="X3403" i="1"/>
  <c r="Y3403" i="1" s="1"/>
  <c r="X3391" i="1"/>
  <c r="Y3391" i="1" s="1"/>
  <c r="X3379" i="1"/>
  <c r="Y3379" i="1" s="1"/>
  <c r="X3367" i="1"/>
  <c r="Y3367" i="1" s="1"/>
  <c r="X3355" i="1"/>
  <c r="Y3355" i="1" s="1"/>
  <c r="X3343" i="1"/>
  <c r="Y3343" i="1" s="1"/>
  <c r="X3331" i="1"/>
  <c r="Y3331" i="1" s="1"/>
  <c r="X3319" i="1"/>
  <c r="Y3319" i="1" s="1"/>
  <c r="X3307" i="1"/>
  <c r="Y3307" i="1" s="1"/>
  <c r="X3295" i="1"/>
  <c r="Y3295" i="1" s="1"/>
  <c r="X3283" i="1"/>
  <c r="Y3283" i="1" s="1"/>
  <c r="X3271" i="1"/>
  <c r="Y3271" i="1" s="1"/>
  <c r="X3259" i="1"/>
  <c r="Y3259" i="1" s="1"/>
  <c r="X3247" i="1"/>
  <c r="Y3247" i="1" s="1"/>
  <c r="X3235" i="1"/>
  <c r="Y3235" i="1" s="1"/>
  <c r="X3223" i="1"/>
  <c r="Y3223" i="1" s="1"/>
  <c r="X3211" i="1"/>
  <c r="Y3211" i="1" s="1"/>
  <c r="X3199" i="1"/>
  <c r="Y3199" i="1" s="1"/>
  <c r="X3187" i="1"/>
  <c r="Y3187" i="1" s="1"/>
  <c r="X3175" i="1"/>
  <c r="Y3175" i="1" s="1"/>
  <c r="X3163" i="1"/>
  <c r="Y3163" i="1" s="1"/>
  <c r="X3151" i="1"/>
  <c r="Y3151" i="1" s="1"/>
  <c r="X3139" i="1"/>
  <c r="Y3139" i="1" s="1"/>
  <c r="X3127" i="1"/>
  <c r="Y3127" i="1" s="1"/>
  <c r="X3115" i="1"/>
  <c r="Y3115" i="1" s="1"/>
  <c r="X3103" i="1"/>
  <c r="Y3103" i="1" s="1"/>
  <c r="X3091" i="1"/>
  <c r="Y3091" i="1" s="1"/>
  <c r="X3079" i="1"/>
  <c r="Y3079" i="1" s="1"/>
  <c r="X3067" i="1"/>
  <c r="Y3067" i="1" s="1"/>
  <c r="X3055" i="1"/>
  <c r="Y3055" i="1" s="1"/>
  <c r="X3043" i="1"/>
  <c r="Y3043" i="1" s="1"/>
  <c r="X3031" i="1"/>
  <c r="Y3031" i="1" s="1"/>
  <c r="X3019" i="1"/>
  <c r="Y3019" i="1" s="1"/>
  <c r="X3007" i="1"/>
  <c r="Y3007" i="1" s="1"/>
  <c r="X2995" i="1"/>
  <c r="Y2995" i="1" s="1"/>
  <c r="X2983" i="1"/>
  <c r="Y2983" i="1" s="1"/>
  <c r="X2971" i="1"/>
  <c r="Y2971" i="1" s="1"/>
  <c r="X2959" i="1"/>
  <c r="Y2959" i="1" s="1"/>
  <c r="X2947" i="1"/>
  <c r="Y2947" i="1" s="1"/>
  <c r="X2935" i="1"/>
  <c r="Y2935" i="1" s="1"/>
  <c r="X2923" i="1"/>
  <c r="Y2923" i="1" s="1"/>
  <c r="X2911" i="1"/>
  <c r="Y2911" i="1" s="1"/>
  <c r="X2899" i="1"/>
  <c r="Y2899" i="1" s="1"/>
  <c r="X2887" i="1"/>
  <c r="Y2887" i="1" s="1"/>
  <c r="X2875" i="1"/>
  <c r="Y2875" i="1" s="1"/>
  <c r="X2863" i="1"/>
  <c r="Y2863" i="1" s="1"/>
  <c r="X2851" i="1"/>
  <c r="Y2851" i="1" s="1"/>
  <c r="X2839" i="1"/>
  <c r="Y2839" i="1" s="1"/>
  <c r="X2827" i="1"/>
  <c r="Y2827" i="1" s="1"/>
  <c r="X2815" i="1"/>
  <c r="Y2815" i="1" s="1"/>
  <c r="X2803" i="1"/>
  <c r="Y2803" i="1" s="1"/>
  <c r="X2791" i="1"/>
  <c r="Y2791" i="1" s="1"/>
  <c r="X2779" i="1"/>
  <c r="Y2779" i="1" s="1"/>
  <c r="X2767" i="1"/>
  <c r="Y2767" i="1" s="1"/>
  <c r="X2755" i="1"/>
  <c r="Y2755" i="1" s="1"/>
  <c r="X2743" i="1"/>
  <c r="Y2743" i="1" s="1"/>
  <c r="X2731" i="1"/>
  <c r="Y2731" i="1" s="1"/>
  <c r="X2719" i="1"/>
  <c r="Y2719" i="1" s="1"/>
  <c r="X2707" i="1"/>
  <c r="Y2707" i="1" s="1"/>
  <c r="X2695" i="1"/>
  <c r="Y2695" i="1" s="1"/>
  <c r="X2683" i="1"/>
  <c r="Y2683" i="1" s="1"/>
  <c r="X2671" i="1"/>
  <c r="Y2671" i="1" s="1"/>
  <c r="X2659" i="1"/>
  <c r="Y2659" i="1" s="1"/>
  <c r="X2647" i="1"/>
  <c r="Y2647" i="1" s="1"/>
  <c r="X2635" i="1"/>
  <c r="Y2635" i="1" s="1"/>
  <c r="X2623" i="1"/>
  <c r="Y2623" i="1" s="1"/>
  <c r="X2611" i="1"/>
  <c r="Y2611" i="1" s="1"/>
  <c r="X2599" i="1"/>
  <c r="Y2599" i="1" s="1"/>
  <c r="X2587" i="1"/>
  <c r="Y2587" i="1" s="1"/>
  <c r="X2575" i="1"/>
  <c r="Y2575" i="1" s="1"/>
  <c r="X2563" i="1"/>
  <c r="Y2563" i="1" s="1"/>
  <c r="X2551" i="1"/>
  <c r="Y2551" i="1" s="1"/>
  <c r="X2539" i="1"/>
  <c r="Y2539" i="1" s="1"/>
  <c r="X2527" i="1"/>
  <c r="Y2527" i="1" s="1"/>
  <c r="X2515" i="1"/>
  <c r="Y2515" i="1" s="1"/>
  <c r="X2503" i="1"/>
  <c r="Y2503" i="1" s="1"/>
  <c r="X2491" i="1"/>
  <c r="Y2491" i="1" s="1"/>
  <c r="X2479" i="1"/>
  <c r="Y2479" i="1" s="1"/>
  <c r="X2467" i="1"/>
  <c r="Y2467" i="1" s="1"/>
  <c r="X2455" i="1"/>
  <c r="Y2455" i="1" s="1"/>
  <c r="X2443" i="1"/>
  <c r="Y2443" i="1" s="1"/>
  <c r="X2431" i="1"/>
  <c r="Y2431" i="1" s="1"/>
  <c r="X2419" i="1"/>
  <c r="Y2419" i="1" s="1"/>
  <c r="X2394" i="1"/>
  <c r="Y2394" i="1" s="1"/>
  <c r="X2382" i="1"/>
  <c r="Y2382" i="1" s="1"/>
  <c r="X2370" i="1"/>
  <c r="Y2370" i="1" s="1"/>
  <c r="X2358" i="1"/>
  <c r="Y2358" i="1" s="1"/>
  <c r="X2346" i="1"/>
  <c r="Y2346" i="1" s="1"/>
  <c r="X2334" i="1"/>
  <c r="Y2334" i="1" s="1"/>
  <c r="X2322" i="1"/>
  <c r="Y2322" i="1" s="1"/>
  <c r="X2310" i="1"/>
  <c r="Y2310" i="1" s="1"/>
  <c r="X2298" i="1"/>
  <c r="Y2298" i="1" s="1"/>
  <c r="X2286" i="1"/>
  <c r="Y2286" i="1" s="1"/>
  <c r="X2274" i="1"/>
  <c r="Y2274" i="1" s="1"/>
  <c r="X2262" i="1"/>
  <c r="Y2262" i="1" s="1"/>
  <c r="X2250" i="1"/>
  <c r="Y2250" i="1" s="1"/>
  <c r="X2238" i="1"/>
  <c r="Y2238" i="1" s="1"/>
  <c r="X2226" i="1"/>
  <c r="Y2226" i="1" s="1"/>
  <c r="X2214" i="1"/>
  <c r="Y2214" i="1" s="1"/>
  <c r="X2202" i="1"/>
  <c r="Y2202" i="1" s="1"/>
  <c r="X2190" i="1"/>
  <c r="Y2190" i="1" s="1"/>
  <c r="X2178" i="1"/>
  <c r="Y2178" i="1" s="1"/>
  <c r="X2166" i="1"/>
  <c r="Y2166" i="1" s="1"/>
  <c r="X2154" i="1"/>
  <c r="Y2154" i="1" s="1"/>
  <c r="X2142" i="1"/>
  <c r="Y2142" i="1" s="1"/>
  <c r="X2130" i="1"/>
  <c r="Y2130" i="1" s="1"/>
  <c r="X2118" i="1"/>
  <c r="Y2118" i="1" s="1"/>
  <c r="X2106" i="1"/>
  <c r="Y2106" i="1" s="1"/>
  <c r="X2094" i="1"/>
  <c r="Y2094" i="1" s="1"/>
  <c r="X2082" i="1"/>
  <c r="Y2082" i="1" s="1"/>
  <c r="X2070" i="1"/>
  <c r="Y2070" i="1" s="1"/>
  <c r="X2058" i="1"/>
  <c r="Y2058" i="1" s="1"/>
  <c r="X2046" i="1"/>
  <c r="Y2046" i="1" s="1"/>
  <c r="X2034" i="1"/>
  <c r="Y2034" i="1" s="1"/>
  <c r="X2022" i="1"/>
  <c r="Y2022" i="1" s="1"/>
  <c r="X2010" i="1"/>
  <c r="Y2010" i="1" s="1"/>
  <c r="X1998" i="1"/>
  <c r="Y1998" i="1" s="1"/>
  <c r="X1986" i="1"/>
  <c r="Y1986" i="1" s="1"/>
  <c r="X1974" i="1"/>
  <c r="Y1974" i="1" s="1"/>
  <c r="X1962" i="1"/>
  <c r="Y1962" i="1" s="1"/>
  <c r="X1950" i="1"/>
  <c r="Y1950" i="1" s="1"/>
  <c r="X1938" i="1"/>
  <c r="Y1938" i="1" s="1"/>
  <c r="X1926" i="1"/>
  <c r="Y1926" i="1" s="1"/>
  <c r="X1914" i="1"/>
  <c r="Y1914" i="1" s="1"/>
  <c r="X1902" i="1"/>
  <c r="Y1902" i="1" s="1"/>
  <c r="X1890" i="1"/>
  <c r="Y1890" i="1" s="1"/>
  <c r="X1878" i="1"/>
  <c r="Y1878" i="1" s="1"/>
  <c r="X1866" i="1"/>
  <c r="Y1866" i="1" s="1"/>
  <c r="X1854" i="1"/>
  <c r="Y1854" i="1" s="1"/>
  <c r="X1842" i="1"/>
  <c r="Y1842" i="1" s="1"/>
  <c r="X1830" i="1"/>
  <c r="Y1830" i="1" s="1"/>
  <c r="X1818" i="1"/>
  <c r="Y1818" i="1" s="1"/>
  <c r="X1806" i="1"/>
  <c r="Y1806" i="1" s="1"/>
  <c r="X1794" i="1"/>
  <c r="Y1794" i="1" s="1"/>
  <c r="X1782" i="1"/>
  <c r="Y1782" i="1" s="1"/>
  <c r="X1770" i="1"/>
  <c r="Y1770" i="1" s="1"/>
  <c r="X1758" i="1"/>
  <c r="Y1758" i="1" s="1"/>
  <c r="X1746" i="1"/>
  <c r="Y1746" i="1" s="1"/>
  <c r="X1734" i="1"/>
  <c r="Y1734" i="1" s="1"/>
  <c r="X1722" i="1"/>
  <c r="Y1722" i="1" s="1"/>
  <c r="X1710" i="1"/>
  <c r="Y1710" i="1" s="1"/>
  <c r="X1698" i="1"/>
  <c r="Y1698" i="1" s="1"/>
  <c r="X1686" i="1"/>
  <c r="Y1686" i="1" s="1"/>
  <c r="X1674" i="1"/>
  <c r="Y1674" i="1" s="1"/>
  <c r="X1662" i="1"/>
  <c r="Y1662" i="1" s="1"/>
  <c r="X1650" i="1"/>
  <c r="Y1650" i="1" s="1"/>
  <c r="X1638" i="1"/>
  <c r="Y1638" i="1" s="1"/>
  <c r="X1626" i="1"/>
  <c r="Y1626" i="1" s="1"/>
  <c r="X1614" i="1"/>
  <c r="Y1614" i="1" s="1"/>
  <c r="X1602" i="1"/>
  <c r="Y1602" i="1" s="1"/>
  <c r="X1590" i="1"/>
  <c r="Y1590" i="1" s="1"/>
  <c r="X1578" i="1"/>
  <c r="Y1578" i="1" s="1"/>
  <c r="X1566" i="1"/>
  <c r="Y1566" i="1" s="1"/>
  <c r="X1554" i="1"/>
  <c r="Y1554" i="1" s="1"/>
  <c r="X2407" i="1"/>
  <c r="Y2407" i="1" s="1"/>
  <c r="X2395" i="1"/>
  <c r="Y2395" i="1" s="1"/>
  <c r="X2383" i="1"/>
  <c r="Y2383" i="1" s="1"/>
  <c r="X2371" i="1"/>
  <c r="Y2371" i="1" s="1"/>
  <c r="X2359" i="1"/>
  <c r="Y2359" i="1" s="1"/>
  <c r="X2347" i="1"/>
  <c r="Y2347" i="1" s="1"/>
  <c r="X2335" i="1"/>
  <c r="Y2335" i="1" s="1"/>
  <c r="X2323" i="1"/>
  <c r="Y2323" i="1" s="1"/>
  <c r="X2311" i="1"/>
  <c r="Y2311" i="1" s="1"/>
  <c r="X2299" i="1"/>
  <c r="Y2299" i="1" s="1"/>
  <c r="X2287" i="1"/>
  <c r="Y2287" i="1" s="1"/>
  <c r="X2275" i="1"/>
  <c r="Y2275" i="1" s="1"/>
  <c r="X2263" i="1"/>
  <c r="Y2263" i="1" s="1"/>
  <c r="X2251" i="1"/>
  <c r="Y2251" i="1" s="1"/>
  <c r="X2239" i="1"/>
  <c r="Y2239" i="1" s="1"/>
  <c r="X2227" i="1"/>
  <c r="Y2227" i="1" s="1"/>
  <c r="X2215" i="1"/>
  <c r="Y2215" i="1" s="1"/>
  <c r="X2203" i="1"/>
  <c r="Y2203" i="1" s="1"/>
  <c r="X2191" i="1"/>
  <c r="Y2191" i="1" s="1"/>
  <c r="X2179" i="1"/>
  <c r="Y2179" i="1" s="1"/>
  <c r="X2167" i="1"/>
  <c r="Y2167" i="1" s="1"/>
  <c r="X2155" i="1"/>
  <c r="Y2155" i="1" s="1"/>
  <c r="X2143" i="1"/>
  <c r="Y2143" i="1" s="1"/>
  <c r="X2131" i="1"/>
  <c r="Y2131" i="1" s="1"/>
  <c r="X2119" i="1"/>
  <c r="Y2119" i="1" s="1"/>
  <c r="X2107" i="1"/>
  <c r="Y2107" i="1" s="1"/>
  <c r="X2095" i="1"/>
  <c r="Y2095" i="1" s="1"/>
  <c r="X2083" i="1"/>
  <c r="Y2083" i="1" s="1"/>
  <c r="X2071" i="1"/>
  <c r="Y2071" i="1" s="1"/>
  <c r="X2059" i="1"/>
  <c r="Y2059" i="1" s="1"/>
  <c r="X2047" i="1"/>
  <c r="Y2047" i="1" s="1"/>
  <c r="X2035" i="1"/>
  <c r="Y2035" i="1" s="1"/>
  <c r="X2023" i="1"/>
  <c r="Y2023" i="1" s="1"/>
  <c r="X2011" i="1"/>
  <c r="Y2011" i="1" s="1"/>
  <c r="X1999" i="1"/>
  <c r="Y1999" i="1" s="1"/>
  <c r="X1987" i="1"/>
  <c r="Y1987" i="1" s="1"/>
  <c r="X1975" i="1"/>
  <c r="Y1975" i="1" s="1"/>
  <c r="X1963" i="1"/>
  <c r="Y1963" i="1" s="1"/>
  <c r="X1951" i="1"/>
  <c r="Y1951" i="1" s="1"/>
  <c r="X1939" i="1"/>
  <c r="Y1939" i="1" s="1"/>
  <c r="X1927" i="1"/>
  <c r="Y1927" i="1" s="1"/>
  <c r="X1915" i="1"/>
  <c r="Y1915" i="1" s="1"/>
  <c r="X1903" i="1"/>
  <c r="Y1903" i="1" s="1"/>
  <c r="X1891" i="1"/>
  <c r="Y1891" i="1" s="1"/>
  <c r="X1879" i="1"/>
  <c r="Y1879" i="1" s="1"/>
  <c r="X1867" i="1"/>
  <c r="Y1867" i="1" s="1"/>
  <c r="X1855" i="1"/>
  <c r="Y1855" i="1" s="1"/>
  <c r="X1843" i="1"/>
  <c r="Y1843" i="1" s="1"/>
  <c r="X1831" i="1"/>
  <c r="Y1831" i="1" s="1"/>
  <c r="X1819" i="1"/>
  <c r="Y1819" i="1" s="1"/>
  <c r="X1807" i="1"/>
  <c r="Y1807" i="1" s="1"/>
  <c r="X1795" i="1"/>
  <c r="Y1795" i="1" s="1"/>
  <c r="X1783" i="1"/>
  <c r="Y1783" i="1" s="1"/>
  <c r="X1771" i="1"/>
  <c r="Y1771" i="1" s="1"/>
  <c r="X1759" i="1"/>
  <c r="Y1759" i="1" s="1"/>
  <c r="X1747" i="1"/>
  <c r="Y1747" i="1" s="1"/>
  <c r="X1735" i="1"/>
  <c r="Y1735" i="1" s="1"/>
  <c r="X1723" i="1"/>
  <c r="Y1723" i="1" s="1"/>
  <c r="X1711" i="1"/>
  <c r="Y1711" i="1" s="1"/>
  <c r="X1699" i="1"/>
  <c r="Y1699" i="1" s="1"/>
  <c r="X1687" i="1"/>
  <c r="Y1687" i="1" s="1"/>
  <c r="X1675" i="1"/>
  <c r="Y1675" i="1" s="1"/>
  <c r="X1663" i="1"/>
  <c r="Y1663" i="1" s="1"/>
  <c r="X1651" i="1"/>
  <c r="Y1651" i="1" s="1"/>
  <c r="X1639" i="1"/>
  <c r="Y1639" i="1" s="1"/>
  <c r="X1627" i="1"/>
  <c r="Y1627" i="1" s="1"/>
  <c r="X1615" i="1"/>
  <c r="Y1615" i="1" s="1"/>
  <c r="X1603" i="1"/>
  <c r="Y1603" i="1" s="1"/>
  <c r="X1591" i="1"/>
  <c r="Y1591" i="1" s="1"/>
  <c r="X1579" i="1"/>
  <c r="Y1579" i="1" s="1"/>
  <c r="X1567" i="1"/>
  <c r="Y1567" i="1" s="1"/>
  <c r="X1555" i="1"/>
  <c r="Y1555" i="1" s="1"/>
  <c r="X1543" i="1"/>
  <c r="Y1543" i="1" s="1"/>
  <c r="X1531" i="1"/>
  <c r="Y1531" i="1" s="1"/>
  <c r="X1519" i="1"/>
  <c r="Y1519" i="1" s="1"/>
  <c r="X1507" i="1"/>
  <c r="Y1507" i="1" s="1"/>
  <c r="X1495" i="1"/>
  <c r="Y1495" i="1" s="1"/>
  <c r="X1483" i="1"/>
  <c r="Y1483" i="1" s="1"/>
  <c r="X1471" i="1"/>
  <c r="Y1471" i="1" s="1"/>
  <c r="X1459" i="1"/>
  <c r="Y1459" i="1" s="1"/>
  <c r="X1447" i="1"/>
  <c r="Y1447" i="1" s="1"/>
  <c r="X1435" i="1"/>
  <c r="Y1435" i="1" s="1"/>
  <c r="X1423" i="1"/>
  <c r="Y1423" i="1" s="1"/>
  <c r="X1411" i="1"/>
  <c r="Y1411" i="1" s="1"/>
  <c r="X1399" i="1"/>
  <c r="Y1399" i="1" s="1"/>
  <c r="X1387" i="1"/>
  <c r="Y1387" i="1" s="1"/>
  <c r="X1375" i="1"/>
  <c r="Y1375" i="1" s="1"/>
  <c r="X1363" i="1"/>
  <c r="Y1363" i="1" s="1"/>
  <c r="X1351" i="1"/>
  <c r="Y1351" i="1" s="1"/>
  <c r="X1339" i="1"/>
  <c r="Y1339" i="1" s="1"/>
  <c r="X1327" i="1"/>
  <c r="Y1327" i="1" s="1"/>
  <c r="X1315" i="1"/>
  <c r="Y1315" i="1" s="1"/>
  <c r="X1303" i="1"/>
  <c r="Y1303" i="1" s="1"/>
  <c r="X1291" i="1"/>
  <c r="Y1291" i="1" s="1"/>
  <c r="X1279" i="1"/>
  <c r="Y1279" i="1" s="1"/>
  <c r="X1267" i="1"/>
  <c r="Y1267" i="1" s="1"/>
  <c r="X1255" i="1"/>
  <c r="Y1255" i="1" s="1"/>
  <c r="X1243" i="1"/>
  <c r="Y1243" i="1" s="1"/>
  <c r="X1231" i="1"/>
  <c r="Y1231" i="1" s="1"/>
  <c r="X1219" i="1"/>
  <c r="Y1219" i="1" s="1"/>
  <c r="X1207" i="1"/>
  <c r="Y1207" i="1" s="1"/>
  <c r="X1195" i="1"/>
  <c r="Y1195" i="1" s="1"/>
  <c r="X1183" i="1"/>
  <c r="Y1183" i="1" s="1"/>
  <c r="X1171" i="1"/>
  <c r="Y1171" i="1" s="1"/>
  <c r="X1159" i="1"/>
  <c r="Y1159" i="1" s="1"/>
  <c r="X1147" i="1"/>
  <c r="Y1147" i="1" s="1"/>
  <c r="X1135" i="1"/>
  <c r="Y1135" i="1" s="1"/>
  <c r="X1123" i="1"/>
  <c r="Y1123" i="1" s="1"/>
  <c r="X1111" i="1"/>
  <c r="Y1111" i="1" s="1"/>
  <c r="X1099" i="1"/>
  <c r="Y1099" i="1" s="1"/>
  <c r="X1087" i="1"/>
  <c r="Y1087" i="1" s="1"/>
  <c r="X1075" i="1"/>
  <c r="Y1075" i="1" s="1"/>
  <c r="X1063" i="1"/>
  <c r="Y1063" i="1" s="1"/>
  <c r="X1051" i="1"/>
  <c r="Y1051" i="1" s="1"/>
  <c r="X1039" i="1"/>
  <c r="Y1039" i="1" s="1"/>
  <c r="X1027" i="1"/>
  <c r="Y1027" i="1" s="1"/>
  <c r="X1015" i="1"/>
  <c r="Y1015" i="1" s="1"/>
  <c r="X1003" i="1"/>
  <c r="Y1003" i="1" s="1"/>
  <c r="X991" i="1"/>
  <c r="Y991" i="1" s="1"/>
  <c r="X979" i="1"/>
  <c r="Y979" i="1" s="1"/>
  <c r="X967" i="1"/>
  <c r="Y967" i="1" s="1"/>
  <c r="X955" i="1"/>
  <c r="Y955" i="1" s="1"/>
  <c r="X943" i="1"/>
  <c r="Y943" i="1" s="1"/>
  <c r="X931" i="1"/>
  <c r="Y931" i="1" s="1"/>
  <c r="X919" i="1"/>
  <c r="Y919" i="1" s="1"/>
  <c r="X907" i="1"/>
  <c r="Y907" i="1" s="1"/>
  <c r="X895" i="1"/>
  <c r="Y895" i="1" s="1"/>
  <c r="X883" i="1"/>
  <c r="Y883" i="1" s="1"/>
  <c r="X4154" i="1"/>
  <c r="Y4154" i="1" s="1"/>
  <c r="X4142" i="1"/>
  <c r="Y4142" i="1" s="1"/>
  <c r="X4130" i="1"/>
  <c r="Y4130" i="1" s="1"/>
  <c r="X4118" i="1"/>
  <c r="Y4118" i="1" s="1"/>
  <c r="X4106" i="1"/>
  <c r="Y4106" i="1" s="1"/>
  <c r="X4094" i="1"/>
  <c r="Y4094" i="1" s="1"/>
  <c r="X4082" i="1"/>
  <c r="Y4082" i="1" s="1"/>
  <c r="X4070" i="1"/>
  <c r="Y4070" i="1" s="1"/>
  <c r="X4058" i="1"/>
  <c r="Y4058" i="1" s="1"/>
  <c r="X4046" i="1"/>
  <c r="Y4046" i="1" s="1"/>
  <c r="X4034" i="1"/>
  <c r="Y4034" i="1" s="1"/>
  <c r="X4022" i="1"/>
  <c r="Y4022" i="1" s="1"/>
  <c r="X4010" i="1"/>
  <c r="Y4010" i="1" s="1"/>
  <c r="X3998" i="1"/>
  <c r="Y3998" i="1" s="1"/>
  <c r="X3986" i="1"/>
  <c r="Y3986" i="1" s="1"/>
  <c r="X3974" i="1"/>
  <c r="Y3974" i="1" s="1"/>
  <c r="X3962" i="1"/>
  <c r="Y3962" i="1" s="1"/>
  <c r="X3950" i="1"/>
  <c r="Y3950" i="1" s="1"/>
  <c r="X3938" i="1"/>
  <c r="Y3938" i="1" s="1"/>
  <c r="X3926" i="1"/>
  <c r="Y3926" i="1" s="1"/>
  <c r="X3914" i="1"/>
  <c r="Y3914" i="1" s="1"/>
  <c r="X3902" i="1"/>
  <c r="Y3902" i="1" s="1"/>
  <c r="X3890" i="1"/>
  <c r="Y3890" i="1" s="1"/>
  <c r="X3878" i="1"/>
  <c r="Y3878" i="1" s="1"/>
  <c r="X3866" i="1"/>
  <c r="Y3866" i="1" s="1"/>
  <c r="X3854" i="1"/>
  <c r="Y3854" i="1" s="1"/>
  <c r="X3842" i="1"/>
  <c r="Y3842" i="1" s="1"/>
  <c r="X3830" i="1"/>
  <c r="Y3830" i="1" s="1"/>
  <c r="X3818" i="1"/>
  <c r="Y3818" i="1" s="1"/>
  <c r="X3806" i="1"/>
  <c r="Y3806" i="1" s="1"/>
  <c r="X3794" i="1"/>
  <c r="Y3794" i="1" s="1"/>
  <c r="X3782" i="1"/>
  <c r="Y3782" i="1" s="1"/>
  <c r="X3770" i="1"/>
  <c r="Y3770" i="1" s="1"/>
  <c r="X3758" i="1"/>
  <c r="Y3758" i="1" s="1"/>
  <c r="X3746" i="1"/>
  <c r="Y3746" i="1" s="1"/>
  <c r="X3734" i="1"/>
  <c r="Y3734" i="1" s="1"/>
  <c r="X3722" i="1"/>
  <c r="Y3722" i="1" s="1"/>
  <c r="X3710" i="1"/>
  <c r="Y3710" i="1" s="1"/>
  <c r="X3698" i="1"/>
  <c r="Y3698" i="1" s="1"/>
  <c r="X3686" i="1"/>
  <c r="Y3686" i="1" s="1"/>
  <c r="X3674" i="1"/>
  <c r="Y3674" i="1" s="1"/>
  <c r="X3662" i="1"/>
  <c r="Y3662" i="1" s="1"/>
  <c r="X3650" i="1"/>
  <c r="Y3650" i="1" s="1"/>
  <c r="X3638" i="1"/>
  <c r="Y3638" i="1" s="1"/>
  <c r="X3626" i="1"/>
  <c r="Y3626" i="1" s="1"/>
  <c r="X3614" i="1"/>
  <c r="Y3614" i="1" s="1"/>
  <c r="X3602" i="1"/>
  <c r="Y3602" i="1" s="1"/>
  <c r="X3590" i="1"/>
  <c r="Y3590" i="1" s="1"/>
  <c r="X3578" i="1"/>
  <c r="Y3578" i="1" s="1"/>
  <c r="X3566" i="1"/>
  <c r="Y3566" i="1" s="1"/>
  <c r="X3554" i="1"/>
  <c r="Y3554" i="1" s="1"/>
  <c r="X3542" i="1"/>
  <c r="Y3542" i="1" s="1"/>
  <c r="X3530" i="1"/>
  <c r="Y3530" i="1" s="1"/>
  <c r="X3518" i="1"/>
  <c r="Y3518" i="1" s="1"/>
  <c r="X3506" i="1"/>
  <c r="Y3506" i="1" s="1"/>
  <c r="X3494" i="1"/>
  <c r="Y3494" i="1" s="1"/>
  <c r="X3482" i="1"/>
  <c r="Y3482" i="1" s="1"/>
  <c r="X3470" i="1"/>
  <c r="Y3470" i="1" s="1"/>
  <c r="X3458" i="1"/>
  <c r="Y3458" i="1" s="1"/>
  <c r="X3446" i="1"/>
  <c r="Y3446" i="1" s="1"/>
  <c r="X3434" i="1"/>
  <c r="Y3434" i="1" s="1"/>
  <c r="X3422" i="1"/>
  <c r="Y3422" i="1" s="1"/>
  <c r="X3410" i="1"/>
  <c r="Y3410" i="1" s="1"/>
  <c r="X3398" i="1"/>
  <c r="Y3398" i="1" s="1"/>
  <c r="X3386" i="1"/>
  <c r="Y3386" i="1" s="1"/>
  <c r="X3374" i="1"/>
  <c r="Y3374" i="1" s="1"/>
  <c r="X3362" i="1"/>
  <c r="Y3362" i="1" s="1"/>
  <c r="X3350" i="1"/>
  <c r="Y3350" i="1" s="1"/>
  <c r="X3338" i="1"/>
  <c r="Y3338" i="1" s="1"/>
  <c r="X3326" i="1"/>
  <c r="Y3326" i="1" s="1"/>
  <c r="X3314" i="1"/>
  <c r="Y3314" i="1" s="1"/>
  <c r="X3302" i="1"/>
  <c r="Y3302" i="1" s="1"/>
  <c r="X3290" i="1"/>
  <c r="Y3290" i="1" s="1"/>
  <c r="X3278" i="1"/>
  <c r="Y3278" i="1" s="1"/>
  <c r="X3266" i="1"/>
  <c r="Y3266" i="1" s="1"/>
  <c r="X3254" i="1"/>
  <c r="Y3254" i="1" s="1"/>
  <c r="X3242" i="1"/>
  <c r="Y3242" i="1" s="1"/>
  <c r="X3230" i="1"/>
  <c r="Y3230" i="1" s="1"/>
  <c r="X3218" i="1"/>
  <c r="Y3218" i="1" s="1"/>
  <c r="X3206" i="1"/>
  <c r="Y3206" i="1" s="1"/>
  <c r="X3194" i="1"/>
  <c r="Y3194" i="1" s="1"/>
  <c r="X3182" i="1"/>
  <c r="Y3182" i="1" s="1"/>
  <c r="X3170" i="1"/>
  <c r="Y3170" i="1" s="1"/>
  <c r="X3158" i="1"/>
  <c r="Y3158" i="1" s="1"/>
  <c r="X3146" i="1"/>
  <c r="Y3146" i="1" s="1"/>
  <c r="X3134" i="1"/>
  <c r="Y3134" i="1" s="1"/>
  <c r="X3122" i="1"/>
  <c r="Y3122" i="1" s="1"/>
  <c r="X3110" i="1"/>
  <c r="Y3110" i="1" s="1"/>
  <c r="X3098" i="1"/>
  <c r="Y3098" i="1" s="1"/>
  <c r="X3086" i="1"/>
  <c r="Y3086" i="1" s="1"/>
  <c r="X3074" i="1"/>
  <c r="Y3074" i="1" s="1"/>
  <c r="X3062" i="1"/>
  <c r="Y3062" i="1" s="1"/>
  <c r="X3050" i="1"/>
  <c r="Y3050" i="1" s="1"/>
  <c r="X3038" i="1"/>
  <c r="Y3038" i="1" s="1"/>
  <c r="X3026" i="1"/>
  <c r="Y3026" i="1" s="1"/>
  <c r="X3014" i="1"/>
  <c r="Y3014" i="1" s="1"/>
  <c r="X3002" i="1"/>
  <c r="Y3002" i="1" s="1"/>
  <c r="X2990" i="1"/>
  <c r="Y2990" i="1" s="1"/>
  <c r="X2978" i="1"/>
  <c r="Y2978" i="1" s="1"/>
  <c r="X2966" i="1"/>
  <c r="Y2966" i="1" s="1"/>
  <c r="X2954" i="1"/>
  <c r="Y2954" i="1" s="1"/>
  <c r="X2942" i="1"/>
  <c r="Y2942" i="1" s="1"/>
  <c r="X2930" i="1"/>
  <c r="Y2930" i="1" s="1"/>
  <c r="X2918" i="1"/>
  <c r="Y2918" i="1" s="1"/>
  <c r="X2906" i="1"/>
  <c r="Y2906" i="1" s="1"/>
  <c r="X2894" i="1"/>
  <c r="Y2894" i="1" s="1"/>
  <c r="X2882" i="1"/>
  <c r="Y2882" i="1" s="1"/>
  <c r="X2870" i="1"/>
  <c r="Y2870" i="1" s="1"/>
  <c r="X2858" i="1"/>
  <c r="Y2858" i="1" s="1"/>
  <c r="X2846" i="1"/>
  <c r="Y2846" i="1" s="1"/>
  <c r="X2834" i="1"/>
  <c r="Y2834" i="1" s="1"/>
  <c r="X2822" i="1"/>
  <c r="Y2822" i="1" s="1"/>
  <c r="X2810" i="1"/>
  <c r="Y2810" i="1" s="1"/>
  <c r="X2798" i="1"/>
  <c r="Y2798" i="1" s="1"/>
  <c r="X2786" i="1"/>
  <c r="Y2786" i="1" s="1"/>
  <c r="X2774" i="1"/>
  <c r="Y2774" i="1" s="1"/>
  <c r="X2762" i="1"/>
  <c r="Y2762" i="1" s="1"/>
  <c r="X2750" i="1"/>
  <c r="Y2750" i="1" s="1"/>
  <c r="X2738" i="1"/>
  <c r="Y2738" i="1" s="1"/>
  <c r="X2726" i="1"/>
  <c r="Y2726" i="1" s="1"/>
  <c r="X2714" i="1"/>
  <c r="Y2714" i="1" s="1"/>
  <c r="X2702" i="1"/>
  <c r="Y2702" i="1" s="1"/>
  <c r="X2690" i="1"/>
  <c r="Y2690" i="1" s="1"/>
  <c r="X2678" i="1"/>
  <c r="Y2678" i="1" s="1"/>
  <c r="X2666" i="1"/>
  <c r="Y2666" i="1" s="1"/>
  <c r="X2654" i="1"/>
  <c r="Y2654" i="1" s="1"/>
  <c r="X2642" i="1"/>
  <c r="Y2642" i="1" s="1"/>
  <c r="X2630" i="1"/>
  <c r="Y2630" i="1" s="1"/>
  <c r="X2618" i="1"/>
  <c r="Y2618" i="1" s="1"/>
  <c r="X2606" i="1"/>
  <c r="Y2606" i="1" s="1"/>
  <c r="X2594" i="1"/>
  <c r="Y2594" i="1" s="1"/>
  <c r="X2582" i="1"/>
  <c r="Y2582" i="1" s="1"/>
  <c r="X2570" i="1"/>
  <c r="Y2570" i="1" s="1"/>
  <c r="X2558" i="1"/>
  <c r="Y2558" i="1" s="1"/>
  <c r="X2546" i="1"/>
  <c r="Y2546" i="1" s="1"/>
  <c r="X2534" i="1"/>
  <c r="Y2534" i="1" s="1"/>
  <c r="X2522" i="1"/>
  <c r="Y2522" i="1" s="1"/>
  <c r="X2510" i="1"/>
  <c r="Y2510" i="1" s="1"/>
  <c r="X2498" i="1"/>
  <c r="Y2498" i="1" s="1"/>
  <c r="X2486" i="1"/>
  <c r="Y2486" i="1" s="1"/>
  <c r="X2474" i="1"/>
  <c r="Y2474" i="1" s="1"/>
  <c r="X2462" i="1"/>
  <c r="Y2462" i="1" s="1"/>
  <c r="X2450" i="1"/>
  <c r="Y2450" i="1" s="1"/>
  <c r="X2438" i="1"/>
  <c r="Y2438" i="1" s="1"/>
  <c r="X2426" i="1"/>
  <c r="Y2426" i="1" s="1"/>
  <c r="X2414" i="1"/>
  <c r="Y2414" i="1" s="1"/>
  <c r="X2402" i="1"/>
  <c r="Y2402" i="1" s="1"/>
  <c r="X2390" i="1"/>
  <c r="Y2390" i="1" s="1"/>
  <c r="X2378" i="1"/>
  <c r="Y2378" i="1" s="1"/>
  <c r="X4033" i="1"/>
  <c r="Y4033" i="1" s="1"/>
  <c r="X4021" i="1"/>
  <c r="Y4021" i="1" s="1"/>
  <c r="X4009" i="1"/>
  <c r="Y4009" i="1" s="1"/>
  <c r="X3997" i="1"/>
  <c r="Y3997" i="1" s="1"/>
  <c r="X3985" i="1"/>
  <c r="Y3985" i="1" s="1"/>
  <c r="X3973" i="1"/>
  <c r="Y3973" i="1" s="1"/>
  <c r="X3961" i="1"/>
  <c r="Y3961" i="1" s="1"/>
  <c r="X3949" i="1"/>
  <c r="Y3949" i="1" s="1"/>
  <c r="X3937" i="1"/>
  <c r="Y3937" i="1" s="1"/>
  <c r="X3925" i="1"/>
  <c r="Y3925" i="1" s="1"/>
  <c r="X3913" i="1"/>
  <c r="Y3913" i="1" s="1"/>
  <c r="X3901" i="1"/>
  <c r="Y3901" i="1" s="1"/>
  <c r="X3889" i="1"/>
  <c r="Y3889" i="1" s="1"/>
  <c r="X3877" i="1"/>
  <c r="Y3877" i="1" s="1"/>
  <c r="X3865" i="1"/>
  <c r="Y3865" i="1" s="1"/>
  <c r="X3853" i="1"/>
  <c r="Y3853" i="1" s="1"/>
  <c r="X3841" i="1"/>
  <c r="Y3841" i="1" s="1"/>
  <c r="X3829" i="1"/>
  <c r="Y3829" i="1" s="1"/>
  <c r="X3817" i="1"/>
  <c r="Y3817" i="1" s="1"/>
  <c r="X3805" i="1"/>
  <c r="Y3805" i="1" s="1"/>
  <c r="X3793" i="1"/>
  <c r="Y3793" i="1" s="1"/>
  <c r="X3781" i="1"/>
  <c r="Y3781" i="1" s="1"/>
  <c r="X3769" i="1"/>
  <c r="Y3769" i="1" s="1"/>
  <c r="X3757" i="1"/>
  <c r="Y3757" i="1" s="1"/>
  <c r="X3745" i="1"/>
  <c r="Y3745" i="1" s="1"/>
  <c r="X3733" i="1"/>
  <c r="Y3733" i="1" s="1"/>
  <c r="X3721" i="1"/>
  <c r="Y3721" i="1" s="1"/>
  <c r="X3709" i="1"/>
  <c r="Y3709" i="1" s="1"/>
  <c r="X3697" i="1"/>
  <c r="Y3697" i="1" s="1"/>
  <c r="X3685" i="1"/>
  <c r="Y3685" i="1" s="1"/>
  <c r="X3673" i="1"/>
  <c r="Y3673" i="1" s="1"/>
  <c r="X3661" i="1"/>
  <c r="Y3661" i="1" s="1"/>
  <c r="X3649" i="1"/>
  <c r="Y3649" i="1" s="1"/>
  <c r="X3637" i="1"/>
  <c r="Y3637" i="1" s="1"/>
  <c r="X3625" i="1"/>
  <c r="Y3625" i="1" s="1"/>
  <c r="X3613" i="1"/>
  <c r="Y3613" i="1" s="1"/>
  <c r="X3601" i="1"/>
  <c r="Y3601" i="1" s="1"/>
  <c r="X3589" i="1"/>
  <c r="Y3589" i="1" s="1"/>
  <c r="X3577" i="1"/>
  <c r="Y3577" i="1" s="1"/>
  <c r="X3565" i="1"/>
  <c r="Y3565" i="1" s="1"/>
  <c r="X3553" i="1"/>
  <c r="Y3553" i="1" s="1"/>
  <c r="X3541" i="1"/>
  <c r="Y3541" i="1" s="1"/>
  <c r="X3529" i="1"/>
  <c r="Y3529" i="1" s="1"/>
  <c r="X3517" i="1"/>
  <c r="Y3517" i="1" s="1"/>
  <c r="X3505" i="1"/>
  <c r="Y3505" i="1" s="1"/>
  <c r="X3493" i="1"/>
  <c r="Y3493" i="1" s="1"/>
  <c r="X3481" i="1"/>
  <c r="Y3481" i="1" s="1"/>
  <c r="X3469" i="1"/>
  <c r="Y3469" i="1" s="1"/>
  <c r="X3457" i="1"/>
  <c r="Y3457" i="1" s="1"/>
  <c r="X3445" i="1"/>
  <c r="Y3445" i="1" s="1"/>
  <c r="X3433" i="1"/>
  <c r="Y3433" i="1" s="1"/>
  <c r="X3421" i="1"/>
  <c r="Y3421" i="1" s="1"/>
  <c r="X3409" i="1"/>
  <c r="Y3409" i="1" s="1"/>
  <c r="X3397" i="1"/>
  <c r="Y3397" i="1" s="1"/>
  <c r="X3385" i="1"/>
  <c r="Y3385" i="1" s="1"/>
  <c r="X3373" i="1"/>
  <c r="Y3373" i="1" s="1"/>
  <c r="X3361" i="1"/>
  <c r="Y3361" i="1" s="1"/>
  <c r="X3349" i="1"/>
  <c r="Y3349" i="1" s="1"/>
  <c r="X3337" i="1"/>
  <c r="Y3337" i="1" s="1"/>
  <c r="X3325" i="1"/>
  <c r="Y3325" i="1" s="1"/>
  <c r="X3313" i="1"/>
  <c r="Y3313" i="1" s="1"/>
  <c r="X3301" i="1"/>
  <c r="Y3301" i="1" s="1"/>
  <c r="X3289" i="1"/>
  <c r="Y3289" i="1" s="1"/>
  <c r="X3277" i="1"/>
  <c r="Y3277" i="1" s="1"/>
  <c r="X3265" i="1"/>
  <c r="Y3265" i="1" s="1"/>
  <c r="X3253" i="1"/>
  <c r="Y3253" i="1" s="1"/>
  <c r="X3241" i="1"/>
  <c r="Y3241" i="1" s="1"/>
  <c r="X3229" i="1"/>
  <c r="Y3229" i="1" s="1"/>
  <c r="X3217" i="1"/>
  <c r="Y3217" i="1" s="1"/>
  <c r="X3205" i="1"/>
  <c r="Y3205" i="1" s="1"/>
  <c r="X3193" i="1"/>
  <c r="Y3193" i="1" s="1"/>
  <c r="X3181" i="1"/>
  <c r="Y3181" i="1" s="1"/>
  <c r="X3169" i="1"/>
  <c r="Y3169" i="1" s="1"/>
  <c r="X3157" i="1"/>
  <c r="Y3157" i="1" s="1"/>
  <c r="X3145" i="1"/>
  <c r="Y3145" i="1" s="1"/>
  <c r="X3133" i="1"/>
  <c r="Y3133" i="1" s="1"/>
  <c r="X3121" i="1"/>
  <c r="Y3121" i="1" s="1"/>
  <c r="X3109" i="1"/>
  <c r="Y3109" i="1" s="1"/>
  <c r="X3097" i="1"/>
  <c r="Y3097" i="1" s="1"/>
  <c r="X3085" i="1"/>
  <c r="Y3085" i="1" s="1"/>
  <c r="X3073" i="1"/>
  <c r="Y3073" i="1" s="1"/>
  <c r="X3061" i="1"/>
  <c r="Y3061" i="1" s="1"/>
  <c r="X3049" i="1"/>
  <c r="Y3049" i="1" s="1"/>
  <c r="X3037" i="1"/>
  <c r="Y3037" i="1" s="1"/>
  <c r="X3025" i="1"/>
  <c r="Y3025" i="1" s="1"/>
  <c r="X3013" i="1"/>
  <c r="Y3013" i="1" s="1"/>
  <c r="X3001" i="1"/>
  <c r="Y3001" i="1" s="1"/>
  <c r="X2989" i="1"/>
  <c r="Y2989" i="1" s="1"/>
  <c r="X2977" i="1"/>
  <c r="Y2977" i="1" s="1"/>
  <c r="X2965" i="1"/>
  <c r="Y2965" i="1" s="1"/>
  <c r="X2953" i="1"/>
  <c r="Y2953" i="1" s="1"/>
  <c r="X2941" i="1"/>
  <c r="Y2941" i="1" s="1"/>
  <c r="X2929" i="1"/>
  <c r="Y2929" i="1" s="1"/>
  <c r="X2917" i="1"/>
  <c r="Y2917" i="1" s="1"/>
  <c r="X2905" i="1"/>
  <c r="Y2905" i="1" s="1"/>
  <c r="X2893" i="1"/>
  <c r="Y2893" i="1" s="1"/>
  <c r="X2881" i="1"/>
  <c r="Y2881" i="1" s="1"/>
  <c r="X2869" i="1"/>
  <c r="Y2869" i="1" s="1"/>
  <c r="X2857" i="1"/>
  <c r="Y2857" i="1" s="1"/>
  <c r="X2845" i="1"/>
  <c r="Y2845" i="1" s="1"/>
  <c r="X2833" i="1"/>
  <c r="Y2833" i="1" s="1"/>
  <c r="X2821" i="1"/>
  <c r="Y2821" i="1" s="1"/>
  <c r="X2809" i="1"/>
  <c r="Y2809" i="1" s="1"/>
  <c r="X2797" i="1"/>
  <c r="Y2797" i="1" s="1"/>
  <c r="X2785" i="1"/>
  <c r="Y2785" i="1" s="1"/>
  <c r="X2773" i="1"/>
  <c r="Y2773" i="1" s="1"/>
  <c r="X2761" i="1"/>
  <c r="Y2761" i="1" s="1"/>
  <c r="X2749" i="1"/>
  <c r="Y2749" i="1" s="1"/>
  <c r="X2737" i="1"/>
  <c r="Y2737" i="1" s="1"/>
  <c r="X2725" i="1"/>
  <c r="Y2725" i="1" s="1"/>
  <c r="X2713" i="1"/>
  <c r="Y2713" i="1" s="1"/>
  <c r="X2701" i="1"/>
  <c r="Y2701" i="1" s="1"/>
  <c r="X2689" i="1"/>
  <c r="Y2689" i="1" s="1"/>
  <c r="X2677" i="1"/>
  <c r="Y2677" i="1" s="1"/>
  <c r="X2665" i="1"/>
  <c r="Y2665" i="1" s="1"/>
  <c r="X2653" i="1"/>
  <c r="Y2653" i="1" s="1"/>
  <c r="X2641" i="1"/>
  <c r="Y2641" i="1" s="1"/>
  <c r="X2629" i="1"/>
  <c r="Y2629" i="1" s="1"/>
  <c r="X2617" i="1"/>
  <c r="Y2617" i="1" s="1"/>
  <c r="X2605" i="1"/>
  <c r="Y2605" i="1" s="1"/>
  <c r="X2593" i="1"/>
  <c r="Y2593" i="1" s="1"/>
  <c r="X2581" i="1"/>
  <c r="Y2581" i="1" s="1"/>
  <c r="X2569" i="1"/>
  <c r="Y2569" i="1" s="1"/>
  <c r="X2557" i="1"/>
  <c r="Y2557" i="1" s="1"/>
  <c r="X2545" i="1"/>
  <c r="Y2545" i="1" s="1"/>
  <c r="X2533" i="1"/>
  <c r="Y2533" i="1" s="1"/>
  <c r="X2521" i="1"/>
  <c r="Y2521" i="1" s="1"/>
  <c r="X2509" i="1"/>
  <c r="Y2509" i="1" s="1"/>
  <c r="X2497" i="1"/>
  <c r="Y2497" i="1" s="1"/>
  <c r="X2485" i="1"/>
  <c r="Y2485" i="1" s="1"/>
  <c r="X2473" i="1"/>
  <c r="Y2473" i="1" s="1"/>
  <c r="X2461" i="1"/>
  <c r="Y2461" i="1" s="1"/>
  <c r="X2449" i="1"/>
  <c r="Y2449" i="1" s="1"/>
  <c r="X2437" i="1"/>
  <c r="Y2437" i="1" s="1"/>
  <c r="X2425" i="1"/>
  <c r="Y2425" i="1" s="1"/>
  <c r="X2413" i="1"/>
  <c r="Y2413" i="1" s="1"/>
  <c r="X2401" i="1"/>
  <c r="Y2401" i="1" s="1"/>
  <c r="X2389" i="1"/>
  <c r="Y2389" i="1" s="1"/>
  <c r="X2377" i="1"/>
  <c r="Y2377" i="1" s="1"/>
  <c r="X2365" i="1"/>
  <c r="Y2365" i="1" s="1"/>
  <c r="X2353" i="1"/>
  <c r="Y2353" i="1" s="1"/>
  <c r="X2341" i="1"/>
  <c r="Y2341" i="1" s="1"/>
  <c r="X2329" i="1"/>
  <c r="Y2329" i="1" s="1"/>
  <c r="X2317" i="1"/>
  <c r="Y2317" i="1" s="1"/>
  <c r="X2305" i="1"/>
  <c r="Y2305" i="1" s="1"/>
  <c r="X2293" i="1"/>
  <c r="Y2293" i="1" s="1"/>
  <c r="X2281" i="1"/>
  <c r="Y2281" i="1" s="1"/>
  <c r="X2269" i="1"/>
  <c r="Y2269" i="1" s="1"/>
  <c r="X2257" i="1"/>
  <c r="Y2257" i="1" s="1"/>
  <c r="X2245" i="1"/>
  <c r="Y2245" i="1" s="1"/>
  <c r="X2233" i="1"/>
  <c r="Y2233" i="1" s="1"/>
  <c r="X2221" i="1"/>
  <c r="Y2221" i="1" s="1"/>
  <c r="X2209" i="1"/>
  <c r="Y2209" i="1" s="1"/>
  <c r="X2197" i="1"/>
  <c r="Y2197" i="1" s="1"/>
  <c r="X2185" i="1"/>
  <c r="Y2185" i="1" s="1"/>
  <c r="X2173" i="1"/>
  <c r="Y2173" i="1" s="1"/>
  <c r="X2161" i="1"/>
  <c r="Y2161" i="1" s="1"/>
  <c r="X2149" i="1"/>
  <c r="Y2149" i="1" s="1"/>
  <c r="X2137" i="1"/>
  <c r="Y2137" i="1" s="1"/>
  <c r="X2125" i="1"/>
  <c r="Y2125" i="1" s="1"/>
  <c r="X2113" i="1"/>
  <c r="Y2113" i="1" s="1"/>
  <c r="X2101" i="1"/>
  <c r="Y2101" i="1" s="1"/>
  <c r="X2089" i="1"/>
  <c r="Y2089" i="1" s="1"/>
  <c r="X2077" i="1"/>
  <c r="Y2077" i="1" s="1"/>
  <c r="X2065" i="1"/>
  <c r="Y2065" i="1" s="1"/>
  <c r="X4212" i="1"/>
  <c r="Y4212" i="1" s="1"/>
  <c r="X4200" i="1"/>
  <c r="Y4200" i="1" s="1"/>
  <c r="X4188" i="1"/>
  <c r="Y4188" i="1" s="1"/>
  <c r="X4176" i="1"/>
  <c r="Y4176" i="1" s="1"/>
  <c r="X4164" i="1"/>
  <c r="Y4164" i="1" s="1"/>
  <c r="X4152" i="1"/>
  <c r="Y4152" i="1" s="1"/>
  <c r="X4140" i="1"/>
  <c r="Y4140" i="1" s="1"/>
  <c r="X4128" i="1"/>
  <c r="Y4128" i="1" s="1"/>
  <c r="X4116" i="1"/>
  <c r="Y4116" i="1" s="1"/>
  <c r="X4104" i="1"/>
  <c r="Y4104" i="1" s="1"/>
  <c r="X4092" i="1"/>
  <c r="Y4092" i="1" s="1"/>
  <c r="X4080" i="1"/>
  <c r="Y4080" i="1" s="1"/>
  <c r="X4068" i="1"/>
  <c r="Y4068" i="1" s="1"/>
  <c r="X4056" i="1"/>
  <c r="Y4056" i="1" s="1"/>
  <c r="X4044" i="1"/>
  <c r="Y4044" i="1" s="1"/>
  <c r="X4032" i="1"/>
  <c r="Y4032" i="1" s="1"/>
  <c r="X4020" i="1"/>
  <c r="Y4020" i="1" s="1"/>
  <c r="X4008" i="1"/>
  <c r="Y4008" i="1" s="1"/>
  <c r="X3996" i="1"/>
  <c r="Y3996" i="1" s="1"/>
  <c r="X3984" i="1"/>
  <c r="Y3984" i="1" s="1"/>
  <c r="X3972" i="1"/>
  <c r="Y3972" i="1" s="1"/>
  <c r="X3960" i="1"/>
  <c r="Y3960" i="1" s="1"/>
  <c r="X3948" i="1"/>
  <c r="Y3948" i="1" s="1"/>
  <c r="X3936" i="1"/>
  <c r="Y3936" i="1" s="1"/>
  <c r="X3924" i="1"/>
  <c r="Y3924" i="1" s="1"/>
  <c r="X3912" i="1"/>
  <c r="Y3912" i="1" s="1"/>
  <c r="X3900" i="1"/>
  <c r="Y3900" i="1" s="1"/>
  <c r="X3888" i="1"/>
  <c r="Y3888" i="1" s="1"/>
  <c r="X3876" i="1"/>
  <c r="Y3876" i="1" s="1"/>
  <c r="X3864" i="1"/>
  <c r="Y3864" i="1" s="1"/>
  <c r="X3852" i="1"/>
  <c r="Y3852" i="1" s="1"/>
  <c r="X3840" i="1"/>
  <c r="Y3840" i="1" s="1"/>
  <c r="X3828" i="1"/>
  <c r="Y3828" i="1" s="1"/>
  <c r="X3816" i="1"/>
  <c r="Y3816" i="1" s="1"/>
  <c r="X3804" i="1"/>
  <c r="Y3804" i="1" s="1"/>
  <c r="X3792" i="1"/>
  <c r="Y3792" i="1" s="1"/>
  <c r="X3780" i="1"/>
  <c r="Y3780" i="1" s="1"/>
  <c r="X3768" i="1"/>
  <c r="Y3768" i="1" s="1"/>
  <c r="X3756" i="1"/>
  <c r="Y3756" i="1" s="1"/>
  <c r="X3744" i="1"/>
  <c r="Y3744" i="1" s="1"/>
  <c r="X3732" i="1"/>
  <c r="Y3732" i="1" s="1"/>
  <c r="X3720" i="1"/>
  <c r="Y3720" i="1" s="1"/>
  <c r="X3708" i="1"/>
  <c r="Y3708" i="1" s="1"/>
  <c r="X3696" i="1"/>
  <c r="Y3696" i="1" s="1"/>
  <c r="X3684" i="1"/>
  <c r="Y3684" i="1" s="1"/>
  <c r="X3672" i="1"/>
  <c r="Y3672" i="1" s="1"/>
  <c r="X3660" i="1"/>
  <c r="Y3660" i="1" s="1"/>
  <c r="X3648" i="1"/>
  <c r="Y3648" i="1" s="1"/>
  <c r="X3636" i="1"/>
  <c r="Y3636" i="1" s="1"/>
  <c r="X3624" i="1"/>
  <c r="Y3624" i="1" s="1"/>
  <c r="X3612" i="1"/>
  <c r="Y3612" i="1" s="1"/>
  <c r="X3600" i="1"/>
  <c r="Y3600" i="1" s="1"/>
  <c r="X3588" i="1"/>
  <c r="Y3588" i="1" s="1"/>
  <c r="X3576" i="1"/>
  <c r="Y3576" i="1" s="1"/>
  <c r="X3564" i="1"/>
  <c r="Y3564" i="1" s="1"/>
  <c r="X3552" i="1"/>
  <c r="Y3552" i="1" s="1"/>
  <c r="X3540" i="1"/>
  <c r="Y3540" i="1" s="1"/>
  <c r="X3528" i="1"/>
  <c r="Y3528" i="1" s="1"/>
  <c r="X3516" i="1"/>
  <c r="Y3516" i="1" s="1"/>
  <c r="X3504" i="1"/>
  <c r="Y3504" i="1" s="1"/>
  <c r="X3492" i="1"/>
  <c r="Y3492" i="1" s="1"/>
  <c r="X3480" i="1"/>
  <c r="Y3480" i="1" s="1"/>
  <c r="X3468" i="1"/>
  <c r="Y3468" i="1" s="1"/>
  <c r="X3456" i="1"/>
  <c r="Y3456" i="1" s="1"/>
  <c r="X3444" i="1"/>
  <c r="Y3444" i="1" s="1"/>
  <c r="X3432" i="1"/>
  <c r="Y3432" i="1" s="1"/>
  <c r="X3420" i="1"/>
  <c r="Y3420" i="1" s="1"/>
  <c r="X3408" i="1"/>
  <c r="Y3408" i="1" s="1"/>
  <c r="X3396" i="1"/>
  <c r="Y3396" i="1" s="1"/>
  <c r="X3384" i="1"/>
  <c r="Y3384" i="1" s="1"/>
  <c r="X3372" i="1"/>
  <c r="Y3372" i="1" s="1"/>
  <c r="X3360" i="1"/>
  <c r="Y3360" i="1" s="1"/>
  <c r="X3348" i="1"/>
  <c r="Y3348" i="1" s="1"/>
  <c r="X3336" i="1"/>
  <c r="Y3336" i="1" s="1"/>
  <c r="X3324" i="1"/>
  <c r="Y3324" i="1" s="1"/>
  <c r="X3312" i="1"/>
  <c r="Y3312" i="1" s="1"/>
  <c r="X3300" i="1"/>
  <c r="Y3300" i="1" s="1"/>
  <c r="X3288" i="1"/>
  <c r="Y3288" i="1" s="1"/>
  <c r="X3276" i="1"/>
  <c r="Y3276" i="1" s="1"/>
  <c r="X3264" i="1"/>
  <c r="Y3264" i="1" s="1"/>
  <c r="X3252" i="1"/>
  <c r="Y3252" i="1" s="1"/>
  <c r="X3240" i="1"/>
  <c r="Y3240" i="1" s="1"/>
  <c r="X3228" i="1"/>
  <c r="Y3228" i="1" s="1"/>
  <c r="X3216" i="1"/>
  <c r="Y3216" i="1" s="1"/>
  <c r="X3204" i="1"/>
  <c r="Y3204" i="1" s="1"/>
  <c r="X3192" i="1"/>
  <c r="Y3192" i="1" s="1"/>
  <c r="X3180" i="1"/>
  <c r="Y3180" i="1" s="1"/>
  <c r="X3168" i="1"/>
  <c r="Y3168" i="1" s="1"/>
  <c r="X3156" i="1"/>
  <c r="Y3156" i="1" s="1"/>
  <c r="X3144" i="1"/>
  <c r="Y3144" i="1" s="1"/>
  <c r="X3132" i="1"/>
  <c r="Y3132" i="1" s="1"/>
  <c r="X3120" i="1"/>
  <c r="Y3120" i="1" s="1"/>
  <c r="X3108" i="1"/>
  <c r="Y3108" i="1" s="1"/>
  <c r="X3096" i="1"/>
  <c r="Y3096" i="1" s="1"/>
  <c r="X3084" i="1"/>
  <c r="Y3084" i="1" s="1"/>
  <c r="X3072" i="1"/>
  <c r="Y3072" i="1" s="1"/>
  <c r="X3060" i="1"/>
  <c r="Y3060" i="1" s="1"/>
  <c r="X3048" i="1"/>
  <c r="Y3048" i="1" s="1"/>
  <c r="X3036" i="1"/>
  <c r="Y3036" i="1" s="1"/>
  <c r="X3024" i="1"/>
  <c r="Y3024" i="1" s="1"/>
  <c r="X3012" i="1"/>
  <c r="Y3012" i="1" s="1"/>
  <c r="X3000" i="1"/>
  <c r="Y3000" i="1" s="1"/>
  <c r="X2988" i="1"/>
  <c r="Y2988" i="1" s="1"/>
  <c r="X2976" i="1"/>
  <c r="Y2976" i="1" s="1"/>
  <c r="X2964" i="1"/>
  <c r="Y2964" i="1" s="1"/>
  <c r="X2952" i="1"/>
  <c r="Y2952" i="1" s="1"/>
  <c r="X2940" i="1"/>
  <c r="Y2940" i="1" s="1"/>
  <c r="X2928" i="1"/>
  <c r="Y2928" i="1" s="1"/>
  <c r="X2916" i="1"/>
  <c r="Y2916" i="1" s="1"/>
  <c r="X2904" i="1"/>
  <c r="Y2904" i="1" s="1"/>
  <c r="X2892" i="1"/>
  <c r="Y2892" i="1" s="1"/>
  <c r="X2880" i="1"/>
  <c r="Y2880" i="1" s="1"/>
  <c r="X2868" i="1"/>
  <c r="Y2868" i="1" s="1"/>
  <c r="X2856" i="1"/>
  <c r="Y2856" i="1" s="1"/>
  <c r="X2844" i="1"/>
  <c r="Y2844" i="1" s="1"/>
  <c r="X2832" i="1"/>
  <c r="Y2832" i="1" s="1"/>
  <c r="X2820" i="1"/>
  <c r="Y2820" i="1" s="1"/>
  <c r="X2808" i="1"/>
  <c r="Y2808" i="1" s="1"/>
  <c r="X2796" i="1"/>
  <c r="Y2796" i="1" s="1"/>
  <c r="X2784" i="1"/>
  <c r="Y2784" i="1" s="1"/>
  <c r="X2772" i="1"/>
  <c r="Y2772" i="1" s="1"/>
  <c r="X2760" i="1"/>
  <c r="Y2760" i="1" s="1"/>
  <c r="X2748" i="1"/>
  <c r="Y2748" i="1" s="1"/>
  <c r="X2736" i="1"/>
  <c r="Y2736" i="1" s="1"/>
  <c r="X2724" i="1"/>
  <c r="Y2724" i="1" s="1"/>
  <c r="X2712" i="1"/>
  <c r="Y2712" i="1" s="1"/>
  <c r="X2700" i="1"/>
  <c r="Y2700" i="1" s="1"/>
  <c r="X2688" i="1"/>
  <c r="Y2688" i="1" s="1"/>
  <c r="X2676" i="1"/>
  <c r="Y2676" i="1" s="1"/>
  <c r="X1943" i="1"/>
  <c r="Y1943" i="1" s="1"/>
  <c r="X1931" i="1"/>
  <c r="Y1931" i="1" s="1"/>
  <c r="X1919" i="1"/>
  <c r="Y1919" i="1" s="1"/>
  <c r="X1907" i="1"/>
  <c r="Y1907" i="1" s="1"/>
  <c r="X1895" i="1"/>
  <c r="Y1895" i="1" s="1"/>
  <c r="X1883" i="1"/>
  <c r="Y1883" i="1" s="1"/>
  <c r="X1871" i="1"/>
  <c r="Y1871" i="1" s="1"/>
  <c r="X1859" i="1"/>
  <c r="Y1859" i="1" s="1"/>
  <c r="X1847" i="1"/>
  <c r="Y1847" i="1" s="1"/>
  <c r="X1835" i="1"/>
  <c r="Y1835" i="1" s="1"/>
  <c r="X1823" i="1"/>
  <c r="Y1823" i="1" s="1"/>
  <c r="X1811" i="1"/>
  <c r="Y1811" i="1" s="1"/>
  <c r="X1799" i="1"/>
  <c r="Y1799" i="1" s="1"/>
  <c r="X1787" i="1"/>
  <c r="Y1787" i="1" s="1"/>
  <c r="X1775" i="1"/>
  <c r="Y1775" i="1" s="1"/>
  <c r="X1763" i="1"/>
  <c r="Y1763" i="1" s="1"/>
  <c r="X1751" i="1"/>
  <c r="Y1751" i="1" s="1"/>
  <c r="X1739" i="1"/>
  <c r="Y1739" i="1" s="1"/>
  <c r="X1727" i="1"/>
  <c r="Y1727" i="1" s="1"/>
  <c r="X1715" i="1"/>
  <c r="Y1715" i="1" s="1"/>
  <c r="X1703" i="1"/>
  <c r="Y1703" i="1" s="1"/>
  <c r="X1691" i="1"/>
  <c r="Y1691" i="1" s="1"/>
  <c r="X1679" i="1"/>
  <c r="Y1679" i="1" s="1"/>
  <c r="X1667" i="1"/>
  <c r="Y1667" i="1" s="1"/>
  <c r="X1655" i="1"/>
  <c r="Y1655" i="1" s="1"/>
  <c r="X1643" i="1"/>
  <c r="Y1643" i="1" s="1"/>
  <c r="X1631" i="1"/>
  <c r="Y1631" i="1" s="1"/>
  <c r="X1619" i="1"/>
  <c r="Y1619" i="1" s="1"/>
  <c r="X1607" i="1"/>
  <c r="Y1607" i="1" s="1"/>
  <c r="X1595" i="1"/>
  <c r="Y1595" i="1" s="1"/>
  <c r="X1583" i="1"/>
  <c r="Y1583" i="1" s="1"/>
  <c r="X1571" i="1"/>
  <c r="Y1571" i="1" s="1"/>
  <c r="X1559" i="1"/>
  <c r="Y1559" i="1" s="1"/>
  <c r="X1547" i="1"/>
  <c r="Y1547" i="1" s="1"/>
  <c r="X1535" i="1"/>
  <c r="Y1535" i="1" s="1"/>
  <c r="X1523" i="1"/>
  <c r="Y1523" i="1" s="1"/>
  <c r="X1511" i="1"/>
  <c r="Y1511" i="1" s="1"/>
  <c r="X1499" i="1"/>
  <c r="Y1499" i="1" s="1"/>
  <c r="X3285" i="1"/>
  <c r="Y3285" i="1" s="1"/>
  <c r="X3273" i="1"/>
  <c r="Y3273" i="1" s="1"/>
  <c r="X3261" i="1"/>
  <c r="Y3261" i="1" s="1"/>
  <c r="X3249" i="1"/>
  <c r="Y3249" i="1" s="1"/>
  <c r="X3237" i="1"/>
  <c r="Y3237" i="1" s="1"/>
  <c r="X3225" i="1"/>
  <c r="Y3225" i="1" s="1"/>
  <c r="X3213" i="1"/>
  <c r="Y3213" i="1" s="1"/>
  <c r="X3201" i="1"/>
  <c r="Y3201" i="1" s="1"/>
  <c r="X3189" i="1"/>
  <c r="Y3189" i="1" s="1"/>
  <c r="X3177" i="1"/>
  <c r="Y3177" i="1" s="1"/>
  <c r="X3165" i="1"/>
  <c r="Y3165" i="1" s="1"/>
  <c r="X3153" i="1"/>
  <c r="Y3153" i="1" s="1"/>
  <c r="X3141" i="1"/>
  <c r="Y3141" i="1" s="1"/>
  <c r="X3129" i="1"/>
  <c r="Y3129" i="1" s="1"/>
  <c r="X3117" i="1"/>
  <c r="Y3117" i="1" s="1"/>
  <c r="X3105" i="1"/>
  <c r="Y3105" i="1" s="1"/>
  <c r="X3093" i="1"/>
  <c r="Y3093" i="1" s="1"/>
  <c r="X3081" i="1"/>
  <c r="Y3081" i="1" s="1"/>
  <c r="X3069" i="1"/>
  <c r="Y3069" i="1" s="1"/>
  <c r="X3057" i="1"/>
  <c r="Y3057" i="1" s="1"/>
  <c r="X3045" i="1"/>
  <c r="Y3045" i="1" s="1"/>
  <c r="X3033" i="1"/>
  <c r="Y3033" i="1" s="1"/>
  <c r="X3021" i="1"/>
  <c r="Y3021" i="1" s="1"/>
  <c r="X3009" i="1"/>
  <c r="Y3009" i="1" s="1"/>
  <c r="X2997" i="1"/>
  <c r="Y2997" i="1" s="1"/>
  <c r="X2985" i="1"/>
  <c r="Y2985" i="1" s="1"/>
  <c r="X2973" i="1"/>
  <c r="Y2973" i="1" s="1"/>
  <c r="X2961" i="1"/>
  <c r="Y2961" i="1" s="1"/>
  <c r="X2949" i="1"/>
  <c r="Y2949" i="1" s="1"/>
  <c r="X2937" i="1"/>
  <c r="Y2937" i="1" s="1"/>
  <c r="X2925" i="1"/>
  <c r="Y2925" i="1" s="1"/>
  <c r="X2913" i="1"/>
  <c r="Y2913" i="1" s="1"/>
  <c r="X2901" i="1"/>
  <c r="Y2901" i="1" s="1"/>
  <c r="X2889" i="1"/>
  <c r="Y2889" i="1" s="1"/>
  <c r="X2877" i="1"/>
  <c r="Y2877" i="1" s="1"/>
  <c r="X2865" i="1"/>
  <c r="Y2865" i="1" s="1"/>
  <c r="X2853" i="1"/>
  <c r="Y2853" i="1" s="1"/>
  <c r="X2841" i="1"/>
  <c r="Y2841" i="1" s="1"/>
  <c r="X2829" i="1"/>
  <c r="Y2829" i="1" s="1"/>
  <c r="X2817" i="1"/>
  <c r="Y2817" i="1" s="1"/>
  <c r="X2805" i="1"/>
  <c r="Y2805" i="1" s="1"/>
  <c r="X2793" i="1"/>
  <c r="Y2793" i="1" s="1"/>
  <c r="X2781" i="1"/>
  <c r="Y2781" i="1" s="1"/>
  <c r="X2769" i="1"/>
  <c r="Y2769" i="1" s="1"/>
  <c r="X2757" i="1"/>
  <c r="Y2757" i="1" s="1"/>
  <c r="X2745" i="1"/>
  <c r="Y2745" i="1" s="1"/>
  <c r="X2733" i="1"/>
  <c r="Y2733" i="1" s="1"/>
  <c r="X2721" i="1"/>
  <c r="Y2721" i="1" s="1"/>
  <c r="X2709" i="1"/>
  <c r="Y2709" i="1" s="1"/>
  <c r="X2697" i="1"/>
  <c r="Y2697" i="1" s="1"/>
  <c r="X2685" i="1"/>
  <c r="Y2685" i="1" s="1"/>
  <c r="X2673" i="1"/>
  <c r="Y2673" i="1" s="1"/>
  <c r="X2661" i="1"/>
  <c r="Y2661" i="1" s="1"/>
  <c r="X2649" i="1"/>
  <c r="Y2649" i="1" s="1"/>
  <c r="X2637" i="1"/>
  <c r="Y2637" i="1" s="1"/>
  <c r="X2625" i="1"/>
  <c r="Y2625" i="1" s="1"/>
  <c r="X2613" i="1"/>
  <c r="Y2613" i="1" s="1"/>
  <c r="X2601" i="1"/>
  <c r="Y2601" i="1" s="1"/>
  <c r="X2589" i="1"/>
  <c r="Y2589" i="1" s="1"/>
  <c r="X2577" i="1"/>
  <c r="Y2577" i="1" s="1"/>
  <c r="X2565" i="1"/>
  <c r="Y2565" i="1" s="1"/>
  <c r="X2553" i="1"/>
  <c r="Y2553" i="1" s="1"/>
  <c r="X2541" i="1"/>
  <c r="Y2541" i="1" s="1"/>
  <c r="X2529" i="1"/>
  <c r="Y2529" i="1" s="1"/>
  <c r="X2517" i="1"/>
  <c r="Y2517" i="1" s="1"/>
  <c r="X2505" i="1"/>
  <c r="Y2505" i="1" s="1"/>
  <c r="X2493" i="1"/>
  <c r="Y2493" i="1" s="1"/>
  <c r="X2481" i="1"/>
  <c r="Y2481" i="1" s="1"/>
  <c r="X2469" i="1"/>
  <c r="Y2469" i="1" s="1"/>
  <c r="X2457" i="1"/>
  <c r="Y2457" i="1" s="1"/>
  <c r="X2445" i="1"/>
  <c r="Y2445" i="1" s="1"/>
  <c r="X2433" i="1"/>
  <c r="Y2433" i="1" s="1"/>
  <c r="X2421" i="1"/>
  <c r="Y2421" i="1" s="1"/>
  <c r="X2409" i="1"/>
  <c r="Y2409" i="1" s="1"/>
  <c r="X2397" i="1"/>
  <c r="Y2397" i="1" s="1"/>
  <c r="X2385" i="1"/>
  <c r="Y2385" i="1" s="1"/>
  <c r="X2373" i="1"/>
  <c r="Y2373" i="1" s="1"/>
  <c r="X2361" i="1"/>
  <c r="Y2361" i="1" s="1"/>
  <c r="X2349" i="1"/>
  <c r="Y2349" i="1" s="1"/>
  <c r="X2337" i="1"/>
  <c r="Y2337" i="1" s="1"/>
  <c r="X2325" i="1"/>
  <c r="Y2325" i="1" s="1"/>
  <c r="X2313" i="1"/>
  <c r="Y2313" i="1" s="1"/>
  <c r="X2301" i="1"/>
  <c r="Y2301" i="1" s="1"/>
  <c r="X2289" i="1"/>
  <c r="Y2289" i="1" s="1"/>
  <c r="X2277" i="1"/>
  <c r="Y2277" i="1" s="1"/>
  <c r="X2265" i="1"/>
  <c r="Y2265" i="1" s="1"/>
  <c r="X2253" i="1"/>
  <c r="Y2253" i="1" s="1"/>
  <c r="X2241" i="1"/>
  <c r="Y2241" i="1" s="1"/>
  <c r="X2229" i="1"/>
  <c r="Y2229" i="1" s="1"/>
  <c r="X2217" i="1"/>
  <c r="Y2217" i="1" s="1"/>
  <c r="X2205" i="1"/>
  <c r="Y2205" i="1" s="1"/>
  <c r="X2193" i="1"/>
  <c r="Y2193" i="1" s="1"/>
  <c r="X2181" i="1"/>
  <c r="Y2181" i="1" s="1"/>
  <c r="X2169" i="1"/>
  <c r="Y2169" i="1" s="1"/>
  <c r="X2157" i="1"/>
  <c r="Y2157" i="1" s="1"/>
  <c r="X2145" i="1"/>
  <c r="Y2145" i="1" s="1"/>
  <c r="X2133" i="1"/>
  <c r="Y2133" i="1" s="1"/>
  <c r="X2121" i="1"/>
  <c r="Y2121" i="1" s="1"/>
  <c r="X2109" i="1"/>
  <c r="Y2109" i="1" s="1"/>
  <c r="X2097" i="1"/>
  <c r="Y2097" i="1" s="1"/>
  <c r="X2085" i="1"/>
  <c r="Y2085" i="1" s="1"/>
  <c r="X2073" i="1"/>
  <c r="Y2073" i="1" s="1"/>
  <c r="X2061" i="1"/>
  <c r="Y2061" i="1" s="1"/>
  <c r="X2049" i="1"/>
  <c r="Y2049" i="1" s="1"/>
  <c r="X2037" i="1"/>
  <c r="Y2037" i="1" s="1"/>
  <c r="X2025" i="1"/>
  <c r="Y2025" i="1" s="1"/>
  <c r="X2013" i="1"/>
  <c r="Y2013" i="1" s="1"/>
  <c r="X2001" i="1"/>
  <c r="Y2001" i="1" s="1"/>
  <c r="X1989" i="1"/>
  <c r="Y1989" i="1" s="1"/>
  <c r="X1977" i="1"/>
  <c r="Y1977" i="1" s="1"/>
  <c r="X1965" i="1"/>
  <c r="Y1965" i="1" s="1"/>
  <c r="X1953" i="1"/>
  <c r="Y1953" i="1" s="1"/>
  <c r="X1941" i="1"/>
  <c r="Y1941" i="1" s="1"/>
  <c r="X1929" i="1"/>
  <c r="Y1929" i="1" s="1"/>
  <c r="X1917" i="1"/>
  <c r="Y1917" i="1" s="1"/>
  <c r="X1905" i="1"/>
  <c r="Y1905" i="1" s="1"/>
  <c r="X1893" i="1"/>
  <c r="Y1893" i="1" s="1"/>
  <c r="X1881" i="1"/>
  <c r="Y1881" i="1" s="1"/>
  <c r="X1869" i="1"/>
  <c r="Y1869" i="1" s="1"/>
  <c r="X1857" i="1"/>
  <c r="Y1857" i="1" s="1"/>
  <c r="X1845" i="1"/>
  <c r="Y1845" i="1" s="1"/>
  <c r="X1833" i="1"/>
  <c r="Y1833" i="1" s="1"/>
  <c r="X1821" i="1"/>
  <c r="Y1821" i="1" s="1"/>
  <c r="X1809" i="1"/>
  <c r="Y1809" i="1" s="1"/>
  <c r="X1797" i="1"/>
  <c r="Y1797" i="1" s="1"/>
  <c r="X1785" i="1"/>
  <c r="Y1785" i="1" s="1"/>
  <c r="X1773" i="1"/>
  <c r="Y1773" i="1" s="1"/>
  <c r="X1761" i="1"/>
  <c r="Y1761" i="1" s="1"/>
  <c r="X1749" i="1"/>
  <c r="Y1749" i="1" s="1"/>
  <c r="X1737" i="1"/>
  <c r="Y1737" i="1" s="1"/>
  <c r="X1725" i="1"/>
  <c r="Y1725" i="1" s="1"/>
  <c r="X1713" i="1"/>
  <c r="Y1713" i="1" s="1"/>
  <c r="X1701" i="1"/>
  <c r="Y1701" i="1" s="1"/>
  <c r="X1689" i="1"/>
  <c r="Y1689" i="1" s="1"/>
  <c r="X1677" i="1"/>
  <c r="Y1677" i="1" s="1"/>
  <c r="X1665" i="1"/>
  <c r="Y1665" i="1" s="1"/>
  <c r="X1653" i="1"/>
  <c r="Y1653" i="1" s="1"/>
  <c r="X1641" i="1"/>
  <c r="Y1641" i="1" s="1"/>
  <c r="X1629" i="1"/>
  <c r="Y1629" i="1" s="1"/>
  <c r="X1617" i="1"/>
  <c r="Y1617" i="1" s="1"/>
  <c r="X1605" i="1"/>
  <c r="Y1605" i="1" s="1"/>
  <c r="X1593" i="1"/>
  <c r="Y1593" i="1" s="1"/>
  <c r="X1581" i="1"/>
  <c r="Y1581" i="1" s="1"/>
  <c r="X1569" i="1"/>
  <c r="Y1569" i="1" s="1"/>
  <c r="X1557" i="1"/>
  <c r="Y1557" i="1" s="1"/>
  <c r="X1545" i="1"/>
  <c r="Y1545" i="1" s="1"/>
  <c r="X1533" i="1"/>
  <c r="Y1533" i="1" s="1"/>
  <c r="X1521" i="1"/>
  <c r="Y1521" i="1" s="1"/>
  <c r="X1509" i="1"/>
  <c r="Y1509" i="1" s="1"/>
  <c r="X1497" i="1"/>
  <c r="Y1497" i="1" s="1"/>
  <c r="X1485" i="1"/>
  <c r="Y1485" i="1" s="1"/>
  <c r="X1473" i="1"/>
  <c r="Y1473" i="1" s="1"/>
  <c r="X1461" i="1"/>
  <c r="Y1461" i="1" s="1"/>
  <c r="X1449" i="1"/>
  <c r="Y1449" i="1" s="1"/>
  <c r="X1437" i="1"/>
  <c r="Y1437" i="1" s="1"/>
  <c r="X1425" i="1"/>
  <c r="Y1425" i="1" s="1"/>
  <c r="X1413" i="1"/>
  <c r="Y1413" i="1" s="1"/>
  <c r="X1401" i="1"/>
  <c r="Y1401" i="1" s="1"/>
  <c r="X1389" i="1"/>
  <c r="Y1389" i="1" s="1"/>
  <c r="X1377" i="1"/>
  <c r="Y1377" i="1" s="1"/>
  <c r="X1365" i="1"/>
  <c r="Y1365" i="1" s="1"/>
  <c r="X1353" i="1"/>
  <c r="Y1353" i="1" s="1"/>
  <c r="X1341" i="1"/>
  <c r="Y1341" i="1" s="1"/>
  <c r="X1329" i="1"/>
  <c r="Y1329" i="1" s="1"/>
  <c r="X1317" i="1"/>
  <c r="Y1317" i="1" s="1"/>
  <c r="X1305" i="1"/>
  <c r="Y1305" i="1" s="1"/>
  <c r="X1293" i="1"/>
  <c r="Y1293" i="1" s="1"/>
  <c r="X1281" i="1"/>
  <c r="Y1281" i="1" s="1"/>
  <c r="X1269" i="1"/>
  <c r="Y1269" i="1" s="1"/>
  <c r="X1257" i="1"/>
  <c r="Y1257" i="1" s="1"/>
  <c r="X1245" i="1"/>
  <c r="Y1245" i="1" s="1"/>
  <c r="X1233" i="1"/>
  <c r="Y1233" i="1" s="1"/>
  <c r="X1221" i="1"/>
  <c r="Y1221" i="1" s="1"/>
  <c r="X1209" i="1"/>
  <c r="Y1209" i="1" s="1"/>
  <c r="X1197" i="1"/>
  <c r="Y1197" i="1" s="1"/>
  <c r="X1185" i="1"/>
  <c r="Y1185" i="1" s="1"/>
  <c r="X1173" i="1"/>
  <c r="Y1173" i="1" s="1"/>
  <c r="X1161" i="1"/>
  <c r="Y1161" i="1" s="1"/>
  <c r="X1149" i="1"/>
  <c r="Y1149" i="1" s="1"/>
  <c r="X1137" i="1"/>
  <c r="Y1137" i="1" s="1"/>
  <c r="X1125" i="1"/>
  <c r="Y1125" i="1" s="1"/>
  <c r="X1113" i="1"/>
  <c r="Y1113" i="1" s="1"/>
  <c r="X1101" i="1"/>
  <c r="Y1101" i="1" s="1"/>
  <c r="X1089" i="1"/>
  <c r="Y1089" i="1" s="1"/>
  <c r="X1077" i="1"/>
  <c r="Y1077" i="1" s="1"/>
  <c r="X1065" i="1"/>
  <c r="Y1065" i="1" s="1"/>
  <c r="X1053" i="1"/>
  <c r="Y1053" i="1" s="1"/>
  <c r="X1041" i="1"/>
  <c r="Y1041" i="1" s="1"/>
  <c r="X1029" i="1"/>
  <c r="Y1029" i="1" s="1"/>
  <c r="X1017" i="1"/>
  <c r="Y1017" i="1" s="1"/>
  <c r="X4160" i="1"/>
  <c r="Y4160" i="1" s="1"/>
  <c r="X4148" i="1"/>
  <c r="Y4148" i="1" s="1"/>
  <c r="X4136" i="1"/>
  <c r="Y4136" i="1" s="1"/>
  <c r="X4124" i="1"/>
  <c r="Y4124" i="1" s="1"/>
  <c r="X4112" i="1"/>
  <c r="Y4112" i="1" s="1"/>
  <c r="X4100" i="1"/>
  <c r="Y4100" i="1" s="1"/>
  <c r="X4088" i="1"/>
  <c r="Y4088" i="1" s="1"/>
  <c r="X4076" i="1"/>
  <c r="Y4076" i="1" s="1"/>
  <c r="X4064" i="1"/>
  <c r="Y4064" i="1" s="1"/>
  <c r="X4052" i="1"/>
  <c r="Y4052" i="1" s="1"/>
  <c r="X4040" i="1"/>
  <c r="Y4040" i="1" s="1"/>
  <c r="X4028" i="1"/>
  <c r="Y4028" i="1" s="1"/>
  <c r="X4016" i="1"/>
  <c r="Y4016" i="1" s="1"/>
  <c r="X4004" i="1"/>
  <c r="Y4004" i="1" s="1"/>
  <c r="X3992" i="1"/>
  <c r="Y3992" i="1" s="1"/>
  <c r="X3980" i="1"/>
  <c r="Y3980" i="1" s="1"/>
  <c r="X3968" i="1"/>
  <c r="Y3968" i="1" s="1"/>
  <c r="X3956" i="1"/>
  <c r="Y3956" i="1" s="1"/>
  <c r="X3944" i="1"/>
  <c r="Y3944" i="1" s="1"/>
  <c r="X3932" i="1"/>
  <c r="Y3932" i="1" s="1"/>
  <c r="X3920" i="1"/>
  <c r="Y3920" i="1" s="1"/>
  <c r="X3908" i="1"/>
  <c r="Y3908" i="1" s="1"/>
  <c r="X3896" i="1"/>
  <c r="Y3896" i="1" s="1"/>
  <c r="X3884" i="1"/>
  <c r="Y3884" i="1" s="1"/>
  <c r="X3872" i="1"/>
  <c r="Y3872" i="1" s="1"/>
  <c r="X3860" i="1"/>
  <c r="Y3860" i="1" s="1"/>
  <c r="X3848" i="1"/>
  <c r="Y3848" i="1" s="1"/>
  <c r="X3836" i="1"/>
  <c r="Y3836" i="1" s="1"/>
  <c r="X3824" i="1"/>
  <c r="Y3824" i="1" s="1"/>
  <c r="X3812" i="1"/>
  <c r="Y3812" i="1" s="1"/>
  <c r="X3800" i="1"/>
  <c r="Y3800" i="1" s="1"/>
  <c r="X3788" i="1"/>
  <c r="Y3788" i="1" s="1"/>
  <c r="X3776" i="1"/>
  <c r="Y3776" i="1" s="1"/>
  <c r="X3764" i="1"/>
  <c r="Y3764" i="1" s="1"/>
  <c r="X3752" i="1"/>
  <c r="Y3752" i="1" s="1"/>
  <c r="X3740" i="1"/>
  <c r="Y3740" i="1" s="1"/>
  <c r="X3728" i="1"/>
  <c r="Y3728" i="1" s="1"/>
  <c r="X3716" i="1"/>
  <c r="Y3716" i="1" s="1"/>
  <c r="X3704" i="1"/>
  <c r="Y3704" i="1" s="1"/>
  <c r="X3692" i="1"/>
  <c r="Y3692" i="1" s="1"/>
  <c r="X3680" i="1"/>
  <c r="Y3680" i="1" s="1"/>
  <c r="X3668" i="1"/>
  <c r="Y3668" i="1" s="1"/>
  <c r="X3656" i="1"/>
  <c r="Y3656" i="1" s="1"/>
  <c r="X3644" i="1"/>
  <c r="Y3644" i="1" s="1"/>
  <c r="X3632" i="1"/>
  <c r="Y3632" i="1" s="1"/>
  <c r="X3620" i="1"/>
  <c r="Y3620" i="1" s="1"/>
  <c r="X3608" i="1"/>
  <c r="Y3608" i="1" s="1"/>
  <c r="X3596" i="1"/>
  <c r="Y3596" i="1" s="1"/>
  <c r="X3584" i="1"/>
  <c r="Y3584" i="1" s="1"/>
  <c r="X3572" i="1"/>
  <c r="Y3572" i="1" s="1"/>
  <c r="X3560" i="1"/>
  <c r="Y3560" i="1" s="1"/>
  <c r="X3548" i="1"/>
  <c r="Y3548" i="1" s="1"/>
  <c r="X3536" i="1"/>
  <c r="Y3536" i="1" s="1"/>
  <c r="X3524" i="1"/>
  <c r="Y3524" i="1" s="1"/>
  <c r="X3512" i="1"/>
  <c r="Y3512" i="1" s="1"/>
  <c r="X3500" i="1"/>
  <c r="Y3500" i="1" s="1"/>
  <c r="X3488" i="1"/>
  <c r="Y3488" i="1" s="1"/>
  <c r="X3476" i="1"/>
  <c r="Y3476" i="1" s="1"/>
  <c r="X3464" i="1"/>
  <c r="Y3464" i="1" s="1"/>
  <c r="X3452" i="1"/>
  <c r="Y3452" i="1" s="1"/>
  <c r="X3440" i="1"/>
  <c r="Y3440" i="1" s="1"/>
  <c r="X3428" i="1"/>
  <c r="Y3428" i="1" s="1"/>
  <c r="X3416" i="1"/>
  <c r="Y3416" i="1" s="1"/>
  <c r="X3404" i="1"/>
  <c r="Y3404" i="1" s="1"/>
  <c r="X3392" i="1"/>
  <c r="Y3392" i="1" s="1"/>
  <c r="X3380" i="1"/>
  <c r="Y3380" i="1" s="1"/>
  <c r="X3368" i="1"/>
  <c r="Y3368" i="1" s="1"/>
  <c r="X3356" i="1"/>
  <c r="Y3356" i="1" s="1"/>
  <c r="X3344" i="1"/>
  <c r="Y3344" i="1" s="1"/>
  <c r="X3332" i="1"/>
  <c r="Y3332" i="1" s="1"/>
  <c r="X3320" i="1"/>
  <c r="Y3320" i="1" s="1"/>
  <c r="X3308" i="1"/>
  <c r="Y3308" i="1" s="1"/>
  <c r="X3296" i="1"/>
  <c r="Y3296" i="1" s="1"/>
  <c r="X3284" i="1"/>
  <c r="Y3284" i="1" s="1"/>
  <c r="X3272" i="1"/>
  <c r="Y3272" i="1" s="1"/>
  <c r="X3260" i="1"/>
  <c r="Y3260" i="1" s="1"/>
  <c r="X3248" i="1"/>
  <c r="Y3248" i="1" s="1"/>
  <c r="X3236" i="1"/>
  <c r="Y3236" i="1" s="1"/>
  <c r="X3224" i="1"/>
  <c r="Y3224" i="1" s="1"/>
  <c r="X3212" i="1"/>
  <c r="Y3212" i="1" s="1"/>
  <c r="X3200" i="1"/>
  <c r="Y3200" i="1" s="1"/>
  <c r="X3188" i="1"/>
  <c r="Y3188" i="1" s="1"/>
  <c r="X3176" i="1"/>
  <c r="Y3176" i="1" s="1"/>
  <c r="X3164" i="1"/>
  <c r="Y3164" i="1" s="1"/>
  <c r="X3152" i="1"/>
  <c r="Y3152" i="1" s="1"/>
  <c r="X3140" i="1"/>
  <c r="Y3140" i="1" s="1"/>
  <c r="X3128" i="1"/>
  <c r="Y3128" i="1" s="1"/>
  <c r="X3116" i="1"/>
  <c r="Y3116" i="1" s="1"/>
  <c r="X3104" i="1"/>
  <c r="Y3104" i="1" s="1"/>
  <c r="X3092" i="1"/>
  <c r="Y3092" i="1" s="1"/>
  <c r="X3080" i="1"/>
  <c r="Y3080" i="1" s="1"/>
  <c r="X3068" i="1"/>
  <c r="Y3068" i="1" s="1"/>
  <c r="X3056" i="1"/>
  <c r="Y3056" i="1" s="1"/>
  <c r="X3044" i="1"/>
  <c r="Y3044" i="1" s="1"/>
  <c r="X3032" i="1"/>
  <c r="Y3032" i="1" s="1"/>
  <c r="X3020" i="1"/>
  <c r="Y3020" i="1" s="1"/>
  <c r="X3008" i="1"/>
  <c r="Y3008" i="1" s="1"/>
  <c r="X2996" i="1"/>
  <c r="Y2996" i="1" s="1"/>
  <c r="X2984" i="1"/>
  <c r="Y2984" i="1" s="1"/>
  <c r="X2972" i="1"/>
  <c r="Y2972" i="1" s="1"/>
  <c r="X2960" i="1"/>
  <c r="Y2960" i="1" s="1"/>
  <c r="X2948" i="1"/>
  <c r="Y2948" i="1" s="1"/>
  <c r="X2936" i="1"/>
  <c r="Y2936" i="1" s="1"/>
  <c r="X2924" i="1"/>
  <c r="Y2924" i="1" s="1"/>
  <c r="X2912" i="1"/>
  <c r="Y2912" i="1" s="1"/>
  <c r="X2900" i="1"/>
  <c r="Y2900" i="1" s="1"/>
  <c r="X2888" i="1"/>
  <c r="Y2888" i="1" s="1"/>
  <c r="X2876" i="1"/>
  <c r="Y2876" i="1" s="1"/>
  <c r="X2864" i="1"/>
  <c r="Y2864" i="1" s="1"/>
  <c r="X2852" i="1"/>
  <c r="Y2852" i="1" s="1"/>
  <c r="X2840" i="1"/>
  <c r="Y2840" i="1" s="1"/>
  <c r="X2828" i="1"/>
  <c r="Y2828" i="1" s="1"/>
  <c r="X2816" i="1"/>
  <c r="Y2816" i="1" s="1"/>
  <c r="X2804" i="1"/>
  <c r="Y2804" i="1" s="1"/>
  <c r="X2792" i="1"/>
  <c r="Y2792" i="1" s="1"/>
  <c r="X2780" i="1"/>
  <c r="Y2780" i="1" s="1"/>
  <c r="X2768" i="1"/>
  <c r="Y2768" i="1" s="1"/>
  <c r="X2756" i="1"/>
  <c r="Y2756" i="1" s="1"/>
  <c r="X2744" i="1"/>
  <c r="Y2744" i="1" s="1"/>
  <c r="X2732" i="1"/>
  <c r="Y2732" i="1" s="1"/>
  <c r="X2720" i="1"/>
  <c r="Y2720" i="1" s="1"/>
  <c r="X2708" i="1"/>
  <c r="Y2708" i="1" s="1"/>
  <c r="X2696" i="1"/>
  <c r="Y2696" i="1" s="1"/>
  <c r="X2684" i="1"/>
  <c r="Y2684" i="1" s="1"/>
  <c r="X2672" i="1"/>
  <c r="Y2672" i="1" s="1"/>
  <c r="X2660" i="1"/>
  <c r="Y2660" i="1" s="1"/>
  <c r="X2648" i="1"/>
  <c r="Y2648" i="1" s="1"/>
  <c r="X2636" i="1"/>
  <c r="Y2636" i="1" s="1"/>
  <c r="X2624" i="1"/>
  <c r="Y2624" i="1" s="1"/>
  <c r="X2612" i="1"/>
  <c r="Y2612" i="1" s="1"/>
  <c r="X2600" i="1"/>
  <c r="Y2600" i="1" s="1"/>
  <c r="X2588" i="1"/>
  <c r="Y2588" i="1" s="1"/>
  <c r="X2576" i="1"/>
  <c r="Y2576" i="1" s="1"/>
  <c r="X2564" i="1"/>
  <c r="Y2564" i="1" s="1"/>
  <c r="X2552" i="1"/>
  <c r="Y2552" i="1" s="1"/>
  <c r="X2540" i="1"/>
  <c r="Y2540" i="1" s="1"/>
  <c r="X2528" i="1"/>
  <c r="Y2528" i="1" s="1"/>
  <c r="X2516" i="1"/>
  <c r="Y2516" i="1" s="1"/>
  <c r="X2504" i="1"/>
  <c r="Y2504" i="1" s="1"/>
  <c r="X2492" i="1"/>
  <c r="Y2492" i="1" s="1"/>
  <c r="X2480" i="1"/>
  <c r="Y2480" i="1" s="1"/>
  <c r="X2468" i="1"/>
  <c r="Y2468" i="1" s="1"/>
  <c r="X2456" i="1"/>
  <c r="Y2456" i="1" s="1"/>
  <c r="X2444" i="1"/>
  <c r="Y2444" i="1" s="1"/>
  <c r="X2432" i="1"/>
  <c r="Y2432" i="1" s="1"/>
  <c r="X2420" i="1"/>
  <c r="Y2420" i="1" s="1"/>
  <c r="X2408" i="1"/>
  <c r="Y2408" i="1" s="1"/>
  <c r="X2396" i="1"/>
  <c r="Y2396" i="1" s="1"/>
  <c r="X2384" i="1"/>
  <c r="Y2384" i="1" s="1"/>
  <c r="X2372" i="1"/>
  <c r="Y2372" i="1" s="1"/>
  <c r="X2360" i="1"/>
  <c r="Y2360" i="1" s="1"/>
  <c r="X2348" i="1"/>
  <c r="Y2348" i="1" s="1"/>
  <c r="X2336" i="1"/>
  <c r="Y2336" i="1" s="1"/>
  <c r="X2324" i="1"/>
  <c r="Y2324" i="1" s="1"/>
  <c r="X2312" i="1"/>
  <c r="Y2312" i="1" s="1"/>
  <c r="X2300" i="1"/>
  <c r="Y2300" i="1" s="1"/>
  <c r="X2288" i="1"/>
  <c r="Y2288" i="1" s="1"/>
  <c r="X2276" i="1"/>
  <c r="Y2276" i="1" s="1"/>
  <c r="X2264" i="1"/>
  <c r="Y2264" i="1" s="1"/>
  <c r="X2252" i="1"/>
  <c r="Y2252" i="1" s="1"/>
  <c r="X2240" i="1"/>
  <c r="Y2240" i="1" s="1"/>
  <c r="X2228" i="1"/>
  <c r="Y2228" i="1" s="1"/>
  <c r="X2216" i="1"/>
  <c r="Y2216" i="1" s="1"/>
  <c r="X2204" i="1"/>
  <c r="Y2204" i="1" s="1"/>
  <c r="X2192" i="1"/>
  <c r="Y2192" i="1" s="1"/>
  <c r="X2180" i="1"/>
  <c r="Y2180" i="1" s="1"/>
  <c r="X2168" i="1"/>
  <c r="Y2168" i="1" s="1"/>
  <c r="X2156" i="1"/>
  <c r="Y2156" i="1" s="1"/>
  <c r="X2144" i="1"/>
  <c r="Y2144" i="1" s="1"/>
  <c r="X2132" i="1"/>
  <c r="Y2132" i="1" s="1"/>
  <c r="X2120" i="1"/>
  <c r="Y2120" i="1" s="1"/>
  <c r="X2108" i="1"/>
  <c r="Y2108" i="1" s="1"/>
  <c r="X2096" i="1"/>
  <c r="Y2096" i="1" s="1"/>
  <c r="X2084" i="1"/>
  <c r="Y2084" i="1" s="1"/>
  <c r="X2072" i="1"/>
  <c r="Y2072" i="1" s="1"/>
  <c r="X2060" i="1"/>
  <c r="Y2060" i="1" s="1"/>
  <c r="X2048" i="1"/>
  <c r="Y2048" i="1" s="1"/>
  <c r="X2036" i="1"/>
  <c r="Y2036" i="1" s="1"/>
  <c r="X2024" i="1"/>
  <c r="Y2024" i="1" s="1"/>
  <c r="X2012" i="1"/>
  <c r="Y2012" i="1" s="1"/>
  <c r="X2000" i="1"/>
  <c r="Y2000" i="1" s="1"/>
  <c r="X1988" i="1"/>
  <c r="Y1988" i="1" s="1"/>
  <c r="X1976" i="1"/>
  <c r="Y1976" i="1" s="1"/>
  <c r="X1964" i="1"/>
  <c r="Y1964" i="1" s="1"/>
  <c r="X1952" i="1"/>
  <c r="Y1952" i="1" s="1"/>
  <c r="X1940" i="1"/>
  <c r="Y1940" i="1" s="1"/>
  <c r="X1928" i="1"/>
  <c r="Y1928" i="1" s="1"/>
  <c r="X1916" i="1"/>
  <c r="Y1916" i="1" s="1"/>
  <c r="X1904" i="1"/>
  <c r="Y1904" i="1" s="1"/>
  <c r="X1892" i="1"/>
  <c r="Y1892" i="1" s="1"/>
  <c r="X1880" i="1"/>
  <c r="Y1880" i="1" s="1"/>
  <c r="X1868" i="1"/>
  <c r="Y1868" i="1" s="1"/>
  <c r="X1856" i="1"/>
  <c r="Y1856" i="1" s="1"/>
  <c r="X1844" i="1"/>
  <c r="Y1844" i="1" s="1"/>
  <c r="X1832" i="1"/>
  <c r="Y1832" i="1" s="1"/>
  <c r="X1820" i="1"/>
  <c r="Y1820" i="1" s="1"/>
  <c r="X1808" i="1"/>
  <c r="Y1808" i="1" s="1"/>
  <c r="X1796" i="1"/>
  <c r="Y1796" i="1" s="1"/>
  <c r="X1784" i="1"/>
  <c r="Y1784" i="1" s="1"/>
  <c r="X1772" i="1"/>
  <c r="Y1772" i="1" s="1"/>
  <c r="X1760" i="1"/>
  <c r="Y1760" i="1" s="1"/>
  <c r="X1748" i="1"/>
  <c r="Y1748" i="1" s="1"/>
  <c r="X1736" i="1"/>
  <c r="Y1736" i="1" s="1"/>
  <c r="X1724" i="1"/>
  <c r="Y1724" i="1" s="1"/>
  <c r="X1712" i="1"/>
  <c r="Y1712" i="1" s="1"/>
  <c r="X1700" i="1"/>
  <c r="Y1700" i="1" s="1"/>
  <c r="X1688" i="1"/>
  <c r="Y1688" i="1" s="1"/>
  <c r="X1676" i="1"/>
  <c r="Y1676" i="1" s="1"/>
  <c r="X1664" i="1"/>
  <c r="Y1664" i="1" s="1"/>
  <c r="X1652" i="1"/>
  <c r="Y1652" i="1" s="1"/>
  <c r="X1640" i="1"/>
  <c r="Y1640" i="1" s="1"/>
  <c r="X1628" i="1"/>
  <c r="Y1628" i="1" s="1"/>
  <c r="X1616" i="1"/>
  <c r="Y1616" i="1" s="1"/>
  <c r="X1604" i="1"/>
  <c r="Y1604" i="1" s="1"/>
  <c r="X1592" i="1"/>
  <c r="Y1592" i="1" s="1"/>
  <c r="X1580" i="1"/>
  <c r="Y1580" i="1" s="1"/>
  <c r="X1568" i="1"/>
  <c r="Y1568" i="1" s="1"/>
  <c r="X1556" i="1"/>
  <c r="Y1556" i="1" s="1"/>
  <c r="X1544" i="1"/>
  <c r="Y1544" i="1" s="1"/>
  <c r="X1532" i="1"/>
  <c r="Y1532" i="1" s="1"/>
  <c r="X1520" i="1"/>
  <c r="Y1520" i="1" s="1"/>
  <c r="X1508" i="1"/>
  <c r="Y1508" i="1" s="1"/>
  <c r="X1496" i="1"/>
  <c r="Y1496" i="1" s="1"/>
  <c r="X1484" i="1"/>
  <c r="Y1484" i="1" s="1"/>
  <c r="X1472" i="1"/>
  <c r="Y1472" i="1" s="1"/>
  <c r="X1460" i="1"/>
  <c r="Y1460" i="1" s="1"/>
  <c r="X1448" i="1"/>
  <c r="Y1448" i="1" s="1"/>
  <c r="X1436" i="1"/>
  <c r="Y1436" i="1" s="1"/>
  <c r="X1424" i="1"/>
  <c r="Y1424" i="1" s="1"/>
  <c r="X1412" i="1"/>
  <c r="Y1412" i="1" s="1"/>
  <c r="X1400" i="1"/>
  <c r="Y1400" i="1" s="1"/>
  <c r="X1388" i="1"/>
  <c r="Y1388" i="1" s="1"/>
  <c r="X1376" i="1"/>
  <c r="Y1376" i="1" s="1"/>
  <c r="X1364" i="1"/>
  <c r="Y1364" i="1" s="1"/>
  <c r="X1352" i="1"/>
  <c r="Y1352" i="1" s="1"/>
  <c r="X1340" i="1"/>
  <c r="Y1340" i="1" s="1"/>
  <c r="X1328" i="1"/>
  <c r="Y1328" i="1" s="1"/>
  <c r="X1316" i="1"/>
  <c r="Y1316" i="1" s="1"/>
  <c r="X1304" i="1"/>
  <c r="Y1304" i="1" s="1"/>
  <c r="X1292" i="1"/>
  <c r="Y1292" i="1" s="1"/>
  <c r="X1280" i="1"/>
  <c r="Y1280" i="1" s="1"/>
  <c r="X1268" i="1"/>
  <c r="Y1268" i="1" s="1"/>
  <c r="X1256" i="1"/>
  <c r="Y1256" i="1" s="1"/>
  <c r="X1244" i="1"/>
  <c r="Y1244" i="1" s="1"/>
  <c r="X1232" i="1"/>
  <c r="Y1232" i="1" s="1"/>
  <c r="X1220" i="1"/>
  <c r="Y1220" i="1" s="1"/>
  <c r="X1208" i="1"/>
  <c r="Y1208" i="1" s="1"/>
  <c r="X1196" i="1"/>
  <c r="Y1196" i="1" s="1"/>
  <c r="X1184" i="1"/>
  <c r="Y1184" i="1" s="1"/>
  <c r="X1172" i="1"/>
  <c r="Y1172" i="1" s="1"/>
  <c r="X1160" i="1"/>
  <c r="Y1160" i="1" s="1"/>
  <c r="X1148" i="1"/>
  <c r="Y1148" i="1" s="1"/>
  <c r="X1136" i="1"/>
  <c r="Y1136" i="1" s="1"/>
  <c r="X1124" i="1"/>
  <c r="Y1124" i="1" s="1"/>
  <c r="X1112" i="1"/>
  <c r="Y1112" i="1" s="1"/>
  <c r="X1100" i="1"/>
  <c r="Y1100" i="1" s="1"/>
  <c r="X1088" i="1"/>
  <c r="Y1088" i="1" s="1"/>
  <c r="X1076" i="1"/>
  <c r="Y1076" i="1" s="1"/>
  <c r="X1064" i="1"/>
  <c r="Y1064" i="1" s="1"/>
  <c r="X1052" i="1"/>
  <c r="Y1052" i="1" s="1"/>
  <c r="X1040" i="1"/>
  <c r="Y1040" i="1" s="1"/>
  <c r="X1028" i="1"/>
  <c r="Y1028" i="1" s="1"/>
  <c r="X1016" i="1"/>
  <c r="Y1016" i="1" s="1"/>
  <c r="X1004" i="1"/>
  <c r="Y1004" i="1" s="1"/>
  <c r="X2044" i="1"/>
  <c r="Y2044" i="1" s="1"/>
  <c r="X2032" i="1"/>
  <c r="Y2032" i="1" s="1"/>
  <c r="X2020" i="1"/>
  <c r="Y2020" i="1" s="1"/>
  <c r="X2008" i="1"/>
  <c r="Y2008" i="1" s="1"/>
  <c r="X1996" i="1"/>
  <c r="Y1996" i="1" s="1"/>
  <c r="X1984" i="1"/>
  <c r="Y1984" i="1" s="1"/>
  <c r="X1972" i="1"/>
  <c r="Y1972" i="1" s="1"/>
  <c r="X1960" i="1"/>
  <c r="Y1960" i="1" s="1"/>
  <c r="X1948" i="1"/>
  <c r="Y1948" i="1" s="1"/>
  <c r="X1936" i="1"/>
  <c r="Y1936" i="1" s="1"/>
  <c r="X1924" i="1"/>
  <c r="Y1924" i="1" s="1"/>
  <c r="X1912" i="1"/>
  <c r="Y1912" i="1" s="1"/>
  <c r="X1900" i="1"/>
  <c r="Y1900" i="1" s="1"/>
  <c r="X1888" i="1"/>
  <c r="Y1888" i="1" s="1"/>
  <c r="X1876" i="1"/>
  <c r="Y1876" i="1" s="1"/>
  <c r="X1864" i="1"/>
  <c r="Y1864" i="1" s="1"/>
  <c r="X1852" i="1"/>
  <c r="Y1852" i="1" s="1"/>
  <c r="X1840" i="1"/>
  <c r="Y1840" i="1" s="1"/>
  <c r="X1828" i="1"/>
  <c r="Y1828" i="1" s="1"/>
  <c r="X1816" i="1"/>
  <c r="Y1816" i="1" s="1"/>
  <c r="X1804" i="1"/>
  <c r="Y1804" i="1" s="1"/>
  <c r="X1792" i="1"/>
  <c r="Y1792" i="1" s="1"/>
  <c r="X1780" i="1"/>
  <c r="Y1780" i="1" s="1"/>
  <c r="X1768" i="1"/>
  <c r="Y1768" i="1" s="1"/>
  <c r="X1756" i="1"/>
  <c r="Y1756" i="1" s="1"/>
  <c r="X1744" i="1"/>
  <c r="Y1744" i="1" s="1"/>
  <c r="X1732" i="1"/>
  <c r="Y1732" i="1" s="1"/>
  <c r="X1720" i="1"/>
  <c r="Y1720" i="1" s="1"/>
  <c r="X1708" i="1"/>
  <c r="Y1708" i="1" s="1"/>
  <c r="X1696" i="1"/>
  <c r="Y1696" i="1" s="1"/>
  <c r="X1684" i="1"/>
  <c r="Y1684" i="1" s="1"/>
  <c r="X1672" i="1"/>
  <c r="Y1672" i="1" s="1"/>
  <c r="X1660" i="1"/>
  <c r="Y1660" i="1" s="1"/>
  <c r="X1648" i="1"/>
  <c r="Y1648" i="1" s="1"/>
  <c r="X1636" i="1"/>
  <c r="Y1636" i="1" s="1"/>
  <c r="X1624" i="1"/>
  <c r="Y1624" i="1" s="1"/>
  <c r="X1612" i="1"/>
  <c r="Y1612" i="1" s="1"/>
  <c r="X1600" i="1"/>
  <c r="Y1600" i="1" s="1"/>
  <c r="X1588" i="1"/>
  <c r="Y1588" i="1" s="1"/>
  <c r="X1576" i="1"/>
  <c r="Y1576" i="1" s="1"/>
  <c r="X1564" i="1"/>
  <c r="Y1564" i="1" s="1"/>
  <c r="X1552" i="1"/>
  <c r="Y1552" i="1" s="1"/>
  <c r="X1540" i="1"/>
  <c r="Y1540" i="1" s="1"/>
  <c r="X1528" i="1"/>
  <c r="Y1528" i="1" s="1"/>
  <c r="X1516" i="1"/>
  <c r="Y1516" i="1" s="1"/>
  <c r="X1504" i="1"/>
  <c r="Y1504" i="1" s="1"/>
  <c r="X1492" i="1"/>
  <c r="Y1492" i="1" s="1"/>
  <c r="X1480" i="1"/>
  <c r="Y1480" i="1" s="1"/>
  <c r="X1468" i="1"/>
  <c r="Y1468" i="1" s="1"/>
  <c r="X1456" i="1"/>
  <c r="Y1456" i="1" s="1"/>
  <c r="X1444" i="1"/>
  <c r="Y1444" i="1" s="1"/>
  <c r="X1432" i="1"/>
  <c r="Y1432" i="1" s="1"/>
  <c r="X1420" i="1"/>
  <c r="Y1420" i="1" s="1"/>
  <c r="X1408" i="1"/>
  <c r="Y1408" i="1" s="1"/>
  <c r="X1396" i="1"/>
  <c r="Y1396" i="1" s="1"/>
  <c r="X1384" i="1"/>
  <c r="Y1384" i="1" s="1"/>
  <c r="X1372" i="1"/>
  <c r="Y1372" i="1" s="1"/>
  <c r="X1360" i="1"/>
  <c r="Y1360" i="1" s="1"/>
  <c r="X1348" i="1"/>
  <c r="Y1348" i="1" s="1"/>
  <c r="X1336" i="1"/>
  <c r="Y1336" i="1" s="1"/>
  <c r="X1324" i="1"/>
  <c r="Y1324" i="1" s="1"/>
  <c r="X1312" i="1"/>
  <c r="Y1312" i="1" s="1"/>
  <c r="X1300" i="1"/>
  <c r="Y1300" i="1" s="1"/>
  <c r="X1288" i="1"/>
  <c r="Y1288" i="1" s="1"/>
  <c r="X1276" i="1"/>
  <c r="Y1276" i="1" s="1"/>
  <c r="X1264" i="1"/>
  <c r="Y1264" i="1" s="1"/>
  <c r="X1252" i="1"/>
  <c r="Y1252" i="1" s="1"/>
  <c r="X1240" i="1"/>
  <c r="Y1240" i="1" s="1"/>
  <c r="X1228" i="1"/>
  <c r="Y1228" i="1" s="1"/>
  <c r="X1216" i="1"/>
  <c r="Y1216" i="1" s="1"/>
  <c r="X1204" i="1"/>
  <c r="Y1204" i="1" s="1"/>
  <c r="X1192" i="1"/>
  <c r="Y1192" i="1" s="1"/>
  <c r="X1180" i="1"/>
  <c r="Y1180" i="1" s="1"/>
  <c r="X1168" i="1"/>
  <c r="Y1168" i="1" s="1"/>
  <c r="X1156" i="1"/>
  <c r="Y1156" i="1" s="1"/>
  <c r="X1144" i="1"/>
  <c r="Y1144" i="1" s="1"/>
  <c r="X1132" i="1"/>
  <c r="Y1132" i="1" s="1"/>
  <c r="X1120" i="1"/>
  <c r="Y1120" i="1" s="1"/>
  <c r="X1108" i="1"/>
  <c r="Y1108" i="1" s="1"/>
  <c r="X1096" i="1"/>
  <c r="Y1096" i="1" s="1"/>
  <c r="X1084" i="1"/>
  <c r="Y1084" i="1" s="1"/>
  <c r="X1072" i="1"/>
  <c r="Y1072" i="1" s="1"/>
  <c r="X1060" i="1"/>
  <c r="Y1060" i="1" s="1"/>
  <c r="X1048" i="1"/>
  <c r="Y1048" i="1" s="1"/>
  <c r="X1036" i="1"/>
  <c r="Y1036" i="1" s="1"/>
  <c r="X1024" i="1"/>
  <c r="Y1024" i="1" s="1"/>
  <c r="X1012" i="1"/>
  <c r="Y1012" i="1" s="1"/>
  <c r="X1000" i="1"/>
  <c r="Y1000" i="1" s="1"/>
  <c r="X988" i="1"/>
  <c r="Y988" i="1" s="1"/>
  <c r="X976" i="1"/>
  <c r="Y976" i="1" s="1"/>
  <c r="X964" i="1"/>
  <c r="Y964" i="1" s="1"/>
  <c r="X952" i="1"/>
  <c r="Y952" i="1" s="1"/>
  <c r="X940" i="1"/>
  <c r="Y940" i="1" s="1"/>
  <c r="X928" i="1"/>
  <c r="Y928" i="1" s="1"/>
  <c r="X916" i="1"/>
  <c r="Y916" i="1" s="1"/>
  <c r="X904" i="1"/>
  <c r="Y904" i="1" s="1"/>
  <c r="X892" i="1"/>
  <c r="Y892" i="1" s="1"/>
  <c r="X880" i="1"/>
  <c r="Y880" i="1" s="1"/>
  <c r="X868" i="1"/>
  <c r="Y868" i="1" s="1"/>
  <c r="X856" i="1"/>
  <c r="Y856" i="1" s="1"/>
  <c r="X844" i="1"/>
  <c r="Y844" i="1" s="1"/>
  <c r="X832" i="1"/>
  <c r="Y832" i="1" s="1"/>
  <c r="X820" i="1"/>
  <c r="Y820" i="1" s="1"/>
  <c r="X808" i="1"/>
  <c r="Y808" i="1" s="1"/>
  <c r="X796" i="1"/>
  <c r="Y796" i="1" s="1"/>
  <c r="X784" i="1"/>
  <c r="Y784" i="1" s="1"/>
  <c r="X772" i="1"/>
  <c r="Y772" i="1" s="1"/>
  <c r="X760" i="1"/>
  <c r="Y760" i="1" s="1"/>
  <c r="X748" i="1"/>
  <c r="Y748" i="1" s="1"/>
  <c r="X736" i="1"/>
  <c r="Y736" i="1" s="1"/>
  <c r="X724" i="1"/>
  <c r="Y724" i="1" s="1"/>
  <c r="X712" i="1"/>
  <c r="Y712" i="1" s="1"/>
  <c r="X700" i="1"/>
  <c r="Y700" i="1" s="1"/>
  <c r="X688" i="1"/>
  <c r="Y688" i="1" s="1"/>
  <c r="X676" i="1"/>
  <c r="Y676" i="1" s="1"/>
  <c r="X664" i="1"/>
  <c r="Y664" i="1" s="1"/>
  <c r="X652" i="1"/>
  <c r="Y652" i="1" s="1"/>
  <c r="X640" i="1"/>
  <c r="Y640" i="1" s="1"/>
  <c r="X628" i="1"/>
  <c r="Y628" i="1" s="1"/>
  <c r="X616" i="1"/>
  <c r="Y616" i="1" s="1"/>
  <c r="X604" i="1"/>
  <c r="Y604" i="1" s="1"/>
  <c r="X2043" i="1"/>
  <c r="Y2043" i="1" s="1"/>
  <c r="X2031" i="1"/>
  <c r="Y2031" i="1" s="1"/>
  <c r="X2019" i="1"/>
  <c r="Y2019" i="1" s="1"/>
  <c r="X2007" i="1"/>
  <c r="Y2007" i="1" s="1"/>
  <c r="X1995" i="1"/>
  <c r="Y1995" i="1" s="1"/>
  <c r="X1983" i="1"/>
  <c r="Y1983" i="1" s="1"/>
  <c r="X1971" i="1"/>
  <c r="Y1971" i="1" s="1"/>
  <c r="X1959" i="1"/>
  <c r="Y1959" i="1" s="1"/>
  <c r="X1947" i="1"/>
  <c r="Y1947" i="1" s="1"/>
  <c r="X1935" i="1"/>
  <c r="Y1935" i="1" s="1"/>
  <c r="X1923" i="1"/>
  <c r="Y1923" i="1" s="1"/>
  <c r="X1911" i="1"/>
  <c r="Y1911" i="1" s="1"/>
  <c r="X1899" i="1"/>
  <c r="Y1899" i="1" s="1"/>
  <c r="X1887" i="1"/>
  <c r="Y1887" i="1" s="1"/>
  <c r="X1875" i="1"/>
  <c r="Y1875" i="1" s="1"/>
  <c r="X1863" i="1"/>
  <c r="Y1863" i="1" s="1"/>
  <c r="X1851" i="1"/>
  <c r="Y1851" i="1" s="1"/>
  <c r="X1839" i="1"/>
  <c r="Y1839" i="1" s="1"/>
  <c r="X1827" i="1"/>
  <c r="Y1827" i="1" s="1"/>
  <c r="X1815" i="1"/>
  <c r="Y1815" i="1" s="1"/>
  <c r="X1803" i="1"/>
  <c r="Y1803" i="1" s="1"/>
  <c r="X1791" i="1"/>
  <c r="Y1791" i="1" s="1"/>
  <c r="X1779" i="1"/>
  <c r="Y1779" i="1" s="1"/>
  <c r="X1767" i="1"/>
  <c r="Y1767" i="1" s="1"/>
  <c r="X1755" i="1"/>
  <c r="Y1755" i="1" s="1"/>
  <c r="X1743" i="1"/>
  <c r="Y1743" i="1" s="1"/>
  <c r="X1731" i="1"/>
  <c r="Y1731" i="1" s="1"/>
  <c r="X1719" i="1"/>
  <c r="Y1719" i="1" s="1"/>
  <c r="X1707" i="1"/>
  <c r="Y1707" i="1" s="1"/>
  <c r="X1695" i="1"/>
  <c r="Y1695" i="1" s="1"/>
  <c r="X1683" i="1"/>
  <c r="Y1683" i="1" s="1"/>
  <c r="X1671" i="1"/>
  <c r="Y1671" i="1" s="1"/>
  <c r="X1659" i="1"/>
  <c r="Y1659" i="1" s="1"/>
  <c r="X1647" i="1"/>
  <c r="Y1647" i="1" s="1"/>
  <c r="X1635" i="1"/>
  <c r="Y1635" i="1" s="1"/>
  <c r="X1623" i="1"/>
  <c r="Y1623" i="1" s="1"/>
  <c r="X1611" i="1"/>
  <c r="Y1611" i="1" s="1"/>
  <c r="X1599" i="1"/>
  <c r="Y1599" i="1" s="1"/>
  <c r="X1587" i="1"/>
  <c r="Y1587" i="1" s="1"/>
  <c r="X1575" i="1"/>
  <c r="Y1575" i="1" s="1"/>
  <c r="X1563" i="1"/>
  <c r="Y1563" i="1" s="1"/>
  <c r="X1551" i="1"/>
  <c r="Y1551" i="1" s="1"/>
  <c r="X1539" i="1"/>
  <c r="Y1539" i="1" s="1"/>
  <c r="X1527" i="1"/>
  <c r="Y1527" i="1" s="1"/>
  <c r="X1515" i="1"/>
  <c r="Y1515" i="1" s="1"/>
  <c r="X1503" i="1"/>
  <c r="Y1503" i="1" s="1"/>
  <c r="X1491" i="1"/>
  <c r="Y1491" i="1" s="1"/>
  <c r="X1479" i="1"/>
  <c r="Y1479" i="1" s="1"/>
  <c r="X1467" i="1"/>
  <c r="Y1467" i="1" s="1"/>
  <c r="X1455" i="1"/>
  <c r="Y1455" i="1" s="1"/>
  <c r="X1443" i="1"/>
  <c r="Y1443" i="1" s="1"/>
  <c r="X1431" i="1"/>
  <c r="Y1431" i="1" s="1"/>
  <c r="X1419" i="1"/>
  <c r="Y1419" i="1" s="1"/>
  <c r="X1407" i="1"/>
  <c r="Y1407" i="1" s="1"/>
  <c r="X1395" i="1"/>
  <c r="Y1395" i="1" s="1"/>
  <c r="X1383" i="1"/>
  <c r="Y1383" i="1" s="1"/>
  <c r="X1371" i="1"/>
  <c r="Y1371" i="1" s="1"/>
  <c r="X1359" i="1"/>
  <c r="Y1359" i="1" s="1"/>
  <c r="X1347" i="1"/>
  <c r="Y1347" i="1" s="1"/>
  <c r="X1335" i="1"/>
  <c r="Y1335" i="1" s="1"/>
  <c r="X1323" i="1"/>
  <c r="Y1323" i="1" s="1"/>
  <c r="X1311" i="1"/>
  <c r="Y1311" i="1" s="1"/>
  <c r="X1299" i="1"/>
  <c r="Y1299" i="1" s="1"/>
  <c r="X1287" i="1"/>
  <c r="Y1287" i="1" s="1"/>
  <c r="X1275" i="1"/>
  <c r="Y1275" i="1" s="1"/>
  <c r="X1263" i="1"/>
  <c r="Y1263" i="1" s="1"/>
  <c r="X1251" i="1"/>
  <c r="Y1251" i="1" s="1"/>
  <c r="X1239" i="1"/>
  <c r="Y1239" i="1" s="1"/>
  <c r="X1227" i="1"/>
  <c r="Y1227" i="1" s="1"/>
  <c r="X1215" i="1"/>
  <c r="Y1215" i="1" s="1"/>
  <c r="X1203" i="1"/>
  <c r="Y1203" i="1" s="1"/>
  <c r="X1191" i="1"/>
  <c r="Y1191" i="1" s="1"/>
  <c r="X2366" i="1"/>
  <c r="Y2366" i="1" s="1"/>
  <c r="X2354" i="1"/>
  <c r="Y2354" i="1" s="1"/>
  <c r="X2342" i="1"/>
  <c r="Y2342" i="1" s="1"/>
  <c r="X2330" i="1"/>
  <c r="Y2330" i="1" s="1"/>
  <c r="X2318" i="1"/>
  <c r="Y2318" i="1" s="1"/>
  <c r="X2306" i="1"/>
  <c r="Y2306" i="1" s="1"/>
  <c r="X2294" i="1"/>
  <c r="Y2294" i="1" s="1"/>
  <c r="X2282" i="1"/>
  <c r="Y2282" i="1" s="1"/>
  <c r="X2270" i="1"/>
  <c r="Y2270" i="1" s="1"/>
  <c r="X2258" i="1"/>
  <c r="Y2258" i="1" s="1"/>
  <c r="X2246" i="1"/>
  <c r="Y2246" i="1" s="1"/>
  <c r="X2234" i="1"/>
  <c r="Y2234" i="1" s="1"/>
  <c r="X2222" i="1"/>
  <c r="Y2222" i="1" s="1"/>
  <c r="X2210" i="1"/>
  <c r="Y2210" i="1" s="1"/>
  <c r="X2198" i="1"/>
  <c r="Y2198" i="1" s="1"/>
  <c r="X2186" i="1"/>
  <c r="Y2186" i="1" s="1"/>
  <c r="X2174" i="1"/>
  <c r="Y2174" i="1" s="1"/>
  <c r="X2162" i="1"/>
  <c r="Y2162" i="1" s="1"/>
  <c r="X2150" i="1"/>
  <c r="Y2150" i="1" s="1"/>
  <c r="X2138" i="1"/>
  <c r="Y2138" i="1" s="1"/>
  <c r="X2126" i="1"/>
  <c r="Y2126" i="1" s="1"/>
  <c r="X2114" i="1"/>
  <c r="Y2114" i="1" s="1"/>
  <c r="X2102" i="1"/>
  <c r="Y2102" i="1" s="1"/>
  <c r="X2090" i="1"/>
  <c r="Y2090" i="1" s="1"/>
  <c r="X2078" i="1"/>
  <c r="Y2078" i="1" s="1"/>
  <c r="X2066" i="1"/>
  <c r="Y2066" i="1" s="1"/>
  <c r="X2054" i="1"/>
  <c r="Y2054" i="1" s="1"/>
  <c r="X2042" i="1"/>
  <c r="Y2042" i="1" s="1"/>
  <c r="X2030" i="1"/>
  <c r="Y2030" i="1" s="1"/>
  <c r="X2018" i="1"/>
  <c r="Y2018" i="1" s="1"/>
  <c r="X2006" i="1"/>
  <c r="Y2006" i="1" s="1"/>
  <c r="X1994" i="1"/>
  <c r="Y1994" i="1" s="1"/>
  <c r="X1982" i="1"/>
  <c r="Y1982" i="1" s="1"/>
  <c r="X1970" i="1"/>
  <c r="Y1970" i="1" s="1"/>
  <c r="X1958" i="1"/>
  <c r="Y1958" i="1" s="1"/>
  <c r="X1946" i="1"/>
  <c r="Y1946" i="1" s="1"/>
  <c r="X1934" i="1"/>
  <c r="Y1934" i="1" s="1"/>
  <c r="X1922" i="1"/>
  <c r="Y1922" i="1" s="1"/>
  <c r="X1910" i="1"/>
  <c r="Y1910" i="1" s="1"/>
  <c r="X1898" i="1"/>
  <c r="Y1898" i="1" s="1"/>
  <c r="X1886" i="1"/>
  <c r="Y1886" i="1" s="1"/>
  <c r="X1874" i="1"/>
  <c r="Y1874" i="1" s="1"/>
  <c r="X1862" i="1"/>
  <c r="Y1862" i="1" s="1"/>
  <c r="X1850" i="1"/>
  <c r="Y1850" i="1" s="1"/>
  <c r="X1838" i="1"/>
  <c r="Y1838" i="1" s="1"/>
  <c r="X1826" i="1"/>
  <c r="Y1826" i="1" s="1"/>
  <c r="X1814" i="1"/>
  <c r="Y1814" i="1" s="1"/>
  <c r="X1802" i="1"/>
  <c r="Y1802" i="1" s="1"/>
  <c r="X1790" i="1"/>
  <c r="Y1790" i="1" s="1"/>
  <c r="X1778" i="1"/>
  <c r="Y1778" i="1" s="1"/>
  <c r="X1766" i="1"/>
  <c r="Y1766" i="1" s="1"/>
  <c r="X1754" i="1"/>
  <c r="Y1754" i="1" s="1"/>
  <c r="X1742" i="1"/>
  <c r="Y1742" i="1" s="1"/>
  <c r="X1730" i="1"/>
  <c r="Y1730" i="1" s="1"/>
  <c r="X1718" i="1"/>
  <c r="Y1718" i="1" s="1"/>
  <c r="X1706" i="1"/>
  <c r="Y1706" i="1" s="1"/>
  <c r="X1694" i="1"/>
  <c r="Y1694" i="1" s="1"/>
  <c r="X1682" i="1"/>
  <c r="Y1682" i="1" s="1"/>
  <c r="X1670" i="1"/>
  <c r="Y1670" i="1" s="1"/>
  <c r="X1658" i="1"/>
  <c r="Y1658" i="1" s="1"/>
  <c r="X1646" i="1"/>
  <c r="Y1646" i="1" s="1"/>
  <c r="X1634" i="1"/>
  <c r="Y1634" i="1" s="1"/>
  <c r="X1622" i="1"/>
  <c r="Y1622" i="1" s="1"/>
  <c r="X1610" i="1"/>
  <c r="Y1610" i="1" s="1"/>
  <c r="X1598" i="1"/>
  <c r="Y1598" i="1" s="1"/>
  <c r="X1586" i="1"/>
  <c r="Y1586" i="1" s="1"/>
  <c r="X1574" i="1"/>
  <c r="Y1574" i="1" s="1"/>
  <c r="X1562" i="1"/>
  <c r="Y1562" i="1" s="1"/>
  <c r="X1550" i="1"/>
  <c r="Y1550" i="1" s="1"/>
  <c r="X1538" i="1"/>
  <c r="Y1538" i="1" s="1"/>
  <c r="X1526" i="1"/>
  <c r="Y1526" i="1" s="1"/>
  <c r="X1514" i="1"/>
  <c r="Y1514" i="1" s="1"/>
  <c r="X1502" i="1"/>
  <c r="Y1502" i="1" s="1"/>
  <c r="X1490" i="1"/>
  <c r="Y1490" i="1" s="1"/>
  <c r="X1478" i="1"/>
  <c r="Y1478" i="1" s="1"/>
  <c r="X1466" i="1"/>
  <c r="Y1466" i="1" s="1"/>
  <c r="X1454" i="1"/>
  <c r="Y1454" i="1" s="1"/>
  <c r="X1442" i="1"/>
  <c r="Y1442" i="1" s="1"/>
  <c r="X1430" i="1"/>
  <c r="Y1430" i="1" s="1"/>
  <c r="X1418" i="1"/>
  <c r="Y1418" i="1" s="1"/>
  <c r="X1406" i="1"/>
  <c r="Y1406" i="1" s="1"/>
  <c r="X1394" i="1"/>
  <c r="Y1394" i="1" s="1"/>
  <c r="X1382" i="1"/>
  <c r="Y1382" i="1" s="1"/>
  <c r="X1370" i="1"/>
  <c r="Y1370" i="1" s="1"/>
  <c r="X1358" i="1"/>
  <c r="Y1358" i="1" s="1"/>
  <c r="X1346" i="1"/>
  <c r="Y1346" i="1" s="1"/>
  <c r="X1334" i="1"/>
  <c r="Y1334" i="1" s="1"/>
  <c r="X1322" i="1"/>
  <c r="Y1322" i="1" s="1"/>
  <c r="X1310" i="1"/>
  <c r="Y1310" i="1" s="1"/>
  <c r="X1298" i="1"/>
  <c r="Y1298" i="1" s="1"/>
  <c r="X1286" i="1"/>
  <c r="Y1286" i="1" s="1"/>
  <c r="X1274" i="1"/>
  <c r="Y1274" i="1" s="1"/>
  <c r="X1262" i="1"/>
  <c r="Y1262" i="1" s="1"/>
  <c r="X1250" i="1"/>
  <c r="Y1250" i="1" s="1"/>
  <c r="X1238" i="1"/>
  <c r="Y1238" i="1" s="1"/>
  <c r="X1226" i="1"/>
  <c r="Y1226" i="1" s="1"/>
  <c r="X1214" i="1"/>
  <c r="Y1214" i="1" s="1"/>
  <c r="X1202" i="1"/>
  <c r="Y1202" i="1" s="1"/>
  <c r="X1190" i="1"/>
  <c r="Y1190" i="1" s="1"/>
  <c r="X1178" i="1"/>
  <c r="Y1178" i="1" s="1"/>
  <c r="X1166" i="1"/>
  <c r="Y1166" i="1" s="1"/>
  <c r="X1154" i="1"/>
  <c r="Y1154" i="1" s="1"/>
  <c r="X1142" i="1"/>
  <c r="Y1142" i="1" s="1"/>
  <c r="X1130" i="1"/>
  <c r="Y1130" i="1" s="1"/>
  <c r="X1118" i="1"/>
  <c r="Y1118" i="1" s="1"/>
  <c r="X1106" i="1"/>
  <c r="Y1106" i="1" s="1"/>
  <c r="X2053" i="1"/>
  <c r="Y2053" i="1" s="1"/>
  <c r="X2041" i="1"/>
  <c r="Y2041" i="1" s="1"/>
  <c r="X2029" i="1"/>
  <c r="Y2029" i="1" s="1"/>
  <c r="X2017" i="1"/>
  <c r="Y2017" i="1" s="1"/>
  <c r="X2005" i="1"/>
  <c r="Y2005" i="1" s="1"/>
  <c r="X1993" i="1"/>
  <c r="Y1993" i="1" s="1"/>
  <c r="X1981" i="1"/>
  <c r="Y1981" i="1" s="1"/>
  <c r="X1969" i="1"/>
  <c r="Y1969" i="1" s="1"/>
  <c r="X1957" i="1"/>
  <c r="Y1957" i="1" s="1"/>
  <c r="X1945" i="1"/>
  <c r="Y1945" i="1" s="1"/>
  <c r="X1933" i="1"/>
  <c r="Y1933" i="1" s="1"/>
  <c r="X1921" i="1"/>
  <c r="Y1921" i="1" s="1"/>
  <c r="X1909" i="1"/>
  <c r="Y1909" i="1" s="1"/>
  <c r="X1897" i="1"/>
  <c r="Y1897" i="1" s="1"/>
  <c r="X1885" i="1"/>
  <c r="Y1885" i="1" s="1"/>
  <c r="X1873" i="1"/>
  <c r="Y1873" i="1" s="1"/>
  <c r="X1861" i="1"/>
  <c r="Y1861" i="1" s="1"/>
  <c r="X1849" i="1"/>
  <c r="Y1849" i="1" s="1"/>
  <c r="X1837" i="1"/>
  <c r="Y1837" i="1" s="1"/>
  <c r="X1825" i="1"/>
  <c r="Y1825" i="1" s="1"/>
  <c r="X1813" i="1"/>
  <c r="Y1813" i="1" s="1"/>
  <c r="X1801" i="1"/>
  <c r="Y1801" i="1" s="1"/>
  <c r="X1789" i="1"/>
  <c r="Y1789" i="1" s="1"/>
  <c r="X1777" i="1"/>
  <c r="Y1777" i="1" s="1"/>
  <c r="X1765" i="1"/>
  <c r="Y1765" i="1" s="1"/>
  <c r="X1753" i="1"/>
  <c r="Y1753" i="1" s="1"/>
  <c r="X1741" i="1"/>
  <c r="Y1741" i="1" s="1"/>
  <c r="X1729" i="1"/>
  <c r="Y1729" i="1" s="1"/>
  <c r="X1717" i="1"/>
  <c r="Y1717" i="1" s="1"/>
  <c r="X1705" i="1"/>
  <c r="Y1705" i="1" s="1"/>
  <c r="X1693" i="1"/>
  <c r="Y1693" i="1" s="1"/>
  <c r="X1681" i="1"/>
  <c r="Y1681" i="1" s="1"/>
  <c r="X1669" i="1"/>
  <c r="Y1669" i="1" s="1"/>
  <c r="X1657" i="1"/>
  <c r="Y1657" i="1" s="1"/>
  <c r="X1645" i="1"/>
  <c r="Y1645" i="1" s="1"/>
  <c r="X1633" i="1"/>
  <c r="Y1633" i="1" s="1"/>
  <c r="X1621" i="1"/>
  <c r="Y1621" i="1" s="1"/>
  <c r="X1609" i="1"/>
  <c r="Y1609" i="1" s="1"/>
  <c r="X1597" i="1"/>
  <c r="Y1597" i="1" s="1"/>
  <c r="X1585" i="1"/>
  <c r="Y1585" i="1" s="1"/>
  <c r="X1573" i="1"/>
  <c r="Y1573" i="1" s="1"/>
  <c r="X1561" i="1"/>
  <c r="Y1561" i="1" s="1"/>
  <c r="X1549" i="1"/>
  <c r="Y1549" i="1" s="1"/>
  <c r="X1537" i="1"/>
  <c r="Y1537" i="1" s="1"/>
  <c r="X1525" i="1"/>
  <c r="Y1525" i="1" s="1"/>
  <c r="X1513" i="1"/>
  <c r="Y1513" i="1" s="1"/>
  <c r="X1501" i="1"/>
  <c r="Y1501" i="1" s="1"/>
  <c r="X1489" i="1"/>
  <c r="Y1489" i="1" s="1"/>
  <c r="X1477" i="1"/>
  <c r="Y1477" i="1" s="1"/>
  <c r="X1465" i="1"/>
  <c r="Y1465" i="1" s="1"/>
  <c r="X1453" i="1"/>
  <c r="Y1453" i="1" s="1"/>
  <c r="X1441" i="1"/>
  <c r="Y1441" i="1" s="1"/>
  <c r="X1429" i="1"/>
  <c r="Y1429" i="1" s="1"/>
  <c r="X1417" i="1"/>
  <c r="Y1417" i="1" s="1"/>
  <c r="X1405" i="1"/>
  <c r="Y1405" i="1" s="1"/>
  <c r="X1393" i="1"/>
  <c r="Y1393" i="1" s="1"/>
  <c r="X1381" i="1"/>
  <c r="Y1381" i="1" s="1"/>
  <c r="X1369" i="1"/>
  <c r="Y1369" i="1" s="1"/>
  <c r="X1357" i="1"/>
  <c r="Y1357" i="1" s="1"/>
  <c r="X1345" i="1"/>
  <c r="Y1345" i="1" s="1"/>
  <c r="X1333" i="1"/>
  <c r="Y1333" i="1" s="1"/>
  <c r="X1321" i="1"/>
  <c r="Y1321" i="1" s="1"/>
  <c r="X1309" i="1"/>
  <c r="Y1309" i="1" s="1"/>
  <c r="X1297" i="1"/>
  <c r="Y1297" i="1" s="1"/>
  <c r="X1285" i="1"/>
  <c r="Y1285" i="1" s="1"/>
  <c r="X1273" i="1"/>
  <c r="Y1273" i="1" s="1"/>
  <c r="X1261" i="1"/>
  <c r="Y1261" i="1" s="1"/>
  <c r="X1249" i="1"/>
  <c r="Y1249" i="1" s="1"/>
  <c r="X1237" i="1"/>
  <c r="Y1237" i="1" s="1"/>
  <c r="X1225" i="1"/>
  <c r="Y1225" i="1" s="1"/>
  <c r="X1213" i="1"/>
  <c r="Y1213" i="1" s="1"/>
  <c r="X1201" i="1"/>
  <c r="Y1201" i="1" s="1"/>
  <c r="X1189" i="1"/>
  <c r="Y1189" i="1" s="1"/>
  <c r="X1177" i="1"/>
  <c r="Y1177" i="1" s="1"/>
  <c r="X1165" i="1"/>
  <c r="Y1165" i="1" s="1"/>
  <c r="X1153" i="1"/>
  <c r="Y1153" i="1" s="1"/>
  <c r="X1141" i="1"/>
  <c r="Y1141" i="1" s="1"/>
  <c r="X1129" i="1"/>
  <c r="Y1129" i="1" s="1"/>
  <c r="X1117" i="1"/>
  <c r="Y1117" i="1" s="1"/>
  <c r="X1105" i="1"/>
  <c r="Y1105" i="1" s="1"/>
  <c r="X1093" i="1"/>
  <c r="Y1093" i="1" s="1"/>
  <c r="X1081" i="1"/>
  <c r="Y1081" i="1" s="1"/>
  <c r="X1069" i="1"/>
  <c r="Y1069" i="1" s="1"/>
  <c r="X1057" i="1"/>
  <c r="Y1057" i="1" s="1"/>
  <c r="X1045" i="1"/>
  <c r="Y1045" i="1" s="1"/>
  <c r="X1033" i="1"/>
  <c r="Y1033" i="1" s="1"/>
  <c r="X1021" i="1"/>
  <c r="Y1021" i="1" s="1"/>
  <c r="X1009" i="1"/>
  <c r="Y1009" i="1" s="1"/>
  <c r="X997" i="1"/>
  <c r="Y997" i="1" s="1"/>
  <c r="X985" i="1"/>
  <c r="Y985" i="1" s="1"/>
  <c r="X973" i="1"/>
  <c r="Y973" i="1" s="1"/>
  <c r="X961" i="1"/>
  <c r="Y961" i="1" s="1"/>
  <c r="X949" i="1"/>
  <c r="Y949" i="1" s="1"/>
  <c r="X937" i="1"/>
  <c r="Y937" i="1" s="1"/>
  <c r="X925" i="1"/>
  <c r="Y925" i="1" s="1"/>
  <c r="X913" i="1"/>
  <c r="Y913" i="1" s="1"/>
  <c r="X901" i="1"/>
  <c r="Y901" i="1" s="1"/>
  <c r="X889" i="1"/>
  <c r="Y889" i="1" s="1"/>
  <c r="X877" i="1"/>
  <c r="Y877" i="1" s="1"/>
  <c r="X865" i="1"/>
  <c r="Y865" i="1" s="1"/>
  <c r="X853" i="1"/>
  <c r="Y853" i="1" s="1"/>
  <c r="X841" i="1"/>
  <c r="Y841" i="1" s="1"/>
  <c r="X829" i="1"/>
  <c r="Y829" i="1" s="1"/>
  <c r="X817" i="1"/>
  <c r="Y817" i="1" s="1"/>
  <c r="X805" i="1"/>
  <c r="Y805" i="1" s="1"/>
  <c r="X793" i="1"/>
  <c r="Y793" i="1" s="1"/>
  <c r="X781" i="1"/>
  <c r="Y781" i="1" s="1"/>
  <c r="X769" i="1"/>
  <c r="Y769" i="1" s="1"/>
  <c r="X757" i="1"/>
  <c r="Y757" i="1" s="1"/>
  <c r="X745" i="1"/>
  <c r="Y745" i="1" s="1"/>
  <c r="X733" i="1"/>
  <c r="Y733" i="1" s="1"/>
  <c r="X721" i="1"/>
  <c r="Y721" i="1" s="1"/>
  <c r="X709" i="1"/>
  <c r="Y709" i="1" s="1"/>
  <c r="X697" i="1"/>
  <c r="Y697" i="1" s="1"/>
  <c r="X685" i="1"/>
  <c r="Y685" i="1" s="1"/>
  <c r="X673" i="1"/>
  <c r="Y673" i="1" s="1"/>
  <c r="X661" i="1"/>
  <c r="Y661" i="1" s="1"/>
  <c r="X649" i="1"/>
  <c r="Y649" i="1" s="1"/>
  <c r="X637" i="1"/>
  <c r="Y637" i="1" s="1"/>
  <c r="X625" i="1"/>
  <c r="Y625" i="1" s="1"/>
  <c r="X613" i="1"/>
  <c r="Y613" i="1" s="1"/>
  <c r="X601" i="1"/>
  <c r="Y601" i="1" s="1"/>
  <c r="X589" i="1"/>
  <c r="Y589" i="1" s="1"/>
  <c r="X577" i="1"/>
  <c r="Y577" i="1" s="1"/>
  <c r="X565" i="1"/>
  <c r="Y565" i="1" s="1"/>
  <c r="X553" i="1"/>
  <c r="Y553" i="1" s="1"/>
  <c r="X541" i="1"/>
  <c r="Y541" i="1" s="1"/>
  <c r="X529" i="1"/>
  <c r="Y529" i="1" s="1"/>
  <c r="X517" i="1"/>
  <c r="Y517" i="1" s="1"/>
  <c r="X505" i="1"/>
  <c r="Y505" i="1" s="1"/>
  <c r="X493" i="1"/>
  <c r="Y493" i="1" s="1"/>
  <c r="X481" i="1"/>
  <c r="Y481" i="1" s="1"/>
  <c r="X469" i="1"/>
  <c r="Y469" i="1" s="1"/>
  <c r="X457" i="1"/>
  <c r="Y457" i="1" s="1"/>
  <c r="X445" i="1"/>
  <c r="Y445" i="1" s="1"/>
  <c r="X433" i="1"/>
  <c r="Y433" i="1" s="1"/>
  <c r="X421" i="1"/>
  <c r="Y421" i="1" s="1"/>
  <c r="X409" i="1"/>
  <c r="Y409" i="1" s="1"/>
  <c r="X397" i="1"/>
  <c r="Y397" i="1" s="1"/>
  <c r="X385" i="1"/>
  <c r="Y385" i="1" s="1"/>
  <c r="X373" i="1"/>
  <c r="Y373" i="1" s="1"/>
  <c r="X361" i="1"/>
  <c r="Y361" i="1" s="1"/>
  <c r="X349" i="1"/>
  <c r="Y349" i="1" s="1"/>
  <c r="X337" i="1"/>
  <c r="Y337" i="1" s="1"/>
  <c r="X325" i="1"/>
  <c r="Y325" i="1" s="1"/>
  <c r="X313" i="1"/>
  <c r="Y313" i="1" s="1"/>
  <c r="X301" i="1"/>
  <c r="Y301" i="1" s="1"/>
  <c r="X289" i="1"/>
  <c r="Y289" i="1" s="1"/>
  <c r="X277" i="1"/>
  <c r="Y277" i="1" s="1"/>
  <c r="X265" i="1"/>
  <c r="Y265" i="1" s="1"/>
  <c r="X253" i="1"/>
  <c r="Y253" i="1" s="1"/>
  <c r="X241" i="1"/>
  <c r="Y241" i="1" s="1"/>
  <c r="X229" i="1"/>
  <c r="Y229" i="1" s="1"/>
  <c r="X217" i="1"/>
  <c r="Y217" i="1" s="1"/>
  <c r="X205" i="1"/>
  <c r="Y205" i="1" s="1"/>
  <c r="X193" i="1"/>
  <c r="Y193" i="1" s="1"/>
  <c r="X181" i="1"/>
  <c r="Y181" i="1" s="1"/>
  <c r="X169" i="1"/>
  <c r="Y169" i="1" s="1"/>
  <c r="X2664" i="1"/>
  <c r="Y2664" i="1" s="1"/>
  <c r="X2652" i="1"/>
  <c r="Y2652" i="1" s="1"/>
  <c r="X2640" i="1"/>
  <c r="Y2640" i="1" s="1"/>
  <c r="X2628" i="1"/>
  <c r="Y2628" i="1" s="1"/>
  <c r="X2616" i="1"/>
  <c r="Y2616" i="1" s="1"/>
  <c r="X2604" i="1"/>
  <c r="Y2604" i="1" s="1"/>
  <c r="X2592" i="1"/>
  <c r="Y2592" i="1" s="1"/>
  <c r="X2580" i="1"/>
  <c r="Y2580" i="1" s="1"/>
  <c r="X2568" i="1"/>
  <c r="Y2568" i="1" s="1"/>
  <c r="X2556" i="1"/>
  <c r="Y2556" i="1" s="1"/>
  <c r="X2544" i="1"/>
  <c r="Y2544" i="1" s="1"/>
  <c r="X2532" i="1"/>
  <c r="Y2532" i="1" s="1"/>
  <c r="X2520" i="1"/>
  <c r="Y2520" i="1" s="1"/>
  <c r="X2508" i="1"/>
  <c r="Y2508" i="1" s="1"/>
  <c r="X2496" i="1"/>
  <c r="Y2496" i="1" s="1"/>
  <c r="X2484" i="1"/>
  <c r="Y2484" i="1" s="1"/>
  <c r="X2472" i="1"/>
  <c r="Y2472" i="1" s="1"/>
  <c r="X2460" i="1"/>
  <c r="Y2460" i="1" s="1"/>
  <c r="X2448" i="1"/>
  <c r="Y2448" i="1" s="1"/>
  <c r="X2436" i="1"/>
  <c r="Y2436" i="1" s="1"/>
  <c r="X2424" i="1"/>
  <c r="Y2424" i="1" s="1"/>
  <c r="X2412" i="1"/>
  <c r="Y2412" i="1" s="1"/>
  <c r="X2400" i="1"/>
  <c r="Y2400" i="1" s="1"/>
  <c r="X2388" i="1"/>
  <c r="Y2388" i="1" s="1"/>
  <c r="X2376" i="1"/>
  <c r="Y2376" i="1" s="1"/>
  <c r="X2364" i="1"/>
  <c r="Y2364" i="1" s="1"/>
  <c r="X2352" i="1"/>
  <c r="Y2352" i="1" s="1"/>
  <c r="X2340" i="1"/>
  <c r="Y2340" i="1" s="1"/>
  <c r="X2328" i="1"/>
  <c r="Y2328" i="1" s="1"/>
  <c r="X2316" i="1"/>
  <c r="Y2316" i="1" s="1"/>
  <c r="X2304" i="1"/>
  <c r="Y2304" i="1" s="1"/>
  <c r="X2292" i="1"/>
  <c r="Y2292" i="1" s="1"/>
  <c r="X2280" i="1"/>
  <c r="Y2280" i="1" s="1"/>
  <c r="X2268" i="1"/>
  <c r="Y2268" i="1" s="1"/>
  <c r="X2256" i="1"/>
  <c r="Y2256" i="1" s="1"/>
  <c r="X2244" i="1"/>
  <c r="Y2244" i="1" s="1"/>
  <c r="X2232" i="1"/>
  <c r="Y2232" i="1" s="1"/>
  <c r="X2220" i="1"/>
  <c r="Y2220" i="1" s="1"/>
  <c r="X2208" i="1"/>
  <c r="Y2208" i="1" s="1"/>
  <c r="X2196" i="1"/>
  <c r="Y2196" i="1" s="1"/>
  <c r="X2184" i="1"/>
  <c r="Y2184" i="1" s="1"/>
  <c r="X2172" i="1"/>
  <c r="Y2172" i="1" s="1"/>
  <c r="X2160" i="1"/>
  <c r="Y2160" i="1" s="1"/>
  <c r="X2148" i="1"/>
  <c r="Y2148" i="1" s="1"/>
  <c r="X2136" i="1"/>
  <c r="Y2136" i="1" s="1"/>
  <c r="X2124" i="1"/>
  <c r="Y2124" i="1" s="1"/>
  <c r="X2112" i="1"/>
  <c r="Y2112" i="1" s="1"/>
  <c r="X2100" i="1"/>
  <c r="Y2100" i="1" s="1"/>
  <c r="X2088" i="1"/>
  <c r="Y2088" i="1" s="1"/>
  <c r="X2076" i="1"/>
  <c r="Y2076" i="1" s="1"/>
  <c r="X2064" i="1"/>
  <c r="Y2064" i="1" s="1"/>
  <c r="X2052" i="1"/>
  <c r="Y2052" i="1" s="1"/>
  <c r="X2040" i="1"/>
  <c r="Y2040" i="1" s="1"/>
  <c r="X2028" i="1"/>
  <c r="Y2028" i="1" s="1"/>
  <c r="X2016" i="1"/>
  <c r="Y2016" i="1" s="1"/>
  <c r="X2004" i="1"/>
  <c r="Y2004" i="1" s="1"/>
  <c r="X1992" i="1"/>
  <c r="Y1992" i="1" s="1"/>
  <c r="X1980" i="1"/>
  <c r="Y1980" i="1" s="1"/>
  <c r="X1968" i="1"/>
  <c r="Y1968" i="1" s="1"/>
  <c r="X1956" i="1"/>
  <c r="Y1956" i="1" s="1"/>
  <c r="X1944" i="1"/>
  <c r="Y1944" i="1" s="1"/>
  <c r="X1932" i="1"/>
  <c r="Y1932" i="1" s="1"/>
  <c r="X1920" i="1"/>
  <c r="Y1920" i="1" s="1"/>
  <c r="X1908" i="1"/>
  <c r="Y1908" i="1" s="1"/>
  <c r="X1896" i="1"/>
  <c r="Y1896" i="1" s="1"/>
  <c r="X1884" i="1"/>
  <c r="Y1884" i="1" s="1"/>
  <c r="X1872" i="1"/>
  <c r="Y1872" i="1" s="1"/>
  <c r="X1860" i="1"/>
  <c r="Y1860" i="1" s="1"/>
  <c r="X1848" i="1"/>
  <c r="Y1848" i="1" s="1"/>
  <c r="X1836" i="1"/>
  <c r="Y1836" i="1" s="1"/>
  <c r="X1824" i="1"/>
  <c r="Y1824" i="1" s="1"/>
  <c r="X1812" i="1"/>
  <c r="Y1812" i="1" s="1"/>
  <c r="X1800" i="1"/>
  <c r="Y1800" i="1" s="1"/>
  <c r="X1788" i="1"/>
  <c r="Y1788" i="1" s="1"/>
  <c r="X1776" i="1"/>
  <c r="Y1776" i="1" s="1"/>
  <c r="X1764" i="1"/>
  <c r="Y1764" i="1" s="1"/>
  <c r="X1752" i="1"/>
  <c r="Y1752" i="1" s="1"/>
  <c r="X1740" i="1"/>
  <c r="Y1740" i="1" s="1"/>
  <c r="X1728" i="1"/>
  <c r="Y1728" i="1" s="1"/>
  <c r="X1716" i="1"/>
  <c r="Y1716" i="1" s="1"/>
  <c r="X1704" i="1"/>
  <c r="Y1704" i="1" s="1"/>
  <c r="X1692" i="1"/>
  <c r="Y1692" i="1" s="1"/>
  <c r="X1680" i="1"/>
  <c r="Y1680" i="1" s="1"/>
  <c r="X1668" i="1"/>
  <c r="Y1668" i="1" s="1"/>
  <c r="X1656" i="1"/>
  <c r="Y1656" i="1" s="1"/>
  <c r="X1644" i="1"/>
  <c r="Y1644" i="1" s="1"/>
  <c r="X1632" i="1"/>
  <c r="Y1632" i="1" s="1"/>
  <c r="X1620" i="1"/>
  <c r="Y1620" i="1" s="1"/>
  <c r="X1608" i="1"/>
  <c r="Y1608" i="1" s="1"/>
  <c r="X1596" i="1"/>
  <c r="Y1596" i="1" s="1"/>
  <c r="X1584" i="1"/>
  <c r="Y1584" i="1" s="1"/>
  <c r="X1572" i="1"/>
  <c r="Y1572" i="1" s="1"/>
  <c r="X1560" i="1"/>
  <c r="Y1560" i="1" s="1"/>
  <c r="X1548" i="1"/>
  <c r="Y1548" i="1" s="1"/>
  <c r="X1536" i="1"/>
  <c r="Y1536" i="1" s="1"/>
  <c r="X1524" i="1"/>
  <c r="Y1524" i="1" s="1"/>
  <c r="X1512" i="1"/>
  <c r="Y1512" i="1" s="1"/>
  <c r="X1500" i="1"/>
  <c r="Y1500" i="1" s="1"/>
  <c r="X1488" i="1"/>
  <c r="Y1488" i="1" s="1"/>
  <c r="X1476" i="1"/>
  <c r="Y1476" i="1" s="1"/>
  <c r="X1464" i="1"/>
  <c r="Y1464" i="1" s="1"/>
  <c r="X1452" i="1"/>
  <c r="Y1452" i="1" s="1"/>
  <c r="X1440" i="1"/>
  <c r="Y1440" i="1" s="1"/>
  <c r="X1428" i="1"/>
  <c r="Y1428" i="1" s="1"/>
  <c r="X1416" i="1"/>
  <c r="Y1416" i="1" s="1"/>
  <c r="X1404" i="1"/>
  <c r="Y1404" i="1" s="1"/>
  <c r="X1392" i="1"/>
  <c r="Y1392" i="1" s="1"/>
  <c r="X1380" i="1"/>
  <c r="Y1380" i="1" s="1"/>
  <c r="X1368" i="1"/>
  <c r="Y1368" i="1" s="1"/>
  <c r="X1356" i="1"/>
  <c r="Y1356" i="1" s="1"/>
  <c r="X1344" i="1"/>
  <c r="Y1344" i="1" s="1"/>
  <c r="X1332" i="1"/>
  <c r="Y1332" i="1" s="1"/>
  <c r="X1320" i="1"/>
  <c r="Y1320" i="1" s="1"/>
  <c r="X1308" i="1"/>
  <c r="Y1308" i="1" s="1"/>
  <c r="X1296" i="1"/>
  <c r="Y1296" i="1" s="1"/>
  <c r="X1284" i="1"/>
  <c r="Y1284" i="1" s="1"/>
  <c r="X1272" i="1"/>
  <c r="Y1272" i="1" s="1"/>
  <c r="X1260" i="1"/>
  <c r="Y1260" i="1" s="1"/>
  <c r="X1248" i="1"/>
  <c r="Y1248" i="1" s="1"/>
  <c r="X1236" i="1"/>
  <c r="Y1236" i="1" s="1"/>
  <c r="X1224" i="1"/>
  <c r="Y1224" i="1" s="1"/>
  <c r="X1212" i="1"/>
  <c r="Y1212" i="1" s="1"/>
  <c r="X1200" i="1"/>
  <c r="Y1200" i="1" s="1"/>
  <c r="X1188" i="1"/>
  <c r="Y1188" i="1" s="1"/>
  <c r="X1176" i="1"/>
  <c r="Y1176" i="1" s="1"/>
  <c r="X1164" i="1"/>
  <c r="Y1164" i="1" s="1"/>
  <c r="X1152" i="1"/>
  <c r="Y1152" i="1" s="1"/>
  <c r="X1140" i="1"/>
  <c r="Y1140" i="1" s="1"/>
  <c r="X1128" i="1"/>
  <c r="Y1128" i="1" s="1"/>
  <c r="X1116" i="1"/>
  <c r="Y1116" i="1" s="1"/>
  <c r="X1104" i="1"/>
  <c r="Y1104" i="1" s="1"/>
  <c r="X1092" i="1"/>
  <c r="Y1092" i="1" s="1"/>
  <c r="X1080" i="1"/>
  <c r="Y1080" i="1" s="1"/>
  <c r="X1068" i="1"/>
  <c r="Y1068" i="1" s="1"/>
  <c r="X1056" i="1"/>
  <c r="Y1056" i="1" s="1"/>
  <c r="X1044" i="1"/>
  <c r="Y1044" i="1" s="1"/>
  <c r="X1032" i="1"/>
  <c r="Y1032" i="1" s="1"/>
  <c r="X1020" i="1"/>
  <c r="Y1020" i="1" s="1"/>
  <c r="X1008" i="1"/>
  <c r="Y1008" i="1" s="1"/>
  <c r="X1487" i="1"/>
  <c r="Y1487" i="1" s="1"/>
  <c r="X1475" i="1"/>
  <c r="Y1475" i="1" s="1"/>
  <c r="X1463" i="1"/>
  <c r="Y1463" i="1" s="1"/>
  <c r="X1451" i="1"/>
  <c r="Y1451" i="1" s="1"/>
  <c r="X1439" i="1"/>
  <c r="Y1439" i="1" s="1"/>
  <c r="X1427" i="1"/>
  <c r="Y1427" i="1" s="1"/>
  <c r="X1415" i="1"/>
  <c r="Y1415" i="1" s="1"/>
  <c r="X1403" i="1"/>
  <c r="Y1403" i="1" s="1"/>
  <c r="X1391" i="1"/>
  <c r="Y1391" i="1" s="1"/>
  <c r="X1379" i="1"/>
  <c r="Y1379" i="1" s="1"/>
  <c r="X1367" i="1"/>
  <c r="Y1367" i="1" s="1"/>
  <c r="X1355" i="1"/>
  <c r="Y1355" i="1" s="1"/>
  <c r="X1343" i="1"/>
  <c r="Y1343" i="1" s="1"/>
  <c r="X1331" i="1"/>
  <c r="Y1331" i="1" s="1"/>
  <c r="X1319" i="1"/>
  <c r="Y1319" i="1" s="1"/>
  <c r="X1307" i="1"/>
  <c r="Y1307" i="1" s="1"/>
  <c r="X1295" i="1"/>
  <c r="Y1295" i="1" s="1"/>
  <c r="X1283" i="1"/>
  <c r="Y1283" i="1" s="1"/>
  <c r="X1271" i="1"/>
  <c r="Y1271" i="1" s="1"/>
  <c r="X1259" i="1"/>
  <c r="Y1259" i="1" s="1"/>
  <c r="X1247" i="1"/>
  <c r="Y1247" i="1" s="1"/>
  <c r="X1235" i="1"/>
  <c r="Y1235" i="1" s="1"/>
  <c r="X1223" i="1"/>
  <c r="Y1223" i="1" s="1"/>
  <c r="X1211" i="1"/>
  <c r="Y1211" i="1" s="1"/>
  <c r="X1199" i="1"/>
  <c r="Y1199" i="1" s="1"/>
  <c r="X1187" i="1"/>
  <c r="Y1187" i="1" s="1"/>
  <c r="X1175" i="1"/>
  <c r="Y1175" i="1" s="1"/>
  <c r="X1163" i="1"/>
  <c r="Y1163" i="1" s="1"/>
  <c r="X1151" i="1"/>
  <c r="Y1151" i="1" s="1"/>
  <c r="X1139" i="1"/>
  <c r="Y1139" i="1" s="1"/>
  <c r="X1127" i="1"/>
  <c r="Y1127" i="1" s="1"/>
  <c r="X1115" i="1"/>
  <c r="Y1115" i="1" s="1"/>
  <c r="X1542" i="1"/>
  <c r="Y1542" i="1" s="1"/>
  <c r="X1530" i="1"/>
  <c r="Y1530" i="1" s="1"/>
  <c r="X1518" i="1"/>
  <c r="Y1518" i="1" s="1"/>
  <c r="X1506" i="1"/>
  <c r="Y1506" i="1" s="1"/>
  <c r="X1494" i="1"/>
  <c r="Y1494" i="1" s="1"/>
  <c r="X1482" i="1"/>
  <c r="Y1482" i="1" s="1"/>
  <c r="X1470" i="1"/>
  <c r="Y1470" i="1" s="1"/>
  <c r="X1458" i="1"/>
  <c r="Y1458" i="1" s="1"/>
  <c r="X1446" i="1"/>
  <c r="Y1446" i="1" s="1"/>
  <c r="X1434" i="1"/>
  <c r="Y1434" i="1" s="1"/>
  <c r="X1422" i="1"/>
  <c r="Y1422" i="1" s="1"/>
  <c r="X1410" i="1"/>
  <c r="Y1410" i="1" s="1"/>
  <c r="X1398" i="1"/>
  <c r="Y1398" i="1" s="1"/>
  <c r="X1386" i="1"/>
  <c r="Y1386" i="1" s="1"/>
  <c r="X1374" i="1"/>
  <c r="Y1374" i="1" s="1"/>
  <c r="X1362" i="1"/>
  <c r="Y1362" i="1" s="1"/>
  <c r="X1350" i="1"/>
  <c r="Y1350" i="1" s="1"/>
  <c r="X1338" i="1"/>
  <c r="Y1338" i="1" s="1"/>
  <c r="X1326" i="1"/>
  <c r="Y1326" i="1" s="1"/>
  <c r="X1314" i="1"/>
  <c r="Y1314" i="1" s="1"/>
  <c r="X1302" i="1"/>
  <c r="Y1302" i="1" s="1"/>
  <c r="X1290" i="1"/>
  <c r="Y1290" i="1" s="1"/>
  <c r="X1278" i="1"/>
  <c r="Y1278" i="1" s="1"/>
  <c r="X1266" i="1"/>
  <c r="Y1266" i="1" s="1"/>
  <c r="X1254" i="1"/>
  <c r="Y1254" i="1" s="1"/>
  <c r="X1242" i="1"/>
  <c r="Y1242" i="1" s="1"/>
  <c r="X1230" i="1"/>
  <c r="Y1230" i="1" s="1"/>
  <c r="X1218" i="1"/>
  <c r="Y1218" i="1" s="1"/>
  <c r="X1206" i="1"/>
  <c r="Y1206" i="1" s="1"/>
  <c r="X1194" i="1"/>
  <c r="Y1194" i="1" s="1"/>
  <c r="X1182" i="1"/>
  <c r="Y1182" i="1" s="1"/>
  <c r="X1170" i="1"/>
  <c r="Y1170" i="1" s="1"/>
  <c r="X1158" i="1"/>
  <c r="Y1158" i="1" s="1"/>
  <c r="X1146" i="1"/>
  <c r="Y1146" i="1" s="1"/>
  <c r="X1134" i="1"/>
  <c r="Y1134" i="1" s="1"/>
  <c r="X1122" i="1"/>
  <c r="Y1122" i="1" s="1"/>
  <c r="X1110" i="1"/>
  <c r="Y1110" i="1" s="1"/>
  <c r="X1098" i="1"/>
  <c r="Y1098" i="1" s="1"/>
  <c r="X1086" i="1"/>
  <c r="Y1086" i="1" s="1"/>
  <c r="X1074" i="1"/>
  <c r="Y1074" i="1" s="1"/>
  <c r="X1062" i="1"/>
  <c r="Y1062" i="1" s="1"/>
  <c r="X1050" i="1"/>
  <c r="Y1050" i="1" s="1"/>
  <c r="X1038" i="1"/>
  <c r="Y1038" i="1" s="1"/>
  <c r="X1026" i="1"/>
  <c r="Y1026" i="1" s="1"/>
  <c r="X1014" i="1"/>
  <c r="Y1014" i="1" s="1"/>
  <c r="X1002" i="1"/>
  <c r="Y1002" i="1" s="1"/>
  <c r="X990" i="1"/>
  <c r="Y990" i="1" s="1"/>
  <c r="X978" i="1"/>
  <c r="Y978" i="1" s="1"/>
  <c r="X966" i="1"/>
  <c r="Y966" i="1" s="1"/>
  <c r="X954" i="1"/>
  <c r="Y954" i="1" s="1"/>
  <c r="X942" i="1"/>
  <c r="Y942" i="1" s="1"/>
  <c r="X930" i="1"/>
  <c r="Y930" i="1" s="1"/>
  <c r="X918" i="1"/>
  <c r="Y918" i="1" s="1"/>
  <c r="X906" i="1"/>
  <c r="Y906" i="1" s="1"/>
  <c r="X894" i="1"/>
  <c r="Y894" i="1" s="1"/>
  <c r="X882" i="1"/>
  <c r="Y882" i="1" s="1"/>
  <c r="X1769" i="1"/>
  <c r="Y1769" i="1" s="1"/>
  <c r="X1757" i="1"/>
  <c r="Y1757" i="1" s="1"/>
  <c r="X1745" i="1"/>
  <c r="Y1745" i="1" s="1"/>
  <c r="X1733" i="1"/>
  <c r="Y1733" i="1" s="1"/>
  <c r="X1721" i="1"/>
  <c r="Y1721" i="1" s="1"/>
  <c r="X1709" i="1"/>
  <c r="Y1709" i="1" s="1"/>
  <c r="X1697" i="1"/>
  <c r="Y1697" i="1" s="1"/>
  <c r="X1685" i="1"/>
  <c r="Y1685" i="1" s="1"/>
  <c r="X1673" i="1"/>
  <c r="Y1673" i="1" s="1"/>
  <c r="X1661" i="1"/>
  <c r="Y1661" i="1" s="1"/>
  <c r="X1649" i="1"/>
  <c r="Y1649" i="1" s="1"/>
  <c r="X1637" i="1"/>
  <c r="Y1637" i="1" s="1"/>
  <c r="X1625" i="1"/>
  <c r="Y1625" i="1" s="1"/>
  <c r="X1613" i="1"/>
  <c r="Y1613" i="1" s="1"/>
  <c r="X1601" i="1"/>
  <c r="Y1601" i="1" s="1"/>
  <c r="X1589" i="1"/>
  <c r="Y1589" i="1" s="1"/>
  <c r="X1577" i="1"/>
  <c r="Y1577" i="1" s="1"/>
  <c r="X1565" i="1"/>
  <c r="Y1565" i="1" s="1"/>
  <c r="X1553" i="1"/>
  <c r="Y1553" i="1" s="1"/>
  <c r="X1541" i="1"/>
  <c r="Y1541" i="1" s="1"/>
  <c r="X1529" i="1"/>
  <c r="Y1529" i="1" s="1"/>
  <c r="X1517" i="1"/>
  <c r="Y1517" i="1" s="1"/>
  <c r="X1505" i="1"/>
  <c r="Y1505" i="1" s="1"/>
  <c r="X1493" i="1"/>
  <c r="Y1493" i="1" s="1"/>
  <c r="X1481" i="1"/>
  <c r="Y1481" i="1" s="1"/>
  <c r="X1469" i="1"/>
  <c r="Y1469" i="1" s="1"/>
  <c r="X1457" i="1"/>
  <c r="Y1457" i="1" s="1"/>
  <c r="X1445" i="1"/>
  <c r="Y1445" i="1" s="1"/>
  <c r="X1433" i="1"/>
  <c r="Y1433" i="1" s="1"/>
  <c r="X1421" i="1"/>
  <c r="Y1421" i="1" s="1"/>
  <c r="X1409" i="1"/>
  <c r="Y1409" i="1" s="1"/>
  <c r="X1397" i="1"/>
  <c r="Y1397" i="1" s="1"/>
  <c r="X1385" i="1"/>
  <c r="Y1385" i="1" s="1"/>
  <c r="X1373" i="1"/>
  <c r="Y1373" i="1" s="1"/>
  <c r="X1361" i="1"/>
  <c r="Y1361" i="1" s="1"/>
  <c r="X1349" i="1"/>
  <c r="Y1349" i="1" s="1"/>
  <c r="X1337" i="1"/>
  <c r="Y1337" i="1" s="1"/>
  <c r="X1325" i="1"/>
  <c r="Y1325" i="1" s="1"/>
  <c r="X1313" i="1"/>
  <c r="Y1313" i="1" s="1"/>
  <c r="X1301" i="1"/>
  <c r="Y1301" i="1" s="1"/>
  <c r="X1289" i="1"/>
  <c r="Y1289" i="1" s="1"/>
  <c r="X1277" i="1"/>
  <c r="Y1277" i="1" s="1"/>
  <c r="X1265" i="1"/>
  <c r="Y1265" i="1" s="1"/>
  <c r="X1253" i="1"/>
  <c r="Y1253" i="1" s="1"/>
  <c r="X1241" i="1"/>
  <c r="Y1241" i="1" s="1"/>
  <c r="X1229" i="1"/>
  <c r="Y1229" i="1" s="1"/>
  <c r="X1217" i="1"/>
  <c r="Y1217" i="1" s="1"/>
  <c r="X1205" i="1"/>
  <c r="Y1205" i="1" s="1"/>
  <c r="X1193" i="1"/>
  <c r="Y1193" i="1" s="1"/>
  <c r="X1181" i="1"/>
  <c r="Y1181" i="1" s="1"/>
  <c r="X1169" i="1"/>
  <c r="Y1169" i="1" s="1"/>
  <c r="X1157" i="1"/>
  <c r="Y1157" i="1" s="1"/>
  <c r="X1145" i="1"/>
  <c r="Y1145" i="1" s="1"/>
  <c r="X1133" i="1"/>
  <c r="Y1133" i="1" s="1"/>
  <c r="X1121" i="1"/>
  <c r="Y1121" i="1" s="1"/>
  <c r="X1109" i="1"/>
  <c r="Y1109" i="1" s="1"/>
  <c r="X157" i="1"/>
  <c r="Y157" i="1" s="1"/>
  <c r="X145" i="1"/>
  <c r="Y145" i="1" s="1"/>
  <c r="X133" i="1"/>
  <c r="Y133" i="1" s="1"/>
  <c r="X121" i="1"/>
  <c r="Y121" i="1" s="1"/>
  <c r="X109" i="1"/>
  <c r="Y109" i="1" s="1"/>
  <c r="X97" i="1"/>
  <c r="Y97" i="1" s="1"/>
  <c r="X85" i="1"/>
  <c r="Y85" i="1" s="1"/>
  <c r="X73" i="1"/>
  <c r="Y73" i="1" s="1"/>
  <c r="X61" i="1"/>
  <c r="Y61" i="1" s="1"/>
  <c r="X49" i="1"/>
  <c r="Y49" i="1" s="1"/>
  <c r="X37" i="1"/>
  <c r="Y37" i="1" s="1"/>
  <c r="X25" i="1"/>
  <c r="Y25" i="1" s="1"/>
  <c r="X13" i="1"/>
  <c r="Y13" i="1" s="1"/>
  <c r="X996" i="1"/>
  <c r="Y996" i="1" s="1"/>
  <c r="X984" i="1"/>
  <c r="Y984" i="1" s="1"/>
  <c r="X972" i="1"/>
  <c r="Y972" i="1" s="1"/>
  <c r="X960" i="1"/>
  <c r="Y960" i="1" s="1"/>
  <c r="X948" i="1"/>
  <c r="Y948" i="1" s="1"/>
  <c r="X936" i="1"/>
  <c r="Y936" i="1" s="1"/>
  <c r="X924" i="1"/>
  <c r="Y924" i="1" s="1"/>
  <c r="X912" i="1"/>
  <c r="Y912" i="1" s="1"/>
  <c r="X900" i="1"/>
  <c r="Y900" i="1" s="1"/>
  <c r="X888" i="1"/>
  <c r="Y888" i="1" s="1"/>
  <c r="X876" i="1"/>
  <c r="Y876" i="1" s="1"/>
  <c r="X864" i="1"/>
  <c r="Y864" i="1" s="1"/>
  <c r="X852" i="1"/>
  <c r="Y852" i="1" s="1"/>
  <c r="X840" i="1"/>
  <c r="Y840" i="1" s="1"/>
  <c r="X828" i="1"/>
  <c r="Y828" i="1" s="1"/>
  <c r="X816" i="1"/>
  <c r="Y816" i="1" s="1"/>
  <c r="X804" i="1"/>
  <c r="Y804" i="1" s="1"/>
  <c r="X792" i="1"/>
  <c r="Y792" i="1" s="1"/>
  <c r="X780" i="1"/>
  <c r="Y780" i="1" s="1"/>
  <c r="X768" i="1"/>
  <c r="Y768" i="1" s="1"/>
  <c r="X756" i="1"/>
  <c r="Y756" i="1" s="1"/>
  <c r="X744" i="1"/>
  <c r="Y744" i="1" s="1"/>
  <c r="X732" i="1"/>
  <c r="Y732" i="1" s="1"/>
  <c r="X720" i="1"/>
  <c r="Y720" i="1" s="1"/>
  <c r="X708" i="1"/>
  <c r="Y708" i="1" s="1"/>
  <c r="X696" i="1"/>
  <c r="Y696" i="1" s="1"/>
  <c r="X684" i="1"/>
  <c r="Y684" i="1" s="1"/>
  <c r="X672" i="1"/>
  <c r="Y672" i="1" s="1"/>
  <c r="X660" i="1"/>
  <c r="Y660" i="1" s="1"/>
  <c r="X648" i="1"/>
  <c r="Y648" i="1" s="1"/>
  <c r="X636" i="1"/>
  <c r="Y636" i="1" s="1"/>
  <c r="X624" i="1"/>
  <c r="Y624" i="1" s="1"/>
  <c r="X612" i="1"/>
  <c r="Y612" i="1" s="1"/>
  <c r="X600" i="1"/>
  <c r="Y600" i="1" s="1"/>
  <c r="X588" i="1"/>
  <c r="Y588" i="1" s="1"/>
  <c r="X576" i="1"/>
  <c r="Y576" i="1" s="1"/>
  <c r="X564" i="1"/>
  <c r="Y564" i="1" s="1"/>
  <c r="X552" i="1"/>
  <c r="Y552" i="1" s="1"/>
  <c r="X540" i="1"/>
  <c r="Y540" i="1" s="1"/>
  <c r="X528" i="1"/>
  <c r="Y528" i="1" s="1"/>
  <c r="X516" i="1"/>
  <c r="Y516" i="1" s="1"/>
  <c r="X504" i="1"/>
  <c r="Y504" i="1" s="1"/>
  <c r="X492" i="1"/>
  <c r="Y492" i="1" s="1"/>
  <c r="X480" i="1"/>
  <c r="Y480" i="1" s="1"/>
  <c r="X468" i="1"/>
  <c r="Y468" i="1" s="1"/>
  <c r="X456" i="1"/>
  <c r="Y456" i="1" s="1"/>
  <c r="X444" i="1"/>
  <c r="Y444" i="1" s="1"/>
  <c r="X432" i="1"/>
  <c r="Y432" i="1" s="1"/>
  <c r="X420" i="1"/>
  <c r="Y420" i="1" s="1"/>
  <c r="X408" i="1"/>
  <c r="Y408" i="1" s="1"/>
  <c r="X396" i="1"/>
  <c r="Y396" i="1" s="1"/>
  <c r="X384" i="1"/>
  <c r="Y384" i="1" s="1"/>
  <c r="X372" i="1"/>
  <c r="Y372" i="1" s="1"/>
  <c r="X360" i="1"/>
  <c r="Y360" i="1" s="1"/>
  <c r="X348" i="1"/>
  <c r="Y348" i="1" s="1"/>
  <c r="X336" i="1"/>
  <c r="Y336" i="1" s="1"/>
  <c r="X324" i="1"/>
  <c r="Y324" i="1" s="1"/>
  <c r="X312" i="1"/>
  <c r="Y312" i="1" s="1"/>
  <c r="X300" i="1"/>
  <c r="Y300" i="1" s="1"/>
  <c r="X288" i="1"/>
  <c r="Y288" i="1" s="1"/>
  <c r="X276" i="1"/>
  <c r="Y276" i="1" s="1"/>
  <c r="X264" i="1"/>
  <c r="Y264" i="1" s="1"/>
  <c r="X252" i="1"/>
  <c r="Y252" i="1" s="1"/>
  <c r="X240" i="1"/>
  <c r="Y240" i="1" s="1"/>
  <c r="X228" i="1"/>
  <c r="Y228" i="1" s="1"/>
  <c r="X216" i="1"/>
  <c r="Y216" i="1" s="1"/>
  <c r="X204" i="1"/>
  <c r="Y204" i="1" s="1"/>
  <c r="X192" i="1"/>
  <c r="Y192" i="1" s="1"/>
  <c r="X180" i="1"/>
  <c r="Y180" i="1" s="1"/>
  <c r="X168" i="1"/>
  <c r="Y168" i="1" s="1"/>
  <c r="X156" i="1"/>
  <c r="Y156" i="1" s="1"/>
  <c r="X144" i="1"/>
  <c r="Y144" i="1" s="1"/>
  <c r="X132" i="1"/>
  <c r="Y132" i="1" s="1"/>
  <c r="X120" i="1"/>
  <c r="Y120" i="1" s="1"/>
  <c r="X108" i="1"/>
  <c r="Y108" i="1" s="1"/>
  <c r="X96" i="1"/>
  <c r="Y96" i="1" s="1"/>
  <c r="X84" i="1"/>
  <c r="Y84" i="1" s="1"/>
  <c r="X72" i="1"/>
  <c r="Y72" i="1" s="1"/>
  <c r="X60" i="1"/>
  <c r="Y60" i="1" s="1"/>
  <c r="X48" i="1"/>
  <c r="Y48" i="1" s="1"/>
  <c r="X36" i="1"/>
  <c r="Y36" i="1" s="1"/>
  <c r="X24" i="1"/>
  <c r="Y24" i="1" s="1"/>
  <c r="X12" i="1"/>
  <c r="Y12" i="1" s="1"/>
  <c r="X550" i="1"/>
  <c r="Y550" i="1" s="1"/>
  <c r="X538" i="1"/>
  <c r="Y538" i="1" s="1"/>
  <c r="X526" i="1"/>
  <c r="Y526" i="1" s="1"/>
  <c r="X514" i="1"/>
  <c r="Y514" i="1" s="1"/>
  <c r="X502" i="1"/>
  <c r="Y502" i="1" s="1"/>
  <c r="X490" i="1"/>
  <c r="Y490" i="1" s="1"/>
  <c r="X478" i="1"/>
  <c r="Y478" i="1" s="1"/>
  <c r="X466" i="1"/>
  <c r="Y466" i="1" s="1"/>
  <c r="X454" i="1"/>
  <c r="Y454" i="1" s="1"/>
  <c r="X442" i="1"/>
  <c r="Y442" i="1" s="1"/>
  <c r="X430" i="1"/>
  <c r="Y430" i="1" s="1"/>
  <c r="X418" i="1"/>
  <c r="Y418" i="1" s="1"/>
  <c r="X406" i="1"/>
  <c r="Y406" i="1" s="1"/>
  <c r="X394" i="1"/>
  <c r="Y394" i="1" s="1"/>
  <c r="X382" i="1"/>
  <c r="Y382" i="1" s="1"/>
  <c r="X370" i="1"/>
  <c r="Y370" i="1" s="1"/>
  <c r="X358" i="1"/>
  <c r="Y358" i="1" s="1"/>
  <c r="X346" i="1"/>
  <c r="Y346" i="1" s="1"/>
  <c r="X334" i="1"/>
  <c r="Y334" i="1" s="1"/>
  <c r="X322" i="1"/>
  <c r="Y322" i="1" s="1"/>
  <c r="X310" i="1"/>
  <c r="Y310" i="1" s="1"/>
  <c r="X298" i="1"/>
  <c r="Y298" i="1" s="1"/>
  <c r="X286" i="1"/>
  <c r="Y286" i="1" s="1"/>
  <c r="X274" i="1"/>
  <c r="Y274" i="1" s="1"/>
  <c r="X262" i="1"/>
  <c r="Y262" i="1" s="1"/>
  <c r="X250" i="1"/>
  <c r="Y250" i="1" s="1"/>
  <c r="X238" i="1"/>
  <c r="Y238" i="1" s="1"/>
  <c r="X226" i="1"/>
  <c r="Y226" i="1" s="1"/>
  <c r="X214" i="1"/>
  <c r="Y214" i="1" s="1"/>
  <c r="X202" i="1"/>
  <c r="Y202" i="1" s="1"/>
  <c r="X190" i="1"/>
  <c r="Y190" i="1" s="1"/>
  <c r="X178" i="1"/>
  <c r="Y178" i="1" s="1"/>
  <c r="X166" i="1"/>
  <c r="Y166" i="1" s="1"/>
  <c r="X154" i="1"/>
  <c r="Y154" i="1" s="1"/>
  <c r="X142" i="1"/>
  <c r="Y142" i="1" s="1"/>
  <c r="X130" i="1"/>
  <c r="Y130" i="1" s="1"/>
  <c r="X118" i="1"/>
  <c r="Y118" i="1" s="1"/>
  <c r="X106" i="1"/>
  <c r="Y106" i="1" s="1"/>
  <c r="X94" i="1"/>
  <c r="Y94" i="1" s="1"/>
  <c r="X82" i="1"/>
  <c r="Y82" i="1" s="1"/>
  <c r="X70" i="1"/>
  <c r="Y70" i="1" s="1"/>
  <c r="X58" i="1"/>
  <c r="Y58" i="1" s="1"/>
  <c r="X46" i="1"/>
  <c r="Y46" i="1" s="1"/>
  <c r="X34" i="1"/>
  <c r="Y34" i="1" s="1"/>
  <c r="X22" i="1"/>
  <c r="Y22" i="1" s="1"/>
  <c r="X10" i="1"/>
  <c r="Y10" i="1" s="1"/>
  <c r="X1005" i="1"/>
  <c r="Y1005" i="1" s="1"/>
  <c r="X993" i="1"/>
  <c r="Y993" i="1" s="1"/>
  <c r="X981" i="1"/>
  <c r="Y981" i="1" s="1"/>
  <c r="X969" i="1"/>
  <c r="Y969" i="1" s="1"/>
  <c r="X957" i="1"/>
  <c r="Y957" i="1" s="1"/>
  <c r="X945" i="1"/>
  <c r="Y945" i="1" s="1"/>
  <c r="X933" i="1"/>
  <c r="Y933" i="1" s="1"/>
  <c r="X921" i="1"/>
  <c r="Y921" i="1" s="1"/>
  <c r="X909" i="1"/>
  <c r="Y909" i="1" s="1"/>
  <c r="X897" i="1"/>
  <c r="Y897" i="1" s="1"/>
  <c r="X885" i="1"/>
  <c r="Y885" i="1" s="1"/>
  <c r="X873" i="1"/>
  <c r="Y873" i="1" s="1"/>
  <c r="X861" i="1"/>
  <c r="Y861" i="1" s="1"/>
  <c r="X849" i="1"/>
  <c r="Y849" i="1" s="1"/>
  <c r="X837" i="1"/>
  <c r="Y837" i="1" s="1"/>
  <c r="X825" i="1"/>
  <c r="Y825" i="1" s="1"/>
  <c r="X813" i="1"/>
  <c r="Y813" i="1" s="1"/>
  <c r="X801" i="1"/>
  <c r="Y801" i="1" s="1"/>
  <c r="X789" i="1"/>
  <c r="Y789" i="1" s="1"/>
  <c r="X777" i="1"/>
  <c r="Y777" i="1" s="1"/>
  <c r="X765" i="1"/>
  <c r="Y765" i="1" s="1"/>
  <c r="X753" i="1"/>
  <c r="Y753" i="1" s="1"/>
  <c r="X741" i="1"/>
  <c r="Y741" i="1" s="1"/>
  <c r="X729" i="1"/>
  <c r="Y729" i="1" s="1"/>
  <c r="X717" i="1"/>
  <c r="Y717" i="1" s="1"/>
  <c r="X705" i="1"/>
  <c r="Y705" i="1" s="1"/>
  <c r="X693" i="1"/>
  <c r="Y693" i="1" s="1"/>
  <c r="X681" i="1"/>
  <c r="Y681" i="1" s="1"/>
  <c r="X669" i="1"/>
  <c r="Y669" i="1" s="1"/>
  <c r="X657" i="1"/>
  <c r="Y657" i="1" s="1"/>
  <c r="X645" i="1"/>
  <c r="Y645" i="1" s="1"/>
  <c r="X633" i="1"/>
  <c r="Y633" i="1" s="1"/>
  <c r="X621" i="1"/>
  <c r="Y621" i="1" s="1"/>
  <c r="X609" i="1"/>
  <c r="Y609" i="1" s="1"/>
  <c r="X597" i="1"/>
  <c r="Y597" i="1" s="1"/>
  <c r="X585" i="1"/>
  <c r="Y585" i="1" s="1"/>
  <c r="X573" i="1"/>
  <c r="Y573" i="1" s="1"/>
  <c r="X561" i="1"/>
  <c r="Y561" i="1" s="1"/>
  <c r="X549" i="1"/>
  <c r="Y549" i="1" s="1"/>
  <c r="X537" i="1"/>
  <c r="Y537" i="1" s="1"/>
  <c r="X525" i="1"/>
  <c r="Y525" i="1" s="1"/>
  <c r="X513" i="1"/>
  <c r="Y513" i="1" s="1"/>
  <c r="X501" i="1"/>
  <c r="Y501" i="1" s="1"/>
  <c r="X489" i="1"/>
  <c r="Y489" i="1" s="1"/>
  <c r="X477" i="1"/>
  <c r="Y477" i="1" s="1"/>
  <c r="X465" i="1"/>
  <c r="Y465" i="1" s="1"/>
  <c r="X453" i="1"/>
  <c r="Y453" i="1" s="1"/>
  <c r="X441" i="1"/>
  <c r="Y441" i="1" s="1"/>
  <c r="X429" i="1"/>
  <c r="Y429" i="1" s="1"/>
  <c r="X417" i="1"/>
  <c r="Y417" i="1" s="1"/>
  <c r="X405" i="1"/>
  <c r="Y405" i="1" s="1"/>
  <c r="X393" i="1"/>
  <c r="Y393" i="1" s="1"/>
  <c r="X381" i="1"/>
  <c r="Y381" i="1" s="1"/>
  <c r="X369" i="1"/>
  <c r="Y369" i="1" s="1"/>
  <c r="X357" i="1"/>
  <c r="Y357" i="1" s="1"/>
  <c r="X345" i="1"/>
  <c r="Y345" i="1" s="1"/>
  <c r="X333" i="1"/>
  <c r="Y333" i="1" s="1"/>
  <c r="X321" i="1"/>
  <c r="Y321" i="1" s="1"/>
  <c r="X309" i="1"/>
  <c r="Y309" i="1" s="1"/>
  <c r="X297" i="1"/>
  <c r="Y297" i="1" s="1"/>
  <c r="X285" i="1"/>
  <c r="Y285" i="1" s="1"/>
  <c r="X273" i="1"/>
  <c r="Y273" i="1" s="1"/>
  <c r="X261" i="1"/>
  <c r="Y261" i="1" s="1"/>
  <c r="X249" i="1"/>
  <c r="Y249" i="1" s="1"/>
  <c r="X237" i="1"/>
  <c r="Y237" i="1" s="1"/>
  <c r="X225" i="1"/>
  <c r="Y225" i="1" s="1"/>
  <c r="X213" i="1"/>
  <c r="Y213" i="1" s="1"/>
  <c r="X201" i="1"/>
  <c r="Y201" i="1" s="1"/>
  <c r="X189" i="1"/>
  <c r="Y189" i="1" s="1"/>
  <c r="X177" i="1"/>
  <c r="Y177" i="1" s="1"/>
  <c r="X165" i="1"/>
  <c r="Y165" i="1" s="1"/>
  <c r="X153" i="1"/>
  <c r="Y153" i="1" s="1"/>
  <c r="X141" i="1"/>
  <c r="Y141" i="1" s="1"/>
  <c r="X129" i="1"/>
  <c r="Y129" i="1" s="1"/>
  <c r="X117" i="1"/>
  <c r="Y117" i="1" s="1"/>
  <c r="X105" i="1"/>
  <c r="Y105" i="1" s="1"/>
  <c r="X93" i="1"/>
  <c r="Y93" i="1" s="1"/>
  <c r="X81" i="1"/>
  <c r="Y81" i="1" s="1"/>
  <c r="X69" i="1"/>
  <c r="Y69" i="1" s="1"/>
  <c r="X57" i="1"/>
  <c r="Y57" i="1" s="1"/>
  <c r="X45" i="1"/>
  <c r="Y45" i="1" s="1"/>
  <c r="X33" i="1"/>
  <c r="Y33" i="1" s="1"/>
  <c r="X21" i="1"/>
  <c r="Y21" i="1" s="1"/>
  <c r="X9" i="1"/>
  <c r="Y9" i="1" s="1"/>
  <c r="X992" i="1"/>
  <c r="Y992" i="1" s="1"/>
  <c r="X980" i="1"/>
  <c r="Y980" i="1" s="1"/>
  <c r="X968" i="1"/>
  <c r="Y968" i="1" s="1"/>
  <c r="X956" i="1"/>
  <c r="Y956" i="1" s="1"/>
  <c r="X944" i="1"/>
  <c r="Y944" i="1" s="1"/>
  <c r="X932" i="1"/>
  <c r="Y932" i="1" s="1"/>
  <c r="X920" i="1"/>
  <c r="Y920" i="1" s="1"/>
  <c r="X908" i="1"/>
  <c r="Y908" i="1" s="1"/>
  <c r="X896" i="1"/>
  <c r="Y896" i="1" s="1"/>
  <c r="X884" i="1"/>
  <c r="Y884" i="1" s="1"/>
  <c r="X872" i="1"/>
  <c r="Y872" i="1" s="1"/>
  <c r="X860" i="1"/>
  <c r="Y860" i="1" s="1"/>
  <c r="X848" i="1"/>
  <c r="Y848" i="1" s="1"/>
  <c r="X836" i="1"/>
  <c r="Y836" i="1" s="1"/>
  <c r="X824" i="1"/>
  <c r="Y824" i="1" s="1"/>
  <c r="X812" i="1"/>
  <c r="Y812" i="1" s="1"/>
  <c r="X800" i="1"/>
  <c r="Y800" i="1" s="1"/>
  <c r="X788" i="1"/>
  <c r="Y788" i="1" s="1"/>
  <c r="X776" i="1"/>
  <c r="Y776" i="1" s="1"/>
  <c r="X764" i="1"/>
  <c r="Y764" i="1" s="1"/>
  <c r="X752" i="1"/>
  <c r="Y752" i="1" s="1"/>
  <c r="X740" i="1"/>
  <c r="Y740" i="1" s="1"/>
  <c r="X728" i="1"/>
  <c r="Y728" i="1" s="1"/>
  <c r="X716" i="1"/>
  <c r="Y716" i="1" s="1"/>
  <c r="X704" i="1"/>
  <c r="Y704" i="1" s="1"/>
  <c r="X692" i="1"/>
  <c r="Y692" i="1" s="1"/>
  <c r="X680" i="1"/>
  <c r="Y680" i="1" s="1"/>
  <c r="X668" i="1"/>
  <c r="Y668" i="1" s="1"/>
  <c r="X656" i="1"/>
  <c r="Y656" i="1" s="1"/>
  <c r="X644" i="1"/>
  <c r="Y644" i="1" s="1"/>
  <c r="X632" i="1"/>
  <c r="Y632" i="1" s="1"/>
  <c r="X620" i="1"/>
  <c r="Y620" i="1" s="1"/>
  <c r="X608" i="1"/>
  <c r="Y608" i="1" s="1"/>
  <c r="X596" i="1"/>
  <c r="Y596" i="1" s="1"/>
  <c r="X584" i="1"/>
  <c r="Y584" i="1" s="1"/>
  <c r="X572" i="1"/>
  <c r="Y572" i="1" s="1"/>
  <c r="X560" i="1"/>
  <c r="Y560" i="1" s="1"/>
  <c r="X548" i="1"/>
  <c r="Y548" i="1" s="1"/>
  <c r="X536" i="1"/>
  <c r="Y536" i="1" s="1"/>
  <c r="X524" i="1"/>
  <c r="Y524" i="1" s="1"/>
  <c r="X512" i="1"/>
  <c r="Y512" i="1" s="1"/>
  <c r="X500" i="1"/>
  <c r="Y500" i="1" s="1"/>
  <c r="X488" i="1"/>
  <c r="Y488" i="1" s="1"/>
  <c r="X476" i="1"/>
  <c r="Y476" i="1" s="1"/>
  <c r="X464" i="1"/>
  <c r="Y464" i="1" s="1"/>
  <c r="X452" i="1"/>
  <c r="Y452" i="1" s="1"/>
  <c r="X440" i="1"/>
  <c r="Y440" i="1" s="1"/>
  <c r="X428" i="1"/>
  <c r="Y428" i="1" s="1"/>
  <c r="X416" i="1"/>
  <c r="Y416" i="1" s="1"/>
  <c r="X404" i="1"/>
  <c r="Y404" i="1" s="1"/>
  <c r="X392" i="1"/>
  <c r="Y392" i="1" s="1"/>
  <c r="X380" i="1"/>
  <c r="Y380" i="1" s="1"/>
  <c r="X368" i="1"/>
  <c r="Y368" i="1" s="1"/>
  <c r="X356" i="1"/>
  <c r="Y356" i="1" s="1"/>
  <c r="X344" i="1"/>
  <c r="Y344" i="1" s="1"/>
  <c r="X332" i="1"/>
  <c r="Y332" i="1" s="1"/>
  <c r="X320" i="1"/>
  <c r="Y320" i="1" s="1"/>
  <c r="X308" i="1"/>
  <c r="Y308" i="1" s="1"/>
  <c r="X296" i="1"/>
  <c r="Y296" i="1" s="1"/>
  <c r="X284" i="1"/>
  <c r="Y284" i="1" s="1"/>
  <c r="X272" i="1"/>
  <c r="Y272" i="1" s="1"/>
  <c r="X260" i="1"/>
  <c r="Y260" i="1" s="1"/>
  <c r="X248" i="1"/>
  <c r="Y248" i="1" s="1"/>
  <c r="X236" i="1"/>
  <c r="Y236" i="1" s="1"/>
  <c r="X224" i="1"/>
  <c r="Y224" i="1" s="1"/>
  <c r="X212" i="1"/>
  <c r="Y212" i="1" s="1"/>
  <c r="X200" i="1"/>
  <c r="Y200" i="1" s="1"/>
  <c r="X188" i="1"/>
  <c r="Y188" i="1" s="1"/>
  <c r="X176" i="1"/>
  <c r="Y176" i="1" s="1"/>
  <c r="X164" i="1"/>
  <c r="Y164" i="1" s="1"/>
  <c r="X152" i="1"/>
  <c r="Y152" i="1" s="1"/>
  <c r="X140" i="1"/>
  <c r="Y140" i="1" s="1"/>
  <c r="X128" i="1"/>
  <c r="Y128" i="1" s="1"/>
  <c r="X116" i="1"/>
  <c r="Y116" i="1" s="1"/>
  <c r="X104" i="1"/>
  <c r="Y104" i="1" s="1"/>
  <c r="X92" i="1"/>
  <c r="Y92" i="1" s="1"/>
  <c r="X80" i="1"/>
  <c r="Y80" i="1" s="1"/>
  <c r="X68" i="1"/>
  <c r="Y68" i="1" s="1"/>
  <c r="X56" i="1"/>
  <c r="Y56" i="1" s="1"/>
  <c r="X44" i="1"/>
  <c r="Y44" i="1" s="1"/>
  <c r="X32" i="1"/>
  <c r="Y32" i="1" s="1"/>
  <c r="X20" i="1"/>
  <c r="Y20" i="1" s="1"/>
  <c r="X8" i="1"/>
  <c r="Y8" i="1" s="1"/>
  <c r="X1103" i="1"/>
  <c r="Y1103" i="1" s="1"/>
  <c r="X1091" i="1"/>
  <c r="Y1091" i="1" s="1"/>
  <c r="X1079" i="1"/>
  <c r="Y1079" i="1" s="1"/>
  <c r="X1067" i="1"/>
  <c r="Y1067" i="1" s="1"/>
  <c r="X1055" i="1"/>
  <c r="Y1055" i="1" s="1"/>
  <c r="X1043" i="1"/>
  <c r="Y1043" i="1" s="1"/>
  <c r="X1031" i="1"/>
  <c r="Y1031" i="1" s="1"/>
  <c r="X1019" i="1"/>
  <c r="Y1019" i="1" s="1"/>
  <c r="X1007" i="1"/>
  <c r="Y1007" i="1" s="1"/>
  <c r="X995" i="1"/>
  <c r="Y995" i="1" s="1"/>
  <c r="X983" i="1"/>
  <c r="Y983" i="1" s="1"/>
  <c r="X971" i="1"/>
  <c r="Y971" i="1" s="1"/>
  <c r="X959" i="1"/>
  <c r="Y959" i="1" s="1"/>
  <c r="X947" i="1"/>
  <c r="Y947" i="1" s="1"/>
  <c r="X935" i="1"/>
  <c r="Y935" i="1" s="1"/>
  <c r="X923" i="1"/>
  <c r="Y923" i="1" s="1"/>
  <c r="X911" i="1"/>
  <c r="Y911" i="1" s="1"/>
  <c r="X899" i="1"/>
  <c r="Y899" i="1" s="1"/>
  <c r="X887" i="1"/>
  <c r="Y887" i="1" s="1"/>
  <c r="X875" i="1"/>
  <c r="Y875" i="1" s="1"/>
  <c r="X863" i="1"/>
  <c r="Y863" i="1" s="1"/>
  <c r="X851" i="1"/>
  <c r="Y851" i="1" s="1"/>
  <c r="X839" i="1"/>
  <c r="Y839" i="1" s="1"/>
  <c r="X827" i="1"/>
  <c r="Y827" i="1" s="1"/>
  <c r="X815" i="1"/>
  <c r="Y815" i="1" s="1"/>
  <c r="X803" i="1"/>
  <c r="Y803" i="1" s="1"/>
  <c r="X791" i="1"/>
  <c r="Y791" i="1" s="1"/>
  <c r="X779" i="1"/>
  <c r="Y779" i="1" s="1"/>
  <c r="X767" i="1"/>
  <c r="Y767" i="1" s="1"/>
  <c r="X755" i="1"/>
  <c r="Y755" i="1" s="1"/>
  <c r="X743" i="1"/>
  <c r="Y743" i="1" s="1"/>
  <c r="X731" i="1"/>
  <c r="Y731" i="1" s="1"/>
  <c r="X719" i="1"/>
  <c r="Y719" i="1" s="1"/>
  <c r="X707" i="1"/>
  <c r="Y707" i="1" s="1"/>
  <c r="X695" i="1"/>
  <c r="Y695" i="1" s="1"/>
  <c r="X683" i="1"/>
  <c r="Y683" i="1" s="1"/>
  <c r="X671" i="1"/>
  <c r="Y671" i="1" s="1"/>
  <c r="X659" i="1"/>
  <c r="Y659" i="1" s="1"/>
  <c r="X647" i="1"/>
  <c r="Y647" i="1" s="1"/>
  <c r="X635" i="1"/>
  <c r="Y635" i="1" s="1"/>
  <c r="X623" i="1"/>
  <c r="Y623" i="1" s="1"/>
  <c r="X611" i="1"/>
  <c r="Y611" i="1" s="1"/>
  <c r="X599" i="1"/>
  <c r="Y599" i="1" s="1"/>
  <c r="X587" i="1"/>
  <c r="Y587" i="1" s="1"/>
  <c r="X575" i="1"/>
  <c r="Y575" i="1" s="1"/>
  <c r="X563" i="1"/>
  <c r="Y563" i="1" s="1"/>
  <c r="X551" i="1"/>
  <c r="Y551" i="1" s="1"/>
  <c r="X539" i="1"/>
  <c r="Y539" i="1" s="1"/>
  <c r="X527" i="1"/>
  <c r="Y527" i="1" s="1"/>
  <c r="X515" i="1"/>
  <c r="Y515" i="1" s="1"/>
  <c r="X503" i="1"/>
  <c r="Y503" i="1" s="1"/>
  <c r="X491" i="1"/>
  <c r="Y491" i="1" s="1"/>
  <c r="X479" i="1"/>
  <c r="Y479" i="1" s="1"/>
  <c r="X467" i="1"/>
  <c r="Y467" i="1" s="1"/>
  <c r="X455" i="1"/>
  <c r="Y455" i="1" s="1"/>
  <c r="X443" i="1"/>
  <c r="Y443" i="1" s="1"/>
  <c r="X431" i="1"/>
  <c r="Y431" i="1" s="1"/>
  <c r="X419" i="1"/>
  <c r="Y419" i="1" s="1"/>
  <c r="X407" i="1"/>
  <c r="Y407" i="1" s="1"/>
  <c r="X395" i="1"/>
  <c r="Y395" i="1" s="1"/>
  <c r="X383" i="1"/>
  <c r="Y383" i="1" s="1"/>
  <c r="X371" i="1"/>
  <c r="Y371" i="1" s="1"/>
  <c r="X359" i="1"/>
  <c r="Y359" i="1" s="1"/>
  <c r="X347" i="1"/>
  <c r="Y347" i="1" s="1"/>
  <c r="X335" i="1"/>
  <c r="Y335" i="1" s="1"/>
  <c r="X323" i="1"/>
  <c r="Y323" i="1" s="1"/>
  <c r="X311" i="1"/>
  <c r="Y311" i="1" s="1"/>
  <c r="X299" i="1"/>
  <c r="Y299" i="1" s="1"/>
  <c r="X287" i="1"/>
  <c r="Y287" i="1" s="1"/>
  <c r="X275" i="1"/>
  <c r="Y275" i="1" s="1"/>
  <c r="X263" i="1"/>
  <c r="Y263" i="1" s="1"/>
  <c r="X251" i="1"/>
  <c r="Y251" i="1" s="1"/>
  <c r="X239" i="1"/>
  <c r="Y239" i="1" s="1"/>
  <c r="X227" i="1"/>
  <c r="Y227" i="1" s="1"/>
  <c r="X215" i="1"/>
  <c r="Y215" i="1" s="1"/>
  <c r="X203" i="1"/>
  <c r="Y203" i="1" s="1"/>
  <c r="X191" i="1"/>
  <c r="Y191" i="1" s="1"/>
  <c r="X179" i="1"/>
  <c r="Y179" i="1" s="1"/>
  <c r="X167" i="1"/>
  <c r="Y167" i="1" s="1"/>
  <c r="X155" i="1"/>
  <c r="Y155" i="1" s="1"/>
  <c r="X143" i="1"/>
  <c r="Y143" i="1" s="1"/>
  <c r="X131" i="1"/>
  <c r="Y131" i="1" s="1"/>
  <c r="X119" i="1"/>
  <c r="Y119" i="1" s="1"/>
  <c r="X107" i="1"/>
  <c r="Y107" i="1" s="1"/>
  <c r="X95" i="1"/>
  <c r="Y95" i="1" s="1"/>
  <c r="X83" i="1"/>
  <c r="Y83" i="1" s="1"/>
  <c r="X71" i="1"/>
  <c r="Y71" i="1" s="1"/>
  <c r="X59" i="1"/>
  <c r="Y59" i="1" s="1"/>
  <c r="X47" i="1"/>
  <c r="Y47" i="1" s="1"/>
  <c r="X35" i="1"/>
  <c r="Y35" i="1" s="1"/>
  <c r="X23" i="1"/>
  <c r="Y23" i="1" s="1"/>
  <c r="X11" i="1"/>
  <c r="Y11" i="1" s="1"/>
  <c r="X871" i="1"/>
  <c r="Y871" i="1" s="1"/>
  <c r="X859" i="1"/>
  <c r="Y859" i="1" s="1"/>
  <c r="X847" i="1"/>
  <c r="Y847" i="1" s="1"/>
  <c r="X835" i="1"/>
  <c r="Y835" i="1" s="1"/>
  <c r="X823" i="1"/>
  <c r="Y823" i="1" s="1"/>
  <c r="X811" i="1"/>
  <c r="Y811" i="1" s="1"/>
  <c r="X799" i="1"/>
  <c r="Y799" i="1" s="1"/>
  <c r="X787" i="1"/>
  <c r="Y787" i="1" s="1"/>
  <c r="X775" i="1"/>
  <c r="Y775" i="1" s="1"/>
  <c r="X763" i="1"/>
  <c r="Y763" i="1" s="1"/>
  <c r="X751" i="1"/>
  <c r="Y751" i="1" s="1"/>
  <c r="X739" i="1"/>
  <c r="Y739" i="1" s="1"/>
  <c r="X727" i="1"/>
  <c r="Y727" i="1" s="1"/>
  <c r="X715" i="1"/>
  <c r="Y715" i="1" s="1"/>
  <c r="X703" i="1"/>
  <c r="Y703" i="1" s="1"/>
  <c r="X691" i="1"/>
  <c r="Y691" i="1" s="1"/>
  <c r="X679" i="1"/>
  <c r="Y679" i="1" s="1"/>
  <c r="X667" i="1"/>
  <c r="Y667" i="1" s="1"/>
  <c r="X655" i="1"/>
  <c r="Y655" i="1" s="1"/>
  <c r="X643" i="1"/>
  <c r="Y643" i="1" s="1"/>
  <c r="X631" i="1"/>
  <c r="Y631" i="1" s="1"/>
  <c r="X619" i="1"/>
  <c r="Y619" i="1" s="1"/>
  <c r="X607" i="1"/>
  <c r="Y607" i="1" s="1"/>
  <c r="X595" i="1"/>
  <c r="Y595" i="1" s="1"/>
  <c r="X583" i="1"/>
  <c r="Y583" i="1" s="1"/>
  <c r="X571" i="1"/>
  <c r="Y571" i="1" s="1"/>
  <c r="X559" i="1"/>
  <c r="Y559" i="1" s="1"/>
  <c r="X547" i="1"/>
  <c r="Y547" i="1" s="1"/>
  <c r="X535" i="1"/>
  <c r="Y535" i="1" s="1"/>
  <c r="X523" i="1"/>
  <c r="Y523" i="1" s="1"/>
  <c r="X511" i="1"/>
  <c r="Y511" i="1" s="1"/>
  <c r="X499" i="1"/>
  <c r="Y499" i="1" s="1"/>
  <c r="X487" i="1"/>
  <c r="Y487" i="1" s="1"/>
  <c r="X475" i="1"/>
  <c r="Y475" i="1" s="1"/>
  <c r="X463" i="1"/>
  <c r="Y463" i="1" s="1"/>
  <c r="X451" i="1"/>
  <c r="Y451" i="1" s="1"/>
  <c r="X439" i="1"/>
  <c r="Y439" i="1" s="1"/>
  <c r="X427" i="1"/>
  <c r="Y427" i="1" s="1"/>
  <c r="X415" i="1"/>
  <c r="Y415" i="1" s="1"/>
  <c r="X403" i="1"/>
  <c r="Y403" i="1" s="1"/>
  <c r="X391" i="1"/>
  <c r="Y391" i="1" s="1"/>
  <c r="X379" i="1"/>
  <c r="Y379" i="1" s="1"/>
  <c r="X367" i="1"/>
  <c r="Y367" i="1" s="1"/>
  <c r="X355" i="1"/>
  <c r="Y355" i="1" s="1"/>
  <c r="X343" i="1"/>
  <c r="Y343" i="1" s="1"/>
  <c r="X331" i="1"/>
  <c r="Y331" i="1" s="1"/>
  <c r="X319" i="1"/>
  <c r="Y319" i="1" s="1"/>
  <c r="X307" i="1"/>
  <c r="Y307" i="1" s="1"/>
  <c r="X295" i="1"/>
  <c r="Y295" i="1" s="1"/>
  <c r="X283" i="1"/>
  <c r="Y283" i="1" s="1"/>
  <c r="X271" i="1"/>
  <c r="Y271" i="1" s="1"/>
  <c r="X259" i="1"/>
  <c r="Y259" i="1" s="1"/>
  <c r="X247" i="1"/>
  <c r="Y247" i="1" s="1"/>
  <c r="X235" i="1"/>
  <c r="Y235" i="1" s="1"/>
  <c r="X223" i="1"/>
  <c r="Y223" i="1" s="1"/>
  <c r="X211" i="1"/>
  <c r="Y211" i="1" s="1"/>
  <c r="X199" i="1"/>
  <c r="Y199" i="1" s="1"/>
  <c r="X187" i="1"/>
  <c r="Y187" i="1" s="1"/>
  <c r="X175" i="1"/>
  <c r="Y175" i="1" s="1"/>
  <c r="X163" i="1"/>
  <c r="Y163" i="1" s="1"/>
  <c r="X151" i="1"/>
  <c r="Y151" i="1" s="1"/>
  <c r="X139" i="1"/>
  <c r="Y139" i="1" s="1"/>
  <c r="X127" i="1"/>
  <c r="Y127" i="1" s="1"/>
  <c r="X115" i="1"/>
  <c r="Y115" i="1" s="1"/>
  <c r="X103" i="1"/>
  <c r="Y103" i="1" s="1"/>
  <c r="X91" i="1"/>
  <c r="Y91" i="1" s="1"/>
  <c r="X79" i="1"/>
  <c r="Y79" i="1" s="1"/>
  <c r="X67" i="1"/>
  <c r="Y67" i="1" s="1"/>
  <c r="X55" i="1"/>
  <c r="Y55" i="1" s="1"/>
  <c r="X43" i="1"/>
  <c r="Y43" i="1" s="1"/>
  <c r="X31" i="1"/>
  <c r="Y31" i="1" s="1"/>
  <c r="X19" i="1"/>
  <c r="Y19" i="1" s="1"/>
  <c r="X7" i="1"/>
  <c r="Y7" i="1" s="1"/>
  <c r="X870" i="1"/>
  <c r="Y870" i="1" s="1"/>
  <c r="X858" i="1"/>
  <c r="Y858" i="1" s="1"/>
  <c r="X846" i="1"/>
  <c r="Y846" i="1" s="1"/>
  <c r="X834" i="1"/>
  <c r="Y834" i="1" s="1"/>
  <c r="X822" i="1"/>
  <c r="Y822" i="1" s="1"/>
  <c r="X810" i="1"/>
  <c r="Y810" i="1" s="1"/>
  <c r="X798" i="1"/>
  <c r="Y798" i="1" s="1"/>
  <c r="X786" i="1"/>
  <c r="Y786" i="1" s="1"/>
  <c r="X774" i="1"/>
  <c r="Y774" i="1" s="1"/>
  <c r="X762" i="1"/>
  <c r="Y762" i="1" s="1"/>
  <c r="X750" i="1"/>
  <c r="Y750" i="1" s="1"/>
  <c r="X738" i="1"/>
  <c r="Y738" i="1" s="1"/>
  <c r="X726" i="1"/>
  <c r="Y726" i="1" s="1"/>
  <c r="X714" i="1"/>
  <c r="Y714" i="1" s="1"/>
  <c r="X702" i="1"/>
  <c r="Y702" i="1" s="1"/>
  <c r="X690" i="1"/>
  <c r="Y690" i="1" s="1"/>
  <c r="X678" i="1"/>
  <c r="Y678" i="1" s="1"/>
  <c r="X666" i="1"/>
  <c r="Y666" i="1" s="1"/>
  <c r="X654" i="1"/>
  <c r="Y654" i="1" s="1"/>
  <c r="X642" i="1"/>
  <c r="Y642" i="1" s="1"/>
  <c r="X630" i="1"/>
  <c r="Y630" i="1" s="1"/>
  <c r="X618" i="1"/>
  <c r="Y618" i="1" s="1"/>
  <c r="X606" i="1"/>
  <c r="Y606" i="1" s="1"/>
  <c r="X594" i="1"/>
  <c r="Y594" i="1" s="1"/>
  <c r="X582" i="1"/>
  <c r="Y582" i="1" s="1"/>
  <c r="X570" i="1"/>
  <c r="Y570" i="1" s="1"/>
  <c r="X558" i="1"/>
  <c r="Y558" i="1" s="1"/>
  <c r="X546" i="1"/>
  <c r="Y546" i="1" s="1"/>
  <c r="X534" i="1"/>
  <c r="Y534" i="1" s="1"/>
  <c r="X522" i="1"/>
  <c r="Y522" i="1" s="1"/>
  <c r="X510" i="1"/>
  <c r="Y510" i="1" s="1"/>
  <c r="X498" i="1"/>
  <c r="Y498" i="1" s="1"/>
  <c r="X486" i="1"/>
  <c r="Y486" i="1" s="1"/>
  <c r="X474" i="1"/>
  <c r="Y474" i="1" s="1"/>
  <c r="X462" i="1"/>
  <c r="Y462" i="1" s="1"/>
  <c r="X450" i="1"/>
  <c r="Y450" i="1" s="1"/>
  <c r="X438" i="1"/>
  <c r="Y438" i="1" s="1"/>
  <c r="X426" i="1"/>
  <c r="Y426" i="1" s="1"/>
  <c r="X414" i="1"/>
  <c r="Y414" i="1" s="1"/>
  <c r="X402" i="1"/>
  <c r="Y402" i="1" s="1"/>
  <c r="X390" i="1"/>
  <c r="Y390" i="1" s="1"/>
  <c r="X378" i="1"/>
  <c r="Y378" i="1" s="1"/>
  <c r="X366" i="1"/>
  <c r="Y366" i="1" s="1"/>
  <c r="X354" i="1"/>
  <c r="Y354" i="1" s="1"/>
  <c r="X342" i="1"/>
  <c r="Y342" i="1" s="1"/>
  <c r="X330" i="1"/>
  <c r="Y330" i="1" s="1"/>
  <c r="X318" i="1"/>
  <c r="Y318" i="1" s="1"/>
  <c r="X306" i="1"/>
  <c r="Y306" i="1" s="1"/>
  <c r="X294" i="1"/>
  <c r="Y294" i="1" s="1"/>
  <c r="X282" i="1"/>
  <c r="Y282" i="1" s="1"/>
  <c r="X270" i="1"/>
  <c r="Y270" i="1" s="1"/>
  <c r="X258" i="1"/>
  <c r="Y258" i="1" s="1"/>
  <c r="X246" i="1"/>
  <c r="Y246" i="1" s="1"/>
  <c r="X234" i="1"/>
  <c r="Y234" i="1" s="1"/>
  <c r="X222" i="1"/>
  <c r="Y222" i="1" s="1"/>
  <c r="X210" i="1"/>
  <c r="Y210" i="1" s="1"/>
  <c r="X198" i="1"/>
  <c r="Y198" i="1" s="1"/>
  <c r="X186" i="1"/>
  <c r="Y186" i="1" s="1"/>
  <c r="X174" i="1"/>
  <c r="Y174" i="1" s="1"/>
  <c r="X162" i="1"/>
  <c r="Y162" i="1" s="1"/>
  <c r="X150" i="1"/>
  <c r="Y150" i="1" s="1"/>
  <c r="X138" i="1"/>
  <c r="Y138" i="1" s="1"/>
  <c r="X126" i="1"/>
  <c r="Y126" i="1" s="1"/>
  <c r="X114" i="1"/>
  <c r="Y114" i="1" s="1"/>
  <c r="X102" i="1"/>
  <c r="Y102" i="1" s="1"/>
  <c r="X90" i="1"/>
  <c r="Y90" i="1" s="1"/>
  <c r="X78" i="1"/>
  <c r="Y78" i="1" s="1"/>
  <c r="X66" i="1"/>
  <c r="Y66" i="1" s="1"/>
  <c r="X54" i="1"/>
  <c r="Y54" i="1" s="1"/>
  <c r="X42" i="1"/>
  <c r="Y42" i="1" s="1"/>
  <c r="X30" i="1"/>
  <c r="Y30" i="1" s="1"/>
  <c r="X18" i="1"/>
  <c r="Y18" i="1" s="1"/>
  <c r="X1097" i="1"/>
  <c r="Y1097" i="1" s="1"/>
  <c r="X1085" i="1"/>
  <c r="Y1085" i="1" s="1"/>
  <c r="X1073" i="1"/>
  <c r="Y1073" i="1" s="1"/>
  <c r="X1061" i="1"/>
  <c r="Y1061" i="1" s="1"/>
  <c r="X1049" i="1"/>
  <c r="Y1049" i="1" s="1"/>
  <c r="X1037" i="1"/>
  <c r="Y1037" i="1" s="1"/>
  <c r="X1025" i="1"/>
  <c r="Y1025" i="1" s="1"/>
  <c r="X1013" i="1"/>
  <c r="Y1013" i="1" s="1"/>
  <c r="X1001" i="1"/>
  <c r="Y1001" i="1" s="1"/>
  <c r="X989" i="1"/>
  <c r="Y989" i="1" s="1"/>
  <c r="X977" i="1"/>
  <c r="Y977" i="1" s="1"/>
  <c r="X965" i="1"/>
  <c r="Y965" i="1" s="1"/>
  <c r="X953" i="1"/>
  <c r="Y953" i="1" s="1"/>
  <c r="X941" i="1"/>
  <c r="Y941" i="1" s="1"/>
  <c r="X929" i="1"/>
  <c r="Y929" i="1" s="1"/>
  <c r="X917" i="1"/>
  <c r="Y917" i="1" s="1"/>
  <c r="X905" i="1"/>
  <c r="Y905" i="1" s="1"/>
  <c r="X893" i="1"/>
  <c r="Y893" i="1" s="1"/>
  <c r="X881" i="1"/>
  <c r="Y881" i="1" s="1"/>
  <c r="X869" i="1"/>
  <c r="Y869" i="1" s="1"/>
  <c r="X857" i="1"/>
  <c r="Y857" i="1" s="1"/>
  <c r="X845" i="1"/>
  <c r="Y845" i="1" s="1"/>
  <c r="X833" i="1"/>
  <c r="Y833" i="1" s="1"/>
  <c r="X821" i="1"/>
  <c r="Y821" i="1" s="1"/>
  <c r="X809" i="1"/>
  <c r="Y809" i="1" s="1"/>
  <c r="X797" i="1"/>
  <c r="Y797" i="1" s="1"/>
  <c r="X785" i="1"/>
  <c r="Y785" i="1" s="1"/>
  <c r="X773" i="1"/>
  <c r="Y773" i="1" s="1"/>
  <c r="X761" i="1"/>
  <c r="Y761" i="1" s="1"/>
  <c r="X749" i="1"/>
  <c r="Y749" i="1" s="1"/>
  <c r="X737" i="1"/>
  <c r="Y737" i="1" s="1"/>
  <c r="X725" i="1"/>
  <c r="Y725" i="1" s="1"/>
  <c r="X713" i="1"/>
  <c r="Y713" i="1" s="1"/>
  <c r="X701" i="1"/>
  <c r="Y701" i="1" s="1"/>
  <c r="X689" i="1"/>
  <c r="Y689" i="1" s="1"/>
  <c r="X677" i="1"/>
  <c r="Y677" i="1" s="1"/>
  <c r="X665" i="1"/>
  <c r="Y665" i="1" s="1"/>
  <c r="X653" i="1"/>
  <c r="Y653" i="1" s="1"/>
  <c r="X641" i="1"/>
  <c r="Y641" i="1" s="1"/>
  <c r="X629" i="1"/>
  <c r="Y629" i="1" s="1"/>
  <c r="X617" i="1"/>
  <c r="Y617" i="1" s="1"/>
  <c r="X605" i="1"/>
  <c r="Y605" i="1" s="1"/>
  <c r="X593" i="1"/>
  <c r="Y593" i="1" s="1"/>
  <c r="X581" i="1"/>
  <c r="Y581" i="1" s="1"/>
  <c r="X569" i="1"/>
  <c r="Y569" i="1" s="1"/>
  <c r="X557" i="1"/>
  <c r="Y557" i="1" s="1"/>
  <c r="X545" i="1"/>
  <c r="Y545" i="1" s="1"/>
  <c r="X533" i="1"/>
  <c r="Y533" i="1" s="1"/>
  <c r="X521" i="1"/>
  <c r="Y521" i="1" s="1"/>
  <c r="X509" i="1"/>
  <c r="Y509" i="1" s="1"/>
  <c r="X497" i="1"/>
  <c r="Y497" i="1" s="1"/>
  <c r="X485" i="1"/>
  <c r="Y485" i="1" s="1"/>
  <c r="X473" i="1"/>
  <c r="Y473" i="1" s="1"/>
  <c r="X461" i="1"/>
  <c r="Y461" i="1" s="1"/>
  <c r="X449" i="1"/>
  <c r="Y449" i="1" s="1"/>
  <c r="X437" i="1"/>
  <c r="Y437" i="1" s="1"/>
  <c r="X425" i="1"/>
  <c r="Y425" i="1" s="1"/>
  <c r="X413" i="1"/>
  <c r="Y413" i="1" s="1"/>
  <c r="X401" i="1"/>
  <c r="Y401" i="1" s="1"/>
  <c r="X389" i="1"/>
  <c r="Y389" i="1" s="1"/>
  <c r="X377" i="1"/>
  <c r="Y377" i="1" s="1"/>
  <c r="X365" i="1"/>
  <c r="Y365" i="1" s="1"/>
  <c r="X353" i="1"/>
  <c r="Y353" i="1" s="1"/>
  <c r="X341" i="1"/>
  <c r="Y341" i="1" s="1"/>
  <c r="X329" i="1"/>
  <c r="Y329" i="1" s="1"/>
  <c r="X317" i="1"/>
  <c r="Y317" i="1" s="1"/>
  <c r="X305" i="1"/>
  <c r="Y305" i="1" s="1"/>
  <c r="X293" i="1"/>
  <c r="Y293" i="1" s="1"/>
  <c r="X281" i="1"/>
  <c r="Y281" i="1" s="1"/>
  <c r="X269" i="1"/>
  <c r="Y269" i="1" s="1"/>
  <c r="X257" i="1"/>
  <c r="Y257" i="1" s="1"/>
  <c r="X245" i="1"/>
  <c r="Y245" i="1" s="1"/>
  <c r="X233" i="1"/>
  <c r="Y233" i="1" s="1"/>
  <c r="X221" i="1"/>
  <c r="Y221" i="1" s="1"/>
  <c r="X209" i="1"/>
  <c r="Y209" i="1" s="1"/>
  <c r="X197" i="1"/>
  <c r="Y197" i="1" s="1"/>
  <c r="X185" i="1"/>
  <c r="Y185" i="1" s="1"/>
  <c r="X173" i="1"/>
  <c r="Y173" i="1" s="1"/>
  <c r="X161" i="1"/>
  <c r="Y161" i="1" s="1"/>
  <c r="X149" i="1"/>
  <c r="Y149" i="1" s="1"/>
  <c r="X137" i="1"/>
  <c r="Y137" i="1" s="1"/>
  <c r="X125" i="1"/>
  <c r="Y125" i="1" s="1"/>
  <c r="X592" i="1"/>
  <c r="Y592" i="1" s="1"/>
  <c r="X580" i="1"/>
  <c r="Y580" i="1" s="1"/>
  <c r="X568" i="1"/>
  <c r="Y568" i="1" s="1"/>
  <c r="X556" i="1"/>
  <c r="Y556" i="1" s="1"/>
  <c r="X544" i="1"/>
  <c r="Y544" i="1" s="1"/>
  <c r="X532" i="1"/>
  <c r="Y532" i="1" s="1"/>
  <c r="X520" i="1"/>
  <c r="Y520" i="1" s="1"/>
  <c r="X508" i="1"/>
  <c r="Y508" i="1" s="1"/>
  <c r="X496" i="1"/>
  <c r="Y496" i="1" s="1"/>
  <c r="X484" i="1"/>
  <c r="Y484" i="1" s="1"/>
  <c r="X472" i="1"/>
  <c r="Y472" i="1" s="1"/>
  <c r="X460" i="1"/>
  <c r="Y460" i="1" s="1"/>
  <c r="X448" i="1"/>
  <c r="Y448" i="1" s="1"/>
  <c r="X436" i="1"/>
  <c r="Y436" i="1" s="1"/>
  <c r="X424" i="1"/>
  <c r="Y424" i="1" s="1"/>
  <c r="X412" i="1"/>
  <c r="Y412" i="1" s="1"/>
  <c r="X400" i="1"/>
  <c r="Y400" i="1" s="1"/>
  <c r="X388" i="1"/>
  <c r="Y388" i="1" s="1"/>
  <c r="X376" i="1"/>
  <c r="Y376" i="1" s="1"/>
  <c r="X364" i="1"/>
  <c r="Y364" i="1" s="1"/>
  <c r="X352" i="1"/>
  <c r="Y352" i="1" s="1"/>
  <c r="X340" i="1"/>
  <c r="Y340" i="1" s="1"/>
  <c r="X328" i="1"/>
  <c r="Y328" i="1" s="1"/>
  <c r="X316" i="1"/>
  <c r="Y316" i="1" s="1"/>
  <c r="X304" i="1"/>
  <c r="Y304" i="1" s="1"/>
  <c r="X292" i="1"/>
  <c r="Y292" i="1" s="1"/>
  <c r="X280" i="1"/>
  <c r="Y280" i="1" s="1"/>
  <c r="X268" i="1"/>
  <c r="Y268" i="1" s="1"/>
  <c r="X256" i="1"/>
  <c r="Y256" i="1" s="1"/>
  <c r="X244" i="1"/>
  <c r="Y244" i="1" s="1"/>
  <c r="X232" i="1"/>
  <c r="Y232" i="1" s="1"/>
  <c r="X220" i="1"/>
  <c r="Y220" i="1" s="1"/>
  <c r="X208" i="1"/>
  <c r="Y208" i="1" s="1"/>
  <c r="X196" i="1"/>
  <c r="Y196" i="1" s="1"/>
  <c r="X184" i="1"/>
  <c r="Y184" i="1" s="1"/>
  <c r="X172" i="1"/>
  <c r="Y172" i="1" s="1"/>
  <c r="X160" i="1"/>
  <c r="Y160" i="1" s="1"/>
  <c r="X148" i="1"/>
  <c r="Y148" i="1" s="1"/>
  <c r="X136" i="1"/>
  <c r="Y136" i="1" s="1"/>
  <c r="X124" i="1"/>
  <c r="Y124" i="1" s="1"/>
  <c r="X112" i="1"/>
  <c r="Y112" i="1" s="1"/>
  <c r="X100" i="1"/>
  <c r="Y100" i="1" s="1"/>
  <c r="X88" i="1"/>
  <c r="Y88" i="1" s="1"/>
  <c r="X76" i="1"/>
  <c r="Y76" i="1" s="1"/>
  <c r="X64" i="1"/>
  <c r="Y64" i="1" s="1"/>
  <c r="X52" i="1"/>
  <c r="Y52" i="1" s="1"/>
  <c r="X40" i="1"/>
  <c r="Y40" i="1" s="1"/>
  <c r="X28" i="1"/>
  <c r="Y28" i="1" s="1"/>
  <c r="X16" i="1"/>
  <c r="Y16" i="1" s="1"/>
  <c r="X4" i="1"/>
  <c r="Y4" i="1" s="1"/>
  <c r="X1179" i="1"/>
  <c r="Y1179" i="1" s="1"/>
  <c r="X1167" i="1"/>
  <c r="Y1167" i="1" s="1"/>
  <c r="X1155" i="1"/>
  <c r="Y1155" i="1" s="1"/>
  <c r="X1143" i="1"/>
  <c r="Y1143" i="1" s="1"/>
  <c r="X1131" i="1"/>
  <c r="Y1131" i="1" s="1"/>
  <c r="X1119" i="1"/>
  <c r="Y1119" i="1" s="1"/>
  <c r="X1107" i="1"/>
  <c r="Y1107" i="1" s="1"/>
  <c r="X1095" i="1"/>
  <c r="Y1095" i="1" s="1"/>
  <c r="X1083" i="1"/>
  <c r="Y1083" i="1" s="1"/>
  <c r="X1071" i="1"/>
  <c r="Y1071" i="1" s="1"/>
  <c r="X1059" i="1"/>
  <c r="Y1059" i="1" s="1"/>
  <c r="X1047" i="1"/>
  <c r="Y1047" i="1" s="1"/>
  <c r="X1035" i="1"/>
  <c r="Y1035" i="1" s="1"/>
  <c r="X1023" i="1"/>
  <c r="Y1023" i="1" s="1"/>
  <c r="X1011" i="1"/>
  <c r="Y1011" i="1" s="1"/>
  <c r="X999" i="1"/>
  <c r="Y999" i="1" s="1"/>
  <c r="X987" i="1"/>
  <c r="Y987" i="1" s="1"/>
  <c r="X975" i="1"/>
  <c r="Y975" i="1" s="1"/>
  <c r="X963" i="1"/>
  <c r="Y963" i="1" s="1"/>
  <c r="X951" i="1"/>
  <c r="Y951" i="1" s="1"/>
  <c r="X939" i="1"/>
  <c r="Y939" i="1" s="1"/>
  <c r="X927" i="1"/>
  <c r="Y927" i="1" s="1"/>
  <c r="X915" i="1"/>
  <c r="Y915" i="1" s="1"/>
  <c r="X903" i="1"/>
  <c r="Y903" i="1" s="1"/>
  <c r="X891" i="1"/>
  <c r="Y891" i="1" s="1"/>
  <c r="X879" i="1"/>
  <c r="Y879" i="1" s="1"/>
  <c r="X867" i="1"/>
  <c r="Y867" i="1" s="1"/>
  <c r="X855" i="1"/>
  <c r="Y855" i="1" s="1"/>
  <c r="X843" i="1"/>
  <c r="Y843" i="1" s="1"/>
  <c r="X831" i="1"/>
  <c r="Y831" i="1" s="1"/>
  <c r="X819" i="1"/>
  <c r="Y819" i="1" s="1"/>
  <c r="X807" i="1"/>
  <c r="Y807" i="1" s="1"/>
  <c r="X795" i="1"/>
  <c r="Y795" i="1" s="1"/>
  <c r="X783" i="1"/>
  <c r="Y783" i="1" s="1"/>
  <c r="X771" i="1"/>
  <c r="Y771" i="1" s="1"/>
  <c r="X759" i="1"/>
  <c r="Y759" i="1" s="1"/>
  <c r="X747" i="1"/>
  <c r="Y747" i="1" s="1"/>
  <c r="X735" i="1"/>
  <c r="Y735" i="1" s="1"/>
  <c r="X723" i="1"/>
  <c r="Y723" i="1" s="1"/>
  <c r="X711" i="1"/>
  <c r="Y711" i="1" s="1"/>
  <c r="X699" i="1"/>
  <c r="Y699" i="1" s="1"/>
  <c r="X687" i="1"/>
  <c r="Y687" i="1" s="1"/>
  <c r="X675" i="1"/>
  <c r="Y675" i="1" s="1"/>
  <c r="X663" i="1"/>
  <c r="Y663" i="1" s="1"/>
  <c r="X651" i="1"/>
  <c r="Y651" i="1" s="1"/>
  <c r="X639" i="1"/>
  <c r="Y639" i="1" s="1"/>
  <c r="X627" i="1"/>
  <c r="Y627" i="1" s="1"/>
  <c r="X615" i="1"/>
  <c r="Y615" i="1" s="1"/>
  <c r="X603" i="1"/>
  <c r="Y603" i="1" s="1"/>
  <c r="X591" i="1"/>
  <c r="Y591" i="1" s="1"/>
  <c r="X579" i="1"/>
  <c r="Y579" i="1" s="1"/>
  <c r="X567" i="1"/>
  <c r="Y567" i="1" s="1"/>
  <c r="X555" i="1"/>
  <c r="Y555" i="1" s="1"/>
  <c r="X543" i="1"/>
  <c r="Y543" i="1" s="1"/>
  <c r="X531" i="1"/>
  <c r="Y531" i="1" s="1"/>
  <c r="X519" i="1"/>
  <c r="Y519" i="1" s="1"/>
  <c r="X507" i="1"/>
  <c r="Y507" i="1" s="1"/>
  <c r="X495" i="1"/>
  <c r="Y495" i="1" s="1"/>
  <c r="X483" i="1"/>
  <c r="Y483" i="1" s="1"/>
  <c r="X471" i="1"/>
  <c r="Y471" i="1" s="1"/>
  <c r="X459" i="1"/>
  <c r="Y459" i="1" s="1"/>
  <c r="X447" i="1"/>
  <c r="Y447" i="1" s="1"/>
  <c r="X435" i="1"/>
  <c r="Y435" i="1" s="1"/>
  <c r="X423" i="1"/>
  <c r="Y423" i="1" s="1"/>
  <c r="X411" i="1"/>
  <c r="Y411" i="1" s="1"/>
  <c r="X399" i="1"/>
  <c r="Y399" i="1" s="1"/>
  <c r="X387" i="1"/>
  <c r="Y387" i="1" s="1"/>
  <c r="X375" i="1"/>
  <c r="Y375" i="1" s="1"/>
  <c r="X363" i="1"/>
  <c r="Y363" i="1" s="1"/>
  <c r="X351" i="1"/>
  <c r="Y351" i="1" s="1"/>
  <c r="X339" i="1"/>
  <c r="Y339" i="1" s="1"/>
  <c r="X327" i="1"/>
  <c r="Y327" i="1" s="1"/>
  <c r="X315" i="1"/>
  <c r="Y315" i="1" s="1"/>
  <c r="X303" i="1"/>
  <c r="Y303" i="1" s="1"/>
  <c r="X291" i="1"/>
  <c r="Y291" i="1" s="1"/>
  <c r="X279" i="1"/>
  <c r="Y279" i="1" s="1"/>
  <c r="X267" i="1"/>
  <c r="Y267" i="1" s="1"/>
  <c r="X255" i="1"/>
  <c r="Y255" i="1" s="1"/>
  <c r="X243" i="1"/>
  <c r="Y243" i="1" s="1"/>
  <c r="X231" i="1"/>
  <c r="Y231" i="1" s="1"/>
  <c r="X219" i="1"/>
  <c r="Y219" i="1" s="1"/>
  <c r="X207" i="1"/>
  <c r="Y207" i="1" s="1"/>
  <c r="X195" i="1"/>
  <c r="Y195" i="1" s="1"/>
  <c r="X183" i="1"/>
  <c r="Y183" i="1" s="1"/>
  <c r="X171" i="1"/>
  <c r="Y171" i="1" s="1"/>
  <c r="X159" i="1"/>
  <c r="Y159" i="1" s="1"/>
  <c r="X147" i="1"/>
  <c r="Y147" i="1" s="1"/>
  <c r="X135" i="1"/>
  <c r="Y135" i="1" s="1"/>
  <c r="X123" i="1"/>
  <c r="Y123" i="1" s="1"/>
  <c r="X111" i="1"/>
  <c r="Y111" i="1" s="1"/>
  <c r="X99" i="1"/>
  <c r="Y99" i="1" s="1"/>
  <c r="X87" i="1"/>
  <c r="Y87" i="1" s="1"/>
  <c r="X75" i="1"/>
  <c r="Y75" i="1" s="1"/>
  <c r="X63" i="1"/>
  <c r="Y63" i="1" s="1"/>
  <c r="X51" i="1"/>
  <c r="Y51" i="1" s="1"/>
  <c r="X39" i="1"/>
  <c r="Y39" i="1" s="1"/>
  <c r="X27" i="1"/>
  <c r="Y27" i="1" s="1"/>
  <c r="X15" i="1"/>
  <c r="Y15" i="1" s="1"/>
  <c r="X3" i="1"/>
  <c r="Y3" i="1" s="1"/>
  <c r="X1094" i="1"/>
  <c r="Y1094" i="1" s="1"/>
  <c r="X1082" i="1"/>
  <c r="Y1082" i="1" s="1"/>
  <c r="X1070" i="1"/>
  <c r="Y1070" i="1" s="1"/>
  <c r="X1058" i="1"/>
  <c r="Y1058" i="1" s="1"/>
  <c r="X1046" i="1"/>
  <c r="Y1046" i="1" s="1"/>
  <c r="X1034" i="1"/>
  <c r="Y1034" i="1" s="1"/>
  <c r="X1022" i="1"/>
  <c r="Y1022" i="1" s="1"/>
  <c r="X1010" i="1"/>
  <c r="Y1010" i="1" s="1"/>
  <c r="X998" i="1"/>
  <c r="Y998" i="1" s="1"/>
  <c r="X986" i="1"/>
  <c r="Y986" i="1" s="1"/>
  <c r="X974" i="1"/>
  <c r="Y974" i="1" s="1"/>
  <c r="X962" i="1"/>
  <c r="Y962" i="1" s="1"/>
  <c r="X950" i="1"/>
  <c r="Y950" i="1" s="1"/>
  <c r="X938" i="1"/>
  <c r="Y938" i="1" s="1"/>
  <c r="X926" i="1"/>
  <c r="Y926" i="1" s="1"/>
  <c r="X914" i="1"/>
  <c r="Y914" i="1" s="1"/>
  <c r="X902" i="1"/>
  <c r="Y902" i="1" s="1"/>
  <c r="X890" i="1"/>
  <c r="Y890" i="1" s="1"/>
  <c r="X878" i="1"/>
  <c r="Y878" i="1" s="1"/>
  <c r="X866" i="1"/>
  <c r="Y866" i="1" s="1"/>
  <c r="X854" i="1"/>
  <c r="Y854" i="1" s="1"/>
  <c r="X842" i="1"/>
  <c r="Y842" i="1" s="1"/>
  <c r="X830" i="1"/>
  <c r="Y830" i="1" s="1"/>
  <c r="X818" i="1"/>
  <c r="Y818" i="1" s="1"/>
  <c r="X806" i="1"/>
  <c r="Y806" i="1" s="1"/>
  <c r="X794" i="1"/>
  <c r="Y794" i="1" s="1"/>
  <c r="X782" i="1"/>
  <c r="Y782" i="1" s="1"/>
  <c r="X770" i="1"/>
  <c r="Y770" i="1" s="1"/>
  <c r="X758" i="1"/>
  <c r="Y758" i="1" s="1"/>
  <c r="X746" i="1"/>
  <c r="Y746" i="1" s="1"/>
  <c r="X734" i="1"/>
  <c r="Y734" i="1" s="1"/>
  <c r="X722" i="1"/>
  <c r="Y722" i="1" s="1"/>
  <c r="X710" i="1"/>
  <c r="Y710" i="1" s="1"/>
  <c r="X698" i="1"/>
  <c r="Y698" i="1" s="1"/>
  <c r="X686" i="1"/>
  <c r="Y686" i="1" s="1"/>
  <c r="X674" i="1"/>
  <c r="Y674" i="1" s="1"/>
  <c r="X662" i="1"/>
  <c r="Y662" i="1" s="1"/>
  <c r="X650" i="1"/>
  <c r="Y650" i="1" s="1"/>
  <c r="X638" i="1"/>
  <c r="Y638" i="1" s="1"/>
  <c r="X626" i="1"/>
  <c r="Y626" i="1" s="1"/>
  <c r="X614" i="1"/>
  <c r="Y614" i="1" s="1"/>
  <c r="X602" i="1"/>
  <c r="Y602" i="1" s="1"/>
  <c r="X590" i="1"/>
  <c r="Y590" i="1" s="1"/>
  <c r="X578" i="1"/>
  <c r="Y578" i="1" s="1"/>
  <c r="X566" i="1"/>
  <c r="Y566" i="1" s="1"/>
  <c r="X554" i="1"/>
  <c r="Y554" i="1" s="1"/>
  <c r="X542" i="1"/>
  <c r="Y542" i="1" s="1"/>
  <c r="X530" i="1"/>
  <c r="Y530" i="1" s="1"/>
  <c r="X518" i="1"/>
  <c r="Y518" i="1" s="1"/>
  <c r="X506" i="1"/>
  <c r="Y506" i="1" s="1"/>
  <c r="X494" i="1"/>
  <c r="Y494" i="1" s="1"/>
  <c r="X482" i="1"/>
  <c r="Y482" i="1" s="1"/>
  <c r="X470" i="1"/>
  <c r="Y470" i="1" s="1"/>
  <c r="X458" i="1"/>
  <c r="Y458" i="1" s="1"/>
  <c r="X446" i="1"/>
  <c r="Y446" i="1" s="1"/>
  <c r="X434" i="1"/>
  <c r="Y434" i="1" s="1"/>
  <c r="X422" i="1"/>
  <c r="Y422" i="1" s="1"/>
  <c r="X410" i="1"/>
  <c r="Y410" i="1" s="1"/>
  <c r="X398" i="1"/>
  <c r="Y398" i="1" s="1"/>
  <c r="X386" i="1"/>
  <c r="Y386" i="1" s="1"/>
  <c r="X374" i="1"/>
  <c r="Y374" i="1" s="1"/>
  <c r="X362" i="1"/>
  <c r="Y362" i="1" s="1"/>
  <c r="X350" i="1"/>
  <c r="Y350" i="1" s="1"/>
  <c r="X338" i="1"/>
  <c r="Y338" i="1" s="1"/>
  <c r="X326" i="1"/>
  <c r="Y326" i="1" s="1"/>
  <c r="X314" i="1"/>
  <c r="Y314" i="1" s="1"/>
  <c r="X302" i="1"/>
  <c r="Y302" i="1" s="1"/>
  <c r="X290" i="1"/>
  <c r="Y290" i="1" s="1"/>
  <c r="X278" i="1"/>
  <c r="Y278" i="1" s="1"/>
  <c r="X266" i="1"/>
  <c r="Y266" i="1" s="1"/>
  <c r="X254" i="1"/>
  <c r="Y254" i="1" s="1"/>
  <c r="X242" i="1"/>
  <c r="Y242" i="1" s="1"/>
  <c r="X230" i="1"/>
  <c r="Y230" i="1" s="1"/>
  <c r="X218" i="1"/>
  <c r="Y218" i="1" s="1"/>
  <c r="X206" i="1"/>
  <c r="Y206" i="1" s="1"/>
  <c r="X194" i="1"/>
  <c r="Y194" i="1" s="1"/>
  <c r="X182" i="1"/>
  <c r="Y182" i="1" s="1"/>
  <c r="X170" i="1"/>
  <c r="Y170" i="1" s="1"/>
  <c r="X158" i="1"/>
  <c r="Y158" i="1" s="1"/>
  <c r="X146" i="1"/>
  <c r="Y146" i="1" s="1"/>
  <c r="X134" i="1"/>
  <c r="Y134" i="1" s="1"/>
  <c r="X122" i="1"/>
  <c r="Y122" i="1" s="1"/>
  <c r="X110" i="1"/>
  <c r="Y110" i="1" s="1"/>
  <c r="X98" i="1"/>
  <c r="Y98" i="1" s="1"/>
  <c r="X86" i="1"/>
  <c r="Y86" i="1" s="1"/>
  <c r="X74" i="1"/>
  <c r="Y74" i="1" s="1"/>
  <c r="X62" i="1"/>
  <c r="Y62" i="1" s="1"/>
  <c r="X50" i="1"/>
  <c r="Y50" i="1" s="1"/>
  <c r="X38" i="1"/>
  <c r="Y38" i="1" s="1"/>
  <c r="X26" i="1"/>
  <c r="Y26" i="1" s="1"/>
  <c r="X14" i="1"/>
  <c r="Y14" i="1" s="1"/>
  <c r="X6" i="1"/>
  <c r="Y6" i="1" s="1"/>
  <c r="X113" i="1"/>
  <c r="Y113" i="1" s="1"/>
  <c r="X101" i="1"/>
  <c r="Y101" i="1" s="1"/>
  <c r="X89" i="1"/>
  <c r="Y89" i="1" s="1"/>
  <c r="X77" i="1"/>
  <c r="Y77" i="1" s="1"/>
  <c r="X65" i="1"/>
  <c r="Y65" i="1" s="1"/>
  <c r="X53" i="1"/>
  <c r="Y53" i="1" s="1"/>
  <c r="X41" i="1"/>
  <c r="Y41" i="1" s="1"/>
  <c r="X29" i="1"/>
  <c r="Y29" i="1" s="1"/>
  <c r="X17" i="1"/>
  <c r="Y17" i="1" s="1"/>
  <c r="X5" i="1"/>
  <c r="Y5" i="1" s="1"/>
</calcChain>
</file>

<file path=xl/sharedStrings.xml><?xml version="1.0" encoding="utf-8"?>
<sst xmlns="http://schemas.openxmlformats.org/spreadsheetml/2006/main" count="37370" uniqueCount="3318">
  <si>
    <t>category</t>
  </si>
  <si>
    <t>brand</t>
  </si>
  <si>
    <t>brandform</t>
  </si>
  <si>
    <t>subbrand_form</t>
  </si>
  <si>
    <t>sku_code</t>
  </si>
  <si>
    <t>sku_name</t>
  </si>
  <si>
    <t>expiry_date</t>
  </si>
  <si>
    <t>shelf_life</t>
  </si>
  <si>
    <t>remaining_shelf_life_percent</t>
  </si>
  <si>
    <t>Total Qty</t>
  </si>
  <si>
    <t>value</t>
  </si>
  <si>
    <t>Avg_mon_sales</t>
  </si>
  <si>
    <t>inv_cover</t>
  </si>
  <si>
    <t>Slow_Moving_Flag</t>
  </si>
  <si>
    <t>Grooming</t>
  </si>
  <si>
    <t>Gillette Mach3</t>
  </si>
  <si>
    <t>Mach-3 Cart</t>
  </si>
  <si>
    <t>Mach 3 Cart 8s CSD</t>
  </si>
  <si>
    <t>MACH3 PPH CART8 1CSX36IT 1049INR 557.1</t>
  </si>
  <si>
    <t>Yes</t>
  </si>
  <si>
    <t>Oral Care</t>
  </si>
  <si>
    <t>ORAL B</t>
  </si>
  <si>
    <t>OB Classic Super Clean</t>
  </si>
  <si>
    <t>OB CLASSICSUPCLN MED</t>
  </si>
  <si>
    <t>OB CLSIC SUPCLN 40M SPK 35INR 1X6X36 CSD</t>
  </si>
  <si>
    <t>No</t>
  </si>
  <si>
    <t>OB 123 Neem</t>
  </si>
  <si>
    <t>OB 123 Neem6+1M HTH</t>
  </si>
  <si>
    <t>OB123 NEEM 40M SPK (6+1FREE)X20 HTH</t>
  </si>
  <si>
    <t>Skin Care</t>
  </si>
  <si>
    <t>Olay</t>
  </si>
  <si>
    <t>Olay Luminous</t>
  </si>
  <si>
    <t>Luminous Night 50gm</t>
  </si>
  <si>
    <t>OLAY LUMI BRIGT NGHT CRM 50GX6_IN_RS1199</t>
  </si>
  <si>
    <t>Mach-3 Rzr</t>
  </si>
  <si>
    <t>Mach 3 Celebration Pack</t>
  </si>
  <si>
    <t>Gillette Celebration Gift Pk 1X6 INR 499</t>
  </si>
  <si>
    <t>Gillette Presto Intl</t>
  </si>
  <si>
    <t>GPI</t>
  </si>
  <si>
    <t>GPI 1s</t>
  </si>
  <si>
    <t>PREST MAX DIS 1 FXD 1X48X16 20INR SR</t>
  </si>
  <si>
    <t>Hair Care</t>
  </si>
  <si>
    <t>Pantene</t>
  </si>
  <si>
    <t>Pantene Bottles</t>
  </si>
  <si>
    <t>Pntn TDC 200ml</t>
  </si>
  <si>
    <t>PNTN SHM 180 ML X56 AHS TD IN RS PC</t>
  </si>
  <si>
    <t>Personal Care (GIL)</t>
  </si>
  <si>
    <t>Gillette</t>
  </si>
  <si>
    <t>Gillette Foam</t>
  </si>
  <si>
    <t>Foam (Lmn) 200ml</t>
  </si>
  <si>
    <t>GIL FM SHVP 196 G LMNL 199INR 1X24</t>
  </si>
  <si>
    <t>OB Crisscross</t>
  </si>
  <si>
    <t>OB PH BASEMED N</t>
  </si>
  <si>
    <t>OB OM209 PH CRCR TL 40M BCD 80INR 1X6X20</t>
  </si>
  <si>
    <t>H&amp;S</t>
  </si>
  <si>
    <t>H&amp;S Bottles</t>
  </si>
  <si>
    <t>H&amp;S SS 750ml</t>
  </si>
  <si>
    <t>H&amp;S SHM 650ML X12 S&amp;S PC2 IN MK</t>
  </si>
  <si>
    <t>Fusion</t>
  </si>
  <si>
    <t>Fusion Carts eC</t>
  </si>
  <si>
    <t>Fusion Crt 6s eC</t>
  </si>
  <si>
    <t>FUSION CARTS 6S 557 1X6X4 1630 INR</t>
  </si>
  <si>
    <t>Mach 3 Cart 4s</t>
  </si>
  <si>
    <t>MACH3 CRT 4 1CSX48IT 525INR IN DSTNY PU</t>
  </si>
  <si>
    <t>Fusion Raz</t>
  </si>
  <si>
    <t>Fusion Power Raz</t>
  </si>
  <si>
    <t>Fusion Pow Razor 557 1UP 1CSX36IT 549INR</t>
  </si>
  <si>
    <t>7 O Clock PII</t>
  </si>
  <si>
    <t>Other System Rzr</t>
  </si>
  <si>
    <t>7 o Clock PII Razor</t>
  </si>
  <si>
    <t>7OCLK PII RAZOR FXD 1X12X12 125 INR PU</t>
  </si>
  <si>
    <t>Baby Care</t>
  </si>
  <si>
    <t>Pampers</t>
  </si>
  <si>
    <t>Pampers Pants-Big Packs-Holi</t>
  </si>
  <si>
    <t>AB Pants NB Jumbo PM DM</t>
  </si>
  <si>
    <t>PAMPERS PANTS XS66SX6 JP HL3 DM IN</t>
  </si>
  <si>
    <t>Mini Lumi Essence 7ml</t>
  </si>
  <si>
    <t>OLAY LUM ESSENCE 7MLX3X4 IN_MARS_INR349</t>
  </si>
  <si>
    <t>AB Pants SM Jumbo PM DM</t>
  </si>
  <si>
    <t>PAMPERS PANTS SM56SX6 JP HL3 DM IN</t>
  </si>
  <si>
    <t>HERBAL ESSENCES</t>
  </si>
  <si>
    <t>Herbal Conditioner</t>
  </si>
  <si>
    <t>HE Strawberry CN 240ML</t>
  </si>
  <si>
    <t>HE CN 240MLX6 ST&amp;MT PC1 SIZING IN</t>
  </si>
  <si>
    <t>Gillette Shaving Crm</t>
  </si>
  <si>
    <t>Cream GIL Reg 93gm</t>
  </si>
  <si>
    <t>GIL REGULAR SHV CRM 70GX12X8 75INR</t>
  </si>
  <si>
    <t>H&amp;S 2-in-1 Bottle</t>
  </si>
  <si>
    <t>H&amp;S 2in1 AHF 675 ml</t>
  </si>
  <si>
    <t>H&amp;S SHM650ML X 12 AHF2IN1 PC3 IN MK</t>
  </si>
  <si>
    <t>Fem Care</t>
  </si>
  <si>
    <t>Whisper Ultra</t>
  </si>
  <si>
    <t>Whisper Ultra Clean</t>
  </si>
  <si>
    <t>whspr Rangeela RTM</t>
  </si>
  <si>
    <t>Whisper Rangeela RTM Pack PU</t>
  </si>
  <si>
    <t>H&amp;S 2IN1 AP 675 ML</t>
  </si>
  <si>
    <t>H&amp;S SHM 650ML X12 AP 2IN1 PC4 IN MK</t>
  </si>
  <si>
    <t>AB Pants LG Jumbo PM</t>
  </si>
  <si>
    <t>PAMPERS PANTS LG38SX6 JP HL3 CC IN</t>
  </si>
  <si>
    <t>Personal Care (OS)</t>
  </si>
  <si>
    <t>Old Spice</t>
  </si>
  <si>
    <t>Old Spice Deodorants</t>
  </si>
  <si>
    <t>OS DEO LIONPRIDE</t>
  </si>
  <si>
    <t>OLD SPICE LIONPRIDE 140MLX12X4 IN 299</t>
  </si>
  <si>
    <t>Aircare</t>
  </si>
  <si>
    <t>AmbiPur</t>
  </si>
  <si>
    <t>AmbiPur Car Starters</t>
  </si>
  <si>
    <t>AmbPr CarST Vanilla</t>
  </si>
  <si>
    <t>AMBI CAR3 GST VBQ ST 7.5MLX12_IN</t>
  </si>
  <si>
    <t>ProGlide Flexbal Rzr</t>
  </si>
  <si>
    <t>ProGlide Styler</t>
  </si>
  <si>
    <t>557 GILLETTE STYLER RZR 1x24 999 INR</t>
  </si>
  <si>
    <t>Whisper Ultra Nights</t>
  </si>
  <si>
    <t>whspr Ult ON XL+ 40s</t>
  </si>
  <si>
    <t>WHISPER ULT NGT XL+40X18 (599)AUR 3.0_1K</t>
  </si>
  <si>
    <t>Guard</t>
  </si>
  <si>
    <t>Guard Razor</t>
  </si>
  <si>
    <t>Guard R+12 Promo pack</t>
  </si>
  <si>
    <t>GRD RES RAZ+12CT PT 1CSX144IT 130INR</t>
  </si>
  <si>
    <t>Pntn LB 675ml</t>
  </si>
  <si>
    <t>PNTN SHM 650 ML X 12 AHS LB IN PC4 RS</t>
  </si>
  <si>
    <t>Pantene Conditioner Bottles</t>
  </si>
  <si>
    <t>Pntn condi SS 180ml</t>
  </si>
  <si>
    <t>PNTN COND 200MLX 24 AHS SS IN XN PC</t>
  </si>
  <si>
    <t>H&amp;S 2in1 AP 400 ml</t>
  </si>
  <si>
    <t>H&amp;S SHM 340ML X 30 AP 2IN1 PC4 IN MK</t>
  </si>
  <si>
    <t>OB POC Refill</t>
  </si>
  <si>
    <t>OB POC PC Rs499 Refill</t>
  </si>
  <si>
    <t>EB20RB 2 ct PrecisionClean ENG FFS IN</t>
  </si>
  <si>
    <t>Gillette Series</t>
  </si>
  <si>
    <t>G Series Foam &amp; Gel</t>
  </si>
  <si>
    <t>BASE REFRESH BREEZE 195G</t>
  </si>
  <si>
    <t>SHVP REFRESH BREEZE 195G 1X6 INR325</t>
  </si>
  <si>
    <t>OB POC Handle</t>
  </si>
  <si>
    <t>OB POC KIDS FROZEN</t>
  </si>
  <si>
    <t>D100.413.2K INDIA FROZEN BOX PTHBR</t>
  </si>
  <si>
    <t>Old Spice After Shave</t>
  </si>
  <si>
    <t>ASL LIONPRIDE 150ML</t>
  </si>
  <si>
    <t>OS ASL SPLAS LIONPRIDE 150MLX24 S3_RS299</t>
  </si>
  <si>
    <t>SENS DEEP COMFT 195G</t>
  </si>
  <si>
    <t>SHVP SENST DEEP COMFT 195G 1X6 INR375</t>
  </si>
  <si>
    <t>AmbiPur Car Gel</t>
  </si>
  <si>
    <t>AmbPr CarGel Rose</t>
  </si>
  <si>
    <t>AMBIP GELFR ROSE 75GX24 SPRING 20 IN</t>
  </si>
  <si>
    <t>Moisturizing Cream</t>
  </si>
  <si>
    <t>Olay Mst Crm 50gm</t>
  </si>
  <si>
    <t>OLAY MOISTURISING CRM 50GX48 IN_RS349</t>
  </si>
  <si>
    <t>RG Cream</t>
  </si>
  <si>
    <t>RG MS Day 50gm</t>
  </si>
  <si>
    <t>OLAY RG MC CRM 50GX6_IN_RS1799</t>
  </si>
  <si>
    <t>Pampers Pants-LCPs (1s-2s-4s)-Holi</t>
  </si>
  <si>
    <t>BLUE Pants 1s MD</t>
  </si>
  <si>
    <t>PAMPERS DPR MD1SX10X28 LCP HL3 IN</t>
  </si>
  <si>
    <t>H&amp;S CM 750ML</t>
  </si>
  <si>
    <t>H&amp;S SHM 650ML X12 CM PC5 IN MK23</t>
  </si>
  <si>
    <t>Whisper Ultra Soft</t>
  </si>
  <si>
    <t>whspr Soft XL 50s</t>
  </si>
  <si>
    <t>WHISPULT SOFTS XL 50X12(625) SkinLove</t>
  </si>
  <si>
    <t>AB Pants SM Sup Jumbo PM</t>
  </si>
  <si>
    <t>PAMPERS PANTS HL4 SM86SX4 SJ IN</t>
  </si>
  <si>
    <t>ASL MUSK 100ML</t>
  </si>
  <si>
    <t>OS ASL MUSK 100MLX48 S3_RS249</t>
  </si>
  <si>
    <t>Fusion Cart</t>
  </si>
  <si>
    <t>Fusion 4s</t>
  </si>
  <si>
    <t>FUSION 4CT 557 1X10X4 1099INR</t>
  </si>
  <si>
    <t>OB POC Vitality TC</t>
  </si>
  <si>
    <t>D100.413.2X IND CRRB WT HBOX PTHBR 1X6</t>
  </si>
  <si>
    <t>AB Pants XL Box Pk</t>
  </si>
  <si>
    <t>PAMPERS PANTS HL4 XL112SX1 BOX IN</t>
  </si>
  <si>
    <t>Guard R+6 Promo pack</t>
  </si>
  <si>
    <t>GUARD RES R+6CT 1X12X10 85INR</t>
  </si>
  <si>
    <t>OB WS Shiny Clean</t>
  </si>
  <si>
    <t>OB WHLSALE SHINYS CS</t>
  </si>
  <si>
    <t>OB WS SHNYCLN RT X11+CD X2 35S 20/30 INR</t>
  </si>
  <si>
    <t>Premium Pants</t>
  </si>
  <si>
    <t>PC Pants SM Sup Jumbo Pk</t>
  </si>
  <si>
    <t>PAMPERS PANTS MULMUL SM70SX4 JP UC IN</t>
  </si>
  <si>
    <t>Pntn LC 340ml</t>
  </si>
  <si>
    <t>PNTN SHM 400ML X 30 HS LC IN</t>
  </si>
  <si>
    <t>Fabric &amp; Home Care</t>
  </si>
  <si>
    <t>Ariel Liquid</t>
  </si>
  <si>
    <t>Ariel Matic Liquid</t>
  </si>
  <si>
    <t>Ariel Liq 3.2L Pch TL</t>
  </si>
  <si>
    <t>ARIEL LIQ 3.2LX4 MAT TL PCH2 PC__</t>
  </si>
  <si>
    <t>OB Crisscross Antiplaq Neem B2G2 Sft</t>
  </si>
  <si>
    <t>OB OM196 CRCS DeepClnNEEM40S 160INR4X6X6</t>
  </si>
  <si>
    <t>H&amp;S SHM 340ML X 30 AP 2IN1 IN Dec23</t>
  </si>
  <si>
    <t>OS Pocket Nomad HTH</t>
  </si>
  <si>
    <t>OLD SPICE NOMAD 17MLX12X12 IN 75 HTH</t>
  </si>
  <si>
    <t>Health Care</t>
  </si>
  <si>
    <t>Vaporub</t>
  </si>
  <si>
    <t>Vaporub 5gm</t>
  </si>
  <si>
    <t>VICKS VAPORUB 5MLX12X100 FLATS LC INR25</t>
  </si>
  <si>
    <t>Fusion 8s</t>
  </si>
  <si>
    <t>FUSION 8CT 557 1X10X4 1999INR</t>
  </si>
  <si>
    <t>Ariel</t>
  </si>
  <si>
    <t>Ariel Base Bags</t>
  </si>
  <si>
    <t>Ariel Complete 2+1kg</t>
  </si>
  <si>
    <t>ARIEL LAU (2KG+1KG)X8 Comp AS PC</t>
  </si>
  <si>
    <t>Ariel New Matics</t>
  </si>
  <si>
    <t>Ariel Mat TL 500g</t>
  </si>
  <si>
    <t>ARIEL PWD 500GX48 MAT TL Oct23 AM PC_</t>
  </si>
  <si>
    <t>OB POC VitalityCA WT</t>
  </si>
  <si>
    <t>D100.413.2 INDIA CRRB WT HBOX PTHBR 1X6</t>
  </si>
  <si>
    <t>VAPORUB 25GM SW PROMO</t>
  </si>
  <si>
    <t>VICKS VAPORB 25MLX(19+1)X16 JAR INR109</t>
  </si>
  <si>
    <t>HE CN 240MLX6 ST&amp;MT PC2 IN</t>
  </si>
  <si>
    <t>GUARD RES R+12CT 1X12X12 144INR</t>
  </si>
  <si>
    <t>whspr Ultra XL 15s</t>
  </si>
  <si>
    <t>WHSPR ULT LCC+ XL WGS 15X30(165)_</t>
  </si>
  <si>
    <t>Female Hair Removal</t>
  </si>
  <si>
    <t>Venus</t>
  </si>
  <si>
    <t>Venus Razor</t>
  </si>
  <si>
    <t>VENUS SMTH SENS H+C 1X18IT 657.1 INR325</t>
  </si>
  <si>
    <t>OB Sensitive</t>
  </si>
  <si>
    <t>OB Sens White B2G2</t>
  </si>
  <si>
    <t>OB Pro Clean 40XS BCD 4CT 145INR 4X6X8</t>
  </si>
  <si>
    <t>Whisper Choice</t>
  </si>
  <si>
    <t>Whisper Choice Nights</t>
  </si>
  <si>
    <t>whspr Choice ON XXL 40s</t>
  </si>
  <si>
    <t>WHSPRNIGHTS T5 40X16(335)</t>
  </si>
  <si>
    <t>Pntn SS 700ml</t>
  </si>
  <si>
    <t>PNTN SHM 650 ML X 12 HS SS IN</t>
  </si>
  <si>
    <t>Tide</t>
  </si>
  <si>
    <t>Tide Naturals</t>
  </si>
  <si>
    <t>Tide Naturals 3Kg</t>
  </si>
  <si>
    <t>TIDE PWD TIGER 3KG x 8 NATURALS TV PC</t>
  </si>
  <si>
    <t>OB Cav Def Charcoal</t>
  </si>
  <si>
    <t>OB CavDefCharcl Med4</t>
  </si>
  <si>
    <t>OB CD CHRCL 4CT BCD 40M 120INR 1X6X12_</t>
  </si>
  <si>
    <t>Olay Collagen</t>
  </si>
  <si>
    <t>Collagen Serum 30ml</t>
  </si>
  <si>
    <t>OLAY COLLAGEN 30MLX6 IN BR STK</t>
  </si>
  <si>
    <t>AB Pants XL Sup Jumbo PM</t>
  </si>
  <si>
    <t>PAMPERS PANTS HL4.1 XL56SX4 SJ IN</t>
  </si>
  <si>
    <t>AB PANTS MEGA LG OFF PACK DM New</t>
  </si>
  <si>
    <t>PAMPERS PANTS HL4.1 LG60SX4 New MR MP IN</t>
  </si>
  <si>
    <t>Ariel Mat FL 6 Kg PM</t>
  </si>
  <si>
    <t>ARIEL PWD (4+2)KG X2 MAT FL JFM AF PC</t>
  </si>
  <si>
    <t>Whisper Choice Regular</t>
  </si>
  <si>
    <t>whspr Choice Aloe 6s</t>
  </si>
  <si>
    <t>WHSPRCHOICE ALOERGNATUR 6X120(35)</t>
  </si>
  <si>
    <t>GPI-B3G1</t>
  </si>
  <si>
    <t>PRESTO DIS B3G1 1X12X16 75INR PU</t>
  </si>
  <si>
    <t>whspr Ult ON XL+ 44s</t>
  </si>
  <si>
    <t>WHSPR ULT BIN NGT XL+ 44X18 (675) 1K</t>
  </si>
  <si>
    <t>7 Other System Cart</t>
  </si>
  <si>
    <t>P II Cart</t>
  </si>
  <si>
    <t>7OCLK PII 5CT 1X50X12 INR240</t>
  </si>
  <si>
    <t>Vaporub 50gm</t>
  </si>
  <si>
    <t>VICKS VAPORUB 50MLX15X12 JAR INR199</t>
  </si>
  <si>
    <t>Gillette Labs</t>
  </si>
  <si>
    <t>Labs Carts</t>
  </si>
  <si>
    <t>Labs Cart 4s</t>
  </si>
  <si>
    <t>GilletteLabs 601 Cart4s 1CSX60IT 1999INR</t>
  </si>
  <si>
    <t>Whisper Period Panty</t>
  </si>
  <si>
    <t>Whspr ON Koala Pants M-L 6s</t>
  </si>
  <si>
    <t>WHISPER OVN KOALA7 PANTS M/L 6SX12</t>
  </si>
  <si>
    <t>Gillette Vector Plus</t>
  </si>
  <si>
    <t>Vector Rzr</t>
  </si>
  <si>
    <t>VEC+ ELHDL PSHBT GREY 1X12X12 INR99</t>
  </si>
  <si>
    <t>ARIEL PWD (4+2)KG X2 MAT FL OND AF PC_</t>
  </si>
  <si>
    <t>BabyRub</t>
  </si>
  <si>
    <t>BabyRub 10 ml RTM</t>
  </si>
  <si>
    <t>VICKS BABYRUB 10MLX4X144 RTM INR55</t>
  </si>
  <si>
    <t>HE Cocomilk CN 400ml</t>
  </si>
  <si>
    <t>HE CN 400MLX6 COCO MLK PC2 IN</t>
  </si>
  <si>
    <t>7 O Clock</t>
  </si>
  <si>
    <t>7 DE Rzr</t>
  </si>
  <si>
    <t>SP Rzr</t>
  </si>
  <si>
    <t>DE 7OCLK SP RAZ2UP 1X12X12 85INR LA</t>
  </si>
  <si>
    <t>whspr Ultra XL+ 50s</t>
  </si>
  <si>
    <t>WHSPR ULTCLN XL+WGS 50X24(659)Q4.3 1K</t>
  </si>
  <si>
    <t>Venus Cart</t>
  </si>
  <si>
    <t>Venus Swirl Cart 2s</t>
  </si>
  <si>
    <t>VENUS SMTH CRVS CRT2 2X10X4 657.1 549INR</t>
  </si>
  <si>
    <t>Olay Retinol</t>
  </si>
  <si>
    <t>Retinol Max Cream</t>
  </si>
  <si>
    <t>OLAY FCE CRM 50GX6 RG RETMAX IN CTMZ</t>
  </si>
  <si>
    <t>AmbiPur Air Effects</t>
  </si>
  <si>
    <t>AmbPr Air SW</t>
  </si>
  <si>
    <t>AMBI LEGO AIR SPRAY 275mlX6 SW</t>
  </si>
  <si>
    <t>H&amp;S 2in1 SS 675 ml</t>
  </si>
  <si>
    <t>H&amp;S SHM 650ML X 12 S&amp;S 2IN1 IN</t>
  </si>
  <si>
    <t>BLUE Pants Jumbo New SM</t>
  </si>
  <si>
    <t>PAMPERS PANTS HL4.1 SM56SX6 JPCO IN</t>
  </si>
  <si>
    <t>PC Pants LG Jumbo Pk</t>
  </si>
  <si>
    <t>PAMPERS DPR MULMUL2 LG26SX6 VP IN</t>
  </si>
  <si>
    <t>Mini Retinol Crm 8g</t>
  </si>
  <si>
    <t>OLAY RETINOL CRM 8GX12 IN BR STK</t>
  </si>
  <si>
    <t>Olay Super Serums</t>
  </si>
  <si>
    <t>Olay Vit C Cream</t>
  </si>
  <si>
    <t>OLAY FACECRM 50GX6 VITC IN BR STK</t>
  </si>
  <si>
    <t>H&amp;S Sachets</t>
  </si>
  <si>
    <t>H&amp;S 7in1 Rs 3</t>
  </si>
  <si>
    <t>H&amp;S 7IN1 ANTI DANDRUFF SHM 6.5MLX576 IN</t>
  </si>
  <si>
    <t>Ariel Liq1L Pouch FL A</t>
  </si>
  <si>
    <t>ARIEL LAU LIQ 1LX12 MAT FL PCH PRCP A PC</t>
  </si>
  <si>
    <t>AB Pants LG Sup Jumbo PM</t>
  </si>
  <si>
    <t>PAMPERS PANTS HL4.1 LG64SX4 SJ IN</t>
  </si>
  <si>
    <t>SS Rzr</t>
  </si>
  <si>
    <t>DE 7OCLK PRMSH RAZ2UP 1X12X12 INR49</t>
  </si>
  <si>
    <t>Pntn DR 340ml</t>
  </si>
  <si>
    <t>PNTN SHM 340ML X 30 HS DR IN PR</t>
  </si>
  <si>
    <t>7OCLK PII RAZOR FXD 1X12X12 INR130</t>
  </si>
  <si>
    <t>PC Pants MD Sup Jumbo Pk</t>
  </si>
  <si>
    <t>PAMPERS DPR MULMUL2.1 MD54SX4 JP IN</t>
  </si>
  <si>
    <t>Fusion Pow Rzr 557.1 1UP 1X6X6IT 575 INR</t>
  </si>
  <si>
    <t>PC Pants SM Jumbo Pk</t>
  </si>
  <si>
    <t>PAMPERS PANTS MULMUL2.1 SM36SX12 VP IN</t>
  </si>
  <si>
    <t>Active Baby</t>
  </si>
  <si>
    <t>Active Baby SM Value</t>
  </si>
  <si>
    <t>PAMPERS DPR M5 SM66SX6 VP IN</t>
  </si>
  <si>
    <t>OB Prohealth New</t>
  </si>
  <si>
    <t>OB PH Sens UT 1s</t>
  </si>
  <si>
    <t>OB PH CRCRS UT SEN 40XS 65INR BCD 1X6X16</t>
  </si>
  <si>
    <t>H&amp;S 2in1 CM 675 ml</t>
  </si>
  <si>
    <t>H&amp;S SHM 650ML X 12 CM 2IN1 IN PC OND24</t>
  </si>
  <si>
    <t>Guard R+8 Promo Pack</t>
  </si>
  <si>
    <t>GUARD R+8CT 1X12X10 109 INR</t>
  </si>
  <si>
    <t>Pampers Pants-LCPs (1s-2s-4s)-Dlite</t>
  </si>
  <si>
    <t>RED Pants 1s MD</t>
  </si>
  <si>
    <t>PAMPERS DPR DL2 MD1SX12X27 LCP DM BF2 IN</t>
  </si>
  <si>
    <t>AmbPr Air EJ</t>
  </si>
  <si>
    <t>AMBI LEGO AIR SPRAY 275mlX6 EJ</t>
  </si>
  <si>
    <t>DE 7OCLK SP RAZ2UP 1X12X12 INR99</t>
  </si>
  <si>
    <t>Ariel Liq 4L Pch TL PM</t>
  </si>
  <si>
    <t>ARIEL LIQ 4L X 3 MAT TL PCH TRISHUL PC</t>
  </si>
  <si>
    <t>PC NB Sup Jumbo</t>
  </si>
  <si>
    <t>PAMPERS PANTS MULMUL2.1 XS70SX4 JP IN</t>
  </si>
  <si>
    <t>H&amp;S Neem 650ml</t>
  </si>
  <si>
    <t>H&amp;S SHM 650ML X 12 NEEM IN PC OND24</t>
  </si>
  <si>
    <t>Fusion PG Rzr 557.1 1UP 1X6X6IT 575 INR</t>
  </si>
  <si>
    <t>PC Pants SM Box Pk</t>
  </si>
  <si>
    <t>PAMPERS PANTS MULMUL2.1 SM140SX1 BOX IN</t>
  </si>
  <si>
    <t>H&amp;S 2in1 AHF 400 ml</t>
  </si>
  <si>
    <t>H&amp;S SHM 340ML X30 AHF 2IN1 IN PC OND24</t>
  </si>
  <si>
    <t>PNTN SHM 650 ML X 12 HS SS IN PR PC24</t>
  </si>
  <si>
    <t>Venus Disposable</t>
  </si>
  <si>
    <t>Venus Skin Love 1s</t>
  </si>
  <si>
    <t>VENUS SKINLV SENS 1CT 1X12X6 165 INR</t>
  </si>
  <si>
    <t>RED Pants 1s LG</t>
  </si>
  <si>
    <t>PAMPERS DPR DL2 LG1SX12X27 LCP DM BF2 IN</t>
  </si>
  <si>
    <t>Mach-3 Turbo</t>
  </si>
  <si>
    <t>Turbo Mach-3 Cart</t>
  </si>
  <si>
    <t>Turbo Cart 8s</t>
  </si>
  <si>
    <t>MACH3 TRB CART 8s 1X6X6 INR 1399</t>
  </si>
  <si>
    <t>RED Pants 2s NB</t>
  </si>
  <si>
    <t>PAMPERS DPR DL2 XS2SX192 LCP KN IN</t>
  </si>
  <si>
    <t>Fusion 2s</t>
  </si>
  <si>
    <t>FUSION CARTS 2CT 1X10X20 INR 625</t>
  </si>
  <si>
    <t>H&amp;S 2in1 CM 400 ml</t>
  </si>
  <si>
    <t>H&amp;S SHM 340ML X 30 CM 2IN1 IN PC OND24</t>
  </si>
  <si>
    <t>Olay Vit C Cream + Clnsr</t>
  </si>
  <si>
    <t>VIT C CREAM+CLNSR</t>
  </si>
  <si>
    <t>BLUE Pants 2s NB</t>
  </si>
  <si>
    <t>PAMPERS DPR HL4.1 XS2SX192 LCP IN</t>
  </si>
  <si>
    <t>Tide Base Bags</t>
  </si>
  <si>
    <t>Tide JR 9 Kg</t>
  </si>
  <si>
    <t>TIDE LAU PWD 9KG X 3 JR TE PC___</t>
  </si>
  <si>
    <t>Ariel Liq Rs.10 TL 10U</t>
  </si>
  <si>
    <t>ARIEL LAU LIQ 50MLX180 MAT TL SACH IN PC</t>
  </si>
  <si>
    <t>Old Spice Shaving Cream</t>
  </si>
  <si>
    <t>CREAM MUSK 70G</t>
  </si>
  <si>
    <t>OS MUSK SHV CRM 70G 1X96 INR80</t>
  </si>
  <si>
    <t>Pantene 2in1 Bottles</t>
  </si>
  <si>
    <t>Pntn 2in1 HFC 340ml</t>
  </si>
  <si>
    <t>PNTN SHM 340MLX30 HS HFC 2IN1 IN AT PC25</t>
  </si>
  <si>
    <t>Pntn 2in1 DR 340ml</t>
  </si>
  <si>
    <t>PNTN SHM 340MLX30 HS DR 2IN1 IN AT PC25</t>
  </si>
  <si>
    <t>CREAM ORIGINAL 70G</t>
  </si>
  <si>
    <t>OS ORIGINAL SHV CRM 70G 1X96 INR80</t>
  </si>
  <si>
    <t>OLAY FCE CRM 50GX6 RG RETMAX IN CTMZ2</t>
  </si>
  <si>
    <t>H&amp;S 2IN1 AP 200 ML</t>
  </si>
  <si>
    <t>H&amp;S SHM 180ML X 56 AP 2IN1 IN PC JFM25</t>
  </si>
  <si>
    <t>Old Spice After Shave Atomizer</t>
  </si>
  <si>
    <t>ATOM ORIGINAL 150ML</t>
  </si>
  <si>
    <t>OS ASL ATOMIZER ORIG 150MLX24 S3_RS349</t>
  </si>
  <si>
    <t>Pntn 2in1 HFC 200ml</t>
  </si>
  <si>
    <t>PNTN SHM 180MLX56 HS HFC 2IN1 IN AT PC25</t>
  </si>
  <si>
    <t>Ariel Liq 500ml FL</t>
  </si>
  <si>
    <t>ARIEL LIQ 500MLX12MAT FL BTL TRISHUL PC</t>
  </si>
  <si>
    <t>Turbo Cart 8s CSD</t>
  </si>
  <si>
    <t>MACH3 TRB CART8 1X6X6 1299INR 557.1</t>
  </si>
  <si>
    <t>Pntn LC 675ml</t>
  </si>
  <si>
    <t>PNTN SHM 650ML X 12 LC IN JUN25 (1020)</t>
  </si>
  <si>
    <t>Pampers Pants-Mid Packs-Holi</t>
  </si>
  <si>
    <t>BLUE Pants Econs XXL</t>
  </si>
  <si>
    <t>PAMPERS PANTS HL5 XXL9SX24 ECON IN</t>
  </si>
  <si>
    <t>BLUE Pants Super Saver MD</t>
  </si>
  <si>
    <t>PAMPERS PANTS HL5 MD68SX4 SSP mos IN</t>
  </si>
  <si>
    <t>Natural Aura Cream</t>
  </si>
  <si>
    <t>Olay NA IGF 20gm</t>
  </si>
  <si>
    <t>OLAY NA IGF 20GX6X8 IN_RS99_JB HL</t>
  </si>
  <si>
    <t>Ariel Liq 4L Pch FL PM</t>
  </si>
  <si>
    <t>ARIEL LIQ 4L X3 MAT FL PCH3 TRISHUL PC</t>
  </si>
  <si>
    <t>Pntn 2in1 HFC 675ml</t>
  </si>
  <si>
    <t>PNTN SHM 650MLX12 HS HFC 2IN1 IN NSS</t>
  </si>
  <si>
    <t>Pntn 2in1 HFC 1000ml</t>
  </si>
  <si>
    <t>PNTN SHM 1000MLX8 HS HFC 2IN1 IN NSS</t>
  </si>
  <si>
    <t>Tide SHS LM 2Kg</t>
  </si>
  <si>
    <t>TIDE PWD 2KGX12 LM OR PC</t>
  </si>
  <si>
    <t>Ariel Liquid 6L TL Pch</t>
  </si>
  <si>
    <t>ARIEL LIQ 6LX2 MAT TL PCH T 2.0 PC</t>
  </si>
  <si>
    <t>Whisper Maxi</t>
  </si>
  <si>
    <t>Whisper Thick</t>
  </si>
  <si>
    <t>whspr Maxi RegW ON15s</t>
  </si>
  <si>
    <t>WHP MAXI NIGHTS XL+ 15X30 (260) JWALA</t>
  </si>
  <si>
    <t>Tide Liquid</t>
  </si>
  <si>
    <t>Tide Liquid FL 850ML</t>
  </si>
  <si>
    <t>TIDE LIQ 850MLX12 MAT FL BTL PC</t>
  </si>
  <si>
    <t>H&amp;S Conditioner</t>
  </si>
  <si>
    <t>H&amp;S SS Condi 200ml</t>
  </si>
  <si>
    <t>H&amp;S CN 170 MLX24 S&amp;S MVK IN JFM25</t>
  </si>
  <si>
    <t>Olay 7in1</t>
  </si>
  <si>
    <t>Olay 7in1 Gel 50g</t>
  </si>
  <si>
    <t>OLAY 7IN1 GEL50GX6 IN_RS799 AY</t>
  </si>
  <si>
    <t>VCD</t>
  </si>
  <si>
    <t>Vicks Double Power Standee Pouch 25s Honey</t>
  </si>
  <si>
    <t>VICKS DROP HONEY 2.7GX25X60 BAGS RS50</t>
  </si>
  <si>
    <t>Guard Razor Rs28</t>
  </si>
  <si>
    <t>GUARD RAZOR 1CSX540 IT 28 INR</t>
  </si>
  <si>
    <t>Ariel PerfectWash</t>
  </si>
  <si>
    <t>Ariel PW Blue 5kg</t>
  </si>
  <si>
    <t>ARIEL PWD 5KGX5 JUN25 PW PC</t>
  </si>
  <si>
    <t>PNTN SHM 340ML X 30 HS DR IN JUN25 (410)</t>
  </si>
  <si>
    <t>Pntn SS 500ml</t>
  </si>
  <si>
    <t>PTN SHM 500MLX12 SS IN PROMO (449)</t>
  </si>
  <si>
    <t>AB Pants NB Sup Jumbo PM</t>
  </si>
  <si>
    <t>PAMPERS PANTS HL5 XS86SX4 SJ mos IN</t>
  </si>
  <si>
    <t>AB Pants LG Box Pk</t>
  </si>
  <si>
    <t>PAMPERS PANTS HL5 LG128SX1 BOX mos IN</t>
  </si>
  <si>
    <t>PAMPERS PANTS HL5 LG64SX4 SJ MOS IN</t>
  </si>
  <si>
    <t>Ariel Mat FL 6kg+0.5L</t>
  </si>
  <si>
    <t>ARIEL PWD (6KG+500ML)X2 MAT FL NS3 AF PC</t>
  </si>
  <si>
    <t>OB PH GC Med N</t>
  </si>
  <si>
    <t>OB OM210 PH CRCR GC 40M BCD 90INR 1X6X16_</t>
  </si>
  <si>
    <t>OB Sens UT B2G2</t>
  </si>
  <si>
    <t>OB PRECISION CLEAN B2G2 BCD 150INR 4X6X8__</t>
  </si>
  <si>
    <t>Satin Care</t>
  </si>
  <si>
    <t>S Other Disp</t>
  </si>
  <si>
    <t>Simply Venus 5 pack</t>
  </si>
  <si>
    <t>SV3 POUCH 5s 1X4X10 INR 396</t>
  </si>
  <si>
    <t>Ariel Matic FL 1.8kg Bag</t>
  </si>
  <si>
    <t>ARIEL PWD 1.8KG X 12MAT FL AF PC</t>
  </si>
  <si>
    <t>H&amp;S S&amp;S 1000ML</t>
  </si>
  <si>
    <t>H&amp;S SHM 1000ML X8 S&amp;S IN GST</t>
  </si>
  <si>
    <t>H&amp;S 2in1 CM 72ml</t>
  </si>
  <si>
    <t>H&amp;S SHM 72MLX48 CM 2IN1 IN GST</t>
  </si>
  <si>
    <t>Total Effects Cream</t>
  </si>
  <si>
    <t>Olay TE Night 50gm</t>
  </si>
  <si>
    <t>OLAY TE 7INONE NGT CRM 50GX6_IN_RS999 PU</t>
  </si>
  <si>
    <t>H&amp;S 2in1 SS 72ml</t>
  </si>
  <si>
    <t>H&amp;S SHM 72MLX48 S&amp;S 2IN1 IN GST</t>
  </si>
  <si>
    <t>H&amp;S 2in1 CM 200 ml</t>
  </si>
  <si>
    <t>H&amp;S SHM 180ML X 56 CM 2IN1 IN GST</t>
  </si>
  <si>
    <t>H&amp;S 2in1 SS 200 ml</t>
  </si>
  <si>
    <t>H&amp;S SHM 180MLX56 S&amp;S 2IN1 IN GST</t>
  </si>
  <si>
    <t>H&amp;S SHM 650MLX12 S&amp;S 2IN1 IN AMJ25(1299)</t>
  </si>
  <si>
    <t>H&amp;S 7in1 Bottles</t>
  </si>
  <si>
    <t>H&amp;S 7in1 650ml</t>
  </si>
  <si>
    <t>H&amp;S SHM 650ML X12 7IN1 IN GST</t>
  </si>
  <si>
    <t>ARIEL LIQ 4L X 3 MAT TL PCH3 TRISHUL PC</t>
  </si>
  <si>
    <t>H&amp;S SHM 650MLX12 CM 2IN1 IN GST</t>
  </si>
  <si>
    <t>H&amp;S SHM 650MLX12 AHF 2IN1 IN GST</t>
  </si>
  <si>
    <t>Ariel Liq 950g TL</t>
  </si>
  <si>
    <t>ARIEL LIQ 950GX12 MAT TL T 2.0 BTL PC</t>
  </si>
  <si>
    <t>Ariel Liquid 6L FL Pch</t>
  </si>
  <si>
    <t>ARIEL LIQ 6LX2 MAT FL PCH T 2.0 PC</t>
  </si>
  <si>
    <t>Guard Cart</t>
  </si>
  <si>
    <t>Guard Cart 4s SBD</t>
  </si>
  <si>
    <t>GUARD 4CT 1X40X12 52 INR</t>
  </si>
  <si>
    <t>Tide JR 7Kg</t>
  </si>
  <si>
    <t>TIDE PWD 7KGX3 JR TE PC___</t>
  </si>
  <si>
    <t>Ariel Liq Rs.10 TL 12U A</t>
  </si>
  <si>
    <t>ARIEL LIQ 70GX144 MAT TL SCH 12U IN PC</t>
  </si>
  <si>
    <t>Tide JR 12KG</t>
  </si>
  <si>
    <t>TIDE PWD 12KGX2 JR TE PC</t>
  </si>
  <si>
    <t>Whisper Super Premium Nights</t>
  </si>
  <si>
    <t>whspr Ult ON XXXL 2s</t>
  </si>
  <si>
    <t>WHSPR ULT NGT XXXLT9 2X120 Queen 5 TW</t>
  </si>
  <si>
    <t>Tide Liquid TL 850ML</t>
  </si>
  <si>
    <t>TIDE LIQ 850MLX12 MAT TL BTL PC</t>
  </si>
  <si>
    <t>H&amp;S SS Condi 80ml</t>
  </si>
  <si>
    <t>H&amp;S CN 80MLX48 S&amp;S MVK IN JFM25</t>
  </si>
  <si>
    <t>Olay 7in1 Srm 30ml</t>
  </si>
  <si>
    <t>OLAY 7IN1 SRM30MLX6 IN_RS799 AY</t>
  </si>
  <si>
    <t>Ariel Liq 950g FL</t>
  </si>
  <si>
    <t>ARIEL LIQ 950GX12 MAT FL T 2.0 BTL PC</t>
  </si>
  <si>
    <t>H&amp;S SHM 340ML X30 AHF 2IN1 IN GST</t>
  </si>
  <si>
    <t>Guard Razor Rs28 HTH</t>
  </si>
  <si>
    <t>GUARD RAZOR 1CSX540 IT 28 INR HTH</t>
  </si>
  <si>
    <t>Ariel Mat 6kg+500g Liq TL CN</t>
  </si>
  <si>
    <t>ARIEL PWD (6KG+CN+500G)X2 MAT TL AM PC</t>
  </si>
  <si>
    <t>H&amp;S 2in1 SS 400 ml</t>
  </si>
  <si>
    <t>H&amp;S SHM 340ML X 30 S&amp;S 2IN1 IN GST</t>
  </si>
  <si>
    <t>Ariel Mat 6kg+500g Liq FL CN</t>
  </si>
  <si>
    <t>ARIEL PWD (6KG+CN+500G)X2 MAT FL AF PC</t>
  </si>
  <si>
    <t>H&amp;S CM 500ML</t>
  </si>
  <si>
    <t>H&amp;S SHM 500ML X12 CM IN GST</t>
  </si>
  <si>
    <t>H&amp;S BG 500ML</t>
  </si>
  <si>
    <t>H&amp;S SHM 500ML X12 DEEP CLEANSE IN GST</t>
  </si>
  <si>
    <t>Herbal Shampoo</t>
  </si>
  <si>
    <t>HE Argan SH 400ml</t>
  </si>
  <si>
    <t>HE SH 400MLX6 AGNOIL IN GST</t>
  </si>
  <si>
    <t>Ariel Liq 5kg Pch TL</t>
  </si>
  <si>
    <t>ARIEL LIQ5KGX2 MAT TL PCH T2.0 OCT25 PC</t>
  </si>
  <si>
    <t>H&amp;S SHM 340ML X 30 CM 2IN1 IN GST</t>
  </si>
  <si>
    <t>Pntn 2in1 SS 340ml</t>
  </si>
  <si>
    <t>PNTN SHM 340MLX30 HS SS 2IN1 IN GST</t>
  </si>
  <si>
    <t>TIDE PWD 3KGX8 NATURALS TV PC_</t>
  </si>
  <si>
    <t>Ariel Liq 900g FL LV</t>
  </si>
  <si>
    <t>ARIEL LIQ900GX12 LAV FL BTL T2.0 OCT25PC</t>
  </si>
  <si>
    <t>VEC+ ELHDL PSHBT GREY 1X12X12 INR 105</t>
  </si>
  <si>
    <t>whspr Ult XXXL ON20s</t>
  </si>
  <si>
    <t>WHP ULT NGT XXXL T9 20X12 (800) Q5 TW PU</t>
  </si>
  <si>
    <t>whspr Ult ON XXL 50s</t>
  </si>
  <si>
    <t>WHSPR ULT BIN NGT XXL 50X18 (849) PU</t>
  </si>
  <si>
    <t>WHI CHOICE NGTS T5 40X16 (399) A</t>
  </si>
  <si>
    <t>Vicks Double Power Standee Pouch 25s Ginger</t>
  </si>
  <si>
    <t>VICKS DROP GINGER 2.9GX25X60 BAGS RS50</t>
  </si>
  <si>
    <t>Vicks Double Power Standee Pouch 25s Menthol</t>
  </si>
  <si>
    <t>VICKS DROP MENTHOL 2.9GX25X60 BAGS RS50</t>
  </si>
  <si>
    <t>HE Argan SH 240ML</t>
  </si>
  <si>
    <t>HE SH 240MLX6 ARGAN IN GST</t>
  </si>
  <si>
    <t>Vicks Cough Syrup</t>
  </si>
  <si>
    <t>Vicks Cough Syrup 100ml</t>
  </si>
  <si>
    <t>VICKS COUGH SYRUP 100ML*6*8_</t>
  </si>
  <si>
    <t>VICKS DROP HONEY 2.9GX25X60 BAGS RS50</t>
  </si>
  <si>
    <t>VCD 115+25 worth Rs 50 Off B 2.9gm</t>
  </si>
  <si>
    <t>VICKS DROPS 2.9GX(115+25) X 32 JAR RS230</t>
  </si>
  <si>
    <t>VCD 175+50 worth Rs 100 off B 2.9gm</t>
  </si>
  <si>
    <t>VCD 2.9GX (175+50) X 16 JAR RS350</t>
  </si>
  <si>
    <t>Whisper Choice XL</t>
  </si>
  <si>
    <t>whspr Choice XL 18</t>
  </si>
  <si>
    <t>WHSPRCHOICE T3 18X40 (125) PU</t>
  </si>
  <si>
    <t>TE Day50+Ngt</t>
  </si>
  <si>
    <t>TE DAY50+NGT_____</t>
  </si>
  <si>
    <t>OLAY RG MC CRM 50GX6_IN_RS1699 PC</t>
  </si>
  <si>
    <t>Inhaler</t>
  </si>
  <si>
    <t>Inhaler Keychain 5s Dangler</t>
  </si>
  <si>
    <t>VICKS INHL 0.5MLX5X32 KC DANGLER RS64</t>
  </si>
  <si>
    <t>Whisper Choice Ultra</t>
  </si>
  <si>
    <t>whspr Choice Easy Carry Pack 11+1</t>
  </si>
  <si>
    <t>WHP JWALA JADE 6X11+T5 6X1 EASYCARRY MDP</t>
  </si>
  <si>
    <t>Venus Razor + Gel</t>
  </si>
  <si>
    <t>VENUS SMOOTH RZR + 25G GEL 1X18 INR 325</t>
  </si>
  <si>
    <t>PC PANTS XL SUMO BOX</t>
  </si>
  <si>
    <t>PAMPERS DPR MML2.1 XL144SX1 SUMO BP IN</t>
  </si>
  <si>
    <t>Venus Cart 4s</t>
  </si>
  <si>
    <t>VENUS SMOOTH CART 4S 1X6X3 INR 675</t>
  </si>
  <si>
    <t>PC PANTS LG SUMO BOX</t>
  </si>
  <si>
    <t>PAMPERS PANTS MML2.1 LG176SX1 SUMO BP IN</t>
  </si>
  <si>
    <t>VENUS BIKINI SENSITIVE 1S</t>
  </si>
  <si>
    <t>SUSINI 1S 1X6X8 INR 175</t>
  </si>
  <si>
    <t>PC PANTS XXL MEGA BOX</t>
  </si>
  <si>
    <t>PAMPERS PANTS MML2.1 XXL90SX3 ECB BP IN</t>
  </si>
  <si>
    <t>whspr Ch Wings 6s WS</t>
  </si>
  <si>
    <t>WHSPR CHOICE T1 RG WGS 6X126 (40) NSR</t>
  </si>
  <si>
    <t>H&amp;S 7IN1 72ML DCOM HTH</t>
  </si>
  <si>
    <t>H&amp;S SHM 72 ML X 48 7IN1 IN DCOM HTH</t>
  </si>
  <si>
    <t>Tide Liq 2 Kg AL</t>
  </si>
  <si>
    <t>TIDE LIQ 2KGX6 MAT AL PCH PC</t>
  </si>
  <si>
    <t>PNTN CONDI COLLAGEN 3MM 80ML DCOM HTH</t>
  </si>
  <si>
    <t>PNTN 3MM COLLAGEN CN 80MLX24 IN DCOM HTH</t>
  </si>
  <si>
    <t>PNTN CONDI BIOTIN 3MM 80ML DCOM HTH</t>
  </si>
  <si>
    <t>PNTN 3MM BIOTIN CN 80MLX24 IN DCOM HTH</t>
  </si>
  <si>
    <t>H&amp;S BG 72ML DCOM HTH</t>
  </si>
  <si>
    <t>H&amp;S SH 72MLX48 DEEP CLEANSE IN DCOM HTH</t>
  </si>
  <si>
    <t>Tide Liq 3.2 Kg AL</t>
  </si>
  <si>
    <t>TIDE LIQ 3.2KGX4 MAT AL PCH PC</t>
  </si>
  <si>
    <t>WHP JWALA EJ 6X11+T5 6X1 EASYCARRY MDP</t>
  </si>
  <si>
    <t>Pampers Pants-Mid Packs-Dlite</t>
  </si>
  <si>
    <t>Red Pants Value NB</t>
  </si>
  <si>
    <t>PAMPERS PANTS DL2 XS40X12 VP MOSGS PU IN</t>
  </si>
  <si>
    <t>BLUE Pants Value NB</t>
  </si>
  <si>
    <t>PAMPERS PANTS HL5 XS37SX12 VP MOSGSPU IN</t>
  </si>
  <si>
    <t>Tide Liq 1 Kg AL Bottle</t>
  </si>
  <si>
    <t>TIDE LIQ 1KGX12 MAT AL BTL PC</t>
  </si>
  <si>
    <t>Tide Liq 1 Kg AL Pouch</t>
  </si>
  <si>
    <t>TIDE LIQ 1KGX12 MAT AL PCH PC</t>
  </si>
  <si>
    <t>RED Pants Value MD</t>
  </si>
  <si>
    <t>PAMPERS PANTS DL2 MD30X12 VP GS PU IN</t>
  </si>
  <si>
    <t>RED Pants Value LG</t>
  </si>
  <si>
    <t>PAMPERS PANTS DL2 LG26SX12 VP GS PU IN</t>
  </si>
  <si>
    <t>Pntn HFC 500ml Rs 360</t>
  </si>
  <si>
    <t>PTN SHM 500MLX12 HFC IN PROMO GST</t>
  </si>
  <si>
    <t>RED Pants Value SM</t>
  </si>
  <si>
    <t>PAMPERS PANTS DL2 SM38SX12 VP GS PU IN</t>
  </si>
  <si>
    <t>OB POC Sensitive Refill</t>
  </si>
  <si>
    <t>EB60 2 IND FFS BRUSH SET__</t>
  </si>
  <si>
    <t>RED Pants Value XL</t>
  </si>
  <si>
    <t>PAMPERS PANTS DL2 XL22SX12 VP GS PU IN</t>
  </si>
  <si>
    <t>Tide LM Rs10 A</t>
  </si>
  <si>
    <t>TIDE PWD (60G+10G)X60 LM WT 12U A SO PC</t>
  </si>
  <si>
    <t>BLUE Pants Value SM</t>
  </si>
  <si>
    <t>PAMPERS PANTS HL5 SM31SX12 VP MOSGSPU IN</t>
  </si>
  <si>
    <t>Tide JR Rs10 A</t>
  </si>
  <si>
    <t>TIDE PWD (60G+10G)X60 JR WT 12U A SJ PC</t>
  </si>
  <si>
    <t>BLUE Pants Value LG</t>
  </si>
  <si>
    <t>PAMPERS PANTS HL5 LG21SX12 VP MOSGSPU IN</t>
  </si>
  <si>
    <t>BLUE Pants Value MD</t>
  </si>
  <si>
    <t>PAMPERS PANTS HL5 MD24SX12 VP MOSGSPU IN</t>
  </si>
  <si>
    <t>H&amp;S SHM 340ML X 30 S&amp;S 2IN1 IN AMJ26</t>
  </si>
  <si>
    <t>PNTN SHM 1000MLX8 HFC 2IN1 AMJ26</t>
  </si>
  <si>
    <t>H&amp;S AHF 750ml</t>
  </si>
  <si>
    <t>H&amp;S SHM 650ML X12 AHF IN AMJ26</t>
  </si>
  <si>
    <t>H&amp;S SHM 340ML X 30 CM 2IN1 IN AMJ26</t>
  </si>
  <si>
    <t>H&amp;S SS 300 ml</t>
  </si>
  <si>
    <t>H&amp;S SHM 300ML X 30 S&amp;S IN DM AMJ26</t>
  </si>
  <si>
    <t>H&amp;S LF 200ML</t>
  </si>
  <si>
    <t>H&amp;S SHM 180ML X 56 LF IN AMJ26</t>
  </si>
  <si>
    <t>BLUE Pants Value XL</t>
  </si>
  <si>
    <t>PAMPERS PANTS HL5 XL20SX12 VP GS PU IN</t>
  </si>
  <si>
    <t>BLUE Pants Value XXL</t>
  </si>
  <si>
    <t>PAMPERS PANTS HL5 XXL16SX12 VP GS PU IN</t>
  </si>
  <si>
    <t>Ariel PW Blue 500g J</t>
  </si>
  <si>
    <t>ARIEL PWD 500GX48 J PW PRC PC</t>
  </si>
  <si>
    <t>whspr Choice Ultra 6</t>
  </si>
  <si>
    <t>WHI CHOICE ULT 6X112 JADE (50) JWALA</t>
  </si>
  <si>
    <t>RED Pants 2s MD</t>
  </si>
  <si>
    <t>PAMPERS DPR DL2 MD2SX192 LCP KN2 PUGS IN</t>
  </si>
  <si>
    <t>whspr Choice XL 6s WS</t>
  </si>
  <si>
    <t>WHSPR CHOICE T3 6X60 NSR (45) PINHOLE</t>
  </si>
  <si>
    <t>RED Pants 2s SM</t>
  </si>
  <si>
    <t>PAMPERS DPR DL2 SM2SX192 LCP KN2 PUGS IN</t>
  </si>
  <si>
    <t>RED Pants 2s XL</t>
  </si>
  <si>
    <t>PAMPERS DPR DL2 XL2SX192 LCP KN2 PUGS IN</t>
  </si>
  <si>
    <t>whspr Choice XL 6s</t>
  </si>
  <si>
    <t>WHSPR CHOICE T3 6X120 (45) PINHOLE</t>
  </si>
  <si>
    <t>RED Pants 2s LG</t>
  </si>
  <si>
    <t>PAMPERS DPR DL2 LG2SX192 LCP KN2 PUGS IN</t>
  </si>
  <si>
    <t>PAMPERS DPR DL2 XS2SX192 LCP KN2 PUGS IN</t>
  </si>
  <si>
    <t>whspr Choice Ultra 36s</t>
  </si>
  <si>
    <t>WHP CHOICE ULT S3 EJ 36CTX24 (240) SCENT</t>
  </si>
  <si>
    <t>whspr Choice Ultra 40s</t>
  </si>
  <si>
    <t>WHP CHOICE ULT S3 EJ 40X24 (320) SCENT</t>
  </si>
  <si>
    <t>Ariel Liquid 1L TL</t>
  </si>
  <si>
    <t>ARIEL LIQ 1LX12 MAT TL BTL2 TRI OCT25 PC</t>
  </si>
  <si>
    <t>Action 500</t>
  </si>
  <si>
    <t>A500 ADV N64 9+3 PB</t>
  </si>
  <si>
    <t>VICKS ACTION 500 ADVANCED 12*90PB__</t>
  </si>
  <si>
    <t>A500 ADV N64 9+3</t>
  </si>
  <si>
    <t>VICKS ACTION 500 ADVANCED 12*90__</t>
  </si>
  <si>
    <t>OB 3in1 Combo Pk</t>
  </si>
  <si>
    <t>OB Big RTM box pack</t>
  </si>
  <si>
    <t>OB LRTM CD6+CCGCM+CCW+EXP2+EC5S+CCUT X3</t>
  </si>
  <si>
    <t>Retinol Max Serum</t>
  </si>
  <si>
    <t>OLAY FCE SRM 30MLX6 RG RETMAX IN STK PU</t>
  </si>
  <si>
    <t>RED Pants Regs NB</t>
  </si>
  <si>
    <t>PAMPERS PANTS DL2 XS10SX40 REG KN2 PU IN</t>
  </si>
  <si>
    <t>OLAY FCE CRM 50GX6 RG RETMAX IN STK PU</t>
  </si>
  <si>
    <t>OB 3in1 Combo GP+Sens care</t>
  </si>
  <si>
    <t>OB 3IN1 COM(6SC+6FCSEN+3CD)+(9EC+3PHSEN)</t>
  </si>
  <si>
    <t>Ariel Mat FL 500g</t>
  </si>
  <si>
    <t>ARIEL PWD 500GX48 MAT FL PIL AF PC</t>
  </si>
  <si>
    <t>OB CD Bac Fight</t>
  </si>
  <si>
    <t>OB CavDef 1s</t>
  </si>
  <si>
    <t>OB OM36 CAV DEF 40S 1CT 25 INR</t>
  </si>
  <si>
    <t>OB Sens Care 1s</t>
  </si>
  <si>
    <t>OB OM39 ECARE 40XS 30 INR 1S</t>
  </si>
  <si>
    <t>OB Small RTM box pack</t>
  </si>
  <si>
    <t>OB SRTM CCSENSUT+EC+CC+CD+EMKBCB 20X4</t>
  </si>
  <si>
    <t>whspr Choice XL 12s</t>
  </si>
  <si>
    <t>WHSPRCHOICE T3 12X60(80)</t>
  </si>
  <si>
    <t>Tube Shave Gel</t>
  </si>
  <si>
    <t>TSG (Sen) 25g</t>
  </si>
  <si>
    <t>TGS GLCON SHVP 25G SENST 49INR 1X12X12</t>
  </si>
  <si>
    <t>RED Pants Regs LG</t>
  </si>
  <si>
    <t>PAMPERS PANTS DL2 LG7SX40 REG KNGS SO IN</t>
  </si>
  <si>
    <t>RED Pants Regs MD</t>
  </si>
  <si>
    <t>PAMPERS PANTS DL2 MD8SX40 REG KNGS SO IN</t>
  </si>
  <si>
    <t>RED Pants Value XXL</t>
  </si>
  <si>
    <t>PAMPERS PANTS DL2 XXL18SX12 VP GS SO IN</t>
  </si>
  <si>
    <t>PAMPERS PANTS DL2 XS10SX40 REG KNGSSO IN</t>
  </si>
  <si>
    <t>GUARD R+8CT 1X12X10 133 INR</t>
  </si>
  <si>
    <t>GUARD R+12CT 1X12X12 178 INR</t>
  </si>
  <si>
    <t>whspr Choice Wing 20s</t>
  </si>
  <si>
    <t>WHSPR CHOICE T1 RG WGS 20X32 (115)</t>
  </si>
  <si>
    <t>whspr Choice Wings 6s</t>
  </si>
  <si>
    <t>WHSPR CHOICE T1 RG WGS 6X126 (40)</t>
  </si>
  <si>
    <t>OLAY FCECRM 8GX3X4 RGRET IN LUN</t>
  </si>
  <si>
    <t>Active Baby NB Reg Pk</t>
  </si>
  <si>
    <t>PAMPERS DPR M5 NB7SX40 REG GS SO IN</t>
  </si>
  <si>
    <t>OB Kids</t>
  </si>
  <si>
    <t>OB KIDS SFT</t>
  </si>
  <si>
    <t>OK005 OB KIDS 2 4YR SFT BCD 50INR 1X6X2_82281800</t>
  </si>
  <si>
    <t>Pampers Imax</t>
  </si>
  <si>
    <t>Pampers SM 5s</t>
  </si>
  <si>
    <t>PAMPERS DPR SM5SX72 LCP SF2 BIS GS SO IN</t>
  </si>
  <si>
    <t>PAMPERS PANTS HL5 XXL9SX24 ECON GS SO IN</t>
  </si>
  <si>
    <t>Ariel Liq 300g Pch FL</t>
  </si>
  <si>
    <t>ARIEL LIQ 300GX24 MAT FL PCH PC</t>
  </si>
  <si>
    <t>Ariel Mat TL 3KG CN</t>
  </si>
  <si>
    <t>ARIEL PWD 3KGX4 MAT TL CAN AM PC</t>
  </si>
  <si>
    <t>Ariel Mat FL 3KG CN</t>
  </si>
  <si>
    <t>ARIEL PWD 3KGX4 MAT FL CAN AF PC</t>
  </si>
  <si>
    <t>AmbiPur Home Gel</t>
  </si>
  <si>
    <t>Home Gel Dreamy</t>
  </si>
  <si>
    <t>AMBI GELFR DREAMY 180GX12 HERMS2 IN</t>
  </si>
  <si>
    <t>Home Gel Bliss</t>
  </si>
  <si>
    <t>AMBI GELFR BLISS 180GX12 HERMS2 IN</t>
  </si>
  <si>
    <t>Guard 3in1</t>
  </si>
  <si>
    <t>Guard 3in1 Carts</t>
  </si>
  <si>
    <t>Guard 3in1 Cart 2s</t>
  </si>
  <si>
    <t>GUARD 3IN1 690 CT2 1X12X6 INR 99</t>
  </si>
  <si>
    <t>OB POC CA 2s</t>
  </si>
  <si>
    <t>EB50RX 2 CT CROSSACTION ENG FFS IN</t>
  </si>
  <si>
    <t>Ariel Mat 8kg+500g Liq TL</t>
  </si>
  <si>
    <t>ARIEL PWD (8KG+500G LQ)X1 MAT TL AM PC</t>
  </si>
  <si>
    <t>Tide Naturals 500g</t>
  </si>
  <si>
    <t>TIDE NAT TIGER 500GX48 TV PRC PC</t>
  </si>
  <si>
    <t>Tide Nat 800G+200G A</t>
  </si>
  <si>
    <t>TIDE PWD NAT 1KGX24 TV PRC PC</t>
  </si>
  <si>
    <t>AMBIP GELFR ROSE 75GX24 SPRING 299</t>
  </si>
  <si>
    <t>Olay TE Gnt UV 50gm</t>
  </si>
  <si>
    <t>OLAY TE 7INONEDAY CRM GNT 50GX6_IN_RS899_1</t>
  </si>
  <si>
    <t>whspr Ch Ultra 6s WS</t>
  </si>
  <si>
    <t>WHP CHOICE ULT S3 EJ 6X64 NSR (50) SCENT</t>
  </si>
  <si>
    <t>OB PH BaseSft N</t>
  </si>
  <si>
    <t>OB OM196 PH CRCR TL 40S BCD 60INR 1X6X20</t>
  </si>
  <si>
    <t>whspr Choice Ultra 6s</t>
  </si>
  <si>
    <t>WHP CHOICE ULT S3 EJ 6X112 (50) SCENT</t>
  </si>
  <si>
    <t>Ariel Complete 700g A</t>
  </si>
  <si>
    <t>ARIEL PWD (500+200)GX34 COMP AS PRC PC</t>
  </si>
  <si>
    <t>Whspr Ult XXXL ON10s</t>
  </si>
  <si>
    <t>WHISPER ULT NGT XXXLT910X12(275) Aur Lev</t>
  </si>
  <si>
    <t>Ariel Complete 500g</t>
  </si>
  <si>
    <t>ARIEL PWD 500GX48 COMP MAR26 AS PRC PC</t>
  </si>
  <si>
    <t>Ariel Complete 1.5kg A</t>
  </si>
  <si>
    <t>ARIEL PWD (1KG+500G)X16 COMP AS PRC PC</t>
  </si>
  <si>
    <t>AmbiPur Car Refills</t>
  </si>
  <si>
    <t>AmbPr CarRef Jasmine</t>
  </si>
  <si>
    <t>AMBI CAR3 LEGO JAS RF7.5MLX12 INR199</t>
  </si>
  <si>
    <t>Ariel Comp 4kg BOGO</t>
  </si>
  <si>
    <t>ARIEL LAU PWD 4KGX6 COMP MAR26 AS PRC PC</t>
  </si>
  <si>
    <t>H&amp;S SS 9ml</t>
  </si>
  <si>
    <t>H&amp;S SHM 8ML X 800 SS 2IN1 IN</t>
  </si>
  <si>
    <t>OB Cav Def M 9+3EC FREE</t>
  </si>
  <si>
    <t>OB OM36/39 BF 40M 25INR(9+3 EC 30INR)X24</t>
  </si>
  <si>
    <t>OB Cav Def S 9+3EC FREE</t>
  </si>
  <si>
    <t>OB OM36/39 BF 40S 25INR(9+3 EC 30INR)X24</t>
  </si>
  <si>
    <t>Ariel Colour 1.5kg</t>
  </si>
  <si>
    <t>ARIEL PWD 1.5 KGX16 C&amp;S CS PRC PC</t>
  </si>
  <si>
    <t>PAMPERS PANTS MML3.0 SM70SX4 JP DC IN</t>
  </si>
  <si>
    <t>PAMPERS PANTS MML3.0 SM140SX1 BOX DC IN</t>
  </si>
  <si>
    <t>PC Pants LG Sup Jumbo Pk</t>
  </si>
  <si>
    <t>PAMPERS DPR MML3.0 LG44SX4 JP DC IN</t>
  </si>
  <si>
    <t>PC Pants SM Econ Pk</t>
  </si>
  <si>
    <t>PAMPERS DPR MML3.0 SM26SX18 ECON DC IN</t>
  </si>
  <si>
    <t>PC Pants NB Econ Pk</t>
  </si>
  <si>
    <t>PAMPERS DPR MML3.0 XS30SX18 ECON DC IN</t>
  </si>
  <si>
    <t>PAMPERS PANTS MML3.0 XS70SX4 JP DC IN</t>
  </si>
  <si>
    <t>PC Pants LG Box Pk</t>
  </si>
  <si>
    <t>PAMPERS DPR MML3.0 LG88SX4 ECB MOS DC IN</t>
  </si>
  <si>
    <t>PC Pants MD Super Saver Pk</t>
  </si>
  <si>
    <t>PAMPERS DPR MML3.0 MD56SX4 JPCO DC IN</t>
  </si>
  <si>
    <t>AB Pants MD Mega Box</t>
  </si>
  <si>
    <t>PAMPERS PANTS MD200SX1 BOX HL3 IN</t>
  </si>
  <si>
    <t>PC XXL Sup Jumbo</t>
  </si>
  <si>
    <t>PAMPERS PANTS MML3.0 XXL30SX4 JP DC IN</t>
  </si>
  <si>
    <t>PC Pants XL Box Pk</t>
  </si>
  <si>
    <t>PAMPERS DP MML3.0 XL72SX4 ECB MOS DC IN</t>
  </si>
  <si>
    <t>PC Pants LG Super Saver Pk</t>
  </si>
  <si>
    <t>PAMPERS DPR MML3.0 LG48SX4 JPCO DC IN</t>
  </si>
  <si>
    <t>PC PANTS MD SUMO BOX</t>
  </si>
  <si>
    <t>PAMPERS PANTS MML3.0 MD216SX1 SUMO DC IN</t>
  </si>
  <si>
    <t>PAMPERS DPR MML3.0 MD54SX4 JP DC IN</t>
  </si>
  <si>
    <t>OB Crisscross Bact Blast B2G1 Sft</t>
  </si>
  <si>
    <t>OB CRCSDEPCLNBACBST40S 170INR B2G1 3X6X8</t>
  </si>
  <si>
    <t>OB Crisscross Sensitive</t>
  </si>
  <si>
    <t>OB CRISSCROSS SENS CHARCOAL B2G1</t>
  </si>
  <si>
    <t>OB UT CHRCL 40XS BCD B2G1 130INR 3X6X8</t>
  </si>
  <si>
    <t>OB Crisscross Antiplaq Neem B2G2 Med</t>
  </si>
  <si>
    <t>OB OM196 CRCS DCLEANNEEM40M 150INR 4X6X6</t>
  </si>
  <si>
    <t>OB CRISSCROSS SENS UT B2G1</t>
  </si>
  <si>
    <t>OB CRCR UT SEN XS 40XS 110INR B2G1 3X6X8</t>
  </si>
  <si>
    <t>OB Crisscross Gum Care B2G2 Med</t>
  </si>
  <si>
    <t>OBOM210 CRCR DEEPCLNGC M 170INR 4X6X6</t>
  </si>
  <si>
    <t>OB PRO CLEAN 40XS BCD 4CT 150INR 4X6X8</t>
  </si>
  <si>
    <t>OB PRECISION CLEAN B2G2 BCD 160INR 4X6X8_</t>
  </si>
  <si>
    <t>OB Crisscross Gum Care B2G2 Sft</t>
  </si>
  <si>
    <t>OBOM210 CRCR DEEPCLN GC S 170INR 4X6X6</t>
  </si>
  <si>
    <t>OB Sens Care 5s Pack</t>
  </si>
  <si>
    <t>OB OM39 EVERYDAY CARE 40XS 130INR 5X6X6</t>
  </si>
  <si>
    <t>OB PH Base Med 4s Ecom</t>
  </si>
  <si>
    <t>OB OM209 PH CRCR M BCD 300INR 4X6X6</t>
  </si>
  <si>
    <t>OB KIDS RS 20 CHOTA BHEEM HC</t>
  </si>
  <si>
    <t>OB OK013 9+3 X20 CHOTTA BHEEM 35S INR18</t>
  </si>
  <si>
    <t>OB OM210 PH CRCR GC 40M BCD 85INR 1X6X16</t>
  </si>
  <si>
    <t>OB Sensitive-X Rs260 2s</t>
  </si>
  <si>
    <t>OM095 SENS X INR 249 2CT 2X6X12</t>
  </si>
  <si>
    <t>OB CD CHRCL 4CT BCD 40M 115INR 1X6X12</t>
  </si>
  <si>
    <t>OB Crisscross Antiplaq B2G2 Sft</t>
  </si>
  <si>
    <t>OB OM209 CRCR DEEP CLN 40S 150INR 4X6X6</t>
  </si>
  <si>
    <t>OB Kids Top</t>
  </si>
  <si>
    <t>OB Kids Tom&amp;Jerry1s</t>
  </si>
  <si>
    <t>OB OK008 TOM &amp; JERRY KIDS 40S 1CT IN_</t>
  </si>
  <si>
    <t>OB Crisscross Rs50 3s</t>
  </si>
  <si>
    <t>OB OM196 PH CRCR 40S BCD 108INR 3X6X8</t>
  </si>
  <si>
    <t>OB CavDefCharcl Sft4</t>
  </si>
  <si>
    <t>OB CD CHRCL 4CT BCD 40S 115INR 1X6X12</t>
  </si>
  <si>
    <t>OB Sensitive Expert 2s</t>
  </si>
  <si>
    <t>OB OM302 EXPERT SENSIULTRASUAVE2X36IT IN_</t>
  </si>
  <si>
    <t>OB PH Bacblast Sft</t>
  </si>
  <si>
    <t>OB BCTRIABLST 40S 85INR BCD 1X6X20</t>
  </si>
  <si>
    <t>Fusion Gift Pack</t>
  </si>
  <si>
    <t>Fusion Premium SM GP</t>
  </si>
  <si>
    <t>Fus SP Clb Small MR 1CSX6IT 899INR</t>
  </si>
  <si>
    <t>OB Sens UT 4s Ecom</t>
  </si>
  <si>
    <t>OB OM160 ULTRATHIN SENS BCD 280INR 4X6X8</t>
  </si>
  <si>
    <t>OB OM209 PH CRCR TL 40S BCD 75INR 1X6X20</t>
  </si>
  <si>
    <t>OB OM196 CRCS DEEPCLNNEEM40S 150INR4X6X6</t>
  </si>
  <si>
    <t>OB Kids Tom&amp;Jerry3s</t>
  </si>
  <si>
    <t>OB OK008 TOM &amp; JERRY KIDS 40S 3CT IN_</t>
  </si>
  <si>
    <t>OB PH Base Sft 4s Ecom</t>
  </si>
  <si>
    <t>OB OM209 PH CRCR S BCD 300INR 4X6X6</t>
  </si>
  <si>
    <t>OB Sens Whitening</t>
  </si>
  <si>
    <t>OB PRO CLEAN 40XS BCD 1CT 50INR 1X6X20</t>
  </si>
  <si>
    <t>OB Crisscross Antiplaq B2G2 Med</t>
  </si>
  <si>
    <t>OB OM209 CRCR DEEP CLN 40M 150INR 4X6X6</t>
  </si>
  <si>
    <t>Ariel Mat 5.8kg+500g Liq FL SB</t>
  </si>
  <si>
    <t>ARIEL PWD(5.8KG+500G)X1 MAT FL ECM AF PC</t>
  </si>
  <si>
    <t>whspr Ultra XL+ 15s CFC</t>
  </si>
  <si>
    <t>WHSPR ULT LCC+ XL+ WGS 15X48</t>
  </si>
  <si>
    <t>whspr Ultra XL+ 45s CFC</t>
  </si>
  <si>
    <t>WHSPR ULT LCC+ XL+ WGS 45X15</t>
  </si>
  <si>
    <t>whspr Ultra XL+ 50s CFC</t>
  </si>
  <si>
    <t>WHSPR ULT LCC+ XL+ WGS 50X20</t>
  </si>
  <si>
    <t>whspr Ultra XL+ 30s CFC</t>
  </si>
  <si>
    <t>WHSPR ULT LCC+ XL+ WGS 30X18</t>
  </si>
  <si>
    <t>VCD 115+25 PROMO CASE 30+2 JAR FREE</t>
  </si>
  <si>
    <t>VCD 2.7G X (115+25) X (30+2) JAR RS230</t>
  </si>
  <si>
    <t>VCD Streamer 10s</t>
  </si>
  <si>
    <t>VICKS DROPS 2.7G M (10+1)X10X10 BAG RS20</t>
  </si>
  <si>
    <t>Olay NA IGF 20gm_HTH</t>
  </si>
  <si>
    <t>HTH_OLAY NA IGF 20GX6X8 IN_RS99_JB</t>
  </si>
  <si>
    <t>VCD 800+250 worth Rs 500 off</t>
  </si>
  <si>
    <t>VICKS DROPS 2.7G(800+250) X 4 JAR RS1600__</t>
  </si>
  <si>
    <t>Cream GIL Lime 93gm</t>
  </si>
  <si>
    <t>GIL LIME SHV CRM 70GX12X8 75INR</t>
  </si>
  <si>
    <t>Guard Razor HTH</t>
  </si>
  <si>
    <t>GUARD RAZOR RES 1CSX540 IT 25INR HTH</t>
  </si>
  <si>
    <t>PNTN SHM 180 ML X56 AHS TD IN CC CH</t>
  </si>
  <si>
    <t>OB Sens Whitening HTH</t>
  </si>
  <si>
    <t>OB SENS WHTNG SFT BCD 35INR 1X6X20 HTH_82250973</t>
  </si>
  <si>
    <t>Pntn TDC 700ml</t>
  </si>
  <si>
    <t>PNTN SHM 650 ML X 12 AHS TD IN PC4 RS</t>
  </si>
  <si>
    <t>whspr Choice ON XXL 6s</t>
  </si>
  <si>
    <t>WHSPRNIGHTS T5 6X60(50)</t>
  </si>
  <si>
    <t>OB PH GCClove S B2G2</t>
  </si>
  <si>
    <t>OB PH CLOVE GC 40S BCD B2G2 190INR 4X6X6</t>
  </si>
  <si>
    <t>Pntn HFC 715ml ECOM</t>
  </si>
  <si>
    <t>PNTN SHM715MLX12 AHS HF IN ECOMM</t>
  </si>
  <si>
    <t>BASE COMFORT GLIDE 70G</t>
  </si>
  <si>
    <t>SHVP COMFORT GLIDE 70G 1X6 INR175</t>
  </si>
  <si>
    <t>Olay Whips</t>
  </si>
  <si>
    <t>Whips TE UV Crm 50gm</t>
  </si>
  <si>
    <t>OLAY TEUV WHIP CRM 50MLX6 IN RS1999 R2.0</t>
  </si>
  <si>
    <t>Vicks 3in1</t>
  </si>
  <si>
    <t>Vicks 3in1 Orange 8</t>
  </si>
  <si>
    <t>VICKS 3-IN-1 ORANGE 2.5G 8SX10X16 RS.30</t>
  </si>
  <si>
    <t>OB OM197 PH CRCR GC 40M BCD 75INR 1X6X16</t>
  </si>
  <si>
    <t>AmbPr CarGel Lemon</t>
  </si>
  <si>
    <t>AMBIP GELFR LEMON 75GX24 SPRING 20 IN</t>
  </si>
  <si>
    <t>Olay Mst Crm 100gm</t>
  </si>
  <si>
    <t>OLAY MOISTURISING CRM 100GX24 IN_RS599</t>
  </si>
  <si>
    <t>Pntn 2in1 SS 675ml</t>
  </si>
  <si>
    <t>PNTN SHM 650MLX12AHS SS2IN1 IN PC</t>
  </si>
  <si>
    <t>H&amp;S SHM650ML X 12 AHF2IN1 PC7</t>
  </si>
  <si>
    <t>RED Pants 2s XL WS spl case</t>
  </si>
  <si>
    <t>PAMPERS DPR XL2SX168 LCP DL2 WS IN</t>
  </si>
  <si>
    <t>Pampers Baby Wipes</t>
  </si>
  <si>
    <t>Pampers Wipes</t>
  </si>
  <si>
    <t>Wipes Lid Doubles OFF</t>
  </si>
  <si>
    <t>PAMPERS WIPES FE 72X2X12S W LID OFF IN</t>
  </si>
  <si>
    <t>AB Pants MD Sup Jumbo PM</t>
  </si>
  <si>
    <t>PAMPERS PANTS HL4 MD76SX4 SJ IN</t>
  </si>
  <si>
    <t>OB POC VitalityCA BL</t>
  </si>
  <si>
    <t>D100.413.2 INDIA CRRB BLU HBOX PTHBR 1X6</t>
  </si>
  <si>
    <t>whspr Cln 100s+ON 44s</t>
  </si>
  <si>
    <t>WHSPR(CLNXL+50X2+ULTNGTXL+44)(1967)Q4.3</t>
  </si>
  <si>
    <t>Olay NA Nite Crm 50g</t>
  </si>
  <si>
    <t>OLAY NA NIGHT CRM 50GX24 IN_RS399_JB</t>
  </si>
  <si>
    <t>OB PH UT CHARCL 1S</t>
  </si>
  <si>
    <t>OB UT CHRCL 40XS BCD 95INR 1X6X16</t>
  </si>
  <si>
    <t>Ariel Liq 4L Pch TL</t>
  </si>
  <si>
    <t>ARIEL LIQ (3L+1L)X3 MAT TL PCH2 PC</t>
  </si>
  <si>
    <t>PNTN HFC 400ML PROMO</t>
  </si>
  <si>
    <t>PTN HFC ( 340 +75) X18 IN Promo</t>
  </si>
  <si>
    <t>Pampers SM Econ Pk</t>
  </si>
  <si>
    <t>PAMPERS DPR SM22SX12 ECON SF2 PC IN.\,</t>
  </si>
  <si>
    <t>OS Deo Wolfthorn</t>
  </si>
  <si>
    <t>OLD SPICE WOLFTHORN 140MLX12X4 IN 249..</t>
  </si>
  <si>
    <t>Labs Cart 2s</t>
  </si>
  <si>
    <t>GilletteLabs 601 Cart2s 1CSX60IT 999INR</t>
  </si>
  <si>
    <t>Ariel Mat TL 6 Kg PM</t>
  </si>
  <si>
    <t>ARIEL PWD (4+2)KG X2 MAT TL OND AM PC_</t>
  </si>
  <si>
    <t>HE SH 240MLX6 ARGAN PC2 IN</t>
  </si>
  <si>
    <t>Venus Breeze Razor</t>
  </si>
  <si>
    <t>VENUS CG3 H+C 1CSX18IT 657.1 INR375</t>
  </si>
  <si>
    <t>OLAY FCE SRM 30MLX6 RG RETMAX IN CTMZ</t>
  </si>
  <si>
    <t>TIDE LAU LIQ 850MLX12 MAT FL BTL HY2 PC___</t>
  </si>
  <si>
    <t>H&amp;S SHM 340ML X 30 S&amp;S 2IN1 IN</t>
  </si>
  <si>
    <t>Guard3 Rzr</t>
  </si>
  <si>
    <t>Guard3 R+2C</t>
  </si>
  <si>
    <t>GUARD3 R+2C 1X144 INR130</t>
  </si>
  <si>
    <t>OB SENS UT</t>
  </si>
  <si>
    <t>OB Precision clean 1CT BCD 75INR 1X6X20</t>
  </si>
  <si>
    <t>Ariel PW Rs.3 6+1</t>
  </si>
  <si>
    <t>ARIEL LAU PWD (6+1)12GX504 JLA PRO PW PC_</t>
  </si>
  <si>
    <t>AB XXL Sup Jumbo</t>
  </si>
  <si>
    <t>PAMPERS PANTS HL4.1 XXL42SX4 SJ IN</t>
  </si>
  <si>
    <t>OB POC Pro 3</t>
  </si>
  <si>
    <t>D505.513.3 INDiA CRRB FLTBL Box PTHBR</t>
  </si>
  <si>
    <t>Ariel Liq 3.2L Pch FL</t>
  </si>
  <si>
    <t>ARIEL LIQ 3.2LX4 MAT FL PCH2 PC___</t>
  </si>
  <si>
    <t>Whspr ON Koala XXXL+ 4s</t>
  </si>
  <si>
    <t>WHISPER KOALA4 OVN S11 4X48CT KNH PU</t>
  </si>
  <si>
    <t>OB Kids 3s Val Pack</t>
  </si>
  <si>
    <t>OB OK006 EMKB LITE 3CT BCD 50INR 3X6X8_</t>
  </si>
  <si>
    <t>PNTN SHM 650MLX12AHS SS2IN1 IN PC3 RS</t>
  </si>
  <si>
    <t>PNTN SHM 180ML X 56 AHS TD IN RS PC4</t>
  </si>
  <si>
    <t>H&amp;S SHM650ML X 12 AHF2IN1 PC4 IN MK</t>
  </si>
  <si>
    <t>Whspr ON Koala Pants 6s</t>
  </si>
  <si>
    <t>Whisper OVN Koala4 Pants SQ M/L 6SX8_</t>
  </si>
  <si>
    <t>OB 3in1 GP card</t>
  </si>
  <si>
    <t>Ob 3in1 Mini GPcard</t>
  </si>
  <si>
    <t>OB 3IN1 MINI SC RT M+FC M+BF M(3+3+1)X24</t>
  </si>
  <si>
    <t>Vector Cart</t>
  </si>
  <si>
    <t>Vector 2s</t>
  </si>
  <si>
    <t>VEC+ CRT2 PSHBT 1CSX600 1X50X12 INR75</t>
  </si>
  <si>
    <t>Guard Razor SBD</t>
  </si>
  <si>
    <t>GUARD RAZOR RES 1CSX540 IT 25INR_</t>
  </si>
  <si>
    <t>BLUE Pants Jumbo New NB Sticker</t>
  </si>
  <si>
    <t>PAMPERS PANTS HL4 XS64SX6 JPCO ST IN</t>
  </si>
  <si>
    <t>BLUE Pants Jumbo New NB</t>
  </si>
  <si>
    <t>PAMPERS PANTS HL4.1 XS64SX6 JPCO IN</t>
  </si>
  <si>
    <t>SP Blades</t>
  </si>
  <si>
    <t>SP Blades 100s</t>
  </si>
  <si>
    <t>7OCLK SPLT 100S 1CSX40IT INR1200</t>
  </si>
  <si>
    <t>H&amp;S SS 200ml PROMO</t>
  </si>
  <si>
    <t>H&amp;S 180ML SHM.S&amp;S + 72ML SHM CM_BP</t>
  </si>
  <si>
    <t>OB UT CHRCL 40XS BCD 70INR 1X6X16</t>
  </si>
  <si>
    <t>Appliances</t>
  </si>
  <si>
    <t>Braun</t>
  </si>
  <si>
    <t>Braun Epilator</t>
  </si>
  <si>
    <t>BRAUN SE810</t>
  </si>
  <si>
    <t>SE810 FACE MN SR/WH WBOX EPILATOR IN_</t>
  </si>
  <si>
    <t>ATOM MUSK 150ML</t>
  </si>
  <si>
    <t>OS ASL ATOMIZER MUSK 150MLX24 S3_RS325</t>
  </si>
  <si>
    <t>ProGlide Cart</t>
  </si>
  <si>
    <t>ProGlide Cart 8s</t>
  </si>
  <si>
    <t>FUSION PG CARTS 8CT 1X10X4 INR 2399</t>
  </si>
  <si>
    <t>PAMPERS DPR MULMUL2.1 LG26SX12 VP IN</t>
  </si>
  <si>
    <t>BLUE Pants 2s MD</t>
  </si>
  <si>
    <t>PAMPERS DPR HL4.1 MD2SX144 LCP IN</t>
  </si>
  <si>
    <t>H&amp;S SHM 340ML X 30 AP 2IN1 IN PC OND24</t>
  </si>
  <si>
    <t>Ariel Mat FL 6 Kg CN</t>
  </si>
  <si>
    <t>ARIEL PWD (4+2)KGX2 MAT FL CAN JAS AF PC</t>
  </si>
  <si>
    <t>Wilkinson Sword</t>
  </si>
  <si>
    <t>Wilkson DE Blades</t>
  </si>
  <si>
    <t>Wilkinson-5s DE</t>
  </si>
  <si>
    <t>DE WIL STNLS 5 5X20X60 15INR GSMC</t>
  </si>
  <si>
    <t>A500 ADV N63 PB</t>
  </si>
  <si>
    <t>Vicks Action 500 Advanced 12*80PB RS 6.3</t>
  </si>
  <si>
    <t>Fus SP Small MR 1CSX9IT 999INR_Rejig</t>
  </si>
  <si>
    <t>PAMPERS DPR DL2 XL2SX168 LCP DM WS IN</t>
  </si>
  <si>
    <t>H&amp;S 7in1 340ml</t>
  </si>
  <si>
    <t>H&amp;S SHM 340ML X30 7IN1 IN</t>
  </si>
  <si>
    <t>Liners</t>
  </si>
  <si>
    <t>Whisper Liners</t>
  </si>
  <si>
    <t>whspr Liners 20s</t>
  </si>
  <si>
    <t>WHSPR LINER REG ONM RPW 20X18(Rs_160) PU</t>
  </si>
  <si>
    <t>Vaporub 50gm+20% Extra SW promo</t>
  </si>
  <si>
    <t>VICKS VAPORUB CL 60MLX(14+1)X12 INR199</t>
  </si>
  <si>
    <t>BLUE Pants 4s LG</t>
  </si>
  <si>
    <t>PAMPERS DPR HL4.1 LG4SX72 LCP DM IN</t>
  </si>
  <si>
    <t>ASL LIME 150ML</t>
  </si>
  <si>
    <t>OSASL SPLASHFRESH LIME150MLX24 S3_RS320</t>
  </si>
  <si>
    <t>OB POC KIDS FROZN 2s</t>
  </si>
  <si>
    <t>EB10S 2K SEE Frozen FFS Brushset IN</t>
  </si>
  <si>
    <t>PNTN COND 200MLX 24 HS SS IN PC25</t>
  </si>
  <si>
    <t>H&amp;S Bottles RTM Pack SS &amp; AHF</t>
  </si>
  <si>
    <t>H&amp;S BOTTLES RTM PACK SS &amp; AHF</t>
  </si>
  <si>
    <t>BabyRub 10 ml</t>
  </si>
  <si>
    <t>VICKS BABYRUB 10MLX12X90 FLATS INR55</t>
  </si>
  <si>
    <t>H&amp;S SS 400ml PROMO</t>
  </si>
  <si>
    <t>H&amp;S (SS 340ML + SS 2IN1 70ML)X18 JFM</t>
  </si>
  <si>
    <t>FUSION PG 8CT 557 1X10X4 2199INR</t>
  </si>
  <si>
    <t>Active Baby MD Super Jumbo</t>
  </si>
  <si>
    <t>PAMPERS DPR M5 MD90SX4 SJ IN PU</t>
  </si>
  <si>
    <t>VCD 60+5 worth Rs 10 off</t>
  </si>
  <si>
    <t>VICKS DROP 2.7G X (60+5) X 32 BAG RS120</t>
  </si>
  <si>
    <t>Braun Beard Trimmer</t>
  </si>
  <si>
    <t>BRAUN BT5420</t>
  </si>
  <si>
    <t>BRAUN BEARD BT5420 BLK/BLK BOX MN IN</t>
  </si>
  <si>
    <t>Olay NA Day Crm 50gm</t>
  </si>
  <si>
    <t>OLAY NA DAY CRM 50GX24 IN_RS449</t>
  </si>
  <si>
    <t>ARIEL LIQ 1LX12 MAT FL PCH SOUTH A PC</t>
  </si>
  <si>
    <t>Olay TE Serum 50gm</t>
  </si>
  <si>
    <t>OLAY TE 7IN1 DALY SRM50MLX6 IN_RS1099 HL</t>
  </si>
  <si>
    <t>PAMPERS PANTS MULMUL2 XXL90SX1 SVB IN</t>
  </si>
  <si>
    <t>Braun IPL</t>
  </si>
  <si>
    <t>BRAUN IPL5152</t>
  </si>
  <si>
    <t>BRAUN IPL PL5152 WHT/GOLD BOX IN</t>
  </si>
  <si>
    <t>PAMPERS PANTS HL4.1 MD228SX1 SUPBOX IN</t>
  </si>
  <si>
    <t>BBR 50ml SW promo</t>
  </si>
  <si>
    <t>VICKS BABYRUB 50ML (11+1)12 JAR INR215</t>
  </si>
  <si>
    <t>whspr Maxi XLW 15s</t>
  </si>
  <si>
    <t>WHP T3 MAXI FIT L 15X50 (225) JWALA</t>
  </si>
  <si>
    <t>H&amp;S SBD Pre-Pack South</t>
  </si>
  <si>
    <t>H&amp;S(CLEAN40+COOL20+SMOOTH20)5MLX15 IN</t>
  </si>
  <si>
    <t>Pntn DR 180ml</t>
  </si>
  <si>
    <t>PNTN SHM 180ML X 56 HS DR IN JUN25 (214)</t>
  </si>
  <si>
    <t>H&amp;S CM 1200ML</t>
  </si>
  <si>
    <t>H&amp;S SHM 1200ML X8 CM IN JAS (1780)</t>
  </si>
  <si>
    <t>AmbPr Air L&amp;S</t>
  </si>
  <si>
    <t>AMBI LEGO AIR SPRAY 275mlX6 LIN&amp;SKY</t>
  </si>
  <si>
    <t>SP Blades 5s</t>
  </si>
  <si>
    <t>DE 7OCLK SP 5 5X20X60 INR60</t>
  </si>
  <si>
    <t>AB PANTS LG MEGA BOX</t>
  </si>
  <si>
    <t>PAMPERS PANTS HL5 LG192SX1 SUPBOX mos IN</t>
  </si>
  <si>
    <t>PAMPERS PANTS HL5 XL112SX1 BOX mos IN</t>
  </si>
  <si>
    <t>ARIEL PWD (6KG+500ML) X 2 MAT FL AF PC</t>
  </si>
  <si>
    <t>Pntn LT 340ml</t>
  </si>
  <si>
    <t>PNTN SHM 340ML X 30 HS LT IN PR</t>
  </si>
  <si>
    <t>Tide Liq 850 ML FL Pouch</t>
  </si>
  <si>
    <t>TIDE LAU LIQ 850MLX12 MAT FL PCH PC</t>
  </si>
  <si>
    <t>whspr Ultra XL+ 150s CFC</t>
  </si>
  <si>
    <t>WHSPR LCC+ S05 XL+ 50X3 (2097) ECOM</t>
  </si>
  <si>
    <t>Moisturizing Lotion</t>
  </si>
  <si>
    <t>Olay Mst Lot 150ml</t>
  </si>
  <si>
    <t>OLAY FACE LOT 150MLX3X4 PNK IN RS649 WH1</t>
  </si>
  <si>
    <t>Ariel Matic TL 1.8kg Bag</t>
  </si>
  <si>
    <t>ARIEL PWD 1.8KG X 12MAT TL AM PC</t>
  </si>
  <si>
    <t>PAMPERS DPR MULMUL2.1 XS30SX18 ECON IN</t>
  </si>
  <si>
    <t>OLAY TE 7INONE CRM GNT 50GX6_IN_RS999 PU</t>
  </si>
  <si>
    <t>PNTN 2IN1 SS 200ML</t>
  </si>
  <si>
    <t>PNTN SHM 180MLX56 HS SS 2IN1 IN AT PC24</t>
  </si>
  <si>
    <t>HomeGel Relax+Love</t>
  </si>
  <si>
    <t>Mood Thrpy H. Gel LOVE.B+RELAX.U 180x2GP</t>
  </si>
  <si>
    <t>Guard Cart 8s SBD</t>
  </si>
  <si>
    <t>GUARD 8CT 1X20X24 98 INR</t>
  </si>
  <si>
    <t>Mach3 Crt Charcoal 4s</t>
  </si>
  <si>
    <t>MACH3 CHAR CART 4s 1X6X8 INR 725</t>
  </si>
  <si>
    <t>Tide LV 8Kg</t>
  </si>
  <si>
    <t>TIDE PWD 8KGX3 LV NL PC__</t>
  </si>
  <si>
    <t>Retinol 24 Night Crm</t>
  </si>
  <si>
    <t>OLAY RETINOL CRM 50GX6 IN_RS1999 BR LW</t>
  </si>
  <si>
    <t>Tide JR 10KG</t>
  </si>
  <si>
    <t>TIDE PWD 10KGX2 JR TE PC</t>
  </si>
  <si>
    <t>Whspr ON Koala Pants L-XL 18s</t>
  </si>
  <si>
    <t>WHISPER PERIOD PANTS L/XL 18TX8</t>
  </si>
  <si>
    <t>VICKS VAPORUB CL 5MLX12X100 FLATS RS25</t>
  </si>
  <si>
    <t>OB 3IN1 GPCARD 8+4+3ECARE</t>
  </si>
  <si>
    <t>OB3IN1BASESCM+FCM+ECXS(8+4+3)X24</t>
  </si>
  <si>
    <t>Ariel PW Rs.10 N</t>
  </si>
  <si>
    <t>ARIEL PWD (45+20)GX60 GEN2 RW PC</t>
  </si>
  <si>
    <t>ASL LIME 50ML</t>
  </si>
  <si>
    <t>OS ASL FRESH LIME 50MLX72 S3_RS149</t>
  </si>
  <si>
    <t>whspr Ultra XL 48s + Nights 15s</t>
  </si>
  <si>
    <t>WHISPER MR DAY+NIGHT PACK_NEW</t>
  </si>
  <si>
    <t>Braun Multi Grooming Kit</t>
  </si>
  <si>
    <t>BRAUN AIO3</t>
  </si>
  <si>
    <t>BRAUN MULTI AIO3540 MSGREY BOX IN</t>
  </si>
  <si>
    <t>HE Argan CN 400ml</t>
  </si>
  <si>
    <t>HE CN 400MLX6 AGNOIL JAS25 IN</t>
  </si>
  <si>
    <t>H&amp;S SHM 72ML X 48 CM 2IN1 IN PC JFM25</t>
  </si>
  <si>
    <t>H&amp;S CM 300 ML</t>
  </si>
  <si>
    <t>H&amp;S SHM 300ML X30 CM IN DM JAS25 (360)</t>
  </si>
  <si>
    <t>HOME GEL LEMONGRASS</t>
  </si>
  <si>
    <t>AMBI GELFR 180GX12 SPLASH REV IN Dec 24</t>
  </si>
  <si>
    <t>Roll on Inhaler Hangsell</t>
  </si>
  <si>
    <t>VICKS ROLL ON INHL 1.5MLX12X12 RS93</t>
  </si>
  <si>
    <t>Mach3 Crts 6s + Foam</t>
  </si>
  <si>
    <t>M3 CRT 6S+50G FOAM 1X12 INR 1319</t>
  </si>
  <si>
    <t>Pampers SM Value Pk</t>
  </si>
  <si>
    <t>PAMPERS DPR SM46SX6 VP SF2 BIS CS IN</t>
  </si>
  <si>
    <t>whspr Soft XL+ 15s</t>
  </si>
  <si>
    <t>WHISP ULT SOFTS XL+ 15X36 (195)</t>
  </si>
  <si>
    <t>PC Pants SM Super Saver Pk</t>
  </si>
  <si>
    <t>PAMPERS PANTS MULMUL2.1 SM72SX4 JPCO IN</t>
  </si>
  <si>
    <t>OB OK008 TOM &amp; JERRY KIDS 40S 1CT IN</t>
  </si>
  <si>
    <t>Tide Bar</t>
  </si>
  <si>
    <t>Tide Blue Bar Rs10B</t>
  </si>
  <si>
    <t>TIDE DET BAR (100G+20G)X72 BLUE BAR PC</t>
  </si>
  <si>
    <t>H&amp;S CHARCOAL DEEP CLEAN RS 2 20S</t>
  </si>
  <si>
    <t>H&amp;S SHM 5.7MLX1200 CHARCOAL DC IN</t>
  </si>
  <si>
    <t>Tide JR 5 kg BKT C</t>
  </si>
  <si>
    <t>TIDE PWD 5KGX5 JR BKT FREE C TE PC</t>
  </si>
  <si>
    <t>SS Blades</t>
  </si>
  <si>
    <t>SS 10s</t>
  </si>
  <si>
    <t>DE PRMSH STNLS 10 10X20X40 40 INR</t>
  </si>
  <si>
    <t>Ariel Liq 6L Pch FL New</t>
  </si>
  <si>
    <t>ARIEL LIQ 6LX2 MAT FL PCH4 PC</t>
  </si>
  <si>
    <t>PNTN SHM 180MLX56 HS HFC 2IN1 IN NSS</t>
  </si>
  <si>
    <t>H&amp;S SHM 1000ML X8 S&amp;S IN JAS25 (1590)</t>
  </si>
  <si>
    <t>Inh Hanging Jumbo</t>
  </si>
  <si>
    <t>VICKS INHL 0.5MLX26X25 KC JUMBO RS.69</t>
  </si>
  <si>
    <t>TIDE PWD NAT 1KGX24 TV PC__</t>
  </si>
  <si>
    <t>BLUE Pants Regs NB</t>
  </si>
  <si>
    <t>PAMPERS PANTS HL5 XS8SX40 REG IN</t>
  </si>
  <si>
    <t>PAMPERS PANTS HL5 SM31SX12 VP mos IN</t>
  </si>
  <si>
    <t>Whspr ON Koala Pants M-L 2s</t>
  </si>
  <si>
    <t>WHISPER PERIOD PANTS M/L 2CTX24 CI</t>
  </si>
  <si>
    <t>H&amp;S SHM 72MLX48 S&amp;S 2IN1 IN AMJ25 (99)</t>
  </si>
  <si>
    <t>PNTN HFC 625ML</t>
  </si>
  <si>
    <t>PNTN SHM 625ML X 12 HFC IN</t>
  </si>
  <si>
    <t>PNTN SS 625ML</t>
  </si>
  <si>
    <t>PNTN SHM 625ML X 12 SSC IN</t>
  </si>
  <si>
    <t>ARIEL LIQ 1LX12 MAT FL PCH3 SOUTH A PC</t>
  </si>
  <si>
    <t>H&amp;S AHF 300 ml</t>
  </si>
  <si>
    <t>H&amp;S SHM 300ML X30 AHF IN DM</t>
  </si>
  <si>
    <t>Simply Venus Pack of 3s</t>
  </si>
  <si>
    <t>SV3 POUCH 3s 1X4X10 245 INR</t>
  </si>
  <si>
    <t>WHP CHOICE T3 18X36 (125) ZORDAAR</t>
  </si>
  <si>
    <t>Vector 4s</t>
  </si>
  <si>
    <t>VEC+ CRT4 PSHBT 1X50X12 INR 188</t>
  </si>
  <si>
    <t>OLAY FACE LOT 150MLX3X4 PNK IN_RS699 PU</t>
  </si>
  <si>
    <t>HE CN 400MLX6 COCO MLK JAS25 IN</t>
  </si>
  <si>
    <t>OB Prohealth</t>
  </si>
  <si>
    <t>OB PH Antibac B2G1</t>
  </si>
  <si>
    <t>OB PH ANTIBC 40SFT 198INR BCD B2G1 3X6X8_82278386</t>
  </si>
  <si>
    <t>OS Deo Amber</t>
  </si>
  <si>
    <t>OLD SPICE AMBER 140MLX12X4 IN 249</t>
  </si>
  <si>
    <t>Fusion Power 2s</t>
  </si>
  <si>
    <t>FUSION5 POWER CRT 2CT 2X10X20 599INR</t>
  </si>
  <si>
    <t>Retinol 24 Serum</t>
  </si>
  <si>
    <t>OLAY FCESERUM30MLX6 RGRET THPHMYSGID IN</t>
  </si>
  <si>
    <t>Guard3 Carts</t>
  </si>
  <si>
    <t>Guard3 Cart 1</t>
  </si>
  <si>
    <t>GUARD3 REFILL 1CT 1CSX800IT 35INR LC</t>
  </si>
  <si>
    <t>H&amp;S Basic Smooth Rs 2</t>
  </si>
  <si>
    <t>H&amp;S SHAMPOO5MLX 960 BSMOOTH IN MC</t>
  </si>
  <si>
    <t>OS DEO NOMAD</t>
  </si>
  <si>
    <t>OLD SPICE NOMAD 140MLX12X4 IN 249</t>
  </si>
  <si>
    <t>OS Pocket Nomad</t>
  </si>
  <si>
    <t>OLD SPICE NOMAD 17MLX12X12 IN 75</t>
  </si>
  <si>
    <t>OB PH GCClove S 1s</t>
  </si>
  <si>
    <t>OB PH CLOVE GC 40S 95INR 1X20 OM197</t>
  </si>
  <si>
    <t>Pntn Bamboo 340ml</t>
  </si>
  <si>
    <t>PNTN SHM 340ML X 30 AHS BAMBOO IN</t>
  </si>
  <si>
    <t>PNTN SHM 650MLX12AHS HF2IN1 IN PC1</t>
  </si>
  <si>
    <t>H&amp;S SHM650ML X 12 AHF2IN1 PC1 IN MK</t>
  </si>
  <si>
    <t>RG Clnsr 100gm</t>
  </si>
  <si>
    <t>OLAY RG CLNSR 100GX12 IN RS399</t>
  </si>
  <si>
    <t>PAMPERS PANTS SM32SX12 VP HL3 IN</t>
  </si>
  <si>
    <t>Olay VitC Serum 15ml</t>
  </si>
  <si>
    <t>OLAY LUM VITC SERUM 15MLX12 IN JUP CTMZ</t>
  </si>
  <si>
    <t>Guard3 Cart 6s</t>
  </si>
  <si>
    <t>GUARD 3 REFILL 6CT 1CSX128IT 180INR PU</t>
  </si>
  <si>
    <t>HE Strawberry SH 400ml</t>
  </si>
  <si>
    <t>HE SH 400MLX6 ST&amp;SWMNT PC1 IN</t>
  </si>
  <si>
    <t>OB Pro Clean 40XS BCD 1CT 49INR 1X6X20</t>
  </si>
  <si>
    <t>Power Oral Care</t>
  </si>
  <si>
    <t>OB CAPH Power DB5 Brush</t>
  </si>
  <si>
    <t>DB5.510.1 IN CRRB WT/BL Hbox PTHBR</t>
  </si>
  <si>
    <t>OS Pocket Lionpride Streamer</t>
  </si>
  <si>
    <t>OLD SPICE LIONPRIDE 17MLX36X4 IN_INR 75__</t>
  </si>
  <si>
    <t>D100.413.2 INDIA CR BLU BOX PTHBR 1X6</t>
  </si>
  <si>
    <t>AMBI LEGO AIR SPRAY 275GX6 SW</t>
  </si>
  <si>
    <t>PAMPERS PANTS XS54SX6 JPCO HL3 CC IN</t>
  </si>
  <si>
    <t>H&amp;S CM 9ml</t>
  </si>
  <si>
    <t>H&amp;S SHM 8 ML X 800 MF 2in1 IN CL DF</t>
  </si>
  <si>
    <t>Guard Cart 3s SBD</t>
  </si>
  <si>
    <t>GUARD RES 3CT 1X40X12 30 INR</t>
  </si>
  <si>
    <t>FUSPG CRT 8CT 1X10X4 2099INR 557</t>
  </si>
  <si>
    <t>Olay TE TOF UV 50gm</t>
  </si>
  <si>
    <t>OLAY TE 7INONETOUCH BB CRM50GX6_IN_RS949</t>
  </si>
  <si>
    <t>H&amp;S CM 1000ML</t>
  </si>
  <si>
    <t>H&amp;S SHM 1000ML X8 CM PC6 IN MK23</t>
  </si>
  <si>
    <t>DE 7OCLK PRMSH RAZ2UP 1X12X12 40INR</t>
  </si>
  <si>
    <t>BRAUN XT5100</t>
  </si>
  <si>
    <t>BRAUN XT5100 BLK/METSILV BOX IN</t>
  </si>
  <si>
    <t>AB PANTS MEGA SM OFF PACK DM</t>
  </si>
  <si>
    <t>PAMPERS PANTS SM94SX3 MP HL3 OF CC IN</t>
  </si>
  <si>
    <t>whspr Ult ON XL+ 7s</t>
  </si>
  <si>
    <t>WHSPR ULT BIN NGT XL+ 7X48 (99) 1k</t>
  </si>
  <si>
    <t>OS Pocket Original Streamer NSR</t>
  </si>
  <si>
    <t>OS ORIGINAL 17MLX36X4 B3G1 IN_INR 75</t>
  </si>
  <si>
    <t>whspr Rangeela Softs RTM</t>
  </si>
  <si>
    <t>Whisper Rangeela RTM_Polysleeve</t>
  </si>
  <si>
    <t>Turbo Cart 2s</t>
  </si>
  <si>
    <t>MACH3 TRB CRT2 1X12X6 375INR DSTNY</t>
  </si>
  <si>
    <t>OM095 SENS X INR 260 2CT 2X6X12</t>
  </si>
  <si>
    <t>Olay TE Nrm NUV 20gm</t>
  </si>
  <si>
    <t>OLAY TE 7INONEDAY CRM NRM 20GX6_IN_RS429</t>
  </si>
  <si>
    <t>Pntn DR 650ml</t>
  </si>
  <si>
    <t>PNTN SHM 650 ML X 12 HS DR IN</t>
  </si>
  <si>
    <t>ASL MUSK 100ML PB</t>
  </si>
  <si>
    <t>OS ASL MUSK 100MLX96 PB_RS249</t>
  </si>
  <si>
    <t>Fusion Power 8s</t>
  </si>
  <si>
    <t>FUSION POWER 8CT 557 1X10X4 2199INR</t>
  </si>
  <si>
    <t>OS ASL ATOMIZER ORIG 150MLX24 S3_RS325</t>
  </si>
  <si>
    <t>DE 7OCLK SP 5 5X20X60 55INR</t>
  </si>
  <si>
    <t>Ariel Mat TL 6 Kg CN</t>
  </si>
  <si>
    <t>ARIEL PWD (4+2)KGX2 MAT TL CAN JAS AM PC</t>
  </si>
  <si>
    <t>Roll On</t>
  </si>
  <si>
    <t>Vicks Mini Roll On Hangsell</t>
  </si>
  <si>
    <t>VICKS ROLL ON 8MLX12X12 RS65</t>
  </si>
  <si>
    <t>Braun Body Groomer</t>
  </si>
  <si>
    <t>BRAUN BG3340</t>
  </si>
  <si>
    <t>BRAUN BODY BG3340 BLK/DGREY BOX IN</t>
  </si>
  <si>
    <t>Guard3 Rzr Promo</t>
  </si>
  <si>
    <t>GUARD 3 RAZOR 1-UP 1CSX80IT INR70 PU</t>
  </si>
  <si>
    <t>H&amp;S SBD PrePack Neem South</t>
  </si>
  <si>
    <t>H&amp;S(CLN40+CL20+SMTH20+NEEM20)5ML X12 IN</t>
  </si>
  <si>
    <t>AB PANTS MEGA SM OFF PACK DM New</t>
  </si>
  <si>
    <t>PAMPERS PANTS HL4 SM80SX4 New MR MP IN</t>
  </si>
  <si>
    <t>H&amp;S SHM 650ML X 12 AHF2IN1 IN</t>
  </si>
  <si>
    <t>Whips RG UV Crm 50gm</t>
  </si>
  <si>
    <t>OLAY RGUV WHIP CRM 50MLX6 IN_ RS1999 BR</t>
  </si>
  <si>
    <t>VICKS DROP G 2.7G X 25 X 5 X 12 BAG RS50</t>
  </si>
  <si>
    <t>Braun Shavers</t>
  </si>
  <si>
    <t>BRAUN Shaver - Series 9567</t>
  </si>
  <si>
    <t>BRAUN SHAVER 9567cc SILV BOX MN IN</t>
  </si>
  <si>
    <t>Simply Venus 10 pack</t>
  </si>
  <si>
    <t>SV3 POUCH 10s 1CSX40IT 640INR</t>
  </si>
  <si>
    <t>Vaporub Xtra Strong</t>
  </si>
  <si>
    <t>Vaporub Xtra Strong 25ml</t>
  </si>
  <si>
    <t>VICKS VRUB XTRA STRONG 25MLX9X24 RS125</t>
  </si>
  <si>
    <t>RED Pants 2s NB WS spl case</t>
  </si>
  <si>
    <t>PAMPERS PANTS DL2 XS2SX168 LCP DM WS IN</t>
  </si>
  <si>
    <t>whspr Liners 40s</t>
  </si>
  <si>
    <t>WHSPR LINER REG ONMRPW 40SX10(Rs_320) PU</t>
  </si>
  <si>
    <t>PAMPERS PANTS HL4.1 XL112SX1 BOX IN</t>
  </si>
  <si>
    <t>PAMPERS PANTS HL4.1 LG128SX1 BOX IN</t>
  </si>
  <si>
    <t>Pampers Pants-Big Packs-Dlite</t>
  </si>
  <si>
    <t>RED Pants Jumbo New MD</t>
  </si>
  <si>
    <t>PAMPERS PANTS DL2 MD50SX6 JP DM IN</t>
  </si>
  <si>
    <t>PC Pants LG Econ Pk</t>
  </si>
  <si>
    <t>PAMPERS PANTS MULMUL LG13SX12 ECON UC IN</t>
  </si>
  <si>
    <t>PNTN SHM 180MLX56 HS HFC 2IN1 IN ATHENA</t>
  </si>
  <si>
    <t>Tide JR 4+1Kg A</t>
  </si>
  <si>
    <t>TIDE PWD (4KG + 1KG)X5 JR A TE PC</t>
  </si>
  <si>
    <t>BLUE Pants Jumbo New SM Sticker</t>
  </si>
  <si>
    <t>PAMPERS PANTS HL4 SM56SX6 JPCO ST IN</t>
  </si>
  <si>
    <t>Pntn LT 650ml</t>
  </si>
  <si>
    <t>PNTN SHM 650 ML X 12 HS LT IN</t>
  </si>
  <si>
    <t>OLAY RG CLNSR 100GX12 IN RS399_</t>
  </si>
  <si>
    <t>PAMPERS DPR DL2 LG1SX12X24 LCP DM BF2 IN</t>
  </si>
  <si>
    <t>whspr Choice Polysleeve RTM_South</t>
  </si>
  <si>
    <t>CHOICE RTM POLYSLEEVE_GOA (T3 7S)</t>
  </si>
  <si>
    <t>WHISPER KOALA4 OVN S11 4CTX48 (150) KNH</t>
  </si>
  <si>
    <t>whspr Ch ON XXL 6s + Ch Ultra 40s Combo</t>
  </si>
  <si>
    <t>WHSPR CHOICE NIGHTS ON XXL 6 + ULTRA 40</t>
  </si>
  <si>
    <t>whspr Ultra XL 30s</t>
  </si>
  <si>
    <t>WHSPR ULT LCC+ XL WGS 30X18(350) WW</t>
  </si>
  <si>
    <t>OB OM160 ULTRATHIN SENS BCD 340INR 4X6X8</t>
  </si>
  <si>
    <t>Tide JR 9Kg A</t>
  </si>
  <si>
    <t>TIDE LAU PWD 9KG X 3 JR A TE PC_</t>
  </si>
  <si>
    <t>Whspr Ult ON XXL+ 30s</t>
  </si>
  <si>
    <t>WHSPR ULNGT XXL+ 30x27 S7AB (620) BUD</t>
  </si>
  <si>
    <t>H&amp;S AHF Condi 80ml</t>
  </si>
  <si>
    <t>H&amp;S CN 80MLX48 ANTI HAIRFALL MVK IN_</t>
  </si>
  <si>
    <t>PAMPERS DPR MULMUL2.1 LG88SX1 BOX IN</t>
  </si>
  <si>
    <t>Pampers MD Jumbo Pk</t>
  </si>
  <si>
    <t>PAMPERS DPR MD66SX4 JP SF2 PC CS IN PU</t>
  </si>
  <si>
    <t>7OCLK PII RAZOR FXD 1X12X12 125INR LA</t>
  </si>
  <si>
    <t>PNTN SHM 650 ML X 12 HS DR IN PR PC24</t>
  </si>
  <si>
    <t>OLAY NA NIGHT CRM 50GX24 IN_RS449</t>
  </si>
  <si>
    <t>BRAUN MGK5445</t>
  </si>
  <si>
    <t>BRAUN MULTI MGK5445 BlkNdcBlu MN IN</t>
  </si>
  <si>
    <t>whspr Choice Basket HTH</t>
  </si>
  <si>
    <t>Pntn condi Biotin 3MM 200ml</t>
  </si>
  <si>
    <t>PNTN 3MM BIOTIN COND 200MLX24 IN</t>
  </si>
  <si>
    <t>ARIEL PWD (6KG+500ML)X2 MAT FL AF PC</t>
  </si>
  <si>
    <t>PNTN SHM 650MLX12 HS SS 2IN1 IN ATHENA</t>
  </si>
  <si>
    <t>Tide LV 5+1Kg A</t>
  </si>
  <si>
    <t>TIDE PWD (5KG + 1KG)X4 A LV PC</t>
  </si>
  <si>
    <t>ATOM LIONPRIDE 150ML</t>
  </si>
  <si>
    <t>OS ASL ATOMI LIONPRIDE 150MLX24 S3_RS349</t>
  </si>
  <si>
    <t>Tide SHS LM 6Kg A</t>
  </si>
  <si>
    <t>TIDE PWD (5KG + 1KG)X4 LM A TS PC</t>
  </si>
  <si>
    <t>Whspr ON Koala Pants 2s</t>
  </si>
  <si>
    <t>Whisper OVN Koala7 Pants M/L 2Sx24</t>
  </si>
  <si>
    <t>Pampers LG Econ Pk</t>
  </si>
  <si>
    <t>PAMPERS DPR SF2 LG18SX18 ECONIN PU</t>
  </si>
  <si>
    <t>WHSPR ULT LCC+ XL+ WGS 15X48 (200) PU</t>
  </si>
  <si>
    <t>Tide LM 6+2Kg A</t>
  </si>
  <si>
    <t>TIDE PWD (6KG + 2KG)X3 LM A TS PC__</t>
  </si>
  <si>
    <t>Pntn condi SS 90ml</t>
  </si>
  <si>
    <t>PNTN COND 100MLX 24 HS SS IN AMJ25</t>
  </si>
  <si>
    <t>VICKS COUGH SYRUP 100ML*6*8</t>
  </si>
  <si>
    <t>RED Pants Econs SM</t>
  </si>
  <si>
    <t>PAMPERS PANTS DL2 SM20X24 ECON KN IN</t>
  </si>
  <si>
    <t>PAMPERS PANTS MULMUL2.1 XXL90SX1 SVB IN</t>
  </si>
  <si>
    <t>Pntn 2in1 DR 200ml</t>
  </si>
  <si>
    <t>PNTN SHM180MLX56 HS DR 2IN1 IN AT PC24</t>
  </si>
  <si>
    <t>PNTN SHM 650ML X 12 SS IN PC AMJ25</t>
  </si>
  <si>
    <t>HE Argan CN 240ML</t>
  </si>
  <si>
    <t>HE CN 240MLX6 ARGAN PC3 IN</t>
  </si>
  <si>
    <t>H&amp;S SHM 340ML X30 AHF 2IN1 IN PCR</t>
  </si>
  <si>
    <t>ASL ORIGINAL 150ML</t>
  </si>
  <si>
    <t>OS ASL SPLASH ORIG 150MLX24 S3_RS320</t>
  </si>
  <si>
    <t>Mach 3 Cart 8s</t>
  </si>
  <si>
    <t>MACH3 PPH CART 8s 1CSX36IT INR 1140</t>
  </si>
  <si>
    <t>Retinol Serum + Clnsr</t>
  </si>
  <si>
    <t>RETINOL SERUM + CLEANSER GIFT PACK_</t>
  </si>
  <si>
    <t>Tide Ultra Machine</t>
  </si>
  <si>
    <t>Tide Ultra 3in1 5kg</t>
  </si>
  <si>
    <t>TIDE PWD 5KGX5 ULTRA 3IN1 TP PC</t>
  </si>
  <si>
    <t>PNTN SHM 340ML X 30 HS LT IN JUN25 (410)</t>
  </si>
  <si>
    <t>Tide LV 7Kg</t>
  </si>
  <si>
    <t>TIDE PWD 7KGX3 LV PC</t>
  </si>
  <si>
    <t>BLUE Pants 2s XL</t>
  </si>
  <si>
    <t>PAMPERS DPR HL5 XL2SX192 LCP IN</t>
  </si>
  <si>
    <t>Vaporub 10gm</t>
  </si>
  <si>
    <t>VICKS VAPORUB CL 10MLX12X90 FLATS RS48</t>
  </si>
  <si>
    <t>PAMPERS PANTS HL5 LG62SX4 New MR MP IN</t>
  </si>
  <si>
    <t>PAMPERS PANTS HL5 SM92SX4 New MR MP IN</t>
  </si>
  <si>
    <t>Mach3 Carts eC</t>
  </si>
  <si>
    <t>Mach3 Crts 16s eC</t>
  </si>
  <si>
    <t>MACH 3 PPH CARTS 16S 1X24 INR 2100</t>
  </si>
  <si>
    <t>WHSPR CHOICE ALOE T1 6X120 (50)</t>
  </si>
  <si>
    <t>Whspr ON Koala Pants M-L 12s</t>
  </si>
  <si>
    <t>WHISPER PERIOD PANTS M/L 12CTX12 CI</t>
  </si>
  <si>
    <t>ASL MUSK 50ML</t>
  </si>
  <si>
    <t>OS ASL MUSK 50MLX72 S3_RS149</t>
  </si>
  <si>
    <t>WHI CHOICE NGTS T5 6X64 (55) SCENT</t>
  </si>
  <si>
    <t>Venus Snap</t>
  </si>
  <si>
    <t>Venus Snap 1UP</t>
  </si>
  <si>
    <t>VENUS SNAP RAZOR 1X24 INR 425</t>
  </si>
  <si>
    <t>PAMPERS DPR MULMUL2.1 LG48SX4 JPCO IN</t>
  </si>
  <si>
    <t>OS DEO ORIGINAL 100mL</t>
  </si>
  <si>
    <t>OLD SPICE ORIGINAL 100MLX24 IN 225</t>
  </si>
  <si>
    <t>Ariel Liq1L Pouch TL A</t>
  </si>
  <si>
    <t>ARIEL LIQ 1LX12 MAT TL PCH SOUTH A PC</t>
  </si>
  <si>
    <t>RG Day 50gm</t>
  </si>
  <si>
    <t>OLAY RG REV HYDR CRM 50GX6_IN_RS1499 BR2</t>
  </si>
  <si>
    <t>RG Night 50gm</t>
  </si>
  <si>
    <t>OLAY RG REV NGT CRM 50GX6_IN_RS1599 BRPU</t>
  </si>
  <si>
    <t>H&amp;S SHM 1000ML X8 CM IN PC AMJ25</t>
  </si>
  <si>
    <t>SV3 POUCH 10s 1X4X10 712 INR</t>
  </si>
  <si>
    <t>H&amp;S SB 675ml</t>
  </si>
  <si>
    <t>H&amp;S SHM 650ML X12 SB IN PCR</t>
  </si>
  <si>
    <t>OLAY RGUV WHIP CRM 50MLX6 IN_ RS1999 HL</t>
  </si>
  <si>
    <t>Inhaler Pack 3s</t>
  </si>
  <si>
    <t>VICKS INHL(0.5MLX3)X6X12 CARTON INR189</t>
  </si>
  <si>
    <t>whspr Ult XXXL ON30s</t>
  </si>
  <si>
    <t>WHSPER ULT NGT XXXLT9 30X12</t>
  </si>
  <si>
    <t>PAMPERS PANTS HL5 XS64SX6 JPCO mos IN</t>
  </si>
  <si>
    <t>PAMPERS DPR HL5 LG4SX72 LCP DM IN</t>
  </si>
  <si>
    <t>OLAY NA NIGHT CRM 50GX24 IN_RS449 WH1</t>
  </si>
  <si>
    <t>PAMPERS PANTS HL5 MD76SX4 SJ mos IN</t>
  </si>
  <si>
    <t>OB OM209 PH CRCR S BCD 320INR 4X6X6__</t>
  </si>
  <si>
    <t>Whspr ON Koala Pants L-XL 12s</t>
  </si>
  <si>
    <t>WHISPER PERIOD PANTS L/XL 12CTX12 CI</t>
  </si>
  <si>
    <t>H&amp;S S&amp;S 625ML</t>
  </si>
  <si>
    <t>H&amp;S SHM 625ML X12 S&amp;S IN DMART GST</t>
  </si>
  <si>
    <t>H&amp;S BG 625ML</t>
  </si>
  <si>
    <t>H&amp;S SHM 625ML X12 DC IN DMART GST</t>
  </si>
  <si>
    <t>OB OM209 PH CRCR M BCD 320INR 4X6X6__</t>
  </si>
  <si>
    <t>OB 3in1 GPcard 6+6+3</t>
  </si>
  <si>
    <t>OB 3IN1 BASE SC M+FC Sen+ CD M(6+6+3)X24</t>
  </si>
  <si>
    <t>OB OM209 PH CRCR TL 40M BCD 80INR 1X6X20__</t>
  </si>
  <si>
    <t>OB 123 NEEM6PACK S</t>
  </si>
  <si>
    <t>OB OM154 123 Neem 40S 6CT 6X6X6</t>
  </si>
  <si>
    <t>OB OM209 PH CRCR S BCD 320INR 4X6X6_</t>
  </si>
  <si>
    <t>whspr Ult ON XXL+ 16s</t>
  </si>
  <si>
    <t>WHSPR ULNGT XXL+ 8X16 (370) S7AB BUD Q5</t>
  </si>
  <si>
    <t>OS Deo Nomad HTH</t>
  </si>
  <si>
    <t>OLD SPICE NOMAD 140MLX12X4 IN 249 HTH</t>
  </si>
  <si>
    <t>WHSPRCHOICE T3 FP6X120(45)ROI SCENT</t>
  </si>
  <si>
    <t>H&amp;S SHM 650MLX12 NEEM IN JAS25(1299)</t>
  </si>
  <si>
    <t>H&amp;S 2in1 CM 1000 ml</t>
  </si>
  <si>
    <t>H&amp;S SHM 1000MLX8 CM 2IN1 IN AMJ25(1699)</t>
  </si>
  <si>
    <t>VEC+ CRT2 PSHBT 1X50X12 INR 99</t>
  </si>
  <si>
    <t>ARIEL LIQ 3.2LX4 MAT TL PCH2 JUL PC</t>
  </si>
  <si>
    <t>GIL REGULAR SHV CRM 70G 1X96 80INR</t>
  </si>
  <si>
    <t>Tide LV 4+1Kg</t>
  </si>
  <si>
    <t>TIDE PWD (4KG+1KG)X5 LV PC</t>
  </si>
  <si>
    <t>Tide Liq Rs.10 AL</t>
  </si>
  <si>
    <t>TIDE LIQ (50+20)MLX144 MAT AL 6U SACH PC</t>
  </si>
  <si>
    <t>OLAY NA IGF 20GX6X8 IN_RS109 PU</t>
  </si>
  <si>
    <t>TIDE PWD 7KGX3 LV NL PC</t>
  </si>
  <si>
    <t>OB 3in1 GPcard 8+4+3CD</t>
  </si>
  <si>
    <t>OB 3IN1 BASE SC M+FC SEN+ CD M(8+4+3)X24</t>
  </si>
  <si>
    <t>OLAY TE 7INONETOUCH BB CRM50GX6_IN_RS899_</t>
  </si>
  <si>
    <t>Mini RG MS Day 10gm_HTH</t>
  </si>
  <si>
    <t>OLAY RG MSC DAY CRM 10GX3X4 _IN HTH</t>
  </si>
  <si>
    <t>OB 123 Clove</t>
  </si>
  <si>
    <t>OB 123 Clove6+1 Free</t>
  </si>
  <si>
    <t>OB CLOVE GENTLECARE 35INR6+1 UT GT FREE</t>
  </si>
  <si>
    <t>OLAY TE 7INONEDAY CRM NRM 20GX6_IN_RS399_82316491</t>
  </si>
  <si>
    <t>OS Pocket LionPride</t>
  </si>
  <si>
    <t>OLD SPICE LIONPRIDE 17MLX12X12 IN 75</t>
  </si>
  <si>
    <t>Whips RG NUV Crm 50gm</t>
  </si>
  <si>
    <t>OLAY RG WHIPS NON-UV CRM 50GX6_IN_FF</t>
  </si>
  <si>
    <t>OB BCTRIABLST 40S 99INR BCD 1X6X20</t>
  </si>
  <si>
    <t>OB OM209 PH CRCR M BCD 320INR 4X6X6</t>
  </si>
  <si>
    <t>whspr Choice XL 4s</t>
  </si>
  <si>
    <t>WHSPR CHOICE T3 4X100 (10)</t>
  </si>
  <si>
    <t>whspr Soft XL 44s</t>
  </si>
  <si>
    <t>WHISP ULTRA SOFT XL 44X12(499) SOFTS LEV</t>
  </si>
  <si>
    <t>OLAY LUM BRT NGT CRM 50GX6_IN_RS1399 JOL</t>
  </si>
  <si>
    <t>H&amp;S SHM 650ML X 12 CM 2IN1 PC3 IN MK</t>
  </si>
  <si>
    <t>HE CN 400MLX6 COCO MLK PC1 IN</t>
  </si>
  <si>
    <t>GUARD RAZOR RES 1CSX540 IT 25INR</t>
  </si>
  <si>
    <t>Pntn LB 200ml</t>
  </si>
  <si>
    <t>PNTN SHM 180ML X 56 AHS LB IN RS PC3</t>
  </si>
  <si>
    <t>PAMPERS PANTS SM140SX1 BOX SILK UC PU IN</t>
  </si>
  <si>
    <t>AmbPr CarST Jasmine</t>
  </si>
  <si>
    <t>AMBI CAR3 GST JAS ST7.5MLX12 _IN</t>
  </si>
  <si>
    <t>H&amp;S SHM 650ML X12 CM PC3 IN MK</t>
  </si>
  <si>
    <t>OB POC VitalityCA BK</t>
  </si>
  <si>
    <t>D100.413.2 INDIA CR BLK BOX PTHBR 1X6</t>
  </si>
  <si>
    <t>OS Deo Timber</t>
  </si>
  <si>
    <t>OLD SPICE TIMBER 140MLX12X4 IN 299</t>
  </si>
  <si>
    <t>HE SH 400MLX6 AGNOIL PC1 IN</t>
  </si>
  <si>
    <t>Ariel Mat TL 6kg Box</t>
  </si>
  <si>
    <t>ARIEL PWD(4+2)kgX1 MAT TL Ecom AM PC_</t>
  </si>
  <si>
    <t>Mach-3 Charcoal Rzr</t>
  </si>
  <si>
    <t>MACH3 CHAR RAZ1UP 1X6X6 300 INR JUMP</t>
  </si>
  <si>
    <t>AmbPr Air SB</t>
  </si>
  <si>
    <t>AMBI LEGO AIR SPRAY 275GX6 SB</t>
  </si>
  <si>
    <t>H&amp;S SS 715ml ECOM</t>
  </si>
  <si>
    <t>H&amp;S SHM 715ML X12 S&amp;S IN ECOMM</t>
  </si>
  <si>
    <t>Fusion PC</t>
  </si>
  <si>
    <t>Fusion Gel</t>
  </si>
  <si>
    <t>PRO AQUA HYDRA 195G</t>
  </si>
  <si>
    <t>SHVP PRO AQUA HYDRA 195G 1X6 INR425</t>
  </si>
  <si>
    <t>OS ASL ATOMI LIONPRIDE 150MLX24 S3_RS325</t>
  </si>
  <si>
    <t>PAMPERS PANTS SM52SX6 JP HL3 CC IN</t>
  </si>
  <si>
    <t>OLAY RG REV NGT CRM 50GX6_IN_RS1499</t>
  </si>
  <si>
    <t>Olay TE Night 20gm</t>
  </si>
  <si>
    <t>OLAY TE 7 IN ONE NGHT CRM 20GX6_IN_RS429</t>
  </si>
  <si>
    <t>PNTN SHM 340ML X 30 AHS HF 2IN1 PC4 RS</t>
  </si>
  <si>
    <t>Olay Niacinamide Cream 50gm</t>
  </si>
  <si>
    <t>OLAY NIACINAMIDE CREAM 50GX6_IN_RS899</t>
  </si>
  <si>
    <t>OLAY TE 7INONEDAY CRM GNT 50GX6_IN_RS949</t>
  </si>
  <si>
    <t>ASL ORIGINAL 100ML PB</t>
  </si>
  <si>
    <t>OS ASL ORIGINAL 100MLX96 PB_RS249</t>
  </si>
  <si>
    <t>H&amp;S BTL 180ml Bundle</t>
  </si>
  <si>
    <t>H&amp;S CM X180+S&amp;S X180+AHFX180 X18 IN N</t>
  </si>
  <si>
    <t>AMBI CAR3 LEGO JAS RF7.5MLX12</t>
  </si>
  <si>
    <t>Collagen Eye Cream</t>
  </si>
  <si>
    <t>OLAY EYECM15MLX3X4 RGCOL IN P2P STK</t>
  </si>
  <si>
    <t>DE 7OCLK SP RAZ2UP 1X12X12 85INR</t>
  </si>
  <si>
    <t>VICKS ROLL ON INHL 1.5MLX12X12 RS100</t>
  </si>
  <si>
    <t>Vaporub PODS 4s RTM</t>
  </si>
  <si>
    <t>Vicks VapoRub Steam Pods RTM 4SX2X12 IN</t>
  </si>
  <si>
    <t>Venus Bikini Sensitive 2s</t>
  </si>
  <si>
    <t>Susini 2s BOX 1CSX48IT 249INR</t>
  </si>
  <si>
    <t>PNTN SHM 340ML X 30 HS DR IN</t>
  </si>
  <si>
    <t>ARIEL LIQ 3.2LX4 MAT TL PCH2 PC</t>
  </si>
  <si>
    <t>Wilman</t>
  </si>
  <si>
    <t>W Other System Cart</t>
  </si>
  <si>
    <t>Wilman Prem 5s</t>
  </si>
  <si>
    <t>WIL WMNII PREM 5CT 1X50X12 149INR</t>
  </si>
  <si>
    <t>BabyRub 50 ml</t>
  </si>
  <si>
    <t>VICKS BABYRUB 50MLX5X24 JAR INR215</t>
  </si>
  <si>
    <t>OLAY NA DAY CRM 50GX24 IN_RS429</t>
  </si>
  <si>
    <t>H&amp;S SHM 72ML X 48 S&amp;S 2IN1 IN MKPC2_</t>
  </si>
  <si>
    <t>Pntn HFC 1000ml</t>
  </si>
  <si>
    <t>PNTN SHM 1000MLX8 HS HFC IN PC24</t>
  </si>
  <si>
    <t>VCD 185+15 worth Rs 30 Off</t>
  </si>
  <si>
    <t>VICKS DROPS 2.7GX(185+15) X 16 JAR RS370</t>
  </si>
  <si>
    <t>OLAY NA IGF 20GX6X8 IN_RS99_JB_</t>
  </si>
  <si>
    <t>Vicks Med Lozenges Jar</t>
  </si>
  <si>
    <t>VICKS MEDICATED ORANGE LOZ 8SX15X12 RS32</t>
  </si>
  <si>
    <t>H&amp;S SHM 72ML X 48 S&amp;S 2IN1 IN</t>
  </si>
  <si>
    <t>H&amp;S SHM 1000ML X8 S&amp;S PC6 IN VC</t>
  </si>
  <si>
    <t>OB POC KIDS SPIDERMN</t>
  </si>
  <si>
    <t>D100.413.2K IND SP RD HBOX PTHBR 1X6</t>
  </si>
  <si>
    <t>Vaporub Xtra Strong 10ml</t>
  </si>
  <si>
    <t>VICKS VRUB XTRA STRNG 10MLX12X45 R55</t>
  </si>
  <si>
    <t>OB Criss Cross Rs50 6+1S</t>
  </si>
  <si>
    <t>OB OM196 PH CRCR 40S SPK 50INR 1X7X20_</t>
  </si>
  <si>
    <t>PAMPERS PANTS MULMUL2 SM36SX6 VP IN</t>
  </si>
  <si>
    <t>PAMPERS PANTS HL4.1 LG192SX1 SUPBOX IN</t>
  </si>
  <si>
    <t>Proglide Carts eC</t>
  </si>
  <si>
    <t>Proglide Crts 10s eC</t>
  </si>
  <si>
    <t>FUSION PG CART 10S 557 1X6X4 2999INR</t>
  </si>
  <si>
    <t>BLUE Pants Regs LG</t>
  </si>
  <si>
    <t>PAMPERS PANTS HL4.1 LG5SX40 REG IN</t>
  </si>
  <si>
    <t>OS POCKET STREAMER OF 2 LIONPRIDE</t>
  </si>
  <si>
    <t>OLD SPICE LIONPRIDE 17MLX72X2 IN_INR 75</t>
  </si>
  <si>
    <t>ARIEL LIQ 4L X 3 MAT TL PCH MAY24 PC</t>
  </si>
  <si>
    <t>MACH3 CHAR RAZ1UP 1X36 325INR 557.1</t>
  </si>
  <si>
    <t>Tide 3in1 Semi 1Kg</t>
  </si>
  <si>
    <t>TIDE LAUPWD 1KGX24 ULTRA 3IN1 AS PC</t>
  </si>
  <si>
    <t>Mach 3 Cart 2s</t>
  </si>
  <si>
    <t>MACH3 PPHCART2 1CSX72IT 299INR ISC 557.1</t>
  </si>
  <si>
    <t>PC Pants NB Jumbo Pk</t>
  </si>
  <si>
    <t>PAMPERS PANTS MULMUL XS42SX6 VP UC IN</t>
  </si>
  <si>
    <t>PAMPERS DPR MULMUL XL72SX1 BOX UC IN</t>
  </si>
  <si>
    <t>PNTN SHM 340MLX30 HS SS 2IN1 IN ATHENA</t>
  </si>
  <si>
    <t>PNTN SHM 650 ML X 12 HS LC IN</t>
  </si>
  <si>
    <t>Ariel Liq2L Pouch TL</t>
  </si>
  <si>
    <t>ARIEL LAU LIQ 2LX6 MAT TL POUCH HY5 PC_</t>
  </si>
  <si>
    <t>PAMPERS PANTS MULMUL2.1 XS42SX12 VP IN</t>
  </si>
  <si>
    <t>PAMPERS DPR MULMUL2.1 XL72SX1 BOX IN</t>
  </si>
  <si>
    <t>H&amp;S SB 90ML</t>
  </si>
  <si>
    <t>H&amp;S SHMPOO 72 ML X 48 SB IN PC NOV24</t>
  </si>
  <si>
    <t>VICKS INHL 0.5MLX24X25 KC JUMBO RS.69</t>
  </si>
  <si>
    <t>PNTN SHM 650 ML X 12 HS LC IN PR PC24</t>
  </si>
  <si>
    <t>OB POC Vitality Pro sens</t>
  </si>
  <si>
    <t>D103.413.3 IN SU PL Hbox PTHBR</t>
  </si>
  <si>
    <t>HE Cocomilk SH 400ml</t>
  </si>
  <si>
    <t>HE SH 400MLX6 COCO MLK PC2 IN</t>
  </si>
  <si>
    <t>Mach3 H+2 eC</t>
  </si>
  <si>
    <t>MACH 3 PPH R+C 1X6X4 437 INR</t>
  </si>
  <si>
    <t>H&amp;S SHM 715ML X12 S&amp;S IN ECOMM Mk23</t>
  </si>
  <si>
    <t>RED Pants Regs XL</t>
  </si>
  <si>
    <t>PAMPERS PANTS DL2 XL6SX40 REG KN IN</t>
  </si>
  <si>
    <t>Ariel Liq 6L Pch TL SB</t>
  </si>
  <si>
    <t>ARIEL LIQ 6L X 1 MAT TL PCH ECOM PC</t>
  </si>
  <si>
    <t>Vaporub 105ml SW Promo</t>
  </si>
  <si>
    <t>VICKS VAPORUB CL 105MLX(8+1)*8 INR340</t>
  </si>
  <si>
    <t>VENUS SNAP H+C 1UP 657.1 1X24 INR425</t>
  </si>
  <si>
    <t>Ariel Mat FL 1Kg Bag</t>
  </si>
  <si>
    <t>ARIEL PWD 1KGX24 MAT FL NSS AF PC</t>
  </si>
  <si>
    <t>Mach3+Foam Promo</t>
  </si>
  <si>
    <t>Mach3 + Foam 50gm INR 275 1X6X6</t>
  </si>
  <si>
    <t>H&amp;S SHM 340ML X30 AHF 2IN1 IN</t>
  </si>
  <si>
    <t>ARIEL LIQ 4L X 3 MAT TL PCH PC</t>
  </si>
  <si>
    <t>OS ASL ATOMIZER MUSK 150MLX24 S3_RS349</t>
  </si>
  <si>
    <t>OLAY RG REV HYDR CRM 50GX6_IN_RS1499 BR</t>
  </si>
  <si>
    <t>BLUE Pants Econs MD</t>
  </si>
  <si>
    <t>PAMPERS PANTS HL4.1 MD11SX24 ECON IN</t>
  </si>
  <si>
    <t>RG MS Serum 50gm</t>
  </si>
  <si>
    <t>OLAY RG MCS SRM 50MLX6_IN_RS1699 BR</t>
  </si>
  <si>
    <t>OB Whitening</t>
  </si>
  <si>
    <t>OB CC Chrcl Whitening 2s</t>
  </si>
  <si>
    <t>OM305 OB CA CRCL 35S 2CT INDIA</t>
  </si>
  <si>
    <t>AmbPr Air R&amp;B</t>
  </si>
  <si>
    <t>AMBI LEGO AIR SPRAY 275mlX6 R&amp;B</t>
  </si>
  <si>
    <t>H&amp;S SHM 650ML X 12 NEEM IN PC JFM25</t>
  </si>
  <si>
    <t>OB Sens Care 6+2 CC Sens HTH</t>
  </si>
  <si>
    <t>OB OM39 ECare 40XS 35RS (6+2PH Sens) HTH</t>
  </si>
  <si>
    <t>Venus Cart 2s</t>
  </si>
  <si>
    <t>VENUS SMOOTH CART 2S 1X6X4 INR 375</t>
  </si>
  <si>
    <t>Vaporub 25gm+20% Extra</t>
  </si>
  <si>
    <t>VICKS VAPORUB 25MLX20X16 PROMO INR109</t>
  </si>
  <si>
    <t>PAMPERS PANTS MULMUL2.1 SM70SX4 JP IN</t>
  </si>
  <si>
    <t>OB Fresh Clean</t>
  </si>
  <si>
    <t>OB Fresh12s HC</t>
  </si>
  <si>
    <t>OB FRESH CLEAN 40M Hang PACK 22INR 12X12</t>
  </si>
  <si>
    <t>WHSPR ULT LCC+ XL+ WGS 30X18 (399) PU</t>
  </si>
  <si>
    <t>whspr Choice XL 7s</t>
  </si>
  <si>
    <t>WHSPRCHOICE T3 FP7X120(45)KRANTI AUTO</t>
  </si>
  <si>
    <t>PNTN SHM 650MLX12 HS HFC 2IN1 IN AT PC24</t>
  </si>
  <si>
    <t>BLUE Pants 2s SM</t>
  </si>
  <si>
    <t>PAMPERS DPR HL4.1 SM2SX192 LCP IN</t>
  </si>
  <si>
    <t>ProGlide Cart 2s</t>
  </si>
  <si>
    <t>FUSION PG CARTS 2CT 1X10X4 INR 699</t>
  </si>
  <si>
    <t>Vector3</t>
  </si>
  <si>
    <t>Vector3 Cart</t>
  </si>
  <si>
    <t>Vector3 Cart 4s</t>
  </si>
  <si>
    <t>VEC3 CRT 4 PSHBT 4X12X6 INR275</t>
  </si>
  <si>
    <t>ARIEL LIQ 2LX6 MAT TL POUCH TRISHUL PC</t>
  </si>
  <si>
    <t>H&amp;S SHM 650ML X 12 S&amp;S 2IN1 IN PC OND24</t>
  </si>
  <si>
    <t>CarGel Lav+Lem+Rose</t>
  </si>
  <si>
    <t>Ambi Pur Car Gel x 3 Pack_</t>
  </si>
  <si>
    <t>RED Pants Regs SM</t>
  </si>
  <si>
    <t>PAMPERS PANTS DL2 SM10SX40 REG PU KN IN</t>
  </si>
  <si>
    <t>Proglide Crts 6s eC</t>
  </si>
  <si>
    <t>FUSION PG CARTS 6CT 1X24 INR 2110</t>
  </si>
  <si>
    <t>BRAUN BT9420</t>
  </si>
  <si>
    <t>BRAUN BEARD BT9420 BlkSpcGry BOX MN IN</t>
  </si>
  <si>
    <t>MACH3 PPH RAZ1UP F1 1X6X6 275 INR</t>
  </si>
  <si>
    <t>H&amp;S SHM 300ML X 30 S&amp;S IN DMART PCR</t>
  </si>
  <si>
    <t>H&amp;S AHF 1000ml</t>
  </si>
  <si>
    <t>H&amp;S SHM 1000ML X8 AHF IN JAS25 (1590)</t>
  </si>
  <si>
    <t>VICKS DROP GINGER 2.7GX25X60 BAGS RS50</t>
  </si>
  <si>
    <t>BLUE Pants Jumbo New LG</t>
  </si>
  <si>
    <t>PAMPERS PANTS HL5 LG42SX6 JPCO mos IN</t>
  </si>
  <si>
    <t>Mach 3 Foam Gift Pack</t>
  </si>
  <si>
    <t>MACH3 HERCULES GP R+C+FOAM 1X12 INR 505</t>
  </si>
  <si>
    <t>OBOM210 CRCR Deepcln GC S 190INR 4X6X6_</t>
  </si>
  <si>
    <t>ASL MUSK 150ML</t>
  </si>
  <si>
    <t>OS ASL SPLASH MUSK 150MLX24 S3_RS320</t>
  </si>
  <si>
    <t>BLUE Pants 2s LG</t>
  </si>
  <si>
    <t>PAMPERS DPR HL5 LG2SX192 LCP IN</t>
  </si>
  <si>
    <t>PAMPERS PANTS HL5 SM52SX6 JP IN</t>
  </si>
  <si>
    <t>H&amp;S SHM 340ML X 30 S&amp;S 2IN1 IN DS</t>
  </si>
  <si>
    <t>whspr Choice ON XXL 16s</t>
  </si>
  <si>
    <t>WHI CHOICE NGTS T5 16X30 (150) SCENT</t>
  </si>
  <si>
    <t>H&amp;S SHAMPOO 180ML X 56 LF IN JFM25</t>
  </si>
  <si>
    <t>ARIEL PWD (6KG+500ML)X2 MAT FL NSS AF PC</t>
  </si>
  <si>
    <t>ARIEL LIQ 6L X 1 MAT TL PCH2 ECOM PC</t>
  </si>
  <si>
    <t>Venus Razor H+3C</t>
  </si>
  <si>
    <t>VENUS SMOOTH H+3C 1X36 INR 730</t>
  </si>
  <si>
    <t>Active Baby LG Econ</t>
  </si>
  <si>
    <t>PAMPERS DPR M5 LG18SX18 ECON IN</t>
  </si>
  <si>
    <t>OB OM209 PH CRCR TL 40S BCD 80INR 1X6X20_</t>
  </si>
  <si>
    <t>Guard Razor + Cart 4s Promo</t>
  </si>
  <si>
    <t>Guard Razor + Cart 4s 1X6X4 INR 192</t>
  </si>
  <si>
    <t>RED Pants Econs XL</t>
  </si>
  <si>
    <t>PAMPERS PANTS XL10X24 ECON KN IN</t>
  </si>
  <si>
    <t>Ariel Liquid Rs.10 FL LV</t>
  </si>
  <si>
    <t>ARIEL LIQ 50MLX180 LAV FL SACH IN PC</t>
  </si>
  <si>
    <t>GIL LIME SHV CRM 70G 1X96 80INR</t>
  </si>
  <si>
    <t>PNTN SHM 650ML X 12 LT IN PC AMJ25</t>
  </si>
  <si>
    <t>PAMPERS PANTS DL2 MD48SX6 JP KN CC IN</t>
  </si>
  <si>
    <t>PNTN SHM 650MLX12 HS SS 2IN1 IN NSS</t>
  </si>
  <si>
    <t>Tide Liq 3.2L TL</t>
  </si>
  <si>
    <t>TIDE LIQ 3.2LX4 MAT TL PCH PC_</t>
  </si>
  <si>
    <t>Ariel Liq Rs.10 FL 12U</t>
  </si>
  <si>
    <t>ARIEL LIQ 70MLX144 MAT FL SCH 12U IN PC</t>
  </si>
  <si>
    <t>Gillette Shave Brush</t>
  </si>
  <si>
    <t>Gil SBR (7+1)</t>
  </si>
  <si>
    <t>GIL SHBRH SHVP8 1X6X4 INR 595</t>
  </si>
  <si>
    <t>H&amp;S SHM 650ML X12 7IN1 IN PCR</t>
  </si>
  <si>
    <t>Tide JR 2.2Kg</t>
  </si>
  <si>
    <t>TIDE PWD 2.2KGX12 JR TE PC</t>
  </si>
  <si>
    <t>VICKS M ROLL ON 8MLX12X12 RS79</t>
  </si>
  <si>
    <t>Olay TE Nrm NUV 50gm</t>
  </si>
  <si>
    <t>OLAY TE 7INONENUV CRM 50GX6_IN_RS999 PU</t>
  </si>
  <si>
    <t>H&amp;S 7in1 180ml</t>
  </si>
  <si>
    <t>H&amp;S SHM 180ML X 56 7IN1 IN JAS25(265)</t>
  </si>
  <si>
    <t>Ariel Liquid 900ML FL LV</t>
  </si>
  <si>
    <t>ARIEL LIQ 900MLX12 LAV FL LAPR BTL PC</t>
  </si>
  <si>
    <t>PC Pants SM 4s</t>
  </si>
  <si>
    <t>PAMPERS PANTS MULMUL SM4SX72 LCP IN</t>
  </si>
  <si>
    <t>ProGlide Gift Pack</t>
  </si>
  <si>
    <t>Fusion PG FXBL R+4C 1X6 1299 INR</t>
  </si>
  <si>
    <t>PAMPERS PANTS DL2 XXL18SX12 VP KN IN</t>
  </si>
  <si>
    <t>Tide JR 8KG A</t>
  </si>
  <si>
    <t>TIDE PWD 8KGX3 JR A TE PC</t>
  </si>
  <si>
    <t>WHSPRCHOICE T3 12X60(75)</t>
  </si>
  <si>
    <t>H&amp;S AHF 625ML</t>
  </si>
  <si>
    <t>H&amp;S SHM 625ML X12 AHF IN DMART JAS25</t>
  </si>
  <si>
    <t>H&amp;S CM 625ml</t>
  </si>
  <si>
    <t>H&amp;S SHM 625ML X12 CM IN DMART GST</t>
  </si>
  <si>
    <t>OB OM209 PH CRCR TL 40S BCD 80INR 1X6X20__</t>
  </si>
  <si>
    <t>OB OM196 CRCS DeepClnNEEM40S 160INR4X6X6__</t>
  </si>
  <si>
    <t>OB OK008 TOM &amp; JERRY KIDS 40S 3CT IN__</t>
  </si>
  <si>
    <t>OB UT CHRCL 40XS BCD 70INR 1X6X16__</t>
  </si>
  <si>
    <t>OB OM209 CRCR Deep Cln 40S 160INR 4X6X6___</t>
  </si>
  <si>
    <t>OB Kids 3s Mickey</t>
  </si>
  <si>
    <t>OK005 OB KIDS 2 4YR SFT BCD 120INR 3X6X8__</t>
  </si>
  <si>
    <t>OB OM209 CRCR Deep CLn 40M 160INR 4X6X6__</t>
  </si>
  <si>
    <t>Oral-B Manual</t>
  </si>
  <si>
    <t>OB Gum Protect Sft</t>
  </si>
  <si>
    <t>OB GUM PRTCT 40 XSFT BCD 32 INR 1X6X20</t>
  </si>
  <si>
    <t>OB CRCR UT SEN XS 40XS 130INR B2G1 3X6X8__</t>
  </si>
  <si>
    <t>PC Pants XL Econ PK</t>
  </si>
  <si>
    <t>PAMPERS PANTS XL11SX12 ECON SILK UC IN</t>
  </si>
  <si>
    <t>OB UT CHRCL 40XS BCD B2G1 140INR 3X6X8__</t>
  </si>
  <si>
    <t>VICKS VAPORUB CL 5MLX12X100 FLATS RS23</t>
  </si>
  <si>
    <t>OB POC IO8</t>
  </si>
  <si>
    <t>IOM8.1B2.2BD ROWE BK SLBOX PTHBR</t>
  </si>
  <si>
    <t>OB OM39 Everyday Care 40XS 135INR 5X6X6__</t>
  </si>
  <si>
    <t>VICKS VAPORUB CL 10MLX12X90 FLATS RS45</t>
  </si>
  <si>
    <t>WHISP ULTRA SOFT XL 44X12(470) SOFTS LEV</t>
  </si>
  <si>
    <t>OB Pro Clean 40XS BCD 4CT 160INR 4X6X8__</t>
  </si>
  <si>
    <t>OB KIDS RS 25 CHOTA BHEEM HC</t>
  </si>
  <si>
    <t>OK006 EMKB LITE MJ SFT 1X12X24 25INR__</t>
  </si>
  <si>
    <t>OB Pro Clean 40XS BCD 1CT 60INR 1X6X20__</t>
  </si>
  <si>
    <t>OB OM210 PH CRCR GC 40M BCD 90INR 1X6X16__</t>
  </si>
  <si>
    <t>OBOM210 CRCR DeepclnGC M 190INR 4X6X6__</t>
  </si>
  <si>
    <t>OBOM210 CRCR Deepcln GC S 190INR 4X6X6__</t>
  </si>
  <si>
    <t>OB BCTRIABLST 40S 89INR BCD 1X6X20__</t>
  </si>
  <si>
    <t>OB CRISSCROSS RS 50 6+2CD M</t>
  </si>
  <si>
    <t>OB OM196 PH CC 40M SPK 50INR (6+2CD)X20__</t>
  </si>
  <si>
    <t>whspr Ultra XL+ 60s</t>
  </si>
  <si>
    <t>WHSPR ULTCLN XL+WGS 60X12(599) Q4 PU</t>
  </si>
  <si>
    <t>OB OK013 9+3 X20 Chotta bheem 35S INR20__</t>
  </si>
  <si>
    <t>H&amp;S SHM 625ML X12 AHF IN DMART GST</t>
  </si>
  <si>
    <t>OB FRESH CLEAN SENSITIVE</t>
  </si>
  <si>
    <t>OB FRESH CLEAN 40Sen 25INR 1X12X12__</t>
  </si>
  <si>
    <t>OB WHLSALE SHINYM CS</t>
  </si>
  <si>
    <t>OB SHNYCLN RT X11+CD X2 35M 20/30 INR</t>
  </si>
  <si>
    <t>WHSPR(CLN XL+50X2+ULTNGHT XL+44X1)(1710)</t>
  </si>
  <si>
    <t>OB SHNYCLN RT X11+CD X2 35S 20/30 INR</t>
  </si>
  <si>
    <t>Ariel Liq 6.4kg Pch TL</t>
  </si>
  <si>
    <t>ARIEL LIQ 6.4KGX1 MAT TL PCH ECM T2.0 PC</t>
  </si>
  <si>
    <t>Ariel Liq 6.4kg Pch FL</t>
  </si>
  <si>
    <t>ARIEL LIQ 6.4KGX1 MAT FL PCH ECM T2.0 PC</t>
  </si>
  <si>
    <t>AB PANTS XXXL SUP JUMBO PM</t>
  </si>
  <si>
    <t>PAMPERS PANTS HL5 XXXL22SX4 SJP IN</t>
  </si>
  <si>
    <t>Vaporub 5gm RTM</t>
  </si>
  <si>
    <t>VICKS VAPORUB CL 5MLX(14+1)X64 RTM RS23</t>
  </si>
  <si>
    <t>WHSPR ULTCLN XL+WGS 60X12(675) Q4.2</t>
  </si>
  <si>
    <t>PNTN CONDI COLLAGEN 3MM 80ML</t>
  </si>
  <si>
    <t>PNTN 3MM COLLAGEN CONDI 80MLX24 IN GST</t>
  </si>
  <si>
    <t>Ariel Mat 6kg+500g Liq TL</t>
  </si>
  <si>
    <t>ARIEL PWD (6KG+500G LIQ)X2 MAT TL AM PC</t>
  </si>
  <si>
    <t>Ariel Mat 5.8kg+500g Liq TL</t>
  </si>
  <si>
    <t>ARIEL PWD(5.8KG+500G LIQ)X2 MAT TL AM PC</t>
  </si>
  <si>
    <t>Ariel Mat 5.8kg+500g Liq FL</t>
  </si>
  <si>
    <t>ARIEL PWD(5.8KG+500G LIQ)X2 MAT FL AF PC</t>
  </si>
  <si>
    <t>PTN DR 1200ML</t>
  </si>
  <si>
    <t>PNTN SHM 1150 MLX 8 DR IN GST</t>
  </si>
  <si>
    <t>Tide 400g DTC JR HTH</t>
  </si>
  <si>
    <t>TIDE PWD 400GX48 DTC HTH JR NJ PC</t>
  </si>
  <si>
    <t>WHSPR CHOICE ALOE T1 6X120 (55)</t>
  </si>
  <si>
    <t>whspr Choice XL 36s</t>
  </si>
  <si>
    <t>WHSPRCHOICE T3 (33+3)X20 (240) SCENT</t>
  </si>
  <si>
    <t>WHSPRCHOICE T3 12X60(75) SCENT</t>
  </si>
  <si>
    <t>OB Sens UT 6+1</t>
  </si>
  <si>
    <t>OB Precision Cln40XS 75INR 1X(6+1)X20</t>
  </si>
  <si>
    <t>ARIEL PWD (8KG+500G LIQ)X1 MAT TL AM PC</t>
  </si>
  <si>
    <t>Ariel Mat 8kg+500g Liq FL</t>
  </si>
  <si>
    <t>ARIEL PWD (8KG+500G LIQ)X1 MAT FL AF PC</t>
  </si>
  <si>
    <t>WHP CHOICE ULT S3 EJ 36CTX16 (240)</t>
  </si>
  <si>
    <t>whspr Choice Ultr 60s</t>
  </si>
  <si>
    <t>WHI CHOICE ULT JADE (20X3)CTX10</t>
  </si>
  <si>
    <t>MACH3 CRT 16S 1X24 INR 2249</t>
  </si>
  <si>
    <t>M3 CRT 8S + FREE HOOK 1X6X6 INR 1199</t>
  </si>
  <si>
    <t>Fusion Crts 10s eC</t>
  </si>
  <si>
    <t>FUSION CRT 10S 1X24 INR 2949</t>
  </si>
  <si>
    <t>FUSION PG CARTS 6CT 1X24 INR 2185</t>
  </si>
  <si>
    <t>OLD SPICE LIONPRIDE 17MLX36X4 IN_INR 75_</t>
  </si>
  <si>
    <t>Mach 3 Cart 12s</t>
  </si>
  <si>
    <t>M3 CRT 12S + FREE HOOK 1X6X10 INR 1559</t>
  </si>
  <si>
    <t>FUSION CARTS 6CT 1X24 INR 1799</t>
  </si>
  <si>
    <t>FUS PG CRT 10S 1X24 INR 3585</t>
  </si>
  <si>
    <t>MACH3 TRB CART 2S 1X6X12 INR 449</t>
  </si>
  <si>
    <t>Guard Cream</t>
  </si>
  <si>
    <t>Guard Cream 125 gm</t>
  </si>
  <si>
    <t>GUARD CREAM 125G 1X72 INR62</t>
  </si>
  <si>
    <t>Guard Cream Small 25 gm</t>
  </si>
  <si>
    <t>GUARD CREAM 25G 1X144 INR25</t>
  </si>
  <si>
    <t>M3T Carts eC</t>
  </si>
  <si>
    <t>M3T Carts 6s eC</t>
  </si>
  <si>
    <t>MACH 3 TRB CARTS 6S 1X24 INR 1272</t>
  </si>
  <si>
    <t>M3T Carts 10s eC</t>
  </si>
  <si>
    <t>M3 TRB CRT 10S 1X24 INR 2120</t>
  </si>
  <si>
    <t>Mach3 Crts 6s eC</t>
  </si>
  <si>
    <t>MACH 3 PPH CART 6S 1X24 INR 950</t>
  </si>
  <si>
    <t>FUS CRT 8S + FREE HOOK 1X6X6 INR 2159</t>
  </si>
  <si>
    <t>Mach3 Crts 10s eC</t>
  </si>
  <si>
    <t>M3 PPH CRT 10S 1X24 INR 1549</t>
  </si>
  <si>
    <t>FUSPWR CT 8S + FREE HOOK 1X6X6 INR 2499</t>
  </si>
  <si>
    <t>FUSION R+C+AS GIFTPACK 1X12 INR 1099</t>
  </si>
  <si>
    <t>FUS PG CT 8S + FREE HOOK 1X6X6 INR 2499</t>
  </si>
  <si>
    <t>H&amp;S Daily Smooth Rs 2 20S</t>
  </si>
  <si>
    <t>H&amp;S SHM 5.7MLX1200 DS IN GST FC</t>
  </si>
  <si>
    <t>OS Pocket Nomad Streamer</t>
  </si>
  <si>
    <t>OLD SPICE NOMAD 17MLX36X4 IN_INR 75__</t>
  </si>
  <si>
    <t>H&amp;S Neem Rs 2 20S</t>
  </si>
  <si>
    <t>H&amp;S SHM 5.7MLX1200 NEEM IN GST FC</t>
  </si>
  <si>
    <t>Venus Skin Love 3s</t>
  </si>
  <si>
    <t>VENUS SENS RES DISPO 3CT 1CSX36IT INR399</t>
  </si>
  <si>
    <t>H&amp;S Daily Cool Rs 2 20S</t>
  </si>
  <si>
    <t>H&amp;S SHM 5.7MLX1200 DAILY COOL IN GST FC</t>
  </si>
  <si>
    <t>H&amp;S Daily Cool Rs 2 WS 7+1 Promo South</t>
  </si>
  <si>
    <t>H&amp;S 20X(7 COOL+1 CLEAN)5.7ML X8 IN LIBRA</t>
  </si>
  <si>
    <t>H&amp;S Daily Clean Rs 2 WS 7+1 Promo South</t>
  </si>
  <si>
    <t>H&amp;S 20X(7 CLEAN+1 COOL)5.7ML X8 IN LIBRA</t>
  </si>
  <si>
    <t>H&amp;S SB 9ml</t>
  </si>
  <si>
    <t>H&amp;S SHM 8 ML X 800 SB 2in1 IN CL DF</t>
  </si>
  <si>
    <t>PNTN CONDI BOND REPAIR 200ML</t>
  </si>
  <si>
    <t>PTN ROT 180MLX24 BR D50H199 GOLDIE IN</t>
  </si>
  <si>
    <t>After Shave Splash</t>
  </si>
  <si>
    <t>AS SPLSH (IC) 100ml</t>
  </si>
  <si>
    <t>SPLASH PRO ICY COOL 100ML 1CSX12 444INR</t>
  </si>
  <si>
    <t>AS SPLSH (RB) 100ml</t>
  </si>
  <si>
    <t>SPLASH REFRESH BREEZ 100ML 1CSX12 444INR</t>
  </si>
  <si>
    <t>Tide LM 7Kg</t>
  </si>
  <si>
    <t>TIDE PWD 7KGX3 LM WT TS PC</t>
  </si>
  <si>
    <t>TSG (Sen) 60g</t>
  </si>
  <si>
    <t>TGS GEL SHVP 60G SENS 1CSX144IT 99INR</t>
  </si>
  <si>
    <t>Tide SHS JR 2Kg</t>
  </si>
  <si>
    <t>TIDE PWD 2KGX12 WT JR TE PC</t>
  </si>
  <si>
    <t>FUSPG CRT 2CT 1X10X4 649INR 557</t>
  </si>
  <si>
    <t>Tide LV 6Kg</t>
  </si>
  <si>
    <t>TIDE PWD 6KGX4 LV PC</t>
  </si>
  <si>
    <t>TIDE PWD 7KGX3 WT JR TE PC</t>
  </si>
  <si>
    <t>OS ASL SPLASH ORIG 150MLX24 S3_RS299</t>
  </si>
  <si>
    <t>Tide LV 2Kg</t>
  </si>
  <si>
    <t>TIDE PWD 2KGX12 WT LV PC__</t>
  </si>
  <si>
    <t>TIDE LAU PWD 9KG X 3 JR TE PC____</t>
  </si>
  <si>
    <t>Vaporub PODS 10s</t>
  </si>
  <si>
    <t>Vicks VapoRub Steam Pods 10sx36 IN</t>
  </si>
  <si>
    <t>TIDE PWD (4KG+1KG)X5 LV PC__</t>
  </si>
  <si>
    <t>Tide LM 6Kg</t>
  </si>
  <si>
    <t>TIDE PWD 6KGX4 LM WT TS PC</t>
  </si>
  <si>
    <t>Tide JR 8KG</t>
  </si>
  <si>
    <t>TIDE PWD 8KGX3 WT JR TE PC</t>
  </si>
  <si>
    <t>TIDE PWD 2KGX12 LM WT LM TS PC</t>
  </si>
  <si>
    <t>OS Pocket Nomad Streamer NSR</t>
  </si>
  <si>
    <t>OS NOMAD 17MLX36X4 B3G1 IN_INR 75</t>
  </si>
  <si>
    <t>H&amp;S SHM 1000ML X8 AHF IN MK</t>
  </si>
  <si>
    <t>PAMPERS DPR DL2 MD2SX168 LCP DM IN</t>
  </si>
  <si>
    <t>Tide JR 5 kg BKT A</t>
  </si>
  <si>
    <t>TIDE PWD 5KGX5 WT BKT FREE A TE PC</t>
  </si>
  <si>
    <t>Tide JR 6Kg</t>
  </si>
  <si>
    <t>TIDE PWD 6KGX4 WT JR TE PC</t>
  </si>
  <si>
    <t>MACH3 TRB CART2 1X12X6 399INR IN 557.1</t>
  </si>
  <si>
    <t>Tide LM 8KG</t>
  </si>
  <si>
    <t>TIDE PWD 8KGX3 LM WT TS PC</t>
  </si>
  <si>
    <t>PAMPERS DPR MULMUL MD54SX4 JP UC IN</t>
  </si>
  <si>
    <t>TIDE PWD 10KGX2 WT JR TE PC</t>
  </si>
  <si>
    <t>Fusion Power 4s</t>
  </si>
  <si>
    <t>FUSION POWER 4CT 557 1X10X4 1199INR</t>
  </si>
  <si>
    <t>Vicks Mini Roll On 2s Dangler</t>
  </si>
  <si>
    <t>VICKS ROLL ON 8MLX2X24 RS65</t>
  </si>
  <si>
    <t>WHP CHOICE ULT EJ 6X112 (50)</t>
  </si>
  <si>
    <t>Tide SHS JR 500g C</t>
  </si>
  <si>
    <t>TIDE LAUPWD 500GX48 JR West SJ PC___</t>
  </si>
  <si>
    <t>WHSPR ULNGT XXL+ 30x27 S7AB (620) CRA</t>
  </si>
  <si>
    <t>AMBIP GELFR ROSE 75GX24 Dec 23 IN</t>
  </si>
  <si>
    <t>H&amp;S (SS 340ML+ 7IN1 72ML FREE)X18 IN GST</t>
  </si>
  <si>
    <t>OB CAPH Power Refill Sft</t>
  </si>
  <si>
    <t>CAP2 2 MULTI GBLS BRUSH SET 1X2X6 INR266</t>
  </si>
  <si>
    <t>Guard 3in1 Cart 4s</t>
  </si>
  <si>
    <t>GUARD 3IN1 690 CT4 1X6X8 INR 179</t>
  </si>
  <si>
    <t>H&amp;S SHM 72ML X 48 CM 2IN1 IN</t>
  </si>
  <si>
    <t>Guard 3in1 Razor</t>
  </si>
  <si>
    <t>Guard 3in1 R+2C promo</t>
  </si>
  <si>
    <t>GUARD 3IN1 690 RAZOR H+3C 1X6X6 INR 224</t>
  </si>
  <si>
    <t>GPI 6s</t>
  </si>
  <si>
    <t>PRESTO DIS 6S 1X10X10 INR 110</t>
  </si>
  <si>
    <t>VICKS DROP M 2.7G X 25 X 5 X 12 BAG RS50</t>
  </si>
  <si>
    <t>Ariel Liq 500g TL</t>
  </si>
  <si>
    <t>ARIEL LIQ 500GX12MAT TL BTL PCR PC</t>
  </si>
  <si>
    <t>Ariel Liq 500g FL</t>
  </si>
  <si>
    <t>ARIEL LIQ 500GX12MAT FL BTL PCR PC</t>
  </si>
  <si>
    <t>Ariel Liq 1kg TL</t>
  </si>
  <si>
    <t>ARIEL LIQ 1KGX12 MAT TL BTL PCR PC</t>
  </si>
  <si>
    <t>whspr Soft XL 30s</t>
  </si>
  <si>
    <t>WHISP ULT SOFTS XL 30X18(320) SKINLOVE</t>
  </si>
  <si>
    <t>Venus Prep</t>
  </si>
  <si>
    <t>Venus Gel</t>
  </si>
  <si>
    <t>VENUS SHAVE GEL 60G 1X144 125 INR</t>
  </si>
  <si>
    <t>Tide 400g DTC JR</t>
  </si>
  <si>
    <t>TIDE PWD 400GX48 DTC JR NJ PRC PC____</t>
  </si>
  <si>
    <t>TIDE PWD 400GX48 DTC JR NJ PRC PC ____</t>
  </si>
  <si>
    <t>PAMPERS PANTS HL4.1 SM86SX4 SJ IN</t>
  </si>
  <si>
    <t>AB Pants MD Box Pk</t>
  </si>
  <si>
    <t>PAMPERS PANTS HL4.1 MD152SX1 BOX IN</t>
  </si>
  <si>
    <t>Ariel Liq 900g TL LV</t>
  </si>
  <si>
    <t>ARIEL LIQ900GX12 LAV TL BTL PCR PC</t>
  </si>
  <si>
    <t>RED Pants Jumbo New XL</t>
  </si>
  <si>
    <t>PAMPERS PANTS DL2 XL36SX6 JP DM IN</t>
  </si>
  <si>
    <t>H&amp;S SHM 5MLX1200 DAILY COOL IN FC</t>
  </si>
  <si>
    <t>OLAY RG MC CRM 50GX6_IN_RS1799 BR</t>
  </si>
  <si>
    <t>Tide Ultra 3in1 10kg</t>
  </si>
  <si>
    <t>TIDE LAUPWD 10KGX2 ULTRA 3IN1 TP PC</t>
  </si>
  <si>
    <t>Simply Venus 3 HTH</t>
  </si>
  <si>
    <t>SV3 1s Pouch 1X192 89 INR HTH</t>
  </si>
  <si>
    <t>H&amp;S SHM 5MLX1200 DS IN FC</t>
  </si>
  <si>
    <t>H&amp;S Daily Clean Rs 2 20S</t>
  </si>
  <si>
    <t>H&amp;S SHM 5MLX1200 DAILY CLEAN IN FC</t>
  </si>
  <si>
    <t>Mach 3 Cart 4s Promo</t>
  </si>
  <si>
    <t>MACH3 PPH RAZ1UP+CRT4 F1 1X24 INR 849</t>
  </si>
  <si>
    <t>TIDE PWD 7KGX3 JR TE PC_</t>
  </si>
  <si>
    <t>Gil Trimmer</t>
  </si>
  <si>
    <t>Gil Trimmer AIO9 15in1</t>
  </si>
  <si>
    <t>GILLETTE TRIMMERS AIO 9 SERIES IN</t>
  </si>
  <si>
    <t>Gil Trimmer AIO7 12in1</t>
  </si>
  <si>
    <t>GILLETTE TRIMMER AIO 7 SERIES IN</t>
  </si>
  <si>
    <t>Gil Trimmer AIO5 7in1</t>
  </si>
  <si>
    <t>GILLETTE TRIMMER AIO 5 SERIES IN</t>
  </si>
  <si>
    <t>Gil Trimmer AIO3 5in1</t>
  </si>
  <si>
    <t>GILLETTE TRIMMER AIO 3 SERIES IN</t>
  </si>
  <si>
    <t>PC Pants MD Box Pk</t>
  </si>
  <si>
    <t>PAMPERS DPR MULMUL2.1 MD108SX1 BOX IN</t>
  </si>
  <si>
    <t>whspr Ult ON XXL 30s</t>
  </si>
  <si>
    <t>WHSPR ULT BIN NGT XXL 30X18 (470) PU_</t>
  </si>
  <si>
    <t>whspr Ultra XL+ 48s CFC</t>
  </si>
  <si>
    <t>WHSPR ULT LCC+ XL+WGS 48X20 (599)</t>
  </si>
  <si>
    <t>whspr Choice Ultr 10s</t>
  </si>
  <si>
    <t>WHI CHOICE ULT JADE 10X80 (80) SCENT</t>
  </si>
  <si>
    <t>Pntn HFC 700ml</t>
  </si>
  <si>
    <t>PNTN SHM 650MLX12 HS HFC IN PR PC24</t>
  </si>
  <si>
    <t>PC Pants MD Econ Pk</t>
  </si>
  <si>
    <t>PAMPERS DPR MULMUL2.1 MD20SX18 ECON IN</t>
  </si>
  <si>
    <t>VCD 185+15 worth Rs 30 Off promo</t>
  </si>
  <si>
    <t>VICKS DROPS 2.7G(185+15) X 16 RS370 PR</t>
  </si>
  <si>
    <t>WHP CHOICE T3 6X60 NSR (45) ZORDAAR</t>
  </si>
  <si>
    <t>HE SH 240MLX6 ARGAN PC3 IN</t>
  </si>
  <si>
    <t>WHP CHOICE T3 6X120 (45) ZORDAAR</t>
  </si>
  <si>
    <t>whspr Ult ON XXL+ 6s</t>
  </si>
  <si>
    <t>WHSPR ULT NGT XXL+ S7AB 6X54 (150) MD</t>
  </si>
  <si>
    <t>Ariel PODS</t>
  </si>
  <si>
    <t>Ariel PODS 4in1 32ct</t>
  </si>
  <si>
    <t>ARIEL IND LAU PODS 32CTX6 4IN1 TUBS PC</t>
  </si>
  <si>
    <t>whspr Soft XL+ 6s</t>
  </si>
  <si>
    <t>WHISP ULT SOFTS XL+ 6X72 (99) PU</t>
  </si>
  <si>
    <t>WHISP ULT SOFTS XL 30X18 (399) PU</t>
  </si>
  <si>
    <t>WHISP ULT SOFTS XL+ 15X36 (215) PU</t>
  </si>
  <si>
    <t>Pntn condi Collagen 3MM 200ml</t>
  </si>
  <si>
    <t>PNTN 3MM COLLAGEN COND 200MLX24 IN</t>
  </si>
  <si>
    <t>VICKS VAPORUB CL 30 MLX20X16 RS109</t>
  </si>
  <si>
    <t>Whspr Soft XL 6s</t>
  </si>
  <si>
    <t>WHISP ULT SOFTS XL 6X72 (80) PU</t>
  </si>
  <si>
    <t>MACH 3 PPH CART 6S 1X24 INR 890</t>
  </si>
  <si>
    <t>WHISPER PERIOD PANTS M/L 6SX18</t>
  </si>
  <si>
    <t>H&amp;S SS AHF 200ml PROMO</t>
  </si>
  <si>
    <t>H&amp;S SHM (S&amp;S 180ML + AHF72ML) X24 IN_BP</t>
  </si>
  <si>
    <t>whspr Ult ON XXL 15s</t>
  </si>
  <si>
    <t>WHSPR ULT BIN NGT XXL 15X24 (235) PU_</t>
  </si>
  <si>
    <t>ATOM LIME 150ML</t>
  </si>
  <si>
    <t>OSASL ATOMIZER FRESHLIME 150MLX24 S3_349</t>
  </si>
  <si>
    <t>OB POC KIDS SPIDERMN 2s</t>
  </si>
  <si>
    <t>EB10S 2K ENGFRONT SPIDERMAN BRUSHSET IN</t>
  </si>
  <si>
    <t>WHSPR ULT NGT XXL+ 30X27 S7AB (655) MD</t>
  </si>
  <si>
    <t>whspr Soft XL+ 30s</t>
  </si>
  <si>
    <t>WHISP ULT SOFTS XL+ 30X18 (430) PU</t>
  </si>
  <si>
    <t>whspr Soft XL 48s</t>
  </si>
  <si>
    <t>WHISP ULT SOFTS XL 48X12 (649) PU</t>
  </si>
  <si>
    <t>WHP EJ 6X11 + T5 6X1 EASY CARRY SCENT_</t>
  </si>
  <si>
    <t>whspr Choice Ultr 80s</t>
  </si>
  <si>
    <t>WHP CHOICE ULT 20X4 ECOM JADE SCENT</t>
  </si>
  <si>
    <t>WHISP ULT SOFTS XL 50X12 (699) PU</t>
  </si>
  <si>
    <t>OB Sens Care 9+3 CC Sens</t>
  </si>
  <si>
    <t>OB OM39 ECARE 40XS 30RS (9+3PH SENS)X20</t>
  </si>
  <si>
    <t>OLAY LUM ESSENCE 7MLX3X4 IN_VENUS 2.0</t>
  </si>
  <si>
    <t>H&amp;S SHM 650ML X 12 S&amp;S 2IN1 IN PC JFM25</t>
  </si>
  <si>
    <t>Venus Swirl Razor</t>
  </si>
  <si>
    <t>VENUS SMTH CRVS RAZOR + CAP 1X18 INR 549</t>
  </si>
  <si>
    <t>Ariel Liq 6.4L Pch FL</t>
  </si>
  <si>
    <t>ARIEL LIQ 6.4L X 1 MAT FL PCH2 ECOM PC</t>
  </si>
  <si>
    <t>TIDE NAT TIGER 500GX48 TV PC</t>
  </si>
  <si>
    <t>Pampers LG 5s</t>
  </si>
  <si>
    <t>PAMPERS DPR SF2 LG5SX72 LCP IN PU</t>
  </si>
  <si>
    <t>WHSPR ULNGT XXL+ 8X16 (350) S7AB CRA-IND</t>
  </si>
  <si>
    <t>whspr Ultra XL+ 60s CFC</t>
  </si>
  <si>
    <t>WHSPR ULT LCC+ XL+ WGS 60X12 (699) PU</t>
  </si>
  <si>
    <t>Pntn HS 650ml</t>
  </si>
  <si>
    <t>PNTN SHM 650ML X 12 HS IN PC AMJ25</t>
  </si>
  <si>
    <t>FUSION5 NEW CRT 2CT 2X10X20 550INR</t>
  </si>
  <si>
    <t>H&amp;S SHM 650ML X 12 NEEM IN PCR</t>
  </si>
  <si>
    <t>ARIEL LIQ 6LX2 MAT FL PCH4 CUST PC</t>
  </si>
  <si>
    <t>AB PANTS MEGA MD OFF PACK DM New</t>
  </si>
  <si>
    <t>PAMPERS PANTS HL5 MD72SX4 New MR MP IN</t>
  </si>
  <si>
    <t>Whspr ON Koala Pants L-XL 6s</t>
  </si>
  <si>
    <t>WHISPER PERIOD PANTS L/XL 6CTX18 CI</t>
  </si>
  <si>
    <t>whspr Maxi Rg 15s</t>
  </si>
  <si>
    <t>WHSPR T2 MAXI FIT REG NWGS 15X45 (220)</t>
  </si>
  <si>
    <t>OLAY TE 7INONEDAY CRM NRM 50GX6_IN_RS899_82316488</t>
  </si>
  <si>
    <t>Simply Venus 3s Disp</t>
  </si>
  <si>
    <t>SV3 1s Pouch 1X192 INR 99</t>
  </si>
  <si>
    <t>Guard3 Razor</t>
  </si>
  <si>
    <t>GUARD 3 RAZOR 1-UP 1CSX80IT 60INR LC</t>
  </si>
  <si>
    <t>OLAY NA DAY CRM 50GX24 IN_RS449 WH1</t>
  </si>
  <si>
    <t>H&amp;S SHM 180MLX56 S&amp;S 2IN1 IN AMJ25(265)</t>
  </si>
  <si>
    <t>Inhaler Super Saver Pack</t>
  </si>
  <si>
    <t>VICKS INHL(0.5MLX2)X6X12 TWIN CU INR129_</t>
  </si>
  <si>
    <t>PAMPERS PANTS MULMUL2.1 SM70SX4 JP PD IN</t>
  </si>
  <si>
    <t>PAMPERS PANTS SM21SX12 ECON SILK UC IN</t>
  </si>
  <si>
    <t>AP Cream</t>
  </si>
  <si>
    <t>AP 40gm Cream</t>
  </si>
  <si>
    <t>OLAY AGE PROT AG CRM 40GX24 IN_RS425 WH1</t>
  </si>
  <si>
    <t>HE CN 240MLX6 ARGAN JAS25 IN</t>
  </si>
  <si>
    <t>Tide LV 6+2Kg A</t>
  </si>
  <si>
    <t>TIDE PWD (6KG+2KG)X3 LV A NL PC</t>
  </si>
  <si>
    <t>whspr Choice Aloe 20s</t>
  </si>
  <si>
    <t>WHSPRCHOICE ALOERGNATUR20X30(75) DISHA</t>
  </si>
  <si>
    <t>ARIEL LIQ 1LX12 MAT FL PCH4 SOUTH A PC</t>
  </si>
  <si>
    <t>AB PANTS MEGA XL OFF PACK DM New</t>
  </si>
  <si>
    <t>PAMPERS PANTS HL5 XL50SX4 New MRMPGSIN</t>
  </si>
  <si>
    <t>OB CAPH Power brush Sft</t>
  </si>
  <si>
    <t>B1010 IN CR WT CLS PTHBR INR 599 GST_</t>
  </si>
  <si>
    <t>Active Baby NB Super Jumbo</t>
  </si>
  <si>
    <t>PAMPERS DPR M5 NB96SX4 MP GS IN</t>
  </si>
  <si>
    <t>PAMPERS DPR DL2 XL2SX192 LCP KN GS IN</t>
  </si>
  <si>
    <t>ORAL-B OK 008 TOM &amp; JERRY KIDS 40S 1CT</t>
  </si>
  <si>
    <t>Pampers MD 5s</t>
  </si>
  <si>
    <t>PAMPERS DPR MD5SX72 LCP SF2 PC GS IN</t>
  </si>
  <si>
    <t>PAMPERS PANTS HL5 XS86SX4 SJ mos GS IN</t>
  </si>
  <si>
    <t>Turbo Sen Cart 2s</t>
  </si>
  <si>
    <t>MACH3 SENS CRT 2 1CSX72IT 370INR IND LC</t>
  </si>
  <si>
    <t>OLAY TE 7INONE DALY SERUM50MLX6 IN_RS999_</t>
  </si>
  <si>
    <t>PAMPERS DPR SM22SX18 ECON SF2 BIS GS IN</t>
  </si>
  <si>
    <t>EB10S 2K INDIA FrozenII FFS Brushset</t>
  </si>
  <si>
    <t>PAMPERS PANTS HL5 SM86SX4 SJ mos GS IN</t>
  </si>
  <si>
    <t>OB OM154 123 Neem 40S 6CT 6X6X6_ID</t>
  </si>
  <si>
    <t>Luminous Day 20gm</t>
  </si>
  <si>
    <t>OLAY LUM BRIGT CRM 20GX12_IN_RS599 JOL</t>
  </si>
  <si>
    <t>Pampers SM Reg Pk</t>
  </si>
  <si>
    <t>PAMPERS DPR SM11SX40 REG SF2 BIS GS IN</t>
  </si>
  <si>
    <t>Pampers MD Econ Pk</t>
  </si>
  <si>
    <t>PAMPERS DPR MD20SX18 ECON SF2 PC GS IN</t>
  </si>
  <si>
    <t>PAMPERS DPR M5 NB7SX40 REG GS IN</t>
  </si>
  <si>
    <t>Pampers LG Jumbo Pk</t>
  </si>
  <si>
    <t>PAMPERS DPR SF2 LG60SX4 JP GS IN</t>
  </si>
  <si>
    <t>PAMPERS DPR M5 LG18SX18 ECON GS IN</t>
  </si>
  <si>
    <t>PAMPERS PANTS XL10X18 ECON DL2 CC IN</t>
  </si>
  <si>
    <t>PAMPERS DPR SF2 LG18SX18 ECON GS IN</t>
  </si>
  <si>
    <t>PAMPERS PANTS HL5 MD72SX4 NewMRMPGS IN</t>
  </si>
  <si>
    <t>PAMPERS PANTS HL5 XS37SX12 VP mos GS IN</t>
  </si>
  <si>
    <t>PAMPERS PANTS HL5 SM92SX4 New MRMPGSIN</t>
  </si>
  <si>
    <t>AB Pants MD Jumbo PM DM</t>
  </si>
  <si>
    <t>PAMPERS PANTS HL5 MD40SX6 JP GS IN</t>
  </si>
  <si>
    <t>PAMPERS PANTS HL5 LG62SX4 New MRMPGS IN</t>
  </si>
  <si>
    <t>PAMPERS DPR HL5 LG2SX192 LCP GS IN</t>
  </si>
  <si>
    <t>AB Pants XXL Box Pk</t>
  </si>
  <si>
    <t>PAMPERS PANTS HL5 XXL84SX4 ECB GS IN</t>
  </si>
  <si>
    <t>PAMPERS DPR HL5 MD2SX192 LCP GS IN</t>
  </si>
  <si>
    <t>HE SH 400MLX6 COCO MLK PC1 IN</t>
  </si>
  <si>
    <t>OK005 OB KIDS 2 4YR SFT BCD 120INR 3X6X8</t>
  </si>
  <si>
    <t>Active Baby XL Super Jumbo_New</t>
  </si>
  <si>
    <t>PAMPERS DPR M5 XL72SX4 SJ CC GS IN</t>
  </si>
  <si>
    <t>PAMPERS DPR HL5 SM2SX192 LCP GS IN</t>
  </si>
  <si>
    <t>Pntn SS 400ml</t>
  </si>
  <si>
    <t>PNTN SHM 340ML X 30 AHS SS IN PC4 RS</t>
  </si>
  <si>
    <t>AB Pants XXL Jumbo PK DM</t>
  </si>
  <si>
    <t>PAMPERS PANTS HL5 XXL26SX6 JP GS IN</t>
  </si>
  <si>
    <t>Active Baby SM Econ</t>
  </si>
  <si>
    <t>PAMPERS DPR M5 SM22SX18 ECON GS IN</t>
  </si>
  <si>
    <t>PAMPERS DPR SF2 LG5SX72 LCP GS IN</t>
  </si>
  <si>
    <t>Active Baby LG Jumbo</t>
  </si>
  <si>
    <t>PAMPERS DPR M5 LG50SX6 VP GS IN</t>
  </si>
  <si>
    <t>PAMPERS PANTS HL5 MD152SX1 BOX mos GS IN</t>
  </si>
  <si>
    <t>WHSPR CHOICE RG WGS 6X120(32) Kranti NSR_</t>
  </si>
  <si>
    <t>PAMPERS PANTS XS70SX4 JP SILK UC PU IN</t>
  </si>
  <si>
    <t>PAMPERS PANTS HL5 LG128SX1 BOX mos GS IN</t>
  </si>
  <si>
    <t>PAMPERS PANTS HL5 XL112SX1 BOX mos GS IN</t>
  </si>
  <si>
    <t>OB CAPH Power DB400 Brush</t>
  </si>
  <si>
    <t>DB400.010 IN PC WT BCD PTHBR</t>
  </si>
  <si>
    <t>PAMPERS PANTS HL5 LG36SX6 JP GS IN</t>
  </si>
  <si>
    <t>PAMPERS PANTS HL5 LG192SX1 SUPBOXmosGSIN</t>
  </si>
  <si>
    <t>AB Pants XL Jumbo PM DM</t>
  </si>
  <si>
    <t>PAMPERS PANTS HL5 XL30SX6 JP GS IN</t>
  </si>
  <si>
    <t>H&amp;S SHM 1000ML X8 CM PC6 IN MK</t>
  </si>
  <si>
    <t>PAMPERS PANTS HL5 MD228SX1 SUPBOXmosGSIN</t>
  </si>
  <si>
    <t>PAMPERS DPR M5 SM66SX6 VP GS IN</t>
  </si>
  <si>
    <t>AB PANTS XL MEGA BOX</t>
  </si>
  <si>
    <t>PAMPERS PANTS HL5 XL168SX1 SUPBOXmosGSN</t>
  </si>
  <si>
    <t>H&amp;S SHM 8 ML X 800 S&amp;S 2in1 IN CL DF</t>
  </si>
  <si>
    <t>Active Baby XL Value</t>
  </si>
  <si>
    <t>PAMPERS DPR M5 XL38SX6 VP GS IN</t>
  </si>
  <si>
    <t>PAMPERS DPR DL2 LG2SX192 LCP KN GS IN</t>
  </si>
  <si>
    <t>OLAY TE 7INONEDAY CRM NRM 50GX6_IN_RS949</t>
  </si>
  <si>
    <t>OS ASL MUSK 50MLX72 S3_RS130</t>
  </si>
  <si>
    <t>Total Effects Cleanser</t>
  </si>
  <si>
    <t>Olay TE Clnsr 100gm_HTH</t>
  </si>
  <si>
    <t>HTH_OLAY TE FOAM CLENSR 100GX12 IN_RS299</t>
  </si>
  <si>
    <t>Vaporub PODS 4s</t>
  </si>
  <si>
    <t>Vicks VapoRub Steam Pods 4SX24 IN</t>
  </si>
  <si>
    <t>PAMPERS PANTS HL4 LG64SX4 SJ IN</t>
  </si>
  <si>
    <t>BRAUN FG1106</t>
  </si>
  <si>
    <t>BRAUN LEGEPIL FG1106 WHT BOX MN IN</t>
  </si>
  <si>
    <t>VENUS SMOOTH H+3C 1CSX36IT INR674</t>
  </si>
  <si>
    <t>whspr Ultra XL+ 48s</t>
  </si>
  <si>
    <t>WHSPR ULTCLN XL+WGS 48X18(599) Q4.3_1K</t>
  </si>
  <si>
    <t>PC Pants MD Jumbo Pk</t>
  </si>
  <si>
    <t>PAMPERS DPR MULMUL MD30SX6 VP UC IN</t>
  </si>
  <si>
    <t>Pntn LC 200ml</t>
  </si>
  <si>
    <t>PNTN SHM 200ML X 56 HS LC IN</t>
  </si>
  <si>
    <t>Pntn HS 340ml</t>
  </si>
  <si>
    <t>PNTN SHM 340ML X 30 HS HS IN</t>
  </si>
  <si>
    <t>OB CAVDEF NEEM SFT4</t>
  </si>
  <si>
    <t>OB 123 NEEM 40S BCD 120 INR 4X6X8</t>
  </si>
  <si>
    <t>VICKS RUB XTRA STRNG 25MLX9X24 JAR RS125</t>
  </si>
  <si>
    <t>Ariel Comp 1.5kg+LiqA</t>
  </si>
  <si>
    <t>ARIEL PWD 1.5kg X 16 Com Liq GUJ AS PC</t>
  </si>
  <si>
    <t>Braun Face Trimmer</t>
  </si>
  <si>
    <t>BRAUN FS1000</t>
  </si>
  <si>
    <t>BRAUN FACE FS1000 WHT BOX IN_</t>
  </si>
  <si>
    <t>WHISP ULTRA SOFT XL 50X12(450) SOFTS LEV</t>
  </si>
  <si>
    <t>OLAY RG REV HYDR CRM 50GX6_IN_RS1399</t>
  </si>
  <si>
    <t>OB CDBacF Med</t>
  </si>
  <si>
    <t>OB BAC FITR 123 40MED BCD 1CT 30INR</t>
  </si>
  <si>
    <t>whspr Ultra XL 6s</t>
  </si>
  <si>
    <t>WHISPER ULT LCC+ XL WGS 6X60(60)</t>
  </si>
  <si>
    <t>H&amp;S SHM 650ML X12 AP 2IN1 PC1 IN MK</t>
  </si>
  <si>
    <t>Mach3 Hercules</t>
  </si>
  <si>
    <t>MACH3 LGHT RAZ1UP 1x6x6 199INR 557.1</t>
  </si>
  <si>
    <t>OLAY TE 7INONE DALY SRM50MLX6 IN_RS1099</t>
  </si>
  <si>
    <t>PNTN SHM 650 ML X 12 AHS TD IN PC1 RS</t>
  </si>
  <si>
    <t>Ariel Complete 700g liq</t>
  </si>
  <si>
    <t>ARIEL PWD (500+200)GX34 Com liq AS PC</t>
  </si>
  <si>
    <t>RG MS Night 50gm</t>
  </si>
  <si>
    <t>OLAY RG MSC NIGHT CRM 50GX6 IN BR STK</t>
  </si>
  <si>
    <t>BRAUN SE3031</t>
  </si>
  <si>
    <t>BRAUN LEGEPIL SE3-031 PNK MN IN</t>
  </si>
  <si>
    <t>Tide Liq 2L TL</t>
  </si>
  <si>
    <t>TIDE LAU LIQ 2LX4 MAT TL POUCH PC__</t>
  </si>
  <si>
    <t>Vaporub Xtra Strong 50ml</t>
  </si>
  <si>
    <t>VICKS VRUB XTRA STRNG 50MLX5X28 RS215</t>
  </si>
  <si>
    <t>PAMPERS PANTS HL4.1 LG36SX6 JP IN</t>
  </si>
  <si>
    <t>PAMPERS PANTS HL4.1 XL30SX6 JP IN</t>
  </si>
  <si>
    <t>7OCLK SPLT DSP5 75 INR 1X12X12</t>
  </si>
  <si>
    <t>PNTN SHM 650MLX12 HS HFC 2IN1 IN ATHENA</t>
  </si>
  <si>
    <t>PNTN SHM180MLX56 HS DR 2IN1 IN Athena</t>
  </si>
  <si>
    <t>ARIEL LIQ 1LX12 MAT TL BTL JUL24 PC</t>
  </si>
  <si>
    <t>Susini 2s 1X48 299 INR</t>
  </si>
  <si>
    <t>PNTN SHM 340ML X 30 AHS SS 2IN1 IN PC3</t>
  </si>
  <si>
    <t>WHSPR ULT LCC+ XL WGS 15X32(175) WW</t>
  </si>
  <si>
    <t>OB OM160 ULTRATHIN SENS BCD 300INR 4X6X8</t>
  </si>
  <si>
    <t>Tide SHS JR 7+3Kg</t>
  </si>
  <si>
    <t>TIDE LAUPWD (7KG+3KG)X2 JR TE PC_____</t>
  </si>
  <si>
    <t>whspr Choice XL 36s B2G1</t>
  </si>
  <si>
    <t>WHSPRCHOICE T3 36X3 (705)</t>
  </si>
  <si>
    <t>GUARD R+12CT 1X12X12 151 INR</t>
  </si>
  <si>
    <t>PAMPERS DPR MD20SX18 ECON SF2 PC IN PU</t>
  </si>
  <si>
    <t>PAMPERS DPR MULMUL2.1 XL144SX1 SUMO IN</t>
  </si>
  <si>
    <t>WHISP ULTRA SOFT XL 48X12(549) SKINLOVE</t>
  </si>
  <si>
    <t>PNTN SHM 650 ML X 12 HS LT IN PR PC24</t>
  </si>
  <si>
    <t>Herbal Essence Mask</t>
  </si>
  <si>
    <t>HE Argan Oil Mask 237ml</t>
  </si>
  <si>
    <t>HE TRT 237MLX4X3 ARGANOIL PC1 IN</t>
  </si>
  <si>
    <t>Tide 3in1 Semi 3+1Kg</t>
  </si>
  <si>
    <t>TIDE PWD (3+1)KGX6 ULTRA 3IN1 TP PC</t>
  </si>
  <si>
    <t>ARIEL PWD (4+2)KG X2 MAT FL 2024 AF PC</t>
  </si>
  <si>
    <t>Tide LV 9Kg</t>
  </si>
  <si>
    <t>TIDE LAU PWD 9KG X 3 LV PC</t>
  </si>
  <si>
    <t>PAMPERS PANTS MD26SX12 VP HL3 IN</t>
  </si>
  <si>
    <t>WHSPR CHOICE T1 WGS 6X120 (37) NSR</t>
  </si>
  <si>
    <t>whspr Aloe XL 6s</t>
  </si>
  <si>
    <t>WHSPR CHOICE ALOE T3 6X120 (60)</t>
  </si>
  <si>
    <t>H&amp;S SHM 650ML X12 AP 2IN1 PC3 IN MK</t>
  </si>
  <si>
    <t>TIDE PWD (6KG + 2KG)X3 A LV PC</t>
  </si>
  <si>
    <t>Ariel Mat TL 1Kg Bag</t>
  </si>
  <si>
    <t>ARIEL PWD 1KGX24 MAT TL NSS AM PC</t>
  </si>
  <si>
    <t>OB OM302 Expert SensiUltraSuave2x36IT IN</t>
  </si>
  <si>
    <t>Venus RTM</t>
  </si>
  <si>
    <t>SV3 1X4 Pack RTM 1X48 356 INR</t>
  </si>
  <si>
    <t>Ariel Mat TL 8 Kg PM</t>
  </si>
  <si>
    <t>ARIEL PWD (5kg +3kg)X1 MAT TL Jul Ecm PC</t>
  </si>
  <si>
    <t>HE SH 240MLX6 ARGAN PC1 SIZING IN</t>
  </si>
  <si>
    <t>whspr Ultra XL+ 7s CFC</t>
  </si>
  <si>
    <t>WHSPR ULT LCC+ XL+ WGS 7X60 (95) PU</t>
  </si>
  <si>
    <t>HOME GEL RELAX HTH</t>
  </si>
  <si>
    <t>AMBI GELFR 180GX12 RELAX.UNWIND HTH_IN</t>
  </si>
  <si>
    <t>Pntn condi HFC 90ml</t>
  </si>
  <si>
    <t>PNTN COND 100MLX 24 HS HF IN AMJ25</t>
  </si>
  <si>
    <t>OS Deo Krakengard</t>
  </si>
  <si>
    <t>OLD SPICE KRAKENGARD 140MLX12X4 IN 299</t>
  </si>
  <si>
    <t>PTN HFC ( 340 +75) X18 IN PROMO JFM</t>
  </si>
  <si>
    <t>H&amp;S SHM 1000ML X8 S&amp;S PC AMJ25</t>
  </si>
  <si>
    <t>Ariel Mat FL 6kg Box</t>
  </si>
  <si>
    <t>ARIEL PWD(4+2)kgX1 MAT FL Ecom AF PC_</t>
  </si>
  <si>
    <t>H&amp;S SHM 650ML X 12 CM 2IN1 IN PCR</t>
  </si>
  <si>
    <t>H&amp;S SHM 650ML X 12 AHF2IN1 IN PCR</t>
  </si>
  <si>
    <t>BLUE Pants Jumbo New MD</t>
  </si>
  <si>
    <t>PAMPERS PANTS HL5 MD48SX6 JPCO mos IN</t>
  </si>
  <si>
    <t>PAMPERS DPR HL5 MD2SX192 LCP IN</t>
  </si>
  <si>
    <t>PAMPERS PANTS HL5 MD40SX6 JP IN</t>
  </si>
  <si>
    <t>whspr Choice ON XXL 6s WS</t>
  </si>
  <si>
    <t>WHI CHOICE NGTS T5 6X64 NSR (55) SCENT</t>
  </si>
  <si>
    <t>TE DAY50+NGT_</t>
  </si>
  <si>
    <t>H&amp;S 2in1 S&amp;S 1000 ml</t>
  </si>
  <si>
    <t>H&amp;S SHM 1000MLX8 S&amp;S 2IN1 IN AMJ25(1699)</t>
  </si>
  <si>
    <t>Pntn condi HFC 180ml</t>
  </si>
  <si>
    <t>PNTN COND 200MLX 24 AHS HF IN XN PC</t>
  </si>
  <si>
    <t>Tide Plus JR 1kg PC H</t>
  </si>
  <si>
    <t>TIDE PWD 1KGX(23+1) JR GUS H NJ PC</t>
  </si>
  <si>
    <t>Ariel Liq5L Pouch TL</t>
  </si>
  <si>
    <t>ARIEL LIQ 5LX2 MAT TL PCH2 JUL PC</t>
  </si>
  <si>
    <t>PNTN SHM 650 ML X 12 AHS SS IN PC4 RS</t>
  </si>
  <si>
    <t>VCD 115+25 worth Rs 50 Off</t>
  </si>
  <si>
    <t>VICKS DROPS 2.7GX(115+25) X 32 JAR RS230</t>
  </si>
  <si>
    <t>whspr Ult ON XXL+ 3s</t>
  </si>
  <si>
    <t>WHSPR ULT NGT XXL+ S7AB 3X160</t>
  </si>
  <si>
    <t>H&amp;S(CLN40+CL20+SMTH20+NEEM20)5X12MKC PB</t>
  </si>
  <si>
    <t>OLAY RG REV HYD CRM 50GX6_IN_RS1599 BRPU</t>
  </si>
  <si>
    <t>Home Gel Love Bqt</t>
  </si>
  <si>
    <t>AMBI GELFR 180GX12 LOVE.B LEGO AS IN</t>
  </si>
  <si>
    <t>Mach3 Hercules Trial</t>
  </si>
  <si>
    <t>MACH3 LGHT RAZ1UP 1x6x6 INR 225 NRO</t>
  </si>
  <si>
    <t>Gil SBR</t>
  </si>
  <si>
    <t>GIL SHBRH SHVP 1X12X12 INR 85</t>
  </si>
  <si>
    <t>OS DEO ORIGINAL</t>
  </si>
  <si>
    <t>OLD SPICE ORIGINAL 140MLX12X4 IN 299</t>
  </si>
  <si>
    <t>SPLASH PRO ICY COOL 100ML 1CSX12 499INR</t>
  </si>
  <si>
    <t>Olay Niacinamide Serum 30 ml</t>
  </si>
  <si>
    <t>OLAY NIACINAMIDE SERUM 30MLX6_IN_RS899</t>
  </si>
  <si>
    <t>AmbPr CarRef Vanilla</t>
  </si>
  <si>
    <t>AMBI CAR3 LEGO VBQ RF7.5MLX12</t>
  </si>
  <si>
    <t>Olay Masks</t>
  </si>
  <si>
    <t>Olay Mask Algae</t>
  </si>
  <si>
    <t>OLAY ALGAE MASK 1PX10X4 CAT IN STK</t>
  </si>
  <si>
    <t>OLAY NA NIGHT CRM 50GX24 IN_RS429</t>
  </si>
  <si>
    <t>H&amp;S AHF 715ml ECOM</t>
  </si>
  <si>
    <t>H&amp;S SHM 715ML X12 AHF IN ECOMM MK23</t>
  </si>
  <si>
    <t>D100.413.2K INDIA FROZEN HBOX PTHBR 1X6</t>
  </si>
  <si>
    <t>GUARD RES 3CT 1X40X12 33INR</t>
  </si>
  <si>
    <t>H&amp;S SHM 650ML X12 AP 2IN1 PC IN MK</t>
  </si>
  <si>
    <t>OS POCKET STREAMER OF 2 NOMAD</t>
  </si>
  <si>
    <t>OLD SPICE NOMAD 17MLX72X2 IN_INR 75</t>
  </si>
  <si>
    <t>PAMPERS PANTS MULMUL XL11SX12 ECON UC IN</t>
  </si>
  <si>
    <t>PNTN SHM 650MLX12AHS SS2IN1 IN PC3 RS_</t>
  </si>
  <si>
    <t>Ariel Liq2L Pouch FL</t>
  </si>
  <si>
    <t>ARIEL LAU LIQ 2LX6 MAT FL POUCH HY5 PC_</t>
  </si>
  <si>
    <t>BRAUN BT5410</t>
  </si>
  <si>
    <t>BRAUN BEARD BT5410 BLK/BLK BOX IN</t>
  </si>
  <si>
    <t>H&amp;S SHM 72ML X 48 S&amp;S 2IN1 IN Dec23</t>
  </si>
  <si>
    <t>Olay HA Serum</t>
  </si>
  <si>
    <t>OLAY LUM SSERUM HA 30MLX3X4 IN HERM</t>
  </si>
  <si>
    <t>Vaporub 25gm</t>
  </si>
  <si>
    <t>VICKS VAPORUB 25MLX20X16 JAR INR109</t>
  </si>
  <si>
    <t>VICKS VPORUB 105MLX(8+1)*8 JAR KY INR340</t>
  </si>
  <si>
    <t>HE SH 400MLX6 ST&amp;SWMNT PC2 IN</t>
  </si>
  <si>
    <t>ARIEL LIQ 4L X3 MAT FL PCH PC</t>
  </si>
  <si>
    <t>PAMPERS PANTS MULMUL2 MD216SX1 SUMO IN</t>
  </si>
  <si>
    <t>OLAY LUM NIA SPR SRM 30MLX6_IN_RS1999 BR</t>
  </si>
  <si>
    <t>OB ProhealthN6+1Free</t>
  </si>
  <si>
    <t>OB PH Sft N6+1Free</t>
  </si>
  <si>
    <t>OB OM209 PH CRCR 40S SPK 80INR 1X7X20</t>
  </si>
  <si>
    <t>Wilki Tuck 10+1 Promo</t>
  </si>
  <si>
    <t>WIL STNLS GSMC 10 25INR 10X20X40 BIL</t>
  </si>
  <si>
    <t>PAMPERS PANTS HL4.1 XXL14SX12 VP IN</t>
  </si>
  <si>
    <t>PAMPERS PANTS HL4.1 MD70SX4 New MR MP IN</t>
  </si>
  <si>
    <t>WHISP ULTRA SOFT XL 44X12(549) PU</t>
  </si>
  <si>
    <t>Olay TE Clnsr 100gm</t>
  </si>
  <si>
    <t>OLAY TE FOAMING CLEANSR 100GX12 IN_RS299_</t>
  </si>
  <si>
    <t>H&amp;S DAILY COOL 20X(7 + 1)5ML X8 JUL24 IN</t>
  </si>
  <si>
    <t>AMBI LEGO AIR SPRAY 275mlX6 SB</t>
  </si>
  <si>
    <t>H&amp;S SHM 340ML X 30 AP 2IN1 PC3 IN MK</t>
  </si>
  <si>
    <t>BLUE Pants Super Saver SM</t>
  </si>
  <si>
    <t>PAMPERS PANTS HL4.1 SM78SX4 SSP IN</t>
  </si>
  <si>
    <t>PNTN SHM 650 ML X 12 HS SS IN PR</t>
  </si>
  <si>
    <t>HE CN 400MLX6 AGNOIL PC1 IN</t>
  </si>
  <si>
    <t>VICKS VAPORUB 50MLX(14+1)12 PROMO INR199</t>
  </si>
  <si>
    <t>ARIEL LIQ 1LX12 MAT FL POUCH TRISHUL PC</t>
  </si>
  <si>
    <t>PAMPERS DPR MULMUL2.1 MD30SX12 VP IN</t>
  </si>
  <si>
    <t>PAMPERS PANTS MULMUL2.1 LG176SX1 SUMO IN</t>
  </si>
  <si>
    <t>H&amp;S SHM 650ML X12 S&amp;S IN PC OND24</t>
  </si>
  <si>
    <t>PNTN SHM 180ML X 56 AHS TD IN RS PC3</t>
  </si>
  <si>
    <t>PNTN SHM 1000MLX8 HS HFC IN PC OND24</t>
  </si>
  <si>
    <t>PNTN SHM 340MLX30 HS SS 2IN1 IN AT PC24</t>
  </si>
  <si>
    <t>PAMPERS DPR MULMUL2.1 SM26SX18 ECON IN</t>
  </si>
  <si>
    <t>ARIEL LIQ 4L X3 MAT FL PCH TRISHUL PC</t>
  </si>
  <si>
    <t>H&amp;S SHM 9 ML X 800 MF 2in1 IN CL</t>
  </si>
  <si>
    <t>OB SHINY S 11+2 SENS</t>
  </si>
  <si>
    <t>OB WS SHYCL RT X11 S+ ECX2 S 20/35 INR</t>
  </si>
  <si>
    <t>MACH3 CHAR RAZ1UP F1 1X6X6 349 INR</t>
  </si>
  <si>
    <t>VICKS DROP 2.7G X (60+5) X 32 BAG RS120__</t>
  </si>
  <si>
    <t>ARIEL LIQ 1LX12 MAT TL BTL DEC24 PC</t>
  </si>
  <si>
    <t>AmbPr CarST Citrus</t>
  </si>
  <si>
    <t>AMBI CAR3 GST SC&amp;Z ST7.5MLX12_IN</t>
  </si>
  <si>
    <t>CREAM MUSK 30G</t>
  </si>
  <si>
    <t>OLD SPICE MUSK SHV CRM 30G 1X144 INR45</t>
  </si>
  <si>
    <t>OS ASL MUSK 100MLX48 S3_RS265</t>
  </si>
  <si>
    <t>OLD SPICE WOLFTHORN 140MLX12X4 IN 299</t>
  </si>
  <si>
    <t>H&amp;S SHM 340ML X 30 CM 2IN1 IN DS</t>
  </si>
  <si>
    <t>PNTN SHM 650MLX12 HS HFC 2IN1 IN AT PC25</t>
  </si>
  <si>
    <t>VCD 130+10 worth Rs 20 Off</t>
  </si>
  <si>
    <t>VICKS DROPS 2.7GX(130+10) X 32 JAR RS260</t>
  </si>
  <si>
    <t>Ariel Liq 6L Pch FL SB</t>
  </si>
  <si>
    <t>ARIEL LIQ 6L X 1 MAT FL PCH2 ECOM PC</t>
  </si>
  <si>
    <t>OB Criss Cross Rs50 6+1M</t>
  </si>
  <si>
    <t>OB OM196 PH CRCR 40M SPK 50INR 1X7X20</t>
  </si>
  <si>
    <t>WHSPR CHOICE T1 WGS 20X30 (115) JWALA</t>
  </si>
  <si>
    <t>OB POC 4 Refill + Brush</t>
  </si>
  <si>
    <t>D100.443.2 IN PC WT BOX PTHBR 1x6</t>
  </si>
  <si>
    <t>Simply Venus 4s + 1 Skin Love</t>
  </si>
  <si>
    <t>SV3 4s + SL 1s 1X4X10 INR 399</t>
  </si>
  <si>
    <t>B1010 IN CR WT CLS PTHBR INR 649</t>
  </si>
  <si>
    <t>Foam (Charcoal) 200ml</t>
  </si>
  <si>
    <t>GIL FM SHVP 196 G CHAR249INR 1X24</t>
  </si>
  <si>
    <t>Tide Multi Bar Promo</t>
  </si>
  <si>
    <t>TIDE DET BAR (100GX4)X20 BLUE BAR PC__</t>
  </si>
  <si>
    <t>Ariel Mat 8kg+0.5L TL</t>
  </si>
  <si>
    <t>ARIEL PWD (8KG+500ML)X1 MAT TL AM PC</t>
  </si>
  <si>
    <t>H&amp;S S&amp;S 1200ml</t>
  </si>
  <si>
    <t>H&amp;S SHM 1200ML X8 S&amp;S IN JFM25</t>
  </si>
  <si>
    <t>ARIEL PWD (4+2)KG X2 MAT FL NSS AF PC</t>
  </si>
  <si>
    <t>H&amp;S BASIC SMOOTH RS 2 20S</t>
  </si>
  <si>
    <t>H&amp;S SHAMPOO5MLX1200 BSMOOTH IN MC</t>
  </si>
  <si>
    <t>H&amp;S SHM 300ML X30 CM IN DMART PCR</t>
  </si>
  <si>
    <t>PRESTO DIS B3G1 1X6X32 INR75</t>
  </si>
  <si>
    <t>OLAY RG REV HYDR CRM 50GX6_IN_RS1499</t>
  </si>
  <si>
    <t>AmbPr CarRef Aqua</t>
  </si>
  <si>
    <t>AMBI CAR3 LEGO AQ RF7.5MLX12</t>
  </si>
  <si>
    <t>Ariel Liq3L Pouch FL</t>
  </si>
  <si>
    <t>ARIEL LAU LIQ 3LX4 MAT FL POUCH HY5 PC</t>
  </si>
  <si>
    <t>TIDE PWD 2KGX12 LV NL PC</t>
  </si>
  <si>
    <t>Pntn LT 180ml</t>
  </si>
  <si>
    <t>PNTN SHM 180ML X 56 HS LT IN JUN25 (214)</t>
  </si>
  <si>
    <t>H&amp;S SHM 650ML X12 SB IN JAS25 (1125)</t>
  </si>
  <si>
    <t>BRAUN Shaver - Series 51</t>
  </si>
  <si>
    <t>BRAUN SHAVER 51-M1200s IN</t>
  </si>
  <si>
    <t>H&amp;S 2in1 AHF 200 ml</t>
  </si>
  <si>
    <t>H&amp;S SHM 180ML X 56 AHF PC1 2IN1 IN MK_</t>
  </si>
  <si>
    <t>PAMPERS PANTS HL5 XXL26SX6 JP IN</t>
  </si>
  <si>
    <t>BLUE Pants Super Saver NB</t>
  </si>
  <si>
    <t>PAMPERS PANTS HL5 XS88SX4 SSP mos IN</t>
  </si>
  <si>
    <t>Olay TE Nrm UV 50gm</t>
  </si>
  <si>
    <t>OLAY TE 7INONE UV CRM 50GX6_IN_RS999 PU</t>
  </si>
  <si>
    <t>PAMPERS DPR HL4 XL2SX144 LCP IN</t>
  </si>
  <si>
    <t>H&amp;S SHM 340ML X30 7IN1 IN JAS25(540)</t>
  </si>
  <si>
    <t>Ariel Liq 500ml Pch FL</t>
  </si>
  <si>
    <t>ARIEL LAU LIQ 500MLX24 MAT FL PCH PC</t>
  </si>
  <si>
    <t>OB POC KIDS STRWR 4s</t>
  </si>
  <si>
    <t>EB10S 4K ENGFRONT SW FFS Brushset IN</t>
  </si>
  <si>
    <t>Presto3</t>
  </si>
  <si>
    <t>Presto 3 5+1</t>
  </si>
  <si>
    <t>PRESTO3 5+1 1X10X10 INR 240 PC</t>
  </si>
  <si>
    <t>MACH3 PPHCART 4 1CSX48IT 575INR IN 557.1</t>
  </si>
  <si>
    <t>TIDE PWD 6KGX4 LV NL PC__</t>
  </si>
  <si>
    <t>whspr Cln 100s+ON 44s CFC</t>
  </si>
  <si>
    <t>WHI(LCC+ XL+ 50X2 + NGT XXL 40+4)(2023)</t>
  </si>
  <si>
    <t>Red Pants Regs XXL</t>
  </si>
  <si>
    <t>PAMPERS PANTS DL2 XXL5SX40 REG KN IN</t>
  </si>
  <si>
    <t>TIDE PWD 8KGX3 LM OR PC</t>
  </si>
  <si>
    <t>PAMPERS PANTS MULMUL XS70SX4 JP UC IN</t>
  </si>
  <si>
    <t>H&amp;S SHM 500ML X12 DEEP CLEANSE IN (499)</t>
  </si>
  <si>
    <t>H&amp;S SHM 625ML X12 CM IN DMART JAS25</t>
  </si>
  <si>
    <t>MACH 3 PPH H+2 1X6X4 425INR 557.1</t>
  </si>
  <si>
    <t>Tide LV Rs10 C</t>
  </si>
  <si>
    <t>TIDE PWD (70G+5G)X60 LV 12STR C SL PC</t>
  </si>
  <si>
    <t>PNTN SHM 650MLX12AHS HF2IN1 IN PC3 RS_</t>
  </si>
  <si>
    <t>PAMPERS PANTS HL5 XXL16SX12 VP GS IN</t>
  </si>
  <si>
    <t>PAMPERS PANTS DL2 SM20X24 ECON KN GS IN</t>
  </si>
  <si>
    <t>PAMPERS PANTS HL5 XS8SX40 REG GS IN</t>
  </si>
  <si>
    <t>PAMPERS PANTS DL2 SM10SX40 REG KN GS IN</t>
  </si>
  <si>
    <t>GUARD CRM 125G NEW 1X72 60INR</t>
  </si>
  <si>
    <t>BLUE Pants Regs SM</t>
  </si>
  <si>
    <t>PAMPERS PANTS HL5 SM7SX40 REG GS IN</t>
  </si>
  <si>
    <t>PAMPERS DPR HL5 XL2SX192 LCP GS IN</t>
  </si>
  <si>
    <t>Ariel Mat TL 2Kg Bag</t>
  </si>
  <si>
    <t>ARIEL PWD 2KG X 12MAT TL Oct23 AM PC_</t>
  </si>
  <si>
    <t>BLUE Pants Regs MD</t>
  </si>
  <si>
    <t>PAMPERS PANTS HL5 MD6SX40 REG GS IN</t>
  </si>
  <si>
    <t>PAMPERS PANTS HL5 LG5SX40 REG GS IN</t>
  </si>
  <si>
    <t>BLUE Pants Regs XL</t>
  </si>
  <si>
    <t>PAMPERS PANTS HL5 XL7SX40 REG GS IN</t>
  </si>
  <si>
    <t>Blue Pants 2s XXL</t>
  </si>
  <si>
    <t>PAMPERS DPR HL5 XXL2SX192 LCP GS IN</t>
  </si>
  <si>
    <t>HE CN 400MLX6 AGNOIL PC2 IN</t>
  </si>
  <si>
    <t>BLUE Pants Econs SM</t>
  </si>
  <si>
    <t>PAMPERS PANTS HL5 SM16SX24 ECON GS IN</t>
  </si>
  <si>
    <t>Guard Cart 1s New</t>
  </si>
  <si>
    <t>GUARD RES 1CT 1X120X20 12INR LA</t>
  </si>
  <si>
    <t>PAMPERS DPR HL5 XS2SX192 LCP GS IN</t>
  </si>
  <si>
    <t>PAMPERS DPR HL5 LG4SX72 LCP DM GS IN</t>
  </si>
  <si>
    <t>PAMPERS PANTS DL2 XL10X24 ECON KN GS IN</t>
  </si>
  <si>
    <t>BLUE Pants 4s SM</t>
  </si>
  <si>
    <t>PAMPERS DPR HL5 SM4SX72 LCP DM GS IN</t>
  </si>
  <si>
    <t>H&amp;S SHM 340ML X 30 CM 2IN1 IN</t>
  </si>
  <si>
    <t>PAMPERS DPR MULMUL2 XL72SX1 BOX IN</t>
  </si>
  <si>
    <t>PAMPERS PANTS HL5 XS64SX6 JPCO mos GS IN</t>
  </si>
  <si>
    <t>H&amp;S SHM 650ML X12 SB IN VC</t>
  </si>
  <si>
    <t>BLUE Pants 4s MD</t>
  </si>
  <si>
    <t>PAMPERS DPR HL5 MD4SX72 LCP DM GS IN</t>
  </si>
  <si>
    <t>PAMPERS PANTS HL4.1 LG20SX12 VP IN</t>
  </si>
  <si>
    <t>PAMPERS DPR DL2 MD2SX192 LCP KN GS IN</t>
  </si>
  <si>
    <t>H&amp;S DAILY CLEAN 20X(7 + 1)5MLX8 JUL24 IN</t>
  </si>
  <si>
    <t>Luminous Clnsr 100gm</t>
  </si>
  <si>
    <t>OLAY LUM BRGT CLNS 100GX12_IN_RS399 FAR</t>
  </si>
  <si>
    <t>ARIEL LAU LIQ 2LX6 MAT TL POUCH HY7 PC</t>
  </si>
  <si>
    <t>PAMPERS DPR DL2 SM2SX192 LCP KN GS IN</t>
  </si>
  <si>
    <t>Guard Cart 1 SBD</t>
  </si>
  <si>
    <t>GUARD 1CT 1X120X20 14 INR</t>
  </si>
  <si>
    <t>Vector3 Razor</t>
  </si>
  <si>
    <t>Vector3 Rzr</t>
  </si>
  <si>
    <t>VEC3 ELHDL 1UP PSHBT 1X6X5 INR175</t>
  </si>
  <si>
    <t>PAMPERS PANTS HL4.1 MD68SX4 SSP IN</t>
  </si>
  <si>
    <t>PAMPERS PANTS MULMUL2.1 XXL30SX4 JP IN</t>
  </si>
  <si>
    <t>PAMPERS PANTS DL2 XL10X24 ECON CC IN</t>
  </si>
  <si>
    <t>PAMPERS PANTS HL5 MD48SX6 JPCO mos GS IN</t>
  </si>
  <si>
    <t>H&amp;S SHM 650ML X12 CM IN PC OND24</t>
  </si>
  <si>
    <t>PAMPERS DPR DL2 XS2SX192 LCP KN GS IN</t>
  </si>
  <si>
    <t>PNTN SHM 340MLX30 HS HFC 2IN1 IN AT PC24</t>
  </si>
  <si>
    <t>PAMPERS PANTS HL5 SM60SX6 JPCO mos GS IN</t>
  </si>
  <si>
    <t>BLUE Pants Jumbo New XL</t>
  </si>
  <si>
    <t>PAMPERS PANTS HL5 XL36SX6 JPCO mos GS IN</t>
  </si>
  <si>
    <t>FUSION CARTS 6CT 1X24 INR 1722</t>
  </si>
  <si>
    <t>OB CD CHRCL 4CT BCD 40S 120INR 1X6X12__</t>
  </si>
  <si>
    <t>PAMPERS PANTS HL5 MD12SX24 ECON GS IN</t>
  </si>
  <si>
    <t>VICKS DROP MENTHOL 2.7GX25X60 BAGS RS50</t>
  </si>
  <si>
    <t>Guard Razor Wilki Promo</t>
  </si>
  <si>
    <t>GUARD + WILKI Antirust 1X24 INR 125</t>
  </si>
  <si>
    <t>BLUE Pants Econs LG</t>
  </si>
  <si>
    <t>PAMPERS PANTS HL5 LG10SX24 ECON GS IN</t>
  </si>
  <si>
    <t>OLAY RETINOL SRM 30MLX6 IN BR STK</t>
  </si>
  <si>
    <t>H&amp;S SHM 650ML X12 7IN1 IN</t>
  </si>
  <si>
    <t>OB KIDS CHOTA BHEEM 3S</t>
  </si>
  <si>
    <t>OB OK006 EMKB LITE 3CT BCD 60INR 3X6X8__</t>
  </si>
  <si>
    <t>ARIEL LIQ 4L X 3 MAT TL PCH2 TRISHUL PC</t>
  </si>
  <si>
    <t>PAMPERS PANTS DL2 XL6SX40 REG KN GS IN</t>
  </si>
  <si>
    <t>Tide PODS</t>
  </si>
  <si>
    <t>Tide PODS 4in1 32ct</t>
  </si>
  <si>
    <t>TIDE IND LAU PODS 32CTX6 4IN1 TUBS PC__</t>
  </si>
  <si>
    <t>OB 123 NEEM 40S BCD 120 INR 4X6X8__</t>
  </si>
  <si>
    <t>OK005 OB KIDS 2 4YR SFT BCD 50INR 1X6X20</t>
  </si>
  <si>
    <t>PAMPERS PANTS HL5 SM52SX6 JP GS IN</t>
  </si>
  <si>
    <t>ASL ORIGINAL 100ML</t>
  </si>
  <si>
    <t>OS ASL ORIGINAL 100MLX48 S3_RS265</t>
  </si>
  <si>
    <t>H&amp;S SHM 340ML X 30 AP 2IN1 IN DS</t>
  </si>
  <si>
    <t>PNTN SHM 650MLX12 HS SS 2IN1 IN AT PC25</t>
  </si>
  <si>
    <t>OB OK008 TOM &amp; JERRY KIDS 40S 1CT IN__</t>
  </si>
  <si>
    <t>OB OM160 ULTRATHIN SENS BCD 340INR 4X6X8__</t>
  </si>
  <si>
    <t>ARIEL PWD (4+2)KG X2 MAT TL NSS AF PC</t>
  </si>
  <si>
    <t>OB CavDefClove Sft3</t>
  </si>
  <si>
    <t>OB CLOVE GENTLECARE 99INR BCD 3X6X8__</t>
  </si>
  <si>
    <t>ARIEL LIQ 6LX2 MAT FL PCH3 PC</t>
  </si>
  <si>
    <t>Active Baby LG Box Pk</t>
  </si>
  <si>
    <t>PAMPERS DPR M5 LG100SX1 BOX GS IN</t>
  </si>
  <si>
    <t>OB CAPH Kids Ironman</t>
  </si>
  <si>
    <t>OB KIDS DB3 AVENGERS IRON MAN IN</t>
  </si>
  <si>
    <t>OB CAPH Kids Moanna</t>
  </si>
  <si>
    <t>OB KIDS DB3 PRINCESS MOANA IN</t>
  </si>
  <si>
    <t>WHSPR CHOICE T1 WGS 6X120 (37) JWALA</t>
  </si>
  <si>
    <t>BLUE Pants Value XXXL</t>
  </si>
  <si>
    <t>PAMPERS PANTS HL5 XXXL10SX24 EP IN</t>
  </si>
  <si>
    <t>ARIEL PWD (45+20)GX60 GEN2 RW PC_</t>
  </si>
  <si>
    <t>Super Collagen Cream 50g</t>
  </si>
  <si>
    <t>OLAY FCE CRM 45GX6 NIAMAX SCAR IN</t>
  </si>
  <si>
    <t>PNTN SHM 1000ML X 8 HFC IN PC AMJ25</t>
  </si>
  <si>
    <t>H&amp;S SHM 340ML X 30 AP 2IN1 IN PCR</t>
  </si>
  <si>
    <t>Tide LM 2.2Kg</t>
  </si>
  <si>
    <t>TIDE PWD 2.2KGX12 LM OR PC</t>
  </si>
  <si>
    <t>PAMPERS PANTS HL5 MD228SX1 SUPBOX mos IN</t>
  </si>
  <si>
    <t>PAMPERS PANTS HL5 XL56SX4 SJ mos IN</t>
  </si>
  <si>
    <t>OLAY LUM NIA CREAM 50GX6_IN_RS1999 MS</t>
  </si>
  <si>
    <t>H&amp;S SHM 650MLX12 CM 2IN1 IN AMJ25(1299)</t>
  </si>
  <si>
    <t>PC Pants MD 4s</t>
  </si>
  <si>
    <t>PAMPERS PANTS MULMUL MD4SX72 LCP IN</t>
  </si>
  <si>
    <t>Cream GIL Lime 30gm</t>
  </si>
  <si>
    <t>G LIME SHV CRM 30G 1X144 45INR</t>
  </si>
  <si>
    <t>TIDE PWD 7KGX3 LM OR PC__</t>
  </si>
  <si>
    <t>Fusion Raz + Foam Promo</t>
  </si>
  <si>
    <t>Fusion Base+ 50g Foam 1X12 INR 425</t>
  </si>
  <si>
    <t>Tide LM 8KG A</t>
  </si>
  <si>
    <t>TIDE PWD 8KGX3 LM A OR PC</t>
  </si>
  <si>
    <t>VICKS BABYRUB 10MLX4X144 RTM INR51</t>
  </si>
  <si>
    <t>Ariel Mat 6kg+500g Liq FL</t>
  </si>
  <si>
    <t>ARIEL PWD (6KG+500G LIQ)X 2 MAT FL AF PC</t>
  </si>
  <si>
    <t>OLAY MOIST CRM 50GX48 IN_RS375 WH1</t>
  </si>
  <si>
    <t>HE Rosemary SH 400ml</t>
  </si>
  <si>
    <t>HE SH 400MLX6 ROSEMARY IN GST</t>
  </si>
  <si>
    <t>Super Collagen Cream CP</t>
  </si>
  <si>
    <t>OLAY FCE CRM 45GX6 NIAMAX SCAR IN_</t>
  </si>
  <si>
    <t>H&amp;S SHM 625ML X12 S&amp;S IN DMART PCR</t>
  </si>
  <si>
    <t>H&amp;S SHM 625ML X12 S&amp;S IN DMART JAS25</t>
  </si>
  <si>
    <t>PNTN SHM 650MLX12 HFC 2IN1 IN GST</t>
  </si>
  <si>
    <t>H&amp;S SHM 625ML X12 DC IN DMART PCR</t>
  </si>
  <si>
    <t>PAMPERS PANTS MML2.1 XXL90SX1 SVB DC IN</t>
  </si>
  <si>
    <t>H&amp;S SHM 625ML X12 AHF IN DMART PCR</t>
  </si>
  <si>
    <t>PAMPERS PANTS MML2.1 SM72SX4 JPCO DC IN</t>
  </si>
  <si>
    <t>PAMPERS DPR MULMUL2.1 MD56SX4 JPCO DC IN</t>
  </si>
  <si>
    <t>H&amp;S SHM 300ML X30 CM IN DM EDTA</t>
  </si>
  <si>
    <t>PAMPERS DPR MULMUL2.1 LG48SX4 JPCO DC IN</t>
  </si>
  <si>
    <t>OB OM302 Expert SensiUltraSuave2x36IT IN__</t>
  </si>
  <si>
    <t>H&amp;S SHM 650ML X12 CM IN EDTA</t>
  </si>
  <si>
    <t>OB SENS WHITE B2G1</t>
  </si>
  <si>
    <t>OB SENS WHTNG40XS BCD 3CT 120INR 3X6X8__</t>
  </si>
  <si>
    <t>H&amp;S SHM 180ML X 56 LF IN EDTA</t>
  </si>
  <si>
    <t>OM095 SENS X INR 260 2CT 2X6X12__</t>
  </si>
  <si>
    <t>PAMPERS DP MML2.1 XL72SX4 ECB MOS DC IN</t>
  </si>
  <si>
    <t>H&amp;S AHF 90ML</t>
  </si>
  <si>
    <t>H&amp;S SHM 72ML X 48 AHF IN PCR</t>
  </si>
  <si>
    <t>H&amp;S LF 90ML</t>
  </si>
  <si>
    <t>H&amp;S SHM 72 ML X 48 LF IN EDTA</t>
  </si>
  <si>
    <t>H&amp;S CM 90ML</t>
  </si>
  <si>
    <t>H&amp;S SHM 72 ML X 48 CM IN EDTA</t>
  </si>
  <si>
    <t>H&amp;S 7IN1 72ML</t>
  </si>
  <si>
    <t>H&amp;S SHM 72 ML X 48 7IN1 IN PCR</t>
  </si>
  <si>
    <t>H&amp;S SHM 650MLX12 NEEM IN EDTA</t>
  </si>
  <si>
    <t>H&amp;S SS 90ML</t>
  </si>
  <si>
    <t>H&amp;S SHM 72ML X 48 S&amp;S IN PCR</t>
  </si>
  <si>
    <t>OM305 OB CA CRCL 35S 2CT INDIA__</t>
  </si>
  <si>
    <t>H&amp;S BG 72ML</t>
  </si>
  <si>
    <t>H&amp;S SHM 72ML X 48 DEEP CLEANSE IN PCR</t>
  </si>
  <si>
    <t>RED Pants Jumbo New LG</t>
  </si>
  <si>
    <t>PAMPERS PANTS DL2 LG42SX6 JP KN NM IN</t>
  </si>
  <si>
    <t>H&amp;S SHM 72MLX48 CM 2IN1 IN PCR</t>
  </si>
  <si>
    <t>H&amp;S SHM 625ML X12 CM IN EDTA</t>
  </si>
  <si>
    <t>H&amp;S SHM 500ML X12 CM IN EDTA</t>
  </si>
  <si>
    <t>Tide JR 3KG</t>
  </si>
  <si>
    <t>TIDE PWD 3KGX8 JR A TE PC</t>
  </si>
  <si>
    <t>OB CRISSCROSS RS 50 6+2CD S</t>
  </si>
  <si>
    <t>OB OM196 PH CC 40S SPK 50INR (6+2CD)X20__</t>
  </si>
  <si>
    <t>PAMPERS PANTS DL2 MD48SX6 JP KN CC NM IN</t>
  </si>
  <si>
    <t>M3 TRB CRT 8S + FREE HOOK 1X6X6 INR 1480</t>
  </si>
  <si>
    <t>whspr Choice Ultr 20s</t>
  </si>
  <si>
    <t>WHI CHOICE ULT 20X30 JADE (160) SCENT</t>
  </si>
  <si>
    <t>OB 3IN1 CRISS CROSS + SENS</t>
  </si>
  <si>
    <t>OB 2CC50M+2CC50S+3CCSnsUT+3Clss Sns Free__</t>
  </si>
  <si>
    <t>OS Deo Original Bundle Pack of 2</t>
  </si>
  <si>
    <t>OS DEO ORIGINAL Pack of 2</t>
  </si>
  <si>
    <t>OS Deo Original Bundle Pack of 3</t>
  </si>
  <si>
    <t>OS DEO ORIGINAL Pack of 3</t>
  </si>
  <si>
    <t>OS Deo Lionpride Bundle Pack of 2</t>
  </si>
  <si>
    <t>OS DEO LIONPRIDE Pack of 2</t>
  </si>
  <si>
    <t>OS Deo Lionpride Bundle Pack of 3</t>
  </si>
  <si>
    <t>OS DEO LIONPRIDE Pack of 3</t>
  </si>
  <si>
    <t>Vaporub 105ml</t>
  </si>
  <si>
    <t>VICKS VAPORUB CL 105MLX9X8 JAR RS349</t>
  </si>
  <si>
    <t>VICKS BABYRUB 50MLX5X24 JAR INR229</t>
  </si>
  <si>
    <t>Vaporub 25gm 22+2 SW</t>
  </si>
  <si>
    <t>VICKS VAPORUB CL 25 MLX(22+2)X16 RS109</t>
  </si>
  <si>
    <t>RED Pants Jumbo New SM</t>
  </si>
  <si>
    <t>PAMPERS PANTS DL2 SM60SX6 JP KN CC NM IN</t>
  </si>
  <si>
    <t>Vaporub 50gm SW promo</t>
  </si>
  <si>
    <t>VICKS VAPORUB CL 50MLX(14+1)X12 RS199</t>
  </si>
  <si>
    <t>VICKS VAPORUB CL 50 MLX15X12 RS199__</t>
  </si>
  <si>
    <t>whspr Soft XL 15s</t>
  </si>
  <si>
    <t>WHISP ULT SOFTS XL 15X36 (195) PU</t>
  </si>
  <si>
    <t>TSG (Mst) 60g</t>
  </si>
  <si>
    <t>TGS GLCON SHVP 60G MST 85INR 1X12X12</t>
  </si>
  <si>
    <t>PAMPERS PANTS DL2 XL34SX6 JP KN CC NM IN</t>
  </si>
  <si>
    <t>OB CRISSCROSS SENS UT 5+3 SENS CARE</t>
  </si>
  <si>
    <t>OB OM043 PH Sens 40XS 65RS(5+3 ECare)X20__</t>
  </si>
  <si>
    <t>BLUE Pants Super Saver LG</t>
  </si>
  <si>
    <t>PAMPERS PANTS HL5 LG58SX4 SSP NM IN</t>
  </si>
  <si>
    <t>OB 3in1 Mid-Tier</t>
  </si>
  <si>
    <t>OB 3IN1 SENS + CD</t>
  </si>
  <si>
    <t>OB 3in1 MID (4CD M+4ECXS+2CC sensXS)X20__</t>
  </si>
  <si>
    <t>PAMPERS PANTS HL5 MD68SX4 SSP NM IN</t>
  </si>
  <si>
    <t>Active Baby MD Jumbo</t>
  </si>
  <si>
    <t>PAMPERS DPR M5 MD62SX6 VP GS IN</t>
  </si>
  <si>
    <t>PAMPERS PANTS HL5 SM78SX4 SSP NM IN</t>
  </si>
  <si>
    <t>Active Baby NB Jumbo</t>
  </si>
  <si>
    <t>PAMPERS DPR M5 NB72SX4 SJ IN CS GS PU</t>
  </si>
  <si>
    <t>BLUE Pants Super Saver XL</t>
  </si>
  <si>
    <t>PAMPERS PANTS HL5 XL48SX4 SSP NM IN</t>
  </si>
  <si>
    <t>PAMPERS DPR M5 MD90SX4 SJ GS IN</t>
  </si>
  <si>
    <t>OLD SPICE KRAKENGARD 140MLX12X4 IN 249</t>
  </si>
  <si>
    <t>PAMPERS PANTS HL5 XS88SX4 SSP NM IN</t>
  </si>
  <si>
    <t>Act Baby SM Su Jumbo</t>
  </si>
  <si>
    <t>PAMPERS DPR M5 SM92SX4 SJ GS IN</t>
  </si>
  <si>
    <t>BLUE Pants Super Saver XXL</t>
  </si>
  <si>
    <t>PAMPERS PANTS HL5 XXL38SX4 SSP NM IN</t>
  </si>
  <si>
    <t>Active Baby LG Super Jumbo</t>
  </si>
  <si>
    <t>PAMPERS DPR M5 LG78SX4 SJ GS IN</t>
  </si>
  <si>
    <t>VICKS VAPORUB CL 105MLX(8+1)*8 RS318</t>
  </si>
  <si>
    <t>PAMPERS PANTS HL5 XL56SX4 SJ mos GS IN</t>
  </si>
  <si>
    <t>Pntn LC 675ml ECOM</t>
  </si>
  <si>
    <t>PNTN SHM 650 ML X 12 AHS LC IN ECOM</t>
  </si>
  <si>
    <t>GUARD RAZ+12CRT PT 1CSX144IT 120 INR</t>
  </si>
  <si>
    <t>VICKS VAPORUB CL 50MLX(14+1)X12 RS186</t>
  </si>
  <si>
    <t>PAMPERS PANTS HL5 MD76SX4 SJ mos GS IN</t>
  </si>
  <si>
    <t>PNTN SHM 650MLX12AHS SS2IN1 IN PC2</t>
  </si>
  <si>
    <t>Foam (Mnth) 200ml</t>
  </si>
  <si>
    <t>GIL FM SHVP 196 G MNTH 199INR 1X24</t>
  </si>
  <si>
    <t>VICKS VAPORUB CL 105MLX9X8 JAR RS318</t>
  </si>
  <si>
    <t>PAMPERS PANTS HL5 LG64SX4 SJ mos GS IN</t>
  </si>
  <si>
    <t>VICKS VAPORUB CL 50 MLX15X12 RS186</t>
  </si>
  <si>
    <t>Active Baby NB Econ</t>
  </si>
  <si>
    <t>PAMPERS DPR M5 NB24SX18 ECON GSIN</t>
  </si>
  <si>
    <t>PAMPERS PANTS HL5 XXL42SX4 SJ GS IN</t>
  </si>
  <si>
    <t>GPI 8+4</t>
  </si>
  <si>
    <t>PRESTO 8+4 SATASAT 1CSX50IT 160INR PU</t>
  </si>
  <si>
    <t>PNTN SHM 180MLX56 HFC 2IN1 IN GST</t>
  </si>
  <si>
    <t>PAMPERS DPR MML2.1 XL144SX1 SUMO DC IN</t>
  </si>
  <si>
    <t>A500 ADV N64 PB</t>
  </si>
  <si>
    <t>Vicks Action 500 Advanced 12*90PB</t>
  </si>
  <si>
    <t>H&amp;S SHM 5.7MLX1200 DAILY COOL IN PA GST</t>
  </si>
  <si>
    <t>H&amp;S SHM 5.7MLX1200 DAILY SMOOTH IN GST</t>
  </si>
  <si>
    <t>H&amp;S SHM 9.1ML X 800 MF 2IN1 IN CL DF GST</t>
  </si>
  <si>
    <t>H&amp;S SHM 9.1ML X 800 SB 2IN1 IN CL DF GST</t>
  </si>
  <si>
    <t>Tide SHS LM 500g H</t>
  </si>
  <si>
    <t>TIDE PWD 500GX48 LM WT PIL H NO PC</t>
  </si>
  <si>
    <t>H&amp;S SHM 1000ML X8 S&amp;S PC5 IN MK</t>
  </si>
  <si>
    <t>Tide JR 3KG + Can Free</t>
  </si>
  <si>
    <t>TIDE PWD 3KGX8 WT CAN FREE JR PC</t>
  </si>
  <si>
    <t>AmbPr CarST Aqua</t>
  </si>
  <si>
    <t>AMBI CAR3 GST AQ ST7.5MLX12_IN</t>
  </si>
  <si>
    <t>Tide SHS LM 1Kg H</t>
  </si>
  <si>
    <t>TIDE PWD 1KGX24 LM WT PIL H NO PC</t>
  </si>
  <si>
    <t>OLD SPICE NOMAD 140MLX12X4 IN 299</t>
  </si>
  <si>
    <t>VENUS RES SMOOTH CT 2 1CSX24IT INR349</t>
  </si>
  <si>
    <t>TIDE PWD 7KGX3 LM WT OR PC</t>
  </si>
  <si>
    <t>TIDE PWD 6KGX4 LM WT OR PC</t>
  </si>
  <si>
    <t>TIDE PWD 10KGX2 WT JR PC</t>
  </si>
  <si>
    <t>Tide LV 10Kg</t>
  </si>
  <si>
    <t>TIDE PWD 10KGX2 WT LV PC</t>
  </si>
  <si>
    <t>Tide SHS JR 1Kg H</t>
  </si>
  <si>
    <t>TIDE PWD 1KGX24 JR WT PIL H NJ PC</t>
  </si>
  <si>
    <t>OB POC Vitality 2s</t>
  </si>
  <si>
    <t>D100.423.2H IN BL+WT CRRB BOX PTHBR2X2x4</t>
  </si>
  <si>
    <t>H&amp;S SHM 650ML X12 CM PC5 IN MK</t>
  </si>
  <si>
    <t>PNTN SHM 650 ML X 12 AHS LC IN PC4 RS</t>
  </si>
  <si>
    <t>RG Microsculpting UV</t>
  </si>
  <si>
    <t>OLAY RG MCS UV MST 50GX6_IN_RS1799</t>
  </si>
  <si>
    <t>AmbPr CarRef Lavendr</t>
  </si>
  <si>
    <t>AMBI CAR3 LEGO LSPA RF7.5MLX12</t>
  </si>
  <si>
    <t>H&amp;S SHM 650ML X 12 CM 2IN1 PC7</t>
  </si>
  <si>
    <t>PAMPERS PANTS HL4 XL168SX1 SUPBOX IN</t>
  </si>
  <si>
    <t>Wipes Lid Singles OFF</t>
  </si>
  <si>
    <t>PAMPERS WIPES FE 72X24S W LID ECOM IN</t>
  </si>
  <si>
    <t>TIDE PWD 7KGX3 WT LV PC</t>
  </si>
  <si>
    <t>TIDE PWD 12KGX2 WT JR PC</t>
  </si>
  <si>
    <t>Tide SHS JR 500g H</t>
  </si>
  <si>
    <t>TIDE PWD 500GX48 JR WT PIL H NJ PC</t>
  </si>
  <si>
    <t>PAMPERS DPR HL4 SM2SX144 LCP IN</t>
  </si>
  <si>
    <t>D100.413.2 INDIA CRRB BLK HBOX PTHBR 1X6</t>
  </si>
  <si>
    <t>MACH3 CHAR CART4 1CSX6X8 649INR 557.1</t>
  </si>
  <si>
    <t>PAMPERS PANTS MULMUL XXL90SX1 SVB UC IN</t>
  </si>
  <si>
    <t>GIL MACH3 CELEB GP 1X6 INR 499 557.1</t>
  </si>
  <si>
    <t>PNTN SHM 340ML X 30 AHS HF 2IN1 PC4 RS_</t>
  </si>
  <si>
    <t>Tide LV 2.2Kg</t>
  </si>
  <si>
    <t>TIDE PWD 2.2KGX12 WT LV PC</t>
  </si>
  <si>
    <t>Tide LM 4+1Kg</t>
  </si>
  <si>
    <t>TIDE PWD (4KG+1KG)X5 WT LM PC</t>
  </si>
  <si>
    <t>PNTN SS 400ML PROMO</t>
  </si>
  <si>
    <t>PTN SS( 340 +75 mL) X18 IN Promo</t>
  </si>
  <si>
    <t>OB OM209 CRCR Deep Cln 40S 160INR 4X6X6</t>
  </si>
  <si>
    <t>Tide JR 4+1Kg</t>
  </si>
  <si>
    <t>TIDE PWD (4KG+1KG)X5 WT JR PC</t>
  </si>
  <si>
    <t>VICKS RUB XTRA STRNG 10MLX12X45 FLTS R55</t>
  </si>
  <si>
    <t>Labs Rzr</t>
  </si>
  <si>
    <t>Labs Razor</t>
  </si>
  <si>
    <t>GilletteLabs 601 Rzr 1CSX24IT 1499INR</t>
  </si>
  <si>
    <t>TIDE PWD 2.2KGX12 WT JR PC</t>
  </si>
  <si>
    <t>Ariel Mat FL 2Kg Bag</t>
  </si>
  <si>
    <t>ARIEL PWD 2KG X 12MAT FL Oct23 AF PC_</t>
  </si>
  <si>
    <t>TIDE PWD (4KG + 1KG)X5 WT LV PC</t>
  </si>
  <si>
    <t>TIDE PWD 1KGX(23+1) JR WT PIL H NJ PC</t>
  </si>
  <si>
    <t>Vaporub 10gm RTM INR 48</t>
  </si>
  <si>
    <t>VICKS VAPORUB 10MLX12X72 RTM LC INR48</t>
  </si>
  <si>
    <t>HE CN 240MLX6 ARGAN PC2 IN</t>
  </si>
  <si>
    <t>TIDE PWD 2.2KGX12 LM WT OR PC</t>
  </si>
  <si>
    <t>WHISPER ULTNGT XXXLT9 20X12(700) 1K PU</t>
  </si>
  <si>
    <t>VENUS SMTH SENS H+3C 1X36IT 657.1 INR674</t>
  </si>
  <si>
    <t>OLAY NIACINAMIDE SERUM 30MLX6_IN PU</t>
  </si>
  <si>
    <t>Olay Vit C SPF Cream</t>
  </si>
  <si>
    <t>OLAY FACECRM 50GX6 VITC SPF30 IN</t>
  </si>
  <si>
    <t>Fat Foamy (Reg) 300gm</t>
  </si>
  <si>
    <t>FMY FM SHVP 418G REG 1X12 INR 290</t>
  </si>
  <si>
    <t>H&amp;S(CLEAN40+COOL20+SMOOTH20)5mLX15 PB</t>
  </si>
  <si>
    <t>H&amp;S SHM 650ML X 12 CM 2IN1 IN</t>
  </si>
  <si>
    <t>Ariel Liq Rs.10 TL</t>
  </si>
  <si>
    <t>ARIEL LAU LIQ 50MLX144 MAT TL SACH IN PC__</t>
  </si>
  <si>
    <t>Guard3 R+8C eC</t>
  </si>
  <si>
    <t>GUARD3 R+8C 1X30 INR400 ECOM</t>
  </si>
  <si>
    <t>whspr Ultra XL 6s RTM</t>
  </si>
  <si>
    <t>Whisper LCC+ S3 CFC RTM Pack(15x4)</t>
  </si>
  <si>
    <t>ARIEL PWD 500GX48 COMP DEC25 APTL AS PC</t>
  </si>
  <si>
    <t>PAMPERS PANTS MULMUL2 XL144SX1 SUMO IN</t>
  </si>
  <si>
    <t>FUSION PWR CARTS 4CT 1X10X4 INR 1359</t>
  </si>
  <si>
    <t>PAMPERS PANTS HL4.1 XS8SX40 REG IN</t>
  </si>
  <si>
    <t>ProGlide Cart 4s</t>
  </si>
  <si>
    <t>FUSION PG CARTS 4CT 1X10X4 INR 1359</t>
  </si>
  <si>
    <t>FUSION CARTS 4CT 1X10X4 INR 1199</t>
  </si>
  <si>
    <t>Fat Foamy (Sen) 300gm</t>
  </si>
  <si>
    <t>FMY FM SHVP 418G SENS 1X12 INR 290</t>
  </si>
  <si>
    <t>ARIEL LIQ 6.4L X 2 MAT FL PCH PC</t>
  </si>
  <si>
    <t>Foam (Reg) 200ml</t>
  </si>
  <si>
    <t>GIL FM SHVP 196G REG 1X24 INR 249</t>
  </si>
  <si>
    <t>BRAUN SE7041</t>
  </si>
  <si>
    <t>BRAUN LEGEPIL SE7-041 SILV BOX IN</t>
  </si>
  <si>
    <t>Vaporub 25gm+20% Extra SW promo</t>
  </si>
  <si>
    <t>VICKS VAPORUB 25MLX(19+1)16 PROMO INR109</t>
  </si>
  <si>
    <t>GIL FM SHVP 196 G LMNL 1X24 INR 270</t>
  </si>
  <si>
    <t>SV3 4s + SL 1s 1X40 399 INR</t>
  </si>
  <si>
    <t>Foam (Reg) 50gm</t>
  </si>
  <si>
    <t>FMY FM SHVP 50 G REG 1X48 INR 95</t>
  </si>
  <si>
    <t>PC Pants XL Sup Jumbo Pk</t>
  </si>
  <si>
    <t>PAMPERS DPR MULMUL2.1 XL36SX4 JP IN</t>
  </si>
  <si>
    <t>FUSION PG CARTS 4CT 1X10X4 INR 1299</t>
  </si>
  <si>
    <t>PAMPERS PANTS MULMUL2.1 MD216SX1 SUMO IN</t>
  </si>
  <si>
    <t>H&amp;S SHM 1000ML X8 CM IN PC NOV24</t>
  </si>
  <si>
    <t>PNTN SHM 650MLX12 HS SS 2IN1 IN AT PC24</t>
  </si>
  <si>
    <t>FUSION CARTS 8CT 1X10X4 INR 2075</t>
  </si>
  <si>
    <t>GIL FM SHVP 196 G MNTH 1X24 INR 270</t>
  </si>
  <si>
    <t>WHSPR LCC+ S05 XL+ 50X3 (1977) ECOM</t>
  </si>
  <si>
    <t>MACH3 PPH CART 4s 1CSX48IT INR 599</t>
  </si>
  <si>
    <t>GIL FM SHVP 196 G CHAR 1X24 INR 270</t>
  </si>
  <si>
    <t>H&amp;S Bare PC 400ml</t>
  </si>
  <si>
    <t>H&amp;S BARE SHM 400ML X24 PC IN GST</t>
  </si>
  <si>
    <t>Ariel Liq 1kg Pch FL A</t>
  </si>
  <si>
    <t>ARIEL LIQ 1KGX12 MAT FL POUCH T 2.0 PC</t>
  </si>
  <si>
    <t>Olay Vit C Serum + Clnsr</t>
  </si>
  <si>
    <t>VIT C SERUM+CLNSR</t>
  </si>
  <si>
    <t>Tide LM 3KG + Can Free</t>
  </si>
  <si>
    <t>TIDE PWD 3KGX8 LM CAN FREE TS PC</t>
  </si>
  <si>
    <t>H&amp;S 7in1 1000ml</t>
  </si>
  <si>
    <t>H&amp;S SHM 1000ML X8 7IN1 IN</t>
  </si>
  <si>
    <t>H&amp;S SHM 300ML X 30 S&amp;S IN DMART OND24</t>
  </si>
  <si>
    <t>PAMPERS DPR HL4.1 MD4SX72 LCP DM IN</t>
  </si>
  <si>
    <t>WHSPR LINER REG ONMRPW 40SX10(350) PU</t>
  </si>
  <si>
    <t>ASL LIONPRIDE 100ML</t>
  </si>
  <si>
    <t>OS ASL LIONPRIDE 100MLX48 S3_RS265</t>
  </si>
  <si>
    <t>WHISP ULT SOFTS XL 30X18 (370) PU</t>
  </si>
  <si>
    <t>PNTN COND 200MLX 24 HS HF IN PC25</t>
  </si>
  <si>
    <t>WHISP ULT SOFTS XL 15X36 (185) PU</t>
  </si>
  <si>
    <t>VENUS CG3 RAZOR 1X18 INR 375</t>
  </si>
  <si>
    <t>VENUS SMTH CRVS CART 2S 1X10X4 INR 599</t>
  </si>
  <si>
    <t>OB OK008 TOM &amp; JERRY KIDS 40S 3CT IN</t>
  </si>
  <si>
    <t>WHSPR ULT BIN NGT XXL 15X24 (235) PU</t>
  </si>
  <si>
    <t>WHP ULT NGT XXXL T9 10X12 (370) Q5 TW PU</t>
  </si>
  <si>
    <t>PNTN SHM 650ML X 12 HFC IN PC AMJ25</t>
  </si>
  <si>
    <t>PNTN SHM 180MLX56 HS SS 2IN1 IN NSS</t>
  </si>
  <si>
    <t>H&amp;S SHM 180ML X 56 7IN1 IN PCR</t>
  </si>
  <si>
    <t>WHSPR ULT BIN NGT XXL 30X18 (470) PU</t>
  </si>
  <si>
    <t>WHISP ULT SOFTS XL 50X12 (649) PU</t>
  </si>
  <si>
    <t>TIDE PWD 3KGX8 JR CAN FREE TE PC_</t>
  </si>
  <si>
    <t>whspr Ult ON XXL 44s</t>
  </si>
  <si>
    <t>WHSPR ULT BIN NGT XXL 40+4X18(649) PU</t>
  </si>
  <si>
    <t>whspr Maxi RegW ON 7s</t>
  </si>
  <si>
    <t>WHP MAXI NIGHTS XL+ 7X60 (135) JWALA</t>
  </si>
  <si>
    <t>WHISP ULT SOFTS XL+ 30X18 (390) PU</t>
  </si>
  <si>
    <t>TIDE LAU PWD 2.2KGX12 LV PC</t>
  </si>
  <si>
    <t>H&amp;S SHM 500ML X12 CM IN PROMO (499)</t>
  </si>
  <si>
    <t>whspr Ult ON XXL 7s</t>
  </si>
  <si>
    <t>WHSPR ULT BIN NGT XXL 7X48 (115) PU</t>
  </si>
  <si>
    <t>PAMPERS PANTS HL5 LG5SX40 REG IN</t>
  </si>
  <si>
    <t>WHISP ULT SOFTS XL 48X12 (599) PU</t>
  </si>
  <si>
    <t>whspr Ult ON XXL 45s</t>
  </si>
  <si>
    <t>WSPR ULT NGT XXL (15X3)X18(575) PU</t>
  </si>
  <si>
    <t>PAMPERS PANTS HL5 MD152SX1 BOX mos IN</t>
  </si>
  <si>
    <t>WHISP ULT SOFTS XL 6X72 (75) PU</t>
  </si>
  <si>
    <t>PAMPERS PANTS HL5 SM86SX4 SJ mos IN</t>
  </si>
  <si>
    <t>whspr Ult XXXL ON 4s</t>
  </si>
  <si>
    <t>WHP ULT NGT XXXL T9 4X36 (150) PU INDIA</t>
  </si>
  <si>
    <t>PAMPERS PANTS HL5 XL168SX1 SUPBOX mos IN</t>
  </si>
  <si>
    <t>whspr Soft XL 45s</t>
  </si>
  <si>
    <t>WHISP ULT SOFTS XL 45X18 (475) PU</t>
  </si>
  <si>
    <t>TIDE PWD 400GX48 DTC JR NJ PC</t>
  </si>
  <si>
    <t>AP 18gm Cream</t>
  </si>
  <si>
    <t>OLAY AGE PROT CRM 18GX48_IN_RS225 FARPU</t>
  </si>
  <si>
    <t>WHSPR LINER REG ONM RPW 20X18(175) PU</t>
  </si>
  <si>
    <t>H&amp;S SHM 650MLX12 AHF2IN1 IN AMJ25(1299)</t>
  </si>
  <si>
    <t>Cream GIL Reg 30gm</t>
  </si>
  <si>
    <t>G REG SHV CRM 30G 1X144 45INR</t>
  </si>
  <si>
    <t>OB OM209 CRCR Deep Cln 40S 160INR 4X6X6__</t>
  </si>
  <si>
    <t>VICKS VAPORUB CL 25 MLX24X16 RS102</t>
  </si>
  <si>
    <t>Mach3 Rzr Guard RTM Pack</t>
  </si>
  <si>
    <t>Mach3 PPH + Guard Razor RTM 1X8 INR 415</t>
  </si>
  <si>
    <t>Ariel Liq 4kg Pch FL PM</t>
  </si>
  <si>
    <t>ARIELLIQ4KGX4 MAT FL PCH T2.0 OCT25 PC</t>
  </si>
  <si>
    <t>OLAY MOIST CRM 100GX24 IN_RS625 WH1</t>
  </si>
  <si>
    <t>PNTN HFC 340ml + 3MM Condi</t>
  </si>
  <si>
    <t>PNTN(HFC 340 SH+200ML 3MM CN COL.)X15 IN</t>
  </si>
  <si>
    <t>Pntn HS 180ml</t>
  </si>
  <si>
    <t>PNTN SHM 180ML X 56 HS HS IN GST</t>
  </si>
  <si>
    <t>FUSION CARTS 2CT 1X6X8 INR 649</t>
  </si>
  <si>
    <t>PNTN SHM 200ML X 56 HS LC IN GST</t>
  </si>
  <si>
    <t>FUSION PG CARTS 2CT 1X6X8 INR 725</t>
  </si>
  <si>
    <t>FUSION PWR CARTS 2CT 1X6X8 INR 725</t>
  </si>
  <si>
    <t>VICKS VRUB EXTRA STRNG 50MLX5X28 RS201</t>
  </si>
  <si>
    <t>VICKS INHL(0.5MLX2)X6X12 TWIN CU RS120</t>
  </si>
  <si>
    <t>Guard Carts 1s Rs 15</t>
  </si>
  <si>
    <t>GUARD 1CT 1X120X20 15 INR</t>
  </si>
  <si>
    <t>PNTN DR 75ML</t>
  </si>
  <si>
    <t>PNTN SHM 75 ML X 48 HS DR IN GST</t>
  </si>
  <si>
    <t>VICKS VRUB EXTRA STRONG 25MLX9X24 RS117</t>
  </si>
  <si>
    <t>PNTN SHM 650ML X 12 SSC IN GST</t>
  </si>
  <si>
    <t>VCD 70+5 worth Rs 10 off B 2.9gm</t>
  </si>
  <si>
    <t>VICKS DROP 2.9G X 75 X 32 BAG RS140</t>
  </si>
  <si>
    <t>VICKS VRUB EXTRA STRNG 10MLX12X45 RS51</t>
  </si>
  <si>
    <t>PNTN SHM 340ML X 30 HS DR IN GST</t>
  </si>
  <si>
    <t>MACH3 PPH CART 2S 1X6X12 INR 349</t>
  </si>
  <si>
    <t>VICKS BABYRUB 10MLX12X90 FLATS INR51</t>
  </si>
  <si>
    <t>Pntn SSC 1000ml</t>
  </si>
  <si>
    <t>PNTN SHM 1000ML X 8 SSC IN GST</t>
  </si>
  <si>
    <t>Turbo Cart 4s</t>
  </si>
  <si>
    <t>MACH3 TRB CART 4S 1X8X6 INR 819</t>
  </si>
  <si>
    <t>BabyRub 25 ml</t>
  </si>
  <si>
    <t>VICKS BABYRUB 25MLX9X24 JAR INR117</t>
  </si>
  <si>
    <t>PNTN SHM 650ML X 12 HFC GST</t>
  </si>
  <si>
    <t>MACH3 PPH CART 4S 1X8X6 INR 660</t>
  </si>
  <si>
    <t>PNTN SHM 180ML X 56 HS LT IN GST</t>
  </si>
  <si>
    <t>VICKS BABYRUB 50MLX5X24 JAR INR201</t>
  </si>
  <si>
    <t>WHSPR ULT LCC+ XL+ WGS 45X15 (480)__</t>
  </si>
  <si>
    <t>PNTN SHM 1000ML X 8 HFC IN GST</t>
  </si>
  <si>
    <t>AS SPLSH (RB) 50ML</t>
  </si>
  <si>
    <t>SPLASH REFRESH BREEZ 50ML 1X12 INR 349</t>
  </si>
  <si>
    <t>AS SPLSH (IC) 50ML</t>
  </si>
  <si>
    <t>SPLASH PRO ICY COOL 50ML 1X12 INR 349</t>
  </si>
  <si>
    <t>WHP ULT LCC+ CFC XL+ 7X64 (95)</t>
  </si>
  <si>
    <t>PNTN SHM 650MLX12 DR IN GST</t>
  </si>
  <si>
    <t>Pntn SS 200ml</t>
  </si>
  <si>
    <t>PNTN SHM 180ML X 56 HS SS IN GST</t>
  </si>
  <si>
    <t>Tide LV 1kg H</t>
  </si>
  <si>
    <t>TIDE LAU 1KGX24 H LV NL PC</t>
  </si>
  <si>
    <t>Tide LV 500gm H</t>
  </si>
  <si>
    <t>TIDE LAU 500GX48 H LV NL PC</t>
  </si>
  <si>
    <t>PNTN SHM 650ML X 12 LT IN GST</t>
  </si>
  <si>
    <t>PNTN SHM 400MLX30 HS LC IN GST</t>
  </si>
  <si>
    <t>WHP ULT LCC+ CFC XL 6X64 (65)</t>
  </si>
  <si>
    <t>PNTN LC 90ML</t>
  </si>
  <si>
    <t>PNTN SHM 90MLX48 HS LC IN GST</t>
  </si>
  <si>
    <t>MACH3 PPH R+C 1X6X4 INR 474</t>
  </si>
  <si>
    <t>PNTN SHM 180ML X 56 HS DR IN GST</t>
  </si>
  <si>
    <t>GUARD 3IN1 690 RAZOR1UP 1X8X6 INR 125</t>
  </si>
  <si>
    <t>PNTN SHM 340ML X 30 HS SS IN GST</t>
  </si>
  <si>
    <t>Venus Regimen Pack</t>
  </si>
  <si>
    <t>VENUS SMOOTH H+2C+60G GEL 1X12 INR 849</t>
  </si>
  <si>
    <t>TIDE PWD 6KGX4 WT LV PC</t>
  </si>
  <si>
    <t>H&amp;S BG 400ML</t>
  </si>
  <si>
    <t>H&amp;S SHM 340ML X 30 Deep Cleanse IN GST</t>
  </si>
  <si>
    <t>Pntn SS 90ml</t>
  </si>
  <si>
    <t>PNTN SHM 75 ML X 48 HS SS IN GST</t>
  </si>
  <si>
    <t>PNTN SHM 650MLX12 DR IN JFM26</t>
  </si>
  <si>
    <t>PNTN SHM 650ML X 12 SSC IN JFM26</t>
  </si>
  <si>
    <t>PNTN SHM 650MLX12 HFC 2IN1 IN JFM26</t>
  </si>
  <si>
    <t>Ariel Liq 2kg Pch TL</t>
  </si>
  <si>
    <t>ARIEL LIQ 2KGX6 MAT TL POUCH PRC PC</t>
  </si>
  <si>
    <t>H&amp;S BG 1000ML</t>
  </si>
  <si>
    <t>H&amp;S SHM 1000ML X8 Deep Cleanse IN GST</t>
  </si>
  <si>
    <t>PNTN SHM 340ML X 30 HS LT IN GST</t>
  </si>
  <si>
    <t>PNTN SHM 340ML X 30 HS HS IN GST</t>
  </si>
  <si>
    <t>TIDE PWD 8KGX3 WT LV PC</t>
  </si>
  <si>
    <t>Ariel Liq 2kg Pch FL</t>
  </si>
  <si>
    <t>ARIEL LIQ 2KGX6 MAT FL POUCH PRC PC</t>
  </si>
  <si>
    <t>PC XXXL Jumbo</t>
  </si>
  <si>
    <t>PAMPERS PANTS MULMUL XXXL19X12 VP IN</t>
  </si>
  <si>
    <t>Vicks</t>
  </si>
  <si>
    <t>PureZZZS</t>
  </si>
  <si>
    <t>ZZZQUIL 10S</t>
  </si>
  <si>
    <t>VICKS ZZZQUIL GUMMY 10CTX6X20 JAR RS225</t>
  </si>
  <si>
    <t>Zzzquil 48s</t>
  </si>
  <si>
    <t>VICKS ZZZQUIL GUMMY 48CTX6X8 JAR RS949</t>
  </si>
  <si>
    <t>Ariel Liq 1kg Btl FL A</t>
  </si>
  <si>
    <t>ARIEL LIQ 1KGX12 MAT FL BTL PRC PC</t>
  </si>
  <si>
    <t>Zzzquil 30s</t>
  </si>
  <si>
    <t>VICKS ZZZQUIL GUMMY 30CTX6X8 JAR RS625</t>
  </si>
  <si>
    <t>H&amp;S SHM 1000ML X8 DEEP CLEANSE IN AMJ26</t>
  </si>
  <si>
    <t>PNTN SHM 1000ML X 8 SSC IN AMJ26</t>
  </si>
  <si>
    <t>Ariel Liq 1kg Btl TL A</t>
  </si>
  <si>
    <t>ARIEL LIQ 1KGX12 MAT TL BTL PRC PC</t>
  </si>
  <si>
    <t>Venus Skin Love Multi 3s</t>
  </si>
  <si>
    <t>VENUS SKINLOVE 3CT MULTI 1X6X6 475 INR</t>
  </si>
  <si>
    <t>H&amp;S SHM 1000ML X8 CM IN AMJ26</t>
  </si>
  <si>
    <t>HE ROSEMARY SH 240ML</t>
  </si>
  <si>
    <t>HE SH 240MLX6 ROSEMARY IN GST</t>
  </si>
  <si>
    <t>Ariel Liq 900g Pch FL A</t>
  </si>
  <si>
    <t>ARIEL LIQ 900GX12 MAT FL POUCH SOUTH PC</t>
  </si>
  <si>
    <t>H&amp;S SHM 1000ML X8 S&amp;S IN AMJ26</t>
  </si>
  <si>
    <t>Ariel Liq 900g Pch TL A</t>
  </si>
  <si>
    <t>ARIEL LIQ 900GX12 MAT TL POUCH SOUTH PC</t>
  </si>
  <si>
    <t>H&amp;S SHM 650ML X12 CM IN AMJ26</t>
  </si>
  <si>
    <t>ARIEL PWD 500GX48 COMP JFM26 AS PRC PC</t>
  </si>
  <si>
    <t>Ariel Liq 2kg+500g Btl TL</t>
  </si>
  <si>
    <t>ARIEL LIQ 2.5KGX4 MAT TL BTL PRC PC</t>
  </si>
  <si>
    <t>H&amp;S SHM 1000ML X8 AHF IN AMJ26</t>
  </si>
  <si>
    <t>Ariel Liq 2kg+500g Btl FL</t>
  </si>
  <si>
    <t>ARIEL LIQ 2.5KGX4 MAT FL BTL PRC PC</t>
  </si>
  <si>
    <t>Ariel Complete 1kg</t>
  </si>
  <si>
    <t>ARIEL PWD 1KGX24 COMP JFM26 AS PRC PC</t>
  </si>
  <si>
    <t>PNTN SHM 1000ML X 8 HFC IN AMJ26</t>
  </si>
  <si>
    <t>H&amp;S Neem 72ml</t>
  </si>
  <si>
    <t>H&amp;S SHMPOO 72 MLX48 NEEM IN AMJ26</t>
  </si>
  <si>
    <t>H&amp;S Neem 340ml</t>
  </si>
  <si>
    <t>H&amp;S SHM 340ML X 30 NEEM IN AMJ26</t>
  </si>
  <si>
    <t>WHP CHOICE T3 36X20 (240) ZORDAAR</t>
  </si>
  <si>
    <t>ARIEL LAU PWD 4KGX6 COMP JFM26 AS PRC PC</t>
  </si>
  <si>
    <t>Oral Care Spl</t>
  </si>
  <si>
    <t>Oral Care Floss</t>
  </si>
  <si>
    <t>OB ESS FLOSS WXD 50 M MNT BCD_</t>
  </si>
  <si>
    <t>TIDE LIQ 60GX144 MAT AL 6U SACH PC__</t>
  </si>
  <si>
    <t>OB GUM PRTCT 40 XSFT BCD 28 INR 1X6X20</t>
  </si>
  <si>
    <t>OK005 OB KIDS 2 4YR SFT BCD 110INR 3X6X8</t>
  </si>
  <si>
    <t>ARIEL LIQ 950GX12 MAT TL PCR BTL PC</t>
  </si>
  <si>
    <t>ARIEL LIQ 950GX12 MAT FL PCR BTL PC</t>
  </si>
  <si>
    <t>OM305 OB CA CRCL 35S 2CT INR240</t>
  </si>
  <si>
    <t>OB CLOVE GENTLECARE 96INR BCD 3X6X8</t>
  </si>
  <si>
    <t>OK005 OB KIDS 2 4YR SFT BCD 48INR 1X6X20</t>
  </si>
  <si>
    <t>FUSION PG FXBL R+4C 1X6 INR 1349</t>
  </si>
  <si>
    <t>Ariel Liq 300g Pch TL</t>
  </si>
  <si>
    <t>ARIEL LIQ 300GX24 MAT TL PCH PC</t>
  </si>
  <si>
    <t>WHSPR LCC+ S05 XL+ 50X3 (2247) ECOM</t>
  </si>
  <si>
    <t>VICKS INHL 0.5MLX5X32 KC DANGLER INR69</t>
  </si>
  <si>
    <t>OB POC CA 4s</t>
  </si>
  <si>
    <t>EB50RX 4 CT CROSSACTION ENG FFS IN__</t>
  </si>
  <si>
    <t>ARIEL PWD 500GX48 PIL J PW PC</t>
  </si>
  <si>
    <t>OB POC IO 2s White</t>
  </si>
  <si>
    <t>IO RB CWF-2 UK BOX BRUSH SET</t>
  </si>
  <si>
    <t>Ariel PW Blue 1kg H</t>
  </si>
  <si>
    <t>ARIEL PWD 1KGX24 PIL H PW PC</t>
  </si>
  <si>
    <t>PNTN COND 200MLX 24 HS SS IN PC26</t>
  </si>
  <si>
    <t>PNTN COND 200MLX 24 HS HF IN PC26</t>
  </si>
  <si>
    <t>Wilki 5s Guard Promo</t>
  </si>
  <si>
    <t>WILKI + GUARD 1X60 INR 188</t>
  </si>
  <si>
    <t>ARIEL PWD (8KG+500G LQ)X1 MAT FL AF PC</t>
  </si>
  <si>
    <t>PNTN SHM180MLX56AHS SS 2IN1 IN CC CH</t>
  </si>
  <si>
    <t>OS ORIGINAL SHV CRM 70G 75INR 1X12X8</t>
  </si>
  <si>
    <t>OB PH GC Clove S 6+1</t>
  </si>
  <si>
    <t>OB PH CLOVE GC 40S 75INR 1X7X20 OM197</t>
  </si>
  <si>
    <t>OB PH Neem M 6+1Free</t>
  </si>
  <si>
    <t>OB OM151 CRSCRS NEEM 40M 65INR (6+1)X20</t>
  </si>
  <si>
    <t>OLAY RGUV WHIP CRM 50MLX6 IN RS1999 FF</t>
  </si>
  <si>
    <t>Guard R+3 Promo pack</t>
  </si>
  <si>
    <t>GUARD RAZ+3 CARTS INR44 1CSX144IT</t>
  </si>
  <si>
    <t>Gillette Satin Care</t>
  </si>
  <si>
    <t>SC Series Foam &amp; Gel</t>
  </si>
  <si>
    <t>Satin Care Gel 200ml</t>
  </si>
  <si>
    <t>SCARE GEL SHVP 195G SENST 299INR 1X6</t>
  </si>
  <si>
    <t>OB GUM PRTCT 40 XSFT BCD 32 INR 1X6X20_82266029</t>
  </si>
  <si>
    <t>WIL WMNPR CRT5 135INR 1CSX600IT 5X50X12</t>
  </si>
  <si>
    <t>H&amp;S SBD Pre-Pack</t>
  </si>
  <si>
    <t>H&amp;SCLEAN5X32+COOL5X16+SMOOTH5X16X15MKC</t>
  </si>
  <si>
    <t>OB Complete Clean</t>
  </si>
  <si>
    <t>OB CompCln 12+3FCChr</t>
  </si>
  <si>
    <t>OB CMPLTCLNX12+FC CHRCLX3 35M15INR HPX24</t>
  </si>
  <si>
    <t>AB Pants SM Jumbo PM</t>
  </si>
  <si>
    <t>PAMPERS PANTS SM56SX4 JP HL2 PC IN</t>
  </si>
  <si>
    <t>OLAY COLLAGEN 30MLX6 IN JOLIE STK</t>
  </si>
  <si>
    <t>G PRO ICY COOL SPLASH 50ML 1X12 INR 299</t>
  </si>
  <si>
    <t>MACH3 PPH RAZ1UP 1X6X6 250 INR DSTNY</t>
  </si>
  <si>
    <t>PNTN SHM 180 ML X56 AHS TD IN CC CH RS</t>
  </si>
  <si>
    <t>H&amp;S SHM 650ML X 12 NEEM PC2 IN MK</t>
  </si>
  <si>
    <t>PAMPERS DPR LG5SX36 LCP SF2 PC IN.\,</t>
  </si>
  <si>
    <t>FUSPG CRT 8CT 557 1CSX40IT 1899 INR</t>
  </si>
  <si>
    <t>OLAY FACECRM 50GX6 VITC_IN_EUR STK</t>
  </si>
  <si>
    <t>OLAY FACE LOT 150MLX3X4 PNK NOR IN RS649</t>
  </si>
  <si>
    <t>OB PH CRCRS UT SEN 40XS 90INR BCD 1X6X16</t>
  </si>
  <si>
    <t>PNTN SHM 180ML X 56 AHS TD IN RS PC1</t>
  </si>
  <si>
    <t>GRD3 RZR+2CT 1CSX144IT 120 INR LC</t>
  </si>
  <si>
    <t>FUSION POWER 8CT 557 1CSX40IT 2099 INR</t>
  </si>
  <si>
    <t>WHISPER ULT NGT XL+40X18 (549) AUR 3.0</t>
  </si>
  <si>
    <t>H&amp;S SHM 180ML X 56 AHF PC1 2IN1 IN MK</t>
  </si>
  <si>
    <t>OLD SPICE NOMAD 17MLX36X4 IN_INR 75_</t>
  </si>
  <si>
    <t>PNTN SHM 650MLX12AHS HF2IN1 IN PC2 RS</t>
  </si>
  <si>
    <t>Pntn TDC 380ml</t>
  </si>
  <si>
    <t>PNTN SHM 340ML X 30 AHS TD IN PC4 RS</t>
  </si>
  <si>
    <t>Ariel Mat FL 8 Kg PM</t>
  </si>
  <si>
    <t>ARIEL PWD (5kg+3kg)X1 MAT FL jul Ecm PC</t>
  </si>
  <si>
    <t>HE CN 240MLX6 ARGAN PC1 SIZING IN</t>
  </si>
  <si>
    <t>H&amp;S SHM 650ML X 12 SS 2IN1 PC5 IN MK</t>
  </si>
  <si>
    <t>VENUS SWIRL CRT2 499INR 2X10X4</t>
  </si>
  <si>
    <t>OLD SPICE AMBER 140MLX12X4 IN 299</t>
  </si>
  <si>
    <t>TGS GEL SHVP 60G MST 1CSX144IT 99INR</t>
  </si>
  <si>
    <t>OS ASL SPLASH MUSK 150MLX24 S3_RS299</t>
  </si>
  <si>
    <t>H&amp;S SHM 340ML X30 AHF 2IN1 PC3 IN MK</t>
  </si>
  <si>
    <t>EB60 2 ct SensitiveClean ENG FFS IN</t>
  </si>
  <si>
    <t>PRO ICY COOL 195G</t>
  </si>
  <si>
    <t>SHVP PRO ICY COOL 195G 1X6 INR425</t>
  </si>
  <si>
    <t>Wilki 10+1 Tuck Card</t>
  </si>
  <si>
    <t>DE WIL STNLS 10 10X20X40 30INR</t>
  </si>
  <si>
    <t>OB 123 Natural 3in1</t>
  </si>
  <si>
    <t>OB 3in1Natural Rs40</t>
  </si>
  <si>
    <t>OB SW NEEM+SW CLVE+RH CHRCL INR40(3+3+3)</t>
  </si>
  <si>
    <t>PRESTO3 5+1 1X10X10 199INR</t>
  </si>
  <si>
    <t>OS Pocket Lionpride Streamer NSR</t>
  </si>
  <si>
    <t>OS LIONPRIDE 17MLX36X4 B3G1 IN_INR 75</t>
  </si>
  <si>
    <t>Home Gel Relax</t>
  </si>
  <si>
    <t>AMBI GELFR 180GX12 RELAX.U LEGO AS IN</t>
  </si>
  <si>
    <t>Winner</t>
  </si>
  <si>
    <t>Winner DE Blades</t>
  </si>
  <si>
    <t>Winner-50s promo</t>
  </si>
  <si>
    <t>DE WINNER 50 SALOON 50X40X4 150INR</t>
  </si>
  <si>
    <t>Olay NA IGF 40gm</t>
  </si>
  <si>
    <t>OLAY NA IGF 40GX24 IN_RS199</t>
  </si>
  <si>
    <t>MACH3 TRB CART4 1X6X8 725INR 557.1</t>
  </si>
  <si>
    <t>whspr Ultra XL 8s</t>
  </si>
  <si>
    <t>WHISPER ULTCLEAN XL WGS 8X60(90) Q4.3 1K</t>
  </si>
  <si>
    <t>OS Deo Timber MR</t>
  </si>
  <si>
    <t>OLD SPICE TIMBER 140MLX12X4 IN MR</t>
  </si>
  <si>
    <t>SPLASH REFRESH BREEZ 100ML 1CSX12 499INR</t>
  </si>
  <si>
    <t>Whisper Maxi Nights XL + WG 15X30(210)</t>
  </si>
  <si>
    <t>WHISPULT SOFTS XL+ 30X18(375) SkinLove</t>
  </si>
  <si>
    <t>Tide Plus JR 1100g C</t>
  </si>
  <si>
    <t>TIDE LAU 1100GX24 JR west SJ PC___</t>
  </si>
  <si>
    <t>Wilkinson Saloon-50s</t>
  </si>
  <si>
    <t>DE WIL STNLS 50 SALOON 50X40X4 150INR</t>
  </si>
  <si>
    <t>WHISP ULTRA SOFT XL 44X12(525) SkinLove</t>
  </si>
  <si>
    <t>OLAY RETINOL CRM 50GX6 IN BR STK</t>
  </si>
  <si>
    <t>VICKS MEDICATED LOZENGES 2S MR PACK</t>
  </si>
  <si>
    <t>VICKS MEDICATED ORANGE LOZ 8SX2X96 RS64</t>
  </si>
  <si>
    <t>AmbPr CarRef Citrus</t>
  </si>
  <si>
    <t>AMBI CAR3 LEGO SC&amp;Z RF7.5MLX12</t>
  </si>
  <si>
    <t>PAMPERS PANTS HL4.1 MD42SX6 JP IN</t>
  </si>
  <si>
    <t>PAMPERS PANTS DL2 SM62SX6 JP DM IN</t>
  </si>
  <si>
    <t>PAMPERS PANTS HL4 SM52SX6 JP IN</t>
  </si>
  <si>
    <t>TIDE PWD (6KG + 2KG)X3 LM A TS PC</t>
  </si>
  <si>
    <t>ARIEL LIQ 1LX12 MAT TL PCH PRCP2 A PC</t>
  </si>
  <si>
    <t>TIDE PWD 3KGX8 LM CAN FREE A TS PC</t>
  </si>
  <si>
    <t>OLAY RG MCS UV MST 50GX6_IN_RS1799 BR</t>
  </si>
  <si>
    <t>WHISP ULT SOFT XL 45X18 (450) SKINLOVE</t>
  </si>
  <si>
    <t>GUARD3 R+2C 1X144 INR120 MDP</t>
  </si>
  <si>
    <t>OB POC KIDS STARWARS</t>
  </si>
  <si>
    <t>D100.413.2K IND STARWARS HBOX PTHBR 1X6</t>
  </si>
  <si>
    <t>SV3 POUCH 5s 1CSX40IT 350INR</t>
  </si>
  <si>
    <t>MACH3 SENS CART 2 1CSX72IT 425INR 557.1</t>
  </si>
  <si>
    <t>PNTN SHM 1000MLX8 HS HFC 2IN1 IN AT PC24</t>
  </si>
  <si>
    <t>WHSPR ULNGT XXL+ 30X27 S7AB (620)QUEEN 5</t>
  </si>
  <si>
    <t>HE CN 400MLX6 AGNOIL PC3 IN</t>
  </si>
  <si>
    <t>Ariel PODS 4in1 18ct</t>
  </si>
  <si>
    <t>ARIEL IND LAU PODS 18CTX10 4IN1 TUBS PC___</t>
  </si>
  <si>
    <t>GUARD3 6CT 1X16X8 INR200</t>
  </si>
  <si>
    <t>Tide Pro Clean 7KG</t>
  </si>
  <si>
    <t>TIDE PWD 7KGX3 PRO CLEAN JR PC</t>
  </si>
  <si>
    <t>H&amp;S CM 400ml PROMO</t>
  </si>
  <si>
    <t>H&amp;S CM X340 + SS 2in1 X70 X18 IN N</t>
  </si>
  <si>
    <t>EB20RB 2 IND FFS Brush Set</t>
  </si>
  <si>
    <t>ARIEL LIQ 3.2LX4 MAT FL PCH2 PC__</t>
  </si>
  <si>
    <t>AMBI GELFR 180GX12 RELAX.U IN Dec 24</t>
  </si>
  <si>
    <t>OBOM210 CRCR Deepcln GC S 190INR 4X6X6</t>
  </si>
  <si>
    <t>H&amp;S SHM 1000ML X8 S&amp;S 2IN1 IN Dec23</t>
  </si>
  <si>
    <t>WHISPER MR DAY+NIGHT PACK</t>
  </si>
  <si>
    <t>VICKS VAPORUB CL 105MLX9X8 JAR RS340</t>
  </si>
  <si>
    <t>OS ASL MUSK 100MLX96 PB_RS265</t>
  </si>
  <si>
    <t>ARIEL PWD 500GX48 MAT FL Oct23 AF PC_</t>
  </si>
  <si>
    <t>VICKS VPORB 50MLX(14+1)X12 JAR INR199</t>
  </si>
  <si>
    <t>WHP CHOICE ULT EJ 40X16 (320) JWALA</t>
  </si>
  <si>
    <t>VENUS SMTH CRVS H+C 1X18 657.1 INR 549</t>
  </si>
  <si>
    <t>H&amp;S SHM 650ML X 12 CM 2IN1 IN PC JFM25</t>
  </si>
  <si>
    <t>VENUS SMTH SENS CT2 1X24IT 657.1 INR375</t>
  </si>
  <si>
    <t>whspr Ult ON XXL 40s</t>
  </si>
  <si>
    <t>WHSPR ULT BIN NGT XXL 40X18 (625)Queen 5</t>
  </si>
  <si>
    <t>Venus Breeze Cart 2s</t>
  </si>
  <si>
    <t>VENUS CG3 CART 2S 1X10X4 INR 475</t>
  </si>
  <si>
    <t>Collagen Cream 50g</t>
  </si>
  <si>
    <t>OLAY COLLAGEN 50GX6 IN BR STK</t>
  </si>
  <si>
    <t>Venus Breeze Cart 4s</t>
  </si>
  <si>
    <t>VENUS CG3 CART 4S 1X6X3 INR 855</t>
  </si>
  <si>
    <t>OLAY FACE LOT 150MLX3X4 PNK NOR IN RS649_</t>
  </si>
  <si>
    <t>PAMPERS PANTS HL4.1 SM82SX4 New MR MP IN</t>
  </si>
  <si>
    <t>PAMPERS PANTS HL4.1 XS86SX4 SJ IN</t>
  </si>
  <si>
    <t>WHSPR ULT LCC+ XL+ WGS 50X20 (699) PU</t>
  </si>
  <si>
    <t>PAMPERS PANTS DL2 LG42SX6 JP DM IN</t>
  </si>
  <si>
    <t>ARIEL PWD (4+2)KG X2 MAT TL JFM AM PC</t>
  </si>
  <si>
    <t>WHSPR MAXI NIGHTS XL+ WGS 7X60 (120)</t>
  </si>
  <si>
    <t>PRESTO3 5+1 1X10X10 INR240</t>
  </si>
  <si>
    <t>Ariel Liquid 900ML TL LV</t>
  </si>
  <si>
    <t>ARIEL LIQ 0.9LX12 LAV TL BTL PC</t>
  </si>
  <si>
    <t>H&amp;S SHAMPOO 180ML X 56 LF IN PCR</t>
  </si>
  <si>
    <t>OB POC iO3</t>
  </si>
  <si>
    <t>iOG3.1A6.0 IN IB Box PTHBR</t>
  </si>
  <si>
    <t>H&amp;S SHM 650ML X12 AP 2IN1 IN PCR</t>
  </si>
  <si>
    <t>AmbPr Air LB</t>
  </si>
  <si>
    <t>AMBI LEGO AIR SPRAY 275mlX6 LB</t>
  </si>
  <si>
    <t>H&amp;S BG 700ML</t>
  </si>
  <si>
    <t>H&amp;S SHM 650ML X12 DEEP CLEANSE IN PCR</t>
  </si>
  <si>
    <t>PNTN SHM 180ML X 56 HS HS IN JUN25 (214)</t>
  </si>
  <si>
    <t>H&amp;S SHM 650ML X12 CM IN JAS25 (1125)</t>
  </si>
  <si>
    <t>OLAY RG MCS SRM 50MLX6_IN_RS1799 CFR</t>
  </si>
  <si>
    <t>PAMPERS DPR HL5 MD4SX72 LCP DM IN</t>
  </si>
  <si>
    <t>WHISPER PERIOD PANTS M/L 6CTX18 CI</t>
  </si>
  <si>
    <t>BLUE Pants Jumbo New XXL</t>
  </si>
  <si>
    <t>PAMPERS PANTS HL4.1 XXL26SX6 JPCO IN</t>
  </si>
  <si>
    <t>Fusion Pow Razor 557 1UP 1X36 549INR</t>
  </si>
  <si>
    <t>ST Rzr</t>
  </si>
  <si>
    <t>DE 7OCLK STRLG RAZ1UP 1X12X12 INR125</t>
  </si>
  <si>
    <t>PNTN SHM 340ML X 30 HS HS IN PR</t>
  </si>
  <si>
    <t>PAMPERS DPR MULMUL2.1 LG44SX4 JP IN</t>
  </si>
  <si>
    <t>whspr Maxi Rg 8s</t>
  </si>
  <si>
    <t>WHSPR T2 MAXI FIT REG NWGS 8X75 (135)</t>
  </si>
  <si>
    <t>Fusion Razor 557.1 1UP 1X6X6IT 425 INR</t>
  </si>
  <si>
    <t>H&amp;S SHM 180MLX56 AHF 2IN1 IN AMJ25(265)</t>
  </si>
  <si>
    <t>PNTN SHM 1000 ML X8 HS SS IN PC OND24</t>
  </si>
  <si>
    <t>PNTN SHM 180MLX56 HS HFC 2IN1 IN AT PC24</t>
  </si>
  <si>
    <t>MACH3 LGHT RAZ1UP 1x6x6 INR225</t>
  </si>
  <si>
    <t>GUARD R+8CT 1X12X10 126 INR</t>
  </si>
  <si>
    <t>PAMPERS DPR M5 LG100SX1 BOX IN</t>
  </si>
  <si>
    <t>PAMPERS PANTS HL5 XXL84SX4 ECB IN</t>
  </si>
  <si>
    <t>Whspr ON Koala Pants M-L 18s</t>
  </si>
  <si>
    <t>WHISPER PERIOD PANTS M/L 18CTX8</t>
  </si>
  <si>
    <t>H&amp;S SHM 180ML X 56 7IN1 IN GST</t>
  </si>
  <si>
    <t>GUARD CREAM 125G 1X72 INR70</t>
  </si>
  <si>
    <t>H&amp;S SHM 1000ML X8 7IN1 IN GST</t>
  </si>
  <si>
    <t>H&amp;S SHM 1000ML X8 AHF IN GST</t>
  </si>
  <si>
    <t>Inhaler Keychain</t>
  </si>
  <si>
    <t>VICKS INHALER 0.5MLX12X60 KEYCHAIN RS64</t>
  </si>
  <si>
    <t>OB SHINY M 11+2 SENS</t>
  </si>
  <si>
    <t>OB WS SHYCL RT X11 M+EC X2 S 20/35 INR</t>
  </si>
  <si>
    <t>Turbo Mach-3 Rzr</t>
  </si>
  <si>
    <t>Turbo Mach-3 Rzr Flexi</t>
  </si>
  <si>
    <t>MACH3 TRB FLEXI RAZ1UP F1 1X6X6 399 INR</t>
  </si>
  <si>
    <t>VENUS SENS RES DISPO 3CT 1X36 INR449</t>
  </si>
  <si>
    <t>TIDE LAU LIQ 3.2LX4 MAT NSS TL POUCH PC</t>
  </si>
  <si>
    <t>TIDE PWD 3KGX8 NATURALS TV PC</t>
  </si>
  <si>
    <t>VICKS INHL 0.5MLX26X25 KC JUMBO RS64</t>
  </si>
  <si>
    <t>PAMPERS PANTS MULMUL SM4SX72 LCP DC IN</t>
  </si>
  <si>
    <t>CREAM LIME 70G</t>
  </si>
  <si>
    <t>OS LIME SHV CRM 70G 1X96 INR80</t>
  </si>
  <si>
    <t>PAMPERS PANTS MULMUL MD4SX72 LCP DC IN</t>
  </si>
  <si>
    <t>OS ASL ORIGINAL 100MLX96 PB_RS265</t>
  </si>
  <si>
    <t>PAMPERS DPR MML2.1 XS30SX18 ECON DC IN</t>
  </si>
  <si>
    <t>PAMPERS DPR MML2.1 SM26SX18 ECON DC IN</t>
  </si>
  <si>
    <t>H&amp;S SHM 340ML X30 AHF 2IN1 IN DS</t>
  </si>
  <si>
    <t>H&amp;S SHM 650ML X12 AP 2IN1 IN PC JFM25</t>
  </si>
  <si>
    <t>PAMPERS DPR MML2.1 MD20SX18 ECON DC IN</t>
  </si>
  <si>
    <t>OLAY FCE SRM 30MLX6 RG RETMAX IN CTMZ2</t>
  </si>
  <si>
    <t>H&amp;S SB 400ml</t>
  </si>
  <si>
    <t>H&amp;S SHM 340ML X 30 SB IN GST</t>
  </si>
  <si>
    <t>PAMPERS DPR MML2.1 LG16SX18 ECON DC IN</t>
  </si>
  <si>
    <t>PAMPERS DPR MML2.1 XL14SX18 ECON DC IN</t>
  </si>
  <si>
    <t>PAMPERS PANTS MULMUL2.1 XS70SX4 JP DC IN</t>
  </si>
  <si>
    <t>WHSPR ULT BIN NGT XXL 30X18 (450)Queen 5</t>
  </si>
  <si>
    <t>H&amp;S SHM 650ML X12 SB IN GST</t>
  </si>
  <si>
    <t>PAMPERS PANTS MULMUL2.1 SM70SX4 JP DC IN</t>
  </si>
  <si>
    <t>WHP CHOICE ULT EJ 20X4 ECOM JWALA</t>
  </si>
  <si>
    <t>CAP2 2 MULTI GBLS BRUSH SET 1X2X6 INR299</t>
  </si>
  <si>
    <t>EB60 2 IND FFS Brush Set</t>
  </si>
  <si>
    <t>Ariel Mat 8kg+0.5L FL</t>
  </si>
  <si>
    <t>ARIEL PWD (8KG+500ML)X1 MAT FL AF PC</t>
  </si>
  <si>
    <t>H&amp;S SHM 300ML X30 CM IN DM GST</t>
  </si>
  <si>
    <t>PAMPERS DPR MULMUL2.1 MD54SX4 JP DC IN</t>
  </si>
  <si>
    <t>Ariel Liq 500ml TL</t>
  </si>
  <si>
    <t>ARIEL LIQ 500MLX12MAT TL BTL TRISHUL PC</t>
  </si>
  <si>
    <t>H&amp;S SHM 72 ML X 48 7IN1 IN</t>
  </si>
  <si>
    <t>PAMPERS DPR MULMUL2.1 LG44SX4 JP DC IN</t>
  </si>
  <si>
    <t>H&amp;S SHM 180ML X 56 AP 2IN1 IN PCR</t>
  </si>
  <si>
    <t>H&amp;S SS 400ml</t>
  </si>
  <si>
    <t>H&amp;S SHM 340ML X 30 S&amp;S IN GST</t>
  </si>
  <si>
    <t>PNTN SHM 650MLX12 DR IN JUN25 (1020)</t>
  </si>
  <si>
    <t>PAMPERS DPR MULMUL2.1 XL36SX4 JP DC IN</t>
  </si>
  <si>
    <t>PNTN SHM 75 ML X 48 HS DR IN JUN25 (86)</t>
  </si>
  <si>
    <t>H&amp;S SHM 1000ML X8 CM IN JAS25 (1590)</t>
  </si>
  <si>
    <t>PAMPERS PANTS HL5 XL30SX6 JP IN</t>
  </si>
  <si>
    <t>H&amp;S SS 200ml</t>
  </si>
  <si>
    <t>H&amp;S SHM 180ML X 56 S&amp;S IN GST</t>
  </si>
  <si>
    <t>PAMPERS PANTS HL5 SM78SX4 SSP mos IN</t>
  </si>
  <si>
    <t>H&amp;S AHF 400ml</t>
  </si>
  <si>
    <t>H&amp;S SHM 340ML X30 AHF IN GST</t>
  </si>
  <si>
    <t>PAMPERS PANTS HL5 MD12SX24 ECON IN</t>
  </si>
  <si>
    <t>PAMPERS PANTS MML2.1 XXL30SX4 JP DC IN</t>
  </si>
  <si>
    <t>VENUS SKINLV SENS 1CT 1X12X6 INR 175</t>
  </si>
  <si>
    <t>H&amp;S SHM 1000MLX8 CM 2IN1 IN GST</t>
  </si>
  <si>
    <t>PAMPERS PANTS MML2.1 SM140SX1 BOX DC IN</t>
  </si>
  <si>
    <t>H&amp;S SHM 340ML X30 7IN1 IN GST</t>
  </si>
  <si>
    <t>OLAY TE 7INONE BB CRM 50GX6_IN_RS999 PU</t>
  </si>
  <si>
    <t>PC Pants MD Box Pk_New</t>
  </si>
  <si>
    <t>PAMPERS DP MML2.1 MD104SX4 ECB MOS DC IN</t>
  </si>
  <si>
    <t>H&amp;S SHM 650ML X12 7IN1 IN JAS25(1299)</t>
  </si>
  <si>
    <t>ARIEL LIQ 2LX6 MAT FL POUCH JUN25 PC</t>
  </si>
  <si>
    <t>H&amp;S SHM 650ML X12 AHF IN GST</t>
  </si>
  <si>
    <t>PAMPERS DPR MML2.1 LG88SX4 ECB MOS DC IN</t>
  </si>
  <si>
    <t>H&amp;S SHM 300ML X 30 S&amp;S IN DM GST</t>
  </si>
  <si>
    <t>PAMPERS PANTS MML2.1 MD216SX1 SUMO DC IN</t>
  </si>
  <si>
    <t>PAMPERS PANTS MML2.1 LG176SX1 SUMO DC IN</t>
  </si>
  <si>
    <t>Ariel Liq 500ml Pch TL</t>
  </si>
  <si>
    <t>ARIEL LAU LIQ 500MLX24 MAT TL PCH PC</t>
  </si>
  <si>
    <t>H&amp;S SHM 72 ML X 48 7IN1 IN GST</t>
  </si>
  <si>
    <t>Vector 6s</t>
  </si>
  <si>
    <t>VEC+ CRT6 PSHBT 1X50X12 INR 267</t>
  </si>
  <si>
    <t>TIDE PWD 10KGX2 LV NL PC__</t>
  </si>
  <si>
    <t>ARIEL LIQ 3.2LX4 MAT FL PCH JUN25 PC</t>
  </si>
  <si>
    <t>Mach3 Stand Promo Pack</t>
  </si>
  <si>
    <t>Mach3 PPH+ Stand 1X12 INR 450</t>
  </si>
  <si>
    <t>H&amp;S CN 80MLX48 AHF MVK IN JFM25</t>
  </si>
  <si>
    <t>ARIEL LIQ 6.4X1 MAT FL PCH ECM JUL25 PC</t>
  </si>
  <si>
    <t>Ariel Liq 6.4L Pch TL</t>
  </si>
  <si>
    <t>ARIEL LIQ 6.4X1 MAT TL PCH ECM JUL25 PC</t>
  </si>
  <si>
    <t>Ariel Liq 3kg Pch FL</t>
  </si>
  <si>
    <t>ARIEL LIQ 3KGX4 MAT FL PCH T 2.0 PC</t>
  </si>
  <si>
    <t>Pampers Pants-LCPs (1s-2s-4s)</t>
  </si>
  <si>
    <t>AB Pants MD 2s</t>
  </si>
  <si>
    <t>PAMPERS DPR MD2SX96 LCP DENIM8 IN_82279371</t>
  </si>
  <si>
    <t>Ariel Liq 3.2kg Pch TL</t>
  </si>
  <si>
    <t>ARIEL LIQ 3.2KGX4 MAT TL PCH T 2.0 PC</t>
  </si>
  <si>
    <t>ARIEL LIQ 1KGX12 MAT TL BTL T 2.0 PC</t>
  </si>
  <si>
    <t>ARIEL LIQ 5KGX2 MAT TL PCH T 2.0 PC</t>
  </si>
  <si>
    <t>Ariel Liq 2kg+500g TL</t>
  </si>
  <si>
    <t>ARIEL LIQ 2.5KGX4 MAT TL BTL T 2.0 PC</t>
  </si>
  <si>
    <t>OS Deo LionPride HTH</t>
  </si>
  <si>
    <t>OLD SPICE LIONPR 140MLX12X4 IN 249 HTH</t>
  </si>
  <si>
    <t>Ariel Liq 3kg Pch TL</t>
  </si>
  <si>
    <t>ARIEL LIQ 3KGX4 MAT TL PCH T 2.0 PC</t>
  </si>
  <si>
    <t>ARIEL LIQ 500GX12MAT FL BTL T 2.0 PC</t>
  </si>
  <si>
    <t>ARIEL PWD 5KGX5 OCT25 PW PC</t>
  </si>
  <si>
    <t>Ariel Liq 2kg+500g FL</t>
  </si>
  <si>
    <t>ARIEL LIQ 2.5KGX4 MAT FL BTL T 2.0 PC</t>
  </si>
  <si>
    <t>Ariel Liq 6kg Pch TL New</t>
  </si>
  <si>
    <t>ARIEL LIQ 6KGX2 MAT TL PCH T 2.0 PC</t>
  </si>
  <si>
    <t>ARIEL LIQ 500GX12MAT TL BTL T 2.0 PC</t>
  </si>
  <si>
    <t>Ariel Liq 3.6kg Pch TL LV</t>
  </si>
  <si>
    <t>ARIEL LIQ 3.6KGX3 LAV TL PCH T 2.0 PC</t>
  </si>
  <si>
    <t>Ariel Liq 6kg Pch FL New</t>
  </si>
  <si>
    <t>ARIEL LIQ 6KGX2 MAT FL PCH T 2.0 PC</t>
  </si>
  <si>
    <t>GUARD 3 R+8CRT 1CSX30IT INR350 ECOM PU</t>
  </si>
  <si>
    <t>Ariel Liq 3.6kg Pch FL LV</t>
  </si>
  <si>
    <t>ARIEL LIQ 3.6KGX3 LAV FL PCH T 2.0 PC</t>
  </si>
  <si>
    <t>ARIEL LIQ 2KGX6 MAT TL PCH T 2.0 PC</t>
  </si>
  <si>
    <t>TE Day 50+Mini RG MS</t>
  </si>
  <si>
    <t>OLAY TE DAY CRM UV50G+RG MINI10G</t>
  </si>
  <si>
    <t>WHISPER ULTRA NIGHTS XL+40X18 (470)</t>
  </si>
  <si>
    <t>Ariel Liq 3.2kg Pch FL</t>
  </si>
  <si>
    <t>ARIEL LIQ 3.2KGX4 MAT FL PCH T 2.0 PC</t>
  </si>
  <si>
    <t>ARIEL LIQ 4KGX4 MAT FL PCH T 2.0 PC</t>
  </si>
  <si>
    <t>whspr Choice Night RTM</t>
  </si>
  <si>
    <t>Whisper Ch. Ultra +Choice XL+ RTM Pack</t>
  </si>
  <si>
    <t>Pntn Bamboo 675ml</t>
  </si>
  <si>
    <t>PNTN SHM 650 ML X 12 AHS BAMBOO IN</t>
  </si>
  <si>
    <t>Ariel Liq 5kg Pch FL</t>
  </si>
  <si>
    <t>ARIEL LIQ 5KGX2 MAT FL PCH T 2.0 PC</t>
  </si>
  <si>
    <t>Ariel Liq 4kg Pch TL PM</t>
  </si>
  <si>
    <t>ARIEL LIQ 4KGX4 MAT TL PCH T 2.0 PC</t>
  </si>
  <si>
    <t>G PRO ICY COOL SPLASH 100ML 1X12 INR 499</t>
  </si>
  <si>
    <t>OLAY COLLAGEN 50GX6 IN JOLIE STK</t>
  </si>
  <si>
    <t>H&amp;S SHM650ML X 12 AHF2IN1 PC IN MK</t>
  </si>
  <si>
    <t>ARIEL LIQ 2KGX6 MAT FL POUCH T 2.0 PC</t>
  </si>
  <si>
    <t>WHISPER ULTRA NIGHTS XL+44X18 (570) PU</t>
  </si>
  <si>
    <t>Ariel Liq 1kg FL</t>
  </si>
  <si>
    <t>ARIEL LIQ 1KGX12 MAT FL BTL T 2.0 PC</t>
  </si>
  <si>
    <t>Ariel Liq 1kg Pch TL A</t>
  </si>
  <si>
    <t>ARIEL LIQ 1KGX12 MAT TL POUCH T 2.0 PC</t>
  </si>
  <si>
    <t>H&amp;S BG 400ML PROMO</t>
  </si>
  <si>
    <t>H&amp;S (BG 340ML +7IN1 72ML FREE)X18 IN GST</t>
  </si>
  <si>
    <t>FUSION POWER 4CT 557 1CSX40IT 1149 INR</t>
  </si>
  <si>
    <t>ARIEL PWD(6KG+CN+500G)X2MAT TL PCR AM PC</t>
  </si>
  <si>
    <t>ARIEL PWD(6KG+CN+500G)X2MAT FL PCR AF PC</t>
  </si>
  <si>
    <t>Ariel Liq Rs.10 FL 12U A</t>
  </si>
  <si>
    <t>ARIEL LIQ 60GX144 MAT FL SCH 12U IN PC</t>
  </si>
  <si>
    <t>ARIEL LIQ 60GX144 MAT TL SCH 12U IN PC</t>
  </si>
  <si>
    <t>TE DAY50+NGT PRICE UP</t>
  </si>
  <si>
    <t>H&amp;S SHM 650MLX12 S&amp;S 2IN1 IN AMJ26</t>
  </si>
  <si>
    <t>H&amp;S SHM 340ML X30 7IN1 IN AMJ26</t>
  </si>
  <si>
    <t>H&amp;S SHM 180ML X 56 S&amp;S IN AMJ26</t>
  </si>
  <si>
    <t>H&amp;S SHM 650ML X12 SB IN AMJ26</t>
  </si>
  <si>
    <t>Active Baby XL Super Jumbo</t>
  </si>
  <si>
    <t>PAMPERS DPR XL56SX4 SJ M5 PC CS IN</t>
  </si>
  <si>
    <t>PNTN SHM 650 ML X 12 AHS LC IN PC2 RS</t>
  </si>
  <si>
    <t>H&amp;S CM 200ML</t>
  </si>
  <si>
    <t>H&amp;S SHM 180ML X 56 CM IN AMJ26</t>
  </si>
  <si>
    <t>H&amp;S SHM 340ML X 30 S&amp;S IN AMJ26</t>
  </si>
  <si>
    <t>PNTN SHM 340ML X 30 HS SS IN AMJ26</t>
  </si>
  <si>
    <t>H&amp;S SHM 340ML X30 AHF IN AMJ26</t>
  </si>
  <si>
    <t>H&amp;S SHM 340ML X30 AHF 2IN1 IN AMJ26</t>
  </si>
  <si>
    <t>H&amp;S SHM 650ML X12 S&amp;S IN AMJ26</t>
  </si>
  <si>
    <t>EB10S 2K IN Spiderman FFS Brushset</t>
  </si>
  <si>
    <t>H&amp;S AHF 200ml</t>
  </si>
  <si>
    <t>H&amp;S SHM 180ML X 56 AHF IN AMJ26</t>
  </si>
  <si>
    <t>H&amp;S BG 200ML</t>
  </si>
  <si>
    <t>H&amp;S SHM 180ML X 56 DEEP CLEANSE IN AMJ26</t>
  </si>
  <si>
    <t>PNTN SHM 400MLX30 HS LC IN AMJ26</t>
  </si>
  <si>
    <t>Pntn HFC 200ml</t>
  </si>
  <si>
    <t>PNTN SHM 180MLX56 HS HFC IN AMJ26</t>
  </si>
  <si>
    <t>H&amp;S SHM 340ML X 30 DEEP CLEANSE IN AMJ26</t>
  </si>
  <si>
    <t>H&amp;S SHM 180MLX56 AHF 2IN1 IN AMJ26</t>
  </si>
  <si>
    <t>H&amp;S SHM 300ML X30 CM IN DM AMJ26</t>
  </si>
  <si>
    <t>H&amp;S SHM 180ML X 56 CM 2IN1 IN AMJ26</t>
  </si>
  <si>
    <t>Pntn HFC 400ml</t>
  </si>
  <si>
    <t>PNTN SHM 340MLX30 HS HFC IN AMJ26</t>
  </si>
  <si>
    <t>PNTN SHM 400ML X 30 AHS LC IN PC4 RS</t>
  </si>
  <si>
    <t>PNTN SHM 200ML X 56 HS LC IN AMJ26</t>
  </si>
  <si>
    <t>H&amp;S SHM 180MLX56 S&amp;S 2IN1 IN AMJ26</t>
  </si>
  <si>
    <t>H&amp;S SB 200ml</t>
  </si>
  <si>
    <t>H&amp;S SHM 180ML X 56 SB IN AMJ26</t>
  </si>
  <si>
    <t>PNTN SHM 180MLX56 HFC 2IN1 IN AMJ26</t>
  </si>
  <si>
    <t>Pntn 2in1 SS 1000ml</t>
  </si>
  <si>
    <t>PNTN SHM 1000MLX8 SS 2IN1 AMJ26</t>
  </si>
  <si>
    <t>H&amp;S SHM 1000MLX8 S&amp;S 2IN1 IN AMJ26</t>
  </si>
  <si>
    <t>H&amp;S SHM 650MLX12 CM 2IN1 IN AMJ26</t>
  </si>
  <si>
    <t>AmbPr CarGel Lavender HTH</t>
  </si>
  <si>
    <t>AMBIP GELFR LAV 75GX24 HTH_IN</t>
  </si>
  <si>
    <t>H&amp;S SHM 340ML X 30 SB IN AMJ26</t>
  </si>
  <si>
    <t>H&amp;S SHM 625ML X12 DC IN DM AMJ26</t>
  </si>
  <si>
    <t>PNTN SHM 650ML X 12 HFC AMJ26</t>
  </si>
  <si>
    <t>PNTN SHM 340MLX30 HS HFC 2IN1 IN AMJ26</t>
  </si>
  <si>
    <t>H&amp;S CM 400ML</t>
  </si>
  <si>
    <t>H&amp;S SHM 340ML X30 CM IN AMJ26</t>
  </si>
  <si>
    <t>Vaporub 10gm RTM</t>
  </si>
  <si>
    <t>VICKS VAPORUB CL 10ML(14+1)*64 RTM RS48</t>
  </si>
  <si>
    <t>VICKS VAPORUB CL 5MLX(14+1)X64 RTM RS25</t>
  </si>
  <si>
    <t>TIDE LIQ 2KGX6 MAT AL PCH PRC PC</t>
  </si>
  <si>
    <t>TIDE LIQ 3.2KGX4 MAT AL PCH PRC PC</t>
  </si>
  <si>
    <t>GRD RES RAZ+3CT 1CSX144IT 61INR</t>
  </si>
  <si>
    <t>OB CDBACF S 6SPACK</t>
  </si>
  <si>
    <t>OB CAV DEF 40S 6CT 6X6X6 INR130</t>
  </si>
  <si>
    <t>PNTN SHM 650MLX12AHS HF2IN1 IN PC3 RS</t>
  </si>
  <si>
    <t>Olay TE Nrm UV 20gm</t>
  </si>
  <si>
    <t>OLAY TE 7INONEDAY CRM UV 20GX6_IN_RS429</t>
  </si>
  <si>
    <t>OS ASL ORIGINAL 100MLX48 S3_RS249</t>
  </si>
  <si>
    <t>OSASL SPLASHFRESH LIME150MLX24 S3_RS299</t>
  </si>
  <si>
    <t>AMBI GELFR 180GX12 SPLASH REV IN</t>
  </si>
  <si>
    <t>PAMPERS PANTS HL4 XXL9SX18 ECON IN</t>
  </si>
  <si>
    <t>SPLASH PRO ICY COOL 50ML 1CSX12 325INR</t>
  </si>
  <si>
    <t>DE WIL STNLS 5 5X20X60 15INR</t>
  </si>
  <si>
    <t>H&amp;S SHM 340ML X 30 AP 2IN1 PC4 IN MK_</t>
  </si>
  <si>
    <t>Fusion Premium LG GP</t>
  </si>
  <si>
    <t>Fus SP Large Ecom 1CSX9IT 1599INR_Rejig</t>
  </si>
  <si>
    <t>PAMPERS PANTS HL4 LG58SX4 New MR MP IN</t>
  </si>
  <si>
    <t>PNTN SHM 650 MLX12 HS HS IN</t>
  </si>
  <si>
    <t>OS Deo Krakengard MR</t>
  </si>
  <si>
    <t>OLD SPICE KRAKENG 140MLX12X4 IN MR</t>
  </si>
  <si>
    <t>VICKS ZZZQUIL NATURA 10CTX6X20 JAR RS199</t>
  </si>
  <si>
    <t>FUSION PG 4CT 557 1X10X4 1199INR</t>
  </si>
  <si>
    <t>VICKS RUB XTRA STRNG 50MLX5X28 JAR RS215</t>
  </si>
  <si>
    <t>AmbPr CarGel Lavender</t>
  </si>
  <si>
    <t>AMBIP GELFR LAV 75GX24 Dec 23 IN</t>
  </si>
  <si>
    <t>H&amp;S SHM 1000ML X8 CM IN PC24</t>
  </si>
  <si>
    <t>VCD 105+5 worth Rs 10 Off</t>
  </si>
  <si>
    <t>VICKS DROPS 2.7GX(105+5) X 32 JAR RS210</t>
  </si>
  <si>
    <t>557 PG FXBL RZR+CT 1X6 INR1200</t>
  </si>
  <si>
    <t>MINI RG MS DAY 10GM</t>
  </si>
  <si>
    <t>OLAY RG MSC DAY CRM 10GX12 IN BR STK</t>
  </si>
  <si>
    <t>OB OM160 Precision CLN BCD 300INR 4X6X8</t>
  </si>
  <si>
    <t>PAMPERS PANTS MULMUL2 SM70SX4 JP IN</t>
  </si>
  <si>
    <t>PAMPERS PANTS HL4.1 MD76SX4 SJ IN</t>
  </si>
  <si>
    <t>BBR 25ml SW promo</t>
  </si>
  <si>
    <t>VICKS BABYRUB 25ML (19+1)16 JAR INR125</t>
  </si>
  <si>
    <t>WHSPR CHOICE ALOE RG T1 6X120 (40)</t>
  </si>
  <si>
    <t>ARIEL LIQ 1LX12 MAT FL PCH PRCP2 A PC</t>
  </si>
  <si>
    <t>H&amp;S Bottles RTM Pack SS &amp; CM</t>
  </si>
  <si>
    <t>H&amp;S SHM RTM HANGER(180ML+72ML) CM+SS</t>
  </si>
  <si>
    <t>Whspr ON Koala XXL+ 5s</t>
  </si>
  <si>
    <t>WHISPER KOALA4 OVN S7 5CTX48 (150) KNH</t>
  </si>
  <si>
    <t>Guard R+3 HTH</t>
  </si>
  <si>
    <t>GUARD R+3CT 1CSX144IT 67 INR HTH</t>
  </si>
  <si>
    <t>HE SH 400MLX6 AGNOIL PC3 IN</t>
  </si>
  <si>
    <t>OB POC iO9</t>
  </si>
  <si>
    <t>IOM9.1B2.2BD IND BK IBOX PTHBR</t>
  </si>
  <si>
    <t>DE WIL 50s SALOON PROMO 1X40X4 150INR</t>
  </si>
  <si>
    <t>OS Deo LIONPRIDE+ORIGINAL+Wallet GP</t>
  </si>
  <si>
    <t>OS DEO LIONPRIDE+ORIGINAL+WALLET GP</t>
  </si>
  <si>
    <t>VICKS DROPS 2.7GX(105+5) X 32 JAR RS210_</t>
  </si>
  <si>
    <t>AMBI GELFR 180GX12 LOVE.B IN Dec 24</t>
  </si>
  <si>
    <t>Tide JR Rs.10 13 STR</t>
  </si>
  <si>
    <t>TIDE LAU PWD (40G+35G)X65 JR 13STR SJ PC_</t>
  </si>
  <si>
    <t>ASL ORIGINAL 50ML</t>
  </si>
  <si>
    <t>OS ASL ORIGINAL 50MLX72 S3_RS149</t>
  </si>
  <si>
    <t>PNTN SHM 180ML X 56 HS DR IN PC25</t>
  </si>
  <si>
    <t>H&amp;S SHM 650ML X 12 AHF2IN1 IN PC JFM25</t>
  </si>
  <si>
    <t>VENUS SMOOTH RAZOR 1X18 INR 325</t>
  </si>
  <si>
    <t>PAMPERS DPR SM11SX40 REG SF2 BIS IN</t>
  </si>
  <si>
    <t>Tide White Bar Rs10B</t>
  </si>
  <si>
    <t>TIDE DET BAR (100G+20G)X72 WHITE BAR PC</t>
  </si>
  <si>
    <t>TIDE LAUPWD 2.2KGX12 JR TE PC</t>
  </si>
  <si>
    <t>WHSPR ULT LCC+ XL+WGS 48X20 (649) PU</t>
  </si>
  <si>
    <t>Ariel Liq 6L Pch TL New</t>
  </si>
  <si>
    <t>ARIEL LIQ 6LX2 MAT TL PCH4 PC</t>
  </si>
  <si>
    <t>WHP CHOICE ULT 20X4 ECOM JADE JWALA</t>
  </si>
  <si>
    <t>ARIEL LIQ 0.9LX12 LAV FL BTL PC</t>
  </si>
  <si>
    <t>Ariel Mat TL 4kg</t>
  </si>
  <si>
    <t>ARIEL PWD 4KGX3 MAT TL VP NSS AM PC</t>
  </si>
  <si>
    <t>H&amp;S SHM 180ML X 56 DEEP CLEANSE IN PCR</t>
  </si>
  <si>
    <t>PAMPERS PANTS HL5 XL50SX4 New MR MP IN</t>
  </si>
  <si>
    <t>PAMPERS DPR HL5 SM2SX192 LCP IN</t>
  </si>
  <si>
    <t>PAMPERS PANTS HL5 SM60SX6 JPCO mos IN</t>
  </si>
  <si>
    <t>Whspr ON Koala Pants L-XL 2s</t>
  </si>
  <si>
    <t>WHISPER PERIOD PANTS L/XL 2CTX24 CI</t>
  </si>
  <si>
    <t>whspr Ultra XL 48s</t>
  </si>
  <si>
    <t>WHSPR ULT LCC+ XL 48X16 (475) WW</t>
  </si>
  <si>
    <t>H&amp;S SHM 72MLX48 CM 2IN1 IN AMJ25 (99)</t>
  </si>
  <si>
    <t>PAMPERS DPR MML2.1 XL72SX4 ECB MOS IN</t>
  </si>
  <si>
    <t>GUARD R+12CT 1X12X12 168 INR</t>
  </si>
  <si>
    <t>SUSINI 2s 1X6X8 INR 325</t>
  </si>
  <si>
    <t>PAMPERS DPR HL5 XXL2SX192 LCP IN</t>
  </si>
  <si>
    <t>PAMPERS DPR MML2.1 MD104SX4 ECB MOS IN</t>
  </si>
  <si>
    <t>PAMPERS DPR HL5 SM4SX72 LCP DM IN</t>
  </si>
  <si>
    <t>OLAY FCE CRM 45GX6 NIAMAX SCAR IN CTMZ</t>
  </si>
  <si>
    <t>expiry_risk</t>
  </si>
  <si>
    <t>High</t>
  </si>
  <si>
    <t>Medium</t>
  </si>
  <si>
    <t>overstock_risk</t>
  </si>
  <si>
    <t>sales_risk</t>
  </si>
  <si>
    <t>value_risk</t>
  </si>
  <si>
    <t>days_to_expiry</t>
  </si>
  <si>
    <t>urgency_index</t>
  </si>
  <si>
    <t>recommended_action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</si>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</sst>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15" fontId="1" fillId="2" borderId="0" xfId="0" applyNumberFormat="1" applyFont="1" applyFill="1"/>
    <xf numFmtId="15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067CC-EB71-4F7B-AC24-34EEBBB21EED}">
  <dimension ref="A1:Y5336"/>
  <sheetViews>
    <sheetView tabSelected="1" topLeftCell="R1" zoomScale="77" workbookViewId="0">
      <selection activeCell="N14" sqref="N14"/>
    </sheetView>
  </sheetViews>
  <sheetFormatPr defaultRowHeight="14.5" x14ac:dyDescent="0.35"/>
  <cols>
    <col min="1" max="1" width="18" bestFit="1" customWidth="1"/>
    <col min="2" max="2" width="17.81640625" bestFit="1" customWidth="1"/>
    <col min="3" max="3" width="31.36328125" bestFit="1" customWidth="1"/>
    <col min="4" max="4" width="40" bestFit="1" customWidth="1"/>
    <col min="5" max="5" width="8.81640625" bestFit="1" customWidth="1"/>
    <col min="6" max="6" width="49.7265625" bestFit="1" customWidth="1"/>
    <col min="7" max="7" width="10" style="3" bestFit="1" customWidth="1"/>
    <col min="8" max="8" width="8" bestFit="1" customWidth="1"/>
    <col min="9" max="9" width="24.1796875" bestFit="1" customWidth="1"/>
    <col min="10" max="10" width="8" bestFit="1" customWidth="1"/>
    <col min="11" max="11" width="12.08984375" bestFit="1" customWidth="1"/>
    <col min="12" max="12" width="13.26953125" bestFit="1" customWidth="1"/>
    <col min="13" max="13" width="11.90625" bestFit="1" customWidth="1"/>
    <col min="14" max="14" width="15.26953125" bestFit="1" customWidth="1"/>
    <col min="18" max="18" width="9.54296875" bestFit="1" customWidth="1"/>
    <col min="19" max="19" width="13.453125" bestFit="1" customWidth="1"/>
    <col min="20" max="20" width="13.08984375" bestFit="1" customWidth="1"/>
    <col min="21" max="21" width="16.1796875" bestFit="1" customWidth="1"/>
    <col min="22" max="22" width="12.36328125" bestFit="1" customWidth="1"/>
    <col min="23" max="23" width="12.453125" bestFit="1" customWidth="1"/>
    <col min="24" max="24" width="13.1796875" bestFit="1" customWidth="1"/>
    <col min="25" max="25" width="19.54296875" bestFit="1" customWidth="1"/>
  </cols>
  <sheetData>
    <row r="1" spans="1:25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3308</v>
      </c>
      <c r="P1" s="1" t="s">
        <v>3311</v>
      </c>
      <c r="Q1" s="1" t="s">
        <v>3312</v>
      </c>
      <c r="R1" s="1" t="s">
        <v>3313</v>
      </c>
      <c r="S1" s="1" t="s">
        <v>3314</v>
      </c>
      <c r="T1" s="1" t="s">
        <v>3308</v>
      </c>
      <c r="U1" s="1" t="s">
        <v>3311</v>
      </c>
      <c r="V1" s="1" t="s">
        <v>3312</v>
      </c>
      <c r="W1" s="1" t="s">
        <v>3313</v>
      </c>
      <c r="X1" s="1" t="s">
        <v>3315</v>
      </c>
      <c r="Y1" s="1" t="s">
        <v>3316</v>
      </c>
    </row>
    <row r="2" spans="1:25" x14ac:dyDescent="0.35">
      <c r="A2" t="s">
        <v>14</v>
      </c>
      <c r="B2" t="s">
        <v>15</v>
      </c>
      <c r="C2" t="s">
        <v>16</v>
      </c>
      <c r="D2" t="s">
        <v>17</v>
      </c>
      <c r="E2">
        <v>80753932</v>
      </c>
      <c r="F2" t="s">
        <v>18</v>
      </c>
      <c r="G2" s="3">
        <v>47408</v>
      </c>
      <c r="H2">
        <v>60</v>
      </c>
      <c r="I2">
        <v>68</v>
      </c>
      <c r="J2">
        <v>2</v>
      </c>
      <c r="K2" s="4">
        <v>1814.42</v>
      </c>
      <c r="L2" s="4">
        <f>0</f>
        <v>0</v>
      </c>
      <c r="M2" s="4">
        <f>999</f>
        <v>999</v>
      </c>
      <c r="N2" t="s">
        <v>19</v>
      </c>
      <c r="O2" t="str">
        <f>IF(I2&lt;20,"High",IF(I2&lt;40,"Medium","Low"))</f>
        <v>Low</v>
      </c>
      <c r="P2" t="str">
        <f>IF(M2&gt;8,"High",IF(M2&gt;4,"Medium","Low"))</f>
        <v>High</v>
      </c>
      <c r="Q2" t="str">
        <f>IF(L2&lt;5,"High",IF(L2&lt;15,"Medium","Low"))</f>
        <v>High</v>
      </c>
      <c r="R2" t="s">
        <v>3317</v>
      </c>
      <c r="S2" s="4">
        <f ca="1">G2-TODAY()</f>
        <v>1211</v>
      </c>
      <c r="T2">
        <f>IF(O2="High",3,IF(O2="Medium",2,1))</f>
        <v>1</v>
      </c>
      <c r="U2">
        <f>IF(P2="High",3,IF(P2="Medium",2,1))</f>
        <v>3</v>
      </c>
      <c r="V2">
        <f>IF(Q2="High",3,IF(Q2="Medium",2,1))</f>
        <v>3</v>
      </c>
      <c r="W2">
        <f>IF(R2="High",3,IF(R2="Medium",2,1))</f>
        <v>1</v>
      </c>
      <c r="X2">
        <f>(0.4*T2)+(0.3*U2)+(0.2*V2)+(0.1*W2)</f>
        <v>2</v>
      </c>
      <c r="Y2" t="str">
        <f>IF(X2&gt;=2.7,"Move Immediately",IF(X2&gt;=2.2,"High Priority",IF(X2&gt;=1.7,"Monitor","Healthy")))</f>
        <v>Monitor</v>
      </c>
    </row>
    <row r="3" spans="1:25" x14ac:dyDescent="0.35">
      <c r="A3" t="s">
        <v>20</v>
      </c>
      <c r="B3" t="s">
        <v>21</v>
      </c>
      <c r="C3" t="s">
        <v>22</v>
      </c>
      <c r="D3" t="s">
        <v>23</v>
      </c>
      <c r="E3">
        <v>82291651</v>
      </c>
      <c r="F3" t="s">
        <v>24</v>
      </c>
      <c r="G3" s="3">
        <v>47020</v>
      </c>
      <c r="H3">
        <v>36</v>
      </c>
      <c r="I3">
        <v>77</v>
      </c>
      <c r="J3">
        <v>513</v>
      </c>
      <c r="K3" s="4">
        <v>12722.4</v>
      </c>
      <c r="L3" s="4">
        <v>30.857142857142858</v>
      </c>
      <c r="M3" s="4">
        <v>16.625</v>
      </c>
      <c r="N3" t="s">
        <v>19</v>
      </c>
      <c r="O3" t="str">
        <f t="shared" ref="O3:O66" si="0">IF(I3&lt;20,"High",IF(I3&lt;40,"Medium","Low"))</f>
        <v>Low</v>
      </c>
      <c r="P3" t="str">
        <f t="shared" ref="P3:P66" si="1">IF(M3&gt;8,"High",IF(M3&gt;4,"Medium","Low"))</f>
        <v>High</v>
      </c>
      <c r="Q3" t="str">
        <f t="shared" ref="Q3:Q66" si="2">IF(L3&lt;5,"High",IF(L3&lt;15,"Medium","Low"))</f>
        <v>Low</v>
      </c>
      <c r="R3" t="s">
        <v>3317</v>
      </c>
      <c r="S3" s="4">
        <f t="shared" ref="S3:S66" ca="1" si="3">G3-TODAY()</f>
        <v>823</v>
      </c>
      <c r="T3">
        <f t="shared" ref="T3:T66" si="4">IF(O3="High",3,IF(O3="Medium",2,1))</f>
        <v>1</v>
      </c>
      <c r="U3">
        <f t="shared" ref="U3:U66" si="5">IF(P3="High",3,IF(P3="Medium",2,1))</f>
        <v>3</v>
      </c>
      <c r="V3">
        <f t="shared" ref="V3:V66" si="6">IF(Q3="High",3,IF(Q3="Medium",2,1))</f>
        <v>1</v>
      </c>
      <c r="W3">
        <f t="shared" ref="W3:W66" si="7">IF(R3="High",3,IF(R3="Medium",2,1))</f>
        <v>1</v>
      </c>
      <c r="X3">
        <f t="shared" ref="X3:X66" si="8">(0.4*T3)+(0.3*U3)+(0.2*V3)+(0.1*W3)</f>
        <v>1.5999999999999999</v>
      </c>
      <c r="Y3" t="str">
        <f t="shared" ref="Y3:Y66" si="9">IF(X3&gt;=2.7,"Move Immediately",IF(X3&gt;=2.2,"High Priority",IF(X3&gt;=1.7,"Monitor","Healthy")))</f>
        <v>Healthy</v>
      </c>
    </row>
    <row r="4" spans="1:25" x14ac:dyDescent="0.35">
      <c r="A4" t="s">
        <v>20</v>
      </c>
      <c r="B4" t="s">
        <v>21</v>
      </c>
      <c r="C4" t="s">
        <v>22</v>
      </c>
      <c r="D4" t="s">
        <v>23</v>
      </c>
      <c r="E4">
        <v>82291651</v>
      </c>
      <c r="F4" t="s">
        <v>24</v>
      </c>
      <c r="G4" s="3">
        <v>47020</v>
      </c>
      <c r="H4">
        <v>36</v>
      </c>
      <c r="I4">
        <v>77</v>
      </c>
      <c r="J4">
        <v>249</v>
      </c>
      <c r="K4" s="4">
        <v>6175.2</v>
      </c>
      <c r="L4" s="4">
        <v>30.857142857142858</v>
      </c>
      <c r="M4" s="4">
        <v>8.0694444444444446</v>
      </c>
      <c r="N4" t="s">
        <v>19</v>
      </c>
      <c r="O4" t="str">
        <f t="shared" si="0"/>
        <v>Low</v>
      </c>
      <c r="P4" t="str">
        <f t="shared" si="1"/>
        <v>High</v>
      </c>
      <c r="Q4" t="str">
        <f t="shared" si="2"/>
        <v>Low</v>
      </c>
      <c r="R4" t="s">
        <v>3317</v>
      </c>
      <c r="S4" s="4">
        <f t="shared" ca="1" si="3"/>
        <v>823</v>
      </c>
      <c r="T4">
        <f t="shared" si="4"/>
        <v>1</v>
      </c>
      <c r="U4">
        <f t="shared" si="5"/>
        <v>3</v>
      </c>
      <c r="V4">
        <f t="shared" si="6"/>
        <v>1</v>
      </c>
      <c r="W4">
        <f t="shared" si="7"/>
        <v>1</v>
      </c>
      <c r="X4">
        <f t="shared" si="8"/>
        <v>1.5999999999999999</v>
      </c>
      <c r="Y4" t="str">
        <f t="shared" si="9"/>
        <v>Healthy</v>
      </c>
    </row>
    <row r="5" spans="1:25" x14ac:dyDescent="0.35">
      <c r="A5" t="s">
        <v>20</v>
      </c>
      <c r="B5" t="s">
        <v>21</v>
      </c>
      <c r="C5" t="s">
        <v>22</v>
      </c>
      <c r="D5" t="s">
        <v>23</v>
      </c>
      <c r="E5">
        <v>82291651</v>
      </c>
      <c r="F5" t="s">
        <v>24</v>
      </c>
      <c r="G5" s="3">
        <v>47020</v>
      </c>
      <c r="H5">
        <v>36</v>
      </c>
      <c r="I5">
        <v>77</v>
      </c>
      <c r="J5">
        <v>6</v>
      </c>
      <c r="K5" s="4">
        <v>148.80000000000001</v>
      </c>
      <c r="L5" s="4">
        <v>30.857142857142858</v>
      </c>
      <c r="M5" s="4">
        <v>0.19444444444444445</v>
      </c>
      <c r="N5" t="s">
        <v>25</v>
      </c>
      <c r="O5" t="str">
        <f t="shared" si="0"/>
        <v>Low</v>
      </c>
      <c r="P5" t="str">
        <f t="shared" si="1"/>
        <v>Low</v>
      </c>
      <c r="Q5" t="str">
        <f t="shared" si="2"/>
        <v>Low</v>
      </c>
      <c r="R5" t="s">
        <v>3317</v>
      </c>
      <c r="S5" s="4">
        <f t="shared" ca="1" si="3"/>
        <v>823</v>
      </c>
      <c r="T5">
        <f t="shared" si="4"/>
        <v>1</v>
      </c>
      <c r="U5">
        <f t="shared" si="5"/>
        <v>1</v>
      </c>
      <c r="V5">
        <f t="shared" si="6"/>
        <v>1</v>
      </c>
      <c r="W5">
        <f t="shared" si="7"/>
        <v>1</v>
      </c>
      <c r="X5">
        <f t="shared" si="8"/>
        <v>0.99999999999999989</v>
      </c>
      <c r="Y5" t="str">
        <f t="shared" si="9"/>
        <v>Healthy</v>
      </c>
    </row>
    <row r="6" spans="1:25" x14ac:dyDescent="0.35">
      <c r="A6" t="s">
        <v>20</v>
      </c>
      <c r="B6" t="s">
        <v>21</v>
      </c>
      <c r="C6" t="s">
        <v>22</v>
      </c>
      <c r="D6" t="s">
        <v>23</v>
      </c>
      <c r="E6">
        <v>82291651</v>
      </c>
      <c r="F6" t="s">
        <v>24</v>
      </c>
      <c r="G6" s="3">
        <v>47020</v>
      </c>
      <c r="H6">
        <v>36</v>
      </c>
      <c r="I6">
        <v>77</v>
      </c>
      <c r="J6">
        <v>216</v>
      </c>
      <c r="K6" s="4">
        <v>5356.8</v>
      </c>
      <c r="L6" s="4">
        <v>30.857142857142858</v>
      </c>
      <c r="M6" s="4">
        <v>7</v>
      </c>
      <c r="N6" t="s">
        <v>19</v>
      </c>
      <c r="O6" t="str">
        <f t="shared" si="0"/>
        <v>Low</v>
      </c>
      <c r="P6" t="str">
        <f t="shared" si="1"/>
        <v>Medium</v>
      </c>
      <c r="Q6" t="str">
        <f t="shared" si="2"/>
        <v>Low</v>
      </c>
      <c r="R6" t="s">
        <v>3317</v>
      </c>
      <c r="S6" s="4">
        <f t="shared" ca="1" si="3"/>
        <v>823</v>
      </c>
      <c r="T6">
        <f t="shared" si="4"/>
        <v>1</v>
      </c>
      <c r="U6">
        <f t="shared" si="5"/>
        <v>2</v>
      </c>
      <c r="V6">
        <f t="shared" si="6"/>
        <v>1</v>
      </c>
      <c r="W6">
        <f t="shared" si="7"/>
        <v>1</v>
      </c>
      <c r="X6">
        <f t="shared" si="8"/>
        <v>1.3</v>
      </c>
      <c r="Y6" t="str">
        <f t="shared" si="9"/>
        <v>Healthy</v>
      </c>
    </row>
    <row r="7" spans="1:25" x14ac:dyDescent="0.35">
      <c r="A7" t="s">
        <v>20</v>
      </c>
      <c r="B7" t="s">
        <v>21</v>
      </c>
      <c r="C7" t="s">
        <v>22</v>
      </c>
      <c r="D7" t="s">
        <v>23</v>
      </c>
      <c r="E7">
        <v>82291651</v>
      </c>
      <c r="F7" t="s">
        <v>24</v>
      </c>
      <c r="G7" s="3">
        <v>47020</v>
      </c>
      <c r="H7">
        <v>36</v>
      </c>
      <c r="I7">
        <v>77</v>
      </c>
      <c r="J7">
        <v>287</v>
      </c>
      <c r="K7" s="4">
        <v>7117.6</v>
      </c>
      <c r="L7" s="4">
        <v>30.857142857142858</v>
      </c>
      <c r="M7" s="4">
        <v>9.3009259259259256</v>
      </c>
      <c r="N7" t="s">
        <v>19</v>
      </c>
      <c r="O7" t="str">
        <f t="shared" si="0"/>
        <v>Low</v>
      </c>
      <c r="P7" t="str">
        <f t="shared" si="1"/>
        <v>High</v>
      </c>
      <c r="Q7" t="str">
        <f t="shared" si="2"/>
        <v>Low</v>
      </c>
      <c r="R7" t="s">
        <v>3317</v>
      </c>
      <c r="S7" s="4">
        <f t="shared" ca="1" si="3"/>
        <v>823</v>
      </c>
      <c r="T7">
        <f t="shared" si="4"/>
        <v>1</v>
      </c>
      <c r="U7">
        <f t="shared" si="5"/>
        <v>3</v>
      </c>
      <c r="V7">
        <f t="shared" si="6"/>
        <v>1</v>
      </c>
      <c r="W7">
        <f t="shared" si="7"/>
        <v>1</v>
      </c>
      <c r="X7">
        <f t="shared" si="8"/>
        <v>1.5999999999999999</v>
      </c>
      <c r="Y7" t="str">
        <f t="shared" si="9"/>
        <v>Healthy</v>
      </c>
    </row>
    <row r="8" spans="1:25" x14ac:dyDescent="0.35">
      <c r="A8" t="s">
        <v>20</v>
      </c>
      <c r="B8" t="s">
        <v>21</v>
      </c>
      <c r="C8" t="s">
        <v>22</v>
      </c>
      <c r="D8" t="s">
        <v>23</v>
      </c>
      <c r="E8">
        <v>82291651</v>
      </c>
      <c r="F8" t="s">
        <v>24</v>
      </c>
      <c r="G8" s="3">
        <v>47020</v>
      </c>
      <c r="H8">
        <v>36</v>
      </c>
      <c r="I8">
        <v>77</v>
      </c>
      <c r="J8">
        <v>456</v>
      </c>
      <c r="K8" s="4">
        <v>11308.8</v>
      </c>
      <c r="L8" s="4">
        <v>30.857142857142858</v>
      </c>
      <c r="M8" s="4">
        <v>14.777777777777777</v>
      </c>
      <c r="N8" t="s">
        <v>19</v>
      </c>
      <c r="O8" t="str">
        <f t="shared" si="0"/>
        <v>Low</v>
      </c>
      <c r="P8" t="str">
        <f t="shared" si="1"/>
        <v>High</v>
      </c>
      <c r="Q8" t="str">
        <f t="shared" si="2"/>
        <v>Low</v>
      </c>
      <c r="R8" t="s">
        <v>3317</v>
      </c>
      <c r="S8" s="4">
        <f t="shared" ca="1" si="3"/>
        <v>823</v>
      </c>
      <c r="T8">
        <f t="shared" si="4"/>
        <v>1</v>
      </c>
      <c r="U8">
        <f t="shared" si="5"/>
        <v>3</v>
      </c>
      <c r="V8">
        <f t="shared" si="6"/>
        <v>1</v>
      </c>
      <c r="W8">
        <f t="shared" si="7"/>
        <v>1</v>
      </c>
      <c r="X8">
        <f t="shared" si="8"/>
        <v>1.5999999999999999</v>
      </c>
      <c r="Y8" t="str">
        <f t="shared" si="9"/>
        <v>Healthy</v>
      </c>
    </row>
    <row r="9" spans="1:25" x14ac:dyDescent="0.35">
      <c r="A9" t="s">
        <v>20</v>
      </c>
      <c r="B9" t="s">
        <v>21</v>
      </c>
      <c r="C9" t="s">
        <v>22</v>
      </c>
      <c r="D9" t="s">
        <v>23</v>
      </c>
      <c r="E9">
        <v>82291651</v>
      </c>
      <c r="F9" t="s">
        <v>24</v>
      </c>
      <c r="G9" s="3">
        <v>47020</v>
      </c>
      <c r="H9">
        <v>36</v>
      </c>
      <c r="I9">
        <v>77</v>
      </c>
      <c r="J9">
        <v>216</v>
      </c>
      <c r="K9" s="4">
        <v>5356.8</v>
      </c>
      <c r="L9" s="4">
        <v>30.857142857142858</v>
      </c>
      <c r="M9" s="4">
        <v>7</v>
      </c>
      <c r="N9" t="s">
        <v>19</v>
      </c>
      <c r="O9" t="str">
        <f t="shared" si="0"/>
        <v>Low</v>
      </c>
      <c r="P9" t="str">
        <f t="shared" si="1"/>
        <v>Medium</v>
      </c>
      <c r="Q9" t="str">
        <f t="shared" si="2"/>
        <v>Low</v>
      </c>
      <c r="R9" t="s">
        <v>3317</v>
      </c>
      <c r="S9" s="4">
        <f t="shared" ca="1" si="3"/>
        <v>823</v>
      </c>
      <c r="T9">
        <f t="shared" si="4"/>
        <v>1</v>
      </c>
      <c r="U9">
        <f t="shared" si="5"/>
        <v>2</v>
      </c>
      <c r="V9">
        <f t="shared" si="6"/>
        <v>1</v>
      </c>
      <c r="W9">
        <f t="shared" si="7"/>
        <v>1</v>
      </c>
      <c r="X9">
        <f t="shared" si="8"/>
        <v>1.3</v>
      </c>
      <c r="Y9" t="str">
        <f t="shared" si="9"/>
        <v>Healthy</v>
      </c>
    </row>
    <row r="10" spans="1:25" x14ac:dyDescent="0.35">
      <c r="A10" t="s">
        <v>20</v>
      </c>
      <c r="B10" t="s">
        <v>21</v>
      </c>
      <c r="C10" t="s">
        <v>22</v>
      </c>
      <c r="D10" t="s">
        <v>23</v>
      </c>
      <c r="E10">
        <v>82291651</v>
      </c>
      <c r="F10" t="s">
        <v>24</v>
      </c>
      <c r="G10" s="3">
        <v>47020</v>
      </c>
      <c r="H10">
        <v>36</v>
      </c>
      <c r="I10">
        <v>77</v>
      </c>
      <c r="J10">
        <v>216</v>
      </c>
      <c r="K10" s="4">
        <v>5356.8</v>
      </c>
      <c r="L10" s="4">
        <v>30.857142857142858</v>
      </c>
      <c r="M10" s="4">
        <v>7</v>
      </c>
      <c r="N10" t="s">
        <v>19</v>
      </c>
      <c r="O10" t="str">
        <f t="shared" si="0"/>
        <v>Low</v>
      </c>
      <c r="P10" t="str">
        <f t="shared" si="1"/>
        <v>Medium</v>
      </c>
      <c r="Q10" t="str">
        <f t="shared" si="2"/>
        <v>Low</v>
      </c>
      <c r="R10" t="s">
        <v>3317</v>
      </c>
      <c r="S10" s="4">
        <f t="shared" ca="1" si="3"/>
        <v>823</v>
      </c>
      <c r="T10">
        <f t="shared" si="4"/>
        <v>1</v>
      </c>
      <c r="U10">
        <f t="shared" si="5"/>
        <v>2</v>
      </c>
      <c r="V10">
        <f t="shared" si="6"/>
        <v>1</v>
      </c>
      <c r="W10">
        <f t="shared" si="7"/>
        <v>1</v>
      </c>
      <c r="X10">
        <f t="shared" si="8"/>
        <v>1.3</v>
      </c>
      <c r="Y10" t="str">
        <f t="shared" si="9"/>
        <v>Healthy</v>
      </c>
    </row>
    <row r="11" spans="1:25" x14ac:dyDescent="0.35">
      <c r="A11" t="s">
        <v>20</v>
      </c>
      <c r="B11" t="s">
        <v>21</v>
      </c>
      <c r="C11" t="s">
        <v>22</v>
      </c>
      <c r="D11" t="s">
        <v>23</v>
      </c>
      <c r="E11">
        <v>82291651</v>
      </c>
      <c r="F11" t="s">
        <v>24</v>
      </c>
      <c r="G11" s="3">
        <v>47020</v>
      </c>
      <c r="H11">
        <v>36</v>
      </c>
      <c r="I11">
        <v>77</v>
      </c>
      <c r="J11">
        <v>1</v>
      </c>
      <c r="K11" s="4">
        <v>24.8</v>
      </c>
      <c r="L11" s="4">
        <v>30.857142857142858</v>
      </c>
      <c r="M11" s="4">
        <v>3.2407407407407406E-2</v>
      </c>
      <c r="N11" t="s">
        <v>25</v>
      </c>
      <c r="O11" t="str">
        <f t="shared" si="0"/>
        <v>Low</v>
      </c>
      <c r="P11" t="str">
        <f t="shared" si="1"/>
        <v>Low</v>
      </c>
      <c r="Q11" t="str">
        <f t="shared" si="2"/>
        <v>Low</v>
      </c>
      <c r="R11" t="s">
        <v>3317</v>
      </c>
      <c r="S11" s="4">
        <f t="shared" ca="1" si="3"/>
        <v>823</v>
      </c>
      <c r="T11">
        <f t="shared" si="4"/>
        <v>1</v>
      </c>
      <c r="U11">
        <f t="shared" si="5"/>
        <v>1</v>
      </c>
      <c r="V11">
        <f t="shared" si="6"/>
        <v>1</v>
      </c>
      <c r="W11">
        <f t="shared" si="7"/>
        <v>1</v>
      </c>
      <c r="X11">
        <f t="shared" si="8"/>
        <v>0.99999999999999989</v>
      </c>
      <c r="Y11" t="str">
        <f t="shared" si="9"/>
        <v>Healthy</v>
      </c>
    </row>
    <row r="12" spans="1:25" x14ac:dyDescent="0.35">
      <c r="A12" t="s">
        <v>20</v>
      </c>
      <c r="B12" t="s">
        <v>21</v>
      </c>
      <c r="C12" t="s">
        <v>26</v>
      </c>
      <c r="D12" t="s">
        <v>27</v>
      </c>
      <c r="E12">
        <v>82304608</v>
      </c>
      <c r="F12" t="s">
        <v>28</v>
      </c>
      <c r="G12" s="3">
        <v>47727</v>
      </c>
      <c r="H12">
        <v>36</v>
      </c>
      <c r="I12">
        <v>100</v>
      </c>
      <c r="J12">
        <v>280</v>
      </c>
      <c r="K12" s="4">
        <v>7176.4</v>
      </c>
      <c r="L12" s="4">
        <f>0</f>
        <v>0</v>
      </c>
      <c r="M12" s="4">
        <f>999</f>
        <v>999</v>
      </c>
      <c r="N12" t="s">
        <v>19</v>
      </c>
      <c r="O12" t="str">
        <f t="shared" si="0"/>
        <v>Low</v>
      </c>
      <c r="P12" t="str">
        <f t="shared" si="1"/>
        <v>High</v>
      </c>
      <c r="Q12" t="str">
        <f t="shared" si="2"/>
        <v>High</v>
      </c>
      <c r="R12" t="s">
        <v>3317</v>
      </c>
      <c r="S12" s="4">
        <f t="shared" ca="1" si="3"/>
        <v>1530</v>
      </c>
      <c r="T12">
        <f t="shared" si="4"/>
        <v>1</v>
      </c>
      <c r="U12">
        <f t="shared" si="5"/>
        <v>3</v>
      </c>
      <c r="V12">
        <f t="shared" si="6"/>
        <v>3</v>
      </c>
      <c r="W12">
        <f t="shared" si="7"/>
        <v>1</v>
      </c>
      <c r="X12">
        <f t="shared" si="8"/>
        <v>2</v>
      </c>
      <c r="Y12" t="str">
        <f t="shared" si="9"/>
        <v>Monitor</v>
      </c>
    </row>
    <row r="13" spans="1:25" x14ac:dyDescent="0.35">
      <c r="A13" t="s">
        <v>29</v>
      </c>
      <c r="B13" t="s">
        <v>30</v>
      </c>
      <c r="C13" t="s">
        <v>31</v>
      </c>
      <c r="D13" t="s">
        <v>32</v>
      </c>
      <c r="E13">
        <v>82306617</v>
      </c>
      <c r="F13" t="s">
        <v>33</v>
      </c>
      <c r="G13" s="3">
        <v>44875</v>
      </c>
      <c r="H13">
        <v>36</v>
      </c>
      <c r="I13">
        <v>0</v>
      </c>
      <c r="J13">
        <v>8</v>
      </c>
      <c r="K13" s="4">
        <v>7673.36</v>
      </c>
      <c r="L13" s="4">
        <f>0</f>
        <v>0</v>
      </c>
      <c r="M13" s="4">
        <f>999</f>
        <v>999</v>
      </c>
      <c r="N13" t="s">
        <v>19</v>
      </c>
      <c r="O13" t="str">
        <f t="shared" si="0"/>
        <v>High</v>
      </c>
      <c r="P13" t="str">
        <f t="shared" si="1"/>
        <v>High</v>
      </c>
      <c r="Q13" t="str">
        <f t="shared" si="2"/>
        <v>High</v>
      </c>
      <c r="R13" t="s">
        <v>3317</v>
      </c>
      <c r="S13" s="4">
        <f t="shared" ca="1" si="3"/>
        <v>-1322</v>
      </c>
      <c r="T13">
        <f t="shared" si="4"/>
        <v>3</v>
      </c>
      <c r="U13">
        <f t="shared" si="5"/>
        <v>3</v>
      </c>
      <c r="V13">
        <f t="shared" si="6"/>
        <v>3</v>
      </c>
      <c r="W13">
        <f t="shared" si="7"/>
        <v>1</v>
      </c>
      <c r="X13">
        <f t="shared" si="8"/>
        <v>2.8000000000000003</v>
      </c>
      <c r="Y13" t="str">
        <f t="shared" si="9"/>
        <v>Move Immediately</v>
      </c>
    </row>
    <row r="14" spans="1:25" x14ac:dyDescent="0.35">
      <c r="A14" t="s">
        <v>14</v>
      </c>
      <c r="B14" t="s">
        <v>15</v>
      </c>
      <c r="C14" t="s">
        <v>34</v>
      </c>
      <c r="D14" t="s">
        <v>35</v>
      </c>
      <c r="E14">
        <v>80690338</v>
      </c>
      <c r="F14" t="s">
        <v>36</v>
      </c>
      <c r="G14" s="3">
        <v>46287</v>
      </c>
      <c r="H14">
        <v>60</v>
      </c>
      <c r="I14">
        <v>5</v>
      </c>
      <c r="J14">
        <v>3</v>
      </c>
      <c r="K14" s="4">
        <v>1283.0999999999999</v>
      </c>
      <c r="L14" s="4">
        <f>0</f>
        <v>0</v>
      </c>
      <c r="M14" s="4">
        <f>999</f>
        <v>999</v>
      </c>
      <c r="N14" t="s">
        <v>19</v>
      </c>
      <c r="O14" t="str">
        <f t="shared" si="0"/>
        <v>High</v>
      </c>
      <c r="P14" t="str">
        <f t="shared" si="1"/>
        <v>High</v>
      </c>
      <c r="Q14" t="str">
        <f t="shared" si="2"/>
        <v>High</v>
      </c>
      <c r="R14" t="s">
        <v>3317</v>
      </c>
      <c r="S14" s="4">
        <f t="shared" ca="1" si="3"/>
        <v>90</v>
      </c>
      <c r="T14">
        <f t="shared" si="4"/>
        <v>3</v>
      </c>
      <c r="U14">
        <f t="shared" si="5"/>
        <v>3</v>
      </c>
      <c r="V14">
        <f t="shared" si="6"/>
        <v>3</v>
      </c>
      <c r="W14">
        <f t="shared" si="7"/>
        <v>1</v>
      </c>
      <c r="X14">
        <f t="shared" si="8"/>
        <v>2.8000000000000003</v>
      </c>
      <c r="Y14" t="str">
        <f t="shared" si="9"/>
        <v>Move Immediately</v>
      </c>
    </row>
    <row r="15" spans="1:25" x14ac:dyDescent="0.35">
      <c r="A15" t="s">
        <v>14</v>
      </c>
      <c r="B15" t="s">
        <v>37</v>
      </c>
      <c r="C15" t="s">
        <v>38</v>
      </c>
      <c r="D15" t="s">
        <v>39</v>
      </c>
      <c r="E15">
        <v>82331500</v>
      </c>
      <c r="F15" t="s">
        <v>40</v>
      </c>
      <c r="G15" s="3">
        <v>46836</v>
      </c>
      <c r="H15">
        <v>60</v>
      </c>
      <c r="I15">
        <v>36</v>
      </c>
      <c r="J15">
        <v>66</v>
      </c>
      <c r="K15" s="4">
        <v>1085.7</v>
      </c>
      <c r="L15" s="4">
        <v>1.2857142857142858</v>
      </c>
      <c r="M15" s="4">
        <v>51.333333333333329</v>
      </c>
      <c r="N15" t="s">
        <v>19</v>
      </c>
      <c r="O15" t="str">
        <f t="shared" si="0"/>
        <v>Medium</v>
      </c>
      <c r="P15" t="str">
        <f t="shared" si="1"/>
        <v>High</v>
      </c>
      <c r="Q15" t="str">
        <f t="shared" si="2"/>
        <v>High</v>
      </c>
      <c r="R15" t="s">
        <v>3317</v>
      </c>
      <c r="S15" s="4">
        <f t="shared" ca="1" si="3"/>
        <v>639</v>
      </c>
      <c r="T15">
        <f t="shared" si="4"/>
        <v>2</v>
      </c>
      <c r="U15">
        <f t="shared" si="5"/>
        <v>3</v>
      </c>
      <c r="V15">
        <f t="shared" si="6"/>
        <v>3</v>
      </c>
      <c r="W15">
        <f t="shared" si="7"/>
        <v>1</v>
      </c>
      <c r="X15">
        <f t="shared" si="8"/>
        <v>2.4</v>
      </c>
      <c r="Y15" t="str">
        <f t="shared" si="9"/>
        <v>High Priority</v>
      </c>
    </row>
    <row r="16" spans="1:25" x14ac:dyDescent="0.35">
      <c r="A16" t="s">
        <v>14</v>
      </c>
      <c r="B16" t="s">
        <v>37</v>
      </c>
      <c r="C16" t="s">
        <v>38</v>
      </c>
      <c r="D16" t="s">
        <v>39</v>
      </c>
      <c r="E16">
        <v>82331500</v>
      </c>
      <c r="F16" t="s">
        <v>40</v>
      </c>
      <c r="G16" s="3">
        <v>46838</v>
      </c>
      <c r="H16">
        <v>60</v>
      </c>
      <c r="I16">
        <v>36</v>
      </c>
      <c r="J16">
        <v>1056</v>
      </c>
      <c r="K16" s="4">
        <v>17371.2</v>
      </c>
      <c r="L16" s="4">
        <v>1.2857142857142858</v>
      </c>
      <c r="M16" s="4">
        <v>821.33333333333326</v>
      </c>
      <c r="N16" t="s">
        <v>19</v>
      </c>
      <c r="O16" t="str">
        <f t="shared" si="0"/>
        <v>Medium</v>
      </c>
      <c r="P16" t="str">
        <f t="shared" si="1"/>
        <v>High</v>
      </c>
      <c r="Q16" t="str">
        <f t="shared" si="2"/>
        <v>High</v>
      </c>
      <c r="R16" t="s">
        <v>3317</v>
      </c>
      <c r="S16" s="4">
        <f t="shared" ca="1" si="3"/>
        <v>641</v>
      </c>
      <c r="T16">
        <f t="shared" si="4"/>
        <v>2</v>
      </c>
      <c r="U16">
        <f t="shared" si="5"/>
        <v>3</v>
      </c>
      <c r="V16">
        <f t="shared" si="6"/>
        <v>3</v>
      </c>
      <c r="W16">
        <f t="shared" si="7"/>
        <v>1</v>
      </c>
      <c r="X16">
        <f t="shared" si="8"/>
        <v>2.4</v>
      </c>
      <c r="Y16" t="str">
        <f t="shared" si="9"/>
        <v>High Priority</v>
      </c>
    </row>
    <row r="17" spans="1:25" x14ac:dyDescent="0.35">
      <c r="A17" t="s">
        <v>14</v>
      </c>
      <c r="B17" t="s">
        <v>37</v>
      </c>
      <c r="C17" t="s">
        <v>38</v>
      </c>
      <c r="D17" t="s">
        <v>39</v>
      </c>
      <c r="E17">
        <v>82331500</v>
      </c>
      <c r="F17" t="s">
        <v>40</v>
      </c>
      <c r="G17" s="3">
        <v>46732</v>
      </c>
      <c r="H17">
        <v>60</v>
      </c>
      <c r="I17">
        <v>30</v>
      </c>
      <c r="J17">
        <v>542</v>
      </c>
      <c r="K17" s="4">
        <v>8915.9</v>
      </c>
      <c r="L17" s="4">
        <v>1.2857142857142858</v>
      </c>
      <c r="M17" s="4">
        <v>421.55555555555554</v>
      </c>
      <c r="N17" t="s">
        <v>19</v>
      </c>
      <c r="O17" t="str">
        <f t="shared" si="0"/>
        <v>Medium</v>
      </c>
      <c r="P17" t="str">
        <f t="shared" si="1"/>
        <v>High</v>
      </c>
      <c r="Q17" t="str">
        <f t="shared" si="2"/>
        <v>High</v>
      </c>
      <c r="R17" t="s">
        <v>3317</v>
      </c>
      <c r="S17" s="4">
        <f t="shared" ca="1" si="3"/>
        <v>535</v>
      </c>
      <c r="T17">
        <f t="shared" si="4"/>
        <v>2</v>
      </c>
      <c r="U17">
        <f t="shared" si="5"/>
        <v>3</v>
      </c>
      <c r="V17">
        <f t="shared" si="6"/>
        <v>3</v>
      </c>
      <c r="W17">
        <f t="shared" si="7"/>
        <v>1</v>
      </c>
      <c r="X17">
        <f t="shared" si="8"/>
        <v>2.4</v>
      </c>
      <c r="Y17" t="str">
        <f t="shared" si="9"/>
        <v>High Priority</v>
      </c>
    </row>
    <row r="18" spans="1:25" x14ac:dyDescent="0.35">
      <c r="A18" t="s">
        <v>41</v>
      </c>
      <c r="B18" t="s">
        <v>42</v>
      </c>
      <c r="C18" t="s">
        <v>43</v>
      </c>
      <c r="D18" t="s">
        <v>44</v>
      </c>
      <c r="E18">
        <v>80705260</v>
      </c>
      <c r="F18" t="s">
        <v>45</v>
      </c>
      <c r="G18" s="3">
        <v>47020</v>
      </c>
      <c r="H18">
        <v>36</v>
      </c>
      <c r="I18">
        <v>77</v>
      </c>
      <c r="J18">
        <v>56</v>
      </c>
      <c r="K18" s="4">
        <v>5718.16</v>
      </c>
      <c r="L18" s="4">
        <v>8</v>
      </c>
      <c r="M18" s="4">
        <v>7</v>
      </c>
      <c r="N18" t="s">
        <v>19</v>
      </c>
      <c r="O18" t="str">
        <f t="shared" si="0"/>
        <v>Low</v>
      </c>
      <c r="P18" t="str">
        <f t="shared" si="1"/>
        <v>Medium</v>
      </c>
      <c r="Q18" t="str">
        <f t="shared" si="2"/>
        <v>Medium</v>
      </c>
      <c r="R18" t="s">
        <v>3317</v>
      </c>
      <c r="S18" s="4">
        <f t="shared" ca="1" si="3"/>
        <v>823</v>
      </c>
      <c r="T18">
        <f t="shared" si="4"/>
        <v>1</v>
      </c>
      <c r="U18">
        <f t="shared" si="5"/>
        <v>2</v>
      </c>
      <c r="V18">
        <f t="shared" si="6"/>
        <v>2</v>
      </c>
      <c r="W18">
        <f t="shared" si="7"/>
        <v>1</v>
      </c>
      <c r="X18">
        <f t="shared" si="8"/>
        <v>1.5</v>
      </c>
      <c r="Y18" t="str">
        <f t="shared" si="9"/>
        <v>Healthy</v>
      </c>
    </row>
    <row r="19" spans="1:25" x14ac:dyDescent="0.35">
      <c r="A19" t="s">
        <v>46</v>
      </c>
      <c r="B19" t="s">
        <v>47</v>
      </c>
      <c r="C19" t="s">
        <v>48</v>
      </c>
      <c r="D19" t="s">
        <v>49</v>
      </c>
      <c r="E19">
        <v>82321258</v>
      </c>
      <c r="F19" t="s">
        <v>50</v>
      </c>
      <c r="G19" s="3">
        <v>45747</v>
      </c>
      <c r="H19">
        <v>36</v>
      </c>
      <c r="I19">
        <v>0</v>
      </c>
      <c r="J19">
        <v>7</v>
      </c>
      <c r="K19" s="4">
        <v>982.1</v>
      </c>
      <c r="L19" s="4">
        <f>0</f>
        <v>0</v>
      </c>
      <c r="M19" s="4">
        <f>999</f>
        <v>999</v>
      </c>
      <c r="N19" t="s">
        <v>19</v>
      </c>
      <c r="O19" t="str">
        <f t="shared" si="0"/>
        <v>High</v>
      </c>
      <c r="P19" t="str">
        <f t="shared" si="1"/>
        <v>High</v>
      </c>
      <c r="Q19" t="str">
        <f t="shared" si="2"/>
        <v>High</v>
      </c>
      <c r="R19" t="s">
        <v>3317</v>
      </c>
      <c r="S19" s="4">
        <f t="shared" ca="1" si="3"/>
        <v>-450</v>
      </c>
      <c r="T19">
        <f t="shared" si="4"/>
        <v>3</v>
      </c>
      <c r="U19">
        <f t="shared" si="5"/>
        <v>3</v>
      </c>
      <c r="V19">
        <f t="shared" si="6"/>
        <v>3</v>
      </c>
      <c r="W19">
        <f t="shared" si="7"/>
        <v>1</v>
      </c>
      <c r="X19">
        <f t="shared" si="8"/>
        <v>2.8000000000000003</v>
      </c>
      <c r="Y19" t="str">
        <f t="shared" si="9"/>
        <v>Move Immediately</v>
      </c>
    </row>
    <row r="20" spans="1:25" x14ac:dyDescent="0.35">
      <c r="A20" t="s">
        <v>46</v>
      </c>
      <c r="B20" t="s">
        <v>47</v>
      </c>
      <c r="C20" t="s">
        <v>48</v>
      </c>
      <c r="D20" t="s">
        <v>49</v>
      </c>
      <c r="E20">
        <v>82321258</v>
      </c>
      <c r="F20" t="s">
        <v>50</v>
      </c>
      <c r="G20" s="3">
        <v>46345</v>
      </c>
      <c r="H20">
        <v>36</v>
      </c>
      <c r="I20">
        <v>14</v>
      </c>
      <c r="J20">
        <v>1</v>
      </c>
      <c r="K20" s="4">
        <v>170.57</v>
      </c>
      <c r="L20" s="4">
        <f>0</f>
        <v>0</v>
      </c>
      <c r="M20" s="4">
        <f>999</f>
        <v>999</v>
      </c>
      <c r="N20" t="s">
        <v>19</v>
      </c>
      <c r="O20" t="str">
        <f t="shared" si="0"/>
        <v>High</v>
      </c>
      <c r="P20" t="str">
        <f t="shared" si="1"/>
        <v>High</v>
      </c>
      <c r="Q20" t="str">
        <f t="shared" si="2"/>
        <v>High</v>
      </c>
      <c r="R20" t="s">
        <v>3317</v>
      </c>
      <c r="S20" s="4">
        <f t="shared" ca="1" si="3"/>
        <v>148</v>
      </c>
      <c r="T20">
        <f t="shared" si="4"/>
        <v>3</v>
      </c>
      <c r="U20">
        <f t="shared" si="5"/>
        <v>3</v>
      </c>
      <c r="V20">
        <f t="shared" si="6"/>
        <v>3</v>
      </c>
      <c r="W20">
        <f t="shared" si="7"/>
        <v>1</v>
      </c>
      <c r="X20">
        <f t="shared" si="8"/>
        <v>2.8000000000000003</v>
      </c>
      <c r="Y20" t="str">
        <f t="shared" si="9"/>
        <v>Move Immediately</v>
      </c>
    </row>
    <row r="21" spans="1:25" x14ac:dyDescent="0.35">
      <c r="A21" t="s">
        <v>20</v>
      </c>
      <c r="B21" t="s">
        <v>21</v>
      </c>
      <c r="C21" t="s">
        <v>51</v>
      </c>
      <c r="D21" t="s">
        <v>52</v>
      </c>
      <c r="E21">
        <v>80708111</v>
      </c>
      <c r="F21" t="s">
        <v>53</v>
      </c>
      <c r="G21" s="3">
        <v>46704</v>
      </c>
      <c r="H21">
        <v>36</v>
      </c>
      <c r="I21">
        <v>47</v>
      </c>
      <c r="J21">
        <v>3</v>
      </c>
      <c r="K21" s="4">
        <v>170.4</v>
      </c>
      <c r="L21" s="4">
        <v>22.285714285714285</v>
      </c>
      <c r="M21" s="4">
        <v>0.13461538461538461</v>
      </c>
      <c r="N21" t="s">
        <v>25</v>
      </c>
      <c r="O21" t="str">
        <f t="shared" si="0"/>
        <v>Low</v>
      </c>
      <c r="P21" t="str">
        <f t="shared" si="1"/>
        <v>Low</v>
      </c>
      <c r="Q21" t="str">
        <f t="shared" si="2"/>
        <v>Low</v>
      </c>
      <c r="R21" t="s">
        <v>3317</v>
      </c>
      <c r="S21" s="4">
        <f t="shared" ca="1" si="3"/>
        <v>507</v>
      </c>
      <c r="T21">
        <f t="shared" si="4"/>
        <v>1</v>
      </c>
      <c r="U21">
        <f t="shared" si="5"/>
        <v>1</v>
      </c>
      <c r="V21">
        <f t="shared" si="6"/>
        <v>1</v>
      </c>
      <c r="W21">
        <f t="shared" si="7"/>
        <v>1</v>
      </c>
      <c r="X21">
        <f t="shared" si="8"/>
        <v>0.99999999999999989</v>
      </c>
      <c r="Y21" t="str">
        <f t="shared" si="9"/>
        <v>Healthy</v>
      </c>
    </row>
    <row r="22" spans="1:25" x14ac:dyDescent="0.35">
      <c r="A22" t="s">
        <v>20</v>
      </c>
      <c r="B22" t="s">
        <v>21</v>
      </c>
      <c r="C22" t="s">
        <v>51</v>
      </c>
      <c r="D22" t="s">
        <v>52</v>
      </c>
      <c r="E22">
        <v>80708111</v>
      </c>
      <c r="F22" t="s">
        <v>53</v>
      </c>
      <c r="G22" s="3">
        <v>46828</v>
      </c>
      <c r="H22">
        <v>36</v>
      </c>
      <c r="I22">
        <v>59</v>
      </c>
      <c r="J22">
        <v>11</v>
      </c>
      <c r="K22" s="4">
        <v>624.79999999999995</v>
      </c>
      <c r="L22" s="4">
        <v>22.285714285714285</v>
      </c>
      <c r="M22" s="4">
        <v>0.49358974358974361</v>
      </c>
      <c r="N22" t="s">
        <v>25</v>
      </c>
      <c r="O22" t="str">
        <f t="shared" si="0"/>
        <v>Low</v>
      </c>
      <c r="P22" t="str">
        <f t="shared" si="1"/>
        <v>Low</v>
      </c>
      <c r="Q22" t="str">
        <f t="shared" si="2"/>
        <v>Low</v>
      </c>
      <c r="R22" t="s">
        <v>3317</v>
      </c>
      <c r="S22" s="4">
        <f t="shared" ca="1" si="3"/>
        <v>631</v>
      </c>
      <c r="T22">
        <f t="shared" si="4"/>
        <v>1</v>
      </c>
      <c r="U22">
        <f t="shared" si="5"/>
        <v>1</v>
      </c>
      <c r="V22">
        <f t="shared" si="6"/>
        <v>1</v>
      </c>
      <c r="W22">
        <f t="shared" si="7"/>
        <v>1</v>
      </c>
      <c r="X22">
        <f t="shared" si="8"/>
        <v>0.99999999999999989</v>
      </c>
      <c r="Y22" t="str">
        <f t="shared" si="9"/>
        <v>Healthy</v>
      </c>
    </row>
    <row r="23" spans="1:25" x14ac:dyDescent="0.35">
      <c r="A23" t="s">
        <v>41</v>
      </c>
      <c r="B23" t="s">
        <v>54</v>
      </c>
      <c r="C23" t="s">
        <v>55</v>
      </c>
      <c r="D23" t="s">
        <v>56</v>
      </c>
      <c r="E23">
        <v>80719418</v>
      </c>
      <c r="F23" t="s">
        <v>57</v>
      </c>
      <c r="G23" s="3">
        <v>47020</v>
      </c>
      <c r="H23">
        <v>36</v>
      </c>
      <c r="I23">
        <v>77</v>
      </c>
      <c r="J23">
        <v>6</v>
      </c>
      <c r="K23" s="4">
        <v>3383.88</v>
      </c>
      <c r="L23" s="4">
        <v>1.2857142857142858</v>
      </c>
      <c r="M23" s="4">
        <v>4.6666666666666661</v>
      </c>
      <c r="N23" t="s">
        <v>25</v>
      </c>
      <c r="O23" t="str">
        <f t="shared" si="0"/>
        <v>Low</v>
      </c>
      <c r="P23" t="str">
        <f t="shared" si="1"/>
        <v>Medium</v>
      </c>
      <c r="Q23" t="str">
        <f t="shared" si="2"/>
        <v>High</v>
      </c>
      <c r="R23" t="s">
        <v>3317</v>
      </c>
      <c r="S23" s="4">
        <f t="shared" ca="1" si="3"/>
        <v>823</v>
      </c>
      <c r="T23">
        <f t="shared" si="4"/>
        <v>1</v>
      </c>
      <c r="U23">
        <f t="shared" si="5"/>
        <v>2</v>
      </c>
      <c r="V23">
        <f t="shared" si="6"/>
        <v>3</v>
      </c>
      <c r="W23">
        <f t="shared" si="7"/>
        <v>1</v>
      </c>
      <c r="X23">
        <f t="shared" si="8"/>
        <v>1.7000000000000002</v>
      </c>
      <c r="Y23" t="str">
        <f t="shared" si="9"/>
        <v>Monitor</v>
      </c>
    </row>
    <row r="24" spans="1:25" x14ac:dyDescent="0.35">
      <c r="A24" t="s">
        <v>41</v>
      </c>
      <c r="B24" t="s">
        <v>54</v>
      </c>
      <c r="C24" t="s">
        <v>55</v>
      </c>
      <c r="D24" t="s">
        <v>56</v>
      </c>
      <c r="E24">
        <v>80719418</v>
      </c>
      <c r="F24" t="s">
        <v>57</v>
      </c>
      <c r="G24" s="3">
        <v>47020</v>
      </c>
      <c r="H24">
        <v>36</v>
      </c>
      <c r="I24">
        <v>77</v>
      </c>
      <c r="J24">
        <v>6</v>
      </c>
      <c r="K24" s="4">
        <v>3383.88</v>
      </c>
      <c r="L24" s="4">
        <v>1.2857142857142858</v>
      </c>
      <c r="M24" s="4">
        <v>4.6666666666666661</v>
      </c>
      <c r="N24" t="s">
        <v>25</v>
      </c>
      <c r="O24" t="str">
        <f t="shared" si="0"/>
        <v>Low</v>
      </c>
      <c r="P24" t="str">
        <f t="shared" si="1"/>
        <v>Medium</v>
      </c>
      <c r="Q24" t="str">
        <f t="shared" si="2"/>
        <v>High</v>
      </c>
      <c r="R24" t="s">
        <v>3317</v>
      </c>
      <c r="S24" s="4">
        <f t="shared" ca="1" si="3"/>
        <v>823</v>
      </c>
      <c r="T24">
        <f t="shared" si="4"/>
        <v>1</v>
      </c>
      <c r="U24">
        <f t="shared" si="5"/>
        <v>2</v>
      </c>
      <c r="V24">
        <f t="shared" si="6"/>
        <v>3</v>
      </c>
      <c r="W24">
        <f t="shared" si="7"/>
        <v>1</v>
      </c>
      <c r="X24">
        <f t="shared" si="8"/>
        <v>1.7000000000000002</v>
      </c>
      <c r="Y24" t="str">
        <f t="shared" si="9"/>
        <v>Monitor</v>
      </c>
    </row>
    <row r="25" spans="1:25" x14ac:dyDescent="0.35">
      <c r="A25" t="s">
        <v>14</v>
      </c>
      <c r="B25" t="s">
        <v>58</v>
      </c>
      <c r="C25" t="s">
        <v>59</v>
      </c>
      <c r="D25" t="s">
        <v>60</v>
      </c>
      <c r="E25">
        <v>80702918</v>
      </c>
      <c r="F25" t="s">
        <v>61</v>
      </c>
      <c r="G25" s="3">
        <v>47364</v>
      </c>
      <c r="H25">
        <v>60</v>
      </c>
      <c r="I25">
        <v>65</v>
      </c>
      <c r="J25">
        <v>4</v>
      </c>
      <c r="K25" s="4">
        <v>5588.4</v>
      </c>
      <c r="L25" s="4">
        <f>0</f>
        <v>0</v>
      </c>
      <c r="M25" s="4">
        <f>999</f>
        <v>999</v>
      </c>
      <c r="N25" t="s">
        <v>19</v>
      </c>
      <c r="O25" t="str">
        <f t="shared" si="0"/>
        <v>Low</v>
      </c>
      <c r="P25" t="str">
        <f t="shared" si="1"/>
        <v>High</v>
      </c>
      <c r="Q25" t="str">
        <f t="shared" si="2"/>
        <v>High</v>
      </c>
      <c r="R25" t="s">
        <v>3317</v>
      </c>
      <c r="S25" s="4">
        <f t="shared" ca="1" si="3"/>
        <v>1167</v>
      </c>
      <c r="T25">
        <f t="shared" si="4"/>
        <v>1</v>
      </c>
      <c r="U25">
        <f t="shared" si="5"/>
        <v>3</v>
      </c>
      <c r="V25">
        <f t="shared" si="6"/>
        <v>3</v>
      </c>
      <c r="W25">
        <f t="shared" si="7"/>
        <v>1</v>
      </c>
      <c r="X25">
        <f t="shared" si="8"/>
        <v>2</v>
      </c>
      <c r="Y25" t="str">
        <f t="shared" si="9"/>
        <v>Monitor</v>
      </c>
    </row>
    <row r="26" spans="1:25" x14ac:dyDescent="0.35">
      <c r="A26" t="s">
        <v>14</v>
      </c>
      <c r="B26" t="s">
        <v>15</v>
      </c>
      <c r="C26" t="s">
        <v>16</v>
      </c>
      <c r="D26" t="s">
        <v>62</v>
      </c>
      <c r="E26">
        <v>80722179</v>
      </c>
      <c r="F26" t="s">
        <v>63</v>
      </c>
      <c r="G26" s="3">
        <v>47122</v>
      </c>
      <c r="H26">
        <v>60</v>
      </c>
      <c r="I26">
        <v>52</v>
      </c>
      <c r="J26">
        <v>3</v>
      </c>
      <c r="K26" s="4">
        <v>1362.12</v>
      </c>
      <c r="L26" s="4">
        <f>0</f>
        <v>0</v>
      </c>
      <c r="M26" s="4">
        <f>999</f>
        <v>999</v>
      </c>
      <c r="N26" t="s">
        <v>19</v>
      </c>
      <c r="O26" t="str">
        <f t="shared" si="0"/>
        <v>Low</v>
      </c>
      <c r="P26" t="str">
        <f t="shared" si="1"/>
        <v>High</v>
      </c>
      <c r="Q26" t="str">
        <f t="shared" si="2"/>
        <v>High</v>
      </c>
      <c r="R26" t="s">
        <v>3317</v>
      </c>
      <c r="S26" s="4">
        <f t="shared" ca="1" si="3"/>
        <v>925</v>
      </c>
      <c r="T26">
        <f t="shared" si="4"/>
        <v>1</v>
      </c>
      <c r="U26">
        <f t="shared" si="5"/>
        <v>3</v>
      </c>
      <c r="V26">
        <f t="shared" si="6"/>
        <v>3</v>
      </c>
      <c r="W26">
        <f t="shared" si="7"/>
        <v>1</v>
      </c>
      <c r="X26">
        <f t="shared" si="8"/>
        <v>2</v>
      </c>
      <c r="Y26" t="str">
        <f t="shared" si="9"/>
        <v>Monitor</v>
      </c>
    </row>
    <row r="27" spans="1:25" x14ac:dyDescent="0.35">
      <c r="A27" t="s">
        <v>14</v>
      </c>
      <c r="B27" t="s">
        <v>58</v>
      </c>
      <c r="C27" t="s">
        <v>64</v>
      </c>
      <c r="D27" t="s">
        <v>65</v>
      </c>
      <c r="E27">
        <v>80692136</v>
      </c>
      <c r="F27" t="s">
        <v>66</v>
      </c>
      <c r="G27" s="3">
        <v>47317</v>
      </c>
      <c r="H27">
        <v>60</v>
      </c>
      <c r="I27">
        <v>63</v>
      </c>
      <c r="J27">
        <v>2</v>
      </c>
      <c r="K27" s="4">
        <v>941.12</v>
      </c>
      <c r="L27" s="4">
        <f>0</f>
        <v>0</v>
      </c>
      <c r="M27" s="4">
        <f>999</f>
        <v>999</v>
      </c>
      <c r="N27" t="s">
        <v>19</v>
      </c>
      <c r="O27" t="str">
        <f t="shared" si="0"/>
        <v>Low</v>
      </c>
      <c r="P27" t="str">
        <f t="shared" si="1"/>
        <v>High</v>
      </c>
      <c r="Q27" t="str">
        <f t="shared" si="2"/>
        <v>High</v>
      </c>
      <c r="R27" t="s">
        <v>3317</v>
      </c>
      <c r="S27" s="4">
        <f t="shared" ca="1" si="3"/>
        <v>1120</v>
      </c>
      <c r="T27">
        <f t="shared" si="4"/>
        <v>1</v>
      </c>
      <c r="U27">
        <f t="shared" si="5"/>
        <v>3</v>
      </c>
      <c r="V27">
        <f t="shared" si="6"/>
        <v>3</v>
      </c>
      <c r="W27">
        <f t="shared" si="7"/>
        <v>1</v>
      </c>
      <c r="X27">
        <f t="shared" si="8"/>
        <v>2</v>
      </c>
      <c r="Y27" t="str">
        <f t="shared" si="9"/>
        <v>Monitor</v>
      </c>
    </row>
    <row r="28" spans="1:25" x14ac:dyDescent="0.35">
      <c r="A28" t="s">
        <v>14</v>
      </c>
      <c r="B28" t="s">
        <v>58</v>
      </c>
      <c r="C28" t="s">
        <v>64</v>
      </c>
      <c r="D28" t="s">
        <v>65</v>
      </c>
      <c r="E28">
        <v>80692136</v>
      </c>
      <c r="F28" t="s">
        <v>66</v>
      </c>
      <c r="G28" s="3">
        <v>47015</v>
      </c>
      <c r="H28">
        <v>60</v>
      </c>
      <c r="I28">
        <v>46</v>
      </c>
      <c r="J28">
        <v>3</v>
      </c>
      <c r="K28" s="4">
        <v>1411.68</v>
      </c>
      <c r="L28" s="4">
        <f>0</f>
        <v>0</v>
      </c>
      <c r="M28" s="4">
        <f>999</f>
        <v>999</v>
      </c>
      <c r="N28" t="s">
        <v>19</v>
      </c>
      <c r="O28" t="str">
        <f t="shared" si="0"/>
        <v>Low</v>
      </c>
      <c r="P28" t="str">
        <f t="shared" si="1"/>
        <v>High</v>
      </c>
      <c r="Q28" t="str">
        <f t="shared" si="2"/>
        <v>High</v>
      </c>
      <c r="R28" t="s">
        <v>3317</v>
      </c>
      <c r="S28" s="4">
        <f t="shared" ca="1" si="3"/>
        <v>818</v>
      </c>
      <c r="T28">
        <f t="shared" si="4"/>
        <v>1</v>
      </c>
      <c r="U28">
        <f t="shared" si="5"/>
        <v>3</v>
      </c>
      <c r="V28">
        <f t="shared" si="6"/>
        <v>3</v>
      </c>
      <c r="W28">
        <f t="shared" si="7"/>
        <v>1</v>
      </c>
      <c r="X28">
        <f t="shared" si="8"/>
        <v>2</v>
      </c>
      <c r="Y28" t="str">
        <f t="shared" si="9"/>
        <v>Monitor</v>
      </c>
    </row>
    <row r="29" spans="1:25" x14ac:dyDescent="0.35">
      <c r="A29" t="s">
        <v>14</v>
      </c>
      <c r="B29" t="s">
        <v>58</v>
      </c>
      <c r="C29" t="s">
        <v>64</v>
      </c>
      <c r="D29" t="s">
        <v>65</v>
      </c>
      <c r="E29">
        <v>80692136</v>
      </c>
      <c r="F29" t="s">
        <v>66</v>
      </c>
      <c r="G29" s="3">
        <v>46982</v>
      </c>
      <c r="H29">
        <v>60</v>
      </c>
      <c r="I29">
        <v>44</v>
      </c>
      <c r="J29">
        <v>3</v>
      </c>
      <c r="K29" s="4">
        <v>1411.68</v>
      </c>
      <c r="L29" s="4">
        <f>0</f>
        <v>0</v>
      </c>
      <c r="M29" s="4">
        <f>999</f>
        <v>999</v>
      </c>
      <c r="N29" t="s">
        <v>19</v>
      </c>
      <c r="O29" t="str">
        <f t="shared" si="0"/>
        <v>Low</v>
      </c>
      <c r="P29" t="str">
        <f t="shared" si="1"/>
        <v>High</v>
      </c>
      <c r="Q29" t="str">
        <f t="shared" si="2"/>
        <v>High</v>
      </c>
      <c r="R29" t="s">
        <v>3317</v>
      </c>
      <c r="S29" s="4">
        <f t="shared" ca="1" si="3"/>
        <v>785</v>
      </c>
      <c r="T29">
        <f t="shared" si="4"/>
        <v>1</v>
      </c>
      <c r="U29">
        <f t="shared" si="5"/>
        <v>3</v>
      </c>
      <c r="V29">
        <f t="shared" si="6"/>
        <v>3</v>
      </c>
      <c r="W29">
        <f t="shared" si="7"/>
        <v>1</v>
      </c>
      <c r="X29">
        <f t="shared" si="8"/>
        <v>2</v>
      </c>
      <c r="Y29" t="str">
        <f t="shared" si="9"/>
        <v>Monitor</v>
      </c>
    </row>
    <row r="30" spans="1:25" x14ac:dyDescent="0.35">
      <c r="A30" t="s">
        <v>14</v>
      </c>
      <c r="B30" t="s">
        <v>67</v>
      </c>
      <c r="C30" t="s">
        <v>68</v>
      </c>
      <c r="D30" t="s">
        <v>69</v>
      </c>
      <c r="E30">
        <v>80722596</v>
      </c>
      <c r="F30" t="s">
        <v>70</v>
      </c>
      <c r="G30" s="3">
        <v>47204</v>
      </c>
      <c r="H30">
        <v>60</v>
      </c>
      <c r="I30">
        <v>56</v>
      </c>
      <c r="J30">
        <v>22</v>
      </c>
      <c r="K30" s="4">
        <v>2357.08</v>
      </c>
      <c r="L30" s="4">
        <v>0.14285714285714285</v>
      </c>
      <c r="M30" s="4">
        <v>154</v>
      </c>
      <c r="N30" t="s">
        <v>19</v>
      </c>
      <c r="O30" t="str">
        <f t="shared" si="0"/>
        <v>Low</v>
      </c>
      <c r="P30" t="str">
        <f t="shared" si="1"/>
        <v>High</v>
      </c>
      <c r="Q30" t="str">
        <f t="shared" si="2"/>
        <v>High</v>
      </c>
      <c r="R30" t="s">
        <v>3317</v>
      </c>
      <c r="S30" s="4">
        <f t="shared" ca="1" si="3"/>
        <v>1007</v>
      </c>
      <c r="T30">
        <f t="shared" si="4"/>
        <v>1</v>
      </c>
      <c r="U30">
        <f t="shared" si="5"/>
        <v>3</v>
      </c>
      <c r="V30">
        <f t="shared" si="6"/>
        <v>3</v>
      </c>
      <c r="W30">
        <f t="shared" si="7"/>
        <v>1</v>
      </c>
      <c r="X30">
        <f t="shared" si="8"/>
        <v>2</v>
      </c>
      <c r="Y30" t="str">
        <f t="shared" si="9"/>
        <v>Monitor</v>
      </c>
    </row>
    <row r="31" spans="1:25" x14ac:dyDescent="0.35">
      <c r="A31" t="s">
        <v>14</v>
      </c>
      <c r="B31" t="s">
        <v>67</v>
      </c>
      <c r="C31" t="s">
        <v>68</v>
      </c>
      <c r="D31" t="s">
        <v>69</v>
      </c>
      <c r="E31">
        <v>80722596</v>
      </c>
      <c r="F31" t="s">
        <v>70</v>
      </c>
      <c r="G31" s="3">
        <v>47058</v>
      </c>
      <c r="H31">
        <v>60</v>
      </c>
      <c r="I31">
        <v>48</v>
      </c>
      <c r="J31">
        <v>27</v>
      </c>
      <c r="K31" s="4">
        <v>2892.78</v>
      </c>
      <c r="L31" s="4">
        <v>0.14285714285714285</v>
      </c>
      <c r="M31" s="4">
        <v>189</v>
      </c>
      <c r="N31" t="s">
        <v>19</v>
      </c>
      <c r="O31" t="str">
        <f t="shared" si="0"/>
        <v>Low</v>
      </c>
      <c r="P31" t="str">
        <f t="shared" si="1"/>
        <v>High</v>
      </c>
      <c r="Q31" t="str">
        <f t="shared" si="2"/>
        <v>High</v>
      </c>
      <c r="R31" t="s">
        <v>3317</v>
      </c>
      <c r="S31" s="4">
        <f t="shared" ca="1" si="3"/>
        <v>861</v>
      </c>
      <c r="T31">
        <f t="shared" si="4"/>
        <v>1</v>
      </c>
      <c r="U31">
        <f t="shared" si="5"/>
        <v>3</v>
      </c>
      <c r="V31">
        <f t="shared" si="6"/>
        <v>3</v>
      </c>
      <c r="W31">
        <f t="shared" si="7"/>
        <v>1</v>
      </c>
      <c r="X31">
        <f t="shared" si="8"/>
        <v>2</v>
      </c>
      <c r="Y31" t="str">
        <f t="shared" si="9"/>
        <v>Monitor</v>
      </c>
    </row>
    <row r="32" spans="1:25" x14ac:dyDescent="0.35">
      <c r="A32" t="s">
        <v>14</v>
      </c>
      <c r="B32" t="s">
        <v>67</v>
      </c>
      <c r="C32" t="s">
        <v>68</v>
      </c>
      <c r="D32" t="s">
        <v>69</v>
      </c>
      <c r="E32">
        <v>80722596</v>
      </c>
      <c r="F32" t="s">
        <v>70</v>
      </c>
      <c r="G32" s="3">
        <v>47029</v>
      </c>
      <c r="H32">
        <v>60</v>
      </c>
      <c r="I32">
        <v>47</v>
      </c>
      <c r="J32">
        <v>14</v>
      </c>
      <c r="K32" s="4">
        <v>1499.96</v>
      </c>
      <c r="L32" s="4">
        <v>0.14285714285714285</v>
      </c>
      <c r="M32" s="4">
        <v>98</v>
      </c>
      <c r="N32" t="s">
        <v>19</v>
      </c>
      <c r="O32" t="str">
        <f t="shared" si="0"/>
        <v>Low</v>
      </c>
      <c r="P32" t="str">
        <f t="shared" si="1"/>
        <v>High</v>
      </c>
      <c r="Q32" t="str">
        <f t="shared" si="2"/>
        <v>High</v>
      </c>
      <c r="R32" t="s">
        <v>3317</v>
      </c>
      <c r="S32" s="4">
        <f t="shared" ca="1" si="3"/>
        <v>832</v>
      </c>
      <c r="T32">
        <f t="shared" si="4"/>
        <v>1</v>
      </c>
      <c r="U32">
        <f t="shared" si="5"/>
        <v>3</v>
      </c>
      <c r="V32">
        <f t="shared" si="6"/>
        <v>3</v>
      </c>
      <c r="W32">
        <f t="shared" si="7"/>
        <v>1</v>
      </c>
      <c r="X32">
        <f t="shared" si="8"/>
        <v>2</v>
      </c>
      <c r="Y32" t="str">
        <f t="shared" si="9"/>
        <v>Monitor</v>
      </c>
    </row>
    <row r="33" spans="1:25" x14ac:dyDescent="0.35">
      <c r="A33" t="s">
        <v>14</v>
      </c>
      <c r="B33" t="s">
        <v>67</v>
      </c>
      <c r="C33" t="s">
        <v>68</v>
      </c>
      <c r="D33" t="s">
        <v>69</v>
      </c>
      <c r="E33">
        <v>80722596</v>
      </c>
      <c r="F33" t="s">
        <v>70</v>
      </c>
      <c r="G33" s="3">
        <v>47118</v>
      </c>
      <c r="H33">
        <v>60</v>
      </c>
      <c r="I33">
        <v>51</v>
      </c>
      <c r="J33">
        <v>2</v>
      </c>
      <c r="K33" s="4">
        <v>214.28</v>
      </c>
      <c r="L33" s="4">
        <v>0.14285714285714285</v>
      </c>
      <c r="M33" s="4">
        <v>14</v>
      </c>
      <c r="N33" t="s">
        <v>19</v>
      </c>
      <c r="O33" t="str">
        <f t="shared" si="0"/>
        <v>Low</v>
      </c>
      <c r="P33" t="str">
        <f t="shared" si="1"/>
        <v>High</v>
      </c>
      <c r="Q33" t="str">
        <f t="shared" si="2"/>
        <v>High</v>
      </c>
      <c r="R33" t="s">
        <v>3317</v>
      </c>
      <c r="S33" s="4">
        <f t="shared" ca="1" si="3"/>
        <v>921</v>
      </c>
      <c r="T33">
        <f t="shared" si="4"/>
        <v>1</v>
      </c>
      <c r="U33">
        <f t="shared" si="5"/>
        <v>3</v>
      </c>
      <c r="V33">
        <f t="shared" si="6"/>
        <v>3</v>
      </c>
      <c r="W33">
        <f t="shared" si="7"/>
        <v>1</v>
      </c>
      <c r="X33">
        <f t="shared" si="8"/>
        <v>2</v>
      </c>
      <c r="Y33" t="str">
        <f t="shared" si="9"/>
        <v>Monitor</v>
      </c>
    </row>
    <row r="34" spans="1:25" x14ac:dyDescent="0.35">
      <c r="A34" t="s">
        <v>14</v>
      </c>
      <c r="B34" t="s">
        <v>67</v>
      </c>
      <c r="C34" t="s">
        <v>68</v>
      </c>
      <c r="D34" t="s">
        <v>69</v>
      </c>
      <c r="E34">
        <v>80722596</v>
      </c>
      <c r="F34" t="s">
        <v>70</v>
      </c>
      <c r="G34" s="3">
        <v>47185</v>
      </c>
      <c r="H34">
        <v>60</v>
      </c>
      <c r="I34">
        <v>55</v>
      </c>
      <c r="J34">
        <v>2</v>
      </c>
      <c r="K34" s="4">
        <v>214.28</v>
      </c>
      <c r="L34" s="4">
        <v>0.14285714285714285</v>
      </c>
      <c r="M34" s="4">
        <v>14</v>
      </c>
      <c r="N34" t="s">
        <v>19</v>
      </c>
      <c r="O34" t="str">
        <f t="shared" si="0"/>
        <v>Low</v>
      </c>
      <c r="P34" t="str">
        <f t="shared" si="1"/>
        <v>High</v>
      </c>
      <c r="Q34" t="str">
        <f t="shared" si="2"/>
        <v>High</v>
      </c>
      <c r="R34" t="s">
        <v>3317</v>
      </c>
      <c r="S34" s="4">
        <f t="shared" ca="1" si="3"/>
        <v>988</v>
      </c>
      <c r="T34">
        <f t="shared" si="4"/>
        <v>1</v>
      </c>
      <c r="U34">
        <f t="shared" si="5"/>
        <v>3</v>
      </c>
      <c r="V34">
        <f t="shared" si="6"/>
        <v>3</v>
      </c>
      <c r="W34">
        <f t="shared" si="7"/>
        <v>1</v>
      </c>
      <c r="X34">
        <f t="shared" si="8"/>
        <v>2</v>
      </c>
      <c r="Y34" t="str">
        <f t="shared" si="9"/>
        <v>Monitor</v>
      </c>
    </row>
    <row r="35" spans="1:25" x14ac:dyDescent="0.35">
      <c r="A35" t="s">
        <v>71</v>
      </c>
      <c r="B35" t="s">
        <v>72</v>
      </c>
      <c r="C35" t="s">
        <v>73</v>
      </c>
      <c r="D35" t="s">
        <v>74</v>
      </c>
      <c r="E35">
        <v>80736488</v>
      </c>
      <c r="F35" t="s">
        <v>75</v>
      </c>
      <c r="G35" s="3">
        <v>45933</v>
      </c>
      <c r="H35">
        <v>36</v>
      </c>
      <c r="I35">
        <v>0</v>
      </c>
      <c r="J35">
        <v>302</v>
      </c>
      <c r="K35" s="4">
        <v>192065.96</v>
      </c>
      <c r="L35" s="4">
        <v>1.7142857142857142</v>
      </c>
      <c r="M35" s="4">
        <v>176.16666666666669</v>
      </c>
      <c r="N35" t="s">
        <v>19</v>
      </c>
      <c r="O35" t="str">
        <f t="shared" si="0"/>
        <v>High</v>
      </c>
      <c r="P35" t="str">
        <f t="shared" si="1"/>
        <v>High</v>
      </c>
      <c r="Q35" t="str">
        <f t="shared" si="2"/>
        <v>High</v>
      </c>
      <c r="R35" t="s">
        <v>3309</v>
      </c>
      <c r="S35" s="4">
        <f t="shared" ca="1" si="3"/>
        <v>-264</v>
      </c>
      <c r="T35">
        <f t="shared" si="4"/>
        <v>3</v>
      </c>
      <c r="U35">
        <f t="shared" si="5"/>
        <v>3</v>
      </c>
      <c r="V35">
        <f t="shared" si="6"/>
        <v>3</v>
      </c>
      <c r="W35">
        <f t="shared" si="7"/>
        <v>3</v>
      </c>
      <c r="X35">
        <f t="shared" si="8"/>
        <v>3</v>
      </c>
      <c r="Y35" t="str">
        <f t="shared" si="9"/>
        <v>Move Immediately</v>
      </c>
    </row>
    <row r="36" spans="1:25" x14ac:dyDescent="0.35">
      <c r="A36" t="s">
        <v>71</v>
      </c>
      <c r="B36" t="s">
        <v>72</v>
      </c>
      <c r="C36" t="s">
        <v>73</v>
      </c>
      <c r="D36" t="s">
        <v>74</v>
      </c>
      <c r="E36">
        <v>80736488</v>
      </c>
      <c r="F36" t="s">
        <v>75</v>
      </c>
      <c r="G36" s="3">
        <v>45934</v>
      </c>
      <c r="H36">
        <v>36</v>
      </c>
      <c r="I36">
        <v>0</v>
      </c>
      <c r="J36">
        <v>1097</v>
      </c>
      <c r="K36" s="4">
        <v>697670.06</v>
      </c>
      <c r="L36" s="4">
        <v>1.7142857142857142</v>
      </c>
      <c r="M36" s="4">
        <v>639.91666666666674</v>
      </c>
      <c r="N36" t="s">
        <v>19</v>
      </c>
      <c r="O36" t="str">
        <f t="shared" si="0"/>
        <v>High</v>
      </c>
      <c r="P36" t="str">
        <f t="shared" si="1"/>
        <v>High</v>
      </c>
      <c r="Q36" t="str">
        <f t="shared" si="2"/>
        <v>High</v>
      </c>
      <c r="R36" t="s">
        <v>3309</v>
      </c>
      <c r="S36" s="4">
        <f t="shared" ca="1" si="3"/>
        <v>-263</v>
      </c>
      <c r="T36">
        <f t="shared" si="4"/>
        <v>3</v>
      </c>
      <c r="U36">
        <f t="shared" si="5"/>
        <v>3</v>
      </c>
      <c r="V36">
        <f t="shared" si="6"/>
        <v>3</v>
      </c>
      <c r="W36">
        <f t="shared" si="7"/>
        <v>3</v>
      </c>
      <c r="X36">
        <f t="shared" si="8"/>
        <v>3</v>
      </c>
      <c r="Y36" t="str">
        <f t="shared" si="9"/>
        <v>Move Immediately</v>
      </c>
    </row>
    <row r="37" spans="1:25" x14ac:dyDescent="0.35">
      <c r="A37" t="s">
        <v>71</v>
      </c>
      <c r="B37" t="s">
        <v>72</v>
      </c>
      <c r="C37" t="s">
        <v>73</v>
      </c>
      <c r="D37" t="s">
        <v>74</v>
      </c>
      <c r="E37">
        <v>80736488</v>
      </c>
      <c r="F37" t="s">
        <v>75</v>
      </c>
      <c r="G37" s="3">
        <v>46316</v>
      </c>
      <c r="H37">
        <v>36</v>
      </c>
      <c r="I37">
        <v>11</v>
      </c>
      <c r="J37">
        <v>11</v>
      </c>
      <c r="K37" s="4">
        <v>6995.78</v>
      </c>
      <c r="L37" s="4">
        <v>1.7142857142857142</v>
      </c>
      <c r="M37" s="4">
        <v>6.416666666666667</v>
      </c>
      <c r="N37" t="s">
        <v>19</v>
      </c>
      <c r="O37" t="str">
        <f t="shared" si="0"/>
        <v>High</v>
      </c>
      <c r="P37" t="str">
        <f t="shared" si="1"/>
        <v>Medium</v>
      </c>
      <c r="Q37" t="str">
        <f t="shared" si="2"/>
        <v>High</v>
      </c>
      <c r="R37" t="s">
        <v>3317</v>
      </c>
      <c r="S37" s="4">
        <f t="shared" ca="1" si="3"/>
        <v>119</v>
      </c>
      <c r="T37">
        <f t="shared" si="4"/>
        <v>3</v>
      </c>
      <c r="U37">
        <f t="shared" si="5"/>
        <v>2</v>
      </c>
      <c r="V37">
        <f t="shared" si="6"/>
        <v>3</v>
      </c>
      <c r="W37">
        <f t="shared" si="7"/>
        <v>1</v>
      </c>
      <c r="X37">
        <f t="shared" si="8"/>
        <v>2.5000000000000004</v>
      </c>
      <c r="Y37" t="str">
        <f t="shared" si="9"/>
        <v>High Priority</v>
      </c>
    </row>
    <row r="38" spans="1:25" x14ac:dyDescent="0.35">
      <c r="A38" t="s">
        <v>29</v>
      </c>
      <c r="B38" t="s">
        <v>30</v>
      </c>
      <c r="C38" t="s">
        <v>31</v>
      </c>
      <c r="D38" t="s">
        <v>76</v>
      </c>
      <c r="E38">
        <v>80694646</v>
      </c>
      <c r="F38" t="s">
        <v>77</v>
      </c>
      <c r="G38" s="3">
        <v>45864</v>
      </c>
      <c r="H38">
        <v>36</v>
      </c>
      <c r="I38">
        <v>0</v>
      </c>
      <c r="J38">
        <v>3</v>
      </c>
      <c r="K38" s="4">
        <v>873.99</v>
      </c>
      <c r="L38" s="4">
        <f>0</f>
        <v>0</v>
      </c>
      <c r="M38" s="4">
        <f>999</f>
        <v>999</v>
      </c>
      <c r="N38" t="s">
        <v>19</v>
      </c>
      <c r="O38" t="str">
        <f t="shared" si="0"/>
        <v>High</v>
      </c>
      <c r="P38" t="str">
        <f t="shared" si="1"/>
        <v>High</v>
      </c>
      <c r="Q38" t="str">
        <f t="shared" si="2"/>
        <v>High</v>
      </c>
      <c r="R38" t="s">
        <v>3317</v>
      </c>
      <c r="S38" s="4">
        <f t="shared" ca="1" si="3"/>
        <v>-333</v>
      </c>
      <c r="T38">
        <f t="shared" si="4"/>
        <v>3</v>
      </c>
      <c r="U38">
        <f t="shared" si="5"/>
        <v>3</v>
      </c>
      <c r="V38">
        <f t="shared" si="6"/>
        <v>3</v>
      </c>
      <c r="W38">
        <f t="shared" si="7"/>
        <v>1</v>
      </c>
      <c r="X38">
        <f t="shared" si="8"/>
        <v>2.8000000000000003</v>
      </c>
      <c r="Y38" t="str">
        <f t="shared" si="9"/>
        <v>Move Immediately</v>
      </c>
    </row>
    <row r="39" spans="1:25" x14ac:dyDescent="0.35">
      <c r="A39" t="s">
        <v>29</v>
      </c>
      <c r="B39" t="s">
        <v>30</v>
      </c>
      <c r="C39" t="s">
        <v>31</v>
      </c>
      <c r="D39" t="s">
        <v>76</v>
      </c>
      <c r="E39">
        <v>80694646</v>
      </c>
      <c r="F39" t="s">
        <v>77</v>
      </c>
      <c r="G39" s="3">
        <v>45864</v>
      </c>
      <c r="H39">
        <v>36</v>
      </c>
      <c r="I39">
        <v>0</v>
      </c>
      <c r="J39">
        <v>2</v>
      </c>
      <c r="K39" s="4">
        <v>582.66</v>
      </c>
      <c r="L39" s="4">
        <f>0</f>
        <v>0</v>
      </c>
      <c r="M39" s="4">
        <f>999</f>
        <v>999</v>
      </c>
      <c r="N39" t="s">
        <v>19</v>
      </c>
      <c r="O39" t="str">
        <f t="shared" si="0"/>
        <v>High</v>
      </c>
      <c r="P39" t="str">
        <f t="shared" si="1"/>
        <v>High</v>
      </c>
      <c r="Q39" t="str">
        <f t="shared" si="2"/>
        <v>High</v>
      </c>
      <c r="R39" t="s">
        <v>3317</v>
      </c>
      <c r="S39" s="4">
        <f t="shared" ca="1" si="3"/>
        <v>-333</v>
      </c>
      <c r="T39">
        <f t="shared" si="4"/>
        <v>3</v>
      </c>
      <c r="U39">
        <f t="shared" si="5"/>
        <v>3</v>
      </c>
      <c r="V39">
        <f t="shared" si="6"/>
        <v>3</v>
      </c>
      <c r="W39">
        <f t="shared" si="7"/>
        <v>1</v>
      </c>
      <c r="X39">
        <f t="shared" si="8"/>
        <v>2.8000000000000003</v>
      </c>
      <c r="Y39" t="str">
        <f t="shared" si="9"/>
        <v>Move Immediately</v>
      </c>
    </row>
    <row r="40" spans="1:25" x14ac:dyDescent="0.35">
      <c r="A40" t="s">
        <v>71</v>
      </c>
      <c r="B40" t="s">
        <v>72</v>
      </c>
      <c r="C40" t="s">
        <v>73</v>
      </c>
      <c r="D40" t="s">
        <v>78</v>
      </c>
      <c r="E40">
        <v>80736490</v>
      </c>
      <c r="F40" t="s">
        <v>79</v>
      </c>
      <c r="G40" s="3">
        <v>45949</v>
      </c>
      <c r="H40">
        <v>36</v>
      </c>
      <c r="I40">
        <v>0</v>
      </c>
      <c r="J40">
        <v>25</v>
      </c>
      <c r="K40" s="4">
        <v>15899.5</v>
      </c>
      <c r="L40" s="4">
        <v>6</v>
      </c>
      <c r="M40" s="4">
        <v>4.166666666666667</v>
      </c>
      <c r="N40" t="s">
        <v>25</v>
      </c>
      <c r="O40" t="str">
        <f t="shared" si="0"/>
        <v>High</v>
      </c>
      <c r="P40" t="str">
        <f t="shared" si="1"/>
        <v>Medium</v>
      </c>
      <c r="Q40" t="str">
        <f t="shared" si="2"/>
        <v>Medium</v>
      </c>
      <c r="R40" t="s">
        <v>3317</v>
      </c>
      <c r="S40" s="4">
        <f t="shared" ca="1" si="3"/>
        <v>-248</v>
      </c>
      <c r="T40">
        <f t="shared" si="4"/>
        <v>3</v>
      </c>
      <c r="U40">
        <f t="shared" si="5"/>
        <v>2</v>
      </c>
      <c r="V40">
        <f t="shared" si="6"/>
        <v>2</v>
      </c>
      <c r="W40">
        <f t="shared" si="7"/>
        <v>1</v>
      </c>
      <c r="X40">
        <f t="shared" si="8"/>
        <v>2.3000000000000003</v>
      </c>
      <c r="Y40" t="str">
        <f t="shared" si="9"/>
        <v>High Priority</v>
      </c>
    </row>
    <row r="41" spans="1:25" x14ac:dyDescent="0.35">
      <c r="A41" t="s">
        <v>71</v>
      </c>
      <c r="B41" t="s">
        <v>72</v>
      </c>
      <c r="C41" t="s">
        <v>73</v>
      </c>
      <c r="D41" t="s">
        <v>78</v>
      </c>
      <c r="E41">
        <v>80736490</v>
      </c>
      <c r="F41" t="s">
        <v>79</v>
      </c>
      <c r="G41" s="3">
        <v>45949</v>
      </c>
      <c r="H41">
        <v>36</v>
      </c>
      <c r="I41">
        <v>0</v>
      </c>
      <c r="J41">
        <v>5</v>
      </c>
      <c r="K41" s="4">
        <v>3179.9</v>
      </c>
      <c r="L41" s="4">
        <v>6</v>
      </c>
      <c r="M41" s="4">
        <v>0.83333333333333337</v>
      </c>
      <c r="N41" t="s">
        <v>25</v>
      </c>
      <c r="O41" t="str">
        <f t="shared" si="0"/>
        <v>High</v>
      </c>
      <c r="P41" t="str">
        <f t="shared" si="1"/>
        <v>Low</v>
      </c>
      <c r="Q41" t="str">
        <f t="shared" si="2"/>
        <v>Medium</v>
      </c>
      <c r="R41" t="s">
        <v>3317</v>
      </c>
      <c r="S41" s="4">
        <f t="shared" ca="1" si="3"/>
        <v>-248</v>
      </c>
      <c r="T41">
        <f t="shared" si="4"/>
        <v>3</v>
      </c>
      <c r="U41">
        <f t="shared" si="5"/>
        <v>1</v>
      </c>
      <c r="V41">
        <f t="shared" si="6"/>
        <v>2</v>
      </c>
      <c r="W41">
        <f t="shared" si="7"/>
        <v>1</v>
      </c>
      <c r="X41">
        <f t="shared" si="8"/>
        <v>2.0000000000000004</v>
      </c>
      <c r="Y41" t="str">
        <f t="shared" si="9"/>
        <v>Monitor</v>
      </c>
    </row>
    <row r="42" spans="1:25" x14ac:dyDescent="0.35">
      <c r="A42" t="s">
        <v>41</v>
      </c>
      <c r="B42" t="s">
        <v>80</v>
      </c>
      <c r="C42" t="s">
        <v>81</v>
      </c>
      <c r="D42" t="s">
        <v>82</v>
      </c>
      <c r="E42">
        <v>80731209</v>
      </c>
      <c r="F42" t="s">
        <v>83</v>
      </c>
      <c r="G42" s="3">
        <v>45886</v>
      </c>
      <c r="H42">
        <v>36</v>
      </c>
      <c r="I42">
        <v>0</v>
      </c>
      <c r="J42">
        <v>1</v>
      </c>
      <c r="K42" s="4">
        <v>331.99</v>
      </c>
      <c r="L42" s="4">
        <f>0</f>
        <v>0</v>
      </c>
      <c r="M42" s="4">
        <f>999</f>
        <v>999</v>
      </c>
      <c r="N42" t="s">
        <v>19</v>
      </c>
      <c r="O42" t="str">
        <f t="shared" si="0"/>
        <v>High</v>
      </c>
      <c r="P42" t="str">
        <f t="shared" si="1"/>
        <v>High</v>
      </c>
      <c r="Q42" t="str">
        <f t="shared" si="2"/>
        <v>High</v>
      </c>
      <c r="R42" t="s">
        <v>3317</v>
      </c>
      <c r="S42" s="4">
        <f t="shared" ca="1" si="3"/>
        <v>-311</v>
      </c>
      <c r="T42">
        <f t="shared" si="4"/>
        <v>3</v>
      </c>
      <c r="U42">
        <f t="shared" si="5"/>
        <v>3</v>
      </c>
      <c r="V42">
        <f t="shared" si="6"/>
        <v>3</v>
      </c>
      <c r="W42">
        <f t="shared" si="7"/>
        <v>1</v>
      </c>
      <c r="X42">
        <f t="shared" si="8"/>
        <v>2.8000000000000003</v>
      </c>
      <c r="Y42" t="str">
        <f t="shared" si="9"/>
        <v>Move Immediately</v>
      </c>
    </row>
    <row r="43" spans="1:25" x14ac:dyDescent="0.35">
      <c r="A43" t="s">
        <v>46</v>
      </c>
      <c r="B43" t="s">
        <v>47</v>
      </c>
      <c r="C43" t="s">
        <v>84</v>
      </c>
      <c r="D43" t="s">
        <v>85</v>
      </c>
      <c r="E43">
        <v>80722191</v>
      </c>
      <c r="F43" t="s">
        <v>86</v>
      </c>
      <c r="G43" s="3">
        <v>46941</v>
      </c>
      <c r="H43">
        <v>36</v>
      </c>
      <c r="I43">
        <v>69</v>
      </c>
      <c r="J43">
        <v>23</v>
      </c>
      <c r="K43" s="4">
        <v>1301.1099999999999</v>
      </c>
      <c r="L43" s="4">
        <v>182.71428571428572</v>
      </c>
      <c r="M43" s="4">
        <v>0.12587959343236904</v>
      </c>
      <c r="N43" t="s">
        <v>25</v>
      </c>
      <c r="O43" t="str">
        <f t="shared" si="0"/>
        <v>Low</v>
      </c>
      <c r="P43" t="str">
        <f t="shared" si="1"/>
        <v>Low</v>
      </c>
      <c r="Q43" t="str">
        <f t="shared" si="2"/>
        <v>Low</v>
      </c>
      <c r="R43" t="s">
        <v>3317</v>
      </c>
      <c r="S43" s="4">
        <f t="shared" ca="1" si="3"/>
        <v>744</v>
      </c>
      <c r="T43">
        <f t="shared" si="4"/>
        <v>1</v>
      </c>
      <c r="U43">
        <f t="shared" si="5"/>
        <v>1</v>
      </c>
      <c r="V43">
        <f t="shared" si="6"/>
        <v>1</v>
      </c>
      <c r="W43">
        <f t="shared" si="7"/>
        <v>1</v>
      </c>
      <c r="X43">
        <f t="shared" si="8"/>
        <v>0.99999999999999989</v>
      </c>
      <c r="Y43" t="str">
        <f t="shared" si="9"/>
        <v>Healthy</v>
      </c>
    </row>
    <row r="44" spans="1:25" x14ac:dyDescent="0.35">
      <c r="A44" t="s">
        <v>41</v>
      </c>
      <c r="B44" t="s">
        <v>54</v>
      </c>
      <c r="C44" t="s">
        <v>87</v>
      </c>
      <c r="D44" t="s">
        <v>88</v>
      </c>
      <c r="E44">
        <v>80738994</v>
      </c>
      <c r="F44" t="s">
        <v>89</v>
      </c>
      <c r="G44" s="3">
        <v>46020</v>
      </c>
      <c r="H44">
        <v>36</v>
      </c>
      <c r="I44">
        <v>0</v>
      </c>
      <c r="J44">
        <v>24</v>
      </c>
      <c r="K44" s="4">
        <v>18266.88</v>
      </c>
      <c r="L44" s="4">
        <v>3.4285714285714284</v>
      </c>
      <c r="M44" s="4">
        <v>7</v>
      </c>
      <c r="N44" t="s">
        <v>19</v>
      </c>
      <c r="O44" t="str">
        <f t="shared" si="0"/>
        <v>High</v>
      </c>
      <c r="P44" t="str">
        <f t="shared" si="1"/>
        <v>Medium</v>
      </c>
      <c r="Q44" t="str">
        <f t="shared" si="2"/>
        <v>High</v>
      </c>
      <c r="R44" t="s">
        <v>3317</v>
      </c>
      <c r="S44" s="4">
        <f t="shared" ca="1" si="3"/>
        <v>-177</v>
      </c>
      <c r="T44">
        <f t="shared" si="4"/>
        <v>3</v>
      </c>
      <c r="U44">
        <f t="shared" si="5"/>
        <v>2</v>
      </c>
      <c r="V44">
        <f t="shared" si="6"/>
        <v>3</v>
      </c>
      <c r="W44">
        <f t="shared" si="7"/>
        <v>1</v>
      </c>
      <c r="X44">
        <f t="shared" si="8"/>
        <v>2.5000000000000004</v>
      </c>
      <c r="Y44" t="str">
        <f t="shared" si="9"/>
        <v>High Priority</v>
      </c>
    </row>
    <row r="45" spans="1:25" x14ac:dyDescent="0.35">
      <c r="A45" t="s">
        <v>90</v>
      </c>
      <c r="B45" t="s">
        <v>91</v>
      </c>
      <c r="C45" t="s">
        <v>92</v>
      </c>
      <c r="D45" t="s">
        <v>93</v>
      </c>
      <c r="E45">
        <v>80743892</v>
      </c>
      <c r="F45" t="s">
        <v>94</v>
      </c>
      <c r="G45" s="3">
        <v>45627</v>
      </c>
      <c r="H45">
        <v>24</v>
      </c>
      <c r="I45">
        <v>0</v>
      </c>
      <c r="J45">
        <v>18</v>
      </c>
      <c r="K45" s="4">
        <v>2650.14</v>
      </c>
      <c r="L45" s="4">
        <f>0</f>
        <v>0</v>
      </c>
      <c r="M45" s="4">
        <f>999</f>
        <v>999</v>
      </c>
      <c r="N45" t="s">
        <v>19</v>
      </c>
      <c r="O45" t="str">
        <f t="shared" si="0"/>
        <v>High</v>
      </c>
      <c r="P45" t="str">
        <f t="shared" si="1"/>
        <v>High</v>
      </c>
      <c r="Q45" t="str">
        <f t="shared" si="2"/>
        <v>High</v>
      </c>
      <c r="R45" t="s">
        <v>3317</v>
      </c>
      <c r="S45" s="4">
        <f t="shared" ca="1" si="3"/>
        <v>-570</v>
      </c>
      <c r="T45">
        <f t="shared" si="4"/>
        <v>3</v>
      </c>
      <c r="U45">
        <f t="shared" si="5"/>
        <v>3</v>
      </c>
      <c r="V45">
        <f t="shared" si="6"/>
        <v>3</v>
      </c>
      <c r="W45">
        <f t="shared" si="7"/>
        <v>1</v>
      </c>
      <c r="X45">
        <f t="shared" si="8"/>
        <v>2.8000000000000003</v>
      </c>
      <c r="Y45" t="str">
        <f t="shared" si="9"/>
        <v>Move Immediately</v>
      </c>
    </row>
    <row r="46" spans="1:25" x14ac:dyDescent="0.35">
      <c r="A46" t="s">
        <v>41</v>
      </c>
      <c r="B46" t="s">
        <v>54</v>
      </c>
      <c r="C46" t="s">
        <v>87</v>
      </c>
      <c r="D46" t="s">
        <v>95</v>
      </c>
      <c r="E46">
        <v>80738995</v>
      </c>
      <c r="F46" t="s">
        <v>96</v>
      </c>
      <c r="G46" s="3">
        <v>45998</v>
      </c>
      <c r="H46">
        <v>36</v>
      </c>
      <c r="I46">
        <v>0</v>
      </c>
      <c r="J46">
        <v>17</v>
      </c>
      <c r="K46" s="4">
        <v>12939.04</v>
      </c>
      <c r="L46" s="4">
        <v>3.4285714285714284</v>
      </c>
      <c r="M46" s="4">
        <v>4.9583333333333339</v>
      </c>
      <c r="N46" t="s">
        <v>25</v>
      </c>
      <c r="O46" t="str">
        <f t="shared" si="0"/>
        <v>High</v>
      </c>
      <c r="P46" t="str">
        <f t="shared" si="1"/>
        <v>Medium</v>
      </c>
      <c r="Q46" t="str">
        <f t="shared" si="2"/>
        <v>High</v>
      </c>
      <c r="R46" t="s">
        <v>3317</v>
      </c>
      <c r="S46" s="4">
        <f t="shared" ca="1" si="3"/>
        <v>-199</v>
      </c>
      <c r="T46">
        <f t="shared" si="4"/>
        <v>3</v>
      </c>
      <c r="U46">
        <f t="shared" si="5"/>
        <v>2</v>
      </c>
      <c r="V46">
        <f t="shared" si="6"/>
        <v>3</v>
      </c>
      <c r="W46">
        <f t="shared" si="7"/>
        <v>1</v>
      </c>
      <c r="X46">
        <f t="shared" si="8"/>
        <v>2.5000000000000004</v>
      </c>
      <c r="Y46" t="str">
        <f t="shared" si="9"/>
        <v>High Priority</v>
      </c>
    </row>
    <row r="47" spans="1:25" x14ac:dyDescent="0.35">
      <c r="A47" t="s">
        <v>71</v>
      </c>
      <c r="B47" t="s">
        <v>72</v>
      </c>
      <c r="C47" t="s">
        <v>73</v>
      </c>
      <c r="D47" t="s">
        <v>97</v>
      </c>
      <c r="E47">
        <v>80742038</v>
      </c>
      <c r="F47" t="s">
        <v>98</v>
      </c>
      <c r="G47" s="3">
        <v>46117</v>
      </c>
      <c r="H47">
        <v>36</v>
      </c>
      <c r="I47">
        <v>0</v>
      </c>
      <c r="J47">
        <v>2</v>
      </c>
      <c r="K47" s="4">
        <v>1347.16</v>
      </c>
      <c r="L47" s="4">
        <f>0</f>
        <v>0</v>
      </c>
      <c r="M47" s="4">
        <f>999</f>
        <v>999</v>
      </c>
      <c r="N47" t="s">
        <v>19</v>
      </c>
      <c r="O47" t="str">
        <f t="shared" si="0"/>
        <v>High</v>
      </c>
      <c r="P47" t="str">
        <f t="shared" si="1"/>
        <v>High</v>
      </c>
      <c r="Q47" t="str">
        <f t="shared" si="2"/>
        <v>High</v>
      </c>
      <c r="R47" t="s">
        <v>3317</v>
      </c>
      <c r="S47" s="4">
        <f t="shared" ca="1" si="3"/>
        <v>-80</v>
      </c>
      <c r="T47">
        <f t="shared" si="4"/>
        <v>3</v>
      </c>
      <c r="U47">
        <f t="shared" si="5"/>
        <v>3</v>
      </c>
      <c r="V47">
        <f t="shared" si="6"/>
        <v>3</v>
      </c>
      <c r="W47">
        <f t="shared" si="7"/>
        <v>1</v>
      </c>
      <c r="X47">
        <f t="shared" si="8"/>
        <v>2.8000000000000003</v>
      </c>
      <c r="Y47" t="str">
        <f t="shared" si="9"/>
        <v>Move Immediately</v>
      </c>
    </row>
    <row r="48" spans="1:25" x14ac:dyDescent="0.35">
      <c r="A48" t="s">
        <v>71</v>
      </c>
      <c r="B48" t="s">
        <v>72</v>
      </c>
      <c r="C48" t="s">
        <v>73</v>
      </c>
      <c r="D48" t="s">
        <v>97</v>
      </c>
      <c r="E48">
        <v>80742038</v>
      </c>
      <c r="F48" t="s">
        <v>98</v>
      </c>
      <c r="G48" s="3">
        <v>46154</v>
      </c>
      <c r="H48">
        <v>36</v>
      </c>
      <c r="I48">
        <v>0</v>
      </c>
      <c r="J48">
        <v>4</v>
      </c>
      <c r="K48" s="4">
        <v>2694.32</v>
      </c>
      <c r="L48" s="4">
        <f>0</f>
        <v>0</v>
      </c>
      <c r="M48" s="4">
        <f>999</f>
        <v>999</v>
      </c>
      <c r="N48" t="s">
        <v>19</v>
      </c>
      <c r="O48" t="str">
        <f t="shared" si="0"/>
        <v>High</v>
      </c>
      <c r="P48" t="str">
        <f t="shared" si="1"/>
        <v>High</v>
      </c>
      <c r="Q48" t="str">
        <f t="shared" si="2"/>
        <v>High</v>
      </c>
      <c r="R48" t="s">
        <v>3317</v>
      </c>
      <c r="S48" s="4">
        <f t="shared" ca="1" si="3"/>
        <v>-43</v>
      </c>
      <c r="T48">
        <f t="shared" si="4"/>
        <v>3</v>
      </c>
      <c r="U48">
        <f t="shared" si="5"/>
        <v>3</v>
      </c>
      <c r="V48">
        <f t="shared" si="6"/>
        <v>3</v>
      </c>
      <c r="W48">
        <f t="shared" si="7"/>
        <v>1</v>
      </c>
      <c r="X48">
        <f t="shared" si="8"/>
        <v>2.8000000000000003</v>
      </c>
      <c r="Y48" t="str">
        <f t="shared" si="9"/>
        <v>Move Immediately</v>
      </c>
    </row>
    <row r="49" spans="1:25" x14ac:dyDescent="0.35">
      <c r="A49" t="s">
        <v>99</v>
      </c>
      <c r="B49" t="s">
        <v>100</v>
      </c>
      <c r="C49" t="s">
        <v>101</v>
      </c>
      <c r="D49" t="s">
        <v>102</v>
      </c>
      <c r="E49">
        <v>80739423</v>
      </c>
      <c r="F49" t="s">
        <v>103</v>
      </c>
      <c r="G49" s="3">
        <v>46677</v>
      </c>
      <c r="H49">
        <v>18</v>
      </c>
      <c r="I49">
        <v>90</v>
      </c>
      <c r="J49">
        <v>81</v>
      </c>
      <c r="K49" s="4">
        <v>20216.79</v>
      </c>
      <c r="L49" s="4">
        <v>497.71428571428572</v>
      </c>
      <c r="M49" s="4">
        <v>0.16274397244546498</v>
      </c>
      <c r="N49" t="s">
        <v>25</v>
      </c>
      <c r="O49" t="str">
        <f t="shared" si="0"/>
        <v>Low</v>
      </c>
      <c r="P49" t="str">
        <f t="shared" si="1"/>
        <v>Low</v>
      </c>
      <c r="Q49" t="str">
        <f t="shared" si="2"/>
        <v>Low</v>
      </c>
      <c r="R49" t="s">
        <v>3317</v>
      </c>
      <c r="S49" s="4">
        <f t="shared" ca="1" si="3"/>
        <v>480</v>
      </c>
      <c r="T49">
        <f t="shared" si="4"/>
        <v>1</v>
      </c>
      <c r="U49">
        <f t="shared" si="5"/>
        <v>1</v>
      </c>
      <c r="V49">
        <f t="shared" si="6"/>
        <v>1</v>
      </c>
      <c r="W49">
        <f t="shared" si="7"/>
        <v>1</v>
      </c>
      <c r="X49">
        <f t="shared" si="8"/>
        <v>0.99999999999999989</v>
      </c>
      <c r="Y49" t="str">
        <f t="shared" si="9"/>
        <v>Healthy</v>
      </c>
    </row>
    <row r="50" spans="1:25" x14ac:dyDescent="0.35">
      <c r="A50" t="s">
        <v>99</v>
      </c>
      <c r="B50" t="s">
        <v>100</v>
      </c>
      <c r="C50" t="s">
        <v>101</v>
      </c>
      <c r="D50" t="s">
        <v>102</v>
      </c>
      <c r="E50">
        <v>80739423</v>
      </c>
      <c r="F50" t="s">
        <v>103</v>
      </c>
      <c r="G50" s="3">
        <v>46595</v>
      </c>
      <c r="H50">
        <v>18</v>
      </c>
      <c r="I50">
        <v>75</v>
      </c>
      <c r="J50">
        <v>96</v>
      </c>
      <c r="K50" s="4">
        <v>23960.639999999999</v>
      </c>
      <c r="L50" s="4">
        <v>497.71428571428572</v>
      </c>
      <c r="M50" s="4">
        <v>0.19288174512055109</v>
      </c>
      <c r="N50" t="s">
        <v>25</v>
      </c>
      <c r="O50" t="str">
        <f t="shared" si="0"/>
        <v>Low</v>
      </c>
      <c r="P50" t="str">
        <f t="shared" si="1"/>
        <v>Low</v>
      </c>
      <c r="Q50" t="str">
        <f t="shared" si="2"/>
        <v>Low</v>
      </c>
      <c r="R50" t="s">
        <v>3317</v>
      </c>
      <c r="S50" s="4">
        <f t="shared" ca="1" si="3"/>
        <v>398</v>
      </c>
      <c r="T50">
        <f t="shared" si="4"/>
        <v>1</v>
      </c>
      <c r="U50">
        <f t="shared" si="5"/>
        <v>1</v>
      </c>
      <c r="V50">
        <f t="shared" si="6"/>
        <v>1</v>
      </c>
      <c r="W50">
        <f t="shared" si="7"/>
        <v>1</v>
      </c>
      <c r="X50">
        <f t="shared" si="8"/>
        <v>0.99999999999999989</v>
      </c>
      <c r="Y50" t="str">
        <f t="shared" si="9"/>
        <v>Healthy</v>
      </c>
    </row>
    <row r="51" spans="1:25" x14ac:dyDescent="0.35">
      <c r="A51" t="s">
        <v>104</v>
      </c>
      <c r="B51" t="s">
        <v>105</v>
      </c>
      <c r="C51" t="s">
        <v>106</v>
      </c>
      <c r="D51" t="s">
        <v>107</v>
      </c>
      <c r="E51">
        <v>80728955</v>
      </c>
      <c r="F51" t="s">
        <v>108</v>
      </c>
      <c r="G51" s="3">
        <v>46410</v>
      </c>
      <c r="H51">
        <v>24</v>
      </c>
      <c r="I51">
        <v>30</v>
      </c>
      <c r="J51">
        <v>59</v>
      </c>
      <c r="K51" s="4">
        <v>16472.21</v>
      </c>
      <c r="L51" s="4">
        <v>115.42857142857143</v>
      </c>
      <c r="M51" s="4">
        <v>0.51113861386138615</v>
      </c>
      <c r="N51" t="s">
        <v>25</v>
      </c>
      <c r="O51" t="str">
        <f t="shared" si="0"/>
        <v>Medium</v>
      </c>
      <c r="P51" t="str">
        <f t="shared" si="1"/>
        <v>Low</v>
      </c>
      <c r="Q51" t="str">
        <f t="shared" si="2"/>
        <v>Low</v>
      </c>
      <c r="R51" t="s">
        <v>3317</v>
      </c>
      <c r="S51" s="4">
        <f t="shared" ca="1" si="3"/>
        <v>213</v>
      </c>
      <c r="T51">
        <f t="shared" si="4"/>
        <v>2</v>
      </c>
      <c r="U51">
        <f t="shared" si="5"/>
        <v>1</v>
      </c>
      <c r="V51">
        <f t="shared" si="6"/>
        <v>1</v>
      </c>
      <c r="W51">
        <f t="shared" si="7"/>
        <v>1</v>
      </c>
      <c r="X51">
        <f t="shared" si="8"/>
        <v>1.4000000000000001</v>
      </c>
      <c r="Y51" t="str">
        <f t="shared" si="9"/>
        <v>Healthy</v>
      </c>
    </row>
    <row r="52" spans="1:25" x14ac:dyDescent="0.35">
      <c r="A52" t="s">
        <v>99</v>
      </c>
      <c r="B52" t="s">
        <v>100</v>
      </c>
      <c r="C52" t="s">
        <v>101</v>
      </c>
      <c r="D52" t="s">
        <v>102</v>
      </c>
      <c r="E52">
        <v>80739423</v>
      </c>
      <c r="F52" t="s">
        <v>103</v>
      </c>
      <c r="G52" s="3">
        <v>46594</v>
      </c>
      <c r="H52">
        <v>18</v>
      </c>
      <c r="I52">
        <v>74</v>
      </c>
      <c r="J52">
        <v>332</v>
      </c>
      <c r="K52" s="4">
        <v>82863.88</v>
      </c>
      <c r="L52" s="4">
        <v>497.71428571428572</v>
      </c>
      <c r="M52" s="4">
        <v>0.66704936854190588</v>
      </c>
      <c r="N52" t="s">
        <v>25</v>
      </c>
      <c r="O52" t="str">
        <f t="shared" si="0"/>
        <v>Low</v>
      </c>
      <c r="P52" t="str">
        <f t="shared" si="1"/>
        <v>Low</v>
      </c>
      <c r="Q52" t="str">
        <f t="shared" si="2"/>
        <v>Low</v>
      </c>
      <c r="R52" t="s">
        <v>3310</v>
      </c>
      <c r="S52" s="4">
        <f t="shared" ca="1" si="3"/>
        <v>397</v>
      </c>
      <c r="T52">
        <f t="shared" si="4"/>
        <v>1</v>
      </c>
      <c r="U52">
        <f t="shared" si="5"/>
        <v>1</v>
      </c>
      <c r="V52">
        <f t="shared" si="6"/>
        <v>1</v>
      </c>
      <c r="W52">
        <f t="shared" si="7"/>
        <v>2</v>
      </c>
      <c r="X52">
        <f t="shared" si="8"/>
        <v>1.0999999999999999</v>
      </c>
      <c r="Y52" t="str">
        <f t="shared" si="9"/>
        <v>Healthy</v>
      </c>
    </row>
    <row r="53" spans="1:25" x14ac:dyDescent="0.35">
      <c r="A53" t="s">
        <v>99</v>
      </c>
      <c r="B53" t="s">
        <v>100</v>
      </c>
      <c r="C53" t="s">
        <v>101</v>
      </c>
      <c r="D53" t="s">
        <v>102</v>
      </c>
      <c r="E53">
        <v>80739423</v>
      </c>
      <c r="F53" t="s">
        <v>103</v>
      </c>
      <c r="G53" s="3">
        <v>46675</v>
      </c>
      <c r="H53">
        <v>18</v>
      </c>
      <c r="I53">
        <v>89</v>
      </c>
      <c r="J53">
        <v>44</v>
      </c>
      <c r="K53" s="4">
        <v>10981.96</v>
      </c>
      <c r="L53" s="4">
        <v>497.71428571428572</v>
      </c>
      <c r="M53" s="4">
        <v>8.8404133180252586E-2</v>
      </c>
      <c r="N53" t="s">
        <v>25</v>
      </c>
      <c r="O53" t="str">
        <f t="shared" si="0"/>
        <v>Low</v>
      </c>
      <c r="P53" t="str">
        <f t="shared" si="1"/>
        <v>Low</v>
      </c>
      <c r="Q53" t="str">
        <f t="shared" si="2"/>
        <v>Low</v>
      </c>
      <c r="R53" t="s">
        <v>3317</v>
      </c>
      <c r="S53" s="4">
        <f t="shared" ca="1" si="3"/>
        <v>478</v>
      </c>
      <c r="T53">
        <f t="shared" si="4"/>
        <v>1</v>
      </c>
      <c r="U53">
        <f t="shared" si="5"/>
        <v>1</v>
      </c>
      <c r="V53">
        <f t="shared" si="6"/>
        <v>1</v>
      </c>
      <c r="W53">
        <f t="shared" si="7"/>
        <v>1</v>
      </c>
      <c r="X53">
        <f t="shared" si="8"/>
        <v>0.99999999999999989</v>
      </c>
      <c r="Y53" t="str">
        <f t="shared" si="9"/>
        <v>Healthy</v>
      </c>
    </row>
    <row r="54" spans="1:25" x14ac:dyDescent="0.35">
      <c r="A54" t="s">
        <v>104</v>
      </c>
      <c r="B54" t="s">
        <v>105</v>
      </c>
      <c r="C54" t="s">
        <v>106</v>
      </c>
      <c r="D54" t="s">
        <v>107</v>
      </c>
      <c r="E54">
        <v>80728955</v>
      </c>
      <c r="F54" t="s">
        <v>108</v>
      </c>
      <c r="G54" s="3">
        <v>46686</v>
      </c>
      <c r="H54">
        <v>24</v>
      </c>
      <c r="I54">
        <v>69</v>
      </c>
      <c r="J54">
        <v>19</v>
      </c>
      <c r="K54" s="4">
        <v>5304.61</v>
      </c>
      <c r="L54" s="4">
        <v>115.42857142857143</v>
      </c>
      <c r="M54" s="4">
        <v>0.16460396039603961</v>
      </c>
      <c r="N54" t="s">
        <v>25</v>
      </c>
      <c r="O54" t="str">
        <f t="shared" si="0"/>
        <v>Low</v>
      </c>
      <c r="P54" t="str">
        <f t="shared" si="1"/>
        <v>Low</v>
      </c>
      <c r="Q54" t="str">
        <f t="shared" si="2"/>
        <v>Low</v>
      </c>
      <c r="R54" t="s">
        <v>3317</v>
      </c>
      <c r="S54" s="4">
        <f t="shared" ca="1" si="3"/>
        <v>489</v>
      </c>
      <c r="T54">
        <f t="shared" si="4"/>
        <v>1</v>
      </c>
      <c r="U54">
        <f t="shared" si="5"/>
        <v>1</v>
      </c>
      <c r="V54">
        <f t="shared" si="6"/>
        <v>1</v>
      </c>
      <c r="W54">
        <f t="shared" si="7"/>
        <v>1</v>
      </c>
      <c r="X54">
        <f t="shared" si="8"/>
        <v>0.99999999999999989</v>
      </c>
      <c r="Y54" t="str">
        <f t="shared" si="9"/>
        <v>Healthy</v>
      </c>
    </row>
    <row r="55" spans="1:25" x14ac:dyDescent="0.35">
      <c r="A55" t="s">
        <v>104</v>
      </c>
      <c r="B55" t="s">
        <v>105</v>
      </c>
      <c r="C55" t="s">
        <v>106</v>
      </c>
      <c r="D55" t="s">
        <v>107</v>
      </c>
      <c r="E55">
        <v>80728955</v>
      </c>
      <c r="F55" t="s">
        <v>108</v>
      </c>
      <c r="G55" s="3">
        <v>46827</v>
      </c>
      <c r="H55">
        <v>24</v>
      </c>
      <c r="I55">
        <v>88</v>
      </c>
      <c r="J55">
        <v>56</v>
      </c>
      <c r="K55" s="4">
        <v>15634.64</v>
      </c>
      <c r="L55" s="4">
        <v>115.42857142857143</v>
      </c>
      <c r="M55" s="4">
        <v>0.48514851485148514</v>
      </c>
      <c r="N55" t="s">
        <v>25</v>
      </c>
      <c r="O55" t="str">
        <f t="shared" si="0"/>
        <v>Low</v>
      </c>
      <c r="P55" t="str">
        <f t="shared" si="1"/>
        <v>Low</v>
      </c>
      <c r="Q55" t="str">
        <f t="shared" si="2"/>
        <v>Low</v>
      </c>
      <c r="R55" t="s">
        <v>3317</v>
      </c>
      <c r="S55" s="4">
        <f t="shared" ca="1" si="3"/>
        <v>630</v>
      </c>
      <c r="T55">
        <f t="shared" si="4"/>
        <v>1</v>
      </c>
      <c r="U55">
        <f t="shared" si="5"/>
        <v>1</v>
      </c>
      <c r="V55">
        <f t="shared" si="6"/>
        <v>1</v>
      </c>
      <c r="W55">
        <f t="shared" si="7"/>
        <v>1</v>
      </c>
      <c r="X55">
        <f t="shared" si="8"/>
        <v>0.99999999999999989</v>
      </c>
      <c r="Y55" t="str">
        <f t="shared" si="9"/>
        <v>Healthy</v>
      </c>
    </row>
    <row r="56" spans="1:25" x14ac:dyDescent="0.35">
      <c r="A56" t="s">
        <v>14</v>
      </c>
      <c r="B56" t="s">
        <v>58</v>
      </c>
      <c r="C56" t="s">
        <v>109</v>
      </c>
      <c r="D56" t="s">
        <v>110</v>
      </c>
      <c r="E56">
        <v>80720272</v>
      </c>
      <c r="F56" t="s">
        <v>111</v>
      </c>
      <c r="G56" s="3">
        <v>47125</v>
      </c>
      <c r="H56">
        <v>60</v>
      </c>
      <c r="I56">
        <v>52</v>
      </c>
      <c r="J56">
        <v>8</v>
      </c>
      <c r="K56" s="4">
        <v>6850.08</v>
      </c>
      <c r="L56" s="4">
        <v>6.8571428571428568</v>
      </c>
      <c r="M56" s="4">
        <v>1.1666666666666667</v>
      </c>
      <c r="N56" t="s">
        <v>25</v>
      </c>
      <c r="O56" t="str">
        <f t="shared" si="0"/>
        <v>Low</v>
      </c>
      <c r="P56" t="str">
        <f t="shared" si="1"/>
        <v>Low</v>
      </c>
      <c r="Q56" t="str">
        <f t="shared" si="2"/>
        <v>Medium</v>
      </c>
      <c r="R56" t="s">
        <v>3317</v>
      </c>
      <c r="S56" s="4">
        <f t="shared" ca="1" si="3"/>
        <v>928</v>
      </c>
      <c r="T56">
        <f t="shared" si="4"/>
        <v>1</v>
      </c>
      <c r="U56">
        <f t="shared" si="5"/>
        <v>1</v>
      </c>
      <c r="V56">
        <f t="shared" si="6"/>
        <v>2</v>
      </c>
      <c r="W56">
        <f t="shared" si="7"/>
        <v>1</v>
      </c>
      <c r="X56">
        <f t="shared" si="8"/>
        <v>1.2000000000000002</v>
      </c>
      <c r="Y56" t="str">
        <f t="shared" si="9"/>
        <v>Healthy</v>
      </c>
    </row>
    <row r="57" spans="1:25" x14ac:dyDescent="0.35">
      <c r="A57" t="s">
        <v>90</v>
      </c>
      <c r="B57" t="s">
        <v>91</v>
      </c>
      <c r="C57" t="s">
        <v>112</v>
      </c>
      <c r="D57" t="s">
        <v>113</v>
      </c>
      <c r="E57">
        <v>80744851</v>
      </c>
      <c r="F57" t="s">
        <v>114</v>
      </c>
      <c r="G57" s="3">
        <v>46150</v>
      </c>
      <c r="H57">
        <v>24</v>
      </c>
      <c r="I57">
        <v>0</v>
      </c>
      <c r="J57">
        <v>98</v>
      </c>
      <c r="K57" s="4">
        <v>43785.42</v>
      </c>
      <c r="L57" s="4">
        <v>23.142857142857142</v>
      </c>
      <c r="M57" s="4">
        <v>4.2345679012345681</v>
      </c>
      <c r="N57" t="s">
        <v>25</v>
      </c>
      <c r="O57" t="str">
        <f t="shared" si="0"/>
        <v>High</v>
      </c>
      <c r="P57" t="str">
        <f t="shared" si="1"/>
        <v>Medium</v>
      </c>
      <c r="Q57" t="str">
        <f t="shared" si="2"/>
        <v>Low</v>
      </c>
      <c r="R57" t="s">
        <v>3317</v>
      </c>
      <c r="S57" s="4">
        <f t="shared" ca="1" si="3"/>
        <v>-47</v>
      </c>
      <c r="T57">
        <f t="shared" si="4"/>
        <v>3</v>
      </c>
      <c r="U57">
        <f t="shared" si="5"/>
        <v>2</v>
      </c>
      <c r="V57">
        <f t="shared" si="6"/>
        <v>1</v>
      </c>
      <c r="W57">
        <f t="shared" si="7"/>
        <v>1</v>
      </c>
      <c r="X57">
        <f t="shared" si="8"/>
        <v>2.1000000000000005</v>
      </c>
      <c r="Y57" t="str">
        <f t="shared" si="9"/>
        <v>Monitor</v>
      </c>
    </row>
    <row r="58" spans="1:25" x14ac:dyDescent="0.35">
      <c r="A58" t="s">
        <v>90</v>
      </c>
      <c r="B58" t="s">
        <v>91</v>
      </c>
      <c r="C58" t="s">
        <v>112</v>
      </c>
      <c r="D58" t="s">
        <v>113</v>
      </c>
      <c r="E58">
        <v>80744851</v>
      </c>
      <c r="F58" t="s">
        <v>114</v>
      </c>
      <c r="G58" s="3">
        <v>46165</v>
      </c>
      <c r="H58">
        <v>24</v>
      </c>
      <c r="I58">
        <v>0</v>
      </c>
      <c r="J58">
        <v>73</v>
      </c>
      <c r="K58" s="4">
        <v>32615.67</v>
      </c>
      <c r="L58" s="4">
        <v>23.142857142857142</v>
      </c>
      <c r="M58" s="4">
        <v>3.1543209876543212</v>
      </c>
      <c r="N58" t="s">
        <v>25</v>
      </c>
      <c r="O58" t="str">
        <f t="shared" si="0"/>
        <v>High</v>
      </c>
      <c r="P58" t="str">
        <f t="shared" si="1"/>
        <v>Low</v>
      </c>
      <c r="Q58" t="str">
        <f t="shared" si="2"/>
        <v>Low</v>
      </c>
      <c r="R58" t="s">
        <v>3317</v>
      </c>
      <c r="S58" s="4">
        <f t="shared" ca="1" si="3"/>
        <v>-32</v>
      </c>
      <c r="T58">
        <f t="shared" si="4"/>
        <v>3</v>
      </c>
      <c r="U58">
        <f t="shared" si="5"/>
        <v>1</v>
      </c>
      <c r="V58">
        <f t="shared" si="6"/>
        <v>1</v>
      </c>
      <c r="W58">
        <f t="shared" si="7"/>
        <v>1</v>
      </c>
      <c r="X58">
        <f t="shared" si="8"/>
        <v>1.8000000000000003</v>
      </c>
      <c r="Y58" t="str">
        <f t="shared" si="9"/>
        <v>Monitor</v>
      </c>
    </row>
    <row r="59" spans="1:25" x14ac:dyDescent="0.35">
      <c r="A59" t="s">
        <v>90</v>
      </c>
      <c r="B59" t="s">
        <v>91</v>
      </c>
      <c r="C59" t="s">
        <v>112</v>
      </c>
      <c r="D59" t="s">
        <v>113</v>
      </c>
      <c r="E59">
        <v>80744851</v>
      </c>
      <c r="F59" t="s">
        <v>114</v>
      </c>
      <c r="G59" s="3">
        <v>46208</v>
      </c>
      <c r="H59">
        <v>24</v>
      </c>
      <c r="I59">
        <v>2</v>
      </c>
      <c r="J59">
        <v>90</v>
      </c>
      <c r="K59" s="4">
        <v>40211.1</v>
      </c>
      <c r="L59" s="4">
        <v>23.142857142857142</v>
      </c>
      <c r="M59" s="4">
        <v>3.8888888888888888</v>
      </c>
      <c r="N59" t="s">
        <v>25</v>
      </c>
      <c r="O59" t="str">
        <f t="shared" si="0"/>
        <v>High</v>
      </c>
      <c r="P59" t="str">
        <f t="shared" si="1"/>
        <v>Low</v>
      </c>
      <c r="Q59" t="str">
        <f t="shared" si="2"/>
        <v>Low</v>
      </c>
      <c r="R59" t="s">
        <v>3317</v>
      </c>
      <c r="S59" s="4">
        <f t="shared" ca="1" si="3"/>
        <v>11</v>
      </c>
      <c r="T59">
        <f t="shared" si="4"/>
        <v>3</v>
      </c>
      <c r="U59">
        <f t="shared" si="5"/>
        <v>1</v>
      </c>
      <c r="V59">
        <f t="shared" si="6"/>
        <v>1</v>
      </c>
      <c r="W59">
        <f t="shared" si="7"/>
        <v>1</v>
      </c>
      <c r="X59">
        <f t="shared" si="8"/>
        <v>1.8000000000000003</v>
      </c>
      <c r="Y59" t="str">
        <f t="shared" si="9"/>
        <v>Monitor</v>
      </c>
    </row>
    <row r="60" spans="1:25" x14ac:dyDescent="0.35">
      <c r="A60" t="s">
        <v>90</v>
      </c>
      <c r="B60" t="s">
        <v>91</v>
      </c>
      <c r="C60" t="s">
        <v>112</v>
      </c>
      <c r="D60" t="s">
        <v>113</v>
      </c>
      <c r="E60">
        <v>80744851</v>
      </c>
      <c r="F60" t="s">
        <v>114</v>
      </c>
      <c r="G60" s="3">
        <v>46153</v>
      </c>
      <c r="H60">
        <v>24</v>
      </c>
      <c r="I60">
        <v>0</v>
      </c>
      <c r="J60">
        <v>93</v>
      </c>
      <c r="K60" s="4">
        <v>41551.47</v>
      </c>
      <c r="L60" s="4">
        <v>23.142857142857142</v>
      </c>
      <c r="M60" s="4">
        <v>4.018518518518519</v>
      </c>
      <c r="N60" t="s">
        <v>25</v>
      </c>
      <c r="O60" t="str">
        <f t="shared" si="0"/>
        <v>High</v>
      </c>
      <c r="P60" t="str">
        <f t="shared" si="1"/>
        <v>Medium</v>
      </c>
      <c r="Q60" t="str">
        <f t="shared" si="2"/>
        <v>Low</v>
      </c>
      <c r="R60" t="s">
        <v>3317</v>
      </c>
      <c r="S60" s="4">
        <f t="shared" ca="1" si="3"/>
        <v>-44</v>
      </c>
      <c r="T60">
        <f t="shared" si="4"/>
        <v>3</v>
      </c>
      <c r="U60">
        <f t="shared" si="5"/>
        <v>2</v>
      </c>
      <c r="V60">
        <f t="shared" si="6"/>
        <v>1</v>
      </c>
      <c r="W60">
        <f t="shared" si="7"/>
        <v>1</v>
      </c>
      <c r="X60">
        <f t="shared" si="8"/>
        <v>2.1000000000000005</v>
      </c>
      <c r="Y60" t="str">
        <f t="shared" si="9"/>
        <v>Monitor</v>
      </c>
    </row>
    <row r="61" spans="1:25" x14ac:dyDescent="0.35">
      <c r="A61" t="s">
        <v>90</v>
      </c>
      <c r="B61" t="s">
        <v>91</v>
      </c>
      <c r="C61" t="s">
        <v>112</v>
      </c>
      <c r="D61" t="s">
        <v>113</v>
      </c>
      <c r="E61">
        <v>80744851</v>
      </c>
      <c r="F61" t="s">
        <v>114</v>
      </c>
      <c r="G61" s="3">
        <v>46178</v>
      </c>
      <c r="H61">
        <v>24</v>
      </c>
      <c r="I61">
        <v>0</v>
      </c>
      <c r="J61">
        <v>18</v>
      </c>
      <c r="K61" s="4">
        <v>8042.22</v>
      </c>
      <c r="L61" s="4">
        <v>23.142857142857142</v>
      </c>
      <c r="M61" s="4">
        <v>0.77777777777777779</v>
      </c>
      <c r="N61" t="s">
        <v>25</v>
      </c>
      <c r="O61" t="str">
        <f t="shared" si="0"/>
        <v>High</v>
      </c>
      <c r="P61" t="str">
        <f t="shared" si="1"/>
        <v>Low</v>
      </c>
      <c r="Q61" t="str">
        <f t="shared" si="2"/>
        <v>Low</v>
      </c>
      <c r="R61" t="s">
        <v>3317</v>
      </c>
      <c r="S61" s="4">
        <f t="shared" ca="1" si="3"/>
        <v>-19</v>
      </c>
      <c r="T61">
        <f t="shared" si="4"/>
        <v>3</v>
      </c>
      <c r="U61">
        <f t="shared" si="5"/>
        <v>1</v>
      </c>
      <c r="V61">
        <f t="shared" si="6"/>
        <v>1</v>
      </c>
      <c r="W61">
        <f t="shared" si="7"/>
        <v>1</v>
      </c>
      <c r="X61">
        <f t="shared" si="8"/>
        <v>1.8000000000000003</v>
      </c>
      <c r="Y61" t="str">
        <f t="shared" si="9"/>
        <v>Monitor</v>
      </c>
    </row>
    <row r="62" spans="1:25" x14ac:dyDescent="0.35">
      <c r="A62" t="s">
        <v>14</v>
      </c>
      <c r="B62" t="s">
        <v>115</v>
      </c>
      <c r="C62" t="s">
        <v>116</v>
      </c>
      <c r="D62" t="s">
        <v>117</v>
      </c>
      <c r="E62">
        <v>80737755</v>
      </c>
      <c r="F62" t="s">
        <v>118</v>
      </c>
      <c r="G62" s="3">
        <v>47032</v>
      </c>
      <c r="H62">
        <v>60</v>
      </c>
      <c r="I62">
        <v>47</v>
      </c>
      <c r="J62">
        <v>10</v>
      </c>
      <c r="K62" s="4">
        <v>1034.0999999999999</v>
      </c>
      <c r="L62" s="4">
        <f>0</f>
        <v>0</v>
      </c>
      <c r="M62" s="4">
        <f>999</f>
        <v>999</v>
      </c>
      <c r="N62" t="s">
        <v>19</v>
      </c>
      <c r="O62" t="str">
        <f t="shared" si="0"/>
        <v>Low</v>
      </c>
      <c r="P62" t="str">
        <f t="shared" si="1"/>
        <v>High</v>
      </c>
      <c r="Q62" t="str">
        <f t="shared" si="2"/>
        <v>High</v>
      </c>
      <c r="R62" t="s">
        <v>3317</v>
      </c>
      <c r="S62" s="4">
        <f t="shared" ca="1" si="3"/>
        <v>835</v>
      </c>
      <c r="T62">
        <f t="shared" si="4"/>
        <v>1</v>
      </c>
      <c r="U62">
        <f t="shared" si="5"/>
        <v>3</v>
      </c>
      <c r="V62">
        <f t="shared" si="6"/>
        <v>3</v>
      </c>
      <c r="W62">
        <f t="shared" si="7"/>
        <v>1</v>
      </c>
      <c r="X62">
        <f t="shared" si="8"/>
        <v>2</v>
      </c>
      <c r="Y62" t="str">
        <f t="shared" si="9"/>
        <v>Monitor</v>
      </c>
    </row>
    <row r="63" spans="1:25" x14ac:dyDescent="0.35">
      <c r="A63" t="s">
        <v>41</v>
      </c>
      <c r="B63" t="s">
        <v>42</v>
      </c>
      <c r="C63" t="s">
        <v>43</v>
      </c>
      <c r="D63" t="s">
        <v>119</v>
      </c>
      <c r="E63">
        <v>80752238</v>
      </c>
      <c r="F63" t="s">
        <v>120</v>
      </c>
      <c r="G63" s="3">
        <v>46269</v>
      </c>
      <c r="H63">
        <v>36</v>
      </c>
      <c r="I63">
        <v>7</v>
      </c>
      <c r="J63">
        <v>4</v>
      </c>
      <c r="K63" s="4">
        <v>2362.1999999999998</v>
      </c>
      <c r="L63" s="4">
        <f>0</f>
        <v>0</v>
      </c>
      <c r="M63" s="4">
        <f>999</f>
        <v>999</v>
      </c>
      <c r="N63" t="s">
        <v>19</v>
      </c>
      <c r="O63" t="str">
        <f t="shared" si="0"/>
        <v>High</v>
      </c>
      <c r="P63" t="str">
        <f t="shared" si="1"/>
        <v>High</v>
      </c>
      <c r="Q63" t="str">
        <f t="shared" si="2"/>
        <v>High</v>
      </c>
      <c r="R63" t="s">
        <v>3317</v>
      </c>
      <c r="S63" s="4">
        <f t="shared" ca="1" si="3"/>
        <v>72</v>
      </c>
      <c r="T63">
        <f t="shared" si="4"/>
        <v>3</v>
      </c>
      <c r="U63">
        <f t="shared" si="5"/>
        <v>3</v>
      </c>
      <c r="V63">
        <f t="shared" si="6"/>
        <v>3</v>
      </c>
      <c r="W63">
        <f t="shared" si="7"/>
        <v>1</v>
      </c>
      <c r="X63">
        <f t="shared" si="8"/>
        <v>2.8000000000000003</v>
      </c>
      <c r="Y63" t="str">
        <f t="shared" si="9"/>
        <v>Move Immediately</v>
      </c>
    </row>
    <row r="64" spans="1:25" x14ac:dyDescent="0.35">
      <c r="A64" t="s">
        <v>41</v>
      </c>
      <c r="B64" t="s">
        <v>42</v>
      </c>
      <c r="C64" t="s">
        <v>43</v>
      </c>
      <c r="D64" t="s">
        <v>119</v>
      </c>
      <c r="E64">
        <v>80752238</v>
      </c>
      <c r="F64" t="s">
        <v>120</v>
      </c>
      <c r="G64" s="3">
        <v>46241</v>
      </c>
      <c r="H64">
        <v>36</v>
      </c>
      <c r="I64">
        <v>5</v>
      </c>
      <c r="J64">
        <v>1</v>
      </c>
      <c r="K64" s="4">
        <v>590.54999999999995</v>
      </c>
      <c r="L64" s="4">
        <f>0</f>
        <v>0</v>
      </c>
      <c r="M64" s="4">
        <f>999</f>
        <v>999</v>
      </c>
      <c r="N64" t="s">
        <v>19</v>
      </c>
      <c r="O64" t="str">
        <f t="shared" si="0"/>
        <v>High</v>
      </c>
      <c r="P64" t="str">
        <f t="shared" si="1"/>
        <v>High</v>
      </c>
      <c r="Q64" t="str">
        <f t="shared" si="2"/>
        <v>High</v>
      </c>
      <c r="R64" t="s">
        <v>3317</v>
      </c>
      <c r="S64" s="4">
        <f t="shared" ca="1" si="3"/>
        <v>44</v>
      </c>
      <c r="T64">
        <f t="shared" si="4"/>
        <v>3</v>
      </c>
      <c r="U64">
        <f t="shared" si="5"/>
        <v>3</v>
      </c>
      <c r="V64">
        <f t="shared" si="6"/>
        <v>3</v>
      </c>
      <c r="W64">
        <f t="shared" si="7"/>
        <v>1</v>
      </c>
      <c r="X64">
        <f t="shared" si="8"/>
        <v>2.8000000000000003</v>
      </c>
      <c r="Y64" t="str">
        <f t="shared" si="9"/>
        <v>Move Immediately</v>
      </c>
    </row>
    <row r="65" spans="1:25" x14ac:dyDescent="0.35">
      <c r="A65" t="s">
        <v>41</v>
      </c>
      <c r="B65" t="s">
        <v>42</v>
      </c>
      <c r="C65" t="s">
        <v>43</v>
      </c>
      <c r="D65" t="s">
        <v>119</v>
      </c>
      <c r="E65">
        <v>80752238</v>
      </c>
      <c r="F65" t="s">
        <v>120</v>
      </c>
      <c r="G65" s="3">
        <v>46308</v>
      </c>
      <c r="H65">
        <v>36</v>
      </c>
      <c r="I65">
        <v>11</v>
      </c>
      <c r="J65">
        <v>8</v>
      </c>
      <c r="K65" s="4">
        <v>4724.3999999999996</v>
      </c>
      <c r="L65" s="4">
        <f>0</f>
        <v>0</v>
      </c>
      <c r="M65" s="4">
        <f>999</f>
        <v>999</v>
      </c>
      <c r="N65" t="s">
        <v>19</v>
      </c>
      <c r="O65" t="str">
        <f t="shared" si="0"/>
        <v>High</v>
      </c>
      <c r="P65" t="str">
        <f t="shared" si="1"/>
        <v>High</v>
      </c>
      <c r="Q65" t="str">
        <f t="shared" si="2"/>
        <v>High</v>
      </c>
      <c r="R65" t="s">
        <v>3317</v>
      </c>
      <c r="S65" s="4">
        <f t="shared" ca="1" si="3"/>
        <v>111</v>
      </c>
      <c r="T65">
        <f t="shared" si="4"/>
        <v>3</v>
      </c>
      <c r="U65">
        <f t="shared" si="5"/>
        <v>3</v>
      </c>
      <c r="V65">
        <f t="shared" si="6"/>
        <v>3</v>
      </c>
      <c r="W65">
        <f t="shared" si="7"/>
        <v>1</v>
      </c>
      <c r="X65">
        <f t="shared" si="8"/>
        <v>2.8000000000000003</v>
      </c>
      <c r="Y65" t="str">
        <f t="shared" si="9"/>
        <v>Move Immediately</v>
      </c>
    </row>
    <row r="66" spans="1:25" x14ac:dyDescent="0.35">
      <c r="A66" t="s">
        <v>41</v>
      </c>
      <c r="B66" t="s">
        <v>42</v>
      </c>
      <c r="C66" t="s">
        <v>121</v>
      </c>
      <c r="D66" t="s">
        <v>122</v>
      </c>
      <c r="E66">
        <v>80742581</v>
      </c>
      <c r="F66" t="s">
        <v>123</v>
      </c>
      <c r="G66" s="3">
        <v>46118</v>
      </c>
      <c r="H66">
        <v>36</v>
      </c>
      <c r="I66">
        <v>0</v>
      </c>
      <c r="J66">
        <v>1</v>
      </c>
      <c r="K66" s="4">
        <v>174.46</v>
      </c>
      <c r="L66" s="4">
        <f>0</f>
        <v>0</v>
      </c>
      <c r="M66" s="4">
        <f>999</f>
        <v>999</v>
      </c>
      <c r="N66" t="s">
        <v>19</v>
      </c>
      <c r="O66" t="str">
        <f t="shared" si="0"/>
        <v>High</v>
      </c>
      <c r="P66" t="str">
        <f t="shared" si="1"/>
        <v>High</v>
      </c>
      <c r="Q66" t="str">
        <f t="shared" si="2"/>
        <v>High</v>
      </c>
      <c r="R66" t="s">
        <v>3317</v>
      </c>
      <c r="S66" s="4">
        <f t="shared" ca="1" si="3"/>
        <v>-79</v>
      </c>
      <c r="T66">
        <f t="shared" si="4"/>
        <v>3</v>
      </c>
      <c r="U66">
        <f t="shared" si="5"/>
        <v>3</v>
      </c>
      <c r="V66">
        <f t="shared" si="6"/>
        <v>3</v>
      </c>
      <c r="W66">
        <f t="shared" si="7"/>
        <v>1</v>
      </c>
      <c r="X66">
        <f t="shared" si="8"/>
        <v>2.8000000000000003</v>
      </c>
      <c r="Y66" t="str">
        <f t="shared" si="9"/>
        <v>Move Immediately</v>
      </c>
    </row>
    <row r="67" spans="1:25" x14ac:dyDescent="0.35">
      <c r="A67" t="s">
        <v>41</v>
      </c>
      <c r="B67" t="s">
        <v>54</v>
      </c>
      <c r="C67" t="s">
        <v>87</v>
      </c>
      <c r="D67" t="s">
        <v>124</v>
      </c>
      <c r="E67">
        <v>80751150</v>
      </c>
      <c r="F67" t="s">
        <v>125</v>
      </c>
      <c r="G67" s="3">
        <v>46210</v>
      </c>
      <c r="H67">
        <v>36</v>
      </c>
      <c r="I67">
        <v>2</v>
      </c>
      <c r="J67">
        <v>3</v>
      </c>
      <c r="K67" s="4">
        <v>1117.92</v>
      </c>
      <c r="L67" s="4">
        <v>13.142857142857142</v>
      </c>
      <c r="M67" s="4">
        <v>0.22826086956521741</v>
      </c>
      <c r="N67" t="s">
        <v>25</v>
      </c>
      <c r="O67" t="str">
        <f t="shared" ref="O67:O130" si="10">IF(I67&lt;20,"High",IF(I67&lt;40,"Medium","Low"))</f>
        <v>High</v>
      </c>
      <c r="P67" t="str">
        <f t="shared" ref="P67:P130" si="11">IF(M67&gt;8,"High",IF(M67&gt;4,"Medium","Low"))</f>
        <v>Low</v>
      </c>
      <c r="Q67" t="str">
        <f t="shared" ref="Q67:Q130" si="12">IF(L67&lt;5,"High",IF(L67&lt;15,"Medium","Low"))</f>
        <v>Medium</v>
      </c>
      <c r="R67" t="s">
        <v>3317</v>
      </c>
      <c r="S67" s="4">
        <f t="shared" ref="S67:S130" ca="1" si="13">G67-TODAY()</f>
        <v>13</v>
      </c>
      <c r="T67">
        <f t="shared" ref="T67:T130" si="14">IF(O67="High",3,IF(O67="Medium",2,1))</f>
        <v>3</v>
      </c>
      <c r="U67">
        <f t="shared" ref="U67:U130" si="15">IF(P67="High",3,IF(P67="Medium",2,1))</f>
        <v>1</v>
      </c>
      <c r="V67">
        <f t="shared" ref="V67:V130" si="16">IF(Q67="High",3,IF(Q67="Medium",2,1))</f>
        <v>2</v>
      </c>
      <c r="W67">
        <f t="shared" ref="W67:W130" si="17">IF(R67="High",3,IF(R67="Medium",2,1))</f>
        <v>1</v>
      </c>
      <c r="X67">
        <f t="shared" ref="X67:X130" si="18">(0.4*T67)+(0.3*U67)+(0.2*V67)+(0.1*W67)</f>
        <v>2.0000000000000004</v>
      </c>
      <c r="Y67" t="str">
        <f t="shared" ref="Y67:Y130" si="19">IF(X67&gt;=2.7,"Move Immediately",IF(X67&gt;=2.2,"High Priority",IF(X67&gt;=1.7,"Monitor","Healthy")))</f>
        <v>Monitor</v>
      </c>
    </row>
    <row r="68" spans="1:25" x14ac:dyDescent="0.35">
      <c r="A68" t="s">
        <v>41</v>
      </c>
      <c r="B68" t="s">
        <v>54</v>
      </c>
      <c r="C68" t="s">
        <v>87</v>
      </c>
      <c r="D68" t="s">
        <v>124</v>
      </c>
      <c r="E68">
        <v>80751150</v>
      </c>
      <c r="F68" t="s">
        <v>125</v>
      </c>
      <c r="G68" s="3">
        <v>46194</v>
      </c>
      <c r="H68">
        <v>36</v>
      </c>
      <c r="I68">
        <v>0</v>
      </c>
      <c r="J68">
        <v>27</v>
      </c>
      <c r="K68" s="4">
        <v>10061.280000000001</v>
      </c>
      <c r="L68" s="4">
        <v>13.142857142857142</v>
      </c>
      <c r="M68" s="4">
        <v>2.0543478260869565</v>
      </c>
      <c r="N68" t="s">
        <v>25</v>
      </c>
      <c r="O68" t="str">
        <f t="shared" si="10"/>
        <v>High</v>
      </c>
      <c r="P68" t="str">
        <f t="shared" si="11"/>
        <v>Low</v>
      </c>
      <c r="Q68" t="str">
        <f t="shared" si="12"/>
        <v>Medium</v>
      </c>
      <c r="R68" t="s">
        <v>3317</v>
      </c>
      <c r="S68" s="4">
        <f t="shared" ca="1" si="13"/>
        <v>-3</v>
      </c>
      <c r="T68">
        <f t="shared" si="14"/>
        <v>3</v>
      </c>
      <c r="U68">
        <f t="shared" si="15"/>
        <v>1</v>
      </c>
      <c r="V68">
        <f t="shared" si="16"/>
        <v>2</v>
      </c>
      <c r="W68">
        <f t="shared" si="17"/>
        <v>1</v>
      </c>
      <c r="X68">
        <f t="shared" si="18"/>
        <v>2.0000000000000004</v>
      </c>
      <c r="Y68" t="str">
        <f t="shared" si="19"/>
        <v>Monitor</v>
      </c>
    </row>
    <row r="69" spans="1:25" x14ac:dyDescent="0.35">
      <c r="A69" t="s">
        <v>20</v>
      </c>
      <c r="B69" t="s">
        <v>21</v>
      </c>
      <c r="C69" t="s">
        <v>126</v>
      </c>
      <c r="D69" t="s">
        <v>127</v>
      </c>
      <c r="E69">
        <v>80740506</v>
      </c>
      <c r="F69" t="s">
        <v>128</v>
      </c>
      <c r="G69" s="3">
        <v>46249</v>
      </c>
      <c r="H69">
        <v>36</v>
      </c>
      <c r="I69">
        <v>5</v>
      </c>
      <c r="J69">
        <v>4</v>
      </c>
      <c r="K69" s="4">
        <v>1469.76</v>
      </c>
      <c r="L69" s="4">
        <f>0</f>
        <v>0</v>
      </c>
      <c r="M69" s="4">
        <f>999</f>
        <v>999</v>
      </c>
      <c r="N69" t="s">
        <v>19</v>
      </c>
      <c r="O69" t="str">
        <f t="shared" si="10"/>
        <v>High</v>
      </c>
      <c r="P69" t="str">
        <f t="shared" si="11"/>
        <v>High</v>
      </c>
      <c r="Q69" t="str">
        <f t="shared" si="12"/>
        <v>High</v>
      </c>
      <c r="R69" t="s">
        <v>3317</v>
      </c>
      <c r="S69" s="4">
        <f t="shared" ca="1" si="13"/>
        <v>52</v>
      </c>
      <c r="T69">
        <f t="shared" si="14"/>
        <v>3</v>
      </c>
      <c r="U69">
        <f t="shared" si="15"/>
        <v>3</v>
      </c>
      <c r="V69">
        <f t="shared" si="16"/>
        <v>3</v>
      </c>
      <c r="W69">
        <f t="shared" si="17"/>
        <v>1</v>
      </c>
      <c r="X69">
        <f t="shared" si="18"/>
        <v>2.8000000000000003</v>
      </c>
      <c r="Y69" t="str">
        <f t="shared" si="19"/>
        <v>Move Immediately</v>
      </c>
    </row>
    <row r="70" spans="1:25" x14ac:dyDescent="0.35">
      <c r="A70" t="s">
        <v>46</v>
      </c>
      <c r="B70" t="s">
        <v>129</v>
      </c>
      <c r="C70" t="s">
        <v>130</v>
      </c>
      <c r="D70" t="s">
        <v>131</v>
      </c>
      <c r="E70">
        <v>80750335</v>
      </c>
      <c r="F70" t="s">
        <v>132</v>
      </c>
      <c r="G70" s="3">
        <v>46338</v>
      </c>
      <c r="H70">
        <v>36</v>
      </c>
      <c r="I70">
        <v>14</v>
      </c>
      <c r="J70">
        <v>2</v>
      </c>
      <c r="K70" s="4">
        <v>557.12</v>
      </c>
      <c r="L70" s="4">
        <v>0.14285714285714285</v>
      </c>
      <c r="M70" s="4">
        <v>14</v>
      </c>
      <c r="N70" t="s">
        <v>19</v>
      </c>
      <c r="O70" t="str">
        <f t="shared" si="10"/>
        <v>High</v>
      </c>
      <c r="P70" t="str">
        <f t="shared" si="11"/>
        <v>High</v>
      </c>
      <c r="Q70" t="str">
        <f t="shared" si="12"/>
        <v>High</v>
      </c>
      <c r="R70" t="s">
        <v>3317</v>
      </c>
      <c r="S70" s="4">
        <f t="shared" ca="1" si="13"/>
        <v>141</v>
      </c>
      <c r="T70">
        <f t="shared" si="14"/>
        <v>3</v>
      </c>
      <c r="U70">
        <f t="shared" si="15"/>
        <v>3</v>
      </c>
      <c r="V70">
        <f t="shared" si="16"/>
        <v>3</v>
      </c>
      <c r="W70">
        <f t="shared" si="17"/>
        <v>1</v>
      </c>
      <c r="X70">
        <f t="shared" si="18"/>
        <v>2.8000000000000003</v>
      </c>
      <c r="Y70" t="str">
        <f t="shared" si="19"/>
        <v>Move Immediately</v>
      </c>
    </row>
    <row r="71" spans="1:25" x14ac:dyDescent="0.35">
      <c r="A71" t="s">
        <v>20</v>
      </c>
      <c r="B71" t="s">
        <v>21</v>
      </c>
      <c r="C71" t="s">
        <v>133</v>
      </c>
      <c r="D71" t="s">
        <v>134</v>
      </c>
      <c r="E71">
        <v>80708952</v>
      </c>
      <c r="F71" t="s">
        <v>135</v>
      </c>
      <c r="G71" s="3">
        <v>46167</v>
      </c>
      <c r="H71">
        <v>36</v>
      </c>
      <c r="I71">
        <v>0</v>
      </c>
      <c r="J71">
        <v>3</v>
      </c>
      <c r="K71" s="4">
        <v>4466.34</v>
      </c>
      <c r="L71" s="4">
        <f>0</f>
        <v>0</v>
      </c>
      <c r="M71" s="4">
        <f>999</f>
        <v>999</v>
      </c>
      <c r="N71" t="s">
        <v>19</v>
      </c>
      <c r="O71" t="str">
        <f t="shared" si="10"/>
        <v>High</v>
      </c>
      <c r="P71" t="str">
        <f t="shared" si="11"/>
        <v>High</v>
      </c>
      <c r="Q71" t="str">
        <f t="shared" si="12"/>
        <v>High</v>
      </c>
      <c r="R71" t="s">
        <v>3317</v>
      </c>
      <c r="S71" s="4">
        <f t="shared" ca="1" si="13"/>
        <v>-30</v>
      </c>
      <c r="T71">
        <f t="shared" si="14"/>
        <v>3</v>
      </c>
      <c r="U71">
        <f t="shared" si="15"/>
        <v>3</v>
      </c>
      <c r="V71">
        <f t="shared" si="16"/>
        <v>3</v>
      </c>
      <c r="W71">
        <f t="shared" si="17"/>
        <v>1</v>
      </c>
      <c r="X71">
        <f t="shared" si="18"/>
        <v>2.8000000000000003</v>
      </c>
      <c r="Y71" t="str">
        <f t="shared" si="19"/>
        <v>Move Immediately</v>
      </c>
    </row>
    <row r="72" spans="1:25" x14ac:dyDescent="0.35">
      <c r="A72" t="s">
        <v>99</v>
      </c>
      <c r="B72" t="s">
        <v>100</v>
      </c>
      <c r="C72" t="s">
        <v>136</v>
      </c>
      <c r="D72" t="s">
        <v>137</v>
      </c>
      <c r="E72">
        <v>80740516</v>
      </c>
      <c r="F72" t="s">
        <v>138</v>
      </c>
      <c r="G72" s="3">
        <v>46499</v>
      </c>
      <c r="H72">
        <v>36</v>
      </c>
      <c r="I72">
        <v>28</v>
      </c>
      <c r="J72">
        <v>11</v>
      </c>
      <c r="K72" s="4">
        <v>2507.89</v>
      </c>
      <c r="L72" s="4">
        <v>7.7142857142857144</v>
      </c>
      <c r="M72" s="4">
        <v>1.4259259259259258</v>
      </c>
      <c r="N72" t="s">
        <v>25</v>
      </c>
      <c r="O72" t="str">
        <f t="shared" si="10"/>
        <v>Medium</v>
      </c>
      <c r="P72" t="str">
        <f t="shared" si="11"/>
        <v>Low</v>
      </c>
      <c r="Q72" t="str">
        <f t="shared" si="12"/>
        <v>Medium</v>
      </c>
      <c r="R72" t="s">
        <v>3317</v>
      </c>
      <c r="S72" s="4">
        <f t="shared" ca="1" si="13"/>
        <v>302</v>
      </c>
      <c r="T72">
        <f t="shared" si="14"/>
        <v>2</v>
      </c>
      <c r="U72">
        <f t="shared" si="15"/>
        <v>1</v>
      </c>
      <c r="V72">
        <f t="shared" si="16"/>
        <v>2</v>
      </c>
      <c r="W72">
        <f t="shared" si="17"/>
        <v>1</v>
      </c>
      <c r="X72">
        <f t="shared" si="18"/>
        <v>1.6</v>
      </c>
      <c r="Y72" t="str">
        <f t="shared" si="19"/>
        <v>Healthy</v>
      </c>
    </row>
    <row r="73" spans="1:25" x14ac:dyDescent="0.35">
      <c r="A73" t="s">
        <v>99</v>
      </c>
      <c r="B73" t="s">
        <v>100</v>
      </c>
      <c r="C73" t="s">
        <v>136</v>
      </c>
      <c r="D73" t="s">
        <v>137</v>
      </c>
      <c r="E73">
        <v>80740516</v>
      </c>
      <c r="F73" t="s">
        <v>138</v>
      </c>
      <c r="G73" s="3">
        <v>46611</v>
      </c>
      <c r="H73">
        <v>36</v>
      </c>
      <c r="I73">
        <v>39</v>
      </c>
      <c r="J73">
        <v>33</v>
      </c>
      <c r="K73" s="4">
        <v>7523.67</v>
      </c>
      <c r="L73" s="4">
        <v>7.7142857142857144</v>
      </c>
      <c r="M73" s="4">
        <v>4.2777777777777777</v>
      </c>
      <c r="N73" t="s">
        <v>25</v>
      </c>
      <c r="O73" t="str">
        <f t="shared" si="10"/>
        <v>Medium</v>
      </c>
      <c r="P73" t="str">
        <f t="shared" si="11"/>
        <v>Medium</v>
      </c>
      <c r="Q73" t="str">
        <f t="shared" si="12"/>
        <v>Medium</v>
      </c>
      <c r="R73" t="s">
        <v>3317</v>
      </c>
      <c r="S73" s="4">
        <f t="shared" ca="1" si="13"/>
        <v>414</v>
      </c>
      <c r="T73">
        <f t="shared" si="14"/>
        <v>2</v>
      </c>
      <c r="U73">
        <f t="shared" si="15"/>
        <v>2</v>
      </c>
      <c r="V73">
        <f t="shared" si="16"/>
        <v>2</v>
      </c>
      <c r="W73">
        <f t="shared" si="17"/>
        <v>1</v>
      </c>
      <c r="X73">
        <f t="shared" si="18"/>
        <v>1.9</v>
      </c>
      <c r="Y73" t="str">
        <f t="shared" si="19"/>
        <v>Monitor</v>
      </c>
    </row>
    <row r="74" spans="1:25" x14ac:dyDescent="0.35">
      <c r="A74" t="s">
        <v>46</v>
      </c>
      <c r="B74" t="s">
        <v>129</v>
      </c>
      <c r="C74" t="s">
        <v>130</v>
      </c>
      <c r="D74" t="s">
        <v>139</v>
      </c>
      <c r="E74">
        <v>80750336</v>
      </c>
      <c r="F74" t="s">
        <v>140</v>
      </c>
      <c r="G74" s="3">
        <v>47129</v>
      </c>
      <c r="H74">
        <v>36</v>
      </c>
      <c r="I74">
        <v>87</v>
      </c>
      <c r="J74">
        <v>136</v>
      </c>
      <c r="K74" s="4">
        <v>43713.120000000003</v>
      </c>
      <c r="L74" s="4">
        <v>800.71428571428567</v>
      </c>
      <c r="M74" s="4">
        <v>0.16984834968777879</v>
      </c>
      <c r="N74" t="s">
        <v>25</v>
      </c>
      <c r="O74" t="str">
        <f t="shared" si="10"/>
        <v>Low</v>
      </c>
      <c r="P74" t="str">
        <f t="shared" si="11"/>
        <v>Low</v>
      </c>
      <c r="Q74" t="str">
        <f t="shared" si="12"/>
        <v>Low</v>
      </c>
      <c r="R74" t="s">
        <v>3317</v>
      </c>
      <c r="S74" s="4">
        <f t="shared" ca="1" si="13"/>
        <v>932</v>
      </c>
      <c r="T74">
        <f t="shared" si="14"/>
        <v>1</v>
      </c>
      <c r="U74">
        <f t="shared" si="15"/>
        <v>1</v>
      </c>
      <c r="V74">
        <f t="shared" si="16"/>
        <v>1</v>
      </c>
      <c r="W74">
        <f t="shared" si="17"/>
        <v>1</v>
      </c>
      <c r="X74">
        <f t="shared" si="18"/>
        <v>0.99999999999999989</v>
      </c>
      <c r="Y74" t="str">
        <f t="shared" si="19"/>
        <v>Healthy</v>
      </c>
    </row>
    <row r="75" spans="1:25" x14ac:dyDescent="0.35">
      <c r="A75" t="s">
        <v>104</v>
      </c>
      <c r="B75" t="s">
        <v>105</v>
      </c>
      <c r="C75" t="s">
        <v>141</v>
      </c>
      <c r="D75" t="s">
        <v>142</v>
      </c>
      <c r="E75">
        <v>80726026</v>
      </c>
      <c r="F75" t="s">
        <v>143</v>
      </c>
      <c r="G75" s="3">
        <v>46039</v>
      </c>
      <c r="H75">
        <v>24</v>
      </c>
      <c r="I75">
        <v>0</v>
      </c>
      <c r="J75">
        <v>2</v>
      </c>
      <c r="K75" s="4">
        <v>478.38</v>
      </c>
      <c r="L75" s="4">
        <v>0.14285714285714285</v>
      </c>
      <c r="M75" s="4">
        <v>14</v>
      </c>
      <c r="N75" t="s">
        <v>19</v>
      </c>
      <c r="O75" t="str">
        <f t="shared" si="10"/>
        <v>High</v>
      </c>
      <c r="P75" t="str">
        <f t="shared" si="11"/>
        <v>High</v>
      </c>
      <c r="Q75" t="str">
        <f t="shared" si="12"/>
        <v>High</v>
      </c>
      <c r="R75" t="s">
        <v>3317</v>
      </c>
      <c r="S75" s="4">
        <f t="shared" ca="1" si="13"/>
        <v>-158</v>
      </c>
      <c r="T75">
        <f t="shared" si="14"/>
        <v>3</v>
      </c>
      <c r="U75">
        <f t="shared" si="15"/>
        <v>3</v>
      </c>
      <c r="V75">
        <f t="shared" si="16"/>
        <v>3</v>
      </c>
      <c r="W75">
        <f t="shared" si="17"/>
        <v>1</v>
      </c>
      <c r="X75">
        <f t="shared" si="18"/>
        <v>2.8000000000000003</v>
      </c>
      <c r="Y75" t="str">
        <f t="shared" si="19"/>
        <v>Move Immediately</v>
      </c>
    </row>
    <row r="76" spans="1:25" x14ac:dyDescent="0.35">
      <c r="A76" t="s">
        <v>29</v>
      </c>
      <c r="B76" t="s">
        <v>30</v>
      </c>
      <c r="C76" t="s">
        <v>144</v>
      </c>
      <c r="D76" t="s">
        <v>145</v>
      </c>
      <c r="E76">
        <v>80741165</v>
      </c>
      <c r="F76" t="s">
        <v>146</v>
      </c>
      <c r="G76" s="3">
        <v>46797</v>
      </c>
      <c r="H76">
        <v>36</v>
      </c>
      <c r="I76">
        <v>56</v>
      </c>
      <c r="J76">
        <v>67</v>
      </c>
      <c r="K76" s="4">
        <v>19519.11</v>
      </c>
      <c r="L76" s="4">
        <v>101.57142857142857</v>
      </c>
      <c r="M76" s="4">
        <v>0.65963431786216598</v>
      </c>
      <c r="N76" t="s">
        <v>25</v>
      </c>
      <c r="O76" t="str">
        <f t="shared" si="10"/>
        <v>Low</v>
      </c>
      <c r="P76" t="str">
        <f t="shared" si="11"/>
        <v>Low</v>
      </c>
      <c r="Q76" t="str">
        <f t="shared" si="12"/>
        <v>Low</v>
      </c>
      <c r="R76" t="s">
        <v>3317</v>
      </c>
      <c r="S76" s="4">
        <f t="shared" ca="1" si="13"/>
        <v>600</v>
      </c>
      <c r="T76">
        <f t="shared" si="14"/>
        <v>1</v>
      </c>
      <c r="U76">
        <f t="shared" si="15"/>
        <v>1</v>
      </c>
      <c r="V76">
        <f t="shared" si="16"/>
        <v>1</v>
      </c>
      <c r="W76">
        <f t="shared" si="17"/>
        <v>1</v>
      </c>
      <c r="X76">
        <f t="shared" si="18"/>
        <v>0.99999999999999989</v>
      </c>
      <c r="Y76" t="str">
        <f t="shared" si="19"/>
        <v>Healthy</v>
      </c>
    </row>
    <row r="77" spans="1:25" x14ac:dyDescent="0.35">
      <c r="A77" t="s">
        <v>29</v>
      </c>
      <c r="B77" t="s">
        <v>30</v>
      </c>
      <c r="C77" t="s">
        <v>144</v>
      </c>
      <c r="D77" t="s">
        <v>145</v>
      </c>
      <c r="E77">
        <v>80741165</v>
      </c>
      <c r="F77" t="s">
        <v>146</v>
      </c>
      <c r="G77" s="3">
        <v>46831</v>
      </c>
      <c r="H77">
        <v>36</v>
      </c>
      <c r="I77">
        <v>59</v>
      </c>
      <c r="J77">
        <v>26</v>
      </c>
      <c r="K77" s="4">
        <v>7574.58</v>
      </c>
      <c r="L77" s="4">
        <v>101.57142857142857</v>
      </c>
      <c r="M77" s="4">
        <v>0.25597749648382562</v>
      </c>
      <c r="N77" t="s">
        <v>25</v>
      </c>
      <c r="O77" t="str">
        <f t="shared" si="10"/>
        <v>Low</v>
      </c>
      <c r="P77" t="str">
        <f t="shared" si="11"/>
        <v>Low</v>
      </c>
      <c r="Q77" t="str">
        <f t="shared" si="12"/>
        <v>Low</v>
      </c>
      <c r="R77" t="s">
        <v>3317</v>
      </c>
      <c r="S77" s="4">
        <f t="shared" ca="1" si="13"/>
        <v>634</v>
      </c>
      <c r="T77">
        <f t="shared" si="14"/>
        <v>1</v>
      </c>
      <c r="U77">
        <f t="shared" si="15"/>
        <v>1</v>
      </c>
      <c r="V77">
        <f t="shared" si="16"/>
        <v>1</v>
      </c>
      <c r="W77">
        <f t="shared" si="17"/>
        <v>1</v>
      </c>
      <c r="X77">
        <f t="shared" si="18"/>
        <v>0.99999999999999989</v>
      </c>
      <c r="Y77" t="str">
        <f t="shared" si="19"/>
        <v>Healthy</v>
      </c>
    </row>
    <row r="78" spans="1:25" x14ac:dyDescent="0.35">
      <c r="A78" t="s">
        <v>29</v>
      </c>
      <c r="B78" t="s">
        <v>30</v>
      </c>
      <c r="C78" t="s">
        <v>147</v>
      </c>
      <c r="D78" t="s">
        <v>148</v>
      </c>
      <c r="E78">
        <v>80741163</v>
      </c>
      <c r="F78" t="s">
        <v>149</v>
      </c>
      <c r="G78" s="3">
        <v>46556</v>
      </c>
      <c r="H78">
        <v>36</v>
      </c>
      <c r="I78">
        <v>34</v>
      </c>
      <c r="J78">
        <v>3</v>
      </c>
      <c r="K78" s="4">
        <v>4317.45</v>
      </c>
      <c r="L78" s="4">
        <f>0</f>
        <v>0</v>
      </c>
      <c r="M78" s="4">
        <f>999</f>
        <v>999</v>
      </c>
      <c r="N78" t="s">
        <v>19</v>
      </c>
      <c r="O78" t="str">
        <f t="shared" si="10"/>
        <v>Medium</v>
      </c>
      <c r="P78" t="str">
        <f t="shared" si="11"/>
        <v>High</v>
      </c>
      <c r="Q78" t="str">
        <f t="shared" si="12"/>
        <v>High</v>
      </c>
      <c r="R78" t="s">
        <v>3317</v>
      </c>
      <c r="S78" s="4">
        <f t="shared" ca="1" si="13"/>
        <v>359</v>
      </c>
      <c r="T78">
        <f t="shared" si="14"/>
        <v>2</v>
      </c>
      <c r="U78">
        <f t="shared" si="15"/>
        <v>3</v>
      </c>
      <c r="V78">
        <f t="shared" si="16"/>
        <v>3</v>
      </c>
      <c r="W78">
        <f t="shared" si="17"/>
        <v>1</v>
      </c>
      <c r="X78">
        <f t="shared" si="18"/>
        <v>2.4</v>
      </c>
      <c r="Y78" t="str">
        <f t="shared" si="19"/>
        <v>High Priority</v>
      </c>
    </row>
    <row r="79" spans="1:25" x14ac:dyDescent="0.35">
      <c r="A79" t="s">
        <v>71</v>
      </c>
      <c r="B79" t="s">
        <v>72</v>
      </c>
      <c r="C79" t="s">
        <v>150</v>
      </c>
      <c r="D79" t="s">
        <v>151</v>
      </c>
      <c r="E79">
        <v>80760610</v>
      </c>
      <c r="F79" t="s">
        <v>152</v>
      </c>
      <c r="G79" s="3">
        <v>46497</v>
      </c>
      <c r="H79">
        <v>36</v>
      </c>
      <c r="I79">
        <v>28</v>
      </c>
      <c r="J79">
        <v>55</v>
      </c>
      <c r="K79" s="4">
        <v>572</v>
      </c>
      <c r="L79" s="4">
        <v>40.857142857142854</v>
      </c>
      <c r="M79" s="4">
        <v>1.3461538461538463</v>
      </c>
      <c r="N79" t="s">
        <v>25</v>
      </c>
      <c r="O79" t="str">
        <f t="shared" si="10"/>
        <v>Medium</v>
      </c>
      <c r="P79" t="str">
        <f t="shared" si="11"/>
        <v>Low</v>
      </c>
      <c r="Q79" t="str">
        <f t="shared" si="12"/>
        <v>Low</v>
      </c>
      <c r="R79" t="s">
        <v>3317</v>
      </c>
      <c r="S79" s="4">
        <f t="shared" ca="1" si="13"/>
        <v>300</v>
      </c>
      <c r="T79">
        <f t="shared" si="14"/>
        <v>2</v>
      </c>
      <c r="U79">
        <f t="shared" si="15"/>
        <v>1</v>
      </c>
      <c r="V79">
        <f t="shared" si="16"/>
        <v>1</v>
      </c>
      <c r="W79">
        <f t="shared" si="17"/>
        <v>1</v>
      </c>
      <c r="X79">
        <f t="shared" si="18"/>
        <v>1.4000000000000001</v>
      </c>
      <c r="Y79" t="str">
        <f t="shared" si="19"/>
        <v>Healthy</v>
      </c>
    </row>
    <row r="80" spans="1:25" x14ac:dyDescent="0.35">
      <c r="A80" t="s">
        <v>41</v>
      </c>
      <c r="B80" t="s">
        <v>54</v>
      </c>
      <c r="C80" t="s">
        <v>55</v>
      </c>
      <c r="D80" t="s">
        <v>153</v>
      </c>
      <c r="E80">
        <v>80759974</v>
      </c>
      <c r="F80" t="s">
        <v>154</v>
      </c>
      <c r="G80" s="3">
        <v>47020</v>
      </c>
      <c r="H80">
        <v>36</v>
      </c>
      <c r="I80">
        <v>77</v>
      </c>
      <c r="J80">
        <v>1</v>
      </c>
      <c r="K80" s="4">
        <v>684.84</v>
      </c>
      <c r="L80" s="4">
        <f>0</f>
        <v>0</v>
      </c>
      <c r="M80" s="4">
        <f>999</f>
        <v>999</v>
      </c>
      <c r="N80" t="s">
        <v>19</v>
      </c>
      <c r="O80" t="str">
        <f t="shared" si="10"/>
        <v>Low</v>
      </c>
      <c r="P80" t="str">
        <f t="shared" si="11"/>
        <v>High</v>
      </c>
      <c r="Q80" t="str">
        <f t="shared" si="12"/>
        <v>High</v>
      </c>
      <c r="R80" t="s">
        <v>3317</v>
      </c>
      <c r="S80" s="4">
        <f t="shared" ca="1" si="13"/>
        <v>823</v>
      </c>
      <c r="T80">
        <f t="shared" si="14"/>
        <v>1</v>
      </c>
      <c r="U80">
        <f t="shared" si="15"/>
        <v>3</v>
      </c>
      <c r="V80">
        <f t="shared" si="16"/>
        <v>3</v>
      </c>
      <c r="W80">
        <f t="shared" si="17"/>
        <v>1</v>
      </c>
      <c r="X80">
        <f t="shared" si="18"/>
        <v>2</v>
      </c>
      <c r="Y80" t="str">
        <f t="shared" si="19"/>
        <v>Monitor</v>
      </c>
    </row>
    <row r="81" spans="1:25" x14ac:dyDescent="0.35">
      <c r="A81" t="s">
        <v>71</v>
      </c>
      <c r="B81" t="s">
        <v>72</v>
      </c>
      <c r="C81" t="s">
        <v>150</v>
      </c>
      <c r="D81" t="s">
        <v>151</v>
      </c>
      <c r="E81">
        <v>80760610</v>
      </c>
      <c r="F81" t="s">
        <v>152</v>
      </c>
      <c r="G81" s="3">
        <v>46497</v>
      </c>
      <c r="H81">
        <v>36</v>
      </c>
      <c r="I81">
        <v>28</v>
      </c>
      <c r="J81">
        <v>432</v>
      </c>
      <c r="K81" s="4">
        <v>4492.8</v>
      </c>
      <c r="L81" s="4">
        <v>40.857142857142854</v>
      </c>
      <c r="M81" s="4">
        <v>10.573426573426573</v>
      </c>
      <c r="N81" t="s">
        <v>19</v>
      </c>
      <c r="O81" t="str">
        <f t="shared" si="10"/>
        <v>Medium</v>
      </c>
      <c r="P81" t="str">
        <f t="shared" si="11"/>
        <v>High</v>
      </c>
      <c r="Q81" t="str">
        <f t="shared" si="12"/>
        <v>Low</v>
      </c>
      <c r="R81" t="s">
        <v>3317</v>
      </c>
      <c r="S81" s="4">
        <f t="shared" ca="1" si="13"/>
        <v>300</v>
      </c>
      <c r="T81">
        <f t="shared" si="14"/>
        <v>2</v>
      </c>
      <c r="U81">
        <f t="shared" si="15"/>
        <v>3</v>
      </c>
      <c r="V81">
        <f t="shared" si="16"/>
        <v>1</v>
      </c>
      <c r="W81">
        <f t="shared" si="17"/>
        <v>1</v>
      </c>
      <c r="X81">
        <f t="shared" si="18"/>
        <v>2</v>
      </c>
      <c r="Y81" t="str">
        <f t="shared" si="19"/>
        <v>Monitor</v>
      </c>
    </row>
    <row r="82" spans="1:25" x14ac:dyDescent="0.35">
      <c r="A82" t="s">
        <v>90</v>
      </c>
      <c r="B82" t="s">
        <v>91</v>
      </c>
      <c r="C82" t="s">
        <v>155</v>
      </c>
      <c r="D82" t="s">
        <v>156</v>
      </c>
      <c r="E82">
        <v>80749458</v>
      </c>
      <c r="F82" t="s">
        <v>157</v>
      </c>
      <c r="G82" s="3">
        <v>47416</v>
      </c>
      <c r="H82">
        <v>24</v>
      </c>
      <c r="I82">
        <v>100</v>
      </c>
      <c r="J82">
        <v>8</v>
      </c>
      <c r="K82" s="4">
        <v>3250.4</v>
      </c>
      <c r="L82" s="4">
        <v>201.28571428571428</v>
      </c>
      <c r="M82" s="4">
        <v>3.9744499645138397E-2</v>
      </c>
      <c r="N82" t="s">
        <v>25</v>
      </c>
      <c r="O82" t="str">
        <f t="shared" si="10"/>
        <v>Low</v>
      </c>
      <c r="P82" t="str">
        <f t="shared" si="11"/>
        <v>Low</v>
      </c>
      <c r="Q82" t="str">
        <f t="shared" si="12"/>
        <v>Low</v>
      </c>
      <c r="R82" t="s">
        <v>3317</v>
      </c>
      <c r="S82" s="4">
        <f t="shared" ca="1" si="13"/>
        <v>1219</v>
      </c>
      <c r="T82">
        <f t="shared" si="14"/>
        <v>1</v>
      </c>
      <c r="U82">
        <f t="shared" si="15"/>
        <v>1</v>
      </c>
      <c r="V82">
        <f t="shared" si="16"/>
        <v>1</v>
      </c>
      <c r="W82">
        <f t="shared" si="17"/>
        <v>1</v>
      </c>
      <c r="X82">
        <f t="shared" si="18"/>
        <v>0.99999999999999989</v>
      </c>
      <c r="Y82" t="str">
        <f t="shared" si="19"/>
        <v>Healthy</v>
      </c>
    </row>
    <row r="83" spans="1:25" x14ac:dyDescent="0.35">
      <c r="A83" t="s">
        <v>71</v>
      </c>
      <c r="B83" t="s">
        <v>72</v>
      </c>
      <c r="C83" t="s">
        <v>73</v>
      </c>
      <c r="D83" t="s">
        <v>158</v>
      </c>
      <c r="E83">
        <v>80763122</v>
      </c>
      <c r="F83" t="s">
        <v>159</v>
      </c>
      <c r="G83" s="3">
        <v>46327</v>
      </c>
      <c r="H83">
        <v>36</v>
      </c>
      <c r="I83">
        <v>13</v>
      </c>
      <c r="J83">
        <v>2</v>
      </c>
      <c r="K83" s="4">
        <v>2013.64</v>
      </c>
      <c r="L83" s="4">
        <f>0</f>
        <v>0</v>
      </c>
      <c r="M83" s="4">
        <f>999</f>
        <v>999</v>
      </c>
      <c r="N83" t="s">
        <v>19</v>
      </c>
      <c r="O83" t="str">
        <f t="shared" si="10"/>
        <v>High</v>
      </c>
      <c r="P83" t="str">
        <f t="shared" si="11"/>
        <v>High</v>
      </c>
      <c r="Q83" t="str">
        <f t="shared" si="12"/>
        <v>High</v>
      </c>
      <c r="R83" t="s">
        <v>3317</v>
      </c>
      <c r="S83" s="4">
        <f t="shared" ca="1" si="13"/>
        <v>130</v>
      </c>
      <c r="T83">
        <f t="shared" si="14"/>
        <v>3</v>
      </c>
      <c r="U83">
        <f t="shared" si="15"/>
        <v>3</v>
      </c>
      <c r="V83">
        <f t="shared" si="16"/>
        <v>3</v>
      </c>
      <c r="W83">
        <f t="shared" si="17"/>
        <v>1</v>
      </c>
      <c r="X83">
        <f t="shared" si="18"/>
        <v>2.8000000000000003</v>
      </c>
      <c r="Y83" t="str">
        <f t="shared" si="19"/>
        <v>Move Immediately</v>
      </c>
    </row>
    <row r="84" spans="1:25" x14ac:dyDescent="0.35">
      <c r="A84" t="s">
        <v>99</v>
      </c>
      <c r="B84" t="s">
        <v>100</v>
      </c>
      <c r="C84" t="s">
        <v>136</v>
      </c>
      <c r="D84" t="s">
        <v>160</v>
      </c>
      <c r="E84">
        <v>80739913</v>
      </c>
      <c r="F84" t="s">
        <v>161</v>
      </c>
      <c r="G84" s="3">
        <v>46673</v>
      </c>
      <c r="H84">
        <v>36</v>
      </c>
      <c r="I84">
        <v>45</v>
      </c>
      <c r="J84">
        <v>3</v>
      </c>
      <c r="K84" s="4">
        <v>568.26</v>
      </c>
      <c r="L84" s="4">
        <v>11.428571428571429</v>
      </c>
      <c r="M84" s="4">
        <v>0.26250000000000001</v>
      </c>
      <c r="N84" t="s">
        <v>25</v>
      </c>
      <c r="O84" t="str">
        <f t="shared" si="10"/>
        <v>Low</v>
      </c>
      <c r="P84" t="str">
        <f t="shared" si="11"/>
        <v>Low</v>
      </c>
      <c r="Q84" t="str">
        <f t="shared" si="12"/>
        <v>Medium</v>
      </c>
      <c r="R84" t="s">
        <v>3317</v>
      </c>
      <c r="S84" s="4">
        <f t="shared" ca="1" si="13"/>
        <v>476</v>
      </c>
      <c r="T84">
        <f t="shared" si="14"/>
        <v>1</v>
      </c>
      <c r="U84">
        <f t="shared" si="15"/>
        <v>1</v>
      </c>
      <c r="V84">
        <f t="shared" si="16"/>
        <v>2</v>
      </c>
      <c r="W84">
        <f t="shared" si="17"/>
        <v>1</v>
      </c>
      <c r="X84">
        <f t="shared" si="18"/>
        <v>1.2000000000000002</v>
      </c>
      <c r="Y84" t="str">
        <f t="shared" si="19"/>
        <v>Healthy</v>
      </c>
    </row>
    <row r="85" spans="1:25" x14ac:dyDescent="0.35">
      <c r="A85" t="s">
        <v>99</v>
      </c>
      <c r="B85" t="s">
        <v>100</v>
      </c>
      <c r="C85" t="s">
        <v>136</v>
      </c>
      <c r="D85" t="s">
        <v>160</v>
      </c>
      <c r="E85">
        <v>80739913</v>
      </c>
      <c r="F85" t="s">
        <v>161</v>
      </c>
      <c r="G85" s="3">
        <v>46751</v>
      </c>
      <c r="H85">
        <v>36</v>
      </c>
      <c r="I85">
        <v>52</v>
      </c>
      <c r="J85">
        <v>2</v>
      </c>
      <c r="K85" s="4">
        <v>378.84</v>
      </c>
      <c r="L85" s="4">
        <v>11.428571428571429</v>
      </c>
      <c r="M85" s="4">
        <v>0.17499999999999999</v>
      </c>
      <c r="N85" t="s">
        <v>25</v>
      </c>
      <c r="O85" t="str">
        <f t="shared" si="10"/>
        <v>Low</v>
      </c>
      <c r="P85" t="str">
        <f t="shared" si="11"/>
        <v>Low</v>
      </c>
      <c r="Q85" t="str">
        <f t="shared" si="12"/>
        <v>Medium</v>
      </c>
      <c r="R85" t="s">
        <v>3317</v>
      </c>
      <c r="S85" s="4">
        <f t="shared" ca="1" si="13"/>
        <v>554</v>
      </c>
      <c r="T85">
        <f t="shared" si="14"/>
        <v>1</v>
      </c>
      <c r="U85">
        <f t="shared" si="15"/>
        <v>1</v>
      </c>
      <c r="V85">
        <f t="shared" si="16"/>
        <v>2</v>
      </c>
      <c r="W85">
        <f t="shared" si="17"/>
        <v>1</v>
      </c>
      <c r="X85">
        <f t="shared" si="18"/>
        <v>1.2000000000000002</v>
      </c>
      <c r="Y85" t="str">
        <f t="shared" si="19"/>
        <v>Healthy</v>
      </c>
    </row>
    <row r="86" spans="1:25" x14ac:dyDescent="0.35">
      <c r="A86" t="s">
        <v>14</v>
      </c>
      <c r="B86" t="s">
        <v>58</v>
      </c>
      <c r="C86" t="s">
        <v>162</v>
      </c>
      <c r="D86" t="s">
        <v>163</v>
      </c>
      <c r="E86">
        <v>80769036</v>
      </c>
      <c r="F86" t="s">
        <v>164</v>
      </c>
      <c r="G86" s="3">
        <v>47380</v>
      </c>
      <c r="H86">
        <v>60</v>
      </c>
      <c r="I86">
        <v>66</v>
      </c>
      <c r="J86">
        <v>4</v>
      </c>
      <c r="K86" s="4">
        <v>3767.88</v>
      </c>
      <c r="L86" s="4">
        <v>0.14285714285714285</v>
      </c>
      <c r="M86" s="4">
        <v>28</v>
      </c>
      <c r="N86" t="s">
        <v>19</v>
      </c>
      <c r="O86" t="str">
        <f t="shared" si="10"/>
        <v>Low</v>
      </c>
      <c r="P86" t="str">
        <f t="shared" si="11"/>
        <v>High</v>
      </c>
      <c r="Q86" t="str">
        <f t="shared" si="12"/>
        <v>High</v>
      </c>
      <c r="R86" t="s">
        <v>3317</v>
      </c>
      <c r="S86" s="4">
        <f t="shared" ca="1" si="13"/>
        <v>1183</v>
      </c>
      <c r="T86">
        <f t="shared" si="14"/>
        <v>1</v>
      </c>
      <c r="U86">
        <f t="shared" si="15"/>
        <v>3</v>
      </c>
      <c r="V86">
        <f t="shared" si="16"/>
        <v>3</v>
      </c>
      <c r="W86">
        <f t="shared" si="17"/>
        <v>1</v>
      </c>
      <c r="X86">
        <f t="shared" si="18"/>
        <v>2</v>
      </c>
      <c r="Y86" t="str">
        <f t="shared" si="19"/>
        <v>Monitor</v>
      </c>
    </row>
    <row r="87" spans="1:25" x14ac:dyDescent="0.35">
      <c r="A87" t="s">
        <v>14</v>
      </c>
      <c r="B87" t="s">
        <v>58</v>
      </c>
      <c r="C87" t="s">
        <v>162</v>
      </c>
      <c r="D87" t="s">
        <v>163</v>
      </c>
      <c r="E87">
        <v>80769036</v>
      </c>
      <c r="F87" t="s">
        <v>164</v>
      </c>
      <c r="G87" s="3">
        <v>47360</v>
      </c>
      <c r="H87">
        <v>60</v>
      </c>
      <c r="I87">
        <v>65</v>
      </c>
      <c r="J87">
        <v>1</v>
      </c>
      <c r="K87" s="4">
        <v>941.97</v>
      </c>
      <c r="L87" s="4">
        <v>0.14285714285714285</v>
      </c>
      <c r="M87" s="4">
        <v>7</v>
      </c>
      <c r="N87" t="s">
        <v>19</v>
      </c>
      <c r="O87" t="str">
        <f t="shared" si="10"/>
        <v>Low</v>
      </c>
      <c r="P87" t="str">
        <f t="shared" si="11"/>
        <v>Medium</v>
      </c>
      <c r="Q87" t="str">
        <f t="shared" si="12"/>
        <v>High</v>
      </c>
      <c r="R87" t="s">
        <v>3317</v>
      </c>
      <c r="S87" s="4">
        <f t="shared" ca="1" si="13"/>
        <v>1163</v>
      </c>
      <c r="T87">
        <f t="shared" si="14"/>
        <v>1</v>
      </c>
      <c r="U87">
        <f t="shared" si="15"/>
        <v>2</v>
      </c>
      <c r="V87">
        <f t="shared" si="16"/>
        <v>3</v>
      </c>
      <c r="W87">
        <f t="shared" si="17"/>
        <v>1</v>
      </c>
      <c r="X87">
        <f t="shared" si="18"/>
        <v>1.7000000000000002</v>
      </c>
      <c r="Y87" t="str">
        <f t="shared" si="19"/>
        <v>Monitor</v>
      </c>
    </row>
    <row r="88" spans="1:25" x14ac:dyDescent="0.35">
      <c r="A88" t="s">
        <v>20</v>
      </c>
      <c r="B88" t="s">
        <v>21</v>
      </c>
      <c r="C88" t="s">
        <v>133</v>
      </c>
      <c r="D88" t="s">
        <v>165</v>
      </c>
      <c r="E88">
        <v>80739150</v>
      </c>
      <c r="F88" t="s">
        <v>166</v>
      </c>
      <c r="G88" s="3">
        <v>47077</v>
      </c>
      <c r="H88">
        <v>36</v>
      </c>
      <c r="I88">
        <v>82</v>
      </c>
      <c r="J88">
        <v>12</v>
      </c>
      <c r="K88" s="4">
        <v>21837.599999999999</v>
      </c>
      <c r="L88" s="4">
        <v>5.1428571428571432</v>
      </c>
      <c r="M88" s="4">
        <v>2.333333333333333</v>
      </c>
      <c r="N88" t="s">
        <v>25</v>
      </c>
      <c r="O88" t="str">
        <f t="shared" si="10"/>
        <v>Low</v>
      </c>
      <c r="P88" t="str">
        <f t="shared" si="11"/>
        <v>Low</v>
      </c>
      <c r="Q88" t="str">
        <f t="shared" si="12"/>
        <v>Medium</v>
      </c>
      <c r="R88" t="s">
        <v>3317</v>
      </c>
      <c r="S88" s="4">
        <f t="shared" ca="1" si="13"/>
        <v>880</v>
      </c>
      <c r="T88">
        <f t="shared" si="14"/>
        <v>1</v>
      </c>
      <c r="U88">
        <f t="shared" si="15"/>
        <v>1</v>
      </c>
      <c r="V88">
        <f t="shared" si="16"/>
        <v>2</v>
      </c>
      <c r="W88">
        <f t="shared" si="17"/>
        <v>1</v>
      </c>
      <c r="X88">
        <f t="shared" si="18"/>
        <v>1.2000000000000002</v>
      </c>
      <c r="Y88" t="str">
        <f t="shared" si="19"/>
        <v>Healthy</v>
      </c>
    </row>
    <row r="89" spans="1:25" x14ac:dyDescent="0.35">
      <c r="A89" t="s">
        <v>20</v>
      </c>
      <c r="B89" t="s">
        <v>21</v>
      </c>
      <c r="C89" t="s">
        <v>133</v>
      </c>
      <c r="D89" t="s">
        <v>165</v>
      </c>
      <c r="E89">
        <v>80739150</v>
      </c>
      <c r="F89" t="s">
        <v>166</v>
      </c>
      <c r="G89" s="3">
        <v>46765</v>
      </c>
      <c r="H89">
        <v>36</v>
      </c>
      <c r="I89">
        <v>53</v>
      </c>
      <c r="J89">
        <v>7</v>
      </c>
      <c r="K89" s="4">
        <v>12738.6</v>
      </c>
      <c r="L89" s="4">
        <v>5.1428571428571432</v>
      </c>
      <c r="M89" s="4">
        <v>1.3611111111111109</v>
      </c>
      <c r="N89" t="s">
        <v>25</v>
      </c>
      <c r="O89" t="str">
        <f t="shared" si="10"/>
        <v>Low</v>
      </c>
      <c r="P89" t="str">
        <f t="shared" si="11"/>
        <v>Low</v>
      </c>
      <c r="Q89" t="str">
        <f t="shared" si="12"/>
        <v>Medium</v>
      </c>
      <c r="R89" t="s">
        <v>3317</v>
      </c>
      <c r="S89" s="4">
        <f t="shared" ca="1" si="13"/>
        <v>568</v>
      </c>
      <c r="T89">
        <f t="shared" si="14"/>
        <v>1</v>
      </c>
      <c r="U89">
        <f t="shared" si="15"/>
        <v>1</v>
      </c>
      <c r="V89">
        <f t="shared" si="16"/>
        <v>2</v>
      </c>
      <c r="W89">
        <f t="shared" si="17"/>
        <v>1</v>
      </c>
      <c r="X89">
        <f t="shared" si="18"/>
        <v>1.2000000000000002</v>
      </c>
      <c r="Y89" t="str">
        <f t="shared" si="19"/>
        <v>Healthy</v>
      </c>
    </row>
    <row r="90" spans="1:25" x14ac:dyDescent="0.35">
      <c r="A90" t="s">
        <v>71</v>
      </c>
      <c r="B90" t="s">
        <v>72</v>
      </c>
      <c r="C90" t="s">
        <v>73</v>
      </c>
      <c r="D90" t="s">
        <v>167</v>
      </c>
      <c r="E90">
        <v>80763140</v>
      </c>
      <c r="F90" t="s">
        <v>168</v>
      </c>
      <c r="G90" s="3">
        <v>46543</v>
      </c>
      <c r="H90">
        <v>36</v>
      </c>
      <c r="I90">
        <v>33</v>
      </c>
      <c r="J90">
        <v>2</v>
      </c>
      <c r="K90" s="4">
        <v>3873.84</v>
      </c>
      <c r="L90" s="4">
        <f>0</f>
        <v>0</v>
      </c>
      <c r="M90" s="4">
        <f>999</f>
        <v>999</v>
      </c>
      <c r="N90" t="s">
        <v>19</v>
      </c>
      <c r="O90" t="str">
        <f t="shared" si="10"/>
        <v>Medium</v>
      </c>
      <c r="P90" t="str">
        <f t="shared" si="11"/>
        <v>High</v>
      </c>
      <c r="Q90" t="str">
        <f t="shared" si="12"/>
        <v>High</v>
      </c>
      <c r="R90" t="s">
        <v>3317</v>
      </c>
      <c r="S90" s="4">
        <f t="shared" ca="1" si="13"/>
        <v>346</v>
      </c>
      <c r="T90">
        <f t="shared" si="14"/>
        <v>2</v>
      </c>
      <c r="U90">
        <f t="shared" si="15"/>
        <v>3</v>
      </c>
      <c r="V90">
        <f t="shared" si="16"/>
        <v>3</v>
      </c>
      <c r="W90">
        <f t="shared" si="17"/>
        <v>1</v>
      </c>
      <c r="X90">
        <f t="shared" si="18"/>
        <v>2.4</v>
      </c>
      <c r="Y90" t="str">
        <f t="shared" si="19"/>
        <v>High Priority</v>
      </c>
    </row>
    <row r="91" spans="1:25" x14ac:dyDescent="0.35">
      <c r="A91" t="s">
        <v>14</v>
      </c>
      <c r="B91" t="s">
        <v>115</v>
      </c>
      <c r="C91" t="s">
        <v>116</v>
      </c>
      <c r="D91" t="s">
        <v>169</v>
      </c>
      <c r="E91">
        <v>80778561</v>
      </c>
      <c r="F91" t="s">
        <v>170</v>
      </c>
      <c r="G91" s="3">
        <v>47363</v>
      </c>
      <c r="H91">
        <v>60</v>
      </c>
      <c r="I91">
        <v>65</v>
      </c>
      <c r="J91">
        <v>99</v>
      </c>
      <c r="K91" s="4">
        <v>6694.38</v>
      </c>
      <c r="L91" s="4">
        <v>95.571428571428569</v>
      </c>
      <c r="M91" s="4">
        <v>1.0358744394618835</v>
      </c>
      <c r="N91" t="s">
        <v>25</v>
      </c>
      <c r="O91" t="str">
        <f t="shared" si="10"/>
        <v>Low</v>
      </c>
      <c r="P91" t="str">
        <f t="shared" si="11"/>
        <v>Low</v>
      </c>
      <c r="Q91" t="str">
        <f t="shared" si="12"/>
        <v>Low</v>
      </c>
      <c r="R91" t="s">
        <v>3317</v>
      </c>
      <c r="S91" s="4">
        <f t="shared" ca="1" si="13"/>
        <v>1166</v>
      </c>
      <c r="T91">
        <f t="shared" si="14"/>
        <v>1</v>
      </c>
      <c r="U91">
        <f t="shared" si="15"/>
        <v>1</v>
      </c>
      <c r="V91">
        <f t="shared" si="16"/>
        <v>1</v>
      </c>
      <c r="W91">
        <f t="shared" si="17"/>
        <v>1</v>
      </c>
      <c r="X91">
        <f t="shared" si="18"/>
        <v>0.99999999999999989</v>
      </c>
      <c r="Y91" t="str">
        <f t="shared" si="19"/>
        <v>Healthy</v>
      </c>
    </row>
    <row r="92" spans="1:25" x14ac:dyDescent="0.35">
      <c r="A92" t="s">
        <v>71</v>
      </c>
      <c r="B92" t="s">
        <v>72</v>
      </c>
      <c r="C92" t="s">
        <v>73</v>
      </c>
      <c r="D92" t="s">
        <v>167</v>
      </c>
      <c r="E92">
        <v>80763140</v>
      </c>
      <c r="F92" t="s">
        <v>168</v>
      </c>
      <c r="G92" s="3">
        <v>46571</v>
      </c>
      <c r="H92">
        <v>36</v>
      </c>
      <c r="I92">
        <v>35</v>
      </c>
      <c r="J92">
        <v>2</v>
      </c>
      <c r="K92" s="4">
        <v>3873.84</v>
      </c>
      <c r="L92" s="4">
        <f>0</f>
        <v>0</v>
      </c>
      <c r="M92" s="4">
        <f>999</f>
        <v>999</v>
      </c>
      <c r="N92" t="s">
        <v>19</v>
      </c>
      <c r="O92" t="str">
        <f t="shared" si="10"/>
        <v>Medium</v>
      </c>
      <c r="P92" t="str">
        <f t="shared" si="11"/>
        <v>High</v>
      </c>
      <c r="Q92" t="str">
        <f t="shared" si="12"/>
        <v>High</v>
      </c>
      <c r="R92" t="s">
        <v>3317</v>
      </c>
      <c r="S92" s="4">
        <f t="shared" ca="1" si="13"/>
        <v>374</v>
      </c>
      <c r="T92">
        <f t="shared" si="14"/>
        <v>2</v>
      </c>
      <c r="U92">
        <f t="shared" si="15"/>
        <v>3</v>
      </c>
      <c r="V92">
        <f t="shared" si="16"/>
        <v>3</v>
      </c>
      <c r="W92">
        <f t="shared" si="17"/>
        <v>1</v>
      </c>
      <c r="X92">
        <f t="shared" si="18"/>
        <v>2.4</v>
      </c>
      <c r="Y92" t="str">
        <f t="shared" si="19"/>
        <v>High Priority</v>
      </c>
    </row>
    <row r="93" spans="1:25" x14ac:dyDescent="0.35">
      <c r="A93" t="s">
        <v>20</v>
      </c>
      <c r="B93" t="s">
        <v>21</v>
      </c>
      <c r="C93" t="s">
        <v>171</v>
      </c>
      <c r="D93" t="s">
        <v>172</v>
      </c>
      <c r="E93">
        <v>80739757</v>
      </c>
      <c r="F93" t="s">
        <v>173</v>
      </c>
      <c r="G93" s="3">
        <v>47727</v>
      </c>
      <c r="H93">
        <v>36</v>
      </c>
      <c r="I93">
        <v>100</v>
      </c>
      <c r="J93">
        <v>4</v>
      </c>
      <c r="K93" s="4">
        <v>425.44</v>
      </c>
      <c r="L93" s="4">
        <v>8.7142857142857135</v>
      </c>
      <c r="M93" s="4">
        <v>0.45901639344262302</v>
      </c>
      <c r="N93" t="s">
        <v>25</v>
      </c>
      <c r="O93" t="str">
        <f t="shared" si="10"/>
        <v>Low</v>
      </c>
      <c r="P93" t="str">
        <f t="shared" si="11"/>
        <v>Low</v>
      </c>
      <c r="Q93" t="str">
        <f t="shared" si="12"/>
        <v>Medium</v>
      </c>
      <c r="R93" t="s">
        <v>3317</v>
      </c>
      <c r="S93" s="4">
        <f t="shared" ca="1" si="13"/>
        <v>1530</v>
      </c>
      <c r="T93">
        <f t="shared" si="14"/>
        <v>1</v>
      </c>
      <c r="U93">
        <f t="shared" si="15"/>
        <v>1</v>
      </c>
      <c r="V93">
        <f t="shared" si="16"/>
        <v>2</v>
      </c>
      <c r="W93">
        <f t="shared" si="17"/>
        <v>1</v>
      </c>
      <c r="X93">
        <f t="shared" si="18"/>
        <v>1.2000000000000002</v>
      </c>
      <c r="Y93" t="str">
        <f t="shared" si="19"/>
        <v>Healthy</v>
      </c>
    </row>
    <row r="94" spans="1:25" x14ac:dyDescent="0.35">
      <c r="A94" t="s">
        <v>20</v>
      </c>
      <c r="B94" t="s">
        <v>21</v>
      </c>
      <c r="C94" t="s">
        <v>171</v>
      </c>
      <c r="D94" t="s">
        <v>172</v>
      </c>
      <c r="E94">
        <v>80739757</v>
      </c>
      <c r="F94" t="s">
        <v>173</v>
      </c>
      <c r="G94" s="3">
        <v>45927</v>
      </c>
      <c r="H94">
        <v>36</v>
      </c>
      <c r="I94">
        <v>0</v>
      </c>
      <c r="J94">
        <v>2</v>
      </c>
      <c r="K94" s="4">
        <v>212.72</v>
      </c>
      <c r="L94" s="4">
        <v>8.7142857142857135</v>
      </c>
      <c r="M94" s="4">
        <v>0.22950819672131151</v>
      </c>
      <c r="N94" t="s">
        <v>25</v>
      </c>
      <c r="O94" t="str">
        <f t="shared" si="10"/>
        <v>High</v>
      </c>
      <c r="P94" t="str">
        <f t="shared" si="11"/>
        <v>Low</v>
      </c>
      <c r="Q94" t="str">
        <f t="shared" si="12"/>
        <v>Medium</v>
      </c>
      <c r="R94" t="s">
        <v>3317</v>
      </c>
      <c r="S94" s="4">
        <f t="shared" ca="1" si="13"/>
        <v>-270</v>
      </c>
      <c r="T94">
        <f t="shared" si="14"/>
        <v>3</v>
      </c>
      <c r="U94">
        <f t="shared" si="15"/>
        <v>1</v>
      </c>
      <c r="V94">
        <f t="shared" si="16"/>
        <v>2</v>
      </c>
      <c r="W94">
        <f t="shared" si="17"/>
        <v>1</v>
      </c>
      <c r="X94">
        <f t="shared" si="18"/>
        <v>2.0000000000000004</v>
      </c>
      <c r="Y94" t="str">
        <f t="shared" si="19"/>
        <v>Monitor</v>
      </c>
    </row>
    <row r="95" spans="1:25" x14ac:dyDescent="0.35">
      <c r="A95" t="s">
        <v>71</v>
      </c>
      <c r="B95" t="s">
        <v>72</v>
      </c>
      <c r="C95" t="s">
        <v>174</v>
      </c>
      <c r="D95" t="s">
        <v>175</v>
      </c>
      <c r="E95">
        <v>80774651</v>
      </c>
      <c r="F95" t="s">
        <v>176</v>
      </c>
      <c r="G95" s="3">
        <v>46516</v>
      </c>
      <c r="H95">
        <v>36</v>
      </c>
      <c r="I95">
        <v>30</v>
      </c>
      <c r="J95">
        <v>10</v>
      </c>
      <c r="K95" s="4">
        <v>10487.7</v>
      </c>
      <c r="L95" s="4">
        <v>2.2857142857142856</v>
      </c>
      <c r="M95" s="4">
        <v>4.375</v>
      </c>
      <c r="N95" t="s">
        <v>25</v>
      </c>
      <c r="O95" t="str">
        <f t="shared" si="10"/>
        <v>Medium</v>
      </c>
      <c r="P95" t="str">
        <f t="shared" si="11"/>
        <v>Medium</v>
      </c>
      <c r="Q95" t="str">
        <f t="shared" si="12"/>
        <v>High</v>
      </c>
      <c r="R95" t="s">
        <v>3317</v>
      </c>
      <c r="S95" s="4">
        <f t="shared" ca="1" si="13"/>
        <v>319</v>
      </c>
      <c r="T95">
        <f t="shared" si="14"/>
        <v>2</v>
      </c>
      <c r="U95">
        <f t="shared" si="15"/>
        <v>2</v>
      </c>
      <c r="V95">
        <f t="shared" si="16"/>
        <v>3</v>
      </c>
      <c r="W95">
        <f t="shared" si="17"/>
        <v>1</v>
      </c>
      <c r="X95">
        <f t="shared" si="18"/>
        <v>2.1</v>
      </c>
      <c r="Y95" t="str">
        <f t="shared" si="19"/>
        <v>Monitor</v>
      </c>
    </row>
    <row r="96" spans="1:25" x14ac:dyDescent="0.35">
      <c r="A96" t="s">
        <v>71</v>
      </c>
      <c r="B96" t="s">
        <v>72</v>
      </c>
      <c r="C96" t="s">
        <v>174</v>
      </c>
      <c r="D96" t="s">
        <v>175</v>
      </c>
      <c r="E96">
        <v>80774651</v>
      </c>
      <c r="F96" t="s">
        <v>176</v>
      </c>
      <c r="G96" s="3">
        <v>46551</v>
      </c>
      <c r="H96">
        <v>36</v>
      </c>
      <c r="I96">
        <v>33</v>
      </c>
      <c r="J96">
        <v>4</v>
      </c>
      <c r="K96" s="4">
        <v>4195.08</v>
      </c>
      <c r="L96" s="4">
        <v>2.2857142857142856</v>
      </c>
      <c r="M96" s="4">
        <v>1.75</v>
      </c>
      <c r="N96" t="s">
        <v>25</v>
      </c>
      <c r="O96" t="str">
        <f t="shared" si="10"/>
        <v>Medium</v>
      </c>
      <c r="P96" t="str">
        <f t="shared" si="11"/>
        <v>Low</v>
      </c>
      <c r="Q96" t="str">
        <f t="shared" si="12"/>
        <v>High</v>
      </c>
      <c r="R96" t="s">
        <v>3317</v>
      </c>
      <c r="S96" s="4">
        <f t="shared" ca="1" si="13"/>
        <v>354</v>
      </c>
      <c r="T96">
        <f t="shared" si="14"/>
        <v>2</v>
      </c>
      <c r="U96">
        <f t="shared" si="15"/>
        <v>1</v>
      </c>
      <c r="V96">
        <f t="shared" si="16"/>
        <v>3</v>
      </c>
      <c r="W96">
        <f t="shared" si="17"/>
        <v>1</v>
      </c>
      <c r="X96">
        <f t="shared" si="18"/>
        <v>1.8000000000000003</v>
      </c>
      <c r="Y96" t="str">
        <f t="shared" si="19"/>
        <v>Monitor</v>
      </c>
    </row>
    <row r="97" spans="1:25" x14ac:dyDescent="0.35">
      <c r="A97" t="s">
        <v>20</v>
      </c>
      <c r="B97" t="s">
        <v>21</v>
      </c>
      <c r="C97" t="s">
        <v>171</v>
      </c>
      <c r="D97" t="s">
        <v>172</v>
      </c>
      <c r="E97">
        <v>80739757</v>
      </c>
      <c r="F97" t="s">
        <v>173</v>
      </c>
      <c r="G97" s="3">
        <v>46798</v>
      </c>
      <c r="H97">
        <v>36</v>
      </c>
      <c r="I97">
        <v>56</v>
      </c>
      <c r="J97">
        <v>18</v>
      </c>
      <c r="K97" s="4">
        <v>1914.48</v>
      </c>
      <c r="L97" s="4">
        <v>8.7142857142857135</v>
      </c>
      <c r="M97" s="4">
        <v>2.0655737704918034</v>
      </c>
      <c r="N97" t="s">
        <v>25</v>
      </c>
      <c r="O97" t="str">
        <f t="shared" si="10"/>
        <v>Low</v>
      </c>
      <c r="P97" t="str">
        <f t="shared" si="11"/>
        <v>Low</v>
      </c>
      <c r="Q97" t="str">
        <f t="shared" si="12"/>
        <v>Medium</v>
      </c>
      <c r="R97" t="s">
        <v>3317</v>
      </c>
      <c r="S97" s="4">
        <f t="shared" ca="1" si="13"/>
        <v>601</v>
      </c>
      <c r="T97">
        <f t="shared" si="14"/>
        <v>1</v>
      </c>
      <c r="U97">
        <f t="shared" si="15"/>
        <v>1</v>
      </c>
      <c r="V97">
        <f t="shared" si="16"/>
        <v>2</v>
      </c>
      <c r="W97">
        <f t="shared" si="17"/>
        <v>1</v>
      </c>
      <c r="X97">
        <f t="shared" si="18"/>
        <v>1.2000000000000002</v>
      </c>
      <c r="Y97" t="str">
        <f t="shared" si="19"/>
        <v>Healthy</v>
      </c>
    </row>
    <row r="98" spans="1:25" x14ac:dyDescent="0.35">
      <c r="A98" t="s">
        <v>71</v>
      </c>
      <c r="B98" t="s">
        <v>72</v>
      </c>
      <c r="C98" t="s">
        <v>174</v>
      </c>
      <c r="D98" t="s">
        <v>175</v>
      </c>
      <c r="E98">
        <v>80774651</v>
      </c>
      <c r="F98" t="s">
        <v>176</v>
      </c>
      <c r="G98" s="3">
        <v>46548</v>
      </c>
      <c r="H98">
        <v>36</v>
      </c>
      <c r="I98">
        <v>33</v>
      </c>
      <c r="J98">
        <v>2</v>
      </c>
      <c r="K98" s="4">
        <v>2097.54</v>
      </c>
      <c r="L98" s="4">
        <v>2.2857142857142856</v>
      </c>
      <c r="M98" s="4">
        <v>0.875</v>
      </c>
      <c r="N98" t="s">
        <v>25</v>
      </c>
      <c r="O98" t="str">
        <f t="shared" si="10"/>
        <v>Medium</v>
      </c>
      <c r="P98" t="str">
        <f t="shared" si="11"/>
        <v>Low</v>
      </c>
      <c r="Q98" t="str">
        <f t="shared" si="12"/>
        <v>High</v>
      </c>
      <c r="R98" t="s">
        <v>3317</v>
      </c>
      <c r="S98" s="4">
        <f t="shared" ca="1" si="13"/>
        <v>351</v>
      </c>
      <c r="T98">
        <f t="shared" si="14"/>
        <v>2</v>
      </c>
      <c r="U98">
        <f t="shared" si="15"/>
        <v>1</v>
      </c>
      <c r="V98">
        <f t="shared" si="16"/>
        <v>3</v>
      </c>
      <c r="W98">
        <f t="shared" si="17"/>
        <v>1</v>
      </c>
      <c r="X98">
        <f t="shared" si="18"/>
        <v>1.8000000000000003</v>
      </c>
      <c r="Y98" t="str">
        <f t="shared" si="19"/>
        <v>Monitor</v>
      </c>
    </row>
    <row r="99" spans="1:25" x14ac:dyDescent="0.35">
      <c r="A99" t="s">
        <v>41</v>
      </c>
      <c r="B99" t="s">
        <v>42</v>
      </c>
      <c r="C99" t="s">
        <v>43</v>
      </c>
      <c r="D99" t="s">
        <v>177</v>
      </c>
      <c r="E99">
        <v>80778999</v>
      </c>
      <c r="F99" t="s">
        <v>178</v>
      </c>
      <c r="G99" s="3">
        <v>46472</v>
      </c>
      <c r="H99">
        <v>36</v>
      </c>
      <c r="I99">
        <v>26</v>
      </c>
      <c r="J99">
        <v>4</v>
      </c>
      <c r="K99" s="4">
        <v>1113.56</v>
      </c>
      <c r="L99" s="4">
        <f>0</f>
        <v>0</v>
      </c>
      <c r="M99" s="4">
        <f>999</f>
        <v>999</v>
      </c>
      <c r="N99" t="s">
        <v>19</v>
      </c>
      <c r="O99" t="str">
        <f t="shared" si="10"/>
        <v>Medium</v>
      </c>
      <c r="P99" t="str">
        <f t="shared" si="11"/>
        <v>High</v>
      </c>
      <c r="Q99" t="str">
        <f t="shared" si="12"/>
        <v>High</v>
      </c>
      <c r="R99" t="s">
        <v>3317</v>
      </c>
      <c r="S99" s="4">
        <f t="shared" ca="1" si="13"/>
        <v>275</v>
      </c>
      <c r="T99">
        <f t="shared" si="14"/>
        <v>2</v>
      </c>
      <c r="U99">
        <f t="shared" si="15"/>
        <v>3</v>
      </c>
      <c r="V99">
        <f t="shared" si="16"/>
        <v>3</v>
      </c>
      <c r="W99">
        <f t="shared" si="17"/>
        <v>1</v>
      </c>
      <c r="X99">
        <f t="shared" si="18"/>
        <v>2.4</v>
      </c>
      <c r="Y99" t="str">
        <f t="shared" si="19"/>
        <v>High Priority</v>
      </c>
    </row>
    <row r="100" spans="1:25" x14ac:dyDescent="0.35">
      <c r="A100" t="s">
        <v>179</v>
      </c>
      <c r="B100" t="s">
        <v>180</v>
      </c>
      <c r="C100" t="s">
        <v>181</v>
      </c>
      <c r="D100" t="s">
        <v>182</v>
      </c>
      <c r="E100">
        <v>80789316</v>
      </c>
      <c r="F100" t="s">
        <v>183</v>
      </c>
      <c r="G100" s="3">
        <v>45924</v>
      </c>
      <c r="H100">
        <v>16</v>
      </c>
      <c r="I100">
        <v>0</v>
      </c>
      <c r="J100">
        <v>3</v>
      </c>
      <c r="K100" s="4">
        <v>1863.93</v>
      </c>
      <c r="L100" s="4">
        <f>0</f>
        <v>0</v>
      </c>
      <c r="M100" s="4">
        <f>999</f>
        <v>999</v>
      </c>
      <c r="N100" t="s">
        <v>19</v>
      </c>
      <c r="O100" t="str">
        <f t="shared" si="10"/>
        <v>High</v>
      </c>
      <c r="P100" t="str">
        <f t="shared" si="11"/>
        <v>High</v>
      </c>
      <c r="Q100" t="str">
        <f t="shared" si="12"/>
        <v>High</v>
      </c>
      <c r="R100" t="s">
        <v>3317</v>
      </c>
      <c r="S100" s="4">
        <f t="shared" ca="1" si="13"/>
        <v>-273</v>
      </c>
      <c r="T100">
        <f t="shared" si="14"/>
        <v>3</v>
      </c>
      <c r="U100">
        <f t="shared" si="15"/>
        <v>3</v>
      </c>
      <c r="V100">
        <f t="shared" si="16"/>
        <v>3</v>
      </c>
      <c r="W100">
        <f t="shared" si="17"/>
        <v>1</v>
      </c>
      <c r="X100">
        <f t="shared" si="18"/>
        <v>2.8000000000000003</v>
      </c>
      <c r="Y100" t="str">
        <f t="shared" si="19"/>
        <v>Move Immediately</v>
      </c>
    </row>
    <row r="101" spans="1:25" x14ac:dyDescent="0.35">
      <c r="A101" t="s">
        <v>179</v>
      </c>
      <c r="B101" t="s">
        <v>180</v>
      </c>
      <c r="C101" t="s">
        <v>181</v>
      </c>
      <c r="D101" t="s">
        <v>182</v>
      </c>
      <c r="E101">
        <v>80789316</v>
      </c>
      <c r="F101" t="s">
        <v>183</v>
      </c>
      <c r="G101" s="3">
        <v>45945</v>
      </c>
      <c r="H101">
        <v>16</v>
      </c>
      <c r="I101">
        <v>0</v>
      </c>
      <c r="J101">
        <v>1</v>
      </c>
      <c r="K101" s="4">
        <v>621.30999999999995</v>
      </c>
      <c r="L101" s="4">
        <f>0</f>
        <v>0</v>
      </c>
      <c r="M101" s="4">
        <f>999</f>
        <v>999</v>
      </c>
      <c r="N101" t="s">
        <v>19</v>
      </c>
      <c r="O101" t="str">
        <f t="shared" si="10"/>
        <v>High</v>
      </c>
      <c r="P101" t="str">
        <f t="shared" si="11"/>
        <v>High</v>
      </c>
      <c r="Q101" t="str">
        <f t="shared" si="12"/>
        <v>High</v>
      </c>
      <c r="R101" t="s">
        <v>3317</v>
      </c>
      <c r="S101" s="4">
        <f t="shared" ca="1" si="13"/>
        <v>-252</v>
      </c>
      <c r="T101">
        <f t="shared" si="14"/>
        <v>3</v>
      </c>
      <c r="U101">
        <f t="shared" si="15"/>
        <v>3</v>
      </c>
      <c r="V101">
        <f t="shared" si="16"/>
        <v>3</v>
      </c>
      <c r="W101">
        <f t="shared" si="17"/>
        <v>1</v>
      </c>
      <c r="X101">
        <f t="shared" si="18"/>
        <v>2.8000000000000003</v>
      </c>
      <c r="Y101" t="str">
        <f t="shared" si="19"/>
        <v>Move Immediately</v>
      </c>
    </row>
    <row r="102" spans="1:25" x14ac:dyDescent="0.35">
      <c r="A102" t="s">
        <v>179</v>
      </c>
      <c r="B102" t="s">
        <v>180</v>
      </c>
      <c r="C102" t="s">
        <v>181</v>
      </c>
      <c r="D102" t="s">
        <v>182</v>
      </c>
      <c r="E102">
        <v>80789316</v>
      </c>
      <c r="F102" t="s">
        <v>183</v>
      </c>
      <c r="G102" s="3">
        <v>45972</v>
      </c>
      <c r="H102">
        <v>16</v>
      </c>
      <c r="I102">
        <v>0</v>
      </c>
      <c r="J102">
        <v>4</v>
      </c>
      <c r="K102" s="4">
        <v>2485.2399999999998</v>
      </c>
      <c r="L102" s="4">
        <f>0</f>
        <v>0</v>
      </c>
      <c r="M102" s="4">
        <f>999</f>
        <v>999</v>
      </c>
      <c r="N102" t="s">
        <v>19</v>
      </c>
      <c r="O102" t="str">
        <f t="shared" si="10"/>
        <v>High</v>
      </c>
      <c r="P102" t="str">
        <f t="shared" si="11"/>
        <v>High</v>
      </c>
      <c r="Q102" t="str">
        <f t="shared" si="12"/>
        <v>High</v>
      </c>
      <c r="R102" t="s">
        <v>3317</v>
      </c>
      <c r="S102" s="4">
        <f t="shared" ca="1" si="13"/>
        <v>-225</v>
      </c>
      <c r="T102">
        <f t="shared" si="14"/>
        <v>3</v>
      </c>
      <c r="U102">
        <f t="shared" si="15"/>
        <v>3</v>
      </c>
      <c r="V102">
        <f t="shared" si="16"/>
        <v>3</v>
      </c>
      <c r="W102">
        <f t="shared" si="17"/>
        <v>1</v>
      </c>
      <c r="X102">
        <f t="shared" si="18"/>
        <v>2.8000000000000003</v>
      </c>
      <c r="Y102" t="str">
        <f t="shared" si="19"/>
        <v>Move Immediately</v>
      </c>
    </row>
    <row r="103" spans="1:25" x14ac:dyDescent="0.35">
      <c r="A103" t="s">
        <v>20</v>
      </c>
      <c r="B103" t="s">
        <v>21</v>
      </c>
      <c r="C103" t="s">
        <v>51</v>
      </c>
      <c r="D103" t="s">
        <v>184</v>
      </c>
      <c r="E103">
        <v>80782930</v>
      </c>
      <c r="F103" t="s">
        <v>185</v>
      </c>
      <c r="G103" s="3">
        <v>46787</v>
      </c>
      <c r="H103">
        <v>36</v>
      </c>
      <c r="I103">
        <v>55</v>
      </c>
      <c r="J103">
        <v>14</v>
      </c>
      <c r="K103" s="4">
        <v>1568</v>
      </c>
      <c r="L103" s="4">
        <v>102.71428571428571</v>
      </c>
      <c r="M103" s="4">
        <v>0.13630041724617525</v>
      </c>
      <c r="N103" t="s">
        <v>25</v>
      </c>
      <c r="O103" t="str">
        <f t="shared" si="10"/>
        <v>Low</v>
      </c>
      <c r="P103" t="str">
        <f t="shared" si="11"/>
        <v>Low</v>
      </c>
      <c r="Q103" t="str">
        <f t="shared" si="12"/>
        <v>Low</v>
      </c>
      <c r="R103" t="s">
        <v>3317</v>
      </c>
      <c r="S103" s="4">
        <f t="shared" ca="1" si="13"/>
        <v>590</v>
      </c>
      <c r="T103">
        <f t="shared" si="14"/>
        <v>1</v>
      </c>
      <c r="U103">
        <f t="shared" si="15"/>
        <v>1</v>
      </c>
      <c r="V103">
        <f t="shared" si="16"/>
        <v>1</v>
      </c>
      <c r="W103">
        <f t="shared" si="17"/>
        <v>1</v>
      </c>
      <c r="X103">
        <f t="shared" si="18"/>
        <v>0.99999999999999989</v>
      </c>
      <c r="Y103" t="str">
        <f t="shared" si="19"/>
        <v>Healthy</v>
      </c>
    </row>
    <row r="104" spans="1:25" x14ac:dyDescent="0.35">
      <c r="A104" t="s">
        <v>20</v>
      </c>
      <c r="B104" t="s">
        <v>21</v>
      </c>
      <c r="C104" t="s">
        <v>51</v>
      </c>
      <c r="D104" t="s">
        <v>184</v>
      </c>
      <c r="E104">
        <v>80782930</v>
      </c>
      <c r="F104" t="s">
        <v>185</v>
      </c>
      <c r="G104" s="3">
        <v>46965</v>
      </c>
      <c r="H104">
        <v>36</v>
      </c>
      <c r="I104">
        <v>72</v>
      </c>
      <c r="J104">
        <v>4</v>
      </c>
      <c r="K104" s="4">
        <v>448</v>
      </c>
      <c r="L104" s="4">
        <v>102.71428571428571</v>
      </c>
      <c r="M104" s="4">
        <v>3.8942976356050069E-2</v>
      </c>
      <c r="N104" t="s">
        <v>25</v>
      </c>
      <c r="O104" t="str">
        <f t="shared" si="10"/>
        <v>Low</v>
      </c>
      <c r="P104" t="str">
        <f t="shared" si="11"/>
        <v>Low</v>
      </c>
      <c r="Q104" t="str">
        <f t="shared" si="12"/>
        <v>Low</v>
      </c>
      <c r="R104" t="s">
        <v>3317</v>
      </c>
      <c r="S104" s="4">
        <f t="shared" ca="1" si="13"/>
        <v>768</v>
      </c>
      <c r="T104">
        <f t="shared" si="14"/>
        <v>1</v>
      </c>
      <c r="U104">
        <f t="shared" si="15"/>
        <v>1</v>
      </c>
      <c r="V104">
        <f t="shared" si="16"/>
        <v>1</v>
      </c>
      <c r="W104">
        <f t="shared" si="17"/>
        <v>1</v>
      </c>
      <c r="X104">
        <f t="shared" si="18"/>
        <v>0.99999999999999989</v>
      </c>
      <c r="Y104" t="str">
        <f t="shared" si="19"/>
        <v>Healthy</v>
      </c>
    </row>
    <row r="105" spans="1:25" x14ac:dyDescent="0.35">
      <c r="A105" t="s">
        <v>20</v>
      </c>
      <c r="B105" t="s">
        <v>21</v>
      </c>
      <c r="C105" t="s">
        <v>51</v>
      </c>
      <c r="D105" t="s">
        <v>184</v>
      </c>
      <c r="E105">
        <v>80782930</v>
      </c>
      <c r="F105" t="s">
        <v>185</v>
      </c>
      <c r="G105" s="3">
        <v>46907</v>
      </c>
      <c r="H105">
        <v>36</v>
      </c>
      <c r="I105">
        <v>66</v>
      </c>
      <c r="J105">
        <v>3</v>
      </c>
      <c r="K105" s="4">
        <v>336</v>
      </c>
      <c r="L105" s="4">
        <v>102.71428571428571</v>
      </c>
      <c r="M105" s="4">
        <v>2.9207232267037555E-2</v>
      </c>
      <c r="N105" t="s">
        <v>25</v>
      </c>
      <c r="O105" t="str">
        <f t="shared" si="10"/>
        <v>Low</v>
      </c>
      <c r="P105" t="str">
        <f t="shared" si="11"/>
        <v>Low</v>
      </c>
      <c r="Q105" t="str">
        <f t="shared" si="12"/>
        <v>Low</v>
      </c>
      <c r="R105" t="s">
        <v>3317</v>
      </c>
      <c r="S105" s="4">
        <f t="shared" ca="1" si="13"/>
        <v>710</v>
      </c>
      <c r="T105">
        <f t="shared" si="14"/>
        <v>1</v>
      </c>
      <c r="U105">
        <f t="shared" si="15"/>
        <v>1</v>
      </c>
      <c r="V105">
        <f t="shared" si="16"/>
        <v>1</v>
      </c>
      <c r="W105">
        <f t="shared" si="17"/>
        <v>1</v>
      </c>
      <c r="X105">
        <f t="shared" si="18"/>
        <v>0.99999999999999989</v>
      </c>
      <c r="Y105" t="str">
        <f t="shared" si="19"/>
        <v>Healthy</v>
      </c>
    </row>
    <row r="106" spans="1:25" x14ac:dyDescent="0.35">
      <c r="A106" t="s">
        <v>20</v>
      </c>
      <c r="B106" t="s">
        <v>21</v>
      </c>
      <c r="C106" t="s">
        <v>51</v>
      </c>
      <c r="D106" t="s">
        <v>184</v>
      </c>
      <c r="E106">
        <v>80782930</v>
      </c>
      <c r="F106" t="s">
        <v>185</v>
      </c>
      <c r="G106" s="3">
        <v>46906</v>
      </c>
      <c r="H106">
        <v>36</v>
      </c>
      <c r="I106">
        <v>66</v>
      </c>
      <c r="J106">
        <v>4</v>
      </c>
      <c r="K106" s="4">
        <v>448</v>
      </c>
      <c r="L106" s="4">
        <v>102.71428571428571</v>
      </c>
      <c r="M106" s="4">
        <v>3.8942976356050069E-2</v>
      </c>
      <c r="N106" t="s">
        <v>25</v>
      </c>
      <c r="O106" t="str">
        <f t="shared" si="10"/>
        <v>Low</v>
      </c>
      <c r="P106" t="str">
        <f t="shared" si="11"/>
        <v>Low</v>
      </c>
      <c r="Q106" t="str">
        <f t="shared" si="12"/>
        <v>Low</v>
      </c>
      <c r="R106" t="s">
        <v>3317</v>
      </c>
      <c r="S106" s="4">
        <f t="shared" ca="1" si="13"/>
        <v>709</v>
      </c>
      <c r="T106">
        <f t="shared" si="14"/>
        <v>1</v>
      </c>
      <c r="U106">
        <f t="shared" si="15"/>
        <v>1</v>
      </c>
      <c r="V106">
        <f t="shared" si="16"/>
        <v>1</v>
      </c>
      <c r="W106">
        <f t="shared" si="17"/>
        <v>1</v>
      </c>
      <c r="X106">
        <f t="shared" si="18"/>
        <v>0.99999999999999989</v>
      </c>
      <c r="Y106" t="str">
        <f t="shared" si="19"/>
        <v>Healthy</v>
      </c>
    </row>
    <row r="107" spans="1:25" x14ac:dyDescent="0.35">
      <c r="A107" t="s">
        <v>41</v>
      </c>
      <c r="B107" t="s">
        <v>54</v>
      </c>
      <c r="C107" t="s">
        <v>87</v>
      </c>
      <c r="D107" t="s">
        <v>124</v>
      </c>
      <c r="E107">
        <v>80782710</v>
      </c>
      <c r="F107" t="s">
        <v>186</v>
      </c>
      <c r="G107" s="3">
        <v>46460</v>
      </c>
      <c r="H107">
        <v>36</v>
      </c>
      <c r="I107">
        <v>25</v>
      </c>
      <c r="J107">
        <v>1</v>
      </c>
      <c r="K107" s="4">
        <v>399.7</v>
      </c>
      <c r="L107" s="4">
        <v>0.5714285714285714</v>
      </c>
      <c r="M107" s="4">
        <v>1.75</v>
      </c>
      <c r="N107" t="s">
        <v>25</v>
      </c>
      <c r="O107" t="str">
        <f t="shared" si="10"/>
        <v>Medium</v>
      </c>
      <c r="P107" t="str">
        <f t="shared" si="11"/>
        <v>Low</v>
      </c>
      <c r="Q107" t="str">
        <f t="shared" si="12"/>
        <v>High</v>
      </c>
      <c r="R107" t="s">
        <v>3317</v>
      </c>
      <c r="S107" s="4">
        <f t="shared" ca="1" si="13"/>
        <v>263</v>
      </c>
      <c r="T107">
        <f t="shared" si="14"/>
        <v>2</v>
      </c>
      <c r="U107">
        <f t="shared" si="15"/>
        <v>1</v>
      </c>
      <c r="V107">
        <f t="shared" si="16"/>
        <v>3</v>
      </c>
      <c r="W107">
        <f t="shared" si="17"/>
        <v>1</v>
      </c>
      <c r="X107">
        <f t="shared" si="18"/>
        <v>1.8000000000000003</v>
      </c>
      <c r="Y107" t="str">
        <f t="shared" si="19"/>
        <v>Monitor</v>
      </c>
    </row>
    <row r="108" spans="1:25" x14ac:dyDescent="0.35">
      <c r="A108" t="s">
        <v>41</v>
      </c>
      <c r="B108" t="s">
        <v>54</v>
      </c>
      <c r="C108" t="s">
        <v>87</v>
      </c>
      <c r="D108" t="s">
        <v>124</v>
      </c>
      <c r="E108">
        <v>80782710</v>
      </c>
      <c r="F108" t="s">
        <v>186</v>
      </c>
      <c r="G108" s="3">
        <v>46362</v>
      </c>
      <c r="H108">
        <v>36</v>
      </c>
      <c r="I108">
        <v>16</v>
      </c>
      <c r="J108">
        <v>2</v>
      </c>
      <c r="K108" s="4">
        <v>799.4</v>
      </c>
      <c r="L108" s="4">
        <v>0.5714285714285714</v>
      </c>
      <c r="M108" s="4">
        <v>3.5</v>
      </c>
      <c r="N108" t="s">
        <v>25</v>
      </c>
      <c r="O108" t="str">
        <f t="shared" si="10"/>
        <v>High</v>
      </c>
      <c r="P108" t="str">
        <f t="shared" si="11"/>
        <v>Low</v>
      </c>
      <c r="Q108" t="str">
        <f t="shared" si="12"/>
        <v>High</v>
      </c>
      <c r="R108" t="s">
        <v>3317</v>
      </c>
      <c r="S108" s="4">
        <f t="shared" ca="1" si="13"/>
        <v>165</v>
      </c>
      <c r="T108">
        <f t="shared" si="14"/>
        <v>3</v>
      </c>
      <c r="U108">
        <f t="shared" si="15"/>
        <v>1</v>
      </c>
      <c r="V108">
        <f t="shared" si="16"/>
        <v>3</v>
      </c>
      <c r="W108">
        <f t="shared" si="17"/>
        <v>1</v>
      </c>
      <c r="X108">
        <f t="shared" si="18"/>
        <v>2.2000000000000006</v>
      </c>
      <c r="Y108" t="str">
        <f t="shared" si="19"/>
        <v>High Priority</v>
      </c>
    </row>
    <row r="109" spans="1:25" x14ac:dyDescent="0.35">
      <c r="A109" t="s">
        <v>99</v>
      </c>
      <c r="B109" t="s">
        <v>100</v>
      </c>
      <c r="C109" t="s">
        <v>101</v>
      </c>
      <c r="D109" t="s">
        <v>187</v>
      </c>
      <c r="E109">
        <v>82325381</v>
      </c>
      <c r="F109" t="s">
        <v>188</v>
      </c>
      <c r="G109" s="3">
        <v>45661</v>
      </c>
      <c r="H109">
        <v>18</v>
      </c>
      <c r="I109">
        <v>0</v>
      </c>
      <c r="J109">
        <v>142</v>
      </c>
      <c r="K109" s="4">
        <v>7100</v>
      </c>
      <c r="L109" s="4">
        <f>0</f>
        <v>0</v>
      </c>
      <c r="M109" s="4">
        <f>999</f>
        <v>999</v>
      </c>
      <c r="N109" t="s">
        <v>19</v>
      </c>
      <c r="O109" t="str">
        <f t="shared" si="10"/>
        <v>High</v>
      </c>
      <c r="P109" t="str">
        <f t="shared" si="11"/>
        <v>High</v>
      </c>
      <c r="Q109" t="str">
        <f t="shared" si="12"/>
        <v>High</v>
      </c>
      <c r="R109" t="s">
        <v>3317</v>
      </c>
      <c r="S109" s="4">
        <f t="shared" ca="1" si="13"/>
        <v>-536</v>
      </c>
      <c r="T109">
        <f t="shared" si="14"/>
        <v>3</v>
      </c>
      <c r="U109">
        <f t="shared" si="15"/>
        <v>3</v>
      </c>
      <c r="V109">
        <f t="shared" si="16"/>
        <v>3</v>
      </c>
      <c r="W109">
        <f t="shared" si="17"/>
        <v>1</v>
      </c>
      <c r="X109">
        <f t="shared" si="18"/>
        <v>2.8000000000000003</v>
      </c>
      <c r="Y109" t="str">
        <f t="shared" si="19"/>
        <v>Move Immediately</v>
      </c>
    </row>
    <row r="110" spans="1:25" x14ac:dyDescent="0.35">
      <c r="A110" t="s">
        <v>99</v>
      </c>
      <c r="B110" t="s">
        <v>100</v>
      </c>
      <c r="C110" t="s">
        <v>101</v>
      </c>
      <c r="D110" t="s">
        <v>187</v>
      </c>
      <c r="E110">
        <v>82325381</v>
      </c>
      <c r="F110" t="s">
        <v>188</v>
      </c>
      <c r="G110" s="3">
        <v>45642</v>
      </c>
      <c r="H110">
        <v>18</v>
      </c>
      <c r="I110">
        <v>0</v>
      </c>
      <c r="J110">
        <v>120</v>
      </c>
      <c r="K110" s="4">
        <v>6000</v>
      </c>
      <c r="L110" s="4">
        <f>0</f>
        <v>0</v>
      </c>
      <c r="M110" s="4">
        <f>999</f>
        <v>999</v>
      </c>
      <c r="N110" t="s">
        <v>19</v>
      </c>
      <c r="O110" t="str">
        <f t="shared" si="10"/>
        <v>High</v>
      </c>
      <c r="P110" t="str">
        <f t="shared" si="11"/>
        <v>High</v>
      </c>
      <c r="Q110" t="str">
        <f t="shared" si="12"/>
        <v>High</v>
      </c>
      <c r="R110" t="s">
        <v>3317</v>
      </c>
      <c r="S110" s="4">
        <f t="shared" ca="1" si="13"/>
        <v>-555</v>
      </c>
      <c r="T110">
        <f t="shared" si="14"/>
        <v>3</v>
      </c>
      <c r="U110">
        <f t="shared" si="15"/>
        <v>3</v>
      </c>
      <c r="V110">
        <f t="shared" si="16"/>
        <v>3</v>
      </c>
      <c r="W110">
        <f t="shared" si="17"/>
        <v>1</v>
      </c>
      <c r="X110">
        <f t="shared" si="18"/>
        <v>2.8000000000000003</v>
      </c>
      <c r="Y110" t="str">
        <f t="shared" si="19"/>
        <v>Move Immediately</v>
      </c>
    </row>
    <row r="111" spans="1:25" x14ac:dyDescent="0.35">
      <c r="A111" t="s">
        <v>99</v>
      </c>
      <c r="B111" t="s">
        <v>100</v>
      </c>
      <c r="C111" t="s">
        <v>101</v>
      </c>
      <c r="D111" t="s">
        <v>187</v>
      </c>
      <c r="E111">
        <v>82325381</v>
      </c>
      <c r="F111" t="s">
        <v>188</v>
      </c>
      <c r="G111" s="3">
        <v>45645</v>
      </c>
      <c r="H111">
        <v>18</v>
      </c>
      <c r="I111">
        <v>0</v>
      </c>
      <c r="J111">
        <v>109</v>
      </c>
      <c r="K111" s="4">
        <v>5450</v>
      </c>
      <c r="L111" s="4">
        <f>0</f>
        <v>0</v>
      </c>
      <c r="M111" s="4">
        <f>999</f>
        <v>999</v>
      </c>
      <c r="N111" t="s">
        <v>19</v>
      </c>
      <c r="O111" t="str">
        <f t="shared" si="10"/>
        <v>High</v>
      </c>
      <c r="P111" t="str">
        <f t="shared" si="11"/>
        <v>High</v>
      </c>
      <c r="Q111" t="str">
        <f t="shared" si="12"/>
        <v>High</v>
      </c>
      <c r="R111" t="s">
        <v>3317</v>
      </c>
      <c r="S111" s="4">
        <f t="shared" ca="1" si="13"/>
        <v>-552</v>
      </c>
      <c r="T111">
        <f t="shared" si="14"/>
        <v>3</v>
      </c>
      <c r="U111">
        <f t="shared" si="15"/>
        <v>3</v>
      </c>
      <c r="V111">
        <f t="shared" si="16"/>
        <v>3</v>
      </c>
      <c r="W111">
        <f t="shared" si="17"/>
        <v>1</v>
      </c>
      <c r="X111">
        <f t="shared" si="18"/>
        <v>2.8000000000000003</v>
      </c>
      <c r="Y111" t="str">
        <f t="shared" si="19"/>
        <v>Move Immediately</v>
      </c>
    </row>
    <row r="112" spans="1:25" x14ac:dyDescent="0.35">
      <c r="A112" t="s">
        <v>99</v>
      </c>
      <c r="B112" t="s">
        <v>100</v>
      </c>
      <c r="C112" t="s">
        <v>101</v>
      </c>
      <c r="D112" t="s">
        <v>187</v>
      </c>
      <c r="E112">
        <v>82325381</v>
      </c>
      <c r="F112" t="s">
        <v>188</v>
      </c>
      <c r="G112" s="3">
        <v>46070</v>
      </c>
      <c r="H112">
        <v>18</v>
      </c>
      <c r="I112">
        <v>0</v>
      </c>
      <c r="J112">
        <v>5504</v>
      </c>
      <c r="K112" s="4">
        <v>275200</v>
      </c>
      <c r="L112" s="4">
        <f>0</f>
        <v>0</v>
      </c>
      <c r="M112" s="4">
        <f>999</f>
        <v>999</v>
      </c>
      <c r="N112" t="s">
        <v>19</v>
      </c>
      <c r="O112" t="str">
        <f t="shared" si="10"/>
        <v>High</v>
      </c>
      <c r="P112" t="str">
        <f t="shared" si="11"/>
        <v>High</v>
      </c>
      <c r="Q112" t="str">
        <f t="shared" si="12"/>
        <v>High</v>
      </c>
      <c r="R112" t="s">
        <v>3309</v>
      </c>
      <c r="S112" s="4">
        <f t="shared" ca="1" si="13"/>
        <v>-127</v>
      </c>
      <c r="T112">
        <f t="shared" si="14"/>
        <v>3</v>
      </c>
      <c r="U112">
        <f t="shared" si="15"/>
        <v>3</v>
      </c>
      <c r="V112">
        <f t="shared" si="16"/>
        <v>3</v>
      </c>
      <c r="W112">
        <f t="shared" si="17"/>
        <v>3</v>
      </c>
      <c r="X112">
        <f t="shared" si="18"/>
        <v>3</v>
      </c>
      <c r="Y112" t="str">
        <f t="shared" si="19"/>
        <v>Move Immediately</v>
      </c>
    </row>
    <row r="113" spans="1:25" x14ac:dyDescent="0.35">
      <c r="A113" t="s">
        <v>99</v>
      </c>
      <c r="B113" t="s">
        <v>100</v>
      </c>
      <c r="C113" t="s">
        <v>101</v>
      </c>
      <c r="D113" t="s">
        <v>187</v>
      </c>
      <c r="E113">
        <v>82325381</v>
      </c>
      <c r="F113" t="s">
        <v>188</v>
      </c>
      <c r="G113" s="3">
        <v>45644</v>
      </c>
      <c r="H113">
        <v>18</v>
      </c>
      <c r="I113">
        <v>0</v>
      </c>
      <c r="J113">
        <v>84</v>
      </c>
      <c r="K113" s="4">
        <v>4200</v>
      </c>
      <c r="L113" s="4">
        <f>0</f>
        <v>0</v>
      </c>
      <c r="M113" s="4">
        <f>999</f>
        <v>999</v>
      </c>
      <c r="N113" t="s">
        <v>19</v>
      </c>
      <c r="O113" t="str">
        <f t="shared" si="10"/>
        <v>High</v>
      </c>
      <c r="P113" t="str">
        <f t="shared" si="11"/>
        <v>High</v>
      </c>
      <c r="Q113" t="str">
        <f t="shared" si="12"/>
        <v>High</v>
      </c>
      <c r="R113" t="s">
        <v>3317</v>
      </c>
      <c r="S113" s="4">
        <f t="shared" ca="1" si="13"/>
        <v>-553</v>
      </c>
      <c r="T113">
        <f t="shared" si="14"/>
        <v>3</v>
      </c>
      <c r="U113">
        <f t="shared" si="15"/>
        <v>3</v>
      </c>
      <c r="V113">
        <f t="shared" si="16"/>
        <v>3</v>
      </c>
      <c r="W113">
        <f t="shared" si="17"/>
        <v>1</v>
      </c>
      <c r="X113">
        <f t="shared" si="18"/>
        <v>2.8000000000000003</v>
      </c>
      <c r="Y113" t="str">
        <f t="shared" si="19"/>
        <v>Move Immediately</v>
      </c>
    </row>
    <row r="114" spans="1:25" x14ac:dyDescent="0.35">
      <c r="A114" t="s">
        <v>189</v>
      </c>
      <c r="B114" t="s">
        <v>190</v>
      </c>
      <c r="C114" t="s">
        <v>190</v>
      </c>
      <c r="D114" t="s">
        <v>191</v>
      </c>
      <c r="E114">
        <v>80786681</v>
      </c>
      <c r="F114" t="s">
        <v>192</v>
      </c>
      <c r="G114" s="3">
        <v>46036</v>
      </c>
      <c r="H114">
        <v>18</v>
      </c>
      <c r="I114">
        <v>0</v>
      </c>
      <c r="J114">
        <v>4</v>
      </c>
      <c r="K114" s="4">
        <v>73.680000000000007</v>
      </c>
      <c r="L114" s="4">
        <v>1.7142857142857142</v>
      </c>
      <c r="M114" s="4">
        <v>2.3333333333333335</v>
      </c>
      <c r="N114" t="s">
        <v>25</v>
      </c>
      <c r="O114" t="str">
        <f t="shared" si="10"/>
        <v>High</v>
      </c>
      <c r="P114" t="str">
        <f t="shared" si="11"/>
        <v>Low</v>
      </c>
      <c r="Q114" t="str">
        <f t="shared" si="12"/>
        <v>High</v>
      </c>
      <c r="R114" t="s">
        <v>3317</v>
      </c>
      <c r="S114" s="4">
        <f t="shared" ca="1" si="13"/>
        <v>-161</v>
      </c>
      <c r="T114">
        <f t="shared" si="14"/>
        <v>3</v>
      </c>
      <c r="U114">
        <f t="shared" si="15"/>
        <v>1</v>
      </c>
      <c r="V114">
        <f t="shared" si="16"/>
        <v>3</v>
      </c>
      <c r="W114">
        <f t="shared" si="17"/>
        <v>1</v>
      </c>
      <c r="X114">
        <f t="shared" si="18"/>
        <v>2.2000000000000006</v>
      </c>
      <c r="Y114" t="str">
        <f t="shared" si="19"/>
        <v>High Priority</v>
      </c>
    </row>
    <row r="115" spans="1:25" x14ac:dyDescent="0.35">
      <c r="A115" t="s">
        <v>189</v>
      </c>
      <c r="B115" t="s">
        <v>190</v>
      </c>
      <c r="C115" t="s">
        <v>190</v>
      </c>
      <c r="D115" t="s">
        <v>191</v>
      </c>
      <c r="E115">
        <v>80786681</v>
      </c>
      <c r="F115" t="s">
        <v>192</v>
      </c>
      <c r="G115" s="3">
        <v>46460</v>
      </c>
      <c r="H115">
        <v>18</v>
      </c>
      <c r="I115">
        <v>50</v>
      </c>
      <c r="J115">
        <v>139</v>
      </c>
      <c r="K115" s="4">
        <v>2560.38</v>
      </c>
      <c r="L115" s="4">
        <v>1.7142857142857142</v>
      </c>
      <c r="M115" s="4">
        <v>81.083333333333343</v>
      </c>
      <c r="N115" t="s">
        <v>19</v>
      </c>
      <c r="O115" t="str">
        <f t="shared" si="10"/>
        <v>Low</v>
      </c>
      <c r="P115" t="str">
        <f t="shared" si="11"/>
        <v>High</v>
      </c>
      <c r="Q115" t="str">
        <f t="shared" si="12"/>
        <v>High</v>
      </c>
      <c r="R115" t="s">
        <v>3317</v>
      </c>
      <c r="S115" s="4">
        <f t="shared" ca="1" si="13"/>
        <v>263</v>
      </c>
      <c r="T115">
        <f t="shared" si="14"/>
        <v>1</v>
      </c>
      <c r="U115">
        <f t="shared" si="15"/>
        <v>3</v>
      </c>
      <c r="V115">
        <f t="shared" si="16"/>
        <v>3</v>
      </c>
      <c r="W115">
        <f t="shared" si="17"/>
        <v>1</v>
      </c>
      <c r="X115">
        <f t="shared" si="18"/>
        <v>2</v>
      </c>
      <c r="Y115" t="str">
        <f t="shared" si="19"/>
        <v>Monitor</v>
      </c>
    </row>
    <row r="116" spans="1:25" x14ac:dyDescent="0.35">
      <c r="A116" t="s">
        <v>189</v>
      </c>
      <c r="B116" t="s">
        <v>190</v>
      </c>
      <c r="C116" t="s">
        <v>190</v>
      </c>
      <c r="D116" t="s">
        <v>191</v>
      </c>
      <c r="E116">
        <v>80786681</v>
      </c>
      <c r="F116" t="s">
        <v>192</v>
      </c>
      <c r="G116" s="3">
        <v>46155</v>
      </c>
      <c r="H116">
        <v>18</v>
      </c>
      <c r="I116">
        <v>0</v>
      </c>
      <c r="J116">
        <v>6</v>
      </c>
      <c r="K116" s="4">
        <v>110.52</v>
      </c>
      <c r="L116" s="4">
        <v>1.7142857142857142</v>
      </c>
      <c r="M116" s="4">
        <v>3.5</v>
      </c>
      <c r="N116" t="s">
        <v>25</v>
      </c>
      <c r="O116" t="str">
        <f t="shared" si="10"/>
        <v>High</v>
      </c>
      <c r="P116" t="str">
        <f t="shared" si="11"/>
        <v>Low</v>
      </c>
      <c r="Q116" t="str">
        <f t="shared" si="12"/>
        <v>High</v>
      </c>
      <c r="R116" t="s">
        <v>3317</v>
      </c>
      <c r="S116" s="4">
        <f t="shared" ca="1" si="13"/>
        <v>-42</v>
      </c>
      <c r="T116">
        <f t="shared" si="14"/>
        <v>3</v>
      </c>
      <c r="U116">
        <f t="shared" si="15"/>
        <v>1</v>
      </c>
      <c r="V116">
        <f t="shared" si="16"/>
        <v>3</v>
      </c>
      <c r="W116">
        <f t="shared" si="17"/>
        <v>1</v>
      </c>
      <c r="X116">
        <f t="shared" si="18"/>
        <v>2.2000000000000006</v>
      </c>
      <c r="Y116" t="str">
        <f t="shared" si="19"/>
        <v>High Priority</v>
      </c>
    </row>
    <row r="117" spans="1:25" x14ac:dyDescent="0.35">
      <c r="A117" t="s">
        <v>14</v>
      </c>
      <c r="B117" t="s">
        <v>58</v>
      </c>
      <c r="C117" t="s">
        <v>162</v>
      </c>
      <c r="D117" t="s">
        <v>193</v>
      </c>
      <c r="E117">
        <v>80769037</v>
      </c>
      <c r="F117" t="s">
        <v>194</v>
      </c>
      <c r="G117" s="3">
        <v>47182</v>
      </c>
      <c r="H117">
        <v>60</v>
      </c>
      <c r="I117">
        <v>55</v>
      </c>
      <c r="J117">
        <v>34</v>
      </c>
      <c r="K117" s="4">
        <v>58254.58</v>
      </c>
      <c r="L117" s="4">
        <v>16.142857142857142</v>
      </c>
      <c r="M117" s="4">
        <v>2.1061946902654869</v>
      </c>
      <c r="N117" t="s">
        <v>25</v>
      </c>
      <c r="O117" t="str">
        <f t="shared" si="10"/>
        <v>Low</v>
      </c>
      <c r="P117" t="str">
        <f t="shared" si="11"/>
        <v>Low</v>
      </c>
      <c r="Q117" t="str">
        <f t="shared" si="12"/>
        <v>Low</v>
      </c>
      <c r="R117" t="s">
        <v>3317</v>
      </c>
      <c r="S117" s="4">
        <f t="shared" ca="1" si="13"/>
        <v>985</v>
      </c>
      <c r="T117">
        <f t="shared" si="14"/>
        <v>1</v>
      </c>
      <c r="U117">
        <f t="shared" si="15"/>
        <v>1</v>
      </c>
      <c r="V117">
        <f t="shared" si="16"/>
        <v>1</v>
      </c>
      <c r="W117">
        <f t="shared" si="17"/>
        <v>1</v>
      </c>
      <c r="X117">
        <f t="shared" si="18"/>
        <v>0.99999999999999989</v>
      </c>
      <c r="Y117" t="str">
        <f t="shared" si="19"/>
        <v>Healthy</v>
      </c>
    </row>
    <row r="118" spans="1:25" x14ac:dyDescent="0.35">
      <c r="A118" t="s">
        <v>179</v>
      </c>
      <c r="B118" t="s">
        <v>195</v>
      </c>
      <c r="C118" t="s">
        <v>196</v>
      </c>
      <c r="D118" t="s">
        <v>197</v>
      </c>
      <c r="E118">
        <v>80797358</v>
      </c>
      <c r="F118" t="s">
        <v>198</v>
      </c>
      <c r="G118" s="3">
        <v>46661</v>
      </c>
      <c r="H118">
        <v>16</v>
      </c>
      <c r="I118">
        <v>98</v>
      </c>
      <c r="J118">
        <v>96</v>
      </c>
      <c r="K118" s="4">
        <v>68264.639999999999</v>
      </c>
      <c r="L118" s="4">
        <v>815</v>
      </c>
      <c r="M118" s="4">
        <v>0.11779141104294479</v>
      </c>
      <c r="N118" t="s">
        <v>25</v>
      </c>
      <c r="O118" t="str">
        <f t="shared" si="10"/>
        <v>Low</v>
      </c>
      <c r="P118" t="str">
        <f t="shared" si="11"/>
        <v>Low</v>
      </c>
      <c r="Q118" t="str">
        <f t="shared" si="12"/>
        <v>Low</v>
      </c>
      <c r="R118" t="s">
        <v>3310</v>
      </c>
      <c r="S118" s="4">
        <f t="shared" ca="1" si="13"/>
        <v>464</v>
      </c>
      <c r="T118">
        <f t="shared" si="14"/>
        <v>1</v>
      </c>
      <c r="U118">
        <f t="shared" si="15"/>
        <v>1</v>
      </c>
      <c r="V118">
        <f t="shared" si="16"/>
        <v>1</v>
      </c>
      <c r="W118">
        <f t="shared" si="17"/>
        <v>2</v>
      </c>
      <c r="X118">
        <f t="shared" si="18"/>
        <v>1.0999999999999999</v>
      </c>
      <c r="Y118" t="str">
        <f t="shared" si="19"/>
        <v>Healthy</v>
      </c>
    </row>
    <row r="119" spans="1:25" x14ac:dyDescent="0.35">
      <c r="A119" t="s">
        <v>179</v>
      </c>
      <c r="B119" t="s">
        <v>195</v>
      </c>
      <c r="C119" t="s">
        <v>196</v>
      </c>
      <c r="D119" t="s">
        <v>197</v>
      </c>
      <c r="E119">
        <v>80797358</v>
      </c>
      <c r="F119" t="s">
        <v>198</v>
      </c>
      <c r="G119" s="3">
        <v>46643</v>
      </c>
      <c r="H119">
        <v>16</v>
      </c>
      <c r="I119">
        <v>94</v>
      </c>
      <c r="J119">
        <v>7</v>
      </c>
      <c r="K119" s="4">
        <v>4977.63</v>
      </c>
      <c r="L119" s="4">
        <v>815</v>
      </c>
      <c r="M119" s="4">
        <v>8.5889570552147246E-3</v>
      </c>
      <c r="N119" t="s">
        <v>25</v>
      </c>
      <c r="O119" t="str">
        <f t="shared" si="10"/>
        <v>Low</v>
      </c>
      <c r="P119" t="str">
        <f t="shared" si="11"/>
        <v>Low</v>
      </c>
      <c r="Q119" t="str">
        <f t="shared" si="12"/>
        <v>Low</v>
      </c>
      <c r="R119" t="s">
        <v>3317</v>
      </c>
      <c r="S119" s="4">
        <f t="shared" ca="1" si="13"/>
        <v>446</v>
      </c>
      <c r="T119">
        <f t="shared" si="14"/>
        <v>1</v>
      </c>
      <c r="U119">
        <f t="shared" si="15"/>
        <v>1</v>
      </c>
      <c r="V119">
        <f t="shared" si="16"/>
        <v>1</v>
      </c>
      <c r="W119">
        <f t="shared" si="17"/>
        <v>1</v>
      </c>
      <c r="X119">
        <f t="shared" si="18"/>
        <v>0.99999999999999989</v>
      </c>
      <c r="Y119" t="str">
        <f t="shared" si="19"/>
        <v>Healthy</v>
      </c>
    </row>
    <row r="120" spans="1:25" x14ac:dyDescent="0.35">
      <c r="A120" t="s">
        <v>179</v>
      </c>
      <c r="B120" t="s">
        <v>195</v>
      </c>
      <c r="C120" t="s">
        <v>196</v>
      </c>
      <c r="D120" t="s">
        <v>197</v>
      </c>
      <c r="E120">
        <v>80797358</v>
      </c>
      <c r="F120" t="s">
        <v>198</v>
      </c>
      <c r="G120" s="3">
        <v>46675</v>
      </c>
      <c r="H120">
        <v>16</v>
      </c>
      <c r="I120">
        <v>100</v>
      </c>
      <c r="J120">
        <v>32</v>
      </c>
      <c r="K120" s="4">
        <v>22754.880000000001</v>
      </c>
      <c r="L120" s="4">
        <v>815</v>
      </c>
      <c r="M120" s="4">
        <v>3.9263803680981597E-2</v>
      </c>
      <c r="N120" t="s">
        <v>25</v>
      </c>
      <c r="O120" t="str">
        <f t="shared" si="10"/>
        <v>Low</v>
      </c>
      <c r="P120" t="str">
        <f t="shared" si="11"/>
        <v>Low</v>
      </c>
      <c r="Q120" t="str">
        <f t="shared" si="12"/>
        <v>Low</v>
      </c>
      <c r="R120" t="s">
        <v>3317</v>
      </c>
      <c r="S120" s="4">
        <f t="shared" ca="1" si="13"/>
        <v>478</v>
      </c>
      <c r="T120">
        <f t="shared" si="14"/>
        <v>1</v>
      </c>
      <c r="U120">
        <f t="shared" si="15"/>
        <v>1</v>
      </c>
      <c r="V120">
        <f t="shared" si="16"/>
        <v>1</v>
      </c>
      <c r="W120">
        <f t="shared" si="17"/>
        <v>1</v>
      </c>
      <c r="X120">
        <f t="shared" si="18"/>
        <v>0.99999999999999989</v>
      </c>
      <c r="Y120" t="str">
        <f t="shared" si="19"/>
        <v>Healthy</v>
      </c>
    </row>
    <row r="121" spans="1:25" x14ac:dyDescent="0.35">
      <c r="A121" t="s">
        <v>179</v>
      </c>
      <c r="B121" t="s">
        <v>195</v>
      </c>
      <c r="C121" t="s">
        <v>199</v>
      </c>
      <c r="D121" t="s">
        <v>200</v>
      </c>
      <c r="E121">
        <v>80785975</v>
      </c>
      <c r="F121" t="s">
        <v>201</v>
      </c>
      <c r="G121" s="3">
        <v>46645</v>
      </c>
      <c r="H121">
        <v>16</v>
      </c>
      <c r="I121">
        <v>94</v>
      </c>
      <c r="J121">
        <v>96</v>
      </c>
      <c r="K121" s="4">
        <v>13653.12</v>
      </c>
      <c r="L121" s="4">
        <v>443.14285714285717</v>
      </c>
      <c r="M121" s="4">
        <v>0.21663442940038682</v>
      </c>
      <c r="N121" t="s">
        <v>25</v>
      </c>
      <c r="O121" t="str">
        <f t="shared" si="10"/>
        <v>Low</v>
      </c>
      <c r="P121" t="str">
        <f t="shared" si="11"/>
        <v>Low</v>
      </c>
      <c r="Q121" t="str">
        <f t="shared" si="12"/>
        <v>Low</v>
      </c>
      <c r="R121" t="s">
        <v>3317</v>
      </c>
      <c r="S121" s="4">
        <f t="shared" ca="1" si="13"/>
        <v>448</v>
      </c>
      <c r="T121">
        <f t="shared" si="14"/>
        <v>1</v>
      </c>
      <c r="U121">
        <f t="shared" si="15"/>
        <v>1</v>
      </c>
      <c r="V121">
        <f t="shared" si="16"/>
        <v>1</v>
      </c>
      <c r="W121">
        <f t="shared" si="17"/>
        <v>1</v>
      </c>
      <c r="X121">
        <f t="shared" si="18"/>
        <v>0.99999999999999989</v>
      </c>
      <c r="Y121" t="str">
        <f t="shared" si="19"/>
        <v>Healthy</v>
      </c>
    </row>
    <row r="122" spans="1:25" x14ac:dyDescent="0.35">
      <c r="A122" t="s">
        <v>179</v>
      </c>
      <c r="B122" t="s">
        <v>195</v>
      </c>
      <c r="C122" t="s">
        <v>199</v>
      </c>
      <c r="D122" t="s">
        <v>200</v>
      </c>
      <c r="E122">
        <v>80785975</v>
      </c>
      <c r="F122" t="s">
        <v>201</v>
      </c>
      <c r="G122" s="3">
        <v>46489</v>
      </c>
      <c r="H122">
        <v>16</v>
      </c>
      <c r="I122">
        <v>62</v>
      </c>
      <c r="J122">
        <v>33</v>
      </c>
      <c r="K122" s="4">
        <v>4693.26</v>
      </c>
      <c r="L122" s="4">
        <v>443.14285714285717</v>
      </c>
      <c r="M122" s="4">
        <v>7.4468085106382975E-2</v>
      </c>
      <c r="N122" t="s">
        <v>25</v>
      </c>
      <c r="O122" t="str">
        <f t="shared" si="10"/>
        <v>Low</v>
      </c>
      <c r="P122" t="str">
        <f t="shared" si="11"/>
        <v>Low</v>
      </c>
      <c r="Q122" t="str">
        <f t="shared" si="12"/>
        <v>Low</v>
      </c>
      <c r="R122" t="s">
        <v>3317</v>
      </c>
      <c r="S122" s="4">
        <f t="shared" ca="1" si="13"/>
        <v>292</v>
      </c>
      <c r="T122">
        <f t="shared" si="14"/>
        <v>1</v>
      </c>
      <c r="U122">
        <f t="shared" si="15"/>
        <v>1</v>
      </c>
      <c r="V122">
        <f t="shared" si="16"/>
        <v>1</v>
      </c>
      <c r="W122">
        <f t="shared" si="17"/>
        <v>1</v>
      </c>
      <c r="X122">
        <f t="shared" si="18"/>
        <v>0.99999999999999989</v>
      </c>
      <c r="Y122" t="str">
        <f t="shared" si="19"/>
        <v>Healthy</v>
      </c>
    </row>
    <row r="123" spans="1:25" x14ac:dyDescent="0.35">
      <c r="A123" t="s">
        <v>179</v>
      </c>
      <c r="B123" t="s">
        <v>195</v>
      </c>
      <c r="C123" t="s">
        <v>199</v>
      </c>
      <c r="D123" t="s">
        <v>200</v>
      </c>
      <c r="E123">
        <v>80785975</v>
      </c>
      <c r="F123" t="s">
        <v>201</v>
      </c>
      <c r="G123" s="3">
        <v>46460</v>
      </c>
      <c r="H123">
        <v>16</v>
      </c>
      <c r="I123">
        <v>56</v>
      </c>
      <c r="J123">
        <v>1</v>
      </c>
      <c r="K123" s="4">
        <v>142.22</v>
      </c>
      <c r="L123" s="4">
        <v>443.14285714285717</v>
      </c>
      <c r="M123" s="4">
        <v>2.2566086395873629E-3</v>
      </c>
      <c r="N123" t="s">
        <v>25</v>
      </c>
      <c r="O123" t="str">
        <f t="shared" si="10"/>
        <v>Low</v>
      </c>
      <c r="P123" t="str">
        <f t="shared" si="11"/>
        <v>Low</v>
      </c>
      <c r="Q123" t="str">
        <f t="shared" si="12"/>
        <v>Low</v>
      </c>
      <c r="R123" t="s">
        <v>3317</v>
      </c>
      <c r="S123" s="4">
        <f t="shared" ca="1" si="13"/>
        <v>263</v>
      </c>
      <c r="T123">
        <f t="shared" si="14"/>
        <v>1</v>
      </c>
      <c r="U123">
        <f t="shared" si="15"/>
        <v>1</v>
      </c>
      <c r="V123">
        <f t="shared" si="16"/>
        <v>1</v>
      </c>
      <c r="W123">
        <f t="shared" si="17"/>
        <v>1</v>
      </c>
      <c r="X123">
        <f t="shared" si="18"/>
        <v>0.99999999999999989</v>
      </c>
      <c r="Y123" t="str">
        <f t="shared" si="19"/>
        <v>Healthy</v>
      </c>
    </row>
    <row r="124" spans="1:25" x14ac:dyDescent="0.35">
      <c r="A124" t="s">
        <v>20</v>
      </c>
      <c r="B124" t="s">
        <v>21</v>
      </c>
      <c r="C124" t="s">
        <v>133</v>
      </c>
      <c r="D124" t="s">
        <v>202</v>
      </c>
      <c r="E124">
        <v>80739151</v>
      </c>
      <c r="F124" t="s">
        <v>203</v>
      </c>
      <c r="G124" s="3">
        <v>46751</v>
      </c>
      <c r="H124">
        <v>36</v>
      </c>
      <c r="I124">
        <v>52</v>
      </c>
      <c r="J124">
        <v>16</v>
      </c>
      <c r="K124" s="4">
        <v>26468.639999999999</v>
      </c>
      <c r="L124" s="4">
        <v>145.85714285714286</v>
      </c>
      <c r="M124" s="4">
        <v>0.10969637610186092</v>
      </c>
      <c r="N124" t="s">
        <v>25</v>
      </c>
      <c r="O124" t="str">
        <f t="shared" si="10"/>
        <v>Low</v>
      </c>
      <c r="P124" t="str">
        <f t="shared" si="11"/>
        <v>Low</v>
      </c>
      <c r="Q124" t="str">
        <f t="shared" si="12"/>
        <v>Low</v>
      </c>
      <c r="R124" t="s">
        <v>3317</v>
      </c>
      <c r="S124" s="4">
        <f t="shared" ca="1" si="13"/>
        <v>554</v>
      </c>
      <c r="T124">
        <f t="shared" si="14"/>
        <v>1</v>
      </c>
      <c r="U124">
        <f t="shared" si="15"/>
        <v>1</v>
      </c>
      <c r="V124">
        <f t="shared" si="16"/>
        <v>1</v>
      </c>
      <c r="W124">
        <f t="shared" si="17"/>
        <v>1</v>
      </c>
      <c r="X124">
        <f t="shared" si="18"/>
        <v>0.99999999999999989</v>
      </c>
      <c r="Y124" t="str">
        <f t="shared" si="19"/>
        <v>Healthy</v>
      </c>
    </row>
    <row r="125" spans="1:25" x14ac:dyDescent="0.35">
      <c r="A125" t="s">
        <v>20</v>
      </c>
      <c r="B125" t="s">
        <v>21</v>
      </c>
      <c r="C125" t="s">
        <v>133</v>
      </c>
      <c r="D125" t="s">
        <v>202</v>
      </c>
      <c r="E125">
        <v>80739151</v>
      </c>
      <c r="F125" t="s">
        <v>203</v>
      </c>
      <c r="G125" s="3">
        <v>46751</v>
      </c>
      <c r="H125">
        <v>36</v>
      </c>
      <c r="I125">
        <v>52</v>
      </c>
      <c r="J125">
        <v>6</v>
      </c>
      <c r="K125" s="4">
        <v>9925.74</v>
      </c>
      <c r="L125" s="4">
        <v>145.85714285714286</v>
      </c>
      <c r="M125" s="4">
        <v>4.1136141038197842E-2</v>
      </c>
      <c r="N125" t="s">
        <v>25</v>
      </c>
      <c r="O125" t="str">
        <f t="shared" si="10"/>
        <v>Low</v>
      </c>
      <c r="P125" t="str">
        <f t="shared" si="11"/>
        <v>Low</v>
      </c>
      <c r="Q125" t="str">
        <f t="shared" si="12"/>
        <v>Low</v>
      </c>
      <c r="R125" t="s">
        <v>3317</v>
      </c>
      <c r="S125" s="4">
        <f t="shared" ca="1" si="13"/>
        <v>554</v>
      </c>
      <c r="T125">
        <f t="shared" si="14"/>
        <v>1</v>
      </c>
      <c r="U125">
        <f t="shared" si="15"/>
        <v>1</v>
      </c>
      <c r="V125">
        <f t="shared" si="16"/>
        <v>1</v>
      </c>
      <c r="W125">
        <f t="shared" si="17"/>
        <v>1</v>
      </c>
      <c r="X125">
        <f t="shared" si="18"/>
        <v>0.99999999999999989</v>
      </c>
      <c r="Y125" t="str">
        <f t="shared" si="19"/>
        <v>Healthy</v>
      </c>
    </row>
    <row r="126" spans="1:25" x14ac:dyDescent="0.35">
      <c r="A126" t="s">
        <v>20</v>
      </c>
      <c r="B126" t="s">
        <v>21</v>
      </c>
      <c r="C126" t="s">
        <v>133</v>
      </c>
      <c r="D126" t="s">
        <v>202</v>
      </c>
      <c r="E126">
        <v>80739151</v>
      </c>
      <c r="F126" t="s">
        <v>203</v>
      </c>
      <c r="G126" s="3">
        <v>46768</v>
      </c>
      <c r="H126">
        <v>36</v>
      </c>
      <c r="I126">
        <v>53</v>
      </c>
      <c r="J126">
        <v>12</v>
      </c>
      <c r="K126" s="4">
        <v>19851.48</v>
      </c>
      <c r="L126" s="4">
        <v>145.85714285714286</v>
      </c>
      <c r="M126" s="4">
        <v>8.2272282076395684E-2</v>
      </c>
      <c r="N126" t="s">
        <v>25</v>
      </c>
      <c r="O126" t="str">
        <f t="shared" si="10"/>
        <v>Low</v>
      </c>
      <c r="P126" t="str">
        <f t="shared" si="11"/>
        <v>Low</v>
      </c>
      <c r="Q126" t="str">
        <f t="shared" si="12"/>
        <v>Low</v>
      </c>
      <c r="R126" t="s">
        <v>3317</v>
      </c>
      <c r="S126" s="4">
        <f t="shared" ca="1" si="13"/>
        <v>571</v>
      </c>
      <c r="T126">
        <f t="shared" si="14"/>
        <v>1</v>
      </c>
      <c r="U126">
        <f t="shared" si="15"/>
        <v>1</v>
      </c>
      <c r="V126">
        <f t="shared" si="16"/>
        <v>1</v>
      </c>
      <c r="W126">
        <f t="shared" si="17"/>
        <v>1</v>
      </c>
      <c r="X126">
        <f t="shared" si="18"/>
        <v>0.99999999999999989</v>
      </c>
      <c r="Y126" t="str">
        <f t="shared" si="19"/>
        <v>Healthy</v>
      </c>
    </row>
    <row r="127" spans="1:25" x14ac:dyDescent="0.35">
      <c r="A127" t="s">
        <v>189</v>
      </c>
      <c r="B127" t="s">
        <v>190</v>
      </c>
      <c r="C127" t="s">
        <v>190</v>
      </c>
      <c r="D127" t="s">
        <v>204</v>
      </c>
      <c r="E127">
        <v>80787265</v>
      </c>
      <c r="F127" t="s">
        <v>205</v>
      </c>
      <c r="G127" s="3">
        <v>46323</v>
      </c>
      <c r="H127">
        <v>18</v>
      </c>
      <c r="I127">
        <v>24</v>
      </c>
      <c r="J127">
        <v>2</v>
      </c>
      <c r="K127" s="4">
        <v>3104.78</v>
      </c>
      <c r="L127" s="4">
        <v>4.5714285714285712</v>
      </c>
      <c r="M127" s="4">
        <v>0.4375</v>
      </c>
      <c r="N127" t="s">
        <v>25</v>
      </c>
      <c r="O127" t="str">
        <f t="shared" si="10"/>
        <v>Medium</v>
      </c>
      <c r="P127" t="str">
        <f t="shared" si="11"/>
        <v>Low</v>
      </c>
      <c r="Q127" t="str">
        <f t="shared" si="12"/>
        <v>High</v>
      </c>
      <c r="R127" t="s">
        <v>3317</v>
      </c>
      <c r="S127" s="4">
        <f t="shared" ca="1" si="13"/>
        <v>126</v>
      </c>
      <c r="T127">
        <f t="shared" si="14"/>
        <v>2</v>
      </c>
      <c r="U127">
        <f t="shared" si="15"/>
        <v>1</v>
      </c>
      <c r="V127">
        <f t="shared" si="16"/>
        <v>3</v>
      </c>
      <c r="W127">
        <f t="shared" si="17"/>
        <v>1</v>
      </c>
      <c r="X127">
        <f t="shared" si="18"/>
        <v>1.8000000000000003</v>
      </c>
      <c r="Y127" t="str">
        <f t="shared" si="19"/>
        <v>Monitor</v>
      </c>
    </row>
    <row r="128" spans="1:25" x14ac:dyDescent="0.35">
      <c r="A128" t="s">
        <v>20</v>
      </c>
      <c r="B128" t="s">
        <v>21</v>
      </c>
      <c r="C128" t="s">
        <v>133</v>
      </c>
      <c r="D128" t="s">
        <v>202</v>
      </c>
      <c r="E128">
        <v>80739151</v>
      </c>
      <c r="F128" t="s">
        <v>203</v>
      </c>
      <c r="G128" s="3">
        <v>46750</v>
      </c>
      <c r="H128">
        <v>36</v>
      </c>
      <c r="I128">
        <v>52</v>
      </c>
      <c r="J128">
        <v>2</v>
      </c>
      <c r="K128" s="4">
        <v>3308.58</v>
      </c>
      <c r="L128" s="4">
        <v>145.85714285714286</v>
      </c>
      <c r="M128" s="4">
        <v>1.3712047012732615E-2</v>
      </c>
      <c r="N128" t="s">
        <v>25</v>
      </c>
      <c r="O128" t="str">
        <f t="shared" si="10"/>
        <v>Low</v>
      </c>
      <c r="P128" t="str">
        <f t="shared" si="11"/>
        <v>Low</v>
      </c>
      <c r="Q128" t="str">
        <f t="shared" si="12"/>
        <v>Low</v>
      </c>
      <c r="R128" t="s">
        <v>3317</v>
      </c>
      <c r="S128" s="4">
        <f t="shared" ca="1" si="13"/>
        <v>553</v>
      </c>
      <c r="T128">
        <f t="shared" si="14"/>
        <v>1</v>
      </c>
      <c r="U128">
        <f t="shared" si="15"/>
        <v>1</v>
      </c>
      <c r="V128">
        <f t="shared" si="16"/>
        <v>1</v>
      </c>
      <c r="W128">
        <f t="shared" si="17"/>
        <v>1</v>
      </c>
      <c r="X128">
        <f t="shared" si="18"/>
        <v>0.99999999999999989</v>
      </c>
      <c r="Y128" t="str">
        <f t="shared" si="19"/>
        <v>Healthy</v>
      </c>
    </row>
    <row r="129" spans="1:25" x14ac:dyDescent="0.35">
      <c r="A129" t="s">
        <v>41</v>
      </c>
      <c r="B129" t="s">
        <v>80</v>
      </c>
      <c r="C129" t="s">
        <v>81</v>
      </c>
      <c r="D129" t="s">
        <v>82</v>
      </c>
      <c r="E129">
        <v>80792058</v>
      </c>
      <c r="F129" t="s">
        <v>206</v>
      </c>
      <c r="G129" s="3">
        <v>46541</v>
      </c>
      <c r="H129">
        <v>36</v>
      </c>
      <c r="I129">
        <v>32</v>
      </c>
      <c r="J129">
        <v>1</v>
      </c>
      <c r="K129" s="4">
        <v>331.99</v>
      </c>
      <c r="L129" s="4">
        <v>9.4285714285714288</v>
      </c>
      <c r="M129" s="4">
        <v>0.10606060606060606</v>
      </c>
      <c r="N129" t="s">
        <v>25</v>
      </c>
      <c r="O129" t="str">
        <f t="shared" si="10"/>
        <v>Medium</v>
      </c>
      <c r="P129" t="str">
        <f t="shared" si="11"/>
        <v>Low</v>
      </c>
      <c r="Q129" t="str">
        <f t="shared" si="12"/>
        <v>Medium</v>
      </c>
      <c r="R129" t="s">
        <v>3317</v>
      </c>
      <c r="S129" s="4">
        <f t="shared" ca="1" si="13"/>
        <v>344</v>
      </c>
      <c r="T129">
        <f t="shared" si="14"/>
        <v>2</v>
      </c>
      <c r="U129">
        <f t="shared" si="15"/>
        <v>1</v>
      </c>
      <c r="V129">
        <f t="shared" si="16"/>
        <v>2</v>
      </c>
      <c r="W129">
        <f t="shared" si="17"/>
        <v>1</v>
      </c>
      <c r="X129">
        <f t="shared" si="18"/>
        <v>1.6</v>
      </c>
      <c r="Y129" t="str">
        <f t="shared" si="19"/>
        <v>Healthy</v>
      </c>
    </row>
    <row r="130" spans="1:25" x14ac:dyDescent="0.35">
      <c r="A130" t="s">
        <v>20</v>
      </c>
      <c r="B130" t="s">
        <v>21</v>
      </c>
      <c r="C130" t="s">
        <v>133</v>
      </c>
      <c r="D130" t="s">
        <v>202</v>
      </c>
      <c r="E130">
        <v>80739151</v>
      </c>
      <c r="F130" t="s">
        <v>203</v>
      </c>
      <c r="G130" s="3">
        <v>46760</v>
      </c>
      <c r="H130">
        <v>36</v>
      </c>
      <c r="I130">
        <v>53</v>
      </c>
      <c r="J130">
        <v>32</v>
      </c>
      <c r="K130" s="4">
        <v>52937.279999999999</v>
      </c>
      <c r="L130" s="4">
        <v>145.85714285714286</v>
      </c>
      <c r="M130" s="4">
        <v>0.21939275220372184</v>
      </c>
      <c r="N130" t="s">
        <v>25</v>
      </c>
      <c r="O130" t="str">
        <f t="shared" si="10"/>
        <v>Low</v>
      </c>
      <c r="P130" t="str">
        <f t="shared" si="11"/>
        <v>Low</v>
      </c>
      <c r="Q130" t="str">
        <f t="shared" si="12"/>
        <v>Low</v>
      </c>
      <c r="R130" t="s">
        <v>3317</v>
      </c>
      <c r="S130" s="4">
        <f t="shared" ca="1" si="13"/>
        <v>563</v>
      </c>
      <c r="T130">
        <f t="shared" si="14"/>
        <v>1</v>
      </c>
      <c r="U130">
        <f t="shared" si="15"/>
        <v>1</v>
      </c>
      <c r="V130">
        <f t="shared" si="16"/>
        <v>1</v>
      </c>
      <c r="W130">
        <f t="shared" si="17"/>
        <v>1</v>
      </c>
      <c r="X130">
        <f t="shared" si="18"/>
        <v>0.99999999999999989</v>
      </c>
      <c r="Y130" t="str">
        <f t="shared" si="19"/>
        <v>Healthy</v>
      </c>
    </row>
    <row r="131" spans="1:25" x14ac:dyDescent="0.35">
      <c r="A131" t="s">
        <v>41</v>
      </c>
      <c r="B131" t="s">
        <v>80</v>
      </c>
      <c r="C131" t="s">
        <v>81</v>
      </c>
      <c r="D131" t="s">
        <v>82</v>
      </c>
      <c r="E131">
        <v>80792058</v>
      </c>
      <c r="F131" t="s">
        <v>206</v>
      </c>
      <c r="G131" s="3">
        <v>46851</v>
      </c>
      <c r="H131">
        <v>36</v>
      </c>
      <c r="I131">
        <v>61</v>
      </c>
      <c r="J131">
        <v>6</v>
      </c>
      <c r="K131" s="4">
        <v>1991.94</v>
      </c>
      <c r="L131" s="4">
        <v>9.4285714285714288</v>
      </c>
      <c r="M131" s="4">
        <v>0.63636363636363635</v>
      </c>
      <c r="N131" t="s">
        <v>25</v>
      </c>
      <c r="O131" t="str">
        <f t="shared" ref="O131:O194" si="20">IF(I131&lt;20,"High",IF(I131&lt;40,"Medium","Low"))</f>
        <v>Low</v>
      </c>
      <c r="P131" t="str">
        <f t="shared" ref="P131:P194" si="21">IF(M131&gt;8,"High",IF(M131&gt;4,"Medium","Low"))</f>
        <v>Low</v>
      </c>
      <c r="Q131" t="str">
        <f t="shared" ref="Q131:Q194" si="22">IF(L131&lt;5,"High",IF(L131&lt;15,"Medium","Low"))</f>
        <v>Medium</v>
      </c>
      <c r="R131" t="s">
        <v>3317</v>
      </c>
      <c r="S131" s="4">
        <f t="shared" ref="S131:S194" ca="1" si="23">G131-TODAY()</f>
        <v>654</v>
      </c>
      <c r="T131">
        <f t="shared" ref="T131:T194" si="24">IF(O131="High",3,IF(O131="Medium",2,1))</f>
        <v>1</v>
      </c>
      <c r="U131">
        <f t="shared" ref="U131:U194" si="25">IF(P131="High",3,IF(P131="Medium",2,1))</f>
        <v>1</v>
      </c>
      <c r="V131">
        <f t="shared" ref="V131:V194" si="26">IF(Q131="High",3,IF(Q131="Medium",2,1))</f>
        <v>2</v>
      </c>
      <c r="W131">
        <f t="shared" ref="W131:W194" si="27">IF(R131="High",3,IF(R131="Medium",2,1))</f>
        <v>1</v>
      </c>
      <c r="X131">
        <f t="shared" ref="X131:X194" si="28">(0.4*T131)+(0.3*U131)+(0.2*V131)+(0.1*W131)</f>
        <v>1.2000000000000002</v>
      </c>
      <c r="Y131" t="str">
        <f t="shared" ref="Y131:Y194" si="29">IF(X131&gt;=2.7,"Move Immediately",IF(X131&gt;=2.2,"High Priority",IF(X131&gt;=1.7,"Monitor","Healthy")))</f>
        <v>Healthy</v>
      </c>
    </row>
    <row r="132" spans="1:25" x14ac:dyDescent="0.35">
      <c r="A132" t="s">
        <v>20</v>
      </c>
      <c r="B132" t="s">
        <v>21</v>
      </c>
      <c r="C132" t="s">
        <v>133</v>
      </c>
      <c r="D132" t="s">
        <v>202</v>
      </c>
      <c r="E132">
        <v>80739151</v>
      </c>
      <c r="F132" t="s">
        <v>203</v>
      </c>
      <c r="G132" s="3">
        <v>46759</v>
      </c>
      <c r="H132">
        <v>36</v>
      </c>
      <c r="I132">
        <v>53</v>
      </c>
      <c r="J132">
        <v>42</v>
      </c>
      <c r="K132" s="4">
        <v>69480.179999999993</v>
      </c>
      <c r="L132" s="4">
        <v>145.85714285714286</v>
      </c>
      <c r="M132" s="4">
        <v>0.28795298726738489</v>
      </c>
      <c r="N132" t="s">
        <v>25</v>
      </c>
      <c r="O132" t="str">
        <f t="shared" si="20"/>
        <v>Low</v>
      </c>
      <c r="P132" t="str">
        <f t="shared" si="21"/>
        <v>Low</v>
      </c>
      <c r="Q132" t="str">
        <f t="shared" si="22"/>
        <v>Low</v>
      </c>
      <c r="R132" t="s">
        <v>3310</v>
      </c>
      <c r="S132" s="4">
        <f t="shared" ca="1" si="23"/>
        <v>562</v>
      </c>
      <c r="T132">
        <f t="shared" si="24"/>
        <v>1</v>
      </c>
      <c r="U132">
        <f t="shared" si="25"/>
        <v>1</v>
      </c>
      <c r="V132">
        <f t="shared" si="26"/>
        <v>1</v>
      </c>
      <c r="W132">
        <f t="shared" si="27"/>
        <v>2</v>
      </c>
      <c r="X132">
        <f t="shared" si="28"/>
        <v>1.0999999999999999</v>
      </c>
      <c r="Y132" t="str">
        <f t="shared" si="29"/>
        <v>Healthy</v>
      </c>
    </row>
    <row r="133" spans="1:25" x14ac:dyDescent="0.35">
      <c r="A133" t="s">
        <v>14</v>
      </c>
      <c r="B133" t="s">
        <v>115</v>
      </c>
      <c r="C133" t="s">
        <v>116</v>
      </c>
      <c r="D133" t="s">
        <v>117</v>
      </c>
      <c r="E133">
        <v>80778562</v>
      </c>
      <c r="F133" t="s">
        <v>207</v>
      </c>
      <c r="G133" s="3">
        <v>47093</v>
      </c>
      <c r="H133">
        <v>60</v>
      </c>
      <c r="I133">
        <v>50</v>
      </c>
      <c r="J133">
        <v>7</v>
      </c>
      <c r="K133" s="4">
        <v>801.85</v>
      </c>
      <c r="L133" s="4">
        <f>0</f>
        <v>0</v>
      </c>
      <c r="M133" s="4">
        <f>999</f>
        <v>999</v>
      </c>
      <c r="N133" t="s">
        <v>19</v>
      </c>
      <c r="O133" t="str">
        <f t="shared" si="20"/>
        <v>Low</v>
      </c>
      <c r="P133" t="str">
        <f t="shared" si="21"/>
        <v>High</v>
      </c>
      <c r="Q133" t="str">
        <f t="shared" si="22"/>
        <v>High</v>
      </c>
      <c r="R133" t="s">
        <v>3317</v>
      </c>
      <c r="S133" s="4">
        <f t="shared" ca="1" si="23"/>
        <v>896</v>
      </c>
      <c r="T133">
        <f t="shared" si="24"/>
        <v>1</v>
      </c>
      <c r="U133">
        <f t="shared" si="25"/>
        <v>3</v>
      </c>
      <c r="V133">
        <f t="shared" si="26"/>
        <v>3</v>
      </c>
      <c r="W133">
        <f t="shared" si="27"/>
        <v>1</v>
      </c>
      <c r="X133">
        <f t="shared" si="28"/>
        <v>2</v>
      </c>
      <c r="Y133" t="str">
        <f t="shared" si="29"/>
        <v>Monitor</v>
      </c>
    </row>
    <row r="134" spans="1:25" x14ac:dyDescent="0.35">
      <c r="A134" t="s">
        <v>90</v>
      </c>
      <c r="B134" t="s">
        <v>91</v>
      </c>
      <c r="C134" t="s">
        <v>92</v>
      </c>
      <c r="D134" t="s">
        <v>208</v>
      </c>
      <c r="E134">
        <v>80793053</v>
      </c>
      <c r="F134" t="s">
        <v>209</v>
      </c>
      <c r="G134" s="3">
        <v>46291</v>
      </c>
      <c r="H134">
        <v>24</v>
      </c>
      <c r="I134">
        <v>14</v>
      </c>
      <c r="J134">
        <v>4</v>
      </c>
      <c r="K134" s="4">
        <v>570.79999999999995</v>
      </c>
      <c r="L134" s="4">
        <v>7.5714285714285712</v>
      </c>
      <c r="M134" s="4">
        <v>0.52830188679245282</v>
      </c>
      <c r="N134" t="s">
        <v>25</v>
      </c>
      <c r="O134" t="str">
        <f t="shared" si="20"/>
        <v>High</v>
      </c>
      <c r="P134" t="str">
        <f t="shared" si="21"/>
        <v>Low</v>
      </c>
      <c r="Q134" t="str">
        <f t="shared" si="22"/>
        <v>Medium</v>
      </c>
      <c r="R134" t="s">
        <v>3317</v>
      </c>
      <c r="S134" s="4">
        <f t="shared" ca="1" si="23"/>
        <v>94</v>
      </c>
      <c r="T134">
        <f t="shared" si="24"/>
        <v>3</v>
      </c>
      <c r="U134">
        <f t="shared" si="25"/>
        <v>1</v>
      </c>
      <c r="V134">
        <f t="shared" si="26"/>
        <v>2</v>
      </c>
      <c r="W134">
        <f t="shared" si="27"/>
        <v>1</v>
      </c>
      <c r="X134">
        <f t="shared" si="28"/>
        <v>2.0000000000000004</v>
      </c>
      <c r="Y134" t="str">
        <f t="shared" si="29"/>
        <v>Monitor</v>
      </c>
    </row>
    <row r="135" spans="1:25" x14ac:dyDescent="0.35">
      <c r="A135" t="s">
        <v>14</v>
      </c>
      <c r="B135" t="s">
        <v>115</v>
      </c>
      <c r="C135" t="s">
        <v>116</v>
      </c>
      <c r="D135" t="s">
        <v>117</v>
      </c>
      <c r="E135">
        <v>80778562</v>
      </c>
      <c r="F135" t="s">
        <v>207</v>
      </c>
      <c r="G135" s="3">
        <v>47384</v>
      </c>
      <c r="H135">
        <v>60</v>
      </c>
      <c r="I135">
        <v>66</v>
      </c>
      <c r="J135">
        <v>116</v>
      </c>
      <c r="K135" s="4">
        <v>13287.8</v>
      </c>
      <c r="L135" s="4">
        <f>0</f>
        <v>0</v>
      </c>
      <c r="M135" s="4">
        <f>999</f>
        <v>999</v>
      </c>
      <c r="N135" t="s">
        <v>19</v>
      </c>
      <c r="O135" t="str">
        <f t="shared" si="20"/>
        <v>Low</v>
      </c>
      <c r="P135" t="str">
        <f t="shared" si="21"/>
        <v>High</v>
      </c>
      <c r="Q135" t="str">
        <f t="shared" si="22"/>
        <v>High</v>
      </c>
      <c r="R135" t="s">
        <v>3317</v>
      </c>
      <c r="S135" s="4">
        <f t="shared" ca="1" si="23"/>
        <v>1187</v>
      </c>
      <c r="T135">
        <f t="shared" si="24"/>
        <v>1</v>
      </c>
      <c r="U135">
        <f t="shared" si="25"/>
        <v>3</v>
      </c>
      <c r="V135">
        <f t="shared" si="26"/>
        <v>3</v>
      </c>
      <c r="W135">
        <f t="shared" si="27"/>
        <v>1</v>
      </c>
      <c r="X135">
        <f t="shared" si="28"/>
        <v>2</v>
      </c>
      <c r="Y135" t="str">
        <f t="shared" si="29"/>
        <v>Monitor</v>
      </c>
    </row>
    <row r="136" spans="1:25" x14ac:dyDescent="0.35">
      <c r="A136" t="s">
        <v>210</v>
      </c>
      <c r="B136" t="s">
        <v>211</v>
      </c>
      <c r="C136" t="s">
        <v>212</v>
      </c>
      <c r="D136" t="s">
        <v>212</v>
      </c>
      <c r="E136">
        <v>80784064</v>
      </c>
      <c r="F136" t="s">
        <v>213</v>
      </c>
      <c r="G136" s="3">
        <v>46359</v>
      </c>
      <c r="H136">
        <v>24</v>
      </c>
      <c r="I136">
        <v>23</v>
      </c>
      <c r="J136">
        <v>1</v>
      </c>
      <c r="K136" s="4">
        <v>273.68</v>
      </c>
      <c r="L136" s="4">
        <v>1.7142857142857142</v>
      </c>
      <c r="M136" s="4">
        <v>0.58333333333333337</v>
      </c>
      <c r="N136" t="s">
        <v>25</v>
      </c>
      <c r="O136" t="str">
        <f t="shared" si="20"/>
        <v>Medium</v>
      </c>
      <c r="P136" t="str">
        <f t="shared" si="21"/>
        <v>Low</v>
      </c>
      <c r="Q136" t="str">
        <f t="shared" si="22"/>
        <v>High</v>
      </c>
      <c r="R136" t="s">
        <v>3317</v>
      </c>
      <c r="S136" s="4">
        <f t="shared" ca="1" si="23"/>
        <v>162</v>
      </c>
      <c r="T136">
        <f t="shared" si="24"/>
        <v>2</v>
      </c>
      <c r="U136">
        <f t="shared" si="25"/>
        <v>1</v>
      </c>
      <c r="V136">
        <f t="shared" si="26"/>
        <v>3</v>
      </c>
      <c r="W136">
        <f t="shared" si="27"/>
        <v>1</v>
      </c>
      <c r="X136">
        <f t="shared" si="28"/>
        <v>1.8000000000000003</v>
      </c>
      <c r="Y136" t="str">
        <f t="shared" si="29"/>
        <v>Monitor</v>
      </c>
    </row>
    <row r="137" spans="1:25" x14ac:dyDescent="0.35">
      <c r="A137" t="s">
        <v>210</v>
      </c>
      <c r="B137" t="s">
        <v>211</v>
      </c>
      <c r="C137" t="s">
        <v>212</v>
      </c>
      <c r="D137" t="s">
        <v>212</v>
      </c>
      <c r="E137">
        <v>80784064</v>
      </c>
      <c r="F137" t="s">
        <v>213</v>
      </c>
      <c r="G137" s="3">
        <v>46177</v>
      </c>
      <c r="H137">
        <v>24</v>
      </c>
      <c r="I137">
        <v>0</v>
      </c>
      <c r="J137">
        <v>5</v>
      </c>
      <c r="K137" s="4">
        <v>1368.4</v>
      </c>
      <c r="L137" s="4">
        <v>1.7142857142857142</v>
      </c>
      <c r="M137" s="4">
        <v>2.916666666666667</v>
      </c>
      <c r="N137" t="s">
        <v>25</v>
      </c>
      <c r="O137" t="str">
        <f t="shared" si="20"/>
        <v>High</v>
      </c>
      <c r="P137" t="str">
        <f t="shared" si="21"/>
        <v>Low</v>
      </c>
      <c r="Q137" t="str">
        <f t="shared" si="22"/>
        <v>High</v>
      </c>
      <c r="R137" t="s">
        <v>3317</v>
      </c>
      <c r="S137" s="4">
        <f t="shared" ca="1" si="23"/>
        <v>-20</v>
      </c>
      <c r="T137">
        <f t="shared" si="24"/>
        <v>3</v>
      </c>
      <c r="U137">
        <f t="shared" si="25"/>
        <v>1</v>
      </c>
      <c r="V137">
        <f t="shared" si="26"/>
        <v>3</v>
      </c>
      <c r="W137">
        <f t="shared" si="27"/>
        <v>1</v>
      </c>
      <c r="X137">
        <f t="shared" si="28"/>
        <v>2.2000000000000006</v>
      </c>
      <c r="Y137" t="str">
        <f t="shared" si="29"/>
        <v>High Priority</v>
      </c>
    </row>
    <row r="138" spans="1:25" x14ac:dyDescent="0.35">
      <c r="A138" t="s">
        <v>20</v>
      </c>
      <c r="B138" t="s">
        <v>21</v>
      </c>
      <c r="C138" t="s">
        <v>214</v>
      </c>
      <c r="D138" t="s">
        <v>215</v>
      </c>
      <c r="E138">
        <v>80778373</v>
      </c>
      <c r="F138" t="s">
        <v>216</v>
      </c>
      <c r="G138" s="3">
        <v>46494</v>
      </c>
      <c r="H138">
        <v>36</v>
      </c>
      <c r="I138">
        <v>28</v>
      </c>
      <c r="J138">
        <v>41</v>
      </c>
      <c r="K138" s="4">
        <v>4231.2</v>
      </c>
      <c r="L138" s="4">
        <f>0</f>
        <v>0</v>
      </c>
      <c r="M138" s="4">
        <f>999</f>
        <v>999</v>
      </c>
      <c r="N138" t="s">
        <v>19</v>
      </c>
      <c r="O138" t="str">
        <f t="shared" si="20"/>
        <v>Medium</v>
      </c>
      <c r="P138" t="str">
        <f t="shared" si="21"/>
        <v>High</v>
      </c>
      <c r="Q138" t="str">
        <f t="shared" si="22"/>
        <v>High</v>
      </c>
      <c r="R138" t="s">
        <v>3317</v>
      </c>
      <c r="S138" s="4">
        <f t="shared" ca="1" si="23"/>
        <v>297</v>
      </c>
      <c r="T138">
        <f t="shared" si="24"/>
        <v>2</v>
      </c>
      <c r="U138">
        <f t="shared" si="25"/>
        <v>3</v>
      </c>
      <c r="V138">
        <f t="shared" si="26"/>
        <v>3</v>
      </c>
      <c r="W138">
        <f t="shared" si="27"/>
        <v>1</v>
      </c>
      <c r="X138">
        <f t="shared" si="28"/>
        <v>2.4</v>
      </c>
      <c r="Y138" t="str">
        <f t="shared" si="29"/>
        <v>High Priority</v>
      </c>
    </row>
    <row r="139" spans="1:25" x14ac:dyDescent="0.35">
      <c r="A139" t="s">
        <v>20</v>
      </c>
      <c r="B139" t="s">
        <v>21</v>
      </c>
      <c r="C139" t="s">
        <v>214</v>
      </c>
      <c r="D139" t="s">
        <v>215</v>
      </c>
      <c r="E139">
        <v>80778373</v>
      </c>
      <c r="F139" t="s">
        <v>216</v>
      </c>
      <c r="G139" s="3">
        <v>46500</v>
      </c>
      <c r="H139">
        <v>36</v>
      </c>
      <c r="I139">
        <v>29</v>
      </c>
      <c r="J139">
        <v>2</v>
      </c>
      <c r="K139" s="4">
        <v>206.4</v>
      </c>
      <c r="L139" s="4">
        <f>0</f>
        <v>0</v>
      </c>
      <c r="M139" s="4">
        <f>999</f>
        <v>999</v>
      </c>
      <c r="N139" t="s">
        <v>19</v>
      </c>
      <c r="O139" t="str">
        <f t="shared" si="20"/>
        <v>Medium</v>
      </c>
      <c r="P139" t="str">
        <f t="shared" si="21"/>
        <v>High</v>
      </c>
      <c r="Q139" t="str">
        <f t="shared" si="22"/>
        <v>High</v>
      </c>
      <c r="R139" t="s">
        <v>3317</v>
      </c>
      <c r="S139" s="4">
        <f t="shared" ca="1" si="23"/>
        <v>303</v>
      </c>
      <c r="T139">
        <f t="shared" si="24"/>
        <v>2</v>
      </c>
      <c r="U139">
        <f t="shared" si="25"/>
        <v>3</v>
      </c>
      <c r="V139">
        <f t="shared" si="26"/>
        <v>3</v>
      </c>
      <c r="W139">
        <f t="shared" si="27"/>
        <v>1</v>
      </c>
      <c r="X139">
        <f t="shared" si="28"/>
        <v>2.4</v>
      </c>
      <c r="Y139" t="str">
        <f t="shared" si="29"/>
        <v>High Priority</v>
      </c>
    </row>
    <row r="140" spans="1:25" x14ac:dyDescent="0.35">
      <c r="A140" t="s">
        <v>90</v>
      </c>
      <c r="B140" t="s">
        <v>217</v>
      </c>
      <c r="C140" t="s">
        <v>218</v>
      </c>
      <c r="D140" t="s">
        <v>219</v>
      </c>
      <c r="E140">
        <v>80809870</v>
      </c>
      <c r="F140" t="s">
        <v>220</v>
      </c>
      <c r="G140" s="3">
        <v>46509</v>
      </c>
      <c r="H140">
        <v>24</v>
      </c>
      <c r="I140">
        <v>44</v>
      </c>
      <c r="J140">
        <v>12</v>
      </c>
      <c r="K140" s="4">
        <v>3090.72</v>
      </c>
      <c r="L140" s="4">
        <v>1.7142857142857142</v>
      </c>
      <c r="M140" s="4">
        <v>7</v>
      </c>
      <c r="N140" t="s">
        <v>19</v>
      </c>
      <c r="O140" t="str">
        <f t="shared" si="20"/>
        <v>Low</v>
      </c>
      <c r="P140" t="str">
        <f t="shared" si="21"/>
        <v>Medium</v>
      </c>
      <c r="Q140" t="str">
        <f t="shared" si="22"/>
        <v>High</v>
      </c>
      <c r="R140" t="s">
        <v>3317</v>
      </c>
      <c r="S140" s="4">
        <f t="shared" ca="1" si="23"/>
        <v>312</v>
      </c>
      <c r="T140">
        <f t="shared" si="24"/>
        <v>1</v>
      </c>
      <c r="U140">
        <f t="shared" si="25"/>
        <v>2</v>
      </c>
      <c r="V140">
        <f t="shared" si="26"/>
        <v>3</v>
      </c>
      <c r="W140">
        <f t="shared" si="27"/>
        <v>1</v>
      </c>
      <c r="X140">
        <f t="shared" si="28"/>
        <v>1.7000000000000002</v>
      </c>
      <c r="Y140" t="str">
        <f t="shared" si="29"/>
        <v>Monitor</v>
      </c>
    </row>
    <row r="141" spans="1:25" x14ac:dyDescent="0.35">
      <c r="A141" t="s">
        <v>41</v>
      </c>
      <c r="B141" t="s">
        <v>42</v>
      </c>
      <c r="C141" t="s">
        <v>43</v>
      </c>
      <c r="D141" t="s">
        <v>221</v>
      </c>
      <c r="E141">
        <v>80779000</v>
      </c>
      <c r="F141" t="s">
        <v>222</v>
      </c>
      <c r="G141" s="3">
        <v>46606</v>
      </c>
      <c r="H141">
        <v>36</v>
      </c>
      <c r="I141">
        <v>38</v>
      </c>
      <c r="J141">
        <v>5</v>
      </c>
      <c r="K141" s="4">
        <v>3042.75</v>
      </c>
      <c r="L141" s="4">
        <v>3.4285714285714284</v>
      </c>
      <c r="M141" s="4">
        <v>1.4583333333333335</v>
      </c>
      <c r="N141" t="s">
        <v>25</v>
      </c>
      <c r="O141" t="str">
        <f t="shared" si="20"/>
        <v>Medium</v>
      </c>
      <c r="P141" t="str">
        <f t="shared" si="21"/>
        <v>Low</v>
      </c>
      <c r="Q141" t="str">
        <f t="shared" si="22"/>
        <v>High</v>
      </c>
      <c r="R141" t="s">
        <v>3317</v>
      </c>
      <c r="S141" s="4">
        <f t="shared" ca="1" si="23"/>
        <v>409</v>
      </c>
      <c r="T141">
        <f t="shared" si="24"/>
        <v>2</v>
      </c>
      <c r="U141">
        <f t="shared" si="25"/>
        <v>1</v>
      </c>
      <c r="V141">
        <f t="shared" si="26"/>
        <v>3</v>
      </c>
      <c r="W141">
        <f t="shared" si="27"/>
        <v>1</v>
      </c>
      <c r="X141">
        <f t="shared" si="28"/>
        <v>1.8000000000000003</v>
      </c>
      <c r="Y141" t="str">
        <f t="shared" si="29"/>
        <v>Monitor</v>
      </c>
    </row>
    <row r="142" spans="1:25" x14ac:dyDescent="0.35">
      <c r="A142" t="s">
        <v>41</v>
      </c>
      <c r="B142" t="s">
        <v>42</v>
      </c>
      <c r="C142" t="s">
        <v>43</v>
      </c>
      <c r="D142" t="s">
        <v>221</v>
      </c>
      <c r="E142">
        <v>80779000</v>
      </c>
      <c r="F142" t="s">
        <v>222</v>
      </c>
      <c r="G142" s="3">
        <v>46551</v>
      </c>
      <c r="H142">
        <v>36</v>
      </c>
      <c r="I142">
        <v>33</v>
      </c>
      <c r="J142">
        <v>3</v>
      </c>
      <c r="K142" s="4">
        <v>1825.65</v>
      </c>
      <c r="L142" s="4">
        <v>3.4285714285714284</v>
      </c>
      <c r="M142" s="4">
        <v>0.875</v>
      </c>
      <c r="N142" t="s">
        <v>25</v>
      </c>
      <c r="O142" t="str">
        <f t="shared" si="20"/>
        <v>Medium</v>
      </c>
      <c r="P142" t="str">
        <f t="shared" si="21"/>
        <v>Low</v>
      </c>
      <c r="Q142" t="str">
        <f t="shared" si="22"/>
        <v>High</v>
      </c>
      <c r="R142" t="s">
        <v>3317</v>
      </c>
      <c r="S142" s="4">
        <f t="shared" ca="1" si="23"/>
        <v>354</v>
      </c>
      <c r="T142">
        <f t="shared" si="24"/>
        <v>2</v>
      </c>
      <c r="U142">
        <f t="shared" si="25"/>
        <v>1</v>
      </c>
      <c r="V142">
        <f t="shared" si="26"/>
        <v>3</v>
      </c>
      <c r="W142">
        <f t="shared" si="27"/>
        <v>1</v>
      </c>
      <c r="X142">
        <f t="shared" si="28"/>
        <v>1.8000000000000003</v>
      </c>
      <c r="Y142" t="str">
        <f t="shared" si="29"/>
        <v>Monitor</v>
      </c>
    </row>
    <row r="143" spans="1:25" x14ac:dyDescent="0.35">
      <c r="A143" t="s">
        <v>179</v>
      </c>
      <c r="B143" t="s">
        <v>223</v>
      </c>
      <c r="C143" t="s">
        <v>224</v>
      </c>
      <c r="D143" t="s">
        <v>225</v>
      </c>
      <c r="E143">
        <v>80811628</v>
      </c>
      <c r="F143" t="s">
        <v>226</v>
      </c>
      <c r="G143" s="3">
        <v>46147</v>
      </c>
      <c r="H143">
        <v>18</v>
      </c>
      <c r="I143">
        <v>0</v>
      </c>
      <c r="J143">
        <v>8</v>
      </c>
      <c r="K143" s="4">
        <v>1777.76</v>
      </c>
      <c r="L143" s="4">
        <v>1.1428571428571428</v>
      </c>
      <c r="M143" s="4">
        <v>7</v>
      </c>
      <c r="N143" t="s">
        <v>19</v>
      </c>
      <c r="O143" t="str">
        <f t="shared" si="20"/>
        <v>High</v>
      </c>
      <c r="P143" t="str">
        <f t="shared" si="21"/>
        <v>Medium</v>
      </c>
      <c r="Q143" t="str">
        <f t="shared" si="22"/>
        <v>High</v>
      </c>
      <c r="R143" t="s">
        <v>3317</v>
      </c>
      <c r="S143" s="4">
        <f t="shared" ca="1" si="23"/>
        <v>-50</v>
      </c>
      <c r="T143">
        <f t="shared" si="24"/>
        <v>3</v>
      </c>
      <c r="U143">
        <f t="shared" si="25"/>
        <v>2</v>
      </c>
      <c r="V143">
        <f t="shared" si="26"/>
        <v>3</v>
      </c>
      <c r="W143">
        <f t="shared" si="27"/>
        <v>1</v>
      </c>
      <c r="X143">
        <f t="shared" si="28"/>
        <v>2.5000000000000004</v>
      </c>
      <c r="Y143" t="str">
        <f t="shared" si="29"/>
        <v>High Priority</v>
      </c>
    </row>
    <row r="144" spans="1:25" x14ac:dyDescent="0.35">
      <c r="A144" t="s">
        <v>20</v>
      </c>
      <c r="B144" t="s">
        <v>21</v>
      </c>
      <c r="C144" t="s">
        <v>227</v>
      </c>
      <c r="D144" t="s">
        <v>228</v>
      </c>
      <c r="E144">
        <v>80756894</v>
      </c>
      <c r="F144" t="s">
        <v>229</v>
      </c>
      <c r="G144" s="3">
        <v>46996</v>
      </c>
      <c r="H144">
        <v>36</v>
      </c>
      <c r="I144">
        <v>74</v>
      </c>
      <c r="J144">
        <v>6</v>
      </c>
      <c r="K144" s="4">
        <v>504</v>
      </c>
      <c r="L144" s="4">
        <v>28.571428571428573</v>
      </c>
      <c r="M144" s="4">
        <v>0.21</v>
      </c>
      <c r="N144" t="s">
        <v>25</v>
      </c>
      <c r="O144" t="str">
        <f t="shared" si="20"/>
        <v>Low</v>
      </c>
      <c r="P144" t="str">
        <f t="shared" si="21"/>
        <v>Low</v>
      </c>
      <c r="Q144" t="str">
        <f t="shared" si="22"/>
        <v>Low</v>
      </c>
      <c r="R144" t="s">
        <v>3317</v>
      </c>
      <c r="S144" s="4">
        <f t="shared" ca="1" si="23"/>
        <v>799</v>
      </c>
      <c r="T144">
        <f t="shared" si="24"/>
        <v>1</v>
      </c>
      <c r="U144">
        <f t="shared" si="25"/>
        <v>1</v>
      </c>
      <c r="V144">
        <f t="shared" si="26"/>
        <v>1</v>
      </c>
      <c r="W144">
        <f t="shared" si="27"/>
        <v>1</v>
      </c>
      <c r="X144">
        <f t="shared" si="28"/>
        <v>0.99999999999999989</v>
      </c>
      <c r="Y144" t="str">
        <f t="shared" si="29"/>
        <v>Healthy</v>
      </c>
    </row>
    <row r="145" spans="1:25" x14ac:dyDescent="0.35">
      <c r="A145" t="s">
        <v>20</v>
      </c>
      <c r="B145" t="s">
        <v>21</v>
      </c>
      <c r="C145" t="s">
        <v>227</v>
      </c>
      <c r="D145" t="s">
        <v>228</v>
      </c>
      <c r="E145">
        <v>80756894</v>
      </c>
      <c r="F145" t="s">
        <v>229</v>
      </c>
      <c r="G145" s="3">
        <v>47007</v>
      </c>
      <c r="H145">
        <v>36</v>
      </c>
      <c r="I145">
        <v>75</v>
      </c>
      <c r="J145">
        <v>116</v>
      </c>
      <c r="K145" s="4">
        <v>9744</v>
      </c>
      <c r="L145" s="4">
        <v>28.571428571428573</v>
      </c>
      <c r="M145" s="4">
        <v>4.0599999999999996</v>
      </c>
      <c r="N145" t="s">
        <v>25</v>
      </c>
      <c r="O145" t="str">
        <f t="shared" si="20"/>
        <v>Low</v>
      </c>
      <c r="P145" t="str">
        <f t="shared" si="21"/>
        <v>Medium</v>
      </c>
      <c r="Q145" t="str">
        <f t="shared" si="22"/>
        <v>Low</v>
      </c>
      <c r="R145" t="s">
        <v>3317</v>
      </c>
      <c r="S145" s="4">
        <f t="shared" ca="1" si="23"/>
        <v>810</v>
      </c>
      <c r="T145">
        <f t="shared" si="24"/>
        <v>1</v>
      </c>
      <c r="U145">
        <f t="shared" si="25"/>
        <v>2</v>
      </c>
      <c r="V145">
        <f t="shared" si="26"/>
        <v>1</v>
      </c>
      <c r="W145">
        <f t="shared" si="27"/>
        <v>1</v>
      </c>
      <c r="X145">
        <f t="shared" si="28"/>
        <v>1.3</v>
      </c>
      <c r="Y145" t="str">
        <f t="shared" si="29"/>
        <v>Healthy</v>
      </c>
    </row>
    <row r="146" spans="1:25" x14ac:dyDescent="0.35">
      <c r="A146" t="s">
        <v>29</v>
      </c>
      <c r="B146" t="s">
        <v>30</v>
      </c>
      <c r="C146" t="s">
        <v>230</v>
      </c>
      <c r="D146" t="s">
        <v>231</v>
      </c>
      <c r="E146">
        <v>80794640</v>
      </c>
      <c r="F146" t="s">
        <v>232</v>
      </c>
      <c r="G146" s="3">
        <v>46921</v>
      </c>
      <c r="H146">
        <v>36</v>
      </c>
      <c r="I146">
        <v>68</v>
      </c>
      <c r="J146">
        <v>27</v>
      </c>
      <c r="K146" s="4">
        <v>43177.05</v>
      </c>
      <c r="L146" s="4">
        <v>11.571428571428571</v>
      </c>
      <c r="M146" s="4">
        <v>2.3333333333333335</v>
      </c>
      <c r="N146" t="s">
        <v>25</v>
      </c>
      <c r="O146" t="str">
        <f t="shared" si="20"/>
        <v>Low</v>
      </c>
      <c r="P146" t="str">
        <f t="shared" si="21"/>
        <v>Low</v>
      </c>
      <c r="Q146" t="str">
        <f t="shared" si="22"/>
        <v>Medium</v>
      </c>
      <c r="R146" t="s">
        <v>3317</v>
      </c>
      <c r="S146" s="4">
        <f t="shared" ca="1" si="23"/>
        <v>724</v>
      </c>
      <c r="T146">
        <f t="shared" si="24"/>
        <v>1</v>
      </c>
      <c r="U146">
        <f t="shared" si="25"/>
        <v>1</v>
      </c>
      <c r="V146">
        <f t="shared" si="26"/>
        <v>2</v>
      </c>
      <c r="W146">
        <f t="shared" si="27"/>
        <v>1</v>
      </c>
      <c r="X146">
        <f t="shared" si="28"/>
        <v>1.2000000000000002</v>
      </c>
      <c r="Y146" t="str">
        <f t="shared" si="29"/>
        <v>Healthy</v>
      </c>
    </row>
    <row r="147" spans="1:25" x14ac:dyDescent="0.35">
      <c r="A147" t="s">
        <v>71</v>
      </c>
      <c r="B147" t="s">
        <v>72</v>
      </c>
      <c r="C147" t="s">
        <v>73</v>
      </c>
      <c r="D147" t="s">
        <v>233</v>
      </c>
      <c r="E147">
        <v>80815737</v>
      </c>
      <c r="F147" t="s">
        <v>234</v>
      </c>
      <c r="G147" s="3">
        <v>46916</v>
      </c>
      <c r="H147">
        <v>36</v>
      </c>
      <c r="I147">
        <v>67</v>
      </c>
      <c r="J147">
        <v>4</v>
      </c>
      <c r="K147" s="4">
        <v>4171.6400000000003</v>
      </c>
      <c r="L147" s="4">
        <f>0</f>
        <v>0</v>
      </c>
      <c r="M147" s="4">
        <f>999</f>
        <v>999</v>
      </c>
      <c r="N147" t="s">
        <v>19</v>
      </c>
      <c r="O147" t="str">
        <f t="shared" si="20"/>
        <v>Low</v>
      </c>
      <c r="P147" t="str">
        <f t="shared" si="21"/>
        <v>High</v>
      </c>
      <c r="Q147" t="str">
        <f t="shared" si="22"/>
        <v>High</v>
      </c>
      <c r="R147" t="s">
        <v>3317</v>
      </c>
      <c r="S147" s="4">
        <f t="shared" ca="1" si="23"/>
        <v>719</v>
      </c>
      <c r="T147">
        <f t="shared" si="24"/>
        <v>1</v>
      </c>
      <c r="U147">
        <f t="shared" si="25"/>
        <v>3</v>
      </c>
      <c r="V147">
        <f t="shared" si="26"/>
        <v>3</v>
      </c>
      <c r="W147">
        <f t="shared" si="27"/>
        <v>1</v>
      </c>
      <c r="X147">
        <f t="shared" si="28"/>
        <v>2</v>
      </c>
      <c r="Y147" t="str">
        <f t="shared" si="29"/>
        <v>Monitor</v>
      </c>
    </row>
    <row r="148" spans="1:25" x14ac:dyDescent="0.35">
      <c r="A148" t="s">
        <v>71</v>
      </c>
      <c r="B148" t="s">
        <v>72</v>
      </c>
      <c r="C148" t="s">
        <v>73</v>
      </c>
      <c r="D148" t="s">
        <v>235</v>
      </c>
      <c r="E148">
        <v>80817802</v>
      </c>
      <c r="F148" t="s">
        <v>236</v>
      </c>
      <c r="G148" s="3">
        <v>46903</v>
      </c>
      <c r="H148">
        <v>36</v>
      </c>
      <c r="I148">
        <v>66</v>
      </c>
      <c r="J148">
        <v>6</v>
      </c>
      <c r="K148" s="4">
        <v>6464.34</v>
      </c>
      <c r="L148" s="4">
        <v>8.7142857142857135</v>
      </c>
      <c r="M148" s="4">
        <v>0.68852459016393452</v>
      </c>
      <c r="N148" t="s">
        <v>25</v>
      </c>
      <c r="O148" t="str">
        <f t="shared" si="20"/>
        <v>Low</v>
      </c>
      <c r="P148" t="str">
        <f t="shared" si="21"/>
        <v>Low</v>
      </c>
      <c r="Q148" t="str">
        <f t="shared" si="22"/>
        <v>Medium</v>
      </c>
      <c r="R148" t="s">
        <v>3317</v>
      </c>
      <c r="S148" s="4">
        <f t="shared" ca="1" si="23"/>
        <v>706</v>
      </c>
      <c r="T148">
        <f t="shared" si="24"/>
        <v>1</v>
      </c>
      <c r="U148">
        <f t="shared" si="25"/>
        <v>1</v>
      </c>
      <c r="V148">
        <f t="shared" si="26"/>
        <v>2</v>
      </c>
      <c r="W148">
        <f t="shared" si="27"/>
        <v>1</v>
      </c>
      <c r="X148">
        <f t="shared" si="28"/>
        <v>1.2000000000000002</v>
      </c>
      <c r="Y148" t="str">
        <f t="shared" si="29"/>
        <v>Healthy</v>
      </c>
    </row>
    <row r="149" spans="1:25" x14ac:dyDescent="0.35">
      <c r="A149" t="s">
        <v>71</v>
      </c>
      <c r="B149" t="s">
        <v>72</v>
      </c>
      <c r="C149" t="s">
        <v>73</v>
      </c>
      <c r="D149" t="s">
        <v>235</v>
      </c>
      <c r="E149">
        <v>80817802</v>
      </c>
      <c r="F149" t="s">
        <v>236</v>
      </c>
      <c r="G149" s="3">
        <v>46851</v>
      </c>
      <c r="H149">
        <v>36</v>
      </c>
      <c r="I149">
        <v>61</v>
      </c>
      <c r="J149">
        <v>4</v>
      </c>
      <c r="K149" s="4">
        <v>4309.5600000000004</v>
      </c>
      <c r="L149" s="4">
        <v>8.7142857142857135</v>
      </c>
      <c r="M149" s="4">
        <v>0.45901639344262302</v>
      </c>
      <c r="N149" t="s">
        <v>25</v>
      </c>
      <c r="O149" t="str">
        <f t="shared" si="20"/>
        <v>Low</v>
      </c>
      <c r="P149" t="str">
        <f t="shared" si="21"/>
        <v>Low</v>
      </c>
      <c r="Q149" t="str">
        <f t="shared" si="22"/>
        <v>Medium</v>
      </c>
      <c r="R149" t="s">
        <v>3317</v>
      </c>
      <c r="S149" s="4">
        <f t="shared" ca="1" si="23"/>
        <v>654</v>
      </c>
      <c r="T149">
        <f t="shared" si="24"/>
        <v>1</v>
      </c>
      <c r="U149">
        <f t="shared" si="25"/>
        <v>1</v>
      </c>
      <c r="V149">
        <f t="shared" si="26"/>
        <v>2</v>
      </c>
      <c r="W149">
        <f t="shared" si="27"/>
        <v>1</v>
      </c>
      <c r="X149">
        <f t="shared" si="28"/>
        <v>1.2000000000000002</v>
      </c>
      <c r="Y149" t="str">
        <f t="shared" si="29"/>
        <v>Healthy</v>
      </c>
    </row>
    <row r="150" spans="1:25" x14ac:dyDescent="0.35">
      <c r="A150" t="s">
        <v>71</v>
      </c>
      <c r="B150" t="s">
        <v>72</v>
      </c>
      <c r="C150" t="s">
        <v>73</v>
      </c>
      <c r="D150" t="s">
        <v>235</v>
      </c>
      <c r="E150">
        <v>80817802</v>
      </c>
      <c r="F150" t="s">
        <v>236</v>
      </c>
      <c r="G150" s="3">
        <v>46852</v>
      </c>
      <c r="H150">
        <v>36</v>
      </c>
      <c r="I150">
        <v>61</v>
      </c>
      <c r="J150">
        <v>3</v>
      </c>
      <c r="K150" s="4">
        <v>3232.17</v>
      </c>
      <c r="L150" s="4">
        <v>8.7142857142857135</v>
      </c>
      <c r="M150" s="4">
        <v>0.34426229508196726</v>
      </c>
      <c r="N150" t="s">
        <v>25</v>
      </c>
      <c r="O150" t="str">
        <f t="shared" si="20"/>
        <v>Low</v>
      </c>
      <c r="P150" t="str">
        <f t="shared" si="21"/>
        <v>Low</v>
      </c>
      <c r="Q150" t="str">
        <f t="shared" si="22"/>
        <v>Medium</v>
      </c>
      <c r="R150" t="s">
        <v>3317</v>
      </c>
      <c r="S150" s="4">
        <f t="shared" ca="1" si="23"/>
        <v>655</v>
      </c>
      <c r="T150">
        <f t="shared" si="24"/>
        <v>1</v>
      </c>
      <c r="U150">
        <f t="shared" si="25"/>
        <v>1</v>
      </c>
      <c r="V150">
        <f t="shared" si="26"/>
        <v>2</v>
      </c>
      <c r="W150">
        <f t="shared" si="27"/>
        <v>1</v>
      </c>
      <c r="X150">
        <f t="shared" si="28"/>
        <v>1.2000000000000002</v>
      </c>
      <c r="Y150" t="str">
        <f t="shared" si="29"/>
        <v>Healthy</v>
      </c>
    </row>
    <row r="151" spans="1:25" x14ac:dyDescent="0.35">
      <c r="A151" t="s">
        <v>179</v>
      </c>
      <c r="B151" t="s">
        <v>195</v>
      </c>
      <c r="C151" t="s">
        <v>199</v>
      </c>
      <c r="D151" t="s">
        <v>237</v>
      </c>
      <c r="E151">
        <v>80798149</v>
      </c>
      <c r="F151" t="s">
        <v>238</v>
      </c>
      <c r="G151" s="3">
        <v>46307</v>
      </c>
      <c r="H151">
        <v>16</v>
      </c>
      <c r="I151">
        <v>24</v>
      </c>
      <c r="J151">
        <v>8</v>
      </c>
      <c r="K151" s="4">
        <v>10659.2</v>
      </c>
      <c r="L151" s="4">
        <v>170.57142857142858</v>
      </c>
      <c r="M151" s="4">
        <v>4.690117252931323E-2</v>
      </c>
      <c r="N151" t="s">
        <v>25</v>
      </c>
      <c r="O151" t="str">
        <f t="shared" si="20"/>
        <v>Medium</v>
      </c>
      <c r="P151" t="str">
        <f t="shared" si="21"/>
        <v>Low</v>
      </c>
      <c r="Q151" t="str">
        <f t="shared" si="22"/>
        <v>Low</v>
      </c>
      <c r="R151" t="s">
        <v>3317</v>
      </c>
      <c r="S151" s="4">
        <f t="shared" ca="1" si="23"/>
        <v>110</v>
      </c>
      <c r="T151">
        <f t="shared" si="24"/>
        <v>2</v>
      </c>
      <c r="U151">
        <f t="shared" si="25"/>
        <v>1</v>
      </c>
      <c r="V151">
        <f t="shared" si="26"/>
        <v>1</v>
      </c>
      <c r="W151">
        <f t="shared" si="27"/>
        <v>1</v>
      </c>
      <c r="X151">
        <f t="shared" si="28"/>
        <v>1.4000000000000001</v>
      </c>
      <c r="Y151" t="str">
        <f t="shared" si="29"/>
        <v>Healthy</v>
      </c>
    </row>
    <row r="152" spans="1:25" x14ac:dyDescent="0.35">
      <c r="A152" t="s">
        <v>90</v>
      </c>
      <c r="B152" t="s">
        <v>217</v>
      </c>
      <c r="C152" t="s">
        <v>239</v>
      </c>
      <c r="D152" t="s">
        <v>240</v>
      </c>
      <c r="E152">
        <v>80791277</v>
      </c>
      <c r="F152" t="s">
        <v>241</v>
      </c>
      <c r="G152" s="3">
        <v>46061</v>
      </c>
      <c r="H152">
        <v>24</v>
      </c>
      <c r="I152">
        <v>0</v>
      </c>
      <c r="J152">
        <v>77</v>
      </c>
      <c r="K152" s="4">
        <v>2330.79</v>
      </c>
      <c r="L152" s="4">
        <f>0</f>
        <v>0</v>
      </c>
      <c r="M152" s="4">
        <f>999</f>
        <v>999</v>
      </c>
      <c r="N152" t="s">
        <v>19</v>
      </c>
      <c r="O152" t="str">
        <f t="shared" si="20"/>
        <v>High</v>
      </c>
      <c r="P152" t="str">
        <f t="shared" si="21"/>
        <v>High</v>
      </c>
      <c r="Q152" t="str">
        <f t="shared" si="22"/>
        <v>High</v>
      </c>
      <c r="R152" t="s">
        <v>3317</v>
      </c>
      <c r="S152" s="4">
        <f t="shared" ca="1" si="23"/>
        <v>-136</v>
      </c>
      <c r="T152">
        <f t="shared" si="24"/>
        <v>3</v>
      </c>
      <c r="U152">
        <f t="shared" si="25"/>
        <v>3</v>
      </c>
      <c r="V152">
        <f t="shared" si="26"/>
        <v>3</v>
      </c>
      <c r="W152">
        <f t="shared" si="27"/>
        <v>1</v>
      </c>
      <c r="X152">
        <f t="shared" si="28"/>
        <v>2.8000000000000003</v>
      </c>
      <c r="Y152" t="str">
        <f t="shared" si="29"/>
        <v>Move Immediately</v>
      </c>
    </row>
    <row r="153" spans="1:25" x14ac:dyDescent="0.35">
      <c r="A153" t="s">
        <v>179</v>
      </c>
      <c r="B153" t="s">
        <v>195</v>
      </c>
      <c r="C153" t="s">
        <v>199</v>
      </c>
      <c r="D153" t="s">
        <v>237</v>
      </c>
      <c r="E153">
        <v>80798149</v>
      </c>
      <c r="F153" t="s">
        <v>238</v>
      </c>
      <c r="G153" s="3">
        <v>46338</v>
      </c>
      <c r="H153">
        <v>16</v>
      </c>
      <c r="I153">
        <v>30</v>
      </c>
      <c r="J153">
        <v>248</v>
      </c>
      <c r="K153" s="4">
        <v>330435.20000000001</v>
      </c>
      <c r="L153" s="4">
        <v>170.57142857142858</v>
      </c>
      <c r="M153" s="4">
        <v>1.4539363484087102</v>
      </c>
      <c r="N153" t="s">
        <v>25</v>
      </c>
      <c r="O153" t="str">
        <f t="shared" si="20"/>
        <v>Medium</v>
      </c>
      <c r="P153" t="str">
        <f t="shared" si="21"/>
        <v>Low</v>
      </c>
      <c r="Q153" t="str">
        <f t="shared" si="22"/>
        <v>Low</v>
      </c>
      <c r="R153" t="s">
        <v>3309</v>
      </c>
      <c r="S153" s="4">
        <f t="shared" ca="1" si="23"/>
        <v>141</v>
      </c>
      <c r="T153">
        <f t="shared" si="24"/>
        <v>2</v>
      </c>
      <c r="U153">
        <f t="shared" si="25"/>
        <v>1</v>
      </c>
      <c r="V153">
        <f t="shared" si="26"/>
        <v>1</v>
      </c>
      <c r="W153">
        <f t="shared" si="27"/>
        <v>3</v>
      </c>
      <c r="X153">
        <f t="shared" si="28"/>
        <v>1.6</v>
      </c>
      <c r="Y153" t="str">
        <f t="shared" si="29"/>
        <v>Healthy</v>
      </c>
    </row>
    <row r="154" spans="1:25" x14ac:dyDescent="0.35">
      <c r="A154" t="s">
        <v>179</v>
      </c>
      <c r="B154" t="s">
        <v>195</v>
      </c>
      <c r="C154" t="s">
        <v>199</v>
      </c>
      <c r="D154" t="s">
        <v>237</v>
      </c>
      <c r="E154">
        <v>80798149</v>
      </c>
      <c r="F154" t="s">
        <v>238</v>
      </c>
      <c r="G154" s="3">
        <v>46345</v>
      </c>
      <c r="H154">
        <v>16</v>
      </c>
      <c r="I154">
        <v>32</v>
      </c>
      <c r="J154">
        <v>159</v>
      </c>
      <c r="K154" s="4">
        <v>211851.6</v>
      </c>
      <c r="L154" s="4">
        <v>170.57142857142858</v>
      </c>
      <c r="M154" s="4">
        <v>0.93216080402010049</v>
      </c>
      <c r="N154" t="s">
        <v>25</v>
      </c>
      <c r="O154" t="str">
        <f t="shared" si="20"/>
        <v>Medium</v>
      </c>
      <c r="P154" t="str">
        <f t="shared" si="21"/>
        <v>Low</v>
      </c>
      <c r="Q154" t="str">
        <f t="shared" si="22"/>
        <v>Low</v>
      </c>
      <c r="R154" t="s">
        <v>3309</v>
      </c>
      <c r="S154" s="4">
        <f t="shared" ca="1" si="23"/>
        <v>148</v>
      </c>
      <c r="T154">
        <f t="shared" si="24"/>
        <v>2</v>
      </c>
      <c r="U154">
        <f t="shared" si="25"/>
        <v>1</v>
      </c>
      <c r="V154">
        <f t="shared" si="26"/>
        <v>1</v>
      </c>
      <c r="W154">
        <f t="shared" si="27"/>
        <v>3</v>
      </c>
      <c r="X154">
        <f t="shared" si="28"/>
        <v>1.6</v>
      </c>
      <c r="Y154" t="str">
        <f t="shared" si="29"/>
        <v>Healthy</v>
      </c>
    </row>
    <row r="155" spans="1:25" x14ac:dyDescent="0.35">
      <c r="A155" t="s">
        <v>179</v>
      </c>
      <c r="B155" t="s">
        <v>195</v>
      </c>
      <c r="C155" t="s">
        <v>199</v>
      </c>
      <c r="D155" t="s">
        <v>237</v>
      </c>
      <c r="E155">
        <v>80798149</v>
      </c>
      <c r="F155" t="s">
        <v>238</v>
      </c>
      <c r="G155" s="3">
        <v>46347</v>
      </c>
      <c r="H155">
        <v>16</v>
      </c>
      <c r="I155">
        <v>32</v>
      </c>
      <c r="J155">
        <v>34</v>
      </c>
      <c r="K155" s="4">
        <v>45301.599999999999</v>
      </c>
      <c r="L155" s="4">
        <v>170.57142857142858</v>
      </c>
      <c r="M155" s="4">
        <v>0.19932998324958123</v>
      </c>
      <c r="N155" t="s">
        <v>25</v>
      </c>
      <c r="O155" t="str">
        <f t="shared" si="20"/>
        <v>Medium</v>
      </c>
      <c r="P155" t="str">
        <f t="shared" si="21"/>
        <v>Low</v>
      </c>
      <c r="Q155" t="str">
        <f t="shared" si="22"/>
        <v>Low</v>
      </c>
      <c r="R155" t="s">
        <v>3317</v>
      </c>
      <c r="S155" s="4">
        <f t="shared" ca="1" si="23"/>
        <v>150</v>
      </c>
      <c r="T155">
        <f t="shared" si="24"/>
        <v>2</v>
      </c>
      <c r="U155">
        <f t="shared" si="25"/>
        <v>1</v>
      </c>
      <c r="V155">
        <f t="shared" si="26"/>
        <v>1</v>
      </c>
      <c r="W155">
        <f t="shared" si="27"/>
        <v>1</v>
      </c>
      <c r="X155">
        <f t="shared" si="28"/>
        <v>1.4000000000000001</v>
      </c>
      <c r="Y155" t="str">
        <f t="shared" si="29"/>
        <v>Healthy</v>
      </c>
    </row>
    <row r="156" spans="1:25" x14ac:dyDescent="0.35">
      <c r="A156" t="s">
        <v>179</v>
      </c>
      <c r="B156" t="s">
        <v>195</v>
      </c>
      <c r="C156" t="s">
        <v>199</v>
      </c>
      <c r="D156" t="s">
        <v>237</v>
      </c>
      <c r="E156">
        <v>80798149</v>
      </c>
      <c r="F156" t="s">
        <v>238</v>
      </c>
      <c r="G156" s="3">
        <v>46346</v>
      </c>
      <c r="H156">
        <v>16</v>
      </c>
      <c r="I156">
        <v>32</v>
      </c>
      <c r="J156">
        <v>130</v>
      </c>
      <c r="K156" s="4">
        <v>173212</v>
      </c>
      <c r="L156" s="4">
        <v>170.57142857142858</v>
      </c>
      <c r="M156" s="4">
        <v>0.76214405360133997</v>
      </c>
      <c r="N156" t="s">
        <v>25</v>
      </c>
      <c r="O156" t="str">
        <f t="shared" si="20"/>
        <v>Medium</v>
      </c>
      <c r="P156" t="str">
        <f t="shared" si="21"/>
        <v>Low</v>
      </c>
      <c r="Q156" t="str">
        <f t="shared" si="22"/>
        <v>Low</v>
      </c>
      <c r="R156" t="s">
        <v>3309</v>
      </c>
      <c r="S156" s="4">
        <f t="shared" ca="1" si="23"/>
        <v>149</v>
      </c>
      <c r="T156">
        <f t="shared" si="24"/>
        <v>2</v>
      </c>
      <c r="U156">
        <f t="shared" si="25"/>
        <v>1</v>
      </c>
      <c r="V156">
        <f t="shared" si="26"/>
        <v>1</v>
      </c>
      <c r="W156">
        <f t="shared" si="27"/>
        <v>3</v>
      </c>
      <c r="X156">
        <f t="shared" si="28"/>
        <v>1.6</v>
      </c>
      <c r="Y156" t="str">
        <f t="shared" si="29"/>
        <v>Healthy</v>
      </c>
    </row>
    <row r="157" spans="1:25" x14ac:dyDescent="0.35">
      <c r="A157" t="s">
        <v>14</v>
      </c>
      <c r="B157" t="s">
        <v>37</v>
      </c>
      <c r="C157" t="s">
        <v>38</v>
      </c>
      <c r="D157" t="s">
        <v>242</v>
      </c>
      <c r="E157">
        <v>80793995</v>
      </c>
      <c r="F157" t="s">
        <v>243</v>
      </c>
      <c r="G157" s="3">
        <v>47545</v>
      </c>
      <c r="H157">
        <v>60</v>
      </c>
      <c r="I157">
        <v>75</v>
      </c>
      <c r="J157">
        <v>154</v>
      </c>
      <c r="K157" s="4">
        <v>9725.1</v>
      </c>
      <c r="L157" s="4">
        <v>0.2857142857142857</v>
      </c>
      <c r="M157" s="4">
        <v>539</v>
      </c>
      <c r="N157" t="s">
        <v>19</v>
      </c>
      <c r="O157" t="str">
        <f t="shared" si="20"/>
        <v>Low</v>
      </c>
      <c r="P157" t="str">
        <f t="shared" si="21"/>
        <v>High</v>
      </c>
      <c r="Q157" t="str">
        <f t="shared" si="22"/>
        <v>High</v>
      </c>
      <c r="R157" t="s">
        <v>3317</v>
      </c>
      <c r="S157" s="4">
        <f t="shared" ca="1" si="23"/>
        <v>1348</v>
      </c>
      <c r="T157">
        <f t="shared" si="24"/>
        <v>1</v>
      </c>
      <c r="U157">
        <f t="shared" si="25"/>
        <v>3</v>
      </c>
      <c r="V157">
        <f t="shared" si="26"/>
        <v>3</v>
      </c>
      <c r="W157">
        <f t="shared" si="27"/>
        <v>1</v>
      </c>
      <c r="X157">
        <f t="shared" si="28"/>
        <v>2</v>
      </c>
      <c r="Y157" t="str">
        <f t="shared" si="29"/>
        <v>Monitor</v>
      </c>
    </row>
    <row r="158" spans="1:25" x14ac:dyDescent="0.35">
      <c r="A158" t="s">
        <v>179</v>
      </c>
      <c r="B158" t="s">
        <v>195</v>
      </c>
      <c r="C158" t="s">
        <v>199</v>
      </c>
      <c r="D158" t="s">
        <v>237</v>
      </c>
      <c r="E158">
        <v>80798149</v>
      </c>
      <c r="F158" t="s">
        <v>238</v>
      </c>
      <c r="G158" s="3">
        <v>46304</v>
      </c>
      <c r="H158">
        <v>16</v>
      </c>
      <c r="I158">
        <v>23</v>
      </c>
      <c r="J158">
        <v>244</v>
      </c>
      <c r="K158" s="4">
        <v>325105.59999999998</v>
      </c>
      <c r="L158" s="4">
        <v>170.57142857142858</v>
      </c>
      <c r="M158" s="4">
        <v>1.4304857621440534</v>
      </c>
      <c r="N158" t="s">
        <v>25</v>
      </c>
      <c r="O158" t="str">
        <f t="shared" si="20"/>
        <v>Medium</v>
      </c>
      <c r="P158" t="str">
        <f t="shared" si="21"/>
        <v>Low</v>
      </c>
      <c r="Q158" t="str">
        <f t="shared" si="22"/>
        <v>Low</v>
      </c>
      <c r="R158" t="s">
        <v>3309</v>
      </c>
      <c r="S158" s="4">
        <f t="shared" ca="1" si="23"/>
        <v>107</v>
      </c>
      <c r="T158">
        <f t="shared" si="24"/>
        <v>2</v>
      </c>
      <c r="U158">
        <f t="shared" si="25"/>
        <v>1</v>
      </c>
      <c r="V158">
        <f t="shared" si="26"/>
        <v>1</v>
      </c>
      <c r="W158">
        <f t="shared" si="27"/>
        <v>3</v>
      </c>
      <c r="X158">
        <f t="shared" si="28"/>
        <v>1.6</v>
      </c>
      <c r="Y158" t="str">
        <f t="shared" si="29"/>
        <v>Healthy</v>
      </c>
    </row>
    <row r="159" spans="1:25" x14ac:dyDescent="0.35">
      <c r="A159" t="s">
        <v>179</v>
      </c>
      <c r="B159" t="s">
        <v>195</v>
      </c>
      <c r="C159" t="s">
        <v>199</v>
      </c>
      <c r="D159" t="s">
        <v>237</v>
      </c>
      <c r="E159">
        <v>80798149</v>
      </c>
      <c r="F159" t="s">
        <v>238</v>
      </c>
      <c r="G159" s="3">
        <v>46346</v>
      </c>
      <c r="H159">
        <v>16</v>
      </c>
      <c r="I159">
        <v>32</v>
      </c>
      <c r="J159">
        <v>231</v>
      </c>
      <c r="K159" s="4">
        <v>307784.40000000002</v>
      </c>
      <c r="L159" s="4">
        <v>170.57142857142858</v>
      </c>
      <c r="M159" s="4">
        <v>1.3542713567839195</v>
      </c>
      <c r="N159" t="s">
        <v>25</v>
      </c>
      <c r="O159" t="str">
        <f t="shared" si="20"/>
        <v>Medium</v>
      </c>
      <c r="P159" t="str">
        <f t="shared" si="21"/>
        <v>Low</v>
      </c>
      <c r="Q159" t="str">
        <f t="shared" si="22"/>
        <v>Low</v>
      </c>
      <c r="R159" t="s">
        <v>3309</v>
      </c>
      <c r="S159" s="4">
        <f t="shared" ca="1" si="23"/>
        <v>149</v>
      </c>
      <c r="T159">
        <f t="shared" si="24"/>
        <v>2</v>
      </c>
      <c r="U159">
        <f t="shared" si="25"/>
        <v>1</v>
      </c>
      <c r="V159">
        <f t="shared" si="26"/>
        <v>1</v>
      </c>
      <c r="W159">
        <f t="shared" si="27"/>
        <v>3</v>
      </c>
      <c r="X159">
        <f t="shared" si="28"/>
        <v>1.6</v>
      </c>
      <c r="Y159" t="str">
        <f t="shared" si="29"/>
        <v>Healthy</v>
      </c>
    </row>
    <row r="160" spans="1:25" x14ac:dyDescent="0.35">
      <c r="A160" t="s">
        <v>90</v>
      </c>
      <c r="B160" t="s">
        <v>91</v>
      </c>
      <c r="C160" t="s">
        <v>112</v>
      </c>
      <c r="D160" t="s">
        <v>244</v>
      </c>
      <c r="E160">
        <v>80819698</v>
      </c>
      <c r="F160" t="s">
        <v>245</v>
      </c>
      <c r="G160" s="3">
        <v>46309</v>
      </c>
      <c r="H160">
        <v>24</v>
      </c>
      <c r="I160">
        <v>16</v>
      </c>
      <c r="J160">
        <v>2</v>
      </c>
      <c r="K160" s="4">
        <v>1006.96</v>
      </c>
      <c r="L160" s="4">
        <v>0.14285714285714285</v>
      </c>
      <c r="M160" s="4">
        <v>14</v>
      </c>
      <c r="N160" t="s">
        <v>19</v>
      </c>
      <c r="O160" t="str">
        <f t="shared" si="20"/>
        <v>High</v>
      </c>
      <c r="P160" t="str">
        <f t="shared" si="21"/>
        <v>High</v>
      </c>
      <c r="Q160" t="str">
        <f t="shared" si="22"/>
        <v>High</v>
      </c>
      <c r="R160" t="s">
        <v>3317</v>
      </c>
      <c r="S160" s="4">
        <f t="shared" ca="1" si="23"/>
        <v>112</v>
      </c>
      <c r="T160">
        <f t="shared" si="24"/>
        <v>3</v>
      </c>
      <c r="U160">
        <f t="shared" si="25"/>
        <v>3</v>
      </c>
      <c r="V160">
        <f t="shared" si="26"/>
        <v>3</v>
      </c>
      <c r="W160">
        <f t="shared" si="27"/>
        <v>1</v>
      </c>
      <c r="X160">
        <f t="shared" si="28"/>
        <v>2.8000000000000003</v>
      </c>
      <c r="Y160" t="str">
        <f t="shared" si="29"/>
        <v>Move Immediately</v>
      </c>
    </row>
    <row r="161" spans="1:25" x14ac:dyDescent="0.35">
      <c r="A161" t="s">
        <v>90</v>
      </c>
      <c r="B161" t="s">
        <v>91</v>
      </c>
      <c r="C161" t="s">
        <v>112</v>
      </c>
      <c r="D161" t="s">
        <v>244</v>
      </c>
      <c r="E161">
        <v>80819698</v>
      </c>
      <c r="F161" t="s">
        <v>245</v>
      </c>
      <c r="G161" s="3">
        <v>46346</v>
      </c>
      <c r="H161">
        <v>24</v>
      </c>
      <c r="I161">
        <v>21</v>
      </c>
      <c r="J161">
        <v>1</v>
      </c>
      <c r="K161" s="4">
        <v>503.48</v>
      </c>
      <c r="L161" s="4">
        <v>0.14285714285714285</v>
      </c>
      <c r="M161" s="4">
        <v>7</v>
      </c>
      <c r="N161" t="s">
        <v>19</v>
      </c>
      <c r="O161" t="str">
        <f t="shared" si="20"/>
        <v>Medium</v>
      </c>
      <c r="P161" t="str">
        <f t="shared" si="21"/>
        <v>Medium</v>
      </c>
      <c r="Q161" t="str">
        <f t="shared" si="22"/>
        <v>High</v>
      </c>
      <c r="R161" t="s">
        <v>3317</v>
      </c>
      <c r="S161" s="4">
        <f t="shared" ca="1" si="23"/>
        <v>149</v>
      </c>
      <c r="T161">
        <f t="shared" si="24"/>
        <v>2</v>
      </c>
      <c r="U161">
        <f t="shared" si="25"/>
        <v>2</v>
      </c>
      <c r="V161">
        <f t="shared" si="26"/>
        <v>3</v>
      </c>
      <c r="W161">
        <f t="shared" si="27"/>
        <v>1</v>
      </c>
      <c r="X161">
        <f t="shared" si="28"/>
        <v>2.1</v>
      </c>
      <c r="Y161" t="str">
        <f t="shared" si="29"/>
        <v>Monitor</v>
      </c>
    </row>
    <row r="162" spans="1:25" x14ac:dyDescent="0.35">
      <c r="A162" t="s">
        <v>14</v>
      </c>
      <c r="B162" t="s">
        <v>67</v>
      </c>
      <c r="C162" t="s">
        <v>246</v>
      </c>
      <c r="D162" t="s">
        <v>247</v>
      </c>
      <c r="E162">
        <v>80818339</v>
      </c>
      <c r="F162" t="s">
        <v>248</v>
      </c>
      <c r="G162" s="3">
        <v>47677</v>
      </c>
      <c r="H162">
        <v>60</v>
      </c>
      <c r="I162">
        <v>83</v>
      </c>
      <c r="J162">
        <v>553</v>
      </c>
      <c r="K162" s="4">
        <v>106170.47</v>
      </c>
      <c r="L162" s="4">
        <v>1441.7142857142858</v>
      </c>
      <c r="M162" s="4">
        <v>0.38357114546175186</v>
      </c>
      <c r="N162" t="s">
        <v>25</v>
      </c>
      <c r="O162" t="str">
        <f t="shared" si="20"/>
        <v>Low</v>
      </c>
      <c r="P162" t="str">
        <f t="shared" si="21"/>
        <v>Low</v>
      </c>
      <c r="Q162" t="str">
        <f t="shared" si="22"/>
        <v>Low</v>
      </c>
      <c r="R162" t="s">
        <v>3310</v>
      </c>
      <c r="S162" s="4">
        <f t="shared" ca="1" si="23"/>
        <v>1480</v>
      </c>
      <c r="T162">
        <f t="shared" si="24"/>
        <v>1</v>
      </c>
      <c r="U162">
        <f t="shared" si="25"/>
        <v>1</v>
      </c>
      <c r="V162">
        <f t="shared" si="26"/>
        <v>1</v>
      </c>
      <c r="W162">
        <f t="shared" si="27"/>
        <v>2</v>
      </c>
      <c r="X162">
        <f t="shared" si="28"/>
        <v>1.0999999999999999</v>
      </c>
      <c r="Y162" t="str">
        <f t="shared" si="29"/>
        <v>Healthy</v>
      </c>
    </row>
    <row r="163" spans="1:25" x14ac:dyDescent="0.35">
      <c r="A163" t="s">
        <v>189</v>
      </c>
      <c r="B163" t="s">
        <v>190</v>
      </c>
      <c r="C163" t="s">
        <v>190</v>
      </c>
      <c r="D163" t="s">
        <v>249</v>
      </c>
      <c r="E163">
        <v>80786682</v>
      </c>
      <c r="F163" t="s">
        <v>250</v>
      </c>
      <c r="G163" s="3">
        <v>46470</v>
      </c>
      <c r="H163">
        <v>18</v>
      </c>
      <c r="I163">
        <v>51</v>
      </c>
      <c r="J163">
        <v>30</v>
      </c>
      <c r="K163" s="4">
        <v>4469.7</v>
      </c>
      <c r="L163" s="4">
        <f>0</f>
        <v>0</v>
      </c>
      <c r="M163" s="4">
        <f>999</f>
        <v>999</v>
      </c>
      <c r="N163" t="s">
        <v>19</v>
      </c>
      <c r="O163" t="str">
        <f t="shared" si="20"/>
        <v>Low</v>
      </c>
      <c r="P163" t="str">
        <f t="shared" si="21"/>
        <v>High</v>
      </c>
      <c r="Q163" t="str">
        <f t="shared" si="22"/>
        <v>High</v>
      </c>
      <c r="R163" t="s">
        <v>3317</v>
      </c>
      <c r="S163" s="4">
        <f t="shared" ca="1" si="23"/>
        <v>273</v>
      </c>
      <c r="T163">
        <f t="shared" si="24"/>
        <v>1</v>
      </c>
      <c r="U163">
        <f t="shared" si="25"/>
        <v>3</v>
      </c>
      <c r="V163">
        <f t="shared" si="26"/>
        <v>3</v>
      </c>
      <c r="W163">
        <f t="shared" si="27"/>
        <v>1</v>
      </c>
      <c r="X163">
        <f t="shared" si="28"/>
        <v>2</v>
      </c>
      <c r="Y163" t="str">
        <f t="shared" si="29"/>
        <v>Monitor</v>
      </c>
    </row>
    <row r="164" spans="1:25" x14ac:dyDescent="0.35">
      <c r="A164" t="s">
        <v>14</v>
      </c>
      <c r="B164" t="s">
        <v>67</v>
      </c>
      <c r="C164" t="s">
        <v>246</v>
      </c>
      <c r="D164" t="s">
        <v>247</v>
      </c>
      <c r="E164">
        <v>80818339</v>
      </c>
      <c r="F164" t="s">
        <v>248</v>
      </c>
      <c r="G164" s="3">
        <v>47664</v>
      </c>
      <c r="H164">
        <v>60</v>
      </c>
      <c r="I164">
        <v>82</v>
      </c>
      <c r="J164">
        <v>570</v>
      </c>
      <c r="K164" s="4">
        <v>109434.3</v>
      </c>
      <c r="L164" s="4">
        <v>1441.7142857142858</v>
      </c>
      <c r="M164" s="4">
        <v>0.39536266349583826</v>
      </c>
      <c r="N164" t="s">
        <v>25</v>
      </c>
      <c r="O164" t="str">
        <f t="shared" si="20"/>
        <v>Low</v>
      </c>
      <c r="P164" t="str">
        <f t="shared" si="21"/>
        <v>Low</v>
      </c>
      <c r="Q164" t="str">
        <f t="shared" si="22"/>
        <v>Low</v>
      </c>
      <c r="R164" t="s">
        <v>3310</v>
      </c>
      <c r="S164" s="4">
        <f t="shared" ca="1" si="23"/>
        <v>1467</v>
      </c>
      <c r="T164">
        <f t="shared" si="24"/>
        <v>1</v>
      </c>
      <c r="U164">
        <f t="shared" si="25"/>
        <v>1</v>
      </c>
      <c r="V164">
        <f t="shared" si="26"/>
        <v>1</v>
      </c>
      <c r="W164">
        <f t="shared" si="27"/>
        <v>2</v>
      </c>
      <c r="X164">
        <f t="shared" si="28"/>
        <v>1.0999999999999999</v>
      </c>
      <c r="Y164" t="str">
        <f t="shared" si="29"/>
        <v>Healthy</v>
      </c>
    </row>
    <row r="165" spans="1:25" x14ac:dyDescent="0.35">
      <c r="A165" t="s">
        <v>14</v>
      </c>
      <c r="B165" t="s">
        <v>67</v>
      </c>
      <c r="C165" t="s">
        <v>246</v>
      </c>
      <c r="D165" t="s">
        <v>247</v>
      </c>
      <c r="E165">
        <v>80818339</v>
      </c>
      <c r="F165" t="s">
        <v>248</v>
      </c>
      <c r="G165" s="3">
        <v>47790</v>
      </c>
      <c r="H165">
        <v>60</v>
      </c>
      <c r="I165">
        <v>89</v>
      </c>
      <c r="J165">
        <v>573</v>
      </c>
      <c r="K165" s="4">
        <v>110010.27</v>
      </c>
      <c r="L165" s="4">
        <v>1441.7142857142858</v>
      </c>
      <c r="M165" s="4">
        <v>0.39744351961950058</v>
      </c>
      <c r="N165" t="s">
        <v>25</v>
      </c>
      <c r="O165" t="str">
        <f t="shared" si="20"/>
        <v>Low</v>
      </c>
      <c r="P165" t="str">
        <f t="shared" si="21"/>
        <v>Low</v>
      </c>
      <c r="Q165" t="str">
        <f t="shared" si="22"/>
        <v>Low</v>
      </c>
      <c r="R165" t="s">
        <v>3310</v>
      </c>
      <c r="S165" s="4">
        <f t="shared" ca="1" si="23"/>
        <v>1593</v>
      </c>
      <c r="T165">
        <f t="shared" si="24"/>
        <v>1</v>
      </c>
      <c r="U165">
        <f t="shared" si="25"/>
        <v>1</v>
      </c>
      <c r="V165">
        <f t="shared" si="26"/>
        <v>1</v>
      </c>
      <c r="W165">
        <f t="shared" si="27"/>
        <v>2</v>
      </c>
      <c r="X165">
        <f t="shared" si="28"/>
        <v>1.0999999999999999</v>
      </c>
      <c r="Y165" t="str">
        <f t="shared" si="29"/>
        <v>Healthy</v>
      </c>
    </row>
    <row r="166" spans="1:25" x14ac:dyDescent="0.35">
      <c r="A166" t="s">
        <v>14</v>
      </c>
      <c r="B166" t="s">
        <v>67</v>
      </c>
      <c r="C166" t="s">
        <v>246</v>
      </c>
      <c r="D166" t="s">
        <v>247</v>
      </c>
      <c r="E166">
        <v>80818339</v>
      </c>
      <c r="F166" t="s">
        <v>248</v>
      </c>
      <c r="G166" s="3">
        <v>47689</v>
      </c>
      <c r="H166">
        <v>60</v>
      </c>
      <c r="I166">
        <v>83</v>
      </c>
      <c r="J166">
        <v>450</v>
      </c>
      <c r="K166" s="4">
        <v>86395.5</v>
      </c>
      <c r="L166" s="4">
        <v>1441.7142857142858</v>
      </c>
      <c r="M166" s="4">
        <v>0.31212841854934598</v>
      </c>
      <c r="N166" t="s">
        <v>25</v>
      </c>
      <c r="O166" t="str">
        <f t="shared" si="20"/>
        <v>Low</v>
      </c>
      <c r="P166" t="str">
        <f t="shared" si="21"/>
        <v>Low</v>
      </c>
      <c r="Q166" t="str">
        <f t="shared" si="22"/>
        <v>Low</v>
      </c>
      <c r="R166" t="s">
        <v>3310</v>
      </c>
      <c r="S166" s="4">
        <f t="shared" ca="1" si="23"/>
        <v>1492</v>
      </c>
      <c r="T166">
        <f t="shared" si="24"/>
        <v>1</v>
      </c>
      <c r="U166">
        <f t="shared" si="25"/>
        <v>1</v>
      </c>
      <c r="V166">
        <f t="shared" si="26"/>
        <v>1</v>
      </c>
      <c r="W166">
        <f t="shared" si="27"/>
        <v>2</v>
      </c>
      <c r="X166">
        <f t="shared" si="28"/>
        <v>1.0999999999999999</v>
      </c>
      <c r="Y166" t="str">
        <f t="shared" si="29"/>
        <v>Healthy</v>
      </c>
    </row>
    <row r="167" spans="1:25" x14ac:dyDescent="0.35">
      <c r="A167" t="s">
        <v>14</v>
      </c>
      <c r="B167" t="s">
        <v>67</v>
      </c>
      <c r="C167" t="s">
        <v>246</v>
      </c>
      <c r="D167" t="s">
        <v>247</v>
      </c>
      <c r="E167">
        <v>80818339</v>
      </c>
      <c r="F167" t="s">
        <v>248</v>
      </c>
      <c r="G167" s="3">
        <v>47663</v>
      </c>
      <c r="H167">
        <v>60</v>
      </c>
      <c r="I167">
        <v>82</v>
      </c>
      <c r="J167">
        <v>560</v>
      </c>
      <c r="K167" s="4">
        <v>107514.4</v>
      </c>
      <c r="L167" s="4">
        <v>1441.7142857142858</v>
      </c>
      <c r="M167" s="4">
        <v>0.38842647641696393</v>
      </c>
      <c r="N167" t="s">
        <v>25</v>
      </c>
      <c r="O167" t="str">
        <f t="shared" si="20"/>
        <v>Low</v>
      </c>
      <c r="P167" t="str">
        <f t="shared" si="21"/>
        <v>Low</v>
      </c>
      <c r="Q167" t="str">
        <f t="shared" si="22"/>
        <v>Low</v>
      </c>
      <c r="R167" t="s">
        <v>3310</v>
      </c>
      <c r="S167" s="4">
        <f t="shared" ca="1" si="23"/>
        <v>1466</v>
      </c>
      <c r="T167">
        <f t="shared" si="24"/>
        <v>1</v>
      </c>
      <c r="U167">
        <f t="shared" si="25"/>
        <v>1</v>
      </c>
      <c r="V167">
        <f t="shared" si="26"/>
        <v>1</v>
      </c>
      <c r="W167">
        <f t="shared" si="27"/>
        <v>2</v>
      </c>
      <c r="X167">
        <f t="shared" si="28"/>
        <v>1.0999999999999999</v>
      </c>
      <c r="Y167" t="str">
        <f t="shared" si="29"/>
        <v>Healthy</v>
      </c>
    </row>
    <row r="168" spans="1:25" x14ac:dyDescent="0.35">
      <c r="A168" t="s">
        <v>14</v>
      </c>
      <c r="B168" t="s">
        <v>67</v>
      </c>
      <c r="C168" t="s">
        <v>246</v>
      </c>
      <c r="D168" t="s">
        <v>247</v>
      </c>
      <c r="E168">
        <v>80818339</v>
      </c>
      <c r="F168" t="s">
        <v>248</v>
      </c>
      <c r="G168" s="3">
        <v>47693</v>
      </c>
      <c r="H168">
        <v>60</v>
      </c>
      <c r="I168">
        <v>83</v>
      </c>
      <c r="J168">
        <v>542</v>
      </c>
      <c r="K168" s="4">
        <v>104058.58</v>
      </c>
      <c r="L168" s="4">
        <v>1441.7142857142858</v>
      </c>
      <c r="M168" s="4">
        <v>0.37594133967499005</v>
      </c>
      <c r="N168" t="s">
        <v>25</v>
      </c>
      <c r="O168" t="str">
        <f t="shared" si="20"/>
        <v>Low</v>
      </c>
      <c r="P168" t="str">
        <f t="shared" si="21"/>
        <v>Low</v>
      </c>
      <c r="Q168" t="str">
        <f t="shared" si="22"/>
        <v>Low</v>
      </c>
      <c r="R168" t="s">
        <v>3310</v>
      </c>
      <c r="S168" s="4">
        <f t="shared" ca="1" si="23"/>
        <v>1496</v>
      </c>
      <c r="T168">
        <f t="shared" si="24"/>
        <v>1</v>
      </c>
      <c r="U168">
        <f t="shared" si="25"/>
        <v>1</v>
      </c>
      <c r="V168">
        <f t="shared" si="26"/>
        <v>1</v>
      </c>
      <c r="W168">
        <f t="shared" si="27"/>
        <v>2</v>
      </c>
      <c r="X168">
        <f t="shared" si="28"/>
        <v>1.0999999999999999</v>
      </c>
      <c r="Y168" t="str">
        <f t="shared" si="29"/>
        <v>Healthy</v>
      </c>
    </row>
    <row r="169" spans="1:25" x14ac:dyDescent="0.35">
      <c r="A169" t="s">
        <v>14</v>
      </c>
      <c r="B169" t="s">
        <v>67</v>
      </c>
      <c r="C169" t="s">
        <v>246</v>
      </c>
      <c r="D169" t="s">
        <v>247</v>
      </c>
      <c r="E169">
        <v>80818339</v>
      </c>
      <c r="F169" t="s">
        <v>248</v>
      </c>
      <c r="G169" s="3">
        <v>47884</v>
      </c>
      <c r="H169">
        <v>60</v>
      </c>
      <c r="I169">
        <v>94</v>
      </c>
      <c r="J169">
        <v>695</v>
      </c>
      <c r="K169" s="4">
        <v>133433.04999999999</v>
      </c>
      <c r="L169" s="4">
        <v>1441.7142857142858</v>
      </c>
      <c r="M169" s="4">
        <v>0.48206500198176772</v>
      </c>
      <c r="N169" t="s">
        <v>25</v>
      </c>
      <c r="O169" t="str">
        <f t="shared" si="20"/>
        <v>Low</v>
      </c>
      <c r="P169" t="str">
        <f t="shared" si="21"/>
        <v>Low</v>
      </c>
      <c r="Q169" t="str">
        <f t="shared" si="22"/>
        <v>Low</v>
      </c>
      <c r="R169" t="s">
        <v>3309</v>
      </c>
      <c r="S169" s="4">
        <f t="shared" ca="1" si="23"/>
        <v>1687</v>
      </c>
      <c r="T169">
        <f t="shared" si="24"/>
        <v>1</v>
      </c>
      <c r="U169">
        <f t="shared" si="25"/>
        <v>1</v>
      </c>
      <c r="V169">
        <f t="shared" si="26"/>
        <v>1</v>
      </c>
      <c r="W169">
        <f t="shared" si="27"/>
        <v>3</v>
      </c>
      <c r="X169">
        <f t="shared" si="28"/>
        <v>1.2</v>
      </c>
      <c r="Y169" t="str">
        <f t="shared" si="29"/>
        <v>Healthy</v>
      </c>
    </row>
    <row r="170" spans="1:25" x14ac:dyDescent="0.35">
      <c r="A170" t="s">
        <v>14</v>
      </c>
      <c r="B170" t="s">
        <v>251</v>
      </c>
      <c r="C170" t="s">
        <v>252</v>
      </c>
      <c r="D170" t="s">
        <v>253</v>
      </c>
      <c r="E170">
        <v>80772057</v>
      </c>
      <c r="F170" t="s">
        <v>254</v>
      </c>
      <c r="G170" s="3">
        <v>47687</v>
      </c>
      <c r="H170">
        <v>60</v>
      </c>
      <c r="I170">
        <v>83</v>
      </c>
      <c r="J170">
        <v>297</v>
      </c>
      <c r="K170" s="4">
        <v>508870.89</v>
      </c>
      <c r="L170" s="4">
        <v>5.1428571428571432</v>
      </c>
      <c r="M170" s="4">
        <v>57.749999999999993</v>
      </c>
      <c r="N170" t="s">
        <v>19</v>
      </c>
      <c r="O170" t="str">
        <f t="shared" si="20"/>
        <v>Low</v>
      </c>
      <c r="P170" t="str">
        <f t="shared" si="21"/>
        <v>High</v>
      </c>
      <c r="Q170" t="str">
        <f t="shared" si="22"/>
        <v>Medium</v>
      </c>
      <c r="R170" t="s">
        <v>3309</v>
      </c>
      <c r="S170" s="4">
        <f t="shared" ca="1" si="23"/>
        <v>1490</v>
      </c>
      <c r="T170">
        <f t="shared" si="24"/>
        <v>1</v>
      </c>
      <c r="U170">
        <f t="shared" si="25"/>
        <v>3</v>
      </c>
      <c r="V170">
        <f t="shared" si="26"/>
        <v>2</v>
      </c>
      <c r="W170">
        <f t="shared" si="27"/>
        <v>3</v>
      </c>
      <c r="X170">
        <f t="shared" si="28"/>
        <v>1.9999999999999998</v>
      </c>
      <c r="Y170" t="str">
        <f t="shared" si="29"/>
        <v>Monitor</v>
      </c>
    </row>
    <row r="171" spans="1:25" x14ac:dyDescent="0.35">
      <c r="A171" t="s">
        <v>14</v>
      </c>
      <c r="B171" t="s">
        <v>67</v>
      </c>
      <c r="C171" t="s">
        <v>246</v>
      </c>
      <c r="D171" t="s">
        <v>247</v>
      </c>
      <c r="E171">
        <v>80818339</v>
      </c>
      <c r="F171" t="s">
        <v>248</v>
      </c>
      <c r="G171" s="3">
        <v>47630</v>
      </c>
      <c r="H171">
        <v>60</v>
      </c>
      <c r="I171">
        <v>80</v>
      </c>
      <c r="J171">
        <v>483</v>
      </c>
      <c r="K171" s="4">
        <v>92731.17</v>
      </c>
      <c r="L171" s="4">
        <v>1441.7142857142858</v>
      </c>
      <c r="M171" s="4">
        <v>0.33501783590963136</v>
      </c>
      <c r="N171" t="s">
        <v>25</v>
      </c>
      <c r="O171" t="str">
        <f t="shared" si="20"/>
        <v>Low</v>
      </c>
      <c r="P171" t="str">
        <f t="shared" si="21"/>
        <v>Low</v>
      </c>
      <c r="Q171" t="str">
        <f t="shared" si="22"/>
        <v>Low</v>
      </c>
      <c r="R171" t="s">
        <v>3310</v>
      </c>
      <c r="S171" s="4">
        <f t="shared" ca="1" si="23"/>
        <v>1433</v>
      </c>
      <c r="T171">
        <f t="shared" si="24"/>
        <v>1</v>
      </c>
      <c r="U171">
        <f t="shared" si="25"/>
        <v>1</v>
      </c>
      <c r="V171">
        <f t="shared" si="26"/>
        <v>1</v>
      </c>
      <c r="W171">
        <f t="shared" si="27"/>
        <v>2</v>
      </c>
      <c r="X171">
        <f t="shared" si="28"/>
        <v>1.0999999999999999</v>
      </c>
      <c r="Y171" t="str">
        <f t="shared" si="29"/>
        <v>Healthy</v>
      </c>
    </row>
    <row r="172" spans="1:25" x14ac:dyDescent="0.35">
      <c r="A172" t="s">
        <v>14</v>
      </c>
      <c r="B172" t="s">
        <v>67</v>
      </c>
      <c r="C172" t="s">
        <v>246</v>
      </c>
      <c r="D172" t="s">
        <v>247</v>
      </c>
      <c r="E172">
        <v>80818339</v>
      </c>
      <c r="F172" t="s">
        <v>248</v>
      </c>
      <c r="G172" s="3">
        <v>47710</v>
      </c>
      <c r="H172">
        <v>60</v>
      </c>
      <c r="I172">
        <v>84</v>
      </c>
      <c r="J172">
        <v>575</v>
      </c>
      <c r="K172" s="4">
        <v>110394.25</v>
      </c>
      <c r="L172" s="4">
        <v>1441.7142857142858</v>
      </c>
      <c r="M172" s="4">
        <v>0.39883075703527543</v>
      </c>
      <c r="N172" t="s">
        <v>25</v>
      </c>
      <c r="O172" t="str">
        <f t="shared" si="20"/>
        <v>Low</v>
      </c>
      <c r="P172" t="str">
        <f t="shared" si="21"/>
        <v>Low</v>
      </c>
      <c r="Q172" t="str">
        <f t="shared" si="22"/>
        <v>Low</v>
      </c>
      <c r="R172" t="s">
        <v>3310</v>
      </c>
      <c r="S172" s="4">
        <f t="shared" ca="1" si="23"/>
        <v>1513</v>
      </c>
      <c r="T172">
        <f t="shared" si="24"/>
        <v>1</v>
      </c>
      <c r="U172">
        <f t="shared" si="25"/>
        <v>1</v>
      </c>
      <c r="V172">
        <f t="shared" si="26"/>
        <v>1</v>
      </c>
      <c r="W172">
        <f t="shared" si="27"/>
        <v>2</v>
      </c>
      <c r="X172">
        <f t="shared" si="28"/>
        <v>1.0999999999999999</v>
      </c>
      <c r="Y172" t="str">
        <f t="shared" si="29"/>
        <v>Healthy</v>
      </c>
    </row>
    <row r="173" spans="1:25" x14ac:dyDescent="0.35">
      <c r="A173" t="s">
        <v>14</v>
      </c>
      <c r="B173" t="s">
        <v>251</v>
      </c>
      <c r="C173" t="s">
        <v>252</v>
      </c>
      <c r="D173" t="s">
        <v>253</v>
      </c>
      <c r="E173">
        <v>80772057</v>
      </c>
      <c r="F173" t="s">
        <v>254</v>
      </c>
      <c r="G173" s="3">
        <v>47567</v>
      </c>
      <c r="H173">
        <v>60</v>
      </c>
      <c r="I173">
        <v>76</v>
      </c>
      <c r="J173">
        <v>54</v>
      </c>
      <c r="K173" s="4">
        <v>92521.98</v>
      </c>
      <c r="L173" s="4">
        <v>5.1428571428571432</v>
      </c>
      <c r="M173" s="4">
        <v>10.5</v>
      </c>
      <c r="N173" t="s">
        <v>19</v>
      </c>
      <c r="O173" t="str">
        <f t="shared" si="20"/>
        <v>Low</v>
      </c>
      <c r="P173" t="str">
        <f t="shared" si="21"/>
        <v>High</v>
      </c>
      <c r="Q173" t="str">
        <f t="shared" si="22"/>
        <v>Medium</v>
      </c>
      <c r="R173" t="s">
        <v>3310</v>
      </c>
      <c r="S173" s="4">
        <f t="shared" ca="1" si="23"/>
        <v>1370</v>
      </c>
      <c r="T173">
        <f t="shared" si="24"/>
        <v>1</v>
      </c>
      <c r="U173">
        <f t="shared" si="25"/>
        <v>3</v>
      </c>
      <c r="V173">
        <f t="shared" si="26"/>
        <v>2</v>
      </c>
      <c r="W173">
        <f t="shared" si="27"/>
        <v>2</v>
      </c>
      <c r="X173">
        <f t="shared" si="28"/>
        <v>1.8999999999999997</v>
      </c>
      <c r="Y173" t="str">
        <f t="shared" si="29"/>
        <v>Monitor</v>
      </c>
    </row>
    <row r="174" spans="1:25" x14ac:dyDescent="0.35">
      <c r="A174" t="s">
        <v>14</v>
      </c>
      <c r="B174" t="s">
        <v>67</v>
      </c>
      <c r="C174" t="s">
        <v>246</v>
      </c>
      <c r="D174" t="s">
        <v>247</v>
      </c>
      <c r="E174">
        <v>80818339</v>
      </c>
      <c r="F174" t="s">
        <v>248</v>
      </c>
      <c r="G174" s="3">
        <v>47678</v>
      </c>
      <c r="H174">
        <v>60</v>
      </c>
      <c r="I174">
        <v>83</v>
      </c>
      <c r="J174">
        <v>571</v>
      </c>
      <c r="K174" s="4">
        <v>109626.29</v>
      </c>
      <c r="L174" s="4">
        <v>1441.7142857142858</v>
      </c>
      <c r="M174" s="4">
        <v>0.39605628220372568</v>
      </c>
      <c r="N174" t="s">
        <v>25</v>
      </c>
      <c r="O174" t="str">
        <f t="shared" si="20"/>
        <v>Low</v>
      </c>
      <c r="P174" t="str">
        <f t="shared" si="21"/>
        <v>Low</v>
      </c>
      <c r="Q174" t="str">
        <f t="shared" si="22"/>
        <v>Low</v>
      </c>
      <c r="R174" t="s">
        <v>3310</v>
      </c>
      <c r="S174" s="4">
        <f t="shared" ca="1" si="23"/>
        <v>1481</v>
      </c>
      <c r="T174">
        <f t="shared" si="24"/>
        <v>1</v>
      </c>
      <c r="U174">
        <f t="shared" si="25"/>
        <v>1</v>
      </c>
      <c r="V174">
        <f t="shared" si="26"/>
        <v>1</v>
      </c>
      <c r="W174">
        <f t="shared" si="27"/>
        <v>2</v>
      </c>
      <c r="X174">
        <f t="shared" si="28"/>
        <v>1.0999999999999999</v>
      </c>
      <c r="Y174" t="str">
        <f t="shared" si="29"/>
        <v>Healthy</v>
      </c>
    </row>
    <row r="175" spans="1:25" x14ac:dyDescent="0.35">
      <c r="A175" t="s">
        <v>90</v>
      </c>
      <c r="B175" t="s">
        <v>91</v>
      </c>
      <c r="C175" t="s">
        <v>255</v>
      </c>
      <c r="D175" t="s">
        <v>256</v>
      </c>
      <c r="E175">
        <v>80817631</v>
      </c>
      <c r="F175" t="s">
        <v>257</v>
      </c>
      <c r="G175" s="3">
        <v>46364</v>
      </c>
      <c r="H175">
        <v>24</v>
      </c>
      <c r="I175">
        <v>24</v>
      </c>
      <c r="J175">
        <v>2</v>
      </c>
      <c r="K175" s="4">
        <v>595.22</v>
      </c>
      <c r="L175" s="4">
        <v>0.2857142857142857</v>
      </c>
      <c r="M175" s="4">
        <v>7</v>
      </c>
      <c r="N175" t="s">
        <v>19</v>
      </c>
      <c r="O175" t="str">
        <f t="shared" si="20"/>
        <v>Medium</v>
      </c>
      <c r="P175" t="str">
        <f t="shared" si="21"/>
        <v>Medium</v>
      </c>
      <c r="Q175" t="str">
        <f t="shared" si="22"/>
        <v>High</v>
      </c>
      <c r="R175" t="s">
        <v>3317</v>
      </c>
      <c r="S175" s="4">
        <f t="shared" ca="1" si="23"/>
        <v>167</v>
      </c>
      <c r="T175">
        <f t="shared" si="24"/>
        <v>2</v>
      </c>
      <c r="U175">
        <f t="shared" si="25"/>
        <v>2</v>
      </c>
      <c r="V175">
        <f t="shared" si="26"/>
        <v>3</v>
      </c>
      <c r="W175">
        <f t="shared" si="27"/>
        <v>1</v>
      </c>
      <c r="X175">
        <f t="shared" si="28"/>
        <v>2.1</v>
      </c>
      <c r="Y175" t="str">
        <f t="shared" si="29"/>
        <v>Monitor</v>
      </c>
    </row>
    <row r="176" spans="1:25" x14ac:dyDescent="0.35">
      <c r="A176" t="s">
        <v>14</v>
      </c>
      <c r="B176" t="s">
        <v>258</v>
      </c>
      <c r="C176" t="s">
        <v>259</v>
      </c>
      <c r="D176" t="s">
        <v>259</v>
      </c>
      <c r="E176">
        <v>80818337</v>
      </c>
      <c r="F176" t="s">
        <v>260</v>
      </c>
      <c r="G176" s="3">
        <v>47737</v>
      </c>
      <c r="H176">
        <v>60</v>
      </c>
      <c r="I176">
        <v>86</v>
      </c>
      <c r="J176">
        <v>6</v>
      </c>
      <c r="K176" s="4">
        <v>509.1</v>
      </c>
      <c r="L176" s="4">
        <v>997</v>
      </c>
      <c r="M176" s="4">
        <v>6.018054162487462E-3</v>
      </c>
      <c r="N176" t="s">
        <v>25</v>
      </c>
      <c r="O176" t="str">
        <f t="shared" si="20"/>
        <v>Low</v>
      </c>
      <c r="P176" t="str">
        <f t="shared" si="21"/>
        <v>Low</v>
      </c>
      <c r="Q176" t="str">
        <f t="shared" si="22"/>
        <v>Low</v>
      </c>
      <c r="R176" t="s">
        <v>3317</v>
      </c>
      <c r="S176" s="4">
        <f t="shared" ca="1" si="23"/>
        <v>1540</v>
      </c>
      <c r="T176">
        <f t="shared" si="24"/>
        <v>1</v>
      </c>
      <c r="U176">
        <f t="shared" si="25"/>
        <v>1</v>
      </c>
      <c r="V176">
        <f t="shared" si="26"/>
        <v>1</v>
      </c>
      <c r="W176">
        <f t="shared" si="27"/>
        <v>1</v>
      </c>
      <c r="X176">
        <f t="shared" si="28"/>
        <v>0.99999999999999989</v>
      </c>
      <c r="Y176" t="str">
        <f t="shared" si="29"/>
        <v>Healthy</v>
      </c>
    </row>
    <row r="177" spans="1:25" x14ac:dyDescent="0.35">
      <c r="A177" t="s">
        <v>179</v>
      </c>
      <c r="B177" t="s">
        <v>195</v>
      </c>
      <c r="C177" t="s">
        <v>199</v>
      </c>
      <c r="D177" t="s">
        <v>237</v>
      </c>
      <c r="E177">
        <v>80784897</v>
      </c>
      <c r="F177" t="s">
        <v>261</v>
      </c>
      <c r="G177" s="3">
        <v>46149</v>
      </c>
      <c r="H177">
        <v>16</v>
      </c>
      <c r="I177">
        <v>0</v>
      </c>
      <c r="J177">
        <v>4</v>
      </c>
      <c r="K177" s="4">
        <v>5329.6</v>
      </c>
      <c r="L177" s="4">
        <f>0</f>
        <v>0</v>
      </c>
      <c r="M177" s="4">
        <f>999</f>
        <v>999</v>
      </c>
      <c r="N177" t="s">
        <v>19</v>
      </c>
      <c r="O177" t="str">
        <f t="shared" si="20"/>
        <v>High</v>
      </c>
      <c r="P177" t="str">
        <f t="shared" si="21"/>
        <v>High</v>
      </c>
      <c r="Q177" t="str">
        <f t="shared" si="22"/>
        <v>High</v>
      </c>
      <c r="R177" t="s">
        <v>3317</v>
      </c>
      <c r="S177" s="4">
        <f t="shared" ca="1" si="23"/>
        <v>-48</v>
      </c>
      <c r="T177">
        <f t="shared" si="24"/>
        <v>3</v>
      </c>
      <c r="U177">
        <f t="shared" si="25"/>
        <v>3</v>
      </c>
      <c r="V177">
        <f t="shared" si="26"/>
        <v>3</v>
      </c>
      <c r="W177">
        <f t="shared" si="27"/>
        <v>1</v>
      </c>
      <c r="X177">
        <f t="shared" si="28"/>
        <v>2.8000000000000003</v>
      </c>
      <c r="Y177" t="str">
        <f t="shared" si="29"/>
        <v>Move Immediately</v>
      </c>
    </row>
    <row r="178" spans="1:25" x14ac:dyDescent="0.35">
      <c r="A178" t="s">
        <v>179</v>
      </c>
      <c r="B178" t="s">
        <v>195</v>
      </c>
      <c r="C178" t="s">
        <v>199</v>
      </c>
      <c r="D178" t="s">
        <v>237</v>
      </c>
      <c r="E178">
        <v>80784897</v>
      </c>
      <c r="F178" t="s">
        <v>261</v>
      </c>
      <c r="G178" s="3">
        <v>46150</v>
      </c>
      <c r="H178">
        <v>16</v>
      </c>
      <c r="I178">
        <v>0</v>
      </c>
      <c r="J178">
        <v>4</v>
      </c>
      <c r="K178" s="4">
        <v>5329.6</v>
      </c>
      <c r="L178" s="4">
        <f>0</f>
        <v>0</v>
      </c>
      <c r="M178" s="4">
        <f>999</f>
        <v>999</v>
      </c>
      <c r="N178" t="s">
        <v>19</v>
      </c>
      <c r="O178" t="str">
        <f t="shared" si="20"/>
        <v>High</v>
      </c>
      <c r="P178" t="str">
        <f t="shared" si="21"/>
        <v>High</v>
      </c>
      <c r="Q178" t="str">
        <f t="shared" si="22"/>
        <v>High</v>
      </c>
      <c r="R178" t="s">
        <v>3317</v>
      </c>
      <c r="S178" s="4">
        <f t="shared" ca="1" si="23"/>
        <v>-47</v>
      </c>
      <c r="T178">
        <f t="shared" si="24"/>
        <v>3</v>
      </c>
      <c r="U178">
        <f t="shared" si="25"/>
        <v>3</v>
      </c>
      <c r="V178">
        <f t="shared" si="26"/>
        <v>3</v>
      </c>
      <c r="W178">
        <f t="shared" si="27"/>
        <v>1</v>
      </c>
      <c r="X178">
        <f t="shared" si="28"/>
        <v>2.8000000000000003</v>
      </c>
      <c r="Y178" t="str">
        <f t="shared" si="29"/>
        <v>Move Immediately</v>
      </c>
    </row>
    <row r="179" spans="1:25" x14ac:dyDescent="0.35">
      <c r="A179" t="s">
        <v>189</v>
      </c>
      <c r="B179" t="s">
        <v>262</v>
      </c>
      <c r="C179" t="s">
        <v>262</v>
      </c>
      <c r="D179" t="s">
        <v>263</v>
      </c>
      <c r="E179">
        <v>80787544</v>
      </c>
      <c r="F179" t="s">
        <v>264</v>
      </c>
      <c r="G179" s="3">
        <v>46599</v>
      </c>
      <c r="H179">
        <v>18</v>
      </c>
      <c r="I179">
        <v>75</v>
      </c>
      <c r="J179">
        <v>12</v>
      </c>
      <c r="K179" s="4">
        <v>1845.6</v>
      </c>
      <c r="L179" s="4">
        <v>128.42857142857142</v>
      </c>
      <c r="M179" s="4">
        <v>9.3437152391546166E-2</v>
      </c>
      <c r="N179" t="s">
        <v>25</v>
      </c>
      <c r="O179" t="str">
        <f t="shared" si="20"/>
        <v>Low</v>
      </c>
      <c r="P179" t="str">
        <f t="shared" si="21"/>
        <v>Low</v>
      </c>
      <c r="Q179" t="str">
        <f t="shared" si="22"/>
        <v>Low</v>
      </c>
      <c r="R179" t="s">
        <v>3317</v>
      </c>
      <c r="S179" s="4">
        <f t="shared" ca="1" si="23"/>
        <v>402</v>
      </c>
      <c r="T179">
        <f t="shared" si="24"/>
        <v>1</v>
      </c>
      <c r="U179">
        <f t="shared" si="25"/>
        <v>1</v>
      </c>
      <c r="V179">
        <f t="shared" si="26"/>
        <v>1</v>
      </c>
      <c r="W179">
        <f t="shared" si="27"/>
        <v>1</v>
      </c>
      <c r="X179">
        <f t="shared" si="28"/>
        <v>0.99999999999999989</v>
      </c>
      <c r="Y179" t="str">
        <f t="shared" si="29"/>
        <v>Healthy</v>
      </c>
    </row>
    <row r="180" spans="1:25" x14ac:dyDescent="0.35">
      <c r="A180" t="s">
        <v>41</v>
      </c>
      <c r="B180" t="s">
        <v>80</v>
      </c>
      <c r="C180" t="s">
        <v>81</v>
      </c>
      <c r="D180" t="s">
        <v>265</v>
      </c>
      <c r="E180">
        <v>80792059</v>
      </c>
      <c r="F180" t="s">
        <v>266</v>
      </c>
      <c r="G180" s="3">
        <v>46367</v>
      </c>
      <c r="H180">
        <v>36</v>
      </c>
      <c r="I180">
        <v>16</v>
      </c>
      <c r="J180">
        <v>2</v>
      </c>
      <c r="K180" s="4">
        <v>1118.3599999999999</v>
      </c>
      <c r="L180" s="4">
        <f>0</f>
        <v>0</v>
      </c>
      <c r="M180" s="4">
        <f>999</f>
        <v>999</v>
      </c>
      <c r="N180" t="s">
        <v>19</v>
      </c>
      <c r="O180" t="str">
        <f t="shared" si="20"/>
        <v>High</v>
      </c>
      <c r="P180" t="str">
        <f t="shared" si="21"/>
        <v>High</v>
      </c>
      <c r="Q180" t="str">
        <f t="shared" si="22"/>
        <v>High</v>
      </c>
      <c r="R180" t="s">
        <v>3317</v>
      </c>
      <c r="S180" s="4">
        <f t="shared" ca="1" si="23"/>
        <v>170</v>
      </c>
      <c r="T180">
        <f t="shared" si="24"/>
        <v>3</v>
      </c>
      <c r="U180">
        <f t="shared" si="25"/>
        <v>3</v>
      </c>
      <c r="V180">
        <f t="shared" si="26"/>
        <v>3</v>
      </c>
      <c r="W180">
        <f t="shared" si="27"/>
        <v>1</v>
      </c>
      <c r="X180">
        <f t="shared" si="28"/>
        <v>2.8000000000000003</v>
      </c>
      <c r="Y180" t="str">
        <f t="shared" si="29"/>
        <v>Move Immediately</v>
      </c>
    </row>
    <row r="181" spans="1:25" x14ac:dyDescent="0.35">
      <c r="A181" t="s">
        <v>41</v>
      </c>
      <c r="B181" t="s">
        <v>80</v>
      </c>
      <c r="C181" t="s">
        <v>81</v>
      </c>
      <c r="D181" t="s">
        <v>265</v>
      </c>
      <c r="E181">
        <v>80792059</v>
      </c>
      <c r="F181" t="s">
        <v>266</v>
      </c>
      <c r="G181" s="3">
        <v>46555</v>
      </c>
      <c r="H181">
        <v>36</v>
      </c>
      <c r="I181">
        <v>34</v>
      </c>
      <c r="J181">
        <v>3</v>
      </c>
      <c r="K181" s="4">
        <v>1677.54</v>
      </c>
      <c r="L181" s="4">
        <f>0</f>
        <v>0</v>
      </c>
      <c r="M181" s="4">
        <f>999</f>
        <v>999</v>
      </c>
      <c r="N181" t="s">
        <v>19</v>
      </c>
      <c r="O181" t="str">
        <f t="shared" si="20"/>
        <v>Medium</v>
      </c>
      <c r="P181" t="str">
        <f t="shared" si="21"/>
        <v>High</v>
      </c>
      <c r="Q181" t="str">
        <f t="shared" si="22"/>
        <v>High</v>
      </c>
      <c r="R181" t="s">
        <v>3317</v>
      </c>
      <c r="S181" s="4">
        <f t="shared" ca="1" si="23"/>
        <v>358</v>
      </c>
      <c r="T181">
        <f t="shared" si="24"/>
        <v>2</v>
      </c>
      <c r="U181">
        <f t="shared" si="25"/>
        <v>3</v>
      </c>
      <c r="V181">
        <f t="shared" si="26"/>
        <v>3</v>
      </c>
      <c r="W181">
        <f t="shared" si="27"/>
        <v>1</v>
      </c>
      <c r="X181">
        <f t="shared" si="28"/>
        <v>2.4</v>
      </c>
      <c r="Y181" t="str">
        <f t="shared" si="29"/>
        <v>High Priority</v>
      </c>
    </row>
    <row r="182" spans="1:25" x14ac:dyDescent="0.35">
      <c r="A182" t="s">
        <v>14</v>
      </c>
      <c r="B182" t="s">
        <v>267</v>
      </c>
      <c r="C182" t="s">
        <v>268</v>
      </c>
      <c r="D182" t="s">
        <v>269</v>
      </c>
      <c r="E182">
        <v>80794255</v>
      </c>
      <c r="F182" t="s">
        <v>270</v>
      </c>
      <c r="G182" s="3">
        <v>47316</v>
      </c>
      <c r="H182">
        <v>60</v>
      </c>
      <c r="I182">
        <v>62</v>
      </c>
      <c r="J182">
        <v>28</v>
      </c>
      <c r="K182" s="4">
        <v>1997.8</v>
      </c>
      <c r="L182" s="4">
        <f>0</f>
        <v>0</v>
      </c>
      <c r="M182" s="4">
        <f>999</f>
        <v>999</v>
      </c>
      <c r="N182" t="s">
        <v>19</v>
      </c>
      <c r="O182" t="str">
        <f t="shared" si="20"/>
        <v>Low</v>
      </c>
      <c r="P182" t="str">
        <f t="shared" si="21"/>
        <v>High</v>
      </c>
      <c r="Q182" t="str">
        <f t="shared" si="22"/>
        <v>High</v>
      </c>
      <c r="R182" t="s">
        <v>3317</v>
      </c>
      <c r="S182" s="4">
        <f t="shared" ca="1" si="23"/>
        <v>1119</v>
      </c>
      <c r="T182">
        <f t="shared" si="24"/>
        <v>1</v>
      </c>
      <c r="U182">
        <f t="shared" si="25"/>
        <v>3</v>
      </c>
      <c r="V182">
        <f t="shared" si="26"/>
        <v>3</v>
      </c>
      <c r="W182">
        <f t="shared" si="27"/>
        <v>1</v>
      </c>
      <c r="X182">
        <f t="shared" si="28"/>
        <v>2</v>
      </c>
      <c r="Y182" t="str">
        <f t="shared" si="29"/>
        <v>Monitor</v>
      </c>
    </row>
    <row r="183" spans="1:25" x14ac:dyDescent="0.35">
      <c r="A183" t="s">
        <v>90</v>
      </c>
      <c r="B183" t="s">
        <v>91</v>
      </c>
      <c r="C183" t="s">
        <v>92</v>
      </c>
      <c r="D183" t="s">
        <v>271</v>
      </c>
      <c r="E183">
        <v>80797085</v>
      </c>
      <c r="F183" t="s">
        <v>272</v>
      </c>
      <c r="G183" s="3">
        <v>46404</v>
      </c>
      <c r="H183">
        <v>24</v>
      </c>
      <c r="I183">
        <v>29</v>
      </c>
      <c r="J183">
        <v>3</v>
      </c>
      <c r="K183" s="4">
        <v>1474.65</v>
      </c>
      <c r="L183" s="4">
        <f>0</f>
        <v>0</v>
      </c>
      <c r="M183" s="4">
        <f>999</f>
        <v>999</v>
      </c>
      <c r="N183" t="s">
        <v>19</v>
      </c>
      <c r="O183" t="str">
        <f t="shared" si="20"/>
        <v>Medium</v>
      </c>
      <c r="P183" t="str">
        <f t="shared" si="21"/>
        <v>High</v>
      </c>
      <c r="Q183" t="str">
        <f t="shared" si="22"/>
        <v>High</v>
      </c>
      <c r="R183" t="s">
        <v>3317</v>
      </c>
      <c r="S183" s="4">
        <f t="shared" ca="1" si="23"/>
        <v>207</v>
      </c>
      <c r="T183">
        <f t="shared" si="24"/>
        <v>2</v>
      </c>
      <c r="U183">
        <f t="shared" si="25"/>
        <v>3</v>
      </c>
      <c r="V183">
        <f t="shared" si="26"/>
        <v>3</v>
      </c>
      <c r="W183">
        <f t="shared" si="27"/>
        <v>1</v>
      </c>
      <c r="X183">
        <f t="shared" si="28"/>
        <v>2.4</v>
      </c>
      <c r="Y183" t="str">
        <f t="shared" si="29"/>
        <v>High Priority</v>
      </c>
    </row>
    <row r="184" spans="1:25" x14ac:dyDescent="0.35">
      <c r="A184" t="s">
        <v>210</v>
      </c>
      <c r="B184" t="s">
        <v>211</v>
      </c>
      <c r="C184" t="s">
        <v>273</v>
      </c>
      <c r="D184" t="s">
        <v>274</v>
      </c>
      <c r="E184">
        <v>80784065</v>
      </c>
      <c r="F184" t="s">
        <v>275</v>
      </c>
      <c r="G184" s="3">
        <v>47448</v>
      </c>
      <c r="H184">
        <v>60</v>
      </c>
      <c r="I184">
        <v>70</v>
      </c>
      <c r="J184">
        <v>38</v>
      </c>
      <c r="K184" s="4">
        <v>17567.400000000001</v>
      </c>
      <c r="L184" s="4">
        <v>8.5714285714285712</v>
      </c>
      <c r="M184" s="4">
        <v>4.4333333333333336</v>
      </c>
      <c r="N184" t="s">
        <v>25</v>
      </c>
      <c r="O184" t="str">
        <f t="shared" si="20"/>
        <v>Low</v>
      </c>
      <c r="P184" t="str">
        <f t="shared" si="21"/>
        <v>Medium</v>
      </c>
      <c r="Q184" t="str">
        <f t="shared" si="22"/>
        <v>Medium</v>
      </c>
      <c r="R184" t="s">
        <v>3317</v>
      </c>
      <c r="S184" s="4">
        <f t="shared" ca="1" si="23"/>
        <v>1251</v>
      </c>
      <c r="T184">
        <f t="shared" si="24"/>
        <v>1</v>
      </c>
      <c r="U184">
        <f t="shared" si="25"/>
        <v>2</v>
      </c>
      <c r="V184">
        <f t="shared" si="26"/>
        <v>2</v>
      </c>
      <c r="W184">
        <f t="shared" si="27"/>
        <v>1</v>
      </c>
      <c r="X184">
        <f t="shared" si="28"/>
        <v>1.5</v>
      </c>
      <c r="Y184" t="str">
        <f t="shared" si="29"/>
        <v>Healthy</v>
      </c>
    </row>
    <row r="185" spans="1:25" x14ac:dyDescent="0.35">
      <c r="A185" t="s">
        <v>210</v>
      </c>
      <c r="B185" t="s">
        <v>211</v>
      </c>
      <c r="C185" t="s">
        <v>273</v>
      </c>
      <c r="D185" t="s">
        <v>274</v>
      </c>
      <c r="E185">
        <v>80784065</v>
      </c>
      <c r="F185" t="s">
        <v>275</v>
      </c>
      <c r="G185" s="3">
        <v>47230</v>
      </c>
      <c r="H185">
        <v>60</v>
      </c>
      <c r="I185">
        <v>58</v>
      </c>
      <c r="J185">
        <v>4</v>
      </c>
      <c r="K185" s="4">
        <v>1849.2</v>
      </c>
      <c r="L185" s="4">
        <v>8.5714285714285712</v>
      </c>
      <c r="M185" s="4">
        <v>0.46666666666666667</v>
      </c>
      <c r="N185" t="s">
        <v>25</v>
      </c>
      <c r="O185" t="str">
        <f t="shared" si="20"/>
        <v>Low</v>
      </c>
      <c r="P185" t="str">
        <f t="shared" si="21"/>
        <v>Low</v>
      </c>
      <c r="Q185" t="str">
        <f t="shared" si="22"/>
        <v>Medium</v>
      </c>
      <c r="R185" t="s">
        <v>3317</v>
      </c>
      <c r="S185" s="4">
        <f t="shared" ca="1" si="23"/>
        <v>1033</v>
      </c>
      <c r="T185">
        <f t="shared" si="24"/>
        <v>1</v>
      </c>
      <c r="U185">
        <f t="shared" si="25"/>
        <v>1</v>
      </c>
      <c r="V185">
        <f t="shared" si="26"/>
        <v>2</v>
      </c>
      <c r="W185">
        <f t="shared" si="27"/>
        <v>1</v>
      </c>
      <c r="X185">
        <f t="shared" si="28"/>
        <v>1.2000000000000002</v>
      </c>
      <c r="Y185" t="str">
        <f t="shared" si="29"/>
        <v>Healthy</v>
      </c>
    </row>
    <row r="186" spans="1:25" x14ac:dyDescent="0.35">
      <c r="A186" t="s">
        <v>29</v>
      </c>
      <c r="B186" t="s">
        <v>30</v>
      </c>
      <c r="C186" t="s">
        <v>276</v>
      </c>
      <c r="D186" t="s">
        <v>277</v>
      </c>
      <c r="E186">
        <v>80768039</v>
      </c>
      <c r="F186" t="s">
        <v>278</v>
      </c>
      <c r="G186" s="3">
        <v>46680</v>
      </c>
      <c r="H186">
        <v>36</v>
      </c>
      <c r="I186">
        <v>45</v>
      </c>
      <c r="J186">
        <v>7</v>
      </c>
      <c r="K186" s="4">
        <v>12313.98</v>
      </c>
      <c r="L186" s="4">
        <v>0.8571428571428571</v>
      </c>
      <c r="M186" s="4">
        <v>8.1666666666666679</v>
      </c>
      <c r="N186" t="s">
        <v>19</v>
      </c>
      <c r="O186" t="str">
        <f t="shared" si="20"/>
        <v>Low</v>
      </c>
      <c r="P186" t="str">
        <f t="shared" si="21"/>
        <v>High</v>
      </c>
      <c r="Q186" t="str">
        <f t="shared" si="22"/>
        <v>High</v>
      </c>
      <c r="R186" t="s">
        <v>3317</v>
      </c>
      <c r="S186" s="4">
        <f t="shared" ca="1" si="23"/>
        <v>483</v>
      </c>
      <c r="T186">
        <f t="shared" si="24"/>
        <v>1</v>
      </c>
      <c r="U186">
        <f t="shared" si="25"/>
        <v>3</v>
      </c>
      <c r="V186">
        <f t="shared" si="26"/>
        <v>3</v>
      </c>
      <c r="W186">
        <f t="shared" si="27"/>
        <v>1</v>
      </c>
      <c r="X186">
        <f t="shared" si="28"/>
        <v>2</v>
      </c>
      <c r="Y186" t="str">
        <f t="shared" si="29"/>
        <v>Monitor</v>
      </c>
    </row>
    <row r="187" spans="1:25" x14ac:dyDescent="0.35">
      <c r="A187" t="s">
        <v>104</v>
      </c>
      <c r="B187" t="s">
        <v>105</v>
      </c>
      <c r="C187" t="s">
        <v>279</v>
      </c>
      <c r="D187" t="s">
        <v>280</v>
      </c>
      <c r="E187">
        <v>80780344</v>
      </c>
      <c r="F187" t="s">
        <v>281</v>
      </c>
      <c r="G187" s="3">
        <v>46791</v>
      </c>
      <c r="H187">
        <v>24</v>
      </c>
      <c r="I187">
        <v>83</v>
      </c>
      <c r="J187">
        <v>166</v>
      </c>
      <c r="K187" s="4">
        <v>39705.54</v>
      </c>
      <c r="L187" s="4">
        <v>233.42857142857142</v>
      </c>
      <c r="M187" s="4">
        <v>0.71113831089351287</v>
      </c>
      <c r="N187" t="s">
        <v>25</v>
      </c>
      <c r="O187" t="str">
        <f t="shared" si="20"/>
        <v>Low</v>
      </c>
      <c r="P187" t="str">
        <f t="shared" si="21"/>
        <v>Low</v>
      </c>
      <c r="Q187" t="str">
        <f t="shared" si="22"/>
        <v>Low</v>
      </c>
      <c r="R187" t="s">
        <v>3317</v>
      </c>
      <c r="S187" s="4">
        <f t="shared" ca="1" si="23"/>
        <v>594</v>
      </c>
      <c r="T187">
        <f t="shared" si="24"/>
        <v>1</v>
      </c>
      <c r="U187">
        <f t="shared" si="25"/>
        <v>1</v>
      </c>
      <c r="V187">
        <f t="shared" si="26"/>
        <v>1</v>
      </c>
      <c r="W187">
        <f t="shared" si="27"/>
        <v>1</v>
      </c>
      <c r="X187">
        <f t="shared" si="28"/>
        <v>0.99999999999999989</v>
      </c>
      <c r="Y187" t="str">
        <f t="shared" si="29"/>
        <v>Healthy</v>
      </c>
    </row>
    <row r="188" spans="1:25" x14ac:dyDescent="0.35">
      <c r="A188" t="s">
        <v>41</v>
      </c>
      <c r="B188" t="s">
        <v>54</v>
      </c>
      <c r="C188" t="s">
        <v>87</v>
      </c>
      <c r="D188" t="s">
        <v>282</v>
      </c>
      <c r="E188">
        <v>80791899</v>
      </c>
      <c r="F188" t="s">
        <v>283</v>
      </c>
      <c r="G188" s="3">
        <v>46638</v>
      </c>
      <c r="H188">
        <v>36</v>
      </c>
      <c r="I188">
        <v>41</v>
      </c>
      <c r="J188">
        <v>7</v>
      </c>
      <c r="K188" s="4">
        <v>6239.8</v>
      </c>
      <c r="L188" s="4">
        <f>0</f>
        <v>0</v>
      </c>
      <c r="M188" s="4">
        <f>999</f>
        <v>999</v>
      </c>
      <c r="N188" t="s">
        <v>19</v>
      </c>
      <c r="O188" t="str">
        <f t="shared" si="20"/>
        <v>Low</v>
      </c>
      <c r="P188" t="str">
        <f t="shared" si="21"/>
        <v>High</v>
      </c>
      <c r="Q188" t="str">
        <f t="shared" si="22"/>
        <v>High</v>
      </c>
      <c r="R188" t="s">
        <v>3317</v>
      </c>
      <c r="S188" s="4">
        <f t="shared" ca="1" si="23"/>
        <v>441</v>
      </c>
      <c r="T188">
        <f t="shared" si="24"/>
        <v>1</v>
      </c>
      <c r="U188">
        <f t="shared" si="25"/>
        <v>3</v>
      </c>
      <c r="V188">
        <f t="shared" si="26"/>
        <v>3</v>
      </c>
      <c r="W188">
        <f t="shared" si="27"/>
        <v>1</v>
      </c>
      <c r="X188">
        <f t="shared" si="28"/>
        <v>2</v>
      </c>
      <c r="Y188" t="str">
        <f t="shared" si="29"/>
        <v>Monitor</v>
      </c>
    </row>
    <row r="189" spans="1:25" x14ac:dyDescent="0.35">
      <c r="A189" t="s">
        <v>104</v>
      </c>
      <c r="B189" t="s">
        <v>105</v>
      </c>
      <c r="C189" t="s">
        <v>279</v>
      </c>
      <c r="D189" t="s">
        <v>280</v>
      </c>
      <c r="E189">
        <v>80780344</v>
      </c>
      <c r="F189" t="s">
        <v>281</v>
      </c>
      <c r="G189" s="3">
        <v>46853</v>
      </c>
      <c r="H189">
        <v>24</v>
      </c>
      <c r="I189">
        <v>92</v>
      </c>
      <c r="J189">
        <v>34</v>
      </c>
      <c r="K189" s="4">
        <v>8132.46</v>
      </c>
      <c r="L189" s="4">
        <v>233.42857142857142</v>
      </c>
      <c r="M189" s="4">
        <v>0.14565483476132191</v>
      </c>
      <c r="N189" t="s">
        <v>25</v>
      </c>
      <c r="O189" t="str">
        <f t="shared" si="20"/>
        <v>Low</v>
      </c>
      <c r="P189" t="str">
        <f t="shared" si="21"/>
        <v>Low</v>
      </c>
      <c r="Q189" t="str">
        <f t="shared" si="22"/>
        <v>Low</v>
      </c>
      <c r="R189" t="s">
        <v>3317</v>
      </c>
      <c r="S189" s="4">
        <f t="shared" ca="1" si="23"/>
        <v>656</v>
      </c>
      <c r="T189">
        <f t="shared" si="24"/>
        <v>1</v>
      </c>
      <c r="U189">
        <f t="shared" si="25"/>
        <v>1</v>
      </c>
      <c r="V189">
        <f t="shared" si="26"/>
        <v>1</v>
      </c>
      <c r="W189">
        <f t="shared" si="27"/>
        <v>1</v>
      </c>
      <c r="X189">
        <f t="shared" si="28"/>
        <v>0.99999999999999989</v>
      </c>
      <c r="Y189" t="str">
        <f t="shared" si="29"/>
        <v>Healthy</v>
      </c>
    </row>
    <row r="190" spans="1:25" x14ac:dyDescent="0.35">
      <c r="A190" t="s">
        <v>104</v>
      </c>
      <c r="B190" t="s">
        <v>105</v>
      </c>
      <c r="C190" t="s">
        <v>279</v>
      </c>
      <c r="D190" t="s">
        <v>280</v>
      </c>
      <c r="E190">
        <v>80780344</v>
      </c>
      <c r="F190" t="s">
        <v>281</v>
      </c>
      <c r="G190" s="3">
        <v>46789</v>
      </c>
      <c r="H190">
        <v>24</v>
      </c>
      <c r="I190">
        <v>83</v>
      </c>
      <c r="J190">
        <v>12</v>
      </c>
      <c r="K190" s="4">
        <v>2870.28</v>
      </c>
      <c r="L190" s="4">
        <v>233.42857142857142</v>
      </c>
      <c r="M190" s="4">
        <v>5.1407588739290092E-2</v>
      </c>
      <c r="N190" t="s">
        <v>25</v>
      </c>
      <c r="O190" t="str">
        <f t="shared" si="20"/>
        <v>Low</v>
      </c>
      <c r="P190" t="str">
        <f t="shared" si="21"/>
        <v>Low</v>
      </c>
      <c r="Q190" t="str">
        <f t="shared" si="22"/>
        <v>Low</v>
      </c>
      <c r="R190" t="s">
        <v>3317</v>
      </c>
      <c r="S190" s="4">
        <f t="shared" ca="1" si="23"/>
        <v>592</v>
      </c>
      <c r="T190">
        <f t="shared" si="24"/>
        <v>1</v>
      </c>
      <c r="U190">
        <f t="shared" si="25"/>
        <v>1</v>
      </c>
      <c r="V190">
        <f t="shared" si="26"/>
        <v>1</v>
      </c>
      <c r="W190">
        <f t="shared" si="27"/>
        <v>1</v>
      </c>
      <c r="X190">
        <f t="shared" si="28"/>
        <v>0.99999999999999989</v>
      </c>
      <c r="Y190" t="str">
        <f t="shared" si="29"/>
        <v>Healthy</v>
      </c>
    </row>
    <row r="191" spans="1:25" x14ac:dyDescent="0.35">
      <c r="A191" t="s">
        <v>71</v>
      </c>
      <c r="B191" t="s">
        <v>72</v>
      </c>
      <c r="C191" t="s">
        <v>73</v>
      </c>
      <c r="D191" t="s">
        <v>284</v>
      </c>
      <c r="E191">
        <v>80815745</v>
      </c>
      <c r="F191" t="s">
        <v>285</v>
      </c>
      <c r="G191" s="3">
        <v>46860</v>
      </c>
      <c r="H191">
        <v>36</v>
      </c>
      <c r="I191">
        <v>62</v>
      </c>
      <c r="J191">
        <v>6</v>
      </c>
      <c r="K191" s="4">
        <v>3143.88</v>
      </c>
      <c r="L191" s="4">
        <v>4.5714285714285712</v>
      </c>
      <c r="M191" s="4">
        <v>1.3125</v>
      </c>
      <c r="N191" t="s">
        <v>25</v>
      </c>
      <c r="O191" t="str">
        <f t="shared" si="20"/>
        <v>Low</v>
      </c>
      <c r="P191" t="str">
        <f t="shared" si="21"/>
        <v>Low</v>
      </c>
      <c r="Q191" t="str">
        <f t="shared" si="22"/>
        <v>High</v>
      </c>
      <c r="R191" t="s">
        <v>3317</v>
      </c>
      <c r="S191" s="4">
        <f t="shared" ca="1" si="23"/>
        <v>663</v>
      </c>
      <c r="T191">
        <f t="shared" si="24"/>
        <v>1</v>
      </c>
      <c r="U191">
        <f t="shared" si="25"/>
        <v>1</v>
      </c>
      <c r="V191">
        <f t="shared" si="26"/>
        <v>3</v>
      </c>
      <c r="W191">
        <f t="shared" si="27"/>
        <v>1</v>
      </c>
      <c r="X191">
        <f t="shared" si="28"/>
        <v>1.4000000000000001</v>
      </c>
      <c r="Y191" t="str">
        <f t="shared" si="29"/>
        <v>Healthy</v>
      </c>
    </row>
    <row r="192" spans="1:25" x14ac:dyDescent="0.35">
      <c r="A192" t="s">
        <v>71</v>
      </c>
      <c r="B192" t="s">
        <v>72</v>
      </c>
      <c r="C192" t="s">
        <v>174</v>
      </c>
      <c r="D192" t="s">
        <v>286</v>
      </c>
      <c r="E192">
        <v>80808821</v>
      </c>
      <c r="F192" t="s">
        <v>287</v>
      </c>
      <c r="G192" s="3">
        <v>46641</v>
      </c>
      <c r="H192">
        <v>36</v>
      </c>
      <c r="I192">
        <v>42</v>
      </c>
      <c r="J192">
        <v>6</v>
      </c>
      <c r="K192" s="4">
        <v>4041.48</v>
      </c>
      <c r="L192" s="4">
        <v>1.8571428571428572</v>
      </c>
      <c r="M192" s="4">
        <v>3.2307692307692308</v>
      </c>
      <c r="N192" t="s">
        <v>25</v>
      </c>
      <c r="O192" t="str">
        <f t="shared" si="20"/>
        <v>Low</v>
      </c>
      <c r="P192" t="str">
        <f t="shared" si="21"/>
        <v>Low</v>
      </c>
      <c r="Q192" t="str">
        <f t="shared" si="22"/>
        <v>High</v>
      </c>
      <c r="R192" t="s">
        <v>3317</v>
      </c>
      <c r="S192" s="4">
        <f t="shared" ca="1" si="23"/>
        <v>444</v>
      </c>
      <c r="T192">
        <f t="shared" si="24"/>
        <v>1</v>
      </c>
      <c r="U192">
        <f t="shared" si="25"/>
        <v>1</v>
      </c>
      <c r="V192">
        <f t="shared" si="26"/>
        <v>3</v>
      </c>
      <c r="W192">
        <f t="shared" si="27"/>
        <v>1</v>
      </c>
      <c r="X192">
        <f t="shared" si="28"/>
        <v>1.4000000000000001</v>
      </c>
      <c r="Y192" t="str">
        <f t="shared" si="29"/>
        <v>Healthy</v>
      </c>
    </row>
    <row r="193" spans="1:25" x14ac:dyDescent="0.35">
      <c r="A193" t="s">
        <v>71</v>
      </c>
      <c r="B193" t="s">
        <v>72</v>
      </c>
      <c r="C193" t="s">
        <v>73</v>
      </c>
      <c r="D193" t="s">
        <v>284</v>
      </c>
      <c r="E193">
        <v>80815745</v>
      </c>
      <c r="F193" t="s">
        <v>285</v>
      </c>
      <c r="G193" s="3">
        <v>46893</v>
      </c>
      <c r="H193">
        <v>36</v>
      </c>
      <c r="I193">
        <v>65</v>
      </c>
      <c r="J193">
        <v>4</v>
      </c>
      <c r="K193" s="4">
        <v>2095.92</v>
      </c>
      <c r="L193" s="4">
        <v>4.5714285714285712</v>
      </c>
      <c r="M193" s="4">
        <v>0.875</v>
      </c>
      <c r="N193" t="s">
        <v>25</v>
      </c>
      <c r="O193" t="str">
        <f t="shared" si="20"/>
        <v>Low</v>
      </c>
      <c r="P193" t="str">
        <f t="shared" si="21"/>
        <v>Low</v>
      </c>
      <c r="Q193" t="str">
        <f t="shared" si="22"/>
        <v>High</v>
      </c>
      <c r="R193" t="s">
        <v>3317</v>
      </c>
      <c r="S193" s="4">
        <f t="shared" ca="1" si="23"/>
        <v>696</v>
      </c>
      <c r="T193">
        <f t="shared" si="24"/>
        <v>1</v>
      </c>
      <c r="U193">
        <f t="shared" si="25"/>
        <v>1</v>
      </c>
      <c r="V193">
        <f t="shared" si="26"/>
        <v>3</v>
      </c>
      <c r="W193">
        <f t="shared" si="27"/>
        <v>1</v>
      </c>
      <c r="X193">
        <f t="shared" si="28"/>
        <v>1.4000000000000001</v>
      </c>
      <c r="Y193" t="str">
        <f t="shared" si="29"/>
        <v>Healthy</v>
      </c>
    </row>
    <row r="194" spans="1:25" x14ac:dyDescent="0.35">
      <c r="A194" t="s">
        <v>71</v>
      </c>
      <c r="B194" t="s">
        <v>72</v>
      </c>
      <c r="C194" t="s">
        <v>174</v>
      </c>
      <c r="D194" t="s">
        <v>286</v>
      </c>
      <c r="E194">
        <v>80808821</v>
      </c>
      <c r="F194" t="s">
        <v>287</v>
      </c>
      <c r="G194" s="3">
        <v>46627</v>
      </c>
      <c r="H194">
        <v>36</v>
      </c>
      <c r="I194">
        <v>40</v>
      </c>
      <c r="J194">
        <v>1</v>
      </c>
      <c r="K194" s="4">
        <v>673.58</v>
      </c>
      <c r="L194" s="4">
        <v>1.8571428571428572</v>
      </c>
      <c r="M194" s="4">
        <v>0.53846153846153844</v>
      </c>
      <c r="N194" t="s">
        <v>25</v>
      </c>
      <c r="O194" t="str">
        <f t="shared" si="20"/>
        <v>Low</v>
      </c>
      <c r="P194" t="str">
        <f t="shared" si="21"/>
        <v>Low</v>
      </c>
      <c r="Q194" t="str">
        <f t="shared" si="22"/>
        <v>High</v>
      </c>
      <c r="R194" t="s">
        <v>3317</v>
      </c>
      <c r="S194" s="4">
        <f t="shared" ca="1" si="23"/>
        <v>430</v>
      </c>
      <c r="T194">
        <f t="shared" si="24"/>
        <v>1</v>
      </c>
      <c r="U194">
        <f t="shared" si="25"/>
        <v>1</v>
      </c>
      <c r="V194">
        <f t="shared" si="26"/>
        <v>3</v>
      </c>
      <c r="W194">
        <f t="shared" si="27"/>
        <v>1</v>
      </c>
      <c r="X194">
        <f t="shared" si="28"/>
        <v>1.4000000000000001</v>
      </c>
      <c r="Y194" t="str">
        <f t="shared" si="29"/>
        <v>Healthy</v>
      </c>
    </row>
    <row r="195" spans="1:25" x14ac:dyDescent="0.35">
      <c r="A195" t="s">
        <v>71</v>
      </c>
      <c r="B195" t="s">
        <v>72</v>
      </c>
      <c r="C195" t="s">
        <v>73</v>
      </c>
      <c r="D195" t="s">
        <v>284</v>
      </c>
      <c r="E195">
        <v>80815745</v>
      </c>
      <c r="F195" t="s">
        <v>285</v>
      </c>
      <c r="G195" s="3">
        <v>46787</v>
      </c>
      <c r="H195">
        <v>36</v>
      </c>
      <c r="I195">
        <v>55</v>
      </c>
      <c r="J195">
        <v>8</v>
      </c>
      <c r="K195" s="4">
        <v>4191.84</v>
      </c>
      <c r="L195" s="4">
        <v>4.5714285714285712</v>
      </c>
      <c r="M195" s="4">
        <v>1.75</v>
      </c>
      <c r="N195" t="s">
        <v>25</v>
      </c>
      <c r="O195" t="str">
        <f t="shared" ref="O195:O258" si="30">IF(I195&lt;20,"High",IF(I195&lt;40,"Medium","Low"))</f>
        <v>Low</v>
      </c>
      <c r="P195" t="str">
        <f t="shared" ref="P195:P258" si="31">IF(M195&gt;8,"High",IF(M195&gt;4,"Medium","Low"))</f>
        <v>Low</v>
      </c>
      <c r="Q195" t="str">
        <f t="shared" ref="Q195:Q258" si="32">IF(L195&lt;5,"High",IF(L195&lt;15,"Medium","Low"))</f>
        <v>High</v>
      </c>
      <c r="R195" t="s">
        <v>3317</v>
      </c>
      <c r="S195" s="4">
        <f t="shared" ref="S195:S258" ca="1" si="33">G195-TODAY()</f>
        <v>590</v>
      </c>
      <c r="T195">
        <f t="shared" ref="T195:T258" si="34">IF(O195="High",3,IF(O195="Medium",2,1))</f>
        <v>1</v>
      </c>
      <c r="U195">
        <f t="shared" ref="U195:U258" si="35">IF(P195="High",3,IF(P195="Medium",2,1))</f>
        <v>1</v>
      </c>
      <c r="V195">
        <f t="shared" ref="V195:V258" si="36">IF(Q195="High",3,IF(Q195="Medium",2,1))</f>
        <v>3</v>
      </c>
      <c r="W195">
        <f t="shared" ref="W195:W258" si="37">IF(R195="High",3,IF(R195="Medium",2,1))</f>
        <v>1</v>
      </c>
      <c r="X195">
        <f t="shared" ref="X195:X258" si="38">(0.4*T195)+(0.3*U195)+(0.2*V195)+(0.1*W195)</f>
        <v>1.4000000000000001</v>
      </c>
      <c r="Y195" t="str">
        <f t="shared" ref="Y195:Y258" si="39">IF(X195&gt;=2.7,"Move Immediately",IF(X195&gt;=2.2,"High Priority",IF(X195&gt;=1.7,"Monitor","Healthy")))</f>
        <v>Healthy</v>
      </c>
    </row>
    <row r="196" spans="1:25" x14ac:dyDescent="0.35">
      <c r="A196" t="s">
        <v>29</v>
      </c>
      <c r="B196" t="s">
        <v>30</v>
      </c>
      <c r="C196" t="s">
        <v>276</v>
      </c>
      <c r="D196" t="s">
        <v>288</v>
      </c>
      <c r="E196">
        <v>80795451</v>
      </c>
      <c r="F196" t="s">
        <v>289</v>
      </c>
      <c r="G196" s="3">
        <v>47075</v>
      </c>
      <c r="H196">
        <v>36</v>
      </c>
      <c r="I196">
        <v>82</v>
      </c>
      <c r="J196">
        <v>57</v>
      </c>
      <c r="K196" s="4">
        <v>18984.990000000002</v>
      </c>
      <c r="L196" s="4">
        <v>58.285714285714285</v>
      </c>
      <c r="M196" s="4">
        <v>0.9779411764705882</v>
      </c>
      <c r="N196" t="s">
        <v>25</v>
      </c>
      <c r="O196" t="str">
        <f t="shared" si="30"/>
        <v>Low</v>
      </c>
      <c r="P196" t="str">
        <f t="shared" si="31"/>
        <v>Low</v>
      </c>
      <c r="Q196" t="str">
        <f t="shared" si="32"/>
        <v>Low</v>
      </c>
      <c r="R196" t="s">
        <v>3317</v>
      </c>
      <c r="S196" s="4">
        <f t="shared" ca="1" si="33"/>
        <v>878</v>
      </c>
      <c r="T196">
        <f t="shared" si="34"/>
        <v>1</v>
      </c>
      <c r="U196">
        <f t="shared" si="35"/>
        <v>1</v>
      </c>
      <c r="V196">
        <f t="shared" si="36"/>
        <v>1</v>
      </c>
      <c r="W196">
        <f t="shared" si="37"/>
        <v>1</v>
      </c>
      <c r="X196">
        <f t="shared" si="38"/>
        <v>0.99999999999999989</v>
      </c>
      <c r="Y196" t="str">
        <f t="shared" si="39"/>
        <v>Healthy</v>
      </c>
    </row>
    <row r="197" spans="1:25" x14ac:dyDescent="0.35">
      <c r="A197" t="s">
        <v>29</v>
      </c>
      <c r="B197" t="s">
        <v>30</v>
      </c>
      <c r="C197" t="s">
        <v>276</v>
      </c>
      <c r="D197" t="s">
        <v>288</v>
      </c>
      <c r="E197">
        <v>80795451</v>
      </c>
      <c r="F197" t="s">
        <v>289</v>
      </c>
      <c r="G197" s="3">
        <v>46851</v>
      </c>
      <c r="H197">
        <v>36</v>
      </c>
      <c r="I197">
        <v>61</v>
      </c>
      <c r="J197">
        <v>6</v>
      </c>
      <c r="K197" s="4">
        <v>1998.42</v>
      </c>
      <c r="L197" s="4">
        <v>58.285714285714285</v>
      </c>
      <c r="M197" s="4">
        <v>0.10294117647058823</v>
      </c>
      <c r="N197" t="s">
        <v>25</v>
      </c>
      <c r="O197" t="str">
        <f t="shared" si="30"/>
        <v>Low</v>
      </c>
      <c r="P197" t="str">
        <f t="shared" si="31"/>
        <v>Low</v>
      </c>
      <c r="Q197" t="str">
        <f t="shared" si="32"/>
        <v>Low</v>
      </c>
      <c r="R197" t="s">
        <v>3317</v>
      </c>
      <c r="S197" s="4">
        <f t="shared" ca="1" si="33"/>
        <v>654</v>
      </c>
      <c r="T197">
        <f t="shared" si="34"/>
        <v>1</v>
      </c>
      <c r="U197">
        <f t="shared" si="35"/>
        <v>1</v>
      </c>
      <c r="V197">
        <f t="shared" si="36"/>
        <v>1</v>
      </c>
      <c r="W197">
        <f t="shared" si="37"/>
        <v>1</v>
      </c>
      <c r="X197">
        <f t="shared" si="38"/>
        <v>0.99999999999999989</v>
      </c>
      <c r="Y197" t="str">
        <f t="shared" si="39"/>
        <v>Healthy</v>
      </c>
    </row>
    <row r="198" spans="1:25" x14ac:dyDescent="0.35">
      <c r="A198" t="s">
        <v>29</v>
      </c>
      <c r="B198" t="s">
        <v>30</v>
      </c>
      <c r="C198" t="s">
        <v>290</v>
      </c>
      <c r="D198" t="s">
        <v>291</v>
      </c>
      <c r="E198">
        <v>80794641</v>
      </c>
      <c r="F198" t="s">
        <v>292</v>
      </c>
      <c r="G198" s="3">
        <v>47035</v>
      </c>
      <c r="H198">
        <v>36</v>
      </c>
      <c r="I198">
        <v>78</v>
      </c>
      <c r="J198">
        <v>18</v>
      </c>
      <c r="K198" s="4">
        <v>28784.7</v>
      </c>
      <c r="L198" s="4">
        <v>7.7142857142857144</v>
      </c>
      <c r="M198" s="4">
        <v>2.3333333333333335</v>
      </c>
      <c r="N198" t="s">
        <v>25</v>
      </c>
      <c r="O198" t="str">
        <f t="shared" si="30"/>
        <v>Low</v>
      </c>
      <c r="P198" t="str">
        <f t="shared" si="31"/>
        <v>Low</v>
      </c>
      <c r="Q198" t="str">
        <f t="shared" si="32"/>
        <v>Medium</v>
      </c>
      <c r="R198" t="s">
        <v>3317</v>
      </c>
      <c r="S198" s="4">
        <f t="shared" ca="1" si="33"/>
        <v>838</v>
      </c>
      <c r="T198">
        <f t="shared" si="34"/>
        <v>1</v>
      </c>
      <c r="U198">
        <f t="shared" si="35"/>
        <v>1</v>
      </c>
      <c r="V198">
        <f t="shared" si="36"/>
        <v>2</v>
      </c>
      <c r="W198">
        <f t="shared" si="37"/>
        <v>1</v>
      </c>
      <c r="X198">
        <f t="shared" si="38"/>
        <v>1.2000000000000002</v>
      </c>
      <c r="Y198" t="str">
        <f t="shared" si="39"/>
        <v>Healthy</v>
      </c>
    </row>
    <row r="199" spans="1:25" x14ac:dyDescent="0.35">
      <c r="A199" t="s">
        <v>41</v>
      </c>
      <c r="B199" t="s">
        <v>54</v>
      </c>
      <c r="C199" t="s">
        <v>293</v>
      </c>
      <c r="D199" t="s">
        <v>294</v>
      </c>
      <c r="E199">
        <v>80809811</v>
      </c>
      <c r="F199" t="s">
        <v>295</v>
      </c>
      <c r="G199" s="3">
        <v>46303</v>
      </c>
      <c r="H199">
        <v>18</v>
      </c>
      <c r="I199">
        <v>21</v>
      </c>
      <c r="J199">
        <v>30</v>
      </c>
      <c r="K199" s="4">
        <v>1021.5</v>
      </c>
      <c r="L199" s="4">
        <v>952.71428571428567</v>
      </c>
      <c r="M199" s="4">
        <v>3.1488978857399909E-2</v>
      </c>
      <c r="N199" t="s">
        <v>25</v>
      </c>
      <c r="O199" t="str">
        <f t="shared" si="30"/>
        <v>Medium</v>
      </c>
      <c r="P199" t="str">
        <f t="shared" si="31"/>
        <v>Low</v>
      </c>
      <c r="Q199" t="str">
        <f t="shared" si="32"/>
        <v>Low</v>
      </c>
      <c r="R199" t="s">
        <v>3317</v>
      </c>
      <c r="S199" s="4">
        <f t="shared" ca="1" si="33"/>
        <v>106</v>
      </c>
      <c r="T199">
        <f t="shared" si="34"/>
        <v>2</v>
      </c>
      <c r="U199">
        <f t="shared" si="35"/>
        <v>1</v>
      </c>
      <c r="V199">
        <f t="shared" si="36"/>
        <v>1</v>
      </c>
      <c r="W199">
        <f t="shared" si="37"/>
        <v>1</v>
      </c>
      <c r="X199">
        <f t="shared" si="38"/>
        <v>1.4000000000000001</v>
      </c>
      <c r="Y199" t="str">
        <f t="shared" si="39"/>
        <v>Healthy</v>
      </c>
    </row>
    <row r="200" spans="1:25" x14ac:dyDescent="0.35">
      <c r="A200" t="s">
        <v>179</v>
      </c>
      <c r="B200" t="s">
        <v>180</v>
      </c>
      <c r="C200" t="s">
        <v>181</v>
      </c>
      <c r="D200" t="s">
        <v>296</v>
      </c>
      <c r="E200">
        <v>80788471</v>
      </c>
      <c r="F200" t="s">
        <v>297</v>
      </c>
      <c r="G200" s="3">
        <v>47395</v>
      </c>
      <c r="H200">
        <v>16</v>
      </c>
      <c r="I200">
        <v>100</v>
      </c>
      <c r="J200">
        <v>12</v>
      </c>
      <c r="K200" s="4">
        <v>1945.56</v>
      </c>
      <c r="L200" s="4">
        <f>0</f>
        <v>0</v>
      </c>
      <c r="M200" s="4">
        <f>999</f>
        <v>999</v>
      </c>
      <c r="N200" t="s">
        <v>19</v>
      </c>
      <c r="O200" t="str">
        <f t="shared" si="30"/>
        <v>Low</v>
      </c>
      <c r="P200" t="str">
        <f t="shared" si="31"/>
        <v>High</v>
      </c>
      <c r="Q200" t="str">
        <f t="shared" si="32"/>
        <v>High</v>
      </c>
      <c r="R200" t="s">
        <v>3317</v>
      </c>
      <c r="S200" s="4">
        <f t="shared" ca="1" si="33"/>
        <v>1198</v>
      </c>
      <c r="T200">
        <f t="shared" si="34"/>
        <v>1</v>
      </c>
      <c r="U200">
        <f t="shared" si="35"/>
        <v>3</v>
      </c>
      <c r="V200">
        <f t="shared" si="36"/>
        <v>3</v>
      </c>
      <c r="W200">
        <f t="shared" si="37"/>
        <v>1</v>
      </c>
      <c r="X200">
        <f t="shared" si="38"/>
        <v>2</v>
      </c>
      <c r="Y200" t="str">
        <f t="shared" si="39"/>
        <v>Monitor</v>
      </c>
    </row>
    <row r="201" spans="1:25" x14ac:dyDescent="0.35">
      <c r="A201" t="s">
        <v>71</v>
      </c>
      <c r="B201" t="s">
        <v>72</v>
      </c>
      <c r="C201" t="s">
        <v>73</v>
      </c>
      <c r="D201" t="s">
        <v>298</v>
      </c>
      <c r="E201">
        <v>80815791</v>
      </c>
      <c r="F201" t="s">
        <v>299</v>
      </c>
      <c r="G201" s="3">
        <v>46876</v>
      </c>
      <c r="H201">
        <v>36</v>
      </c>
      <c r="I201">
        <v>63</v>
      </c>
      <c r="J201">
        <v>4</v>
      </c>
      <c r="K201" s="4">
        <v>4171.6400000000003</v>
      </c>
      <c r="L201" s="4">
        <v>0.14285714285714285</v>
      </c>
      <c r="M201" s="4">
        <v>28</v>
      </c>
      <c r="N201" t="s">
        <v>19</v>
      </c>
      <c r="O201" t="str">
        <f t="shared" si="30"/>
        <v>Low</v>
      </c>
      <c r="P201" t="str">
        <f t="shared" si="31"/>
        <v>High</v>
      </c>
      <c r="Q201" t="str">
        <f t="shared" si="32"/>
        <v>High</v>
      </c>
      <c r="R201" t="s">
        <v>3317</v>
      </c>
      <c r="S201" s="4">
        <f t="shared" ca="1" si="33"/>
        <v>679</v>
      </c>
      <c r="T201">
        <f t="shared" si="34"/>
        <v>1</v>
      </c>
      <c r="U201">
        <f t="shared" si="35"/>
        <v>3</v>
      </c>
      <c r="V201">
        <f t="shared" si="36"/>
        <v>3</v>
      </c>
      <c r="W201">
        <f t="shared" si="37"/>
        <v>1</v>
      </c>
      <c r="X201">
        <f t="shared" si="38"/>
        <v>2</v>
      </c>
      <c r="Y201" t="str">
        <f t="shared" si="39"/>
        <v>Monitor</v>
      </c>
    </row>
    <row r="202" spans="1:25" x14ac:dyDescent="0.35">
      <c r="A202" t="s">
        <v>71</v>
      </c>
      <c r="B202" t="s">
        <v>72</v>
      </c>
      <c r="C202" t="s">
        <v>73</v>
      </c>
      <c r="D202" t="s">
        <v>298</v>
      </c>
      <c r="E202">
        <v>80815791</v>
      </c>
      <c r="F202" t="s">
        <v>299</v>
      </c>
      <c r="G202" s="3">
        <v>47431</v>
      </c>
      <c r="H202">
        <v>36</v>
      </c>
      <c r="I202">
        <v>100</v>
      </c>
      <c r="J202">
        <v>1</v>
      </c>
      <c r="K202" s="4">
        <v>1042.9100000000001</v>
      </c>
      <c r="L202" s="4">
        <v>0.14285714285714285</v>
      </c>
      <c r="M202" s="4">
        <v>7</v>
      </c>
      <c r="N202" t="s">
        <v>19</v>
      </c>
      <c r="O202" t="str">
        <f t="shared" si="30"/>
        <v>Low</v>
      </c>
      <c r="P202" t="str">
        <f t="shared" si="31"/>
        <v>Medium</v>
      </c>
      <c r="Q202" t="str">
        <f t="shared" si="32"/>
        <v>High</v>
      </c>
      <c r="R202" t="s">
        <v>3317</v>
      </c>
      <c r="S202" s="4">
        <f t="shared" ca="1" si="33"/>
        <v>1234</v>
      </c>
      <c r="T202">
        <f t="shared" si="34"/>
        <v>1</v>
      </c>
      <c r="U202">
        <f t="shared" si="35"/>
        <v>2</v>
      </c>
      <c r="V202">
        <f t="shared" si="36"/>
        <v>3</v>
      </c>
      <c r="W202">
        <f t="shared" si="37"/>
        <v>1</v>
      </c>
      <c r="X202">
        <f t="shared" si="38"/>
        <v>1.7000000000000002</v>
      </c>
      <c r="Y202" t="str">
        <f t="shared" si="39"/>
        <v>Monitor</v>
      </c>
    </row>
    <row r="203" spans="1:25" x14ac:dyDescent="0.35">
      <c r="A203" t="s">
        <v>71</v>
      </c>
      <c r="B203" t="s">
        <v>72</v>
      </c>
      <c r="C203" t="s">
        <v>73</v>
      </c>
      <c r="D203" t="s">
        <v>298</v>
      </c>
      <c r="E203">
        <v>80815791</v>
      </c>
      <c r="F203" t="s">
        <v>299</v>
      </c>
      <c r="G203" s="3">
        <v>46931</v>
      </c>
      <c r="H203">
        <v>36</v>
      </c>
      <c r="I203">
        <v>68</v>
      </c>
      <c r="J203">
        <v>4</v>
      </c>
      <c r="K203" s="4">
        <v>4171.6400000000003</v>
      </c>
      <c r="L203" s="4">
        <v>0.14285714285714285</v>
      </c>
      <c r="M203" s="4">
        <v>28</v>
      </c>
      <c r="N203" t="s">
        <v>19</v>
      </c>
      <c r="O203" t="str">
        <f t="shared" si="30"/>
        <v>Low</v>
      </c>
      <c r="P203" t="str">
        <f t="shared" si="31"/>
        <v>High</v>
      </c>
      <c r="Q203" t="str">
        <f t="shared" si="32"/>
        <v>High</v>
      </c>
      <c r="R203" t="s">
        <v>3317</v>
      </c>
      <c r="S203" s="4">
        <f t="shared" ca="1" si="33"/>
        <v>734</v>
      </c>
      <c r="T203">
        <f t="shared" si="34"/>
        <v>1</v>
      </c>
      <c r="U203">
        <f t="shared" si="35"/>
        <v>3</v>
      </c>
      <c r="V203">
        <f t="shared" si="36"/>
        <v>3</v>
      </c>
      <c r="W203">
        <f t="shared" si="37"/>
        <v>1</v>
      </c>
      <c r="X203">
        <f t="shared" si="38"/>
        <v>2</v>
      </c>
      <c r="Y203" t="str">
        <f t="shared" si="39"/>
        <v>Monitor</v>
      </c>
    </row>
    <row r="204" spans="1:25" x14ac:dyDescent="0.35">
      <c r="A204" t="s">
        <v>14</v>
      </c>
      <c r="B204" t="s">
        <v>267</v>
      </c>
      <c r="C204" t="s">
        <v>268</v>
      </c>
      <c r="D204" t="s">
        <v>300</v>
      </c>
      <c r="E204">
        <v>80818333</v>
      </c>
      <c r="F204" t="s">
        <v>301</v>
      </c>
      <c r="G204" s="3">
        <v>47992</v>
      </c>
      <c r="H204">
        <v>60</v>
      </c>
      <c r="I204">
        <v>100</v>
      </c>
      <c r="J204">
        <v>1</v>
      </c>
      <c r="K204" s="4">
        <v>40.549999999999997</v>
      </c>
      <c r="L204" s="4">
        <v>5799.8571428571431</v>
      </c>
      <c r="M204" s="4">
        <v>1.7241803985319835E-4</v>
      </c>
      <c r="N204" t="s">
        <v>25</v>
      </c>
      <c r="O204" t="str">
        <f t="shared" si="30"/>
        <v>Low</v>
      </c>
      <c r="P204" t="str">
        <f t="shared" si="31"/>
        <v>Low</v>
      </c>
      <c r="Q204" t="str">
        <f t="shared" si="32"/>
        <v>Low</v>
      </c>
      <c r="R204" t="s">
        <v>3317</v>
      </c>
      <c r="S204" s="4">
        <f t="shared" ca="1" si="33"/>
        <v>1795</v>
      </c>
      <c r="T204">
        <f t="shared" si="34"/>
        <v>1</v>
      </c>
      <c r="U204">
        <f t="shared" si="35"/>
        <v>1</v>
      </c>
      <c r="V204">
        <f t="shared" si="36"/>
        <v>1</v>
      </c>
      <c r="W204">
        <f t="shared" si="37"/>
        <v>1</v>
      </c>
      <c r="X204">
        <f t="shared" si="38"/>
        <v>0.99999999999999989</v>
      </c>
      <c r="Y204" t="str">
        <f t="shared" si="39"/>
        <v>Healthy</v>
      </c>
    </row>
    <row r="205" spans="1:25" x14ac:dyDescent="0.35">
      <c r="A205" t="s">
        <v>41</v>
      </c>
      <c r="B205" t="s">
        <v>42</v>
      </c>
      <c r="C205" t="s">
        <v>43</v>
      </c>
      <c r="D205" t="s">
        <v>302</v>
      </c>
      <c r="E205">
        <v>80833385</v>
      </c>
      <c r="F205" t="s">
        <v>303</v>
      </c>
      <c r="G205" s="3">
        <v>46316</v>
      </c>
      <c r="H205">
        <v>36</v>
      </c>
      <c r="I205">
        <v>11</v>
      </c>
      <c r="J205">
        <v>1</v>
      </c>
      <c r="K205" s="4">
        <v>327.26</v>
      </c>
      <c r="L205" s="4">
        <v>4.2857142857142856</v>
      </c>
      <c r="M205" s="4">
        <v>0.23333333333333334</v>
      </c>
      <c r="N205" t="s">
        <v>25</v>
      </c>
      <c r="O205" t="str">
        <f t="shared" si="30"/>
        <v>High</v>
      </c>
      <c r="P205" t="str">
        <f t="shared" si="31"/>
        <v>Low</v>
      </c>
      <c r="Q205" t="str">
        <f t="shared" si="32"/>
        <v>High</v>
      </c>
      <c r="R205" t="s">
        <v>3317</v>
      </c>
      <c r="S205" s="4">
        <f t="shared" ca="1" si="33"/>
        <v>119</v>
      </c>
      <c r="T205">
        <f t="shared" si="34"/>
        <v>3</v>
      </c>
      <c r="U205">
        <f t="shared" si="35"/>
        <v>1</v>
      </c>
      <c r="V205">
        <f t="shared" si="36"/>
        <v>3</v>
      </c>
      <c r="W205">
        <f t="shared" si="37"/>
        <v>1</v>
      </c>
      <c r="X205">
        <f t="shared" si="38"/>
        <v>2.2000000000000006</v>
      </c>
      <c r="Y205" t="str">
        <f t="shared" si="39"/>
        <v>High Priority</v>
      </c>
    </row>
    <row r="206" spans="1:25" x14ac:dyDescent="0.35">
      <c r="A206" t="s">
        <v>14</v>
      </c>
      <c r="B206" t="s">
        <v>67</v>
      </c>
      <c r="C206" t="s">
        <v>68</v>
      </c>
      <c r="D206" t="s">
        <v>69</v>
      </c>
      <c r="E206">
        <v>80818340</v>
      </c>
      <c r="F206" t="s">
        <v>304</v>
      </c>
      <c r="G206" s="3">
        <v>47804</v>
      </c>
      <c r="H206">
        <v>60</v>
      </c>
      <c r="I206">
        <v>90</v>
      </c>
      <c r="J206">
        <v>90</v>
      </c>
      <c r="K206" s="4">
        <v>10697.28</v>
      </c>
      <c r="L206" s="4">
        <v>377.42857142857144</v>
      </c>
      <c r="M206" s="4">
        <v>0.2384557153671461</v>
      </c>
      <c r="N206" t="s">
        <v>25</v>
      </c>
      <c r="O206" t="str">
        <f t="shared" si="30"/>
        <v>Low</v>
      </c>
      <c r="P206" t="str">
        <f t="shared" si="31"/>
        <v>Low</v>
      </c>
      <c r="Q206" t="str">
        <f t="shared" si="32"/>
        <v>Low</v>
      </c>
      <c r="R206" t="s">
        <v>3317</v>
      </c>
      <c r="S206" s="4">
        <f t="shared" ca="1" si="33"/>
        <v>1607</v>
      </c>
      <c r="T206">
        <f t="shared" si="34"/>
        <v>1</v>
      </c>
      <c r="U206">
        <f t="shared" si="35"/>
        <v>1</v>
      </c>
      <c r="V206">
        <f t="shared" si="36"/>
        <v>1</v>
      </c>
      <c r="W206">
        <f t="shared" si="37"/>
        <v>1</v>
      </c>
      <c r="X206">
        <f t="shared" si="38"/>
        <v>0.99999999999999989</v>
      </c>
      <c r="Y206" t="str">
        <f t="shared" si="39"/>
        <v>Healthy</v>
      </c>
    </row>
    <row r="207" spans="1:25" x14ac:dyDescent="0.35">
      <c r="A207" t="s">
        <v>14</v>
      </c>
      <c r="B207" t="s">
        <v>67</v>
      </c>
      <c r="C207" t="s">
        <v>68</v>
      </c>
      <c r="D207" t="s">
        <v>69</v>
      </c>
      <c r="E207">
        <v>80818340</v>
      </c>
      <c r="F207" t="s">
        <v>304</v>
      </c>
      <c r="G207" s="3">
        <v>47689</v>
      </c>
      <c r="H207">
        <v>60</v>
      </c>
      <c r="I207">
        <v>83</v>
      </c>
      <c r="J207">
        <v>66</v>
      </c>
      <c r="K207" s="4">
        <v>7354.38</v>
      </c>
      <c r="L207" s="4">
        <v>377.42857142857144</v>
      </c>
      <c r="M207" s="4">
        <v>0.17486752460257379</v>
      </c>
      <c r="N207" t="s">
        <v>25</v>
      </c>
      <c r="O207" t="str">
        <f t="shared" si="30"/>
        <v>Low</v>
      </c>
      <c r="P207" t="str">
        <f t="shared" si="31"/>
        <v>Low</v>
      </c>
      <c r="Q207" t="str">
        <f t="shared" si="32"/>
        <v>Low</v>
      </c>
      <c r="R207" t="s">
        <v>3317</v>
      </c>
      <c r="S207" s="4">
        <f t="shared" ca="1" si="33"/>
        <v>1492</v>
      </c>
      <c r="T207">
        <f t="shared" si="34"/>
        <v>1</v>
      </c>
      <c r="U207">
        <f t="shared" si="35"/>
        <v>1</v>
      </c>
      <c r="V207">
        <f t="shared" si="36"/>
        <v>1</v>
      </c>
      <c r="W207">
        <f t="shared" si="37"/>
        <v>1</v>
      </c>
      <c r="X207">
        <f t="shared" si="38"/>
        <v>0.99999999999999989</v>
      </c>
      <c r="Y207" t="str">
        <f t="shared" si="39"/>
        <v>Healthy</v>
      </c>
    </row>
    <row r="208" spans="1:25" x14ac:dyDescent="0.35">
      <c r="A208" t="s">
        <v>71</v>
      </c>
      <c r="B208" t="s">
        <v>72</v>
      </c>
      <c r="C208" t="s">
        <v>174</v>
      </c>
      <c r="D208" t="s">
        <v>305</v>
      </c>
      <c r="E208">
        <v>80829173</v>
      </c>
      <c r="F208" t="s">
        <v>306</v>
      </c>
      <c r="G208" s="3">
        <v>47014</v>
      </c>
      <c r="H208">
        <v>36</v>
      </c>
      <c r="I208">
        <v>76</v>
      </c>
      <c r="J208">
        <v>4</v>
      </c>
      <c r="K208" s="4">
        <v>4156.68</v>
      </c>
      <c r="L208" s="4">
        <v>1.1428571428571428</v>
      </c>
      <c r="M208" s="4">
        <v>3.5</v>
      </c>
      <c r="N208" t="s">
        <v>25</v>
      </c>
      <c r="O208" t="str">
        <f t="shared" si="30"/>
        <v>Low</v>
      </c>
      <c r="P208" t="str">
        <f t="shared" si="31"/>
        <v>Low</v>
      </c>
      <c r="Q208" t="str">
        <f t="shared" si="32"/>
        <v>High</v>
      </c>
      <c r="R208" t="s">
        <v>3317</v>
      </c>
      <c r="S208" s="4">
        <f t="shared" ca="1" si="33"/>
        <v>817</v>
      </c>
      <c r="T208">
        <f t="shared" si="34"/>
        <v>1</v>
      </c>
      <c r="U208">
        <f t="shared" si="35"/>
        <v>1</v>
      </c>
      <c r="V208">
        <f t="shared" si="36"/>
        <v>3</v>
      </c>
      <c r="W208">
        <f t="shared" si="37"/>
        <v>1</v>
      </c>
      <c r="X208">
        <f t="shared" si="38"/>
        <v>1.4000000000000001</v>
      </c>
      <c r="Y208" t="str">
        <f t="shared" si="39"/>
        <v>Healthy</v>
      </c>
    </row>
    <row r="209" spans="1:25" x14ac:dyDescent="0.35">
      <c r="A209" t="s">
        <v>14</v>
      </c>
      <c r="B209" t="s">
        <v>67</v>
      </c>
      <c r="C209" t="s">
        <v>68</v>
      </c>
      <c r="D209" t="s">
        <v>69</v>
      </c>
      <c r="E209">
        <v>80818340</v>
      </c>
      <c r="F209" t="s">
        <v>304</v>
      </c>
      <c r="G209" s="3">
        <v>47838</v>
      </c>
      <c r="H209">
        <v>60</v>
      </c>
      <c r="I209">
        <v>91</v>
      </c>
      <c r="J209">
        <v>37</v>
      </c>
      <c r="K209" s="4">
        <v>4122.91</v>
      </c>
      <c r="L209" s="4">
        <v>377.42857142857144</v>
      </c>
      <c r="M209" s="4">
        <v>9.8031794095382277E-2</v>
      </c>
      <c r="N209" t="s">
        <v>25</v>
      </c>
      <c r="O209" t="str">
        <f t="shared" si="30"/>
        <v>Low</v>
      </c>
      <c r="P209" t="str">
        <f t="shared" si="31"/>
        <v>Low</v>
      </c>
      <c r="Q209" t="str">
        <f t="shared" si="32"/>
        <v>Low</v>
      </c>
      <c r="R209" t="s">
        <v>3317</v>
      </c>
      <c r="S209" s="4">
        <f t="shared" ca="1" si="33"/>
        <v>1641</v>
      </c>
      <c r="T209">
        <f t="shared" si="34"/>
        <v>1</v>
      </c>
      <c r="U209">
        <f t="shared" si="35"/>
        <v>1</v>
      </c>
      <c r="V209">
        <f t="shared" si="36"/>
        <v>1</v>
      </c>
      <c r="W209">
        <f t="shared" si="37"/>
        <v>1</v>
      </c>
      <c r="X209">
        <f t="shared" si="38"/>
        <v>0.99999999999999989</v>
      </c>
      <c r="Y209" t="str">
        <f t="shared" si="39"/>
        <v>Healthy</v>
      </c>
    </row>
    <row r="210" spans="1:25" x14ac:dyDescent="0.35">
      <c r="A210" t="s">
        <v>71</v>
      </c>
      <c r="B210" t="s">
        <v>72</v>
      </c>
      <c r="C210" t="s">
        <v>174</v>
      </c>
      <c r="D210" t="s">
        <v>305</v>
      </c>
      <c r="E210">
        <v>80829173</v>
      </c>
      <c r="F210" t="s">
        <v>306</v>
      </c>
      <c r="G210" s="3">
        <v>46977</v>
      </c>
      <c r="H210">
        <v>36</v>
      </c>
      <c r="I210">
        <v>73</v>
      </c>
      <c r="J210">
        <v>2</v>
      </c>
      <c r="K210" s="4">
        <v>2078.34</v>
      </c>
      <c r="L210" s="4">
        <v>1.1428571428571428</v>
      </c>
      <c r="M210" s="4">
        <v>1.75</v>
      </c>
      <c r="N210" t="s">
        <v>25</v>
      </c>
      <c r="O210" t="str">
        <f t="shared" si="30"/>
        <v>Low</v>
      </c>
      <c r="P210" t="str">
        <f t="shared" si="31"/>
        <v>Low</v>
      </c>
      <c r="Q210" t="str">
        <f t="shared" si="32"/>
        <v>High</v>
      </c>
      <c r="R210" t="s">
        <v>3317</v>
      </c>
      <c r="S210" s="4">
        <f t="shared" ca="1" si="33"/>
        <v>780</v>
      </c>
      <c r="T210">
        <f t="shared" si="34"/>
        <v>1</v>
      </c>
      <c r="U210">
        <f t="shared" si="35"/>
        <v>1</v>
      </c>
      <c r="V210">
        <f t="shared" si="36"/>
        <v>3</v>
      </c>
      <c r="W210">
        <f t="shared" si="37"/>
        <v>1</v>
      </c>
      <c r="X210">
        <f t="shared" si="38"/>
        <v>1.4000000000000001</v>
      </c>
      <c r="Y210" t="str">
        <f t="shared" si="39"/>
        <v>Healthy</v>
      </c>
    </row>
    <row r="211" spans="1:25" x14ac:dyDescent="0.35">
      <c r="A211" t="s">
        <v>14</v>
      </c>
      <c r="B211" t="s">
        <v>67</v>
      </c>
      <c r="C211" t="s">
        <v>68</v>
      </c>
      <c r="D211" t="s">
        <v>69</v>
      </c>
      <c r="E211">
        <v>80818340</v>
      </c>
      <c r="F211" t="s">
        <v>304</v>
      </c>
      <c r="G211" s="3">
        <v>47957</v>
      </c>
      <c r="H211">
        <v>60</v>
      </c>
      <c r="I211">
        <v>98</v>
      </c>
      <c r="J211">
        <v>218</v>
      </c>
      <c r="K211" s="4">
        <v>24291.74</v>
      </c>
      <c r="L211" s="4">
        <v>377.42857142857144</v>
      </c>
      <c r="M211" s="4">
        <v>0.57759273277819834</v>
      </c>
      <c r="N211" t="s">
        <v>25</v>
      </c>
      <c r="O211" t="str">
        <f t="shared" si="30"/>
        <v>Low</v>
      </c>
      <c r="P211" t="str">
        <f t="shared" si="31"/>
        <v>Low</v>
      </c>
      <c r="Q211" t="str">
        <f t="shared" si="32"/>
        <v>Low</v>
      </c>
      <c r="R211" t="s">
        <v>3317</v>
      </c>
      <c r="S211" s="4">
        <f t="shared" ca="1" si="33"/>
        <v>1760</v>
      </c>
      <c r="T211">
        <f t="shared" si="34"/>
        <v>1</v>
      </c>
      <c r="U211">
        <f t="shared" si="35"/>
        <v>1</v>
      </c>
      <c r="V211">
        <f t="shared" si="36"/>
        <v>1</v>
      </c>
      <c r="W211">
        <f t="shared" si="37"/>
        <v>1</v>
      </c>
      <c r="X211">
        <f t="shared" si="38"/>
        <v>0.99999999999999989</v>
      </c>
      <c r="Y211" t="str">
        <f t="shared" si="39"/>
        <v>Healthy</v>
      </c>
    </row>
    <row r="212" spans="1:25" x14ac:dyDescent="0.35">
      <c r="A212" t="s">
        <v>14</v>
      </c>
      <c r="B212" t="s">
        <v>58</v>
      </c>
      <c r="C212" t="s">
        <v>64</v>
      </c>
      <c r="D212" t="s">
        <v>65</v>
      </c>
      <c r="E212">
        <v>80797472</v>
      </c>
      <c r="F212" t="s">
        <v>307</v>
      </c>
      <c r="G212" s="3">
        <v>47946</v>
      </c>
      <c r="H212">
        <v>60</v>
      </c>
      <c r="I212">
        <v>97</v>
      </c>
      <c r="J212">
        <v>216</v>
      </c>
      <c r="K212" s="4">
        <v>106453.44</v>
      </c>
      <c r="L212" s="4">
        <v>437.14285714285717</v>
      </c>
      <c r="M212" s="4">
        <v>0.49411764705882349</v>
      </c>
      <c r="N212" t="s">
        <v>25</v>
      </c>
      <c r="O212" t="str">
        <f t="shared" si="30"/>
        <v>Low</v>
      </c>
      <c r="P212" t="str">
        <f t="shared" si="31"/>
        <v>Low</v>
      </c>
      <c r="Q212" t="str">
        <f t="shared" si="32"/>
        <v>Low</v>
      </c>
      <c r="R212" t="s">
        <v>3310</v>
      </c>
      <c r="S212" s="4">
        <f t="shared" ca="1" si="33"/>
        <v>1749</v>
      </c>
      <c r="T212">
        <f t="shared" si="34"/>
        <v>1</v>
      </c>
      <c r="U212">
        <f t="shared" si="35"/>
        <v>1</v>
      </c>
      <c r="V212">
        <f t="shared" si="36"/>
        <v>1</v>
      </c>
      <c r="W212">
        <f t="shared" si="37"/>
        <v>2</v>
      </c>
      <c r="X212">
        <f t="shared" si="38"/>
        <v>1.0999999999999999</v>
      </c>
      <c r="Y212" t="str">
        <f t="shared" si="39"/>
        <v>Healthy</v>
      </c>
    </row>
    <row r="213" spans="1:25" x14ac:dyDescent="0.35">
      <c r="A213" t="s">
        <v>14</v>
      </c>
      <c r="B213" t="s">
        <v>58</v>
      </c>
      <c r="C213" t="s">
        <v>64</v>
      </c>
      <c r="D213" t="s">
        <v>65</v>
      </c>
      <c r="E213">
        <v>80797472</v>
      </c>
      <c r="F213" t="s">
        <v>307</v>
      </c>
      <c r="G213" s="3">
        <v>47852</v>
      </c>
      <c r="H213">
        <v>60</v>
      </c>
      <c r="I213">
        <v>92</v>
      </c>
      <c r="J213">
        <v>107</v>
      </c>
      <c r="K213" s="4">
        <v>52733.88</v>
      </c>
      <c r="L213" s="4">
        <v>437.14285714285717</v>
      </c>
      <c r="M213" s="4">
        <v>0.24477124183006535</v>
      </c>
      <c r="N213" t="s">
        <v>25</v>
      </c>
      <c r="O213" t="str">
        <f t="shared" si="30"/>
        <v>Low</v>
      </c>
      <c r="P213" t="str">
        <f t="shared" si="31"/>
        <v>Low</v>
      </c>
      <c r="Q213" t="str">
        <f t="shared" si="32"/>
        <v>Low</v>
      </c>
      <c r="R213" t="s">
        <v>3317</v>
      </c>
      <c r="S213" s="4">
        <f t="shared" ca="1" si="33"/>
        <v>1655</v>
      </c>
      <c r="T213">
        <f t="shared" si="34"/>
        <v>1</v>
      </c>
      <c r="U213">
        <f t="shared" si="35"/>
        <v>1</v>
      </c>
      <c r="V213">
        <f t="shared" si="36"/>
        <v>1</v>
      </c>
      <c r="W213">
        <f t="shared" si="37"/>
        <v>1</v>
      </c>
      <c r="X213">
        <f t="shared" si="38"/>
        <v>0.99999999999999989</v>
      </c>
      <c r="Y213" t="str">
        <f t="shared" si="39"/>
        <v>Healthy</v>
      </c>
    </row>
    <row r="214" spans="1:25" x14ac:dyDescent="0.35">
      <c r="A214" t="s">
        <v>14</v>
      </c>
      <c r="B214" t="s">
        <v>67</v>
      </c>
      <c r="C214" t="s">
        <v>68</v>
      </c>
      <c r="D214" t="s">
        <v>69</v>
      </c>
      <c r="E214">
        <v>80818340</v>
      </c>
      <c r="F214" t="s">
        <v>304</v>
      </c>
      <c r="G214" s="3">
        <v>47768</v>
      </c>
      <c r="H214">
        <v>60</v>
      </c>
      <c r="I214">
        <v>88</v>
      </c>
      <c r="J214">
        <v>94</v>
      </c>
      <c r="K214" s="4">
        <v>10474.42</v>
      </c>
      <c r="L214" s="4">
        <v>377.42857142857144</v>
      </c>
      <c r="M214" s="4">
        <v>0.24905374716124148</v>
      </c>
      <c r="N214" t="s">
        <v>25</v>
      </c>
      <c r="O214" t="str">
        <f t="shared" si="30"/>
        <v>Low</v>
      </c>
      <c r="P214" t="str">
        <f t="shared" si="31"/>
        <v>Low</v>
      </c>
      <c r="Q214" t="str">
        <f t="shared" si="32"/>
        <v>Low</v>
      </c>
      <c r="R214" t="s">
        <v>3317</v>
      </c>
      <c r="S214" s="4">
        <f t="shared" ca="1" si="33"/>
        <v>1571</v>
      </c>
      <c r="T214">
        <f t="shared" si="34"/>
        <v>1</v>
      </c>
      <c r="U214">
        <f t="shared" si="35"/>
        <v>1</v>
      </c>
      <c r="V214">
        <f t="shared" si="36"/>
        <v>1</v>
      </c>
      <c r="W214">
        <f t="shared" si="37"/>
        <v>1</v>
      </c>
      <c r="X214">
        <f t="shared" si="38"/>
        <v>0.99999999999999989</v>
      </c>
      <c r="Y214" t="str">
        <f t="shared" si="39"/>
        <v>Healthy</v>
      </c>
    </row>
    <row r="215" spans="1:25" x14ac:dyDescent="0.35">
      <c r="A215" t="s">
        <v>14</v>
      </c>
      <c r="B215" t="s">
        <v>58</v>
      </c>
      <c r="C215" t="s">
        <v>64</v>
      </c>
      <c r="D215" t="s">
        <v>65</v>
      </c>
      <c r="E215">
        <v>80797472</v>
      </c>
      <c r="F215" t="s">
        <v>307</v>
      </c>
      <c r="G215" s="3">
        <v>47947</v>
      </c>
      <c r="H215">
        <v>60</v>
      </c>
      <c r="I215">
        <v>98</v>
      </c>
      <c r="J215">
        <v>129</v>
      </c>
      <c r="K215" s="4">
        <v>63576.36</v>
      </c>
      <c r="L215" s="4">
        <v>437.14285714285717</v>
      </c>
      <c r="M215" s="4">
        <v>0.29509803921568628</v>
      </c>
      <c r="N215" t="s">
        <v>25</v>
      </c>
      <c r="O215" t="str">
        <f t="shared" si="30"/>
        <v>Low</v>
      </c>
      <c r="P215" t="str">
        <f t="shared" si="31"/>
        <v>Low</v>
      </c>
      <c r="Q215" t="str">
        <f t="shared" si="32"/>
        <v>Low</v>
      </c>
      <c r="R215" t="s">
        <v>3317</v>
      </c>
      <c r="S215" s="4">
        <f t="shared" ca="1" si="33"/>
        <v>1750</v>
      </c>
      <c r="T215">
        <f t="shared" si="34"/>
        <v>1</v>
      </c>
      <c r="U215">
        <f t="shared" si="35"/>
        <v>1</v>
      </c>
      <c r="V215">
        <f t="shared" si="36"/>
        <v>1</v>
      </c>
      <c r="W215">
        <f t="shared" si="37"/>
        <v>1</v>
      </c>
      <c r="X215">
        <f t="shared" si="38"/>
        <v>0.99999999999999989</v>
      </c>
      <c r="Y215" t="str">
        <f t="shared" si="39"/>
        <v>Healthy</v>
      </c>
    </row>
    <row r="216" spans="1:25" x14ac:dyDescent="0.35">
      <c r="A216" t="s">
        <v>14</v>
      </c>
      <c r="B216" t="s">
        <v>67</v>
      </c>
      <c r="C216" t="s">
        <v>68</v>
      </c>
      <c r="D216" t="s">
        <v>69</v>
      </c>
      <c r="E216">
        <v>80818340</v>
      </c>
      <c r="F216" t="s">
        <v>304</v>
      </c>
      <c r="G216" s="3">
        <v>47853</v>
      </c>
      <c r="H216">
        <v>60</v>
      </c>
      <c r="I216">
        <v>92</v>
      </c>
      <c r="J216">
        <v>100</v>
      </c>
      <c r="K216" s="4">
        <v>11143</v>
      </c>
      <c r="L216" s="4">
        <v>377.42857142857144</v>
      </c>
      <c r="M216" s="4">
        <v>0.26495079485238454</v>
      </c>
      <c r="N216" t="s">
        <v>25</v>
      </c>
      <c r="O216" t="str">
        <f t="shared" si="30"/>
        <v>Low</v>
      </c>
      <c r="P216" t="str">
        <f t="shared" si="31"/>
        <v>Low</v>
      </c>
      <c r="Q216" t="str">
        <f t="shared" si="32"/>
        <v>Low</v>
      </c>
      <c r="R216" t="s">
        <v>3317</v>
      </c>
      <c r="S216" s="4">
        <f t="shared" ca="1" si="33"/>
        <v>1656</v>
      </c>
      <c r="T216">
        <f t="shared" si="34"/>
        <v>1</v>
      </c>
      <c r="U216">
        <f t="shared" si="35"/>
        <v>1</v>
      </c>
      <c r="V216">
        <f t="shared" si="36"/>
        <v>1</v>
      </c>
      <c r="W216">
        <f t="shared" si="37"/>
        <v>1</v>
      </c>
      <c r="X216">
        <f t="shared" si="38"/>
        <v>0.99999999999999989</v>
      </c>
      <c r="Y216" t="str">
        <f t="shared" si="39"/>
        <v>Healthy</v>
      </c>
    </row>
    <row r="217" spans="1:25" x14ac:dyDescent="0.35">
      <c r="A217" t="s">
        <v>14</v>
      </c>
      <c r="B217" t="s">
        <v>58</v>
      </c>
      <c r="C217" t="s">
        <v>64</v>
      </c>
      <c r="D217" t="s">
        <v>65</v>
      </c>
      <c r="E217">
        <v>80797472</v>
      </c>
      <c r="F217" t="s">
        <v>307</v>
      </c>
      <c r="G217" s="3">
        <v>47920</v>
      </c>
      <c r="H217">
        <v>60</v>
      </c>
      <c r="I217">
        <v>96</v>
      </c>
      <c r="J217">
        <v>125</v>
      </c>
      <c r="K217" s="4">
        <v>61605</v>
      </c>
      <c r="L217" s="4">
        <v>437.14285714285717</v>
      </c>
      <c r="M217" s="4">
        <v>0.28594771241830064</v>
      </c>
      <c r="N217" t="s">
        <v>25</v>
      </c>
      <c r="O217" t="str">
        <f t="shared" si="30"/>
        <v>Low</v>
      </c>
      <c r="P217" t="str">
        <f t="shared" si="31"/>
        <v>Low</v>
      </c>
      <c r="Q217" t="str">
        <f t="shared" si="32"/>
        <v>Low</v>
      </c>
      <c r="R217" t="s">
        <v>3317</v>
      </c>
      <c r="S217" s="4">
        <f t="shared" ca="1" si="33"/>
        <v>1723</v>
      </c>
      <c r="T217">
        <f t="shared" si="34"/>
        <v>1</v>
      </c>
      <c r="U217">
        <f t="shared" si="35"/>
        <v>1</v>
      </c>
      <c r="V217">
        <f t="shared" si="36"/>
        <v>1</v>
      </c>
      <c r="W217">
        <f t="shared" si="37"/>
        <v>1</v>
      </c>
      <c r="X217">
        <f t="shared" si="38"/>
        <v>0.99999999999999989</v>
      </c>
      <c r="Y217" t="str">
        <f t="shared" si="39"/>
        <v>Healthy</v>
      </c>
    </row>
    <row r="218" spans="1:25" x14ac:dyDescent="0.35">
      <c r="A218" t="s">
        <v>14</v>
      </c>
      <c r="B218" t="s">
        <v>67</v>
      </c>
      <c r="C218" t="s">
        <v>68</v>
      </c>
      <c r="D218" t="s">
        <v>69</v>
      </c>
      <c r="E218">
        <v>80818340</v>
      </c>
      <c r="F218" t="s">
        <v>304</v>
      </c>
      <c r="G218" s="3">
        <v>47691</v>
      </c>
      <c r="H218">
        <v>60</v>
      </c>
      <c r="I218">
        <v>83</v>
      </c>
      <c r="J218">
        <v>71</v>
      </c>
      <c r="K218" s="4">
        <v>7911.53</v>
      </c>
      <c r="L218" s="4">
        <v>377.42857142857144</v>
      </c>
      <c r="M218" s="4">
        <v>0.18811506434519304</v>
      </c>
      <c r="N218" t="s">
        <v>25</v>
      </c>
      <c r="O218" t="str">
        <f t="shared" si="30"/>
        <v>Low</v>
      </c>
      <c r="P218" t="str">
        <f t="shared" si="31"/>
        <v>Low</v>
      </c>
      <c r="Q218" t="str">
        <f t="shared" si="32"/>
        <v>Low</v>
      </c>
      <c r="R218" t="s">
        <v>3317</v>
      </c>
      <c r="S218" s="4">
        <f t="shared" ca="1" si="33"/>
        <v>1494</v>
      </c>
      <c r="T218">
        <f t="shared" si="34"/>
        <v>1</v>
      </c>
      <c r="U218">
        <f t="shared" si="35"/>
        <v>1</v>
      </c>
      <c r="V218">
        <f t="shared" si="36"/>
        <v>1</v>
      </c>
      <c r="W218">
        <f t="shared" si="37"/>
        <v>1</v>
      </c>
      <c r="X218">
        <f t="shared" si="38"/>
        <v>0.99999999999999989</v>
      </c>
      <c r="Y218" t="str">
        <f t="shared" si="39"/>
        <v>Healthy</v>
      </c>
    </row>
    <row r="219" spans="1:25" x14ac:dyDescent="0.35">
      <c r="A219" t="s">
        <v>14</v>
      </c>
      <c r="B219" t="s">
        <v>58</v>
      </c>
      <c r="C219" t="s">
        <v>64</v>
      </c>
      <c r="D219" t="s">
        <v>65</v>
      </c>
      <c r="E219">
        <v>80797472</v>
      </c>
      <c r="F219" t="s">
        <v>307</v>
      </c>
      <c r="G219" s="3">
        <v>47945</v>
      </c>
      <c r="H219">
        <v>60</v>
      </c>
      <c r="I219">
        <v>97</v>
      </c>
      <c r="J219">
        <v>124</v>
      </c>
      <c r="K219" s="4">
        <v>61112.160000000003</v>
      </c>
      <c r="L219" s="4">
        <v>437.14285714285717</v>
      </c>
      <c r="M219" s="4">
        <v>0.28366013071895424</v>
      </c>
      <c r="N219" t="s">
        <v>25</v>
      </c>
      <c r="O219" t="str">
        <f t="shared" si="30"/>
        <v>Low</v>
      </c>
      <c r="P219" t="str">
        <f t="shared" si="31"/>
        <v>Low</v>
      </c>
      <c r="Q219" t="str">
        <f t="shared" si="32"/>
        <v>Low</v>
      </c>
      <c r="R219" t="s">
        <v>3317</v>
      </c>
      <c r="S219" s="4">
        <f t="shared" ca="1" si="33"/>
        <v>1748</v>
      </c>
      <c r="T219">
        <f t="shared" si="34"/>
        <v>1</v>
      </c>
      <c r="U219">
        <f t="shared" si="35"/>
        <v>1</v>
      </c>
      <c r="V219">
        <f t="shared" si="36"/>
        <v>1</v>
      </c>
      <c r="W219">
        <f t="shared" si="37"/>
        <v>1</v>
      </c>
      <c r="X219">
        <f t="shared" si="38"/>
        <v>0.99999999999999989</v>
      </c>
      <c r="Y219" t="str">
        <f t="shared" si="39"/>
        <v>Healthy</v>
      </c>
    </row>
    <row r="220" spans="1:25" x14ac:dyDescent="0.35">
      <c r="A220" t="s">
        <v>71</v>
      </c>
      <c r="B220" t="s">
        <v>72</v>
      </c>
      <c r="C220" t="s">
        <v>174</v>
      </c>
      <c r="D220" t="s">
        <v>308</v>
      </c>
      <c r="E220">
        <v>80829162</v>
      </c>
      <c r="F220" t="s">
        <v>309</v>
      </c>
      <c r="G220" s="3">
        <v>47075</v>
      </c>
      <c r="H220">
        <v>36</v>
      </c>
      <c r="I220">
        <v>82</v>
      </c>
      <c r="J220">
        <v>18</v>
      </c>
      <c r="K220" s="4">
        <v>12095.64</v>
      </c>
      <c r="L220" s="4">
        <v>86.571428571428569</v>
      </c>
      <c r="M220" s="4">
        <v>0.20792079207920794</v>
      </c>
      <c r="N220" t="s">
        <v>25</v>
      </c>
      <c r="O220" t="str">
        <f t="shared" si="30"/>
        <v>Low</v>
      </c>
      <c r="P220" t="str">
        <f t="shared" si="31"/>
        <v>Low</v>
      </c>
      <c r="Q220" t="str">
        <f t="shared" si="32"/>
        <v>Low</v>
      </c>
      <c r="R220" t="s">
        <v>3317</v>
      </c>
      <c r="S220" s="4">
        <f t="shared" ca="1" si="33"/>
        <v>878</v>
      </c>
      <c r="T220">
        <f t="shared" si="34"/>
        <v>1</v>
      </c>
      <c r="U220">
        <f t="shared" si="35"/>
        <v>1</v>
      </c>
      <c r="V220">
        <f t="shared" si="36"/>
        <v>1</v>
      </c>
      <c r="W220">
        <f t="shared" si="37"/>
        <v>1</v>
      </c>
      <c r="X220">
        <f t="shared" si="38"/>
        <v>0.99999999999999989</v>
      </c>
      <c r="Y220" t="str">
        <f t="shared" si="39"/>
        <v>Healthy</v>
      </c>
    </row>
    <row r="221" spans="1:25" x14ac:dyDescent="0.35">
      <c r="A221" t="s">
        <v>71</v>
      </c>
      <c r="B221" t="s">
        <v>72</v>
      </c>
      <c r="C221" t="s">
        <v>174</v>
      </c>
      <c r="D221" t="s">
        <v>308</v>
      </c>
      <c r="E221">
        <v>80829162</v>
      </c>
      <c r="F221" t="s">
        <v>309</v>
      </c>
      <c r="G221" s="3">
        <v>46703</v>
      </c>
      <c r="H221">
        <v>36</v>
      </c>
      <c r="I221">
        <v>47</v>
      </c>
      <c r="J221">
        <v>9</v>
      </c>
      <c r="K221" s="4">
        <v>6047.82</v>
      </c>
      <c r="L221" s="4">
        <v>86.571428571428569</v>
      </c>
      <c r="M221" s="4">
        <v>0.10396039603960397</v>
      </c>
      <c r="N221" t="s">
        <v>25</v>
      </c>
      <c r="O221" t="str">
        <f t="shared" si="30"/>
        <v>Low</v>
      </c>
      <c r="P221" t="str">
        <f t="shared" si="31"/>
        <v>Low</v>
      </c>
      <c r="Q221" t="str">
        <f t="shared" si="32"/>
        <v>Low</v>
      </c>
      <c r="R221" t="s">
        <v>3317</v>
      </c>
      <c r="S221" s="4">
        <f t="shared" ca="1" si="33"/>
        <v>506</v>
      </c>
      <c r="T221">
        <f t="shared" si="34"/>
        <v>1</v>
      </c>
      <c r="U221">
        <f t="shared" si="35"/>
        <v>1</v>
      </c>
      <c r="V221">
        <f t="shared" si="36"/>
        <v>1</v>
      </c>
      <c r="W221">
        <f t="shared" si="37"/>
        <v>1</v>
      </c>
      <c r="X221">
        <f t="shared" si="38"/>
        <v>0.99999999999999989</v>
      </c>
      <c r="Y221" t="str">
        <f t="shared" si="39"/>
        <v>Healthy</v>
      </c>
    </row>
    <row r="222" spans="1:25" x14ac:dyDescent="0.35">
      <c r="A222" t="s">
        <v>71</v>
      </c>
      <c r="B222" t="s">
        <v>72</v>
      </c>
      <c r="C222" t="s">
        <v>310</v>
      </c>
      <c r="D222" t="s">
        <v>311</v>
      </c>
      <c r="E222">
        <v>80837087</v>
      </c>
      <c r="F222" t="s">
        <v>312</v>
      </c>
      <c r="G222" s="3">
        <v>46942</v>
      </c>
      <c r="H222">
        <v>36</v>
      </c>
      <c r="I222">
        <v>69</v>
      </c>
      <c r="J222">
        <v>3</v>
      </c>
      <c r="K222" s="4">
        <v>2817.3</v>
      </c>
      <c r="L222" s="4">
        <v>279</v>
      </c>
      <c r="M222" s="4">
        <v>1.0752688172043012E-2</v>
      </c>
      <c r="N222" t="s">
        <v>25</v>
      </c>
      <c r="O222" t="str">
        <f t="shared" si="30"/>
        <v>Low</v>
      </c>
      <c r="P222" t="str">
        <f t="shared" si="31"/>
        <v>Low</v>
      </c>
      <c r="Q222" t="str">
        <f t="shared" si="32"/>
        <v>Low</v>
      </c>
      <c r="R222" t="s">
        <v>3317</v>
      </c>
      <c r="S222" s="4">
        <f t="shared" ca="1" si="33"/>
        <v>745</v>
      </c>
      <c r="T222">
        <f t="shared" si="34"/>
        <v>1</v>
      </c>
      <c r="U222">
        <f t="shared" si="35"/>
        <v>1</v>
      </c>
      <c r="V222">
        <f t="shared" si="36"/>
        <v>1</v>
      </c>
      <c r="W222">
        <f t="shared" si="37"/>
        <v>1</v>
      </c>
      <c r="X222">
        <f t="shared" si="38"/>
        <v>0.99999999999999989</v>
      </c>
      <c r="Y222" t="str">
        <f t="shared" si="39"/>
        <v>Healthy</v>
      </c>
    </row>
    <row r="223" spans="1:25" x14ac:dyDescent="0.35">
      <c r="A223" t="s">
        <v>20</v>
      </c>
      <c r="B223" t="s">
        <v>21</v>
      </c>
      <c r="C223" t="s">
        <v>313</v>
      </c>
      <c r="D223" t="s">
        <v>314</v>
      </c>
      <c r="E223">
        <v>80818683</v>
      </c>
      <c r="F223" t="s">
        <v>315</v>
      </c>
      <c r="G223" s="3">
        <v>46921</v>
      </c>
      <c r="H223">
        <v>36</v>
      </c>
      <c r="I223">
        <v>68</v>
      </c>
      <c r="J223">
        <v>96</v>
      </c>
      <c r="K223" s="4">
        <v>4224</v>
      </c>
      <c r="L223" s="4">
        <v>3311.2857142857142</v>
      </c>
      <c r="M223" s="4">
        <v>2.8991759782561802E-2</v>
      </c>
      <c r="N223" t="s">
        <v>25</v>
      </c>
      <c r="O223" t="str">
        <f t="shared" si="30"/>
        <v>Low</v>
      </c>
      <c r="P223" t="str">
        <f t="shared" si="31"/>
        <v>Low</v>
      </c>
      <c r="Q223" t="str">
        <f t="shared" si="32"/>
        <v>Low</v>
      </c>
      <c r="R223" t="s">
        <v>3317</v>
      </c>
      <c r="S223" s="4">
        <f t="shared" ca="1" si="33"/>
        <v>724</v>
      </c>
      <c r="T223">
        <f t="shared" si="34"/>
        <v>1</v>
      </c>
      <c r="U223">
        <f t="shared" si="35"/>
        <v>1</v>
      </c>
      <c r="V223">
        <f t="shared" si="36"/>
        <v>1</v>
      </c>
      <c r="W223">
        <f t="shared" si="37"/>
        <v>1</v>
      </c>
      <c r="X223">
        <f t="shared" si="38"/>
        <v>0.99999999999999989</v>
      </c>
      <c r="Y223" t="str">
        <f t="shared" si="39"/>
        <v>Healthy</v>
      </c>
    </row>
    <row r="224" spans="1:25" x14ac:dyDescent="0.35">
      <c r="A224" t="s">
        <v>20</v>
      </c>
      <c r="B224" t="s">
        <v>21</v>
      </c>
      <c r="C224" t="s">
        <v>313</v>
      </c>
      <c r="D224" t="s">
        <v>314</v>
      </c>
      <c r="E224">
        <v>80818683</v>
      </c>
      <c r="F224" t="s">
        <v>315</v>
      </c>
      <c r="G224" s="3">
        <v>46861</v>
      </c>
      <c r="H224">
        <v>36</v>
      </c>
      <c r="I224">
        <v>62</v>
      </c>
      <c r="J224">
        <v>65</v>
      </c>
      <c r="K224" s="4">
        <v>2860</v>
      </c>
      <c r="L224" s="4">
        <v>3311.2857142857142</v>
      </c>
      <c r="M224" s="4">
        <v>1.9629837352776219E-2</v>
      </c>
      <c r="N224" t="s">
        <v>25</v>
      </c>
      <c r="O224" t="str">
        <f t="shared" si="30"/>
        <v>Low</v>
      </c>
      <c r="P224" t="str">
        <f t="shared" si="31"/>
        <v>Low</v>
      </c>
      <c r="Q224" t="str">
        <f t="shared" si="32"/>
        <v>Low</v>
      </c>
      <c r="R224" t="s">
        <v>3317</v>
      </c>
      <c r="S224" s="4">
        <f t="shared" ca="1" si="33"/>
        <v>664</v>
      </c>
      <c r="T224">
        <f t="shared" si="34"/>
        <v>1</v>
      </c>
      <c r="U224">
        <f t="shared" si="35"/>
        <v>1</v>
      </c>
      <c r="V224">
        <f t="shared" si="36"/>
        <v>1</v>
      </c>
      <c r="W224">
        <f t="shared" si="37"/>
        <v>1</v>
      </c>
      <c r="X224">
        <f t="shared" si="38"/>
        <v>0.99999999999999989</v>
      </c>
      <c r="Y224" t="str">
        <f t="shared" si="39"/>
        <v>Healthy</v>
      </c>
    </row>
    <row r="225" spans="1:25" x14ac:dyDescent="0.35">
      <c r="A225" t="s">
        <v>41</v>
      </c>
      <c r="B225" t="s">
        <v>54</v>
      </c>
      <c r="C225" t="s">
        <v>87</v>
      </c>
      <c r="D225" t="s">
        <v>316</v>
      </c>
      <c r="E225">
        <v>80839433</v>
      </c>
      <c r="F225" t="s">
        <v>317</v>
      </c>
      <c r="G225" s="3">
        <v>46728</v>
      </c>
      <c r="H225">
        <v>36</v>
      </c>
      <c r="I225">
        <v>50</v>
      </c>
      <c r="J225">
        <v>1</v>
      </c>
      <c r="K225" s="4">
        <v>913.69</v>
      </c>
      <c r="L225" s="4">
        <f>0</f>
        <v>0</v>
      </c>
      <c r="M225" s="4">
        <f>999</f>
        <v>999</v>
      </c>
      <c r="N225" t="s">
        <v>19</v>
      </c>
      <c r="O225" t="str">
        <f t="shared" si="30"/>
        <v>Low</v>
      </c>
      <c r="P225" t="str">
        <f t="shared" si="31"/>
        <v>High</v>
      </c>
      <c r="Q225" t="str">
        <f t="shared" si="32"/>
        <v>High</v>
      </c>
      <c r="R225" t="s">
        <v>3317</v>
      </c>
      <c r="S225" s="4">
        <f t="shared" ca="1" si="33"/>
        <v>531</v>
      </c>
      <c r="T225">
        <f t="shared" si="34"/>
        <v>1</v>
      </c>
      <c r="U225">
        <f t="shared" si="35"/>
        <v>3</v>
      </c>
      <c r="V225">
        <f t="shared" si="36"/>
        <v>3</v>
      </c>
      <c r="W225">
        <f t="shared" si="37"/>
        <v>1</v>
      </c>
      <c r="X225">
        <f t="shared" si="38"/>
        <v>2</v>
      </c>
      <c r="Y225" t="str">
        <f t="shared" si="39"/>
        <v>Monitor</v>
      </c>
    </row>
    <row r="226" spans="1:25" x14ac:dyDescent="0.35">
      <c r="A226" t="s">
        <v>20</v>
      </c>
      <c r="B226" t="s">
        <v>21</v>
      </c>
      <c r="C226" t="s">
        <v>313</v>
      </c>
      <c r="D226" t="s">
        <v>314</v>
      </c>
      <c r="E226">
        <v>80818683</v>
      </c>
      <c r="F226" t="s">
        <v>315</v>
      </c>
      <c r="G226" s="3">
        <v>46730</v>
      </c>
      <c r="H226">
        <v>36</v>
      </c>
      <c r="I226">
        <v>50</v>
      </c>
      <c r="J226">
        <v>52</v>
      </c>
      <c r="K226" s="4">
        <v>2288</v>
      </c>
      <c r="L226" s="4">
        <v>3311.2857142857142</v>
      </c>
      <c r="M226" s="4">
        <v>1.5703869882220976E-2</v>
      </c>
      <c r="N226" t="s">
        <v>25</v>
      </c>
      <c r="O226" t="str">
        <f t="shared" si="30"/>
        <v>Low</v>
      </c>
      <c r="P226" t="str">
        <f t="shared" si="31"/>
        <v>Low</v>
      </c>
      <c r="Q226" t="str">
        <f t="shared" si="32"/>
        <v>Low</v>
      </c>
      <c r="R226" t="s">
        <v>3317</v>
      </c>
      <c r="S226" s="4">
        <f t="shared" ca="1" si="33"/>
        <v>533</v>
      </c>
      <c r="T226">
        <f t="shared" si="34"/>
        <v>1</v>
      </c>
      <c r="U226">
        <f t="shared" si="35"/>
        <v>1</v>
      </c>
      <c r="V226">
        <f t="shared" si="36"/>
        <v>1</v>
      </c>
      <c r="W226">
        <f t="shared" si="37"/>
        <v>1</v>
      </c>
      <c r="X226">
        <f t="shared" si="38"/>
        <v>0.99999999999999989</v>
      </c>
      <c r="Y226" t="str">
        <f t="shared" si="39"/>
        <v>Healthy</v>
      </c>
    </row>
    <row r="227" spans="1:25" x14ac:dyDescent="0.35">
      <c r="A227" t="s">
        <v>41</v>
      </c>
      <c r="B227" t="s">
        <v>54</v>
      </c>
      <c r="C227" t="s">
        <v>87</v>
      </c>
      <c r="D227" t="s">
        <v>316</v>
      </c>
      <c r="E227">
        <v>80839433</v>
      </c>
      <c r="F227" t="s">
        <v>317</v>
      </c>
      <c r="G227" s="3">
        <v>46706</v>
      </c>
      <c r="H227">
        <v>36</v>
      </c>
      <c r="I227">
        <v>48</v>
      </c>
      <c r="J227">
        <v>3</v>
      </c>
      <c r="K227" s="4">
        <v>2741.07</v>
      </c>
      <c r="L227" s="4">
        <f>0</f>
        <v>0</v>
      </c>
      <c r="M227" s="4">
        <f>999</f>
        <v>999</v>
      </c>
      <c r="N227" t="s">
        <v>19</v>
      </c>
      <c r="O227" t="str">
        <f t="shared" si="30"/>
        <v>Low</v>
      </c>
      <c r="P227" t="str">
        <f t="shared" si="31"/>
        <v>High</v>
      </c>
      <c r="Q227" t="str">
        <f t="shared" si="32"/>
        <v>High</v>
      </c>
      <c r="R227" t="s">
        <v>3317</v>
      </c>
      <c r="S227" s="4">
        <f t="shared" ca="1" si="33"/>
        <v>509</v>
      </c>
      <c r="T227">
        <f t="shared" si="34"/>
        <v>1</v>
      </c>
      <c r="U227">
        <f t="shared" si="35"/>
        <v>3</v>
      </c>
      <c r="V227">
        <f t="shared" si="36"/>
        <v>3</v>
      </c>
      <c r="W227">
        <f t="shared" si="37"/>
        <v>1</v>
      </c>
      <c r="X227">
        <f t="shared" si="38"/>
        <v>2</v>
      </c>
      <c r="Y227" t="str">
        <f t="shared" si="39"/>
        <v>Monitor</v>
      </c>
    </row>
    <row r="228" spans="1:25" x14ac:dyDescent="0.35">
      <c r="A228" t="s">
        <v>20</v>
      </c>
      <c r="B228" t="s">
        <v>21</v>
      </c>
      <c r="C228" t="s">
        <v>313</v>
      </c>
      <c r="D228" t="s">
        <v>314</v>
      </c>
      <c r="E228">
        <v>80818683</v>
      </c>
      <c r="F228" t="s">
        <v>315</v>
      </c>
      <c r="G228" s="3">
        <v>46860</v>
      </c>
      <c r="H228">
        <v>36</v>
      </c>
      <c r="I228">
        <v>62</v>
      </c>
      <c r="J228">
        <v>96</v>
      </c>
      <c r="K228" s="4">
        <v>4224</v>
      </c>
      <c r="L228" s="4">
        <v>3311.2857142857142</v>
      </c>
      <c r="M228" s="4">
        <v>2.8991759782561802E-2</v>
      </c>
      <c r="N228" t="s">
        <v>25</v>
      </c>
      <c r="O228" t="str">
        <f t="shared" si="30"/>
        <v>Low</v>
      </c>
      <c r="P228" t="str">
        <f t="shared" si="31"/>
        <v>Low</v>
      </c>
      <c r="Q228" t="str">
        <f t="shared" si="32"/>
        <v>Low</v>
      </c>
      <c r="R228" t="s">
        <v>3317</v>
      </c>
      <c r="S228" s="4">
        <f t="shared" ca="1" si="33"/>
        <v>663</v>
      </c>
      <c r="T228">
        <f t="shared" si="34"/>
        <v>1</v>
      </c>
      <c r="U228">
        <f t="shared" si="35"/>
        <v>1</v>
      </c>
      <c r="V228">
        <f t="shared" si="36"/>
        <v>1</v>
      </c>
      <c r="W228">
        <f t="shared" si="37"/>
        <v>1</v>
      </c>
      <c r="X228">
        <f t="shared" si="38"/>
        <v>0.99999999999999989</v>
      </c>
      <c r="Y228" t="str">
        <f t="shared" si="39"/>
        <v>Healthy</v>
      </c>
    </row>
    <row r="229" spans="1:25" x14ac:dyDescent="0.35">
      <c r="A229" t="s">
        <v>41</v>
      </c>
      <c r="B229" t="s">
        <v>54</v>
      </c>
      <c r="C229" t="s">
        <v>87</v>
      </c>
      <c r="D229" t="s">
        <v>316</v>
      </c>
      <c r="E229">
        <v>80839433</v>
      </c>
      <c r="F229" t="s">
        <v>317</v>
      </c>
      <c r="G229" s="3">
        <v>46665</v>
      </c>
      <c r="H229">
        <v>36</v>
      </c>
      <c r="I229">
        <v>44</v>
      </c>
      <c r="J229">
        <v>9</v>
      </c>
      <c r="K229" s="4">
        <v>8223.2099999999991</v>
      </c>
      <c r="L229" s="4">
        <f>0</f>
        <v>0</v>
      </c>
      <c r="M229" s="4">
        <f>999</f>
        <v>999</v>
      </c>
      <c r="N229" t="s">
        <v>19</v>
      </c>
      <c r="O229" t="str">
        <f t="shared" si="30"/>
        <v>Low</v>
      </c>
      <c r="P229" t="str">
        <f t="shared" si="31"/>
        <v>High</v>
      </c>
      <c r="Q229" t="str">
        <f t="shared" si="32"/>
        <v>High</v>
      </c>
      <c r="R229" t="s">
        <v>3317</v>
      </c>
      <c r="S229" s="4">
        <f t="shared" ca="1" si="33"/>
        <v>468</v>
      </c>
      <c r="T229">
        <f t="shared" si="34"/>
        <v>1</v>
      </c>
      <c r="U229">
        <f t="shared" si="35"/>
        <v>3</v>
      </c>
      <c r="V229">
        <f t="shared" si="36"/>
        <v>3</v>
      </c>
      <c r="W229">
        <f t="shared" si="37"/>
        <v>1</v>
      </c>
      <c r="X229">
        <f t="shared" si="38"/>
        <v>2</v>
      </c>
      <c r="Y229" t="str">
        <f t="shared" si="39"/>
        <v>Monitor</v>
      </c>
    </row>
    <row r="230" spans="1:25" x14ac:dyDescent="0.35">
      <c r="A230" t="s">
        <v>20</v>
      </c>
      <c r="B230" t="s">
        <v>21</v>
      </c>
      <c r="C230" t="s">
        <v>313</v>
      </c>
      <c r="D230" t="s">
        <v>314</v>
      </c>
      <c r="E230">
        <v>80818683</v>
      </c>
      <c r="F230" t="s">
        <v>315</v>
      </c>
      <c r="G230" s="3">
        <v>46893</v>
      </c>
      <c r="H230">
        <v>36</v>
      </c>
      <c r="I230">
        <v>65</v>
      </c>
      <c r="J230">
        <v>131</v>
      </c>
      <c r="K230" s="4">
        <v>5764</v>
      </c>
      <c r="L230" s="4">
        <v>3311.2857142857142</v>
      </c>
      <c r="M230" s="4">
        <v>3.9561672203287462E-2</v>
      </c>
      <c r="N230" t="s">
        <v>25</v>
      </c>
      <c r="O230" t="str">
        <f t="shared" si="30"/>
        <v>Low</v>
      </c>
      <c r="P230" t="str">
        <f t="shared" si="31"/>
        <v>Low</v>
      </c>
      <c r="Q230" t="str">
        <f t="shared" si="32"/>
        <v>Low</v>
      </c>
      <c r="R230" t="s">
        <v>3317</v>
      </c>
      <c r="S230" s="4">
        <f t="shared" ca="1" si="33"/>
        <v>696</v>
      </c>
      <c r="T230">
        <f t="shared" si="34"/>
        <v>1</v>
      </c>
      <c r="U230">
        <f t="shared" si="35"/>
        <v>1</v>
      </c>
      <c r="V230">
        <f t="shared" si="36"/>
        <v>1</v>
      </c>
      <c r="W230">
        <f t="shared" si="37"/>
        <v>1</v>
      </c>
      <c r="X230">
        <f t="shared" si="38"/>
        <v>0.99999999999999989</v>
      </c>
      <c r="Y230" t="str">
        <f t="shared" si="39"/>
        <v>Healthy</v>
      </c>
    </row>
    <row r="231" spans="1:25" x14ac:dyDescent="0.35">
      <c r="A231" t="s">
        <v>14</v>
      </c>
      <c r="B231" t="s">
        <v>115</v>
      </c>
      <c r="C231" t="s">
        <v>116</v>
      </c>
      <c r="D231" t="s">
        <v>318</v>
      </c>
      <c r="E231">
        <v>80820219</v>
      </c>
      <c r="F231" t="s">
        <v>319</v>
      </c>
      <c r="G231" s="3">
        <v>47696</v>
      </c>
      <c r="H231">
        <v>60</v>
      </c>
      <c r="I231">
        <v>84</v>
      </c>
      <c r="J231">
        <v>5</v>
      </c>
      <c r="K231" s="4">
        <v>432.35</v>
      </c>
      <c r="L231" s="4">
        <v>0.8571428571428571</v>
      </c>
      <c r="M231" s="4">
        <v>5.8333333333333339</v>
      </c>
      <c r="N231" t="s">
        <v>25</v>
      </c>
      <c r="O231" t="str">
        <f t="shared" si="30"/>
        <v>Low</v>
      </c>
      <c r="P231" t="str">
        <f t="shared" si="31"/>
        <v>Medium</v>
      </c>
      <c r="Q231" t="str">
        <f t="shared" si="32"/>
        <v>High</v>
      </c>
      <c r="R231" t="s">
        <v>3317</v>
      </c>
      <c r="S231" s="4">
        <f t="shared" ca="1" si="33"/>
        <v>1499</v>
      </c>
      <c r="T231">
        <f t="shared" si="34"/>
        <v>1</v>
      </c>
      <c r="U231">
        <f t="shared" si="35"/>
        <v>2</v>
      </c>
      <c r="V231">
        <f t="shared" si="36"/>
        <v>3</v>
      </c>
      <c r="W231">
        <f t="shared" si="37"/>
        <v>1</v>
      </c>
      <c r="X231">
        <f t="shared" si="38"/>
        <v>1.7000000000000002</v>
      </c>
      <c r="Y231" t="str">
        <f t="shared" si="39"/>
        <v>Monitor</v>
      </c>
    </row>
    <row r="232" spans="1:25" x14ac:dyDescent="0.35">
      <c r="A232" t="s">
        <v>20</v>
      </c>
      <c r="B232" t="s">
        <v>21</v>
      </c>
      <c r="C232" t="s">
        <v>313</v>
      </c>
      <c r="D232" t="s">
        <v>314</v>
      </c>
      <c r="E232">
        <v>80818683</v>
      </c>
      <c r="F232" t="s">
        <v>315</v>
      </c>
      <c r="G232" s="3">
        <v>46906</v>
      </c>
      <c r="H232">
        <v>36</v>
      </c>
      <c r="I232">
        <v>66</v>
      </c>
      <c r="J232">
        <v>118</v>
      </c>
      <c r="K232" s="4">
        <v>5192</v>
      </c>
      <c r="L232" s="4">
        <v>3311.2857142857142</v>
      </c>
      <c r="M232" s="4">
        <v>3.5635704732732212E-2</v>
      </c>
      <c r="N232" t="s">
        <v>25</v>
      </c>
      <c r="O232" t="str">
        <f t="shared" si="30"/>
        <v>Low</v>
      </c>
      <c r="P232" t="str">
        <f t="shared" si="31"/>
        <v>Low</v>
      </c>
      <c r="Q232" t="str">
        <f t="shared" si="32"/>
        <v>Low</v>
      </c>
      <c r="R232" t="s">
        <v>3317</v>
      </c>
      <c r="S232" s="4">
        <f t="shared" ca="1" si="33"/>
        <v>709</v>
      </c>
      <c r="T232">
        <f t="shared" si="34"/>
        <v>1</v>
      </c>
      <c r="U232">
        <f t="shared" si="35"/>
        <v>1</v>
      </c>
      <c r="V232">
        <f t="shared" si="36"/>
        <v>1</v>
      </c>
      <c r="W232">
        <f t="shared" si="37"/>
        <v>1</v>
      </c>
      <c r="X232">
        <f t="shared" si="38"/>
        <v>0.99999999999999989</v>
      </c>
      <c r="Y232" t="str">
        <f t="shared" si="39"/>
        <v>Healthy</v>
      </c>
    </row>
    <row r="233" spans="1:25" x14ac:dyDescent="0.35">
      <c r="A233" t="s">
        <v>20</v>
      </c>
      <c r="B233" t="s">
        <v>21</v>
      </c>
      <c r="C233" t="s">
        <v>313</v>
      </c>
      <c r="D233" t="s">
        <v>314</v>
      </c>
      <c r="E233">
        <v>80818683</v>
      </c>
      <c r="F233" t="s">
        <v>315</v>
      </c>
      <c r="G233" s="3">
        <v>46654</v>
      </c>
      <c r="H233">
        <v>36</v>
      </c>
      <c r="I233">
        <v>43</v>
      </c>
      <c r="J233">
        <v>53</v>
      </c>
      <c r="K233" s="4">
        <v>2332</v>
      </c>
      <c r="L233" s="4">
        <v>3311.2857142857142</v>
      </c>
      <c r="M233" s="4">
        <v>1.6005867379955994E-2</v>
      </c>
      <c r="N233" t="s">
        <v>25</v>
      </c>
      <c r="O233" t="str">
        <f t="shared" si="30"/>
        <v>Low</v>
      </c>
      <c r="P233" t="str">
        <f t="shared" si="31"/>
        <v>Low</v>
      </c>
      <c r="Q233" t="str">
        <f t="shared" si="32"/>
        <v>Low</v>
      </c>
      <c r="R233" t="s">
        <v>3317</v>
      </c>
      <c r="S233" s="4">
        <f t="shared" ca="1" si="33"/>
        <v>457</v>
      </c>
      <c r="T233">
        <f t="shared" si="34"/>
        <v>1</v>
      </c>
      <c r="U233">
        <f t="shared" si="35"/>
        <v>1</v>
      </c>
      <c r="V233">
        <f t="shared" si="36"/>
        <v>1</v>
      </c>
      <c r="W233">
        <f t="shared" si="37"/>
        <v>1</v>
      </c>
      <c r="X233">
        <f t="shared" si="38"/>
        <v>0.99999999999999989</v>
      </c>
      <c r="Y233" t="str">
        <f t="shared" si="39"/>
        <v>Healthy</v>
      </c>
    </row>
    <row r="234" spans="1:25" x14ac:dyDescent="0.35">
      <c r="A234" t="s">
        <v>20</v>
      </c>
      <c r="B234" t="s">
        <v>21</v>
      </c>
      <c r="C234" t="s">
        <v>313</v>
      </c>
      <c r="D234" t="s">
        <v>314</v>
      </c>
      <c r="E234">
        <v>80818683</v>
      </c>
      <c r="F234" t="s">
        <v>315</v>
      </c>
      <c r="G234" s="3">
        <v>46956</v>
      </c>
      <c r="H234">
        <v>36</v>
      </c>
      <c r="I234">
        <v>71</v>
      </c>
      <c r="J234">
        <v>124</v>
      </c>
      <c r="K234" s="4">
        <v>5456</v>
      </c>
      <c r="L234" s="4">
        <v>3311.2857142857142</v>
      </c>
      <c r="M234" s="4">
        <v>3.7447689719142328E-2</v>
      </c>
      <c r="N234" t="s">
        <v>25</v>
      </c>
      <c r="O234" t="str">
        <f t="shared" si="30"/>
        <v>Low</v>
      </c>
      <c r="P234" t="str">
        <f t="shared" si="31"/>
        <v>Low</v>
      </c>
      <c r="Q234" t="str">
        <f t="shared" si="32"/>
        <v>Low</v>
      </c>
      <c r="R234" t="s">
        <v>3317</v>
      </c>
      <c r="S234" s="4">
        <f t="shared" ca="1" si="33"/>
        <v>759</v>
      </c>
      <c r="T234">
        <f t="shared" si="34"/>
        <v>1</v>
      </c>
      <c r="U234">
        <f t="shared" si="35"/>
        <v>1</v>
      </c>
      <c r="V234">
        <f t="shared" si="36"/>
        <v>1</v>
      </c>
      <c r="W234">
        <f t="shared" si="37"/>
        <v>1</v>
      </c>
      <c r="X234">
        <f t="shared" si="38"/>
        <v>0.99999999999999989</v>
      </c>
      <c r="Y234" t="str">
        <f t="shared" si="39"/>
        <v>Healthy</v>
      </c>
    </row>
    <row r="235" spans="1:25" x14ac:dyDescent="0.35">
      <c r="A235" t="s">
        <v>20</v>
      </c>
      <c r="B235" t="s">
        <v>21</v>
      </c>
      <c r="C235" t="s">
        <v>313</v>
      </c>
      <c r="D235" t="s">
        <v>314</v>
      </c>
      <c r="E235">
        <v>80818683</v>
      </c>
      <c r="F235" t="s">
        <v>315</v>
      </c>
      <c r="G235" s="3">
        <v>46919</v>
      </c>
      <c r="H235">
        <v>36</v>
      </c>
      <c r="I235">
        <v>67</v>
      </c>
      <c r="J235">
        <v>141</v>
      </c>
      <c r="K235" s="4">
        <v>6204</v>
      </c>
      <c r="L235" s="4">
        <v>3311.2857142857142</v>
      </c>
      <c r="M235" s="4">
        <v>4.2581647180637644E-2</v>
      </c>
      <c r="N235" t="s">
        <v>25</v>
      </c>
      <c r="O235" t="str">
        <f t="shared" si="30"/>
        <v>Low</v>
      </c>
      <c r="P235" t="str">
        <f t="shared" si="31"/>
        <v>Low</v>
      </c>
      <c r="Q235" t="str">
        <f t="shared" si="32"/>
        <v>Low</v>
      </c>
      <c r="R235" t="s">
        <v>3317</v>
      </c>
      <c r="S235" s="4">
        <f t="shared" ca="1" si="33"/>
        <v>722</v>
      </c>
      <c r="T235">
        <f t="shared" si="34"/>
        <v>1</v>
      </c>
      <c r="U235">
        <f t="shared" si="35"/>
        <v>1</v>
      </c>
      <c r="V235">
        <f t="shared" si="36"/>
        <v>1</v>
      </c>
      <c r="W235">
        <f t="shared" si="37"/>
        <v>1</v>
      </c>
      <c r="X235">
        <f t="shared" si="38"/>
        <v>0.99999999999999989</v>
      </c>
      <c r="Y235" t="str">
        <f t="shared" si="39"/>
        <v>Healthy</v>
      </c>
    </row>
    <row r="236" spans="1:25" x14ac:dyDescent="0.35">
      <c r="A236" t="s">
        <v>71</v>
      </c>
      <c r="B236" t="s">
        <v>72</v>
      </c>
      <c r="C236" t="s">
        <v>320</v>
      </c>
      <c r="D236" t="s">
        <v>321</v>
      </c>
      <c r="E236">
        <v>80831612</v>
      </c>
      <c r="F236" t="s">
        <v>322</v>
      </c>
      <c r="G236" s="3">
        <v>46705</v>
      </c>
      <c r="H236">
        <v>36</v>
      </c>
      <c r="I236">
        <v>48</v>
      </c>
      <c r="J236">
        <v>767</v>
      </c>
      <c r="K236" s="4">
        <v>7363.2</v>
      </c>
      <c r="L236" s="4">
        <v>5974.4285714285716</v>
      </c>
      <c r="M236" s="4">
        <v>0.12838047870686975</v>
      </c>
      <c r="N236" t="s">
        <v>25</v>
      </c>
      <c r="O236" t="str">
        <f t="shared" si="30"/>
        <v>Low</v>
      </c>
      <c r="P236" t="str">
        <f t="shared" si="31"/>
        <v>Low</v>
      </c>
      <c r="Q236" t="str">
        <f t="shared" si="32"/>
        <v>Low</v>
      </c>
      <c r="R236" t="s">
        <v>3317</v>
      </c>
      <c r="S236" s="4">
        <f t="shared" ca="1" si="33"/>
        <v>508</v>
      </c>
      <c r="T236">
        <f t="shared" si="34"/>
        <v>1</v>
      </c>
      <c r="U236">
        <f t="shared" si="35"/>
        <v>1</v>
      </c>
      <c r="V236">
        <f t="shared" si="36"/>
        <v>1</v>
      </c>
      <c r="W236">
        <f t="shared" si="37"/>
        <v>1</v>
      </c>
      <c r="X236">
        <f t="shared" si="38"/>
        <v>0.99999999999999989</v>
      </c>
      <c r="Y236" t="str">
        <f t="shared" si="39"/>
        <v>Healthy</v>
      </c>
    </row>
    <row r="237" spans="1:25" x14ac:dyDescent="0.35">
      <c r="A237" t="s">
        <v>20</v>
      </c>
      <c r="B237" t="s">
        <v>21</v>
      </c>
      <c r="C237" t="s">
        <v>313</v>
      </c>
      <c r="D237" t="s">
        <v>314</v>
      </c>
      <c r="E237">
        <v>80818683</v>
      </c>
      <c r="F237" t="s">
        <v>315</v>
      </c>
      <c r="G237" s="3">
        <v>46646</v>
      </c>
      <c r="H237">
        <v>36</v>
      </c>
      <c r="I237">
        <v>42</v>
      </c>
      <c r="J237">
        <v>105</v>
      </c>
      <c r="K237" s="4">
        <v>4620</v>
      </c>
      <c r="L237" s="4">
        <v>3311.2857142857142</v>
      </c>
      <c r="M237" s="4">
        <v>3.1709737262176969E-2</v>
      </c>
      <c r="N237" t="s">
        <v>25</v>
      </c>
      <c r="O237" t="str">
        <f t="shared" si="30"/>
        <v>Low</v>
      </c>
      <c r="P237" t="str">
        <f t="shared" si="31"/>
        <v>Low</v>
      </c>
      <c r="Q237" t="str">
        <f t="shared" si="32"/>
        <v>Low</v>
      </c>
      <c r="R237" t="s">
        <v>3317</v>
      </c>
      <c r="S237" s="4">
        <f t="shared" ca="1" si="33"/>
        <v>449</v>
      </c>
      <c r="T237">
        <f t="shared" si="34"/>
        <v>1</v>
      </c>
      <c r="U237">
        <f t="shared" si="35"/>
        <v>1</v>
      </c>
      <c r="V237">
        <f t="shared" si="36"/>
        <v>1</v>
      </c>
      <c r="W237">
        <f t="shared" si="37"/>
        <v>1</v>
      </c>
      <c r="X237">
        <f t="shared" si="38"/>
        <v>0.99999999999999989</v>
      </c>
      <c r="Y237" t="str">
        <f t="shared" si="39"/>
        <v>Healthy</v>
      </c>
    </row>
    <row r="238" spans="1:25" x14ac:dyDescent="0.35">
      <c r="A238" t="s">
        <v>71</v>
      </c>
      <c r="B238" t="s">
        <v>72</v>
      </c>
      <c r="C238" t="s">
        <v>320</v>
      </c>
      <c r="D238" t="s">
        <v>321</v>
      </c>
      <c r="E238">
        <v>80831612</v>
      </c>
      <c r="F238" t="s">
        <v>322</v>
      </c>
      <c r="G238" s="3">
        <v>46707</v>
      </c>
      <c r="H238">
        <v>36</v>
      </c>
      <c r="I238">
        <v>48</v>
      </c>
      <c r="J238">
        <v>50585</v>
      </c>
      <c r="K238" s="4">
        <v>485616</v>
      </c>
      <c r="L238" s="4">
        <v>5974.4285714285716</v>
      </c>
      <c r="M238" s="4">
        <v>8.4669185337509862</v>
      </c>
      <c r="N238" t="s">
        <v>19</v>
      </c>
      <c r="O238" t="str">
        <f t="shared" si="30"/>
        <v>Low</v>
      </c>
      <c r="P238" t="str">
        <f t="shared" si="31"/>
        <v>High</v>
      </c>
      <c r="Q238" t="str">
        <f t="shared" si="32"/>
        <v>Low</v>
      </c>
      <c r="R238" t="s">
        <v>3309</v>
      </c>
      <c r="S238" s="4">
        <f t="shared" ca="1" si="33"/>
        <v>510</v>
      </c>
      <c r="T238">
        <f t="shared" si="34"/>
        <v>1</v>
      </c>
      <c r="U238">
        <f t="shared" si="35"/>
        <v>3</v>
      </c>
      <c r="V238">
        <f t="shared" si="36"/>
        <v>1</v>
      </c>
      <c r="W238">
        <f t="shared" si="37"/>
        <v>3</v>
      </c>
      <c r="X238">
        <f t="shared" si="38"/>
        <v>1.7999999999999998</v>
      </c>
      <c r="Y238" t="str">
        <f t="shared" si="39"/>
        <v>Monitor</v>
      </c>
    </row>
    <row r="239" spans="1:25" x14ac:dyDescent="0.35">
      <c r="A239" t="s">
        <v>20</v>
      </c>
      <c r="B239" t="s">
        <v>21</v>
      </c>
      <c r="C239" t="s">
        <v>313</v>
      </c>
      <c r="D239" t="s">
        <v>314</v>
      </c>
      <c r="E239">
        <v>80818683</v>
      </c>
      <c r="F239" t="s">
        <v>315</v>
      </c>
      <c r="G239" s="3">
        <v>46944</v>
      </c>
      <c r="H239">
        <v>36</v>
      </c>
      <c r="I239">
        <v>70</v>
      </c>
      <c r="J239">
        <v>147</v>
      </c>
      <c r="K239" s="4">
        <v>6468</v>
      </c>
      <c r="L239" s="4">
        <v>3311.2857142857142</v>
      </c>
      <c r="M239" s="4">
        <v>4.439363216704776E-2</v>
      </c>
      <c r="N239" t="s">
        <v>25</v>
      </c>
      <c r="O239" t="str">
        <f t="shared" si="30"/>
        <v>Low</v>
      </c>
      <c r="P239" t="str">
        <f t="shared" si="31"/>
        <v>Low</v>
      </c>
      <c r="Q239" t="str">
        <f t="shared" si="32"/>
        <v>Low</v>
      </c>
      <c r="R239" t="s">
        <v>3317</v>
      </c>
      <c r="S239" s="4">
        <f t="shared" ca="1" si="33"/>
        <v>747</v>
      </c>
      <c r="T239">
        <f t="shared" si="34"/>
        <v>1</v>
      </c>
      <c r="U239">
        <f t="shared" si="35"/>
        <v>1</v>
      </c>
      <c r="V239">
        <f t="shared" si="36"/>
        <v>1</v>
      </c>
      <c r="W239">
        <f t="shared" si="37"/>
        <v>1</v>
      </c>
      <c r="X239">
        <f t="shared" si="38"/>
        <v>0.99999999999999989</v>
      </c>
      <c r="Y239" t="str">
        <f t="shared" si="39"/>
        <v>Healthy</v>
      </c>
    </row>
    <row r="240" spans="1:25" x14ac:dyDescent="0.35">
      <c r="A240" t="s">
        <v>71</v>
      </c>
      <c r="B240" t="s">
        <v>72</v>
      </c>
      <c r="C240" t="s">
        <v>320</v>
      </c>
      <c r="D240" t="s">
        <v>321</v>
      </c>
      <c r="E240">
        <v>80831612</v>
      </c>
      <c r="F240" t="s">
        <v>322</v>
      </c>
      <c r="G240" s="3">
        <v>47026</v>
      </c>
      <c r="H240">
        <v>36</v>
      </c>
      <c r="I240">
        <v>77</v>
      </c>
      <c r="J240">
        <v>240</v>
      </c>
      <c r="K240" s="4">
        <v>2304</v>
      </c>
      <c r="L240" s="4">
        <v>5974.4285714285716</v>
      </c>
      <c r="M240" s="4">
        <v>4.017120585351857E-2</v>
      </c>
      <c r="N240" t="s">
        <v>25</v>
      </c>
      <c r="O240" t="str">
        <f t="shared" si="30"/>
        <v>Low</v>
      </c>
      <c r="P240" t="str">
        <f t="shared" si="31"/>
        <v>Low</v>
      </c>
      <c r="Q240" t="str">
        <f t="shared" si="32"/>
        <v>Low</v>
      </c>
      <c r="R240" t="s">
        <v>3317</v>
      </c>
      <c r="S240" s="4">
        <f t="shared" ca="1" si="33"/>
        <v>829</v>
      </c>
      <c r="T240">
        <f t="shared" si="34"/>
        <v>1</v>
      </c>
      <c r="U240">
        <f t="shared" si="35"/>
        <v>1</v>
      </c>
      <c r="V240">
        <f t="shared" si="36"/>
        <v>1</v>
      </c>
      <c r="W240">
        <f t="shared" si="37"/>
        <v>1</v>
      </c>
      <c r="X240">
        <f t="shared" si="38"/>
        <v>0.99999999999999989</v>
      </c>
      <c r="Y240" t="str">
        <f t="shared" si="39"/>
        <v>Healthy</v>
      </c>
    </row>
    <row r="241" spans="1:25" x14ac:dyDescent="0.35">
      <c r="A241" t="s">
        <v>20</v>
      </c>
      <c r="B241" t="s">
        <v>21</v>
      </c>
      <c r="C241" t="s">
        <v>313</v>
      </c>
      <c r="D241" t="s">
        <v>314</v>
      </c>
      <c r="E241">
        <v>80818683</v>
      </c>
      <c r="F241" t="s">
        <v>315</v>
      </c>
      <c r="G241" s="3">
        <v>46965</v>
      </c>
      <c r="H241">
        <v>36</v>
      </c>
      <c r="I241">
        <v>72</v>
      </c>
      <c r="J241">
        <v>120</v>
      </c>
      <c r="K241" s="4">
        <v>5280</v>
      </c>
      <c r="L241" s="4">
        <v>3311.2857142857142</v>
      </c>
      <c r="M241" s="4">
        <v>3.6239699728202256E-2</v>
      </c>
      <c r="N241" t="s">
        <v>25</v>
      </c>
      <c r="O241" t="str">
        <f t="shared" si="30"/>
        <v>Low</v>
      </c>
      <c r="P241" t="str">
        <f t="shared" si="31"/>
        <v>Low</v>
      </c>
      <c r="Q241" t="str">
        <f t="shared" si="32"/>
        <v>Low</v>
      </c>
      <c r="R241" t="s">
        <v>3317</v>
      </c>
      <c r="S241" s="4">
        <f t="shared" ca="1" si="33"/>
        <v>768</v>
      </c>
      <c r="T241">
        <f t="shared" si="34"/>
        <v>1</v>
      </c>
      <c r="U241">
        <f t="shared" si="35"/>
        <v>1</v>
      </c>
      <c r="V241">
        <f t="shared" si="36"/>
        <v>1</v>
      </c>
      <c r="W241">
        <f t="shared" si="37"/>
        <v>1</v>
      </c>
      <c r="X241">
        <f t="shared" si="38"/>
        <v>0.99999999999999989</v>
      </c>
      <c r="Y241" t="str">
        <f t="shared" si="39"/>
        <v>Healthy</v>
      </c>
    </row>
    <row r="242" spans="1:25" x14ac:dyDescent="0.35">
      <c r="A242" t="s">
        <v>20</v>
      </c>
      <c r="B242" t="s">
        <v>21</v>
      </c>
      <c r="C242" t="s">
        <v>313</v>
      </c>
      <c r="D242" t="s">
        <v>314</v>
      </c>
      <c r="E242">
        <v>80818683</v>
      </c>
      <c r="F242" t="s">
        <v>315</v>
      </c>
      <c r="G242" s="3">
        <v>46573</v>
      </c>
      <c r="H242">
        <v>36</v>
      </c>
      <c r="I242">
        <v>35</v>
      </c>
      <c r="J242">
        <v>28</v>
      </c>
      <c r="K242" s="4">
        <v>1232</v>
      </c>
      <c r="L242" s="4">
        <v>3311.2857142857142</v>
      </c>
      <c r="M242" s="4">
        <v>8.4559299365805259E-3</v>
      </c>
      <c r="N242" t="s">
        <v>25</v>
      </c>
      <c r="O242" t="str">
        <f t="shared" si="30"/>
        <v>Medium</v>
      </c>
      <c r="P242" t="str">
        <f t="shared" si="31"/>
        <v>Low</v>
      </c>
      <c r="Q242" t="str">
        <f t="shared" si="32"/>
        <v>Low</v>
      </c>
      <c r="R242" t="s">
        <v>3317</v>
      </c>
      <c r="S242" s="4">
        <f t="shared" ca="1" si="33"/>
        <v>376</v>
      </c>
      <c r="T242">
        <f t="shared" si="34"/>
        <v>2</v>
      </c>
      <c r="U242">
        <f t="shared" si="35"/>
        <v>1</v>
      </c>
      <c r="V242">
        <f t="shared" si="36"/>
        <v>1</v>
      </c>
      <c r="W242">
        <f t="shared" si="37"/>
        <v>1</v>
      </c>
      <c r="X242">
        <f t="shared" si="38"/>
        <v>1.4000000000000001</v>
      </c>
      <c r="Y242" t="str">
        <f t="shared" si="39"/>
        <v>Healthy</v>
      </c>
    </row>
    <row r="243" spans="1:25" x14ac:dyDescent="0.35">
      <c r="A243" t="s">
        <v>71</v>
      </c>
      <c r="B243" t="s">
        <v>72</v>
      </c>
      <c r="C243" t="s">
        <v>320</v>
      </c>
      <c r="D243" t="s">
        <v>321</v>
      </c>
      <c r="E243">
        <v>80831612</v>
      </c>
      <c r="F243" t="s">
        <v>322</v>
      </c>
      <c r="G243" s="3">
        <v>46702</v>
      </c>
      <c r="H243">
        <v>36</v>
      </c>
      <c r="I243">
        <v>47</v>
      </c>
      <c r="J243">
        <v>50479</v>
      </c>
      <c r="K243" s="4">
        <v>484598.4</v>
      </c>
      <c r="L243" s="4">
        <v>5974.4285714285716</v>
      </c>
      <c r="M243" s="4">
        <v>8.4491762511656816</v>
      </c>
      <c r="N243" t="s">
        <v>19</v>
      </c>
      <c r="O243" t="str">
        <f t="shared" si="30"/>
        <v>Low</v>
      </c>
      <c r="P243" t="str">
        <f t="shared" si="31"/>
        <v>High</v>
      </c>
      <c r="Q243" t="str">
        <f t="shared" si="32"/>
        <v>Low</v>
      </c>
      <c r="R243" t="s">
        <v>3309</v>
      </c>
      <c r="S243" s="4">
        <f t="shared" ca="1" si="33"/>
        <v>505</v>
      </c>
      <c r="T243">
        <f t="shared" si="34"/>
        <v>1</v>
      </c>
      <c r="U243">
        <f t="shared" si="35"/>
        <v>3</v>
      </c>
      <c r="V243">
        <f t="shared" si="36"/>
        <v>1</v>
      </c>
      <c r="W243">
        <f t="shared" si="37"/>
        <v>3</v>
      </c>
      <c r="X243">
        <f t="shared" si="38"/>
        <v>1.7999999999999998</v>
      </c>
      <c r="Y243" t="str">
        <f t="shared" si="39"/>
        <v>Monitor</v>
      </c>
    </row>
    <row r="244" spans="1:25" x14ac:dyDescent="0.35">
      <c r="A244" t="s">
        <v>20</v>
      </c>
      <c r="B244" t="s">
        <v>21</v>
      </c>
      <c r="C244" t="s">
        <v>313</v>
      </c>
      <c r="D244" t="s">
        <v>314</v>
      </c>
      <c r="E244">
        <v>80818683</v>
      </c>
      <c r="F244" t="s">
        <v>315</v>
      </c>
      <c r="G244" s="3">
        <v>46964</v>
      </c>
      <c r="H244">
        <v>36</v>
      </c>
      <c r="I244">
        <v>71</v>
      </c>
      <c r="J244">
        <v>63</v>
      </c>
      <c r="K244" s="4">
        <v>2772</v>
      </c>
      <c r="L244" s="4">
        <v>3311.2857142857142</v>
      </c>
      <c r="M244" s="4">
        <v>1.9025842357306182E-2</v>
      </c>
      <c r="N244" t="s">
        <v>25</v>
      </c>
      <c r="O244" t="str">
        <f t="shared" si="30"/>
        <v>Low</v>
      </c>
      <c r="P244" t="str">
        <f t="shared" si="31"/>
        <v>Low</v>
      </c>
      <c r="Q244" t="str">
        <f t="shared" si="32"/>
        <v>Low</v>
      </c>
      <c r="R244" t="s">
        <v>3317</v>
      </c>
      <c r="S244" s="4">
        <f t="shared" ca="1" si="33"/>
        <v>767</v>
      </c>
      <c r="T244">
        <f t="shared" si="34"/>
        <v>1</v>
      </c>
      <c r="U244">
        <f t="shared" si="35"/>
        <v>1</v>
      </c>
      <c r="V244">
        <f t="shared" si="36"/>
        <v>1</v>
      </c>
      <c r="W244">
        <f t="shared" si="37"/>
        <v>1</v>
      </c>
      <c r="X244">
        <f t="shared" si="38"/>
        <v>0.99999999999999989</v>
      </c>
      <c r="Y244" t="str">
        <f t="shared" si="39"/>
        <v>Healthy</v>
      </c>
    </row>
    <row r="245" spans="1:25" x14ac:dyDescent="0.35">
      <c r="A245" t="s">
        <v>71</v>
      </c>
      <c r="B245" t="s">
        <v>72</v>
      </c>
      <c r="C245" t="s">
        <v>320</v>
      </c>
      <c r="D245" t="s">
        <v>321</v>
      </c>
      <c r="E245">
        <v>80831612</v>
      </c>
      <c r="F245" t="s">
        <v>322</v>
      </c>
      <c r="G245" s="3">
        <v>46700</v>
      </c>
      <c r="H245">
        <v>36</v>
      </c>
      <c r="I245">
        <v>47</v>
      </c>
      <c r="J245">
        <v>39318</v>
      </c>
      <c r="K245" s="4">
        <v>377452.79999999999</v>
      </c>
      <c r="L245" s="4">
        <v>5974.4285714285716</v>
      </c>
      <c r="M245" s="4">
        <v>6.581047798952679</v>
      </c>
      <c r="N245" t="s">
        <v>19</v>
      </c>
      <c r="O245" t="str">
        <f t="shared" si="30"/>
        <v>Low</v>
      </c>
      <c r="P245" t="str">
        <f t="shared" si="31"/>
        <v>Medium</v>
      </c>
      <c r="Q245" t="str">
        <f t="shared" si="32"/>
        <v>Low</v>
      </c>
      <c r="R245" t="s">
        <v>3309</v>
      </c>
      <c r="S245" s="4">
        <f t="shared" ca="1" si="33"/>
        <v>503</v>
      </c>
      <c r="T245">
        <f t="shared" si="34"/>
        <v>1</v>
      </c>
      <c r="U245">
        <f t="shared" si="35"/>
        <v>2</v>
      </c>
      <c r="V245">
        <f t="shared" si="36"/>
        <v>1</v>
      </c>
      <c r="W245">
        <f t="shared" si="37"/>
        <v>3</v>
      </c>
      <c r="X245">
        <f t="shared" si="38"/>
        <v>1.5</v>
      </c>
      <c r="Y245" t="str">
        <f t="shared" si="39"/>
        <v>Healthy</v>
      </c>
    </row>
    <row r="246" spans="1:25" x14ac:dyDescent="0.35">
      <c r="A246" t="s">
        <v>104</v>
      </c>
      <c r="B246" t="s">
        <v>105</v>
      </c>
      <c r="C246" t="s">
        <v>279</v>
      </c>
      <c r="D246" t="s">
        <v>323</v>
      </c>
      <c r="E246">
        <v>80780345</v>
      </c>
      <c r="F246" t="s">
        <v>324</v>
      </c>
      <c r="G246" s="3">
        <v>46192</v>
      </c>
      <c r="H246">
        <v>24</v>
      </c>
      <c r="I246">
        <v>0</v>
      </c>
      <c r="J246">
        <v>1</v>
      </c>
      <c r="K246" s="4">
        <v>239.19</v>
      </c>
      <c r="L246" s="4">
        <v>448.14285714285717</v>
      </c>
      <c r="M246" s="4">
        <v>2.231431303793433E-3</v>
      </c>
      <c r="N246" t="s">
        <v>25</v>
      </c>
      <c r="O246" t="str">
        <f t="shared" si="30"/>
        <v>High</v>
      </c>
      <c r="P246" t="str">
        <f t="shared" si="31"/>
        <v>Low</v>
      </c>
      <c r="Q246" t="str">
        <f t="shared" si="32"/>
        <v>Low</v>
      </c>
      <c r="R246" t="s">
        <v>3317</v>
      </c>
      <c r="S246" s="4">
        <f t="shared" ca="1" si="33"/>
        <v>-5</v>
      </c>
      <c r="T246">
        <f t="shared" si="34"/>
        <v>3</v>
      </c>
      <c r="U246">
        <f t="shared" si="35"/>
        <v>1</v>
      </c>
      <c r="V246">
        <f t="shared" si="36"/>
        <v>1</v>
      </c>
      <c r="W246">
        <f t="shared" si="37"/>
        <v>1</v>
      </c>
      <c r="X246">
        <f t="shared" si="38"/>
        <v>1.8000000000000003</v>
      </c>
      <c r="Y246" t="str">
        <f t="shared" si="39"/>
        <v>Monitor</v>
      </c>
    </row>
    <row r="247" spans="1:25" x14ac:dyDescent="0.35">
      <c r="A247" t="s">
        <v>71</v>
      </c>
      <c r="B247" t="s">
        <v>72</v>
      </c>
      <c r="C247" t="s">
        <v>320</v>
      </c>
      <c r="D247" t="s">
        <v>321</v>
      </c>
      <c r="E247">
        <v>80831612</v>
      </c>
      <c r="F247" t="s">
        <v>322</v>
      </c>
      <c r="G247" s="3">
        <v>46704</v>
      </c>
      <c r="H247">
        <v>36</v>
      </c>
      <c r="I247">
        <v>47</v>
      </c>
      <c r="J247">
        <v>50702</v>
      </c>
      <c r="K247" s="4">
        <v>486739.20000000001</v>
      </c>
      <c r="L247" s="4">
        <v>5974.4285714285716</v>
      </c>
      <c r="M247" s="4">
        <v>8.4865019966045772</v>
      </c>
      <c r="N247" t="s">
        <v>19</v>
      </c>
      <c r="O247" t="str">
        <f t="shared" si="30"/>
        <v>Low</v>
      </c>
      <c r="P247" t="str">
        <f t="shared" si="31"/>
        <v>High</v>
      </c>
      <c r="Q247" t="str">
        <f t="shared" si="32"/>
        <v>Low</v>
      </c>
      <c r="R247" t="s">
        <v>3309</v>
      </c>
      <c r="S247" s="4">
        <f t="shared" ca="1" si="33"/>
        <v>507</v>
      </c>
      <c r="T247">
        <f t="shared" si="34"/>
        <v>1</v>
      </c>
      <c r="U247">
        <f t="shared" si="35"/>
        <v>3</v>
      </c>
      <c r="V247">
        <f t="shared" si="36"/>
        <v>1</v>
      </c>
      <c r="W247">
        <f t="shared" si="37"/>
        <v>3</v>
      </c>
      <c r="X247">
        <f t="shared" si="38"/>
        <v>1.7999999999999998</v>
      </c>
      <c r="Y247" t="str">
        <f t="shared" si="39"/>
        <v>Monitor</v>
      </c>
    </row>
    <row r="248" spans="1:25" x14ac:dyDescent="0.35">
      <c r="A248" t="s">
        <v>104</v>
      </c>
      <c r="B248" t="s">
        <v>105</v>
      </c>
      <c r="C248" t="s">
        <v>279</v>
      </c>
      <c r="D248" t="s">
        <v>323</v>
      </c>
      <c r="E248">
        <v>80780345</v>
      </c>
      <c r="F248" t="s">
        <v>324</v>
      </c>
      <c r="G248" s="3">
        <v>46764</v>
      </c>
      <c r="H248">
        <v>24</v>
      </c>
      <c r="I248">
        <v>79</v>
      </c>
      <c r="J248">
        <v>6</v>
      </c>
      <c r="K248" s="4">
        <v>1435.14</v>
      </c>
      <c r="L248" s="4">
        <v>448.14285714285717</v>
      </c>
      <c r="M248" s="4">
        <v>1.3388587822760598E-2</v>
      </c>
      <c r="N248" t="s">
        <v>25</v>
      </c>
      <c r="O248" t="str">
        <f t="shared" si="30"/>
        <v>Low</v>
      </c>
      <c r="P248" t="str">
        <f t="shared" si="31"/>
        <v>Low</v>
      </c>
      <c r="Q248" t="str">
        <f t="shared" si="32"/>
        <v>Low</v>
      </c>
      <c r="R248" t="s">
        <v>3317</v>
      </c>
      <c r="S248" s="4">
        <f t="shared" ca="1" si="33"/>
        <v>567</v>
      </c>
      <c r="T248">
        <f t="shared" si="34"/>
        <v>1</v>
      </c>
      <c r="U248">
        <f t="shared" si="35"/>
        <v>1</v>
      </c>
      <c r="V248">
        <f t="shared" si="36"/>
        <v>1</v>
      </c>
      <c r="W248">
        <f t="shared" si="37"/>
        <v>1</v>
      </c>
      <c r="X248">
        <f t="shared" si="38"/>
        <v>0.99999999999999989</v>
      </c>
      <c r="Y248" t="str">
        <f t="shared" si="39"/>
        <v>Healthy</v>
      </c>
    </row>
    <row r="249" spans="1:25" x14ac:dyDescent="0.35">
      <c r="A249" t="s">
        <v>104</v>
      </c>
      <c r="B249" t="s">
        <v>105</v>
      </c>
      <c r="C249" t="s">
        <v>279</v>
      </c>
      <c r="D249" t="s">
        <v>323</v>
      </c>
      <c r="E249">
        <v>80780345</v>
      </c>
      <c r="F249" t="s">
        <v>324</v>
      </c>
      <c r="G249" s="3">
        <v>46688</v>
      </c>
      <c r="H249">
        <v>24</v>
      </c>
      <c r="I249">
        <v>69</v>
      </c>
      <c r="J249">
        <v>9</v>
      </c>
      <c r="K249" s="4">
        <v>2152.71</v>
      </c>
      <c r="L249" s="4">
        <v>448.14285714285717</v>
      </c>
      <c r="M249" s="4">
        <v>2.0082881734140898E-2</v>
      </c>
      <c r="N249" t="s">
        <v>25</v>
      </c>
      <c r="O249" t="str">
        <f t="shared" si="30"/>
        <v>Low</v>
      </c>
      <c r="P249" t="str">
        <f t="shared" si="31"/>
        <v>Low</v>
      </c>
      <c r="Q249" t="str">
        <f t="shared" si="32"/>
        <v>Low</v>
      </c>
      <c r="R249" t="s">
        <v>3317</v>
      </c>
      <c r="S249" s="4">
        <f t="shared" ca="1" si="33"/>
        <v>491</v>
      </c>
      <c r="T249">
        <f t="shared" si="34"/>
        <v>1</v>
      </c>
      <c r="U249">
        <f t="shared" si="35"/>
        <v>1</v>
      </c>
      <c r="V249">
        <f t="shared" si="36"/>
        <v>1</v>
      </c>
      <c r="W249">
        <f t="shared" si="37"/>
        <v>1</v>
      </c>
      <c r="X249">
        <f t="shared" si="38"/>
        <v>0.99999999999999989</v>
      </c>
      <c r="Y249" t="str">
        <f t="shared" si="39"/>
        <v>Healthy</v>
      </c>
    </row>
    <row r="250" spans="1:25" x14ac:dyDescent="0.35">
      <c r="A250" t="s">
        <v>104</v>
      </c>
      <c r="B250" t="s">
        <v>105</v>
      </c>
      <c r="C250" t="s">
        <v>279</v>
      </c>
      <c r="D250" t="s">
        <v>323</v>
      </c>
      <c r="E250">
        <v>80780345</v>
      </c>
      <c r="F250" t="s">
        <v>324</v>
      </c>
      <c r="G250" s="3">
        <v>46852</v>
      </c>
      <c r="H250">
        <v>24</v>
      </c>
      <c r="I250">
        <v>92</v>
      </c>
      <c r="J250">
        <v>24</v>
      </c>
      <c r="K250" s="4">
        <v>5740.56</v>
      </c>
      <c r="L250" s="4">
        <v>448.14285714285717</v>
      </c>
      <c r="M250" s="4">
        <v>5.3554351291042392E-2</v>
      </c>
      <c r="N250" t="s">
        <v>25</v>
      </c>
      <c r="O250" t="str">
        <f t="shared" si="30"/>
        <v>Low</v>
      </c>
      <c r="P250" t="str">
        <f t="shared" si="31"/>
        <v>Low</v>
      </c>
      <c r="Q250" t="str">
        <f t="shared" si="32"/>
        <v>Low</v>
      </c>
      <c r="R250" t="s">
        <v>3317</v>
      </c>
      <c r="S250" s="4">
        <f t="shared" ca="1" si="33"/>
        <v>655</v>
      </c>
      <c r="T250">
        <f t="shared" si="34"/>
        <v>1</v>
      </c>
      <c r="U250">
        <f t="shared" si="35"/>
        <v>1</v>
      </c>
      <c r="V250">
        <f t="shared" si="36"/>
        <v>1</v>
      </c>
      <c r="W250">
        <f t="shared" si="37"/>
        <v>1</v>
      </c>
      <c r="X250">
        <f t="shared" si="38"/>
        <v>0.99999999999999989</v>
      </c>
      <c r="Y250" t="str">
        <f t="shared" si="39"/>
        <v>Healthy</v>
      </c>
    </row>
    <row r="251" spans="1:25" x14ac:dyDescent="0.35">
      <c r="A251" t="s">
        <v>104</v>
      </c>
      <c r="B251" t="s">
        <v>105</v>
      </c>
      <c r="C251" t="s">
        <v>279</v>
      </c>
      <c r="D251" t="s">
        <v>323</v>
      </c>
      <c r="E251">
        <v>80780345</v>
      </c>
      <c r="F251" t="s">
        <v>324</v>
      </c>
      <c r="G251" s="3">
        <v>46809</v>
      </c>
      <c r="H251">
        <v>24</v>
      </c>
      <c r="I251">
        <v>86</v>
      </c>
      <c r="J251">
        <v>265</v>
      </c>
      <c r="K251" s="4">
        <v>63385.35</v>
      </c>
      <c r="L251" s="4">
        <v>448.14285714285717</v>
      </c>
      <c r="M251" s="4">
        <v>0.59132929550525981</v>
      </c>
      <c r="N251" t="s">
        <v>25</v>
      </c>
      <c r="O251" t="str">
        <f t="shared" si="30"/>
        <v>Low</v>
      </c>
      <c r="P251" t="str">
        <f t="shared" si="31"/>
        <v>Low</v>
      </c>
      <c r="Q251" t="str">
        <f t="shared" si="32"/>
        <v>Low</v>
      </c>
      <c r="R251" t="s">
        <v>3317</v>
      </c>
      <c r="S251" s="4">
        <f t="shared" ca="1" si="33"/>
        <v>612</v>
      </c>
      <c r="T251">
        <f t="shared" si="34"/>
        <v>1</v>
      </c>
      <c r="U251">
        <f t="shared" si="35"/>
        <v>1</v>
      </c>
      <c r="V251">
        <f t="shared" si="36"/>
        <v>1</v>
      </c>
      <c r="W251">
        <f t="shared" si="37"/>
        <v>1</v>
      </c>
      <c r="X251">
        <f t="shared" si="38"/>
        <v>0.99999999999999989</v>
      </c>
      <c r="Y251" t="str">
        <f t="shared" si="39"/>
        <v>Healthy</v>
      </c>
    </row>
    <row r="252" spans="1:25" x14ac:dyDescent="0.35">
      <c r="A252" t="s">
        <v>71</v>
      </c>
      <c r="B252" t="s">
        <v>72</v>
      </c>
      <c r="C252" t="s">
        <v>320</v>
      </c>
      <c r="D252" t="s">
        <v>321</v>
      </c>
      <c r="E252">
        <v>80831612</v>
      </c>
      <c r="F252" t="s">
        <v>322</v>
      </c>
      <c r="G252" s="3">
        <v>47020</v>
      </c>
      <c r="H252">
        <v>36</v>
      </c>
      <c r="I252">
        <v>77</v>
      </c>
      <c r="J252">
        <v>648</v>
      </c>
      <c r="K252" s="4">
        <v>6220.8</v>
      </c>
      <c r="L252" s="4">
        <v>5974.4285714285716</v>
      </c>
      <c r="M252" s="4">
        <v>0.10846225580450013</v>
      </c>
      <c r="N252" t="s">
        <v>25</v>
      </c>
      <c r="O252" t="str">
        <f t="shared" si="30"/>
        <v>Low</v>
      </c>
      <c r="P252" t="str">
        <f t="shared" si="31"/>
        <v>Low</v>
      </c>
      <c r="Q252" t="str">
        <f t="shared" si="32"/>
        <v>Low</v>
      </c>
      <c r="R252" t="s">
        <v>3317</v>
      </c>
      <c r="S252" s="4">
        <f t="shared" ca="1" si="33"/>
        <v>823</v>
      </c>
      <c r="T252">
        <f t="shared" si="34"/>
        <v>1</v>
      </c>
      <c r="U252">
        <f t="shared" si="35"/>
        <v>1</v>
      </c>
      <c r="V252">
        <f t="shared" si="36"/>
        <v>1</v>
      </c>
      <c r="W252">
        <f t="shared" si="37"/>
        <v>1</v>
      </c>
      <c r="X252">
        <f t="shared" si="38"/>
        <v>0.99999999999999989</v>
      </c>
      <c r="Y252" t="str">
        <f t="shared" si="39"/>
        <v>Healthy</v>
      </c>
    </row>
    <row r="253" spans="1:25" x14ac:dyDescent="0.35">
      <c r="A253" t="s">
        <v>71</v>
      </c>
      <c r="B253" t="s">
        <v>72</v>
      </c>
      <c r="C253" t="s">
        <v>320</v>
      </c>
      <c r="D253" t="s">
        <v>321</v>
      </c>
      <c r="E253">
        <v>80831612</v>
      </c>
      <c r="F253" t="s">
        <v>322</v>
      </c>
      <c r="G253" s="3">
        <v>46701</v>
      </c>
      <c r="H253">
        <v>36</v>
      </c>
      <c r="I253">
        <v>47</v>
      </c>
      <c r="J253">
        <v>24689</v>
      </c>
      <c r="K253" s="4">
        <v>237014.39999999999</v>
      </c>
      <c r="L253" s="4">
        <v>5974.4285714285716</v>
      </c>
      <c r="M253" s="4">
        <v>4.1324454221563327</v>
      </c>
      <c r="N253" t="s">
        <v>25</v>
      </c>
      <c r="O253" t="str">
        <f t="shared" si="30"/>
        <v>Low</v>
      </c>
      <c r="P253" t="str">
        <f t="shared" si="31"/>
        <v>Medium</v>
      </c>
      <c r="Q253" t="str">
        <f t="shared" si="32"/>
        <v>Low</v>
      </c>
      <c r="R253" t="s">
        <v>3309</v>
      </c>
      <c r="S253" s="4">
        <f t="shared" ca="1" si="33"/>
        <v>504</v>
      </c>
      <c r="T253">
        <f t="shared" si="34"/>
        <v>1</v>
      </c>
      <c r="U253">
        <f t="shared" si="35"/>
        <v>2</v>
      </c>
      <c r="V253">
        <f t="shared" si="36"/>
        <v>1</v>
      </c>
      <c r="W253">
        <f t="shared" si="37"/>
        <v>3</v>
      </c>
      <c r="X253">
        <f t="shared" si="38"/>
        <v>1.5</v>
      </c>
      <c r="Y253" t="str">
        <f t="shared" si="39"/>
        <v>Healthy</v>
      </c>
    </row>
    <row r="254" spans="1:25" x14ac:dyDescent="0.35">
      <c r="A254" t="s">
        <v>14</v>
      </c>
      <c r="B254" t="s">
        <v>267</v>
      </c>
      <c r="C254" t="s">
        <v>268</v>
      </c>
      <c r="D254" t="s">
        <v>269</v>
      </c>
      <c r="E254">
        <v>80818334</v>
      </c>
      <c r="F254" t="s">
        <v>325</v>
      </c>
      <c r="G254" s="3">
        <v>47947</v>
      </c>
      <c r="H254">
        <v>60</v>
      </c>
      <c r="I254">
        <v>98</v>
      </c>
      <c r="J254">
        <v>96</v>
      </c>
      <c r="K254" s="4">
        <v>8003.52</v>
      </c>
      <c r="L254" s="4">
        <v>995.85714285714289</v>
      </c>
      <c r="M254" s="4">
        <v>9.6399368813656572E-2</v>
      </c>
      <c r="N254" t="s">
        <v>25</v>
      </c>
      <c r="O254" t="str">
        <f t="shared" si="30"/>
        <v>Low</v>
      </c>
      <c r="P254" t="str">
        <f t="shared" si="31"/>
        <v>Low</v>
      </c>
      <c r="Q254" t="str">
        <f t="shared" si="32"/>
        <v>Low</v>
      </c>
      <c r="R254" t="s">
        <v>3317</v>
      </c>
      <c r="S254" s="4">
        <f t="shared" ca="1" si="33"/>
        <v>1750</v>
      </c>
      <c r="T254">
        <f t="shared" si="34"/>
        <v>1</v>
      </c>
      <c r="U254">
        <f t="shared" si="35"/>
        <v>1</v>
      </c>
      <c r="V254">
        <f t="shared" si="36"/>
        <v>1</v>
      </c>
      <c r="W254">
        <f t="shared" si="37"/>
        <v>1</v>
      </c>
      <c r="X254">
        <f t="shared" si="38"/>
        <v>0.99999999999999989</v>
      </c>
      <c r="Y254" t="str">
        <f t="shared" si="39"/>
        <v>Healthy</v>
      </c>
    </row>
    <row r="255" spans="1:25" x14ac:dyDescent="0.35">
      <c r="A255" t="s">
        <v>14</v>
      </c>
      <c r="B255" t="s">
        <v>267</v>
      </c>
      <c r="C255" t="s">
        <v>268</v>
      </c>
      <c r="D255" t="s">
        <v>269</v>
      </c>
      <c r="E255">
        <v>80818334</v>
      </c>
      <c r="F255" t="s">
        <v>325</v>
      </c>
      <c r="G255" s="3">
        <v>47894</v>
      </c>
      <c r="H255">
        <v>60</v>
      </c>
      <c r="I255">
        <v>95</v>
      </c>
      <c r="J255">
        <v>22</v>
      </c>
      <c r="K255" s="4">
        <v>1834.14</v>
      </c>
      <c r="L255" s="4">
        <v>995.85714285714289</v>
      </c>
      <c r="M255" s="4">
        <v>2.2091522019796299E-2</v>
      </c>
      <c r="N255" t="s">
        <v>25</v>
      </c>
      <c r="O255" t="str">
        <f t="shared" si="30"/>
        <v>Low</v>
      </c>
      <c r="P255" t="str">
        <f t="shared" si="31"/>
        <v>Low</v>
      </c>
      <c r="Q255" t="str">
        <f t="shared" si="32"/>
        <v>Low</v>
      </c>
      <c r="R255" t="s">
        <v>3317</v>
      </c>
      <c r="S255" s="4">
        <f t="shared" ca="1" si="33"/>
        <v>1697</v>
      </c>
      <c r="T255">
        <f t="shared" si="34"/>
        <v>1</v>
      </c>
      <c r="U255">
        <f t="shared" si="35"/>
        <v>1</v>
      </c>
      <c r="V255">
        <f t="shared" si="36"/>
        <v>1</v>
      </c>
      <c r="W255">
        <f t="shared" si="37"/>
        <v>1</v>
      </c>
      <c r="X255">
        <f t="shared" si="38"/>
        <v>0.99999999999999989</v>
      </c>
      <c r="Y255" t="str">
        <f t="shared" si="39"/>
        <v>Healthy</v>
      </c>
    </row>
    <row r="256" spans="1:25" x14ac:dyDescent="0.35">
      <c r="A256" t="s">
        <v>71</v>
      </c>
      <c r="B256" t="s">
        <v>72</v>
      </c>
      <c r="C256" t="s">
        <v>320</v>
      </c>
      <c r="D256" t="s">
        <v>321</v>
      </c>
      <c r="E256">
        <v>80831612</v>
      </c>
      <c r="F256" t="s">
        <v>322</v>
      </c>
      <c r="G256" s="3">
        <v>46694</v>
      </c>
      <c r="H256">
        <v>36</v>
      </c>
      <c r="I256">
        <v>46</v>
      </c>
      <c r="J256">
        <v>44357</v>
      </c>
      <c r="K256" s="4">
        <v>425827.2</v>
      </c>
      <c r="L256" s="4">
        <v>5974.4285714285716</v>
      </c>
      <c r="M256" s="4">
        <v>7.424475741852179</v>
      </c>
      <c r="N256" t="s">
        <v>19</v>
      </c>
      <c r="O256" t="str">
        <f t="shared" si="30"/>
        <v>Low</v>
      </c>
      <c r="P256" t="str">
        <f t="shared" si="31"/>
        <v>Medium</v>
      </c>
      <c r="Q256" t="str">
        <f t="shared" si="32"/>
        <v>Low</v>
      </c>
      <c r="R256" t="s">
        <v>3309</v>
      </c>
      <c r="S256" s="4">
        <f t="shared" ca="1" si="33"/>
        <v>497</v>
      </c>
      <c r="T256">
        <f t="shared" si="34"/>
        <v>1</v>
      </c>
      <c r="U256">
        <f t="shared" si="35"/>
        <v>2</v>
      </c>
      <c r="V256">
        <f t="shared" si="36"/>
        <v>1</v>
      </c>
      <c r="W256">
        <f t="shared" si="37"/>
        <v>3</v>
      </c>
      <c r="X256">
        <f t="shared" si="38"/>
        <v>1.5</v>
      </c>
      <c r="Y256" t="str">
        <f t="shared" si="39"/>
        <v>Healthy</v>
      </c>
    </row>
    <row r="257" spans="1:25" x14ac:dyDescent="0.35">
      <c r="A257" t="s">
        <v>14</v>
      </c>
      <c r="B257" t="s">
        <v>267</v>
      </c>
      <c r="C257" t="s">
        <v>268</v>
      </c>
      <c r="D257" t="s">
        <v>269</v>
      </c>
      <c r="E257">
        <v>80818334</v>
      </c>
      <c r="F257" t="s">
        <v>325</v>
      </c>
      <c r="G257" s="3">
        <v>47941</v>
      </c>
      <c r="H257">
        <v>60</v>
      </c>
      <c r="I257">
        <v>97</v>
      </c>
      <c r="J257">
        <v>37</v>
      </c>
      <c r="K257" s="4">
        <v>3084.69</v>
      </c>
      <c r="L257" s="4">
        <v>995.85714285714289</v>
      </c>
      <c r="M257" s="4">
        <v>3.715392339693014E-2</v>
      </c>
      <c r="N257" t="s">
        <v>25</v>
      </c>
      <c r="O257" t="str">
        <f t="shared" si="30"/>
        <v>Low</v>
      </c>
      <c r="P257" t="str">
        <f t="shared" si="31"/>
        <v>Low</v>
      </c>
      <c r="Q257" t="str">
        <f t="shared" si="32"/>
        <v>Low</v>
      </c>
      <c r="R257" t="s">
        <v>3317</v>
      </c>
      <c r="S257" s="4">
        <f t="shared" ca="1" si="33"/>
        <v>1744</v>
      </c>
      <c r="T257">
        <f t="shared" si="34"/>
        <v>1</v>
      </c>
      <c r="U257">
        <f t="shared" si="35"/>
        <v>1</v>
      </c>
      <c r="V257">
        <f t="shared" si="36"/>
        <v>1</v>
      </c>
      <c r="W257">
        <f t="shared" si="37"/>
        <v>1</v>
      </c>
      <c r="X257">
        <f t="shared" si="38"/>
        <v>0.99999999999999989</v>
      </c>
      <c r="Y257" t="str">
        <f t="shared" si="39"/>
        <v>Healthy</v>
      </c>
    </row>
    <row r="258" spans="1:25" x14ac:dyDescent="0.35">
      <c r="A258" t="s">
        <v>71</v>
      </c>
      <c r="B258" t="s">
        <v>72</v>
      </c>
      <c r="C258" t="s">
        <v>320</v>
      </c>
      <c r="D258" t="s">
        <v>321</v>
      </c>
      <c r="E258">
        <v>80831612</v>
      </c>
      <c r="F258" t="s">
        <v>322</v>
      </c>
      <c r="G258" s="3">
        <v>46696</v>
      </c>
      <c r="H258">
        <v>36</v>
      </c>
      <c r="I258">
        <v>47</v>
      </c>
      <c r="J258">
        <v>39810</v>
      </c>
      <c r="K258" s="4">
        <v>382176</v>
      </c>
      <c r="L258" s="4">
        <v>5974.4285714285716</v>
      </c>
      <c r="M258" s="4">
        <v>6.6633987709523925</v>
      </c>
      <c r="N258" t="s">
        <v>19</v>
      </c>
      <c r="O258" t="str">
        <f t="shared" si="30"/>
        <v>Low</v>
      </c>
      <c r="P258" t="str">
        <f t="shared" si="31"/>
        <v>Medium</v>
      </c>
      <c r="Q258" t="str">
        <f t="shared" si="32"/>
        <v>Low</v>
      </c>
      <c r="R258" t="s">
        <v>3309</v>
      </c>
      <c r="S258" s="4">
        <f t="shared" ca="1" si="33"/>
        <v>499</v>
      </c>
      <c r="T258">
        <f t="shared" si="34"/>
        <v>1</v>
      </c>
      <c r="U258">
        <f t="shared" si="35"/>
        <v>2</v>
      </c>
      <c r="V258">
        <f t="shared" si="36"/>
        <v>1</v>
      </c>
      <c r="W258">
        <f t="shared" si="37"/>
        <v>3</v>
      </c>
      <c r="X258">
        <f t="shared" si="38"/>
        <v>1.5</v>
      </c>
      <c r="Y258" t="str">
        <f t="shared" si="39"/>
        <v>Healthy</v>
      </c>
    </row>
    <row r="259" spans="1:25" x14ac:dyDescent="0.35">
      <c r="A259" t="s">
        <v>14</v>
      </c>
      <c r="B259" t="s">
        <v>267</v>
      </c>
      <c r="C259" t="s">
        <v>268</v>
      </c>
      <c r="D259" t="s">
        <v>269</v>
      </c>
      <c r="E259">
        <v>80818334</v>
      </c>
      <c r="F259" t="s">
        <v>325</v>
      </c>
      <c r="G259" s="3">
        <v>47896</v>
      </c>
      <c r="H259">
        <v>60</v>
      </c>
      <c r="I259">
        <v>95</v>
      </c>
      <c r="J259">
        <v>82</v>
      </c>
      <c r="K259" s="4">
        <v>6836.34</v>
      </c>
      <c r="L259" s="4">
        <v>995.85714285714289</v>
      </c>
      <c r="M259" s="4">
        <v>8.2341127528331656E-2</v>
      </c>
      <c r="N259" t="s">
        <v>25</v>
      </c>
      <c r="O259" t="str">
        <f t="shared" ref="O259:O322" si="40">IF(I259&lt;20,"High",IF(I259&lt;40,"Medium","Low"))</f>
        <v>Low</v>
      </c>
      <c r="P259" t="str">
        <f t="shared" ref="P259:P322" si="41">IF(M259&gt;8,"High",IF(M259&gt;4,"Medium","Low"))</f>
        <v>Low</v>
      </c>
      <c r="Q259" t="str">
        <f t="shared" ref="Q259:Q322" si="42">IF(L259&lt;5,"High",IF(L259&lt;15,"Medium","Low"))</f>
        <v>Low</v>
      </c>
      <c r="R259" t="s">
        <v>3317</v>
      </c>
      <c r="S259" s="4">
        <f t="shared" ref="S259:S322" ca="1" si="43">G259-TODAY()</f>
        <v>1699</v>
      </c>
      <c r="T259">
        <f t="shared" ref="T259:T322" si="44">IF(O259="High",3,IF(O259="Medium",2,1))</f>
        <v>1</v>
      </c>
      <c r="U259">
        <f t="shared" ref="U259:U322" si="45">IF(P259="High",3,IF(P259="Medium",2,1))</f>
        <v>1</v>
      </c>
      <c r="V259">
        <f t="shared" ref="V259:V322" si="46">IF(Q259="High",3,IF(Q259="Medium",2,1))</f>
        <v>1</v>
      </c>
      <c r="W259">
        <f t="shared" ref="W259:W322" si="47">IF(R259="High",3,IF(R259="Medium",2,1))</f>
        <v>1</v>
      </c>
      <c r="X259">
        <f t="shared" ref="X259:X322" si="48">(0.4*T259)+(0.3*U259)+(0.2*V259)+(0.1*W259)</f>
        <v>0.99999999999999989</v>
      </c>
      <c r="Y259" t="str">
        <f t="shared" ref="Y259:Y322" si="49">IF(X259&gt;=2.7,"Move Immediately",IF(X259&gt;=2.2,"High Priority",IF(X259&gt;=1.7,"Monitor","Healthy")))</f>
        <v>Healthy</v>
      </c>
    </row>
    <row r="260" spans="1:25" x14ac:dyDescent="0.35">
      <c r="A260" t="s">
        <v>71</v>
      </c>
      <c r="B260" t="s">
        <v>72</v>
      </c>
      <c r="C260" t="s">
        <v>320</v>
      </c>
      <c r="D260" t="s">
        <v>321</v>
      </c>
      <c r="E260">
        <v>80831612</v>
      </c>
      <c r="F260" t="s">
        <v>322</v>
      </c>
      <c r="G260" s="3">
        <v>46666</v>
      </c>
      <c r="H260">
        <v>36</v>
      </c>
      <c r="I260">
        <v>44</v>
      </c>
      <c r="J260">
        <v>4600</v>
      </c>
      <c r="K260" s="4">
        <v>47840</v>
      </c>
      <c r="L260" s="4">
        <v>5974.4285714285716</v>
      </c>
      <c r="M260" s="4">
        <v>0.76994811219243919</v>
      </c>
      <c r="N260" t="s">
        <v>25</v>
      </c>
      <c r="O260" t="str">
        <f t="shared" si="40"/>
        <v>Low</v>
      </c>
      <c r="P260" t="str">
        <f t="shared" si="41"/>
        <v>Low</v>
      </c>
      <c r="Q260" t="str">
        <f t="shared" si="42"/>
        <v>Low</v>
      </c>
      <c r="R260" t="s">
        <v>3317</v>
      </c>
      <c r="S260" s="4">
        <f t="shared" ca="1" si="43"/>
        <v>469</v>
      </c>
      <c r="T260">
        <f t="shared" si="44"/>
        <v>1</v>
      </c>
      <c r="U260">
        <f t="shared" si="45"/>
        <v>1</v>
      </c>
      <c r="V260">
        <f t="shared" si="46"/>
        <v>1</v>
      </c>
      <c r="W260">
        <f t="shared" si="47"/>
        <v>1</v>
      </c>
      <c r="X260">
        <f t="shared" si="48"/>
        <v>0.99999999999999989</v>
      </c>
      <c r="Y260" t="str">
        <f t="shared" si="49"/>
        <v>Healthy</v>
      </c>
    </row>
    <row r="261" spans="1:25" x14ac:dyDescent="0.35">
      <c r="A261" t="s">
        <v>14</v>
      </c>
      <c r="B261" t="s">
        <v>267</v>
      </c>
      <c r="C261" t="s">
        <v>268</v>
      </c>
      <c r="D261" t="s">
        <v>269</v>
      </c>
      <c r="E261">
        <v>80818334</v>
      </c>
      <c r="F261" t="s">
        <v>325</v>
      </c>
      <c r="G261" s="3">
        <v>47895</v>
      </c>
      <c r="H261">
        <v>60</v>
      </c>
      <c r="I261">
        <v>95</v>
      </c>
      <c r="J261">
        <v>21</v>
      </c>
      <c r="K261" s="4">
        <v>1750.77</v>
      </c>
      <c r="L261" s="4">
        <v>995.85714285714289</v>
      </c>
      <c r="M261" s="4">
        <v>2.1087361927987377E-2</v>
      </c>
      <c r="N261" t="s">
        <v>25</v>
      </c>
      <c r="O261" t="str">
        <f t="shared" si="40"/>
        <v>Low</v>
      </c>
      <c r="P261" t="str">
        <f t="shared" si="41"/>
        <v>Low</v>
      </c>
      <c r="Q261" t="str">
        <f t="shared" si="42"/>
        <v>Low</v>
      </c>
      <c r="R261" t="s">
        <v>3317</v>
      </c>
      <c r="S261" s="4">
        <f t="shared" ca="1" si="43"/>
        <v>1698</v>
      </c>
      <c r="T261">
        <f t="shared" si="44"/>
        <v>1</v>
      </c>
      <c r="U261">
        <f t="shared" si="45"/>
        <v>1</v>
      </c>
      <c r="V261">
        <f t="shared" si="46"/>
        <v>1</v>
      </c>
      <c r="W261">
        <f t="shared" si="47"/>
        <v>1</v>
      </c>
      <c r="X261">
        <f t="shared" si="48"/>
        <v>0.99999999999999989</v>
      </c>
      <c r="Y261" t="str">
        <f t="shared" si="49"/>
        <v>Healthy</v>
      </c>
    </row>
    <row r="262" spans="1:25" x14ac:dyDescent="0.35">
      <c r="A262" t="s">
        <v>179</v>
      </c>
      <c r="B262" t="s">
        <v>180</v>
      </c>
      <c r="C262" t="s">
        <v>181</v>
      </c>
      <c r="D262" t="s">
        <v>326</v>
      </c>
      <c r="E262">
        <v>80829771</v>
      </c>
      <c r="F262" t="s">
        <v>327</v>
      </c>
      <c r="G262" s="3">
        <v>46206</v>
      </c>
      <c r="H262">
        <v>16</v>
      </c>
      <c r="I262">
        <v>3</v>
      </c>
      <c r="J262">
        <v>18</v>
      </c>
      <c r="K262" s="4">
        <v>12623.58</v>
      </c>
      <c r="L262" s="4">
        <f>0</f>
        <v>0</v>
      </c>
      <c r="M262" s="4">
        <f>999</f>
        <v>999</v>
      </c>
      <c r="N262" t="s">
        <v>19</v>
      </c>
      <c r="O262" t="str">
        <f t="shared" si="40"/>
        <v>High</v>
      </c>
      <c r="P262" t="str">
        <f t="shared" si="41"/>
        <v>High</v>
      </c>
      <c r="Q262" t="str">
        <f t="shared" si="42"/>
        <v>High</v>
      </c>
      <c r="R262" t="s">
        <v>3317</v>
      </c>
      <c r="S262" s="4">
        <f t="shared" ca="1" si="43"/>
        <v>9</v>
      </c>
      <c r="T262">
        <f t="shared" si="44"/>
        <v>3</v>
      </c>
      <c r="U262">
        <f t="shared" si="45"/>
        <v>3</v>
      </c>
      <c r="V262">
        <f t="shared" si="46"/>
        <v>3</v>
      </c>
      <c r="W262">
        <f t="shared" si="47"/>
        <v>1</v>
      </c>
      <c r="X262">
        <f t="shared" si="48"/>
        <v>2.8000000000000003</v>
      </c>
      <c r="Y262" t="str">
        <f t="shared" si="49"/>
        <v>Move Immediately</v>
      </c>
    </row>
    <row r="263" spans="1:25" x14ac:dyDescent="0.35">
      <c r="A263" t="s">
        <v>71</v>
      </c>
      <c r="B263" t="s">
        <v>72</v>
      </c>
      <c r="C263" t="s">
        <v>174</v>
      </c>
      <c r="D263" t="s">
        <v>328</v>
      </c>
      <c r="E263">
        <v>80829178</v>
      </c>
      <c r="F263" t="s">
        <v>329</v>
      </c>
      <c r="G263" s="3">
        <v>47005</v>
      </c>
      <c r="H263">
        <v>36</v>
      </c>
      <c r="I263">
        <v>75</v>
      </c>
      <c r="J263">
        <v>1</v>
      </c>
      <c r="K263" s="4">
        <v>1039.17</v>
      </c>
      <c r="L263" s="4">
        <v>0.5714285714285714</v>
      </c>
      <c r="M263" s="4">
        <v>1.75</v>
      </c>
      <c r="N263" t="s">
        <v>25</v>
      </c>
      <c r="O263" t="str">
        <f t="shared" si="40"/>
        <v>Low</v>
      </c>
      <c r="P263" t="str">
        <f t="shared" si="41"/>
        <v>Low</v>
      </c>
      <c r="Q263" t="str">
        <f t="shared" si="42"/>
        <v>High</v>
      </c>
      <c r="R263" t="s">
        <v>3317</v>
      </c>
      <c r="S263" s="4">
        <f t="shared" ca="1" si="43"/>
        <v>808</v>
      </c>
      <c r="T263">
        <f t="shared" si="44"/>
        <v>1</v>
      </c>
      <c r="U263">
        <f t="shared" si="45"/>
        <v>1</v>
      </c>
      <c r="V263">
        <f t="shared" si="46"/>
        <v>3</v>
      </c>
      <c r="W263">
        <f t="shared" si="47"/>
        <v>1</v>
      </c>
      <c r="X263">
        <f t="shared" si="48"/>
        <v>1.4000000000000001</v>
      </c>
      <c r="Y263" t="str">
        <f t="shared" si="49"/>
        <v>Healthy</v>
      </c>
    </row>
    <row r="264" spans="1:25" x14ac:dyDescent="0.35">
      <c r="A264" t="s">
        <v>71</v>
      </c>
      <c r="B264" t="s">
        <v>72</v>
      </c>
      <c r="C264" t="s">
        <v>174</v>
      </c>
      <c r="D264" t="s">
        <v>328</v>
      </c>
      <c r="E264">
        <v>80829178</v>
      </c>
      <c r="F264" t="s">
        <v>329</v>
      </c>
      <c r="G264" s="3">
        <v>46950</v>
      </c>
      <c r="H264">
        <v>36</v>
      </c>
      <c r="I264">
        <v>70</v>
      </c>
      <c r="J264">
        <v>5</v>
      </c>
      <c r="K264" s="4">
        <v>5195.8500000000004</v>
      </c>
      <c r="L264" s="4">
        <v>0.5714285714285714</v>
      </c>
      <c r="M264" s="4">
        <v>8.75</v>
      </c>
      <c r="N264" t="s">
        <v>19</v>
      </c>
      <c r="O264" t="str">
        <f t="shared" si="40"/>
        <v>Low</v>
      </c>
      <c r="P264" t="str">
        <f t="shared" si="41"/>
        <v>High</v>
      </c>
      <c r="Q264" t="str">
        <f t="shared" si="42"/>
        <v>High</v>
      </c>
      <c r="R264" t="s">
        <v>3317</v>
      </c>
      <c r="S264" s="4">
        <f t="shared" ca="1" si="43"/>
        <v>753</v>
      </c>
      <c r="T264">
        <f t="shared" si="44"/>
        <v>1</v>
      </c>
      <c r="U264">
        <f t="shared" si="45"/>
        <v>3</v>
      </c>
      <c r="V264">
        <f t="shared" si="46"/>
        <v>3</v>
      </c>
      <c r="W264">
        <f t="shared" si="47"/>
        <v>1</v>
      </c>
      <c r="X264">
        <f t="shared" si="48"/>
        <v>2</v>
      </c>
      <c r="Y264" t="str">
        <f t="shared" si="49"/>
        <v>Monitor</v>
      </c>
    </row>
    <row r="265" spans="1:25" x14ac:dyDescent="0.35">
      <c r="A265" t="s">
        <v>41</v>
      </c>
      <c r="B265" t="s">
        <v>54</v>
      </c>
      <c r="C265" t="s">
        <v>87</v>
      </c>
      <c r="D265" t="s">
        <v>330</v>
      </c>
      <c r="E265">
        <v>80839431</v>
      </c>
      <c r="F265" t="s">
        <v>331</v>
      </c>
      <c r="G265" s="3">
        <v>46713</v>
      </c>
      <c r="H265">
        <v>36</v>
      </c>
      <c r="I265">
        <v>48</v>
      </c>
      <c r="J265">
        <v>4</v>
      </c>
      <c r="K265" s="4">
        <v>3654.76</v>
      </c>
      <c r="L265" s="4">
        <v>7</v>
      </c>
      <c r="M265" s="4">
        <v>0.5714285714285714</v>
      </c>
      <c r="N265" t="s">
        <v>25</v>
      </c>
      <c r="O265" t="str">
        <f t="shared" si="40"/>
        <v>Low</v>
      </c>
      <c r="P265" t="str">
        <f t="shared" si="41"/>
        <v>Low</v>
      </c>
      <c r="Q265" t="str">
        <f t="shared" si="42"/>
        <v>Medium</v>
      </c>
      <c r="R265" t="s">
        <v>3317</v>
      </c>
      <c r="S265" s="4">
        <f t="shared" ca="1" si="43"/>
        <v>516</v>
      </c>
      <c r="T265">
        <f t="shared" si="44"/>
        <v>1</v>
      </c>
      <c r="U265">
        <f t="shared" si="45"/>
        <v>1</v>
      </c>
      <c r="V265">
        <f t="shared" si="46"/>
        <v>2</v>
      </c>
      <c r="W265">
        <f t="shared" si="47"/>
        <v>1</v>
      </c>
      <c r="X265">
        <f t="shared" si="48"/>
        <v>1.2000000000000002</v>
      </c>
      <c r="Y265" t="str">
        <f t="shared" si="49"/>
        <v>Healthy</v>
      </c>
    </row>
    <row r="266" spans="1:25" x14ac:dyDescent="0.35">
      <c r="A266" t="s">
        <v>71</v>
      </c>
      <c r="B266" t="s">
        <v>72</v>
      </c>
      <c r="C266" t="s">
        <v>174</v>
      </c>
      <c r="D266" t="s">
        <v>328</v>
      </c>
      <c r="E266">
        <v>80829178</v>
      </c>
      <c r="F266" t="s">
        <v>329</v>
      </c>
      <c r="G266" s="3">
        <v>47005</v>
      </c>
      <c r="H266">
        <v>36</v>
      </c>
      <c r="I266">
        <v>75</v>
      </c>
      <c r="J266">
        <v>2</v>
      </c>
      <c r="K266" s="4">
        <v>2078.34</v>
      </c>
      <c r="L266" s="4">
        <v>0.5714285714285714</v>
      </c>
      <c r="M266" s="4">
        <v>3.5</v>
      </c>
      <c r="N266" t="s">
        <v>25</v>
      </c>
      <c r="O266" t="str">
        <f t="shared" si="40"/>
        <v>Low</v>
      </c>
      <c r="P266" t="str">
        <f t="shared" si="41"/>
        <v>Low</v>
      </c>
      <c r="Q266" t="str">
        <f t="shared" si="42"/>
        <v>High</v>
      </c>
      <c r="R266" t="s">
        <v>3317</v>
      </c>
      <c r="S266" s="4">
        <f t="shared" ca="1" si="43"/>
        <v>808</v>
      </c>
      <c r="T266">
        <f t="shared" si="44"/>
        <v>1</v>
      </c>
      <c r="U266">
        <f t="shared" si="45"/>
        <v>1</v>
      </c>
      <c r="V266">
        <f t="shared" si="46"/>
        <v>3</v>
      </c>
      <c r="W266">
        <f t="shared" si="47"/>
        <v>1</v>
      </c>
      <c r="X266">
        <f t="shared" si="48"/>
        <v>1.4000000000000001</v>
      </c>
      <c r="Y266" t="str">
        <f t="shared" si="49"/>
        <v>Healthy</v>
      </c>
    </row>
    <row r="267" spans="1:25" x14ac:dyDescent="0.35">
      <c r="A267" t="s">
        <v>71</v>
      </c>
      <c r="B267" t="s">
        <v>72</v>
      </c>
      <c r="C267" t="s">
        <v>174</v>
      </c>
      <c r="D267" t="s">
        <v>328</v>
      </c>
      <c r="E267">
        <v>80829178</v>
      </c>
      <c r="F267" t="s">
        <v>329</v>
      </c>
      <c r="G267" s="3">
        <v>47018</v>
      </c>
      <c r="H267">
        <v>36</v>
      </c>
      <c r="I267">
        <v>76</v>
      </c>
      <c r="J267">
        <v>3</v>
      </c>
      <c r="K267" s="4">
        <v>3117.51</v>
      </c>
      <c r="L267" s="4">
        <v>0.5714285714285714</v>
      </c>
      <c r="M267" s="4">
        <v>5.25</v>
      </c>
      <c r="N267" t="s">
        <v>25</v>
      </c>
      <c r="O267" t="str">
        <f t="shared" si="40"/>
        <v>Low</v>
      </c>
      <c r="P267" t="str">
        <f t="shared" si="41"/>
        <v>Medium</v>
      </c>
      <c r="Q267" t="str">
        <f t="shared" si="42"/>
        <v>High</v>
      </c>
      <c r="R267" t="s">
        <v>3317</v>
      </c>
      <c r="S267" s="4">
        <f t="shared" ca="1" si="43"/>
        <v>821</v>
      </c>
      <c r="T267">
        <f t="shared" si="44"/>
        <v>1</v>
      </c>
      <c r="U267">
        <f t="shared" si="45"/>
        <v>2</v>
      </c>
      <c r="V267">
        <f t="shared" si="46"/>
        <v>3</v>
      </c>
      <c r="W267">
        <f t="shared" si="47"/>
        <v>1</v>
      </c>
      <c r="X267">
        <f t="shared" si="48"/>
        <v>1.7000000000000002</v>
      </c>
      <c r="Y267" t="str">
        <f t="shared" si="49"/>
        <v>Monitor</v>
      </c>
    </row>
    <row r="268" spans="1:25" x14ac:dyDescent="0.35">
      <c r="A268" t="s">
        <v>71</v>
      </c>
      <c r="B268" t="s">
        <v>72</v>
      </c>
      <c r="C268" t="s">
        <v>174</v>
      </c>
      <c r="D268" t="s">
        <v>328</v>
      </c>
      <c r="E268">
        <v>80829178</v>
      </c>
      <c r="F268" t="s">
        <v>329</v>
      </c>
      <c r="G268" s="3">
        <v>46970</v>
      </c>
      <c r="H268">
        <v>36</v>
      </c>
      <c r="I268">
        <v>72</v>
      </c>
      <c r="J268">
        <v>6</v>
      </c>
      <c r="K268" s="4">
        <v>6235.02</v>
      </c>
      <c r="L268" s="4">
        <v>0.5714285714285714</v>
      </c>
      <c r="M268" s="4">
        <v>10.5</v>
      </c>
      <c r="N268" t="s">
        <v>19</v>
      </c>
      <c r="O268" t="str">
        <f t="shared" si="40"/>
        <v>Low</v>
      </c>
      <c r="P268" t="str">
        <f t="shared" si="41"/>
        <v>High</v>
      </c>
      <c r="Q268" t="str">
        <f t="shared" si="42"/>
        <v>High</v>
      </c>
      <c r="R268" t="s">
        <v>3317</v>
      </c>
      <c r="S268" s="4">
        <f t="shared" ca="1" si="43"/>
        <v>773</v>
      </c>
      <c r="T268">
        <f t="shared" si="44"/>
        <v>1</v>
      </c>
      <c r="U268">
        <f t="shared" si="45"/>
        <v>3</v>
      </c>
      <c r="V268">
        <f t="shared" si="46"/>
        <v>3</v>
      </c>
      <c r="W268">
        <f t="shared" si="47"/>
        <v>1</v>
      </c>
      <c r="X268">
        <f t="shared" si="48"/>
        <v>2</v>
      </c>
      <c r="Y268" t="str">
        <f t="shared" si="49"/>
        <v>Monitor</v>
      </c>
    </row>
    <row r="269" spans="1:25" x14ac:dyDescent="0.35">
      <c r="A269" t="s">
        <v>14</v>
      </c>
      <c r="B269" t="s">
        <v>58</v>
      </c>
      <c r="C269" t="s">
        <v>109</v>
      </c>
      <c r="D269" t="s">
        <v>109</v>
      </c>
      <c r="E269">
        <v>80797473</v>
      </c>
      <c r="F269" t="s">
        <v>332</v>
      </c>
      <c r="G269" s="3">
        <v>47955</v>
      </c>
      <c r="H269">
        <v>60</v>
      </c>
      <c r="I269">
        <v>98</v>
      </c>
      <c r="J269">
        <v>141</v>
      </c>
      <c r="K269" s="4">
        <v>69490.44</v>
      </c>
      <c r="L269" s="4">
        <v>1019.2857142857143</v>
      </c>
      <c r="M269" s="4">
        <v>0.13833216538192011</v>
      </c>
      <c r="N269" t="s">
        <v>25</v>
      </c>
      <c r="O269" t="str">
        <f t="shared" si="40"/>
        <v>Low</v>
      </c>
      <c r="P269" t="str">
        <f t="shared" si="41"/>
        <v>Low</v>
      </c>
      <c r="Q269" t="str">
        <f t="shared" si="42"/>
        <v>Low</v>
      </c>
      <c r="R269" t="s">
        <v>3310</v>
      </c>
      <c r="S269" s="4">
        <f t="shared" ca="1" si="43"/>
        <v>1758</v>
      </c>
      <c r="T269">
        <f t="shared" si="44"/>
        <v>1</v>
      </c>
      <c r="U269">
        <f t="shared" si="45"/>
        <v>1</v>
      </c>
      <c r="V269">
        <f t="shared" si="46"/>
        <v>1</v>
      </c>
      <c r="W269">
        <f t="shared" si="47"/>
        <v>2</v>
      </c>
      <c r="X269">
        <f t="shared" si="48"/>
        <v>1.0999999999999999</v>
      </c>
      <c r="Y269" t="str">
        <f t="shared" si="49"/>
        <v>Healthy</v>
      </c>
    </row>
    <row r="270" spans="1:25" x14ac:dyDescent="0.35">
      <c r="A270" t="s">
        <v>14</v>
      </c>
      <c r="B270" t="s">
        <v>58</v>
      </c>
      <c r="C270" t="s">
        <v>109</v>
      </c>
      <c r="D270" t="s">
        <v>109</v>
      </c>
      <c r="E270">
        <v>80797473</v>
      </c>
      <c r="F270" t="s">
        <v>332</v>
      </c>
      <c r="G270" s="3">
        <v>48000</v>
      </c>
      <c r="H270">
        <v>60</v>
      </c>
      <c r="I270">
        <v>100</v>
      </c>
      <c r="J270">
        <v>282</v>
      </c>
      <c r="K270" s="4">
        <v>138980.88</v>
      </c>
      <c r="L270" s="4">
        <v>1019.2857142857143</v>
      </c>
      <c r="M270" s="4">
        <v>0.27666433076384023</v>
      </c>
      <c r="N270" t="s">
        <v>25</v>
      </c>
      <c r="O270" t="str">
        <f t="shared" si="40"/>
        <v>Low</v>
      </c>
      <c r="P270" t="str">
        <f t="shared" si="41"/>
        <v>Low</v>
      </c>
      <c r="Q270" t="str">
        <f t="shared" si="42"/>
        <v>Low</v>
      </c>
      <c r="R270" t="s">
        <v>3309</v>
      </c>
      <c r="S270" s="4">
        <f t="shared" ca="1" si="43"/>
        <v>1803</v>
      </c>
      <c r="T270">
        <f t="shared" si="44"/>
        <v>1</v>
      </c>
      <c r="U270">
        <f t="shared" si="45"/>
        <v>1</v>
      </c>
      <c r="V270">
        <f t="shared" si="46"/>
        <v>1</v>
      </c>
      <c r="W270">
        <f t="shared" si="47"/>
        <v>3</v>
      </c>
      <c r="X270">
        <f t="shared" si="48"/>
        <v>1.2</v>
      </c>
      <c r="Y270" t="str">
        <f t="shared" si="49"/>
        <v>Healthy</v>
      </c>
    </row>
    <row r="271" spans="1:25" x14ac:dyDescent="0.35">
      <c r="A271" t="s">
        <v>14</v>
      </c>
      <c r="B271" t="s">
        <v>58</v>
      </c>
      <c r="C271" t="s">
        <v>109</v>
      </c>
      <c r="D271" t="s">
        <v>109</v>
      </c>
      <c r="E271">
        <v>80797473</v>
      </c>
      <c r="F271" t="s">
        <v>332</v>
      </c>
      <c r="G271" s="3">
        <v>47948</v>
      </c>
      <c r="H271">
        <v>60</v>
      </c>
      <c r="I271">
        <v>98</v>
      </c>
      <c r="J271">
        <v>108</v>
      </c>
      <c r="K271" s="4">
        <v>53226.720000000001</v>
      </c>
      <c r="L271" s="4">
        <v>1019.2857142857143</v>
      </c>
      <c r="M271" s="4">
        <v>0.10595655220742817</v>
      </c>
      <c r="N271" t="s">
        <v>25</v>
      </c>
      <c r="O271" t="str">
        <f t="shared" si="40"/>
        <v>Low</v>
      </c>
      <c r="P271" t="str">
        <f t="shared" si="41"/>
        <v>Low</v>
      </c>
      <c r="Q271" t="str">
        <f t="shared" si="42"/>
        <v>Low</v>
      </c>
      <c r="R271" t="s">
        <v>3317</v>
      </c>
      <c r="S271" s="4">
        <f t="shared" ca="1" si="43"/>
        <v>1751</v>
      </c>
      <c r="T271">
        <f t="shared" si="44"/>
        <v>1</v>
      </c>
      <c r="U271">
        <f t="shared" si="45"/>
        <v>1</v>
      </c>
      <c r="V271">
        <f t="shared" si="46"/>
        <v>1</v>
      </c>
      <c r="W271">
        <f t="shared" si="47"/>
        <v>1</v>
      </c>
      <c r="X271">
        <f t="shared" si="48"/>
        <v>0.99999999999999989</v>
      </c>
      <c r="Y271" t="str">
        <f t="shared" si="49"/>
        <v>Healthy</v>
      </c>
    </row>
    <row r="272" spans="1:25" x14ac:dyDescent="0.35">
      <c r="A272" t="s">
        <v>14</v>
      </c>
      <c r="B272" t="s">
        <v>58</v>
      </c>
      <c r="C272" t="s">
        <v>109</v>
      </c>
      <c r="D272" t="s">
        <v>109</v>
      </c>
      <c r="E272">
        <v>80797473</v>
      </c>
      <c r="F272" t="s">
        <v>332</v>
      </c>
      <c r="G272" s="3">
        <v>47951</v>
      </c>
      <c r="H272">
        <v>60</v>
      </c>
      <c r="I272">
        <v>98</v>
      </c>
      <c r="J272">
        <v>115</v>
      </c>
      <c r="K272" s="4">
        <v>56676.6</v>
      </c>
      <c r="L272" s="4">
        <v>1019.2857142857143</v>
      </c>
      <c r="M272" s="4">
        <v>0.11282410651716888</v>
      </c>
      <c r="N272" t="s">
        <v>25</v>
      </c>
      <c r="O272" t="str">
        <f t="shared" si="40"/>
        <v>Low</v>
      </c>
      <c r="P272" t="str">
        <f t="shared" si="41"/>
        <v>Low</v>
      </c>
      <c r="Q272" t="str">
        <f t="shared" si="42"/>
        <v>Low</v>
      </c>
      <c r="R272" t="s">
        <v>3317</v>
      </c>
      <c r="S272" s="4">
        <f t="shared" ca="1" si="43"/>
        <v>1754</v>
      </c>
      <c r="T272">
        <f t="shared" si="44"/>
        <v>1</v>
      </c>
      <c r="U272">
        <f t="shared" si="45"/>
        <v>1</v>
      </c>
      <c r="V272">
        <f t="shared" si="46"/>
        <v>1</v>
      </c>
      <c r="W272">
        <f t="shared" si="47"/>
        <v>1</v>
      </c>
      <c r="X272">
        <f t="shared" si="48"/>
        <v>0.99999999999999989</v>
      </c>
      <c r="Y272" t="str">
        <f t="shared" si="49"/>
        <v>Healthy</v>
      </c>
    </row>
    <row r="273" spans="1:25" x14ac:dyDescent="0.35">
      <c r="A273" t="s">
        <v>71</v>
      </c>
      <c r="B273" t="s">
        <v>72</v>
      </c>
      <c r="C273" t="s">
        <v>174</v>
      </c>
      <c r="D273" t="s">
        <v>333</v>
      </c>
      <c r="E273">
        <v>80829168</v>
      </c>
      <c r="F273" t="s">
        <v>334</v>
      </c>
      <c r="G273" s="3">
        <v>46914</v>
      </c>
      <c r="H273">
        <v>36</v>
      </c>
      <c r="I273">
        <v>67</v>
      </c>
      <c r="J273">
        <v>2</v>
      </c>
      <c r="K273" s="4">
        <v>3735.02</v>
      </c>
      <c r="L273" s="4">
        <v>3</v>
      </c>
      <c r="M273" s="4">
        <v>0.66666666666666663</v>
      </c>
      <c r="N273" t="s">
        <v>25</v>
      </c>
      <c r="O273" t="str">
        <f t="shared" si="40"/>
        <v>Low</v>
      </c>
      <c r="P273" t="str">
        <f t="shared" si="41"/>
        <v>Low</v>
      </c>
      <c r="Q273" t="str">
        <f t="shared" si="42"/>
        <v>High</v>
      </c>
      <c r="R273" t="s">
        <v>3317</v>
      </c>
      <c r="S273" s="4">
        <f t="shared" ca="1" si="43"/>
        <v>717</v>
      </c>
      <c r="T273">
        <f t="shared" si="44"/>
        <v>1</v>
      </c>
      <c r="U273">
        <f t="shared" si="45"/>
        <v>1</v>
      </c>
      <c r="V273">
        <f t="shared" si="46"/>
        <v>3</v>
      </c>
      <c r="W273">
        <f t="shared" si="47"/>
        <v>1</v>
      </c>
      <c r="X273">
        <f t="shared" si="48"/>
        <v>1.4000000000000001</v>
      </c>
      <c r="Y273" t="str">
        <f t="shared" si="49"/>
        <v>Healthy</v>
      </c>
    </row>
    <row r="274" spans="1:25" x14ac:dyDescent="0.35">
      <c r="A274" t="s">
        <v>71</v>
      </c>
      <c r="B274" t="s">
        <v>72</v>
      </c>
      <c r="C274" t="s">
        <v>174</v>
      </c>
      <c r="D274" t="s">
        <v>333</v>
      </c>
      <c r="E274">
        <v>80829168</v>
      </c>
      <c r="F274" t="s">
        <v>334</v>
      </c>
      <c r="G274" s="3">
        <v>47005</v>
      </c>
      <c r="H274">
        <v>36</v>
      </c>
      <c r="I274">
        <v>75</v>
      </c>
      <c r="J274">
        <v>1</v>
      </c>
      <c r="K274" s="4">
        <v>1867.51</v>
      </c>
      <c r="L274" s="4">
        <v>3</v>
      </c>
      <c r="M274" s="4">
        <v>0.33333333333333331</v>
      </c>
      <c r="N274" t="s">
        <v>25</v>
      </c>
      <c r="O274" t="str">
        <f t="shared" si="40"/>
        <v>Low</v>
      </c>
      <c r="P274" t="str">
        <f t="shared" si="41"/>
        <v>Low</v>
      </c>
      <c r="Q274" t="str">
        <f t="shared" si="42"/>
        <v>High</v>
      </c>
      <c r="R274" t="s">
        <v>3317</v>
      </c>
      <c r="S274" s="4">
        <f t="shared" ca="1" si="43"/>
        <v>808</v>
      </c>
      <c r="T274">
        <f t="shared" si="44"/>
        <v>1</v>
      </c>
      <c r="U274">
        <f t="shared" si="45"/>
        <v>1</v>
      </c>
      <c r="V274">
        <f t="shared" si="46"/>
        <v>3</v>
      </c>
      <c r="W274">
        <f t="shared" si="47"/>
        <v>1</v>
      </c>
      <c r="X274">
        <f t="shared" si="48"/>
        <v>1.4000000000000001</v>
      </c>
      <c r="Y274" t="str">
        <f t="shared" si="49"/>
        <v>Healthy</v>
      </c>
    </row>
    <row r="275" spans="1:25" x14ac:dyDescent="0.35">
      <c r="A275" t="s">
        <v>41</v>
      </c>
      <c r="B275" t="s">
        <v>54</v>
      </c>
      <c r="C275" t="s">
        <v>87</v>
      </c>
      <c r="D275" t="s">
        <v>335</v>
      </c>
      <c r="E275">
        <v>80839435</v>
      </c>
      <c r="F275" t="s">
        <v>336</v>
      </c>
      <c r="G275" s="3">
        <v>46765</v>
      </c>
      <c r="H275">
        <v>36</v>
      </c>
      <c r="I275">
        <v>53</v>
      </c>
      <c r="J275">
        <v>21</v>
      </c>
      <c r="K275" s="4">
        <v>8558.5499999999993</v>
      </c>
      <c r="L275" s="4">
        <v>3</v>
      </c>
      <c r="M275" s="4">
        <v>7</v>
      </c>
      <c r="N275" t="s">
        <v>19</v>
      </c>
      <c r="O275" t="str">
        <f t="shared" si="40"/>
        <v>Low</v>
      </c>
      <c r="P275" t="str">
        <f t="shared" si="41"/>
        <v>Medium</v>
      </c>
      <c r="Q275" t="str">
        <f t="shared" si="42"/>
        <v>High</v>
      </c>
      <c r="R275" t="s">
        <v>3317</v>
      </c>
      <c r="S275" s="4">
        <f t="shared" ca="1" si="43"/>
        <v>568</v>
      </c>
      <c r="T275">
        <f t="shared" si="44"/>
        <v>1</v>
      </c>
      <c r="U275">
        <f t="shared" si="45"/>
        <v>2</v>
      </c>
      <c r="V275">
        <f t="shared" si="46"/>
        <v>3</v>
      </c>
      <c r="W275">
        <f t="shared" si="47"/>
        <v>1</v>
      </c>
      <c r="X275">
        <f t="shared" si="48"/>
        <v>1.7000000000000002</v>
      </c>
      <c r="Y275" t="str">
        <f t="shared" si="49"/>
        <v>Monitor</v>
      </c>
    </row>
    <row r="276" spans="1:25" x14ac:dyDescent="0.35">
      <c r="A276" t="s">
        <v>41</v>
      </c>
      <c r="B276" t="s">
        <v>42</v>
      </c>
      <c r="C276" t="s">
        <v>43</v>
      </c>
      <c r="D276" t="s">
        <v>221</v>
      </c>
      <c r="E276">
        <v>80839852</v>
      </c>
      <c r="F276" t="s">
        <v>337</v>
      </c>
      <c r="G276" s="3">
        <v>46732</v>
      </c>
      <c r="H276">
        <v>36</v>
      </c>
      <c r="I276">
        <v>50</v>
      </c>
      <c r="J276">
        <v>2</v>
      </c>
      <c r="K276" s="4">
        <v>1369.68</v>
      </c>
      <c r="L276" s="4">
        <f>0</f>
        <v>0</v>
      </c>
      <c r="M276" s="4">
        <f>999</f>
        <v>999</v>
      </c>
      <c r="N276" t="s">
        <v>19</v>
      </c>
      <c r="O276" t="str">
        <f t="shared" si="40"/>
        <v>Low</v>
      </c>
      <c r="P276" t="str">
        <f t="shared" si="41"/>
        <v>High</v>
      </c>
      <c r="Q276" t="str">
        <f t="shared" si="42"/>
        <v>High</v>
      </c>
      <c r="R276" t="s">
        <v>3317</v>
      </c>
      <c r="S276" s="4">
        <f t="shared" ca="1" si="43"/>
        <v>535</v>
      </c>
      <c r="T276">
        <f t="shared" si="44"/>
        <v>1</v>
      </c>
      <c r="U276">
        <f t="shared" si="45"/>
        <v>3</v>
      </c>
      <c r="V276">
        <f t="shared" si="46"/>
        <v>3</v>
      </c>
      <c r="W276">
        <f t="shared" si="47"/>
        <v>1</v>
      </c>
      <c r="X276">
        <f t="shared" si="48"/>
        <v>2</v>
      </c>
      <c r="Y276" t="str">
        <f t="shared" si="49"/>
        <v>Monitor</v>
      </c>
    </row>
    <row r="277" spans="1:25" x14ac:dyDescent="0.35">
      <c r="A277" t="s">
        <v>41</v>
      </c>
      <c r="B277" t="s">
        <v>42</v>
      </c>
      <c r="C277" t="s">
        <v>43</v>
      </c>
      <c r="D277" t="s">
        <v>221</v>
      </c>
      <c r="E277">
        <v>80839852</v>
      </c>
      <c r="F277" t="s">
        <v>337</v>
      </c>
      <c r="G277" s="3">
        <v>46832</v>
      </c>
      <c r="H277">
        <v>36</v>
      </c>
      <c r="I277">
        <v>59</v>
      </c>
      <c r="J277">
        <v>3</v>
      </c>
      <c r="K277" s="4">
        <v>2054.52</v>
      </c>
      <c r="L277" s="4">
        <f>0</f>
        <v>0</v>
      </c>
      <c r="M277" s="4">
        <f>999</f>
        <v>999</v>
      </c>
      <c r="N277" t="s">
        <v>19</v>
      </c>
      <c r="O277" t="str">
        <f t="shared" si="40"/>
        <v>Low</v>
      </c>
      <c r="P277" t="str">
        <f t="shared" si="41"/>
        <v>High</v>
      </c>
      <c r="Q277" t="str">
        <f t="shared" si="42"/>
        <v>High</v>
      </c>
      <c r="R277" t="s">
        <v>3317</v>
      </c>
      <c r="S277" s="4">
        <f t="shared" ca="1" si="43"/>
        <v>635</v>
      </c>
      <c r="T277">
        <f t="shared" si="44"/>
        <v>1</v>
      </c>
      <c r="U277">
        <f t="shared" si="45"/>
        <v>3</v>
      </c>
      <c r="V277">
        <f t="shared" si="46"/>
        <v>3</v>
      </c>
      <c r="W277">
        <f t="shared" si="47"/>
        <v>1</v>
      </c>
      <c r="X277">
        <f t="shared" si="48"/>
        <v>2</v>
      </c>
      <c r="Y277" t="str">
        <f t="shared" si="49"/>
        <v>Monitor</v>
      </c>
    </row>
    <row r="278" spans="1:25" x14ac:dyDescent="0.35">
      <c r="A278" t="s">
        <v>41</v>
      </c>
      <c r="B278" t="s">
        <v>42</v>
      </c>
      <c r="C278" t="s">
        <v>43</v>
      </c>
      <c r="D278" t="s">
        <v>221</v>
      </c>
      <c r="E278">
        <v>80839852</v>
      </c>
      <c r="F278" t="s">
        <v>337</v>
      </c>
      <c r="G278" s="3">
        <v>46825</v>
      </c>
      <c r="H278">
        <v>36</v>
      </c>
      <c r="I278">
        <v>59</v>
      </c>
      <c r="J278">
        <v>1</v>
      </c>
      <c r="K278" s="4">
        <v>684.84</v>
      </c>
      <c r="L278" s="4">
        <f>0</f>
        <v>0</v>
      </c>
      <c r="M278" s="4">
        <f>999</f>
        <v>999</v>
      </c>
      <c r="N278" t="s">
        <v>19</v>
      </c>
      <c r="O278" t="str">
        <f t="shared" si="40"/>
        <v>Low</v>
      </c>
      <c r="P278" t="str">
        <f t="shared" si="41"/>
        <v>High</v>
      </c>
      <c r="Q278" t="str">
        <f t="shared" si="42"/>
        <v>High</v>
      </c>
      <c r="R278" t="s">
        <v>3317</v>
      </c>
      <c r="S278" s="4">
        <f t="shared" ca="1" si="43"/>
        <v>628</v>
      </c>
      <c r="T278">
        <f t="shared" si="44"/>
        <v>1</v>
      </c>
      <c r="U278">
        <f t="shared" si="45"/>
        <v>3</v>
      </c>
      <c r="V278">
        <f t="shared" si="46"/>
        <v>3</v>
      </c>
      <c r="W278">
        <f t="shared" si="47"/>
        <v>1</v>
      </c>
      <c r="X278">
        <f t="shared" si="48"/>
        <v>2</v>
      </c>
      <c r="Y278" t="str">
        <f t="shared" si="49"/>
        <v>Monitor</v>
      </c>
    </row>
    <row r="279" spans="1:25" x14ac:dyDescent="0.35">
      <c r="A279" t="s">
        <v>210</v>
      </c>
      <c r="B279" t="s">
        <v>211</v>
      </c>
      <c r="C279" t="s">
        <v>338</v>
      </c>
      <c r="D279" t="s">
        <v>339</v>
      </c>
      <c r="E279">
        <v>80813218</v>
      </c>
      <c r="F279" t="s">
        <v>340</v>
      </c>
      <c r="G279" s="3">
        <v>47670</v>
      </c>
      <c r="H279">
        <v>60</v>
      </c>
      <c r="I279">
        <v>82</v>
      </c>
      <c r="J279">
        <v>6</v>
      </c>
      <c r="K279" s="4">
        <v>833.64</v>
      </c>
      <c r="L279" s="4">
        <f>0</f>
        <v>0</v>
      </c>
      <c r="M279" s="4">
        <f>999</f>
        <v>999</v>
      </c>
      <c r="N279" t="s">
        <v>19</v>
      </c>
      <c r="O279" t="str">
        <f t="shared" si="40"/>
        <v>Low</v>
      </c>
      <c r="P279" t="str">
        <f t="shared" si="41"/>
        <v>High</v>
      </c>
      <c r="Q279" t="str">
        <f t="shared" si="42"/>
        <v>High</v>
      </c>
      <c r="R279" t="s">
        <v>3317</v>
      </c>
      <c r="S279" s="4">
        <f t="shared" ca="1" si="43"/>
        <v>1473</v>
      </c>
      <c r="T279">
        <f t="shared" si="44"/>
        <v>1</v>
      </c>
      <c r="U279">
        <f t="shared" si="45"/>
        <v>3</v>
      </c>
      <c r="V279">
        <f t="shared" si="46"/>
        <v>3</v>
      </c>
      <c r="W279">
        <f t="shared" si="47"/>
        <v>1</v>
      </c>
      <c r="X279">
        <f t="shared" si="48"/>
        <v>2</v>
      </c>
      <c r="Y279" t="str">
        <f t="shared" si="49"/>
        <v>Monitor</v>
      </c>
    </row>
    <row r="280" spans="1:25" x14ac:dyDescent="0.35">
      <c r="A280" t="s">
        <v>41</v>
      </c>
      <c r="B280" t="s">
        <v>42</v>
      </c>
      <c r="C280" t="s">
        <v>43</v>
      </c>
      <c r="D280" t="s">
        <v>221</v>
      </c>
      <c r="E280">
        <v>80839852</v>
      </c>
      <c r="F280" t="s">
        <v>337</v>
      </c>
      <c r="G280" s="3">
        <v>46756</v>
      </c>
      <c r="H280">
        <v>36</v>
      </c>
      <c r="I280">
        <v>52</v>
      </c>
      <c r="J280">
        <v>6</v>
      </c>
      <c r="K280" s="4">
        <v>4109.04</v>
      </c>
      <c r="L280" s="4">
        <f>0</f>
        <v>0</v>
      </c>
      <c r="M280" s="4">
        <f>999</f>
        <v>999</v>
      </c>
      <c r="N280" t="s">
        <v>19</v>
      </c>
      <c r="O280" t="str">
        <f t="shared" si="40"/>
        <v>Low</v>
      </c>
      <c r="P280" t="str">
        <f t="shared" si="41"/>
        <v>High</v>
      </c>
      <c r="Q280" t="str">
        <f t="shared" si="42"/>
        <v>High</v>
      </c>
      <c r="R280" t="s">
        <v>3317</v>
      </c>
      <c r="S280" s="4">
        <f t="shared" ca="1" si="43"/>
        <v>559</v>
      </c>
      <c r="T280">
        <f t="shared" si="44"/>
        <v>1</v>
      </c>
      <c r="U280">
        <f t="shared" si="45"/>
        <v>3</v>
      </c>
      <c r="V280">
        <f t="shared" si="46"/>
        <v>3</v>
      </c>
      <c r="W280">
        <f t="shared" si="47"/>
        <v>1</v>
      </c>
      <c r="X280">
        <f t="shared" si="48"/>
        <v>2</v>
      </c>
      <c r="Y280" t="str">
        <f t="shared" si="49"/>
        <v>Monitor</v>
      </c>
    </row>
    <row r="281" spans="1:25" x14ac:dyDescent="0.35">
      <c r="A281" t="s">
        <v>41</v>
      </c>
      <c r="B281" t="s">
        <v>42</v>
      </c>
      <c r="C281" t="s">
        <v>43</v>
      </c>
      <c r="D281" t="s">
        <v>221</v>
      </c>
      <c r="E281">
        <v>80839852</v>
      </c>
      <c r="F281" t="s">
        <v>337</v>
      </c>
      <c r="G281" s="3">
        <v>46820</v>
      </c>
      <c r="H281">
        <v>36</v>
      </c>
      <c r="I281">
        <v>58</v>
      </c>
      <c r="J281">
        <v>5</v>
      </c>
      <c r="K281" s="4">
        <v>3424.2</v>
      </c>
      <c r="L281" s="4">
        <f>0</f>
        <v>0</v>
      </c>
      <c r="M281" s="4">
        <f>999</f>
        <v>999</v>
      </c>
      <c r="N281" t="s">
        <v>19</v>
      </c>
      <c r="O281" t="str">
        <f t="shared" si="40"/>
        <v>Low</v>
      </c>
      <c r="P281" t="str">
        <f t="shared" si="41"/>
        <v>High</v>
      </c>
      <c r="Q281" t="str">
        <f t="shared" si="42"/>
        <v>High</v>
      </c>
      <c r="R281" t="s">
        <v>3317</v>
      </c>
      <c r="S281" s="4">
        <f t="shared" ca="1" si="43"/>
        <v>623</v>
      </c>
      <c r="T281">
        <f t="shared" si="44"/>
        <v>1</v>
      </c>
      <c r="U281">
        <f t="shared" si="45"/>
        <v>3</v>
      </c>
      <c r="V281">
        <f t="shared" si="46"/>
        <v>3</v>
      </c>
      <c r="W281">
        <f t="shared" si="47"/>
        <v>1</v>
      </c>
      <c r="X281">
        <f t="shared" si="48"/>
        <v>2</v>
      </c>
      <c r="Y281" t="str">
        <f t="shared" si="49"/>
        <v>Monitor</v>
      </c>
    </row>
    <row r="282" spans="1:25" x14ac:dyDescent="0.35">
      <c r="A282" t="s">
        <v>71</v>
      </c>
      <c r="B282" t="s">
        <v>72</v>
      </c>
      <c r="C282" t="s">
        <v>320</v>
      </c>
      <c r="D282" t="s">
        <v>341</v>
      </c>
      <c r="E282">
        <v>80831613</v>
      </c>
      <c r="F282" t="s">
        <v>342</v>
      </c>
      <c r="G282" s="3">
        <v>46681</v>
      </c>
      <c r="H282">
        <v>36</v>
      </c>
      <c r="I282">
        <v>45</v>
      </c>
      <c r="J282">
        <v>1842</v>
      </c>
      <c r="K282" s="4">
        <v>20630.400000000001</v>
      </c>
      <c r="L282" s="4">
        <v>1495.1428571428571</v>
      </c>
      <c r="M282" s="4">
        <v>1.2319892986814447</v>
      </c>
      <c r="N282" t="s">
        <v>25</v>
      </c>
      <c r="O282" t="str">
        <f t="shared" si="40"/>
        <v>Low</v>
      </c>
      <c r="P282" t="str">
        <f t="shared" si="41"/>
        <v>Low</v>
      </c>
      <c r="Q282" t="str">
        <f t="shared" si="42"/>
        <v>Low</v>
      </c>
      <c r="R282" t="s">
        <v>3317</v>
      </c>
      <c r="S282" s="4">
        <f t="shared" ca="1" si="43"/>
        <v>484</v>
      </c>
      <c r="T282">
        <f t="shared" si="44"/>
        <v>1</v>
      </c>
      <c r="U282">
        <f t="shared" si="45"/>
        <v>1</v>
      </c>
      <c r="V282">
        <f t="shared" si="46"/>
        <v>1</v>
      </c>
      <c r="W282">
        <f t="shared" si="47"/>
        <v>1</v>
      </c>
      <c r="X282">
        <f t="shared" si="48"/>
        <v>0.99999999999999989</v>
      </c>
      <c r="Y282" t="str">
        <f t="shared" si="49"/>
        <v>Healthy</v>
      </c>
    </row>
    <row r="283" spans="1:25" x14ac:dyDescent="0.35">
      <c r="A283" t="s">
        <v>71</v>
      </c>
      <c r="B283" t="s">
        <v>72</v>
      </c>
      <c r="C283" t="s">
        <v>320</v>
      </c>
      <c r="D283" t="s">
        <v>341</v>
      </c>
      <c r="E283">
        <v>80831613</v>
      </c>
      <c r="F283" t="s">
        <v>342</v>
      </c>
      <c r="G283" s="3">
        <v>46694</v>
      </c>
      <c r="H283">
        <v>36</v>
      </c>
      <c r="I283">
        <v>46</v>
      </c>
      <c r="J283">
        <v>8775</v>
      </c>
      <c r="K283" s="4">
        <v>98280</v>
      </c>
      <c r="L283" s="4">
        <v>1495.1428571428571</v>
      </c>
      <c r="M283" s="4">
        <v>5.8690043951844064</v>
      </c>
      <c r="N283" t="s">
        <v>25</v>
      </c>
      <c r="O283" t="str">
        <f t="shared" si="40"/>
        <v>Low</v>
      </c>
      <c r="P283" t="str">
        <f t="shared" si="41"/>
        <v>Medium</v>
      </c>
      <c r="Q283" t="str">
        <f t="shared" si="42"/>
        <v>Low</v>
      </c>
      <c r="R283" t="s">
        <v>3310</v>
      </c>
      <c r="S283" s="4">
        <f t="shared" ca="1" si="43"/>
        <v>497</v>
      </c>
      <c r="T283">
        <f t="shared" si="44"/>
        <v>1</v>
      </c>
      <c r="U283">
        <f t="shared" si="45"/>
        <v>2</v>
      </c>
      <c r="V283">
        <f t="shared" si="46"/>
        <v>1</v>
      </c>
      <c r="W283">
        <f t="shared" si="47"/>
        <v>2</v>
      </c>
      <c r="X283">
        <f t="shared" si="48"/>
        <v>1.4</v>
      </c>
      <c r="Y283" t="str">
        <f t="shared" si="49"/>
        <v>Healthy</v>
      </c>
    </row>
    <row r="284" spans="1:25" x14ac:dyDescent="0.35">
      <c r="A284" t="s">
        <v>71</v>
      </c>
      <c r="B284" t="s">
        <v>72</v>
      </c>
      <c r="C284" t="s">
        <v>320</v>
      </c>
      <c r="D284" t="s">
        <v>341</v>
      </c>
      <c r="E284">
        <v>80831613</v>
      </c>
      <c r="F284" t="s">
        <v>342</v>
      </c>
      <c r="G284" s="3">
        <v>46701</v>
      </c>
      <c r="H284">
        <v>36</v>
      </c>
      <c r="I284">
        <v>47</v>
      </c>
      <c r="J284">
        <v>8574</v>
      </c>
      <c r="K284" s="4">
        <v>96028.800000000003</v>
      </c>
      <c r="L284" s="4">
        <v>1495.1428571428571</v>
      </c>
      <c r="M284" s="4">
        <v>5.7345690808331744</v>
      </c>
      <c r="N284" t="s">
        <v>25</v>
      </c>
      <c r="O284" t="str">
        <f t="shared" si="40"/>
        <v>Low</v>
      </c>
      <c r="P284" t="str">
        <f t="shared" si="41"/>
        <v>Medium</v>
      </c>
      <c r="Q284" t="str">
        <f t="shared" si="42"/>
        <v>Low</v>
      </c>
      <c r="R284" t="s">
        <v>3310</v>
      </c>
      <c r="S284" s="4">
        <f t="shared" ca="1" si="43"/>
        <v>504</v>
      </c>
      <c r="T284">
        <f t="shared" si="44"/>
        <v>1</v>
      </c>
      <c r="U284">
        <f t="shared" si="45"/>
        <v>2</v>
      </c>
      <c r="V284">
        <f t="shared" si="46"/>
        <v>1</v>
      </c>
      <c r="W284">
        <f t="shared" si="47"/>
        <v>2</v>
      </c>
      <c r="X284">
        <f t="shared" si="48"/>
        <v>1.4</v>
      </c>
      <c r="Y284" t="str">
        <f t="shared" si="49"/>
        <v>Healthy</v>
      </c>
    </row>
    <row r="285" spans="1:25" x14ac:dyDescent="0.35">
      <c r="A285" t="s">
        <v>71</v>
      </c>
      <c r="B285" t="s">
        <v>72</v>
      </c>
      <c r="C285" t="s">
        <v>320</v>
      </c>
      <c r="D285" t="s">
        <v>341</v>
      </c>
      <c r="E285">
        <v>80831613</v>
      </c>
      <c r="F285" t="s">
        <v>342</v>
      </c>
      <c r="G285" s="3">
        <v>46839</v>
      </c>
      <c r="H285">
        <v>36</v>
      </c>
      <c r="I285">
        <v>60</v>
      </c>
      <c r="J285">
        <v>324</v>
      </c>
      <c r="K285" s="4">
        <v>3628.8</v>
      </c>
      <c r="L285" s="4">
        <v>1495.1428571428571</v>
      </c>
      <c r="M285" s="4">
        <v>0.2167017007452704</v>
      </c>
      <c r="N285" t="s">
        <v>25</v>
      </c>
      <c r="O285" t="str">
        <f t="shared" si="40"/>
        <v>Low</v>
      </c>
      <c r="P285" t="str">
        <f t="shared" si="41"/>
        <v>Low</v>
      </c>
      <c r="Q285" t="str">
        <f t="shared" si="42"/>
        <v>Low</v>
      </c>
      <c r="R285" t="s">
        <v>3317</v>
      </c>
      <c r="S285" s="4">
        <f t="shared" ca="1" si="43"/>
        <v>642</v>
      </c>
      <c r="T285">
        <f t="shared" si="44"/>
        <v>1</v>
      </c>
      <c r="U285">
        <f t="shared" si="45"/>
        <v>1</v>
      </c>
      <c r="V285">
        <f t="shared" si="46"/>
        <v>1</v>
      </c>
      <c r="W285">
        <f t="shared" si="47"/>
        <v>1</v>
      </c>
      <c r="X285">
        <f t="shared" si="48"/>
        <v>0.99999999999999989</v>
      </c>
      <c r="Y285" t="str">
        <f t="shared" si="49"/>
        <v>Healthy</v>
      </c>
    </row>
    <row r="286" spans="1:25" x14ac:dyDescent="0.35">
      <c r="A286" t="s">
        <v>71</v>
      </c>
      <c r="B286" t="s">
        <v>72</v>
      </c>
      <c r="C286" t="s">
        <v>320</v>
      </c>
      <c r="D286" t="s">
        <v>341</v>
      </c>
      <c r="E286">
        <v>80831613</v>
      </c>
      <c r="F286" t="s">
        <v>342</v>
      </c>
      <c r="G286" s="3">
        <v>46680</v>
      </c>
      <c r="H286">
        <v>36</v>
      </c>
      <c r="I286">
        <v>45</v>
      </c>
      <c r="J286">
        <v>1668</v>
      </c>
      <c r="K286" s="4">
        <v>18681.599999999999</v>
      </c>
      <c r="L286" s="4">
        <v>1495.1428571428571</v>
      </c>
      <c r="M286" s="4">
        <v>1.115612459392318</v>
      </c>
      <c r="N286" t="s">
        <v>25</v>
      </c>
      <c r="O286" t="str">
        <f t="shared" si="40"/>
        <v>Low</v>
      </c>
      <c r="P286" t="str">
        <f t="shared" si="41"/>
        <v>Low</v>
      </c>
      <c r="Q286" t="str">
        <f t="shared" si="42"/>
        <v>Low</v>
      </c>
      <c r="R286" t="s">
        <v>3317</v>
      </c>
      <c r="S286" s="4">
        <f t="shared" ca="1" si="43"/>
        <v>483</v>
      </c>
      <c r="T286">
        <f t="shared" si="44"/>
        <v>1</v>
      </c>
      <c r="U286">
        <f t="shared" si="45"/>
        <v>1</v>
      </c>
      <c r="V286">
        <f t="shared" si="46"/>
        <v>1</v>
      </c>
      <c r="W286">
        <f t="shared" si="47"/>
        <v>1</v>
      </c>
      <c r="X286">
        <f t="shared" si="48"/>
        <v>0.99999999999999989</v>
      </c>
      <c r="Y286" t="str">
        <f t="shared" si="49"/>
        <v>Healthy</v>
      </c>
    </row>
    <row r="287" spans="1:25" x14ac:dyDescent="0.35">
      <c r="A287" t="s">
        <v>71</v>
      </c>
      <c r="B287" t="s">
        <v>72</v>
      </c>
      <c r="C287" t="s">
        <v>320</v>
      </c>
      <c r="D287" t="s">
        <v>341</v>
      </c>
      <c r="E287">
        <v>80831613</v>
      </c>
      <c r="F287" t="s">
        <v>342</v>
      </c>
      <c r="G287" s="3">
        <v>46674</v>
      </c>
      <c r="H287">
        <v>36</v>
      </c>
      <c r="I287">
        <v>45</v>
      </c>
      <c r="J287">
        <v>2756</v>
      </c>
      <c r="K287" s="4">
        <v>30867.200000000001</v>
      </c>
      <c r="L287" s="4">
        <v>1495.1428571428571</v>
      </c>
      <c r="M287" s="4">
        <v>1.8433021211542138</v>
      </c>
      <c r="N287" t="s">
        <v>25</v>
      </c>
      <c r="O287" t="str">
        <f t="shared" si="40"/>
        <v>Low</v>
      </c>
      <c r="P287" t="str">
        <f t="shared" si="41"/>
        <v>Low</v>
      </c>
      <c r="Q287" t="str">
        <f t="shared" si="42"/>
        <v>Low</v>
      </c>
      <c r="R287" t="s">
        <v>3317</v>
      </c>
      <c r="S287" s="4">
        <f t="shared" ca="1" si="43"/>
        <v>477</v>
      </c>
      <c r="T287">
        <f t="shared" si="44"/>
        <v>1</v>
      </c>
      <c r="U287">
        <f t="shared" si="45"/>
        <v>1</v>
      </c>
      <c r="V287">
        <f t="shared" si="46"/>
        <v>1</v>
      </c>
      <c r="W287">
        <f t="shared" si="47"/>
        <v>1</v>
      </c>
      <c r="X287">
        <f t="shared" si="48"/>
        <v>0.99999999999999989</v>
      </c>
      <c r="Y287" t="str">
        <f t="shared" si="49"/>
        <v>Healthy</v>
      </c>
    </row>
    <row r="288" spans="1:25" x14ac:dyDescent="0.35">
      <c r="A288" t="s">
        <v>71</v>
      </c>
      <c r="B288" t="s">
        <v>72</v>
      </c>
      <c r="C288" t="s">
        <v>320</v>
      </c>
      <c r="D288" t="s">
        <v>341</v>
      </c>
      <c r="E288">
        <v>80831613</v>
      </c>
      <c r="F288" t="s">
        <v>342</v>
      </c>
      <c r="G288" s="3">
        <v>46703</v>
      </c>
      <c r="H288">
        <v>36</v>
      </c>
      <c r="I288">
        <v>47</v>
      </c>
      <c r="J288">
        <v>7537</v>
      </c>
      <c r="K288" s="4">
        <v>84414.399999999994</v>
      </c>
      <c r="L288" s="4">
        <v>1495.1428571428571</v>
      </c>
      <c r="M288" s="4">
        <v>5.0409898719663673</v>
      </c>
      <c r="N288" t="s">
        <v>25</v>
      </c>
      <c r="O288" t="str">
        <f t="shared" si="40"/>
        <v>Low</v>
      </c>
      <c r="P288" t="str">
        <f t="shared" si="41"/>
        <v>Medium</v>
      </c>
      <c r="Q288" t="str">
        <f t="shared" si="42"/>
        <v>Low</v>
      </c>
      <c r="R288" t="s">
        <v>3310</v>
      </c>
      <c r="S288" s="4">
        <f t="shared" ca="1" si="43"/>
        <v>506</v>
      </c>
      <c r="T288">
        <f t="shared" si="44"/>
        <v>1</v>
      </c>
      <c r="U288">
        <f t="shared" si="45"/>
        <v>2</v>
      </c>
      <c r="V288">
        <f t="shared" si="46"/>
        <v>1</v>
      </c>
      <c r="W288">
        <f t="shared" si="47"/>
        <v>2</v>
      </c>
      <c r="X288">
        <f t="shared" si="48"/>
        <v>1.4</v>
      </c>
      <c r="Y288" t="str">
        <f t="shared" si="49"/>
        <v>Healthy</v>
      </c>
    </row>
    <row r="289" spans="1:25" x14ac:dyDescent="0.35">
      <c r="A289" t="s">
        <v>14</v>
      </c>
      <c r="B289" t="s">
        <v>343</v>
      </c>
      <c r="C289" t="s">
        <v>344</v>
      </c>
      <c r="D289" t="s">
        <v>345</v>
      </c>
      <c r="E289">
        <v>80831103</v>
      </c>
      <c r="F289" t="s">
        <v>346</v>
      </c>
      <c r="G289" s="3">
        <v>47869</v>
      </c>
      <c r="H289">
        <v>60</v>
      </c>
      <c r="I289">
        <v>93</v>
      </c>
      <c r="J289">
        <v>2</v>
      </c>
      <c r="K289" s="4">
        <v>2419.8200000000002</v>
      </c>
      <c r="L289" s="4">
        <v>211.14285714285714</v>
      </c>
      <c r="M289" s="4">
        <v>9.4722598105548041E-3</v>
      </c>
      <c r="N289" t="s">
        <v>25</v>
      </c>
      <c r="O289" t="str">
        <f t="shared" si="40"/>
        <v>Low</v>
      </c>
      <c r="P289" t="str">
        <f t="shared" si="41"/>
        <v>Low</v>
      </c>
      <c r="Q289" t="str">
        <f t="shared" si="42"/>
        <v>Low</v>
      </c>
      <c r="R289" t="s">
        <v>3317</v>
      </c>
      <c r="S289" s="4">
        <f t="shared" ca="1" si="43"/>
        <v>1672</v>
      </c>
      <c r="T289">
        <f t="shared" si="44"/>
        <v>1</v>
      </c>
      <c r="U289">
        <f t="shared" si="45"/>
        <v>1</v>
      </c>
      <c r="V289">
        <f t="shared" si="46"/>
        <v>1</v>
      </c>
      <c r="W289">
        <f t="shared" si="47"/>
        <v>1</v>
      </c>
      <c r="X289">
        <f t="shared" si="48"/>
        <v>0.99999999999999989</v>
      </c>
      <c r="Y289" t="str">
        <f t="shared" si="49"/>
        <v>Healthy</v>
      </c>
    </row>
    <row r="290" spans="1:25" x14ac:dyDescent="0.35">
      <c r="A290" t="s">
        <v>71</v>
      </c>
      <c r="B290" t="s">
        <v>72</v>
      </c>
      <c r="C290" t="s">
        <v>320</v>
      </c>
      <c r="D290" t="s">
        <v>341</v>
      </c>
      <c r="E290">
        <v>80831613</v>
      </c>
      <c r="F290" t="s">
        <v>342</v>
      </c>
      <c r="G290" s="3">
        <v>46678</v>
      </c>
      <c r="H290">
        <v>36</v>
      </c>
      <c r="I290">
        <v>45</v>
      </c>
      <c r="J290">
        <v>8700</v>
      </c>
      <c r="K290" s="4">
        <v>97440</v>
      </c>
      <c r="L290" s="4">
        <v>1495.1428571428571</v>
      </c>
      <c r="M290" s="4">
        <v>5.8188419644563352</v>
      </c>
      <c r="N290" t="s">
        <v>25</v>
      </c>
      <c r="O290" t="str">
        <f t="shared" si="40"/>
        <v>Low</v>
      </c>
      <c r="P290" t="str">
        <f t="shared" si="41"/>
        <v>Medium</v>
      </c>
      <c r="Q290" t="str">
        <f t="shared" si="42"/>
        <v>Low</v>
      </c>
      <c r="R290" t="s">
        <v>3310</v>
      </c>
      <c r="S290" s="4">
        <f t="shared" ca="1" si="43"/>
        <v>481</v>
      </c>
      <c r="T290">
        <f t="shared" si="44"/>
        <v>1</v>
      </c>
      <c r="U290">
        <f t="shared" si="45"/>
        <v>2</v>
      </c>
      <c r="V290">
        <f t="shared" si="46"/>
        <v>1</v>
      </c>
      <c r="W290">
        <f t="shared" si="47"/>
        <v>2</v>
      </c>
      <c r="X290">
        <f t="shared" si="48"/>
        <v>1.4</v>
      </c>
      <c r="Y290" t="str">
        <f t="shared" si="49"/>
        <v>Healthy</v>
      </c>
    </row>
    <row r="291" spans="1:25" x14ac:dyDescent="0.35">
      <c r="A291" t="s">
        <v>71</v>
      </c>
      <c r="B291" t="s">
        <v>72</v>
      </c>
      <c r="C291" t="s">
        <v>320</v>
      </c>
      <c r="D291" t="s">
        <v>347</v>
      </c>
      <c r="E291">
        <v>80844324</v>
      </c>
      <c r="F291" t="s">
        <v>348</v>
      </c>
      <c r="G291" s="3">
        <v>47080</v>
      </c>
      <c r="H291">
        <v>36</v>
      </c>
      <c r="I291">
        <v>82</v>
      </c>
      <c r="J291">
        <v>65</v>
      </c>
      <c r="K291" s="4">
        <v>936</v>
      </c>
      <c r="L291" s="4">
        <v>12658.285714285714</v>
      </c>
      <c r="M291" s="4">
        <v>5.1349765258215966E-3</v>
      </c>
      <c r="N291" t="s">
        <v>25</v>
      </c>
      <c r="O291" t="str">
        <f t="shared" si="40"/>
        <v>Low</v>
      </c>
      <c r="P291" t="str">
        <f t="shared" si="41"/>
        <v>Low</v>
      </c>
      <c r="Q291" t="str">
        <f t="shared" si="42"/>
        <v>Low</v>
      </c>
      <c r="R291" t="s">
        <v>3317</v>
      </c>
      <c r="S291" s="4">
        <f t="shared" ca="1" si="43"/>
        <v>883</v>
      </c>
      <c r="T291">
        <f t="shared" si="44"/>
        <v>1</v>
      </c>
      <c r="U291">
        <f t="shared" si="45"/>
        <v>1</v>
      </c>
      <c r="V291">
        <f t="shared" si="46"/>
        <v>1</v>
      </c>
      <c r="W291">
        <f t="shared" si="47"/>
        <v>1</v>
      </c>
      <c r="X291">
        <f t="shared" si="48"/>
        <v>0.99999999999999989</v>
      </c>
      <c r="Y291" t="str">
        <f t="shared" si="49"/>
        <v>Healthy</v>
      </c>
    </row>
    <row r="292" spans="1:25" x14ac:dyDescent="0.35">
      <c r="A292" t="s">
        <v>14</v>
      </c>
      <c r="B292" t="s">
        <v>58</v>
      </c>
      <c r="C292" t="s">
        <v>162</v>
      </c>
      <c r="D292" t="s">
        <v>349</v>
      </c>
      <c r="E292">
        <v>80821569</v>
      </c>
      <c r="F292" t="s">
        <v>350</v>
      </c>
      <c r="G292" s="3">
        <v>47680</v>
      </c>
      <c r="H292">
        <v>60</v>
      </c>
      <c r="I292">
        <v>83</v>
      </c>
      <c r="J292">
        <v>1</v>
      </c>
      <c r="K292" s="4">
        <v>535.70000000000005</v>
      </c>
      <c r="L292" s="4">
        <v>1564.2857142857142</v>
      </c>
      <c r="M292" s="4">
        <v>6.3926940639269405E-4</v>
      </c>
      <c r="N292" t="s">
        <v>25</v>
      </c>
      <c r="O292" t="str">
        <f t="shared" si="40"/>
        <v>Low</v>
      </c>
      <c r="P292" t="str">
        <f t="shared" si="41"/>
        <v>Low</v>
      </c>
      <c r="Q292" t="str">
        <f t="shared" si="42"/>
        <v>Low</v>
      </c>
      <c r="R292" t="s">
        <v>3317</v>
      </c>
      <c r="S292" s="4">
        <f t="shared" ca="1" si="43"/>
        <v>1483</v>
      </c>
      <c r="T292">
        <f t="shared" si="44"/>
        <v>1</v>
      </c>
      <c r="U292">
        <f t="shared" si="45"/>
        <v>1</v>
      </c>
      <c r="V292">
        <f t="shared" si="46"/>
        <v>1</v>
      </c>
      <c r="W292">
        <f t="shared" si="47"/>
        <v>1</v>
      </c>
      <c r="X292">
        <f t="shared" si="48"/>
        <v>0.99999999999999989</v>
      </c>
      <c r="Y292" t="str">
        <f t="shared" si="49"/>
        <v>Healthy</v>
      </c>
    </row>
    <row r="293" spans="1:25" x14ac:dyDescent="0.35">
      <c r="A293" t="s">
        <v>41</v>
      </c>
      <c r="B293" t="s">
        <v>54</v>
      </c>
      <c r="C293" t="s">
        <v>87</v>
      </c>
      <c r="D293" t="s">
        <v>351</v>
      </c>
      <c r="E293">
        <v>80839434</v>
      </c>
      <c r="F293" t="s">
        <v>352</v>
      </c>
      <c r="G293" s="3">
        <v>46759</v>
      </c>
      <c r="H293">
        <v>36</v>
      </c>
      <c r="I293">
        <v>53</v>
      </c>
      <c r="J293">
        <v>16</v>
      </c>
      <c r="K293" s="4">
        <v>6520.8</v>
      </c>
      <c r="L293" s="4">
        <f>0</f>
        <v>0</v>
      </c>
      <c r="M293" s="4">
        <f>999</f>
        <v>999</v>
      </c>
      <c r="N293" t="s">
        <v>19</v>
      </c>
      <c r="O293" t="str">
        <f t="shared" si="40"/>
        <v>Low</v>
      </c>
      <c r="P293" t="str">
        <f t="shared" si="41"/>
        <v>High</v>
      </c>
      <c r="Q293" t="str">
        <f t="shared" si="42"/>
        <v>High</v>
      </c>
      <c r="R293" t="s">
        <v>3317</v>
      </c>
      <c r="S293" s="4">
        <f t="shared" ca="1" si="43"/>
        <v>562</v>
      </c>
      <c r="T293">
        <f t="shared" si="44"/>
        <v>1</v>
      </c>
      <c r="U293">
        <f t="shared" si="45"/>
        <v>3</v>
      </c>
      <c r="V293">
        <f t="shared" si="46"/>
        <v>3</v>
      </c>
      <c r="W293">
        <f t="shared" si="47"/>
        <v>1</v>
      </c>
      <c r="X293">
        <f t="shared" si="48"/>
        <v>2</v>
      </c>
      <c r="Y293" t="str">
        <f t="shared" si="49"/>
        <v>Monitor</v>
      </c>
    </row>
    <row r="294" spans="1:25" x14ac:dyDescent="0.35">
      <c r="A294" t="s">
        <v>29</v>
      </c>
      <c r="B294" t="s">
        <v>30</v>
      </c>
      <c r="C294" t="s">
        <v>290</v>
      </c>
      <c r="D294" t="s">
        <v>353</v>
      </c>
      <c r="E294">
        <v>80773921</v>
      </c>
      <c r="F294" t="s">
        <v>354</v>
      </c>
      <c r="G294" s="3">
        <v>46802</v>
      </c>
      <c r="H294">
        <v>36</v>
      </c>
      <c r="I294">
        <v>56</v>
      </c>
      <c r="J294">
        <v>14</v>
      </c>
      <c r="K294" s="4">
        <v>11674.88</v>
      </c>
      <c r="L294" s="4">
        <v>43.428571428571431</v>
      </c>
      <c r="M294" s="4">
        <v>0.32236842105263158</v>
      </c>
      <c r="N294" t="s">
        <v>25</v>
      </c>
      <c r="O294" t="str">
        <f t="shared" si="40"/>
        <v>Low</v>
      </c>
      <c r="P294" t="str">
        <f t="shared" si="41"/>
        <v>Low</v>
      </c>
      <c r="Q294" t="str">
        <f t="shared" si="42"/>
        <v>Low</v>
      </c>
      <c r="R294" t="s">
        <v>3317</v>
      </c>
      <c r="S294" s="4">
        <f t="shared" ca="1" si="43"/>
        <v>605</v>
      </c>
      <c r="T294">
        <f t="shared" si="44"/>
        <v>1</v>
      </c>
      <c r="U294">
        <f t="shared" si="45"/>
        <v>1</v>
      </c>
      <c r="V294">
        <f t="shared" si="46"/>
        <v>1</v>
      </c>
      <c r="W294">
        <f t="shared" si="47"/>
        <v>1</v>
      </c>
      <c r="X294">
        <f t="shared" si="48"/>
        <v>0.99999999999999989</v>
      </c>
      <c r="Y294" t="str">
        <f t="shared" si="49"/>
        <v>Healthy</v>
      </c>
    </row>
    <row r="295" spans="1:25" x14ac:dyDescent="0.35">
      <c r="A295" t="s">
        <v>71</v>
      </c>
      <c r="B295" t="s">
        <v>72</v>
      </c>
      <c r="C295" t="s">
        <v>150</v>
      </c>
      <c r="D295" t="s">
        <v>355</v>
      </c>
      <c r="E295">
        <v>80845006</v>
      </c>
      <c r="F295" t="s">
        <v>356</v>
      </c>
      <c r="G295" s="3">
        <v>46880</v>
      </c>
      <c r="H295">
        <v>36</v>
      </c>
      <c r="I295">
        <v>64</v>
      </c>
      <c r="J295">
        <v>560</v>
      </c>
      <c r="K295" s="4">
        <v>8064</v>
      </c>
      <c r="L295" s="4">
        <v>87.428571428571431</v>
      </c>
      <c r="M295" s="4">
        <v>6.4052287581699341</v>
      </c>
      <c r="N295" t="s">
        <v>19</v>
      </c>
      <c r="O295" t="str">
        <f t="shared" si="40"/>
        <v>Low</v>
      </c>
      <c r="P295" t="str">
        <f t="shared" si="41"/>
        <v>Medium</v>
      </c>
      <c r="Q295" t="str">
        <f t="shared" si="42"/>
        <v>Low</v>
      </c>
      <c r="R295" t="s">
        <v>3317</v>
      </c>
      <c r="S295" s="4">
        <f t="shared" ca="1" si="43"/>
        <v>683</v>
      </c>
      <c r="T295">
        <f t="shared" si="44"/>
        <v>1</v>
      </c>
      <c r="U295">
        <f t="shared" si="45"/>
        <v>2</v>
      </c>
      <c r="V295">
        <f t="shared" si="46"/>
        <v>1</v>
      </c>
      <c r="W295">
        <f t="shared" si="47"/>
        <v>1</v>
      </c>
      <c r="X295">
        <f t="shared" si="48"/>
        <v>1.3</v>
      </c>
      <c r="Y295" t="str">
        <f t="shared" si="49"/>
        <v>Healthy</v>
      </c>
    </row>
    <row r="296" spans="1:25" x14ac:dyDescent="0.35">
      <c r="A296" t="s">
        <v>29</v>
      </c>
      <c r="B296" t="s">
        <v>30</v>
      </c>
      <c r="C296" t="s">
        <v>290</v>
      </c>
      <c r="D296" t="s">
        <v>353</v>
      </c>
      <c r="E296">
        <v>80773921</v>
      </c>
      <c r="F296" t="s">
        <v>354</v>
      </c>
      <c r="G296" s="3">
        <v>46670</v>
      </c>
      <c r="H296">
        <v>36</v>
      </c>
      <c r="I296">
        <v>44</v>
      </c>
      <c r="J296">
        <v>10</v>
      </c>
      <c r="K296" s="4">
        <v>8339.2000000000007</v>
      </c>
      <c r="L296" s="4">
        <v>43.428571428571431</v>
      </c>
      <c r="M296" s="4">
        <v>0.23026315789473684</v>
      </c>
      <c r="N296" t="s">
        <v>25</v>
      </c>
      <c r="O296" t="str">
        <f t="shared" si="40"/>
        <v>Low</v>
      </c>
      <c r="P296" t="str">
        <f t="shared" si="41"/>
        <v>Low</v>
      </c>
      <c r="Q296" t="str">
        <f t="shared" si="42"/>
        <v>Low</v>
      </c>
      <c r="R296" t="s">
        <v>3317</v>
      </c>
      <c r="S296" s="4">
        <f t="shared" ca="1" si="43"/>
        <v>473</v>
      </c>
      <c r="T296">
        <f t="shared" si="44"/>
        <v>1</v>
      </c>
      <c r="U296">
        <f t="shared" si="45"/>
        <v>1</v>
      </c>
      <c r="V296">
        <f t="shared" si="46"/>
        <v>1</v>
      </c>
      <c r="W296">
        <f t="shared" si="47"/>
        <v>1</v>
      </c>
      <c r="X296">
        <f t="shared" si="48"/>
        <v>0.99999999999999989</v>
      </c>
      <c r="Y296" t="str">
        <f t="shared" si="49"/>
        <v>Healthy</v>
      </c>
    </row>
    <row r="297" spans="1:25" x14ac:dyDescent="0.35">
      <c r="A297" t="s">
        <v>29</v>
      </c>
      <c r="B297" t="s">
        <v>30</v>
      </c>
      <c r="C297" t="s">
        <v>290</v>
      </c>
      <c r="D297" t="s">
        <v>353</v>
      </c>
      <c r="E297">
        <v>80773921</v>
      </c>
      <c r="F297" t="s">
        <v>354</v>
      </c>
      <c r="G297" s="3">
        <v>46628</v>
      </c>
      <c r="H297">
        <v>36</v>
      </c>
      <c r="I297">
        <v>40</v>
      </c>
      <c r="J297">
        <v>6</v>
      </c>
      <c r="K297" s="4">
        <v>5003.5200000000004</v>
      </c>
      <c r="L297" s="4">
        <v>43.428571428571431</v>
      </c>
      <c r="M297" s="4">
        <v>0.13815789473684209</v>
      </c>
      <c r="N297" t="s">
        <v>25</v>
      </c>
      <c r="O297" t="str">
        <f t="shared" si="40"/>
        <v>Low</v>
      </c>
      <c r="P297" t="str">
        <f t="shared" si="41"/>
        <v>Low</v>
      </c>
      <c r="Q297" t="str">
        <f t="shared" si="42"/>
        <v>Low</v>
      </c>
      <c r="R297" t="s">
        <v>3317</v>
      </c>
      <c r="S297" s="4">
        <f t="shared" ca="1" si="43"/>
        <v>431</v>
      </c>
      <c r="T297">
        <f t="shared" si="44"/>
        <v>1</v>
      </c>
      <c r="U297">
        <f t="shared" si="45"/>
        <v>1</v>
      </c>
      <c r="V297">
        <f t="shared" si="46"/>
        <v>1</v>
      </c>
      <c r="W297">
        <f t="shared" si="47"/>
        <v>1</v>
      </c>
      <c r="X297">
        <f t="shared" si="48"/>
        <v>0.99999999999999989</v>
      </c>
      <c r="Y297" t="str">
        <f t="shared" si="49"/>
        <v>Healthy</v>
      </c>
    </row>
    <row r="298" spans="1:25" x14ac:dyDescent="0.35">
      <c r="A298" t="s">
        <v>29</v>
      </c>
      <c r="B298" t="s">
        <v>30</v>
      </c>
      <c r="C298" t="s">
        <v>290</v>
      </c>
      <c r="D298" t="s">
        <v>353</v>
      </c>
      <c r="E298">
        <v>80773921</v>
      </c>
      <c r="F298" t="s">
        <v>354</v>
      </c>
      <c r="G298" s="3">
        <v>46661</v>
      </c>
      <c r="H298">
        <v>36</v>
      </c>
      <c r="I298">
        <v>43</v>
      </c>
      <c r="J298">
        <v>6</v>
      </c>
      <c r="K298" s="4">
        <v>5003.5200000000004</v>
      </c>
      <c r="L298" s="4">
        <v>43.428571428571431</v>
      </c>
      <c r="M298" s="4">
        <v>0.13815789473684209</v>
      </c>
      <c r="N298" t="s">
        <v>25</v>
      </c>
      <c r="O298" t="str">
        <f t="shared" si="40"/>
        <v>Low</v>
      </c>
      <c r="P298" t="str">
        <f t="shared" si="41"/>
        <v>Low</v>
      </c>
      <c r="Q298" t="str">
        <f t="shared" si="42"/>
        <v>Low</v>
      </c>
      <c r="R298" t="s">
        <v>3317</v>
      </c>
      <c r="S298" s="4">
        <f t="shared" ca="1" si="43"/>
        <v>464</v>
      </c>
      <c r="T298">
        <f t="shared" si="44"/>
        <v>1</v>
      </c>
      <c r="U298">
        <f t="shared" si="45"/>
        <v>1</v>
      </c>
      <c r="V298">
        <f t="shared" si="46"/>
        <v>1</v>
      </c>
      <c r="W298">
        <f t="shared" si="47"/>
        <v>1</v>
      </c>
      <c r="X298">
        <f t="shared" si="48"/>
        <v>0.99999999999999989</v>
      </c>
      <c r="Y298" t="str">
        <f t="shared" si="49"/>
        <v>Healthy</v>
      </c>
    </row>
    <row r="299" spans="1:25" x14ac:dyDescent="0.35">
      <c r="A299" t="s">
        <v>179</v>
      </c>
      <c r="B299" t="s">
        <v>223</v>
      </c>
      <c r="C299" t="s">
        <v>357</v>
      </c>
      <c r="D299" t="s">
        <v>358</v>
      </c>
      <c r="E299">
        <v>80845666</v>
      </c>
      <c r="F299" t="s">
        <v>359</v>
      </c>
      <c r="G299" s="3">
        <v>46375</v>
      </c>
      <c r="H299">
        <v>18</v>
      </c>
      <c r="I299">
        <v>34</v>
      </c>
      <c r="J299">
        <v>6</v>
      </c>
      <c r="K299" s="4">
        <v>5327.82</v>
      </c>
      <c r="L299" s="4">
        <v>8.5714285714285712</v>
      </c>
      <c r="M299" s="4">
        <v>0.70000000000000007</v>
      </c>
      <c r="N299" t="s">
        <v>25</v>
      </c>
      <c r="O299" t="str">
        <f t="shared" si="40"/>
        <v>Medium</v>
      </c>
      <c r="P299" t="str">
        <f t="shared" si="41"/>
        <v>Low</v>
      </c>
      <c r="Q299" t="str">
        <f t="shared" si="42"/>
        <v>Medium</v>
      </c>
      <c r="R299" t="s">
        <v>3317</v>
      </c>
      <c r="S299" s="4">
        <f t="shared" ca="1" si="43"/>
        <v>178</v>
      </c>
      <c r="T299">
        <f t="shared" si="44"/>
        <v>2</v>
      </c>
      <c r="U299">
        <f t="shared" si="45"/>
        <v>1</v>
      </c>
      <c r="V299">
        <f t="shared" si="46"/>
        <v>2</v>
      </c>
      <c r="W299">
        <f t="shared" si="47"/>
        <v>1</v>
      </c>
      <c r="X299">
        <f t="shared" si="48"/>
        <v>1.6</v>
      </c>
      <c r="Y299" t="str">
        <f t="shared" si="49"/>
        <v>Healthy</v>
      </c>
    </row>
    <row r="300" spans="1:25" x14ac:dyDescent="0.35">
      <c r="A300" t="s">
        <v>71</v>
      </c>
      <c r="B300" t="s">
        <v>72</v>
      </c>
      <c r="C300" t="s">
        <v>150</v>
      </c>
      <c r="D300" t="s">
        <v>355</v>
      </c>
      <c r="E300">
        <v>80845006</v>
      </c>
      <c r="F300" t="s">
        <v>356</v>
      </c>
      <c r="G300" s="3">
        <v>46838</v>
      </c>
      <c r="H300">
        <v>36</v>
      </c>
      <c r="I300">
        <v>60</v>
      </c>
      <c r="J300">
        <v>375</v>
      </c>
      <c r="K300" s="4">
        <v>5400</v>
      </c>
      <c r="L300" s="4">
        <v>87.428571428571431</v>
      </c>
      <c r="M300" s="4">
        <v>4.2892156862745097</v>
      </c>
      <c r="N300" t="s">
        <v>25</v>
      </c>
      <c r="O300" t="str">
        <f t="shared" si="40"/>
        <v>Low</v>
      </c>
      <c r="P300" t="str">
        <f t="shared" si="41"/>
        <v>Medium</v>
      </c>
      <c r="Q300" t="str">
        <f t="shared" si="42"/>
        <v>Low</v>
      </c>
      <c r="R300" t="s">
        <v>3317</v>
      </c>
      <c r="S300" s="4">
        <f t="shared" ca="1" si="43"/>
        <v>641</v>
      </c>
      <c r="T300">
        <f t="shared" si="44"/>
        <v>1</v>
      </c>
      <c r="U300">
        <f t="shared" si="45"/>
        <v>2</v>
      </c>
      <c r="V300">
        <f t="shared" si="46"/>
        <v>1</v>
      </c>
      <c r="W300">
        <f t="shared" si="47"/>
        <v>1</v>
      </c>
      <c r="X300">
        <f t="shared" si="48"/>
        <v>1.3</v>
      </c>
      <c r="Y300" t="str">
        <f t="shared" si="49"/>
        <v>Healthy</v>
      </c>
    </row>
    <row r="301" spans="1:25" x14ac:dyDescent="0.35">
      <c r="A301" t="s">
        <v>71</v>
      </c>
      <c r="B301" t="s">
        <v>72</v>
      </c>
      <c r="C301" t="s">
        <v>150</v>
      </c>
      <c r="D301" t="s">
        <v>355</v>
      </c>
      <c r="E301">
        <v>80845006</v>
      </c>
      <c r="F301" t="s">
        <v>356</v>
      </c>
      <c r="G301" s="3">
        <v>46802</v>
      </c>
      <c r="H301">
        <v>36</v>
      </c>
      <c r="I301">
        <v>56</v>
      </c>
      <c r="J301">
        <v>368</v>
      </c>
      <c r="K301" s="4">
        <v>5299.2</v>
      </c>
      <c r="L301" s="4">
        <v>87.428571428571431</v>
      </c>
      <c r="M301" s="4">
        <v>4.2091503267973858</v>
      </c>
      <c r="N301" t="s">
        <v>25</v>
      </c>
      <c r="O301" t="str">
        <f t="shared" si="40"/>
        <v>Low</v>
      </c>
      <c r="P301" t="str">
        <f t="shared" si="41"/>
        <v>Medium</v>
      </c>
      <c r="Q301" t="str">
        <f t="shared" si="42"/>
        <v>Low</v>
      </c>
      <c r="R301" t="s">
        <v>3317</v>
      </c>
      <c r="S301" s="4">
        <f t="shared" ca="1" si="43"/>
        <v>605</v>
      </c>
      <c r="T301">
        <f t="shared" si="44"/>
        <v>1</v>
      </c>
      <c r="U301">
        <f t="shared" si="45"/>
        <v>2</v>
      </c>
      <c r="V301">
        <f t="shared" si="46"/>
        <v>1</v>
      </c>
      <c r="W301">
        <f t="shared" si="47"/>
        <v>1</v>
      </c>
      <c r="X301">
        <f t="shared" si="48"/>
        <v>1.3</v>
      </c>
      <c r="Y301" t="str">
        <f t="shared" si="49"/>
        <v>Healthy</v>
      </c>
    </row>
    <row r="302" spans="1:25" x14ac:dyDescent="0.35">
      <c r="A302" t="s">
        <v>179</v>
      </c>
      <c r="B302" t="s">
        <v>180</v>
      </c>
      <c r="C302" t="s">
        <v>181</v>
      </c>
      <c r="D302" t="s">
        <v>360</v>
      </c>
      <c r="E302">
        <v>80842572</v>
      </c>
      <c r="F302" t="s">
        <v>361</v>
      </c>
      <c r="G302" s="3">
        <v>46189</v>
      </c>
      <c r="H302">
        <v>16</v>
      </c>
      <c r="I302">
        <v>0</v>
      </c>
      <c r="J302">
        <v>1</v>
      </c>
      <c r="K302" s="4">
        <v>84.8</v>
      </c>
      <c r="L302" s="4">
        <f>0</f>
        <v>0</v>
      </c>
      <c r="M302" s="4">
        <f>999</f>
        <v>999</v>
      </c>
      <c r="N302" t="s">
        <v>19</v>
      </c>
      <c r="O302" t="str">
        <f t="shared" si="40"/>
        <v>High</v>
      </c>
      <c r="P302" t="str">
        <f t="shared" si="41"/>
        <v>High</v>
      </c>
      <c r="Q302" t="str">
        <f t="shared" si="42"/>
        <v>High</v>
      </c>
      <c r="R302" t="s">
        <v>3317</v>
      </c>
      <c r="S302" s="4">
        <f t="shared" ca="1" si="43"/>
        <v>-8</v>
      </c>
      <c r="T302">
        <f t="shared" si="44"/>
        <v>3</v>
      </c>
      <c r="U302">
        <f t="shared" si="45"/>
        <v>3</v>
      </c>
      <c r="V302">
        <f t="shared" si="46"/>
        <v>3</v>
      </c>
      <c r="W302">
        <f t="shared" si="47"/>
        <v>1</v>
      </c>
      <c r="X302">
        <f t="shared" si="48"/>
        <v>2.8000000000000003</v>
      </c>
      <c r="Y302" t="str">
        <f t="shared" si="49"/>
        <v>Move Immediately</v>
      </c>
    </row>
    <row r="303" spans="1:25" x14ac:dyDescent="0.35">
      <c r="A303" t="s">
        <v>99</v>
      </c>
      <c r="B303" t="s">
        <v>100</v>
      </c>
      <c r="C303" t="s">
        <v>362</v>
      </c>
      <c r="D303" t="s">
        <v>363</v>
      </c>
      <c r="E303">
        <v>80818352</v>
      </c>
      <c r="F303" t="s">
        <v>364</v>
      </c>
      <c r="G303" s="3">
        <v>47052</v>
      </c>
      <c r="H303">
        <v>36</v>
      </c>
      <c r="I303">
        <v>80</v>
      </c>
      <c r="J303">
        <v>40</v>
      </c>
      <c r="K303" s="4">
        <v>2434.4</v>
      </c>
      <c r="L303" s="4">
        <v>2123.8571428571427</v>
      </c>
      <c r="M303" s="4">
        <v>1.8833658438151612E-2</v>
      </c>
      <c r="N303" t="s">
        <v>25</v>
      </c>
      <c r="O303" t="str">
        <f t="shared" si="40"/>
        <v>Low</v>
      </c>
      <c r="P303" t="str">
        <f t="shared" si="41"/>
        <v>Low</v>
      </c>
      <c r="Q303" t="str">
        <f t="shared" si="42"/>
        <v>Low</v>
      </c>
      <c r="R303" t="s">
        <v>3317</v>
      </c>
      <c r="S303" s="4">
        <f t="shared" ca="1" si="43"/>
        <v>855</v>
      </c>
      <c r="T303">
        <f t="shared" si="44"/>
        <v>1</v>
      </c>
      <c r="U303">
        <f t="shared" si="45"/>
        <v>1</v>
      </c>
      <c r="V303">
        <f t="shared" si="46"/>
        <v>1</v>
      </c>
      <c r="W303">
        <f t="shared" si="47"/>
        <v>1</v>
      </c>
      <c r="X303">
        <f t="shared" si="48"/>
        <v>0.99999999999999989</v>
      </c>
      <c r="Y303" t="str">
        <f t="shared" si="49"/>
        <v>Healthy</v>
      </c>
    </row>
    <row r="304" spans="1:25" x14ac:dyDescent="0.35">
      <c r="A304" t="s">
        <v>179</v>
      </c>
      <c r="B304" t="s">
        <v>180</v>
      </c>
      <c r="C304" t="s">
        <v>181</v>
      </c>
      <c r="D304" t="s">
        <v>360</v>
      </c>
      <c r="E304">
        <v>80842572</v>
      </c>
      <c r="F304" t="s">
        <v>361</v>
      </c>
      <c r="G304" s="3">
        <v>46256</v>
      </c>
      <c r="H304">
        <v>16</v>
      </c>
      <c r="I304">
        <v>13</v>
      </c>
      <c r="J304">
        <v>2</v>
      </c>
      <c r="K304" s="4">
        <v>169.6</v>
      </c>
      <c r="L304" s="4">
        <f>0</f>
        <v>0</v>
      </c>
      <c r="M304" s="4">
        <f>999</f>
        <v>999</v>
      </c>
      <c r="N304" t="s">
        <v>19</v>
      </c>
      <c r="O304" t="str">
        <f t="shared" si="40"/>
        <v>High</v>
      </c>
      <c r="P304" t="str">
        <f t="shared" si="41"/>
        <v>High</v>
      </c>
      <c r="Q304" t="str">
        <f t="shared" si="42"/>
        <v>High</v>
      </c>
      <c r="R304" t="s">
        <v>3317</v>
      </c>
      <c r="S304" s="4">
        <f t="shared" ca="1" si="43"/>
        <v>59</v>
      </c>
      <c r="T304">
        <f t="shared" si="44"/>
        <v>3</v>
      </c>
      <c r="U304">
        <f t="shared" si="45"/>
        <v>3</v>
      </c>
      <c r="V304">
        <f t="shared" si="46"/>
        <v>3</v>
      </c>
      <c r="W304">
        <f t="shared" si="47"/>
        <v>1</v>
      </c>
      <c r="X304">
        <f t="shared" si="48"/>
        <v>2.8000000000000003</v>
      </c>
      <c r="Y304" t="str">
        <f t="shared" si="49"/>
        <v>Move Immediately</v>
      </c>
    </row>
    <row r="305" spans="1:25" x14ac:dyDescent="0.35">
      <c r="A305" t="s">
        <v>99</v>
      </c>
      <c r="B305" t="s">
        <v>100</v>
      </c>
      <c r="C305" t="s">
        <v>362</v>
      </c>
      <c r="D305" t="s">
        <v>363</v>
      </c>
      <c r="E305">
        <v>80818352</v>
      </c>
      <c r="F305" t="s">
        <v>364</v>
      </c>
      <c r="G305" s="3">
        <v>47151</v>
      </c>
      <c r="H305">
        <v>36</v>
      </c>
      <c r="I305">
        <v>89</v>
      </c>
      <c r="J305">
        <v>1</v>
      </c>
      <c r="K305" s="4">
        <v>60.86</v>
      </c>
      <c r="L305" s="4">
        <v>2123.8571428571427</v>
      </c>
      <c r="M305" s="4">
        <v>4.7084146095379033E-4</v>
      </c>
      <c r="N305" t="s">
        <v>25</v>
      </c>
      <c r="O305" t="str">
        <f t="shared" si="40"/>
        <v>Low</v>
      </c>
      <c r="P305" t="str">
        <f t="shared" si="41"/>
        <v>Low</v>
      </c>
      <c r="Q305" t="str">
        <f t="shared" si="42"/>
        <v>Low</v>
      </c>
      <c r="R305" t="s">
        <v>3317</v>
      </c>
      <c r="S305" s="4">
        <f t="shared" ca="1" si="43"/>
        <v>954</v>
      </c>
      <c r="T305">
        <f t="shared" si="44"/>
        <v>1</v>
      </c>
      <c r="U305">
        <f t="shared" si="45"/>
        <v>1</v>
      </c>
      <c r="V305">
        <f t="shared" si="46"/>
        <v>1</v>
      </c>
      <c r="W305">
        <f t="shared" si="47"/>
        <v>1</v>
      </c>
      <c r="X305">
        <f t="shared" si="48"/>
        <v>0.99999999999999989</v>
      </c>
      <c r="Y305" t="str">
        <f t="shared" si="49"/>
        <v>Healthy</v>
      </c>
    </row>
    <row r="306" spans="1:25" x14ac:dyDescent="0.35">
      <c r="A306" t="s">
        <v>179</v>
      </c>
      <c r="B306" t="s">
        <v>180</v>
      </c>
      <c r="C306" t="s">
        <v>181</v>
      </c>
      <c r="D306" t="s">
        <v>360</v>
      </c>
      <c r="E306">
        <v>80842572</v>
      </c>
      <c r="F306" t="s">
        <v>361</v>
      </c>
      <c r="G306" s="3">
        <v>46181</v>
      </c>
      <c r="H306">
        <v>16</v>
      </c>
      <c r="I306">
        <v>0</v>
      </c>
      <c r="J306">
        <v>1</v>
      </c>
      <c r="K306" s="4">
        <v>84.8</v>
      </c>
      <c r="L306" s="4">
        <f>0</f>
        <v>0</v>
      </c>
      <c r="M306" s="4">
        <f>999</f>
        <v>999</v>
      </c>
      <c r="N306" t="s">
        <v>19</v>
      </c>
      <c r="O306" t="str">
        <f t="shared" si="40"/>
        <v>High</v>
      </c>
      <c r="P306" t="str">
        <f t="shared" si="41"/>
        <v>High</v>
      </c>
      <c r="Q306" t="str">
        <f t="shared" si="42"/>
        <v>High</v>
      </c>
      <c r="R306" t="s">
        <v>3317</v>
      </c>
      <c r="S306" s="4">
        <f t="shared" ca="1" si="43"/>
        <v>-16</v>
      </c>
      <c r="T306">
        <f t="shared" si="44"/>
        <v>3</v>
      </c>
      <c r="U306">
        <f t="shared" si="45"/>
        <v>3</v>
      </c>
      <c r="V306">
        <f t="shared" si="46"/>
        <v>3</v>
      </c>
      <c r="W306">
        <f t="shared" si="47"/>
        <v>1</v>
      </c>
      <c r="X306">
        <f t="shared" si="48"/>
        <v>2.8000000000000003</v>
      </c>
      <c r="Y306" t="str">
        <f t="shared" si="49"/>
        <v>Move Immediately</v>
      </c>
    </row>
    <row r="307" spans="1:25" x14ac:dyDescent="0.35">
      <c r="A307" t="s">
        <v>99</v>
      </c>
      <c r="B307" t="s">
        <v>100</v>
      </c>
      <c r="C307" t="s">
        <v>362</v>
      </c>
      <c r="D307" t="s">
        <v>363</v>
      </c>
      <c r="E307">
        <v>80818352</v>
      </c>
      <c r="F307" t="s">
        <v>364</v>
      </c>
      <c r="G307" s="3">
        <v>47010</v>
      </c>
      <c r="H307">
        <v>36</v>
      </c>
      <c r="I307">
        <v>76</v>
      </c>
      <c r="J307">
        <v>26</v>
      </c>
      <c r="K307" s="4">
        <v>1582.36</v>
      </c>
      <c r="L307" s="4">
        <v>2123.8571428571427</v>
      </c>
      <c r="M307" s="4">
        <v>1.2241877984798548E-2</v>
      </c>
      <c r="N307" t="s">
        <v>25</v>
      </c>
      <c r="O307" t="str">
        <f t="shared" si="40"/>
        <v>Low</v>
      </c>
      <c r="P307" t="str">
        <f t="shared" si="41"/>
        <v>Low</v>
      </c>
      <c r="Q307" t="str">
        <f t="shared" si="42"/>
        <v>Low</v>
      </c>
      <c r="R307" t="s">
        <v>3317</v>
      </c>
      <c r="S307" s="4">
        <f t="shared" ca="1" si="43"/>
        <v>813</v>
      </c>
      <c r="T307">
        <f t="shared" si="44"/>
        <v>1</v>
      </c>
      <c r="U307">
        <f t="shared" si="45"/>
        <v>1</v>
      </c>
      <c r="V307">
        <f t="shared" si="46"/>
        <v>1</v>
      </c>
      <c r="W307">
        <f t="shared" si="47"/>
        <v>1</v>
      </c>
      <c r="X307">
        <f t="shared" si="48"/>
        <v>0.99999999999999989</v>
      </c>
      <c r="Y307" t="str">
        <f t="shared" si="49"/>
        <v>Healthy</v>
      </c>
    </row>
    <row r="308" spans="1:25" x14ac:dyDescent="0.35">
      <c r="A308" t="s">
        <v>179</v>
      </c>
      <c r="B308" t="s">
        <v>180</v>
      </c>
      <c r="C308" t="s">
        <v>181</v>
      </c>
      <c r="D308" t="s">
        <v>360</v>
      </c>
      <c r="E308">
        <v>80842572</v>
      </c>
      <c r="F308" t="s">
        <v>361</v>
      </c>
      <c r="G308" s="3">
        <v>46207</v>
      </c>
      <c r="H308">
        <v>16</v>
      </c>
      <c r="I308">
        <v>3</v>
      </c>
      <c r="J308">
        <v>2</v>
      </c>
      <c r="K308" s="4">
        <v>169.6</v>
      </c>
      <c r="L308" s="4">
        <f>0</f>
        <v>0</v>
      </c>
      <c r="M308" s="4">
        <f>999</f>
        <v>999</v>
      </c>
      <c r="N308" t="s">
        <v>19</v>
      </c>
      <c r="O308" t="str">
        <f t="shared" si="40"/>
        <v>High</v>
      </c>
      <c r="P308" t="str">
        <f t="shared" si="41"/>
        <v>High</v>
      </c>
      <c r="Q308" t="str">
        <f t="shared" si="42"/>
        <v>High</v>
      </c>
      <c r="R308" t="s">
        <v>3317</v>
      </c>
      <c r="S308" s="4">
        <f t="shared" ca="1" si="43"/>
        <v>10</v>
      </c>
      <c r="T308">
        <f t="shared" si="44"/>
        <v>3</v>
      </c>
      <c r="U308">
        <f t="shared" si="45"/>
        <v>3</v>
      </c>
      <c r="V308">
        <f t="shared" si="46"/>
        <v>3</v>
      </c>
      <c r="W308">
        <f t="shared" si="47"/>
        <v>1</v>
      </c>
      <c r="X308">
        <f t="shared" si="48"/>
        <v>2.8000000000000003</v>
      </c>
      <c r="Y308" t="str">
        <f t="shared" si="49"/>
        <v>Move Immediately</v>
      </c>
    </row>
    <row r="309" spans="1:25" x14ac:dyDescent="0.35">
      <c r="A309" t="s">
        <v>179</v>
      </c>
      <c r="B309" t="s">
        <v>180</v>
      </c>
      <c r="C309" t="s">
        <v>181</v>
      </c>
      <c r="D309" t="s">
        <v>360</v>
      </c>
      <c r="E309">
        <v>80842572</v>
      </c>
      <c r="F309" t="s">
        <v>361</v>
      </c>
      <c r="G309" s="3">
        <v>46152</v>
      </c>
      <c r="H309">
        <v>16</v>
      </c>
      <c r="I309">
        <v>0</v>
      </c>
      <c r="J309">
        <v>66</v>
      </c>
      <c r="K309" s="4">
        <v>5596.8</v>
      </c>
      <c r="L309" s="4">
        <f>0</f>
        <v>0</v>
      </c>
      <c r="M309" s="4">
        <f>999</f>
        <v>999</v>
      </c>
      <c r="N309" t="s">
        <v>19</v>
      </c>
      <c r="O309" t="str">
        <f t="shared" si="40"/>
        <v>High</v>
      </c>
      <c r="P309" t="str">
        <f t="shared" si="41"/>
        <v>High</v>
      </c>
      <c r="Q309" t="str">
        <f t="shared" si="42"/>
        <v>High</v>
      </c>
      <c r="R309" t="s">
        <v>3317</v>
      </c>
      <c r="S309" s="4">
        <f t="shared" ca="1" si="43"/>
        <v>-45</v>
      </c>
      <c r="T309">
        <f t="shared" si="44"/>
        <v>3</v>
      </c>
      <c r="U309">
        <f t="shared" si="45"/>
        <v>3</v>
      </c>
      <c r="V309">
        <f t="shared" si="46"/>
        <v>3</v>
      </c>
      <c r="W309">
        <f t="shared" si="47"/>
        <v>1</v>
      </c>
      <c r="X309">
        <f t="shared" si="48"/>
        <v>2.8000000000000003</v>
      </c>
      <c r="Y309" t="str">
        <f t="shared" si="49"/>
        <v>Move Immediately</v>
      </c>
    </row>
    <row r="310" spans="1:25" x14ac:dyDescent="0.35">
      <c r="A310" t="s">
        <v>99</v>
      </c>
      <c r="B310" t="s">
        <v>100</v>
      </c>
      <c r="C310" t="s">
        <v>362</v>
      </c>
      <c r="D310" t="s">
        <v>363</v>
      </c>
      <c r="E310">
        <v>80818352</v>
      </c>
      <c r="F310" t="s">
        <v>364</v>
      </c>
      <c r="G310" s="3">
        <v>47229</v>
      </c>
      <c r="H310">
        <v>36</v>
      </c>
      <c r="I310">
        <v>96</v>
      </c>
      <c r="J310">
        <v>81</v>
      </c>
      <c r="K310" s="4">
        <v>4929.66</v>
      </c>
      <c r="L310" s="4">
        <v>2123.8571428571427</v>
      </c>
      <c r="M310" s="4">
        <v>3.8138158337257012E-2</v>
      </c>
      <c r="N310" t="s">
        <v>25</v>
      </c>
      <c r="O310" t="str">
        <f t="shared" si="40"/>
        <v>Low</v>
      </c>
      <c r="P310" t="str">
        <f t="shared" si="41"/>
        <v>Low</v>
      </c>
      <c r="Q310" t="str">
        <f t="shared" si="42"/>
        <v>Low</v>
      </c>
      <c r="R310" t="s">
        <v>3317</v>
      </c>
      <c r="S310" s="4">
        <f t="shared" ca="1" si="43"/>
        <v>1032</v>
      </c>
      <c r="T310">
        <f t="shared" si="44"/>
        <v>1</v>
      </c>
      <c r="U310">
        <f t="shared" si="45"/>
        <v>1</v>
      </c>
      <c r="V310">
        <f t="shared" si="46"/>
        <v>1</v>
      </c>
      <c r="W310">
        <f t="shared" si="47"/>
        <v>1</v>
      </c>
      <c r="X310">
        <f t="shared" si="48"/>
        <v>0.99999999999999989</v>
      </c>
      <c r="Y310" t="str">
        <f t="shared" si="49"/>
        <v>Healthy</v>
      </c>
    </row>
    <row r="311" spans="1:25" x14ac:dyDescent="0.35">
      <c r="A311" t="s">
        <v>99</v>
      </c>
      <c r="B311" t="s">
        <v>100</v>
      </c>
      <c r="C311" t="s">
        <v>362</v>
      </c>
      <c r="D311" t="s">
        <v>363</v>
      </c>
      <c r="E311">
        <v>80818352</v>
      </c>
      <c r="F311" t="s">
        <v>364</v>
      </c>
      <c r="G311" s="3">
        <v>47146</v>
      </c>
      <c r="H311">
        <v>36</v>
      </c>
      <c r="I311">
        <v>88</v>
      </c>
      <c r="J311">
        <v>20</v>
      </c>
      <c r="K311" s="4">
        <v>1217.2</v>
      </c>
      <c r="L311" s="4">
        <v>2123.8571428571427</v>
      </c>
      <c r="M311" s="4">
        <v>9.4168292190758059E-3</v>
      </c>
      <c r="N311" t="s">
        <v>25</v>
      </c>
      <c r="O311" t="str">
        <f t="shared" si="40"/>
        <v>Low</v>
      </c>
      <c r="P311" t="str">
        <f t="shared" si="41"/>
        <v>Low</v>
      </c>
      <c r="Q311" t="str">
        <f t="shared" si="42"/>
        <v>Low</v>
      </c>
      <c r="R311" t="s">
        <v>3317</v>
      </c>
      <c r="S311" s="4">
        <f t="shared" ca="1" si="43"/>
        <v>949</v>
      </c>
      <c r="T311">
        <f t="shared" si="44"/>
        <v>1</v>
      </c>
      <c r="U311">
        <f t="shared" si="45"/>
        <v>1</v>
      </c>
      <c r="V311">
        <f t="shared" si="46"/>
        <v>1</v>
      </c>
      <c r="W311">
        <f t="shared" si="47"/>
        <v>1</v>
      </c>
      <c r="X311">
        <f t="shared" si="48"/>
        <v>0.99999999999999989</v>
      </c>
      <c r="Y311" t="str">
        <f t="shared" si="49"/>
        <v>Healthy</v>
      </c>
    </row>
    <row r="312" spans="1:25" x14ac:dyDescent="0.35">
      <c r="A312" t="s">
        <v>41</v>
      </c>
      <c r="B312" t="s">
        <v>42</v>
      </c>
      <c r="C312" t="s">
        <v>365</v>
      </c>
      <c r="D312" t="s">
        <v>366</v>
      </c>
      <c r="E312">
        <v>80850129</v>
      </c>
      <c r="F312" t="s">
        <v>367</v>
      </c>
      <c r="G312" s="3">
        <v>46909</v>
      </c>
      <c r="H312">
        <v>36</v>
      </c>
      <c r="I312">
        <v>66</v>
      </c>
      <c r="J312">
        <v>2</v>
      </c>
      <c r="K312" s="4">
        <v>759.24</v>
      </c>
      <c r="L312" s="4">
        <f>0</f>
        <v>0</v>
      </c>
      <c r="M312" s="4">
        <f>999</f>
        <v>999</v>
      </c>
      <c r="N312" t="s">
        <v>19</v>
      </c>
      <c r="O312" t="str">
        <f t="shared" si="40"/>
        <v>Low</v>
      </c>
      <c r="P312" t="str">
        <f t="shared" si="41"/>
        <v>High</v>
      </c>
      <c r="Q312" t="str">
        <f t="shared" si="42"/>
        <v>High</v>
      </c>
      <c r="R312" t="s">
        <v>3317</v>
      </c>
      <c r="S312" s="4">
        <f t="shared" ca="1" si="43"/>
        <v>712</v>
      </c>
      <c r="T312">
        <f t="shared" si="44"/>
        <v>1</v>
      </c>
      <c r="U312">
        <f t="shared" si="45"/>
        <v>3</v>
      </c>
      <c r="V312">
        <f t="shared" si="46"/>
        <v>3</v>
      </c>
      <c r="W312">
        <f t="shared" si="47"/>
        <v>1</v>
      </c>
      <c r="X312">
        <f t="shared" si="48"/>
        <v>2</v>
      </c>
      <c r="Y312" t="str">
        <f t="shared" si="49"/>
        <v>Monitor</v>
      </c>
    </row>
    <row r="313" spans="1:25" x14ac:dyDescent="0.35">
      <c r="A313" t="s">
        <v>41</v>
      </c>
      <c r="B313" t="s">
        <v>42</v>
      </c>
      <c r="C313" t="s">
        <v>365</v>
      </c>
      <c r="D313" t="s">
        <v>368</v>
      </c>
      <c r="E313">
        <v>80850126</v>
      </c>
      <c r="F313" t="s">
        <v>369</v>
      </c>
      <c r="G313" s="3">
        <v>46817</v>
      </c>
      <c r="H313">
        <v>36</v>
      </c>
      <c r="I313">
        <v>58</v>
      </c>
      <c r="J313">
        <v>90</v>
      </c>
      <c r="K313" s="4">
        <v>34165.800000000003</v>
      </c>
      <c r="L313" s="4">
        <v>66.428571428571431</v>
      </c>
      <c r="M313" s="4">
        <v>1.3548387096774193</v>
      </c>
      <c r="N313" t="s">
        <v>25</v>
      </c>
      <c r="O313" t="str">
        <f t="shared" si="40"/>
        <v>Low</v>
      </c>
      <c r="P313" t="str">
        <f t="shared" si="41"/>
        <v>Low</v>
      </c>
      <c r="Q313" t="str">
        <f t="shared" si="42"/>
        <v>Low</v>
      </c>
      <c r="R313" t="s">
        <v>3317</v>
      </c>
      <c r="S313" s="4">
        <f t="shared" ca="1" si="43"/>
        <v>620</v>
      </c>
      <c r="T313">
        <f t="shared" si="44"/>
        <v>1</v>
      </c>
      <c r="U313">
        <f t="shared" si="45"/>
        <v>1</v>
      </c>
      <c r="V313">
        <f t="shared" si="46"/>
        <v>1</v>
      </c>
      <c r="W313">
        <f t="shared" si="47"/>
        <v>1</v>
      </c>
      <c r="X313">
        <f t="shared" si="48"/>
        <v>0.99999999999999989</v>
      </c>
      <c r="Y313" t="str">
        <f t="shared" si="49"/>
        <v>Healthy</v>
      </c>
    </row>
    <row r="314" spans="1:25" x14ac:dyDescent="0.35">
      <c r="A314" t="s">
        <v>41</v>
      </c>
      <c r="B314" t="s">
        <v>42</v>
      </c>
      <c r="C314" t="s">
        <v>365</v>
      </c>
      <c r="D314" t="s">
        <v>368</v>
      </c>
      <c r="E314">
        <v>80850126</v>
      </c>
      <c r="F314" t="s">
        <v>369</v>
      </c>
      <c r="G314" s="3">
        <v>46921</v>
      </c>
      <c r="H314">
        <v>36</v>
      </c>
      <c r="I314">
        <v>68</v>
      </c>
      <c r="J314">
        <v>30</v>
      </c>
      <c r="K314" s="4">
        <v>11388.6</v>
      </c>
      <c r="L314" s="4">
        <v>66.428571428571431</v>
      </c>
      <c r="M314" s="4">
        <v>0.45161290322580644</v>
      </c>
      <c r="N314" t="s">
        <v>25</v>
      </c>
      <c r="O314" t="str">
        <f t="shared" si="40"/>
        <v>Low</v>
      </c>
      <c r="P314" t="str">
        <f t="shared" si="41"/>
        <v>Low</v>
      </c>
      <c r="Q314" t="str">
        <f t="shared" si="42"/>
        <v>Low</v>
      </c>
      <c r="R314" t="s">
        <v>3317</v>
      </c>
      <c r="S314" s="4">
        <f t="shared" ca="1" si="43"/>
        <v>724</v>
      </c>
      <c r="T314">
        <f t="shared" si="44"/>
        <v>1</v>
      </c>
      <c r="U314">
        <f t="shared" si="45"/>
        <v>1</v>
      </c>
      <c r="V314">
        <f t="shared" si="46"/>
        <v>1</v>
      </c>
      <c r="W314">
        <f t="shared" si="47"/>
        <v>1</v>
      </c>
      <c r="X314">
        <f t="shared" si="48"/>
        <v>0.99999999999999989</v>
      </c>
      <c r="Y314" t="str">
        <f t="shared" si="49"/>
        <v>Healthy</v>
      </c>
    </row>
    <row r="315" spans="1:25" x14ac:dyDescent="0.35">
      <c r="A315" t="s">
        <v>41</v>
      </c>
      <c r="B315" t="s">
        <v>42</v>
      </c>
      <c r="C315" t="s">
        <v>365</v>
      </c>
      <c r="D315" t="s">
        <v>368</v>
      </c>
      <c r="E315">
        <v>80850126</v>
      </c>
      <c r="F315" t="s">
        <v>369</v>
      </c>
      <c r="G315" s="3">
        <v>47010</v>
      </c>
      <c r="H315">
        <v>36</v>
      </c>
      <c r="I315">
        <v>76</v>
      </c>
      <c r="J315">
        <v>60</v>
      </c>
      <c r="K315" s="4">
        <v>22777.200000000001</v>
      </c>
      <c r="L315" s="4">
        <v>66.428571428571431</v>
      </c>
      <c r="M315" s="4">
        <v>0.90322580645161288</v>
      </c>
      <c r="N315" t="s">
        <v>25</v>
      </c>
      <c r="O315" t="str">
        <f t="shared" si="40"/>
        <v>Low</v>
      </c>
      <c r="P315" t="str">
        <f t="shared" si="41"/>
        <v>Low</v>
      </c>
      <c r="Q315" t="str">
        <f t="shared" si="42"/>
        <v>Low</v>
      </c>
      <c r="R315" t="s">
        <v>3317</v>
      </c>
      <c r="S315" s="4">
        <f t="shared" ca="1" si="43"/>
        <v>813</v>
      </c>
      <c r="T315">
        <f t="shared" si="44"/>
        <v>1</v>
      </c>
      <c r="U315">
        <f t="shared" si="45"/>
        <v>1</v>
      </c>
      <c r="V315">
        <f t="shared" si="46"/>
        <v>1</v>
      </c>
      <c r="W315">
        <f t="shared" si="47"/>
        <v>1</v>
      </c>
      <c r="X315">
        <f t="shared" si="48"/>
        <v>0.99999999999999989</v>
      </c>
      <c r="Y315" t="str">
        <f t="shared" si="49"/>
        <v>Healthy</v>
      </c>
    </row>
    <row r="316" spans="1:25" x14ac:dyDescent="0.35">
      <c r="A316" t="s">
        <v>41</v>
      </c>
      <c r="B316" t="s">
        <v>42</v>
      </c>
      <c r="C316" t="s">
        <v>365</v>
      </c>
      <c r="D316" t="s">
        <v>368</v>
      </c>
      <c r="E316">
        <v>80850126</v>
      </c>
      <c r="F316" t="s">
        <v>369</v>
      </c>
      <c r="G316" s="3">
        <v>46836</v>
      </c>
      <c r="H316">
        <v>36</v>
      </c>
      <c r="I316">
        <v>60</v>
      </c>
      <c r="J316">
        <v>75</v>
      </c>
      <c r="K316" s="4">
        <v>28471.5</v>
      </c>
      <c r="L316" s="4">
        <v>66.428571428571431</v>
      </c>
      <c r="M316" s="4">
        <v>1.129032258064516</v>
      </c>
      <c r="N316" t="s">
        <v>25</v>
      </c>
      <c r="O316" t="str">
        <f t="shared" si="40"/>
        <v>Low</v>
      </c>
      <c r="P316" t="str">
        <f t="shared" si="41"/>
        <v>Low</v>
      </c>
      <c r="Q316" t="str">
        <f t="shared" si="42"/>
        <v>Low</v>
      </c>
      <c r="R316" t="s">
        <v>3317</v>
      </c>
      <c r="S316" s="4">
        <f t="shared" ca="1" si="43"/>
        <v>639</v>
      </c>
      <c r="T316">
        <f t="shared" si="44"/>
        <v>1</v>
      </c>
      <c r="U316">
        <f t="shared" si="45"/>
        <v>1</v>
      </c>
      <c r="V316">
        <f t="shared" si="46"/>
        <v>1</v>
      </c>
      <c r="W316">
        <f t="shared" si="47"/>
        <v>1</v>
      </c>
      <c r="X316">
        <f t="shared" si="48"/>
        <v>0.99999999999999989</v>
      </c>
      <c r="Y316" t="str">
        <f t="shared" si="49"/>
        <v>Healthy</v>
      </c>
    </row>
    <row r="317" spans="1:25" x14ac:dyDescent="0.35">
      <c r="A317" t="s">
        <v>99</v>
      </c>
      <c r="B317" t="s">
        <v>100</v>
      </c>
      <c r="C317" t="s">
        <v>362</v>
      </c>
      <c r="D317" t="s">
        <v>370</v>
      </c>
      <c r="E317">
        <v>80818354</v>
      </c>
      <c r="F317" t="s">
        <v>371</v>
      </c>
      <c r="G317" s="3">
        <v>47165</v>
      </c>
      <c r="H317">
        <v>36</v>
      </c>
      <c r="I317">
        <v>90</v>
      </c>
      <c r="J317">
        <v>37</v>
      </c>
      <c r="K317" s="4">
        <v>2251.8200000000002</v>
      </c>
      <c r="L317" s="4">
        <v>4825.2857142857147</v>
      </c>
      <c r="M317" s="4">
        <v>7.6679397222962362E-3</v>
      </c>
      <c r="N317" t="s">
        <v>25</v>
      </c>
      <c r="O317" t="str">
        <f t="shared" si="40"/>
        <v>Low</v>
      </c>
      <c r="P317" t="str">
        <f t="shared" si="41"/>
        <v>Low</v>
      </c>
      <c r="Q317" t="str">
        <f t="shared" si="42"/>
        <v>Low</v>
      </c>
      <c r="R317" t="s">
        <v>3317</v>
      </c>
      <c r="S317" s="4">
        <f t="shared" ca="1" si="43"/>
        <v>968</v>
      </c>
      <c r="T317">
        <f t="shared" si="44"/>
        <v>1</v>
      </c>
      <c r="U317">
        <f t="shared" si="45"/>
        <v>1</v>
      </c>
      <c r="V317">
        <f t="shared" si="46"/>
        <v>1</v>
      </c>
      <c r="W317">
        <f t="shared" si="47"/>
        <v>1</v>
      </c>
      <c r="X317">
        <f t="shared" si="48"/>
        <v>0.99999999999999989</v>
      </c>
      <c r="Y317" t="str">
        <f t="shared" si="49"/>
        <v>Healthy</v>
      </c>
    </row>
    <row r="318" spans="1:25" x14ac:dyDescent="0.35">
      <c r="A318" t="s">
        <v>29</v>
      </c>
      <c r="B318" t="s">
        <v>30</v>
      </c>
      <c r="C318" t="s">
        <v>276</v>
      </c>
      <c r="D318" t="s">
        <v>277</v>
      </c>
      <c r="E318">
        <v>80781944</v>
      </c>
      <c r="F318" t="s">
        <v>372</v>
      </c>
      <c r="G318" s="3">
        <v>46872</v>
      </c>
      <c r="H318">
        <v>36</v>
      </c>
      <c r="I318">
        <v>63</v>
      </c>
      <c r="J318">
        <v>3</v>
      </c>
      <c r="K318" s="4">
        <v>5277.42</v>
      </c>
      <c r="L318" s="4">
        <v>34.714285714285715</v>
      </c>
      <c r="M318" s="4">
        <v>8.6419753086419748E-2</v>
      </c>
      <c r="N318" t="s">
        <v>25</v>
      </c>
      <c r="O318" t="str">
        <f t="shared" si="40"/>
        <v>Low</v>
      </c>
      <c r="P318" t="str">
        <f t="shared" si="41"/>
        <v>Low</v>
      </c>
      <c r="Q318" t="str">
        <f t="shared" si="42"/>
        <v>Low</v>
      </c>
      <c r="R318" t="s">
        <v>3317</v>
      </c>
      <c r="S318" s="4">
        <f t="shared" ca="1" si="43"/>
        <v>675</v>
      </c>
      <c r="T318">
        <f t="shared" si="44"/>
        <v>1</v>
      </c>
      <c r="U318">
        <f t="shared" si="45"/>
        <v>1</v>
      </c>
      <c r="V318">
        <f t="shared" si="46"/>
        <v>1</v>
      </c>
      <c r="W318">
        <f t="shared" si="47"/>
        <v>1</v>
      </c>
      <c r="X318">
        <f t="shared" si="48"/>
        <v>0.99999999999999989</v>
      </c>
      <c r="Y318" t="str">
        <f t="shared" si="49"/>
        <v>Healthy</v>
      </c>
    </row>
    <row r="319" spans="1:25" x14ac:dyDescent="0.35">
      <c r="A319" t="s">
        <v>41</v>
      </c>
      <c r="B319" t="s">
        <v>54</v>
      </c>
      <c r="C319" t="s">
        <v>87</v>
      </c>
      <c r="D319" t="s">
        <v>373</v>
      </c>
      <c r="E319">
        <v>80850660</v>
      </c>
      <c r="F319" t="s">
        <v>374</v>
      </c>
      <c r="G319" s="3">
        <v>46806</v>
      </c>
      <c r="H319">
        <v>36</v>
      </c>
      <c r="I319">
        <v>57</v>
      </c>
      <c r="J319">
        <v>3</v>
      </c>
      <c r="K319" s="4">
        <v>615.24</v>
      </c>
      <c r="L319" s="4">
        <f>0</f>
        <v>0</v>
      </c>
      <c r="M319" s="4">
        <f>999</f>
        <v>999</v>
      </c>
      <c r="N319" t="s">
        <v>19</v>
      </c>
      <c r="O319" t="str">
        <f t="shared" si="40"/>
        <v>Low</v>
      </c>
      <c r="P319" t="str">
        <f t="shared" si="41"/>
        <v>High</v>
      </c>
      <c r="Q319" t="str">
        <f t="shared" si="42"/>
        <v>High</v>
      </c>
      <c r="R319" t="s">
        <v>3317</v>
      </c>
      <c r="S319" s="4">
        <f t="shared" ca="1" si="43"/>
        <v>609</v>
      </c>
      <c r="T319">
        <f t="shared" si="44"/>
        <v>1</v>
      </c>
      <c r="U319">
        <f t="shared" si="45"/>
        <v>3</v>
      </c>
      <c r="V319">
        <f t="shared" si="46"/>
        <v>3</v>
      </c>
      <c r="W319">
        <f t="shared" si="47"/>
        <v>1</v>
      </c>
      <c r="X319">
        <f t="shared" si="48"/>
        <v>2</v>
      </c>
      <c r="Y319" t="str">
        <f t="shared" si="49"/>
        <v>Monitor</v>
      </c>
    </row>
    <row r="320" spans="1:25" x14ac:dyDescent="0.35">
      <c r="A320" t="s">
        <v>99</v>
      </c>
      <c r="B320" t="s">
        <v>100</v>
      </c>
      <c r="C320" t="s">
        <v>362</v>
      </c>
      <c r="D320" t="s">
        <v>370</v>
      </c>
      <c r="E320">
        <v>80818354</v>
      </c>
      <c r="F320" t="s">
        <v>371</v>
      </c>
      <c r="G320" s="3">
        <v>46817</v>
      </c>
      <c r="H320">
        <v>36</v>
      </c>
      <c r="I320">
        <v>58</v>
      </c>
      <c r="J320">
        <v>2383</v>
      </c>
      <c r="K320" s="4">
        <v>145029.38</v>
      </c>
      <c r="L320" s="4">
        <v>4825.2857142857147</v>
      </c>
      <c r="M320" s="4">
        <v>0.49385676643870086</v>
      </c>
      <c r="N320" t="s">
        <v>25</v>
      </c>
      <c r="O320" t="str">
        <f t="shared" si="40"/>
        <v>Low</v>
      </c>
      <c r="P320" t="str">
        <f t="shared" si="41"/>
        <v>Low</v>
      </c>
      <c r="Q320" t="str">
        <f t="shared" si="42"/>
        <v>Low</v>
      </c>
      <c r="R320" t="s">
        <v>3309</v>
      </c>
      <c r="S320" s="4">
        <f t="shared" ca="1" si="43"/>
        <v>620</v>
      </c>
      <c r="T320">
        <f t="shared" si="44"/>
        <v>1</v>
      </c>
      <c r="U320">
        <f t="shared" si="45"/>
        <v>1</v>
      </c>
      <c r="V320">
        <f t="shared" si="46"/>
        <v>1</v>
      </c>
      <c r="W320">
        <f t="shared" si="47"/>
        <v>3</v>
      </c>
      <c r="X320">
        <f t="shared" si="48"/>
        <v>1.2</v>
      </c>
      <c r="Y320" t="str">
        <f t="shared" si="49"/>
        <v>Healthy</v>
      </c>
    </row>
    <row r="321" spans="1:25" x14ac:dyDescent="0.35">
      <c r="A321" t="s">
        <v>99</v>
      </c>
      <c r="B321" t="s">
        <v>100</v>
      </c>
      <c r="C321" t="s">
        <v>362</v>
      </c>
      <c r="D321" t="s">
        <v>370</v>
      </c>
      <c r="E321">
        <v>80818354</v>
      </c>
      <c r="F321" t="s">
        <v>371</v>
      </c>
      <c r="G321" s="3">
        <v>47067</v>
      </c>
      <c r="H321">
        <v>36</v>
      </c>
      <c r="I321">
        <v>81</v>
      </c>
      <c r="J321">
        <v>90</v>
      </c>
      <c r="K321" s="4">
        <v>5477.4</v>
      </c>
      <c r="L321" s="4">
        <v>4825.2857142857147</v>
      </c>
      <c r="M321" s="4">
        <v>1.8651745270450305E-2</v>
      </c>
      <c r="N321" t="s">
        <v>25</v>
      </c>
      <c r="O321" t="str">
        <f t="shared" si="40"/>
        <v>Low</v>
      </c>
      <c r="P321" t="str">
        <f t="shared" si="41"/>
        <v>Low</v>
      </c>
      <c r="Q321" t="str">
        <f t="shared" si="42"/>
        <v>Low</v>
      </c>
      <c r="R321" t="s">
        <v>3317</v>
      </c>
      <c r="S321" s="4">
        <f t="shared" ca="1" si="43"/>
        <v>870</v>
      </c>
      <c r="T321">
        <f t="shared" si="44"/>
        <v>1</v>
      </c>
      <c r="U321">
        <f t="shared" si="45"/>
        <v>1</v>
      </c>
      <c r="V321">
        <f t="shared" si="46"/>
        <v>1</v>
      </c>
      <c r="W321">
        <f t="shared" si="47"/>
        <v>1</v>
      </c>
      <c r="X321">
        <f t="shared" si="48"/>
        <v>0.99999999999999989</v>
      </c>
      <c r="Y321" t="str">
        <f t="shared" si="49"/>
        <v>Healthy</v>
      </c>
    </row>
    <row r="322" spans="1:25" x14ac:dyDescent="0.35">
      <c r="A322" t="s">
        <v>99</v>
      </c>
      <c r="B322" t="s">
        <v>100</v>
      </c>
      <c r="C322" t="s">
        <v>362</v>
      </c>
      <c r="D322" t="s">
        <v>370</v>
      </c>
      <c r="E322">
        <v>80818354</v>
      </c>
      <c r="F322" t="s">
        <v>371</v>
      </c>
      <c r="G322" s="3">
        <v>47227</v>
      </c>
      <c r="H322">
        <v>36</v>
      </c>
      <c r="I322">
        <v>96</v>
      </c>
      <c r="J322">
        <v>57</v>
      </c>
      <c r="K322" s="4">
        <v>3469.02</v>
      </c>
      <c r="L322" s="4">
        <v>4825.2857142857147</v>
      </c>
      <c r="M322" s="4">
        <v>1.1812772004618527E-2</v>
      </c>
      <c r="N322" t="s">
        <v>25</v>
      </c>
      <c r="O322" t="str">
        <f t="shared" si="40"/>
        <v>Low</v>
      </c>
      <c r="P322" t="str">
        <f t="shared" si="41"/>
        <v>Low</v>
      </c>
      <c r="Q322" t="str">
        <f t="shared" si="42"/>
        <v>Low</v>
      </c>
      <c r="R322" t="s">
        <v>3317</v>
      </c>
      <c r="S322" s="4">
        <f t="shared" ca="1" si="43"/>
        <v>1030</v>
      </c>
      <c r="T322">
        <f t="shared" si="44"/>
        <v>1</v>
      </c>
      <c r="U322">
        <f t="shared" si="45"/>
        <v>1</v>
      </c>
      <c r="V322">
        <f t="shared" si="46"/>
        <v>1</v>
      </c>
      <c r="W322">
        <f t="shared" si="47"/>
        <v>1</v>
      </c>
      <c r="X322">
        <f t="shared" si="48"/>
        <v>0.99999999999999989</v>
      </c>
      <c r="Y322" t="str">
        <f t="shared" si="49"/>
        <v>Healthy</v>
      </c>
    </row>
    <row r="323" spans="1:25" x14ac:dyDescent="0.35">
      <c r="A323" t="s">
        <v>99</v>
      </c>
      <c r="B323" t="s">
        <v>100</v>
      </c>
      <c r="C323" t="s">
        <v>375</v>
      </c>
      <c r="D323" t="s">
        <v>376</v>
      </c>
      <c r="E323">
        <v>80830411</v>
      </c>
      <c r="F323" t="s">
        <v>377</v>
      </c>
      <c r="G323" s="3">
        <v>47251</v>
      </c>
      <c r="H323">
        <v>36</v>
      </c>
      <c r="I323">
        <v>98</v>
      </c>
      <c r="J323">
        <v>228</v>
      </c>
      <c r="K323" s="4">
        <v>60581.88</v>
      </c>
      <c r="L323" s="4">
        <v>2261.5714285714284</v>
      </c>
      <c r="M323" s="4">
        <v>0.10081485692628388</v>
      </c>
      <c r="N323" t="s">
        <v>25</v>
      </c>
      <c r="O323" t="str">
        <f t="shared" ref="O323:O386" si="50">IF(I323&lt;20,"High",IF(I323&lt;40,"Medium","Low"))</f>
        <v>Low</v>
      </c>
      <c r="P323" t="str">
        <f t="shared" ref="P323:P386" si="51">IF(M323&gt;8,"High",IF(M323&gt;4,"Medium","Low"))</f>
        <v>Low</v>
      </c>
      <c r="Q323" t="str">
        <f t="shared" ref="Q323:Q386" si="52">IF(L323&lt;5,"High",IF(L323&lt;15,"Medium","Low"))</f>
        <v>Low</v>
      </c>
      <c r="R323" t="s">
        <v>3317</v>
      </c>
      <c r="S323" s="4">
        <f t="shared" ref="S323:S386" ca="1" si="53">G323-TODAY()</f>
        <v>1054</v>
      </c>
      <c r="T323">
        <f t="shared" ref="T323:T386" si="54">IF(O323="High",3,IF(O323="Medium",2,1))</f>
        <v>1</v>
      </c>
      <c r="U323">
        <f t="shared" ref="U323:U386" si="55">IF(P323="High",3,IF(P323="Medium",2,1))</f>
        <v>1</v>
      </c>
      <c r="V323">
        <f t="shared" ref="V323:V386" si="56">IF(Q323="High",3,IF(Q323="Medium",2,1))</f>
        <v>1</v>
      </c>
      <c r="W323">
        <f t="shared" ref="W323:W386" si="57">IF(R323="High",3,IF(R323="Medium",2,1))</f>
        <v>1</v>
      </c>
      <c r="X323">
        <f t="shared" ref="X323:X386" si="58">(0.4*T323)+(0.3*U323)+(0.2*V323)+(0.1*W323)</f>
        <v>0.99999999999999989</v>
      </c>
      <c r="Y323" t="str">
        <f t="shared" ref="Y323:Y386" si="59">IF(X323&gt;=2.7,"Move Immediately",IF(X323&gt;=2.2,"High Priority",IF(X323&gt;=1.7,"Monitor","Healthy")))</f>
        <v>Healthy</v>
      </c>
    </row>
    <row r="324" spans="1:25" x14ac:dyDescent="0.35">
      <c r="A324" t="s">
        <v>99</v>
      </c>
      <c r="B324" t="s">
        <v>100</v>
      </c>
      <c r="C324" t="s">
        <v>375</v>
      </c>
      <c r="D324" t="s">
        <v>376</v>
      </c>
      <c r="E324">
        <v>80830411</v>
      </c>
      <c r="F324" t="s">
        <v>377</v>
      </c>
      <c r="G324" s="3">
        <v>47234</v>
      </c>
      <c r="H324">
        <v>36</v>
      </c>
      <c r="I324">
        <v>96</v>
      </c>
      <c r="J324">
        <v>1008</v>
      </c>
      <c r="K324" s="4">
        <v>267835.68</v>
      </c>
      <c r="L324" s="4">
        <v>2261.5714285714284</v>
      </c>
      <c r="M324" s="4">
        <v>0.44570778851620241</v>
      </c>
      <c r="N324" t="s">
        <v>25</v>
      </c>
      <c r="O324" t="str">
        <f t="shared" si="50"/>
        <v>Low</v>
      </c>
      <c r="P324" t="str">
        <f t="shared" si="51"/>
        <v>Low</v>
      </c>
      <c r="Q324" t="str">
        <f t="shared" si="52"/>
        <v>Low</v>
      </c>
      <c r="R324" t="s">
        <v>3309</v>
      </c>
      <c r="S324" s="4">
        <f t="shared" ca="1" si="53"/>
        <v>1037</v>
      </c>
      <c r="T324">
        <f t="shared" si="54"/>
        <v>1</v>
      </c>
      <c r="U324">
        <f t="shared" si="55"/>
        <v>1</v>
      </c>
      <c r="V324">
        <f t="shared" si="56"/>
        <v>1</v>
      </c>
      <c r="W324">
        <f t="shared" si="57"/>
        <v>3</v>
      </c>
      <c r="X324">
        <f t="shared" si="58"/>
        <v>1.2</v>
      </c>
      <c r="Y324" t="str">
        <f t="shared" si="59"/>
        <v>Healthy</v>
      </c>
    </row>
    <row r="325" spans="1:25" x14ac:dyDescent="0.35">
      <c r="A325" t="s">
        <v>99</v>
      </c>
      <c r="B325" t="s">
        <v>100</v>
      </c>
      <c r="C325" t="s">
        <v>375</v>
      </c>
      <c r="D325" t="s">
        <v>376</v>
      </c>
      <c r="E325">
        <v>80830411</v>
      </c>
      <c r="F325" t="s">
        <v>377</v>
      </c>
      <c r="G325" s="3">
        <v>47212</v>
      </c>
      <c r="H325">
        <v>36</v>
      </c>
      <c r="I325">
        <v>94</v>
      </c>
      <c r="J325">
        <v>22</v>
      </c>
      <c r="K325" s="4">
        <v>5845.62</v>
      </c>
      <c r="L325" s="4">
        <v>2261.5714285714284</v>
      </c>
      <c r="M325" s="4">
        <v>9.7277493525361643E-3</v>
      </c>
      <c r="N325" t="s">
        <v>25</v>
      </c>
      <c r="O325" t="str">
        <f t="shared" si="50"/>
        <v>Low</v>
      </c>
      <c r="P325" t="str">
        <f t="shared" si="51"/>
        <v>Low</v>
      </c>
      <c r="Q325" t="str">
        <f t="shared" si="52"/>
        <v>Low</v>
      </c>
      <c r="R325" t="s">
        <v>3317</v>
      </c>
      <c r="S325" s="4">
        <f t="shared" ca="1" si="53"/>
        <v>1015</v>
      </c>
      <c r="T325">
        <f t="shared" si="54"/>
        <v>1</v>
      </c>
      <c r="U325">
        <f t="shared" si="55"/>
        <v>1</v>
      </c>
      <c r="V325">
        <f t="shared" si="56"/>
        <v>1</v>
      </c>
      <c r="W325">
        <f t="shared" si="57"/>
        <v>1</v>
      </c>
      <c r="X325">
        <f t="shared" si="58"/>
        <v>0.99999999999999989</v>
      </c>
      <c r="Y325" t="str">
        <f t="shared" si="59"/>
        <v>Healthy</v>
      </c>
    </row>
    <row r="326" spans="1:25" x14ac:dyDescent="0.35">
      <c r="A326" t="s">
        <v>99</v>
      </c>
      <c r="B326" t="s">
        <v>100</v>
      </c>
      <c r="C326" t="s">
        <v>375</v>
      </c>
      <c r="D326" t="s">
        <v>376</v>
      </c>
      <c r="E326">
        <v>80830411</v>
      </c>
      <c r="F326" t="s">
        <v>377</v>
      </c>
      <c r="G326" s="3">
        <v>47233</v>
      </c>
      <c r="H326">
        <v>36</v>
      </c>
      <c r="I326">
        <v>96</v>
      </c>
      <c r="J326">
        <v>273</v>
      </c>
      <c r="K326" s="4">
        <v>72538.83</v>
      </c>
      <c r="L326" s="4">
        <v>2261.5714285714284</v>
      </c>
      <c r="M326" s="4">
        <v>0.12071252605647148</v>
      </c>
      <c r="N326" t="s">
        <v>25</v>
      </c>
      <c r="O326" t="str">
        <f t="shared" si="50"/>
        <v>Low</v>
      </c>
      <c r="P326" t="str">
        <f t="shared" si="51"/>
        <v>Low</v>
      </c>
      <c r="Q326" t="str">
        <f t="shared" si="52"/>
        <v>Low</v>
      </c>
      <c r="R326" t="s">
        <v>3310</v>
      </c>
      <c r="S326" s="4">
        <f t="shared" ca="1" si="53"/>
        <v>1036</v>
      </c>
      <c r="T326">
        <f t="shared" si="54"/>
        <v>1</v>
      </c>
      <c r="U326">
        <f t="shared" si="55"/>
        <v>1</v>
      </c>
      <c r="V326">
        <f t="shared" si="56"/>
        <v>1</v>
      </c>
      <c r="W326">
        <f t="shared" si="57"/>
        <v>2</v>
      </c>
      <c r="X326">
        <f t="shared" si="58"/>
        <v>1.0999999999999999</v>
      </c>
      <c r="Y326" t="str">
        <f t="shared" si="59"/>
        <v>Healthy</v>
      </c>
    </row>
    <row r="327" spans="1:25" x14ac:dyDescent="0.35">
      <c r="A327" t="s">
        <v>41</v>
      </c>
      <c r="B327" t="s">
        <v>42</v>
      </c>
      <c r="C327" t="s">
        <v>365</v>
      </c>
      <c r="D327" t="s">
        <v>378</v>
      </c>
      <c r="E327">
        <v>80850130</v>
      </c>
      <c r="F327" t="s">
        <v>379</v>
      </c>
      <c r="G327" s="3">
        <v>46930</v>
      </c>
      <c r="H327">
        <v>36</v>
      </c>
      <c r="I327">
        <v>68</v>
      </c>
      <c r="J327">
        <v>15</v>
      </c>
      <c r="K327" s="4">
        <v>2749.05</v>
      </c>
      <c r="L327" s="4">
        <f>0</f>
        <v>0</v>
      </c>
      <c r="M327" s="4">
        <f>999</f>
        <v>999</v>
      </c>
      <c r="N327" t="s">
        <v>19</v>
      </c>
      <c r="O327" t="str">
        <f t="shared" si="50"/>
        <v>Low</v>
      </c>
      <c r="P327" t="str">
        <f t="shared" si="51"/>
        <v>High</v>
      </c>
      <c r="Q327" t="str">
        <f t="shared" si="52"/>
        <v>High</v>
      </c>
      <c r="R327" t="s">
        <v>3317</v>
      </c>
      <c r="S327" s="4">
        <f t="shared" ca="1" si="53"/>
        <v>733</v>
      </c>
      <c r="T327">
        <f t="shared" si="54"/>
        <v>1</v>
      </c>
      <c r="U327">
        <f t="shared" si="55"/>
        <v>3</v>
      </c>
      <c r="V327">
        <f t="shared" si="56"/>
        <v>3</v>
      </c>
      <c r="W327">
        <f t="shared" si="57"/>
        <v>1</v>
      </c>
      <c r="X327">
        <f t="shared" si="58"/>
        <v>2</v>
      </c>
      <c r="Y327" t="str">
        <f t="shared" si="59"/>
        <v>Monitor</v>
      </c>
    </row>
    <row r="328" spans="1:25" x14ac:dyDescent="0.35">
      <c r="A328" t="s">
        <v>179</v>
      </c>
      <c r="B328" t="s">
        <v>180</v>
      </c>
      <c r="C328" t="s">
        <v>181</v>
      </c>
      <c r="D328" t="s">
        <v>380</v>
      </c>
      <c r="E328">
        <v>80829773</v>
      </c>
      <c r="F328" t="s">
        <v>381</v>
      </c>
      <c r="G328" s="3">
        <v>46617</v>
      </c>
      <c r="H328">
        <v>16</v>
      </c>
      <c r="I328">
        <v>89</v>
      </c>
      <c r="J328">
        <v>24</v>
      </c>
      <c r="K328" s="4">
        <v>3157.2</v>
      </c>
      <c r="L328" s="4">
        <v>8.5714285714285712</v>
      </c>
      <c r="M328" s="4">
        <v>2.8000000000000003</v>
      </c>
      <c r="N328" t="s">
        <v>25</v>
      </c>
      <c r="O328" t="str">
        <f t="shared" si="50"/>
        <v>Low</v>
      </c>
      <c r="P328" t="str">
        <f t="shared" si="51"/>
        <v>Low</v>
      </c>
      <c r="Q328" t="str">
        <f t="shared" si="52"/>
        <v>Medium</v>
      </c>
      <c r="R328" t="s">
        <v>3317</v>
      </c>
      <c r="S328" s="4">
        <f t="shared" ca="1" si="53"/>
        <v>420</v>
      </c>
      <c r="T328">
        <f t="shared" si="54"/>
        <v>1</v>
      </c>
      <c r="U328">
        <f t="shared" si="55"/>
        <v>1</v>
      </c>
      <c r="V328">
        <f t="shared" si="56"/>
        <v>2</v>
      </c>
      <c r="W328">
        <f t="shared" si="57"/>
        <v>1</v>
      </c>
      <c r="X328">
        <f t="shared" si="58"/>
        <v>1.2000000000000002</v>
      </c>
      <c r="Y328" t="str">
        <f t="shared" si="59"/>
        <v>Healthy</v>
      </c>
    </row>
    <row r="329" spans="1:25" x14ac:dyDescent="0.35">
      <c r="A329" t="s">
        <v>14</v>
      </c>
      <c r="B329" t="s">
        <v>343</v>
      </c>
      <c r="C329" t="s">
        <v>344</v>
      </c>
      <c r="D329" t="s">
        <v>382</v>
      </c>
      <c r="E329">
        <v>80753914</v>
      </c>
      <c r="F329" t="s">
        <v>383</v>
      </c>
      <c r="G329" s="3">
        <v>47439</v>
      </c>
      <c r="H329">
        <v>60</v>
      </c>
      <c r="I329">
        <v>69</v>
      </c>
      <c r="J329">
        <v>12</v>
      </c>
      <c r="K329" s="4">
        <v>13481.04</v>
      </c>
      <c r="L329" s="4">
        <v>10.285714285714286</v>
      </c>
      <c r="M329" s="4">
        <v>1.1666666666666665</v>
      </c>
      <c r="N329" t="s">
        <v>25</v>
      </c>
      <c r="O329" t="str">
        <f t="shared" si="50"/>
        <v>Low</v>
      </c>
      <c r="P329" t="str">
        <f t="shared" si="51"/>
        <v>Low</v>
      </c>
      <c r="Q329" t="str">
        <f t="shared" si="52"/>
        <v>Medium</v>
      </c>
      <c r="R329" t="s">
        <v>3317</v>
      </c>
      <c r="S329" s="4">
        <f t="shared" ca="1" si="53"/>
        <v>1242</v>
      </c>
      <c r="T329">
        <f t="shared" si="54"/>
        <v>1</v>
      </c>
      <c r="U329">
        <f t="shared" si="55"/>
        <v>1</v>
      </c>
      <c r="V329">
        <f t="shared" si="56"/>
        <v>2</v>
      </c>
      <c r="W329">
        <f t="shared" si="57"/>
        <v>1</v>
      </c>
      <c r="X329">
        <f t="shared" si="58"/>
        <v>1.2000000000000002</v>
      </c>
      <c r="Y329" t="str">
        <f t="shared" si="59"/>
        <v>Healthy</v>
      </c>
    </row>
    <row r="330" spans="1:25" x14ac:dyDescent="0.35">
      <c r="A330" t="s">
        <v>41</v>
      </c>
      <c r="B330" t="s">
        <v>42</v>
      </c>
      <c r="C330" t="s">
        <v>43</v>
      </c>
      <c r="D330" t="s">
        <v>384</v>
      </c>
      <c r="E330">
        <v>80871617</v>
      </c>
      <c r="F330" t="s">
        <v>385</v>
      </c>
      <c r="G330" s="3">
        <v>46993</v>
      </c>
      <c r="H330">
        <v>36</v>
      </c>
      <c r="I330">
        <v>74</v>
      </c>
      <c r="J330">
        <v>9</v>
      </c>
      <c r="K330" s="4">
        <v>6934.95</v>
      </c>
      <c r="L330" s="4">
        <f>0</f>
        <v>0</v>
      </c>
      <c r="M330" s="4">
        <f>999</f>
        <v>999</v>
      </c>
      <c r="N330" t="s">
        <v>19</v>
      </c>
      <c r="O330" t="str">
        <f t="shared" si="50"/>
        <v>Low</v>
      </c>
      <c r="P330" t="str">
        <f t="shared" si="51"/>
        <v>High</v>
      </c>
      <c r="Q330" t="str">
        <f t="shared" si="52"/>
        <v>High</v>
      </c>
      <c r="R330" t="s">
        <v>3317</v>
      </c>
      <c r="S330" s="4">
        <f t="shared" ca="1" si="53"/>
        <v>796</v>
      </c>
      <c r="T330">
        <f t="shared" si="54"/>
        <v>1</v>
      </c>
      <c r="U330">
        <f t="shared" si="55"/>
        <v>3</v>
      </c>
      <c r="V330">
        <f t="shared" si="56"/>
        <v>3</v>
      </c>
      <c r="W330">
        <f t="shared" si="57"/>
        <v>1</v>
      </c>
      <c r="X330">
        <f t="shared" si="58"/>
        <v>2</v>
      </c>
      <c r="Y330" t="str">
        <f t="shared" si="59"/>
        <v>Monitor</v>
      </c>
    </row>
    <row r="331" spans="1:25" x14ac:dyDescent="0.35">
      <c r="A331" t="s">
        <v>71</v>
      </c>
      <c r="B331" t="s">
        <v>72</v>
      </c>
      <c r="C331" t="s">
        <v>386</v>
      </c>
      <c r="D331" t="s">
        <v>387</v>
      </c>
      <c r="E331">
        <v>80866560</v>
      </c>
      <c r="F331" t="s">
        <v>388</v>
      </c>
      <c r="G331" s="3">
        <v>47047</v>
      </c>
      <c r="H331">
        <v>36</v>
      </c>
      <c r="I331">
        <v>79</v>
      </c>
      <c r="J331">
        <v>7</v>
      </c>
      <c r="K331" s="4">
        <v>1567.93</v>
      </c>
      <c r="L331" s="4">
        <v>56</v>
      </c>
      <c r="M331" s="4">
        <v>0.125</v>
      </c>
      <c r="N331" t="s">
        <v>25</v>
      </c>
      <c r="O331" t="str">
        <f t="shared" si="50"/>
        <v>Low</v>
      </c>
      <c r="P331" t="str">
        <f t="shared" si="51"/>
        <v>Low</v>
      </c>
      <c r="Q331" t="str">
        <f t="shared" si="52"/>
        <v>Low</v>
      </c>
      <c r="R331" t="s">
        <v>3317</v>
      </c>
      <c r="S331" s="4">
        <f t="shared" ca="1" si="53"/>
        <v>850</v>
      </c>
      <c r="T331">
        <f t="shared" si="54"/>
        <v>1</v>
      </c>
      <c r="U331">
        <f t="shared" si="55"/>
        <v>1</v>
      </c>
      <c r="V331">
        <f t="shared" si="56"/>
        <v>1</v>
      </c>
      <c r="W331">
        <f t="shared" si="57"/>
        <v>1</v>
      </c>
      <c r="X331">
        <f t="shared" si="58"/>
        <v>0.99999999999999989</v>
      </c>
      <c r="Y331" t="str">
        <f t="shared" si="59"/>
        <v>Healthy</v>
      </c>
    </row>
    <row r="332" spans="1:25" x14ac:dyDescent="0.35">
      <c r="A332" t="s">
        <v>71</v>
      </c>
      <c r="B332" t="s">
        <v>72</v>
      </c>
      <c r="C332" t="s">
        <v>73</v>
      </c>
      <c r="D332" t="s">
        <v>389</v>
      </c>
      <c r="E332">
        <v>80867186</v>
      </c>
      <c r="F332" t="s">
        <v>390</v>
      </c>
      <c r="G332" s="3">
        <v>46983</v>
      </c>
      <c r="H332">
        <v>36</v>
      </c>
      <c r="I332">
        <v>73</v>
      </c>
      <c r="J332">
        <v>16</v>
      </c>
      <c r="K332" s="4">
        <v>12581.92</v>
      </c>
      <c r="L332" s="4">
        <v>108.42857142857143</v>
      </c>
      <c r="M332" s="4">
        <v>0.14756258234519104</v>
      </c>
      <c r="N332" t="s">
        <v>25</v>
      </c>
      <c r="O332" t="str">
        <f t="shared" si="50"/>
        <v>Low</v>
      </c>
      <c r="P332" t="str">
        <f t="shared" si="51"/>
        <v>Low</v>
      </c>
      <c r="Q332" t="str">
        <f t="shared" si="52"/>
        <v>Low</v>
      </c>
      <c r="R332" t="s">
        <v>3317</v>
      </c>
      <c r="S332" s="4">
        <f t="shared" ca="1" si="53"/>
        <v>786</v>
      </c>
      <c r="T332">
        <f t="shared" si="54"/>
        <v>1</v>
      </c>
      <c r="U332">
        <f t="shared" si="55"/>
        <v>1</v>
      </c>
      <c r="V332">
        <f t="shared" si="56"/>
        <v>1</v>
      </c>
      <c r="W332">
        <f t="shared" si="57"/>
        <v>1</v>
      </c>
      <c r="X332">
        <f t="shared" si="58"/>
        <v>0.99999999999999989</v>
      </c>
      <c r="Y332" t="str">
        <f t="shared" si="59"/>
        <v>Healthy</v>
      </c>
    </row>
    <row r="333" spans="1:25" x14ac:dyDescent="0.35">
      <c r="A333" t="s">
        <v>71</v>
      </c>
      <c r="B333" t="s">
        <v>72</v>
      </c>
      <c r="C333" t="s">
        <v>73</v>
      </c>
      <c r="D333" t="s">
        <v>389</v>
      </c>
      <c r="E333">
        <v>80867186</v>
      </c>
      <c r="F333" t="s">
        <v>390</v>
      </c>
      <c r="G333" s="3">
        <v>46951</v>
      </c>
      <c r="H333">
        <v>36</v>
      </c>
      <c r="I333">
        <v>70</v>
      </c>
      <c r="J333">
        <v>8</v>
      </c>
      <c r="K333" s="4">
        <v>6290.96</v>
      </c>
      <c r="L333" s="4">
        <v>108.42857142857143</v>
      </c>
      <c r="M333" s="4">
        <v>7.378129117259552E-2</v>
      </c>
      <c r="N333" t="s">
        <v>25</v>
      </c>
      <c r="O333" t="str">
        <f t="shared" si="50"/>
        <v>Low</v>
      </c>
      <c r="P333" t="str">
        <f t="shared" si="51"/>
        <v>Low</v>
      </c>
      <c r="Q333" t="str">
        <f t="shared" si="52"/>
        <v>Low</v>
      </c>
      <c r="R333" t="s">
        <v>3317</v>
      </c>
      <c r="S333" s="4">
        <f t="shared" ca="1" si="53"/>
        <v>754</v>
      </c>
      <c r="T333">
        <f t="shared" si="54"/>
        <v>1</v>
      </c>
      <c r="U333">
        <f t="shared" si="55"/>
        <v>1</v>
      </c>
      <c r="V333">
        <f t="shared" si="56"/>
        <v>1</v>
      </c>
      <c r="W333">
        <f t="shared" si="57"/>
        <v>1</v>
      </c>
      <c r="X333">
        <f t="shared" si="58"/>
        <v>0.99999999999999989</v>
      </c>
      <c r="Y333" t="str">
        <f t="shared" si="59"/>
        <v>Healthy</v>
      </c>
    </row>
    <row r="334" spans="1:25" x14ac:dyDescent="0.35">
      <c r="A334" t="s">
        <v>71</v>
      </c>
      <c r="B334" t="s">
        <v>72</v>
      </c>
      <c r="C334" t="s">
        <v>73</v>
      </c>
      <c r="D334" t="s">
        <v>389</v>
      </c>
      <c r="E334">
        <v>80867186</v>
      </c>
      <c r="F334" t="s">
        <v>390</v>
      </c>
      <c r="G334" s="3">
        <v>46965</v>
      </c>
      <c r="H334">
        <v>36</v>
      </c>
      <c r="I334">
        <v>72</v>
      </c>
      <c r="J334">
        <v>16</v>
      </c>
      <c r="K334" s="4">
        <v>12581.92</v>
      </c>
      <c r="L334" s="4">
        <v>108.42857142857143</v>
      </c>
      <c r="M334" s="4">
        <v>0.14756258234519104</v>
      </c>
      <c r="N334" t="s">
        <v>25</v>
      </c>
      <c r="O334" t="str">
        <f t="shared" si="50"/>
        <v>Low</v>
      </c>
      <c r="P334" t="str">
        <f t="shared" si="51"/>
        <v>Low</v>
      </c>
      <c r="Q334" t="str">
        <f t="shared" si="52"/>
        <v>Low</v>
      </c>
      <c r="R334" t="s">
        <v>3317</v>
      </c>
      <c r="S334" s="4">
        <f t="shared" ca="1" si="53"/>
        <v>768</v>
      </c>
      <c r="T334">
        <f t="shared" si="54"/>
        <v>1</v>
      </c>
      <c r="U334">
        <f t="shared" si="55"/>
        <v>1</v>
      </c>
      <c r="V334">
        <f t="shared" si="56"/>
        <v>1</v>
      </c>
      <c r="W334">
        <f t="shared" si="57"/>
        <v>1</v>
      </c>
      <c r="X334">
        <f t="shared" si="58"/>
        <v>0.99999999999999989</v>
      </c>
      <c r="Y334" t="str">
        <f t="shared" si="59"/>
        <v>Healthy</v>
      </c>
    </row>
    <row r="335" spans="1:25" x14ac:dyDescent="0.35">
      <c r="A335" t="s">
        <v>71</v>
      </c>
      <c r="B335" t="s">
        <v>72</v>
      </c>
      <c r="C335" t="s">
        <v>73</v>
      </c>
      <c r="D335" t="s">
        <v>389</v>
      </c>
      <c r="E335">
        <v>80867186</v>
      </c>
      <c r="F335" t="s">
        <v>390</v>
      </c>
      <c r="G335" s="3">
        <v>47018</v>
      </c>
      <c r="H335">
        <v>36</v>
      </c>
      <c r="I335">
        <v>76</v>
      </c>
      <c r="J335">
        <v>12</v>
      </c>
      <c r="K335" s="4">
        <v>9436.44</v>
      </c>
      <c r="L335" s="4">
        <v>108.42857142857143</v>
      </c>
      <c r="M335" s="4">
        <v>0.11067193675889328</v>
      </c>
      <c r="N335" t="s">
        <v>25</v>
      </c>
      <c r="O335" t="str">
        <f t="shared" si="50"/>
        <v>Low</v>
      </c>
      <c r="P335" t="str">
        <f t="shared" si="51"/>
        <v>Low</v>
      </c>
      <c r="Q335" t="str">
        <f t="shared" si="52"/>
        <v>Low</v>
      </c>
      <c r="R335" t="s">
        <v>3317</v>
      </c>
      <c r="S335" s="4">
        <f t="shared" ca="1" si="53"/>
        <v>821</v>
      </c>
      <c r="T335">
        <f t="shared" si="54"/>
        <v>1</v>
      </c>
      <c r="U335">
        <f t="shared" si="55"/>
        <v>1</v>
      </c>
      <c r="V335">
        <f t="shared" si="56"/>
        <v>1</v>
      </c>
      <c r="W335">
        <f t="shared" si="57"/>
        <v>1</v>
      </c>
      <c r="X335">
        <f t="shared" si="58"/>
        <v>0.99999999999999989</v>
      </c>
      <c r="Y335" t="str">
        <f t="shared" si="59"/>
        <v>Healthy</v>
      </c>
    </row>
    <row r="336" spans="1:25" x14ac:dyDescent="0.35">
      <c r="A336" t="s">
        <v>71</v>
      </c>
      <c r="B336" t="s">
        <v>72</v>
      </c>
      <c r="C336" t="s">
        <v>73</v>
      </c>
      <c r="D336" t="s">
        <v>389</v>
      </c>
      <c r="E336">
        <v>80867186</v>
      </c>
      <c r="F336" t="s">
        <v>390</v>
      </c>
      <c r="G336" s="3">
        <v>46940</v>
      </c>
      <c r="H336">
        <v>36</v>
      </c>
      <c r="I336">
        <v>69</v>
      </c>
      <c r="J336">
        <v>8</v>
      </c>
      <c r="K336" s="4">
        <v>6290.96</v>
      </c>
      <c r="L336" s="4">
        <v>108.42857142857143</v>
      </c>
      <c r="M336" s="4">
        <v>7.378129117259552E-2</v>
      </c>
      <c r="N336" t="s">
        <v>25</v>
      </c>
      <c r="O336" t="str">
        <f t="shared" si="50"/>
        <v>Low</v>
      </c>
      <c r="P336" t="str">
        <f t="shared" si="51"/>
        <v>Low</v>
      </c>
      <c r="Q336" t="str">
        <f t="shared" si="52"/>
        <v>Low</v>
      </c>
      <c r="R336" t="s">
        <v>3317</v>
      </c>
      <c r="S336" s="4">
        <f t="shared" ca="1" si="53"/>
        <v>743</v>
      </c>
      <c r="T336">
        <f t="shared" si="54"/>
        <v>1</v>
      </c>
      <c r="U336">
        <f t="shared" si="55"/>
        <v>1</v>
      </c>
      <c r="V336">
        <f t="shared" si="56"/>
        <v>1</v>
      </c>
      <c r="W336">
        <f t="shared" si="57"/>
        <v>1</v>
      </c>
      <c r="X336">
        <f t="shared" si="58"/>
        <v>0.99999999999999989</v>
      </c>
      <c r="Y336" t="str">
        <f t="shared" si="59"/>
        <v>Healthy</v>
      </c>
    </row>
    <row r="337" spans="1:25" x14ac:dyDescent="0.35">
      <c r="A337" t="s">
        <v>29</v>
      </c>
      <c r="B337" t="s">
        <v>30</v>
      </c>
      <c r="C337" t="s">
        <v>391</v>
      </c>
      <c r="D337" t="s">
        <v>392</v>
      </c>
      <c r="E337">
        <v>80833282</v>
      </c>
      <c r="F337" t="s">
        <v>393</v>
      </c>
      <c r="G337" s="3">
        <v>46938</v>
      </c>
      <c r="H337">
        <v>36</v>
      </c>
      <c r="I337">
        <v>69</v>
      </c>
      <c r="J337">
        <v>7</v>
      </c>
      <c r="K337" s="4">
        <v>578.48</v>
      </c>
      <c r="L337" s="4">
        <v>2296.4285714285716</v>
      </c>
      <c r="M337" s="4">
        <v>3.0482115085536544E-3</v>
      </c>
      <c r="N337" t="s">
        <v>25</v>
      </c>
      <c r="O337" t="str">
        <f t="shared" si="50"/>
        <v>Low</v>
      </c>
      <c r="P337" t="str">
        <f t="shared" si="51"/>
        <v>Low</v>
      </c>
      <c r="Q337" t="str">
        <f t="shared" si="52"/>
        <v>Low</v>
      </c>
      <c r="R337" t="s">
        <v>3317</v>
      </c>
      <c r="S337" s="4">
        <f t="shared" ca="1" si="53"/>
        <v>741</v>
      </c>
      <c r="T337">
        <f t="shared" si="54"/>
        <v>1</v>
      </c>
      <c r="U337">
        <f t="shared" si="55"/>
        <v>1</v>
      </c>
      <c r="V337">
        <f t="shared" si="56"/>
        <v>1</v>
      </c>
      <c r="W337">
        <f t="shared" si="57"/>
        <v>1</v>
      </c>
      <c r="X337">
        <f t="shared" si="58"/>
        <v>0.99999999999999989</v>
      </c>
      <c r="Y337" t="str">
        <f t="shared" si="59"/>
        <v>Healthy</v>
      </c>
    </row>
    <row r="338" spans="1:25" x14ac:dyDescent="0.35">
      <c r="A338" t="s">
        <v>71</v>
      </c>
      <c r="B338" t="s">
        <v>72</v>
      </c>
      <c r="C338" t="s">
        <v>73</v>
      </c>
      <c r="D338" t="s">
        <v>389</v>
      </c>
      <c r="E338">
        <v>80867186</v>
      </c>
      <c r="F338" t="s">
        <v>390</v>
      </c>
      <c r="G338" s="3">
        <v>46957</v>
      </c>
      <c r="H338">
        <v>36</v>
      </c>
      <c r="I338">
        <v>71</v>
      </c>
      <c r="J338">
        <v>12</v>
      </c>
      <c r="K338" s="4">
        <v>9436.44</v>
      </c>
      <c r="L338" s="4">
        <v>108.42857142857143</v>
      </c>
      <c r="M338" s="4">
        <v>0.11067193675889328</v>
      </c>
      <c r="N338" t="s">
        <v>25</v>
      </c>
      <c r="O338" t="str">
        <f t="shared" si="50"/>
        <v>Low</v>
      </c>
      <c r="P338" t="str">
        <f t="shared" si="51"/>
        <v>Low</v>
      </c>
      <c r="Q338" t="str">
        <f t="shared" si="52"/>
        <v>Low</v>
      </c>
      <c r="R338" t="s">
        <v>3317</v>
      </c>
      <c r="S338" s="4">
        <f t="shared" ca="1" si="53"/>
        <v>760</v>
      </c>
      <c r="T338">
        <f t="shared" si="54"/>
        <v>1</v>
      </c>
      <c r="U338">
        <f t="shared" si="55"/>
        <v>1</v>
      </c>
      <c r="V338">
        <f t="shared" si="56"/>
        <v>1</v>
      </c>
      <c r="W338">
        <f t="shared" si="57"/>
        <v>1</v>
      </c>
      <c r="X338">
        <f t="shared" si="58"/>
        <v>0.99999999999999989</v>
      </c>
      <c r="Y338" t="str">
        <f t="shared" si="59"/>
        <v>Healthy</v>
      </c>
    </row>
    <row r="339" spans="1:25" x14ac:dyDescent="0.35">
      <c r="A339" t="s">
        <v>29</v>
      </c>
      <c r="B339" t="s">
        <v>30</v>
      </c>
      <c r="C339" t="s">
        <v>391</v>
      </c>
      <c r="D339" t="s">
        <v>392</v>
      </c>
      <c r="E339">
        <v>80833282</v>
      </c>
      <c r="F339" t="s">
        <v>393</v>
      </c>
      <c r="G339" s="3">
        <v>46936</v>
      </c>
      <c r="H339">
        <v>36</v>
      </c>
      <c r="I339">
        <v>69</v>
      </c>
      <c r="J339">
        <v>119</v>
      </c>
      <c r="K339" s="4">
        <v>9834.16</v>
      </c>
      <c r="L339" s="4">
        <v>2296.4285714285716</v>
      </c>
      <c r="M339" s="4">
        <v>5.181959564541213E-2</v>
      </c>
      <c r="N339" t="s">
        <v>25</v>
      </c>
      <c r="O339" t="str">
        <f t="shared" si="50"/>
        <v>Low</v>
      </c>
      <c r="P339" t="str">
        <f t="shared" si="51"/>
        <v>Low</v>
      </c>
      <c r="Q339" t="str">
        <f t="shared" si="52"/>
        <v>Low</v>
      </c>
      <c r="R339" t="s">
        <v>3317</v>
      </c>
      <c r="S339" s="4">
        <f t="shared" ca="1" si="53"/>
        <v>739</v>
      </c>
      <c r="T339">
        <f t="shared" si="54"/>
        <v>1</v>
      </c>
      <c r="U339">
        <f t="shared" si="55"/>
        <v>1</v>
      </c>
      <c r="V339">
        <f t="shared" si="56"/>
        <v>1</v>
      </c>
      <c r="W339">
        <f t="shared" si="57"/>
        <v>1</v>
      </c>
      <c r="X339">
        <f t="shared" si="58"/>
        <v>0.99999999999999989</v>
      </c>
      <c r="Y339" t="str">
        <f t="shared" si="59"/>
        <v>Healthy</v>
      </c>
    </row>
    <row r="340" spans="1:25" x14ac:dyDescent="0.35">
      <c r="A340" t="s">
        <v>71</v>
      </c>
      <c r="B340" t="s">
        <v>72</v>
      </c>
      <c r="C340" t="s">
        <v>73</v>
      </c>
      <c r="D340" t="s">
        <v>389</v>
      </c>
      <c r="E340">
        <v>80867186</v>
      </c>
      <c r="F340" t="s">
        <v>390</v>
      </c>
      <c r="G340" s="3">
        <v>46935</v>
      </c>
      <c r="H340">
        <v>36</v>
      </c>
      <c r="I340">
        <v>69</v>
      </c>
      <c r="J340">
        <v>12</v>
      </c>
      <c r="K340" s="4">
        <v>9436.44</v>
      </c>
      <c r="L340" s="4">
        <v>108.42857142857143</v>
      </c>
      <c r="M340" s="4">
        <v>0.11067193675889328</v>
      </c>
      <c r="N340" t="s">
        <v>25</v>
      </c>
      <c r="O340" t="str">
        <f t="shared" si="50"/>
        <v>Low</v>
      </c>
      <c r="P340" t="str">
        <f t="shared" si="51"/>
        <v>Low</v>
      </c>
      <c r="Q340" t="str">
        <f t="shared" si="52"/>
        <v>Low</v>
      </c>
      <c r="R340" t="s">
        <v>3317</v>
      </c>
      <c r="S340" s="4">
        <f t="shared" ca="1" si="53"/>
        <v>738</v>
      </c>
      <c r="T340">
        <f t="shared" si="54"/>
        <v>1</v>
      </c>
      <c r="U340">
        <f t="shared" si="55"/>
        <v>1</v>
      </c>
      <c r="V340">
        <f t="shared" si="56"/>
        <v>1</v>
      </c>
      <c r="W340">
        <f t="shared" si="57"/>
        <v>1</v>
      </c>
      <c r="X340">
        <f t="shared" si="58"/>
        <v>0.99999999999999989</v>
      </c>
      <c r="Y340" t="str">
        <f t="shared" si="59"/>
        <v>Healthy</v>
      </c>
    </row>
    <row r="341" spans="1:25" x14ac:dyDescent="0.35">
      <c r="A341" t="s">
        <v>29</v>
      </c>
      <c r="B341" t="s">
        <v>30</v>
      </c>
      <c r="C341" t="s">
        <v>391</v>
      </c>
      <c r="D341" t="s">
        <v>392</v>
      </c>
      <c r="E341">
        <v>80833282</v>
      </c>
      <c r="F341" t="s">
        <v>393</v>
      </c>
      <c r="G341" s="3">
        <v>46947</v>
      </c>
      <c r="H341">
        <v>36</v>
      </c>
      <c r="I341">
        <v>70</v>
      </c>
      <c r="J341">
        <v>129</v>
      </c>
      <c r="K341" s="4">
        <v>10660.56</v>
      </c>
      <c r="L341" s="4">
        <v>2296.4285714285716</v>
      </c>
      <c r="M341" s="4">
        <v>5.6174183514774489E-2</v>
      </c>
      <c r="N341" t="s">
        <v>25</v>
      </c>
      <c r="O341" t="str">
        <f t="shared" si="50"/>
        <v>Low</v>
      </c>
      <c r="P341" t="str">
        <f t="shared" si="51"/>
        <v>Low</v>
      </c>
      <c r="Q341" t="str">
        <f t="shared" si="52"/>
        <v>Low</v>
      </c>
      <c r="R341" t="s">
        <v>3317</v>
      </c>
      <c r="S341" s="4">
        <f t="shared" ca="1" si="53"/>
        <v>750</v>
      </c>
      <c r="T341">
        <f t="shared" si="54"/>
        <v>1</v>
      </c>
      <c r="U341">
        <f t="shared" si="55"/>
        <v>1</v>
      </c>
      <c r="V341">
        <f t="shared" si="56"/>
        <v>1</v>
      </c>
      <c r="W341">
        <f t="shared" si="57"/>
        <v>1</v>
      </c>
      <c r="X341">
        <f t="shared" si="58"/>
        <v>0.99999999999999989</v>
      </c>
      <c r="Y341" t="str">
        <f t="shared" si="59"/>
        <v>Healthy</v>
      </c>
    </row>
    <row r="342" spans="1:25" x14ac:dyDescent="0.35">
      <c r="A342" t="s">
        <v>29</v>
      </c>
      <c r="B342" t="s">
        <v>30</v>
      </c>
      <c r="C342" t="s">
        <v>391</v>
      </c>
      <c r="D342" t="s">
        <v>392</v>
      </c>
      <c r="E342">
        <v>80833282</v>
      </c>
      <c r="F342" t="s">
        <v>393</v>
      </c>
      <c r="G342" s="3">
        <v>46954</v>
      </c>
      <c r="H342">
        <v>36</v>
      </c>
      <c r="I342">
        <v>71</v>
      </c>
      <c r="J342">
        <v>160</v>
      </c>
      <c r="K342" s="4">
        <v>13222.4</v>
      </c>
      <c r="L342" s="4">
        <v>2296.4285714285716</v>
      </c>
      <c r="M342" s="4">
        <v>6.9673405909797814E-2</v>
      </c>
      <c r="N342" t="s">
        <v>25</v>
      </c>
      <c r="O342" t="str">
        <f t="shared" si="50"/>
        <v>Low</v>
      </c>
      <c r="P342" t="str">
        <f t="shared" si="51"/>
        <v>Low</v>
      </c>
      <c r="Q342" t="str">
        <f t="shared" si="52"/>
        <v>Low</v>
      </c>
      <c r="R342" t="s">
        <v>3317</v>
      </c>
      <c r="S342" s="4">
        <f t="shared" ca="1" si="53"/>
        <v>757</v>
      </c>
      <c r="T342">
        <f t="shared" si="54"/>
        <v>1</v>
      </c>
      <c r="U342">
        <f t="shared" si="55"/>
        <v>1</v>
      </c>
      <c r="V342">
        <f t="shared" si="56"/>
        <v>1</v>
      </c>
      <c r="W342">
        <f t="shared" si="57"/>
        <v>1</v>
      </c>
      <c r="X342">
        <f t="shared" si="58"/>
        <v>0.99999999999999989</v>
      </c>
      <c r="Y342" t="str">
        <f t="shared" si="59"/>
        <v>Healthy</v>
      </c>
    </row>
    <row r="343" spans="1:25" x14ac:dyDescent="0.35">
      <c r="A343" t="s">
        <v>29</v>
      </c>
      <c r="B343" t="s">
        <v>30</v>
      </c>
      <c r="C343" t="s">
        <v>391</v>
      </c>
      <c r="D343" t="s">
        <v>392</v>
      </c>
      <c r="E343">
        <v>80833282</v>
      </c>
      <c r="F343" t="s">
        <v>393</v>
      </c>
      <c r="G343" s="3">
        <v>46913</v>
      </c>
      <c r="H343">
        <v>36</v>
      </c>
      <c r="I343">
        <v>67</v>
      </c>
      <c r="J343">
        <v>14</v>
      </c>
      <c r="K343" s="4">
        <v>1156.96</v>
      </c>
      <c r="L343" s="4">
        <v>2296.4285714285716</v>
      </c>
      <c r="M343" s="4">
        <v>6.0964230171073087E-3</v>
      </c>
      <c r="N343" t="s">
        <v>25</v>
      </c>
      <c r="O343" t="str">
        <f t="shared" si="50"/>
        <v>Low</v>
      </c>
      <c r="P343" t="str">
        <f t="shared" si="51"/>
        <v>Low</v>
      </c>
      <c r="Q343" t="str">
        <f t="shared" si="52"/>
        <v>Low</v>
      </c>
      <c r="R343" t="s">
        <v>3317</v>
      </c>
      <c r="S343" s="4">
        <f t="shared" ca="1" si="53"/>
        <v>716</v>
      </c>
      <c r="T343">
        <f t="shared" si="54"/>
        <v>1</v>
      </c>
      <c r="U343">
        <f t="shared" si="55"/>
        <v>1</v>
      </c>
      <c r="V343">
        <f t="shared" si="56"/>
        <v>1</v>
      </c>
      <c r="W343">
        <f t="shared" si="57"/>
        <v>1</v>
      </c>
      <c r="X343">
        <f t="shared" si="58"/>
        <v>0.99999999999999989</v>
      </c>
      <c r="Y343" t="str">
        <f t="shared" si="59"/>
        <v>Healthy</v>
      </c>
    </row>
    <row r="344" spans="1:25" x14ac:dyDescent="0.35">
      <c r="A344" t="s">
        <v>29</v>
      </c>
      <c r="B344" t="s">
        <v>30</v>
      </c>
      <c r="C344" t="s">
        <v>391</v>
      </c>
      <c r="D344" t="s">
        <v>392</v>
      </c>
      <c r="E344">
        <v>80833282</v>
      </c>
      <c r="F344" t="s">
        <v>393</v>
      </c>
      <c r="G344" s="3">
        <v>46938</v>
      </c>
      <c r="H344">
        <v>36</v>
      </c>
      <c r="I344">
        <v>69</v>
      </c>
      <c r="J344">
        <v>157</v>
      </c>
      <c r="K344" s="4">
        <v>12974.48</v>
      </c>
      <c r="L344" s="4">
        <v>2296.4285714285716</v>
      </c>
      <c r="M344" s="4">
        <v>6.8367029548989114E-2</v>
      </c>
      <c r="N344" t="s">
        <v>25</v>
      </c>
      <c r="O344" t="str">
        <f t="shared" si="50"/>
        <v>Low</v>
      </c>
      <c r="P344" t="str">
        <f t="shared" si="51"/>
        <v>Low</v>
      </c>
      <c r="Q344" t="str">
        <f t="shared" si="52"/>
        <v>Low</v>
      </c>
      <c r="R344" t="s">
        <v>3317</v>
      </c>
      <c r="S344" s="4">
        <f t="shared" ca="1" si="53"/>
        <v>741</v>
      </c>
      <c r="T344">
        <f t="shared" si="54"/>
        <v>1</v>
      </c>
      <c r="U344">
        <f t="shared" si="55"/>
        <v>1</v>
      </c>
      <c r="V344">
        <f t="shared" si="56"/>
        <v>1</v>
      </c>
      <c r="W344">
        <f t="shared" si="57"/>
        <v>1</v>
      </c>
      <c r="X344">
        <f t="shared" si="58"/>
        <v>0.99999999999999989</v>
      </c>
      <c r="Y344" t="str">
        <f t="shared" si="59"/>
        <v>Healthy</v>
      </c>
    </row>
    <row r="345" spans="1:25" x14ac:dyDescent="0.35">
      <c r="A345" t="s">
        <v>29</v>
      </c>
      <c r="B345" t="s">
        <v>30</v>
      </c>
      <c r="C345" t="s">
        <v>391</v>
      </c>
      <c r="D345" t="s">
        <v>392</v>
      </c>
      <c r="E345">
        <v>80833282</v>
      </c>
      <c r="F345" t="s">
        <v>393</v>
      </c>
      <c r="G345" s="3">
        <v>46938</v>
      </c>
      <c r="H345">
        <v>36</v>
      </c>
      <c r="I345">
        <v>69</v>
      </c>
      <c r="J345">
        <v>141</v>
      </c>
      <c r="K345" s="4">
        <v>11652.24</v>
      </c>
      <c r="L345" s="4">
        <v>2296.4285714285716</v>
      </c>
      <c r="M345" s="4">
        <v>6.1399688958009326E-2</v>
      </c>
      <c r="N345" t="s">
        <v>25</v>
      </c>
      <c r="O345" t="str">
        <f t="shared" si="50"/>
        <v>Low</v>
      </c>
      <c r="P345" t="str">
        <f t="shared" si="51"/>
        <v>Low</v>
      </c>
      <c r="Q345" t="str">
        <f t="shared" si="52"/>
        <v>Low</v>
      </c>
      <c r="R345" t="s">
        <v>3317</v>
      </c>
      <c r="S345" s="4">
        <f t="shared" ca="1" si="53"/>
        <v>741</v>
      </c>
      <c r="T345">
        <f t="shared" si="54"/>
        <v>1</v>
      </c>
      <c r="U345">
        <f t="shared" si="55"/>
        <v>1</v>
      </c>
      <c r="V345">
        <f t="shared" si="56"/>
        <v>1</v>
      </c>
      <c r="W345">
        <f t="shared" si="57"/>
        <v>1</v>
      </c>
      <c r="X345">
        <f t="shared" si="58"/>
        <v>0.99999999999999989</v>
      </c>
      <c r="Y345" t="str">
        <f t="shared" si="59"/>
        <v>Healthy</v>
      </c>
    </row>
    <row r="346" spans="1:25" x14ac:dyDescent="0.35">
      <c r="A346" t="s">
        <v>29</v>
      </c>
      <c r="B346" t="s">
        <v>30</v>
      </c>
      <c r="C346" t="s">
        <v>391</v>
      </c>
      <c r="D346" t="s">
        <v>392</v>
      </c>
      <c r="E346">
        <v>80833282</v>
      </c>
      <c r="F346" t="s">
        <v>393</v>
      </c>
      <c r="G346" s="3">
        <v>46975</v>
      </c>
      <c r="H346">
        <v>36</v>
      </c>
      <c r="I346">
        <v>73</v>
      </c>
      <c r="J346">
        <v>13</v>
      </c>
      <c r="K346" s="4">
        <v>1074.32</v>
      </c>
      <c r="L346" s="4">
        <v>2296.4285714285716</v>
      </c>
      <c r="M346" s="4">
        <v>5.6609642301710724E-3</v>
      </c>
      <c r="N346" t="s">
        <v>25</v>
      </c>
      <c r="O346" t="str">
        <f t="shared" si="50"/>
        <v>Low</v>
      </c>
      <c r="P346" t="str">
        <f t="shared" si="51"/>
        <v>Low</v>
      </c>
      <c r="Q346" t="str">
        <f t="shared" si="52"/>
        <v>Low</v>
      </c>
      <c r="R346" t="s">
        <v>3317</v>
      </c>
      <c r="S346" s="4">
        <f t="shared" ca="1" si="53"/>
        <v>778</v>
      </c>
      <c r="T346">
        <f t="shared" si="54"/>
        <v>1</v>
      </c>
      <c r="U346">
        <f t="shared" si="55"/>
        <v>1</v>
      </c>
      <c r="V346">
        <f t="shared" si="56"/>
        <v>1</v>
      </c>
      <c r="W346">
        <f t="shared" si="57"/>
        <v>1</v>
      </c>
      <c r="X346">
        <f t="shared" si="58"/>
        <v>0.99999999999999989</v>
      </c>
      <c r="Y346" t="str">
        <f t="shared" si="59"/>
        <v>Healthy</v>
      </c>
    </row>
    <row r="347" spans="1:25" x14ac:dyDescent="0.35">
      <c r="A347" t="s">
        <v>179</v>
      </c>
      <c r="B347" t="s">
        <v>180</v>
      </c>
      <c r="C347" t="s">
        <v>181</v>
      </c>
      <c r="D347" t="s">
        <v>394</v>
      </c>
      <c r="E347">
        <v>80871323</v>
      </c>
      <c r="F347" t="s">
        <v>395</v>
      </c>
      <c r="G347" s="3">
        <v>46426</v>
      </c>
      <c r="H347">
        <v>16</v>
      </c>
      <c r="I347">
        <v>49</v>
      </c>
      <c r="J347">
        <v>9</v>
      </c>
      <c r="K347" s="4">
        <v>6711.75</v>
      </c>
      <c r="L347" s="4">
        <v>89.142857142857139</v>
      </c>
      <c r="M347" s="4">
        <v>0.10096153846153846</v>
      </c>
      <c r="N347" t="s">
        <v>25</v>
      </c>
      <c r="O347" t="str">
        <f t="shared" si="50"/>
        <v>Low</v>
      </c>
      <c r="P347" t="str">
        <f t="shared" si="51"/>
        <v>Low</v>
      </c>
      <c r="Q347" t="str">
        <f t="shared" si="52"/>
        <v>Low</v>
      </c>
      <c r="R347" t="s">
        <v>3317</v>
      </c>
      <c r="S347" s="4">
        <f t="shared" ca="1" si="53"/>
        <v>229</v>
      </c>
      <c r="T347">
        <f t="shared" si="54"/>
        <v>1</v>
      </c>
      <c r="U347">
        <f t="shared" si="55"/>
        <v>1</v>
      </c>
      <c r="V347">
        <f t="shared" si="56"/>
        <v>1</v>
      </c>
      <c r="W347">
        <f t="shared" si="57"/>
        <v>1</v>
      </c>
      <c r="X347">
        <f t="shared" si="58"/>
        <v>0.99999999999999989</v>
      </c>
      <c r="Y347" t="str">
        <f t="shared" si="59"/>
        <v>Healthy</v>
      </c>
    </row>
    <row r="348" spans="1:25" x14ac:dyDescent="0.35">
      <c r="A348" t="s">
        <v>179</v>
      </c>
      <c r="B348" t="s">
        <v>180</v>
      </c>
      <c r="C348" t="s">
        <v>181</v>
      </c>
      <c r="D348" t="s">
        <v>394</v>
      </c>
      <c r="E348">
        <v>80871323</v>
      </c>
      <c r="F348" t="s">
        <v>395</v>
      </c>
      <c r="G348" s="3">
        <v>46427</v>
      </c>
      <c r="H348">
        <v>16</v>
      </c>
      <c r="I348">
        <v>49</v>
      </c>
      <c r="J348">
        <v>3</v>
      </c>
      <c r="K348" s="4">
        <v>2237.25</v>
      </c>
      <c r="L348" s="4">
        <v>89.142857142857139</v>
      </c>
      <c r="M348" s="4">
        <v>3.3653846153846152E-2</v>
      </c>
      <c r="N348" t="s">
        <v>25</v>
      </c>
      <c r="O348" t="str">
        <f t="shared" si="50"/>
        <v>Low</v>
      </c>
      <c r="P348" t="str">
        <f t="shared" si="51"/>
        <v>Low</v>
      </c>
      <c r="Q348" t="str">
        <f t="shared" si="52"/>
        <v>Low</v>
      </c>
      <c r="R348" t="s">
        <v>3317</v>
      </c>
      <c r="S348" s="4">
        <f t="shared" ca="1" si="53"/>
        <v>230</v>
      </c>
      <c r="T348">
        <f t="shared" si="54"/>
        <v>1</v>
      </c>
      <c r="U348">
        <f t="shared" si="55"/>
        <v>1</v>
      </c>
      <c r="V348">
        <f t="shared" si="56"/>
        <v>1</v>
      </c>
      <c r="W348">
        <f t="shared" si="57"/>
        <v>1</v>
      </c>
      <c r="X348">
        <f t="shared" si="58"/>
        <v>0.99999999999999989</v>
      </c>
      <c r="Y348" t="str">
        <f t="shared" si="59"/>
        <v>Healthy</v>
      </c>
    </row>
    <row r="349" spans="1:25" x14ac:dyDescent="0.35">
      <c r="A349" t="s">
        <v>179</v>
      </c>
      <c r="B349" t="s">
        <v>180</v>
      </c>
      <c r="C349" t="s">
        <v>181</v>
      </c>
      <c r="D349" t="s">
        <v>394</v>
      </c>
      <c r="E349">
        <v>80871323</v>
      </c>
      <c r="F349" t="s">
        <v>395</v>
      </c>
      <c r="G349" s="3">
        <v>46401</v>
      </c>
      <c r="H349">
        <v>16</v>
      </c>
      <c r="I349">
        <v>44</v>
      </c>
      <c r="J349">
        <v>6</v>
      </c>
      <c r="K349" s="4">
        <v>4474.5</v>
      </c>
      <c r="L349" s="4">
        <v>89.142857142857139</v>
      </c>
      <c r="M349" s="4">
        <v>6.7307692307692304E-2</v>
      </c>
      <c r="N349" t="s">
        <v>25</v>
      </c>
      <c r="O349" t="str">
        <f t="shared" si="50"/>
        <v>Low</v>
      </c>
      <c r="P349" t="str">
        <f t="shared" si="51"/>
        <v>Low</v>
      </c>
      <c r="Q349" t="str">
        <f t="shared" si="52"/>
        <v>Low</v>
      </c>
      <c r="R349" t="s">
        <v>3317</v>
      </c>
      <c r="S349" s="4">
        <f t="shared" ca="1" si="53"/>
        <v>204</v>
      </c>
      <c r="T349">
        <f t="shared" si="54"/>
        <v>1</v>
      </c>
      <c r="U349">
        <f t="shared" si="55"/>
        <v>1</v>
      </c>
      <c r="V349">
        <f t="shared" si="56"/>
        <v>1</v>
      </c>
      <c r="W349">
        <f t="shared" si="57"/>
        <v>1</v>
      </c>
      <c r="X349">
        <f t="shared" si="58"/>
        <v>0.99999999999999989</v>
      </c>
      <c r="Y349" t="str">
        <f t="shared" si="59"/>
        <v>Healthy</v>
      </c>
    </row>
    <row r="350" spans="1:25" x14ac:dyDescent="0.35">
      <c r="A350" t="s">
        <v>41</v>
      </c>
      <c r="B350" t="s">
        <v>42</v>
      </c>
      <c r="C350" t="s">
        <v>365</v>
      </c>
      <c r="D350" t="s">
        <v>396</v>
      </c>
      <c r="E350">
        <v>80851938</v>
      </c>
      <c r="F350" t="s">
        <v>397</v>
      </c>
      <c r="G350" s="3">
        <v>46976</v>
      </c>
      <c r="H350">
        <v>36</v>
      </c>
      <c r="I350">
        <v>73</v>
      </c>
      <c r="J350">
        <v>27</v>
      </c>
      <c r="K350" s="4">
        <v>23605.02</v>
      </c>
      <c r="L350" s="4">
        <v>106.28571428571429</v>
      </c>
      <c r="M350" s="4">
        <v>0.25403225806451613</v>
      </c>
      <c r="N350" t="s">
        <v>25</v>
      </c>
      <c r="O350" t="str">
        <f t="shared" si="50"/>
        <v>Low</v>
      </c>
      <c r="P350" t="str">
        <f t="shared" si="51"/>
        <v>Low</v>
      </c>
      <c r="Q350" t="str">
        <f t="shared" si="52"/>
        <v>Low</v>
      </c>
      <c r="R350" t="s">
        <v>3317</v>
      </c>
      <c r="S350" s="4">
        <f t="shared" ca="1" si="53"/>
        <v>779</v>
      </c>
      <c r="T350">
        <f t="shared" si="54"/>
        <v>1</v>
      </c>
      <c r="U350">
        <f t="shared" si="55"/>
        <v>1</v>
      </c>
      <c r="V350">
        <f t="shared" si="56"/>
        <v>1</v>
      </c>
      <c r="W350">
        <f t="shared" si="57"/>
        <v>1</v>
      </c>
      <c r="X350">
        <f t="shared" si="58"/>
        <v>0.99999999999999989</v>
      </c>
      <c r="Y350" t="str">
        <f t="shared" si="59"/>
        <v>Healthy</v>
      </c>
    </row>
    <row r="351" spans="1:25" x14ac:dyDescent="0.35">
      <c r="A351" t="s">
        <v>41</v>
      </c>
      <c r="B351" t="s">
        <v>42</v>
      </c>
      <c r="C351" t="s">
        <v>365</v>
      </c>
      <c r="D351" t="s">
        <v>396</v>
      </c>
      <c r="E351">
        <v>80851938</v>
      </c>
      <c r="F351" t="s">
        <v>397</v>
      </c>
      <c r="G351" s="3">
        <v>46999</v>
      </c>
      <c r="H351">
        <v>36</v>
      </c>
      <c r="I351">
        <v>75</v>
      </c>
      <c r="J351">
        <v>9</v>
      </c>
      <c r="K351" s="4">
        <v>7868.34</v>
      </c>
      <c r="L351" s="4">
        <v>106.28571428571429</v>
      </c>
      <c r="M351" s="4">
        <v>8.4677419354838704E-2</v>
      </c>
      <c r="N351" t="s">
        <v>25</v>
      </c>
      <c r="O351" t="str">
        <f t="shared" si="50"/>
        <v>Low</v>
      </c>
      <c r="P351" t="str">
        <f t="shared" si="51"/>
        <v>Low</v>
      </c>
      <c r="Q351" t="str">
        <f t="shared" si="52"/>
        <v>Low</v>
      </c>
      <c r="R351" t="s">
        <v>3317</v>
      </c>
      <c r="S351" s="4">
        <f t="shared" ca="1" si="53"/>
        <v>802</v>
      </c>
      <c r="T351">
        <f t="shared" si="54"/>
        <v>1</v>
      </c>
      <c r="U351">
        <f t="shared" si="55"/>
        <v>1</v>
      </c>
      <c r="V351">
        <f t="shared" si="56"/>
        <v>1</v>
      </c>
      <c r="W351">
        <f t="shared" si="57"/>
        <v>1</v>
      </c>
      <c r="X351">
        <f t="shared" si="58"/>
        <v>0.99999999999999989</v>
      </c>
      <c r="Y351" t="str">
        <f t="shared" si="59"/>
        <v>Healthy</v>
      </c>
    </row>
    <row r="352" spans="1:25" x14ac:dyDescent="0.35">
      <c r="A352" t="s">
        <v>179</v>
      </c>
      <c r="B352" t="s">
        <v>180</v>
      </c>
      <c r="C352" t="s">
        <v>181</v>
      </c>
      <c r="D352" t="s">
        <v>394</v>
      </c>
      <c r="E352">
        <v>80871323</v>
      </c>
      <c r="F352" t="s">
        <v>395</v>
      </c>
      <c r="G352" s="3">
        <v>46359</v>
      </c>
      <c r="H352">
        <v>16</v>
      </c>
      <c r="I352">
        <v>35</v>
      </c>
      <c r="J352">
        <v>6</v>
      </c>
      <c r="K352" s="4">
        <v>4474.5</v>
      </c>
      <c r="L352" s="4">
        <v>89.142857142857139</v>
      </c>
      <c r="M352" s="4">
        <v>6.7307692307692304E-2</v>
      </c>
      <c r="N352" t="s">
        <v>25</v>
      </c>
      <c r="O352" t="str">
        <f t="shared" si="50"/>
        <v>Medium</v>
      </c>
      <c r="P352" t="str">
        <f t="shared" si="51"/>
        <v>Low</v>
      </c>
      <c r="Q352" t="str">
        <f t="shared" si="52"/>
        <v>Low</v>
      </c>
      <c r="R352" t="s">
        <v>3317</v>
      </c>
      <c r="S352" s="4">
        <f t="shared" ca="1" si="53"/>
        <v>162</v>
      </c>
      <c r="T352">
        <f t="shared" si="54"/>
        <v>2</v>
      </c>
      <c r="U352">
        <f t="shared" si="55"/>
        <v>1</v>
      </c>
      <c r="V352">
        <f t="shared" si="56"/>
        <v>1</v>
      </c>
      <c r="W352">
        <f t="shared" si="57"/>
        <v>1</v>
      </c>
      <c r="X352">
        <f t="shared" si="58"/>
        <v>1.4000000000000001</v>
      </c>
      <c r="Y352" t="str">
        <f t="shared" si="59"/>
        <v>Healthy</v>
      </c>
    </row>
    <row r="353" spans="1:25" x14ac:dyDescent="0.35">
      <c r="A353" t="s">
        <v>179</v>
      </c>
      <c r="B353" t="s">
        <v>180</v>
      </c>
      <c r="C353" t="s">
        <v>181</v>
      </c>
      <c r="D353" t="s">
        <v>394</v>
      </c>
      <c r="E353">
        <v>80871323</v>
      </c>
      <c r="F353" t="s">
        <v>395</v>
      </c>
      <c r="G353" s="3">
        <v>46422</v>
      </c>
      <c r="H353">
        <v>16</v>
      </c>
      <c r="I353">
        <v>48</v>
      </c>
      <c r="J353">
        <v>13</v>
      </c>
      <c r="K353" s="4">
        <v>9694.75</v>
      </c>
      <c r="L353" s="4">
        <v>89.142857142857139</v>
      </c>
      <c r="M353" s="4">
        <v>0.14583333333333334</v>
      </c>
      <c r="N353" t="s">
        <v>25</v>
      </c>
      <c r="O353" t="str">
        <f t="shared" si="50"/>
        <v>Low</v>
      </c>
      <c r="P353" t="str">
        <f t="shared" si="51"/>
        <v>Low</v>
      </c>
      <c r="Q353" t="str">
        <f t="shared" si="52"/>
        <v>Low</v>
      </c>
      <c r="R353" t="s">
        <v>3317</v>
      </c>
      <c r="S353" s="4">
        <f t="shared" ca="1" si="53"/>
        <v>225</v>
      </c>
      <c r="T353">
        <f t="shared" si="54"/>
        <v>1</v>
      </c>
      <c r="U353">
        <f t="shared" si="55"/>
        <v>1</v>
      </c>
      <c r="V353">
        <f t="shared" si="56"/>
        <v>1</v>
      </c>
      <c r="W353">
        <f t="shared" si="57"/>
        <v>1</v>
      </c>
      <c r="X353">
        <f t="shared" si="58"/>
        <v>0.99999999999999989</v>
      </c>
      <c r="Y353" t="str">
        <f t="shared" si="59"/>
        <v>Healthy</v>
      </c>
    </row>
    <row r="354" spans="1:25" x14ac:dyDescent="0.35">
      <c r="A354" t="s">
        <v>179</v>
      </c>
      <c r="B354" t="s">
        <v>180</v>
      </c>
      <c r="C354" t="s">
        <v>181</v>
      </c>
      <c r="D354" t="s">
        <v>394</v>
      </c>
      <c r="E354">
        <v>80871323</v>
      </c>
      <c r="F354" t="s">
        <v>395</v>
      </c>
      <c r="G354" s="3">
        <v>46400</v>
      </c>
      <c r="H354">
        <v>16</v>
      </c>
      <c r="I354">
        <v>43</v>
      </c>
      <c r="J354">
        <v>10</v>
      </c>
      <c r="K354" s="4">
        <v>7457.5</v>
      </c>
      <c r="L354" s="4">
        <v>89.142857142857139</v>
      </c>
      <c r="M354" s="4">
        <v>0.11217948717948718</v>
      </c>
      <c r="N354" t="s">
        <v>25</v>
      </c>
      <c r="O354" t="str">
        <f t="shared" si="50"/>
        <v>Low</v>
      </c>
      <c r="P354" t="str">
        <f t="shared" si="51"/>
        <v>Low</v>
      </c>
      <c r="Q354" t="str">
        <f t="shared" si="52"/>
        <v>Low</v>
      </c>
      <c r="R354" t="s">
        <v>3317</v>
      </c>
      <c r="S354" s="4">
        <f t="shared" ca="1" si="53"/>
        <v>203</v>
      </c>
      <c r="T354">
        <f t="shared" si="54"/>
        <v>1</v>
      </c>
      <c r="U354">
        <f t="shared" si="55"/>
        <v>1</v>
      </c>
      <c r="V354">
        <f t="shared" si="56"/>
        <v>1</v>
      </c>
      <c r="W354">
        <f t="shared" si="57"/>
        <v>1</v>
      </c>
      <c r="X354">
        <f t="shared" si="58"/>
        <v>0.99999999999999989</v>
      </c>
      <c r="Y354" t="str">
        <f t="shared" si="59"/>
        <v>Healthy</v>
      </c>
    </row>
    <row r="355" spans="1:25" x14ac:dyDescent="0.35">
      <c r="A355" t="s">
        <v>179</v>
      </c>
      <c r="B355" t="s">
        <v>180</v>
      </c>
      <c r="C355" t="s">
        <v>181</v>
      </c>
      <c r="D355" t="s">
        <v>394</v>
      </c>
      <c r="E355">
        <v>80871323</v>
      </c>
      <c r="F355" t="s">
        <v>395</v>
      </c>
      <c r="G355" s="3">
        <v>46355</v>
      </c>
      <c r="H355">
        <v>16</v>
      </c>
      <c r="I355">
        <v>34</v>
      </c>
      <c r="J355">
        <v>3</v>
      </c>
      <c r="K355" s="4">
        <v>2237.25</v>
      </c>
      <c r="L355" s="4">
        <v>89.142857142857139</v>
      </c>
      <c r="M355" s="4">
        <v>3.3653846153846152E-2</v>
      </c>
      <c r="N355" t="s">
        <v>25</v>
      </c>
      <c r="O355" t="str">
        <f t="shared" si="50"/>
        <v>Medium</v>
      </c>
      <c r="P355" t="str">
        <f t="shared" si="51"/>
        <v>Low</v>
      </c>
      <c r="Q355" t="str">
        <f t="shared" si="52"/>
        <v>Low</v>
      </c>
      <c r="R355" t="s">
        <v>3317</v>
      </c>
      <c r="S355" s="4">
        <f t="shared" ca="1" si="53"/>
        <v>158</v>
      </c>
      <c r="T355">
        <f t="shared" si="54"/>
        <v>2</v>
      </c>
      <c r="U355">
        <f t="shared" si="55"/>
        <v>1</v>
      </c>
      <c r="V355">
        <f t="shared" si="56"/>
        <v>1</v>
      </c>
      <c r="W355">
        <f t="shared" si="57"/>
        <v>1</v>
      </c>
      <c r="X355">
        <f t="shared" si="58"/>
        <v>1.4000000000000001</v>
      </c>
      <c r="Y355" t="str">
        <f t="shared" si="59"/>
        <v>Healthy</v>
      </c>
    </row>
    <row r="356" spans="1:25" x14ac:dyDescent="0.35">
      <c r="A356" t="s">
        <v>41</v>
      </c>
      <c r="B356" t="s">
        <v>42</v>
      </c>
      <c r="C356" t="s">
        <v>365</v>
      </c>
      <c r="D356" t="s">
        <v>398</v>
      </c>
      <c r="E356">
        <v>80851909</v>
      </c>
      <c r="F356" t="s">
        <v>399</v>
      </c>
      <c r="G356" s="3">
        <v>46976</v>
      </c>
      <c r="H356">
        <v>36</v>
      </c>
      <c r="I356">
        <v>73</v>
      </c>
      <c r="J356">
        <v>1</v>
      </c>
      <c r="K356" s="4">
        <v>1066.3699999999999</v>
      </c>
      <c r="L356" s="4">
        <v>44.571428571428569</v>
      </c>
      <c r="M356" s="4">
        <v>2.2435897435897436E-2</v>
      </c>
      <c r="N356" t="s">
        <v>25</v>
      </c>
      <c r="O356" t="str">
        <f t="shared" si="50"/>
        <v>Low</v>
      </c>
      <c r="P356" t="str">
        <f t="shared" si="51"/>
        <v>Low</v>
      </c>
      <c r="Q356" t="str">
        <f t="shared" si="52"/>
        <v>Low</v>
      </c>
      <c r="R356" t="s">
        <v>3317</v>
      </c>
      <c r="S356" s="4">
        <f t="shared" ca="1" si="53"/>
        <v>779</v>
      </c>
      <c r="T356">
        <f t="shared" si="54"/>
        <v>1</v>
      </c>
      <c r="U356">
        <f t="shared" si="55"/>
        <v>1</v>
      </c>
      <c r="V356">
        <f t="shared" si="56"/>
        <v>1</v>
      </c>
      <c r="W356">
        <f t="shared" si="57"/>
        <v>1</v>
      </c>
      <c r="X356">
        <f t="shared" si="58"/>
        <v>0.99999999999999989</v>
      </c>
      <c r="Y356" t="str">
        <f t="shared" si="59"/>
        <v>Healthy</v>
      </c>
    </row>
    <row r="357" spans="1:25" x14ac:dyDescent="0.35">
      <c r="A357" t="s">
        <v>14</v>
      </c>
      <c r="B357" t="s">
        <v>15</v>
      </c>
      <c r="C357" t="s">
        <v>16</v>
      </c>
      <c r="D357" t="s">
        <v>17</v>
      </c>
      <c r="E357">
        <v>80753932</v>
      </c>
      <c r="F357" t="s">
        <v>18</v>
      </c>
      <c r="G357" s="3">
        <v>47381</v>
      </c>
      <c r="H357">
        <v>60</v>
      </c>
      <c r="I357">
        <v>66</v>
      </c>
      <c r="J357">
        <v>2</v>
      </c>
      <c r="K357" s="4">
        <v>1814.42</v>
      </c>
      <c r="L357" s="4">
        <f>0</f>
        <v>0</v>
      </c>
      <c r="M357" s="4">
        <f>999</f>
        <v>999</v>
      </c>
      <c r="N357" t="s">
        <v>19</v>
      </c>
      <c r="O357" t="str">
        <f t="shared" si="50"/>
        <v>Low</v>
      </c>
      <c r="P357" t="str">
        <f t="shared" si="51"/>
        <v>High</v>
      </c>
      <c r="Q357" t="str">
        <f t="shared" si="52"/>
        <v>High</v>
      </c>
      <c r="R357" t="s">
        <v>3317</v>
      </c>
      <c r="S357" s="4">
        <f t="shared" ca="1" si="53"/>
        <v>1184</v>
      </c>
      <c r="T357">
        <f t="shared" si="54"/>
        <v>1</v>
      </c>
      <c r="U357">
        <f t="shared" si="55"/>
        <v>3</v>
      </c>
      <c r="V357">
        <f t="shared" si="56"/>
        <v>3</v>
      </c>
      <c r="W357">
        <f t="shared" si="57"/>
        <v>1</v>
      </c>
      <c r="X357">
        <f t="shared" si="58"/>
        <v>2</v>
      </c>
      <c r="Y357" t="str">
        <f t="shared" si="59"/>
        <v>Monitor</v>
      </c>
    </row>
    <row r="358" spans="1:25" x14ac:dyDescent="0.35">
      <c r="A358" t="s">
        <v>14</v>
      </c>
      <c r="B358" t="s">
        <v>15</v>
      </c>
      <c r="C358" t="s">
        <v>16</v>
      </c>
      <c r="D358" t="s">
        <v>17</v>
      </c>
      <c r="E358">
        <v>80753932</v>
      </c>
      <c r="F358" t="s">
        <v>18</v>
      </c>
      <c r="G358" s="3">
        <v>47408</v>
      </c>
      <c r="H358">
        <v>60</v>
      </c>
      <c r="I358">
        <v>68</v>
      </c>
      <c r="J358">
        <v>20</v>
      </c>
      <c r="K358" s="4">
        <v>18144.2</v>
      </c>
      <c r="L358" s="4">
        <f>0</f>
        <v>0</v>
      </c>
      <c r="M358" s="4">
        <f>999</f>
        <v>999</v>
      </c>
      <c r="N358" t="s">
        <v>19</v>
      </c>
      <c r="O358" t="str">
        <f t="shared" si="50"/>
        <v>Low</v>
      </c>
      <c r="P358" t="str">
        <f t="shared" si="51"/>
        <v>High</v>
      </c>
      <c r="Q358" t="str">
        <f t="shared" si="52"/>
        <v>High</v>
      </c>
      <c r="R358" t="s">
        <v>3317</v>
      </c>
      <c r="S358" s="4">
        <f t="shared" ca="1" si="53"/>
        <v>1211</v>
      </c>
      <c r="T358">
        <f t="shared" si="54"/>
        <v>1</v>
      </c>
      <c r="U358">
        <f t="shared" si="55"/>
        <v>3</v>
      </c>
      <c r="V358">
        <f t="shared" si="56"/>
        <v>3</v>
      </c>
      <c r="W358">
        <f t="shared" si="57"/>
        <v>1</v>
      </c>
      <c r="X358">
        <f t="shared" si="58"/>
        <v>2</v>
      </c>
      <c r="Y358" t="str">
        <f t="shared" si="59"/>
        <v>Monitor</v>
      </c>
    </row>
    <row r="359" spans="1:25" x14ac:dyDescent="0.35">
      <c r="A359" t="s">
        <v>14</v>
      </c>
      <c r="B359" t="s">
        <v>15</v>
      </c>
      <c r="C359" t="s">
        <v>16</v>
      </c>
      <c r="D359" t="s">
        <v>17</v>
      </c>
      <c r="E359">
        <v>80753932</v>
      </c>
      <c r="F359" t="s">
        <v>18</v>
      </c>
      <c r="G359" s="3">
        <v>47393</v>
      </c>
      <c r="H359">
        <v>60</v>
      </c>
      <c r="I359">
        <v>67</v>
      </c>
      <c r="J359">
        <v>15</v>
      </c>
      <c r="K359" s="4">
        <v>13608.15</v>
      </c>
      <c r="L359" s="4">
        <f>0</f>
        <v>0</v>
      </c>
      <c r="M359" s="4">
        <f>999</f>
        <v>999</v>
      </c>
      <c r="N359" t="s">
        <v>19</v>
      </c>
      <c r="O359" t="str">
        <f t="shared" si="50"/>
        <v>Low</v>
      </c>
      <c r="P359" t="str">
        <f t="shared" si="51"/>
        <v>High</v>
      </c>
      <c r="Q359" t="str">
        <f t="shared" si="52"/>
        <v>High</v>
      </c>
      <c r="R359" t="s">
        <v>3317</v>
      </c>
      <c r="S359" s="4">
        <f t="shared" ca="1" si="53"/>
        <v>1196</v>
      </c>
      <c r="T359">
        <f t="shared" si="54"/>
        <v>1</v>
      </c>
      <c r="U359">
        <f t="shared" si="55"/>
        <v>3</v>
      </c>
      <c r="V359">
        <f t="shared" si="56"/>
        <v>3</v>
      </c>
      <c r="W359">
        <f t="shared" si="57"/>
        <v>1</v>
      </c>
      <c r="X359">
        <f t="shared" si="58"/>
        <v>2</v>
      </c>
      <c r="Y359" t="str">
        <f t="shared" si="59"/>
        <v>Monitor</v>
      </c>
    </row>
    <row r="360" spans="1:25" x14ac:dyDescent="0.35">
      <c r="A360" t="s">
        <v>179</v>
      </c>
      <c r="B360" t="s">
        <v>223</v>
      </c>
      <c r="C360" t="s">
        <v>357</v>
      </c>
      <c r="D360" t="s">
        <v>400</v>
      </c>
      <c r="E360">
        <v>80869513</v>
      </c>
      <c r="F360" t="s">
        <v>401</v>
      </c>
      <c r="G360" s="3">
        <v>46493</v>
      </c>
      <c r="H360">
        <v>18</v>
      </c>
      <c r="I360">
        <v>56</v>
      </c>
      <c r="J360">
        <v>12</v>
      </c>
      <c r="K360" s="4">
        <v>2879.88</v>
      </c>
      <c r="L360" s="4">
        <v>180</v>
      </c>
      <c r="M360" s="4">
        <v>6.6666666666666666E-2</v>
      </c>
      <c r="N360" t="s">
        <v>25</v>
      </c>
      <c r="O360" t="str">
        <f t="shared" si="50"/>
        <v>Low</v>
      </c>
      <c r="P360" t="str">
        <f t="shared" si="51"/>
        <v>Low</v>
      </c>
      <c r="Q360" t="str">
        <f t="shared" si="52"/>
        <v>Low</v>
      </c>
      <c r="R360" t="s">
        <v>3317</v>
      </c>
      <c r="S360" s="4">
        <f t="shared" ca="1" si="53"/>
        <v>296</v>
      </c>
      <c r="T360">
        <f t="shared" si="54"/>
        <v>1</v>
      </c>
      <c r="U360">
        <f t="shared" si="55"/>
        <v>1</v>
      </c>
      <c r="V360">
        <f t="shared" si="56"/>
        <v>1</v>
      </c>
      <c r="W360">
        <f t="shared" si="57"/>
        <v>1</v>
      </c>
      <c r="X360">
        <f t="shared" si="58"/>
        <v>0.99999999999999989</v>
      </c>
      <c r="Y360" t="str">
        <f t="shared" si="59"/>
        <v>Healthy</v>
      </c>
    </row>
    <row r="361" spans="1:25" x14ac:dyDescent="0.35">
      <c r="A361" t="s">
        <v>179</v>
      </c>
      <c r="B361" t="s">
        <v>180</v>
      </c>
      <c r="C361" t="s">
        <v>181</v>
      </c>
      <c r="D361" t="s">
        <v>402</v>
      </c>
      <c r="E361">
        <v>80861882</v>
      </c>
      <c r="F361" t="s">
        <v>403</v>
      </c>
      <c r="G361" s="3">
        <v>46336</v>
      </c>
      <c r="H361">
        <v>16</v>
      </c>
      <c r="I361">
        <v>30</v>
      </c>
      <c r="J361">
        <v>2</v>
      </c>
      <c r="K361" s="4">
        <v>1793.72</v>
      </c>
      <c r="L361" s="4">
        <v>245</v>
      </c>
      <c r="M361" s="4">
        <v>8.1632653061224497E-3</v>
      </c>
      <c r="N361" t="s">
        <v>25</v>
      </c>
      <c r="O361" t="str">
        <f t="shared" si="50"/>
        <v>Medium</v>
      </c>
      <c r="P361" t="str">
        <f t="shared" si="51"/>
        <v>Low</v>
      </c>
      <c r="Q361" t="str">
        <f t="shared" si="52"/>
        <v>Low</v>
      </c>
      <c r="R361" t="s">
        <v>3317</v>
      </c>
      <c r="S361" s="4">
        <f t="shared" ca="1" si="53"/>
        <v>139</v>
      </c>
      <c r="T361">
        <f t="shared" si="54"/>
        <v>2</v>
      </c>
      <c r="U361">
        <f t="shared" si="55"/>
        <v>1</v>
      </c>
      <c r="V361">
        <f t="shared" si="56"/>
        <v>1</v>
      </c>
      <c r="W361">
        <f t="shared" si="57"/>
        <v>1</v>
      </c>
      <c r="X361">
        <f t="shared" si="58"/>
        <v>1.4000000000000001</v>
      </c>
      <c r="Y361" t="str">
        <f t="shared" si="59"/>
        <v>Healthy</v>
      </c>
    </row>
    <row r="362" spans="1:25" x14ac:dyDescent="0.35">
      <c r="A362" t="s">
        <v>90</v>
      </c>
      <c r="B362" t="s">
        <v>404</v>
      </c>
      <c r="C362" t="s">
        <v>405</v>
      </c>
      <c r="D362" t="s">
        <v>406</v>
      </c>
      <c r="E362">
        <v>80870505</v>
      </c>
      <c r="F362" t="s">
        <v>407</v>
      </c>
      <c r="G362" s="3">
        <v>46749</v>
      </c>
      <c r="H362">
        <v>24</v>
      </c>
      <c r="I362">
        <v>77</v>
      </c>
      <c r="J362">
        <v>39</v>
      </c>
      <c r="K362" s="4">
        <v>8538.66</v>
      </c>
      <c r="L362" s="4">
        <v>2644</v>
      </c>
      <c r="M362" s="4">
        <v>1.4750378214826021E-2</v>
      </c>
      <c r="N362" t="s">
        <v>25</v>
      </c>
      <c r="O362" t="str">
        <f t="shared" si="50"/>
        <v>Low</v>
      </c>
      <c r="P362" t="str">
        <f t="shared" si="51"/>
        <v>Low</v>
      </c>
      <c r="Q362" t="str">
        <f t="shared" si="52"/>
        <v>Low</v>
      </c>
      <c r="R362" t="s">
        <v>3317</v>
      </c>
      <c r="S362" s="4">
        <f t="shared" ca="1" si="53"/>
        <v>552</v>
      </c>
      <c r="T362">
        <f t="shared" si="54"/>
        <v>1</v>
      </c>
      <c r="U362">
        <f t="shared" si="55"/>
        <v>1</v>
      </c>
      <c r="V362">
        <f t="shared" si="56"/>
        <v>1</v>
      </c>
      <c r="W362">
        <f t="shared" si="57"/>
        <v>1</v>
      </c>
      <c r="X362">
        <f t="shared" si="58"/>
        <v>0.99999999999999989</v>
      </c>
      <c r="Y362" t="str">
        <f t="shared" si="59"/>
        <v>Healthy</v>
      </c>
    </row>
    <row r="363" spans="1:25" x14ac:dyDescent="0.35">
      <c r="A363" t="s">
        <v>179</v>
      </c>
      <c r="B363" t="s">
        <v>223</v>
      </c>
      <c r="C363" t="s">
        <v>408</v>
      </c>
      <c r="D363" t="s">
        <v>409</v>
      </c>
      <c r="E363">
        <v>80874662</v>
      </c>
      <c r="F363" t="s">
        <v>410</v>
      </c>
      <c r="G363" s="3">
        <v>46504</v>
      </c>
      <c r="H363">
        <v>18</v>
      </c>
      <c r="I363">
        <v>58</v>
      </c>
      <c r="J363">
        <v>9</v>
      </c>
      <c r="K363" s="4">
        <v>1535.94</v>
      </c>
      <c r="L363" s="4">
        <v>1101</v>
      </c>
      <c r="M363" s="4">
        <v>8.1743869209809257E-3</v>
      </c>
      <c r="N363" t="s">
        <v>25</v>
      </c>
      <c r="O363" t="str">
        <f t="shared" si="50"/>
        <v>Low</v>
      </c>
      <c r="P363" t="str">
        <f t="shared" si="51"/>
        <v>Low</v>
      </c>
      <c r="Q363" t="str">
        <f t="shared" si="52"/>
        <v>Low</v>
      </c>
      <c r="R363" t="s">
        <v>3317</v>
      </c>
      <c r="S363" s="4">
        <f t="shared" ca="1" si="53"/>
        <v>307</v>
      </c>
      <c r="T363">
        <f t="shared" si="54"/>
        <v>1</v>
      </c>
      <c r="U363">
        <f t="shared" si="55"/>
        <v>1</v>
      </c>
      <c r="V363">
        <f t="shared" si="56"/>
        <v>1</v>
      </c>
      <c r="W363">
        <f t="shared" si="57"/>
        <v>1</v>
      </c>
      <c r="X363">
        <f t="shared" si="58"/>
        <v>0.99999999999999989</v>
      </c>
      <c r="Y363" t="str">
        <f t="shared" si="59"/>
        <v>Healthy</v>
      </c>
    </row>
    <row r="364" spans="1:25" x14ac:dyDescent="0.35">
      <c r="A364" t="s">
        <v>90</v>
      </c>
      <c r="B364" t="s">
        <v>404</v>
      </c>
      <c r="C364" t="s">
        <v>405</v>
      </c>
      <c r="D364" t="s">
        <v>406</v>
      </c>
      <c r="E364">
        <v>80870505</v>
      </c>
      <c r="F364" t="s">
        <v>407</v>
      </c>
      <c r="G364" s="3">
        <v>46771</v>
      </c>
      <c r="H364">
        <v>24</v>
      </c>
      <c r="I364">
        <v>80</v>
      </c>
      <c r="J364">
        <v>64</v>
      </c>
      <c r="K364" s="4">
        <v>14012.16</v>
      </c>
      <c r="L364" s="4">
        <v>2644</v>
      </c>
      <c r="M364" s="4">
        <v>2.4205748865355523E-2</v>
      </c>
      <c r="N364" t="s">
        <v>25</v>
      </c>
      <c r="O364" t="str">
        <f t="shared" si="50"/>
        <v>Low</v>
      </c>
      <c r="P364" t="str">
        <f t="shared" si="51"/>
        <v>Low</v>
      </c>
      <c r="Q364" t="str">
        <f t="shared" si="52"/>
        <v>Low</v>
      </c>
      <c r="R364" t="s">
        <v>3317</v>
      </c>
      <c r="S364" s="4">
        <f t="shared" ca="1" si="53"/>
        <v>574</v>
      </c>
      <c r="T364">
        <f t="shared" si="54"/>
        <v>1</v>
      </c>
      <c r="U364">
        <f t="shared" si="55"/>
        <v>1</v>
      </c>
      <c r="V364">
        <f t="shared" si="56"/>
        <v>1</v>
      </c>
      <c r="W364">
        <f t="shared" si="57"/>
        <v>1</v>
      </c>
      <c r="X364">
        <f t="shared" si="58"/>
        <v>0.99999999999999989</v>
      </c>
      <c r="Y364" t="str">
        <f t="shared" si="59"/>
        <v>Healthy</v>
      </c>
    </row>
    <row r="365" spans="1:25" x14ac:dyDescent="0.35">
      <c r="A365" t="s">
        <v>41</v>
      </c>
      <c r="B365" t="s">
        <v>54</v>
      </c>
      <c r="C365" t="s">
        <v>411</v>
      </c>
      <c r="D365" t="s">
        <v>412</v>
      </c>
      <c r="E365">
        <v>80858802</v>
      </c>
      <c r="F365" t="s">
        <v>413</v>
      </c>
      <c r="G365" s="3">
        <v>47093</v>
      </c>
      <c r="H365">
        <v>36</v>
      </c>
      <c r="I365">
        <v>83</v>
      </c>
      <c r="J365">
        <v>90</v>
      </c>
      <c r="K365" s="4">
        <v>13523.4</v>
      </c>
      <c r="L365" s="4">
        <v>326.28571428571428</v>
      </c>
      <c r="M365" s="4">
        <v>0.27583187390542907</v>
      </c>
      <c r="N365" t="s">
        <v>25</v>
      </c>
      <c r="O365" t="str">
        <f t="shared" si="50"/>
        <v>Low</v>
      </c>
      <c r="P365" t="str">
        <f t="shared" si="51"/>
        <v>Low</v>
      </c>
      <c r="Q365" t="str">
        <f t="shared" si="52"/>
        <v>Low</v>
      </c>
      <c r="R365" t="s">
        <v>3317</v>
      </c>
      <c r="S365" s="4">
        <f t="shared" ca="1" si="53"/>
        <v>896</v>
      </c>
      <c r="T365">
        <f t="shared" si="54"/>
        <v>1</v>
      </c>
      <c r="U365">
        <f t="shared" si="55"/>
        <v>1</v>
      </c>
      <c r="V365">
        <f t="shared" si="56"/>
        <v>1</v>
      </c>
      <c r="W365">
        <f t="shared" si="57"/>
        <v>1</v>
      </c>
      <c r="X365">
        <f t="shared" si="58"/>
        <v>0.99999999999999989</v>
      </c>
      <c r="Y365" t="str">
        <f t="shared" si="59"/>
        <v>Healthy</v>
      </c>
    </row>
    <row r="366" spans="1:25" x14ac:dyDescent="0.35">
      <c r="A366" t="s">
        <v>90</v>
      </c>
      <c r="B366" t="s">
        <v>404</v>
      </c>
      <c r="C366" t="s">
        <v>405</v>
      </c>
      <c r="D366" t="s">
        <v>406</v>
      </c>
      <c r="E366">
        <v>80870505</v>
      </c>
      <c r="F366" t="s">
        <v>407</v>
      </c>
      <c r="G366" s="3">
        <v>46838</v>
      </c>
      <c r="H366">
        <v>24</v>
      </c>
      <c r="I366">
        <v>90</v>
      </c>
      <c r="J366">
        <v>79</v>
      </c>
      <c r="K366" s="4">
        <v>17296.259999999998</v>
      </c>
      <c r="L366" s="4">
        <v>2644</v>
      </c>
      <c r="M366" s="4">
        <v>2.9878971255673223E-2</v>
      </c>
      <c r="N366" t="s">
        <v>25</v>
      </c>
      <c r="O366" t="str">
        <f t="shared" si="50"/>
        <v>Low</v>
      </c>
      <c r="P366" t="str">
        <f t="shared" si="51"/>
        <v>Low</v>
      </c>
      <c r="Q366" t="str">
        <f t="shared" si="52"/>
        <v>Low</v>
      </c>
      <c r="R366" t="s">
        <v>3317</v>
      </c>
      <c r="S366" s="4">
        <f t="shared" ca="1" si="53"/>
        <v>641</v>
      </c>
      <c r="T366">
        <f t="shared" si="54"/>
        <v>1</v>
      </c>
      <c r="U366">
        <f t="shared" si="55"/>
        <v>1</v>
      </c>
      <c r="V366">
        <f t="shared" si="56"/>
        <v>1</v>
      </c>
      <c r="W366">
        <f t="shared" si="57"/>
        <v>1</v>
      </c>
      <c r="X366">
        <f t="shared" si="58"/>
        <v>0.99999999999999989</v>
      </c>
      <c r="Y366" t="str">
        <f t="shared" si="59"/>
        <v>Healthy</v>
      </c>
    </row>
    <row r="367" spans="1:25" x14ac:dyDescent="0.35">
      <c r="A367" t="s">
        <v>41</v>
      </c>
      <c r="B367" t="s">
        <v>54</v>
      </c>
      <c r="C367" t="s">
        <v>411</v>
      </c>
      <c r="D367" t="s">
        <v>412</v>
      </c>
      <c r="E367">
        <v>80858802</v>
      </c>
      <c r="F367" t="s">
        <v>413</v>
      </c>
      <c r="G367" s="3">
        <v>47093</v>
      </c>
      <c r="H367">
        <v>36</v>
      </c>
      <c r="I367">
        <v>83</v>
      </c>
      <c r="J367">
        <v>108</v>
      </c>
      <c r="K367" s="4">
        <v>16228.08</v>
      </c>
      <c r="L367" s="4">
        <v>326.28571428571428</v>
      </c>
      <c r="M367" s="4">
        <v>0.3309982486865149</v>
      </c>
      <c r="N367" t="s">
        <v>25</v>
      </c>
      <c r="O367" t="str">
        <f t="shared" si="50"/>
        <v>Low</v>
      </c>
      <c r="P367" t="str">
        <f t="shared" si="51"/>
        <v>Low</v>
      </c>
      <c r="Q367" t="str">
        <f t="shared" si="52"/>
        <v>Low</v>
      </c>
      <c r="R367" t="s">
        <v>3317</v>
      </c>
      <c r="S367" s="4">
        <f t="shared" ca="1" si="53"/>
        <v>896</v>
      </c>
      <c r="T367">
        <f t="shared" si="54"/>
        <v>1</v>
      </c>
      <c r="U367">
        <f t="shared" si="55"/>
        <v>1</v>
      </c>
      <c r="V367">
        <f t="shared" si="56"/>
        <v>1</v>
      </c>
      <c r="W367">
        <f t="shared" si="57"/>
        <v>1</v>
      </c>
      <c r="X367">
        <f t="shared" si="58"/>
        <v>0.99999999999999989</v>
      </c>
      <c r="Y367" t="str">
        <f t="shared" si="59"/>
        <v>Healthy</v>
      </c>
    </row>
    <row r="368" spans="1:25" x14ac:dyDescent="0.35">
      <c r="A368" t="s">
        <v>90</v>
      </c>
      <c r="B368" t="s">
        <v>404</v>
      </c>
      <c r="C368" t="s">
        <v>405</v>
      </c>
      <c r="D368" t="s">
        <v>406</v>
      </c>
      <c r="E368">
        <v>80870505</v>
      </c>
      <c r="F368" t="s">
        <v>407</v>
      </c>
      <c r="G368" s="3">
        <v>46750</v>
      </c>
      <c r="H368">
        <v>24</v>
      </c>
      <c r="I368">
        <v>78</v>
      </c>
      <c r="J368">
        <v>9</v>
      </c>
      <c r="K368" s="4">
        <v>1970.46</v>
      </c>
      <c r="L368" s="4">
        <v>2644</v>
      </c>
      <c r="M368" s="4">
        <v>3.4039334341906201E-3</v>
      </c>
      <c r="N368" t="s">
        <v>25</v>
      </c>
      <c r="O368" t="str">
        <f t="shared" si="50"/>
        <v>Low</v>
      </c>
      <c r="P368" t="str">
        <f t="shared" si="51"/>
        <v>Low</v>
      </c>
      <c r="Q368" t="str">
        <f t="shared" si="52"/>
        <v>Low</v>
      </c>
      <c r="R368" t="s">
        <v>3317</v>
      </c>
      <c r="S368" s="4">
        <f t="shared" ca="1" si="53"/>
        <v>553</v>
      </c>
      <c r="T368">
        <f t="shared" si="54"/>
        <v>1</v>
      </c>
      <c r="U368">
        <f t="shared" si="55"/>
        <v>1</v>
      </c>
      <c r="V368">
        <f t="shared" si="56"/>
        <v>1</v>
      </c>
      <c r="W368">
        <f t="shared" si="57"/>
        <v>1</v>
      </c>
      <c r="X368">
        <f t="shared" si="58"/>
        <v>0.99999999999999989</v>
      </c>
      <c r="Y368" t="str">
        <f t="shared" si="59"/>
        <v>Healthy</v>
      </c>
    </row>
    <row r="369" spans="1:25" x14ac:dyDescent="0.35">
      <c r="A369" t="s">
        <v>90</v>
      </c>
      <c r="B369" t="s">
        <v>404</v>
      </c>
      <c r="C369" t="s">
        <v>405</v>
      </c>
      <c r="D369" t="s">
        <v>406</v>
      </c>
      <c r="E369">
        <v>80870505</v>
      </c>
      <c r="F369" t="s">
        <v>407</v>
      </c>
      <c r="G369" s="3">
        <v>46888</v>
      </c>
      <c r="H369">
        <v>24</v>
      </c>
      <c r="I369">
        <v>97</v>
      </c>
      <c r="J369">
        <v>408</v>
      </c>
      <c r="K369" s="4">
        <v>89327.52</v>
      </c>
      <c r="L369" s="4">
        <v>2644</v>
      </c>
      <c r="M369" s="4">
        <v>0.15431164901664146</v>
      </c>
      <c r="N369" t="s">
        <v>25</v>
      </c>
      <c r="O369" t="str">
        <f t="shared" si="50"/>
        <v>Low</v>
      </c>
      <c r="P369" t="str">
        <f t="shared" si="51"/>
        <v>Low</v>
      </c>
      <c r="Q369" t="str">
        <f t="shared" si="52"/>
        <v>Low</v>
      </c>
      <c r="R369" t="s">
        <v>3310</v>
      </c>
      <c r="S369" s="4">
        <f t="shared" ca="1" si="53"/>
        <v>691</v>
      </c>
      <c r="T369">
        <f t="shared" si="54"/>
        <v>1</v>
      </c>
      <c r="U369">
        <f t="shared" si="55"/>
        <v>1</v>
      </c>
      <c r="V369">
        <f t="shared" si="56"/>
        <v>1</v>
      </c>
      <c r="W369">
        <f t="shared" si="57"/>
        <v>2</v>
      </c>
      <c r="X369">
        <f t="shared" si="58"/>
        <v>1.0999999999999999</v>
      </c>
      <c r="Y369" t="str">
        <f t="shared" si="59"/>
        <v>Healthy</v>
      </c>
    </row>
    <row r="370" spans="1:25" x14ac:dyDescent="0.35">
      <c r="A370" t="s">
        <v>29</v>
      </c>
      <c r="B370" t="s">
        <v>30</v>
      </c>
      <c r="C370" t="s">
        <v>414</v>
      </c>
      <c r="D370" t="s">
        <v>415</v>
      </c>
      <c r="E370">
        <v>80860328</v>
      </c>
      <c r="F370" t="s">
        <v>416</v>
      </c>
      <c r="G370" s="3">
        <v>46969</v>
      </c>
      <c r="H370">
        <v>36</v>
      </c>
      <c r="I370">
        <v>72</v>
      </c>
      <c r="J370">
        <v>6</v>
      </c>
      <c r="K370" s="4">
        <v>4001.82</v>
      </c>
      <c r="L370" s="4">
        <v>315.71428571428572</v>
      </c>
      <c r="M370" s="4">
        <v>1.9004524886877826E-2</v>
      </c>
      <c r="N370" t="s">
        <v>25</v>
      </c>
      <c r="O370" t="str">
        <f t="shared" si="50"/>
        <v>Low</v>
      </c>
      <c r="P370" t="str">
        <f t="shared" si="51"/>
        <v>Low</v>
      </c>
      <c r="Q370" t="str">
        <f t="shared" si="52"/>
        <v>Low</v>
      </c>
      <c r="R370" t="s">
        <v>3317</v>
      </c>
      <c r="S370" s="4">
        <f t="shared" ca="1" si="53"/>
        <v>772</v>
      </c>
      <c r="T370">
        <f t="shared" si="54"/>
        <v>1</v>
      </c>
      <c r="U370">
        <f t="shared" si="55"/>
        <v>1</v>
      </c>
      <c r="V370">
        <f t="shared" si="56"/>
        <v>1</v>
      </c>
      <c r="W370">
        <f t="shared" si="57"/>
        <v>1</v>
      </c>
      <c r="X370">
        <f t="shared" si="58"/>
        <v>0.99999999999999989</v>
      </c>
      <c r="Y370" t="str">
        <f t="shared" si="59"/>
        <v>Healthy</v>
      </c>
    </row>
    <row r="371" spans="1:25" x14ac:dyDescent="0.35">
      <c r="A371" t="s">
        <v>90</v>
      </c>
      <c r="B371" t="s">
        <v>404</v>
      </c>
      <c r="C371" t="s">
        <v>405</v>
      </c>
      <c r="D371" t="s">
        <v>406</v>
      </c>
      <c r="E371">
        <v>80870505</v>
      </c>
      <c r="F371" t="s">
        <v>407</v>
      </c>
      <c r="G371" s="3">
        <v>46893</v>
      </c>
      <c r="H371">
        <v>24</v>
      </c>
      <c r="I371">
        <v>97</v>
      </c>
      <c r="J371">
        <v>60</v>
      </c>
      <c r="K371" s="4">
        <v>13136.4</v>
      </c>
      <c r="L371" s="4">
        <v>2644</v>
      </c>
      <c r="M371" s="4">
        <v>2.2692889561270801E-2</v>
      </c>
      <c r="N371" t="s">
        <v>25</v>
      </c>
      <c r="O371" t="str">
        <f t="shared" si="50"/>
        <v>Low</v>
      </c>
      <c r="P371" t="str">
        <f t="shared" si="51"/>
        <v>Low</v>
      </c>
      <c r="Q371" t="str">
        <f t="shared" si="52"/>
        <v>Low</v>
      </c>
      <c r="R371" t="s">
        <v>3317</v>
      </c>
      <c r="S371" s="4">
        <f t="shared" ca="1" si="53"/>
        <v>696</v>
      </c>
      <c r="T371">
        <f t="shared" si="54"/>
        <v>1</v>
      </c>
      <c r="U371">
        <f t="shared" si="55"/>
        <v>1</v>
      </c>
      <c r="V371">
        <f t="shared" si="56"/>
        <v>1</v>
      </c>
      <c r="W371">
        <f t="shared" si="57"/>
        <v>1</v>
      </c>
      <c r="X371">
        <f t="shared" si="58"/>
        <v>0.99999999999999989</v>
      </c>
      <c r="Y371" t="str">
        <f t="shared" si="59"/>
        <v>Healthy</v>
      </c>
    </row>
    <row r="372" spans="1:25" x14ac:dyDescent="0.35">
      <c r="A372" t="s">
        <v>29</v>
      </c>
      <c r="B372" t="s">
        <v>30</v>
      </c>
      <c r="C372" t="s">
        <v>414</v>
      </c>
      <c r="D372" t="s">
        <v>415</v>
      </c>
      <c r="E372">
        <v>80860328</v>
      </c>
      <c r="F372" t="s">
        <v>416</v>
      </c>
      <c r="G372" s="3">
        <v>46942</v>
      </c>
      <c r="H372">
        <v>36</v>
      </c>
      <c r="I372">
        <v>69</v>
      </c>
      <c r="J372">
        <v>15</v>
      </c>
      <c r="K372" s="4">
        <v>10004.549999999999</v>
      </c>
      <c r="L372" s="4">
        <v>315.71428571428572</v>
      </c>
      <c r="M372" s="4">
        <v>4.7511312217194568E-2</v>
      </c>
      <c r="N372" t="s">
        <v>25</v>
      </c>
      <c r="O372" t="str">
        <f t="shared" si="50"/>
        <v>Low</v>
      </c>
      <c r="P372" t="str">
        <f t="shared" si="51"/>
        <v>Low</v>
      </c>
      <c r="Q372" t="str">
        <f t="shared" si="52"/>
        <v>Low</v>
      </c>
      <c r="R372" t="s">
        <v>3317</v>
      </c>
      <c r="S372" s="4">
        <f t="shared" ca="1" si="53"/>
        <v>745</v>
      </c>
      <c r="T372">
        <f t="shared" si="54"/>
        <v>1</v>
      </c>
      <c r="U372">
        <f t="shared" si="55"/>
        <v>1</v>
      </c>
      <c r="V372">
        <f t="shared" si="56"/>
        <v>1</v>
      </c>
      <c r="W372">
        <f t="shared" si="57"/>
        <v>1</v>
      </c>
      <c r="X372">
        <f t="shared" si="58"/>
        <v>0.99999999999999989</v>
      </c>
      <c r="Y372" t="str">
        <f t="shared" si="59"/>
        <v>Healthy</v>
      </c>
    </row>
    <row r="373" spans="1:25" x14ac:dyDescent="0.35">
      <c r="A373" t="s">
        <v>29</v>
      </c>
      <c r="B373" t="s">
        <v>30</v>
      </c>
      <c r="C373" t="s">
        <v>414</v>
      </c>
      <c r="D373" t="s">
        <v>415</v>
      </c>
      <c r="E373">
        <v>80860328</v>
      </c>
      <c r="F373" t="s">
        <v>416</v>
      </c>
      <c r="G373" s="3">
        <v>46908</v>
      </c>
      <c r="H373">
        <v>36</v>
      </c>
      <c r="I373">
        <v>66</v>
      </c>
      <c r="J373">
        <v>109</v>
      </c>
      <c r="K373" s="4">
        <v>72699.73</v>
      </c>
      <c r="L373" s="4">
        <v>315.71428571428572</v>
      </c>
      <c r="M373" s="4">
        <v>0.34524886877828054</v>
      </c>
      <c r="N373" t="s">
        <v>25</v>
      </c>
      <c r="O373" t="str">
        <f t="shared" si="50"/>
        <v>Low</v>
      </c>
      <c r="P373" t="str">
        <f t="shared" si="51"/>
        <v>Low</v>
      </c>
      <c r="Q373" t="str">
        <f t="shared" si="52"/>
        <v>Low</v>
      </c>
      <c r="R373" t="s">
        <v>3310</v>
      </c>
      <c r="S373" s="4">
        <f t="shared" ca="1" si="53"/>
        <v>711</v>
      </c>
      <c r="T373">
        <f t="shared" si="54"/>
        <v>1</v>
      </c>
      <c r="U373">
        <f t="shared" si="55"/>
        <v>1</v>
      </c>
      <c r="V373">
        <f t="shared" si="56"/>
        <v>1</v>
      </c>
      <c r="W373">
        <f t="shared" si="57"/>
        <v>2</v>
      </c>
      <c r="X373">
        <f t="shared" si="58"/>
        <v>1.0999999999999999</v>
      </c>
      <c r="Y373" t="str">
        <f t="shared" si="59"/>
        <v>Healthy</v>
      </c>
    </row>
    <row r="374" spans="1:25" x14ac:dyDescent="0.35">
      <c r="A374" t="s">
        <v>90</v>
      </c>
      <c r="B374" t="s">
        <v>404</v>
      </c>
      <c r="C374" t="s">
        <v>405</v>
      </c>
      <c r="D374" t="s">
        <v>406</v>
      </c>
      <c r="E374">
        <v>80870505</v>
      </c>
      <c r="F374" t="s">
        <v>407</v>
      </c>
      <c r="G374" s="3">
        <v>46839</v>
      </c>
      <c r="H374">
        <v>24</v>
      </c>
      <c r="I374">
        <v>90</v>
      </c>
      <c r="J374">
        <v>72</v>
      </c>
      <c r="K374" s="4">
        <v>15763.68</v>
      </c>
      <c r="L374" s="4">
        <v>2644</v>
      </c>
      <c r="M374" s="4">
        <v>2.7231467473524961E-2</v>
      </c>
      <c r="N374" t="s">
        <v>25</v>
      </c>
      <c r="O374" t="str">
        <f t="shared" si="50"/>
        <v>Low</v>
      </c>
      <c r="P374" t="str">
        <f t="shared" si="51"/>
        <v>Low</v>
      </c>
      <c r="Q374" t="str">
        <f t="shared" si="52"/>
        <v>Low</v>
      </c>
      <c r="R374" t="s">
        <v>3317</v>
      </c>
      <c r="S374" s="4">
        <f t="shared" ca="1" si="53"/>
        <v>642</v>
      </c>
      <c r="T374">
        <f t="shared" si="54"/>
        <v>1</v>
      </c>
      <c r="U374">
        <f t="shared" si="55"/>
        <v>1</v>
      </c>
      <c r="V374">
        <f t="shared" si="56"/>
        <v>1</v>
      </c>
      <c r="W374">
        <f t="shared" si="57"/>
        <v>1</v>
      </c>
      <c r="X374">
        <f t="shared" si="58"/>
        <v>0.99999999999999989</v>
      </c>
      <c r="Y374" t="str">
        <f t="shared" si="59"/>
        <v>Healthy</v>
      </c>
    </row>
    <row r="375" spans="1:25" x14ac:dyDescent="0.35">
      <c r="A375" t="s">
        <v>29</v>
      </c>
      <c r="B375" t="s">
        <v>30</v>
      </c>
      <c r="C375" t="s">
        <v>414</v>
      </c>
      <c r="D375" t="s">
        <v>415</v>
      </c>
      <c r="E375">
        <v>80860328</v>
      </c>
      <c r="F375" t="s">
        <v>416</v>
      </c>
      <c r="G375" s="3">
        <v>46964</v>
      </c>
      <c r="H375">
        <v>36</v>
      </c>
      <c r="I375">
        <v>71</v>
      </c>
      <c r="J375">
        <v>6</v>
      </c>
      <c r="K375" s="4">
        <v>4001.82</v>
      </c>
      <c r="L375" s="4">
        <v>315.71428571428572</v>
      </c>
      <c r="M375" s="4">
        <v>1.9004524886877826E-2</v>
      </c>
      <c r="N375" t="s">
        <v>25</v>
      </c>
      <c r="O375" t="str">
        <f t="shared" si="50"/>
        <v>Low</v>
      </c>
      <c r="P375" t="str">
        <f t="shared" si="51"/>
        <v>Low</v>
      </c>
      <c r="Q375" t="str">
        <f t="shared" si="52"/>
        <v>Low</v>
      </c>
      <c r="R375" t="s">
        <v>3317</v>
      </c>
      <c r="S375" s="4">
        <f t="shared" ca="1" si="53"/>
        <v>767</v>
      </c>
      <c r="T375">
        <f t="shared" si="54"/>
        <v>1</v>
      </c>
      <c r="U375">
        <f t="shared" si="55"/>
        <v>1</v>
      </c>
      <c r="V375">
        <f t="shared" si="56"/>
        <v>1</v>
      </c>
      <c r="W375">
        <f t="shared" si="57"/>
        <v>1</v>
      </c>
      <c r="X375">
        <f t="shared" si="58"/>
        <v>0.99999999999999989</v>
      </c>
      <c r="Y375" t="str">
        <f t="shared" si="59"/>
        <v>Healthy</v>
      </c>
    </row>
    <row r="376" spans="1:25" x14ac:dyDescent="0.35">
      <c r="A376" t="s">
        <v>90</v>
      </c>
      <c r="B376" t="s">
        <v>404</v>
      </c>
      <c r="C376" t="s">
        <v>405</v>
      </c>
      <c r="D376" t="s">
        <v>406</v>
      </c>
      <c r="E376">
        <v>80870505</v>
      </c>
      <c r="F376" t="s">
        <v>407</v>
      </c>
      <c r="G376" s="3">
        <v>46772</v>
      </c>
      <c r="H376">
        <v>24</v>
      </c>
      <c r="I376">
        <v>81</v>
      </c>
      <c r="J376">
        <v>99</v>
      </c>
      <c r="K376" s="4">
        <v>21675.06</v>
      </c>
      <c r="L376" s="4">
        <v>2644</v>
      </c>
      <c r="M376" s="4">
        <v>3.7443267776096821E-2</v>
      </c>
      <c r="N376" t="s">
        <v>25</v>
      </c>
      <c r="O376" t="str">
        <f t="shared" si="50"/>
        <v>Low</v>
      </c>
      <c r="P376" t="str">
        <f t="shared" si="51"/>
        <v>Low</v>
      </c>
      <c r="Q376" t="str">
        <f t="shared" si="52"/>
        <v>Low</v>
      </c>
      <c r="R376" t="s">
        <v>3317</v>
      </c>
      <c r="S376" s="4">
        <f t="shared" ca="1" si="53"/>
        <v>575</v>
      </c>
      <c r="T376">
        <f t="shared" si="54"/>
        <v>1</v>
      </c>
      <c r="U376">
        <f t="shared" si="55"/>
        <v>1</v>
      </c>
      <c r="V376">
        <f t="shared" si="56"/>
        <v>1</v>
      </c>
      <c r="W376">
        <f t="shared" si="57"/>
        <v>1</v>
      </c>
      <c r="X376">
        <f t="shared" si="58"/>
        <v>0.99999999999999989</v>
      </c>
      <c r="Y376" t="str">
        <f t="shared" si="59"/>
        <v>Healthy</v>
      </c>
    </row>
    <row r="377" spans="1:25" x14ac:dyDescent="0.35">
      <c r="A377" t="s">
        <v>90</v>
      </c>
      <c r="B377" t="s">
        <v>404</v>
      </c>
      <c r="C377" t="s">
        <v>405</v>
      </c>
      <c r="D377" t="s">
        <v>406</v>
      </c>
      <c r="E377">
        <v>80870505</v>
      </c>
      <c r="F377" t="s">
        <v>407</v>
      </c>
      <c r="G377" s="3">
        <v>46838</v>
      </c>
      <c r="H377">
        <v>24</v>
      </c>
      <c r="I377">
        <v>90</v>
      </c>
      <c r="J377">
        <v>86</v>
      </c>
      <c r="K377" s="4">
        <v>18828.84</v>
      </c>
      <c r="L377" s="4">
        <v>2644</v>
      </c>
      <c r="M377" s="4">
        <v>3.2526475037821481E-2</v>
      </c>
      <c r="N377" t="s">
        <v>25</v>
      </c>
      <c r="O377" t="str">
        <f t="shared" si="50"/>
        <v>Low</v>
      </c>
      <c r="P377" t="str">
        <f t="shared" si="51"/>
        <v>Low</v>
      </c>
      <c r="Q377" t="str">
        <f t="shared" si="52"/>
        <v>Low</v>
      </c>
      <c r="R377" t="s">
        <v>3317</v>
      </c>
      <c r="S377" s="4">
        <f t="shared" ca="1" si="53"/>
        <v>641</v>
      </c>
      <c r="T377">
        <f t="shared" si="54"/>
        <v>1</v>
      </c>
      <c r="U377">
        <f t="shared" si="55"/>
        <v>1</v>
      </c>
      <c r="V377">
        <f t="shared" si="56"/>
        <v>1</v>
      </c>
      <c r="W377">
        <f t="shared" si="57"/>
        <v>1</v>
      </c>
      <c r="X377">
        <f t="shared" si="58"/>
        <v>0.99999999999999989</v>
      </c>
      <c r="Y377" t="str">
        <f t="shared" si="59"/>
        <v>Healthy</v>
      </c>
    </row>
    <row r="378" spans="1:25" x14ac:dyDescent="0.35">
      <c r="A378" t="s">
        <v>90</v>
      </c>
      <c r="B378" t="s">
        <v>404</v>
      </c>
      <c r="C378" t="s">
        <v>405</v>
      </c>
      <c r="D378" t="s">
        <v>406</v>
      </c>
      <c r="E378">
        <v>80870505</v>
      </c>
      <c r="F378" t="s">
        <v>407</v>
      </c>
      <c r="G378" s="3">
        <v>46889</v>
      </c>
      <c r="H378">
        <v>24</v>
      </c>
      <c r="I378">
        <v>97</v>
      </c>
      <c r="J378">
        <v>388</v>
      </c>
      <c r="K378" s="4">
        <v>84948.72</v>
      </c>
      <c r="L378" s="4">
        <v>2644</v>
      </c>
      <c r="M378" s="4">
        <v>0.14674735249621784</v>
      </c>
      <c r="N378" t="s">
        <v>25</v>
      </c>
      <c r="O378" t="str">
        <f t="shared" si="50"/>
        <v>Low</v>
      </c>
      <c r="P378" t="str">
        <f t="shared" si="51"/>
        <v>Low</v>
      </c>
      <c r="Q378" t="str">
        <f t="shared" si="52"/>
        <v>Low</v>
      </c>
      <c r="R378" t="s">
        <v>3310</v>
      </c>
      <c r="S378" s="4">
        <f t="shared" ca="1" si="53"/>
        <v>692</v>
      </c>
      <c r="T378">
        <f t="shared" si="54"/>
        <v>1</v>
      </c>
      <c r="U378">
        <f t="shared" si="55"/>
        <v>1</v>
      </c>
      <c r="V378">
        <f t="shared" si="56"/>
        <v>1</v>
      </c>
      <c r="W378">
        <f t="shared" si="57"/>
        <v>2</v>
      </c>
      <c r="X378">
        <f t="shared" si="58"/>
        <v>1.0999999999999999</v>
      </c>
      <c r="Y378" t="str">
        <f t="shared" si="59"/>
        <v>Healthy</v>
      </c>
    </row>
    <row r="379" spans="1:25" x14ac:dyDescent="0.35">
      <c r="A379" t="s">
        <v>189</v>
      </c>
      <c r="B379" t="s">
        <v>417</v>
      </c>
      <c r="C379" t="s">
        <v>417</v>
      </c>
      <c r="D379" t="s">
        <v>418</v>
      </c>
      <c r="E379">
        <v>80863742</v>
      </c>
      <c r="F379" t="s">
        <v>419</v>
      </c>
      <c r="G379" s="3">
        <v>46460</v>
      </c>
      <c r="H379">
        <v>18</v>
      </c>
      <c r="I379">
        <v>50</v>
      </c>
      <c r="J379">
        <v>153</v>
      </c>
      <c r="K379" s="4">
        <v>5729.85</v>
      </c>
      <c r="L379" s="4">
        <v>592.57142857142856</v>
      </c>
      <c r="M379" s="4">
        <v>0.25819672131147542</v>
      </c>
      <c r="N379" t="s">
        <v>25</v>
      </c>
      <c r="O379" t="str">
        <f t="shared" si="50"/>
        <v>Low</v>
      </c>
      <c r="P379" t="str">
        <f t="shared" si="51"/>
        <v>Low</v>
      </c>
      <c r="Q379" t="str">
        <f t="shared" si="52"/>
        <v>Low</v>
      </c>
      <c r="R379" t="s">
        <v>3317</v>
      </c>
      <c r="S379" s="4">
        <f t="shared" ca="1" si="53"/>
        <v>263</v>
      </c>
      <c r="T379">
        <f t="shared" si="54"/>
        <v>1</v>
      </c>
      <c r="U379">
        <f t="shared" si="55"/>
        <v>1</v>
      </c>
      <c r="V379">
        <f t="shared" si="56"/>
        <v>1</v>
      </c>
      <c r="W379">
        <f t="shared" si="57"/>
        <v>1</v>
      </c>
      <c r="X379">
        <f t="shared" si="58"/>
        <v>0.99999999999999989</v>
      </c>
      <c r="Y379" t="str">
        <f t="shared" si="59"/>
        <v>Healthy</v>
      </c>
    </row>
    <row r="380" spans="1:25" x14ac:dyDescent="0.35">
      <c r="A380" t="s">
        <v>189</v>
      </c>
      <c r="B380" t="s">
        <v>417</v>
      </c>
      <c r="C380" t="s">
        <v>417</v>
      </c>
      <c r="D380" t="s">
        <v>418</v>
      </c>
      <c r="E380">
        <v>80863742</v>
      </c>
      <c r="F380" t="s">
        <v>419</v>
      </c>
      <c r="G380" s="3">
        <v>46364</v>
      </c>
      <c r="H380">
        <v>18</v>
      </c>
      <c r="I380">
        <v>32</v>
      </c>
      <c r="J380">
        <v>141</v>
      </c>
      <c r="K380" s="4">
        <v>5280.45</v>
      </c>
      <c r="L380" s="4">
        <v>592.57142857142856</v>
      </c>
      <c r="M380" s="4">
        <v>0.23794599807135969</v>
      </c>
      <c r="N380" t="s">
        <v>25</v>
      </c>
      <c r="O380" t="str">
        <f t="shared" si="50"/>
        <v>Medium</v>
      </c>
      <c r="P380" t="str">
        <f t="shared" si="51"/>
        <v>Low</v>
      </c>
      <c r="Q380" t="str">
        <f t="shared" si="52"/>
        <v>Low</v>
      </c>
      <c r="R380" t="s">
        <v>3317</v>
      </c>
      <c r="S380" s="4">
        <f t="shared" ca="1" si="53"/>
        <v>167</v>
      </c>
      <c r="T380">
        <f t="shared" si="54"/>
        <v>2</v>
      </c>
      <c r="U380">
        <f t="shared" si="55"/>
        <v>1</v>
      </c>
      <c r="V380">
        <f t="shared" si="56"/>
        <v>1</v>
      </c>
      <c r="W380">
        <f t="shared" si="57"/>
        <v>1</v>
      </c>
      <c r="X380">
        <f t="shared" si="58"/>
        <v>1.4000000000000001</v>
      </c>
      <c r="Y380" t="str">
        <f t="shared" si="59"/>
        <v>Healthy</v>
      </c>
    </row>
    <row r="381" spans="1:25" x14ac:dyDescent="0.35">
      <c r="A381" t="s">
        <v>189</v>
      </c>
      <c r="B381" t="s">
        <v>417</v>
      </c>
      <c r="C381" t="s">
        <v>417</v>
      </c>
      <c r="D381" t="s">
        <v>418</v>
      </c>
      <c r="E381">
        <v>80863742</v>
      </c>
      <c r="F381" t="s">
        <v>419</v>
      </c>
      <c r="G381" s="3">
        <v>46420</v>
      </c>
      <c r="H381">
        <v>18</v>
      </c>
      <c r="I381">
        <v>42</v>
      </c>
      <c r="J381">
        <v>151</v>
      </c>
      <c r="K381" s="4">
        <v>5654.95</v>
      </c>
      <c r="L381" s="4">
        <v>592.57142857142856</v>
      </c>
      <c r="M381" s="4">
        <v>0.2548216007714561</v>
      </c>
      <c r="N381" t="s">
        <v>25</v>
      </c>
      <c r="O381" t="str">
        <f t="shared" si="50"/>
        <v>Low</v>
      </c>
      <c r="P381" t="str">
        <f t="shared" si="51"/>
        <v>Low</v>
      </c>
      <c r="Q381" t="str">
        <f t="shared" si="52"/>
        <v>Low</v>
      </c>
      <c r="R381" t="s">
        <v>3317</v>
      </c>
      <c r="S381" s="4">
        <f t="shared" ca="1" si="53"/>
        <v>223</v>
      </c>
      <c r="T381">
        <f t="shared" si="54"/>
        <v>1</v>
      </c>
      <c r="U381">
        <f t="shared" si="55"/>
        <v>1</v>
      </c>
      <c r="V381">
        <f t="shared" si="56"/>
        <v>1</v>
      </c>
      <c r="W381">
        <f t="shared" si="57"/>
        <v>1</v>
      </c>
      <c r="X381">
        <f t="shared" si="58"/>
        <v>0.99999999999999989</v>
      </c>
      <c r="Y381" t="str">
        <f t="shared" si="59"/>
        <v>Healthy</v>
      </c>
    </row>
    <row r="382" spans="1:25" x14ac:dyDescent="0.35">
      <c r="A382" t="s">
        <v>14</v>
      </c>
      <c r="B382" t="s">
        <v>115</v>
      </c>
      <c r="C382" t="s">
        <v>116</v>
      </c>
      <c r="D382" t="s">
        <v>420</v>
      </c>
      <c r="E382">
        <v>80853945</v>
      </c>
      <c r="F382" t="s">
        <v>421</v>
      </c>
      <c r="G382" s="3">
        <v>47978</v>
      </c>
      <c r="H382">
        <v>60</v>
      </c>
      <c r="I382">
        <v>99</v>
      </c>
      <c r="J382">
        <v>2722</v>
      </c>
      <c r="K382" s="4">
        <v>289593.58</v>
      </c>
      <c r="L382" s="4">
        <v>55293.714285714283</v>
      </c>
      <c r="M382" s="4">
        <v>4.9228018684634785E-2</v>
      </c>
      <c r="N382" t="s">
        <v>25</v>
      </c>
      <c r="O382" t="str">
        <f t="shared" si="50"/>
        <v>Low</v>
      </c>
      <c r="P382" t="str">
        <f t="shared" si="51"/>
        <v>Low</v>
      </c>
      <c r="Q382" t="str">
        <f t="shared" si="52"/>
        <v>Low</v>
      </c>
      <c r="R382" t="s">
        <v>3309</v>
      </c>
      <c r="S382" s="4">
        <f t="shared" ca="1" si="53"/>
        <v>1781</v>
      </c>
      <c r="T382">
        <f t="shared" si="54"/>
        <v>1</v>
      </c>
      <c r="U382">
        <f t="shared" si="55"/>
        <v>1</v>
      </c>
      <c r="V382">
        <f t="shared" si="56"/>
        <v>1</v>
      </c>
      <c r="W382">
        <f t="shared" si="57"/>
        <v>3</v>
      </c>
      <c r="X382">
        <f t="shared" si="58"/>
        <v>1.2</v>
      </c>
      <c r="Y382" t="str">
        <f t="shared" si="59"/>
        <v>Healthy</v>
      </c>
    </row>
    <row r="383" spans="1:25" x14ac:dyDescent="0.35">
      <c r="A383" t="s">
        <v>179</v>
      </c>
      <c r="B383" t="s">
        <v>195</v>
      </c>
      <c r="C383" t="s">
        <v>422</v>
      </c>
      <c r="D383" t="s">
        <v>423</v>
      </c>
      <c r="E383">
        <v>80878442</v>
      </c>
      <c r="F383" t="s">
        <v>424</v>
      </c>
      <c r="G383" s="3">
        <v>46638</v>
      </c>
      <c r="H383">
        <v>16</v>
      </c>
      <c r="I383">
        <v>93</v>
      </c>
      <c r="J383">
        <v>103</v>
      </c>
      <c r="K383" s="4">
        <v>73150.600000000006</v>
      </c>
      <c r="L383" s="4">
        <v>1922</v>
      </c>
      <c r="M383" s="4">
        <v>5.3590010405827261E-2</v>
      </c>
      <c r="N383" t="s">
        <v>25</v>
      </c>
      <c r="O383" t="str">
        <f t="shared" si="50"/>
        <v>Low</v>
      </c>
      <c r="P383" t="str">
        <f t="shared" si="51"/>
        <v>Low</v>
      </c>
      <c r="Q383" t="str">
        <f t="shared" si="52"/>
        <v>Low</v>
      </c>
      <c r="R383" t="s">
        <v>3310</v>
      </c>
      <c r="S383" s="4">
        <f t="shared" ca="1" si="53"/>
        <v>441</v>
      </c>
      <c r="T383">
        <f t="shared" si="54"/>
        <v>1</v>
      </c>
      <c r="U383">
        <f t="shared" si="55"/>
        <v>1</v>
      </c>
      <c r="V383">
        <f t="shared" si="56"/>
        <v>1</v>
      </c>
      <c r="W383">
        <f t="shared" si="57"/>
        <v>2</v>
      </c>
      <c r="X383">
        <f t="shared" si="58"/>
        <v>1.0999999999999999</v>
      </c>
      <c r="Y383" t="str">
        <f t="shared" si="59"/>
        <v>Healthy</v>
      </c>
    </row>
    <row r="384" spans="1:25" x14ac:dyDescent="0.35">
      <c r="A384" t="s">
        <v>179</v>
      </c>
      <c r="B384" t="s">
        <v>195</v>
      </c>
      <c r="C384" t="s">
        <v>422</v>
      </c>
      <c r="D384" t="s">
        <v>423</v>
      </c>
      <c r="E384">
        <v>80878442</v>
      </c>
      <c r="F384" t="s">
        <v>424</v>
      </c>
      <c r="G384" s="3">
        <v>46643</v>
      </c>
      <c r="H384">
        <v>16</v>
      </c>
      <c r="I384">
        <v>94</v>
      </c>
      <c r="J384">
        <v>22</v>
      </c>
      <c r="K384" s="4">
        <v>15624.4</v>
      </c>
      <c r="L384" s="4">
        <v>1922</v>
      </c>
      <c r="M384" s="4">
        <v>1.1446409989594173E-2</v>
      </c>
      <c r="N384" t="s">
        <v>25</v>
      </c>
      <c r="O384" t="str">
        <f t="shared" si="50"/>
        <v>Low</v>
      </c>
      <c r="P384" t="str">
        <f t="shared" si="51"/>
        <v>Low</v>
      </c>
      <c r="Q384" t="str">
        <f t="shared" si="52"/>
        <v>Low</v>
      </c>
      <c r="R384" t="s">
        <v>3317</v>
      </c>
      <c r="S384" s="4">
        <f t="shared" ca="1" si="53"/>
        <v>446</v>
      </c>
      <c r="T384">
        <f t="shared" si="54"/>
        <v>1</v>
      </c>
      <c r="U384">
        <f t="shared" si="55"/>
        <v>1</v>
      </c>
      <c r="V384">
        <f t="shared" si="56"/>
        <v>1</v>
      </c>
      <c r="W384">
        <f t="shared" si="57"/>
        <v>1</v>
      </c>
      <c r="X384">
        <f t="shared" si="58"/>
        <v>0.99999999999999989</v>
      </c>
      <c r="Y384" t="str">
        <f t="shared" si="59"/>
        <v>Healthy</v>
      </c>
    </row>
    <row r="385" spans="1:25" x14ac:dyDescent="0.35">
      <c r="A385" t="s">
        <v>179</v>
      </c>
      <c r="B385" t="s">
        <v>195</v>
      </c>
      <c r="C385" t="s">
        <v>422</v>
      </c>
      <c r="D385" t="s">
        <v>423</v>
      </c>
      <c r="E385">
        <v>80878442</v>
      </c>
      <c r="F385" t="s">
        <v>424</v>
      </c>
      <c r="G385" s="3">
        <v>46623</v>
      </c>
      <c r="H385">
        <v>16</v>
      </c>
      <c r="I385">
        <v>90</v>
      </c>
      <c r="J385">
        <v>8</v>
      </c>
      <c r="K385" s="4">
        <v>5681.6</v>
      </c>
      <c r="L385" s="4">
        <v>1922</v>
      </c>
      <c r="M385" s="4">
        <v>4.1623309053069723E-3</v>
      </c>
      <c r="N385" t="s">
        <v>25</v>
      </c>
      <c r="O385" t="str">
        <f t="shared" si="50"/>
        <v>Low</v>
      </c>
      <c r="P385" t="str">
        <f t="shared" si="51"/>
        <v>Low</v>
      </c>
      <c r="Q385" t="str">
        <f t="shared" si="52"/>
        <v>Low</v>
      </c>
      <c r="R385" t="s">
        <v>3317</v>
      </c>
      <c r="S385" s="4">
        <f t="shared" ca="1" si="53"/>
        <v>426</v>
      </c>
      <c r="T385">
        <f t="shared" si="54"/>
        <v>1</v>
      </c>
      <c r="U385">
        <f t="shared" si="55"/>
        <v>1</v>
      </c>
      <c r="V385">
        <f t="shared" si="56"/>
        <v>1</v>
      </c>
      <c r="W385">
        <f t="shared" si="57"/>
        <v>1</v>
      </c>
      <c r="X385">
        <f t="shared" si="58"/>
        <v>0.99999999999999989</v>
      </c>
      <c r="Y385" t="str">
        <f t="shared" si="59"/>
        <v>Healthy</v>
      </c>
    </row>
    <row r="386" spans="1:25" x14ac:dyDescent="0.35">
      <c r="A386" t="s">
        <v>179</v>
      </c>
      <c r="B386" t="s">
        <v>195</v>
      </c>
      <c r="C386" t="s">
        <v>422</v>
      </c>
      <c r="D386" t="s">
        <v>423</v>
      </c>
      <c r="E386">
        <v>80878442</v>
      </c>
      <c r="F386" t="s">
        <v>424</v>
      </c>
      <c r="G386" s="3">
        <v>46643</v>
      </c>
      <c r="H386">
        <v>16</v>
      </c>
      <c r="I386">
        <v>94</v>
      </c>
      <c r="J386">
        <v>51</v>
      </c>
      <c r="K386" s="4">
        <v>50424.2</v>
      </c>
      <c r="L386" s="4">
        <v>1922</v>
      </c>
      <c r="M386" s="4">
        <v>2.6534859521331947E-2</v>
      </c>
      <c r="N386" t="s">
        <v>25</v>
      </c>
      <c r="O386" t="str">
        <f t="shared" si="50"/>
        <v>Low</v>
      </c>
      <c r="P386" t="str">
        <f t="shared" si="51"/>
        <v>Low</v>
      </c>
      <c r="Q386" t="str">
        <f t="shared" si="52"/>
        <v>Low</v>
      </c>
      <c r="R386" t="s">
        <v>3317</v>
      </c>
      <c r="S386" s="4">
        <f t="shared" ca="1" si="53"/>
        <v>446</v>
      </c>
      <c r="T386">
        <f t="shared" si="54"/>
        <v>1</v>
      </c>
      <c r="U386">
        <f t="shared" si="55"/>
        <v>1</v>
      </c>
      <c r="V386">
        <f t="shared" si="56"/>
        <v>1</v>
      </c>
      <c r="W386">
        <f t="shared" si="57"/>
        <v>1</v>
      </c>
      <c r="X386">
        <f t="shared" si="58"/>
        <v>0.99999999999999989</v>
      </c>
      <c r="Y386" t="str">
        <f t="shared" si="59"/>
        <v>Healthy</v>
      </c>
    </row>
    <row r="387" spans="1:25" x14ac:dyDescent="0.35">
      <c r="A387" t="s">
        <v>179</v>
      </c>
      <c r="B387" t="s">
        <v>195</v>
      </c>
      <c r="C387" t="s">
        <v>422</v>
      </c>
      <c r="D387" t="s">
        <v>423</v>
      </c>
      <c r="E387">
        <v>80878442</v>
      </c>
      <c r="F387" t="s">
        <v>424</v>
      </c>
      <c r="G387" s="3">
        <v>46662</v>
      </c>
      <c r="H387">
        <v>16</v>
      </c>
      <c r="I387">
        <v>98</v>
      </c>
      <c r="J387">
        <v>45</v>
      </c>
      <c r="K387" s="4">
        <v>31959</v>
      </c>
      <c r="L387" s="4">
        <v>1922</v>
      </c>
      <c r="M387" s="4">
        <v>2.3413111342351717E-2</v>
      </c>
      <c r="N387" t="s">
        <v>25</v>
      </c>
      <c r="O387" t="str">
        <f t="shared" ref="O387:O450" si="60">IF(I387&lt;20,"High",IF(I387&lt;40,"Medium","Low"))</f>
        <v>Low</v>
      </c>
      <c r="P387" t="str">
        <f t="shared" ref="P387:P450" si="61">IF(M387&gt;8,"High",IF(M387&gt;4,"Medium","Low"))</f>
        <v>Low</v>
      </c>
      <c r="Q387" t="str">
        <f t="shared" ref="Q387:Q450" si="62">IF(L387&lt;5,"High",IF(L387&lt;15,"Medium","Low"))</f>
        <v>Low</v>
      </c>
      <c r="R387" t="s">
        <v>3317</v>
      </c>
      <c r="S387" s="4">
        <f t="shared" ref="S387:S450" ca="1" si="63">G387-TODAY()</f>
        <v>465</v>
      </c>
      <c r="T387">
        <f t="shared" ref="T387:T450" si="64">IF(O387="High",3,IF(O387="Medium",2,1))</f>
        <v>1</v>
      </c>
      <c r="U387">
        <f t="shared" ref="U387:U450" si="65">IF(P387="High",3,IF(P387="Medium",2,1))</f>
        <v>1</v>
      </c>
      <c r="V387">
        <f t="shared" ref="V387:V450" si="66">IF(Q387="High",3,IF(Q387="Medium",2,1))</f>
        <v>1</v>
      </c>
      <c r="W387">
        <f t="shared" ref="W387:W450" si="67">IF(R387="High",3,IF(R387="Medium",2,1))</f>
        <v>1</v>
      </c>
      <c r="X387">
        <f t="shared" ref="X387:X450" si="68">(0.4*T387)+(0.3*U387)+(0.2*V387)+(0.1*W387)</f>
        <v>0.99999999999999989</v>
      </c>
      <c r="Y387" t="str">
        <f t="shared" ref="Y387:Y450" si="69">IF(X387&gt;=2.7,"Move Immediately",IF(X387&gt;=2.2,"High Priority",IF(X387&gt;=1.7,"Monitor","Healthy")))</f>
        <v>Healthy</v>
      </c>
    </row>
    <row r="388" spans="1:25" x14ac:dyDescent="0.35">
      <c r="A388" t="s">
        <v>179</v>
      </c>
      <c r="B388" t="s">
        <v>195</v>
      </c>
      <c r="C388" t="s">
        <v>422</v>
      </c>
      <c r="D388" t="s">
        <v>423</v>
      </c>
      <c r="E388">
        <v>80878442</v>
      </c>
      <c r="F388" t="s">
        <v>424</v>
      </c>
      <c r="G388" s="3">
        <v>46638</v>
      </c>
      <c r="H388">
        <v>16</v>
      </c>
      <c r="I388">
        <v>93</v>
      </c>
      <c r="J388">
        <v>60</v>
      </c>
      <c r="K388" s="4">
        <v>42612</v>
      </c>
      <c r="L388" s="4">
        <v>1922</v>
      </c>
      <c r="M388" s="4">
        <v>3.1217481789802288E-2</v>
      </c>
      <c r="N388" t="s">
        <v>25</v>
      </c>
      <c r="O388" t="str">
        <f t="shared" si="60"/>
        <v>Low</v>
      </c>
      <c r="P388" t="str">
        <f t="shared" si="61"/>
        <v>Low</v>
      </c>
      <c r="Q388" t="str">
        <f t="shared" si="62"/>
        <v>Low</v>
      </c>
      <c r="R388" t="s">
        <v>3317</v>
      </c>
      <c r="S388" s="4">
        <f t="shared" ca="1" si="63"/>
        <v>441</v>
      </c>
      <c r="T388">
        <f t="shared" si="64"/>
        <v>1</v>
      </c>
      <c r="U388">
        <f t="shared" si="65"/>
        <v>1</v>
      </c>
      <c r="V388">
        <f t="shared" si="66"/>
        <v>1</v>
      </c>
      <c r="W388">
        <f t="shared" si="67"/>
        <v>1</v>
      </c>
      <c r="X388">
        <f t="shared" si="68"/>
        <v>0.99999999999999989</v>
      </c>
      <c r="Y388" t="str">
        <f t="shared" si="69"/>
        <v>Healthy</v>
      </c>
    </row>
    <row r="389" spans="1:25" x14ac:dyDescent="0.35">
      <c r="A389" t="s">
        <v>14</v>
      </c>
      <c r="B389" t="s">
        <v>115</v>
      </c>
      <c r="C389" t="s">
        <v>116</v>
      </c>
      <c r="D389" t="s">
        <v>420</v>
      </c>
      <c r="E389">
        <v>80853945</v>
      </c>
      <c r="F389" t="s">
        <v>421</v>
      </c>
      <c r="G389" s="3">
        <v>47969</v>
      </c>
      <c r="H389">
        <v>60</v>
      </c>
      <c r="I389">
        <v>99</v>
      </c>
      <c r="J389">
        <v>3148</v>
      </c>
      <c r="K389" s="4">
        <v>334915.71999999997</v>
      </c>
      <c r="L389" s="4">
        <v>55293.714285714283</v>
      </c>
      <c r="M389" s="4">
        <v>5.6932330205448307E-2</v>
      </c>
      <c r="N389" t="s">
        <v>25</v>
      </c>
      <c r="O389" t="str">
        <f t="shared" si="60"/>
        <v>Low</v>
      </c>
      <c r="P389" t="str">
        <f t="shared" si="61"/>
        <v>Low</v>
      </c>
      <c r="Q389" t="str">
        <f t="shared" si="62"/>
        <v>Low</v>
      </c>
      <c r="R389" t="s">
        <v>3309</v>
      </c>
      <c r="S389" s="4">
        <f t="shared" ca="1" si="63"/>
        <v>1772</v>
      </c>
      <c r="T389">
        <f t="shared" si="64"/>
        <v>1</v>
      </c>
      <c r="U389">
        <f t="shared" si="65"/>
        <v>1</v>
      </c>
      <c r="V389">
        <f t="shared" si="66"/>
        <v>1</v>
      </c>
      <c r="W389">
        <f t="shared" si="67"/>
        <v>3</v>
      </c>
      <c r="X389">
        <f t="shared" si="68"/>
        <v>1.2</v>
      </c>
      <c r="Y389" t="str">
        <f t="shared" si="69"/>
        <v>Healthy</v>
      </c>
    </row>
    <row r="390" spans="1:25" x14ac:dyDescent="0.35">
      <c r="A390" t="s">
        <v>179</v>
      </c>
      <c r="B390" t="s">
        <v>195</v>
      </c>
      <c r="C390" t="s">
        <v>422</v>
      </c>
      <c r="D390" t="s">
        <v>423</v>
      </c>
      <c r="E390">
        <v>80878442</v>
      </c>
      <c r="F390" t="s">
        <v>424</v>
      </c>
      <c r="G390" s="3">
        <v>46669</v>
      </c>
      <c r="H390">
        <v>16</v>
      </c>
      <c r="I390">
        <v>99</v>
      </c>
      <c r="J390">
        <v>870</v>
      </c>
      <c r="K390" s="4">
        <v>617874</v>
      </c>
      <c r="L390" s="4">
        <v>1922</v>
      </c>
      <c r="M390" s="4">
        <v>0.45265348595213317</v>
      </c>
      <c r="N390" t="s">
        <v>25</v>
      </c>
      <c r="O390" t="str">
        <f t="shared" si="60"/>
        <v>Low</v>
      </c>
      <c r="P390" t="str">
        <f t="shared" si="61"/>
        <v>Low</v>
      </c>
      <c r="Q390" t="str">
        <f t="shared" si="62"/>
        <v>Low</v>
      </c>
      <c r="R390" t="s">
        <v>3309</v>
      </c>
      <c r="S390" s="4">
        <f t="shared" ca="1" si="63"/>
        <v>472</v>
      </c>
      <c r="T390">
        <f t="shared" si="64"/>
        <v>1</v>
      </c>
      <c r="U390">
        <f t="shared" si="65"/>
        <v>1</v>
      </c>
      <c r="V390">
        <f t="shared" si="66"/>
        <v>1</v>
      </c>
      <c r="W390">
        <f t="shared" si="67"/>
        <v>3</v>
      </c>
      <c r="X390">
        <f t="shared" si="68"/>
        <v>1.2</v>
      </c>
      <c r="Y390" t="str">
        <f t="shared" si="69"/>
        <v>Healthy</v>
      </c>
    </row>
    <row r="391" spans="1:25" x14ac:dyDescent="0.35">
      <c r="A391" t="s">
        <v>179</v>
      </c>
      <c r="B391" t="s">
        <v>195</v>
      </c>
      <c r="C391" t="s">
        <v>422</v>
      </c>
      <c r="D391" t="s">
        <v>423</v>
      </c>
      <c r="E391">
        <v>80878442</v>
      </c>
      <c r="F391" t="s">
        <v>424</v>
      </c>
      <c r="G391" s="3">
        <v>46661</v>
      </c>
      <c r="H391">
        <v>16</v>
      </c>
      <c r="I391">
        <v>98</v>
      </c>
      <c r="J391">
        <v>195</v>
      </c>
      <c r="K391" s="4">
        <v>138489</v>
      </c>
      <c r="L391" s="4">
        <v>1922</v>
      </c>
      <c r="M391" s="4">
        <v>0.10145681581685743</v>
      </c>
      <c r="N391" t="s">
        <v>25</v>
      </c>
      <c r="O391" t="str">
        <f t="shared" si="60"/>
        <v>Low</v>
      </c>
      <c r="P391" t="str">
        <f t="shared" si="61"/>
        <v>Low</v>
      </c>
      <c r="Q391" t="str">
        <f t="shared" si="62"/>
        <v>Low</v>
      </c>
      <c r="R391" t="s">
        <v>3309</v>
      </c>
      <c r="S391" s="4">
        <f t="shared" ca="1" si="63"/>
        <v>464</v>
      </c>
      <c r="T391">
        <f t="shared" si="64"/>
        <v>1</v>
      </c>
      <c r="U391">
        <f t="shared" si="65"/>
        <v>1</v>
      </c>
      <c r="V391">
        <f t="shared" si="66"/>
        <v>1</v>
      </c>
      <c r="W391">
        <f t="shared" si="67"/>
        <v>3</v>
      </c>
      <c r="X391">
        <f t="shared" si="68"/>
        <v>1.2</v>
      </c>
      <c r="Y391" t="str">
        <f t="shared" si="69"/>
        <v>Healthy</v>
      </c>
    </row>
    <row r="392" spans="1:25" x14ac:dyDescent="0.35">
      <c r="A392" t="s">
        <v>179</v>
      </c>
      <c r="B392" t="s">
        <v>195</v>
      </c>
      <c r="C392" t="s">
        <v>422</v>
      </c>
      <c r="D392" t="s">
        <v>423</v>
      </c>
      <c r="E392">
        <v>80878442</v>
      </c>
      <c r="F392" t="s">
        <v>424</v>
      </c>
      <c r="G392" s="3">
        <v>46635</v>
      </c>
      <c r="H392">
        <v>16</v>
      </c>
      <c r="I392">
        <v>92</v>
      </c>
      <c r="J392">
        <v>5</v>
      </c>
      <c r="K392" s="4">
        <v>3551</v>
      </c>
      <c r="L392" s="4">
        <v>1922</v>
      </c>
      <c r="M392" s="4">
        <v>2.6014568158168575E-3</v>
      </c>
      <c r="N392" t="s">
        <v>25</v>
      </c>
      <c r="O392" t="str">
        <f t="shared" si="60"/>
        <v>Low</v>
      </c>
      <c r="P392" t="str">
        <f t="shared" si="61"/>
        <v>Low</v>
      </c>
      <c r="Q392" t="str">
        <f t="shared" si="62"/>
        <v>Low</v>
      </c>
      <c r="R392" t="s">
        <v>3317</v>
      </c>
      <c r="S392" s="4">
        <f t="shared" ca="1" si="63"/>
        <v>438</v>
      </c>
      <c r="T392">
        <f t="shared" si="64"/>
        <v>1</v>
      </c>
      <c r="U392">
        <f t="shared" si="65"/>
        <v>1</v>
      </c>
      <c r="V392">
        <f t="shared" si="66"/>
        <v>1</v>
      </c>
      <c r="W392">
        <f t="shared" si="67"/>
        <v>1</v>
      </c>
      <c r="X392">
        <f t="shared" si="68"/>
        <v>0.99999999999999989</v>
      </c>
      <c r="Y392" t="str">
        <f t="shared" si="69"/>
        <v>Healthy</v>
      </c>
    </row>
    <row r="393" spans="1:25" x14ac:dyDescent="0.35">
      <c r="A393" t="s">
        <v>179</v>
      </c>
      <c r="B393" t="s">
        <v>195</v>
      </c>
      <c r="C393" t="s">
        <v>422</v>
      </c>
      <c r="D393" t="s">
        <v>423</v>
      </c>
      <c r="E393">
        <v>80878442</v>
      </c>
      <c r="F393" t="s">
        <v>424</v>
      </c>
      <c r="G393" s="3">
        <v>46669</v>
      </c>
      <c r="H393">
        <v>16</v>
      </c>
      <c r="I393">
        <v>99</v>
      </c>
      <c r="J393">
        <v>390</v>
      </c>
      <c r="K393" s="4">
        <v>276978</v>
      </c>
      <c r="L393" s="4">
        <v>1922</v>
      </c>
      <c r="M393" s="4">
        <v>0.20291363163371487</v>
      </c>
      <c r="N393" t="s">
        <v>25</v>
      </c>
      <c r="O393" t="str">
        <f t="shared" si="60"/>
        <v>Low</v>
      </c>
      <c r="P393" t="str">
        <f t="shared" si="61"/>
        <v>Low</v>
      </c>
      <c r="Q393" t="str">
        <f t="shared" si="62"/>
        <v>Low</v>
      </c>
      <c r="R393" t="s">
        <v>3309</v>
      </c>
      <c r="S393" s="4">
        <f t="shared" ca="1" si="63"/>
        <v>472</v>
      </c>
      <c r="T393">
        <f t="shared" si="64"/>
        <v>1</v>
      </c>
      <c r="U393">
        <f t="shared" si="65"/>
        <v>1</v>
      </c>
      <c r="V393">
        <f t="shared" si="66"/>
        <v>1</v>
      </c>
      <c r="W393">
        <f t="shared" si="67"/>
        <v>3</v>
      </c>
      <c r="X393">
        <f t="shared" si="68"/>
        <v>1.2</v>
      </c>
      <c r="Y393" t="str">
        <f t="shared" si="69"/>
        <v>Healthy</v>
      </c>
    </row>
    <row r="394" spans="1:25" x14ac:dyDescent="0.35">
      <c r="A394" t="s">
        <v>179</v>
      </c>
      <c r="B394" t="s">
        <v>195</v>
      </c>
      <c r="C394" t="s">
        <v>422</v>
      </c>
      <c r="D394" t="s">
        <v>423</v>
      </c>
      <c r="E394">
        <v>80878442</v>
      </c>
      <c r="F394" t="s">
        <v>424</v>
      </c>
      <c r="G394" s="3">
        <v>46662</v>
      </c>
      <c r="H394">
        <v>16</v>
      </c>
      <c r="I394">
        <v>98</v>
      </c>
      <c r="J394">
        <v>74</v>
      </c>
      <c r="K394" s="4">
        <v>52554.8</v>
      </c>
      <c r="L394" s="4">
        <v>1922</v>
      </c>
      <c r="M394" s="4">
        <v>3.8501560874089492E-2</v>
      </c>
      <c r="N394" t="s">
        <v>25</v>
      </c>
      <c r="O394" t="str">
        <f t="shared" si="60"/>
        <v>Low</v>
      </c>
      <c r="P394" t="str">
        <f t="shared" si="61"/>
        <v>Low</v>
      </c>
      <c r="Q394" t="str">
        <f t="shared" si="62"/>
        <v>Low</v>
      </c>
      <c r="R394" t="s">
        <v>3317</v>
      </c>
      <c r="S394" s="4">
        <f t="shared" ca="1" si="63"/>
        <v>465</v>
      </c>
      <c r="T394">
        <f t="shared" si="64"/>
        <v>1</v>
      </c>
      <c r="U394">
        <f t="shared" si="65"/>
        <v>1</v>
      </c>
      <c r="V394">
        <f t="shared" si="66"/>
        <v>1</v>
      </c>
      <c r="W394">
        <f t="shared" si="67"/>
        <v>1</v>
      </c>
      <c r="X394">
        <f t="shared" si="68"/>
        <v>0.99999999999999989</v>
      </c>
      <c r="Y394" t="str">
        <f t="shared" si="69"/>
        <v>Healthy</v>
      </c>
    </row>
    <row r="395" spans="1:25" x14ac:dyDescent="0.35">
      <c r="A395" t="s">
        <v>41</v>
      </c>
      <c r="B395" t="s">
        <v>42</v>
      </c>
      <c r="C395" t="s">
        <v>43</v>
      </c>
      <c r="D395" t="s">
        <v>302</v>
      </c>
      <c r="E395">
        <v>80871618</v>
      </c>
      <c r="F395" t="s">
        <v>425</v>
      </c>
      <c r="G395" s="3">
        <v>46993</v>
      </c>
      <c r="H395">
        <v>36</v>
      </c>
      <c r="I395">
        <v>74</v>
      </c>
      <c r="J395">
        <v>14</v>
      </c>
      <c r="K395" s="4">
        <v>4337.34</v>
      </c>
      <c r="L395" s="4">
        <v>1.7142857142857142</v>
      </c>
      <c r="M395" s="4">
        <v>8.1666666666666679</v>
      </c>
      <c r="N395" t="s">
        <v>19</v>
      </c>
      <c r="O395" t="str">
        <f t="shared" si="60"/>
        <v>Low</v>
      </c>
      <c r="P395" t="str">
        <f t="shared" si="61"/>
        <v>High</v>
      </c>
      <c r="Q395" t="str">
        <f t="shared" si="62"/>
        <v>High</v>
      </c>
      <c r="R395" t="s">
        <v>3317</v>
      </c>
      <c r="S395" s="4">
        <f t="shared" ca="1" si="63"/>
        <v>796</v>
      </c>
      <c r="T395">
        <f t="shared" si="64"/>
        <v>1</v>
      </c>
      <c r="U395">
        <f t="shared" si="65"/>
        <v>3</v>
      </c>
      <c r="V395">
        <f t="shared" si="66"/>
        <v>3</v>
      </c>
      <c r="W395">
        <f t="shared" si="67"/>
        <v>1</v>
      </c>
      <c r="X395">
        <f t="shared" si="68"/>
        <v>2</v>
      </c>
      <c r="Y395" t="str">
        <f t="shared" si="69"/>
        <v>Monitor</v>
      </c>
    </row>
    <row r="396" spans="1:25" x14ac:dyDescent="0.35">
      <c r="A396" t="s">
        <v>41</v>
      </c>
      <c r="B396" t="s">
        <v>42</v>
      </c>
      <c r="C396" t="s">
        <v>43</v>
      </c>
      <c r="D396" t="s">
        <v>426</v>
      </c>
      <c r="E396">
        <v>80864941</v>
      </c>
      <c r="F396" t="s">
        <v>427</v>
      </c>
      <c r="G396" s="3">
        <v>46983</v>
      </c>
      <c r="H396">
        <v>36</v>
      </c>
      <c r="I396">
        <v>73</v>
      </c>
      <c r="J396">
        <v>25</v>
      </c>
      <c r="K396" s="4">
        <v>7854.25</v>
      </c>
      <c r="L396" s="4">
        <v>16.428571428571427</v>
      </c>
      <c r="M396" s="4">
        <v>1.5217391304347827</v>
      </c>
      <c r="N396" t="s">
        <v>25</v>
      </c>
      <c r="O396" t="str">
        <f t="shared" si="60"/>
        <v>Low</v>
      </c>
      <c r="P396" t="str">
        <f t="shared" si="61"/>
        <v>Low</v>
      </c>
      <c r="Q396" t="str">
        <f t="shared" si="62"/>
        <v>Low</v>
      </c>
      <c r="R396" t="s">
        <v>3317</v>
      </c>
      <c r="S396" s="4">
        <f t="shared" ca="1" si="63"/>
        <v>786</v>
      </c>
      <c r="T396">
        <f t="shared" si="64"/>
        <v>1</v>
      </c>
      <c r="U396">
        <f t="shared" si="65"/>
        <v>1</v>
      </c>
      <c r="V396">
        <f t="shared" si="66"/>
        <v>1</v>
      </c>
      <c r="W396">
        <f t="shared" si="67"/>
        <v>1</v>
      </c>
      <c r="X396">
        <f t="shared" si="68"/>
        <v>0.99999999999999989</v>
      </c>
      <c r="Y396" t="str">
        <f t="shared" si="69"/>
        <v>Healthy</v>
      </c>
    </row>
    <row r="397" spans="1:25" x14ac:dyDescent="0.35">
      <c r="A397" t="s">
        <v>41</v>
      </c>
      <c r="B397" t="s">
        <v>42</v>
      </c>
      <c r="C397" t="s">
        <v>43</v>
      </c>
      <c r="D397" t="s">
        <v>426</v>
      </c>
      <c r="E397">
        <v>80864941</v>
      </c>
      <c r="F397" t="s">
        <v>427</v>
      </c>
      <c r="G397" s="3">
        <v>46998</v>
      </c>
      <c r="H397">
        <v>36</v>
      </c>
      <c r="I397">
        <v>75</v>
      </c>
      <c r="J397">
        <v>15</v>
      </c>
      <c r="K397" s="4">
        <v>4712.55</v>
      </c>
      <c r="L397" s="4">
        <v>16.428571428571427</v>
      </c>
      <c r="M397" s="4">
        <v>0.91304347826086962</v>
      </c>
      <c r="N397" t="s">
        <v>25</v>
      </c>
      <c r="O397" t="str">
        <f t="shared" si="60"/>
        <v>Low</v>
      </c>
      <c r="P397" t="str">
        <f t="shared" si="61"/>
        <v>Low</v>
      </c>
      <c r="Q397" t="str">
        <f t="shared" si="62"/>
        <v>Low</v>
      </c>
      <c r="R397" t="s">
        <v>3317</v>
      </c>
      <c r="S397" s="4">
        <f t="shared" ca="1" si="63"/>
        <v>801</v>
      </c>
      <c r="T397">
        <f t="shared" si="64"/>
        <v>1</v>
      </c>
      <c r="U397">
        <f t="shared" si="65"/>
        <v>1</v>
      </c>
      <c r="V397">
        <f t="shared" si="66"/>
        <v>1</v>
      </c>
      <c r="W397">
        <f t="shared" si="67"/>
        <v>1</v>
      </c>
      <c r="X397">
        <f t="shared" si="68"/>
        <v>0.99999999999999989</v>
      </c>
      <c r="Y397" t="str">
        <f t="shared" si="69"/>
        <v>Healthy</v>
      </c>
    </row>
    <row r="398" spans="1:25" x14ac:dyDescent="0.35">
      <c r="A398" t="s">
        <v>71</v>
      </c>
      <c r="B398" t="s">
        <v>72</v>
      </c>
      <c r="C398" t="s">
        <v>73</v>
      </c>
      <c r="D398" t="s">
        <v>428</v>
      </c>
      <c r="E398">
        <v>80867181</v>
      </c>
      <c r="F398" t="s">
        <v>429</v>
      </c>
      <c r="G398" s="3">
        <v>47079</v>
      </c>
      <c r="H398">
        <v>36</v>
      </c>
      <c r="I398">
        <v>82</v>
      </c>
      <c r="J398">
        <v>15</v>
      </c>
      <c r="K398" s="4">
        <v>13351.2</v>
      </c>
      <c r="L398" s="4">
        <v>533.14285714285711</v>
      </c>
      <c r="M398" s="4">
        <v>2.8135048231511257E-2</v>
      </c>
      <c r="N398" t="s">
        <v>25</v>
      </c>
      <c r="O398" t="str">
        <f t="shared" si="60"/>
        <v>Low</v>
      </c>
      <c r="P398" t="str">
        <f t="shared" si="61"/>
        <v>Low</v>
      </c>
      <c r="Q398" t="str">
        <f t="shared" si="62"/>
        <v>Low</v>
      </c>
      <c r="R398" t="s">
        <v>3317</v>
      </c>
      <c r="S398" s="4">
        <f t="shared" ca="1" si="63"/>
        <v>882</v>
      </c>
      <c r="T398">
        <f t="shared" si="64"/>
        <v>1</v>
      </c>
      <c r="U398">
        <f t="shared" si="65"/>
        <v>1</v>
      </c>
      <c r="V398">
        <f t="shared" si="66"/>
        <v>1</v>
      </c>
      <c r="W398">
        <f t="shared" si="67"/>
        <v>1</v>
      </c>
      <c r="X398">
        <f t="shared" si="68"/>
        <v>0.99999999999999989</v>
      </c>
      <c r="Y398" t="str">
        <f t="shared" si="69"/>
        <v>Healthy</v>
      </c>
    </row>
    <row r="399" spans="1:25" x14ac:dyDescent="0.35">
      <c r="A399" t="s">
        <v>71</v>
      </c>
      <c r="B399" t="s">
        <v>72</v>
      </c>
      <c r="C399" t="s">
        <v>73</v>
      </c>
      <c r="D399" t="s">
        <v>428</v>
      </c>
      <c r="E399">
        <v>80867181</v>
      </c>
      <c r="F399" t="s">
        <v>429</v>
      </c>
      <c r="G399" s="3">
        <v>47041</v>
      </c>
      <c r="H399">
        <v>36</v>
      </c>
      <c r="I399">
        <v>79</v>
      </c>
      <c r="J399">
        <v>4</v>
      </c>
      <c r="K399" s="4">
        <v>3560.32</v>
      </c>
      <c r="L399" s="4">
        <v>533.14285714285711</v>
      </c>
      <c r="M399" s="4">
        <v>7.5026795284030019E-3</v>
      </c>
      <c r="N399" t="s">
        <v>25</v>
      </c>
      <c r="O399" t="str">
        <f t="shared" si="60"/>
        <v>Low</v>
      </c>
      <c r="P399" t="str">
        <f t="shared" si="61"/>
        <v>Low</v>
      </c>
      <c r="Q399" t="str">
        <f t="shared" si="62"/>
        <v>Low</v>
      </c>
      <c r="R399" t="s">
        <v>3317</v>
      </c>
      <c r="S399" s="4">
        <f t="shared" ca="1" si="63"/>
        <v>844</v>
      </c>
      <c r="T399">
        <f t="shared" si="64"/>
        <v>1</v>
      </c>
      <c r="U399">
        <f t="shared" si="65"/>
        <v>1</v>
      </c>
      <c r="V399">
        <f t="shared" si="66"/>
        <v>1</v>
      </c>
      <c r="W399">
        <f t="shared" si="67"/>
        <v>1</v>
      </c>
      <c r="X399">
        <f t="shared" si="68"/>
        <v>0.99999999999999989</v>
      </c>
      <c r="Y399" t="str">
        <f t="shared" si="69"/>
        <v>Healthy</v>
      </c>
    </row>
    <row r="400" spans="1:25" x14ac:dyDescent="0.35">
      <c r="A400" t="s">
        <v>71</v>
      </c>
      <c r="B400" t="s">
        <v>72</v>
      </c>
      <c r="C400" t="s">
        <v>73</v>
      </c>
      <c r="D400" t="s">
        <v>430</v>
      </c>
      <c r="E400">
        <v>80867198</v>
      </c>
      <c r="F400" t="s">
        <v>431</v>
      </c>
      <c r="G400" s="3">
        <v>47029</v>
      </c>
      <c r="H400">
        <v>36</v>
      </c>
      <c r="I400">
        <v>78</v>
      </c>
      <c r="J400">
        <v>2</v>
      </c>
      <c r="K400" s="4">
        <v>3800.1</v>
      </c>
      <c r="L400" s="4">
        <f>0</f>
        <v>0</v>
      </c>
      <c r="M400" s="4">
        <f>999</f>
        <v>999</v>
      </c>
      <c r="N400" t="s">
        <v>19</v>
      </c>
      <c r="O400" t="str">
        <f t="shared" si="60"/>
        <v>Low</v>
      </c>
      <c r="P400" t="str">
        <f t="shared" si="61"/>
        <v>High</v>
      </c>
      <c r="Q400" t="str">
        <f t="shared" si="62"/>
        <v>High</v>
      </c>
      <c r="R400" t="s">
        <v>3317</v>
      </c>
      <c r="S400" s="4">
        <f t="shared" ca="1" si="63"/>
        <v>832</v>
      </c>
      <c r="T400">
        <f t="shared" si="64"/>
        <v>1</v>
      </c>
      <c r="U400">
        <f t="shared" si="65"/>
        <v>3</v>
      </c>
      <c r="V400">
        <f t="shared" si="66"/>
        <v>3</v>
      </c>
      <c r="W400">
        <f t="shared" si="67"/>
        <v>1</v>
      </c>
      <c r="X400">
        <f t="shared" si="68"/>
        <v>2</v>
      </c>
      <c r="Y400" t="str">
        <f t="shared" si="69"/>
        <v>Monitor</v>
      </c>
    </row>
    <row r="401" spans="1:25" x14ac:dyDescent="0.35">
      <c r="A401" t="s">
        <v>71</v>
      </c>
      <c r="B401" t="s">
        <v>72</v>
      </c>
      <c r="C401" t="s">
        <v>73</v>
      </c>
      <c r="D401" t="s">
        <v>430</v>
      </c>
      <c r="E401">
        <v>80867198</v>
      </c>
      <c r="F401" t="s">
        <v>431</v>
      </c>
      <c r="G401" s="3">
        <v>47001</v>
      </c>
      <c r="H401">
        <v>36</v>
      </c>
      <c r="I401">
        <v>75</v>
      </c>
      <c r="J401">
        <v>3</v>
      </c>
      <c r="K401" s="4">
        <v>5700.15</v>
      </c>
      <c r="L401" s="4">
        <f>0</f>
        <v>0</v>
      </c>
      <c r="M401" s="4">
        <f>999</f>
        <v>999</v>
      </c>
      <c r="N401" t="s">
        <v>19</v>
      </c>
      <c r="O401" t="str">
        <f t="shared" si="60"/>
        <v>Low</v>
      </c>
      <c r="P401" t="str">
        <f t="shared" si="61"/>
        <v>High</v>
      </c>
      <c r="Q401" t="str">
        <f t="shared" si="62"/>
        <v>High</v>
      </c>
      <c r="R401" t="s">
        <v>3317</v>
      </c>
      <c r="S401" s="4">
        <f t="shared" ca="1" si="63"/>
        <v>804</v>
      </c>
      <c r="T401">
        <f t="shared" si="64"/>
        <v>1</v>
      </c>
      <c r="U401">
        <f t="shared" si="65"/>
        <v>3</v>
      </c>
      <c r="V401">
        <f t="shared" si="66"/>
        <v>3</v>
      </c>
      <c r="W401">
        <f t="shared" si="67"/>
        <v>1</v>
      </c>
      <c r="X401">
        <f t="shared" si="68"/>
        <v>2</v>
      </c>
      <c r="Y401" t="str">
        <f t="shared" si="69"/>
        <v>Monitor</v>
      </c>
    </row>
    <row r="402" spans="1:25" x14ac:dyDescent="0.35">
      <c r="A402" t="s">
        <v>71</v>
      </c>
      <c r="B402" t="s">
        <v>72</v>
      </c>
      <c r="C402" t="s">
        <v>73</v>
      </c>
      <c r="D402" t="s">
        <v>298</v>
      </c>
      <c r="E402">
        <v>80867203</v>
      </c>
      <c r="F402" t="s">
        <v>432</v>
      </c>
      <c r="G402" s="3">
        <v>47002</v>
      </c>
      <c r="H402">
        <v>36</v>
      </c>
      <c r="I402">
        <v>75</v>
      </c>
      <c r="J402">
        <v>4</v>
      </c>
      <c r="K402" s="4">
        <v>4297.6000000000004</v>
      </c>
      <c r="L402" s="4">
        <v>260</v>
      </c>
      <c r="M402" s="4">
        <v>1.5384615384615385E-2</v>
      </c>
      <c r="N402" t="s">
        <v>25</v>
      </c>
      <c r="O402" t="str">
        <f t="shared" si="60"/>
        <v>Low</v>
      </c>
      <c r="P402" t="str">
        <f t="shared" si="61"/>
        <v>Low</v>
      </c>
      <c r="Q402" t="str">
        <f t="shared" si="62"/>
        <v>Low</v>
      </c>
      <c r="R402" t="s">
        <v>3317</v>
      </c>
      <c r="S402" s="4">
        <f t="shared" ca="1" si="63"/>
        <v>805</v>
      </c>
      <c r="T402">
        <f t="shared" si="64"/>
        <v>1</v>
      </c>
      <c r="U402">
        <f t="shared" si="65"/>
        <v>1</v>
      </c>
      <c r="V402">
        <f t="shared" si="66"/>
        <v>1</v>
      </c>
      <c r="W402">
        <f t="shared" si="67"/>
        <v>1</v>
      </c>
      <c r="X402">
        <f t="shared" si="68"/>
        <v>0.99999999999999989</v>
      </c>
      <c r="Y402" t="str">
        <f t="shared" si="69"/>
        <v>Healthy</v>
      </c>
    </row>
    <row r="403" spans="1:25" x14ac:dyDescent="0.35">
      <c r="A403" t="s">
        <v>71</v>
      </c>
      <c r="B403" t="s">
        <v>72</v>
      </c>
      <c r="C403" t="s">
        <v>73</v>
      </c>
      <c r="D403" t="s">
        <v>298</v>
      </c>
      <c r="E403">
        <v>80867203</v>
      </c>
      <c r="F403" t="s">
        <v>432</v>
      </c>
      <c r="G403" s="3">
        <v>46997</v>
      </c>
      <c r="H403">
        <v>36</v>
      </c>
      <c r="I403">
        <v>75</v>
      </c>
      <c r="J403">
        <v>17</v>
      </c>
      <c r="K403" s="4">
        <v>18264.8</v>
      </c>
      <c r="L403" s="4">
        <v>260</v>
      </c>
      <c r="M403" s="4">
        <v>6.5384615384615388E-2</v>
      </c>
      <c r="N403" t="s">
        <v>25</v>
      </c>
      <c r="O403" t="str">
        <f t="shared" si="60"/>
        <v>Low</v>
      </c>
      <c r="P403" t="str">
        <f t="shared" si="61"/>
        <v>Low</v>
      </c>
      <c r="Q403" t="str">
        <f t="shared" si="62"/>
        <v>Low</v>
      </c>
      <c r="R403" t="s">
        <v>3317</v>
      </c>
      <c r="S403" s="4">
        <f t="shared" ca="1" si="63"/>
        <v>800</v>
      </c>
      <c r="T403">
        <f t="shared" si="64"/>
        <v>1</v>
      </c>
      <c r="U403">
        <f t="shared" si="65"/>
        <v>1</v>
      </c>
      <c r="V403">
        <f t="shared" si="66"/>
        <v>1</v>
      </c>
      <c r="W403">
        <f t="shared" si="67"/>
        <v>1</v>
      </c>
      <c r="X403">
        <f t="shared" si="68"/>
        <v>0.99999999999999989</v>
      </c>
      <c r="Y403" t="str">
        <f t="shared" si="69"/>
        <v>Healthy</v>
      </c>
    </row>
    <row r="404" spans="1:25" x14ac:dyDescent="0.35">
      <c r="A404" t="s">
        <v>71</v>
      </c>
      <c r="B404" t="s">
        <v>72</v>
      </c>
      <c r="C404" t="s">
        <v>73</v>
      </c>
      <c r="D404" t="s">
        <v>298</v>
      </c>
      <c r="E404">
        <v>80867203</v>
      </c>
      <c r="F404" t="s">
        <v>432</v>
      </c>
      <c r="G404" s="3">
        <v>47002</v>
      </c>
      <c r="H404">
        <v>36</v>
      </c>
      <c r="I404">
        <v>75</v>
      </c>
      <c r="J404">
        <v>15</v>
      </c>
      <c r="K404" s="4">
        <v>16116</v>
      </c>
      <c r="L404" s="4">
        <v>260</v>
      </c>
      <c r="M404" s="4">
        <v>5.7692307692307696E-2</v>
      </c>
      <c r="N404" t="s">
        <v>25</v>
      </c>
      <c r="O404" t="str">
        <f t="shared" si="60"/>
        <v>Low</v>
      </c>
      <c r="P404" t="str">
        <f t="shared" si="61"/>
        <v>Low</v>
      </c>
      <c r="Q404" t="str">
        <f t="shared" si="62"/>
        <v>Low</v>
      </c>
      <c r="R404" t="s">
        <v>3317</v>
      </c>
      <c r="S404" s="4">
        <f t="shared" ca="1" si="63"/>
        <v>805</v>
      </c>
      <c r="T404">
        <f t="shared" si="64"/>
        <v>1</v>
      </c>
      <c r="U404">
        <f t="shared" si="65"/>
        <v>1</v>
      </c>
      <c r="V404">
        <f t="shared" si="66"/>
        <v>1</v>
      </c>
      <c r="W404">
        <f t="shared" si="67"/>
        <v>1</v>
      </c>
      <c r="X404">
        <f t="shared" si="68"/>
        <v>0.99999999999999989</v>
      </c>
      <c r="Y404" t="str">
        <f t="shared" si="69"/>
        <v>Healthy</v>
      </c>
    </row>
    <row r="405" spans="1:25" x14ac:dyDescent="0.35">
      <c r="A405" t="s">
        <v>71</v>
      </c>
      <c r="B405" t="s">
        <v>72</v>
      </c>
      <c r="C405" t="s">
        <v>73</v>
      </c>
      <c r="D405" t="s">
        <v>298</v>
      </c>
      <c r="E405">
        <v>80867203</v>
      </c>
      <c r="F405" t="s">
        <v>432</v>
      </c>
      <c r="G405" s="3">
        <v>46983</v>
      </c>
      <c r="H405">
        <v>36</v>
      </c>
      <c r="I405">
        <v>73</v>
      </c>
      <c r="J405">
        <v>16</v>
      </c>
      <c r="K405" s="4">
        <v>17190.400000000001</v>
      </c>
      <c r="L405" s="4">
        <v>260</v>
      </c>
      <c r="M405" s="4">
        <v>6.1538461538461542E-2</v>
      </c>
      <c r="N405" t="s">
        <v>25</v>
      </c>
      <c r="O405" t="str">
        <f t="shared" si="60"/>
        <v>Low</v>
      </c>
      <c r="P405" t="str">
        <f t="shared" si="61"/>
        <v>Low</v>
      </c>
      <c r="Q405" t="str">
        <f t="shared" si="62"/>
        <v>Low</v>
      </c>
      <c r="R405" t="s">
        <v>3317</v>
      </c>
      <c r="S405" s="4">
        <f t="shared" ca="1" si="63"/>
        <v>786</v>
      </c>
      <c r="T405">
        <f t="shared" si="64"/>
        <v>1</v>
      </c>
      <c r="U405">
        <f t="shared" si="65"/>
        <v>1</v>
      </c>
      <c r="V405">
        <f t="shared" si="66"/>
        <v>1</v>
      </c>
      <c r="W405">
        <f t="shared" si="67"/>
        <v>1</v>
      </c>
      <c r="X405">
        <f t="shared" si="68"/>
        <v>0.99999999999999989</v>
      </c>
      <c r="Y405" t="str">
        <f t="shared" si="69"/>
        <v>Healthy</v>
      </c>
    </row>
    <row r="406" spans="1:25" x14ac:dyDescent="0.35">
      <c r="A406" t="s">
        <v>179</v>
      </c>
      <c r="B406" t="s">
        <v>195</v>
      </c>
      <c r="C406" t="s">
        <v>199</v>
      </c>
      <c r="D406" t="s">
        <v>433</v>
      </c>
      <c r="E406">
        <v>80873411</v>
      </c>
      <c r="F406" t="s">
        <v>434</v>
      </c>
      <c r="G406" s="3">
        <v>46350</v>
      </c>
      <c r="H406">
        <v>16</v>
      </c>
      <c r="I406">
        <v>33</v>
      </c>
      <c r="J406">
        <v>2</v>
      </c>
      <c r="K406" s="4">
        <v>2711.02</v>
      </c>
      <c r="L406" s="4">
        <v>2.8571428571428572</v>
      </c>
      <c r="M406" s="4">
        <v>0.7</v>
      </c>
      <c r="N406" t="s">
        <v>25</v>
      </c>
      <c r="O406" t="str">
        <f t="shared" si="60"/>
        <v>Medium</v>
      </c>
      <c r="P406" t="str">
        <f t="shared" si="61"/>
        <v>Low</v>
      </c>
      <c r="Q406" t="str">
        <f t="shared" si="62"/>
        <v>High</v>
      </c>
      <c r="R406" t="s">
        <v>3317</v>
      </c>
      <c r="S406" s="4">
        <f t="shared" ca="1" si="63"/>
        <v>153</v>
      </c>
      <c r="T406">
        <f t="shared" si="64"/>
        <v>2</v>
      </c>
      <c r="U406">
        <f t="shared" si="65"/>
        <v>1</v>
      </c>
      <c r="V406">
        <f t="shared" si="66"/>
        <v>3</v>
      </c>
      <c r="W406">
        <f t="shared" si="67"/>
        <v>1</v>
      </c>
      <c r="X406">
        <f t="shared" si="68"/>
        <v>1.8000000000000003</v>
      </c>
      <c r="Y406" t="str">
        <f t="shared" si="69"/>
        <v>Monitor</v>
      </c>
    </row>
    <row r="407" spans="1:25" x14ac:dyDescent="0.35">
      <c r="A407" t="s">
        <v>179</v>
      </c>
      <c r="B407" t="s">
        <v>195</v>
      </c>
      <c r="C407" t="s">
        <v>199</v>
      </c>
      <c r="D407" t="s">
        <v>433</v>
      </c>
      <c r="E407">
        <v>80873411</v>
      </c>
      <c r="F407" t="s">
        <v>434</v>
      </c>
      <c r="G407" s="3">
        <v>46343</v>
      </c>
      <c r="H407">
        <v>16</v>
      </c>
      <c r="I407">
        <v>31</v>
      </c>
      <c r="J407">
        <v>2</v>
      </c>
      <c r="K407" s="4">
        <v>2711.02</v>
      </c>
      <c r="L407" s="4">
        <v>2.8571428571428572</v>
      </c>
      <c r="M407" s="4">
        <v>0.7</v>
      </c>
      <c r="N407" t="s">
        <v>25</v>
      </c>
      <c r="O407" t="str">
        <f t="shared" si="60"/>
        <v>Medium</v>
      </c>
      <c r="P407" t="str">
        <f t="shared" si="61"/>
        <v>Low</v>
      </c>
      <c r="Q407" t="str">
        <f t="shared" si="62"/>
        <v>High</v>
      </c>
      <c r="R407" t="s">
        <v>3317</v>
      </c>
      <c r="S407" s="4">
        <f t="shared" ca="1" si="63"/>
        <v>146</v>
      </c>
      <c r="T407">
        <f t="shared" si="64"/>
        <v>2</v>
      </c>
      <c r="U407">
        <f t="shared" si="65"/>
        <v>1</v>
      </c>
      <c r="V407">
        <f t="shared" si="66"/>
        <v>3</v>
      </c>
      <c r="W407">
        <f t="shared" si="67"/>
        <v>1</v>
      </c>
      <c r="X407">
        <f t="shared" si="68"/>
        <v>1.8000000000000003</v>
      </c>
      <c r="Y407" t="str">
        <f t="shared" si="69"/>
        <v>Monitor</v>
      </c>
    </row>
    <row r="408" spans="1:25" x14ac:dyDescent="0.35">
      <c r="A408" t="s">
        <v>20</v>
      </c>
      <c r="B408" t="s">
        <v>21</v>
      </c>
      <c r="C408" t="s">
        <v>51</v>
      </c>
      <c r="D408" t="s">
        <v>435</v>
      </c>
      <c r="E408">
        <v>80866081</v>
      </c>
      <c r="F408" t="s">
        <v>436</v>
      </c>
      <c r="G408" s="3">
        <v>49650</v>
      </c>
      <c r="H408">
        <v>36</v>
      </c>
      <c r="I408">
        <v>100</v>
      </c>
      <c r="J408">
        <v>38</v>
      </c>
      <c r="K408" s="4">
        <v>2432</v>
      </c>
      <c r="L408" s="4">
        <v>187.14285714285714</v>
      </c>
      <c r="M408" s="4">
        <v>0.20305343511450383</v>
      </c>
      <c r="N408" t="s">
        <v>25</v>
      </c>
      <c r="O408" t="str">
        <f t="shared" si="60"/>
        <v>Low</v>
      </c>
      <c r="P408" t="str">
        <f t="shared" si="61"/>
        <v>Low</v>
      </c>
      <c r="Q408" t="str">
        <f t="shared" si="62"/>
        <v>Low</v>
      </c>
      <c r="R408" t="s">
        <v>3317</v>
      </c>
      <c r="S408" s="4">
        <f t="shared" ca="1" si="63"/>
        <v>3453</v>
      </c>
      <c r="T408">
        <f t="shared" si="64"/>
        <v>1</v>
      </c>
      <c r="U408">
        <f t="shared" si="65"/>
        <v>1</v>
      </c>
      <c r="V408">
        <f t="shared" si="66"/>
        <v>1</v>
      </c>
      <c r="W408">
        <f t="shared" si="67"/>
        <v>1</v>
      </c>
      <c r="X408">
        <f t="shared" si="68"/>
        <v>0.99999999999999989</v>
      </c>
      <c r="Y408" t="str">
        <f t="shared" si="69"/>
        <v>Healthy</v>
      </c>
    </row>
    <row r="409" spans="1:25" x14ac:dyDescent="0.35">
      <c r="A409" t="s">
        <v>20</v>
      </c>
      <c r="B409" t="s">
        <v>21</v>
      </c>
      <c r="C409" t="s">
        <v>51</v>
      </c>
      <c r="D409" t="s">
        <v>435</v>
      </c>
      <c r="E409">
        <v>80866081</v>
      </c>
      <c r="F409" t="s">
        <v>436</v>
      </c>
      <c r="G409" s="3">
        <v>46881</v>
      </c>
      <c r="H409">
        <v>36</v>
      </c>
      <c r="I409">
        <v>64</v>
      </c>
      <c r="J409">
        <v>44</v>
      </c>
      <c r="K409" s="4">
        <v>2816</v>
      </c>
      <c r="L409" s="4">
        <v>187.14285714285714</v>
      </c>
      <c r="M409" s="4">
        <v>0.23511450381679388</v>
      </c>
      <c r="N409" t="s">
        <v>25</v>
      </c>
      <c r="O409" t="str">
        <f t="shared" si="60"/>
        <v>Low</v>
      </c>
      <c r="P409" t="str">
        <f t="shared" si="61"/>
        <v>Low</v>
      </c>
      <c r="Q409" t="str">
        <f t="shared" si="62"/>
        <v>Low</v>
      </c>
      <c r="R409" t="s">
        <v>3317</v>
      </c>
      <c r="S409" s="4">
        <f t="shared" ca="1" si="63"/>
        <v>684</v>
      </c>
      <c r="T409">
        <f t="shared" si="64"/>
        <v>1</v>
      </c>
      <c r="U409">
        <f t="shared" si="65"/>
        <v>1</v>
      </c>
      <c r="V409">
        <f t="shared" si="66"/>
        <v>1</v>
      </c>
      <c r="W409">
        <f t="shared" si="67"/>
        <v>1</v>
      </c>
      <c r="X409">
        <f t="shared" si="68"/>
        <v>0.99999999999999989</v>
      </c>
      <c r="Y409" t="str">
        <f t="shared" si="69"/>
        <v>Healthy</v>
      </c>
    </row>
    <row r="410" spans="1:25" x14ac:dyDescent="0.35">
      <c r="A410" t="s">
        <v>20</v>
      </c>
      <c r="B410" t="s">
        <v>21</v>
      </c>
      <c r="C410" t="s">
        <v>214</v>
      </c>
      <c r="D410" t="s">
        <v>437</v>
      </c>
      <c r="E410">
        <v>80895790</v>
      </c>
      <c r="F410" t="s">
        <v>438</v>
      </c>
      <c r="G410" s="3">
        <v>47229</v>
      </c>
      <c r="H410">
        <v>36</v>
      </c>
      <c r="I410">
        <v>96</v>
      </c>
      <c r="J410">
        <v>398</v>
      </c>
      <c r="K410" s="4">
        <v>47760</v>
      </c>
      <c r="L410" s="4">
        <v>5029.2857142857147</v>
      </c>
      <c r="M410" s="4">
        <v>7.9136486294560424E-2</v>
      </c>
      <c r="N410" t="s">
        <v>25</v>
      </c>
      <c r="O410" t="str">
        <f t="shared" si="60"/>
        <v>Low</v>
      </c>
      <c r="P410" t="str">
        <f t="shared" si="61"/>
        <v>Low</v>
      </c>
      <c r="Q410" t="str">
        <f t="shared" si="62"/>
        <v>Low</v>
      </c>
      <c r="R410" t="s">
        <v>3317</v>
      </c>
      <c r="S410" s="4">
        <f t="shared" ca="1" si="63"/>
        <v>1032</v>
      </c>
      <c r="T410">
        <f t="shared" si="64"/>
        <v>1</v>
      </c>
      <c r="U410">
        <f t="shared" si="65"/>
        <v>1</v>
      </c>
      <c r="V410">
        <f t="shared" si="66"/>
        <v>1</v>
      </c>
      <c r="W410">
        <f t="shared" si="67"/>
        <v>1</v>
      </c>
      <c r="X410">
        <f t="shared" si="68"/>
        <v>0.99999999999999989</v>
      </c>
      <c r="Y410" t="str">
        <f t="shared" si="69"/>
        <v>Healthy</v>
      </c>
    </row>
    <row r="411" spans="1:25" x14ac:dyDescent="0.35">
      <c r="A411" t="s">
        <v>210</v>
      </c>
      <c r="B411" t="s">
        <v>439</v>
      </c>
      <c r="C411" t="s">
        <v>440</v>
      </c>
      <c r="D411" t="s">
        <v>441</v>
      </c>
      <c r="E411">
        <v>80866490</v>
      </c>
      <c r="F411" t="s">
        <v>442</v>
      </c>
      <c r="G411" s="3">
        <v>47993</v>
      </c>
      <c r="H411">
        <v>60</v>
      </c>
      <c r="I411">
        <v>100</v>
      </c>
      <c r="J411">
        <v>11</v>
      </c>
      <c r="K411" s="4">
        <v>3668.06</v>
      </c>
      <c r="L411" s="4">
        <v>13634</v>
      </c>
      <c r="M411" s="4">
        <v>8.068065131289423E-4</v>
      </c>
      <c r="N411" t="s">
        <v>25</v>
      </c>
      <c r="O411" t="str">
        <f t="shared" si="60"/>
        <v>Low</v>
      </c>
      <c r="P411" t="str">
        <f t="shared" si="61"/>
        <v>Low</v>
      </c>
      <c r="Q411" t="str">
        <f t="shared" si="62"/>
        <v>Low</v>
      </c>
      <c r="R411" t="s">
        <v>3317</v>
      </c>
      <c r="S411" s="4">
        <f t="shared" ca="1" si="63"/>
        <v>1796</v>
      </c>
      <c r="T411">
        <f t="shared" si="64"/>
        <v>1</v>
      </c>
      <c r="U411">
        <f t="shared" si="65"/>
        <v>1</v>
      </c>
      <c r="V411">
        <f t="shared" si="66"/>
        <v>1</v>
      </c>
      <c r="W411">
        <f t="shared" si="67"/>
        <v>1</v>
      </c>
      <c r="X411">
        <f t="shared" si="68"/>
        <v>0.99999999999999989</v>
      </c>
      <c r="Y411" t="str">
        <f t="shared" si="69"/>
        <v>Healthy</v>
      </c>
    </row>
    <row r="412" spans="1:25" x14ac:dyDescent="0.35">
      <c r="A412" t="s">
        <v>210</v>
      </c>
      <c r="B412" t="s">
        <v>439</v>
      </c>
      <c r="C412" t="s">
        <v>440</v>
      </c>
      <c r="D412" t="s">
        <v>441</v>
      </c>
      <c r="E412">
        <v>80866490</v>
      </c>
      <c r="F412" t="s">
        <v>442</v>
      </c>
      <c r="G412" s="3">
        <v>47979</v>
      </c>
      <c r="H412">
        <v>60</v>
      </c>
      <c r="I412">
        <v>99</v>
      </c>
      <c r="J412">
        <v>357</v>
      </c>
      <c r="K412" s="4">
        <v>119045.22</v>
      </c>
      <c r="L412" s="4">
        <v>13634</v>
      </c>
      <c r="M412" s="4">
        <v>2.6184538653366583E-2</v>
      </c>
      <c r="N412" t="s">
        <v>25</v>
      </c>
      <c r="O412" t="str">
        <f t="shared" si="60"/>
        <v>Low</v>
      </c>
      <c r="P412" t="str">
        <f t="shared" si="61"/>
        <v>Low</v>
      </c>
      <c r="Q412" t="str">
        <f t="shared" si="62"/>
        <v>Low</v>
      </c>
      <c r="R412" t="s">
        <v>3310</v>
      </c>
      <c r="S412" s="4">
        <f t="shared" ca="1" si="63"/>
        <v>1782</v>
      </c>
      <c r="T412">
        <f t="shared" si="64"/>
        <v>1</v>
      </c>
      <c r="U412">
        <f t="shared" si="65"/>
        <v>1</v>
      </c>
      <c r="V412">
        <f t="shared" si="66"/>
        <v>1</v>
      </c>
      <c r="W412">
        <f t="shared" si="67"/>
        <v>2</v>
      </c>
      <c r="X412">
        <f t="shared" si="68"/>
        <v>1.0999999999999999</v>
      </c>
      <c r="Y412" t="str">
        <f t="shared" si="69"/>
        <v>Healthy</v>
      </c>
    </row>
    <row r="413" spans="1:25" x14ac:dyDescent="0.35">
      <c r="A413" t="s">
        <v>179</v>
      </c>
      <c r="B413" t="s">
        <v>195</v>
      </c>
      <c r="C413" t="s">
        <v>199</v>
      </c>
      <c r="D413" t="s">
        <v>443</v>
      </c>
      <c r="E413">
        <v>80860039</v>
      </c>
      <c r="F413" t="s">
        <v>444</v>
      </c>
      <c r="G413" s="3">
        <v>46340</v>
      </c>
      <c r="H413">
        <v>16</v>
      </c>
      <c r="I413">
        <v>31</v>
      </c>
      <c r="J413">
        <v>13</v>
      </c>
      <c r="K413" s="4">
        <v>5142.0200000000004</v>
      </c>
      <c r="L413" s="4">
        <v>153.14285714285714</v>
      </c>
      <c r="M413" s="4">
        <v>8.4888059701492546E-2</v>
      </c>
      <c r="N413" t="s">
        <v>25</v>
      </c>
      <c r="O413" t="str">
        <f t="shared" si="60"/>
        <v>Medium</v>
      </c>
      <c r="P413" t="str">
        <f t="shared" si="61"/>
        <v>Low</v>
      </c>
      <c r="Q413" t="str">
        <f t="shared" si="62"/>
        <v>Low</v>
      </c>
      <c r="R413" t="s">
        <v>3317</v>
      </c>
      <c r="S413" s="4">
        <f t="shared" ca="1" si="63"/>
        <v>143</v>
      </c>
      <c r="T413">
        <f t="shared" si="64"/>
        <v>2</v>
      </c>
      <c r="U413">
        <f t="shared" si="65"/>
        <v>1</v>
      </c>
      <c r="V413">
        <f t="shared" si="66"/>
        <v>1</v>
      </c>
      <c r="W413">
        <f t="shared" si="67"/>
        <v>1</v>
      </c>
      <c r="X413">
        <f t="shared" si="68"/>
        <v>1.4000000000000001</v>
      </c>
      <c r="Y413" t="str">
        <f t="shared" si="69"/>
        <v>Healthy</v>
      </c>
    </row>
    <row r="414" spans="1:25" x14ac:dyDescent="0.35">
      <c r="A414" t="s">
        <v>41</v>
      </c>
      <c r="B414" t="s">
        <v>54</v>
      </c>
      <c r="C414" t="s">
        <v>55</v>
      </c>
      <c r="D414" t="s">
        <v>445</v>
      </c>
      <c r="E414">
        <v>80880889</v>
      </c>
      <c r="F414" t="s">
        <v>446</v>
      </c>
      <c r="G414" s="3">
        <v>47189</v>
      </c>
      <c r="H414">
        <v>36</v>
      </c>
      <c r="I414">
        <v>92</v>
      </c>
      <c r="J414">
        <v>8</v>
      </c>
      <c r="K414" s="4">
        <v>9049.2800000000007</v>
      </c>
      <c r="L414" s="4">
        <v>309.71428571428572</v>
      </c>
      <c r="M414" s="4">
        <v>2.5830258302583026E-2</v>
      </c>
      <c r="N414" t="s">
        <v>25</v>
      </c>
      <c r="O414" t="str">
        <f t="shared" si="60"/>
        <v>Low</v>
      </c>
      <c r="P414" t="str">
        <f t="shared" si="61"/>
        <v>Low</v>
      </c>
      <c r="Q414" t="str">
        <f t="shared" si="62"/>
        <v>Low</v>
      </c>
      <c r="R414" t="s">
        <v>3317</v>
      </c>
      <c r="S414" s="4">
        <f t="shared" ca="1" si="63"/>
        <v>992</v>
      </c>
      <c r="T414">
        <f t="shared" si="64"/>
        <v>1</v>
      </c>
      <c r="U414">
        <f t="shared" si="65"/>
        <v>1</v>
      </c>
      <c r="V414">
        <f t="shared" si="66"/>
        <v>1</v>
      </c>
      <c r="W414">
        <f t="shared" si="67"/>
        <v>1</v>
      </c>
      <c r="X414">
        <f t="shared" si="68"/>
        <v>0.99999999999999989</v>
      </c>
      <c r="Y414" t="str">
        <f t="shared" si="69"/>
        <v>Healthy</v>
      </c>
    </row>
    <row r="415" spans="1:25" x14ac:dyDescent="0.35">
      <c r="A415" t="s">
        <v>41</v>
      </c>
      <c r="B415" t="s">
        <v>54</v>
      </c>
      <c r="C415" t="s">
        <v>87</v>
      </c>
      <c r="D415" t="s">
        <v>447</v>
      </c>
      <c r="E415">
        <v>80880907</v>
      </c>
      <c r="F415" t="s">
        <v>448</v>
      </c>
      <c r="G415" s="3">
        <v>47109</v>
      </c>
      <c r="H415">
        <v>36</v>
      </c>
      <c r="I415">
        <v>85</v>
      </c>
      <c r="J415">
        <v>92</v>
      </c>
      <c r="K415" s="4">
        <v>6824.56</v>
      </c>
      <c r="L415" s="4">
        <v>40</v>
      </c>
      <c r="M415" s="4">
        <v>2.2999999999999998</v>
      </c>
      <c r="N415" t="s">
        <v>25</v>
      </c>
      <c r="O415" t="str">
        <f t="shared" si="60"/>
        <v>Low</v>
      </c>
      <c r="P415" t="str">
        <f t="shared" si="61"/>
        <v>Low</v>
      </c>
      <c r="Q415" t="str">
        <f t="shared" si="62"/>
        <v>Low</v>
      </c>
      <c r="R415" t="s">
        <v>3317</v>
      </c>
      <c r="S415" s="4">
        <f t="shared" ca="1" si="63"/>
        <v>912</v>
      </c>
      <c r="T415">
        <f t="shared" si="64"/>
        <v>1</v>
      </c>
      <c r="U415">
        <f t="shared" si="65"/>
        <v>1</v>
      </c>
      <c r="V415">
        <f t="shared" si="66"/>
        <v>1</v>
      </c>
      <c r="W415">
        <f t="shared" si="67"/>
        <v>1</v>
      </c>
      <c r="X415">
        <f t="shared" si="68"/>
        <v>0.99999999999999989</v>
      </c>
      <c r="Y415" t="str">
        <f t="shared" si="69"/>
        <v>Healthy</v>
      </c>
    </row>
    <row r="416" spans="1:25" x14ac:dyDescent="0.35">
      <c r="A416" t="s">
        <v>29</v>
      </c>
      <c r="B416" t="s">
        <v>30</v>
      </c>
      <c r="C416" t="s">
        <v>449</v>
      </c>
      <c r="D416" t="s">
        <v>450</v>
      </c>
      <c r="E416">
        <v>80851508</v>
      </c>
      <c r="F416" t="s">
        <v>451</v>
      </c>
      <c r="G416" s="3">
        <v>47097</v>
      </c>
      <c r="H416">
        <v>36</v>
      </c>
      <c r="I416">
        <v>84</v>
      </c>
      <c r="J416">
        <v>10</v>
      </c>
      <c r="K416" s="4">
        <v>8339.2000000000007</v>
      </c>
      <c r="L416" s="4">
        <v>186.28571428571428</v>
      </c>
      <c r="M416" s="4">
        <v>5.3680981595092027E-2</v>
      </c>
      <c r="N416" t="s">
        <v>25</v>
      </c>
      <c r="O416" t="str">
        <f t="shared" si="60"/>
        <v>Low</v>
      </c>
      <c r="P416" t="str">
        <f t="shared" si="61"/>
        <v>Low</v>
      </c>
      <c r="Q416" t="str">
        <f t="shared" si="62"/>
        <v>Low</v>
      </c>
      <c r="R416" t="s">
        <v>3317</v>
      </c>
      <c r="S416" s="4">
        <f t="shared" ca="1" si="63"/>
        <v>900</v>
      </c>
      <c r="T416">
        <f t="shared" si="64"/>
        <v>1</v>
      </c>
      <c r="U416">
        <f t="shared" si="65"/>
        <v>1</v>
      </c>
      <c r="V416">
        <f t="shared" si="66"/>
        <v>1</v>
      </c>
      <c r="W416">
        <f t="shared" si="67"/>
        <v>1</v>
      </c>
      <c r="X416">
        <f t="shared" si="68"/>
        <v>0.99999999999999989</v>
      </c>
      <c r="Y416" t="str">
        <f t="shared" si="69"/>
        <v>Healthy</v>
      </c>
    </row>
    <row r="417" spans="1:25" x14ac:dyDescent="0.35">
      <c r="A417" t="s">
        <v>41</v>
      </c>
      <c r="B417" t="s">
        <v>54</v>
      </c>
      <c r="C417" t="s">
        <v>87</v>
      </c>
      <c r="D417" t="s">
        <v>452</v>
      </c>
      <c r="E417">
        <v>80880909</v>
      </c>
      <c r="F417" t="s">
        <v>453</v>
      </c>
      <c r="G417" s="3">
        <v>47161</v>
      </c>
      <c r="H417">
        <v>36</v>
      </c>
      <c r="I417">
        <v>90</v>
      </c>
      <c r="J417">
        <v>47</v>
      </c>
      <c r="K417" s="4">
        <v>3486.46</v>
      </c>
      <c r="L417" s="4">
        <v>245.57142857142858</v>
      </c>
      <c r="M417" s="4">
        <v>0.19139034322280393</v>
      </c>
      <c r="N417" t="s">
        <v>25</v>
      </c>
      <c r="O417" t="str">
        <f t="shared" si="60"/>
        <v>Low</v>
      </c>
      <c r="P417" t="str">
        <f t="shared" si="61"/>
        <v>Low</v>
      </c>
      <c r="Q417" t="str">
        <f t="shared" si="62"/>
        <v>Low</v>
      </c>
      <c r="R417" t="s">
        <v>3317</v>
      </c>
      <c r="S417" s="4">
        <f t="shared" ca="1" si="63"/>
        <v>964</v>
      </c>
      <c r="T417">
        <f t="shared" si="64"/>
        <v>1</v>
      </c>
      <c r="U417">
        <f t="shared" si="65"/>
        <v>1</v>
      </c>
      <c r="V417">
        <f t="shared" si="66"/>
        <v>1</v>
      </c>
      <c r="W417">
        <f t="shared" si="67"/>
        <v>1</v>
      </c>
      <c r="X417">
        <f t="shared" si="68"/>
        <v>0.99999999999999989</v>
      </c>
      <c r="Y417" t="str">
        <f t="shared" si="69"/>
        <v>Healthy</v>
      </c>
    </row>
    <row r="418" spans="1:25" x14ac:dyDescent="0.35">
      <c r="A418" t="s">
        <v>29</v>
      </c>
      <c r="B418" t="s">
        <v>30</v>
      </c>
      <c r="C418" t="s">
        <v>449</v>
      </c>
      <c r="D418" t="s">
        <v>450</v>
      </c>
      <c r="E418">
        <v>80851508</v>
      </c>
      <c r="F418" t="s">
        <v>451</v>
      </c>
      <c r="G418" s="3">
        <v>47214</v>
      </c>
      <c r="H418">
        <v>36</v>
      </c>
      <c r="I418">
        <v>95</v>
      </c>
      <c r="J418">
        <v>69</v>
      </c>
      <c r="K418" s="4">
        <v>57540.480000000003</v>
      </c>
      <c r="L418" s="4">
        <v>186.28571428571428</v>
      </c>
      <c r="M418" s="4">
        <v>0.370398773006135</v>
      </c>
      <c r="N418" t="s">
        <v>25</v>
      </c>
      <c r="O418" t="str">
        <f t="shared" si="60"/>
        <v>Low</v>
      </c>
      <c r="P418" t="str">
        <f t="shared" si="61"/>
        <v>Low</v>
      </c>
      <c r="Q418" t="str">
        <f t="shared" si="62"/>
        <v>Low</v>
      </c>
      <c r="R418" t="s">
        <v>3317</v>
      </c>
      <c r="S418" s="4">
        <f t="shared" ca="1" si="63"/>
        <v>1017</v>
      </c>
      <c r="T418">
        <f t="shared" si="64"/>
        <v>1</v>
      </c>
      <c r="U418">
        <f t="shared" si="65"/>
        <v>1</v>
      </c>
      <c r="V418">
        <f t="shared" si="66"/>
        <v>1</v>
      </c>
      <c r="W418">
        <f t="shared" si="67"/>
        <v>1</v>
      </c>
      <c r="X418">
        <f t="shared" si="68"/>
        <v>0.99999999999999989</v>
      </c>
      <c r="Y418" t="str">
        <f t="shared" si="69"/>
        <v>Healthy</v>
      </c>
    </row>
    <row r="419" spans="1:25" x14ac:dyDescent="0.35">
      <c r="A419" t="s">
        <v>41</v>
      </c>
      <c r="B419" t="s">
        <v>54</v>
      </c>
      <c r="C419" t="s">
        <v>87</v>
      </c>
      <c r="D419" t="s">
        <v>452</v>
      </c>
      <c r="E419">
        <v>80880909</v>
      </c>
      <c r="F419" t="s">
        <v>453</v>
      </c>
      <c r="G419" s="3">
        <v>47039</v>
      </c>
      <c r="H419">
        <v>36</v>
      </c>
      <c r="I419">
        <v>78</v>
      </c>
      <c r="J419">
        <v>20</v>
      </c>
      <c r="K419" s="4">
        <v>1483.6</v>
      </c>
      <c r="L419" s="4">
        <v>245.57142857142858</v>
      </c>
      <c r="M419" s="4">
        <v>8.1442699243746364E-2</v>
      </c>
      <c r="N419" t="s">
        <v>25</v>
      </c>
      <c r="O419" t="str">
        <f t="shared" si="60"/>
        <v>Low</v>
      </c>
      <c r="P419" t="str">
        <f t="shared" si="61"/>
        <v>Low</v>
      </c>
      <c r="Q419" t="str">
        <f t="shared" si="62"/>
        <v>Low</v>
      </c>
      <c r="R419" t="s">
        <v>3317</v>
      </c>
      <c r="S419" s="4">
        <f t="shared" ca="1" si="63"/>
        <v>842</v>
      </c>
      <c r="T419">
        <f t="shared" si="64"/>
        <v>1</v>
      </c>
      <c r="U419">
        <f t="shared" si="65"/>
        <v>1</v>
      </c>
      <c r="V419">
        <f t="shared" si="66"/>
        <v>1</v>
      </c>
      <c r="W419">
        <f t="shared" si="67"/>
        <v>1</v>
      </c>
      <c r="X419">
        <f t="shared" si="68"/>
        <v>0.99999999999999989</v>
      </c>
      <c r="Y419" t="str">
        <f t="shared" si="69"/>
        <v>Healthy</v>
      </c>
    </row>
    <row r="420" spans="1:25" x14ac:dyDescent="0.35">
      <c r="A420" t="s">
        <v>29</v>
      </c>
      <c r="B420" t="s">
        <v>30</v>
      </c>
      <c r="C420" t="s">
        <v>449</v>
      </c>
      <c r="D420" t="s">
        <v>450</v>
      </c>
      <c r="E420">
        <v>80851508</v>
      </c>
      <c r="F420" t="s">
        <v>451</v>
      </c>
      <c r="G420" s="3">
        <v>47153</v>
      </c>
      <c r="H420">
        <v>36</v>
      </c>
      <c r="I420">
        <v>89</v>
      </c>
      <c r="J420">
        <v>12</v>
      </c>
      <c r="K420" s="4">
        <v>10007.040000000001</v>
      </c>
      <c r="L420" s="4">
        <v>186.28571428571428</v>
      </c>
      <c r="M420" s="4">
        <v>6.4417177914110432E-2</v>
      </c>
      <c r="N420" t="s">
        <v>25</v>
      </c>
      <c r="O420" t="str">
        <f t="shared" si="60"/>
        <v>Low</v>
      </c>
      <c r="P420" t="str">
        <f t="shared" si="61"/>
        <v>Low</v>
      </c>
      <c r="Q420" t="str">
        <f t="shared" si="62"/>
        <v>Low</v>
      </c>
      <c r="R420" t="s">
        <v>3317</v>
      </c>
      <c r="S420" s="4">
        <f t="shared" ca="1" si="63"/>
        <v>956</v>
      </c>
      <c r="T420">
        <f t="shared" si="64"/>
        <v>1</v>
      </c>
      <c r="U420">
        <f t="shared" si="65"/>
        <v>1</v>
      </c>
      <c r="V420">
        <f t="shared" si="66"/>
        <v>1</v>
      </c>
      <c r="W420">
        <f t="shared" si="67"/>
        <v>1</v>
      </c>
      <c r="X420">
        <f t="shared" si="68"/>
        <v>0.99999999999999989</v>
      </c>
      <c r="Y420" t="str">
        <f t="shared" si="69"/>
        <v>Healthy</v>
      </c>
    </row>
    <row r="421" spans="1:25" x14ac:dyDescent="0.35">
      <c r="A421" t="s">
        <v>29</v>
      </c>
      <c r="B421" t="s">
        <v>30</v>
      </c>
      <c r="C421" t="s">
        <v>449</v>
      </c>
      <c r="D421" t="s">
        <v>450</v>
      </c>
      <c r="E421">
        <v>80851508</v>
      </c>
      <c r="F421" t="s">
        <v>451</v>
      </c>
      <c r="G421" s="3">
        <v>47042</v>
      </c>
      <c r="H421">
        <v>36</v>
      </c>
      <c r="I421">
        <v>79</v>
      </c>
      <c r="J421">
        <v>12</v>
      </c>
      <c r="K421" s="4">
        <v>10007.040000000001</v>
      </c>
      <c r="L421" s="4">
        <v>186.28571428571428</v>
      </c>
      <c r="M421" s="4">
        <v>6.4417177914110432E-2</v>
      </c>
      <c r="N421" t="s">
        <v>25</v>
      </c>
      <c r="O421" t="str">
        <f t="shared" si="60"/>
        <v>Low</v>
      </c>
      <c r="P421" t="str">
        <f t="shared" si="61"/>
        <v>Low</v>
      </c>
      <c r="Q421" t="str">
        <f t="shared" si="62"/>
        <v>Low</v>
      </c>
      <c r="R421" t="s">
        <v>3317</v>
      </c>
      <c r="S421" s="4">
        <f t="shared" ca="1" si="63"/>
        <v>845</v>
      </c>
      <c r="T421">
        <f t="shared" si="64"/>
        <v>1</v>
      </c>
      <c r="U421">
        <f t="shared" si="65"/>
        <v>1</v>
      </c>
      <c r="V421">
        <f t="shared" si="66"/>
        <v>1</v>
      </c>
      <c r="W421">
        <f t="shared" si="67"/>
        <v>1</v>
      </c>
      <c r="X421">
        <f t="shared" si="68"/>
        <v>0.99999999999999989</v>
      </c>
      <c r="Y421" t="str">
        <f t="shared" si="69"/>
        <v>Healthy</v>
      </c>
    </row>
    <row r="422" spans="1:25" x14ac:dyDescent="0.35">
      <c r="A422" t="s">
        <v>41</v>
      </c>
      <c r="B422" t="s">
        <v>54</v>
      </c>
      <c r="C422" t="s">
        <v>87</v>
      </c>
      <c r="D422" t="s">
        <v>454</v>
      </c>
      <c r="E422">
        <v>80880911</v>
      </c>
      <c r="F422" t="s">
        <v>455</v>
      </c>
      <c r="G422" s="3">
        <v>47187</v>
      </c>
      <c r="H422">
        <v>36</v>
      </c>
      <c r="I422">
        <v>92</v>
      </c>
      <c r="J422">
        <v>1</v>
      </c>
      <c r="K422" s="4">
        <v>205.08</v>
      </c>
      <c r="L422" s="4">
        <v>3246</v>
      </c>
      <c r="M422" s="4">
        <v>3.0807147258163895E-4</v>
      </c>
      <c r="N422" t="s">
        <v>25</v>
      </c>
      <c r="O422" t="str">
        <f t="shared" si="60"/>
        <v>Low</v>
      </c>
      <c r="P422" t="str">
        <f t="shared" si="61"/>
        <v>Low</v>
      </c>
      <c r="Q422" t="str">
        <f t="shared" si="62"/>
        <v>Low</v>
      </c>
      <c r="R422" t="s">
        <v>3317</v>
      </c>
      <c r="S422" s="4">
        <f t="shared" ca="1" si="63"/>
        <v>990</v>
      </c>
      <c r="T422">
        <f t="shared" si="64"/>
        <v>1</v>
      </c>
      <c r="U422">
        <f t="shared" si="65"/>
        <v>1</v>
      </c>
      <c r="V422">
        <f t="shared" si="66"/>
        <v>1</v>
      </c>
      <c r="W422">
        <f t="shared" si="67"/>
        <v>1</v>
      </c>
      <c r="X422">
        <f t="shared" si="68"/>
        <v>0.99999999999999989</v>
      </c>
      <c r="Y422" t="str">
        <f t="shared" si="69"/>
        <v>Healthy</v>
      </c>
    </row>
    <row r="423" spans="1:25" x14ac:dyDescent="0.35">
      <c r="A423" t="s">
        <v>29</v>
      </c>
      <c r="B423" t="s">
        <v>30</v>
      </c>
      <c r="C423" t="s">
        <v>449</v>
      </c>
      <c r="D423" t="s">
        <v>450</v>
      </c>
      <c r="E423">
        <v>80851508</v>
      </c>
      <c r="F423" t="s">
        <v>451</v>
      </c>
      <c r="G423" s="3">
        <v>47054</v>
      </c>
      <c r="H423">
        <v>36</v>
      </c>
      <c r="I423">
        <v>80</v>
      </c>
      <c r="J423">
        <v>2</v>
      </c>
      <c r="K423" s="4">
        <v>1667.84</v>
      </c>
      <c r="L423" s="4">
        <v>186.28571428571428</v>
      </c>
      <c r="M423" s="4">
        <v>1.0736196319018405E-2</v>
      </c>
      <c r="N423" t="s">
        <v>25</v>
      </c>
      <c r="O423" t="str">
        <f t="shared" si="60"/>
        <v>Low</v>
      </c>
      <c r="P423" t="str">
        <f t="shared" si="61"/>
        <v>Low</v>
      </c>
      <c r="Q423" t="str">
        <f t="shared" si="62"/>
        <v>Low</v>
      </c>
      <c r="R423" t="s">
        <v>3317</v>
      </c>
      <c r="S423" s="4">
        <f t="shared" ca="1" si="63"/>
        <v>857</v>
      </c>
      <c r="T423">
        <f t="shared" si="64"/>
        <v>1</v>
      </c>
      <c r="U423">
        <f t="shared" si="65"/>
        <v>1</v>
      </c>
      <c r="V423">
        <f t="shared" si="66"/>
        <v>1</v>
      </c>
      <c r="W423">
        <f t="shared" si="67"/>
        <v>1</v>
      </c>
      <c r="X423">
        <f t="shared" si="68"/>
        <v>0.99999999999999989</v>
      </c>
      <c r="Y423" t="str">
        <f t="shared" si="69"/>
        <v>Healthy</v>
      </c>
    </row>
    <row r="424" spans="1:25" x14ac:dyDescent="0.35">
      <c r="A424" t="s">
        <v>29</v>
      </c>
      <c r="B424" t="s">
        <v>30</v>
      </c>
      <c r="C424" t="s">
        <v>449</v>
      </c>
      <c r="D424" t="s">
        <v>450</v>
      </c>
      <c r="E424">
        <v>80851508</v>
      </c>
      <c r="F424" t="s">
        <v>451</v>
      </c>
      <c r="G424" s="3">
        <v>47214</v>
      </c>
      <c r="H424">
        <v>36</v>
      </c>
      <c r="I424">
        <v>95</v>
      </c>
      <c r="J424">
        <v>12</v>
      </c>
      <c r="K424" s="4">
        <v>10007.040000000001</v>
      </c>
      <c r="L424" s="4">
        <v>186.28571428571428</v>
      </c>
      <c r="M424" s="4">
        <v>6.4417177914110432E-2</v>
      </c>
      <c r="N424" t="s">
        <v>25</v>
      </c>
      <c r="O424" t="str">
        <f t="shared" si="60"/>
        <v>Low</v>
      </c>
      <c r="P424" t="str">
        <f t="shared" si="61"/>
        <v>Low</v>
      </c>
      <c r="Q424" t="str">
        <f t="shared" si="62"/>
        <v>Low</v>
      </c>
      <c r="R424" t="s">
        <v>3317</v>
      </c>
      <c r="S424" s="4">
        <f t="shared" ca="1" si="63"/>
        <v>1017</v>
      </c>
      <c r="T424">
        <f t="shared" si="64"/>
        <v>1</v>
      </c>
      <c r="U424">
        <f t="shared" si="65"/>
        <v>1</v>
      </c>
      <c r="V424">
        <f t="shared" si="66"/>
        <v>1</v>
      </c>
      <c r="W424">
        <f t="shared" si="67"/>
        <v>1</v>
      </c>
      <c r="X424">
        <f t="shared" si="68"/>
        <v>0.99999999999999989</v>
      </c>
      <c r="Y424" t="str">
        <f t="shared" si="69"/>
        <v>Healthy</v>
      </c>
    </row>
    <row r="425" spans="1:25" x14ac:dyDescent="0.35">
      <c r="A425" t="s">
        <v>29</v>
      </c>
      <c r="B425" t="s">
        <v>30</v>
      </c>
      <c r="C425" t="s">
        <v>449</v>
      </c>
      <c r="D425" t="s">
        <v>450</v>
      </c>
      <c r="E425">
        <v>80851508</v>
      </c>
      <c r="F425" t="s">
        <v>451</v>
      </c>
      <c r="G425" s="3">
        <v>47207</v>
      </c>
      <c r="H425">
        <v>36</v>
      </c>
      <c r="I425">
        <v>94</v>
      </c>
      <c r="J425">
        <v>52</v>
      </c>
      <c r="K425" s="4">
        <v>43363.839999999997</v>
      </c>
      <c r="L425" s="4">
        <v>186.28571428571428</v>
      </c>
      <c r="M425" s="4">
        <v>0.27914110429447853</v>
      </c>
      <c r="N425" t="s">
        <v>25</v>
      </c>
      <c r="O425" t="str">
        <f t="shared" si="60"/>
        <v>Low</v>
      </c>
      <c r="P425" t="str">
        <f t="shared" si="61"/>
        <v>Low</v>
      </c>
      <c r="Q425" t="str">
        <f t="shared" si="62"/>
        <v>Low</v>
      </c>
      <c r="R425" t="s">
        <v>3317</v>
      </c>
      <c r="S425" s="4">
        <f t="shared" ca="1" si="63"/>
        <v>1010</v>
      </c>
      <c r="T425">
        <f t="shared" si="64"/>
        <v>1</v>
      </c>
      <c r="U425">
        <f t="shared" si="65"/>
        <v>1</v>
      </c>
      <c r="V425">
        <f t="shared" si="66"/>
        <v>1</v>
      </c>
      <c r="W425">
        <f t="shared" si="67"/>
        <v>1</v>
      </c>
      <c r="X425">
        <f t="shared" si="68"/>
        <v>0.99999999999999989</v>
      </c>
      <c r="Y425" t="str">
        <f t="shared" si="69"/>
        <v>Healthy</v>
      </c>
    </row>
    <row r="426" spans="1:25" x14ac:dyDescent="0.35">
      <c r="A426" t="s">
        <v>41</v>
      </c>
      <c r="B426" t="s">
        <v>54</v>
      </c>
      <c r="C426" t="s">
        <v>87</v>
      </c>
      <c r="D426" t="s">
        <v>456</v>
      </c>
      <c r="E426">
        <v>80880913</v>
      </c>
      <c r="F426" t="s">
        <v>457</v>
      </c>
      <c r="G426" s="3">
        <v>47165</v>
      </c>
      <c r="H426">
        <v>36</v>
      </c>
      <c r="I426">
        <v>90</v>
      </c>
      <c r="J426">
        <v>20</v>
      </c>
      <c r="K426" s="4">
        <v>4101.6000000000004</v>
      </c>
      <c r="L426" s="4">
        <v>627.42857142857144</v>
      </c>
      <c r="M426" s="4">
        <v>3.1876138433515479E-2</v>
      </c>
      <c r="N426" t="s">
        <v>25</v>
      </c>
      <c r="O426" t="str">
        <f t="shared" si="60"/>
        <v>Low</v>
      </c>
      <c r="P426" t="str">
        <f t="shared" si="61"/>
        <v>Low</v>
      </c>
      <c r="Q426" t="str">
        <f t="shared" si="62"/>
        <v>Low</v>
      </c>
      <c r="R426" t="s">
        <v>3317</v>
      </c>
      <c r="S426" s="4">
        <f t="shared" ca="1" si="63"/>
        <v>968</v>
      </c>
      <c r="T426">
        <f t="shared" si="64"/>
        <v>1</v>
      </c>
      <c r="U426">
        <f t="shared" si="65"/>
        <v>1</v>
      </c>
      <c r="V426">
        <f t="shared" si="66"/>
        <v>1</v>
      </c>
      <c r="W426">
        <f t="shared" si="67"/>
        <v>1</v>
      </c>
      <c r="X426">
        <f t="shared" si="68"/>
        <v>0.99999999999999989</v>
      </c>
      <c r="Y426" t="str">
        <f t="shared" si="69"/>
        <v>Healthy</v>
      </c>
    </row>
    <row r="427" spans="1:25" x14ac:dyDescent="0.35">
      <c r="A427" t="s">
        <v>29</v>
      </c>
      <c r="B427" t="s">
        <v>30</v>
      </c>
      <c r="C427" t="s">
        <v>449</v>
      </c>
      <c r="D427" t="s">
        <v>450</v>
      </c>
      <c r="E427">
        <v>80851508</v>
      </c>
      <c r="F427" t="s">
        <v>451</v>
      </c>
      <c r="G427" s="3">
        <v>47185</v>
      </c>
      <c r="H427">
        <v>36</v>
      </c>
      <c r="I427">
        <v>92</v>
      </c>
      <c r="J427">
        <v>28</v>
      </c>
      <c r="K427" s="4">
        <v>23349.759999999998</v>
      </c>
      <c r="L427" s="4">
        <v>186.28571428571428</v>
      </c>
      <c r="M427" s="4">
        <v>0.15030674846625769</v>
      </c>
      <c r="N427" t="s">
        <v>25</v>
      </c>
      <c r="O427" t="str">
        <f t="shared" si="60"/>
        <v>Low</v>
      </c>
      <c r="P427" t="str">
        <f t="shared" si="61"/>
        <v>Low</v>
      </c>
      <c r="Q427" t="str">
        <f t="shared" si="62"/>
        <v>Low</v>
      </c>
      <c r="R427" t="s">
        <v>3317</v>
      </c>
      <c r="S427" s="4">
        <f t="shared" ca="1" si="63"/>
        <v>988</v>
      </c>
      <c r="T427">
        <f t="shared" si="64"/>
        <v>1</v>
      </c>
      <c r="U427">
        <f t="shared" si="65"/>
        <v>1</v>
      </c>
      <c r="V427">
        <f t="shared" si="66"/>
        <v>1</v>
      </c>
      <c r="W427">
        <f t="shared" si="67"/>
        <v>1</v>
      </c>
      <c r="X427">
        <f t="shared" si="68"/>
        <v>0.99999999999999989</v>
      </c>
      <c r="Y427" t="str">
        <f t="shared" si="69"/>
        <v>Healthy</v>
      </c>
    </row>
    <row r="428" spans="1:25" x14ac:dyDescent="0.35">
      <c r="A428" t="s">
        <v>29</v>
      </c>
      <c r="B428" t="s">
        <v>30</v>
      </c>
      <c r="C428" t="s">
        <v>449</v>
      </c>
      <c r="D428" t="s">
        <v>450</v>
      </c>
      <c r="E428">
        <v>80851508</v>
      </c>
      <c r="F428" t="s">
        <v>451</v>
      </c>
      <c r="G428" s="3">
        <v>47010</v>
      </c>
      <c r="H428">
        <v>36</v>
      </c>
      <c r="I428">
        <v>76</v>
      </c>
      <c r="J428">
        <v>26</v>
      </c>
      <c r="K428" s="4">
        <v>21681.919999999998</v>
      </c>
      <c r="L428" s="4">
        <v>186.28571428571428</v>
      </c>
      <c r="M428" s="4">
        <v>0.13957055214723926</v>
      </c>
      <c r="N428" t="s">
        <v>25</v>
      </c>
      <c r="O428" t="str">
        <f t="shared" si="60"/>
        <v>Low</v>
      </c>
      <c r="P428" t="str">
        <f t="shared" si="61"/>
        <v>Low</v>
      </c>
      <c r="Q428" t="str">
        <f t="shared" si="62"/>
        <v>Low</v>
      </c>
      <c r="R428" t="s">
        <v>3317</v>
      </c>
      <c r="S428" s="4">
        <f t="shared" ca="1" si="63"/>
        <v>813</v>
      </c>
      <c r="T428">
        <f t="shared" si="64"/>
        <v>1</v>
      </c>
      <c r="U428">
        <f t="shared" si="65"/>
        <v>1</v>
      </c>
      <c r="V428">
        <f t="shared" si="66"/>
        <v>1</v>
      </c>
      <c r="W428">
        <f t="shared" si="67"/>
        <v>1</v>
      </c>
      <c r="X428">
        <f t="shared" si="68"/>
        <v>0.99999999999999989</v>
      </c>
      <c r="Y428" t="str">
        <f t="shared" si="69"/>
        <v>Healthy</v>
      </c>
    </row>
    <row r="429" spans="1:25" x14ac:dyDescent="0.35">
      <c r="A429" t="s">
        <v>41</v>
      </c>
      <c r="B429" t="s">
        <v>54</v>
      </c>
      <c r="C429" t="s">
        <v>87</v>
      </c>
      <c r="D429" t="s">
        <v>282</v>
      </c>
      <c r="E429">
        <v>80876623</v>
      </c>
      <c r="F429" t="s">
        <v>458</v>
      </c>
      <c r="G429" s="3">
        <v>47041</v>
      </c>
      <c r="H429">
        <v>36</v>
      </c>
      <c r="I429">
        <v>79</v>
      </c>
      <c r="J429">
        <v>24</v>
      </c>
      <c r="K429" s="4">
        <v>23759.279999999999</v>
      </c>
      <c r="L429" s="4">
        <v>41.857142857142854</v>
      </c>
      <c r="M429" s="4">
        <v>0.57337883959044378</v>
      </c>
      <c r="N429" t="s">
        <v>25</v>
      </c>
      <c r="O429" t="str">
        <f t="shared" si="60"/>
        <v>Low</v>
      </c>
      <c r="P429" t="str">
        <f t="shared" si="61"/>
        <v>Low</v>
      </c>
      <c r="Q429" t="str">
        <f t="shared" si="62"/>
        <v>Low</v>
      </c>
      <c r="R429" t="s">
        <v>3317</v>
      </c>
      <c r="S429" s="4">
        <f t="shared" ca="1" si="63"/>
        <v>844</v>
      </c>
      <c r="T429">
        <f t="shared" si="64"/>
        <v>1</v>
      </c>
      <c r="U429">
        <f t="shared" si="65"/>
        <v>1</v>
      </c>
      <c r="V429">
        <f t="shared" si="66"/>
        <v>1</v>
      </c>
      <c r="W429">
        <f t="shared" si="67"/>
        <v>1</v>
      </c>
      <c r="X429">
        <f t="shared" si="68"/>
        <v>0.99999999999999989</v>
      </c>
      <c r="Y429" t="str">
        <f t="shared" si="69"/>
        <v>Healthy</v>
      </c>
    </row>
    <row r="430" spans="1:25" x14ac:dyDescent="0.35">
      <c r="A430" t="s">
        <v>41</v>
      </c>
      <c r="B430" t="s">
        <v>54</v>
      </c>
      <c r="C430" t="s">
        <v>459</v>
      </c>
      <c r="D430" t="s">
        <v>460</v>
      </c>
      <c r="E430">
        <v>80895912</v>
      </c>
      <c r="F430" t="s">
        <v>461</v>
      </c>
      <c r="G430" s="3">
        <v>47021</v>
      </c>
      <c r="H430">
        <v>36</v>
      </c>
      <c r="I430">
        <v>77</v>
      </c>
      <c r="J430">
        <v>7</v>
      </c>
      <c r="K430" s="4">
        <v>6929.79</v>
      </c>
      <c r="L430" s="4">
        <v>60.714285714285715</v>
      </c>
      <c r="M430" s="4">
        <v>0.11529411764705882</v>
      </c>
      <c r="N430" t="s">
        <v>25</v>
      </c>
      <c r="O430" t="str">
        <f t="shared" si="60"/>
        <v>Low</v>
      </c>
      <c r="P430" t="str">
        <f t="shared" si="61"/>
        <v>Low</v>
      </c>
      <c r="Q430" t="str">
        <f t="shared" si="62"/>
        <v>Low</v>
      </c>
      <c r="R430" t="s">
        <v>3317</v>
      </c>
      <c r="S430" s="4">
        <f t="shared" ca="1" si="63"/>
        <v>824</v>
      </c>
      <c r="T430">
        <f t="shared" si="64"/>
        <v>1</v>
      </c>
      <c r="U430">
        <f t="shared" si="65"/>
        <v>1</v>
      </c>
      <c r="V430">
        <f t="shared" si="66"/>
        <v>1</v>
      </c>
      <c r="W430">
        <f t="shared" si="67"/>
        <v>1</v>
      </c>
      <c r="X430">
        <f t="shared" si="68"/>
        <v>0.99999999999999989</v>
      </c>
      <c r="Y430" t="str">
        <f t="shared" si="69"/>
        <v>Healthy</v>
      </c>
    </row>
    <row r="431" spans="1:25" x14ac:dyDescent="0.35">
      <c r="A431" t="s">
        <v>179</v>
      </c>
      <c r="B431" t="s">
        <v>180</v>
      </c>
      <c r="C431" t="s">
        <v>181</v>
      </c>
      <c r="D431" t="s">
        <v>326</v>
      </c>
      <c r="E431">
        <v>80871325</v>
      </c>
      <c r="F431" t="s">
        <v>462</v>
      </c>
      <c r="G431" s="3">
        <v>46402</v>
      </c>
      <c r="H431">
        <v>16</v>
      </c>
      <c r="I431">
        <v>44</v>
      </c>
      <c r="J431">
        <v>12</v>
      </c>
      <c r="K431" s="4">
        <v>7989.12</v>
      </c>
      <c r="L431" s="4">
        <v>202.14285714285714</v>
      </c>
      <c r="M431" s="4">
        <v>5.9363957597173146E-2</v>
      </c>
      <c r="N431" t="s">
        <v>25</v>
      </c>
      <c r="O431" t="str">
        <f t="shared" si="60"/>
        <v>Low</v>
      </c>
      <c r="P431" t="str">
        <f t="shared" si="61"/>
        <v>Low</v>
      </c>
      <c r="Q431" t="str">
        <f t="shared" si="62"/>
        <v>Low</v>
      </c>
      <c r="R431" t="s">
        <v>3317</v>
      </c>
      <c r="S431" s="4">
        <f t="shared" ca="1" si="63"/>
        <v>205</v>
      </c>
      <c r="T431">
        <f t="shared" si="64"/>
        <v>1</v>
      </c>
      <c r="U431">
        <f t="shared" si="65"/>
        <v>1</v>
      </c>
      <c r="V431">
        <f t="shared" si="66"/>
        <v>1</v>
      </c>
      <c r="W431">
        <f t="shared" si="67"/>
        <v>1</v>
      </c>
      <c r="X431">
        <f t="shared" si="68"/>
        <v>0.99999999999999989</v>
      </c>
      <c r="Y431" t="str">
        <f t="shared" si="69"/>
        <v>Healthy</v>
      </c>
    </row>
    <row r="432" spans="1:25" x14ac:dyDescent="0.35">
      <c r="A432" t="s">
        <v>41</v>
      </c>
      <c r="B432" t="s">
        <v>54</v>
      </c>
      <c r="C432" t="s">
        <v>87</v>
      </c>
      <c r="D432" t="s">
        <v>316</v>
      </c>
      <c r="E432">
        <v>80895913</v>
      </c>
      <c r="F432" t="s">
        <v>463</v>
      </c>
      <c r="G432" s="3">
        <v>47201</v>
      </c>
      <c r="H432">
        <v>36</v>
      </c>
      <c r="I432">
        <v>93</v>
      </c>
      <c r="J432">
        <v>5</v>
      </c>
      <c r="K432" s="4">
        <v>4949.8500000000004</v>
      </c>
      <c r="L432" s="4">
        <v>88.571428571428569</v>
      </c>
      <c r="M432" s="4">
        <v>5.6451612903225805E-2</v>
      </c>
      <c r="N432" t="s">
        <v>25</v>
      </c>
      <c r="O432" t="str">
        <f t="shared" si="60"/>
        <v>Low</v>
      </c>
      <c r="P432" t="str">
        <f t="shared" si="61"/>
        <v>Low</v>
      </c>
      <c r="Q432" t="str">
        <f t="shared" si="62"/>
        <v>Low</v>
      </c>
      <c r="R432" t="s">
        <v>3317</v>
      </c>
      <c r="S432" s="4">
        <f t="shared" ca="1" si="63"/>
        <v>1004</v>
      </c>
      <c r="T432">
        <f t="shared" si="64"/>
        <v>1</v>
      </c>
      <c r="U432">
        <f t="shared" si="65"/>
        <v>1</v>
      </c>
      <c r="V432">
        <f t="shared" si="66"/>
        <v>1</v>
      </c>
      <c r="W432">
        <f t="shared" si="67"/>
        <v>1</v>
      </c>
      <c r="X432">
        <f t="shared" si="68"/>
        <v>0.99999999999999989</v>
      </c>
      <c r="Y432" t="str">
        <f t="shared" si="69"/>
        <v>Healthy</v>
      </c>
    </row>
    <row r="433" spans="1:25" x14ac:dyDescent="0.35">
      <c r="A433" t="s">
        <v>179</v>
      </c>
      <c r="B433" t="s">
        <v>180</v>
      </c>
      <c r="C433" t="s">
        <v>181</v>
      </c>
      <c r="D433" t="s">
        <v>326</v>
      </c>
      <c r="E433">
        <v>80871325</v>
      </c>
      <c r="F433" t="s">
        <v>462</v>
      </c>
      <c r="G433" s="3">
        <v>46403</v>
      </c>
      <c r="H433">
        <v>16</v>
      </c>
      <c r="I433">
        <v>44</v>
      </c>
      <c r="J433">
        <v>10</v>
      </c>
      <c r="K433" s="4">
        <v>6657.6</v>
      </c>
      <c r="L433" s="4">
        <v>202.14285714285714</v>
      </c>
      <c r="M433" s="4">
        <v>4.9469964664310952E-2</v>
      </c>
      <c r="N433" t="s">
        <v>25</v>
      </c>
      <c r="O433" t="str">
        <f t="shared" si="60"/>
        <v>Low</v>
      </c>
      <c r="P433" t="str">
        <f t="shared" si="61"/>
        <v>Low</v>
      </c>
      <c r="Q433" t="str">
        <f t="shared" si="62"/>
        <v>Low</v>
      </c>
      <c r="R433" t="s">
        <v>3317</v>
      </c>
      <c r="S433" s="4">
        <f t="shared" ca="1" si="63"/>
        <v>206</v>
      </c>
      <c r="T433">
        <f t="shared" si="64"/>
        <v>1</v>
      </c>
      <c r="U433">
        <f t="shared" si="65"/>
        <v>1</v>
      </c>
      <c r="V433">
        <f t="shared" si="66"/>
        <v>1</v>
      </c>
      <c r="W433">
        <f t="shared" si="67"/>
        <v>1</v>
      </c>
      <c r="X433">
        <f t="shared" si="68"/>
        <v>0.99999999999999989</v>
      </c>
      <c r="Y433" t="str">
        <f t="shared" si="69"/>
        <v>Healthy</v>
      </c>
    </row>
    <row r="434" spans="1:25" x14ac:dyDescent="0.35">
      <c r="A434" t="s">
        <v>179</v>
      </c>
      <c r="B434" t="s">
        <v>180</v>
      </c>
      <c r="C434" t="s">
        <v>181</v>
      </c>
      <c r="D434" t="s">
        <v>326</v>
      </c>
      <c r="E434">
        <v>80871325</v>
      </c>
      <c r="F434" t="s">
        <v>462</v>
      </c>
      <c r="G434" s="3">
        <v>46395</v>
      </c>
      <c r="H434">
        <v>16</v>
      </c>
      <c r="I434">
        <v>42</v>
      </c>
      <c r="J434">
        <v>4</v>
      </c>
      <c r="K434" s="4">
        <v>2663.04</v>
      </c>
      <c r="L434" s="4">
        <v>202.14285714285714</v>
      </c>
      <c r="M434" s="4">
        <v>1.9787985865724382E-2</v>
      </c>
      <c r="N434" t="s">
        <v>25</v>
      </c>
      <c r="O434" t="str">
        <f t="shared" si="60"/>
        <v>Low</v>
      </c>
      <c r="P434" t="str">
        <f t="shared" si="61"/>
        <v>Low</v>
      </c>
      <c r="Q434" t="str">
        <f t="shared" si="62"/>
        <v>Low</v>
      </c>
      <c r="R434" t="s">
        <v>3317</v>
      </c>
      <c r="S434" s="4">
        <f t="shared" ca="1" si="63"/>
        <v>198</v>
      </c>
      <c r="T434">
        <f t="shared" si="64"/>
        <v>1</v>
      </c>
      <c r="U434">
        <f t="shared" si="65"/>
        <v>1</v>
      </c>
      <c r="V434">
        <f t="shared" si="66"/>
        <v>1</v>
      </c>
      <c r="W434">
        <f t="shared" si="67"/>
        <v>1</v>
      </c>
      <c r="X434">
        <f t="shared" si="68"/>
        <v>0.99999999999999989</v>
      </c>
      <c r="Y434" t="str">
        <f t="shared" si="69"/>
        <v>Healthy</v>
      </c>
    </row>
    <row r="435" spans="1:25" x14ac:dyDescent="0.35">
      <c r="A435" t="s">
        <v>41</v>
      </c>
      <c r="B435" t="s">
        <v>54</v>
      </c>
      <c r="C435" t="s">
        <v>87</v>
      </c>
      <c r="D435" t="s">
        <v>88</v>
      </c>
      <c r="E435">
        <v>80895916</v>
      </c>
      <c r="F435" t="s">
        <v>464</v>
      </c>
      <c r="G435" s="3">
        <v>47032</v>
      </c>
      <c r="H435">
        <v>36</v>
      </c>
      <c r="I435">
        <v>78</v>
      </c>
      <c r="J435">
        <v>9</v>
      </c>
      <c r="K435" s="4">
        <v>8909.73</v>
      </c>
      <c r="L435" s="4">
        <v>4.8571428571428568</v>
      </c>
      <c r="M435" s="4">
        <v>1.8529411764705883</v>
      </c>
      <c r="N435" t="s">
        <v>25</v>
      </c>
      <c r="O435" t="str">
        <f t="shared" si="60"/>
        <v>Low</v>
      </c>
      <c r="P435" t="str">
        <f t="shared" si="61"/>
        <v>Low</v>
      </c>
      <c r="Q435" t="str">
        <f t="shared" si="62"/>
        <v>High</v>
      </c>
      <c r="R435" t="s">
        <v>3317</v>
      </c>
      <c r="S435" s="4">
        <f t="shared" ca="1" si="63"/>
        <v>835</v>
      </c>
      <c r="T435">
        <f t="shared" si="64"/>
        <v>1</v>
      </c>
      <c r="U435">
        <f t="shared" si="65"/>
        <v>1</v>
      </c>
      <c r="V435">
        <f t="shared" si="66"/>
        <v>3</v>
      </c>
      <c r="W435">
        <f t="shared" si="67"/>
        <v>1</v>
      </c>
      <c r="X435">
        <f t="shared" si="68"/>
        <v>1.4000000000000001</v>
      </c>
      <c r="Y435" t="str">
        <f t="shared" si="69"/>
        <v>Healthy</v>
      </c>
    </row>
    <row r="436" spans="1:25" x14ac:dyDescent="0.35">
      <c r="A436" t="s">
        <v>179</v>
      </c>
      <c r="B436" t="s">
        <v>180</v>
      </c>
      <c r="C436" t="s">
        <v>181</v>
      </c>
      <c r="D436" t="s">
        <v>326</v>
      </c>
      <c r="E436">
        <v>80871325</v>
      </c>
      <c r="F436" t="s">
        <v>462</v>
      </c>
      <c r="G436" s="3">
        <v>46441</v>
      </c>
      <c r="H436">
        <v>16</v>
      </c>
      <c r="I436">
        <v>52</v>
      </c>
      <c r="J436">
        <v>15</v>
      </c>
      <c r="K436" s="4">
        <v>9986.4</v>
      </c>
      <c r="L436" s="4">
        <v>202.14285714285714</v>
      </c>
      <c r="M436" s="4">
        <v>7.4204946996466431E-2</v>
      </c>
      <c r="N436" t="s">
        <v>25</v>
      </c>
      <c r="O436" t="str">
        <f t="shared" si="60"/>
        <v>Low</v>
      </c>
      <c r="P436" t="str">
        <f t="shared" si="61"/>
        <v>Low</v>
      </c>
      <c r="Q436" t="str">
        <f t="shared" si="62"/>
        <v>Low</v>
      </c>
      <c r="R436" t="s">
        <v>3317</v>
      </c>
      <c r="S436" s="4">
        <f t="shared" ca="1" si="63"/>
        <v>244</v>
      </c>
      <c r="T436">
        <f t="shared" si="64"/>
        <v>1</v>
      </c>
      <c r="U436">
        <f t="shared" si="65"/>
        <v>1</v>
      </c>
      <c r="V436">
        <f t="shared" si="66"/>
        <v>1</v>
      </c>
      <c r="W436">
        <f t="shared" si="67"/>
        <v>1</v>
      </c>
      <c r="X436">
        <f t="shared" si="68"/>
        <v>0.99999999999999989</v>
      </c>
      <c r="Y436" t="str">
        <f t="shared" si="69"/>
        <v>Healthy</v>
      </c>
    </row>
    <row r="437" spans="1:25" x14ac:dyDescent="0.35">
      <c r="A437" t="s">
        <v>179</v>
      </c>
      <c r="B437" t="s">
        <v>180</v>
      </c>
      <c r="C437" t="s">
        <v>181</v>
      </c>
      <c r="D437" t="s">
        <v>326</v>
      </c>
      <c r="E437">
        <v>80871325</v>
      </c>
      <c r="F437" t="s">
        <v>462</v>
      </c>
      <c r="G437" s="3">
        <v>46390</v>
      </c>
      <c r="H437">
        <v>16</v>
      </c>
      <c r="I437">
        <v>41</v>
      </c>
      <c r="J437">
        <v>2</v>
      </c>
      <c r="K437" s="4">
        <v>1331.52</v>
      </c>
      <c r="L437" s="4">
        <v>202.14285714285714</v>
      </c>
      <c r="M437" s="4">
        <v>9.893992932862191E-3</v>
      </c>
      <c r="N437" t="s">
        <v>25</v>
      </c>
      <c r="O437" t="str">
        <f t="shared" si="60"/>
        <v>Low</v>
      </c>
      <c r="P437" t="str">
        <f t="shared" si="61"/>
        <v>Low</v>
      </c>
      <c r="Q437" t="str">
        <f t="shared" si="62"/>
        <v>Low</v>
      </c>
      <c r="R437" t="s">
        <v>3317</v>
      </c>
      <c r="S437" s="4">
        <f t="shared" ca="1" si="63"/>
        <v>193</v>
      </c>
      <c r="T437">
        <f t="shared" si="64"/>
        <v>1</v>
      </c>
      <c r="U437">
        <f t="shared" si="65"/>
        <v>1</v>
      </c>
      <c r="V437">
        <f t="shared" si="66"/>
        <v>1</v>
      </c>
      <c r="W437">
        <f t="shared" si="67"/>
        <v>1</v>
      </c>
      <c r="X437">
        <f t="shared" si="68"/>
        <v>0.99999999999999989</v>
      </c>
      <c r="Y437" t="str">
        <f t="shared" si="69"/>
        <v>Healthy</v>
      </c>
    </row>
    <row r="438" spans="1:25" x14ac:dyDescent="0.35">
      <c r="A438" t="s">
        <v>179</v>
      </c>
      <c r="B438" t="s">
        <v>180</v>
      </c>
      <c r="C438" t="s">
        <v>181</v>
      </c>
      <c r="D438" t="s">
        <v>465</v>
      </c>
      <c r="E438">
        <v>80890417</v>
      </c>
      <c r="F438" t="s">
        <v>466</v>
      </c>
      <c r="G438" s="3">
        <v>46500</v>
      </c>
      <c r="H438">
        <v>16</v>
      </c>
      <c r="I438">
        <v>64</v>
      </c>
      <c r="J438">
        <v>6</v>
      </c>
      <c r="K438" s="4">
        <v>1007.94</v>
      </c>
      <c r="L438" s="4">
        <v>2799</v>
      </c>
      <c r="M438" s="4">
        <v>2.1436227224008574E-3</v>
      </c>
      <c r="N438" t="s">
        <v>25</v>
      </c>
      <c r="O438" t="str">
        <f t="shared" si="60"/>
        <v>Low</v>
      </c>
      <c r="P438" t="str">
        <f t="shared" si="61"/>
        <v>Low</v>
      </c>
      <c r="Q438" t="str">
        <f t="shared" si="62"/>
        <v>Low</v>
      </c>
      <c r="R438" t="s">
        <v>3317</v>
      </c>
      <c r="S438" s="4">
        <f t="shared" ca="1" si="63"/>
        <v>303</v>
      </c>
      <c r="T438">
        <f t="shared" si="64"/>
        <v>1</v>
      </c>
      <c r="U438">
        <f t="shared" si="65"/>
        <v>1</v>
      </c>
      <c r="V438">
        <f t="shared" si="66"/>
        <v>1</v>
      </c>
      <c r="W438">
        <f t="shared" si="67"/>
        <v>1</v>
      </c>
      <c r="X438">
        <f t="shared" si="68"/>
        <v>0.99999999999999989</v>
      </c>
      <c r="Y438" t="str">
        <f t="shared" si="69"/>
        <v>Healthy</v>
      </c>
    </row>
    <row r="439" spans="1:25" x14ac:dyDescent="0.35">
      <c r="A439" t="s">
        <v>179</v>
      </c>
      <c r="B439" t="s">
        <v>180</v>
      </c>
      <c r="C439" t="s">
        <v>181</v>
      </c>
      <c r="D439" t="s">
        <v>465</v>
      </c>
      <c r="E439">
        <v>80890417</v>
      </c>
      <c r="F439" t="s">
        <v>466</v>
      </c>
      <c r="G439" s="3">
        <v>46456</v>
      </c>
      <c r="H439">
        <v>16</v>
      </c>
      <c r="I439">
        <v>55</v>
      </c>
      <c r="J439">
        <v>6</v>
      </c>
      <c r="K439" s="4">
        <v>1007.94</v>
      </c>
      <c r="L439" s="4">
        <v>2799</v>
      </c>
      <c r="M439" s="4">
        <v>2.1436227224008574E-3</v>
      </c>
      <c r="N439" t="s">
        <v>25</v>
      </c>
      <c r="O439" t="str">
        <f t="shared" si="60"/>
        <v>Low</v>
      </c>
      <c r="P439" t="str">
        <f t="shared" si="61"/>
        <v>Low</v>
      </c>
      <c r="Q439" t="str">
        <f t="shared" si="62"/>
        <v>Low</v>
      </c>
      <c r="R439" t="s">
        <v>3317</v>
      </c>
      <c r="S439" s="4">
        <f t="shared" ca="1" si="63"/>
        <v>259</v>
      </c>
      <c r="T439">
        <f t="shared" si="64"/>
        <v>1</v>
      </c>
      <c r="U439">
        <f t="shared" si="65"/>
        <v>1</v>
      </c>
      <c r="V439">
        <f t="shared" si="66"/>
        <v>1</v>
      </c>
      <c r="W439">
        <f t="shared" si="67"/>
        <v>1</v>
      </c>
      <c r="X439">
        <f t="shared" si="68"/>
        <v>0.99999999999999989</v>
      </c>
      <c r="Y439" t="str">
        <f t="shared" si="69"/>
        <v>Healthy</v>
      </c>
    </row>
    <row r="440" spans="1:25" x14ac:dyDescent="0.35">
      <c r="A440" t="s">
        <v>179</v>
      </c>
      <c r="B440" t="s">
        <v>180</v>
      </c>
      <c r="C440" t="s">
        <v>181</v>
      </c>
      <c r="D440" t="s">
        <v>326</v>
      </c>
      <c r="E440">
        <v>80871325</v>
      </c>
      <c r="F440" t="s">
        <v>462</v>
      </c>
      <c r="G440" s="3">
        <v>46409</v>
      </c>
      <c r="H440">
        <v>16</v>
      </c>
      <c r="I440">
        <v>45</v>
      </c>
      <c r="J440">
        <v>15</v>
      </c>
      <c r="K440" s="4">
        <v>9986.4</v>
      </c>
      <c r="L440" s="4">
        <v>202.14285714285714</v>
      </c>
      <c r="M440" s="4">
        <v>7.4204946996466431E-2</v>
      </c>
      <c r="N440" t="s">
        <v>25</v>
      </c>
      <c r="O440" t="str">
        <f t="shared" si="60"/>
        <v>Low</v>
      </c>
      <c r="P440" t="str">
        <f t="shared" si="61"/>
        <v>Low</v>
      </c>
      <c r="Q440" t="str">
        <f t="shared" si="62"/>
        <v>Low</v>
      </c>
      <c r="R440" t="s">
        <v>3317</v>
      </c>
      <c r="S440" s="4">
        <f t="shared" ca="1" si="63"/>
        <v>212</v>
      </c>
      <c r="T440">
        <f t="shared" si="64"/>
        <v>1</v>
      </c>
      <c r="U440">
        <f t="shared" si="65"/>
        <v>1</v>
      </c>
      <c r="V440">
        <f t="shared" si="66"/>
        <v>1</v>
      </c>
      <c r="W440">
        <f t="shared" si="67"/>
        <v>1</v>
      </c>
      <c r="X440">
        <f t="shared" si="68"/>
        <v>0.99999999999999989</v>
      </c>
      <c r="Y440" t="str">
        <f t="shared" si="69"/>
        <v>Healthy</v>
      </c>
    </row>
    <row r="441" spans="1:25" x14ac:dyDescent="0.35">
      <c r="A441" t="s">
        <v>179</v>
      </c>
      <c r="B441" t="s">
        <v>180</v>
      </c>
      <c r="C441" t="s">
        <v>181</v>
      </c>
      <c r="D441" t="s">
        <v>467</v>
      </c>
      <c r="E441">
        <v>80861887</v>
      </c>
      <c r="F441" t="s">
        <v>468</v>
      </c>
      <c r="G441" s="3">
        <v>46410</v>
      </c>
      <c r="H441">
        <v>16</v>
      </c>
      <c r="I441">
        <v>45</v>
      </c>
      <c r="J441">
        <v>5</v>
      </c>
      <c r="K441" s="4">
        <v>5266.5</v>
      </c>
      <c r="L441" s="4">
        <v>405.14285714285717</v>
      </c>
      <c r="M441" s="4">
        <v>1.234132581100141E-2</v>
      </c>
      <c r="N441" t="s">
        <v>25</v>
      </c>
      <c r="O441" t="str">
        <f t="shared" si="60"/>
        <v>Low</v>
      </c>
      <c r="P441" t="str">
        <f t="shared" si="61"/>
        <v>Low</v>
      </c>
      <c r="Q441" t="str">
        <f t="shared" si="62"/>
        <v>Low</v>
      </c>
      <c r="R441" t="s">
        <v>3317</v>
      </c>
      <c r="S441" s="4">
        <f t="shared" ca="1" si="63"/>
        <v>213</v>
      </c>
      <c r="T441">
        <f t="shared" si="64"/>
        <v>1</v>
      </c>
      <c r="U441">
        <f t="shared" si="65"/>
        <v>1</v>
      </c>
      <c r="V441">
        <f t="shared" si="66"/>
        <v>1</v>
      </c>
      <c r="W441">
        <f t="shared" si="67"/>
        <v>1</v>
      </c>
      <c r="X441">
        <f t="shared" si="68"/>
        <v>0.99999999999999989</v>
      </c>
      <c r="Y441" t="str">
        <f t="shared" si="69"/>
        <v>Healthy</v>
      </c>
    </row>
    <row r="442" spans="1:25" x14ac:dyDescent="0.35">
      <c r="A442" t="s">
        <v>179</v>
      </c>
      <c r="B442" t="s">
        <v>180</v>
      </c>
      <c r="C442" t="s">
        <v>181</v>
      </c>
      <c r="D442" t="s">
        <v>467</v>
      </c>
      <c r="E442">
        <v>80861887</v>
      </c>
      <c r="F442" t="s">
        <v>468</v>
      </c>
      <c r="G442" s="3">
        <v>46393</v>
      </c>
      <c r="H442">
        <v>16</v>
      </c>
      <c r="I442">
        <v>42</v>
      </c>
      <c r="J442">
        <v>2</v>
      </c>
      <c r="K442" s="4">
        <v>2106.6</v>
      </c>
      <c r="L442" s="4">
        <v>405.14285714285717</v>
      </c>
      <c r="M442" s="4">
        <v>4.9365303244005643E-3</v>
      </c>
      <c r="N442" t="s">
        <v>25</v>
      </c>
      <c r="O442" t="str">
        <f t="shared" si="60"/>
        <v>Low</v>
      </c>
      <c r="P442" t="str">
        <f t="shared" si="61"/>
        <v>Low</v>
      </c>
      <c r="Q442" t="str">
        <f t="shared" si="62"/>
        <v>Low</v>
      </c>
      <c r="R442" t="s">
        <v>3317</v>
      </c>
      <c r="S442" s="4">
        <f t="shared" ca="1" si="63"/>
        <v>196</v>
      </c>
      <c r="T442">
        <f t="shared" si="64"/>
        <v>1</v>
      </c>
      <c r="U442">
        <f t="shared" si="65"/>
        <v>1</v>
      </c>
      <c r="V442">
        <f t="shared" si="66"/>
        <v>1</v>
      </c>
      <c r="W442">
        <f t="shared" si="67"/>
        <v>1</v>
      </c>
      <c r="X442">
        <f t="shared" si="68"/>
        <v>0.99999999999999989</v>
      </c>
      <c r="Y442" t="str">
        <f t="shared" si="69"/>
        <v>Healthy</v>
      </c>
    </row>
    <row r="443" spans="1:25" x14ac:dyDescent="0.35">
      <c r="A443" t="s">
        <v>179</v>
      </c>
      <c r="B443" t="s">
        <v>180</v>
      </c>
      <c r="C443" t="s">
        <v>181</v>
      </c>
      <c r="D443" t="s">
        <v>467</v>
      </c>
      <c r="E443">
        <v>80861887</v>
      </c>
      <c r="F443" t="s">
        <v>468</v>
      </c>
      <c r="G443" s="3">
        <v>46393</v>
      </c>
      <c r="H443">
        <v>16</v>
      </c>
      <c r="I443">
        <v>42</v>
      </c>
      <c r="J443">
        <v>2</v>
      </c>
      <c r="K443" s="4">
        <v>2106.6</v>
      </c>
      <c r="L443" s="4">
        <v>405.14285714285717</v>
      </c>
      <c r="M443" s="4">
        <v>4.9365303244005643E-3</v>
      </c>
      <c r="N443" t="s">
        <v>25</v>
      </c>
      <c r="O443" t="str">
        <f t="shared" si="60"/>
        <v>Low</v>
      </c>
      <c r="P443" t="str">
        <f t="shared" si="61"/>
        <v>Low</v>
      </c>
      <c r="Q443" t="str">
        <f t="shared" si="62"/>
        <v>Low</v>
      </c>
      <c r="R443" t="s">
        <v>3317</v>
      </c>
      <c r="S443" s="4">
        <f t="shared" ca="1" si="63"/>
        <v>196</v>
      </c>
      <c r="T443">
        <f t="shared" si="64"/>
        <v>1</v>
      </c>
      <c r="U443">
        <f t="shared" si="65"/>
        <v>1</v>
      </c>
      <c r="V443">
        <f t="shared" si="66"/>
        <v>1</v>
      </c>
      <c r="W443">
        <f t="shared" si="67"/>
        <v>1</v>
      </c>
      <c r="X443">
        <f t="shared" si="68"/>
        <v>0.99999999999999989</v>
      </c>
      <c r="Y443" t="str">
        <f t="shared" si="69"/>
        <v>Healthy</v>
      </c>
    </row>
    <row r="444" spans="1:25" x14ac:dyDescent="0.35">
      <c r="A444" t="s">
        <v>14</v>
      </c>
      <c r="B444" t="s">
        <v>115</v>
      </c>
      <c r="C444" t="s">
        <v>469</v>
      </c>
      <c r="D444" t="s">
        <v>470</v>
      </c>
      <c r="E444">
        <v>80856024</v>
      </c>
      <c r="F444" t="s">
        <v>471</v>
      </c>
      <c r="G444" s="3">
        <v>47969</v>
      </c>
      <c r="H444">
        <v>60</v>
      </c>
      <c r="I444">
        <v>99</v>
      </c>
      <c r="J444">
        <v>9466</v>
      </c>
      <c r="K444" s="4">
        <v>393785.59999999998</v>
      </c>
      <c r="L444" s="4">
        <v>24076.571428571428</v>
      </c>
      <c r="M444" s="4">
        <v>0.39316229173589029</v>
      </c>
      <c r="N444" t="s">
        <v>25</v>
      </c>
      <c r="O444" t="str">
        <f t="shared" si="60"/>
        <v>Low</v>
      </c>
      <c r="P444" t="str">
        <f t="shared" si="61"/>
        <v>Low</v>
      </c>
      <c r="Q444" t="str">
        <f t="shared" si="62"/>
        <v>Low</v>
      </c>
      <c r="R444" t="s">
        <v>3309</v>
      </c>
      <c r="S444" s="4">
        <f t="shared" ca="1" si="63"/>
        <v>1772</v>
      </c>
      <c r="T444">
        <f t="shared" si="64"/>
        <v>1</v>
      </c>
      <c r="U444">
        <f t="shared" si="65"/>
        <v>1</v>
      </c>
      <c r="V444">
        <f t="shared" si="66"/>
        <v>1</v>
      </c>
      <c r="W444">
        <f t="shared" si="67"/>
        <v>3</v>
      </c>
      <c r="X444">
        <f t="shared" si="68"/>
        <v>1.2</v>
      </c>
      <c r="Y444" t="str">
        <f t="shared" si="69"/>
        <v>Healthy</v>
      </c>
    </row>
    <row r="445" spans="1:25" x14ac:dyDescent="0.35">
      <c r="A445" t="s">
        <v>14</v>
      </c>
      <c r="B445" t="s">
        <v>115</v>
      </c>
      <c r="C445" t="s">
        <v>469</v>
      </c>
      <c r="D445" t="s">
        <v>470</v>
      </c>
      <c r="E445">
        <v>80856024</v>
      </c>
      <c r="F445" t="s">
        <v>471</v>
      </c>
      <c r="G445" s="3">
        <v>47959</v>
      </c>
      <c r="H445">
        <v>60</v>
      </c>
      <c r="I445">
        <v>98</v>
      </c>
      <c r="J445">
        <v>40</v>
      </c>
      <c r="K445" s="4">
        <v>1664</v>
      </c>
      <c r="L445" s="4">
        <v>24076.571428571428</v>
      </c>
      <c r="M445" s="4">
        <v>1.6613661176247212E-3</v>
      </c>
      <c r="N445" t="s">
        <v>25</v>
      </c>
      <c r="O445" t="str">
        <f t="shared" si="60"/>
        <v>Low</v>
      </c>
      <c r="P445" t="str">
        <f t="shared" si="61"/>
        <v>Low</v>
      </c>
      <c r="Q445" t="str">
        <f t="shared" si="62"/>
        <v>Low</v>
      </c>
      <c r="R445" t="s">
        <v>3317</v>
      </c>
      <c r="S445" s="4">
        <f t="shared" ca="1" si="63"/>
        <v>1762</v>
      </c>
      <c r="T445">
        <f t="shared" si="64"/>
        <v>1</v>
      </c>
      <c r="U445">
        <f t="shared" si="65"/>
        <v>1</v>
      </c>
      <c r="V445">
        <f t="shared" si="66"/>
        <v>1</v>
      </c>
      <c r="W445">
        <f t="shared" si="67"/>
        <v>1</v>
      </c>
      <c r="X445">
        <f t="shared" si="68"/>
        <v>0.99999999999999989</v>
      </c>
      <c r="Y445" t="str">
        <f t="shared" si="69"/>
        <v>Healthy</v>
      </c>
    </row>
    <row r="446" spans="1:25" x14ac:dyDescent="0.35">
      <c r="A446" t="s">
        <v>14</v>
      </c>
      <c r="B446" t="s">
        <v>115</v>
      </c>
      <c r="C446" t="s">
        <v>469</v>
      </c>
      <c r="D446" t="s">
        <v>470</v>
      </c>
      <c r="E446">
        <v>80856024</v>
      </c>
      <c r="F446" t="s">
        <v>471</v>
      </c>
      <c r="G446" s="3">
        <v>47656</v>
      </c>
      <c r="H446">
        <v>60</v>
      </c>
      <c r="I446">
        <v>81</v>
      </c>
      <c r="J446">
        <v>2934</v>
      </c>
      <c r="K446" s="4">
        <v>122054.39999999999</v>
      </c>
      <c r="L446" s="4">
        <v>24076.571428571428</v>
      </c>
      <c r="M446" s="4">
        <v>0.1218612047277733</v>
      </c>
      <c r="N446" t="s">
        <v>25</v>
      </c>
      <c r="O446" t="str">
        <f t="shared" si="60"/>
        <v>Low</v>
      </c>
      <c r="P446" t="str">
        <f t="shared" si="61"/>
        <v>Low</v>
      </c>
      <c r="Q446" t="str">
        <f t="shared" si="62"/>
        <v>Low</v>
      </c>
      <c r="R446" t="s">
        <v>3310</v>
      </c>
      <c r="S446" s="4">
        <f t="shared" ca="1" si="63"/>
        <v>1459</v>
      </c>
      <c r="T446">
        <f t="shared" si="64"/>
        <v>1</v>
      </c>
      <c r="U446">
        <f t="shared" si="65"/>
        <v>1</v>
      </c>
      <c r="V446">
        <f t="shared" si="66"/>
        <v>1</v>
      </c>
      <c r="W446">
        <f t="shared" si="67"/>
        <v>2</v>
      </c>
      <c r="X446">
        <f t="shared" si="68"/>
        <v>1.0999999999999999</v>
      </c>
      <c r="Y446" t="str">
        <f t="shared" si="69"/>
        <v>Healthy</v>
      </c>
    </row>
    <row r="447" spans="1:25" x14ac:dyDescent="0.35">
      <c r="A447" t="s">
        <v>179</v>
      </c>
      <c r="B447" t="s">
        <v>223</v>
      </c>
      <c r="C447" t="s">
        <v>357</v>
      </c>
      <c r="D447" t="s">
        <v>472</v>
      </c>
      <c r="E447">
        <v>80882435</v>
      </c>
      <c r="F447" t="s">
        <v>473</v>
      </c>
      <c r="G447" s="3">
        <v>46492</v>
      </c>
      <c r="H447">
        <v>18</v>
      </c>
      <c r="I447">
        <v>56</v>
      </c>
      <c r="J447">
        <v>9</v>
      </c>
      <c r="K447" s="4">
        <v>5599.8</v>
      </c>
      <c r="L447" s="4">
        <v>20.285714285714285</v>
      </c>
      <c r="M447" s="4">
        <v>0.44366197183098594</v>
      </c>
      <c r="N447" t="s">
        <v>25</v>
      </c>
      <c r="O447" t="str">
        <f t="shared" si="60"/>
        <v>Low</v>
      </c>
      <c r="P447" t="str">
        <f t="shared" si="61"/>
        <v>Low</v>
      </c>
      <c r="Q447" t="str">
        <f t="shared" si="62"/>
        <v>Low</v>
      </c>
      <c r="R447" t="s">
        <v>3317</v>
      </c>
      <c r="S447" s="4">
        <f t="shared" ca="1" si="63"/>
        <v>295</v>
      </c>
      <c r="T447">
        <f t="shared" si="64"/>
        <v>1</v>
      </c>
      <c r="U447">
        <f t="shared" si="65"/>
        <v>1</v>
      </c>
      <c r="V447">
        <f t="shared" si="66"/>
        <v>1</v>
      </c>
      <c r="W447">
        <f t="shared" si="67"/>
        <v>1</v>
      </c>
      <c r="X447">
        <f t="shared" si="68"/>
        <v>0.99999999999999989</v>
      </c>
      <c r="Y447" t="str">
        <f t="shared" si="69"/>
        <v>Healthy</v>
      </c>
    </row>
    <row r="448" spans="1:25" x14ac:dyDescent="0.35">
      <c r="A448" t="s">
        <v>179</v>
      </c>
      <c r="B448" t="s">
        <v>180</v>
      </c>
      <c r="C448" t="s">
        <v>181</v>
      </c>
      <c r="D448" t="s">
        <v>474</v>
      </c>
      <c r="E448">
        <v>80890429</v>
      </c>
      <c r="F448" t="s">
        <v>475</v>
      </c>
      <c r="G448" s="3">
        <v>46550</v>
      </c>
      <c r="H448">
        <v>16</v>
      </c>
      <c r="I448">
        <v>75</v>
      </c>
      <c r="J448">
        <v>23</v>
      </c>
      <c r="K448" s="4">
        <v>2340.48</v>
      </c>
      <c r="L448" s="4">
        <v>36513.142857142855</v>
      </c>
      <c r="M448" s="4">
        <v>6.2991016933237355E-4</v>
      </c>
      <c r="N448" t="s">
        <v>25</v>
      </c>
      <c r="O448" t="str">
        <f t="shared" si="60"/>
        <v>Low</v>
      </c>
      <c r="P448" t="str">
        <f t="shared" si="61"/>
        <v>Low</v>
      </c>
      <c r="Q448" t="str">
        <f t="shared" si="62"/>
        <v>Low</v>
      </c>
      <c r="R448" t="s">
        <v>3317</v>
      </c>
      <c r="S448" s="4">
        <f t="shared" ca="1" si="63"/>
        <v>353</v>
      </c>
      <c r="T448">
        <f t="shared" si="64"/>
        <v>1</v>
      </c>
      <c r="U448">
        <f t="shared" si="65"/>
        <v>1</v>
      </c>
      <c r="V448">
        <f t="shared" si="66"/>
        <v>1</v>
      </c>
      <c r="W448">
        <f t="shared" si="67"/>
        <v>1</v>
      </c>
      <c r="X448">
        <f t="shared" si="68"/>
        <v>0.99999999999999989</v>
      </c>
      <c r="Y448" t="str">
        <f t="shared" si="69"/>
        <v>Healthy</v>
      </c>
    </row>
    <row r="449" spans="1:25" x14ac:dyDescent="0.35">
      <c r="A449" t="s">
        <v>179</v>
      </c>
      <c r="B449" t="s">
        <v>223</v>
      </c>
      <c r="C449" t="s">
        <v>357</v>
      </c>
      <c r="D449" t="s">
        <v>476</v>
      </c>
      <c r="E449">
        <v>80868343</v>
      </c>
      <c r="F449" t="s">
        <v>477</v>
      </c>
      <c r="G449" s="3">
        <v>46508</v>
      </c>
      <c r="H449">
        <v>18</v>
      </c>
      <c r="I449">
        <v>59</v>
      </c>
      <c r="J449">
        <v>2</v>
      </c>
      <c r="K449" s="4">
        <v>2364.36</v>
      </c>
      <c r="L449" s="4">
        <v>65.571428571428569</v>
      </c>
      <c r="M449" s="4">
        <v>3.0501089324618737E-2</v>
      </c>
      <c r="N449" t="s">
        <v>25</v>
      </c>
      <c r="O449" t="str">
        <f t="shared" si="60"/>
        <v>Low</v>
      </c>
      <c r="P449" t="str">
        <f t="shared" si="61"/>
        <v>Low</v>
      </c>
      <c r="Q449" t="str">
        <f t="shared" si="62"/>
        <v>Low</v>
      </c>
      <c r="R449" t="s">
        <v>3317</v>
      </c>
      <c r="S449" s="4">
        <f t="shared" ca="1" si="63"/>
        <v>311</v>
      </c>
      <c r="T449">
        <f t="shared" si="64"/>
        <v>1</v>
      </c>
      <c r="U449">
        <f t="shared" si="65"/>
        <v>1</v>
      </c>
      <c r="V449">
        <f t="shared" si="66"/>
        <v>1</v>
      </c>
      <c r="W449">
        <f t="shared" si="67"/>
        <v>1</v>
      </c>
      <c r="X449">
        <f t="shared" si="68"/>
        <v>0.99999999999999989</v>
      </c>
      <c r="Y449" t="str">
        <f t="shared" si="69"/>
        <v>Healthy</v>
      </c>
    </row>
    <row r="450" spans="1:25" x14ac:dyDescent="0.35">
      <c r="A450" t="s">
        <v>90</v>
      </c>
      <c r="B450" t="s">
        <v>91</v>
      </c>
      <c r="C450" t="s">
        <v>478</v>
      </c>
      <c r="D450" t="s">
        <v>479</v>
      </c>
      <c r="E450">
        <v>80857949</v>
      </c>
      <c r="F450" t="s">
        <v>480</v>
      </c>
      <c r="G450" s="3">
        <v>46616</v>
      </c>
      <c r="H450">
        <v>24</v>
      </c>
      <c r="I450">
        <v>59</v>
      </c>
      <c r="J450">
        <v>120</v>
      </c>
      <c r="K450" s="4">
        <v>1.2</v>
      </c>
      <c r="L450" s="4">
        <v>4.5714285714285712</v>
      </c>
      <c r="M450" s="4">
        <v>26.25</v>
      </c>
      <c r="N450" t="s">
        <v>19</v>
      </c>
      <c r="O450" t="str">
        <f t="shared" si="60"/>
        <v>Low</v>
      </c>
      <c r="P450" t="str">
        <f t="shared" si="61"/>
        <v>High</v>
      </c>
      <c r="Q450" t="str">
        <f t="shared" si="62"/>
        <v>High</v>
      </c>
      <c r="R450" t="s">
        <v>3317</v>
      </c>
      <c r="S450" s="4">
        <f t="shared" ca="1" si="63"/>
        <v>419</v>
      </c>
      <c r="T450">
        <f t="shared" si="64"/>
        <v>1</v>
      </c>
      <c r="U450">
        <f t="shared" si="65"/>
        <v>3</v>
      </c>
      <c r="V450">
        <f t="shared" si="66"/>
        <v>3</v>
      </c>
      <c r="W450">
        <f t="shared" si="67"/>
        <v>1</v>
      </c>
      <c r="X450">
        <f t="shared" si="68"/>
        <v>2</v>
      </c>
      <c r="Y450" t="str">
        <f t="shared" si="69"/>
        <v>Monitor</v>
      </c>
    </row>
    <row r="451" spans="1:25" x14ac:dyDescent="0.35">
      <c r="A451" t="s">
        <v>90</v>
      </c>
      <c r="B451" t="s">
        <v>91</v>
      </c>
      <c r="C451" t="s">
        <v>478</v>
      </c>
      <c r="D451" t="s">
        <v>479</v>
      </c>
      <c r="E451">
        <v>80857949</v>
      </c>
      <c r="F451" t="s">
        <v>480</v>
      </c>
      <c r="G451" s="3">
        <v>46602</v>
      </c>
      <c r="H451">
        <v>24</v>
      </c>
      <c r="I451">
        <v>57</v>
      </c>
      <c r="J451">
        <v>228</v>
      </c>
      <c r="K451" s="4">
        <v>2.2799999999999998</v>
      </c>
      <c r="L451" s="4">
        <v>4.5714285714285712</v>
      </c>
      <c r="M451" s="4">
        <v>49.875</v>
      </c>
      <c r="N451" t="s">
        <v>19</v>
      </c>
      <c r="O451" t="str">
        <f t="shared" ref="O451:O514" si="70">IF(I451&lt;20,"High",IF(I451&lt;40,"Medium","Low"))</f>
        <v>Low</v>
      </c>
      <c r="P451" t="str">
        <f t="shared" ref="P451:P514" si="71">IF(M451&gt;8,"High",IF(M451&gt;4,"Medium","Low"))</f>
        <v>High</v>
      </c>
      <c r="Q451" t="str">
        <f t="shared" ref="Q451:Q514" si="72">IF(L451&lt;5,"High",IF(L451&lt;15,"Medium","Low"))</f>
        <v>High</v>
      </c>
      <c r="R451" t="s">
        <v>3317</v>
      </c>
      <c r="S451" s="4">
        <f t="shared" ref="S451:S514" ca="1" si="73">G451-TODAY()</f>
        <v>405</v>
      </c>
      <c r="T451">
        <f t="shared" ref="T451:T514" si="74">IF(O451="High",3,IF(O451="Medium",2,1))</f>
        <v>1</v>
      </c>
      <c r="U451">
        <f t="shared" ref="U451:U514" si="75">IF(P451="High",3,IF(P451="Medium",2,1))</f>
        <v>3</v>
      </c>
      <c r="V451">
        <f t="shared" ref="V451:V514" si="76">IF(Q451="High",3,IF(Q451="Medium",2,1))</f>
        <v>3</v>
      </c>
      <c r="W451">
        <f t="shared" ref="W451:W514" si="77">IF(R451="High",3,IF(R451="Medium",2,1))</f>
        <v>1</v>
      </c>
      <c r="X451">
        <f t="shared" ref="X451:X514" si="78">(0.4*T451)+(0.3*U451)+(0.2*V451)+(0.1*W451)</f>
        <v>2</v>
      </c>
      <c r="Y451" t="str">
        <f t="shared" ref="Y451:Y514" si="79">IF(X451&gt;=2.7,"Move Immediately",IF(X451&gt;=2.2,"High Priority",IF(X451&gt;=1.7,"Monitor","Healthy")))</f>
        <v>Monitor</v>
      </c>
    </row>
    <row r="452" spans="1:25" x14ac:dyDescent="0.35">
      <c r="A452" t="s">
        <v>90</v>
      </c>
      <c r="B452" t="s">
        <v>91</v>
      </c>
      <c r="C452" t="s">
        <v>478</v>
      </c>
      <c r="D452" t="s">
        <v>479</v>
      </c>
      <c r="E452">
        <v>80857949</v>
      </c>
      <c r="F452" t="s">
        <v>480</v>
      </c>
      <c r="G452" s="3">
        <v>46612</v>
      </c>
      <c r="H452">
        <v>24</v>
      </c>
      <c r="I452">
        <v>58</v>
      </c>
      <c r="J452">
        <v>240</v>
      </c>
      <c r="K452" s="4">
        <v>2.4</v>
      </c>
      <c r="L452" s="4">
        <v>4.5714285714285712</v>
      </c>
      <c r="M452" s="4">
        <v>52.5</v>
      </c>
      <c r="N452" t="s">
        <v>19</v>
      </c>
      <c r="O452" t="str">
        <f t="shared" si="70"/>
        <v>Low</v>
      </c>
      <c r="P452" t="str">
        <f t="shared" si="71"/>
        <v>High</v>
      </c>
      <c r="Q452" t="str">
        <f t="shared" si="72"/>
        <v>High</v>
      </c>
      <c r="R452" t="s">
        <v>3317</v>
      </c>
      <c r="S452" s="4">
        <f t="shared" ca="1" si="73"/>
        <v>415</v>
      </c>
      <c r="T452">
        <f t="shared" si="74"/>
        <v>1</v>
      </c>
      <c r="U452">
        <f t="shared" si="75"/>
        <v>3</v>
      </c>
      <c r="V452">
        <f t="shared" si="76"/>
        <v>3</v>
      </c>
      <c r="W452">
        <f t="shared" si="77"/>
        <v>1</v>
      </c>
      <c r="X452">
        <f t="shared" si="78"/>
        <v>2</v>
      </c>
      <c r="Y452" t="str">
        <f t="shared" si="79"/>
        <v>Monitor</v>
      </c>
    </row>
    <row r="453" spans="1:25" x14ac:dyDescent="0.35">
      <c r="A453" t="s">
        <v>179</v>
      </c>
      <c r="B453" t="s">
        <v>180</v>
      </c>
      <c r="C453" t="s">
        <v>181</v>
      </c>
      <c r="D453" t="s">
        <v>474</v>
      </c>
      <c r="E453">
        <v>80890429</v>
      </c>
      <c r="F453" t="s">
        <v>475</v>
      </c>
      <c r="G453" s="3">
        <v>46551</v>
      </c>
      <c r="H453">
        <v>16</v>
      </c>
      <c r="I453">
        <v>75</v>
      </c>
      <c r="J453">
        <v>1</v>
      </c>
      <c r="K453" s="4">
        <v>101.76</v>
      </c>
      <c r="L453" s="4">
        <v>36513.142857142855</v>
      </c>
      <c r="M453" s="4">
        <v>2.7387398666624934E-5</v>
      </c>
      <c r="N453" t="s">
        <v>25</v>
      </c>
      <c r="O453" t="str">
        <f t="shared" si="70"/>
        <v>Low</v>
      </c>
      <c r="P453" t="str">
        <f t="shared" si="71"/>
        <v>Low</v>
      </c>
      <c r="Q453" t="str">
        <f t="shared" si="72"/>
        <v>Low</v>
      </c>
      <c r="R453" t="s">
        <v>3317</v>
      </c>
      <c r="S453" s="4">
        <f t="shared" ca="1" si="73"/>
        <v>354</v>
      </c>
      <c r="T453">
        <f t="shared" si="74"/>
        <v>1</v>
      </c>
      <c r="U453">
        <f t="shared" si="75"/>
        <v>1</v>
      </c>
      <c r="V453">
        <f t="shared" si="76"/>
        <v>1</v>
      </c>
      <c r="W453">
        <f t="shared" si="77"/>
        <v>1</v>
      </c>
      <c r="X453">
        <f t="shared" si="78"/>
        <v>0.99999999999999989</v>
      </c>
      <c r="Y453" t="str">
        <f t="shared" si="79"/>
        <v>Healthy</v>
      </c>
    </row>
    <row r="454" spans="1:25" x14ac:dyDescent="0.35">
      <c r="A454" t="s">
        <v>179</v>
      </c>
      <c r="B454" t="s">
        <v>223</v>
      </c>
      <c r="C454" t="s">
        <v>408</v>
      </c>
      <c r="D454" t="s">
        <v>481</v>
      </c>
      <c r="E454">
        <v>80874663</v>
      </c>
      <c r="F454" t="s">
        <v>482</v>
      </c>
      <c r="G454" s="3">
        <v>46570</v>
      </c>
      <c r="H454">
        <v>18</v>
      </c>
      <c r="I454">
        <v>70</v>
      </c>
      <c r="J454">
        <v>48</v>
      </c>
      <c r="K454" s="4">
        <v>7210.56</v>
      </c>
      <c r="L454" s="4">
        <v>2289.2857142857142</v>
      </c>
      <c r="M454" s="4">
        <v>2.0967238689547581E-2</v>
      </c>
      <c r="N454" t="s">
        <v>25</v>
      </c>
      <c r="O454" t="str">
        <f t="shared" si="70"/>
        <v>Low</v>
      </c>
      <c r="P454" t="str">
        <f t="shared" si="71"/>
        <v>Low</v>
      </c>
      <c r="Q454" t="str">
        <f t="shared" si="72"/>
        <v>Low</v>
      </c>
      <c r="R454" t="s">
        <v>3317</v>
      </c>
      <c r="S454" s="4">
        <f t="shared" ca="1" si="73"/>
        <v>373</v>
      </c>
      <c r="T454">
        <f t="shared" si="74"/>
        <v>1</v>
      </c>
      <c r="U454">
        <f t="shared" si="75"/>
        <v>1</v>
      </c>
      <c r="V454">
        <f t="shared" si="76"/>
        <v>1</v>
      </c>
      <c r="W454">
        <f t="shared" si="77"/>
        <v>1</v>
      </c>
      <c r="X454">
        <f t="shared" si="78"/>
        <v>0.99999999999999989</v>
      </c>
      <c r="Y454" t="str">
        <f t="shared" si="79"/>
        <v>Healthy</v>
      </c>
    </row>
    <row r="455" spans="1:25" x14ac:dyDescent="0.35">
      <c r="A455" t="s">
        <v>179</v>
      </c>
      <c r="B455" t="s">
        <v>223</v>
      </c>
      <c r="C455" t="s">
        <v>408</v>
      </c>
      <c r="D455" t="s">
        <v>481</v>
      </c>
      <c r="E455">
        <v>80874663</v>
      </c>
      <c r="F455" t="s">
        <v>482</v>
      </c>
      <c r="G455" s="3">
        <v>46587</v>
      </c>
      <c r="H455">
        <v>18</v>
      </c>
      <c r="I455">
        <v>73</v>
      </c>
      <c r="J455">
        <v>672</v>
      </c>
      <c r="K455" s="4">
        <v>100947.84</v>
      </c>
      <c r="L455" s="4">
        <v>2289.2857142857142</v>
      </c>
      <c r="M455" s="4">
        <v>0.29354134165366613</v>
      </c>
      <c r="N455" t="s">
        <v>25</v>
      </c>
      <c r="O455" t="str">
        <f t="shared" si="70"/>
        <v>Low</v>
      </c>
      <c r="P455" t="str">
        <f t="shared" si="71"/>
        <v>Low</v>
      </c>
      <c r="Q455" t="str">
        <f t="shared" si="72"/>
        <v>Low</v>
      </c>
      <c r="R455" t="s">
        <v>3310</v>
      </c>
      <c r="S455" s="4">
        <f t="shared" ca="1" si="73"/>
        <v>390</v>
      </c>
      <c r="T455">
        <f t="shared" si="74"/>
        <v>1</v>
      </c>
      <c r="U455">
        <f t="shared" si="75"/>
        <v>1</v>
      </c>
      <c r="V455">
        <f t="shared" si="76"/>
        <v>1</v>
      </c>
      <c r="W455">
        <f t="shared" si="77"/>
        <v>2</v>
      </c>
      <c r="X455">
        <f t="shared" si="78"/>
        <v>1.0999999999999999</v>
      </c>
      <c r="Y455" t="str">
        <f t="shared" si="79"/>
        <v>Healthy</v>
      </c>
    </row>
    <row r="456" spans="1:25" x14ac:dyDescent="0.35">
      <c r="A456" t="s">
        <v>179</v>
      </c>
      <c r="B456" t="s">
        <v>223</v>
      </c>
      <c r="C456" t="s">
        <v>408</v>
      </c>
      <c r="D456" t="s">
        <v>481</v>
      </c>
      <c r="E456">
        <v>80874663</v>
      </c>
      <c r="F456" t="s">
        <v>482</v>
      </c>
      <c r="G456" s="3">
        <v>46570</v>
      </c>
      <c r="H456">
        <v>18</v>
      </c>
      <c r="I456">
        <v>70</v>
      </c>
      <c r="J456">
        <v>125</v>
      </c>
      <c r="K456" s="4">
        <v>18777.5</v>
      </c>
      <c r="L456" s="4">
        <v>2289.2857142857142</v>
      </c>
      <c r="M456" s="4">
        <v>5.4602184087363496E-2</v>
      </c>
      <c r="N456" t="s">
        <v>25</v>
      </c>
      <c r="O456" t="str">
        <f t="shared" si="70"/>
        <v>Low</v>
      </c>
      <c r="P456" t="str">
        <f t="shared" si="71"/>
        <v>Low</v>
      </c>
      <c r="Q456" t="str">
        <f t="shared" si="72"/>
        <v>Low</v>
      </c>
      <c r="R456" t="s">
        <v>3317</v>
      </c>
      <c r="S456" s="4">
        <f t="shared" ca="1" si="73"/>
        <v>373</v>
      </c>
      <c r="T456">
        <f t="shared" si="74"/>
        <v>1</v>
      </c>
      <c r="U456">
        <f t="shared" si="75"/>
        <v>1</v>
      </c>
      <c r="V456">
        <f t="shared" si="76"/>
        <v>1</v>
      </c>
      <c r="W456">
        <f t="shared" si="77"/>
        <v>1</v>
      </c>
      <c r="X456">
        <f t="shared" si="78"/>
        <v>0.99999999999999989</v>
      </c>
      <c r="Y456" t="str">
        <f t="shared" si="79"/>
        <v>Healthy</v>
      </c>
    </row>
    <row r="457" spans="1:25" x14ac:dyDescent="0.35">
      <c r="A457" t="s">
        <v>179</v>
      </c>
      <c r="B457" t="s">
        <v>223</v>
      </c>
      <c r="C457" t="s">
        <v>408</v>
      </c>
      <c r="D457" t="s">
        <v>481</v>
      </c>
      <c r="E457">
        <v>80874663</v>
      </c>
      <c r="F457" t="s">
        <v>482</v>
      </c>
      <c r="G457" s="3">
        <v>46591</v>
      </c>
      <c r="H457">
        <v>18</v>
      </c>
      <c r="I457">
        <v>74</v>
      </c>
      <c r="J457">
        <v>66</v>
      </c>
      <c r="K457" s="4">
        <v>9914.52</v>
      </c>
      <c r="L457" s="4">
        <v>2289.2857142857142</v>
      </c>
      <c r="M457" s="4">
        <v>2.8829953198127926E-2</v>
      </c>
      <c r="N457" t="s">
        <v>25</v>
      </c>
      <c r="O457" t="str">
        <f t="shared" si="70"/>
        <v>Low</v>
      </c>
      <c r="P457" t="str">
        <f t="shared" si="71"/>
        <v>Low</v>
      </c>
      <c r="Q457" t="str">
        <f t="shared" si="72"/>
        <v>Low</v>
      </c>
      <c r="R457" t="s">
        <v>3317</v>
      </c>
      <c r="S457" s="4">
        <f t="shared" ca="1" si="73"/>
        <v>394</v>
      </c>
      <c r="T457">
        <f t="shared" si="74"/>
        <v>1</v>
      </c>
      <c r="U457">
        <f t="shared" si="75"/>
        <v>1</v>
      </c>
      <c r="V457">
        <f t="shared" si="76"/>
        <v>1</v>
      </c>
      <c r="W457">
        <f t="shared" si="77"/>
        <v>1</v>
      </c>
      <c r="X457">
        <f t="shared" si="78"/>
        <v>0.99999999999999989</v>
      </c>
      <c r="Y457" t="str">
        <f t="shared" si="79"/>
        <v>Healthy</v>
      </c>
    </row>
    <row r="458" spans="1:25" x14ac:dyDescent="0.35">
      <c r="A458" t="s">
        <v>179</v>
      </c>
      <c r="B458" t="s">
        <v>223</v>
      </c>
      <c r="C458" t="s">
        <v>408</v>
      </c>
      <c r="D458" t="s">
        <v>481</v>
      </c>
      <c r="E458">
        <v>80874663</v>
      </c>
      <c r="F458" t="s">
        <v>482</v>
      </c>
      <c r="G458" s="3">
        <v>46591</v>
      </c>
      <c r="H458">
        <v>18</v>
      </c>
      <c r="I458">
        <v>74</v>
      </c>
      <c r="J458">
        <v>30</v>
      </c>
      <c r="K458" s="4">
        <v>4506.6000000000004</v>
      </c>
      <c r="L458" s="4">
        <v>2289.2857142857142</v>
      </c>
      <c r="M458" s="4">
        <v>1.3104524180967239E-2</v>
      </c>
      <c r="N458" t="s">
        <v>25</v>
      </c>
      <c r="O458" t="str">
        <f t="shared" si="70"/>
        <v>Low</v>
      </c>
      <c r="P458" t="str">
        <f t="shared" si="71"/>
        <v>Low</v>
      </c>
      <c r="Q458" t="str">
        <f t="shared" si="72"/>
        <v>Low</v>
      </c>
      <c r="R458" t="s">
        <v>3317</v>
      </c>
      <c r="S458" s="4">
        <f t="shared" ca="1" si="73"/>
        <v>394</v>
      </c>
      <c r="T458">
        <f t="shared" si="74"/>
        <v>1</v>
      </c>
      <c r="U458">
        <f t="shared" si="75"/>
        <v>1</v>
      </c>
      <c r="V458">
        <f t="shared" si="76"/>
        <v>1</v>
      </c>
      <c r="W458">
        <f t="shared" si="77"/>
        <v>1</v>
      </c>
      <c r="X458">
        <f t="shared" si="78"/>
        <v>0.99999999999999989</v>
      </c>
      <c r="Y458" t="str">
        <f t="shared" si="79"/>
        <v>Healthy</v>
      </c>
    </row>
    <row r="459" spans="1:25" x14ac:dyDescent="0.35">
      <c r="A459" t="s">
        <v>179</v>
      </c>
      <c r="B459" t="s">
        <v>223</v>
      </c>
      <c r="C459" t="s">
        <v>408</v>
      </c>
      <c r="D459" t="s">
        <v>481</v>
      </c>
      <c r="E459">
        <v>80874663</v>
      </c>
      <c r="F459" t="s">
        <v>482</v>
      </c>
      <c r="G459" s="3">
        <v>46587</v>
      </c>
      <c r="H459">
        <v>18</v>
      </c>
      <c r="I459">
        <v>73</v>
      </c>
      <c r="J459">
        <v>24</v>
      </c>
      <c r="K459" s="4">
        <v>3605.28</v>
      </c>
      <c r="L459" s="4">
        <v>2289.2857142857142</v>
      </c>
      <c r="M459" s="4">
        <v>1.0483619344773791E-2</v>
      </c>
      <c r="N459" t="s">
        <v>25</v>
      </c>
      <c r="O459" t="str">
        <f t="shared" si="70"/>
        <v>Low</v>
      </c>
      <c r="P459" t="str">
        <f t="shared" si="71"/>
        <v>Low</v>
      </c>
      <c r="Q459" t="str">
        <f t="shared" si="72"/>
        <v>Low</v>
      </c>
      <c r="R459" t="s">
        <v>3317</v>
      </c>
      <c r="S459" s="4">
        <f t="shared" ca="1" si="73"/>
        <v>390</v>
      </c>
      <c r="T459">
        <f t="shared" si="74"/>
        <v>1</v>
      </c>
      <c r="U459">
        <f t="shared" si="75"/>
        <v>1</v>
      </c>
      <c r="V459">
        <f t="shared" si="76"/>
        <v>1</v>
      </c>
      <c r="W459">
        <f t="shared" si="77"/>
        <v>1</v>
      </c>
      <c r="X459">
        <f t="shared" si="78"/>
        <v>0.99999999999999989</v>
      </c>
      <c r="Y459" t="str">
        <f t="shared" si="79"/>
        <v>Healthy</v>
      </c>
    </row>
    <row r="460" spans="1:25" x14ac:dyDescent="0.35">
      <c r="A460" t="s">
        <v>41</v>
      </c>
      <c r="B460" t="s">
        <v>54</v>
      </c>
      <c r="C460" t="s">
        <v>411</v>
      </c>
      <c r="D460" t="s">
        <v>483</v>
      </c>
      <c r="E460">
        <v>80858803</v>
      </c>
      <c r="F460" t="s">
        <v>484</v>
      </c>
      <c r="G460" s="3">
        <v>47017</v>
      </c>
      <c r="H460">
        <v>36</v>
      </c>
      <c r="I460">
        <v>76</v>
      </c>
      <c r="J460">
        <v>35</v>
      </c>
      <c r="K460" s="4">
        <v>2629.55</v>
      </c>
      <c r="L460" s="4">
        <v>274.28571428571428</v>
      </c>
      <c r="M460" s="4">
        <v>0.12760416666666666</v>
      </c>
      <c r="N460" t="s">
        <v>25</v>
      </c>
      <c r="O460" t="str">
        <f t="shared" si="70"/>
        <v>Low</v>
      </c>
      <c r="P460" t="str">
        <f t="shared" si="71"/>
        <v>Low</v>
      </c>
      <c r="Q460" t="str">
        <f t="shared" si="72"/>
        <v>Low</v>
      </c>
      <c r="R460" t="s">
        <v>3317</v>
      </c>
      <c r="S460" s="4">
        <f t="shared" ca="1" si="73"/>
        <v>820</v>
      </c>
      <c r="T460">
        <f t="shared" si="74"/>
        <v>1</v>
      </c>
      <c r="U460">
        <f t="shared" si="75"/>
        <v>1</v>
      </c>
      <c r="V460">
        <f t="shared" si="76"/>
        <v>1</v>
      </c>
      <c r="W460">
        <f t="shared" si="77"/>
        <v>1</v>
      </c>
      <c r="X460">
        <f t="shared" si="78"/>
        <v>0.99999999999999989</v>
      </c>
      <c r="Y460" t="str">
        <f t="shared" si="79"/>
        <v>Healthy</v>
      </c>
    </row>
    <row r="461" spans="1:25" x14ac:dyDescent="0.35">
      <c r="A461" t="s">
        <v>41</v>
      </c>
      <c r="B461" t="s">
        <v>54</v>
      </c>
      <c r="C461" t="s">
        <v>411</v>
      </c>
      <c r="D461" t="s">
        <v>483</v>
      </c>
      <c r="E461">
        <v>80858803</v>
      </c>
      <c r="F461" t="s">
        <v>484</v>
      </c>
      <c r="G461" s="3">
        <v>47017</v>
      </c>
      <c r="H461">
        <v>36</v>
      </c>
      <c r="I461">
        <v>76</v>
      </c>
      <c r="J461">
        <v>171</v>
      </c>
      <c r="K461" s="4">
        <v>12847.23</v>
      </c>
      <c r="L461" s="4">
        <v>274.28571428571428</v>
      </c>
      <c r="M461" s="4">
        <v>0.62343749999999998</v>
      </c>
      <c r="N461" t="s">
        <v>25</v>
      </c>
      <c r="O461" t="str">
        <f t="shared" si="70"/>
        <v>Low</v>
      </c>
      <c r="P461" t="str">
        <f t="shared" si="71"/>
        <v>Low</v>
      </c>
      <c r="Q461" t="str">
        <f t="shared" si="72"/>
        <v>Low</v>
      </c>
      <c r="R461" t="s">
        <v>3317</v>
      </c>
      <c r="S461" s="4">
        <f t="shared" ca="1" si="73"/>
        <v>820</v>
      </c>
      <c r="T461">
        <f t="shared" si="74"/>
        <v>1</v>
      </c>
      <c r="U461">
        <f t="shared" si="75"/>
        <v>1</v>
      </c>
      <c r="V461">
        <f t="shared" si="76"/>
        <v>1</v>
      </c>
      <c r="W461">
        <f t="shared" si="77"/>
        <v>1</v>
      </c>
      <c r="X461">
        <f t="shared" si="78"/>
        <v>0.99999999999999989</v>
      </c>
      <c r="Y461" t="str">
        <f t="shared" si="79"/>
        <v>Healthy</v>
      </c>
    </row>
    <row r="462" spans="1:25" x14ac:dyDescent="0.35">
      <c r="A462" t="s">
        <v>29</v>
      </c>
      <c r="B462" t="s">
        <v>30</v>
      </c>
      <c r="C462" t="s">
        <v>414</v>
      </c>
      <c r="D462" t="s">
        <v>485</v>
      </c>
      <c r="E462">
        <v>80860329</v>
      </c>
      <c r="F462" t="s">
        <v>486</v>
      </c>
      <c r="G462" s="3">
        <v>46975</v>
      </c>
      <c r="H462">
        <v>36</v>
      </c>
      <c r="I462">
        <v>73</v>
      </c>
      <c r="J462">
        <v>70</v>
      </c>
      <c r="K462" s="4">
        <v>46687.9</v>
      </c>
      <c r="L462" s="4">
        <v>352.28571428571428</v>
      </c>
      <c r="M462" s="4">
        <v>0.19870235198702352</v>
      </c>
      <c r="N462" t="s">
        <v>25</v>
      </c>
      <c r="O462" t="str">
        <f t="shared" si="70"/>
        <v>Low</v>
      </c>
      <c r="P462" t="str">
        <f t="shared" si="71"/>
        <v>Low</v>
      </c>
      <c r="Q462" t="str">
        <f t="shared" si="72"/>
        <v>Low</v>
      </c>
      <c r="R462" t="s">
        <v>3317</v>
      </c>
      <c r="S462" s="4">
        <f t="shared" ca="1" si="73"/>
        <v>778</v>
      </c>
      <c r="T462">
        <f t="shared" si="74"/>
        <v>1</v>
      </c>
      <c r="U462">
        <f t="shared" si="75"/>
        <v>1</v>
      </c>
      <c r="V462">
        <f t="shared" si="76"/>
        <v>1</v>
      </c>
      <c r="W462">
        <f t="shared" si="77"/>
        <v>1</v>
      </c>
      <c r="X462">
        <f t="shared" si="78"/>
        <v>0.99999999999999989</v>
      </c>
      <c r="Y462" t="str">
        <f t="shared" si="79"/>
        <v>Healthy</v>
      </c>
    </row>
    <row r="463" spans="1:25" x14ac:dyDescent="0.35">
      <c r="A463" t="s">
        <v>29</v>
      </c>
      <c r="B463" t="s">
        <v>30</v>
      </c>
      <c r="C463" t="s">
        <v>414</v>
      </c>
      <c r="D463" t="s">
        <v>485</v>
      </c>
      <c r="E463">
        <v>80860329</v>
      </c>
      <c r="F463" t="s">
        <v>486</v>
      </c>
      <c r="G463" s="3">
        <v>46951</v>
      </c>
      <c r="H463">
        <v>36</v>
      </c>
      <c r="I463">
        <v>70</v>
      </c>
      <c r="J463">
        <v>81</v>
      </c>
      <c r="K463" s="4">
        <v>54024.57</v>
      </c>
      <c r="L463" s="4">
        <v>352.28571428571428</v>
      </c>
      <c r="M463" s="4">
        <v>0.22992700729927007</v>
      </c>
      <c r="N463" t="s">
        <v>25</v>
      </c>
      <c r="O463" t="str">
        <f t="shared" si="70"/>
        <v>Low</v>
      </c>
      <c r="P463" t="str">
        <f t="shared" si="71"/>
        <v>Low</v>
      </c>
      <c r="Q463" t="str">
        <f t="shared" si="72"/>
        <v>Low</v>
      </c>
      <c r="R463" t="s">
        <v>3317</v>
      </c>
      <c r="S463" s="4">
        <f t="shared" ca="1" si="73"/>
        <v>754</v>
      </c>
      <c r="T463">
        <f t="shared" si="74"/>
        <v>1</v>
      </c>
      <c r="U463">
        <f t="shared" si="75"/>
        <v>1</v>
      </c>
      <c r="V463">
        <f t="shared" si="76"/>
        <v>1</v>
      </c>
      <c r="W463">
        <f t="shared" si="77"/>
        <v>1</v>
      </c>
      <c r="X463">
        <f t="shared" si="78"/>
        <v>0.99999999999999989</v>
      </c>
      <c r="Y463" t="str">
        <f t="shared" si="79"/>
        <v>Healthy</v>
      </c>
    </row>
    <row r="464" spans="1:25" x14ac:dyDescent="0.35">
      <c r="A464" t="s">
        <v>29</v>
      </c>
      <c r="B464" t="s">
        <v>30</v>
      </c>
      <c r="C464" t="s">
        <v>414</v>
      </c>
      <c r="D464" t="s">
        <v>485</v>
      </c>
      <c r="E464">
        <v>80860329</v>
      </c>
      <c r="F464" t="s">
        <v>486</v>
      </c>
      <c r="G464" s="3">
        <v>46954</v>
      </c>
      <c r="H464">
        <v>36</v>
      </c>
      <c r="I464">
        <v>71</v>
      </c>
      <c r="J464">
        <v>36</v>
      </c>
      <c r="K464" s="4">
        <v>24010.92</v>
      </c>
      <c r="L464" s="4">
        <v>352.28571428571428</v>
      </c>
      <c r="M464" s="4">
        <v>0.10218978102189781</v>
      </c>
      <c r="N464" t="s">
        <v>25</v>
      </c>
      <c r="O464" t="str">
        <f t="shared" si="70"/>
        <v>Low</v>
      </c>
      <c r="P464" t="str">
        <f t="shared" si="71"/>
        <v>Low</v>
      </c>
      <c r="Q464" t="str">
        <f t="shared" si="72"/>
        <v>Low</v>
      </c>
      <c r="R464" t="s">
        <v>3317</v>
      </c>
      <c r="S464" s="4">
        <f t="shared" ca="1" si="73"/>
        <v>757</v>
      </c>
      <c r="T464">
        <f t="shared" si="74"/>
        <v>1</v>
      </c>
      <c r="U464">
        <f t="shared" si="75"/>
        <v>1</v>
      </c>
      <c r="V464">
        <f t="shared" si="76"/>
        <v>1</v>
      </c>
      <c r="W464">
        <f t="shared" si="77"/>
        <v>1</v>
      </c>
      <c r="X464">
        <f t="shared" si="78"/>
        <v>0.99999999999999989</v>
      </c>
      <c r="Y464" t="str">
        <f t="shared" si="79"/>
        <v>Healthy</v>
      </c>
    </row>
    <row r="465" spans="1:25" x14ac:dyDescent="0.35">
      <c r="A465" t="s">
        <v>179</v>
      </c>
      <c r="B465" t="s">
        <v>180</v>
      </c>
      <c r="C465" t="s">
        <v>181</v>
      </c>
      <c r="D465" t="s">
        <v>487</v>
      </c>
      <c r="E465">
        <v>80890435</v>
      </c>
      <c r="F465" t="s">
        <v>488</v>
      </c>
      <c r="G465" s="3">
        <v>46563</v>
      </c>
      <c r="H465">
        <v>16</v>
      </c>
      <c r="I465">
        <v>77</v>
      </c>
      <c r="J465">
        <v>12</v>
      </c>
      <c r="K465" s="4">
        <v>2293.1999999999998</v>
      </c>
      <c r="L465" s="4">
        <v>3169.7142857142858</v>
      </c>
      <c r="M465" s="4">
        <v>3.7858301784748512E-3</v>
      </c>
      <c r="N465" t="s">
        <v>25</v>
      </c>
      <c r="O465" t="str">
        <f t="shared" si="70"/>
        <v>Low</v>
      </c>
      <c r="P465" t="str">
        <f t="shared" si="71"/>
        <v>Low</v>
      </c>
      <c r="Q465" t="str">
        <f t="shared" si="72"/>
        <v>Low</v>
      </c>
      <c r="R465" t="s">
        <v>3317</v>
      </c>
      <c r="S465" s="4">
        <f t="shared" ca="1" si="73"/>
        <v>366</v>
      </c>
      <c r="T465">
        <f t="shared" si="74"/>
        <v>1</v>
      </c>
      <c r="U465">
        <f t="shared" si="75"/>
        <v>1</v>
      </c>
      <c r="V465">
        <f t="shared" si="76"/>
        <v>1</v>
      </c>
      <c r="W465">
        <f t="shared" si="77"/>
        <v>1</v>
      </c>
      <c r="X465">
        <f t="shared" si="78"/>
        <v>0.99999999999999989</v>
      </c>
      <c r="Y465" t="str">
        <f t="shared" si="79"/>
        <v>Healthy</v>
      </c>
    </row>
    <row r="466" spans="1:25" x14ac:dyDescent="0.35">
      <c r="A466" t="s">
        <v>29</v>
      </c>
      <c r="B466" t="s">
        <v>30</v>
      </c>
      <c r="C466" t="s">
        <v>414</v>
      </c>
      <c r="D466" t="s">
        <v>485</v>
      </c>
      <c r="E466">
        <v>80860329</v>
      </c>
      <c r="F466" t="s">
        <v>486</v>
      </c>
      <c r="G466" s="3">
        <v>46975</v>
      </c>
      <c r="H466">
        <v>36</v>
      </c>
      <c r="I466">
        <v>73</v>
      </c>
      <c r="J466">
        <v>42</v>
      </c>
      <c r="K466" s="4">
        <v>28012.74</v>
      </c>
      <c r="L466" s="4">
        <v>352.28571428571428</v>
      </c>
      <c r="M466" s="4">
        <v>0.11922141119221412</v>
      </c>
      <c r="N466" t="s">
        <v>25</v>
      </c>
      <c r="O466" t="str">
        <f t="shared" si="70"/>
        <v>Low</v>
      </c>
      <c r="P466" t="str">
        <f t="shared" si="71"/>
        <v>Low</v>
      </c>
      <c r="Q466" t="str">
        <f t="shared" si="72"/>
        <v>Low</v>
      </c>
      <c r="R466" t="s">
        <v>3317</v>
      </c>
      <c r="S466" s="4">
        <f t="shared" ca="1" si="73"/>
        <v>778</v>
      </c>
      <c r="T466">
        <f t="shared" si="74"/>
        <v>1</v>
      </c>
      <c r="U466">
        <f t="shared" si="75"/>
        <v>1</v>
      </c>
      <c r="V466">
        <f t="shared" si="76"/>
        <v>1</v>
      </c>
      <c r="W466">
        <f t="shared" si="77"/>
        <v>1</v>
      </c>
      <c r="X466">
        <f t="shared" si="78"/>
        <v>0.99999999999999989</v>
      </c>
      <c r="Y466" t="str">
        <f t="shared" si="79"/>
        <v>Healthy</v>
      </c>
    </row>
    <row r="467" spans="1:25" x14ac:dyDescent="0.35">
      <c r="A467" t="s">
        <v>41</v>
      </c>
      <c r="B467" t="s">
        <v>54</v>
      </c>
      <c r="C467" t="s">
        <v>87</v>
      </c>
      <c r="D467" t="s">
        <v>335</v>
      </c>
      <c r="E467">
        <v>80896343</v>
      </c>
      <c r="F467" t="s">
        <v>489</v>
      </c>
      <c r="G467" s="3">
        <v>47152</v>
      </c>
      <c r="H467">
        <v>36</v>
      </c>
      <c r="I467">
        <v>89</v>
      </c>
      <c r="J467">
        <v>8</v>
      </c>
      <c r="K467" s="4">
        <v>3344.16</v>
      </c>
      <c r="L467" s="4">
        <v>281.85714285714283</v>
      </c>
      <c r="M467" s="4">
        <v>2.838317283324886E-2</v>
      </c>
      <c r="N467" t="s">
        <v>25</v>
      </c>
      <c r="O467" t="str">
        <f t="shared" si="70"/>
        <v>Low</v>
      </c>
      <c r="P467" t="str">
        <f t="shared" si="71"/>
        <v>Low</v>
      </c>
      <c r="Q467" t="str">
        <f t="shared" si="72"/>
        <v>Low</v>
      </c>
      <c r="R467" t="s">
        <v>3317</v>
      </c>
      <c r="S467" s="4">
        <f t="shared" ca="1" si="73"/>
        <v>955</v>
      </c>
      <c r="T467">
        <f t="shared" si="74"/>
        <v>1</v>
      </c>
      <c r="U467">
        <f t="shared" si="75"/>
        <v>1</v>
      </c>
      <c r="V467">
        <f t="shared" si="76"/>
        <v>1</v>
      </c>
      <c r="W467">
        <f t="shared" si="77"/>
        <v>1</v>
      </c>
      <c r="X467">
        <f t="shared" si="78"/>
        <v>0.99999999999999989</v>
      </c>
      <c r="Y467" t="str">
        <f t="shared" si="79"/>
        <v>Healthy</v>
      </c>
    </row>
    <row r="468" spans="1:25" x14ac:dyDescent="0.35">
      <c r="A468" t="s">
        <v>14</v>
      </c>
      <c r="B468" t="s">
        <v>115</v>
      </c>
      <c r="C468" t="s">
        <v>116</v>
      </c>
      <c r="D468" t="s">
        <v>490</v>
      </c>
      <c r="E468">
        <v>80853942</v>
      </c>
      <c r="F468" t="s">
        <v>491</v>
      </c>
      <c r="G468" s="3">
        <v>47762</v>
      </c>
      <c r="H468">
        <v>60</v>
      </c>
      <c r="I468">
        <v>87</v>
      </c>
      <c r="J468">
        <v>1620</v>
      </c>
      <c r="K468" s="4">
        <v>35915.4</v>
      </c>
      <c r="L468" s="4">
        <v>23297.142857142859</v>
      </c>
      <c r="M468" s="4">
        <v>6.9536423841059597E-2</v>
      </c>
      <c r="N468" t="s">
        <v>25</v>
      </c>
      <c r="O468" t="str">
        <f t="shared" si="70"/>
        <v>Low</v>
      </c>
      <c r="P468" t="str">
        <f t="shared" si="71"/>
        <v>Low</v>
      </c>
      <c r="Q468" t="str">
        <f t="shared" si="72"/>
        <v>Low</v>
      </c>
      <c r="R468" t="s">
        <v>3317</v>
      </c>
      <c r="S468" s="4">
        <f t="shared" ca="1" si="73"/>
        <v>1565</v>
      </c>
      <c r="T468">
        <f t="shared" si="74"/>
        <v>1</v>
      </c>
      <c r="U468">
        <f t="shared" si="75"/>
        <v>1</v>
      </c>
      <c r="V468">
        <f t="shared" si="76"/>
        <v>1</v>
      </c>
      <c r="W468">
        <f t="shared" si="77"/>
        <v>1</v>
      </c>
      <c r="X468">
        <f t="shared" si="78"/>
        <v>0.99999999999999989</v>
      </c>
      <c r="Y468" t="str">
        <f t="shared" si="79"/>
        <v>Healthy</v>
      </c>
    </row>
    <row r="469" spans="1:25" x14ac:dyDescent="0.35">
      <c r="A469" t="s">
        <v>41</v>
      </c>
      <c r="B469" t="s">
        <v>54</v>
      </c>
      <c r="C469" t="s">
        <v>87</v>
      </c>
      <c r="D469" t="s">
        <v>335</v>
      </c>
      <c r="E469">
        <v>80896343</v>
      </c>
      <c r="F469" t="s">
        <v>489</v>
      </c>
      <c r="G469" s="3">
        <v>47104</v>
      </c>
      <c r="H469">
        <v>36</v>
      </c>
      <c r="I469">
        <v>84</v>
      </c>
      <c r="J469">
        <v>12</v>
      </c>
      <c r="K469" s="4">
        <v>5016.24</v>
      </c>
      <c r="L469" s="4">
        <v>281.85714285714283</v>
      </c>
      <c r="M469" s="4">
        <v>4.2574759249873292E-2</v>
      </c>
      <c r="N469" t="s">
        <v>25</v>
      </c>
      <c r="O469" t="str">
        <f t="shared" si="70"/>
        <v>Low</v>
      </c>
      <c r="P469" t="str">
        <f t="shared" si="71"/>
        <v>Low</v>
      </c>
      <c r="Q469" t="str">
        <f t="shared" si="72"/>
        <v>Low</v>
      </c>
      <c r="R469" t="s">
        <v>3317</v>
      </c>
      <c r="S469" s="4">
        <f t="shared" ca="1" si="73"/>
        <v>907</v>
      </c>
      <c r="T469">
        <f t="shared" si="74"/>
        <v>1</v>
      </c>
      <c r="U469">
        <f t="shared" si="75"/>
        <v>1</v>
      </c>
      <c r="V469">
        <f t="shared" si="76"/>
        <v>1</v>
      </c>
      <c r="W469">
        <f t="shared" si="77"/>
        <v>1</v>
      </c>
      <c r="X469">
        <f t="shared" si="78"/>
        <v>0.99999999999999989</v>
      </c>
      <c r="Y469" t="str">
        <f t="shared" si="79"/>
        <v>Healthy</v>
      </c>
    </row>
    <row r="470" spans="1:25" x14ac:dyDescent="0.35">
      <c r="A470" t="s">
        <v>14</v>
      </c>
      <c r="B470" t="s">
        <v>115</v>
      </c>
      <c r="C470" t="s">
        <v>116</v>
      </c>
      <c r="D470" t="s">
        <v>490</v>
      </c>
      <c r="E470">
        <v>80853942</v>
      </c>
      <c r="F470" t="s">
        <v>491</v>
      </c>
      <c r="G470" s="3">
        <v>47871</v>
      </c>
      <c r="H470">
        <v>60</v>
      </c>
      <c r="I470">
        <v>93</v>
      </c>
      <c r="J470">
        <v>5400</v>
      </c>
      <c r="K470" s="4">
        <v>119718</v>
      </c>
      <c r="L470" s="4">
        <v>23297.142857142859</v>
      </c>
      <c r="M470" s="4">
        <v>0.23178807947019867</v>
      </c>
      <c r="N470" t="s">
        <v>25</v>
      </c>
      <c r="O470" t="str">
        <f t="shared" si="70"/>
        <v>Low</v>
      </c>
      <c r="P470" t="str">
        <f t="shared" si="71"/>
        <v>Low</v>
      </c>
      <c r="Q470" t="str">
        <f t="shared" si="72"/>
        <v>Low</v>
      </c>
      <c r="R470" t="s">
        <v>3310</v>
      </c>
      <c r="S470" s="4">
        <f t="shared" ca="1" si="73"/>
        <v>1674</v>
      </c>
      <c r="T470">
        <f t="shared" si="74"/>
        <v>1</v>
      </c>
      <c r="U470">
        <f t="shared" si="75"/>
        <v>1</v>
      </c>
      <c r="V470">
        <f t="shared" si="76"/>
        <v>1</v>
      </c>
      <c r="W470">
        <f t="shared" si="77"/>
        <v>2</v>
      </c>
      <c r="X470">
        <f t="shared" si="78"/>
        <v>1.0999999999999999</v>
      </c>
      <c r="Y470" t="str">
        <f t="shared" si="79"/>
        <v>Healthy</v>
      </c>
    </row>
    <row r="471" spans="1:25" x14ac:dyDescent="0.35">
      <c r="A471" t="s">
        <v>41</v>
      </c>
      <c r="B471" t="s">
        <v>54</v>
      </c>
      <c r="C471" t="s">
        <v>87</v>
      </c>
      <c r="D471" t="s">
        <v>335</v>
      </c>
      <c r="E471">
        <v>80896343</v>
      </c>
      <c r="F471" t="s">
        <v>489</v>
      </c>
      <c r="G471" s="3">
        <v>47063</v>
      </c>
      <c r="H471">
        <v>36</v>
      </c>
      <c r="I471">
        <v>81</v>
      </c>
      <c r="J471">
        <v>7</v>
      </c>
      <c r="K471" s="4">
        <v>2926.14</v>
      </c>
      <c r="L471" s="4">
        <v>281.85714285714283</v>
      </c>
      <c r="M471" s="4">
        <v>2.4835276229092755E-2</v>
      </c>
      <c r="N471" t="s">
        <v>25</v>
      </c>
      <c r="O471" t="str">
        <f t="shared" si="70"/>
        <v>Low</v>
      </c>
      <c r="P471" t="str">
        <f t="shared" si="71"/>
        <v>Low</v>
      </c>
      <c r="Q471" t="str">
        <f t="shared" si="72"/>
        <v>Low</v>
      </c>
      <c r="R471" t="s">
        <v>3317</v>
      </c>
      <c r="S471" s="4">
        <f t="shared" ca="1" si="73"/>
        <v>866</v>
      </c>
      <c r="T471">
        <f t="shared" si="74"/>
        <v>1</v>
      </c>
      <c r="U471">
        <f t="shared" si="75"/>
        <v>1</v>
      </c>
      <c r="V471">
        <f t="shared" si="76"/>
        <v>1</v>
      </c>
      <c r="W471">
        <f t="shared" si="77"/>
        <v>1</v>
      </c>
      <c r="X471">
        <f t="shared" si="78"/>
        <v>0.99999999999999989</v>
      </c>
      <c r="Y471" t="str">
        <f t="shared" si="79"/>
        <v>Healthy</v>
      </c>
    </row>
    <row r="472" spans="1:25" x14ac:dyDescent="0.35">
      <c r="A472" t="s">
        <v>14</v>
      </c>
      <c r="B472" t="s">
        <v>115</v>
      </c>
      <c r="C472" t="s">
        <v>116</v>
      </c>
      <c r="D472" t="s">
        <v>490</v>
      </c>
      <c r="E472">
        <v>80853942</v>
      </c>
      <c r="F472" t="s">
        <v>491</v>
      </c>
      <c r="G472" s="3">
        <v>47825</v>
      </c>
      <c r="H472">
        <v>60</v>
      </c>
      <c r="I472">
        <v>91</v>
      </c>
      <c r="J472">
        <v>8100</v>
      </c>
      <c r="K472" s="4">
        <v>179577</v>
      </c>
      <c r="L472" s="4">
        <v>23297.142857142859</v>
      </c>
      <c r="M472" s="4">
        <v>0.34768211920529801</v>
      </c>
      <c r="N472" t="s">
        <v>25</v>
      </c>
      <c r="O472" t="str">
        <f t="shared" si="70"/>
        <v>Low</v>
      </c>
      <c r="P472" t="str">
        <f t="shared" si="71"/>
        <v>Low</v>
      </c>
      <c r="Q472" t="str">
        <f t="shared" si="72"/>
        <v>Low</v>
      </c>
      <c r="R472" t="s">
        <v>3309</v>
      </c>
      <c r="S472" s="4">
        <f t="shared" ca="1" si="73"/>
        <v>1628</v>
      </c>
      <c r="T472">
        <f t="shared" si="74"/>
        <v>1</v>
      </c>
      <c r="U472">
        <f t="shared" si="75"/>
        <v>1</v>
      </c>
      <c r="V472">
        <f t="shared" si="76"/>
        <v>1</v>
      </c>
      <c r="W472">
        <f t="shared" si="77"/>
        <v>3</v>
      </c>
      <c r="X472">
        <f t="shared" si="78"/>
        <v>1.2</v>
      </c>
      <c r="Y472" t="str">
        <f t="shared" si="79"/>
        <v>Healthy</v>
      </c>
    </row>
    <row r="473" spans="1:25" x14ac:dyDescent="0.35">
      <c r="A473" t="s">
        <v>179</v>
      </c>
      <c r="B473" t="s">
        <v>195</v>
      </c>
      <c r="C473" t="s">
        <v>199</v>
      </c>
      <c r="D473" t="s">
        <v>492</v>
      </c>
      <c r="E473">
        <v>83900930</v>
      </c>
      <c r="F473" t="s">
        <v>493</v>
      </c>
      <c r="G473" s="3">
        <v>46456</v>
      </c>
      <c r="H473">
        <v>16</v>
      </c>
      <c r="I473">
        <v>55</v>
      </c>
      <c r="J473">
        <v>6</v>
      </c>
      <c r="K473" s="4">
        <v>7727.76</v>
      </c>
      <c r="L473" s="4">
        <v>1432.7142857142858</v>
      </c>
      <c r="M473" s="4">
        <v>4.187855219862399E-3</v>
      </c>
      <c r="N473" t="s">
        <v>25</v>
      </c>
      <c r="O473" t="str">
        <f t="shared" si="70"/>
        <v>Low</v>
      </c>
      <c r="P473" t="str">
        <f t="shared" si="71"/>
        <v>Low</v>
      </c>
      <c r="Q473" t="str">
        <f t="shared" si="72"/>
        <v>Low</v>
      </c>
      <c r="R473" t="s">
        <v>3317</v>
      </c>
      <c r="S473" s="4">
        <f t="shared" ca="1" si="73"/>
        <v>259</v>
      </c>
      <c r="T473">
        <f t="shared" si="74"/>
        <v>1</v>
      </c>
      <c r="U473">
        <f t="shared" si="75"/>
        <v>1</v>
      </c>
      <c r="V473">
        <f t="shared" si="76"/>
        <v>1</v>
      </c>
      <c r="W473">
        <f t="shared" si="77"/>
        <v>1</v>
      </c>
      <c r="X473">
        <f t="shared" si="78"/>
        <v>0.99999999999999989</v>
      </c>
      <c r="Y473" t="str">
        <f t="shared" si="79"/>
        <v>Healthy</v>
      </c>
    </row>
    <row r="474" spans="1:25" x14ac:dyDescent="0.35">
      <c r="A474" t="s">
        <v>179</v>
      </c>
      <c r="B474" t="s">
        <v>195</v>
      </c>
      <c r="C474" t="s">
        <v>199</v>
      </c>
      <c r="D474" t="s">
        <v>492</v>
      </c>
      <c r="E474">
        <v>83900930</v>
      </c>
      <c r="F474" t="s">
        <v>493</v>
      </c>
      <c r="G474" s="3">
        <v>46453</v>
      </c>
      <c r="H474">
        <v>16</v>
      </c>
      <c r="I474">
        <v>54</v>
      </c>
      <c r="J474">
        <v>1</v>
      </c>
      <c r="K474" s="4">
        <v>1287.96</v>
      </c>
      <c r="L474" s="4">
        <v>1432.7142857142858</v>
      </c>
      <c r="M474" s="4">
        <v>6.979758699770665E-4</v>
      </c>
      <c r="N474" t="s">
        <v>25</v>
      </c>
      <c r="O474" t="str">
        <f t="shared" si="70"/>
        <v>Low</v>
      </c>
      <c r="P474" t="str">
        <f t="shared" si="71"/>
        <v>Low</v>
      </c>
      <c r="Q474" t="str">
        <f t="shared" si="72"/>
        <v>Low</v>
      </c>
      <c r="R474" t="s">
        <v>3317</v>
      </c>
      <c r="S474" s="4">
        <f t="shared" ca="1" si="73"/>
        <v>256</v>
      </c>
      <c r="T474">
        <f t="shared" si="74"/>
        <v>1</v>
      </c>
      <c r="U474">
        <f t="shared" si="75"/>
        <v>1</v>
      </c>
      <c r="V474">
        <f t="shared" si="76"/>
        <v>1</v>
      </c>
      <c r="W474">
        <f t="shared" si="77"/>
        <v>1</v>
      </c>
      <c r="X474">
        <f t="shared" si="78"/>
        <v>0.99999999999999989</v>
      </c>
      <c r="Y474" t="str">
        <f t="shared" si="79"/>
        <v>Healthy</v>
      </c>
    </row>
    <row r="475" spans="1:25" x14ac:dyDescent="0.35">
      <c r="A475" t="s">
        <v>179</v>
      </c>
      <c r="B475" t="s">
        <v>195</v>
      </c>
      <c r="C475" t="s">
        <v>199</v>
      </c>
      <c r="D475" t="s">
        <v>492</v>
      </c>
      <c r="E475">
        <v>83900930</v>
      </c>
      <c r="F475" t="s">
        <v>493</v>
      </c>
      <c r="G475" s="3">
        <v>46457</v>
      </c>
      <c r="H475">
        <v>16</v>
      </c>
      <c r="I475">
        <v>55</v>
      </c>
      <c r="J475">
        <v>1</v>
      </c>
      <c r="K475" s="4">
        <v>1287.96</v>
      </c>
      <c r="L475" s="4">
        <v>1432.7142857142858</v>
      </c>
      <c r="M475" s="4">
        <v>6.979758699770665E-4</v>
      </c>
      <c r="N475" t="s">
        <v>25</v>
      </c>
      <c r="O475" t="str">
        <f t="shared" si="70"/>
        <v>Low</v>
      </c>
      <c r="P475" t="str">
        <f t="shared" si="71"/>
        <v>Low</v>
      </c>
      <c r="Q475" t="str">
        <f t="shared" si="72"/>
        <v>Low</v>
      </c>
      <c r="R475" t="s">
        <v>3317</v>
      </c>
      <c r="S475" s="4">
        <f t="shared" ca="1" si="73"/>
        <v>260</v>
      </c>
      <c r="T475">
        <f t="shared" si="74"/>
        <v>1</v>
      </c>
      <c r="U475">
        <f t="shared" si="75"/>
        <v>1</v>
      </c>
      <c r="V475">
        <f t="shared" si="76"/>
        <v>1</v>
      </c>
      <c r="W475">
        <f t="shared" si="77"/>
        <v>1</v>
      </c>
      <c r="X475">
        <f t="shared" si="78"/>
        <v>0.99999999999999989</v>
      </c>
      <c r="Y475" t="str">
        <f t="shared" si="79"/>
        <v>Healthy</v>
      </c>
    </row>
    <row r="476" spans="1:25" x14ac:dyDescent="0.35">
      <c r="A476" t="s">
        <v>41</v>
      </c>
      <c r="B476" t="s">
        <v>54</v>
      </c>
      <c r="C476" t="s">
        <v>87</v>
      </c>
      <c r="D476" t="s">
        <v>494</v>
      </c>
      <c r="E476">
        <v>80896354</v>
      </c>
      <c r="F476" t="s">
        <v>495</v>
      </c>
      <c r="G476" s="3">
        <v>47191</v>
      </c>
      <c r="H476">
        <v>36</v>
      </c>
      <c r="I476">
        <v>93</v>
      </c>
      <c r="J476">
        <v>3</v>
      </c>
      <c r="K476" s="4">
        <v>1254.06</v>
      </c>
      <c r="L476" s="4">
        <v>463.57142857142856</v>
      </c>
      <c r="M476" s="4">
        <v>6.4714946070878274E-3</v>
      </c>
      <c r="N476" t="s">
        <v>25</v>
      </c>
      <c r="O476" t="str">
        <f t="shared" si="70"/>
        <v>Low</v>
      </c>
      <c r="P476" t="str">
        <f t="shared" si="71"/>
        <v>Low</v>
      </c>
      <c r="Q476" t="str">
        <f t="shared" si="72"/>
        <v>Low</v>
      </c>
      <c r="R476" t="s">
        <v>3317</v>
      </c>
      <c r="S476" s="4">
        <f t="shared" ca="1" si="73"/>
        <v>994</v>
      </c>
      <c r="T476">
        <f t="shared" si="74"/>
        <v>1</v>
      </c>
      <c r="U476">
        <f t="shared" si="75"/>
        <v>1</v>
      </c>
      <c r="V476">
        <f t="shared" si="76"/>
        <v>1</v>
      </c>
      <c r="W476">
        <f t="shared" si="77"/>
        <v>1</v>
      </c>
      <c r="X476">
        <f t="shared" si="78"/>
        <v>0.99999999999999989</v>
      </c>
      <c r="Y476" t="str">
        <f t="shared" si="79"/>
        <v>Healthy</v>
      </c>
    </row>
    <row r="477" spans="1:25" x14ac:dyDescent="0.35">
      <c r="A477" t="s">
        <v>41</v>
      </c>
      <c r="B477" t="s">
        <v>54</v>
      </c>
      <c r="C477" t="s">
        <v>87</v>
      </c>
      <c r="D477" t="s">
        <v>494</v>
      </c>
      <c r="E477">
        <v>80896354</v>
      </c>
      <c r="F477" t="s">
        <v>495</v>
      </c>
      <c r="G477" s="3">
        <v>47104</v>
      </c>
      <c r="H477">
        <v>36</v>
      </c>
      <c r="I477">
        <v>84</v>
      </c>
      <c r="J477">
        <v>4</v>
      </c>
      <c r="K477" s="4">
        <v>1672.08</v>
      </c>
      <c r="L477" s="4">
        <v>463.57142857142856</v>
      </c>
      <c r="M477" s="4">
        <v>8.6286594761171044E-3</v>
      </c>
      <c r="N477" t="s">
        <v>25</v>
      </c>
      <c r="O477" t="str">
        <f t="shared" si="70"/>
        <v>Low</v>
      </c>
      <c r="P477" t="str">
        <f t="shared" si="71"/>
        <v>Low</v>
      </c>
      <c r="Q477" t="str">
        <f t="shared" si="72"/>
        <v>Low</v>
      </c>
      <c r="R477" t="s">
        <v>3317</v>
      </c>
      <c r="S477" s="4">
        <f t="shared" ca="1" si="73"/>
        <v>907</v>
      </c>
      <c r="T477">
        <f t="shared" si="74"/>
        <v>1</v>
      </c>
      <c r="U477">
        <f t="shared" si="75"/>
        <v>1</v>
      </c>
      <c r="V477">
        <f t="shared" si="76"/>
        <v>1</v>
      </c>
      <c r="W477">
        <f t="shared" si="77"/>
        <v>1</v>
      </c>
      <c r="X477">
        <f t="shared" si="78"/>
        <v>0.99999999999999989</v>
      </c>
      <c r="Y477" t="str">
        <f t="shared" si="79"/>
        <v>Healthy</v>
      </c>
    </row>
    <row r="478" spans="1:25" x14ac:dyDescent="0.35">
      <c r="A478" t="s">
        <v>179</v>
      </c>
      <c r="B478" t="s">
        <v>195</v>
      </c>
      <c r="C478" t="s">
        <v>199</v>
      </c>
      <c r="D478" t="s">
        <v>492</v>
      </c>
      <c r="E478">
        <v>83900930</v>
      </c>
      <c r="F478" t="s">
        <v>493</v>
      </c>
      <c r="G478" s="3">
        <v>46457</v>
      </c>
      <c r="H478">
        <v>16</v>
      </c>
      <c r="I478">
        <v>55</v>
      </c>
      <c r="J478">
        <v>4</v>
      </c>
      <c r="K478" s="4">
        <v>5151.84</v>
      </c>
      <c r="L478" s="4">
        <v>1432.7142857142858</v>
      </c>
      <c r="M478" s="4">
        <v>2.791903479908266E-3</v>
      </c>
      <c r="N478" t="s">
        <v>25</v>
      </c>
      <c r="O478" t="str">
        <f t="shared" si="70"/>
        <v>Low</v>
      </c>
      <c r="P478" t="str">
        <f t="shared" si="71"/>
        <v>Low</v>
      </c>
      <c r="Q478" t="str">
        <f t="shared" si="72"/>
        <v>Low</v>
      </c>
      <c r="R478" t="s">
        <v>3317</v>
      </c>
      <c r="S478" s="4">
        <f t="shared" ca="1" si="73"/>
        <v>260</v>
      </c>
      <c r="T478">
        <f t="shared" si="74"/>
        <v>1</v>
      </c>
      <c r="U478">
        <f t="shared" si="75"/>
        <v>1</v>
      </c>
      <c r="V478">
        <f t="shared" si="76"/>
        <v>1</v>
      </c>
      <c r="W478">
        <f t="shared" si="77"/>
        <v>1</v>
      </c>
      <c r="X478">
        <f t="shared" si="78"/>
        <v>0.99999999999999989</v>
      </c>
      <c r="Y478" t="str">
        <f t="shared" si="79"/>
        <v>Healthy</v>
      </c>
    </row>
    <row r="479" spans="1:25" x14ac:dyDescent="0.35">
      <c r="A479" t="s">
        <v>41</v>
      </c>
      <c r="B479" t="s">
        <v>54</v>
      </c>
      <c r="C479" t="s">
        <v>87</v>
      </c>
      <c r="D479" t="s">
        <v>494</v>
      </c>
      <c r="E479">
        <v>80896354</v>
      </c>
      <c r="F479" t="s">
        <v>495</v>
      </c>
      <c r="G479" s="3">
        <v>47139</v>
      </c>
      <c r="H479">
        <v>36</v>
      </c>
      <c r="I479">
        <v>88</v>
      </c>
      <c r="J479">
        <v>6</v>
      </c>
      <c r="K479" s="4">
        <v>2508.12</v>
      </c>
      <c r="L479" s="4">
        <v>463.57142857142856</v>
      </c>
      <c r="M479" s="4">
        <v>1.2942989214175655E-2</v>
      </c>
      <c r="N479" t="s">
        <v>25</v>
      </c>
      <c r="O479" t="str">
        <f t="shared" si="70"/>
        <v>Low</v>
      </c>
      <c r="P479" t="str">
        <f t="shared" si="71"/>
        <v>Low</v>
      </c>
      <c r="Q479" t="str">
        <f t="shared" si="72"/>
        <v>Low</v>
      </c>
      <c r="R479" t="s">
        <v>3317</v>
      </c>
      <c r="S479" s="4">
        <f t="shared" ca="1" si="73"/>
        <v>942</v>
      </c>
      <c r="T479">
        <f t="shared" si="74"/>
        <v>1</v>
      </c>
      <c r="U479">
        <f t="shared" si="75"/>
        <v>1</v>
      </c>
      <c r="V479">
        <f t="shared" si="76"/>
        <v>1</v>
      </c>
      <c r="W479">
        <f t="shared" si="77"/>
        <v>1</v>
      </c>
      <c r="X479">
        <f t="shared" si="78"/>
        <v>0.99999999999999989</v>
      </c>
      <c r="Y479" t="str">
        <f t="shared" si="79"/>
        <v>Healthy</v>
      </c>
    </row>
    <row r="480" spans="1:25" x14ac:dyDescent="0.35">
      <c r="A480" t="s">
        <v>179</v>
      </c>
      <c r="B480" t="s">
        <v>195</v>
      </c>
      <c r="C480" t="s">
        <v>199</v>
      </c>
      <c r="D480" t="s">
        <v>496</v>
      </c>
      <c r="E480">
        <v>83900932</v>
      </c>
      <c r="F480" t="s">
        <v>497</v>
      </c>
      <c r="G480" s="3">
        <v>46481</v>
      </c>
      <c r="H480">
        <v>16</v>
      </c>
      <c r="I480">
        <v>60</v>
      </c>
      <c r="J480">
        <v>2</v>
      </c>
      <c r="K480" s="4">
        <v>2807.02</v>
      </c>
      <c r="L480" s="4">
        <v>1996.1428571428571</v>
      </c>
      <c r="M480" s="4">
        <v>1.001932298003292E-3</v>
      </c>
      <c r="N480" t="s">
        <v>25</v>
      </c>
      <c r="O480" t="str">
        <f t="shared" si="70"/>
        <v>Low</v>
      </c>
      <c r="P480" t="str">
        <f t="shared" si="71"/>
        <v>Low</v>
      </c>
      <c r="Q480" t="str">
        <f t="shared" si="72"/>
        <v>Low</v>
      </c>
      <c r="R480" t="s">
        <v>3317</v>
      </c>
      <c r="S480" s="4">
        <f t="shared" ca="1" si="73"/>
        <v>284</v>
      </c>
      <c r="T480">
        <f t="shared" si="74"/>
        <v>1</v>
      </c>
      <c r="U480">
        <f t="shared" si="75"/>
        <v>1</v>
      </c>
      <c r="V480">
        <f t="shared" si="76"/>
        <v>1</v>
      </c>
      <c r="W480">
        <f t="shared" si="77"/>
        <v>1</v>
      </c>
      <c r="X480">
        <f t="shared" si="78"/>
        <v>0.99999999999999989</v>
      </c>
      <c r="Y480" t="str">
        <f t="shared" si="79"/>
        <v>Healthy</v>
      </c>
    </row>
    <row r="481" spans="1:25" x14ac:dyDescent="0.35">
      <c r="A481" t="s">
        <v>41</v>
      </c>
      <c r="B481" t="s">
        <v>54</v>
      </c>
      <c r="C481" t="s">
        <v>55</v>
      </c>
      <c r="D481" t="s">
        <v>498</v>
      </c>
      <c r="E481">
        <v>80880922</v>
      </c>
      <c r="F481" t="s">
        <v>499</v>
      </c>
      <c r="G481" s="3">
        <v>47063</v>
      </c>
      <c r="H481">
        <v>36</v>
      </c>
      <c r="I481">
        <v>81</v>
      </c>
      <c r="J481">
        <v>6</v>
      </c>
      <c r="K481" s="4">
        <v>2094.48</v>
      </c>
      <c r="L481" s="4">
        <v>15.428571428571429</v>
      </c>
      <c r="M481" s="4">
        <v>0.3888888888888889</v>
      </c>
      <c r="N481" t="s">
        <v>25</v>
      </c>
      <c r="O481" t="str">
        <f t="shared" si="70"/>
        <v>Low</v>
      </c>
      <c r="P481" t="str">
        <f t="shared" si="71"/>
        <v>Low</v>
      </c>
      <c r="Q481" t="str">
        <f t="shared" si="72"/>
        <v>Low</v>
      </c>
      <c r="R481" t="s">
        <v>3317</v>
      </c>
      <c r="S481" s="4">
        <f t="shared" ca="1" si="73"/>
        <v>866</v>
      </c>
      <c r="T481">
        <f t="shared" si="74"/>
        <v>1</v>
      </c>
      <c r="U481">
        <f t="shared" si="75"/>
        <v>1</v>
      </c>
      <c r="V481">
        <f t="shared" si="76"/>
        <v>1</v>
      </c>
      <c r="W481">
        <f t="shared" si="77"/>
        <v>1</v>
      </c>
      <c r="X481">
        <f t="shared" si="78"/>
        <v>0.99999999999999989</v>
      </c>
      <c r="Y481" t="str">
        <f t="shared" si="79"/>
        <v>Healthy</v>
      </c>
    </row>
    <row r="482" spans="1:25" x14ac:dyDescent="0.35">
      <c r="A482" t="s">
        <v>41</v>
      </c>
      <c r="B482" t="s">
        <v>54</v>
      </c>
      <c r="C482" t="s">
        <v>55</v>
      </c>
      <c r="D482" t="s">
        <v>500</v>
      </c>
      <c r="E482">
        <v>80895911</v>
      </c>
      <c r="F482" t="s">
        <v>501</v>
      </c>
      <c r="G482" s="3">
        <v>47063</v>
      </c>
      <c r="H482">
        <v>36</v>
      </c>
      <c r="I482">
        <v>81</v>
      </c>
      <c r="J482">
        <v>66</v>
      </c>
      <c r="K482" s="4">
        <v>23039.279999999999</v>
      </c>
      <c r="L482" s="4">
        <v>23.142857142857142</v>
      </c>
      <c r="M482" s="4">
        <v>2.8518518518518521</v>
      </c>
      <c r="N482" t="s">
        <v>25</v>
      </c>
      <c r="O482" t="str">
        <f t="shared" si="70"/>
        <v>Low</v>
      </c>
      <c r="P482" t="str">
        <f t="shared" si="71"/>
        <v>Low</v>
      </c>
      <c r="Q482" t="str">
        <f t="shared" si="72"/>
        <v>Low</v>
      </c>
      <c r="R482" t="s">
        <v>3317</v>
      </c>
      <c r="S482" s="4">
        <f t="shared" ca="1" si="73"/>
        <v>866</v>
      </c>
      <c r="T482">
        <f t="shared" si="74"/>
        <v>1</v>
      </c>
      <c r="U482">
        <f t="shared" si="75"/>
        <v>1</v>
      </c>
      <c r="V482">
        <f t="shared" si="76"/>
        <v>1</v>
      </c>
      <c r="W482">
        <f t="shared" si="77"/>
        <v>1</v>
      </c>
      <c r="X482">
        <f t="shared" si="78"/>
        <v>0.99999999999999989</v>
      </c>
      <c r="Y482" t="str">
        <f t="shared" si="79"/>
        <v>Healthy</v>
      </c>
    </row>
    <row r="483" spans="1:25" x14ac:dyDescent="0.35">
      <c r="A483" t="s">
        <v>41</v>
      </c>
      <c r="B483" t="s">
        <v>80</v>
      </c>
      <c r="C483" t="s">
        <v>502</v>
      </c>
      <c r="D483" t="s">
        <v>503</v>
      </c>
      <c r="E483">
        <v>80896313</v>
      </c>
      <c r="F483" t="s">
        <v>504</v>
      </c>
      <c r="G483" s="3">
        <v>47210</v>
      </c>
      <c r="H483">
        <v>36</v>
      </c>
      <c r="I483">
        <v>94</v>
      </c>
      <c r="J483">
        <v>2</v>
      </c>
      <c r="K483" s="4">
        <v>935.98</v>
      </c>
      <c r="L483" s="4">
        <v>727.71428571428567</v>
      </c>
      <c r="M483" s="4">
        <v>2.7483313702394976E-3</v>
      </c>
      <c r="N483" t="s">
        <v>25</v>
      </c>
      <c r="O483" t="str">
        <f t="shared" si="70"/>
        <v>Low</v>
      </c>
      <c r="P483" t="str">
        <f t="shared" si="71"/>
        <v>Low</v>
      </c>
      <c r="Q483" t="str">
        <f t="shared" si="72"/>
        <v>Low</v>
      </c>
      <c r="R483" t="s">
        <v>3317</v>
      </c>
      <c r="S483" s="4">
        <f t="shared" ca="1" si="73"/>
        <v>1013</v>
      </c>
      <c r="T483">
        <f t="shared" si="74"/>
        <v>1</v>
      </c>
      <c r="U483">
        <f t="shared" si="75"/>
        <v>1</v>
      </c>
      <c r="V483">
        <f t="shared" si="76"/>
        <v>1</v>
      </c>
      <c r="W483">
        <f t="shared" si="77"/>
        <v>1</v>
      </c>
      <c r="X483">
        <f t="shared" si="78"/>
        <v>0.99999999999999989</v>
      </c>
      <c r="Y483" t="str">
        <f t="shared" si="79"/>
        <v>Healthy</v>
      </c>
    </row>
    <row r="484" spans="1:25" x14ac:dyDescent="0.35">
      <c r="A484" t="s">
        <v>179</v>
      </c>
      <c r="B484" t="s">
        <v>180</v>
      </c>
      <c r="C484" t="s">
        <v>181</v>
      </c>
      <c r="D484" t="s">
        <v>505</v>
      </c>
      <c r="E484">
        <v>83901664</v>
      </c>
      <c r="F484" t="s">
        <v>506</v>
      </c>
      <c r="G484" s="3">
        <v>46669</v>
      </c>
      <c r="H484">
        <v>16</v>
      </c>
      <c r="I484">
        <v>99</v>
      </c>
      <c r="J484">
        <v>1390</v>
      </c>
      <c r="K484" s="4">
        <v>814206.4</v>
      </c>
      <c r="L484" s="4">
        <v>5416.1428571428569</v>
      </c>
      <c r="M484" s="4">
        <v>0.25664020256903963</v>
      </c>
      <c r="N484" t="s">
        <v>25</v>
      </c>
      <c r="O484" t="str">
        <f t="shared" si="70"/>
        <v>Low</v>
      </c>
      <c r="P484" t="str">
        <f t="shared" si="71"/>
        <v>Low</v>
      </c>
      <c r="Q484" t="str">
        <f t="shared" si="72"/>
        <v>Low</v>
      </c>
      <c r="R484" t="s">
        <v>3309</v>
      </c>
      <c r="S484" s="4">
        <f t="shared" ca="1" si="73"/>
        <v>472</v>
      </c>
      <c r="T484">
        <f t="shared" si="74"/>
        <v>1</v>
      </c>
      <c r="U484">
        <f t="shared" si="75"/>
        <v>1</v>
      </c>
      <c r="V484">
        <f t="shared" si="76"/>
        <v>1</v>
      </c>
      <c r="W484">
        <f t="shared" si="77"/>
        <v>3</v>
      </c>
      <c r="X484">
        <f t="shared" si="78"/>
        <v>1.2</v>
      </c>
      <c r="Y484" t="str">
        <f t="shared" si="79"/>
        <v>Healthy</v>
      </c>
    </row>
    <row r="485" spans="1:25" x14ac:dyDescent="0.35">
      <c r="A485" t="s">
        <v>179</v>
      </c>
      <c r="B485" t="s">
        <v>180</v>
      </c>
      <c r="C485" t="s">
        <v>181</v>
      </c>
      <c r="D485" t="s">
        <v>505</v>
      </c>
      <c r="E485">
        <v>83901664</v>
      </c>
      <c r="F485" t="s">
        <v>506</v>
      </c>
      <c r="G485" s="3">
        <v>46666</v>
      </c>
      <c r="H485">
        <v>16</v>
      </c>
      <c r="I485">
        <v>99</v>
      </c>
      <c r="J485">
        <v>1626</v>
      </c>
      <c r="K485" s="4">
        <v>952445.76</v>
      </c>
      <c r="L485" s="4">
        <v>5416.1428571428569</v>
      </c>
      <c r="M485" s="4">
        <v>0.30021364703399889</v>
      </c>
      <c r="N485" t="s">
        <v>25</v>
      </c>
      <c r="O485" t="str">
        <f t="shared" si="70"/>
        <v>Low</v>
      </c>
      <c r="P485" t="str">
        <f t="shared" si="71"/>
        <v>Low</v>
      </c>
      <c r="Q485" t="str">
        <f t="shared" si="72"/>
        <v>Low</v>
      </c>
      <c r="R485" t="s">
        <v>3309</v>
      </c>
      <c r="S485" s="4">
        <f t="shared" ca="1" si="73"/>
        <v>469</v>
      </c>
      <c r="T485">
        <f t="shared" si="74"/>
        <v>1</v>
      </c>
      <c r="U485">
        <f t="shared" si="75"/>
        <v>1</v>
      </c>
      <c r="V485">
        <f t="shared" si="76"/>
        <v>1</v>
      </c>
      <c r="W485">
        <f t="shared" si="77"/>
        <v>3</v>
      </c>
      <c r="X485">
        <f t="shared" si="78"/>
        <v>1.2</v>
      </c>
      <c r="Y485" t="str">
        <f t="shared" si="79"/>
        <v>Healthy</v>
      </c>
    </row>
    <row r="486" spans="1:25" x14ac:dyDescent="0.35">
      <c r="A486" t="s">
        <v>41</v>
      </c>
      <c r="B486" t="s">
        <v>80</v>
      </c>
      <c r="C486" t="s">
        <v>502</v>
      </c>
      <c r="D486" t="s">
        <v>503</v>
      </c>
      <c r="E486">
        <v>80896313</v>
      </c>
      <c r="F486" t="s">
        <v>504</v>
      </c>
      <c r="G486" s="3">
        <v>47007</v>
      </c>
      <c r="H486">
        <v>36</v>
      </c>
      <c r="I486">
        <v>75</v>
      </c>
      <c r="J486">
        <v>258</v>
      </c>
      <c r="K486" s="4">
        <v>120741.42</v>
      </c>
      <c r="L486" s="4">
        <v>727.71428571428567</v>
      </c>
      <c r="M486" s="4">
        <v>0.35453474676089519</v>
      </c>
      <c r="N486" t="s">
        <v>25</v>
      </c>
      <c r="O486" t="str">
        <f t="shared" si="70"/>
        <v>Low</v>
      </c>
      <c r="P486" t="str">
        <f t="shared" si="71"/>
        <v>Low</v>
      </c>
      <c r="Q486" t="str">
        <f t="shared" si="72"/>
        <v>Low</v>
      </c>
      <c r="R486" t="s">
        <v>3310</v>
      </c>
      <c r="S486" s="4">
        <f t="shared" ca="1" si="73"/>
        <v>810</v>
      </c>
      <c r="T486">
        <f t="shared" si="74"/>
        <v>1</v>
      </c>
      <c r="U486">
        <f t="shared" si="75"/>
        <v>1</v>
      </c>
      <c r="V486">
        <f t="shared" si="76"/>
        <v>1</v>
      </c>
      <c r="W486">
        <f t="shared" si="77"/>
        <v>2</v>
      </c>
      <c r="X486">
        <f t="shared" si="78"/>
        <v>1.0999999999999999</v>
      </c>
      <c r="Y486" t="str">
        <f t="shared" si="79"/>
        <v>Healthy</v>
      </c>
    </row>
    <row r="487" spans="1:25" x14ac:dyDescent="0.35">
      <c r="A487" t="s">
        <v>41</v>
      </c>
      <c r="B487" t="s">
        <v>80</v>
      </c>
      <c r="C487" t="s">
        <v>502</v>
      </c>
      <c r="D487" t="s">
        <v>503</v>
      </c>
      <c r="E487">
        <v>80896313</v>
      </c>
      <c r="F487" t="s">
        <v>504</v>
      </c>
      <c r="G487" s="3">
        <v>47146</v>
      </c>
      <c r="H487">
        <v>36</v>
      </c>
      <c r="I487">
        <v>88</v>
      </c>
      <c r="J487">
        <v>264</v>
      </c>
      <c r="K487" s="4">
        <v>123549.36</v>
      </c>
      <c r="L487" s="4">
        <v>727.71428571428567</v>
      </c>
      <c r="M487" s="4">
        <v>0.36277974087161369</v>
      </c>
      <c r="N487" t="s">
        <v>25</v>
      </c>
      <c r="O487" t="str">
        <f t="shared" si="70"/>
        <v>Low</v>
      </c>
      <c r="P487" t="str">
        <f t="shared" si="71"/>
        <v>Low</v>
      </c>
      <c r="Q487" t="str">
        <f t="shared" si="72"/>
        <v>Low</v>
      </c>
      <c r="R487" t="s">
        <v>3310</v>
      </c>
      <c r="S487" s="4">
        <f t="shared" ca="1" si="73"/>
        <v>949</v>
      </c>
      <c r="T487">
        <f t="shared" si="74"/>
        <v>1</v>
      </c>
      <c r="U487">
        <f t="shared" si="75"/>
        <v>1</v>
      </c>
      <c r="V487">
        <f t="shared" si="76"/>
        <v>1</v>
      </c>
      <c r="W487">
        <f t="shared" si="77"/>
        <v>2</v>
      </c>
      <c r="X487">
        <f t="shared" si="78"/>
        <v>1.0999999999999999</v>
      </c>
      <c r="Y487" t="str">
        <f t="shared" si="79"/>
        <v>Healthy</v>
      </c>
    </row>
    <row r="488" spans="1:25" x14ac:dyDescent="0.35">
      <c r="A488" t="s">
        <v>41</v>
      </c>
      <c r="B488" t="s">
        <v>54</v>
      </c>
      <c r="C488" t="s">
        <v>87</v>
      </c>
      <c r="D488" t="s">
        <v>351</v>
      </c>
      <c r="E488">
        <v>80896333</v>
      </c>
      <c r="F488" t="s">
        <v>507</v>
      </c>
      <c r="G488" s="3">
        <v>47187</v>
      </c>
      <c r="H488">
        <v>36</v>
      </c>
      <c r="I488">
        <v>92</v>
      </c>
      <c r="J488">
        <v>37</v>
      </c>
      <c r="K488" s="4">
        <v>15466.74</v>
      </c>
      <c r="L488" s="4">
        <v>176.85714285714286</v>
      </c>
      <c r="M488" s="4">
        <v>0.20920840064620355</v>
      </c>
      <c r="N488" t="s">
        <v>25</v>
      </c>
      <c r="O488" t="str">
        <f t="shared" si="70"/>
        <v>Low</v>
      </c>
      <c r="P488" t="str">
        <f t="shared" si="71"/>
        <v>Low</v>
      </c>
      <c r="Q488" t="str">
        <f t="shared" si="72"/>
        <v>Low</v>
      </c>
      <c r="R488" t="s">
        <v>3317</v>
      </c>
      <c r="S488" s="4">
        <f t="shared" ca="1" si="73"/>
        <v>990</v>
      </c>
      <c r="T488">
        <f t="shared" si="74"/>
        <v>1</v>
      </c>
      <c r="U488">
        <f t="shared" si="75"/>
        <v>1</v>
      </c>
      <c r="V488">
        <f t="shared" si="76"/>
        <v>1</v>
      </c>
      <c r="W488">
        <f t="shared" si="77"/>
        <v>1</v>
      </c>
      <c r="X488">
        <f t="shared" si="78"/>
        <v>0.99999999999999989</v>
      </c>
      <c r="Y488" t="str">
        <f t="shared" si="79"/>
        <v>Healthy</v>
      </c>
    </row>
    <row r="489" spans="1:25" x14ac:dyDescent="0.35">
      <c r="A489" t="s">
        <v>179</v>
      </c>
      <c r="B489" t="s">
        <v>180</v>
      </c>
      <c r="C489" t="s">
        <v>181</v>
      </c>
      <c r="D489" t="s">
        <v>505</v>
      </c>
      <c r="E489">
        <v>83901664</v>
      </c>
      <c r="F489" t="s">
        <v>506</v>
      </c>
      <c r="G489" s="3">
        <v>46668</v>
      </c>
      <c r="H489">
        <v>16</v>
      </c>
      <c r="I489">
        <v>99</v>
      </c>
      <c r="J489">
        <v>256</v>
      </c>
      <c r="K489" s="4">
        <v>149954.56</v>
      </c>
      <c r="L489" s="4">
        <v>5416.1428571428569</v>
      </c>
      <c r="M489" s="4">
        <v>4.7266109250125289E-2</v>
      </c>
      <c r="N489" t="s">
        <v>25</v>
      </c>
      <c r="O489" t="str">
        <f t="shared" si="70"/>
        <v>Low</v>
      </c>
      <c r="P489" t="str">
        <f t="shared" si="71"/>
        <v>Low</v>
      </c>
      <c r="Q489" t="str">
        <f t="shared" si="72"/>
        <v>Low</v>
      </c>
      <c r="R489" t="s">
        <v>3309</v>
      </c>
      <c r="S489" s="4">
        <f t="shared" ca="1" si="73"/>
        <v>471</v>
      </c>
      <c r="T489">
        <f t="shared" si="74"/>
        <v>1</v>
      </c>
      <c r="U489">
        <f t="shared" si="75"/>
        <v>1</v>
      </c>
      <c r="V489">
        <f t="shared" si="76"/>
        <v>1</v>
      </c>
      <c r="W489">
        <f t="shared" si="77"/>
        <v>3</v>
      </c>
      <c r="X489">
        <f t="shared" si="78"/>
        <v>1.2</v>
      </c>
      <c r="Y489" t="str">
        <f t="shared" si="79"/>
        <v>Healthy</v>
      </c>
    </row>
    <row r="490" spans="1:25" x14ac:dyDescent="0.35">
      <c r="A490" t="s">
        <v>41</v>
      </c>
      <c r="B490" t="s">
        <v>42</v>
      </c>
      <c r="C490" t="s">
        <v>365</v>
      </c>
      <c r="D490" t="s">
        <v>508</v>
      </c>
      <c r="E490">
        <v>80896337</v>
      </c>
      <c r="F490" t="s">
        <v>509</v>
      </c>
      <c r="G490" s="3">
        <v>47103</v>
      </c>
      <c r="H490">
        <v>36</v>
      </c>
      <c r="I490">
        <v>84</v>
      </c>
      <c r="J490">
        <v>4</v>
      </c>
      <c r="K490" s="4">
        <v>1518.48</v>
      </c>
      <c r="L490" s="4">
        <v>158.57142857142858</v>
      </c>
      <c r="M490" s="4">
        <v>2.5225225225225224E-2</v>
      </c>
      <c r="N490" t="s">
        <v>25</v>
      </c>
      <c r="O490" t="str">
        <f t="shared" si="70"/>
        <v>Low</v>
      </c>
      <c r="P490" t="str">
        <f t="shared" si="71"/>
        <v>Low</v>
      </c>
      <c r="Q490" t="str">
        <f t="shared" si="72"/>
        <v>Low</v>
      </c>
      <c r="R490" t="s">
        <v>3317</v>
      </c>
      <c r="S490" s="4">
        <f t="shared" ca="1" si="73"/>
        <v>906</v>
      </c>
      <c r="T490">
        <f t="shared" si="74"/>
        <v>1</v>
      </c>
      <c r="U490">
        <f t="shared" si="75"/>
        <v>1</v>
      </c>
      <c r="V490">
        <f t="shared" si="76"/>
        <v>1</v>
      </c>
      <c r="W490">
        <f t="shared" si="77"/>
        <v>1</v>
      </c>
      <c r="X490">
        <f t="shared" si="78"/>
        <v>0.99999999999999989</v>
      </c>
      <c r="Y490" t="str">
        <f t="shared" si="79"/>
        <v>Healthy</v>
      </c>
    </row>
    <row r="491" spans="1:25" x14ac:dyDescent="0.35">
      <c r="A491" t="s">
        <v>179</v>
      </c>
      <c r="B491" t="s">
        <v>223</v>
      </c>
      <c r="C491" t="s">
        <v>224</v>
      </c>
      <c r="D491" t="s">
        <v>225</v>
      </c>
      <c r="E491">
        <v>80896244</v>
      </c>
      <c r="F491" t="s">
        <v>510</v>
      </c>
      <c r="G491" s="3">
        <v>46716</v>
      </c>
      <c r="H491">
        <v>18</v>
      </c>
      <c r="I491">
        <v>97</v>
      </c>
      <c r="J491">
        <v>592</v>
      </c>
      <c r="K491" s="4">
        <v>126291.36</v>
      </c>
      <c r="L491" s="4">
        <v>13195</v>
      </c>
      <c r="M491" s="4">
        <v>4.4865479348237966E-2</v>
      </c>
      <c r="N491" t="s">
        <v>25</v>
      </c>
      <c r="O491" t="str">
        <f t="shared" si="70"/>
        <v>Low</v>
      </c>
      <c r="P491" t="str">
        <f t="shared" si="71"/>
        <v>Low</v>
      </c>
      <c r="Q491" t="str">
        <f t="shared" si="72"/>
        <v>Low</v>
      </c>
      <c r="R491" t="s">
        <v>3310</v>
      </c>
      <c r="S491" s="4">
        <f t="shared" ca="1" si="73"/>
        <v>519</v>
      </c>
      <c r="T491">
        <f t="shared" si="74"/>
        <v>1</v>
      </c>
      <c r="U491">
        <f t="shared" si="75"/>
        <v>1</v>
      </c>
      <c r="V491">
        <f t="shared" si="76"/>
        <v>1</v>
      </c>
      <c r="W491">
        <f t="shared" si="77"/>
        <v>2</v>
      </c>
      <c r="X491">
        <f t="shared" si="78"/>
        <v>1.0999999999999999</v>
      </c>
      <c r="Y491" t="str">
        <f t="shared" si="79"/>
        <v>Healthy</v>
      </c>
    </row>
    <row r="492" spans="1:25" x14ac:dyDescent="0.35">
      <c r="A492" t="s">
        <v>179</v>
      </c>
      <c r="B492" t="s">
        <v>223</v>
      </c>
      <c r="C492" t="s">
        <v>224</v>
      </c>
      <c r="D492" t="s">
        <v>225</v>
      </c>
      <c r="E492">
        <v>80896244</v>
      </c>
      <c r="F492" t="s">
        <v>510</v>
      </c>
      <c r="G492" s="3">
        <v>46702</v>
      </c>
      <c r="H492">
        <v>18</v>
      </c>
      <c r="I492">
        <v>94</v>
      </c>
      <c r="J492">
        <v>8</v>
      </c>
      <c r="K492" s="4">
        <v>1706.64</v>
      </c>
      <c r="L492" s="4">
        <v>13195</v>
      </c>
      <c r="M492" s="4">
        <v>6.0629026146267529E-4</v>
      </c>
      <c r="N492" t="s">
        <v>25</v>
      </c>
      <c r="O492" t="str">
        <f t="shared" si="70"/>
        <v>Low</v>
      </c>
      <c r="P492" t="str">
        <f t="shared" si="71"/>
        <v>Low</v>
      </c>
      <c r="Q492" t="str">
        <f t="shared" si="72"/>
        <v>Low</v>
      </c>
      <c r="R492" t="s">
        <v>3317</v>
      </c>
      <c r="S492" s="4">
        <f t="shared" ca="1" si="73"/>
        <v>505</v>
      </c>
      <c r="T492">
        <f t="shared" si="74"/>
        <v>1</v>
      </c>
      <c r="U492">
        <f t="shared" si="75"/>
        <v>1</v>
      </c>
      <c r="V492">
        <f t="shared" si="76"/>
        <v>1</v>
      </c>
      <c r="W492">
        <f t="shared" si="77"/>
        <v>1</v>
      </c>
      <c r="X492">
        <f t="shared" si="78"/>
        <v>0.99999999999999989</v>
      </c>
      <c r="Y492" t="str">
        <f t="shared" si="79"/>
        <v>Healthy</v>
      </c>
    </row>
    <row r="493" spans="1:25" x14ac:dyDescent="0.35">
      <c r="A493" t="s">
        <v>179</v>
      </c>
      <c r="B493" t="s">
        <v>223</v>
      </c>
      <c r="C493" t="s">
        <v>224</v>
      </c>
      <c r="D493" t="s">
        <v>225</v>
      </c>
      <c r="E493">
        <v>80896244</v>
      </c>
      <c r="F493" t="s">
        <v>510</v>
      </c>
      <c r="G493" s="3">
        <v>46722</v>
      </c>
      <c r="H493">
        <v>18</v>
      </c>
      <c r="I493">
        <v>98</v>
      </c>
      <c r="J493">
        <v>688</v>
      </c>
      <c r="K493" s="4">
        <v>146771.04</v>
      </c>
      <c r="L493" s="4">
        <v>13195</v>
      </c>
      <c r="M493" s="4">
        <v>5.2140962485790074E-2</v>
      </c>
      <c r="N493" t="s">
        <v>25</v>
      </c>
      <c r="O493" t="str">
        <f t="shared" si="70"/>
        <v>Low</v>
      </c>
      <c r="P493" t="str">
        <f t="shared" si="71"/>
        <v>Low</v>
      </c>
      <c r="Q493" t="str">
        <f t="shared" si="72"/>
        <v>Low</v>
      </c>
      <c r="R493" t="s">
        <v>3309</v>
      </c>
      <c r="S493" s="4">
        <f t="shared" ca="1" si="73"/>
        <v>525</v>
      </c>
      <c r="T493">
        <f t="shared" si="74"/>
        <v>1</v>
      </c>
      <c r="U493">
        <f t="shared" si="75"/>
        <v>1</v>
      </c>
      <c r="V493">
        <f t="shared" si="76"/>
        <v>1</v>
      </c>
      <c r="W493">
        <f t="shared" si="77"/>
        <v>3</v>
      </c>
      <c r="X493">
        <f t="shared" si="78"/>
        <v>1.2</v>
      </c>
      <c r="Y493" t="str">
        <f t="shared" si="79"/>
        <v>Healthy</v>
      </c>
    </row>
    <row r="494" spans="1:25" x14ac:dyDescent="0.35">
      <c r="A494" t="s">
        <v>179</v>
      </c>
      <c r="B494" t="s">
        <v>223</v>
      </c>
      <c r="C494" t="s">
        <v>224</v>
      </c>
      <c r="D494" t="s">
        <v>225</v>
      </c>
      <c r="E494">
        <v>80896244</v>
      </c>
      <c r="F494" t="s">
        <v>510</v>
      </c>
      <c r="G494" s="3">
        <v>46702</v>
      </c>
      <c r="H494">
        <v>18</v>
      </c>
      <c r="I494">
        <v>94</v>
      </c>
      <c r="J494">
        <v>160</v>
      </c>
      <c r="K494" s="4">
        <v>34132.800000000003</v>
      </c>
      <c r="L494" s="4">
        <v>13195</v>
      </c>
      <c r="M494" s="4">
        <v>1.2125805229253505E-2</v>
      </c>
      <c r="N494" t="s">
        <v>25</v>
      </c>
      <c r="O494" t="str">
        <f t="shared" si="70"/>
        <v>Low</v>
      </c>
      <c r="P494" t="str">
        <f t="shared" si="71"/>
        <v>Low</v>
      </c>
      <c r="Q494" t="str">
        <f t="shared" si="72"/>
        <v>Low</v>
      </c>
      <c r="R494" t="s">
        <v>3317</v>
      </c>
      <c r="S494" s="4">
        <f t="shared" ca="1" si="73"/>
        <v>505</v>
      </c>
      <c r="T494">
        <f t="shared" si="74"/>
        <v>1</v>
      </c>
      <c r="U494">
        <f t="shared" si="75"/>
        <v>1</v>
      </c>
      <c r="V494">
        <f t="shared" si="76"/>
        <v>1</v>
      </c>
      <c r="W494">
        <f t="shared" si="77"/>
        <v>1</v>
      </c>
      <c r="X494">
        <f t="shared" si="78"/>
        <v>0.99999999999999989</v>
      </c>
      <c r="Y494" t="str">
        <f t="shared" si="79"/>
        <v>Healthy</v>
      </c>
    </row>
    <row r="495" spans="1:25" x14ac:dyDescent="0.35">
      <c r="A495" t="s">
        <v>179</v>
      </c>
      <c r="B495" t="s">
        <v>180</v>
      </c>
      <c r="C495" t="s">
        <v>181</v>
      </c>
      <c r="D495" t="s">
        <v>511</v>
      </c>
      <c r="E495">
        <v>83901671</v>
      </c>
      <c r="F495" t="s">
        <v>512</v>
      </c>
      <c r="G495" s="3">
        <v>46551</v>
      </c>
      <c r="H495">
        <v>16</v>
      </c>
      <c r="I495">
        <v>75</v>
      </c>
      <c r="J495">
        <v>996</v>
      </c>
      <c r="K495" s="4">
        <v>195574.56</v>
      </c>
      <c r="L495" s="4">
        <v>243.42857142857142</v>
      </c>
      <c r="M495" s="4">
        <v>4.091549295774648</v>
      </c>
      <c r="N495" t="s">
        <v>25</v>
      </c>
      <c r="O495" t="str">
        <f t="shared" si="70"/>
        <v>Low</v>
      </c>
      <c r="P495" t="str">
        <f t="shared" si="71"/>
        <v>Medium</v>
      </c>
      <c r="Q495" t="str">
        <f t="shared" si="72"/>
        <v>Low</v>
      </c>
      <c r="R495" t="s">
        <v>3309</v>
      </c>
      <c r="S495" s="4">
        <f t="shared" ca="1" si="73"/>
        <v>354</v>
      </c>
      <c r="T495">
        <f t="shared" si="74"/>
        <v>1</v>
      </c>
      <c r="U495">
        <f t="shared" si="75"/>
        <v>2</v>
      </c>
      <c r="V495">
        <f t="shared" si="76"/>
        <v>1</v>
      </c>
      <c r="W495">
        <f t="shared" si="77"/>
        <v>3</v>
      </c>
      <c r="X495">
        <f t="shared" si="78"/>
        <v>1.5</v>
      </c>
      <c r="Y495" t="str">
        <f t="shared" si="79"/>
        <v>Healthy</v>
      </c>
    </row>
    <row r="496" spans="1:25" x14ac:dyDescent="0.35">
      <c r="A496" t="s">
        <v>179</v>
      </c>
      <c r="B496" t="s">
        <v>223</v>
      </c>
      <c r="C496" t="s">
        <v>224</v>
      </c>
      <c r="D496" t="s">
        <v>225</v>
      </c>
      <c r="E496">
        <v>80896244</v>
      </c>
      <c r="F496" t="s">
        <v>510</v>
      </c>
      <c r="G496" s="3">
        <v>46680</v>
      </c>
      <c r="H496">
        <v>18</v>
      </c>
      <c r="I496">
        <v>90</v>
      </c>
      <c r="J496">
        <v>1</v>
      </c>
      <c r="K496" s="4">
        <v>213.33</v>
      </c>
      <c r="L496" s="4">
        <v>13195</v>
      </c>
      <c r="M496" s="4">
        <v>7.5786282682834412E-5</v>
      </c>
      <c r="N496" t="s">
        <v>25</v>
      </c>
      <c r="O496" t="str">
        <f t="shared" si="70"/>
        <v>Low</v>
      </c>
      <c r="P496" t="str">
        <f t="shared" si="71"/>
        <v>Low</v>
      </c>
      <c r="Q496" t="str">
        <f t="shared" si="72"/>
        <v>Low</v>
      </c>
      <c r="R496" t="s">
        <v>3317</v>
      </c>
      <c r="S496" s="4">
        <f t="shared" ca="1" si="73"/>
        <v>483</v>
      </c>
      <c r="T496">
        <f t="shared" si="74"/>
        <v>1</v>
      </c>
      <c r="U496">
        <f t="shared" si="75"/>
        <v>1</v>
      </c>
      <c r="V496">
        <f t="shared" si="76"/>
        <v>1</v>
      </c>
      <c r="W496">
        <f t="shared" si="77"/>
        <v>1</v>
      </c>
      <c r="X496">
        <f t="shared" si="78"/>
        <v>0.99999999999999989</v>
      </c>
      <c r="Y496" t="str">
        <f t="shared" si="79"/>
        <v>Healthy</v>
      </c>
    </row>
    <row r="497" spans="1:25" x14ac:dyDescent="0.35">
      <c r="A497" t="s">
        <v>179</v>
      </c>
      <c r="B497" t="s">
        <v>223</v>
      </c>
      <c r="C497" t="s">
        <v>224</v>
      </c>
      <c r="D497" t="s">
        <v>225</v>
      </c>
      <c r="E497">
        <v>80896244</v>
      </c>
      <c r="F497" t="s">
        <v>510</v>
      </c>
      <c r="G497" s="3">
        <v>46709</v>
      </c>
      <c r="H497">
        <v>18</v>
      </c>
      <c r="I497">
        <v>96</v>
      </c>
      <c r="J497">
        <v>668</v>
      </c>
      <c r="K497" s="4">
        <v>142504.44</v>
      </c>
      <c r="L497" s="4">
        <v>13195</v>
      </c>
      <c r="M497" s="4">
        <v>5.0625236832133387E-2</v>
      </c>
      <c r="N497" t="s">
        <v>25</v>
      </c>
      <c r="O497" t="str">
        <f t="shared" si="70"/>
        <v>Low</v>
      </c>
      <c r="P497" t="str">
        <f t="shared" si="71"/>
        <v>Low</v>
      </c>
      <c r="Q497" t="str">
        <f t="shared" si="72"/>
        <v>Low</v>
      </c>
      <c r="R497" t="s">
        <v>3309</v>
      </c>
      <c r="S497" s="4">
        <f t="shared" ca="1" si="73"/>
        <v>512</v>
      </c>
      <c r="T497">
        <f t="shared" si="74"/>
        <v>1</v>
      </c>
      <c r="U497">
        <f t="shared" si="75"/>
        <v>1</v>
      </c>
      <c r="V497">
        <f t="shared" si="76"/>
        <v>1</v>
      </c>
      <c r="W497">
        <f t="shared" si="77"/>
        <v>3</v>
      </c>
      <c r="X497">
        <f t="shared" si="78"/>
        <v>1.2</v>
      </c>
      <c r="Y497" t="str">
        <f t="shared" si="79"/>
        <v>Healthy</v>
      </c>
    </row>
    <row r="498" spans="1:25" x14ac:dyDescent="0.35">
      <c r="A498" t="s">
        <v>14</v>
      </c>
      <c r="B498" t="s">
        <v>258</v>
      </c>
      <c r="C498" t="s">
        <v>259</v>
      </c>
      <c r="D498" t="s">
        <v>259</v>
      </c>
      <c r="E498">
        <v>80875507</v>
      </c>
      <c r="F498" t="s">
        <v>513</v>
      </c>
      <c r="G498" s="3">
        <v>47880</v>
      </c>
      <c r="H498">
        <v>60</v>
      </c>
      <c r="I498">
        <v>94</v>
      </c>
      <c r="J498">
        <v>4</v>
      </c>
      <c r="K498" s="4">
        <v>359.96</v>
      </c>
      <c r="L498" s="4">
        <v>7550.2857142857147</v>
      </c>
      <c r="M498" s="4">
        <v>5.2978127601604477E-4</v>
      </c>
      <c r="N498" t="s">
        <v>25</v>
      </c>
      <c r="O498" t="str">
        <f t="shared" si="70"/>
        <v>Low</v>
      </c>
      <c r="P498" t="str">
        <f t="shared" si="71"/>
        <v>Low</v>
      </c>
      <c r="Q498" t="str">
        <f t="shared" si="72"/>
        <v>Low</v>
      </c>
      <c r="R498" t="s">
        <v>3317</v>
      </c>
      <c r="S498" s="4">
        <f t="shared" ca="1" si="73"/>
        <v>1683</v>
      </c>
      <c r="T498">
        <f t="shared" si="74"/>
        <v>1</v>
      </c>
      <c r="U498">
        <f t="shared" si="75"/>
        <v>1</v>
      </c>
      <c r="V498">
        <f t="shared" si="76"/>
        <v>1</v>
      </c>
      <c r="W498">
        <f t="shared" si="77"/>
        <v>1</v>
      </c>
      <c r="X498">
        <f t="shared" si="78"/>
        <v>0.99999999999999989</v>
      </c>
      <c r="Y498" t="str">
        <f t="shared" si="79"/>
        <v>Healthy</v>
      </c>
    </row>
    <row r="499" spans="1:25" x14ac:dyDescent="0.35">
      <c r="A499" t="s">
        <v>179</v>
      </c>
      <c r="B499" t="s">
        <v>223</v>
      </c>
      <c r="C499" t="s">
        <v>224</v>
      </c>
      <c r="D499" t="s">
        <v>225</v>
      </c>
      <c r="E499">
        <v>80896244</v>
      </c>
      <c r="F499" t="s">
        <v>510</v>
      </c>
      <c r="G499" s="3">
        <v>46704</v>
      </c>
      <c r="H499">
        <v>18</v>
      </c>
      <c r="I499">
        <v>95</v>
      </c>
      <c r="J499">
        <v>432</v>
      </c>
      <c r="K499" s="4">
        <v>92158.56</v>
      </c>
      <c r="L499" s="4">
        <v>13195</v>
      </c>
      <c r="M499" s="4">
        <v>3.2739674118984465E-2</v>
      </c>
      <c r="N499" t="s">
        <v>25</v>
      </c>
      <c r="O499" t="str">
        <f t="shared" si="70"/>
        <v>Low</v>
      </c>
      <c r="P499" t="str">
        <f t="shared" si="71"/>
        <v>Low</v>
      </c>
      <c r="Q499" t="str">
        <f t="shared" si="72"/>
        <v>Low</v>
      </c>
      <c r="R499" t="s">
        <v>3310</v>
      </c>
      <c r="S499" s="4">
        <f t="shared" ca="1" si="73"/>
        <v>507</v>
      </c>
      <c r="T499">
        <f t="shared" si="74"/>
        <v>1</v>
      </c>
      <c r="U499">
        <f t="shared" si="75"/>
        <v>1</v>
      </c>
      <c r="V499">
        <f t="shared" si="76"/>
        <v>1</v>
      </c>
      <c r="W499">
        <f t="shared" si="77"/>
        <v>2</v>
      </c>
      <c r="X499">
        <f t="shared" si="78"/>
        <v>1.0999999999999999</v>
      </c>
      <c r="Y499" t="str">
        <f t="shared" si="79"/>
        <v>Healthy</v>
      </c>
    </row>
    <row r="500" spans="1:25" x14ac:dyDescent="0.35">
      <c r="A500" t="s">
        <v>179</v>
      </c>
      <c r="B500" t="s">
        <v>223</v>
      </c>
      <c r="C500" t="s">
        <v>224</v>
      </c>
      <c r="D500" t="s">
        <v>225</v>
      </c>
      <c r="E500">
        <v>80896244</v>
      </c>
      <c r="F500" t="s">
        <v>510</v>
      </c>
      <c r="G500" s="3">
        <v>46729</v>
      </c>
      <c r="H500">
        <v>18</v>
      </c>
      <c r="I500">
        <v>99</v>
      </c>
      <c r="J500">
        <v>592</v>
      </c>
      <c r="K500" s="4">
        <v>126291.36</v>
      </c>
      <c r="L500" s="4">
        <v>13195</v>
      </c>
      <c r="M500" s="4">
        <v>4.4865479348237966E-2</v>
      </c>
      <c r="N500" t="s">
        <v>25</v>
      </c>
      <c r="O500" t="str">
        <f t="shared" si="70"/>
        <v>Low</v>
      </c>
      <c r="P500" t="str">
        <f t="shared" si="71"/>
        <v>Low</v>
      </c>
      <c r="Q500" t="str">
        <f t="shared" si="72"/>
        <v>Low</v>
      </c>
      <c r="R500" t="s">
        <v>3310</v>
      </c>
      <c r="S500" s="4">
        <f t="shared" ca="1" si="73"/>
        <v>532</v>
      </c>
      <c r="T500">
        <f t="shared" si="74"/>
        <v>1</v>
      </c>
      <c r="U500">
        <f t="shared" si="75"/>
        <v>1</v>
      </c>
      <c r="V500">
        <f t="shared" si="76"/>
        <v>1</v>
      </c>
      <c r="W500">
        <f t="shared" si="77"/>
        <v>2</v>
      </c>
      <c r="X500">
        <f t="shared" si="78"/>
        <v>1.0999999999999999</v>
      </c>
      <c r="Y500" t="str">
        <f t="shared" si="79"/>
        <v>Healthy</v>
      </c>
    </row>
    <row r="501" spans="1:25" x14ac:dyDescent="0.35">
      <c r="A501" t="s">
        <v>179</v>
      </c>
      <c r="B501" t="s">
        <v>223</v>
      </c>
      <c r="C501" t="s">
        <v>224</v>
      </c>
      <c r="D501" t="s">
        <v>225</v>
      </c>
      <c r="E501">
        <v>80896244</v>
      </c>
      <c r="F501" t="s">
        <v>510</v>
      </c>
      <c r="G501" s="3">
        <v>46711</v>
      </c>
      <c r="H501">
        <v>18</v>
      </c>
      <c r="I501">
        <v>96</v>
      </c>
      <c r="J501">
        <v>708</v>
      </c>
      <c r="K501" s="4">
        <v>151037.64000000001</v>
      </c>
      <c r="L501" s="4">
        <v>13195</v>
      </c>
      <c r="M501" s="4">
        <v>5.3656688139446761E-2</v>
      </c>
      <c r="N501" t="s">
        <v>25</v>
      </c>
      <c r="O501" t="str">
        <f t="shared" si="70"/>
        <v>Low</v>
      </c>
      <c r="P501" t="str">
        <f t="shared" si="71"/>
        <v>Low</v>
      </c>
      <c r="Q501" t="str">
        <f t="shared" si="72"/>
        <v>Low</v>
      </c>
      <c r="R501" t="s">
        <v>3309</v>
      </c>
      <c r="S501" s="4">
        <f t="shared" ca="1" si="73"/>
        <v>514</v>
      </c>
      <c r="T501">
        <f t="shared" si="74"/>
        <v>1</v>
      </c>
      <c r="U501">
        <f t="shared" si="75"/>
        <v>1</v>
      </c>
      <c r="V501">
        <f t="shared" si="76"/>
        <v>1</v>
      </c>
      <c r="W501">
        <f t="shared" si="77"/>
        <v>3</v>
      </c>
      <c r="X501">
        <f t="shared" si="78"/>
        <v>1.2</v>
      </c>
      <c r="Y501" t="str">
        <f t="shared" si="79"/>
        <v>Healthy</v>
      </c>
    </row>
    <row r="502" spans="1:25" x14ac:dyDescent="0.35">
      <c r="A502" t="s">
        <v>90</v>
      </c>
      <c r="B502" t="s">
        <v>91</v>
      </c>
      <c r="C502" t="s">
        <v>478</v>
      </c>
      <c r="D502" t="s">
        <v>514</v>
      </c>
      <c r="E502">
        <v>80883941</v>
      </c>
      <c r="F502" t="s">
        <v>515</v>
      </c>
      <c r="G502" s="3">
        <v>46863</v>
      </c>
      <c r="H502">
        <v>24</v>
      </c>
      <c r="I502">
        <v>93</v>
      </c>
      <c r="J502">
        <v>396</v>
      </c>
      <c r="K502" s="4">
        <v>205904.16</v>
      </c>
      <c r="L502" s="4">
        <v>7217.2857142857147</v>
      </c>
      <c r="M502" s="4">
        <v>5.4868272599513074E-2</v>
      </c>
      <c r="N502" t="s">
        <v>25</v>
      </c>
      <c r="O502" t="str">
        <f t="shared" si="70"/>
        <v>Low</v>
      </c>
      <c r="P502" t="str">
        <f t="shared" si="71"/>
        <v>Low</v>
      </c>
      <c r="Q502" t="str">
        <f t="shared" si="72"/>
        <v>Low</v>
      </c>
      <c r="R502" t="s">
        <v>3309</v>
      </c>
      <c r="S502" s="4">
        <f t="shared" ca="1" si="73"/>
        <v>666</v>
      </c>
      <c r="T502">
        <f t="shared" si="74"/>
        <v>1</v>
      </c>
      <c r="U502">
        <f t="shared" si="75"/>
        <v>1</v>
      </c>
      <c r="V502">
        <f t="shared" si="76"/>
        <v>1</v>
      </c>
      <c r="W502">
        <f t="shared" si="77"/>
        <v>3</v>
      </c>
      <c r="X502">
        <f t="shared" si="78"/>
        <v>1.2</v>
      </c>
      <c r="Y502" t="str">
        <f t="shared" si="79"/>
        <v>Healthy</v>
      </c>
    </row>
    <row r="503" spans="1:25" x14ac:dyDescent="0.35">
      <c r="A503" t="s">
        <v>179</v>
      </c>
      <c r="B503" t="s">
        <v>223</v>
      </c>
      <c r="C503" t="s">
        <v>224</v>
      </c>
      <c r="D503" t="s">
        <v>225</v>
      </c>
      <c r="E503">
        <v>80896244</v>
      </c>
      <c r="F503" t="s">
        <v>510</v>
      </c>
      <c r="G503" s="3">
        <v>46709</v>
      </c>
      <c r="H503">
        <v>18</v>
      </c>
      <c r="I503">
        <v>96</v>
      </c>
      <c r="J503">
        <v>715</v>
      </c>
      <c r="K503" s="4">
        <v>152530.95000000001</v>
      </c>
      <c r="L503" s="4">
        <v>13195</v>
      </c>
      <c r="M503" s="4">
        <v>5.4187192118226604E-2</v>
      </c>
      <c r="N503" t="s">
        <v>25</v>
      </c>
      <c r="O503" t="str">
        <f t="shared" si="70"/>
        <v>Low</v>
      </c>
      <c r="P503" t="str">
        <f t="shared" si="71"/>
        <v>Low</v>
      </c>
      <c r="Q503" t="str">
        <f t="shared" si="72"/>
        <v>Low</v>
      </c>
      <c r="R503" t="s">
        <v>3309</v>
      </c>
      <c r="S503" s="4">
        <f t="shared" ca="1" si="73"/>
        <v>512</v>
      </c>
      <c r="T503">
        <f t="shared" si="74"/>
        <v>1</v>
      </c>
      <c r="U503">
        <f t="shared" si="75"/>
        <v>1</v>
      </c>
      <c r="V503">
        <f t="shared" si="76"/>
        <v>1</v>
      </c>
      <c r="W503">
        <f t="shared" si="77"/>
        <v>3</v>
      </c>
      <c r="X503">
        <f t="shared" si="78"/>
        <v>1.2</v>
      </c>
      <c r="Y503" t="str">
        <f t="shared" si="79"/>
        <v>Healthy</v>
      </c>
    </row>
    <row r="504" spans="1:25" x14ac:dyDescent="0.35">
      <c r="A504" t="s">
        <v>179</v>
      </c>
      <c r="B504" t="s">
        <v>223</v>
      </c>
      <c r="C504" t="s">
        <v>224</v>
      </c>
      <c r="D504" t="s">
        <v>225</v>
      </c>
      <c r="E504">
        <v>80896244</v>
      </c>
      <c r="F504" t="s">
        <v>510</v>
      </c>
      <c r="G504" s="3">
        <v>46679</v>
      </c>
      <c r="H504">
        <v>18</v>
      </c>
      <c r="I504">
        <v>90</v>
      </c>
      <c r="J504">
        <v>227</v>
      </c>
      <c r="K504" s="4">
        <v>48425.91</v>
      </c>
      <c r="L504" s="4">
        <v>13195</v>
      </c>
      <c r="M504" s="4">
        <v>1.7203486169003409E-2</v>
      </c>
      <c r="N504" t="s">
        <v>25</v>
      </c>
      <c r="O504" t="str">
        <f t="shared" si="70"/>
        <v>Low</v>
      </c>
      <c r="P504" t="str">
        <f t="shared" si="71"/>
        <v>Low</v>
      </c>
      <c r="Q504" t="str">
        <f t="shared" si="72"/>
        <v>Low</v>
      </c>
      <c r="R504" t="s">
        <v>3317</v>
      </c>
      <c r="S504" s="4">
        <f t="shared" ca="1" si="73"/>
        <v>482</v>
      </c>
      <c r="T504">
        <f t="shared" si="74"/>
        <v>1</v>
      </c>
      <c r="U504">
        <f t="shared" si="75"/>
        <v>1</v>
      </c>
      <c r="V504">
        <f t="shared" si="76"/>
        <v>1</v>
      </c>
      <c r="W504">
        <f t="shared" si="77"/>
        <v>1</v>
      </c>
      <c r="X504">
        <f t="shared" si="78"/>
        <v>0.99999999999999989</v>
      </c>
      <c r="Y504" t="str">
        <f t="shared" si="79"/>
        <v>Healthy</v>
      </c>
    </row>
    <row r="505" spans="1:25" x14ac:dyDescent="0.35">
      <c r="A505" t="s">
        <v>90</v>
      </c>
      <c r="B505" t="s">
        <v>91</v>
      </c>
      <c r="C505" t="s">
        <v>478</v>
      </c>
      <c r="D505" t="s">
        <v>514</v>
      </c>
      <c r="E505">
        <v>80883941</v>
      </c>
      <c r="F505" t="s">
        <v>515</v>
      </c>
      <c r="G505" s="3">
        <v>46842</v>
      </c>
      <c r="H505">
        <v>24</v>
      </c>
      <c r="I505">
        <v>90</v>
      </c>
      <c r="J505">
        <v>404</v>
      </c>
      <c r="K505" s="4">
        <v>210063.84</v>
      </c>
      <c r="L505" s="4">
        <v>7217.2857142857147</v>
      </c>
      <c r="M505" s="4">
        <v>5.5976722551018383E-2</v>
      </c>
      <c r="N505" t="s">
        <v>25</v>
      </c>
      <c r="O505" t="str">
        <f t="shared" si="70"/>
        <v>Low</v>
      </c>
      <c r="P505" t="str">
        <f t="shared" si="71"/>
        <v>Low</v>
      </c>
      <c r="Q505" t="str">
        <f t="shared" si="72"/>
        <v>Low</v>
      </c>
      <c r="R505" t="s">
        <v>3309</v>
      </c>
      <c r="S505" s="4">
        <f t="shared" ca="1" si="73"/>
        <v>645</v>
      </c>
      <c r="T505">
        <f t="shared" si="74"/>
        <v>1</v>
      </c>
      <c r="U505">
        <f t="shared" si="75"/>
        <v>1</v>
      </c>
      <c r="V505">
        <f t="shared" si="76"/>
        <v>1</v>
      </c>
      <c r="W505">
        <f t="shared" si="77"/>
        <v>3</v>
      </c>
      <c r="X505">
        <f t="shared" si="78"/>
        <v>1.2</v>
      </c>
      <c r="Y505" t="str">
        <f t="shared" si="79"/>
        <v>Healthy</v>
      </c>
    </row>
    <row r="506" spans="1:25" x14ac:dyDescent="0.35">
      <c r="A506" t="s">
        <v>90</v>
      </c>
      <c r="B506" t="s">
        <v>91</v>
      </c>
      <c r="C506" t="s">
        <v>478</v>
      </c>
      <c r="D506" t="s">
        <v>514</v>
      </c>
      <c r="E506">
        <v>80883941</v>
      </c>
      <c r="F506" t="s">
        <v>515</v>
      </c>
      <c r="G506" s="3">
        <v>46843</v>
      </c>
      <c r="H506">
        <v>24</v>
      </c>
      <c r="I506">
        <v>90</v>
      </c>
      <c r="J506">
        <v>418</v>
      </c>
      <c r="K506" s="4">
        <v>217343.28</v>
      </c>
      <c r="L506" s="4">
        <v>7217.2857142857147</v>
      </c>
      <c r="M506" s="4">
        <v>5.7916509966152684E-2</v>
      </c>
      <c r="N506" t="s">
        <v>25</v>
      </c>
      <c r="O506" t="str">
        <f t="shared" si="70"/>
        <v>Low</v>
      </c>
      <c r="P506" t="str">
        <f t="shared" si="71"/>
        <v>Low</v>
      </c>
      <c r="Q506" t="str">
        <f t="shared" si="72"/>
        <v>Low</v>
      </c>
      <c r="R506" t="s">
        <v>3309</v>
      </c>
      <c r="S506" s="4">
        <f t="shared" ca="1" si="73"/>
        <v>646</v>
      </c>
      <c r="T506">
        <f t="shared" si="74"/>
        <v>1</v>
      </c>
      <c r="U506">
        <f t="shared" si="75"/>
        <v>1</v>
      </c>
      <c r="V506">
        <f t="shared" si="76"/>
        <v>1</v>
      </c>
      <c r="W506">
        <f t="shared" si="77"/>
        <v>3</v>
      </c>
      <c r="X506">
        <f t="shared" si="78"/>
        <v>1.2</v>
      </c>
      <c r="Y506" t="str">
        <f t="shared" si="79"/>
        <v>Healthy</v>
      </c>
    </row>
    <row r="507" spans="1:25" x14ac:dyDescent="0.35">
      <c r="A507" t="s">
        <v>90</v>
      </c>
      <c r="B507" t="s">
        <v>91</v>
      </c>
      <c r="C507" t="s">
        <v>478</v>
      </c>
      <c r="D507" t="s">
        <v>514</v>
      </c>
      <c r="E507">
        <v>80883941</v>
      </c>
      <c r="F507" t="s">
        <v>515</v>
      </c>
      <c r="G507" s="3">
        <v>46850</v>
      </c>
      <c r="H507">
        <v>24</v>
      </c>
      <c r="I507">
        <v>91</v>
      </c>
      <c r="J507">
        <v>422</v>
      </c>
      <c r="K507" s="4">
        <v>219423.12</v>
      </c>
      <c r="L507" s="4">
        <v>7217.2857142857147</v>
      </c>
      <c r="M507" s="4">
        <v>5.8470734941905342E-2</v>
      </c>
      <c r="N507" t="s">
        <v>25</v>
      </c>
      <c r="O507" t="str">
        <f t="shared" si="70"/>
        <v>Low</v>
      </c>
      <c r="P507" t="str">
        <f t="shared" si="71"/>
        <v>Low</v>
      </c>
      <c r="Q507" t="str">
        <f t="shared" si="72"/>
        <v>Low</v>
      </c>
      <c r="R507" t="s">
        <v>3309</v>
      </c>
      <c r="S507" s="4">
        <f t="shared" ca="1" si="73"/>
        <v>653</v>
      </c>
      <c r="T507">
        <f t="shared" si="74"/>
        <v>1</v>
      </c>
      <c r="U507">
        <f t="shared" si="75"/>
        <v>1</v>
      </c>
      <c r="V507">
        <f t="shared" si="76"/>
        <v>1</v>
      </c>
      <c r="W507">
        <f t="shared" si="77"/>
        <v>3</v>
      </c>
      <c r="X507">
        <f t="shared" si="78"/>
        <v>1.2</v>
      </c>
      <c r="Y507" t="str">
        <f t="shared" si="79"/>
        <v>Healthy</v>
      </c>
    </row>
    <row r="508" spans="1:25" x14ac:dyDescent="0.35">
      <c r="A508" t="s">
        <v>90</v>
      </c>
      <c r="B508" t="s">
        <v>91</v>
      </c>
      <c r="C508" t="s">
        <v>478</v>
      </c>
      <c r="D508" t="s">
        <v>514</v>
      </c>
      <c r="E508">
        <v>80883941</v>
      </c>
      <c r="F508" t="s">
        <v>515</v>
      </c>
      <c r="G508" s="3">
        <v>46842</v>
      </c>
      <c r="H508">
        <v>24</v>
      </c>
      <c r="I508">
        <v>90</v>
      </c>
      <c r="J508">
        <v>374</v>
      </c>
      <c r="K508" s="4">
        <v>194465.04</v>
      </c>
      <c r="L508" s="4">
        <v>7217.2857142857147</v>
      </c>
      <c r="M508" s="4">
        <v>5.1820035232873457E-2</v>
      </c>
      <c r="N508" t="s">
        <v>25</v>
      </c>
      <c r="O508" t="str">
        <f t="shared" si="70"/>
        <v>Low</v>
      </c>
      <c r="P508" t="str">
        <f t="shared" si="71"/>
        <v>Low</v>
      </c>
      <c r="Q508" t="str">
        <f t="shared" si="72"/>
        <v>Low</v>
      </c>
      <c r="R508" t="s">
        <v>3309</v>
      </c>
      <c r="S508" s="4">
        <f t="shared" ca="1" si="73"/>
        <v>645</v>
      </c>
      <c r="T508">
        <f t="shared" si="74"/>
        <v>1</v>
      </c>
      <c r="U508">
        <f t="shared" si="75"/>
        <v>1</v>
      </c>
      <c r="V508">
        <f t="shared" si="76"/>
        <v>1</v>
      </c>
      <c r="W508">
        <f t="shared" si="77"/>
        <v>3</v>
      </c>
      <c r="X508">
        <f t="shared" si="78"/>
        <v>1.2</v>
      </c>
      <c r="Y508" t="str">
        <f t="shared" si="79"/>
        <v>Healthy</v>
      </c>
    </row>
    <row r="509" spans="1:25" x14ac:dyDescent="0.35">
      <c r="A509" t="s">
        <v>90</v>
      </c>
      <c r="B509" t="s">
        <v>91</v>
      </c>
      <c r="C509" t="s">
        <v>478</v>
      </c>
      <c r="D509" t="s">
        <v>514</v>
      </c>
      <c r="E509">
        <v>80883941</v>
      </c>
      <c r="F509" t="s">
        <v>515</v>
      </c>
      <c r="G509" s="3">
        <v>46862</v>
      </c>
      <c r="H509">
        <v>24</v>
      </c>
      <c r="I509">
        <v>93</v>
      </c>
      <c r="J509">
        <v>396</v>
      </c>
      <c r="K509" s="4">
        <v>205904.16</v>
      </c>
      <c r="L509" s="4">
        <v>7217.2857142857147</v>
      </c>
      <c r="M509" s="4">
        <v>5.4868272599513074E-2</v>
      </c>
      <c r="N509" t="s">
        <v>25</v>
      </c>
      <c r="O509" t="str">
        <f t="shared" si="70"/>
        <v>Low</v>
      </c>
      <c r="P509" t="str">
        <f t="shared" si="71"/>
        <v>Low</v>
      </c>
      <c r="Q509" t="str">
        <f t="shared" si="72"/>
        <v>Low</v>
      </c>
      <c r="R509" t="s">
        <v>3309</v>
      </c>
      <c r="S509" s="4">
        <f t="shared" ca="1" si="73"/>
        <v>665</v>
      </c>
      <c r="T509">
        <f t="shared" si="74"/>
        <v>1</v>
      </c>
      <c r="U509">
        <f t="shared" si="75"/>
        <v>1</v>
      </c>
      <c r="V509">
        <f t="shared" si="76"/>
        <v>1</v>
      </c>
      <c r="W509">
        <f t="shared" si="77"/>
        <v>3</v>
      </c>
      <c r="X509">
        <f t="shared" si="78"/>
        <v>1.2</v>
      </c>
      <c r="Y509" t="str">
        <f t="shared" si="79"/>
        <v>Healthy</v>
      </c>
    </row>
    <row r="510" spans="1:25" x14ac:dyDescent="0.35">
      <c r="A510" t="s">
        <v>90</v>
      </c>
      <c r="B510" t="s">
        <v>91</v>
      </c>
      <c r="C510" t="s">
        <v>478</v>
      </c>
      <c r="D510" t="s">
        <v>514</v>
      </c>
      <c r="E510">
        <v>80883941</v>
      </c>
      <c r="F510" t="s">
        <v>515</v>
      </c>
      <c r="G510" s="3">
        <v>46837</v>
      </c>
      <c r="H510">
        <v>24</v>
      </c>
      <c r="I510">
        <v>90</v>
      </c>
      <c r="J510">
        <v>315</v>
      </c>
      <c r="K510" s="4">
        <v>163787.4</v>
      </c>
      <c r="L510" s="4">
        <v>7217.2857142857147</v>
      </c>
      <c r="M510" s="4">
        <v>4.3645216840521764E-2</v>
      </c>
      <c r="N510" t="s">
        <v>25</v>
      </c>
      <c r="O510" t="str">
        <f t="shared" si="70"/>
        <v>Low</v>
      </c>
      <c r="P510" t="str">
        <f t="shared" si="71"/>
        <v>Low</v>
      </c>
      <c r="Q510" t="str">
        <f t="shared" si="72"/>
        <v>Low</v>
      </c>
      <c r="R510" t="s">
        <v>3309</v>
      </c>
      <c r="S510" s="4">
        <f t="shared" ca="1" si="73"/>
        <v>640</v>
      </c>
      <c r="T510">
        <f t="shared" si="74"/>
        <v>1</v>
      </c>
      <c r="U510">
        <f t="shared" si="75"/>
        <v>1</v>
      </c>
      <c r="V510">
        <f t="shared" si="76"/>
        <v>1</v>
      </c>
      <c r="W510">
        <f t="shared" si="77"/>
        <v>3</v>
      </c>
      <c r="X510">
        <f t="shared" si="78"/>
        <v>1.2</v>
      </c>
      <c r="Y510" t="str">
        <f t="shared" si="79"/>
        <v>Healthy</v>
      </c>
    </row>
    <row r="511" spans="1:25" x14ac:dyDescent="0.35">
      <c r="A511" t="s">
        <v>90</v>
      </c>
      <c r="B511" t="s">
        <v>91</v>
      </c>
      <c r="C511" t="s">
        <v>478</v>
      </c>
      <c r="D511" t="s">
        <v>514</v>
      </c>
      <c r="E511">
        <v>80883941</v>
      </c>
      <c r="F511" t="s">
        <v>515</v>
      </c>
      <c r="G511" s="3">
        <v>46787</v>
      </c>
      <c r="H511">
        <v>24</v>
      </c>
      <c r="I511">
        <v>83</v>
      </c>
      <c r="J511">
        <v>400</v>
      </c>
      <c r="K511" s="4">
        <v>207984</v>
      </c>
      <c r="L511" s="4">
        <v>7217.2857142857147</v>
      </c>
      <c r="M511" s="4">
        <v>5.5422497575265725E-2</v>
      </c>
      <c r="N511" t="s">
        <v>25</v>
      </c>
      <c r="O511" t="str">
        <f t="shared" si="70"/>
        <v>Low</v>
      </c>
      <c r="P511" t="str">
        <f t="shared" si="71"/>
        <v>Low</v>
      </c>
      <c r="Q511" t="str">
        <f t="shared" si="72"/>
        <v>Low</v>
      </c>
      <c r="R511" t="s">
        <v>3309</v>
      </c>
      <c r="S511" s="4">
        <f t="shared" ca="1" si="73"/>
        <v>590</v>
      </c>
      <c r="T511">
        <f t="shared" si="74"/>
        <v>1</v>
      </c>
      <c r="U511">
        <f t="shared" si="75"/>
        <v>1</v>
      </c>
      <c r="V511">
        <f t="shared" si="76"/>
        <v>1</v>
      </c>
      <c r="W511">
        <f t="shared" si="77"/>
        <v>3</v>
      </c>
      <c r="X511">
        <f t="shared" si="78"/>
        <v>1.2</v>
      </c>
      <c r="Y511" t="str">
        <f t="shared" si="79"/>
        <v>Healthy</v>
      </c>
    </row>
    <row r="512" spans="1:25" x14ac:dyDescent="0.35">
      <c r="A512" t="s">
        <v>90</v>
      </c>
      <c r="B512" t="s">
        <v>91</v>
      </c>
      <c r="C512" t="s">
        <v>478</v>
      </c>
      <c r="D512" t="s">
        <v>514</v>
      </c>
      <c r="E512">
        <v>80883941</v>
      </c>
      <c r="F512" t="s">
        <v>515</v>
      </c>
      <c r="G512" s="3">
        <v>46788</v>
      </c>
      <c r="H512">
        <v>24</v>
      </c>
      <c r="I512">
        <v>83</v>
      </c>
      <c r="J512">
        <v>31</v>
      </c>
      <c r="K512" s="4">
        <v>16118.76</v>
      </c>
      <c r="L512" s="4">
        <v>7217.2857142857147</v>
      </c>
      <c r="M512" s="4">
        <v>4.2952435620830943E-3</v>
      </c>
      <c r="N512" t="s">
        <v>25</v>
      </c>
      <c r="O512" t="str">
        <f t="shared" si="70"/>
        <v>Low</v>
      </c>
      <c r="P512" t="str">
        <f t="shared" si="71"/>
        <v>Low</v>
      </c>
      <c r="Q512" t="str">
        <f t="shared" si="72"/>
        <v>Low</v>
      </c>
      <c r="R512" t="s">
        <v>3317</v>
      </c>
      <c r="S512" s="4">
        <f t="shared" ca="1" si="73"/>
        <v>591</v>
      </c>
      <c r="T512">
        <f t="shared" si="74"/>
        <v>1</v>
      </c>
      <c r="U512">
        <f t="shared" si="75"/>
        <v>1</v>
      </c>
      <c r="V512">
        <f t="shared" si="76"/>
        <v>1</v>
      </c>
      <c r="W512">
        <f t="shared" si="77"/>
        <v>1</v>
      </c>
      <c r="X512">
        <f t="shared" si="78"/>
        <v>0.99999999999999989</v>
      </c>
      <c r="Y512" t="str">
        <f t="shared" si="79"/>
        <v>Healthy</v>
      </c>
    </row>
    <row r="513" spans="1:25" x14ac:dyDescent="0.35">
      <c r="A513" t="s">
        <v>90</v>
      </c>
      <c r="B513" t="s">
        <v>91</v>
      </c>
      <c r="C513" t="s">
        <v>112</v>
      </c>
      <c r="D513" t="s">
        <v>516</v>
      </c>
      <c r="E513">
        <v>80887531</v>
      </c>
      <c r="F513" t="s">
        <v>517</v>
      </c>
      <c r="G513" s="3">
        <v>46848</v>
      </c>
      <c r="H513">
        <v>24</v>
      </c>
      <c r="I513">
        <v>91</v>
      </c>
      <c r="J513">
        <v>594</v>
      </c>
      <c r="K513" s="4">
        <v>327840.48</v>
      </c>
      <c r="L513" s="4">
        <v>1368.1428571428571</v>
      </c>
      <c r="M513" s="4">
        <v>0.43416518742821342</v>
      </c>
      <c r="N513" t="s">
        <v>25</v>
      </c>
      <c r="O513" t="str">
        <f t="shared" si="70"/>
        <v>Low</v>
      </c>
      <c r="P513" t="str">
        <f t="shared" si="71"/>
        <v>Low</v>
      </c>
      <c r="Q513" t="str">
        <f t="shared" si="72"/>
        <v>Low</v>
      </c>
      <c r="R513" t="s">
        <v>3309</v>
      </c>
      <c r="S513" s="4">
        <f t="shared" ca="1" si="73"/>
        <v>651</v>
      </c>
      <c r="T513">
        <f t="shared" si="74"/>
        <v>1</v>
      </c>
      <c r="U513">
        <f t="shared" si="75"/>
        <v>1</v>
      </c>
      <c r="V513">
        <f t="shared" si="76"/>
        <v>1</v>
      </c>
      <c r="W513">
        <f t="shared" si="77"/>
        <v>3</v>
      </c>
      <c r="X513">
        <f t="shared" si="78"/>
        <v>1.2</v>
      </c>
      <c r="Y513" t="str">
        <f t="shared" si="79"/>
        <v>Healthy</v>
      </c>
    </row>
    <row r="514" spans="1:25" x14ac:dyDescent="0.35">
      <c r="A514" t="s">
        <v>90</v>
      </c>
      <c r="B514" t="s">
        <v>91</v>
      </c>
      <c r="C514" t="s">
        <v>112</v>
      </c>
      <c r="D514" t="s">
        <v>516</v>
      </c>
      <c r="E514">
        <v>80887531</v>
      </c>
      <c r="F514" t="s">
        <v>517</v>
      </c>
      <c r="G514" s="3">
        <v>46864</v>
      </c>
      <c r="H514">
        <v>24</v>
      </c>
      <c r="I514">
        <v>93</v>
      </c>
      <c r="J514">
        <v>143</v>
      </c>
      <c r="K514" s="4">
        <v>78924.56</v>
      </c>
      <c r="L514" s="4">
        <v>1368.1428571428571</v>
      </c>
      <c r="M514" s="4">
        <v>0.10452124882531064</v>
      </c>
      <c r="N514" t="s">
        <v>25</v>
      </c>
      <c r="O514" t="str">
        <f t="shared" si="70"/>
        <v>Low</v>
      </c>
      <c r="P514" t="str">
        <f t="shared" si="71"/>
        <v>Low</v>
      </c>
      <c r="Q514" t="str">
        <f t="shared" si="72"/>
        <v>Low</v>
      </c>
      <c r="R514" t="s">
        <v>3310</v>
      </c>
      <c r="S514" s="4">
        <f t="shared" ca="1" si="73"/>
        <v>667</v>
      </c>
      <c r="T514">
        <f t="shared" si="74"/>
        <v>1</v>
      </c>
      <c r="U514">
        <f t="shared" si="75"/>
        <v>1</v>
      </c>
      <c r="V514">
        <f t="shared" si="76"/>
        <v>1</v>
      </c>
      <c r="W514">
        <f t="shared" si="77"/>
        <v>2</v>
      </c>
      <c r="X514">
        <f t="shared" si="78"/>
        <v>1.0999999999999999</v>
      </c>
      <c r="Y514" t="str">
        <f t="shared" si="79"/>
        <v>Healthy</v>
      </c>
    </row>
    <row r="515" spans="1:25" x14ac:dyDescent="0.35">
      <c r="A515" t="s">
        <v>90</v>
      </c>
      <c r="B515" t="s">
        <v>91</v>
      </c>
      <c r="C515" t="s">
        <v>112</v>
      </c>
      <c r="D515" t="s">
        <v>516</v>
      </c>
      <c r="E515">
        <v>80887531</v>
      </c>
      <c r="F515" t="s">
        <v>517</v>
      </c>
      <c r="G515" s="3">
        <v>46877</v>
      </c>
      <c r="H515">
        <v>24</v>
      </c>
      <c r="I515">
        <v>95</v>
      </c>
      <c r="J515">
        <v>90</v>
      </c>
      <c r="K515" s="4">
        <v>49672.800000000003</v>
      </c>
      <c r="L515" s="4">
        <v>1368.1428571428571</v>
      </c>
      <c r="M515" s="4">
        <v>6.5782604155789917E-2</v>
      </c>
      <c r="N515" t="s">
        <v>25</v>
      </c>
      <c r="O515" t="str">
        <f t="shared" ref="O515:O578" si="80">IF(I515&lt;20,"High",IF(I515&lt;40,"Medium","Low"))</f>
        <v>Low</v>
      </c>
      <c r="P515" t="str">
        <f t="shared" ref="P515:P578" si="81">IF(M515&gt;8,"High",IF(M515&gt;4,"Medium","Low"))</f>
        <v>Low</v>
      </c>
      <c r="Q515" t="str">
        <f t="shared" ref="Q515:Q578" si="82">IF(L515&lt;5,"High",IF(L515&lt;15,"Medium","Low"))</f>
        <v>Low</v>
      </c>
      <c r="R515" t="s">
        <v>3317</v>
      </c>
      <c r="S515" s="4">
        <f t="shared" ref="S515:S578" ca="1" si="83">G515-TODAY()</f>
        <v>680</v>
      </c>
      <c r="T515">
        <f t="shared" ref="T515:T578" si="84">IF(O515="High",3,IF(O515="Medium",2,1))</f>
        <v>1</v>
      </c>
      <c r="U515">
        <f t="shared" ref="U515:U578" si="85">IF(P515="High",3,IF(P515="Medium",2,1))</f>
        <v>1</v>
      </c>
      <c r="V515">
        <f t="shared" ref="V515:V578" si="86">IF(Q515="High",3,IF(Q515="Medium",2,1))</f>
        <v>1</v>
      </c>
      <c r="W515">
        <f t="shared" ref="W515:W578" si="87">IF(R515="High",3,IF(R515="Medium",2,1))</f>
        <v>1</v>
      </c>
      <c r="X515">
        <f t="shared" ref="X515:X578" si="88">(0.4*T515)+(0.3*U515)+(0.2*V515)+(0.1*W515)</f>
        <v>0.99999999999999989</v>
      </c>
      <c r="Y515" t="str">
        <f t="shared" ref="Y515:Y578" si="89">IF(X515&gt;=2.7,"Move Immediately",IF(X515&gt;=2.2,"High Priority",IF(X515&gt;=1.7,"Monitor","Healthy")))</f>
        <v>Healthy</v>
      </c>
    </row>
    <row r="516" spans="1:25" x14ac:dyDescent="0.35">
      <c r="A516" t="s">
        <v>90</v>
      </c>
      <c r="B516" t="s">
        <v>217</v>
      </c>
      <c r="C516" t="s">
        <v>218</v>
      </c>
      <c r="D516" t="s">
        <v>219</v>
      </c>
      <c r="E516">
        <v>80888567</v>
      </c>
      <c r="F516" t="s">
        <v>518</v>
      </c>
      <c r="G516" s="3">
        <v>46855</v>
      </c>
      <c r="H516">
        <v>24</v>
      </c>
      <c r="I516">
        <v>92</v>
      </c>
      <c r="J516">
        <v>605</v>
      </c>
      <c r="K516" s="4">
        <v>185607.95</v>
      </c>
      <c r="L516" s="4">
        <v>25782.714285714286</v>
      </c>
      <c r="M516" s="4">
        <v>2.3465333916965408E-2</v>
      </c>
      <c r="N516" t="s">
        <v>25</v>
      </c>
      <c r="O516" t="str">
        <f t="shared" si="80"/>
        <v>Low</v>
      </c>
      <c r="P516" t="str">
        <f t="shared" si="81"/>
        <v>Low</v>
      </c>
      <c r="Q516" t="str">
        <f t="shared" si="82"/>
        <v>Low</v>
      </c>
      <c r="R516" t="s">
        <v>3309</v>
      </c>
      <c r="S516" s="4">
        <f t="shared" ca="1" si="83"/>
        <v>658</v>
      </c>
      <c r="T516">
        <f t="shared" si="84"/>
        <v>1</v>
      </c>
      <c r="U516">
        <f t="shared" si="85"/>
        <v>1</v>
      </c>
      <c r="V516">
        <f t="shared" si="86"/>
        <v>1</v>
      </c>
      <c r="W516">
        <f t="shared" si="87"/>
        <v>3</v>
      </c>
      <c r="X516">
        <f t="shared" si="88"/>
        <v>1.2</v>
      </c>
      <c r="Y516" t="str">
        <f t="shared" si="89"/>
        <v>Healthy</v>
      </c>
    </row>
    <row r="517" spans="1:25" x14ac:dyDescent="0.35">
      <c r="A517" t="s">
        <v>90</v>
      </c>
      <c r="B517" t="s">
        <v>217</v>
      </c>
      <c r="C517" t="s">
        <v>218</v>
      </c>
      <c r="D517" t="s">
        <v>219</v>
      </c>
      <c r="E517">
        <v>80888567</v>
      </c>
      <c r="F517" t="s">
        <v>518</v>
      </c>
      <c r="G517" s="3">
        <v>46878</v>
      </c>
      <c r="H517">
        <v>24</v>
      </c>
      <c r="I517">
        <v>95</v>
      </c>
      <c r="J517">
        <v>880</v>
      </c>
      <c r="K517" s="4">
        <v>269975.2</v>
      </c>
      <c r="L517" s="4">
        <v>25782.714285714286</v>
      </c>
      <c r="M517" s="4">
        <v>3.413139478831332E-2</v>
      </c>
      <c r="N517" t="s">
        <v>25</v>
      </c>
      <c r="O517" t="str">
        <f t="shared" si="80"/>
        <v>Low</v>
      </c>
      <c r="P517" t="str">
        <f t="shared" si="81"/>
        <v>Low</v>
      </c>
      <c r="Q517" t="str">
        <f t="shared" si="82"/>
        <v>Low</v>
      </c>
      <c r="R517" t="s">
        <v>3309</v>
      </c>
      <c r="S517" s="4">
        <f t="shared" ca="1" si="83"/>
        <v>681</v>
      </c>
      <c r="T517">
        <f t="shared" si="84"/>
        <v>1</v>
      </c>
      <c r="U517">
        <f t="shared" si="85"/>
        <v>1</v>
      </c>
      <c r="V517">
        <f t="shared" si="86"/>
        <v>1</v>
      </c>
      <c r="W517">
        <f t="shared" si="87"/>
        <v>3</v>
      </c>
      <c r="X517">
        <f t="shared" si="88"/>
        <v>1.2</v>
      </c>
      <c r="Y517" t="str">
        <f t="shared" si="89"/>
        <v>Healthy</v>
      </c>
    </row>
    <row r="518" spans="1:25" x14ac:dyDescent="0.35">
      <c r="A518" t="s">
        <v>90</v>
      </c>
      <c r="B518" t="s">
        <v>217</v>
      </c>
      <c r="C518" t="s">
        <v>218</v>
      </c>
      <c r="D518" t="s">
        <v>219</v>
      </c>
      <c r="E518">
        <v>80888567</v>
      </c>
      <c r="F518" t="s">
        <v>518</v>
      </c>
      <c r="G518" s="3">
        <v>46696</v>
      </c>
      <c r="H518">
        <v>24</v>
      </c>
      <c r="I518">
        <v>70</v>
      </c>
      <c r="J518">
        <v>493</v>
      </c>
      <c r="K518" s="4">
        <v>151247.47</v>
      </c>
      <c r="L518" s="4">
        <v>25782.714285714286</v>
      </c>
      <c r="M518" s="4">
        <v>1.9121338216634622E-2</v>
      </c>
      <c r="N518" t="s">
        <v>25</v>
      </c>
      <c r="O518" t="str">
        <f t="shared" si="80"/>
        <v>Low</v>
      </c>
      <c r="P518" t="str">
        <f t="shared" si="81"/>
        <v>Low</v>
      </c>
      <c r="Q518" t="str">
        <f t="shared" si="82"/>
        <v>Low</v>
      </c>
      <c r="R518" t="s">
        <v>3309</v>
      </c>
      <c r="S518" s="4">
        <f t="shared" ca="1" si="83"/>
        <v>499</v>
      </c>
      <c r="T518">
        <f t="shared" si="84"/>
        <v>1</v>
      </c>
      <c r="U518">
        <f t="shared" si="85"/>
        <v>1</v>
      </c>
      <c r="V518">
        <f t="shared" si="86"/>
        <v>1</v>
      </c>
      <c r="W518">
        <f t="shared" si="87"/>
        <v>3</v>
      </c>
      <c r="X518">
        <f t="shared" si="88"/>
        <v>1.2</v>
      </c>
      <c r="Y518" t="str">
        <f t="shared" si="89"/>
        <v>Healthy</v>
      </c>
    </row>
    <row r="519" spans="1:25" x14ac:dyDescent="0.35">
      <c r="A519" t="s">
        <v>90</v>
      </c>
      <c r="B519" t="s">
        <v>217</v>
      </c>
      <c r="C519" t="s">
        <v>218</v>
      </c>
      <c r="D519" t="s">
        <v>219</v>
      </c>
      <c r="E519">
        <v>80888567</v>
      </c>
      <c r="F519" t="s">
        <v>518</v>
      </c>
      <c r="G519" s="3">
        <v>46905</v>
      </c>
      <c r="H519">
        <v>24</v>
      </c>
      <c r="I519">
        <v>99</v>
      </c>
      <c r="J519">
        <v>1205</v>
      </c>
      <c r="K519" s="4">
        <v>369681.95</v>
      </c>
      <c r="L519" s="4">
        <v>25782.714285714286</v>
      </c>
      <c r="M519" s="4">
        <v>4.673673945445176E-2</v>
      </c>
      <c r="N519" t="s">
        <v>25</v>
      </c>
      <c r="O519" t="str">
        <f t="shared" si="80"/>
        <v>Low</v>
      </c>
      <c r="P519" t="str">
        <f t="shared" si="81"/>
        <v>Low</v>
      </c>
      <c r="Q519" t="str">
        <f t="shared" si="82"/>
        <v>Low</v>
      </c>
      <c r="R519" t="s">
        <v>3309</v>
      </c>
      <c r="S519" s="4">
        <f t="shared" ca="1" si="83"/>
        <v>708</v>
      </c>
      <c r="T519">
        <f t="shared" si="84"/>
        <v>1</v>
      </c>
      <c r="U519">
        <f t="shared" si="85"/>
        <v>1</v>
      </c>
      <c r="V519">
        <f t="shared" si="86"/>
        <v>1</v>
      </c>
      <c r="W519">
        <f t="shared" si="87"/>
        <v>3</v>
      </c>
      <c r="X519">
        <f t="shared" si="88"/>
        <v>1.2</v>
      </c>
      <c r="Y519" t="str">
        <f t="shared" si="89"/>
        <v>Healthy</v>
      </c>
    </row>
    <row r="520" spans="1:25" x14ac:dyDescent="0.35">
      <c r="A520" t="s">
        <v>90</v>
      </c>
      <c r="B520" t="s">
        <v>217</v>
      </c>
      <c r="C520" t="s">
        <v>218</v>
      </c>
      <c r="D520" t="s">
        <v>219</v>
      </c>
      <c r="E520">
        <v>80888567</v>
      </c>
      <c r="F520" t="s">
        <v>518</v>
      </c>
      <c r="G520" s="3">
        <v>46854</v>
      </c>
      <c r="H520">
        <v>24</v>
      </c>
      <c r="I520">
        <v>92</v>
      </c>
      <c r="J520">
        <v>76</v>
      </c>
      <c r="K520" s="4">
        <v>23316.04</v>
      </c>
      <c r="L520" s="4">
        <v>25782.714285714286</v>
      </c>
      <c r="M520" s="4">
        <v>2.9477113680816051E-3</v>
      </c>
      <c r="N520" t="s">
        <v>25</v>
      </c>
      <c r="O520" t="str">
        <f t="shared" si="80"/>
        <v>Low</v>
      </c>
      <c r="P520" t="str">
        <f t="shared" si="81"/>
        <v>Low</v>
      </c>
      <c r="Q520" t="str">
        <f t="shared" si="82"/>
        <v>Low</v>
      </c>
      <c r="R520" t="s">
        <v>3317</v>
      </c>
      <c r="S520" s="4">
        <f t="shared" ca="1" si="83"/>
        <v>657</v>
      </c>
      <c r="T520">
        <f t="shared" si="84"/>
        <v>1</v>
      </c>
      <c r="U520">
        <f t="shared" si="85"/>
        <v>1</v>
      </c>
      <c r="V520">
        <f t="shared" si="86"/>
        <v>1</v>
      </c>
      <c r="W520">
        <f t="shared" si="87"/>
        <v>1</v>
      </c>
      <c r="X520">
        <f t="shared" si="88"/>
        <v>0.99999999999999989</v>
      </c>
      <c r="Y520" t="str">
        <f t="shared" si="89"/>
        <v>Healthy</v>
      </c>
    </row>
    <row r="521" spans="1:25" x14ac:dyDescent="0.35">
      <c r="A521" t="s">
        <v>90</v>
      </c>
      <c r="B521" t="s">
        <v>217</v>
      </c>
      <c r="C521" t="s">
        <v>218</v>
      </c>
      <c r="D521" t="s">
        <v>219</v>
      </c>
      <c r="E521">
        <v>80888567</v>
      </c>
      <c r="F521" t="s">
        <v>518</v>
      </c>
      <c r="G521" s="3">
        <v>46889</v>
      </c>
      <c r="H521">
        <v>24</v>
      </c>
      <c r="I521">
        <v>97</v>
      </c>
      <c r="J521">
        <v>990</v>
      </c>
      <c r="K521" s="4">
        <v>303722.09999999998</v>
      </c>
      <c r="L521" s="4">
        <v>25782.714285714286</v>
      </c>
      <c r="M521" s="4">
        <v>3.8397819136852487E-2</v>
      </c>
      <c r="N521" t="s">
        <v>25</v>
      </c>
      <c r="O521" t="str">
        <f t="shared" si="80"/>
        <v>Low</v>
      </c>
      <c r="P521" t="str">
        <f t="shared" si="81"/>
        <v>Low</v>
      </c>
      <c r="Q521" t="str">
        <f t="shared" si="82"/>
        <v>Low</v>
      </c>
      <c r="R521" t="s">
        <v>3309</v>
      </c>
      <c r="S521" s="4">
        <f t="shared" ca="1" si="83"/>
        <v>692</v>
      </c>
      <c r="T521">
        <f t="shared" si="84"/>
        <v>1</v>
      </c>
      <c r="U521">
        <f t="shared" si="85"/>
        <v>1</v>
      </c>
      <c r="V521">
        <f t="shared" si="86"/>
        <v>1</v>
      </c>
      <c r="W521">
        <f t="shared" si="87"/>
        <v>3</v>
      </c>
      <c r="X521">
        <f t="shared" si="88"/>
        <v>1.2</v>
      </c>
      <c r="Y521" t="str">
        <f t="shared" si="89"/>
        <v>Healthy</v>
      </c>
    </row>
    <row r="522" spans="1:25" x14ac:dyDescent="0.35">
      <c r="A522" t="s">
        <v>90</v>
      </c>
      <c r="B522" t="s">
        <v>217</v>
      </c>
      <c r="C522" t="s">
        <v>218</v>
      </c>
      <c r="D522" t="s">
        <v>219</v>
      </c>
      <c r="E522">
        <v>80888567</v>
      </c>
      <c r="F522" t="s">
        <v>518</v>
      </c>
      <c r="G522" s="3">
        <v>46813</v>
      </c>
      <c r="H522">
        <v>24</v>
      </c>
      <c r="I522">
        <v>86</v>
      </c>
      <c r="J522">
        <v>16</v>
      </c>
      <c r="K522" s="4">
        <v>4908.6400000000003</v>
      </c>
      <c r="L522" s="4">
        <v>25782.714285714286</v>
      </c>
      <c r="M522" s="4">
        <v>6.2057081433296952E-4</v>
      </c>
      <c r="N522" t="s">
        <v>25</v>
      </c>
      <c r="O522" t="str">
        <f t="shared" si="80"/>
        <v>Low</v>
      </c>
      <c r="P522" t="str">
        <f t="shared" si="81"/>
        <v>Low</v>
      </c>
      <c r="Q522" t="str">
        <f t="shared" si="82"/>
        <v>Low</v>
      </c>
      <c r="R522" t="s">
        <v>3317</v>
      </c>
      <c r="S522" s="4">
        <f t="shared" ca="1" si="83"/>
        <v>616</v>
      </c>
      <c r="T522">
        <f t="shared" si="84"/>
        <v>1</v>
      </c>
      <c r="U522">
        <f t="shared" si="85"/>
        <v>1</v>
      </c>
      <c r="V522">
        <f t="shared" si="86"/>
        <v>1</v>
      </c>
      <c r="W522">
        <f t="shared" si="87"/>
        <v>1</v>
      </c>
      <c r="X522">
        <f t="shared" si="88"/>
        <v>0.99999999999999989</v>
      </c>
      <c r="Y522" t="str">
        <f t="shared" si="89"/>
        <v>Healthy</v>
      </c>
    </row>
    <row r="523" spans="1:25" x14ac:dyDescent="0.35">
      <c r="A523" t="s">
        <v>90</v>
      </c>
      <c r="B523" t="s">
        <v>217</v>
      </c>
      <c r="C523" t="s">
        <v>218</v>
      </c>
      <c r="D523" t="s">
        <v>219</v>
      </c>
      <c r="E523">
        <v>80888567</v>
      </c>
      <c r="F523" t="s">
        <v>518</v>
      </c>
      <c r="G523" s="3">
        <v>46850</v>
      </c>
      <c r="H523">
        <v>24</v>
      </c>
      <c r="I523">
        <v>91</v>
      </c>
      <c r="J523">
        <v>1132</v>
      </c>
      <c r="K523" s="4">
        <v>347286.28</v>
      </c>
      <c r="L523" s="4">
        <v>25782.714285714286</v>
      </c>
      <c r="M523" s="4">
        <v>4.3905385114057588E-2</v>
      </c>
      <c r="N523" t="s">
        <v>25</v>
      </c>
      <c r="O523" t="str">
        <f t="shared" si="80"/>
        <v>Low</v>
      </c>
      <c r="P523" t="str">
        <f t="shared" si="81"/>
        <v>Low</v>
      </c>
      <c r="Q523" t="str">
        <f t="shared" si="82"/>
        <v>Low</v>
      </c>
      <c r="R523" t="s">
        <v>3309</v>
      </c>
      <c r="S523" s="4">
        <f t="shared" ca="1" si="83"/>
        <v>653</v>
      </c>
      <c r="T523">
        <f t="shared" si="84"/>
        <v>1</v>
      </c>
      <c r="U523">
        <f t="shared" si="85"/>
        <v>1</v>
      </c>
      <c r="V523">
        <f t="shared" si="86"/>
        <v>1</v>
      </c>
      <c r="W523">
        <f t="shared" si="87"/>
        <v>3</v>
      </c>
      <c r="X523">
        <f t="shared" si="88"/>
        <v>1.2</v>
      </c>
      <c r="Y523" t="str">
        <f t="shared" si="89"/>
        <v>Healthy</v>
      </c>
    </row>
    <row r="524" spans="1:25" x14ac:dyDescent="0.35">
      <c r="A524" t="s">
        <v>90</v>
      </c>
      <c r="B524" t="s">
        <v>217</v>
      </c>
      <c r="C524" t="s">
        <v>218</v>
      </c>
      <c r="D524" t="s">
        <v>219</v>
      </c>
      <c r="E524">
        <v>80888567</v>
      </c>
      <c r="F524" t="s">
        <v>518</v>
      </c>
      <c r="G524" s="3">
        <v>46905</v>
      </c>
      <c r="H524">
        <v>24</v>
      </c>
      <c r="I524">
        <v>99</v>
      </c>
      <c r="J524">
        <v>1232</v>
      </c>
      <c r="K524" s="4">
        <v>377965.28</v>
      </c>
      <c r="L524" s="4">
        <v>25782.714285714286</v>
      </c>
      <c r="M524" s="4">
        <v>4.7783952703638652E-2</v>
      </c>
      <c r="N524" t="s">
        <v>25</v>
      </c>
      <c r="O524" t="str">
        <f t="shared" si="80"/>
        <v>Low</v>
      </c>
      <c r="P524" t="str">
        <f t="shared" si="81"/>
        <v>Low</v>
      </c>
      <c r="Q524" t="str">
        <f t="shared" si="82"/>
        <v>Low</v>
      </c>
      <c r="R524" t="s">
        <v>3309</v>
      </c>
      <c r="S524" s="4">
        <f t="shared" ca="1" si="83"/>
        <v>708</v>
      </c>
      <c r="T524">
        <f t="shared" si="84"/>
        <v>1</v>
      </c>
      <c r="U524">
        <f t="shared" si="85"/>
        <v>1</v>
      </c>
      <c r="V524">
        <f t="shared" si="86"/>
        <v>1</v>
      </c>
      <c r="W524">
        <f t="shared" si="87"/>
        <v>3</v>
      </c>
      <c r="X524">
        <f t="shared" si="88"/>
        <v>1.2</v>
      </c>
      <c r="Y524" t="str">
        <f t="shared" si="89"/>
        <v>Healthy</v>
      </c>
    </row>
    <row r="525" spans="1:25" x14ac:dyDescent="0.35">
      <c r="A525" t="s">
        <v>90</v>
      </c>
      <c r="B525" t="s">
        <v>217</v>
      </c>
      <c r="C525" t="s">
        <v>218</v>
      </c>
      <c r="D525" t="s">
        <v>219</v>
      </c>
      <c r="E525">
        <v>80888567</v>
      </c>
      <c r="F525" t="s">
        <v>518</v>
      </c>
      <c r="G525" s="3">
        <v>46879</v>
      </c>
      <c r="H525">
        <v>24</v>
      </c>
      <c r="I525">
        <v>95</v>
      </c>
      <c r="J525">
        <v>1206</v>
      </c>
      <c r="K525" s="4">
        <v>369988.74</v>
      </c>
      <c r="L525" s="4">
        <v>25782.714285714286</v>
      </c>
      <c r="M525" s="4">
        <v>4.6775525130347571E-2</v>
      </c>
      <c r="N525" t="s">
        <v>25</v>
      </c>
      <c r="O525" t="str">
        <f t="shared" si="80"/>
        <v>Low</v>
      </c>
      <c r="P525" t="str">
        <f t="shared" si="81"/>
        <v>Low</v>
      </c>
      <c r="Q525" t="str">
        <f t="shared" si="82"/>
        <v>Low</v>
      </c>
      <c r="R525" t="s">
        <v>3309</v>
      </c>
      <c r="S525" s="4">
        <f t="shared" ca="1" si="83"/>
        <v>682</v>
      </c>
      <c r="T525">
        <f t="shared" si="84"/>
        <v>1</v>
      </c>
      <c r="U525">
        <f t="shared" si="85"/>
        <v>1</v>
      </c>
      <c r="V525">
        <f t="shared" si="86"/>
        <v>1</v>
      </c>
      <c r="W525">
        <f t="shared" si="87"/>
        <v>3</v>
      </c>
      <c r="X525">
        <f t="shared" si="88"/>
        <v>1.2</v>
      </c>
      <c r="Y525" t="str">
        <f t="shared" si="89"/>
        <v>Healthy</v>
      </c>
    </row>
    <row r="526" spans="1:25" x14ac:dyDescent="0.35">
      <c r="A526" t="s">
        <v>90</v>
      </c>
      <c r="B526" t="s">
        <v>217</v>
      </c>
      <c r="C526" t="s">
        <v>218</v>
      </c>
      <c r="D526" t="s">
        <v>219</v>
      </c>
      <c r="E526">
        <v>80888567</v>
      </c>
      <c r="F526" t="s">
        <v>518</v>
      </c>
      <c r="G526" s="3">
        <v>46874</v>
      </c>
      <c r="H526">
        <v>24</v>
      </c>
      <c r="I526">
        <v>95</v>
      </c>
      <c r="J526">
        <v>480</v>
      </c>
      <c r="K526" s="4">
        <v>147259.20000000001</v>
      </c>
      <c r="L526" s="4">
        <v>25782.714285714286</v>
      </c>
      <c r="M526" s="4">
        <v>1.8617124429989085E-2</v>
      </c>
      <c r="N526" t="s">
        <v>25</v>
      </c>
      <c r="O526" t="str">
        <f t="shared" si="80"/>
        <v>Low</v>
      </c>
      <c r="P526" t="str">
        <f t="shared" si="81"/>
        <v>Low</v>
      </c>
      <c r="Q526" t="str">
        <f t="shared" si="82"/>
        <v>Low</v>
      </c>
      <c r="R526" t="s">
        <v>3309</v>
      </c>
      <c r="S526" s="4">
        <f t="shared" ca="1" si="83"/>
        <v>677</v>
      </c>
      <c r="T526">
        <f t="shared" si="84"/>
        <v>1</v>
      </c>
      <c r="U526">
        <f t="shared" si="85"/>
        <v>1</v>
      </c>
      <c r="V526">
        <f t="shared" si="86"/>
        <v>1</v>
      </c>
      <c r="W526">
        <f t="shared" si="87"/>
        <v>3</v>
      </c>
      <c r="X526">
        <f t="shared" si="88"/>
        <v>1.2</v>
      </c>
      <c r="Y526" t="str">
        <f t="shared" si="89"/>
        <v>Healthy</v>
      </c>
    </row>
    <row r="527" spans="1:25" x14ac:dyDescent="0.35">
      <c r="A527" t="s">
        <v>90</v>
      </c>
      <c r="B527" t="s">
        <v>217</v>
      </c>
      <c r="C527" t="s">
        <v>218</v>
      </c>
      <c r="D527" t="s">
        <v>219</v>
      </c>
      <c r="E527">
        <v>80888567</v>
      </c>
      <c r="F527" t="s">
        <v>518</v>
      </c>
      <c r="G527" s="3">
        <v>46895</v>
      </c>
      <c r="H527">
        <v>24</v>
      </c>
      <c r="I527">
        <v>98</v>
      </c>
      <c r="J527">
        <v>864</v>
      </c>
      <c r="K527" s="4">
        <v>265066.56</v>
      </c>
      <c r="L527" s="4">
        <v>25782.714285714286</v>
      </c>
      <c r="M527" s="4">
        <v>3.351082397398035E-2</v>
      </c>
      <c r="N527" t="s">
        <v>25</v>
      </c>
      <c r="O527" t="str">
        <f t="shared" si="80"/>
        <v>Low</v>
      </c>
      <c r="P527" t="str">
        <f t="shared" si="81"/>
        <v>Low</v>
      </c>
      <c r="Q527" t="str">
        <f t="shared" si="82"/>
        <v>Low</v>
      </c>
      <c r="R527" t="s">
        <v>3309</v>
      </c>
      <c r="S527" s="4">
        <f t="shared" ca="1" si="83"/>
        <v>698</v>
      </c>
      <c r="T527">
        <f t="shared" si="84"/>
        <v>1</v>
      </c>
      <c r="U527">
        <f t="shared" si="85"/>
        <v>1</v>
      </c>
      <c r="V527">
        <f t="shared" si="86"/>
        <v>1</v>
      </c>
      <c r="W527">
        <f t="shared" si="87"/>
        <v>3</v>
      </c>
      <c r="X527">
        <f t="shared" si="88"/>
        <v>1.2</v>
      </c>
      <c r="Y527" t="str">
        <f t="shared" si="89"/>
        <v>Healthy</v>
      </c>
    </row>
    <row r="528" spans="1:25" x14ac:dyDescent="0.35">
      <c r="A528" t="s">
        <v>90</v>
      </c>
      <c r="B528" t="s">
        <v>217</v>
      </c>
      <c r="C528" t="s">
        <v>218</v>
      </c>
      <c r="D528" t="s">
        <v>219</v>
      </c>
      <c r="E528">
        <v>80888567</v>
      </c>
      <c r="F528" t="s">
        <v>518</v>
      </c>
      <c r="G528" s="3">
        <v>46863</v>
      </c>
      <c r="H528">
        <v>24</v>
      </c>
      <c r="I528">
        <v>93</v>
      </c>
      <c r="J528">
        <v>688</v>
      </c>
      <c r="K528" s="4">
        <v>211071.52</v>
      </c>
      <c r="L528" s="4">
        <v>25782.714285714286</v>
      </c>
      <c r="M528" s="4">
        <v>2.6684545016317687E-2</v>
      </c>
      <c r="N528" t="s">
        <v>25</v>
      </c>
      <c r="O528" t="str">
        <f t="shared" si="80"/>
        <v>Low</v>
      </c>
      <c r="P528" t="str">
        <f t="shared" si="81"/>
        <v>Low</v>
      </c>
      <c r="Q528" t="str">
        <f t="shared" si="82"/>
        <v>Low</v>
      </c>
      <c r="R528" t="s">
        <v>3309</v>
      </c>
      <c r="S528" s="4">
        <f t="shared" ca="1" si="83"/>
        <v>666</v>
      </c>
      <c r="T528">
        <f t="shared" si="84"/>
        <v>1</v>
      </c>
      <c r="U528">
        <f t="shared" si="85"/>
        <v>1</v>
      </c>
      <c r="V528">
        <f t="shared" si="86"/>
        <v>1</v>
      </c>
      <c r="W528">
        <f t="shared" si="87"/>
        <v>3</v>
      </c>
      <c r="X528">
        <f t="shared" si="88"/>
        <v>1.2</v>
      </c>
      <c r="Y528" t="str">
        <f t="shared" si="89"/>
        <v>Healthy</v>
      </c>
    </row>
    <row r="529" spans="1:25" x14ac:dyDescent="0.35">
      <c r="A529" t="s">
        <v>90</v>
      </c>
      <c r="B529" t="s">
        <v>217</v>
      </c>
      <c r="C529" t="s">
        <v>218</v>
      </c>
      <c r="D529" t="s">
        <v>219</v>
      </c>
      <c r="E529">
        <v>80888567</v>
      </c>
      <c r="F529" t="s">
        <v>518</v>
      </c>
      <c r="G529" s="3">
        <v>46865</v>
      </c>
      <c r="H529">
        <v>24</v>
      </c>
      <c r="I529">
        <v>93</v>
      </c>
      <c r="J529">
        <v>1217</v>
      </c>
      <c r="K529" s="4">
        <v>373363.43</v>
      </c>
      <c r="L529" s="4">
        <v>25782.714285714286</v>
      </c>
      <c r="M529" s="4">
        <v>4.7202167565201493E-2</v>
      </c>
      <c r="N529" t="s">
        <v>25</v>
      </c>
      <c r="O529" t="str">
        <f t="shared" si="80"/>
        <v>Low</v>
      </c>
      <c r="P529" t="str">
        <f t="shared" si="81"/>
        <v>Low</v>
      </c>
      <c r="Q529" t="str">
        <f t="shared" si="82"/>
        <v>Low</v>
      </c>
      <c r="R529" t="s">
        <v>3309</v>
      </c>
      <c r="S529" s="4">
        <f t="shared" ca="1" si="83"/>
        <v>668</v>
      </c>
      <c r="T529">
        <f t="shared" si="84"/>
        <v>1</v>
      </c>
      <c r="U529">
        <f t="shared" si="85"/>
        <v>1</v>
      </c>
      <c r="V529">
        <f t="shared" si="86"/>
        <v>1</v>
      </c>
      <c r="W529">
        <f t="shared" si="87"/>
        <v>3</v>
      </c>
      <c r="X529">
        <f t="shared" si="88"/>
        <v>1.2</v>
      </c>
      <c r="Y529" t="str">
        <f t="shared" si="89"/>
        <v>Healthy</v>
      </c>
    </row>
    <row r="530" spans="1:25" x14ac:dyDescent="0.35">
      <c r="A530" t="s">
        <v>90</v>
      </c>
      <c r="B530" t="s">
        <v>217</v>
      </c>
      <c r="C530" t="s">
        <v>218</v>
      </c>
      <c r="D530" t="s">
        <v>219</v>
      </c>
      <c r="E530">
        <v>80888567</v>
      </c>
      <c r="F530" t="s">
        <v>518</v>
      </c>
      <c r="G530" s="3">
        <v>46905</v>
      </c>
      <c r="H530">
        <v>24</v>
      </c>
      <c r="I530">
        <v>99</v>
      </c>
      <c r="J530">
        <v>963</v>
      </c>
      <c r="K530" s="4">
        <v>295438.77</v>
      </c>
      <c r="L530" s="4">
        <v>25782.714285714286</v>
      </c>
      <c r="M530" s="4">
        <v>3.7350605887665603E-2</v>
      </c>
      <c r="N530" t="s">
        <v>25</v>
      </c>
      <c r="O530" t="str">
        <f t="shared" si="80"/>
        <v>Low</v>
      </c>
      <c r="P530" t="str">
        <f t="shared" si="81"/>
        <v>Low</v>
      </c>
      <c r="Q530" t="str">
        <f t="shared" si="82"/>
        <v>Low</v>
      </c>
      <c r="R530" t="s">
        <v>3309</v>
      </c>
      <c r="S530" s="4">
        <f t="shared" ca="1" si="83"/>
        <v>708</v>
      </c>
      <c r="T530">
        <f t="shared" si="84"/>
        <v>1</v>
      </c>
      <c r="U530">
        <f t="shared" si="85"/>
        <v>1</v>
      </c>
      <c r="V530">
        <f t="shared" si="86"/>
        <v>1</v>
      </c>
      <c r="W530">
        <f t="shared" si="87"/>
        <v>3</v>
      </c>
      <c r="X530">
        <f t="shared" si="88"/>
        <v>1.2</v>
      </c>
      <c r="Y530" t="str">
        <f t="shared" si="89"/>
        <v>Healthy</v>
      </c>
    </row>
    <row r="531" spans="1:25" x14ac:dyDescent="0.35">
      <c r="A531" t="s">
        <v>189</v>
      </c>
      <c r="B531" t="s">
        <v>417</v>
      </c>
      <c r="C531" t="s">
        <v>417</v>
      </c>
      <c r="D531" t="s">
        <v>519</v>
      </c>
      <c r="E531">
        <v>80895628</v>
      </c>
      <c r="F531" t="s">
        <v>520</v>
      </c>
      <c r="G531" s="3">
        <v>46674</v>
      </c>
      <c r="H531">
        <v>18</v>
      </c>
      <c r="I531">
        <v>89</v>
      </c>
      <c r="J531">
        <v>3548</v>
      </c>
      <c r="K531" s="4">
        <v>142097.4</v>
      </c>
      <c r="L531" s="4">
        <v>13514.714285714286</v>
      </c>
      <c r="M531" s="4">
        <v>0.26252867245224781</v>
      </c>
      <c r="N531" t="s">
        <v>25</v>
      </c>
      <c r="O531" t="str">
        <f t="shared" si="80"/>
        <v>Low</v>
      </c>
      <c r="P531" t="str">
        <f t="shared" si="81"/>
        <v>Low</v>
      </c>
      <c r="Q531" t="str">
        <f t="shared" si="82"/>
        <v>Low</v>
      </c>
      <c r="R531" t="s">
        <v>3309</v>
      </c>
      <c r="S531" s="4">
        <f t="shared" ca="1" si="83"/>
        <v>477</v>
      </c>
      <c r="T531">
        <f t="shared" si="84"/>
        <v>1</v>
      </c>
      <c r="U531">
        <f t="shared" si="85"/>
        <v>1</v>
      </c>
      <c r="V531">
        <f t="shared" si="86"/>
        <v>1</v>
      </c>
      <c r="W531">
        <f t="shared" si="87"/>
        <v>3</v>
      </c>
      <c r="X531">
        <f t="shared" si="88"/>
        <v>1.2</v>
      </c>
      <c r="Y531" t="str">
        <f t="shared" si="89"/>
        <v>Healthy</v>
      </c>
    </row>
    <row r="532" spans="1:25" x14ac:dyDescent="0.35">
      <c r="A532" t="s">
        <v>189</v>
      </c>
      <c r="B532" t="s">
        <v>417</v>
      </c>
      <c r="C532" t="s">
        <v>417</v>
      </c>
      <c r="D532" t="s">
        <v>519</v>
      </c>
      <c r="E532">
        <v>80895628</v>
      </c>
      <c r="F532" t="s">
        <v>520</v>
      </c>
      <c r="G532" s="3">
        <v>46667</v>
      </c>
      <c r="H532">
        <v>18</v>
      </c>
      <c r="I532">
        <v>88</v>
      </c>
      <c r="J532">
        <v>2428</v>
      </c>
      <c r="K532" s="4">
        <v>97241.4</v>
      </c>
      <c r="L532" s="4">
        <v>13514.714285714286</v>
      </c>
      <c r="M532" s="4">
        <v>0.17965603627791929</v>
      </c>
      <c r="N532" t="s">
        <v>25</v>
      </c>
      <c r="O532" t="str">
        <f t="shared" si="80"/>
        <v>Low</v>
      </c>
      <c r="P532" t="str">
        <f t="shared" si="81"/>
        <v>Low</v>
      </c>
      <c r="Q532" t="str">
        <f t="shared" si="82"/>
        <v>Low</v>
      </c>
      <c r="R532" t="s">
        <v>3310</v>
      </c>
      <c r="S532" s="4">
        <f t="shared" ca="1" si="83"/>
        <v>470</v>
      </c>
      <c r="T532">
        <f t="shared" si="84"/>
        <v>1</v>
      </c>
      <c r="U532">
        <f t="shared" si="85"/>
        <v>1</v>
      </c>
      <c r="V532">
        <f t="shared" si="86"/>
        <v>1</v>
      </c>
      <c r="W532">
        <f t="shared" si="87"/>
        <v>2</v>
      </c>
      <c r="X532">
        <f t="shared" si="88"/>
        <v>1.0999999999999999</v>
      </c>
      <c r="Y532" t="str">
        <f t="shared" si="89"/>
        <v>Healthy</v>
      </c>
    </row>
    <row r="533" spans="1:25" x14ac:dyDescent="0.35">
      <c r="A533" t="s">
        <v>189</v>
      </c>
      <c r="B533" t="s">
        <v>417</v>
      </c>
      <c r="C533" t="s">
        <v>417</v>
      </c>
      <c r="D533" t="s">
        <v>521</v>
      </c>
      <c r="E533">
        <v>80895630</v>
      </c>
      <c r="F533" t="s">
        <v>522</v>
      </c>
      <c r="G533" s="3">
        <v>46611</v>
      </c>
      <c r="H533">
        <v>18</v>
      </c>
      <c r="I533">
        <v>78</v>
      </c>
      <c r="J533">
        <v>594</v>
      </c>
      <c r="K533" s="4">
        <v>23789.7</v>
      </c>
      <c r="L533" s="4">
        <v>9660.2857142857138</v>
      </c>
      <c r="M533" s="4">
        <v>6.1488864570701844E-2</v>
      </c>
      <c r="N533" t="s">
        <v>25</v>
      </c>
      <c r="O533" t="str">
        <f t="shared" si="80"/>
        <v>Low</v>
      </c>
      <c r="P533" t="str">
        <f t="shared" si="81"/>
        <v>Low</v>
      </c>
      <c r="Q533" t="str">
        <f t="shared" si="82"/>
        <v>Low</v>
      </c>
      <c r="R533" t="s">
        <v>3317</v>
      </c>
      <c r="S533" s="4">
        <f t="shared" ca="1" si="83"/>
        <v>414</v>
      </c>
      <c r="T533">
        <f t="shared" si="84"/>
        <v>1</v>
      </c>
      <c r="U533">
        <f t="shared" si="85"/>
        <v>1</v>
      </c>
      <c r="V533">
        <f t="shared" si="86"/>
        <v>1</v>
      </c>
      <c r="W533">
        <f t="shared" si="87"/>
        <v>1</v>
      </c>
      <c r="X533">
        <f t="shared" si="88"/>
        <v>0.99999999999999989</v>
      </c>
      <c r="Y533" t="str">
        <f t="shared" si="89"/>
        <v>Healthy</v>
      </c>
    </row>
    <row r="534" spans="1:25" x14ac:dyDescent="0.35">
      <c r="A534" t="s">
        <v>41</v>
      </c>
      <c r="B534" t="s">
        <v>80</v>
      </c>
      <c r="C534" t="s">
        <v>502</v>
      </c>
      <c r="D534" t="s">
        <v>523</v>
      </c>
      <c r="E534">
        <v>80896318</v>
      </c>
      <c r="F534" t="s">
        <v>524</v>
      </c>
      <c r="G534" s="3">
        <v>47034</v>
      </c>
      <c r="H534">
        <v>36</v>
      </c>
      <c r="I534">
        <v>78</v>
      </c>
      <c r="J534">
        <v>24</v>
      </c>
      <c r="K534" s="4">
        <v>6527.76</v>
      </c>
      <c r="L534" s="4">
        <f>0</f>
        <v>0</v>
      </c>
      <c r="M534" s="4">
        <f>999</f>
        <v>999</v>
      </c>
      <c r="N534" t="s">
        <v>19</v>
      </c>
      <c r="O534" t="str">
        <f t="shared" si="80"/>
        <v>Low</v>
      </c>
      <c r="P534" t="str">
        <f t="shared" si="81"/>
        <v>High</v>
      </c>
      <c r="Q534" t="str">
        <f t="shared" si="82"/>
        <v>High</v>
      </c>
      <c r="R534" t="s">
        <v>3317</v>
      </c>
      <c r="S534" s="4">
        <f t="shared" ca="1" si="83"/>
        <v>837</v>
      </c>
      <c r="T534">
        <f t="shared" si="84"/>
        <v>1</v>
      </c>
      <c r="U534">
        <f t="shared" si="85"/>
        <v>3</v>
      </c>
      <c r="V534">
        <f t="shared" si="86"/>
        <v>3</v>
      </c>
      <c r="W534">
        <f t="shared" si="87"/>
        <v>1</v>
      </c>
      <c r="X534">
        <f t="shared" si="88"/>
        <v>2</v>
      </c>
      <c r="Y534" t="str">
        <f t="shared" si="89"/>
        <v>Monitor</v>
      </c>
    </row>
    <row r="535" spans="1:25" x14ac:dyDescent="0.35">
      <c r="A535" t="s">
        <v>189</v>
      </c>
      <c r="B535" t="s">
        <v>525</v>
      </c>
      <c r="C535" t="s">
        <v>525</v>
      </c>
      <c r="D535" t="s">
        <v>526</v>
      </c>
      <c r="E535">
        <v>80895619</v>
      </c>
      <c r="F535" t="s">
        <v>527</v>
      </c>
      <c r="G535" s="3">
        <v>47181</v>
      </c>
      <c r="H535">
        <v>36</v>
      </c>
      <c r="I535">
        <v>92</v>
      </c>
      <c r="J535">
        <v>12</v>
      </c>
      <c r="K535" s="4">
        <v>1163.1600000000001</v>
      </c>
      <c r="L535" s="4">
        <v>3811.5714285714284</v>
      </c>
      <c r="M535" s="4">
        <v>3.1483077845657959E-3</v>
      </c>
      <c r="N535" t="s">
        <v>25</v>
      </c>
      <c r="O535" t="str">
        <f t="shared" si="80"/>
        <v>Low</v>
      </c>
      <c r="P535" t="str">
        <f t="shared" si="81"/>
        <v>Low</v>
      </c>
      <c r="Q535" t="str">
        <f t="shared" si="82"/>
        <v>Low</v>
      </c>
      <c r="R535" t="s">
        <v>3317</v>
      </c>
      <c r="S535" s="4">
        <f t="shared" ca="1" si="83"/>
        <v>984</v>
      </c>
      <c r="T535">
        <f t="shared" si="84"/>
        <v>1</v>
      </c>
      <c r="U535">
        <f t="shared" si="85"/>
        <v>1</v>
      </c>
      <c r="V535">
        <f t="shared" si="86"/>
        <v>1</v>
      </c>
      <c r="W535">
        <f t="shared" si="87"/>
        <v>1</v>
      </c>
      <c r="X535">
        <f t="shared" si="88"/>
        <v>0.99999999999999989</v>
      </c>
      <c r="Y535" t="str">
        <f t="shared" si="89"/>
        <v>Healthy</v>
      </c>
    </row>
    <row r="536" spans="1:25" x14ac:dyDescent="0.35">
      <c r="A536" t="s">
        <v>189</v>
      </c>
      <c r="B536" t="s">
        <v>417</v>
      </c>
      <c r="C536" t="s">
        <v>417</v>
      </c>
      <c r="D536" t="s">
        <v>418</v>
      </c>
      <c r="E536">
        <v>80895631</v>
      </c>
      <c r="F536" t="s">
        <v>528</v>
      </c>
      <c r="G536" s="3">
        <v>46571</v>
      </c>
      <c r="H536">
        <v>18</v>
      </c>
      <c r="I536">
        <v>70</v>
      </c>
      <c r="J536">
        <v>417</v>
      </c>
      <c r="K536" s="4">
        <v>16700.849999999999</v>
      </c>
      <c r="L536" s="4">
        <v>214.42857142857142</v>
      </c>
      <c r="M536" s="4">
        <v>1.9447035309793472</v>
      </c>
      <c r="N536" t="s">
        <v>25</v>
      </c>
      <c r="O536" t="str">
        <f t="shared" si="80"/>
        <v>Low</v>
      </c>
      <c r="P536" t="str">
        <f t="shared" si="81"/>
        <v>Low</v>
      </c>
      <c r="Q536" t="str">
        <f t="shared" si="82"/>
        <v>Low</v>
      </c>
      <c r="R536" t="s">
        <v>3317</v>
      </c>
      <c r="S536" s="4">
        <f t="shared" ca="1" si="83"/>
        <v>374</v>
      </c>
      <c r="T536">
        <f t="shared" si="84"/>
        <v>1</v>
      </c>
      <c r="U536">
        <f t="shared" si="85"/>
        <v>1</v>
      </c>
      <c r="V536">
        <f t="shared" si="86"/>
        <v>1</v>
      </c>
      <c r="W536">
        <f t="shared" si="87"/>
        <v>1</v>
      </c>
      <c r="X536">
        <f t="shared" si="88"/>
        <v>0.99999999999999989</v>
      </c>
      <c r="Y536" t="str">
        <f t="shared" si="89"/>
        <v>Healthy</v>
      </c>
    </row>
    <row r="537" spans="1:25" x14ac:dyDescent="0.35">
      <c r="A537" t="s">
        <v>189</v>
      </c>
      <c r="B537" t="s">
        <v>525</v>
      </c>
      <c r="C537" t="s">
        <v>525</v>
      </c>
      <c r="D537" t="s">
        <v>526</v>
      </c>
      <c r="E537">
        <v>80895619</v>
      </c>
      <c r="F537" t="s">
        <v>527</v>
      </c>
      <c r="G537" s="3">
        <v>47090</v>
      </c>
      <c r="H537">
        <v>36</v>
      </c>
      <c r="I537">
        <v>83</v>
      </c>
      <c r="J537">
        <v>109</v>
      </c>
      <c r="K537" s="4">
        <v>10565.37</v>
      </c>
      <c r="L537" s="4">
        <v>3811.5714285714284</v>
      </c>
      <c r="M537" s="4">
        <v>2.8597129043139314E-2</v>
      </c>
      <c r="N537" t="s">
        <v>25</v>
      </c>
      <c r="O537" t="str">
        <f t="shared" si="80"/>
        <v>Low</v>
      </c>
      <c r="P537" t="str">
        <f t="shared" si="81"/>
        <v>Low</v>
      </c>
      <c r="Q537" t="str">
        <f t="shared" si="82"/>
        <v>Low</v>
      </c>
      <c r="R537" t="s">
        <v>3317</v>
      </c>
      <c r="S537" s="4">
        <f t="shared" ca="1" si="83"/>
        <v>893</v>
      </c>
      <c r="T537">
        <f t="shared" si="84"/>
        <v>1</v>
      </c>
      <c r="U537">
        <f t="shared" si="85"/>
        <v>1</v>
      </c>
      <c r="V537">
        <f t="shared" si="86"/>
        <v>1</v>
      </c>
      <c r="W537">
        <f t="shared" si="87"/>
        <v>1</v>
      </c>
      <c r="X537">
        <f t="shared" si="88"/>
        <v>0.99999999999999989</v>
      </c>
      <c r="Y537" t="str">
        <f t="shared" si="89"/>
        <v>Healthy</v>
      </c>
    </row>
    <row r="538" spans="1:25" x14ac:dyDescent="0.35">
      <c r="A538" t="s">
        <v>189</v>
      </c>
      <c r="B538" t="s">
        <v>525</v>
      </c>
      <c r="C538" t="s">
        <v>525</v>
      </c>
      <c r="D538" t="s">
        <v>526</v>
      </c>
      <c r="E538">
        <v>80895619</v>
      </c>
      <c r="F538" t="s">
        <v>527</v>
      </c>
      <c r="G538" s="3">
        <v>47113</v>
      </c>
      <c r="H538">
        <v>36</v>
      </c>
      <c r="I538">
        <v>85</v>
      </c>
      <c r="J538">
        <v>52</v>
      </c>
      <c r="K538" s="4">
        <v>5040.3599999999997</v>
      </c>
      <c r="L538" s="4">
        <v>3811.5714285714284</v>
      </c>
      <c r="M538" s="4">
        <v>1.3642667066451782E-2</v>
      </c>
      <c r="N538" t="s">
        <v>25</v>
      </c>
      <c r="O538" t="str">
        <f t="shared" si="80"/>
        <v>Low</v>
      </c>
      <c r="P538" t="str">
        <f t="shared" si="81"/>
        <v>Low</v>
      </c>
      <c r="Q538" t="str">
        <f t="shared" si="82"/>
        <v>Low</v>
      </c>
      <c r="R538" t="s">
        <v>3317</v>
      </c>
      <c r="S538" s="4">
        <f t="shared" ca="1" si="83"/>
        <v>916</v>
      </c>
      <c r="T538">
        <f t="shared" si="84"/>
        <v>1</v>
      </c>
      <c r="U538">
        <f t="shared" si="85"/>
        <v>1</v>
      </c>
      <c r="V538">
        <f t="shared" si="86"/>
        <v>1</v>
      </c>
      <c r="W538">
        <f t="shared" si="87"/>
        <v>1</v>
      </c>
      <c r="X538">
        <f t="shared" si="88"/>
        <v>0.99999999999999989</v>
      </c>
      <c r="Y538" t="str">
        <f t="shared" si="89"/>
        <v>Healthy</v>
      </c>
    </row>
    <row r="539" spans="1:25" x14ac:dyDescent="0.35">
      <c r="A539" t="s">
        <v>189</v>
      </c>
      <c r="B539" t="s">
        <v>417</v>
      </c>
      <c r="C539" t="s">
        <v>417</v>
      </c>
      <c r="D539" t="s">
        <v>529</v>
      </c>
      <c r="E539">
        <v>80895633</v>
      </c>
      <c r="F539" t="s">
        <v>530</v>
      </c>
      <c r="G539" s="3">
        <v>46638</v>
      </c>
      <c r="H539">
        <v>18</v>
      </c>
      <c r="I539">
        <v>83</v>
      </c>
      <c r="J539">
        <v>352</v>
      </c>
      <c r="K539" s="4">
        <v>64852.480000000003</v>
      </c>
      <c r="L539" s="4">
        <v>38254.714285714283</v>
      </c>
      <c r="M539" s="4">
        <v>9.2014803030812265E-3</v>
      </c>
      <c r="N539" t="s">
        <v>25</v>
      </c>
      <c r="O539" t="str">
        <f t="shared" si="80"/>
        <v>Low</v>
      </c>
      <c r="P539" t="str">
        <f t="shared" si="81"/>
        <v>Low</v>
      </c>
      <c r="Q539" t="str">
        <f t="shared" si="82"/>
        <v>Low</v>
      </c>
      <c r="R539" t="s">
        <v>3317</v>
      </c>
      <c r="S539" s="4">
        <f t="shared" ca="1" si="83"/>
        <v>441</v>
      </c>
      <c r="T539">
        <f t="shared" si="84"/>
        <v>1</v>
      </c>
      <c r="U539">
        <f t="shared" si="85"/>
        <v>1</v>
      </c>
      <c r="V539">
        <f t="shared" si="86"/>
        <v>1</v>
      </c>
      <c r="W539">
        <f t="shared" si="87"/>
        <v>1</v>
      </c>
      <c r="X539">
        <f t="shared" si="88"/>
        <v>0.99999999999999989</v>
      </c>
      <c r="Y539" t="str">
        <f t="shared" si="89"/>
        <v>Healthy</v>
      </c>
    </row>
    <row r="540" spans="1:25" x14ac:dyDescent="0.35">
      <c r="A540" t="s">
        <v>189</v>
      </c>
      <c r="B540" t="s">
        <v>525</v>
      </c>
      <c r="C540" t="s">
        <v>525</v>
      </c>
      <c r="D540" t="s">
        <v>526</v>
      </c>
      <c r="E540">
        <v>80895619</v>
      </c>
      <c r="F540" t="s">
        <v>527</v>
      </c>
      <c r="G540" s="3">
        <v>47091</v>
      </c>
      <c r="H540">
        <v>36</v>
      </c>
      <c r="I540">
        <v>83</v>
      </c>
      <c r="J540">
        <v>800</v>
      </c>
      <c r="K540" s="4">
        <v>77544</v>
      </c>
      <c r="L540" s="4">
        <v>3811.5714285714284</v>
      </c>
      <c r="M540" s="4">
        <v>0.20988718563771974</v>
      </c>
      <c r="N540" t="s">
        <v>25</v>
      </c>
      <c r="O540" t="str">
        <f t="shared" si="80"/>
        <v>Low</v>
      </c>
      <c r="P540" t="str">
        <f t="shared" si="81"/>
        <v>Low</v>
      </c>
      <c r="Q540" t="str">
        <f t="shared" si="82"/>
        <v>Low</v>
      </c>
      <c r="R540" t="s">
        <v>3310</v>
      </c>
      <c r="S540" s="4">
        <f t="shared" ca="1" si="83"/>
        <v>894</v>
      </c>
      <c r="T540">
        <f t="shared" si="84"/>
        <v>1</v>
      </c>
      <c r="U540">
        <f t="shared" si="85"/>
        <v>1</v>
      </c>
      <c r="V540">
        <f t="shared" si="86"/>
        <v>1</v>
      </c>
      <c r="W540">
        <f t="shared" si="87"/>
        <v>2</v>
      </c>
      <c r="X540">
        <f t="shared" si="88"/>
        <v>1.0999999999999999</v>
      </c>
      <c r="Y540" t="str">
        <f t="shared" si="89"/>
        <v>Healthy</v>
      </c>
    </row>
    <row r="541" spans="1:25" x14ac:dyDescent="0.35">
      <c r="A541" t="s">
        <v>189</v>
      </c>
      <c r="B541" t="s">
        <v>417</v>
      </c>
      <c r="C541" t="s">
        <v>417</v>
      </c>
      <c r="D541" t="s">
        <v>529</v>
      </c>
      <c r="E541">
        <v>80895633</v>
      </c>
      <c r="F541" t="s">
        <v>530</v>
      </c>
      <c r="G541" s="3">
        <v>46644</v>
      </c>
      <c r="H541">
        <v>18</v>
      </c>
      <c r="I541">
        <v>84</v>
      </c>
      <c r="J541">
        <v>10304</v>
      </c>
      <c r="K541" s="4">
        <v>1898408.96</v>
      </c>
      <c r="L541" s="4">
        <v>38254.714285714283</v>
      </c>
      <c r="M541" s="4">
        <v>0.26935242341746862</v>
      </c>
      <c r="N541" t="s">
        <v>25</v>
      </c>
      <c r="O541" t="str">
        <f t="shared" si="80"/>
        <v>Low</v>
      </c>
      <c r="P541" t="str">
        <f t="shared" si="81"/>
        <v>Low</v>
      </c>
      <c r="Q541" t="str">
        <f t="shared" si="82"/>
        <v>Low</v>
      </c>
      <c r="R541" t="s">
        <v>3309</v>
      </c>
      <c r="S541" s="4">
        <f t="shared" ca="1" si="83"/>
        <v>447</v>
      </c>
      <c r="T541">
        <f t="shared" si="84"/>
        <v>1</v>
      </c>
      <c r="U541">
        <f t="shared" si="85"/>
        <v>1</v>
      </c>
      <c r="V541">
        <f t="shared" si="86"/>
        <v>1</v>
      </c>
      <c r="W541">
        <f t="shared" si="87"/>
        <v>3</v>
      </c>
      <c r="X541">
        <f t="shared" si="88"/>
        <v>1.2</v>
      </c>
      <c r="Y541" t="str">
        <f t="shared" si="89"/>
        <v>Healthy</v>
      </c>
    </row>
    <row r="542" spans="1:25" x14ac:dyDescent="0.35">
      <c r="A542" t="s">
        <v>189</v>
      </c>
      <c r="B542" t="s">
        <v>525</v>
      </c>
      <c r="C542" t="s">
        <v>525</v>
      </c>
      <c r="D542" t="s">
        <v>526</v>
      </c>
      <c r="E542">
        <v>80895619</v>
      </c>
      <c r="F542" t="s">
        <v>527</v>
      </c>
      <c r="G542" s="3">
        <v>47183</v>
      </c>
      <c r="H542">
        <v>36</v>
      </c>
      <c r="I542">
        <v>92</v>
      </c>
      <c r="J542">
        <v>39</v>
      </c>
      <c r="K542" s="4">
        <v>3780.27</v>
      </c>
      <c r="L542" s="4">
        <v>3811.5714285714284</v>
      </c>
      <c r="M542" s="4">
        <v>1.0232000299838838E-2</v>
      </c>
      <c r="N542" t="s">
        <v>25</v>
      </c>
      <c r="O542" t="str">
        <f t="shared" si="80"/>
        <v>Low</v>
      </c>
      <c r="P542" t="str">
        <f t="shared" si="81"/>
        <v>Low</v>
      </c>
      <c r="Q542" t="str">
        <f t="shared" si="82"/>
        <v>Low</v>
      </c>
      <c r="R542" t="s">
        <v>3317</v>
      </c>
      <c r="S542" s="4">
        <f t="shared" ca="1" si="83"/>
        <v>986</v>
      </c>
      <c r="T542">
        <f t="shared" si="84"/>
        <v>1</v>
      </c>
      <c r="U542">
        <f t="shared" si="85"/>
        <v>1</v>
      </c>
      <c r="V542">
        <f t="shared" si="86"/>
        <v>1</v>
      </c>
      <c r="W542">
        <f t="shared" si="87"/>
        <v>1</v>
      </c>
      <c r="X542">
        <f t="shared" si="88"/>
        <v>0.99999999999999989</v>
      </c>
      <c r="Y542" t="str">
        <f t="shared" si="89"/>
        <v>Healthy</v>
      </c>
    </row>
    <row r="543" spans="1:25" x14ac:dyDescent="0.35">
      <c r="A543" t="s">
        <v>189</v>
      </c>
      <c r="B543" t="s">
        <v>417</v>
      </c>
      <c r="C543" t="s">
        <v>417</v>
      </c>
      <c r="D543" t="s">
        <v>529</v>
      </c>
      <c r="E543">
        <v>80895633</v>
      </c>
      <c r="F543" t="s">
        <v>530</v>
      </c>
      <c r="G543" s="3">
        <v>46625</v>
      </c>
      <c r="H543">
        <v>18</v>
      </c>
      <c r="I543">
        <v>80</v>
      </c>
      <c r="J543">
        <v>76</v>
      </c>
      <c r="K543" s="4">
        <v>14002.24</v>
      </c>
      <c r="L543" s="4">
        <v>38254.714285714283</v>
      </c>
      <c r="M543" s="4">
        <v>1.9866832472561738E-3</v>
      </c>
      <c r="N543" t="s">
        <v>25</v>
      </c>
      <c r="O543" t="str">
        <f t="shared" si="80"/>
        <v>Low</v>
      </c>
      <c r="P543" t="str">
        <f t="shared" si="81"/>
        <v>Low</v>
      </c>
      <c r="Q543" t="str">
        <f t="shared" si="82"/>
        <v>Low</v>
      </c>
      <c r="R543" t="s">
        <v>3317</v>
      </c>
      <c r="S543" s="4">
        <f t="shared" ca="1" si="83"/>
        <v>428</v>
      </c>
      <c r="T543">
        <f t="shared" si="84"/>
        <v>1</v>
      </c>
      <c r="U543">
        <f t="shared" si="85"/>
        <v>1</v>
      </c>
      <c r="V543">
        <f t="shared" si="86"/>
        <v>1</v>
      </c>
      <c r="W543">
        <f t="shared" si="87"/>
        <v>1</v>
      </c>
      <c r="X543">
        <f t="shared" si="88"/>
        <v>0.99999999999999989</v>
      </c>
      <c r="Y543" t="str">
        <f t="shared" si="89"/>
        <v>Healthy</v>
      </c>
    </row>
    <row r="544" spans="1:25" x14ac:dyDescent="0.35">
      <c r="A544" t="s">
        <v>189</v>
      </c>
      <c r="B544" t="s">
        <v>525</v>
      </c>
      <c r="C544" t="s">
        <v>525</v>
      </c>
      <c r="D544" t="s">
        <v>526</v>
      </c>
      <c r="E544">
        <v>80895619</v>
      </c>
      <c r="F544" t="s">
        <v>527</v>
      </c>
      <c r="G544" s="3">
        <v>47117</v>
      </c>
      <c r="H544">
        <v>36</v>
      </c>
      <c r="I544">
        <v>86</v>
      </c>
      <c r="J544">
        <v>47</v>
      </c>
      <c r="K544" s="4">
        <v>4555.71</v>
      </c>
      <c r="L544" s="4">
        <v>3811.5714285714284</v>
      </c>
      <c r="M544" s="4">
        <v>1.2330872156216035E-2</v>
      </c>
      <c r="N544" t="s">
        <v>25</v>
      </c>
      <c r="O544" t="str">
        <f t="shared" si="80"/>
        <v>Low</v>
      </c>
      <c r="P544" t="str">
        <f t="shared" si="81"/>
        <v>Low</v>
      </c>
      <c r="Q544" t="str">
        <f t="shared" si="82"/>
        <v>Low</v>
      </c>
      <c r="R544" t="s">
        <v>3317</v>
      </c>
      <c r="S544" s="4">
        <f t="shared" ca="1" si="83"/>
        <v>920</v>
      </c>
      <c r="T544">
        <f t="shared" si="84"/>
        <v>1</v>
      </c>
      <c r="U544">
        <f t="shared" si="85"/>
        <v>1</v>
      </c>
      <c r="V544">
        <f t="shared" si="86"/>
        <v>1</v>
      </c>
      <c r="W544">
        <f t="shared" si="87"/>
        <v>1</v>
      </c>
      <c r="X544">
        <f t="shared" si="88"/>
        <v>0.99999999999999989</v>
      </c>
      <c r="Y544" t="str">
        <f t="shared" si="89"/>
        <v>Healthy</v>
      </c>
    </row>
    <row r="545" spans="1:25" x14ac:dyDescent="0.35">
      <c r="A545" t="s">
        <v>189</v>
      </c>
      <c r="B545" t="s">
        <v>525</v>
      </c>
      <c r="C545" t="s">
        <v>525</v>
      </c>
      <c r="D545" t="s">
        <v>526</v>
      </c>
      <c r="E545">
        <v>80895619</v>
      </c>
      <c r="F545" t="s">
        <v>527</v>
      </c>
      <c r="G545" s="3">
        <v>47113</v>
      </c>
      <c r="H545">
        <v>36</v>
      </c>
      <c r="I545">
        <v>85</v>
      </c>
      <c r="J545">
        <v>19</v>
      </c>
      <c r="K545" s="4">
        <v>1841.67</v>
      </c>
      <c r="L545" s="4">
        <v>3811.5714285714284</v>
      </c>
      <c r="M545" s="4">
        <v>4.9848206588958433E-3</v>
      </c>
      <c r="N545" t="s">
        <v>25</v>
      </c>
      <c r="O545" t="str">
        <f t="shared" si="80"/>
        <v>Low</v>
      </c>
      <c r="P545" t="str">
        <f t="shared" si="81"/>
        <v>Low</v>
      </c>
      <c r="Q545" t="str">
        <f t="shared" si="82"/>
        <v>Low</v>
      </c>
      <c r="R545" t="s">
        <v>3317</v>
      </c>
      <c r="S545" s="4">
        <f t="shared" ca="1" si="83"/>
        <v>916</v>
      </c>
      <c r="T545">
        <f t="shared" si="84"/>
        <v>1</v>
      </c>
      <c r="U545">
        <f t="shared" si="85"/>
        <v>1</v>
      </c>
      <c r="V545">
        <f t="shared" si="86"/>
        <v>1</v>
      </c>
      <c r="W545">
        <f t="shared" si="87"/>
        <v>1</v>
      </c>
      <c r="X545">
        <f t="shared" si="88"/>
        <v>0.99999999999999989</v>
      </c>
      <c r="Y545" t="str">
        <f t="shared" si="89"/>
        <v>Healthy</v>
      </c>
    </row>
    <row r="546" spans="1:25" x14ac:dyDescent="0.35">
      <c r="A546" t="s">
        <v>189</v>
      </c>
      <c r="B546" t="s">
        <v>417</v>
      </c>
      <c r="C546" t="s">
        <v>417</v>
      </c>
      <c r="D546" t="s">
        <v>529</v>
      </c>
      <c r="E546">
        <v>80895633</v>
      </c>
      <c r="F546" t="s">
        <v>530</v>
      </c>
      <c r="G546" s="3">
        <v>46640</v>
      </c>
      <c r="H546">
        <v>18</v>
      </c>
      <c r="I546">
        <v>83</v>
      </c>
      <c r="J546">
        <v>736</v>
      </c>
      <c r="K546" s="4">
        <v>135600.64000000001</v>
      </c>
      <c r="L546" s="4">
        <v>38254.714285714283</v>
      </c>
      <c r="M546" s="4">
        <v>1.9239458815533475E-2</v>
      </c>
      <c r="N546" t="s">
        <v>25</v>
      </c>
      <c r="O546" t="str">
        <f t="shared" si="80"/>
        <v>Low</v>
      </c>
      <c r="P546" t="str">
        <f t="shared" si="81"/>
        <v>Low</v>
      </c>
      <c r="Q546" t="str">
        <f t="shared" si="82"/>
        <v>Low</v>
      </c>
      <c r="R546" t="s">
        <v>3309</v>
      </c>
      <c r="S546" s="4">
        <f t="shared" ca="1" si="83"/>
        <v>443</v>
      </c>
      <c r="T546">
        <f t="shared" si="84"/>
        <v>1</v>
      </c>
      <c r="U546">
        <f t="shared" si="85"/>
        <v>1</v>
      </c>
      <c r="V546">
        <f t="shared" si="86"/>
        <v>1</v>
      </c>
      <c r="W546">
        <f t="shared" si="87"/>
        <v>3</v>
      </c>
      <c r="X546">
        <f t="shared" si="88"/>
        <v>1.2</v>
      </c>
      <c r="Y546" t="str">
        <f t="shared" si="89"/>
        <v>Healthy</v>
      </c>
    </row>
    <row r="547" spans="1:25" x14ac:dyDescent="0.35">
      <c r="A547" t="s">
        <v>189</v>
      </c>
      <c r="B547" t="s">
        <v>525</v>
      </c>
      <c r="C547" t="s">
        <v>525</v>
      </c>
      <c r="D547" t="s">
        <v>526</v>
      </c>
      <c r="E547">
        <v>80895619</v>
      </c>
      <c r="F547" t="s">
        <v>527</v>
      </c>
      <c r="G547" s="3">
        <v>47181</v>
      </c>
      <c r="H547">
        <v>36</v>
      </c>
      <c r="I547">
        <v>92</v>
      </c>
      <c r="J547">
        <v>90</v>
      </c>
      <c r="K547" s="4">
        <v>8723.7000000000007</v>
      </c>
      <c r="L547" s="4">
        <v>3811.5714285714284</v>
      </c>
      <c r="M547" s="4">
        <v>2.3612308384243469E-2</v>
      </c>
      <c r="N547" t="s">
        <v>25</v>
      </c>
      <c r="O547" t="str">
        <f t="shared" si="80"/>
        <v>Low</v>
      </c>
      <c r="P547" t="str">
        <f t="shared" si="81"/>
        <v>Low</v>
      </c>
      <c r="Q547" t="str">
        <f t="shared" si="82"/>
        <v>Low</v>
      </c>
      <c r="R547" t="s">
        <v>3317</v>
      </c>
      <c r="S547" s="4">
        <f t="shared" ca="1" si="83"/>
        <v>984</v>
      </c>
      <c r="T547">
        <f t="shared" si="84"/>
        <v>1</v>
      </c>
      <c r="U547">
        <f t="shared" si="85"/>
        <v>1</v>
      </c>
      <c r="V547">
        <f t="shared" si="86"/>
        <v>1</v>
      </c>
      <c r="W547">
        <f t="shared" si="87"/>
        <v>1</v>
      </c>
      <c r="X547">
        <f t="shared" si="88"/>
        <v>0.99999999999999989</v>
      </c>
      <c r="Y547" t="str">
        <f t="shared" si="89"/>
        <v>Healthy</v>
      </c>
    </row>
    <row r="548" spans="1:25" x14ac:dyDescent="0.35">
      <c r="A548" t="s">
        <v>189</v>
      </c>
      <c r="B548" t="s">
        <v>417</v>
      </c>
      <c r="C548" t="s">
        <v>417</v>
      </c>
      <c r="D548" t="s">
        <v>531</v>
      </c>
      <c r="E548">
        <v>80895635</v>
      </c>
      <c r="F548" t="s">
        <v>532</v>
      </c>
      <c r="G548" s="3">
        <v>46683</v>
      </c>
      <c r="H548">
        <v>18</v>
      </c>
      <c r="I548">
        <v>91</v>
      </c>
      <c r="J548">
        <v>928</v>
      </c>
      <c r="K548" s="4">
        <v>260174.07999999999</v>
      </c>
      <c r="L548" s="4">
        <v>9888.2857142857138</v>
      </c>
      <c r="M548" s="4">
        <v>9.3848420930971718E-2</v>
      </c>
      <c r="N548" t="s">
        <v>25</v>
      </c>
      <c r="O548" t="str">
        <f t="shared" si="80"/>
        <v>Low</v>
      </c>
      <c r="P548" t="str">
        <f t="shared" si="81"/>
        <v>Low</v>
      </c>
      <c r="Q548" t="str">
        <f t="shared" si="82"/>
        <v>Low</v>
      </c>
      <c r="R548" t="s">
        <v>3309</v>
      </c>
      <c r="S548" s="4">
        <f t="shared" ca="1" si="83"/>
        <v>486</v>
      </c>
      <c r="T548">
        <f t="shared" si="84"/>
        <v>1</v>
      </c>
      <c r="U548">
        <f t="shared" si="85"/>
        <v>1</v>
      </c>
      <c r="V548">
        <f t="shared" si="86"/>
        <v>1</v>
      </c>
      <c r="W548">
        <f t="shared" si="87"/>
        <v>3</v>
      </c>
      <c r="X548">
        <f t="shared" si="88"/>
        <v>1.2</v>
      </c>
      <c r="Y548" t="str">
        <f t="shared" si="89"/>
        <v>Healthy</v>
      </c>
    </row>
    <row r="549" spans="1:25" x14ac:dyDescent="0.35">
      <c r="A549" t="s">
        <v>189</v>
      </c>
      <c r="B549" t="s">
        <v>525</v>
      </c>
      <c r="C549" t="s">
        <v>525</v>
      </c>
      <c r="D549" t="s">
        <v>526</v>
      </c>
      <c r="E549">
        <v>80895619</v>
      </c>
      <c r="F549" t="s">
        <v>527</v>
      </c>
      <c r="G549" s="3">
        <v>47116</v>
      </c>
      <c r="H549">
        <v>36</v>
      </c>
      <c r="I549">
        <v>86</v>
      </c>
      <c r="J549">
        <v>79</v>
      </c>
      <c r="K549" s="4">
        <v>7657.47</v>
      </c>
      <c r="L549" s="4">
        <v>3811.5714285714284</v>
      </c>
      <c r="M549" s="4">
        <v>2.0726359581724824E-2</v>
      </c>
      <c r="N549" t="s">
        <v>25</v>
      </c>
      <c r="O549" t="str">
        <f t="shared" si="80"/>
        <v>Low</v>
      </c>
      <c r="P549" t="str">
        <f t="shared" si="81"/>
        <v>Low</v>
      </c>
      <c r="Q549" t="str">
        <f t="shared" si="82"/>
        <v>Low</v>
      </c>
      <c r="R549" t="s">
        <v>3317</v>
      </c>
      <c r="S549" s="4">
        <f t="shared" ca="1" si="83"/>
        <v>919</v>
      </c>
      <c r="T549">
        <f t="shared" si="84"/>
        <v>1</v>
      </c>
      <c r="U549">
        <f t="shared" si="85"/>
        <v>1</v>
      </c>
      <c r="V549">
        <f t="shared" si="86"/>
        <v>1</v>
      </c>
      <c r="W549">
        <f t="shared" si="87"/>
        <v>1</v>
      </c>
      <c r="X549">
        <f t="shared" si="88"/>
        <v>0.99999999999999989</v>
      </c>
      <c r="Y549" t="str">
        <f t="shared" si="89"/>
        <v>Healthy</v>
      </c>
    </row>
    <row r="550" spans="1:25" x14ac:dyDescent="0.35">
      <c r="A550" t="s">
        <v>189</v>
      </c>
      <c r="B550" t="s">
        <v>525</v>
      </c>
      <c r="C550" t="s">
        <v>525</v>
      </c>
      <c r="D550" t="s">
        <v>526</v>
      </c>
      <c r="E550">
        <v>80895619</v>
      </c>
      <c r="F550" t="s">
        <v>527</v>
      </c>
      <c r="G550" s="3">
        <v>47117</v>
      </c>
      <c r="H550">
        <v>36</v>
      </c>
      <c r="I550">
        <v>86</v>
      </c>
      <c r="J550">
        <v>85</v>
      </c>
      <c r="K550" s="4">
        <v>8239.0499999999993</v>
      </c>
      <c r="L550" s="4">
        <v>3811.5714285714284</v>
      </c>
      <c r="M550" s="4">
        <v>2.2300513474007723E-2</v>
      </c>
      <c r="N550" t="s">
        <v>25</v>
      </c>
      <c r="O550" t="str">
        <f t="shared" si="80"/>
        <v>Low</v>
      </c>
      <c r="P550" t="str">
        <f t="shared" si="81"/>
        <v>Low</v>
      </c>
      <c r="Q550" t="str">
        <f t="shared" si="82"/>
        <v>Low</v>
      </c>
      <c r="R550" t="s">
        <v>3317</v>
      </c>
      <c r="S550" s="4">
        <f t="shared" ca="1" si="83"/>
        <v>920</v>
      </c>
      <c r="T550">
        <f t="shared" si="84"/>
        <v>1</v>
      </c>
      <c r="U550">
        <f t="shared" si="85"/>
        <v>1</v>
      </c>
      <c r="V550">
        <f t="shared" si="86"/>
        <v>1</v>
      </c>
      <c r="W550">
        <f t="shared" si="87"/>
        <v>1</v>
      </c>
      <c r="X550">
        <f t="shared" si="88"/>
        <v>0.99999999999999989</v>
      </c>
      <c r="Y550" t="str">
        <f t="shared" si="89"/>
        <v>Healthy</v>
      </c>
    </row>
    <row r="551" spans="1:25" x14ac:dyDescent="0.35">
      <c r="A551" t="s">
        <v>189</v>
      </c>
      <c r="B551" t="s">
        <v>417</v>
      </c>
      <c r="C551" t="s">
        <v>417</v>
      </c>
      <c r="D551" t="s">
        <v>531</v>
      </c>
      <c r="E551">
        <v>80895635</v>
      </c>
      <c r="F551" t="s">
        <v>532</v>
      </c>
      <c r="G551" s="3">
        <v>46667</v>
      </c>
      <c r="H551">
        <v>18</v>
      </c>
      <c r="I551">
        <v>88</v>
      </c>
      <c r="J551">
        <v>49</v>
      </c>
      <c r="K551" s="4">
        <v>13737.64</v>
      </c>
      <c r="L551" s="4">
        <v>9888.2857142857138</v>
      </c>
      <c r="M551" s="4">
        <v>4.9553584327776011E-3</v>
      </c>
      <c r="N551" t="s">
        <v>25</v>
      </c>
      <c r="O551" t="str">
        <f t="shared" si="80"/>
        <v>Low</v>
      </c>
      <c r="P551" t="str">
        <f t="shared" si="81"/>
        <v>Low</v>
      </c>
      <c r="Q551" t="str">
        <f t="shared" si="82"/>
        <v>Low</v>
      </c>
      <c r="R551" t="s">
        <v>3317</v>
      </c>
      <c r="S551" s="4">
        <f t="shared" ca="1" si="83"/>
        <v>470</v>
      </c>
      <c r="T551">
        <f t="shared" si="84"/>
        <v>1</v>
      </c>
      <c r="U551">
        <f t="shared" si="85"/>
        <v>1</v>
      </c>
      <c r="V551">
        <f t="shared" si="86"/>
        <v>1</v>
      </c>
      <c r="W551">
        <f t="shared" si="87"/>
        <v>1</v>
      </c>
      <c r="X551">
        <f t="shared" si="88"/>
        <v>0.99999999999999989</v>
      </c>
      <c r="Y551" t="str">
        <f t="shared" si="89"/>
        <v>Healthy</v>
      </c>
    </row>
    <row r="552" spans="1:25" x14ac:dyDescent="0.35">
      <c r="A552" t="s">
        <v>189</v>
      </c>
      <c r="B552" t="s">
        <v>525</v>
      </c>
      <c r="C552" t="s">
        <v>525</v>
      </c>
      <c r="D552" t="s">
        <v>526</v>
      </c>
      <c r="E552">
        <v>80895619</v>
      </c>
      <c r="F552" t="s">
        <v>527</v>
      </c>
      <c r="G552" s="3">
        <v>47192</v>
      </c>
      <c r="H552">
        <v>36</v>
      </c>
      <c r="I552">
        <v>93</v>
      </c>
      <c r="J552">
        <v>48</v>
      </c>
      <c r="K552" s="4">
        <v>4652.6400000000003</v>
      </c>
      <c r="L552" s="4">
        <v>3811.5714285714284</v>
      </c>
      <c r="M552" s="4">
        <v>1.2593231138263184E-2</v>
      </c>
      <c r="N552" t="s">
        <v>25</v>
      </c>
      <c r="O552" t="str">
        <f t="shared" si="80"/>
        <v>Low</v>
      </c>
      <c r="P552" t="str">
        <f t="shared" si="81"/>
        <v>Low</v>
      </c>
      <c r="Q552" t="str">
        <f t="shared" si="82"/>
        <v>Low</v>
      </c>
      <c r="R552" t="s">
        <v>3317</v>
      </c>
      <c r="S552" s="4">
        <f t="shared" ca="1" si="83"/>
        <v>995</v>
      </c>
      <c r="T552">
        <f t="shared" si="84"/>
        <v>1</v>
      </c>
      <c r="U552">
        <f t="shared" si="85"/>
        <v>1</v>
      </c>
      <c r="V552">
        <f t="shared" si="86"/>
        <v>1</v>
      </c>
      <c r="W552">
        <f t="shared" si="87"/>
        <v>1</v>
      </c>
      <c r="X552">
        <f t="shared" si="88"/>
        <v>0.99999999999999989</v>
      </c>
      <c r="Y552" t="str">
        <f t="shared" si="89"/>
        <v>Healthy</v>
      </c>
    </row>
    <row r="553" spans="1:25" x14ac:dyDescent="0.35">
      <c r="A553" t="s">
        <v>90</v>
      </c>
      <c r="B553" t="s">
        <v>217</v>
      </c>
      <c r="C553" t="s">
        <v>533</v>
      </c>
      <c r="D553" t="s">
        <v>534</v>
      </c>
      <c r="E553">
        <v>83902634</v>
      </c>
      <c r="F553" t="s">
        <v>535</v>
      </c>
      <c r="G553" s="3">
        <v>46857</v>
      </c>
      <c r="H553">
        <v>24</v>
      </c>
      <c r="I553">
        <v>92</v>
      </c>
      <c r="J553">
        <v>1</v>
      </c>
      <c r="K553" s="4">
        <v>108.1</v>
      </c>
      <c r="L553" s="4">
        <v>13140.571428571429</v>
      </c>
      <c r="M553" s="4">
        <v>7.6100191337623933E-5</v>
      </c>
      <c r="N553" t="s">
        <v>25</v>
      </c>
      <c r="O553" t="str">
        <f t="shared" si="80"/>
        <v>Low</v>
      </c>
      <c r="P553" t="str">
        <f t="shared" si="81"/>
        <v>Low</v>
      </c>
      <c r="Q553" t="str">
        <f t="shared" si="82"/>
        <v>Low</v>
      </c>
      <c r="R553" t="s">
        <v>3317</v>
      </c>
      <c r="S553" s="4">
        <f t="shared" ca="1" si="83"/>
        <v>660</v>
      </c>
      <c r="T553">
        <f t="shared" si="84"/>
        <v>1</v>
      </c>
      <c r="U553">
        <f t="shared" si="85"/>
        <v>1</v>
      </c>
      <c r="V553">
        <f t="shared" si="86"/>
        <v>1</v>
      </c>
      <c r="W553">
        <f t="shared" si="87"/>
        <v>1</v>
      </c>
      <c r="X553">
        <f t="shared" si="88"/>
        <v>0.99999999999999989</v>
      </c>
      <c r="Y553" t="str">
        <f t="shared" si="89"/>
        <v>Healthy</v>
      </c>
    </row>
    <row r="554" spans="1:25" x14ac:dyDescent="0.35">
      <c r="A554" t="s">
        <v>29</v>
      </c>
      <c r="B554" t="s">
        <v>30</v>
      </c>
      <c r="C554" t="s">
        <v>449</v>
      </c>
      <c r="D554" t="s">
        <v>536</v>
      </c>
      <c r="E554">
        <v>80887113</v>
      </c>
      <c r="F554" t="s">
        <v>537</v>
      </c>
      <c r="G554" s="3">
        <v>47403</v>
      </c>
      <c r="H554">
        <v>36</v>
      </c>
      <c r="I554">
        <v>100</v>
      </c>
      <c r="J554">
        <v>42</v>
      </c>
      <c r="K554" s="4">
        <v>63072.66</v>
      </c>
      <c r="L554" s="4">
        <v>10.285714285714286</v>
      </c>
      <c r="M554" s="4">
        <v>4.083333333333333</v>
      </c>
      <c r="N554" t="s">
        <v>25</v>
      </c>
      <c r="O554" t="str">
        <f t="shared" si="80"/>
        <v>Low</v>
      </c>
      <c r="P554" t="str">
        <f t="shared" si="81"/>
        <v>Medium</v>
      </c>
      <c r="Q554" t="str">
        <f t="shared" si="82"/>
        <v>Medium</v>
      </c>
      <c r="R554" t="s">
        <v>3317</v>
      </c>
      <c r="S554" s="4">
        <f t="shared" ca="1" si="83"/>
        <v>1206</v>
      </c>
      <c r="T554">
        <f t="shared" si="84"/>
        <v>1</v>
      </c>
      <c r="U554">
        <f t="shared" si="85"/>
        <v>2</v>
      </c>
      <c r="V554">
        <f t="shared" si="86"/>
        <v>2</v>
      </c>
      <c r="W554">
        <f t="shared" si="87"/>
        <v>1</v>
      </c>
      <c r="X554">
        <f t="shared" si="88"/>
        <v>1.5</v>
      </c>
      <c r="Y554" t="str">
        <f t="shared" si="89"/>
        <v>Healthy</v>
      </c>
    </row>
    <row r="555" spans="1:25" x14ac:dyDescent="0.35">
      <c r="A555" t="s">
        <v>29</v>
      </c>
      <c r="B555" t="s">
        <v>30</v>
      </c>
      <c r="C555" t="s">
        <v>147</v>
      </c>
      <c r="D555" t="s">
        <v>148</v>
      </c>
      <c r="E555">
        <v>80888354</v>
      </c>
      <c r="F555" t="s">
        <v>538</v>
      </c>
      <c r="G555" s="3">
        <v>47130</v>
      </c>
      <c r="H555">
        <v>36</v>
      </c>
      <c r="I555">
        <v>87</v>
      </c>
      <c r="J555">
        <v>25</v>
      </c>
      <c r="K555" s="4">
        <v>33979</v>
      </c>
      <c r="L555" s="4">
        <v>138.85714285714286</v>
      </c>
      <c r="M555" s="4">
        <v>0.18004115226337447</v>
      </c>
      <c r="N555" t="s">
        <v>25</v>
      </c>
      <c r="O555" t="str">
        <f t="shared" si="80"/>
        <v>Low</v>
      </c>
      <c r="P555" t="str">
        <f t="shared" si="81"/>
        <v>Low</v>
      </c>
      <c r="Q555" t="str">
        <f t="shared" si="82"/>
        <v>Low</v>
      </c>
      <c r="R555" t="s">
        <v>3317</v>
      </c>
      <c r="S555" s="4">
        <f t="shared" ca="1" si="83"/>
        <v>933</v>
      </c>
      <c r="T555">
        <f t="shared" si="84"/>
        <v>1</v>
      </c>
      <c r="U555">
        <f t="shared" si="85"/>
        <v>1</v>
      </c>
      <c r="V555">
        <f t="shared" si="86"/>
        <v>1</v>
      </c>
      <c r="W555">
        <f t="shared" si="87"/>
        <v>1</v>
      </c>
      <c r="X555">
        <f t="shared" si="88"/>
        <v>0.99999999999999989</v>
      </c>
      <c r="Y555" t="str">
        <f t="shared" si="89"/>
        <v>Healthy</v>
      </c>
    </row>
    <row r="556" spans="1:25" x14ac:dyDescent="0.35">
      <c r="A556" t="s">
        <v>189</v>
      </c>
      <c r="B556" t="s">
        <v>539</v>
      </c>
      <c r="C556" t="s">
        <v>539</v>
      </c>
      <c r="D556" t="s">
        <v>540</v>
      </c>
      <c r="E556">
        <v>80885889</v>
      </c>
      <c r="F556" t="s">
        <v>541</v>
      </c>
      <c r="G556" s="3">
        <v>46839</v>
      </c>
      <c r="H556">
        <v>24</v>
      </c>
      <c r="I556">
        <v>90</v>
      </c>
      <c r="J556">
        <v>16</v>
      </c>
      <c r="K556" s="4">
        <v>4101.28</v>
      </c>
      <c r="L556" s="4">
        <v>714.28571428571433</v>
      </c>
      <c r="M556" s="4">
        <v>2.24E-2</v>
      </c>
      <c r="N556" t="s">
        <v>25</v>
      </c>
      <c r="O556" t="str">
        <f t="shared" si="80"/>
        <v>Low</v>
      </c>
      <c r="P556" t="str">
        <f t="shared" si="81"/>
        <v>Low</v>
      </c>
      <c r="Q556" t="str">
        <f t="shared" si="82"/>
        <v>Low</v>
      </c>
      <c r="R556" t="s">
        <v>3317</v>
      </c>
      <c r="S556" s="4">
        <f t="shared" ca="1" si="83"/>
        <v>642</v>
      </c>
      <c r="T556">
        <f t="shared" si="84"/>
        <v>1</v>
      </c>
      <c r="U556">
        <f t="shared" si="85"/>
        <v>1</v>
      </c>
      <c r="V556">
        <f t="shared" si="86"/>
        <v>1</v>
      </c>
      <c r="W556">
        <f t="shared" si="87"/>
        <v>1</v>
      </c>
      <c r="X556">
        <f t="shared" si="88"/>
        <v>0.99999999999999989</v>
      </c>
      <c r="Y556" t="str">
        <f t="shared" si="89"/>
        <v>Healthy</v>
      </c>
    </row>
    <row r="557" spans="1:25" x14ac:dyDescent="0.35">
      <c r="A557" t="s">
        <v>29</v>
      </c>
      <c r="B557" t="s">
        <v>30</v>
      </c>
      <c r="C557" t="s">
        <v>147</v>
      </c>
      <c r="D557" t="s">
        <v>148</v>
      </c>
      <c r="E557">
        <v>80888354</v>
      </c>
      <c r="F557" t="s">
        <v>538</v>
      </c>
      <c r="G557" s="3">
        <v>47060</v>
      </c>
      <c r="H557">
        <v>36</v>
      </c>
      <c r="I557">
        <v>80</v>
      </c>
      <c r="J557">
        <v>3</v>
      </c>
      <c r="K557" s="4">
        <v>4077.48</v>
      </c>
      <c r="L557" s="4">
        <v>138.85714285714286</v>
      </c>
      <c r="M557" s="4">
        <v>2.1604938271604937E-2</v>
      </c>
      <c r="N557" t="s">
        <v>25</v>
      </c>
      <c r="O557" t="str">
        <f t="shared" si="80"/>
        <v>Low</v>
      </c>
      <c r="P557" t="str">
        <f t="shared" si="81"/>
        <v>Low</v>
      </c>
      <c r="Q557" t="str">
        <f t="shared" si="82"/>
        <v>Low</v>
      </c>
      <c r="R557" t="s">
        <v>3317</v>
      </c>
      <c r="S557" s="4">
        <f t="shared" ca="1" si="83"/>
        <v>863</v>
      </c>
      <c r="T557">
        <f t="shared" si="84"/>
        <v>1</v>
      </c>
      <c r="U557">
        <f t="shared" si="85"/>
        <v>1</v>
      </c>
      <c r="V557">
        <f t="shared" si="86"/>
        <v>1</v>
      </c>
      <c r="W557">
        <f t="shared" si="87"/>
        <v>1</v>
      </c>
      <c r="X557">
        <f t="shared" si="88"/>
        <v>0.99999999999999989</v>
      </c>
      <c r="Y557" t="str">
        <f t="shared" si="89"/>
        <v>Healthy</v>
      </c>
    </row>
    <row r="558" spans="1:25" x14ac:dyDescent="0.35">
      <c r="A558" t="s">
        <v>29</v>
      </c>
      <c r="B558" t="s">
        <v>30</v>
      </c>
      <c r="C558" t="s">
        <v>147</v>
      </c>
      <c r="D558" t="s">
        <v>148</v>
      </c>
      <c r="E558">
        <v>80888354</v>
      </c>
      <c r="F558" t="s">
        <v>538</v>
      </c>
      <c r="G558" s="3">
        <v>47154</v>
      </c>
      <c r="H558">
        <v>36</v>
      </c>
      <c r="I558">
        <v>89</v>
      </c>
      <c r="J558">
        <v>12</v>
      </c>
      <c r="K558" s="4">
        <v>16309.92</v>
      </c>
      <c r="L558" s="4">
        <v>138.85714285714286</v>
      </c>
      <c r="M558" s="4">
        <v>8.6419753086419748E-2</v>
      </c>
      <c r="N558" t="s">
        <v>25</v>
      </c>
      <c r="O558" t="str">
        <f t="shared" si="80"/>
        <v>Low</v>
      </c>
      <c r="P558" t="str">
        <f t="shared" si="81"/>
        <v>Low</v>
      </c>
      <c r="Q558" t="str">
        <f t="shared" si="82"/>
        <v>Low</v>
      </c>
      <c r="R558" t="s">
        <v>3317</v>
      </c>
      <c r="S558" s="4">
        <f t="shared" ca="1" si="83"/>
        <v>957</v>
      </c>
      <c r="T558">
        <f t="shared" si="84"/>
        <v>1</v>
      </c>
      <c r="U558">
        <f t="shared" si="85"/>
        <v>1</v>
      </c>
      <c r="V558">
        <f t="shared" si="86"/>
        <v>1</v>
      </c>
      <c r="W558">
        <f t="shared" si="87"/>
        <v>1</v>
      </c>
      <c r="X558">
        <f t="shared" si="88"/>
        <v>0.99999999999999989</v>
      </c>
      <c r="Y558" t="str">
        <f t="shared" si="89"/>
        <v>Healthy</v>
      </c>
    </row>
    <row r="559" spans="1:25" x14ac:dyDescent="0.35">
      <c r="A559" t="s">
        <v>90</v>
      </c>
      <c r="B559" t="s">
        <v>217</v>
      </c>
      <c r="C559" t="s">
        <v>542</v>
      </c>
      <c r="D559" t="s">
        <v>543</v>
      </c>
      <c r="E559">
        <v>80854717</v>
      </c>
      <c r="F559" t="s">
        <v>544</v>
      </c>
      <c r="G559" s="3">
        <v>46874</v>
      </c>
      <c r="H559">
        <v>24</v>
      </c>
      <c r="I559">
        <v>95</v>
      </c>
      <c r="J559">
        <v>12</v>
      </c>
      <c r="K559" s="4">
        <v>5137.32</v>
      </c>
      <c r="L559" s="4">
        <v>3008.5714285714284</v>
      </c>
      <c r="M559" s="4">
        <v>3.9886039886039889E-3</v>
      </c>
      <c r="N559" t="s">
        <v>25</v>
      </c>
      <c r="O559" t="str">
        <f t="shared" si="80"/>
        <v>Low</v>
      </c>
      <c r="P559" t="str">
        <f t="shared" si="81"/>
        <v>Low</v>
      </c>
      <c r="Q559" t="str">
        <f t="shared" si="82"/>
        <v>Low</v>
      </c>
      <c r="R559" t="s">
        <v>3317</v>
      </c>
      <c r="S559" s="4">
        <f t="shared" ca="1" si="83"/>
        <v>677</v>
      </c>
      <c r="T559">
        <f t="shared" si="84"/>
        <v>1</v>
      </c>
      <c r="U559">
        <f t="shared" si="85"/>
        <v>1</v>
      </c>
      <c r="V559">
        <f t="shared" si="86"/>
        <v>1</v>
      </c>
      <c r="W559">
        <f t="shared" si="87"/>
        <v>1</v>
      </c>
      <c r="X559">
        <f t="shared" si="88"/>
        <v>0.99999999999999989</v>
      </c>
      <c r="Y559" t="str">
        <f t="shared" si="89"/>
        <v>Healthy</v>
      </c>
    </row>
    <row r="560" spans="1:25" x14ac:dyDescent="0.35">
      <c r="A560" t="s">
        <v>29</v>
      </c>
      <c r="B560" t="s">
        <v>30</v>
      </c>
      <c r="C560" t="s">
        <v>147</v>
      </c>
      <c r="D560" t="s">
        <v>148</v>
      </c>
      <c r="E560">
        <v>80888354</v>
      </c>
      <c r="F560" t="s">
        <v>538</v>
      </c>
      <c r="G560" s="3">
        <v>47123</v>
      </c>
      <c r="H560">
        <v>36</v>
      </c>
      <c r="I560">
        <v>86</v>
      </c>
      <c r="J560">
        <v>10</v>
      </c>
      <c r="K560" s="4">
        <v>13591.6</v>
      </c>
      <c r="L560" s="4">
        <v>138.85714285714286</v>
      </c>
      <c r="M560" s="4">
        <v>7.2016460905349786E-2</v>
      </c>
      <c r="N560" t="s">
        <v>25</v>
      </c>
      <c r="O560" t="str">
        <f t="shared" si="80"/>
        <v>Low</v>
      </c>
      <c r="P560" t="str">
        <f t="shared" si="81"/>
        <v>Low</v>
      </c>
      <c r="Q560" t="str">
        <f t="shared" si="82"/>
        <v>Low</v>
      </c>
      <c r="R560" t="s">
        <v>3317</v>
      </c>
      <c r="S560" s="4">
        <f t="shared" ca="1" si="83"/>
        <v>926</v>
      </c>
      <c r="T560">
        <f t="shared" si="84"/>
        <v>1</v>
      </c>
      <c r="U560">
        <f t="shared" si="85"/>
        <v>1</v>
      </c>
      <c r="V560">
        <f t="shared" si="86"/>
        <v>1</v>
      </c>
      <c r="W560">
        <f t="shared" si="87"/>
        <v>1</v>
      </c>
      <c r="X560">
        <f t="shared" si="88"/>
        <v>0.99999999999999989</v>
      </c>
      <c r="Y560" t="str">
        <f t="shared" si="89"/>
        <v>Healthy</v>
      </c>
    </row>
    <row r="561" spans="1:25" x14ac:dyDescent="0.35">
      <c r="A561" t="s">
        <v>90</v>
      </c>
      <c r="B561" t="s">
        <v>217</v>
      </c>
      <c r="C561" t="s">
        <v>542</v>
      </c>
      <c r="D561" t="s">
        <v>543</v>
      </c>
      <c r="E561">
        <v>80854717</v>
      </c>
      <c r="F561" t="s">
        <v>544</v>
      </c>
      <c r="G561" s="3">
        <v>46881</v>
      </c>
      <c r="H561">
        <v>24</v>
      </c>
      <c r="I561">
        <v>96</v>
      </c>
      <c r="J561">
        <v>840</v>
      </c>
      <c r="K561" s="4">
        <v>359612.4</v>
      </c>
      <c r="L561" s="4">
        <v>3008.5714285714284</v>
      </c>
      <c r="M561" s="4">
        <v>0.27920227920227919</v>
      </c>
      <c r="N561" t="s">
        <v>25</v>
      </c>
      <c r="O561" t="str">
        <f t="shared" si="80"/>
        <v>Low</v>
      </c>
      <c r="P561" t="str">
        <f t="shared" si="81"/>
        <v>Low</v>
      </c>
      <c r="Q561" t="str">
        <f t="shared" si="82"/>
        <v>Low</v>
      </c>
      <c r="R561" t="s">
        <v>3309</v>
      </c>
      <c r="S561" s="4">
        <f t="shared" ca="1" si="83"/>
        <v>684</v>
      </c>
      <c r="T561">
        <f t="shared" si="84"/>
        <v>1</v>
      </c>
      <c r="U561">
        <f t="shared" si="85"/>
        <v>1</v>
      </c>
      <c r="V561">
        <f t="shared" si="86"/>
        <v>1</v>
      </c>
      <c r="W561">
        <f t="shared" si="87"/>
        <v>3</v>
      </c>
      <c r="X561">
        <f t="shared" si="88"/>
        <v>1.2</v>
      </c>
      <c r="Y561" t="str">
        <f t="shared" si="89"/>
        <v>Healthy</v>
      </c>
    </row>
    <row r="562" spans="1:25" x14ac:dyDescent="0.35">
      <c r="A562" t="s">
        <v>29</v>
      </c>
      <c r="B562" t="s">
        <v>30</v>
      </c>
      <c r="C562" t="s">
        <v>147</v>
      </c>
      <c r="D562" t="s">
        <v>148</v>
      </c>
      <c r="E562">
        <v>80888354</v>
      </c>
      <c r="F562" t="s">
        <v>538</v>
      </c>
      <c r="G562" s="3">
        <v>47161</v>
      </c>
      <c r="H562">
        <v>36</v>
      </c>
      <c r="I562">
        <v>90</v>
      </c>
      <c r="J562">
        <v>48</v>
      </c>
      <c r="K562" s="4">
        <v>65239.68</v>
      </c>
      <c r="L562" s="4">
        <v>138.85714285714286</v>
      </c>
      <c r="M562" s="4">
        <v>0.34567901234567899</v>
      </c>
      <c r="N562" t="s">
        <v>25</v>
      </c>
      <c r="O562" t="str">
        <f t="shared" si="80"/>
        <v>Low</v>
      </c>
      <c r="P562" t="str">
        <f t="shared" si="81"/>
        <v>Low</v>
      </c>
      <c r="Q562" t="str">
        <f t="shared" si="82"/>
        <v>Low</v>
      </c>
      <c r="R562" t="s">
        <v>3317</v>
      </c>
      <c r="S562" s="4">
        <f t="shared" ca="1" si="83"/>
        <v>964</v>
      </c>
      <c r="T562">
        <f t="shared" si="84"/>
        <v>1</v>
      </c>
      <c r="U562">
        <f t="shared" si="85"/>
        <v>1</v>
      </c>
      <c r="V562">
        <f t="shared" si="86"/>
        <v>1</v>
      </c>
      <c r="W562">
        <f t="shared" si="87"/>
        <v>1</v>
      </c>
      <c r="X562">
        <f t="shared" si="88"/>
        <v>0.99999999999999989</v>
      </c>
      <c r="Y562" t="str">
        <f t="shared" si="89"/>
        <v>Healthy</v>
      </c>
    </row>
    <row r="563" spans="1:25" x14ac:dyDescent="0.35">
      <c r="A563" t="s">
        <v>210</v>
      </c>
      <c r="B563" t="s">
        <v>211</v>
      </c>
      <c r="C563" t="s">
        <v>212</v>
      </c>
      <c r="D563" t="s">
        <v>545</v>
      </c>
      <c r="E563">
        <v>80885732</v>
      </c>
      <c r="F563" t="s">
        <v>546</v>
      </c>
      <c r="G563" s="3">
        <v>46902</v>
      </c>
      <c r="H563">
        <v>24</v>
      </c>
      <c r="I563">
        <v>99</v>
      </c>
      <c r="J563">
        <v>458</v>
      </c>
      <c r="K563" s="4">
        <v>125345.44</v>
      </c>
      <c r="L563" s="4">
        <v>1675.7142857142858</v>
      </c>
      <c r="M563" s="4">
        <v>0.27331628303495309</v>
      </c>
      <c r="N563" t="s">
        <v>25</v>
      </c>
      <c r="O563" t="str">
        <f t="shared" si="80"/>
        <v>Low</v>
      </c>
      <c r="P563" t="str">
        <f t="shared" si="81"/>
        <v>Low</v>
      </c>
      <c r="Q563" t="str">
        <f t="shared" si="82"/>
        <v>Low</v>
      </c>
      <c r="R563" t="s">
        <v>3310</v>
      </c>
      <c r="S563" s="4">
        <f t="shared" ca="1" si="83"/>
        <v>705</v>
      </c>
      <c r="T563">
        <f t="shared" si="84"/>
        <v>1</v>
      </c>
      <c r="U563">
        <f t="shared" si="85"/>
        <v>1</v>
      </c>
      <c r="V563">
        <f t="shared" si="86"/>
        <v>1</v>
      </c>
      <c r="W563">
        <f t="shared" si="87"/>
        <v>2</v>
      </c>
      <c r="X563">
        <f t="shared" si="88"/>
        <v>1.0999999999999999</v>
      </c>
      <c r="Y563" t="str">
        <f t="shared" si="89"/>
        <v>Healthy</v>
      </c>
    </row>
    <row r="564" spans="1:25" x14ac:dyDescent="0.35">
      <c r="A564" t="s">
        <v>29</v>
      </c>
      <c r="B564" t="s">
        <v>30</v>
      </c>
      <c r="C564" t="s">
        <v>147</v>
      </c>
      <c r="D564" t="s">
        <v>148</v>
      </c>
      <c r="E564">
        <v>80888354</v>
      </c>
      <c r="F564" t="s">
        <v>538</v>
      </c>
      <c r="G564" s="3">
        <v>47227</v>
      </c>
      <c r="H564">
        <v>36</v>
      </c>
      <c r="I564">
        <v>96</v>
      </c>
      <c r="J564">
        <v>99</v>
      </c>
      <c r="K564" s="4">
        <v>134556.84</v>
      </c>
      <c r="L564" s="4">
        <v>138.85714285714286</v>
      </c>
      <c r="M564" s="4">
        <v>0.71296296296296291</v>
      </c>
      <c r="N564" t="s">
        <v>25</v>
      </c>
      <c r="O564" t="str">
        <f t="shared" si="80"/>
        <v>Low</v>
      </c>
      <c r="P564" t="str">
        <f t="shared" si="81"/>
        <v>Low</v>
      </c>
      <c r="Q564" t="str">
        <f t="shared" si="82"/>
        <v>Low</v>
      </c>
      <c r="R564" t="s">
        <v>3309</v>
      </c>
      <c r="S564" s="4">
        <f t="shared" ca="1" si="83"/>
        <v>1030</v>
      </c>
      <c r="T564">
        <f t="shared" si="84"/>
        <v>1</v>
      </c>
      <c r="U564">
        <f t="shared" si="85"/>
        <v>1</v>
      </c>
      <c r="V564">
        <f t="shared" si="86"/>
        <v>1</v>
      </c>
      <c r="W564">
        <f t="shared" si="87"/>
        <v>3</v>
      </c>
      <c r="X564">
        <f t="shared" si="88"/>
        <v>1.2</v>
      </c>
      <c r="Y564" t="str">
        <f t="shared" si="89"/>
        <v>Healthy</v>
      </c>
    </row>
    <row r="565" spans="1:25" x14ac:dyDescent="0.35">
      <c r="A565" t="s">
        <v>210</v>
      </c>
      <c r="B565" t="s">
        <v>211</v>
      </c>
      <c r="C565" t="s">
        <v>212</v>
      </c>
      <c r="D565" t="s">
        <v>545</v>
      </c>
      <c r="E565">
        <v>80885732</v>
      </c>
      <c r="F565" t="s">
        <v>546</v>
      </c>
      <c r="G565" s="3">
        <v>46898</v>
      </c>
      <c r="H565">
        <v>24</v>
      </c>
      <c r="I565">
        <v>98</v>
      </c>
      <c r="J565">
        <v>445</v>
      </c>
      <c r="K565" s="4">
        <v>121787.6</v>
      </c>
      <c r="L565" s="4">
        <v>1675.7142857142858</v>
      </c>
      <c r="M565" s="4">
        <v>0.26555839727195224</v>
      </c>
      <c r="N565" t="s">
        <v>25</v>
      </c>
      <c r="O565" t="str">
        <f t="shared" si="80"/>
        <v>Low</v>
      </c>
      <c r="P565" t="str">
        <f t="shared" si="81"/>
        <v>Low</v>
      </c>
      <c r="Q565" t="str">
        <f t="shared" si="82"/>
        <v>Low</v>
      </c>
      <c r="R565" t="s">
        <v>3310</v>
      </c>
      <c r="S565" s="4">
        <f t="shared" ca="1" si="83"/>
        <v>701</v>
      </c>
      <c r="T565">
        <f t="shared" si="84"/>
        <v>1</v>
      </c>
      <c r="U565">
        <f t="shared" si="85"/>
        <v>1</v>
      </c>
      <c r="V565">
        <f t="shared" si="86"/>
        <v>1</v>
      </c>
      <c r="W565">
        <f t="shared" si="87"/>
        <v>2</v>
      </c>
      <c r="X565">
        <f t="shared" si="88"/>
        <v>1.0999999999999999</v>
      </c>
      <c r="Y565" t="str">
        <f t="shared" si="89"/>
        <v>Healthy</v>
      </c>
    </row>
    <row r="566" spans="1:25" x14ac:dyDescent="0.35">
      <c r="A566" t="s">
        <v>29</v>
      </c>
      <c r="B566" t="s">
        <v>30</v>
      </c>
      <c r="C566" t="s">
        <v>147</v>
      </c>
      <c r="D566" t="s">
        <v>148</v>
      </c>
      <c r="E566">
        <v>80888354</v>
      </c>
      <c r="F566" t="s">
        <v>538</v>
      </c>
      <c r="G566" s="3">
        <v>47208</v>
      </c>
      <c r="H566">
        <v>36</v>
      </c>
      <c r="I566">
        <v>94</v>
      </c>
      <c r="J566">
        <v>18</v>
      </c>
      <c r="K566" s="4">
        <v>24464.880000000001</v>
      </c>
      <c r="L566" s="4">
        <v>138.85714285714286</v>
      </c>
      <c r="M566" s="4">
        <v>0.12962962962962962</v>
      </c>
      <c r="N566" t="s">
        <v>25</v>
      </c>
      <c r="O566" t="str">
        <f t="shared" si="80"/>
        <v>Low</v>
      </c>
      <c r="P566" t="str">
        <f t="shared" si="81"/>
        <v>Low</v>
      </c>
      <c r="Q566" t="str">
        <f t="shared" si="82"/>
        <v>Low</v>
      </c>
      <c r="R566" t="s">
        <v>3317</v>
      </c>
      <c r="S566" s="4">
        <f t="shared" ca="1" si="83"/>
        <v>1011</v>
      </c>
      <c r="T566">
        <f t="shared" si="84"/>
        <v>1</v>
      </c>
      <c r="U566">
        <f t="shared" si="85"/>
        <v>1</v>
      </c>
      <c r="V566">
        <f t="shared" si="86"/>
        <v>1</v>
      </c>
      <c r="W566">
        <f t="shared" si="87"/>
        <v>1</v>
      </c>
      <c r="X566">
        <f t="shared" si="88"/>
        <v>0.99999999999999989</v>
      </c>
      <c r="Y566" t="str">
        <f t="shared" si="89"/>
        <v>Healthy</v>
      </c>
    </row>
    <row r="567" spans="1:25" x14ac:dyDescent="0.35">
      <c r="A567" t="s">
        <v>210</v>
      </c>
      <c r="B567" t="s">
        <v>211</v>
      </c>
      <c r="C567" t="s">
        <v>212</v>
      </c>
      <c r="D567" t="s">
        <v>545</v>
      </c>
      <c r="E567">
        <v>80885732</v>
      </c>
      <c r="F567" t="s">
        <v>546</v>
      </c>
      <c r="G567" s="3">
        <v>46907</v>
      </c>
      <c r="H567">
        <v>24</v>
      </c>
      <c r="I567">
        <v>99</v>
      </c>
      <c r="J567">
        <v>252</v>
      </c>
      <c r="K567" s="4">
        <v>68967.360000000001</v>
      </c>
      <c r="L567" s="4">
        <v>1675.7142857142858</v>
      </c>
      <c r="M567" s="4">
        <v>0.15038363171355498</v>
      </c>
      <c r="N567" t="s">
        <v>25</v>
      </c>
      <c r="O567" t="str">
        <f t="shared" si="80"/>
        <v>Low</v>
      </c>
      <c r="P567" t="str">
        <f t="shared" si="81"/>
        <v>Low</v>
      </c>
      <c r="Q567" t="str">
        <f t="shared" si="82"/>
        <v>Low</v>
      </c>
      <c r="R567" t="s">
        <v>3310</v>
      </c>
      <c r="S567" s="4">
        <f t="shared" ca="1" si="83"/>
        <v>710</v>
      </c>
      <c r="T567">
        <f t="shared" si="84"/>
        <v>1</v>
      </c>
      <c r="U567">
        <f t="shared" si="85"/>
        <v>1</v>
      </c>
      <c r="V567">
        <f t="shared" si="86"/>
        <v>1</v>
      </c>
      <c r="W567">
        <f t="shared" si="87"/>
        <v>2</v>
      </c>
      <c r="X567">
        <f t="shared" si="88"/>
        <v>1.0999999999999999</v>
      </c>
      <c r="Y567" t="str">
        <f t="shared" si="89"/>
        <v>Healthy</v>
      </c>
    </row>
    <row r="568" spans="1:25" x14ac:dyDescent="0.35">
      <c r="A568" t="s">
        <v>29</v>
      </c>
      <c r="B568" t="s">
        <v>30</v>
      </c>
      <c r="C568" t="s">
        <v>147</v>
      </c>
      <c r="D568" t="s">
        <v>148</v>
      </c>
      <c r="E568">
        <v>80888354</v>
      </c>
      <c r="F568" t="s">
        <v>538</v>
      </c>
      <c r="G568" s="3">
        <v>47229</v>
      </c>
      <c r="H568">
        <v>36</v>
      </c>
      <c r="I568">
        <v>96</v>
      </c>
      <c r="J568">
        <v>94</v>
      </c>
      <c r="K568" s="4">
        <v>127761.04</v>
      </c>
      <c r="L568" s="4">
        <v>138.85714285714286</v>
      </c>
      <c r="M568" s="4">
        <v>0.67695473251028804</v>
      </c>
      <c r="N568" t="s">
        <v>25</v>
      </c>
      <c r="O568" t="str">
        <f t="shared" si="80"/>
        <v>Low</v>
      </c>
      <c r="P568" t="str">
        <f t="shared" si="81"/>
        <v>Low</v>
      </c>
      <c r="Q568" t="str">
        <f t="shared" si="82"/>
        <v>Low</v>
      </c>
      <c r="R568" t="s">
        <v>3310</v>
      </c>
      <c r="S568" s="4">
        <f t="shared" ca="1" si="83"/>
        <v>1032</v>
      </c>
      <c r="T568">
        <f t="shared" si="84"/>
        <v>1</v>
      </c>
      <c r="U568">
        <f t="shared" si="85"/>
        <v>1</v>
      </c>
      <c r="V568">
        <f t="shared" si="86"/>
        <v>1</v>
      </c>
      <c r="W568">
        <f t="shared" si="87"/>
        <v>2</v>
      </c>
      <c r="X568">
        <f t="shared" si="88"/>
        <v>1.0999999999999999</v>
      </c>
      <c r="Y568" t="str">
        <f t="shared" si="89"/>
        <v>Healthy</v>
      </c>
    </row>
    <row r="569" spans="1:25" x14ac:dyDescent="0.35">
      <c r="A569" t="s">
        <v>210</v>
      </c>
      <c r="B569" t="s">
        <v>211</v>
      </c>
      <c r="C569" t="s">
        <v>212</v>
      </c>
      <c r="D569" t="s">
        <v>545</v>
      </c>
      <c r="E569">
        <v>80885732</v>
      </c>
      <c r="F569" t="s">
        <v>546</v>
      </c>
      <c r="G569" s="3">
        <v>46904</v>
      </c>
      <c r="H569">
        <v>24</v>
      </c>
      <c r="I569">
        <v>99</v>
      </c>
      <c r="J569">
        <v>447</v>
      </c>
      <c r="K569" s="4">
        <v>122334.96</v>
      </c>
      <c r="L569" s="4">
        <v>1675.7142857142858</v>
      </c>
      <c r="M569" s="4">
        <v>0.26675191815856775</v>
      </c>
      <c r="N569" t="s">
        <v>25</v>
      </c>
      <c r="O569" t="str">
        <f t="shared" si="80"/>
        <v>Low</v>
      </c>
      <c r="P569" t="str">
        <f t="shared" si="81"/>
        <v>Low</v>
      </c>
      <c r="Q569" t="str">
        <f t="shared" si="82"/>
        <v>Low</v>
      </c>
      <c r="R569" t="s">
        <v>3310</v>
      </c>
      <c r="S569" s="4">
        <f t="shared" ca="1" si="83"/>
        <v>707</v>
      </c>
      <c r="T569">
        <f t="shared" si="84"/>
        <v>1</v>
      </c>
      <c r="U569">
        <f t="shared" si="85"/>
        <v>1</v>
      </c>
      <c r="V569">
        <f t="shared" si="86"/>
        <v>1</v>
      </c>
      <c r="W569">
        <f t="shared" si="87"/>
        <v>2</v>
      </c>
      <c r="X569">
        <f t="shared" si="88"/>
        <v>1.0999999999999999</v>
      </c>
      <c r="Y569" t="str">
        <f t="shared" si="89"/>
        <v>Healthy</v>
      </c>
    </row>
    <row r="570" spans="1:25" x14ac:dyDescent="0.35">
      <c r="A570" t="s">
        <v>29</v>
      </c>
      <c r="B570" t="s">
        <v>30</v>
      </c>
      <c r="C570" t="s">
        <v>147</v>
      </c>
      <c r="D570" t="s">
        <v>148</v>
      </c>
      <c r="E570">
        <v>80888354</v>
      </c>
      <c r="F570" t="s">
        <v>538</v>
      </c>
      <c r="G570" s="3">
        <v>47161</v>
      </c>
      <c r="H570">
        <v>36</v>
      </c>
      <c r="I570">
        <v>90</v>
      </c>
      <c r="J570">
        <v>24</v>
      </c>
      <c r="K570" s="4">
        <v>32619.84</v>
      </c>
      <c r="L570" s="4">
        <v>138.85714285714286</v>
      </c>
      <c r="M570" s="4">
        <v>0.1728395061728395</v>
      </c>
      <c r="N570" t="s">
        <v>25</v>
      </c>
      <c r="O570" t="str">
        <f t="shared" si="80"/>
        <v>Low</v>
      </c>
      <c r="P570" t="str">
        <f t="shared" si="81"/>
        <v>Low</v>
      </c>
      <c r="Q570" t="str">
        <f t="shared" si="82"/>
        <v>Low</v>
      </c>
      <c r="R570" t="s">
        <v>3317</v>
      </c>
      <c r="S570" s="4">
        <f t="shared" ca="1" si="83"/>
        <v>964</v>
      </c>
      <c r="T570">
        <f t="shared" si="84"/>
        <v>1</v>
      </c>
      <c r="U570">
        <f t="shared" si="85"/>
        <v>1</v>
      </c>
      <c r="V570">
        <f t="shared" si="86"/>
        <v>1</v>
      </c>
      <c r="W570">
        <f t="shared" si="87"/>
        <v>1</v>
      </c>
      <c r="X570">
        <f t="shared" si="88"/>
        <v>0.99999999999999989</v>
      </c>
      <c r="Y570" t="str">
        <f t="shared" si="89"/>
        <v>Healthy</v>
      </c>
    </row>
    <row r="571" spans="1:25" x14ac:dyDescent="0.35">
      <c r="A571" t="s">
        <v>71</v>
      </c>
      <c r="B571" t="s">
        <v>72</v>
      </c>
      <c r="C571" t="s">
        <v>174</v>
      </c>
      <c r="D571" t="s">
        <v>547</v>
      </c>
      <c r="E571">
        <v>83912039</v>
      </c>
      <c r="F571" t="s">
        <v>548</v>
      </c>
      <c r="G571" s="3">
        <v>47196</v>
      </c>
      <c r="H571">
        <v>36</v>
      </c>
      <c r="I571">
        <v>93</v>
      </c>
      <c r="J571">
        <v>3</v>
      </c>
      <c r="K571" s="4">
        <v>11560.77</v>
      </c>
      <c r="L571" s="4">
        <v>68.428571428571431</v>
      </c>
      <c r="M571" s="4">
        <v>4.3841336116910226E-2</v>
      </c>
      <c r="N571" t="s">
        <v>25</v>
      </c>
      <c r="O571" t="str">
        <f t="shared" si="80"/>
        <v>Low</v>
      </c>
      <c r="P571" t="str">
        <f t="shared" si="81"/>
        <v>Low</v>
      </c>
      <c r="Q571" t="str">
        <f t="shared" si="82"/>
        <v>Low</v>
      </c>
      <c r="R571" t="s">
        <v>3317</v>
      </c>
      <c r="S571" s="4">
        <f t="shared" ca="1" si="83"/>
        <v>999</v>
      </c>
      <c r="T571">
        <f t="shared" si="84"/>
        <v>1</v>
      </c>
      <c r="U571">
        <f t="shared" si="85"/>
        <v>1</v>
      </c>
      <c r="V571">
        <f t="shared" si="86"/>
        <v>1</v>
      </c>
      <c r="W571">
        <f t="shared" si="87"/>
        <v>1</v>
      </c>
      <c r="X571">
        <f t="shared" si="88"/>
        <v>0.99999999999999989</v>
      </c>
      <c r="Y571" t="str">
        <f t="shared" si="89"/>
        <v>Healthy</v>
      </c>
    </row>
    <row r="572" spans="1:25" x14ac:dyDescent="0.35">
      <c r="A572" t="s">
        <v>210</v>
      </c>
      <c r="B572" t="s">
        <v>211</v>
      </c>
      <c r="C572" t="s">
        <v>273</v>
      </c>
      <c r="D572" t="s">
        <v>549</v>
      </c>
      <c r="E572">
        <v>80875509</v>
      </c>
      <c r="F572" t="s">
        <v>550</v>
      </c>
      <c r="G572" s="3">
        <v>47817</v>
      </c>
      <c r="H572">
        <v>60</v>
      </c>
      <c r="I572">
        <v>90</v>
      </c>
      <c r="J572">
        <v>3</v>
      </c>
      <c r="K572" s="4">
        <v>1705.2</v>
      </c>
      <c r="L572" s="4">
        <v>198.14285714285714</v>
      </c>
      <c r="M572" s="4">
        <v>1.5140591204037492E-2</v>
      </c>
      <c r="N572" t="s">
        <v>25</v>
      </c>
      <c r="O572" t="str">
        <f t="shared" si="80"/>
        <v>Low</v>
      </c>
      <c r="P572" t="str">
        <f t="shared" si="81"/>
        <v>Low</v>
      </c>
      <c r="Q572" t="str">
        <f t="shared" si="82"/>
        <v>Low</v>
      </c>
      <c r="R572" t="s">
        <v>3317</v>
      </c>
      <c r="S572" s="4">
        <f t="shared" ca="1" si="83"/>
        <v>1620</v>
      </c>
      <c r="T572">
        <f t="shared" si="84"/>
        <v>1</v>
      </c>
      <c r="U572">
        <f t="shared" si="85"/>
        <v>1</v>
      </c>
      <c r="V572">
        <f t="shared" si="86"/>
        <v>1</v>
      </c>
      <c r="W572">
        <f t="shared" si="87"/>
        <v>1</v>
      </c>
      <c r="X572">
        <f t="shared" si="88"/>
        <v>0.99999999999999989</v>
      </c>
      <c r="Y572" t="str">
        <f t="shared" si="89"/>
        <v>Healthy</v>
      </c>
    </row>
    <row r="573" spans="1:25" x14ac:dyDescent="0.35">
      <c r="A573" t="s">
        <v>71</v>
      </c>
      <c r="B573" t="s">
        <v>72</v>
      </c>
      <c r="C573" t="s">
        <v>174</v>
      </c>
      <c r="D573" t="s">
        <v>551</v>
      </c>
      <c r="E573">
        <v>83912040</v>
      </c>
      <c r="F573" t="s">
        <v>552</v>
      </c>
      <c r="G573" s="3">
        <v>47235</v>
      </c>
      <c r="H573">
        <v>36</v>
      </c>
      <c r="I573">
        <v>97</v>
      </c>
      <c r="J573">
        <v>25</v>
      </c>
      <c r="K573" s="4">
        <v>96339.75</v>
      </c>
      <c r="L573" s="4">
        <v>55.857142857142854</v>
      </c>
      <c r="M573" s="4">
        <v>0.44757033248081846</v>
      </c>
      <c r="N573" t="s">
        <v>25</v>
      </c>
      <c r="O573" t="str">
        <f t="shared" si="80"/>
        <v>Low</v>
      </c>
      <c r="P573" t="str">
        <f t="shared" si="81"/>
        <v>Low</v>
      </c>
      <c r="Q573" t="str">
        <f t="shared" si="82"/>
        <v>Low</v>
      </c>
      <c r="R573" t="s">
        <v>3310</v>
      </c>
      <c r="S573" s="4">
        <f t="shared" ca="1" si="83"/>
        <v>1038</v>
      </c>
      <c r="T573">
        <f t="shared" si="84"/>
        <v>1</v>
      </c>
      <c r="U573">
        <f t="shared" si="85"/>
        <v>1</v>
      </c>
      <c r="V573">
        <f t="shared" si="86"/>
        <v>1</v>
      </c>
      <c r="W573">
        <f t="shared" si="87"/>
        <v>2</v>
      </c>
      <c r="X573">
        <f t="shared" si="88"/>
        <v>1.0999999999999999</v>
      </c>
      <c r="Y573" t="str">
        <f t="shared" si="89"/>
        <v>Healthy</v>
      </c>
    </row>
    <row r="574" spans="1:25" x14ac:dyDescent="0.35">
      <c r="A574" t="s">
        <v>210</v>
      </c>
      <c r="B574" t="s">
        <v>211</v>
      </c>
      <c r="C574" t="s">
        <v>273</v>
      </c>
      <c r="D574" t="s">
        <v>549</v>
      </c>
      <c r="E574">
        <v>80875509</v>
      </c>
      <c r="F574" t="s">
        <v>550</v>
      </c>
      <c r="G574" s="3">
        <v>47863</v>
      </c>
      <c r="H574">
        <v>60</v>
      </c>
      <c r="I574">
        <v>93</v>
      </c>
      <c r="J574">
        <v>5</v>
      </c>
      <c r="K574" s="4">
        <v>2842</v>
      </c>
      <c r="L574" s="4">
        <v>198.14285714285714</v>
      </c>
      <c r="M574" s="4">
        <v>2.523431867339582E-2</v>
      </c>
      <c r="N574" t="s">
        <v>25</v>
      </c>
      <c r="O574" t="str">
        <f t="shared" si="80"/>
        <v>Low</v>
      </c>
      <c r="P574" t="str">
        <f t="shared" si="81"/>
        <v>Low</v>
      </c>
      <c r="Q574" t="str">
        <f t="shared" si="82"/>
        <v>Low</v>
      </c>
      <c r="R574" t="s">
        <v>3317</v>
      </c>
      <c r="S574" s="4">
        <f t="shared" ca="1" si="83"/>
        <v>1666</v>
      </c>
      <c r="T574">
        <f t="shared" si="84"/>
        <v>1</v>
      </c>
      <c r="U574">
        <f t="shared" si="85"/>
        <v>1</v>
      </c>
      <c r="V574">
        <f t="shared" si="86"/>
        <v>1</v>
      </c>
      <c r="W574">
        <f t="shared" si="87"/>
        <v>1</v>
      </c>
      <c r="X574">
        <f t="shared" si="88"/>
        <v>0.99999999999999989</v>
      </c>
      <c r="Y574" t="str">
        <f t="shared" si="89"/>
        <v>Healthy</v>
      </c>
    </row>
    <row r="575" spans="1:25" x14ac:dyDescent="0.35">
      <c r="A575" t="s">
        <v>71</v>
      </c>
      <c r="B575" t="s">
        <v>72</v>
      </c>
      <c r="C575" t="s">
        <v>174</v>
      </c>
      <c r="D575" t="s">
        <v>551</v>
      </c>
      <c r="E575">
        <v>83912040</v>
      </c>
      <c r="F575" t="s">
        <v>552</v>
      </c>
      <c r="G575" s="3">
        <v>47222</v>
      </c>
      <c r="H575">
        <v>36</v>
      </c>
      <c r="I575">
        <v>95</v>
      </c>
      <c r="J575">
        <v>37</v>
      </c>
      <c r="K575" s="4">
        <v>142582.82999999999</v>
      </c>
      <c r="L575" s="4">
        <v>55.857142857142854</v>
      </c>
      <c r="M575" s="4">
        <v>0.66240409207161133</v>
      </c>
      <c r="N575" t="s">
        <v>25</v>
      </c>
      <c r="O575" t="str">
        <f t="shared" si="80"/>
        <v>Low</v>
      </c>
      <c r="P575" t="str">
        <f t="shared" si="81"/>
        <v>Low</v>
      </c>
      <c r="Q575" t="str">
        <f t="shared" si="82"/>
        <v>Low</v>
      </c>
      <c r="R575" t="s">
        <v>3309</v>
      </c>
      <c r="S575" s="4">
        <f t="shared" ca="1" si="83"/>
        <v>1025</v>
      </c>
      <c r="T575">
        <f t="shared" si="84"/>
        <v>1</v>
      </c>
      <c r="U575">
        <f t="shared" si="85"/>
        <v>1</v>
      </c>
      <c r="V575">
        <f t="shared" si="86"/>
        <v>1</v>
      </c>
      <c r="W575">
        <f t="shared" si="87"/>
        <v>3</v>
      </c>
      <c r="X575">
        <f t="shared" si="88"/>
        <v>1.2</v>
      </c>
      <c r="Y575" t="str">
        <f t="shared" si="89"/>
        <v>Healthy</v>
      </c>
    </row>
    <row r="576" spans="1:25" x14ac:dyDescent="0.35">
      <c r="A576" t="s">
        <v>210</v>
      </c>
      <c r="B576" t="s">
        <v>211</v>
      </c>
      <c r="C576" t="s">
        <v>273</v>
      </c>
      <c r="D576" t="s">
        <v>549</v>
      </c>
      <c r="E576">
        <v>80875509</v>
      </c>
      <c r="F576" t="s">
        <v>550</v>
      </c>
      <c r="G576" s="3">
        <v>47940</v>
      </c>
      <c r="H576">
        <v>60</v>
      </c>
      <c r="I576">
        <v>97</v>
      </c>
      <c r="J576">
        <v>106</v>
      </c>
      <c r="K576" s="4">
        <v>60250.400000000001</v>
      </c>
      <c r="L576" s="4">
        <v>198.14285714285714</v>
      </c>
      <c r="M576" s="4">
        <v>0.53496755587599132</v>
      </c>
      <c r="N576" t="s">
        <v>25</v>
      </c>
      <c r="O576" t="str">
        <f t="shared" si="80"/>
        <v>Low</v>
      </c>
      <c r="P576" t="str">
        <f t="shared" si="81"/>
        <v>Low</v>
      </c>
      <c r="Q576" t="str">
        <f t="shared" si="82"/>
        <v>Low</v>
      </c>
      <c r="R576" t="s">
        <v>3317</v>
      </c>
      <c r="S576" s="4">
        <f t="shared" ca="1" si="83"/>
        <v>1743</v>
      </c>
      <c r="T576">
        <f t="shared" si="84"/>
        <v>1</v>
      </c>
      <c r="U576">
        <f t="shared" si="85"/>
        <v>1</v>
      </c>
      <c r="V576">
        <f t="shared" si="86"/>
        <v>1</v>
      </c>
      <c r="W576">
        <f t="shared" si="87"/>
        <v>1</v>
      </c>
      <c r="X576">
        <f t="shared" si="88"/>
        <v>0.99999999999999989</v>
      </c>
      <c r="Y576" t="str">
        <f t="shared" si="89"/>
        <v>Healthy</v>
      </c>
    </row>
    <row r="577" spans="1:25" x14ac:dyDescent="0.35">
      <c r="A577" t="s">
        <v>71</v>
      </c>
      <c r="B577" t="s">
        <v>72</v>
      </c>
      <c r="C577" t="s">
        <v>174</v>
      </c>
      <c r="D577" t="s">
        <v>551</v>
      </c>
      <c r="E577">
        <v>83912040</v>
      </c>
      <c r="F577" t="s">
        <v>552</v>
      </c>
      <c r="G577" s="3">
        <v>47196</v>
      </c>
      <c r="H577">
        <v>36</v>
      </c>
      <c r="I577">
        <v>93</v>
      </c>
      <c r="J577">
        <v>5</v>
      </c>
      <c r="K577" s="4">
        <v>19267.95</v>
      </c>
      <c r="L577" s="4">
        <v>55.857142857142854</v>
      </c>
      <c r="M577" s="4">
        <v>8.9514066496163683E-2</v>
      </c>
      <c r="N577" t="s">
        <v>25</v>
      </c>
      <c r="O577" t="str">
        <f t="shared" si="80"/>
        <v>Low</v>
      </c>
      <c r="P577" t="str">
        <f t="shared" si="81"/>
        <v>Low</v>
      </c>
      <c r="Q577" t="str">
        <f t="shared" si="82"/>
        <v>Low</v>
      </c>
      <c r="R577" t="s">
        <v>3317</v>
      </c>
      <c r="S577" s="4">
        <f t="shared" ca="1" si="83"/>
        <v>999</v>
      </c>
      <c r="T577">
        <f t="shared" si="84"/>
        <v>1</v>
      </c>
      <c r="U577">
        <f t="shared" si="85"/>
        <v>1</v>
      </c>
      <c r="V577">
        <f t="shared" si="86"/>
        <v>1</v>
      </c>
      <c r="W577">
        <f t="shared" si="87"/>
        <v>1</v>
      </c>
      <c r="X577">
        <f t="shared" si="88"/>
        <v>0.99999999999999989</v>
      </c>
      <c r="Y577" t="str">
        <f t="shared" si="89"/>
        <v>Healthy</v>
      </c>
    </row>
    <row r="578" spans="1:25" x14ac:dyDescent="0.35">
      <c r="A578" t="s">
        <v>210</v>
      </c>
      <c r="B578" t="s">
        <v>211</v>
      </c>
      <c r="C578" t="s">
        <v>273</v>
      </c>
      <c r="D578" t="s">
        <v>549</v>
      </c>
      <c r="E578">
        <v>80875509</v>
      </c>
      <c r="F578" t="s">
        <v>550</v>
      </c>
      <c r="G578" s="3">
        <v>47939</v>
      </c>
      <c r="H578">
        <v>60</v>
      </c>
      <c r="I578">
        <v>97</v>
      </c>
      <c r="J578">
        <v>4</v>
      </c>
      <c r="K578" s="4">
        <v>2273.6</v>
      </c>
      <c r="L578" s="4">
        <v>198.14285714285714</v>
      </c>
      <c r="M578" s="4">
        <v>2.0187454938716654E-2</v>
      </c>
      <c r="N578" t="s">
        <v>25</v>
      </c>
      <c r="O578" t="str">
        <f t="shared" si="80"/>
        <v>Low</v>
      </c>
      <c r="P578" t="str">
        <f t="shared" si="81"/>
        <v>Low</v>
      </c>
      <c r="Q578" t="str">
        <f t="shared" si="82"/>
        <v>Low</v>
      </c>
      <c r="R578" t="s">
        <v>3317</v>
      </c>
      <c r="S578" s="4">
        <f t="shared" ca="1" si="83"/>
        <v>1742</v>
      </c>
      <c r="T578">
        <f t="shared" si="84"/>
        <v>1</v>
      </c>
      <c r="U578">
        <f t="shared" si="85"/>
        <v>1</v>
      </c>
      <c r="V578">
        <f t="shared" si="86"/>
        <v>1</v>
      </c>
      <c r="W578">
        <f t="shared" si="87"/>
        <v>1</v>
      </c>
      <c r="X578">
        <f t="shared" si="88"/>
        <v>0.99999999999999989</v>
      </c>
      <c r="Y578" t="str">
        <f t="shared" si="89"/>
        <v>Healthy</v>
      </c>
    </row>
    <row r="579" spans="1:25" x14ac:dyDescent="0.35">
      <c r="A579" t="s">
        <v>71</v>
      </c>
      <c r="B579" t="s">
        <v>72</v>
      </c>
      <c r="C579" t="s">
        <v>174</v>
      </c>
      <c r="D579" t="s">
        <v>551</v>
      </c>
      <c r="E579">
        <v>83912040</v>
      </c>
      <c r="F579" t="s">
        <v>552</v>
      </c>
      <c r="G579" s="3">
        <v>47241</v>
      </c>
      <c r="H579">
        <v>36</v>
      </c>
      <c r="I579">
        <v>97</v>
      </c>
      <c r="J579">
        <v>93</v>
      </c>
      <c r="K579" s="4">
        <v>358383.87</v>
      </c>
      <c r="L579" s="4">
        <v>55.857142857142854</v>
      </c>
      <c r="M579" s="4">
        <v>1.6649616368286446</v>
      </c>
      <c r="N579" t="s">
        <v>25</v>
      </c>
      <c r="O579" t="str">
        <f t="shared" ref="O579:O642" si="90">IF(I579&lt;20,"High",IF(I579&lt;40,"Medium","Low"))</f>
        <v>Low</v>
      </c>
      <c r="P579" t="str">
        <f t="shared" ref="P579:P642" si="91">IF(M579&gt;8,"High",IF(M579&gt;4,"Medium","Low"))</f>
        <v>Low</v>
      </c>
      <c r="Q579" t="str">
        <f t="shared" ref="Q579:Q642" si="92">IF(L579&lt;5,"High",IF(L579&lt;15,"Medium","Low"))</f>
        <v>Low</v>
      </c>
      <c r="R579" t="s">
        <v>3309</v>
      </c>
      <c r="S579" s="4">
        <f t="shared" ref="S579:S642" ca="1" si="93">G579-TODAY()</f>
        <v>1044</v>
      </c>
      <c r="T579">
        <f t="shared" ref="T579:T642" si="94">IF(O579="High",3,IF(O579="Medium",2,1))</f>
        <v>1</v>
      </c>
      <c r="U579">
        <f t="shared" ref="U579:U642" si="95">IF(P579="High",3,IF(P579="Medium",2,1))</f>
        <v>1</v>
      </c>
      <c r="V579">
        <f t="shared" ref="V579:V642" si="96">IF(Q579="High",3,IF(Q579="Medium",2,1))</f>
        <v>1</v>
      </c>
      <c r="W579">
        <f t="shared" ref="W579:W642" si="97">IF(R579="High",3,IF(R579="Medium",2,1))</f>
        <v>3</v>
      </c>
      <c r="X579">
        <f t="shared" ref="X579:X642" si="98">(0.4*T579)+(0.3*U579)+(0.2*V579)+(0.1*W579)</f>
        <v>1.2</v>
      </c>
      <c r="Y579" t="str">
        <f t="shared" ref="Y579:Y642" si="99">IF(X579&gt;=2.7,"Move Immediately",IF(X579&gt;=2.2,"High Priority",IF(X579&gt;=1.7,"Monitor","Healthy")))</f>
        <v>Healthy</v>
      </c>
    </row>
    <row r="580" spans="1:25" x14ac:dyDescent="0.35">
      <c r="A580" t="s">
        <v>210</v>
      </c>
      <c r="B580" t="s">
        <v>211</v>
      </c>
      <c r="C580" t="s">
        <v>338</v>
      </c>
      <c r="D580" t="s">
        <v>553</v>
      </c>
      <c r="E580">
        <v>80875513</v>
      </c>
      <c r="F580" t="s">
        <v>554</v>
      </c>
      <c r="G580" s="3">
        <v>48000</v>
      </c>
      <c r="H580">
        <v>60</v>
      </c>
      <c r="I580">
        <v>100</v>
      </c>
      <c r="J580">
        <v>16</v>
      </c>
      <c r="K580" s="4">
        <v>2357.7600000000002</v>
      </c>
      <c r="L580" s="4">
        <v>2534</v>
      </c>
      <c r="M580" s="4">
        <v>6.314127861089187E-3</v>
      </c>
      <c r="N580" t="s">
        <v>25</v>
      </c>
      <c r="O580" t="str">
        <f t="shared" si="90"/>
        <v>Low</v>
      </c>
      <c r="P580" t="str">
        <f t="shared" si="91"/>
        <v>Low</v>
      </c>
      <c r="Q580" t="str">
        <f t="shared" si="92"/>
        <v>Low</v>
      </c>
      <c r="R580" t="s">
        <v>3317</v>
      </c>
      <c r="S580" s="4">
        <f t="shared" ca="1" si="93"/>
        <v>1803</v>
      </c>
      <c r="T580">
        <f t="shared" si="94"/>
        <v>1</v>
      </c>
      <c r="U580">
        <f t="shared" si="95"/>
        <v>1</v>
      </c>
      <c r="V580">
        <f t="shared" si="96"/>
        <v>1</v>
      </c>
      <c r="W580">
        <f t="shared" si="97"/>
        <v>1</v>
      </c>
      <c r="X580">
        <f t="shared" si="98"/>
        <v>0.99999999999999989</v>
      </c>
      <c r="Y580" t="str">
        <f t="shared" si="99"/>
        <v>Healthy</v>
      </c>
    </row>
    <row r="581" spans="1:25" x14ac:dyDescent="0.35">
      <c r="A581" t="s">
        <v>71</v>
      </c>
      <c r="B581" t="s">
        <v>72</v>
      </c>
      <c r="C581" t="s">
        <v>174</v>
      </c>
      <c r="D581" t="s">
        <v>555</v>
      </c>
      <c r="E581">
        <v>83912041</v>
      </c>
      <c r="F581" t="s">
        <v>556</v>
      </c>
      <c r="G581" s="3">
        <v>47251</v>
      </c>
      <c r="H581">
        <v>36</v>
      </c>
      <c r="I581">
        <v>98</v>
      </c>
      <c r="J581">
        <v>575</v>
      </c>
      <c r="K581" s="4">
        <v>1653976</v>
      </c>
      <c r="L581" s="4">
        <v>17</v>
      </c>
      <c r="M581" s="4">
        <v>33.823529411764703</v>
      </c>
      <c r="N581" t="s">
        <v>19</v>
      </c>
      <c r="O581" t="str">
        <f t="shared" si="90"/>
        <v>Low</v>
      </c>
      <c r="P581" t="str">
        <f t="shared" si="91"/>
        <v>High</v>
      </c>
      <c r="Q581" t="str">
        <f t="shared" si="92"/>
        <v>Low</v>
      </c>
      <c r="R581" t="s">
        <v>3309</v>
      </c>
      <c r="S581" s="4">
        <f t="shared" ca="1" si="93"/>
        <v>1054</v>
      </c>
      <c r="T581">
        <f t="shared" si="94"/>
        <v>1</v>
      </c>
      <c r="U581">
        <f t="shared" si="95"/>
        <v>3</v>
      </c>
      <c r="V581">
        <f t="shared" si="96"/>
        <v>1</v>
      </c>
      <c r="W581">
        <f t="shared" si="97"/>
        <v>3</v>
      </c>
      <c r="X581">
        <f t="shared" si="98"/>
        <v>1.7999999999999998</v>
      </c>
      <c r="Y581" t="str">
        <f t="shared" si="99"/>
        <v>Monitor</v>
      </c>
    </row>
    <row r="582" spans="1:25" x14ac:dyDescent="0.35">
      <c r="A582" t="s">
        <v>71</v>
      </c>
      <c r="B582" t="s">
        <v>72</v>
      </c>
      <c r="C582" t="s">
        <v>174</v>
      </c>
      <c r="D582" t="s">
        <v>555</v>
      </c>
      <c r="E582">
        <v>83912041</v>
      </c>
      <c r="F582" t="s">
        <v>556</v>
      </c>
      <c r="G582" s="3">
        <v>47220</v>
      </c>
      <c r="H582">
        <v>36</v>
      </c>
      <c r="I582">
        <v>95</v>
      </c>
      <c r="J582">
        <v>39</v>
      </c>
      <c r="K582" s="4">
        <v>112182.72</v>
      </c>
      <c r="L582" s="4">
        <v>17</v>
      </c>
      <c r="M582" s="4">
        <v>2.2941176470588234</v>
      </c>
      <c r="N582" t="s">
        <v>25</v>
      </c>
      <c r="O582" t="str">
        <f t="shared" si="90"/>
        <v>Low</v>
      </c>
      <c r="P582" t="str">
        <f t="shared" si="91"/>
        <v>Low</v>
      </c>
      <c r="Q582" t="str">
        <f t="shared" si="92"/>
        <v>Low</v>
      </c>
      <c r="R582" t="s">
        <v>3310</v>
      </c>
      <c r="S582" s="4">
        <f t="shared" ca="1" si="93"/>
        <v>1023</v>
      </c>
      <c r="T582">
        <f t="shared" si="94"/>
        <v>1</v>
      </c>
      <c r="U582">
        <f t="shared" si="95"/>
        <v>1</v>
      </c>
      <c r="V582">
        <f t="shared" si="96"/>
        <v>1</v>
      </c>
      <c r="W582">
        <f t="shared" si="97"/>
        <v>2</v>
      </c>
      <c r="X582">
        <f t="shared" si="98"/>
        <v>1.0999999999999999</v>
      </c>
      <c r="Y582" t="str">
        <f t="shared" si="99"/>
        <v>Healthy</v>
      </c>
    </row>
    <row r="583" spans="1:25" x14ac:dyDescent="0.35">
      <c r="A583" t="s">
        <v>210</v>
      </c>
      <c r="B583" t="s">
        <v>211</v>
      </c>
      <c r="C583" t="s">
        <v>338</v>
      </c>
      <c r="D583" t="s">
        <v>553</v>
      </c>
      <c r="E583">
        <v>80875513</v>
      </c>
      <c r="F583" t="s">
        <v>554</v>
      </c>
      <c r="G583" s="3">
        <v>48002</v>
      </c>
      <c r="H583">
        <v>60</v>
      </c>
      <c r="I583">
        <v>100</v>
      </c>
      <c r="J583">
        <v>868</v>
      </c>
      <c r="K583" s="4">
        <v>127908.48</v>
      </c>
      <c r="L583" s="4">
        <v>2534</v>
      </c>
      <c r="M583" s="4">
        <v>0.34254143646408841</v>
      </c>
      <c r="N583" t="s">
        <v>25</v>
      </c>
      <c r="O583" t="str">
        <f t="shared" si="90"/>
        <v>Low</v>
      </c>
      <c r="P583" t="str">
        <f t="shared" si="91"/>
        <v>Low</v>
      </c>
      <c r="Q583" t="str">
        <f t="shared" si="92"/>
        <v>Low</v>
      </c>
      <c r="R583" t="s">
        <v>3310</v>
      </c>
      <c r="S583" s="4">
        <f t="shared" ca="1" si="93"/>
        <v>1805</v>
      </c>
      <c r="T583">
        <f t="shared" si="94"/>
        <v>1</v>
      </c>
      <c r="U583">
        <f t="shared" si="95"/>
        <v>1</v>
      </c>
      <c r="V583">
        <f t="shared" si="96"/>
        <v>1</v>
      </c>
      <c r="W583">
        <f t="shared" si="97"/>
        <v>2</v>
      </c>
      <c r="X583">
        <f t="shared" si="98"/>
        <v>1.0999999999999999</v>
      </c>
      <c r="Y583" t="str">
        <f t="shared" si="99"/>
        <v>Healthy</v>
      </c>
    </row>
    <row r="584" spans="1:25" x14ac:dyDescent="0.35">
      <c r="A584" t="s">
        <v>71</v>
      </c>
      <c r="B584" t="s">
        <v>72</v>
      </c>
      <c r="C584" t="s">
        <v>174</v>
      </c>
      <c r="D584" t="s">
        <v>555</v>
      </c>
      <c r="E584">
        <v>83912041</v>
      </c>
      <c r="F584" t="s">
        <v>556</v>
      </c>
      <c r="G584" s="3">
        <v>47220</v>
      </c>
      <c r="H584">
        <v>36</v>
      </c>
      <c r="I584">
        <v>95</v>
      </c>
      <c r="J584">
        <v>28</v>
      </c>
      <c r="K584" s="4">
        <v>80541.440000000002</v>
      </c>
      <c r="L584" s="4">
        <v>17</v>
      </c>
      <c r="M584" s="4">
        <v>1.6470588235294117</v>
      </c>
      <c r="N584" t="s">
        <v>25</v>
      </c>
      <c r="O584" t="str">
        <f t="shared" si="90"/>
        <v>Low</v>
      </c>
      <c r="P584" t="str">
        <f t="shared" si="91"/>
        <v>Low</v>
      </c>
      <c r="Q584" t="str">
        <f t="shared" si="92"/>
        <v>Low</v>
      </c>
      <c r="R584" t="s">
        <v>3310</v>
      </c>
      <c r="S584" s="4">
        <f t="shared" ca="1" si="93"/>
        <v>1023</v>
      </c>
      <c r="T584">
        <f t="shared" si="94"/>
        <v>1</v>
      </c>
      <c r="U584">
        <f t="shared" si="95"/>
        <v>1</v>
      </c>
      <c r="V584">
        <f t="shared" si="96"/>
        <v>1</v>
      </c>
      <c r="W584">
        <f t="shared" si="97"/>
        <v>2</v>
      </c>
      <c r="X584">
        <f t="shared" si="98"/>
        <v>1.0999999999999999</v>
      </c>
      <c r="Y584" t="str">
        <f t="shared" si="99"/>
        <v>Healthy</v>
      </c>
    </row>
    <row r="585" spans="1:25" x14ac:dyDescent="0.35">
      <c r="A585" t="s">
        <v>90</v>
      </c>
      <c r="B585" t="s">
        <v>217</v>
      </c>
      <c r="C585" t="s">
        <v>239</v>
      </c>
      <c r="D585" t="s">
        <v>557</v>
      </c>
      <c r="E585">
        <v>83911778</v>
      </c>
      <c r="F585" t="s">
        <v>558</v>
      </c>
      <c r="G585" s="3">
        <v>46914</v>
      </c>
      <c r="H585">
        <v>24</v>
      </c>
      <c r="I585">
        <v>100</v>
      </c>
      <c r="J585">
        <v>63</v>
      </c>
      <c r="K585" s="4">
        <v>252639.45</v>
      </c>
      <c r="L585" s="4">
        <v>178.71428571428572</v>
      </c>
      <c r="M585" s="4">
        <v>0.35251798561151076</v>
      </c>
      <c r="N585" t="s">
        <v>25</v>
      </c>
      <c r="O585" t="str">
        <f t="shared" si="90"/>
        <v>Low</v>
      </c>
      <c r="P585" t="str">
        <f t="shared" si="91"/>
        <v>Low</v>
      </c>
      <c r="Q585" t="str">
        <f t="shared" si="92"/>
        <v>Low</v>
      </c>
      <c r="R585" t="s">
        <v>3309</v>
      </c>
      <c r="S585" s="4">
        <f t="shared" ca="1" si="93"/>
        <v>717</v>
      </c>
      <c r="T585">
        <f t="shared" si="94"/>
        <v>1</v>
      </c>
      <c r="U585">
        <f t="shared" si="95"/>
        <v>1</v>
      </c>
      <c r="V585">
        <f t="shared" si="96"/>
        <v>1</v>
      </c>
      <c r="W585">
        <f t="shared" si="97"/>
        <v>3</v>
      </c>
      <c r="X585">
        <f t="shared" si="98"/>
        <v>1.2</v>
      </c>
      <c r="Y585" t="str">
        <f t="shared" si="99"/>
        <v>Healthy</v>
      </c>
    </row>
    <row r="586" spans="1:25" x14ac:dyDescent="0.35">
      <c r="A586" t="s">
        <v>90</v>
      </c>
      <c r="B586" t="s">
        <v>217</v>
      </c>
      <c r="C586" t="s">
        <v>239</v>
      </c>
      <c r="D586" t="s">
        <v>557</v>
      </c>
      <c r="E586">
        <v>83911778</v>
      </c>
      <c r="F586" t="s">
        <v>558</v>
      </c>
      <c r="G586" s="3">
        <v>46897</v>
      </c>
      <c r="H586">
        <v>24</v>
      </c>
      <c r="I586">
        <v>98</v>
      </c>
      <c r="J586">
        <v>200</v>
      </c>
      <c r="K586" s="4">
        <v>802030</v>
      </c>
      <c r="L586" s="4">
        <v>178.71428571428572</v>
      </c>
      <c r="M586" s="4">
        <v>1.1191047162270182</v>
      </c>
      <c r="N586" t="s">
        <v>25</v>
      </c>
      <c r="O586" t="str">
        <f t="shared" si="90"/>
        <v>Low</v>
      </c>
      <c r="P586" t="str">
        <f t="shared" si="91"/>
        <v>Low</v>
      </c>
      <c r="Q586" t="str">
        <f t="shared" si="92"/>
        <v>Low</v>
      </c>
      <c r="R586" t="s">
        <v>3309</v>
      </c>
      <c r="S586" s="4">
        <f t="shared" ca="1" si="93"/>
        <v>700</v>
      </c>
      <c r="T586">
        <f t="shared" si="94"/>
        <v>1</v>
      </c>
      <c r="U586">
        <f t="shared" si="95"/>
        <v>1</v>
      </c>
      <c r="V586">
        <f t="shared" si="96"/>
        <v>1</v>
      </c>
      <c r="W586">
        <f t="shared" si="97"/>
        <v>3</v>
      </c>
      <c r="X586">
        <f t="shared" si="98"/>
        <v>1.2</v>
      </c>
      <c r="Y586" t="str">
        <f t="shared" si="99"/>
        <v>Healthy</v>
      </c>
    </row>
    <row r="587" spans="1:25" x14ac:dyDescent="0.35">
      <c r="A587" t="s">
        <v>210</v>
      </c>
      <c r="B587" t="s">
        <v>211</v>
      </c>
      <c r="C587" t="s">
        <v>338</v>
      </c>
      <c r="D587" t="s">
        <v>553</v>
      </c>
      <c r="E587">
        <v>80875513</v>
      </c>
      <c r="F587" t="s">
        <v>554</v>
      </c>
      <c r="G587" s="3">
        <v>47945</v>
      </c>
      <c r="H587">
        <v>60</v>
      </c>
      <c r="I587">
        <v>97</v>
      </c>
      <c r="J587">
        <v>9</v>
      </c>
      <c r="K587" s="4">
        <v>1326.24</v>
      </c>
      <c r="L587" s="4">
        <v>2534</v>
      </c>
      <c r="M587" s="4">
        <v>3.5516969218626678E-3</v>
      </c>
      <c r="N587" t="s">
        <v>25</v>
      </c>
      <c r="O587" t="str">
        <f t="shared" si="90"/>
        <v>Low</v>
      </c>
      <c r="P587" t="str">
        <f t="shared" si="91"/>
        <v>Low</v>
      </c>
      <c r="Q587" t="str">
        <f t="shared" si="92"/>
        <v>Low</v>
      </c>
      <c r="R587" t="s">
        <v>3317</v>
      </c>
      <c r="S587" s="4">
        <f t="shared" ca="1" si="93"/>
        <v>1748</v>
      </c>
      <c r="T587">
        <f t="shared" si="94"/>
        <v>1</v>
      </c>
      <c r="U587">
        <f t="shared" si="95"/>
        <v>1</v>
      </c>
      <c r="V587">
        <f t="shared" si="96"/>
        <v>1</v>
      </c>
      <c r="W587">
        <f t="shared" si="97"/>
        <v>1</v>
      </c>
      <c r="X587">
        <f t="shared" si="98"/>
        <v>0.99999999999999989</v>
      </c>
      <c r="Y587" t="str">
        <f t="shared" si="99"/>
        <v>Healthy</v>
      </c>
    </row>
    <row r="588" spans="1:25" x14ac:dyDescent="0.35">
      <c r="A588" t="s">
        <v>90</v>
      </c>
      <c r="B588" t="s">
        <v>217</v>
      </c>
      <c r="C588" t="s">
        <v>239</v>
      </c>
      <c r="D588" t="s">
        <v>557</v>
      </c>
      <c r="E588">
        <v>83911778</v>
      </c>
      <c r="F588" t="s">
        <v>558</v>
      </c>
      <c r="G588" s="3">
        <v>46859</v>
      </c>
      <c r="H588">
        <v>24</v>
      </c>
      <c r="I588">
        <v>93</v>
      </c>
      <c r="J588">
        <v>58</v>
      </c>
      <c r="K588" s="4">
        <v>232588.7</v>
      </c>
      <c r="L588" s="4">
        <v>178.71428571428572</v>
      </c>
      <c r="M588" s="4">
        <v>0.32454036770583533</v>
      </c>
      <c r="N588" t="s">
        <v>25</v>
      </c>
      <c r="O588" t="str">
        <f t="shared" si="90"/>
        <v>Low</v>
      </c>
      <c r="P588" t="str">
        <f t="shared" si="91"/>
        <v>Low</v>
      </c>
      <c r="Q588" t="str">
        <f t="shared" si="92"/>
        <v>Low</v>
      </c>
      <c r="R588" t="s">
        <v>3309</v>
      </c>
      <c r="S588" s="4">
        <f t="shared" ca="1" si="93"/>
        <v>662</v>
      </c>
      <c r="T588">
        <f t="shared" si="94"/>
        <v>1</v>
      </c>
      <c r="U588">
        <f t="shared" si="95"/>
        <v>1</v>
      </c>
      <c r="V588">
        <f t="shared" si="96"/>
        <v>1</v>
      </c>
      <c r="W588">
        <f t="shared" si="97"/>
        <v>3</v>
      </c>
      <c r="X588">
        <f t="shared" si="98"/>
        <v>1.2</v>
      </c>
      <c r="Y588" t="str">
        <f t="shared" si="99"/>
        <v>Healthy</v>
      </c>
    </row>
    <row r="589" spans="1:25" x14ac:dyDescent="0.35">
      <c r="A589" t="s">
        <v>41</v>
      </c>
      <c r="B589" t="s">
        <v>54</v>
      </c>
      <c r="C589" t="s">
        <v>459</v>
      </c>
      <c r="D589" t="s">
        <v>559</v>
      </c>
      <c r="E589">
        <v>83906035</v>
      </c>
      <c r="F589" t="s">
        <v>560</v>
      </c>
      <c r="G589" s="3">
        <v>47092</v>
      </c>
      <c r="H589">
        <v>36</v>
      </c>
      <c r="I589">
        <v>83</v>
      </c>
      <c r="J589">
        <v>2112</v>
      </c>
      <c r="K589" s="4">
        <v>145601.28</v>
      </c>
      <c r="L589" s="4">
        <v>356.57142857142856</v>
      </c>
      <c r="M589" s="4">
        <v>5.9230769230769234</v>
      </c>
      <c r="N589" t="s">
        <v>25</v>
      </c>
      <c r="O589" t="str">
        <f t="shared" si="90"/>
        <v>Low</v>
      </c>
      <c r="P589" t="str">
        <f t="shared" si="91"/>
        <v>Medium</v>
      </c>
      <c r="Q589" t="str">
        <f t="shared" si="92"/>
        <v>Low</v>
      </c>
      <c r="R589" t="s">
        <v>3309</v>
      </c>
      <c r="S589" s="4">
        <f t="shared" ca="1" si="93"/>
        <v>895</v>
      </c>
      <c r="T589">
        <f t="shared" si="94"/>
        <v>1</v>
      </c>
      <c r="U589">
        <f t="shared" si="95"/>
        <v>2</v>
      </c>
      <c r="V589">
        <f t="shared" si="96"/>
        <v>1</v>
      </c>
      <c r="W589">
        <f t="shared" si="97"/>
        <v>3</v>
      </c>
      <c r="X589">
        <f t="shared" si="98"/>
        <v>1.5</v>
      </c>
      <c r="Y589" t="str">
        <f t="shared" si="99"/>
        <v>Healthy</v>
      </c>
    </row>
    <row r="590" spans="1:25" x14ac:dyDescent="0.35">
      <c r="A590" t="s">
        <v>179</v>
      </c>
      <c r="B590" t="s">
        <v>223</v>
      </c>
      <c r="C590" t="s">
        <v>408</v>
      </c>
      <c r="D590" t="s">
        <v>561</v>
      </c>
      <c r="E590">
        <v>80888158</v>
      </c>
      <c r="F590" t="s">
        <v>562</v>
      </c>
      <c r="G590" s="3">
        <v>46561</v>
      </c>
      <c r="H590">
        <v>16</v>
      </c>
      <c r="I590">
        <v>77</v>
      </c>
      <c r="J590">
        <v>26</v>
      </c>
      <c r="K590" s="4">
        <v>78619</v>
      </c>
      <c r="L590" s="4">
        <v>1149.1428571428571</v>
      </c>
      <c r="M590" s="4">
        <v>2.2625559423172553E-2</v>
      </c>
      <c r="N590" t="s">
        <v>25</v>
      </c>
      <c r="O590" t="str">
        <f t="shared" si="90"/>
        <v>Low</v>
      </c>
      <c r="P590" t="str">
        <f t="shared" si="91"/>
        <v>Low</v>
      </c>
      <c r="Q590" t="str">
        <f t="shared" si="92"/>
        <v>Low</v>
      </c>
      <c r="R590" t="s">
        <v>3310</v>
      </c>
      <c r="S590" s="4">
        <f t="shared" ca="1" si="93"/>
        <v>364</v>
      </c>
      <c r="T590">
        <f t="shared" si="94"/>
        <v>1</v>
      </c>
      <c r="U590">
        <f t="shared" si="95"/>
        <v>1</v>
      </c>
      <c r="V590">
        <f t="shared" si="96"/>
        <v>1</v>
      </c>
      <c r="W590">
        <f t="shared" si="97"/>
        <v>2</v>
      </c>
      <c r="X590">
        <f t="shared" si="98"/>
        <v>1.0999999999999999</v>
      </c>
      <c r="Y590" t="str">
        <f t="shared" si="99"/>
        <v>Healthy</v>
      </c>
    </row>
    <row r="591" spans="1:25" x14ac:dyDescent="0.35">
      <c r="A591" t="s">
        <v>41</v>
      </c>
      <c r="B591" t="s">
        <v>42</v>
      </c>
      <c r="C591" t="s">
        <v>121</v>
      </c>
      <c r="D591" t="s">
        <v>563</v>
      </c>
      <c r="E591">
        <v>83906036</v>
      </c>
      <c r="F591" t="s">
        <v>564</v>
      </c>
      <c r="G591" s="3">
        <v>47048</v>
      </c>
      <c r="H591">
        <v>36</v>
      </c>
      <c r="I591">
        <v>79</v>
      </c>
      <c r="J591">
        <v>10345</v>
      </c>
      <c r="K591" s="4">
        <v>1038224.2</v>
      </c>
      <c r="L591" s="4">
        <v>267.42857142857144</v>
      </c>
      <c r="M591" s="4">
        <v>38.683226495726494</v>
      </c>
      <c r="N591" t="s">
        <v>19</v>
      </c>
      <c r="O591" t="str">
        <f t="shared" si="90"/>
        <v>Low</v>
      </c>
      <c r="P591" t="str">
        <f t="shared" si="91"/>
        <v>High</v>
      </c>
      <c r="Q591" t="str">
        <f t="shared" si="92"/>
        <v>Low</v>
      </c>
      <c r="R591" t="s">
        <v>3309</v>
      </c>
      <c r="S591" s="4">
        <f t="shared" ca="1" si="93"/>
        <v>851</v>
      </c>
      <c r="T591">
        <f t="shared" si="94"/>
        <v>1</v>
      </c>
      <c r="U591">
        <f t="shared" si="95"/>
        <v>3</v>
      </c>
      <c r="V591">
        <f t="shared" si="96"/>
        <v>1</v>
      </c>
      <c r="W591">
        <f t="shared" si="97"/>
        <v>3</v>
      </c>
      <c r="X591">
        <f t="shared" si="98"/>
        <v>1.7999999999999998</v>
      </c>
      <c r="Y591" t="str">
        <f t="shared" si="99"/>
        <v>Monitor</v>
      </c>
    </row>
    <row r="592" spans="1:25" x14ac:dyDescent="0.35">
      <c r="A592" t="s">
        <v>179</v>
      </c>
      <c r="B592" t="s">
        <v>223</v>
      </c>
      <c r="C592" t="s">
        <v>408</v>
      </c>
      <c r="D592" t="s">
        <v>561</v>
      </c>
      <c r="E592">
        <v>80888158</v>
      </c>
      <c r="F592" t="s">
        <v>562</v>
      </c>
      <c r="G592" s="3">
        <v>46581</v>
      </c>
      <c r="H592">
        <v>16</v>
      </c>
      <c r="I592">
        <v>81</v>
      </c>
      <c r="J592">
        <v>2</v>
      </c>
      <c r="K592" s="4">
        <v>542.20000000000005</v>
      </c>
      <c r="L592" s="4">
        <v>1149.1428571428571</v>
      </c>
      <c r="M592" s="4">
        <v>1.7404276479363501E-3</v>
      </c>
      <c r="N592" t="s">
        <v>25</v>
      </c>
      <c r="O592" t="str">
        <f t="shared" si="90"/>
        <v>Low</v>
      </c>
      <c r="P592" t="str">
        <f t="shared" si="91"/>
        <v>Low</v>
      </c>
      <c r="Q592" t="str">
        <f t="shared" si="92"/>
        <v>Low</v>
      </c>
      <c r="R592" t="s">
        <v>3317</v>
      </c>
      <c r="S592" s="4">
        <f t="shared" ca="1" si="93"/>
        <v>384</v>
      </c>
      <c r="T592">
        <f t="shared" si="94"/>
        <v>1</v>
      </c>
      <c r="U592">
        <f t="shared" si="95"/>
        <v>1</v>
      </c>
      <c r="V592">
        <f t="shared" si="96"/>
        <v>1</v>
      </c>
      <c r="W592">
        <f t="shared" si="97"/>
        <v>1</v>
      </c>
      <c r="X592">
        <f t="shared" si="98"/>
        <v>0.99999999999999989</v>
      </c>
      <c r="Y592" t="str">
        <f t="shared" si="99"/>
        <v>Healthy</v>
      </c>
    </row>
    <row r="593" spans="1:25" x14ac:dyDescent="0.35">
      <c r="A593" t="s">
        <v>41</v>
      </c>
      <c r="B593" t="s">
        <v>42</v>
      </c>
      <c r="C593" t="s">
        <v>121</v>
      </c>
      <c r="D593" t="s">
        <v>565</v>
      </c>
      <c r="E593">
        <v>83906037</v>
      </c>
      <c r="F593" t="s">
        <v>566</v>
      </c>
      <c r="G593" s="3">
        <v>47041</v>
      </c>
      <c r="H593">
        <v>36</v>
      </c>
      <c r="I593">
        <v>79</v>
      </c>
      <c r="J593">
        <v>17</v>
      </c>
      <c r="K593" s="4">
        <v>1706.12</v>
      </c>
      <c r="L593" s="4">
        <v>253.71428571428572</v>
      </c>
      <c r="M593" s="4">
        <v>6.70045045045045E-2</v>
      </c>
      <c r="N593" t="s">
        <v>25</v>
      </c>
      <c r="O593" t="str">
        <f t="shared" si="90"/>
        <v>Low</v>
      </c>
      <c r="P593" t="str">
        <f t="shared" si="91"/>
        <v>Low</v>
      </c>
      <c r="Q593" t="str">
        <f t="shared" si="92"/>
        <v>Low</v>
      </c>
      <c r="R593" t="s">
        <v>3317</v>
      </c>
      <c r="S593" s="4">
        <f t="shared" ca="1" si="93"/>
        <v>844</v>
      </c>
      <c r="T593">
        <f t="shared" si="94"/>
        <v>1</v>
      </c>
      <c r="U593">
        <f t="shared" si="95"/>
        <v>1</v>
      </c>
      <c r="V593">
        <f t="shared" si="96"/>
        <v>1</v>
      </c>
      <c r="W593">
        <f t="shared" si="97"/>
        <v>1</v>
      </c>
      <c r="X593">
        <f t="shared" si="98"/>
        <v>0.99999999999999989</v>
      </c>
      <c r="Y593" t="str">
        <f t="shared" si="99"/>
        <v>Healthy</v>
      </c>
    </row>
    <row r="594" spans="1:25" x14ac:dyDescent="0.35">
      <c r="A594" t="s">
        <v>179</v>
      </c>
      <c r="B594" t="s">
        <v>223</v>
      </c>
      <c r="C594" t="s">
        <v>408</v>
      </c>
      <c r="D594" t="s">
        <v>561</v>
      </c>
      <c r="E594">
        <v>80888158</v>
      </c>
      <c r="F594" t="s">
        <v>562</v>
      </c>
      <c r="G594" s="3">
        <v>46614</v>
      </c>
      <c r="H594">
        <v>16</v>
      </c>
      <c r="I594">
        <v>88</v>
      </c>
      <c r="J594">
        <v>2</v>
      </c>
      <c r="K594" s="4">
        <v>542.20000000000005</v>
      </c>
      <c r="L594" s="4">
        <v>1149.1428571428571</v>
      </c>
      <c r="M594" s="4">
        <v>1.7404276479363501E-3</v>
      </c>
      <c r="N594" t="s">
        <v>25</v>
      </c>
      <c r="O594" t="str">
        <f t="shared" si="90"/>
        <v>Low</v>
      </c>
      <c r="P594" t="str">
        <f t="shared" si="91"/>
        <v>Low</v>
      </c>
      <c r="Q594" t="str">
        <f t="shared" si="92"/>
        <v>Low</v>
      </c>
      <c r="R594" t="s">
        <v>3317</v>
      </c>
      <c r="S594" s="4">
        <f t="shared" ca="1" si="93"/>
        <v>417</v>
      </c>
      <c r="T594">
        <f t="shared" si="94"/>
        <v>1</v>
      </c>
      <c r="U594">
        <f t="shared" si="95"/>
        <v>1</v>
      </c>
      <c r="V594">
        <f t="shared" si="96"/>
        <v>1</v>
      </c>
      <c r="W594">
        <f t="shared" si="97"/>
        <v>1</v>
      </c>
      <c r="X594">
        <f t="shared" si="98"/>
        <v>0.99999999999999989</v>
      </c>
      <c r="Y594" t="str">
        <f t="shared" si="99"/>
        <v>Healthy</v>
      </c>
    </row>
    <row r="595" spans="1:25" x14ac:dyDescent="0.35">
      <c r="A595" t="s">
        <v>41</v>
      </c>
      <c r="B595" t="s">
        <v>54</v>
      </c>
      <c r="C595" t="s">
        <v>55</v>
      </c>
      <c r="D595" t="s">
        <v>567</v>
      </c>
      <c r="E595">
        <v>83906040</v>
      </c>
      <c r="F595" t="s">
        <v>568</v>
      </c>
      <c r="G595" s="3">
        <v>47217</v>
      </c>
      <c r="H595">
        <v>36</v>
      </c>
      <c r="I595">
        <v>95</v>
      </c>
      <c r="J595">
        <v>1056</v>
      </c>
      <c r="K595" s="4">
        <v>72800.639999999999</v>
      </c>
      <c r="L595" s="4">
        <v>2304</v>
      </c>
      <c r="M595" s="4">
        <v>0.45833333333333331</v>
      </c>
      <c r="N595" t="s">
        <v>25</v>
      </c>
      <c r="O595" t="str">
        <f t="shared" si="90"/>
        <v>Low</v>
      </c>
      <c r="P595" t="str">
        <f t="shared" si="91"/>
        <v>Low</v>
      </c>
      <c r="Q595" t="str">
        <f t="shared" si="92"/>
        <v>Low</v>
      </c>
      <c r="R595" t="s">
        <v>3310</v>
      </c>
      <c r="S595" s="4">
        <f t="shared" ca="1" si="93"/>
        <v>1020</v>
      </c>
      <c r="T595">
        <f t="shared" si="94"/>
        <v>1</v>
      </c>
      <c r="U595">
        <f t="shared" si="95"/>
        <v>1</v>
      </c>
      <c r="V595">
        <f t="shared" si="96"/>
        <v>1</v>
      </c>
      <c r="W595">
        <f t="shared" si="97"/>
        <v>2</v>
      </c>
      <c r="X595">
        <f t="shared" si="98"/>
        <v>1.0999999999999999</v>
      </c>
      <c r="Y595" t="str">
        <f t="shared" si="99"/>
        <v>Healthy</v>
      </c>
    </row>
    <row r="596" spans="1:25" x14ac:dyDescent="0.35">
      <c r="A596" t="s">
        <v>179</v>
      </c>
      <c r="B596" t="s">
        <v>223</v>
      </c>
      <c r="C596" t="s">
        <v>408</v>
      </c>
      <c r="D596" t="s">
        <v>569</v>
      </c>
      <c r="E596">
        <v>80888159</v>
      </c>
      <c r="F596" t="s">
        <v>570</v>
      </c>
      <c r="G596" s="3">
        <v>46641</v>
      </c>
      <c r="H596">
        <v>16</v>
      </c>
      <c r="I596">
        <v>94</v>
      </c>
      <c r="J596">
        <v>652</v>
      </c>
      <c r="K596" s="4">
        <v>237028.08</v>
      </c>
      <c r="L596" s="4">
        <v>4019.1428571428573</v>
      </c>
      <c r="M596" s="4">
        <v>0.16222364398947892</v>
      </c>
      <c r="N596" t="s">
        <v>25</v>
      </c>
      <c r="O596" t="str">
        <f t="shared" si="90"/>
        <v>Low</v>
      </c>
      <c r="P596" t="str">
        <f t="shared" si="91"/>
        <v>Low</v>
      </c>
      <c r="Q596" t="str">
        <f t="shared" si="92"/>
        <v>Low</v>
      </c>
      <c r="R596" t="s">
        <v>3309</v>
      </c>
      <c r="S596" s="4">
        <f t="shared" ca="1" si="93"/>
        <v>444</v>
      </c>
      <c r="T596">
        <f t="shared" si="94"/>
        <v>1</v>
      </c>
      <c r="U596">
        <f t="shared" si="95"/>
        <v>1</v>
      </c>
      <c r="V596">
        <f t="shared" si="96"/>
        <v>1</v>
      </c>
      <c r="W596">
        <f t="shared" si="97"/>
        <v>3</v>
      </c>
      <c r="X596">
        <f t="shared" si="98"/>
        <v>1.2</v>
      </c>
      <c r="Y596" t="str">
        <f t="shared" si="99"/>
        <v>Healthy</v>
      </c>
    </row>
    <row r="597" spans="1:25" x14ac:dyDescent="0.35">
      <c r="A597" t="s">
        <v>41</v>
      </c>
      <c r="B597" t="s">
        <v>54</v>
      </c>
      <c r="C597" t="s">
        <v>55</v>
      </c>
      <c r="D597" t="s">
        <v>567</v>
      </c>
      <c r="E597">
        <v>83906040</v>
      </c>
      <c r="F597" t="s">
        <v>568</v>
      </c>
      <c r="G597" s="3">
        <v>47188</v>
      </c>
      <c r="H597">
        <v>36</v>
      </c>
      <c r="I597">
        <v>92</v>
      </c>
      <c r="J597">
        <v>1104</v>
      </c>
      <c r="K597" s="4">
        <v>76109.759999999995</v>
      </c>
      <c r="L597" s="4">
        <v>2304</v>
      </c>
      <c r="M597" s="4">
        <v>0.47916666666666669</v>
      </c>
      <c r="N597" t="s">
        <v>25</v>
      </c>
      <c r="O597" t="str">
        <f t="shared" si="90"/>
        <v>Low</v>
      </c>
      <c r="P597" t="str">
        <f t="shared" si="91"/>
        <v>Low</v>
      </c>
      <c r="Q597" t="str">
        <f t="shared" si="92"/>
        <v>Low</v>
      </c>
      <c r="R597" t="s">
        <v>3310</v>
      </c>
      <c r="S597" s="4">
        <f t="shared" ca="1" si="93"/>
        <v>991</v>
      </c>
      <c r="T597">
        <f t="shared" si="94"/>
        <v>1</v>
      </c>
      <c r="U597">
        <f t="shared" si="95"/>
        <v>1</v>
      </c>
      <c r="V597">
        <f t="shared" si="96"/>
        <v>1</v>
      </c>
      <c r="W597">
        <f t="shared" si="97"/>
        <v>2</v>
      </c>
      <c r="X597">
        <f t="shared" si="98"/>
        <v>1.0999999999999999</v>
      </c>
      <c r="Y597" t="str">
        <f t="shared" si="99"/>
        <v>Healthy</v>
      </c>
    </row>
    <row r="598" spans="1:25" x14ac:dyDescent="0.35">
      <c r="A598" t="s">
        <v>179</v>
      </c>
      <c r="B598" t="s">
        <v>223</v>
      </c>
      <c r="C598" t="s">
        <v>408</v>
      </c>
      <c r="D598" t="s">
        <v>569</v>
      </c>
      <c r="E598">
        <v>80888159</v>
      </c>
      <c r="F598" t="s">
        <v>570</v>
      </c>
      <c r="G598" s="3">
        <v>46643</v>
      </c>
      <c r="H598">
        <v>16</v>
      </c>
      <c r="I598">
        <v>94</v>
      </c>
      <c r="J598">
        <v>237</v>
      </c>
      <c r="K598" s="4">
        <v>86158.98</v>
      </c>
      <c r="L598" s="4">
        <v>4019.1428571428573</v>
      </c>
      <c r="M598" s="4">
        <v>5.896779697163574E-2</v>
      </c>
      <c r="N598" t="s">
        <v>25</v>
      </c>
      <c r="O598" t="str">
        <f t="shared" si="90"/>
        <v>Low</v>
      </c>
      <c r="P598" t="str">
        <f t="shared" si="91"/>
        <v>Low</v>
      </c>
      <c r="Q598" t="str">
        <f t="shared" si="92"/>
        <v>Low</v>
      </c>
      <c r="R598" t="s">
        <v>3310</v>
      </c>
      <c r="S598" s="4">
        <f t="shared" ca="1" si="93"/>
        <v>446</v>
      </c>
      <c r="T598">
        <f t="shared" si="94"/>
        <v>1</v>
      </c>
      <c r="U598">
        <f t="shared" si="95"/>
        <v>1</v>
      </c>
      <c r="V598">
        <f t="shared" si="96"/>
        <v>1</v>
      </c>
      <c r="W598">
        <f t="shared" si="97"/>
        <v>2</v>
      </c>
      <c r="X598">
        <f t="shared" si="98"/>
        <v>1.0999999999999999</v>
      </c>
      <c r="Y598" t="str">
        <f t="shared" si="99"/>
        <v>Healthy</v>
      </c>
    </row>
    <row r="599" spans="1:25" x14ac:dyDescent="0.35">
      <c r="A599" t="s">
        <v>41</v>
      </c>
      <c r="B599" t="s">
        <v>54</v>
      </c>
      <c r="C599" t="s">
        <v>55</v>
      </c>
      <c r="D599" t="s">
        <v>567</v>
      </c>
      <c r="E599">
        <v>83906040</v>
      </c>
      <c r="F599" t="s">
        <v>568</v>
      </c>
      <c r="G599" s="3">
        <v>47049</v>
      </c>
      <c r="H599">
        <v>36</v>
      </c>
      <c r="I599">
        <v>79</v>
      </c>
      <c r="J599">
        <v>288</v>
      </c>
      <c r="K599" s="4">
        <v>19854.72</v>
      </c>
      <c r="L599" s="4">
        <v>2304</v>
      </c>
      <c r="M599" s="4">
        <v>0.125</v>
      </c>
      <c r="N599" t="s">
        <v>25</v>
      </c>
      <c r="O599" t="str">
        <f t="shared" si="90"/>
        <v>Low</v>
      </c>
      <c r="P599" t="str">
        <f t="shared" si="91"/>
        <v>Low</v>
      </c>
      <c r="Q599" t="str">
        <f t="shared" si="92"/>
        <v>Low</v>
      </c>
      <c r="R599" t="s">
        <v>3317</v>
      </c>
      <c r="S599" s="4">
        <f t="shared" ca="1" si="93"/>
        <v>852</v>
      </c>
      <c r="T599">
        <f t="shared" si="94"/>
        <v>1</v>
      </c>
      <c r="U599">
        <f t="shared" si="95"/>
        <v>1</v>
      </c>
      <c r="V599">
        <f t="shared" si="96"/>
        <v>1</v>
      </c>
      <c r="W599">
        <f t="shared" si="97"/>
        <v>1</v>
      </c>
      <c r="X599">
        <f t="shared" si="98"/>
        <v>0.99999999999999989</v>
      </c>
      <c r="Y599" t="str">
        <f t="shared" si="99"/>
        <v>Healthy</v>
      </c>
    </row>
    <row r="600" spans="1:25" x14ac:dyDescent="0.35">
      <c r="A600" t="s">
        <v>179</v>
      </c>
      <c r="B600" t="s">
        <v>223</v>
      </c>
      <c r="C600" t="s">
        <v>408</v>
      </c>
      <c r="D600" t="s">
        <v>569</v>
      </c>
      <c r="E600">
        <v>80888159</v>
      </c>
      <c r="F600" t="s">
        <v>570</v>
      </c>
      <c r="G600" s="3">
        <v>46561</v>
      </c>
      <c r="H600">
        <v>16</v>
      </c>
      <c r="I600">
        <v>77</v>
      </c>
      <c r="J600">
        <v>192</v>
      </c>
      <c r="K600" s="4">
        <v>69799.679999999993</v>
      </c>
      <c r="L600" s="4">
        <v>4019.1428571428573</v>
      </c>
      <c r="M600" s="4">
        <v>4.7771379825122626E-2</v>
      </c>
      <c r="N600" t="s">
        <v>25</v>
      </c>
      <c r="O600" t="str">
        <f t="shared" si="90"/>
        <v>Low</v>
      </c>
      <c r="P600" t="str">
        <f t="shared" si="91"/>
        <v>Low</v>
      </c>
      <c r="Q600" t="str">
        <f t="shared" si="92"/>
        <v>Low</v>
      </c>
      <c r="R600" t="s">
        <v>3310</v>
      </c>
      <c r="S600" s="4">
        <f t="shared" ca="1" si="93"/>
        <v>364</v>
      </c>
      <c r="T600">
        <f t="shared" si="94"/>
        <v>1</v>
      </c>
      <c r="U600">
        <f t="shared" si="95"/>
        <v>1</v>
      </c>
      <c r="V600">
        <f t="shared" si="96"/>
        <v>1</v>
      </c>
      <c r="W600">
        <f t="shared" si="97"/>
        <v>2</v>
      </c>
      <c r="X600">
        <f t="shared" si="98"/>
        <v>1.0999999999999999</v>
      </c>
      <c r="Y600" t="str">
        <f t="shared" si="99"/>
        <v>Healthy</v>
      </c>
    </row>
    <row r="601" spans="1:25" x14ac:dyDescent="0.35">
      <c r="A601" t="s">
        <v>41</v>
      </c>
      <c r="B601" t="s">
        <v>54</v>
      </c>
      <c r="C601" t="s">
        <v>55</v>
      </c>
      <c r="D601" t="s">
        <v>567</v>
      </c>
      <c r="E601">
        <v>83906040</v>
      </c>
      <c r="F601" t="s">
        <v>568</v>
      </c>
      <c r="G601" s="3">
        <v>47192</v>
      </c>
      <c r="H601">
        <v>36</v>
      </c>
      <c r="I601">
        <v>93</v>
      </c>
      <c r="J601">
        <v>576</v>
      </c>
      <c r="K601" s="4">
        <v>39709.440000000002</v>
      </c>
      <c r="L601" s="4">
        <v>2304</v>
      </c>
      <c r="M601" s="4">
        <v>0.25</v>
      </c>
      <c r="N601" t="s">
        <v>25</v>
      </c>
      <c r="O601" t="str">
        <f t="shared" si="90"/>
        <v>Low</v>
      </c>
      <c r="P601" t="str">
        <f t="shared" si="91"/>
        <v>Low</v>
      </c>
      <c r="Q601" t="str">
        <f t="shared" si="92"/>
        <v>Low</v>
      </c>
      <c r="R601" t="s">
        <v>3317</v>
      </c>
      <c r="S601" s="4">
        <f t="shared" ca="1" si="93"/>
        <v>995</v>
      </c>
      <c r="T601">
        <f t="shared" si="94"/>
        <v>1</v>
      </c>
      <c r="U601">
        <f t="shared" si="95"/>
        <v>1</v>
      </c>
      <c r="V601">
        <f t="shared" si="96"/>
        <v>1</v>
      </c>
      <c r="W601">
        <f t="shared" si="97"/>
        <v>1</v>
      </c>
      <c r="X601">
        <f t="shared" si="98"/>
        <v>0.99999999999999989</v>
      </c>
      <c r="Y601" t="str">
        <f t="shared" si="99"/>
        <v>Healthy</v>
      </c>
    </row>
    <row r="602" spans="1:25" x14ac:dyDescent="0.35">
      <c r="A602" t="s">
        <v>179</v>
      </c>
      <c r="B602" t="s">
        <v>223</v>
      </c>
      <c r="C602" t="s">
        <v>408</v>
      </c>
      <c r="D602" t="s">
        <v>569</v>
      </c>
      <c r="E602">
        <v>80888159</v>
      </c>
      <c r="F602" t="s">
        <v>570</v>
      </c>
      <c r="G602" s="3">
        <v>46560</v>
      </c>
      <c r="H602">
        <v>16</v>
      </c>
      <c r="I602">
        <v>77</v>
      </c>
      <c r="J602">
        <v>151</v>
      </c>
      <c r="K602" s="4">
        <v>54894.54</v>
      </c>
      <c r="L602" s="4">
        <v>4019.1428571428573</v>
      </c>
      <c r="M602" s="4">
        <v>3.7570199758299568E-2</v>
      </c>
      <c r="N602" t="s">
        <v>25</v>
      </c>
      <c r="O602" t="str">
        <f t="shared" si="90"/>
        <v>Low</v>
      </c>
      <c r="P602" t="str">
        <f t="shared" si="91"/>
        <v>Low</v>
      </c>
      <c r="Q602" t="str">
        <f t="shared" si="92"/>
        <v>Low</v>
      </c>
      <c r="R602" t="s">
        <v>3317</v>
      </c>
      <c r="S602" s="4">
        <f t="shared" ca="1" si="93"/>
        <v>363</v>
      </c>
      <c r="T602">
        <f t="shared" si="94"/>
        <v>1</v>
      </c>
      <c r="U602">
        <f t="shared" si="95"/>
        <v>1</v>
      </c>
      <c r="V602">
        <f t="shared" si="96"/>
        <v>1</v>
      </c>
      <c r="W602">
        <f t="shared" si="97"/>
        <v>1</v>
      </c>
      <c r="X602">
        <f t="shared" si="98"/>
        <v>0.99999999999999989</v>
      </c>
      <c r="Y602" t="str">
        <f t="shared" si="99"/>
        <v>Healthy</v>
      </c>
    </row>
    <row r="603" spans="1:25" x14ac:dyDescent="0.35">
      <c r="A603" t="s">
        <v>41</v>
      </c>
      <c r="B603" t="s">
        <v>54</v>
      </c>
      <c r="C603" t="s">
        <v>55</v>
      </c>
      <c r="D603" t="s">
        <v>567</v>
      </c>
      <c r="E603">
        <v>83906040</v>
      </c>
      <c r="F603" t="s">
        <v>568</v>
      </c>
      <c r="G603" s="3">
        <v>46998</v>
      </c>
      <c r="H603">
        <v>36</v>
      </c>
      <c r="I603">
        <v>75</v>
      </c>
      <c r="J603">
        <v>960</v>
      </c>
      <c r="K603" s="4">
        <v>66182.399999999994</v>
      </c>
      <c r="L603" s="4">
        <v>2304</v>
      </c>
      <c r="M603" s="4">
        <v>0.41666666666666669</v>
      </c>
      <c r="N603" t="s">
        <v>25</v>
      </c>
      <c r="O603" t="str">
        <f t="shared" si="90"/>
        <v>Low</v>
      </c>
      <c r="P603" t="str">
        <f t="shared" si="91"/>
        <v>Low</v>
      </c>
      <c r="Q603" t="str">
        <f t="shared" si="92"/>
        <v>Low</v>
      </c>
      <c r="R603" t="s">
        <v>3310</v>
      </c>
      <c r="S603" s="4">
        <f t="shared" ca="1" si="93"/>
        <v>801</v>
      </c>
      <c r="T603">
        <f t="shared" si="94"/>
        <v>1</v>
      </c>
      <c r="U603">
        <f t="shared" si="95"/>
        <v>1</v>
      </c>
      <c r="V603">
        <f t="shared" si="96"/>
        <v>1</v>
      </c>
      <c r="W603">
        <f t="shared" si="97"/>
        <v>2</v>
      </c>
      <c r="X603">
        <f t="shared" si="98"/>
        <v>1.0999999999999999</v>
      </c>
      <c r="Y603" t="str">
        <f t="shared" si="99"/>
        <v>Healthy</v>
      </c>
    </row>
    <row r="604" spans="1:25" x14ac:dyDescent="0.35">
      <c r="A604" t="s">
        <v>179</v>
      </c>
      <c r="B604" t="s">
        <v>223</v>
      </c>
      <c r="C604" t="s">
        <v>408</v>
      </c>
      <c r="D604" t="s">
        <v>569</v>
      </c>
      <c r="E604">
        <v>80888159</v>
      </c>
      <c r="F604" t="s">
        <v>570</v>
      </c>
      <c r="G604" s="3">
        <v>46618</v>
      </c>
      <c r="H604">
        <v>16</v>
      </c>
      <c r="I604">
        <v>89</v>
      </c>
      <c r="J604">
        <v>192</v>
      </c>
      <c r="K604" s="4">
        <v>69799.679999999993</v>
      </c>
      <c r="L604" s="4">
        <v>4019.1428571428573</v>
      </c>
      <c r="M604" s="4">
        <v>4.7771379825122626E-2</v>
      </c>
      <c r="N604" t="s">
        <v>25</v>
      </c>
      <c r="O604" t="str">
        <f t="shared" si="90"/>
        <v>Low</v>
      </c>
      <c r="P604" t="str">
        <f t="shared" si="91"/>
        <v>Low</v>
      </c>
      <c r="Q604" t="str">
        <f t="shared" si="92"/>
        <v>Low</v>
      </c>
      <c r="R604" t="s">
        <v>3310</v>
      </c>
      <c r="S604" s="4">
        <f t="shared" ca="1" si="93"/>
        <v>421</v>
      </c>
      <c r="T604">
        <f t="shared" si="94"/>
        <v>1</v>
      </c>
      <c r="U604">
        <f t="shared" si="95"/>
        <v>1</v>
      </c>
      <c r="V604">
        <f t="shared" si="96"/>
        <v>1</v>
      </c>
      <c r="W604">
        <f t="shared" si="97"/>
        <v>2</v>
      </c>
      <c r="X604">
        <f t="shared" si="98"/>
        <v>1.0999999999999999</v>
      </c>
      <c r="Y604" t="str">
        <f t="shared" si="99"/>
        <v>Healthy</v>
      </c>
    </row>
    <row r="605" spans="1:25" x14ac:dyDescent="0.35">
      <c r="A605" t="s">
        <v>90</v>
      </c>
      <c r="B605" t="s">
        <v>217</v>
      </c>
      <c r="C605" t="s">
        <v>542</v>
      </c>
      <c r="D605" t="s">
        <v>543</v>
      </c>
      <c r="E605">
        <v>80855079</v>
      </c>
      <c r="F605" t="s">
        <v>571</v>
      </c>
      <c r="G605" s="3">
        <v>46893</v>
      </c>
      <c r="H605">
        <v>24</v>
      </c>
      <c r="I605">
        <v>97</v>
      </c>
      <c r="J605">
        <v>1512</v>
      </c>
      <c r="K605" s="4">
        <v>647302.31999999995</v>
      </c>
      <c r="L605" s="4">
        <v>30973.428571428572</v>
      </c>
      <c r="M605" s="4">
        <v>4.8816035864842677E-2</v>
      </c>
      <c r="N605" t="s">
        <v>25</v>
      </c>
      <c r="O605" t="str">
        <f t="shared" si="90"/>
        <v>Low</v>
      </c>
      <c r="P605" t="str">
        <f t="shared" si="91"/>
        <v>Low</v>
      </c>
      <c r="Q605" t="str">
        <f t="shared" si="92"/>
        <v>Low</v>
      </c>
      <c r="R605" t="s">
        <v>3309</v>
      </c>
      <c r="S605" s="4">
        <f t="shared" ca="1" si="93"/>
        <v>696</v>
      </c>
      <c r="T605">
        <f t="shared" si="94"/>
        <v>1</v>
      </c>
      <c r="U605">
        <f t="shared" si="95"/>
        <v>1</v>
      </c>
      <c r="V605">
        <f t="shared" si="96"/>
        <v>1</v>
      </c>
      <c r="W605">
        <f t="shared" si="97"/>
        <v>3</v>
      </c>
      <c r="X605">
        <f t="shared" si="98"/>
        <v>1.2</v>
      </c>
      <c r="Y605" t="str">
        <f t="shared" si="99"/>
        <v>Healthy</v>
      </c>
    </row>
    <row r="606" spans="1:25" x14ac:dyDescent="0.35">
      <c r="A606" t="s">
        <v>179</v>
      </c>
      <c r="B606" t="s">
        <v>223</v>
      </c>
      <c r="C606" t="s">
        <v>408</v>
      </c>
      <c r="D606" t="s">
        <v>569</v>
      </c>
      <c r="E606">
        <v>80888159</v>
      </c>
      <c r="F606" t="s">
        <v>570</v>
      </c>
      <c r="G606" s="3">
        <v>46559</v>
      </c>
      <c r="H606">
        <v>16</v>
      </c>
      <c r="I606">
        <v>76</v>
      </c>
      <c r="J606">
        <v>103</v>
      </c>
      <c r="K606" s="4">
        <v>37444.620000000003</v>
      </c>
      <c r="L606" s="4">
        <v>4019.1428571428573</v>
      </c>
      <c r="M606" s="4">
        <v>2.5627354802018908E-2</v>
      </c>
      <c r="N606" t="s">
        <v>25</v>
      </c>
      <c r="O606" t="str">
        <f t="shared" si="90"/>
        <v>Low</v>
      </c>
      <c r="P606" t="str">
        <f t="shared" si="91"/>
        <v>Low</v>
      </c>
      <c r="Q606" t="str">
        <f t="shared" si="92"/>
        <v>Low</v>
      </c>
      <c r="R606" t="s">
        <v>3317</v>
      </c>
      <c r="S606" s="4">
        <f t="shared" ca="1" si="93"/>
        <v>362</v>
      </c>
      <c r="T606">
        <f t="shared" si="94"/>
        <v>1</v>
      </c>
      <c r="U606">
        <f t="shared" si="95"/>
        <v>1</v>
      </c>
      <c r="V606">
        <f t="shared" si="96"/>
        <v>1</v>
      </c>
      <c r="W606">
        <f t="shared" si="97"/>
        <v>1</v>
      </c>
      <c r="X606">
        <f t="shared" si="98"/>
        <v>0.99999999999999989</v>
      </c>
      <c r="Y606" t="str">
        <f t="shared" si="99"/>
        <v>Healthy</v>
      </c>
    </row>
    <row r="607" spans="1:25" x14ac:dyDescent="0.35">
      <c r="A607" t="s">
        <v>90</v>
      </c>
      <c r="B607" t="s">
        <v>217</v>
      </c>
      <c r="C607" t="s">
        <v>542</v>
      </c>
      <c r="D607" t="s">
        <v>543</v>
      </c>
      <c r="E607">
        <v>80855079</v>
      </c>
      <c r="F607" t="s">
        <v>571</v>
      </c>
      <c r="G607" s="3">
        <v>46859</v>
      </c>
      <c r="H607">
        <v>24</v>
      </c>
      <c r="I607">
        <v>93</v>
      </c>
      <c r="J607">
        <v>1344</v>
      </c>
      <c r="K607" s="4">
        <v>575379.84</v>
      </c>
      <c r="L607" s="4">
        <v>30973.428571428572</v>
      </c>
      <c r="M607" s="4">
        <v>4.3392031879860155E-2</v>
      </c>
      <c r="N607" t="s">
        <v>25</v>
      </c>
      <c r="O607" t="str">
        <f t="shared" si="90"/>
        <v>Low</v>
      </c>
      <c r="P607" t="str">
        <f t="shared" si="91"/>
        <v>Low</v>
      </c>
      <c r="Q607" t="str">
        <f t="shared" si="92"/>
        <v>Low</v>
      </c>
      <c r="R607" t="s">
        <v>3309</v>
      </c>
      <c r="S607" s="4">
        <f t="shared" ca="1" si="93"/>
        <v>662</v>
      </c>
      <c r="T607">
        <f t="shared" si="94"/>
        <v>1</v>
      </c>
      <c r="U607">
        <f t="shared" si="95"/>
        <v>1</v>
      </c>
      <c r="V607">
        <f t="shared" si="96"/>
        <v>1</v>
      </c>
      <c r="W607">
        <f t="shared" si="97"/>
        <v>3</v>
      </c>
      <c r="X607">
        <f t="shared" si="98"/>
        <v>1.2</v>
      </c>
      <c r="Y607" t="str">
        <f t="shared" si="99"/>
        <v>Healthy</v>
      </c>
    </row>
    <row r="608" spans="1:25" x14ac:dyDescent="0.35">
      <c r="A608" t="s">
        <v>179</v>
      </c>
      <c r="B608" t="s">
        <v>223</v>
      </c>
      <c r="C608" t="s">
        <v>408</v>
      </c>
      <c r="D608" t="s">
        <v>569</v>
      </c>
      <c r="E608">
        <v>80888159</v>
      </c>
      <c r="F608" t="s">
        <v>570</v>
      </c>
      <c r="G608" s="3">
        <v>46620</v>
      </c>
      <c r="H608">
        <v>16</v>
      </c>
      <c r="I608">
        <v>89</v>
      </c>
      <c r="J608">
        <v>4</v>
      </c>
      <c r="K608" s="4">
        <v>1454.16</v>
      </c>
      <c r="L608" s="4">
        <v>4019.1428571428573</v>
      </c>
      <c r="M608" s="4">
        <v>9.9523707969005463E-4</v>
      </c>
      <c r="N608" t="s">
        <v>25</v>
      </c>
      <c r="O608" t="str">
        <f t="shared" si="90"/>
        <v>Low</v>
      </c>
      <c r="P608" t="str">
        <f t="shared" si="91"/>
        <v>Low</v>
      </c>
      <c r="Q608" t="str">
        <f t="shared" si="92"/>
        <v>Low</v>
      </c>
      <c r="R608" t="s">
        <v>3317</v>
      </c>
      <c r="S608" s="4">
        <f t="shared" ca="1" si="93"/>
        <v>423</v>
      </c>
      <c r="T608">
        <f t="shared" si="94"/>
        <v>1</v>
      </c>
      <c r="U608">
        <f t="shared" si="95"/>
        <v>1</v>
      </c>
      <c r="V608">
        <f t="shared" si="96"/>
        <v>1</v>
      </c>
      <c r="W608">
        <f t="shared" si="97"/>
        <v>1</v>
      </c>
      <c r="X608">
        <f t="shared" si="98"/>
        <v>0.99999999999999989</v>
      </c>
      <c r="Y608" t="str">
        <f t="shared" si="99"/>
        <v>Healthy</v>
      </c>
    </row>
    <row r="609" spans="1:25" x14ac:dyDescent="0.35">
      <c r="A609" t="s">
        <v>71</v>
      </c>
      <c r="B609" t="s">
        <v>72</v>
      </c>
      <c r="C609" t="s">
        <v>572</v>
      </c>
      <c r="D609" t="s">
        <v>573</v>
      </c>
      <c r="E609">
        <v>83907877</v>
      </c>
      <c r="F609" t="s">
        <v>574</v>
      </c>
      <c r="G609" s="3">
        <v>47260</v>
      </c>
      <c r="H609">
        <v>36</v>
      </c>
      <c r="I609">
        <v>99</v>
      </c>
      <c r="J609">
        <v>5</v>
      </c>
      <c r="K609" s="4">
        <v>1495.95</v>
      </c>
      <c r="L609" s="4">
        <v>164.57142857142858</v>
      </c>
      <c r="M609" s="4">
        <v>3.0381944444444441E-2</v>
      </c>
      <c r="N609" t="s">
        <v>25</v>
      </c>
      <c r="O609" t="str">
        <f t="shared" si="90"/>
        <v>Low</v>
      </c>
      <c r="P609" t="str">
        <f t="shared" si="91"/>
        <v>Low</v>
      </c>
      <c r="Q609" t="str">
        <f t="shared" si="92"/>
        <v>Low</v>
      </c>
      <c r="R609" t="s">
        <v>3317</v>
      </c>
      <c r="S609" s="4">
        <f t="shared" ca="1" si="93"/>
        <v>1063</v>
      </c>
      <c r="T609">
        <f t="shared" si="94"/>
        <v>1</v>
      </c>
      <c r="U609">
        <f t="shared" si="95"/>
        <v>1</v>
      </c>
      <c r="V609">
        <f t="shared" si="96"/>
        <v>1</v>
      </c>
      <c r="W609">
        <f t="shared" si="97"/>
        <v>1</v>
      </c>
      <c r="X609">
        <f t="shared" si="98"/>
        <v>0.99999999999999989</v>
      </c>
      <c r="Y609" t="str">
        <f t="shared" si="99"/>
        <v>Healthy</v>
      </c>
    </row>
    <row r="610" spans="1:25" x14ac:dyDescent="0.35">
      <c r="A610" t="s">
        <v>179</v>
      </c>
      <c r="B610" t="s">
        <v>223</v>
      </c>
      <c r="C610" t="s">
        <v>408</v>
      </c>
      <c r="D610" t="s">
        <v>569</v>
      </c>
      <c r="E610">
        <v>80888159</v>
      </c>
      <c r="F610" t="s">
        <v>570</v>
      </c>
      <c r="G610" s="3">
        <v>46560</v>
      </c>
      <c r="H610">
        <v>16</v>
      </c>
      <c r="I610">
        <v>77</v>
      </c>
      <c r="J610">
        <v>54</v>
      </c>
      <c r="K610" s="4">
        <v>19631.16</v>
      </c>
      <c r="L610" s="4">
        <v>4019.1428571428573</v>
      </c>
      <c r="M610" s="4">
        <v>1.3435700575815739E-2</v>
      </c>
      <c r="N610" t="s">
        <v>25</v>
      </c>
      <c r="O610" t="str">
        <f t="shared" si="90"/>
        <v>Low</v>
      </c>
      <c r="P610" t="str">
        <f t="shared" si="91"/>
        <v>Low</v>
      </c>
      <c r="Q610" t="str">
        <f t="shared" si="92"/>
        <v>Low</v>
      </c>
      <c r="R610" t="s">
        <v>3317</v>
      </c>
      <c r="S610" s="4">
        <f t="shared" ca="1" si="93"/>
        <v>363</v>
      </c>
      <c r="T610">
        <f t="shared" si="94"/>
        <v>1</v>
      </c>
      <c r="U610">
        <f t="shared" si="95"/>
        <v>1</v>
      </c>
      <c r="V610">
        <f t="shared" si="96"/>
        <v>1</v>
      </c>
      <c r="W610">
        <f t="shared" si="97"/>
        <v>1</v>
      </c>
      <c r="X610">
        <f t="shared" si="98"/>
        <v>0.99999999999999989</v>
      </c>
      <c r="Y610" t="str">
        <f t="shared" si="99"/>
        <v>Healthy</v>
      </c>
    </row>
    <row r="611" spans="1:25" x14ac:dyDescent="0.35">
      <c r="A611" t="s">
        <v>71</v>
      </c>
      <c r="B611" t="s">
        <v>72</v>
      </c>
      <c r="C611" t="s">
        <v>386</v>
      </c>
      <c r="D611" t="s">
        <v>575</v>
      </c>
      <c r="E611">
        <v>83907878</v>
      </c>
      <c r="F611" t="s">
        <v>576</v>
      </c>
      <c r="G611" s="3">
        <v>47169</v>
      </c>
      <c r="H611">
        <v>36</v>
      </c>
      <c r="I611">
        <v>90</v>
      </c>
      <c r="J611">
        <v>15</v>
      </c>
      <c r="K611" s="4">
        <v>4487.8500000000004</v>
      </c>
      <c r="L611" s="4">
        <v>385</v>
      </c>
      <c r="M611" s="4">
        <v>3.896103896103896E-2</v>
      </c>
      <c r="N611" t="s">
        <v>25</v>
      </c>
      <c r="O611" t="str">
        <f t="shared" si="90"/>
        <v>Low</v>
      </c>
      <c r="P611" t="str">
        <f t="shared" si="91"/>
        <v>Low</v>
      </c>
      <c r="Q611" t="str">
        <f t="shared" si="92"/>
        <v>Low</v>
      </c>
      <c r="R611" t="s">
        <v>3317</v>
      </c>
      <c r="S611" s="4">
        <f t="shared" ca="1" si="93"/>
        <v>972</v>
      </c>
      <c r="T611">
        <f t="shared" si="94"/>
        <v>1</v>
      </c>
      <c r="U611">
        <f t="shared" si="95"/>
        <v>1</v>
      </c>
      <c r="V611">
        <f t="shared" si="96"/>
        <v>1</v>
      </c>
      <c r="W611">
        <f t="shared" si="97"/>
        <v>1</v>
      </c>
      <c r="X611">
        <f t="shared" si="98"/>
        <v>0.99999999999999989</v>
      </c>
      <c r="Y611" t="str">
        <f t="shared" si="99"/>
        <v>Healthy</v>
      </c>
    </row>
    <row r="612" spans="1:25" x14ac:dyDescent="0.35">
      <c r="A612" t="s">
        <v>71</v>
      </c>
      <c r="B612" t="s">
        <v>72</v>
      </c>
      <c r="C612" t="s">
        <v>386</v>
      </c>
      <c r="D612" t="s">
        <v>575</v>
      </c>
      <c r="E612">
        <v>83907878</v>
      </c>
      <c r="F612" t="s">
        <v>576</v>
      </c>
      <c r="G612" s="3">
        <v>47153</v>
      </c>
      <c r="H612">
        <v>36</v>
      </c>
      <c r="I612">
        <v>89</v>
      </c>
      <c r="J612">
        <v>8</v>
      </c>
      <c r="K612" s="4">
        <v>2393.52</v>
      </c>
      <c r="L612" s="4">
        <v>385</v>
      </c>
      <c r="M612" s="4">
        <v>2.0779220779220779E-2</v>
      </c>
      <c r="N612" t="s">
        <v>25</v>
      </c>
      <c r="O612" t="str">
        <f t="shared" si="90"/>
        <v>Low</v>
      </c>
      <c r="P612" t="str">
        <f t="shared" si="91"/>
        <v>Low</v>
      </c>
      <c r="Q612" t="str">
        <f t="shared" si="92"/>
        <v>Low</v>
      </c>
      <c r="R612" t="s">
        <v>3317</v>
      </c>
      <c r="S612" s="4">
        <f t="shared" ca="1" si="93"/>
        <v>956</v>
      </c>
      <c r="T612">
        <f t="shared" si="94"/>
        <v>1</v>
      </c>
      <c r="U612">
        <f t="shared" si="95"/>
        <v>1</v>
      </c>
      <c r="V612">
        <f t="shared" si="96"/>
        <v>1</v>
      </c>
      <c r="W612">
        <f t="shared" si="97"/>
        <v>1</v>
      </c>
      <c r="X612">
        <f t="shared" si="98"/>
        <v>0.99999999999999989</v>
      </c>
      <c r="Y612" t="str">
        <f t="shared" si="99"/>
        <v>Healthy</v>
      </c>
    </row>
    <row r="613" spans="1:25" x14ac:dyDescent="0.35">
      <c r="A613" t="s">
        <v>179</v>
      </c>
      <c r="B613" t="s">
        <v>223</v>
      </c>
      <c r="C613" t="s">
        <v>408</v>
      </c>
      <c r="D613" t="s">
        <v>569</v>
      </c>
      <c r="E613">
        <v>80888159</v>
      </c>
      <c r="F613" t="s">
        <v>570</v>
      </c>
      <c r="G613" s="3">
        <v>46619</v>
      </c>
      <c r="H613">
        <v>16</v>
      </c>
      <c r="I613">
        <v>89</v>
      </c>
      <c r="J613">
        <v>692</v>
      </c>
      <c r="K613" s="4">
        <v>251569.68</v>
      </c>
      <c r="L613" s="4">
        <v>4019.1428571428573</v>
      </c>
      <c r="M613" s="4">
        <v>0.17217601478637945</v>
      </c>
      <c r="N613" t="s">
        <v>25</v>
      </c>
      <c r="O613" t="str">
        <f t="shared" si="90"/>
        <v>Low</v>
      </c>
      <c r="P613" t="str">
        <f t="shared" si="91"/>
        <v>Low</v>
      </c>
      <c r="Q613" t="str">
        <f t="shared" si="92"/>
        <v>Low</v>
      </c>
      <c r="R613" t="s">
        <v>3309</v>
      </c>
      <c r="S613" s="4">
        <f t="shared" ca="1" si="93"/>
        <v>422</v>
      </c>
      <c r="T613">
        <f t="shared" si="94"/>
        <v>1</v>
      </c>
      <c r="U613">
        <f t="shared" si="95"/>
        <v>1</v>
      </c>
      <c r="V613">
        <f t="shared" si="96"/>
        <v>1</v>
      </c>
      <c r="W613">
        <f t="shared" si="97"/>
        <v>3</v>
      </c>
      <c r="X613">
        <f t="shared" si="98"/>
        <v>1.2</v>
      </c>
      <c r="Y613" t="str">
        <f t="shared" si="99"/>
        <v>Healthy</v>
      </c>
    </row>
    <row r="614" spans="1:25" x14ac:dyDescent="0.35">
      <c r="A614" t="s">
        <v>71</v>
      </c>
      <c r="B614" t="s">
        <v>72</v>
      </c>
      <c r="C614" t="s">
        <v>386</v>
      </c>
      <c r="D614" t="s">
        <v>575</v>
      </c>
      <c r="E614">
        <v>83907878</v>
      </c>
      <c r="F614" t="s">
        <v>576</v>
      </c>
      <c r="G614" s="3">
        <v>47243</v>
      </c>
      <c r="H614">
        <v>36</v>
      </c>
      <c r="I614">
        <v>97</v>
      </c>
      <c r="J614">
        <v>22</v>
      </c>
      <c r="K614" s="4">
        <v>6582.18</v>
      </c>
      <c r="L614" s="4">
        <v>385</v>
      </c>
      <c r="M614" s="4">
        <v>5.7142857142857141E-2</v>
      </c>
      <c r="N614" t="s">
        <v>25</v>
      </c>
      <c r="O614" t="str">
        <f t="shared" si="90"/>
        <v>Low</v>
      </c>
      <c r="P614" t="str">
        <f t="shared" si="91"/>
        <v>Low</v>
      </c>
      <c r="Q614" t="str">
        <f t="shared" si="92"/>
        <v>Low</v>
      </c>
      <c r="R614" t="s">
        <v>3317</v>
      </c>
      <c r="S614" s="4">
        <f t="shared" ca="1" si="93"/>
        <v>1046</v>
      </c>
      <c r="T614">
        <f t="shared" si="94"/>
        <v>1</v>
      </c>
      <c r="U614">
        <f t="shared" si="95"/>
        <v>1</v>
      </c>
      <c r="V614">
        <f t="shared" si="96"/>
        <v>1</v>
      </c>
      <c r="W614">
        <f t="shared" si="97"/>
        <v>1</v>
      </c>
      <c r="X614">
        <f t="shared" si="98"/>
        <v>0.99999999999999989</v>
      </c>
      <c r="Y614" t="str">
        <f t="shared" si="99"/>
        <v>Healthy</v>
      </c>
    </row>
    <row r="615" spans="1:25" x14ac:dyDescent="0.35">
      <c r="A615" t="s">
        <v>71</v>
      </c>
      <c r="B615" t="s">
        <v>72</v>
      </c>
      <c r="C615" t="s">
        <v>386</v>
      </c>
      <c r="D615" t="s">
        <v>575</v>
      </c>
      <c r="E615">
        <v>83907878</v>
      </c>
      <c r="F615" t="s">
        <v>576</v>
      </c>
      <c r="G615" s="3">
        <v>47188</v>
      </c>
      <c r="H615">
        <v>36</v>
      </c>
      <c r="I615">
        <v>92</v>
      </c>
      <c r="J615">
        <v>20</v>
      </c>
      <c r="K615" s="4">
        <v>5983.8</v>
      </c>
      <c r="L615" s="4">
        <v>385</v>
      </c>
      <c r="M615" s="4">
        <v>5.1948051948051951E-2</v>
      </c>
      <c r="N615" t="s">
        <v>25</v>
      </c>
      <c r="O615" t="str">
        <f t="shared" si="90"/>
        <v>Low</v>
      </c>
      <c r="P615" t="str">
        <f t="shared" si="91"/>
        <v>Low</v>
      </c>
      <c r="Q615" t="str">
        <f t="shared" si="92"/>
        <v>Low</v>
      </c>
      <c r="R615" t="s">
        <v>3317</v>
      </c>
      <c r="S615" s="4">
        <f t="shared" ca="1" si="93"/>
        <v>991</v>
      </c>
      <c r="T615">
        <f t="shared" si="94"/>
        <v>1</v>
      </c>
      <c r="U615">
        <f t="shared" si="95"/>
        <v>1</v>
      </c>
      <c r="V615">
        <f t="shared" si="96"/>
        <v>1</v>
      </c>
      <c r="W615">
        <f t="shared" si="97"/>
        <v>1</v>
      </c>
      <c r="X615">
        <f t="shared" si="98"/>
        <v>0.99999999999999989</v>
      </c>
      <c r="Y615" t="str">
        <f t="shared" si="99"/>
        <v>Healthy</v>
      </c>
    </row>
    <row r="616" spans="1:25" x14ac:dyDescent="0.35">
      <c r="A616" t="s">
        <v>179</v>
      </c>
      <c r="B616" t="s">
        <v>223</v>
      </c>
      <c r="C616" t="s">
        <v>408</v>
      </c>
      <c r="D616" t="s">
        <v>569</v>
      </c>
      <c r="E616">
        <v>80888159</v>
      </c>
      <c r="F616" t="s">
        <v>570</v>
      </c>
      <c r="G616" s="3">
        <v>46580</v>
      </c>
      <c r="H616">
        <v>16</v>
      </c>
      <c r="I616">
        <v>81</v>
      </c>
      <c r="J616">
        <v>88</v>
      </c>
      <c r="K616" s="4">
        <v>31991.52</v>
      </c>
      <c r="L616" s="4">
        <v>4019.1428571428573</v>
      </c>
      <c r="M616" s="4">
        <v>2.1895215753181204E-2</v>
      </c>
      <c r="N616" t="s">
        <v>25</v>
      </c>
      <c r="O616" t="str">
        <f t="shared" si="90"/>
        <v>Low</v>
      </c>
      <c r="P616" t="str">
        <f t="shared" si="91"/>
        <v>Low</v>
      </c>
      <c r="Q616" t="str">
        <f t="shared" si="92"/>
        <v>Low</v>
      </c>
      <c r="R616" t="s">
        <v>3317</v>
      </c>
      <c r="S616" s="4">
        <f t="shared" ca="1" si="93"/>
        <v>383</v>
      </c>
      <c r="T616">
        <f t="shared" si="94"/>
        <v>1</v>
      </c>
      <c r="U616">
        <f t="shared" si="95"/>
        <v>1</v>
      </c>
      <c r="V616">
        <f t="shared" si="96"/>
        <v>1</v>
      </c>
      <c r="W616">
        <f t="shared" si="97"/>
        <v>1</v>
      </c>
      <c r="X616">
        <f t="shared" si="98"/>
        <v>0.99999999999999989</v>
      </c>
      <c r="Y616" t="str">
        <f t="shared" si="99"/>
        <v>Healthy</v>
      </c>
    </row>
    <row r="617" spans="1:25" x14ac:dyDescent="0.35">
      <c r="A617" t="s">
        <v>71</v>
      </c>
      <c r="B617" t="s">
        <v>72</v>
      </c>
      <c r="C617" t="s">
        <v>386</v>
      </c>
      <c r="D617" t="s">
        <v>575</v>
      </c>
      <c r="E617">
        <v>83907878</v>
      </c>
      <c r="F617" t="s">
        <v>576</v>
      </c>
      <c r="G617" s="3">
        <v>47161</v>
      </c>
      <c r="H617">
        <v>36</v>
      </c>
      <c r="I617">
        <v>90</v>
      </c>
      <c r="J617">
        <v>8</v>
      </c>
      <c r="K617" s="4">
        <v>2393.52</v>
      </c>
      <c r="L617" s="4">
        <v>385</v>
      </c>
      <c r="M617" s="4">
        <v>2.0779220779220779E-2</v>
      </c>
      <c r="N617" t="s">
        <v>25</v>
      </c>
      <c r="O617" t="str">
        <f t="shared" si="90"/>
        <v>Low</v>
      </c>
      <c r="P617" t="str">
        <f t="shared" si="91"/>
        <v>Low</v>
      </c>
      <c r="Q617" t="str">
        <f t="shared" si="92"/>
        <v>Low</v>
      </c>
      <c r="R617" t="s">
        <v>3317</v>
      </c>
      <c r="S617" s="4">
        <f t="shared" ca="1" si="93"/>
        <v>964</v>
      </c>
      <c r="T617">
        <f t="shared" si="94"/>
        <v>1</v>
      </c>
      <c r="U617">
        <f t="shared" si="95"/>
        <v>1</v>
      </c>
      <c r="V617">
        <f t="shared" si="96"/>
        <v>1</v>
      </c>
      <c r="W617">
        <f t="shared" si="97"/>
        <v>1</v>
      </c>
      <c r="X617">
        <f t="shared" si="98"/>
        <v>0.99999999999999989</v>
      </c>
      <c r="Y617" t="str">
        <f t="shared" si="99"/>
        <v>Healthy</v>
      </c>
    </row>
    <row r="618" spans="1:25" x14ac:dyDescent="0.35">
      <c r="A618" t="s">
        <v>179</v>
      </c>
      <c r="B618" t="s">
        <v>223</v>
      </c>
      <c r="C618" t="s">
        <v>408</v>
      </c>
      <c r="D618" t="s">
        <v>577</v>
      </c>
      <c r="E618">
        <v>80888183</v>
      </c>
      <c r="F618" t="s">
        <v>578</v>
      </c>
      <c r="G618" s="3">
        <v>46560</v>
      </c>
      <c r="H618">
        <v>16</v>
      </c>
      <c r="I618">
        <v>77</v>
      </c>
      <c r="J618">
        <v>2208</v>
      </c>
      <c r="K618" s="4">
        <v>312056.64</v>
      </c>
      <c r="L618" s="4">
        <v>997.71428571428567</v>
      </c>
      <c r="M618" s="4">
        <v>2.2130584192439864</v>
      </c>
      <c r="N618" t="s">
        <v>25</v>
      </c>
      <c r="O618" t="str">
        <f t="shared" si="90"/>
        <v>Low</v>
      </c>
      <c r="P618" t="str">
        <f t="shared" si="91"/>
        <v>Low</v>
      </c>
      <c r="Q618" t="str">
        <f t="shared" si="92"/>
        <v>Low</v>
      </c>
      <c r="R618" t="s">
        <v>3309</v>
      </c>
      <c r="S618" s="4">
        <f t="shared" ca="1" si="93"/>
        <v>363</v>
      </c>
      <c r="T618">
        <f t="shared" si="94"/>
        <v>1</v>
      </c>
      <c r="U618">
        <f t="shared" si="95"/>
        <v>1</v>
      </c>
      <c r="V618">
        <f t="shared" si="96"/>
        <v>1</v>
      </c>
      <c r="W618">
        <f t="shared" si="97"/>
        <v>3</v>
      </c>
      <c r="X618">
        <f t="shared" si="98"/>
        <v>1.2</v>
      </c>
      <c r="Y618" t="str">
        <f t="shared" si="99"/>
        <v>Healthy</v>
      </c>
    </row>
    <row r="619" spans="1:25" x14ac:dyDescent="0.35">
      <c r="A619" t="s">
        <v>71</v>
      </c>
      <c r="B619" t="s">
        <v>72</v>
      </c>
      <c r="C619" t="s">
        <v>386</v>
      </c>
      <c r="D619" t="s">
        <v>575</v>
      </c>
      <c r="E619">
        <v>83907878</v>
      </c>
      <c r="F619" t="s">
        <v>576</v>
      </c>
      <c r="G619" s="3">
        <v>47225</v>
      </c>
      <c r="H619">
        <v>36</v>
      </c>
      <c r="I619">
        <v>96</v>
      </c>
      <c r="J619">
        <v>12</v>
      </c>
      <c r="K619" s="4">
        <v>3590.28</v>
      </c>
      <c r="L619" s="4">
        <v>385</v>
      </c>
      <c r="M619" s="4">
        <v>3.1168831168831169E-2</v>
      </c>
      <c r="N619" t="s">
        <v>25</v>
      </c>
      <c r="O619" t="str">
        <f t="shared" si="90"/>
        <v>Low</v>
      </c>
      <c r="P619" t="str">
        <f t="shared" si="91"/>
        <v>Low</v>
      </c>
      <c r="Q619" t="str">
        <f t="shared" si="92"/>
        <v>Low</v>
      </c>
      <c r="R619" t="s">
        <v>3317</v>
      </c>
      <c r="S619" s="4">
        <f t="shared" ca="1" si="93"/>
        <v>1028</v>
      </c>
      <c r="T619">
        <f t="shared" si="94"/>
        <v>1</v>
      </c>
      <c r="U619">
        <f t="shared" si="95"/>
        <v>1</v>
      </c>
      <c r="V619">
        <f t="shared" si="96"/>
        <v>1</v>
      </c>
      <c r="W619">
        <f t="shared" si="97"/>
        <v>1</v>
      </c>
      <c r="X619">
        <f t="shared" si="98"/>
        <v>0.99999999999999989</v>
      </c>
      <c r="Y619" t="str">
        <f t="shared" si="99"/>
        <v>Healthy</v>
      </c>
    </row>
    <row r="620" spans="1:25" x14ac:dyDescent="0.35">
      <c r="A620" t="s">
        <v>179</v>
      </c>
      <c r="B620" t="s">
        <v>223</v>
      </c>
      <c r="C620" t="s">
        <v>408</v>
      </c>
      <c r="D620" t="s">
        <v>577</v>
      </c>
      <c r="E620">
        <v>80888183</v>
      </c>
      <c r="F620" t="s">
        <v>578</v>
      </c>
      <c r="G620" s="3">
        <v>46573</v>
      </c>
      <c r="H620">
        <v>16</v>
      </c>
      <c r="I620">
        <v>79</v>
      </c>
      <c r="J620">
        <v>17</v>
      </c>
      <c r="K620" s="4">
        <v>2402.61</v>
      </c>
      <c r="L620" s="4">
        <v>997.71428571428567</v>
      </c>
      <c r="M620" s="4">
        <v>1.7038946162657505E-2</v>
      </c>
      <c r="N620" t="s">
        <v>25</v>
      </c>
      <c r="O620" t="str">
        <f t="shared" si="90"/>
        <v>Low</v>
      </c>
      <c r="P620" t="str">
        <f t="shared" si="91"/>
        <v>Low</v>
      </c>
      <c r="Q620" t="str">
        <f t="shared" si="92"/>
        <v>Low</v>
      </c>
      <c r="R620" t="s">
        <v>3317</v>
      </c>
      <c r="S620" s="4">
        <f t="shared" ca="1" si="93"/>
        <v>376</v>
      </c>
      <c r="T620">
        <f t="shared" si="94"/>
        <v>1</v>
      </c>
      <c r="U620">
        <f t="shared" si="95"/>
        <v>1</v>
      </c>
      <c r="V620">
        <f t="shared" si="96"/>
        <v>1</v>
      </c>
      <c r="W620">
        <f t="shared" si="97"/>
        <v>1</v>
      </c>
      <c r="X620">
        <f t="shared" si="98"/>
        <v>0.99999999999999989</v>
      </c>
      <c r="Y620" t="str">
        <f t="shared" si="99"/>
        <v>Healthy</v>
      </c>
    </row>
    <row r="621" spans="1:25" x14ac:dyDescent="0.35">
      <c r="A621" t="s">
        <v>71</v>
      </c>
      <c r="B621" t="s">
        <v>72</v>
      </c>
      <c r="C621" t="s">
        <v>386</v>
      </c>
      <c r="D621" t="s">
        <v>575</v>
      </c>
      <c r="E621">
        <v>83907878</v>
      </c>
      <c r="F621" t="s">
        <v>576</v>
      </c>
      <c r="G621" s="3">
        <v>47192</v>
      </c>
      <c r="H621">
        <v>36</v>
      </c>
      <c r="I621">
        <v>93</v>
      </c>
      <c r="J621">
        <v>21</v>
      </c>
      <c r="K621" s="4">
        <v>6282.99</v>
      </c>
      <c r="L621" s="4">
        <v>385</v>
      </c>
      <c r="M621" s="4">
        <v>5.4545454545454543E-2</v>
      </c>
      <c r="N621" t="s">
        <v>25</v>
      </c>
      <c r="O621" t="str">
        <f t="shared" si="90"/>
        <v>Low</v>
      </c>
      <c r="P621" t="str">
        <f t="shared" si="91"/>
        <v>Low</v>
      </c>
      <c r="Q621" t="str">
        <f t="shared" si="92"/>
        <v>Low</v>
      </c>
      <c r="R621" t="s">
        <v>3317</v>
      </c>
      <c r="S621" s="4">
        <f t="shared" ca="1" si="93"/>
        <v>995</v>
      </c>
      <c r="T621">
        <f t="shared" si="94"/>
        <v>1</v>
      </c>
      <c r="U621">
        <f t="shared" si="95"/>
        <v>1</v>
      </c>
      <c r="V621">
        <f t="shared" si="96"/>
        <v>1</v>
      </c>
      <c r="W621">
        <f t="shared" si="97"/>
        <v>1</v>
      </c>
      <c r="X621">
        <f t="shared" si="98"/>
        <v>0.99999999999999989</v>
      </c>
      <c r="Y621" t="str">
        <f t="shared" si="99"/>
        <v>Healthy</v>
      </c>
    </row>
    <row r="622" spans="1:25" x14ac:dyDescent="0.35">
      <c r="A622" t="s">
        <v>71</v>
      </c>
      <c r="B622" t="s">
        <v>72</v>
      </c>
      <c r="C622" t="s">
        <v>386</v>
      </c>
      <c r="D622" t="s">
        <v>575</v>
      </c>
      <c r="E622">
        <v>83907878</v>
      </c>
      <c r="F622" t="s">
        <v>576</v>
      </c>
      <c r="G622" s="3">
        <v>47187</v>
      </c>
      <c r="H622">
        <v>36</v>
      </c>
      <c r="I622">
        <v>92</v>
      </c>
      <c r="J622">
        <v>17</v>
      </c>
      <c r="K622" s="4">
        <v>5086.2299999999996</v>
      </c>
      <c r="L622" s="4">
        <v>385</v>
      </c>
      <c r="M622" s="4">
        <v>4.4155844155844157E-2</v>
      </c>
      <c r="N622" t="s">
        <v>25</v>
      </c>
      <c r="O622" t="str">
        <f t="shared" si="90"/>
        <v>Low</v>
      </c>
      <c r="P622" t="str">
        <f t="shared" si="91"/>
        <v>Low</v>
      </c>
      <c r="Q622" t="str">
        <f t="shared" si="92"/>
        <v>Low</v>
      </c>
      <c r="R622" t="s">
        <v>3317</v>
      </c>
      <c r="S622" s="4">
        <f t="shared" ca="1" si="93"/>
        <v>990</v>
      </c>
      <c r="T622">
        <f t="shared" si="94"/>
        <v>1</v>
      </c>
      <c r="U622">
        <f t="shared" si="95"/>
        <v>1</v>
      </c>
      <c r="V622">
        <f t="shared" si="96"/>
        <v>1</v>
      </c>
      <c r="W622">
        <f t="shared" si="97"/>
        <v>1</v>
      </c>
      <c r="X622">
        <f t="shared" si="98"/>
        <v>0.99999999999999989</v>
      </c>
      <c r="Y622" t="str">
        <f t="shared" si="99"/>
        <v>Healthy</v>
      </c>
    </row>
    <row r="623" spans="1:25" x14ac:dyDescent="0.35">
      <c r="A623" t="s">
        <v>71</v>
      </c>
      <c r="B623" t="s">
        <v>72</v>
      </c>
      <c r="C623" t="s">
        <v>386</v>
      </c>
      <c r="D623" t="s">
        <v>575</v>
      </c>
      <c r="E623">
        <v>83907878</v>
      </c>
      <c r="F623" t="s">
        <v>576</v>
      </c>
      <c r="G623" s="3">
        <v>47183</v>
      </c>
      <c r="H623">
        <v>36</v>
      </c>
      <c r="I623">
        <v>92</v>
      </c>
      <c r="J623">
        <v>10</v>
      </c>
      <c r="K623" s="4">
        <v>2991.9</v>
      </c>
      <c r="L623" s="4">
        <v>385</v>
      </c>
      <c r="M623" s="4">
        <v>2.5974025974025976E-2</v>
      </c>
      <c r="N623" t="s">
        <v>25</v>
      </c>
      <c r="O623" t="str">
        <f t="shared" si="90"/>
        <v>Low</v>
      </c>
      <c r="P623" t="str">
        <f t="shared" si="91"/>
        <v>Low</v>
      </c>
      <c r="Q623" t="str">
        <f t="shared" si="92"/>
        <v>Low</v>
      </c>
      <c r="R623" t="s">
        <v>3317</v>
      </c>
      <c r="S623" s="4">
        <f t="shared" ca="1" si="93"/>
        <v>986</v>
      </c>
      <c r="T623">
        <f t="shared" si="94"/>
        <v>1</v>
      </c>
      <c r="U623">
        <f t="shared" si="95"/>
        <v>1</v>
      </c>
      <c r="V623">
        <f t="shared" si="96"/>
        <v>1</v>
      </c>
      <c r="W623">
        <f t="shared" si="97"/>
        <v>1</v>
      </c>
      <c r="X623">
        <f t="shared" si="98"/>
        <v>0.99999999999999989</v>
      </c>
      <c r="Y623" t="str">
        <f t="shared" si="99"/>
        <v>Healthy</v>
      </c>
    </row>
    <row r="624" spans="1:25" x14ac:dyDescent="0.35">
      <c r="A624" t="s">
        <v>179</v>
      </c>
      <c r="B624" t="s">
        <v>223</v>
      </c>
      <c r="C624" t="s">
        <v>408</v>
      </c>
      <c r="D624" t="s">
        <v>579</v>
      </c>
      <c r="E624">
        <v>83910248</v>
      </c>
      <c r="F624" t="s">
        <v>580</v>
      </c>
      <c r="G624" s="3">
        <v>46640</v>
      </c>
      <c r="H624">
        <v>16</v>
      </c>
      <c r="I624">
        <v>93</v>
      </c>
      <c r="J624">
        <v>126</v>
      </c>
      <c r="K624" s="4">
        <v>14944.86</v>
      </c>
      <c r="L624" s="4">
        <v>4690.1428571428569</v>
      </c>
      <c r="M624" s="4">
        <v>2.6864853339831258E-2</v>
      </c>
      <c r="N624" t="s">
        <v>25</v>
      </c>
      <c r="O624" t="str">
        <f t="shared" si="90"/>
        <v>Low</v>
      </c>
      <c r="P624" t="str">
        <f t="shared" si="91"/>
        <v>Low</v>
      </c>
      <c r="Q624" t="str">
        <f t="shared" si="92"/>
        <v>Low</v>
      </c>
      <c r="R624" t="s">
        <v>3317</v>
      </c>
      <c r="S624" s="4">
        <f t="shared" ca="1" si="93"/>
        <v>443</v>
      </c>
      <c r="T624">
        <f t="shared" si="94"/>
        <v>1</v>
      </c>
      <c r="U624">
        <f t="shared" si="95"/>
        <v>1</v>
      </c>
      <c r="V624">
        <f t="shared" si="96"/>
        <v>1</v>
      </c>
      <c r="W624">
        <f t="shared" si="97"/>
        <v>1</v>
      </c>
      <c r="X624">
        <f t="shared" si="98"/>
        <v>0.99999999999999989</v>
      </c>
      <c r="Y624" t="str">
        <f t="shared" si="99"/>
        <v>Healthy</v>
      </c>
    </row>
    <row r="625" spans="1:25" x14ac:dyDescent="0.35">
      <c r="A625" t="s">
        <v>179</v>
      </c>
      <c r="B625" t="s">
        <v>223</v>
      </c>
      <c r="C625" t="s">
        <v>408</v>
      </c>
      <c r="D625" t="s">
        <v>579</v>
      </c>
      <c r="E625">
        <v>83910248</v>
      </c>
      <c r="F625" t="s">
        <v>580</v>
      </c>
      <c r="G625" s="3">
        <v>46643</v>
      </c>
      <c r="H625">
        <v>16</v>
      </c>
      <c r="I625">
        <v>94</v>
      </c>
      <c r="J625">
        <v>108</v>
      </c>
      <c r="K625" s="4">
        <v>12809.88</v>
      </c>
      <c r="L625" s="4">
        <v>4690.1428571428569</v>
      </c>
      <c r="M625" s="4">
        <v>2.3027017148426792E-2</v>
      </c>
      <c r="N625" t="s">
        <v>25</v>
      </c>
      <c r="O625" t="str">
        <f t="shared" si="90"/>
        <v>Low</v>
      </c>
      <c r="P625" t="str">
        <f t="shared" si="91"/>
        <v>Low</v>
      </c>
      <c r="Q625" t="str">
        <f t="shared" si="92"/>
        <v>Low</v>
      </c>
      <c r="R625" t="s">
        <v>3317</v>
      </c>
      <c r="S625" s="4">
        <f t="shared" ca="1" si="93"/>
        <v>446</v>
      </c>
      <c r="T625">
        <f t="shared" si="94"/>
        <v>1</v>
      </c>
      <c r="U625">
        <f t="shared" si="95"/>
        <v>1</v>
      </c>
      <c r="V625">
        <f t="shared" si="96"/>
        <v>1</v>
      </c>
      <c r="W625">
        <f t="shared" si="97"/>
        <v>1</v>
      </c>
      <c r="X625">
        <f t="shared" si="98"/>
        <v>0.99999999999999989</v>
      </c>
      <c r="Y625" t="str">
        <f t="shared" si="99"/>
        <v>Healthy</v>
      </c>
    </row>
    <row r="626" spans="1:25" x14ac:dyDescent="0.35">
      <c r="A626" t="s">
        <v>71</v>
      </c>
      <c r="B626" t="s">
        <v>72</v>
      </c>
      <c r="C626" t="s">
        <v>386</v>
      </c>
      <c r="D626" t="s">
        <v>575</v>
      </c>
      <c r="E626">
        <v>83907878</v>
      </c>
      <c r="F626" t="s">
        <v>576</v>
      </c>
      <c r="G626" s="3">
        <v>47154</v>
      </c>
      <c r="H626">
        <v>36</v>
      </c>
      <c r="I626">
        <v>89</v>
      </c>
      <c r="J626">
        <v>9</v>
      </c>
      <c r="K626" s="4">
        <v>2692.71</v>
      </c>
      <c r="L626" s="4">
        <v>385</v>
      </c>
      <c r="M626" s="4">
        <v>2.3376623376623377E-2</v>
      </c>
      <c r="N626" t="s">
        <v>25</v>
      </c>
      <c r="O626" t="str">
        <f t="shared" si="90"/>
        <v>Low</v>
      </c>
      <c r="P626" t="str">
        <f t="shared" si="91"/>
        <v>Low</v>
      </c>
      <c r="Q626" t="str">
        <f t="shared" si="92"/>
        <v>Low</v>
      </c>
      <c r="R626" t="s">
        <v>3317</v>
      </c>
      <c r="S626" s="4">
        <f t="shared" ca="1" si="93"/>
        <v>957</v>
      </c>
      <c r="T626">
        <f t="shared" si="94"/>
        <v>1</v>
      </c>
      <c r="U626">
        <f t="shared" si="95"/>
        <v>1</v>
      </c>
      <c r="V626">
        <f t="shared" si="96"/>
        <v>1</v>
      </c>
      <c r="W626">
        <f t="shared" si="97"/>
        <v>1</v>
      </c>
      <c r="X626">
        <f t="shared" si="98"/>
        <v>0.99999999999999989</v>
      </c>
      <c r="Y626" t="str">
        <f t="shared" si="99"/>
        <v>Healthy</v>
      </c>
    </row>
    <row r="627" spans="1:25" x14ac:dyDescent="0.35">
      <c r="A627" t="s">
        <v>71</v>
      </c>
      <c r="B627" t="s">
        <v>72</v>
      </c>
      <c r="C627" t="s">
        <v>386</v>
      </c>
      <c r="D627" t="s">
        <v>575</v>
      </c>
      <c r="E627">
        <v>83907878</v>
      </c>
      <c r="F627" t="s">
        <v>576</v>
      </c>
      <c r="G627" s="3">
        <v>47272</v>
      </c>
      <c r="H627">
        <v>36</v>
      </c>
      <c r="I627">
        <v>100</v>
      </c>
      <c r="J627">
        <v>84</v>
      </c>
      <c r="K627" s="4">
        <v>25131.96</v>
      </c>
      <c r="L627" s="4">
        <v>385</v>
      </c>
      <c r="M627" s="4">
        <v>0.21818181818181817</v>
      </c>
      <c r="N627" t="s">
        <v>25</v>
      </c>
      <c r="O627" t="str">
        <f t="shared" si="90"/>
        <v>Low</v>
      </c>
      <c r="P627" t="str">
        <f t="shared" si="91"/>
        <v>Low</v>
      </c>
      <c r="Q627" t="str">
        <f t="shared" si="92"/>
        <v>Low</v>
      </c>
      <c r="R627" t="s">
        <v>3317</v>
      </c>
      <c r="S627" s="4">
        <f t="shared" ca="1" si="93"/>
        <v>1075</v>
      </c>
      <c r="T627">
        <f t="shared" si="94"/>
        <v>1</v>
      </c>
      <c r="U627">
        <f t="shared" si="95"/>
        <v>1</v>
      </c>
      <c r="V627">
        <f t="shared" si="96"/>
        <v>1</v>
      </c>
      <c r="W627">
        <f t="shared" si="97"/>
        <v>1</v>
      </c>
      <c r="X627">
        <f t="shared" si="98"/>
        <v>0.99999999999999989</v>
      </c>
      <c r="Y627" t="str">
        <f t="shared" si="99"/>
        <v>Healthy</v>
      </c>
    </row>
    <row r="628" spans="1:25" x14ac:dyDescent="0.35">
      <c r="A628" t="s">
        <v>71</v>
      </c>
      <c r="B628" t="s">
        <v>72</v>
      </c>
      <c r="C628" t="s">
        <v>572</v>
      </c>
      <c r="D628" t="s">
        <v>581</v>
      </c>
      <c r="E628">
        <v>83907879</v>
      </c>
      <c r="F628" t="s">
        <v>582</v>
      </c>
      <c r="G628" s="3">
        <v>47257</v>
      </c>
      <c r="H628">
        <v>36</v>
      </c>
      <c r="I628">
        <v>99</v>
      </c>
      <c r="J628">
        <v>120</v>
      </c>
      <c r="K628" s="4">
        <v>35902.800000000003</v>
      </c>
      <c r="L628" s="4">
        <v>1258.7142857142858</v>
      </c>
      <c r="M628" s="4">
        <v>9.5335376234252631E-2</v>
      </c>
      <c r="N628" t="s">
        <v>25</v>
      </c>
      <c r="O628" t="str">
        <f t="shared" si="90"/>
        <v>Low</v>
      </c>
      <c r="P628" t="str">
        <f t="shared" si="91"/>
        <v>Low</v>
      </c>
      <c r="Q628" t="str">
        <f t="shared" si="92"/>
        <v>Low</v>
      </c>
      <c r="R628" t="s">
        <v>3317</v>
      </c>
      <c r="S628" s="4">
        <f t="shared" ca="1" si="93"/>
        <v>1060</v>
      </c>
      <c r="T628">
        <f t="shared" si="94"/>
        <v>1</v>
      </c>
      <c r="U628">
        <f t="shared" si="95"/>
        <v>1</v>
      </c>
      <c r="V628">
        <f t="shared" si="96"/>
        <v>1</v>
      </c>
      <c r="W628">
        <f t="shared" si="97"/>
        <v>1</v>
      </c>
      <c r="X628">
        <f t="shared" si="98"/>
        <v>0.99999999999999989</v>
      </c>
      <c r="Y628" t="str">
        <f t="shared" si="99"/>
        <v>Healthy</v>
      </c>
    </row>
    <row r="629" spans="1:25" x14ac:dyDescent="0.35">
      <c r="A629" t="s">
        <v>179</v>
      </c>
      <c r="B629" t="s">
        <v>223</v>
      </c>
      <c r="C629" t="s">
        <v>408</v>
      </c>
      <c r="D629" t="s">
        <v>579</v>
      </c>
      <c r="E629">
        <v>83910248</v>
      </c>
      <c r="F629" t="s">
        <v>580</v>
      </c>
      <c r="G629" s="3">
        <v>46643</v>
      </c>
      <c r="H629">
        <v>16</v>
      </c>
      <c r="I629">
        <v>94</v>
      </c>
      <c r="J629">
        <v>96</v>
      </c>
      <c r="K629" s="4">
        <v>11386.56</v>
      </c>
      <c r="L629" s="4">
        <v>4690.1428571428569</v>
      </c>
      <c r="M629" s="4">
        <v>2.0468459687490483E-2</v>
      </c>
      <c r="N629" t="s">
        <v>25</v>
      </c>
      <c r="O629" t="str">
        <f t="shared" si="90"/>
        <v>Low</v>
      </c>
      <c r="P629" t="str">
        <f t="shared" si="91"/>
        <v>Low</v>
      </c>
      <c r="Q629" t="str">
        <f t="shared" si="92"/>
        <v>Low</v>
      </c>
      <c r="R629" t="s">
        <v>3317</v>
      </c>
      <c r="S629" s="4">
        <f t="shared" ca="1" si="93"/>
        <v>446</v>
      </c>
      <c r="T629">
        <f t="shared" si="94"/>
        <v>1</v>
      </c>
      <c r="U629">
        <f t="shared" si="95"/>
        <v>1</v>
      </c>
      <c r="V629">
        <f t="shared" si="96"/>
        <v>1</v>
      </c>
      <c r="W629">
        <f t="shared" si="97"/>
        <v>1</v>
      </c>
      <c r="X629">
        <f t="shared" si="98"/>
        <v>0.99999999999999989</v>
      </c>
      <c r="Y629" t="str">
        <f t="shared" si="99"/>
        <v>Healthy</v>
      </c>
    </row>
    <row r="630" spans="1:25" x14ac:dyDescent="0.35">
      <c r="A630" t="s">
        <v>179</v>
      </c>
      <c r="B630" t="s">
        <v>223</v>
      </c>
      <c r="C630" t="s">
        <v>408</v>
      </c>
      <c r="D630" t="s">
        <v>579</v>
      </c>
      <c r="E630">
        <v>83910248</v>
      </c>
      <c r="F630" t="s">
        <v>580</v>
      </c>
      <c r="G630" s="3">
        <v>47949</v>
      </c>
      <c r="H630">
        <v>16</v>
      </c>
      <c r="I630">
        <v>100</v>
      </c>
      <c r="J630">
        <v>47</v>
      </c>
      <c r="K630" s="4">
        <v>5574.67</v>
      </c>
      <c r="L630" s="4">
        <v>4690.1428571428569</v>
      </c>
      <c r="M630" s="4">
        <v>1.0021016722000549E-2</v>
      </c>
      <c r="N630" t="s">
        <v>25</v>
      </c>
      <c r="O630" t="str">
        <f t="shared" si="90"/>
        <v>Low</v>
      </c>
      <c r="P630" t="str">
        <f t="shared" si="91"/>
        <v>Low</v>
      </c>
      <c r="Q630" t="str">
        <f t="shared" si="92"/>
        <v>Low</v>
      </c>
      <c r="R630" t="s">
        <v>3317</v>
      </c>
      <c r="S630" s="4">
        <f t="shared" ca="1" si="93"/>
        <v>1752</v>
      </c>
      <c r="T630">
        <f t="shared" si="94"/>
        <v>1</v>
      </c>
      <c r="U630">
        <f t="shared" si="95"/>
        <v>1</v>
      </c>
      <c r="V630">
        <f t="shared" si="96"/>
        <v>1</v>
      </c>
      <c r="W630">
        <f t="shared" si="97"/>
        <v>1</v>
      </c>
      <c r="X630">
        <f t="shared" si="98"/>
        <v>0.99999999999999989</v>
      </c>
      <c r="Y630" t="str">
        <f t="shared" si="99"/>
        <v>Healthy</v>
      </c>
    </row>
    <row r="631" spans="1:25" x14ac:dyDescent="0.35">
      <c r="A631" t="s">
        <v>179</v>
      </c>
      <c r="B631" t="s">
        <v>223</v>
      </c>
      <c r="C631" t="s">
        <v>408</v>
      </c>
      <c r="D631" t="s">
        <v>579</v>
      </c>
      <c r="E631">
        <v>83910248</v>
      </c>
      <c r="F631" t="s">
        <v>580</v>
      </c>
      <c r="G631" s="3">
        <v>46635</v>
      </c>
      <c r="H631">
        <v>16</v>
      </c>
      <c r="I631">
        <v>92</v>
      </c>
      <c r="J631">
        <v>139</v>
      </c>
      <c r="K631" s="4">
        <v>16486.79</v>
      </c>
      <c r="L631" s="4">
        <v>4690.1428571428569</v>
      </c>
      <c r="M631" s="4">
        <v>2.9636623922512262E-2</v>
      </c>
      <c r="N631" t="s">
        <v>25</v>
      </c>
      <c r="O631" t="str">
        <f t="shared" si="90"/>
        <v>Low</v>
      </c>
      <c r="P631" t="str">
        <f t="shared" si="91"/>
        <v>Low</v>
      </c>
      <c r="Q631" t="str">
        <f t="shared" si="92"/>
        <v>Low</v>
      </c>
      <c r="R631" t="s">
        <v>3317</v>
      </c>
      <c r="S631" s="4">
        <f t="shared" ca="1" si="93"/>
        <v>438</v>
      </c>
      <c r="T631">
        <f t="shared" si="94"/>
        <v>1</v>
      </c>
      <c r="U631">
        <f t="shared" si="95"/>
        <v>1</v>
      </c>
      <c r="V631">
        <f t="shared" si="96"/>
        <v>1</v>
      </c>
      <c r="W631">
        <f t="shared" si="97"/>
        <v>1</v>
      </c>
      <c r="X631">
        <f t="shared" si="98"/>
        <v>0.99999999999999989</v>
      </c>
      <c r="Y631" t="str">
        <f t="shared" si="99"/>
        <v>Healthy</v>
      </c>
    </row>
    <row r="632" spans="1:25" x14ac:dyDescent="0.35">
      <c r="A632" t="s">
        <v>71</v>
      </c>
      <c r="B632" t="s">
        <v>72</v>
      </c>
      <c r="C632" t="s">
        <v>572</v>
      </c>
      <c r="D632" t="s">
        <v>583</v>
      </c>
      <c r="E632">
        <v>83907881</v>
      </c>
      <c r="F632" t="s">
        <v>584</v>
      </c>
      <c r="G632" s="3">
        <v>47253</v>
      </c>
      <c r="H632">
        <v>36</v>
      </c>
      <c r="I632">
        <v>98</v>
      </c>
      <c r="J632">
        <v>20</v>
      </c>
      <c r="K632" s="4">
        <v>5983.8</v>
      </c>
      <c r="L632" s="4">
        <v>832.57142857142856</v>
      </c>
      <c r="M632" s="4">
        <v>2.4021962937542898E-2</v>
      </c>
      <c r="N632" t="s">
        <v>25</v>
      </c>
      <c r="O632" t="str">
        <f t="shared" si="90"/>
        <v>Low</v>
      </c>
      <c r="P632" t="str">
        <f t="shared" si="91"/>
        <v>Low</v>
      </c>
      <c r="Q632" t="str">
        <f t="shared" si="92"/>
        <v>Low</v>
      </c>
      <c r="R632" t="s">
        <v>3317</v>
      </c>
      <c r="S632" s="4">
        <f t="shared" ca="1" si="93"/>
        <v>1056</v>
      </c>
      <c r="T632">
        <f t="shared" si="94"/>
        <v>1</v>
      </c>
      <c r="U632">
        <f t="shared" si="95"/>
        <v>1</v>
      </c>
      <c r="V632">
        <f t="shared" si="96"/>
        <v>1</v>
      </c>
      <c r="W632">
        <f t="shared" si="97"/>
        <v>1</v>
      </c>
      <c r="X632">
        <f t="shared" si="98"/>
        <v>0.99999999999999989</v>
      </c>
      <c r="Y632" t="str">
        <f t="shared" si="99"/>
        <v>Healthy</v>
      </c>
    </row>
    <row r="633" spans="1:25" x14ac:dyDescent="0.35">
      <c r="A633" t="s">
        <v>41</v>
      </c>
      <c r="B633" t="s">
        <v>42</v>
      </c>
      <c r="C633" t="s">
        <v>43</v>
      </c>
      <c r="D633" t="s">
        <v>585</v>
      </c>
      <c r="E633">
        <v>80896128</v>
      </c>
      <c r="F633" t="s">
        <v>586</v>
      </c>
      <c r="G633" s="3">
        <v>47029</v>
      </c>
      <c r="H633">
        <v>36</v>
      </c>
      <c r="I633">
        <v>78</v>
      </c>
      <c r="J633">
        <v>2</v>
      </c>
      <c r="K633" s="4">
        <v>628.34</v>
      </c>
      <c r="L633" s="4">
        <v>40.571428571428569</v>
      </c>
      <c r="M633" s="4">
        <v>4.9295774647887328E-2</v>
      </c>
      <c r="N633" t="s">
        <v>25</v>
      </c>
      <c r="O633" t="str">
        <f t="shared" si="90"/>
        <v>Low</v>
      </c>
      <c r="P633" t="str">
        <f t="shared" si="91"/>
        <v>Low</v>
      </c>
      <c r="Q633" t="str">
        <f t="shared" si="92"/>
        <v>Low</v>
      </c>
      <c r="R633" t="s">
        <v>3317</v>
      </c>
      <c r="S633" s="4">
        <f t="shared" ca="1" si="93"/>
        <v>832</v>
      </c>
      <c r="T633">
        <f t="shared" si="94"/>
        <v>1</v>
      </c>
      <c r="U633">
        <f t="shared" si="95"/>
        <v>1</v>
      </c>
      <c r="V633">
        <f t="shared" si="96"/>
        <v>1</v>
      </c>
      <c r="W633">
        <f t="shared" si="97"/>
        <v>1</v>
      </c>
      <c r="X633">
        <f t="shared" si="98"/>
        <v>0.99999999999999989</v>
      </c>
      <c r="Y633" t="str">
        <f t="shared" si="99"/>
        <v>Healthy</v>
      </c>
    </row>
    <row r="634" spans="1:25" x14ac:dyDescent="0.35">
      <c r="A634" t="s">
        <v>71</v>
      </c>
      <c r="B634" t="s">
        <v>72</v>
      </c>
      <c r="C634" t="s">
        <v>572</v>
      </c>
      <c r="D634" t="s">
        <v>583</v>
      </c>
      <c r="E634">
        <v>83907881</v>
      </c>
      <c r="F634" t="s">
        <v>584</v>
      </c>
      <c r="G634" s="3">
        <v>47275</v>
      </c>
      <c r="H634">
        <v>36</v>
      </c>
      <c r="I634">
        <v>100</v>
      </c>
      <c r="J634">
        <v>17</v>
      </c>
      <c r="K634" s="4">
        <v>5086.2299999999996</v>
      </c>
      <c r="L634" s="4">
        <v>832.57142857142856</v>
      </c>
      <c r="M634" s="4">
        <v>2.0418668496911461E-2</v>
      </c>
      <c r="N634" t="s">
        <v>25</v>
      </c>
      <c r="O634" t="str">
        <f t="shared" si="90"/>
        <v>Low</v>
      </c>
      <c r="P634" t="str">
        <f t="shared" si="91"/>
        <v>Low</v>
      </c>
      <c r="Q634" t="str">
        <f t="shared" si="92"/>
        <v>Low</v>
      </c>
      <c r="R634" t="s">
        <v>3317</v>
      </c>
      <c r="S634" s="4">
        <f t="shared" ca="1" si="93"/>
        <v>1078</v>
      </c>
      <c r="T634">
        <f t="shared" si="94"/>
        <v>1</v>
      </c>
      <c r="U634">
        <f t="shared" si="95"/>
        <v>1</v>
      </c>
      <c r="V634">
        <f t="shared" si="96"/>
        <v>1</v>
      </c>
      <c r="W634">
        <f t="shared" si="97"/>
        <v>1</v>
      </c>
      <c r="X634">
        <f t="shared" si="98"/>
        <v>0.99999999999999989</v>
      </c>
      <c r="Y634" t="str">
        <f t="shared" si="99"/>
        <v>Healthy</v>
      </c>
    </row>
    <row r="635" spans="1:25" x14ac:dyDescent="0.35">
      <c r="A635" t="s">
        <v>41</v>
      </c>
      <c r="B635" t="s">
        <v>42</v>
      </c>
      <c r="C635" t="s">
        <v>43</v>
      </c>
      <c r="D635" t="s">
        <v>585</v>
      </c>
      <c r="E635">
        <v>80896128</v>
      </c>
      <c r="F635" t="s">
        <v>586</v>
      </c>
      <c r="G635" s="3">
        <v>47063</v>
      </c>
      <c r="H635">
        <v>36</v>
      </c>
      <c r="I635">
        <v>81</v>
      </c>
      <c r="J635">
        <v>48</v>
      </c>
      <c r="K635" s="4">
        <v>15080.16</v>
      </c>
      <c r="L635" s="4">
        <v>40.571428571428569</v>
      </c>
      <c r="M635" s="4">
        <v>1.1830985915492958</v>
      </c>
      <c r="N635" t="s">
        <v>25</v>
      </c>
      <c r="O635" t="str">
        <f t="shared" si="90"/>
        <v>Low</v>
      </c>
      <c r="P635" t="str">
        <f t="shared" si="91"/>
        <v>Low</v>
      </c>
      <c r="Q635" t="str">
        <f t="shared" si="92"/>
        <v>Low</v>
      </c>
      <c r="R635" t="s">
        <v>3317</v>
      </c>
      <c r="S635" s="4">
        <f t="shared" ca="1" si="93"/>
        <v>866</v>
      </c>
      <c r="T635">
        <f t="shared" si="94"/>
        <v>1</v>
      </c>
      <c r="U635">
        <f t="shared" si="95"/>
        <v>1</v>
      </c>
      <c r="V635">
        <f t="shared" si="96"/>
        <v>1</v>
      </c>
      <c r="W635">
        <f t="shared" si="97"/>
        <v>1</v>
      </c>
      <c r="X635">
        <f t="shared" si="98"/>
        <v>0.99999999999999989</v>
      </c>
      <c r="Y635" t="str">
        <f t="shared" si="99"/>
        <v>Healthy</v>
      </c>
    </row>
    <row r="636" spans="1:25" x14ac:dyDescent="0.35">
      <c r="A636" t="s">
        <v>71</v>
      </c>
      <c r="B636" t="s">
        <v>72</v>
      </c>
      <c r="C636" t="s">
        <v>572</v>
      </c>
      <c r="D636" t="s">
        <v>587</v>
      </c>
      <c r="E636">
        <v>83907882</v>
      </c>
      <c r="F636" t="s">
        <v>588</v>
      </c>
      <c r="G636" s="3">
        <v>47273</v>
      </c>
      <c r="H636">
        <v>36</v>
      </c>
      <c r="I636">
        <v>100</v>
      </c>
      <c r="J636">
        <v>115</v>
      </c>
      <c r="K636" s="4">
        <v>34406.85</v>
      </c>
      <c r="L636" s="4">
        <v>841.71428571428567</v>
      </c>
      <c r="M636" s="4">
        <v>0.13662593346911067</v>
      </c>
      <c r="N636" t="s">
        <v>25</v>
      </c>
      <c r="O636" t="str">
        <f t="shared" si="90"/>
        <v>Low</v>
      </c>
      <c r="P636" t="str">
        <f t="shared" si="91"/>
        <v>Low</v>
      </c>
      <c r="Q636" t="str">
        <f t="shared" si="92"/>
        <v>Low</v>
      </c>
      <c r="R636" t="s">
        <v>3317</v>
      </c>
      <c r="S636" s="4">
        <f t="shared" ca="1" si="93"/>
        <v>1076</v>
      </c>
      <c r="T636">
        <f t="shared" si="94"/>
        <v>1</v>
      </c>
      <c r="U636">
        <f t="shared" si="95"/>
        <v>1</v>
      </c>
      <c r="V636">
        <f t="shared" si="96"/>
        <v>1</v>
      </c>
      <c r="W636">
        <f t="shared" si="97"/>
        <v>1</v>
      </c>
      <c r="X636">
        <f t="shared" si="98"/>
        <v>0.99999999999999989</v>
      </c>
      <c r="Y636" t="str">
        <f t="shared" si="99"/>
        <v>Healthy</v>
      </c>
    </row>
    <row r="637" spans="1:25" x14ac:dyDescent="0.35">
      <c r="A637" t="s">
        <v>20</v>
      </c>
      <c r="B637" t="s">
        <v>21</v>
      </c>
      <c r="C637" t="s">
        <v>126</v>
      </c>
      <c r="D637" t="s">
        <v>589</v>
      </c>
      <c r="E637">
        <v>80895830</v>
      </c>
      <c r="F637" t="s">
        <v>590</v>
      </c>
      <c r="G637" s="3">
        <v>47182</v>
      </c>
      <c r="H637">
        <v>36</v>
      </c>
      <c r="I637">
        <v>92</v>
      </c>
      <c r="J637">
        <v>60</v>
      </c>
      <c r="K637" s="4">
        <v>26266.799999999999</v>
      </c>
      <c r="L637" s="4">
        <v>58.285714285714285</v>
      </c>
      <c r="M637" s="4">
        <v>1.0294117647058825</v>
      </c>
      <c r="N637" t="s">
        <v>25</v>
      </c>
      <c r="O637" t="str">
        <f t="shared" si="90"/>
        <v>Low</v>
      </c>
      <c r="P637" t="str">
        <f t="shared" si="91"/>
        <v>Low</v>
      </c>
      <c r="Q637" t="str">
        <f t="shared" si="92"/>
        <v>Low</v>
      </c>
      <c r="R637" t="s">
        <v>3317</v>
      </c>
      <c r="S637" s="4">
        <f t="shared" ca="1" si="93"/>
        <v>985</v>
      </c>
      <c r="T637">
        <f t="shared" si="94"/>
        <v>1</v>
      </c>
      <c r="U637">
        <f t="shared" si="95"/>
        <v>1</v>
      </c>
      <c r="V637">
        <f t="shared" si="96"/>
        <v>1</v>
      </c>
      <c r="W637">
        <f t="shared" si="97"/>
        <v>1</v>
      </c>
      <c r="X637">
        <f t="shared" si="98"/>
        <v>0.99999999999999989</v>
      </c>
      <c r="Y637" t="str">
        <f t="shared" si="99"/>
        <v>Healthy</v>
      </c>
    </row>
    <row r="638" spans="1:25" x14ac:dyDescent="0.35">
      <c r="A638" t="s">
        <v>20</v>
      </c>
      <c r="B638" t="s">
        <v>21</v>
      </c>
      <c r="C638" t="s">
        <v>126</v>
      </c>
      <c r="D638" t="s">
        <v>589</v>
      </c>
      <c r="E638">
        <v>80895830</v>
      </c>
      <c r="F638" t="s">
        <v>590</v>
      </c>
      <c r="G638" s="3">
        <v>47131</v>
      </c>
      <c r="H638">
        <v>36</v>
      </c>
      <c r="I638">
        <v>87</v>
      </c>
      <c r="J638">
        <v>24</v>
      </c>
      <c r="K638" s="4">
        <v>10506.72</v>
      </c>
      <c r="L638" s="4">
        <v>58.285714285714285</v>
      </c>
      <c r="M638" s="4">
        <v>0.41176470588235292</v>
      </c>
      <c r="N638" t="s">
        <v>25</v>
      </c>
      <c r="O638" t="str">
        <f t="shared" si="90"/>
        <v>Low</v>
      </c>
      <c r="P638" t="str">
        <f t="shared" si="91"/>
        <v>Low</v>
      </c>
      <c r="Q638" t="str">
        <f t="shared" si="92"/>
        <v>Low</v>
      </c>
      <c r="R638" t="s">
        <v>3317</v>
      </c>
      <c r="S638" s="4">
        <f t="shared" ca="1" si="93"/>
        <v>934</v>
      </c>
      <c r="T638">
        <f t="shared" si="94"/>
        <v>1</v>
      </c>
      <c r="U638">
        <f t="shared" si="95"/>
        <v>1</v>
      </c>
      <c r="V638">
        <f t="shared" si="96"/>
        <v>1</v>
      </c>
      <c r="W638">
        <f t="shared" si="97"/>
        <v>1</v>
      </c>
      <c r="X638">
        <f t="shared" si="98"/>
        <v>0.99999999999999989</v>
      </c>
      <c r="Y638" t="str">
        <f t="shared" si="99"/>
        <v>Healthy</v>
      </c>
    </row>
    <row r="639" spans="1:25" x14ac:dyDescent="0.35">
      <c r="A639" t="s">
        <v>20</v>
      </c>
      <c r="B639" t="s">
        <v>21</v>
      </c>
      <c r="C639" t="s">
        <v>126</v>
      </c>
      <c r="D639" t="s">
        <v>589</v>
      </c>
      <c r="E639">
        <v>80895830</v>
      </c>
      <c r="F639" t="s">
        <v>590</v>
      </c>
      <c r="G639" s="3">
        <v>47097</v>
      </c>
      <c r="H639">
        <v>36</v>
      </c>
      <c r="I639">
        <v>84</v>
      </c>
      <c r="J639">
        <v>24</v>
      </c>
      <c r="K639" s="4">
        <v>10506.72</v>
      </c>
      <c r="L639" s="4">
        <v>58.285714285714285</v>
      </c>
      <c r="M639" s="4">
        <v>0.41176470588235292</v>
      </c>
      <c r="N639" t="s">
        <v>25</v>
      </c>
      <c r="O639" t="str">
        <f t="shared" si="90"/>
        <v>Low</v>
      </c>
      <c r="P639" t="str">
        <f t="shared" si="91"/>
        <v>Low</v>
      </c>
      <c r="Q639" t="str">
        <f t="shared" si="92"/>
        <v>Low</v>
      </c>
      <c r="R639" t="s">
        <v>3317</v>
      </c>
      <c r="S639" s="4">
        <f t="shared" ca="1" si="93"/>
        <v>900</v>
      </c>
      <c r="T639">
        <f t="shared" si="94"/>
        <v>1</v>
      </c>
      <c r="U639">
        <f t="shared" si="95"/>
        <v>1</v>
      </c>
      <c r="V639">
        <f t="shared" si="96"/>
        <v>1</v>
      </c>
      <c r="W639">
        <f t="shared" si="97"/>
        <v>1</v>
      </c>
      <c r="X639">
        <f t="shared" si="98"/>
        <v>0.99999999999999989</v>
      </c>
      <c r="Y639" t="str">
        <f t="shared" si="99"/>
        <v>Healthy</v>
      </c>
    </row>
    <row r="640" spans="1:25" x14ac:dyDescent="0.35">
      <c r="A640" t="s">
        <v>71</v>
      </c>
      <c r="B640" t="s">
        <v>72</v>
      </c>
      <c r="C640" t="s">
        <v>572</v>
      </c>
      <c r="D640" t="s">
        <v>591</v>
      </c>
      <c r="E640">
        <v>83907883</v>
      </c>
      <c r="F640" t="s">
        <v>592</v>
      </c>
      <c r="G640" s="3">
        <v>47280</v>
      </c>
      <c r="H640">
        <v>36</v>
      </c>
      <c r="I640">
        <v>100</v>
      </c>
      <c r="J640">
        <v>262</v>
      </c>
      <c r="K640" s="4">
        <v>81531.78</v>
      </c>
      <c r="L640" s="4">
        <v>526.57142857142856</v>
      </c>
      <c r="M640" s="4">
        <v>0.49755832881172002</v>
      </c>
      <c r="N640" t="s">
        <v>25</v>
      </c>
      <c r="O640" t="str">
        <f t="shared" si="90"/>
        <v>Low</v>
      </c>
      <c r="P640" t="str">
        <f t="shared" si="91"/>
        <v>Low</v>
      </c>
      <c r="Q640" t="str">
        <f t="shared" si="92"/>
        <v>Low</v>
      </c>
      <c r="R640" t="s">
        <v>3310</v>
      </c>
      <c r="S640" s="4">
        <f t="shared" ca="1" si="93"/>
        <v>1083</v>
      </c>
      <c r="T640">
        <f t="shared" si="94"/>
        <v>1</v>
      </c>
      <c r="U640">
        <f t="shared" si="95"/>
        <v>1</v>
      </c>
      <c r="V640">
        <f t="shared" si="96"/>
        <v>1</v>
      </c>
      <c r="W640">
        <f t="shared" si="97"/>
        <v>2</v>
      </c>
      <c r="X640">
        <f t="shared" si="98"/>
        <v>1.0999999999999999</v>
      </c>
      <c r="Y640" t="str">
        <f t="shared" si="99"/>
        <v>Healthy</v>
      </c>
    </row>
    <row r="641" spans="1:25" x14ac:dyDescent="0.35">
      <c r="A641" t="s">
        <v>179</v>
      </c>
      <c r="B641" t="s">
        <v>223</v>
      </c>
      <c r="C641" t="s">
        <v>357</v>
      </c>
      <c r="D641" t="s">
        <v>593</v>
      </c>
      <c r="E641">
        <v>83920207</v>
      </c>
      <c r="F641" t="s">
        <v>594</v>
      </c>
      <c r="G641" s="3">
        <v>46542</v>
      </c>
      <c r="H641">
        <v>18</v>
      </c>
      <c r="I641">
        <v>65</v>
      </c>
      <c r="J641">
        <v>5</v>
      </c>
      <c r="K641" s="4">
        <v>489.8</v>
      </c>
      <c r="L641" s="4">
        <f>0</f>
        <v>0</v>
      </c>
      <c r="M641" s="4">
        <f>999</f>
        <v>999</v>
      </c>
      <c r="N641" t="s">
        <v>19</v>
      </c>
      <c r="O641" t="str">
        <f t="shared" si="90"/>
        <v>Low</v>
      </c>
      <c r="P641" t="str">
        <f t="shared" si="91"/>
        <v>High</v>
      </c>
      <c r="Q641" t="str">
        <f t="shared" si="92"/>
        <v>High</v>
      </c>
      <c r="R641" t="s">
        <v>3317</v>
      </c>
      <c r="S641" s="4">
        <f t="shared" ca="1" si="93"/>
        <v>345</v>
      </c>
      <c r="T641">
        <f t="shared" si="94"/>
        <v>1</v>
      </c>
      <c r="U641">
        <f t="shared" si="95"/>
        <v>3</v>
      </c>
      <c r="V641">
        <f t="shared" si="96"/>
        <v>3</v>
      </c>
      <c r="W641">
        <f t="shared" si="97"/>
        <v>1</v>
      </c>
      <c r="X641">
        <f t="shared" si="98"/>
        <v>2</v>
      </c>
      <c r="Y641" t="str">
        <f t="shared" si="99"/>
        <v>Monitor</v>
      </c>
    </row>
    <row r="642" spans="1:25" x14ac:dyDescent="0.35">
      <c r="A642" t="s">
        <v>71</v>
      </c>
      <c r="B642" t="s">
        <v>72</v>
      </c>
      <c r="C642" t="s">
        <v>386</v>
      </c>
      <c r="D642" t="s">
        <v>595</v>
      </c>
      <c r="E642">
        <v>83907884</v>
      </c>
      <c r="F642" t="s">
        <v>596</v>
      </c>
      <c r="G642" s="3">
        <v>47228</v>
      </c>
      <c r="H642">
        <v>36</v>
      </c>
      <c r="I642">
        <v>96</v>
      </c>
      <c r="J642">
        <v>1</v>
      </c>
      <c r="K642" s="4">
        <v>299.19</v>
      </c>
      <c r="L642" s="4">
        <v>397</v>
      </c>
      <c r="M642" s="4">
        <v>2.5188916876574307E-3</v>
      </c>
      <c r="N642" t="s">
        <v>25</v>
      </c>
      <c r="O642" t="str">
        <f t="shared" si="90"/>
        <v>Low</v>
      </c>
      <c r="P642" t="str">
        <f t="shared" si="91"/>
        <v>Low</v>
      </c>
      <c r="Q642" t="str">
        <f t="shared" si="92"/>
        <v>Low</v>
      </c>
      <c r="R642" t="s">
        <v>3317</v>
      </c>
      <c r="S642" s="4">
        <f t="shared" ca="1" si="93"/>
        <v>1031</v>
      </c>
      <c r="T642">
        <f t="shared" si="94"/>
        <v>1</v>
      </c>
      <c r="U642">
        <f t="shared" si="95"/>
        <v>1</v>
      </c>
      <c r="V642">
        <f t="shared" si="96"/>
        <v>1</v>
      </c>
      <c r="W642">
        <f t="shared" si="97"/>
        <v>1</v>
      </c>
      <c r="X642">
        <f t="shared" si="98"/>
        <v>0.99999999999999989</v>
      </c>
      <c r="Y642" t="str">
        <f t="shared" si="99"/>
        <v>Healthy</v>
      </c>
    </row>
    <row r="643" spans="1:25" x14ac:dyDescent="0.35">
      <c r="A643" t="s">
        <v>179</v>
      </c>
      <c r="B643" t="s">
        <v>223</v>
      </c>
      <c r="C643" t="s">
        <v>357</v>
      </c>
      <c r="D643" t="s">
        <v>597</v>
      </c>
      <c r="E643">
        <v>83920210</v>
      </c>
      <c r="F643" t="s">
        <v>598</v>
      </c>
      <c r="G643" s="3">
        <v>46717</v>
      </c>
      <c r="H643">
        <v>18</v>
      </c>
      <c r="I643">
        <v>97</v>
      </c>
      <c r="J643">
        <v>3561</v>
      </c>
      <c r="K643" s="4">
        <v>348835.56</v>
      </c>
      <c r="L643" s="4">
        <v>96333.428571428565</v>
      </c>
      <c r="M643" s="4">
        <v>3.6965361378782625E-2</v>
      </c>
      <c r="N643" t="s">
        <v>25</v>
      </c>
      <c r="O643" t="str">
        <f t="shared" ref="O643:O706" si="100">IF(I643&lt;20,"High",IF(I643&lt;40,"Medium","Low"))</f>
        <v>Low</v>
      </c>
      <c r="P643" t="str">
        <f t="shared" ref="P643:P706" si="101">IF(M643&gt;8,"High",IF(M643&gt;4,"Medium","Low"))</f>
        <v>Low</v>
      </c>
      <c r="Q643" t="str">
        <f t="shared" ref="Q643:Q706" si="102">IF(L643&lt;5,"High",IF(L643&lt;15,"Medium","Low"))</f>
        <v>Low</v>
      </c>
      <c r="R643" t="s">
        <v>3309</v>
      </c>
      <c r="S643" s="4">
        <f t="shared" ref="S643:S706" ca="1" si="103">G643-TODAY()</f>
        <v>520</v>
      </c>
      <c r="T643">
        <f t="shared" ref="T643:T706" si="104">IF(O643="High",3,IF(O643="Medium",2,1))</f>
        <v>1</v>
      </c>
      <c r="U643">
        <f t="shared" ref="U643:U706" si="105">IF(P643="High",3,IF(P643="Medium",2,1))</f>
        <v>1</v>
      </c>
      <c r="V643">
        <f t="shared" ref="V643:V706" si="106">IF(Q643="High",3,IF(Q643="Medium",2,1))</f>
        <v>1</v>
      </c>
      <c r="W643">
        <f t="shared" ref="W643:W706" si="107">IF(R643="High",3,IF(R643="Medium",2,1))</f>
        <v>3</v>
      </c>
      <c r="X643">
        <f t="shared" ref="X643:X706" si="108">(0.4*T643)+(0.3*U643)+(0.2*V643)+(0.1*W643)</f>
        <v>1.2</v>
      </c>
      <c r="Y643" t="str">
        <f t="shared" ref="Y643:Y706" si="109">IF(X643&gt;=2.7,"Move Immediately",IF(X643&gt;=2.2,"High Priority",IF(X643&gt;=1.7,"Monitor","Healthy")))</f>
        <v>Healthy</v>
      </c>
    </row>
    <row r="644" spans="1:25" x14ac:dyDescent="0.35">
      <c r="A644" t="s">
        <v>71</v>
      </c>
      <c r="B644" t="s">
        <v>72</v>
      </c>
      <c r="C644" t="s">
        <v>386</v>
      </c>
      <c r="D644" t="s">
        <v>595</v>
      </c>
      <c r="E644">
        <v>83907884</v>
      </c>
      <c r="F644" t="s">
        <v>596</v>
      </c>
      <c r="G644" s="3">
        <v>47265</v>
      </c>
      <c r="H644">
        <v>36</v>
      </c>
      <c r="I644">
        <v>99</v>
      </c>
      <c r="J644">
        <v>10</v>
      </c>
      <c r="K644" s="4">
        <v>2991.9</v>
      </c>
      <c r="L644" s="4">
        <v>397</v>
      </c>
      <c r="M644" s="4">
        <v>2.5188916876574308E-2</v>
      </c>
      <c r="N644" t="s">
        <v>25</v>
      </c>
      <c r="O644" t="str">
        <f t="shared" si="100"/>
        <v>Low</v>
      </c>
      <c r="P644" t="str">
        <f t="shared" si="101"/>
        <v>Low</v>
      </c>
      <c r="Q644" t="str">
        <f t="shared" si="102"/>
        <v>Low</v>
      </c>
      <c r="R644" t="s">
        <v>3317</v>
      </c>
      <c r="S644" s="4">
        <f t="shared" ca="1" si="103"/>
        <v>1068</v>
      </c>
      <c r="T644">
        <f t="shared" si="104"/>
        <v>1</v>
      </c>
      <c r="U644">
        <f t="shared" si="105"/>
        <v>1</v>
      </c>
      <c r="V644">
        <f t="shared" si="106"/>
        <v>1</v>
      </c>
      <c r="W644">
        <f t="shared" si="107"/>
        <v>1</v>
      </c>
      <c r="X644">
        <f t="shared" si="108"/>
        <v>0.99999999999999989</v>
      </c>
      <c r="Y644" t="str">
        <f t="shared" si="109"/>
        <v>Healthy</v>
      </c>
    </row>
    <row r="645" spans="1:25" x14ac:dyDescent="0.35">
      <c r="A645" t="s">
        <v>71</v>
      </c>
      <c r="B645" t="s">
        <v>72</v>
      </c>
      <c r="C645" t="s">
        <v>386</v>
      </c>
      <c r="D645" t="s">
        <v>595</v>
      </c>
      <c r="E645">
        <v>83907884</v>
      </c>
      <c r="F645" t="s">
        <v>596</v>
      </c>
      <c r="G645" s="3">
        <v>47278</v>
      </c>
      <c r="H645">
        <v>36</v>
      </c>
      <c r="I645">
        <v>100</v>
      </c>
      <c r="J645">
        <v>123</v>
      </c>
      <c r="K645" s="4">
        <v>36800.370000000003</v>
      </c>
      <c r="L645" s="4">
        <v>397</v>
      </c>
      <c r="M645" s="4">
        <v>0.30982367758186397</v>
      </c>
      <c r="N645" t="s">
        <v>25</v>
      </c>
      <c r="O645" t="str">
        <f t="shared" si="100"/>
        <v>Low</v>
      </c>
      <c r="P645" t="str">
        <f t="shared" si="101"/>
        <v>Low</v>
      </c>
      <c r="Q645" t="str">
        <f t="shared" si="102"/>
        <v>Low</v>
      </c>
      <c r="R645" t="s">
        <v>3317</v>
      </c>
      <c r="S645" s="4">
        <f t="shared" ca="1" si="103"/>
        <v>1081</v>
      </c>
      <c r="T645">
        <f t="shared" si="104"/>
        <v>1</v>
      </c>
      <c r="U645">
        <f t="shared" si="105"/>
        <v>1</v>
      </c>
      <c r="V645">
        <f t="shared" si="106"/>
        <v>1</v>
      </c>
      <c r="W645">
        <f t="shared" si="107"/>
        <v>1</v>
      </c>
      <c r="X645">
        <f t="shared" si="108"/>
        <v>0.99999999999999989</v>
      </c>
      <c r="Y645" t="str">
        <f t="shared" si="109"/>
        <v>Healthy</v>
      </c>
    </row>
    <row r="646" spans="1:25" x14ac:dyDescent="0.35">
      <c r="A646" t="s">
        <v>179</v>
      </c>
      <c r="B646" t="s">
        <v>223</v>
      </c>
      <c r="C646" t="s">
        <v>357</v>
      </c>
      <c r="D646" t="s">
        <v>597</v>
      </c>
      <c r="E646">
        <v>83920210</v>
      </c>
      <c r="F646" t="s">
        <v>598</v>
      </c>
      <c r="G646" s="3">
        <v>46723</v>
      </c>
      <c r="H646">
        <v>18</v>
      </c>
      <c r="I646">
        <v>98</v>
      </c>
      <c r="J646">
        <v>3710</v>
      </c>
      <c r="K646" s="4">
        <v>363431.6</v>
      </c>
      <c r="L646" s="4">
        <v>96333.428571428565</v>
      </c>
      <c r="M646" s="4">
        <v>3.851207265242447E-2</v>
      </c>
      <c r="N646" t="s">
        <v>25</v>
      </c>
      <c r="O646" t="str">
        <f t="shared" si="100"/>
        <v>Low</v>
      </c>
      <c r="P646" t="str">
        <f t="shared" si="101"/>
        <v>Low</v>
      </c>
      <c r="Q646" t="str">
        <f t="shared" si="102"/>
        <v>Low</v>
      </c>
      <c r="R646" t="s">
        <v>3309</v>
      </c>
      <c r="S646" s="4">
        <f t="shared" ca="1" si="103"/>
        <v>526</v>
      </c>
      <c r="T646">
        <f t="shared" si="104"/>
        <v>1</v>
      </c>
      <c r="U646">
        <f t="shared" si="105"/>
        <v>1</v>
      </c>
      <c r="V646">
        <f t="shared" si="106"/>
        <v>1</v>
      </c>
      <c r="W646">
        <f t="shared" si="107"/>
        <v>3</v>
      </c>
      <c r="X646">
        <f t="shared" si="108"/>
        <v>1.2</v>
      </c>
      <c r="Y646" t="str">
        <f t="shared" si="109"/>
        <v>Healthy</v>
      </c>
    </row>
    <row r="647" spans="1:25" x14ac:dyDescent="0.35">
      <c r="A647" t="s">
        <v>71</v>
      </c>
      <c r="B647" t="s">
        <v>72</v>
      </c>
      <c r="C647" t="s">
        <v>386</v>
      </c>
      <c r="D647" t="s">
        <v>599</v>
      </c>
      <c r="E647">
        <v>83907885</v>
      </c>
      <c r="F647" t="s">
        <v>600</v>
      </c>
      <c r="G647" s="3">
        <v>47269</v>
      </c>
      <c r="H647">
        <v>36</v>
      </c>
      <c r="I647">
        <v>100</v>
      </c>
      <c r="J647">
        <v>36</v>
      </c>
      <c r="K647" s="4">
        <v>10770.84</v>
      </c>
      <c r="L647" s="4">
        <v>758.14285714285711</v>
      </c>
      <c r="M647" s="4">
        <v>4.7484454494064444E-2</v>
      </c>
      <c r="N647" t="s">
        <v>25</v>
      </c>
      <c r="O647" t="str">
        <f t="shared" si="100"/>
        <v>Low</v>
      </c>
      <c r="P647" t="str">
        <f t="shared" si="101"/>
        <v>Low</v>
      </c>
      <c r="Q647" t="str">
        <f t="shared" si="102"/>
        <v>Low</v>
      </c>
      <c r="R647" t="s">
        <v>3317</v>
      </c>
      <c r="S647" s="4">
        <f t="shared" ca="1" si="103"/>
        <v>1072</v>
      </c>
      <c r="T647">
        <f t="shared" si="104"/>
        <v>1</v>
      </c>
      <c r="U647">
        <f t="shared" si="105"/>
        <v>1</v>
      </c>
      <c r="V647">
        <f t="shared" si="106"/>
        <v>1</v>
      </c>
      <c r="W647">
        <f t="shared" si="107"/>
        <v>1</v>
      </c>
      <c r="X647">
        <f t="shared" si="108"/>
        <v>0.99999999999999989</v>
      </c>
      <c r="Y647" t="str">
        <f t="shared" si="109"/>
        <v>Healthy</v>
      </c>
    </row>
    <row r="648" spans="1:25" x14ac:dyDescent="0.35">
      <c r="A648" t="s">
        <v>179</v>
      </c>
      <c r="B648" t="s">
        <v>223</v>
      </c>
      <c r="C648" t="s">
        <v>357</v>
      </c>
      <c r="D648" t="s">
        <v>597</v>
      </c>
      <c r="E648">
        <v>83920210</v>
      </c>
      <c r="F648" t="s">
        <v>598</v>
      </c>
      <c r="G648" s="3">
        <v>46725</v>
      </c>
      <c r="H648">
        <v>18</v>
      </c>
      <c r="I648">
        <v>99</v>
      </c>
      <c r="J648">
        <v>4753</v>
      </c>
      <c r="K648" s="4">
        <v>465603.88</v>
      </c>
      <c r="L648" s="4">
        <v>96333.428571428565</v>
      </c>
      <c r="M648" s="4">
        <v>4.9339051567917389E-2</v>
      </c>
      <c r="N648" t="s">
        <v>25</v>
      </c>
      <c r="O648" t="str">
        <f t="shared" si="100"/>
        <v>Low</v>
      </c>
      <c r="P648" t="str">
        <f t="shared" si="101"/>
        <v>Low</v>
      </c>
      <c r="Q648" t="str">
        <f t="shared" si="102"/>
        <v>Low</v>
      </c>
      <c r="R648" t="s">
        <v>3309</v>
      </c>
      <c r="S648" s="4">
        <f t="shared" ca="1" si="103"/>
        <v>528</v>
      </c>
      <c r="T648">
        <f t="shared" si="104"/>
        <v>1</v>
      </c>
      <c r="U648">
        <f t="shared" si="105"/>
        <v>1</v>
      </c>
      <c r="V648">
        <f t="shared" si="106"/>
        <v>1</v>
      </c>
      <c r="W648">
        <f t="shared" si="107"/>
        <v>3</v>
      </c>
      <c r="X648">
        <f t="shared" si="108"/>
        <v>1.2</v>
      </c>
      <c r="Y648" t="str">
        <f t="shared" si="109"/>
        <v>Healthy</v>
      </c>
    </row>
    <row r="649" spans="1:25" x14ac:dyDescent="0.35">
      <c r="A649" t="s">
        <v>71</v>
      </c>
      <c r="B649" t="s">
        <v>72</v>
      </c>
      <c r="C649" t="s">
        <v>386</v>
      </c>
      <c r="D649" t="s">
        <v>599</v>
      </c>
      <c r="E649">
        <v>83907885</v>
      </c>
      <c r="F649" t="s">
        <v>600</v>
      </c>
      <c r="G649" s="3">
        <v>47270</v>
      </c>
      <c r="H649">
        <v>36</v>
      </c>
      <c r="I649">
        <v>100</v>
      </c>
      <c r="J649">
        <v>51</v>
      </c>
      <c r="K649" s="4">
        <v>15258.69</v>
      </c>
      <c r="L649" s="4">
        <v>758.14285714285711</v>
      </c>
      <c r="M649" s="4">
        <v>6.7269643866591303E-2</v>
      </c>
      <c r="N649" t="s">
        <v>25</v>
      </c>
      <c r="O649" t="str">
        <f t="shared" si="100"/>
        <v>Low</v>
      </c>
      <c r="P649" t="str">
        <f t="shared" si="101"/>
        <v>Low</v>
      </c>
      <c r="Q649" t="str">
        <f t="shared" si="102"/>
        <v>Low</v>
      </c>
      <c r="R649" t="s">
        <v>3317</v>
      </c>
      <c r="S649" s="4">
        <f t="shared" ca="1" si="103"/>
        <v>1073</v>
      </c>
      <c r="T649">
        <f t="shared" si="104"/>
        <v>1</v>
      </c>
      <c r="U649">
        <f t="shared" si="105"/>
        <v>1</v>
      </c>
      <c r="V649">
        <f t="shared" si="106"/>
        <v>1</v>
      </c>
      <c r="W649">
        <f t="shared" si="107"/>
        <v>1</v>
      </c>
      <c r="X649">
        <f t="shared" si="108"/>
        <v>0.99999999999999989</v>
      </c>
      <c r="Y649" t="str">
        <f t="shared" si="109"/>
        <v>Healthy</v>
      </c>
    </row>
    <row r="650" spans="1:25" x14ac:dyDescent="0.35">
      <c r="A650" t="s">
        <v>179</v>
      </c>
      <c r="B650" t="s">
        <v>223</v>
      </c>
      <c r="C650" t="s">
        <v>357</v>
      </c>
      <c r="D650" t="s">
        <v>597</v>
      </c>
      <c r="E650">
        <v>83920210</v>
      </c>
      <c r="F650" t="s">
        <v>598</v>
      </c>
      <c r="G650" s="3">
        <v>46722</v>
      </c>
      <c r="H650">
        <v>18</v>
      </c>
      <c r="I650">
        <v>98</v>
      </c>
      <c r="J650">
        <v>3000</v>
      </c>
      <c r="K650" s="4">
        <v>293880</v>
      </c>
      <c r="L650" s="4">
        <v>96333.428571428565</v>
      </c>
      <c r="M650" s="4">
        <v>3.1141837724332454E-2</v>
      </c>
      <c r="N650" t="s">
        <v>25</v>
      </c>
      <c r="O650" t="str">
        <f t="shared" si="100"/>
        <v>Low</v>
      </c>
      <c r="P650" t="str">
        <f t="shared" si="101"/>
        <v>Low</v>
      </c>
      <c r="Q650" t="str">
        <f t="shared" si="102"/>
        <v>Low</v>
      </c>
      <c r="R650" t="s">
        <v>3309</v>
      </c>
      <c r="S650" s="4">
        <f t="shared" ca="1" si="103"/>
        <v>525</v>
      </c>
      <c r="T650">
        <f t="shared" si="104"/>
        <v>1</v>
      </c>
      <c r="U650">
        <f t="shared" si="105"/>
        <v>1</v>
      </c>
      <c r="V650">
        <f t="shared" si="106"/>
        <v>1</v>
      </c>
      <c r="W650">
        <f t="shared" si="107"/>
        <v>3</v>
      </c>
      <c r="X650">
        <f t="shared" si="108"/>
        <v>1.2</v>
      </c>
      <c r="Y650" t="str">
        <f t="shared" si="109"/>
        <v>Healthy</v>
      </c>
    </row>
    <row r="651" spans="1:25" x14ac:dyDescent="0.35">
      <c r="A651" t="s">
        <v>71</v>
      </c>
      <c r="B651" t="s">
        <v>72</v>
      </c>
      <c r="C651" t="s">
        <v>386</v>
      </c>
      <c r="D651" t="s">
        <v>599</v>
      </c>
      <c r="E651">
        <v>83907885</v>
      </c>
      <c r="F651" t="s">
        <v>600</v>
      </c>
      <c r="G651" s="3">
        <v>47241</v>
      </c>
      <c r="H651">
        <v>36</v>
      </c>
      <c r="I651">
        <v>97</v>
      </c>
      <c r="J651">
        <v>33</v>
      </c>
      <c r="K651" s="4">
        <v>9873.27</v>
      </c>
      <c r="L651" s="4">
        <v>758.14285714285711</v>
      </c>
      <c r="M651" s="4">
        <v>4.3527416619559077E-2</v>
      </c>
      <c r="N651" t="s">
        <v>25</v>
      </c>
      <c r="O651" t="str">
        <f t="shared" si="100"/>
        <v>Low</v>
      </c>
      <c r="P651" t="str">
        <f t="shared" si="101"/>
        <v>Low</v>
      </c>
      <c r="Q651" t="str">
        <f t="shared" si="102"/>
        <v>Low</v>
      </c>
      <c r="R651" t="s">
        <v>3317</v>
      </c>
      <c r="S651" s="4">
        <f t="shared" ca="1" si="103"/>
        <v>1044</v>
      </c>
      <c r="T651">
        <f t="shared" si="104"/>
        <v>1</v>
      </c>
      <c r="U651">
        <f t="shared" si="105"/>
        <v>1</v>
      </c>
      <c r="V651">
        <f t="shared" si="106"/>
        <v>1</v>
      </c>
      <c r="W651">
        <f t="shared" si="107"/>
        <v>1</v>
      </c>
      <c r="X651">
        <f t="shared" si="108"/>
        <v>0.99999999999999989</v>
      </c>
      <c r="Y651" t="str">
        <f t="shared" si="109"/>
        <v>Healthy</v>
      </c>
    </row>
    <row r="652" spans="1:25" x14ac:dyDescent="0.35">
      <c r="A652" t="s">
        <v>179</v>
      </c>
      <c r="B652" t="s">
        <v>223</v>
      </c>
      <c r="C652" t="s">
        <v>357</v>
      </c>
      <c r="D652" t="s">
        <v>597</v>
      </c>
      <c r="E652">
        <v>83920210</v>
      </c>
      <c r="F652" t="s">
        <v>598</v>
      </c>
      <c r="G652" s="3">
        <v>46727</v>
      </c>
      <c r="H652">
        <v>18</v>
      </c>
      <c r="I652">
        <v>99</v>
      </c>
      <c r="J652">
        <v>4747</v>
      </c>
      <c r="K652" s="4">
        <v>465016.12</v>
      </c>
      <c r="L652" s="4">
        <v>96333.428571428565</v>
      </c>
      <c r="M652" s="4">
        <v>4.9276767892468723E-2</v>
      </c>
      <c r="N652" t="s">
        <v>25</v>
      </c>
      <c r="O652" t="str">
        <f t="shared" si="100"/>
        <v>Low</v>
      </c>
      <c r="P652" t="str">
        <f t="shared" si="101"/>
        <v>Low</v>
      </c>
      <c r="Q652" t="str">
        <f t="shared" si="102"/>
        <v>Low</v>
      </c>
      <c r="R652" t="s">
        <v>3309</v>
      </c>
      <c r="S652" s="4">
        <f t="shared" ca="1" si="103"/>
        <v>530</v>
      </c>
      <c r="T652">
        <f t="shared" si="104"/>
        <v>1</v>
      </c>
      <c r="U652">
        <f t="shared" si="105"/>
        <v>1</v>
      </c>
      <c r="V652">
        <f t="shared" si="106"/>
        <v>1</v>
      </c>
      <c r="W652">
        <f t="shared" si="107"/>
        <v>3</v>
      </c>
      <c r="X652">
        <f t="shared" si="108"/>
        <v>1.2</v>
      </c>
      <c r="Y652" t="str">
        <f t="shared" si="109"/>
        <v>Healthy</v>
      </c>
    </row>
    <row r="653" spans="1:25" x14ac:dyDescent="0.35">
      <c r="A653" t="s">
        <v>71</v>
      </c>
      <c r="B653" t="s">
        <v>72</v>
      </c>
      <c r="C653" t="s">
        <v>386</v>
      </c>
      <c r="D653" t="s">
        <v>599</v>
      </c>
      <c r="E653">
        <v>83907885</v>
      </c>
      <c r="F653" t="s">
        <v>600</v>
      </c>
      <c r="G653" s="3">
        <v>47199</v>
      </c>
      <c r="H653">
        <v>36</v>
      </c>
      <c r="I653">
        <v>93</v>
      </c>
      <c r="J653">
        <v>9</v>
      </c>
      <c r="K653" s="4">
        <v>2692.71</v>
      </c>
      <c r="L653" s="4">
        <v>758.14285714285711</v>
      </c>
      <c r="M653" s="4">
        <v>1.1871113623516111E-2</v>
      </c>
      <c r="N653" t="s">
        <v>25</v>
      </c>
      <c r="O653" t="str">
        <f t="shared" si="100"/>
        <v>Low</v>
      </c>
      <c r="P653" t="str">
        <f t="shared" si="101"/>
        <v>Low</v>
      </c>
      <c r="Q653" t="str">
        <f t="shared" si="102"/>
        <v>Low</v>
      </c>
      <c r="R653" t="s">
        <v>3317</v>
      </c>
      <c r="S653" s="4">
        <f t="shared" ca="1" si="103"/>
        <v>1002</v>
      </c>
      <c r="T653">
        <f t="shared" si="104"/>
        <v>1</v>
      </c>
      <c r="U653">
        <f t="shared" si="105"/>
        <v>1</v>
      </c>
      <c r="V653">
        <f t="shared" si="106"/>
        <v>1</v>
      </c>
      <c r="W653">
        <f t="shared" si="107"/>
        <v>1</v>
      </c>
      <c r="X653">
        <f t="shared" si="108"/>
        <v>0.99999999999999989</v>
      </c>
      <c r="Y653" t="str">
        <f t="shared" si="109"/>
        <v>Healthy</v>
      </c>
    </row>
    <row r="654" spans="1:25" x14ac:dyDescent="0.35">
      <c r="A654" t="s">
        <v>179</v>
      </c>
      <c r="B654" t="s">
        <v>223</v>
      </c>
      <c r="C654" t="s">
        <v>357</v>
      </c>
      <c r="D654" t="s">
        <v>597</v>
      </c>
      <c r="E654">
        <v>83920210</v>
      </c>
      <c r="F654" t="s">
        <v>598</v>
      </c>
      <c r="G654" s="3">
        <v>46724</v>
      </c>
      <c r="H654">
        <v>18</v>
      </c>
      <c r="I654">
        <v>99</v>
      </c>
      <c r="J654">
        <v>1915</v>
      </c>
      <c r="K654" s="4">
        <v>187593.4</v>
      </c>
      <c r="L654" s="4">
        <v>96333.428571428565</v>
      </c>
      <c r="M654" s="4">
        <v>1.9878873080698883E-2</v>
      </c>
      <c r="N654" t="s">
        <v>25</v>
      </c>
      <c r="O654" t="str">
        <f t="shared" si="100"/>
        <v>Low</v>
      </c>
      <c r="P654" t="str">
        <f t="shared" si="101"/>
        <v>Low</v>
      </c>
      <c r="Q654" t="str">
        <f t="shared" si="102"/>
        <v>Low</v>
      </c>
      <c r="R654" t="s">
        <v>3309</v>
      </c>
      <c r="S654" s="4">
        <f t="shared" ca="1" si="103"/>
        <v>527</v>
      </c>
      <c r="T654">
        <f t="shared" si="104"/>
        <v>1</v>
      </c>
      <c r="U654">
        <f t="shared" si="105"/>
        <v>1</v>
      </c>
      <c r="V654">
        <f t="shared" si="106"/>
        <v>1</v>
      </c>
      <c r="W654">
        <f t="shared" si="107"/>
        <v>3</v>
      </c>
      <c r="X654">
        <f t="shared" si="108"/>
        <v>1.2</v>
      </c>
      <c r="Y654" t="str">
        <f t="shared" si="109"/>
        <v>Healthy</v>
      </c>
    </row>
    <row r="655" spans="1:25" x14ac:dyDescent="0.35">
      <c r="A655" t="s">
        <v>71</v>
      </c>
      <c r="B655" t="s">
        <v>72</v>
      </c>
      <c r="C655" t="s">
        <v>386</v>
      </c>
      <c r="D655" t="s">
        <v>599</v>
      </c>
      <c r="E655">
        <v>83907885</v>
      </c>
      <c r="F655" t="s">
        <v>600</v>
      </c>
      <c r="G655" s="3">
        <v>47207</v>
      </c>
      <c r="H655">
        <v>36</v>
      </c>
      <c r="I655">
        <v>94</v>
      </c>
      <c r="J655">
        <v>35</v>
      </c>
      <c r="K655" s="4">
        <v>10471.65</v>
      </c>
      <c r="L655" s="4">
        <v>758.14285714285711</v>
      </c>
      <c r="M655" s="4">
        <v>4.6165441869229322E-2</v>
      </c>
      <c r="N655" t="s">
        <v>25</v>
      </c>
      <c r="O655" t="str">
        <f t="shared" si="100"/>
        <v>Low</v>
      </c>
      <c r="P655" t="str">
        <f t="shared" si="101"/>
        <v>Low</v>
      </c>
      <c r="Q655" t="str">
        <f t="shared" si="102"/>
        <v>Low</v>
      </c>
      <c r="R655" t="s">
        <v>3317</v>
      </c>
      <c r="S655" s="4">
        <f t="shared" ca="1" si="103"/>
        <v>1010</v>
      </c>
      <c r="T655">
        <f t="shared" si="104"/>
        <v>1</v>
      </c>
      <c r="U655">
        <f t="shared" si="105"/>
        <v>1</v>
      </c>
      <c r="V655">
        <f t="shared" si="106"/>
        <v>1</v>
      </c>
      <c r="W655">
        <f t="shared" si="107"/>
        <v>1</v>
      </c>
      <c r="X655">
        <f t="shared" si="108"/>
        <v>0.99999999999999989</v>
      </c>
      <c r="Y655" t="str">
        <f t="shared" si="109"/>
        <v>Healthy</v>
      </c>
    </row>
    <row r="656" spans="1:25" x14ac:dyDescent="0.35">
      <c r="A656" t="s">
        <v>71</v>
      </c>
      <c r="B656" t="s">
        <v>72</v>
      </c>
      <c r="C656" t="s">
        <v>386</v>
      </c>
      <c r="D656" t="s">
        <v>599</v>
      </c>
      <c r="E656">
        <v>83907885</v>
      </c>
      <c r="F656" t="s">
        <v>600</v>
      </c>
      <c r="G656" s="3">
        <v>47224</v>
      </c>
      <c r="H656">
        <v>36</v>
      </c>
      <c r="I656">
        <v>96</v>
      </c>
      <c r="J656">
        <v>26</v>
      </c>
      <c r="K656" s="4">
        <v>7778.94</v>
      </c>
      <c r="L656" s="4">
        <v>758.14285714285711</v>
      </c>
      <c r="M656" s="4">
        <v>3.4294328245713213E-2</v>
      </c>
      <c r="N656" t="s">
        <v>25</v>
      </c>
      <c r="O656" t="str">
        <f t="shared" si="100"/>
        <v>Low</v>
      </c>
      <c r="P656" t="str">
        <f t="shared" si="101"/>
        <v>Low</v>
      </c>
      <c r="Q656" t="str">
        <f t="shared" si="102"/>
        <v>Low</v>
      </c>
      <c r="R656" t="s">
        <v>3317</v>
      </c>
      <c r="S656" s="4">
        <f t="shared" ca="1" si="103"/>
        <v>1027</v>
      </c>
      <c r="T656">
        <f t="shared" si="104"/>
        <v>1</v>
      </c>
      <c r="U656">
        <f t="shared" si="105"/>
        <v>1</v>
      </c>
      <c r="V656">
        <f t="shared" si="106"/>
        <v>1</v>
      </c>
      <c r="W656">
        <f t="shared" si="107"/>
        <v>1</v>
      </c>
      <c r="X656">
        <f t="shared" si="108"/>
        <v>0.99999999999999989</v>
      </c>
      <c r="Y656" t="str">
        <f t="shared" si="109"/>
        <v>Healthy</v>
      </c>
    </row>
    <row r="657" spans="1:25" x14ac:dyDescent="0.35">
      <c r="A657" t="s">
        <v>179</v>
      </c>
      <c r="B657" t="s">
        <v>223</v>
      </c>
      <c r="C657" t="s">
        <v>357</v>
      </c>
      <c r="D657" t="s">
        <v>597</v>
      </c>
      <c r="E657">
        <v>83920210</v>
      </c>
      <c r="F657" t="s">
        <v>598</v>
      </c>
      <c r="G657" s="3">
        <v>46725</v>
      </c>
      <c r="H657">
        <v>18</v>
      </c>
      <c r="I657">
        <v>99</v>
      </c>
      <c r="J657">
        <v>670</v>
      </c>
      <c r="K657" s="4">
        <v>65633.2</v>
      </c>
      <c r="L657" s="4">
        <v>96333.428571428565</v>
      </c>
      <c r="M657" s="4">
        <v>6.9550104251009147E-3</v>
      </c>
      <c r="N657" t="s">
        <v>25</v>
      </c>
      <c r="O657" t="str">
        <f t="shared" si="100"/>
        <v>Low</v>
      </c>
      <c r="P657" t="str">
        <f t="shared" si="101"/>
        <v>Low</v>
      </c>
      <c r="Q657" t="str">
        <f t="shared" si="102"/>
        <v>Low</v>
      </c>
      <c r="R657" t="s">
        <v>3317</v>
      </c>
      <c r="S657" s="4">
        <f t="shared" ca="1" si="103"/>
        <v>528</v>
      </c>
      <c r="T657">
        <f t="shared" si="104"/>
        <v>1</v>
      </c>
      <c r="U657">
        <f t="shared" si="105"/>
        <v>1</v>
      </c>
      <c r="V657">
        <f t="shared" si="106"/>
        <v>1</v>
      </c>
      <c r="W657">
        <f t="shared" si="107"/>
        <v>1</v>
      </c>
      <c r="X657">
        <f t="shared" si="108"/>
        <v>0.99999999999999989</v>
      </c>
      <c r="Y657" t="str">
        <f t="shared" si="109"/>
        <v>Healthy</v>
      </c>
    </row>
    <row r="658" spans="1:25" x14ac:dyDescent="0.35">
      <c r="A658" t="s">
        <v>71</v>
      </c>
      <c r="B658" t="s">
        <v>72</v>
      </c>
      <c r="C658" t="s">
        <v>386</v>
      </c>
      <c r="D658" t="s">
        <v>599</v>
      </c>
      <c r="E658">
        <v>83907885</v>
      </c>
      <c r="F658" t="s">
        <v>600</v>
      </c>
      <c r="G658" s="3">
        <v>47256</v>
      </c>
      <c r="H658">
        <v>36</v>
      </c>
      <c r="I658">
        <v>99</v>
      </c>
      <c r="J658">
        <v>91</v>
      </c>
      <c r="K658" s="4">
        <v>27226.29</v>
      </c>
      <c r="L658" s="4">
        <v>758.14285714285711</v>
      </c>
      <c r="M658" s="4">
        <v>0.12003014885999623</v>
      </c>
      <c r="N658" t="s">
        <v>25</v>
      </c>
      <c r="O658" t="str">
        <f t="shared" si="100"/>
        <v>Low</v>
      </c>
      <c r="P658" t="str">
        <f t="shared" si="101"/>
        <v>Low</v>
      </c>
      <c r="Q658" t="str">
        <f t="shared" si="102"/>
        <v>Low</v>
      </c>
      <c r="R658" t="s">
        <v>3317</v>
      </c>
      <c r="S658" s="4">
        <f t="shared" ca="1" si="103"/>
        <v>1059</v>
      </c>
      <c r="T658">
        <f t="shared" si="104"/>
        <v>1</v>
      </c>
      <c r="U658">
        <f t="shared" si="105"/>
        <v>1</v>
      </c>
      <c r="V658">
        <f t="shared" si="106"/>
        <v>1</v>
      </c>
      <c r="W658">
        <f t="shared" si="107"/>
        <v>1</v>
      </c>
      <c r="X658">
        <f t="shared" si="108"/>
        <v>0.99999999999999989</v>
      </c>
      <c r="Y658" t="str">
        <f t="shared" si="109"/>
        <v>Healthy</v>
      </c>
    </row>
    <row r="659" spans="1:25" x14ac:dyDescent="0.35">
      <c r="A659" t="s">
        <v>179</v>
      </c>
      <c r="B659" t="s">
        <v>223</v>
      </c>
      <c r="C659" t="s">
        <v>357</v>
      </c>
      <c r="D659" t="s">
        <v>597</v>
      </c>
      <c r="E659">
        <v>83920210</v>
      </c>
      <c r="F659" t="s">
        <v>598</v>
      </c>
      <c r="G659" s="3">
        <v>46729</v>
      </c>
      <c r="H659">
        <v>18</v>
      </c>
      <c r="I659">
        <v>99</v>
      </c>
      <c r="J659">
        <v>4875</v>
      </c>
      <c r="K659" s="4">
        <v>477555</v>
      </c>
      <c r="L659" s="4">
        <v>96333.428571428565</v>
      </c>
      <c r="M659" s="4">
        <v>5.0605486302040238E-2</v>
      </c>
      <c r="N659" t="s">
        <v>25</v>
      </c>
      <c r="O659" t="str">
        <f t="shared" si="100"/>
        <v>Low</v>
      </c>
      <c r="P659" t="str">
        <f t="shared" si="101"/>
        <v>Low</v>
      </c>
      <c r="Q659" t="str">
        <f t="shared" si="102"/>
        <v>Low</v>
      </c>
      <c r="R659" t="s">
        <v>3309</v>
      </c>
      <c r="S659" s="4">
        <f t="shared" ca="1" si="103"/>
        <v>532</v>
      </c>
      <c r="T659">
        <f t="shared" si="104"/>
        <v>1</v>
      </c>
      <c r="U659">
        <f t="shared" si="105"/>
        <v>1</v>
      </c>
      <c r="V659">
        <f t="shared" si="106"/>
        <v>1</v>
      </c>
      <c r="W659">
        <f t="shared" si="107"/>
        <v>3</v>
      </c>
      <c r="X659">
        <f t="shared" si="108"/>
        <v>1.2</v>
      </c>
      <c r="Y659" t="str">
        <f t="shared" si="109"/>
        <v>Healthy</v>
      </c>
    </row>
    <row r="660" spans="1:25" x14ac:dyDescent="0.35">
      <c r="A660" t="s">
        <v>71</v>
      </c>
      <c r="B660" t="s">
        <v>72</v>
      </c>
      <c r="C660" t="s">
        <v>386</v>
      </c>
      <c r="D660" t="s">
        <v>599</v>
      </c>
      <c r="E660">
        <v>83907885</v>
      </c>
      <c r="F660" t="s">
        <v>600</v>
      </c>
      <c r="G660" s="3">
        <v>47237</v>
      </c>
      <c r="H660">
        <v>36</v>
      </c>
      <c r="I660">
        <v>97</v>
      </c>
      <c r="J660">
        <v>32</v>
      </c>
      <c r="K660" s="4">
        <v>9574.08</v>
      </c>
      <c r="L660" s="4">
        <v>758.14285714285711</v>
      </c>
      <c r="M660" s="4">
        <v>4.2208403994723954E-2</v>
      </c>
      <c r="N660" t="s">
        <v>25</v>
      </c>
      <c r="O660" t="str">
        <f t="shared" si="100"/>
        <v>Low</v>
      </c>
      <c r="P660" t="str">
        <f t="shared" si="101"/>
        <v>Low</v>
      </c>
      <c r="Q660" t="str">
        <f t="shared" si="102"/>
        <v>Low</v>
      </c>
      <c r="R660" t="s">
        <v>3317</v>
      </c>
      <c r="S660" s="4">
        <f t="shared" ca="1" si="103"/>
        <v>1040</v>
      </c>
      <c r="T660">
        <f t="shared" si="104"/>
        <v>1</v>
      </c>
      <c r="U660">
        <f t="shared" si="105"/>
        <v>1</v>
      </c>
      <c r="V660">
        <f t="shared" si="106"/>
        <v>1</v>
      </c>
      <c r="W660">
        <f t="shared" si="107"/>
        <v>1</v>
      </c>
      <c r="X660">
        <f t="shared" si="108"/>
        <v>0.99999999999999989</v>
      </c>
      <c r="Y660" t="str">
        <f t="shared" si="109"/>
        <v>Healthy</v>
      </c>
    </row>
    <row r="661" spans="1:25" x14ac:dyDescent="0.35">
      <c r="A661" t="s">
        <v>179</v>
      </c>
      <c r="B661" t="s">
        <v>223</v>
      </c>
      <c r="C661" t="s">
        <v>357</v>
      </c>
      <c r="D661" t="s">
        <v>597</v>
      </c>
      <c r="E661">
        <v>83920210</v>
      </c>
      <c r="F661" t="s">
        <v>598</v>
      </c>
      <c r="G661" s="3">
        <v>46731</v>
      </c>
      <c r="H661">
        <v>18</v>
      </c>
      <c r="I661">
        <v>100</v>
      </c>
      <c r="J661">
        <v>4460</v>
      </c>
      <c r="K661" s="4">
        <v>436901.6</v>
      </c>
      <c r="L661" s="4">
        <v>96333.428571428565</v>
      </c>
      <c r="M661" s="4">
        <v>4.6297532083507585E-2</v>
      </c>
      <c r="N661" t="s">
        <v>25</v>
      </c>
      <c r="O661" t="str">
        <f t="shared" si="100"/>
        <v>Low</v>
      </c>
      <c r="P661" t="str">
        <f t="shared" si="101"/>
        <v>Low</v>
      </c>
      <c r="Q661" t="str">
        <f t="shared" si="102"/>
        <v>Low</v>
      </c>
      <c r="R661" t="s">
        <v>3309</v>
      </c>
      <c r="S661" s="4">
        <f t="shared" ca="1" si="103"/>
        <v>534</v>
      </c>
      <c r="T661">
        <f t="shared" si="104"/>
        <v>1</v>
      </c>
      <c r="U661">
        <f t="shared" si="105"/>
        <v>1</v>
      </c>
      <c r="V661">
        <f t="shared" si="106"/>
        <v>1</v>
      </c>
      <c r="W661">
        <f t="shared" si="107"/>
        <v>3</v>
      </c>
      <c r="X661">
        <f t="shared" si="108"/>
        <v>1.2</v>
      </c>
      <c r="Y661" t="str">
        <f t="shared" si="109"/>
        <v>Healthy</v>
      </c>
    </row>
    <row r="662" spans="1:25" x14ac:dyDescent="0.35">
      <c r="A662" t="s">
        <v>71</v>
      </c>
      <c r="B662" t="s">
        <v>72</v>
      </c>
      <c r="C662" t="s">
        <v>386</v>
      </c>
      <c r="D662" t="s">
        <v>599</v>
      </c>
      <c r="E662">
        <v>83907885</v>
      </c>
      <c r="F662" t="s">
        <v>600</v>
      </c>
      <c r="G662" s="3">
        <v>47223</v>
      </c>
      <c r="H662">
        <v>36</v>
      </c>
      <c r="I662">
        <v>95</v>
      </c>
      <c r="J662">
        <v>7</v>
      </c>
      <c r="K662" s="4">
        <v>2094.33</v>
      </c>
      <c r="L662" s="4">
        <v>758.14285714285711</v>
      </c>
      <c r="M662" s="4">
        <v>9.2330883738458644E-3</v>
      </c>
      <c r="N662" t="s">
        <v>25</v>
      </c>
      <c r="O662" t="str">
        <f t="shared" si="100"/>
        <v>Low</v>
      </c>
      <c r="P662" t="str">
        <f t="shared" si="101"/>
        <v>Low</v>
      </c>
      <c r="Q662" t="str">
        <f t="shared" si="102"/>
        <v>Low</v>
      </c>
      <c r="R662" t="s">
        <v>3317</v>
      </c>
      <c r="S662" s="4">
        <f t="shared" ca="1" si="103"/>
        <v>1026</v>
      </c>
      <c r="T662">
        <f t="shared" si="104"/>
        <v>1</v>
      </c>
      <c r="U662">
        <f t="shared" si="105"/>
        <v>1</v>
      </c>
      <c r="V662">
        <f t="shared" si="106"/>
        <v>1</v>
      </c>
      <c r="W662">
        <f t="shared" si="107"/>
        <v>1</v>
      </c>
      <c r="X662">
        <f t="shared" si="108"/>
        <v>0.99999999999999989</v>
      </c>
      <c r="Y662" t="str">
        <f t="shared" si="109"/>
        <v>Healthy</v>
      </c>
    </row>
    <row r="663" spans="1:25" x14ac:dyDescent="0.35">
      <c r="A663" t="s">
        <v>71</v>
      </c>
      <c r="B663" t="s">
        <v>72</v>
      </c>
      <c r="C663" t="s">
        <v>386</v>
      </c>
      <c r="D663" t="s">
        <v>599</v>
      </c>
      <c r="E663">
        <v>83907885</v>
      </c>
      <c r="F663" t="s">
        <v>600</v>
      </c>
      <c r="G663" s="3">
        <v>47222</v>
      </c>
      <c r="H663">
        <v>36</v>
      </c>
      <c r="I663">
        <v>95</v>
      </c>
      <c r="J663">
        <v>12</v>
      </c>
      <c r="K663" s="4">
        <v>3590.28</v>
      </c>
      <c r="L663" s="4">
        <v>758.14285714285711</v>
      </c>
      <c r="M663" s="4">
        <v>1.582815149802148E-2</v>
      </c>
      <c r="N663" t="s">
        <v>25</v>
      </c>
      <c r="O663" t="str">
        <f t="shared" si="100"/>
        <v>Low</v>
      </c>
      <c r="P663" t="str">
        <f t="shared" si="101"/>
        <v>Low</v>
      </c>
      <c r="Q663" t="str">
        <f t="shared" si="102"/>
        <v>Low</v>
      </c>
      <c r="R663" t="s">
        <v>3317</v>
      </c>
      <c r="S663" s="4">
        <f t="shared" ca="1" si="103"/>
        <v>1025</v>
      </c>
      <c r="T663">
        <f t="shared" si="104"/>
        <v>1</v>
      </c>
      <c r="U663">
        <f t="shared" si="105"/>
        <v>1</v>
      </c>
      <c r="V663">
        <f t="shared" si="106"/>
        <v>1</v>
      </c>
      <c r="W663">
        <f t="shared" si="107"/>
        <v>1</v>
      </c>
      <c r="X663">
        <f t="shared" si="108"/>
        <v>0.99999999999999989</v>
      </c>
      <c r="Y663" t="str">
        <f t="shared" si="109"/>
        <v>Healthy</v>
      </c>
    </row>
    <row r="664" spans="1:25" x14ac:dyDescent="0.35">
      <c r="A664" t="s">
        <v>71</v>
      </c>
      <c r="B664" t="s">
        <v>72</v>
      </c>
      <c r="C664" t="s">
        <v>386</v>
      </c>
      <c r="D664" t="s">
        <v>599</v>
      </c>
      <c r="E664">
        <v>83907885</v>
      </c>
      <c r="F664" t="s">
        <v>600</v>
      </c>
      <c r="G664" s="3">
        <v>47269</v>
      </c>
      <c r="H664">
        <v>36</v>
      </c>
      <c r="I664">
        <v>100</v>
      </c>
      <c r="J664">
        <v>80</v>
      </c>
      <c r="K664" s="4">
        <v>23935.200000000001</v>
      </c>
      <c r="L664" s="4">
        <v>758.14285714285711</v>
      </c>
      <c r="M664" s="4">
        <v>0.10552100998680988</v>
      </c>
      <c r="N664" t="s">
        <v>25</v>
      </c>
      <c r="O664" t="str">
        <f t="shared" si="100"/>
        <v>Low</v>
      </c>
      <c r="P664" t="str">
        <f t="shared" si="101"/>
        <v>Low</v>
      </c>
      <c r="Q664" t="str">
        <f t="shared" si="102"/>
        <v>Low</v>
      </c>
      <c r="R664" t="s">
        <v>3317</v>
      </c>
      <c r="S664" s="4">
        <f t="shared" ca="1" si="103"/>
        <v>1072</v>
      </c>
      <c r="T664">
        <f t="shared" si="104"/>
        <v>1</v>
      </c>
      <c r="U664">
        <f t="shared" si="105"/>
        <v>1</v>
      </c>
      <c r="V664">
        <f t="shared" si="106"/>
        <v>1</v>
      </c>
      <c r="W664">
        <f t="shared" si="107"/>
        <v>1</v>
      </c>
      <c r="X664">
        <f t="shared" si="108"/>
        <v>0.99999999999999989</v>
      </c>
      <c r="Y664" t="str">
        <f t="shared" si="109"/>
        <v>Healthy</v>
      </c>
    </row>
    <row r="665" spans="1:25" x14ac:dyDescent="0.35">
      <c r="A665" t="s">
        <v>179</v>
      </c>
      <c r="B665" t="s">
        <v>223</v>
      </c>
      <c r="C665" t="s">
        <v>357</v>
      </c>
      <c r="D665" t="s">
        <v>597</v>
      </c>
      <c r="E665">
        <v>83920210</v>
      </c>
      <c r="F665" t="s">
        <v>598</v>
      </c>
      <c r="G665" s="3">
        <v>46720</v>
      </c>
      <c r="H665">
        <v>18</v>
      </c>
      <c r="I665">
        <v>98</v>
      </c>
      <c r="J665">
        <v>630</v>
      </c>
      <c r="K665" s="4">
        <v>61714.8</v>
      </c>
      <c r="L665" s="4">
        <v>96333.428571428565</v>
      </c>
      <c r="M665" s="4">
        <v>6.5397859221098158E-3</v>
      </c>
      <c r="N665" t="s">
        <v>25</v>
      </c>
      <c r="O665" t="str">
        <f t="shared" si="100"/>
        <v>Low</v>
      </c>
      <c r="P665" t="str">
        <f t="shared" si="101"/>
        <v>Low</v>
      </c>
      <c r="Q665" t="str">
        <f t="shared" si="102"/>
        <v>Low</v>
      </c>
      <c r="R665" t="s">
        <v>3317</v>
      </c>
      <c r="S665" s="4">
        <f t="shared" ca="1" si="103"/>
        <v>523</v>
      </c>
      <c r="T665">
        <f t="shared" si="104"/>
        <v>1</v>
      </c>
      <c r="U665">
        <f t="shared" si="105"/>
        <v>1</v>
      </c>
      <c r="V665">
        <f t="shared" si="106"/>
        <v>1</v>
      </c>
      <c r="W665">
        <f t="shared" si="107"/>
        <v>1</v>
      </c>
      <c r="X665">
        <f t="shared" si="108"/>
        <v>0.99999999999999989</v>
      </c>
      <c r="Y665" t="str">
        <f t="shared" si="109"/>
        <v>Healthy</v>
      </c>
    </row>
    <row r="666" spans="1:25" x14ac:dyDescent="0.35">
      <c r="A666" t="s">
        <v>71</v>
      </c>
      <c r="B666" t="s">
        <v>72</v>
      </c>
      <c r="C666" t="s">
        <v>386</v>
      </c>
      <c r="D666" t="s">
        <v>601</v>
      </c>
      <c r="E666">
        <v>83907886</v>
      </c>
      <c r="F666" t="s">
        <v>602</v>
      </c>
      <c r="G666" s="3">
        <v>47238</v>
      </c>
      <c r="H666">
        <v>36</v>
      </c>
      <c r="I666">
        <v>97</v>
      </c>
      <c r="J666">
        <v>31</v>
      </c>
      <c r="K666" s="4">
        <v>9274.89</v>
      </c>
      <c r="L666" s="4">
        <v>647.57142857142856</v>
      </c>
      <c r="M666" s="4">
        <v>4.787116699757335E-2</v>
      </c>
      <c r="N666" t="s">
        <v>25</v>
      </c>
      <c r="O666" t="str">
        <f t="shared" si="100"/>
        <v>Low</v>
      </c>
      <c r="P666" t="str">
        <f t="shared" si="101"/>
        <v>Low</v>
      </c>
      <c r="Q666" t="str">
        <f t="shared" si="102"/>
        <v>Low</v>
      </c>
      <c r="R666" t="s">
        <v>3317</v>
      </c>
      <c r="S666" s="4">
        <f t="shared" ca="1" si="103"/>
        <v>1041</v>
      </c>
      <c r="T666">
        <f t="shared" si="104"/>
        <v>1</v>
      </c>
      <c r="U666">
        <f t="shared" si="105"/>
        <v>1</v>
      </c>
      <c r="V666">
        <f t="shared" si="106"/>
        <v>1</v>
      </c>
      <c r="W666">
        <f t="shared" si="107"/>
        <v>1</v>
      </c>
      <c r="X666">
        <f t="shared" si="108"/>
        <v>0.99999999999999989</v>
      </c>
      <c r="Y666" t="str">
        <f t="shared" si="109"/>
        <v>Healthy</v>
      </c>
    </row>
    <row r="667" spans="1:25" x14ac:dyDescent="0.35">
      <c r="A667" t="s">
        <v>179</v>
      </c>
      <c r="B667" t="s">
        <v>223</v>
      </c>
      <c r="C667" t="s">
        <v>357</v>
      </c>
      <c r="D667" t="s">
        <v>597</v>
      </c>
      <c r="E667">
        <v>83920210</v>
      </c>
      <c r="F667" t="s">
        <v>598</v>
      </c>
      <c r="G667" s="3">
        <v>46731</v>
      </c>
      <c r="H667">
        <v>18</v>
      </c>
      <c r="I667">
        <v>100</v>
      </c>
      <c r="J667">
        <v>4000</v>
      </c>
      <c r="K667" s="4">
        <v>391840</v>
      </c>
      <c r="L667" s="4">
        <v>96333.428571428565</v>
      </c>
      <c r="M667" s="4">
        <v>4.1522450299109941E-2</v>
      </c>
      <c r="N667" t="s">
        <v>25</v>
      </c>
      <c r="O667" t="str">
        <f t="shared" si="100"/>
        <v>Low</v>
      </c>
      <c r="P667" t="str">
        <f t="shared" si="101"/>
        <v>Low</v>
      </c>
      <c r="Q667" t="str">
        <f t="shared" si="102"/>
        <v>Low</v>
      </c>
      <c r="R667" t="s">
        <v>3309</v>
      </c>
      <c r="S667" s="4">
        <f t="shared" ca="1" si="103"/>
        <v>534</v>
      </c>
      <c r="T667">
        <f t="shared" si="104"/>
        <v>1</v>
      </c>
      <c r="U667">
        <f t="shared" si="105"/>
        <v>1</v>
      </c>
      <c r="V667">
        <f t="shared" si="106"/>
        <v>1</v>
      </c>
      <c r="W667">
        <f t="shared" si="107"/>
        <v>3</v>
      </c>
      <c r="X667">
        <f t="shared" si="108"/>
        <v>1.2</v>
      </c>
      <c r="Y667" t="str">
        <f t="shared" si="109"/>
        <v>Healthy</v>
      </c>
    </row>
    <row r="668" spans="1:25" x14ac:dyDescent="0.35">
      <c r="A668" t="s">
        <v>41</v>
      </c>
      <c r="B668" t="s">
        <v>54</v>
      </c>
      <c r="C668" t="s">
        <v>87</v>
      </c>
      <c r="D668" t="s">
        <v>494</v>
      </c>
      <c r="E668">
        <v>83924081</v>
      </c>
      <c r="F668" t="s">
        <v>603</v>
      </c>
      <c r="G668" s="3">
        <v>47211</v>
      </c>
      <c r="H668">
        <v>36</v>
      </c>
      <c r="I668">
        <v>94</v>
      </c>
      <c r="J668">
        <v>23</v>
      </c>
      <c r="K668" s="4">
        <v>10557.92</v>
      </c>
      <c r="L668" s="4">
        <v>41.714285714285715</v>
      </c>
      <c r="M668" s="4">
        <v>0.55136986301369861</v>
      </c>
      <c r="N668" t="s">
        <v>25</v>
      </c>
      <c r="O668" t="str">
        <f t="shared" si="100"/>
        <v>Low</v>
      </c>
      <c r="P668" t="str">
        <f t="shared" si="101"/>
        <v>Low</v>
      </c>
      <c r="Q668" t="str">
        <f t="shared" si="102"/>
        <v>Low</v>
      </c>
      <c r="R668" t="s">
        <v>3317</v>
      </c>
      <c r="S668" s="4">
        <f t="shared" ca="1" si="103"/>
        <v>1014</v>
      </c>
      <c r="T668">
        <f t="shared" si="104"/>
        <v>1</v>
      </c>
      <c r="U668">
        <f t="shared" si="105"/>
        <v>1</v>
      </c>
      <c r="V668">
        <f t="shared" si="106"/>
        <v>1</v>
      </c>
      <c r="W668">
        <f t="shared" si="107"/>
        <v>1</v>
      </c>
      <c r="X668">
        <f t="shared" si="108"/>
        <v>0.99999999999999989</v>
      </c>
      <c r="Y668" t="str">
        <f t="shared" si="109"/>
        <v>Healthy</v>
      </c>
    </row>
    <row r="669" spans="1:25" x14ac:dyDescent="0.35">
      <c r="A669" t="s">
        <v>71</v>
      </c>
      <c r="B669" t="s">
        <v>72</v>
      </c>
      <c r="C669" t="s">
        <v>386</v>
      </c>
      <c r="D669" t="s">
        <v>601</v>
      </c>
      <c r="E669">
        <v>83907886</v>
      </c>
      <c r="F669" t="s">
        <v>602</v>
      </c>
      <c r="G669" s="3">
        <v>47259</v>
      </c>
      <c r="H669">
        <v>36</v>
      </c>
      <c r="I669">
        <v>99</v>
      </c>
      <c r="J669">
        <v>168</v>
      </c>
      <c r="K669" s="4">
        <v>50263.92</v>
      </c>
      <c r="L669" s="4">
        <v>647.57142857142856</v>
      </c>
      <c r="M669" s="4">
        <v>0.25943084050297816</v>
      </c>
      <c r="N669" t="s">
        <v>25</v>
      </c>
      <c r="O669" t="str">
        <f t="shared" si="100"/>
        <v>Low</v>
      </c>
      <c r="P669" t="str">
        <f t="shared" si="101"/>
        <v>Low</v>
      </c>
      <c r="Q669" t="str">
        <f t="shared" si="102"/>
        <v>Low</v>
      </c>
      <c r="R669" t="s">
        <v>3317</v>
      </c>
      <c r="S669" s="4">
        <f t="shared" ca="1" si="103"/>
        <v>1062</v>
      </c>
      <c r="T669">
        <f t="shared" si="104"/>
        <v>1</v>
      </c>
      <c r="U669">
        <f t="shared" si="105"/>
        <v>1</v>
      </c>
      <c r="V669">
        <f t="shared" si="106"/>
        <v>1</v>
      </c>
      <c r="W669">
        <f t="shared" si="107"/>
        <v>1</v>
      </c>
      <c r="X669">
        <f t="shared" si="108"/>
        <v>0.99999999999999989</v>
      </c>
      <c r="Y669" t="str">
        <f t="shared" si="109"/>
        <v>Healthy</v>
      </c>
    </row>
    <row r="670" spans="1:25" x14ac:dyDescent="0.35">
      <c r="A670" t="s">
        <v>41</v>
      </c>
      <c r="B670" t="s">
        <v>42</v>
      </c>
      <c r="C670" t="s">
        <v>365</v>
      </c>
      <c r="D670" t="s">
        <v>398</v>
      </c>
      <c r="E670">
        <v>83924082</v>
      </c>
      <c r="F670" t="s">
        <v>604</v>
      </c>
      <c r="G670" s="3">
        <v>47217</v>
      </c>
      <c r="H670">
        <v>36</v>
      </c>
      <c r="I670">
        <v>95</v>
      </c>
      <c r="J670">
        <v>40</v>
      </c>
      <c r="K670" s="4">
        <v>46910.400000000001</v>
      </c>
      <c r="L670" s="4">
        <v>49.142857142857146</v>
      </c>
      <c r="M670" s="4">
        <v>0.81395348837209303</v>
      </c>
      <c r="N670" t="s">
        <v>25</v>
      </c>
      <c r="O670" t="str">
        <f t="shared" si="100"/>
        <v>Low</v>
      </c>
      <c r="P670" t="str">
        <f t="shared" si="101"/>
        <v>Low</v>
      </c>
      <c r="Q670" t="str">
        <f t="shared" si="102"/>
        <v>Low</v>
      </c>
      <c r="R670" t="s">
        <v>3317</v>
      </c>
      <c r="S670" s="4">
        <f t="shared" ca="1" si="103"/>
        <v>1020</v>
      </c>
      <c r="T670">
        <f t="shared" si="104"/>
        <v>1</v>
      </c>
      <c r="U670">
        <f t="shared" si="105"/>
        <v>1</v>
      </c>
      <c r="V670">
        <f t="shared" si="106"/>
        <v>1</v>
      </c>
      <c r="W670">
        <f t="shared" si="107"/>
        <v>1</v>
      </c>
      <c r="X670">
        <f t="shared" si="108"/>
        <v>0.99999999999999989</v>
      </c>
      <c r="Y670" t="str">
        <f t="shared" si="109"/>
        <v>Healthy</v>
      </c>
    </row>
    <row r="671" spans="1:25" x14ac:dyDescent="0.35">
      <c r="A671" t="s">
        <v>71</v>
      </c>
      <c r="B671" t="s">
        <v>72</v>
      </c>
      <c r="C671" t="s">
        <v>386</v>
      </c>
      <c r="D671" t="s">
        <v>601</v>
      </c>
      <c r="E671">
        <v>83907886</v>
      </c>
      <c r="F671" t="s">
        <v>602</v>
      </c>
      <c r="G671" s="3">
        <v>47171</v>
      </c>
      <c r="H671">
        <v>36</v>
      </c>
      <c r="I671">
        <v>91</v>
      </c>
      <c r="J671">
        <v>21</v>
      </c>
      <c r="K671" s="4">
        <v>6282.99</v>
      </c>
      <c r="L671" s="4">
        <v>647.57142857142856</v>
      </c>
      <c r="M671" s="4">
        <v>3.2428855062872269E-2</v>
      </c>
      <c r="N671" t="s">
        <v>25</v>
      </c>
      <c r="O671" t="str">
        <f t="shared" si="100"/>
        <v>Low</v>
      </c>
      <c r="P671" t="str">
        <f t="shared" si="101"/>
        <v>Low</v>
      </c>
      <c r="Q671" t="str">
        <f t="shared" si="102"/>
        <v>Low</v>
      </c>
      <c r="R671" t="s">
        <v>3317</v>
      </c>
      <c r="S671" s="4">
        <f t="shared" ca="1" si="103"/>
        <v>974</v>
      </c>
      <c r="T671">
        <f t="shared" si="104"/>
        <v>1</v>
      </c>
      <c r="U671">
        <f t="shared" si="105"/>
        <v>1</v>
      </c>
      <c r="V671">
        <f t="shared" si="106"/>
        <v>1</v>
      </c>
      <c r="W671">
        <f t="shared" si="107"/>
        <v>1</v>
      </c>
      <c r="X671">
        <f t="shared" si="108"/>
        <v>0.99999999999999989</v>
      </c>
      <c r="Y671" t="str">
        <f t="shared" si="109"/>
        <v>Healthy</v>
      </c>
    </row>
    <row r="672" spans="1:25" x14ac:dyDescent="0.35">
      <c r="A672" t="s">
        <v>41</v>
      </c>
      <c r="B672" t="s">
        <v>54</v>
      </c>
      <c r="C672" t="s">
        <v>55</v>
      </c>
      <c r="D672" t="s">
        <v>605</v>
      </c>
      <c r="E672">
        <v>83924083</v>
      </c>
      <c r="F672" t="s">
        <v>606</v>
      </c>
      <c r="G672" s="3">
        <v>47243</v>
      </c>
      <c r="H672">
        <v>36</v>
      </c>
      <c r="I672">
        <v>97</v>
      </c>
      <c r="J672">
        <v>2</v>
      </c>
      <c r="K672" s="4">
        <v>1882.22</v>
      </c>
      <c r="L672" s="4">
        <v>225.42857142857142</v>
      </c>
      <c r="M672" s="4">
        <v>8.8719898605830166E-3</v>
      </c>
      <c r="N672" t="s">
        <v>25</v>
      </c>
      <c r="O672" t="str">
        <f t="shared" si="100"/>
        <v>Low</v>
      </c>
      <c r="P672" t="str">
        <f t="shared" si="101"/>
        <v>Low</v>
      </c>
      <c r="Q672" t="str">
        <f t="shared" si="102"/>
        <v>Low</v>
      </c>
      <c r="R672" t="s">
        <v>3317</v>
      </c>
      <c r="S672" s="4">
        <f t="shared" ca="1" si="103"/>
        <v>1046</v>
      </c>
      <c r="T672">
        <f t="shared" si="104"/>
        <v>1</v>
      </c>
      <c r="U672">
        <f t="shared" si="105"/>
        <v>1</v>
      </c>
      <c r="V672">
        <f t="shared" si="106"/>
        <v>1</v>
      </c>
      <c r="W672">
        <f t="shared" si="107"/>
        <v>1</v>
      </c>
      <c r="X672">
        <f t="shared" si="108"/>
        <v>0.99999999999999989</v>
      </c>
      <c r="Y672" t="str">
        <f t="shared" si="109"/>
        <v>Healthy</v>
      </c>
    </row>
    <row r="673" spans="1:25" x14ac:dyDescent="0.35">
      <c r="A673" t="s">
        <v>71</v>
      </c>
      <c r="B673" t="s">
        <v>72</v>
      </c>
      <c r="C673" t="s">
        <v>386</v>
      </c>
      <c r="D673" t="s">
        <v>601</v>
      </c>
      <c r="E673">
        <v>83907886</v>
      </c>
      <c r="F673" t="s">
        <v>602</v>
      </c>
      <c r="G673" s="3">
        <v>47225</v>
      </c>
      <c r="H673">
        <v>36</v>
      </c>
      <c r="I673">
        <v>96</v>
      </c>
      <c r="J673">
        <v>12</v>
      </c>
      <c r="K673" s="4">
        <v>3590.28</v>
      </c>
      <c r="L673" s="4">
        <v>647.57142857142856</v>
      </c>
      <c r="M673" s="4">
        <v>1.8530774321641297E-2</v>
      </c>
      <c r="N673" t="s">
        <v>25</v>
      </c>
      <c r="O673" t="str">
        <f t="shared" si="100"/>
        <v>Low</v>
      </c>
      <c r="P673" t="str">
        <f t="shared" si="101"/>
        <v>Low</v>
      </c>
      <c r="Q673" t="str">
        <f t="shared" si="102"/>
        <v>Low</v>
      </c>
      <c r="R673" t="s">
        <v>3317</v>
      </c>
      <c r="S673" s="4">
        <f t="shared" ca="1" si="103"/>
        <v>1028</v>
      </c>
      <c r="T673">
        <f t="shared" si="104"/>
        <v>1</v>
      </c>
      <c r="U673">
        <f t="shared" si="105"/>
        <v>1</v>
      </c>
      <c r="V673">
        <f t="shared" si="106"/>
        <v>1</v>
      </c>
      <c r="W673">
        <f t="shared" si="107"/>
        <v>1</v>
      </c>
      <c r="X673">
        <f t="shared" si="108"/>
        <v>0.99999999999999989</v>
      </c>
      <c r="Y673" t="str">
        <f t="shared" si="109"/>
        <v>Healthy</v>
      </c>
    </row>
    <row r="674" spans="1:25" x14ac:dyDescent="0.35">
      <c r="A674" t="s">
        <v>41</v>
      </c>
      <c r="B674" t="s">
        <v>54</v>
      </c>
      <c r="C674" t="s">
        <v>55</v>
      </c>
      <c r="D674" t="s">
        <v>605</v>
      </c>
      <c r="E674">
        <v>83924083</v>
      </c>
      <c r="F674" t="s">
        <v>606</v>
      </c>
      <c r="G674" s="3">
        <v>47261</v>
      </c>
      <c r="H674">
        <v>36</v>
      </c>
      <c r="I674">
        <v>99</v>
      </c>
      <c r="J674">
        <v>5</v>
      </c>
      <c r="K674" s="4">
        <v>4705.55</v>
      </c>
      <c r="L674" s="4">
        <v>225.42857142857142</v>
      </c>
      <c r="M674" s="4">
        <v>2.2179974651457542E-2</v>
      </c>
      <c r="N674" t="s">
        <v>25</v>
      </c>
      <c r="O674" t="str">
        <f t="shared" si="100"/>
        <v>Low</v>
      </c>
      <c r="P674" t="str">
        <f t="shared" si="101"/>
        <v>Low</v>
      </c>
      <c r="Q674" t="str">
        <f t="shared" si="102"/>
        <v>Low</v>
      </c>
      <c r="R674" t="s">
        <v>3317</v>
      </c>
      <c r="S674" s="4">
        <f t="shared" ca="1" si="103"/>
        <v>1064</v>
      </c>
      <c r="T674">
        <f t="shared" si="104"/>
        <v>1</v>
      </c>
      <c r="U674">
        <f t="shared" si="105"/>
        <v>1</v>
      </c>
      <c r="V674">
        <f t="shared" si="106"/>
        <v>1</v>
      </c>
      <c r="W674">
        <f t="shared" si="107"/>
        <v>1</v>
      </c>
      <c r="X674">
        <f t="shared" si="108"/>
        <v>0.99999999999999989</v>
      </c>
      <c r="Y674" t="str">
        <f t="shared" si="109"/>
        <v>Healthy</v>
      </c>
    </row>
    <row r="675" spans="1:25" x14ac:dyDescent="0.35">
      <c r="A675" t="s">
        <v>71</v>
      </c>
      <c r="B675" t="s">
        <v>72</v>
      </c>
      <c r="C675" t="s">
        <v>386</v>
      </c>
      <c r="D675" t="s">
        <v>601</v>
      </c>
      <c r="E675">
        <v>83907886</v>
      </c>
      <c r="F675" t="s">
        <v>602</v>
      </c>
      <c r="G675" s="3">
        <v>47209</v>
      </c>
      <c r="H675">
        <v>36</v>
      </c>
      <c r="I675">
        <v>94</v>
      </c>
      <c r="J675">
        <v>11</v>
      </c>
      <c r="K675" s="4">
        <v>3291.09</v>
      </c>
      <c r="L675" s="4">
        <v>647.57142857142856</v>
      </c>
      <c r="M675" s="4">
        <v>1.6986543128171189E-2</v>
      </c>
      <c r="N675" t="s">
        <v>25</v>
      </c>
      <c r="O675" t="str">
        <f t="shared" si="100"/>
        <v>Low</v>
      </c>
      <c r="P675" t="str">
        <f t="shared" si="101"/>
        <v>Low</v>
      </c>
      <c r="Q675" t="str">
        <f t="shared" si="102"/>
        <v>Low</v>
      </c>
      <c r="R675" t="s">
        <v>3317</v>
      </c>
      <c r="S675" s="4">
        <f t="shared" ca="1" si="103"/>
        <v>1012</v>
      </c>
      <c r="T675">
        <f t="shared" si="104"/>
        <v>1</v>
      </c>
      <c r="U675">
        <f t="shared" si="105"/>
        <v>1</v>
      </c>
      <c r="V675">
        <f t="shared" si="106"/>
        <v>1</v>
      </c>
      <c r="W675">
        <f t="shared" si="107"/>
        <v>1</v>
      </c>
      <c r="X675">
        <f t="shared" si="108"/>
        <v>0.99999999999999989</v>
      </c>
      <c r="Y675" t="str">
        <f t="shared" si="109"/>
        <v>Healthy</v>
      </c>
    </row>
    <row r="676" spans="1:25" x14ac:dyDescent="0.35">
      <c r="A676" t="s">
        <v>41</v>
      </c>
      <c r="B676" t="s">
        <v>54</v>
      </c>
      <c r="C676" t="s">
        <v>55</v>
      </c>
      <c r="D676" t="s">
        <v>605</v>
      </c>
      <c r="E676">
        <v>83924083</v>
      </c>
      <c r="F676" t="s">
        <v>606</v>
      </c>
      <c r="G676" s="3">
        <v>47261</v>
      </c>
      <c r="H676">
        <v>36</v>
      </c>
      <c r="I676">
        <v>99</v>
      </c>
      <c r="J676">
        <v>288</v>
      </c>
      <c r="K676" s="4">
        <v>271039.68</v>
      </c>
      <c r="L676" s="4">
        <v>225.42857142857142</v>
      </c>
      <c r="M676" s="4">
        <v>1.2775665399239544</v>
      </c>
      <c r="N676" t="s">
        <v>25</v>
      </c>
      <c r="O676" t="str">
        <f t="shared" si="100"/>
        <v>Low</v>
      </c>
      <c r="P676" t="str">
        <f t="shared" si="101"/>
        <v>Low</v>
      </c>
      <c r="Q676" t="str">
        <f t="shared" si="102"/>
        <v>Low</v>
      </c>
      <c r="R676" t="s">
        <v>3309</v>
      </c>
      <c r="S676" s="4">
        <f t="shared" ca="1" si="103"/>
        <v>1064</v>
      </c>
      <c r="T676">
        <f t="shared" si="104"/>
        <v>1</v>
      </c>
      <c r="U676">
        <f t="shared" si="105"/>
        <v>1</v>
      </c>
      <c r="V676">
        <f t="shared" si="106"/>
        <v>1</v>
      </c>
      <c r="W676">
        <f t="shared" si="107"/>
        <v>3</v>
      </c>
      <c r="X676">
        <f t="shared" si="108"/>
        <v>1.2</v>
      </c>
      <c r="Y676" t="str">
        <f t="shared" si="109"/>
        <v>Healthy</v>
      </c>
    </row>
    <row r="677" spans="1:25" x14ac:dyDescent="0.35">
      <c r="A677" t="s">
        <v>71</v>
      </c>
      <c r="B677" t="s">
        <v>72</v>
      </c>
      <c r="C677" t="s">
        <v>386</v>
      </c>
      <c r="D677" t="s">
        <v>601</v>
      </c>
      <c r="E677">
        <v>83907886</v>
      </c>
      <c r="F677" t="s">
        <v>602</v>
      </c>
      <c r="G677" s="3">
        <v>47211</v>
      </c>
      <c r="H677">
        <v>36</v>
      </c>
      <c r="I677">
        <v>94</v>
      </c>
      <c r="J677">
        <v>23</v>
      </c>
      <c r="K677" s="4">
        <v>6881.37</v>
      </c>
      <c r="L677" s="4">
        <v>647.57142857142856</v>
      </c>
      <c r="M677" s="4">
        <v>3.5517317449812486E-2</v>
      </c>
      <c r="N677" t="s">
        <v>25</v>
      </c>
      <c r="O677" t="str">
        <f t="shared" si="100"/>
        <v>Low</v>
      </c>
      <c r="P677" t="str">
        <f t="shared" si="101"/>
        <v>Low</v>
      </c>
      <c r="Q677" t="str">
        <f t="shared" si="102"/>
        <v>Low</v>
      </c>
      <c r="R677" t="s">
        <v>3317</v>
      </c>
      <c r="S677" s="4">
        <f t="shared" ca="1" si="103"/>
        <v>1014</v>
      </c>
      <c r="T677">
        <f t="shared" si="104"/>
        <v>1</v>
      </c>
      <c r="U677">
        <f t="shared" si="105"/>
        <v>1</v>
      </c>
      <c r="V677">
        <f t="shared" si="106"/>
        <v>1</v>
      </c>
      <c r="W677">
        <f t="shared" si="107"/>
        <v>1</v>
      </c>
      <c r="X677">
        <f t="shared" si="108"/>
        <v>0.99999999999999989</v>
      </c>
      <c r="Y677" t="str">
        <f t="shared" si="109"/>
        <v>Healthy</v>
      </c>
    </row>
    <row r="678" spans="1:25" x14ac:dyDescent="0.35">
      <c r="A678" t="s">
        <v>41</v>
      </c>
      <c r="B678" t="s">
        <v>54</v>
      </c>
      <c r="C678" t="s">
        <v>87</v>
      </c>
      <c r="D678" t="s">
        <v>351</v>
      </c>
      <c r="E678">
        <v>83924084</v>
      </c>
      <c r="F678" t="s">
        <v>607</v>
      </c>
      <c r="G678" s="3">
        <v>47242</v>
      </c>
      <c r="H678">
        <v>36</v>
      </c>
      <c r="I678">
        <v>97</v>
      </c>
      <c r="J678">
        <v>28</v>
      </c>
      <c r="K678" s="4">
        <v>12853.12</v>
      </c>
      <c r="L678" s="4">
        <f>0</f>
        <v>0</v>
      </c>
      <c r="M678" s="4">
        <f>999</f>
        <v>999</v>
      </c>
      <c r="N678" t="s">
        <v>19</v>
      </c>
      <c r="O678" t="str">
        <f t="shared" si="100"/>
        <v>Low</v>
      </c>
      <c r="P678" t="str">
        <f t="shared" si="101"/>
        <v>High</v>
      </c>
      <c r="Q678" t="str">
        <f t="shared" si="102"/>
        <v>High</v>
      </c>
      <c r="R678" t="s">
        <v>3317</v>
      </c>
      <c r="S678" s="4">
        <f t="shared" ca="1" si="103"/>
        <v>1045</v>
      </c>
      <c r="T678">
        <f t="shared" si="104"/>
        <v>1</v>
      </c>
      <c r="U678">
        <f t="shared" si="105"/>
        <v>3</v>
      </c>
      <c r="V678">
        <f t="shared" si="106"/>
        <v>3</v>
      </c>
      <c r="W678">
        <f t="shared" si="107"/>
        <v>1</v>
      </c>
      <c r="X678">
        <f t="shared" si="108"/>
        <v>2</v>
      </c>
      <c r="Y678" t="str">
        <f t="shared" si="109"/>
        <v>Monitor</v>
      </c>
    </row>
    <row r="679" spans="1:25" x14ac:dyDescent="0.35">
      <c r="A679" t="s">
        <v>71</v>
      </c>
      <c r="B679" t="s">
        <v>72</v>
      </c>
      <c r="C679" t="s">
        <v>386</v>
      </c>
      <c r="D679" t="s">
        <v>601</v>
      </c>
      <c r="E679">
        <v>83907886</v>
      </c>
      <c r="F679" t="s">
        <v>602</v>
      </c>
      <c r="G679" s="3">
        <v>47214</v>
      </c>
      <c r="H679">
        <v>36</v>
      </c>
      <c r="I679">
        <v>95</v>
      </c>
      <c r="J679">
        <v>27</v>
      </c>
      <c r="K679" s="4">
        <v>8078.13</v>
      </c>
      <c r="L679" s="4">
        <v>647.57142857142856</v>
      </c>
      <c r="M679" s="4">
        <v>4.1694242223692918E-2</v>
      </c>
      <c r="N679" t="s">
        <v>25</v>
      </c>
      <c r="O679" t="str">
        <f t="shared" si="100"/>
        <v>Low</v>
      </c>
      <c r="P679" t="str">
        <f t="shared" si="101"/>
        <v>Low</v>
      </c>
      <c r="Q679" t="str">
        <f t="shared" si="102"/>
        <v>Low</v>
      </c>
      <c r="R679" t="s">
        <v>3317</v>
      </c>
      <c r="S679" s="4">
        <f t="shared" ca="1" si="103"/>
        <v>1017</v>
      </c>
      <c r="T679">
        <f t="shared" si="104"/>
        <v>1</v>
      </c>
      <c r="U679">
        <f t="shared" si="105"/>
        <v>1</v>
      </c>
      <c r="V679">
        <f t="shared" si="106"/>
        <v>1</v>
      </c>
      <c r="W679">
        <f t="shared" si="107"/>
        <v>1</v>
      </c>
      <c r="X679">
        <f t="shared" si="108"/>
        <v>0.99999999999999989</v>
      </c>
      <c r="Y679" t="str">
        <f t="shared" si="109"/>
        <v>Healthy</v>
      </c>
    </row>
    <row r="680" spans="1:25" x14ac:dyDescent="0.35">
      <c r="A680" t="s">
        <v>41</v>
      </c>
      <c r="B680" t="s">
        <v>54</v>
      </c>
      <c r="C680" t="s">
        <v>55</v>
      </c>
      <c r="D680" t="s">
        <v>608</v>
      </c>
      <c r="E680">
        <v>83924078</v>
      </c>
      <c r="F680" t="s">
        <v>609</v>
      </c>
      <c r="G680" s="3">
        <v>47225</v>
      </c>
      <c r="H680">
        <v>36</v>
      </c>
      <c r="I680">
        <v>96</v>
      </c>
      <c r="J680">
        <v>30</v>
      </c>
      <c r="K680" s="4">
        <v>7797.9</v>
      </c>
      <c r="L680" s="4">
        <v>385.71428571428572</v>
      </c>
      <c r="M680" s="4">
        <v>7.7777777777777779E-2</v>
      </c>
      <c r="N680" t="s">
        <v>25</v>
      </c>
      <c r="O680" t="str">
        <f t="shared" si="100"/>
        <v>Low</v>
      </c>
      <c r="P680" t="str">
        <f t="shared" si="101"/>
        <v>Low</v>
      </c>
      <c r="Q680" t="str">
        <f t="shared" si="102"/>
        <v>Low</v>
      </c>
      <c r="R680" t="s">
        <v>3317</v>
      </c>
      <c r="S680" s="4">
        <f t="shared" ca="1" si="103"/>
        <v>1028</v>
      </c>
      <c r="T680">
        <f t="shared" si="104"/>
        <v>1</v>
      </c>
      <c r="U680">
        <f t="shared" si="105"/>
        <v>1</v>
      </c>
      <c r="V680">
        <f t="shared" si="106"/>
        <v>1</v>
      </c>
      <c r="W680">
        <f t="shared" si="107"/>
        <v>1</v>
      </c>
      <c r="X680">
        <f t="shared" si="108"/>
        <v>0.99999999999999989</v>
      </c>
      <c r="Y680" t="str">
        <f t="shared" si="109"/>
        <v>Healthy</v>
      </c>
    </row>
    <row r="681" spans="1:25" x14ac:dyDescent="0.35">
      <c r="A681" t="s">
        <v>71</v>
      </c>
      <c r="B681" t="s">
        <v>72</v>
      </c>
      <c r="C681" t="s">
        <v>386</v>
      </c>
      <c r="D681" t="s">
        <v>601</v>
      </c>
      <c r="E681">
        <v>83907886</v>
      </c>
      <c r="F681" t="s">
        <v>602</v>
      </c>
      <c r="G681" s="3">
        <v>47193</v>
      </c>
      <c r="H681">
        <v>36</v>
      </c>
      <c r="I681">
        <v>93</v>
      </c>
      <c r="J681">
        <v>29</v>
      </c>
      <c r="K681" s="4">
        <v>8676.51</v>
      </c>
      <c r="L681" s="4">
        <v>647.57142857142856</v>
      </c>
      <c r="M681" s="4">
        <v>4.4782704610633134E-2</v>
      </c>
      <c r="N681" t="s">
        <v>25</v>
      </c>
      <c r="O681" t="str">
        <f t="shared" si="100"/>
        <v>Low</v>
      </c>
      <c r="P681" t="str">
        <f t="shared" si="101"/>
        <v>Low</v>
      </c>
      <c r="Q681" t="str">
        <f t="shared" si="102"/>
        <v>Low</v>
      </c>
      <c r="R681" t="s">
        <v>3317</v>
      </c>
      <c r="S681" s="4">
        <f t="shared" ca="1" si="103"/>
        <v>996</v>
      </c>
      <c r="T681">
        <f t="shared" si="104"/>
        <v>1</v>
      </c>
      <c r="U681">
        <f t="shared" si="105"/>
        <v>1</v>
      </c>
      <c r="V681">
        <f t="shared" si="106"/>
        <v>1</v>
      </c>
      <c r="W681">
        <f t="shared" si="107"/>
        <v>1</v>
      </c>
      <c r="X681">
        <f t="shared" si="108"/>
        <v>0.99999999999999989</v>
      </c>
      <c r="Y681" t="str">
        <f t="shared" si="109"/>
        <v>Healthy</v>
      </c>
    </row>
    <row r="682" spans="1:25" x14ac:dyDescent="0.35">
      <c r="A682" t="s">
        <v>41</v>
      </c>
      <c r="B682" t="s">
        <v>54</v>
      </c>
      <c r="C682" t="s">
        <v>55</v>
      </c>
      <c r="D682" t="s">
        <v>610</v>
      </c>
      <c r="E682">
        <v>83924079</v>
      </c>
      <c r="F682" t="s">
        <v>611</v>
      </c>
      <c r="G682" s="3">
        <v>47223</v>
      </c>
      <c r="H682">
        <v>36</v>
      </c>
      <c r="I682">
        <v>95</v>
      </c>
      <c r="J682">
        <v>165</v>
      </c>
      <c r="K682" s="4">
        <v>31391.25</v>
      </c>
      <c r="L682" s="4">
        <v>16</v>
      </c>
      <c r="M682" s="4">
        <v>10.3125</v>
      </c>
      <c r="N682" t="s">
        <v>19</v>
      </c>
      <c r="O682" t="str">
        <f t="shared" si="100"/>
        <v>Low</v>
      </c>
      <c r="P682" t="str">
        <f t="shared" si="101"/>
        <v>High</v>
      </c>
      <c r="Q682" t="str">
        <f t="shared" si="102"/>
        <v>Low</v>
      </c>
      <c r="R682" t="s">
        <v>3317</v>
      </c>
      <c r="S682" s="4">
        <f t="shared" ca="1" si="103"/>
        <v>1026</v>
      </c>
      <c r="T682">
        <f t="shared" si="104"/>
        <v>1</v>
      </c>
      <c r="U682">
        <f t="shared" si="105"/>
        <v>3</v>
      </c>
      <c r="V682">
        <f t="shared" si="106"/>
        <v>1</v>
      </c>
      <c r="W682">
        <f t="shared" si="107"/>
        <v>1</v>
      </c>
      <c r="X682">
        <f t="shared" si="108"/>
        <v>1.5999999999999999</v>
      </c>
      <c r="Y682" t="str">
        <f t="shared" si="109"/>
        <v>Healthy</v>
      </c>
    </row>
    <row r="683" spans="1:25" x14ac:dyDescent="0.35">
      <c r="A683" t="s">
        <v>71</v>
      </c>
      <c r="B683" t="s">
        <v>72</v>
      </c>
      <c r="C683" t="s">
        <v>386</v>
      </c>
      <c r="D683" t="s">
        <v>601</v>
      </c>
      <c r="E683">
        <v>83907886</v>
      </c>
      <c r="F683" t="s">
        <v>602</v>
      </c>
      <c r="G683" s="3">
        <v>47183</v>
      </c>
      <c r="H683">
        <v>36</v>
      </c>
      <c r="I683">
        <v>92</v>
      </c>
      <c r="J683">
        <v>6</v>
      </c>
      <c r="K683" s="4">
        <v>1795.14</v>
      </c>
      <c r="L683" s="4">
        <v>647.57142857142856</v>
      </c>
      <c r="M683" s="4">
        <v>9.2653871608206484E-3</v>
      </c>
      <c r="N683" t="s">
        <v>25</v>
      </c>
      <c r="O683" t="str">
        <f t="shared" si="100"/>
        <v>Low</v>
      </c>
      <c r="P683" t="str">
        <f t="shared" si="101"/>
        <v>Low</v>
      </c>
      <c r="Q683" t="str">
        <f t="shared" si="102"/>
        <v>Low</v>
      </c>
      <c r="R683" t="s">
        <v>3317</v>
      </c>
      <c r="S683" s="4">
        <f t="shared" ca="1" si="103"/>
        <v>986</v>
      </c>
      <c r="T683">
        <f t="shared" si="104"/>
        <v>1</v>
      </c>
      <c r="U683">
        <f t="shared" si="105"/>
        <v>1</v>
      </c>
      <c r="V683">
        <f t="shared" si="106"/>
        <v>1</v>
      </c>
      <c r="W683">
        <f t="shared" si="107"/>
        <v>1</v>
      </c>
      <c r="X683">
        <f t="shared" si="108"/>
        <v>0.99999999999999989</v>
      </c>
      <c r="Y683" t="str">
        <f t="shared" si="109"/>
        <v>Healthy</v>
      </c>
    </row>
    <row r="684" spans="1:25" x14ac:dyDescent="0.35">
      <c r="A684" t="s">
        <v>71</v>
      </c>
      <c r="B684" t="s">
        <v>72</v>
      </c>
      <c r="C684" t="s">
        <v>386</v>
      </c>
      <c r="D684" t="s">
        <v>601</v>
      </c>
      <c r="E684">
        <v>83907886</v>
      </c>
      <c r="F684" t="s">
        <v>602</v>
      </c>
      <c r="G684" s="3">
        <v>47225</v>
      </c>
      <c r="H684">
        <v>36</v>
      </c>
      <c r="I684">
        <v>96</v>
      </c>
      <c r="J684">
        <v>10</v>
      </c>
      <c r="K684" s="4">
        <v>2991.9</v>
      </c>
      <c r="L684" s="4">
        <v>647.57142857142856</v>
      </c>
      <c r="M684" s="4">
        <v>1.5442311934701081E-2</v>
      </c>
      <c r="N684" t="s">
        <v>25</v>
      </c>
      <c r="O684" t="str">
        <f t="shared" si="100"/>
        <v>Low</v>
      </c>
      <c r="P684" t="str">
        <f t="shared" si="101"/>
        <v>Low</v>
      </c>
      <c r="Q684" t="str">
        <f t="shared" si="102"/>
        <v>Low</v>
      </c>
      <c r="R684" t="s">
        <v>3317</v>
      </c>
      <c r="S684" s="4">
        <f t="shared" ca="1" si="103"/>
        <v>1028</v>
      </c>
      <c r="T684">
        <f t="shared" si="104"/>
        <v>1</v>
      </c>
      <c r="U684">
        <f t="shared" si="105"/>
        <v>1</v>
      </c>
      <c r="V684">
        <f t="shared" si="106"/>
        <v>1</v>
      </c>
      <c r="W684">
        <f t="shared" si="107"/>
        <v>1</v>
      </c>
      <c r="X684">
        <f t="shared" si="108"/>
        <v>0.99999999999999989</v>
      </c>
      <c r="Y684" t="str">
        <f t="shared" si="109"/>
        <v>Healthy</v>
      </c>
    </row>
    <row r="685" spans="1:25" x14ac:dyDescent="0.35">
      <c r="A685" t="s">
        <v>71</v>
      </c>
      <c r="B685" t="s">
        <v>72</v>
      </c>
      <c r="C685" t="s">
        <v>386</v>
      </c>
      <c r="D685" t="s">
        <v>601</v>
      </c>
      <c r="E685">
        <v>83907886</v>
      </c>
      <c r="F685" t="s">
        <v>602</v>
      </c>
      <c r="G685" s="3">
        <v>47274</v>
      </c>
      <c r="H685">
        <v>36</v>
      </c>
      <c r="I685">
        <v>100</v>
      </c>
      <c r="J685">
        <v>463</v>
      </c>
      <c r="K685" s="4">
        <v>138524.97</v>
      </c>
      <c r="L685" s="4">
        <v>647.57142857142856</v>
      </c>
      <c r="M685" s="4">
        <v>0.71497904257666012</v>
      </c>
      <c r="N685" t="s">
        <v>25</v>
      </c>
      <c r="O685" t="str">
        <f t="shared" si="100"/>
        <v>Low</v>
      </c>
      <c r="P685" t="str">
        <f t="shared" si="101"/>
        <v>Low</v>
      </c>
      <c r="Q685" t="str">
        <f t="shared" si="102"/>
        <v>Low</v>
      </c>
      <c r="R685" t="s">
        <v>3309</v>
      </c>
      <c r="S685" s="4">
        <f t="shared" ca="1" si="103"/>
        <v>1077</v>
      </c>
      <c r="T685">
        <f t="shared" si="104"/>
        <v>1</v>
      </c>
      <c r="U685">
        <f t="shared" si="105"/>
        <v>1</v>
      </c>
      <c r="V685">
        <f t="shared" si="106"/>
        <v>1</v>
      </c>
      <c r="W685">
        <f t="shared" si="107"/>
        <v>3</v>
      </c>
      <c r="X685">
        <f t="shared" si="108"/>
        <v>1.2</v>
      </c>
      <c r="Y685" t="str">
        <f t="shared" si="109"/>
        <v>Healthy</v>
      </c>
    </row>
    <row r="686" spans="1:25" x14ac:dyDescent="0.35">
      <c r="A686" t="s">
        <v>71</v>
      </c>
      <c r="B686" t="s">
        <v>72</v>
      </c>
      <c r="C686" t="s">
        <v>386</v>
      </c>
      <c r="D686" t="s">
        <v>612</v>
      </c>
      <c r="E686">
        <v>83907887</v>
      </c>
      <c r="F686" t="s">
        <v>613</v>
      </c>
      <c r="G686" s="3">
        <v>47259</v>
      </c>
      <c r="H686">
        <v>36</v>
      </c>
      <c r="I686">
        <v>99</v>
      </c>
      <c r="J686">
        <v>31</v>
      </c>
      <c r="K686" s="4">
        <v>9646.89</v>
      </c>
      <c r="L686" s="4">
        <v>532.85714285714289</v>
      </c>
      <c r="M686" s="4">
        <v>5.8176943699731899E-2</v>
      </c>
      <c r="N686" t="s">
        <v>25</v>
      </c>
      <c r="O686" t="str">
        <f t="shared" si="100"/>
        <v>Low</v>
      </c>
      <c r="P686" t="str">
        <f t="shared" si="101"/>
        <v>Low</v>
      </c>
      <c r="Q686" t="str">
        <f t="shared" si="102"/>
        <v>Low</v>
      </c>
      <c r="R686" t="s">
        <v>3317</v>
      </c>
      <c r="S686" s="4">
        <f t="shared" ca="1" si="103"/>
        <v>1062</v>
      </c>
      <c r="T686">
        <f t="shared" si="104"/>
        <v>1</v>
      </c>
      <c r="U686">
        <f t="shared" si="105"/>
        <v>1</v>
      </c>
      <c r="V686">
        <f t="shared" si="106"/>
        <v>1</v>
      </c>
      <c r="W686">
        <f t="shared" si="107"/>
        <v>1</v>
      </c>
      <c r="X686">
        <f t="shared" si="108"/>
        <v>0.99999999999999989</v>
      </c>
      <c r="Y686" t="str">
        <f t="shared" si="109"/>
        <v>Healthy</v>
      </c>
    </row>
    <row r="687" spans="1:25" x14ac:dyDescent="0.35">
      <c r="A687" t="s">
        <v>71</v>
      </c>
      <c r="B687" t="s">
        <v>72</v>
      </c>
      <c r="C687" t="s">
        <v>386</v>
      </c>
      <c r="D687" t="s">
        <v>612</v>
      </c>
      <c r="E687">
        <v>83907887</v>
      </c>
      <c r="F687" t="s">
        <v>613</v>
      </c>
      <c r="G687" s="3">
        <v>47102</v>
      </c>
      <c r="H687">
        <v>36</v>
      </c>
      <c r="I687">
        <v>84</v>
      </c>
      <c r="J687">
        <v>5</v>
      </c>
      <c r="K687" s="4">
        <v>1555.95</v>
      </c>
      <c r="L687" s="4">
        <v>532.85714285714289</v>
      </c>
      <c r="M687" s="4">
        <v>9.3833780160857902E-3</v>
      </c>
      <c r="N687" t="s">
        <v>25</v>
      </c>
      <c r="O687" t="str">
        <f t="shared" si="100"/>
        <v>Low</v>
      </c>
      <c r="P687" t="str">
        <f t="shared" si="101"/>
        <v>Low</v>
      </c>
      <c r="Q687" t="str">
        <f t="shared" si="102"/>
        <v>Low</v>
      </c>
      <c r="R687" t="s">
        <v>3317</v>
      </c>
      <c r="S687" s="4">
        <f t="shared" ca="1" si="103"/>
        <v>905</v>
      </c>
      <c r="T687">
        <f t="shared" si="104"/>
        <v>1</v>
      </c>
      <c r="U687">
        <f t="shared" si="105"/>
        <v>1</v>
      </c>
      <c r="V687">
        <f t="shared" si="106"/>
        <v>1</v>
      </c>
      <c r="W687">
        <f t="shared" si="107"/>
        <v>1</v>
      </c>
      <c r="X687">
        <f t="shared" si="108"/>
        <v>0.99999999999999989</v>
      </c>
      <c r="Y687" t="str">
        <f t="shared" si="109"/>
        <v>Healthy</v>
      </c>
    </row>
    <row r="688" spans="1:25" x14ac:dyDescent="0.35">
      <c r="A688" t="s">
        <v>71</v>
      </c>
      <c r="B688" t="s">
        <v>72</v>
      </c>
      <c r="C688" t="s">
        <v>386</v>
      </c>
      <c r="D688" t="s">
        <v>612</v>
      </c>
      <c r="E688">
        <v>83907887</v>
      </c>
      <c r="F688" t="s">
        <v>613</v>
      </c>
      <c r="G688" s="3">
        <v>47246</v>
      </c>
      <c r="H688">
        <v>36</v>
      </c>
      <c r="I688">
        <v>98</v>
      </c>
      <c r="J688">
        <v>50</v>
      </c>
      <c r="K688" s="4">
        <v>15559.5</v>
      </c>
      <c r="L688" s="4">
        <v>532.85714285714289</v>
      </c>
      <c r="M688" s="4">
        <v>9.3833780160857902E-2</v>
      </c>
      <c r="N688" t="s">
        <v>25</v>
      </c>
      <c r="O688" t="str">
        <f t="shared" si="100"/>
        <v>Low</v>
      </c>
      <c r="P688" t="str">
        <f t="shared" si="101"/>
        <v>Low</v>
      </c>
      <c r="Q688" t="str">
        <f t="shared" si="102"/>
        <v>Low</v>
      </c>
      <c r="R688" t="s">
        <v>3317</v>
      </c>
      <c r="S688" s="4">
        <f t="shared" ca="1" si="103"/>
        <v>1049</v>
      </c>
      <c r="T688">
        <f t="shared" si="104"/>
        <v>1</v>
      </c>
      <c r="U688">
        <f t="shared" si="105"/>
        <v>1</v>
      </c>
      <c r="V688">
        <f t="shared" si="106"/>
        <v>1</v>
      </c>
      <c r="W688">
        <f t="shared" si="107"/>
        <v>1</v>
      </c>
      <c r="X688">
        <f t="shared" si="108"/>
        <v>0.99999999999999989</v>
      </c>
      <c r="Y688" t="str">
        <f t="shared" si="109"/>
        <v>Healthy</v>
      </c>
    </row>
    <row r="689" spans="1:25" x14ac:dyDescent="0.35">
      <c r="A689" t="s">
        <v>71</v>
      </c>
      <c r="B689" t="s">
        <v>72</v>
      </c>
      <c r="C689" t="s">
        <v>386</v>
      </c>
      <c r="D689" t="s">
        <v>612</v>
      </c>
      <c r="E689">
        <v>83907887</v>
      </c>
      <c r="F689" t="s">
        <v>613</v>
      </c>
      <c r="G689" s="3">
        <v>47271</v>
      </c>
      <c r="H689">
        <v>36</v>
      </c>
      <c r="I689">
        <v>100</v>
      </c>
      <c r="J689">
        <v>20</v>
      </c>
      <c r="K689" s="4">
        <v>6223.8</v>
      </c>
      <c r="L689" s="4">
        <v>532.85714285714289</v>
      </c>
      <c r="M689" s="4">
        <v>3.7533512064343161E-2</v>
      </c>
      <c r="N689" t="s">
        <v>25</v>
      </c>
      <c r="O689" t="str">
        <f t="shared" si="100"/>
        <v>Low</v>
      </c>
      <c r="P689" t="str">
        <f t="shared" si="101"/>
        <v>Low</v>
      </c>
      <c r="Q689" t="str">
        <f t="shared" si="102"/>
        <v>Low</v>
      </c>
      <c r="R689" t="s">
        <v>3317</v>
      </c>
      <c r="S689" s="4">
        <f t="shared" ca="1" si="103"/>
        <v>1074</v>
      </c>
      <c r="T689">
        <f t="shared" si="104"/>
        <v>1</v>
      </c>
      <c r="U689">
        <f t="shared" si="105"/>
        <v>1</v>
      </c>
      <c r="V689">
        <f t="shared" si="106"/>
        <v>1</v>
      </c>
      <c r="W689">
        <f t="shared" si="107"/>
        <v>1</v>
      </c>
      <c r="X689">
        <f t="shared" si="108"/>
        <v>0.99999999999999989</v>
      </c>
      <c r="Y689" t="str">
        <f t="shared" si="109"/>
        <v>Healthy</v>
      </c>
    </row>
    <row r="690" spans="1:25" x14ac:dyDescent="0.35">
      <c r="A690" t="s">
        <v>71</v>
      </c>
      <c r="B690" t="s">
        <v>72</v>
      </c>
      <c r="C690" t="s">
        <v>386</v>
      </c>
      <c r="D690" t="s">
        <v>612</v>
      </c>
      <c r="E690">
        <v>83907887</v>
      </c>
      <c r="F690" t="s">
        <v>613</v>
      </c>
      <c r="G690" s="3">
        <v>47201</v>
      </c>
      <c r="H690">
        <v>36</v>
      </c>
      <c r="I690">
        <v>93</v>
      </c>
      <c r="J690">
        <v>5</v>
      </c>
      <c r="K690" s="4">
        <v>1555.95</v>
      </c>
      <c r="L690" s="4">
        <v>532.85714285714289</v>
      </c>
      <c r="M690" s="4">
        <v>9.3833780160857902E-3</v>
      </c>
      <c r="N690" t="s">
        <v>25</v>
      </c>
      <c r="O690" t="str">
        <f t="shared" si="100"/>
        <v>Low</v>
      </c>
      <c r="P690" t="str">
        <f t="shared" si="101"/>
        <v>Low</v>
      </c>
      <c r="Q690" t="str">
        <f t="shared" si="102"/>
        <v>Low</v>
      </c>
      <c r="R690" t="s">
        <v>3317</v>
      </c>
      <c r="S690" s="4">
        <f t="shared" ca="1" si="103"/>
        <v>1004</v>
      </c>
      <c r="T690">
        <f t="shared" si="104"/>
        <v>1</v>
      </c>
      <c r="U690">
        <f t="shared" si="105"/>
        <v>1</v>
      </c>
      <c r="V690">
        <f t="shared" si="106"/>
        <v>1</v>
      </c>
      <c r="W690">
        <f t="shared" si="107"/>
        <v>1</v>
      </c>
      <c r="X690">
        <f t="shared" si="108"/>
        <v>0.99999999999999989</v>
      </c>
      <c r="Y690" t="str">
        <f t="shared" si="109"/>
        <v>Healthy</v>
      </c>
    </row>
    <row r="691" spans="1:25" x14ac:dyDescent="0.35">
      <c r="A691" t="s">
        <v>71</v>
      </c>
      <c r="B691" t="s">
        <v>72</v>
      </c>
      <c r="C691" t="s">
        <v>386</v>
      </c>
      <c r="D691" t="s">
        <v>614</v>
      </c>
      <c r="E691">
        <v>83907888</v>
      </c>
      <c r="F691" t="s">
        <v>615</v>
      </c>
      <c r="G691" s="3">
        <v>47253</v>
      </c>
      <c r="H691">
        <v>36</v>
      </c>
      <c r="I691">
        <v>98</v>
      </c>
      <c r="J691">
        <v>227</v>
      </c>
      <c r="K691" s="4">
        <v>70640.13</v>
      </c>
      <c r="L691" s="4">
        <v>444.85714285714283</v>
      </c>
      <c r="M691" s="4">
        <v>0.51027617212588317</v>
      </c>
      <c r="N691" t="s">
        <v>25</v>
      </c>
      <c r="O691" t="str">
        <f t="shared" si="100"/>
        <v>Low</v>
      </c>
      <c r="P691" t="str">
        <f t="shared" si="101"/>
        <v>Low</v>
      </c>
      <c r="Q691" t="str">
        <f t="shared" si="102"/>
        <v>Low</v>
      </c>
      <c r="R691" t="s">
        <v>3310</v>
      </c>
      <c r="S691" s="4">
        <f t="shared" ca="1" si="103"/>
        <v>1056</v>
      </c>
      <c r="T691">
        <f t="shared" si="104"/>
        <v>1</v>
      </c>
      <c r="U691">
        <f t="shared" si="105"/>
        <v>1</v>
      </c>
      <c r="V691">
        <f t="shared" si="106"/>
        <v>1</v>
      </c>
      <c r="W691">
        <f t="shared" si="107"/>
        <v>2</v>
      </c>
      <c r="X691">
        <f t="shared" si="108"/>
        <v>1.0999999999999999</v>
      </c>
      <c r="Y691" t="str">
        <f t="shared" si="109"/>
        <v>Healthy</v>
      </c>
    </row>
    <row r="692" spans="1:25" x14ac:dyDescent="0.35">
      <c r="A692" t="s">
        <v>71</v>
      </c>
      <c r="B692" t="s">
        <v>72</v>
      </c>
      <c r="C692" t="s">
        <v>386</v>
      </c>
      <c r="D692" t="s">
        <v>614</v>
      </c>
      <c r="E692">
        <v>83907888</v>
      </c>
      <c r="F692" t="s">
        <v>615</v>
      </c>
      <c r="G692" s="3">
        <v>47251</v>
      </c>
      <c r="H692">
        <v>36</v>
      </c>
      <c r="I692">
        <v>98</v>
      </c>
      <c r="J692">
        <v>12</v>
      </c>
      <c r="K692" s="4">
        <v>3734.28</v>
      </c>
      <c r="L692" s="4">
        <v>444.85714285714283</v>
      </c>
      <c r="M692" s="4">
        <v>2.6974951830443163E-2</v>
      </c>
      <c r="N692" t="s">
        <v>25</v>
      </c>
      <c r="O692" t="str">
        <f t="shared" si="100"/>
        <v>Low</v>
      </c>
      <c r="P692" t="str">
        <f t="shared" si="101"/>
        <v>Low</v>
      </c>
      <c r="Q692" t="str">
        <f t="shared" si="102"/>
        <v>Low</v>
      </c>
      <c r="R692" t="s">
        <v>3317</v>
      </c>
      <c r="S692" s="4">
        <f t="shared" ca="1" si="103"/>
        <v>1054</v>
      </c>
      <c r="T692">
        <f t="shared" si="104"/>
        <v>1</v>
      </c>
      <c r="U692">
        <f t="shared" si="105"/>
        <v>1</v>
      </c>
      <c r="V692">
        <f t="shared" si="106"/>
        <v>1</v>
      </c>
      <c r="W692">
        <f t="shared" si="107"/>
        <v>1</v>
      </c>
      <c r="X692">
        <f t="shared" si="108"/>
        <v>0.99999999999999989</v>
      </c>
      <c r="Y692" t="str">
        <f t="shared" si="109"/>
        <v>Healthy</v>
      </c>
    </row>
    <row r="693" spans="1:25" x14ac:dyDescent="0.35">
      <c r="A693" t="s">
        <v>71</v>
      </c>
      <c r="B693" t="s">
        <v>72</v>
      </c>
      <c r="C693" t="s">
        <v>386</v>
      </c>
      <c r="D693" t="s">
        <v>614</v>
      </c>
      <c r="E693">
        <v>83907888</v>
      </c>
      <c r="F693" t="s">
        <v>615</v>
      </c>
      <c r="G693" s="3">
        <v>47201</v>
      </c>
      <c r="H693">
        <v>36</v>
      </c>
      <c r="I693">
        <v>93</v>
      </c>
      <c r="J693">
        <v>13</v>
      </c>
      <c r="K693" s="4">
        <v>4045.47</v>
      </c>
      <c r="L693" s="4">
        <v>444.85714285714283</v>
      </c>
      <c r="M693" s="4">
        <v>2.9222864482980091E-2</v>
      </c>
      <c r="N693" t="s">
        <v>25</v>
      </c>
      <c r="O693" t="str">
        <f t="shared" si="100"/>
        <v>Low</v>
      </c>
      <c r="P693" t="str">
        <f t="shared" si="101"/>
        <v>Low</v>
      </c>
      <c r="Q693" t="str">
        <f t="shared" si="102"/>
        <v>Low</v>
      </c>
      <c r="R693" t="s">
        <v>3317</v>
      </c>
      <c r="S693" s="4">
        <f t="shared" ca="1" si="103"/>
        <v>1004</v>
      </c>
      <c r="T693">
        <f t="shared" si="104"/>
        <v>1</v>
      </c>
      <c r="U693">
        <f t="shared" si="105"/>
        <v>1</v>
      </c>
      <c r="V693">
        <f t="shared" si="106"/>
        <v>1</v>
      </c>
      <c r="W693">
        <f t="shared" si="107"/>
        <v>1</v>
      </c>
      <c r="X693">
        <f t="shared" si="108"/>
        <v>0.99999999999999989</v>
      </c>
      <c r="Y693" t="str">
        <f t="shared" si="109"/>
        <v>Healthy</v>
      </c>
    </row>
    <row r="694" spans="1:25" x14ac:dyDescent="0.35">
      <c r="A694" t="s">
        <v>179</v>
      </c>
      <c r="B694" t="s">
        <v>195</v>
      </c>
      <c r="C694" t="s">
        <v>422</v>
      </c>
      <c r="D694" t="s">
        <v>616</v>
      </c>
      <c r="E694">
        <v>83909995</v>
      </c>
      <c r="F694" t="s">
        <v>617</v>
      </c>
      <c r="G694" s="3">
        <v>46585</v>
      </c>
      <c r="H694">
        <v>16</v>
      </c>
      <c r="I694">
        <v>82</v>
      </c>
      <c r="J694">
        <v>10</v>
      </c>
      <c r="K694" s="4">
        <v>692.6</v>
      </c>
      <c r="L694" s="4">
        <v>19654</v>
      </c>
      <c r="M694" s="4">
        <v>5.0880227943421181E-4</v>
      </c>
      <c r="N694" t="s">
        <v>25</v>
      </c>
      <c r="O694" t="str">
        <f t="shared" si="100"/>
        <v>Low</v>
      </c>
      <c r="P694" t="str">
        <f t="shared" si="101"/>
        <v>Low</v>
      </c>
      <c r="Q694" t="str">
        <f t="shared" si="102"/>
        <v>Low</v>
      </c>
      <c r="R694" t="s">
        <v>3317</v>
      </c>
      <c r="S694" s="4">
        <f t="shared" ca="1" si="103"/>
        <v>388</v>
      </c>
      <c r="T694">
        <f t="shared" si="104"/>
        <v>1</v>
      </c>
      <c r="U694">
        <f t="shared" si="105"/>
        <v>1</v>
      </c>
      <c r="V694">
        <f t="shared" si="106"/>
        <v>1</v>
      </c>
      <c r="W694">
        <f t="shared" si="107"/>
        <v>1</v>
      </c>
      <c r="X694">
        <f t="shared" si="108"/>
        <v>0.99999999999999989</v>
      </c>
      <c r="Y694" t="str">
        <f t="shared" si="109"/>
        <v>Healthy</v>
      </c>
    </row>
    <row r="695" spans="1:25" x14ac:dyDescent="0.35">
      <c r="A695" t="s">
        <v>90</v>
      </c>
      <c r="B695" t="s">
        <v>217</v>
      </c>
      <c r="C695" t="s">
        <v>542</v>
      </c>
      <c r="D695" t="s">
        <v>618</v>
      </c>
      <c r="E695">
        <v>80845171</v>
      </c>
      <c r="F695" t="s">
        <v>619</v>
      </c>
      <c r="G695" s="3">
        <v>46840</v>
      </c>
      <c r="H695">
        <v>24</v>
      </c>
      <c r="I695">
        <v>90</v>
      </c>
      <c r="J695">
        <v>3670</v>
      </c>
      <c r="K695" s="4">
        <v>158690.79999999999</v>
      </c>
      <c r="L695" s="4">
        <v>42001.714285714283</v>
      </c>
      <c r="M695" s="4">
        <v>8.7377385957035772E-2</v>
      </c>
      <c r="N695" t="s">
        <v>25</v>
      </c>
      <c r="O695" t="str">
        <f t="shared" si="100"/>
        <v>Low</v>
      </c>
      <c r="P695" t="str">
        <f t="shared" si="101"/>
        <v>Low</v>
      </c>
      <c r="Q695" t="str">
        <f t="shared" si="102"/>
        <v>Low</v>
      </c>
      <c r="R695" t="s">
        <v>3309</v>
      </c>
      <c r="S695" s="4">
        <f t="shared" ca="1" si="103"/>
        <v>643</v>
      </c>
      <c r="T695">
        <f t="shared" si="104"/>
        <v>1</v>
      </c>
      <c r="U695">
        <f t="shared" si="105"/>
        <v>1</v>
      </c>
      <c r="V695">
        <f t="shared" si="106"/>
        <v>1</v>
      </c>
      <c r="W695">
        <f t="shared" si="107"/>
        <v>3</v>
      </c>
      <c r="X695">
        <f t="shared" si="108"/>
        <v>1.2</v>
      </c>
      <c r="Y695" t="str">
        <f t="shared" si="109"/>
        <v>Healthy</v>
      </c>
    </row>
    <row r="696" spans="1:25" x14ac:dyDescent="0.35">
      <c r="A696" t="s">
        <v>90</v>
      </c>
      <c r="B696" t="s">
        <v>217</v>
      </c>
      <c r="C696" t="s">
        <v>542</v>
      </c>
      <c r="D696" t="s">
        <v>618</v>
      </c>
      <c r="E696">
        <v>80845171</v>
      </c>
      <c r="F696" t="s">
        <v>619</v>
      </c>
      <c r="G696" s="3">
        <v>46838</v>
      </c>
      <c r="H696">
        <v>24</v>
      </c>
      <c r="I696">
        <v>90</v>
      </c>
      <c r="J696">
        <v>4059</v>
      </c>
      <c r="K696" s="4">
        <v>175511.16</v>
      </c>
      <c r="L696" s="4">
        <v>42001.714285714283</v>
      </c>
      <c r="M696" s="4">
        <v>9.6638912697440932E-2</v>
      </c>
      <c r="N696" t="s">
        <v>25</v>
      </c>
      <c r="O696" t="str">
        <f t="shared" si="100"/>
        <v>Low</v>
      </c>
      <c r="P696" t="str">
        <f t="shared" si="101"/>
        <v>Low</v>
      </c>
      <c r="Q696" t="str">
        <f t="shared" si="102"/>
        <v>Low</v>
      </c>
      <c r="R696" t="s">
        <v>3309</v>
      </c>
      <c r="S696" s="4">
        <f t="shared" ca="1" si="103"/>
        <v>641</v>
      </c>
      <c r="T696">
        <f t="shared" si="104"/>
        <v>1</v>
      </c>
      <c r="U696">
        <f t="shared" si="105"/>
        <v>1</v>
      </c>
      <c r="V696">
        <f t="shared" si="106"/>
        <v>1</v>
      </c>
      <c r="W696">
        <f t="shared" si="107"/>
        <v>3</v>
      </c>
      <c r="X696">
        <f t="shared" si="108"/>
        <v>1.2</v>
      </c>
      <c r="Y696" t="str">
        <f t="shared" si="109"/>
        <v>Healthy</v>
      </c>
    </row>
    <row r="697" spans="1:25" x14ac:dyDescent="0.35">
      <c r="A697" t="s">
        <v>90</v>
      </c>
      <c r="B697" t="s">
        <v>217</v>
      </c>
      <c r="C697" t="s">
        <v>542</v>
      </c>
      <c r="D697" t="s">
        <v>618</v>
      </c>
      <c r="E697">
        <v>80845171</v>
      </c>
      <c r="F697" t="s">
        <v>619</v>
      </c>
      <c r="G697" s="3">
        <v>46839</v>
      </c>
      <c r="H697">
        <v>24</v>
      </c>
      <c r="I697">
        <v>90</v>
      </c>
      <c r="J697">
        <v>448</v>
      </c>
      <c r="K697" s="4">
        <v>19371.52</v>
      </c>
      <c r="L697" s="4">
        <v>42001.714285714283</v>
      </c>
      <c r="M697" s="4">
        <v>1.0666231310286656E-2</v>
      </c>
      <c r="N697" t="s">
        <v>25</v>
      </c>
      <c r="O697" t="str">
        <f t="shared" si="100"/>
        <v>Low</v>
      </c>
      <c r="P697" t="str">
        <f t="shared" si="101"/>
        <v>Low</v>
      </c>
      <c r="Q697" t="str">
        <f t="shared" si="102"/>
        <v>Low</v>
      </c>
      <c r="R697" t="s">
        <v>3317</v>
      </c>
      <c r="S697" s="4">
        <f t="shared" ca="1" si="103"/>
        <v>642</v>
      </c>
      <c r="T697">
        <f t="shared" si="104"/>
        <v>1</v>
      </c>
      <c r="U697">
        <f t="shared" si="105"/>
        <v>1</v>
      </c>
      <c r="V697">
        <f t="shared" si="106"/>
        <v>1</v>
      </c>
      <c r="W697">
        <f t="shared" si="107"/>
        <v>1</v>
      </c>
      <c r="X697">
        <f t="shared" si="108"/>
        <v>0.99999999999999989</v>
      </c>
      <c r="Y697" t="str">
        <f t="shared" si="109"/>
        <v>Healthy</v>
      </c>
    </row>
    <row r="698" spans="1:25" x14ac:dyDescent="0.35">
      <c r="A698" t="s">
        <v>71</v>
      </c>
      <c r="B698" t="s">
        <v>72</v>
      </c>
      <c r="C698" t="s">
        <v>320</v>
      </c>
      <c r="D698" t="s">
        <v>620</v>
      </c>
      <c r="E698">
        <v>83918754</v>
      </c>
      <c r="F698" t="s">
        <v>621</v>
      </c>
      <c r="G698" s="3">
        <v>47271</v>
      </c>
      <c r="H698">
        <v>36</v>
      </c>
      <c r="I698">
        <v>100</v>
      </c>
      <c r="J698">
        <v>7872</v>
      </c>
      <c r="K698" s="4">
        <v>157440</v>
      </c>
      <c r="L698" s="4">
        <v>7515.4285714285716</v>
      </c>
      <c r="M698" s="4">
        <v>1.0474452554744524</v>
      </c>
      <c r="N698" t="s">
        <v>25</v>
      </c>
      <c r="O698" t="str">
        <f t="shared" si="100"/>
        <v>Low</v>
      </c>
      <c r="P698" t="str">
        <f t="shared" si="101"/>
        <v>Low</v>
      </c>
      <c r="Q698" t="str">
        <f t="shared" si="102"/>
        <v>Low</v>
      </c>
      <c r="R698" t="s">
        <v>3309</v>
      </c>
      <c r="S698" s="4">
        <f t="shared" ca="1" si="103"/>
        <v>1074</v>
      </c>
      <c r="T698">
        <f t="shared" si="104"/>
        <v>1</v>
      </c>
      <c r="U698">
        <f t="shared" si="105"/>
        <v>1</v>
      </c>
      <c r="V698">
        <f t="shared" si="106"/>
        <v>1</v>
      </c>
      <c r="W698">
        <f t="shared" si="107"/>
        <v>3</v>
      </c>
      <c r="X698">
        <f t="shared" si="108"/>
        <v>1.2</v>
      </c>
      <c r="Y698" t="str">
        <f t="shared" si="109"/>
        <v>Healthy</v>
      </c>
    </row>
    <row r="699" spans="1:25" x14ac:dyDescent="0.35">
      <c r="A699" t="s">
        <v>71</v>
      </c>
      <c r="B699" t="s">
        <v>72</v>
      </c>
      <c r="C699" t="s">
        <v>320</v>
      </c>
      <c r="D699" t="s">
        <v>620</v>
      </c>
      <c r="E699">
        <v>83918754</v>
      </c>
      <c r="F699" t="s">
        <v>621</v>
      </c>
      <c r="G699" s="3">
        <v>47270</v>
      </c>
      <c r="H699">
        <v>36</v>
      </c>
      <c r="I699">
        <v>100</v>
      </c>
      <c r="J699">
        <v>2304</v>
      </c>
      <c r="K699" s="4">
        <v>46080</v>
      </c>
      <c r="L699" s="4">
        <v>7515.4285714285716</v>
      </c>
      <c r="M699" s="4">
        <v>0.30656934306569344</v>
      </c>
      <c r="N699" t="s">
        <v>25</v>
      </c>
      <c r="O699" t="str">
        <f t="shared" si="100"/>
        <v>Low</v>
      </c>
      <c r="P699" t="str">
        <f t="shared" si="101"/>
        <v>Low</v>
      </c>
      <c r="Q699" t="str">
        <f t="shared" si="102"/>
        <v>Low</v>
      </c>
      <c r="R699" t="s">
        <v>3317</v>
      </c>
      <c r="S699" s="4">
        <f t="shared" ca="1" si="103"/>
        <v>1073</v>
      </c>
      <c r="T699">
        <f t="shared" si="104"/>
        <v>1</v>
      </c>
      <c r="U699">
        <f t="shared" si="105"/>
        <v>1</v>
      </c>
      <c r="V699">
        <f t="shared" si="106"/>
        <v>1</v>
      </c>
      <c r="W699">
        <f t="shared" si="107"/>
        <v>1</v>
      </c>
      <c r="X699">
        <f t="shared" si="108"/>
        <v>0.99999999999999989</v>
      </c>
      <c r="Y699" t="str">
        <f t="shared" si="109"/>
        <v>Healthy</v>
      </c>
    </row>
    <row r="700" spans="1:25" x14ac:dyDescent="0.35">
      <c r="A700" t="s">
        <v>71</v>
      </c>
      <c r="B700" t="s">
        <v>72</v>
      </c>
      <c r="C700" t="s">
        <v>320</v>
      </c>
      <c r="D700" t="s">
        <v>620</v>
      </c>
      <c r="E700">
        <v>83918754</v>
      </c>
      <c r="F700" t="s">
        <v>621</v>
      </c>
      <c r="G700" s="3">
        <v>47278</v>
      </c>
      <c r="H700">
        <v>36</v>
      </c>
      <c r="I700">
        <v>100</v>
      </c>
      <c r="J700">
        <v>46272</v>
      </c>
      <c r="K700" s="4">
        <v>925440</v>
      </c>
      <c r="L700" s="4">
        <v>7515.4285714285716</v>
      </c>
      <c r="M700" s="4">
        <v>6.1569343065693429</v>
      </c>
      <c r="N700" t="s">
        <v>19</v>
      </c>
      <c r="O700" t="str">
        <f t="shared" si="100"/>
        <v>Low</v>
      </c>
      <c r="P700" t="str">
        <f t="shared" si="101"/>
        <v>Medium</v>
      </c>
      <c r="Q700" t="str">
        <f t="shared" si="102"/>
        <v>Low</v>
      </c>
      <c r="R700" t="s">
        <v>3309</v>
      </c>
      <c r="S700" s="4">
        <f t="shared" ca="1" si="103"/>
        <v>1081</v>
      </c>
      <c r="T700">
        <f t="shared" si="104"/>
        <v>1</v>
      </c>
      <c r="U700">
        <f t="shared" si="105"/>
        <v>2</v>
      </c>
      <c r="V700">
        <f t="shared" si="106"/>
        <v>1</v>
      </c>
      <c r="W700">
        <f t="shared" si="107"/>
        <v>3</v>
      </c>
      <c r="X700">
        <f t="shared" si="108"/>
        <v>1.5</v>
      </c>
      <c r="Y700" t="str">
        <f t="shared" si="109"/>
        <v>Healthy</v>
      </c>
    </row>
    <row r="701" spans="1:25" x14ac:dyDescent="0.35">
      <c r="A701" t="s">
        <v>71</v>
      </c>
      <c r="B701" t="s">
        <v>72</v>
      </c>
      <c r="C701" t="s">
        <v>320</v>
      </c>
      <c r="D701" t="s">
        <v>620</v>
      </c>
      <c r="E701">
        <v>83918754</v>
      </c>
      <c r="F701" t="s">
        <v>621</v>
      </c>
      <c r="G701" s="3">
        <v>47269</v>
      </c>
      <c r="H701">
        <v>36</v>
      </c>
      <c r="I701">
        <v>100</v>
      </c>
      <c r="J701">
        <v>5999</v>
      </c>
      <c r="K701" s="4">
        <v>119980</v>
      </c>
      <c r="L701" s="4">
        <v>7515.4285714285716</v>
      </c>
      <c r="M701" s="4">
        <v>0.79822460462287104</v>
      </c>
      <c r="N701" t="s">
        <v>25</v>
      </c>
      <c r="O701" t="str">
        <f t="shared" si="100"/>
        <v>Low</v>
      </c>
      <c r="P701" t="str">
        <f t="shared" si="101"/>
        <v>Low</v>
      </c>
      <c r="Q701" t="str">
        <f t="shared" si="102"/>
        <v>Low</v>
      </c>
      <c r="R701" t="s">
        <v>3310</v>
      </c>
      <c r="S701" s="4">
        <f t="shared" ca="1" si="103"/>
        <v>1072</v>
      </c>
      <c r="T701">
        <f t="shared" si="104"/>
        <v>1</v>
      </c>
      <c r="U701">
        <f t="shared" si="105"/>
        <v>1</v>
      </c>
      <c r="V701">
        <f t="shared" si="106"/>
        <v>1</v>
      </c>
      <c r="W701">
        <f t="shared" si="107"/>
        <v>2</v>
      </c>
      <c r="X701">
        <f t="shared" si="108"/>
        <v>1.0999999999999999</v>
      </c>
      <c r="Y701" t="str">
        <f t="shared" si="109"/>
        <v>Healthy</v>
      </c>
    </row>
    <row r="702" spans="1:25" x14ac:dyDescent="0.35">
      <c r="A702" t="s">
        <v>90</v>
      </c>
      <c r="B702" t="s">
        <v>217</v>
      </c>
      <c r="C702" t="s">
        <v>533</v>
      </c>
      <c r="D702" t="s">
        <v>622</v>
      </c>
      <c r="E702">
        <v>83911780</v>
      </c>
      <c r="F702" t="s">
        <v>623</v>
      </c>
      <c r="G702" s="3">
        <v>46850</v>
      </c>
      <c r="H702">
        <v>24</v>
      </c>
      <c r="I702">
        <v>91</v>
      </c>
      <c r="J702">
        <v>6</v>
      </c>
      <c r="K702" s="4">
        <v>12609.66</v>
      </c>
      <c r="L702" s="4">
        <v>1206.7142857142858</v>
      </c>
      <c r="M702" s="4">
        <v>4.9721794720018935E-3</v>
      </c>
      <c r="N702" t="s">
        <v>25</v>
      </c>
      <c r="O702" t="str">
        <f t="shared" si="100"/>
        <v>Low</v>
      </c>
      <c r="P702" t="str">
        <f t="shared" si="101"/>
        <v>Low</v>
      </c>
      <c r="Q702" t="str">
        <f t="shared" si="102"/>
        <v>Low</v>
      </c>
      <c r="R702" t="s">
        <v>3317</v>
      </c>
      <c r="S702" s="4">
        <f t="shared" ca="1" si="103"/>
        <v>653</v>
      </c>
      <c r="T702">
        <f t="shared" si="104"/>
        <v>1</v>
      </c>
      <c r="U702">
        <f t="shared" si="105"/>
        <v>1</v>
      </c>
      <c r="V702">
        <f t="shared" si="106"/>
        <v>1</v>
      </c>
      <c r="W702">
        <f t="shared" si="107"/>
        <v>1</v>
      </c>
      <c r="X702">
        <f t="shared" si="108"/>
        <v>0.99999999999999989</v>
      </c>
      <c r="Y702" t="str">
        <f t="shared" si="109"/>
        <v>Healthy</v>
      </c>
    </row>
    <row r="703" spans="1:25" x14ac:dyDescent="0.35">
      <c r="A703" t="s">
        <v>71</v>
      </c>
      <c r="B703" t="s">
        <v>72</v>
      </c>
      <c r="C703" t="s">
        <v>320</v>
      </c>
      <c r="D703" t="s">
        <v>624</v>
      </c>
      <c r="E703">
        <v>83918755</v>
      </c>
      <c r="F703" t="s">
        <v>625</v>
      </c>
      <c r="G703" s="3">
        <v>47271</v>
      </c>
      <c r="H703">
        <v>36</v>
      </c>
      <c r="I703">
        <v>100</v>
      </c>
      <c r="J703">
        <v>1728</v>
      </c>
      <c r="K703" s="4">
        <v>27648</v>
      </c>
      <c r="L703" s="4">
        <v>164.57142857142858</v>
      </c>
      <c r="M703" s="4">
        <v>10.5</v>
      </c>
      <c r="N703" t="s">
        <v>19</v>
      </c>
      <c r="O703" t="str">
        <f t="shared" si="100"/>
        <v>Low</v>
      </c>
      <c r="P703" t="str">
        <f t="shared" si="101"/>
        <v>High</v>
      </c>
      <c r="Q703" t="str">
        <f t="shared" si="102"/>
        <v>Low</v>
      </c>
      <c r="R703" t="s">
        <v>3317</v>
      </c>
      <c r="S703" s="4">
        <f t="shared" ca="1" si="103"/>
        <v>1074</v>
      </c>
      <c r="T703">
        <f t="shared" si="104"/>
        <v>1</v>
      </c>
      <c r="U703">
        <f t="shared" si="105"/>
        <v>3</v>
      </c>
      <c r="V703">
        <f t="shared" si="106"/>
        <v>1</v>
      </c>
      <c r="W703">
        <f t="shared" si="107"/>
        <v>1</v>
      </c>
      <c r="X703">
        <f t="shared" si="108"/>
        <v>1.5999999999999999</v>
      </c>
      <c r="Y703" t="str">
        <f t="shared" si="109"/>
        <v>Healthy</v>
      </c>
    </row>
    <row r="704" spans="1:25" x14ac:dyDescent="0.35">
      <c r="A704" t="s">
        <v>90</v>
      </c>
      <c r="B704" t="s">
        <v>217</v>
      </c>
      <c r="C704" t="s">
        <v>533</v>
      </c>
      <c r="D704" t="s">
        <v>622</v>
      </c>
      <c r="E704">
        <v>83911780</v>
      </c>
      <c r="F704" t="s">
        <v>623</v>
      </c>
      <c r="G704" s="3">
        <v>46869</v>
      </c>
      <c r="H704">
        <v>24</v>
      </c>
      <c r="I704">
        <v>94</v>
      </c>
      <c r="J704">
        <v>47</v>
      </c>
      <c r="K704" s="4">
        <v>98775.67</v>
      </c>
      <c r="L704" s="4">
        <v>1206.7142857142858</v>
      </c>
      <c r="M704" s="4">
        <v>3.8948739197348169E-2</v>
      </c>
      <c r="N704" t="s">
        <v>25</v>
      </c>
      <c r="O704" t="str">
        <f t="shared" si="100"/>
        <v>Low</v>
      </c>
      <c r="P704" t="str">
        <f t="shared" si="101"/>
        <v>Low</v>
      </c>
      <c r="Q704" t="str">
        <f t="shared" si="102"/>
        <v>Low</v>
      </c>
      <c r="R704" t="s">
        <v>3310</v>
      </c>
      <c r="S704" s="4">
        <f t="shared" ca="1" si="103"/>
        <v>672</v>
      </c>
      <c r="T704">
        <f t="shared" si="104"/>
        <v>1</v>
      </c>
      <c r="U704">
        <f t="shared" si="105"/>
        <v>1</v>
      </c>
      <c r="V704">
        <f t="shared" si="106"/>
        <v>1</v>
      </c>
      <c r="W704">
        <f t="shared" si="107"/>
        <v>2</v>
      </c>
      <c r="X704">
        <f t="shared" si="108"/>
        <v>1.0999999999999999</v>
      </c>
      <c r="Y704" t="str">
        <f t="shared" si="109"/>
        <v>Healthy</v>
      </c>
    </row>
    <row r="705" spans="1:25" x14ac:dyDescent="0.35">
      <c r="A705" t="s">
        <v>71</v>
      </c>
      <c r="B705" t="s">
        <v>72</v>
      </c>
      <c r="C705" t="s">
        <v>320</v>
      </c>
      <c r="D705" t="s">
        <v>624</v>
      </c>
      <c r="E705">
        <v>83918755</v>
      </c>
      <c r="F705" t="s">
        <v>625</v>
      </c>
      <c r="G705" s="3">
        <v>47244</v>
      </c>
      <c r="H705">
        <v>36</v>
      </c>
      <c r="I705">
        <v>97</v>
      </c>
      <c r="J705">
        <v>768</v>
      </c>
      <c r="K705" s="4">
        <v>12288</v>
      </c>
      <c r="L705" s="4">
        <v>164.57142857142858</v>
      </c>
      <c r="M705" s="4">
        <v>4.6666666666666661</v>
      </c>
      <c r="N705" t="s">
        <v>25</v>
      </c>
      <c r="O705" t="str">
        <f t="shared" si="100"/>
        <v>Low</v>
      </c>
      <c r="P705" t="str">
        <f t="shared" si="101"/>
        <v>Medium</v>
      </c>
      <c r="Q705" t="str">
        <f t="shared" si="102"/>
        <v>Low</v>
      </c>
      <c r="R705" t="s">
        <v>3317</v>
      </c>
      <c r="S705" s="4">
        <f t="shared" ca="1" si="103"/>
        <v>1047</v>
      </c>
      <c r="T705">
        <f t="shared" si="104"/>
        <v>1</v>
      </c>
      <c r="U705">
        <f t="shared" si="105"/>
        <v>2</v>
      </c>
      <c r="V705">
        <f t="shared" si="106"/>
        <v>1</v>
      </c>
      <c r="W705">
        <f t="shared" si="107"/>
        <v>1</v>
      </c>
      <c r="X705">
        <f t="shared" si="108"/>
        <v>1.3</v>
      </c>
      <c r="Y705" t="str">
        <f t="shared" si="109"/>
        <v>Healthy</v>
      </c>
    </row>
    <row r="706" spans="1:25" x14ac:dyDescent="0.35">
      <c r="A706" t="s">
        <v>90</v>
      </c>
      <c r="B706" t="s">
        <v>217</v>
      </c>
      <c r="C706" t="s">
        <v>533</v>
      </c>
      <c r="D706" t="s">
        <v>622</v>
      </c>
      <c r="E706">
        <v>83911780</v>
      </c>
      <c r="F706" t="s">
        <v>623</v>
      </c>
      <c r="G706" s="3">
        <v>46852</v>
      </c>
      <c r="H706">
        <v>24</v>
      </c>
      <c r="I706">
        <v>92</v>
      </c>
      <c r="J706">
        <v>42</v>
      </c>
      <c r="K706" s="4">
        <v>88267.62</v>
      </c>
      <c r="L706" s="4">
        <v>1206.7142857142858</v>
      </c>
      <c r="M706" s="4">
        <v>3.4805256304013259E-2</v>
      </c>
      <c r="N706" t="s">
        <v>25</v>
      </c>
      <c r="O706" t="str">
        <f t="shared" si="100"/>
        <v>Low</v>
      </c>
      <c r="P706" t="str">
        <f t="shared" si="101"/>
        <v>Low</v>
      </c>
      <c r="Q706" t="str">
        <f t="shared" si="102"/>
        <v>Low</v>
      </c>
      <c r="R706" t="s">
        <v>3310</v>
      </c>
      <c r="S706" s="4">
        <f t="shared" ca="1" si="103"/>
        <v>655</v>
      </c>
      <c r="T706">
        <f t="shared" si="104"/>
        <v>1</v>
      </c>
      <c r="U706">
        <f t="shared" si="105"/>
        <v>1</v>
      </c>
      <c r="V706">
        <f t="shared" si="106"/>
        <v>1</v>
      </c>
      <c r="W706">
        <f t="shared" si="107"/>
        <v>2</v>
      </c>
      <c r="X706">
        <f t="shared" si="108"/>
        <v>1.0999999999999999</v>
      </c>
      <c r="Y706" t="str">
        <f t="shared" si="109"/>
        <v>Healthy</v>
      </c>
    </row>
    <row r="707" spans="1:25" x14ac:dyDescent="0.35">
      <c r="A707" t="s">
        <v>71</v>
      </c>
      <c r="B707" t="s">
        <v>72</v>
      </c>
      <c r="C707" t="s">
        <v>320</v>
      </c>
      <c r="D707" t="s">
        <v>624</v>
      </c>
      <c r="E707">
        <v>83918755</v>
      </c>
      <c r="F707" t="s">
        <v>625</v>
      </c>
      <c r="G707" s="3">
        <v>47237</v>
      </c>
      <c r="H707">
        <v>36</v>
      </c>
      <c r="I707">
        <v>97</v>
      </c>
      <c r="J707">
        <v>61840</v>
      </c>
      <c r="K707" s="4">
        <v>989440</v>
      </c>
      <c r="L707" s="4">
        <v>164.57142857142858</v>
      </c>
      <c r="M707" s="4">
        <v>375.76388888888886</v>
      </c>
      <c r="N707" t="s">
        <v>19</v>
      </c>
      <c r="O707" t="str">
        <f t="shared" ref="O707:O770" si="110">IF(I707&lt;20,"High",IF(I707&lt;40,"Medium","Low"))</f>
        <v>Low</v>
      </c>
      <c r="P707" t="str">
        <f t="shared" ref="P707:P770" si="111">IF(M707&gt;8,"High",IF(M707&gt;4,"Medium","Low"))</f>
        <v>High</v>
      </c>
      <c r="Q707" t="str">
        <f t="shared" ref="Q707:Q770" si="112">IF(L707&lt;5,"High",IF(L707&lt;15,"Medium","Low"))</f>
        <v>Low</v>
      </c>
      <c r="R707" t="s">
        <v>3309</v>
      </c>
      <c r="S707" s="4">
        <f t="shared" ref="S707:S770" ca="1" si="113">G707-TODAY()</f>
        <v>1040</v>
      </c>
      <c r="T707">
        <f t="shared" ref="T707:T770" si="114">IF(O707="High",3,IF(O707="Medium",2,1))</f>
        <v>1</v>
      </c>
      <c r="U707">
        <f t="shared" ref="U707:U770" si="115">IF(P707="High",3,IF(P707="Medium",2,1))</f>
        <v>3</v>
      </c>
      <c r="V707">
        <f t="shared" ref="V707:V770" si="116">IF(Q707="High",3,IF(Q707="Medium",2,1))</f>
        <v>1</v>
      </c>
      <c r="W707">
        <f t="shared" ref="W707:W770" si="117">IF(R707="High",3,IF(R707="Medium",2,1))</f>
        <v>3</v>
      </c>
      <c r="X707">
        <f t="shared" ref="X707:X770" si="118">(0.4*T707)+(0.3*U707)+(0.2*V707)+(0.1*W707)</f>
        <v>1.7999999999999998</v>
      </c>
      <c r="Y707" t="str">
        <f t="shared" ref="Y707:Y770" si="119">IF(X707&gt;=2.7,"Move Immediately",IF(X707&gt;=2.2,"High Priority",IF(X707&gt;=1.7,"Monitor","Healthy")))</f>
        <v>Monitor</v>
      </c>
    </row>
    <row r="708" spans="1:25" x14ac:dyDescent="0.35">
      <c r="A708" t="s">
        <v>90</v>
      </c>
      <c r="B708" t="s">
        <v>217</v>
      </c>
      <c r="C708" t="s">
        <v>533</v>
      </c>
      <c r="D708" t="s">
        <v>622</v>
      </c>
      <c r="E708">
        <v>83911780</v>
      </c>
      <c r="F708" t="s">
        <v>623</v>
      </c>
      <c r="G708" s="3">
        <v>46875</v>
      </c>
      <c r="H708">
        <v>24</v>
      </c>
      <c r="I708">
        <v>95</v>
      </c>
      <c r="J708">
        <v>44</v>
      </c>
      <c r="K708" s="4">
        <v>92470.84</v>
      </c>
      <c r="L708" s="4">
        <v>1206.7142857142858</v>
      </c>
      <c r="M708" s="4">
        <v>3.6462649461347224E-2</v>
      </c>
      <c r="N708" t="s">
        <v>25</v>
      </c>
      <c r="O708" t="str">
        <f t="shared" si="110"/>
        <v>Low</v>
      </c>
      <c r="P708" t="str">
        <f t="shared" si="111"/>
        <v>Low</v>
      </c>
      <c r="Q708" t="str">
        <f t="shared" si="112"/>
        <v>Low</v>
      </c>
      <c r="R708" t="s">
        <v>3310</v>
      </c>
      <c r="S708" s="4">
        <f t="shared" ca="1" si="113"/>
        <v>678</v>
      </c>
      <c r="T708">
        <f t="shared" si="114"/>
        <v>1</v>
      </c>
      <c r="U708">
        <f t="shared" si="115"/>
        <v>1</v>
      </c>
      <c r="V708">
        <f t="shared" si="116"/>
        <v>1</v>
      </c>
      <c r="W708">
        <f t="shared" si="117"/>
        <v>2</v>
      </c>
      <c r="X708">
        <f t="shared" si="118"/>
        <v>1.0999999999999999</v>
      </c>
      <c r="Y708" t="str">
        <f t="shared" si="119"/>
        <v>Healthy</v>
      </c>
    </row>
    <row r="709" spans="1:25" x14ac:dyDescent="0.35">
      <c r="A709" t="s">
        <v>71</v>
      </c>
      <c r="B709" t="s">
        <v>72</v>
      </c>
      <c r="C709" t="s">
        <v>320</v>
      </c>
      <c r="D709" t="s">
        <v>624</v>
      </c>
      <c r="E709">
        <v>83918755</v>
      </c>
      <c r="F709" t="s">
        <v>625</v>
      </c>
      <c r="G709" s="3">
        <v>47241</v>
      </c>
      <c r="H709">
        <v>36</v>
      </c>
      <c r="I709">
        <v>97</v>
      </c>
      <c r="J709">
        <v>5184</v>
      </c>
      <c r="K709" s="4">
        <v>82944</v>
      </c>
      <c r="L709" s="4">
        <v>164.57142857142858</v>
      </c>
      <c r="M709" s="4">
        <v>31.499999999999996</v>
      </c>
      <c r="N709" t="s">
        <v>19</v>
      </c>
      <c r="O709" t="str">
        <f t="shared" si="110"/>
        <v>Low</v>
      </c>
      <c r="P709" t="str">
        <f t="shared" si="111"/>
        <v>High</v>
      </c>
      <c r="Q709" t="str">
        <f t="shared" si="112"/>
        <v>Low</v>
      </c>
      <c r="R709" t="s">
        <v>3310</v>
      </c>
      <c r="S709" s="4">
        <f t="shared" ca="1" si="113"/>
        <v>1044</v>
      </c>
      <c r="T709">
        <f t="shared" si="114"/>
        <v>1</v>
      </c>
      <c r="U709">
        <f t="shared" si="115"/>
        <v>3</v>
      </c>
      <c r="V709">
        <f t="shared" si="116"/>
        <v>1</v>
      </c>
      <c r="W709">
        <f t="shared" si="117"/>
        <v>2</v>
      </c>
      <c r="X709">
        <f t="shared" si="118"/>
        <v>1.6999999999999997</v>
      </c>
      <c r="Y709" t="str">
        <f t="shared" si="119"/>
        <v>Monitor</v>
      </c>
    </row>
    <row r="710" spans="1:25" x14ac:dyDescent="0.35">
      <c r="A710" t="s">
        <v>90</v>
      </c>
      <c r="B710" t="s">
        <v>217</v>
      </c>
      <c r="C710" t="s">
        <v>533</v>
      </c>
      <c r="D710" t="s">
        <v>622</v>
      </c>
      <c r="E710">
        <v>83911780</v>
      </c>
      <c r="F710" t="s">
        <v>623</v>
      </c>
      <c r="G710" s="3">
        <v>46864</v>
      </c>
      <c r="H710">
        <v>24</v>
      </c>
      <c r="I710">
        <v>93</v>
      </c>
      <c r="J710">
        <v>3</v>
      </c>
      <c r="K710" s="4">
        <v>6304.83</v>
      </c>
      <c r="L710" s="4">
        <v>1206.7142857142858</v>
      </c>
      <c r="M710" s="4">
        <v>2.4860897360009467E-3</v>
      </c>
      <c r="N710" t="s">
        <v>25</v>
      </c>
      <c r="O710" t="str">
        <f t="shared" si="110"/>
        <v>Low</v>
      </c>
      <c r="P710" t="str">
        <f t="shared" si="111"/>
        <v>Low</v>
      </c>
      <c r="Q710" t="str">
        <f t="shared" si="112"/>
        <v>Low</v>
      </c>
      <c r="R710" t="s">
        <v>3317</v>
      </c>
      <c r="S710" s="4">
        <f t="shared" ca="1" si="113"/>
        <v>667</v>
      </c>
      <c r="T710">
        <f t="shared" si="114"/>
        <v>1</v>
      </c>
      <c r="U710">
        <f t="shared" si="115"/>
        <v>1</v>
      </c>
      <c r="V710">
        <f t="shared" si="116"/>
        <v>1</v>
      </c>
      <c r="W710">
        <f t="shared" si="117"/>
        <v>1</v>
      </c>
      <c r="X710">
        <f t="shared" si="118"/>
        <v>0.99999999999999989</v>
      </c>
      <c r="Y710" t="str">
        <f t="shared" si="119"/>
        <v>Healthy</v>
      </c>
    </row>
    <row r="711" spans="1:25" x14ac:dyDescent="0.35">
      <c r="A711" t="s">
        <v>71</v>
      </c>
      <c r="B711" t="s">
        <v>72</v>
      </c>
      <c r="C711" t="s">
        <v>320</v>
      </c>
      <c r="D711" t="s">
        <v>626</v>
      </c>
      <c r="E711">
        <v>83918756</v>
      </c>
      <c r="F711" t="s">
        <v>627</v>
      </c>
      <c r="G711" s="3">
        <v>47229</v>
      </c>
      <c r="H711">
        <v>36</v>
      </c>
      <c r="I711">
        <v>96</v>
      </c>
      <c r="J711">
        <v>2925</v>
      </c>
      <c r="K711" s="4">
        <v>88920</v>
      </c>
      <c r="L711" s="4">
        <v>54.857142857142854</v>
      </c>
      <c r="M711" s="4">
        <v>53.3203125</v>
      </c>
      <c r="N711" t="s">
        <v>19</v>
      </c>
      <c r="O711" t="str">
        <f t="shared" si="110"/>
        <v>Low</v>
      </c>
      <c r="P711" t="str">
        <f t="shared" si="111"/>
        <v>High</v>
      </c>
      <c r="Q711" t="str">
        <f t="shared" si="112"/>
        <v>Low</v>
      </c>
      <c r="R711" t="s">
        <v>3310</v>
      </c>
      <c r="S711" s="4">
        <f t="shared" ca="1" si="113"/>
        <v>1032</v>
      </c>
      <c r="T711">
        <f t="shared" si="114"/>
        <v>1</v>
      </c>
      <c r="U711">
        <f t="shared" si="115"/>
        <v>3</v>
      </c>
      <c r="V711">
        <f t="shared" si="116"/>
        <v>1</v>
      </c>
      <c r="W711">
        <f t="shared" si="117"/>
        <v>2</v>
      </c>
      <c r="X711">
        <f t="shared" si="118"/>
        <v>1.6999999999999997</v>
      </c>
      <c r="Y711" t="str">
        <f t="shared" si="119"/>
        <v>Monitor</v>
      </c>
    </row>
    <row r="712" spans="1:25" x14ac:dyDescent="0.35">
      <c r="A712" t="s">
        <v>71</v>
      </c>
      <c r="B712" t="s">
        <v>72</v>
      </c>
      <c r="C712" t="s">
        <v>320</v>
      </c>
      <c r="D712" t="s">
        <v>626</v>
      </c>
      <c r="E712">
        <v>83918756</v>
      </c>
      <c r="F712" t="s">
        <v>627</v>
      </c>
      <c r="G712" s="3">
        <v>47250</v>
      </c>
      <c r="H712">
        <v>36</v>
      </c>
      <c r="I712">
        <v>98</v>
      </c>
      <c r="J712">
        <v>1</v>
      </c>
      <c r="K712" s="4">
        <v>30.4</v>
      </c>
      <c r="L712" s="4">
        <v>54.857142857142854</v>
      </c>
      <c r="M712" s="4">
        <v>1.8229166666666668E-2</v>
      </c>
      <c r="N712" t="s">
        <v>25</v>
      </c>
      <c r="O712" t="str">
        <f t="shared" si="110"/>
        <v>Low</v>
      </c>
      <c r="P712" t="str">
        <f t="shared" si="111"/>
        <v>Low</v>
      </c>
      <c r="Q712" t="str">
        <f t="shared" si="112"/>
        <v>Low</v>
      </c>
      <c r="R712" t="s">
        <v>3317</v>
      </c>
      <c r="S712" s="4">
        <f t="shared" ca="1" si="113"/>
        <v>1053</v>
      </c>
      <c r="T712">
        <f t="shared" si="114"/>
        <v>1</v>
      </c>
      <c r="U712">
        <f t="shared" si="115"/>
        <v>1</v>
      </c>
      <c r="V712">
        <f t="shared" si="116"/>
        <v>1</v>
      </c>
      <c r="W712">
        <f t="shared" si="117"/>
        <v>1</v>
      </c>
      <c r="X712">
        <f t="shared" si="118"/>
        <v>0.99999999999999989</v>
      </c>
      <c r="Y712" t="str">
        <f t="shared" si="119"/>
        <v>Healthy</v>
      </c>
    </row>
    <row r="713" spans="1:25" x14ac:dyDescent="0.35">
      <c r="A713" t="s">
        <v>90</v>
      </c>
      <c r="B713" t="s">
        <v>217</v>
      </c>
      <c r="C713" t="s">
        <v>533</v>
      </c>
      <c r="D713" t="s">
        <v>628</v>
      </c>
      <c r="E713">
        <v>83911783</v>
      </c>
      <c r="F713" t="s">
        <v>629</v>
      </c>
      <c r="G713" s="3">
        <v>46846</v>
      </c>
      <c r="H713">
        <v>24</v>
      </c>
      <c r="I713">
        <v>91</v>
      </c>
      <c r="J713">
        <v>120</v>
      </c>
      <c r="K713" s="4">
        <v>4670.3999999999996</v>
      </c>
      <c r="L713" s="4">
        <v>64859.857142857145</v>
      </c>
      <c r="M713" s="4">
        <v>1.8501428354319974E-3</v>
      </c>
      <c r="N713" t="s">
        <v>25</v>
      </c>
      <c r="O713" t="str">
        <f t="shared" si="110"/>
        <v>Low</v>
      </c>
      <c r="P713" t="str">
        <f t="shared" si="111"/>
        <v>Low</v>
      </c>
      <c r="Q713" t="str">
        <f t="shared" si="112"/>
        <v>Low</v>
      </c>
      <c r="R713" t="s">
        <v>3317</v>
      </c>
      <c r="S713" s="4">
        <f t="shared" ca="1" si="113"/>
        <v>649</v>
      </c>
      <c r="T713">
        <f t="shared" si="114"/>
        <v>1</v>
      </c>
      <c r="U713">
        <f t="shared" si="115"/>
        <v>1</v>
      </c>
      <c r="V713">
        <f t="shared" si="116"/>
        <v>1</v>
      </c>
      <c r="W713">
        <f t="shared" si="117"/>
        <v>1</v>
      </c>
      <c r="X713">
        <f t="shared" si="118"/>
        <v>0.99999999999999989</v>
      </c>
      <c r="Y713" t="str">
        <f t="shared" si="119"/>
        <v>Healthy</v>
      </c>
    </row>
    <row r="714" spans="1:25" x14ac:dyDescent="0.35">
      <c r="A714" t="s">
        <v>71</v>
      </c>
      <c r="B714" t="s">
        <v>72</v>
      </c>
      <c r="C714" t="s">
        <v>320</v>
      </c>
      <c r="D714" t="s">
        <v>626</v>
      </c>
      <c r="E714">
        <v>83918756</v>
      </c>
      <c r="F714" t="s">
        <v>627</v>
      </c>
      <c r="G714" s="3">
        <v>47251</v>
      </c>
      <c r="H714">
        <v>36</v>
      </c>
      <c r="I714">
        <v>98</v>
      </c>
      <c r="J714">
        <v>2496</v>
      </c>
      <c r="K714" s="4">
        <v>75878.399999999994</v>
      </c>
      <c r="L714" s="4">
        <v>54.857142857142854</v>
      </c>
      <c r="M714" s="4">
        <v>45.5</v>
      </c>
      <c r="N714" t="s">
        <v>19</v>
      </c>
      <c r="O714" t="str">
        <f t="shared" si="110"/>
        <v>Low</v>
      </c>
      <c r="P714" t="str">
        <f t="shared" si="111"/>
        <v>High</v>
      </c>
      <c r="Q714" t="str">
        <f t="shared" si="112"/>
        <v>Low</v>
      </c>
      <c r="R714" t="s">
        <v>3310</v>
      </c>
      <c r="S714" s="4">
        <f t="shared" ca="1" si="113"/>
        <v>1054</v>
      </c>
      <c r="T714">
        <f t="shared" si="114"/>
        <v>1</v>
      </c>
      <c r="U714">
        <f t="shared" si="115"/>
        <v>3</v>
      </c>
      <c r="V714">
        <f t="shared" si="116"/>
        <v>1</v>
      </c>
      <c r="W714">
        <f t="shared" si="117"/>
        <v>2</v>
      </c>
      <c r="X714">
        <f t="shared" si="118"/>
        <v>1.6999999999999997</v>
      </c>
      <c r="Y714" t="str">
        <f t="shared" si="119"/>
        <v>Monitor</v>
      </c>
    </row>
    <row r="715" spans="1:25" x14ac:dyDescent="0.35">
      <c r="A715" t="s">
        <v>71</v>
      </c>
      <c r="B715" t="s">
        <v>72</v>
      </c>
      <c r="C715" t="s">
        <v>320</v>
      </c>
      <c r="D715" t="s">
        <v>630</v>
      </c>
      <c r="E715">
        <v>83918757</v>
      </c>
      <c r="F715" t="s">
        <v>631</v>
      </c>
      <c r="G715" s="3">
        <v>47242</v>
      </c>
      <c r="H715">
        <v>36</v>
      </c>
      <c r="I715">
        <v>97</v>
      </c>
      <c r="J715">
        <v>4608</v>
      </c>
      <c r="K715" s="4">
        <v>117964.8</v>
      </c>
      <c r="L715" s="4">
        <f>0</f>
        <v>0</v>
      </c>
      <c r="M715" s="4">
        <f>999</f>
        <v>999</v>
      </c>
      <c r="N715" t="s">
        <v>19</v>
      </c>
      <c r="O715" t="str">
        <f t="shared" si="110"/>
        <v>Low</v>
      </c>
      <c r="P715" t="str">
        <f t="shared" si="111"/>
        <v>High</v>
      </c>
      <c r="Q715" t="str">
        <f t="shared" si="112"/>
        <v>High</v>
      </c>
      <c r="R715" t="s">
        <v>3310</v>
      </c>
      <c r="S715" s="4">
        <f t="shared" ca="1" si="113"/>
        <v>1045</v>
      </c>
      <c r="T715">
        <f t="shared" si="114"/>
        <v>1</v>
      </c>
      <c r="U715">
        <f t="shared" si="115"/>
        <v>3</v>
      </c>
      <c r="V715">
        <f t="shared" si="116"/>
        <v>3</v>
      </c>
      <c r="W715">
        <f t="shared" si="117"/>
        <v>2</v>
      </c>
      <c r="X715">
        <f t="shared" si="118"/>
        <v>2.1</v>
      </c>
      <c r="Y715" t="str">
        <f t="shared" si="119"/>
        <v>Monitor</v>
      </c>
    </row>
    <row r="716" spans="1:25" x14ac:dyDescent="0.35">
      <c r="A716" t="s">
        <v>71</v>
      </c>
      <c r="B716" t="s">
        <v>72</v>
      </c>
      <c r="C716" t="s">
        <v>320</v>
      </c>
      <c r="D716" t="s">
        <v>630</v>
      </c>
      <c r="E716">
        <v>83918757</v>
      </c>
      <c r="F716" t="s">
        <v>631</v>
      </c>
      <c r="G716" s="3">
        <v>47241</v>
      </c>
      <c r="H716">
        <v>36</v>
      </c>
      <c r="I716">
        <v>97</v>
      </c>
      <c r="J716">
        <v>8386</v>
      </c>
      <c r="K716" s="4">
        <v>214681.60000000001</v>
      </c>
      <c r="L716" s="4">
        <f>0</f>
        <v>0</v>
      </c>
      <c r="M716" s="4">
        <f>999</f>
        <v>999</v>
      </c>
      <c r="N716" t="s">
        <v>19</v>
      </c>
      <c r="O716" t="str">
        <f t="shared" si="110"/>
        <v>Low</v>
      </c>
      <c r="P716" t="str">
        <f t="shared" si="111"/>
        <v>High</v>
      </c>
      <c r="Q716" t="str">
        <f t="shared" si="112"/>
        <v>High</v>
      </c>
      <c r="R716" t="s">
        <v>3309</v>
      </c>
      <c r="S716" s="4">
        <f t="shared" ca="1" si="113"/>
        <v>1044</v>
      </c>
      <c r="T716">
        <f t="shared" si="114"/>
        <v>1</v>
      </c>
      <c r="U716">
        <f t="shared" si="115"/>
        <v>3</v>
      </c>
      <c r="V716">
        <f t="shared" si="116"/>
        <v>3</v>
      </c>
      <c r="W716">
        <f t="shared" si="117"/>
        <v>3</v>
      </c>
      <c r="X716">
        <f t="shared" si="118"/>
        <v>2.2000000000000002</v>
      </c>
      <c r="Y716" t="str">
        <f t="shared" si="119"/>
        <v>High Priority</v>
      </c>
    </row>
    <row r="717" spans="1:25" x14ac:dyDescent="0.35">
      <c r="A717" t="s">
        <v>71</v>
      </c>
      <c r="B717" t="s">
        <v>72</v>
      </c>
      <c r="C717" t="s">
        <v>320</v>
      </c>
      <c r="D717" t="s">
        <v>630</v>
      </c>
      <c r="E717">
        <v>83918757</v>
      </c>
      <c r="F717" t="s">
        <v>631</v>
      </c>
      <c r="G717" s="3">
        <v>47131</v>
      </c>
      <c r="H717">
        <v>36</v>
      </c>
      <c r="I717">
        <v>87</v>
      </c>
      <c r="J717">
        <v>4992</v>
      </c>
      <c r="K717" s="4">
        <v>127795.2</v>
      </c>
      <c r="L717" s="4">
        <f>0</f>
        <v>0</v>
      </c>
      <c r="M717" s="4">
        <f>999</f>
        <v>999</v>
      </c>
      <c r="N717" t="s">
        <v>19</v>
      </c>
      <c r="O717" t="str">
        <f t="shared" si="110"/>
        <v>Low</v>
      </c>
      <c r="P717" t="str">
        <f t="shared" si="111"/>
        <v>High</v>
      </c>
      <c r="Q717" t="str">
        <f t="shared" si="112"/>
        <v>High</v>
      </c>
      <c r="R717" t="s">
        <v>3310</v>
      </c>
      <c r="S717" s="4">
        <f t="shared" ca="1" si="113"/>
        <v>934</v>
      </c>
      <c r="T717">
        <f t="shared" si="114"/>
        <v>1</v>
      </c>
      <c r="U717">
        <f t="shared" si="115"/>
        <v>3</v>
      </c>
      <c r="V717">
        <f t="shared" si="116"/>
        <v>3</v>
      </c>
      <c r="W717">
        <f t="shared" si="117"/>
        <v>2</v>
      </c>
      <c r="X717">
        <f t="shared" si="118"/>
        <v>2.1</v>
      </c>
      <c r="Y717" t="str">
        <f t="shared" si="119"/>
        <v>Monitor</v>
      </c>
    </row>
    <row r="718" spans="1:25" x14ac:dyDescent="0.35">
      <c r="A718" t="s">
        <v>90</v>
      </c>
      <c r="B718" t="s">
        <v>217</v>
      </c>
      <c r="C718" t="s">
        <v>533</v>
      </c>
      <c r="D718" t="s">
        <v>628</v>
      </c>
      <c r="E718">
        <v>83911783</v>
      </c>
      <c r="F718" t="s">
        <v>629</v>
      </c>
      <c r="G718" s="3">
        <v>46853</v>
      </c>
      <c r="H718">
        <v>24</v>
      </c>
      <c r="I718">
        <v>92</v>
      </c>
      <c r="J718">
        <v>120</v>
      </c>
      <c r="K718" s="4">
        <v>4670.3999999999996</v>
      </c>
      <c r="L718" s="4">
        <v>64859.857142857145</v>
      </c>
      <c r="M718" s="4">
        <v>1.8501428354319974E-3</v>
      </c>
      <c r="N718" t="s">
        <v>25</v>
      </c>
      <c r="O718" t="str">
        <f t="shared" si="110"/>
        <v>Low</v>
      </c>
      <c r="P718" t="str">
        <f t="shared" si="111"/>
        <v>Low</v>
      </c>
      <c r="Q718" t="str">
        <f t="shared" si="112"/>
        <v>Low</v>
      </c>
      <c r="R718" t="s">
        <v>3317</v>
      </c>
      <c r="S718" s="4">
        <f t="shared" ca="1" si="113"/>
        <v>656</v>
      </c>
      <c r="T718">
        <f t="shared" si="114"/>
        <v>1</v>
      </c>
      <c r="U718">
        <f t="shared" si="115"/>
        <v>1</v>
      </c>
      <c r="V718">
        <f t="shared" si="116"/>
        <v>1</v>
      </c>
      <c r="W718">
        <f t="shared" si="117"/>
        <v>1</v>
      </c>
      <c r="X718">
        <f t="shared" si="118"/>
        <v>0.99999999999999989</v>
      </c>
      <c r="Y718" t="str">
        <f t="shared" si="119"/>
        <v>Healthy</v>
      </c>
    </row>
    <row r="719" spans="1:25" x14ac:dyDescent="0.35">
      <c r="A719" t="s">
        <v>71</v>
      </c>
      <c r="B719" t="s">
        <v>72</v>
      </c>
      <c r="C719" t="s">
        <v>320</v>
      </c>
      <c r="D719" t="s">
        <v>630</v>
      </c>
      <c r="E719">
        <v>83918757</v>
      </c>
      <c r="F719" t="s">
        <v>631</v>
      </c>
      <c r="G719" s="3">
        <v>47276</v>
      </c>
      <c r="H719">
        <v>36</v>
      </c>
      <c r="I719">
        <v>100</v>
      </c>
      <c r="J719">
        <v>11520</v>
      </c>
      <c r="K719" s="4">
        <v>294912</v>
      </c>
      <c r="L719" s="4">
        <f>0</f>
        <v>0</v>
      </c>
      <c r="M719" s="4">
        <f>999</f>
        <v>999</v>
      </c>
      <c r="N719" t="s">
        <v>19</v>
      </c>
      <c r="O719" t="str">
        <f t="shared" si="110"/>
        <v>Low</v>
      </c>
      <c r="P719" t="str">
        <f t="shared" si="111"/>
        <v>High</v>
      </c>
      <c r="Q719" t="str">
        <f t="shared" si="112"/>
        <v>High</v>
      </c>
      <c r="R719" t="s">
        <v>3309</v>
      </c>
      <c r="S719" s="4">
        <f t="shared" ca="1" si="113"/>
        <v>1079</v>
      </c>
      <c r="T719">
        <f t="shared" si="114"/>
        <v>1</v>
      </c>
      <c r="U719">
        <f t="shared" si="115"/>
        <v>3</v>
      </c>
      <c r="V719">
        <f t="shared" si="116"/>
        <v>3</v>
      </c>
      <c r="W719">
        <f t="shared" si="117"/>
        <v>3</v>
      </c>
      <c r="X719">
        <f t="shared" si="118"/>
        <v>2.2000000000000002</v>
      </c>
      <c r="Y719" t="str">
        <f t="shared" si="119"/>
        <v>High Priority</v>
      </c>
    </row>
    <row r="720" spans="1:25" x14ac:dyDescent="0.35">
      <c r="A720" t="s">
        <v>90</v>
      </c>
      <c r="B720" t="s">
        <v>217</v>
      </c>
      <c r="C720" t="s">
        <v>533</v>
      </c>
      <c r="D720" t="s">
        <v>628</v>
      </c>
      <c r="E720">
        <v>83911783</v>
      </c>
      <c r="F720" t="s">
        <v>629</v>
      </c>
      <c r="G720" s="3">
        <v>46873</v>
      </c>
      <c r="H720">
        <v>24</v>
      </c>
      <c r="I720">
        <v>95</v>
      </c>
      <c r="J720">
        <v>120</v>
      </c>
      <c r="K720" s="4">
        <v>4670.3999999999996</v>
      </c>
      <c r="L720" s="4">
        <v>64859.857142857145</v>
      </c>
      <c r="M720" s="4">
        <v>1.8501428354319974E-3</v>
      </c>
      <c r="N720" t="s">
        <v>25</v>
      </c>
      <c r="O720" t="str">
        <f t="shared" si="110"/>
        <v>Low</v>
      </c>
      <c r="P720" t="str">
        <f t="shared" si="111"/>
        <v>Low</v>
      </c>
      <c r="Q720" t="str">
        <f t="shared" si="112"/>
        <v>Low</v>
      </c>
      <c r="R720" t="s">
        <v>3317</v>
      </c>
      <c r="S720" s="4">
        <f t="shared" ca="1" si="113"/>
        <v>676</v>
      </c>
      <c r="T720">
        <f t="shared" si="114"/>
        <v>1</v>
      </c>
      <c r="U720">
        <f t="shared" si="115"/>
        <v>1</v>
      </c>
      <c r="V720">
        <f t="shared" si="116"/>
        <v>1</v>
      </c>
      <c r="W720">
        <f t="shared" si="117"/>
        <v>1</v>
      </c>
      <c r="X720">
        <f t="shared" si="118"/>
        <v>0.99999999999999989</v>
      </c>
      <c r="Y720" t="str">
        <f t="shared" si="119"/>
        <v>Healthy</v>
      </c>
    </row>
    <row r="721" spans="1:25" x14ac:dyDescent="0.35">
      <c r="A721" t="s">
        <v>71</v>
      </c>
      <c r="B721" t="s">
        <v>72</v>
      </c>
      <c r="C721" t="s">
        <v>320</v>
      </c>
      <c r="D721" t="s">
        <v>630</v>
      </c>
      <c r="E721">
        <v>83918757</v>
      </c>
      <c r="F721" t="s">
        <v>631</v>
      </c>
      <c r="G721" s="3">
        <v>47227</v>
      </c>
      <c r="H721">
        <v>36</v>
      </c>
      <c r="I721">
        <v>96</v>
      </c>
      <c r="J721">
        <v>12447</v>
      </c>
      <c r="K721" s="4">
        <v>318643.20000000001</v>
      </c>
      <c r="L721" s="4">
        <f>0</f>
        <v>0</v>
      </c>
      <c r="M721" s="4">
        <f>999</f>
        <v>999</v>
      </c>
      <c r="N721" t="s">
        <v>19</v>
      </c>
      <c r="O721" t="str">
        <f t="shared" si="110"/>
        <v>Low</v>
      </c>
      <c r="P721" t="str">
        <f t="shared" si="111"/>
        <v>High</v>
      </c>
      <c r="Q721" t="str">
        <f t="shared" si="112"/>
        <v>High</v>
      </c>
      <c r="R721" t="s">
        <v>3309</v>
      </c>
      <c r="S721" s="4">
        <f t="shared" ca="1" si="113"/>
        <v>1030</v>
      </c>
      <c r="T721">
        <f t="shared" si="114"/>
        <v>1</v>
      </c>
      <c r="U721">
        <f t="shared" si="115"/>
        <v>3</v>
      </c>
      <c r="V721">
        <f t="shared" si="116"/>
        <v>3</v>
      </c>
      <c r="W721">
        <f t="shared" si="117"/>
        <v>3</v>
      </c>
      <c r="X721">
        <f t="shared" si="118"/>
        <v>2.2000000000000002</v>
      </c>
      <c r="Y721" t="str">
        <f t="shared" si="119"/>
        <v>High Priority</v>
      </c>
    </row>
    <row r="722" spans="1:25" x14ac:dyDescent="0.35">
      <c r="A722" t="s">
        <v>71</v>
      </c>
      <c r="B722" t="s">
        <v>72</v>
      </c>
      <c r="C722" t="s">
        <v>320</v>
      </c>
      <c r="D722" t="s">
        <v>347</v>
      </c>
      <c r="E722">
        <v>83919781</v>
      </c>
      <c r="F722" t="s">
        <v>632</v>
      </c>
      <c r="G722" s="3">
        <v>47241</v>
      </c>
      <c r="H722">
        <v>36</v>
      </c>
      <c r="I722">
        <v>97</v>
      </c>
      <c r="J722">
        <v>2112</v>
      </c>
      <c r="K722" s="4">
        <v>33792</v>
      </c>
      <c r="L722" s="4">
        <v>13.714285714285714</v>
      </c>
      <c r="M722" s="4">
        <v>154</v>
      </c>
      <c r="N722" t="s">
        <v>19</v>
      </c>
      <c r="O722" t="str">
        <f t="shared" si="110"/>
        <v>Low</v>
      </c>
      <c r="P722" t="str">
        <f t="shared" si="111"/>
        <v>High</v>
      </c>
      <c r="Q722" t="str">
        <f t="shared" si="112"/>
        <v>Medium</v>
      </c>
      <c r="R722" t="s">
        <v>3317</v>
      </c>
      <c r="S722" s="4">
        <f t="shared" ca="1" si="113"/>
        <v>1044</v>
      </c>
      <c r="T722">
        <f t="shared" si="114"/>
        <v>1</v>
      </c>
      <c r="U722">
        <f t="shared" si="115"/>
        <v>3</v>
      </c>
      <c r="V722">
        <f t="shared" si="116"/>
        <v>2</v>
      </c>
      <c r="W722">
        <f t="shared" si="117"/>
        <v>1</v>
      </c>
      <c r="X722">
        <f t="shared" si="118"/>
        <v>1.7999999999999998</v>
      </c>
      <c r="Y722" t="str">
        <f t="shared" si="119"/>
        <v>Monitor</v>
      </c>
    </row>
    <row r="723" spans="1:25" x14ac:dyDescent="0.35">
      <c r="A723" t="s">
        <v>90</v>
      </c>
      <c r="B723" t="s">
        <v>217</v>
      </c>
      <c r="C723" t="s">
        <v>533</v>
      </c>
      <c r="D723" t="s">
        <v>628</v>
      </c>
      <c r="E723">
        <v>83911783</v>
      </c>
      <c r="F723" t="s">
        <v>629</v>
      </c>
      <c r="G723" s="3">
        <v>46849</v>
      </c>
      <c r="H723">
        <v>24</v>
      </c>
      <c r="I723">
        <v>91</v>
      </c>
      <c r="J723">
        <v>360</v>
      </c>
      <c r="K723" s="4">
        <v>14011.2</v>
      </c>
      <c r="L723" s="4">
        <v>64859.857142857145</v>
      </c>
      <c r="M723" s="4">
        <v>5.5504285062959917E-3</v>
      </c>
      <c r="N723" t="s">
        <v>25</v>
      </c>
      <c r="O723" t="str">
        <f t="shared" si="110"/>
        <v>Low</v>
      </c>
      <c r="P723" t="str">
        <f t="shared" si="111"/>
        <v>Low</v>
      </c>
      <c r="Q723" t="str">
        <f t="shared" si="112"/>
        <v>Low</v>
      </c>
      <c r="R723" t="s">
        <v>3317</v>
      </c>
      <c r="S723" s="4">
        <f t="shared" ca="1" si="113"/>
        <v>652</v>
      </c>
      <c r="T723">
        <f t="shared" si="114"/>
        <v>1</v>
      </c>
      <c r="U723">
        <f t="shared" si="115"/>
        <v>1</v>
      </c>
      <c r="V723">
        <f t="shared" si="116"/>
        <v>1</v>
      </c>
      <c r="W723">
        <f t="shared" si="117"/>
        <v>1</v>
      </c>
      <c r="X723">
        <f t="shared" si="118"/>
        <v>0.99999999999999989</v>
      </c>
      <c r="Y723" t="str">
        <f t="shared" si="119"/>
        <v>Healthy</v>
      </c>
    </row>
    <row r="724" spans="1:25" x14ac:dyDescent="0.35">
      <c r="A724" t="s">
        <v>90</v>
      </c>
      <c r="B724" t="s">
        <v>217</v>
      </c>
      <c r="C724" t="s">
        <v>542</v>
      </c>
      <c r="D724" t="s">
        <v>633</v>
      </c>
      <c r="E724">
        <v>83911637</v>
      </c>
      <c r="F724" t="s">
        <v>634</v>
      </c>
      <c r="G724" s="3">
        <v>46913</v>
      </c>
      <c r="H724">
        <v>24</v>
      </c>
      <c r="I724">
        <v>100</v>
      </c>
      <c r="J724">
        <v>480</v>
      </c>
      <c r="K724" s="4">
        <v>88579.199999999997</v>
      </c>
      <c r="L724" s="4">
        <f>0</f>
        <v>0</v>
      </c>
      <c r="M724" s="4">
        <f>999</f>
        <v>999</v>
      </c>
      <c r="N724" t="s">
        <v>19</v>
      </c>
      <c r="O724" t="str">
        <f t="shared" si="110"/>
        <v>Low</v>
      </c>
      <c r="P724" t="str">
        <f t="shared" si="111"/>
        <v>High</v>
      </c>
      <c r="Q724" t="str">
        <f t="shared" si="112"/>
        <v>High</v>
      </c>
      <c r="R724" t="s">
        <v>3310</v>
      </c>
      <c r="S724" s="4">
        <f t="shared" ca="1" si="113"/>
        <v>716</v>
      </c>
      <c r="T724">
        <f t="shared" si="114"/>
        <v>1</v>
      </c>
      <c r="U724">
        <f t="shared" si="115"/>
        <v>3</v>
      </c>
      <c r="V724">
        <f t="shared" si="116"/>
        <v>3</v>
      </c>
      <c r="W724">
        <f t="shared" si="117"/>
        <v>2</v>
      </c>
      <c r="X724">
        <f t="shared" si="118"/>
        <v>2.1</v>
      </c>
      <c r="Y724" t="str">
        <f t="shared" si="119"/>
        <v>Monitor</v>
      </c>
    </row>
    <row r="725" spans="1:25" x14ac:dyDescent="0.35">
      <c r="A725" t="s">
        <v>90</v>
      </c>
      <c r="B725" t="s">
        <v>217</v>
      </c>
      <c r="C725" t="s">
        <v>533</v>
      </c>
      <c r="D725" t="s">
        <v>628</v>
      </c>
      <c r="E725">
        <v>83911783</v>
      </c>
      <c r="F725" t="s">
        <v>629</v>
      </c>
      <c r="G725" s="3">
        <v>46854</v>
      </c>
      <c r="H725">
        <v>24</v>
      </c>
      <c r="I725">
        <v>92</v>
      </c>
      <c r="J725">
        <v>1440</v>
      </c>
      <c r="K725" s="4">
        <v>56044.800000000003</v>
      </c>
      <c r="L725" s="4">
        <v>64859.857142857145</v>
      </c>
      <c r="M725" s="4">
        <v>2.2201714025183967E-2</v>
      </c>
      <c r="N725" t="s">
        <v>25</v>
      </c>
      <c r="O725" t="str">
        <f t="shared" si="110"/>
        <v>Low</v>
      </c>
      <c r="P725" t="str">
        <f t="shared" si="111"/>
        <v>Low</v>
      </c>
      <c r="Q725" t="str">
        <f t="shared" si="112"/>
        <v>Low</v>
      </c>
      <c r="R725" t="s">
        <v>3317</v>
      </c>
      <c r="S725" s="4">
        <f t="shared" ca="1" si="113"/>
        <v>657</v>
      </c>
      <c r="T725">
        <f t="shared" si="114"/>
        <v>1</v>
      </c>
      <c r="U725">
        <f t="shared" si="115"/>
        <v>1</v>
      </c>
      <c r="V725">
        <f t="shared" si="116"/>
        <v>1</v>
      </c>
      <c r="W725">
        <f t="shared" si="117"/>
        <v>1</v>
      </c>
      <c r="X725">
        <f t="shared" si="118"/>
        <v>0.99999999999999989</v>
      </c>
      <c r="Y725" t="str">
        <f t="shared" si="119"/>
        <v>Healthy</v>
      </c>
    </row>
    <row r="726" spans="1:25" x14ac:dyDescent="0.35">
      <c r="A726" t="s">
        <v>90</v>
      </c>
      <c r="B726" t="s">
        <v>217</v>
      </c>
      <c r="C726" t="s">
        <v>542</v>
      </c>
      <c r="D726" t="s">
        <v>633</v>
      </c>
      <c r="E726">
        <v>83911637</v>
      </c>
      <c r="F726" t="s">
        <v>634</v>
      </c>
      <c r="G726" s="3">
        <v>46908</v>
      </c>
      <c r="H726">
        <v>24</v>
      </c>
      <c r="I726">
        <v>99</v>
      </c>
      <c r="J726">
        <v>528</v>
      </c>
      <c r="K726" s="4">
        <v>97437.119999999995</v>
      </c>
      <c r="L726" s="4">
        <f>0</f>
        <v>0</v>
      </c>
      <c r="M726" s="4">
        <f>999</f>
        <v>999</v>
      </c>
      <c r="N726" t="s">
        <v>19</v>
      </c>
      <c r="O726" t="str">
        <f t="shared" si="110"/>
        <v>Low</v>
      </c>
      <c r="P726" t="str">
        <f t="shared" si="111"/>
        <v>High</v>
      </c>
      <c r="Q726" t="str">
        <f t="shared" si="112"/>
        <v>High</v>
      </c>
      <c r="R726" t="s">
        <v>3310</v>
      </c>
      <c r="S726" s="4">
        <f t="shared" ca="1" si="113"/>
        <v>711</v>
      </c>
      <c r="T726">
        <f t="shared" si="114"/>
        <v>1</v>
      </c>
      <c r="U726">
        <f t="shared" si="115"/>
        <v>3</v>
      </c>
      <c r="V726">
        <f t="shared" si="116"/>
        <v>3</v>
      </c>
      <c r="W726">
        <f t="shared" si="117"/>
        <v>2</v>
      </c>
      <c r="X726">
        <f t="shared" si="118"/>
        <v>2.1</v>
      </c>
      <c r="Y726" t="str">
        <f t="shared" si="119"/>
        <v>Monitor</v>
      </c>
    </row>
    <row r="727" spans="1:25" x14ac:dyDescent="0.35">
      <c r="A727" t="s">
        <v>90</v>
      </c>
      <c r="B727" t="s">
        <v>217</v>
      </c>
      <c r="C727" t="s">
        <v>542</v>
      </c>
      <c r="D727" t="s">
        <v>635</v>
      </c>
      <c r="E727">
        <v>83911638</v>
      </c>
      <c r="F727" t="s">
        <v>636</v>
      </c>
      <c r="G727" s="3">
        <v>46907</v>
      </c>
      <c r="H727">
        <v>24</v>
      </c>
      <c r="I727">
        <v>99</v>
      </c>
      <c r="J727">
        <v>2742</v>
      </c>
      <c r="K727" s="4">
        <v>674669.1</v>
      </c>
      <c r="L727" s="4">
        <v>2679.1428571428573</v>
      </c>
      <c r="M727" s="4">
        <v>1.0234616615122107</v>
      </c>
      <c r="N727" t="s">
        <v>25</v>
      </c>
      <c r="O727" t="str">
        <f t="shared" si="110"/>
        <v>Low</v>
      </c>
      <c r="P727" t="str">
        <f t="shared" si="111"/>
        <v>Low</v>
      </c>
      <c r="Q727" t="str">
        <f t="shared" si="112"/>
        <v>Low</v>
      </c>
      <c r="R727" t="s">
        <v>3309</v>
      </c>
      <c r="S727" s="4">
        <f t="shared" ca="1" si="113"/>
        <v>710</v>
      </c>
      <c r="T727">
        <f t="shared" si="114"/>
        <v>1</v>
      </c>
      <c r="U727">
        <f t="shared" si="115"/>
        <v>1</v>
      </c>
      <c r="V727">
        <f t="shared" si="116"/>
        <v>1</v>
      </c>
      <c r="W727">
        <f t="shared" si="117"/>
        <v>3</v>
      </c>
      <c r="X727">
        <f t="shared" si="118"/>
        <v>1.2</v>
      </c>
      <c r="Y727" t="str">
        <f t="shared" si="119"/>
        <v>Healthy</v>
      </c>
    </row>
    <row r="728" spans="1:25" x14ac:dyDescent="0.35">
      <c r="A728" t="s">
        <v>90</v>
      </c>
      <c r="B728" t="s">
        <v>217</v>
      </c>
      <c r="C728" t="s">
        <v>542</v>
      </c>
      <c r="D728" t="s">
        <v>635</v>
      </c>
      <c r="E728">
        <v>83911638</v>
      </c>
      <c r="F728" t="s">
        <v>636</v>
      </c>
      <c r="G728" s="3">
        <v>46891</v>
      </c>
      <c r="H728">
        <v>24</v>
      </c>
      <c r="I728">
        <v>97</v>
      </c>
      <c r="J728">
        <v>410</v>
      </c>
      <c r="K728" s="4">
        <v>100880.5</v>
      </c>
      <c r="L728" s="4">
        <v>2679.1428571428573</v>
      </c>
      <c r="M728" s="4">
        <v>0.1530340194091927</v>
      </c>
      <c r="N728" t="s">
        <v>25</v>
      </c>
      <c r="O728" t="str">
        <f t="shared" si="110"/>
        <v>Low</v>
      </c>
      <c r="P728" t="str">
        <f t="shared" si="111"/>
        <v>Low</v>
      </c>
      <c r="Q728" t="str">
        <f t="shared" si="112"/>
        <v>Low</v>
      </c>
      <c r="R728" t="s">
        <v>3310</v>
      </c>
      <c r="S728" s="4">
        <f t="shared" ca="1" si="113"/>
        <v>694</v>
      </c>
      <c r="T728">
        <f t="shared" si="114"/>
        <v>1</v>
      </c>
      <c r="U728">
        <f t="shared" si="115"/>
        <v>1</v>
      </c>
      <c r="V728">
        <f t="shared" si="116"/>
        <v>1</v>
      </c>
      <c r="W728">
        <f t="shared" si="117"/>
        <v>2</v>
      </c>
      <c r="X728">
        <f t="shared" si="118"/>
        <v>1.0999999999999999</v>
      </c>
      <c r="Y728" t="str">
        <f t="shared" si="119"/>
        <v>Healthy</v>
      </c>
    </row>
    <row r="729" spans="1:25" x14ac:dyDescent="0.35">
      <c r="A729" t="s">
        <v>90</v>
      </c>
      <c r="B729" t="s">
        <v>217</v>
      </c>
      <c r="C729" t="s">
        <v>542</v>
      </c>
      <c r="D729" t="s">
        <v>635</v>
      </c>
      <c r="E729">
        <v>83911638</v>
      </c>
      <c r="F729" t="s">
        <v>636</v>
      </c>
      <c r="G729" s="3">
        <v>46883</v>
      </c>
      <c r="H729">
        <v>24</v>
      </c>
      <c r="I729">
        <v>96</v>
      </c>
      <c r="J729">
        <v>679</v>
      </c>
      <c r="K729" s="4">
        <v>167067.95000000001</v>
      </c>
      <c r="L729" s="4">
        <v>2679.1428571428573</v>
      </c>
      <c r="M729" s="4">
        <v>0.25343926628985813</v>
      </c>
      <c r="N729" t="s">
        <v>25</v>
      </c>
      <c r="O729" t="str">
        <f t="shared" si="110"/>
        <v>Low</v>
      </c>
      <c r="P729" t="str">
        <f t="shared" si="111"/>
        <v>Low</v>
      </c>
      <c r="Q729" t="str">
        <f t="shared" si="112"/>
        <v>Low</v>
      </c>
      <c r="R729" t="s">
        <v>3309</v>
      </c>
      <c r="S729" s="4">
        <f t="shared" ca="1" si="113"/>
        <v>686</v>
      </c>
      <c r="T729">
        <f t="shared" si="114"/>
        <v>1</v>
      </c>
      <c r="U729">
        <f t="shared" si="115"/>
        <v>1</v>
      </c>
      <c r="V729">
        <f t="shared" si="116"/>
        <v>1</v>
      </c>
      <c r="W729">
        <f t="shared" si="117"/>
        <v>3</v>
      </c>
      <c r="X729">
        <f t="shared" si="118"/>
        <v>1.2</v>
      </c>
      <c r="Y729" t="str">
        <f t="shared" si="119"/>
        <v>Healthy</v>
      </c>
    </row>
    <row r="730" spans="1:25" x14ac:dyDescent="0.35">
      <c r="A730" t="s">
        <v>179</v>
      </c>
      <c r="B730" t="s">
        <v>180</v>
      </c>
      <c r="C730" t="s">
        <v>181</v>
      </c>
      <c r="D730" t="s">
        <v>637</v>
      </c>
      <c r="E730">
        <v>83905154</v>
      </c>
      <c r="F730" t="s">
        <v>638</v>
      </c>
      <c r="G730" s="3">
        <v>46424</v>
      </c>
      <c r="H730">
        <v>16</v>
      </c>
      <c r="I730">
        <v>48</v>
      </c>
      <c r="J730">
        <v>12</v>
      </c>
      <c r="K730" s="4">
        <v>2344.92</v>
      </c>
      <c r="L730" s="4">
        <v>39.428571428571431</v>
      </c>
      <c r="M730" s="4">
        <v>0.30434782608695649</v>
      </c>
      <c r="N730" t="s">
        <v>25</v>
      </c>
      <c r="O730" t="str">
        <f t="shared" si="110"/>
        <v>Low</v>
      </c>
      <c r="P730" t="str">
        <f t="shared" si="111"/>
        <v>Low</v>
      </c>
      <c r="Q730" t="str">
        <f t="shared" si="112"/>
        <v>Low</v>
      </c>
      <c r="R730" t="s">
        <v>3317</v>
      </c>
      <c r="S730" s="4">
        <f t="shared" ca="1" si="113"/>
        <v>227</v>
      </c>
      <c r="T730">
        <f t="shared" si="114"/>
        <v>1</v>
      </c>
      <c r="U730">
        <f t="shared" si="115"/>
        <v>1</v>
      </c>
      <c r="V730">
        <f t="shared" si="116"/>
        <v>1</v>
      </c>
      <c r="W730">
        <f t="shared" si="117"/>
        <v>1</v>
      </c>
      <c r="X730">
        <f t="shared" si="118"/>
        <v>0.99999999999999989</v>
      </c>
      <c r="Y730" t="str">
        <f t="shared" si="119"/>
        <v>Healthy</v>
      </c>
    </row>
    <row r="731" spans="1:25" x14ac:dyDescent="0.35">
      <c r="A731" t="s">
        <v>90</v>
      </c>
      <c r="B731" t="s">
        <v>217</v>
      </c>
      <c r="C731" t="s">
        <v>542</v>
      </c>
      <c r="D731" t="s">
        <v>635</v>
      </c>
      <c r="E731">
        <v>83911638</v>
      </c>
      <c r="F731" t="s">
        <v>636</v>
      </c>
      <c r="G731" s="3">
        <v>46869</v>
      </c>
      <c r="H731">
        <v>24</v>
      </c>
      <c r="I731">
        <v>94</v>
      </c>
      <c r="J731">
        <v>618</v>
      </c>
      <c r="K731" s="4">
        <v>152058.9</v>
      </c>
      <c r="L731" s="4">
        <v>2679.1428571428573</v>
      </c>
      <c r="M731" s="4">
        <v>0.23067079023141729</v>
      </c>
      <c r="N731" t="s">
        <v>25</v>
      </c>
      <c r="O731" t="str">
        <f t="shared" si="110"/>
        <v>Low</v>
      </c>
      <c r="P731" t="str">
        <f t="shared" si="111"/>
        <v>Low</v>
      </c>
      <c r="Q731" t="str">
        <f t="shared" si="112"/>
        <v>Low</v>
      </c>
      <c r="R731" t="s">
        <v>3309</v>
      </c>
      <c r="S731" s="4">
        <f t="shared" ca="1" si="113"/>
        <v>672</v>
      </c>
      <c r="T731">
        <f t="shared" si="114"/>
        <v>1</v>
      </c>
      <c r="U731">
        <f t="shared" si="115"/>
        <v>1</v>
      </c>
      <c r="V731">
        <f t="shared" si="116"/>
        <v>1</v>
      </c>
      <c r="W731">
        <f t="shared" si="117"/>
        <v>3</v>
      </c>
      <c r="X731">
        <f t="shared" si="118"/>
        <v>1.2</v>
      </c>
      <c r="Y731" t="str">
        <f t="shared" si="119"/>
        <v>Healthy</v>
      </c>
    </row>
    <row r="732" spans="1:25" x14ac:dyDescent="0.35">
      <c r="A732" t="s">
        <v>189</v>
      </c>
      <c r="B732" t="s">
        <v>639</v>
      </c>
      <c r="C732" t="s">
        <v>639</v>
      </c>
      <c r="D732" t="s">
        <v>640</v>
      </c>
      <c r="E732">
        <v>83911123</v>
      </c>
      <c r="F732" t="s">
        <v>641</v>
      </c>
      <c r="G732" s="3">
        <v>46582</v>
      </c>
      <c r="H732">
        <v>18</v>
      </c>
      <c r="I732">
        <v>72</v>
      </c>
      <c r="J732">
        <v>408</v>
      </c>
      <c r="K732" s="4">
        <v>192820.8</v>
      </c>
      <c r="L732" s="4">
        <v>485.57142857142856</v>
      </c>
      <c r="M732" s="4">
        <v>0.84024713150926744</v>
      </c>
      <c r="N732" t="s">
        <v>25</v>
      </c>
      <c r="O732" t="str">
        <f t="shared" si="110"/>
        <v>Low</v>
      </c>
      <c r="P732" t="str">
        <f t="shared" si="111"/>
        <v>Low</v>
      </c>
      <c r="Q732" t="str">
        <f t="shared" si="112"/>
        <v>Low</v>
      </c>
      <c r="R732" t="s">
        <v>3309</v>
      </c>
      <c r="S732" s="4">
        <f t="shared" ca="1" si="113"/>
        <v>385</v>
      </c>
      <c r="T732">
        <f t="shared" si="114"/>
        <v>1</v>
      </c>
      <c r="U732">
        <f t="shared" si="115"/>
        <v>1</v>
      </c>
      <c r="V732">
        <f t="shared" si="116"/>
        <v>1</v>
      </c>
      <c r="W732">
        <f t="shared" si="117"/>
        <v>3</v>
      </c>
      <c r="X732">
        <f t="shared" si="118"/>
        <v>1.2</v>
      </c>
      <c r="Y732" t="str">
        <f t="shared" si="119"/>
        <v>Healthy</v>
      </c>
    </row>
    <row r="733" spans="1:25" x14ac:dyDescent="0.35">
      <c r="A733" t="s">
        <v>90</v>
      </c>
      <c r="B733" t="s">
        <v>217</v>
      </c>
      <c r="C733" t="s">
        <v>542</v>
      </c>
      <c r="D733" t="s">
        <v>635</v>
      </c>
      <c r="E733">
        <v>83911638</v>
      </c>
      <c r="F733" t="s">
        <v>636</v>
      </c>
      <c r="G733" s="3">
        <v>46879</v>
      </c>
      <c r="H733">
        <v>24</v>
      </c>
      <c r="I733">
        <v>95</v>
      </c>
      <c r="J733">
        <v>568</v>
      </c>
      <c r="K733" s="4">
        <v>139756.4</v>
      </c>
      <c r="L733" s="4">
        <v>2679.1428571428573</v>
      </c>
      <c r="M733" s="4">
        <v>0.2120081049376133</v>
      </c>
      <c r="N733" t="s">
        <v>25</v>
      </c>
      <c r="O733" t="str">
        <f t="shared" si="110"/>
        <v>Low</v>
      </c>
      <c r="P733" t="str">
        <f t="shared" si="111"/>
        <v>Low</v>
      </c>
      <c r="Q733" t="str">
        <f t="shared" si="112"/>
        <v>Low</v>
      </c>
      <c r="R733" t="s">
        <v>3309</v>
      </c>
      <c r="S733" s="4">
        <f t="shared" ca="1" si="113"/>
        <v>682</v>
      </c>
      <c r="T733">
        <f t="shared" si="114"/>
        <v>1</v>
      </c>
      <c r="U733">
        <f t="shared" si="115"/>
        <v>1</v>
      </c>
      <c r="V733">
        <f t="shared" si="116"/>
        <v>1</v>
      </c>
      <c r="W733">
        <f t="shared" si="117"/>
        <v>3</v>
      </c>
      <c r="X733">
        <f t="shared" si="118"/>
        <v>1.2</v>
      </c>
      <c r="Y733" t="str">
        <f t="shared" si="119"/>
        <v>Healthy</v>
      </c>
    </row>
    <row r="734" spans="1:25" x14ac:dyDescent="0.35">
      <c r="A734" t="s">
        <v>189</v>
      </c>
      <c r="B734" t="s">
        <v>639</v>
      </c>
      <c r="C734" t="s">
        <v>639</v>
      </c>
      <c r="D734" t="s">
        <v>640</v>
      </c>
      <c r="E734">
        <v>83911123</v>
      </c>
      <c r="F734" t="s">
        <v>641</v>
      </c>
      <c r="G734" s="3">
        <v>46581</v>
      </c>
      <c r="H734">
        <v>18</v>
      </c>
      <c r="I734">
        <v>72</v>
      </c>
      <c r="J734">
        <v>249</v>
      </c>
      <c r="K734" s="4">
        <v>117677.4</v>
      </c>
      <c r="L734" s="4">
        <v>485.57142857142856</v>
      </c>
      <c r="M734" s="4">
        <v>0.51279788172992058</v>
      </c>
      <c r="N734" t="s">
        <v>25</v>
      </c>
      <c r="O734" t="str">
        <f t="shared" si="110"/>
        <v>Low</v>
      </c>
      <c r="P734" t="str">
        <f t="shared" si="111"/>
        <v>Low</v>
      </c>
      <c r="Q734" t="str">
        <f t="shared" si="112"/>
        <v>Low</v>
      </c>
      <c r="R734" t="s">
        <v>3310</v>
      </c>
      <c r="S734" s="4">
        <f t="shared" ca="1" si="113"/>
        <v>384</v>
      </c>
      <c r="T734">
        <f t="shared" si="114"/>
        <v>1</v>
      </c>
      <c r="U734">
        <f t="shared" si="115"/>
        <v>1</v>
      </c>
      <c r="V734">
        <f t="shared" si="116"/>
        <v>1</v>
      </c>
      <c r="W734">
        <f t="shared" si="117"/>
        <v>2</v>
      </c>
      <c r="X734">
        <f t="shared" si="118"/>
        <v>1.0999999999999999</v>
      </c>
      <c r="Y734" t="str">
        <f t="shared" si="119"/>
        <v>Healthy</v>
      </c>
    </row>
    <row r="735" spans="1:25" x14ac:dyDescent="0.35">
      <c r="A735" t="s">
        <v>90</v>
      </c>
      <c r="B735" t="s">
        <v>217</v>
      </c>
      <c r="C735" t="s">
        <v>542</v>
      </c>
      <c r="D735" t="s">
        <v>635</v>
      </c>
      <c r="E735">
        <v>83911638</v>
      </c>
      <c r="F735" t="s">
        <v>636</v>
      </c>
      <c r="G735" s="3">
        <v>46874</v>
      </c>
      <c r="H735">
        <v>24</v>
      </c>
      <c r="I735">
        <v>95</v>
      </c>
      <c r="J735">
        <v>537</v>
      </c>
      <c r="K735" s="4">
        <v>132128.85</v>
      </c>
      <c r="L735" s="4">
        <v>2679.1428571428573</v>
      </c>
      <c r="M735" s="4">
        <v>0.20043724005545482</v>
      </c>
      <c r="N735" t="s">
        <v>25</v>
      </c>
      <c r="O735" t="str">
        <f t="shared" si="110"/>
        <v>Low</v>
      </c>
      <c r="P735" t="str">
        <f t="shared" si="111"/>
        <v>Low</v>
      </c>
      <c r="Q735" t="str">
        <f t="shared" si="112"/>
        <v>Low</v>
      </c>
      <c r="R735" t="s">
        <v>3309</v>
      </c>
      <c r="S735" s="4">
        <f t="shared" ca="1" si="113"/>
        <v>677</v>
      </c>
      <c r="T735">
        <f t="shared" si="114"/>
        <v>1</v>
      </c>
      <c r="U735">
        <f t="shared" si="115"/>
        <v>1</v>
      </c>
      <c r="V735">
        <f t="shared" si="116"/>
        <v>1</v>
      </c>
      <c r="W735">
        <f t="shared" si="117"/>
        <v>3</v>
      </c>
      <c r="X735">
        <f t="shared" si="118"/>
        <v>1.2</v>
      </c>
      <c r="Y735" t="str">
        <f t="shared" si="119"/>
        <v>Healthy</v>
      </c>
    </row>
    <row r="736" spans="1:25" x14ac:dyDescent="0.35">
      <c r="A736" t="s">
        <v>189</v>
      </c>
      <c r="B736" t="s">
        <v>639</v>
      </c>
      <c r="C736" t="s">
        <v>639</v>
      </c>
      <c r="D736" t="s">
        <v>640</v>
      </c>
      <c r="E736">
        <v>83911123</v>
      </c>
      <c r="F736" t="s">
        <v>641</v>
      </c>
      <c r="G736" s="3">
        <v>46583</v>
      </c>
      <c r="H736">
        <v>18</v>
      </c>
      <c r="I736">
        <v>72</v>
      </c>
      <c r="J736">
        <v>397</v>
      </c>
      <c r="K736" s="4">
        <v>187622.2</v>
      </c>
      <c r="L736" s="4">
        <v>485.57142857142856</v>
      </c>
      <c r="M736" s="4">
        <v>0.81759340982641959</v>
      </c>
      <c r="N736" t="s">
        <v>25</v>
      </c>
      <c r="O736" t="str">
        <f t="shared" si="110"/>
        <v>Low</v>
      </c>
      <c r="P736" t="str">
        <f t="shared" si="111"/>
        <v>Low</v>
      </c>
      <c r="Q736" t="str">
        <f t="shared" si="112"/>
        <v>Low</v>
      </c>
      <c r="R736" t="s">
        <v>3309</v>
      </c>
      <c r="S736" s="4">
        <f t="shared" ca="1" si="113"/>
        <v>386</v>
      </c>
      <c r="T736">
        <f t="shared" si="114"/>
        <v>1</v>
      </c>
      <c r="U736">
        <f t="shared" si="115"/>
        <v>1</v>
      </c>
      <c r="V736">
        <f t="shared" si="116"/>
        <v>1</v>
      </c>
      <c r="W736">
        <f t="shared" si="117"/>
        <v>3</v>
      </c>
      <c r="X736">
        <f t="shared" si="118"/>
        <v>1.2</v>
      </c>
      <c r="Y736" t="str">
        <f t="shared" si="119"/>
        <v>Healthy</v>
      </c>
    </row>
    <row r="737" spans="1:25" x14ac:dyDescent="0.35">
      <c r="A737" t="s">
        <v>90</v>
      </c>
      <c r="B737" t="s">
        <v>217</v>
      </c>
      <c r="C737" t="s">
        <v>542</v>
      </c>
      <c r="D737" t="s">
        <v>635</v>
      </c>
      <c r="E737">
        <v>83911638</v>
      </c>
      <c r="F737" t="s">
        <v>636</v>
      </c>
      <c r="G737" s="3">
        <v>46864</v>
      </c>
      <c r="H737">
        <v>24</v>
      </c>
      <c r="I737">
        <v>93</v>
      </c>
      <c r="J737">
        <v>181</v>
      </c>
      <c r="K737" s="4">
        <v>44535.05</v>
      </c>
      <c r="L737" s="4">
        <v>2679.1428571428573</v>
      </c>
      <c r="M737" s="4">
        <v>6.7558920763570438E-2</v>
      </c>
      <c r="N737" t="s">
        <v>25</v>
      </c>
      <c r="O737" t="str">
        <f t="shared" si="110"/>
        <v>Low</v>
      </c>
      <c r="P737" t="str">
        <f t="shared" si="111"/>
        <v>Low</v>
      </c>
      <c r="Q737" t="str">
        <f t="shared" si="112"/>
        <v>Low</v>
      </c>
      <c r="R737" t="s">
        <v>3317</v>
      </c>
      <c r="S737" s="4">
        <f t="shared" ca="1" si="113"/>
        <v>667</v>
      </c>
      <c r="T737">
        <f t="shared" si="114"/>
        <v>1</v>
      </c>
      <c r="U737">
        <f t="shared" si="115"/>
        <v>1</v>
      </c>
      <c r="V737">
        <f t="shared" si="116"/>
        <v>1</v>
      </c>
      <c r="W737">
        <f t="shared" si="117"/>
        <v>1</v>
      </c>
      <c r="X737">
        <f t="shared" si="118"/>
        <v>0.99999999999999989</v>
      </c>
      <c r="Y737" t="str">
        <f t="shared" si="119"/>
        <v>Healthy</v>
      </c>
    </row>
    <row r="738" spans="1:25" x14ac:dyDescent="0.35">
      <c r="A738" t="s">
        <v>90</v>
      </c>
      <c r="B738" t="s">
        <v>217</v>
      </c>
      <c r="C738" t="s">
        <v>542</v>
      </c>
      <c r="D738" t="s">
        <v>635</v>
      </c>
      <c r="E738">
        <v>83911638</v>
      </c>
      <c r="F738" t="s">
        <v>636</v>
      </c>
      <c r="G738" s="3">
        <v>46886</v>
      </c>
      <c r="H738">
        <v>24</v>
      </c>
      <c r="I738">
        <v>96</v>
      </c>
      <c r="J738">
        <v>264</v>
      </c>
      <c r="K738" s="4">
        <v>64957.2</v>
      </c>
      <c r="L738" s="4">
        <v>2679.1428571428573</v>
      </c>
      <c r="M738" s="4">
        <v>9.8538978351285056E-2</v>
      </c>
      <c r="N738" t="s">
        <v>25</v>
      </c>
      <c r="O738" t="str">
        <f t="shared" si="110"/>
        <v>Low</v>
      </c>
      <c r="P738" t="str">
        <f t="shared" si="111"/>
        <v>Low</v>
      </c>
      <c r="Q738" t="str">
        <f t="shared" si="112"/>
        <v>Low</v>
      </c>
      <c r="R738" t="s">
        <v>3317</v>
      </c>
      <c r="S738" s="4">
        <f t="shared" ca="1" si="113"/>
        <v>689</v>
      </c>
      <c r="T738">
        <f t="shared" si="114"/>
        <v>1</v>
      </c>
      <c r="U738">
        <f t="shared" si="115"/>
        <v>1</v>
      </c>
      <c r="V738">
        <f t="shared" si="116"/>
        <v>1</v>
      </c>
      <c r="W738">
        <f t="shared" si="117"/>
        <v>1</v>
      </c>
      <c r="X738">
        <f t="shared" si="118"/>
        <v>0.99999999999999989</v>
      </c>
      <c r="Y738" t="str">
        <f t="shared" si="119"/>
        <v>Healthy</v>
      </c>
    </row>
    <row r="739" spans="1:25" x14ac:dyDescent="0.35">
      <c r="A739" t="s">
        <v>189</v>
      </c>
      <c r="B739" t="s">
        <v>639</v>
      </c>
      <c r="C739" t="s">
        <v>639</v>
      </c>
      <c r="D739" t="s">
        <v>642</v>
      </c>
      <c r="E739">
        <v>83911124</v>
      </c>
      <c r="F739" t="s">
        <v>643</v>
      </c>
      <c r="G739" s="3">
        <v>46633</v>
      </c>
      <c r="H739">
        <v>18</v>
      </c>
      <c r="I739">
        <v>82</v>
      </c>
      <c r="J739">
        <v>453</v>
      </c>
      <c r="K739" s="4">
        <v>214087.8</v>
      </c>
      <c r="L739" s="4">
        <v>532.71428571428567</v>
      </c>
      <c r="M739" s="4">
        <v>0.8503620273531779</v>
      </c>
      <c r="N739" t="s">
        <v>25</v>
      </c>
      <c r="O739" t="str">
        <f t="shared" si="110"/>
        <v>Low</v>
      </c>
      <c r="P739" t="str">
        <f t="shared" si="111"/>
        <v>Low</v>
      </c>
      <c r="Q739" t="str">
        <f t="shared" si="112"/>
        <v>Low</v>
      </c>
      <c r="R739" t="s">
        <v>3309</v>
      </c>
      <c r="S739" s="4">
        <f t="shared" ca="1" si="113"/>
        <v>436</v>
      </c>
      <c r="T739">
        <f t="shared" si="114"/>
        <v>1</v>
      </c>
      <c r="U739">
        <f t="shared" si="115"/>
        <v>1</v>
      </c>
      <c r="V739">
        <f t="shared" si="116"/>
        <v>1</v>
      </c>
      <c r="W739">
        <f t="shared" si="117"/>
        <v>3</v>
      </c>
      <c r="X739">
        <f t="shared" si="118"/>
        <v>1.2</v>
      </c>
      <c r="Y739" t="str">
        <f t="shared" si="119"/>
        <v>Healthy</v>
      </c>
    </row>
    <row r="740" spans="1:25" x14ac:dyDescent="0.35">
      <c r="A740" t="s">
        <v>90</v>
      </c>
      <c r="B740" t="s">
        <v>217</v>
      </c>
      <c r="C740" t="s">
        <v>542</v>
      </c>
      <c r="D740" t="s">
        <v>635</v>
      </c>
      <c r="E740">
        <v>83911638</v>
      </c>
      <c r="F740" t="s">
        <v>636</v>
      </c>
      <c r="G740" s="3">
        <v>46873</v>
      </c>
      <c r="H740">
        <v>24</v>
      </c>
      <c r="I740">
        <v>95</v>
      </c>
      <c r="J740">
        <v>443</v>
      </c>
      <c r="K740" s="4">
        <v>109000.15</v>
      </c>
      <c r="L740" s="4">
        <v>2679.1428571428573</v>
      </c>
      <c r="M740" s="4">
        <v>0.16535139170310334</v>
      </c>
      <c r="N740" t="s">
        <v>25</v>
      </c>
      <c r="O740" t="str">
        <f t="shared" si="110"/>
        <v>Low</v>
      </c>
      <c r="P740" t="str">
        <f t="shared" si="111"/>
        <v>Low</v>
      </c>
      <c r="Q740" t="str">
        <f t="shared" si="112"/>
        <v>Low</v>
      </c>
      <c r="R740" t="s">
        <v>3310</v>
      </c>
      <c r="S740" s="4">
        <f t="shared" ca="1" si="113"/>
        <v>676</v>
      </c>
      <c r="T740">
        <f t="shared" si="114"/>
        <v>1</v>
      </c>
      <c r="U740">
        <f t="shared" si="115"/>
        <v>1</v>
      </c>
      <c r="V740">
        <f t="shared" si="116"/>
        <v>1</v>
      </c>
      <c r="W740">
        <f t="shared" si="117"/>
        <v>2</v>
      </c>
      <c r="X740">
        <f t="shared" si="118"/>
        <v>1.0999999999999999</v>
      </c>
      <c r="Y740" t="str">
        <f t="shared" si="119"/>
        <v>Healthy</v>
      </c>
    </row>
    <row r="741" spans="1:25" x14ac:dyDescent="0.35">
      <c r="A741" t="s">
        <v>189</v>
      </c>
      <c r="B741" t="s">
        <v>639</v>
      </c>
      <c r="C741" t="s">
        <v>639</v>
      </c>
      <c r="D741" t="s">
        <v>642</v>
      </c>
      <c r="E741">
        <v>83911124</v>
      </c>
      <c r="F741" t="s">
        <v>643</v>
      </c>
      <c r="G741" s="3">
        <v>46594</v>
      </c>
      <c r="H741">
        <v>18</v>
      </c>
      <c r="I741">
        <v>74</v>
      </c>
      <c r="J741">
        <v>753</v>
      </c>
      <c r="K741" s="4">
        <v>355867.8</v>
      </c>
      <c r="L741" s="4">
        <v>532.71428571428567</v>
      </c>
      <c r="M741" s="4">
        <v>1.4135156878519712</v>
      </c>
      <c r="N741" t="s">
        <v>25</v>
      </c>
      <c r="O741" t="str">
        <f t="shared" si="110"/>
        <v>Low</v>
      </c>
      <c r="P741" t="str">
        <f t="shared" si="111"/>
        <v>Low</v>
      </c>
      <c r="Q741" t="str">
        <f t="shared" si="112"/>
        <v>Low</v>
      </c>
      <c r="R741" t="s">
        <v>3309</v>
      </c>
      <c r="S741" s="4">
        <f t="shared" ca="1" si="113"/>
        <v>397</v>
      </c>
      <c r="T741">
        <f t="shared" si="114"/>
        <v>1</v>
      </c>
      <c r="U741">
        <f t="shared" si="115"/>
        <v>1</v>
      </c>
      <c r="V741">
        <f t="shared" si="116"/>
        <v>1</v>
      </c>
      <c r="W741">
        <f t="shared" si="117"/>
        <v>3</v>
      </c>
      <c r="X741">
        <f t="shared" si="118"/>
        <v>1.2</v>
      </c>
      <c r="Y741" t="str">
        <f t="shared" si="119"/>
        <v>Healthy</v>
      </c>
    </row>
    <row r="742" spans="1:25" x14ac:dyDescent="0.35">
      <c r="A742" t="s">
        <v>90</v>
      </c>
      <c r="B742" t="s">
        <v>217</v>
      </c>
      <c r="C742" t="s">
        <v>542</v>
      </c>
      <c r="D742" t="s">
        <v>635</v>
      </c>
      <c r="E742">
        <v>83911638</v>
      </c>
      <c r="F742" t="s">
        <v>636</v>
      </c>
      <c r="G742" s="3">
        <v>46912</v>
      </c>
      <c r="H742">
        <v>24</v>
      </c>
      <c r="I742">
        <v>100</v>
      </c>
      <c r="J742">
        <v>2136</v>
      </c>
      <c r="K742" s="4">
        <v>525562.80000000005</v>
      </c>
      <c r="L742" s="4">
        <v>2679.1428571428573</v>
      </c>
      <c r="M742" s="4">
        <v>0.79726991575130635</v>
      </c>
      <c r="N742" t="s">
        <v>25</v>
      </c>
      <c r="O742" t="str">
        <f t="shared" si="110"/>
        <v>Low</v>
      </c>
      <c r="P742" t="str">
        <f t="shared" si="111"/>
        <v>Low</v>
      </c>
      <c r="Q742" t="str">
        <f t="shared" si="112"/>
        <v>Low</v>
      </c>
      <c r="R742" t="s">
        <v>3309</v>
      </c>
      <c r="S742" s="4">
        <f t="shared" ca="1" si="113"/>
        <v>715</v>
      </c>
      <c r="T742">
        <f t="shared" si="114"/>
        <v>1</v>
      </c>
      <c r="U742">
        <f t="shared" si="115"/>
        <v>1</v>
      </c>
      <c r="V742">
        <f t="shared" si="116"/>
        <v>1</v>
      </c>
      <c r="W742">
        <f t="shared" si="117"/>
        <v>3</v>
      </c>
      <c r="X742">
        <f t="shared" si="118"/>
        <v>1.2</v>
      </c>
      <c r="Y742" t="str">
        <f t="shared" si="119"/>
        <v>Healthy</v>
      </c>
    </row>
    <row r="743" spans="1:25" x14ac:dyDescent="0.35">
      <c r="A743" t="s">
        <v>189</v>
      </c>
      <c r="B743" t="s">
        <v>639</v>
      </c>
      <c r="C743" t="s">
        <v>639</v>
      </c>
      <c r="D743" t="s">
        <v>642</v>
      </c>
      <c r="E743">
        <v>83911124</v>
      </c>
      <c r="F743" t="s">
        <v>643</v>
      </c>
      <c r="G743" s="3">
        <v>46590</v>
      </c>
      <c r="H743">
        <v>18</v>
      </c>
      <c r="I743">
        <v>74</v>
      </c>
      <c r="J743">
        <v>494</v>
      </c>
      <c r="K743" s="4">
        <v>233464.4</v>
      </c>
      <c r="L743" s="4">
        <v>532.71428571428567</v>
      </c>
      <c r="M743" s="4">
        <v>0.92732636095467957</v>
      </c>
      <c r="N743" t="s">
        <v>25</v>
      </c>
      <c r="O743" t="str">
        <f t="shared" si="110"/>
        <v>Low</v>
      </c>
      <c r="P743" t="str">
        <f t="shared" si="111"/>
        <v>Low</v>
      </c>
      <c r="Q743" t="str">
        <f t="shared" si="112"/>
        <v>Low</v>
      </c>
      <c r="R743" t="s">
        <v>3309</v>
      </c>
      <c r="S743" s="4">
        <f t="shared" ca="1" si="113"/>
        <v>393</v>
      </c>
      <c r="T743">
        <f t="shared" si="114"/>
        <v>1</v>
      </c>
      <c r="U743">
        <f t="shared" si="115"/>
        <v>1</v>
      </c>
      <c r="V743">
        <f t="shared" si="116"/>
        <v>1</v>
      </c>
      <c r="W743">
        <f t="shared" si="117"/>
        <v>3</v>
      </c>
      <c r="X743">
        <f t="shared" si="118"/>
        <v>1.2</v>
      </c>
      <c r="Y743" t="str">
        <f t="shared" si="119"/>
        <v>Healthy</v>
      </c>
    </row>
    <row r="744" spans="1:25" x14ac:dyDescent="0.35">
      <c r="A744" t="s">
        <v>90</v>
      </c>
      <c r="B744" t="s">
        <v>217</v>
      </c>
      <c r="C744" t="s">
        <v>542</v>
      </c>
      <c r="D744" t="s">
        <v>635</v>
      </c>
      <c r="E744">
        <v>83911638</v>
      </c>
      <c r="F744" t="s">
        <v>636</v>
      </c>
      <c r="G744" s="3">
        <v>46892</v>
      </c>
      <c r="H744">
        <v>24</v>
      </c>
      <c r="I744">
        <v>97</v>
      </c>
      <c r="J744">
        <v>2795</v>
      </c>
      <c r="K744" s="4">
        <v>687709.75</v>
      </c>
      <c r="L744" s="4">
        <v>2679.1428571428573</v>
      </c>
      <c r="M744" s="4">
        <v>1.043244107923643</v>
      </c>
      <c r="N744" t="s">
        <v>25</v>
      </c>
      <c r="O744" t="str">
        <f t="shared" si="110"/>
        <v>Low</v>
      </c>
      <c r="P744" t="str">
        <f t="shared" si="111"/>
        <v>Low</v>
      </c>
      <c r="Q744" t="str">
        <f t="shared" si="112"/>
        <v>Low</v>
      </c>
      <c r="R744" t="s">
        <v>3309</v>
      </c>
      <c r="S744" s="4">
        <f t="shared" ca="1" si="113"/>
        <v>695</v>
      </c>
      <c r="T744">
        <f t="shared" si="114"/>
        <v>1</v>
      </c>
      <c r="U744">
        <f t="shared" si="115"/>
        <v>1</v>
      </c>
      <c r="V744">
        <f t="shared" si="116"/>
        <v>1</v>
      </c>
      <c r="W744">
        <f t="shared" si="117"/>
        <v>3</v>
      </c>
      <c r="X744">
        <f t="shared" si="118"/>
        <v>1.2</v>
      </c>
      <c r="Y744" t="str">
        <f t="shared" si="119"/>
        <v>Healthy</v>
      </c>
    </row>
    <row r="745" spans="1:25" x14ac:dyDescent="0.35">
      <c r="A745" t="s">
        <v>189</v>
      </c>
      <c r="B745" t="s">
        <v>639</v>
      </c>
      <c r="C745" t="s">
        <v>639</v>
      </c>
      <c r="D745" t="s">
        <v>642</v>
      </c>
      <c r="E745">
        <v>83911124</v>
      </c>
      <c r="F745" t="s">
        <v>643</v>
      </c>
      <c r="G745" s="3">
        <v>46399</v>
      </c>
      <c r="H745">
        <v>18</v>
      </c>
      <c r="I745">
        <v>38</v>
      </c>
      <c r="J745">
        <v>360</v>
      </c>
      <c r="K745" s="4">
        <v>170136</v>
      </c>
      <c r="L745" s="4">
        <v>532.71428571428567</v>
      </c>
      <c r="M745" s="4">
        <v>0.67578439259855194</v>
      </c>
      <c r="N745" t="s">
        <v>25</v>
      </c>
      <c r="O745" t="str">
        <f t="shared" si="110"/>
        <v>Medium</v>
      </c>
      <c r="P745" t="str">
        <f t="shared" si="111"/>
        <v>Low</v>
      </c>
      <c r="Q745" t="str">
        <f t="shared" si="112"/>
        <v>Low</v>
      </c>
      <c r="R745" t="s">
        <v>3309</v>
      </c>
      <c r="S745" s="4">
        <f t="shared" ca="1" si="113"/>
        <v>202</v>
      </c>
      <c r="T745">
        <f t="shared" si="114"/>
        <v>2</v>
      </c>
      <c r="U745">
        <f t="shared" si="115"/>
        <v>1</v>
      </c>
      <c r="V745">
        <f t="shared" si="116"/>
        <v>1</v>
      </c>
      <c r="W745">
        <f t="shared" si="117"/>
        <v>3</v>
      </c>
      <c r="X745">
        <f t="shared" si="118"/>
        <v>1.6</v>
      </c>
      <c r="Y745" t="str">
        <f t="shared" si="119"/>
        <v>Healthy</v>
      </c>
    </row>
    <row r="746" spans="1:25" x14ac:dyDescent="0.35">
      <c r="A746" t="s">
        <v>20</v>
      </c>
      <c r="B746" t="s">
        <v>21</v>
      </c>
      <c r="C746" t="s">
        <v>644</v>
      </c>
      <c r="D746" t="s">
        <v>645</v>
      </c>
      <c r="E746">
        <v>83908091</v>
      </c>
      <c r="F746" t="s">
        <v>646</v>
      </c>
      <c r="G746" s="3">
        <v>47236</v>
      </c>
      <c r="H746">
        <v>36</v>
      </c>
      <c r="I746">
        <v>97</v>
      </c>
      <c r="J746">
        <v>68</v>
      </c>
      <c r="K746" s="4">
        <v>162262.28</v>
      </c>
      <c r="L746" s="4">
        <f>0</f>
        <v>0</v>
      </c>
      <c r="M746" s="4">
        <f>999</f>
        <v>999</v>
      </c>
      <c r="N746" t="s">
        <v>19</v>
      </c>
      <c r="O746" t="str">
        <f t="shared" si="110"/>
        <v>Low</v>
      </c>
      <c r="P746" t="str">
        <f t="shared" si="111"/>
        <v>High</v>
      </c>
      <c r="Q746" t="str">
        <f t="shared" si="112"/>
        <v>High</v>
      </c>
      <c r="R746" t="s">
        <v>3309</v>
      </c>
      <c r="S746" s="4">
        <f t="shared" ca="1" si="113"/>
        <v>1039</v>
      </c>
      <c r="T746">
        <f t="shared" si="114"/>
        <v>1</v>
      </c>
      <c r="U746">
        <f t="shared" si="115"/>
        <v>3</v>
      </c>
      <c r="V746">
        <f t="shared" si="116"/>
        <v>3</v>
      </c>
      <c r="W746">
        <f t="shared" si="117"/>
        <v>3</v>
      </c>
      <c r="X746">
        <f t="shared" si="118"/>
        <v>2.2000000000000002</v>
      </c>
      <c r="Y746" t="str">
        <f t="shared" si="119"/>
        <v>High Priority</v>
      </c>
    </row>
    <row r="747" spans="1:25" x14ac:dyDescent="0.35">
      <c r="A747" t="s">
        <v>29</v>
      </c>
      <c r="B747" t="s">
        <v>30</v>
      </c>
      <c r="C747" t="s">
        <v>276</v>
      </c>
      <c r="D747" t="s">
        <v>647</v>
      </c>
      <c r="E747">
        <v>80888337</v>
      </c>
      <c r="F747" t="s">
        <v>648</v>
      </c>
      <c r="G747" s="3">
        <v>46984</v>
      </c>
      <c r="H747">
        <v>36</v>
      </c>
      <c r="I747">
        <v>73</v>
      </c>
      <c r="J747">
        <v>36</v>
      </c>
      <c r="K747" s="4">
        <v>57569.4</v>
      </c>
      <c r="L747" s="4">
        <v>5.1428571428571432</v>
      </c>
      <c r="M747" s="4">
        <v>6.9999999999999991</v>
      </c>
      <c r="N747" t="s">
        <v>19</v>
      </c>
      <c r="O747" t="str">
        <f t="shared" si="110"/>
        <v>Low</v>
      </c>
      <c r="P747" t="str">
        <f t="shared" si="111"/>
        <v>Medium</v>
      </c>
      <c r="Q747" t="str">
        <f t="shared" si="112"/>
        <v>Medium</v>
      </c>
      <c r="R747" t="s">
        <v>3317</v>
      </c>
      <c r="S747" s="4">
        <f t="shared" ca="1" si="113"/>
        <v>787</v>
      </c>
      <c r="T747">
        <f t="shared" si="114"/>
        <v>1</v>
      </c>
      <c r="U747">
        <f t="shared" si="115"/>
        <v>2</v>
      </c>
      <c r="V747">
        <f t="shared" si="116"/>
        <v>2</v>
      </c>
      <c r="W747">
        <f t="shared" si="117"/>
        <v>1</v>
      </c>
      <c r="X747">
        <f t="shared" si="118"/>
        <v>1.5</v>
      </c>
      <c r="Y747" t="str">
        <f t="shared" si="119"/>
        <v>Healthy</v>
      </c>
    </row>
    <row r="748" spans="1:25" x14ac:dyDescent="0.35">
      <c r="A748" t="s">
        <v>71</v>
      </c>
      <c r="B748" t="s">
        <v>72</v>
      </c>
      <c r="C748" t="s">
        <v>572</v>
      </c>
      <c r="D748" t="s">
        <v>649</v>
      </c>
      <c r="E748">
        <v>83918758</v>
      </c>
      <c r="F748" t="s">
        <v>650</v>
      </c>
      <c r="G748" s="3">
        <v>47280</v>
      </c>
      <c r="H748">
        <v>36</v>
      </c>
      <c r="I748">
        <v>100</v>
      </c>
      <c r="J748">
        <v>440</v>
      </c>
      <c r="K748" s="4">
        <v>33440</v>
      </c>
      <c r="L748" s="4">
        <f>0</f>
        <v>0</v>
      </c>
      <c r="M748" s="4">
        <f>999</f>
        <v>999</v>
      </c>
      <c r="N748" t="s">
        <v>19</v>
      </c>
      <c r="O748" t="str">
        <f t="shared" si="110"/>
        <v>Low</v>
      </c>
      <c r="P748" t="str">
        <f t="shared" si="111"/>
        <v>High</v>
      </c>
      <c r="Q748" t="str">
        <f t="shared" si="112"/>
        <v>High</v>
      </c>
      <c r="R748" t="s">
        <v>3317</v>
      </c>
      <c r="S748" s="4">
        <f t="shared" ca="1" si="113"/>
        <v>1083</v>
      </c>
      <c r="T748">
        <f t="shared" si="114"/>
        <v>1</v>
      </c>
      <c r="U748">
        <f t="shared" si="115"/>
        <v>3</v>
      </c>
      <c r="V748">
        <f t="shared" si="116"/>
        <v>3</v>
      </c>
      <c r="W748">
        <f t="shared" si="117"/>
        <v>1</v>
      </c>
      <c r="X748">
        <f t="shared" si="118"/>
        <v>2</v>
      </c>
      <c r="Y748" t="str">
        <f t="shared" si="119"/>
        <v>Monitor</v>
      </c>
    </row>
    <row r="749" spans="1:25" x14ac:dyDescent="0.35">
      <c r="A749" t="s">
        <v>29</v>
      </c>
      <c r="B749" t="s">
        <v>30</v>
      </c>
      <c r="C749" t="s">
        <v>276</v>
      </c>
      <c r="D749" t="s">
        <v>277</v>
      </c>
      <c r="E749">
        <v>80888339</v>
      </c>
      <c r="F749" t="s">
        <v>651</v>
      </c>
      <c r="G749" s="3">
        <v>47088</v>
      </c>
      <c r="H749">
        <v>36</v>
      </c>
      <c r="I749">
        <v>83</v>
      </c>
      <c r="J749">
        <v>22</v>
      </c>
      <c r="K749" s="4">
        <v>35181.300000000003</v>
      </c>
      <c r="L749" s="4">
        <v>75.428571428571431</v>
      </c>
      <c r="M749" s="4">
        <v>0.29166666666666669</v>
      </c>
      <c r="N749" t="s">
        <v>25</v>
      </c>
      <c r="O749" t="str">
        <f t="shared" si="110"/>
        <v>Low</v>
      </c>
      <c r="P749" t="str">
        <f t="shared" si="111"/>
        <v>Low</v>
      </c>
      <c r="Q749" t="str">
        <f t="shared" si="112"/>
        <v>Low</v>
      </c>
      <c r="R749" t="s">
        <v>3317</v>
      </c>
      <c r="S749" s="4">
        <f t="shared" ca="1" si="113"/>
        <v>891</v>
      </c>
      <c r="T749">
        <f t="shared" si="114"/>
        <v>1</v>
      </c>
      <c r="U749">
        <f t="shared" si="115"/>
        <v>1</v>
      </c>
      <c r="V749">
        <f t="shared" si="116"/>
        <v>1</v>
      </c>
      <c r="W749">
        <f t="shared" si="117"/>
        <v>1</v>
      </c>
      <c r="X749">
        <f t="shared" si="118"/>
        <v>0.99999999999999989</v>
      </c>
      <c r="Y749" t="str">
        <f t="shared" si="119"/>
        <v>Healthy</v>
      </c>
    </row>
    <row r="750" spans="1:25" x14ac:dyDescent="0.35">
      <c r="A750" t="s">
        <v>20</v>
      </c>
      <c r="B750" t="s">
        <v>21</v>
      </c>
      <c r="C750" t="s">
        <v>644</v>
      </c>
      <c r="D750" t="s">
        <v>652</v>
      </c>
      <c r="E750">
        <v>83922333</v>
      </c>
      <c r="F750" t="s">
        <v>653</v>
      </c>
      <c r="G750" s="3">
        <v>47259</v>
      </c>
      <c r="H750">
        <v>36</v>
      </c>
      <c r="I750">
        <v>99</v>
      </c>
      <c r="J750">
        <v>1170</v>
      </c>
      <c r="K750" s="4">
        <v>389668.5</v>
      </c>
      <c r="L750" s="4">
        <f>0</f>
        <v>0</v>
      </c>
      <c r="M750" s="4">
        <f>999</f>
        <v>999</v>
      </c>
      <c r="N750" t="s">
        <v>19</v>
      </c>
      <c r="O750" t="str">
        <f t="shared" si="110"/>
        <v>Low</v>
      </c>
      <c r="P750" t="str">
        <f t="shared" si="111"/>
        <v>High</v>
      </c>
      <c r="Q750" t="str">
        <f t="shared" si="112"/>
        <v>High</v>
      </c>
      <c r="R750" t="s">
        <v>3309</v>
      </c>
      <c r="S750" s="4">
        <f t="shared" ca="1" si="113"/>
        <v>1062</v>
      </c>
      <c r="T750">
        <f t="shared" si="114"/>
        <v>1</v>
      </c>
      <c r="U750">
        <f t="shared" si="115"/>
        <v>3</v>
      </c>
      <c r="V750">
        <f t="shared" si="116"/>
        <v>3</v>
      </c>
      <c r="W750">
        <f t="shared" si="117"/>
        <v>3</v>
      </c>
      <c r="X750">
        <f t="shared" si="118"/>
        <v>2.2000000000000002</v>
      </c>
      <c r="Y750" t="str">
        <f t="shared" si="119"/>
        <v>High Priority</v>
      </c>
    </row>
    <row r="751" spans="1:25" x14ac:dyDescent="0.35">
      <c r="A751" t="s">
        <v>29</v>
      </c>
      <c r="B751" t="s">
        <v>30</v>
      </c>
      <c r="C751" t="s">
        <v>276</v>
      </c>
      <c r="D751" t="s">
        <v>277</v>
      </c>
      <c r="E751">
        <v>80888339</v>
      </c>
      <c r="F751" t="s">
        <v>651</v>
      </c>
      <c r="G751" s="3">
        <v>47208</v>
      </c>
      <c r="H751">
        <v>36</v>
      </c>
      <c r="I751">
        <v>94</v>
      </c>
      <c r="J751">
        <v>199</v>
      </c>
      <c r="K751" s="4">
        <v>318230.84999999998</v>
      </c>
      <c r="L751" s="4">
        <v>75.428571428571431</v>
      </c>
      <c r="M751" s="4">
        <v>2.6382575757575757</v>
      </c>
      <c r="N751" t="s">
        <v>25</v>
      </c>
      <c r="O751" t="str">
        <f t="shared" si="110"/>
        <v>Low</v>
      </c>
      <c r="P751" t="str">
        <f t="shared" si="111"/>
        <v>Low</v>
      </c>
      <c r="Q751" t="str">
        <f t="shared" si="112"/>
        <v>Low</v>
      </c>
      <c r="R751" t="s">
        <v>3309</v>
      </c>
      <c r="S751" s="4">
        <f t="shared" ca="1" si="113"/>
        <v>1011</v>
      </c>
      <c r="T751">
        <f t="shared" si="114"/>
        <v>1</v>
      </c>
      <c r="U751">
        <f t="shared" si="115"/>
        <v>1</v>
      </c>
      <c r="V751">
        <f t="shared" si="116"/>
        <v>1</v>
      </c>
      <c r="W751">
        <f t="shared" si="117"/>
        <v>3</v>
      </c>
      <c r="X751">
        <f t="shared" si="118"/>
        <v>1.2</v>
      </c>
      <c r="Y751" t="str">
        <f t="shared" si="119"/>
        <v>Healthy</v>
      </c>
    </row>
    <row r="752" spans="1:25" x14ac:dyDescent="0.35">
      <c r="A752" t="s">
        <v>29</v>
      </c>
      <c r="B752" t="s">
        <v>30</v>
      </c>
      <c r="C752" t="s">
        <v>276</v>
      </c>
      <c r="D752" t="s">
        <v>277</v>
      </c>
      <c r="E752">
        <v>80888339</v>
      </c>
      <c r="F752" t="s">
        <v>651</v>
      </c>
      <c r="G752" s="3">
        <v>47180</v>
      </c>
      <c r="H752">
        <v>36</v>
      </c>
      <c r="I752">
        <v>91</v>
      </c>
      <c r="J752">
        <v>6</v>
      </c>
      <c r="K752" s="4">
        <v>9594.9</v>
      </c>
      <c r="L752" s="4">
        <v>75.428571428571431</v>
      </c>
      <c r="M752" s="4">
        <v>7.9545454545454544E-2</v>
      </c>
      <c r="N752" t="s">
        <v>25</v>
      </c>
      <c r="O752" t="str">
        <f t="shared" si="110"/>
        <v>Low</v>
      </c>
      <c r="P752" t="str">
        <f t="shared" si="111"/>
        <v>Low</v>
      </c>
      <c r="Q752" t="str">
        <f t="shared" si="112"/>
        <v>Low</v>
      </c>
      <c r="R752" t="s">
        <v>3317</v>
      </c>
      <c r="S752" s="4">
        <f t="shared" ca="1" si="113"/>
        <v>983</v>
      </c>
      <c r="T752">
        <f t="shared" si="114"/>
        <v>1</v>
      </c>
      <c r="U752">
        <f t="shared" si="115"/>
        <v>1</v>
      </c>
      <c r="V752">
        <f t="shared" si="116"/>
        <v>1</v>
      </c>
      <c r="W752">
        <f t="shared" si="117"/>
        <v>1</v>
      </c>
      <c r="X752">
        <f t="shared" si="118"/>
        <v>0.99999999999999989</v>
      </c>
      <c r="Y752" t="str">
        <f t="shared" si="119"/>
        <v>Healthy</v>
      </c>
    </row>
    <row r="753" spans="1:25" x14ac:dyDescent="0.35">
      <c r="A753" t="s">
        <v>29</v>
      </c>
      <c r="B753" t="s">
        <v>30</v>
      </c>
      <c r="C753" t="s">
        <v>276</v>
      </c>
      <c r="D753" t="s">
        <v>277</v>
      </c>
      <c r="E753">
        <v>80888339</v>
      </c>
      <c r="F753" t="s">
        <v>651</v>
      </c>
      <c r="G753" s="3">
        <v>46979</v>
      </c>
      <c r="H753">
        <v>36</v>
      </c>
      <c r="I753">
        <v>73</v>
      </c>
      <c r="J753">
        <v>21</v>
      </c>
      <c r="K753" s="4">
        <v>33582.15</v>
      </c>
      <c r="L753" s="4">
        <v>75.428571428571431</v>
      </c>
      <c r="M753" s="4">
        <v>0.27840909090909088</v>
      </c>
      <c r="N753" t="s">
        <v>25</v>
      </c>
      <c r="O753" t="str">
        <f t="shared" si="110"/>
        <v>Low</v>
      </c>
      <c r="P753" t="str">
        <f t="shared" si="111"/>
        <v>Low</v>
      </c>
      <c r="Q753" t="str">
        <f t="shared" si="112"/>
        <v>Low</v>
      </c>
      <c r="R753" t="s">
        <v>3317</v>
      </c>
      <c r="S753" s="4">
        <f t="shared" ca="1" si="113"/>
        <v>782</v>
      </c>
      <c r="T753">
        <f t="shared" si="114"/>
        <v>1</v>
      </c>
      <c r="U753">
        <f t="shared" si="115"/>
        <v>1</v>
      </c>
      <c r="V753">
        <f t="shared" si="116"/>
        <v>1</v>
      </c>
      <c r="W753">
        <f t="shared" si="117"/>
        <v>1</v>
      </c>
      <c r="X753">
        <f t="shared" si="118"/>
        <v>0.99999999999999989</v>
      </c>
      <c r="Y753" t="str">
        <f t="shared" si="119"/>
        <v>Healthy</v>
      </c>
    </row>
    <row r="754" spans="1:25" x14ac:dyDescent="0.35">
      <c r="A754" t="s">
        <v>29</v>
      </c>
      <c r="B754" t="s">
        <v>30</v>
      </c>
      <c r="C754" t="s">
        <v>276</v>
      </c>
      <c r="D754" t="s">
        <v>277</v>
      </c>
      <c r="E754">
        <v>80888339</v>
      </c>
      <c r="F754" t="s">
        <v>651</v>
      </c>
      <c r="G754" s="3">
        <v>47088</v>
      </c>
      <c r="H754">
        <v>36</v>
      </c>
      <c r="I754">
        <v>83</v>
      </c>
      <c r="J754">
        <v>6</v>
      </c>
      <c r="K754" s="4">
        <v>9594.9</v>
      </c>
      <c r="L754" s="4">
        <v>75.428571428571431</v>
      </c>
      <c r="M754" s="4">
        <v>7.9545454545454544E-2</v>
      </c>
      <c r="N754" t="s">
        <v>25</v>
      </c>
      <c r="O754" t="str">
        <f t="shared" si="110"/>
        <v>Low</v>
      </c>
      <c r="P754" t="str">
        <f t="shared" si="111"/>
        <v>Low</v>
      </c>
      <c r="Q754" t="str">
        <f t="shared" si="112"/>
        <v>Low</v>
      </c>
      <c r="R754" t="s">
        <v>3317</v>
      </c>
      <c r="S754" s="4">
        <f t="shared" ca="1" si="113"/>
        <v>891</v>
      </c>
      <c r="T754">
        <f t="shared" si="114"/>
        <v>1</v>
      </c>
      <c r="U754">
        <f t="shared" si="115"/>
        <v>1</v>
      </c>
      <c r="V754">
        <f t="shared" si="116"/>
        <v>1</v>
      </c>
      <c r="W754">
        <f t="shared" si="117"/>
        <v>1</v>
      </c>
      <c r="X754">
        <f t="shared" si="118"/>
        <v>0.99999999999999989</v>
      </c>
      <c r="Y754" t="str">
        <f t="shared" si="119"/>
        <v>Healthy</v>
      </c>
    </row>
    <row r="755" spans="1:25" x14ac:dyDescent="0.35">
      <c r="A755" t="s">
        <v>29</v>
      </c>
      <c r="B755" t="s">
        <v>30</v>
      </c>
      <c r="C755" t="s">
        <v>276</v>
      </c>
      <c r="D755" t="s">
        <v>277</v>
      </c>
      <c r="E755">
        <v>80888339</v>
      </c>
      <c r="F755" t="s">
        <v>651</v>
      </c>
      <c r="G755" s="3">
        <v>47146</v>
      </c>
      <c r="H755">
        <v>36</v>
      </c>
      <c r="I755">
        <v>88</v>
      </c>
      <c r="J755">
        <v>24</v>
      </c>
      <c r="K755" s="4">
        <v>38379.599999999999</v>
      </c>
      <c r="L755" s="4">
        <v>75.428571428571431</v>
      </c>
      <c r="M755" s="4">
        <v>0.31818181818181818</v>
      </c>
      <c r="N755" t="s">
        <v>25</v>
      </c>
      <c r="O755" t="str">
        <f t="shared" si="110"/>
        <v>Low</v>
      </c>
      <c r="P755" t="str">
        <f t="shared" si="111"/>
        <v>Low</v>
      </c>
      <c r="Q755" t="str">
        <f t="shared" si="112"/>
        <v>Low</v>
      </c>
      <c r="R755" t="s">
        <v>3317</v>
      </c>
      <c r="S755" s="4">
        <f t="shared" ca="1" si="113"/>
        <v>949</v>
      </c>
      <c r="T755">
        <f t="shared" si="114"/>
        <v>1</v>
      </c>
      <c r="U755">
        <f t="shared" si="115"/>
        <v>1</v>
      </c>
      <c r="V755">
        <f t="shared" si="116"/>
        <v>1</v>
      </c>
      <c r="W755">
        <f t="shared" si="117"/>
        <v>1</v>
      </c>
      <c r="X755">
        <f t="shared" si="118"/>
        <v>0.99999999999999989</v>
      </c>
      <c r="Y755" t="str">
        <f t="shared" si="119"/>
        <v>Healthy</v>
      </c>
    </row>
    <row r="756" spans="1:25" x14ac:dyDescent="0.35">
      <c r="A756" t="s">
        <v>179</v>
      </c>
      <c r="B756" t="s">
        <v>195</v>
      </c>
      <c r="C756" t="s">
        <v>199</v>
      </c>
      <c r="D756" t="s">
        <v>654</v>
      </c>
      <c r="E756">
        <v>83906434</v>
      </c>
      <c r="F756" t="s">
        <v>655</v>
      </c>
      <c r="G756" s="3">
        <v>46647</v>
      </c>
      <c r="H756">
        <v>16</v>
      </c>
      <c r="I756">
        <v>95</v>
      </c>
      <c r="J756">
        <v>287</v>
      </c>
      <c r="K756" s="4">
        <v>43368.57</v>
      </c>
      <c r="L756" s="4">
        <v>116.14285714285714</v>
      </c>
      <c r="M756" s="4">
        <v>2.4710947109471095</v>
      </c>
      <c r="N756" t="s">
        <v>25</v>
      </c>
      <c r="O756" t="str">
        <f t="shared" si="110"/>
        <v>Low</v>
      </c>
      <c r="P756" t="str">
        <f t="shared" si="111"/>
        <v>Low</v>
      </c>
      <c r="Q756" t="str">
        <f t="shared" si="112"/>
        <v>Low</v>
      </c>
      <c r="R756" t="s">
        <v>3317</v>
      </c>
      <c r="S756" s="4">
        <f t="shared" ca="1" si="113"/>
        <v>450</v>
      </c>
      <c r="T756">
        <f t="shared" si="114"/>
        <v>1</v>
      </c>
      <c r="U756">
        <f t="shared" si="115"/>
        <v>1</v>
      </c>
      <c r="V756">
        <f t="shared" si="116"/>
        <v>1</v>
      </c>
      <c r="W756">
        <f t="shared" si="117"/>
        <v>1</v>
      </c>
      <c r="X756">
        <f t="shared" si="118"/>
        <v>0.99999999999999989</v>
      </c>
      <c r="Y756" t="str">
        <f t="shared" si="119"/>
        <v>Healthy</v>
      </c>
    </row>
    <row r="757" spans="1:25" x14ac:dyDescent="0.35">
      <c r="A757" t="s">
        <v>20</v>
      </c>
      <c r="B757" t="s">
        <v>21</v>
      </c>
      <c r="C757" t="s">
        <v>656</v>
      </c>
      <c r="D757" t="s">
        <v>657</v>
      </c>
      <c r="E757">
        <v>80879954</v>
      </c>
      <c r="F757" t="s">
        <v>658</v>
      </c>
      <c r="G757" s="3">
        <v>47130</v>
      </c>
      <c r="H757">
        <v>36</v>
      </c>
      <c r="I757">
        <v>87</v>
      </c>
      <c r="J757">
        <v>842</v>
      </c>
      <c r="K757" s="4">
        <v>16840</v>
      </c>
      <c r="L757" s="4">
        <v>46</v>
      </c>
      <c r="M757" s="4">
        <v>18.304347826086957</v>
      </c>
      <c r="N757" t="s">
        <v>19</v>
      </c>
      <c r="O757" t="str">
        <f t="shared" si="110"/>
        <v>Low</v>
      </c>
      <c r="P757" t="str">
        <f t="shared" si="111"/>
        <v>High</v>
      </c>
      <c r="Q757" t="str">
        <f t="shared" si="112"/>
        <v>Low</v>
      </c>
      <c r="R757" t="s">
        <v>3317</v>
      </c>
      <c r="S757" s="4">
        <f t="shared" ca="1" si="113"/>
        <v>933</v>
      </c>
      <c r="T757">
        <f t="shared" si="114"/>
        <v>1</v>
      </c>
      <c r="U757">
        <f t="shared" si="115"/>
        <v>3</v>
      </c>
      <c r="V757">
        <f t="shared" si="116"/>
        <v>1</v>
      </c>
      <c r="W757">
        <f t="shared" si="117"/>
        <v>1</v>
      </c>
      <c r="X757">
        <f t="shared" si="118"/>
        <v>1.5999999999999999</v>
      </c>
      <c r="Y757" t="str">
        <f t="shared" si="119"/>
        <v>Healthy</v>
      </c>
    </row>
    <row r="758" spans="1:25" x14ac:dyDescent="0.35">
      <c r="A758" t="s">
        <v>20</v>
      </c>
      <c r="B758" t="s">
        <v>21</v>
      </c>
      <c r="C758" t="s">
        <v>214</v>
      </c>
      <c r="D758" t="s">
        <v>659</v>
      </c>
      <c r="E758">
        <v>80879957</v>
      </c>
      <c r="F758" t="s">
        <v>660</v>
      </c>
      <c r="G758" s="3">
        <v>47126</v>
      </c>
      <c r="H758">
        <v>36</v>
      </c>
      <c r="I758">
        <v>86</v>
      </c>
      <c r="J758">
        <v>298</v>
      </c>
      <c r="K758" s="4">
        <v>7152</v>
      </c>
      <c r="L758" s="4">
        <v>39.714285714285715</v>
      </c>
      <c r="M758" s="4">
        <v>7.5035971223021578</v>
      </c>
      <c r="N758" t="s">
        <v>19</v>
      </c>
      <c r="O758" t="str">
        <f t="shared" si="110"/>
        <v>Low</v>
      </c>
      <c r="P758" t="str">
        <f t="shared" si="111"/>
        <v>Medium</v>
      </c>
      <c r="Q758" t="str">
        <f t="shared" si="112"/>
        <v>Low</v>
      </c>
      <c r="R758" t="s">
        <v>3317</v>
      </c>
      <c r="S758" s="4">
        <f t="shared" ca="1" si="113"/>
        <v>929</v>
      </c>
      <c r="T758">
        <f t="shared" si="114"/>
        <v>1</v>
      </c>
      <c r="U758">
        <f t="shared" si="115"/>
        <v>2</v>
      </c>
      <c r="V758">
        <f t="shared" si="116"/>
        <v>1</v>
      </c>
      <c r="W758">
        <f t="shared" si="117"/>
        <v>1</v>
      </c>
      <c r="X758">
        <f t="shared" si="118"/>
        <v>1.3</v>
      </c>
      <c r="Y758" t="str">
        <f t="shared" si="119"/>
        <v>Healthy</v>
      </c>
    </row>
    <row r="759" spans="1:25" x14ac:dyDescent="0.35">
      <c r="A759" t="s">
        <v>20</v>
      </c>
      <c r="B759" t="s">
        <v>21</v>
      </c>
      <c r="C759" t="s">
        <v>644</v>
      </c>
      <c r="D759" t="s">
        <v>661</v>
      </c>
      <c r="E759">
        <v>80881353</v>
      </c>
      <c r="F759" t="s">
        <v>662</v>
      </c>
      <c r="G759" s="3">
        <v>47241</v>
      </c>
      <c r="H759">
        <v>36</v>
      </c>
      <c r="I759">
        <v>97</v>
      </c>
      <c r="J759">
        <v>134</v>
      </c>
      <c r="K759" s="4">
        <v>63215.839999999997</v>
      </c>
      <c r="L759" s="4">
        <v>426.28571428571428</v>
      </c>
      <c r="M759" s="4">
        <v>0.31434316353887398</v>
      </c>
      <c r="N759" t="s">
        <v>25</v>
      </c>
      <c r="O759" t="str">
        <f t="shared" si="110"/>
        <v>Low</v>
      </c>
      <c r="P759" t="str">
        <f t="shared" si="111"/>
        <v>Low</v>
      </c>
      <c r="Q759" t="str">
        <f t="shared" si="112"/>
        <v>Low</v>
      </c>
      <c r="R759" t="s">
        <v>3317</v>
      </c>
      <c r="S759" s="4">
        <f t="shared" ca="1" si="113"/>
        <v>1044</v>
      </c>
      <c r="T759">
        <f t="shared" si="114"/>
        <v>1</v>
      </c>
      <c r="U759">
        <f t="shared" si="115"/>
        <v>1</v>
      </c>
      <c r="V759">
        <f t="shared" si="116"/>
        <v>1</v>
      </c>
      <c r="W759">
        <f t="shared" si="117"/>
        <v>1</v>
      </c>
      <c r="X759">
        <f t="shared" si="118"/>
        <v>0.99999999999999989</v>
      </c>
      <c r="Y759" t="str">
        <f t="shared" si="119"/>
        <v>Healthy</v>
      </c>
    </row>
    <row r="760" spans="1:25" x14ac:dyDescent="0.35">
      <c r="A760" t="s">
        <v>20</v>
      </c>
      <c r="B760" t="s">
        <v>21</v>
      </c>
      <c r="C760" t="s">
        <v>644</v>
      </c>
      <c r="D760" t="s">
        <v>661</v>
      </c>
      <c r="E760">
        <v>80881353</v>
      </c>
      <c r="F760" t="s">
        <v>662</v>
      </c>
      <c r="G760" s="3">
        <v>47211</v>
      </c>
      <c r="H760">
        <v>36</v>
      </c>
      <c r="I760">
        <v>94</v>
      </c>
      <c r="J760">
        <v>132</v>
      </c>
      <c r="K760" s="4">
        <v>62272.32</v>
      </c>
      <c r="L760" s="4">
        <v>426.28571428571428</v>
      </c>
      <c r="M760" s="4">
        <v>0.30965147453083108</v>
      </c>
      <c r="N760" t="s">
        <v>25</v>
      </c>
      <c r="O760" t="str">
        <f t="shared" si="110"/>
        <v>Low</v>
      </c>
      <c r="P760" t="str">
        <f t="shared" si="111"/>
        <v>Low</v>
      </c>
      <c r="Q760" t="str">
        <f t="shared" si="112"/>
        <v>Low</v>
      </c>
      <c r="R760" t="s">
        <v>3317</v>
      </c>
      <c r="S760" s="4">
        <f t="shared" ca="1" si="113"/>
        <v>1014</v>
      </c>
      <c r="T760">
        <f t="shared" si="114"/>
        <v>1</v>
      </c>
      <c r="U760">
        <f t="shared" si="115"/>
        <v>1</v>
      </c>
      <c r="V760">
        <f t="shared" si="116"/>
        <v>1</v>
      </c>
      <c r="W760">
        <f t="shared" si="117"/>
        <v>1</v>
      </c>
      <c r="X760">
        <f t="shared" si="118"/>
        <v>0.99999999999999989</v>
      </c>
      <c r="Y760" t="str">
        <f t="shared" si="119"/>
        <v>Healthy</v>
      </c>
    </row>
    <row r="761" spans="1:25" x14ac:dyDescent="0.35">
      <c r="A761" t="s">
        <v>20</v>
      </c>
      <c r="B761" t="s">
        <v>21</v>
      </c>
      <c r="C761" t="s">
        <v>644</v>
      </c>
      <c r="D761" t="s">
        <v>661</v>
      </c>
      <c r="E761">
        <v>80881353</v>
      </c>
      <c r="F761" t="s">
        <v>662</v>
      </c>
      <c r="G761" s="3">
        <v>47271</v>
      </c>
      <c r="H761">
        <v>36</v>
      </c>
      <c r="I761">
        <v>100</v>
      </c>
      <c r="J761">
        <v>132</v>
      </c>
      <c r="K761" s="4">
        <v>62272.32</v>
      </c>
      <c r="L761" s="4">
        <v>426.28571428571428</v>
      </c>
      <c r="M761" s="4">
        <v>0.30965147453083108</v>
      </c>
      <c r="N761" t="s">
        <v>25</v>
      </c>
      <c r="O761" t="str">
        <f t="shared" si="110"/>
        <v>Low</v>
      </c>
      <c r="P761" t="str">
        <f t="shared" si="111"/>
        <v>Low</v>
      </c>
      <c r="Q761" t="str">
        <f t="shared" si="112"/>
        <v>Low</v>
      </c>
      <c r="R761" t="s">
        <v>3317</v>
      </c>
      <c r="S761" s="4">
        <f t="shared" ca="1" si="113"/>
        <v>1074</v>
      </c>
      <c r="T761">
        <f t="shared" si="114"/>
        <v>1</v>
      </c>
      <c r="U761">
        <f t="shared" si="115"/>
        <v>1</v>
      </c>
      <c r="V761">
        <f t="shared" si="116"/>
        <v>1</v>
      </c>
      <c r="W761">
        <f t="shared" si="117"/>
        <v>1</v>
      </c>
      <c r="X761">
        <f t="shared" si="118"/>
        <v>0.99999999999999989</v>
      </c>
      <c r="Y761" t="str">
        <f t="shared" si="119"/>
        <v>Healthy</v>
      </c>
    </row>
    <row r="762" spans="1:25" x14ac:dyDescent="0.35">
      <c r="A762" t="s">
        <v>20</v>
      </c>
      <c r="B762" t="s">
        <v>21</v>
      </c>
      <c r="C762" t="s">
        <v>644</v>
      </c>
      <c r="D762" t="s">
        <v>661</v>
      </c>
      <c r="E762">
        <v>80881353</v>
      </c>
      <c r="F762" t="s">
        <v>662</v>
      </c>
      <c r="G762" s="3">
        <v>47247</v>
      </c>
      <c r="H762">
        <v>36</v>
      </c>
      <c r="I762">
        <v>98</v>
      </c>
      <c r="J762">
        <v>60</v>
      </c>
      <c r="K762" s="4">
        <v>28305.599999999999</v>
      </c>
      <c r="L762" s="4">
        <v>426.28571428571428</v>
      </c>
      <c r="M762" s="4">
        <v>0.14075067024128687</v>
      </c>
      <c r="N762" t="s">
        <v>25</v>
      </c>
      <c r="O762" t="str">
        <f t="shared" si="110"/>
        <v>Low</v>
      </c>
      <c r="P762" t="str">
        <f t="shared" si="111"/>
        <v>Low</v>
      </c>
      <c r="Q762" t="str">
        <f t="shared" si="112"/>
        <v>Low</v>
      </c>
      <c r="R762" t="s">
        <v>3317</v>
      </c>
      <c r="S762" s="4">
        <f t="shared" ca="1" si="113"/>
        <v>1050</v>
      </c>
      <c r="T762">
        <f t="shared" si="114"/>
        <v>1</v>
      </c>
      <c r="U762">
        <f t="shared" si="115"/>
        <v>1</v>
      </c>
      <c r="V762">
        <f t="shared" si="116"/>
        <v>1</v>
      </c>
      <c r="W762">
        <f t="shared" si="117"/>
        <v>1</v>
      </c>
      <c r="X762">
        <f t="shared" si="118"/>
        <v>0.99999999999999989</v>
      </c>
      <c r="Y762" t="str">
        <f t="shared" si="119"/>
        <v>Healthy</v>
      </c>
    </row>
    <row r="763" spans="1:25" x14ac:dyDescent="0.35">
      <c r="A763" t="s">
        <v>20</v>
      </c>
      <c r="B763" t="s">
        <v>21</v>
      </c>
      <c r="C763" t="s">
        <v>644</v>
      </c>
      <c r="D763" t="s">
        <v>661</v>
      </c>
      <c r="E763">
        <v>80881353</v>
      </c>
      <c r="F763" t="s">
        <v>662</v>
      </c>
      <c r="G763" s="3">
        <v>47198</v>
      </c>
      <c r="H763">
        <v>36</v>
      </c>
      <c r="I763">
        <v>93</v>
      </c>
      <c r="J763">
        <v>124</v>
      </c>
      <c r="K763" s="4">
        <v>58498.239999999998</v>
      </c>
      <c r="L763" s="4">
        <v>426.28571428571428</v>
      </c>
      <c r="M763" s="4">
        <v>0.29088471849865954</v>
      </c>
      <c r="N763" t="s">
        <v>25</v>
      </c>
      <c r="O763" t="str">
        <f t="shared" si="110"/>
        <v>Low</v>
      </c>
      <c r="P763" t="str">
        <f t="shared" si="111"/>
        <v>Low</v>
      </c>
      <c r="Q763" t="str">
        <f t="shared" si="112"/>
        <v>Low</v>
      </c>
      <c r="R763" t="s">
        <v>3317</v>
      </c>
      <c r="S763" s="4">
        <f t="shared" ca="1" si="113"/>
        <v>1001</v>
      </c>
      <c r="T763">
        <f t="shared" si="114"/>
        <v>1</v>
      </c>
      <c r="U763">
        <f t="shared" si="115"/>
        <v>1</v>
      </c>
      <c r="V763">
        <f t="shared" si="116"/>
        <v>1</v>
      </c>
      <c r="W763">
        <f t="shared" si="117"/>
        <v>1</v>
      </c>
      <c r="X763">
        <f t="shared" si="118"/>
        <v>0.99999999999999989</v>
      </c>
      <c r="Y763" t="str">
        <f t="shared" si="119"/>
        <v>Healthy</v>
      </c>
    </row>
    <row r="764" spans="1:25" x14ac:dyDescent="0.35">
      <c r="A764" t="s">
        <v>90</v>
      </c>
      <c r="B764" t="s">
        <v>217</v>
      </c>
      <c r="C764" t="s">
        <v>533</v>
      </c>
      <c r="D764" t="s">
        <v>663</v>
      </c>
      <c r="E764">
        <v>83907818</v>
      </c>
      <c r="F764" t="s">
        <v>664</v>
      </c>
      <c r="G764" s="3">
        <v>46891</v>
      </c>
      <c r="H764">
        <v>24</v>
      </c>
      <c r="I764">
        <v>97</v>
      </c>
      <c r="J764">
        <v>172</v>
      </c>
      <c r="K764" s="4">
        <v>11900.68</v>
      </c>
      <c r="L764" s="4">
        <v>693.42857142857144</v>
      </c>
      <c r="M764" s="4">
        <v>0.24804285125669551</v>
      </c>
      <c r="N764" t="s">
        <v>25</v>
      </c>
      <c r="O764" t="str">
        <f t="shared" si="110"/>
        <v>Low</v>
      </c>
      <c r="P764" t="str">
        <f t="shared" si="111"/>
        <v>Low</v>
      </c>
      <c r="Q764" t="str">
        <f t="shared" si="112"/>
        <v>Low</v>
      </c>
      <c r="R764" t="s">
        <v>3317</v>
      </c>
      <c r="S764" s="4">
        <f t="shared" ca="1" si="113"/>
        <v>694</v>
      </c>
      <c r="T764">
        <f t="shared" si="114"/>
        <v>1</v>
      </c>
      <c r="U764">
        <f t="shared" si="115"/>
        <v>1</v>
      </c>
      <c r="V764">
        <f t="shared" si="116"/>
        <v>1</v>
      </c>
      <c r="W764">
        <f t="shared" si="117"/>
        <v>1</v>
      </c>
      <c r="X764">
        <f t="shared" si="118"/>
        <v>0.99999999999999989</v>
      </c>
      <c r="Y764" t="str">
        <f t="shared" si="119"/>
        <v>Healthy</v>
      </c>
    </row>
    <row r="765" spans="1:25" x14ac:dyDescent="0.35">
      <c r="A765" t="s">
        <v>46</v>
      </c>
      <c r="B765" t="s">
        <v>129</v>
      </c>
      <c r="C765" t="s">
        <v>665</v>
      </c>
      <c r="D765" t="s">
        <v>666</v>
      </c>
      <c r="E765">
        <v>82321252</v>
      </c>
      <c r="F765" t="s">
        <v>667</v>
      </c>
      <c r="G765" s="3">
        <v>47751</v>
      </c>
      <c r="H765">
        <v>36</v>
      </c>
      <c r="I765">
        <v>100</v>
      </c>
      <c r="J765">
        <v>21</v>
      </c>
      <c r="K765" s="4">
        <v>882</v>
      </c>
      <c r="L765" s="4">
        <v>1564.5714285714287</v>
      </c>
      <c r="M765" s="4">
        <v>1.3422205989773556E-2</v>
      </c>
      <c r="N765" t="s">
        <v>25</v>
      </c>
      <c r="O765" t="str">
        <f t="shared" si="110"/>
        <v>Low</v>
      </c>
      <c r="P765" t="str">
        <f t="shared" si="111"/>
        <v>Low</v>
      </c>
      <c r="Q765" t="str">
        <f t="shared" si="112"/>
        <v>Low</v>
      </c>
      <c r="R765" t="s">
        <v>3317</v>
      </c>
      <c r="S765" s="4">
        <f t="shared" ca="1" si="113"/>
        <v>1554</v>
      </c>
      <c r="T765">
        <f t="shared" si="114"/>
        <v>1</v>
      </c>
      <c r="U765">
        <f t="shared" si="115"/>
        <v>1</v>
      </c>
      <c r="V765">
        <f t="shared" si="116"/>
        <v>1</v>
      </c>
      <c r="W765">
        <f t="shared" si="117"/>
        <v>1</v>
      </c>
      <c r="X765">
        <f t="shared" si="118"/>
        <v>0.99999999999999989</v>
      </c>
      <c r="Y765" t="str">
        <f t="shared" si="119"/>
        <v>Healthy</v>
      </c>
    </row>
    <row r="766" spans="1:25" x14ac:dyDescent="0.35">
      <c r="A766" t="s">
        <v>90</v>
      </c>
      <c r="B766" t="s">
        <v>217</v>
      </c>
      <c r="C766" t="s">
        <v>533</v>
      </c>
      <c r="D766" t="s">
        <v>663</v>
      </c>
      <c r="E766">
        <v>83907818</v>
      </c>
      <c r="F766" t="s">
        <v>664</v>
      </c>
      <c r="G766" s="3">
        <v>46883</v>
      </c>
      <c r="H766">
        <v>24</v>
      </c>
      <c r="I766">
        <v>96</v>
      </c>
      <c r="J766">
        <v>180</v>
      </c>
      <c r="K766" s="4">
        <v>12454.2</v>
      </c>
      <c r="L766" s="4">
        <v>693.42857142857144</v>
      </c>
      <c r="M766" s="4">
        <v>0.25957972805933249</v>
      </c>
      <c r="N766" t="s">
        <v>25</v>
      </c>
      <c r="O766" t="str">
        <f t="shared" si="110"/>
        <v>Low</v>
      </c>
      <c r="P766" t="str">
        <f t="shared" si="111"/>
        <v>Low</v>
      </c>
      <c r="Q766" t="str">
        <f t="shared" si="112"/>
        <v>Low</v>
      </c>
      <c r="R766" t="s">
        <v>3317</v>
      </c>
      <c r="S766" s="4">
        <f t="shared" ca="1" si="113"/>
        <v>686</v>
      </c>
      <c r="T766">
        <f t="shared" si="114"/>
        <v>1</v>
      </c>
      <c r="U766">
        <f t="shared" si="115"/>
        <v>1</v>
      </c>
      <c r="V766">
        <f t="shared" si="116"/>
        <v>1</v>
      </c>
      <c r="W766">
        <f t="shared" si="117"/>
        <v>1</v>
      </c>
      <c r="X766">
        <f t="shared" si="118"/>
        <v>0.99999999999999989</v>
      </c>
      <c r="Y766" t="str">
        <f t="shared" si="119"/>
        <v>Healthy</v>
      </c>
    </row>
    <row r="767" spans="1:25" x14ac:dyDescent="0.35">
      <c r="A767" t="s">
        <v>90</v>
      </c>
      <c r="B767" t="s">
        <v>217</v>
      </c>
      <c r="C767" t="s">
        <v>533</v>
      </c>
      <c r="D767" t="s">
        <v>663</v>
      </c>
      <c r="E767">
        <v>83907818</v>
      </c>
      <c r="F767" t="s">
        <v>664</v>
      </c>
      <c r="G767" s="3">
        <v>46860</v>
      </c>
      <c r="H767">
        <v>24</v>
      </c>
      <c r="I767">
        <v>93</v>
      </c>
      <c r="J767">
        <v>185</v>
      </c>
      <c r="K767" s="4">
        <v>12800.15</v>
      </c>
      <c r="L767" s="4">
        <v>693.42857142857144</v>
      </c>
      <c r="M767" s="4">
        <v>0.2667902760609806</v>
      </c>
      <c r="N767" t="s">
        <v>25</v>
      </c>
      <c r="O767" t="str">
        <f t="shared" si="110"/>
        <v>Low</v>
      </c>
      <c r="P767" t="str">
        <f t="shared" si="111"/>
        <v>Low</v>
      </c>
      <c r="Q767" t="str">
        <f t="shared" si="112"/>
        <v>Low</v>
      </c>
      <c r="R767" t="s">
        <v>3317</v>
      </c>
      <c r="S767" s="4">
        <f t="shared" ca="1" si="113"/>
        <v>663</v>
      </c>
      <c r="T767">
        <f t="shared" si="114"/>
        <v>1</v>
      </c>
      <c r="U767">
        <f t="shared" si="115"/>
        <v>1</v>
      </c>
      <c r="V767">
        <f t="shared" si="116"/>
        <v>1</v>
      </c>
      <c r="W767">
        <f t="shared" si="117"/>
        <v>1</v>
      </c>
      <c r="X767">
        <f t="shared" si="118"/>
        <v>0.99999999999999989</v>
      </c>
      <c r="Y767" t="str">
        <f t="shared" si="119"/>
        <v>Healthy</v>
      </c>
    </row>
    <row r="768" spans="1:25" x14ac:dyDescent="0.35">
      <c r="A768" t="s">
        <v>90</v>
      </c>
      <c r="B768" t="s">
        <v>217</v>
      </c>
      <c r="C768" t="s">
        <v>533</v>
      </c>
      <c r="D768" t="s">
        <v>663</v>
      </c>
      <c r="E768">
        <v>83907818</v>
      </c>
      <c r="F768" t="s">
        <v>664</v>
      </c>
      <c r="G768" s="3">
        <v>46860</v>
      </c>
      <c r="H768">
        <v>24</v>
      </c>
      <c r="I768">
        <v>93</v>
      </c>
      <c r="J768">
        <v>171</v>
      </c>
      <c r="K768" s="4">
        <v>11831.49</v>
      </c>
      <c r="L768" s="4">
        <v>693.42857142857144</v>
      </c>
      <c r="M768" s="4">
        <v>0.24660074165636589</v>
      </c>
      <c r="N768" t="s">
        <v>25</v>
      </c>
      <c r="O768" t="str">
        <f t="shared" si="110"/>
        <v>Low</v>
      </c>
      <c r="P768" t="str">
        <f t="shared" si="111"/>
        <v>Low</v>
      </c>
      <c r="Q768" t="str">
        <f t="shared" si="112"/>
        <v>Low</v>
      </c>
      <c r="R768" t="s">
        <v>3317</v>
      </c>
      <c r="S768" s="4">
        <f t="shared" ca="1" si="113"/>
        <v>663</v>
      </c>
      <c r="T768">
        <f t="shared" si="114"/>
        <v>1</v>
      </c>
      <c r="U768">
        <f t="shared" si="115"/>
        <v>1</v>
      </c>
      <c r="V768">
        <f t="shared" si="116"/>
        <v>1</v>
      </c>
      <c r="W768">
        <f t="shared" si="117"/>
        <v>1</v>
      </c>
      <c r="X768">
        <f t="shared" si="118"/>
        <v>0.99999999999999989</v>
      </c>
      <c r="Y768" t="str">
        <f t="shared" si="119"/>
        <v>Healthy</v>
      </c>
    </row>
    <row r="769" spans="1:25" x14ac:dyDescent="0.35">
      <c r="A769" t="s">
        <v>90</v>
      </c>
      <c r="B769" t="s">
        <v>217</v>
      </c>
      <c r="C769" t="s">
        <v>533</v>
      </c>
      <c r="D769" t="s">
        <v>663</v>
      </c>
      <c r="E769">
        <v>83907818</v>
      </c>
      <c r="F769" t="s">
        <v>664</v>
      </c>
      <c r="G769" s="3">
        <v>46859</v>
      </c>
      <c r="H769">
        <v>24</v>
      </c>
      <c r="I769">
        <v>93</v>
      </c>
      <c r="J769">
        <v>176</v>
      </c>
      <c r="K769" s="4">
        <v>12177.44</v>
      </c>
      <c r="L769" s="4">
        <v>693.42857142857144</v>
      </c>
      <c r="M769" s="4">
        <v>0.25381128965801403</v>
      </c>
      <c r="N769" t="s">
        <v>25</v>
      </c>
      <c r="O769" t="str">
        <f t="shared" si="110"/>
        <v>Low</v>
      </c>
      <c r="P769" t="str">
        <f t="shared" si="111"/>
        <v>Low</v>
      </c>
      <c r="Q769" t="str">
        <f t="shared" si="112"/>
        <v>Low</v>
      </c>
      <c r="R769" t="s">
        <v>3317</v>
      </c>
      <c r="S769" s="4">
        <f t="shared" ca="1" si="113"/>
        <v>662</v>
      </c>
      <c r="T769">
        <f t="shared" si="114"/>
        <v>1</v>
      </c>
      <c r="U769">
        <f t="shared" si="115"/>
        <v>1</v>
      </c>
      <c r="V769">
        <f t="shared" si="116"/>
        <v>1</v>
      </c>
      <c r="W769">
        <f t="shared" si="117"/>
        <v>1</v>
      </c>
      <c r="X769">
        <f t="shared" si="118"/>
        <v>0.99999999999999989</v>
      </c>
      <c r="Y769" t="str">
        <f t="shared" si="119"/>
        <v>Healthy</v>
      </c>
    </row>
    <row r="770" spans="1:25" x14ac:dyDescent="0.35">
      <c r="A770" t="s">
        <v>90</v>
      </c>
      <c r="B770" t="s">
        <v>217</v>
      </c>
      <c r="C770" t="s">
        <v>533</v>
      </c>
      <c r="D770" t="s">
        <v>663</v>
      </c>
      <c r="E770">
        <v>83907818</v>
      </c>
      <c r="F770" t="s">
        <v>664</v>
      </c>
      <c r="G770" s="3">
        <v>46854</v>
      </c>
      <c r="H770">
        <v>24</v>
      </c>
      <c r="I770">
        <v>92</v>
      </c>
      <c r="J770">
        <v>143</v>
      </c>
      <c r="K770" s="4">
        <v>9894.17</v>
      </c>
      <c r="L770" s="4">
        <v>693.42857142857144</v>
      </c>
      <c r="M770" s="4">
        <v>0.20622167284713638</v>
      </c>
      <c r="N770" t="s">
        <v>25</v>
      </c>
      <c r="O770" t="str">
        <f t="shared" si="110"/>
        <v>Low</v>
      </c>
      <c r="P770" t="str">
        <f t="shared" si="111"/>
        <v>Low</v>
      </c>
      <c r="Q770" t="str">
        <f t="shared" si="112"/>
        <v>Low</v>
      </c>
      <c r="R770" t="s">
        <v>3317</v>
      </c>
      <c r="S770" s="4">
        <f t="shared" ca="1" si="113"/>
        <v>657</v>
      </c>
      <c r="T770">
        <f t="shared" si="114"/>
        <v>1</v>
      </c>
      <c r="U770">
        <f t="shared" si="115"/>
        <v>1</v>
      </c>
      <c r="V770">
        <f t="shared" si="116"/>
        <v>1</v>
      </c>
      <c r="W770">
        <f t="shared" si="117"/>
        <v>1</v>
      </c>
      <c r="X770">
        <f t="shared" si="118"/>
        <v>0.99999999999999989</v>
      </c>
      <c r="Y770" t="str">
        <f t="shared" si="119"/>
        <v>Healthy</v>
      </c>
    </row>
    <row r="771" spans="1:25" x14ac:dyDescent="0.35">
      <c r="A771" t="s">
        <v>71</v>
      </c>
      <c r="B771" t="s">
        <v>72</v>
      </c>
      <c r="C771" t="s">
        <v>572</v>
      </c>
      <c r="D771" t="s">
        <v>668</v>
      </c>
      <c r="E771">
        <v>83912164</v>
      </c>
      <c r="F771" t="s">
        <v>669</v>
      </c>
      <c r="G771" s="3">
        <v>47226</v>
      </c>
      <c r="H771">
        <v>36</v>
      </c>
      <c r="I771">
        <v>96</v>
      </c>
      <c r="J771">
        <v>233</v>
      </c>
      <c r="K771" s="4">
        <v>18267.2</v>
      </c>
      <c r="L771" s="4">
        <v>2493.5714285714284</v>
      </c>
      <c r="M771" s="4">
        <v>9.3440274992838732E-2</v>
      </c>
      <c r="N771" t="s">
        <v>25</v>
      </c>
      <c r="O771" t="str">
        <f t="shared" ref="O771:O834" si="120">IF(I771&lt;20,"High",IF(I771&lt;40,"Medium","Low"))</f>
        <v>Low</v>
      </c>
      <c r="P771" t="str">
        <f t="shared" ref="P771:P834" si="121">IF(M771&gt;8,"High",IF(M771&gt;4,"Medium","Low"))</f>
        <v>Low</v>
      </c>
      <c r="Q771" t="str">
        <f t="shared" ref="Q771:Q834" si="122">IF(L771&lt;5,"High",IF(L771&lt;15,"Medium","Low"))</f>
        <v>Low</v>
      </c>
      <c r="R771" t="s">
        <v>3317</v>
      </c>
      <c r="S771" s="4">
        <f t="shared" ref="S771:S834" ca="1" si="123">G771-TODAY()</f>
        <v>1029</v>
      </c>
      <c r="T771">
        <f t="shared" ref="T771:T834" si="124">IF(O771="High",3,IF(O771="Medium",2,1))</f>
        <v>1</v>
      </c>
      <c r="U771">
        <f t="shared" ref="U771:U834" si="125">IF(P771="High",3,IF(P771="Medium",2,1))</f>
        <v>1</v>
      </c>
      <c r="V771">
        <f t="shared" ref="V771:V834" si="126">IF(Q771="High",3,IF(Q771="Medium",2,1))</f>
        <v>1</v>
      </c>
      <c r="W771">
        <f t="shared" ref="W771:W834" si="127">IF(R771="High",3,IF(R771="Medium",2,1))</f>
        <v>1</v>
      </c>
      <c r="X771">
        <f t="shared" ref="X771:X834" si="128">(0.4*T771)+(0.3*U771)+(0.2*V771)+(0.1*W771)</f>
        <v>0.99999999999999989</v>
      </c>
      <c r="Y771" t="str">
        <f t="shared" ref="Y771:Y834" si="129">IF(X771&gt;=2.7,"Move Immediately",IF(X771&gt;=2.2,"High Priority",IF(X771&gt;=1.7,"Monitor","Healthy")))</f>
        <v>Healthy</v>
      </c>
    </row>
    <row r="772" spans="1:25" x14ac:dyDescent="0.35">
      <c r="A772" t="s">
        <v>71</v>
      </c>
      <c r="B772" t="s">
        <v>72</v>
      </c>
      <c r="C772" t="s">
        <v>572</v>
      </c>
      <c r="D772" t="s">
        <v>668</v>
      </c>
      <c r="E772">
        <v>83912164</v>
      </c>
      <c r="F772" t="s">
        <v>669</v>
      </c>
      <c r="G772" s="3">
        <v>47241</v>
      </c>
      <c r="H772">
        <v>36</v>
      </c>
      <c r="I772">
        <v>97</v>
      </c>
      <c r="J772">
        <v>160</v>
      </c>
      <c r="K772" s="4">
        <v>12544</v>
      </c>
      <c r="L772" s="4">
        <v>2493.5714285714284</v>
      </c>
      <c r="M772" s="4">
        <v>6.4164995703236902E-2</v>
      </c>
      <c r="N772" t="s">
        <v>25</v>
      </c>
      <c r="O772" t="str">
        <f t="shared" si="120"/>
        <v>Low</v>
      </c>
      <c r="P772" t="str">
        <f t="shared" si="121"/>
        <v>Low</v>
      </c>
      <c r="Q772" t="str">
        <f t="shared" si="122"/>
        <v>Low</v>
      </c>
      <c r="R772" t="s">
        <v>3317</v>
      </c>
      <c r="S772" s="4">
        <f t="shared" ca="1" si="123"/>
        <v>1044</v>
      </c>
      <c r="T772">
        <f t="shared" si="124"/>
        <v>1</v>
      </c>
      <c r="U772">
        <f t="shared" si="125"/>
        <v>1</v>
      </c>
      <c r="V772">
        <f t="shared" si="126"/>
        <v>1</v>
      </c>
      <c r="W772">
        <f t="shared" si="127"/>
        <v>1</v>
      </c>
      <c r="X772">
        <f t="shared" si="128"/>
        <v>0.99999999999999989</v>
      </c>
      <c r="Y772" t="str">
        <f t="shared" si="129"/>
        <v>Healthy</v>
      </c>
    </row>
    <row r="773" spans="1:25" x14ac:dyDescent="0.35">
      <c r="A773" t="s">
        <v>71</v>
      </c>
      <c r="B773" t="s">
        <v>72</v>
      </c>
      <c r="C773" t="s">
        <v>572</v>
      </c>
      <c r="D773" t="s">
        <v>668</v>
      </c>
      <c r="E773">
        <v>83912164</v>
      </c>
      <c r="F773" t="s">
        <v>669</v>
      </c>
      <c r="G773" s="3">
        <v>47227</v>
      </c>
      <c r="H773">
        <v>36</v>
      </c>
      <c r="I773">
        <v>96</v>
      </c>
      <c r="J773">
        <v>80</v>
      </c>
      <c r="K773" s="4">
        <v>6272</v>
      </c>
      <c r="L773" s="4">
        <v>2493.5714285714284</v>
      </c>
      <c r="M773" s="4">
        <v>3.2082497851618451E-2</v>
      </c>
      <c r="N773" t="s">
        <v>25</v>
      </c>
      <c r="O773" t="str">
        <f t="shared" si="120"/>
        <v>Low</v>
      </c>
      <c r="P773" t="str">
        <f t="shared" si="121"/>
        <v>Low</v>
      </c>
      <c r="Q773" t="str">
        <f t="shared" si="122"/>
        <v>Low</v>
      </c>
      <c r="R773" t="s">
        <v>3317</v>
      </c>
      <c r="S773" s="4">
        <f t="shared" ca="1" si="123"/>
        <v>1030</v>
      </c>
      <c r="T773">
        <f t="shared" si="124"/>
        <v>1</v>
      </c>
      <c r="U773">
        <f t="shared" si="125"/>
        <v>1</v>
      </c>
      <c r="V773">
        <f t="shared" si="126"/>
        <v>1</v>
      </c>
      <c r="W773">
        <f t="shared" si="127"/>
        <v>1</v>
      </c>
      <c r="X773">
        <f t="shared" si="128"/>
        <v>0.99999999999999989</v>
      </c>
      <c r="Y773" t="str">
        <f t="shared" si="129"/>
        <v>Healthy</v>
      </c>
    </row>
    <row r="774" spans="1:25" x14ac:dyDescent="0.35">
      <c r="A774" t="s">
        <v>71</v>
      </c>
      <c r="B774" t="s">
        <v>72</v>
      </c>
      <c r="C774" t="s">
        <v>572</v>
      </c>
      <c r="D774" t="s">
        <v>668</v>
      </c>
      <c r="E774">
        <v>83912164</v>
      </c>
      <c r="F774" t="s">
        <v>669</v>
      </c>
      <c r="G774" s="3">
        <v>47242</v>
      </c>
      <c r="H774">
        <v>36</v>
      </c>
      <c r="I774">
        <v>97</v>
      </c>
      <c r="J774">
        <v>240</v>
      </c>
      <c r="K774" s="4">
        <v>18816</v>
      </c>
      <c r="L774" s="4">
        <v>2493.5714285714284</v>
      </c>
      <c r="M774" s="4">
        <v>9.6247493554855346E-2</v>
      </c>
      <c r="N774" t="s">
        <v>25</v>
      </c>
      <c r="O774" t="str">
        <f t="shared" si="120"/>
        <v>Low</v>
      </c>
      <c r="P774" t="str">
        <f t="shared" si="121"/>
        <v>Low</v>
      </c>
      <c r="Q774" t="str">
        <f t="shared" si="122"/>
        <v>Low</v>
      </c>
      <c r="R774" t="s">
        <v>3317</v>
      </c>
      <c r="S774" s="4">
        <f t="shared" ca="1" si="123"/>
        <v>1045</v>
      </c>
      <c r="T774">
        <f t="shared" si="124"/>
        <v>1</v>
      </c>
      <c r="U774">
        <f t="shared" si="125"/>
        <v>1</v>
      </c>
      <c r="V774">
        <f t="shared" si="126"/>
        <v>1</v>
      </c>
      <c r="W774">
        <f t="shared" si="127"/>
        <v>1</v>
      </c>
      <c r="X774">
        <f t="shared" si="128"/>
        <v>0.99999999999999989</v>
      </c>
      <c r="Y774" t="str">
        <f t="shared" si="129"/>
        <v>Healthy</v>
      </c>
    </row>
    <row r="775" spans="1:25" x14ac:dyDescent="0.35">
      <c r="A775" t="s">
        <v>71</v>
      </c>
      <c r="B775" t="s">
        <v>72</v>
      </c>
      <c r="C775" t="s">
        <v>572</v>
      </c>
      <c r="D775" t="s">
        <v>670</v>
      </c>
      <c r="E775">
        <v>83912166</v>
      </c>
      <c r="F775" t="s">
        <v>671</v>
      </c>
      <c r="G775" s="3">
        <v>47270</v>
      </c>
      <c r="H775">
        <v>36</v>
      </c>
      <c r="I775">
        <v>100</v>
      </c>
      <c r="J775">
        <v>507</v>
      </c>
      <c r="K775" s="4">
        <v>39748.800000000003</v>
      </c>
      <c r="L775" s="4">
        <v>3319.1428571428573</v>
      </c>
      <c r="M775" s="4">
        <v>0.15275027976241715</v>
      </c>
      <c r="N775" t="s">
        <v>25</v>
      </c>
      <c r="O775" t="str">
        <f t="shared" si="120"/>
        <v>Low</v>
      </c>
      <c r="P775" t="str">
        <f t="shared" si="121"/>
        <v>Low</v>
      </c>
      <c r="Q775" t="str">
        <f t="shared" si="122"/>
        <v>Low</v>
      </c>
      <c r="R775" t="s">
        <v>3317</v>
      </c>
      <c r="S775" s="4">
        <f t="shared" ca="1" si="123"/>
        <v>1073</v>
      </c>
      <c r="T775">
        <f t="shared" si="124"/>
        <v>1</v>
      </c>
      <c r="U775">
        <f t="shared" si="125"/>
        <v>1</v>
      </c>
      <c r="V775">
        <f t="shared" si="126"/>
        <v>1</v>
      </c>
      <c r="W775">
        <f t="shared" si="127"/>
        <v>1</v>
      </c>
      <c r="X775">
        <f t="shared" si="128"/>
        <v>0.99999999999999989</v>
      </c>
      <c r="Y775" t="str">
        <f t="shared" si="129"/>
        <v>Healthy</v>
      </c>
    </row>
    <row r="776" spans="1:25" x14ac:dyDescent="0.35">
      <c r="A776" t="s">
        <v>71</v>
      </c>
      <c r="B776" t="s">
        <v>72</v>
      </c>
      <c r="C776" t="s">
        <v>572</v>
      </c>
      <c r="D776" t="s">
        <v>670</v>
      </c>
      <c r="E776">
        <v>83912166</v>
      </c>
      <c r="F776" t="s">
        <v>671</v>
      </c>
      <c r="G776" s="3">
        <v>47257</v>
      </c>
      <c r="H776">
        <v>36</v>
      </c>
      <c r="I776">
        <v>99</v>
      </c>
      <c r="J776">
        <v>360</v>
      </c>
      <c r="K776" s="4">
        <v>28224</v>
      </c>
      <c r="L776" s="4">
        <v>3319.1428571428573</v>
      </c>
      <c r="M776" s="4">
        <v>0.10846173710940862</v>
      </c>
      <c r="N776" t="s">
        <v>25</v>
      </c>
      <c r="O776" t="str">
        <f t="shared" si="120"/>
        <v>Low</v>
      </c>
      <c r="P776" t="str">
        <f t="shared" si="121"/>
        <v>Low</v>
      </c>
      <c r="Q776" t="str">
        <f t="shared" si="122"/>
        <v>Low</v>
      </c>
      <c r="R776" t="s">
        <v>3317</v>
      </c>
      <c r="S776" s="4">
        <f t="shared" ca="1" si="123"/>
        <v>1060</v>
      </c>
      <c r="T776">
        <f t="shared" si="124"/>
        <v>1</v>
      </c>
      <c r="U776">
        <f t="shared" si="125"/>
        <v>1</v>
      </c>
      <c r="V776">
        <f t="shared" si="126"/>
        <v>1</v>
      </c>
      <c r="W776">
        <f t="shared" si="127"/>
        <v>1</v>
      </c>
      <c r="X776">
        <f t="shared" si="128"/>
        <v>0.99999999999999989</v>
      </c>
      <c r="Y776" t="str">
        <f t="shared" si="129"/>
        <v>Healthy</v>
      </c>
    </row>
    <row r="777" spans="1:25" x14ac:dyDescent="0.35">
      <c r="A777" t="s">
        <v>71</v>
      </c>
      <c r="B777" t="s">
        <v>72</v>
      </c>
      <c r="C777" t="s">
        <v>572</v>
      </c>
      <c r="D777" t="s">
        <v>670</v>
      </c>
      <c r="E777">
        <v>83912166</v>
      </c>
      <c r="F777" t="s">
        <v>671</v>
      </c>
      <c r="G777" s="3">
        <v>47270</v>
      </c>
      <c r="H777">
        <v>36</v>
      </c>
      <c r="I777">
        <v>100</v>
      </c>
      <c r="J777">
        <v>535</v>
      </c>
      <c r="K777" s="4">
        <v>41944</v>
      </c>
      <c r="L777" s="4">
        <v>3319.1428571428573</v>
      </c>
      <c r="M777" s="4">
        <v>0.16118619264870448</v>
      </c>
      <c r="N777" t="s">
        <v>25</v>
      </c>
      <c r="O777" t="str">
        <f t="shared" si="120"/>
        <v>Low</v>
      </c>
      <c r="P777" t="str">
        <f t="shared" si="121"/>
        <v>Low</v>
      </c>
      <c r="Q777" t="str">
        <f t="shared" si="122"/>
        <v>Low</v>
      </c>
      <c r="R777" t="s">
        <v>3317</v>
      </c>
      <c r="S777" s="4">
        <f t="shared" ca="1" si="123"/>
        <v>1073</v>
      </c>
      <c r="T777">
        <f t="shared" si="124"/>
        <v>1</v>
      </c>
      <c r="U777">
        <f t="shared" si="125"/>
        <v>1</v>
      </c>
      <c r="V777">
        <f t="shared" si="126"/>
        <v>1</v>
      </c>
      <c r="W777">
        <f t="shared" si="127"/>
        <v>1</v>
      </c>
      <c r="X777">
        <f t="shared" si="128"/>
        <v>0.99999999999999989</v>
      </c>
      <c r="Y777" t="str">
        <f t="shared" si="129"/>
        <v>Healthy</v>
      </c>
    </row>
    <row r="778" spans="1:25" x14ac:dyDescent="0.35">
      <c r="A778" t="s">
        <v>71</v>
      </c>
      <c r="B778" t="s">
        <v>72</v>
      </c>
      <c r="C778" t="s">
        <v>572</v>
      </c>
      <c r="D778" t="s">
        <v>670</v>
      </c>
      <c r="E778">
        <v>83912166</v>
      </c>
      <c r="F778" t="s">
        <v>671</v>
      </c>
      <c r="G778" s="3">
        <v>47276</v>
      </c>
      <c r="H778">
        <v>36</v>
      </c>
      <c r="I778">
        <v>100</v>
      </c>
      <c r="J778">
        <v>520</v>
      </c>
      <c r="K778" s="4">
        <v>40768</v>
      </c>
      <c r="L778" s="4">
        <v>3319.1428571428573</v>
      </c>
      <c r="M778" s="4">
        <v>0.15666695360247912</v>
      </c>
      <c r="N778" t="s">
        <v>25</v>
      </c>
      <c r="O778" t="str">
        <f t="shared" si="120"/>
        <v>Low</v>
      </c>
      <c r="P778" t="str">
        <f t="shared" si="121"/>
        <v>Low</v>
      </c>
      <c r="Q778" t="str">
        <f t="shared" si="122"/>
        <v>Low</v>
      </c>
      <c r="R778" t="s">
        <v>3317</v>
      </c>
      <c r="S778" s="4">
        <f t="shared" ca="1" si="123"/>
        <v>1079</v>
      </c>
      <c r="T778">
        <f t="shared" si="124"/>
        <v>1</v>
      </c>
      <c r="U778">
        <f t="shared" si="125"/>
        <v>1</v>
      </c>
      <c r="V778">
        <f t="shared" si="126"/>
        <v>1</v>
      </c>
      <c r="W778">
        <f t="shared" si="127"/>
        <v>1</v>
      </c>
      <c r="X778">
        <f t="shared" si="128"/>
        <v>0.99999999999999989</v>
      </c>
      <c r="Y778" t="str">
        <f t="shared" si="129"/>
        <v>Healthy</v>
      </c>
    </row>
    <row r="779" spans="1:25" x14ac:dyDescent="0.35">
      <c r="A779" t="s">
        <v>71</v>
      </c>
      <c r="B779" t="s">
        <v>72</v>
      </c>
      <c r="C779" t="s">
        <v>572</v>
      </c>
      <c r="D779" t="s">
        <v>670</v>
      </c>
      <c r="E779">
        <v>83912166</v>
      </c>
      <c r="F779" t="s">
        <v>671</v>
      </c>
      <c r="G779" s="3">
        <v>47251</v>
      </c>
      <c r="H779">
        <v>36</v>
      </c>
      <c r="I779">
        <v>98</v>
      </c>
      <c r="J779">
        <v>520</v>
      </c>
      <c r="K779" s="4">
        <v>40768</v>
      </c>
      <c r="L779" s="4">
        <v>3319.1428571428573</v>
      </c>
      <c r="M779" s="4">
        <v>0.15666695360247912</v>
      </c>
      <c r="N779" t="s">
        <v>25</v>
      </c>
      <c r="O779" t="str">
        <f t="shared" si="120"/>
        <v>Low</v>
      </c>
      <c r="P779" t="str">
        <f t="shared" si="121"/>
        <v>Low</v>
      </c>
      <c r="Q779" t="str">
        <f t="shared" si="122"/>
        <v>Low</v>
      </c>
      <c r="R779" t="s">
        <v>3317</v>
      </c>
      <c r="S779" s="4">
        <f t="shared" ca="1" si="123"/>
        <v>1054</v>
      </c>
      <c r="T779">
        <f t="shared" si="124"/>
        <v>1</v>
      </c>
      <c r="U779">
        <f t="shared" si="125"/>
        <v>1</v>
      </c>
      <c r="V779">
        <f t="shared" si="126"/>
        <v>1</v>
      </c>
      <c r="W779">
        <f t="shared" si="127"/>
        <v>1</v>
      </c>
      <c r="X779">
        <f t="shared" si="128"/>
        <v>0.99999999999999989</v>
      </c>
      <c r="Y779" t="str">
        <f t="shared" si="129"/>
        <v>Healthy</v>
      </c>
    </row>
    <row r="780" spans="1:25" x14ac:dyDescent="0.35">
      <c r="A780" t="s">
        <v>71</v>
      </c>
      <c r="B780" t="s">
        <v>72</v>
      </c>
      <c r="C780" t="s">
        <v>572</v>
      </c>
      <c r="D780" t="s">
        <v>670</v>
      </c>
      <c r="E780">
        <v>83912166</v>
      </c>
      <c r="F780" t="s">
        <v>671</v>
      </c>
      <c r="G780" s="3">
        <v>47257</v>
      </c>
      <c r="H780">
        <v>36</v>
      </c>
      <c r="I780">
        <v>99</v>
      </c>
      <c r="J780">
        <v>81</v>
      </c>
      <c r="K780" s="4">
        <v>6350.4</v>
      </c>
      <c r="L780" s="4">
        <v>3319.1428571428573</v>
      </c>
      <c r="M780" s="4">
        <v>2.440389084961694E-2</v>
      </c>
      <c r="N780" t="s">
        <v>25</v>
      </c>
      <c r="O780" t="str">
        <f t="shared" si="120"/>
        <v>Low</v>
      </c>
      <c r="P780" t="str">
        <f t="shared" si="121"/>
        <v>Low</v>
      </c>
      <c r="Q780" t="str">
        <f t="shared" si="122"/>
        <v>Low</v>
      </c>
      <c r="R780" t="s">
        <v>3317</v>
      </c>
      <c r="S780" s="4">
        <f t="shared" ca="1" si="123"/>
        <v>1060</v>
      </c>
      <c r="T780">
        <f t="shared" si="124"/>
        <v>1</v>
      </c>
      <c r="U780">
        <f t="shared" si="125"/>
        <v>1</v>
      </c>
      <c r="V780">
        <f t="shared" si="126"/>
        <v>1</v>
      </c>
      <c r="W780">
        <f t="shared" si="127"/>
        <v>1</v>
      </c>
      <c r="X780">
        <f t="shared" si="128"/>
        <v>0.99999999999999989</v>
      </c>
      <c r="Y780" t="str">
        <f t="shared" si="129"/>
        <v>Healthy</v>
      </c>
    </row>
    <row r="781" spans="1:25" x14ac:dyDescent="0.35">
      <c r="A781" t="s">
        <v>71</v>
      </c>
      <c r="B781" t="s">
        <v>72</v>
      </c>
      <c r="C781" t="s">
        <v>572</v>
      </c>
      <c r="D781" t="s">
        <v>672</v>
      </c>
      <c r="E781">
        <v>83912167</v>
      </c>
      <c r="F781" t="s">
        <v>673</v>
      </c>
      <c r="G781" s="3">
        <v>47254</v>
      </c>
      <c r="H781">
        <v>36</v>
      </c>
      <c r="I781">
        <v>98</v>
      </c>
      <c r="J781">
        <v>215</v>
      </c>
      <c r="K781" s="4">
        <v>66905.850000000006</v>
      </c>
      <c r="L781" s="4">
        <f>0</f>
        <v>0</v>
      </c>
      <c r="M781" s="4">
        <f>999</f>
        <v>999</v>
      </c>
      <c r="N781" t="s">
        <v>19</v>
      </c>
      <c r="O781" t="str">
        <f t="shared" si="120"/>
        <v>Low</v>
      </c>
      <c r="P781" t="str">
        <f t="shared" si="121"/>
        <v>High</v>
      </c>
      <c r="Q781" t="str">
        <f t="shared" si="122"/>
        <v>High</v>
      </c>
      <c r="R781" t="s">
        <v>3310</v>
      </c>
      <c r="S781" s="4">
        <f t="shared" ca="1" si="123"/>
        <v>1057</v>
      </c>
      <c r="T781">
        <f t="shared" si="124"/>
        <v>1</v>
      </c>
      <c r="U781">
        <f t="shared" si="125"/>
        <v>3</v>
      </c>
      <c r="V781">
        <f t="shared" si="126"/>
        <v>3</v>
      </c>
      <c r="W781">
        <f t="shared" si="127"/>
        <v>2</v>
      </c>
      <c r="X781">
        <f t="shared" si="128"/>
        <v>2.1</v>
      </c>
      <c r="Y781" t="str">
        <f t="shared" si="129"/>
        <v>Monitor</v>
      </c>
    </row>
    <row r="782" spans="1:25" x14ac:dyDescent="0.35">
      <c r="A782" t="s">
        <v>71</v>
      </c>
      <c r="B782" t="s">
        <v>72</v>
      </c>
      <c r="C782" t="s">
        <v>572</v>
      </c>
      <c r="D782" t="s">
        <v>649</v>
      </c>
      <c r="E782">
        <v>83912169</v>
      </c>
      <c r="F782" t="s">
        <v>674</v>
      </c>
      <c r="G782" s="3">
        <v>47275</v>
      </c>
      <c r="H782">
        <v>36</v>
      </c>
      <c r="I782">
        <v>100</v>
      </c>
      <c r="J782">
        <v>76</v>
      </c>
      <c r="K782" s="4">
        <v>5654.4</v>
      </c>
      <c r="L782" s="4">
        <v>2773.4285714285716</v>
      </c>
      <c r="M782" s="4">
        <v>2.7402905120016481E-2</v>
      </c>
      <c r="N782" t="s">
        <v>25</v>
      </c>
      <c r="O782" t="str">
        <f t="shared" si="120"/>
        <v>Low</v>
      </c>
      <c r="P782" t="str">
        <f t="shared" si="121"/>
        <v>Low</v>
      </c>
      <c r="Q782" t="str">
        <f t="shared" si="122"/>
        <v>Low</v>
      </c>
      <c r="R782" t="s">
        <v>3317</v>
      </c>
      <c r="S782" s="4">
        <f t="shared" ca="1" si="123"/>
        <v>1078</v>
      </c>
      <c r="T782">
        <f t="shared" si="124"/>
        <v>1</v>
      </c>
      <c r="U782">
        <f t="shared" si="125"/>
        <v>1</v>
      </c>
      <c r="V782">
        <f t="shared" si="126"/>
        <v>1</v>
      </c>
      <c r="W782">
        <f t="shared" si="127"/>
        <v>1</v>
      </c>
      <c r="X782">
        <f t="shared" si="128"/>
        <v>0.99999999999999989</v>
      </c>
      <c r="Y782" t="str">
        <f t="shared" si="129"/>
        <v>Healthy</v>
      </c>
    </row>
    <row r="783" spans="1:25" x14ac:dyDescent="0.35">
      <c r="A783" t="s">
        <v>71</v>
      </c>
      <c r="B783" t="s">
        <v>72</v>
      </c>
      <c r="C783" t="s">
        <v>572</v>
      </c>
      <c r="D783" t="s">
        <v>649</v>
      </c>
      <c r="E783">
        <v>83912169</v>
      </c>
      <c r="F783" t="s">
        <v>674</v>
      </c>
      <c r="G783" s="3">
        <v>47270</v>
      </c>
      <c r="H783">
        <v>36</v>
      </c>
      <c r="I783">
        <v>100</v>
      </c>
      <c r="J783">
        <v>480</v>
      </c>
      <c r="K783" s="4">
        <v>35712</v>
      </c>
      <c r="L783" s="4">
        <v>2773.4285714285716</v>
      </c>
      <c r="M783" s="4">
        <v>0.17307097970536725</v>
      </c>
      <c r="N783" t="s">
        <v>25</v>
      </c>
      <c r="O783" t="str">
        <f t="shared" si="120"/>
        <v>Low</v>
      </c>
      <c r="P783" t="str">
        <f t="shared" si="121"/>
        <v>Low</v>
      </c>
      <c r="Q783" t="str">
        <f t="shared" si="122"/>
        <v>Low</v>
      </c>
      <c r="R783" t="s">
        <v>3317</v>
      </c>
      <c r="S783" s="4">
        <f t="shared" ca="1" si="123"/>
        <v>1073</v>
      </c>
      <c r="T783">
        <f t="shared" si="124"/>
        <v>1</v>
      </c>
      <c r="U783">
        <f t="shared" si="125"/>
        <v>1</v>
      </c>
      <c r="V783">
        <f t="shared" si="126"/>
        <v>1</v>
      </c>
      <c r="W783">
        <f t="shared" si="127"/>
        <v>1</v>
      </c>
      <c r="X783">
        <f t="shared" si="128"/>
        <v>0.99999999999999989</v>
      </c>
      <c r="Y783" t="str">
        <f t="shared" si="129"/>
        <v>Healthy</v>
      </c>
    </row>
    <row r="784" spans="1:25" x14ac:dyDescent="0.35">
      <c r="A784" t="s">
        <v>14</v>
      </c>
      <c r="B784" t="s">
        <v>115</v>
      </c>
      <c r="C784" t="s">
        <v>116</v>
      </c>
      <c r="D784" t="s">
        <v>318</v>
      </c>
      <c r="E784">
        <v>83904003</v>
      </c>
      <c r="F784" t="s">
        <v>675</v>
      </c>
      <c r="G784" s="3">
        <v>47958</v>
      </c>
      <c r="H784">
        <v>60</v>
      </c>
      <c r="I784">
        <v>98</v>
      </c>
      <c r="J784">
        <v>45</v>
      </c>
      <c r="K784" s="4">
        <v>4760.55</v>
      </c>
      <c r="L784" s="4">
        <v>6843.8571428571431</v>
      </c>
      <c r="M784" s="4">
        <v>6.575239526582754E-3</v>
      </c>
      <c r="N784" t="s">
        <v>25</v>
      </c>
      <c r="O784" t="str">
        <f t="shared" si="120"/>
        <v>Low</v>
      </c>
      <c r="P784" t="str">
        <f t="shared" si="121"/>
        <v>Low</v>
      </c>
      <c r="Q784" t="str">
        <f t="shared" si="122"/>
        <v>Low</v>
      </c>
      <c r="R784" t="s">
        <v>3317</v>
      </c>
      <c r="S784" s="4">
        <f t="shared" ca="1" si="123"/>
        <v>1761</v>
      </c>
      <c r="T784">
        <f t="shared" si="124"/>
        <v>1</v>
      </c>
      <c r="U784">
        <f t="shared" si="125"/>
        <v>1</v>
      </c>
      <c r="V784">
        <f t="shared" si="126"/>
        <v>1</v>
      </c>
      <c r="W784">
        <f t="shared" si="127"/>
        <v>1</v>
      </c>
      <c r="X784">
        <f t="shared" si="128"/>
        <v>0.99999999999999989</v>
      </c>
      <c r="Y784" t="str">
        <f t="shared" si="129"/>
        <v>Healthy</v>
      </c>
    </row>
    <row r="785" spans="1:25" x14ac:dyDescent="0.35">
      <c r="A785" t="s">
        <v>14</v>
      </c>
      <c r="B785" t="s">
        <v>115</v>
      </c>
      <c r="C785" t="s">
        <v>116</v>
      </c>
      <c r="D785" t="s">
        <v>318</v>
      </c>
      <c r="E785">
        <v>83904003</v>
      </c>
      <c r="F785" t="s">
        <v>675</v>
      </c>
      <c r="G785" s="3">
        <v>47957</v>
      </c>
      <c r="H785">
        <v>60</v>
      </c>
      <c r="I785">
        <v>98</v>
      </c>
      <c r="J785">
        <v>3839</v>
      </c>
      <c r="K785" s="4">
        <v>406127.81</v>
      </c>
      <c r="L785" s="4">
        <v>6843.8571428571431</v>
      </c>
      <c r="M785" s="4">
        <v>0.56094098983447094</v>
      </c>
      <c r="N785" t="s">
        <v>25</v>
      </c>
      <c r="O785" t="str">
        <f t="shared" si="120"/>
        <v>Low</v>
      </c>
      <c r="P785" t="str">
        <f t="shared" si="121"/>
        <v>Low</v>
      </c>
      <c r="Q785" t="str">
        <f t="shared" si="122"/>
        <v>Low</v>
      </c>
      <c r="R785" t="s">
        <v>3309</v>
      </c>
      <c r="S785" s="4">
        <f t="shared" ca="1" si="123"/>
        <v>1760</v>
      </c>
      <c r="T785">
        <f t="shared" si="124"/>
        <v>1</v>
      </c>
      <c r="U785">
        <f t="shared" si="125"/>
        <v>1</v>
      </c>
      <c r="V785">
        <f t="shared" si="126"/>
        <v>1</v>
      </c>
      <c r="W785">
        <f t="shared" si="127"/>
        <v>3</v>
      </c>
      <c r="X785">
        <f t="shared" si="128"/>
        <v>1.2</v>
      </c>
      <c r="Y785" t="str">
        <f t="shared" si="129"/>
        <v>Healthy</v>
      </c>
    </row>
    <row r="786" spans="1:25" x14ac:dyDescent="0.35">
      <c r="A786" t="s">
        <v>14</v>
      </c>
      <c r="B786" t="s">
        <v>115</v>
      </c>
      <c r="C786" t="s">
        <v>116</v>
      </c>
      <c r="D786" t="s">
        <v>117</v>
      </c>
      <c r="E786">
        <v>83904005</v>
      </c>
      <c r="F786" t="s">
        <v>676</v>
      </c>
      <c r="G786" s="3">
        <v>47980</v>
      </c>
      <c r="H786">
        <v>60</v>
      </c>
      <c r="I786">
        <v>99</v>
      </c>
      <c r="J786">
        <v>14</v>
      </c>
      <c r="K786" s="4">
        <v>1982.12</v>
      </c>
      <c r="L786" s="4">
        <v>4111.2857142857147</v>
      </c>
      <c r="M786" s="4">
        <v>3.4052607804301743E-3</v>
      </c>
      <c r="N786" t="s">
        <v>25</v>
      </c>
      <c r="O786" t="str">
        <f t="shared" si="120"/>
        <v>Low</v>
      </c>
      <c r="P786" t="str">
        <f t="shared" si="121"/>
        <v>Low</v>
      </c>
      <c r="Q786" t="str">
        <f t="shared" si="122"/>
        <v>Low</v>
      </c>
      <c r="R786" t="s">
        <v>3317</v>
      </c>
      <c r="S786" s="4">
        <f t="shared" ca="1" si="123"/>
        <v>1783</v>
      </c>
      <c r="T786">
        <f t="shared" si="124"/>
        <v>1</v>
      </c>
      <c r="U786">
        <f t="shared" si="125"/>
        <v>1</v>
      </c>
      <c r="V786">
        <f t="shared" si="126"/>
        <v>1</v>
      </c>
      <c r="W786">
        <f t="shared" si="127"/>
        <v>1</v>
      </c>
      <c r="X786">
        <f t="shared" si="128"/>
        <v>0.99999999999999989</v>
      </c>
      <c r="Y786" t="str">
        <f t="shared" si="129"/>
        <v>Healthy</v>
      </c>
    </row>
    <row r="787" spans="1:25" x14ac:dyDescent="0.35">
      <c r="A787" t="s">
        <v>90</v>
      </c>
      <c r="B787" t="s">
        <v>217</v>
      </c>
      <c r="C787" t="s">
        <v>239</v>
      </c>
      <c r="D787" t="s">
        <v>677</v>
      </c>
      <c r="E787">
        <v>83911772</v>
      </c>
      <c r="F787" t="s">
        <v>678</v>
      </c>
      <c r="G787" s="3">
        <v>46905</v>
      </c>
      <c r="H787">
        <v>24</v>
      </c>
      <c r="I787">
        <v>99</v>
      </c>
      <c r="J787">
        <v>2</v>
      </c>
      <c r="K787" s="4">
        <v>198.92</v>
      </c>
      <c r="L787" s="4">
        <v>2183.5714285714284</v>
      </c>
      <c r="M787" s="4">
        <v>9.159306509649984E-4</v>
      </c>
      <c r="N787" t="s">
        <v>25</v>
      </c>
      <c r="O787" t="str">
        <f t="shared" si="120"/>
        <v>Low</v>
      </c>
      <c r="P787" t="str">
        <f t="shared" si="121"/>
        <v>Low</v>
      </c>
      <c r="Q787" t="str">
        <f t="shared" si="122"/>
        <v>Low</v>
      </c>
      <c r="R787" t="s">
        <v>3317</v>
      </c>
      <c r="S787" s="4">
        <f t="shared" ca="1" si="123"/>
        <v>708</v>
      </c>
      <c r="T787">
        <f t="shared" si="124"/>
        <v>1</v>
      </c>
      <c r="U787">
        <f t="shared" si="125"/>
        <v>1</v>
      </c>
      <c r="V787">
        <f t="shared" si="126"/>
        <v>1</v>
      </c>
      <c r="W787">
        <f t="shared" si="127"/>
        <v>1</v>
      </c>
      <c r="X787">
        <f t="shared" si="128"/>
        <v>0.99999999999999989</v>
      </c>
      <c r="Y787" t="str">
        <f t="shared" si="129"/>
        <v>Healthy</v>
      </c>
    </row>
    <row r="788" spans="1:25" x14ac:dyDescent="0.35">
      <c r="A788" t="s">
        <v>90</v>
      </c>
      <c r="B788" t="s">
        <v>217</v>
      </c>
      <c r="C788" t="s">
        <v>239</v>
      </c>
      <c r="D788" t="s">
        <v>679</v>
      </c>
      <c r="E788">
        <v>83911777</v>
      </c>
      <c r="F788" t="s">
        <v>680</v>
      </c>
      <c r="G788" s="3">
        <v>46865</v>
      </c>
      <c r="H788">
        <v>24</v>
      </c>
      <c r="I788">
        <v>93</v>
      </c>
      <c r="J788">
        <v>139</v>
      </c>
      <c r="K788" s="4">
        <v>4808.01</v>
      </c>
      <c r="L788" s="4">
        <v>25551.571428571428</v>
      </c>
      <c r="M788" s="4">
        <v>5.4399785308144313E-3</v>
      </c>
      <c r="N788" t="s">
        <v>25</v>
      </c>
      <c r="O788" t="str">
        <f t="shared" si="120"/>
        <v>Low</v>
      </c>
      <c r="P788" t="str">
        <f t="shared" si="121"/>
        <v>Low</v>
      </c>
      <c r="Q788" t="str">
        <f t="shared" si="122"/>
        <v>Low</v>
      </c>
      <c r="R788" t="s">
        <v>3317</v>
      </c>
      <c r="S788" s="4">
        <f t="shared" ca="1" si="123"/>
        <v>668</v>
      </c>
      <c r="T788">
        <f t="shared" si="124"/>
        <v>1</v>
      </c>
      <c r="U788">
        <f t="shared" si="125"/>
        <v>1</v>
      </c>
      <c r="V788">
        <f t="shared" si="126"/>
        <v>1</v>
      </c>
      <c r="W788">
        <f t="shared" si="127"/>
        <v>1</v>
      </c>
      <c r="X788">
        <f t="shared" si="128"/>
        <v>0.99999999999999989</v>
      </c>
      <c r="Y788" t="str">
        <f t="shared" si="129"/>
        <v>Healthy</v>
      </c>
    </row>
    <row r="789" spans="1:25" x14ac:dyDescent="0.35">
      <c r="A789" t="s">
        <v>29</v>
      </c>
      <c r="B789" t="s">
        <v>30</v>
      </c>
      <c r="C789" t="s">
        <v>276</v>
      </c>
      <c r="D789" t="s">
        <v>288</v>
      </c>
      <c r="E789">
        <v>82319510</v>
      </c>
      <c r="F789" t="s">
        <v>681</v>
      </c>
      <c r="G789" s="3">
        <v>45725</v>
      </c>
      <c r="H789">
        <v>36</v>
      </c>
      <c r="I789">
        <v>0</v>
      </c>
      <c r="J789">
        <v>15</v>
      </c>
      <c r="K789" s="4">
        <v>4996.05</v>
      </c>
      <c r="L789" s="4">
        <f>0</f>
        <v>0</v>
      </c>
      <c r="M789" s="4">
        <f>999</f>
        <v>999</v>
      </c>
      <c r="N789" t="s">
        <v>19</v>
      </c>
      <c r="O789" t="str">
        <f t="shared" si="120"/>
        <v>High</v>
      </c>
      <c r="P789" t="str">
        <f t="shared" si="121"/>
        <v>High</v>
      </c>
      <c r="Q789" t="str">
        <f t="shared" si="122"/>
        <v>High</v>
      </c>
      <c r="R789" t="s">
        <v>3317</v>
      </c>
      <c r="S789" s="4">
        <f t="shared" ca="1" si="123"/>
        <v>-472</v>
      </c>
      <c r="T789">
        <f t="shared" si="124"/>
        <v>3</v>
      </c>
      <c r="U789">
        <f t="shared" si="125"/>
        <v>3</v>
      </c>
      <c r="V789">
        <f t="shared" si="126"/>
        <v>3</v>
      </c>
      <c r="W789">
        <f t="shared" si="127"/>
        <v>1</v>
      </c>
      <c r="X789">
        <f t="shared" si="128"/>
        <v>2.8000000000000003</v>
      </c>
      <c r="Y789" t="str">
        <f t="shared" si="129"/>
        <v>Move Immediately</v>
      </c>
    </row>
    <row r="790" spans="1:25" x14ac:dyDescent="0.35">
      <c r="A790" t="s">
        <v>90</v>
      </c>
      <c r="B790" t="s">
        <v>217</v>
      </c>
      <c r="C790" t="s">
        <v>239</v>
      </c>
      <c r="D790" t="s">
        <v>679</v>
      </c>
      <c r="E790">
        <v>83911777</v>
      </c>
      <c r="F790" t="s">
        <v>680</v>
      </c>
      <c r="G790" s="3">
        <v>46910</v>
      </c>
      <c r="H790">
        <v>24</v>
      </c>
      <c r="I790">
        <v>100</v>
      </c>
      <c r="J790">
        <v>1720</v>
      </c>
      <c r="K790" s="4">
        <v>59494.8</v>
      </c>
      <c r="L790" s="4">
        <v>25551.571428571428</v>
      </c>
      <c r="M790" s="4">
        <v>6.731484225180448E-2</v>
      </c>
      <c r="N790" t="s">
        <v>25</v>
      </c>
      <c r="O790" t="str">
        <f t="shared" si="120"/>
        <v>Low</v>
      </c>
      <c r="P790" t="str">
        <f t="shared" si="121"/>
        <v>Low</v>
      </c>
      <c r="Q790" t="str">
        <f t="shared" si="122"/>
        <v>Low</v>
      </c>
      <c r="R790" t="s">
        <v>3317</v>
      </c>
      <c r="S790" s="4">
        <f t="shared" ca="1" si="123"/>
        <v>713</v>
      </c>
      <c r="T790">
        <f t="shared" si="124"/>
        <v>1</v>
      </c>
      <c r="U790">
        <f t="shared" si="125"/>
        <v>1</v>
      </c>
      <c r="V790">
        <f t="shared" si="126"/>
        <v>1</v>
      </c>
      <c r="W790">
        <f t="shared" si="127"/>
        <v>1</v>
      </c>
      <c r="X790">
        <f t="shared" si="128"/>
        <v>0.99999999999999989</v>
      </c>
      <c r="Y790" t="str">
        <f t="shared" si="129"/>
        <v>Healthy</v>
      </c>
    </row>
    <row r="791" spans="1:25" x14ac:dyDescent="0.35">
      <c r="A791" t="s">
        <v>90</v>
      </c>
      <c r="B791" t="s">
        <v>217</v>
      </c>
      <c r="C791" t="s">
        <v>239</v>
      </c>
      <c r="D791" t="s">
        <v>679</v>
      </c>
      <c r="E791">
        <v>83911777</v>
      </c>
      <c r="F791" t="s">
        <v>680</v>
      </c>
      <c r="G791" s="3">
        <v>46866</v>
      </c>
      <c r="H791">
        <v>24</v>
      </c>
      <c r="I791">
        <v>94</v>
      </c>
      <c r="J791">
        <v>252</v>
      </c>
      <c r="K791" s="4">
        <v>8716.68</v>
      </c>
      <c r="L791" s="4">
        <v>25551.571428571428</v>
      </c>
      <c r="M791" s="4">
        <v>9.862407120613214E-3</v>
      </c>
      <c r="N791" t="s">
        <v>25</v>
      </c>
      <c r="O791" t="str">
        <f t="shared" si="120"/>
        <v>Low</v>
      </c>
      <c r="P791" t="str">
        <f t="shared" si="121"/>
        <v>Low</v>
      </c>
      <c r="Q791" t="str">
        <f t="shared" si="122"/>
        <v>Low</v>
      </c>
      <c r="R791" t="s">
        <v>3317</v>
      </c>
      <c r="S791" s="4">
        <f t="shared" ca="1" si="123"/>
        <v>669</v>
      </c>
      <c r="T791">
        <f t="shared" si="124"/>
        <v>1</v>
      </c>
      <c r="U791">
        <f t="shared" si="125"/>
        <v>1</v>
      </c>
      <c r="V791">
        <f t="shared" si="126"/>
        <v>1</v>
      </c>
      <c r="W791">
        <f t="shared" si="127"/>
        <v>1</v>
      </c>
      <c r="X791">
        <f t="shared" si="128"/>
        <v>0.99999999999999989</v>
      </c>
      <c r="Y791" t="str">
        <f t="shared" si="129"/>
        <v>Healthy</v>
      </c>
    </row>
    <row r="792" spans="1:25" x14ac:dyDescent="0.35">
      <c r="A792" t="s">
        <v>29</v>
      </c>
      <c r="B792" t="s">
        <v>30</v>
      </c>
      <c r="C792" t="s">
        <v>276</v>
      </c>
      <c r="D792" t="s">
        <v>288</v>
      </c>
      <c r="E792">
        <v>82319510</v>
      </c>
      <c r="F792" t="s">
        <v>681</v>
      </c>
      <c r="G792" s="3">
        <v>45639</v>
      </c>
      <c r="H792">
        <v>36</v>
      </c>
      <c r="I792">
        <v>0</v>
      </c>
      <c r="J792">
        <v>4</v>
      </c>
      <c r="K792" s="4">
        <v>1332.28</v>
      </c>
      <c r="L792" s="4">
        <f>0</f>
        <v>0</v>
      </c>
      <c r="M792" s="4">
        <f>999</f>
        <v>999</v>
      </c>
      <c r="N792" t="s">
        <v>19</v>
      </c>
      <c r="O792" t="str">
        <f t="shared" si="120"/>
        <v>High</v>
      </c>
      <c r="P792" t="str">
        <f t="shared" si="121"/>
        <v>High</v>
      </c>
      <c r="Q792" t="str">
        <f t="shared" si="122"/>
        <v>High</v>
      </c>
      <c r="R792" t="s">
        <v>3317</v>
      </c>
      <c r="S792" s="4">
        <f t="shared" ca="1" si="123"/>
        <v>-558</v>
      </c>
      <c r="T792">
        <f t="shared" si="124"/>
        <v>3</v>
      </c>
      <c r="U792">
        <f t="shared" si="125"/>
        <v>3</v>
      </c>
      <c r="V792">
        <f t="shared" si="126"/>
        <v>3</v>
      </c>
      <c r="W792">
        <f t="shared" si="127"/>
        <v>1</v>
      </c>
      <c r="X792">
        <f t="shared" si="128"/>
        <v>2.8000000000000003</v>
      </c>
      <c r="Y792" t="str">
        <f t="shared" si="129"/>
        <v>Move Immediately</v>
      </c>
    </row>
    <row r="793" spans="1:25" x14ac:dyDescent="0.35">
      <c r="A793" t="s">
        <v>90</v>
      </c>
      <c r="B793" t="s">
        <v>217</v>
      </c>
      <c r="C793" t="s">
        <v>239</v>
      </c>
      <c r="D793" t="s">
        <v>679</v>
      </c>
      <c r="E793">
        <v>83911777</v>
      </c>
      <c r="F793" t="s">
        <v>680</v>
      </c>
      <c r="G793" s="3">
        <v>46907</v>
      </c>
      <c r="H793">
        <v>24</v>
      </c>
      <c r="I793">
        <v>99</v>
      </c>
      <c r="J793">
        <v>3456</v>
      </c>
      <c r="K793" s="4">
        <v>119543.03999999999</v>
      </c>
      <c r="L793" s="4">
        <v>25551.571428571428</v>
      </c>
      <c r="M793" s="4">
        <v>0.13525586908269552</v>
      </c>
      <c r="N793" t="s">
        <v>25</v>
      </c>
      <c r="O793" t="str">
        <f t="shared" si="120"/>
        <v>Low</v>
      </c>
      <c r="P793" t="str">
        <f t="shared" si="121"/>
        <v>Low</v>
      </c>
      <c r="Q793" t="str">
        <f t="shared" si="122"/>
        <v>Low</v>
      </c>
      <c r="R793" t="s">
        <v>3310</v>
      </c>
      <c r="S793" s="4">
        <f t="shared" ca="1" si="123"/>
        <v>710</v>
      </c>
      <c r="T793">
        <f t="shared" si="124"/>
        <v>1</v>
      </c>
      <c r="U793">
        <f t="shared" si="125"/>
        <v>1</v>
      </c>
      <c r="V793">
        <f t="shared" si="126"/>
        <v>1</v>
      </c>
      <c r="W793">
        <f t="shared" si="127"/>
        <v>2</v>
      </c>
      <c r="X793">
        <f t="shared" si="128"/>
        <v>1.0999999999999999</v>
      </c>
      <c r="Y793" t="str">
        <f t="shared" si="129"/>
        <v>Healthy</v>
      </c>
    </row>
    <row r="794" spans="1:25" x14ac:dyDescent="0.35">
      <c r="A794" t="s">
        <v>90</v>
      </c>
      <c r="B794" t="s">
        <v>217</v>
      </c>
      <c r="C794" t="s">
        <v>239</v>
      </c>
      <c r="D794" t="s">
        <v>679</v>
      </c>
      <c r="E794">
        <v>83911777</v>
      </c>
      <c r="F794" t="s">
        <v>680</v>
      </c>
      <c r="G794" s="3">
        <v>46896</v>
      </c>
      <c r="H794">
        <v>24</v>
      </c>
      <c r="I794">
        <v>98</v>
      </c>
      <c r="J794">
        <v>1080</v>
      </c>
      <c r="K794" s="4">
        <v>37357.199999999997</v>
      </c>
      <c r="L794" s="4">
        <v>25551.571428571428</v>
      </c>
      <c r="M794" s="4">
        <v>4.2267459088342348E-2</v>
      </c>
      <c r="N794" t="s">
        <v>25</v>
      </c>
      <c r="O794" t="str">
        <f t="shared" si="120"/>
        <v>Low</v>
      </c>
      <c r="P794" t="str">
        <f t="shared" si="121"/>
        <v>Low</v>
      </c>
      <c r="Q794" t="str">
        <f t="shared" si="122"/>
        <v>Low</v>
      </c>
      <c r="R794" t="s">
        <v>3317</v>
      </c>
      <c r="S794" s="4">
        <f t="shared" ca="1" si="123"/>
        <v>699</v>
      </c>
      <c r="T794">
        <f t="shared" si="124"/>
        <v>1</v>
      </c>
      <c r="U794">
        <f t="shared" si="125"/>
        <v>1</v>
      </c>
      <c r="V794">
        <f t="shared" si="126"/>
        <v>1</v>
      </c>
      <c r="W794">
        <f t="shared" si="127"/>
        <v>1</v>
      </c>
      <c r="X794">
        <f t="shared" si="128"/>
        <v>0.99999999999999989</v>
      </c>
      <c r="Y794" t="str">
        <f t="shared" si="129"/>
        <v>Healthy</v>
      </c>
    </row>
    <row r="795" spans="1:25" x14ac:dyDescent="0.35">
      <c r="A795" t="s">
        <v>90</v>
      </c>
      <c r="B795" t="s">
        <v>217</v>
      </c>
      <c r="C795" t="s">
        <v>239</v>
      </c>
      <c r="D795" t="s">
        <v>679</v>
      </c>
      <c r="E795">
        <v>83911777</v>
      </c>
      <c r="F795" t="s">
        <v>680</v>
      </c>
      <c r="G795" s="3">
        <v>46895</v>
      </c>
      <c r="H795">
        <v>24</v>
      </c>
      <c r="I795">
        <v>98</v>
      </c>
      <c r="J795">
        <v>1134</v>
      </c>
      <c r="K795" s="4">
        <v>39225.06</v>
      </c>
      <c r="L795" s="4">
        <v>25551.571428571428</v>
      </c>
      <c r="M795" s="4">
        <v>4.4380832042759465E-2</v>
      </c>
      <c r="N795" t="s">
        <v>25</v>
      </c>
      <c r="O795" t="str">
        <f t="shared" si="120"/>
        <v>Low</v>
      </c>
      <c r="P795" t="str">
        <f t="shared" si="121"/>
        <v>Low</v>
      </c>
      <c r="Q795" t="str">
        <f t="shared" si="122"/>
        <v>Low</v>
      </c>
      <c r="R795" t="s">
        <v>3317</v>
      </c>
      <c r="S795" s="4">
        <f t="shared" ca="1" si="123"/>
        <v>698</v>
      </c>
      <c r="T795">
        <f t="shared" si="124"/>
        <v>1</v>
      </c>
      <c r="U795">
        <f t="shared" si="125"/>
        <v>1</v>
      </c>
      <c r="V795">
        <f t="shared" si="126"/>
        <v>1</v>
      </c>
      <c r="W795">
        <f t="shared" si="127"/>
        <v>1</v>
      </c>
      <c r="X795">
        <f t="shared" si="128"/>
        <v>0.99999999999999989</v>
      </c>
      <c r="Y795" t="str">
        <f t="shared" si="129"/>
        <v>Healthy</v>
      </c>
    </row>
    <row r="796" spans="1:25" x14ac:dyDescent="0.35">
      <c r="A796" t="s">
        <v>90</v>
      </c>
      <c r="B796" t="s">
        <v>217</v>
      </c>
      <c r="C796" t="s">
        <v>239</v>
      </c>
      <c r="D796" t="s">
        <v>679</v>
      </c>
      <c r="E796">
        <v>83911777</v>
      </c>
      <c r="F796" t="s">
        <v>680</v>
      </c>
      <c r="G796" s="3">
        <v>46873</v>
      </c>
      <c r="H796">
        <v>24</v>
      </c>
      <c r="I796">
        <v>95</v>
      </c>
      <c r="J796">
        <v>806</v>
      </c>
      <c r="K796" s="4">
        <v>27879.54</v>
      </c>
      <c r="L796" s="4">
        <v>25551.571428571428</v>
      </c>
      <c r="M796" s="4">
        <v>3.1544048171485123E-2</v>
      </c>
      <c r="N796" t="s">
        <v>25</v>
      </c>
      <c r="O796" t="str">
        <f t="shared" si="120"/>
        <v>Low</v>
      </c>
      <c r="P796" t="str">
        <f t="shared" si="121"/>
        <v>Low</v>
      </c>
      <c r="Q796" t="str">
        <f t="shared" si="122"/>
        <v>Low</v>
      </c>
      <c r="R796" t="s">
        <v>3317</v>
      </c>
      <c r="S796" s="4">
        <f t="shared" ca="1" si="123"/>
        <v>676</v>
      </c>
      <c r="T796">
        <f t="shared" si="124"/>
        <v>1</v>
      </c>
      <c r="U796">
        <f t="shared" si="125"/>
        <v>1</v>
      </c>
      <c r="V796">
        <f t="shared" si="126"/>
        <v>1</v>
      </c>
      <c r="W796">
        <f t="shared" si="127"/>
        <v>1</v>
      </c>
      <c r="X796">
        <f t="shared" si="128"/>
        <v>0.99999999999999989</v>
      </c>
      <c r="Y796" t="str">
        <f t="shared" si="129"/>
        <v>Healthy</v>
      </c>
    </row>
    <row r="797" spans="1:25" x14ac:dyDescent="0.35">
      <c r="A797" t="s">
        <v>90</v>
      </c>
      <c r="B797" t="s">
        <v>217</v>
      </c>
      <c r="C797" t="s">
        <v>239</v>
      </c>
      <c r="D797" t="s">
        <v>679</v>
      </c>
      <c r="E797">
        <v>83911777</v>
      </c>
      <c r="F797" t="s">
        <v>680</v>
      </c>
      <c r="G797" s="3">
        <v>46884</v>
      </c>
      <c r="H797">
        <v>24</v>
      </c>
      <c r="I797">
        <v>96</v>
      </c>
      <c r="J797">
        <v>1179</v>
      </c>
      <c r="K797" s="4">
        <v>40781.61</v>
      </c>
      <c r="L797" s="4">
        <v>25551.571428571428</v>
      </c>
      <c r="M797" s="4">
        <v>4.6141976171440391E-2</v>
      </c>
      <c r="N797" t="s">
        <v>25</v>
      </c>
      <c r="O797" t="str">
        <f t="shared" si="120"/>
        <v>Low</v>
      </c>
      <c r="P797" t="str">
        <f t="shared" si="121"/>
        <v>Low</v>
      </c>
      <c r="Q797" t="str">
        <f t="shared" si="122"/>
        <v>Low</v>
      </c>
      <c r="R797" t="s">
        <v>3317</v>
      </c>
      <c r="S797" s="4">
        <f t="shared" ca="1" si="123"/>
        <v>687</v>
      </c>
      <c r="T797">
        <f t="shared" si="124"/>
        <v>1</v>
      </c>
      <c r="U797">
        <f t="shared" si="125"/>
        <v>1</v>
      </c>
      <c r="V797">
        <f t="shared" si="126"/>
        <v>1</v>
      </c>
      <c r="W797">
        <f t="shared" si="127"/>
        <v>1</v>
      </c>
      <c r="X797">
        <f t="shared" si="128"/>
        <v>0.99999999999999989</v>
      </c>
      <c r="Y797" t="str">
        <f t="shared" si="129"/>
        <v>Healthy</v>
      </c>
    </row>
    <row r="798" spans="1:25" x14ac:dyDescent="0.35">
      <c r="A798" t="s">
        <v>90</v>
      </c>
      <c r="B798" t="s">
        <v>217</v>
      </c>
      <c r="C798" t="s">
        <v>239</v>
      </c>
      <c r="D798" t="s">
        <v>679</v>
      </c>
      <c r="E798">
        <v>83911777</v>
      </c>
      <c r="F798" t="s">
        <v>680</v>
      </c>
      <c r="G798" s="3">
        <v>46889</v>
      </c>
      <c r="H798">
        <v>24</v>
      </c>
      <c r="I798">
        <v>97</v>
      </c>
      <c r="J798">
        <v>1158</v>
      </c>
      <c r="K798" s="4">
        <v>40055.22</v>
      </c>
      <c r="L798" s="4">
        <v>25551.571428571428</v>
      </c>
      <c r="M798" s="4">
        <v>4.5320108911389295E-2</v>
      </c>
      <c r="N798" t="s">
        <v>25</v>
      </c>
      <c r="O798" t="str">
        <f t="shared" si="120"/>
        <v>Low</v>
      </c>
      <c r="P798" t="str">
        <f t="shared" si="121"/>
        <v>Low</v>
      </c>
      <c r="Q798" t="str">
        <f t="shared" si="122"/>
        <v>Low</v>
      </c>
      <c r="R798" t="s">
        <v>3317</v>
      </c>
      <c r="S798" s="4">
        <f t="shared" ca="1" si="123"/>
        <v>692</v>
      </c>
      <c r="T798">
        <f t="shared" si="124"/>
        <v>1</v>
      </c>
      <c r="U798">
        <f t="shared" si="125"/>
        <v>1</v>
      </c>
      <c r="V798">
        <f t="shared" si="126"/>
        <v>1</v>
      </c>
      <c r="W798">
        <f t="shared" si="127"/>
        <v>1</v>
      </c>
      <c r="X798">
        <f t="shared" si="128"/>
        <v>0.99999999999999989</v>
      </c>
      <c r="Y798" t="str">
        <f t="shared" si="129"/>
        <v>Healthy</v>
      </c>
    </row>
    <row r="799" spans="1:25" x14ac:dyDescent="0.35">
      <c r="A799" t="s">
        <v>90</v>
      </c>
      <c r="B799" t="s">
        <v>217</v>
      </c>
      <c r="C799" t="s">
        <v>239</v>
      </c>
      <c r="D799" t="s">
        <v>679</v>
      </c>
      <c r="E799">
        <v>83911777</v>
      </c>
      <c r="F799" t="s">
        <v>680</v>
      </c>
      <c r="G799" s="3">
        <v>46882</v>
      </c>
      <c r="H799">
        <v>24</v>
      </c>
      <c r="I799">
        <v>96</v>
      </c>
      <c r="J799">
        <v>1234</v>
      </c>
      <c r="K799" s="4">
        <v>42684.06</v>
      </c>
      <c r="L799" s="4">
        <v>25551.571428571428</v>
      </c>
      <c r="M799" s="4">
        <v>4.829448566205042E-2</v>
      </c>
      <c r="N799" t="s">
        <v>25</v>
      </c>
      <c r="O799" t="str">
        <f t="shared" si="120"/>
        <v>Low</v>
      </c>
      <c r="P799" t="str">
        <f t="shared" si="121"/>
        <v>Low</v>
      </c>
      <c r="Q799" t="str">
        <f t="shared" si="122"/>
        <v>Low</v>
      </c>
      <c r="R799" t="s">
        <v>3317</v>
      </c>
      <c r="S799" s="4">
        <f t="shared" ca="1" si="123"/>
        <v>685</v>
      </c>
      <c r="T799">
        <f t="shared" si="124"/>
        <v>1</v>
      </c>
      <c r="U799">
        <f t="shared" si="125"/>
        <v>1</v>
      </c>
      <c r="V799">
        <f t="shared" si="126"/>
        <v>1</v>
      </c>
      <c r="W799">
        <f t="shared" si="127"/>
        <v>1</v>
      </c>
      <c r="X799">
        <f t="shared" si="128"/>
        <v>0.99999999999999989</v>
      </c>
      <c r="Y799" t="str">
        <f t="shared" si="129"/>
        <v>Healthy</v>
      </c>
    </row>
    <row r="800" spans="1:25" x14ac:dyDescent="0.35">
      <c r="A800" t="s">
        <v>90</v>
      </c>
      <c r="B800" t="s">
        <v>217</v>
      </c>
      <c r="C800" t="s">
        <v>239</v>
      </c>
      <c r="D800" t="s">
        <v>679</v>
      </c>
      <c r="E800">
        <v>83911777</v>
      </c>
      <c r="F800" t="s">
        <v>680</v>
      </c>
      <c r="G800" s="3">
        <v>46888</v>
      </c>
      <c r="H800">
        <v>24</v>
      </c>
      <c r="I800">
        <v>97</v>
      </c>
      <c r="J800">
        <v>1134</v>
      </c>
      <c r="K800" s="4">
        <v>39225.06</v>
      </c>
      <c r="L800" s="4">
        <v>25551.571428571428</v>
      </c>
      <c r="M800" s="4">
        <v>4.4380832042759465E-2</v>
      </c>
      <c r="N800" t="s">
        <v>25</v>
      </c>
      <c r="O800" t="str">
        <f t="shared" si="120"/>
        <v>Low</v>
      </c>
      <c r="P800" t="str">
        <f t="shared" si="121"/>
        <v>Low</v>
      </c>
      <c r="Q800" t="str">
        <f t="shared" si="122"/>
        <v>Low</v>
      </c>
      <c r="R800" t="s">
        <v>3317</v>
      </c>
      <c r="S800" s="4">
        <f t="shared" ca="1" si="123"/>
        <v>691</v>
      </c>
      <c r="T800">
        <f t="shared" si="124"/>
        <v>1</v>
      </c>
      <c r="U800">
        <f t="shared" si="125"/>
        <v>1</v>
      </c>
      <c r="V800">
        <f t="shared" si="126"/>
        <v>1</v>
      </c>
      <c r="W800">
        <f t="shared" si="127"/>
        <v>1</v>
      </c>
      <c r="X800">
        <f t="shared" si="128"/>
        <v>0.99999999999999989</v>
      </c>
      <c r="Y800" t="str">
        <f t="shared" si="129"/>
        <v>Healthy</v>
      </c>
    </row>
    <row r="801" spans="1:25" x14ac:dyDescent="0.35">
      <c r="A801" t="s">
        <v>90</v>
      </c>
      <c r="B801" t="s">
        <v>217</v>
      </c>
      <c r="C801" t="s">
        <v>239</v>
      </c>
      <c r="D801" t="s">
        <v>679</v>
      </c>
      <c r="E801">
        <v>83911777</v>
      </c>
      <c r="F801" t="s">
        <v>680</v>
      </c>
      <c r="G801" s="3">
        <v>46883</v>
      </c>
      <c r="H801">
        <v>24</v>
      </c>
      <c r="I801">
        <v>96</v>
      </c>
      <c r="J801">
        <v>1130</v>
      </c>
      <c r="K801" s="4">
        <v>39086.699999999997</v>
      </c>
      <c r="L801" s="4">
        <v>25551.571428571428</v>
      </c>
      <c r="M801" s="4">
        <v>4.4224285897987825E-2</v>
      </c>
      <c r="N801" t="s">
        <v>25</v>
      </c>
      <c r="O801" t="str">
        <f t="shared" si="120"/>
        <v>Low</v>
      </c>
      <c r="P801" t="str">
        <f t="shared" si="121"/>
        <v>Low</v>
      </c>
      <c r="Q801" t="str">
        <f t="shared" si="122"/>
        <v>Low</v>
      </c>
      <c r="R801" t="s">
        <v>3317</v>
      </c>
      <c r="S801" s="4">
        <f t="shared" ca="1" si="123"/>
        <v>686</v>
      </c>
      <c r="T801">
        <f t="shared" si="124"/>
        <v>1</v>
      </c>
      <c r="U801">
        <f t="shared" si="125"/>
        <v>1</v>
      </c>
      <c r="V801">
        <f t="shared" si="126"/>
        <v>1</v>
      </c>
      <c r="W801">
        <f t="shared" si="127"/>
        <v>1</v>
      </c>
      <c r="X801">
        <f t="shared" si="128"/>
        <v>0.99999999999999989</v>
      </c>
      <c r="Y801" t="str">
        <f t="shared" si="129"/>
        <v>Healthy</v>
      </c>
    </row>
    <row r="802" spans="1:25" x14ac:dyDescent="0.35">
      <c r="A802" t="s">
        <v>90</v>
      </c>
      <c r="B802" t="s">
        <v>217</v>
      </c>
      <c r="C802" t="s">
        <v>239</v>
      </c>
      <c r="D802" t="s">
        <v>679</v>
      </c>
      <c r="E802">
        <v>83911777</v>
      </c>
      <c r="F802" t="s">
        <v>680</v>
      </c>
      <c r="G802" s="3">
        <v>46885</v>
      </c>
      <c r="H802">
        <v>24</v>
      </c>
      <c r="I802">
        <v>96</v>
      </c>
      <c r="J802">
        <v>1134</v>
      </c>
      <c r="K802" s="4">
        <v>39225.06</v>
      </c>
      <c r="L802" s="4">
        <v>25551.571428571428</v>
      </c>
      <c r="M802" s="4">
        <v>4.4380832042759465E-2</v>
      </c>
      <c r="N802" t="s">
        <v>25</v>
      </c>
      <c r="O802" t="str">
        <f t="shared" si="120"/>
        <v>Low</v>
      </c>
      <c r="P802" t="str">
        <f t="shared" si="121"/>
        <v>Low</v>
      </c>
      <c r="Q802" t="str">
        <f t="shared" si="122"/>
        <v>Low</v>
      </c>
      <c r="R802" t="s">
        <v>3317</v>
      </c>
      <c r="S802" s="4">
        <f t="shared" ca="1" si="123"/>
        <v>688</v>
      </c>
      <c r="T802">
        <f t="shared" si="124"/>
        <v>1</v>
      </c>
      <c r="U802">
        <f t="shared" si="125"/>
        <v>1</v>
      </c>
      <c r="V802">
        <f t="shared" si="126"/>
        <v>1</v>
      </c>
      <c r="W802">
        <f t="shared" si="127"/>
        <v>1</v>
      </c>
      <c r="X802">
        <f t="shared" si="128"/>
        <v>0.99999999999999989</v>
      </c>
      <c r="Y802" t="str">
        <f t="shared" si="129"/>
        <v>Healthy</v>
      </c>
    </row>
    <row r="803" spans="1:25" x14ac:dyDescent="0.35">
      <c r="A803" t="s">
        <v>90</v>
      </c>
      <c r="B803" t="s">
        <v>217</v>
      </c>
      <c r="C803" t="s">
        <v>239</v>
      </c>
      <c r="D803" t="s">
        <v>679</v>
      </c>
      <c r="E803">
        <v>83911777</v>
      </c>
      <c r="F803" t="s">
        <v>680</v>
      </c>
      <c r="G803" s="3">
        <v>46869</v>
      </c>
      <c r="H803">
        <v>24</v>
      </c>
      <c r="I803">
        <v>94</v>
      </c>
      <c r="J803">
        <v>1096</v>
      </c>
      <c r="K803" s="4">
        <v>37910.639999999999</v>
      </c>
      <c r="L803" s="4">
        <v>25551.571428571428</v>
      </c>
      <c r="M803" s="4">
        <v>4.2893643667428899E-2</v>
      </c>
      <c r="N803" t="s">
        <v>25</v>
      </c>
      <c r="O803" t="str">
        <f t="shared" si="120"/>
        <v>Low</v>
      </c>
      <c r="P803" t="str">
        <f t="shared" si="121"/>
        <v>Low</v>
      </c>
      <c r="Q803" t="str">
        <f t="shared" si="122"/>
        <v>Low</v>
      </c>
      <c r="R803" t="s">
        <v>3317</v>
      </c>
      <c r="S803" s="4">
        <f t="shared" ca="1" si="123"/>
        <v>672</v>
      </c>
      <c r="T803">
        <f t="shared" si="124"/>
        <v>1</v>
      </c>
      <c r="U803">
        <f t="shared" si="125"/>
        <v>1</v>
      </c>
      <c r="V803">
        <f t="shared" si="126"/>
        <v>1</v>
      </c>
      <c r="W803">
        <f t="shared" si="127"/>
        <v>1</v>
      </c>
      <c r="X803">
        <f t="shared" si="128"/>
        <v>0.99999999999999989</v>
      </c>
      <c r="Y803" t="str">
        <f t="shared" si="129"/>
        <v>Healthy</v>
      </c>
    </row>
    <row r="804" spans="1:25" x14ac:dyDescent="0.35">
      <c r="A804" t="s">
        <v>90</v>
      </c>
      <c r="B804" t="s">
        <v>217</v>
      </c>
      <c r="C804" t="s">
        <v>239</v>
      </c>
      <c r="D804" t="s">
        <v>679</v>
      </c>
      <c r="E804">
        <v>83911777</v>
      </c>
      <c r="F804" t="s">
        <v>680</v>
      </c>
      <c r="G804" s="3">
        <v>46891</v>
      </c>
      <c r="H804">
        <v>24</v>
      </c>
      <c r="I804">
        <v>97</v>
      </c>
      <c r="J804">
        <v>11736</v>
      </c>
      <c r="K804" s="4">
        <v>405948.24</v>
      </c>
      <c r="L804" s="4">
        <v>25551.571428571428</v>
      </c>
      <c r="M804" s="4">
        <v>0.45930638875998681</v>
      </c>
      <c r="N804" t="s">
        <v>25</v>
      </c>
      <c r="O804" t="str">
        <f t="shared" si="120"/>
        <v>Low</v>
      </c>
      <c r="P804" t="str">
        <f t="shared" si="121"/>
        <v>Low</v>
      </c>
      <c r="Q804" t="str">
        <f t="shared" si="122"/>
        <v>Low</v>
      </c>
      <c r="R804" t="s">
        <v>3309</v>
      </c>
      <c r="S804" s="4">
        <f t="shared" ca="1" si="123"/>
        <v>694</v>
      </c>
      <c r="T804">
        <f t="shared" si="124"/>
        <v>1</v>
      </c>
      <c r="U804">
        <f t="shared" si="125"/>
        <v>1</v>
      </c>
      <c r="V804">
        <f t="shared" si="126"/>
        <v>1</v>
      </c>
      <c r="W804">
        <f t="shared" si="127"/>
        <v>3</v>
      </c>
      <c r="X804">
        <f t="shared" si="128"/>
        <v>1.2</v>
      </c>
      <c r="Y804" t="str">
        <f t="shared" si="129"/>
        <v>Healthy</v>
      </c>
    </row>
    <row r="805" spans="1:25" x14ac:dyDescent="0.35">
      <c r="A805" t="s">
        <v>90</v>
      </c>
      <c r="B805" t="s">
        <v>217</v>
      </c>
      <c r="C805" t="s">
        <v>239</v>
      </c>
      <c r="D805" t="s">
        <v>679</v>
      </c>
      <c r="E805">
        <v>83911777</v>
      </c>
      <c r="F805" t="s">
        <v>680</v>
      </c>
      <c r="G805" s="3">
        <v>46867</v>
      </c>
      <c r="H805">
        <v>24</v>
      </c>
      <c r="I805">
        <v>94</v>
      </c>
      <c r="J805">
        <v>1057</v>
      </c>
      <c r="K805" s="4">
        <v>36561.629999999997</v>
      </c>
      <c r="L805" s="4">
        <v>25551.571428571428</v>
      </c>
      <c r="M805" s="4">
        <v>4.1367318755905429E-2</v>
      </c>
      <c r="N805" t="s">
        <v>25</v>
      </c>
      <c r="O805" t="str">
        <f t="shared" si="120"/>
        <v>Low</v>
      </c>
      <c r="P805" t="str">
        <f t="shared" si="121"/>
        <v>Low</v>
      </c>
      <c r="Q805" t="str">
        <f t="shared" si="122"/>
        <v>Low</v>
      </c>
      <c r="R805" t="s">
        <v>3317</v>
      </c>
      <c r="S805" s="4">
        <f t="shared" ca="1" si="123"/>
        <v>670</v>
      </c>
      <c r="T805">
        <f t="shared" si="124"/>
        <v>1</v>
      </c>
      <c r="U805">
        <f t="shared" si="125"/>
        <v>1</v>
      </c>
      <c r="V805">
        <f t="shared" si="126"/>
        <v>1</v>
      </c>
      <c r="W805">
        <f t="shared" si="127"/>
        <v>1</v>
      </c>
      <c r="X805">
        <f t="shared" si="128"/>
        <v>0.99999999999999989</v>
      </c>
      <c r="Y805" t="str">
        <f t="shared" si="129"/>
        <v>Healthy</v>
      </c>
    </row>
    <row r="806" spans="1:25" x14ac:dyDescent="0.35">
      <c r="A806" t="s">
        <v>71</v>
      </c>
      <c r="B806" t="s">
        <v>72</v>
      </c>
      <c r="C806" t="s">
        <v>310</v>
      </c>
      <c r="D806" t="s">
        <v>682</v>
      </c>
      <c r="E806">
        <v>83912165</v>
      </c>
      <c r="F806" t="s">
        <v>683</v>
      </c>
      <c r="G806" s="3">
        <v>47257</v>
      </c>
      <c r="H806">
        <v>36</v>
      </c>
      <c r="I806">
        <v>99</v>
      </c>
      <c r="J806">
        <v>237</v>
      </c>
      <c r="K806" s="4">
        <v>18201.599999999999</v>
      </c>
      <c r="L806" s="4">
        <v>350.57142857142856</v>
      </c>
      <c r="M806" s="4">
        <v>0.67603911980440101</v>
      </c>
      <c r="N806" t="s">
        <v>25</v>
      </c>
      <c r="O806" t="str">
        <f t="shared" si="120"/>
        <v>Low</v>
      </c>
      <c r="P806" t="str">
        <f t="shared" si="121"/>
        <v>Low</v>
      </c>
      <c r="Q806" t="str">
        <f t="shared" si="122"/>
        <v>Low</v>
      </c>
      <c r="R806" t="s">
        <v>3317</v>
      </c>
      <c r="S806" s="4">
        <f t="shared" ca="1" si="123"/>
        <v>1060</v>
      </c>
      <c r="T806">
        <f t="shared" si="124"/>
        <v>1</v>
      </c>
      <c r="U806">
        <f t="shared" si="125"/>
        <v>1</v>
      </c>
      <c r="V806">
        <f t="shared" si="126"/>
        <v>1</v>
      </c>
      <c r="W806">
        <f t="shared" si="127"/>
        <v>1</v>
      </c>
      <c r="X806">
        <f t="shared" si="128"/>
        <v>0.99999999999999989</v>
      </c>
      <c r="Y806" t="str">
        <f t="shared" si="129"/>
        <v>Healthy</v>
      </c>
    </row>
    <row r="807" spans="1:25" x14ac:dyDescent="0.35">
      <c r="A807" t="s">
        <v>71</v>
      </c>
      <c r="B807" t="s">
        <v>72</v>
      </c>
      <c r="C807" t="s">
        <v>310</v>
      </c>
      <c r="D807" t="s">
        <v>682</v>
      </c>
      <c r="E807">
        <v>83912165</v>
      </c>
      <c r="F807" t="s">
        <v>683</v>
      </c>
      <c r="G807" s="3">
        <v>47214</v>
      </c>
      <c r="H807">
        <v>36</v>
      </c>
      <c r="I807">
        <v>95</v>
      </c>
      <c r="J807">
        <v>10</v>
      </c>
      <c r="K807" s="4">
        <v>768</v>
      </c>
      <c r="L807" s="4">
        <v>350.57142857142856</v>
      </c>
      <c r="M807" s="4">
        <v>2.8524857375713121E-2</v>
      </c>
      <c r="N807" t="s">
        <v>25</v>
      </c>
      <c r="O807" t="str">
        <f t="shared" si="120"/>
        <v>Low</v>
      </c>
      <c r="P807" t="str">
        <f t="shared" si="121"/>
        <v>Low</v>
      </c>
      <c r="Q807" t="str">
        <f t="shared" si="122"/>
        <v>Low</v>
      </c>
      <c r="R807" t="s">
        <v>3317</v>
      </c>
      <c r="S807" s="4">
        <f t="shared" ca="1" si="123"/>
        <v>1017</v>
      </c>
      <c r="T807">
        <f t="shared" si="124"/>
        <v>1</v>
      </c>
      <c r="U807">
        <f t="shared" si="125"/>
        <v>1</v>
      </c>
      <c r="V807">
        <f t="shared" si="126"/>
        <v>1</v>
      </c>
      <c r="W807">
        <f t="shared" si="127"/>
        <v>1</v>
      </c>
      <c r="X807">
        <f t="shared" si="128"/>
        <v>0.99999999999999989</v>
      </c>
      <c r="Y807" t="str">
        <f t="shared" si="129"/>
        <v>Healthy</v>
      </c>
    </row>
    <row r="808" spans="1:25" x14ac:dyDescent="0.35">
      <c r="A808" t="s">
        <v>71</v>
      </c>
      <c r="B808" t="s">
        <v>72</v>
      </c>
      <c r="C808" t="s">
        <v>310</v>
      </c>
      <c r="D808" t="s">
        <v>682</v>
      </c>
      <c r="E808">
        <v>83912165</v>
      </c>
      <c r="F808" t="s">
        <v>683</v>
      </c>
      <c r="G808" s="3">
        <v>47273</v>
      </c>
      <c r="H808">
        <v>36</v>
      </c>
      <c r="I808">
        <v>100</v>
      </c>
      <c r="J808">
        <v>240</v>
      </c>
      <c r="K808" s="4">
        <v>18432</v>
      </c>
      <c r="L808" s="4">
        <v>350.57142857142856</v>
      </c>
      <c r="M808" s="4">
        <v>0.68459657701711496</v>
      </c>
      <c r="N808" t="s">
        <v>25</v>
      </c>
      <c r="O808" t="str">
        <f t="shared" si="120"/>
        <v>Low</v>
      </c>
      <c r="P808" t="str">
        <f t="shared" si="121"/>
        <v>Low</v>
      </c>
      <c r="Q808" t="str">
        <f t="shared" si="122"/>
        <v>Low</v>
      </c>
      <c r="R808" t="s">
        <v>3317</v>
      </c>
      <c r="S808" s="4">
        <f t="shared" ca="1" si="123"/>
        <v>1076</v>
      </c>
      <c r="T808">
        <f t="shared" si="124"/>
        <v>1</v>
      </c>
      <c r="U808">
        <f t="shared" si="125"/>
        <v>1</v>
      </c>
      <c r="V808">
        <f t="shared" si="126"/>
        <v>1</v>
      </c>
      <c r="W808">
        <f t="shared" si="127"/>
        <v>1</v>
      </c>
      <c r="X808">
        <f t="shared" si="128"/>
        <v>0.99999999999999989</v>
      </c>
      <c r="Y808" t="str">
        <f t="shared" si="129"/>
        <v>Healthy</v>
      </c>
    </row>
    <row r="809" spans="1:25" x14ac:dyDescent="0.35">
      <c r="A809" t="s">
        <v>71</v>
      </c>
      <c r="B809" t="s">
        <v>72</v>
      </c>
      <c r="C809" t="s">
        <v>310</v>
      </c>
      <c r="D809" t="s">
        <v>682</v>
      </c>
      <c r="E809">
        <v>83912165</v>
      </c>
      <c r="F809" t="s">
        <v>683</v>
      </c>
      <c r="G809" s="3">
        <v>47185</v>
      </c>
      <c r="H809">
        <v>36</v>
      </c>
      <c r="I809">
        <v>92</v>
      </c>
      <c r="J809">
        <v>4</v>
      </c>
      <c r="K809" s="4">
        <v>307.2</v>
      </c>
      <c r="L809" s="4">
        <v>350.57142857142856</v>
      </c>
      <c r="M809" s="4">
        <v>1.1409942950285249E-2</v>
      </c>
      <c r="N809" t="s">
        <v>25</v>
      </c>
      <c r="O809" t="str">
        <f t="shared" si="120"/>
        <v>Low</v>
      </c>
      <c r="P809" t="str">
        <f t="shared" si="121"/>
        <v>Low</v>
      </c>
      <c r="Q809" t="str">
        <f t="shared" si="122"/>
        <v>Low</v>
      </c>
      <c r="R809" t="s">
        <v>3317</v>
      </c>
      <c r="S809" s="4">
        <f t="shared" ca="1" si="123"/>
        <v>988</v>
      </c>
      <c r="T809">
        <f t="shared" si="124"/>
        <v>1</v>
      </c>
      <c r="U809">
        <f t="shared" si="125"/>
        <v>1</v>
      </c>
      <c r="V809">
        <f t="shared" si="126"/>
        <v>1</v>
      </c>
      <c r="W809">
        <f t="shared" si="127"/>
        <v>1</v>
      </c>
      <c r="X809">
        <f t="shared" si="128"/>
        <v>0.99999999999999989</v>
      </c>
      <c r="Y809" t="str">
        <f t="shared" si="129"/>
        <v>Healthy</v>
      </c>
    </row>
    <row r="810" spans="1:25" x14ac:dyDescent="0.35">
      <c r="A810" t="s">
        <v>71</v>
      </c>
      <c r="B810" t="s">
        <v>72</v>
      </c>
      <c r="C810" t="s">
        <v>310</v>
      </c>
      <c r="D810" t="s">
        <v>682</v>
      </c>
      <c r="E810">
        <v>83912165</v>
      </c>
      <c r="F810" t="s">
        <v>683</v>
      </c>
      <c r="G810" s="3">
        <v>47187</v>
      </c>
      <c r="H810">
        <v>36</v>
      </c>
      <c r="I810">
        <v>92</v>
      </c>
      <c r="J810">
        <v>22</v>
      </c>
      <c r="K810" s="4">
        <v>1689.6</v>
      </c>
      <c r="L810" s="4">
        <v>350.57142857142856</v>
      </c>
      <c r="M810" s="4">
        <v>6.2754686226568865E-2</v>
      </c>
      <c r="N810" t="s">
        <v>25</v>
      </c>
      <c r="O810" t="str">
        <f t="shared" si="120"/>
        <v>Low</v>
      </c>
      <c r="P810" t="str">
        <f t="shared" si="121"/>
        <v>Low</v>
      </c>
      <c r="Q810" t="str">
        <f t="shared" si="122"/>
        <v>Low</v>
      </c>
      <c r="R810" t="s">
        <v>3317</v>
      </c>
      <c r="S810" s="4">
        <f t="shared" ca="1" si="123"/>
        <v>990</v>
      </c>
      <c r="T810">
        <f t="shared" si="124"/>
        <v>1</v>
      </c>
      <c r="U810">
        <f t="shared" si="125"/>
        <v>1</v>
      </c>
      <c r="V810">
        <f t="shared" si="126"/>
        <v>1</v>
      </c>
      <c r="W810">
        <f t="shared" si="127"/>
        <v>1</v>
      </c>
      <c r="X810">
        <f t="shared" si="128"/>
        <v>0.99999999999999989</v>
      </c>
      <c r="Y810" t="str">
        <f t="shared" si="129"/>
        <v>Healthy</v>
      </c>
    </row>
    <row r="811" spans="1:25" x14ac:dyDescent="0.35">
      <c r="A811" t="s">
        <v>20</v>
      </c>
      <c r="B811" t="s">
        <v>21</v>
      </c>
      <c r="C811" t="s">
        <v>684</v>
      </c>
      <c r="D811" t="s">
        <v>685</v>
      </c>
      <c r="E811">
        <v>82281800</v>
      </c>
      <c r="F811" t="s">
        <v>686</v>
      </c>
      <c r="G811" s="3">
        <v>46943</v>
      </c>
      <c r="H811">
        <v>36</v>
      </c>
      <c r="I811">
        <v>70</v>
      </c>
      <c r="J811">
        <v>3</v>
      </c>
      <c r="K811" s="4">
        <v>105.6</v>
      </c>
      <c r="L811" s="4">
        <v>0.14285714285714285</v>
      </c>
      <c r="M811" s="4">
        <v>21</v>
      </c>
      <c r="N811" t="s">
        <v>19</v>
      </c>
      <c r="O811" t="str">
        <f t="shared" si="120"/>
        <v>Low</v>
      </c>
      <c r="P811" t="str">
        <f t="shared" si="121"/>
        <v>High</v>
      </c>
      <c r="Q811" t="str">
        <f t="shared" si="122"/>
        <v>High</v>
      </c>
      <c r="R811" t="s">
        <v>3317</v>
      </c>
      <c r="S811" s="4">
        <f t="shared" ca="1" si="123"/>
        <v>746</v>
      </c>
      <c r="T811">
        <f t="shared" si="124"/>
        <v>1</v>
      </c>
      <c r="U811">
        <f t="shared" si="125"/>
        <v>3</v>
      </c>
      <c r="V811">
        <f t="shared" si="126"/>
        <v>3</v>
      </c>
      <c r="W811">
        <f t="shared" si="127"/>
        <v>1</v>
      </c>
      <c r="X811">
        <f t="shared" si="128"/>
        <v>2</v>
      </c>
      <c r="Y811" t="str">
        <f t="shared" si="129"/>
        <v>Monitor</v>
      </c>
    </row>
    <row r="812" spans="1:25" x14ac:dyDescent="0.35">
      <c r="A812" t="s">
        <v>71</v>
      </c>
      <c r="B812" t="s">
        <v>72</v>
      </c>
      <c r="C812" t="s">
        <v>310</v>
      </c>
      <c r="D812" t="s">
        <v>682</v>
      </c>
      <c r="E812">
        <v>83912165</v>
      </c>
      <c r="F812" t="s">
        <v>683</v>
      </c>
      <c r="G812" s="3">
        <v>47178</v>
      </c>
      <c r="H812">
        <v>36</v>
      </c>
      <c r="I812">
        <v>91</v>
      </c>
      <c r="J812">
        <v>4</v>
      </c>
      <c r="K812" s="4">
        <v>307.2</v>
      </c>
      <c r="L812" s="4">
        <v>350.57142857142856</v>
      </c>
      <c r="M812" s="4">
        <v>1.1409942950285249E-2</v>
      </c>
      <c r="N812" t="s">
        <v>25</v>
      </c>
      <c r="O812" t="str">
        <f t="shared" si="120"/>
        <v>Low</v>
      </c>
      <c r="P812" t="str">
        <f t="shared" si="121"/>
        <v>Low</v>
      </c>
      <c r="Q812" t="str">
        <f t="shared" si="122"/>
        <v>Low</v>
      </c>
      <c r="R812" t="s">
        <v>3317</v>
      </c>
      <c r="S812" s="4">
        <f t="shared" ca="1" si="123"/>
        <v>981</v>
      </c>
      <c r="T812">
        <f t="shared" si="124"/>
        <v>1</v>
      </c>
      <c r="U812">
        <f t="shared" si="125"/>
        <v>1</v>
      </c>
      <c r="V812">
        <f t="shared" si="126"/>
        <v>1</v>
      </c>
      <c r="W812">
        <f t="shared" si="127"/>
        <v>1</v>
      </c>
      <c r="X812">
        <f t="shared" si="128"/>
        <v>0.99999999999999989</v>
      </c>
      <c r="Y812" t="str">
        <f t="shared" si="129"/>
        <v>Healthy</v>
      </c>
    </row>
    <row r="813" spans="1:25" x14ac:dyDescent="0.35">
      <c r="A813" t="s">
        <v>20</v>
      </c>
      <c r="B813" t="s">
        <v>21</v>
      </c>
      <c r="C813" t="s">
        <v>684</v>
      </c>
      <c r="D813" t="s">
        <v>685</v>
      </c>
      <c r="E813">
        <v>82281800</v>
      </c>
      <c r="F813" t="s">
        <v>686</v>
      </c>
      <c r="G813" s="3">
        <v>46986</v>
      </c>
      <c r="H813">
        <v>36</v>
      </c>
      <c r="I813">
        <v>74</v>
      </c>
      <c r="J813">
        <v>45</v>
      </c>
      <c r="K813" s="4">
        <v>1584</v>
      </c>
      <c r="L813" s="4">
        <v>0.14285714285714285</v>
      </c>
      <c r="M813" s="4">
        <v>315</v>
      </c>
      <c r="N813" t="s">
        <v>19</v>
      </c>
      <c r="O813" t="str">
        <f t="shared" si="120"/>
        <v>Low</v>
      </c>
      <c r="P813" t="str">
        <f t="shared" si="121"/>
        <v>High</v>
      </c>
      <c r="Q813" t="str">
        <f t="shared" si="122"/>
        <v>High</v>
      </c>
      <c r="R813" t="s">
        <v>3317</v>
      </c>
      <c r="S813" s="4">
        <f t="shared" ca="1" si="123"/>
        <v>789</v>
      </c>
      <c r="T813">
        <f t="shared" si="124"/>
        <v>1</v>
      </c>
      <c r="U813">
        <f t="shared" si="125"/>
        <v>3</v>
      </c>
      <c r="V813">
        <f t="shared" si="126"/>
        <v>3</v>
      </c>
      <c r="W813">
        <f t="shared" si="127"/>
        <v>1</v>
      </c>
      <c r="X813">
        <f t="shared" si="128"/>
        <v>2</v>
      </c>
      <c r="Y813" t="str">
        <f t="shared" si="129"/>
        <v>Monitor</v>
      </c>
    </row>
    <row r="814" spans="1:25" x14ac:dyDescent="0.35">
      <c r="A814" t="s">
        <v>71</v>
      </c>
      <c r="B814" t="s">
        <v>72</v>
      </c>
      <c r="C814" t="s">
        <v>687</v>
      </c>
      <c r="D814" t="s">
        <v>688</v>
      </c>
      <c r="E814">
        <v>83912168</v>
      </c>
      <c r="F814" t="s">
        <v>689</v>
      </c>
      <c r="G814" s="3">
        <v>47227</v>
      </c>
      <c r="H814">
        <v>36</v>
      </c>
      <c r="I814">
        <v>96</v>
      </c>
      <c r="J814">
        <v>69</v>
      </c>
      <c r="K814" s="4">
        <v>4780.32</v>
      </c>
      <c r="L814" s="4">
        <v>430.28571428571428</v>
      </c>
      <c r="M814" s="4">
        <v>0.16035856573705179</v>
      </c>
      <c r="N814" t="s">
        <v>25</v>
      </c>
      <c r="O814" t="str">
        <f t="shared" si="120"/>
        <v>Low</v>
      </c>
      <c r="P814" t="str">
        <f t="shared" si="121"/>
        <v>Low</v>
      </c>
      <c r="Q814" t="str">
        <f t="shared" si="122"/>
        <v>Low</v>
      </c>
      <c r="R814" t="s">
        <v>3317</v>
      </c>
      <c r="S814" s="4">
        <f t="shared" ca="1" si="123"/>
        <v>1030</v>
      </c>
      <c r="T814">
        <f t="shared" si="124"/>
        <v>1</v>
      </c>
      <c r="U814">
        <f t="shared" si="125"/>
        <v>1</v>
      </c>
      <c r="V814">
        <f t="shared" si="126"/>
        <v>1</v>
      </c>
      <c r="W814">
        <f t="shared" si="127"/>
        <v>1</v>
      </c>
      <c r="X814">
        <f t="shared" si="128"/>
        <v>0.99999999999999989</v>
      </c>
      <c r="Y814" t="str">
        <f t="shared" si="129"/>
        <v>Healthy</v>
      </c>
    </row>
    <row r="815" spans="1:25" x14ac:dyDescent="0.35">
      <c r="A815" t="s">
        <v>71</v>
      </c>
      <c r="B815" t="s">
        <v>72</v>
      </c>
      <c r="C815" t="s">
        <v>386</v>
      </c>
      <c r="D815" t="s">
        <v>387</v>
      </c>
      <c r="E815">
        <v>83912170</v>
      </c>
      <c r="F815" t="s">
        <v>690</v>
      </c>
      <c r="G815" s="3">
        <v>47193</v>
      </c>
      <c r="H815">
        <v>36</v>
      </c>
      <c r="I815">
        <v>93</v>
      </c>
      <c r="J815">
        <v>22</v>
      </c>
      <c r="K815" s="4">
        <v>4927.78</v>
      </c>
      <c r="L815" s="4">
        <v>111.71428571428571</v>
      </c>
      <c r="M815" s="4">
        <v>0.1969309462915601</v>
      </c>
      <c r="N815" t="s">
        <v>25</v>
      </c>
      <c r="O815" t="str">
        <f t="shared" si="120"/>
        <v>Low</v>
      </c>
      <c r="P815" t="str">
        <f t="shared" si="121"/>
        <v>Low</v>
      </c>
      <c r="Q815" t="str">
        <f t="shared" si="122"/>
        <v>Low</v>
      </c>
      <c r="R815" t="s">
        <v>3317</v>
      </c>
      <c r="S815" s="4">
        <f t="shared" ca="1" si="123"/>
        <v>996</v>
      </c>
      <c r="T815">
        <f t="shared" si="124"/>
        <v>1</v>
      </c>
      <c r="U815">
        <f t="shared" si="125"/>
        <v>1</v>
      </c>
      <c r="V815">
        <f t="shared" si="126"/>
        <v>1</v>
      </c>
      <c r="W815">
        <f t="shared" si="127"/>
        <v>1</v>
      </c>
      <c r="X815">
        <f t="shared" si="128"/>
        <v>0.99999999999999989</v>
      </c>
      <c r="Y815" t="str">
        <f t="shared" si="129"/>
        <v>Healthy</v>
      </c>
    </row>
    <row r="816" spans="1:25" x14ac:dyDescent="0.35">
      <c r="A816" t="s">
        <v>20</v>
      </c>
      <c r="B816" t="s">
        <v>21</v>
      </c>
      <c r="C816" t="s">
        <v>684</v>
      </c>
      <c r="D816" t="s">
        <v>685</v>
      </c>
      <c r="E816">
        <v>82281800</v>
      </c>
      <c r="F816" t="s">
        <v>686</v>
      </c>
      <c r="G816" s="3">
        <v>46959</v>
      </c>
      <c r="H816">
        <v>36</v>
      </c>
      <c r="I816">
        <v>71</v>
      </c>
      <c r="J816">
        <v>4</v>
      </c>
      <c r="K816" s="4">
        <v>140.80000000000001</v>
      </c>
      <c r="L816" s="4">
        <v>0.14285714285714285</v>
      </c>
      <c r="M816" s="4">
        <v>28</v>
      </c>
      <c r="N816" t="s">
        <v>19</v>
      </c>
      <c r="O816" t="str">
        <f t="shared" si="120"/>
        <v>Low</v>
      </c>
      <c r="P816" t="str">
        <f t="shared" si="121"/>
        <v>High</v>
      </c>
      <c r="Q816" t="str">
        <f t="shared" si="122"/>
        <v>High</v>
      </c>
      <c r="R816" t="s">
        <v>3317</v>
      </c>
      <c r="S816" s="4">
        <f t="shared" ca="1" si="123"/>
        <v>762</v>
      </c>
      <c r="T816">
        <f t="shared" si="124"/>
        <v>1</v>
      </c>
      <c r="U816">
        <f t="shared" si="125"/>
        <v>3</v>
      </c>
      <c r="V816">
        <f t="shared" si="126"/>
        <v>3</v>
      </c>
      <c r="W816">
        <f t="shared" si="127"/>
        <v>1</v>
      </c>
      <c r="X816">
        <f t="shared" si="128"/>
        <v>2</v>
      </c>
      <c r="Y816" t="str">
        <f t="shared" si="129"/>
        <v>Monitor</v>
      </c>
    </row>
    <row r="817" spans="1:25" x14ac:dyDescent="0.35">
      <c r="A817" t="s">
        <v>71</v>
      </c>
      <c r="B817" t="s">
        <v>72</v>
      </c>
      <c r="C817" t="s">
        <v>386</v>
      </c>
      <c r="D817" t="s">
        <v>387</v>
      </c>
      <c r="E817">
        <v>83912170</v>
      </c>
      <c r="F817" t="s">
        <v>690</v>
      </c>
      <c r="G817" s="3">
        <v>47236</v>
      </c>
      <c r="H817">
        <v>36</v>
      </c>
      <c r="I817">
        <v>97</v>
      </c>
      <c r="J817">
        <v>75</v>
      </c>
      <c r="K817" s="4">
        <v>16799.25</v>
      </c>
      <c r="L817" s="4">
        <v>111.71428571428571</v>
      </c>
      <c r="M817" s="4">
        <v>0.67135549872122768</v>
      </c>
      <c r="N817" t="s">
        <v>25</v>
      </c>
      <c r="O817" t="str">
        <f t="shared" si="120"/>
        <v>Low</v>
      </c>
      <c r="P817" t="str">
        <f t="shared" si="121"/>
        <v>Low</v>
      </c>
      <c r="Q817" t="str">
        <f t="shared" si="122"/>
        <v>Low</v>
      </c>
      <c r="R817" t="s">
        <v>3317</v>
      </c>
      <c r="S817" s="4">
        <f t="shared" ca="1" si="123"/>
        <v>1039</v>
      </c>
      <c r="T817">
        <f t="shared" si="124"/>
        <v>1</v>
      </c>
      <c r="U817">
        <f t="shared" si="125"/>
        <v>1</v>
      </c>
      <c r="V817">
        <f t="shared" si="126"/>
        <v>1</v>
      </c>
      <c r="W817">
        <f t="shared" si="127"/>
        <v>1</v>
      </c>
      <c r="X817">
        <f t="shared" si="128"/>
        <v>0.99999999999999989</v>
      </c>
      <c r="Y817" t="str">
        <f t="shared" si="129"/>
        <v>Healthy</v>
      </c>
    </row>
    <row r="818" spans="1:25" x14ac:dyDescent="0.35">
      <c r="A818" t="s">
        <v>71</v>
      </c>
      <c r="B818" t="s">
        <v>72</v>
      </c>
      <c r="C818" t="s">
        <v>386</v>
      </c>
      <c r="D818" t="s">
        <v>387</v>
      </c>
      <c r="E818">
        <v>83912170</v>
      </c>
      <c r="F818" t="s">
        <v>690</v>
      </c>
      <c r="G818" s="3">
        <v>47274</v>
      </c>
      <c r="H818">
        <v>36</v>
      </c>
      <c r="I818">
        <v>100</v>
      </c>
      <c r="J818">
        <v>119</v>
      </c>
      <c r="K818" s="4">
        <v>26654.81</v>
      </c>
      <c r="L818" s="4">
        <v>111.71428571428571</v>
      </c>
      <c r="M818" s="4">
        <v>1.0652173913043479</v>
      </c>
      <c r="N818" t="s">
        <v>25</v>
      </c>
      <c r="O818" t="str">
        <f t="shared" si="120"/>
        <v>Low</v>
      </c>
      <c r="P818" t="str">
        <f t="shared" si="121"/>
        <v>Low</v>
      </c>
      <c r="Q818" t="str">
        <f t="shared" si="122"/>
        <v>Low</v>
      </c>
      <c r="R818" t="s">
        <v>3317</v>
      </c>
      <c r="S818" s="4">
        <f t="shared" ca="1" si="123"/>
        <v>1077</v>
      </c>
      <c r="T818">
        <f t="shared" si="124"/>
        <v>1</v>
      </c>
      <c r="U818">
        <f t="shared" si="125"/>
        <v>1</v>
      </c>
      <c r="V818">
        <f t="shared" si="126"/>
        <v>1</v>
      </c>
      <c r="W818">
        <f t="shared" si="127"/>
        <v>1</v>
      </c>
      <c r="X818">
        <f t="shared" si="128"/>
        <v>0.99999999999999989</v>
      </c>
      <c r="Y818" t="str">
        <f t="shared" si="129"/>
        <v>Healthy</v>
      </c>
    </row>
    <row r="819" spans="1:25" x14ac:dyDescent="0.35">
      <c r="A819" t="s">
        <v>20</v>
      </c>
      <c r="B819" t="s">
        <v>21</v>
      </c>
      <c r="C819" t="s">
        <v>684</v>
      </c>
      <c r="D819" t="s">
        <v>685</v>
      </c>
      <c r="E819">
        <v>82281800</v>
      </c>
      <c r="F819" t="s">
        <v>686</v>
      </c>
      <c r="G819" s="3">
        <v>47020</v>
      </c>
      <c r="H819">
        <v>36</v>
      </c>
      <c r="I819">
        <v>77</v>
      </c>
      <c r="J819">
        <v>34</v>
      </c>
      <c r="K819" s="4">
        <v>1196.8</v>
      </c>
      <c r="L819" s="4">
        <v>0.14285714285714285</v>
      </c>
      <c r="M819" s="4">
        <v>238</v>
      </c>
      <c r="N819" t="s">
        <v>19</v>
      </c>
      <c r="O819" t="str">
        <f t="shared" si="120"/>
        <v>Low</v>
      </c>
      <c r="P819" t="str">
        <f t="shared" si="121"/>
        <v>High</v>
      </c>
      <c r="Q819" t="str">
        <f t="shared" si="122"/>
        <v>High</v>
      </c>
      <c r="R819" t="s">
        <v>3317</v>
      </c>
      <c r="S819" s="4">
        <f t="shared" ca="1" si="123"/>
        <v>823</v>
      </c>
      <c r="T819">
        <f t="shared" si="124"/>
        <v>1</v>
      </c>
      <c r="U819">
        <f t="shared" si="125"/>
        <v>3</v>
      </c>
      <c r="V819">
        <f t="shared" si="126"/>
        <v>3</v>
      </c>
      <c r="W819">
        <f t="shared" si="127"/>
        <v>1</v>
      </c>
      <c r="X819">
        <f t="shared" si="128"/>
        <v>2</v>
      </c>
      <c r="Y819" t="str">
        <f t="shared" si="129"/>
        <v>Monitor</v>
      </c>
    </row>
    <row r="820" spans="1:25" x14ac:dyDescent="0.35">
      <c r="A820" t="s">
        <v>71</v>
      </c>
      <c r="B820" t="s">
        <v>72</v>
      </c>
      <c r="C820" t="s">
        <v>386</v>
      </c>
      <c r="D820" t="s">
        <v>387</v>
      </c>
      <c r="E820">
        <v>83912170</v>
      </c>
      <c r="F820" t="s">
        <v>690</v>
      </c>
      <c r="G820" s="3">
        <v>47226</v>
      </c>
      <c r="H820">
        <v>36</v>
      </c>
      <c r="I820">
        <v>96</v>
      </c>
      <c r="J820">
        <v>21</v>
      </c>
      <c r="K820" s="4">
        <v>4703.79</v>
      </c>
      <c r="L820" s="4">
        <v>111.71428571428571</v>
      </c>
      <c r="M820" s="4">
        <v>0.18797953964194375</v>
      </c>
      <c r="N820" t="s">
        <v>25</v>
      </c>
      <c r="O820" t="str">
        <f t="shared" si="120"/>
        <v>Low</v>
      </c>
      <c r="P820" t="str">
        <f t="shared" si="121"/>
        <v>Low</v>
      </c>
      <c r="Q820" t="str">
        <f t="shared" si="122"/>
        <v>Low</v>
      </c>
      <c r="R820" t="s">
        <v>3317</v>
      </c>
      <c r="S820" s="4">
        <f t="shared" ca="1" si="123"/>
        <v>1029</v>
      </c>
      <c r="T820">
        <f t="shared" si="124"/>
        <v>1</v>
      </c>
      <c r="U820">
        <f t="shared" si="125"/>
        <v>1</v>
      </c>
      <c r="V820">
        <f t="shared" si="126"/>
        <v>1</v>
      </c>
      <c r="W820">
        <f t="shared" si="127"/>
        <v>1</v>
      </c>
      <c r="X820">
        <f t="shared" si="128"/>
        <v>0.99999999999999989</v>
      </c>
      <c r="Y820" t="str">
        <f t="shared" si="129"/>
        <v>Healthy</v>
      </c>
    </row>
    <row r="821" spans="1:25" x14ac:dyDescent="0.35">
      <c r="A821" t="s">
        <v>20</v>
      </c>
      <c r="B821" t="s">
        <v>21</v>
      </c>
      <c r="C821" t="s">
        <v>684</v>
      </c>
      <c r="D821" t="s">
        <v>685</v>
      </c>
      <c r="E821">
        <v>82281800</v>
      </c>
      <c r="F821" t="s">
        <v>686</v>
      </c>
      <c r="G821" s="3">
        <v>46966</v>
      </c>
      <c r="H821">
        <v>36</v>
      </c>
      <c r="I821">
        <v>72</v>
      </c>
      <c r="J821">
        <v>3</v>
      </c>
      <c r="K821" s="4">
        <v>105.6</v>
      </c>
      <c r="L821" s="4">
        <v>0.14285714285714285</v>
      </c>
      <c r="M821" s="4">
        <v>21</v>
      </c>
      <c r="N821" t="s">
        <v>19</v>
      </c>
      <c r="O821" t="str">
        <f t="shared" si="120"/>
        <v>Low</v>
      </c>
      <c r="P821" t="str">
        <f t="shared" si="121"/>
        <v>High</v>
      </c>
      <c r="Q821" t="str">
        <f t="shared" si="122"/>
        <v>High</v>
      </c>
      <c r="R821" t="s">
        <v>3317</v>
      </c>
      <c r="S821" s="4">
        <f t="shared" ca="1" si="123"/>
        <v>769</v>
      </c>
      <c r="T821">
        <f t="shared" si="124"/>
        <v>1</v>
      </c>
      <c r="U821">
        <f t="shared" si="125"/>
        <v>3</v>
      </c>
      <c r="V821">
        <f t="shared" si="126"/>
        <v>3</v>
      </c>
      <c r="W821">
        <f t="shared" si="127"/>
        <v>1</v>
      </c>
      <c r="X821">
        <f t="shared" si="128"/>
        <v>2</v>
      </c>
      <c r="Y821" t="str">
        <f t="shared" si="129"/>
        <v>Monitor</v>
      </c>
    </row>
    <row r="822" spans="1:25" x14ac:dyDescent="0.35">
      <c r="A822" t="s">
        <v>179</v>
      </c>
      <c r="B822" t="s">
        <v>180</v>
      </c>
      <c r="C822" t="s">
        <v>181</v>
      </c>
      <c r="D822" t="s">
        <v>691</v>
      </c>
      <c r="E822">
        <v>80890767</v>
      </c>
      <c r="F822" t="s">
        <v>692</v>
      </c>
      <c r="G822" s="3">
        <v>46590</v>
      </c>
      <c r="H822">
        <v>16</v>
      </c>
      <c r="I822">
        <v>83</v>
      </c>
      <c r="J822">
        <v>48</v>
      </c>
      <c r="K822" s="4">
        <v>2383.1999999999998</v>
      </c>
      <c r="L822" s="4">
        <v>4144.8571428571431</v>
      </c>
      <c r="M822" s="4">
        <v>1.1580616254222098E-2</v>
      </c>
      <c r="N822" t="s">
        <v>25</v>
      </c>
      <c r="O822" t="str">
        <f t="shared" si="120"/>
        <v>Low</v>
      </c>
      <c r="P822" t="str">
        <f t="shared" si="121"/>
        <v>Low</v>
      </c>
      <c r="Q822" t="str">
        <f t="shared" si="122"/>
        <v>Low</v>
      </c>
      <c r="R822" t="s">
        <v>3317</v>
      </c>
      <c r="S822" s="4">
        <f t="shared" ca="1" si="123"/>
        <v>393</v>
      </c>
      <c r="T822">
        <f t="shared" si="124"/>
        <v>1</v>
      </c>
      <c r="U822">
        <f t="shared" si="125"/>
        <v>1</v>
      </c>
      <c r="V822">
        <f t="shared" si="126"/>
        <v>1</v>
      </c>
      <c r="W822">
        <f t="shared" si="127"/>
        <v>1</v>
      </c>
      <c r="X822">
        <f t="shared" si="128"/>
        <v>0.99999999999999989</v>
      </c>
      <c r="Y822" t="str">
        <f t="shared" si="129"/>
        <v>Healthy</v>
      </c>
    </row>
    <row r="823" spans="1:25" x14ac:dyDescent="0.35">
      <c r="A823" t="s">
        <v>20</v>
      </c>
      <c r="B823" t="s">
        <v>21</v>
      </c>
      <c r="C823" t="s">
        <v>684</v>
      </c>
      <c r="D823" t="s">
        <v>685</v>
      </c>
      <c r="E823">
        <v>82281800</v>
      </c>
      <c r="F823" t="s">
        <v>686</v>
      </c>
      <c r="G823" s="3">
        <v>46970</v>
      </c>
      <c r="H823">
        <v>36</v>
      </c>
      <c r="I823">
        <v>72</v>
      </c>
      <c r="J823">
        <v>33</v>
      </c>
      <c r="K823" s="4">
        <v>1161.5999999999999</v>
      </c>
      <c r="L823" s="4">
        <v>0.14285714285714285</v>
      </c>
      <c r="M823" s="4">
        <v>231</v>
      </c>
      <c r="N823" t="s">
        <v>19</v>
      </c>
      <c r="O823" t="str">
        <f t="shared" si="120"/>
        <v>Low</v>
      </c>
      <c r="P823" t="str">
        <f t="shared" si="121"/>
        <v>High</v>
      </c>
      <c r="Q823" t="str">
        <f t="shared" si="122"/>
        <v>High</v>
      </c>
      <c r="R823" t="s">
        <v>3317</v>
      </c>
      <c r="S823" s="4">
        <f t="shared" ca="1" si="123"/>
        <v>773</v>
      </c>
      <c r="T823">
        <f t="shared" si="124"/>
        <v>1</v>
      </c>
      <c r="U823">
        <f t="shared" si="125"/>
        <v>3</v>
      </c>
      <c r="V823">
        <f t="shared" si="126"/>
        <v>3</v>
      </c>
      <c r="W823">
        <f t="shared" si="127"/>
        <v>1</v>
      </c>
      <c r="X823">
        <f t="shared" si="128"/>
        <v>2</v>
      </c>
      <c r="Y823" t="str">
        <f t="shared" si="129"/>
        <v>Monitor</v>
      </c>
    </row>
    <row r="824" spans="1:25" x14ac:dyDescent="0.35">
      <c r="A824" t="s">
        <v>179</v>
      </c>
      <c r="B824" t="s">
        <v>180</v>
      </c>
      <c r="C824" t="s">
        <v>181</v>
      </c>
      <c r="D824" t="s">
        <v>691</v>
      </c>
      <c r="E824">
        <v>80890767</v>
      </c>
      <c r="F824" t="s">
        <v>692</v>
      </c>
      <c r="G824" s="3">
        <v>46671</v>
      </c>
      <c r="H824">
        <v>16</v>
      </c>
      <c r="I824">
        <v>100</v>
      </c>
      <c r="J824">
        <v>1320</v>
      </c>
      <c r="K824" s="4">
        <v>65538</v>
      </c>
      <c r="L824" s="4">
        <v>4144.8571428571431</v>
      </c>
      <c r="M824" s="4">
        <v>0.31846694699110772</v>
      </c>
      <c r="N824" t="s">
        <v>25</v>
      </c>
      <c r="O824" t="str">
        <f t="shared" si="120"/>
        <v>Low</v>
      </c>
      <c r="P824" t="str">
        <f t="shared" si="121"/>
        <v>Low</v>
      </c>
      <c r="Q824" t="str">
        <f t="shared" si="122"/>
        <v>Low</v>
      </c>
      <c r="R824" t="s">
        <v>3317</v>
      </c>
      <c r="S824" s="4">
        <f t="shared" ca="1" si="123"/>
        <v>474</v>
      </c>
      <c r="T824">
        <f t="shared" si="124"/>
        <v>1</v>
      </c>
      <c r="U824">
        <f t="shared" si="125"/>
        <v>1</v>
      </c>
      <c r="V824">
        <f t="shared" si="126"/>
        <v>1</v>
      </c>
      <c r="W824">
        <f t="shared" si="127"/>
        <v>1</v>
      </c>
      <c r="X824">
        <f t="shared" si="128"/>
        <v>0.99999999999999989</v>
      </c>
      <c r="Y824" t="str">
        <f t="shared" si="129"/>
        <v>Healthy</v>
      </c>
    </row>
    <row r="825" spans="1:25" x14ac:dyDescent="0.35">
      <c r="A825" t="s">
        <v>179</v>
      </c>
      <c r="B825" t="s">
        <v>180</v>
      </c>
      <c r="C825" t="s">
        <v>181</v>
      </c>
      <c r="D825" t="s">
        <v>691</v>
      </c>
      <c r="E825">
        <v>80890767</v>
      </c>
      <c r="F825" t="s">
        <v>692</v>
      </c>
      <c r="G825" s="3">
        <v>46582</v>
      </c>
      <c r="H825">
        <v>16</v>
      </c>
      <c r="I825">
        <v>81</v>
      </c>
      <c r="J825">
        <v>21</v>
      </c>
      <c r="K825" s="4">
        <v>1042.6500000000001</v>
      </c>
      <c r="L825" s="4">
        <v>4144.8571428571431</v>
      </c>
      <c r="M825" s="4">
        <v>5.0665196112221686E-3</v>
      </c>
      <c r="N825" t="s">
        <v>25</v>
      </c>
      <c r="O825" t="str">
        <f t="shared" si="120"/>
        <v>Low</v>
      </c>
      <c r="P825" t="str">
        <f t="shared" si="121"/>
        <v>Low</v>
      </c>
      <c r="Q825" t="str">
        <f t="shared" si="122"/>
        <v>Low</v>
      </c>
      <c r="R825" t="s">
        <v>3317</v>
      </c>
      <c r="S825" s="4">
        <f t="shared" ca="1" si="123"/>
        <v>385</v>
      </c>
      <c r="T825">
        <f t="shared" si="124"/>
        <v>1</v>
      </c>
      <c r="U825">
        <f t="shared" si="125"/>
        <v>1</v>
      </c>
      <c r="V825">
        <f t="shared" si="126"/>
        <v>1</v>
      </c>
      <c r="W825">
        <f t="shared" si="127"/>
        <v>1</v>
      </c>
      <c r="X825">
        <f t="shared" si="128"/>
        <v>0.99999999999999989</v>
      </c>
      <c r="Y825" t="str">
        <f t="shared" si="129"/>
        <v>Healthy</v>
      </c>
    </row>
    <row r="826" spans="1:25" x14ac:dyDescent="0.35">
      <c r="A826" t="s">
        <v>179</v>
      </c>
      <c r="B826" t="s">
        <v>180</v>
      </c>
      <c r="C826" t="s">
        <v>181</v>
      </c>
      <c r="D826" t="s">
        <v>691</v>
      </c>
      <c r="E826">
        <v>80890767</v>
      </c>
      <c r="F826" t="s">
        <v>692</v>
      </c>
      <c r="G826" s="3">
        <v>46557</v>
      </c>
      <c r="H826">
        <v>16</v>
      </c>
      <c r="I826">
        <v>76</v>
      </c>
      <c r="J826">
        <v>3</v>
      </c>
      <c r="K826" s="4">
        <v>148.94999999999999</v>
      </c>
      <c r="L826" s="4">
        <v>4144.8571428571431</v>
      </c>
      <c r="M826" s="4">
        <v>7.2378851588888115E-4</v>
      </c>
      <c r="N826" t="s">
        <v>25</v>
      </c>
      <c r="O826" t="str">
        <f t="shared" si="120"/>
        <v>Low</v>
      </c>
      <c r="P826" t="str">
        <f t="shared" si="121"/>
        <v>Low</v>
      </c>
      <c r="Q826" t="str">
        <f t="shared" si="122"/>
        <v>Low</v>
      </c>
      <c r="R826" t="s">
        <v>3317</v>
      </c>
      <c r="S826" s="4">
        <f t="shared" ca="1" si="123"/>
        <v>360</v>
      </c>
      <c r="T826">
        <f t="shared" si="124"/>
        <v>1</v>
      </c>
      <c r="U826">
        <f t="shared" si="125"/>
        <v>1</v>
      </c>
      <c r="V826">
        <f t="shared" si="126"/>
        <v>1</v>
      </c>
      <c r="W826">
        <f t="shared" si="127"/>
        <v>1</v>
      </c>
      <c r="X826">
        <f t="shared" si="128"/>
        <v>0.99999999999999989</v>
      </c>
      <c r="Y826" t="str">
        <f t="shared" si="129"/>
        <v>Healthy</v>
      </c>
    </row>
    <row r="827" spans="1:25" x14ac:dyDescent="0.35">
      <c r="A827" t="s">
        <v>179</v>
      </c>
      <c r="B827" t="s">
        <v>195</v>
      </c>
      <c r="C827" t="s">
        <v>199</v>
      </c>
      <c r="D827" t="s">
        <v>693</v>
      </c>
      <c r="E827">
        <v>83911869</v>
      </c>
      <c r="F827" t="s">
        <v>694</v>
      </c>
      <c r="G827" s="3">
        <v>46660</v>
      </c>
      <c r="H827">
        <v>16</v>
      </c>
      <c r="I827">
        <v>98</v>
      </c>
      <c r="J827">
        <v>4</v>
      </c>
      <c r="K827" s="4">
        <v>2115.48</v>
      </c>
      <c r="L827" s="4">
        <v>500.57142857142856</v>
      </c>
      <c r="M827" s="4">
        <v>7.9908675799086754E-3</v>
      </c>
      <c r="N827" t="s">
        <v>25</v>
      </c>
      <c r="O827" t="str">
        <f t="shared" si="120"/>
        <v>Low</v>
      </c>
      <c r="P827" t="str">
        <f t="shared" si="121"/>
        <v>Low</v>
      </c>
      <c r="Q827" t="str">
        <f t="shared" si="122"/>
        <v>Low</v>
      </c>
      <c r="R827" t="s">
        <v>3317</v>
      </c>
      <c r="S827" s="4">
        <f t="shared" ca="1" si="123"/>
        <v>463</v>
      </c>
      <c r="T827">
        <f t="shared" si="124"/>
        <v>1</v>
      </c>
      <c r="U827">
        <f t="shared" si="125"/>
        <v>1</v>
      </c>
      <c r="V827">
        <f t="shared" si="126"/>
        <v>1</v>
      </c>
      <c r="W827">
        <f t="shared" si="127"/>
        <v>1</v>
      </c>
      <c r="X827">
        <f t="shared" si="128"/>
        <v>0.99999999999999989</v>
      </c>
      <c r="Y827" t="str">
        <f t="shared" si="129"/>
        <v>Healthy</v>
      </c>
    </row>
    <row r="828" spans="1:25" x14ac:dyDescent="0.35">
      <c r="A828" t="s">
        <v>179</v>
      </c>
      <c r="B828" t="s">
        <v>195</v>
      </c>
      <c r="C828" t="s">
        <v>199</v>
      </c>
      <c r="D828" t="s">
        <v>695</v>
      </c>
      <c r="E828">
        <v>83911870</v>
      </c>
      <c r="F828" t="s">
        <v>696</v>
      </c>
      <c r="G828" s="3">
        <v>46667</v>
      </c>
      <c r="H828">
        <v>16</v>
      </c>
      <c r="I828">
        <v>99</v>
      </c>
      <c r="J828">
        <v>8</v>
      </c>
      <c r="K828" s="4">
        <v>4693.2</v>
      </c>
      <c r="L828" s="4">
        <v>560</v>
      </c>
      <c r="M828" s="4">
        <v>1.4285714285714285E-2</v>
      </c>
      <c r="N828" t="s">
        <v>25</v>
      </c>
      <c r="O828" t="str">
        <f t="shared" si="120"/>
        <v>Low</v>
      </c>
      <c r="P828" t="str">
        <f t="shared" si="121"/>
        <v>Low</v>
      </c>
      <c r="Q828" t="str">
        <f t="shared" si="122"/>
        <v>Low</v>
      </c>
      <c r="R828" t="s">
        <v>3317</v>
      </c>
      <c r="S828" s="4">
        <f t="shared" ca="1" si="123"/>
        <v>470</v>
      </c>
      <c r="T828">
        <f t="shared" si="124"/>
        <v>1</v>
      </c>
      <c r="U828">
        <f t="shared" si="125"/>
        <v>1</v>
      </c>
      <c r="V828">
        <f t="shared" si="126"/>
        <v>1</v>
      </c>
      <c r="W828">
        <f t="shared" si="127"/>
        <v>1</v>
      </c>
      <c r="X828">
        <f t="shared" si="128"/>
        <v>0.99999999999999989</v>
      </c>
      <c r="Y828" t="str">
        <f t="shared" si="129"/>
        <v>Healthy</v>
      </c>
    </row>
    <row r="829" spans="1:25" x14ac:dyDescent="0.35">
      <c r="A829" t="s">
        <v>179</v>
      </c>
      <c r="B829" t="s">
        <v>195</v>
      </c>
      <c r="C829" t="s">
        <v>199</v>
      </c>
      <c r="D829" t="s">
        <v>695</v>
      </c>
      <c r="E829">
        <v>83911870</v>
      </c>
      <c r="F829" t="s">
        <v>696</v>
      </c>
      <c r="G829" s="3">
        <v>46642</v>
      </c>
      <c r="H829">
        <v>16</v>
      </c>
      <c r="I829">
        <v>94</v>
      </c>
      <c r="J829">
        <v>116</v>
      </c>
      <c r="K829" s="4">
        <v>68051.399999999994</v>
      </c>
      <c r="L829" s="4">
        <v>560</v>
      </c>
      <c r="M829" s="4">
        <v>0.20714285714285716</v>
      </c>
      <c r="N829" t="s">
        <v>25</v>
      </c>
      <c r="O829" t="str">
        <f t="shared" si="120"/>
        <v>Low</v>
      </c>
      <c r="P829" t="str">
        <f t="shared" si="121"/>
        <v>Low</v>
      </c>
      <c r="Q829" t="str">
        <f t="shared" si="122"/>
        <v>Low</v>
      </c>
      <c r="R829" t="s">
        <v>3310</v>
      </c>
      <c r="S829" s="4">
        <f t="shared" ca="1" si="123"/>
        <v>445</v>
      </c>
      <c r="T829">
        <f t="shared" si="124"/>
        <v>1</v>
      </c>
      <c r="U829">
        <f t="shared" si="125"/>
        <v>1</v>
      </c>
      <c r="V829">
        <f t="shared" si="126"/>
        <v>1</v>
      </c>
      <c r="W829">
        <f t="shared" si="127"/>
        <v>2</v>
      </c>
      <c r="X829">
        <f t="shared" si="128"/>
        <v>1.0999999999999999</v>
      </c>
      <c r="Y829" t="str">
        <f t="shared" si="129"/>
        <v>Healthy</v>
      </c>
    </row>
    <row r="830" spans="1:25" x14ac:dyDescent="0.35">
      <c r="A830" t="s">
        <v>179</v>
      </c>
      <c r="B830" t="s">
        <v>195</v>
      </c>
      <c r="C830" t="s">
        <v>199</v>
      </c>
      <c r="D830" t="s">
        <v>695</v>
      </c>
      <c r="E830">
        <v>83911870</v>
      </c>
      <c r="F830" t="s">
        <v>696</v>
      </c>
      <c r="G830" s="3">
        <v>46642</v>
      </c>
      <c r="H830">
        <v>16</v>
      </c>
      <c r="I830">
        <v>94</v>
      </c>
      <c r="J830">
        <v>1</v>
      </c>
      <c r="K830" s="4">
        <v>586.65</v>
      </c>
      <c r="L830" s="4">
        <v>560</v>
      </c>
      <c r="M830" s="4">
        <v>1.7857142857142857E-3</v>
      </c>
      <c r="N830" t="s">
        <v>25</v>
      </c>
      <c r="O830" t="str">
        <f t="shared" si="120"/>
        <v>Low</v>
      </c>
      <c r="P830" t="str">
        <f t="shared" si="121"/>
        <v>Low</v>
      </c>
      <c r="Q830" t="str">
        <f t="shared" si="122"/>
        <v>Low</v>
      </c>
      <c r="R830" t="s">
        <v>3317</v>
      </c>
      <c r="S830" s="4">
        <f t="shared" ca="1" si="123"/>
        <v>445</v>
      </c>
      <c r="T830">
        <f t="shared" si="124"/>
        <v>1</v>
      </c>
      <c r="U830">
        <f t="shared" si="125"/>
        <v>1</v>
      </c>
      <c r="V830">
        <f t="shared" si="126"/>
        <v>1</v>
      </c>
      <c r="W830">
        <f t="shared" si="127"/>
        <v>1</v>
      </c>
      <c r="X830">
        <f t="shared" si="128"/>
        <v>0.99999999999999989</v>
      </c>
      <c r="Y830" t="str">
        <f t="shared" si="129"/>
        <v>Healthy</v>
      </c>
    </row>
    <row r="831" spans="1:25" x14ac:dyDescent="0.35">
      <c r="A831" t="s">
        <v>179</v>
      </c>
      <c r="B831" t="s">
        <v>195</v>
      </c>
      <c r="C831" t="s">
        <v>199</v>
      </c>
      <c r="D831" t="s">
        <v>695</v>
      </c>
      <c r="E831">
        <v>83911870</v>
      </c>
      <c r="F831" t="s">
        <v>696</v>
      </c>
      <c r="G831" s="3">
        <v>46662</v>
      </c>
      <c r="H831">
        <v>16</v>
      </c>
      <c r="I831">
        <v>98</v>
      </c>
      <c r="J831">
        <v>4</v>
      </c>
      <c r="K831" s="4">
        <v>2346.6</v>
      </c>
      <c r="L831" s="4">
        <v>560</v>
      </c>
      <c r="M831" s="4">
        <v>7.1428571428571426E-3</v>
      </c>
      <c r="N831" t="s">
        <v>25</v>
      </c>
      <c r="O831" t="str">
        <f t="shared" si="120"/>
        <v>Low</v>
      </c>
      <c r="P831" t="str">
        <f t="shared" si="121"/>
        <v>Low</v>
      </c>
      <c r="Q831" t="str">
        <f t="shared" si="122"/>
        <v>Low</v>
      </c>
      <c r="R831" t="s">
        <v>3317</v>
      </c>
      <c r="S831" s="4">
        <f t="shared" ca="1" si="123"/>
        <v>465</v>
      </c>
      <c r="T831">
        <f t="shared" si="124"/>
        <v>1</v>
      </c>
      <c r="U831">
        <f t="shared" si="125"/>
        <v>1</v>
      </c>
      <c r="V831">
        <f t="shared" si="126"/>
        <v>1</v>
      </c>
      <c r="W831">
        <f t="shared" si="127"/>
        <v>1</v>
      </c>
      <c r="X831">
        <f t="shared" si="128"/>
        <v>0.99999999999999989</v>
      </c>
      <c r="Y831" t="str">
        <f t="shared" si="129"/>
        <v>Healthy</v>
      </c>
    </row>
    <row r="832" spans="1:25" x14ac:dyDescent="0.35">
      <c r="A832" t="s">
        <v>104</v>
      </c>
      <c r="B832" t="s">
        <v>105</v>
      </c>
      <c r="C832" t="s">
        <v>697</v>
      </c>
      <c r="D832" t="s">
        <v>698</v>
      </c>
      <c r="E832">
        <v>80883675</v>
      </c>
      <c r="F832" t="s">
        <v>699</v>
      </c>
      <c r="G832" s="3">
        <v>46645</v>
      </c>
      <c r="H832">
        <v>24</v>
      </c>
      <c r="I832">
        <v>63</v>
      </c>
      <c r="J832">
        <v>186</v>
      </c>
      <c r="K832" s="4">
        <v>57881.34</v>
      </c>
      <c r="L832" s="4">
        <v>7.7142857142857144</v>
      </c>
      <c r="M832" s="4">
        <v>24.111111111111111</v>
      </c>
      <c r="N832" t="s">
        <v>19</v>
      </c>
      <c r="O832" t="str">
        <f t="shared" si="120"/>
        <v>Low</v>
      </c>
      <c r="P832" t="str">
        <f t="shared" si="121"/>
        <v>High</v>
      </c>
      <c r="Q832" t="str">
        <f t="shared" si="122"/>
        <v>Medium</v>
      </c>
      <c r="R832" t="s">
        <v>3317</v>
      </c>
      <c r="S832" s="4">
        <f t="shared" ca="1" si="123"/>
        <v>448</v>
      </c>
      <c r="T832">
        <f t="shared" si="124"/>
        <v>1</v>
      </c>
      <c r="U832">
        <f t="shared" si="125"/>
        <v>3</v>
      </c>
      <c r="V832">
        <f t="shared" si="126"/>
        <v>2</v>
      </c>
      <c r="W832">
        <f t="shared" si="127"/>
        <v>1</v>
      </c>
      <c r="X832">
        <f t="shared" si="128"/>
        <v>1.7999999999999998</v>
      </c>
      <c r="Y832" t="str">
        <f t="shared" si="129"/>
        <v>Monitor</v>
      </c>
    </row>
    <row r="833" spans="1:25" x14ac:dyDescent="0.35">
      <c r="A833" t="s">
        <v>104</v>
      </c>
      <c r="B833" t="s">
        <v>105</v>
      </c>
      <c r="C833" t="s">
        <v>697</v>
      </c>
      <c r="D833" t="s">
        <v>700</v>
      </c>
      <c r="E833">
        <v>80883677</v>
      </c>
      <c r="F833" t="s">
        <v>701</v>
      </c>
      <c r="G833" s="3">
        <v>46645</v>
      </c>
      <c r="H833">
        <v>24</v>
      </c>
      <c r="I833">
        <v>63</v>
      </c>
      <c r="J833">
        <v>186</v>
      </c>
      <c r="K833" s="4">
        <v>57881.34</v>
      </c>
      <c r="L833" s="4">
        <v>7.7142857142857144</v>
      </c>
      <c r="M833" s="4">
        <v>24.111111111111111</v>
      </c>
      <c r="N833" t="s">
        <v>19</v>
      </c>
      <c r="O833" t="str">
        <f t="shared" si="120"/>
        <v>Low</v>
      </c>
      <c r="P833" t="str">
        <f t="shared" si="121"/>
        <v>High</v>
      </c>
      <c r="Q833" t="str">
        <f t="shared" si="122"/>
        <v>Medium</v>
      </c>
      <c r="R833" t="s">
        <v>3317</v>
      </c>
      <c r="S833" s="4">
        <f t="shared" ca="1" si="123"/>
        <v>448</v>
      </c>
      <c r="T833">
        <f t="shared" si="124"/>
        <v>1</v>
      </c>
      <c r="U833">
        <f t="shared" si="125"/>
        <v>3</v>
      </c>
      <c r="V833">
        <f t="shared" si="126"/>
        <v>2</v>
      </c>
      <c r="W833">
        <f t="shared" si="127"/>
        <v>1</v>
      </c>
      <c r="X833">
        <f t="shared" si="128"/>
        <v>1.7999999999999998</v>
      </c>
      <c r="Y833" t="str">
        <f t="shared" si="129"/>
        <v>Monitor</v>
      </c>
    </row>
    <row r="834" spans="1:25" x14ac:dyDescent="0.35">
      <c r="A834" t="s">
        <v>14</v>
      </c>
      <c r="B834" t="s">
        <v>702</v>
      </c>
      <c r="C834" t="s">
        <v>703</v>
      </c>
      <c r="D834" t="s">
        <v>704</v>
      </c>
      <c r="E834">
        <v>80867316</v>
      </c>
      <c r="F834" t="s">
        <v>705</v>
      </c>
      <c r="G834" s="3">
        <v>47955</v>
      </c>
      <c r="H834">
        <v>60</v>
      </c>
      <c r="I834">
        <v>98</v>
      </c>
      <c r="J834">
        <v>704</v>
      </c>
      <c r="K834" s="4">
        <v>59734.400000000001</v>
      </c>
      <c r="L834" s="4">
        <v>1403.7142857142858</v>
      </c>
      <c r="M834" s="4">
        <v>0.50152656218196623</v>
      </c>
      <c r="N834" t="s">
        <v>25</v>
      </c>
      <c r="O834" t="str">
        <f t="shared" si="120"/>
        <v>Low</v>
      </c>
      <c r="P834" t="str">
        <f t="shared" si="121"/>
        <v>Low</v>
      </c>
      <c r="Q834" t="str">
        <f t="shared" si="122"/>
        <v>Low</v>
      </c>
      <c r="R834" t="s">
        <v>3317</v>
      </c>
      <c r="S834" s="4">
        <f t="shared" ca="1" si="123"/>
        <v>1758</v>
      </c>
      <c r="T834">
        <f t="shared" si="124"/>
        <v>1</v>
      </c>
      <c r="U834">
        <f t="shared" si="125"/>
        <v>1</v>
      </c>
      <c r="V834">
        <f t="shared" si="126"/>
        <v>1</v>
      </c>
      <c r="W834">
        <f t="shared" si="127"/>
        <v>1</v>
      </c>
      <c r="X834">
        <f t="shared" si="128"/>
        <v>0.99999999999999989</v>
      </c>
      <c r="Y834" t="str">
        <f t="shared" si="129"/>
        <v>Healthy</v>
      </c>
    </row>
    <row r="835" spans="1:25" x14ac:dyDescent="0.35">
      <c r="A835" t="s">
        <v>14</v>
      </c>
      <c r="B835" t="s">
        <v>702</v>
      </c>
      <c r="C835" t="s">
        <v>703</v>
      </c>
      <c r="D835" t="s">
        <v>704</v>
      </c>
      <c r="E835">
        <v>80867316</v>
      </c>
      <c r="F835" t="s">
        <v>705</v>
      </c>
      <c r="G835" s="3">
        <v>47953</v>
      </c>
      <c r="H835">
        <v>60</v>
      </c>
      <c r="I835">
        <v>98</v>
      </c>
      <c r="J835">
        <v>1065</v>
      </c>
      <c r="K835" s="4">
        <v>90365.25</v>
      </c>
      <c r="L835" s="4">
        <v>1403.7142857142858</v>
      </c>
      <c r="M835" s="4">
        <v>0.75870140443720735</v>
      </c>
      <c r="N835" t="s">
        <v>25</v>
      </c>
      <c r="O835" t="str">
        <f t="shared" ref="O835:O898" si="130">IF(I835&lt;20,"High",IF(I835&lt;40,"Medium","Low"))</f>
        <v>Low</v>
      </c>
      <c r="P835" t="str">
        <f t="shared" ref="P835:P898" si="131">IF(M835&gt;8,"High",IF(M835&gt;4,"Medium","Low"))</f>
        <v>Low</v>
      </c>
      <c r="Q835" t="str">
        <f t="shared" ref="Q835:Q898" si="132">IF(L835&lt;5,"High",IF(L835&lt;15,"Medium","Low"))</f>
        <v>Low</v>
      </c>
      <c r="R835" t="s">
        <v>3310</v>
      </c>
      <c r="S835" s="4">
        <f t="shared" ref="S835:S898" ca="1" si="133">G835-TODAY()</f>
        <v>1756</v>
      </c>
      <c r="T835">
        <f t="shared" ref="T835:T898" si="134">IF(O835="High",3,IF(O835="Medium",2,1))</f>
        <v>1</v>
      </c>
      <c r="U835">
        <f t="shared" ref="U835:U898" si="135">IF(P835="High",3,IF(P835="Medium",2,1))</f>
        <v>1</v>
      </c>
      <c r="V835">
        <f t="shared" ref="V835:V898" si="136">IF(Q835="High",3,IF(Q835="Medium",2,1))</f>
        <v>1</v>
      </c>
      <c r="W835">
        <f t="shared" ref="W835:W898" si="137">IF(R835="High",3,IF(R835="Medium",2,1))</f>
        <v>2</v>
      </c>
      <c r="X835">
        <f t="shared" ref="X835:X898" si="138">(0.4*T835)+(0.3*U835)+(0.2*V835)+(0.1*W835)</f>
        <v>1.0999999999999999</v>
      </c>
      <c r="Y835" t="str">
        <f t="shared" ref="Y835:Y898" si="139">IF(X835&gt;=2.7,"Move Immediately",IF(X835&gt;=2.2,"High Priority",IF(X835&gt;=1.7,"Monitor","Healthy")))</f>
        <v>Healthy</v>
      </c>
    </row>
    <row r="836" spans="1:25" x14ac:dyDescent="0.35">
      <c r="A836" t="s">
        <v>20</v>
      </c>
      <c r="B836" t="s">
        <v>21</v>
      </c>
      <c r="C836" t="s">
        <v>126</v>
      </c>
      <c r="D836" t="s">
        <v>706</v>
      </c>
      <c r="E836">
        <v>80879407</v>
      </c>
      <c r="F836" t="s">
        <v>707</v>
      </c>
      <c r="G836" s="3">
        <v>47039</v>
      </c>
      <c r="H836">
        <v>36</v>
      </c>
      <c r="I836">
        <v>78</v>
      </c>
      <c r="J836">
        <v>165</v>
      </c>
      <c r="K836" s="4">
        <v>72233.7</v>
      </c>
      <c r="L836" s="4">
        <v>120</v>
      </c>
      <c r="M836" s="4">
        <v>1.375</v>
      </c>
      <c r="N836" t="s">
        <v>25</v>
      </c>
      <c r="O836" t="str">
        <f t="shared" si="130"/>
        <v>Low</v>
      </c>
      <c r="P836" t="str">
        <f t="shared" si="131"/>
        <v>Low</v>
      </c>
      <c r="Q836" t="str">
        <f t="shared" si="132"/>
        <v>Low</v>
      </c>
      <c r="R836" t="s">
        <v>3310</v>
      </c>
      <c r="S836" s="4">
        <f t="shared" ca="1" si="133"/>
        <v>842</v>
      </c>
      <c r="T836">
        <f t="shared" si="134"/>
        <v>1</v>
      </c>
      <c r="U836">
        <f t="shared" si="135"/>
        <v>1</v>
      </c>
      <c r="V836">
        <f t="shared" si="136"/>
        <v>1</v>
      </c>
      <c r="W836">
        <f t="shared" si="137"/>
        <v>2</v>
      </c>
      <c r="X836">
        <f t="shared" si="138"/>
        <v>1.0999999999999999</v>
      </c>
      <c r="Y836" t="str">
        <f t="shared" si="139"/>
        <v>Healthy</v>
      </c>
    </row>
    <row r="837" spans="1:25" x14ac:dyDescent="0.35">
      <c r="A837" t="s">
        <v>20</v>
      </c>
      <c r="B837" t="s">
        <v>21</v>
      </c>
      <c r="C837" t="s">
        <v>126</v>
      </c>
      <c r="D837" t="s">
        <v>706</v>
      </c>
      <c r="E837">
        <v>80879407</v>
      </c>
      <c r="F837" t="s">
        <v>707</v>
      </c>
      <c r="G837" s="3">
        <v>47035</v>
      </c>
      <c r="H837">
        <v>36</v>
      </c>
      <c r="I837">
        <v>78</v>
      </c>
      <c r="J837">
        <v>76</v>
      </c>
      <c r="K837" s="4">
        <v>33271.279999999999</v>
      </c>
      <c r="L837" s="4">
        <v>120</v>
      </c>
      <c r="M837" s="4">
        <v>0.6333333333333333</v>
      </c>
      <c r="N837" t="s">
        <v>25</v>
      </c>
      <c r="O837" t="str">
        <f t="shared" si="130"/>
        <v>Low</v>
      </c>
      <c r="P837" t="str">
        <f t="shared" si="131"/>
        <v>Low</v>
      </c>
      <c r="Q837" t="str">
        <f t="shared" si="132"/>
        <v>Low</v>
      </c>
      <c r="R837" t="s">
        <v>3317</v>
      </c>
      <c r="S837" s="4">
        <f t="shared" ca="1" si="133"/>
        <v>838</v>
      </c>
      <c r="T837">
        <f t="shared" si="134"/>
        <v>1</v>
      </c>
      <c r="U837">
        <f t="shared" si="135"/>
        <v>1</v>
      </c>
      <c r="V837">
        <f t="shared" si="136"/>
        <v>1</v>
      </c>
      <c r="W837">
        <f t="shared" si="137"/>
        <v>1</v>
      </c>
      <c r="X837">
        <f t="shared" si="138"/>
        <v>0.99999999999999989</v>
      </c>
      <c r="Y837" t="str">
        <f t="shared" si="139"/>
        <v>Healthy</v>
      </c>
    </row>
    <row r="838" spans="1:25" x14ac:dyDescent="0.35">
      <c r="A838" t="s">
        <v>20</v>
      </c>
      <c r="B838" t="s">
        <v>21</v>
      </c>
      <c r="C838" t="s">
        <v>126</v>
      </c>
      <c r="D838" t="s">
        <v>706</v>
      </c>
      <c r="E838">
        <v>80879407</v>
      </c>
      <c r="F838" t="s">
        <v>707</v>
      </c>
      <c r="G838" s="3">
        <v>47018</v>
      </c>
      <c r="H838">
        <v>36</v>
      </c>
      <c r="I838">
        <v>76</v>
      </c>
      <c r="J838">
        <v>78</v>
      </c>
      <c r="K838" s="4">
        <v>34146.839999999997</v>
      </c>
      <c r="L838" s="4">
        <v>120</v>
      </c>
      <c r="M838" s="4">
        <v>0.65</v>
      </c>
      <c r="N838" t="s">
        <v>25</v>
      </c>
      <c r="O838" t="str">
        <f t="shared" si="130"/>
        <v>Low</v>
      </c>
      <c r="P838" t="str">
        <f t="shared" si="131"/>
        <v>Low</v>
      </c>
      <c r="Q838" t="str">
        <f t="shared" si="132"/>
        <v>Low</v>
      </c>
      <c r="R838" t="s">
        <v>3317</v>
      </c>
      <c r="S838" s="4">
        <f t="shared" ca="1" si="133"/>
        <v>821</v>
      </c>
      <c r="T838">
        <f t="shared" si="134"/>
        <v>1</v>
      </c>
      <c r="U838">
        <f t="shared" si="135"/>
        <v>1</v>
      </c>
      <c r="V838">
        <f t="shared" si="136"/>
        <v>1</v>
      </c>
      <c r="W838">
        <f t="shared" si="137"/>
        <v>1</v>
      </c>
      <c r="X838">
        <f t="shared" si="138"/>
        <v>0.99999999999999989</v>
      </c>
      <c r="Y838" t="str">
        <f t="shared" si="139"/>
        <v>Healthy</v>
      </c>
    </row>
    <row r="839" spans="1:25" x14ac:dyDescent="0.35">
      <c r="A839" t="s">
        <v>20</v>
      </c>
      <c r="B839" t="s">
        <v>21</v>
      </c>
      <c r="C839" t="s">
        <v>126</v>
      </c>
      <c r="D839" t="s">
        <v>706</v>
      </c>
      <c r="E839">
        <v>80879407</v>
      </c>
      <c r="F839" t="s">
        <v>707</v>
      </c>
      <c r="G839" s="3">
        <v>47043</v>
      </c>
      <c r="H839">
        <v>36</v>
      </c>
      <c r="I839">
        <v>79</v>
      </c>
      <c r="J839">
        <v>84</v>
      </c>
      <c r="K839" s="4">
        <v>36773.519999999997</v>
      </c>
      <c r="L839" s="4">
        <v>120</v>
      </c>
      <c r="M839" s="4">
        <v>0.7</v>
      </c>
      <c r="N839" t="s">
        <v>25</v>
      </c>
      <c r="O839" t="str">
        <f t="shared" si="130"/>
        <v>Low</v>
      </c>
      <c r="P839" t="str">
        <f t="shared" si="131"/>
        <v>Low</v>
      </c>
      <c r="Q839" t="str">
        <f t="shared" si="132"/>
        <v>Low</v>
      </c>
      <c r="R839" t="s">
        <v>3317</v>
      </c>
      <c r="S839" s="4">
        <f t="shared" ca="1" si="133"/>
        <v>846</v>
      </c>
      <c r="T839">
        <f t="shared" si="134"/>
        <v>1</v>
      </c>
      <c r="U839">
        <f t="shared" si="135"/>
        <v>1</v>
      </c>
      <c r="V839">
        <f t="shared" si="136"/>
        <v>1</v>
      </c>
      <c r="W839">
        <f t="shared" si="137"/>
        <v>1</v>
      </c>
      <c r="X839">
        <f t="shared" si="138"/>
        <v>0.99999999999999989</v>
      </c>
      <c r="Y839" t="str">
        <f t="shared" si="139"/>
        <v>Healthy</v>
      </c>
    </row>
    <row r="840" spans="1:25" x14ac:dyDescent="0.35">
      <c r="A840" t="s">
        <v>179</v>
      </c>
      <c r="B840" t="s">
        <v>195</v>
      </c>
      <c r="C840" t="s">
        <v>199</v>
      </c>
      <c r="D840" t="s">
        <v>708</v>
      </c>
      <c r="E840">
        <v>83911933</v>
      </c>
      <c r="F840" t="s">
        <v>709</v>
      </c>
      <c r="G840" s="3">
        <v>46592</v>
      </c>
      <c r="H840">
        <v>16</v>
      </c>
      <c r="I840">
        <v>83</v>
      </c>
      <c r="J840">
        <v>137</v>
      </c>
      <c r="K840" s="4">
        <v>210059.36</v>
      </c>
      <c r="L840" s="4">
        <f>0</f>
        <v>0</v>
      </c>
      <c r="M840" s="4">
        <f>999</f>
        <v>999</v>
      </c>
      <c r="N840" t="s">
        <v>19</v>
      </c>
      <c r="O840" t="str">
        <f t="shared" si="130"/>
        <v>Low</v>
      </c>
      <c r="P840" t="str">
        <f t="shared" si="131"/>
        <v>High</v>
      </c>
      <c r="Q840" t="str">
        <f t="shared" si="132"/>
        <v>High</v>
      </c>
      <c r="R840" t="s">
        <v>3309</v>
      </c>
      <c r="S840" s="4">
        <f t="shared" ca="1" si="133"/>
        <v>395</v>
      </c>
      <c r="T840">
        <f t="shared" si="134"/>
        <v>1</v>
      </c>
      <c r="U840">
        <f t="shared" si="135"/>
        <v>3</v>
      </c>
      <c r="V840">
        <f t="shared" si="136"/>
        <v>3</v>
      </c>
      <c r="W840">
        <f t="shared" si="137"/>
        <v>3</v>
      </c>
      <c r="X840">
        <f t="shared" si="138"/>
        <v>2.2000000000000002</v>
      </c>
      <c r="Y840" t="str">
        <f t="shared" si="139"/>
        <v>High Priority</v>
      </c>
    </row>
    <row r="841" spans="1:25" x14ac:dyDescent="0.35">
      <c r="A841" t="s">
        <v>179</v>
      </c>
      <c r="B841" t="s">
        <v>195</v>
      </c>
      <c r="C841" t="s">
        <v>199</v>
      </c>
      <c r="D841" t="s">
        <v>708</v>
      </c>
      <c r="E841">
        <v>83911933</v>
      </c>
      <c r="F841" t="s">
        <v>709</v>
      </c>
      <c r="G841" s="3">
        <v>46568</v>
      </c>
      <c r="H841">
        <v>16</v>
      </c>
      <c r="I841">
        <v>78</v>
      </c>
      <c r="J841">
        <v>27</v>
      </c>
      <c r="K841" s="4">
        <v>41398.559999999998</v>
      </c>
      <c r="L841" s="4">
        <f>0</f>
        <v>0</v>
      </c>
      <c r="M841" s="4">
        <f>999</f>
        <v>999</v>
      </c>
      <c r="N841" t="s">
        <v>19</v>
      </c>
      <c r="O841" t="str">
        <f t="shared" si="130"/>
        <v>Low</v>
      </c>
      <c r="P841" t="str">
        <f t="shared" si="131"/>
        <v>High</v>
      </c>
      <c r="Q841" t="str">
        <f t="shared" si="132"/>
        <v>High</v>
      </c>
      <c r="R841" t="s">
        <v>3317</v>
      </c>
      <c r="S841" s="4">
        <f t="shared" ca="1" si="133"/>
        <v>371</v>
      </c>
      <c r="T841">
        <f t="shared" si="134"/>
        <v>1</v>
      </c>
      <c r="U841">
        <f t="shared" si="135"/>
        <v>3</v>
      </c>
      <c r="V841">
        <f t="shared" si="136"/>
        <v>3</v>
      </c>
      <c r="W841">
        <f t="shared" si="137"/>
        <v>1</v>
      </c>
      <c r="X841">
        <f t="shared" si="138"/>
        <v>2</v>
      </c>
      <c r="Y841" t="str">
        <f t="shared" si="139"/>
        <v>Monitor</v>
      </c>
    </row>
    <row r="842" spans="1:25" x14ac:dyDescent="0.35">
      <c r="A842" t="s">
        <v>179</v>
      </c>
      <c r="B842" t="s">
        <v>223</v>
      </c>
      <c r="C842" t="s">
        <v>224</v>
      </c>
      <c r="D842" t="s">
        <v>710</v>
      </c>
      <c r="E842">
        <v>83919575</v>
      </c>
      <c r="F842" t="s">
        <v>711</v>
      </c>
      <c r="G842" s="3">
        <v>46731</v>
      </c>
      <c r="H842">
        <v>18</v>
      </c>
      <c r="I842">
        <v>100</v>
      </c>
      <c r="J842">
        <v>960</v>
      </c>
      <c r="K842" s="4">
        <v>42662.400000000001</v>
      </c>
      <c r="L842" s="4">
        <v>6949.1428571428569</v>
      </c>
      <c r="M842" s="4">
        <v>0.138146534002138</v>
      </c>
      <c r="N842" t="s">
        <v>25</v>
      </c>
      <c r="O842" t="str">
        <f t="shared" si="130"/>
        <v>Low</v>
      </c>
      <c r="P842" t="str">
        <f t="shared" si="131"/>
        <v>Low</v>
      </c>
      <c r="Q842" t="str">
        <f t="shared" si="132"/>
        <v>Low</v>
      </c>
      <c r="R842" t="s">
        <v>3317</v>
      </c>
      <c r="S842" s="4">
        <f t="shared" ca="1" si="133"/>
        <v>534</v>
      </c>
      <c r="T842">
        <f t="shared" si="134"/>
        <v>1</v>
      </c>
      <c r="U842">
        <f t="shared" si="135"/>
        <v>1</v>
      </c>
      <c r="V842">
        <f t="shared" si="136"/>
        <v>1</v>
      </c>
      <c r="W842">
        <f t="shared" si="137"/>
        <v>1</v>
      </c>
      <c r="X842">
        <f t="shared" si="138"/>
        <v>0.99999999999999989</v>
      </c>
      <c r="Y842" t="str">
        <f t="shared" si="139"/>
        <v>Healthy</v>
      </c>
    </row>
    <row r="843" spans="1:25" x14ac:dyDescent="0.35">
      <c r="A843" t="s">
        <v>179</v>
      </c>
      <c r="B843" t="s">
        <v>223</v>
      </c>
      <c r="C843" t="s">
        <v>224</v>
      </c>
      <c r="D843" t="s">
        <v>710</v>
      </c>
      <c r="E843">
        <v>83919575</v>
      </c>
      <c r="F843" t="s">
        <v>711</v>
      </c>
      <c r="G843" s="3">
        <v>46729</v>
      </c>
      <c r="H843">
        <v>18</v>
      </c>
      <c r="I843">
        <v>99</v>
      </c>
      <c r="J843">
        <v>1152</v>
      </c>
      <c r="K843" s="4">
        <v>51194.879999999997</v>
      </c>
      <c r="L843" s="4">
        <v>6949.1428571428569</v>
      </c>
      <c r="M843" s="4">
        <v>0.16577584080256558</v>
      </c>
      <c r="N843" t="s">
        <v>25</v>
      </c>
      <c r="O843" t="str">
        <f t="shared" si="130"/>
        <v>Low</v>
      </c>
      <c r="P843" t="str">
        <f t="shared" si="131"/>
        <v>Low</v>
      </c>
      <c r="Q843" t="str">
        <f t="shared" si="132"/>
        <v>Low</v>
      </c>
      <c r="R843" t="s">
        <v>3317</v>
      </c>
      <c r="S843" s="4">
        <f t="shared" ca="1" si="133"/>
        <v>532</v>
      </c>
      <c r="T843">
        <f t="shared" si="134"/>
        <v>1</v>
      </c>
      <c r="U843">
        <f t="shared" si="135"/>
        <v>1</v>
      </c>
      <c r="V843">
        <f t="shared" si="136"/>
        <v>1</v>
      </c>
      <c r="W843">
        <f t="shared" si="137"/>
        <v>1</v>
      </c>
      <c r="X843">
        <f t="shared" si="138"/>
        <v>0.99999999999999989</v>
      </c>
      <c r="Y843" t="str">
        <f t="shared" si="139"/>
        <v>Healthy</v>
      </c>
    </row>
    <row r="844" spans="1:25" x14ac:dyDescent="0.35">
      <c r="A844" t="s">
        <v>179</v>
      </c>
      <c r="B844" t="s">
        <v>223</v>
      </c>
      <c r="C844" t="s">
        <v>224</v>
      </c>
      <c r="D844" t="s">
        <v>710</v>
      </c>
      <c r="E844">
        <v>83919575</v>
      </c>
      <c r="F844" t="s">
        <v>711</v>
      </c>
      <c r="G844" s="3">
        <v>46720</v>
      </c>
      <c r="H844">
        <v>18</v>
      </c>
      <c r="I844">
        <v>98</v>
      </c>
      <c r="J844">
        <v>816</v>
      </c>
      <c r="K844" s="4">
        <v>36263.040000000001</v>
      </c>
      <c r="L844" s="4">
        <v>6949.1428571428569</v>
      </c>
      <c r="M844" s="4">
        <v>0.11742455390181729</v>
      </c>
      <c r="N844" t="s">
        <v>25</v>
      </c>
      <c r="O844" t="str">
        <f t="shared" si="130"/>
        <v>Low</v>
      </c>
      <c r="P844" t="str">
        <f t="shared" si="131"/>
        <v>Low</v>
      </c>
      <c r="Q844" t="str">
        <f t="shared" si="132"/>
        <v>Low</v>
      </c>
      <c r="R844" t="s">
        <v>3317</v>
      </c>
      <c r="S844" s="4">
        <f t="shared" ca="1" si="133"/>
        <v>523</v>
      </c>
      <c r="T844">
        <f t="shared" si="134"/>
        <v>1</v>
      </c>
      <c r="U844">
        <f t="shared" si="135"/>
        <v>1</v>
      </c>
      <c r="V844">
        <f t="shared" si="136"/>
        <v>1</v>
      </c>
      <c r="W844">
        <f t="shared" si="137"/>
        <v>1</v>
      </c>
      <c r="X844">
        <f t="shared" si="138"/>
        <v>0.99999999999999989</v>
      </c>
      <c r="Y844" t="str">
        <f t="shared" si="139"/>
        <v>Healthy</v>
      </c>
    </row>
    <row r="845" spans="1:25" x14ac:dyDescent="0.35">
      <c r="A845" t="s">
        <v>179</v>
      </c>
      <c r="B845" t="s">
        <v>223</v>
      </c>
      <c r="C845" t="s">
        <v>224</v>
      </c>
      <c r="D845" t="s">
        <v>710</v>
      </c>
      <c r="E845">
        <v>83919575</v>
      </c>
      <c r="F845" t="s">
        <v>711</v>
      </c>
      <c r="G845" s="3">
        <v>46729</v>
      </c>
      <c r="H845">
        <v>18</v>
      </c>
      <c r="I845">
        <v>99</v>
      </c>
      <c r="J845">
        <v>1152</v>
      </c>
      <c r="K845" s="4">
        <v>51194.879999999997</v>
      </c>
      <c r="L845" s="4">
        <v>6949.1428571428569</v>
      </c>
      <c r="M845" s="4">
        <v>0.16577584080256558</v>
      </c>
      <c r="N845" t="s">
        <v>25</v>
      </c>
      <c r="O845" t="str">
        <f t="shared" si="130"/>
        <v>Low</v>
      </c>
      <c r="P845" t="str">
        <f t="shared" si="131"/>
        <v>Low</v>
      </c>
      <c r="Q845" t="str">
        <f t="shared" si="132"/>
        <v>Low</v>
      </c>
      <c r="R845" t="s">
        <v>3317</v>
      </c>
      <c r="S845" s="4">
        <f t="shared" ca="1" si="133"/>
        <v>532</v>
      </c>
      <c r="T845">
        <f t="shared" si="134"/>
        <v>1</v>
      </c>
      <c r="U845">
        <f t="shared" si="135"/>
        <v>1</v>
      </c>
      <c r="V845">
        <f t="shared" si="136"/>
        <v>1</v>
      </c>
      <c r="W845">
        <f t="shared" si="137"/>
        <v>1</v>
      </c>
      <c r="X845">
        <f t="shared" si="138"/>
        <v>0.99999999999999989</v>
      </c>
      <c r="Y845" t="str">
        <f t="shared" si="139"/>
        <v>Healthy</v>
      </c>
    </row>
    <row r="846" spans="1:25" x14ac:dyDescent="0.35">
      <c r="A846" t="s">
        <v>179</v>
      </c>
      <c r="B846" t="s">
        <v>223</v>
      </c>
      <c r="C846" t="s">
        <v>224</v>
      </c>
      <c r="D846" t="s">
        <v>710</v>
      </c>
      <c r="E846">
        <v>83919575</v>
      </c>
      <c r="F846" t="s">
        <v>711</v>
      </c>
      <c r="G846" s="3">
        <v>46730</v>
      </c>
      <c r="H846">
        <v>18</v>
      </c>
      <c r="I846">
        <v>100</v>
      </c>
      <c r="J846">
        <v>1152</v>
      </c>
      <c r="K846" s="4">
        <v>51194.879999999997</v>
      </c>
      <c r="L846" s="4">
        <v>6949.1428571428569</v>
      </c>
      <c r="M846" s="4">
        <v>0.16577584080256558</v>
      </c>
      <c r="N846" t="s">
        <v>25</v>
      </c>
      <c r="O846" t="str">
        <f t="shared" si="130"/>
        <v>Low</v>
      </c>
      <c r="P846" t="str">
        <f t="shared" si="131"/>
        <v>Low</v>
      </c>
      <c r="Q846" t="str">
        <f t="shared" si="132"/>
        <v>Low</v>
      </c>
      <c r="R846" t="s">
        <v>3317</v>
      </c>
      <c r="S846" s="4">
        <f t="shared" ca="1" si="133"/>
        <v>533</v>
      </c>
      <c r="T846">
        <f t="shared" si="134"/>
        <v>1</v>
      </c>
      <c r="U846">
        <f t="shared" si="135"/>
        <v>1</v>
      </c>
      <c r="V846">
        <f t="shared" si="136"/>
        <v>1</v>
      </c>
      <c r="W846">
        <f t="shared" si="137"/>
        <v>1</v>
      </c>
      <c r="X846">
        <f t="shared" si="138"/>
        <v>0.99999999999999989</v>
      </c>
      <c r="Y846" t="str">
        <f t="shared" si="139"/>
        <v>Healthy</v>
      </c>
    </row>
    <row r="847" spans="1:25" x14ac:dyDescent="0.35">
      <c r="A847" t="s">
        <v>179</v>
      </c>
      <c r="B847" t="s">
        <v>223</v>
      </c>
      <c r="C847" t="s">
        <v>224</v>
      </c>
      <c r="D847" t="s">
        <v>710</v>
      </c>
      <c r="E847">
        <v>83919575</v>
      </c>
      <c r="F847" t="s">
        <v>711</v>
      </c>
      <c r="G847" s="3">
        <v>46721</v>
      </c>
      <c r="H847">
        <v>18</v>
      </c>
      <c r="I847">
        <v>98</v>
      </c>
      <c r="J847">
        <v>1104</v>
      </c>
      <c r="K847" s="4">
        <v>49061.760000000002</v>
      </c>
      <c r="L847" s="4">
        <v>6949.1428571428569</v>
      </c>
      <c r="M847" s="4">
        <v>0.1588685141024587</v>
      </c>
      <c r="N847" t="s">
        <v>25</v>
      </c>
      <c r="O847" t="str">
        <f t="shared" si="130"/>
        <v>Low</v>
      </c>
      <c r="P847" t="str">
        <f t="shared" si="131"/>
        <v>Low</v>
      </c>
      <c r="Q847" t="str">
        <f t="shared" si="132"/>
        <v>Low</v>
      </c>
      <c r="R847" t="s">
        <v>3317</v>
      </c>
      <c r="S847" s="4">
        <f t="shared" ca="1" si="133"/>
        <v>524</v>
      </c>
      <c r="T847">
        <f t="shared" si="134"/>
        <v>1</v>
      </c>
      <c r="U847">
        <f t="shared" si="135"/>
        <v>1</v>
      </c>
      <c r="V847">
        <f t="shared" si="136"/>
        <v>1</v>
      </c>
      <c r="W847">
        <f t="shared" si="137"/>
        <v>1</v>
      </c>
      <c r="X847">
        <f t="shared" si="138"/>
        <v>0.99999999999999989</v>
      </c>
      <c r="Y847" t="str">
        <f t="shared" si="139"/>
        <v>Healthy</v>
      </c>
    </row>
    <row r="848" spans="1:25" x14ac:dyDescent="0.35">
      <c r="A848" t="s">
        <v>179</v>
      </c>
      <c r="B848" t="s">
        <v>223</v>
      </c>
      <c r="C848" t="s">
        <v>224</v>
      </c>
      <c r="D848" t="s">
        <v>710</v>
      </c>
      <c r="E848">
        <v>83919575</v>
      </c>
      <c r="F848" t="s">
        <v>711</v>
      </c>
      <c r="G848" s="3">
        <v>46724</v>
      </c>
      <c r="H848">
        <v>18</v>
      </c>
      <c r="I848">
        <v>99</v>
      </c>
      <c r="J848">
        <v>999</v>
      </c>
      <c r="K848" s="4">
        <v>44395.56</v>
      </c>
      <c r="L848" s="4">
        <v>6949.1428571428569</v>
      </c>
      <c r="M848" s="4">
        <v>0.14375873694597485</v>
      </c>
      <c r="N848" t="s">
        <v>25</v>
      </c>
      <c r="O848" t="str">
        <f t="shared" si="130"/>
        <v>Low</v>
      </c>
      <c r="P848" t="str">
        <f t="shared" si="131"/>
        <v>Low</v>
      </c>
      <c r="Q848" t="str">
        <f t="shared" si="132"/>
        <v>Low</v>
      </c>
      <c r="R848" t="s">
        <v>3317</v>
      </c>
      <c r="S848" s="4">
        <f t="shared" ca="1" si="133"/>
        <v>527</v>
      </c>
      <c r="T848">
        <f t="shared" si="134"/>
        <v>1</v>
      </c>
      <c r="U848">
        <f t="shared" si="135"/>
        <v>1</v>
      </c>
      <c r="V848">
        <f t="shared" si="136"/>
        <v>1</v>
      </c>
      <c r="W848">
        <f t="shared" si="137"/>
        <v>1</v>
      </c>
      <c r="X848">
        <f t="shared" si="138"/>
        <v>0.99999999999999989</v>
      </c>
      <c r="Y848" t="str">
        <f t="shared" si="139"/>
        <v>Healthy</v>
      </c>
    </row>
    <row r="849" spans="1:25" x14ac:dyDescent="0.35">
      <c r="A849" t="s">
        <v>179</v>
      </c>
      <c r="B849" t="s">
        <v>223</v>
      </c>
      <c r="C849" t="s">
        <v>224</v>
      </c>
      <c r="D849" t="s">
        <v>710</v>
      </c>
      <c r="E849">
        <v>83919575</v>
      </c>
      <c r="F849" t="s">
        <v>711</v>
      </c>
      <c r="G849" s="3">
        <v>46724</v>
      </c>
      <c r="H849">
        <v>18</v>
      </c>
      <c r="I849">
        <v>99</v>
      </c>
      <c r="J849">
        <v>1056</v>
      </c>
      <c r="K849" s="4">
        <v>46928.639999999999</v>
      </c>
      <c r="L849" s="4">
        <v>6949.1428571428569</v>
      </c>
      <c r="M849" s="4">
        <v>0.15196118740235179</v>
      </c>
      <c r="N849" t="s">
        <v>25</v>
      </c>
      <c r="O849" t="str">
        <f t="shared" si="130"/>
        <v>Low</v>
      </c>
      <c r="P849" t="str">
        <f t="shared" si="131"/>
        <v>Low</v>
      </c>
      <c r="Q849" t="str">
        <f t="shared" si="132"/>
        <v>Low</v>
      </c>
      <c r="R849" t="s">
        <v>3317</v>
      </c>
      <c r="S849" s="4">
        <f t="shared" ca="1" si="133"/>
        <v>527</v>
      </c>
      <c r="T849">
        <f t="shared" si="134"/>
        <v>1</v>
      </c>
      <c r="U849">
        <f t="shared" si="135"/>
        <v>1</v>
      </c>
      <c r="V849">
        <f t="shared" si="136"/>
        <v>1</v>
      </c>
      <c r="W849">
        <f t="shared" si="137"/>
        <v>1</v>
      </c>
      <c r="X849">
        <f t="shared" si="138"/>
        <v>0.99999999999999989</v>
      </c>
      <c r="Y849" t="str">
        <f t="shared" si="139"/>
        <v>Healthy</v>
      </c>
    </row>
    <row r="850" spans="1:25" x14ac:dyDescent="0.35">
      <c r="A850" t="s">
        <v>179</v>
      </c>
      <c r="B850" t="s">
        <v>223</v>
      </c>
      <c r="C850" t="s">
        <v>224</v>
      </c>
      <c r="D850" t="s">
        <v>710</v>
      </c>
      <c r="E850">
        <v>83919575</v>
      </c>
      <c r="F850" t="s">
        <v>711</v>
      </c>
      <c r="G850" s="3">
        <v>46720</v>
      </c>
      <c r="H850">
        <v>18</v>
      </c>
      <c r="I850">
        <v>98</v>
      </c>
      <c r="J850">
        <v>938</v>
      </c>
      <c r="K850" s="4">
        <v>41684.720000000001</v>
      </c>
      <c r="L850" s="4">
        <v>6949.1428571428569</v>
      </c>
      <c r="M850" s="4">
        <v>0.13498067593125565</v>
      </c>
      <c r="N850" t="s">
        <v>25</v>
      </c>
      <c r="O850" t="str">
        <f t="shared" si="130"/>
        <v>Low</v>
      </c>
      <c r="P850" t="str">
        <f t="shared" si="131"/>
        <v>Low</v>
      </c>
      <c r="Q850" t="str">
        <f t="shared" si="132"/>
        <v>Low</v>
      </c>
      <c r="R850" t="s">
        <v>3317</v>
      </c>
      <c r="S850" s="4">
        <f t="shared" ca="1" si="133"/>
        <v>523</v>
      </c>
      <c r="T850">
        <f t="shared" si="134"/>
        <v>1</v>
      </c>
      <c r="U850">
        <f t="shared" si="135"/>
        <v>1</v>
      </c>
      <c r="V850">
        <f t="shared" si="136"/>
        <v>1</v>
      </c>
      <c r="W850">
        <f t="shared" si="137"/>
        <v>1</v>
      </c>
      <c r="X850">
        <f t="shared" si="138"/>
        <v>0.99999999999999989</v>
      </c>
      <c r="Y850" t="str">
        <f t="shared" si="139"/>
        <v>Healthy</v>
      </c>
    </row>
    <row r="851" spans="1:25" x14ac:dyDescent="0.35">
      <c r="A851" t="s">
        <v>179</v>
      </c>
      <c r="B851" t="s">
        <v>223</v>
      </c>
      <c r="C851" t="s">
        <v>224</v>
      </c>
      <c r="D851" t="s">
        <v>710</v>
      </c>
      <c r="E851">
        <v>83919575</v>
      </c>
      <c r="F851" t="s">
        <v>711</v>
      </c>
      <c r="G851" s="3">
        <v>46717</v>
      </c>
      <c r="H851">
        <v>18</v>
      </c>
      <c r="I851">
        <v>97</v>
      </c>
      <c r="J851">
        <v>1109</v>
      </c>
      <c r="K851" s="4">
        <v>49283.96</v>
      </c>
      <c r="L851" s="4">
        <v>6949.1428571428569</v>
      </c>
      <c r="M851" s="4">
        <v>0.15958802730038649</v>
      </c>
      <c r="N851" t="s">
        <v>25</v>
      </c>
      <c r="O851" t="str">
        <f t="shared" si="130"/>
        <v>Low</v>
      </c>
      <c r="P851" t="str">
        <f t="shared" si="131"/>
        <v>Low</v>
      </c>
      <c r="Q851" t="str">
        <f t="shared" si="132"/>
        <v>Low</v>
      </c>
      <c r="R851" t="s">
        <v>3317</v>
      </c>
      <c r="S851" s="4">
        <f t="shared" ca="1" si="133"/>
        <v>520</v>
      </c>
      <c r="T851">
        <f t="shared" si="134"/>
        <v>1</v>
      </c>
      <c r="U851">
        <f t="shared" si="135"/>
        <v>1</v>
      </c>
      <c r="V851">
        <f t="shared" si="136"/>
        <v>1</v>
      </c>
      <c r="W851">
        <f t="shared" si="137"/>
        <v>1</v>
      </c>
      <c r="X851">
        <f t="shared" si="138"/>
        <v>0.99999999999999989</v>
      </c>
      <c r="Y851" t="str">
        <f t="shared" si="139"/>
        <v>Healthy</v>
      </c>
    </row>
    <row r="852" spans="1:25" x14ac:dyDescent="0.35">
      <c r="A852" t="s">
        <v>179</v>
      </c>
      <c r="B852" t="s">
        <v>223</v>
      </c>
      <c r="C852" t="s">
        <v>224</v>
      </c>
      <c r="D852" t="s">
        <v>712</v>
      </c>
      <c r="E852">
        <v>83919577</v>
      </c>
      <c r="F852" t="s">
        <v>713</v>
      </c>
      <c r="G852" s="3">
        <v>46729</v>
      </c>
      <c r="H852">
        <v>18</v>
      </c>
      <c r="I852">
        <v>99</v>
      </c>
      <c r="J852">
        <v>193</v>
      </c>
      <c r="K852" s="4">
        <v>16984</v>
      </c>
      <c r="L852" s="4">
        <v>12770.571428571429</v>
      </c>
      <c r="M852" s="4">
        <v>1.5112871109917891E-2</v>
      </c>
      <c r="N852" t="s">
        <v>25</v>
      </c>
      <c r="O852" t="str">
        <f t="shared" si="130"/>
        <v>Low</v>
      </c>
      <c r="P852" t="str">
        <f t="shared" si="131"/>
        <v>Low</v>
      </c>
      <c r="Q852" t="str">
        <f t="shared" si="132"/>
        <v>Low</v>
      </c>
      <c r="R852" t="s">
        <v>3317</v>
      </c>
      <c r="S852" s="4">
        <f t="shared" ca="1" si="133"/>
        <v>532</v>
      </c>
      <c r="T852">
        <f t="shared" si="134"/>
        <v>1</v>
      </c>
      <c r="U852">
        <f t="shared" si="135"/>
        <v>1</v>
      </c>
      <c r="V852">
        <f t="shared" si="136"/>
        <v>1</v>
      </c>
      <c r="W852">
        <f t="shared" si="137"/>
        <v>1</v>
      </c>
      <c r="X852">
        <f t="shared" si="138"/>
        <v>0.99999999999999989</v>
      </c>
      <c r="Y852" t="str">
        <f t="shared" si="139"/>
        <v>Healthy</v>
      </c>
    </row>
    <row r="853" spans="1:25" x14ac:dyDescent="0.35">
      <c r="A853" t="s">
        <v>179</v>
      </c>
      <c r="B853" t="s">
        <v>223</v>
      </c>
      <c r="C853" t="s">
        <v>224</v>
      </c>
      <c r="D853" t="s">
        <v>712</v>
      </c>
      <c r="E853">
        <v>83919577</v>
      </c>
      <c r="F853" t="s">
        <v>713</v>
      </c>
      <c r="G853" s="3">
        <v>46710</v>
      </c>
      <c r="H853">
        <v>18</v>
      </c>
      <c r="I853">
        <v>96</v>
      </c>
      <c r="J853">
        <v>329</v>
      </c>
      <c r="K853" s="4">
        <v>28952</v>
      </c>
      <c r="L853" s="4">
        <v>12770.571428571429</v>
      </c>
      <c r="M853" s="4">
        <v>2.576235541535226E-2</v>
      </c>
      <c r="N853" t="s">
        <v>25</v>
      </c>
      <c r="O853" t="str">
        <f t="shared" si="130"/>
        <v>Low</v>
      </c>
      <c r="P853" t="str">
        <f t="shared" si="131"/>
        <v>Low</v>
      </c>
      <c r="Q853" t="str">
        <f t="shared" si="132"/>
        <v>Low</v>
      </c>
      <c r="R853" t="s">
        <v>3317</v>
      </c>
      <c r="S853" s="4">
        <f t="shared" ca="1" si="133"/>
        <v>513</v>
      </c>
      <c r="T853">
        <f t="shared" si="134"/>
        <v>1</v>
      </c>
      <c r="U853">
        <f t="shared" si="135"/>
        <v>1</v>
      </c>
      <c r="V853">
        <f t="shared" si="136"/>
        <v>1</v>
      </c>
      <c r="W853">
        <f t="shared" si="137"/>
        <v>1</v>
      </c>
      <c r="X853">
        <f t="shared" si="138"/>
        <v>0.99999999999999989</v>
      </c>
      <c r="Y853" t="str">
        <f t="shared" si="139"/>
        <v>Healthy</v>
      </c>
    </row>
    <row r="854" spans="1:25" x14ac:dyDescent="0.35">
      <c r="A854" t="s">
        <v>179</v>
      </c>
      <c r="B854" t="s">
        <v>223</v>
      </c>
      <c r="C854" t="s">
        <v>224</v>
      </c>
      <c r="D854" t="s">
        <v>712</v>
      </c>
      <c r="E854">
        <v>83919577</v>
      </c>
      <c r="F854" t="s">
        <v>713</v>
      </c>
      <c r="G854" s="3">
        <v>46721</v>
      </c>
      <c r="H854">
        <v>18</v>
      </c>
      <c r="I854">
        <v>98</v>
      </c>
      <c r="J854">
        <v>2712</v>
      </c>
      <c r="K854" s="4">
        <v>238656</v>
      </c>
      <c r="L854" s="4">
        <v>12770.571428571429</v>
      </c>
      <c r="M854" s="4">
        <v>0.21236324585542651</v>
      </c>
      <c r="N854" t="s">
        <v>25</v>
      </c>
      <c r="O854" t="str">
        <f t="shared" si="130"/>
        <v>Low</v>
      </c>
      <c r="P854" t="str">
        <f t="shared" si="131"/>
        <v>Low</v>
      </c>
      <c r="Q854" t="str">
        <f t="shared" si="132"/>
        <v>Low</v>
      </c>
      <c r="R854" t="s">
        <v>3309</v>
      </c>
      <c r="S854" s="4">
        <f t="shared" ca="1" si="133"/>
        <v>524</v>
      </c>
      <c r="T854">
        <f t="shared" si="134"/>
        <v>1</v>
      </c>
      <c r="U854">
        <f t="shared" si="135"/>
        <v>1</v>
      </c>
      <c r="V854">
        <f t="shared" si="136"/>
        <v>1</v>
      </c>
      <c r="W854">
        <f t="shared" si="137"/>
        <v>3</v>
      </c>
      <c r="X854">
        <f t="shared" si="138"/>
        <v>1.2</v>
      </c>
      <c r="Y854" t="str">
        <f t="shared" si="139"/>
        <v>Healthy</v>
      </c>
    </row>
    <row r="855" spans="1:25" x14ac:dyDescent="0.35">
      <c r="A855" t="s">
        <v>179</v>
      </c>
      <c r="B855" t="s">
        <v>223</v>
      </c>
      <c r="C855" t="s">
        <v>224</v>
      </c>
      <c r="D855" t="s">
        <v>712</v>
      </c>
      <c r="E855">
        <v>83919577</v>
      </c>
      <c r="F855" t="s">
        <v>713</v>
      </c>
      <c r="G855" s="3">
        <v>46723</v>
      </c>
      <c r="H855">
        <v>18</v>
      </c>
      <c r="I855">
        <v>98</v>
      </c>
      <c r="J855">
        <v>5592</v>
      </c>
      <c r="K855" s="4">
        <v>492096</v>
      </c>
      <c r="L855" s="4">
        <v>12770.571428571429</v>
      </c>
      <c r="M855" s="4">
        <v>0.43788173702933081</v>
      </c>
      <c r="N855" t="s">
        <v>25</v>
      </c>
      <c r="O855" t="str">
        <f t="shared" si="130"/>
        <v>Low</v>
      </c>
      <c r="P855" t="str">
        <f t="shared" si="131"/>
        <v>Low</v>
      </c>
      <c r="Q855" t="str">
        <f t="shared" si="132"/>
        <v>Low</v>
      </c>
      <c r="R855" t="s">
        <v>3309</v>
      </c>
      <c r="S855" s="4">
        <f t="shared" ca="1" si="133"/>
        <v>526</v>
      </c>
      <c r="T855">
        <f t="shared" si="134"/>
        <v>1</v>
      </c>
      <c r="U855">
        <f t="shared" si="135"/>
        <v>1</v>
      </c>
      <c r="V855">
        <f t="shared" si="136"/>
        <v>1</v>
      </c>
      <c r="W855">
        <f t="shared" si="137"/>
        <v>3</v>
      </c>
      <c r="X855">
        <f t="shared" si="138"/>
        <v>1.2</v>
      </c>
      <c r="Y855" t="str">
        <f t="shared" si="139"/>
        <v>Healthy</v>
      </c>
    </row>
    <row r="856" spans="1:25" x14ac:dyDescent="0.35">
      <c r="A856" t="s">
        <v>179</v>
      </c>
      <c r="B856" t="s">
        <v>223</v>
      </c>
      <c r="C856" t="s">
        <v>224</v>
      </c>
      <c r="D856" t="s">
        <v>712</v>
      </c>
      <c r="E856">
        <v>83919577</v>
      </c>
      <c r="F856" t="s">
        <v>713</v>
      </c>
      <c r="G856" s="3">
        <v>46720</v>
      </c>
      <c r="H856">
        <v>18</v>
      </c>
      <c r="I856">
        <v>98</v>
      </c>
      <c r="J856">
        <v>2832</v>
      </c>
      <c r="K856" s="4">
        <v>249216</v>
      </c>
      <c r="L856" s="4">
        <v>12770.571428571429</v>
      </c>
      <c r="M856" s="4">
        <v>0.2217598496543392</v>
      </c>
      <c r="N856" t="s">
        <v>25</v>
      </c>
      <c r="O856" t="str">
        <f t="shared" si="130"/>
        <v>Low</v>
      </c>
      <c r="P856" t="str">
        <f t="shared" si="131"/>
        <v>Low</v>
      </c>
      <c r="Q856" t="str">
        <f t="shared" si="132"/>
        <v>Low</v>
      </c>
      <c r="R856" t="s">
        <v>3309</v>
      </c>
      <c r="S856" s="4">
        <f t="shared" ca="1" si="133"/>
        <v>523</v>
      </c>
      <c r="T856">
        <f t="shared" si="134"/>
        <v>1</v>
      </c>
      <c r="U856">
        <f t="shared" si="135"/>
        <v>1</v>
      </c>
      <c r="V856">
        <f t="shared" si="136"/>
        <v>1</v>
      </c>
      <c r="W856">
        <f t="shared" si="137"/>
        <v>3</v>
      </c>
      <c r="X856">
        <f t="shared" si="138"/>
        <v>1.2</v>
      </c>
      <c r="Y856" t="str">
        <f t="shared" si="139"/>
        <v>Healthy</v>
      </c>
    </row>
    <row r="857" spans="1:25" x14ac:dyDescent="0.35">
      <c r="A857" t="s">
        <v>179</v>
      </c>
      <c r="B857" t="s">
        <v>223</v>
      </c>
      <c r="C857" t="s">
        <v>224</v>
      </c>
      <c r="D857" t="s">
        <v>712</v>
      </c>
      <c r="E857">
        <v>83919577</v>
      </c>
      <c r="F857" t="s">
        <v>713</v>
      </c>
      <c r="G857" s="3">
        <v>46729</v>
      </c>
      <c r="H857">
        <v>18</v>
      </c>
      <c r="I857">
        <v>99</v>
      </c>
      <c r="J857">
        <v>960</v>
      </c>
      <c r="K857" s="4">
        <v>84480</v>
      </c>
      <c r="L857" s="4">
        <v>12770.571428571429</v>
      </c>
      <c r="M857" s="4">
        <v>7.5172830391301432E-2</v>
      </c>
      <c r="N857" t="s">
        <v>25</v>
      </c>
      <c r="O857" t="str">
        <f t="shared" si="130"/>
        <v>Low</v>
      </c>
      <c r="P857" t="str">
        <f t="shared" si="131"/>
        <v>Low</v>
      </c>
      <c r="Q857" t="str">
        <f t="shared" si="132"/>
        <v>Low</v>
      </c>
      <c r="R857" t="s">
        <v>3310</v>
      </c>
      <c r="S857" s="4">
        <f t="shared" ca="1" si="133"/>
        <v>532</v>
      </c>
      <c r="T857">
        <f t="shared" si="134"/>
        <v>1</v>
      </c>
      <c r="U857">
        <f t="shared" si="135"/>
        <v>1</v>
      </c>
      <c r="V857">
        <f t="shared" si="136"/>
        <v>1</v>
      </c>
      <c r="W857">
        <f t="shared" si="137"/>
        <v>2</v>
      </c>
      <c r="X857">
        <f t="shared" si="138"/>
        <v>1.0999999999999999</v>
      </c>
      <c r="Y857" t="str">
        <f t="shared" si="139"/>
        <v>Healthy</v>
      </c>
    </row>
    <row r="858" spans="1:25" x14ac:dyDescent="0.35">
      <c r="A858" t="s">
        <v>104</v>
      </c>
      <c r="B858" t="s">
        <v>105</v>
      </c>
      <c r="C858" t="s">
        <v>141</v>
      </c>
      <c r="D858" t="s">
        <v>142</v>
      </c>
      <c r="E858">
        <v>82315469</v>
      </c>
      <c r="F858" t="s">
        <v>714</v>
      </c>
      <c r="G858" s="3">
        <v>46366</v>
      </c>
      <c r="H858">
        <v>24</v>
      </c>
      <c r="I858">
        <v>24</v>
      </c>
      <c r="J858">
        <v>2</v>
      </c>
      <c r="K858" s="4">
        <v>468.44</v>
      </c>
      <c r="L858" s="4">
        <f>0</f>
        <v>0</v>
      </c>
      <c r="M858" s="4">
        <f>999</f>
        <v>999</v>
      </c>
      <c r="N858" t="s">
        <v>19</v>
      </c>
      <c r="O858" t="str">
        <f t="shared" si="130"/>
        <v>Medium</v>
      </c>
      <c r="P858" t="str">
        <f t="shared" si="131"/>
        <v>High</v>
      </c>
      <c r="Q858" t="str">
        <f t="shared" si="132"/>
        <v>High</v>
      </c>
      <c r="R858" t="s">
        <v>3317</v>
      </c>
      <c r="S858" s="4">
        <f t="shared" ca="1" si="133"/>
        <v>169</v>
      </c>
      <c r="T858">
        <f t="shared" si="134"/>
        <v>2</v>
      </c>
      <c r="U858">
        <f t="shared" si="135"/>
        <v>3</v>
      </c>
      <c r="V858">
        <f t="shared" si="136"/>
        <v>3</v>
      </c>
      <c r="W858">
        <f t="shared" si="137"/>
        <v>1</v>
      </c>
      <c r="X858">
        <f t="shared" si="138"/>
        <v>2.4</v>
      </c>
      <c r="Y858" t="str">
        <f t="shared" si="139"/>
        <v>High Priority</v>
      </c>
    </row>
    <row r="859" spans="1:25" x14ac:dyDescent="0.35">
      <c r="A859" t="s">
        <v>179</v>
      </c>
      <c r="B859" t="s">
        <v>223</v>
      </c>
      <c r="C859" t="s">
        <v>224</v>
      </c>
      <c r="D859" t="s">
        <v>712</v>
      </c>
      <c r="E859">
        <v>83919577</v>
      </c>
      <c r="F859" t="s">
        <v>713</v>
      </c>
      <c r="G859" s="3">
        <v>46724</v>
      </c>
      <c r="H859">
        <v>18</v>
      </c>
      <c r="I859">
        <v>99</v>
      </c>
      <c r="J859">
        <v>768</v>
      </c>
      <c r="K859" s="4">
        <v>67584</v>
      </c>
      <c r="L859" s="4">
        <v>12770.571428571429</v>
      </c>
      <c r="M859" s="4">
        <v>6.0138264313041138E-2</v>
      </c>
      <c r="N859" t="s">
        <v>25</v>
      </c>
      <c r="O859" t="str">
        <f t="shared" si="130"/>
        <v>Low</v>
      </c>
      <c r="P859" t="str">
        <f t="shared" si="131"/>
        <v>Low</v>
      </c>
      <c r="Q859" t="str">
        <f t="shared" si="132"/>
        <v>Low</v>
      </c>
      <c r="R859" t="s">
        <v>3310</v>
      </c>
      <c r="S859" s="4">
        <f t="shared" ca="1" si="133"/>
        <v>527</v>
      </c>
      <c r="T859">
        <f t="shared" si="134"/>
        <v>1</v>
      </c>
      <c r="U859">
        <f t="shared" si="135"/>
        <v>1</v>
      </c>
      <c r="V859">
        <f t="shared" si="136"/>
        <v>1</v>
      </c>
      <c r="W859">
        <f t="shared" si="137"/>
        <v>2</v>
      </c>
      <c r="X859">
        <f t="shared" si="138"/>
        <v>1.0999999999999999</v>
      </c>
      <c r="Y859" t="str">
        <f t="shared" si="139"/>
        <v>Healthy</v>
      </c>
    </row>
    <row r="860" spans="1:25" x14ac:dyDescent="0.35">
      <c r="A860" t="s">
        <v>179</v>
      </c>
      <c r="B860" t="s">
        <v>223</v>
      </c>
      <c r="C860" t="s">
        <v>224</v>
      </c>
      <c r="D860" t="s">
        <v>712</v>
      </c>
      <c r="E860">
        <v>83919577</v>
      </c>
      <c r="F860" t="s">
        <v>713</v>
      </c>
      <c r="G860" s="3">
        <v>46711</v>
      </c>
      <c r="H860">
        <v>18</v>
      </c>
      <c r="I860">
        <v>96</v>
      </c>
      <c r="J860">
        <v>816</v>
      </c>
      <c r="K860" s="4">
        <v>71808</v>
      </c>
      <c r="L860" s="4">
        <v>12770.571428571429</v>
      </c>
      <c r="M860" s="4">
        <v>6.389690583260621E-2</v>
      </c>
      <c r="N860" t="s">
        <v>25</v>
      </c>
      <c r="O860" t="str">
        <f t="shared" si="130"/>
        <v>Low</v>
      </c>
      <c r="P860" t="str">
        <f t="shared" si="131"/>
        <v>Low</v>
      </c>
      <c r="Q860" t="str">
        <f t="shared" si="132"/>
        <v>Low</v>
      </c>
      <c r="R860" t="s">
        <v>3310</v>
      </c>
      <c r="S860" s="4">
        <f t="shared" ca="1" si="133"/>
        <v>514</v>
      </c>
      <c r="T860">
        <f t="shared" si="134"/>
        <v>1</v>
      </c>
      <c r="U860">
        <f t="shared" si="135"/>
        <v>1</v>
      </c>
      <c r="V860">
        <f t="shared" si="136"/>
        <v>1</v>
      </c>
      <c r="W860">
        <f t="shared" si="137"/>
        <v>2</v>
      </c>
      <c r="X860">
        <f t="shared" si="138"/>
        <v>1.0999999999999999</v>
      </c>
      <c r="Y860" t="str">
        <f t="shared" si="139"/>
        <v>Healthy</v>
      </c>
    </row>
    <row r="861" spans="1:25" x14ac:dyDescent="0.35">
      <c r="A861" t="s">
        <v>104</v>
      </c>
      <c r="B861" t="s">
        <v>105</v>
      </c>
      <c r="C861" t="s">
        <v>141</v>
      </c>
      <c r="D861" t="s">
        <v>142</v>
      </c>
      <c r="E861">
        <v>82315469</v>
      </c>
      <c r="F861" t="s">
        <v>714</v>
      </c>
      <c r="G861" s="3">
        <v>47025</v>
      </c>
      <c r="H861">
        <v>24</v>
      </c>
      <c r="I861">
        <v>100</v>
      </c>
      <c r="J861">
        <v>2</v>
      </c>
      <c r="K861" s="4">
        <v>478.38</v>
      </c>
      <c r="L861" s="4">
        <f>0</f>
        <v>0</v>
      </c>
      <c r="M861" s="4">
        <f>999</f>
        <v>999</v>
      </c>
      <c r="N861" t="s">
        <v>19</v>
      </c>
      <c r="O861" t="str">
        <f t="shared" si="130"/>
        <v>Low</v>
      </c>
      <c r="P861" t="str">
        <f t="shared" si="131"/>
        <v>High</v>
      </c>
      <c r="Q861" t="str">
        <f t="shared" si="132"/>
        <v>High</v>
      </c>
      <c r="R861" t="s">
        <v>3317</v>
      </c>
      <c r="S861" s="4">
        <f t="shared" ca="1" si="133"/>
        <v>828</v>
      </c>
      <c r="T861">
        <f t="shared" si="134"/>
        <v>1</v>
      </c>
      <c r="U861">
        <f t="shared" si="135"/>
        <v>3</v>
      </c>
      <c r="V861">
        <f t="shared" si="136"/>
        <v>3</v>
      </c>
      <c r="W861">
        <f t="shared" si="137"/>
        <v>1</v>
      </c>
      <c r="X861">
        <f t="shared" si="138"/>
        <v>2</v>
      </c>
      <c r="Y861" t="str">
        <f t="shared" si="139"/>
        <v>Monitor</v>
      </c>
    </row>
    <row r="862" spans="1:25" x14ac:dyDescent="0.35">
      <c r="A862" t="s">
        <v>179</v>
      </c>
      <c r="B862" t="s">
        <v>223</v>
      </c>
      <c r="C862" t="s">
        <v>224</v>
      </c>
      <c r="D862" t="s">
        <v>712</v>
      </c>
      <c r="E862">
        <v>83919577</v>
      </c>
      <c r="F862" t="s">
        <v>713</v>
      </c>
      <c r="G862" s="3">
        <v>46730</v>
      </c>
      <c r="H862">
        <v>18</v>
      </c>
      <c r="I862">
        <v>100</v>
      </c>
      <c r="J862">
        <v>3672</v>
      </c>
      <c r="K862" s="4">
        <v>323136</v>
      </c>
      <c r="L862" s="4">
        <v>12770.571428571429</v>
      </c>
      <c r="M862" s="4">
        <v>0.28753607624672795</v>
      </c>
      <c r="N862" t="s">
        <v>25</v>
      </c>
      <c r="O862" t="str">
        <f t="shared" si="130"/>
        <v>Low</v>
      </c>
      <c r="P862" t="str">
        <f t="shared" si="131"/>
        <v>Low</v>
      </c>
      <c r="Q862" t="str">
        <f t="shared" si="132"/>
        <v>Low</v>
      </c>
      <c r="R862" t="s">
        <v>3309</v>
      </c>
      <c r="S862" s="4">
        <f t="shared" ca="1" si="133"/>
        <v>533</v>
      </c>
      <c r="T862">
        <f t="shared" si="134"/>
        <v>1</v>
      </c>
      <c r="U862">
        <f t="shared" si="135"/>
        <v>1</v>
      </c>
      <c r="V862">
        <f t="shared" si="136"/>
        <v>1</v>
      </c>
      <c r="W862">
        <f t="shared" si="137"/>
        <v>3</v>
      </c>
      <c r="X862">
        <f t="shared" si="138"/>
        <v>1.2</v>
      </c>
      <c r="Y862" t="str">
        <f t="shared" si="139"/>
        <v>Healthy</v>
      </c>
    </row>
    <row r="863" spans="1:25" x14ac:dyDescent="0.35">
      <c r="A863" t="s">
        <v>179</v>
      </c>
      <c r="B863" t="s">
        <v>223</v>
      </c>
      <c r="C863" t="s">
        <v>224</v>
      </c>
      <c r="D863" t="s">
        <v>712</v>
      </c>
      <c r="E863">
        <v>83919577</v>
      </c>
      <c r="F863" t="s">
        <v>713</v>
      </c>
      <c r="G863" s="3">
        <v>46717</v>
      </c>
      <c r="H863">
        <v>18</v>
      </c>
      <c r="I863">
        <v>97</v>
      </c>
      <c r="J863">
        <v>1440</v>
      </c>
      <c r="K863" s="4">
        <v>126720</v>
      </c>
      <c r="L863" s="4">
        <v>12770.571428571429</v>
      </c>
      <c r="M863" s="4">
        <v>0.11275924558695213</v>
      </c>
      <c r="N863" t="s">
        <v>25</v>
      </c>
      <c r="O863" t="str">
        <f t="shared" si="130"/>
        <v>Low</v>
      </c>
      <c r="P863" t="str">
        <f t="shared" si="131"/>
        <v>Low</v>
      </c>
      <c r="Q863" t="str">
        <f t="shared" si="132"/>
        <v>Low</v>
      </c>
      <c r="R863" t="s">
        <v>3310</v>
      </c>
      <c r="S863" s="4">
        <f t="shared" ca="1" si="133"/>
        <v>520</v>
      </c>
      <c r="T863">
        <f t="shared" si="134"/>
        <v>1</v>
      </c>
      <c r="U863">
        <f t="shared" si="135"/>
        <v>1</v>
      </c>
      <c r="V863">
        <f t="shared" si="136"/>
        <v>1</v>
      </c>
      <c r="W863">
        <f t="shared" si="137"/>
        <v>2</v>
      </c>
      <c r="X863">
        <f t="shared" si="138"/>
        <v>1.0999999999999999</v>
      </c>
      <c r="Y863" t="str">
        <f t="shared" si="139"/>
        <v>Healthy</v>
      </c>
    </row>
    <row r="864" spans="1:25" x14ac:dyDescent="0.35">
      <c r="A864" t="s">
        <v>179</v>
      </c>
      <c r="B864" t="s">
        <v>223</v>
      </c>
      <c r="C864" t="s">
        <v>224</v>
      </c>
      <c r="D864" t="s">
        <v>712</v>
      </c>
      <c r="E864">
        <v>83919577</v>
      </c>
      <c r="F864" t="s">
        <v>713</v>
      </c>
      <c r="G864" s="3">
        <v>46711</v>
      </c>
      <c r="H864">
        <v>18</v>
      </c>
      <c r="I864">
        <v>96</v>
      </c>
      <c r="J864">
        <v>1200</v>
      </c>
      <c r="K864" s="4">
        <v>105600</v>
      </c>
      <c r="L864" s="4">
        <v>12770.571428571429</v>
      </c>
      <c r="M864" s="4">
        <v>9.3966037989126783E-2</v>
      </c>
      <c r="N864" t="s">
        <v>25</v>
      </c>
      <c r="O864" t="str">
        <f t="shared" si="130"/>
        <v>Low</v>
      </c>
      <c r="P864" t="str">
        <f t="shared" si="131"/>
        <v>Low</v>
      </c>
      <c r="Q864" t="str">
        <f t="shared" si="132"/>
        <v>Low</v>
      </c>
      <c r="R864" t="s">
        <v>3310</v>
      </c>
      <c r="S864" s="4">
        <f t="shared" ca="1" si="133"/>
        <v>514</v>
      </c>
      <c r="T864">
        <f t="shared" si="134"/>
        <v>1</v>
      </c>
      <c r="U864">
        <f t="shared" si="135"/>
        <v>1</v>
      </c>
      <c r="V864">
        <f t="shared" si="136"/>
        <v>1</v>
      </c>
      <c r="W864">
        <f t="shared" si="137"/>
        <v>2</v>
      </c>
      <c r="X864">
        <f t="shared" si="138"/>
        <v>1.0999999999999999</v>
      </c>
      <c r="Y864" t="str">
        <f t="shared" si="139"/>
        <v>Healthy</v>
      </c>
    </row>
    <row r="865" spans="1:25" x14ac:dyDescent="0.35">
      <c r="A865" t="s">
        <v>179</v>
      </c>
      <c r="B865" t="s">
        <v>223</v>
      </c>
      <c r="C865" t="s">
        <v>224</v>
      </c>
      <c r="D865" t="s">
        <v>712</v>
      </c>
      <c r="E865">
        <v>83919577</v>
      </c>
      <c r="F865" t="s">
        <v>713</v>
      </c>
      <c r="G865" s="3">
        <v>46723</v>
      </c>
      <c r="H865">
        <v>18</v>
      </c>
      <c r="I865">
        <v>98</v>
      </c>
      <c r="J865">
        <v>960</v>
      </c>
      <c r="K865" s="4">
        <v>84480</v>
      </c>
      <c r="L865" s="4">
        <v>12770.571428571429</v>
      </c>
      <c r="M865" s="4">
        <v>7.5172830391301432E-2</v>
      </c>
      <c r="N865" t="s">
        <v>25</v>
      </c>
      <c r="O865" t="str">
        <f t="shared" si="130"/>
        <v>Low</v>
      </c>
      <c r="P865" t="str">
        <f t="shared" si="131"/>
        <v>Low</v>
      </c>
      <c r="Q865" t="str">
        <f t="shared" si="132"/>
        <v>Low</v>
      </c>
      <c r="R865" t="s">
        <v>3310</v>
      </c>
      <c r="S865" s="4">
        <f t="shared" ca="1" si="133"/>
        <v>526</v>
      </c>
      <c r="T865">
        <f t="shared" si="134"/>
        <v>1</v>
      </c>
      <c r="U865">
        <f t="shared" si="135"/>
        <v>1</v>
      </c>
      <c r="V865">
        <f t="shared" si="136"/>
        <v>1</v>
      </c>
      <c r="W865">
        <f t="shared" si="137"/>
        <v>2</v>
      </c>
      <c r="X865">
        <f t="shared" si="138"/>
        <v>1.0999999999999999</v>
      </c>
      <c r="Y865" t="str">
        <f t="shared" si="139"/>
        <v>Healthy</v>
      </c>
    </row>
    <row r="866" spans="1:25" x14ac:dyDescent="0.35">
      <c r="A866" t="s">
        <v>179</v>
      </c>
      <c r="B866" t="s">
        <v>223</v>
      </c>
      <c r="C866" t="s">
        <v>224</v>
      </c>
      <c r="D866" t="s">
        <v>712</v>
      </c>
      <c r="E866">
        <v>83919577</v>
      </c>
      <c r="F866" t="s">
        <v>713</v>
      </c>
      <c r="G866" s="3">
        <v>46719</v>
      </c>
      <c r="H866">
        <v>18</v>
      </c>
      <c r="I866">
        <v>98</v>
      </c>
      <c r="J866">
        <v>6220</v>
      </c>
      <c r="K866" s="4">
        <v>547360</v>
      </c>
      <c r="L866" s="4">
        <v>12770.571428571429</v>
      </c>
      <c r="M866" s="4">
        <v>0.48705729691030714</v>
      </c>
      <c r="N866" t="s">
        <v>25</v>
      </c>
      <c r="O866" t="str">
        <f t="shared" si="130"/>
        <v>Low</v>
      </c>
      <c r="P866" t="str">
        <f t="shared" si="131"/>
        <v>Low</v>
      </c>
      <c r="Q866" t="str">
        <f t="shared" si="132"/>
        <v>Low</v>
      </c>
      <c r="R866" t="s">
        <v>3309</v>
      </c>
      <c r="S866" s="4">
        <f t="shared" ca="1" si="133"/>
        <v>522</v>
      </c>
      <c r="T866">
        <f t="shared" si="134"/>
        <v>1</v>
      </c>
      <c r="U866">
        <f t="shared" si="135"/>
        <v>1</v>
      </c>
      <c r="V866">
        <f t="shared" si="136"/>
        <v>1</v>
      </c>
      <c r="W866">
        <f t="shared" si="137"/>
        <v>3</v>
      </c>
      <c r="X866">
        <f t="shared" si="138"/>
        <v>1.2</v>
      </c>
      <c r="Y866" t="str">
        <f t="shared" si="139"/>
        <v>Healthy</v>
      </c>
    </row>
    <row r="867" spans="1:25" x14ac:dyDescent="0.35">
      <c r="A867" t="s">
        <v>179</v>
      </c>
      <c r="B867" t="s">
        <v>223</v>
      </c>
      <c r="C867" t="s">
        <v>224</v>
      </c>
      <c r="D867" t="s">
        <v>712</v>
      </c>
      <c r="E867">
        <v>83919577</v>
      </c>
      <c r="F867" t="s">
        <v>713</v>
      </c>
      <c r="G867" s="3">
        <v>46712</v>
      </c>
      <c r="H867">
        <v>18</v>
      </c>
      <c r="I867">
        <v>96</v>
      </c>
      <c r="J867">
        <v>1538</v>
      </c>
      <c r="K867" s="4">
        <v>135344</v>
      </c>
      <c r="L867" s="4">
        <v>12770.571428571429</v>
      </c>
      <c r="M867" s="4">
        <v>0.12043313868939749</v>
      </c>
      <c r="N867" t="s">
        <v>25</v>
      </c>
      <c r="O867" t="str">
        <f t="shared" si="130"/>
        <v>Low</v>
      </c>
      <c r="P867" t="str">
        <f t="shared" si="131"/>
        <v>Low</v>
      </c>
      <c r="Q867" t="str">
        <f t="shared" si="132"/>
        <v>Low</v>
      </c>
      <c r="R867" t="s">
        <v>3309</v>
      </c>
      <c r="S867" s="4">
        <f t="shared" ca="1" si="133"/>
        <v>515</v>
      </c>
      <c r="T867">
        <f t="shared" si="134"/>
        <v>1</v>
      </c>
      <c r="U867">
        <f t="shared" si="135"/>
        <v>1</v>
      </c>
      <c r="V867">
        <f t="shared" si="136"/>
        <v>1</v>
      </c>
      <c r="W867">
        <f t="shared" si="137"/>
        <v>3</v>
      </c>
      <c r="X867">
        <f t="shared" si="138"/>
        <v>1.2</v>
      </c>
      <c r="Y867" t="str">
        <f t="shared" si="139"/>
        <v>Healthy</v>
      </c>
    </row>
    <row r="868" spans="1:25" x14ac:dyDescent="0.35">
      <c r="A868" t="s">
        <v>29</v>
      </c>
      <c r="B868" t="s">
        <v>30</v>
      </c>
      <c r="C868" t="s">
        <v>449</v>
      </c>
      <c r="D868" t="s">
        <v>715</v>
      </c>
      <c r="E868">
        <v>82316489</v>
      </c>
      <c r="F868" t="s">
        <v>716</v>
      </c>
      <c r="G868" s="3">
        <v>45786</v>
      </c>
      <c r="H868">
        <v>36</v>
      </c>
      <c r="I868">
        <v>0</v>
      </c>
      <c r="J868">
        <v>1</v>
      </c>
      <c r="K868" s="4">
        <v>750.45</v>
      </c>
      <c r="L868" s="4">
        <f>0</f>
        <v>0</v>
      </c>
      <c r="M868" s="4">
        <f>999</f>
        <v>999</v>
      </c>
      <c r="N868" t="s">
        <v>19</v>
      </c>
      <c r="O868" t="str">
        <f t="shared" si="130"/>
        <v>High</v>
      </c>
      <c r="P868" t="str">
        <f t="shared" si="131"/>
        <v>High</v>
      </c>
      <c r="Q868" t="str">
        <f t="shared" si="132"/>
        <v>High</v>
      </c>
      <c r="R868" t="s">
        <v>3317</v>
      </c>
      <c r="S868" s="4">
        <f t="shared" ca="1" si="133"/>
        <v>-411</v>
      </c>
      <c r="T868">
        <f t="shared" si="134"/>
        <v>3</v>
      </c>
      <c r="U868">
        <f t="shared" si="135"/>
        <v>3</v>
      </c>
      <c r="V868">
        <f t="shared" si="136"/>
        <v>3</v>
      </c>
      <c r="W868">
        <f t="shared" si="137"/>
        <v>1</v>
      </c>
      <c r="X868">
        <f t="shared" si="138"/>
        <v>2.8000000000000003</v>
      </c>
      <c r="Y868" t="str">
        <f t="shared" si="139"/>
        <v>Move Immediately</v>
      </c>
    </row>
    <row r="869" spans="1:25" x14ac:dyDescent="0.35">
      <c r="A869" t="s">
        <v>90</v>
      </c>
      <c r="B869" t="s">
        <v>217</v>
      </c>
      <c r="C869" t="s">
        <v>542</v>
      </c>
      <c r="D869" t="s">
        <v>717</v>
      </c>
      <c r="E869">
        <v>83911632</v>
      </c>
      <c r="F869" t="s">
        <v>718</v>
      </c>
      <c r="G869" s="3">
        <v>46886</v>
      </c>
      <c r="H869">
        <v>24</v>
      </c>
      <c r="I869">
        <v>96</v>
      </c>
      <c r="J869">
        <v>270</v>
      </c>
      <c r="K869" s="4">
        <v>672516</v>
      </c>
      <c r="L869" s="4">
        <f>0</f>
        <v>0</v>
      </c>
      <c r="M869" s="4">
        <f>999</f>
        <v>999</v>
      </c>
      <c r="N869" t="s">
        <v>19</v>
      </c>
      <c r="O869" t="str">
        <f t="shared" si="130"/>
        <v>Low</v>
      </c>
      <c r="P869" t="str">
        <f t="shared" si="131"/>
        <v>High</v>
      </c>
      <c r="Q869" t="str">
        <f t="shared" si="132"/>
        <v>High</v>
      </c>
      <c r="R869" t="s">
        <v>3309</v>
      </c>
      <c r="S869" s="4">
        <f t="shared" ca="1" si="133"/>
        <v>689</v>
      </c>
      <c r="T869">
        <f t="shared" si="134"/>
        <v>1</v>
      </c>
      <c r="U869">
        <f t="shared" si="135"/>
        <v>3</v>
      </c>
      <c r="V869">
        <f t="shared" si="136"/>
        <v>3</v>
      </c>
      <c r="W869">
        <f t="shared" si="137"/>
        <v>3</v>
      </c>
      <c r="X869">
        <f t="shared" si="138"/>
        <v>2.2000000000000002</v>
      </c>
      <c r="Y869" t="str">
        <f t="shared" si="139"/>
        <v>High Priority</v>
      </c>
    </row>
    <row r="870" spans="1:25" x14ac:dyDescent="0.35">
      <c r="A870" t="s">
        <v>29</v>
      </c>
      <c r="B870" t="s">
        <v>30</v>
      </c>
      <c r="C870" t="s">
        <v>449</v>
      </c>
      <c r="D870" t="s">
        <v>715</v>
      </c>
      <c r="E870">
        <v>82316489</v>
      </c>
      <c r="F870" t="s">
        <v>716</v>
      </c>
      <c r="G870" s="3">
        <v>46095</v>
      </c>
      <c r="H870">
        <v>36</v>
      </c>
      <c r="I870">
        <v>0</v>
      </c>
      <c r="J870">
        <v>2</v>
      </c>
      <c r="K870" s="4">
        <v>1500.9</v>
      </c>
      <c r="L870" s="4">
        <f>0</f>
        <v>0</v>
      </c>
      <c r="M870" s="4">
        <f>999</f>
        <v>999</v>
      </c>
      <c r="N870" t="s">
        <v>19</v>
      </c>
      <c r="O870" t="str">
        <f t="shared" si="130"/>
        <v>High</v>
      </c>
      <c r="P870" t="str">
        <f t="shared" si="131"/>
        <v>High</v>
      </c>
      <c r="Q870" t="str">
        <f t="shared" si="132"/>
        <v>High</v>
      </c>
      <c r="R870" t="s">
        <v>3317</v>
      </c>
      <c r="S870" s="4">
        <f t="shared" ca="1" si="133"/>
        <v>-102</v>
      </c>
      <c r="T870">
        <f t="shared" si="134"/>
        <v>3</v>
      </c>
      <c r="U870">
        <f t="shared" si="135"/>
        <v>3</v>
      </c>
      <c r="V870">
        <f t="shared" si="136"/>
        <v>3</v>
      </c>
      <c r="W870">
        <f t="shared" si="137"/>
        <v>1</v>
      </c>
      <c r="X870">
        <f t="shared" si="138"/>
        <v>2.8000000000000003</v>
      </c>
      <c r="Y870" t="str">
        <f t="shared" si="139"/>
        <v>Move Immediately</v>
      </c>
    </row>
    <row r="871" spans="1:25" x14ac:dyDescent="0.35">
      <c r="A871" t="s">
        <v>90</v>
      </c>
      <c r="B871" t="s">
        <v>217</v>
      </c>
      <c r="C871" t="s">
        <v>542</v>
      </c>
      <c r="D871" t="s">
        <v>717</v>
      </c>
      <c r="E871">
        <v>83911632</v>
      </c>
      <c r="F871" t="s">
        <v>718</v>
      </c>
      <c r="G871" s="3">
        <v>46863</v>
      </c>
      <c r="H871">
        <v>24</v>
      </c>
      <c r="I871">
        <v>93</v>
      </c>
      <c r="J871">
        <v>485</v>
      </c>
      <c r="K871" s="4">
        <v>1208038</v>
      </c>
      <c r="L871" s="4">
        <f>0</f>
        <v>0</v>
      </c>
      <c r="M871" s="4">
        <f>999</f>
        <v>999</v>
      </c>
      <c r="N871" t="s">
        <v>19</v>
      </c>
      <c r="O871" t="str">
        <f t="shared" si="130"/>
        <v>Low</v>
      </c>
      <c r="P871" t="str">
        <f t="shared" si="131"/>
        <v>High</v>
      </c>
      <c r="Q871" t="str">
        <f t="shared" si="132"/>
        <v>High</v>
      </c>
      <c r="R871" t="s">
        <v>3309</v>
      </c>
      <c r="S871" s="4">
        <f t="shared" ca="1" si="133"/>
        <v>666</v>
      </c>
      <c r="T871">
        <f t="shared" si="134"/>
        <v>1</v>
      </c>
      <c r="U871">
        <f t="shared" si="135"/>
        <v>3</v>
      </c>
      <c r="V871">
        <f t="shared" si="136"/>
        <v>3</v>
      </c>
      <c r="W871">
        <f t="shared" si="137"/>
        <v>3</v>
      </c>
      <c r="X871">
        <f t="shared" si="138"/>
        <v>2.2000000000000002</v>
      </c>
      <c r="Y871" t="str">
        <f t="shared" si="139"/>
        <v>High Priority</v>
      </c>
    </row>
    <row r="872" spans="1:25" x14ac:dyDescent="0.35">
      <c r="A872" t="s">
        <v>90</v>
      </c>
      <c r="B872" t="s">
        <v>217</v>
      </c>
      <c r="C872" t="s">
        <v>542</v>
      </c>
      <c r="D872" t="s">
        <v>717</v>
      </c>
      <c r="E872">
        <v>83911632</v>
      </c>
      <c r="F872" t="s">
        <v>718</v>
      </c>
      <c r="G872" s="3">
        <v>46912</v>
      </c>
      <c r="H872">
        <v>24</v>
      </c>
      <c r="I872">
        <v>100</v>
      </c>
      <c r="J872">
        <v>234</v>
      </c>
      <c r="K872" s="4">
        <v>582847.19999999995</v>
      </c>
      <c r="L872" s="4">
        <f>0</f>
        <v>0</v>
      </c>
      <c r="M872" s="4">
        <f>999</f>
        <v>999</v>
      </c>
      <c r="N872" t="s">
        <v>19</v>
      </c>
      <c r="O872" t="str">
        <f t="shared" si="130"/>
        <v>Low</v>
      </c>
      <c r="P872" t="str">
        <f t="shared" si="131"/>
        <v>High</v>
      </c>
      <c r="Q872" t="str">
        <f t="shared" si="132"/>
        <v>High</v>
      </c>
      <c r="R872" t="s">
        <v>3309</v>
      </c>
      <c r="S872" s="4">
        <f t="shared" ca="1" si="133"/>
        <v>715</v>
      </c>
      <c r="T872">
        <f t="shared" si="134"/>
        <v>1</v>
      </c>
      <c r="U872">
        <f t="shared" si="135"/>
        <v>3</v>
      </c>
      <c r="V872">
        <f t="shared" si="136"/>
        <v>3</v>
      </c>
      <c r="W872">
        <f t="shared" si="137"/>
        <v>3</v>
      </c>
      <c r="X872">
        <f t="shared" si="138"/>
        <v>2.2000000000000002</v>
      </c>
      <c r="Y872" t="str">
        <f t="shared" si="139"/>
        <v>High Priority</v>
      </c>
    </row>
    <row r="873" spans="1:25" x14ac:dyDescent="0.35">
      <c r="A873" t="s">
        <v>90</v>
      </c>
      <c r="B873" t="s">
        <v>217</v>
      </c>
      <c r="C873" t="s">
        <v>542</v>
      </c>
      <c r="D873" t="s">
        <v>717</v>
      </c>
      <c r="E873">
        <v>83911632</v>
      </c>
      <c r="F873" t="s">
        <v>718</v>
      </c>
      <c r="G873" s="3">
        <v>46906</v>
      </c>
      <c r="H873">
        <v>24</v>
      </c>
      <c r="I873">
        <v>99</v>
      </c>
      <c r="J873">
        <v>117</v>
      </c>
      <c r="K873" s="4">
        <v>291423.59999999998</v>
      </c>
      <c r="L873" s="4">
        <f>0</f>
        <v>0</v>
      </c>
      <c r="M873" s="4">
        <f>999</f>
        <v>999</v>
      </c>
      <c r="N873" t="s">
        <v>19</v>
      </c>
      <c r="O873" t="str">
        <f t="shared" si="130"/>
        <v>Low</v>
      </c>
      <c r="P873" t="str">
        <f t="shared" si="131"/>
        <v>High</v>
      </c>
      <c r="Q873" t="str">
        <f t="shared" si="132"/>
        <v>High</v>
      </c>
      <c r="R873" t="s">
        <v>3309</v>
      </c>
      <c r="S873" s="4">
        <f t="shared" ca="1" si="133"/>
        <v>709</v>
      </c>
      <c r="T873">
        <f t="shared" si="134"/>
        <v>1</v>
      </c>
      <c r="U873">
        <f t="shared" si="135"/>
        <v>3</v>
      </c>
      <c r="V873">
        <f t="shared" si="136"/>
        <v>3</v>
      </c>
      <c r="W873">
        <f t="shared" si="137"/>
        <v>3</v>
      </c>
      <c r="X873">
        <f t="shared" si="138"/>
        <v>2.2000000000000002</v>
      </c>
      <c r="Y873" t="str">
        <f t="shared" si="139"/>
        <v>High Priority</v>
      </c>
    </row>
    <row r="874" spans="1:25" x14ac:dyDescent="0.35">
      <c r="A874" t="s">
        <v>20</v>
      </c>
      <c r="B874" t="s">
        <v>21</v>
      </c>
      <c r="C874" t="s">
        <v>51</v>
      </c>
      <c r="D874" t="s">
        <v>719</v>
      </c>
      <c r="E874">
        <v>82320509</v>
      </c>
      <c r="F874" t="s">
        <v>720</v>
      </c>
      <c r="G874" s="3">
        <v>47020</v>
      </c>
      <c r="H874">
        <v>36</v>
      </c>
      <c r="I874">
        <v>77</v>
      </c>
      <c r="J874">
        <v>88</v>
      </c>
      <c r="K874" s="4">
        <v>3731.2</v>
      </c>
      <c r="L874" s="4">
        <f>0</f>
        <v>0</v>
      </c>
      <c r="M874" s="4">
        <f>999</f>
        <v>999</v>
      </c>
      <c r="N874" t="s">
        <v>19</v>
      </c>
      <c r="O874" t="str">
        <f t="shared" si="130"/>
        <v>Low</v>
      </c>
      <c r="P874" t="str">
        <f t="shared" si="131"/>
        <v>High</v>
      </c>
      <c r="Q874" t="str">
        <f t="shared" si="132"/>
        <v>High</v>
      </c>
      <c r="R874" t="s">
        <v>3317</v>
      </c>
      <c r="S874" s="4">
        <f t="shared" ca="1" si="133"/>
        <v>823</v>
      </c>
      <c r="T874">
        <f t="shared" si="134"/>
        <v>1</v>
      </c>
      <c r="U874">
        <f t="shared" si="135"/>
        <v>3</v>
      </c>
      <c r="V874">
        <f t="shared" si="136"/>
        <v>3</v>
      </c>
      <c r="W874">
        <f t="shared" si="137"/>
        <v>1</v>
      </c>
      <c r="X874">
        <f t="shared" si="138"/>
        <v>2</v>
      </c>
      <c r="Y874" t="str">
        <f t="shared" si="139"/>
        <v>Monitor</v>
      </c>
    </row>
    <row r="875" spans="1:25" x14ac:dyDescent="0.35">
      <c r="A875" t="s">
        <v>90</v>
      </c>
      <c r="B875" t="s">
        <v>217</v>
      </c>
      <c r="C875" t="s">
        <v>542</v>
      </c>
      <c r="D875" t="s">
        <v>717</v>
      </c>
      <c r="E875">
        <v>83911632</v>
      </c>
      <c r="F875" t="s">
        <v>718</v>
      </c>
      <c r="G875" s="3">
        <v>46878</v>
      </c>
      <c r="H875">
        <v>24</v>
      </c>
      <c r="I875">
        <v>95</v>
      </c>
      <c r="J875">
        <v>117</v>
      </c>
      <c r="K875" s="4">
        <v>291423.59999999998</v>
      </c>
      <c r="L875" s="4">
        <f>0</f>
        <v>0</v>
      </c>
      <c r="M875" s="4">
        <f>999</f>
        <v>999</v>
      </c>
      <c r="N875" t="s">
        <v>19</v>
      </c>
      <c r="O875" t="str">
        <f t="shared" si="130"/>
        <v>Low</v>
      </c>
      <c r="P875" t="str">
        <f t="shared" si="131"/>
        <v>High</v>
      </c>
      <c r="Q875" t="str">
        <f t="shared" si="132"/>
        <v>High</v>
      </c>
      <c r="R875" t="s">
        <v>3309</v>
      </c>
      <c r="S875" s="4">
        <f t="shared" ca="1" si="133"/>
        <v>681</v>
      </c>
      <c r="T875">
        <f t="shared" si="134"/>
        <v>1</v>
      </c>
      <c r="U875">
        <f t="shared" si="135"/>
        <v>3</v>
      </c>
      <c r="V875">
        <f t="shared" si="136"/>
        <v>3</v>
      </c>
      <c r="W875">
        <f t="shared" si="137"/>
        <v>3</v>
      </c>
      <c r="X875">
        <f t="shared" si="138"/>
        <v>2.2000000000000002</v>
      </c>
      <c r="Y875" t="str">
        <f t="shared" si="139"/>
        <v>High Priority</v>
      </c>
    </row>
    <row r="876" spans="1:25" x14ac:dyDescent="0.35">
      <c r="A876" t="s">
        <v>20</v>
      </c>
      <c r="B876" t="s">
        <v>21</v>
      </c>
      <c r="C876" t="s">
        <v>51</v>
      </c>
      <c r="D876" t="s">
        <v>719</v>
      </c>
      <c r="E876">
        <v>82320509</v>
      </c>
      <c r="F876" t="s">
        <v>720</v>
      </c>
      <c r="G876" s="3">
        <v>47020</v>
      </c>
      <c r="H876">
        <v>36</v>
      </c>
      <c r="I876">
        <v>77</v>
      </c>
      <c r="J876">
        <v>2</v>
      </c>
      <c r="K876" s="4">
        <v>84.8</v>
      </c>
      <c r="L876" s="4">
        <f>0</f>
        <v>0</v>
      </c>
      <c r="M876" s="4">
        <f>999</f>
        <v>999</v>
      </c>
      <c r="N876" t="s">
        <v>19</v>
      </c>
      <c r="O876" t="str">
        <f t="shared" si="130"/>
        <v>Low</v>
      </c>
      <c r="P876" t="str">
        <f t="shared" si="131"/>
        <v>High</v>
      </c>
      <c r="Q876" t="str">
        <f t="shared" si="132"/>
        <v>High</v>
      </c>
      <c r="R876" t="s">
        <v>3317</v>
      </c>
      <c r="S876" s="4">
        <f t="shared" ca="1" si="133"/>
        <v>823</v>
      </c>
      <c r="T876">
        <f t="shared" si="134"/>
        <v>1</v>
      </c>
      <c r="U876">
        <f t="shared" si="135"/>
        <v>3</v>
      </c>
      <c r="V876">
        <f t="shared" si="136"/>
        <v>3</v>
      </c>
      <c r="W876">
        <f t="shared" si="137"/>
        <v>1</v>
      </c>
      <c r="X876">
        <f t="shared" si="138"/>
        <v>2</v>
      </c>
      <c r="Y876" t="str">
        <f t="shared" si="139"/>
        <v>Monitor</v>
      </c>
    </row>
    <row r="877" spans="1:25" x14ac:dyDescent="0.35">
      <c r="A877" t="s">
        <v>90</v>
      </c>
      <c r="B877" t="s">
        <v>217</v>
      </c>
      <c r="C877" t="s">
        <v>542</v>
      </c>
      <c r="D877" t="s">
        <v>721</v>
      </c>
      <c r="E877">
        <v>83911635</v>
      </c>
      <c r="F877" t="s">
        <v>722</v>
      </c>
      <c r="G877" s="3">
        <v>46857</v>
      </c>
      <c r="H877">
        <v>24</v>
      </c>
      <c r="I877">
        <v>92</v>
      </c>
      <c r="J877">
        <v>123</v>
      </c>
      <c r="K877" s="4">
        <v>5318.52</v>
      </c>
      <c r="L877" s="4">
        <v>20926.571428571428</v>
      </c>
      <c r="M877" s="4">
        <v>5.8776947967723878E-3</v>
      </c>
      <c r="N877" t="s">
        <v>25</v>
      </c>
      <c r="O877" t="str">
        <f t="shared" si="130"/>
        <v>Low</v>
      </c>
      <c r="P877" t="str">
        <f t="shared" si="131"/>
        <v>Low</v>
      </c>
      <c r="Q877" t="str">
        <f t="shared" si="132"/>
        <v>Low</v>
      </c>
      <c r="R877" t="s">
        <v>3317</v>
      </c>
      <c r="S877" s="4">
        <f t="shared" ca="1" si="133"/>
        <v>660</v>
      </c>
      <c r="T877">
        <f t="shared" si="134"/>
        <v>1</v>
      </c>
      <c r="U877">
        <f t="shared" si="135"/>
        <v>1</v>
      </c>
      <c r="V877">
        <f t="shared" si="136"/>
        <v>1</v>
      </c>
      <c r="W877">
        <f t="shared" si="137"/>
        <v>1</v>
      </c>
      <c r="X877">
        <f t="shared" si="138"/>
        <v>0.99999999999999989</v>
      </c>
      <c r="Y877" t="str">
        <f t="shared" si="139"/>
        <v>Healthy</v>
      </c>
    </row>
    <row r="878" spans="1:25" x14ac:dyDescent="0.35">
      <c r="A878" t="s">
        <v>90</v>
      </c>
      <c r="B878" t="s">
        <v>217</v>
      </c>
      <c r="C878" t="s">
        <v>542</v>
      </c>
      <c r="D878" t="s">
        <v>721</v>
      </c>
      <c r="E878">
        <v>83911635</v>
      </c>
      <c r="F878" t="s">
        <v>722</v>
      </c>
      <c r="G878" s="3">
        <v>46894</v>
      </c>
      <c r="H878">
        <v>24</v>
      </c>
      <c r="I878">
        <v>98</v>
      </c>
      <c r="J878">
        <v>1456</v>
      </c>
      <c r="K878" s="4">
        <v>62957.440000000002</v>
      </c>
      <c r="L878" s="4">
        <v>20926.571428571428</v>
      </c>
      <c r="M878" s="4">
        <v>6.9576614830086161E-2</v>
      </c>
      <c r="N878" t="s">
        <v>25</v>
      </c>
      <c r="O878" t="str">
        <f t="shared" si="130"/>
        <v>Low</v>
      </c>
      <c r="P878" t="str">
        <f t="shared" si="131"/>
        <v>Low</v>
      </c>
      <c r="Q878" t="str">
        <f t="shared" si="132"/>
        <v>Low</v>
      </c>
      <c r="R878" t="s">
        <v>3317</v>
      </c>
      <c r="S878" s="4">
        <f t="shared" ca="1" si="133"/>
        <v>697</v>
      </c>
      <c r="T878">
        <f t="shared" si="134"/>
        <v>1</v>
      </c>
      <c r="U878">
        <f t="shared" si="135"/>
        <v>1</v>
      </c>
      <c r="V878">
        <f t="shared" si="136"/>
        <v>1</v>
      </c>
      <c r="W878">
        <f t="shared" si="137"/>
        <v>1</v>
      </c>
      <c r="X878">
        <f t="shared" si="138"/>
        <v>0.99999999999999989</v>
      </c>
      <c r="Y878" t="str">
        <f t="shared" si="139"/>
        <v>Healthy</v>
      </c>
    </row>
    <row r="879" spans="1:25" x14ac:dyDescent="0.35">
      <c r="A879" t="s">
        <v>90</v>
      </c>
      <c r="B879" t="s">
        <v>217</v>
      </c>
      <c r="C879" t="s">
        <v>542</v>
      </c>
      <c r="D879" t="s">
        <v>721</v>
      </c>
      <c r="E879">
        <v>83911635</v>
      </c>
      <c r="F879" t="s">
        <v>722</v>
      </c>
      <c r="G879" s="3">
        <v>46889</v>
      </c>
      <c r="H879">
        <v>24</v>
      </c>
      <c r="I879">
        <v>97</v>
      </c>
      <c r="J879">
        <v>1472</v>
      </c>
      <c r="K879" s="4">
        <v>63649.279999999999</v>
      </c>
      <c r="L879" s="4">
        <v>20926.571428571428</v>
      </c>
      <c r="M879" s="4">
        <v>7.0341193015032152E-2</v>
      </c>
      <c r="N879" t="s">
        <v>25</v>
      </c>
      <c r="O879" t="str">
        <f t="shared" si="130"/>
        <v>Low</v>
      </c>
      <c r="P879" t="str">
        <f t="shared" si="131"/>
        <v>Low</v>
      </c>
      <c r="Q879" t="str">
        <f t="shared" si="132"/>
        <v>Low</v>
      </c>
      <c r="R879" t="s">
        <v>3317</v>
      </c>
      <c r="S879" s="4">
        <f t="shared" ca="1" si="133"/>
        <v>692</v>
      </c>
      <c r="T879">
        <f t="shared" si="134"/>
        <v>1</v>
      </c>
      <c r="U879">
        <f t="shared" si="135"/>
        <v>1</v>
      </c>
      <c r="V879">
        <f t="shared" si="136"/>
        <v>1</v>
      </c>
      <c r="W879">
        <f t="shared" si="137"/>
        <v>1</v>
      </c>
      <c r="X879">
        <f t="shared" si="138"/>
        <v>0.99999999999999989</v>
      </c>
      <c r="Y879" t="str">
        <f t="shared" si="139"/>
        <v>Healthy</v>
      </c>
    </row>
    <row r="880" spans="1:25" x14ac:dyDescent="0.35">
      <c r="A880" t="s">
        <v>90</v>
      </c>
      <c r="B880" t="s">
        <v>217</v>
      </c>
      <c r="C880" t="s">
        <v>542</v>
      </c>
      <c r="D880" t="s">
        <v>721</v>
      </c>
      <c r="E880">
        <v>83911635</v>
      </c>
      <c r="F880" t="s">
        <v>722</v>
      </c>
      <c r="G880" s="3">
        <v>46870</v>
      </c>
      <c r="H880">
        <v>24</v>
      </c>
      <c r="I880">
        <v>94</v>
      </c>
      <c r="J880">
        <v>791</v>
      </c>
      <c r="K880" s="4">
        <v>34202.839999999997</v>
      </c>
      <c r="L880" s="4">
        <v>20926.571428571428</v>
      </c>
      <c r="M880" s="4">
        <v>3.779883401826796E-2</v>
      </c>
      <c r="N880" t="s">
        <v>25</v>
      </c>
      <c r="O880" t="str">
        <f t="shared" si="130"/>
        <v>Low</v>
      </c>
      <c r="P880" t="str">
        <f t="shared" si="131"/>
        <v>Low</v>
      </c>
      <c r="Q880" t="str">
        <f t="shared" si="132"/>
        <v>Low</v>
      </c>
      <c r="R880" t="s">
        <v>3317</v>
      </c>
      <c r="S880" s="4">
        <f t="shared" ca="1" si="133"/>
        <v>673</v>
      </c>
      <c r="T880">
        <f t="shared" si="134"/>
        <v>1</v>
      </c>
      <c r="U880">
        <f t="shared" si="135"/>
        <v>1</v>
      </c>
      <c r="V880">
        <f t="shared" si="136"/>
        <v>1</v>
      </c>
      <c r="W880">
        <f t="shared" si="137"/>
        <v>1</v>
      </c>
      <c r="X880">
        <f t="shared" si="138"/>
        <v>0.99999999999999989</v>
      </c>
      <c r="Y880" t="str">
        <f t="shared" si="139"/>
        <v>Healthy</v>
      </c>
    </row>
    <row r="881" spans="1:25" x14ac:dyDescent="0.35">
      <c r="A881" t="s">
        <v>90</v>
      </c>
      <c r="B881" t="s">
        <v>217</v>
      </c>
      <c r="C881" t="s">
        <v>542</v>
      </c>
      <c r="D881" t="s">
        <v>721</v>
      </c>
      <c r="E881">
        <v>83911635</v>
      </c>
      <c r="F881" t="s">
        <v>722</v>
      </c>
      <c r="G881" s="3">
        <v>46905</v>
      </c>
      <c r="H881">
        <v>24</v>
      </c>
      <c r="I881">
        <v>99</v>
      </c>
      <c r="J881">
        <v>8848</v>
      </c>
      <c r="K881" s="4">
        <v>382587.52</v>
      </c>
      <c r="L881" s="4">
        <v>20926.571428571428</v>
      </c>
      <c r="M881" s="4">
        <v>0.42281173627513896</v>
      </c>
      <c r="N881" t="s">
        <v>25</v>
      </c>
      <c r="O881" t="str">
        <f t="shared" si="130"/>
        <v>Low</v>
      </c>
      <c r="P881" t="str">
        <f t="shared" si="131"/>
        <v>Low</v>
      </c>
      <c r="Q881" t="str">
        <f t="shared" si="132"/>
        <v>Low</v>
      </c>
      <c r="R881" t="s">
        <v>3309</v>
      </c>
      <c r="S881" s="4">
        <f t="shared" ca="1" si="133"/>
        <v>708</v>
      </c>
      <c r="T881">
        <f t="shared" si="134"/>
        <v>1</v>
      </c>
      <c r="U881">
        <f t="shared" si="135"/>
        <v>1</v>
      </c>
      <c r="V881">
        <f t="shared" si="136"/>
        <v>1</v>
      </c>
      <c r="W881">
        <f t="shared" si="137"/>
        <v>3</v>
      </c>
      <c r="X881">
        <f t="shared" si="138"/>
        <v>1.2</v>
      </c>
      <c r="Y881" t="str">
        <f t="shared" si="139"/>
        <v>Healthy</v>
      </c>
    </row>
    <row r="882" spans="1:25" x14ac:dyDescent="0.35">
      <c r="A882" t="s">
        <v>90</v>
      </c>
      <c r="B882" t="s">
        <v>217</v>
      </c>
      <c r="C882" t="s">
        <v>542</v>
      </c>
      <c r="D882" t="s">
        <v>721</v>
      </c>
      <c r="E882">
        <v>83911635</v>
      </c>
      <c r="F882" t="s">
        <v>722</v>
      </c>
      <c r="G882" s="3">
        <v>46895</v>
      </c>
      <c r="H882">
        <v>24</v>
      </c>
      <c r="I882">
        <v>98</v>
      </c>
      <c r="J882">
        <v>40</v>
      </c>
      <c r="K882" s="4">
        <v>1729.6</v>
      </c>
      <c r="L882" s="4">
        <v>20926.571428571428</v>
      </c>
      <c r="M882" s="4">
        <v>1.9114454623650043E-3</v>
      </c>
      <c r="N882" t="s">
        <v>25</v>
      </c>
      <c r="O882" t="str">
        <f t="shared" si="130"/>
        <v>Low</v>
      </c>
      <c r="P882" t="str">
        <f t="shared" si="131"/>
        <v>Low</v>
      </c>
      <c r="Q882" t="str">
        <f t="shared" si="132"/>
        <v>Low</v>
      </c>
      <c r="R882" t="s">
        <v>3317</v>
      </c>
      <c r="S882" s="4">
        <f t="shared" ca="1" si="133"/>
        <v>698</v>
      </c>
      <c r="T882">
        <f t="shared" si="134"/>
        <v>1</v>
      </c>
      <c r="U882">
        <f t="shared" si="135"/>
        <v>1</v>
      </c>
      <c r="V882">
        <f t="shared" si="136"/>
        <v>1</v>
      </c>
      <c r="W882">
        <f t="shared" si="137"/>
        <v>1</v>
      </c>
      <c r="X882">
        <f t="shared" si="138"/>
        <v>0.99999999999999989</v>
      </c>
      <c r="Y882" t="str">
        <f t="shared" si="139"/>
        <v>Healthy</v>
      </c>
    </row>
    <row r="883" spans="1:25" x14ac:dyDescent="0.35">
      <c r="A883" t="s">
        <v>90</v>
      </c>
      <c r="B883" t="s">
        <v>217</v>
      </c>
      <c r="C883" t="s">
        <v>542</v>
      </c>
      <c r="D883" t="s">
        <v>721</v>
      </c>
      <c r="E883">
        <v>83911635</v>
      </c>
      <c r="F883" t="s">
        <v>722</v>
      </c>
      <c r="G883" s="3">
        <v>46873</v>
      </c>
      <c r="H883">
        <v>24</v>
      </c>
      <c r="I883">
        <v>95</v>
      </c>
      <c r="J883">
        <v>14631</v>
      </c>
      <c r="K883" s="4">
        <v>632644.43999999994</v>
      </c>
      <c r="L883" s="4">
        <v>20926.571428571428</v>
      </c>
      <c r="M883" s="4">
        <v>0.69915896399655941</v>
      </c>
      <c r="N883" t="s">
        <v>25</v>
      </c>
      <c r="O883" t="str">
        <f t="shared" si="130"/>
        <v>Low</v>
      </c>
      <c r="P883" t="str">
        <f t="shared" si="131"/>
        <v>Low</v>
      </c>
      <c r="Q883" t="str">
        <f t="shared" si="132"/>
        <v>Low</v>
      </c>
      <c r="R883" t="s">
        <v>3309</v>
      </c>
      <c r="S883" s="4">
        <f t="shared" ca="1" si="133"/>
        <v>676</v>
      </c>
      <c r="T883">
        <f t="shared" si="134"/>
        <v>1</v>
      </c>
      <c r="U883">
        <f t="shared" si="135"/>
        <v>1</v>
      </c>
      <c r="V883">
        <f t="shared" si="136"/>
        <v>1</v>
      </c>
      <c r="W883">
        <f t="shared" si="137"/>
        <v>3</v>
      </c>
      <c r="X883">
        <f t="shared" si="138"/>
        <v>1.2</v>
      </c>
      <c r="Y883" t="str">
        <f t="shared" si="139"/>
        <v>Healthy</v>
      </c>
    </row>
    <row r="884" spans="1:25" x14ac:dyDescent="0.35">
      <c r="A884" t="s">
        <v>90</v>
      </c>
      <c r="B884" t="s">
        <v>217</v>
      </c>
      <c r="C884" t="s">
        <v>542</v>
      </c>
      <c r="D884" t="s">
        <v>721</v>
      </c>
      <c r="E884">
        <v>83911635</v>
      </c>
      <c r="F884" t="s">
        <v>722</v>
      </c>
      <c r="G884" s="3">
        <v>46894</v>
      </c>
      <c r="H884">
        <v>24</v>
      </c>
      <c r="I884">
        <v>98</v>
      </c>
      <c r="J884">
        <v>1467</v>
      </c>
      <c r="K884" s="4">
        <v>63433.08</v>
      </c>
      <c r="L884" s="4">
        <v>20926.571428571428</v>
      </c>
      <c r="M884" s="4">
        <v>7.0102262332236528E-2</v>
      </c>
      <c r="N884" t="s">
        <v>25</v>
      </c>
      <c r="O884" t="str">
        <f t="shared" si="130"/>
        <v>Low</v>
      </c>
      <c r="P884" t="str">
        <f t="shared" si="131"/>
        <v>Low</v>
      </c>
      <c r="Q884" t="str">
        <f t="shared" si="132"/>
        <v>Low</v>
      </c>
      <c r="R884" t="s">
        <v>3317</v>
      </c>
      <c r="S884" s="4">
        <f t="shared" ca="1" si="133"/>
        <v>697</v>
      </c>
      <c r="T884">
        <f t="shared" si="134"/>
        <v>1</v>
      </c>
      <c r="U884">
        <f t="shared" si="135"/>
        <v>1</v>
      </c>
      <c r="V884">
        <f t="shared" si="136"/>
        <v>1</v>
      </c>
      <c r="W884">
        <f t="shared" si="137"/>
        <v>1</v>
      </c>
      <c r="X884">
        <f t="shared" si="138"/>
        <v>0.99999999999999989</v>
      </c>
      <c r="Y884" t="str">
        <f t="shared" si="139"/>
        <v>Healthy</v>
      </c>
    </row>
    <row r="885" spans="1:25" x14ac:dyDescent="0.35">
      <c r="A885" t="s">
        <v>90</v>
      </c>
      <c r="B885" t="s">
        <v>217</v>
      </c>
      <c r="C885" t="s">
        <v>542</v>
      </c>
      <c r="D885" t="s">
        <v>721</v>
      </c>
      <c r="E885">
        <v>83911635</v>
      </c>
      <c r="F885" t="s">
        <v>722</v>
      </c>
      <c r="G885" s="3">
        <v>46905</v>
      </c>
      <c r="H885">
        <v>24</v>
      </c>
      <c r="I885">
        <v>99</v>
      </c>
      <c r="J885">
        <v>1811</v>
      </c>
      <c r="K885" s="4">
        <v>78307.64</v>
      </c>
      <c r="L885" s="4">
        <v>20926.571428571428</v>
      </c>
      <c r="M885" s="4">
        <v>8.654069330857557E-2</v>
      </c>
      <c r="N885" t="s">
        <v>25</v>
      </c>
      <c r="O885" t="str">
        <f t="shared" si="130"/>
        <v>Low</v>
      </c>
      <c r="P885" t="str">
        <f t="shared" si="131"/>
        <v>Low</v>
      </c>
      <c r="Q885" t="str">
        <f t="shared" si="132"/>
        <v>Low</v>
      </c>
      <c r="R885" t="s">
        <v>3310</v>
      </c>
      <c r="S885" s="4">
        <f t="shared" ca="1" si="133"/>
        <v>708</v>
      </c>
      <c r="T885">
        <f t="shared" si="134"/>
        <v>1</v>
      </c>
      <c r="U885">
        <f t="shared" si="135"/>
        <v>1</v>
      </c>
      <c r="V885">
        <f t="shared" si="136"/>
        <v>1</v>
      </c>
      <c r="W885">
        <f t="shared" si="137"/>
        <v>2</v>
      </c>
      <c r="X885">
        <f t="shared" si="138"/>
        <v>1.0999999999999999</v>
      </c>
      <c r="Y885" t="str">
        <f t="shared" si="139"/>
        <v>Healthy</v>
      </c>
    </row>
    <row r="886" spans="1:25" x14ac:dyDescent="0.35">
      <c r="A886" t="s">
        <v>90</v>
      </c>
      <c r="B886" t="s">
        <v>217</v>
      </c>
      <c r="C886" t="s">
        <v>542</v>
      </c>
      <c r="D886" t="s">
        <v>721</v>
      </c>
      <c r="E886">
        <v>83911635</v>
      </c>
      <c r="F886" t="s">
        <v>722</v>
      </c>
      <c r="G886" s="3">
        <v>46907</v>
      </c>
      <c r="H886">
        <v>24</v>
      </c>
      <c r="I886">
        <v>99</v>
      </c>
      <c r="J886">
        <v>8944</v>
      </c>
      <c r="K886" s="4">
        <v>386738.56</v>
      </c>
      <c r="L886" s="4">
        <v>20926.571428571428</v>
      </c>
      <c r="M886" s="4">
        <v>0.42739920538481496</v>
      </c>
      <c r="N886" t="s">
        <v>25</v>
      </c>
      <c r="O886" t="str">
        <f t="shared" si="130"/>
        <v>Low</v>
      </c>
      <c r="P886" t="str">
        <f t="shared" si="131"/>
        <v>Low</v>
      </c>
      <c r="Q886" t="str">
        <f t="shared" si="132"/>
        <v>Low</v>
      </c>
      <c r="R886" t="s">
        <v>3309</v>
      </c>
      <c r="S886" s="4">
        <f t="shared" ca="1" si="133"/>
        <v>710</v>
      </c>
      <c r="T886">
        <f t="shared" si="134"/>
        <v>1</v>
      </c>
      <c r="U886">
        <f t="shared" si="135"/>
        <v>1</v>
      </c>
      <c r="V886">
        <f t="shared" si="136"/>
        <v>1</v>
      </c>
      <c r="W886">
        <f t="shared" si="137"/>
        <v>3</v>
      </c>
      <c r="X886">
        <f t="shared" si="138"/>
        <v>1.2</v>
      </c>
      <c r="Y886" t="str">
        <f t="shared" si="139"/>
        <v>Healthy</v>
      </c>
    </row>
    <row r="887" spans="1:25" x14ac:dyDescent="0.35">
      <c r="A887" t="s">
        <v>90</v>
      </c>
      <c r="B887" t="s">
        <v>217</v>
      </c>
      <c r="C887" t="s">
        <v>542</v>
      </c>
      <c r="D887" t="s">
        <v>721</v>
      </c>
      <c r="E887">
        <v>83911635</v>
      </c>
      <c r="F887" t="s">
        <v>722</v>
      </c>
      <c r="G887" s="3">
        <v>46880</v>
      </c>
      <c r="H887">
        <v>24</v>
      </c>
      <c r="I887">
        <v>96</v>
      </c>
      <c r="J887">
        <v>12573</v>
      </c>
      <c r="K887" s="4">
        <v>543656.52</v>
      </c>
      <c r="L887" s="4">
        <v>20926.571428571428</v>
      </c>
      <c r="M887" s="4">
        <v>0.60081509495787999</v>
      </c>
      <c r="N887" t="s">
        <v>25</v>
      </c>
      <c r="O887" t="str">
        <f t="shared" si="130"/>
        <v>Low</v>
      </c>
      <c r="P887" t="str">
        <f t="shared" si="131"/>
        <v>Low</v>
      </c>
      <c r="Q887" t="str">
        <f t="shared" si="132"/>
        <v>Low</v>
      </c>
      <c r="R887" t="s">
        <v>3309</v>
      </c>
      <c r="S887" s="4">
        <f t="shared" ca="1" si="133"/>
        <v>683</v>
      </c>
      <c r="T887">
        <f t="shared" si="134"/>
        <v>1</v>
      </c>
      <c r="U887">
        <f t="shared" si="135"/>
        <v>1</v>
      </c>
      <c r="V887">
        <f t="shared" si="136"/>
        <v>1</v>
      </c>
      <c r="W887">
        <f t="shared" si="137"/>
        <v>3</v>
      </c>
      <c r="X887">
        <f t="shared" si="138"/>
        <v>1.2</v>
      </c>
      <c r="Y887" t="str">
        <f t="shared" si="139"/>
        <v>Healthy</v>
      </c>
    </row>
    <row r="888" spans="1:25" x14ac:dyDescent="0.35">
      <c r="A888" t="s">
        <v>90</v>
      </c>
      <c r="B888" t="s">
        <v>217</v>
      </c>
      <c r="C888" t="s">
        <v>542</v>
      </c>
      <c r="D888" t="s">
        <v>721</v>
      </c>
      <c r="E888">
        <v>83911635</v>
      </c>
      <c r="F888" t="s">
        <v>722</v>
      </c>
      <c r="G888" s="3">
        <v>46888</v>
      </c>
      <c r="H888">
        <v>24</v>
      </c>
      <c r="I888">
        <v>97</v>
      </c>
      <c r="J888">
        <v>603</v>
      </c>
      <c r="K888" s="4">
        <v>26073.72</v>
      </c>
      <c r="L888" s="4">
        <v>20926.571428571428</v>
      </c>
      <c r="M888" s="4">
        <v>2.8815040345152438E-2</v>
      </c>
      <c r="N888" t="s">
        <v>25</v>
      </c>
      <c r="O888" t="str">
        <f t="shared" si="130"/>
        <v>Low</v>
      </c>
      <c r="P888" t="str">
        <f t="shared" si="131"/>
        <v>Low</v>
      </c>
      <c r="Q888" t="str">
        <f t="shared" si="132"/>
        <v>Low</v>
      </c>
      <c r="R888" t="s">
        <v>3317</v>
      </c>
      <c r="S888" s="4">
        <f t="shared" ca="1" si="133"/>
        <v>691</v>
      </c>
      <c r="T888">
        <f t="shared" si="134"/>
        <v>1</v>
      </c>
      <c r="U888">
        <f t="shared" si="135"/>
        <v>1</v>
      </c>
      <c r="V888">
        <f t="shared" si="136"/>
        <v>1</v>
      </c>
      <c r="W888">
        <f t="shared" si="137"/>
        <v>1</v>
      </c>
      <c r="X888">
        <f t="shared" si="138"/>
        <v>0.99999999999999989</v>
      </c>
      <c r="Y888" t="str">
        <f t="shared" si="139"/>
        <v>Healthy</v>
      </c>
    </row>
    <row r="889" spans="1:25" x14ac:dyDescent="0.35">
      <c r="A889" t="s">
        <v>90</v>
      </c>
      <c r="B889" t="s">
        <v>217</v>
      </c>
      <c r="C889" t="s">
        <v>542</v>
      </c>
      <c r="D889" t="s">
        <v>721</v>
      </c>
      <c r="E889">
        <v>83911635</v>
      </c>
      <c r="F889" t="s">
        <v>722</v>
      </c>
      <c r="G889" s="3">
        <v>46889</v>
      </c>
      <c r="H889">
        <v>24</v>
      </c>
      <c r="I889">
        <v>97</v>
      </c>
      <c r="J889">
        <v>1895</v>
      </c>
      <c r="K889" s="4">
        <v>81939.8</v>
      </c>
      <c r="L889" s="4">
        <v>20926.571428571428</v>
      </c>
      <c r="M889" s="4">
        <v>9.0554728779542071E-2</v>
      </c>
      <c r="N889" t="s">
        <v>25</v>
      </c>
      <c r="O889" t="str">
        <f t="shared" si="130"/>
        <v>Low</v>
      </c>
      <c r="P889" t="str">
        <f t="shared" si="131"/>
        <v>Low</v>
      </c>
      <c r="Q889" t="str">
        <f t="shared" si="132"/>
        <v>Low</v>
      </c>
      <c r="R889" t="s">
        <v>3310</v>
      </c>
      <c r="S889" s="4">
        <f t="shared" ca="1" si="133"/>
        <v>692</v>
      </c>
      <c r="T889">
        <f t="shared" si="134"/>
        <v>1</v>
      </c>
      <c r="U889">
        <f t="shared" si="135"/>
        <v>1</v>
      </c>
      <c r="V889">
        <f t="shared" si="136"/>
        <v>1</v>
      </c>
      <c r="W889">
        <f t="shared" si="137"/>
        <v>2</v>
      </c>
      <c r="X889">
        <f t="shared" si="138"/>
        <v>1.0999999999999999</v>
      </c>
      <c r="Y889" t="str">
        <f t="shared" si="139"/>
        <v>Healthy</v>
      </c>
    </row>
    <row r="890" spans="1:25" x14ac:dyDescent="0.35">
      <c r="A890" t="s">
        <v>90</v>
      </c>
      <c r="B890" t="s">
        <v>217</v>
      </c>
      <c r="C890" t="s">
        <v>542</v>
      </c>
      <c r="D890" t="s">
        <v>721</v>
      </c>
      <c r="E890">
        <v>83911635</v>
      </c>
      <c r="F890" t="s">
        <v>722</v>
      </c>
      <c r="G890" s="3">
        <v>46876</v>
      </c>
      <c r="H890">
        <v>24</v>
      </c>
      <c r="I890">
        <v>95</v>
      </c>
      <c r="J890">
        <v>523</v>
      </c>
      <c r="K890" s="4">
        <v>22614.52</v>
      </c>
      <c r="L890" s="4">
        <v>20926.571428571428</v>
      </c>
      <c r="M890" s="4">
        <v>2.4992149420422431E-2</v>
      </c>
      <c r="N890" t="s">
        <v>25</v>
      </c>
      <c r="O890" t="str">
        <f t="shared" si="130"/>
        <v>Low</v>
      </c>
      <c r="P890" t="str">
        <f t="shared" si="131"/>
        <v>Low</v>
      </c>
      <c r="Q890" t="str">
        <f t="shared" si="132"/>
        <v>Low</v>
      </c>
      <c r="R890" t="s">
        <v>3317</v>
      </c>
      <c r="S890" s="4">
        <f t="shared" ca="1" si="133"/>
        <v>679</v>
      </c>
      <c r="T890">
        <f t="shared" si="134"/>
        <v>1</v>
      </c>
      <c r="U890">
        <f t="shared" si="135"/>
        <v>1</v>
      </c>
      <c r="V890">
        <f t="shared" si="136"/>
        <v>1</v>
      </c>
      <c r="W890">
        <f t="shared" si="137"/>
        <v>1</v>
      </c>
      <c r="X890">
        <f t="shared" si="138"/>
        <v>0.99999999999999989</v>
      </c>
      <c r="Y890" t="str">
        <f t="shared" si="139"/>
        <v>Healthy</v>
      </c>
    </row>
    <row r="891" spans="1:25" x14ac:dyDescent="0.35">
      <c r="A891" t="s">
        <v>90</v>
      </c>
      <c r="B891" t="s">
        <v>217</v>
      </c>
      <c r="C891" t="s">
        <v>542</v>
      </c>
      <c r="D891" t="s">
        <v>721</v>
      </c>
      <c r="E891">
        <v>83911635</v>
      </c>
      <c r="F891" t="s">
        <v>722</v>
      </c>
      <c r="G891" s="3">
        <v>46875</v>
      </c>
      <c r="H891">
        <v>24</v>
      </c>
      <c r="I891">
        <v>95</v>
      </c>
      <c r="J891">
        <v>1156</v>
      </c>
      <c r="K891" s="4">
        <v>49985.440000000002</v>
      </c>
      <c r="L891" s="4">
        <v>20926.571428571428</v>
      </c>
      <c r="M891" s="4">
        <v>5.5240773862348623E-2</v>
      </c>
      <c r="N891" t="s">
        <v>25</v>
      </c>
      <c r="O891" t="str">
        <f t="shared" si="130"/>
        <v>Low</v>
      </c>
      <c r="P891" t="str">
        <f t="shared" si="131"/>
        <v>Low</v>
      </c>
      <c r="Q891" t="str">
        <f t="shared" si="132"/>
        <v>Low</v>
      </c>
      <c r="R891" t="s">
        <v>3317</v>
      </c>
      <c r="S891" s="4">
        <f t="shared" ca="1" si="133"/>
        <v>678</v>
      </c>
      <c r="T891">
        <f t="shared" si="134"/>
        <v>1</v>
      </c>
      <c r="U891">
        <f t="shared" si="135"/>
        <v>1</v>
      </c>
      <c r="V891">
        <f t="shared" si="136"/>
        <v>1</v>
      </c>
      <c r="W891">
        <f t="shared" si="137"/>
        <v>1</v>
      </c>
      <c r="X891">
        <f t="shared" si="138"/>
        <v>0.99999999999999989</v>
      </c>
      <c r="Y891" t="str">
        <f t="shared" si="139"/>
        <v>Healthy</v>
      </c>
    </row>
    <row r="892" spans="1:25" x14ac:dyDescent="0.35">
      <c r="A892" t="s">
        <v>179</v>
      </c>
      <c r="B892" t="s">
        <v>195</v>
      </c>
      <c r="C892" t="s">
        <v>196</v>
      </c>
      <c r="D892" t="s">
        <v>723</v>
      </c>
      <c r="E892">
        <v>83920337</v>
      </c>
      <c r="F892" t="s">
        <v>724</v>
      </c>
      <c r="G892" s="3">
        <v>46622</v>
      </c>
      <c r="H892">
        <v>16</v>
      </c>
      <c r="I892">
        <v>90</v>
      </c>
      <c r="J892">
        <v>34</v>
      </c>
      <c r="K892" s="4">
        <v>5197.92</v>
      </c>
      <c r="L892" s="4">
        <v>199</v>
      </c>
      <c r="M892" s="4">
        <v>0.17085427135678391</v>
      </c>
      <c r="N892" t="s">
        <v>25</v>
      </c>
      <c r="O892" t="str">
        <f t="shared" si="130"/>
        <v>Low</v>
      </c>
      <c r="P892" t="str">
        <f t="shared" si="131"/>
        <v>Low</v>
      </c>
      <c r="Q892" t="str">
        <f t="shared" si="132"/>
        <v>Low</v>
      </c>
      <c r="R892" t="s">
        <v>3317</v>
      </c>
      <c r="S892" s="4">
        <f t="shared" ca="1" si="133"/>
        <v>425</v>
      </c>
      <c r="T892">
        <f t="shared" si="134"/>
        <v>1</v>
      </c>
      <c r="U892">
        <f t="shared" si="135"/>
        <v>1</v>
      </c>
      <c r="V892">
        <f t="shared" si="136"/>
        <v>1</v>
      </c>
      <c r="W892">
        <f t="shared" si="137"/>
        <v>1</v>
      </c>
      <c r="X892">
        <f t="shared" si="138"/>
        <v>0.99999999999999989</v>
      </c>
      <c r="Y892" t="str">
        <f t="shared" si="139"/>
        <v>Healthy</v>
      </c>
    </row>
    <row r="893" spans="1:25" x14ac:dyDescent="0.35">
      <c r="A893" t="s">
        <v>90</v>
      </c>
      <c r="B893" t="s">
        <v>91</v>
      </c>
      <c r="C893" t="s">
        <v>478</v>
      </c>
      <c r="D893" t="s">
        <v>725</v>
      </c>
      <c r="E893">
        <v>80689650</v>
      </c>
      <c r="F893" t="s">
        <v>726</v>
      </c>
      <c r="G893" s="3">
        <v>45848</v>
      </c>
      <c r="H893">
        <v>24</v>
      </c>
      <c r="I893">
        <v>0</v>
      </c>
      <c r="J893">
        <v>24</v>
      </c>
      <c r="K893" s="4">
        <v>5557.68</v>
      </c>
      <c r="L893" s="4">
        <v>3.4285714285714284</v>
      </c>
      <c r="M893" s="4">
        <v>7</v>
      </c>
      <c r="N893" t="s">
        <v>19</v>
      </c>
      <c r="O893" t="str">
        <f t="shared" si="130"/>
        <v>High</v>
      </c>
      <c r="P893" t="str">
        <f t="shared" si="131"/>
        <v>Medium</v>
      </c>
      <c r="Q893" t="str">
        <f t="shared" si="132"/>
        <v>High</v>
      </c>
      <c r="R893" t="s">
        <v>3317</v>
      </c>
      <c r="S893" s="4">
        <f t="shared" ca="1" si="133"/>
        <v>-349</v>
      </c>
      <c r="T893">
        <f t="shared" si="134"/>
        <v>3</v>
      </c>
      <c r="U893">
        <f t="shared" si="135"/>
        <v>2</v>
      </c>
      <c r="V893">
        <f t="shared" si="136"/>
        <v>3</v>
      </c>
      <c r="W893">
        <f t="shared" si="137"/>
        <v>1</v>
      </c>
      <c r="X893">
        <f t="shared" si="138"/>
        <v>2.5000000000000004</v>
      </c>
      <c r="Y893" t="str">
        <f t="shared" si="139"/>
        <v>High Priority</v>
      </c>
    </row>
    <row r="894" spans="1:25" x14ac:dyDescent="0.35">
      <c r="A894" t="s">
        <v>179</v>
      </c>
      <c r="B894" t="s">
        <v>195</v>
      </c>
      <c r="C894" t="s">
        <v>196</v>
      </c>
      <c r="D894" t="s">
        <v>723</v>
      </c>
      <c r="E894">
        <v>83920337</v>
      </c>
      <c r="F894" t="s">
        <v>724</v>
      </c>
      <c r="G894" s="3">
        <v>46622</v>
      </c>
      <c r="H894">
        <v>16</v>
      </c>
      <c r="I894">
        <v>90</v>
      </c>
      <c r="J894">
        <v>34</v>
      </c>
      <c r="K894" s="4">
        <v>5197.92</v>
      </c>
      <c r="L894" s="4">
        <v>199</v>
      </c>
      <c r="M894" s="4">
        <v>0.17085427135678391</v>
      </c>
      <c r="N894" t="s">
        <v>25</v>
      </c>
      <c r="O894" t="str">
        <f t="shared" si="130"/>
        <v>Low</v>
      </c>
      <c r="P894" t="str">
        <f t="shared" si="131"/>
        <v>Low</v>
      </c>
      <c r="Q894" t="str">
        <f t="shared" si="132"/>
        <v>Low</v>
      </c>
      <c r="R894" t="s">
        <v>3317</v>
      </c>
      <c r="S894" s="4">
        <f t="shared" ca="1" si="133"/>
        <v>425</v>
      </c>
      <c r="T894">
        <f t="shared" si="134"/>
        <v>1</v>
      </c>
      <c r="U894">
        <f t="shared" si="135"/>
        <v>1</v>
      </c>
      <c r="V894">
        <f t="shared" si="136"/>
        <v>1</v>
      </c>
      <c r="W894">
        <f t="shared" si="137"/>
        <v>1</v>
      </c>
      <c r="X894">
        <f t="shared" si="138"/>
        <v>0.99999999999999989</v>
      </c>
      <c r="Y894" t="str">
        <f t="shared" si="139"/>
        <v>Healthy</v>
      </c>
    </row>
    <row r="895" spans="1:25" x14ac:dyDescent="0.35">
      <c r="A895" t="s">
        <v>179</v>
      </c>
      <c r="B895" t="s">
        <v>195</v>
      </c>
      <c r="C895" t="s">
        <v>196</v>
      </c>
      <c r="D895" t="s">
        <v>723</v>
      </c>
      <c r="E895">
        <v>83920337</v>
      </c>
      <c r="F895" t="s">
        <v>724</v>
      </c>
      <c r="G895" s="3">
        <v>46663</v>
      </c>
      <c r="H895">
        <v>16</v>
      </c>
      <c r="I895">
        <v>98</v>
      </c>
      <c r="J895">
        <v>1076</v>
      </c>
      <c r="K895" s="4">
        <v>164498.88</v>
      </c>
      <c r="L895" s="4">
        <v>199</v>
      </c>
      <c r="M895" s="4">
        <v>5.4070351758793969</v>
      </c>
      <c r="N895" t="s">
        <v>25</v>
      </c>
      <c r="O895" t="str">
        <f t="shared" si="130"/>
        <v>Low</v>
      </c>
      <c r="P895" t="str">
        <f t="shared" si="131"/>
        <v>Medium</v>
      </c>
      <c r="Q895" t="str">
        <f t="shared" si="132"/>
        <v>Low</v>
      </c>
      <c r="R895" t="s">
        <v>3309</v>
      </c>
      <c r="S895" s="4">
        <f t="shared" ca="1" si="133"/>
        <v>466</v>
      </c>
      <c r="T895">
        <f t="shared" si="134"/>
        <v>1</v>
      </c>
      <c r="U895">
        <f t="shared" si="135"/>
        <v>2</v>
      </c>
      <c r="V895">
        <f t="shared" si="136"/>
        <v>1</v>
      </c>
      <c r="W895">
        <f t="shared" si="137"/>
        <v>3</v>
      </c>
      <c r="X895">
        <f t="shared" si="138"/>
        <v>1.5</v>
      </c>
      <c r="Y895" t="str">
        <f t="shared" si="139"/>
        <v>Healthy</v>
      </c>
    </row>
    <row r="896" spans="1:25" x14ac:dyDescent="0.35">
      <c r="A896" t="s">
        <v>179</v>
      </c>
      <c r="B896" t="s">
        <v>195</v>
      </c>
      <c r="C896" t="s">
        <v>196</v>
      </c>
      <c r="D896" t="s">
        <v>727</v>
      </c>
      <c r="E896">
        <v>83920338</v>
      </c>
      <c r="F896" t="s">
        <v>728</v>
      </c>
      <c r="G896" s="3">
        <v>46645</v>
      </c>
      <c r="H896">
        <v>16</v>
      </c>
      <c r="I896">
        <v>94</v>
      </c>
      <c r="J896">
        <v>1564</v>
      </c>
      <c r="K896" s="4">
        <v>164047.96</v>
      </c>
      <c r="L896" s="4">
        <v>357.42857142857144</v>
      </c>
      <c r="M896" s="4">
        <v>4.3756994404476419</v>
      </c>
      <c r="N896" t="s">
        <v>25</v>
      </c>
      <c r="O896" t="str">
        <f t="shared" si="130"/>
        <v>Low</v>
      </c>
      <c r="P896" t="str">
        <f t="shared" si="131"/>
        <v>Medium</v>
      </c>
      <c r="Q896" t="str">
        <f t="shared" si="132"/>
        <v>Low</v>
      </c>
      <c r="R896" t="s">
        <v>3309</v>
      </c>
      <c r="S896" s="4">
        <f t="shared" ca="1" si="133"/>
        <v>448</v>
      </c>
      <c r="T896">
        <f t="shared" si="134"/>
        <v>1</v>
      </c>
      <c r="U896">
        <f t="shared" si="135"/>
        <v>2</v>
      </c>
      <c r="V896">
        <f t="shared" si="136"/>
        <v>1</v>
      </c>
      <c r="W896">
        <f t="shared" si="137"/>
        <v>3</v>
      </c>
      <c r="X896">
        <f t="shared" si="138"/>
        <v>1.5</v>
      </c>
      <c r="Y896" t="str">
        <f t="shared" si="139"/>
        <v>Healthy</v>
      </c>
    </row>
    <row r="897" spans="1:25" x14ac:dyDescent="0.35">
      <c r="A897" t="s">
        <v>179</v>
      </c>
      <c r="B897" t="s">
        <v>195</v>
      </c>
      <c r="C897" t="s">
        <v>196</v>
      </c>
      <c r="D897" t="s">
        <v>727</v>
      </c>
      <c r="E897">
        <v>83920338</v>
      </c>
      <c r="F897" t="s">
        <v>728</v>
      </c>
      <c r="G897" s="3">
        <v>46642</v>
      </c>
      <c r="H897">
        <v>16</v>
      </c>
      <c r="I897">
        <v>94</v>
      </c>
      <c r="J897">
        <v>1474</v>
      </c>
      <c r="K897" s="4">
        <v>154607.85999999999</v>
      </c>
      <c r="L897" s="4">
        <v>357.42857142857144</v>
      </c>
      <c r="M897" s="4">
        <v>4.1239008792965626</v>
      </c>
      <c r="N897" t="s">
        <v>25</v>
      </c>
      <c r="O897" t="str">
        <f t="shared" si="130"/>
        <v>Low</v>
      </c>
      <c r="P897" t="str">
        <f t="shared" si="131"/>
        <v>Medium</v>
      </c>
      <c r="Q897" t="str">
        <f t="shared" si="132"/>
        <v>Low</v>
      </c>
      <c r="R897" t="s">
        <v>3309</v>
      </c>
      <c r="S897" s="4">
        <f t="shared" ca="1" si="133"/>
        <v>445</v>
      </c>
      <c r="T897">
        <f t="shared" si="134"/>
        <v>1</v>
      </c>
      <c r="U897">
        <f t="shared" si="135"/>
        <v>2</v>
      </c>
      <c r="V897">
        <f t="shared" si="136"/>
        <v>1</v>
      </c>
      <c r="W897">
        <f t="shared" si="137"/>
        <v>3</v>
      </c>
      <c r="X897">
        <f t="shared" si="138"/>
        <v>1.5</v>
      </c>
      <c r="Y897" t="str">
        <f t="shared" si="139"/>
        <v>Healthy</v>
      </c>
    </row>
    <row r="898" spans="1:25" x14ac:dyDescent="0.35">
      <c r="A898" t="s">
        <v>179</v>
      </c>
      <c r="B898" t="s">
        <v>195</v>
      </c>
      <c r="C898" t="s">
        <v>196</v>
      </c>
      <c r="D898" t="s">
        <v>727</v>
      </c>
      <c r="E898">
        <v>83920338</v>
      </c>
      <c r="F898" t="s">
        <v>728</v>
      </c>
      <c r="G898" s="3">
        <v>46670</v>
      </c>
      <c r="H898">
        <v>16</v>
      </c>
      <c r="I898">
        <v>100</v>
      </c>
      <c r="J898">
        <v>48</v>
      </c>
      <c r="K898" s="4">
        <v>5034.72</v>
      </c>
      <c r="L898" s="4">
        <v>357.42857142857144</v>
      </c>
      <c r="M898" s="4">
        <v>0.1342925659472422</v>
      </c>
      <c r="N898" t="s">
        <v>25</v>
      </c>
      <c r="O898" t="str">
        <f t="shared" si="130"/>
        <v>Low</v>
      </c>
      <c r="P898" t="str">
        <f t="shared" si="131"/>
        <v>Low</v>
      </c>
      <c r="Q898" t="str">
        <f t="shared" si="132"/>
        <v>Low</v>
      </c>
      <c r="R898" t="s">
        <v>3317</v>
      </c>
      <c r="S898" s="4">
        <f t="shared" ca="1" si="133"/>
        <v>473</v>
      </c>
      <c r="T898">
        <f t="shared" si="134"/>
        <v>1</v>
      </c>
      <c r="U898">
        <f t="shared" si="135"/>
        <v>1</v>
      </c>
      <c r="V898">
        <f t="shared" si="136"/>
        <v>1</v>
      </c>
      <c r="W898">
        <f t="shared" si="137"/>
        <v>1</v>
      </c>
      <c r="X898">
        <f t="shared" si="138"/>
        <v>0.99999999999999989</v>
      </c>
      <c r="Y898" t="str">
        <f t="shared" si="139"/>
        <v>Healthy</v>
      </c>
    </row>
    <row r="899" spans="1:25" x14ac:dyDescent="0.35">
      <c r="A899" t="s">
        <v>179</v>
      </c>
      <c r="B899" t="s">
        <v>195</v>
      </c>
      <c r="C899" t="s">
        <v>196</v>
      </c>
      <c r="D899" t="s">
        <v>727</v>
      </c>
      <c r="E899">
        <v>83920338</v>
      </c>
      <c r="F899" t="s">
        <v>728</v>
      </c>
      <c r="G899" s="3">
        <v>46645</v>
      </c>
      <c r="H899">
        <v>16</v>
      </c>
      <c r="I899">
        <v>94</v>
      </c>
      <c r="J899">
        <v>921</v>
      </c>
      <c r="K899" s="4">
        <v>96603.69</v>
      </c>
      <c r="L899" s="4">
        <v>357.42857142857144</v>
      </c>
      <c r="M899" s="4">
        <v>2.5767386091127098</v>
      </c>
      <c r="N899" t="s">
        <v>25</v>
      </c>
      <c r="O899" t="str">
        <f t="shared" ref="O899:O962" si="140">IF(I899&lt;20,"High",IF(I899&lt;40,"Medium","Low"))</f>
        <v>Low</v>
      </c>
      <c r="P899" t="str">
        <f t="shared" ref="P899:P962" si="141">IF(M899&gt;8,"High",IF(M899&gt;4,"Medium","Low"))</f>
        <v>Low</v>
      </c>
      <c r="Q899" t="str">
        <f t="shared" ref="Q899:Q962" si="142">IF(L899&lt;5,"High",IF(L899&lt;15,"Medium","Low"))</f>
        <v>Low</v>
      </c>
      <c r="R899" t="s">
        <v>3310</v>
      </c>
      <c r="S899" s="4">
        <f t="shared" ref="S899:S962" ca="1" si="143">G899-TODAY()</f>
        <v>448</v>
      </c>
      <c r="T899">
        <f t="shared" ref="T899:T962" si="144">IF(O899="High",3,IF(O899="Medium",2,1))</f>
        <v>1</v>
      </c>
      <c r="U899">
        <f t="shared" ref="U899:U962" si="145">IF(P899="High",3,IF(P899="Medium",2,1))</f>
        <v>1</v>
      </c>
      <c r="V899">
        <f t="shared" ref="V899:V962" si="146">IF(Q899="High",3,IF(Q899="Medium",2,1))</f>
        <v>1</v>
      </c>
      <c r="W899">
        <f t="shared" ref="W899:W962" si="147">IF(R899="High",3,IF(R899="Medium",2,1))</f>
        <v>2</v>
      </c>
      <c r="X899">
        <f t="shared" ref="X899:X962" si="148">(0.4*T899)+(0.3*U899)+(0.2*V899)+(0.1*W899)</f>
        <v>1.0999999999999999</v>
      </c>
      <c r="Y899" t="str">
        <f t="shared" ref="Y899:Y962" si="149">IF(X899&gt;=2.7,"Move Immediately",IF(X899&gt;=2.2,"High Priority",IF(X899&gt;=1.7,"Monitor","Healthy")))</f>
        <v>Healthy</v>
      </c>
    </row>
    <row r="900" spans="1:25" x14ac:dyDescent="0.35">
      <c r="A900" t="s">
        <v>179</v>
      </c>
      <c r="B900" t="s">
        <v>195</v>
      </c>
      <c r="C900" t="s">
        <v>196</v>
      </c>
      <c r="D900" t="s">
        <v>729</v>
      </c>
      <c r="E900">
        <v>83920340</v>
      </c>
      <c r="F900" t="s">
        <v>730</v>
      </c>
      <c r="G900" s="3">
        <v>46665</v>
      </c>
      <c r="H900">
        <v>16</v>
      </c>
      <c r="I900">
        <v>99</v>
      </c>
      <c r="J900">
        <v>32</v>
      </c>
      <c r="K900" s="4">
        <v>10495.68</v>
      </c>
      <c r="L900" s="4">
        <v>343.57142857142856</v>
      </c>
      <c r="M900" s="4">
        <v>9.3139293139293144E-2</v>
      </c>
      <c r="N900" t="s">
        <v>25</v>
      </c>
      <c r="O900" t="str">
        <f t="shared" si="140"/>
        <v>Low</v>
      </c>
      <c r="P900" t="str">
        <f t="shared" si="141"/>
        <v>Low</v>
      </c>
      <c r="Q900" t="str">
        <f t="shared" si="142"/>
        <v>Low</v>
      </c>
      <c r="R900" t="s">
        <v>3317</v>
      </c>
      <c r="S900" s="4">
        <f t="shared" ca="1" si="143"/>
        <v>468</v>
      </c>
      <c r="T900">
        <f t="shared" si="144"/>
        <v>1</v>
      </c>
      <c r="U900">
        <f t="shared" si="145"/>
        <v>1</v>
      </c>
      <c r="V900">
        <f t="shared" si="146"/>
        <v>1</v>
      </c>
      <c r="W900">
        <f t="shared" si="147"/>
        <v>1</v>
      </c>
      <c r="X900">
        <f t="shared" si="148"/>
        <v>0.99999999999999989</v>
      </c>
      <c r="Y900" t="str">
        <f t="shared" si="149"/>
        <v>Healthy</v>
      </c>
    </row>
    <row r="901" spans="1:25" x14ac:dyDescent="0.35">
      <c r="A901" t="s">
        <v>179</v>
      </c>
      <c r="B901" t="s">
        <v>195</v>
      </c>
      <c r="C901" t="s">
        <v>196</v>
      </c>
      <c r="D901" t="s">
        <v>729</v>
      </c>
      <c r="E901">
        <v>83920340</v>
      </c>
      <c r="F901" t="s">
        <v>730</v>
      </c>
      <c r="G901" s="3">
        <v>46670</v>
      </c>
      <c r="H901">
        <v>16</v>
      </c>
      <c r="I901">
        <v>100</v>
      </c>
      <c r="J901">
        <v>768</v>
      </c>
      <c r="K901" s="4">
        <v>251896.32000000001</v>
      </c>
      <c r="L901" s="4">
        <v>343.57142857142856</v>
      </c>
      <c r="M901" s="4">
        <v>2.2353430353430355</v>
      </c>
      <c r="N901" t="s">
        <v>25</v>
      </c>
      <c r="O901" t="str">
        <f t="shared" si="140"/>
        <v>Low</v>
      </c>
      <c r="P901" t="str">
        <f t="shared" si="141"/>
        <v>Low</v>
      </c>
      <c r="Q901" t="str">
        <f t="shared" si="142"/>
        <v>Low</v>
      </c>
      <c r="R901" t="s">
        <v>3309</v>
      </c>
      <c r="S901" s="4">
        <f t="shared" ca="1" si="143"/>
        <v>473</v>
      </c>
      <c r="T901">
        <f t="shared" si="144"/>
        <v>1</v>
      </c>
      <c r="U901">
        <f t="shared" si="145"/>
        <v>1</v>
      </c>
      <c r="V901">
        <f t="shared" si="146"/>
        <v>1</v>
      </c>
      <c r="W901">
        <f t="shared" si="147"/>
        <v>3</v>
      </c>
      <c r="X901">
        <f t="shared" si="148"/>
        <v>1.2</v>
      </c>
      <c r="Y901" t="str">
        <f t="shared" si="149"/>
        <v>Healthy</v>
      </c>
    </row>
    <row r="902" spans="1:25" x14ac:dyDescent="0.35">
      <c r="A902" t="s">
        <v>179</v>
      </c>
      <c r="B902" t="s">
        <v>195</v>
      </c>
      <c r="C902" t="s">
        <v>196</v>
      </c>
      <c r="D902" t="s">
        <v>729</v>
      </c>
      <c r="E902">
        <v>83920340</v>
      </c>
      <c r="F902" t="s">
        <v>730</v>
      </c>
      <c r="G902" s="3">
        <v>46665</v>
      </c>
      <c r="H902">
        <v>16</v>
      </c>
      <c r="I902">
        <v>99</v>
      </c>
      <c r="J902">
        <v>112</v>
      </c>
      <c r="K902" s="4">
        <v>36734.879999999997</v>
      </c>
      <c r="L902" s="4">
        <v>343.57142857142856</v>
      </c>
      <c r="M902" s="4">
        <v>0.32598752598752601</v>
      </c>
      <c r="N902" t="s">
        <v>25</v>
      </c>
      <c r="O902" t="str">
        <f t="shared" si="140"/>
        <v>Low</v>
      </c>
      <c r="P902" t="str">
        <f t="shared" si="141"/>
        <v>Low</v>
      </c>
      <c r="Q902" t="str">
        <f t="shared" si="142"/>
        <v>Low</v>
      </c>
      <c r="R902" t="s">
        <v>3317</v>
      </c>
      <c r="S902" s="4">
        <f t="shared" ca="1" si="143"/>
        <v>468</v>
      </c>
      <c r="T902">
        <f t="shared" si="144"/>
        <v>1</v>
      </c>
      <c r="U902">
        <f t="shared" si="145"/>
        <v>1</v>
      </c>
      <c r="V902">
        <f t="shared" si="146"/>
        <v>1</v>
      </c>
      <c r="W902">
        <f t="shared" si="147"/>
        <v>1</v>
      </c>
      <c r="X902">
        <f t="shared" si="148"/>
        <v>0.99999999999999989</v>
      </c>
      <c r="Y902" t="str">
        <f t="shared" si="149"/>
        <v>Healthy</v>
      </c>
    </row>
    <row r="903" spans="1:25" x14ac:dyDescent="0.35">
      <c r="A903" t="s">
        <v>179</v>
      </c>
      <c r="B903" t="s">
        <v>195</v>
      </c>
      <c r="C903" t="s">
        <v>196</v>
      </c>
      <c r="D903" t="s">
        <v>729</v>
      </c>
      <c r="E903">
        <v>83920340</v>
      </c>
      <c r="F903" t="s">
        <v>730</v>
      </c>
      <c r="G903" s="3">
        <v>46665</v>
      </c>
      <c r="H903">
        <v>16</v>
      </c>
      <c r="I903">
        <v>99</v>
      </c>
      <c r="J903">
        <v>349</v>
      </c>
      <c r="K903" s="4">
        <v>114468.51</v>
      </c>
      <c r="L903" s="4">
        <v>343.57142857142856</v>
      </c>
      <c r="M903" s="4">
        <v>1.0158004158004159</v>
      </c>
      <c r="N903" t="s">
        <v>25</v>
      </c>
      <c r="O903" t="str">
        <f t="shared" si="140"/>
        <v>Low</v>
      </c>
      <c r="P903" t="str">
        <f t="shared" si="141"/>
        <v>Low</v>
      </c>
      <c r="Q903" t="str">
        <f t="shared" si="142"/>
        <v>Low</v>
      </c>
      <c r="R903" t="s">
        <v>3310</v>
      </c>
      <c r="S903" s="4">
        <f t="shared" ca="1" si="143"/>
        <v>468</v>
      </c>
      <c r="T903">
        <f t="shared" si="144"/>
        <v>1</v>
      </c>
      <c r="U903">
        <f t="shared" si="145"/>
        <v>1</v>
      </c>
      <c r="V903">
        <f t="shared" si="146"/>
        <v>1</v>
      </c>
      <c r="W903">
        <f t="shared" si="147"/>
        <v>2</v>
      </c>
      <c r="X903">
        <f t="shared" si="148"/>
        <v>1.0999999999999999</v>
      </c>
      <c r="Y903" t="str">
        <f t="shared" si="149"/>
        <v>Healthy</v>
      </c>
    </row>
    <row r="904" spans="1:25" x14ac:dyDescent="0.35">
      <c r="A904" t="s">
        <v>104</v>
      </c>
      <c r="B904" t="s">
        <v>105</v>
      </c>
      <c r="C904" t="s">
        <v>731</v>
      </c>
      <c r="D904" t="s">
        <v>732</v>
      </c>
      <c r="E904">
        <v>82303142</v>
      </c>
      <c r="F904" t="s">
        <v>733</v>
      </c>
      <c r="G904" s="3">
        <v>47563</v>
      </c>
      <c r="H904">
        <v>24</v>
      </c>
      <c r="I904">
        <v>100</v>
      </c>
      <c r="J904">
        <v>2</v>
      </c>
      <c r="K904" s="4">
        <v>318.39999999999998</v>
      </c>
      <c r="L904" s="4">
        <f>0</f>
        <v>0</v>
      </c>
      <c r="M904" s="4">
        <f>999</f>
        <v>999</v>
      </c>
      <c r="N904" t="s">
        <v>19</v>
      </c>
      <c r="O904" t="str">
        <f t="shared" si="140"/>
        <v>Low</v>
      </c>
      <c r="P904" t="str">
        <f t="shared" si="141"/>
        <v>High</v>
      </c>
      <c r="Q904" t="str">
        <f t="shared" si="142"/>
        <v>High</v>
      </c>
      <c r="R904" t="s">
        <v>3317</v>
      </c>
      <c r="S904" s="4">
        <f t="shared" ca="1" si="143"/>
        <v>1366</v>
      </c>
      <c r="T904">
        <f t="shared" si="144"/>
        <v>1</v>
      </c>
      <c r="U904">
        <f t="shared" si="145"/>
        <v>3</v>
      </c>
      <c r="V904">
        <f t="shared" si="146"/>
        <v>3</v>
      </c>
      <c r="W904">
        <f t="shared" si="147"/>
        <v>1</v>
      </c>
      <c r="X904">
        <f t="shared" si="148"/>
        <v>2</v>
      </c>
      <c r="Y904" t="str">
        <f t="shared" si="149"/>
        <v>Monitor</v>
      </c>
    </row>
    <row r="905" spans="1:25" x14ac:dyDescent="0.35">
      <c r="A905" t="s">
        <v>179</v>
      </c>
      <c r="B905" t="s">
        <v>195</v>
      </c>
      <c r="C905" t="s">
        <v>196</v>
      </c>
      <c r="D905" t="s">
        <v>729</v>
      </c>
      <c r="E905">
        <v>83920340</v>
      </c>
      <c r="F905" t="s">
        <v>730</v>
      </c>
      <c r="G905" s="3">
        <v>46658</v>
      </c>
      <c r="H905">
        <v>16</v>
      </c>
      <c r="I905">
        <v>97</v>
      </c>
      <c r="J905">
        <v>28</v>
      </c>
      <c r="K905" s="4">
        <v>9183.7199999999993</v>
      </c>
      <c r="L905" s="4">
        <v>343.57142857142856</v>
      </c>
      <c r="M905" s="4">
        <v>8.1496881496881501E-2</v>
      </c>
      <c r="N905" t="s">
        <v>25</v>
      </c>
      <c r="O905" t="str">
        <f t="shared" si="140"/>
        <v>Low</v>
      </c>
      <c r="P905" t="str">
        <f t="shared" si="141"/>
        <v>Low</v>
      </c>
      <c r="Q905" t="str">
        <f t="shared" si="142"/>
        <v>Low</v>
      </c>
      <c r="R905" t="s">
        <v>3317</v>
      </c>
      <c r="S905" s="4">
        <f t="shared" ca="1" si="143"/>
        <v>461</v>
      </c>
      <c r="T905">
        <f t="shared" si="144"/>
        <v>1</v>
      </c>
      <c r="U905">
        <f t="shared" si="145"/>
        <v>1</v>
      </c>
      <c r="V905">
        <f t="shared" si="146"/>
        <v>1</v>
      </c>
      <c r="W905">
        <f t="shared" si="147"/>
        <v>1</v>
      </c>
      <c r="X905">
        <f t="shared" si="148"/>
        <v>0.99999999999999989</v>
      </c>
      <c r="Y905" t="str">
        <f t="shared" si="149"/>
        <v>Healthy</v>
      </c>
    </row>
    <row r="906" spans="1:25" x14ac:dyDescent="0.35">
      <c r="A906" t="s">
        <v>179</v>
      </c>
      <c r="B906" t="s">
        <v>195</v>
      </c>
      <c r="C906" t="s">
        <v>196</v>
      </c>
      <c r="D906" t="s">
        <v>729</v>
      </c>
      <c r="E906">
        <v>83920340</v>
      </c>
      <c r="F906" t="s">
        <v>730</v>
      </c>
      <c r="G906" s="3">
        <v>46660</v>
      </c>
      <c r="H906">
        <v>16</v>
      </c>
      <c r="I906">
        <v>98</v>
      </c>
      <c r="J906">
        <v>48</v>
      </c>
      <c r="K906" s="4">
        <v>15743.52</v>
      </c>
      <c r="L906" s="4">
        <v>343.57142857142856</v>
      </c>
      <c r="M906" s="4">
        <v>0.13970893970893972</v>
      </c>
      <c r="N906" t="s">
        <v>25</v>
      </c>
      <c r="O906" t="str">
        <f t="shared" si="140"/>
        <v>Low</v>
      </c>
      <c r="P906" t="str">
        <f t="shared" si="141"/>
        <v>Low</v>
      </c>
      <c r="Q906" t="str">
        <f t="shared" si="142"/>
        <v>Low</v>
      </c>
      <c r="R906" t="s">
        <v>3317</v>
      </c>
      <c r="S906" s="4">
        <f t="shared" ca="1" si="143"/>
        <v>463</v>
      </c>
      <c r="T906">
        <f t="shared" si="144"/>
        <v>1</v>
      </c>
      <c r="U906">
        <f t="shared" si="145"/>
        <v>1</v>
      </c>
      <c r="V906">
        <f t="shared" si="146"/>
        <v>1</v>
      </c>
      <c r="W906">
        <f t="shared" si="147"/>
        <v>1</v>
      </c>
      <c r="X906">
        <f t="shared" si="148"/>
        <v>0.99999999999999989</v>
      </c>
      <c r="Y906" t="str">
        <f t="shared" si="149"/>
        <v>Healthy</v>
      </c>
    </row>
    <row r="907" spans="1:25" x14ac:dyDescent="0.35">
      <c r="A907" t="s">
        <v>179</v>
      </c>
      <c r="B907" t="s">
        <v>195</v>
      </c>
      <c r="C907" t="s">
        <v>196</v>
      </c>
      <c r="D907" t="s">
        <v>734</v>
      </c>
      <c r="E907">
        <v>83920342</v>
      </c>
      <c r="F907" t="s">
        <v>735</v>
      </c>
      <c r="G907" s="3">
        <v>46662</v>
      </c>
      <c r="H907">
        <v>16</v>
      </c>
      <c r="I907">
        <v>98</v>
      </c>
      <c r="J907">
        <v>54</v>
      </c>
      <c r="K907" s="4">
        <v>36715.14</v>
      </c>
      <c r="L907" s="4">
        <v>167.14285714285714</v>
      </c>
      <c r="M907" s="4">
        <v>0.32307692307692309</v>
      </c>
      <c r="N907" t="s">
        <v>25</v>
      </c>
      <c r="O907" t="str">
        <f t="shared" si="140"/>
        <v>Low</v>
      </c>
      <c r="P907" t="str">
        <f t="shared" si="141"/>
        <v>Low</v>
      </c>
      <c r="Q907" t="str">
        <f t="shared" si="142"/>
        <v>Low</v>
      </c>
      <c r="R907" t="s">
        <v>3317</v>
      </c>
      <c r="S907" s="4">
        <f t="shared" ca="1" si="143"/>
        <v>465</v>
      </c>
      <c r="T907">
        <f t="shared" si="144"/>
        <v>1</v>
      </c>
      <c r="U907">
        <f t="shared" si="145"/>
        <v>1</v>
      </c>
      <c r="V907">
        <f t="shared" si="146"/>
        <v>1</v>
      </c>
      <c r="W907">
        <f t="shared" si="147"/>
        <v>1</v>
      </c>
      <c r="X907">
        <f t="shared" si="148"/>
        <v>0.99999999999999989</v>
      </c>
      <c r="Y907" t="str">
        <f t="shared" si="149"/>
        <v>Healthy</v>
      </c>
    </row>
    <row r="908" spans="1:25" x14ac:dyDescent="0.35">
      <c r="A908" t="s">
        <v>179</v>
      </c>
      <c r="B908" t="s">
        <v>195</v>
      </c>
      <c r="C908" t="s">
        <v>196</v>
      </c>
      <c r="D908" t="s">
        <v>734</v>
      </c>
      <c r="E908">
        <v>83920342</v>
      </c>
      <c r="F908" t="s">
        <v>735</v>
      </c>
      <c r="G908" s="3">
        <v>46663</v>
      </c>
      <c r="H908">
        <v>16</v>
      </c>
      <c r="I908">
        <v>98</v>
      </c>
      <c r="J908">
        <v>60</v>
      </c>
      <c r="K908" s="4">
        <v>40794.6</v>
      </c>
      <c r="L908" s="4">
        <v>167.14285714285714</v>
      </c>
      <c r="M908" s="4">
        <v>0.35897435897435898</v>
      </c>
      <c r="N908" t="s">
        <v>25</v>
      </c>
      <c r="O908" t="str">
        <f t="shared" si="140"/>
        <v>Low</v>
      </c>
      <c r="P908" t="str">
        <f t="shared" si="141"/>
        <v>Low</v>
      </c>
      <c r="Q908" t="str">
        <f t="shared" si="142"/>
        <v>Low</v>
      </c>
      <c r="R908" t="s">
        <v>3317</v>
      </c>
      <c r="S908" s="4">
        <f t="shared" ca="1" si="143"/>
        <v>466</v>
      </c>
      <c r="T908">
        <f t="shared" si="144"/>
        <v>1</v>
      </c>
      <c r="U908">
        <f t="shared" si="145"/>
        <v>1</v>
      </c>
      <c r="V908">
        <f t="shared" si="146"/>
        <v>1</v>
      </c>
      <c r="W908">
        <f t="shared" si="147"/>
        <v>1</v>
      </c>
      <c r="X908">
        <f t="shared" si="148"/>
        <v>0.99999999999999989</v>
      </c>
      <c r="Y908" t="str">
        <f t="shared" si="149"/>
        <v>Healthy</v>
      </c>
    </row>
    <row r="909" spans="1:25" x14ac:dyDescent="0.35">
      <c r="A909" t="s">
        <v>179</v>
      </c>
      <c r="B909" t="s">
        <v>195</v>
      </c>
      <c r="C909" t="s">
        <v>196</v>
      </c>
      <c r="D909" t="s">
        <v>734</v>
      </c>
      <c r="E909">
        <v>83920342</v>
      </c>
      <c r="F909" t="s">
        <v>735</v>
      </c>
      <c r="G909" s="3">
        <v>46662</v>
      </c>
      <c r="H909">
        <v>16</v>
      </c>
      <c r="I909">
        <v>98</v>
      </c>
      <c r="J909">
        <v>168</v>
      </c>
      <c r="K909" s="4">
        <v>114224.88</v>
      </c>
      <c r="L909" s="4">
        <v>167.14285714285714</v>
      </c>
      <c r="M909" s="4">
        <v>1.0051282051282051</v>
      </c>
      <c r="N909" t="s">
        <v>25</v>
      </c>
      <c r="O909" t="str">
        <f t="shared" si="140"/>
        <v>Low</v>
      </c>
      <c r="P909" t="str">
        <f t="shared" si="141"/>
        <v>Low</v>
      </c>
      <c r="Q909" t="str">
        <f t="shared" si="142"/>
        <v>Low</v>
      </c>
      <c r="R909" t="s">
        <v>3310</v>
      </c>
      <c r="S909" s="4">
        <f t="shared" ca="1" si="143"/>
        <v>465</v>
      </c>
      <c r="T909">
        <f t="shared" si="144"/>
        <v>1</v>
      </c>
      <c r="U909">
        <f t="shared" si="145"/>
        <v>1</v>
      </c>
      <c r="V909">
        <f t="shared" si="146"/>
        <v>1</v>
      </c>
      <c r="W909">
        <f t="shared" si="147"/>
        <v>2</v>
      </c>
      <c r="X909">
        <f t="shared" si="148"/>
        <v>1.0999999999999999</v>
      </c>
      <c r="Y909" t="str">
        <f t="shared" si="149"/>
        <v>Healthy</v>
      </c>
    </row>
    <row r="910" spans="1:25" x14ac:dyDescent="0.35">
      <c r="A910" t="s">
        <v>179</v>
      </c>
      <c r="B910" t="s">
        <v>195</v>
      </c>
      <c r="C910" t="s">
        <v>196</v>
      </c>
      <c r="D910" t="s">
        <v>734</v>
      </c>
      <c r="E910">
        <v>83920342</v>
      </c>
      <c r="F910" t="s">
        <v>735</v>
      </c>
      <c r="G910" s="3">
        <v>46642</v>
      </c>
      <c r="H910">
        <v>16</v>
      </c>
      <c r="I910">
        <v>94</v>
      </c>
      <c r="J910">
        <v>18</v>
      </c>
      <c r="K910" s="4">
        <v>12238.38</v>
      </c>
      <c r="L910" s="4">
        <v>167.14285714285714</v>
      </c>
      <c r="M910" s="4">
        <v>0.1076923076923077</v>
      </c>
      <c r="N910" t="s">
        <v>25</v>
      </c>
      <c r="O910" t="str">
        <f t="shared" si="140"/>
        <v>Low</v>
      </c>
      <c r="P910" t="str">
        <f t="shared" si="141"/>
        <v>Low</v>
      </c>
      <c r="Q910" t="str">
        <f t="shared" si="142"/>
        <v>Low</v>
      </c>
      <c r="R910" t="s">
        <v>3317</v>
      </c>
      <c r="S910" s="4">
        <f t="shared" ca="1" si="143"/>
        <v>445</v>
      </c>
      <c r="T910">
        <f t="shared" si="144"/>
        <v>1</v>
      </c>
      <c r="U910">
        <f t="shared" si="145"/>
        <v>1</v>
      </c>
      <c r="V910">
        <f t="shared" si="146"/>
        <v>1</v>
      </c>
      <c r="W910">
        <f t="shared" si="147"/>
        <v>1</v>
      </c>
      <c r="X910">
        <f t="shared" si="148"/>
        <v>0.99999999999999989</v>
      </c>
      <c r="Y910" t="str">
        <f t="shared" si="149"/>
        <v>Healthy</v>
      </c>
    </row>
    <row r="911" spans="1:25" x14ac:dyDescent="0.35">
      <c r="A911" t="s">
        <v>179</v>
      </c>
      <c r="B911" t="s">
        <v>195</v>
      </c>
      <c r="C911" t="s">
        <v>196</v>
      </c>
      <c r="D911" t="s">
        <v>734</v>
      </c>
      <c r="E911">
        <v>83920342</v>
      </c>
      <c r="F911" t="s">
        <v>735</v>
      </c>
      <c r="G911" s="3">
        <v>46642</v>
      </c>
      <c r="H911">
        <v>16</v>
      </c>
      <c r="I911">
        <v>94</v>
      </c>
      <c r="J911">
        <v>80</v>
      </c>
      <c r="K911" s="4">
        <v>54392.800000000003</v>
      </c>
      <c r="L911" s="4">
        <v>167.14285714285714</v>
      </c>
      <c r="M911" s="4">
        <v>0.47863247863247865</v>
      </c>
      <c r="N911" t="s">
        <v>25</v>
      </c>
      <c r="O911" t="str">
        <f t="shared" si="140"/>
        <v>Low</v>
      </c>
      <c r="P911" t="str">
        <f t="shared" si="141"/>
        <v>Low</v>
      </c>
      <c r="Q911" t="str">
        <f t="shared" si="142"/>
        <v>Low</v>
      </c>
      <c r="R911" t="s">
        <v>3317</v>
      </c>
      <c r="S911" s="4">
        <f t="shared" ca="1" si="143"/>
        <v>445</v>
      </c>
      <c r="T911">
        <f t="shared" si="144"/>
        <v>1</v>
      </c>
      <c r="U911">
        <f t="shared" si="145"/>
        <v>1</v>
      </c>
      <c r="V911">
        <f t="shared" si="146"/>
        <v>1</v>
      </c>
      <c r="W911">
        <f t="shared" si="147"/>
        <v>1</v>
      </c>
      <c r="X911">
        <f t="shared" si="148"/>
        <v>0.99999999999999989</v>
      </c>
      <c r="Y911" t="str">
        <f t="shared" si="149"/>
        <v>Healthy</v>
      </c>
    </row>
    <row r="912" spans="1:25" x14ac:dyDescent="0.35">
      <c r="A912" t="s">
        <v>179</v>
      </c>
      <c r="B912" t="s">
        <v>195</v>
      </c>
      <c r="C912" t="s">
        <v>196</v>
      </c>
      <c r="D912" t="s">
        <v>734</v>
      </c>
      <c r="E912">
        <v>83920342</v>
      </c>
      <c r="F912" t="s">
        <v>735</v>
      </c>
      <c r="G912" s="3">
        <v>46642</v>
      </c>
      <c r="H912">
        <v>16</v>
      </c>
      <c r="I912">
        <v>94</v>
      </c>
      <c r="J912">
        <v>90</v>
      </c>
      <c r="K912" s="4">
        <v>61191.9</v>
      </c>
      <c r="L912" s="4">
        <v>167.14285714285714</v>
      </c>
      <c r="M912" s="4">
        <v>0.53846153846153844</v>
      </c>
      <c r="N912" t="s">
        <v>25</v>
      </c>
      <c r="O912" t="str">
        <f t="shared" si="140"/>
        <v>Low</v>
      </c>
      <c r="P912" t="str">
        <f t="shared" si="141"/>
        <v>Low</v>
      </c>
      <c r="Q912" t="str">
        <f t="shared" si="142"/>
        <v>Low</v>
      </c>
      <c r="R912" t="s">
        <v>3317</v>
      </c>
      <c r="S912" s="4">
        <f t="shared" ca="1" si="143"/>
        <v>445</v>
      </c>
      <c r="T912">
        <f t="shared" si="144"/>
        <v>1</v>
      </c>
      <c r="U912">
        <f t="shared" si="145"/>
        <v>1</v>
      </c>
      <c r="V912">
        <f t="shared" si="146"/>
        <v>1</v>
      </c>
      <c r="W912">
        <f t="shared" si="147"/>
        <v>1</v>
      </c>
      <c r="X912">
        <f t="shared" si="148"/>
        <v>0.99999999999999989</v>
      </c>
      <c r="Y912" t="str">
        <f t="shared" si="149"/>
        <v>Healthy</v>
      </c>
    </row>
    <row r="913" spans="1:25" x14ac:dyDescent="0.35">
      <c r="A913" t="s">
        <v>179</v>
      </c>
      <c r="B913" t="s">
        <v>195</v>
      </c>
      <c r="C913" t="s">
        <v>196</v>
      </c>
      <c r="D913" t="s">
        <v>734</v>
      </c>
      <c r="E913">
        <v>83920342</v>
      </c>
      <c r="F913" t="s">
        <v>735</v>
      </c>
      <c r="G913" s="3">
        <v>46636</v>
      </c>
      <c r="H913">
        <v>16</v>
      </c>
      <c r="I913">
        <v>93</v>
      </c>
      <c r="J913">
        <v>46</v>
      </c>
      <c r="K913" s="4">
        <v>31275.86</v>
      </c>
      <c r="L913" s="4">
        <v>167.14285714285714</v>
      </c>
      <c r="M913" s="4">
        <v>0.27521367521367524</v>
      </c>
      <c r="N913" t="s">
        <v>25</v>
      </c>
      <c r="O913" t="str">
        <f t="shared" si="140"/>
        <v>Low</v>
      </c>
      <c r="P913" t="str">
        <f t="shared" si="141"/>
        <v>Low</v>
      </c>
      <c r="Q913" t="str">
        <f t="shared" si="142"/>
        <v>Low</v>
      </c>
      <c r="R913" t="s">
        <v>3317</v>
      </c>
      <c r="S913" s="4">
        <f t="shared" ca="1" si="143"/>
        <v>439</v>
      </c>
      <c r="T913">
        <f t="shared" si="144"/>
        <v>1</v>
      </c>
      <c r="U913">
        <f t="shared" si="145"/>
        <v>1</v>
      </c>
      <c r="V913">
        <f t="shared" si="146"/>
        <v>1</v>
      </c>
      <c r="W913">
        <f t="shared" si="147"/>
        <v>1</v>
      </c>
      <c r="X913">
        <f t="shared" si="148"/>
        <v>0.99999999999999989</v>
      </c>
      <c r="Y913" t="str">
        <f t="shared" si="149"/>
        <v>Healthy</v>
      </c>
    </row>
    <row r="914" spans="1:25" x14ac:dyDescent="0.35">
      <c r="A914" t="s">
        <v>41</v>
      </c>
      <c r="B914" t="s">
        <v>54</v>
      </c>
      <c r="C914" t="s">
        <v>293</v>
      </c>
      <c r="D914" t="s">
        <v>736</v>
      </c>
      <c r="E914">
        <v>83920962</v>
      </c>
      <c r="F914" t="s">
        <v>737</v>
      </c>
      <c r="G914" s="3">
        <v>46689</v>
      </c>
      <c r="H914">
        <v>18</v>
      </c>
      <c r="I914">
        <v>92</v>
      </c>
      <c r="J914">
        <v>1</v>
      </c>
      <c r="K914" s="4">
        <v>66</v>
      </c>
      <c r="L914" s="4">
        <v>56.571428571428569</v>
      </c>
      <c r="M914" s="4">
        <v>1.7676767676767676E-2</v>
      </c>
      <c r="N914" t="s">
        <v>25</v>
      </c>
      <c r="O914" t="str">
        <f t="shared" si="140"/>
        <v>Low</v>
      </c>
      <c r="P914" t="str">
        <f t="shared" si="141"/>
        <v>Low</v>
      </c>
      <c r="Q914" t="str">
        <f t="shared" si="142"/>
        <v>Low</v>
      </c>
      <c r="R914" t="s">
        <v>3317</v>
      </c>
      <c r="S914" s="4">
        <f t="shared" ca="1" si="143"/>
        <v>492</v>
      </c>
      <c r="T914">
        <f t="shared" si="144"/>
        <v>1</v>
      </c>
      <c r="U914">
        <f t="shared" si="145"/>
        <v>1</v>
      </c>
      <c r="V914">
        <f t="shared" si="146"/>
        <v>1</v>
      </c>
      <c r="W914">
        <f t="shared" si="147"/>
        <v>1</v>
      </c>
      <c r="X914">
        <f t="shared" si="148"/>
        <v>0.99999999999999989</v>
      </c>
      <c r="Y914" t="str">
        <f t="shared" si="149"/>
        <v>Healthy</v>
      </c>
    </row>
    <row r="915" spans="1:25" x14ac:dyDescent="0.35">
      <c r="A915" t="s">
        <v>41</v>
      </c>
      <c r="B915" t="s">
        <v>54</v>
      </c>
      <c r="C915" t="s">
        <v>293</v>
      </c>
      <c r="D915" t="s">
        <v>736</v>
      </c>
      <c r="E915">
        <v>83920962</v>
      </c>
      <c r="F915" t="s">
        <v>737</v>
      </c>
      <c r="G915" s="3">
        <v>46694</v>
      </c>
      <c r="H915">
        <v>18</v>
      </c>
      <c r="I915">
        <v>93</v>
      </c>
      <c r="J915">
        <v>480</v>
      </c>
      <c r="K915" s="4">
        <v>31680</v>
      </c>
      <c r="L915" s="4">
        <v>56.571428571428569</v>
      </c>
      <c r="M915" s="4">
        <v>8.4848484848484844</v>
      </c>
      <c r="N915" t="s">
        <v>19</v>
      </c>
      <c r="O915" t="str">
        <f t="shared" si="140"/>
        <v>Low</v>
      </c>
      <c r="P915" t="str">
        <f t="shared" si="141"/>
        <v>High</v>
      </c>
      <c r="Q915" t="str">
        <f t="shared" si="142"/>
        <v>Low</v>
      </c>
      <c r="R915" t="s">
        <v>3317</v>
      </c>
      <c r="S915" s="4">
        <f t="shared" ca="1" si="143"/>
        <v>497</v>
      </c>
      <c r="T915">
        <f t="shared" si="144"/>
        <v>1</v>
      </c>
      <c r="U915">
        <f t="shared" si="145"/>
        <v>3</v>
      </c>
      <c r="V915">
        <f t="shared" si="146"/>
        <v>1</v>
      </c>
      <c r="W915">
        <f t="shared" si="147"/>
        <v>1</v>
      </c>
      <c r="X915">
        <f t="shared" si="148"/>
        <v>1.5999999999999999</v>
      </c>
      <c r="Y915" t="str">
        <f t="shared" si="149"/>
        <v>Healthy</v>
      </c>
    </row>
    <row r="916" spans="1:25" x14ac:dyDescent="0.35">
      <c r="A916" t="s">
        <v>20</v>
      </c>
      <c r="B916" t="s">
        <v>21</v>
      </c>
      <c r="C916" t="s">
        <v>656</v>
      </c>
      <c r="D916" t="s">
        <v>738</v>
      </c>
      <c r="E916">
        <v>83921714</v>
      </c>
      <c r="F916" t="s">
        <v>739</v>
      </c>
      <c r="G916" s="3">
        <v>47235</v>
      </c>
      <c r="H916">
        <v>36</v>
      </c>
      <c r="I916">
        <v>97</v>
      </c>
      <c r="J916">
        <v>699</v>
      </c>
      <c r="K916" s="4">
        <v>125813.01</v>
      </c>
      <c r="L916" s="4">
        <v>306.28571428571428</v>
      </c>
      <c r="M916" s="4">
        <v>2.2821828358208958</v>
      </c>
      <c r="N916" t="s">
        <v>25</v>
      </c>
      <c r="O916" t="str">
        <f t="shared" si="140"/>
        <v>Low</v>
      </c>
      <c r="P916" t="str">
        <f t="shared" si="141"/>
        <v>Low</v>
      </c>
      <c r="Q916" t="str">
        <f t="shared" si="142"/>
        <v>Low</v>
      </c>
      <c r="R916" t="s">
        <v>3310</v>
      </c>
      <c r="S916" s="4">
        <f t="shared" ca="1" si="143"/>
        <v>1038</v>
      </c>
      <c r="T916">
        <f t="shared" si="144"/>
        <v>1</v>
      </c>
      <c r="U916">
        <f t="shared" si="145"/>
        <v>1</v>
      </c>
      <c r="V916">
        <f t="shared" si="146"/>
        <v>1</v>
      </c>
      <c r="W916">
        <f t="shared" si="147"/>
        <v>2</v>
      </c>
      <c r="X916">
        <f t="shared" si="148"/>
        <v>1.0999999999999999</v>
      </c>
      <c r="Y916" t="str">
        <f t="shared" si="149"/>
        <v>Healthy</v>
      </c>
    </row>
    <row r="917" spans="1:25" x14ac:dyDescent="0.35">
      <c r="A917" t="s">
        <v>20</v>
      </c>
      <c r="B917" t="s">
        <v>21</v>
      </c>
      <c r="C917" t="s">
        <v>656</v>
      </c>
      <c r="D917" t="s">
        <v>738</v>
      </c>
      <c r="E917">
        <v>83921714</v>
      </c>
      <c r="F917" t="s">
        <v>739</v>
      </c>
      <c r="G917" s="3">
        <v>47229</v>
      </c>
      <c r="H917">
        <v>36</v>
      </c>
      <c r="I917">
        <v>96</v>
      </c>
      <c r="J917">
        <v>456</v>
      </c>
      <c r="K917" s="4">
        <v>82075.44</v>
      </c>
      <c r="L917" s="4">
        <v>306.28571428571428</v>
      </c>
      <c r="M917" s="4">
        <v>1.4888059701492538</v>
      </c>
      <c r="N917" t="s">
        <v>25</v>
      </c>
      <c r="O917" t="str">
        <f t="shared" si="140"/>
        <v>Low</v>
      </c>
      <c r="P917" t="str">
        <f t="shared" si="141"/>
        <v>Low</v>
      </c>
      <c r="Q917" t="str">
        <f t="shared" si="142"/>
        <v>Low</v>
      </c>
      <c r="R917" t="s">
        <v>3310</v>
      </c>
      <c r="S917" s="4">
        <f t="shared" ca="1" si="143"/>
        <v>1032</v>
      </c>
      <c r="T917">
        <f t="shared" si="144"/>
        <v>1</v>
      </c>
      <c r="U917">
        <f t="shared" si="145"/>
        <v>1</v>
      </c>
      <c r="V917">
        <f t="shared" si="146"/>
        <v>1</v>
      </c>
      <c r="W917">
        <f t="shared" si="147"/>
        <v>2</v>
      </c>
      <c r="X917">
        <f t="shared" si="148"/>
        <v>1.0999999999999999</v>
      </c>
      <c r="Y917" t="str">
        <f t="shared" si="149"/>
        <v>Healthy</v>
      </c>
    </row>
    <row r="918" spans="1:25" x14ac:dyDescent="0.35">
      <c r="A918" t="s">
        <v>20</v>
      </c>
      <c r="B918" t="s">
        <v>21</v>
      </c>
      <c r="C918" t="s">
        <v>656</v>
      </c>
      <c r="D918" t="s">
        <v>740</v>
      </c>
      <c r="E918">
        <v>83921715</v>
      </c>
      <c r="F918" t="s">
        <v>741</v>
      </c>
      <c r="G918" s="3">
        <v>47262</v>
      </c>
      <c r="H918">
        <v>36</v>
      </c>
      <c r="I918">
        <v>99</v>
      </c>
      <c r="J918">
        <v>90</v>
      </c>
      <c r="K918" s="4">
        <v>16199.1</v>
      </c>
      <c r="L918" s="4">
        <f>0</f>
        <v>0</v>
      </c>
      <c r="M918" s="4">
        <f>999</f>
        <v>999</v>
      </c>
      <c r="N918" t="s">
        <v>19</v>
      </c>
      <c r="O918" t="str">
        <f t="shared" si="140"/>
        <v>Low</v>
      </c>
      <c r="P918" t="str">
        <f t="shared" si="141"/>
        <v>High</v>
      </c>
      <c r="Q918" t="str">
        <f t="shared" si="142"/>
        <v>High</v>
      </c>
      <c r="R918" t="s">
        <v>3317</v>
      </c>
      <c r="S918" s="4">
        <f t="shared" ca="1" si="143"/>
        <v>1065</v>
      </c>
      <c r="T918">
        <f t="shared" si="144"/>
        <v>1</v>
      </c>
      <c r="U918">
        <f t="shared" si="145"/>
        <v>3</v>
      </c>
      <c r="V918">
        <f t="shared" si="146"/>
        <v>3</v>
      </c>
      <c r="W918">
        <f t="shared" si="147"/>
        <v>1</v>
      </c>
      <c r="X918">
        <f t="shared" si="148"/>
        <v>2</v>
      </c>
      <c r="Y918" t="str">
        <f t="shared" si="149"/>
        <v>Monitor</v>
      </c>
    </row>
    <row r="919" spans="1:25" x14ac:dyDescent="0.35">
      <c r="A919" t="s">
        <v>20</v>
      </c>
      <c r="B919" t="s">
        <v>21</v>
      </c>
      <c r="C919" t="s">
        <v>656</v>
      </c>
      <c r="D919" t="s">
        <v>740</v>
      </c>
      <c r="E919">
        <v>83921715</v>
      </c>
      <c r="F919" t="s">
        <v>741</v>
      </c>
      <c r="G919" s="3">
        <v>47238</v>
      </c>
      <c r="H919">
        <v>36</v>
      </c>
      <c r="I919">
        <v>97</v>
      </c>
      <c r="J919">
        <v>72</v>
      </c>
      <c r="K919" s="4">
        <v>12959.28</v>
      </c>
      <c r="L919" s="4">
        <f>0</f>
        <v>0</v>
      </c>
      <c r="M919" s="4">
        <f>999</f>
        <v>999</v>
      </c>
      <c r="N919" t="s">
        <v>19</v>
      </c>
      <c r="O919" t="str">
        <f t="shared" si="140"/>
        <v>Low</v>
      </c>
      <c r="P919" t="str">
        <f t="shared" si="141"/>
        <v>High</v>
      </c>
      <c r="Q919" t="str">
        <f t="shared" si="142"/>
        <v>High</v>
      </c>
      <c r="R919" t="s">
        <v>3317</v>
      </c>
      <c r="S919" s="4">
        <f t="shared" ca="1" si="143"/>
        <v>1041</v>
      </c>
      <c r="T919">
        <f t="shared" si="144"/>
        <v>1</v>
      </c>
      <c r="U919">
        <f t="shared" si="145"/>
        <v>3</v>
      </c>
      <c r="V919">
        <f t="shared" si="146"/>
        <v>3</v>
      </c>
      <c r="W919">
        <f t="shared" si="147"/>
        <v>1</v>
      </c>
      <c r="X919">
        <f t="shared" si="148"/>
        <v>2</v>
      </c>
      <c r="Y919" t="str">
        <f t="shared" si="149"/>
        <v>Monitor</v>
      </c>
    </row>
    <row r="920" spans="1:25" x14ac:dyDescent="0.35">
      <c r="A920" t="s">
        <v>179</v>
      </c>
      <c r="B920" t="s">
        <v>195</v>
      </c>
      <c r="C920" t="s">
        <v>196</v>
      </c>
      <c r="D920" t="s">
        <v>742</v>
      </c>
      <c r="E920">
        <v>83920341</v>
      </c>
      <c r="F920" t="s">
        <v>743</v>
      </c>
      <c r="G920" s="3">
        <v>46635</v>
      </c>
      <c r="H920">
        <v>16</v>
      </c>
      <c r="I920">
        <v>92</v>
      </c>
      <c r="J920">
        <v>11</v>
      </c>
      <c r="K920" s="4">
        <v>3607.89</v>
      </c>
      <c r="L920" s="4">
        <v>339.85714285714283</v>
      </c>
      <c r="M920" s="4">
        <v>3.2366540563261874E-2</v>
      </c>
      <c r="N920" t="s">
        <v>25</v>
      </c>
      <c r="O920" t="str">
        <f t="shared" si="140"/>
        <v>Low</v>
      </c>
      <c r="P920" t="str">
        <f t="shared" si="141"/>
        <v>Low</v>
      </c>
      <c r="Q920" t="str">
        <f t="shared" si="142"/>
        <v>Low</v>
      </c>
      <c r="R920" t="s">
        <v>3317</v>
      </c>
      <c r="S920" s="4">
        <f t="shared" ca="1" si="143"/>
        <v>438</v>
      </c>
      <c r="T920">
        <f t="shared" si="144"/>
        <v>1</v>
      </c>
      <c r="U920">
        <f t="shared" si="145"/>
        <v>1</v>
      </c>
      <c r="V920">
        <f t="shared" si="146"/>
        <v>1</v>
      </c>
      <c r="W920">
        <f t="shared" si="147"/>
        <v>1</v>
      </c>
      <c r="X920">
        <f t="shared" si="148"/>
        <v>0.99999999999999989</v>
      </c>
      <c r="Y920" t="str">
        <f t="shared" si="149"/>
        <v>Healthy</v>
      </c>
    </row>
    <row r="921" spans="1:25" x14ac:dyDescent="0.35">
      <c r="A921" t="s">
        <v>179</v>
      </c>
      <c r="B921" t="s">
        <v>195</v>
      </c>
      <c r="C921" t="s">
        <v>196</v>
      </c>
      <c r="D921" t="s">
        <v>742</v>
      </c>
      <c r="E921">
        <v>83920341</v>
      </c>
      <c r="F921" t="s">
        <v>743</v>
      </c>
      <c r="G921" s="3">
        <v>46620</v>
      </c>
      <c r="H921">
        <v>16</v>
      </c>
      <c r="I921">
        <v>89</v>
      </c>
      <c r="J921">
        <v>3</v>
      </c>
      <c r="K921" s="4">
        <v>983.97</v>
      </c>
      <c r="L921" s="4">
        <v>339.85714285714283</v>
      </c>
      <c r="M921" s="4">
        <v>8.8272383354350576E-3</v>
      </c>
      <c r="N921" t="s">
        <v>25</v>
      </c>
      <c r="O921" t="str">
        <f t="shared" si="140"/>
        <v>Low</v>
      </c>
      <c r="P921" t="str">
        <f t="shared" si="141"/>
        <v>Low</v>
      </c>
      <c r="Q921" t="str">
        <f t="shared" si="142"/>
        <v>Low</v>
      </c>
      <c r="R921" t="s">
        <v>3317</v>
      </c>
      <c r="S921" s="4">
        <f t="shared" ca="1" si="143"/>
        <v>423</v>
      </c>
      <c r="T921">
        <f t="shared" si="144"/>
        <v>1</v>
      </c>
      <c r="U921">
        <f t="shared" si="145"/>
        <v>1</v>
      </c>
      <c r="V921">
        <f t="shared" si="146"/>
        <v>1</v>
      </c>
      <c r="W921">
        <f t="shared" si="147"/>
        <v>1</v>
      </c>
      <c r="X921">
        <f t="shared" si="148"/>
        <v>0.99999999999999989</v>
      </c>
      <c r="Y921" t="str">
        <f t="shared" si="149"/>
        <v>Healthy</v>
      </c>
    </row>
    <row r="922" spans="1:25" x14ac:dyDescent="0.35">
      <c r="A922" t="s">
        <v>179</v>
      </c>
      <c r="B922" t="s">
        <v>195</v>
      </c>
      <c r="C922" t="s">
        <v>196</v>
      </c>
      <c r="D922" t="s">
        <v>742</v>
      </c>
      <c r="E922">
        <v>83920341</v>
      </c>
      <c r="F922" t="s">
        <v>743</v>
      </c>
      <c r="G922" s="3">
        <v>46669</v>
      </c>
      <c r="H922">
        <v>16</v>
      </c>
      <c r="I922">
        <v>99</v>
      </c>
      <c r="J922">
        <v>3392</v>
      </c>
      <c r="K922" s="4">
        <v>1112542.08</v>
      </c>
      <c r="L922" s="4">
        <v>339.85714285714283</v>
      </c>
      <c r="M922" s="4">
        <v>9.9806641445985722</v>
      </c>
      <c r="N922" t="s">
        <v>19</v>
      </c>
      <c r="O922" t="str">
        <f t="shared" si="140"/>
        <v>Low</v>
      </c>
      <c r="P922" t="str">
        <f t="shared" si="141"/>
        <v>High</v>
      </c>
      <c r="Q922" t="str">
        <f t="shared" si="142"/>
        <v>Low</v>
      </c>
      <c r="R922" t="s">
        <v>3309</v>
      </c>
      <c r="S922" s="4">
        <f t="shared" ca="1" si="143"/>
        <v>472</v>
      </c>
      <c r="T922">
        <f t="shared" si="144"/>
        <v>1</v>
      </c>
      <c r="U922">
        <f t="shared" si="145"/>
        <v>3</v>
      </c>
      <c r="V922">
        <f t="shared" si="146"/>
        <v>1</v>
      </c>
      <c r="W922">
        <f t="shared" si="147"/>
        <v>3</v>
      </c>
      <c r="X922">
        <f t="shared" si="148"/>
        <v>1.7999999999999998</v>
      </c>
      <c r="Y922" t="str">
        <f t="shared" si="149"/>
        <v>Monitor</v>
      </c>
    </row>
    <row r="923" spans="1:25" x14ac:dyDescent="0.35">
      <c r="A923" t="s">
        <v>71</v>
      </c>
      <c r="B923" t="s">
        <v>72</v>
      </c>
      <c r="C923" t="s">
        <v>174</v>
      </c>
      <c r="D923" t="s">
        <v>175</v>
      </c>
      <c r="E923">
        <v>83921933</v>
      </c>
      <c r="F923" t="s">
        <v>744</v>
      </c>
      <c r="G923" s="3">
        <v>47269</v>
      </c>
      <c r="H923">
        <v>36</v>
      </c>
      <c r="I923">
        <v>100</v>
      </c>
      <c r="J923">
        <v>332</v>
      </c>
      <c r="K923" s="4">
        <v>371561.12</v>
      </c>
      <c r="L923" s="4">
        <v>34.857142857142854</v>
      </c>
      <c r="M923" s="4">
        <v>9.5245901639344268</v>
      </c>
      <c r="N923" t="s">
        <v>19</v>
      </c>
      <c r="O923" t="str">
        <f t="shared" si="140"/>
        <v>Low</v>
      </c>
      <c r="P923" t="str">
        <f t="shared" si="141"/>
        <v>High</v>
      </c>
      <c r="Q923" t="str">
        <f t="shared" si="142"/>
        <v>Low</v>
      </c>
      <c r="R923" t="s">
        <v>3309</v>
      </c>
      <c r="S923" s="4">
        <f t="shared" ca="1" si="143"/>
        <v>1072</v>
      </c>
      <c r="T923">
        <f t="shared" si="144"/>
        <v>1</v>
      </c>
      <c r="U923">
        <f t="shared" si="145"/>
        <v>3</v>
      </c>
      <c r="V923">
        <f t="shared" si="146"/>
        <v>1</v>
      </c>
      <c r="W923">
        <f t="shared" si="147"/>
        <v>3</v>
      </c>
      <c r="X923">
        <f t="shared" si="148"/>
        <v>1.7999999999999998</v>
      </c>
      <c r="Y923" t="str">
        <f t="shared" si="149"/>
        <v>Monitor</v>
      </c>
    </row>
    <row r="924" spans="1:25" x14ac:dyDescent="0.35">
      <c r="A924" t="s">
        <v>71</v>
      </c>
      <c r="B924" t="s">
        <v>72</v>
      </c>
      <c r="C924" t="s">
        <v>174</v>
      </c>
      <c r="D924" t="s">
        <v>175</v>
      </c>
      <c r="E924">
        <v>83921933</v>
      </c>
      <c r="F924" t="s">
        <v>744</v>
      </c>
      <c r="G924" s="3">
        <v>47269</v>
      </c>
      <c r="H924">
        <v>36</v>
      </c>
      <c r="I924">
        <v>100</v>
      </c>
      <c r="J924">
        <v>392</v>
      </c>
      <c r="K924" s="4">
        <v>438710.72</v>
      </c>
      <c r="L924" s="4">
        <v>34.857142857142854</v>
      </c>
      <c r="M924" s="4">
        <v>11.245901639344263</v>
      </c>
      <c r="N924" t="s">
        <v>19</v>
      </c>
      <c r="O924" t="str">
        <f t="shared" si="140"/>
        <v>Low</v>
      </c>
      <c r="P924" t="str">
        <f t="shared" si="141"/>
        <v>High</v>
      </c>
      <c r="Q924" t="str">
        <f t="shared" si="142"/>
        <v>Low</v>
      </c>
      <c r="R924" t="s">
        <v>3309</v>
      </c>
      <c r="S924" s="4">
        <f t="shared" ca="1" si="143"/>
        <v>1072</v>
      </c>
      <c r="T924">
        <f t="shared" si="144"/>
        <v>1</v>
      </c>
      <c r="U924">
        <f t="shared" si="145"/>
        <v>3</v>
      </c>
      <c r="V924">
        <f t="shared" si="146"/>
        <v>1</v>
      </c>
      <c r="W924">
        <f t="shared" si="147"/>
        <v>3</v>
      </c>
      <c r="X924">
        <f t="shared" si="148"/>
        <v>1.7999999999999998</v>
      </c>
      <c r="Y924" t="str">
        <f t="shared" si="149"/>
        <v>Monitor</v>
      </c>
    </row>
    <row r="925" spans="1:25" x14ac:dyDescent="0.35">
      <c r="A925" t="s">
        <v>71</v>
      </c>
      <c r="B925" t="s">
        <v>72</v>
      </c>
      <c r="C925" t="s">
        <v>174</v>
      </c>
      <c r="D925" t="s">
        <v>175</v>
      </c>
      <c r="E925">
        <v>83921933</v>
      </c>
      <c r="F925" t="s">
        <v>744</v>
      </c>
      <c r="G925" s="3">
        <v>47251</v>
      </c>
      <c r="H925">
        <v>36</v>
      </c>
      <c r="I925">
        <v>98</v>
      </c>
      <c r="J925">
        <v>8</v>
      </c>
      <c r="K925" s="4">
        <v>8953.2800000000007</v>
      </c>
      <c r="L925" s="4">
        <v>34.857142857142854</v>
      </c>
      <c r="M925" s="4">
        <v>0.22950819672131151</v>
      </c>
      <c r="N925" t="s">
        <v>25</v>
      </c>
      <c r="O925" t="str">
        <f t="shared" si="140"/>
        <v>Low</v>
      </c>
      <c r="P925" t="str">
        <f t="shared" si="141"/>
        <v>Low</v>
      </c>
      <c r="Q925" t="str">
        <f t="shared" si="142"/>
        <v>Low</v>
      </c>
      <c r="R925" t="s">
        <v>3317</v>
      </c>
      <c r="S925" s="4">
        <f t="shared" ca="1" si="143"/>
        <v>1054</v>
      </c>
      <c r="T925">
        <f t="shared" si="144"/>
        <v>1</v>
      </c>
      <c r="U925">
        <f t="shared" si="145"/>
        <v>1</v>
      </c>
      <c r="V925">
        <f t="shared" si="146"/>
        <v>1</v>
      </c>
      <c r="W925">
        <f t="shared" si="147"/>
        <v>1</v>
      </c>
      <c r="X925">
        <f t="shared" si="148"/>
        <v>0.99999999999999989</v>
      </c>
      <c r="Y925" t="str">
        <f t="shared" si="149"/>
        <v>Healthy</v>
      </c>
    </row>
    <row r="926" spans="1:25" x14ac:dyDescent="0.35">
      <c r="A926" t="s">
        <v>71</v>
      </c>
      <c r="B926" t="s">
        <v>72</v>
      </c>
      <c r="C926" t="s">
        <v>174</v>
      </c>
      <c r="D926" t="s">
        <v>175</v>
      </c>
      <c r="E926">
        <v>83921933</v>
      </c>
      <c r="F926" t="s">
        <v>744</v>
      </c>
      <c r="G926" s="3">
        <v>47271</v>
      </c>
      <c r="H926">
        <v>36</v>
      </c>
      <c r="I926">
        <v>100</v>
      </c>
      <c r="J926">
        <v>12</v>
      </c>
      <c r="K926" s="4">
        <v>13429.92</v>
      </c>
      <c r="L926" s="4">
        <v>34.857142857142854</v>
      </c>
      <c r="M926" s="4">
        <v>0.34426229508196726</v>
      </c>
      <c r="N926" t="s">
        <v>25</v>
      </c>
      <c r="O926" t="str">
        <f t="shared" si="140"/>
        <v>Low</v>
      </c>
      <c r="P926" t="str">
        <f t="shared" si="141"/>
        <v>Low</v>
      </c>
      <c r="Q926" t="str">
        <f t="shared" si="142"/>
        <v>Low</v>
      </c>
      <c r="R926" t="s">
        <v>3317</v>
      </c>
      <c r="S926" s="4">
        <f t="shared" ca="1" si="143"/>
        <v>1074</v>
      </c>
      <c r="T926">
        <f t="shared" si="144"/>
        <v>1</v>
      </c>
      <c r="U926">
        <f t="shared" si="145"/>
        <v>1</v>
      </c>
      <c r="V926">
        <f t="shared" si="146"/>
        <v>1</v>
      </c>
      <c r="W926">
        <f t="shared" si="147"/>
        <v>1</v>
      </c>
      <c r="X926">
        <f t="shared" si="148"/>
        <v>0.99999999999999989</v>
      </c>
      <c r="Y926" t="str">
        <f t="shared" si="149"/>
        <v>Healthy</v>
      </c>
    </row>
    <row r="927" spans="1:25" x14ac:dyDescent="0.35">
      <c r="A927" t="s">
        <v>71</v>
      </c>
      <c r="B927" t="s">
        <v>72</v>
      </c>
      <c r="C927" t="s">
        <v>174</v>
      </c>
      <c r="D927" t="s">
        <v>333</v>
      </c>
      <c r="E927">
        <v>83921934</v>
      </c>
      <c r="F927" t="s">
        <v>745</v>
      </c>
      <c r="G927" s="3">
        <v>47256</v>
      </c>
      <c r="H927">
        <v>36</v>
      </c>
      <c r="I927">
        <v>99</v>
      </c>
      <c r="J927">
        <v>84</v>
      </c>
      <c r="K927" s="4">
        <v>153095.88</v>
      </c>
      <c r="L927" s="4">
        <f>0</f>
        <v>0</v>
      </c>
      <c r="M927" s="4">
        <f>999</f>
        <v>999</v>
      </c>
      <c r="N927" t="s">
        <v>19</v>
      </c>
      <c r="O927" t="str">
        <f t="shared" si="140"/>
        <v>Low</v>
      </c>
      <c r="P927" t="str">
        <f t="shared" si="141"/>
        <v>High</v>
      </c>
      <c r="Q927" t="str">
        <f t="shared" si="142"/>
        <v>High</v>
      </c>
      <c r="R927" t="s">
        <v>3309</v>
      </c>
      <c r="S927" s="4">
        <f t="shared" ca="1" si="143"/>
        <v>1059</v>
      </c>
      <c r="T927">
        <f t="shared" si="144"/>
        <v>1</v>
      </c>
      <c r="U927">
        <f t="shared" si="145"/>
        <v>3</v>
      </c>
      <c r="V927">
        <f t="shared" si="146"/>
        <v>3</v>
      </c>
      <c r="W927">
        <f t="shared" si="147"/>
        <v>3</v>
      </c>
      <c r="X927">
        <f t="shared" si="148"/>
        <v>2.2000000000000002</v>
      </c>
      <c r="Y927" t="str">
        <f t="shared" si="149"/>
        <v>High Priority</v>
      </c>
    </row>
    <row r="928" spans="1:25" x14ac:dyDescent="0.35">
      <c r="A928" t="s">
        <v>71</v>
      </c>
      <c r="B928" t="s">
        <v>72</v>
      </c>
      <c r="C928" t="s">
        <v>174</v>
      </c>
      <c r="D928" t="s">
        <v>333</v>
      </c>
      <c r="E928">
        <v>83921934</v>
      </c>
      <c r="F928" t="s">
        <v>745</v>
      </c>
      <c r="G928" s="3">
        <v>47270</v>
      </c>
      <c r="H928">
        <v>36</v>
      </c>
      <c r="I928">
        <v>100</v>
      </c>
      <c r="J928">
        <v>83</v>
      </c>
      <c r="K928" s="4">
        <v>151273.31</v>
      </c>
      <c r="L928" s="4">
        <f>0</f>
        <v>0</v>
      </c>
      <c r="M928" s="4">
        <f>999</f>
        <v>999</v>
      </c>
      <c r="N928" t="s">
        <v>19</v>
      </c>
      <c r="O928" t="str">
        <f t="shared" si="140"/>
        <v>Low</v>
      </c>
      <c r="P928" t="str">
        <f t="shared" si="141"/>
        <v>High</v>
      </c>
      <c r="Q928" t="str">
        <f t="shared" si="142"/>
        <v>High</v>
      </c>
      <c r="R928" t="s">
        <v>3309</v>
      </c>
      <c r="S928" s="4">
        <f t="shared" ca="1" si="143"/>
        <v>1073</v>
      </c>
      <c r="T928">
        <f t="shared" si="144"/>
        <v>1</v>
      </c>
      <c r="U928">
        <f t="shared" si="145"/>
        <v>3</v>
      </c>
      <c r="V928">
        <f t="shared" si="146"/>
        <v>3</v>
      </c>
      <c r="W928">
        <f t="shared" si="147"/>
        <v>3</v>
      </c>
      <c r="X928">
        <f t="shared" si="148"/>
        <v>2.2000000000000002</v>
      </c>
      <c r="Y928" t="str">
        <f t="shared" si="149"/>
        <v>High Priority</v>
      </c>
    </row>
    <row r="929" spans="1:25" x14ac:dyDescent="0.35">
      <c r="A929" t="s">
        <v>71</v>
      </c>
      <c r="B929" t="s">
        <v>72</v>
      </c>
      <c r="C929" t="s">
        <v>174</v>
      </c>
      <c r="D929" t="s">
        <v>746</v>
      </c>
      <c r="E929">
        <v>83921935</v>
      </c>
      <c r="F929" t="s">
        <v>747</v>
      </c>
      <c r="G929" s="3">
        <v>47270</v>
      </c>
      <c r="H929">
        <v>36</v>
      </c>
      <c r="I929">
        <v>100</v>
      </c>
      <c r="J929">
        <v>12</v>
      </c>
      <c r="K929" s="4">
        <v>14389.92</v>
      </c>
      <c r="L929" s="4">
        <v>305.42857142857144</v>
      </c>
      <c r="M929" s="4">
        <v>3.9289055191768008E-2</v>
      </c>
      <c r="N929" t="s">
        <v>25</v>
      </c>
      <c r="O929" t="str">
        <f t="shared" si="140"/>
        <v>Low</v>
      </c>
      <c r="P929" t="str">
        <f t="shared" si="141"/>
        <v>Low</v>
      </c>
      <c r="Q929" t="str">
        <f t="shared" si="142"/>
        <v>Low</v>
      </c>
      <c r="R929" t="s">
        <v>3317</v>
      </c>
      <c r="S929" s="4">
        <f t="shared" ca="1" si="143"/>
        <v>1073</v>
      </c>
      <c r="T929">
        <f t="shared" si="144"/>
        <v>1</v>
      </c>
      <c r="U929">
        <f t="shared" si="145"/>
        <v>1</v>
      </c>
      <c r="V929">
        <f t="shared" si="146"/>
        <v>1</v>
      </c>
      <c r="W929">
        <f t="shared" si="147"/>
        <v>1</v>
      </c>
      <c r="X929">
        <f t="shared" si="148"/>
        <v>0.99999999999999989</v>
      </c>
      <c r="Y929" t="str">
        <f t="shared" si="149"/>
        <v>Healthy</v>
      </c>
    </row>
    <row r="930" spans="1:25" x14ac:dyDescent="0.35">
      <c r="A930" t="s">
        <v>71</v>
      </c>
      <c r="B930" t="s">
        <v>72</v>
      </c>
      <c r="C930" t="s">
        <v>174</v>
      </c>
      <c r="D930" t="s">
        <v>746</v>
      </c>
      <c r="E930">
        <v>83921935</v>
      </c>
      <c r="F930" t="s">
        <v>747</v>
      </c>
      <c r="G930" s="3">
        <v>47269</v>
      </c>
      <c r="H930">
        <v>36</v>
      </c>
      <c r="I930">
        <v>100</v>
      </c>
      <c r="J930">
        <v>287</v>
      </c>
      <c r="K930" s="4">
        <v>344158.92</v>
      </c>
      <c r="L930" s="4">
        <v>305.42857142857144</v>
      </c>
      <c r="M930" s="4">
        <v>0.9396632366697848</v>
      </c>
      <c r="N930" t="s">
        <v>25</v>
      </c>
      <c r="O930" t="str">
        <f t="shared" si="140"/>
        <v>Low</v>
      </c>
      <c r="P930" t="str">
        <f t="shared" si="141"/>
        <v>Low</v>
      </c>
      <c r="Q930" t="str">
        <f t="shared" si="142"/>
        <v>Low</v>
      </c>
      <c r="R930" t="s">
        <v>3309</v>
      </c>
      <c r="S930" s="4">
        <f t="shared" ca="1" si="143"/>
        <v>1072</v>
      </c>
      <c r="T930">
        <f t="shared" si="144"/>
        <v>1</v>
      </c>
      <c r="U930">
        <f t="shared" si="145"/>
        <v>1</v>
      </c>
      <c r="V930">
        <f t="shared" si="146"/>
        <v>1</v>
      </c>
      <c r="W930">
        <f t="shared" si="147"/>
        <v>3</v>
      </c>
      <c r="X930">
        <f t="shared" si="148"/>
        <v>1.2</v>
      </c>
      <c r="Y930" t="str">
        <f t="shared" si="149"/>
        <v>Healthy</v>
      </c>
    </row>
    <row r="931" spans="1:25" x14ac:dyDescent="0.35">
      <c r="A931" t="s">
        <v>71</v>
      </c>
      <c r="B931" t="s">
        <v>72</v>
      </c>
      <c r="C931" t="s">
        <v>174</v>
      </c>
      <c r="D931" t="s">
        <v>748</v>
      </c>
      <c r="E931">
        <v>83921923</v>
      </c>
      <c r="F931" t="s">
        <v>749</v>
      </c>
      <c r="G931" s="3">
        <v>47243</v>
      </c>
      <c r="H931">
        <v>36</v>
      </c>
      <c r="I931">
        <v>97</v>
      </c>
      <c r="J931">
        <v>72</v>
      </c>
      <c r="K931" s="4">
        <v>20159.28</v>
      </c>
      <c r="L931" s="4">
        <f>0</f>
        <v>0</v>
      </c>
      <c r="M931" s="4">
        <f>999</f>
        <v>999</v>
      </c>
      <c r="N931" t="s">
        <v>19</v>
      </c>
      <c r="O931" t="str">
        <f t="shared" si="140"/>
        <v>Low</v>
      </c>
      <c r="P931" t="str">
        <f t="shared" si="141"/>
        <v>High</v>
      </c>
      <c r="Q931" t="str">
        <f t="shared" si="142"/>
        <v>High</v>
      </c>
      <c r="R931" t="s">
        <v>3317</v>
      </c>
      <c r="S931" s="4">
        <f t="shared" ca="1" si="143"/>
        <v>1046</v>
      </c>
      <c r="T931">
        <f t="shared" si="144"/>
        <v>1</v>
      </c>
      <c r="U931">
        <f t="shared" si="145"/>
        <v>3</v>
      </c>
      <c r="V931">
        <f t="shared" si="146"/>
        <v>3</v>
      </c>
      <c r="W931">
        <f t="shared" si="147"/>
        <v>1</v>
      </c>
      <c r="X931">
        <f t="shared" si="148"/>
        <v>2</v>
      </c>
      <c r="Y931" t="str">
        <f t="shared" si="149"/>
        <v>Monitor</v>
      </c>
    </row>
    <row r="932" spans="1:25" x14ac:dyDescent="0.35">
      <c r="A932" t="s">
        <v>71</v>
      </c>
      <c r="B932" t="s">
        <v>72</v>
      </c>
      <c r="C932" t="s">
        <v>174</v>
      </c>
      <c r="D932" t="s">
        <v>748</v>
      </c>
      <c r="E932">
        <v>83921923</v>
      </c>
      <c r="F932" t="s">
        <v>749</v>
      </c>
      <c r="G932" s="3">
        <v>47274</v>
      </c>
      <c r="H932">
        <v>36</v>
      </c>
      <c r="I932">
        <v>100</v>
      </c>
      <c r="J932">
        <v>36</v>
      </c>
      <c r="K932" s="4">
        <v>10079.64</v>
      </c>
      <c r="L932" s="4">
        <f>0</f>
        <v>0</v>
      </c>
      <c r="M932" s="4">
        <f>999</f>
        <v>999</v>
      </c>
      <c r="N932" t="s">
        <v>19</v>
      </c>
      <c r="O932" t="str">
        <f t="shared" si="140"/>
        <v>Low</v>
      </c>
      <c r="P932" t="str">
        <f t="shared" si="141"/>
        <v>High</v>
      </c>
      <c r="Q932" t="str">
        <f t="shared" si="142"/>
        <v>High</v>
      </c>
      <c r="R932" t="s">
        <v>3317</v>
      </c>
      <c r="S932" s="4">
        <f t="shared" ca="1" si="143"/>
        <v>1077</v>
      </c>
      <c r="T932">
        <f t="shared" si="144"/>
        <v>1</v>
      </c>
      <c r="U932">
        <f t="shared" si="145"/>
        <v>3</v>
      </c>
      <c r="V932">
        <f t="shared" si="146"/>
        <v>3</v>
      </c>
      <c r="W932">
        <f t="shared" si="147"/>
        <v>1</v>
      </c>
      <c r="X932">
        <f t="shared" si="148"/>
        <v>2</v>
      </c>
      <c r="Y932" t="str">
        <f t="shared" si="149"/>
        <v>Monitor</v>
      </c>
    </row>
    <row r="933" spans="1:25" x14ac:dyDescent="0.35">
      <c r="A933" t="s">
        <v>71</v>
      </c>
      <c r="B933" t="s">
        <v>72</v>
      </c>
      <c r="C933" t="s">
        <v>174</v>
      </c>
      <c r="D933" t="s">
        <v>750</v>
      </c>
      <c r="E933">
        <v>83921924</v>
      </c>
      <c r="F933" t="s">
        <v>751</v>
      </c>
      <c r="G933" s="3">
        <v>47276</v>
      </c>
      <c r="H933">
        <v>36</v>
      </c>
      <c r="I933">
        <v>100</v>
      </c>
      <c r="J933">
        <v>312</v>
      </c>
      <c r="K933" s="4">
        <v>87356.88</v>
      </c>
      <c r="L933" s="4">
        <f>0</f>
        <v>0</v>
      </c>
      <c r="M933" s="4">
        <f>999</f>
        <v>999</v>
      </c>
      <c r="N933" t="s">
        <v>19</v>
      </c>
      <c r="O933" t="str">
        <f t="shared" si="140"/>
        <v>Low</v>
      </c>
      <c r="P933" t="str">
        <f t="shared" si="141"/>
        <v>High</v>
      </c>
      <c r="Q933" t="str">
        <f t="shared" si="142"/>
        <v>High</v>
      </c>
      <c r="R933" t="s">
        <v>3310</v>
      </c>
      <c r="S933" s="4">
        <f t="shared" ca="1" si="143"/>
        <v>1079</v>
      </c>
      <c r="T933">
        <f t="shared" si="144"/>
        <v>1</v>
      </c>
      <c r="U933">
        <f t="shared" si="145"/>
        <v>3</v>
      </c>
      <c r="V933">
        <f t="shared" si="146"/>
        <v>3</v>
      </c>
      <c r="W933">
        <f t="shared" si="147"/>
        <v>2</v>
      </c>
      <c r="X933">
        <f t="shared" si="148"/>
        <v>2.1</v>
      </c>
      <c r="Y933" t="str">
        <f t="shared" si="149"/>
        <v>Monitor</v>
      </c>
    </row>
    <row r="934" spans="1:25" x14ac:dyDescent="0.35">
      <c r="A934" t="s">
        <v>71</v>
      </c>
      <c r="B934" t="s">
        <v>72</v>
      </c>
      <c r="C934" t="s">
        <v>174</v>
      </c>
      <c r="D934" t="s">
        <v>750</v>
      </c>
      <c r="E934">
        <v>83921924</v>
      </c>
      <c r="F934" t="s">
        <v>751</v>
      </c>
      <c r="G934" s="3">
        <v>47266</v>
      </c>
      <c r="H934">
        <v>36</v>
      </c>
      <c r="I934">
        <v>99</v>
      </c>
      <c r="J934">
        <v>95</v>
      </c>
      <c r="K934" s="4">
        <v>26599.05</v>
      </c>
      <c r="L934" s="4">
        <f>0</f>
        <v>0</v>
      </c>
      <c r="M934" s="4">
        <f>999</f>
        <v>999</v>
      </c>
      <c r="N934" t="s">
        <v>19</v>
      </c>
      <c r="O934" t="str">
        <f t="shared" si="140"/>
        <v>Low</v>
      </c>
      <c r="P934" t="str">
        <f t="shared" si="141"/>
        <v>High</v>
      </c>
      <c r="Q934" t="str">
        <f t="shared" si="142"/>
        <v>High</v>
      </c>
      <c r="R934" t="s">
        <v>3317</v>
      </c>
      <c r="S934" s="4">
        <f t="shared" ca="1" si="143"/>
        <v>1069</v>
      </c>
      <c r="T934">
        <f t="shared" si="144"/>
        <v>1</v>
      </c>
      <c r="U934">
        <f t="shared" si="145"/>
        <v>3</v>
      </c>
      <c r="V934">
        <f t="shared" si="146"/>
        <v>3</v>
      </c>
      <c r="W934">
        <f t="shared" si="147"/>
        <v>1</v>
      </c>
      <c r="X934">
        <f t="shared" si="148"/>
        <v>2</v>
      </c>
      <c r="Y934" t="str">
        <f t="shared" si="149"/>
        <v>Monitor</v>
      </c>
    </row>
    <row r="935" spans="1:25" x14ac:dyDescent="0.35">
      <c r="A935" t="s">
        <v>71</v>
      </c>
      <c r="B935" t="s">
        <v>72</v>
      </c>
      <c r="C935" t="s">
        <v>174</v>
      </c>
      <c r="D935" t="s">
        <v>328</v>
      </c>
      <c r="E935">
        <v>83921926</v>
      </c>
      <c r="F935" t="s">
        <v>752</v>
      </c>
      <c r="G935" s="3">
        <v>47248</v>
      </c>
      <c r="H935">
        <v>36</v>
      </c>
      <c r="I935">
        <v>98</v>
      </c>
      <c r="J935">
        <v>532</v>
      </c>
      <c r="K935" s="4">
        <v>574118.43999999994</v>
      </c>
      <c r="L935" s="4">
        <f>0</f>
        <v>0</v>
      </c>
      <c r="M935" s="4">
        <f>999</f>
        <v>999</v>
      </c>
      <c r="N935" t="s">
        <v>19</v>
      </c>
      <c r="O935" t="str">
        <f t="shared" si="140"/>
        <v>Low</v>
      </c>
      <c r="P935" t="str">
        <f t="shared" si="141"/>
        <v>High</v>
      </c>
      <c r="Q935" t="str">
        <f t="shared" si="142"/>
        <v>High</v>
      </c>
      <c r="R935" t="s">
        <v>3309</v>
      </c>
      <c r="S935" s="4">
        <f t="shared" ca="1" si="143"/>
        <v>1051</v>
      </c>
      <c r="T935">
        <f t="shared" si="144"/>
        <v>1</v>
      </c>
      <c r="U935">
        <f t="shared" si="145"/>
        <v>3</v>
      </c>
      <c r="V935">
        <f t="shared" si="146"/>
        <v>3</v>
      </c>
      <c r="W935">
        <f t="shared" si="147"/>
        <v>3</v>
      </c>
      <c r="X935">
        <f t="shared" si="148"/>
        <v>2.2000000000000002</v>
      </c>
      <c r="Y935" t="str">
        <f t="shared" si="149"/>
        <v>High Priority</v>
      </c>
    </row>
    <row r="936" spans="1:25" x14ac:dyDescent="0.35">
      <c r="A936" t="s">
        <v>71</v>
      </c>
      <c r="B936" t="s">
        <v>72</v>
      </c>
      <c r="C936" t="s">
        <v>174</v>
      </c>
      <c r="D936" t="s">
        <v>328</v>
      </c>
      <c r="E936">
        <v>83921926</v>
      </c>
      <c r="F936" t="s">
        <v>752</v>
      </c>
      <c r="G936" s="3">
        <v>47249</v>
      </c>
      <c r="H936">
        <v>36</v>
      </c>
      <c r="I936">
        <v>98</v>
      </c>
      <c r="J936">
        <v>68</v>
      </c>
      <c r="K936" s="4">
        <v>73383.56</v>
      </c>
      <c r="L936" s="4">
        <f>0</f>
        <v>0</v>
      </c>
      <c r="M936" s="4">
        <f>999</f>
        <v>999</v>
      </c>
      <c r="N936" t="s">
        <v>19</v>
      </c>
      <c r="O936" t="str">
        <f t="shared" si="140"/>
        <v>Low</v>
      </c>
      <c r="P936" t="str">
        <f t="shared" si="141"/>
        <v>High</v>
      </c>
      <c r="Q936" t="str">
        <f t="shared" si="142"/>
        <v>High</v>
      </c>
      <c r="R936" t="s">
        <v>3310</v>
      </c>
      <c r="S936" s="4">
        <f t="shared" ca="1" si="143"/>
        <v>1052</v>
      </c>
      <c r="T936">
        <f t="shared" si="144"/>
        <v>1</v>
      </c>
      <c r="U936">
        <f t="shared" si="145"/>
        <v>3</v>
      </c>
      <c r="V936">
        <f t="shared" si="146"/>
        <v>3</v>
      </c>
      <c r="W936">
        <f t="shared" si="147"/>
        <v>2</v>
      </c>
      <c r="X936">
        <f t="shared" si="148"/>
        <v>2.1</v>
      </c>
      <c r="Y936" t="str">
        <f t="shared" si="149"/>
        <v>Monitor</v>
      </c>
    </row>
    <row r="937" spans="1:25" x14ac:dyDescent="0.35">
      <c r="A937" t="s">
        <v>71</v>
      </c>
      <c r="B937" t="s">
        <v>72</v>
      </c>
      <c r="C937" t="s">
        <v>174</v>
      </c>
      <c r="D937" t="s">
        <v>328</v>
      </c>
      <c r="E937">
        <v>83921926</v>
      </c>
      <c r="F937" t="s">
        <v>752</v>
      </c>
      <c r="G937" s="3">
        <v>47277</v>
      </c>
      <c r="H937">
        <v>36</v>
      </c>
      <c r="I937">
        <v>100</v>
      </c>
      <c r="J937">
        <v>188</v>
      </c>
      <c r="K937" s="4">
        <v>202883.96</v>
      </c>
      <c r="L937" s="4">
        <f>0</f>
        <v>0</v>
      </c>
      <c r="M937" s="4">
        <f>999</f>
        <v>999</v>
      </c>
      <c r="N937" t="s">
        <v>19</v>
      </c>
      <c r="O937" t="str">
        <f t="shared" si="140"/>
        <v>Low</v>
      </c>
      <c r="P937" t="str">
        <f t="shared" si="141"/>
        <v>High</v>
      </c>
      <c r="Q937" t="str">
        <f t="shared" si="142"/>
        <v>High</v>
      </c>
      <c r="R937" t="s">
        <v>3309</v>
      </c>
      <c r="S937" s="4">
        <f t="shared" ca="1" si="143"/>
        <v>1080</v>
      </c>
      <c r="T937">
        <f t="shared" si="144"/>
        <v>1</v>
      </c>
      <c r="U937">
        <f t="shared" si="145"/>
        <v>3</v>
      </c>
      <c r="V937">
        <f t="shared" si="146"/>
        <v>3</v>
      </c>
      <c r="W937">
        <f t="shared" si="147"/>
        <v>3</v>
      </c>
      <c r="X937">
        <f t="shared" si="148"/>
        <v>2.2000000000000002</v>
      </c>
      <c r="Y937" t="str">
        <f t="shared" si="149"/>
        <v>High Priority</v>
      </c>
    </row>
    <row r="938" spans="1:25" x14ac:dyDescent="0.35">
      <c r="A938" t="s">
        <v>71</v>
      </c>
      <c r="B938" t="s">
        <v>72</v>
      </c>
      <c r="C938" t="s">
        <v>174</v>
      </c>
      <c r="D938" t="s">
        <v>753</v>
      </c>
      <c r="E938">
        <v>83921939</v>
      </c>
      <c r="F938" t="s">
        <v>754</v>
      </c>
      <c r="G938" s="3">
        <v>47243</v>
      </c>
      <c r="H938">
        <v>36</v>
      </c>
      <c r="I938">
        <v>97</v>
      </c>
      <c r="J938">
        <v>728</v>
      </c>
      <c r="K938" s="4">
        <v>1422177.12</v>
      </c>
      <c r="L938" s="4">
        <v>371.14285714285717</v>
      </c>
      <c r="M938" s="4">
        <v>1.9615088529638183</v>
      </c>
      <c r="N938" t="s">
        <v>25</v>
      </c>
      <c r="O938" t="str">
        <f t="shared" si="140"/>
        <v>Low</v>
      </c>
      <c r="P938" t="str">
        <f t="shared" si="141"/>
        <v>Low</v>
      </c>
      <c r="Q938" t="str">
        <f t="shared" si="142"/>
        <v>Low</v>
      </c>
      <c r="R938" t="s">
        <v>3309</v>
      </c>
      <c r="S938" s="4">
        <f t="shared" ca="1" si="143"/>
        <v>1046</v>
      </c>
      <c r="T938">
        <f t="shared" si="144"/>
        <v>1</v>
      </c>
      <c r="U938">
        <f t="shared" si="145"/>
        <v>1</v>
      </c>
      <c r="V938">
        <f t="shared" si="146"/>
        <v>1</v>
      </c>
      <c r="W938">
        <f t="shared" si="147"/>
        <v>3</v>
      </c>
      <c r="X938">
        <f t="shared" si="148"/>
        <v>1.2</v>
      </c>
      <c r="Y938" t="str">
        <f t="shared" si="149"/>
        <v>Healthy</v>
      </c>
    </row>
    <row r="939" spans="1:25" x14ac:dyDescent="0.35">
      <c r="A939" t="s">
        <v>71</v>
      </c>
      <c r="B939" t="s">
        <v>72</v>
      </c>
      <c r="C939" t="s">
        <v>174</v>
      </c>
      <c r="D939" t="s">
        <v>753</v>
      </c>
      <c r="E939">
        <v>83921939</v>
      </c>
      <c r="F939" t="s">
        <v>754</v>
      </c>
      <c r="G939" s="3">
        <v>47253</v>
      </c>
      <c r="H939">
        <v>36</v>
      </c>
      <c r="I939">
        <v>98</v>
      </c>
      <c r="J939">
        <v>787</v>
      </c>
      <c r="K939" s="4">
        <v>1537435.98</v>
      </c>
      <c r="L939" s="4">
        <v>371.14285714285717</v>
      </c>
      <c r="M939" s="4">
        <v>2.1204772902232487</v>
      </c>
      <c r="N939" t="s">
        <v>25</v>
      </c>
      <c r="O939" t="str">
        <f t="shared" si="140"/>
        <v>Low</v>
      </c>
      <c r="P939" t="str">
        <f t="shared" si="141"/>
        <v>Low</v>
      </c>
      <c r="Q939" t="str">
        <f t="shared" si="142"/>
        <v>Low</v>
      </c>
      <c r="R939" t="s">
        <v>3309</v>
      </c>
      <c r="S939" s="4">
        <f t="shared" ca="1" si="143"/>
        <v>1056</v>
      </c>
      <c r="T939">
        <f t="shared" si="144"/>
        <v>1</v>
      </c>
      <c r="U939">
        <f t="shared" si="145"/>
        <v>1</v>
      </c>
      <c r="V939">
        <f t="shared" si="146"/>
        <v>1</v>
      </c>
      <c r="W939">
        <f t="shared" si="147"/>
        <v>3</v>
      </c>
      <c r="X939">
        <f t="shared" si="148"/>
        <v>1.2</v>
      </c>
      <c r="Y939" t="str">
        <f t="shared" si="149"/>
        <v>Healthy</v>
      </c>
    </row>
    <row r="940" spans="1:25" x14ac:dyDescent="0.35">
      <c r="A940" t="s">
        <v>71</v>
      </c>
      <c r="B940" t="s">
        <v>72</v>
      </c>
      <c r="C940" t="s">
        <v>174</v>
      </c>
      <c r="D940" t="s">
        <v>753</v>
      </c>
      <c r="E940">
        <v>83921939</v>
      </c>
      <c r="F940" t="s">
        <v>754</v>
      </c>
      <c r="G940" s="3">
        <v>47257</v>
      </c>
      <c r="H940">
        <v>36</v>
      </c>
      <c r="I940">
        <v>99</v>
      </c>
      <c r="J940">
        <v>106</v>
      </c>
      <c r="K940" s="4">
        <v>207075.24</v>
      </c>
      <c r="L940" s="4">
        <v>371.14285714285717</v>
      </c>
      <c r="M940" s="4">
        <v>0.28560431100846806</v>
      </c>
      <c r="N940" t="s">
        <v>25</v>
      </c>
      <c r="O940" t="str">
        <f t="shared" si="140"/>
        <v>Low</v>
      </c>
      <c r="P940" t="str">
        <f t="shared" si="141"/>
        <v>Low</v>
      </c>
      <c r="Q940" t="str">
        <f t="shared" si="142"/>
        <v>Low</v>
      </c>
      <c r="R940" t="s">
        <v>3309</v>
      </c>
      <c r="S940" s="4">
        <f t="shared" ca="1" si="143"/>
        <v>1060</v>
      </c>
      <c r="T940">
        <f t="shared" si="144"/>
        <v>1</v>
      </c>
      <c r="U940">
        <f t="shared" si="145"/>
        <v>1</v>
      </c>
      <c r="V940">
        <f t="shared" si="146"/>
        <v>1</v>
      </c>
      <c r="W940">
        <f t="shared" si="147"/>
        <v>3</v>
      </c>
      <c r="X940">
        <f t="shared" si="148"/>
        <v>1.2</v>
      </c>
      <c r="Y940" t="str">
        <f t="shared" si="149"/>
        <v>Healthy</v>
      </c>
    </row>
    <row r="941" spans="1:25" x14ac:dyDescent="0.35">
      <c r="A941" t="s">
        <v>71</v>
      </c>
      <c r="B941" t="s">
        <v>72</v>
      </c>
      <c r="C941" t="s">
        <v>174</v>
      </c>
      <c r="D941" t="s">
        <v>753</v>
      </c>
      <c r="E941">
        <v>83921939</v>
      </c>
      <c r="F941" t="s">
        <v>754</v>
      </c>
      <c r="G941" s="3">
        <v>47242</v>
      </c>
      <c r="H941">
        <v>36</v>
      </c>
      <c r="I941">
        <v>97</v>
      </c>
      <c r="J941">
        <v>157</v>
      </c>
      <c r="K941" s="4">
        <v>314519.94</v>
      </c>
      <c r="L941" s="4">
        <v>371.14285714285717</v>
      </c>
      <c r="M941" s="4">
        <v>0.4230177059276366</v>
      </c>
      <c r="N941" t="s">
        <v>25</v>
      </c>
      <c r="O941" t="str">
        <f t="shared" si="140"/>
        <v>Low</v>
      </c>
      <c r="P941" t="str">
        <f t="shared" si="141"/>
        <v>Low</v>
      </c>
      <c r="Q941" t="str">
        <f t="shared" si="142"/>
        <v>Low</v>
      </c>
      <c r="R941" t="s">
        <v>3309</v>
      </c>
      <c r="S941" s="4">
        <f t="shared" ca="1" si="143"/>
        <v>1045</v>
      </c>
      <c r="T941">
        <f t="shared" si="144"/>
        <v>1</v>
      </c>
      <c r="U941">
        <f t="shared" si="145"/>
        <v>1</v>
      </c>
      <c r="V941">
        <f t="shared" si="146"/>
        <v>1</v>
      </c>
      <c r="W941">
        <f t="shared" si="147"/>
        <v>3</v>
      </c>
      <c r="X941">
        <f t="shared" si="148"/>
        <v>1.2</v>
      </c>
      <c r="Y941" t="str">
        <f t="shared" si="149"/>
        <v>Healthy</v>
      </c>
    </row>
    <row r="942" spans="1:25" x14ac:dyDescent="0.35">
      <c r="A942" t="s">
        <v>71</v>
      </c>
      <c r="B942" t="s">
        <v>72</v>
      </c>
      <c r="C942" t="s">
        <v>174</v>
      </c>
      <c r="D942" t="s">
        <v>753</v>
      </c>
      <c r="E942">
        <v>83921939</v>
      </c>
      <c r="F942" t="s">
        <v>754</v>
      </c>
      <c r="G942" s="3">
        <v>47252</v>
      </c>
      <c r="H942">
        <v>36</v>
      </c>
      <c r="I942">
        <v>98</v>
      </c>
      <c r="J942">
        <v>60</v>
      </c>
      <c r="K942" s="4">
        <v>117212.4</v>
      </c>
      <c r="L942" s="4">
        <v>371.14285714285717</v>
      </c>
      <c r="M942" s="4">
        <v>0.16166281755196305</v>
      </c>
      <c r="N942" t="s">
        <v>25</v>
      </c>
      <c r="O942" t="str">
        <f t="shared" si="140"/>
        <v>Low</v>
      </c>
      <c r="P942" t="str">
        <f t="shared" si="141"/>
        <v>Low</v>
      </c>
      <c r="Q942" t="str">
        <f t="shared" si="142"/>
        <v>Low</v>
      </c>
      <c r="R942" t="s">
        <v>3310</v>
      </c>
      <c r="S942" s="4">
        <f t="shared" ca="1" si="143"/>
        <v>1055</v>
      </c>
      <c r="T942">
        <f t="shared" si="144"/>
        <v>1</v>
      </c>
      <c r="U942">
        <f t="shared" si="145"/>
        <v>1</v>
      </c>
      <c r="V942">
        <f t="shared" si="146"/>
        <v>1</v>
      </c>
      <c r="W942">
        <f t="shared" si="147"/>
        <v>2</v>
      </c>
      <c r="X942">
        <f t="shared" si="148"/>
        <v>1.0999999999999999</v>
      </c>
      <c r="Y942" t="str">
        <f t="shared" si="149"/>
        <v>Healthy</v>
      </c>
    </row>
    <row r="943" spans="1:25" x14ac:dyDescent="0.35">
      <c r="A943" t="s">
        <v>71</v>
      </c>
      <c r="B943" t="s">
        <v>72</v>
      </c>
      <c r="C943" t="s">
        <v>174</v>
      </c>
      <c r="D943" t="s">
        <v>755</v>
      </c>
      <c r="E943">
        <v>83921940</v>
      </c>
      <c r="F943" t="s">
        <v>756</v>
      </c>
      <c r="G943" s="3">
        <v>47272</v>
      </c>
      <c r="H943">
        <v>36</v>
      </c>
      <c r="I943">
        <v>100</v>
      </c>
      <c r="J943">
        <v>100</v>
      </c>
      <c r="K943" s="4">
        <v>82397</v>
      </c>
      <c r="L943" s="4">
        <f>0</f>
        <v>0</v>
      </c>
      <c r="M943" s="4">
        <f>999</f>
        <v>999</v>
      </c>
      <c r="N943" t="s">
        <v>19</v>
      </c>
      <c r="O943" t="str">
        <f t="shared" si="140"/>
        <v>Low</v>
      </c>
      <c r="P943" t="str">
        <f t="shared" si="141"/>
        <v>High</v>
      </c>
      <c r="Q943" t="str">
        <f t="shared" si="142"/>
        <v>High</v>
      </c>
      <c r="R943" t="s">
        <v>3310</v>
      </c>
      <c r="S943" s="4">
        <f t="shared" ca="1" si="143"/>
        <v>1075</v>
      </c>
      <c r="T943">
        <f t="shared" si="144"/>
        <v>1</v>
      </c>
      <c r="U943">
        <f t="shared" si="145"/>
        <v>3</v>
      </c>
      <c r="V943">
        <f t="shared" si="146"/>
        <v>3</v>
      </c>
      <c r="W943">
        <f t="shared" si="147"/>
        <v>2</v>
      </c>
      <c r="X943">
        <f t="shared" si="148"/>
        <v>2.1</v>
      </c>
      <c r="Y943" t="str">
        <f t="shared" si="149"/>
        <v>Monitor</v>
      </c>
    </row>
    <row r="944" spans="1:25" x14ac:dyDescent="0.35">
      <c r="A944" t="s">
        <v>71</v>
      </c>
      <c r="B944" t="s">
        <v>72</v>
      </c>
      <c r="C944" t="s">
        <v>174</v>
      </c>
      <c r="D944" t="s">
        <v>755</v>
      </c>
      <c r="E944">
        <v>83921940</v>
      </c>
      <c r="F944" t="s">
        <v>756</v>
      </c>
      <c r="G944" s="3">
        <v>47246</v>
      </c>
      <c r="H944">
        <v>36</v>
      </c>
      <c r="I944">
        <v>98</v>
      </c>
      <c r="J944">
        <v>43</v>
      </c>
      <c r="K944" s="4">
        <v>35430.71</v>
      </c>
      <c r="L944" s="4">
        <f>0</f>
        <v>0</v>
      </c>
      <c r="M944" s="4">
        <f>999</f>
        <v>999</v>
      </c>
      <c r="N944" t="s">
        <v>19</v>
      </c>
      <c r="O944" t="str">
        <f t="shared" si="140"/>
        <v>Low</v>
      </c>
      <c r="P944" t="str">
        <f t="shared" si="141"/>
        <v>High</v>
      </c>
      <c r="Q944" t="str">
        <f t="shared" si="142"/>
        <v>High</v>
      </c>
      <c r="R944" t="s">
        <v>3317</v>
      </c>
      <c r="S944" s="4">
        <f t="shared" ca="1" si="143"/>
        <v>1049</v>
      </c>
      <c r="T944">
        <f t="shared" si="144"/>
        <v>1</v>
      </c>
      <c r="U944">
        <f t="shared" si="145"/>
        <v>3</v>
      </c>
      <c r="V944">
        <f t="shared" si="146"/>
        <v>3</v>
      </c>
      <c r="W944">
        <f t="shared" si="147"/>
        <v>1</v>
      </c>
      <c r="X944">
        <f t="shared" si="148"/>
        <v>2</v>
      </c>
      <c r="Y944" t="str">
        <f t="shared" si="149"/>
        <v>Monitor</v>
      </c>
    </row>
    <row r="945" spans="1:25" x14ac:dyDescent="0.35">
      <c r="A945" t="s">
        <v>71</v>
      </c>
      <c r="B945" t="s">
        <v>72</v>
      </c>
      <c r="C945" t="s">
        <v>174</v>
      </c>
      <c r="D945" t="s">
        <v>755</v>
      </c>
      <c r="E945">
        <v>83921940</v>
      </c>
      <c r="F945" t="s">
        <v>756</v>
      </c>
      <c r="G945" s="3">
        <v>47260</v>
      </c>
      <c r="H945">
        <v>36</v>
      </c>
      <c r="I945">
        <v>99</v>
      </c>
      <c r="J945">
        <v>44</v>
      </c>
      <c r="K945" s="4">
        <v>36254.68</v>
      </c>
      <c r="L945" s="4">
        <f>0</f>
        <v>0</v>
      </c>
      <c r="M945" s="4">
        <f>999</f>
        <v>999</v>
      </c>
      <c r="N945" t="s">
        <v>19</v>
      </c>
      <c r="O945" t="str">
        <f t="shared" si="140"/>
        <v>Low</v>
      </c>
      <c r="P945" t="str">
        <f t="shared" si="141"/>
        <v>High</v>
      </c>
      <c r="Q945" t="str">
        <f t="shared" si="142"/>
        <v>High</v>
      </c>
      <c r="R945" t="s">
        <v>3317</v>
      </c>
      <c r="S945" s="4">
        <f t="shared" ca="1" si="143"/>
        <v>1063</v>
      </c>
      <c r="T945">
        <f t="shared" si="144"/>
        <v>1</v>
      </c>
      <c r="U945">
        <f t="shared" si="145"/>
        <v>3</v>
      </c>
      <c r="V945">
        <f t="shared" si="146"/>
        <v>3</v>
      </c>
      <c r="W945">
        <f t="shared" si="147"/>
        <v>1</v>
      </c>
      <c r="X945">
        <f t="shared" si="148"/>
        <v>2</v>
      </c>
      <c r="Y945" t="str">
        <f t="shared" si="149"/>
        <v>Monitor</v>
      </c>
    </row>
    <row r="946" spans="1:25" x14ac:dyDescent="0.35">
      <c r="A946" t="s">
        <v>71</v>
      </c>
      <c r="B946" t="s">
        <v>72</v>
      </c>
      <c r="C946" t="s">
        <v>73</v>
      </c>
      <c r="D946" t="s">
        <v>757</v>
      </c>
      <c r="E946">
        <v>80712055</v>
      </c>
      <c r="F946" t="s">
        <v>758</v>
      </c>
      <c r="G946" s="3">
        <v>47020</v>
      </c>
      <c r="H946">
        <v>36</v>
      </c>
      <c r="I946">
        <v>77</v>
      </c>
      <c r="J946">
        <v>40</v>
      </c>
      <c r="K946" s="4">
        <v>87194.8</v>
      </c>
      <c r="L946" s="4">
        <f>0</f>
        <v>0</v>
      </c>
      <c r="M946" s="4">
        <f>999</f>
        <v>999</v>
      </c>
      <c r="N946" t="s">
        <v>19</v>
      </c>
      <c r="O946" t="str">
        <f t="shared" si="140"/>
        <v>Low</v>
      </c>
      <c r="P946" t="str">
        <f t="shared" si="141"/>
        <v>High</v>
      </c>
      <c r="Q946" t="str">
        <f t="shared" si="142"/>
        <v>High</v>
      </c>
      <c r="R946" t="s">
        <v>3310</v>
      </c>
      <c r="S946" s="4">
        <f t="shared" ca="1" si="143"/>
        <v>823</v>
      </c>
      <c r="T946">
        <f t="shared" si="144"/>
        <v>1</v>
      </c>
      <c r="U946">
        <f t="shared" si="145"/>
        <v>3</v>
      </c>
      <c r="V946">
        <f t="shared" si="146"/>
        <v>3</v>
      </c>
      <c r="W946">
        <f t="shared" si="147"/>
        <v>2</v>
      </c>
      <c r="X946">
        <f t="shared" si="148"/>
        <v>2.1</v>
      </c>
      <c r="Y946" t="str">
        <f t="shared" si="149"/>
        <v>Monitor</v>
      </c>
    </row>
    <row r="947" spans="1:25" x14ac:dyDescent="0.35">
      <c r="A947" t="s">
        <v>71</v>
      </c>
      <c r="B947" t="s">
        <v>72</v>
      </c>
      <c r="C947" t="s">
        <v>174</v>
      </c>
      <c r="D947" t="s">
        <v>759</v>
      </c>
      <c r="E947">
        <v>83921929</v>
      </c>
      <c r="F947" t="s">
        <v>760</v>
      </c>
      <c r="G947" s="3">
        <v>47252</v>
      </c>
      <c r="H947">
        <v>36</v>
      </c>
      <c r="I947">
        <v>98</v>
      </c>
      <c r="J947">
        <v>36</v>
      </c>
      <c r="K947" s="4">
        <v>43169.760000000002</v>
      </c>
      <c r="L947" s="4">
        <f>0</f>
        <v>0</v>
      </c>
      <c r="M947" s="4">
        <f>999</f>
        <v>999</v>
      </c>
      <c r="N947" t="s">
        <v>19</v>
      </c>
      <c r="O947" t="str">
        <f t="shared" si="140"/>
        <v>Low</v>
      </c>
      <c r="P947" t="str">
        <f t="shared" si="141"/>
        <v>High</v>
      </c>
      <c r="Q947" t="str">
        <f t="shared" si="142"/>
        <v>High</v>
      </c>
      <c r="R947" t="s">
        <v>3317</v>
      </c>
      <c r="S947" s="4">
        <f t="shared" ca="1" si="143"/>
        <v>1055</v>
      </c>
      <c r="T947">
        <f t="shared" si="144"/>
        <v>1</v>
      </c>
      <c r="U947">
        <f t="shared" si="145"/>
        <v>3</v>
      </c>
      <c r="V947">
        <f t="shared" si="146"/>
        <v>3</v>
      </c>
      <c r="W947">
        <f t="shared" si="147"/>
        <v>1</v>
      </c>
      <c r="X947">
        <f t="shared" si="148"/>
        <v>2</v>
      </c>
      <c r="Y947" t="str">
        <f t="shared" si="149"/>
        <v>Monitor</v>
      </c>
    </row>
    <row r="948" spans="1:25" x14ac:dyDescent="0.35">
      <c r="A948" t="s">
        <v>71</v>
      </c>
      <c r="B948" t="s">
        <v>72</v>
      </c>
      <c r="C948" t="s">
        <v>174</v>
      </c>
      <c r="D948" t="s">
        <v>759</v>
      </c>
      <c r="E948">
        <v>83921929</v>
      </c>
      <c r="F948" t="s">
        <v>760</v>
      </c>
      <c r="G948" s="3">
        <v>47250</v>
      </c>
      <c r="H948">
        <v>36</v>
      </c>
      <c r="I948">
        <v>98</v>
      </c>
      <c r="J948">
        <v>1016</v>
      </c>
      <c r="K948" s="4">
        <v>1218346.56</v>
      </c>
      <c r="L948" s="4">
        <f>0</f>
        <v>0</v>
      </c>
      <c r="M948" s="4">
        <f>999</f>
        <v>999</v>
      </c>
      <c r="N948" t="s">
        <v>19</v>
      </c>
      <c r="O948" t="str">
        <f t="shared" si="140"/>
        <v>Low</v>
      </c>
      <c r="P948" t="str">
        <f t="shared" si="141"/>
        <v>High</v>
      </c>
      <c r="Q948" t="str">
        <f t="shared" si="142"/>
        <v>High</v>
      </c>
      <c r="R948" t="s">
        <v>3309</v>
      </c>
      <c r="S948" s="4">
        <f t="shared" ca="1" si="143"/>
        <v>1053</v>
      </c>
      <c r="T948">
        <f t="shared" si="144"/>
        <v>1</v>
      </c>
      <c r="U948">
        <f t="shared" si="145"/>
        <v>3</v>
      </c>
      <c r="V948">
        <f t="shared" si="146"/>
        <v>3</v>
      </c>
      <c r="W948">
        <f t="shared" si="147"/>
        <v>3</v>
      </c>
      <c r="X948">
        <f t="shared" si="148"/>
        <v>2.2000000000000002</v>
      </c>
      <c r="Y948" t="str">
        <f t="shared" si="149"/>
        <v>High Priority</v>
      </c>
    </row>
    <row r="949" spans="1:25" x14ac:dyDescent="0.35">
      <c r="A949" t="s">
        <v>71</v>
      </c>
      <c r="B949" t="s">
        <v>72</v>
      </c>
      <c r="C949" t="s">
        <v>174</v>
      </c>
      <c r="D949" t="s">
        <v>759</v>
      </c>
      <c r="E949">
        <v>83921929</v>
      </c>
      <c r="F949" t="s">
        <v>760</v>
      </c>
      <c r="G949" s="3">
        <v>47251</v>
      </c>
      <c r="H949">
        <v>36</v>
      </c>
      <c r="I949">
        <v>98</v>
      </c>
      <c r="J949">
        <v>1308</v>
      </c>
      <c r="K949" s="4">
        <v>1568501.28</v>
      </c>
      <c r="L949" s="4">
        <f>0</f>
        <v>0</v>
      </c>
      <c r="M949" s="4">
        <f>999</f>
        <v>999</v>
      </c>
      <c r="N949" t="s">
        <v>19</v>
      </c>
      <c r="O949" t="str">
        <f t="shared" si="140"/>
        <v>Low</v>
      </c>
      <c r="P949" t="str">
        <f t="shared" si="141"/>
        <v>High</v>
      </c>
      <c r="Q949" t="str">
        <f t="shared" si="142"/>
        <v>High</v>
      </c>
      <c r="R949" t="s">
        <v>3309</v>
      </c>
      <c r="S949" s="4">
        <f t="shared" ca="1" si="143"/>
        <v>1054</v>
      </c>
      <c r="T949">
        <f t="shared" si="144"/>
        <v>1</v>
      </c>
      <c r="U949">
        <f t="shared" si="145"/>
        <v>3</v>
      </c>
      <c r="V949">
        <f t="shared" si="146"/>
        <v>3</v>
      </c>
      <c r="W949">
        <f t="shared" si="147"/>
        <v>3</v>
      </c>
      <c r="X949">
        <f t="shared" si="148"/>
        <v>2.2000000000000002</v>
      </c>
      <c r="Y949" t="str">
        <f t="shared" si="149"/>
        <v>High Priority</v>
      </c>
    </row>
    <row r="950" spans="1:25" x14ac:dyDescent="0.35">
      <c r="A950" t="s">
        <v>71</v>
      </c>
      <c r="B950" t="s">
        <v>72</v>
      </c>
      <c r="C950" t="s">
        <v>174</v>
      </c>
      <c r="D950" t="s">
        <v>761</v>
      </c>
      <c r="E950">
        <v>83921942</v>
      </c>
      <c r="F950" t="s">
        <v>762</v>
      </c>
      <c r="G950" s="3">
        <v>47257</v>
      </c>
      <c r="H950">
        <v>36</v>
      </c>
      <c r="I950">
        <v>99</v>
      </c>
      <c r="J950">
        <v>912</v>
      </c>
      <c r="K950" s="4">
        <v>1781628.48</v>
      </c>
      <c r="L950" s="4">
        <v>76.714285714285708</v>
      </c>
      <c r="M950" s="4">
        <v>11.888268156424582</v>
      </c>
      <c r="N950" t="s">
        <v>19</v>
      </c>
      <c r="O950" t="str">
        <f t="shared" si="140"/>
        <v>Low</v>
      </c>
      <c r="P950" t="str">
        <f t="shared" si="141"/>
        <v>High</v>
      </c>
      <c r="Q950" t="str">
        <f t="shared" si="142"/>
        <v>Low</v>
      </c>
      <c r="R950" t="s">
        <v>3309</v>
      </c>
      <c r="S950" s="4">
        <f t="shared" ca="1" si="143"/>
        <v>1060</v>
      </c>
      <c r="T950">
        <f t="shared" si="144"/>
        <v>1</v>
      </c>
      <c r="U950">
        <f t="shared" si="145"/>
        <v>3</v>
      </c>
      <c r="V950">
        <f t="shared" si="146"/>
        <v>1</v>
      </c>
      <c r="W950">
        <f t="shared" si="147"/>
        <v>3</v>
      </c>
      <c r="X950">
        <f t="shared" si="148"/>
        <v>1.7999999999999998</v>
      </c>
      <c r="Y950" t="str">
        <f t="shared" si="149"/>
        <v>Monitor</v>
      </c>
    </row>
    <row r="951" spans="1:25" x14ac:dyDescent="0.35">
      <c r="A951" t="s">
        <v>71</v>
      </c>
      <c r="B951" t="s">
        <v>72</v>
      </c>
      <c r="C951" t="s">
        <v>174</v>
      </c>
      <c r="D951" t="s">
        <v>761</v>
      </c>
      <c r="E951">
        <v>83921942</v>
      </c>
      <c r="F951" t="s">
        <v>762</v>
      </c>
      <c r="G951" s="3">
        <v>47259</v>
      </c>
      <c r="H951">
        <v>36</v>
      </c>
      <c r="I951">
        <v>99</v>
      </c>
      <c r="J951">
        <v>810</v>
      </c>
      <c r="K951" s="4">
        <v>1582367.4</v>
      </c>
      <c r="L951" s="4">
        <v>76.714285714285708</v>
      </c>
      <c r="M951" s="4">
        <v>10.558659217877096</v>
      </c>
      <c r="N951" t="s">
        <v>19</v>
      </c>
      <c r="O951" t="str">
        <f t="shared" si="140"/>
        <v>Low</v>
      </c>
      <c r="P951" t="str">
        <f t="shared" si="141"/>
        <v>High</v>
      </c>
      <c r="Q951" t="str">
        <f t="shared" si="142"/>
        <v>Low</v>
      </c>
      <c r="R951" t="s">
        <v>3309</v>
      </c>
      <c r="S951" s="4">
        <f t="shared" ca="1" si="143"/>
        <v>1062</v>
      </c>
      <c r="T951">
        <f t="shared" si="144"/>
        <v>1</v>
      </c>
      <c r="U951">
        <f t="shared" si="145"/>
        <v>3</v>
      </c>
      <c r="V951">
        <f t="shared" si="146"/>
        <v>1</v>
      </c>
      <c r="W951">
        <f t="shared" si="147"/>
        <v>3</v>
      </c>
      <c r="X951">
        <f t="shared" si="148"/>
        <v>1.7999999999999998</v>
      </c>
      <c r="Y951" t="str">
        <f t="shared" si="149"/>
        <v>Monitor</v>
      </c>
    </row>
    <row r="952" spans="1:25" x14ac:dyDescent="0.35">
      <c r="A952" t="s">
        <v>71</v>
      </c>
      <c r="B952" t="s">
        <v>72</v>
      </c>
      <c r="C952" t="s">
        <v>174</v>
      </c>
      <c r="D952" t="s">
        <v>761</v>
      </c>
      <c r="E952">
        <v>83921942</v>
      </c>
      <c r="F952" t="s">
        <v>762</v>
      </c>
      <c r="G952" s="3">
        <v>47258</v>
      </c>
      <c r="H952">
        <v>36</v>
      </c>
      <c r="I952">
        <v>99</v>
      </c>
      <c r="J952">
        <v>839</v>
      </c>
      <c r="K952" s="4">
        <v>1639020.06</v>
      </c>
      <c r="L952" s="4">
        <v>76.714285714285708</v>
      </c>
      <c r="M952" s="4">
        <v>10.936685288640597</v>
      </c>
      <c r="N952" t="s">
        <v>19</v>
      </c>
      <c r="O952" t="str">
        <f t="shared" si="140"/>
        <v>Low</v>
      </c>
      <c r="P952" t="str">
        <f t="shared" si="141"/>
        <v>High</v>
      </c>
      <c r="Q952" t="str">
        <f t="shared" si="142"/>
        <v>Low</v>
      </c>
      <c r="R952" t="s">
        <v>3309</v>
      </c>
      <c r="S952" s="4">
        <f t="shared" ca="1" si="143"/>
        <v>1061</v>
      </c>
      <c r="T952">
        <f t="shared" si="144"/>
        <v>1</v>
      </c>
      <c r="U952">
        <f t="shared" si="145"/>
        <v>3</v>
      </c>
      <c r="V952">
        <f t="shared" si="146"/>
        <v>1</v>
      </c>
      <c r="W952">
        <f t="shared" si="147"/>
        <v>3</v>
      </c>
      <c r="X952">
        <f t="shared" si="148"/>
        <v>1.7999999999999998</v>
      </c>
      <c r="Y952" t="str">
        <f t="shared" si="149"/>
        <v>Monitor</v>
      </c>
    </row>
    <row r="953" spans="1:25" x14ac:dyDescent="0.35">
      <c r="A953" t="s">
        <v>71</v>
      </c>
      <c r="B953" t="s">
        <v>72</v>
      </c>
      <c r="C953" t="s">
        <v>174</v>
      </c>
      <c r="D953" t="s">
        <v>763</v>
      </c>
      <c r="E953">
        <v>83921943</v>
      </c>
      <c r="F953" t="s">
        <v>764</v>
      </c>
      <c r="G953" s="3">
        <v>47271</v>
      </c>
      <c r="H953">
        <v>36</v>
      </c>
      <c r="I953">
        <v>100</v>
      </c>
      <c r="J953">
        <v>154</v>
      </c>
      <c r="K953" s="4">
        <v>126891.38</v>
      </c>
      <c r="L953" s="4">
        <f>0</f>
        <v>0</v>
      </c>
      <c r="M953" s="4">
        <f>999</f>
        <v>999</v>
      </c>
      <c r="N953" t="s">
        <v>19</v>
      </c>
      <c r="O953" t="str">
        <f t="shared" si="140"/>
        <v>Low</v>
      </c>
      <c r="P953" t="str">
        <f t="shared" si="141"/>
        <v>High</v>
      </c>
      <c r="Q953" t="str">
        <f t="shared" si="142"/>
        <v>High</v>
      </c>
      <c r="R953" t="s">
        <v>3310</v>
      </c>
      <c r="S953" s="4">
        <f t="shared" ca="1" si="143"/>
        <v>1074</v>
      </c>
      <c r="T953">
        <f t="shared" si="144"/>
        <v>1</v>
      </c>
      <c r="U953">
        <f t="shared" si="145"/>
        <v>3</v>
      </c>
      <c r="V953">
        <f t="shared" si="146"/>
        <v>3</v>
      </c>
      <c r="W953">
        <f t="shared" si="147"/>
        <v>2</v>
      </c>
      <c r="X953">
        <f t="shared" si="148"/>
        <v>2.1</v>
      </c>
      <c r="Y953" t="str">
        <f t="shared" si="149"/>
        <v>Monitor</v>
      </c>
    </row>
    <row r="954" spans="1:25" x14ac:dyDescent="0.35">
      <c r="A954" t="s">
        <v>71</v>
      </c>
      <c r="B954" t="s">
        <v>72</v>
      </c>
      <c r="C954" t="s">
        <v>174</v>
      </c>
      <c r="D954" t="s">
        <v>763</v>
      </c>
      <c r="E954">
        <v>83921943</v>
      </c>
      <c r="F954" t="s">
        <v>764</v>
      </c>
      <c r="G954" s="3">
        <v>47268</v>
      </c>
      <c r="H954">
        <v>36</v>
      </c>
      <c r="I954">
        <v>100</v>
      </c>
      <c r="J954">
        <v>56</v>
      </c>
      <c r="K954" s="4">
        <v>46142.32</v>
      </c>
      <c r="L954" s="4">
        <f>0</f>
        <v>0</v>
      </c>
      <c r="M954" s="4">
        <f>999</f>
        <v>999</v>
      </c>
      <c r="N954" t="s">
        <v>19</v>
      </c>
      <c r="O954" t="str">
        <f t="shared" si="140"/>
        <v>Low</v>
      </c>
      <c r="P954" t="str">
        <f t="shared" si="141"/>
        <v>High</v>
      </c>
      <c r="Q954" t="str">
        <f t="shared" si="142"/>
        <v>High</v>
      </c>
      <c r="R954" t="s">
        <v>3317</v>
      </c>
      <c r="S954" s="4">
        <f t="shared" ca="1" si="143"/>
        <v>1071</v>
      </c>
      <c r="T954">
        <f t="shared" si="144"/>
        <v>1</v>
      </c>
      <c r="U954">
        <f t="shared" si="145"/>
        <v>3</v>
      </c>
      <c r="V954">
        <f t="shared" si="146"/>
        <v>3</v>
      </c>
      <c r="W954">
        <f t="shared" si="147"/>
        <v>1</v>
      </c>
      <c r="X954">
        <f t="shared" si="148"/>
        <v>2</v>
      </c>
      <c r="Y954" t="str">
        <f t="shared" si="149"/>
        <v>Monitor</v>
      </c>
    </row>
    <row r="955" spans="1:25" x14ac:dyDescent="0.35">
      <c r="A955" t="s">
        <v>71</v>
      </c>
      <c r="B955" t="s">
        <v>72</v>
      </c>
      <c r="C955" t="s">
        <v>174</v>
      </c>
      <c r="D955" t="s">
        <v>765</v>
      </c>
      <c r="E955">
        <v>83921931</v>
      </c>
      <c r="F955" t="s">
        <v>766</v>
      </c>
      <c r="G955" s="3">
        <v>46830</v>
      </c>
      <c r="H955">
        <v>36</v>
      </c>
      <c r="I955">
        <v>59</v>
      </c>
      <c r="J955">
        <v>258</v>
      </c>
      <c r="K955" s="4">
        <v>940446.12</v>
      </c>
      <c r="L955" s="4">
        <f>0</f>
        <v>0</v>
      </c>
      <c r="M955" s="4">
        <f>999</f>
        <v>999</v>
      </c>
      <c r="N955" t="s">
        <v>19</v>
      </c>
      <c r="O955" t="str">
        <f t="shared" si="140"/>
        <v>Low</v>
      </c>
      <c r="P955" t="str">
        <f t="shared" si="141"/>
        <v>High</v>
      </c>
      <c r="Q955" t="str">
        <f t="shared" si="142"/>
        <v>High</v>
      </c>
      <c r="R955" t="s">
        <v>3309</v>
      </c>
      <c r="S955" s="4">
        <f t="shared" ca="1" si="143"/>
        <v>633</v>
      </c>
      <c r="T955">
        <f t="shared" si="144"/>
        <v>1</v>
      </c>
      <c r="U955">
        <f t="shared" si="145"/>
        <v>3</v>
      </c>
      <c r="V955">
        <f t="shared" si="146"/>
        <v>3</v>
      </c>
      <c r="W955">
        <f t="shared" si="147"/>
        <v>3</v>
      </c>
      <c r="X955">
        <f t="shared" si="148"/>
        <v>2.2000000000000002</v>
      </c>
      <c r="Y955" t="str">
        <f t="shared" si="149"/>
        <v>High Priority</v>
      </c>
    </row>
    <row r="956" spans="1:25" x14ac:dyDescent="0.35">
      <c r="A956" t="s">
        <v>71</v>
      </c>
      <c r="B956" t="s">
        <v>72</v>
      </c>
      <c r="C956" t="s">
        <v>174</v>
      </c>
      <c r="D956" t="s">
        <v>305</v>
      </c>
      <c r="E956">
        <v>83921932</v>
      </c>
      <c r="F956" t="s">
        <v>767</v>
      </c>
      <c r="G956" s="3">
        <v>47273</v>
      </c>
      <c r="H956">
        <v>36</v>
      </c>
      <c r="I956">
        <v>100</v>
      </c>
      <c r="J956">
        <v>532</v>
      </c>
      <c r="K956" s="4">
        <v>595393.12</v>
      </c>
      <c r="L956" s="4">
        <v>86.857142857142861</v>
      </c>
      <c r="M956" s="4">
        <v>6.125</v>
      </c>
      <c r="N956" t="s">
        <v>19</v>
      </c>
      <c r="O956" t="str">
        <f t="shared" si="140"/>
        <v>Low</v>
      </c>
      <c r="P956" t="str">
        <f t="shared" si="141"/>
        <v>Medium</v>
      </c>
      <c r="Q956" t="str">
        <f t="shared" si="142"/>
        <v>Low</v>
      </c>
      <c r="R956" t="s">
        <v>3309</v>
      </c>
      <c r="S956" s="4">
        <f t="shared" ca="1" si="143"/>
        <v>1076</v>
      </c>
      <c r="T956">
        <f t="shared" si="144"/>
        <v>1</v>
      </c>
      <c r="U956">
        <f t="shared" si="145"/>
        <v>2</v>
      </c>
      <c r="V956">
        <f t="shared" si="146"/>
        <v>1</v>
      </c>
      <c r="W956">
        <f t="shared" si="147"/>
        <v>3</v>
      </c>
      <c r="X956">
        <f t="shared" si="148"/>
        <v>1.5</v>
      </c>
      <c r="Y956" t="str">
        <f t="shared" si="149"/>
        <v>Healthy</v>
      </c>
    </row>
    <row r="957" spans="1:25" x14ac:dyDescent="0.35">
      <c r="A957" t="s">
        <v>71</v>
      </c>
      <c r="B957" t="s">
        <v>72</v>
      </c>
      <c r="C957" t="s">
        <v>174</v>
      </c>
      <c r="D957" t="s">
        <v>305</v>
      </c>
      <c r="E957">
        <v>83921932</v>
      </c>
      <c r="F957" t="s">
        <v>767</v>
      </c>
      <c r="G957" s="3">
        <v>47260</v>
      </c>
      <c r="H957">
        <v>36</v>
      </c>
      <c r="I957">
        <v>99</v>
      </c>
      <c r="J957">
        <v>512</v>
      </c>
      <c r="K957" s="4">
        <v>573009.92000000004</v>
      </c>
      <c r="L957" s="4">
        <v>86.857142857142861</v>
      </c>
      <c r="M957" s="4">
        <v>5.8947368421052628</v>
      </c>
      <c r="N957" t="s">
        <v>25</v>
      </c>
      <c r="O957" t="str">
        <f t="shared" si="140"/>
        <v>Low</v>
      </c>
      <c r="P957" t="str">
        <f t="shared" si="141"/>
        <v>Medium</v>
      </c>
      <c r="Q957" t="str">
        <f t="shared" si="142"/>
        <v>Low</v>
      </c>
      <c r="R957" t="s">
        <v>3309</v>
      </c>
      <c r="S957" s="4">
        <f t="shared" ca="1" si="143"/>
        <v>1063</v>
      </c>
      <c r="T957">
        <f t="shared" si="144"/>
        <v>1</v>
      </c>
      <c r="U957">
        <f t="shared" si="145"/>
        <v>2</v>
      </c>
      <c r="V957">
        <f t="shared" si="146"/>
        <v>1</v>
      </c>
      <c r="W957">
        <f t="shared" si="147"/>
        <v>3</v>
      </c>
      <c r="X957">
        <f t="shared" si="148"/>
        <v>1.5</v>
      </c>
      <c r="Y957" t="str">
        <f t="shared" si="149"/>
        <v>Healthy</v>
      </c>
    </row>
    <row r="958" spans="1:25" x14ac:dyDescent="0.35">
      <c r="A958" t="s">
        <v>71</v>
      </c>
      <c r="B958" t="s">
        <v>72</v>
      </c>
      <c r="C958" t="s">
        <v>174</v>
      </c>
      <c r="D958" t="s">
        <v>305</v>
      </c>
      <c r="E958">
        <v>83921932</v>
      </c>
      <c r="F958" t="s">
        <v>767</v>
      </c>
      <c r="G958" s="3">
        <v>47271</v>
      </c>
      <c r="H958">
        <v>36</v>
      </c>
      <c r="I958">
        <v>100</v>
      </c>
      <c r="J958">
        <v>460</v>
      </c>
      <c r="K958" s="4">
        <v>514813.6</v>
      </c>
      <c r="L958" s="4">
        <v>86.857142857142861</v>
      </c>
      <c r="M958" s="4">
        <v>5.2960526315789469</v>
      </c>
      <c r="N958" t="s">
        <v>25</v>
      </c>
      <c r="O958" t="str">
        <f t="shared" si="140"/>
        <v>Low</v>
      </c>
      <c r="P958" t="str">
        <f t="shared" si="141"/>
        <v>Medium</v>
      </c>
      <c r="Q958" t="str">
        <f t="shared" si="142"/>
        <v>Low</v>
      </c>
      <c r="R958" t="s">
        <v>3309</v>
      </c>
      <c r="S958" s="4">
        <f t="shared" ca="1" si="143"/>
        <v>1074</v>
      </c>
      <c r="T958">
        <f t="shared" si="144"/>
        <v>1</v>
      </c>
      <c r="U958">
        <f t="shared" si="145"/>
        <v>2</v>
      </c>
      <c r="V958">
        <f t="shared" si="146"/>
        <v>1</v>
      </c>
      <c r="W958">
        <f t="shared" si="147"/>
        <v>3</v>
      </c>
      <c r="X958">
        <f t="shared" si="148"/>
        <v>1.5</v>
      </c>
      <c r="Y958" t="str">
        <f t="shared" si="149"/>
        <v>Healthy</v>
      </c>
    </row>
    <row r="959" spans="1:25" x14ac:dyDescent="0.35">
      <c r="A959" t="s">
        <v>20</v>
      </c>
      <c r="B959" t="s">
        <v>21</v>
      </c>
      <c r="C959" t="s">
        <v>51</v>
      </c>
      <c r="D959" t="s">
        <v>768</v>
      </c>
      <c r="E959">
        <v>80894418</v>
      </c>
      <c r="F959" t="s">
        <v>769</v>
      </c>
      <c r="G959" s="3">
        <v>47268</v>
      </c>
      <c r="H959">
        <v>36</v>
      </c>
      <c r="I959">
        <v>100</v>
      </c>
      <c r="J959">
        <v>193</v>
      </c>
      <c r="K959" s="4">
        <v>26248</v>
      </c>
      <c r="L959" s="4">
        <v>22</v>
      </c>
      <c r="M959" s="4">
        <v>8.7727272727272734</v>
      </c>
      <c r="N959" t="s">
        <v>19</v>
      </c>
      <c r="O959" t="str">
        <f t="shared" si="140"/>
        <v>Low</v>
      </c>
      <c r="P959" t="str">
        <f t="shared" si="141"/>
        <v>High</v>
      </c>
      <c r="Q959" t="str">
        <f t="shared" si="142"/>
        <v>Low</v>
      </c>
      <c r="R959" t="s">
        <v>3317</v>
      </c>
      <c r="S959" s="4">
        <f t="shared" ca="1" si="143"/>
        <v>1071</v>
      </c>
      <c r="T959">
        <f t="shared" si="144"/>
        <v>1</v>
      </c>
      <c r="U959">
        <f t="shared" si="145"/>
        <v>3</v>
      </c>
      <c r="V959">
        <f t="shared" si="146"/>
        <v>1</v>
      </c>
      <c r="W959">
        <f t="shared" si="147"/>
        <v>1</v>
      </c>
      <c r="X959">
        <f t="shared" si="148"/>
        <v>1.5999999999999999</v>
      </c>
      <c r="Y959" t="str">
        <f t="shared" si="149"/>
        <v>Healthy</v>
      </c>
    </row>
    <row r="960" spans="1:25" x14ac:dyDescent="0.35">
      <c r="A960" t="s">
        <v>20</v>
      </c>
      <c r="B960" t="s">
        <v>21</v>
      </c>
      <c r="C960" t="s">
        <v>770</v>
      </c>
      <c r="D960" t="s">
        <v>771</v>
      </c>
      <c r="E960">
        <v>80894424</v>
      </c>
      <c r="F960" t="s">
        <v>772</v>
      </c>
      <c r="G960" s="3">
        <v>47269</v>
      </c>
      <c r="H960">
        <v>36</v>
      </c>
      <c r="I960">
        <v>100</v>
      </c>
      <c r="J960">
        <v>816</v>
      </c>
      <c r="K960" s="4">
        <v>84864</v>
      </c>
      <c r="L960" s="4">
        <f>0</f>
        <v>0</v>
      </c>
      <c r="M960" s="4">
        <f>999</f>
        <v>999</v>
      </c>
      <c r="N960" t="s">
        <v>19</v>
      </c>
      <c r="O960" t="str">
        <f t="shared" si="140"/>
        <v>Low</v>
      </c>
      <c r="P960" t="str">
        <f t="shared" si="141"/>
        <v>High</v>
      </c>
      <c r="Q960" t="str">
        <f t="shared" si="142"/>
        <v>High</v>
      </c>
      <c r="R960" t="s">
        <v>3310</v>
      </c>
      <c r="S960" s="4">
        <f t="shared" ca="1" si="143"/>
        <v>1072</v>
      </c>
      <c r="T960">
        <f t="shared" si="144"/>
        <v>1</v>
      </c>
      <c r="U960">
        <f t="shared" si="145"/>
        <v>3</v>
      </c>
      <c r="V960">
        <f t="shared" si="146"/>
        <v>3</v>
      </c>
      <c r="W960">
        <f t="shared" si="147"/>
        <v>2</v>
      </c>
      <c r="X960">
        <f t="shared" si="148"/>
        <v>2.1</v>
      </c>
      <c r="Y960" t="str">
        <f t="shared" si="149"/>
        <v>Monitor</v>
      </c>
    </row>
    <row r="961" spans="1:25" x14ac:dyDescent="0.35">
      <c r="A961" t="s">
        <v>20</v>
      </c>
      <c r="B961" t="s">
        <v>21</v>
      </c>
      <c r="C961" t="s">
        <v>770</v>
      </c>
      <c r="D961" t="s">
        <v>771</v>
      </c>
      <c r="E961">
        <v>80894424</v>
      </c>
      <c r="F961" t="s">
        <v>772</v>
      </c>
      <c r="G961" s="3">
        <v>47268</v>
      </c>
      <c r="H961">
        <v>36</v>
      </c>
      <c r="I961">
        <v>100</v>
      </c>
      <c r="J961">
        <v>10</v>
      </c>
      <c r="K961" s="4">
        <v>1040</v>
      </c>
      <c r="L961" s="4">
        <f>0</f>
        <v>0</v>
      </c>
      <c r="M961" s="4">
        <f>999</f>
        <v>999</v>
      </c>
      <c r="N961" t="s">
        <v>19</v>
      </c>
      <c r="O961" t="str">
        <f t="shared" si="140"/>
        <v>Low</v>
      </c>
      <c r="P961" t="str">
        <f t="shared" si="141"/>
        <v>High</v>
      </c>
      <c r="Q961" t="str">
        <f t="shared" si="142"/>
        <v>High</v>
      </c>
      <c r="R961" t="s">
        <v>3317</v>
      </c>
      <c r="S961" s="4">
        <f t="shared" ca="1" si="143"/>
        <v>1071</v>
      </c>
      <c r="T961">
        <f t="shared" si="144"/>
        <v>1</v>
      </c>
      <c r="U961">
        <f t="shared" si="145"/>
        <v>3</v>
      </c>
      <c r="V961">
        <f t="shared" si="146"/>
        <v>3</v>
      </c>
      <c r="W961">
        <f t="shared" si="147"/>
        <v>1</v>
      </c>
      <c r="X961">
        <f t="shared" si="148"/>
        <v>2</v>
      </c>
      <c r="Y961" t="str">
        <f t="shared" si="149"/>
        <v>Monitor</v>
      </c>
    </row>
    <row r="962" spans="1:25" x14ac:dyDescent="0.35">
      <c r="A962" t="s">
        <v>20</v>
      </c>
      <c r="B962" t="s">
        <v>21</v>
      </c>
      <c r="C962" t="s">
        <v>51</v>
      </c>
      <c r="D962" t="s">
        <v>773</v>
      </c>
      <c r="E962">
        <v>80894386</v>
      </c>
      <c r="F962" t="s">
        <v>774</v>
      </c>
      <c r="G962" s="3">
        <v>47258</v>
      </c>
      <c r="H962">
        <v>36</v>
      </c>
      <c r="I962">
        <v>99</v>
      </c>
      <c r="J962">
        <v>180</v>
      </c>
      <c r="K962" s="4">
        <v>21600</v>
      </c>
      <c r="L962" s="4">
        <f>0</f>
        <v>0</v>
      </c>
      <c r="M962" s="4">
        <f>999</f>
        <v>999</v>
      </c>
      <c r="N962" t="s">
        <v>19</v>
      </c>
      <c r="O962" t="str">
        <f t="shared" si="140"/>
        <v>Low</v>
      </c>
      <c r="P962" t="str">
        <f t="shared" si="141"/>
        <v>High</v>
      </c>
      <c r="Q962" t="str">
        <f t="shared" si="142"/>
        <v>High</v>
      </c>
      <c r="R962" t="s">
        <v>3317</v>
      </c>
      <c r="S962" s="4">
        <f t="shared" ca="1" si="143"/>
        <v>1061</v>
      </c>
      <c r="T962">
        <f t="shared" si="144"/>
        <v>1</v>
      </c>
      <c r="U962">
        <f t="shared" si="145"/>
        <v>3</v>
      </c>
      <c r="V962">
        <f t="shared" si="146"/>
        <v>3</v>
      </c>
      <c r="W962">
        <f t="shared" si="147"/>
        <v>1</v>
      </c>
      <c r="X962">
        <f t="shared" si="148"/>
        <v>2</v>
      </c>
      <c r="Y962" t="str">
        <f t="shared" si="149"/>
        <v>Monitor</v>
      </c>
    </row>
    <row r="963" spans="1:25" x14ac:dyDescent="0.35">
      <c r="A963" t="s">
        <v>20</v>
      </c>
      <c r="B963" t="s">
        <v>21</v>
      </c>
      <c r="C963" t="s">
        <v>770</v>
      </c>
      <c r="D963" t="s">
        <v>775</v>
      </c>
      <c r="E963">
        <v>80894426</v>
      </c>
      <c r="F963" t="s">
        <v>776</v>
      </c>
      <c r="G963" s="3">
        <v>47259</v>
      </c>
      <c r="H963">
        <v>36</v>
      </c>
      <c r="I963">
        <v>99</v>
      </c>
      <c r="J963">
        <v>1826</v>
      </c>
      <c r="K963" s="4">
        <v>160688</v>
      </c>
      <c r="L963" s="4">
        <v>273.57142857142856</v>
      </c>
      <c r="M963" s="4">
        <v>6.6746736292428199</v>
      </c>
      <c r="N963" t="s">
        <v>19</v>
      </c>
      <c r="O963" t="str">
        <f t="shared" ref="O963:O1026" si="150">IF(I963&lt;20,"High",IF(I963&lt;40,"Medium","Low"))</f>
        <v>Low</v>
      </c>
      <c r="P963" t="str">
        <f t="shared" ref="P963:P1026" si="151">IF(M963&gt;8,"High",IF(M963&gt;4,"Medium","Low"))</f>
        <v>Medium</v>
      </c>
      <c r="Q963" t="str">
        <f t="shared" ref="Q963:Q1026" si="152">IF(L963&lt;5,"High",IF(L963&lt;15,"Medium","Low"))</f>
        <v>Low</v>
      </c>
      <c r="R963" t="s">
        <v>3309</v>
      </c>
      <c r="S963" s="4">
        <f t="shared" ref="S963:S1026" ca="1" si="153">G963-TODAY()</f>
        <v>1062</v>
      </c>
      <c r="T963">
        <f t="shared" ref="T963:T1026" si="154">IF(O963="High",3,IF(O963="Medium",2,1))</f>
        <v>1</v>
      </c>
      <c r="U963">
        <f t="shared" ref="U963:U1026" si="155">IF(P963="High",3,IF(P963="Medium",2,1))</f>
        <v>2</v>
      </c>
      <c r="V963">
        <f t="shared" ref="V963:V1026" si="156">IF(Q963="High",3,IF(Q963="Medium",2,1))</f>
        <v>1</v>
      </c>
      <c r="W963">
        <f t="shared" ref="W963:W1026" si="157">IF(R963="High",3,IF(R963="Medium",2,1))</f>
        <v>3</v>
      </c>
      <c r="X963">
        <f t="shared" ref="X963:X1026" si="158">(0.4*T963)+(0.3*U963)+(0.2*V963)+(0.1*W963)</f>
        <v>1.5</v>
      </c>
      <c r="Y963" t="str">
        <f t="shared" ref="Y963:Y1026" si="159">IF(X963&gt;=2.7,"Move Immediately",IF(X963&gt;=2.2,"High Priority",IF(X963&gt;=1.7,"Monitor","Healthy")))</f>
        <v>Healthy</v>
      </c>
    </row>
    <row r="964" spans="1:25" x14ac:dyDescent="0.35">
      <c r="A964" t="s">
        <v>20</v>
      </c>
      <c r="B964" t="s">
        <v>21</v>
      </c>
      <c r="C964" t="s">
        <v>770</v>
      </c>
      <c r="D964" t="s">
        <v>775</v>
      </c>
      <c r="E964">
        <v>80894426</v>
      </c>
      <c r="F964" t="s">
        <v>776</v>
      </c>
      <c r="G964" s="3">
        <v>47250</v>
      </c>
      <c r="H964">
        <v>36</v>
      </c>
      <c r="I964">
        <v>98</v>
      </c>
      <c r="J964">
        <v>1865</v>
      </c>
      <c r="K964" s="4">
        <v>164120</v>
      </c>
      <c r="L964" s="4">
        <v>273.57142857142856</v>
      </c>
      <c r="M964" s="4">
        <v>6.8172323759791125</v>
      </c>
      <c r="N964" t="s">
        <v>19</v>
      </c>
      <c r="O964" t="str">
        <f t="shared" si="150"/>
        <v>Low</v>
      </c>
      <c r="P964" t="str">
        <f t="shared" si="151"/>
        <v>Medium</v>
      </c>
      <c r="Q964" t="str">
        <f t="shared" si="152"/>
        <v>Low</v>
      </c>
      <c r="R964" t="s">
        <v>3309</v>
      </c>
      <c r="S964" s="4">
        <f t="shared" ca="1" si="153"/>
        <v>1053</v>
      </c>
      <c r="T964">
        <f t="shared" si="154"/>
        <v>1</v>
      </c>
      <c r="U964">
        <f t="shared" si="155"/>
        <v>2</v>
      </c>
      <c r="V964">
        <f t="shared" si="156"/>
        <v>1</v>
      </c>
      <c r="W964">
        <f t="shared" si="157"/>
        <v>3</v>
      </c>
      <c r="X964">
        <f t="shared" si="158"/>
        <v>1.5</v>
      </c>
      <c r="Y964" t="str">
        <f t="shared" si="159"/>
        <v>Healthy</v>
      </c>
    </row>
    <row r="965" spans="1:25" x14ac:dyDescent="0.35">
      <c r="A965" t="s">
        <v>20</v>
      </c>
      <c r="B965" t="s">
        <v>21</v>
      </c>
      <c r="C965" t="s">
        <v>770</v>
      </c>
      <c r="D965" t="s">
        <v>775</v>
      </c>
      <c r="E965">
        <v>80894426</v>
      </c>
      <c r="F965" t="s">
        <v>776</v>
      </c>
      <c r="G965" s="3">
        <v>47255</v>
      </c>
      <c r="H965">
        <v>36</v>
      </c>
      <c r="I965">
        <v>98</v>
      </c>
      <c r="J965">
        <v>1918</v>
      </c>
      <c r="K965" s="4">
        <v>168784</v>
      </c>
      <c r="L965" s="4">
        <v>273.57142857142856</v>
      </c>
      <c r="M965" s="4">
        <v>7.0109660574412533</v>
      </c>
      <c r="N965" t="s">
        <v>19</v>
      </c>
      <c r="O965" t="str">
        <f t="shared" si="150"/>
        <v>Low</v>
      </c>
      <c r="P965" t="str">
        <f t="shared" si="151"/>
        <v>Medium</v>
      </c>
      <c r="Q965" t="str">
        <f t="shared" si="152"/>
        <v>Low</v>
      </c>
      <c r="R965" t="s">
        <v>3309</v>
      </c>
      <c r="S965" s="4">
        <f t="shared" ca="1" si="153"/>
        <v>1058</v>
      </c>
      <c r="T965">
        <f t="shared" si="154"/>
        <v>1</v>
      </c>
      <c r="U965">
        <f t="shared" si="155"/>
        <v>2</v>
      </c>
      <c r="V965">
        <f t="shared" si="156"/>
        <v>1</v>
      </c>
      <c r="W965">
        <f t="shared" si="157"/>
        <v>3</v>
      </c>
      <c r="X965">
        <f t="shared" si="158"/>
        <v>1.5</v>
      </c>
      <c r="Y965" t="str">
        <f t="shared" si="159"/>
        <v>Healthy</v>
      </c>
    </row>
    <row r="966" spans="1:25" x14ac:dyDescent="0.35">
      <c r="A966" t="s">
        <v>20</v>
      </c>
      <c r="B966" t="s">
        <v>21</v>
      </c>
      <c r="C966" t="s">
        <v>770</v>
      </c>
      <c r="D966" t="s">
        <v>775</v>
      </c>
      <c r="E966">
        <v>80894426</v>
      </c>
      <c r="F966" t="s">
        <v>776</v>
      </c>
      <c r="G966" s="3">
        <v>47260</v>
      </c>
      <c r="H966">
        <v>36</v>
      </c>
      <c r="I966">
        <v>99</v>
      </c>
      <c r="J966">
        <v>3684</v>
      </c>
      <c r="K966" s="4">
        <v>324192</v>
      </c>
      <c r="L966" s="4">
        <v>273.57142857142856</v>
      </c>
      <c r="M966" s="4">
        <v>13.466318537859008</v>
      </c>
      <c r="N966" t="s">
        <v>19</v>
      </c>
      <c r="O966" t="str">
        <f t="shared" si="150"/>
        <v>Low</v>
      </c>
      <c r="P966" t="str">
        <f t="shared" si="151"/>
        <v>High</v>
      </c>
      <c r="Q966" t="str">
        <f t="shared" si="152"/>
        <v>Low</v>
      </c>
      <c r="R966" t="s">
        <v>3309</v>
      </c>
      <c r="S966" s="4">
        <f t="shared" ca="1" si="153"/>
        <v>1063</v>
      </c>
      <c r="T966">
        <f t="shared" si="154"/>
        <v>1</v>
      </c>
      <c r="U966">
        <f t="shared" si="155"/>
        <v>3</v>
      </c>
      <c r="V966">
        <f t="shared" si="156"/>
        <v>1</v>
      </c>
      <c r="W966">
        <f t="shared" si="157"/>
        <v>3</v>
      </c>
      <c r="X966">
        <f t="shared" si="158"/>
        <v>1.7999999999999998</v>
      </c>
      <c r="Y966" t="str">
        <f t="shared" si="159"/>
        <v>Monitor</v>
      </c>
    </row>
    <row r="967" spans="1:25" x14ac:dyDescent="0.35">
      <c r="A967" t="s">
        <v>20</v>
      </c>
      <c r="B967" t="s">
        <v>21</v>
      </c>
      <c r="C967" t="s">
        <v>770</v>
      </c>
      <c r="D967" t="s">
        <v>775</v>
      </c>
      <c r="E967">
        <v>80894426</v>
      </c>
      <c r="F967" t="s">
        <v>776</v>
      </c>
      <c r="G967" s="3">
        <v>47264</v>
      </c>
      <c r="H967">
        <v>36</v>
      </c>
      <c r="I967">
        <v>99</v>
      </c>
      <c r="J967">
        <v>192</v>
      </c>
      <c r="K967" s="4">
        <v>16896</v>
      </c>
      <c r="L967" s="4">
        <v>273.57142857142856</v>
      </c>
      <c r="M967" s="4">
        <v>0.70182767624020892</v>
      </c>
      <c r="N967" t="s">
        <v>25</v>
      </c>
      <c r="O967" t="str">
        <f t="shared" si="150"/>
        <v>Low</v>
      </c>
      <c r="P967" t="str">
        <f t="shared" si="151"/>
        <v>Low</v>
      </c>
      <c r="Q967" t="str">
        <f t="shared" si="152"/>
        <v>Low</v>
      </c>
      <c r="R967" t="s">
        <v>3317</v>
      </c>
      <c r="S967" s="4">
        <f t="shared" ca="1" si="153"/>
        <v>1067</v>
      </c>
      <c r="T967">
        <f t="shared" si="154"/>
        <v>1</v>
      </c>
      <c r="U967">
        <f t="shared" si="155"/>
        <v>1</v>
      </c>
      <c r="V967">
        <f t="shared" si="156"/>
        <v>1</v>
      </c>
      <c r="W967">
        <f t="shared" si="157"/>
        <v>1</v>
      </c>
      <c r="X967">
        <f t="shared" si="158"/>
        <v>0.99999999999999989</v>
      </c>
      <c r="Y967" t="str">
        <f t="shared" si="159"/>
        <v>Healthy</v>
      </c>
    </row>
    <row r="968" spans="1:25" x14ac:dyDescent="0.35">
      <c r="A968" t="s">
        <v>20</v>
      </c>
      <c r="B968" t="s">
        <v>21</v>
      </c>
      <c r="C968" t="s">
        <v>51</v>
      </c>
      <c r="D968" t="s">
        <v>777</v>
      </c>
      <c r="E968">
        <v>80894388</v>
      </c>
      <c r="F968" t="s">
        <v>778</v>
      </c>
      <c r="G968" s="3">
        <v>47265</v>
      </c>
      <c r="H968">
        <v>36</v>
      </c>
      <c r="I968">
        <v>99</v>
      </c>
      <c r="J968">
        <v>1224</v>
      </c>
      <c r="K968" s="4">
        <v>166464</v>
      </c>
      <c r="L968" s="4">
        <f>0</f>
        <v>0</v>
      </c>
      <c r="M968" s="4">
        <f>999</f>
        <v>999</v>
      </c>
      <c r="N968" t="s">
        <v>19</v>
      </c>
      <c r="O968" t="str">
        <f t="shared" si="150"/>
        <v>Low</v>
      </c>
      <c r="P968" t="str">
        <f t="shared" si="151"/>
        <v>High</v>
      </c>
      <c r="Q968" t="str">
        <f t="shared" si="152"/>
        <v>High</v>
      </c>
      <c r="R968" t="s">
        <v>3309</v>
      </c>
      <c r="S968" s="4">
        <f t="shared" ca="1" si="153"/>
        <v>1068</v>
      </c>
      <c r="T968">
        <f t="shared" si="154"/>
        <v>1</v>
      </c>
      <c r="U968">
        <f t="shared" si="155"/>
        <v>3</v>
      </c>
      <c r="V968">
        <f t="shared" si="156"/>
        <v>3</v>
      </c>
      <c r="W968">
        <f t="shared" si="157"/>
        <v>3</v>
      </c>
      <c r="X968">
        <f t="shared" si="158"/>
        <v>2.2000000000000002</v>
      </c>
      <c r="Y968" t="str">
        <f t="shared" si="159"/>
        <v>High Priority</v>
      </c>
    </row>
    <row r="969" spans="1:25" x14ac:dyDescent="0.35">
      <c r="A969" t="s">
        <v>20</v>
      </c>
      <c r="B969" t="s">
        <v>21</v>
      </c>
      <c r="C969" t="s">
        <v>51</v>
      </c>
      <c r="D969" t="s">
        <v>777</v>
      </c>
      <c r="E969">
        <v>80894388</v>
      </c>
      <c r="F969" t="s">
        <v>778</v>
      </c>
      <c r="G969" s="3">
        <v>47261</v>
      </c>
      <c r="H969">
        <v>36</v>
      </c>
      <c r="I969">
        <v>99</v>
      </c>
      <c r="J969">
        <v>468</v>
      </c>
      <c r="K969" s="4">
        <v>63648</v>
      </c>
      <c r="L969" s="4">
        <f>0</f>
        <v>0</v>
      </c>
      <c r="M969" s="4">
        <f>999</f>
        <v>999</v>
      </c>
      <c r="N969" t="s">
        <v>19</v>
      </c>
      <c r="O969" t="str">
        <f t="shared" si="150"/>
        <v>Low</v>
      </c>
      <c r="P969" t="str">
        <f t="shared" si="151"/>
        <v>High</v>
      </c>
      <c r="Q969" t="str">
        <f t="shared" si="152"/>
        <v>High</v>
      </c>
      <c r="R969" t="s">
        <v>3317</v>
      </c>
      <c r="S969" s="4">
        <f t="shared" ca="1" si="153"/>
        <v>1064</v>
      </c>
      <c r="T969">
        <f t="shared" si="154"/>
        <v>1</v>
      </c>
      <c r="U969">
        <f t="shared" si="155"/>
        <v>3</v>
      </c>
      <c r="V969">
        <f t="shared" si="156"/>
        <v>3</v>
      </c>
      <c r="W969">
        <f t="shared" si="157"/>
        <v>1</v>
      </c>
      <c r="X969">
        <f t="shared" si="158"/>
        <v>2</v>
      </c>
      <c r="Y969" t="str">
        <f t="shared" si="159"/>
        <v>Monitor</v>
      </c>
    </row>
    <row r="970" spans="1:25" x14ac:dyDescent="0.35">
      <c r="A970" t="s">
        <v>20</v>
      </c>
      <c r="B970" t="s">
        <v>21</v>
      </c>
      <c r="C970" t="s">
        <v>214</v>
      </c>
      <c r="D970" t="s">
        <v>215</v>
      </c>
      <c r="E970">
        <v>80894430</v>
      </c>
      <c r="F970" t="s">
        <v>779</v>
      </c>
      <c r="G970" s="3">
        <v>47258</v>
      </c>
      <c r="H970">
        <v>36</v>
      </c>
      <c r="I970">
        <v>99</v>
      </c>
      <c r="J970">
        <v>2560</v>
      </c>
      <c r="K970" s="4">
        <v>307200</v>
      </c>
      <c r="L970" s="4">
        <f>0</f>
        <v>0</v>
      </c>
      <c r="M970" s="4">
        <f>999</f>
        <v>999</v>
      </c>
      <c r="N970" t="s">
        <v>19</v>
      </c>
      <c r="O970" t="str">
        <f t="shared" si="150"/>
        <v>Low</v>
      </c>
      <c r="P970" t="str">
        <f t="shared" si="151"/>
        <v>High</v>
      </c>
      <c r="Q970" t="str">
        <f t="shared" si="152"/>
        <v>High</v>
      </c>
      <c r="R970" t="s">
        <v>3309</v>
      </c>
      <c r="S970" s="4">
        <f t="shared" ca="1" si="153"/>
        <v>1061</v>
      </c>
      <c r="T970">
        <f t="shared" si="154"/>
        <v>1</v>
      </c>
      <c r="U970">
        <f t="shared" si="155"/>
        <v>3</v>
      </c>
      <c r="V970">
        <f t="shared" si="156"/>
        <v>3</v>
      </c>
      <c r="W970">
        <f t="shared" si="157"/>
        <v>3</v>
      </c>
      <c r="X970">
        <f t="shared" si="158"/>
        <v>2.2000000000000002</v>
      </c>
      <c r="Y970" t="str">
        <f t="shared" si="159"/>
        <v>High Priority</v>
      </c>
    </row>
    <row r="971" spans="1:25" x14ac:dyDescent="0.35">
      <c r="A971" t="s">
        <v>20</v>
      </c>
      <c r="B971" t="s">
        <v>21</v>
      </c>
      <c r="C971" t="s">
        <v>214</v>
      </c>
      <c r="D971" t="s">
        <v>215</v>
      </c>
      <c r="E971">
        <v>80894430</v>
      </c>
      <c r="F971" t="s">
        <v>779</v>
      </c>
      <c r="G971" s="3">
        <v>47252</v>
      </c>
      <c r="H971">
        <v>36</v>
      </c>
      <c r="I971">
        <v>98</v>
      </c>
      <c r="J971">
        <v>6</v>
      </c>
      <c r="K971" s="4">
        <v>720</v>
      </c>
      <c r="L971" s="4">
        <f>0</f>
        <v>0</v>
      </c>
      <c r="M971" s="4">
        <f>999</f>
        <v>999</v>
      </c>
      <c r="N971" t="s">
        <v>19</v>
      </c>
      <c r="O971" t="str">
        <f t="shared" si="150"/>
        <v>Low</v>
      </c>
      <c r="P971" t="str">
        <f t="shared" si="151"/>
        <v>High</v>
      </c>
      <c r="Q971" t="str">
        <f t="shared" si="152"/>
        <v>High</v>
      </c>
      <c r="R971" t="s">
        <v>3317</v>
      </c>
      <c r="S971" s="4">
        <f t="shared" ca="1" si="153"/>
        <v>1055</v>
      </c>
      <c r="T971">
        <f t="shared" si="154"/>
        <v>1</v>
      </c>
      <c r="U971">
        <f t="shared" si="155"/>
        <v>3</v>
      </c>
      <c r="V971">
        <f t="shared" si="156"/>
        <v>3</v>
      </c>
      <c r="W971">
        <f t="shared" si="157"/>
        <v>1</v>
      </c>
      <c r="X971">
        <f t="shared" si="158"/>
        <v>2</v>
      </c>
      <c r="Y971" t="str">
        <f t="shared" si="159"/>
        <v>Monitor</v>
      </c>
    </row>
    <row r="972" spans="1:25" x14ac:dyDescent="0.35">
      <c r="A972" t="s">
        <v>20</v>
      </c>
      <c r="B972" t="s">
        <v>21</v>
      </c>
      <c r="C972" t="s">
        <v>214</v>
      </c>
      <c r="D972" t="s">
        <v>437</v>
      </c>
      <c r="E972">
        <v>80894432</v>
      </c>
      <c r="F972" t="s">
        <v>780</v>
      </c>
      <c r="G972" s="3">
        <v>47256</v>
      </c>
      <c r="H972">
        <v>36</v>
      </c>
      <c r="I972">
        <v>99</v>
      </c>
      <c r="J972">
        <v>375</v>
      </c>
      <c r="K972" s="4">
        <v>48000</v>
      </c>
      <c r="L972" s="4">
        <v>151.28571428571428</v>
      </c>
      <c r="M972" s="4">
        <v>2.4787535410764874</v>
      </c>
      <c r="N972" t="s">
        <v>25</v>
      </c>
      <c r="O972" t="str">
        <f t="shared" si="150"/>
        <v>Low</v>
      </c>
      <c r="P972" t="str">
        <f t="shared" si="151"/>
        <v>Low</v>
      </c>
      <c r="Q972" t="str">
        <f t="shared" si="152"/>
        <v>Low</v>
      </c>
      <c r="R972" t="s">
        <v>3317</v>
      </c>
      <c r="S972" s="4">
        <f t="shared" ca="1" si="153"/>
        <v>1059</v>
      </c>
      <c r="T972">
        <f t="shared" si="154"/>
        <v>1</v>
      </c>
      <c r="U972">
        <f t="shared" si="155"/>
        <v>1</v>
      </c>
      <c r="V972">
        <f t="shared" si="156"/>
        <v>1</v>
      </c>
      <c r="W972">
        <f t="shared" si="157"/>
        <v>1</v>
      </c>
      <c r="X972">
        <f t="shared" si="158"/>
        <v>0.99999999999999989</v>
      </c>
      <c r="Y972" t="str">
        <f t="shared" si="159"/>
        <v>Healthy</v>
      </c>
    </row>
    <row r="973" spans="1:25" x14ac:dyDescent="0.35">
      <c r="A973" t="s">
        <v>20</v>
      </c>
      <c r="B973" t="s">
        <v>21</v>
      </c>
      <c r="C973" t="s">
        <v>214</v>
      </c>
      <c r="D973" t="s">
        <v>437</v>
      </c>
      <c r="E973">
        <v>80894432</v>
      </c>
      <c r="F973" t="s">
        <v>780</v>
      </c>
      <c r="G973" s="3">
        <v>47260</v>
      </c>
      <c r="H973">
        <v>36</v>
      </c>
      <c r="I973">
        <v>99</v>
      </c>
      <c r="J973">
        <v>358</v>
      </c>
      <c r="K973" s="4">
        <v>45824</v>
      </c>
      <c r="L973" s="4">
        <v>151.28571428571428</v>
      </c>
      <c r="M973" s="4">
        <v>2.3663833805476866</v>
      </c>
      <c r="N973" t="s">
        <v>25</v>
      </c>
      <c r="O973" t="str">
        <f t="shared" si="150"/>
        <v>Low</v>
      </c>
      <c r="P973" t="str">
        <f t="shared" si="151"/>
        <v>Low</v>
      </c>
      <c r="Q973" t="str">
        <f t="shared" si="152"/>
        <v>Low</v>
      </c>
      <c r="R973" t="s">
        <v>3317</v>
      </c>
      <c r="S973" s="4">
        <f t="shared" ca="1" si="153"/>
        <v>1063</v>
      </c>
      <c r="T973">
        <f t="shared" si="154"/>
        <v>1</v>
      </c>
      <c r="U973">
        <f t="shared" si="155"/>
        <v>1</v>
      </c>
      <c r="V973">
        <f t="shared" si="156"/>
        <v>1</v>
      </c>
      <c r="W973">
        <f t="shared" si="157"/>
        <v>1</v>
      </c>
      <c r="X973">
        <f t="shared" si="158"/>
        <v>0.99999999999999989</v>
      </c>
      <c r="Y973" t="str">
        <f t="shared" si="159"/>
        <v>Healthy</v>
      </c>
    </row>
    <row r="974" spans="1:25" x14ac:dyDescent="0.35">
      <c r="A974" t="s">
        <v>20</v>
      </c>
      <c r="B974" t="s">
        <v>21</v>
      </c>
      <c r="C974" t="s">
        <v>214</v>
      </c>
      <c r="D974" t="s">
        <v>437</v>
      </c>
      <c r="E974">
        <v>80894432</v>
      </c>
      <c r="F974" t="s">
        <v>780</v>
      </c>
      <c r="G974" s="3">
        <v>47249</v>
      </c>
      <c r="H974">
        <v>36</v>
      </c>
      <c r="I974">
        <v>98</v>
      </c>
      <c r="J974">
        <v>180</v>
      </c>
      <c r="K974" s="4">
        <v>23040</v>
      </c>
      <c r="L974" s="4">
        <v>151.28571428571428</v>
      </c>
      <c r="M974" s="4">
        <v>1.189801699716714</v>
      </c>
      <c r="N974" t="s">
        <v>25</v>
      </c>
      <c r="O974" t="str">
        <f t="shared" si="150"/>
        <v>Low</v>
      </c>
      <c r="P974" t="str">
        <f t="shared" si="151"/>
        <v>Low</v>
      </c>
      <c r="Q974" t="str">
        <f t="shared" si="152"/>
        <v>Low</v>
      </c>
      <c r="R974" t="s">
        <v>3317</v>
      </c>
      <c r="S974" s="4">
        <f t="shared" ca="1" si="153"/>
        <v>1052</v>
      </c>
      <c r="T974">
        <f t="shared" si="154"/>
        <v>1</v>
      </c>
      <c r="U974">
        <f t="shared" si="155"/>
        <v>1</v>
      </c>
      <c r="V974">
        <f t="shared" si="156"/>
        <v>1</v>
      </c>
      <c r="W974">
        <f t="shared" si="157"/>
        <v>1</v>
      </c>
      <c r="X974">
        <f t="shared" si="158"/>
        <v>0.99999999999999989</v>
      </c>
      <c r="Y974" t="str">
        <f t="shared" si="159"/>
        <v>Healthy</v>
      </c>
    </row>
    <row r="975" spans="1:25" x14ac:dyDescent="0.35">
      <c r="A975" t="s">
        <v>20</v>
      </c>
      <c r="B975" t="s">
        <v>21</v>
      </c>
      <c r="C975" t="s">
        <v>214</v>
      </c>
      <c r="D975" t="s">
        <v>437</v>
      </c>
      <c r="E975">
        <v>80894432</v>
      </c>
      <c r="F975" t="s">
        <v>780</v>
      </c>
      <c r="G975" s="3">
        <v>47250</v>
      </c>
      <c r="H975">
        <v>36</v>
      </c>
      <c r="I975">
        <v>98</v>
      </c>
      <c r="J975">
        <v>80</v>
      </c>
      <c r="K975" s="4">
        <v>10240</v>
      </c>
      <c r="L975" s="4">
        <v>151.28571428571428</v>
      </c>
      <c r="M975" s="4">
        <v>0.52880075542965066</v>
      </c>
      <c r="N975" t="s">
        <v>25</v>
      </c>
      <c r="O975" t="str">
        <f t="shared" si="150"/>
        <v>Low</v>
      </c>
      <c r="P975" t="str">
        <f t="shared" si="151"/>
        <v>Low</v>
      </c>
      <c r="Q975" t="str">
        <f t="shared" si="152"/>
        <v>Low</v>
      </c>
      <c r="R975" t="s">
        <v>3317</v>
      </c>
      <c r="S975" s="4">
        <f t="shared" ca="1" si="153"/>
        <v>1053</v>
      </c>
      <c r="T975">
        <f t="shared" si="154"/>
        <v>1</v>
      </c>
      <c r="U975">
        <f t="shared" si="155"/>
        <v>1</v>
      </c>
      <c r="V975">
        <f t="shared" si="156"/>
        <v>1</v>
      </c>
      <c r="W975">
        <f t="shared" si="157"/>
        <v>1</v>
      </c>
      <c r="X975">
        <f t="shared" si="158"/>
        <v>0.99999999999999989</v>
      </c>
      <c r="Y975" t="str">
        <f t="shared" si="159"/>
        <v>Healthy</v>
      </c>
    </row>
    <row r="976" spans="1:25" x14ac:dyDescent="0.35">
      <c r="A976" t="s">
        <v>20</v>
      </c>
      <c r="B976" t="s">
        <v>21</v>
      </c>
      <c r="C976" t="s">
        <v>214</v>
      </c>
      <c r="D976" t="s">
        <v>437</v>
      </c>
      <c r="E976">
        <v>80894432</v>
      </c>
      <c r="F976" t="s">
        <v>780</v>
      </c>
      <c r="G976" s="3">
        <v>47257</v>
      </c>
      <c r="H976">
        <v>36</v>
      </c>
      <c r="I976">
        <v>99</v>
      </c>
      <c r="J976">
        <v>36</v>
      </c>
      <c r="K976" s="4">
        <v>4608</v>
      </c>
      <c r="L976" s="4">
        <v>151.28571428571428</v>
      </c>
      <c r="M976" s="4">
        <v>0.23796033994334279</v>
      </c>
      <c r="N976" t="s">
        <v>25</v>
      </c>
      <c r="O976" t="str">
        <f t="shared" si="150"/>
        <v>Low</v>
      </c>
      <c r="P976" t="str">
        <f t="shared" si="151"/>
        <v>Low</v>
      </c>
      <c r="Q976" t="str">
        <f t="shared" si="152"/>
        <v>Low</v>
      </c>
      <c r="R976" t="s">
        <v>3317</v>
      </c>
      <c r="S976" s="4">
        <f t="shared" ca="1" si="153"/>
        <v>1060</v>
      </c>
      <c r="T976">
        <f t="shared" si="154"/>
        <v>1</v>
      </c>
      <c r="U976">
        <f t="shared" si="155"/>
        <v>1</v>
      </c>
      <c r="V976">
        <f t="shared" si="156"/>
        <v>1</v>
      </c>
      <c r="W976">
        <f t="shared" si="157"/>
        <v>1</v>
      </c>
      <c r="X976">
        <f t="shared" si="158"/>
        <v>0.99999999999999989</v>
      </c>
      <c r="Y976" t="str">
        <f t="shared" si="159"/>
        <v>Healthy</v>
      </c>
    </row>
    <row r="977" spans="1:25" x14ac:dyDescent="0.35">
      <c r="A977" t="s">
        <v>20</v>
      </c>
      <c r="B977" t="s">
        <v>21</v>
      </c>
      <c r="C977" t="s">
        <v>214</v>
      </c>
      <c r="D977" t="s">
        <v>437</v>
      </c>
      <c r="E977">
        <v>80894432</v>
      </c>
      <c r="F977" t="s">
        <v>780</v>
      </c>
      <c r="G977" s="3">
        <v>47246</v>
      </c>
      <c r="H977">
        <v>36</v>
      </c>
      <c r="I977">
        <v>98</v>
      </c>
      <c r="J977">
        <v>275</v>
      </c>
      <c r="K977" s="4">
        <v>35200</v>
      </c>
      <c r="L977" s="4">
        <v>151.28571428571428</v>
      </c>
      <c r="M977" s="4">
        <v>1.8177525967894241</v>
      </c>
      <c r="N977" t="s">
        <v>25</v>
      </c>
      <c r="O977" t="str">
        <f t="shared" si="150"/>
        <v>Low</v>
      </c>
      <c r="P977" t="str">
        <f t="shared" si="151"/>
        <v>Low</v>
      </c>
      <c r="Q977" t="str">
        <f t="shared" si="152"/>
        <v>Low</v>
      </c>
      <c r="R977" t="s">
        <v>3317</v>
      </c>
      <c r="S977" s="4">
        <f t="shared" ca="1" si="153"/>
        <v>1049</v>
      </c>
      <c r="T977">
        <f t="shared" si="154"/>
        <v>1</v>
      </c>
      <c r="U977">
        <f t="shared" si="155"/>
        <v>1</v>
      </c>
      <c r="V977">
        <f t="shared" si="156"/>
        <v>1</v>
      </c>
      <c r="W977">
        <f t="shared" si="157"/>
        <v>1</v>
      </c>
      <c r="X977">
        <f t="shared" si="158"/>
        <v>0.99999999999999989</v>
      </c>
      <c r="Y977" t="str">
        <f t="shared" si="159"/>
        <v>Healthy</v>
      </c>
    </row>
    <row r="978" spans="1:25" x14ac:dyDescent="0.35">
      <c r="A978" t="s">
        <v>20</v>
      </c>
      <c r="B978" t="s">
        <v>21</v>
      </c>
      <c r="C978" t="s">
        <v>214</v>
      </c>
      <c r="D978" t="s">
        <v>437</v>
      </c>
      <c r="E978">
        <v>80894432</v>
      </c>
      <c r="F978" t="s">
        <v>780</v>
      </c>
      <c r="G978" s="3">
        <v>47248</v>
      </c>
      <c r="H978">
        <v>36</v>
      </c>
      <c r="I978">
        <v>98</v>
      </c>
      <c r="J978">
        <v>363</v>
      </c>
      <c r="K978" s="4">
        <v>46464</v>
      </c>
      <c r="L978" s="4">
        <v>151.28571428571428</v>
      </c>
      <c r="M978" s="4">
        <v>2.3994334277620397</v>
      </c>
      <c r="N978" t="s">
        <v>25</v>
      </c>
      <c r="O978" t="str">
        <f t="shared" si="150"/>
        <v>Low</v>
      </c>
      <c r="P978" t="str">
        <f t="shared" si="151"/>
        <v>Low</v>
      </c>
      <c r="Q978" t="str">
        <f t="shared" si="152"/>
        <v>Low</v>
      </c>
      <c r="R978" t="s">
        <v>3317</v>
      </c>
      <c r="S978" s="4">
        <f t="shared" ca="1" si="153"/>
        <v>1051</v>
      </c>
      <c r="T978">
        <f t="shared" si="154"/>
        <v>1</v>
      </c>
      <c r="U978">
        <f t="shared" si="155"/>
        <v>1</v>
      </c>
      <c r="V978">
        <f t="shared" si="156"/>
        <v>1</v>
      </c>
      <c r="W978">
        <f t="shared" si="157"/>
        <v>1</v>
      </c>
      <c r="X978">
        <f t="shared" si="158"/>
        <v>0.99999999999999989</v>
      </c>
      <c r="Y978" t="str">
        <f t="shared" si="159"/>
        <v>Healthy</v>
      </c>
    </row>
    <row r="979" spans="1:25" x14ac:dyDescent="0.35">
      <c r="A979" t="s">
        <v>20</v>
      </c>
      <c r="B979" t="s">
        <v>21</v>
      </c>
      <c r="C979" t="s">
        <v>51</v>
      </c>
      <c r="D979" t="s">
        <v>781</v>
      </c>
      <c r="E979">
        <v>80894392</v>
      </c>
      <c r="F979" t="s">
        <v>782</v>
      </c>
      <c r="G979" s="3">
        <v>47262</v>
      </c>
      <c r="H979">
        <v>36</v>
      </c>
      <c r="I979">
        <v>99</v>
      </c>
      <c r="J979">
        <v>171</v>
      </c>
      <c r="K979" s="4">
        <v>23256</v>
      </c>
      <c r="L979" s="4">
        <f>0</f>
        <v>0</v>
      </c>
      <c r="M979" s="4">
        <f>999</f>
        <v>999</v>
      </c>
      <c r="N979" t="s">
        <v>19</v>
      </c>
      <c r="O979" t="str">
        <f t="shared" si="150"/>
        <v>Low</v>
      </c>
      <c r="P979" t="str">
        <f t="shared" si="151"/>
        <v>High</v>
      </c>
      <c r="Q979" t="str">
        <f t="shared" si="152"/>
        <v>High</v>
      </c>
      <c r="R979" t="s">
        <v>3317</v>
      </c>
      <c r="S979" s="4">
        <f t="shared" ca="1" si="153"/>
        <v>1065</v>
      </c>
      <c r="T979">
        <f t="shared" si="154"/>
        <v>1</v>
      </c>
      <c r="U979">
        <f t="shared" si="155"/>
        <v>3</v>
      </c>
      <c r="V979">
        <f t="shared" si="156"/>
        <v>3</v>
      </c>
      <c r="W979">
        <f t="shared" si="157"/>
        <v>1</v>
      </c>
      <c r="X979">
        <f t="shared" si="158"/>
        <v>2</v>
      </c>
      <c r="Y979" t="str">
        <f t="shared" si="159"/>
        <v>Monitor</v>
      </c>
    </row>
    <row r="980" spans="1:25" x14ac:dyDescent="0.35">
      <c r="A980" t="s">
        <v>20</v>
      </c>
      <c r="B980" t="s">
        <v>21</v>
      </c>
      <c r="C980" t="s">
        <v>51</v>
      </c>
      <c r="D980" t="s">
        <v>781</v>
      </c>
      <c r="E980">
        <v>80894392</v>
      </c>
      <c r="F980" t="s">
        <v>782</v>
      </c>
      <c r="G980" s="3">
        <v>47257</v>
      </c>
      <c r="H980">
        <v>36</v>
      </c>
      <c r="I980">
        <v>99</v>
      </c>
      <c r="J980">
        <v>374</v>
      </c>
      <c r="K980" s="4">
        <v>50864</v>
      </c>
      <c r="L980" s="4">
        <f>0</f>
        <v>0</v>
      </c>
      <c r="M980" s="4">
        <f>999</f>
        <v>999</v>
      </c>
      <c r="N980" t="s">
        <v>19</v>
      </c>
      <c r="O980" t="str">
        <f t="shared" si="150"/>
        <v>Low</v>
      </c>
      <c r="P980" t="str">
        <f t="shared" si="151"/>
        <v>High</v>
      </c>
      <c r="Q980" t="str">
        <f t="shared" si="152"/>
        <v>High</v>
      </c>
      <c r="R980" t="s">
        <v>3317</v>
      </c>
      <c r="S980" s="4">
        <f t="shared" ca="1" si="153"/>
        <v>1060</v>
      </c>
      <c r="T980">
        <f t="shared" si="154"/>
        <v>1</v>
      </c>
      <c r="U980">
        <f t="shared" si="155"/>
        <v>3</v>
      </c>
      <c r="V980">
        <f t="shared" si="156"/>
        <v>3</v>
      </c>
      <c r="W980">
        <f t="shared" si="157"/>
        <v>1</v>
      </c>
      <c r="X980">
        <f t="shared" si="158"/>
        <v>2</v>
      </c>
      <c r="Y980" t="str">
        <f t="shared" si="159"/>
        <v>Monitor</v>
      </c>
    </row>
    <row r="981" spans="1:25" x14ac:dyDescent="0.35">
      <c r="A981" t="s">
        <v>20</v>
      </c>
      <c r="B981" t="s">
        <v>21</v>
      </c>
      <c r="C981" t="s">
        <v>51</v>
      </c>
      <c r="D981" t="s">
        <v>781</v>
      </c>
      <c r="E981">
        <v>80894392</v>
      </c>
      <c r="F981" t="s">
        <v>782</v>
      </c>
      <c r="G981" s="3">
        <v>47264</v>
      </c>
      <c r="H981">
        <v>36</v>
      </c>
      <c r="I981">
        <v>99</v>
      </c>
      <c r="J981">
        <v>396</v>
      </c>
      <c r="K981" s="4">
        <v>53856</v>
      </c>
      <c r="L981" s="4">
        <f>0</f>
        <v>0</v>
      </c>
      <c r="M981" s="4">
        <f>999</f>
        <v>999</v>
      </c>
      <c r="N981" t="s">
        <v>19</v>
      </c>
      <c r="O981" t="str">
        <f t="shared" si="150"/>
        <v>Low</v>
      </c>
      <c r="P981" t="str">
        <f t="shared" si="151"/>
        <v>High</v>
      </c>
      <c r="Q981" t="str">
        <f t="shared" si="152"/>
        <v>High</v>
      </c>
      <c r="R981" t="s">
        <v>3317</v>
      </c>
      <c r="S981" s="4">
        <f t="shared" ca="1" si="153"/>
        <v>1067</v>
      </c>
      <c r="T981">
        <f t="shared" si="154"/>
        <v>1</v>
      </c>
      <c r="U981">
        <f t="shared" si="155"/>
        <v>3</v>
      </c>
      <c r="V981">
        <f t="shared" si="156"/>
        <v>3</v>
      </c>
      <c r="W981">
        <f t="shared" si="157"/>
        <v>1</v>
      </c>
      <c r="X981">
        <f t="shared" si="158"/>
        <v>2</v>
      </c>
      <c r="Y981" t="str">
        <f t="shared" si="159"/>
        <v>Monitor</v>
      </c>
    </row>
    <row r="982" spans="1:25" x14ac:dyDescent="0.35">
      <c r="A982" t="s">
        <v>20</v>
      </c>
      <c r="B982" t="s">
        <v>21</v>
      </c>
      <c r="C982" t="s">
        <v>51</v>
      </c>
      <c r="D982" t="s">
        <v>781</v>
      </c>
      <c r="E982">
        <v>80894392</v>
      </c>
      <c r="F982" t="s">
        <v>782</v>
      </c>
      <c r="G982" s="3">
        <v>47259</v>
      </c>
      <c r="H982">
        <v>36</v>
      </c>
      <c r="I982">
        <v>99</v>
      </c>
      <c r="J982">
        <v>36</v>
      </c>
      <c r="K982" s="4">
        <v>4896</v>
      </c>
      <c r="L982" s="4">
        <f>0</f>
        <v>0</v>
      </c>
      <c r="M982" s="4">
        <f>999</f>
        <v>999</v>
      </c>
      <c r="N982" t="s">
        <v>19</v>
      </c>
      <c r="O982" t="str">
        <f t="shared" si="150"/>
        <v>Low</v>
      </c>
      <c r="P982" t="str">
        <f t="shared" si="151"/>
        <v>High</v>
      </c>
      <c r="Q982" t="str">
        <f t="shared" si="152"/>
        <v>High</v>
      </c>
      <c r="R982" t="s">
        <v>3317</v>
      </c>
      <c r="S982" s="4">
        <f t="shared" ca="1" si="153"/>
        <v>1062</v>
      </c>
      <c r="T982">
        <f t="shared" si="154"/>
        <v>1</v>
      </c>
      <c r="U982">
        <f t="shared" si="155"/>
        <v>3</v>
      </c>
      <c r="V982">
        <f t="shared" si="156"/>
        <v>3</v>
      </c>
      <c r="W982">
        <f t="shared" si="157"/>
        <v>1</v>
      </c>
      <c r="X982">
        <f t="shared" si="158"/>
        <v>2</v>
      </c>
      <c r="Y982" t="str">
        <f t="shared" si="159"/>
        <v>Monitor</v>
      </c>
    </row>
    <row r="983" spans="1:25" x14ac:dyDescent="0.35">
      <c r="A983" t="s">
        <v>20</v>
      </c>
      <c r="B983" t="s">
        <v>21</v>
      </c>
      <c r="C983" t="s">
        <v>51</v>
      </c>
      <c r="D983" t="s">
        <v>781</v>
      </c>
      <c r="E983">
        <v>80894392</v>
      </c>
      <c r="F983" t="s">
        <v>782</v>
      </c>
      <c r="G983" s="3">
        <v>47259</v>
      </c>
      <c r="H983">
        <v>36</v>
      </c>
      <c r="I983">
        <v>99</v>
      </c>
      <c r="J983">
        <v>190</v>
      </c>
      <c r="K983" s="4">
        <v>25840</v>
      </c>
      <c r="L983" s="4">
        <f>0</f>
        <v>0</v>
      </c>
      <c r="M983" s="4">
        <f>999</f>
        <v>999</v>
      </c>
      <c r="N983" t="s">
        <v>19</v>
      </c>
      <c r="O983" t="str">
        <f t="shared" si="150"/>
        <v>Low</v>
      </c>
      <c r="P983" t="str">
        <f t="shared" si="151"/>
        <v>High</v>
      </c>
      <c r="Q983" t="str">
        <f t="shared" si="152"/>
        <v>High</v>
      </c>
      <c r="R983" t="s">
        <v>3317</v>
      </c>
      <c r="S983" s="4">
        <f t="shared" ca="1" si="153"/>
        <v>1062</v>
      </c>
      <c r="T983">
        <f t="shared" si="154"/>
        <v>1</v>
      </c>
      <c r="U983">
        <f t="shared" si="155"/>
        <v>3</v>
      </c>
      <c r="V983">
        <f t="shared" si="156"/>
        <v>3</v>
      </c>
      <c r="W983">
        <f t="shared" si="157"/>
        <v>1</v>
      </c>
      <c r="X983">
        <f t="shared" si="158"/>
        <v>2</v>
      </c>
      <c r="Y983" t="str">
        <f t="shared" si="159"/>
        <v>Monitor</v>
      </c>
    </row>
    <row r="984" spans="1:25" x14ac:dyDescent="0.35">
      <c r="A984" t="s">
        <v>20</v>
      </c>
      <c r="B984" t="s">
        <v>21</v>
      </c>
      <c r="C984" t="s">
        <v>51</v>
      </c>
      <c r="D984" t="s">
        <v>781</v>
      </c>
      <c r="E984">
        <v>80894392</v>
      </c>
      <c r="F984" t="s">
        <v>782</v>
      </c>
      <c r="G984" s="3">
        <v>47256</v>
      </c>
      <c r="H984">
        <v>36</v>
      </c>
      <c r="I984">
        <v>99</v>
      </c>
      <c r="J984">
        <v>165</v>
      </c>
      <c r="K984" s="4">
        <v>22440</v>
      </c>
      <c r="L984" s="4">
        <f>0</f>
        <v>0</v>
      </c>
      <c r="M984" s="4">
        <f>999</f>
        <v>999</v>
      </c>
      <c r="N984" t="s">
        <v>19</v>
      </c>
      <c r="O984" t="str">
        <f t="shared" si="150"/>
        <v>Low</v>
      </c>
      <c r="P984" t="str">
        <f t="shared" si="151"/>
        <v>High</v>
      </c>
      <c r="Q984" t="str">
        <f t="shared" si="152"/>
        <v>High</v>
      </c>
      <c r="R984" t="s">
        <v>3317</v>
      </c>
      <c r="S984" s="4">
        <f t="shared" ca="1" si="153"/>
        <v>1059</v>
      </c>
      <c r="T984">
        <f t="shared" si="154"/>
        <v>1</v>
      </c>
      <c r="U984">
        <f t="shared" si="155"/>
        <v>3</v>
      </c>
      <c r="V984">
        <f t="shared" si="156"/>
        <v>3</v>
      </c>
      <c r="W984">
        <f t="shared" si="157"/>
        <v>1</v>
      </c>
      <c r="X984">
        <f t="shared" si="158"/>
        <v>2</v>
      </c>
      <c r="Y984" t="str">
        <f t="shared" si="159"/>
        <v>Monitor</v>
      </c>
    </row>
    <row r="985" spans="1:25" x14ac:dyDescent="0.35">
      <c r="A985" t="s">
        <v>20</v>
      </c>
      <c r="B985" t="s">
        <v>21</v>
      </c>
      <c r="C985" t="s">
        <v>214</v>
      </c>
      <c r="D985" t="s">
        <v>783</v>
      </c>
      <c r="E985">
        <v>80894434</v>
      </c>
      <c r="F985" t="s">
        <v>784</v>
      </c>
      <c r="G985" s="3">
        <v>47237</v>
      </c>
      <c r="H985">
        <v>36</v>
      </c>
      <c r="I985">
        <v>97</v>
      </c>
      <c r="J985">
        <v>864</v>
      </c>
      <c r="K985" s="4">
        <v>89856</v>
      </c>
      <c r="L985" s="4">
        <f>0</f>
        <v>0</v>
      </c>
      <c r="M985" s="4">
        <f>999</f>
        <v>999</v>
      </c>
      <c r="N985" t="s">
        <v>19</v>
      </c>
      <c r="O985" t="str">
        <f t="shared" si="150"/>
        <v>Low</v>
      </c>
      <c r="P985" t="str">
        <f t="shared" si="151"/>
        <v>High</v>
      </c>
      <c r="Q985" t="str">
        <f t="shared" si="152"/>
        <v>High</v>
      </c>
      <c r="R985" t="s">
        <v>3310</v>
      </c>
      <c r="S985" s="4">
        <f t="shared" ca="1" si="153"/>
        <v>1040</v>
      </c>
      <c r="T985">
        <f t="shared" si="154"/>
        <v>1</v>
      </c>
      <c r="U985">
        <f t="shared" si="155"/>
        <v>3</v>
      </c>
      <c r="V985">
        <f t="shared" si="156"/>
        <v>3</v>
      </c>
      <c r="W985">
        <f t="shared" si="157"/>
        <v>2</v>
      </c>
      <c r="X985">
        <f t="shared" si="158"/>
        <v>2.1</v>
      </c>
      <c r="Y985" t="str">
        <f t="shared" si="159"/>
        <v>Monitor</v>
      </c>
    </row>
    <row r="986" spans="1:25" x14ac:dyDescent="0.35">
      <c r="A986" t="s">
        <v>20</v>
      </c>
      <c r="B986" t="s">
        <v>21</v>
      </c>
      <c r="C986" t="s">
        <v>214</v>
      </c>
      <c r="D986" t="s">
        <v>783</v>
      </c>
      <c r="E986">
        <v>80894434</v>
      </c>
      <c r="F986" t="s">
        <v>784</v>
      </c>
      <c r="G986" s="3">
        <v>47222</v>
      </c>
      <c r="H986">
        <v>36</v>
      </c>
      <c r="I986">
        <v>95</v>
      </c>
      <c r="J986">
        <v>5580</v>
      </c>
      <c r="K986" s="4">
        <v>580320</v>
      </c>
      <c r="L986" s="4">
        <f>0</f>
        <v>0</v>
      </c>
      <c r="M986" s="4">
        <f>999</f>
        <v>999</v>
      </c>
      <c r="N986" t="s">
        <v>19</v>
      </c>
      <c r="O986" t="str">
        <f t="shared" si="150"/>
        <v>Low</v>
      </c>
      <c r="P986" t="str">
        <f t="shared" si="151"/>
        <v>High</v>
      </c>
      <c r="Q986" t="str">
        <f t="shared" si="152"/>
        <v>High</v>
      </c>
      <c r="R986" t="s">
        <v>3309</v>
      </c>
      <c r="S986" s="4">
        <f t="shared" ca="1" si="153"/>
        <v>1025</v>
      </c>
      <c r="T986">
        <f t="shared" si="154"/>
        <v>1</v>
      </c>
      <c r="U986">
        <f t="shared" si="155"/>
        <v>3</v>
      </c>
      <c r="V986">
        <f t="shared" si="156"/>
        <v>3</v>
      </c>
      <c r="W986">
        <f t="shared" si="157"/>
        <v>3</v>
      </c>
      <c r="X986">
        <f t="shared" si="158"/>
        <v>2.2000000000000002</v>
      </c>
      <c r="Y986" t="str">
        <f t="shared" si="159"/>
        <v>High Priority</v>
      </c>
    </row>
    <row r="987" spans="1:25" x14ac:dyDescent="0.35">
      <c r="A987" t="s">
        <v>20</v>
      </c>
      <c r="B987" t="s">
        <v>21</v>
      </c>
      <c r="C987" t="s">
        <v>51</v>
      </c>
      <c r="D987" t="s">
        <v>785</v>
      </c>
      <c r="E987">
        <v>80894396</v>
      </c>
      <c r="F987" t="s">
        <v>786</v>
      </c>
      <c r="G987" s="3">
        <v>49993</v>
      </c>
      <c r="H987">
        <v>36</v>
      </c>
      <c r="I987">
        <v>100</v>
      </c>
      <c r="J987">
        <v>10</v>
      </c>
      <c r="K987" s="4">
        <v>1200</v>
      </c>
      <c r="L987" s="4">
        <f>0</f>
        <v>0</v>
      </c>
      <c r="M987" s="4">
        <f>999</f>
        <v>999</v>
      </c>
      <c r="N987" t="s">
        <v>19</v>
      </c>
      <c r="O987" t="str">
        <f t="shared" si="150"/>
        <v>Low</v>
      </c>
      <c r="P987" t="str">
        <f t="shared" si="151"/>
        <v>High</v>
      </c>
      <c r="Q987" t="str">
        <f t="shared" si="152"/>
        <v>High</v>
      </c>
      <c r="R987" t="s">
        <v>3317</v>
      </c>
      <c r="S987" s="4">
        <f t="shared" ca="1" si="153"/>
        <v>3796</v>
      </c>
      <c r="T987">
        <f t="shared" si="154"/>
        <v>1</v>
      </c>
      <c r="U987">
        <f t="shared" si="155"/>
        <v>3</v>
      </c>
      <c r="V987">
        <f t="shared" si="156"/>
        <v>3</v>
      </c>
      <c r="W987">
        <f t="shared" si="157"/>
        <v>1</v>
      </c>
      <c r="X987">
        <f t="shared" si="158"/>
        <v>2</v>
      </c>
      <c r="Y987" t="str">
        <f t="shared" si="159"/>
        <v>Monitor</v>
      </c>
    </row>
    <row r="988" spans="1:25" x14ac:dyDescent="0.35">
      <c r="A988" t="s">
        <v>20</v>
      </c>
      <c r="B988" t="s">
        <v>21</v>
      </c>
      <c r="C988" t="s">
        <v>684</v>
      </c>
      <c r="D988" t="s">
        <v>787</v>
      </c>
      <c r="E988">
        <v>83913847</v>
      </c>
      <c r="F988" t="s">
        <v>788</v>
      </c>
      <c r="G988" s="3">
        <v>47239</v>
      </c>
      <c r="H988">
        <v>36</v>
      </c>
      <c r="I988">
        <v>97</v>
      </c>
      <c r="J988">
        <v>214</v>
      </c>
      <c r="K988" s="4">
        <v>27734.400000000001</v>
      </c>
      <c r="L988" s="4">
        <f>0</f>
        <v>0</v>
      </c>
      <c r="M988" s="4">
        <f>999</f>
        <v>999</v>
      </c>
      <c r="N988" t="s">
        <v>19</v>
      </c>
      <c r="O988" t="str">
        <f t="shared" si="150"/>
        <v>Low</v>
      </c>
      <c r="P988" t="str">
        <f t="shared" si="151"/>
        <v>High</v>
      </c>
      <c r="Q988" t="str">
        <f t="shared" si="152"/>
        <v>High</v>
      </c>
      <c r="R988" t="s">
        <v>3317</v>
      </c>
      <c r="S988" s="4">
        <f t="shared" ca="1" si="153"/>
        <v>1042</v>
      </c>
      <c r="T988">
        <f t="shared" si="154"/>
        <v>1</v>
      </c>
      <c r="U988">
        <f t="shared" si="155"/>
        <v>3</v>
      </c>
      <c r="V988">
        <f t="shared" si="156"/>
        <v>3</v>
      </c>
      <c r="W988">
        <f t="shared" si="157"/>
        <v>1</v>
      </c>
      <c r="X988">
        <f t="shared" si="158"/>
        <v>2</v>
      </c>
      <c r="Y988" t="str">
        <f t="shared" si="159"/>
        <v>Monitor</v>
      </c>
    </row>
    <row r="989" spans="1:25" x14ac:dyDescent="0.35">
      <c r="A989" t="s">
        <v>20</v>
      </c>
      <c r="B989" t="s">
        <v>21</v>
      </c>
      <c r="C989" t="s">
        <v>51</v>
      </c>
      <c r="D989" t="s">
        <v>435</v>
      </c>
      <c r="E989">
        <v>80894398</v>
      </c>
      <c r="F989" t="s">
        <v>789</v>
      </c>
      <c r="G989" s="3">
        <v>47236</v>
      </c>
      <c r="H989">
        <v>36</v>
      </c>
      <c r="I989">
        <v>97</v>
      </c>
      <c r="J989">
        <v>344</v>
      </c>
      <c r="K989" s="4">
        <v>23392</v>
      </c>
      <c r="L989" s="4">
        <f>0</f>
        <v>0</v>
      </c>
      <c r="M989" s="4">
        <f>999</f>
        <v>999</v>
      </c>
      <c r="N989" t="s">
        <v>19</v>
      </c>
      <c r="O989" t="str">
        <f t="shared" si="150"/>
        <v>Low</v>
      </c>
      <c r="P989" t="str">
        <f t="shared" si="151"/>
        <v>High</v>
      </c>
      <c r="Q989" t="str">
        <f t="shared" si="152"/>
        <v>High</v>
      </c>
      <c r="R989" t="s">
        <v>3317</v>
      </c>
      <c r="S989" s="4">
        <f t="shared" ca="1" si="153"/>
        <v>1039</v>
      </c>
      <c r="T989">
        <f t="shared" si="154"/>
        <v>1</v>
      </c>
      <c r="U989">
        <f t="shared" si="155"/>
        <v>3</v>
      </c>
      <c r="V989">
        <f t="shared" si="156"/>
        <v>3</v>
      </c>
      <c r="W989">
        <f t="shared" si="157"/>
        <v>1</v>
      </c>
      <c r="X989">
        <f t="shared" si="158"/>
        <v>2</v>
      </c>
      <c r="Y989" t="str">
        <f t="shared" si="159"/>
        <v>Monitor</v>
      </c>
    </row>
    <row r="990" spans="1:25" x14ac:dyDescent="0.35">
      <c r="A990" t="s">
        <v>20</v>
      </c>
      <c r="B990" t="s">
        <v>21</v>
      </c>
      <c r="C990" t="s">
        <v>51</v>
      </c>
      <c r="D990" t="s">
        <v>435</v>
      </c>
      <c r="E990">
        <v>80894398</v>
      </c>
      <c r="F990" t="s">
        <v>789</v>
      </c>
      <c r="G990" s="3">
        <v>47269</v>
      </c>
      <c r="H990">
        <v>36</v>
      </c>
      <c r="I990">
        <v>100</v>
      </c>
      <c r="J990">
        <v>96</v>
      </c>
      <c r="K990" s="4">
        <v>6528</v>
      </c>
      <c r="L990" s="4">
        <f>0</f>
        <v>0</v>
      </c>
      <c r="M990" s="4">
        <f>999</f>
        <v>999</v>
      </c>
      <c r="N990" t="s">
        <v>19</v>
      </c>
      <c r="O990" t="str">
        <f t="shared" si="150"/>
        <v>Low</v>
      </c>
      <c r="P990" t="str">
        <f t="shared" si="151"/>
        <v>High</v>
      </c>
      <c r="Q990" t="str">
        <f t="shared" si="152"/>
        <v>High</v>
      </c>
      <c r="R990" t="s">
        <v>3317</v>
      </c>
      <c r="S990" s="4">
        <f t="shared" ca="1" si="153"/>
        <v>1072</v>
      </c>
      <c r="T990">
        <f t="shared" si="154"/>
        <v>1</v>
      </c>
      <c r="U990">
        <f t="shared" si="155"/>
        <v>3</v>
      </c>
      <c r="V990">
        <f t="shared" si="156"/>
        <v>3</v>
      </c>
      <c r="W990">
        <f t="shared" si="157"/>
        <v>1</v>
      </c>
      <c r="X990">
        <f t="shared" si="158"/>
        <v>2</v>
      </c>
      <c r="Y990" t="str">
        <f t="shared" si="159"/>
        <v>Monitor</v>
      </c>
    </row>
    <row r="991" spans="1:25" x14ac:dyDescent="0.35">
      <c r="A991" t="s">
        <v>20</v>
      </c>
      <c r="B991" t="s">
        <v>21</v>
      </c>
      <c r="C991" t="s">
        <v>214</v>
      </c>
      <c r="D991" t="s">
        <v>790</v>
      </c>
      <c r="E991">
        <v>83913848</v>
      </c>
      <c r="F991" t="s">
        <v>791</v>
      </c>
      <c r="G991" s="3">
        <v>47242</v>
      </c>
      <c r="H991">
        <v>36</v>
      </c>
      <c r="I991">
        <v>97</v>
      </c>
      <c r="J991">
        <v>1800</v>
      </c>
      <c r="K991" s="4">
        <v>358542</v>
      </c>
      <c r="L991" s="4">
        <f>0</f>
        <v>0</v>
      </c>
      <c r="M991" s="4">
        <f>999</f>
        <v>999</v>
      </c>
      <c r="N991" t="s">
        <v>19</v>
      </c>
      <c r="O991" t="str">
        <f t="shared" si="150"/>
        <v>Low</v>
      </c>
      <c r="P991" t="str">
        <f t="shared" si="151"/>
        <v>High</v>
      </c>
      <c r="Q991" t="str">
        <f t="shared" si="152"/>
        <v>High</v>
      </c>
      <c r="R991" t="s">
        <v>3309</v>
      </c>
      <c r="S991" s="4">
        <f t="shared" ca="1" si="153"/>
        <v>1045</v>
      </c>
      <c r="T991">
        <f t="shared" si="154"/>
        <v>1</v>
      </c>
      <c r="U991">
        <f t="shared" si="155"/>
        <v>3</v>
      </c>
      <c r="V991">
        <f t="shared" si="156"/>
        <v>3</v>
      </c>
      <c r="W991">
        <f t="shared" si="157"/>
        <v>3</v>
      </c>
      <c r="X991">
        <f t="shared" si="158"/>
        <v>2.2000000000000002</v>
      </c>
      <c r="Y991" t="str">
        <f t="shared" si="159"/>
        <v>High Priority</v>
      </c>
    </row>
    <row r="992" spans="1:25" x14ac:dyDescent="0.35">
      <c r="A992" t="s">
        <v>20</v>
      </c>
      <c r="B992" t="s">
        <v>21</v>
      </c>
      <c r="C992" t="s">
        <v>227</v>
      </c>
      <c r="D992" t="s">
        <v>228</v>
      </c>
      <c r="E992">
        <v>83913849</v>
      </c>
      <c r="F992" t="s">
        <v>792</v>
      </c>
      <c r="G992" s="3">
        <v>47271</v>
      </c>
      <c r="H992">
        <v>36</v>
      </c>
      <c r="I992">
        <v>100</v>
      </c>
      <c r="J992">
        <v>426</v>
      </c>
      <c r="K992" s="4">
        <v>39192</v>
      </c>
      <c r="L992" s="4">
        <v>511.28571428571428</v>
      </c>
      <c r="M992" s="4">
        <v>0.83319362950544851</v>
      </c>
      <c r="N992" t="s">
        <v>25</v>
      </c>
      <c r="O992" t="str">
        <f t="shared" si="150"/>
        <v>Low</v>
      </c>
      <c r="P992" t="str">
        <f t="shared" si="151"/>
        <v>Low</v>
      </c>
      <c r="Q992" t="str">
        <f t="shared" si="152"/>
        <v>Low</v>
      </c>
      <c r="R992" t="s">
        <v>3317</v>
      </c>
      <c r="S992" s="4">
        <f t="shared" ca="1" si="153"/>
        <v>1074</v>
      </c>
      <c r="T992">
        <f t="shared" si="154"/>
        <v>1</v>
      </c>
      <c r="U992">
        <f t="shared" si="155"/>
        <v>1</v>
      </c>
      <c r="V992">
        <f t="shared" si="156"/>
        <v>1</v>
      </c>
      <c r="W992">
        <f t="shared" si="157"/>
        <v>1</v>
      </c>
      <c r="X992">
        <f t="shared" si="158"/>
        <v>0.99999999999999989</v>
      </c>
      <c r="Y992" t="str">
        <f t="shared" si="159"/>
        <v>Healthy</v>
      </c>
    </row>
    <row r="993" spans="1:25" x14ac:dyDescent="0.35">
      <c r="A993" t="s">
        <v>20</v>
      </c>
      <c r="B993" t="s">
        <v>21</v>
      </c>
      <c r="C993" t="s">
        <v>51</v>
      </c>
      <c r="D993" t="s">
        <v>793</v>
      </c>
      <c r="E993">
        <v>80894402</v>
      </c>
      <c r="F993" t="s">
        <v>794</v>
      </c>
      <c r="G993" s="3">
        <v>47255</v>
      </c>
      <c r="H993">
        <v>36</v>
      </c>
      <c r="I993">
        <v>98</v>
      </c>
      <c r="J993">
        <v>192</v>
      </c>
      <c r="K993" s="4">
        <v>23040</v>
      </c>
      <c r="L993" s="4">
        <f>0</f>
        <v>0</v>
      </c>
      <c r="M993" s="4">
        <f>999</f>
        <v>999</v>
      </c>
      <c r="N993" t="s">
        <v>19</v>
      </c>
      <c r="O993" t="str">
        <f t="shared" si="150"/>
        <v>Low</v>
      </c>
      <c r="P993" t="str">
        <f t="shared" si="151"/>
        <v>High</v>
      </c>
      <c r="Q993" t="str">
        <f t="shared" si="152"/>
        <v>High</v>
      </c>
      <c r="R993" t="s">
        <v>3317</v>
      </c>
      <c r="S993" s="4">
        <f t="shared" ca="1" si="153"/>
        <v>1058</v>
      </c>
      <c r="T993">
        <f t="shared" si="154"/>
        <v>1</v>
      </c>
      <c r="U993">
        <f t="shared" si="155"/>
        <v>3</v>
      </c>
      <c r="V993">
        <f t="shared" si="156"/>
        <v>3</v>
      </c>
      <c r="W993">
        <f t="shared" si="157"/>
        <v>1</v>
      </c>
      <c r="X993">
        <f t="shared" si="158"/>
        <v>2</v>
      </c>
      <c r="Y993" t="str">
        <f t="shared" si="159"/>
        <v>Monitor</v>
      </c>
    </row>
    <row r="994" spans="1:25" x14ac:dyDescent="0.35">
      <c r="A994" t="s">
        <v>20</v>
      </c>
      <c r="B994" t="s">
        <v>21</v>
      </c>
      <c r="C994" t="s">
        <v>51</v>
      </c>
      <c r="D994" t="s">
        <v>793</v>
      </c>
      <c r="E994">
        <v>80894402</v>
      </c>
      <c r="F994" t="s">
        <v>794</v>
      </c>
      <c r="G994" s="3">
        <v>47263</v>
      </c>
      <c r="H994">
        <v>36</v>
      </c>
      <c r="I994">
        <v>99</v>
      </c>
      <c r="J994">
        <v>180</v>
      </c>
      <c r="K994" s="4">
        <v>21600</v>
      </c>
      <c r="L994" s="4">
        <f>0</f>
        <v>0</v>
      </c>
      <c r="M994" s="4">
        <f>999</f>
        <v>999</v>
      </c>
      <c r="N994" t="s">
        <v>19</v>
      </c>
      <c r="O994" t="str">
        <f t="shared" si="150"/>
        <v>Low</v>
      </c>
      <c r="P994" t="str">
        <f t="shared" si="151"/>
        <v>High</v>
      </c>
      <c r="Q994" t="str">
        <f t="shared" si="152"/>
        <v>High</v>
      </c>
      <c r="R994" t="s">
        <v>3317</v>
      </c>
      <c r="S994" s="4">
        <f t="shared" ca="1" si="153"/>
        <v>1066</v>
      </c>
      <c r="T994">
        <f t="shared" si="154"/>
        <v>1</v>
      </c>
      <c r="U994">
        <f t="shared" si="155"/>
        <v>3</v>
      </c>
      <c r="V994">
        <f t="shared" si="156"/>
        <v>3</v>
      </c>
      <c r="W994">
        <f t="shared" si="157"/>
        <v>1</v>
      </c>
      <c r="X994">
        <f t="shared" si="158"/>
        <v>2</v>
      </c>
      <c r="Y994" t="str">
        <f t="shared" si="159"/>
        <v>Monitor</v>
      </c>
    </row>
    <row r="995" spans="1:25" x14ac:dyDescent="0.35">
      <c r="A995" t="s">
        <v>20</v>
      </c>
      <c r="B995" t="s">
        <v>21</v>
      </c>
      <c r="C995" t="s">
        <v>795</v>
      </c>
      <c r="D995" t="s">
        <v>796</v>
      </c>
      <c r="E995">
        <v>83913850</v>
      </c>
      <c r="F995" t="s">
        <v>797</v>
      </c>
      <c r="G995" s="3">
        <v>47237</v>
      </c>
      <c r="H995">
        <v>36</v>
      </c>
      <c r="I995">
        <v>97</v>
      </c>
      <c r="J995">
        <v>349</v>
      </c>
      <c r="K995" s="4">
        <v>20940</v>
      </c>
      <c r="L995" s="4">
        <v>197.42857142857142</v>
      </c>
      <c r="M995" s="4">
        <v>1.7677279305354561</v>
      </c>
      <c r="N995" t="s">
        <v>25</v>
      </c>
      <c r="O995" t="str">
        <f t="shared" si="150"/>
        <v>Low</v>
      </c>
      <c r="P995" t="str">
        <f t="shared" si="151"/>
        <v>Low</v>
      </c>
      <c r="Q995" t="str">
        <f t="shared" si="152"/>
        <v>Low</v>
      </c>
      <c r="R995" t="s">
        <v>3317</v>
      </c>
      <c r="S995" s="4">
        <f t="shared" ca="1" si="153"/>
        <v>1040</v>
      </c>
      <c r="T995">
        <f t="shared" si="154"/>
        <v>1</v>
      </c>
      <c r="U995">
        <f t="shared" si="155"/>
        <v>1</v>
      </c>
      <c r="V995">
        <f t="shared" si="156"/>
        <v>1</v>
      </c>
      <c r="W995">
        <f t="shared" si="157"/>
        <v>1</v>
      </c>
      <c r="X995">
        <f t="shared" si="158"/>
        <v>0.99999999999999989</v>
      </c>
      <c r="Y995" t="str">
        <f t="shared" si="159"/>
        <v>Healthy</v>
      </c>
    </row>
    <row r="996" spans="1:25" x14ac:dyDescent="0.35">
      <c r="A996" t="s">
        <v>20</v>
      </c>
      <c r="B996" t="s">
        <v>21</v>
      </c>
      <c r="C996" t="s">
        <v>795</v>
      </c>
      <c r="D996" t="s">
        <v>796</v>
      </c>
      <c r="E996">
        <v>83913850</v>
      </c>
      <c r="F996" t="s">
        <v>797</v>
      </c>
      <c r="G996" s="3">
        <v>47249</v>
      </c>
      <c r="H996">
        <v>36</v>
      </c>
      <c r="I996">
        <v>98</v>
      </c>
      <c r="J996">
        <v>348</v>
      </c>
      <c r="K996" s="4">
        <v>20880</v>
      </c>
      <c r="L996" s="4">
        <v>197.42857142857142</v>
      </c>
      <c r="M996" s="4">
        <v>1.7626628075253257</v>
      </c>
      <c r="N996" t="s">
        <v>25</v>
      </c>
      <c r="O996" t="str">
        <f t="shared" si="150"/>
        <v>Low</v>
      </c>
      <c r="P996" t="str">
        <f t="shared" si="151"/>
        <v>Low</v>
      </c>
      <c r="Q996" t="str">
        <f t="shared" si="152"/>
        <v>Low</v>
      </c>
      <c r="R996" t="s">
        <v>3317</v>
      </c>
      <c r="S996" s="4">
        <f t="shared" ca="1" si="153"/>
        <v>1052</v>
      </c>
      <c r="T996">
        <f t="shared" si="154"/>
        <v>1</v>
      </c>
      <c r="U996">
        <f t="shared" si="155"/>
        <v>1</v>
      </c>
      <c r="V996">
        <f t="shared" si="156"/>
        <v>1</v>
      </c>
      <c r="W996">
        <f t="shared" si="157"/>
        <v>1</v>
      </c>
      <c r="X996">
        <f t="shared" si="158"/>
        <v>0.99999999999999989</v>
      </c>
      <c r="Y996" t="str">
        <f t="shared" si="159"/>
        <v>Healthy</v>
      </c>
    </row>
    <row r="997" spans="1:25" x14ac:dyDescent="0.35">
      <c r="A997" t="s">
        <v>20</v>
      </c>
      <c r="B997" t="s">
        <v>21</v>
      </c>
      <c r="C997" t="s">
        <v>51</v>
      </c>
      <c r="D997" t="s">
        <v>798</v>
      </c>
      <c r="E997">
        <v>80894404</v>
      </c>
      <c r="F997" t="s">
        <v>799</v>
      </c>
      <c r="G997" s="3">
        <v>47270</v>
      </c>
      <c r="H997">
        <v>36</v>
      </c>
      <c r="I997">
        <v>100</v>
      </c>
      <c r="J997">
        <v>381</v>
      </c>
      <c r="K997" s="4">
        <v>32918.400000000001</v>
      </c>
      <c r="L997" s="4">
        <v>172</v>
      </c>
      <c r="M997" s="4">
        <v>2.2151162790697674</v>
      </c>
      <c r="N997" t="s">
        <v>25</v>
      </c>
      <c r="O997" t="str">
        <f t="shared" si="150"/>
        <v>Low</v>
      </c>
      <c r="P997" t="str">
        <f t="shared" si="151"/>
        <v>Low</v>
      </c>
      <c r="Q997" t="str">
        <f t="shared" si="152"/>
        <v>Low</v>
      </c>
      <c r="R997" t="s">
        <v>3317</v>
      </c>
      <c r="S997" s="4">
        <f t="shared" ca="1" si="153"/>
        <v>1073</v>
      </c>
      <c r="T997">
        <f t="shared" si="154"/>
        <v>1</v>
      </c>
      <c r="U997">
        <f t="shared" si="155"/>
        <v>1</v>
      </c>
      <c r="V997">
        <f t="shared" si="156"/>
        <v>1</v>
      </c>
      <c r="W997">
        <f t="shared" si="157"/>
        <v>1</v>
      </c>
      <c r="X997">
        <f t="shared" si="158"/>
        <v>0.99999999999999989</v>
      </c>
      <c r="Y997" t="str">
        <f t="shared" si="159"/>
        <v>Healthy</v>
      </c>
    </row>
    <row r="998" spans="1:25" x14ac:dyDescent="0.35">
      <c r="A998" t="s">
        <v>20</v>
      </c>
      <c r="B998" t="s">
        <v>21</v>
      </c>
      <c r="C998" t="s">
        <v>227</v>
      </c>
      <c r="D998" t="s">
        <v>800</v>
      </c>
      <c r="E998">
        <v>83913851</v>
      </c>
      <c r="F998" t="s">
        <v>801</v>
      </c>
      <c r="G998" s="3">
        <v>47246</v>
      </c>
      <c r="H998">
        <v>36</v>
      </c>
      <c r="I998">
        <v>98</v>
      </c>
      <c r="J998">
        <v>504</v>
      </c>
      <c r="K998" s="4">
        <v>46368</v>
      </c>
      <c r="L998" s="4">
        <v>87.428571428571431</v>
      </c>
      <c r="M998" s="4">
        <v>5.7647058823529411</v>
      </c>
      <c r="N998" t="s">
        <v>25</v>
      </c>
      <c r="O998" t="str">
        <f t="shared" si="150"/>
        <v>Low</v>
      </c>
      <c r="P998" t="str">
        <f t="shared" si="151"/>
        <v>Medium</v>
      </c>
      <c r="Q998" t="str">
        <f t="shared" si="152"/>
        <v>Low</v>
      </c>
      <c r="R998" t="s">
        <v>3317</v>
      </c>
      <c r="S998" s="4">
        <f t="shared" ca="1" si="153"/>
        <v>1049</v>
      </c>
      <c r="T998">
        <f t="shared" si="154"/>
        <v>1</v>
      </c>
      <c r="U998">
        <f t="shared" si="155"/>
        <v>2</v>
      </c>
      <c r="V998">
        <f t="shared" si="156"/>
        <v>1</v>
      </c>
      <c r="W998">
        <f t="shared" si="157"/>
        <v>1</v>
      </c>
      <c r="X998">
        <f t="shared" si="158"/>
        <v>1.3</v>
      </c>
      <c r="Y998" t="str">
        <f t="shared" si="159"/>
        <v>Healthy</v>
      </c>
    </row>
    <row r="999" spans="1:25" x14ac:dyDescent="0.35">
      <c r="A999" t="s">
        <v>20</v>
      </c>
      <c r="B999" t="s">
        <v>21</v>
      </c>
      <c r="C999" t="s">
        <v>227</v>
      </c>
      <c r="D999" t="s">
        <v>800</v>
      </c>
      <c r="E999">
        <v>83913851</v>
      </c>
      <c r="F999" t="s">
        <v>801</v>
      </c>
      <c r="G999" s="3">
        <v>47234</v>
      </c>
      <c r="H999">
        <v>36</v>
      </c>
      <c r="I999">
        <v>96</v>
      </c>
      <c r="J999">
        <v>14</v>
      </c>
      <c r="K999" s="4">
        <v>1288</v>
      </c>
      <c r="L999" s="4">
        <v>87.428571428571431</v>
      </c>
      <c r="M999" s="4">
        <v>0.16013071895424835</v>
      </c>
      <c r="N999" t="s">
        <v>25</v>
      </c>
      <c r="O999" t="str">
        <f t="shared" si="150"/>
        <v>Low</v>
      </c>
      <c r="P999" t="str">
        <f t="shared" si="151"/>
        <v>Low</v>
      </c>
      <c r="Q999" t="str">
        <f t="shared" si="152"/>
        <v>Low</v>
      </c>
      <c r="R999" t="s">
        <v>3317</v>
      </c>
      <c r="S999" s="4">
        <f t="shared" ca="1" si="153"/>
        <v>1037</v>
      </c>
      <c r="T999">
        <f t="shared" si="154"/>
        <v>1</v>
      </c>
      <c r="U999">
        <f t="shared" si="155"/>
        <v>1</v>
      </c>
      <c r="V999">
        <f t="shared" si="156"/>
        <v>1</v>
      </c>
      <c r="W999">
        <f t="shared" si="157"/>
        <v>1</v>
      </c>
      <c r="X999">
        <f t="shared" si="158"/>
        <v>0.99999999999999989</v>
      </c>
      <c r="Y999" t="str">
        <f t="shared" si="159"/>
        <v>Healthy</v>
      </c>
    </row>
    <row r="1000" spans="1:25" x14ac:dyDescent="0.35">
      <c r="A1000" t="s">
        <v>20</v>
      </c>
      <c r="B1000" t="s">
        <v>21</v>
      </c>
      <c r="C1000" t="s">
        <v>227</v>
      </c>
      <c r="D1000" t="s">
        <v>800</v>
      </c>
      <c r="E1000">
        <v>83913851</v>
      </c>
      <c r="F1000" t="s">
        <v>801</v>
      </c>
      <c r="G1000" s="3">
        <v>47255</v>
      </c>
      <c r="H1000">
        <v>36</v>
      </c>
      <c r="I1000">
        <v>98</v>
      </c>
      <c r="J1000">
        <v>329</v>
      </c>
      <c r="K1000" s="4">
        <v>30268</v>
      </c>
      <c r="L1000" s="4">
        <v>87.428571428571431</v>
      </c>
      <c r="M1000" s="4">
        <v>3.7630718954248366</v>
      </c>
      <c r="N1000" t="s">
        <v>25</v>
      </c>
      <c r="O1000" t="str">
        <f t="shared" si="150"/>
        <v>Low</v>
      </c>
      <c r="P1000" t="str">
        <f t="shared" si="151"/>
        <v>Low</v>
      </c>
      <c r="Q1000" t="str">
        <f t="shared" si="152"/>
        <v>Low</v>
      </c>
      <c r="R1000" t="s">
        <v>3317</v>
      </c>
      <c r="S1000" s="4">
        <f t="shared" ca="1" si="153"/>
        <v>1058</v>
      </c>
      <c r="T1000">
        <f t="shared" si="154"/>
        <v>1</v>
      </c>
      <c r="U1000">
        <f t="shared" si="155"/>
        <v>1</v>
      </c>
      <c r="V1000">
        <f t="shared" si="156"/>
        <v>1</v>
      </c>
      <c r="W1000">
        <f t="shared" si="157"/>
        <v>1</v>
      </c>
      <c r="X1000">
        <f t="shared" si="158"/>
        <v>0.99999999999999989</v>
      </c>
      <c r="Y1000" t="str">
        <f t="shared" si="159"/>
        <v>Healthy</v>
      </c>
    </row>
    <row r="1001" spans="1:25" x14ac:dyDescent="0.35">
      <c r="A1001" t="s">
        <v>20</v>
      </c>
      <c r="B1001" t="s">
        <v>21</v>
      </c>
      <c r="C1001" t="s">
        <v>227</v>
      </c>
      <c r="D1001" t="s">
        <v>800</v>
      </c>
      <c r="E1001">
        <v>83913851</v>
      </c>
      <c r="F1001" t="s">
        <v>801</v>
      </c>
      <c r="G1001" s="3">
        <v>47265</v>
      </c>
      <c r="H1001">
        <v>36</v>
      </c>
      <c r="I1001">
        <v>99</v>
      </c>
      <c r="J1001">
        <v>307</v>
      </c>
      <c r="K1001" s="4">
        <v>28244</v>
      </c>
      <c r="L1001" s="4">
        <v>87.428571428571431</v>
      </c>
      <c r="M1001" s="4">
        <v>3.511437908496732</v>
      </c>
      <c r="N1001" t="s">
        <v>25</v>
      </c>
      <c r="O1001" t="str">
        <f t="shared" si="150"/>
        <v>Low</v>
      </c>
      <c r="P1001" t="str">
        <f t="shared" si="151"/>
        <v>Low</v>
      </c>
      <c r="Q1001" t="str">
        <f t="shared" si="152"/>
        <v>Low</v>
      </c>
      <c r="R1001" t="s">
        <v>3317</v>
      </c>
      <c r="S1001" s="4">
        <f t="shared" ca="1" si="153"/>
        <v>1068</v>
      </c>
      <c r="T1001">
        <f t="shared" si="154"/>
        <v>1</v>
      </c>
      <c r="U1001">
        <f t="shared" si="155"/>
        <v>1</v>
      </c>
      <c r="V1001">
        <f t="shared" si="156"/>
        <v>1</v>
      </c>
      <c r="W1001">
        <f t="shared" si="157"/>
        <v>1</v>
      </c>
      <c r="X1001">
        <f t="shared" si="158"/>
        <v>0.99999999999999989</v>
      </c>
      <c r="Y1001" t="str">
        <f t="shared" si="159"/>
        <v>Healthy</v>
      </c>
    </row>
    <row r="1002" spans="1:25" x14ac:dyDescent="0.35">
      <c r="A1002" t="s">
        <v>20</v>
      </c>
      <c r="B1002" t="s">
        <v>21</v>
      </c>
      <c r="C1002" t="s">
        <v>214</v>
      </c>
      <c r="D1002" t="s">
        <v>802</v>
      </c>
      <c r="E1002">
        <v>83913855</v>
      </c>
      <c r="F1002" t="s">
        <v>803</v>
      </c>
      <c r="G1002" s="3">
        <v>47271</v>
      </c>
      <c r="H1002">
        <v>36</v>
      </c>
      <c r="I1002">
        <v>100</v>
      </c>
      <c r="J1002">
        <v>684</v>
      </c>
      <c r="K1002" s="4">
        <v>147737.16</v>
      </c>
      <c r="L1002" s="4">
        <f>0</f>
        <v>0</v>
      </c>
      <c r="M1002" s="4">
        <f>999</f>
        <v>999</v>
      </c>
      <c r="N1002" t="s">
        <v>19</v>
      </c>
      <c r="O1002" t="str">
        <f t="shared" si="150"/>
        <v>Low</v>
      </c>
      <c r="P1002" t="str">
        <f t="shared" si="151"/>
        <v>High</v>
      </c>
      <c r="Q1002" t="str">
        <f t="shared" si="152"/>
        <v>High</v>
      </c>
      <c r="R1002" t="s">
        <v>3309</v>
      </c>
      <c r="S1002" s="4">
        <f t="shared" ca="1" si="153"/>
        <v>1074</v>
      </c>
      <c r="T1002">
        <f t="shared" si="154"/>
        <v>1</v>
      </c>
      <c r="U1002">
        <f t="shared" si="155"/>
        <v>3</v>
      </c>
      <c r="V1002">
        <f t="shared" si="156"/>
        <v>3</v>
      </c>
      <c r="W1002">
        <f t="shared" si="157"/>
        <v>3</v>
      </c>
      <c r="X1002">
        <f t="shared" si="158"/>
        <v>2.2000000000000002</v>
      </c>
      <c r="Y1002" t="str">
        <f t="shared" si="159"/>
        <v>High Priority</v>
      </c>
    </row>
    <row r="1003" spans="1:25" x14ac:dyDescent="0.35">
      <c r="A1003" t="s">
        <v>20</v>
      </c>
      <c r="B1003" t="s">
        <v>21</v>
      </c>
      <c r="C1003" t="s">
        <v>51</v>
      </c>
      <c r="D1003" t="s">
        <v>804</v>
      </c>
      <c r="E1003">
        <v>80894408</v>
      </c>
      <c r="F1003" t="s">
        <v>805</v>
      </c>
      <c r="G1003" s="3">
        <v>47249</v>
      </c>
      <c r="H1003">
        <v>36</v>
      </c>
      <c r="I1003">
        <v>98</v>
      </c>
      <c r="J1003">
        <v>100</v>
      </c>
      <c r="K1003" s="4">
        <v>6800</v>
      </c>
      <c r="L1003" s="4">
        <f>0</f>
        <v>0</v>
      </c>
      <c r="M1003" s="4">
        <f>999</f>
        <v>999</v>
      </c>
      <c r="N1003" t="s">
        <v>19</v>
      </c>
      <c r="O1003" t="str">
        <f t="shared" si="150"/>
        <v>Low</v>
      </c>
      <c r="P1003" t="str">
        <f t="shared" si="151"/>
        <v>High</v>
      </c>
      <c r="Q1003" t="str">
        <f t="shared" si="152"/>
        <v>High</v>
      </c>
      <c r="R1003" t="s">
        <v>3317</v>
      </c>
      <c r="S1003" s="4">
        <f t="shared" ca="1" si="153"/>
        <v>1052</v>
      </c>
      <c r="T1003">
        <f t="shared" si="154"/>
        <v>1</v>
      </c>
      <c r="U1003">
        <f t="shared" si="155"/>
        <v>3</v>
      </c>
      <c r="V1003">
        <f t="shared" si="156"/>
        <v>3</v>
      </c>
      <c r="W1003">
        <f t="shared" si="157"/>
        <v>1</v>
      </c>
      <c r="X1003">
        <f t="shared" si="158"/>
        <v>2</v>
      </c>
      <c r="Y1003" t="str">
        <f t="shared" si="159"/>
        <v>Monitor</v>
      </c>
    </row>
    <row r="1004" spans="1:25" x14ac:dyDescent="0.35">
      <c r="A1004" t="s">
        <v>14</v>
      </c>
      <c r="B1004" t="s">
        <v>58</v>
      </c>
      <c r="C1004" t="s">
        <v>806</v>
      </c>
      <c r="D1004" t="s">
        <v>807</v>
      </c>
      <c r="E1004">
        <v>80720255</v>
      </c>
      <c r="F1004" t="s">
        <v>808</v>
      </c>
      <c r="G1004" s="3">
        <v>45374</v>
      </c>
      <c r="H1004">
        <v>60</v>
      </c>
      <c r="I1004">
        <v>0</v>
      </c>
      <c r="J1004">
        <v>1</v>
      </c>
      <c r="K1004" s="4">
        <v>770.55</v>
      </c>
      <c r="L1004" s="4">
        <f>0</f>
        <v>0</v>
      </c>
      <c r="M1004" s="4">
        <f>999</f>
        <v>999</v>
      </c>
      <c r="N1004" t="s">
        <v>19</v>
      </c>
      <c r="O1004" t="str">
        <f t="shared" si="150"/>
        <v>High</v>
      </c>
      <c r="P1004" t="str">
        <f t="shared" si="151"/>
        <v>High</v>
      </c>
      <c r="Q1004" t="str">
        <f t="shared" si="152"/>
        <v>High</v>
      </c>
      <c r="R1004" t="s">
        <v>3317</v>
      </c>
      <c r="S1004" s="4">
        <f t="shared" ca="1" si="153"/>
        <v>-823</v>
      </c>
      <c r="T1004">
        <f t="shared" si="154"/>
        <v>3</v>
      </c>
      <c r="U1004">
        <f t="shared" si="155"/>
        <v>3</v>
      </c>
      <c r="V1004">
        <f t="shared" si="156"/>
        <v>3</v>
      </c>
      <c r="W1004">
        <f t="shared" si="157"/>
        <v>1</v>
      </c>
      <c r="X1004">
        <f t="shared" si="158"/>
        <v>2.8000000000000003</v>
      </c>
      <c r="Y1004" t="str">
        <f t="shared" si="159"/>
        <v>Move Immediately</v>
      </c>
    </row>
    <row r="1005" spans="1:25" x14ac:dyDescent="0.35">
      <c r="A1005" t="s">
        <v>20</v>
      </c>
      <c r="B1005" t="s">
        <v>21</v>
      </c>
      <c r="C1005" t="s">
        <v>51</v>
      </c>
      <c r="D1005" t="s">
        <v>804</v>
      </c>
      <c r="E1005">
        <v>80894408</v>
      </c>
      <c r="F1005" t="s">
        <v>805</v>
      </c>
      <c r="G1005" s="3">
        <v>47248</v>
      </c>
      <c r="H1005">
        <v>36</v>
      </c>
      <c r="I1005">
        <v>98</v>
      </c>
      <c r="J1005">
        <v>126</v>
      </c>
      <c r="K1005" s="4">
        <v>8568</v>
      </c>
      <c r="L1005" s="4">
        <f>0</f>
        <v>0</v>
      </c>
      <c r="M1005" s="4">
        <f>999</f>
        <v>999</v>
      </c>
      <c r="N1005" t="s">
        <v>19</v>
      </c>
      <c r="O1005" t="str">
        <f t="shared" si="150"/>
        <v>Low</v>
      </c>
      <c r="P1005" t="str">
        <f t="shared" si="151"/>
        <v>High</v>
      </c>
      <c r="Q1005" t="str">
        <f t="shared" si="152"/>
        <v>High</v>
      </c>
      <c r="R1005" t="s">
        <v>3317</v>
      </c>
      <c r="S1005" s="4">
        <f t="shared" ca="1" si="153"/>
        <v>1051</v>
      </c>
      <c r="T1005">
        <f t="shared" si="154"/>
        <v>1</v>
      </c>
      <c r="U1005">
        <f t="shared" si="155"/>
        <v>3</v>
      </c>
      <c r="V1005">
        <f t="shared" si="156"/>
        <v>3</v>
      </c>
      <c r="W1005">
        <f t="shared" si="157"/>
        <v>1</v>
      </c>
      <c r="X1005">
        <f t="shared" si="158"/>
        <v>2</v>
      </c>
      <c r="Y1005" t="str">
        <f t="shared" si="159"/>
        <v>Monitor</v>
      </c>
    </row>
    <row r="1006" spans="1:25" x14ac:dyDescent="0.35">
      <c r="A1006" t="s">
        <v>20</v>
      </c>
      <c r="B1006" t="s">
        <v>21</v>
      </c>
      <c r="C1006" t="s">
        <v>214</v>
      </c>
      <c r="D1006" t="s">
        <v>809</v>
      </c>
      <c r="E1006">
        <v>83913859</v>
      </c>
      <c r="F1006" t="s">
        <v>810</v>
      </c>
      <c r="G1006" s="3">
        <v>46996</v>
      </c>
      <c r="H1006">
        <v>36</v>
      </c>
      <c r="I1006">
        <v>74</v>
      </c>
      <c r="J1006">
        <v>45</v>
      </c>
      <c r="K1006" s="4">
        <v>5040</v>
      </c>
      <c r="L1006" s="4">
        <f>0</f>
        <v>0</v>
      </c>
      <c r="M1006" s="4">
        <f>999</f>
        <v>999</v>
      </c>
      <c r="N1006" t="s">
        <v>19</v>
      </c>
      <c r="O1006" t="str">
        <f t="shared" si="150"/>
        <v>Low</v>
      </c>
      <c r="P1006" t="str">
        <f t="shared" si="151"/>
        <v>High</v>
      </c>
      <c r="Q1006" t="str">
        <f t="shared" si="152"/>
        <v>High</v>
      </c>
      <c r="R1006" t="s">
        <v>3317</v>
      </c>
      <c r="S1006" s="4">
        <f t="shared" ca="1" si="153"/>
        <v>799</v>
      </c>
      <c r="T1006">
        <f t="shared" si="154"/>
        <v>1</v>
      </c>
      <c r="U1006">
        <f t="shared" si="155"/>
        <v>3</v>
      </c>
      <c r="V1006">
        <f t="shared" si="156"/>
        <v>3</v>
      </c>
      <c r="W1006">
        <f t="shared" si="157"/>
        <v>1</v>
      </c>
      <c r="X1006">
        <f t="shared" si="158"/>
        <v>2</v>
      </c>
      <c r="Y1006" t="str">
        <f t="shared" si="159"/>
        <v>Monitor</v>
      </c>
    </row>
    <row r="1007" spans="1:25" x14ac:dyDescent="0.35">
      <c r="A1007" t="s">
        <v>20</v>
      </c>
      <c r="B1007" t="s">
        <v>21</v>
      </c>
      <c r="C1007" t="s">
        <v>51</v>
      </c>
      <c r="D1007" t="s">
        <v>719</v>
      </c>
      <c r="E1007">
        <v>80894410</v>
      </c>
      <c r="F1007" t="s">
        <v>811</v>
      </c>
      <c r="G1007" s="3">
        <v>47260</v>
      </c>
      <c r="H1007">
        <v>36</v>
      </c>
      <c r="I1007">
        <v>99</v>
      </c>
      <c r="J1007">
        <v>238</v>
      </c>
      <c r="K1007" s="4">
        <v>14280</v>
      </c>
      <c r="L1007" s="4">
        <f>0</f>
        <v>0</v>
      </c>
      <c r="M1007" s="4">
        <f>999</f>
        <v>999</v>
      </c>
      <c r="N1007" t="s">
        <v>19</v>
      </c>
      <c r="O1007" t="str">
        <f t="shared" si="150"/>
        <v>Low</v>
      </c>
      <c r="P1007" t="str">
        <f t="shared" si="151"/>
        <v>High</v>
      </c>
      <c r="Q1007" t="str">
        <f t="shared" si="152"/>
        <v>High</v>
      </c>
      <c r="R1007" t="s">
        <v>3317</v>
      </c>
      <c r="S1007" s="4">
        <f t="shared" ca="1" si="153"/>
        <v>1063</v>
      </c>
      <c r="T1007">
        <f t="shared" si="154"/>
        <v>1</v>
      </c>
      <c r="U1007">
        <f t="shared" si="155"/>
        <v>3</v>
      </c>
      <c r="V1007">
        <f t="shared" si="156"/>
        <v>3</v>
      </c>
      <c r="W1007">
        <f t="shared" si="157"/>
        <v>1</v>
      </c>
      <c r="X1007">
        <f t="shared" si="158"/>
        <v>2</v>
      </c>
      <c r="Y1007" t="str">
        <f t="shared" si="159"/>
        <v>Monitor</v>
      </c>
    </row>
    <row r="1008" spans="1:25" x14ac:dyDescent="0.35">
      <c r="A1008" t="s">
        <v>20</v>
      </c>
      <c r="B1008" t="s">
        <v>21</v>
      </c>
      <c r="C1008" t="s">
        <v>51</v>
      </c>
      <c r="D1008" t="s">
        <v>184</v>
      </c>
      <c r="E1008">
        <v>80894412</v>
      </c>
      <c r="F1008" t="s">
        <v>812</v>
      </c>
      <c r="G1008" s="3">
        <v>47257</v>
      </c>
      <c r="H1008">
        <v>36</v>
      </c>
      <c r="I1008">
        <v>99</v>
      </c>
      <c r="J1008">
        <v>25</v>
      </c>
      <c r="K1008" s="4">
        <v>3000</v>
      </c>
      <c r="L1008" s="4">
        <f>0</f>
        <v>0</v>
      </c>
      <c r="M1008" s="4">
        <f>999</f>
        <v>999</v>
      </c>
      <c r="N1008" t="s">
        <v>19</v>
      </c>
      <c r="O1008" t="str">
        <f t="shared" si="150"/>
        <v>Low</v>
      </c>
      <c r="P1008" t="str">
        <f t="shared" si="151"/>
        <v>High</v>
      </c>
      <c r="Q1008" t="str">
        <f t="shared" si="152"/>
        <v>High</v>
      </c>
      <c r="R1008" t="s">
        <v>3317</v>
      </c>
      <c r="S1008" s="4">
        <f t="shared" ca="1" si="153"/>
        <v>1060</v>
      </c>
      <c r="T1008">
        <f t="shared" si="154"/>
        <v>1</v>
      </c>
      <c r="U1008">
        <f t="shared" si="155"/>
        <v>3</v>
      </c>
      <c r="V1008">
        <f t="shared" si="156"/>
        <v>3</v>
      </c>
      <c r="W1008">
        <f t="shared" si="157"/>
        <v>1</v>
      </c>
      <c r="X1008">
        <f t="shared" si="158"/>
        <v>2</v>
      </c>
      <c r="Y1008" t="str">
        <f t="shared" si="159"/>
        <v>Monitor</v>
      </c>
    </row>
    <row r="1009" spans="1:25" x14ac:dyDescent="0.35">
      <c r="A1009" t="s">
        <v>20</v>
      </c>
      <c r="B1009" t="s">
        <v>21</v>
      </c>
      <c r="C1009" t="s">
        <v>51</v>
      </c>
      <c r="D1009" t="s">
        <v>184</v>
      </c>
      <c r="E1009">
        <v>80894412</v>
      </c>
      <c r="F1009" t="s">
        <v>812</v>
      </c>
      <c r="G1009" s="3">
        <v>47257</v>
      </c>
      <c r="H1009">
        <v>36</v>
      </c>
      <c r="I1009">
        <v>99</v>
      </c>
      <c r="J1009">
        <v>6</v>
      </c>
      <c r="K1009" s="4">
        <v>720</v>
      </c>
      <c r="L1009" s="4">
        <f>0</f>
        <v>0</v>
      </c>
      <c r="M1009" s="4">
        <f>999</f>
        <v>999</v>
      </c>
      <c r="N1009" t="s">
        <v>19</v>
      </c>
      <c r="O1009" t="str">
        <f t="shared" si="150"/>
        <v>Low</v>
      </c>
      <c r="P1009" t="str">
        <f t="shared" si="151"/>
        <v>High</v>
      </c>
      <c r="Q1009" t="str">
        <f t="shared" si="152"/>
        <v>High</v>
      </c>
      <c r="R1009" t="s">
        <v>3317</v>
      </c>
      <c r="S1009" s="4">
        <f t="shared" ca="1" si="153"/>
        <v>1060</v>
      </c>
      <c r="T1009">
        <f t="shared" si="154"/>
        <v>1</v>
      </c>
      <c r="U1009">
        <f t="shared" si="155"/>
        <v>3</v>
      </c>
      <c r="V1009">
        <f t="shared" si="156"/>
        <v>3</v>
      </c>
      <c r="W1009">
        <f t="shared" si="157"/>
        <v>1</v>
      </c>
      <c r="X1009">
        <f t="shared" si="158"/>
        <v>2</v>
      </c>
      <c r="Y1009" t="str">
        <f t="shared" si="159"/>
        <v>Monitor</v>
      </c>
    </row>
    <row r="1010" spans="1:25" x14ac:dyDescent="0.35">
      <c r="A1010" t="s">
        <v>20</v>
      </c>
      <c r="B1010" t="s">
        <v>21</v>
      </c>
      <c r="C1010" t="s">
        <v>684</v>
      </c>
      <c r="D1010" t="s">
        <v>813</v>
      </c>
      <c r="E1010">
        <v>83913861</v>
      </c>
      <c r="F1010" t="s">
        <v>814</v>
      </c>
      <c r="G1010" s="3">
        <v>47252</v>
      </c>
      <c r="H1010">
        <v>36</v>
      </c>
      <c r="I1010">
        <v>98</v>
      </c>
      <c r="J1010">
        <v>10</v>
      </c>
      <c r="K1010" s="4">
        <v>1520</v>
      </c>
      <c r="L1010" s="4">
        <f>0</f>
        <v>0</v>
      </c>
      <c r="M1010" s="4">
        <f>999</f>
        <v>999</v>
      </c>
      <c r="N1010" t="s">
        <v>19</v>
      </c>
      <c r="O1010" t="str">
        <f t="shared" si="150"/>
        <v>Low</v>
      </c>
      <c r="P1010" t="str">
        <f t="shared" si="151"/>
        <v>High</v>
      </c>
      <c r="Q1010" t="str">
        <f t="shared" si="152"/>
        <v>High</v>
      </c>
      <c r="R1010" t="s">
        <v>3317</v>
      </c>
      <c r="S1010" s="4">
        <f t="shared" ca="1" si="153"/>
        <v>1055</v>
      </c>
      <c r="T1010">
        <f t="shared" si="154"/>
        <v>1</v>
      </c>
      <c r="U1010">
        <f t="shared" si="155"/>
        <v>3</v>
      </c>
      <c r="V1010">
        <f t="shared" si="156"/>
        <v>3</v>
      </c>
      <c r="W1010">
        <f t="shared" si="157"/>
        <v>1</v>
      </c>
      <c r="X1010">
        <f t="shared" si="158"/>
        <v>2</v>
      </c>
      <c r="Y1010" t="str">
        <f t="shared" si="159"/>
        <v>Monitor</v>
      </c>
    </row>
    <row r="1011" spans="1:25" x14ac:dyDescent="0.35">
      <c r="A1011" t="s">
        <v>20</v>
      </c>
      <c r="B1011" t="s">
        <v>21</v>
      </c>
      <c r="C1011" t="s">
        <v>51</v>
      </c>
      <c r="D1011" t="s">
        <v>815</v>
      </c>
      <c r="E1011">
        <v>80894414</v>
      </c>
      <c r="F1011" t="s">
        <v>816</v>
      </c>
      <c r="G1011" s="3">
        <v>47261</v>
      </c>
      <c r="H1011">
        <v>36</v>
      </c>
      <c r="I1011">
        <v>99</v>
      </c>
      <c r="J1011">
        <v>252</v>
      </c>
      <c r="K1011" s="4">
        <v>30240</v>
      </c>
      <c r="L1011" s="4">
        <f>0</f>
        <v>0</v>
      </c>
      <c r="M1011" s="4">
        <f>999</f>
        <v>999</v>
      </c>
      <c r="N1011" t="s">
        <v>19</v>
      </c>
      <c r="O1011" t="str">
        <f t="shared" si="150"/>
        <v>Low</v>
      </c>
      <c r="P1011" t="str">
        <f t="shared" si="151"/>
        <v>High</v>
      </c>
      <c r="Q1011" t="str">
        <f t="shared" si="152"/>
        <v>High</v>
      </c>
      <c r="R1011" t="s">
        <v>3317</v>
      </c>
      <c r="S1011" s="4">
        <f t="shared" ca="1" si="153"/>
        <v>1064</v>
      </c>
      <c r="T1011">
        <f t="shared" si="154"/>
        <v>1</v>
      </c>
      <c r="U1011">
        <f t="shared" si="155"/>
        <v>3</v>
      </c>
      <c r="V1011">
        <f t="shared" si="156"/>
        <v>3</v>
      </c>
      <c r="W1011">
        <f t="shared" si="157"/>
        <v>1</v>
      </c>
      <c r="X1011">
        <f t="shared" si="158"/>
        <v>2</v>
      </c>
      <c r="Y1011" t="str">
        <f t="shared" si="159"/>
        <v>Monitor</v>
      </c>
    </row>
    <row r="1012" spans="1:25" x14ac:dyDescent="0.35">
      <c r="A1012" t="s">
        <v>20</v>
      </c>
      <c r="B1012" t="s">
        <v>21</v>
      </c>
      <c r="C1012" t="s">
        <v>214</v>
      </c>
      <c r="D1012" t="s">
        <v>817</v>
      </c>
      <c r="E1012">
        <v>80894416</v>
      </c>
      <c r="F1012" t="s">
        <v>818</v>
      </c>
      <c r="G1012" s="3">
        <v>47267</v>
      </c>
      <c r="H1012">
        <v>36</v>
      </c>
      <c r="I1012">
        <v>100</v>
      </c>
      <c r="J1012">
        <v>1930</v>
      </c>
      <c r="K1012" s="4">
        <v>77200</v>
      </c>
      <c r="L1012" s="4">
        <f>0</f>
        <v>0</v>
      </c>
      <c r="M1012" s="4">
        <f>999</f>
        <v>999</v>
      </c>
      <c r="N1012" t="s">
        <v>19</v>
      </c>
      <c r="O1012" t="str">
        <f t="shared" si="150"/>
        <v>Low</v>
      </c>
      <c r="P1012" t="str">
        <f t="shared" si="151"/>
        <v>High</v>
      </c>
      <c r="Q1012" t="str">
        <f t="shared" si="152"/>
        <v>High</v>
      </c>
      <c r="R1012" t="s">
        <v>3310</v>
      </c>
      <c r="S1012" s="4">
        <f t="shared" ca="1" si="153"/>
        <v>1070</v>
      </c>
      <c r="T1012">
        <f t="shared" si="154"/>
        <v>1</v>
      </c>
      <c r="U1012">
        <f t="shared" si="155"/>
        <v>3</v>
      </c>
      <c r="V1012">
        <f t="shared" si="156"/>
        <v>3</v>
      </c>
      <c r="W1012">
        <f t="shared" si="157"/>
        <v>2</v>
      </c>
      <c r="X1012">
        <f t="shared" si="158"/>
        <v>2.1</v>
      </c>
      <c r="Y1012" t="str">
        <f t="shared" si="159"/>
        <v>Monitor</v>
      </c>
    </row>
    <row r="1013" spans="1:25" x14ac:dyDescent="0.35">
      <c r="A1013" t="s">
        <v>20</v>
      </c>
      <c r="B1013" t="s">
        <v>21</v>
      </c>
      <c r="C1013" t="s">
        <v>214</v>
      </c>
      <c r="D1013" t="s">
        <v>817</v>
      </c>
      <c r="E1013">
        <v>80894416</v>
      </c>
      <c r="F1013" t="s">
        <v>818</v>
      </c>
      <c r="G1013" s="3">
        <v>47251</v>
      </c>
      <c r="H1013">
        <v>36</v>
      </c>
      <c r="I1013">
        <v>98</v>
      </c>
      <c r="J1013">
        <v>3828</v>
      </c>
      <c r="K1013" s="4">
        <v>153120</v>
      </c>
      <c r="L1013" s="4">
        <f>0</f>
        <v>0</v>
      </c>
      <c r="M1013" s="4">
        <f>999</f>
        <v>999</v>
      </c>
      <c r="N1013" t="s">
        <v>19</v>
      </c>
      <c r="O1013" t="str">
        <f t="shared" si="150"/>
        <v>Low</v>
      </c>
      <c r="P1013" t="str">
        <f t="shared" si="151"/>
        <v>High</v>
      </c>
      <c r="Q1013" t="str">
        <f t="shared" si="152"/>
        <v>High</v>
      </c>
      <c r="R1013" t="s">
        <v>3309</v>
      </c>
      <c r="S1013" s="4">
        <f t="shared" ca="1" si="153"/>
        <v>1054</v>
      </c>
      <c r="T1013">
        <f t="shared" si="154"/>
        <v>1</v>
      </c>
      <c r="U1013">
        <f t="shared" si="155"/>
        <v>3</v>
      </c>
      <c r="V1013">
        <f t="shared" si="156"/>
        <v>3</v>
      </c>
      <c r="W1013">
        <f t="shared" si="157"/>
        <v>3</v>
      </c>
      <c r="X1013">
        <f t="shared" si="158"/>
        <v>2.2000000000000002</v>
      </c>
      <c r="Y1013" t="str">
        <f t="shared" si="159"/>
        <v>High Priority</v>
      </c>
    </row>
    <row r="1014" spans="1:25" x14ac:dyDescent="0.35">
      <c r="A1014" t="s">
        <v>20</v>
      </c>
      <c r="B1014" t="s">
        <v>21</v>
      </c>
      <c r="C1014" t="s">
        <v>214</v>
      </c>
      <c r="D1014" t="s">
        <v>817</v>
      </c>
      <c r="E1014">
        <v>80894416</v>
      </c>
      <c r="F1014" t="s">
        <v>818</v>
      </c>
      <c r="G1014" s="3">
        <v>47241</v>
      </c>
      <c r="H1014">
        <v>36</v>
      </c>
      <c r="I1014">
        <v>97</v>
      </c>
      <c r="J1014">
        <v>720</v>
      </c>
      <c r="K1014" s="4">
        <v>28800</v>
      </c>
      <c r="L1014" s="4">
        <f>0</f>
        <v>0</v>
      </c>
      <c r="M1014" s="4">
        <f>999</f>
        <v>999</v>
      </c>
      <c r="N1014" t="s">
        <v>19</v>
      </c>
      <c r="O1014" t="str">
        <f t="shared" si="150"/>
        <v>Low</v>
      </c>
      <c r="P1014" t="str">
        <f t="shared" si="151"/>
        <v>High</v>
      </c>
      <c r="Q1014" t="str">
        <f t="shared" si="152"/>
        <v>High</v>
      </c>
      <c r="R1014" t="s">
        <v>3317</v>
      </c>
      <c r="S1014" s="4">
        <f t="shared" ca="1" si="153"/>
        <v>1044</v>
      </c>
      <c r="T1014">
        <f t="shared" si="154"/>
        <v>1</v>
      </c>
      <c r="U1014">
        <f t="shared" si="155"/>
        <v>3</v>
      </c>
      <c r="V1014">
        <f t="shared" si="156"/>
        <v>3</v>
      </c>
      <c r="W1014">
        <f t="shared" si="157"/>
        <v>1</v>
      </c>
      <c r="X1014">
        <f t="shared" si="158"/>
        <v>2</v>
      </c>
      <c r="Y1014" t="str">
        <f t="shared" si="159"/>
        <v>Monitor</v>
      </c>
    </row>
    <row r="1015" spans="1:25" x14ac:dyDescent="0.35">
      <c r="A1015" t="s">
        <v>20</v>
      </c>
      <c r="B1015" t="s">
        <v>21</v>
      </c>
      <c r="C1015" t="s">
        <v>214</v>
      </c>
      <c r="D1015" t="s">
        <v>817</v>
      </c>
      <c r="E1015">
        <v>80894416</v>
      </c>
      <c r="F1015" t="s">
        <v>818</v>
      </c>
      <c r="G1015" s="3">
        <v>47243</v>
      </c>
      <c r="H1015">
        <v>36</v>
      </c>
      <c r="I1015">
        <v>97</v>
      </c>
      <c r="J1015">
        <v>600</v>
      </c>
      <c r="K1015" s="4">
        <v>24000</v>
      </c>
      <c r="L1015" s="4">
        <f>0</f>
        <v>0</v>
      </c>
      <c r="M1015" s="4">
        <f>999</f>
        <v>999</v>
      </c>
      <c r="N1015" t="s">
        <v>19</v>
      </c>
      <c r="O1015" t="str">
        <f t="shared" si="150"/>
        <v>Low</v>
      </c>
      <c r="P1015" t="str">
        <f t="shared" si="151"/>
        <v>High</v>
      </c>
      <c r="Q1015" t="str">
        <f t="shared" si="152"/>
        <v>High</v>
      </c>
      <c r="R1015" t="s">
        <v>3317</v>
      </c>
      <c r="S1015" s="4">
        <f t="shared" ca="1" si="153"/>
        <v>1046</v>
      </c>
      <c r="T1015">
        <f t="shared" si="154"/>
        <v>1</v>
      </c>
      <c r="U1015">
        <f t="shared" si="155"/>
        <v>3</v>
      </c>
      <c r="V1015">
        <f t="shared" si="156"/>
        <v>3</v>
      </c>
      <c r="W1015">
        <f t="shared" si="157"/>
        <v>1</v>
      </c>
      <c r="X1015">
        <f t="shared" si="158"/>
        <v>2</v>
      </c>
      <c r="Y1015" t="str">
        <f t="shared" si="159"/>
        <v>Monitor</v>
      </c>
    </row>
    <row r="1016" spans="1:25" x14ac:dyDescent="0.35">
      <c r="A1016" t="s">
        <v>20</v>
      </c>
      <c r="B1016" t="s">
        <v>21</v>
      </c>
      <c r="C1016" t="s">
        <v>214</v>
      </c>
      <c r="D1016" t="s">
        <v>817</v>
      </c>
      <c r="E1016">
        <v>80894416</v>
      </c>
      <c r="F1016" t="s">
        <v>818</v>
      </c>
      <c r="G1016" s="3">
        <v>47253</v>
      </c>
      <c r="H1016">
        <v>36</v>
      </c>
      <c r="I1016">
        <v>98</v>
      </c>
      <c r="J1016">
        <v>1440</v>
      </c>
      <c r="K1016" s="4">
        <v>57600</v>
      </c>
      <c r="L1016" s="4">
        <f>0</f>
        <v>0</v>
      </c>
      <c r="M1016" s="4">
        <f>999</f>
        <v>999</v>
      </c>
      <c r="N1016" t="s">
        <v>19</v>
      </c>
      <c r="O1016" t="str">
        <f t="shared" si="150"/>
        <v>Low</v>
      </c>
      <c r="P1016" t="str">
        <f t="shared" si="151"/>
        <v>High</v>
      </c>
      <c r="Q1016" t="str">
        <f t="shared" si="152"/>
        <v>High</v>
      </c>
      <c r="R1016" t="s">
        <v>3317</v>
      </c>
      <c r="S1016" s="4">
        <f t="shared" ca="1" si="153"/>
        <v>1056</v>
      </c>
      <c r="T1016">
        <f t="shared" si="154"/>
        <v>1</v>
      </c>
      <c r="U1016">
        <f t="shared" si="155"/>
        <v>3</v>
      </c>
      <c r="V1016">
        <f t="shared" si="156"/>
        <v>3</v>
      </c>
      <c r="W1016">
        <f t="shared" si="157"/>
        <v>1</v>
      </c>
      <c r="X1016">
        <f t="shared" si="158"/>
        <v>2</v>
      </c>
      <c r="Y1016" t="str">
        <f t="shared" si="159"/>
        <v>Monitor</v>
      </c>
    </row>
    <row r="1017" spans="1:25" x14ac:dyDescent="0.35">
      <c r="A1017" t="s">
        <v>20</v>
      </c>
      <c r="B1017" t="s">
        <v>21</v>
      </c>
      <c r="C1017" t="s">
        <v>214</v>
      </c>
      <c r="D1017" t="s">
        <v>817</v>
      </c>
      <c r="E1017">
        <v>80894416</v>
      </c>
      <c r="F1017" t="s">
        <v>818</v>
      </c>
      <c r="G1017" s="3">
        <v>47270</v>
      </c>
      <c r="H1017">
        <v>36</v>
      </c>
      <c r="I1017">
        <v>100</v>
      </c>
      <c r="J1017">
        <v>720</v>
      </c>
      <c r="K1017" s="4">
        <v>28800</v>
      </c>
      <c r="L1017" s="4">
        <f>0</f>
        <v>0</v>
      </c>
      <c r="M1017" s="4">
        <f>999</f>
        <v>999</v>
      </c>
      <c r="N1017" t="s">
        <v>19</v>
      </c>
      <c r="O1017" t="str">
        <f t="shared" si="150"/>
        <v>Low</v>
      </c>
      <c r="P1017" t="str">
        <f t="shared" si="151"/>
        <v>High</v>
      </c>
      <c r="Q1017" t="str">
        <f t="shared" si="152"/>
        <v>High</v>
      </c>
      <c r="R1017" t="s">
        <v>3317</v>
      </c>
      <c r="S1017" s="4">
        <f t="shared" ca="1" si="153"/>
        <v>1073</v>
      </c>
      <c r="T1017">
        <f t="shared" si="154"/>
        <v>1</v>
      </c>
      <c r="U1017">
        <f t="shared" si="155"/>
        <v>3</v>
      </c>
      <c r="V1017">
        <f t="shared" si="156"/>
        <v>3</v>
      </c>
      <c r="W1017">
        <f t="shared" si="157"/>
        <v>1</v>
      </c>
      <c r="X1017">
        <f t="shared" si="158"/>
        <v>2</v>
      </c>
      <c r="Y1017" t="str">
        <f t="shared" si="159"/>
        <v>Monitor</v>
      </c>
    </row>
    <row r="1018" spans="1:25" x14ac:dyDescent="0.35">
      <c r="A1018" t="s">
        <v>20</v>
      </c>
      <c r="B1018" t="s">
        <v>21</v>
      </c>
      <c r="C1018" t="s">
        <v>51</v>
      </c>
      <c r="D1018" t="s">
        <v>819</v>
      </c>
      <c r="E1018">
        <v>80894384</v>
      </c>
      <c r="F1018" t="s">
        <v>820</v>
      </c>
      <c r="G1018" s="3">
        <v>47247</v>
      </c>
      <c r="H1018">
        <v>36</v>
      </c>
      <c r="I1018">
        <v>98</v>
      </c>
      <c r="J1018">
        <v>12</v>
      </c>
      <c r="K1018" s="4">
        <v>1440</v>
      </c>
      <c r="L1018" s="4">
        <f>0</f>
        <v>0</v>
      </c>
      <c r="M1018" s="4">
        <f>999</f>
        <v>999</v>
      </c>
      <c r="N1018" t="s">
        <v>19</v>
      </c>
      <c r="O1018" t="str">
        <f t="shared" si="150"/>
        <v>Low</v>
      </c>
      <c r="P1018" t="str">
        <f t="shared" si="151"/>
        <v>High</v>
      </c>
      <c r="Q1018" t="str">
        <f t="shared" si="152"/>
        <v>High</v>
      </c>
      <c r="R1018" t="s">
        <v>3317</v>
      </c>
      <c r="S1018" s="4">
        <f t="shared" ca="1" si="153"/>
        <v>1050</v>
      </c>
      <c r="T1018">
        <f t="shared" si="154"/>
        <v>1</v>
      </c>
      <c r="U1018">
        <f t="shared" si="155"/>
        <v>3</v>
      </c>
      <c r="V1018">
        <f t="shared" si="156"/>
        <v>3</v>
      </c>
      <c r="W1018">
        <f t="shared" si="157"/>
        <v>1</v>
      </c>
      <c r="X1018">
        <f t="shared" si="158"/>
        <v>2</v>
      </c>
      <c r="Y1018" t="str">
        <f t="shared" si="159"/>
        <v>Monitor</v>
      </c>
    </row>
    <row r="1019" spans="1:25" x14ac:dyDescent="0.35">
      <c r="A1019" t="s">
        <v>20</v>
      </c>
      <c r="B1019" t="s">
        <v>21</v>
      </c>
      <c r="C1019" t="s">
        <v>51</v>
      </c>
      <c r="D1019" t="s">
        <v>819</v>
      </c>
      <c r="E1019">
        <v>80894384</v>
      </c>
      <c r="F1019" t="s">
        <v>820</v>
      </c>
      <c r="G1019" s="3">
        <v>47272</v>
      </c>
      <c r="H1019">
        <v>36</v>
      </c>
      <c r="I1019">
        <v>100</v>
      </c>
      <c r="J1019">
        <v>468</v>
      </c>
      <c r="K1019" s="4">
        <v>56160</v>
      </c>
      <c r="L1019" s="4">
        <f>0</f>
        <v>0</v>
      </c>
      <c r="M1019" s="4">
        <f>999</f>
        <v>999</v>
      </c>
      <c r="N1019" t="s">
        <v>19</v>
      </c>
      <c r="O1019" t="str">
        <f t="shared" si="150"/>
        <v>Low</v>
      </c>
      <c r="P1019" t="str">
        <f t="shared" si="151"/>
        <v>High</v>
      </c>
      <c r="Q1019" t="str">
        <f t="shared" si="152"/>
        <v>High</v>
      </c>
      <c r="R1019" t="s">
        <v>3317</v>
      </c>
      <c r="S1019" s="4">
        <f t="shared" ca="1" si="153"/>
        <v>1075</v>
      </c>
      <c r="T1019">
        <f t="shared" si="154"/>
        <v>1</v>
      </c>
      <c r="U1019">
        <f t="shared" si="155"/>
        <v>3</v>
      </c>
      <c r="V1019">
        <f t="shared" si="156"/>
        <v>3</v>
      </c>
      <c r="W1019">
        <f t="shared" si="157"/>
        <v>1</v>
      </c>
      <c r="X1019">
        <f t="shared" si="158"/>
        <v>2</v>
      </c>
      <c r="Y1019" t="str">
        <f t="shared" si="159"/>
        <v>Monitor</v>
      </c>
    </row>
    <row r="1020" spans="1:25" x14ac:dyDescent="0.35">
      <c r="A1020" t="s">
        <v>179</v>
      </c>
      <c r="B1020" t="s">
        <v>195</v>
      </c>
      <c r="C1020" t="s">
        <v>199</v>
      </c>
      <c r="D1020" t="s">
        <v>821</v>
      </c>
      <c r="E1020">
        <v>83918507</v>
      </c>
      <c r="F1020" t="s">
        <v>822</v>
      </c>
      <c r="G1020" s="3">
        <v>46657</v>
      </c>
      <c r="H1020">
        <v>16</v>
      </c>
      <c r="I1020">
        <v>97</v>
      </c>
      <c r="J1020">
        <v>13</v>
      </c>
      <c r="K1020" s="4">
        <v>14432.47</v>
      </c>
      <c r="L1020" s="4">
        <f>0</f>
        <v>0</v>
      </c>
      <c r="M1020" s="4">
        <f>999</f>
        <v>999</v>
      </c>
      <c r="N1020" t="s">
        <v>19</v>
      </c>
      <c r="O1020" t="str">
        <f t="shared" si="150"/>
        <v>Low</v>
      </c>
      <c r="P1020" t="str">
        <f t="shared" si="151"/>
        <v>High</v>
      </c>
      <c r="Q1020" t="str">
        <f t="shared" si="152"/>
        <v>High</v>
      </c>
      <c r="R1020" t="s">
        <v>3317</v>
      </c>
      <c r="S1020" s="4">
        <f t="shared" ca="1" si="153"/>
        <v>460</v>
      </c>
      <c r="T1020">
        <f t="shared" si="154"/>
        <v>1</v>
      </c>
      <c r="U1020">
        <f t="shared" si="155"/>
        <v>3</v>
      </c>
      <c r="V1020">
        <f t="shared" si="156"/>
        <v>3</v>
      </c>
      <c r="W1020">
        <f t="shared" si="157"/>
        <v>1</v>
      </c>
      <c r="X1020">
        <f t="shared" si="158"/>
        <v>2</v>
      </c>
      <c r="Y1020" t="str">
        <f t="shared" si="159"/>
        <v>Monitor</v>
      </c>
    </row>
    <row r="1021" spans="1:25" x14ac:dyDescent="0.35">
      <c r="A1021" t="s">
        <v>90</v>
      </c>
      <c r="B1021" t="s">
        <v>91</v>
      </c>
      <c r="C1021" t="s">
        <v>92</v>
      </c>
      <c r="D1021" t="s">
        <v>823</v>
      </c>
      <c r="E1021">
        <v>80893382</v>
      </c>
      <c r="F1021" t="s">
        <v>824</v>
      </c>
      <c r="G1021" s="3">
        <v>46915</v>
      </c>
      <c r="H1021">
        <v>24</v>
      </c>
      <c r="I1021">
        <v>100</v>
      </c>
      <c r="J1021">
        <v>288</v>
      </c>
      <c r="K1021" s="4">
        <v>52306.559999999998</v>
      </c>
      <c r="L1021" s="4">
        <f>0</f>
        <v>0</v>
      </c>
      <c r="M1021" s="4">
        <f>999</f>
        <v>999</v>
      </c>
      <c r="N1021" t="s">
        <v>19</v>
      </c>
      <c r="O1021" t="str">
        <f t="shared" si="150"/>
        <v>Low</v>
      </c>
      <c r="P1021" t="str">
        <f t="shared" si="151"/>
        <v>High</v>
      </c>
      <c r="Q1021" t="str">
        <f t="shared" si="152"/>
        <v>High</v>
      </c>
      <c r="R1021" t="s">
        <v>3317</v>
      </c>
      <c r="S1021" s="4">
        <f t="shared" ca="1" si="153"/>
        <v>718</v>
      </c>
      <c r="T1021">
        <f t="shared" si="154"/>
        <v>1</v>
      </c>
      <c r="U1021">
        <f t="shared" si="155"/>
        <v>3</v>
      </c>
      <c r="V1021">
        <f t="shared" si="156"/>
        <v>3</v>
      </c>
      <c r="W1021">
        <f t="shared" si="157"/>
        <v>1</v>
      </c>
      <c r="X1021">
        <f t="shared" si="158"/>
        <v>2</v>
      </c>
      <c r="Y1021" t="str">
        <f t="shared" si="159"/>
        <v>Monitor</v>
      </c>
    </row>
    <row r="1022" spans="1:25" x14ac:dyDescent="0.35">
      <c r="A1022" t="s">
        <v>90</v>
      </c>
      <c r="B1022" t="s">
        <v>91</v>
      </c>
      <c r="C1022" t="s">
        <v>92</v>
      </c>
      <c r="D1022" t="s">
        <v>825</v>
      </c>
      <c r="E1022">
        <v>80893402</v>
      </c>
      <c r="F1022" t="s">
        <v>826</v>
      </c>
      <c r="G1022" s="3">
        <v>46891</v>
      </c>
      <c r="H1022">
        <v>24</v>
      </c>
      <c r="I1022">
        <v>97</v>
      </c>
      <c r="J1022">
        <v>176</v>
      </c>
      <c r="K1022" s="4">
        <v>74103.039999999994</v>
      </c>
      <c r="L1022" s="4">
        <f>0</f>
        <v>0</v>
      </c>
      <c r="M1022" s="4">
        <f>999</f>
        <v>999</v>
      </c>
      <c r="N1022" t="s">
        <v>19</v>
      </c>
      <c r="O1022" t="str">
        <f t="shared" si="150"/>
        <v>Low</v>
      </c>
      <c r="P1022" t="str">
        <f t="shared" si="151"/>
        <v>High</v>
      </c>
      <c r="Q1022" t="str">
        <f t="shared" si="152"/>
        <v>High</v>
      </c>
      <c r="R1022" t="s">
        <v>3310</v>
      </c>
      <c r="S1022" s="4">
        <f t="shared" ca="1" si="153"/>
        <v>694</v>
      </c>
      <c r="T1022">
        <f t="shared" si="154"/>
        <v>1</v>
      </c>
      <c r="U1022">
        <f t="shared" si="155"/>
        <v>3</v>
      </c>
      <c r="V1022">
        <f t="shared" si="156"/>
        <v>3</v>
      </c>
      <c r="W1022">
        <f t="shared" si="157"/>
        <v>2</v>
      </c>
      <c r="X1022">
        <f t="shared" si="158"/>
        <v>2.1</v>
      </c>
      <c r="Y1022" t="str">
        <f t="shared" si="159"/>
        <v>Monitor</v>
      </c>
    </row>
    <row r="1023" spans="1:25" x14ac:dyDescent="0.35">
      <c r="A1023" t="s">
        <v>90</v>
      </c>
      <c r="B1023" t="s">
        <v>91</v>
      </c>
      <c r="C1023" t="s">
        <v>92</v>
      </c>
      <c r="D1023" t="s">
        <v>825</v>
      </c>
      <c r="E1023">
        <v>80893402</v>
      </c>
      <c r="F1023" t="s">
        <v>826</v>
      </c>
      <c r="G1023" s="3">
        <v>46906</v>
      </c>
      <c r="H1023">
        <v>24</v>
      </c>
      <c r="I1023">
        <v>99</v>
      </c>
      <c r="J1023">
        <v>180</v>
      </c>
      <c r="K1023" s="4">
        <v>75787.199999999997</v>
      </c>
      <c r="L1023" s="4">
        <f>0</f>
        <v>0</v>
      </c>
      <c r="M1023" s="4">
        <f>999</f>
        <v>999</v>
      </c>
      <c r="N1023" t="s">
        <v>19</v>
      </c>
      <c r="O1023" t="str">
        <f t="shared" si="150"/>
        <v>Low</v>
      </c>
      <c r="P1023" t="str">
        <f t="shared" si="151"/>
        <v>High</v>
      </c>
      <c r="Q1023" t="str">
        <f t="shared" si="152"/>
        <v>High</v>
      </c>
      <c r="R1023" t="s">
        <v>3310</v>
      </c>
      <c r="S1023" s="4">
        <f t="shared" ca="1" si="153"/>
        <v>709</v>
      </c>
      <c r="T1023">
        <f t="shared" si="154"/>
        <v>1</v>
      </c>
      <c r="U1023">
        <f t="shared" si="155"/>
        <v>3</v>
      </c>
      <c r="V1023">
        <f t="shared" si="156"/>
        <v>3</v>
      </c>
      <c r="W1023">
        <f t="shared" si="157"/>
        <v>2</v>
      </c>
      <c r="X1023">
        <f t="shared" si="158"/>
        <v>2.1</v>
      </c>
      <c r="Y1023" t="str">
        <f t="shared" si="159"/>
        <v>Monitor</v>
      </c>
    </row>
    <row r="1024" spans="1:25" x14ac:dyDescent="0.35">
      <c r="A1024" t="s">
        <v>90</v>
      </c>
      <c r="B1024" t="s">
        <v>91</v>
      </c>
      <c r="C1024" t="s">
        <v>92</v>
      </c>
      <c r="D1024" t="s">
        <v>827</v>
      </c>
      <c r="E1024">
        <v>80893404</v>
      </c>
      <c r="F1024" t="s">
        <v>828</v>
      </c>
      <c r="G1024" s="3">
        <v>46900</v>
      </c>
      <c r="H1024">
        <v>24</v>
      </c>
      <c r="I1024">
        <v>98</v>
      </c>
      <c r="J1024">
        <v>60</v>
      </c>
      <c r="K1024" s="4">
        <v>33520.800000000003</v>
      </c>
      <c r="L1024" s="4">
        <f>0</f>
        <v>0</v>
      </c>
      <c r="M1024" s="4">
        <f>999</f>
        <v>999</v>
      </c>
      <c r="N1024" t="s">
        <v>19</v>
      </c>
      <c r="O1024" t="str">
        <f t="shared" si="150"/>
        <v>Low</v>
      </c>
      <c r="P1024" t="str">
        <f t="shared" si="151"/>
        <v>High</v>
      </c>
      <c r="Q1024" t="str">
        <f t="shared" si="152"/>
        <v>High</v>
      </c>
      <c r="R1024" t="s">
        <v>3317</v>
      </c>
      <c r="S1024" s="4">
        <f t="shared" ca="1" si="153"/>
        <v>703</v>
      </c>
      <c r="T1024">
        <f t="shared" si="154"/>
        <v>1</v>
      </c>
      <c r="U1024">
        <f t="shared" si="155"/>
        <v>3</v>
      </c>
      <c r="V1024">
        <f t="shared" si="156"/>
        <v>3</v>
      </c>
      <c r="W1024">
        <f t="shared" si="157"/>
        <v>1</v>
      </c>
      <c r="X1024">
        <f t="shared" si="158"/>
        <v>2</v>
      </c>
      <c r="Y1024" t="str">
        <f t="shared" si="159"/>
        <v>Monitor</v>
      </c>
    </row>
    <row r="1025" spans="1:25" x14ac:dyDescent="0.35">
      <c r="A1025" t="s">
        <v>90</v>
      </c>
      <c r="B1025" t="s">
        <v>91</v>
      </c>
      <c r="C1025" t="s">
        <v>92</v>
      </c>
      <c r="D1025" t="s">
        <v>829</v>
      </c>
      <c r="E1025">
        <v>80893408</v>
      </c>
      <c r="F1025" t="s">
        <v>830</v>
      </c>
      <c r="G1025" s="3">
        <v>46915</v>
      </c>
      <c r="H1025">
        <v>24</v>
      </c>
      <c r="I1025">
        <v>100</v>
      </c>
      <c r="J1025">
        <v>360</v>
      </c>
      <c r="K1025" s="4">
        <v>127321.2</v>
      </c>
      <c r="L1025" s="4">
        <f>0</f>
        <v>0</v>
      </c>
      <c r="M1025" s="4">
        <f>999</f>
        <v>999</v>
      </c>
      <c r="N1025" t="s">
        <v>19</v>
      </c>
      <c r="O1025" t="str">
        <f t="shared" si="150"/>
        <v>Low</v>
      </c>
      <c r="P1025" t="str">
        <f t="shared" si="151"/>
        <v>High</v>
      </c>
      <c r="Q1025" t="str">
        <f t="shared" si="152"/>
        <v>High</v>
      </c>
      <c r="R1025" t="s">
        <v>3310</v>
      </c>
      <c r="S1025" s="4">
        <f t="shared" ca="1" si="153"/>
        <v>718</v>
      </c>
      <c r="T1025">
        <f t="shared" si="154"/>
        <v>1</v>
      </c>
      <c r="U1025">
        <f t="shared" si="155"/>
        <v>3</v>
      </c>
      <c r="V1025">
        <f t="shared" si="156"/>
        <v>3</v>
      </c>
      <c r="W1025">
        <f t="shared" si="157"/>
        <v>2</v>
      </c>
      <c r="X1025">
        <f t="shared" si="158"/>
        <v>2.1</v>
      </c>
      <c r="Y1025" t="str">
        <f t="shared" si="159"/>
        <v>Monitor</v>
      </c>
    </row>
    <row r="1026" spans="1:25" x14ac:dyDescent="0.35">
      <c r="A1026" t="s">
        <v>189</v>
      </c>
      <c r="B1026" t="s">
        <v>417</v>
      </c>
      <c r="C1026" t="s">
        <v>417</v>
      </c>
      <c r="D1026" t="s">
        <v>831</v>
      </c>
      <c r="E1026">
        <v>83931192</v>
      </c>
      <c r="F1026" t="s">
        <v>832</v>
      </c>
      <c r="G1026" s="3">
        <v>46710</v>
      </c>
      <c r="H1026">
        <v>18</v>
      </c>
      <c r="I1026">
        <v>96</v>
      </c>
      <c r="J1026">
        <v>228</v>
      </c>
      <c r="K1026" s="4">
        <v>1260187.92</v>
      </c>
      <c r="L1026" s="4">
        <f>0</f>
        <v>0</v>
      </c>
      <c r="M1026" s="4">
        <f>999</f>
        <v>999</v>
      </c>
      <c r="N1026" t="s">
        <v>19</v>
      </c>
      <c r="O1026" t="str">
        <f t="shared" si="150"/>
        <v>Low</v>
      </c>
      <c r="P1026" t="str">
        <f t="shared" si="151"/>
        <v>High</v>
      </c>
      <c r="Q1026" t="str">
        <f t="shared" si="152"/>
        <v>High</v>
      </c>
      <c r="R1026" t="s">
        <v>3309</v>
      </c>
      <c r="S1026" s="4">
        <f t="shared" ca="1" si="153"/>
        <v>513</v>
      </c>
      <c r="T1026">
        <f t="shared" si="154"/>
        <v>1</v>
      </c>
      <c r="U1026">
        <f t="shared" si="155"/>
        <v>3</v>
      </c>
      <c r="V1026">
        <f t="shared" si="156"/>
        <v>3</v>
      </c>
      <c r="W1026">
        <f t="shared" si="157"/>
        <v>3</v>
      </c>
      <c r="X1026">
        <f t="shared" si="158"/>
        <v>2.2000000000000002</v>
      </c>
      <c r="Y1026" t="str">
        <f t="shared" si="159"/>
        <v>High Priority</v>
      </c>
    </row>
    <row r="1027" spans="1:25" x14ac:dyDescent="0.35">
      <c r="A1027" t="s">
        <v>189</v>
      </c>
      <c r="B1027" t="s">
        <v>417</v>
      </c>
      <c r="C1027" t="s">
        <v>417</v>
      </c>
      <c r="D1027" t="s">
        <v>831</v>
      </c>
      <c r="E1027">
        <v>83931192</v>
      </c>
      <c r="F1027" t="s">
        <v>832</v>
      </c>
      <c r="G1027" s="3">
        <v>46718</v>
      </c>
      <c r="H1027">
        <v>18</v>
      </c>
      <c r="I1027">
        <v>97</v>
      </c>
      <c r="J1027">
        <v>219</v>
      </c>
      <c r="K1027" s="4">
        <v>1210443.6599999999</v>
      </c>
      <c r="L1027" s="4">
        <f>0</f>
        <v>0</v>
      </c>
      <c r="M1027" s="4">
        <f>999</f>
        <v>999</v>
      </c>
      <c r="N1027" t="s">
        <v>19</v>
      </c>
      <c r="O1027" t="str">
        <f t="shared" ref="O1027:O1090" si="160">IF(I1027&lt;20,"High",IF(I1027&lt;40,"Medium","Low"))</f>
        <v>Low</v>
      </c>
      <c r="P1027" t="str">
        <f t="shared" ref="P1027:P1090" si="161">IF(M1027&gt;8,"High",IF(M1027&gt;4,"Medium","Low"))</f>
        <v>High</v>
      </c>
      <c r="Q1027" t="str">
        <f t="shared" ref="Q1027:Q1090" si="162">IF(L1027&lt;5,"High",IF(L1027&lt;15,"Medium","Low"))</f>
        <v>High</v>
      </c>
      <c r="R1027" t="s">
        <v>3309</v>
      </c>
      <c r="S1027" s="4">
        <f t="shared" ref="S1027:S1090" ca="1" si="163">G1027-TODAY()</f>
        <v>521</v>
      </c>
      <c r="T1027">
        <f t="shared" ref="T1027:T1090" si="164">IF(O1027="High",3,IF(O1027="Medium",2,1))</f>
        <v>1</v>
      </c>
      <c r="U1027">
        <f t="shared" ref="U1027:U1090" si="165">IF(P1027="High",3,IF(P1027="Medium",2,1))</f>
        <v>3</v>
      </c>
      <c r="V1027">
        <f t="shared" ref="V1027:V1090" si="166">IF(Q1027="High",3,IF(Q1027="Medium",2,1))</f>
        <v>3</v>
      </c>
      <c r="W1027">
        <f t="shared" ref="W1027:W1090" si="167">IF(R1027="High",3,IF(R1027="Medium",2,1))</f>
        <v>3</v>
      </c>
      <c r="X1027">
        <f t="shared" ref="X1027:X1090" si="168">(0.4*T1027)+(0.3*U1027)+(0.2*V1027)+(0.1*W1027)</f>
        <v>2.2000000000000002</v>
      </c>
      <c r="Y1027" t="str">
        <f t="shared" ref="Y1027:Y1090" si="169">IF(X1027&gt;=2.7,"Move Immediately",IF(X1027&gt;=2.2,"High Priority",IF(X1027&gt;=1.7,"Monitor","Healthy")))</f>
        <v>High Priority</v>
      </c>
    </row>
    <row r="1028" spans="1:25" x14ac:dyDescent="0.35">
      <c r="A1028" t="s">
        <v>189</v>
      </c>
      <c r="B1028" t="s">
        <v>417</v>
      </c>
      <c r="C1028" t="s">
        <v>417</v>
      </c>
      <c r="D1028" t="s">
        <v>831</v>
      </c>
      <c r="E1028">
        <v>83931192</v>
      </c>
      <c r="F1028" t="s">
        <v>832</v>
      </c>
      <c r="G1028" s="3">
        <v>46718</v>
      </c>
      <c r="H1028">
        <v>18</v>
      </c>
      <c r="I1028">
        <v>97</v>
      </c>
      <c r="J1028">
        <v>36</v>
      </c>
      <c r="K1028" s="4">
        <v>198977.04</v>
      </c>
      <c r="L1028" s="4">
        <f>0</f>
        <v>0</v>
      </c>
      <c r="M1028" s="4">
        <f>999</f>
        <v>999</v>
      </c>
      <c r="N1028" t="s">
        <v>19</v>
      </c>
      <c r="O1028" t="str">
        <f t="shared" si="160"/>
        <v>Low</v>
      </c>
      <c r="P1028" t="str">
        <f t="shared" si="161"/>
        <v>High</v>
      </c>
      <c r="Q1028" t="str">
        <f t="shared" si="162"/>
        <v>High</v>
      </c>
      <c r="R1028" t="s">
        <v>3309</v>
      </c>
      <c r="S1028" s="4">
        <f t="shared" ca="1" si="163"/>
        <v>521</v>
      </c>
      <c r="T1028">
        <f t="shared" si="164"/>
        <v>1</v>
      </c>
      <c r="U1028">
        <f t="shared" si="165"/>
        <v>3</v>
      </c>
      <c r="V1028">
        <f t="shared" si="166"/>
        <v>3</v>
      </c>
      <c r="W1028">
        <f t="shared" si="167"/>
        <v>3</v>
      </c>
      <c r="X1028">
        <f t="shared" si="168"/>
        <v>2.2000000000000002</v>
      </c>
      <c r="Y1028" t="str">
        <f t="shared" si="169"/>
        <v>High Priority</v>
      </c>
    </row>
    <row r="1029" spans="1:25" x14ac:dyDescent="0.35">
      <c r="A1029" t="s">
        <v>189</v>
      </c>
      <c r="B1029" t="s">
        <v>417</v>
      </c>
      <c r="C1029" t="s">
        <v>417</v>
      </c>
      <c r="D1029" t="s">
        <v>833</v>
      </c>
      <c r="E1029">
        <v>83922617</v>
      </c>
      <c r="F1029" t="s">
        <v>834</v>
      </c>
      <c r="G1029" s="3">
        <v>46709</v>
      </c>
      <c r="H1029">
        <v>18</v>
      </c>
      <c r="I1029">
        <v>96</v>
      </c>
      <c r="J1029">
        <v>510</v>
      </c>
      <c r="K1029" s="4">
        <v>81707.100000000006</v>
      </c>
      <c r="L1029" s="4">
        <f>0</f>
        <v>0</v>
      </c>
      <c r="M1029" s="4">
        <f>999</f>
        <v>999</v>
      </c>
      <c r="N1029" t="s">
        <v>19</v>
      </c>
      <c r="O1029" t="str">
        <f t="shared" si="160"/>
        <v>Low</v>
      </c>
      <c r="P1029" t="str">
        <f t="shared" si="161"/>
        <v>High</v>
      </c>
      <c r="Q1029" t="str">
        <f t="shared" si="162"/>
        <v>High</v>
      </c>
      <c r="R1029" t="s">
        <v>3310</v>
      </c>
      <c r="S1029" s="4">
        <f t="shared" ca="1" si="163"/>
        <v>512</v>
      </c>
      <c r="T1029">
        <f t="shared" si="164"/>
        <v>1</v>
      </c>
      <c r="U1029">
        <f t="shared" si="165"/>
        <v>3</v>
      </c>
      <c r="V1029">
        <f t="shared" si="166"/>
        <v>3</v>
      </c>
      <c r="W1029">
        <f t="shared" si="167"/>
        <v>2</v>
      </c>
      <c r="X1029">
        <f t="shared" si="168"/>
        <v>2.1</v>
      </c>
      <c r="Y1029" t="str">
        <f t="shared" si="169"/>
        <v>Monitor</v>
      </c>
    </row>
    <row r="1030" spans="1:25" x14ac:dyDescent="0.35">
      <c r="A1030" t="s">
        <v>29</v>
      </c>
      <c r="B1030" t="s">
        <v>30</v>
      </c>
      <c r="C1030" t="s">
        <v>391</v>
      </c>
      <c r="D1030" t="s">
        <v>835</v>
      </c>
      <c r="E1030">
        <v>80731534</v>
      </c>
      <c r="F1030" t="s">
        <v>836</v>
      </c>
      <c r="G1030" s="3">
        <v>46565</v>
      </c>
      <c r="H1030">
        <v>36</v>
      </c>
      <c r="I1030">
        <v>35</v>
      </c>
      <c r="J1030">
        <v>142</v>
      </c>
      <c r="K1030" s="4">
        <v>11218</v>
      </c>
      <c r="L1030" s="4">
        <v>0.2857142857142857</v>
      </c>
      <c r="M1030" s="4">
        <v>497</v>
      </c>
      <c r="N1030" t="s">
        <v>19</v>
      </c>
      <c r="O1030" t="str">
        <f t="shared" si="160"/>
        <v>Medium</v>
      </c>
      <c r="P1030" t="str">
        <f t="shared" si="161"/>
        <v>High</v>
      </c>
      <c r="Q1030" t="str">
        <f t="shared" si="162"/>
        <v>High</v>
      </c>
      <c r="R1030" t="s">
        <v>3317</v>
      </c>
      <c r="S1030" s="4">
        <f t="shared" ca="1" si="163"/>
        <v>368</v>
      </c>
      <c r="T1030">
        <f t="shared" si="164"/>
        <v>2</v>
      </c>
      <c r="U1030">
        <f t="shared" si="165"/>
        <v>3</v>
      </c>
      <c r="V1030">
        <f t="shared" si="166"/>
        <v>3</v>
      </c>
      <c r="W1030">
        <f t="shared" si="167"/>
        <v>1</v>
      </c>
      <c r="X1030">
        <f t="shared" si="168"/>
        <v>2.4</v>
      </c>
      <c r="Y1030" t="str">
        <f t="shared" si="169"/>
        <v>High Priority</v>
      </c>
    </row>
    <row r="1031" spans="1:25" x14ac:dyDescent="0.35">
      <c r="A1031" t="s">
        <v>189</v>
      </c>
      <c r="B1031" t="s">
        <v>417</v>
      </c>
      <c r="C1031" t="s">
        <v>417</v>
      </c>
      <c r="D1031" t="s">
        <v>833</v>
      </c>
      <c r="E1031">
        <v>83922617</v>
      </c>
      <c r="F1031" t="s">
        <v>834</v>
      </c>
      <c r="G1031" s="3">
        <v>46713</v>
      </c>
      <c r="H1031">
        <v>18</v>
      </c>
      <c r="I1031">
        <v>96</v>
      </c>
      <c r="J1031">
        <v>2980</v>
      </c>
      <c r="K1031" s="4">
        <v>477425.8</v>
      </c>
      <c r="L1031" s="4">
        <f>0</f>
        <v>0</v>
      </c>
      <c r="M1031" s="4">
        <f>999</f>
        <v>999</v>
      </c>
      <c r="N1031" t="s">
        <v>19</v>
      </c>
      <c r="O1031" t="str">
        <f t="shared" si="160"/>
        <v>Low</v>
      </c>
      <c r="P1031" t="str">
        <f t="shared" si="161"/>
        <v>High</v>
      </c>
      <c r="Q1031" t="str">
        <f t="shared" si="162"/>
        <v>High</v>
      </c>
      <c r="R1031" t="s">
        <v>3309</v>
      </c>
      <c r="S1031" s="4">
        <f t="shared" ca="1" si="163"/>
        <v>516</v>
      </c>
      <c r="T1031">
        <f t="shared" si="164"/>
        <v>1</v>
      </c>
      <c r="U1031">
        <f t="shared" si="165"/>
        <v>3</v>
      </c>
      <c r="V1031">
        <f t="shared" si="166"/>
        <v>3</v>
      </c>
      <c r="W1031">
        <f t="shared" si="167"/>
        <v>3</v>
      </c>
      <c r="X1031">
        <f t="shared" si="168"/>
        <v>2.2000000000000002</v>
      </c>
      <c r="Y1031" t="str">
        <f t="shared" si="169"/>
        <v>High Priority</v>
      </c>
    </row>
    <row r="1032" spans="1:25" x14ac:dyDescent="0.35">
      <c r="A1032" t="s">
        <v>189</v>
      </c>
      <c r="B1032" t="s">
        <v>417</v>
      </c>
      <c r="C1032" t="s">
        <v>417</v>
      </c>
      <c r="D1032" t="s">
        <v>837</v>
      </c>
      <c r="E1032">
        <v>83930557</v>
      </c>
      <c r="F1032" t="s">
        <v>838</v>
      </c>
      <c r="G1032" s="3">
        <v>46712</v>
      </c>
      <c r="H1032">
        <v>18</v>
      </c>
      <c r="I1032">
        <v>96</v>
      </c>
      <c r="J1032">
        <v>216</v>
      </c>
      <c r="K1032" s="4">
        <v>276840.71999999997</v>
      </c>
      <c r="L1032" s="4">
        <f>0</f>
        <v>0</v>
      </c>
      <c r="M1032" s="4">
        <f>999</f>
        <v>999</v>
      </c>
      <c r="N1032" t="s">
        <v>19</v>
      </c>
      <c r="O1032" t="str">
        <f t="shared" si="160"/>
        <v>Low</v>
      </c>
      <c r="P1032" t="str">
        <f t="shared" si="161"/>
        <v>High</v>
      </c>
      <c r="Q1032" t="str">
        <f t="shared" si="162"/>
        <v>High</v>
      </c>
      <c r="R1032" t="s">
        <v>3309</v>
      </c>
      <c r="S1032" s="4">
        <f t="shared" ca="1" si="163"/>
        <v>515</v>
      </c>
      <c r="T1032">
        <f t="shared" si="164"/>
        <v>1</v>
      </c>
      <c r="U1032">
        <f t="shared" si="165"/>
        <v>3</v>
      </c>
      <c r="V1032">
        <f t="shared" si="166"/>
        <v>3</v>
      </c>
      <c r="W1032">
        <f t="shared" si="167"/>
        <v>3</v>
      </c>
      <c r="X1032">
        <f t="shared" si="168"/>
        <v>2.2000000000000002</v>
      </c>
      <c r="Y1032" t="str">
        <f t="shared" si="169"/>
        <v>High Priority</v>
      </c>
    </row>
    <row r="1033" spans="1:25" x14ac:dyDescent="0.35">
      <c r="A1033" t="s">
        <v>46</v>
      </c>
      <c r="B1033" t="s">
        <v>47</v>
      </c>
      <c r="C1033" t="s">
        <v>84</v>
      </c>
      <c r="D1033" t="s">
        <v>839</v>
      </c>
      <c r="E1033">
        <v>80722192</v>
      </c>
      <c r="F1033" t="s">
        <v>840</v>
      </c>
      <c r="G1033" s="3">
        <v>46927</v>
      </c>
      <c r="H1033">
        <v>36</v>
      </c>
      <c r="I1033">
        <v>68</v>
      </c>
      <c r="J1033">
        <v>2</v>
      </c>
      <c r="K1033" s="4">
        <v>113.14</v>
      </c>
      <c r="L1033" s="4">
        <v>13.714285714285714</v>
      </c>
      <c r="M1033" s="4">
        <v>0.14583333333333334</v>
      </c>
      <c r="N1033" t="s">
        <v>25</v>
      </c>
      <c r="O1033" t="str">
        <f t="shared" si="160"/>
        <v>Low</v>
      </c>
      <c r="P1033" t="str">
        <f t="shared" si="161"/>
        <v>Low</v>
      </c>
      <c r="Q1033" t="str">
        <f t="shared" si="162"/>
        <v>Medium</v>
      </c>
      <c r="R1033" t="s">
        <v>3317</v>
      </c>
      <c r="S1033" s="4">
        <f t="shared" ca="1" si="163"/>
        <v>730</v>
      </c>
      <c r="T1033">
        <f t="shared" si="164"/>
        <v>1</v>
      </c>
      <c r="U1033">
        <f t="shared" si="165"/>
        <v>1</v>
      </c>
      <c r="V1033">
        <f t="shared" si="166"/>
        <v>2</v>
      </c>
      <c r="W1033">
        <f t="shared" si="167"/>
        <v>1</v>
      </c>
      <c r="X1033">
        <f t="shared" si="168"/>
        <v>1.2000000000000002</v>
      </c>
      <c r="Y1033" t="str">
        <f t="shared" si="169"/>
        <v>Healthy</v>
      </c>
    </row>
    <row r="1034" spans="1:25" x14ac:dyDescent="0.35">
      <c r="A1034" t="s">
        <v>14</v>
      </c>
      <c r="B1034" t="s">
        <v>115</v>
      </c>
      <c r="C1034" t="s">
        <v>116</v>
      </c>
      <c r="D1034" t="s">
        <v>841</v>
      </c>
      <c r="E1034">
        <v>80748322</v>
      </c>
      <c r="F1034" t="s">
        <v>842</v>
      </c>
      <c r="G1034" s="3">
        <v>46827</v>
      </c>
      <c r="H1034">
        <v>60</v>
      </c>
      <c r="I1034">
        <v>35</v>
      </c>
      <c r="J1034">
        <v>1620</v>
      </c>
      <c r="K1034" s="4">
        <v>32400</v>
      </c>
      <c r="L1034" s="4">
        <f>0</f>
        <v>0</v>
      </c>
      <c r="M1034" s="4">
        <f>999</f>
        <v>999</v>
      </c>
      <c r="N1034" t="s">
        <v>19</v>
      </c>
      <c r="O1034" t="str">
        <f t="shared" si="160"/>
        <v>Medium</v>
      </c>
      <c r="P1034" t="str">
        <f t="shared" si="161"/>
        <v>High</v>
      </c>
      <c r="Q1034" t="str">
        <f t="shared" si="162"/>
        <v>High</v>
      </c>
      <c r="R1034" t="s">
        <v>3317</v>
      </c>
      <c r="S1034" s="4">
        <f t="shared" ca="1" si="163"/>
        <v>630</v>
      </c>
      <c r="T1034">
        <f t="shared" si="164"/>
        <v>2</v>
      </c>
      <c r="U1034">
        <f t="shared" si="165"/>
        <v>3</v>
      </c>
      <c r="V1034">
        <f t="shared" si="166"/>
        <v>3</v>
      </c>
      <c r="W1034">
        <f t="shared" si="167"/>
        <v>1</v>
      </c>
      <c r="X1034">
        <f t="shared" si="168"/>
        <v>2.4</v>
      </c>
      <c r="Y1034" t="str">
        <f t="shared" si="169"/>
        <v>High Priority</v>
      </c>
    </row>
    <row r="1035" spans="1:25" x14ac:dyDescent="0.35">
      <c r="A1035" t="s">
        <v>41</v>
      </c>
      <c r="B1035" t="s">
        <v>42</v>
      </c>
      <c r="C1035" t="s">
        <v>43</v>
      </c>
      <c r="D1035" t="s">
        <v>44</v>
      </c>
      <c r="E1035">
        <v>82326410</v>
      </c>
      <c r="F1035" t="s">
        <v>843</v>
      </c>
      <c r="G1035" s="3">
        <v>47020</v>
      </c>
      <c r="H1035">
        <v>36</v>
      </c>
      <c r="I1035">
        <v>77</v>
      </c>
      <c r="J1035">
        <v>56</v>
      </c>
      <c r="K1035" s="4">
        <v>5180.5600000000004</v>
      </c>
      <c r="L1035" s="4">
        <f>0</f>
        <v>0</v>
      </c>
      <c r="M1035" s="4">
        <f>999</f>
        <v>999</v>
      </c>
      <c r="N1035" t="s">
        <v>19</v>
      </c>
      <c r="O1035" t="str">
        <f t="shared" si="160"/>
        <v>Low</v>
      </c>
      <c r="P1035" t="str">
        <f t="shared" si="161"/>
        <v>High</v>
      </c>
      <c r="Q1035" t="str">
        <f t="shared" si="162"/>
        <v>High</v>
      </c>
      <c r="R1035" t="s">
        <v>3317</v>
      </c>
      <c r="S1035" s="4">
        <f t="shared" ca="1" si="163"/>
        <v>823</v>
      </c>
      <c r="T1035">
        <f t="shared" si="164"/>
        <v>1</v>
      </c>
      <c r="U1035">
        <f t="shared" si="165"/>
        <v>3</v>
      </c>
      <c r="V1035">
        <f t="shared" si="166"/>
        <v>3</v>
      </c>
      <c r="W1035">
        <f t="shared" si="167"/>
        <v>1</v>
      </c>
      <c r="X1035">
        <f t="shared" si="168"/>
        <v>2</v>
      </c>
      <c r="Y1035" t="str">
        <f t="shared" si="169"/>
        <v>Monitor</v>
      </c>
    </row>
    <row r="1036" spans="1:25" x14ac:dyDescent="0.35">
      <c r="A1036" t="s">
        <v>20</v>
      </c>
      <c r="B1036" t="s">
        <v>21</v>
      </c>
      <c r="C1036" t="s">
        <v>214</v>
      </c>
      <c r="D1036" t="s">
        <v>844</v>
      </c>
      <c r="E1036">
        <v>82250973</v>
      </c>
      <c r="F1036" t="s">
        <v>845</v>
      </c>
      <c r="G1036" s="3">
        <v>47727</v>
      </c>
      <c r="H1036">
        <v>36</v>
      </c>
      <c r="I1036">
        <v>100</v>
      </c>
      <c r="J1036">
        <v>2400</v>
      </c>
      <c r="K1036" s="4">
        <v>82008</v>
      </c>
      <c r="L1036" s="4">
        <f>0</f>
        <v>0</v>
      </c>
      <c r="M1036" s="4">
        <f>999</f>
        <v>999</v>
      </c>
      <c r="N1036" t="s">
        <v>19</v>
      </c>
      <c r="O1036" t="str">
        <f t="shared" si="160"/>
        <v>Low</v>
      </c>
      <c r="P1036" t="str">
        <f t="shared" si="161"/>
        <v>High</v>
      </c>
      <c r="Q1036" t="str">
        <f t="shared" si="162"/>
        <v>High</v>
      </c>
      <c r="R1036" t="s">
        <v>3310</v>
      </c>
      <c r="S1036" s="4">
        <f t="shared" ca="1" si="163"/>
        <v>1530</v>
      </c>
      <c r="T1036">
        <f t="shared" si="164"/>
        <v>1</v>
      </c>
      <c r="U1036">
        <f t="shared" si="165"/>
        <v>3</v>
      </c>
      <c r="V1036">
        <f t="shared" si="166"/>
        <v>3</v>
      </c>
      <c r="W1036">
        <f t="shared" si="167"/>
        <v>2</v>
      </c>
      <c r="X1036">
        <f t="shared" si="168"/>
        <v>2.1</v>
      </c>
      <c r="Y1036" t="str">
        <f t="shared" si="169"/>
        <v>Monitor</v>
      </c>
    </row>
    <row r="1037" spans="1:25" x14ac:dyDescent="0.35">
      <c r="A1037" t="s">
        <v>41</v>
      </c>
      <c r="B1037" t="s">
        <v>42</v>
      </c>
      <c r="C1037" t="s">
        <v>43</v>
      </c>
      <c r="D1037" t="s">
        <v>846</v>
      </c>
      <c r="E1037">
        <v>80752240</v>
      </c>
      <c r="F1037" t="s">
        <v>847</v>
      </c>
      <c r="G1037" s="3">
        <v>46198</v>
      </c>
      <c r="H1037">
        <v>36</v>
      </c>
      <c r="I1037">
        <v>1</v>
      </c>
      <c r="J1037">
        <v>1</v>
      </c>
      <c r="K1037" s="4">
        <v>590.54999999999995</v>
      </c>
      <c r="L1037" s="4">
        <f>0</f>
        <v>0</v>
      </c>
      <c r="M1037" s="4">
        <f>999</f>
        <v>999</v>
      </c>
      <c r="N1037" t="s">
        <v>19</v>
      </c>
      <c r="O1037" t="str">
        <f t="shared" si="160"/>
        <v>High</v>
      </c>
      <c r="P1037" t="str">
        <f t="shared" si="161"/>
        <v>High</v>
      </c>
      <c r="Q1037" t="str">
        <f t="shared" si="162"/>
        <v>High</v>
      </c>
      <c r="R1037" t="s">
        <v>3317</v>
      </c>
      <c r="S1037" s="4">
        <f t="shared" ca="1" si="163"/>
        <v>1</v>
      </c>
      <c r="T1037">
        <f t="shared" si="164"/>
        <v>3</v>
      </c>
      <c r="U1037">
        <f t="shared" si="165"/>
        <v>3</v>
      </c>
      <c r="V1037">
        <f t="shared" si="166"/>
        <v>3</v>
      </c>
      <c r="W1037">
        <f t="shared" si="167"/>
        <v>1</v>
      </c>
      <c r="X1037">
        <f t="shared" si="168"/>
        <v>2.8000000000000003</v>
      </c>
      <c r="Y1037" t="str">
        <f t="shared" si="169"/>
        <v>Move Immediately</v>
      </c>
    </row>
    <row r="1038" spans="1:25" x14ac:dyDescent="0.35">
      <c r="A1038" t="s">
        <v>90</v>
      </c>
      <c r="B1038" t="s">
        <v>217</v>
      </c>
      <c r="C1038" t="s">
        <v>218</v>
      </c>
      <c r="D1038" t="s">
        <v>848</v>
      </c>
      <c r="E1038">
        <v>80748468</v>
      </c>
      <c r="F1038" t="s">
        <v>849</v>
      </c>
      <c r="G1038" s="3">
        <v>46509</v>
      </c>
      <c r="H1038">
        <v>24</v>
      </c>
      <c r="I1038">
        <v>44</v>
      </c>
      <c r="J1038">
        <v>1</v>
      </c>
      <c r="K1038" s="4">
        <v>43.24</v>
      </c>
      <c r="L1038" s="4">
        <v>45</v>
      </c>
      <c r="M1038" s="4">
        <v>2.2222222222222223E-2</v>
      </c>
      <c r="N1038" t="s">
        <v>25</v>
      </c>
      <c r="O1038" t="str">
        <f t="shared" si="160"/>
        <v>Low</v>
      </c>
      <c r="P1038" t="str">
        <f t="shared" si="161"/>
        <v>Low</v>
      </c>
      <c r="Q1038" t="str">
        <f t="shared" si="162"/>
        <v>Low</v>
      </c>
      <c r="R1038" t="s">
        <v>3317</v>
      </c>
      <c r="S1038" s="4">
        <f t="shared" ca="1" si="163"/>
        <v>312</v>
      </c>
      <c r="T1038">
        <f t="shared" si="164"/>
        <v>1</v>
      </c>
      <c r="U1038">
        <f t="shared" si="165"/>
        <v>1</v>
      </c>
      <c r="V1038">
        <f t="shared" si="166"/>
        <v>1</v>
      </c>
      <c r="W1038">
        <f t="shared" si="167"/>
        <v>1</v>
      </c>
      <c r="X1038">
        <f t="shared" si="168"/>
        <v>0.99999999999999989</v>
      </c>
      <c r="Y1038" t="str">
        <f t="shared" si="169"/>
        <v>Healthy</v>
      </c>
    </row>
    <row r="1039" spans="1:25" x14ac:dyDescent="0.35">
      <c r="A1039" t="s">
        <v>20</v>
      </c>
      <c r="B1039" t="s">
        <v>21</v>
      </c>
      <c r="C1039" t="s">
        <v>313</v>
      </c>
      <c r="D1039" t="s">
        <v>850</v>
      </c>
      <c r="E1039">
        <v>82320524</v>
      </c>
      <c r="F1039" t="s">
        <v>851</v>
      </c>
      <c r="G1039" s="3">
        <v>46478</v>
      </c>
      <c r="H1039">
        <v>36</v>
      </c>
      <c r="I1039">
        <v>26</v>
      </c>
      <c r="J1039">
        <v>1</v>
      </c>
      <c r="K1039" s="4">
        <v>135.19999999999999</v>
      </c>
      <c r="L1039" s="4">
        <f>0</f>
        <v>0</v>
      </c>
      <c r="M1039" s="4">
        <f>999</f>
        <v>999</v>
      </c>
      <c r="N1039" t="s">
        <v>19</v>
      </c>
      <c r="O1039" t="str">
        <f t="shared" si="160"/>
        <v>Medium</v>
      </c>
      <c r="P1039" t="str">
        <f t="shared" si="161"/>
        <v>High</v>
      </c>
      <c r="Q1039" t="str">
        <f t="shared" si="162"/>
        <v>High</v>
      </c>
      <c r="R1039" t="s">
        <v>3317</v>
      </c>
      <c r="S1039" s="4">
        <f t="shared" ca="1" si="163"/>
        <v>281</v>
      </c>
      <c r="T1039">
        <f t="shared" si="164"/>
        <v>2</v>
      </c>
      <c r="U1039">
        <f t="shared" si="165"/>
        <v>3</v>
      </c>
      <c r="V1039">
        <f t="shared" si="166"/>
        <v>3</v>
      </c>
      <c r="W1039">
        <f t="shared" si="167"/>
        <v>1</v>
      </c>
      <c r="X1039">
        <f t="shared" si="168"/>
        <v>2.4</v>
      </c>
      <c r="Y1039" t="str">
        <f t="shared" si="169"/>
        <v>High Priority</v>
      </c>
    </row>
    <row r="1040" spans="1:25" x14ac:dyDescent="0.35">
      <c r="A1040" t="s">
        <v>41</v>
      </c>
      <c r="B1040" t="s">
        <v>42</v>
      </c>
      <c r="C1040" t="s">
        <v>43</v>
      </c>
      <c r="D1040" t="s">
        <v>852</v>
      </c>
      <c r="E1040">
        <v>80755810</v>
      </c>
      <c r="F1040" t="s">
        <v>853</v>
      </c>
      <c r="G1040" s="3">
        <v>46080</v>
      </c>
      <c r="H1040">
        <v>36</v>
      </c>
      <c r="I1040">
        <v>0</v>
      </c>
      <c r="J1040">
        <v>24</v>
      </c>
      <c r="K1040" s="4">
        <v>15633.84</v>
      </c>
      <c r="L1040" s="4">
        <f>0</f>
        <v>0</v>
      </c>
      <c r="M1040" s="4">
        <f>999</f>
        <v>999</v>
      </c>
      <c r="N1040" t="s">
        <v>19</v>
      </c>
      <c r="O1040" t="str">
        <f t="shared" si="160"/>
        <v>High</v>
      </c>
      <c r="P1040" t="str">
        <f t="shared" si="161"/>
        <v>High</v>
      </c>
      <c r="Q1040" t="str">
        <f t="shared" si="162"/>
        <v>High</v>
      </c>
      <c r="R1040" t="s">
        <v>3317</v>
      </c>
      <c r="S1040" s="4">
        <f t="shared" ca="1" si="163"/>
        <v>-117</v>
      </c>
      <c r="T1040">
        <f t="shared" si="164"/>
        <v>3</v>
      </c>
      <c r="U1040">
        <f t="shared" si="165"/>
        <v>3</v>
      </c>
      <c r="V1040">
        <f t="shared" si="166"/>
        <v>3</v>
      </c>
      <c r="W1040">
        <f t="shared" si="167"/>
        <v>1</v>
      </c>
      <c r="X1040">
        <f t="shared" si="168"/>
        <v>2.8000000000000003</v>
      </c>
      <c r="Y1040" t="str">
        <f t="shared" si="169"/>
        <v>Move Immediately</v>
      </c>
    </row>
    <row r="1041" spans="1:25" x14ac:dyDescent="0.35">
      <c r="A1041" t="s">
        <v>46</v>
      </c>
      <c r="B1041" t="s">
        <v>129</v>
      </c>
      <c r="C1041" t="s">
        <v>130</v>
      </c>
      <c r="D1041" t="s">
        <v>854</v>
      </c>
      <c r="E1041">
        <v>80750337</v>
      </c>
      <c r="F1041" t="s">
        <v>855</v>
      </c>
      <c r="G1041" s="3">
        <v>46278</v>
      </c>
      <c r="H1041">
        <v>36</v>
      </c>
      <c r="I1041">
        <v>8</v>
      </c>
      <c r="J1041">
        <v>4</v>
      </c>
      <c r="K1041" s="4">
        <v>600</v>
      </c>
      <c r="L1041" s="4">
        <v>8.1428571428571423</v>
      </c>
      <c r="M1041" s="4">
        <v>0.49122807017543862</v>
      </c>
      <c r="N1041" t="s">
        <v>25</v>
      </c>
      <c r="O1041" t="str">
        <f t="shared" si="160"/>
        <v>High</v>
      </c>
      <c r="P1041" t="str">
        <f t="shared" si="161"/>
        <v>Low</v>
      </c>
      <c r="Q1041" t="str">
        <f t="shared" si="162"/>
        <v>Medium</v>
      </c>
      <c r="R1041" t="s">
        <v>3317</v>
      </c>
      <c r="S1041" s="4">
        <f t="shared" ca="1" si="163"/>
        <v>81</v>
      </c>
      <c r="T1041">
        <f t="shared" si="164"/>
        <v>3</v>
      </c>
      <c r="U1041">
        <f t="shared" si="165"/>
        <v>1</v>
      </c>
      <c r="V1041">
        <f t="shared" si="166"/>
        <v>2</v>
      </c>
      <c r="W1041">
        <f t="shared" si="167"/>
        <v>1</v>
      </c>
      <c r="X1041">
        <f t="shared" si="168"/>
        <v>2.0000000000000004</v>
      </c>
      <c r="Y1041" t="str">
        <f t="shared" si="169"/>
        <v>Monitor</v>
      </c>
    </row>
    <row r="1042" spans="1:25" x14ac:dyDescent="0.35">
      <c r="A1042" t="s">
        <v>46</v>
      </c>
      <c r="B1042" t="s">
        <v>129</v>
      </c>
      <c r="C1042" t="s">
        <v>130</v>
      </c>
      <c r="D1042" t="s">
        <v>854</v>
      </c>
      <c r="E1042">
        <v>80750337</v>
      </c>
      <c r="F1042" t="s">
        <v>855</v>
      </c>
      <c r="G1042" s="3">
        <v>46607</v>
      </c>
      <c r="H1042">
        <v>36</v>
      </c>
      <c r="I1042">
        <v>38</v>
      </c>
      <c r="J1042">
        <v>3</v>
      </c>
      <c r="K1042" s="4">
        <v>450</v>
      </c>
      <c r="L1042" s="4">
        <v>8.1428571428571423</v>
      </c>
      <c r="M1042" s="4">
        <v>0.36842105263157898</v>
      </c>
      <c r="N1042" t="s">
        <v>25</v>
      </c>
      <c r="O1042" t="str">
        <f t="shared" si="160"/>
        <v>Medium</v>
      </c>
      <c r="P1042" t="str">
        <f t="shared" si="161"/>
        <v>Low</v>
      </c>
      <c r="Q1042" t="str">
        <f t="shared" si="162"/>
        <v>Medium</v>
      </c>
      <c r="R1042" t="s">
        <v>3317</v>
      </c>
      <c r="S1042" s="4">
        <f t="shared" ca="1" si="163"/>
        <v>410</v>
      </c>
      <c r="T1042">
        <f t="shared" si="164"/>
        <v>2</v>
      </c>
      <c r="U1042">
        <f t="shared" si="165"/>
        <v>1</v>
      </c>
      <c r="V1042">
        <f t="shared" si="166"/>
        <v>2</v>
      </c>
      <c r="W1042">
        <f t="shared" si="167"/>
        <v>1</v>
      </c>
      <c r="X1042">
        <f t="shared" si="168"/>
        <v>1.6</v>
      </c>
      <c r="Y1042" t="str">
        <f t="shared" si="169"/>
        <v>Healthy</v>
      </c>
    </row>
    <row r="1043" spans="1:25" x14ac:dyDescent="0.35">
      <c r="A1043" t="s">
        <v>29</v>
      </c>
      <c r="B1043" t="s">
        <v>30</v>
      </c>
      <c r="C1043" t="s">
        <v>856</v>
      </c>
      <c r="D1043" t="s">
        <v>857</v>
      </c>
      <c r="E1043">
        <v>82294120</v>
      </c>
      <c r="F1043" t="s">
        <v>858</v>
      </c>
      <c r="G1043" s="3">
        <v>44861</v>
      </c>
      <c r="H1043">
        <v>36</v>
      </c>
      <c r="I1043">
        <v>0</v>
      </c>
      <c r="J1043">
        <v>6</v>
      </c>
      <c r="K1043" s="4">
        <v>9594.9</v>
      </c>
      <c r="L1043" s="4">
        <f>0</f>
        <v>0</v>
      </c>
      <c r="M1043" s="4">
        <f>999</f>
        <v>999</v>
      </c>
      <c r="N1043" t="s">
        <v>19</v>
      </c>
      <c r="O1043" t="str">
        <f t="shared" si="160"/>
        <v>High</v>
      </c>
      <c r="P1043" t="str">
        <f t="shared" si="161"/>
        <v>High</v>
      </c>
      <c r="Q1043" t="str">
        <f t="shared" si="162"/>
        <v>High</v>
      </c>
      <c r="R1043" t="s">
        <v>3317</v>
      </c>
      <c r="S1043" s="4">
        <f t="shared" ca="1" si="163"/>
        <v>-1336</v>
      </c>
      <c r="T1043">
        <f t="shared" si="164"/>
        <v>3</v>
      </c>
      <c r="U1043">
        <f t="shared" si="165"/>
        <v>3</v>
      </c>
      <c r="V1043">
        <f t="shared" si="166"/>
        <v>3</v>
      </c>
      <c r="W1043">
        <f t="shared" si="167"/>
        <v>1</v>
      </c>
      <c r="X1043">
        <f t="shared" si="168"/>
        <v>2.8000000000000003</v>
      </c>
      <c r="Y1043" t="str">
        <f t="shared" si="169"/>
        <v>Move Immediately</v>
      </c>
    </row>
    <row r="1044" spans="1:25" x14ac:dyDescent="0.35">
      <c r="A1044" t="s">
        <v>189</v>
      </c>
      <c r="B1044" t="s">
        <v>859</v>
      </c>
      <c r="C1044" t="s">
        <v>859</v>
      </c>
      <c r="D1044" t="s">
        <v>860</v>
      </c>
      <c r="E1044">
        <v>82297453</v>
      </c>
      <c r="F1044" t="s">
        <v>861</v>
      </c>
      <c r="G1044" s="3">
        <v>46460</v>
      </c>
      <c r="H1044">
        <v>18</v>
      </c>
      <c r="I1044">
        <v>50</v>
      </c>
      <c r="J1044">
        <v>6</v>
      </c>
      <c r="K1044" s="4">
        <v>1345.74</v>
      </c>
      <c r="L1044" s="4">
        <f>0</f>
        <v>0</v>
      </c>
      <c r="M1044" s="4">
        <f>999</f>
        <v>999</v>
      </c>
      <c r="N1044" t="s">
        <v>19</v>
      </c>
      <c r="O1044" t="str">
        <f t="shared" si="160"/>
        <v>Low</v>
      </c>
      <c r="P1044" t="str">
        <f t="shared" si="161"/>
        <v>High</v>
      </c>
      <c r="Q1044" t="str">
        <f t="shared" si="162"/>
        <v>High</v>
      </c>
      <c r="R1044" t="s">
        <v>3317</v>
      </c>
      <c r="S1044" s="4">
        <f t="shared" ca="1" si="163"/>
        <v>263</v>
      </c>
      <c r="T1044">
        <f t="shared" si="164"/>
        <v>1</v>
      </c>
      <c r="U1044">
        <f t="shared" si="165"/>
        <v>3</v>
      </c>
      <c r="V1044">
        <f t="shared" si="166"/>
        <v>3</v>
      </c>
      <c r="W1044">
        <f t="shared" si="167"/>
        <v>1</v>
      </c>
      <c r="X1044">
        <f t="shared" si="168"/>
        <v>2</v>
      </c>
      <c r="Y1044" t="str">
        <f t="shared" si="169"/>
        <v>Monitor</v>
      </c>
    </row>
    <row r="1045" spans="1:25" x14ac:dyDescent="0.35">
      <c r="A1045" t="s">
        <v>20</v>
      </c>
      <c r="B1045" t="s">
        <v>21</v>
      </c>
      <c r="C1045" t="s">
        <v>51</v>
      </c>
      <c r="D1045" t="s">
        <v>435</v>
      </c>
      <c r="E1045">
        <v>82320518</v>
      </c>
      <c r="F1045" t="s">
        <v>862</v>
      </c>
      <c r="G1045" s="3">
        <v>47020</v>
      </c>
      <c r="H1045">
        <v>36</v>
      </c>
      <c r="I1045">
        <v>77</v>
      </c>
      <c r="J1045">
        <v>94</v>
      </c>
      <c r="K1045" s="4">
        <v>4963.2</v>
      </c>
      <c r="L1045" s="4">
        <f>0</f>
        <v>0</v>
      </c>
      <c r="M1045" s="4">
        <f>999</f>
        <v>999</v>
      </c>
      <c r="N1045" t="s">
        <v>19</v>
      </c>
      <c r="O1045" t="str">
        <f t="shared" si="160"/>
        <v>Low</v>
      </c>
      <c r="P1045" t="str">
        <f t="shared" si="161"/>
        <v>High</v>
      </c>
      <c r="Q1045" t="str">
        <f t="shared" si="162"/>
        <v>High</v>
      </c>
      <c r="R1045" t="s">
        <v>3317</v>
      </c>
      <c r="S1045" s="4">
        <f t="shared" ca="1" si="163"/>
        <v>823</v>
      </c>
      <c r="T1045">
        <f t="shared" si="164"/>
        <v>1</v>
      </c>
      <c r="U1045">
        <f t="shared" si="165"/>
        <v>3</v>
      </c>
      <c r="V1045">
        <f t="shared" si="166"/>
        <v>3</v>
      </c>
      <c r="W1045">
        <f t="shared" si="167"/>
        <v>1</v>
      </c>
      <c r="X1045">
        <f t="shared" si="168"/>
        <v>2</v>
      </c>
      <c r="Y1045" t="str">
        <f t="shared" si="169"/>
        <v>Monitor</v>
      </c>
    </row>
    <row r="1046" spans="1:25" x14ac:dyDescent="0.35">
      <c r="A1046" t="s">
        <v>104</v>
      </c>
      <c r="B1046" t="s">
        <v>105</v>
      </c>
      <c r="C1046" t="s">
        <v>141</v>
      </c>
      <c r="D1046" t="s">
        <v>863</v>
      </c>
      <c r="E1046">
        <v>80726027</v>
      </c>
      <c r="F1046" t="s">
        <v>864</v>
      </c>
      <c r="G1046" s="3">
        <v>46040</v>
      </c>
      <c r="H1046">
        <v>24</v>
      </c>
      <c r="I1046">
        <v>0</v>
      </c>
      <c r="J1046">
        <v>4</v>
      </c>
      <c r="K1046" s="4">
        <v>956.76</v>
      </c>
      <c r="L1046" s="4">
        <f>0</f>
        <v>0</v>
      </c>
      <c r="M1046" s="4">
        <f>999</f>
        <v>999</v>
      </c>
      <c r="N1046" t="s">
        <v>19</v>
      </c>
      <c r="O1046" t="str">
        <f t="shared" si="160"/>
        <v>High</v>
      </c>
      <c r="P1046" t="str">
        <f t="shared" si="161"/>
        <v>High</v>
      </c>
      <c r="Q1046" t="str">
        <f t="shared" si="162"/>
        <v>High</v>
      </c>
      <c r="R1046" t="s">
        <v>3317</v>
      </c>
      <c r="S1046" s="4">
        <f t="shared" ca="1" si="163"/>
        <v>-157</v>
      </c>
      <c r="T1046">
        <f t="shared" si="164"/>
        <v>3</v>
      </c>
      <c r="U1046">
        <f t="shared" si="165"/>
        <v>3</v>
      </c>
      <c r="V1046">
        <f t="shared" si="166"/>
        <v>3</v>
      </c>
      <c r="W1046">
        <f t="shared" si="167"/>
        <v>1</v>
      </c>
      <c r="X1046">
        <f t="shared" si="168"/>
        <v>2.8000000000000003</v>
      </c>
      <c r="Y1046" t="str">
        <f t="shared" si="169"/>
        <v>Move Immediately</v>
      </c>
    </row>
    <row r="1047" spans="1:25" x14ac:dyDescent="0.35">
      <c r="A1047" t="s">
        <v>29</v>
      </c>
      <c r="B1047" t="s">
        <v>30</v>
      </c>
      <c r="C1047" t="s">
        <v>144</v>
      </c>
      <c r="D1047" t="s">
        <v>865</v>
      </c>
      <c r="E1047">
        <v>80741167</v>
      </c>
      <c r="F1047" t="s">
        <v>866</v>
      </c>
      <c r="G1047" s="3">
        <v>46797</v>
      </c>
      <c r="H1047">
        <v>36</v>
      </c>
      <c r="I1047">
        <v>56</v>
      </c>
      <c r="J1047">
        <v>8</v>
      </c>
      <c r="K1047" s="4">
        <v>4000.16</v>
      </c>
      <c r="L1047" s="4">
        <f>0</f>
        <v>0</v>
      </c>
      <c r="M1047" s="4">
        <f>999</f>
        <v>999</v>
      </c>
      <c r="N1047" t="s">
        <v>19</v>
      </c>
      <c r="O1047" t="str">
        <f t="shared" si="160"/>
        <v>Low</v>
      </c>
      <c r="P1047" t="str">
        <f t="shared" si="161"/>
        <v>High</v>
      </c>
      <c r="Q1047" t="str">
        <f t="shared" si="162"/>
        <v>High</v>
      </c>
      <c r="R1047" t="s">
        <v>3317</v>
      </c>
      <c r="S1047" s="4">
        <f t="shared" ca="1" si="163"/>
        <v>600</v>
      </c>
      <c r="T1047">
        <f t="shared" si="164"/>
        <v>1</v>
      </c>
      <c r="U1047">
        <f t="shared" si="165"/>
        <v>3</v>
      </c>
      <c r="V1047">
        <f t="shared" si="166"/>
        <v>3</v>
      </c>
      <c r="W1047">
        <f t="shared" si="167"/>
        <v>1</v>
      </c>
      <c r="X1047">
        <f t="shared" si="168"/>
        <v>2</v>
      </c>
      <c r="Y1047" t="str">
        <f t="shared" si="169"/>
        <v>Monitor</v>
      </c>
    </row>
    <row r="1048" spans="1:25" x14ac:dyDescent="0.35">
      <c r="A1048" t="s">
        <v>29</v>
      </c>
      <c r="B1048" t="s">
        <v>30</v>
      </c>
      <c r="C1048" t="s">
        <v>144</v>
      </c>
      <c r="D1048" t="s">
        <v>865</v>
      </c>
      <c r="E1048">
        <v>80741167</v>
      </c>
      <c r="F1048" t="s">
        <v>866</v>
      </c>
      <c r="G1048" s="3">
        <v>46730</v>
      </c>
      <c r="H1048">
        <v>36</v>
      </c>
      <c r="I1048">
        <v>50</v>
      </c>
      <c r="J1048">
        <v>3</v>
      </c>
      <c r="K1048" s="4">
        <v>1500.06</v>
      </c>
      <c r="L1048" s="4">
        <f>0</f>
        <v>0</v>
      </c>
      <c r="M1048" s="4">
        <f>999</f>
        <v>999</v>
      </c>
      <c r="N1048" t="s">
        <v>19</v>
      </c>
      <c r="O1048" t="str">
        <f t="shared" si="160"/>
        <v>Low</v>
      </c>
      <c r="P1048" t="str">
        <f t="shared" si="161"/>
        <v>High</v>
      </c>
      <c r="Q1048" t="str">
        <f t="shared" si="162"/>
        <v>High</v>
      </c>
      <c r="R1048" t="s">
        <v>3317</v>
      </c>
      <c r="S1048" s="4">
        <f t="shared" ca="1" si="163"/>
        <v>533</v>
      </c>
      <c r="T1048">
        <f t="shared" si="164"/>
        <v>1</v>
      </c>
      <c r="U1048">
        <f t="shared" si="165"/>
        <v>3</v>
      </c>
      <c r="V1048">
        <f t="shared" si="166"/>
        <v>3</v>
      </c>
      <c r="W1048">
        <f t="shared" si="167"/>
        <v>1</v>
      </c>
      <c r="X1048">
        <f t="shared" si="168"/>
        <v>2</v>
      </c>
      <c r="Y1048" t="str">
        <f t="shared" si="169"/>
        <v>Monitor</v>
      </c>
    </row>
    <row r="1049" spans="1:25" x14ac:dyDescent="0.35">
      <c r="A1049" t="s">
        <v>41</v>
      </c>
      <c r="B1049" t="s">
        <v>42</v>
      </c>
      <c r="C1049" t="s">
        <v>365</v>
      </c>
      <c r="D1049" t="s">
        <v>867</v>
      </c>
      <c r="E1049">
        <v>80687564</v>
      </c>
      <c r="F1049" t="s">
        <v>868</v>
      </c>
      <c r="G1049" s="3">
        <v>47020</v>
      </c>
      <c r="H1049">
        <v>36</v>
      </c>
      <c r="I1049">
        <v>77</v>
      </c>
      <c r="J1049">
        <v>12</v>
      </c>
      <c r="K1049" s="4">
        <v>6860.4</v>
      </c>
      <c r="L1049" s="4">
        <f>0</f>
        <v>0</v>
      </c>
      <c r="M1049" s="4">
        <f>999</f>
        <v>999</v>
      </c>
      <c r="N1049" t="s">
        <v>19</v>
      </c>
      <c r="O1049" t="str">
        <f t="shared" si="160"/>
        <v>Low</v>
      </c>
      <c r="P1049" t="str">
        <f t="shared" si="161"/>
        <v>High</v>
      </c>
      <c r="Q1049" t="str">
        <f t="shared" si="162"/>
        <v>High</v>
      </c>
      <c r="R1049" t="s">
        <v>3317</v>
      </c>
      <c r="S1049" s="4">
        <f t="shared" ca="1" si="163"/>
        <v>823</v>
      </c>
      <c r="T1049">
        <f t="shared" si="164"/>
        <v>1</v>
      </c>
      <c r="U1049">
        <f t="shared" si="165"/>
        <v>3</v>
      </c>
      <c r="V1049">
        <f t="shared" si="166"/>
        <v>3</v>
      </c>
      <c r="W1049">
        <f t="shared" si="167"/>
        <v>1</v>
      </c>
      <c r="X1049">
        <f t="shared" si="168"/>
        <v>2</v>
      </c>
      <c r="Y1049" t="str">
        <f t="shared" si="169"/>
        <v>Monitor</v>
      </c>
    </row>
    <row r="1050" spans="1:25" x14ac:dyDescent="0.35">
      <c r="A1050" t="s">
        <v>41</v>
      </c>
      <c r="B1050" t="s">
        <v>54</v>
      </c>
      <c r="C1050" t="s">
        <v>87</v>
      </c>
      <c r="D1050" t="s">
        <v>88</v>
      </c>
      <c r="E1050">
        <v>80765755</v>
      </c>
      <c r="F1050" t="s">
        <v>869</v>
      </c>
      <c r="G1050" s="3">
        <v>46486</v>
      </c>
      <c r="H1050">
        <v>36</v>
      </c>
      <c r="I1050">
        <v>27</v>
      </c>
      <c r="J1050">
        <v>6</v>
      </c>
      <c r="K1050" s="4">
        <v>5348.4</v>
      </c>
      <c r="L1050" s="4">
        <v>1.7142857142857142</v>
      </c>
      <c r="M1050" s="4">
        <v>3.5</v>
      </c>
      <c r="N1050" t="s">
        <v>25</v>
      </c>
      <c r="O1050" t="str">
        <f t="shared" si="160"/>
        <v>Medium</v>
      </c>
      <c r="P1050" t="str">
        <f t="shared" si="161"/>
        <v>Low</v>
      </c>
      <c r="Q1050" t="str">
        <f t="shared" si="162"/>
        <v>High</v>
      </c>
      <c r="R1050" t="s">
        <v>3317</v>
      </c>
      <c r="S1050" s="4">
        <f t="shared" ca="1" si="163"/>
        <v>289</v>
      </c>
      <c r="T1050">
        <f t="shared" si="164"/>
        <v>2</v>
      </c>
      <c r="U1050">
        <f t="shared" si="165"/>
        <v>1</v>
      </c>
      <c r="V1050">
        <f t="shared" si="166"/>
        <v>3</v>
      </c>
      <c r="W1050">
        <f t="shared" si="167"/>
        <v>1</v>
      </c>
      <c r="X1050">
        <f t="shared" si="168"/>
        <v>1.8000000000000003</v>
      </c>
      <c r="Y1050" t="str">
        <f t="shared" si="169"/>
        <v>Monitor</v>
      </c>
    </row>
    <row r="1051" spans="1:25" x14ac:dyDescent="0.35">
      <c r="A1051" t="s">
        <v>71</v>
      </c>
      <c r="B1051" t="s">
        <v>72</v>
      </c>
      <c r="C1051" t="s">
        <v>320</v>
      </c>
      <c r="D1051" t="s">
        <v>870</v>
      </c>
      <c r="E1051">
        <v>80771454</v>
      </c>
      <c r="F1051" t="s">
        <v>871</v>
      </c>
      <c r="G1051" s="3">
        <v>48092</v>
      </c>
      <c r="H1051">
        <v>36</v>
      </c>
      <c r="I1051">
        <v>100</v>
      </c>
      <c r="J1051">
        <v>1</v>
      </c>
      <c r="K1051" s="4">
        <v>4615.2299999999996</v>
      </c>
      <c r="L1051" s="4">
        <f>0</f>
        <v>0</v>
      </c>
      <c r="M1051" s="4">
        <f>999</f>
        <v>999</v>
      </c>
      <c r="N1051" t="s">
        <v>19</v>
      </c>
      <c r="O1051" t="str">
        <f t="shared" si="160"/>
        <v>Low</v>
      </c>
      <c r="P1051" t="str">
        <f t="shared" si="161"/>
        <v>High</v>
      </c>
      <c r="Q1051" t="str">
        <f t="shared" si="162"/>
        <v>High</v>
      </c>
      <c r="R1051" t="s">
        <v>3317</v>
      </c>
      <c r="S1051" s="4">
        <f t="shared" ca="1" si="163"/>
        <v>1895</v>
      </c>
      <c r="T1051">
        <f t="shared" si="164"/>
        <v>1</v>
      </c>
      <c r="U1051">
        <f t="shared" si="165"/>
        <v>3</v>
      </c>
      <c r="V1051">
        <f t="shared" si="166"/>
        <v>3</v>
      </c>
      <c r="W1051">
        <f t="shared" si="167"/>
        <v>1</v>
      </c>
      <c r="X1051">
        <f t="shared" si="168"/>
        <v>2</v>
      </c>
      <c r="Y1051" t="str">
        <f t="shared" si="169"/>
        <v>Monitor</v>
      </c>
    </row>
    <row r="1052" spans="1:25" x14ac:dyDescent="0.35">
      <c r="A1052" t="s">
        <v>71</v>
      </c>
      <c r="B1052" t="s">
        <v>872</v>
      </c>
      <c r="C1052" t="s">
        <v>873</v>
      </c>
      <c r="D1052" t="s">
        <v>874</v>
      </c>
      <c r="E1052">
        <v>80756047</v>
      </c>
      <c r="F1052" t="s">
        <v>875</v>
      </c>
      <c r="G1052" s="3">
        <v>47169</v>
      </c>
      <c r="H1052">
        <v>36</v>
      </c>
      <c r="I1052">
        <v>90</v>
      </c>
      <c r="J1052">
        <v>106</v>
      </c>
      <c r="K1052" s="4">
        <v>50708.28</v>
      </c>
      <c r="L1052" s="4">
        <v>218.57142857142858</v>
      </c>
      <c r="M1052" s="4">
        <v>0.48496732026143791</v>
      </c>
      <c r="N1052" t="s">
        <v>25</v>
      </c>
      <c r="O1052" t="str">
        <f t="shared" si="160"/>
        <v>Low</v>
      </c>
      <c r="P1052" t="str">
        <f t="shared" si="161"/>
        <v>Low</v>
      </c>
      <c r="Q1052" t="str">
        <f t="shared" si="162"/>
        <v>Low</v>
      </c>
      <c r="R1052" t="s">
        <v>3317</v>
      </c>
      <c r="S1052" s="4">
        <f t="shared" ca="1" si="163"/>
        <v>972</v>
      </c>
      <c r="T1052">
        <f t="shared" si="164"/>
        <v>1</v>
      </c>
      <c r="U1052">
        <f t="shared" si="165"/>
        <v>1</v>
      </c>
      <c r="V1052">
        <f t="shared" si="166"/>
        <v>1</v>
      </c>
      <c r="W1052">
        <f t="shared" si="167"/>
        <v>1</v>
      </c>
      <c r="X1052">
        <f t="shared" si="168"/>
        <v>0.99999999999999989</v>
      </c>
      <c r="Y1052" t="str">
        <f t="shared" si="169"/>
        <v>Healthy</v>
      </c>
    </row>
    <row r="1053" spans="1:25" x14ac:dyDescent="0.35">
      <c r="A1053" t="s">
        <v>71</v>
      </c>
      <c r="B1053" t="s">
        <v>72</v>
      </c>
      <c r="C1053" t="s">
        <v>73</v>
      </c>
      <c r="D1053" t="s">
        <v>876</v>
      </c>
      <c r="E1053">
        <v>80763128</v>
      </c>
      <c r="F1053" t="s">
        <v>877</v>
      </c>
      <c r="G1053" s="3">
        <v>46562</v>
      </c>
      <c r="H1053">
        <v>36</v>
      </c>
      <c r="I1053">
        <v>34</v>
      </c>
      <c r="J1053">
        <v>3</v>
      </c>
      <c r="K1053" s="4">
        <v>3020.46</v>
      </c>
      <c r="L1053" s="4">
        <f>0</f>
        <v>0</v>
      </c>
      <c r="M1053" s="4">
        <f>999</f>
        <v>999</v>
      </c>
      <c r="N1053" t="s">
        <v>19</v>
      </c>
      <c r="O1053" t="str">
        <f t="shared" si="160"/>
        <v>Medium</v>
      </c>
      <c r="P1053" t="str">
        <f t="shared" si="161"/>
        <v>High</v>
      </c>
      <c r="Q1053" t="str">
        <f t="shared" si="162"/>
        <v>High</v>
      </c>
      <c r="R1053" t="s">
        <v>3317</v>
      </c>
      <c r="S1053" s="4">
        <f t="shared" ca="1" si="163"/>
        <v>365</v>
      </c>
      <c r="T1053">
        <f t="shared" si="164"/>
        <v>2</v>
      </c>
      <c r="U1053">
        <f t="shared" si="165"/>
        <v>3</v>
      </c>
      <c r="V1053">
        <f t="shared" si="166"/>
        <v>3</v>
      </c>
      <c r="W1053">
        <f t="shared" si="167"/>
        <v>1</v>
      </c>
      <c r="X1053">
        <f t="shared" si="168"/>
        <v>2.4</v>
      </c>
      <c r="Y1053" t="str">
        <f t="shared" si="169"/>
        <v>High Priority</v>
      </c>
    </row>
    <row r="1054" spans="1:25" x14ac:dyDescent="0.35">
      <c r="A1054" t="s">
        <v>71</v>
      </c>
      <c r="B1054" t="s">
        <v>72</v>
      </c>
      <c r="C1054" t="s">
        <v>73</v>
      </c>
      <c r="D1054" t="s">
        <v>876</v>
      </c>
      <c r="E1054">
        <v>80763128</v>
      </c>
      <c r="F1054" t="s">
        <v>877</v>
      </c>
      <c r="G1054" s="3">
        <v>46493</v>
      </c>
      <c r="H1054">
        <v>36</v>
      </c>
      <c r="I1054">
        <v>28</v>
      </c>
      <c r="J1054">
        <v>2</v>
      </c>
      <c r="K1054" s="4">
        <v>2013.64</v>
      </c>
      <c r="L1054" s="4">
        <f>0</f>
        <v>0</v>
      </c>
      <c r="M1054" s="4">
        <f>999</f>
        <v>999</v>
      </c>
      <c r="N1054" t="s">
        <v>19</v>
      </c>
      <c r="O1054" t="str">
        <f t="shared" si="160"/>
        <v>Medium</v>
      </c>
      <c r="P1054" t="str">
        <f t="shared" si="161"/>
        <v>High</v>
      </c>
      <c r="Q1054" t="str">
        <f t="shared" si="162"/>
        <v>High</v>
      </c>
      <c r="R1054" t="s">
        <v>3317</v>
      </c>
      <c r="S1054" s="4">
        <f t="shared" ca="1" si="163"/>
        <v>296</v>
      </c>
      <c r="T1054">
        <f t="shared" si="164"/>
        <v>2</v>
      </c>
      <c r="U1054">
        <f t="shared" si="165"/>
        <v>3</v>
      </c>
      <c r="V1054">
        <f t="shared" si="166"/>
        <v>3</v>
      </c>
      <c r="W1054">
        <f t="shared" si="167"/>
        <v>1</v>
      </c>
      <c r="X1054">
        <f t="shared" si="168"/>
        <v>2.4</v>
      </c>
      <c r="Y1054" t="str">
        <f t="shared" si="169"/>
        <v>High Priority</v>
      </c>
    </row>
    <row r="1055" spans="1:25" x14ac:dyDescent="0.35">
      <c r="A1055" t="s">
        <v>71</v>
      </c>
      <c r="B1055" t="s">
        <v>72</v>
      </c>
      <c r="C1055" t="s">
        <v>73</v>
      </c>
      <c r="D1055" t="s">
        <v>876</v>
      </c>
      <c r="E1055">
        <v>80763128</v>
      </c>
      <c r="F1055" t="s">
        <v>877</v>
      </c>
      <c r="G1055" s="3">
        <v>46415</v>
      </c>
      <c r="H1055">
        <v>36</v>
      </c>
      <c r="I1055">
        <v>21</v>
      </c>
      <c r="J1055">
        <v>3</v>
      </c>
      <c r="K1055" s="4">
        <v>3020.46</v>
      </c>
      <c r="L1055" s="4">
        <f>0</f>
        <v>0</v>
      </c>
      <c r="M1055" s="4">
        <f>999</f>
        <v>999</v>
      </c>
      <c r="N1055" t="s">
        <v>19</v>
      </c>
      <c r="O1055" t="str">
        <f t="shared" si="160"/>
        <v>Medium</v>
      </c>
      <c r="P1055" t="str">
        <f t="shared" si="161"/>
        <v>High</v>
      </c>
      <c r="Q1055" t="str">
        <f t="shared" si="162"/>
        <v>High</v>
      </c>
      <c r="R1055" t="s">
        <v>3317</v>
      </c>
      <c r="S1055" s="4">
        <f t="shared" ca="1" si="163"/>
        <v>218</v>
      </c>
      <c r="T1055">
        <f t="shared" si="164"/>
        <v>2</v>
      </c>
      <c r="U1055">
        <f t="shared" si="165"/>
        <v>3</v>
      </c>
      <c r="V1055">
        <f t="shared" si="166"/>
        <v>3</v>
      </c>
      <c r="W1055">
        <f t="shared" si="167"/>
        <v>1</v>
      </c>
      <c r="X1055">
        <f t="shared" si="168"/>
        <v>2.4</v>
      </c>
      <c r="Y1055" t="str">
        <f t="shared" si="169"/>
        <v>High Priority</v>
      </c>
    </row>
    <row r="1056" spans="1:25" x14ac:dyDescent="0.35">
      <c r="A1056" t="s">
        <v>20</v>
      </c>
      <c r="B1056" t="s">
        <v>21</v>
      </c>
      <c r="C1056" t="s">
        <v>133</v>
      </c>
      <c r="D1056" t="s">
        <v>878</v>
      </c>
      <c r="E1056">
        <v>80739152</v>
      </c>
      <c r="F1056" t="s">
        <v>879</v>
      </c>
      <c r="G1056" s="3">
        <v>46750</v>
      </c>
      <c r="H1056">
        <v>36</v>
      </c>
      <c r="I1056">
        <v>52</v>
      </c>
      <c r="J1056">
        <v>4</v>
      </c>
      <c r="K1056" s="4">
        <v>6617.16</v>
      </c>
      <c r="L1056" s="4">
        <v>162.71428571428572</v>
      </c>
      <c r="M1056" s="4">
        <v>2.4582967515364353E-2</v>
      </c>
      <c r="N1056" t="s">
        <v>25</v>
      </c>
      <c r="O1056" t="str">
        <f t="shared" si="160"/>
        <v>Low</v>
      </c>
      <c r="P1056" t="str">
        <f t="shared" si="161"/>
        <v>Low</v>
      </c>
      <c r="Q1056" t="str">
        <f t="shared" si="162"/>
        <v>Low</v>
      </c>
      <c r="R1056" t="s">
        <v>3317</v>
      </c>
      <c r="S1056" s="4">
        <f t="shared" ca="1" si="163"/>
        <v>553</v>
      </c>
      <c r="T1056">
        <f t="shared" si="164"/>
        <v>1</v>
      </c>
      <c r="U1056">
        <f t="shared" si="165"/>
        <v>1</v>
      </c>
      <c r="V1056">
        <f t="shared" si="166"/>
        <v>1</v>
      </c>
      <c r="W1056">
        <f t="shared" si="167"/>
        <v>1</v>
      </c>
      <c r="X1056">
        <f t="shared" si="168"/>
        <v>0.99999999999999989</v>
      </c>
      <c r="Y1056" t="str">
        <f t="shared" si="169"/>
        <v>Healthy</v>
      </c>
    </row>
    <row r="1057" spans="1:25" x14ac:dyDescent="0.35">
      <c r="A1057" t="s">
        <v>20</v>
      </c>
      <c r="B1057" t="s">
        <v>21</v>
      </c>
      <c r="C1057" t="s">
        <v>133</v>
      </c>
      <c r="D1057" t="s">
        <v>878</v>
      </c>
      <c r="E1057">
        <v>80739152</v>
      </c>
      <c r="F1057" t="s">
        <v>879</v>
      </c>
      <c r="G1057" s="3">
        <v>47077</v>
      </c>
      <c r="H1057">
        <v>36</v>
      </c>
      <c r="I1057">
        <v>82</v>
      </c>
      <c r="J1057">
        <v>8</v>
      </c>
      <c r="K1057" s="4">
        <v>13234.32</v>
      </c>
      <c r="L1057" s="4">
        <v>162.71428571428572</v>
      </c>
      <c r="M1057" s="4">
        <v>4.9165935030728705E-2</v>
      </c>
      <c r="N1057" t="s">
        <v>25</v>
      </c>
      <c r="O1057" t="str">
        <f t="shared" si="160"/>
        <v>Low</v>
      </c>
      <c r="P1057" t="str">
        <f t="shared" si="161"/>
        <v>Low</v>
      </c>
      <c r="Q1057" t="str">
        <f t="shared" si="162"/>
        <v>Low</v>
      </c>
      <c r="R1057" t="s">
        <v>3317</v>
      </c>
      <c r="S1057" s="4">
        <f t="shared" ca="1" si="163"/>
        <v>880</v>
      </c>
      <c r="T1057">
        <f t="shared" si="164"/>
        <v>1</v>
      </c>
      <c r="U1057">
        <f t="shared" si="165"/>
        <v>1</v>
      </c>
      <c r="V1057">
        <f t="shared" si="166"/>
        <v>1</v>
      </c>
      <c r="W1057">
        <f t="shared" si="167"/>
        <v>1</v>
      </c>
      <c r="X1057">
        <f t="shared" si="168"/>
        <v>0.99999999999999989</v>
      </c>
      <c r="Y1057" t="str">
        <f t="shared" si="169"/>
        <v>Healthy</v>
      </c>
    </row>
    <row r="1058" spans="1:25" x14ac:dyDescent="0.35">
      <c r="A1058" t="s">
        <v>20</v>
      </c>
      <c r="B1058" t="s">
        <v>21</v>
      </c>
      <c r="C1058" t="s">
        <v>133</v>
      </c>
      <c r="D1058" t="s">
        <v>878</v>
      </c>
      <c r="E1058">
        <v>80739152</v>
      </c>
      <c r="F1058" t="s">
        <v>879</v>
      </c>
      <c r="G1058" s="3">
        <v>46757</v>
      </c>
      <c r="H1058">
        <v>36</v>
      </c>
      <c r="I1058">
        <v>52</v>
      </c>
      <c r="J1058">
        <v>51</v>
      </c>
      <c r="K1058" s="4">
        <v>84368.79</v>
      </c>
      <c r="L1058" s="4">
        <v>162.71428571428572</v>
      </c>
      <c r="M1058" s="4">
        <v>0.31343283582089548</v>
      </c>
      <c r="N1058" t="s">
        <v>25</v>
      </c>
      <c r="O1058" t="str">
        <f t="shared" si="160"/>
        <v>Low</v>
      </c>
      <c r="P1058" t="str">
        <f t="shared" si="161"/>
        <v>Low</v>
      </c>
      <c r="Q1058" t="str">
        <f t="shared" si="162"/>
        <v>Low</v>
      </c>
      <c r="R1058" t="s">
        <v>3310</v>
      </c>
      <c r="S1058" s="4">
        <f t="shared" ca="1" si="163"/>
        <v>560</v>
      </c>
      <c r="T1058">
        <f t="shared" si="164"/>
        <v>1</v>
      </c>
      <c r="U1058">
        <f t="shared" si="165"/>
        <v>1</v>
      </c>
      <c r="V1058">
        <f t="shared" si="166"/>
        <v>1</v>
      </c>
      <c r="W1058">
        <f t="shared" si="167"/>
        <v>2</v>
      </c>
      <c r="X1058">
        <f t="shared" si="168"/>
        <v>1.0999999999999999</v>
      </c>
      <c r="Y1058" t="str">
        <f t="shared" si="169"/>
        <v>Healthy</v>
      </c>
    </row>
    <row r="1059" spans="1:25" x14ac:dyDescent="0.35">
      <c r="A1059" t="s">
        <v>90</v>
      </c>
      <c r="B1059" t="s">
        <v>91</v>
      </c>
      <c r="C1059" t="s">
        <v>92</v>
      </c>
      <c r="D1059" t="s">
        <v>880</v>
      </c>
      <c r="E1059">
        <v>80782566</v>
      </c>
      <c r="F1059" t="s">
        <v>881</v>
      </c>
      <c r="G1059" s="3">
        <v>47417</v>
      </c>
      <c r="H1059">
        <v>24</v>
      </c>
      <c r="I1059">
        <v>100</v>
      </c>
      <c r="J1059">
        <v>1</v>
      </c>
      <c r="K1059" s="4">
        <v>944.13</v>
      </c>
      <c r="L1059" s="4">
        <f>0</f>
        <v>0</v>
      </c>
      <c r="M1059" s="4">
        <f>999</f>
        <v>999</v>
      </c>
      <c r="N1059" t="s">
        <v>19</v>
      </c>
      <c r="O1059" t="str">
        <f t="shared" si="160"/>
        <v>Low</v>
      </c>
      <c r="P1059" t="str">
        <f t="shared" si="161"/>
        <v>High</v>
      </c>
      <c r="Q1059" t="str">
        <f t="shared" si="162"/>
        <v>High</v>
      </c>
      <c r="R1059" t="s">
        <v>3317</v>
      </c>
      <c r="S1059" s="4">
        <f t="shared" ca="1" si="163"/>
        <v>1220</v>
      </c>
      <c r="T1059">
        <f t="shared" si="164"/>
        <v>1</v>
      </c>
      <c r="U1059">
        <f t="shared" si="165"/>
        <v>3</v>
      </c>
      <c r="V1059">
        <f t="shared" si="166"/>
        <v>3</v>
      </c>
      <c r="W1059">
        <f t="shared" si="167"/>
        <v>1</v>
      </c>
      <c r="X1059">
        <f t="shared" si="168"/>
        <v>2</v>
      </c>
      <c r="Y1059" t="str">
        <f t="shared" si="169"/>
        <v>Monitor</v>
      </c>
    </row>
    <row r="1060" spans="1:25" x14ac:dyDescent="0.35">
      <c r="A1060" t="s">
        <v>29</v>
      </c>
      <c r="B1060" t="s">
        <v>30</v>
      </c>
      <c r="C1060" t="s">
        <v>391</v>
      </c>
      <c r="D1060" t="s">
        <v>882</v>
      </c>
      <c r="E1060">
        <v>82330793</v>
      </c>
      <c r="F1060" t="s">
        <v>883</v>
      </c>
      <c r="G1060" s="3">
        <v>46114</v>
      </c>
      <c r="H1060">
        <v>36</v>
      </c>
      <c r="I1060">
        <v>0</v>
      </c>
      <c r="J1060">
        <v>24</v>
      </c>
      <c r="K1060" s="4">
        <v>7993.68</v>
      </c>
      <c r="L1060" s="4">
        <v>3.4285714285714284</v>
      </c>
      <c r="M1060" s="4">
        <v>7</v>
      </c>
      <c r="N1060" t="s">
        <v>19</v>
      </c>
      <c r="O1060" t="str">
        <f t="shared" si="160"/>
        <v>High</v>
      </c>
      <c r="P1060" t="str">
        <f t="shared" si="161"/>
        <v>Medium</v>
      </c>
      <c r="Q1060" t="str">
        <f t="shared" si="162"/>
        <v>High</v>
      </c>
      <c r="R1060" t="s">
        <v>3317</v>
      </c>
      <c r="S1060" s="4">
        <f t="shared" ca="1" si="163"/>
        <v>-83</v>
      </c>
      <c r="T1060">
        <f t="shared" si="164"/>
        <v>3</v>
      </c>
      <c r="U1060">
        <f t="shared" si="165"/>
        <v>2</v>
      </c>
      <c r="V1060">
        <f t="shared" si="166"/>
        <v>3</v>
      </c>
      <c r="W1060">
        <f t="shared" si="167"/>
        <v>1</v>
      </c>
      <c r="X1060">
        <f t="shared" si="168"/>
        <v>2.5000000000000004</v>
      </c>
      <c r="Y1060" t="str">
        <f t="shared" si="169"/>
        <v>High Priority</v>
      </c>
    </row>
    <row r="1061" spans="1:25" x14ac:dyDescent="0.35">
      <c r="A1061" t="s">
        <v>20</v>
      </c>
      <c r="B1061" t="s">
        <v>21</v>
      </c>
      <c r="C1061" t="s">
        <v>313</v>
      </c>
      <c r="D1061" t="s">
        <v>884</v>
      </c>
      <c r="E1061">
        <v>80706134</v>
      </c>
      <c r="F1061" t="s">
        <v>885</v>
      </c>
      <c r="G1061" s="3">
        <v>46153</v>
      </c>
      <c r="H1061">
        <v>36</v>
      </c>
      <c r="I1061">
        <v>0</v>
      </c>
      <c r="J1061">
        <v>71</v>
      </c>
      <c r="K1061" s="4">
        <v>4771.2</v>
      </c>
      <c r="L1061" s="4">
        <f>0</f>
        <v>0</v>
      </c>
      <c r="M1061" s="4">
        <f>999</f>
        <v>999</v>
      </c>
      <c r="N1061" t="s">
        <v>19</v>
      </c>
      <c r="O1061" t="str">
        <f t="shared" si="160"/>
        <v>High</v>
      </c>
      <c r="P1061" t="str">
        <f t="shared" si="161"/>
        <v>High</v>
      </c>
      <c r="Q1061" t="str">
        <f t="shared" si="162"/>
        <v>High</v>
      </c>
      <c r="R1061" t="s">
        <v>3317</v>
      </c>
      <c r="S1061" s="4">
        <f t="shared" ca="1" si="163"/>
        <v>-44</v>
      </c>
      <c r="T1061">
        <f t="shared" si="164"/>
        <v>3</v>
      </c>
      <c r="U1061">
        <f t="shared" si="165"/>
        <v>3</v>
      </c>
      <c r="V1061">
        <f t="shared" si="166"/>
        <v>3</v>
      </c>
      <c r="W1061">
        <f t="shared" si="167"/>
        <v>1</v>
      </c>
      <c r="X1061">
        <f t="shared" si="168"/>
        <v>2.8000000000000003</v>
      </c>
      <c r="Y1061" t="str">
        <f t="shared" si="169"/>
        <v>Move Immediately</v>
      </c>
    </row>
    <row r="1062" spans="1:25" x14ac:dyDescent="0.35">
      <c r="A1062" t="s">
        <v>20</v>
      </c>
      <c r="B1062" t="s">
        <v>21</v>
      </c>
      <c r="C1062" t="s">
        <v>313</v>
      </c>
      <c r="D1062" t="s">
        <v>884</v>
      </c>
      <c r="E1062">
        <v>80706134</v>
      </c>
      <c r="F1062" t="s">
        <v>885</v>
      </c>
      <c r="G1062" s="3">
        <v>47020</v>
      </c>
      <c r="H1062">
        <v>36</v>
      </c>
      <c r="I1062">
        <v>77</v>
      </c>
      <c r="J1062">
        <v>2</v>
      </c>
      <c r="K1062" s="4">
        <v>134.4</v>
      </c>
      <c r="L1062" s="4">
        <f>0</f>
        <v>0</v>
      </c>
      <c r="M1062" s="4">
        <f>999</f>
        <v>999</v>
      </c>
      <c r="N1062" t="s">
        <v>19</v>
      </c>
      <c r="O1062" t="str">
        <f t="shared" si="160"/>
        <v>Low</v>
      </c>
      <c r="P1062" t="str">
        <f t="shared" si="161"/>
        <v>High</v>
      </c>
      <c r="Q1062" t="str">
        <f t="shared" si="162"/>
        <v>High</v>
      </c>
      <c r="R1062" t="s">
        <v>3317</v>
      </c>
      <c r="S1062" s="4">
        <f t="shared" ca="1" si="163"/>
        <v>823</v>
      </c>
      <c r="T1062">
        <f t="shared" si="164"/>
        <v>1</v>
      </c>
      <c r="U1062">
        <f t="shared" si="165"/>
        <v>3</v>
      </c>
      <c r="V1062">
        <f t="shared" si="166"/>
        <v>3</v>
      </c>
      <c r="W1062">
        <f t="shared" si="167"/>
        <v>1</v>
      </c>
      <c r="X1062">
        <f t="shared" si="168"/>
        <v>2</v>
      </c>
      <c r="Y1062" t="str">
        <f t="shared" si="169"/>
        <v>Monitor</v>
      </c>
    </row>
    <row r="1063" spans="1:25" x14ac:dyDescent="0.35">
      <c r="A1063" t="s">
        <v>179</v>
      </c>
      <c r="B1063" t="s">
        <v>180</v>
      </c>
      <c r="C1063" t="s">
        <v>181</v>
      </c>
      <c r="D1063" t="s">
        <v>886</v>
      </c>
      <c r="E1063">
        <v>80789318</v>
      </c>
      <c r="F1063" t="s">
        <v>887</v>
      </c>
      <c r="G1063" s="3">
        <v>45907</v>
      </c>
      <c r="H1063">
        <v>16</v>
      </c>
      <c r="I1063">
        <v>0</v>
      </c>
      <c r="J1063">
        <v>6</v>
      </c>
      <c r="K1063" s="4">
        <v>4613.16</v>
      </c>
      <c r="L1063" s="4">
        <f>0</f>
        <v>0</v>
      </c>
      <c r="M1063" s="4">
        <f>999</f>
        <v>999</v>
      </c>
      <c r="N1063" t="s">
        <v>19</v>
      </c>
      <c r="O1063" t="str">
        <f t="shared" si="160"/>
        <v>High</v>
      </c>
      <c r="P1063" t="str">
        <f t="shared" si="161"/>
        <v>High</v>
      </c>
      <c r="Q1063" t="str">
        <f t="shared" si="162"/>
        <v>High</v>
      </c>
      <c r="R1063" t="s">
        <v>3317</v>
      </c>
      <c r="S1063" s="4">
        <f t="shared" ca="1" si="163"/>
        <v>-290</v>
      </c>
      <c r="T1063">
        <f t="shared" si="164"/>
        <v>3</v>
      </c>
      <c r="U1063">
        <f t="shared" si="165"/>
        <v>3</v>
      </c>
      <c r="V1063">
        <f t="shared" si="166"/>
        <v>3</v>
      </c>
      <c r="W1063">
        <f t="shared" si="167"/>
        <v>1</v>
      </c>
      <c r="X1063">
        <f t="shared" si="168"/>
        <v>2.8000000000000003</v>
      </c>
      <c r="Y1063" t="str">
        <f t="shared" si="169"/>
        <v>Move Immediately</v>
      </c>
    </row>
    <row r="1064" spans="1:25" x14ac:dyDescent="0.35">
      <c r="A1064" t="s">
        <v>179</v>
      </c>
      <c r="B1064" t="s">
        <v>180</v>
      </c>
      <c r="C1064" t="s">
        <v>181</v>
      </c>
      <c r="D1064" t="s">
        <v>886</v>
      </c>
      <c r="E1064">
        <v>80789318</v>
      </c>
      <c r="F1064" t="s">
        <v>887</v>
      </c>
      <c r="G1064" s="3">
        <v>45893</v>
      </c>
      <c r="H1064">
        <v>16</v>
      </c>
      <c r="I1064">
        <v>0</v>
      </c>
      <c r="J1064">
        <v>3</v>
      </c>
      <c r="K1064" s="4">
        <v>2306.58</v>
      </c>
      <c r="L1064" s="4">
        <f>0</f>
        <v>0</v>
      </c>
      <c r="M1064" s="4">
        <f>999</f>
        <v>999</v>
      </c>
      <c r="N1064" t="s">
        <v>19</v>
      </c>
      <c r="O1064" t="str">
        <f t="shared" si="160"/>
        <v>High</v>
      </c>
      <c r="P1064" t="str">
        <f t="shared" si="161"/>
        <v>High</v>
      </c>
      <c r="Q1064" t="str">
        <f t="shared" si="162"/>
        <v>High</v>
      </c>
      <c r="R1064" t="s">
        <v>3317</v>
      </c>
      <c r="S1064" s="4">
        <f t="shared" ca="1" si="163"/>
        <v>-304</v>
      </c>
      <c r="T1064">
        <f t="shared" si="164"/>
        <v>3</v>
      </c>
      <c r="U1064">
        <f t="shared" si="165"/>
        <v>3</v>
      </c>
      <c r="V1064">
        <f t="shared" si="166"/>
        <v>3</v>
      </c>
      <c r="W1064">
        <f t="shared" si="167"/>
        <v>1</v>
      </c>
      <c r="X1064">
        <f t="shared" si="168"/>
        <v>2.8000000000000003</v>
      </c>
      <c r="Y1064" t="str">
        <f t="shared" si="169"/>
        <v>Move Immediately</v>
      </c>
    </row>
    <row r="1065" spans="1:25" x14ac:dyDescent="0.35">
      <c r="A1065" t="s">
        <v>41</v>
      </c>
      <c r="B1065" t="s">
        <v>42</v>
      </c>
      <c r="C1065" t="s">
        <v>43</v>
      </c>
      <c r="D1065" t="s">
        <v>888</v>
      </c>
      <c r="E1065">
        <v>80789078</v>
      </c>
      <c r="F1065" t="s">
        <v>889</v>
      </c>
      <c r="G1065" s="3">
        <v>46619</v>
      </c>
      <c r="H1065">
        <v>36</v>
      </c>
      <c r="I1065">
        <v>40</v>
      </c>
      <c r="J1065">
        <v>13</v>
      </c>
      <c r="K1065" s="4">
        <v>3619.07</v>
      </c>
      <c r="L1065" s="4">
        <v>14.142857142857142</v>
      </c>
      <c r="M1065" s="4">
        <v>0.91919191919191923</v>
      </c>
      <c r="N1065" t="s">
        <v>25</v>
      </c>
      <c r="O1065" t="str">
        <f t="shared" si="160"/>
        <v>Low</v>
      </c>
      <c r="P1065" t="str">
        <f t="shared" si="161"/>
        <v>Low</v>
      </c>
      <c r="Q1065" t="str">
        <f t="shared" si="162"/>
        <v>Medium</v>
      </c>
      <c r="R1065" t="s">
        <v>3317</v>
      </c>
      <c r="S1065" s="4">
        <f t="shared" ca="1" si="163"/>
        <v>422</v>
      </c>
      <c r="T1065">
        <f t="shared" si="164"/>
        <v>1</v>
      </c>
      <c r="U1065">
        <f t="shared" si="165"/>
        <v>1</v>
      </c>
      <c r="V1065">
        <f t="shared" si="166"/>
        <v>2</v>
      </c>
      <c r="W1065">
        <f t="shared" si="167"/>
        <v>1</v>
      </c>
      <c r="X1065">
        <f t="shared" si="168"/>
        <v>1.2000000000000002</v>
      </c>
      <c r="Y1065" t="str">
        <f t="shared" si="169"/>
        <v>Healthy</v>
      </c>
    </row>
    <row r="1066" spans="1:25" x14ac:dyDescent="0.35">
      <c r="A1066" t="s">
        <v>71</v>
      </c>
      <c r="B1066" t="s">
        <v>72</v>
      </c>
      <c r="C1066" t="s">
        <v>687</v>
      </c>
      <c r="D1066" t="s">
        <v>890</v>
      </c>
      <c r="E1066">
        <v>80712496</v>
      </c>
      <c r="F1066" t="s">
        <v>891</v>
      </c>
      <c r="G1066" s="3">
        <v>46618</v>
      </c>
      <c r="H1066">
        <v>36</v>
      </c>
      <c r="I1066">
        <v>39</v>
      </c>
      <c r="J1066">
        <v>11</v>
      </c>
      <c r="K1066" s="4">
        <v>3002.67</v>
      </c>
      <c r="L1066" s="4">
        <f>0</f>
        <v>0</v>
      </c>
      <c r="M1066" s="4">
        <f>999</f>
        <v>999</v>
      </c>
      <c r="N1066" t="s">
        <v>19</v>
      </c>
      <c r="O1066" t="str">
        <f t="shared" si="160"/>
        <v>Medium</v>
      </c>
      <c r="P1066" t="str">
        <f t="shared" si="161"/>
        <v>High</v>
      </c>
      <c r="Q1066" t="str">
        <f t="shared" si="162"/>
        <v>High</v>
      </c>
      <c r="R1066" t="s">
        <v>3317</v>
      </c>
      <c r="S1066" s="4">
        <f t="shared" ca="1" si="163"/>
        <v>421</v>
      </c>
      <c r="T1066">
        <f t="shared" si="164"/>
        <v>2</v>
      </c>
      <c r="U1066">
        <f t="shared" si="165"/>
        <v>3</v>
      </c>
      <c r="V1066">
        <f t="shared" si="166"/>
        <v>3</v>
      </c>
      <c r="W1066">
        <f t="shared" si="167"/>
        <v>1</v>
      </c>
      <c r="X1066">
        <f t="shared" si="168"/>
        <v>2.4</v>
      </c>
      <c r="Y1066" t="str">
        <f t="shared" si="169"/>
        <v>High Priority</v>
      </c>
    </row>
    <row r="1067" spans="1:25" x14ac:dyDescent="0.35">
      <c r="A1067" t="s">
        <v>71</v>
      </c>
      <c r="B1067" t="s">
        <v>72</v>
      </c>
      <c r="C1067" t="s">
        <v>687</v>
      </c>
      <c r="D1067" t="s">
        <v>890</v>
      </c>
      <c r="E1067">
        <v>80712496</v>
      </c>
      <c r="F1067" t="s">
        <v>891</v>
      </c>
      <c r="G1067" s="3">
        <v>46562</v>
      </c>
      <c r="H1067">
        <v>36</v>
      </c>
      <c r="I1067">
        <v>34</v>
      </c>
      <c r="J1067">
        <v>13</v>
      </c>
      <c r="K1067" s="4">
        <v>3548.61</v>
      </c>
      <c r="L1067" s="4">
        <f>0</f>
        <v>0</v>
      </c>
      <c r="M1067" s="4">
        <f>999</f>
        <v>999</v>
      </c>
      <c r="N1067" t="s">
        <v>19</v>
      </c>
      <c r="O1067" t="str">
        <f t="shared" si="160"/>
        <v>Medium</v>
      </c>
      <c r="P1067" t="str">
        <f t="shared" si="161"/>
        <v>High</v>
      </c>
      <c r="Q1067" t="str">
        <f t="shared" si="162"/>
        <v>High</v>
      </c>
      <c r="R1067" t="s">
        <v>3317</v>
      </c>
      <c r="S1067" s="4">
        <f t="shared" ca="1" si="163"/>
        <v>365</v>
      </c>
      <c r="T1067">
        <f t="shared" si="164"/>
        <v>2</v>
      </c>
      <c r="U1067">
        <f t="shared" si="165"/>
        <v>3</v>
      </c>
      <c r="V1067">
        <f t="shared" si="166"/>
        <v>3</v>
      </c>
      <c r="W1067">
        <f t="shared" si="167"/>
        <v>1</v>
      </c>
      <c r="X1067">
        <f t="shared" si="168"/>
        <v>2.4</v>
      </c>
      <c r="Y1067" t="str">
        <f t="shared" si="169"/>
        <v>High Priority</v>
      </c>
    </row>
    <row r="1068" spans="1:25" x14ac:dyDescent="0.35">
      <c r="A1068" t="s">
        <v>99</v>
      </c>
      <c r="B1068" t="s">
        <v>100</v>
      </c>
      <c r="C1068" t="s">
        <v>101</v>
      </c>
      <c r="D1068" t="s">
        <v>892</v>
      </c>
      <c r="E1068">
        <v>80714417</v>
      </c>
      <c r="F1068" t="s">
        <v>893</v>
      </c>
      <c r="G1068" s="3">
        <v>45398</v>
      </c>
      <c r="H1068">
        <v>18</v>
      </c>
      <c r="I1068">
        <v>0</v>
      </c>
      <c r="J1068">
        <v>33</v>
      </c>
      <c r="K1068" s="4">
        <v>6859.05</v>
      </c>
      <c r="L1068" s="4">
        <f>0</f>
        <v>0</v>
      </c>
      <c r="M1068" s="4">
        <f>999</f>
        <v>999</v>
      </c>
      <c r="N1068" t="s">
        <v>19</v>
      </c>
      <c r="O1068" t="str">
        <f t="shared" si="160"/>
        <v>High</v>
      </c>
      <c r="P1068" t="str">
        <f t="shared" si="161"/>
        <v>High</v>
      </c>
      <c r="Q1068" t="str">
        <f t="shared" si="162"/>
        <v>High</v>
      </c>
      <c r="R1068" t="s">
        <v>3317</v>
      </c>
      <c r="S1068" s="4">
        <f t="shared" ca="1" si="163"/>
        <v>-799</v>
      </c>
      <c r="T1068">
        <f t="shared" si="164"/>
        <v>3</v>
      </c>
      <c r="U1068">
        <f t="shared" si="165"/>
        <v>3</v>
      </c>
      <c r="V1068">
        <f t="shared" si="166"/>
        <v>3</v>
      </c>
      <c r="W1068">
        <f t="shared" si="167"/>
        <v>1</v>
      </c>
      <c r="X1068">
        <f t="shared" si="168"/>
        <v>2.8000000000000003</v>
      </c>
      <c r="Y1068" t="str">
        <f t="shared" si="169"/>
        <v>Move Immediately</v>
      </c>
    </row>
    <row r="1069" spans="1:25" x14ac:dyDescent="0.35">
      <c r="A1069" t="s">
        <v>14</v>
      </c>
      <c r="B1069" t="s">
        <v>251</v>
      </c>
      <c r="C1069" t="s">
        <v>252</v>
      </c>
      <c r="D1069" t="s">
        <v>894</v>
      </c>
      <c r="E1069">
        <v>80772059</v>
      </c>
      <c r="F1069" t="s">
        <v>895</v>
      </c>
      <c r="G1069" s="3">
        <v>47883</v>
      </c>
      <c r="H1069">
        <v>60</v>
      </c>
      <c r="I1069">
        <v>94</v>
      </c>
      <c r="J1069">
        <v>36</v>
      </c>
      <c r="K1069" s="4">
        <v>30825.360000000001</v>
      </c>
      <c r="L1069" s="4">
        <v>76</v>
      </c>
      <c r="M1069" s="4">
        <v>0.47368421052631576</v>
      </c>
      <c r="N1069" t="s">
        <v>25</v>
      </c>
      <c r="O1069" t="str">
        <f t="shared" si="160"/>
        <v>Low</v>
      </c>
      <c r="P1069" t="str">
        <f t="shared" si="161"/>
        <v>Low</v>
      </c>
      <c r="Q1069" t="str">
        <f t="shared" si="162"/>
        <v>Low</v>
      </c>
      <c r="R1069" t="s">
        <v>3317</v>
      </c>
      <c r="S1069" s="4">
        <f t="shared" ca="1" si="163"/>
        <v>1686</v>
      </c>
      <c r="T1069">
        <f t="shared" si="164"/>
        <v>1</v>
      </c>
      <c r="U1069">
        <f t="shared" si="165"/>
        <v>1</v>
      </c>
      <c r="V1069">
        <f t="shared" si="166"/>
        <v>1</v>
      </c>
      <c r="W1069">
        <f t="shared" si="167"/>
        <v>1</v>
      </c>
      <c r="X1069">
        <f t="shared" si="168"/>
        <v>0.99999999999999989</v>
      </c>
      <c r="Y1069" t="str">
        <f t="shared" si="169"/>
        <v>Healthy</v>
      </c>
    </row>
    <row r="1070" spans="1:25" x14ac:dyDescent="0.35">
      <c r="A1070" t="s">
        <v>14</v>
      </c>
      <c r="B1070" t="s">
        <v>251</v>
      </c>
      <c r="C1070" t="s">
        <v>252</v>
      </c>
      <c r="D1070" t="s">
        <v>894</v>
      </c>
      <c r="E1070">
        <v>80772059</v>
      </c>
      <c r="F1070" t="s">
        <v>895</v>
      </c>
      <c r="G1070" s="3">
        <v>47279</v>
      </c>
      <c r="H1070">
        <v>60</v>
      </c>
      <c r="I1070">
        <v>60</v>
      </c>
      <c r="J1070">
        <v>7</v>
      </c>
      <c r="K1070" s="4">
        <v>5993.82</v>
      </c>
      <c r="L1070" s="4">
        <v>76</v>
      </c>
      <c r="M1070" s="4">
        <v>9.2105263157894732E-2</v>
      </c>
      <c r="N1070" t="s">
        <v>25</v>
      </c>
      <c r="O1070" t="str">
        <f t="shared" si="160"/>
        <v>Low</v>
      </c>
      <c r="P1070" t="str">
        <f t="shared" si="161"/>
        <v>Low</v>
      </c>
      <c r="Q1070" t="str">
        <f t="shared" si="162"/>
        <v>Low</v>
      </c>
      <c r="R1070" t="s">
        <v>3317</v>
      </c>
      <c r="S1070" s="4">
        <f t="shared" ca="1" si="163"/>
        <v>1082</v>
      </c>
      <c r="T1070">
        <f t="shared" si="164"/>
        <v>1</v>
      </c>
      <c r="U1070">
        <f t="shared" si="165"/>
        <v>1</v>
      </c>
      <c r="V1070">
        <f t="shared" si="166"/>
        <v>1</v>
      </c>
      <c r="W1070">
        <f t="shared" si="167"/>
        <v>1</v>
      </c>
      <c r="X1070">
        <f t="shared" si="168"/>
        <v>0.99999999999999989</v>
      </c>
      <c r="Y1070" t="str">
        <f t="shared" si="169"/>
        <v>Healthy</v>
      </c>
    </row>
    <row r="1071" spans="1:25" x14ac:dyDescent="0.35">
      <c r="A1071" t="s">
        <v>179</v>
      </c>
      <c r="B1071" t="s">
        <v>195</v>
      </c>
      <c r="C1071" t="s">
        <v>199</v>
      </c>
      <c r="D1071" t="s">
        <v>896</v>
      </c>
      <c r="E1071">
        <v>80784898</v>
      </c>
      <c r="F1071" t="s">
        <v>897</v>
      </c>
      <c r="G1071" s="3">
        <v>46163</v>
      </c>
      <c r="H1071">
        <v>16</v>
      </c>
      <c r="I1071">
        <v>0</v>
      </c>
      <c r="J1071">
        <v>4</v>
      </c>
      <c r="K1071" s="4">
        <v>4888.72</v>
      </c>
      <c r="L1071" s="4">
        <v>0.8571428571428571</v>
      </c>
      <c r="M1071" s="4">
        <v>4.666666666666667</v>
      </c>
      <c r="N1071" t="s">
        <v>25</v>
      </c>
      <c r="O1071" t="str">
        <f t="shared" si="160"/>
        <v>High</v>
      </c>
      <c r="P1071" t="str">
        <f t="shared" si="161"/>
        <v>Medium</v>
      </c>
      <c r="Q1071" t="str">
        <f t="shared" si="162"/>
        <v>High</v>
      </c>
      <c r="R1071" t="s">
        <v>3317</v>
      </c>
      <c r="S1071" s="4">
        <f t="shared" ca="1" si="163"/>
        <v>-34</v>
      </c>
      <c r="T1071">
        <f t="shared" si="164"/>
        <v>3</v>
      </c>
      <c r="U1071">
        <f t="shared" si="165"/>
        <v>2</v>
      </c>
      <c r="V1071">
        <f t="shared" si="166"/>
        <v>3</v>
      </c>
      <c r="W1071">
        <f t="shared" si="167"/>
        <v>1</v>
      </c>
      <c r="X1071">
        <f t="shared" si="168"/>
        <v>2.5000000000000004</v>
      </c>
      <c r="Y1071" t="str">
        <f t="shared" si="169"/>
        <v>High Priority</v>
      </c>
    </row>
    <row r="1072" spans="1:25" x14ac:dyDescent="0.35">
      <c r="A1072" t="s">
        <v>41</v>
      </c>
      <c r="B1072" t="s">
        <v>80</v>
      </c>
      <c r="C1072" t="s">
        <v>502</v>
      </c>
      <c r="D1072" t="s">
        <v>523</v>
      </c>
      <c r="E1072">
        <v>80792060</v>
      </c>
      <c r="F1072" t="s">
        <v>898</v>
      </c>
      <c r="G1072" s="3">
        <v>46554</v>
      </c>
      <c r="H1072">
        <v>36</v>
      </c>
      <c r="I1072">
        <v>34</v>
      </c>
      <c r="J1072">
        <v>2</v>
      </c>
      <c r="K1072" s="4">
        <v>543.98</v>
      </c>
      <c r="L1072" s="4">
        <f>0</f>
        <v>0</v>
      </c>
      <c r="M1072" s="4">
        <f>999</f>
        <v>999</v>
      </c>
      <c r="N1072" t="s">
        <v>19</v>
      </c>
      <c r="O1072" t="str">
        <f t="shared" si="160"/>
        <v>Medium</v>
      </c>
      <c r="P1072" t="str">
        <f t="shared" si="161"/>
        <v>High</v>
      </c>
      <c r="Q1072" t="str">
        <f t="shared" si="162"/>
        <v>High</v>
      </c>
      <c r="R1072" t="s">
        <v>3317</v>
      </c>
      <c r="S1072" s="4">
        <f t="shared" ca="1" si="163"/>
        <v>357</v>
      </c>
      <c r="T1072">
        <f t="shared" si="164"/>
        <v>2</v>
      </c>
      <c r="U1072">
        <f t="shared" si="165"/>
        <v>3</v>
      </c>
      <c r="V1072">
        <f t="shared" si="166"/>
        <v>3</v>
      </c>
      <c r="W1072">
        <f t="shared" si="167"/>
        <v>1</v>
      </c>
      <c r="X1072">
        <f t="shared" si="168"/>
        <v>2.4</v>
      </c>
      <c r="Y1072" t="str">
        <f t="shared" si="169"/>
        <v>High Priority</v>
      </c>
    </row>
    <row r="1073" spans="1:25" x14ac:dyDescent="0.35">
      <c r="A1073" t="s">
        <v>210</v>
      </c>
      <c r="B1073" t="s">
        <v>211</v>
      </c>
      <c r="C1073" t="s">
        <v>212</v>
      </c>
      <c r="D1073" t="s">
        <v>899</v>
      </c>
      <c r="E1073">
        <v>80784066</v>
      </c>
      <c r="F1073" t="s">
        <v>900</v>
      </c>
      <c r="G1073" s="3">
        <v>46161</v>
      </c>
      <c r="H1073">
        <v>24</v>
      </c>
      <c r="I1073">
        <v>0</v>
      </c>
      <c r="J1073">
        <v>1</v>
      </c>
      <c r="K1073" s="4">
        <v>315.77999999999997</v>
      </c>
      <c r="L1073" s="4">
        <v>5.1428571428571432</v>
      </c>
      <c r="M1073" s="4">
        <v>0.19444444444444442</v>
      </c>
      <c r="N1073" t="s">
        <v>25</v>
      </c>
      <c r="O1073" t="str">
        <f t="shared" si="160"/>
        <v>High</v>
      </c>
      <c r="P1073" t="str">
        <f t="shared" si="161"/>
        <v>Low</v>
      </c>
      <c r="Q1073" t="str">
        <f t="shared" si="162"/>
        <v>Medium</v>
      </c>
      <c r="R1073" t="s">
        <v>3317</v>
      </c>
      <c r="S1073" s="4">
        <f t="shared" ca="1" si="163"/>
        <v>-36</v>
      </c>
      <c r="T1073">
        <f t="shared" si="164"/>
        <v>3</v>
      </c>
      <c r="U1073">
        <f t="shared" si="165"/>
        <v>1</v>
      </c>
      <c r="V1073">
        <f t="shared" si="166"/>
        <v>2</v>
      </c>
      <c r="W1073">
        <f t="shared" si="167"/>
        <v>1</v>
      </c>
      <c r="X1073">
        <f t="shared" si="168"/>
        <v>2.0000000000000004</v>
      </c>
      <c r="Y1073" t="str">
        <f t="shared" si="169"/>
        <v>Monitor</v>
      </c>
    </row>
    <row r="1074" spans="1:25" x14ac:dyDescent="0.35">
      <c r="A1074" t="s">
        <v>210</v>
      </c>
      <c r="B1074" t="s">
        <v>211</v>
      </c>
      <c r="C1074" t="s">
        <v>212</v>
      </c>
      <c r="D1074" t="s">
        <v>899</v>
      </c>
      <c r="E1074">
        <v>80784066</v>
      </c>
      <c r="F1074" t="s">
        <v>900</v>
      </c>
      <c r="G1074" s="3">
        <v>48507</v>
      </c>
      <c r="H1074">
        <v>24</v>
      </c>
      <c r="I1074">
        <v>100</v>
      </c>
      <c r="J1074">
        <v>5</v>
      </c>
      <c r="K1074" s="4">
        <v>1578.9</v>
      </c>
      <c r="L1074" s="4">
        <v>5.1428571428571432</v>
      </c>
      <c r="M1074" s="4">
        <v>0.9722222222222221</v>
      </c>
      <c r="N1074" t="s">
        <v>25</v>
      </c>
      <c r="O1074" t="str">
        <f t="shared" si="160"/>
        <v>Low</v>
      </c>
      <c r="P1074" t="str">
        <f t="shared" si="161"/>
        <v>Low</v>
      </c>
      <c r="Q1074" t="str">
        <f t="shared" si="162"/>
        <v>Medium</v>
      </c>
      <c r="R1074" t="s">
        <v>3317</v>
      </c>
      <c r="S1074" s="4">
        <f t="shared" ca="1" si="163"/>
        <v>2310</v>
      </c>
      <c r="T1074">
        <f t="shared" si="164"/>
        <v>1</v>
      </c>
      <c r="U1074">
        <f t="shared" si="165"/>
        <v>1</v>
      </c>
      <c r="V1074">
        <f t="shared" si="166"/>
        <v>2</v>
      </c>
      <c r="W1074">
        <f t="shared" si="167"/>
        <v>1</v>
      </c>
      <c r="X1074">
        <f t="shared" si="168"/>
        <v>1.2000000000000002</v>
      </c>
      <c r="Y1074" t="str">
        <f t="shared" si="169"/>
        <v>Healthy</v>
      </c>
    </row>
    <row r="1075" spans="1:25" x14ac:dyDescent="0.35">
      <c r="A1075" t="s">
        <v>210</v>
      </c>
      <c r="B1075" t="s">
        <v>211</v>
      </c>
      <c r="C1075" t="s">
        <v>212</v>
      </c>
      <c r="D1075" t="s">
        <v>899</v>
      </c>
      <c r="E1075">
        <v>80784066</v>
      </c>
      <c r="F1075" t="s">
        <v>900</v>
      </c>
      <c r="G1075" s="3">
        <v>46837</v>
      </c>
      <c r="H1075">
        <v>24</v>
      </c>
      <c r="I1075">
        <v>90</v>
      </c>
      <c r="J1075">
        <v>2</v>
      </c>
      <c r="K1075" s="4">
        <v>631.55999999999995</v>
      </c>
      <c r="L1075" s="4">
        <v>5.1428571428571432</v>
      </c>
      <c r="M1075" s="4">
        <v>0.38888888888888884</v>
      </c>
      <c r="N1075" t="s">
        <v>25</v>
      </c>
      <c r="O1075" t="str">
        <f t="shared" si="160"/>
        <v>Low</v>
      </c>
      <c r="P1075" t="str">
        <f t="shared" si="161"/>
        <v>Low</v>
      </c>
      <c r="Q1075" t="str">
        <f t="shared" si="162"/>
        <v>Medium</v>
      </c>
      <c r="R1075" t="s">
        <v>3317</v>
      </c>
      <c r="S1075" s="4">
        <f t="shared" ca="1" si="163"/>
        <v>640</v>
      </c>
      <c r="T1075">
        <f t="shared" si="164"/>
        <v>1</v>
      </c>
      <c r="U1075">
        <f t="shared" si="165"/>
        <v>1</v>
      </c>
      <c r="V1075">
        <f t="shared" si="166"/>
        <v>2</v>
      </c>
      <c r="W1075">
        <f t="shared" si="167"/>
        <v>1</v>
      </c>
      <c r="X1075">
        <f t="shared" si="168"/>
        <v>1.2000000000000002</v>
      </c>
      <c r="Y1075" t="str">
        <f t="shared" si="169"/>
        <v>Healthy</v>
      </c>
    </row>
    <row r="1076" spans="1:25" x14ac:dyDescent="0.35">
      <c r="A1076" t="s">
        <v>29</v>
      </c>
      <c r="B1076" t="s">
        <v>30</v>
      </c>
      <c r="C1076" t="s">
        <v>276</v>
      </c>
      <c r="D1076" t="s">
        <v>647</v>
      </c>
      <c r="E1076">
        <v>80768041</v>
      </c>
      <c r="F1076" t="s">
        <v>901</v>
      </c>
      <c r="G1076" s="3">
        <v>46768</v>
      </c>
      <c r="H1076">
        <v>36</v>
      </c>
      <c r="I1076">
        <v>53</v>
      </c>
      <c r="J1076">
        <v>5</v>
      </c>
      <c r="K1076" s="4">
        <v>8795.7000000000007</v>
      </c>
      <c r="L1076" s="4">
        <f>0</f>
        <v>0</v>
      </c>
      <c r="M1076" s="4">
        <f>999</f>
        <v>999</v>
      </c>
      <c r="N1076" t="s">
        <v>19</v>
      </c>
      <c r="O1076" t="str">
        <f t="shared" si="160"/>
        <v>Low</v>
      </c>
      <c r="P1076" t="str">
        <f t="shared" si="161"/>
        <v>High</v>
      </c>
      <c r="Q1076" t="str">
        <f t="shared" si="162"/>
        <v>High</v>
      </c>
      <c r="R1076" t="s">
        <v>3317</v>
      </c>
      <c r="S1076" s="4">
        <f t="shared" ca="1" si="163"/>
        <v>571</v>
      </c>
      <c r="T1076">
        <f t="shared" si="164"/>
        <v>1</v>
      </c>
      <c r="U1076">
        <f t="shared" si="165"/>
        <v>3</v>
      </c>
      <c r="V1076">
        <f t="shared" si="166"/>
        <v>3</v>
      </c>
      <c r="W1076">
        <f t="shared" si="167"/>
        <v>1</v>
      </c>
      <c r="X1076">
        <f t="shared" si="168"/>
        <v>2</v>
      </c>
      <c r="Y1076" t="str">
        <f t="shared" si="169"/>
        <v>Monitor</v>
      </c>
    </row>
    <row r="1077" spans="1:25" x14ac:dyDescent="0.35">
      <c r="A1077" t="s">
        <v>179</v>
      </c>
      <c r="B1077" t="s">
        <v>223</v>
      </c>
      <c r="C1077" t="s">
        <v>408</v>
      </c>
      <c r="D1077" t="s">
        <v>409</v>
      </c>
      <c r="E1077">
        <v>80804710</v>
      </c>
      <c r="F1077" t="s">
        <v>902</v>
      </c>
      <c r="G1077" s="3">
        <v>45768</v>
      </c>
      <c r="H1077">
        <v>18</v>
      </c>
      <c r="I1077">
        <v>0</v>
      </c>
      <c r="J1077">
        <v>36</v>
      </c>
      <c r="K1077" s="4">
        <v>5919.84</v>
      </c>
      <c r="L1077" s="4">
        <f>0</f>
        <v>0</v>
      </c>
      <c r="M1077" s="4">
        <f>999</f>
        <v>999</v>
      </c>
      <c r="N1077" t="s">
        <v>19</v>
      </c>
      <c r="O1077" t="str">
        <f t="shared" si="160"/>
        <v>High</v>
      </c>
      <c r="P1077" t="str">
        <f t="shared" si="161"/>
        <v>High</v>
      </c>
      <c r="Q1077" t="str">
        <f t="shared" si="162"/>
        <v>High</v>
      </c>
      <c r="R1077" t="s">
        <v>3317</v>
      </c>
      <c r="S1077" s="4">
        <f t="shared" ca="1" si="163"/>
        <v>-429</v>
      </c>
      <c r="T1077">
        <f t="shared" si="164"/>
        <v>3</v>
      </c>
      <c r="U1077">
        <f t="shared" si="165"/>
        <v>3</v>
      </c>
      <c r="V1077">
        <f t="shared" si="166"/>
        <v>3</v>
      </c>
      <c r="W1077">
        <f t="shared" si="167"/>
        <v>1</v>
      </c>
      <c r="X1077">
        <f t="shared" si="168"/>
        <v>2.8000000000000003</v>
      </c>
      <c r="Y1077" t="str">
        <f t="shared" si="169"/>
        <v>Move Immediately</v>
      </c>
    </row>
    <row r="1078" spans="1:25" x14ac:dyDescent="0.35">
      <c r="A1078" t="s">
        <v>41</v>
      </c>
      <c r="B1078" t="s">
        <v>54</v>
      </c>
      <c r="C1078" t="s">
        <v>87</v>
      </c>
      <c r="D1078" t="s">
        <v>494</v>
      </c>
      <c r="E1078">
        <v>80791900</v>
      </c>
      <c r="F1078" t="s">
        <v>903</v>
      </c>
      <c r="G1078" s="3">
        <v>46568</v>
      </c>
      <c r="H1078">
        <v>36</v>
      </c>
      <c r="I1078">
        <v>35</v>
      </c>
      <c r="J1078">
        <v>4</v>
      </c>
      <c r="K1078" s="4">
        <v>1598.8</v>
      </c>
      <c r="L1078" s="4">
        <f>0</f>
        <v>0</v>
      </c>
      <c r="M1078" s="4">
        <f>999</f>
        <v>999</v>
      </c>
      <c r="N1078" t="s">
        <v>19</v>
      </c>
      <c r="O1078" t="str">
        <f t="shared" si="160"/>
        <v>Medium</v>
      </c>
      <c r="P1078" t="str">
        <f t="shared" si="161"/>
        <v>High</v>
      </c>
      <c r="Q1078" t="str">
        <f t="shared" si="162"/>
        <v>High</v>
      </c>
      <c r="R1078" t="s">
        <v>3317</v>
      </c>
      <c r="S1078" s="4">
        <f t="shared" ca="1" si="163"/>
        <v>371</v>
      </c>
      <c r="T1078">
        <f t="shared" si="164"/>
        <v>2</v>
      </c>
      <c r="U1078">
        <f t="shared" si="165"/>
        <v>3</v>
      </c>
      <c r="V1078">
        <f t="shared" si="166"/>
        <v>3</v>
      </c>
      <c r="W1078">
        <f t="shared" si="167"/>
        <v>1</v>
      </c>
      <c r="X1078">
        <f t="shared" si="168"/>
        <v>2.4</v>
      </c>
      <c r="Y1078" t="str">
        <f t="shared" si="169"/>
        <v>High Priority</v>
      </c>
    </row>
    <row r="1079" spans="1:25" x14ac:dyDescent="0.35">
      <c r="A1079" t="s">
        <v>41</v>
      </c>
      <c r="B1079" t="s">
        <v>54</v>
      </c>
      <c r="C1079" t="s">
        <v>87</v>
      </c>
      <c r="D1079" t="s">
        <v>494</v>
      </c>
      <c r="E1079">
        <v>80791900</v>
      </c>
      <c r="F1079" t="s">
        <v>903</v>
      </c>
      <c r="G1079" s="3">
        <v>46532</v>
      </c>
      <c r="H1079">
        <v>36</v>
      </c>
      <c r="I1079">
        <v>31</v>
      </c>
      <c r="J1079">
        <v>1</v>
      </c>
      <c r="K1079" s="4">
        <v>399.7</v>
      </c>
      <c r="L1079" s="4">
        <f>0</f>
        <v>0</v>
      </c>
      <c r="M1079" s="4">
        <f>999</f>
        <v>999</v>
      </c>
      <c r="N1079" t="s">
        <v>19</v>
      </c>
      <c r="O1079" t="str">
        <f t="shared" si="160"/>
        <v>Medium</v>
      </c>
      <c r="P1079" t="str">
        <f t="shared" si="161"/>
        <v>High</v>
      </c>
      <c r="Q1079" t="str">
        <f t="shared" si="162"/>
        <v>High</v>
      </c>
      <c r="R1079" t="s">
        <v>3317</v>
      </c>
      <c r="S1079" s="4">
        <f t="shared" ca="1" si="163"/>
        <v>335</v>
      </c>
      <c r="T1079">
        <f t="shared" si="164"/>
        <v>2</v>
      </c>
      <c r="U1079">
        <f t="shared" si="165"/>
        <v>3</v>
      </c>
      <c r="V1079">
        <f t="shared" si="166"/>
        <v>3</v>
      </c>
      <c r="W1079">
        <f t="shared" si="167"/>
        <v>1</v>
      </c>
      <c r="X1079">
        <f t="shared" si="168"/>
        <v>2.4</v>
      </c>
      <c r="Y1079" t="str">
        <f t="shared" si="169"/>
        <v>High Priority</v>
      </c>
    </row>
    <row r="1080" spans="1:25" x14ac:dyDescent="0.35">
      <c r="A1080" t="s">
        <v>14</v>
      </c>
      <c r="B1080" t="s">
        <v>115</v>
      </c>
      <c r="C1080" t="s">
        <v>904</v>
      </c>
      <c r="D1080" t="s">
        <v>905</v>
      </c>
      <c r="E1080">
        <v>80799270</v>
      </c>
      <c r="F1080" t="s">
        <v>906</v>
      </c>
      <c r="G1080" s="3">
        <v>47779</v>
      </c>
      <c r="H1080">
        <v>60</v>
      </c>
      <c r="I1080">
        <v>88</v>
      </c>
      <c r="J1080">
        <v>1</v>
      </c>
      <c r="K1080" s="4">
        <v>111.43</v>
      </c>
      <c r="L1080" s="4">
        <v>1281.7142857142858</v>
      </c>
      <c r="M1080" s="4">
        <v>7.8020508247882299E-4</v>
      </c>
      <c r="N1080" t="s">
        <v>25</v>
      </c>
      <c r="O1080" t="str">
        <f t="shared" si="160"/>
        <v>Low</v>
      </c>
      <c r="P1080" t="str">
        <f t="shared" si="161"/>
        <v>Low</v>
      </c>
      <c r="Q1080" t="str">
        <f t="shared" si="162"/>
        <v>Low</v>
      </c>
      <c r="R1080" t="s">
        <v>3317</v>
      </c>
      <c r="S1080" s="4">
        <f t="shared" ca="1" si="163"/>
        <v>1582</v>
      </c>
      <c r="T1080">
        <f t="shared" si="164"/>
        <v>1</v>
      </c>
      <c r="U1080">
        <f t="shared" si="165"/>
        <v>1</v>
      </c>
      <c r="V1080">
        <f t="shared" si="166"/>
        <v>1</v>
      </c>
      <c r="W1080">
        <f t="shared" si="167"/>
        <v>1</v>
      </c>
      <c r="X1080">
        <f t="shared" si="168"/>
        <v>0.99999999999999989</v>
      </c>
      <c r="Y1080" t="str">
        <f t="shared" si="169"/>
        <v>Healthy</v>
      </c>
    </row>
    <row r="1081" spans="1:25" x14ac:dyDescent="0.35">
      <c r="A1081" t="s">
        <v>20</v>
      </c>
      <c r="B1081" t="s">
        <v>21</v>
      </c>
      <c r="C1081" t="s">
        <v>214</v>
      </c>
      <c r="D1081" t="s">
        <v>907</v>
      </c>
      <c r="E1081">
        <v>80714740</v>
      </c>
      <c r="F1081" t="s">
        <v>908</v>
      </c>
      <c r="G1081" s="3">
        <v>46517</v>
      </c>
      <c r="H1081">
        <v>36</v>
      </c>
      <c r="I1081">
        <v>30</v>
      </c>
      <c r="J1081">
        <v>58</v>
      </c>
      <c r="K1081" s="4">
        <v>3062.4</v>
      </c>
      <c r="L1081" s="4">
        <v>4.8571428571428568</v>
      </c>
      <c r="M1081" s="4">
        <v>11.941176470588236</v>
      </c>
      <c r="N1081" t="s">
        <v>19</v>
      </c>
      <c r="O1081" t="str">
        <f t="shared" si="160"/>
        <v>Medium</v>
      </c>
      <c r="P1081" t="str">
        <f t="shared" si="161"/>
        <v>High</v>
      </c>
      <c r="Q1081" t="str">
        <f t="shared" si="162"/>
        <v>High</v>
      </c>
      <c r="R1081" t="s">
        <v>3317</v>
      </c>
      <c r="S1081" s="4">
        <f t="shared" ca="1" si="163"/>
        <v>320</v>
      </c>
      <c r="T1081">
        <f t="shared" si="164"/>
        <v>2</v>
      </c>
      <c r="U1081">
        <f t="shared" si="165"/>
        <v>3</v>
      </c>
      <c r="V1081">
        <f t="shared" si="166"/>
        <v>3</v>
      </c>
      <c r="W1081">
        <f t="shared" si="167"/>
        <v>1</v>
      </c>
      <c r="X1081">
        <f t="shared" si="168"/>
        <v>2.4</v>
      </c>
      <c r="Y1081" t="str">
        <f t="shared" si="169"/>
        <v>High Priority</v>
      </c>
    </row>
    <row r="1082" spans="1:25" x14ac:dyDescent="0.35">
      <c r="A1082" t="s">
        <v>20</v>
      </c>
      <c r="B1082" t="s">
        <v>21</v>
      </c>
      <c r="C1082" t="s">
        <v>214</v>
      </c>
      <c r="D1082" t="s">
        <v>907</v>
      </c>
      <c r="E1082">
        <v>80714740</v>
      </c>
      <c r="F1082" t="s">
        <v>908</v>
      </c>
      <c r="G1082" s="3">
        <v>46486</v>
      </c>
      <c r="H1082">
        <v>36</v>
      </c>
      <c r="I1082">
        <v>27</v>
      </c>
      <c r="J1082">
        <v>4</v>
      </c>
      <c r="K1082" s="4">
        <v>211.2</v>
      </c>
      <c r="L1082" s="4">
        <v>4.8571428571428568</v>
      </c>
      <c r="M1082" s="4">
        <v>0.82352941176470595</v>
      </c>
      <c r="N1082" t="s">
        <v>25</v>
      </c>
      <c r="O1082" t="str">
        <f t="shared" si="160"/>
        <v>Medium</v>
      </c>
      <c r="P1082" t="str">
        <f t="shared" si="161"/>
        <v>Low</v>
      </c>
      <c r="Q1082" t="str">
        <f t="shared" si="162"/>
        <v>High</v>
      </c>
      <c r="R1082" t="s">
        <v>3317</v>
      </c>
      <c r="S1082" s="4">
        <f t="shared" ca="1" si="163"/>
        <v>289</v>
      </c>
      <c r="T1082">
        <f t="shared" si="164"/>
        <v>2</v>
      </c>
      <c r="U1082">
        <f t="shared" si="165"/>
        <v>1</v>
      </c>
      <c r="V1082">
        <f t="shared" si="166"/>
        <v>3</v>
      </c>
      <c r="W1082">
        <f t="shared" si="167"/>
        <v>1</v>
      </c>
      <c r="X1082">
        <f t="shared" si="168"/>
        <v>1.8000000000000003</v>
      </c>
      <c r="Y1082" t="str">
        <f t="shared" si="169"/>
        <v>Monitor</v>
      </c>
    </row>
    <row r="1083" spans="1:25" x14ac:dyDescent="0.35">
      <c r="A1083" t="s">
        <v>20</v>
      </c>
      <c r="B1083" t="s">
        <v>21</v>
      </c>
      <c r="C1083" t="s">
        <v>214</v>
      </c>
      <c r="D1083" t="s">
        <v>907</v>
      </c>
      <c r="E1083">
        <v>80714740</v>
      </c>
      <c r="F1083" t="s">
        <v>908</v>
      </c>
      <c r="G1083" s="3">
        <v>46486</v>
      </c>
      <c r="H1083">
        <v>36</v>
      </c>
      <c r="I1083">
        <v>27</v>
      </c>
      <c r="J1083">
        <v>52</v>
      </c>
      <c r="K1083" s="4">
        <v>2745.6</v>
      </c>
      <c r="L1083" s="4">
        <v>4.8571428571428568</v>
      </c>
      <c r="M1083" s="4">
        <v>10.705882352941178</v>
      </c>
      <c r="N1083" t="s">
        <v>19</v>
      </c>
      <c r="O1083" t="str">
        <f t="shared" si="160"/>
        <v>Medium</v>
      </c>
      <c r="P1083" t="str">
        <f t="shared" si="161"/>
        <v>High</v>
      </c>
      <c r="Q1083" t="str">
        <f t="shared" si="162"/>
        <v>High</v>
      </c>
      <c r="R1083" t="s">
        <v>3317</v>
      </c>
      <c r="S1083" s="4">
        <f t="shared" ca="1" si="163"/>
        <v>289</v>
      </c>
      <c r="T1083">
        <f t="shared" si="164"/>
        <v>2</v>
      </c>
      <c r="U1083">
        <f t="shared" si="165"/>
        <v>3</v>
      </c>
      <c r="V1083">
        <f t="shared" si="166"/>
        <v>3</v>
      </c>
      <c r="W1083">
        <f t="shared" si="167"/>
        <v>1</v>
      </c>
      <c r="X1083">
        <f t="shared" si="168"/>
        <v>2.4</v>
      </c>
      <c r="Y1083" t="str">
        <f t="shared" si="169"/>
        <v>High Priority</v>
      </c>
    </row>
    <row r="1084" spans="1:25" x14ac:dyDescent="0.35">
      <c r="A1084" t="s">
        <v>179</v>
      </c>
      <c r="B1084" t="s">
        <v>195</v>
      </c>
      <c r="C1084" t="s">
        <v>422</v>
      </c>
      <c r="D1084" t="s">
        <v>909</v>
      </c>
      <c r="E1084">
        <v>80784930</v>
      </c>
      <c r="F1084" t="s">
        <v>910</v>
      </c>
      <c r="G1084" s="3">
        <v>46668</v>
      </c>
      <c r="H1084">
        <v>16</v>
      </c>
      <c r="I1084">
        <v>99</v>
      </c>
      <c r="J1084">
        <v>60</v>
      </c>
      <c r="K1084" s="4">
        <v>11519.4</v>
      </c>
      <c r="L1084" s="4">
        <v>169.85714285714286</v>
      </c>
      <c r="M1084" s="4">
        <v>0.35323801513877207</v>
      </c>
      <c r="N1084" t="s">
        <v>25</v>
      </c>
      <c r="O1084" t="str">
        <f t="shared" si="160"/>
        <v>Low</v>
      </c>
      <c r="P1084" t="str">
        <f t="shared" si="161"/>
        <v>Low</v>
      </c>
      <c r="Q1084" t="str">
        <f t="shared" si="162"/>
        <v>Low</v>
      </c>
      <c r="R1084" t="s">
        <v>3317</v>
      </c>
      <c r="S1084" s="4">
        <f t="shared" ca="1" si="163"/>
        <v>471</v>
      </c>
      <c r="T1084">
        <f t="shared" si="164"/>
        <v>1</v>
      </c>
      <c r="U1084">
        <f t="shared" si="165"/>
        <v>1</v>
      </c>
      <c r="V1084">
        <f t="shared" si="166"/>
        <v>1</v>
      </c>
      <c r="W1084">
        <f t="shared" si="167"/>
        <v>1</v>
      </c>
      <c r="X1084">
        <f t="shared" si="168"/>
        <v>0.99999999999999989</v>
      </c>
      <c r="Y1084" t="str">
        <f t="shared" si="169"/>
        <v>Healthy</v>
      </c>
    </row>
    <row r="1085" spans="1:25" x14ac:dyDescent="0.35">
      <c r="A1085" t="s">
        <v>179</v>
      </c>
      <c r="B1085" t="s">
        <v>195</v>
      </c>
      <c r="C1085" t="s">
        <v>422</v>
      </c>
      <c r="D1085" t="s">
        <v>909</v>
      </c>
      <c r="E1085">
        <v>80784930</v>
      </c>
      <c r="F1085" t="s">
        <v>910</v>
      </c>
      <c r="G1085" s="3">
        <v>46670</v>
      </c>
      <c r="H1085">
        <v>16</v>
      </c>
      <c r="I1085">
        <v>100</v>
      </c>
      <c r="J1085">
        <v>90</v>
      </c>
      <c r="K1085" s="4">
        <v>17279.099999999999</v>
      </c>
      <c r="L1085" s="4">
        <v>169.85714285714286</v>
      </c>
      <c r="M1085" s="4">
        <v>0.52985702270815815</v>
      </c>
      <c r="N1085" t="s">
        <v>25</v>
      </c>
      <c r="O1085" t="str">
        <f t="shared" si="160"/>
        <v>Low</v>
      </c>
      <c r="P1085" t="str">
        <f t="shared" si="161"/>
        <v>Low</v>
      </c>
      <c r="Q1085" t="str">
        <f t="shared" si="162"/>
        <v>Low</v>
      </c>
      <c r="R1085" t="s">
        <v>3317</v>
      </c>
      <c r="S1085" s="4">
        <f t="shared" ca="1" si="163"/>
        <v>473</v>
      </c>
      <c r="T1085">
        <f t="shared" si="164"/>
        <v>1</v>
      </c>
      <c r="U1085">
        <f t="shared" si="165"/>
        <v>1</v>
      </c>
      <c r="V1085">
        <f t="shared" si="166"/>
        <v>1</v>
      </c>
      <c r="W1085">
        <f t="shared" si="167"/>
        <v>1</v>
      </c>
      <c r="X1085">
        <f t="shared" si="168"/>
        <v>0.99999999999999989</v>
      </c>
      <c r="Y1085" t="str">
        <f t="shared" si="169"/>
        <v>Healthy</v>
      </c>
    </row>
    <row r="1086" spans="1:25" x14ac:dyDescent="0.35">
      <c r="A1086" t="s">
        <v>71</v>
      </c>
      <c r="B1086" t="s">
        <v>72</v>
      </c>
      <c r="C1086" t="s">
        <v>73</v>
      </c>
      <c r="D1086" t="s">
        <v>911</v>
      </c>
      <c r="E1086">
        <v>80815741</v>
      </c>
      <c r="F1086" t="s">
        <v>912</v>
      </c>
      <c r="G1086" s="3">
        <v>46914</v>
      </c>
      <c r="H1086">
        <v>36</v>
      </c>
      <c r="I1086">
        <v>67</v>
      </c>
      <c r="J1086">
        <v>4</v>
      </c>
      <c r="K1086" s="4">
        <v>4171.6400000000003</v>
      </c>
      <c r="L1086" s="4">
        <f>0</f>
        <v>0</v>
      </c>
      <c r="M1086" s="4">
        <f>999</f>
        <v>999</v>
      </c>
      <c r="N1086" t="s">
        <v>19</v>
      </c>
      <c r="O1086" t="str">
        <f t="shared" si="160"/>
        <v>Low</v>
      </c>
      <c r="P1086" t="str">
        <f t="shared" si="161"/>
        <v>High</v>
      </c>
      <c r="Q1086" t="str">
        <f t="shared" si="162"/>
        <v>High</v>
      </c>
      <c r="R1086" t="s">
        <v>3317</v>
      </c>
      <c r="S1086" s="4">
        <f t="shared" ca="1" si="163"/>
        <v>717</v>
      </c>
      <c r="T1086">
        <f t="shared" si="164"/>
        <v>1</v>
      </c>
      <c r="U1086">
        <f t="shared" si="165"/>
        <v>3</v>
      </c>
      <c r="V1086">
        <f t="shared" si="166"/>
        <v>3</v>
      </c>
      <c r="W1086">
        <f t="shared" si="167"/>
        <v>1</v>
      </c>
      <c r="X1086">
        <f t="shared" si="168"/>
        <v>2</v>
      </c>
      <c r="Y1086" t="str">
        <f t="shared" si="169"/>
        <v>Monitor</v>
      </c>
    </row>
    <row r="1087" spans="1:25" x14ac:dyDescent="0.35">
      <c r="A1087" t="s">
        <v>20</v>
      </c>
      <c r="B1087" t="s">
        <v>21</v>
      </c>
      <c r="C1087" t="s">
        <v>133</v>
      </c>
      <c r="D1087" t="s">
        <v>913</v>
      </c>
      <c r="E1087">
        <v>80707382</v>
      </c>
      <c r="F1087" t="s">
        <v>914</v>
      </c>
      <c r="G1087" s="3">
        <v>45710</v>
      </c>
      <c r="H1087">
        <v>36</v>
      </c>
      <c r="I1087">
        <v>0</v>
      </c>
      <c r="J1087">
        <v>1</v>
      </c>
      <c r="K1087" s="4">
        <v>3474.93</v>
      </c>
      <c r="L1087" s="4">
        <f>0</f>
        <v>0</v>
      </c>
      <c r="M1087" s="4">
        <f>999</f>
        <v>999</v>
      </c>
      <c r="N1087" t="s">
        <v>19</v>
      </c>
      <c r="O1087" t="str">
        <f t="shared" si="160"/>
        <v>High</v>
      </c>
      <c r="P1087" t="str">
        <f t="shared" si="161"/>
        <v>High</v>
      </c>
      <c r="Q1087" t="str">
        <f t="shared" si="162"/>
        <v>High</v>
      </c>
      <c r="R1087" t="s">
        <v>3317</v>
      </c>
      <c r="S1087" s="4">
        <f t="shared" ca="1" si="163"/>
        <v>-487</v>
      </c>
      <c r="T1087">
        <f t="shared" si="164"/>
        <v>3</v>
      </c>
      <c r="U1087">
        <f t="shared" si="165"/>
        <v>3</v>
      </c>
      <c r="V1087">
        <f t="shared" si="166"/>
        <v>3</v>
      </c>
      <c r="W1087">
        <f t="shared" si="167"/>
        <v>1</v>
      </c>
      <c r="X1087">
        <f t="shared" si="168"/>
        <v>2.8000000000000003</v>
      </c>
      <c r="Y1087" t="str">
        <f t="shared" si="169"/>
        <v>Move Immediately</v>
      </c>
    </row>
    <row r="1088" spans="1:25" x14ac:dyDescent="0.35">
      <c r="A1088" t="s">
        <v>20</v>
      </c>
      <c r="B1088" t="s">
        <v>21</v>
      </c>
      <c r="C1088" t="s">
        <v>133</v>
      </c>
      <c r="D1088" t="s">
        <v>913</v>
      </c>
      <c r="E1088">
        <v>80707382</v>
      </c>
      <c r="F1088" t="s">
        <v>914</v>
      </c>
      <c r="G1088" s="3">
        <v>45773</v>
      </c>
      <c r="H1088">
        <v>36</v>
      </c>
      <c r="I1088">
        <v>0</v>
      </c>
      <c r="J1088">
        <v>1</v>
      </c>
      <c r="K1088" s="4">
        <v>3474.93</v>
      </c>
      <c r="L1088" s="4">
        <f>0</f>
        <v>0</v>
      </c>
      <c r="M1088" s="4">
        <f>999</f>
        <v>999</v>
      </c>
      <c r="N1088" t="s">
        <v>19</v>
      </c>
      <c r="O1088" t="str">
        <f t="shared" si="160"/>
        <v>High</v>
      </c>
      <c r="P1088" t="str">
        <f t="shared" si="161"/>
        <v>High</v>
      </c>
      <c r="Q1088" t="str">
        <f t="shared" si="162"/>
        <v>High</v>
      </c>
      <c r="R1088" t="s">
        <v>3317</v>
      </c>
      <c r="S1088" s="4">
        <f t="shared" ca="1" si="163"/>
        <v>-424</v>
      </c>
      <c r="T1088">
        <f t="shared" si="164"/>
        <v>3</v>
      </c>
      <c r="U1088">
        <f t="shared" si="165"/>
        <v>3</v>
      </c>
      <c r="V1088">
        <f t="shared" si="166"/>
        <v>3</v>
      </c>
      <c r="W1088">
        <f t="shared" si="167"/>
        <v>1</v>
      </c>
      <c r="X1088">
        <f t="shared" si="168"/>
        <v>2.8000000000000003</v>
      </c>
      <c r="Y1088" t="str">
        <f t="shared" si="169"/>
        <v>Move Immediately</v>
      </c>
    </row>
    <row r="1089" spans="1:25" x14ac:dyDescent="0.35">
      <c r="A1089" t="s">
        <v>179</v>
      </c>
      <c r="B1089" t="s">
        <v>180</v>
      </c>
      <c r="C1089" t="s">
        <v>181</v>
      </c>
      <c r="D1089" t="s">
        <v>915</v>
      </c>
      <c r="E1089">
        <v>80817783</v>
      </c>
      <c r="F1089" t="s">
        <v>916</v>
      </c>
      <c r="G1089" s="3">
        <v>46058</v>
      </c>
      <c r="H1089">
        <v>16</v>
      </c>
      <c r="I1089">
        <v>0</v>
      </c>
      <c r="J1089">
        <v>4</v>
      </c>
      <c r="K1089" s="4">
        <v>2591.92</v>
      </c>
      <c r="L1089" s="4">
        <v>13.142857142857142</v>
      </c>
      <c r="M1089" s="4">
        <v>0.30434782608695654</v>
      </c>
      <c r="N1089" t="s">
        <v>25</v>
      </c>
      <c r="O1089" t="str">
        <f t="shared" si="160"/>
        <v>High</v>
      </c>
      <c r="P1089" t="str">
        <f t="shared" si="161"/>
        <v>Low</v>
      </c>
      <c r="Q1089" t="str">
        <f t="shared" si="162"/>
        <v>Medium</v>
      </c>
      <c r="R1089" t="s">
        <v>3317</v>
      </c>
      <c r="S1089" s="4">
        <f t="shared" ca="1" si="163"/>
        <v>-139</v>
      </c>
      <c r="T1089">
        <f t="shared" si="164"/>
        <v>3</v>
      </c>
      <c r="U1089">
        <f t="shared" si="165"/>
        <v>1</v>
      </c>
      <c r="V1089">
        <f t="shared" si="166"/>
        <v>2</v>
      </c>
      <c r="W1089">
        <f t="shared" si="167"/>
        <v>1</v>
      </c>
      <c r="X1089">
        <f t="shared" si="168"/>
        <v>2.0000000000000004</v>
      </c>
      <c r="Y1089" t="str">
        <f t="shared" si="169"/>
        <v>Monitor</v>
      </c>
    </row>
    <row r="1090" spans="1:25" x14ac:dyDescent="0.35">
      <c r="A1090" t="s">
        <v>20</v>
      </c>
      <c r="B1090" t="s">
        <v>21</v>
      </c>
      <c r="C1090" t="s">
        <v>133</v>
      </c>
      <c r="D1090" t="s">
        <v>913</v>
      </c>
      <c r="E1090">
        <v>80707382</v>
      </c>
      <c r="F1090" t="s">
        <v>914</v>
      </c>
      <c r="G1090" s="3">
        <v>45978</v>
      </c>
      <c r="H1090">
        <v>36</v>
      </c>
      <c r="I1090">
        <v>0</v>
      </c>
      <c r="J1090">
        <v>14</v>
      </c>
      <c r="K1090" s="4">
        <v>48649.02</v>
      </c>
      <c r="L1090" s="4">
        <f>0</f>
        <v>0</v>
      </c>
      <c r="M1090" s="4">
        <f>999</f>
        <v>999</v>
      </c>
      <c r="N1090" t="s">
        <v>19</v>
      </c>
      <c r="O1090" t="str">
        <f t="shared" si="160"/>
        <v>High</v>
      </c>
      <c r="P1090" t="str">
        <f t="shared" si="161"/>
        <v>High</v>
      </c>
      <c r="Q1090" t="str">
        <f t="shared" si="162"/>
        <v>High</v>
      </c>
      <c r="R1090" t="s">
        <v>3317</v>
      </c>
      <c r="S1090" s="4">
        <f t="shared" ca="1" si="163"/>
        <v>-219</v>
      </c>
      <c r="T1090">
        <f t="shared" si="164"/>
        <v>3</v>
      </c>
      <c r="U1090">
        <f t="shared" si="165"/>
        <v>3</v>
      </c>
      <c r="V1090">
        <f t="shared" si="166"/>
        <v>3</v>
      </c>
      <c r="W1090">
        <f t="shared" si="167"/>
        <v>1</v>
      </c>
      <c r="X1090">
        <f t="shared" si="168"/>
        <v>2.8000000000000003</v>
      </c>
      <c r="Y1090" t="str">
        <f t="shared" si="169"/>
        <v>Move Immediately</v>
      </c>
    </row>
    <row r="1091" spans="1:25" x14ac:dyDescent="0.35">
      <c r="A1091" t="s">
        <v>179</v>
      </c>
      <c r="B1091" t="s">
        <v>180</v>
      </c>
      <c r="C1091" t="s">
        <v>181</v>
      </c>
      <c r="D1091" t="s">
        <v>915</v>
      </c>
      <c r="E1091">
        <v>80817783</v>
      </c>
      <c r="F1091" t="s">
        <v>916</v>
      </c>
      <c r="G1091" s="3">
        <v>46170</v>
      </c>
      <c r="H1091">
        <v>16</v>
      </c>
      <c r="I1091">
        <v>0</v>
      </c>
      <c r="J1091">
        <v>20</v>
      </c>
      <c r="K1091" s="4">
        <v>12959.6</v>
      </c>
      <c r="L1091" s="4">
        <v>13.142857142857142</v>
      </c>
      <c r="M1091" s="4">
        <v>1.5217391304347827</v>
      </c>
      <c r="N1091" t="s">
        <v>25</v>
      </c>
      <c r="O1091" t="str">
        <f t="shared" ref="O1091:O1154" si="170">IF(I1091&lt;20,"High",IF(I1091&lt;40,"Medium","Low"))</f>
        <v>High</v>
      </c>
      <c r="P1091" t="str">
        <f t="shared" ref="P1091:P1154" si="171">IF(M1091&gt;8,"High",IF(M1091&gt;4,"Medium","Low"))</f>
        <v>Low</v>
      </c>
      <c r="Q1091" t="str">
        <f t="shared" ref="Q1091:Q1154" si="172">IF(L1091&lt;5,"High",IF(L1091&lt;15,"Medium","Low"))</f>
        <v>Medium</v>
      </c>
      <c r="R1091" t="s">
        <v>3317</v>
      </c>
      <c r="S1091" s="4">
        <f t="shared" ref="S1091:S1154" ca="1" si="173">G1091-TODAY()</f>
        <v>-27</v>
      </c>
      <c r="T1091">
        <f t="shared" ref="T1091:T1154" si="174">IF(O1091="High",3,IF(O1091="Medium",2,1))</f>
        <v>3</v>
      </c>
      <c r="U1091">
        <f t="shared" ref="U1091:U1154" si="175">IF(P1091="High",3,IF(P1091="Medium",2,1))</f>
        <v>1</v>
      </c>
      <c r="V1091">
        <f t="shared" ref="V1091:V1154" si="176">IF(Q1091="High",3,IF(Q1091="Medium",2,1))</f>
        <v>2</v>
      </c>
      <c r="W1091">
        <f t="shared" ref="W1091:W1154" si="177">IF(R1091="High",3,IF(R1091="Medium",2,1))</f>
        <v>1</v>
      </c>
      <c r="X1091">
        <f t="shared" ref="X1091:X1154" si="178">(0.4*T1091)+(0.3*U1091)+(0.2*V1091)+(0.1*W1091)</f>
        <v>2.0000000000000004</v>
      </c>
      <c r="Y1091" t="str">
        <f t="shared" ref="Y1091:Y1154" si="179">IF(X1091&gt;=2.7,"Move Immediately",IF(X1091&gt;=2.2,"High Priority",IF(X1091&gt;=1.7,"Monitor","Healthy")))</f>
        <v>Monitor</v>
      </c>
    </row>
    <row r="1092" spans="1:25" x14ac:dyDescent="0.35">
      <c r="A1092" t="s">
        <v>90</v>
      </c>
      <c r="B1092" t="s">
        <v>91</v>
      </c>
      <c r="C1092" t="s">
        <v>478</v>
      </c>
      <c r="D1092" t="s">
        <v>917</v>
      </c>
      <c r="E1092">
        <v>80732429</v>
      </c>
      <c r="F1092" t="s">
        <v>918</v>
      </c>
      <c r="G1092" s="3">
        <v>46031</v>
      </c>
      <c r="H1092">
        <v>24</v>
      </c>
      <c r="I1092">
        <v>0</v>
      </c>
      <c r="J1092">
        <v>89</v>
      </c>
      <c r="K1092" s="4">
        <v>10492.21</v>
      </c>
      <c r="L1092" s="4">
        <v>4</v>
      </c>
      <c r="M1092" s="4">
        <v>22.25</v>
      </c>
      <c r="N1092" t="s">
        <v>19</v>
      </c>
      <c r="O1092" t="str">
        <f t="shared" si="170"/>
        <v>High</v>
      </c>
      <c r="P1092" t="str">
        <f t="shared" si="171"/>
        <v>High</v>
      </c>
      <c r="Q1092" t="str">
        <f t="shared" si="172"/>
        <v>High</v>
      </c>
      <c r="R1092" t="s">
        <v>3317</v>
      </c>
      <c r="S1092" s="4">
        <f t="shared" ca="1" si="173"/>
        <v>-166</v>
      </c>
      <c r="T1092">
        <f t="shared" si="174"/>
        <v>3</v>
      </c>
      <c r="U1092">
        <f t="shared" si="175"/>
        <v>3</v>
      </c>
      <c r="V1092">
        <f t="shared" si="176"/>
        <v>3</v>
      </c>
      <c r="W1092">
        <f t="shared" si="177"/>
        <v>1</v>
      </c>
      <c r="X1092">
        <f t="shared" si="178"/>
        <v>2.8000000000000003</v>
      </c>
      <c r="Y1092" t="str">
        <f t="shared" si="179"/>
        <v>Move Immediately</v>
      </c>
    </row>
    <row r="1093" spans="1:25" x14ac:dyDescent="0.35">
      <c r="A1093" t="s">
        <v>20</v>
      </c>
      <c r="B1093" t="s">
        <v>21</v>
      </c>
      <c r="C1093" t="s">
        <v>684</v>
      </c>
      <c r="D1093" t="s">
        <v>919</v>
      </c>
      <c r="E1093">
        <v>80729735</v>
      </c>
      <c r="F1093" t="s">
        <v>920</v>
      </c>
      <c r="G1093" s="3">
        <v>47041</v>
      </c>
      <c r="H1093">
        <v>36</v>
      </c>
      <c r="I1093">
        <v>79</v>
      </c>
      <c r="J1093">
        <v>48</v>
      </c>
      <c r="K1093" s="4">
        <v>1689.6</v>
      </c>
      <c r="L1093" s="4">
        <f>0</f>
        <v>0</v>
      </c>
      <c r="M1093" s="4">
        <f>999</f>
        <v>999</v>
      </c>
      <c r="N1093" t="s">
        <v>19</v>
      </c>
      <c r="O1093" t="str">
        <f t="shared" si="170"/>
        <v>Low</v>
      </c>
      <c r="P1093" t="str">
        <f t="shared" si="171"/>
        <v>High</v>
      </c>
      <c r="Q1093" t="str">
        <f t="shared" si="172"/>
        <v>High</v>
      </c>
      <c r="R1093" t="s">
        <v>3317</v>
      </c>
      <c r="S1093" s="4">
        <f t="shared" ca="1" si="173"/>
        <v>844</v>
      </c>
      <c r="T1093">
        <f t="shared" si="174"/>
        <v>1</v>
      </c>
      <c r="U1093">
        <f t="shared" si="175"/>
        <v>3</v>
      </c>
      <c r="V1093">
        <f t="shared" si="176"/>
        <v>3</v>
      </c>
      <c r="W1093">
        <f t="shared" si="177"/>
        <v>1</v>
      </c>
      <c r="X1093">
        <f t="shared" si="178"/>
        <v>2</v>
      </c>
      <c r="Y1093" t="str">
        <f t="shared" si="179"/>
        <v>Monitor</v>
      </c>
    </row>
    <row r="1094" spans="1:25" x14ac:dyDescent="0.35">
      <c r="A1094" t="s">
        <v>41</v>
      </c>
      <c r="B1094" t="s">
        <v>42</v>
      </c>
      <c r="C1094" t="s">
        <v>365</v>
      </c>
      <c r="D1094" t="s">
        <v>867</v>
      </c>
      <c r="E1094">
        <v>80751158</v>
      </c>
      <c r="F1094" t="s">
        <v>921</v>
      </c>
      <c r="G1094" s="3">
        <v>46280</v>
      </c>
      <c r="H1094">
        <v>36</v>
      </c>
      <c r="I1094">
        <v>8</v>
      </c>
      <c r="J1094">
        <v>3</v>
      </c>
      <c r="K1094" s="4">
        <v>2183.0700000000002</v>
      </c>
      <c r="L1094" s="4">
        <f>0</f>
        <v>0</v>
      </c>
      <c r="M1094" s="4">
        <f>999</f>
        <v>999</v>
      </c>
      <c r="N1094" t="s">
        <v>19</v>
      </c>
      <c r="O1094" t="str">
        <f t="shared" si="170"/>
        <v>High</v>
      </c>
      <c r="P1094" t="str">
        <f t="shared" si="171"/>
        <v>High</v>
      </c>
      <c r="Q1094" t="str">
        <f t="shared" si="172"/>
        <v>High</v>
      </c>
      <c r="R1094" t="s">
        <v>3317</v>
      </c>
      <c r="S1094" s="4">
        <f t="shared" ca="1" si="173"/>
        <v>83</v>
      </c>
      <c r="T1094">
        <f t="shared" si="174"/>
        <v>3</v>
      </c>
      <c r="U1094">
        <f t="shared" si="175"/>
        <v>3</v>
      </c>
      <c r="V1094">
        <f t="shared" si="176"/>
        <v>3</v>
      </c>
      <c r="W1094">
        <f t="shared" si="177"/>
        <v>1</v>
      </c>
      <c r="X1094">
        <f t="shared" si="178"/>
        <v>2.8000000000000003</v>
      </c>
      <c r="Y1094" t="str">
        <f t="shared" si="179"/>
        <v>Move Immediately</v>
      </c>
    </row>
    <row r="1095" spans="1:25" x14ac:dyDescent="0.35">
      <c r="A1095" t="s">
        <v>41</v>
      </c>
      <c r="B1095" t="s">
        <v>42</v>
      </c>
      <c r="C1095" t="s">
        <v>365</v>
      </c>
      <c r="D1095" t="s">
        <v>867</v>
      </c>
      <c r="E1095">
        <v>80751158</v>
      </c>
      <c r="F1095" t="s">
        <v>921</v>
      </c>
      <c r="G1095" s="3">
        <v>46287</v>
      </c>
      <c r="H1095">
        <v>36</v>
      </c>
      <c r="I1095">
        <v>9</v>
      </c>
      <c r="J1095">
        <v>3</v>
      </c>
      <c r="K1095" s="4">
        <v>2183.0700000000002</v>
      </c>
      <c r="L1095" s="4">
        <f>0</f>
        <v>0</v>
      </c>
      <c r="M1095" s="4">
        <f>999</f>
        <v>999</v>
      </c>
      <c r="N1095" t="s">
        <v>19</v>
      </c>
      <c r="O1095" t="str">
        <f t="shared" si="170"/>
        <v>High</v>
      </c>
      <c r="P1095" t="str">
        <f t="shared" si="171"/>
        <v>High</v>
      </c>
      <c r="Q1095" t="str">
        <f t="shared" si="172"/>
        <v>High</v>
      </c>
      <c r="R1095" t="s">
        <v>3317</v>
      </c>
      <c r="S1095" s="4">
        <f t="shared" ca="1" si="173"/>
        <v>90</v>
      </c>
      <c r="T1095">
        <f t="shared" si="174"/>
        <v>3</v>
      </c>
      <c r="U1095">
        <f t="shared" si="175"/>
        <v>3</v>
      </c>
      <c r="V1095">
        <f t="shared" si="176"/>
        <v>3</v>
      </c>
      <c r="W1095">
        <f t="shared" si="177"/>
        <v>1</v>
      </c>
      <c r="X1095">
        <f t="shared" si="178"/>
        <v>2.8000000000000003</v>
      </c>
      <c r="Y1095" t="str">
        <f t="shared" si="179"/>
        <v>Move Immediately</v>
      </c>
    </row>
    <row r="1096" spans="1:25" x14ac:dyDescent="0.35">
      <c r="A1096" t="s">
        <v>41</v>
      </c>
      <c r="B1096" t="s">
        <v>42</v>
      </c>
      <c r="C1096" t="s">
        <v>365</v>
      </c>
      <c r="D1096" t="s">
        <v>867</v>
      </c>
      <c r="E1096">
        <v>80751158</v>
      </c>
      <c r="F1096" t="s">
        <v>921</v>
      </c>
      <c r="G1096" s="3">
        <v>46315</v>
      </c>
      <c r="H1096">
        <v>36</v>
      </c>
      <c r="I1096">
        <v>11</v>
      </c>
      <c r="J1096">
        <v>5</v>
      </c>
      <c r="K1096" s="4">
        <v>3638.45</v>
      </c>
      <c r="L1096" s="4">
        <f>0</f>
        <v>0</v>
      </c>
      <c r="M1096" s="4">
        <f>999</f>
        <v>999</v>
      </c>
      <c r="N1096" t="s">
        <v>19</v>
      </c>
      <c r="O1096" t="str">
        <f t="shared" si="170"/>
        <v>High</v>
      </c>
      <c r="P1096" t="str">
        <f t="shared" si="171"/>
        <v>High</v>
      </c>
      <c r="Q1096" t="str">
        <f t="shared" si="172"/>
        <v>High</v>
      </c>
      <c r="R1096" t="s">
        <v>3317</v>
      </c>
      <c r="S1096" s="4">
        <f t="shared" ca="1" si="173"/>
        <v>118</v>
      </c>
      <c r="T1096">
        <f t="shared" si="174"/>
        <v>3</v>
      </c>
      <c r="U1096">
        <f t="shared" si="175"/>
        <v>3</v>
      </c>
      <c r="V1096">
        <f t="shared" si="176"/>
        <v>3</v>
      </c>
      <c r="W1096">
        <f t="shared" si="177"/>
        <v>1</v>
      </c>
      <c r="X1096">
        <f t="shared" si="178"/>
        <v>2.8000000000000003</v>
      </c>
      <c r="Y1096" t="str">
        <f t="shared" si="179"/>
        <v>Move Immediately</v>
      </c>
    </row>
    <row r="1097" spans="1:25" x14ac:dyDescent="0.35">
      <c r="A1097" t="s">
        <v>41</v>
      </c>
      <c r="B1097" t="s">
        <v>42</v>
      </c>
      <c r="C1097" t="s">
        <v>365</v>
      </c>
      <c r="D1097" t="s">
        <v>867</v>
      </c>
      <c r="E1097">
        <v>80751158</v>
      </c>
      <c r="F1097" t="s">
        <v>921</v>
      </c>
      <c r="G1097" s="3">
        <v>46246</v>
      </c>
      <c r="H1097">
        <v>36</v>
      </c>
      <c r="I1097">
        <v>5</v>
      </c>
      <c r="J1097">
        <v>1</v>
      </c>
      <c r="K1097" s="4">
        <v>727.69</v>
      </c>
      <c r="L1097" s="4">
        <f>0</f>
        <v>0</v>
      </c>
      <c r="M1097" s="4">
        <f>999</f>
        <v>999</v>
      </c>
      <c r="N1097" t="s">
        <v>19</v>
      </c>
      <c r="O1097" t="str">
        <f t="shared" si="170"/>
        <v>High</v>
      </c>
      <c r="P1097" t="str">
        <f t="shared" si="171"/>
        <v>High</v>
      </c>
      <c r="Q1097" t="str">
        <f t="shared" si="172"/>
        <v>High</v>
      </c>
      <c r="R1097" t="s">
        <v>3317</v>
      </c>
      <c r="S1097" s="4">
        <f t="shared" ca="1" si="173"/>
        <v>49</v>
      </c>
      <c r="T1097">
        <f t="shared" si="174"/>
        <v>3</v>
      </c>
      <c r="U1097">
        <f t="shared" si="175"/>
        <v>3</v>
      </c>
      <c r="V1097">
        <f t="shared" si="176"/>
        <v>3</v>
      </c>
      <c r="W1097">
        <f t="shared" si="177"/>
        <v>1</v>
      </c>
      <c r="X1097">
        <f t="shared" si="178"/>
        <v>2.8000000000000003</v>
      </c>
      <c r="Y1097" t="str">
        <f t="shared" si="179"/>
        <v>Move Immediately</v>
      </c>
    </row>
    <row r="1098" spans="1:25" x14ac:dyDescent="0.35">
      <c r="A1098" t="s">
        <v>41</v>
      </c>
      <c r="B1098" t="s">
        <v>42</v>
      </c>
      <c r="C1098" t="s">
        <v>43</v>
      </c>
      <c r="D1098" t="s">
        <v>44</v>
      </c>
      <c r="E1098">
        <v>80752247</v>
      </c>
      <c r="F1098" t="s">
        <v>922</v>
      </c>
      <c r="G1098" s="3">
        <v>46212</v>
      </c>
      <c r="H1098">
        <v>30</v>
      </c>
      <c r="I1098">
        <v>2</v>
      </c>
      <c r="J1098">
        <v>3</v>
      </c>
      <c r="K1098" s="4">
        <v>418.89</v>
      </c>
      <c r="L1098" s="4">
        <f>0</f>
        <v>0</v>
      </c>
      <c r="M1098" s="4">
        <f>999</f>
        <v>999</v>
      </c>
      <c r="N1098" t="s">
        <v>19</v>
      </c>
      <c r="O1098" t="str">
        <f t="shared" si="170"/>
        <v>High</v>
      </c>
      <c r="P1098" t="str">
        <f t="shared" si="171"/>
        <v>High</v>
      </c>
      <c r="Q1098" t="str">
        <f t="shared" si="172"/>
        <v>High</v>
      </c>
      <c r="R1098" t="s">
        <v>3317</v>
      </c>
      <c r="S1098" s="4">
        <f t="shared" ca="1" si="173"/>
        <v>15</v>
      </c>
      <c r="T1098">
        <f t="shared" si="174"/>
        <v>3</v>
      </c>
      <c r="U1098">
        <f t="shared" si="175"/>
        <v>3</v>
      </c>
      <c r="V1098">
        <f t="shared" si="176"/>
        <v>3</v>
      </c>
      <c r="W1098">
        <f t="shared" si="177"/>
        <v>1</v>
      </c>
      <c r="X1098">
        <f t="shared" si="178"/>
        <v>2.8000000000000003</v>
      </c>
      <c r="Y1098" t="str">
        <f t="shared" si="179"/>
        <v>Move Immediately</v>
      </c>
    </row>
    <row r="1099" spans="1:25" x14ac:dyDescent="0.35">
      <c r="A1099" t="s">
        <v>41</v>
      </c>
      <c r="B1099" t="s">
        <v>54</v>
      </c>
      <c r="C1099" t="s">
        <v>87</v>
      </c>
      <c r="D1099" t="s">
        <v>88</v>
      </c>
      <c r="E1099">
        <v>80751143</v>
      </c>
      <c r="F1099" t="s">
        <v>923</v>
      </c>
      <c r="G1099" s="3">
        <v>46116</v>
      </c>
      <c r="H1099">
        <v>36</v>
      </c>
      <c r="I1099">
        <v>0</v>
      </c>
      <c r="J1099">
        <v>20</v>
      </c>
      <c r="K1099" s="4">
        <v>16610.8</v>
      </c>
      <c r="L1099" s="4">
        <f>0</f>
        <v>0</v>
      </c>
      <c r="M1099" s="4">
        <f>999</f>
        <v>999</v>
      </c>
      <c r="N1099" t="s">
        <v>19</v>
      </c>
      <c r="O1099" t="str">
        <f t="shared" si="170"/>
        <v>High</v>
      </c>
      <c r="P1099" t="str">
        <f t="shared" si="171"/>
        <v>High</v>
      </c>
      <c r="Q1099" t="str">
        <f t="shared" si="172"/>
        <v>High</v>
      </c>
      <c r="R1099" t="s">
        <v>3317</v>
      </c>
      <c r="S1099" s="4">
        <f t="shared" ca="1" si="173"/>
        <v>-81</v>
      </c>
      <c r="T1099">
        <f t="shared" si="174"/>
        <v>3</v>
      </c>
      <c r="U1099">
        <f t="shared" si="175"/>
        <v>3</v>
      </c>
      <c r="V1099">
        <f t="shared" si="176"/>
        <v>3</v>
      </c>
      <c r="W1099">
        <f t="shared" si="177"/>
        <v>1</v>
      </c>
      <c r="X1099">
        <f t="shared" si="178"/>
        <v>2.8000000000000003</v>
      </c>
      <c r="Y1099" t="str">
        <f t="shared" si="179"/>
        <v>Move Immediately</v>
      </c>
    </row>
    <row r="1100" spans="1:25" x14ac:dyDescent="0.35">
      <c r="A1100" t="s">
        <v>41</v>
      </c>
      <c r="B1100" t="s">
        <v>54</v>
      </c>
      <c r="C1100" t="s">
        <v>87</v>
      </c>
      <c r="D1100" t="s">
        <v>88</v>
      </c>
      <c r="E1100">
        <v>80751143</v>
      </c>
      <c r="F1100" t="s">
        <v>923</v>
      </c>
      <c r="G1100" s="3">
        <v>46116</v>
      </c>
      <c r="H1100">
        <v>36</v>
      </c>
      <c r="I1100">
        <v>0</v>
      </c>
      <c r="J1100">
        <v>4</v>
      </c>
      <c r="K1100" s="4">
        <v>3322.16</v>
      </c>
      <c r="L1100" s="4">
        <f>0</f>
        <v>0</v>
      </c>
      <c r="M1100" s="4">
        <f>999</f>
        <v>999</v>
      </c>
      <c r="N1100" t="s">
        <v>19</v>
      </c>
      <c r="O1100" t="str">
        <f t="shared" si="170"/>
        <v>High</v>
      </c>
      <c r="P1100" t="str">
        <f t="shared" si="171"/>
        <v>High</v>
      </c>
      <c r="Q1100" t="str">
        <f t="shared" si="172"/>
        <v>High</v>
      </c>
      <c r="R1100" t="s">
        <v>3317</v>
      </c>
      <c r="S1100" s="4">
        <f t="shared" ca="1" si="173"/>
        <v>-81</v>
      </c>
      <c r="T1100">
        <f t="shared" si="174"/>
        <v>3</v>
      </c>
      <c r="U1100">
        <f t="shared" si="175"/>
        <v>3</v>
      </c>
      <c r="V1100">
        <f t="shared" si="176"/>
        <v>3</v>
      </c>
      <c r="W1100">
        <f t="shared" si="177"/>
        <v>1</v>
      </c>
      <c r="X1100">
        <f t="shared" si="178"/>
        <v>2.8000000000000003</v>
      </c>
      <c r="Y1100" t="str">
        <f t="shared" si="179"/>
        <v>Move Immediately</v>
      </c>
    </row>
    <row r="1101" spans="1:25" x14ac:dyDescent="0.35">
      <c r="A1101" t="s">
        <v>90</v>
      </c>
      <c r="B1101" t="s">
        <v>91</v>
      </c>
      <c r="C1101" t="s">
        <v>255</v>
      </c>
      <c r="D1101" t="s">
        <v>924</v>
      </c>
      <c r="E1101">
        <v>80751875</v>
      </c>
      <c r="F1101" t="s">
        <v>925</v>
      </c>
      <c r="G1101" s="3">
        <v>46113</v>
      </c>
      <c r="H1101">
        <v>24</v>
      </c>
      <c r="I1101">
        <v>0</v>
      </c>
      <c r="J1101">
        <v>1</v>
      </c>
      <c r="K1101" s="4">
        <v>297.61</v>
      </c>
      <c r="L1101" s="4">
        <f>0</f>
        <v>0</v>
      </c>
      <c r="M1101" s="4">
        <f>999</f>
        <v>999</v>
      </c>
      <c r="N1101" t="s">
        <v>19</v>
      </c>
      <c r="O1101" t="str">
        <f t="shared" si="170"/>
        <v>High</v>
      </c>
      <c r="P1101" t="str">
        <f t="shared" si="171"/>
        <v>High</v>
      </c>
      <c r="Q1101" t="str">
        <f t="shared" si="172"/>
        <v>High</v>
      </c>
      <c r="R1101" t="s">
        <v>3317</v>
      </c>
      <c r="S1101" s="4">
        <f t="shared" ca="1" si="173"/>
        <v>-84</v>
      </c>
      <c r="T1101">
        <f t="shared" si="174"/>
        <v>3</v>
      </c>
      <c r="U1101">
        <f t="shared" si="175"/>
        <v>3</v>
      </c>
      <c r="V1101">
        <f t="shared" si="176"/>
        <v>3</v>
      </c>
      <c r="W1101">
        <f t="shared" si="177"/>
        <v>1</v>
      </c>
      <c r="X1101">
        <f t="shared" si="178"/>
        <v>2.8000000000000003</v>
      </c>
      <c r="Y1101" t="str">
        <f t="shared" si="179"/>
        <v>Move Immediately</v>
      </c>
    </row>
    <row r="1102" spans="1:25" x14ac:dyDescent="0.35">
      <c r="A1102" t="s">
        <v>90</v>
      </c>
      <c r="B1102" t="s">
        <v>91</v>
      </c>
      <c r="C1102" t="s">
        <v>255</v>
      </c>
      <c r="D1102" t="s">
        <v>924</v>
      </c>
      <c r="E1102">
        <v>80751875</v>
      </c>
      <c r="F1102" t="s">
        <v>925</v>
      </c>
      <c r="G1102" s="3">
        <v>46111</v>
      </c>
      <c r="H1102">
        <v>24</v>
      </c>
      <c r="I1102">
        <v>0</v>
      </c>
      <c r="J1102">
        <v>2</v>
      </c>
      <c r="K1102" s="4">
        <v>595.22</v>
      </c>
      <c r="L1102" s="4">
        <f>0</f>
        <v>0</v>
      </c>
      <c r="M1102" s="4">
        <f>999</f>
        <v>999</v>
      </c>
      <c r="N1102" t="s">
        <v>19</v>
      </c>
      <c r="O1102" t="str">
        <f t="shared" si="170"/>
        <v>High</v>
      </c>
      <c r="P1102" t="str">
        <f t="shared" si="171"/>
        <v>High</v>
      </c>
      <c r="Q1102" t="str">
        <f t="shared" si="172"/>
        <v>High</v>
      </c>
      <c r="R1102" t="s">
        <v>3317</v>
      </c>
      <c r="S1102" s="4">
        <f t="shared" ca="1" si="173"/>
        <v>-86</v>
      </c>
      <c r="T1102">
        <f t="shared" si="174"/>
        <v>3</v>
      </c>
      <c r="U1102">
        <f t="shared" si="175"/>
        <v>3</v>
      </c>
      <c r="V1102">
        <f t="shared" si="176"/>
        <v>3</v>
      </c>
      <c r="W1102">
        <f t="shared" si="177"/>
        <v>1</v>
      </c>
      <c r="X1102">
        <f t="shared" si="178"/>
        <v>2.8000000000000003</v>
      </c>
      <c r="Y1102" t="str">
        <f t="shared" si="179"/>
        <v>Move Immediately</v>
      </c>
    </row>
    <row r="1103" spans="1:25" x14ac:dyDescent="0.35">
      <c r="A1103" t="s">
        <v>90</v>
      </c>
      <c r="B1103" t="s">
        <v>91</v>
      </c>
      <c r="C1103" t="s">
        <v>255</v>
      </c>
      <c r="D1103" t="s">
        <v>924</v>
      </c>
      <c r="E1103">
        <v>80751875</v>
      </c>
      <c r="F1103" t="s">
        <v>925</v>
      </c>
      <c r="G1103" s="3">
        <v>46110</v>
      </c>
      <c r="H1103">
        <v>24</v>
      </c>
      <c r="I1103">
        <v>0</v>
      </c>
      <c r="J1103">
        <v>5</v>
      </c>
      <c r="K1103" s="4">
        <v>1488.05</v>
      </c>
      <c r="L1103" s="4">
        <f>0</f>
        <v>0</v>
      </c>
      <c r="M1103" s="4">
        <f>999</f>
        <v>999</v>
      </c>
      <c r="N1103" t="s">
        <v>19</v>
      </c>
      <c r="O1103" t="str">
        <f t="shared" si="170"/>
        <v>High</v>
      </c>
      <c r="P1103" t="str">
        <f t="shared" si="171"/>
        <v>High</v>
      </c>
      <c r="Q1103" t="str">
        <f t="shared" si="172"/>
        <v>High</v>
      </c>
      <c r="R1103" t="s">
        <v>3317</v>
      </c>
      <c r="S1103" s="4">
        <f t="shared" ca="1" si="173"/>
        <v>-87</v>
      </c>
      <c r="T1103">
        <f t="shared" si="174"/>
        <v>3</v>
      </c>
      <c r="U1103">
        <f t="shared" si="175"/>
        <v>3</v>
      </c>
      <c r="V1103">
        <f t="shared" si="176"/>
        <v>3</v>
      </c>
      <c r="W1103">
        <f t="shared" si="177"/>
        <v>1</v>
      </c>
      <c r="X1103">
        <f t="shared" si="178"/>
        <v>2.8000000000000003</v>
      </c>
      <c r="Y1103" t="str">
        <f t="shared" si="179"/>
        <v>Move Immediately</v>
      </c>
    </row>
    <row r="1104" spans="1:25" x14ac:dyDescent="0.35">
      <c r="A1104" t="s">
        <v>20</v>
      </c>
      <c r="B1104" t="s">
        <v>21</v>
      </c>
      <c r="C1104" t="s">
        <v>926</v>
      </c>
      <c r="D1104" t="s">
        <v>927</v>
      </c>
      <c r="E1104">
        <v>80739767</v>
      </c>
      <c r="F1104" t="s">
        <v>928</v>
      </c>
      <c r="G1104" s="3">
        <v>47409</v>
      </c>
      <c r="H1104">
        <v>36</v>
      </c>
      <c r="I1104">
        <v>100</v>
      </c>
      <c r="J1104">
        <v>208</v>
      </c>
      <c r="K1104" s="4">
        <v>12567.36</v>
      </c>
      <c r="L1104" s="4">
        <v>82.142857142857139</v>
      </c>
      <c r="M1104" s="4">
        <v>2.5321739130434784</v>
      </c>
      <c r="N1104" t="s">
        <v>25</v>
      </c>
      <c r="O1104" t="str">
        <f t="shared" si="170"/>
        <v>Low</v>
      </c>
      <c r="P1104" t="str">
        <f t="shared" si="171"/>
        <v>Low</v>
      </c>
      <c r="Q1104" t="str">
        <f t="shared" si="172"/>
        <v>Low</v>
      </c>
      <c r="R1104" t="s">
        <v>3317</v>
      </c>
      <c r="S1104" s="4">
        <f t="shared" ca="1" si="173"/>
        <v>1212</v>
      </c>
      <c r="T1104">
        <f t="shared" si="174"/>
        <v>1</v>
      </c>
      <c r="U1104">
        <f t="shared" si="175"/>
        <v>1</v>
      </c>
      <c r="V1104">
        <f t="shared" si="176"/>
        <v>1</v>
      </c>
      <c r="W1104">
        <f t="shared" si="177"/>
        <v>1</v>
      </c>
      <c r="X1104">
        <f t="shared" si="178"/>
        <v>0.99999999999999989</v>
      </c>
      <c r="Y1104" t="str">
        <f t="shared" si="179"/>
        <v>Healthy</v>
      </c>
    </row>
    <row r="1105" spans="1:25" x14ac:dyDescent="0.35">
      <c r="A1105" t="s">
        <v>14</v>
      </c>
      <c r="B1105" t="s">
        <v>258</v>
      </c>
      <c r="C1105" t="s">
        <v>929</v>
      </c>
      <c r="D1105" t="s">
        <v>930</v>
      </c>
      <c r="E1105">
        <v>80751736</v>
      </c>
      <c r="F1105" t="s">
        <v>931</v>
      </c>
      <c r="G1105" s="3">
        <v>47399</v>
      </c>
      <c r="H1105">
        <v>60</v>
      </c>
      <c r="I1105">
        <v>67</v>
      </c>
      <c r="J1105">
        <v>7</v>
      </c>
      <c r="K1105" s="4">
        <v>440.65</v>
      </c>
      <c r="L1105" s="4">
        <v>120</v>
      </c>
      <c r="M1105" s="4">
        <v>5.8333333333333334E-2</v>
      </c>
      <c r="N1105" t="s">
        <v>25</v>
      </c>
      <c r="O1105" t="str">
        <f t="shared" si="170"/>
        <v>Low</v>
      </c>
      <c r="P1105" t="str">
        <f t="shared" si="171"/>
        <v>Low</v>
      </c>
      <c r="Q1105" t="str">
        <f t="shared" si="172"/>
        <v>Low</v>
      </c>
      <c r="R1105" t="s">
        <v>3317</v>
      </c>
      <c r="S1105" s="4">
        <f t="shared" ca="1" si="173"/>
        <v>1202</v>
      </c>
      <c r="T1105">
        <f t="shared" si="174"/>
        <v>1</v>
      </c>
      <c r="U1105">
        <f t="shared" si="175"/>
        <v>1</v>
      </c>
      <c r="V1105">
        <f t="shared" si="176"/>
        <v>1</v>
      </c>
      <c r="W1105">
        <f t="shared" si="177"/>
        <v>1</v>
      </c>
      <c r="X1105">
        <f t="shared" si="178"/>
        <v>0.99999999999999989</v>
      </c>
      <c r="Y1105" t="str">
        <f t="shared" si="179"/>
        <v>Healthy</v>
      </c>
    </row>
    <row r="1106" spans="1:25" x14ac:dyDescent="0.35">
      <c r="A1106" t="s">
        <v>14</v>
      </c>
      <c r="B1106" t="s">
        <v>115</v>
      </c>
      <c r="C1106" t="s">
        <v>116</v>
      </c>
      <c r="D1106" t="s">
        <v>932</v>
      </c>
      <c r="E1106">
        <v>80817456</v>
      </c>
      <c r="F1106" t="s">
        <v>933</v>
      </c>
      <c r="G1106" s="3">
        <v>47647</v>
      </c>
      <c r="H1106">
        <v>60</v>
      </c>
      <c r="I1106">
        <v>81</v>
      </c>
      <c r="J1106">
        <v>219</v>
      </c>
      <c r="K1106" s="4">
        <v>20802.810000000001</v>
      </c>
      <c r="L1106" s="4">
        <v>15.428571428571429</v>
      </c>
      <c r="M1106" s="4">
        <v>14.194444444444445</v>
      </c>
      <c r="N1106" t="s">
        <v>19</v>
      </c>
      <c r="O1106" t="str">
        <f t="shared" si="170"/>
        <v>Low</v>
      </c>
      <c r="P1106" t="str">
        <f t="shared" si="171"/>
        <v>High</v>
      </c>
      <c r="Q1106" t="str">
        <f t="shared" si="172"/>
        <v>Low</v>
      </c>
      <c r="R1106" t="s">
        <v>3317</v>
      </c>
      <c r="S1106" s="4">
        <f t="shared" ca="1" si="173"/>
        <v>1450</v>
      </c>
      <c r="T1106">
        <f t="shared" si="174"/>
        <v>1</v>
      </c>
      <c r="U1106">
        <f t="shared" si="175"/>
        <v>3</v>
      </c>
      <c r="V1106">
        <f t="shared" si="176"/>
        <v>1</v>
      </c>
      <c r="W1106">
        <f t="shared" si="177"/>
        <v>1</v>
      </c>
      <c r="X1106">
        <f t="shared" si="178"/>
        <v>1.5999999999999999</v>
      </c>
      <c r="Y1106" t="str">
        <f t="shared" si="179"/>
        <v>Healthy</v>
      </c>
    </row>
    <row r="1107" spans="1:25" x14ac:dyDescent="0.35">
      <c r="A1107" t="s">
        <v>71</v>
      </c>
      <c r="B1107" t="s">
        <v>72</v>
      </c>
      <c r="C1107" t="s">
        <v>73</v>
      </c>
      <c r="D1107" t="s">
        <v>934</v>
      </c>
      <c r="E1107">
        <v>80830308</v>
      </c>
      <c r="F1107" t="s">
        <v>935</v>
      </c>
      <c r="G1107" s="3">
        <v>46591</v>
      </c>
      <c r="H1107">
        <v>36</v>
      </c>
      <c r="I1107">
        <v>37</v>
      </c>
      <c r="J1107">
        <v>26</v>
      </c>
      <c r="K1107" s="4">
        <v>13084.5</v>
      </c>
      <c r="L1107" s="4">
        <f>0</f>
        <v>0</v>
      </c>
      <c r="M1107" s="4">
        <f>999</f>
        <v>999</v>
      </c>
      <c r="N1107" t="s">
        <v>19</v>
      </c>
      <c r="O1107" t="str">
        <f t="shared" si="170"/>
        <v>Medium</v>
      </c>
      <c r="P1107" t="str">
        <f t="shared" si="171"/>
        <v>High</v>
      </c>
      <c r="Q1107" t="str">
        <f t="shared" si="172"/>
        <v>High</v>
      </c>
      <c r="R1107" t="s">
        <v>3317</v>
      </c>
      <c r="S1107" s="4">
        <f t="shared" ca="1" si="173"/>
        <v>394</v>
      </c>
      <c r="T1107">
        <f t="shared" si="174"/>
        <v>2</v>
      </c>
      <c r="U1107">
        <f t="shared" si="175"/>
        <v>3</v>
      </c>
      <c r="V1107">
        <f t="shared" si="176"/>
        <v>3</v>
      </c>
      <c r="W1107">
        <f t="shared" si="177"/>
        <v>1</v>
      </c>
      <c r="X1107">
        <f t="shared" si="178"/>
        <v>2.4</v>
      </c>
      <c r="Y1107" t="str">
        <f t="shared" si="179"/>
        <v>High Priority</v>
      </c>
    </row>
    <row r="1108" spans="1:25" x14ac:dyDescent="0.35">
      <c r="A1108" t="s">
        <v>71</v>
      </c>
      <c r="B1108" t="s">
        <v>72</v>
      </c>
      <c r="C1108" t="s">
        <v>73</v>
      </c>
      <c r="D1108" t="s">
        <v>936</v>
      </c>
      <c r="E1108">
        <v>80815769</v>
      </c>
      <c r="F1108" t="s">
        <v>937</v>
      </c>
      <c r="G1108" s="3">
        <v>46888</v>
      </c>
      <c r="H1108">
        <v>36</v>
      </c>
      <c r="I1108">
        <v>64</v>
      </c>
      <c r="J1108">
        <v>7</v>
      </c>
      <c r="K1108" s="4">
        <v>3667.86</v>
      </c>
      <c r="L1108" s="4">
        <v>0.8571428571428571</v>
      </c>
      <c r="M1108" s="4">
        <v>8.1666666666666679</v>
      </c>
      <c r="N1108" t="s">
        <v>19</v>
      </c>
      <c r="O1108" t="str">
        <f t="shared" si="170"/>
        <v>Low</v>
      </c>
      <c r="P1108" t="str">
        <f t="shared" si="171"/>
        <v>High</v>
      </c>
      <c r="Q1108" t="str">
        <f t="shared" si="172"/>
        <v>High</v>
      </c>
      <c r="R1108" t="s">
        <v>3317</v>
      </c>
      <c r="S1108" s="4">
        <f t="shared" ca="1" si="173"/>
        <v>691</v>
      </c>
      <c r="T1108">
        <f t="shared" si="174"/>
        <v>1</v>
      </c>
      <c r="U1108">
        <f t="shared" si="175"/>
        <v>3</v>
      </c>
      <c r="V1108">
        <f t="shared" si="176"/>
        <v>3</v>
      </c>
      <c r="W1108">
        <f t="shared" si="177"/>
        <v>1</v>
      </c>
      <c r="X1108">
        <f t="shared" si="178"/>
        <v>2</v>
      </c>
      <c r="Y1108" t="str">
        <f t="shared" si="179"/>
        <v>Monitor</v>
      </c>
    </row>
    <row r="1109" spans="1:25" x14ac:dyDescent="0.35">
      <c r="A1109" t="s">
        <v>71</v>
      </c>
      <c r="B1109" t="s">
        <v>72</v>
      </c>
      <c r="C1109" t="s">
        <v>73</v>
      </c>
      <c r="D1109" t="s">
        <v>936</v>
      </c>
      <c r="E1109">
        <v>80815769</v>
      </c>
      <c r="F1109" t="s">
        <v>937</v>
      </c>
      <c r="G1109" s="3">
        <v>46635</v>
      </c>
      <c r="H1109">
        <v>36</v>
      </c>
      <c r="I1109">
        <v>41</v>
      </c>
      <c r="J1109">
        <v>5</v>
      </c>
      <c r="K1109" s="4">
        <v>2619.9</v>
      </c>
      <c r="L1109" s="4">
        <v>0.8571428571428571</v>
      </c>
      <c r="M1109" s="4">
        <v>5.8333333333333339</v>
      </c>
      <c r="N1109" t="s">
        <v>25</v>
      </c>
      <c r="O1109" t="str">
        <f t="shared" si="170"/>
        <v>Low</v>
      </c>
      <c r="P1109" t="str">
        <f t="shared" si="171"/>
        <v>Medium</v>
      </c>
      <c r="Q1109" t="str">
        <f t="shared" si="172"/>
        <v>High</v>
      </c>
      <c r="R1109" t="s">
        <v>3317</v>
      </c>
      <c r="S1109" s="4">
        <f t="shared" ca="1" si="173"/>
        <v>438</v>
      </c>
      <c r="T1109">
        <f t="shared" si="174"/>
        <v>1</v>
      </c>
      <c r="U1109">
        <f t="shared" si="175"/>
        <v>2</v>
      </c>
      <c r="V1109">
        <f t="shared" si="176"/>
        <v>3</v>
      </c>
      <c r="W1109">
        <f t="shared" si="177"/>
        <v>1</v>
      </c>
      <c r="X1109">
        <f t="shared" si="178"/>
        <v>1.7000000000000002</v>
      </c>
      <c r="Y1109" t="str">
        <f t="shared" si="179"/>
        <v>Monitor</v>
      </c>
    </row>
    <row r="1110" spans="1:25" x14ac:dyDescent="0.35">
      <c r="A1110" t="s">
        <v>14</v>
      </c>
      <c r="B1110" t="s">
        <v>267</v>
      </c>
      <c r="C1110" t="s">
        <v>938</v>
      </c>
      <c r="D1110" t="s">
        <v>939</v>
      </c>
      <c r="E1110">
        <v>80818335</v>
      </c>
      <c r="F1110" t="s">
        <v>940</v>
      </c>
      <c r="G1110" s="3">
        <v>47855</v>
      </c>
      <c r="H1110">
        <v>60</v>
      </c>
      <c r="I1110">
        <v>92</v>
      </c>
      <c r="J1110">
        <v>29</v>
      </c>
      <c r="K1110" s="4">
        <v>28310.959999999999</v>
      </c>
      <c r="L1110" s="4">
        <v>698.85714285714289</v>
      </c>
      <c r="M1110" s="4">
        <v>4.1496320523303348E-2</v>
      </c>
      <c r="N1110" t="s">
        <v>25</v>
      </c>
      <c r="O1110" t="str">
        <f t="shared" si="170"/>
        <v>Low</v>
      </c>
      <c r="P1110" t="str">
        <f t="shared" si="171"/>
        <v>Low</v>
      </c>
      <c r="Q1110" t="str">
        <f t="shared" si="172"/>
        <v>Low</v>
      </c>
      <c r="R1110" t="s">
        <v>3317</v>
      </c>
      <c r="S1110" s="4">
        <f t="shared" ca="1" si="173"/>
        <v>1658</v>
      </c>
      <c r="T1110">
        <f t="shared" si="174"/>
        <v>1</v>
      </c>
      <c r="U1110">
        <f t="shared" si="175"/>
        <v>1</v>
      </c>
      <c r="V1110">
        <f t="shared" si="176"/>
        <v>1</v>
      </c>
      <c r="W1110">
        <f t="shared" si="177"/>
        <v>1</v>
      </c>
      <c r="X1110">
        <f t="shared" si="178"/>
        <v>0.99999999999999989</v>
      </c>
      <c r="Y1110" t="str">
        <f t="shared" si="179"/>
        <v>Healthy</v>
      </c>
    </row>
    <row r="1111" spans="1:25" x14ac:dyDescent="0.35">
      <c r="A1111" t="s">
        <v>14</v>
      </c>
      <c r="B1111" t="s">
        <v>267</v>
      </c>
      <c r="C1111" t="s">
        <v>938</v>
      </c>
      <c r="D1111" t="s">
        <v>939</v>
      </c>
      <c r="E1111">
        <v>80818335</v>
      </c>
      <c r="F1111" t="s">
        <v>940</v>
      </c>
      <c r="G1111" s="3">
        <v>47906</v>
      </c>
      <c r="H1111">
        <v>60</v>
      </c>
      <c r="I1111">
        <v>95</v>
      </c>
      <c r="J1111">
        <v>40</v>
      </c>
      <c r="K1111" s="4">
        <v>39049.599999999999</v>
      </c>
      <c r="L1111" s="4">
        <v>698.85714285714289</v>
      </c>
      <c r="M1111" s="4">
        <v>5.7236304170073589E-2</v>
      </c>
      <c r="N1111" t="s">
        <v>25</v>
      </c>
      <c r="O1111" t="str">
        <f t="shared" si="170"/>
        <v>Low</v>
      </c>
      <c r="P1111" t="str">
        <f t="shared" si="171"/>
        <v>Low</v>
      </c>
      <c r="Q1111" t="str">
        <f t="shared" si="172"/>
        <v>Low</v>
      </c>
      <c r="R1111" t="s">
        <v>3317</v>
      </c>
      <c r="S1111" s="4">
        <f t="shared" ca="1" si="173"/>
        <v>1709</v>
      </c>
      <c r="T1111">
        <f t="shared" si="174"/>
        <v>1</v>
      </c>
      <c r="U1111">
        <f t="shared" si="175"/>
        <v>1</v>
      </c>
      <c r="V1111">
        <f t="shared" si="176"/>
        <v>1</v>
      </c>
      <c r="W1111">
        <f t="shared" si="177"/>
        <v>1</v>
      </c>
      <c r="X1111">
        <f t="shared" si="178"/>
        <v>0.99999999999999989</v>
      </c>
      <c r="Y1111" t="str">
        <f t="shared" si="179"/>
        <v>Healthy</v>
      </c>
    </row>
    <row r="1112" spans="1:25" x14ac:dyDescent="0.35">
      <c r="A1112" t="s">
        <v>14</v>
      </c>
      <c r="B1112" t="s">
        <v>267</v>
      </c>
      <c r="C1112" t="s">
        <v>938</v>
      </c>
      <c r="D1112" t="s">
        <v>939</v>
      </c>
      <c r="E1112">
        <v>80818335</v>
      </c>
      <c r="F1112" t="s">
        <v>940</v>
      </c>
      <c r="G1112" s="3">
        <v>47845</v>
      </c>
      <c r="H1112">
        <v>60</v>
      </c>
      <c r="I1112">
        <v>92</v>
      </c>
      <c r="J1112">
        <v>28</v>
      </c>
      <c r="K1112" s="4">
        <v>27334.720000000001</v>
      </c>
      <c r="L1112" s="4">
        <v>698.85714285714289</v>
      </c>
      <c r="M1112" s="4">
        <v>4.006541291905151E-2</v>
      </c>
      <c r="N1112" t="s">
        <v>25</v>
      </c>
      <c r="O1112" t="str">
        <f t="shared" si="170"/>
        <v>Low</v>
      </c>
      <c r="P1112" t="str">
        <f t="shared" si="171"/>
        <v>Low</v>
      </c>
      <c r="Q1112" t="str">
        <f t="shared" si="172"/>
        <v>Low</v>
      </c>
      <c r="R1112" t="s">
        <v>3317</v>
      </c>
      <c r="S1112" s="4">
        <f t="shared" ca="1" si="173"/>
        <v>1648</v>
      </c>
      <c r="T1112">
        <f t="shared" si="174"/>
        <v>1</v>
      </c>
      <c r="U1112">
        <f t="shared" si="175"/>
        <v>1</v>
      </c>
      <c r="V1112">
        <f t="shared" si="176"/>
        <v>1</v>
      </c>
      <c r="W1112">
        <f t="shared" si="177"/>
        <v>1</v>
      </c>
      <c r="X1112">
        <f t="shared" si="178"/>
        <v>0.99999999999999989</v>
      </c>
      <c r="Y1112" t="str">
        <f t="shared" si="179"/>
        <v>Healthy</v>
      </c>
    </row>
    <row r="1113" spans="1:25" x14ac:dyDescent="0.35">
      <c r="A1113" t="s">
        <v>14</v>
      </c>
      <c r="B1113" t="s">
        <v>267</v>
      </c>
      <c r="C1113" t="s">
        <v>938</v>
      </c>
      <c r="D1113" t="s">
        <v>939</v>
      </c>
      <c r="E1113">
        <v>80818335</v>
      </c>
      <c r="F1113" t="s">
        <v>940</v>
      </c>
      <c r="G1113" s="3">
        <v>47861</v>
      </c>
      <c r="H1113">
        <v>60</v>
      </c>
      <c r="I1113">
        <v>93</v>
      </c>
      <c r="J1113">
        <v>6</v>
      </c>
      <c r="K1113" s="4">
        <v>5857.44</v>
      </c>
      <c r="L1113" s="4">
        <v>698.85714285714289</v>
      </c>
      <c r="M1113" s="4">
        <v>8.5854456255110376E-3</v>
      </c>
      <c r="N1113" t="s">
        <v>25</v>
      </c>
      <c r="O1113" t="str">
        <f t="shared" si="170"/>
        <v>Low</v>
      </c>
      <c r="P1113" t="str">
        <f t="shared" si="171"/>
        <v>Low</v>
      </c>
      <c r="Q1113" t="str">
        <f t="shared" si="172"/>
        <v>Low</v>
      </c>
      <c r="R1113" t="s">
        <v>3317</v>
      </c>
      <c r="S1113" s="4">
        <f t="shared" ca="1" si="173"/>
        <v>1664</v>
      </c>
      <c r="T1113">
        <f t="shared" si="174"/>
        <v>1</v>
      </c>
      <c r="U1113">
        <f t="shared" si="175"/>
        <v>1</v>
      </c>
      <c r="V1113">
        <f t="shared" si="176"/>
        <v>1</v>
      </c>
      <c r="W1113">
        <f t="shared" si="177"/>
        <v>1</v>
      </c>
      <c r="X1113">
        <f t="shared" si="178"/>
        <v>0.99999999999999989</v>
      </c>
      <c r="Y1113" t="str">
        <f t="shared" si="179"/>
        <v>Healthy</v>
      </c>
    </row>
    <row r="1114" spans="1:25" x14ac:dyDescent="0.35">
      <c r="A1114" t="s">
        <v>41</v>
      </c>
      <c r="B1114" t="s">
        <v>54</v>
      </c>
      <c r="C1114" t="s">
        <v>55</v>
      </c>
      <c r="D1114" t="s">
        <v>941</v>
      </c>
      <c r="E1114">
        <v>80827962</v>
      </c>
      <c r="F1114" t="s">
        <v>942</v>
      </c>
      <c r="G1114" s="3">
        <v>46893</v>
      </c>
      <c r="H1114">
        <v>36</v>
      </c>
      <c r="I1114">
        <v>65</v>
      </c>
      <c r="J1114">
        <v>18</v>
      </c>
      <c r="K1114" s="4">
        <v>2858.94</v>
      </c>
      <c r="L1114" s="4">
        <v>171.14285714285714</v>
      </c>
      <c r="M1114" s="4">
        <v>0.10517529215358931</v>
      </c>
      <c r="N1114" t="s">
        <v>25</v>
      </c>
      <c r="O1114" t="str">
        <f t="shared" si="170"/>
        <v>Low</v>
      </c>
      <c r="P1114" t="str">
        <f t="shared" si="171"/>
        <v>Low</v>
      </c>
      <c r="Q1114" t="str">
        <f t="shared" si="172"/>
        <v>Low</v>
      </c>
      <c r="R1114" t="s">
        <v>3317</v>
      </c>
      <c r="S1114" s="4">
        <f t="shared" ca="1" si="173"/>
        <v>696</v>
      </c>
      <c r="T1114">
        <f t="shared" si="174"/>
        <v>1</v>
      </c>
      <c r="U1114">
        <f t="shared" si="175"/>
        <v>1</v>
      </c>
      <c r="V1114">
        <f t="shared" si="176"/>
        <v>1</v>
      </c>
      <c r="W1114">
        <f t="shared" si="177"/>
        <v>1</v>
      </c>
      <c r="X1114">
        <f t="shared" si="178"/>
        <v>0.99999999999999989</v>
      </c>
      <c r="Y1114" t="str">
        <f t="shared" si="179"/>
        <v>Healthy</v>
      </c>
    </row>
    <row r="1115" spans="1:25" x14ac:dyDescent="0.35">
      <c r="A1115" t="s">
        <v>20</v>
      </c>
      <c r="B1115" t="s">
        <v>21</v>
      </c>
      <c r="C1115" t="s">
        <v>313</v>
      </c>
      <c r="D1115" t="s">
        <v>884</v>
      </c>
      <c r="E1115">
        <v>80828249</v>
      </c>
      <c r="F1115" t="s">
        <v>943</v>
      </c>
      <c r="G1115" s="3">
        <v>46706</v>
      </c>
      <c r="H1115">
        <v>36</v>
      </c>
      <c r="I1115">
        <v>48</v>
      </c>
      <c r="J1115">
        <v>18</v>
      </c>
      <c r="K1115" s="4">
        <v>864</v>
      </c>
      <c r="L1115" s="4">
        <v>438.71428571428572</v>
      </c>
      <c r="M1115" s="4">
        <v>4.1028980788016929E-2</v>
      </c>
      <c r="N1115" t="s">
        <v>25</v>
      </c>
      <c r="O1115" t="str">
        <f t="shared" si="170"/>
        <v>Low</v>
      </c>
      <c r="P1115" t="str">
        <f t="shared" si="171"/>
        <v>Low</v>
      </c>
      <c r="Q1115" t="str">
        <f t="shared" si="172"/>
        <v>Low</v>
      </c>
      <c r="R1115" t="s">
        <v>3317</v>
      </c>
      <c r="S1115" s="4">
        <f t="shared" ca="1" si="173"/>
        <v>509</v>
      </c>
      <c r="T1115">
        <f t="shared" si="174"/>
        <v>1</v>
      </c>
      <c r="U1115">
        <f t="shared" si="175"/>
        <v>1</v>
      </c>
      <c r="V1115">
        <f t="shared" si="176"/>
        <v>1</v>
      </c>
      <c r="W1115">
        <f t="shared" si="177"/>
        <v>1</v>
      </c>
      <c r="X1115">
        <f t="shared" si="178"/>
        <v>0.99999999999999989</v>
      </c>
      <c r="Y1115" t="str">
        <f t="shared" si="179"/>
        <v>Healthy</v>
      </c>
    </row>
    <row r="1116" spans="1:25" x14ac:dyDescent="0.35">
      <c r="A1116" t="s">
        <v>20</v>
      </c>
      <c r="B1116" t="s">
        <v>21</v>
      </c>
      <c r="C1116" t="s">
        <v>313</v>
      </c>
      <c r="D1116" t="s">
        <v>884</v>
      </c>
      <c r="E1116">
        <v>80828249</v>
      </c>
      <c r="F1116" t="s">
        <v>943</v>
      </c>
      <c r="G1116" s="3">
        <v>46977</v>
      </c>
      <c r="H1116">
        <v>36</v>
      </c>
      <c r="I1116">
        <v>73</v>
      </c>
      <c r="J1116">
        <v>2</v>
      </c>
      <c r="K1116" s="4">
        <v>96</v>
      </c>
      <c r="L1116" s="4">
        <v>438.71428571428572</v>
      </c>
      <c r="M1116" s="4">
        <v>4.5587756431129927E-3</v>
      </c>
      <c r="N1116" t="s">
        <v>25</v>
      </c>
      <c r="O1116" t="str">
        <f t="shared" si="170"/>
        <v>Low</v>
      </c>
      <c r="P1116" t="str">
        <f t="shared" si="171"/>
        <v>Low</v>
      </c>
      <c r="Q1116" t="str">
        <f t="shared" si="172"/>
        <v>Low</v>
      </c>
      <c r="R1116" t="s">
        <v>3317</v>
      </c>
      <c r="S1116" s="4">
        <f t="shared" ca="1" si="173"/>
        <v>780</v>
      </c>
      <c r="T1116">
        <f t="shared" si="174"/>
        <v>1</v>
      </c>
      <c r="U1116">
        <f t="shared" si="175"/>
        <v>1</v>
      </c>
      <c r="V1116">
        <f t="shared" si="176"/>
        <v>1</v>
      </c>
      <c r="W1116">
        <f t="shared" si="177"/>
        <v>1</v>
      </c>
      <c r="X1116">
        <f t="shared" si="178"/>
        <v>0.99999999999999989</v>
      </c>
      <c r="Y1116" t="str">
        <f t="shared" si="179"/>
        <v>Healthy</v>
      </c>
    </row>
    <row r="1117" spans="1:25" x14ac:dyDescent="0.35">
      <c r="A1117" t="s">
        <v>944</v>
      </c>
      <c r="B1117" t="s">
        <v>945</v>
      </c>
      <c r="C1117" t="s">
        <v>946</v>
      </c>
      <c r="D1117" t="s">
        <v>947</v>
      </c>
      <c r="E1117">
        <v>80821340</v>
      </c>
      <c r="F1117" t="s">
        <v>948</v>
      </c>
      <c r="G1117" s="3">
        <v>47672</v>
      </c>
      <c r="H1117">
        <v>60</v>
      </c>
      <c r="I1117">
        <v>82</v>
      </c>
      <c r="J1117">
        <v>10</v>
      </c>
      <c r="K1117" s="4">
        <v>39262.699999999997</v>
      </c>
      <c r="L1117" s="4">
        <v>12.142857142857142</v>
      </c>
      <c r="M1117" s="4">
        <v>0.82352941176470595</v>
      </c>
      <c r="N1117" t="s">
        <v>25</v>
      </c>
      <c r="O1117" t="str">
        <f t="shared" si="170"/>
        <v>Low</v>
      </c>
      <c r="P1117" t="str">
        <f t="shared" si="171"/>
        <v>Low</v>
      </c>
      <c r="Q1117" t="str">
        <f t="shared" si="172"/>
        <v>Medium</v>
      </c>
      <c r="R1117" t="s">
        <v>3317</v>
      </c>
      <c r="S1117" s="4">
        <f t="shared" ca="1" si="173"/>
        <v>1475</v>
      </c>
      <c r="T1117">
        <f t="shared" si="174"/>
        <v>1</v>
      </c>
      <c r="U1117">
        <f t="shared" si="175"/>
        <v>1</v>
      </c>
      <c r="V1117">
        <f t="shared" si="176"/>
        <v>2</v>
      </c>
      <c r="W1117">
        <f t="shared" si="177"/>
        <v>1</v>
      </c>
      <c r="X1117">
        <f t="shared" si="178"/>
        <v>1.2000000000000002</v>
      </c>
      <c r="Y1117" t="str">
        <f t="shared" si="179"/>
        <v>Healthy</v>
      </c>
    </row>
    <row r="1118" spans="1:25" x14ac:dyDescent="0.35">
      <c r="A1118" t="s">
        <v>944</v>
      </c>
      <c r="B1118" t="s">
        <v>945</v>
      </c>
      <c r="C1118" t="s">
        <v>946</v>
      </c>
      <c r="D1118" t="s">
        <v>947</v>
      </c>
      <c r="E1118">
        <v>80821340</v>
      </c>
      <c r="F1118" t="s">
        <v>948</v>
      </c>
      <c r="G1118" s="3">
        <v>47702</v>
      </c>
      <c r="H1118">
        <v>60</v>
      </c>
      <c r="I1118">
        <v>84</v>
      </c>
      <c r="J1118">
        <v>10</v>
      </c>
      <c r="K1118" s="4">
        <v>39262.699999999997</v>
      </c>
      <c r="L1118" s="4">
        <v>12.142857142857142</v>
      </c>
      <c r="M1118" s="4">
        <v>0.82352941176470595</v>
      </c>
      <c r="N1118" t="s">
        <v>25</v>
      </c>
      <c r="O1118" t="str">
        <f t="shared" si="170"/>
        <v>Low</v>
      </c>
      <c r="P1118" t="str">
        <f t="shared" si="171"/>
        <v>Low</v>
      </c>
      <c r="Q1118" t="str">
        <f t="shared" si="172"/>
        <v>Medium</v>
      </c>
      <c r="R1118" t="s">
        <v>3317</v>
      </c>
      <c r="S1118" s="4">
        <f t="shared" ca="1" si="173"/>
        <v>1505</v>
      </c>
      <c r="T1118">
        <f t="shared" si="174"/>
        <v>1</v>
      </c>
      <c r="U1118">
        <f t="shared" si="175"/>
        <v>1</v>
      </c>
      <c r="V1118">
        <f t="shared" si="176"/>
        <v>2</v>
      </c>
      <c r="W1118">
        <f t="shared" si="177"/>
        <v>1</v>
      </c>
      <c r="X1118">
        <f t="shared" si="178"/>
        <v>1.2000000000000002</v>
      </c>
      <c r="Y1118" t="str">
        <f t="shared" si="179"/>
        <v>Healthy</v>
      </c>
    </row>
    <row r="1119" spans="1:25" x14ac:dyDescent="0.35">
      <c r="A1119" t="s">
        <v>944</v>
      </c>
      <c r="B1119" t="s">
        <v>945</v>
      </c>
      <c r="C1119" t="s">
        <v>946</v>
      </c>
      <c r="D1119" t="s">
        <v>947</v>
      </c>
      <c r="E1119">
        <v>80821340</v>
      </c>
      <c r="F1119" t="s">
        <v>948</v>
      </c>
      <c r="G1119" s="3">
        <v>47348</v>
      </c>
      <c r="H1119">
        <v>60</v>
      </c>
      <c r="I1119">
        <v>64</v>
      </c>
      <c r="J1119">
        <v>10</v>
      </c>
      <c r="K1119" s="4">
        <v>39262.699999999997</v>
      </c>
      <c r="L1119" s="4">
        <v>12.142857142857142</v>
      </c>
      <c r="M1119" s="4">
        <v>0.82352941176470595</v>
      </c>
      <c r="N1119" t="s">
        <v>25</v>
      </c>
      <c r="O1119" t="str">
        <f t="shared" si="170"/>
        <v>Low</v>
      </c>
      <c r="P1119" t="str">
        <f t="shared" si="171"/>
        <v>Low</v>
      </c>
      <c r="Q1119" t="str">
        <f t="shared" si="172"/>
        <v>Medium</v>
      </c>
      <c r="R1119" t="s">
        <v>3317</v>
      </c>
      <c r="S1119" s="4">
        <f t="shared" ca="1" si="173"/>
        <v>1151</v>
      </c>
      <c r="T1119">
        <f t="shared" si="174"/>
        <v>1</v>
      </c>
      <c r="U1119">
        <f t="shared" si="175"/>
        <v>1</v>
      </c>
      <c r="V1119">
        <f t="shared" si="176"/>
        <v>2</v>
      </c>
      <c r="W1119">
        <f t="shared" si="177"/>
        <v>1</v>
      </c>
      <c r="X1119">
        <f t="shared" si="178"/>
        <v>1.2000000000000002</v>
      </c>
      <c r="Y1119" t="str">
        <f t="shared" si="179"/>
        <v>Healthy</v>
      </c>
    </row>
    <row r="1120" spans="1:25" x14ac:dyDescent="0.35">
      <c r="A1120" t="s">
        <v>944</v>
      </c>
      <c r="B1120" t="s">
        <v>945</v>
      </c>
      <c r="C1120" t="s">
        <v>946</v>
      </c>
      <c r="D1120" t="s">
        <v>947</v>
      </c>
      <c r="E1120">
        <v>80821340</v>
      </c>
      <c r="F1120" t="s">
        <v>948</v>
      </c>
      <c r="G1120" s="3">
        <v>47687</v>
      </c>
      <c r="H1120">
        <v>60</v>
      </c>
      <c r="I1120">
        <v>83</v>
      </c>
      <c r="J1120">
        <v>5</v>
      </c>
      <c r="K1120" s="4">
        <v>19631.349999999999</v>
      </c>
      <c r="L1120" s="4">
        <v>12.142857142857142</v>
      </c>
      <c r="M1120" s="4">
        <v>0.41176470588235298</v>
      </c>
      <c r="N1120" t="s">
        <v>25</v>
      </c>
      <c r="O1120" t="str">
        <f t="shared" si="170"/>
        <v>Low</v>
      </c>
      <c r="P1120" t="str">
        <f t="shared" si="171"/>
        <v>Low</v>
      </c>
      <c r="Q1120" t="str">
        <f t="shared" si="172"/>
        <v>Medium</v>
      </c>
      <c r="R1120" t="s">
        <v>3317</v>
      </c>
      <c r="S1120" s="4">
        <f t="shared" ca="1" si="173"/>
        <v>1490</v>
      </c>
      <c r="T1120">
        <f t="shared" si="174"/>
        <v>1</v>
      </c>
      <c r="U1120">
        <f t="shared" si="175"/>
        <v>1</v>
      </c>
      <c r="V1120">
        <f t="shared" si="176"/>
        <v>2</v>
      </c>
      <c r="W1120">
        <f t="shared" si="177"/>
        <v>1</v>
      </c>
      <c r="X1120">
        <f t="shared" si="178"/>
        <v>1.2000000000000002</v>
      </c>
      <c r="Y1120" t="str">
        <f t="shared" si="179"/>
        <v>Healthy</v>
      </c>
    </row>
    <row r="1121" spans="1:25" x14ac:dyDescent="0.35">
      <c r="A1121" t="s">
        <v>99</v>
      </c>
      <c r="B1121" t="s">
        <v>100</v>
      </c>
      <c r="C1121" t="s">
        <v>375</v>
      </c>
      <c r="D1121" t="s">
        <v>949</v>
      </c>
      <c r="E1121">
        <v>80739908</v>
      </c>
      <c r="F1121" t="s">
        <v>950</v>
      </c>
      <c r="G1121" s="3">
        <v>46688</v>
      </c>
      <c r="H1121">
        <v>36</v>
      </c>
      <c r="I1121">
        <v>46</v>
      </c>
      <c r="J1121">
        <v>5</v>
      </c>
      <c r="K1121" s="4">
        <v>1238.55</v>
      </c>
      <c r="L1121" s="4">
        <f>0</f>
        <v>0</v>
      </c>
      <c r="M1121" s="4">
        <f>999</f>
        <v>999</v>
      </c>
      <c r="N1121" t="s">
        <v>19</v>
      </c>
      <c r="O1121" t="str">
        <f t="shared" si="170"/>
        <v>Low</v>
      </c>
      <c r="P1121" t="str">
        <f t="shared" si="171"/>
        <v>High</v>
      </c>
      <c r="Q1121" t="str">
        <f t="shared" si="172"/>
        <v>High</v>
      </c>
      <c r="R1121" t="s">
        <v>3317</v>
      </c>
      <c r="S1121" s="4">
        <f t="shared" ca="1" si="173"/>
        <v>491</v>
      </c>
      <c r="T1121">
        <f t="shared" si="174"/>
        <v>1</v>
      </c>
      <c r="U1121">
        <f t="shared" si="175"/>
        <v>3</v>
      </c>
      <c r="V1121">
        <f t="shared" si="176"/>
        <v>3</v>
      </c>
      <c r="W1121">
        <f t="shared" si="177"/>
        <v>1</v>
      </c>
      <c r="X1121">
        <f t="shared" si="178"/>
        <v>2</v>
      </c>
      <c r="Y1121" t="str">
        <f t="shared" si="179"/>
        <v>Monitor</v>
      </c>
    </row>
    <row r="1122" spans="1:25" x14ac:dyDescent="0.35">
      <c r="A1122" t="s">
        <v>14</v>
      </c>
      <c r="B1122" t="s">
        <v>58</v>
      </c>
      <c r="C1122" t="s">
        <v>951</v>
      </c>
      <c r="D1122" t="s">
        <v>952</v>
      </c>
      <c r="E1122">
        <v>80821544</v>
      </c>
      <c r="F1122" t="s">
        <v>953</v>
      </c>
      <c r="G1122" s="3">
        <v>47862</v>
      </c>
      <c r="H1122">
        <v>60</v>
      </c>
      <c r="I1122">
        <v>93</v>
      </c>
      <c r="J1122">
        <v>34</v>
      </c>
      <c r="K1122" s="4">
        <v>69911.48</v>
      </c>
      <c r="L1122" s="4">
        <v>112.14285714285714</v>
      </c>
      <c r="M1122" s="4">
        <v>0.30318471337579617</v>
      </c>
      <c r="N1122" t="s">
        <v>25</v>
      </c>
      <c r="O1122" t="str">
        <f t="shared" si="170"/>
        <v>Low</v>
      </c>
      <c r="P1122" t="str">
        <f t="shared" si="171"/>
        <v>Low</v>
      </c>
      <c r="Q1122" t="str">
        <f t="shared" si="172"/>
        <v>Low</v>
      </c>
      <c r="R1122" t="s">
        <v>3310</v>
      </c>
      <c r="S1122" s="4">
        <f t="shared" ca="1" si="173"/>
        <v>1665</v>
      </c>
      <c r="T1122">
        <f t="shared" si="174"/>
        <v>1</v>
      </c>
      <c r="U1122">
        <f t="shared" si="175"/>
        <v>1</v>
      </c>
      <c r="V1122">
        <f t="shared" si="176"/>
        <v>1</v>
      </c>
      <c r="W1122">
        <f t="shared" si="177"/>
        <v>2</v>
      </c>
      <c r="X1122">
        <f t="shared" si="178"/>
        <v>1.0999999999999999</v>
      </c>
      <c r="Y1122" t="str">
        <f t="shared" si="179"/>
        <v>Healthy</v>
      </c>
    </row>
    <row r="1123" spans="1:25" x14ac:dyDescent="0.35">
      <c r="A1123" t="s">
        <v>14</v>
      </c>
      <c r="B1123" t="s">
        <v>58</v>
      </c>
      <c r="C1123" t="s">
        <v>951</v>
      </c>
      <c r="D1123" t="s">
        <v>952</v>
      </c>
      <c r="E1123">
        <v>80821544</v>
      </c>
      <c r="F1123" t="s">
        <v>953</v>
      </c>
      <c r="G1123" s="3">
        <v>47782</v>
      </c>
      <c r="H1123">
        <v>60</v>
      </c>
      <c r="I1123">
        <v>88</v>
      </c>
      <c r="J1123">
        <v>12</v>
      </c>
      <c r="K1123" s="4">
        <v>24674.639999999999</v>
      </c>
      <c r="L1123" s="4">
        <v>112.14285714285714</v>
      </c>
      <c r="M1123" s="4">
        <v>0.1070063694267516</v>
      </c>
      <c r="N1123" t="s">
        <v>25</v>
      </c>
      <c r="O1123" t="str">
        <f t="shared" si="170"/>
        <v>Low</v>
      </c>
      <c r="P1123" t="str">
        <f t="shared" si="171"/>
        <v>Low</v>
      </c>
      <c r="Q1123" t="str">
        <f t="shared" si="172"/>
        <v>Low</v>
      </c>
      <c r="R1123" t="s">
        <v>3317</v>
      </c>
      <c r="S1123" s="4">
        <f t="shared" ca="1" si="173"/>
        <v>1585</v>
      </c>
      <c r="T1123">
        <f t="shared" si="174"/>
        <v>1</v>
      </c>
      <c r="U1123">
        <f t="shared" si="175"/>
        <v>1</v>
      </c>
      <c r="V1123">
        <f t="shared" si="176"/>
        <v>1</v>
      </c>
      <c r="W1123">
        <f t="shared" si="177"/>
        <v>1</v>
      </c>
      <c r="X1123">
        <f t="shared" si="178"/>
        <v>0.99999999999999989</v>
      </c>
      <c r="Y1123" t="str">
        <f t="shared" si="179"/>
        <v>Healthy</v>
      </c>
    </row>
    <row r="1124" spans="1:25" x14ac:dyDescent="0.35">
      <c r="A1124" t="s">
        <v>71</v>
      </c>
      <c r="B1124" t="s">
        <v>72</v>
      </c>
      <c r="C1124" t="s">
        <v>174</v>
      </c>
      <c r="D1124" t="s">
        <v>286</v>
      </c>
      <c r="E1124">
        <v>80829169</v>
      </c>
      <c r="F1124" t="s">
        <v>954</v>
      </c>
      <c r="G1124" s="3">
        <v>46911</v>
      </c>
      <c r="H1124">
        <v>36</v>
      </c>
      <c r="I1124">
        <v>67</v>
      </c>
      <c r="J1124">
        <v>1</v>
      </c>
      <c r="K1124" s="4">
        <v>671.98</v>
      </c>
      <c r="L1124" s="4">
        <v>2.1428571428571428</v>
      </c>
      <c r="M1124" s="4">
        <v>0.46666666666666667</v>
      </c>
      <c r="N1124" t="s">
        <v>25</v>
      </c>
      <c r="O1124" t="str">
        <f t="shared" si="170"/>
        <v>Low</v>
      </c>
      <c r="P1124" t="str">
        <f t="shared" si="171"/>
        <v>Low</v>
      </c>
      <c r="Q1124" t="str">
        <f t="shared" si="172"/>
        <v>High</v>
      </c>
      <c r="R1124" t="s">
        <v>3317</v>
      </c>
      <c r="S1124" s="4">
        <f t="shared" ca="1" si="173"/>
        <v>714</v>
      </c>
      <c r="T1124">
        <f t="shared" si="174"/>
        <v>1</v>
      </c>
      <c r="U1124">
        <f t="shared" si="175"/>
        <v>1</v>
      </c>
      <c r="V1124">
        <f t="shared" si="176"/>
        <v>3</v>
      </c>
      <c r="W1124">
        <f t="shared" si="177"/>
        <v>1</v>
      </c>
      <c r="X1124">
        <f t="shared" si="178"/>
        <v>1.4000000000000001</v>
      </c>
      <c r="Y1124" t="str">
        <f t="shared" si="179"/>
        <v>Healthy</v>
      </c>
    </row>
    <row r="1125" spans="1:25" x14ac:dyDescent="0.35">
      <c r="A1125" t="s">
        <v>71</v>
      </c>
      <c r="B1125" t="s">
        <v>72</v>
      </c>
      <c r="C1125" t="s">
        <v>150</v>
      </c>
      <c r="D1125" t="s">
        <v>955</v>
      </c>
      <c r="E1125">
        <v>80815803</v>
      </c>
      <c r="F1125" t="s">
        <v>956</v>
      </c>
      <c r="G1125" s="3">
        <v>46828</v>
      </c>
      <c r="H1125">
        <v>36</v>
      </c>
      <c r="I1125">
        <v>59</v>
      </c>
      <c r="J1125">
        <v>45</v>
      </c>
      <c r="K1125" s="4">
        <v>936</v>
      </c>
      <c r="L1125" s="4">
        <f>0</f>
        <v>0</v>
      </c>
      <c r="M1125" s="4">
        <f>999</f>
        <v>999</v>
      </c>
      <c r="N1125" t="s">
        <v>19</v>
      </c>
      <c r="O1125" t="str">
        <f t="shared" si="170"/>
        <v>Low</v>
      </c>
      <c r="P1125" t="str">
        <f t="shared" si="171"/>
        <v>High</v>
      </c>
      <c r="Q1125" t="str">
        <f t="shared" si="172"/>
        <v>High</v>
      </c>
      <c r="R1125" t="s">
        <v>3317</v>
      </c>
      <c r="S1125" s="4">
        <f t="shared" ca="1" si="173"/>
        <v>631</v>
      </c>
      <c r="T1125">
        <f t="shared" si="174"/>
        <v>1</v>
      </c>
      <c r="U1125">
        <f t="shared" si="175"/>
        <v>3</v>
      </c>
      <c r="V1125">
        <f t="shared" si="176"/>
        <v>3</v>
      </c>
      <c r="W1125">
        <f t="shared" si="177"/>
        <v>1</v>
      </c>
      <c r="X1125">
        <f t="shared" si="178"/>
        <v>2</v>
      </c>
      <c r="Y1125" t="str">
        <f t="shared" si="179"/>
        <v>Monitor</v>
      </c>
    </row>
    <row r="1126" spans="1:25" x14ac:dyDescent="0.35">
      <c r="A1126" t="s">
        <v>71</v>
      </c>
      <c r="B1126" t="s">
        <v>72</v>
      </c>
      <c r="C1126" t="s">
        <v>150</v>
      </c>
      <c r="D1126" t="s">
        <v>955</v>
      </c>
      <c r="E1126">
        <v>80815803</v>
      </c>
      <c r="F1126" t="s">
        <v>956</v>
      </c>
      <c r="G1126" s="3">
        <v>46736</v>
      </c>
      <c r="H1126">
        <v>36</v>
      </c>
      <c r="I1126">
        <v>50</v>
      </c>
      <c r="J1126">
        <v>51</v>
      </c>
      <c r="K1126" s="4">
        <v>1060.8</v>
      </c>
      <c r="L1126" s="4">
        <f>0</f>
        <v>0</v>
      </c>
      <c r="M1126" s="4">
        <f>999</f>
        <v>999</v>
      </c>
      <c r="N1126" t="s">
        <v>19</v>
      </c>
      <c r="O1126" t="str">
        <f t="shared" si="170"/>
        <v>Low</v>
      </c>
      <c r="P1126" t="str">
        <f t="shared" si="171"/>
        <v>High</v>
      </c>
      <c r="Q1126" t="str">
        <f t="shared" si="172"/>
        <v>High</v>
      </c>
      <c r="R1126" t="s">
        <v>3317</v>
      </c>
      <c r="S1126" s="4">
        <f t="shared" ca="1" si="173"/>
        <v>539</v>
      </c>
      <c r="T1126">
        <f t="shared" si="174"/>
        <v>1</v>
      </c>
      <c r="U1126">
        <f t="shared" si="175"/>
        <v>3</v>
      </c>
      <c r="V1126">
        <f t="shared" si="176"/>
        <v>3</v>
      </c>
      <c r="W1126">
        <f t="shared" si="177"/>
        <v>1</v>
      </c>
      <c r="X1126">
        <f t="shared" si="178"/>
        <v>2</v>
      </c>
      <c r="Y1126" t="str">
        <f t="shared" si="179"/>
        <v>Monitor</v>
      </c>
    </row>
    <row r="1127" spans="1:25" x14ac:dyDescent="0.35">
      <c r="A1127" t="s">
        <v>71</v>
      </c>
      <c r="B1127" t="s">
        <v>72</v>
      </c>
      <c r="C1127" t="s">
        <v>150</v>
      </c>
      <c r="D1127" t="s">
        <v>955</v>
      </c>
      <c r="E1127">
        <v>80815803</v>
      </c>
      <c r="F1127" t="s">
        <v>956</v>
      </c>
      <c r="G1127" s="3">
        <v>46803</v>
      </c>
      <c r="H1127">
        <v>36</v>
      </c>
      <c r="I1127">
        <v>57</v>
      </c>
      <c r="J1127">
        <v>48</v>
      </c>
      <c r="K1127" s="4">
        <v>998.4</v>
      </c>
      <c r="L1127" s="4">
        <f>0</f>
        <v>0</v>
      </c>
      <c r="M1127" s="4">
        <f>999</f>
        <v>999</v>
      </c>
      <c r="N1127" t="s">
        <v>19</v>
      </c>
      <c r="O1127" t="str">
        <f t="shared" si="170"/>
        <v>Low</v>
      </c>
      <c r="P1127" t="str">
        <f t="shared" si="171"/>
        <v>High</v>
      </c>
      <c r="Q1127" t="str">
        <f t="shared" si="172"/>
        <v>High</v>
      </c>
      <c r="R1127" t="s">
        <v>3317</v>
      </c>
      <c r="S1127" s="4">
        <f t="shared" ca="1" si="173"/>
        <v>606</v>
      </c>
      <c r="T1127">
        <f t="shared" si="174"/>
        <v>1</v>
      </c>
      <c r="U1127">
        <f t="shared" si="175"/>
        <v>3</v>
      </c>
      <c r="V1127">
        <f t="shared" si="176"/>
        <v>3</v>
      </c>
      <c r="W1127">
        <f t="shared" si="177"/>
        <v>1</v>
      </c>
      <c r="X1127">
        <f t="shared" si="178"/>
        <v>2</v>
      </c>
      <c r="Y1127" t="str">
        <f t="shared" si="179"/>
        <v>Monitor</v>
      </c>
    </row>
    <row r="1128" spans="1:25" x14ac:dyDescent="0.35">
      <c r="A1128" t="s">
        <v>41</v>
      </c>
      <c r="B1128" t="s">
        <v>54</v>
      </c>
      <c r="C1128" t="s">
        <v>87</v>
      </c>
      <c r="D1128" t="s">
        <v>124</v>
      </c>
      <c r="E1128">
        <v>80839426</v>
      </c>
      <c r="F1128" t="s">
        <v>957</v>
      </c>
      <c r="G1128" s="3">
        <v>46769</v>
      </c>
      <c r="H1128">
        <v>36</v>
      </c>
      <c r="I1128">
        <v>53</v>
      </c>
      <c r="J1128">
        <v>5</v>
      </c>
      <c r="K1128" s="4">
        <v>2037.75</v>
      </c>
      <c r="L1128" s="4">
        <v>14.571428571428571</v>
      </c>
      <c r="M1128" s="4">
        <v>0.34313725490196079</v>
      </c>
      <c r="N1128" t="s">
        <v>25</v>
      </c>
      <c r="O1128" t="str">
        <f t="shared" si="170"/>
        <v>Low</v>
      </c>
      <c r="P1128" t="str">
        <f t="shared" si="171"/>
        <v>Low</v>
      </c>
      <c r="Q1128" t="str">
        <f t="shared" si="172"/>
        <v>Medium</v>
      </c>
      <c r="R1128" t="s">
        <v>3317</v>
      </c>
      <c r="S1128" s="4">
        <f t="shared" ca="1" si="173"/>
        <v>572</v>
      </c>
      <c r="T1128">
        <f t="shared" si="174"/>
        <v>1</v>
      </c>
      <c r="U1128">
        <f t="shared" si="175"/>
        <v>1</v>
      </c>
      <c r="V1128">
        <f t="shared" si="176"/>
        <v>2</v>
      </c>
      <c r="W1128">
        <f t="shared" si="177"/>
        <v>1</v>
      </c>
      <c r="X1128">
        <f t="shared" si="178"/>
        <v>1.2000000000000002</v>
      </c>
      <c r="Y1128" t="str">
        <f t="shared" si="179"/>
        <v>Healthy</v>
      </c>
    </row>
    <row r="1129" spans="1:25" x14ac:dyDescent="0.35">
      <c r="A1129" t="s">
        <v>179</v>
      </c>
      <c r="B1129" t="s">
        <v>195</v>
      </c>
      <c r="C1129" t="s">
        <v>199</v>
      </c>
      <c r="D1129" t="s">
        <v>958</v>
      </c>
      <c r="E1129">
        <v>80753274</v>
      </c>
      <c r="F1129" t="s">
        <v>959</v>
      </c>
      <c r="G1129" s="3">
        <v>46339</v>
      </c>
      <c r="H1129">
        <v>16</v>
      </c>
      <c r="I1129">
        <v>31</v>
      </c>
      <c r="J1129">
        <v>9</v>
      </c>
      <c r="K1129" s="4">
        <v>12199.68</v>
      </c>
      <c r="L1129" s="4">
        <v>2.2857142857142856</v>
      </c>
      <c r="M1129" s="4">
        <v>3.9375</v>
      </c>
      <c r="N1129" t="s">
        <v>25</v>
      </c>
      <c r="O1129" t="str">
        <f t="shared" si="170"/>
        <v>Medium</v>
      </c>
      <c r="P1129" t="str">
        <f t="shared" si="171"/>
        <v>Low</v>
      </c>
      <c r="Q1129" t="str">
        <f t="shared" si="172"/>
        <v>High</v>
      </c>
      <c r="R1129" t="s">
        <v>3317</v>
      </c>
      <c r="S1129" s="4">
        <f t="shared" ca="1" si="173"/>
        <v>142</v>
      </c>
      <c r="T1129">
        <f t="shared" si="174"/>
        <v>2</v>
      </c>
      <c r="U1129">
        <f t="shared" si="175"/>
        <v>1</v>
      </c>
      <c r="V1129">
        <f t="shared" si="176"/>
        <v>3</v>
      </c>
      <c r="W1129">
        <f t="shared" si="177"/>
        <v>1</v>
      </c>
      <c r="X1129">
        <f t="shared" si="178"/>
        <v>1.8000000000000003</v>
      </c>
      <c r="Y1129" t="str">
        <f t="shared" si="179"/>
        <v>Monitor</v>
      </c>
    </row>
    <row r="1130" spans="1:25" x14ac:dyDescent="0.35">
      <c r="A1130" t="s">
        <v>179</v>
      </c>
      <c r="B1130" t="s">
        <v>195</v>
      </c>
      <c r="C1130" t="s">
        <v>199</v>
      </c>
      <c r="D1130" t="s">
        <v>958</v>
      </c>
      <c r="E1130">
        <v>80753274</v>
      </c>
      <c r="F1130" t="s">
        <v>959</v>
      </c>
      <c r="G1130" s="3">
        <v>46003</v>
      </c>
      <c r="H1130">
        <v>16</v>
      </c>
      <c r="I1130">
        <v>0</v>
      </c>
      <c r="J1130">
        <v>11</v>
      </c>
      <c r="K1130" s="4">
        <v>14910.72</v>
      </c>
      <c r="L1130" s="4">
        <v>2.2857142857142856</v>
      </c>
      <c r="M1130" s="4">
        <v>4.8125</v>
      </c>
      <c r="N1130" t="s">
        <v>25</v>
      </c>
      <c r="O1130" t="str">
        <f t="shared" si="170"/>
        <v>High</v>
      </c>
      <c r="P1130" t="str">
        <f t="shared" si="171"/>
        <v>Medium</v>
      </c>
      <c r="Q1130" t="str">
        <f t="shared" si="172"/>
        <v>High</v>
      </c>
      <c r="R1130" t="s">
        <v>3317</v>
      </c>
      <c r="S1130" s="4">
        <f t="shared" ca="1" si="173"/>
        <v>-194</v>
      </c>
      <c r="T1130">
        <f t="shared" si="174"/>
        <v>3</v>
      </c>
      <c r="U1130">
        <f t="shared" si="175"/>
        <v>2</v>
      </c>
      <c r="V1130">
        <f t="shared" si="176"/>
        <v>3</v>
      </c>
      <c r="W1130">
        <f t="shared" si="177"/>
        <v>1</v>
      </c>
      <c r="X1130">
        <f t="shared" si="178"/>
        <v>2.5000000000000004</v>
      </c>
      <c r="Y1130" t="str">
        <f t="shared" si="179"/>
        <v>High Priority</v>
      </c>
    </row>
    <row r="1131" spans="1:25" x14ac:dyDescent="0.35">
      <c r="A1131" t="s">
        <v>179</v>
      </c>
      <c r="B1131" t="s">
        <v>195</v>
      </c>
      <c r="C1131" t="s">
        <v>199</v>
      </c>
      <c r="D1131" t="s">
        <v>958</v>
      </c>
      <c r="E1131">
        <v>80753274</v>
      </c>
      <c r="F1131" t="s">
        <v>959</v>
      </c>
      <c r="G1131" s="3">
        <v>46339</v>
      </c>
      <c r="H1131">
        <v>16</v>
      </c>
      <c r="I1131">
        <v>31</v>
      </c>
      <c r="J1131">
        <v>18</v>
      </c>
      <c r="K1131" s="4">
        <v>24399.360000000001</v>
      </c>
      <c r="L1131" s="4">
        <v>2.2857142857142856</v>
      </c>
      <c r="M1131" s="4">
        <v>7.875</v>
      </c>
      <c r="N1131" t="s">
        <v>19</v>
      </c>
      <c r="O1131" t="str">
        <f t="shared" si="170"/>
        <v>Medium</v>
      </c>
      <c r="P1131" t="str">
        <f t="shared" si="171"/>
        <v>Medium</v>
      </c>
      <c r="Q1131" t="str">
        <f t="shared" si="172"/>
        <v>High</v>
      </c>
      <c r="R1131" t="s">
        <v>3317</v>
      </c>
      <c r="S1131" s="4">
        <f t="shared" ca="1" si="173"/>
        <v>142</v>
      </c>
      <c r="T1131">
        <f t="shared" si="174"/>
        <v>2</v>
      </c>
      <c r="U1131">
        <f t="shared" si="175"/>
        <v>2</v>
      </c>
      <c r="V1131">
        <f t="shared" si="176"/>
        <v>3</v>
      </c>
      <c r="W1131">
        <f t="shared" si="177"/>
        <v>1</v>
      </c>
      <c r="X1131">
        <f t="shared" si="178"/>
        <v>2.1</v>
      </c>
      <c r="Y1131" t="str">
        <f t="shared" si="179"/>
        <v>Monitor</v>
      </c>
    </row>
    <row r="1132" spans="1:25" x14ac:dyDescent="0.35">
      <c r="A1132" t="s">
        <v>14</v>
      </c>
      <c r="B1132" t="s">
        <v>960</v>
      </c>
      <c r="C1132" t="s">
        <v>961</v>
      </c>
      <c r="D1132" t="s">
        <v>962</v>
      </c>
      <c r="E1132">
        <v>80764169</v>
      </c>
      <c r="F1132" t="s">
        <v>963</v>
      </c>
      <c r="G1132" s="3">
        <v>48318</v>
      </c>
      <c r="H1132">
        <v>60</v>
      </c>
      <c r="I1132">
        <v>100</v>
      </c>
      <c r="J1132">
        <v>199</v>
      </c>
      <c r="K1132" s="4">
        <v>2037.76</v>
      </c>
      <c r="L1132" s="4">
        <v>6038</v>
      </c>
      <c r="M1132" s="4">
        <v>3.2957933090427292E-2</v>
      </c>
      <c r="N1132" t="s">
        <v>25</v>
      </c>
      <c r="O1132" t="str">
        <f t="shared" si="170"/>
        <v>Low</v>
      </c>
      <c r="P1132" t="str">
        <f t="shared" si="171"/>
        <v>Low</v>
      </c>
      <c r="Q1132" t="str">
        <f t="shared" si="172"/>
        <v>Low</v>
      </c>
      <c r="R1132" t="s">
        <v>3317</v>
      </c>
      <c r="S1132" s="4">
        <f t="shared" ca="1" si="173"/>
        <v>2121</v>
      </c>
      <c r="T1132">
        <f t="shared" si="174"/>
        <v>1</v>
      </c>
      <c r="U1132">
        <f t="shared" si="175"/>
        <v>1</v>
      </c>
      <c r="V1132">
        <f t="shared" si="176"/>
        <v>1</v>
      </c>
      <c r="W1132">
        <f t="shared" si="177"/>
        <v>1</v>
      </c>
      <c r="X1132">
        <f t="shared" si="178"/>
        <v>0.99999999999999989</v>
      </c>
      <c r="Y1132" t="str">
        <f t="shared" si="179"/>
        <v>Healthy</v>
      </c>
    </row>
    <row r="1133" spans="1:25" x14ac:dyDescent="0.35">
      <c r="A1133" t="s">
        <v>189</v>
      </c>
      <c r="B1133" t="s">
        <v>639</v>
      </c>
      <c r="C1133" t="s">
        <v>639</v>
      </c>
      <c r="D1133" t="s">
        <v>964</v>
      </c>
      <c r="E1133">
        <v>80814529</v>
      </c>
      <c r="F1133" t="s">
        <v>965</v>
      </c>
      <c r="G1133" s="3">
        <v>47727</v>
      </c>
      <c r="H1133">
        <v>18</v>
      </c>
      <c r="I1133">
        <v>100</v>
      </c>
      <c r="J1133">
        <v>32</v>
      </c>
      <c r="K1133" s="4">
        <v>1343.04</v>
      </c>
      <c r="L1133" s="4">
        <f>0</f>
        <v>0</v>
      </c>
      <c r="M1133" s="4">
        <f>999</f>
        <v>999</v>
      </c>
      <c r="N1133" t="s">
        <v>19</v>
      </c>
      <c r="O1133" t="str">
        <f t="shared" si="170"/>
        <v>Low</v>
      </c>
      <c r="P1133" t="str">
        <f t="shared" si="171"/>
        <v>High</v>
      </c>
      <c r="Q1133" t="str">
        <f t="shared" si="172"/>
        <v>High</v>
      </c>
      <c r="R1133" t="s">
        <v>3317</v>
      </c>
      <c r="S1133" s="4">
        <f t="shared" ca="1" si="173"/>
        <v>1530</v>
      </c>
      <c r="T1133">
        <f t="shared" si="174"/>
        <v>1</v>
      </c>
      <c r="U1133">
        <f t="shared" si="175"/>
        <v>3</v>
      </c>
      <c r="V1133">
        <f t="shared" si="176"/>
        <v>3</v>
      </c>
      <c r="W1133">
        <f t="shared" si="177"/>
        <v>1</v>
      </c>
      <c r="X1133">
        <f t="shared" si="178"/>
        <v>2</v>
      </c>
      <c r="Y1133" t="str">
        <f t="shared" si="179"/>
        <v>Monitor</v>
      </c>
    </row>
    <row r="1134" spans="1:25" x14ac:dyDescent="0.35">
      <c r="A1134" t="s">
        <v>14</v>
      </c>
      <c r="B1134" t="s">
        <v>58</v>
      </c>
      <c r="C1134" t="s">
        <v>806</v>
      </c>
      <c r="D1134" t="s">
        <v>807</v>
      </c>
      <c r="E1134">
        <v>80763235</v>
      </c>
      <c r="F1134" t="s">
        <v>966</v>
      </c>
      <c r="G1134" s="3">
        <v>47782</v>
      </c>
      <c r="H1134">
        <v>60</v>
      </c>
      <c r="I1134">
        <v>88</v>
      </c>
      <c r="J1134">
        <v>9</v>
      </c>
      <c r="K1134" s="4">
        <v>7706.34</v>
      </c>
      <c r="L1134" s="4">
        <v>4</v>
      </c>
      <c r="M1134" s="4">
        <v>2.25</v>
      </c>
      <c r="N1134" t="s">
        <v>25</v>
      </c>
      <c r="O1134" t="str">
        <f t="shared" si="170"/>
        <v>Low</v>
      </c>
      <c r="P1134" t="str">
        <f t="shared" si="171"/>
        <v>Low</v>
      </c>
      <c r="Q1134" t="str">
        <f t="shared" si="172"/>
        <v>High</v>
      </c>
      <c r="R1134" t="s">
        <v>3317</v>
      </c>
      <c r="S1134" s="4">
        <f t="shared" ca="1" si="173"/>
        <v>1585</v>
      </c>
      <c r="T1134">
        <f t="shared" si="174"/>
        <v>1</v>
      </c>
      <c r="U1134">
        <f t="shared" si="175"/>
        <v>1</v>
      </c>
      <c r="V1134">
        <f t="shared" si="176"/>
        <v>3</v>
      </c>
      <c r="W1134">
        <f t="shared" si="177"/>
        <v>1</v>
      </c>
      <c r="X1134">
        <f t="shared" si="178"/>
        <v>1.4000000000000001</v>
      </c>
      <c r="Y1134" t="str">
        <f t="shared" si="179"/>
        <v>Healthy</v>
      </c>
    </row>
    <row r="1135" spans="1:25" x14ac:dyDescent="0.35">
      <c r="A1135" t="s">
        <v>14</v>
      </c>
      <c r="B1135" t="s">
        <v>58</v>
      </c>
      <c r="C1135" t="s">
        <v>806</v>
      </c>
      <c r="D1135" t="s">
        <v>807</v>
      </c>
      <c r="E1135">
        <v>80763235</v>
      </c>
      <c r="F1135" t="s">
        <v>966</v>
      </c>
      <c r="G1135" s="3">
        <v>47688</v>
      </c>
      <c r="H1135">
        <v>60</v>
      </c>
      <c r="I1135">
        <v>83</v>
      </c>
      <c r="J1135">
        <v>18</v>
      </c>
      <c r="K1135" s="4">
        <v>15412.68</v>
      </c>
      <c r="L1135" s="4">
        <v>4</v>
      </c>
      <c r="M1135" s="4">
        <v>4.5</v>
      </c>
      <c r="N1135" t="s">
        <v>25</v>
      </c>
      <c r="O1135" t="str">
        <f t="shared" si="170"/>
        <v>Low</v>
      </c>
      <c r="P1135" t="str">
        <f t="shared" si="171"/>
        <v>Medium</v>
      </c>
      <c r="Q1135" t="str">
        <f t="shared" si="172"/>
        <v>High</v>
      </c>
      <c r="R1135" t="s">
        <v>3317</v>
      </c>
      <c r="S1135" s="4">
        <f t="shared" ca="1" si="173"/>
        <v>1491</v>
      </c>
      <c r="T1135">
        <f t="shared" si="174"/>
        <v>1</v>
      </c>
      <c r="U1135">
        <f t="shared" si="175"/>
        <v>2</v>
      </c>
      <c r="V1135">
        <f t="shared" si="176"/>
        <v>3</v>
      </c>
      <c r="W1135">
        <f t="shared" si="177"/>
        <v>1</v>
      </c>
      <c r="X1135">
        <f t="shared" si="178"/>
        <v>1.7000000000000002</v>
      </c>
      <c r="Y1135" t="str">
        <f t="shared" si="179"/>
        <v>Monitor</v>
      </c>
    </row>
    <row r="1136" spans="1:25" x14ac:dyDescent="0.35">
      <c r="A1136" t="s">
        <v>14</v>
      </c>
      <c r="B1136" t="s">
        <v>58</v>
      </c>
      <c r="C1136" t="s">
        <v>806</v>
      </c>
      <c r="D1136" t="s">
        <v>807</v>
      </c>
      <c r="E1136">
        <v>80763235</v>
      </c>
      <c r="F1136" t="s">
        <v>966</v>
      </c>
      <c r="G1136" s="3">
        <v>47558</v>
      </c>
      <c r="H1136">
        <v>60</v>
      </c>
      <c r="I1136">
        <v>76</v>
      </c>
      <c r="J1136">
        <v>16</v>
      </c>
      <c r="K1136" s="4">
        <v>13700.16</v>
      </c>
      <c r="L1136" s="4">
        <v>4</v>
      </c>
      <c r="M1136" s="4">
        <v>4</v>
      </c>
      <c r="N1136" t="s">
        <v>25</v>
      </c>
      <c r="O1136" t="str">
        <f t="shared" si="170"/>
        <v>Low</v>
      </c>
      <c r="P1136" t="str">
        <f t="shared" si="171"/>
        <v>Low</v>
      </c>
      <c r="Q1136" t="str">
        <f t="shared" si="172"/>
        <v>High</v>
      </c>
      <c r="R1136" t="s">
        <v>3317</v>
      </c>
      <c r="S1136" s="4">
        <f t="shared" ca="1" si="173"/>
        <v>1361</v>
      </c>
      <c r="T1136">
        <f t="shared" si="174"/>
        <v>1</v>
      </c>
      <c r="U1136">
        <f t="shared" si="175"/>
        <v>1</v>
      </c>
      <c r="V1136">
        <f t="shared" si="176"/>
        <v>3</v>
      </c>
      <c r="W1136">
        <f t="shared" si="177"/>
        <v>1</v>
      </c>
      <c r="X1136">
        <f t="shared" si="178"/>
        <v>1.4000000000000001</v>
      </c>
      <c r="Y1136" t="str">
        <f t="shared" si="179"/>
        <v>Healthy</v>
      </c>
    </row>
    <row r="1137" spans="1:25" x14ac:dyDescent="0.35">
      <c r="A1137" t="s">
        <v>14</v>
      </c>
      <c r="B1137" t="s">
        <v>58</v>
      </c>
      <c r="C1137" t="s">
        <v>806</v>
      </c>
      <c r="D1137" t="s">
        <v>807</v>
      </c>
      <c r="E1137">
        <v>80763235</v>
      </c>
      <c r="F1137" t="s">
        <v>966</v>
      </c>
      <c r="G1137" s="3">
        <v>47654</v>
      </c>
      <c r="H1137">
        <v>60</v>
      </c>
      <c r="I1137">
        <v>81</v>
      </c>
      <c r="J1137">
        <v>9</v>
      </c>
      <c r="K1137" s="4">
        <v>7706.34</v>
      </c>
      <c r="L1137" s="4">
        <v>4</v>
      </c>
      <c r="M1137" s="4">
        <v>2.25</v>
      </c>
      <c r="N1137" t="s">
        <v>25</v>
      </c>
      <c r="O1137" t="str">
        <f t="shared" si="170"/>
        <v>Low</v>
      </c>
      <c r="P1137" t="str">
        <f t="shared" si="171"/>
        <v>Low</v>
      </c>
      <c r="Q1137" t="str">
        <f t="shared" si="172"/>
        <v>High</v>
      </c>
      <c r="R1137" t="s">
        <v>3317</v>
      </c>
      <c r="S1137" s="4">
        <f t="shared" ca="1" si="173"/>
        <v>1457</v>
      </c>
      <c r="T1137">
        <f t="shared" si="174"/>
        <v>1</v>
      </c>
      <c r="U1137">
        <f t="shared" si="175"/>
        <v>1</v>
      </c>
      <c r="V1137">
        <f t="shared" si="176"/>
        <v>3</v>
      </c>
      <c r="W1137">
        <f t="shared" si="177"/>
        <v>1</v>
      </c>
      <c r="X1137">
        <f t="shared" si="178"/>
        <v>1.4000000000000001</v>
      </c>
      <c r="Y1137" t="str">
        <f t="shared" si="179"/>
        <v>Healthy</v>
      </c>
    </row>
    <row r="1138" spans="1:25" x14ac:dyDescent="0.35">
      <c r="A1138" t="s">
        <v>71</v>
      </c>
      <c r="B1138" t="s">
        <v>72</v>
      </c>
      <c r="C1138" t="s">
        <v>320</v>
      </c>
      <c r="D1138" t="s">
        <v>870</v>
      </c>
      <c r="E1138">
        <v>80774691</v>
      </c>
      <c r="F1138" t="s">
        <v>967</v>
      </c>
      <c r="G1138" s="3">
        <v>47020</v>
      </c>
      <c r="H1138">
        <v>36</v>
      </c>
      <c r="I1138">
        <v>77</v>
      </c>
      <c r="J1138">
        <v>1</v>
      </c>
      <c r="K1138" s="4">
        <v>4607.8500000000004</v>
      </c>
      <c r="L1138" s="4">
        <f>0</f>
        <v>0</v>
      </c>
      <c r="M1138" s="4">
        <f>999</f>
        <v>999</v>
      </c>
      <c r="N1138" t="s">
        <v>19</v>
      </c>
      <c r="O1138" t="str">
        <f t="shared" si="170"/>
        <v>Low</v>
      </c>
      <c r="P1138" t="str">
        <f t="shared" si="171"/>
        <v>High</v>
      </c>
      <c r="Q1138" t="str">
        <f t="shared" si="172"/>
        <v>High</v>
      </c>
      <c r="R1138" t="s">
        <v>3317</v>
      </c>
      <c r="S1138" s="4">
        <f t="shared" ca="1" si="173"/>
        <v>823</v>
      </c>
      <c r="T1138">
        <f t="shared" si="174"/>
        <v>1</v>
      </c>
      <c r="U1138">
        <f t="shared" si="175"/>
        <v>3</v>
      </c>
      <c r="V1138">
        <f t="shared" si="176"/>
        <v>3</v>
      </c>
      <c r="W1138">
        <f t="shared" si="177"/>
        <v>1</v>
      </c>
      <c r="X1138">
        <f t="shared" si="178"/>
        <v>2</v>
      </c>
      <c r="Y1138" t="str">
        <f t="shared" si="179"/>
        <v>Monitor</v>
      </c>
    </row>
    <row r="1139" spans="1:25" x14ac:dyDescent="0.35">
      <c r="A1139" t="s">
        <v>41</v>
      </c>
      <c r="B1139" t="s">
        <v>54</v>
      </c>
      <c r="C1139" t="s">
        <v>459</v>
      </c>
      <c r="D1139" t="s">
        <v>968</v>
      </c>
      <c r="E1139">
        <v>80842742</v>
      </c>
      <c r="F1139" t="s">
        <v>969</v>
      </c>
      <c r="G1139" s="3">
        <v>46761</v>
      </c>
      <c r="H1139">
        <v>36</v>
      </c>
      <c r="I1139">
        <v>53</v>
      </c>
      <c r="J1139">
        <v>5</v>
      </c>
      <c r="K1139" s="4">
        <v>2037.75</v>
      </c>
      <c r="L1139" s="4">
        <f>0</f>
        <v>0</v>
      </c>
      <c r="M1139" s="4">
        <f>999</f>
        <v>999</v>
      </c>
      <c r="N1139" t="s">
        <v>19</v>
      </c>
      <c r="O1139" t="str">
        <f t="shared" si="170"/>
        <v>Low</v>
      </c>
      <c r="P1139" t="str">
        <f t="shared" si="171"/>
        <v>High</v>
      </c>
      <c r="Q1139" t="str">
        <f t="shared" si="172"/>
        <v>High</v>
      </c>
      <c r="R1139" t="s">
        <v>3317</v>
      </c>
      <c r="S1139" s="4">
        <f t="shared" ca="1" si="173"/>
        <v>564</v>
      </c>
      <c r="T1139">
        <f t="shared" si="174"/>
        <v>1</v>
      </c>
      <c r="U1139">
        <f t="shared" si="175"/>
        <v>3</v>
      </c>
      <c r="V1139">
        <f t="shared" si="176"/>
        <v>3</v>
      </c>
      <c r="W1139">
        <f t="shared" si="177"/>
        <v>1</v>
      </c>
      <c r="X1139">
        <f t="shared" si="178"/>
        <v>2</v>
      </c>
      <c r="Y1139" t="str">
        <f t="shared" si="179"/>
        <v>Monitor</v>
      </c>
    </row>
    <row r="1140" spans="1:25" x14ac:dyDescent="0.35">
      <c r="A1140" t="s">
        <v>90</v>
      </c>
      <c r="B1140" t="s">
        <v>970</v>
      </c>
      <c r="C1140" t="s">
        <v>971</v>
      </c>
      <c r="D1140" t="s">
        <v>972</v>
      </c>
      <c r="E1140">
        <v>80777729</v>
      </c>
      <c r="F1140" t="s">
        <v>973</v>
      </c>
      <c r="G1140" s="3">
        <v>45845</v>
      </c>
      <c r="H1140">
        <v>24</v>
      </c>
      <c r="I1140">
        <v>0</v>
      </c>
      <c r="J1140">
        <v>5</v>
      </c>
      <c r="K1140" s="4">
        <v>673.65</v>
      </c>
      <c r="L1140" s="4">
        <v>12.714285714285714</v>
      </c>
      <c r="M1140" s="4">
        <v>0.39325842696629215</v>
      </c>
      <c r="N1140" t="s">
        <v>25</v>
      </c>
      <c r="O1140" t="str">
        <f t="shared" si="170"/>
        <v>High</v>
      </c>
      <c r="P1140" t="str">
        <f t="shared" si="171"/>
        <v>Low</v>
      </c>
      <c r="Q1140" t="str">
        <f t="shared" si="172"/>
        <v>Medium</v>
      </c>
      <c r="R1140" t="s">
        <v>3317</v>
      </c>
      <c r="S1140" s="4">
        <f t="shared" ca="1" si="173"/>
        <v>-352</v>
      </c>
      <c r="T1140">
        <f t="shared" si="174"/>
        <v>3</v>
      </c>
      <c r="U1140">
        <f t="shared" si="175"/>
        <v>1</v>
      </c>
      <c r="V1140">
        <f t="shared" si="176"/>
        <v>2</v>
      </c>
      <c r="W1140">
        <f t="shared" si="177"/>
        <v>1</v>
      </c>
      <c r="X1140">
        <f t="shared" si="178"/>
        <v>2.0000000000000004</v>
      </c>
      <c r="Y1140" t="str">
        <f t="shared" si="179"/>
        <v>Monitor</v>
      </c>
    </row>
    <row r="1141" spans="1:25" x14ac:dyDescent="0.35">
      <c r="A1141" t="s">
        <v>90</v>
      </c>
      <c r="B1141" t="s">
        <v>970</v>
      </c>
      <c r="C1141" t="s">
        <v>971</v>
      </c>
      <c r="D1141" t="s">
        <v>972</v>
      </c>
      <c r="E1141">
        <v>80777729</v>
      </c>
      <c r="F1141" t="s">
        <v>973</v>
      </c>
      <c r="G1141" s="3">
        <v>45935</v>
      </c>
      <c r="H1141">
        <v>24</v>
      </c>
      <c r="I1141">
        <v>0</v>
      </c>
      <c r="J1141">
        <v>2</v>
      </c>
      <c r="K1141" s="4">
        <v>269.45999999999998</v>
      </c>
      <c r="L1141" s="4">
        <v>12.714285714285714</v>
      </c>
      <c r="M1141" s="4">
        <v>0.15730337078651685</v>
      </c>
      <c r="N1141" t="s">
        <v>25</v>
      </c>
      <c r="O1141" t="str">
        <f t="shared" si="170"/>
        <v>High</v>
      </c>
      <c r="P1141" t="str">
        <f t="shared" si="171"/>
        <v>Low</v>
      </c>
      <c r="Q1141" t="str">
        <f t="shared" si="172"/>
        <v>Medium</v>
      </c>
      <c r="R1141" t="s">
        <v>3317</v>
      </c>
      <c r="S1141" s="4">
        <f t="shared" ca="1" si="173"/>
        <v>-262</v>
      </c>
      <c r="T1141">
        <f t="shared" si="174"/>
        <v>3</v>
      </c>
      <c r="U1141">
        <f t="shared" si="175"/>
        <v>1</v>
      </c>
      <c r="V1141">
        <f t="shared" si="176"/>
        <v>2</v>
      </c>
      <c r="W1141">
        <f t="shared" si="177"/>
        <v>1</v>
      </c>
      <c r="X1141">
        <f t="shared" si="178"/>
        <v>2.0000000000000004</v>
      </c>
      <c r="Y1141" t="str">
        <f t="shared" si="179"/>
        <v>Monitor</v>
      </c>
    </row>
    <row r="1142" spans="1:25" x14ac:dyDescent="0.35">
      <c r="A1142" t="s">
        <v>41</v>
      </c>
      <c r="B1142" t="s">
        <v>54</v>
      </c>
      <c r="C1142" t="s">
        <v>459</v>
      </c>
      <c r="D1142" t="s">
        <v>968</v>
      </c>
      <c r="E1142">
        <v>80842742</v>
      </c>
      <c r="F1142" t="s">
        <v>969</v>
      </c>
      <c r="G1142" s="3">
        <v>46844</v>
      </c>
      <c r="H1142">
        <v>36</v>
      </c>
      <c r="I1142">
        <v>60</v>
      </c>
      <c r="J1142">
        <v>31</v>
      </c>
      <c r="K1142" s="4">
        <v>12634.05</v>
      </c>
      <c r="L1142" s="4">
        <f>0</f>
        <v>0</v>
      </c>
      <c r="M1142" s="4">
        <f>999</f>
        <v>999</v>
      </c>
      <c r="N1142" t="s">
        <v>19</v>
      </c>
      <c r="O1142" t="str">
        <f t="shared" si="170"/>
        <v>Low</v>
      </c>
      <c r="P1142" t="str">
        <f t="shared" si="171"/>
        <v>High</v>
      </c>
      <c r="Q1142" t="str">
        <f t="shared" si="172"/>
        <v>High</v>
      </c>
      <c r="R1142" t="s">
        <v>3317</v>
      </c>
      <c r="S1142" s="4">
        <f t="shared" ca="1" si="173"/>
        <v>647</v>
      </c>
      <c r="T1142">
        <f t="shared" si="174"/>
        <v>1</v>
      </c>
      <c r="U1142">
        <f t="shared" si="175"/>
        <v>3</v>
      </c>
      <c r="V1142">
        <f t="shared" si="176"/>
        <v>3</v>
      </c>
      <c r="W1142">
        <f t="shared" si="177"/>
        <v>1</v>
      </c>
      <c r="X1142">
        <f t="shared" si="178"/>
        <v>2</v>
      </c>
      <c r="Y1142" t="str">
        <f t="shared" si="179"/>
        <v>Monitor</v>
      </c>
    </row>
    <row r="1143" spans="1:25" x14ac:dyDescent="0.35">
      <c r="A1143" t="s">
        <v>90</v>
      </c>
      <c r="B1143" t="s">
        <v>970</v>
      </c>
      <c r="C1143" t="s">
        <v>971</v>
      </c>
      <c r="D1143" t="s">
        <v>972</v>
      </c>
      <c r="E1143">
        <v>80777729</v>
      </c>
      <c r="F1143" t="s">
        <v>973</v>
      </c>
      <c r="G1143" s="3">
        <v>46476</v>
      </c>
      <c r="H1143">
        <v>24</v>
      </c>
      <c r="I1143">
        <v>39</v>
      </c>
      <c r="J1143">
        <v>1</v>
      </c>
      <c r="K1143" s="4">
        <v>134.72999999999999</v>
      </c>
      <c r="L1143" s="4">
        <v>12.714285714285714</v>
      </c>
      <c r="M1143" s="4">
        <v>7.8651685393258425E-2</v>
      </c>
      <c r="N1143" t="s">
        <v>25</v>
      </c>
      <c r="O1143" t="str">
        <f t="shared" si="170"/>
        <v>Medium</v>
      </c>
      <c r="P1143" t="str">
        <f t="shared" si="171"/>
        <v>Low</v>
      </c>
      <c r="Q1143" t="str">
        <f t="shared" si="172"/>
        <v>Medium</v>
      </c>
      <c r="R1143" t="s">
        <v>3317</v>
      </c>
      <c r="S1143" s="4">
        <f t="shared" ca="1" si="173"/>
        <v>279</v>
      </c>
      <c r="T1143">
        <f t="shared" si="174"/>
        <v>2</v>
      </c>
      <c r="U1143">
        <f t="shared" si="175"/>
        <v>1</v>
      </c>
      <c r="V1143">
        <f t="shared" si="176"/>
        <v>2</v>
      </c>
      <c r="W1143">
        <f t="shared" si="177"/>
        <v>1</v>
      </c>
      <c r="X1143">
        <f t="shared" si="178"/>
        <v>1.6</v>
      </c>
      <c r="Y1143" t="str">
        <f t="shared" si="179"/>
        <v>Healthy</v>
      </c>
    </row>
    <row r="1144" spans="1:25" x14ac:dyDescent="0.35">
      <c r="A1144" t="s">
        <v>189</v>
      </c>
      <c r="B1144" t="s">
        <v>190</v>
      </c>
      <c r="C1144" t="s">
        <v>190</v>
      </c>
      <c r="D1144" t="s">
        <v>974</v>
      </c>
      <c r="E1144">
        <v>80836130</v>
      </c>
      <c r="F1144" t="s">
        <v>975</v>
      </c>
      <c r="G1144" s="3">
        <v>46270</v>
      </c>
      <c r="H1144">
        <v>18</v>
      </c>
      <c r="I1144">
        <v>14</v>
      </c>
      <c r="J1144">
        <v>1</v>
      </c>
      <c r="K1144" s="4">
        <v>2085.91</v>
      </c>
      <c r="L1144" s="4">
        <v>7.1428571428571432</v>
      </c>
      <c r="M1144" s="4">
        <v>0.13999999999999999</v>
      </c>
      <c r="N1144" t="s">
        <v>25</v>
      </c>
      <c r="O1144" t="str">
        <f t="shared" si="170"/>
        <v>High</v>
      </c>
      <c r="P1144" t="str">
        <f t="shared" si="171"/>
        <v>Low</v>
      </c>
      <c r="Q1144" t="str">
        <f t="shared" si="172"/>
        <v>Medium</v>
      </c>
      <c r="R1144" t="s">
        <v>3317</v>
      </c>
      <c r="S1144" s="4">
        <f t="shared" ca="1" si="173"/>
        <v>73</v>
      </c>
      <c r="T1144">
        <f t="shared" si="174"/>
        <v>3</v>
      </c>
      <c r="U1144">
        <f t="shared" si="175"/>
        <v>1</v>
      </c>
      <c r="V1144">
        <f t="shared" si="176"/>
        <v>2</v>
      </c>
      <c r="W1144">
        <f t="shared" si="177"/>
        <v>1</v>
      </c>
      <c r="X1144">
        <f t="shared" si="178"/>
        <v>2.0000000000000004</v>
      </c>
      <c r="Y1144" t="str">
        <f t="shared" si="179"/>
        <v>Monitor</v>
      </c>
    </row>
    <row r="1145" spans="1:25" x14ac:dyDescent="0.35">
      <c r="A1145" t="s">
        <v>71</v>
      </c>
      <c r="B1145" t="s">
        <v>72</v>
      </c>
      <c r="C1145" t="s">
        <v>150</v>
      </c>
      <c r="D1145" t="s">
        <v>976</v>
      </c>
      <c r="E1145">
        <v>80849915</v>
      </c>
      <c r="F1145" t="s">
        <v>977</v>
      </c>
      <c r="G1145" s="3">
        <v>46754</v>
      </c>
      <c r="H1145">
        <v>36</v>
      </c>
      <c r="I1145">
        <v>52</v>
      </c>
      <c r="J1145">
        <v>51</v>
      </c>
      <c r="K1145" s="4">
        <v>2733.6</v>
      </c>
      <c r="L1145" s="4">
        <v>7.1428571428571432</v>
      </c>
      <c r="M1145" s="4">
        <v>7.14</v>
      </c>
      <c r="N1145" t="s">
        <v>19</v>
      </c>
      <c r="O1145" t="str">
        <f t="shared" si="170"/>
        <v>Low</v>
      </c>
      <c r="P1145" t="str">
        <f t="shared" si="171"/>
        <v>Medium</v>
      </c>
      <c r="Q1145" t="str">
        <f t="shared" si="172"/>
        <v>Medium</v>
      </c>
      <c r="R1145" t="s">
        <v>3317</v>
      </c>
      <c r="S1145" s="4">
        <f t="shared" ca="1" si="173"/>
        <v>557</v>
      </c>
      <c r="T1145">
        <f t="shared" si="174"/>
        <v>1</v>
      </c>
      <c r="U1145">
        <f t="shared" si="175"/>
        <v>2</v>
      </c>
      <c r="V1145">
        <f t="shared" si="176"/>
        <v>2</v>
      </c>
      <c r="W1145">
        <f t="shared" si="177"/>
        <v>1</v>
      </c>
      <c r="X1145">
        <f t="shared" si="178"/>
        <v>1.5</v>
      </c>
      <c r="Y1145" t="str">
        <f t="shared" si="179"/>
        <v>Healthy</v>
      </c>
    </row>
    <row r="1146" spans="1:25" x14ac:dyDescent="0.35">
      <c r="A1146" t="s">
        <v>99</v>
      </c>
      <c r="B1146" t="s">
        <v>100</v>
      </c>
      <c r="C1146" t="s">
        <v>136</v>
      </c>
      <c r="D1146" t="s">
        <v>978</v>
      </c>
      <c r="E1146">
        <v>80830415</v>
      </c>
      <c r="F1146" t="s">
        <v>979</v>
      </c>
      <c r="G1146" s="3">
        <v>46987</v>
      </c>
      <c r="H1146">
        <v>36</v>
      </c>
      <c r="I1146">
        <v>74</v>
      </c>
      <c r="J1146">
        <v>9</v>
      </c>
      <c r="K1146" s="4">
        <v>2190.7800000000002</v>
      </c>
      <c r="L1146" s="4">
        <v>135</v>
      </c>
      <c r="M1146" s="4">
        <v>6.6666666666666666E-2</v>
      </c>
      <c r="N1146" t="s">
        <v>25</v>
      </c>
      <c r="O1146" t="str">
        <f t="shared" si="170"/>
        <v>Low</v>
      </c>
      <c r="P1146" t="str">
        <f t="shared" si="171"/>
        <v>Low</v>
      </c>
      <c r="Q1146" t="str">
        <f t="shared" si="172"/>
        <v>Low</v>
      </c>
      <c r="R1146" t="s">
        <v>3317</v>
      </c>
      <c r="S1146" s="4">
        <f t="shared" ca="1" si="173"/>
        <v>790</v>
      </c>
      <c r="T1146">
        <f t="shared" si="174"/>
        <v>1</v>
      </c>
      <c r="U1146">
        <f t="shared" si="175"/>
        <v>1</v>
      </c>
      <c r="V1146">
        <f t="shared" si="176"/>
        <v>1</v>
      </c>
      <c r="W1146">
        <f t="shared" si="177"/>
        <v>1</v>
      </c>
      <c r="X1146">
        <f t="shared" si="178"/>
        <v>0.99999999999999989</v>
      </c>
      <c r="Y1146" t="str">
        <f t="shared" si="179"/>
        <v>Healthy</v>
      </c>
    </row>
    <row r="1147" spans="1:25" x14ac:dyDescent="0.35">
      <c r="A1147" t="s">
        <v>99</v>
      </c>
      <c r="B1147" t="s">
        <v>100</v>
      </c>
      <c r="C1147" t="s">
        <v>136</v>
      </c>
      <c r="D1147" t="s">
        <v>978</v>
      </c>
      <c r="E1147">
        <v>80830415</v>
      </c>
      <c r="F1147" t="s">
        <v>979</v>
      </c>
      <c r="G1147" s="3">
        <v>47083</v>
      </c>
      <c r="H1147">
        <v>36</v>
      </c>
      <c r="I1147">
        <v>83</v>
      </c>
      <c r="J1147">
        <v>32</v>
      </c>
      <c r="K1147" s="4">
        <v>7789.44</v>
      </c>
      <c r="L1147" s="4">
        <v>135</v>
      </c>
      <c r="M1147" s="4">
        <v>0.23703703703703705</v>
      </c>
      <c r="N1147" t="s">
        <v>25</v>
      </c>
      <c r="O1147" t="str">
        <f t="shared" si="170"/>
        <v>Low</v>
      </c>
      <c r="P1147" t="str">
        <f t="shared" si="171"/>
        <v>Low</v>
      </c>
      <c r="Q1147" t="str">
        <f t="shared" si="172"/>
        <v>Low</v>
      </c>
      <c r="R1147" t="s">
        <v>3317</v>
      </c>
      <c r="S1147" s="4">
        <f t="shared" ca="1" si="173"/>
        <v>886</v>
      </c>
      <c r="T1147">
        <f t="shared" si="174"/>
        <v>1</v>
      </c>
      <c r="U1147">
        <f t="shared" si="175"/>
        <v>1</v>
      </c>
      <c r="V1147">
        <f t="shared" si="176"/>
        <v>1</v>
      </c>
      <c r="W1147">
        <f t="shared" si="177"/>
        <v>1</v>
      </c>
      <c r="X1147">
        <f t="shared" si="178"/>
        <v>0.99999999999999989</v>
      </c>
      <c r="Y1147" t="str">
        <f t="shared" si="179"/>
        <v>Healthy</v>
      </c>
    </row>
    <row r="1148" spans="1:25" x14ac:dyDescent="0.35">
      <c r="A1148" t="s">
        <v>20</v>
      </c>
      <c r="B1148" t="s">
        <v>21</v>
      </c>
      <c r="C1148" t="s">
        <v>126</v>
      </c>
      <c r="D1148" t="s">
        <v>980</v>
      </c>
      <c r="E1148">
        <v>80853527</v>
      </c>
      <c r="F1148" t="s">
        <v>981</v>
      </c>
      <c r="G1148" s="3">
        <v>46680</v>
      </c>
      <c r="H1148">
        <v>36</v>
      </c>
      <c r="I1148">
        <v>45</v>
      </c>
      <c r="J1148">
        <v>10</v>
      </c>
      <c r="K1148" s="4">
        <v>4377.8</v>
      </c>
      <c r="L1148" s="4">
        <v>83.428571428571431</v>
      </c>
      <c r="M1148" s="4">
        <v>0.11986301369863013</v>
      </c>
      <c r="N1148" t="s">
        <v>25</v>
      </c>
      <c r="O1148" t="str">
        <f t="shared" si="170"/>
        <v>Low</v>
      </c>
      <c r="P1148" t="str">
        <f t="shared" si="171"/>
        <v>Low</v>
      </c>
      <c r="Q1148" t="str">
        <f t="shared" si="172"/>
        <v>Low</v>
      </c>
      <c r="R1148" t="s">
        <v>3317</v>
      </c>
      <c r="S1148" s="4">
        <f t="shared" ca="1" si="173"/>
        <v>483</v>
      </c>
      <c r="T1148">
        <f t="shared" si="174"/>
        <v>1</v>
      </c>
      <c r="U1148">
        <f t="shared" si="175"/>
        <v>1</v>
      </c>
      <c r="V1148">
        <f t="shared" si="176"/>
        <v>1</v>
      </c>
      <c r="W1148">
        <f t="shared" si="177"/>
        <v>1</v>
      </c>
      <c r="X1148">
        <f t="shared" si="178"/>
        <v>0.99999999999999989</v>
      </c>
      <c r="Y1148" t="str">
        <f t="shared" si="179"/>
        <v>Healthy</v>
      </c>
    </row>
    <row r="1149" spans="1:25" x14ac:dyDescent="0.35">
      <c r="A1149" t="s">
        <v>20</v>
      </c>
      <c r="B1149" t="s">
        <v>21</v>
      </c>
      <c r="C1149" t="s">
        <v>126</v>
      </c>
      <c r="D1149" t="s">
        <v>980</v>
      </c>
      <c r="E1149">
        <v>80853527</v>
      </c>
      <c r="F1149" t="s">
        <v>981</v>
      </c>
      <c r="G1149" s="3">
        <v>46817</v>
      </c>
      <c r="H1149">
        <v>36</v>
      </c>
      <c r="I1149">
        <v>58</v>
      </c>
      <c r="J1149">
        <v>60</v>
      </c>
      <c r="K1149" s="4">
        <v>26266.799999999999</v>
      </c>
      <c r="L1149" s="4">
        <v>83.428571428571431</v>
      </c>
      <c r="M1149" s="4">
        <v>0.71917808219178081</v>
      </c>
      <c r="N1149" t="s">
        <v>25</v>
      </c>
      <c r="O1149" t="str">
        <f t="shared" si="170"/>
        <v>Low</v>
      </c>
      <c r="P1149" t="str">
        <f t="shared" si="171"/>
        <v>Low</v>
      </c>
      <c r="Q1149" t="str">
        <f t="shared" si="172"/>
        <v>Low</v>
      </c>
      <c r="R1149" t="s">
        <v>3317</v>
      </c>
      <c r="S1149" s="4">
        <f t="shared" ca="1" si="173"/>
        <v>620</v>
      </c>
      <c r="T1149">
        <f t="shared" si="174"/>
        <v>1</v>
      </c>
      <c r="U1149">
        <f t="shared" si="175"/>
        <v>1</v>
      </c>
      <c r="V1149">
        <f t="shared" si="176"/>
        <v>1</v>
      </c>
      <c r="W1149">
        <f t="shared" si="177"/>
        <v>1</v>
      </c>
      <c r="X1149">
        <f t="shared" si="178"/>
        <v>0.99999999999999989</v>
      </c>
      <c r="Y1149" t="str">
        <f t="shared" si="179"/>
        <v>Healthy</v>
      </c>
    </row>
    <row r="1150" spans="1:25" x14ac:dyDescent="0.35">
      <c r="A1150" t="s">
        <v>20</v>
      </c>
      <c r="B1150" t="s">
        <v>21</v>
      </c>
      <c r="C1150" t="s">
        <v>126</v>
      </c>
      <c r="D1150" t="s">
        <v>980</v>
      </c>
      <c r="E1150">
        <v>80853527</v>
      </c>
      <c r="F1150" t="s">
        <v>981</v>
      </c>
      <c r="G1150" s="3">
        <v>46786</v>
      </c>
      <c r="H1150">
        <v>36</v>
      </c>
      <c r="I1150">
        <v>55</v>
      </c>
      <c r="J1150">
        <v>63</v>
      </c>
      <c r="K1150" s="4">
        <v>27580.14</v>
      </c>
      <c r="L1150" s="4">
        <v>83.428571428571431</v>
      </c>
      <c r="M1150" s="4">
        <v>0.75513698630136983</v>
      </c>
      <c r="N1150" t="s">
        <v>25</v>
      </c>
      <c r="O1150" t="str">
        <f t="shared" si="170"/>
        <v>Low</v>
      </c>
      <c r="P1150" t="str">
        <f t="shared" si="171"/>
        <v>Low</v>
      </c>
      <c r="Q1150" t="str">
        <f t="shared" si="172"/>
        <v>Low</v>
      </c>
      <c r="R1150" t="s">
        <v>3317</v>
      </c>
      <c r="S1150" s="4">
        <f t="shared" ca="1" si="173"/>
        <v>589</v>
      </c>
      <c r="T1150">
        <f t="shared" si="174"/>
        <v>1</v>
      </c>
      <c r="U1150">
        <f t="shared" si="175"/>
        <v>1</v>
      </c>
      <c r="V1150">
        <f t="shared" si="176"/>
        <v>1</v>
      </c>
      <c r="W1150">
        <f t="shared" si="177"/>
        <v>1</v>
      </c>
      <c r="X1150">
        <f t="shared" si="178"/>
        <v>0.99999999999999989</v>
      </c>
      <c r="Y1150" t="str">
        <f t="shared" si="179"/>
        <v>Healthy</v>
      </c>
    </row>
    <row r="1151" spans="1:25" x14ac:dyDescent="0.35">
      <c r="A1151" t="s">
        <v>20</v>
      </c>
      <c r="B1151" t="s">
        <v>21</v>
      </c>
      <c r="C1151" t="s">
        <v>126</v>
      </c>
      <c r="D1151" t="s">
        <v>980</v>
      </c>
      <c r="E1151">
        <v>80853527</v>
      </c>
      <c r="F1151" t="s">
        <v>981</v>
      </c>
      <c r="G1151" s="3">
        <v>46899</v>
      </c>
      <c r="H1151">
        <v>36</v>
      </c>
      <c r="I1151">
        <v>65</v>
      </c>
      <c r="J1151">
        <v>60</v>
      </c>
      <c r="K1151" s="4">
        <v>26266.799999999999</v>
      </c>
      <c r="L1151" s="4">
        <v>83.428571428571431</v>
      </c>
      <c r="M1151" s="4">
        <v>0.71917808219178081</v>
      </c>
      <c r="N1151" t="s">
        <v>25</v>
      </c>
      <c r="O1151" t="str">
        <f t="shared" si="170"/>
        <v>Low</v>
      </c>
      <c r="P1151" t="str">
        <f t="shared" si="171"/>
        <v>Low</v>
      </c>
      <c r="Q1151" t="str">
        <f t="shared" si="172"/>
        <v>Low</v>
      </c>
      <c r="R1151" t="s">
        <v>3317</v>
      </c>
      <c r="S1151" s="4">
        <f t="shared" ca="1" si="173"/>
        <v>702</v>
      </c>
      <c r="T1151">
        <f t="shared" si="174"/>
        <v>1</v>
      </c>
      <c r="U1151">
        <f t="shared" si="175"/>
        <v>1</v>
      </c>
      <c r="V1151">
        <f t="shared" si="176"/>
        <v>1</v>
      </c>
      <c r="W1151">
        <f t="shared" si="177"/>
        <v>1</v>
      </c>
      <c r="X1151">
        <f t="shared" si="178"/>
        <v>0.99999999999999989</v>
      </c>
      <c r="Y1151" t="str">
        <f t="shared" si="179"/>
        <v>Healthy</v>
      </c>
    </row>
    <row r="1152" spans="1:25" x14ac:dyDescent="0.35">
      <c r="A1152" t="s">
        <v>41</v>
      </c>
      <c r="B1152" t="s">
        <v>42</v>
      </c>
      <c r="C1152" t="s">
        <v>121</v>
      </c>
      <c r="D1152" t="s">
        <v>122</v>
      </c>
      <c r="E1152">
        <v>80841060</v>
      </c>
      <c r="F1152" t="s">
        <v>982</v>
      </c>
      <c r="G1152" s="3">
        <v>47201</v>
      </c>
      <c r="H1152">
        <v>36</v>
      </c>
      <c r="I1152">
        <v>93</v>
      </c>
      <c r="J1152">
        <v>10</v>
      </c>
      <c r="K1152" s="4">
        <v>2045.2</v>
      </c>
      <c r="L1152" s="4">
        <v>735</v>
      </c>
      <c r="M1152" s="4">
        <v>1.3605442176870748E-2</v>
      </c>
      <c r="N1152" t="s">
        <v>25</v>
      </c>
      <c r="O1152" t="str">
        <f t="shared" si="170"/>
        <v>Low</v>
      </c>
      <c r="P1152" t="str">
        <f t="shared" si="171"/>
        <v>Low</v>
      </c>
      <c r="Q1152" t="str">
        <f t="shared" si="172"/>
        <v>Low</v>
      </c>
      <c r="R1152" t="s">
        <v>3317</v>
      </c>
      <c r="S1152" s="4">
        <f t="shared" ca="1" si="173"/>
        <v>1004</v>
      </c>
      <c r="T1152">
        <f t="shared" si="174"/>
        <v>1</v>
      </c>
      <c r="U1152">
        <f t="shared" si="175"/>
        <v>1</v>
      </c>
      <c r="V1152">
        <f t="shared" si="176"/>
        <v>1</v>
      </c>
      <c r="W1152">
        <f t="shared" si="177"/>
        <v>1</v>
      </c>
      <c r="X1152">
        <f t="shared" si="178"/>
        <v>0.99999999999999989</v>
      </c>
      <c r="Y1152" t="str">
        <f t="shared" si="179"/>
        <v>Healthy</v>
      </c>
    </row>
    <row r="1153" spans="1:25" x14ac:dyDescent="0.35">
      <c r="A1153" t="s">
        <v>41</v>
      </c>
      <c r="B1153" t="s">
        <v>42</v>
      </c>
      <c r="C1153" t="s">
        <v>121</v>
      </c>
      <c r="D1153" t="s">
        <v>122</v>
      </c>
      <c r="E1153">
        <v>80841060</v>
      </c>
      <c r="F1153" t="s">
        <v>982</v>
      </c>
      <c r="G1153" s="3">
        <v>47175</v>
      </c>
      <c r="H1153">
        <v>36</v>
      </c>
      <c r="I1153">
        <v>91</v>
      </c>
      <c r="J1153">
        <v>2</v>
      </c>
      <c r="K1153" s="4">
        <v>409.04</v>
      </c>
      <c r="L1153" s="4">
        <v>735</v>
      </c>
      <c r="M1153" s="4">
        <v>2.7210884353741495E-3</v>
      </c>
      <c r="N1153" t="s">
        <v>25</v>
      </c>
      <c r="O1153" t="str">
        <f t="shared" si="170"/>
        <v>Low</v>
      </c>
      <c r="P1153" t="str">
        <f t="shared" si="171"/>
        <v>Low</v>
      </c>
      <c r="Q1153" t="str">
        <f t="shared" si="172"/>
        <v>Low</v>
      </c>
      <c r="R1153" t="s">
        <v>3317</v>
      </c>
      <c r="S1153" s="4">
        <f t="shared" ca="1" si="173"/>
        <v>978</v>
      </c>
      <c r="T1153">
        <f t="shared" si="174"/>
        <v>1</v>
      </c>
      <c r="U1153">
        <f t="shared" si="175"/>
        <v>1</v>
      </c>
      <c r="V1153">
        <f t="shared" si="176"/>
        <v>1</v>
      </c>
      <c r="W1153">
        <f t="shared" si="177"/>
        <v>1</v>
      </c>
      <c r="X1153">
        <f t="shared" si="178"/>
        <v>0.99999999999999989</v>
      </c>
      <c r="Y1153" t="str">
        <f t="shared" si="179"/>
        <v>Healthy</v>
      </c>
    </row>
    <row r="1154" spans="1:25" x14ac:dyDescent="0.35">
      <c r="A1154" t="s">
        <v>41</v>
      </c>
      <c r="B1154" t="s">
        <v>54</v>
      </c>
      <c r="C1154" t="s">
        <v>55</v>
      </c>
      <c r="D1154" t="s">
        <v>983</v>
      </c>
      <c r="E1154">
        <v>80833642</v>
      </c>
      <c r="F1154" t="s">
        <v>984</v>
      </c>
      <c r="G1154" s="3">
        <v>46722</v>
      </c>
      <c r="H1154">
        <v>36</v>
      </c>
      <c r="I1154">
        <v>49</v>
      </c>
      <c r="J1154">
        <v>71</v>
      </c>
      <c r="K1154" s="4">
        <v>31600.68</v>
      </c>
      <c r="L1154" s="4">
        <v>0.14285714285714285</v>
      </c>
      <c r="M1154" s="4">
        <v>497</v>
      </c>
      <c r="N1154" t="s">
        <v>19</v>
      </c>
      <c r="O1154" t="str">
        <f t="shared" si="170"/>
        <v>Low</v>
      </c>
      <c r="P1154" t="str">
        <f t="shared" si="171"/>
        <v>High</v>
      </c>
      <c r="Q1154" t="str">
        <f t="shared" si="172"/>
        <v>High</v>
      </c>
      <c r="R1154" t="s">
        <v>3317</v>
      </c>
      <c r="S1154" s="4">
        <f t="shared" ca="1" si="173"/>
        <v>525</v>
      </c>
      <c r="T1154">
        <f t="shared" si="174"/>
        <v>1</v>
      </c>
      <c r="U1154">
        <f t="shared" si="175"/>
        <v>3</v>
      </c>
      <c r="V1154">
        <f t="shared" si="176"/>
        <v>3</v>
      </c>
      <c r="W1154">
        <f t="shared" si="177"/>
        <v>1</v>
      </c>
      <c r="X1154">
        <f t="shared" si="178"/>
        <v>2</v>
      </c>
      <c r="Y1154" t="str">
        <f t="shared" si="179"/>
        <v>Monitor</v>
      </c>
    </row>
    <row r="1155" spans="1:25" x14ac:dyDescent="0.35">
      <c r="A1155" t="s">
        <v>41</v>
      </c>
      <c r="B1155" t="s">
        <v>54</v>
      </c>
      <c r="C1155" t="s">
        <v>55</v>
      </c>
      <c r="D1155" t="s">
        <v>983</v>
      </c>
      <c r="E1155">
        <v>80833642</v>
      </c>
      <c r="F1155" t="s">
        <v>984</v>
      </c>
      <c r="G1155" s="3">
        <v>46722</v>
      </c>
      <c r="H1155">
        <v>36</v>
      </c>
      <c r="I1155">
        <v>49</v>
      </c>
      <c r="J1155">
        <v>34</v>
      </c>
      <c r="K1155" s="4">
        <v>15132.72</v>
      </c>
      <c r="L1155" s="4">
        <v>0.14285714285714285</v>
      </c>
      <c r="M1155" s="4">
        <v>238</v>
      </c>
      <c r="N1155" t="s">
        <v>19</v>
      </c>
      <c r="O1155" t="str">
        <f t="shared" ref="O1155:O1218" si="180">IF(I1155&lt;20,"High",IF(I1155&lt;40,"Medium","Low"))</f>
        <v>Low</v>
      </c>
      <c r="P1155" t="str">
        <f t="shared" ref="P1155:P1218" si="181">IF(M1155&gt;8,"High",IF(M1155&gt;4,"Medium","Low"))</f>
        <v>High</v>
      </c>
      <c r="Q1155" t="str">
        <f t="shared" ref="Q1155:Q1218" si="182">IF(L1155&lt;5,"High",IF(L1155&lt;15,"Medium","Low"))</f>
        <v>High</v>
      </c>
      <c r="R1155" t="s">
        <v>3317</v>
      </c>
      <c r="S1155" s="4">
        <f t="shared" ref="S1155:S1218" ca="1" si="183">G1155-TODAY()</f>
        <v>525</v>
      </c>
      <c r="T1155">
        <f t="shared" ref="T1155:T1218" si="184">IF(O1155="High",3,IF(O1155="Medium",2,1))</f>
        <v>1</v>
      </c>
      <c r="U1155">
        <f t="shared" ref="U1155:U1218" si="185">IF(P1155="High",3,IF(P1155="Medium",2,1))</f>
        <v>3</v>
      </c>
      <c r="V1155">
        <f t="shared" ref="V1155:V1218" si="186">IF(Q1155="High",3,IF(Q1155="Medium",2,1))</f>
        <v>3</v>
      </c>
      <c r="W1155">
        <f t="shared" ref="W1155:W1218" si="187">IF(R1155="High",3,IF(R1155="Medium",2,1))</f>
        <v>1</v>
      </c>
      <c r="X1155">
        <f t="shared" ref="X1155:X1218" si="188">(0.4*T1155)+(0.3*U1155)+(0.2*V1155)+(0.1*W1155)</f>
        <v>2</v>
      </c>
      <c r="Y1155" t="str">
        <f t="shared" ref="Y1155:Y1218" si="189">IF(X1155&gt;=2.7,"Move Immediately",IF(X1155&gt;=2.2,"High Priority",IF(X1155&gt;=1.7,"Monitor","Healthy")))</f>
        <v>Monitor</v>
      </c>
    </row>
    <row r="1156" spans="1:25" x14ac:dyDescent="0.35">
      <c r="A1156" t="s">
        <v>41</v>
      </c>
      <c r="B1156" t="s">
        <v>54</v>
      </c>
      <c r="C1156" t="s">
        <v>55</v>
      </c>
      <c r="D1156" t="s">
        <v>983</v>
      </c>
      <c r="E1156">
        <v>80833642</v>
      </c>
      <c r="F1156" t="s">
        <v>984</v>
      </c>
      <c r="G1156" s="3">
        <v>46722</v>
      </c>
      <c r="H1156">
        <v>36</v>
      </c>
      <c r="I1156">
        <v>49</v>
      </c>
      <c r="J1156">
        <v>30</v>
      </c>
      <c r="K1156" s="4">
        <v>13352.4</v>
      </c>
      <c r="L1156" s="4">
        <v>0.14285714285714285</v>
      </c>
      <c r="M1156" s="4">
        <v>210</v>
      </c>
      <c r="N1156" t="s">
        <v>19</v>
      </c>
      <c r="O1156" t="str">
        <f t="shared" si="180"/>
        <v>Low</v>
      </c>
      <c r="P1156" t="str">
        <f t="shared" si="181"/>
        <v>High</v>
      </c>
      <c r="Q1156" t="str">
        <f t="shared" si="182"/>
        <v>High</v>
      </c>
      <c r="R1156" t="s">
        <v>3317</v>
      </c>
      <c r="S1156" s="4">
        <f t="shared" ca="1" si="183"/>
        <v>525</v>
      </c>
      <c r="T1156">
        <f t="shared" si="184"/>
        <v>1</v>
      </c>
      <c r="U1156">
        <f t="shared" si="185"/>
        <v>3</v>
      </c>
      <c r="V1156">
        <f t="shared" si="186"/>
        <v>3</v>
      </c>
      <c r="W1156">
        <f t="shared" si="187"/>
        <v>1</v>
      </c>
      <c r="X1156">
        <f t="shared" si="188"/>
        <v>2</v>
      </c>
      <c r="Y1156" t="str">
        <f t="shared" si="189"/>
        <v>Monitor</v>
      </c>
    </row>
    <row r="1157" spans="1:25" x14ac:dyDescent="0.35">
      <c r="A1157" t="s">
        <v>189</v>
      </c>
      <c r="B1157" t="s">
        <v>262</v>
      </c>
      <c r="C1157" t="s">
        <v>262</v>
      </c>
      <c r="D1157" t="s">
        <v>985</v>
      </c>
      <c r="E1157">
        <v>80787545</v>
      </c>
      <c r="F1157" t="s">
        <v>986</v>
      </c>
      <c r="G1157" s="3">
        <v>46431</v>
      </c>
      <c r="H1157">
        <v>18</v>
      </c>
      <c r="I1157">
        <v>44</v>
      </c>
      <c r="J1157">
        <v>10</v>
      </c>
      <c r="K1157" s="4">
        <v>408.5</v>
      </c>
      <c r="L1157" s="4">
        <v>33687.428571428572</v>
      </c>
      <c r="M1157" s="4">
        <v>2.9684664054416228E-4</v>
      </c>
      <c r="N1157" t="s">
        <v>25</v>
      </c>
      <c r="O1157" t="str">
        <f t="shared" si="180"/>
        <v>Low</v>
      </c>
      <c r="P1157" t="str">
        <f t="shared" si="181"/>
        <v>Low</v>
      </c>
      <c r="Q1157" t="str">
        <f t="shared" si="182"/>
        <v>Low</v>
      </c>
      <c r="R1157" t="s">
        <v>3317</v>
      </c>
      <c r="S1157" s="4">
        <f t="shared" ca="1" si="183"/>
        <v>234</v>
      </c>
      <c r="T1157">
        <f t="shared" si="184"/>
        <v>1</v>
      </c>
      <c r="U1157">
        <f t="shared" si="185"/>
        <v>1</v>
      </c>
      <c r="V1157">
        <f t="shared" si="186"/>
        <v>1</v>
      </c>
      <c r="W1157">
        <f t="shared" si="187"/>
        <v>1</v>
      </c>
      <c r="X1157">
        <f t="shared" si="188"/>
        <v>0.99999999999999989</v>
      </c>
      <c r="Y1157" t="str">
        <f t="shared" si="189"/>
        <v>Healthy</v>
      </c>
    </row>
    <row r="1158" spans="1:25" x14ac:dyDescent="0.35">
      <c r="A1158" t="s">
        <v>41</v>
      </c>
      <c r="B1158" t="s">
        <v>54</v>
      </c>
      <c r="C1158" t="s">
        <v>55</v>
      </c>
      <c r="D1158" t="s">
        <v>987</v>
      </c>
      <c r="E1158">
        <v>80847198</v>
      </c>
      <c r="F1158" t="s">
        <v>988</v>
      </c>
      <c r="G1158" s="3">
        <v>46945</v>
      </c>
      <c r="H1158">
        <v>36</v>
      </c>
      <c r="I1158">
        <v>70</v>
      </c>
      <c r="J1158">
        <v>18</v>
      </c>
      <c r="K1158" s="4">
        <v>5859.36</v>
      </c>
      <c r="L1158" s="4">
        <f>0</f>
        <v>0</v>
      </c>
      <c r="M1158" s="4">
        <f>999</f>
        <v>999</v>
      </c>
      <c r="N1158" t="s">
        <v>19</v>
      </c>
      <c r="O1158" t="str">
        <f t="shared" si="180"/>
        <v>Low</v>
      </c>
      <c r="P1158" t="str">
        <f t="shared" si="181"/>
        <v>High</v>
      </c>
      <c r="Q1158" t="str">
        <f t="shared" si="182"/>
        <v>High</v>
      </c>
      <c r="R1158" t="s">
        <v>3317</v>
      </c>
      <c r="S1158" s="4">
        <f t="shared" ca="1" si="183"/>
        <v>748</v>
      </c>
      <c r="T1158">
        <f t="shared" si="184"/>
        <v>1</v>
      </c>
      <c r="U1158">
        <f t="shared" si="185"/>
        <v>3</v>
      </c>
      <c r="V1158">
        <f t="shared" si="186"/>
        <v>3</v>
      </c>
      <c r="W1158">
        <f t="shared" si="187"/>
        <v>1</v>
      </c>
      <c r="X1158">
        <f t="shared" si="188"/>
        <v>2</v>
      </c>
      <c r="Y1158" t="str">
        <f t="shared" si="189"/>
        <v>Monitor</v>
      </c>
    </row>
    <row r="1159" spans="1:25" x14ac:dyDescent="0.35">
      <c r="A1159" t="s">
        <v>41</v>
      </c>
      <c r="B1159" t="s">
        <v>54</v>
      </c>
      <c r="C1159" t="s">
        <v>55</v>
      </c>
      <c r="D1159" t="s">
        <v>987</v>
      </c>
      <c r="E1159">
        <v>80847198</v>
      </c>
      <c r="F1159" t="s">
        <v>988</v>
      </c>
      <c r="G1159" s="3">
        <v>46921</v>
      </c>
      <c r="H1159">
        <v>36</v>
      </c>
      <c r="I1159">
        <v>68</v>
      </c>
      <c r="J1159">
        <v>18</v>
      </c>
      <c r="K1159" s="4">
        <v>5859.36</v>
      </c>
      <c r="L1159" s="4">
        <f>0</f>
        <v>0</v>
      </c>
      <c r="M1159" s="4">
        <f>999</f>
        <v>999</v>
      </c>
      <c r="N1159" t="s">
        <v>19</v>
      </c>
      <c r="O1159" t="str">
        <f t="shared" si="180"/>
        <v>Low</v>
      </c>
      <c r="P1159" t="str">
        <f t="shared" si="181"/>
        <v>High</v>
      </c>
      <c r="Q1159" t="str">
        <f t="shared" si="182"/>
        <v>High</v>
      </c>
      <c r="R1159" t="s">
        <v>3317</v>
      </c>
      <c r="S1159" s="4">
        <f t="shared" ca="1" si="183"/>
        <v>724</v>
      </c>
      <c r="T1159">
        <f t="shared" si="184"/>
        <v>1</v>
      </c>
      <c r="U1159">
        <f t="shared" si="185"/>
        <v>3</v>
      </c>
      <c r="V1159">
        <f t="shared" si="186"/>
        <v>3</v>
      </c>
      <c r="W1159">
        <f t="shared" si="187"/>
        <v>1</v>
      </c>
      <c r="X1159">
        <f t="shared" si="188"/>
        <v>2</v>
      </c>
      <c r="Y1159" t="str">
        <f t="shared" si="189"/>
        <v>Monitor</v>
      </c>
    </row>
    <row r="1160" spans="1:25" x14ac:dyDescent="0.35">
      <c r="A1160" t="s">
        <v>41</v>
      </c>
      <c r="B1160" t="s">
        <v>54</v>
      </c>
      <c r="C1160" t="s">
        <v>55</v>
      </c>
      <c r="D1160" t="s">
        <v>987</v>
      </c>
      <c r="E1160">
        <v>80847198</v>
      </c>
      <c r="F1160" t="s">
        <v>988</v>
      </c>
      <c r="G1160" s="3">
        <v>46928</v>
      </c>
      <c r="H1160">
        <v>36</v>
      </c>
      <c r="I1160">
        <v>68</v>
      </c>
      <c r="J1160">
        <v>36</v>
      </c>
      <c r="K1160" s="4">
        <v>11718.72</v>
      </c>
      <c r="L1160" s="4">
        <f>0</f>
        <v>0</v>
      </c>
      <c r="M1160" s="4">
        <f>999</f>
        <v>999</v>
      </c>
      <c r="N1160" t="s">
        <v>19</v>
      </c>
      <c r="O1160" t="str">
        <f t="shared" si="180"/>
        <v>Low</v>
      </c>
      <c r="P1160" t="str">
        <f t="shared" si="181"/>
        <v>High</v>
      </c>
      <c r="Q1160" t="str">
        <f t="shared" si="182"/>
        <v>High</v>
      </c>
      <c r="R1160" t="s">
        <v>3317</v>
      </c>
      <c r="S1160" s="4">
        <f t="shared" ca="1" si="183"/>
        <v>731</v>
      </c>
      <c r="T1160">
        <f t="shared" si="184"/>
        <v>1</v>
      </c>
      <c r="U1160">
        <f t="shared" si="185"/>
        <v>3</v>
      </c>
      <c r="V1160">
        <f t="shared" si="186"/>
        <v>3</v>
      </c>
      <c r="W1160">
        <f t="shared" si="187"/>
        <v>1</v>
      </c>
      <c r="X1160">
        <f t="shared" si="188"/>
        <v>2</v>
      </c>
      <c r="Y1160" t="str">
        <f t="shared" si="189"/>
        <v>Monitor</v>
      </c>
    </row>
    <row r="1161" spans="1:25" x14ac:dyDescent="0.35">
      <c r="A1161" t="s">
        <v>41</v>
      </c>
      <c r="B1161" t="s">
        <v>54</v>
      </c>
      <c r="C1161" t="s">
        <v>55</v>
      </c>
      <c r="D1161" t="s">
        <v>987</v>
      </c>
      <c r="E1161">
        <v>80847198</v>
      </c>
      <c r="F1161" t="s">
        <v>988</v>
      </c>
      <c r="G1161" s="3">
        <v>46922</v>
      </c>
      <c r="H1161">
        <v>36</v>
      </c>
      <c r="I1161">
        <v>68</v>
      </c>
      <c r="J1161">
        <v>18</v>
      </c>
      <c r="K1161" s="4">
        <v>5859.36</v>
      </c>
      <c r="L1161" s="4">
        <f>0</f>
        <v>0</v>
      </c>
      <c r="M1161" s="4">
        <f>999</f>
        <v>999</v>
      </c>
      <c r="N1161" t="s">
        <v>19</v>
      </c>
      <c r="O1161" t="str">
        <f t="shared" si="180"/>
        <v>Low</v>
      </c>
      <c r="P1161" t="str">
        <f t="shared" si="181"/>
        <v>High</v>
      </c>
      <c r="Q1161" t="str">
        <f t="shared" si="182"/>
        <v>High</v>
      </c>
      <c r="R1161" t="s">
        <v>3317</v>
      </c>
      <c r="S1161" s="4">
        <f t="shared" ca="1" si="183"/>
        <v>725</v>
      </c>
      <c r="T1161">
        <f t="shared" si="184"/>
        <v>1</v>
      </c>
      <c r="U1161">
        <f t="shared" si="185"/>
        <v>3</v>
      </c>
      <c r="V1161">
        <f t="shared" si="186"/>
        <v>3</v>
      </c>
      <c r="W1161">
        <f t="shared" si="187"/>
        <v>1</v>
      </c>
      <c r="X1161">
        <f t="shared" si="188"/>
        <v>2</v>
      </c>
      <c r="Y1161" t="str">
        <f t="shared" si="189"/>
        <v>Monitor</v>
      </c>
    </row>
    <row r="1162" spans="1:25" x14ac:dyDescent="0.35">
      <c r="A1162" t="s">
        <v>14</v>
      </c>
      <c r="B1162" t="s">
        <v>58</v>
      </c>
      <c r="C1162" t="s">
        <v>951</v>
      </c>
      <c r="D1162" t="s">
        <v>952</v>
      </c>
      <c r="E1162">
        <v>80788716</v>
      </c>
      <c r="F1162" t="s">
        <v>989</v>
      </c>
      <c r="G1162" s="3">
        <v>47262</v>
      </c>
      <c r="H1162">
        <v>60</v>
      </c>
      <c r="I1162">
        <v>59</v>
      </c>
      <c r="J1162">
        <v>1</v>
      </c>
      <c r="K1162" s="4">
        <v>1884.8</v>
      </c>
      <c r="L1162" s="4">
        <v>2.2857142857142856</v>
      </c>
      <c r="M1162" s="4">
        <v>0.4375</v>
      </c>
      <c r="N1162" t="s">
        <v>25</v>
      </c>
      <c r="O1162" t="str">
        <f t="shared" si="180"/>
        <v>Low</v>
      </c>
      <c r="P1162" t="str">
        <f t="shared" si="181"/>
        <v>Low</v>
      </c>
      <c r="Q1162" t="str">
        <f t="shared" si="182"/>
        <v>High</v>
      </c>
      <c r="R1162" t="s">
        <v>3317</v>
      </c>
      <c r="S1162" s="4">
        <f t="shared" ca="1" si="183"/>
        <v>1065</v>
      </c>
      <c r="T1162">
        <f t="shared" si="184"/>
        <v>1</v>
      </c>
      <c r="U1162">
        <f t="shared" si="185"/>
        <v>1</v>
      </c>
      <c r="V1162">
        <f t="shared" si="186"/>
        <v>3</v>
      </c>
      <c r="W1162">
        <f t="shared" si="187"/>
        <v>1</v>
      </c>
      <c r="X1162">
        <f t="shared" si="188"/>
        <v>1.4000000000000001</v>
      </c>
      <c r="Y1162" t="str">
        <f t="shared" si="189"/>
        <v>Healthy</v>
      </c>
    </row>
    <row r="1163" spans="1:25" x14ac:dyDescent="0.35">
      <c r="A1163" t="s">
        <v>14</v>
      </c>
      <c r="B1163" t="s">
        <v>58</v>
      </c>
      <c r="C1163" t="s">
        <v>951</v>
      </c>
      <c r="D1163" t="s">
        <v>952</v>
      </c>
      <c r="E1163">
        <v>80788716</v>
      </c>
      <c r="F1163" t="s">
        <v>989</v>
      </c>
      <c r="G1163" s="3">
        <v>47364</v>
      </c>
      <c r="H1163">
        <v>60</v>
      </c>
      <c r="I1163">
        <v>65</v>
      </c>
      <c r="J1163">
        <v>35</v>
      </c>
      <c r="K1163" s="4">
        <v>65968</v>
      </c>
      <c r="L1163" s="4">
        <v>2.2857142857142856</v>
      </c>
      <c r="M1163" s="4">
        <v>15.3125</v>
      </c>
      <c r="N1163" t="s">
        <v>19</v>
      </c>
      <c r="O1163" t="str">
        <f t="shared" si="180"/>
        <v>Low</v>
      </c>
      <c r="P1163" t="str">
        <f t="shared" si="181"/>
        <v>High</v>
      </c>
      <c r="Q1163" t="str">
        <f t="shared" si="182"/>
        <v>High</v>
      </c>
      <c r="R1163" t="s">
        <v>3310</v>
      </c>
      <c r="S1163" s="4">
        <f t="shared" ca="1" si="183"/>
        <v>1167</v>
      </c>
      <c r="T1163">
        <f t="shared" si="184"/>
        <v>1</v>
      </c>
      <c r="U1163">
        <f t="shared" si="185"/>
        <v>3</v>
      </c>
      <c r="V1163">
        <f t="shared" si="186"/>
        <v>3</v>
      </c>
      <c r="W1163">
        <f t="shared" si="187"/>
        <v>2</v>
      </c>
      <c r="X1163">
        <f t="shared" si="188"/>
        <v>2.1</v>
      </c>
      <c r="Y1163" t="str">
        <f t="shared" si="189"/>
        <v>Monitor</v>
      </c>
    </row>
    <row r="1164" spans="1:25" x14ac:dyDescent="0.35">
      <c r="A1164" t="s">
        <v>71</v>
      </c>
      <c r="B1164" t="s">
        <v>72</v>
      </c>
      <c r="C1164" t="s">
        <v>310</v>
      </c>
      <c r="D1164" t="s">
        <v>990</v>
      </c>
      <c r="E1164">
        <v>80784111</v>
      </c>
      <c r="F1164" t="s">
        <v>991</v>
      </c>
      <c r="G1164" s="3">
        <v>47010</v>
      </c>
      <c r="H1164">
        <v>36</v>
      </c>
      <c r="I1164">
        <v>76</v>
      </c>
      <c r="J1164">
        <v>15</v>
      </c>
      <c r="K1164" s="4">
        <v>20522.400000000001</v>
      </c>
      <c r="L1164" s="4">
        <v>74.428571428571431</v>
      </c>
      <c r="M1164" s="4">
        <v>0.20153550863723607</v>
      </c>
      <c r="N1164" t="s">
        <v>25</v>
      </c>
      <c r="O1164" t="str">
        <f t="shared" si="180"/>
        <v>Low</v>
      </c>
      <c r="P1164" t="str">
        <f t="shared" si="181"/>
        <v>Low</v>
      </c>
      <c r="Q1164" t="str">
        <f t="shared" si="182"/>
        <v>Low</v>
      </c>
      <c r="R1164" t="s">
        <v>3317</v>
      </c>
      <c r="S1164" s="4">
        <f t="shared" ca="1" si="183"/>
        <v>813</v>
      </c>
      <c r="T1164">
        <f t="shared" si="184"/>
        <v>1</v>
      </c>
      <c r="U1164">
        <f t="shared" si="185"/>
        <v>1</v>
      </c>
      <c r="V1164">
        <f t="shared" si="186"/>
        <v>1</v>
      </c>
      <c r="W1164">
        <f t="shared" si="187"/>
        <v>1</v>
      </c>
      <c r="X1164">
        <f t="shared" si="188"/>
        <v>0.99999999999999989</v>
      </c>
      <c r="Y1164" t="str">
        <f t="shared" si="189"/>
        <v>Healthy</v>
      </c>
    </row>
    <row r="1165" spans="1:25" x14ac:dyDescent="0.35">
      <c r="A1165" t="s">
        <v>71</v>
      </c>
      <c r="B1165" t="s">
        <v>72</v>
      </c>
      <c r="C1165" t="s">
        <v>310</v>
      </c>
      <c r="D1165" t="s">
        <v>990</v>
      </c>
      <c r="E1165">
        <v>80784111</v>
      </c>
      <c r="F1165" t="s">
        <v>991</v>
      </c>
      <c r="G1165" s="3">
        <v>46601</v>
      </c>
      <c r="H1165">
        <v>36</v>
      </c>
      <c r="I1165">
        <v>38</v>
      </c>
      <c r="J1165">
        <v>25</v>
      </c>
      <c r="K1165" s="4">
        <v>34204</v>
      </c>
      <c r="L1165" s="4">
        <v>74.428571428571431</v>
      </c>
      <c r="M1165" s="4">
        <v>0.33589251439539347</v>
      </c>
      <c r="N1165" t="s">
        <v>25</v>
      </c>
      <c r="O1165" t="str">
        <f t="shared" si="180"/>
        <v>Medium</v>
      </c>
      <c r="P1165" t="str">
        <f t="shared" si="181"/>
        <v>Low</v>
      </c>
      <c r="Q1165" t="str">
        <f t="shared" si="182"/>
        <v>Low</v>
      </c>
      <c r="R1165" t="s">
        <v>3317</v>
      </c>
      <c r="S1165" s="4">
        <f t="shared" ca="1" si="183"/>
        <v>404</v>
      </c>
      <c r="T1165">
        <f t="shared" si="184"/>
        <v>2</v>
      </c>
      <c r="U1165">
        <f t="shared" si="185"/>
        <v>1</v>
      </c>
      <c r="V1165">
        <f t="shared" si="186"/>
        <v>1</v>
      </c>
      <c r="W1165">
        <f t="shared" si="187"/>
        <v>1</v>
      </c>
      <c r="X1165">
        <f t="shared" si="188"/>
        <v>1.4000000000000001</v>
      </c>
      <c r="Y1165" t="str">
        <f t="shared" si="189"/>
        <v>Healthy</v>
      </c>
    </row>
    <row r="1166" spans="1:25" x14ac:dyDescent="0.35">
      <c r="A1166" t="s">
        <v>189</v>
      </c>
      <c r="B1166" t="s">
        <v>417</v>
      </c>
      <c r="C1166" t="s">
        <v>417</v>
      </c>
      <c r="D1166" t="s">
        <v>992</v>
      </c>
      <c r="E1166">
        <v>80788420</v>
      </c>
      <c r="F1166" t="s">
        <v>993</v>
      </c>
      <c r="G1166" s="3">
        <v>46460</v>
      </c>
      <c r="H1166">
        <v>18</v>
      </c>
      <c r="I1166">
        <v>50</v>
      </c>
      <c r="J1166">
        <v>33</v>
      </c>
      <c r="K1166" s="4">
        <v>2965.71</v>
      </c>
      <c r="L1166" s="4">
        <f>0</f>
        <v>0</v>
      </c>
      <c r="M1166" s="4">
        <f>999</f>
        <v>999</v>
      </c>
      <c r="N1166" t="s">
        <v>19</v>
      </c>
      <c r="O1166" t="str">
        <f t="shared" si="180"/>
        <v>Low</v>
      </c>
      <c r="P1166" t="str">
        <f t="shared" si="181"/>
        <v>High</v>
      </c>
      <c r="Q1166" t="str">
        <f t="shared" si="182"/>
        <v>High</v>
      </c>
      <c r="R1166" t="s">
        <v>3317</v>
      </c>
      <c r="S1166" s="4">
        <f t="shared" ca="1" si="183"/>
        <v>263</v>
      </c>
      <c r="T1166">
        <f t="shared" si="184"/>
        <v>1</v>
      </c>
      <c r="U1166">
        <f t="shared" si="185"/>
        <v>3</v>
      </c>
      <c r="V1166">
        <f t="shared" si="186"/>
        <v>3</v>
      </c>
      <c r="W1166">
        <f t="shared" si="187"/>
        <v>1</v>
      </c>
      <c r="X1166">
        <f t="shared" si="188"/>
        <v>2</v>
      </c>
      <c r="Y1166" t="str">
        <f t="shared" si="189"/>
        <v>Monitor</v>
      </c>
    </row>
    <row r="1167" spans="1:25" x14ac:dyDescent="0.35">
      <c r="A1167" t="s">
        <v>944</v>
      </c>
      <c r="B1167" t="s">
        <v>945</v>
      </c>
      <c r="C1167" t="s">
        <v>994</v>
      </c>
      <c r="D1167" t="s">
        <v>995</v>
      </c>
      <c r="E1167">
        <v>80830716</v>
      </c>
      <c r="F1167" t="s">
        <v>996</v>
      </c>
      <c r="G1167" s="3">
        <v>47490</v>
      </c>
      <c r="H1167">
        <v>60</v>
      </c>
      <c r="I1167">
        <v>72</v>
      </c>
      <c r="J1167">
        <v>10</v>
      </c>
      <c r="K1167" s="4">
        <v>30535.8</v>
      </c>
      <c r="L1167" s="4">
        <v>3.7142857142857144</v>
      </c>
      <c r="M1167" s="4">
        <v>2.6923076923076921</v>
      </c>
      <c r="N1167" t="s">
        <v>25</v>
      </c>
      <c r="O1167" t="str">
        <f t="shared" si="180"/>
        <v>Low</v>
      </c>
      <c r="P1167" t="str">
        <f t="shared" si="181"/>
        <v>Low</v>
      </c>
      <c r="Q1167" t="str">
        <f t="shared" si="182"/>
        <v>High</v>
      </c>
      <c r="R1167" t="s">
        <v>3317</v>
      </c>
      <c r="S1167" s="4">
        <f t="shared" ca="1" si="183"/>
        <v>1293</v>
      </c>
      <c r="T1167">
        <f t="shared" si="184"/>
        <v>1</v>
      </c>
      <c r="U1167">
        <f t="shared" si="185"/>
        <v>1</v>
      </c>
      <c r="V1167">
        <f t="shared" si="186"/>
        <v>3</v>
      </c>
      <c r="W1167">
        <f t="shared" si="187"/>
        <v>1</v>
      </c>
      <c r="X1167">
        <f t="shared" si="188"/>
        <v>1.4000000000000001</v>
      </c>
      <c r="Y1167" t="str">
        <f t="shared" si="189"/>
        <v>Healthy</v>
      </c>
    </row>
    <row r="1168" spans="1:25" x14ac:dyDescent="0.35">
      <c r="A1168" t="s">
        <v>29</v>
      </c>
      <c r="B1168" t="s">
        <v>30</v>
      </c>
      <c r="C1168" t="s">
        <v>391</v>
      </c>
      <c r="D1168" t="s">
        <v>997</v>
      </c>
      <c r="E1168">
        <v>80795672</v>
      </c>
      <c r="F1168" t="s">
        <v>998</v>
      </c>
      <c r="G1168" s="3">
        <v>46726</v>
      </c>
      <c r="H1168">
        <v>36</v>
      </c>
      <c r="I1168">
        <v>49</v>
      </c>
      <c r="J1168">
        <v>18</v>
      </c>
      <c r="K1168" s="4">
        <v>6746.4</v>
      </c>
      <c r="L1168" s="4">
        <v>3.7142857142857144</v>
      </c>
      <c r="M1168" s="4">
        <v>4.8461538461538458</v>
      </c>
      <c r="N1168" t="s">
        <v>25</v>
      </c>
      <c r="O1168" t="str">
        <f t="shared" si="180"/>
        <v>Low</v>
      </c>
      <c r="P1168" t="str">
        <f t="shared" si="181"/>
        <v>Medium</v>
      </c>
      <c r="Q1168" t="str">
        <f t="shared" si="182"/>
        <v>High</v>
      </c>
      <c r="R1168" t="s">
        <v>3317</v>
      </c>
      <c r="S1168" s="4">
        <f t="shared" ca="1" si="183"/>
        <v>529</v>
      </c>
      <c r="T1168">
        <f t="shared" si="184"/>
        <v>1</v>
      </c>
      <c r="U1168">
        <f t="shared" si="185"/>
        <v>2</v>
      </c>
      <c r="V1168">
        <f t="shared" si="186"/>
        <v>3</v>
      </c>
      <c r="W1168">
        <f t="shared" si="187"/>
        <v>1</v>
      </c>
      <c r="X1168">
        <f t="shared" si="188"/>
        <v>1.7000000000000002</v>
      </c>
      <c r="Y1168" t="str">
        <f t="shared" si="189"/>
        <v>Monitor</v>
      </c>
    </row>
    <row r="1169" spans="1:25" x14ac:dyDescent="0.35">
      <c r="A1169" t="s">
        <v>179</v>
      </c>
      <c r="B1169" t="s">
        <v>180</v>
      </c>
      <c r="C1169" t="s">
        <v>181</v>
      </c>
      <c r="D1169" t="s">
        <v>296</v>
      </c>
      <c r="E1169">
        <v>80860034</v>
      </c>
      <c r="F1169" t="s">
        <v>999</v>
      </c>
      <c r="G1169" s="3">
        <v>46620</v>
      </c>
      <c r="H1169">
        <v>16</v>
      </c>
      <c r="I1169">
        <v>89</v>
      </c>
      <c r="J1169">
        <v>16</v>
      </c>
      <c r="K1169" s="4">
        <v>2771.52</v>
      </c>
      <c r="L1169" s="4">
        <v>19.428571428571427</v>
      </c>
      <c r="M1169" s="4">
        <v>0.82352941176470595</v>
      </c>
      <c r="N1169" t="s">
        <v>25</v>
      </c>
      <c r="O1169" t="str">
        <f t="shared" si="180"/>
        <v>Low</v>
      </c>
      <c r="P1169" t="str">
        <f t="shared" si="181"/>
        <v>Low</v>
      </c>
      <c r="Q1169" t="str">
        <f t="shared" si="182"/>
        <v>Low</v>
      </c>
      <c r="R1169" t="s">
        <v>3317</v>
      </c>
      <c r="S1169" s="4">
        <f t="shared" ca="1" si="183"/>
        <v>423</v>
      </c>
      <c r="T1169">
        <f t="shared" si="184"/>
        <v>1</v>
      </c>
      <c r="U1169">
        <f t="shared" si="185"/>
        <v>1</v>
      </c>
      <c r="V1169">
        <f t="shared" si="186"/>
        <v>1</v>
      </c>
      <c r="W1169">
        <f t="shared" si="187"/>
        <v>1</v>
      </c>
      <c r="X1169">
        <f t="shared" si="188"/>
        <v>0.99999999999999989</v>
      </c>
      <c r="Y1169" t="str">
        <f t="shared" si="189"/>
        <v>Healthy</v>
      </c>
    </row>
    <row r="1170" spans="1:25" x14ac:dyDescent="0.35">
      <c r="A1170" t="s">
        <v>29</v>
      </c>
      <c r="B1170" t="s">
        <v>30</v>
      </c>
      <c r="C1170" t="s">
        <v>391</v>
      </c>
      <c r="D1170" t="s">
        <v>997</v>
      </c>
      <c r="E1170">
        <v>80795672</v>
      </c>
      <c r="F1170" t="s">
        <v>998</v>
      </c>
      <c r="G1170" s="3">
        <v>46510</v>
      </c>
      <c r="H1170">
        <v>36</v>
      </c>
      <c r="I1170">
        <v>29</v>
      </c>
      <c r="J1170">
        <v>2</v>
      </c>
      <c r="K1170" s="4">
        <v>749.6</v>
      </c>
      <c r="L1170" s="4">
        <v>3.7142857142857144</v>
      </c>
      <c r="M1170" s="4">
        <v>0.53846153846153844</v>
      </c>
      <c r="N1170" t="s">
        <v>25</v>
      </c>
      <c r="O1170" t="str">
        <f t="shared" si="180"/>
        <v>Medium</v>
      </c>
      <c r="P1170" t="str">
        <f t="shared" si="181"/>
        <v>Low</v>
      </c>
      <c r="Q1170" t="str">
        <f t="shared" si="182"/>
        <v>High</v>
      </c>
      <c r="R1170" t="s">
        <v>3317</v>
      </c>
      <c r="S1170" s="4">
        <f t="shared" ca="1" si="183"/>
        <v>313</v>
      </c>
      <c r="T1170">
        <f t="shared" si="184"/>
        <v>2</v>
      </c>
      <c r="U1170">
        <f t="shared" si="185"/>
        <v>1</v>
      </c>
      <c r="V1170">
        <f t="shared" si="186"/>
        <v>3</v>
      </c>
      <c r="W1170">
        <f t="shared" si="187"/>
        <v>1</v>
      </c>
      <c r="X1170">
        <f t="shared" si="188"/>
        <v>1.8000000000000003</v>
      </c>
      <c r="Y1170" t="str">
        <f t="shared" si="189"/>
        <v>Monitor</v>
      </c>
    </row>
    <row r="1171" spans="1:25" x14ac:dyDescent="0.35">
      <c r="A1171" t="s">
        <v>29</v>
      </c>
      <c r="B1171" t="s">
        <v>30</v>
      </c>
      <c r="C1171" t="s">
        <v>391</v>
      </c>
      <c r="D1171" t="s">
        <v>997</v>
      </c>
      <c r="E1171">
        <v>80795672</v>
      </c>
      <c r="F1171" t="s">
        <v>998</v>
      </c>
      <c r="G1171" s="3">
        <v>46838</v>
      </c>
      <c r="H1171">
        <v>36</v>
      </c>
      <c r="I1171">
        <v>60</v>
      </c>
      <c r="J1171">
        <v>39</v>
      </c>
      <c r="K1171" s="4">
        <v>14617.2</v>
      </c>
      <c r="L1171" s="4">
        <v>3.7142857142857144</v>
      </c>
      <c r="M1171" s="4">
        <v>10.5</v>
      </c>
      <c r="N1171" t="s">
        <v>19</v>
      </c>
      <c r="O1171" t="str">
        <f t="shared" si="180"/>
        <v>Low</v>
      </c>
      <c r="P1171" t="str">
        <f t="shared" si="181"/>
        <v>High</v>
      </c>
      <c r="Q1171" t="str">
        <f t="shared" si="182"/>
        <v>High</v>
      </c>
      <c r="R1171" t="s">
        <v>3317</v>
      </c>
      <c r="S1171" s="4">
        <f t="shared" ca="1" si="183"/>
        <v>641</v>
      </c>
      <c r="T1171">
        <f t="shared" si="184"/>
        <v>1</v>
      </c>
      <c r="U1171">
        <f t="shared" si="185"/>
        <v>3</v>
      </c>
      <c r="V1171">
        <f t="shared" si="186"/>
        <v>3</v>
      </c>
      <c r="W1171">
        <f t="shared" si="187"/>
        <v>1</v>
      </c>
      <c r="X1171">
        <f t="shared" si="188"/>
        <v>2</v>
      </c>
      <c r="Y1171" t="str">
        <f t="shared" si="189"/>
        <v>Monitor</v>
      </c>
    </row>
    <row r="1172" spans="1:25" x14ac:dyDescent="0.35">
      <c r="A1172" t="s">
        <v>179</v>
      </c>
      <c r="B1172" t="s">
        <v>180</v>
      </c>
      <c r="C1172" t="s">
        <v>181</v>
      </c>
      <c r="D1172" t="s">
        <v>296</v>
      </c>
      <c r="E1172">
        <v>80860034</v>
      </c>
      <c r="F1172" t="s">
        <v>999</v>
      </c>
      <c r="G1172" s="3">
        <v>47396</v>
      </c>
      <c r="H1172">
        <v>16</v>
      </c>
      <c r="I1172">
        <v>100</v>
      </c>
      <c r="J1172">
        <v>68</v>
      </c>
      <c r="K1172" s="4">
        <v>11778.96</v>
      </c>
      <c r="L1172" s="4">
        <v>19.428571428571427</v>
      </c>
      <c r="M1172" s="4">
        <v>3.5000000000000004</v>
      </c>
      <c r="N1172" t="s">
        <v>25</v>
      </c>
      <c r="O1172" t="str">
        <f t="shared" si="180"/>
        <v>Low</v>
      </c>
      <c r="P1172" t="str">
        <f t="shared" si="181"/>
        <v>Low</v>
      </c>
      <c r="Q1172" t="str">
        <f t="shared" si="182"/>
        <v>Low</v>
      </c>
      <c r="R1172" t="s">
        <v>3317</v>
      </c>
      <c r="S1172" s="4">
        <f t="shared" ca="1" si="183"/>
        <v>1199</v>
      </c>
      <c r="T1172">
        <f t="shared" si="184"/>
        <v>1</v>
      </c>
      <c r="U1172">
        <f t="shared" si="185"/>
        <v>1</v>
      </c>
      <c r="V1172">
        <f t="shared" si="186"/>
        <v>1</v>
      </c>
      <c r="W1172">
        <f t="shared" si="187"/>
        <v>1</v>
      </c>
      <c r="X1172">
        <f t="shared" si="188"/>
        <v>0.99999999999999989</v>
      </c>
      <c r="Y1172" t="str">
        <f t="shared" si="189"/>
        <v>Healthy</v>
      </c>
    </row>
    <row r="1173" spans="1:25" x14ac:dyDescent="0.35">
      <c r="A1173" t="s">
        <v>29</v>
      </c>
      <c r="B1173" t="s">
        <v>30</v>
      </c>
      <c r="C1173" t="s">
        <v>449</v>
      </c>
      <c r="D1173" t="s">
        <v>1000</v>
      </c>
      <c r="E1173">
        <v>80833284</v>
      </c>
      <c r="F1173" t="s">
        <v>1001</v>
      </c>
      <c r="G1173" s="3">
        <v>47140</v>
      </c>
      <c r="H1173">
        <v>36</v>
      </c>
      <c r="I1173">
        <v>88</v>
      </c>
      <c r="J1173">
        <v>12</v>
      </c>
      <c r="K1173" s="4">
        <v>11008.8</v>
      </c>
      <c r="L1173" s="4">
        <v>39.714285714285715</v>
      </c>
      <c r="M1173" s="4">
        <v>0.30215827338129497</v>
      </c>
      <c r="N1173" t="s">
        <v>25</v>
      </c>
      <c r="O1173" t="str">
        <f t="shared" si="180"/>
        <v>Low</v>
      </c>
      <c r="P1173" t="str">
        <f t="shared" si="181"/>
        <v>Low</v>
      </c>
      <c r="Q1173" t="str">
        <f t="shared" si="182"/>
        <v>Low</v>
      </c>
      <c r="R1173" t="s">
        <v>3317</v>
      </c>
      <c r="S1173" s="4">
        <f t="shared" ca="1" si="183"/>
        <v>943</v>
      </c>
      <c r="T1173">
        <f t="shared" si="184"/>
        <v>1</v>
      </c>
      <c r="U1173">
        <f t="shared" si="185"/>
        <v>1</v>
      </c>
      <c r="V1173">
        <f t="shared" si="186"/>
        <v>1</v>
      </c>
      <c r="W1173">
        <f t="shared" si="187"/>
        <v>1</v>
      </c>
      <c r="X1173">
        <f t="shared" si="188"/>
        <v>0.99999999999999989</v>
      </c>
      <c r="Y1173" t="str">
        <f t="shared" si="189"/>
        <v>Healthy</v>
      </c>
    </row>
    <row r="1174" spans="1:25" x14ac:dyDescent="0.35">
      <c r="A1174" t="s">
        <v>29</v>
      </c>
      <c r="B1174" t="s">
        <v>30</v>
      </c>
      <c r="C1174" t="s">
        <v>449</v>
      </c>
      <c r="D1174" t="s">
        <v>1000</v>
      </c>
      <c r="E1174">
        <v>80833284</v>
      </c>
      <c r="F1174" t="s">
        <v>1001</v>
      </c>
      <c r="G1174" s="3">
        <v>47193</v>
      </c>
      <c r="H1174">
        <v>36</v>
      </c>
      <c r="I1174">
        <v>93</v>
      </c>
      <c r="J1174">
        <v>36</v>
      </c>
      <c r="K1174" s="4">
        <v>33026.400000000001</v>
      </c>
      <c r="L1174" s="4">
        <v>39.714285714285715</v>
      </c>
      <c r="M1174" s="4">
        <v>0.90647482014388492</v>
      </c>
      <c r="N1174" t="s">
        <v>25</v>
      </c>
      <c r="O1174" t="str">
        <f t="shared" si="180"/>
        <v>Low</v>
      </c>
      <c r="P1174" t="str">
        <f t="shared" si="181"/>
        <v>Low</v>
      </c>
      <c r="Q1174" t="str">
        <f t="shared" si="182"/>
        <v>Low</v>
      </c>
      <c r="R1174" t="s">
        <v>3317</v>
      </c>
      <c r="S1174" s="4">
        <f t="shared" ca="1" si="183"/>
        <v>996</v>
      </c>
      <c r="T1174">
        <f t="shared" si="184"/>
        <v>1</v>
      </c>
      <c r="U1174">
        <f t="shared" si="185"/>
        <v>1</v>
      </c>
      <c r="V1174">
        <f t="shared" si="186"/>
        <v>1</v>
      </c>
      <c r="W1174">
        <f t="shared" si="187"/>
        <v>1</v>
      </c>
      <c r="X1174">
        <f t="shared" si="188"/>
        <v>0.99999999999999989</v>
      </c>
      <c r="Y1174" t="str">
        <f t="shared" si="189"/>
        <v>Healthy</v>
      </c>
    </row>
    <row r="1175" spans="1:25" x14ac:dyDescent="0.35">
      <c r="A1175" t="s">
        <v>29</v>
      </c>
      <c r="B1175" t="s">
        <v>30</v>
      </c>
      <c r="C1175" t="s">
        <v>449</v>
      </c>
      <c r="D1175" t="s">
        <v>1000</v>
      </c>
      <c r="E1175">
        <v>80833284</v>
      </c>
      <c r="F1175" t="s">
        <v>1001</v>
      </c>
      <c r="G1175" s="3">
        <v>46796</v>
      </c>
      <c r="H1175">
        <v>36</v>
      </c>
      <c r="I1175">
        <v>56</v>
      </c>
      <c r="J1175">
        <v>4</v>
      </c>
      <c r="K1175" s="4">
        <v>3669.6</v>
      </c>
      <c r="L1175" s="4">
        <v>39.714285714285715</v>
      </c>
      <c r="M1175" s="4">
        <v>0.10071942446043165</v>
      </c>
      <c r="N1175" t="s">
        <v>25</v>
      </c>
      <c r="O1175" t="str">
        <f t="shared" si="180"/>
        <v>Low</v>
      </c>
      <c r="P1175" t="str">
        <f t="shared" si="181"/>
        <v>Low</v>
      </c>
      <c r="Q1175" t="str">
        <f t="shared" si="182"/>
        <v>Low</v>
      </c>
      <c r="R1175" t="s">
        <v>3317</v>
      </c>
      <c r="S1175" s="4">
        <f t="shared" ca="1" si="183"/>
        <v>599</v>
      </c>
      <c r="T1175">
        <f t="shared" si="184"/>
        <v>1</v>
      </c>
      <c r="U1175">
        <f t="shared" si="185"/>
        <v>1</v>
      </c>
      <c r="V1175">
        <f t="shared" si="186"/>
        <v>1</v>
      </c>
      <c r="W1175">
        <f t="shared" si="187"/>
        <v>1</v>
      </c>
      <c r="X1175">
        <f t="shared" si="188"/>
        <v>0.99999999999999989</v>
      </c>
      <c r="Y1175" t="str">
        <f t="shared" si="189"/>
        <v>Healthy</v>
      </c>
    </row>
    <row r="1176" spans="1:25" x14ac:dyDescent="0.35">
      <c r="A1176" t="s">
        <v>29</v>
      </c>
      <c r="B1176" t="s">
        <v>30</v>
      </c>
      <c r="C1176" t="s">
        <v>449</v>
      </c>
      <c r="D1176" t="s">
        <v>1000</v>
      </c>
      <c r="E1176">
        <v>80833284</v>
      </c>
      <c r="F1176" t="s">
        <v>1001</v>
      </c>
      <c r="G1176" s="3">
        <v>47096</v>
      </c>
      <c r="H1176">
        <v>36</v>
      </c>
      <c r="I1176">
        <v>84</v>
      </c>
      <c r="J1176">
        <v>24</v>
      </c>
      <c r="K1176" s="4">
        <v>22017.599999999999</v>
      </c>
      <c r="L1176" s="4">
        <v>39.714285714285715</v>
      </c>
      <c r="M1176" s="4">
        <v>0.60431654676258995</v>
      </c>
      <c r="N1176" t="s">
        <v>25</v>
      </c>
      <c r="O1176" t="str">
        <f t="shared" si="180"/>
        <v>Low</v>
      </c>
      <c r="P1176" t="str">
        <f t="shared" si="181"/>
        <v>Low</v>
      </c>
      <c r="Q1176" t="str">
        <f t="shared" si="182"/>
        <v>Low</v>
      </c>
      <c r="R1176" t="s">
        <v>3317</v>
      </c>
      <c r="S1176" s="4">
        <f t="shared" ca="1" si="183"/>
        <v>899</v>
      </c>
      <c r="T1176">
        <f t="shared" si="184"/>
        <v>1</v>
      </c>
      <c r="U1176">
        <f t="shared" si="185"/>
        <v>1</v>
      </c>
      <c r="V1176">
        <f t="shared" si="186"/>
        <v>1</v>
      </c>
      <c r="W1176">
        <f t="shared" si="187"/>
        <v>1</v>
      </c>
      <c r="X1176">
        <f t="shared" si="188"/>
        <v>0.99999999999999989</v>
      </c>
      <c r="Y1176" t="str">
        <f t="shared" si="189"/>
        <v>Healthy</v>
      </c>
    </row>
    <row r="1177" spans="1:25" x14ac:dyDescent="0.35">
      <c r="A1177" t="s">
        <v>29</v>
      </c>
      <c r="B1177" t="s">
        <v>30</v>
      </c>
      <c r="C1177" t="s">
        <v>449</v>
      </c>
      <c r="D1177" t="s">
        <v>1000</v>
      </c>
      <c r="E1177">
        <v>80833284</v>
      </c>
      <c r="F1177" t="s">
        <v>1001</v>
      </c>
      <c r="G1177" s="3">
        <v>46768</v>
      </c>
      <c r="H1177">
        <v>36</v>
      </c>
      <c r="I1177">
        <v>53</v>
      </c>
      <c r="J1177">
        <v>12</v>
      </c>
      <c r="K1177" s="4">
        <v>11008.8</v>
      </c>
      <c r="L1177" s="4">
        <v>39.714285714285715</v>
      </c>
      <c r="M1177" s="4">
        <v>0.30215827338129497</v>
      </c>
      <c r="N1177" t="s">
        <v>25</v>
      </c>
      <c r="O1177" t="str">
        <f t="shared" si="180"/>
        <v>Low</v>
      </c>
      <c r="P1177" t="str">
        <f t="shared" si="181"/>
        <v>Low</v>
      </c>
      <c r="Q1177" t="str">
        <f t="shared" si="182"/>
        <v>Low</v>
      </c>
      <c r="R1177" t="s">
        <v>3317</v>
      </c>
      <c r="S1177" s="4">
        <f t="shared" ca="1" si="183"/>
        <v>571</v>
      </c>
      <c r="T1177">
        <f t="shared" si="184"/>
        <v>1</v>
      </c>
      <c r="U1177">
        <f t="shared" si="185"/>
        <v>1</v>
      </c>
      <c r="V1177">
        <f t="shared" si="186"/>
        <v>1</v>
      </c>
      <c r="W1177">
        <f t="shared" si="187"/>
        <v>1</v>
      </c>
      <c r="X1177">
        <f t="shared" si="188"/>
        <v>0.99999999999999989</v>
      </c>
      <c r="Y1177" t="str">
        <f t="shared" si="189"/>
        <v>Healthy</v>
      </c>
    </row>
    <row r="1178" spans="1:25" x14ac:dyDescent="0.35">
      <c r="A1178" t="s">
        <v>71</v>
      </c>
      <c r="B1178" t="s">
        <v>72</v>
      </c>
      <c r="C1178" t="s">
        <v>174</v>
      </c>
      <c r="D1178" t="s">
        <v>555</v>
      </c>
      <c r="E1178">
        <v>80810563</v>
      </c>
      <c r="F1178" t="s">
        <v>1002</v>
      </c>
      <c r="G1178" s="3">
        <v>46796</v>
      </c>
      <c r="H1178">
        <v>36</v>
      </c>
      <c r="I1178">
        <v>56</v>
      </c>
      <c r="J1178">
        <v>6</v>
      </c>
      <c r="K1178" s="4">
        <v>18675.12</v>
      </c>
      <c r="L1178" s="4">
        <v>3.8571428571428572</v>
      </c>
      <c r="M1178" s="4">
        <v>1.5555555555555556</v>
      </c>
      <c r="N1178" t="s">
        <v>25</v>
      </c>
      <c r="O1178" t="str">
        <f t="shared" si="180"/>
        <v>Low</v>
      </c>
      <c r="P1178" t="str">
        <f t="shared" si="181"/>
        <v>Low</v>
      </c>
      <c r="Q1178" t="str">
        <f t="shared" si="182"/>
        <v>High</v>
      </c>
      <c r="R1178" t="s">
        <v>3317</v>
      </c>
      <c r="S1178" s="4">
        <f t="shared" ca="1" si="183"/>
        <v>599</v>
      </c>
      <c r="T1178">
        <f t="shared" si="184"/>
        <v>1</v>
      </c>
      <c r="U1178">
        <f t="shared" si="185"/>
        <v>1</v>
      </c>
      <c r="V1178">
        <f t="shared" si="186"/>
        <v>3</v>
      </c>
      <c r="W1178">
        <f t="shared" si="187"/>
        <v>1</v>
      </c>
      <c r="X1178">
        <f t="shared" si="188"/>
        <v>1.4000000000000001</v>
      </c>
      <c r="Y1178" t="str">
        <f t="shared" si="189"/>
        <v>Healthy</v>
      </c>
    </row>
    <row r="1179" spans="1:25" x14ac:dyDescent="0.35">
      <c r="A1179" t="s">
        <v>944</v>
      </c>
      <c r="B1179" t="s">
        <v>945</v>
      </c>
      <c r="C1179" t="s">
        <v>1003</v>
      </c>
      <c r="D1179" t="s">
        <v>1004</v>
      </c>
      <c r="E1179">
        <v>80799098</v>
      </c>
      <c r="F1179" t="s">
        <v>1005</v>
      </c>
      <c r="G1179" s="3">
        <v>47740</v>
      </c>
      <c r="H1179">
        <v>60</v>
      </c>
      <c r="I1179">
        <v>86</v>
      </c>
      <c r="J1179">
        <v>2</v>
      </c>
      <c r="K1179" s="4">
        <v>61087.199999999997</v>
      </c>
      <c r="L1179" s="4">
        <v>13.142857142857142</v>
      </c>
      <c r="M1179" s="4">
        <v>0.15217391304347827</v>
      </c>
      <c r="N1179" t="s">
        <v>25</v>
      </c>
      <c r="O1179" t="str">
        <f t="shared" si="180"/>
        <v>Low</v>
      </c>
      <c r="P1179" t="str">
        <f t="shared" si="181"/>
        <v>Low</v>
      </c>
      <c r="Q1179" t="str">
        <f t="shared" si="182"/>
        <v>Medium</v>
      </c>
      <c r="R1179" t="s">
        <v>3317</v>
      </c>
      <c r="S1179" s="4">
        <f t="shared" ca="1" si="183"/>
        <v>1543</v>
      </c>
      <c r="T1179">
        <f t="shared" si="184"/>
        <v>1</v>
      </c>
      <c r="U1179">
        <f t="shared" si="185"/>
        <v>1</v>
      </c>
      <c r="V1179">
        <f t="shared" si="186"/>
        <v>2</v>
      </c>
      <c r="W1179">
        <f t="shared" si="187"/>
        <v>1</v>
      </c>
      <c r="X1179">
        <f t="shared" si="188"/>
        <v>1.2000000000000002</v>
      </c>
      <c r="Y1179" t="str">
        <f t="shared" si="189"/>
        <v>Healthy</v>
      </c>
    </row>
    <row r="1180" spans="1:25" x14ac:dyDescent="0.35">
      <c r="A1180" t="s">
        <v>71</v>
      </c>
      <c r="B1180" t="s">
        <v>72</v>
      </c>
      <c r="C1180" t="s">
        <v>73</v>
      </c>
      <c r="D1180" t="s">
        <v>757</v>
      </c>
      <c r="E1180">
        <v>80815775</v>
      </c>
      <c r="F1180" t="s">
        <v>1006</v>
      </c>
      <c r="G1180" s="3">
        <v>46709</v>
      </c>
      <c r="H1180">
        <v>36</v>
      </c>
      <c r="I1180">
        <v>48</v>
      </c>
      <c r="J1180">
        <v>11</v>
      </c>
      <c r="K1180" s="4">
        <v>33100.43</v>
      </c>
      <c r="L1180" s="4">
        <v>2.8571428571428572</v>
      </c>
      <c r="M1180" s="4">
        <v>3.85</v>
      </c>
      <c r="N1180" t="s">
        <v>25</v>
      </c>
      <c r="O1180" t="str">
        <f t="shared" si="180"/>
        <v>Low</v>
      </c>
      <c r="P1180" t="str">
        <f t="shared" si="181"/>
        <v>Low</v>
      </c>
      <c r="Q1180" t="str">
        <f t="shared" si="182"/>
        <v>High</v>
      </c>
      <c r="R1180" t="s">
        <v>3317</v>
      </c>
      <c r="S1180" s="4">
        <f t="shared" ca="1" si="183"/>
        <v>512</v>
      </c>
      <c r="T1180">
        <f t="shared" si="184"/>
        <v>1</v>
      </c>
      <c r="U1180">
        <f t="shared" si="185"/>
        <v>1</v>
      </c>
      <c r="V1180">
        <f t="shared" si="186"/>
        <v>3</v>
      </c>
      <c r="W1180">
        <f t="shared" si="187"/>
        <v>1</v>
      </c>
      <c r="X1180">
        <f t="shared" si="188"/>
        <v>1.4000000000000001</v>
      </c>
      <c r="Y1180" t="str">
        <f t="shared" si="189"/>
        <v>Healthy</v>
      </c>
    </row>
    <row r="1181" spans="1:25" x14ac:dyDescent="0.35">
      <c r="A1181" t="s">
        <v>71</v>
      </c>
      <c r="B1181" t="s">
        <v>72</v>
      </c>
      <c r="C1181" t="s">
        <v>73</v>
      </c>
      <c r="D1181" t="s">
        <v>757</v>
      </c>
      <c r="E1181">
        <v>80815775</v>
      </c>
      <c r="F1181" t="s">
        <v>1006</v>
      </c>
      <c r="G1181" s="3">
        <v>46699</v>
      </c>
      <c r="H1181">
        <v>36</v>
      </c>
      <c r="I1181">
        <v>47</v>
      </c>
      <c r="J1181">
        <v>7</v>
      </c>
      <c r="K1181" s="4">
        <v>21063.91</v>
      </c>
      <c r="L1181" s="4">
        <v>2.8571428571428572</v>
      </c>
      <c r="M1181" s="4">
        <v>2.4499999999999997</v>
      </c>
      <c r="N1181" t="s">
        <v>25</v>
      </c>
      <c r="O1181" t="str">
        <f t="shared" si="180"/>
        <v>Low</v>
      </c>
      <c r="P1181" t="str">
        <f t="shared" si="181"/>
        <v>Low</v>
      </c>
      <c r="Q1181" t="str">
        <f t="shared" si="182"/>
        <v>High</v>
      </c>
      <c r="R1181" t="s">
        <v>3317</v>
      </c>
      <c r="S1181" s="4">
        <f t="shared" ca="1" si="183"/>
        <v>502</v>
      </c>
      <c r="T1181">
        <f t="shared" si="184"/>
        <v>1</v>
      </c>
      <c r="U1181">
        <f t="shared" si="185"/>
        <v>1</v>
      </c>
      <c r="V1181">
        <f t="shared" si="186"/>
        <v>3</v>
      </c>
      <c r="W1181">
        <f t="shared" si="187"/>
        <v>1</v>
      </c>
      <c r="X1181">
        <f t="shared" si="188"/>
        <v>1.4000000000000001</v>
      </c>
      <c r="Y1181" t="str">
        <f t="shared" si="189"/>
        <v>Healthy</v>
      </c>
    </row>
    <row r="1182" spans="1:25" x14ac:dyDescent="0.35">
      <c r="A1182" t="s">
        <v>189</v>
      </c>
      <c r="B1182" t="s">
        <v>262</v>
      </c>
      <c r="C1182" t="s">
        <v>262</v>
      </c>
      <c r="D1182" t="s">
        <v>1007</v>
      </c>
      <c r="E1182">
        <v>80816865</v>
      </c>
      <c r="F1182" t="s">
        <v>1008</v>
      </c>
      <c r="G1182" s="3">
        <v>46460</v>
      </c>
      <c r="H1182">
        <v>18</v>
      </c>
      <c r="I1182">
        <v>50</v>
      </c>
      <c r="J1182">
        <v>13</v>
      </c>
      <c r="K1182" s="4">
        <v>23025.21</v>
      </c>
      <c r="L1182" s="4">
        <v>18.142857142857142</v>
      </c>
      <c r="M1182" s="4">
        <v>0.7165354330708662</v>
      </c>
      <c r="N1182" t="s">
        <v>25</v>
      </c>
      <c r="O1182" t="str">
        <f t="shared" si="180"/>
        <v>Low</v>
      </c>
      <c r="P1182" t="str">
        <f t="shared" si="181"/>
        <v>Low</v>
      </c>
      <c r="Q1182" t="str">
        <f t="shared" si="182"/>
        <v>Low</v>
      </c>
      <c r="R1182" t="s">
        <v>3317</v>
      </c>
      <c r="S1182" s="4">
        <f t="shared" ca="1" si="183"/>
        <v>263</v>
      </c>
      <c r="T1182">
        <f t="shared" si="184"/>
        <v>1</v>
      </c>
      <c r="U1182">
        <f t="shared" si="185"/>
        <v>1</v>
      </c>
      <c r="V1182">
        <f t="shared" si="186"/>
        <v>1</v>
      </c>
      <c r="W1182">
        <f t="shared" si="187"/>
        <v>1</v>
      </c>
      <c r="X1182">
        <f t="shared" si="188"/>
        <v>0.99999999999999989</v>
      </c>
      <c r="Y1182" t="str">
        <f t="shared" si="189"/>
        <v>Healthy</v>
      </c>
    </row>
    <row r="1183" spans="1:25" x14ac:dyDescent="0.35">
      <c r="A1183" t="s">
        <v>189</v>
      </c>
      <c r="B1183" t="s">
        <v>262</v>
      </c>
      <c r="C1183" t="s">
        <v>262</v>
      </c>
      <c r="D1183" t="s">
        <v>1007</v>
      </c>
      <c r="E1183">
        <v>80816865</v>
      </c>
      <c r="F1183" t="s">
        <v>1008</v>
      </c>
      <c r="G1183" s="3">
        <v>46456</v>
      </c>
      <c r="H1183">
        <v>18</v>
      </c>
      <c r="I1183">
        <v>49</v>
      </c>
      <c r="J1183">
        <v>14</v>
      </c>
      <c r="K1183" s="4">
        <v>24796.38</v>
      </c>
      <c r="L1183" s="4">
        <v>18.142857142857142</v>
      </c>
      <c r="M1183" s="4">
        <v>0.77165354330708669</v>
      </c>
      <c r="N1183" t="s">
        <v>25</v>
      </c>
      <c r="O1183" t="str">
        <f t="shared" si="180"/>
        <v>Low</v>
      </c>
      <c r="P1183" t="str">
        <f t="shared" si="181"/>
        <v>Low</v>
      </c>
      <c r="Q1183" t="str">
        <f t="shared" si="182"/>
        <v>Low</v>
      </c>
      <c r="R1183" t="s">
        <v>3317</v>
      </c>
      <c r="S1183" s="4">
        <f t="shared" ca="1" si="183"/>
        <v>259</v>
      </c>
      <c r="T1183">
        <f t="shared" si="184"/>
        <v>1</v>
      </c>
      <c r="U1183">
        <f t="shared" si="185"/>
        <v>1</v>
      </c>
      <c r="V1183">
        <f t="shared" si="186"/>
        <v>1</v>
      </c>
      <c r="W1183">
        <f t="shared" si="187"/>
        <v>1</v>
      </c>
      <c r="X1183">
        <f t="shared" si="188"/>
        <v>0.99999999999999989</v>
      </c>
      <c r="Y1183" t="str">
        <f t="shared" si="189"/>
        <v>Healthy</v>
      </c>
    </row>
    <row r="1184" spans="1:25" x14ac:dyDescent="0.35">
      <c r="A1184" t="s">
        <v>90</v>
      </c>
      <c r="B1184" t="s">
        <v>404</v>
      </c>
      <c r="C1184" t="s">
        <v>405</v>
      </c>
      <c r="D1184" t="s">
        <v>1009</v>
      </c>
      <c r="E1184">
        <v>80870506</v>
      </c>
      <c r="F1184" t="s">
        <v>1010</v>
      </c>
      <c r="G1184" s="3">
        <v>46887</v>
      </c>
      <c r="H1184">
        <v>24</v>
      </c>
      <c r="I1184">
        <v>97</v>
      </c>
      <c r="J1184">
        <v>134</v>
      </c>
      <c r="K1184" s="4">
        <v>26075.06</v>
      </c>
      <c r="L1184" s="4">
        <v>809.28571428571433</v>
      </c>
      <c r="M1184" s="4">
        <v>0.16557811120917917</v>
      </c>
      <c r="N1184" t="s">
        <v>25</v>
      </c>
      <c r="O1184" t="str">
        <f t="shared" si="180"/>
        <v>Low</v>
      </c>
      <c r="P1184" t="str">
        <f t="shared" si="181"/>
        <v>Low</v>
      </c>
      <c r="Q1184" t="str">
        <f t="shared" si="182"/>
        <v>Low</v>
      </c>
      <c r="R1184" t="s">
        <v>3317</v>
      </c>
      <c r="S1184" s="4">
        <f t="shared" ca="1" si="183"/>
        <v>690</v>
      </c>
      <c r="T1184">
        <f t="shared" si="184"/>
        <v>1</v>
      </c>
      <c r="U1184">
        <f t="shared" si="185"/>
        <v>1</v>
      </c>
      <c r="V1184">
        <f t="shared" si="186"/>
        <v>1</v>
      </c>
      <c r="W1184">
        <f t="shared" si="187"/>
        <v>1</v>
      </c>
      <c r="X1184">
        <f t="shared" si="188"/>
        <v>0.99999999999999989</v>
      </c>
      <c r="Y1184" t="str">
        <f t="shared" si="189"/>
        <v>Healthy</v>
      </c>
    </row>
    <row r="1185" spans="1:25" x14ac:dyDescent="0.35">
      <c r="A1185" t="s">
        <v>90</v>
      </c>
      <c r="B1185" t="s">
        <v>404</v>
      </c>
      <c r="C1185" t="s">
        <v>405</v>
      </c>
      <c r="D1185" t="s">
        <v>1009</v>
      </c>
      <c r="E1185">
        <v>80870506</v>
      </c>
      <c r="F1185" t="s">
        <v>1010</v>
      </c>
      <c r="G1185" s="3">
        <v>46888</v>
      </c>
      <c r="H1185">
        <v>24</v>
      </c>
      <c r="I1185">
        <v>97</v>
      </c>
      <c r="J1185">
        <v>50</v>
      </c>
      <c r="K1185" s="4">
        <v>9729.5</v>
      </c>
      <c r="L1185" s="4">
        <v>809.28571428571433</v>
      </c>
      <c r="M1185" s="4">
        <v>6.1782877316857894E-2</v>
      </c>
      <c r="N1185" t="s">
        <v>25</v>
      </c>
      <c r="O1185" t="str">
        <f t="shared" si="180"/>
        <v>Low</v>
      </c>
      <c r="P1185" t="str">
        <f t="shared" si="181"/>
        <v>Low</v>
      </c>
      <c r="Q1185" t="str">
        <f t="shared" si="182"/>
        <v>Low</v>
      </c>
      <c r="R1185" t="s">
        <v>3317</v>
      </c>
      <c r="S1185" s="4">
        <f t="shared" ca="1" si="183"/>
        <v>691</v>
      </c>
      <c r="T1185">
        <f t="shared" si="184"/>
        <v>1</v>
      </c>
      <c r="U1185">
        <f t="shared" si="185"/>
        <v>1</v>
      </c>
      <c r="V1185">
        <f t="shared" si="186"/>
        <v>1</v>
      </c>
      <c r="W1185">
        <f t="shared" si="187"/>
        <v>1</v>
      </c>
      <c r="X1185">
        <f t="shared" si="188"/>
        <v>0.99999999999999989</v>
      </c>
      <c r="Y1185" t="str">
        <f t="shared" si="189"/>
        <v>Healthy</v>
      </c>
    </row>
    <row r="1186" spans="1:25" x14ac:dyDescent="0.35">
      <c r="A1186" t="s">
        <v>41</v>
      </c>
      <c r="B1186" t="s">
        <v>54</v>
      </c>
      <c r="C1186" t="s">
        <v>293</v>
      </c>
      <c r="D1186" t="s">
        <v>1011</v>
      </c>
      <c r="E1186">
        <v>80823356</v>
      </c>
      <c r="F1186" t="s">
        <v>1012</v>
      </c>
      <c r="G1186" s="3">
        <v>46402</v>
      </c>
      <c r="H1186">
        <v>18</v>
      </c>
      <c r="I1186">
        <v>39</v>
      </c>
      <c r="J1186">
        <v>75</v>
      </c>
      <c r="K1186" s="4">
        <v>7244.25</v>
      </c>
      <c r="L1186" s="4">
        <v>369.42857142857144</v>
      </c>
      <c r="M1186" s="4">
        <v>0.20301624129930393</v>
      </c>
      <c r="N1186" t="s">
        <v>25</v>
      </c>
      <c r="O1186" t="str">
        <f t="shared" si="180"/>
        <v>Medium</v>
      </c>
      <c r="P1186" t="str">
        <f t="shared" si="181"/>
        <v>Low</v>
      </c>
      <c r="Q1186" t="str">
        <f t="shared" si="182"/>
        <v>Low</v>
      </c>
      <c r="R1186" t="s">
        <v>3317</v>
      </c>
      <c r="S1186" s="4">
        <f t="shared" ca="1" si="183"/>
        <v>205</v>
      </c>
      <c r="T1186">
        <f t="shared" si="184"/>
        <v>2</v>
      </c>
      <c r="U1186">
        <f t="shared" si="185"/>
        <v>1</v>
      </c>
      <c r="V1186">
        <f t="shared" si="186"/>
        <v>1</v>
      </c>
      <c r="W1186">
        <f t="shared" si="187"/>
        <v>1</v>
      </c>
      <c r="X1186">
        <f t="shared" si="188"/>
        <v>1.4000000000000001</v>
      </c>
      <c r="Y1186" t="str">
        <f t="shared" si="189"/>
        <v>Healthy</v>
      </c>
    </row>
    <row r="1187" spans="1:25" x14ac:dyDescent="0.35">
      <c r="A1187" t="s">
        <v>41</v>
      </c>
      <c r="B1187" t="s">
        <v>54</v>
      </c>
      <c r="C1187" t="s">
        <v>293</v>
      </c>
      <c r="D1187" t="s">
        <v>1011</v>
      </c>
      <c r="E1187">
        <v>80823356</v>
      </c>
      <c r="F1187" t="s">
        <v>1012</v>
      </c>
      <c r="G1187" s="3">
        <v>46381</v>
      </c>
      <c r="H1187">
        <v>18</v>
      </c>
      <c r="I1187">
        <v>35</v>
      </c>
      <c r="J1187">
        <v>258</v>
      </c>
      <c r="K1187" s="4">
        <v>24920.22</v>
      </c>
      <c r="L1187" s="4">
        <v>369.42857142857144</v>
      </c>
      <c r="M1187" s="4">
        <v>0.69837587006960555</v>
      </c>
      <c r="N1187" t="s">
        <v>25</v>
      </c>
      <c r="O1187" t="str">
        <f t="shared" si="180"/>
        <v>Medium</v>
      </c>
      <c r="P1187" t="str">
        <f t="shared" si="181"/>
        <v>Low</v>
      </c>
      <c r="Q1187" t="str">
        <f t="shared" si="182"/>
        <v>Low</v>
      </c>
      <c r="R1187" t="s">
        <v>3317</v>
      </c>
      <c r="S1187" s="4">
        <f t="shared" ca="1" si="183"/>
        <v>184</v>
      </c>
      <c r="T1187">
        <f t="shared" si="184"/>
        <v>2</v>
      </c>
      <c r="U1187">
        <f t="shared" si="185"/>
        <v>1</v>
      </c>
      <c r="V1187">
        <f t="shared" si="186"/>
        <v>1</v>
      </c>
      <c r="W1187">
        <f t="shared" si="187"/>
        <v>1</v>
      </c>
      <c r="X1187">
        <f t="shared" si="188"/>
        <v>1.4000000000000001</v>
      </c>
      <c r="Y1187" t="str">
        <f t="shared" si="189"/>
        <v>Healthy</v>
      </c>
    </row>
    <row r="1188" spans="1:25" x14ac:dyDescent="0.35">
      <c r="A1188" t="s">
        <v>41</v>
      </c>
      <c r="B1188" t="s">
        <v>54</v>
      </c>
      <c r="C1188" t="s">
        <v>293</v>
      </c>
      <c r="D1188" t="s">
        <v>1011</v>
      </c>
      <c r="E1188">
        <v>80823356</v>
      </c>
      <c r="F1188" t="s">
        <v>1012</v>
      </c>
      <c r="G1188" s="3">
        <v>46453</v>
      </c>
      <c r="H1188">
        <v>18</v>
      </c>
      <c r="I1188">
        <v>48</v>
      </c>
      <c r="J1188">
        <v>60</v>
      </c>
      <c r="K1188" s="4">
        <v>5795.4</v>
      </c>
      <c r="L1188" s="4">
        <v>369.42857142857144</v>
      </c>
      <c r="M1188" s="4">
        <v>0.16241299303944315</v>
      </c>
      <c r="N1188" t="s">
        <v>25</v>
      </c>
      <c r="O1188" t="str">
        <f t="shared" si="180"/>
        <v>Low</v>
      </c>
      <c r="P1188" t="str">
        <f t="shared" si="181"/>
        <v>Low</v>
      </c>
      <c r="Q1188" t="str">
        <f t="shared" si="182"/>
        <v>Low</v>
      </c>
      <c r="R1188" t="s">
        <v>3317</v>
      </c>
      <c r="S1188" s="4">
        <f t="shared" ca="1" si="183"/>
        <v>256</v>
      </c>
      <c r="T1188">
        <f t="shared" si="184"/>
        <v>1</v>
      </c>
      <c r="U1188">
        <f t="shared" si="185"/>
        <v>1</v>
      </c>
      <c r="V1188">
        <f t="shared" si="186"/>
        <v>1</v>
      </c>
      <c r="W1188">
        <f t="shared" si="187"/>
        <v>1</v>
      </c>
      <c r="X1188">
        <f t="shared" si="188"/>
        <v>0.99999999999999989</v>
      </c>
      <c r="Y1188" t="str">
        <f t="shared" si="189"/>
        <v>Healthy</v>
      </c>
    </row>
    <row r="1189" spans="1:25" x14ac:dyDescent="0.35">
      <c r="A1189" t="s">
        <v>41</v>
      </c>
      <c r="B1189" t="s">
        <v>42</v>
      </c>
      <c r="C1189" t="s">
        <v>43</v>
      </c>
      <c r="D1189" t="s">
        <v>1013</v>
      </c>
      <c r="E1189">
        <v>80871619</v>
      </c>
      <c r="F1189" t="s">
        <v>1014</v>
      </c>
      <c r="G1189" s="3">
        <v>46975</v>
      </c>
      <c r="H1189">
        <v>36</v>
      </c>
      <c r="I1189">
        <v>73</v>
      </c>
      <c r="J1189">
        <v>3</v>
      </c>
      <c r="K1189" s="4">
        <v>458.16</v>
      </c>
      <c r="L1189" s="4">
        <v>3.5714285714285716</v>
      </c>
      <c r="M1189" s="4">
        <v>0.84</v>
      </c>
      <c r="N1189" t="s">
        <v>25</v>
      </c>
      <c r="O1189" t="str">
        <f t="shared" si="180"/>
        <v>Low</v>
      </c>
      <c r="P1189" t="str">
        <f t="shared" si="181"/>
        <v>Low</v>
      </c>
      <c r="Q1189" t="str">
        <f t="shared" si="182"/>
        <v>High</v>
      </c>
      <c r="R1189" t="s">
        <v>3317</v>
      </c>
      <c r="S1189" s="4">
        <f t="shared" ca="1" si="183"/>
        <v>778</v>
      </c>
      <c r="T1189">
        <f t="shared" si="184"/>
        <v>1</v>
      </c>
      <c r="U1189">
        <f t="shared" si="185"/>
        <v>1</v>
      </c>
      <c r="V1189">
        <f t="shared" si="186"/>
        <v>3</v>
      </c>
      <c r="W1189">
        <f t="shared" si="187"/>
        <v>1</v>
      </c>
      <c r="X1189">
        <f t="shared" si="188"/>
        <v>1.4000000000000001</v>
      </c>
      <c r="Y1189" t="str">
        <f t="shared" si="189"/>
        <v>Healthy</v>
      </c>
    </row>
    <row r="1190" spans="1:25" x14ac:dyDescent="0.35">
      <c r="A1190" t="s">
        <v>41</v>
      </c>
      <c r="B1190" t="s">
        <v>54</v>
      </c>
      <c r="C1190" t="s">
        <v>55</v>
      </c>
      <c r="D1190" t="s">
        <v>1015</v>
      </c>
      <c r="E1190">
        <v>80875171</v>
      </c>
      <c r="F1190" t="s">
        <v>1016</v>
      </c>
      <c r="G1190" s="3">
        <v>46974</v>
      </c>
      <c r="H1190">
        <v>36</v>
      </c>
      <c r="I1190">
        <v>72</v>
      </c>
      <c r="J1190">
        <v>8</v>
      </c>
      <c r="K1190" s="4">
        <v>7192.64</v>
      </c>
      <c r="L1190" s="4">
        <f>0</f>
        <v>0</v>
      </c>
      <c r="M1190" s="4">
        <f>999</f>
        <v>999</v>
      </c>
      <c r="N1190" t="s">
        <v>19</v>
      </c>
      <c r="O1190" t="str">
        <f t="shared" si="180"/>
        <v>Low</v>
      </c>
      <c r="P1190" t="str">
        <f t="shared" si="181"/>
        <v>High</v>
      </c>
      <c r="Q1190" t="str">
        <f t="shared" si="182"/>
        <v>High</v>
      </c>
      <c r="R1190" t="s">
        <v>3317</v>
      </c>
      <c r="S1190" s="4">
        <f t="shared" ca="1" si="183"/>
        <v>777</v>
      </c>
      <c r="T1190">
        <f t="shared" si="184"/>
        <v>1</v>
      </c>
      <c r="U1190">
        <f t="shared" si="185"/>
        <v>3</v>
      </c>
      <c r="V1190">
        <f t="shared" si="186"/>
        <v>3</v>
      </c>
      <c r="W1190">
        <f t="shared" si="187"/>
        <v>1</v>
      </c>
      <c r="X1190">
        <f t="shared" si="188"/>
        <v>2</v>
      </c>
      <c r="Y1190" t="str">
        <f t="shared" si="189"/>
        <v>Monitor</v>
      </c>
    </row>
    <row r="1191" spans="1:25" x14ac:dyDescent="0.35">
      <c r="A1191" t="s">
        <v>104</v>
      </c>
      <c r="B1191" t="s">
        <v>105</v>
      </c>
      <c r="C1191" t="s">
        <v>279</v>
      </c>
      <c r="D1191" t="s">
        <v>1017</v>
      </c>
      <c r="E1191">
        <v>80780347</v>
      </c>
      <c r="F1191" t="s">
        <v>1018</v>
      </c>
      <c r="G1191" s="3">
        <v>46687</v>
      </c>
      <c r="H1191">
        <v>24</v>
      </c>
      <c r="I1191">
        <v>69</v>
      </c>
      <c r="J1191">
        <v>108</v>
      </c>
      <c r="K1191" s="4">
        <v>25832.52</v>
      </c>
      <c r="L1191" s="4">
        <v>41.857142857142854</v>
      </c>
      <c r="M1191" s="4">
        <v>2.5802047781569968</v>
      </c>
      <c r="N1191" t="s">
        <v>25</v>
      </c>
      <c r="O1191" t="str">
        <f t="shared" si="180"/>
        <v>Low</v>
      </c>
      <c r="P1191" t="str">
        <f t="shared" si="181"/>
        <v>Low</v>
      </c>
      <c r="Q1191" t="str">
        <f t="shared" si="182"/>
        <v>Low</v>
      </c>
      <c r="R1191" t="s">
        <v>3317</v>
      </c>
      <c r="S1191" s="4">
        <f t="shared" ca="1" si="183"/>
        <v>490</v>
      </c>
      <c r="T1191">
        <f t="shared" si="184"/>
        <v>1</v>
      </c>
      <c r="U1191">
        <f t="shared" si="185"/>
        <v>1</v>
      </c>
      <c r="V1191">
        <f t="shared" si="186"/>
        <v>1</v>
      </c>
      <c r="W1191">
        <f t="shared" si="187"/>
        <v>1</v>
      </c>
      <c r="X1191">
        <f t="shared" si="188"/>
        <v>0.99999999999999989</v>
      </c>
      <c r="Y1191" t="str">
        <f t="shared" si="189"/>
        <v>Healthy</v>
      </c>
    </row>
    <row r="1192" spans="1:25" x14ac:dyDescent="0.35">
      <c r="A1192" t="s">
        <v>104</v>
      </c>
      <c r="B1192" t="s">
        <v>105</v>
      </c>
      <c r="C1192" t="s">
        <v>279</v>
      </c>
      <c r="D1192" t="s">
        <v>1017</v>
      </c>
      <c r="E1192">
        <v>80780347</v>
      </c>
      <c r="F1192" t="s">
        <v>1018</v>
      </c>
      <c r="G1192" s="3">
        <v>46541</v>
      </c>
      <c r="H1192">
        <v>24</v>
      </c>
      <c r="I1192">
        <v>48</v>
      </c>
      <c r="J1192">
        <v>59</v>
      </c>
      <c r="K1192" s="4">
        <v>14112.21</v>
      </c>
      <c r="L1192" s="4">
        <v>41.857142857142854</v>
      </c>
      <c r="M1192" s="4">
        <v>1.4095563139931742</v>
      </c>
      <c r="N1192" t="s">
        <v>25</v>
      </c>
      <c r="O1192" t="str">
        <f t="shared" si="180"/>
        <v>Low</v>
      </c>
      <c r="P1192" t="str">
        <f t="shared" si="181"/>
        <v>Low</v>
      </c>
      <c r="Q1192" t="str">
        <f t="shared" si="182"/>
        <v>Low</v>
      </c>
      <c r="R1192" t="s">
        <v>3317</v>
      </c>
      <c r="S1192" s="4">
        <f t="shared" ca="1" si="183"/>
        <v>344</v>
      </c>
      <c r="T1192">
        <f t="shared" si="184"/>
        <v>1</v>
      </c>
      <c r="U1192">
        <f t="shared" si="185"/>
        <v>1</v>
      </c>
      <c r="V1192">
        <f t="shared" si="186"/>
        <v>1</v>
      </c>
      <c r="W1192">
        <f t="shared" si="187"/>
        <v>1</v>
      </c>
      <c r="X1192">
        <f t="shared" si="188"/>
        <v>0.99999999999999989</v>
      </c>
      <c r="Y1192" t="str">
        <f t="shared" si="189"/>
        <v>Healthy</v>
      </c>
    </row>
    <row r="1193" spans="1:25" x14ac:dyDescent="0.35">
      <c r="A1193" t="s">
        <v>14</v>
      </c>
      <c r="B1193" t="s">
        <v>267</v>
      </c>
      <c r="C1193" t="s">
        <v>938</v>
      </c>
      <c r="D1193" t="s">
        <v>1019</v>
      </c>
      <c r="E1193">
        <v>80818331</v>
      </c>
      <c r="F1193" t="s">
        <v>1020</v>
      </c>
      <c r="G1193" s="3">
        <v>47869</v>
      </c>
      <c r="H1193">
        <v>60</v>
      </c>
      <c r="I1193">
        <v>93</v>
      </c>
      <c r="J1193">
        <v>1388</v>
      </c>
      <c r="K1193" s="4">
        <v>65527.48</v>
      </c>
      <c r="L1193" s="4">
        <v>1882.7142857142858</v>
      </c>
      <c r="M1193" s="4">
        <v>0.73723347750208668</v>
      </c>
      <c r="N1193" t="s">
        <v>25</v>
      </c>
      <c r="O1193" t="str">
        <f t="shared" si="180"/>
        <v>Low</v>
      </c>
      <c r="P1193" t="str">
        <f t="shared" si="181"/>
        <v>Low</v>
      </c>
      <c r="Q1193" t="str">
        <f t="shared" si="182"/>
        <v>Low</v>
      </c>
      <c r="R1193" t="s">
        <v>3317</v>
      </c>
      <c r="S1193" s="4">
        <f t="shared" ca="1" si="183"/>
        <v>1672</v>
      </c>
      <c r="T1193">
        <f t="shared" si="184"/>
        <v>1</v>
      </c>
      <c r="U1193">
        <f t="shared" si="185"/>
        <v>1</v>
      </c>
      <c r="V1193">
        <f t="shared" si="186"/>
        <v>1</v>
      </c>
      <c r="W1193">
        <f t="shared" si="187"/>
        <v>1</v>
      </c>
      <c r="X1193">
        <f t="shared" si="188"/>
        <v>0.99999999999999989</v>
      </c>
      <c r="Y1193" t="str">
        <f t="shared" si="189"/>
        <v>Healthy</v>
      </c>
    </row>
    <row r="1194" spans="1:25" x14ac:dyDescent="0.35">
      <c r="A1194" t="s">
        <v>71</v>
      </c>
      <c r="B1194" t="s">
        <v>72</v>
      </c>
      <c r="C1194" t="s">
        <v>73</v>
      </c>
      <c r="D1194" t="s">
        <v>1021</v>
      </c>
      <c r="E1194">
        <v>80867195</v>
      </c>
      <c r="F1194" t="s">
        <v>1022</v>
      </c>
      <c r="G1194" s="3">
        <v>47001</v>
      </c>
      <c r="H1194">
        <v>36</v>
      </c>
      <c r="I1194">
        <v>75</v>
      </c>
      <c r="J1194">
        <v>1</v>
      </c>
      <c r="K1194" s="4">
        <v>2849.74</v>
      </c>
      <c r="L1194" s="4">
        <v>127.42857142857143</v>
      </c>
      <c r="M1194" s="4">
        <v>7.8475336322869956E-3</v>
      </c>
      <c r="N1194" t="s">
        <v>25</v>
      </c>
      <c r="O1194" t="str">
        <f t="shared" si="180"/>
        <v>Low</v>
      </c>
      <c r="P1194" t="str">
        <f t="shared" si="181"/>
        <v>Low</v>
      </c>
      <c r="Q1194" t="str">
        <f t="shared" si="182"/>
        <v>Low</v>
      </c>
      <c r="R1194" t="s">
        <v>3317</v>
      </c>
      <c r="S1194" s="4">
        <f t="shared" ca="1" si="183"/>
        <v>804</v>
      </c>
      <c r="T1194">
        <f t="shared" si="184"/>
        <v>1</v>
      </c>
      <c r="U1194">
        <f t="shared" si="185"/>
        <v>1</v>
      </c>
      <c r="V1194">
        <f t="shared" si="186"/>
        <v>1</v>
      </c>
      <c r="W1194">
        <f t="shared" si="187"/>
        <v>1</v>
      </c>
      <c r="X1194">
        <f t="shared" si="188"/>
        <v>0.99999999999999989</v>
      </c>
      <c r="Y1194" t="str">
        <f t="shared" si="189"/>
        <v>Healthy</v>
      </c>
    </row>
    <row r="1195" spans="1:25" x14ac:dyDescent="0.35">
      <c r="A1195" t="s">
        <v>14</v>
      </c>
      <c r="B1195" t="s">
        <v>267</v>
      </c>
      <c r="C1195" t="s">
        <v>938</v>
      </c>
      <c r="D1195" t="s">
        <v>1019</v>
      </c>
      <c r="E1195">
        <v>80818331</v>
      </c>
      <c r="F1195" t="s">
        <v>1020</v>
      </c>
      <c r="G1195" s="3">
        <v>47689</v>
      </c>
      <c r="H1195">
        <v>60</v>
      </c>
      <c r="I1195">
        <v>83</v>
      </c>
      <c r="J1195">
        <v>60</v>
      </c>
      <c r="K1195" s="4">
        <v>59484.6</v>
      </c>
      <c r="L1195" s="4">
        <v>1882.7142857142858</v>
      </c>
      <c r="M1195" s="4">
        <v>3.1868882312770318E-2</v>
      </c>
      <c r="N1195" t="s">
        <v>25</v>
      </c>
      <c r="O1195" t="str">
        <f t="shared" si="180"/>
        <v>Low</v>
      </c>
      <c r="P1195" t="str">
        <f t="shared" si="181"/>
        <v>Low</v>
      </c>
      <c r="Q1195" t="str">
        <f t="shared" si="182"/>
        <v>Low</v>
      </c>
      <c r="R1195" t="s">
        <v>3317</v>
      </c>
      <c r="S1195" s="4">
        <f t="shared" ca="1" si="183"/>
        <v>1492</v>
      </c>
      <c r="T1195">
        <f t="shared" si="184"/>
        <v>1</v>
      </c>
      <c r="U1195">
        <f t="shared" si="185"/>
        <v>1</v>
      </c>
      <c r="V1195">
        <f t="shared" si="186"/>
        <v>1</v>
      </c>
      <c r="W1195">
        <f t="shared" si="187"/>
        <v>1</v>
      </c>
      <c r="X1195">
        <f t="shared" si="188"/>
        <v>0.99999999999999989</v>
      </c>
      <c r="Y1195" t="str">
        <f t="shared" si="189"/>
        <v>Healthy</v>
      </c>
    </row>
    <row r="1196" spans="1:25" x14ac:dyDescent="0.35">
      <c r="A1196" t="s">
        <v>14</v>
      </c>
      <c r="B1196" t="s">
        <v>267</v>
      </c>
      <c r="C1196" t="s">
        <v>938</v>
      </c>
      <c r="D1196" t="s">
        <v>1019</v>
      </c>
      <c r="E1196">
        <v>80818331</v>
      </c>
      <c r="F1196" t="s">
        <v>1020</v>
      </c>
      <c r="G1196" s="3">
        <v>47787</v>
      </c>
      <c r="H1196">
        <v>60</v>
      </c>
      <c r="I1196">
        <v>89</v>
      </c>
      <c r="J1196">
        <v>917</v>
      </c>
      <c r="K1196" s="4">
        <v>43291.57</v>
      </c>
      <c r="L1196" s="4">
        <v>1882.7142857142858</v>
      </c>
      <c r="M1196" s="4">
        <v>0.48706275134683963</v>
      </c>
      <c r="N1196" t="s">
        <v>25</v>
      </c>
      <c r="O1196" t="str">
        <f t="shared" si="180"/>
        <v>Low</v>
      </c>
      <c r="P1196" t="str">
        <f t="shared" si="181"/>
        <v>Low</v>
      </c>
      <c r="Q1196" t="str">
        <f t="shared" si="182"/>
        <v>Low</v>
      </c>
      <c r="R1196" t="s">
        <v>3317</v>
      </c>
      <c r="S1196" s="4">
        <f t="shared" ca="1" si="183"/>
        <v>1590</v>
      </c>
      <c r="T1196">
        <f t="shared" si="184"/>
        <v>1</v>
      </c>
      <c r="U1196">
        <f t="shared" si="185"/>
        <v>1</v>
      </c>
      <c r="V1196">
        <f t="shared" si="186"/>
        <v>1</v>
      </c>
      <c r="W1196">
        <f t="shared" si="187"/>
        <v>1</v>
      </c>
      <c r="X1196">
        <f t="shared" si="188"/>
        <v>0.99999999999999989</v>
      </c>
      <c r="Y1196" t="str">
        <f t="shared" si="189"/>
        <v>Healthy</v>
      </c>
    </row>
    <row r="1197" spans="1:25" x14ac:dyDescent="0.35">
      <c r="A1197" t="s">
        <v>71</v>
      </c>
      <c r="B1197" t="s">
        <v>72</v>
      </c>
      <c r="C1197" t="s">
        <v>73</v>
      </c>
      <c r="D1197" t="s">
        <v>1021</v>
      </c>
      <c r="E1197">
        <v>80867195</v>
      </c>
      <c r="F1197" t="s">
        <v>1022</v>
      </c>
      <c r="G1197" s="3">
        <v>47116</v>
      </c>
      <c r="H1197">
        <v>36</v>
      </c>
      <c r="I1197">
        <v>86</v>
      </c>
      <c r="J1197">
        <v>17</v>
      </c>
      <c r="K1197" s="4">
        <v>48445.58</v>
      </c>
      <c r="L1197" s="4">
        <v>127.42857142857143</v>
      </c>
      <c r="M1197" s="4">
        <v>0.13340807174887892</v>
      </c>
      <c r="N1197" t="s">
        <v>25</v>
      </c>
      <c r="O1197" t="str">
        <f t="shared" si="180"/>
        <v>Low</v>
      </c>
      <c r="P1197" t="str">
        <f t="shared" si="181"/>
        <v>Low</v>
      </c>
      <c r="Q1197" t="str">
        <f t="shared" si="182"/>
        <v>Low</v>
      </c>
      <c r="R1197" t="s">
        <v>3317</v>
      </c>
      <c r="S1197" s="4">
        <f t="shared" ca="1" si="183"/>
        <v>919</v>
      </c>
      <c r="T1197">
        <f t="shared" si="184"/>
        <v>1</v>
      </c>
      <c r="U1197">
        <f t="shared" si="185"/>
        <v>1</v>
      </c>
      <c r="V1197">
        <f t="shared" si="186"/>
        <v>1</v>
      </c>
      <c r="W1197">
        <f t="shared" si="187"/>
        <v>1</v>
      </c>
      <c r="X1197">
        <f t="shared" si="188"/>
        <v>0.99999999999999989</v>
      </c>
      <c r="Y1197" t="str">
        <f t="shared" si="189"/>
        <v>Healthy</v>
      </c>
    </row>
    <row r="1198" spans="1:25" x14ac:dyDescent="0.35">
      <c r="A1198" t="s">
        <v>14</v>
      </c>
      <c r="B1198" t="s">
        <v>267</v>
      </c>
      <c r="C1198" t="s">
        <v>938</v>
      </c>
      <c r="D1198" t="s">
        <v>1019</v>
      </c>
      <c r="E1198">
        <v>80818331</v>
      </c>
      <c r="F1198" t="s">
        <v>1020</v>
      </c>
      <c r="G1198" s="3">
        <v>47797</v>
      </c>
      <c r="H1198">
        <v>60</v>
      </c>
      <c r="I1198">
        <v>89</v>
      </c>
      <c r="J1198">
        <v>667</v>
      </c>
      <c r="K1198" s="4">
        <v>31489.07</v>
      </c>
      <c r="L1198" s="4">
        <v>1882.7142857142858</v>
      </c>
      <c r="M1198" s="4">
        <v>0.35427574171029669</v>
      </c>
      <c r="N1198" t="s">
        <v>25</v>
      </c>
      <c r="O1198" t="str">
        <f t="shared" si="180"/>
        <v>Low</v>
      </c>
      <c r="P1198" t="str">
        <f t="shared" si="181"/>
        <v>Low</v>
      </c>
      <c r="Q1198" t="str">
        <f t="shared" si="182"/>
        <v>Low</v>
      </c>
      <c r="R1198" t="s">
        <v>3317</v>
      </c>
      <c r="S1198" s="4">
        <f t="shared" ca="1" si="183"/>
        <v>1600</v>
      </c>
      <c r="T1198">
        <f t="shared" si="184"/>
        <v>1</v>
      </c>
      <c r="U1198">
        <f t="shared" si="185"/>
        <v>1</v>
      </c>
      <c r="V1198">
        <f t="shared" si="186"/>
        <v>1</v>
      </c>
      <c r="W1198">
        <f t="shared" si="187"/>
        <v>1</v>
      </c>
      <c r="X1198">
        <f t="shared" si="188"/>
        <v>0.99999999999999989</v>
      </c>
      <c r="Y1198" t="str">
        <f t="shared" si="189"/>
        <v>Healthy</v>
      </c>
    </row>
    <row r="1199" spans="1:25" x14ac:dyDescent="0.35">
      <c r="A1199" t="s">
        <v>14</v>
      </c>
      <c r="B1199" t="s">
        <v>267</v>
      </c>
      <c r="C1199" t="s">
        <v>938</v>
      </c>
      <c r="D1199" t="s">
        <v>1019</v>
      </c>
      <c r="E1199">
        <v>80818331</v>
      </c>
      <c r="F1199" t="s">
        <v>1020</v>
      </c>
      <c r="G1199" s="3">
        <v>47667</v>
      </c>
      <c r="H1199">
        <v>60</v>
      </c>
      <c r="I1199">
        <v>82</v>
      </c>
      <c r="J1199">
        <v>214</v>
      </c>
      <c r="K1199" s="4">
        <v>10102.94</v>
      </c>
      <c r="L1199" s="4">
        <v>1882.7142857142858</v>
      </c>
      <c r="M1199" s="4">
        <v>0.1136656802488808</v>
      </c>
      <c r="N1199" t="s">
        <v>25</v>
      </c>
      <c r="O1199" t="str">
        <f t="shared" si="180"/>
        <v>Low</v>
      </c>
      <c r="P1199" t="str">
        <f t="shared" si="181"/>
        <v>Low</v>
      </c>
      <c r="Q1199" t="str">
        <f t="shared" si="182"/>
        <v>Low</v>
      </c>
      <c r="R1199" t="s">
        <v>3317</v>
      </c>
      <c r="S1199" s="4">
        <f t="shared" ca="1" si="183"/>
        <v>1470</v>
      </c>
      <c r="T1199">
        <f t="shared" si="184"/>
        <v>1</v>
      </c>
      <c r="U1199">
        <f t="shared" si="185"/>
        <v>1</v>
      </c>
      <c r="V1199">
        <f t="shared" si="186"/>
        <v>1</v>
      </c>
      <c r="W1199">
        <f t="shared" si="187"/>
        <v>1</v>
      </c>
      <c r="X1199">
        <f t="shared" si="188"/>
        <v>0.99999999999999989</v>
      </c>
      <c r="Y1199" t="str">
        <f t="shared" si="189"/>
        <v>Healthy</v>
      </c>
    </row>
    <row r="1200" spans="1:25" x14ac:dyDescent="0.35">
      <c r="A1200" t="s">
        <v>71</v>
      </c>
      <c r="B1200" t="s">
        <v>72</v>
      </c>
      <c r="C1200" t="s">
        <v>73</v>
      </c>
      <c r="D1200" t="s">
        <v>167</v>
      </c>
      <c r="E1200">
        <v>80867202</v>
      </c>
      <c r="F1200" t="s">
        <v>1023</v>
      </c>
      <c r="G1200" s="3">
        <v>47021</v>
      </c>
      <c r="H1200">
        <v>36</v>
      </c>
      <c r="I1200">
        <v>77</v>
      </c>
      <c r="J1200">
        <v>2</v>
      </c>
      <c r="K1200" s="4">
        <v>3800.1</v>
      </c>
      <c r="L1200" s="4">
        <v>15.428571428571429</v>
      </c>
      <c r="M1200" s="4">
        <v>0.12962962962962962</v>
      </c>
      <c r="N1200" t="s">
        <v>25</v>
      </c>
      <c r="O1200" t="str">
        <f t="shared" si="180"/>
        <v>Low</v>
      </c>
      <c r="P1200" t="str">
        <f t="shared" si="181"/>
        <v>Low</v>
      </c>
      <c r="Q1200" t="str">
        <f t="shared" si="182"/>
        <v>Low</v>
      </c>
      <c r="R1200" t="s">
        <v>3317</v>
      </c>
      <c r="S1200" s="4">
        <f t="shared" ca="1" si="183"/>
        <v>824</v>
      </c>
      <c r="T1200">
        <f t="shared" si="184"/>
        <v>1</v>
      </c>
      <c r="U1200">
        <f t="shared" si="185"/>
        <v>1</v>
      </c>
      <c r="V1200">
        <f t="shared" si="186"/>
        <v>1</v>
      </c>
      <c r="W1200">
        <f t="shared" si="187"/>
        <v>1</v>
      </c>
      <c r="X1200">
        <f t="shared" si="188"/>
        <v>0.99999999999999989</v>
      </c>
      <c r="Y1200" t="str">
        <f t="shared" si="189"/>
        <v>Healthy</v>
      </c>
    </row>
    <row r="1201" spans="1:25" x14ac:dyDescent="0.35">
      <c r="A1201" t="s">
        <v>14</v>
      </c>
      <c r="B1201" t="s">
        <v>267</v>
      </c>
      <c r="C1201" t="s">
        <v>938</v>
      </c>
      <c r="D1201" t="s">
        <v>1019</v>
      </c>
      <c r="E1201">
        <v>80818331</v>
      </c>
      <c r="F1201" t="s">
        <v>1020</v>
      </c>
      <c r="G1201" s="3">
        <v>47810</v>
      </c>
      <c r="H1201">
        <v>60</v>
      </c>
      <c r="I1201">
        <v>90</v>
      </c>
      <c r="J1201">
        <v>836</v>
      </c>
      <c r="K1201" s="4">
        <v>39467.56</v>
      </c>
      <c r="L1201" s="4">
        <v>1882.7142857142858</v>
      </c>
      <c r="M1201" s="4">
        <v>0.44403976022459973</v>
      </c>
      <c r="N1201" t="s">
        <v>25</v>
      </c>
      <c r="O1201" t="str">
        <f t="shared" si="180"/>
        <v>Low</v>
      </c>
      <c r="P1201" t="str">
        <f t="shared" si="181"/>
        <v>Low</v>
      </c>
      <c r="Q1201" t="str">
        <f t="shared" si="182"/>
        <v>Low</v>
      </c>
      <c r="R1201" t="s">
        <v>3317</v>
      </c>
      <c r="S1201" s="4">
        <f t="shared" ca="1" si="183"/>
        <v>1613</v>
      </c>
      <c r="T1201">
        <f t="shared" si="184"/>
        <v>1</v>
      </c>
      <c r="U1201">
        <f t="shared" si="185"/>
        <v>1</v>
      </c>
      <c r="V1201">
        <f t="shared" si="186"/>
        <v>1</v>
      </c>
      <c r="W1201">
        <f t="shared" si="187"/>
        <v>1</v>
      </c>
      <c r="X1201">
        <f t="shared" si="188"/>
        <v>0.99999999999999989</v>
      </c>
      <c r="Y1201" t="str">
        <f t="shared" si="189"/>
        <v>Healthy</v>
      </c>
    </row>
    <row r="1202" spans="1:25" x14ac:dyDescent="0.35">
      <c r="A1202" t="s">
        <v>71</v>
      </c>
      <c r="B1202" t="s">
        <v>72</v>
      </c>
      <c r="C1202" t="s">
        <v>73</v>
      </c>
      <c r="D1202" t="s">
        <v>167</v>
      </c>
      <c r="E1202">
        <v>80867202</v>
      </c>
      <c r="F1202" t="s">
        <v>1023</v>
      </c>
      <c r="G1202" s="3">
        <v>47004</v>
      </c>
      <c r="H1202">
        <v>36</v>
      </c>
      <c r="I1202">
        <v>75</v>
      </c>
      <c r="J1202">
        <v>1</v>
      </c>
      <c r="K1202" s="4">
        <v>1900.05</v>
      </c>
      <c r="L1202" s="4">
        <v>15.428571428571429</v>
      </c>
      <c r="M1202" s="4">
        <v>6.4814814814814811E-2</v>
      </c>
      <c r="N1202" t="s">
        <v>25</v>
      </c>
      <c r="O1202" t="str">
        <f t="shared" si="180"/>
        <v>Low</v>
      </c>
      <c r="P1202" t="str">
        <f t="shared" si="181"/>
        <v>Low</v>
      </c>
      <c r="Q1202" t="str">
        <f t="shared" si="182"/>
        <v>Low</v>
      </c>
      <c r="R1202" t="s">
        <v>3317</v>
      </c>
      <c r="S1202" s="4">
        <f t="shared" ca="1" si="183"/>
        <v>807</v>
      </c>
      <c r="T1202">
        <f t="shared" si="184"/>
        <v>1</v>
      </c>
      <c r="U1202">
        <f t="shared" si="185"/>
        <v>1</v>
      </c>
      <c r="V1202">
        <f t="shared" si="186"/>
        <v>1</v>
      </c>
      <c r="W1202">
        <f t="shared" si="187"/>
        <v>1</v>
      </c>
      <c r="X1202">
        <f t="shared" si="188"/>
        <v>0.99999999999999989</v>
      </c>
      <c r="Y1202" t="str">
        <f t="shared" si="189"/>
        <v>Healthy</v>
      </c>
    </row>
    <row r="1203" spans="1:25" x14ac:dyDescent="0.35">
      <c r="A1203" t="s">
        <v>179</v>
      </c>
      <c r="B1203" t="s">
        <v>195</v>
      </c>
      <c r="C1203" t="s">
        <v>199</v>
      </c>
      <c r="D1203" t="s">
        <v>433</v>
      </c>
      <c r="E1203">
        <v>80873416</v>
      </c>
      <c r="F1203" t="s">
        <v>1024</v>
      </c>
      <c r="G1203" s="3">
        <v>46423</v>
      </c>
      <c r="H1203">
        <v>16</v>
      </c>
      <c r="I1203">
        <v>48</v>
      </c>
      <c r="J1203">
        <v>4</v>
      </c>
      <c r="K1203" s="4">
        <v>5422.04</v>
      </c>
      <c r="L1203" s="4">
        <v>1154.7142857142858</v>
      </c>
      <c r="M1203" s="4">
        <v>3.4640603736236543E-3</v>
      </c>
      <c r="N1203" t="s">
        <v>25</v>
      </c>
      <c r="O1203" t="str">
        <f t="shared" si="180"/>
        <v>Low</v>
      </c>
      <c r="P1203" t="str">
        <f t="shared" si="181"/>
        <v>Low</v>
      </c>
      <c r="Q1203" t="str">
        <f t="shared" si="182"/>
        <v>Low</v>
      </c>
      <c r="R1203" t="s">
        <v>3317</v>
      </c>
      <c r="S1203" s="4">
        <f t="shared" ca="1" si="183"/>
        <v>226</v>
      </c>
      <c r="T1203">
        <f t="shared" si="184"/>
        <v>1</v>
      </c>
      <c r="U1203">
        <f t="shared" si="185"/>
        <v>1</v>
      </c>
      <c r="V1203">
        <f t="shared" si="186"/>
        <v>1</v>
      </c>
      <c r="W1203">
        <f t="shared" si="187"/>
        <v>1</v>
      </c>
      <c r="X1203">
        <f t="shared" si="188"/>
        <v>0.99999999999999989</v>
      </c>
      <c r="Y1203" t="str">
        <f t="shared" si="189"/>
        <v>Healthy</v>
      </c>
    </row>
    <row r="1204" spans="1:25" x14ac:dyDescent="0.35">
      <c r="A1204" t="s">
        <v>14</v>
      </c>
      <c r="B1204" t="s">
        <v>267</v>
      </c>
      <c r="C1204" t="s">
        <v>938</v>
      </c>
      <c r="D1204" t="s">
        <v>1019</v>
      </c>
      <c r="E1204">
        <v>80818331</v>
      </c>
      <c r="F1204" t="s">
        <v>1020</v>
      </c>
      <c r="G1204" s="3">
        <v>47756</v>
      </c>
      <c r="H1204">
        <v>60</v>
      </c>
      <c r="I1204">
        <v>87</v>
      </c>
      <c r="J1204">
        <v>1049</v>
      </c>
      <c r="K1204" s="4">
        <v>49523.29</v>
      </c>
      <c r="L1204" s="4">
        <v>1882.7142857142858</v>
      </c>
      <c r="M1204" s="4">
        <v>0.55717429243493433</v>
      </c>
      <c r="N1204" t="s">
        <v>25</v>
      </c>
      <c r="O1204" t="str">
        <f t="shared" si="180"/>
        <v>Low</v>
      </c>
      <c r="P1204" t="str">
        <f t="shared" si="181"/>
        <v>Low</v>
      </c>
      <c r="Q1204" t="str">
        <f t="shared" si="182"/>
        <v>Low</v>
      </c>
      <c r="R1204" t="s">
        <v>3317</v>
      </c>
      <c r="S1204" s="4">
        <f t="shared" ca="1" si="183"/>
        <v>1559</v>
      </c>
      <c r="T1204">
        <f t="shared" si="184"/>
        <v>1</v>
      </c>
      <c r="U1204">
        <f t="shared" si="185"/>
        <v>1</v>
      </c>
      <c r="V1204">
        <f t="shared" si="186"/>
        <v>1</v>
      </c>
      <c r="W1204">
        <f t="shared" si="187"/>
        <v>1</v>
      </c>
      <c r="X1204">
        <f t="shared" si="188"/>
        <v>0.99999999999999989</v>
      </c>
      <c r="Y1204" t="str">
        <f t="shared" si="189"/>
        <v>Healthy</v>
      </c>
    </row>
    <row r="1205" spans="1:25" x14ac:dyDescent="0.35">
      <c r="A1205" t="s">
        <v>179</v>
      </c>
      <c r="B1205" t="s">
        <v>195</v>
      </c>
      <c r="C1205" t="s">
        <v>199</v>
      </c>
      <c r="D1205" t="s">
        <v>433</v>
      </c>
      <c r="E1205">
        <v>80873416</v>
      </c>
      <c r="F1205" t="s">
        <v>1024</v>
      </c>
      <c r="G1205" s="3">
        <v>46521</v>
      </c>
      <c r="H1205">
        <v>16</v>
      </c>
      <c r="I1205">
        <v>69</v>
      </c>
      <c r="J1205">
        <v>2</v>
      </c>
      <c r="K1205" s="4">
        <v>2711.02</v>
      </c>
      <c r="L1205" s="4">
        <v>1154.7142857142858</v>
      </c>
      <c r="M1205" s="4">
        <v>1.7320301868118271E-3</v>
      </c>
      <c r="N1205" t="s">
        <v>25</v>
      </c>
      <c r="O1205" t="str">
        <f t="shared" si="180"/>
        <v>Low</v>
      </c>
      <c r="P1205" t="str">
        <f t="shared" si="181"/>
        <v>Low</v>
      </c>
      <c r="Q1205" t="str">
        <f t="shared" si="182"/>
        <v>Low</v>
      </c>
      <c r="R1205" t="s">
        <v>3317</v>
      </c>
      <c r="S1205" s="4">
        <f t="shared" ca="1" si="183"/>
        <v>324</v>
      </c>
      <c r="T1205">
        <f t="shared" si="184"/>
        <v>1</v>
      </c>
      <c r="U1205">
        <f t="shared" si="185"/>
        <v>1</v>
      </c>
      <c r="V1205">
        <f t="shared" si="186"/>
        <v>1</v>
      </c>
      <c r="W1205">
        <f t="shared" si="187"/>
        <v>1</v>
      </c>
      <c r="X1205">
        <f t="shared" si="188"/>
        <v>0.99999999999999989</v>
      </c>
      <c r="Y1205" t="str">
        <f t="shared" si="189"/>
        <v>Healthy</v>
      </c>
    </row>
    <row r="1206" spans="1:25" x14ac:dyDescent="0.35">
      <c r="A1206" t="s">
        <v>41</v>
      </c>
      <c r="B1206" t="s">
        <v>42</v>
      </c>
      <c r="C1206" t="s">
        <v>43</v>
      </c>
      <c r="D1206" t="s">
        <v>1025</v>
      </c>
      <c r="E1206">
        <v>80833378</v>
      </c>
      <c r="F1206" t="s">
        <v>1026</v>
      </c>
      <c r="G1206" s="3">
        <v>46836</v>
      </c>
      <c r="H1206">
        <v>36</v>
      </c>
      <c r="I1206">
        <v>60</v>
      </c>
      <c r="J1206">
        <v>4</v>
      </c>
      <c r="K1206" s="4">
        <v>1162.44</v>
      </c>
      <c r="L1206" s="4">
        <v>7.2857142857142856</v>
      </c>
      <c r="M1206" s="4">
        <v>0.5490196078431373</v>
      </c>
      <c r="N1206" t="s">
        <v>25</v>
      </c>
      <c r="O1206" t="str">
        <f t="shared" si="180"/>
        <v>Low</v>
      </c>
      <c r="P1206" t="str">
        <f t="shared" si="181"/>
        <v>Low</v>
      </c>
      <c r="Q1206" t="str">
        <f t="shared" si="182"/>
        <v>Medium</v>
      </c>
      <c r="R1206" t="s">
        <v>3317</v>
      </c>
      <c r="S1206" s="4">
        <f t="shared" ca="1" si="183"/>
        <v>639</v>
      </c>
      <c r="T1206">
        <f t="shared" si="184"/>
        <v>1</v>
      </c>
      <c r="U1206">
        <f t="shared" si="185"/>
        <v>1</v>
      </c>
      <c r="V1206">
        <f t="shared" si="186"/>
        <v>2</v>
      </c>
      <c r="W1206">
        <f t="shared" si="187"/>
        <v>1</v>
      </c>
      <c r="X1206">
        <f t="shared" si="188"/>
        <v>1.2000000000000002</v>
      </c>
      <c r="Y1206" t="str">
        <f t="shared" si="189"/>
        <v>Healthy</v>
      </c>
    </row>
    <row r="1207" spans="1:25" x14ac:dyDescent="0.35">
      <c r="A1207" t="s">
        <v>179</v>
      </c>
      <c r="B1207" t="s">
        <v>223</v>
      </c>
      <c r="C1207" t="s">
        <v>408</v>
      </c>
      <c r="D1207" t="s">
        <v>1027</v>
      </c>
      <c r="E1207">
        <v>80837829</v>
      </c>
      <c r="F1207" t="s">
        <v>1028</v>
      </c>
      <c r="G1207" s="3">
        <v>46525</v>
      </c>
      <c r="H1207">
        <v>16</v>
      </c>
      <c r="I1207">
        <v>69</v>
      </c>
      <c r="J1207">
        <v>48</v>
      </c>
      <c r="K1207" s="4">
        <v>6348.48</v>
      </c>
      <c r="L1207" s="4">
        <v>900.14285714285711</v>
      </c>
      <c r="M1207" s="4">
        <v>5.3324869068401844E-2</v>
      </c>
      <c r="N1207" t="s">
        <v>25</v>
      </c>
      <c r="O1207" t="str">
        <f t="shared" si="180"/>
        <v>Low</v>
      </c>
      <c r="P1207" t="str">
        <f t="shared" si="181"/>
        <v>Low</v>
      </c>
      <c r="Q1207" t="str">
        <f t="shared" si="182"/>
        <v>Low</v>
      </c>
      <c r="R1207" t="s">
        <v>3317</v>
      </c>
      <c r="S1207" s="4">
        <f t="shared" ca="1" si="183"/>
        <v>328</v>
      </c>
      <c r="T1207">
        <f t="shared" si="184"/>
        <v>1</v>
      </c>
      <c r="U1207">
        <f t="shared" si="185"/>
        <v>1</v>
      </c>
      <c r="V1207">
        <f t="shared" si="186"/>
        <v>1</v>
      </c>
      <c r="W1207">
        <f t="shared" si="187"/>
        <v>1</v>
      </c>
      <c r="X1207">
        <f t="shared" si="188"/>
        <v>0.99999999999999989</v>
      </c>
      <c r="Y1207" t="str">
        <f t="shared" si="189"/>
        <v>Healthy</v>
      </c>
    </row>
    <row r="1208" spans="1:25" x14ac:dyDescent="0.35">
      <c r="A1208" t="s">
        <v>179</v>
      </c>
      <c r="B1208" t="s">
        <v>195</v>
      </c>
      <c r="C1208" t="s">
        <v>199</v>
      </c>
      <c r="D1208" t="s">
        <v>433</v>
      </c>
      <c r="E1208">
        <v>80873416</v>
      </c>
      <c r="F1208" t="s">
        <v>1024</v>
      </c>
      <c r="G1208" s="3">
        <v>46521</v>
      </c>
      <c r="H1208">
        <v>16</v>
      </c>
      <c r="I1208">
        <v>69</v>
      </c>
      <c r="J1208">
        <v>4</v>
      </c>
      <c r="K1208" s="4">
        <v>5422.04</v>
      </c>
      <c r="L1208" s="4">
        <v>1154.7142857142858</v>
      </c>
      <c r="M1208" s="4">
        <v>3.4640603736236543E-3</v>
      </c>
      <c r="N1208" t="s">
        <v>25</v>
      </c>
      <c r="O1208" t="str">
        <f t="shared" si="180"/>
        <v>Low</v>
      </c>
      <c r="P1208" t="str">
        <f t="shared" si="181"/>
        <v>Low</v>
      </c>
      <c r="Q1208" t="str">
        <f t="shared" si="182"/>
        <v>Low</v>
      </c>
      <c r="R1208" t="s">
        <v>3317</v>
      </c>
      <c r="S1208" s="4">
        <f t="shared" ca="1" si="183"/>
        <v>324</v>
      </c>
      <c r="T1208">
        <f t="shared" si="184"/>
        <v>1</v>
      </c>
      <c r="U1208">
        <f t="shared" si="185"/>
        <v>1</v>
      </c>
      <c r="V1208">
        <f t="shared" si="186"/>
        <v>1</v>
      </c>
      <c r="W1208">
        <f t="shared" si="187"/>
        <v>1</v>
      </c>
      <c r="X1208">
        <f t="shared" si="188"/>
        <v>0.99999999999999989</v>
      </c>
      <c r="Y1208" t="str">
        <f t="shared" si="189"/>
        <v>Healthy</v>
      </c>
    </row>
    <row r="1209" spans="1:25" x14ac:dyDescent="0.35">
      <c r="A1209" t="s">
        <v>179</v>
      </c>
      <c r="B1209" t="s">
        <v>223</v>
      </c>
      <c r="C1209" t="s">
        <v>408</v>
      </c>
      <c r="D1209" t="s">
        <v>1027</v>
      </c>
      <c r="E1209">
        <v>80837829</v>
      </c>
      <c r="F1209" t="s">
        <v>1028</v>
      </c>
      <c r="G1209" s="3">
        <v>46668</v>
      </c>
      <c r="H1209">
        <v>16</v>
      </c>
      <c r="I1209">
        <v>99</v>
      </c>
      <c r="J1209">
        <v>48</v>
      </c>
      <c r="K1209" s="4">
        <v>6348.48</v>
      </c>
      <c r="L1209" s="4">
        <v>900.14285714285711</v>
      </c>
      <c r="M1209" s="4">
        <v>5.3324869068401844E-2</v>
      </c>
      <c r="N1209" t="s">
        <v>25</v>
      </c>
      <c r="O1209" t="str">
        <f t="shared" si="180"/>
        <v>Low</v>
      </c>
      <c r="P1209" t="str">
        <f t="shared" si="181"/>
        <v>Low</v>
      </c>
      <c r="Q1209" t="str">
        <f t="shared" si="182"/>
        <v>Low</v>
      </c>
      <c r="R1209" t="s">
        <v>3317</v>
      </c>
      <c r="S1209" s="4">
        <f t="shared" ca="1" si="183"/>
        <v>471</v>
      </c>
      <c r="T1209">
        <f t="shared" si="184"/>
        <v>1</v>
      </c>
      <c r="U1209">
        <f t="shared" si="185"/>
        <v>1</v>
      </c>
      <c r="V1209">
        <f t="shared" si="186"/>
        <v>1</v>
      </c>
      <c r="W1209">
        <f t="shared" si="187"/>
        <v>1</v>
      </c>
      <c r="X1209">
        <f t="shared" si="188"/>
        <v>0.99999999999999989</v>
      </c>
      <c r="Y1209" t="str">
        <f t="shared" si="189"/>
        <v>Healthy</v>
      </c>
    </row>
    <row r="1210" spans="1:25" x14ac:dyDescent="0.35">
      <c r="A1210" t="s">
        <v>179</v>
      </c>
      <c r="B1210" t="s">
        <v>223</v>
      </c>
      <c r="C1210" t="s">
        <v>408</v>
      </c>
      <c r="D1210" t="s">
        <v>1027</v>
      </c>
      <c r="E1210">
        <v>80837829</v>
      </c>
      <c r="F1210" t="s">
        <v>1028</v>
      </c>
      <c r="G1210" s="3">
        <v>46517</v>
      </c>
      <c r="H1210">
        <v>16</v>
      </c>
      <c r="I1210">
        <v>68</v>
      </c>
      <c r="J1210">
        <v>312</v>
      </c>
      <c r="K1210" s="4">
        <v>41265.120000000003</v>
      </c>
      <c r="L1210" s="4">
        <v>900.14285714285711</v>
      </c>
      <c r="M1210" s="4">
        <v>0.34661164894461199</v>
      </c>
      <c r="N1210" t="s">
        <v>25</v>
      </c>
      <c r="O1210" t="str">
        <f t="shared" si="180"/>
        <v>Low</v>
      </c>
      <c r="P1210" t="str">
        <f t="shared" si="181"/>
        <v>Low</v>
      </c>
      <c r="Q1210" t="str">
        <f t="shared" si="182"/>
        <v>Low</v>
      </c>
      <c r="R1210" t="s">
        <v>3317</v>
      </c>
      <c r="S1210" s="4">
        <f t="shared" ca="1" si="183"/>
        <v>320</v>
      </c>
      <c r="T1210">
        <f t="shared" si="184"/>
        <v>1</v>
      </c>
      <c r="U1210">
        <f t="shared" si="185"/>
        <v>1</v>
      </c>
      <c r="V1210">
        <f t="shared" si="186"/>
        <v>1</v>
      </c>
      <c r="W1210">
        <f t="shared" si="187"/>
        <v>1</v>
      </c>
      <c r="X1210">
        <f t="shared" si="188"/>
        <v>0.99999999999999989</v>
      </c>
      <c r="Y1210" t="str">
        <f t="shared" si="189"/>
        <v>Healthy</v>
      </c>
    </row>
    <row r="1211" spans="1:25" x14ac:dyDescent="0.35">
      <c r="A1211" t="s">
        <v>90</v>
      </c>
      <c r="B1211" t="s">
        <v>91</v>
      </c>
      <c r="C1211" t="s">
        <v>92</v>
      </c>
      <c r="D1211" t="s">
        <v>1029</v>
      </c>
      <c r="E1211">
        <v>80871892</v>
      </c>
      <c r="F1211" t="s">
        <v>1030</v>
      </c>
      <c r="G1211" s="3">
        <v>46903</v>
      </c>
      <c r="H1211">
        <v>24</v>
      </c>
      <c r="I1211">
        <v>99</v>
      </c>
      <c r="J1211">
        <v>7</v>
      </c>
      <c r="K1211" s="4">
        <v>8556.31</v>
      </c>
      <c r="L1211" s="4">
        <v>59.714285714285715</v>
      </c>
      <c r="M1211" s="4">
        <v>0.11722488038277512</v>
      </c>
      <c r="N1211" t="s">
        <v>25</v>
      </c>
      <c r="O1211" t="str">
        <f t="shared" si="180"/>
        <v>Low</v>
      </c>
      <c r="P1211" t="str">
        <f t="shared" si="181"/>
        <v>Low</v>
      </c>
      <c r="Q1211" t="str">
        <f t="shared" si="182"/>
        <v>Low</v>
      </c>
      <c r="R1211" t="s">
        <v>3317</v>
      </c>
      <c r="S1211" s="4">
        <f t="shared" ca="1" si="183"/>
        <v>706</v>
      </c>
      <c r="T1211">
        <f t="shared" si="184"/>
        <v>1</v>
      </c>
      <c r="U1211">
        <f t="shared" si="185"/>
        <v>1</v>
      </c>
      <c r="V1211">
        <f t="shared" si="186"/>
        <v>1</v>
      </c>
      <c r="W1211">
        <f t="shared" si="187"/>
        <v>1</v>
      </c>
      <c r="X1211">
        <f t="shared" si="188"/>
        <v>0.99999999999999989</v>
      </c>
      <c r="Y1211" t="str">
        <f t="shared" si="189"/>
        <v>Healthy</v>
      </c>
    </row>
    <row r="1212" spans="1:25" x14ac:dyDescent="0.35">
      <c r="A1212" t="s">
        <v>90</v>
      </c>
      <c r="B1212" t="s">
        <v>91</v>
      </c>
      <c r="C1212" t="s">
        <v>92</v>
      </c>
      <c r="D1212" t="s">
        <v>1029</v>
      </c>
      <c r="E1212">
        <v>80871892</v>
      </c>
      <c r="F1212" t="s">
        <v>1030</v>
      </c>
      <c r="G1212" s="3">
        <v>46790</v>
      </c>
      <c r="H1212">
        <v>24</v>
      </c>
      <c r="I1212">
        <v>83</v>
      </c>
      <c r="J1212">
        <v>21</v>
      </c>
      <c r="K1212" s="4">
        <v>25668.93</v>
      </c>
      <c r="L1212" s="4">
        <v>59.714285714285715</v>
      </c>
      <c r="M1212" s="4">
        <v>0.35167464114832536</v>
      </c>
      <c r="N1212" t="s">
        <v>25</v>
      </c>
      <c r="O1212" t="str">
        <f t="shared" si="180"/>
        <v>Low</v>
      </c>
      <c r="P1212" t="str">
        <f t="shared" si="181"/>
        <v>Low</v>
      </c>
      <c r="Q1212" t="str">
        <f t="shared" si="182"/>
        <v>Low</v>
      </c>
      <c r="R1212" t="s">
        <v>3317</v>
      </c>
      <c r="S1212" s="4">
        <f t="shared" ca="1" si="183"/>
        <v>593</v>
      </c>
      <c r="T1212">
        <f t="shared" si="184"/>
        <v>1</v>
      </c>
      <c r="U1212">
        <f t="shared" si="185"/>
        <v>1</v>
      </c>
      <c r="V1212">
        <f t="shared" si="186"/>
        <v>1</v>
      </c>
      <c r="W1212">
        <f t="shared" si="187"/>
        <v>1</v>
      </c>
      <c r="X1212">
        <f t="shared" si="188"/>
        <v>0.99999999999999989</v>
      </c>
      <c r="Y1212" t="str">
        <f t="shared" si="189"/>
        <v>Healthy</v>
      </c>
    </row>
    <row r="1213" spans="1:25" x14ac:dyDescent="0.35">
      <c r="A1213" t="s">
        <v>90</v>
      </c>
      <c r="B1213" t="s">
        <v>91</v>
      </c>
      <c r="C1213" t="s">
        <v>92</v>
      </c>
      <c r="D1213" t="s">
        <v>1029</v>
      </c>
      <c r="E1213">
        <v>80871892</v>
      </c>
      <c r="F1213" t="s">
        <v>1030</v>
      </c>
      <c r="G1213" s="3">
        <v>46789</v>
      </c>
      <c r="H1213">
        <v>24</v>
      </c>
      <c r="I1213">
        <v>83</v>
      </c>
      <c r="J1213">
        <v>8</v>
      </c>
      <c r="K1213" s="4">
        <v>9778.64</v>
      </c>
      <c r="L1213" s="4">
        <v>59.714285714285715</v>
      </c>
      <c r="M1213" s="4">
        <v>0.13397129186602871</v>
      </c>
      <c r="N1213" t="s">
        <v>25</v>
      </c>
      <c r="O1213" t="str">
        <f t="shared" si="180"/>
        <v>Low</v>
      </c>
      <c r="P1213" t="str">
        <f t="shared" si="181"/>
        <v>Low</v>
      </c>
      <c r="Q1213" t="str">
        <f t="shared" si="182"/>
        <v>Low</v>
      </c>
      <c r="R1213" t="s">
        <v>3317</v>
      </c>
      <c r="S1213" s="4">
        <f t="shared" ca="1" si="183"/>
        <v>592</v>
      </c>
      <c r="T1213">
        <f t="shared" si="184"/>
        <v>1</v>
      </c>
      <c r="U1213">
        <f t="shared" si="185"/>
        <v>1</v>
      </c>
      <c r="V1213">
        <f t="shared" si="186"/>
        <v>1</v>
      </c>
      <c r="W1213">
        <f t="shared" si="187"/>
        <v>1</v>
      </c>
      <c r="X1213">
        <f t="shared" si="188"/>
        <v>0.99999999999999989</v>
      </c>
      <c r="Y1213" t="str">
        <f t="shared" si="189"/>
        <v>Healthy</v>
      </c>
    </row>
    <row r="1214" spans="1:25" x14ac:dyDescent="0.35">
      <c r="A1214" t="s">
        <v>90</v>
      </c>
      <c r="B1214" t="s">
        <v>91</v>
      </c>
      <c r="C1214" t="s">
        <v>92</v>
      </c>
      <c r="D1214" t="s">
        <v>1029</v>
      </c>
      <c r="E1214">
        <v>80871892</v>
      </c>
      <c r="F1214" t="s">
        <v>1030</v>
      </c>
      <c r="G1214" s="3">
        <v>46695</v>
      </c>
      <c r="H1214">
        <v>24</v>
      </c>
      <c r="I1214">
        <v>70</v>
      </c>
      <c r="J1214">
        <v>9</v>
      </c>
      <c r="K1214" s="4">
        <v>11000.97</v>
      </c>
      <c r="L1214" s="4">
        <v>59.714285714285715</v>
      </c>
      <c r="M1214" s="4">
        <v>0.15071770334928231</v>
      </c>
      <c r="N1214" t="s">
        <v>25</v>
      </c>
      <c r="O1214" t="str">
        <f t="shared" si="180"/>
        <v>Low</v>
      </c>
      <c r="P1214" t="str">
        <f t="shared" si="181"/>
        <v>Low</v>
      </c>
      <c r="Q1214" t="str">
        <f t="shared" si="182"/>
        <v>Low</v>
      </c>
      <c r="R1214" t="s">
        <v>3317</v>
      </c>
      <c r="S1214" s="4">
        <f t="shared" ca="1" si="183"/>
        <v>498</v>
      </c>
      <c r="T1214">
        <f t="shared" si="184"/>
        <v>1</v>
      </c>
      <c r="U1214">
        <f t="shared" si="185"/>
        <v>1</v>
      </c>
      <c r="V1214">
        <f t="shared" si="186"/>
        <v>1</v>
      </c>
      <c r="W1214">
        <f t="shared" si="187"/>
        <v>1</v>
      </c>
      <c r="X1214">
        <f t="shared" si="188"/>
        <v>0.99999999999999989</v>
      </c>
      <c r="Y1214" t="str">
        <f t="shared" si="189"/>
        <v>Healthy</v>
      </c>
    </row>
    <row r="1215" spans="1:25" x14ac:dyDescent="0.35">
      <c r="A1215" t="s">
        <v>90</v>
      </c>
      <c r="B1215" t="s">
        <v>91</v>
      </c>
      <c r="C1215" t="s">
        <v>92</v>
      </c>
      <c r="D1215" t="s">
        <v>1029</v>
      </c>
      <c r="E1215">
        <v>80871892</v>
      </c>
      <c r="F1215" t="s">
        <v>1030</v>
      </c>
      <c r="G1215" s="3">
        <v>46772</v>
      </c>
      <c r="H1215">
        <v>24</v>
      </c>
      <c r="I1215">
        <v>81</v>
      </c>
      <c r="J1215">
        <v>2</v>
      </c>
      <c r="K1215" s="4">
        <v>2444.66</v>
      </c>
      <c r="L1215" s="4">
        <v>59.714285714285715</v>
      </c>
      <c r="M1215" s="4">
        <v>3.3492822966507178E-2</v>
      </c>
      <c r="N1215" t="s">
        <v>25</v>
      </c>
      <c r="O1215" t="str">
        <f t="shared" si="180"/>
        <v>Low</v>
      </c>
      <c r="P1215" t="str">
        <f t="shared" si="181"/>
        <v>Low</v>
      </c>
      <c r="Q1215" t="str">
        <f t="shared" si="182"/>
        <v>Low</v>
      </c>
      <c r="R1215" t="s">
        <v>3317</v>
      </c>
      <c r="S1215" s="4">
        <f t="shared" ca="1" si="183"/>
        <v>575</v>
      </c>
      <c r="T1215">
        <f t="shared" si="184"/>
        <v>1</v>
      </c>
      <c r="U1215">
        <f t="shared" si="185"/>
        <v>1</v>
      </c>
      <c r="V1215">
        <f t="shared" si="186"/>
        <v>1</v>
      </c>
      <c r="W1215">
        <f t="shared" si="187"/>
        <v>1</v>
      </c>
      <c r="X1215">
        <f t="shared" si="188"/>
        <v>0.99999999999999989</v>
      </c>
      <c r="Y1215" t="str">
        <f t="shared" si="189"/>
        <v>Healthy</v>
      </c>
    </row>
    <row r="1216" spans="1:25" x14ac:dyDescent="0.35">
      <c r="A1216" t="s">
        <v>29</v>
      </c>
      <c r="B1216" t="s">
        <v>30</v>
      </c>
      <c r="C1216" t="s">
        <v>1031</v>
      </c>
      <c r="D1216" t="s">
        <v>1032</v>
      </c>
      <c r="E1216">
        <v>80823577</v>
      </c>
      <c r="F1216" t="s">
        <v>1033</v>
      </c>
      <c r="G1216" s="3">
        <v>46825</v>
      </c>
      <c r="H1216">
        <v>36</v>
      </c>
      <c r="I1216">
        <v>59</v>
      </c>
      <c r="J1216">
        <v>22</v>
      </c>
      <c r="K1216" s="4">
        <v>11421.96</v>
      </c>
      <c r="L1216" s="4">
        <v>6.7142857142857144</v>
      </c>
      <c r="M1216" s="4">
        <v>3.2765957446808511</v>
      </c>
      <c r="N1216" t="s">
        <v>25</v>
      </c>
      <c r="O1216" t="str">
        <f t="shared" si="180"/>
        <v>Low</v>
      </c>
      <c r="P1216" t="str">
        <f t="shared" si="181"/>
        <v>Low</v>
      </c>
      <c r="Q1216" t="str">
        <f t="shared" si="182"/>
        <v>Medium</v>
      </c>
      <c r="R1216" t="s">
        <v>3317</v>
      </c>
      <c r="S1216" s="4">
        <f t="shared" ca="1" si="183"/>
        <v>628</v>
      </c>
      <c r="T1216">
        <f t="shared" si="184"/>
        <v>1</v>
      </c>
      <c r="U1216">
        <f t="shared" si="185"/>
        <v>1</v>
      </c>
      <c r="V1216">
        <f t="shared" si="186"/>
        <v>2</v>
      </c>
      <c r="W1216">
        <f t="shared" si="187"/>
        <v>1</v>
      </c>
      <c r="X1216">
        <f t="shared" si="188"/>
        <v>1.2000000000000002</v>
      </c>
      <c r="Y1216" t="str">
        <f t="shared" si="189"/>
        <v>Healthy</v>
      </c>
    </row>
    <row r="1217" spans="1:25" x14ac:dyDescent="0.35">
      <c r="A1217" t="s">
        <v>179</v>
      </c>
      <c r="B1217" t="s">
        <v>195</v>
      </c>
      <c r="C1217" t="s">
        <v>199</v>
      </c>
      <c r="D1217" t="s">
        <v>1034</v>
      </c>
      <c r="E1217">
        <v>80860040</v>
      </c>
      <c r="F1217" t="s">
        <v>1035</v>
      </c>
      <c r="G1217" s="3">
        <v>46353</v>
      </c>
      <c r="H1217">
        <v>16</v>
      </c>
      <c r="I1217">
        <v>34</v>
      </c>
      <c r="J1217">
        <v>11</v>
      </c>
      <c r="K1217" s="4">
        <v>3901.26</v>
      </c>
      <c r="L1217" s="4">
        <v>177.85714285714286</v>
      </c>
      <c r="M1217" s="4">
        <v>6.1847389558232928E-2</v>
      </c>
      <c r="N1217" t="s">
        <v>25</v>
      </c>
      <c r="O1217" t="str">
        <f t="shared" si="180"/>
        <v>Medium</v>
      </c>
      <c r="P1217" t="str">
        <f t="shared" si="181"/>
        <v>Low</v>
      </c>
      <c r="Q1217" t="str">
        <f t="shared" si="182"/>
        <v>Low</v>
      </c>
      <c r="R1217" t="s">
        <v>3317</v>
      </c>
      <c r="S1217" s="4">
        <f t="shared" ca="1" si="183"/>
        <v>156</v>
      </c>
      <c r="T1217">
        <f t="shared" si="184"/>
        <v>2</v>
      </c>
      <c r="U1217">
        <f t="shared" si="185"/>
        <v>1</v>
      </c>
      <c r="V1217">
        <f t="shared" si="186"/>
        <v>1</v>
      </c>
      <c r="W1217">
        <f t="shared" si="187"/>
        <v>1</v>
      </c>
      <c r="X1217">
        <f t="shared" si="188"/>
        <v>1.4000000000000001</v>
      </c>
      <c r="Y1217" t="str">
        <f t="shared" si="189"/>
        <v>Healthy</v>
      </c>
    </row>
    <row r="1218" spans="1:25" x14ac:dyDescent="0.35">
      <c r="A1218" t="s">
        <v>71</v>
      </c>
      <c r="B1218" t="s">
        <v>72</v>
      </c>
      <c r="C1218" t="s">
        <v>174</v>
      </c>
      <c r="D1218" t="s">
        <v>750</v>
      </c>
      <c r="E1218">
        <v>80829201</v>
      </c>
      <c r="F1218" t="s">
        <v>1036</v>
      </c>
      <c r="G1218" s="3">
        <v>47082</v>
      </c>
      <c r="H1218">
        <v>36</v>
      </c>
      <c r="I1218">
        <v>82</v>
      </c>
      <c r="J1218">
        <v>8</v>
      </c>
      <c r="K1218" s="4">
        <v>2337.2800000000002</v>
      </c>
      <c r="L1218" s="4">
        <v>104.85714285714286</v>
      </c>
      <c r="M1218" s="4">
        <v>7.6294277929155316E-2</v>
      </c>
      <c r="N1218" t="s">
        <v>25</v>
      </c>
      <c r="O1218" t="str">
        <f t="shared" si="180"/>
        <v>Low</v>
      </c>
      <c r="P1218" t="str">
        <f t="shared" si="181"/>
        <v>Low</v>
      </c>
      <c r="Q1218" t="str">
        <f t="shared" si="182"/>
        <v>Low</v>
      </c>
      <c r="R1218" t="s">
        <v>3317</v>
      </c>
      <c r="S1218" s="4">
        <f t="shared" ca="1" si="183"/>
        <v>885</v>
      </c>
      <c r="T1218">
        <f t="shared" si="184"/>
        <v>1</v>
      </c>
      <c r="U1218">
        <f t="shared" si="185"/>
        <v>1</v>
      </c>
      <c r="V1218">
        <f t="shared" si="186"/>
        <v>1</v>
      </c>
      <c r="W1218">
        <f t="shared" si="187"/>
        <v>1</v>
      </c>
      <c r="X1218">
        <f t="shared" si="188"/>
        <v>0.99999999999999989</v>
      </c>
      <c r="Y1218" t="str">
        <f t="shared" si="189"/>
        <v>Healthy</v>
      </c>
    </row>
    <row r="1219" spans="1:25" x14ac:dyDescent="0.35">
      <c r="A1219" t="s">
        <v>71</v>
      </c>
      <c r="B1219" t="s">
        <v>72</v>
      </c>
      <c r="C1219" t="s">
        <v>174</v>
      </c>
      <c r="D1219" t="s">
        <v>750</v>
      </c>
      <c r="E1219">
        <v>80829201</v>
      </c>
      <c r="F1219" t="s">
        <v>1036</v>
      </c>
      <c r="G1219" s="3">
        <v>46885</v>
      </c>
      <c r="H1219">
        <v>36</v>
      </c>
      <c r="I1219">
        <v>64</v>
      </c>
      <c r="J1219">
        <v>4</v>
      </c>
      <c r="K1219" s="4">
        <v>1168.6400000000001</v>
      </c>
      <c r="L1219" s="4">
        <v>104.85714285714286</v>
      </c>
      <c r="M1219" s="4">
        <v>3.8147138964577658E-2</v>
      </c>
      <c r="N1219" t="s">
        <v>25</v>
      </c>
      <c r="O1219" t="str">
        <f t="shared" ref="O1219:O1282" si="190">IF(I1219&lt;20,"High",IF(I1219&lt;40,"Medium","Low"))</f>
        <v>Low</v>
      </c>
      <c r="P1219" t="str">
        <f t="shared" ref="P1219:P1282" si="191">IF(M1219&gt;8,"High",IF(M1219&gt;4,"Medium","Low"))</f>
        <v>Low</v>
      </c>
      <c r="Q1219" t="str">
        <f t="shared" ref="Q1219:Q1282" si="192">IF(L1219&lt;5,"High",IF(L1219&lt;15,"Medium","Low"))</f>
        <v>Low</v>
      </c>
      <c r="R1219" t="s">
        <v>3317</v>
      </c>
      <c r="S1219" s="4">
        <f t="shared" ref="S1219:S1282" ca="1" si="193">G1219-TODAY()</f>
        <v>688</v>
      </c>
      <c r="T1219">
        <f t="shared" ref="T1219:T1282" si="194">IF(O1219="High",3,IF(O1219="Medium",2,1))</f>
        <v>1</v>
      </c>
      <c r="U1219">
        <f t="shared" ref="U1219:U1282" si="195">IF(P1219="High",3,IF(P1219="Medium",2,1))</f>
        <v>1</v>
      </c>
      <c r="V1219">
        <f t="shared" ref="V1219:V1282" si="196">IF(Q1219="High",3,IF(Q1219="Medium",2,1))</f>
        <v>1</v>
      </c>
      <c r="W1219">
        <f t="shared" ref="W1219:W1282" si="197">IF(R1219="High",3,IF(R1219="Medium",2,1))</f>
        <v>1</v>
      </c>
      <c r="X1219">
        <f t="shared" ref="X1219:X1282" si="198">(0.4*T1219)+(0.3*U1219)+(0.2*V1219)+(0.1*W1219)</f>
        <v>0.99999999999999989</v>
      </c>
      <c r="Y1219" t="str">
        <f t="shared" ref="Y1219:Y1282" si="199">IF(X1219&gt;=2.7,"Move Immediately",IF(X1219&gt;=2.2,"High Priority",IF(X1219&gt;=1.7,"Monitor","Healthy")))</f>
        <v>Healthy</v>
      </c>
    </row>
    <row r="1220" spans="1:25" x14ac:dyDescent="0.35">
      <c r="A1220" t="s">
        <v>29</v>
      </c>
      <c r="B1220" t="s">
        <v>30</v>
      </c>
      <c r="C1220" t="s">
        <v>449</v>
      </c>
      <c r="D1220" t="s">
        <v>715</v>
      </c>
      <c r="E1220">
        <v>80851510</v>
      </c>
      <c r="F1220" t="s">
        <v>1037</v>
      </c>
      <c r="G1220" s="3">
        <v>47196</v>
      </c>
      <c r="H1220">
        <v>36</v>
      </c>
      <c r="I1220">
        <v>93</v>
      </c>
      <c r="J1220">
        <v>28</v>
      </c>
      <c r="K1220" s="4">
        <v>23349.759999999998</v>
      </c>
      <c r="L1220" s="4">
        <v>64.571428571428569</v>
      </c>
      <c r="M1220" s="4">
        <v>0.4336283185840708</v>
      </c>
      <c r="N1220" t="s">
        <v>25</v>
      </c>
      <c r="O1220" t="str">
        <f t="shared" si="190"/>
        <v>Low</v>
      </c>
      <c r="P1220" t="str">
        <f t="shared" si="191"/>
        <v>Low</v>
      </c>
      <c r="Q1220" t="str">
        <f t="shared" si="192"/>
        <v>Low</v>
      </c>
      <c r="R1220" t="s">
        <v>3317</v>
      </c>
      <c r="S1220" s="4">
        <f t="shared" ca="1" si="193"/>
        <v>999</v>
      </c>
      <c r="T1220">
        <f t="shared" si="194"/>
        <v>1</v>
      </c>
      <c r="U1220">
        <f t="shared" si="195"/>
        <v>1</v>
      </c>
      <c r="V1220">
        <f t="shared" si="196"/>
        <v>1</v>
      </c>
      <c r="W1220">
        <f t="shared" si="197"/>
        <v>1</v>
      </c>
      <c r="X1220">
        <f t="shared" si="198"/>
        <v>0.99999999999999989</v>
      </c>
      <c r="Y1220" t="str">
        <f t="shared" si="199"/>
        <v>Healthy</v>
      </c>
    </row>
    <row r="1221" spans="1:25" x14ac:dyDescent="0.35">
      <c r="A1221" t="s">
        <v>71</v>
      </c>
      <c r="B1221" t="s">
        <v>72</v>
      </c>
      <c r="C1221" t="s">
        <v>174</v>
      </c>
      <c r="D1221" t="s">
        <v>750</v>
      </c>
      <c r="E1221">
        <v>80829201</v>
      </c>
      <c r="F1221" t="s">
        <v>1036</v>
      </c>
      <c r="G1221" s="3">
        <v>46972</v>
      </c>
      <c r="H1221">
        <v>36</v>
      </c>
      <c r="I1221">
        <v>72</v>
      </c>
      <c r="J1221">
        <v>6</v>
      </c>
      <c r="K1221" s="4">
        <v>1752.96</v>
      </c>
      <c r="L1221" s="4">
        <v>104.85714285714286</v>
      </c>
      <c r="M1221" s="4">
        <v>5.7220708446866483E-2</v>
      </c>
      <c r="N1221" t="s">
        <v>25</v>
      </c>
      <c r="O1221" t="str">
        <f t="shared" si="190"/>
        <v>Low</v>
      </c>
      <c r="P1221" t="str">
        <f t="shared" si="191"/>
        <v>Low</v>
      </c>
      <c r="Q1221" t="str">
        <f t="shared" si="192"/>
        <v>Low</v>
      </c>
      <c r="R1221" t="s">
        <v>3317</v>
      </c>
      <c r="S1221" s="4">
        <f t="shared" ca="1" si="193"/>
        <v>775</v>
      </c>
      <c r="T1221">
        <f t="shared" si="194"/>
        <v>1</v>
      </c>
      <c r="U1221">
        <f t="shared" si="195"/>
        <v>1</v>
      </c>
      <c r="V1221">
        <f t="shared" si="196"/>
        <v>1</v>
      </c>
      <c r="W1221">
        <f t="shared" si="197"/>
        <v>1</v>
      </c>
      <c r="X1221">
        <f t="shared" si="198"/>
        <v>0.99999999999999989</v>
      </c>
      <c r="Y1221" t="str">
        <f t="shared" si="199"/>
        <v>Healthy</v>
      </c>
    </row>
    <row r="1222" spans="1:25" x14ac:dyDescent="0.35">
      <c r="A1222" t="s">
        <v>29</v>
      </c>
      <c r="B1222" t="s">
        <v>30</v>
      </c>
      <c r="C1222" t="s">
        <v>449</v>
      </c>
      <c r="D1222" t="s">
        <v>715</v>
      </c>
      <c r="E1222">
        <v>80851510</v>
      </c>
      <c r="F1222" t="s">
        <v>1037</v>
      </c>
      <c r="G1222" s="3">
        <v>47101</v>
      </c>
      <c r="H1222">
        <v>36</v>
      </c>
      <c r="I1222">
        <v>84</v>
      </c>
      <c r="J1222">
        <v>22</v>
      </c>
      <c r="K1222" s="4">
        <v>18346.240000000002</v>
      </c>
      <c r="L1222" s="4">
        <v>64.571428571428569</v>
      </c>
      <c r="M1222" s="4">
        <v>0.34070796460176994</v>
      </c>
      <c r="N1222" t="s">
        <v>25</v>
      </c>
      <c r="O1222" t="str">
        <f t="shared" si="190"/>
        <v>Low</v>
      </c>
      <c r="P1222" t="str">
        <f t="shared" si="191"/>
        <v>Low</v>
      </c>
      <c r="Q1222" t="str">
        <f t="shared" si="192"/>
        <v>Low</v>
      </c>
      <c r="R1222" t="s">
        <v>3317</v>
      </c>
      <c r="S1222" s="4">
        <f t="shared" ca="1" si="193"/>
        <v>904</v>
      </c>
      <c r="T1222">
        <f t="shared" si="194"/>
        <v>1</v>
      </c>
      <c r="U1222">
        <f t="shared" si="195"/>
        <v>1</v>
      </c>
      <c r="V1222">
        <f t="shared" si="196"/>
        <v>1</v>
      </c>
      <c r="W1222">
        <f t="shared" si="197"/>
        <v>1</v>
      </c>
      <c r="X1222">
        <f t="shared" si="198"/>
        <v>0.99999999999999989</v>
      </c>
      <c r="Y1222" t="str">
        <f t="shared" si="199"/>
        <v>Healthy</v>
      </c>
    </row>
    <row r="1223" spans="1:25" x14ac:dyDescent="0.35">
      <c r="A1223" t="s">
        <v>29</v>
      </c>
      <c r="B1223" t="s">
        <v>30</v>
      </c>
      <c r="C1223" t="s">
        <v>449</v>
      </c>
      <c r="D1223" t="s">
        <v>715</v>
      </c>
      <c r="E1223">
        <v>80851510</v>
      </c>
      <c r="F1223" t="s">
        <v>1037</v>
      </c>
      <c r="G1223" s="3">
        <v>46863</v>
      </c>
      <c r="H1223">
        <v>36</v>
      </c>
      <c r="I1223">
        <v>62</v>
      </c>
      <c r="J1223">
        <v>3</v>
      </c>
      <c r="K1223" s="4">
        <v>2501.7600000000002</v>
      </c>
      <c r="L1223" s="4">
        <v>64.571428571428569</v>
      </c>
      <c r="M1223" s="4">
        <v>4.6460176991150445E-2</v>
      </c>
      <c r="N1223" t="s">
        <v>25</v>
      </c>
      <c r="O1223" t="str">
        <f t="shared" si="190"/>
        <v>Low</v>
      </c>
      <c r="P1223" t="str">
        <f t="shared" si="191"/>
        <v>Low</v>
      </c>
      <c r="Q1223" t="str">
        <f t="shared" si="192"/>
        <v>Low</v>
      </c>
      <c r="R1223" t="s">
        <v>3317</v>
      </c>
      <c r="S1223" s="4">
        <f t="shared" ca="1" si="193"/>
        <v>666</v>
      </c>
      <c r="T1223">
        <f t="shared" si="194"/>
        <v>1</v>
      </c>
      <c r="U1223">
        <f t="shared" si="195"/>
        <v>1</v>
      </c>
      <c r="V1223">
        <f t="shared" si="196"/>
        <v>1</v>
      </c>
      <c r="W1223">
        <f t="shared" si="197"/>
        <v>1</v>
      </c>
      <c r="X1223">
        <f t="shared" si="198"/>
        <v>0.99999999999999989</v>
      </c>
      <c r="Y1223" t="str">
        <f t="shared" si="199"/>
        <v>Healthy</v>
      </c>
    </row>
    <row r="1224" spans="1:25" x14ac:dyDescent="0.35">
      <c r="A1224" t="s">
        <v>29</v>
      </c>
      <c r="B1224" t="s">
        <v>30</v>
      </c>
      <c r="C1224" t="s">
        <v>449</v>
      </c>
      <c r="D1224" t="s">
        <v>715</v>
      </c>
      <c r="E1224">
        <v>80851510</v>
      </c>
      <c r="F1224" t="s">
        <v>1037</v>
      </c>
      <c r="G1224" s="3">
        <v>47075</v>
      </c>
      <c r="H1224">
        <v>36</v>
      </c>
      <c r="I1224">
        <v>82</v>
      </c>
      <c r="J1224">
        <v>5</v>
      </c>
      <c r="K1224" s="4">
        <v>4169.6000000000004</v>
      </c>
      <c r="L1224" s="4">
        <v>64.571428571428569</v>
      </c>
      <c r="M1224" s="4">
        <v>7.743362831858408E-2</v>
      </c>
      <c r="N1224" t="s">
        <v>25</v>
      </c>
      <c r="O1224" t="str">
        <f t="shared" si="190"/>
        <v>Low</v>
      </c>
      <c r="P1224" t="str">
        <f t="shared" si="191"/>
        <v>Low</v>
      </c>
      <c r="Q1224" t="str">
        <f t="shared" si="192"/>
        <v>Low</v>
      </c>
      <c r="R1224" t="s">
        <v>3317</v>
      </c>
      <c r="S1224" s="4">
        <f t="shared" ca="1" si="193"/>
        <v>878</v>
      </c>
      <c r="T1224">
        <f t="shared" si="194"/>
        <v>1</v>
      </c>
      <c r="U1224">
        <f t="shared" si="195"/>
        <v>1</v>
      </c>
      <c r="V1224">
        <f t="shared" si="196"/>
        <v>1</v>
      </c>
      <c r="W1224">
        <f t="shared" si="197"/>
        <v>1</v>
      </c>
      <c r="X1224">
        <f t="shared" si="198"/>
        <v>0.99999999999999989</v>
      </c>
      <c r="Y1224" t="str">
        <f t="shared" si="199"/>
        <v>Healthy</v>
      </c>
    </row>
    <row r="1225" spans="1:25" x14ac:dyDescent="0.35">
      <c r="A1225" t="s">
        <v>29</v>
      </c>
      <c r="B1225" t="s">
        <v>30</v>
      </c>
      <c r="C1225" t="s">
        <v>449</v>
      </c>
      <c r="D1225" t="s">
        <v>715</v>
      </c>
      <c r="E1225">
        <v>80851510</v>
      </c>
      <c r="F1225" t="s">
        <v>1037</v>
      </c>
      <c r="G1225" s="3">
        <v>46878</v>
      </c>
      <c r="H1225">
        <v>36</v>
      </c>
      <c r="I1225">
        <v>64</v>
      </c>
      <c r="J1225">
        <v>6</v>
      </c>
      <c r="K1225" s="4">
        <v>5003.5200000000004</v>
      </c>
      <c r="L1225" s="4">
        <v>64.571428571428569</v>
      </c>
      <c r="M1225" s="4">
        <v>9.2920353982300891E-2</v>
      </c>
      <c r="N1225" t="s">
        <v>25</v>
      </c>
      <c r="O1225" t="str">
        <f t="shared" si="190"/>
        <v>Low</v>
      </c>
      <c r="P1225" t="str">
        <f t="shared" si="191"/>
        <v>Low</v>
      </c>
      <c r="Q1225" t="str">
        <f t="shared" si="192"/>
        <v>Low</v>
      </c>
      <c r="R1225" t="s">
        <v>3317</v>
      </c>
      <c r="S1225" s="4">
        <f t="shared" ca="1" si="193"/>
        <v>681</v>
      </c>
      <c r="T1225">
        <f t="shared" si="194"/>
        <v>1</v>
      </c>
      <c r="U1225">
        <f t="shared" si="195"/>
        <v>1</v>
      </c>
      <c r="V1225">
        <f t="shared" si="196"/>
        <v>1</v>
      </c>
      <c r="W1225">
        <f t="shared" si="197"/>
        <v>1</v>
      </c>
      <c r="X1225">
        <f t="shared" si="198"/>
        <v>0.99999999999999989</v>
      </c>
      <c r="Y1225" t="str">
        <f t="shared" si="199"/>
        <v>Healthy</v>
      </c>
    </row>
    <row r="1226" spans="1:25" x14ac:dyDescent="0.35">
      <c r="A1226" t="s">
        <v>41</v>
      </c>
      <c r="B1226" t="s">
        <v>42</v>
      </c>
      <c r="C1226" t="s">
        <v>365</v>
      </c>
      <c r="D1226" t="s">
        <v>1038</v>
      </c>
      <c r="E1226">
        <v>80839864</v>
      </c>
      <c r="F1226" t="s">
        <v>1039</v>
      </c>
      <c r="G1226" s="3">
        <v>46710</v>
      </c>
      <c r="H1226">
        <v>36</v>
      </c>
      <c r="I1226">
        <v>48</v>
      </c>
      <c r="J1226">
        <v>6</v>
      </c>
      <c r="K1226" s="4">
        <v>1094.3399999999999</v>
      </c>
      <c r="L1226" s="4">
        <f>0</f>
        <v>0</v>
      </c>
      <c r="M1226" s="4">
        <f>999</f>
        <v>999</v>
      </c>
      <c r="N1226" t="s">
        <v>19</v>
      </c>
      <c r="O1226" t="str">
        <f t="shared" si="190"/>
        <v>Low</v>
      </c>
      <c r="P1226" t="str">
        <f t="shared" si="191"/>
        <v>High</v>
      </c>
      <c r="Q1226" t="str">
        <f t="shared" si="192"/>
        <v>High</v>
      </c>
      <c r="R1226" t="s">
        <v>3317</v>
      </c>
      <c r="S1226" s="4">
        <f t="shared" ca="1" si="193"/>
        <v>513</v>
      </c>
      <c r="T1226">
        <f t="shared" si="194"/>
        <v>1</v>
      </c>
      <c r="U1226">
        <f t="shared" si="195"/>
        <v>3</v>
      </c>
      <c r="V1226">
        <f t="shared" si="196"/>
        <v>3</v>
      </c>
      <c r="W1226">
        <f t="shared" si="197"/>
        <v>1</v>
      </c>
      <c r="X1226">
        <f t="shared" si="198"/>
        <v>2</v>
      </c>
      <c r="Y1226" t="str">
        <f t="shared" si="199"/>
        <v>Monitor</v>
      </c>
    </row>
    <row r="1227" spans="1:25" x14ac:dyDescent="0.35">
      <c r="A1227" t="s">
        <v>29</v>
      </c>
      <c r="B1227" t="s">
        <v>30</v>
      </c>
      <c r="C1227" t="s">
        <v>449</v>
      </c>
      <c r="D1227" t="s">
        <v>715</v>
      </c>
      <c r="E1227">
        <v>80851510</v>
      </c>
      <c r="F1227" t="s">
        <v>1037</v>
      </c>
      <c r="G1227" s="3">
        <v>47075</v>
      </c>
      <c r="H1227">
        <v>36</v>
      </c>
      <c r="I1227">
        <v>82</v>
      </c>
      <c r="J1227">
        <v>5</v>
      </c>
      <c r="K1227" s="4">
        <v>4169.6000000000004</v>
      </c>
      <c r="L1227" s="4">
        <v>64.571428571428569</v>
      </c>
      <c r="M1227" s="4">
        <v>7.743362831858408E-2</v>
      </c>
      <c r="N1227" t="s">
        <v>25</v>
      </c>
      <c r="O1227" t="str">
        <f t="shared" si="190"/>
        <v>Low</v>
      </c>
      <c r="P1227" t="str">
        <f t="shared" si="191"/>
        <v>Low</v>
      </c>
      <c r="Q1227" t="str">
        <f t="shared" si="192"/>
        <v>Low</v>
      </c>
      <c r="R1227" t="s">
        <v>3317</v>
      </c>
      <c r="S1227" s="4">
        <f t="shared" ca="1" si="193"/>
        <v>878</v>
      </c>
      <c r="T1227">
        <f t="shared" si="194"/>
        <v>1</v>
      </c>
      <c r="U1227">
        <f t="shared" si="195"/>
        <v>1</v>
      </c>
      <c r="V1227">
        <f t="shared" si="196"/>
        <v>1</v>
      </c>
      <c r="W1227">
        <f t="shared" si="197"/>
        <v>1</v>
      </c>
      <c r="X1227">
        <f t="shared" si="198"/>
        <v>0.99999999999999989</v>
      </c>
      <c r="Y1227" t="str">
        <f t="shared" si="199"/>
        <v>Healthy</v>
      </c>
    </row>
    <row r="1228" spans="1:25" x14ac:dyDescent="0.35">
      <c r="A1228" t="s">
        <v>29</v>
      </c>
      <c r="B1228" t="s">
        <v>30</v>
      </c>
      <c r="C1228" t="s">
        <v>449</v>
      </c>
      <c r="D1228" t="s">
        <v>715</v>
      </c>
      <c r="E1228">
        <v>80851510</v>
      </c>
      <c r="F1228" t="s">
        <v>1037</v>
      </c>
      <c r="G1228" s="3">
        <v>47075</v>
      </c>
      <c r="H1228">
        <v>36</v>
      </c>
      <c r="I1228">
        <v>82</v>
      </c>
      <c r="J1228">
        <v>7</v>
      </c>
      <c r="K1228" s="4">
        <v>5837.44</v>
      </c>
      <c r="L1228" s="4">
        <v>64.571428571428569</v>
      </c>
      <c r="M1228" s="4">
        <v>0.1084070796460177</v>
      </c>
      <c r="N1228" t="s">
        <v>25</v>
      </c>
      <c r="O1228" t="str">
        <f t="shared" si="190"/>
        <v>Low</v>
      </c>
      <c r="P1228" t="str">
        <f t="shared" si="191"/>
        <v>Low</v>
      </c>
      <c r="Q1228" t="str">
        <f t="shared" si="192"/>
        <v>Low</v>
      </c>
      <c r="R1228" t="s">
        <v>3317</v>
      </c>
      <c r="S1228" s="4">
        <f t="shared" ca="1" si="193"/>
        <v>878</v>
      </c>
      <c r="T1228">
        <f t="shared" si="194"/>
        <v>1</v>
      </c>
      <c r="U1228">
        <f t="shared" si="195"/>
        <v>1</v>
      </c>
      <c r="V1228">
        <f t="shared" si="196"/>
        <v>1</v>
      </c>
      <c r="W1228">
        <f t="shared" si="197"/>
        <v>1</v>
      </c>
      <c r="X1228">
        <f t="shared" si="198"/>
        <v>0.99999999999999989</v>
      </c>
      <c r="Y1228" t="str">
        <f t="shared" si="199"/>
        <v>Healthy</v>
      </c>
    </row>
    <row r="1229" spans="1:25" x14ac:dyDescent="0.35">
      <c r="A1229" t="s">
        <v>104</v>
      </c>
      <c r="B1229" t="s">
        <v>105</v>
      </c>
      <c r="C1229" t="s">
        <v>697</v>
      </c>
      <c r="D1229" t="s">
        <v>1040</v>
      </c>
      <c r="E1229">
        <v>80799774</v>
      </c>
      <c r="F1229" t="s">
        <v>1041</v>
      </c>
      <c r="G1229" s="3">
        <v>46506</v>
      </c>
      <c r="H1229">
        <v>24</v>
      </c>
      <c r="I1229">
        <v>44</v>
      </c>
      <c r="J1229">
        <v>2</v>
      </c>
      <c r="K1229" s="4">
        <v>956.76</v>
      </c>
      <c r="L1229" s="4">
        <v>12.142857142857142</v>
      </c>
      <c r="M1229" s="4">
        <v>0.16470588235294117</v>
      </c>
      <c r="N1229" t="s">
        <v>25</v>
      </c>
      <c r="O1229" t="str">
        <f t="shared" si="190"/>
        <v>Low</v>
      </c>
      <c r="P1229" t="str">
        <f t="shared" si="191"/>
        <v>Low</v>
      </c>
      <c r="Q1229" t="str">
        <f t="shared" si="192"/>
        <v>Medium</v>
      </c>
      <c r="R1229" t="s">
        <v>3317</v>
      </c>
      <c r="S1229" s="4">
        <f t="shared" ca="1" si="193"/>
        <v>309</v>
      </c>
      <c r="T1229">
        <f t="shared" si="194"/>
        <v>1</v>
      </c>
      <c r="U1229">
        <f t="shared" si="195"/>
        <v>1</v>
      </c>
      <c r="V1229">
        <f t="shared" si="196"/>
        <v>2</v>
      </c>
      <c r="W1229">
        <f t="shared" si="197"/>
        <v>1</v>
      </c>
      <c r="X1229">
        <f t="shared" si="198"/>
        <v>1.2000000000000002</v>
      </c>
      <c r="Y1229" t="str">
        <f t="shared" si="199"/>
        <v>Healthy</v>
      </c>
    </row>
    <row r="1230" spans="1:25" x14ac:dyDescent="0.35">
      <c r="A1230" t="s">
        <v>14</v>
      </c>
      <c r="B1230" t="s">
        <v>115</v>
      </c>
      <c r="C1230" t="s">
        <v>469</v>
      </c>
      <c r="D1230" t="s">
        <v>1042</v>
      </c>
      <c r="E1230">
        <v>80856027</v>
      </c>
      <c r="F1230" t="s">
        <v>1043</v>
      </c>
      <c r="G1230" s="3">
        <v>47975</v>
      </c>
      <c r="H1230">
        <v>60</v>
      </c>
      <c r="I1230">
        <v>99</v>
      </c>
      <c r="J1230">
        <v>8896</v>
      </c>
      <c r="K1230" s="4">
        <v>697446.40000000002</v>
      </c>
      <c r="L1230" s="4">
        <v>20718.428571428572</v>
      </c>
      <c r="M1230" s="4">
        <v>0.42937619372677188</v>
      </c>
      <c r="N1230" t="s">
        <v>25</v>
      </c>
      <c r="O1230" t="str">
        <f t="shared" si="190"/>
        <v>Low</v>
      </c>
      <c r="P1230" t="str">
        <f t="shared" si="191"/>
        <v>Low</v>
      </c>
      <c r="Q1230" t="str">
        <f t="shared" si="192"/>
        <v>Low</v>
      </c>
      <c r="R1230" t="s">
        <v>3309</v>
      </c>
      <c r="S1230" s="4">
        <f t="shared" ca="1" si="193"/>
        <v>1778</v>
      </c>
      <c r="T1230">
        <f t="shared" si="194"/>
        <v>1</v>
      </c>
      <c r="U1230">
        <f t="shared" si="195"/>
        <v>1</v>
      </c>
      <c r="V1230">
        <f t="shared" si="196"/>
        <v>1</v>
      </c>
      <c r="W1230">
        <f t="shared" si="197"/>
        <v>3</v>
      </c>
      <c r="X1230">
        <f t="shared" si="198"/>
        <v>1.2</v>
      </c>
      <c r="Y1230" t="str">
        <f t="shared" si="199"/>
        <v>Healthy</v>
      </c>
    </row>
    <row r="1231" spans="1:25" x14ac:dyDescent="0.35">
      <c r="A1231" t="s">
        <v>14</v>
      </c>
      <c r="B1231" t="s">
        <v>115</v>
      </c>
      <c r="C1231" t="s">
        <v>469</v>
      </c>
      <c r="D1231" t="s">
        <v>1042</v>
      </c>
      <c r="E1231">
        <v>80856027</v>
      </c>
      <c r="F1231" t="s">
        <v>1043</v>
      </c>
      <c r="G1231" s="3">
        <v>47980</v>
      </c>
      <c r="H1231">
        <v>60</v>
      </c>
      <c r="I1231">
        <v>99</v>
      </c>
      <c r="J1231">
        <v>87</v>
      </c>
      <c r="K1231" s="4">
        <v>6820.8</v>
      </c>
      <c r="L1231" s="4">
        <v>20718.428571428572</v>
      </c>
      <c r="M1231" s="4">
        <v>4.1991601679664068E-3</v>
      </c>
      <c r="N1231" t="s">
        <v>25</v>
      </c>
      <c r="O1231" t="str">
        <f t="shared" si="190"/>
        <v>Low</v>
      </c>
      <c r="P1231" t="str">
        <f t="shared" si="191"/>
        <v>Low</v>
      </c>
      <c r="Q1231" t="str">
        <f t="shared" si="192"/>
        <v>Low</v>
      </c>
      <c r="R1231" t="s">
        <v>3317</v>
      </c>
      <c r="S1231" s="4">
        <f t="shared" ca="1" si="193"/>
        <v>1783</v>
      </c>
      <c r="T1231">
        <f t="shared" si="194"/>
        <v>1</v>
      </c>
      <c r="U1231">
        <f t="shared" si="195"/>
        <v>1</v>
      </c>
      <c r="V1231">
        <f t="shared" si="196"/>
        <v>1</v>
      </c>
      <c r="W1231">
        <f t="shared" si="197"/>
        <v>1</v>
      </c>
      <c r="X1231">
        <f t="shared" si="198"/>
        <v>0.99999999999999989</v>
      </c>
      <c r="Y1231" t="str">
        <f t="shared" si="199"/>
        <v>Healthy</v>
      </c>
    </row>
    <row r="1232" spans="1:25" x14ac:dyDescent="0.35">
      <c r="A1232" t="s">
        <v>14</v>
      </c>
      <c r="B1232" t="s">
        <v>15</v>
      </c>
      <c r="C1232" t="s">
        <v>16</v>
      </c>
      <c r="D1232" t="s">
        <v>1044</v>
      </c>
      <c r="E1232">
        <v>80831125</v>
      </c>
      <c r="F1232" t="s">
        <v>1045</v>
      </c>
      <c r="G1232" s="3">
        <v>47731</v>
      </c>
      <c r="H1232">
        <v>60</v>
      </c>
      <c r="I1232">
        <v>86</v>
      </c>
      <c r="J1232">
        <v>2</v>
      </c>
      <c r="K1232" s="4">
        <v>1242.82</v>
      </c>
      <c r="L1232" s="4">
        <v>432.28571428571428</v>
      </c>
      <c r="M1232" s="4">
        <v>4.626569729015202E-3</v>
      </c>
      <c r="N1232" t="s">
        <v>25</v>
      </c>
      <c r="O1232" t="str">
        <f t="shared" si="190"/>
        <v>Low</v>
      </c>
      <c r="P1232" t="str">
        <f t="shared" si="191"/>
        <v>Low</v>
      </c>
      <c r="Q1232" t="str">
        <f t="shared" si="192"/>
        <v>Low</v>
      </c>
      <c r="R1232" t="s">
        <v>3317</v>
      </c>
      <c r="S1232" s="4">
        <f t="shared" ca="1" si="193"/>
        <v>1534</v>
      </c>
      <c r="T1232">
        <f t="shared" si="194"/>
        <v>1</v>
      </c>
      <c r="U1232">
        <f t="shared" si="195"/>
        <v>1</v>
      </c>
      <c r="V1232">
        <f t="shared" si="196"/>
        <v>1</v>
      </c>
      <c r="W1232">
        <f t="shared" si="197"/>
        <v>1</v>
      </c>
      <c r="X1232">
        <f t="shared" si="198"/>
        <v>0.99999999999999989</v>
      </c>
      <c r="Y1232" t="str">
        <f t="shared" si="199"/>
        <v>Healthy</v>
      </c>
    </row>
    <row r="1233" spans="1:25" x14ac:dyDescent="0.35">
      <c r="A1233" t="s">
        <v>179</v>
      </c>
      <c r="B1233" t="s">
        <v>223</v>
      </c>
      <c r="C1233" t="s">
        <v>357</v>
      </c>
      <c r="D1233" t="s">
        <v>1046</v>
      </c>
      <c r="E1233">
        <v>80882429</v>
      </c>
      <c r="F1233" t="s">
        <v>1047</v>
      </c>
      <c r="G1233" s="3">
        <v>46523</v>
      </c>
      <c r="H1233">
        <v>18</v>
      </c>
      <c r="I1233">
        <v>61</v>
      </c>
      <c r="J1233">
        <v>11</v>
      </c>
      <c r="K1233" s="4">
        <v>9777.4599999999991</v>
      </c>
      <c r="L1233" s="4">
        <v>73.142857142857139</v>
      </c>
      <c r="M1233" s="4">
        <v>0.150390625</v>
      </c>
      <c r="N1233" t="s">
        <v>25</v>
      </c>
      <c r="O1233" t="str">
        <f t="shared" si="190"/>
        <v>Low</v>
      </c>
      <c r="P1233" t="str">
        <f t="shared" si="191"/>
        <v>Low</v>
      </c>
      <c r="Q1233" t="str">
        <f t="shared" si="192"/>
        <v>Low</v>
      </c>
      <c r="R1233" t="s">
        <v>3317</v>
      </c>
      <c r="S1233" s="4">
        <f t="shared" ca="1" si="193"/>
        <v>326</v>
      </c>
      <c r="T1233">
        <f t="shared" si="194"/>
        <v>1</v>
      </c>
      <c r="U1233">
        <f t="shared" si="195"/>
        <v>1</v>
      </c>
      <c r="V1233">
        <f t="shared" si="196"/>
        <v>1</v>
      </c>
      <c r="W1233">
        <f t="shared" si="197"/>
        <v>1</v>
      </c>
      <c r="X1233">
        <f t="shared" si="198"/>
        <v>0.99999999999999989</v>
      </c>
      <c r="Y1233" t="str">
        <f t="shared" si="199"/>
        <v>Healthy</v>
      </c>
    </row>
    <row r="1234" spans="1:25" x14ac:dyDescent="0.35">
      <c r="A1234" t="s">
        <v>14</v>
      </c>
      <c r="B1234" t="s">
        <v>15</v>
      </c>
      <c r="C1234" t="s">
        <v>16</v>
      </c>
      <c r="D1234" t="s">
        <v>1044</v>
      </c>
      <c r="E1234">
        <v>80831125</v>
      </c>
      <c r="F1234" t="s">
        <v>1045</v>
      </c>
      <c r="G1234" s="3">
        <v>47771</v>
      </c>
      <c r="H1234">
        <v>60</v>
      </c>
      <c r="I1234">
        <v>88</v>
      </c>
      <c r="J1234">
        <v>19</v>
      </c>
      <c r="K1234" s="4">
        <v>11806.79</v>
      </c>
      <c r="L1234" s="4">
        <v>432.28571428571428</v>
      </c>
      <c r="M1234" s="4">
        <v>4.3952412425644419E-2</v>
      </c>
      <c r="N1234" t="s">
        <v>25</v>
      </c>
      <c r="O1234" t="str">
        <f t="shared" si="190"/>
        <v>Low</v>
      </c>
      <c r="P1234" t="str">
        <f t="shared" si="191"/>
        <v>Low</v>
      </c>
      <c r="Q1234" t="str">
        <f t="shared" si="192"/>
        <v>Low</v>
      </c>
      <c r="R1234" t="s">
        <v>3317</v>
      </c>
      <c r="S1234" s="4">
        <f t="shared" ca="1" si="193"/>
        <v>1574</v>
      </c>
      <c r="T1234">
        <f t="shared" si="194"/>
        <v>1</v>
      </c>
      <c r="U1234">
        <f t="shared" si="195"/>
        <v>1</v>
      </c>
      <c r="V1234">
        <f t="shared" si="196"/>
        <v>1</v>
      </c>
      <c r="W1234">
        <f t="shared" si="197"/>
        <v>1</v>
      </c>
      <c r="X1234">
        <f t="shared" si="198"/>
        <v>0.99999999999999989</v>
      </c>
      <c r="Y1234" t="str">
        <f t="shared" si="199"/>
        <v>Healthy</v>
      </c>
    </row>
    <row r="1235" spans="1:25" x14ac:dyDescent="0.35">
      <c r="A1235" t="s">
        <v>179</v>
      </c>
      <c r="B1235" t="s">
        <v>223</v>
      </c>
      <c r="C1235" t="s">
        <v>357</v>
      </c>
      <c r="D1235" t="s">
        <v>1046</v>
      </c>
      <c r="E1235">
        <v>80882429</v>
      </c>
      <c r="F1235" t="s">
        <v>1047</v>
      </c>
      <c r="G1235" s="3">
        <v>46512</v>
      </c>
      <c r="H1235">
        <v>18</v>
      </c>
      <c r="I1235">
        <v>59</v>
      </c>
      <c r="J1235">
        <v>1</v>
      </c>
      <c r="K1235" s="4">
        <v>888.86</v>
      </c>
      <c r="L1235" s="4">
        <v>73.142857142857139</v>
      </c>
      <c r="M1235" s="4">
        <v>1.3671875E-2</v>
      </c>
      <c r="N1235" t="s">
        <v>25</v>
      </c>
      <c r="O1235" t="str">
        <f t="shared" si="190"/>
        <v>Low</v>
      </c>
      <c r="P1235" t="str">
        <f t="shared" si="191"/>
        <v>Low</v>
      </c>
      <c r="Q1235" t="str">
        <f t="shared" si="192"/>
        <v>Low</v>
      </c>
      <c r="R1235" t="s">
        <v>3317</v>
      </c>
      <c r="S1235" s="4">
        <f t="shared" ca="1" si="193"/>
        <v>315</v>
      </c>
      <c r="T1235">
        <f t="shared" si="194"/>
        <v>1</v>
      </c>
      <c r="U1235">
        <f t="shared" si="195"/>
        <v>1</v>
      </c>
      <c r="V1235">
        <f t="shared" si="196"/>
        <v>1</v>
      </c>
      <c r="W1235">
        <f t="shared" si="197"/>
        <v>1</v>
      </c>
      <c r="X1235">
        <f t="shared" si="198"/>
        <v>0.99999999999999989</v>
      </c>
      <c r="Y1235" t="str">
        <f t="shared" si="199"/>
        <v>Healthy</v>
      </c>
    </row>
    <row r="1236" spans="1:25" x14ac:dyDescent="0.35">
      <c r="A1236" t="s">
        <v>29</v>
      </c>
      <c r="B1236" t="s">
        <v>30</v>
      </c>
      <c r="C1236" t="s">
        <v>276</v>
      </c>
      <c r="D1236" t="s">
        <v>1048</v>
      </c>
      <c r="E1236">
        <v>80833280</v>
      </c>
      <c r="F1236" t="s">
        <v>1049</v>
      </c>
      <c r="G1236" s="3">
        <v>46983</v>
      </c>
      <c r="H1236">
        <v>36</v>
      </c>
      <c r="I1236">
        <v>73</v>
      </c>
      <c r="J1236">
        <v>54</v>
      </c>
      <c r="K1236" s="4">
        <v>86354.1</v>
      </c>
      <c r="L1236" s="4">
        <v>3.8571428571428572</v>
      </c>
      <c r="M1236" s="4">
        <v>14</v>
      </c>
      <c r="N1236" t="s">
        <v>19</v>
      </c>
      <c r="O1236" t="str">
        <f t="shared" si="190"/>
        <v>Low</v>
      </c>
      <c r="P1236" t="str">
        <f t="shared" si="191"/>
        <v>High</v>
      </c>
      <c r="Q1236" t="str">
        <f t="shared" si="192"/>
        <v>High</v>
      </c>
      <c r="R1236" t="s">
        <v>3310</v>
      </c>
      <c r="S1236" s="4">
        <f t="shared" ca="1" si="193"/>
        <v>786</v>
      </c>
      <c r="T1236">
        <f t="shared" si="194"/>
        <v>1</v>
      </c>
      <c r="U1236">
        <f t="shared" si="195"/>
        <v>3</v>
      </c>
      <c r="V1236">
        <f t="shared" si="196"/>
        <v>3</v>
      </c>
      <c r="W1236">
        <f t="shared" si="197"/>
        <v>2</v>
      </c>
      <c r="X1236">
        <f t="shared" si="198"/>
        <v>2.1</v>
      </c>
      <c r="Y1236" t="str">
        <f t="shared" si="199"/>
        <v>Monitor</v>
      </c>
    </row>
    <row r="1237" spans="1:25" x14ac:dyDescent="0.35">
      <c r="A1237" t="s">
        <v>179</v>
      </c>
      <c r="B1237" t="s">
        <v>223</v>
      </c>
      <c r="C1237" t="s">
        <v>357</v>
      </c>
      <c r="D1237" t="s">
        <v>1050</v>
      </c>
      <c r="E1237">
        <v>80868351</v>
      </c>
      <c r="F1237" t="s">
        <v>1051</v>
      </c>
      <c r="G1237" s="3">
        <v>45845</v>
      </c>
      <c r="H1237">
        <v>18</v>
      </c>
      <c r="I1237">
        <v>0</v>
      </c>
      <c r="J1237">
        <v>6</v>
      </c>
      <c r="K1237" s="4">
        <v>5946.48</v>
      </c>
      <c r="L1237" s="4">
        <v>14.285714285714286</v>
      </c>
      <c r="M1237" s="4">
        <v>0.42</v>
      </c>
      <c r="N1237" t="s">
        <v>25</v>
      </c>
      <c r="O1237" t="str">
        <f t="shared" si="190"/>
        <v>High</v>
      </c>
      <c r="P1237" t="str">
        <f t="shared" si="191"/>
        <v>Low</v>
      </c>
      <c r="Q1237" t="str">
        <f t="shared" si="192"/>
        <v>Medium</v>
      </c>
      <c r="R1237" t="s">
        <v>3317</v>
      </c>
      <c r="S1237" s="4">
        <f t="shared" ca="1" si="193"/>
        <v>-352</v>
      </c>
      <c r="T1237">
        <f t="shared" si="194"/>
        <v>3</v>
      </c>
      <c r="U1237">
        <f t="shared" si="195"/>
        <v>1</v>
      </c>
      <c r="V1237">
        <f t="shared" si="196"/>
        <v>2</v>
      </c>
      <c r="W1237">
        <f t="shared" si="197"/>
        <v>1</v>
      </c>
      <c r="X1237">
        <f t="shared" si="198"/>
        <v>2.0000000000000004</v>
      </c>
      <c r="Y1237" t="str">
        <f t="shared" si="199"/>
        <v>Monitor</v>
      </c>
    </row>
    <row r="1238" spans="1:25" x14ac:dyDescent="0.35">
      <c r="A1238" t="s">
        <v>179</v>
      </c>
      <c r="B1238" t="s">
        <v>223</v>
      </c>
      <c r="C1238" t="s">
        <v>357</v>
      </c>
      <c r="D1238" t="s">
        <v>1050</v>
      </c>
      <c r="E1238">
        <v>80868351</v>
      </c>
      <c r="F1238" t="s">
        <v>1051</v>
      </c>
      <c r="G1238" s="3">
        <v>46520</v>
      </c>
      <c r="H1238">
        <v>18</v>
      </c>
      <c r="I1238">
        <v>61</v>
      </c>
      <c r="J1238">
        <v>8</v>
      </c>
      <c r="K1238" s="4">
        <v>7928.64</v>
      </c>
      <c r="L1238" s="4">
        <v>14.285714285714286</v>
      </c>
      <c r="M1238" s="4">
        <v>0.55999999999999994</v>
      </c>
      <c r="N1238" t="s">
        <v>25</v>
      </c>
      <c r="O1238" t="str">
        <f t="shared" si="190"/>
        <v>Low</v>
      </c>
      <c r="P1238" t="str">
        <f t="shared" si="191"/>
        <v>Low</v>
      </c>
      <c r="Q1238" t="str">
        <f t="shared" si="192"/>
        <v>Medium</v>
      </c>
      <c r="R1238" t="s">
        <v>3317</v>
      </c>
      <c r="S1238" s="4">
        <f t="shared" ca="1" si="193"/>
        <v>323</v>
      </c>
      <c r="T1238">
        <f t="shared" si="194"/>
        <v>1</v>
      </c>
      <c r="U1238">
        <f t="shared" si="195"/>
        <v>1</v>
      </c>
      <c r="V1238">
        <f t="shared" si="196"/>
        <v>2</v>
      </c>
      <c r="W1238">
        <f t="shared" si="197"/>
        <v>1</v>
      </c>
      <c r="X1238">
        <f t="shared" si="198"/>
        <v>1.2000000000000002</v>
      </c>
      <c r="Y1238" t="str">
        <f t="shared" si="199"/>
        <v>Healthy</v>
      </c>
    </row>
    <row r="1239" spans="1:25" x14ac:dyDescent="0.35">
      <c r="A1239" t="s">
        <v>179</v>
      </c>
      <c r="B1239" t="s">
        <v>223</v>
      </c>
      <c r="C1239" t="s">
        <v>357</v>
      </c>
      <c r="D1239" t="s">
        <v>1050</v>
      </c>
      <c r="E1239">
        <v>80868351</v>
      </c>
      <c r="F1239" t="s">
        <v>1051</v>
      </c>
      <c r="G1239" s="3">
        <v>46484</v>
      </c>
      <c r="H1239">
        <v>18</v>
      </c>
      <c r="I1239">
        <v>54</v>
      </c>
      <c r="J1239">
        <v>20</v>
      </c>
      <c r="K1239" s="4">
        <v>67393.440000000002</v>
      </c>
      <c r="L1239" s="4">
        <v>14.285714285714286</v>
      </c>
      <c r="M1239" s="4">
        <v>1.4</v>
      </c>
      <c r="N1239" t="s">
        <v>25</v>
      </c>
      <c r="O1239" t="str">
        <f t="shared" si="190"/>
        <v>Low</v>
      </c>
      <c r="P1239" t="str">
        <f t="shared" si="191"/>
        <v>Low</v>
      </c>
      <c r="Q1239" t="str">
        <f t="shared" si="192"/>
        <v>Medium</v>
      </c>
      <c r="R1239" t="s">
        <v>3310</v>
      </c>
      <c r="S1239" s="4">
        <f t="shared" ca="1" si="193"/>
        <v>287</v>
      </c>
      <c r="T1239">
        <f t="shared" si="194"/>
        <v>1</v>
      </c>
      <c r="U1239">
        <f t="shared" si="195"/>
        <v>1</v>
      </c>
      <c r="V1239">
        <f t="shared" si="196"/>
        <v>2</v>
      </c>
      <c r="W1239">
        <f t="shared" si="197"/>
        <v>2</v>
      </c>
      <c r="X1239">
        <f t="shared" si="198"/>
        <v>1.3</v>
      </c>
      <c r="Y1239" t="str">
        <f t="shared" si="199"/>
        <v>Healthy</v>
      </c>
    </row>
    <row r="1240" spans="1:25" x14ac:dyDescent="0.35">
      <c r="A1240" t="s">
        <v>179</v>
      </c>
      <c r="B1240" t="s">
        <v>223</v>
      </c>
      <c r="C1240" t="s">
        <v>357</v>
      </c>
      <c r="D1240" t="s">
        <v>1050</v>
      </c>
      <c r="E1240">
        <v>80868351</v>
      </c>
      <c r="F1240" t="s">
        <v>1051</v>
      </c>
      <c r="G1240" s="3">
        <v>46485</v>
      </c>
      <c r="H1240">
        <v>18</v>
      </c>
      <c r="I1240">
        <v>54</v>
      </c>
      <c r="J1240">
        <v>11</v>
      </c>
      <c r="K1240" s="4">
        <v>36669.96</v>
      </c>
      <c r="L1240" s="4">
        <v>14.285714285714286</v>
      </c>
      <c r="M1240" s="4">
        <v>0.76999999999999991</v>
      </c>
      <c r="N1240" t="s">
        <v>25</v>
      </c>
      <c r="O1240" t="str">
        <f t="shared" si="190"/>
        <v>Low</v>
      </c>
      <c r="P1240" t="str">
        <f t="shared" si="191"/>
        <v>Low</v>
      </c>
      <c r="Q1240" t="str">
        <f t="shared" si="192"/>
        <v>Medium</v>
      </c>
      <c r="R1240" t="s">
        <v>3317</v>
      </c>
      <c r="S1240" s="4">
        <f t="shared" ca="1" si="193"/>
        <v>288</v>
      </c>
      <c r="T1240">
        <f t="shared" si="194"/>
        <v>1</v>
      </c>
      <c r="U1240">
        <f t="shared" si="195"/>
        <v>1</v>
      </c>
      <c r="V1240">
        <f t="shared" si="196"/>
        <v>2</v>
      </c>
      <c r="W1240">
        <f t="shared" si="197"/>
        <v>1</v>
      </c>
      <c r="X1240">
        <f t="shared" si="198"/>
        <v>1.2000000000000002</v>
      </c>
      <c r="Y1240" t="str">
        <f t="shared" si="199"/>
        <v>Healthy</v>
      </c>
    </row>
    <row r="1241" spans="1:25" x14ac:dyDescent="0.35">
      <c r="A1241" t="s">
        <v>90</v>
      </c>
      <c r="B1241" t="s">
        <v>91</v>
      </c>
      <c r="C1241" t="s">
        <v>255</v>
      </c>
      <c r="D1241" t="s">
        <v>1052</v>
      </c>
      <c r="E1241">
        <v>80875103</v>
      </c>
      <c r="F1241" t="s">
        <v>1053</v>
      </c>
      <c r="G1241" s="3">
        <v>46844</v>
      </c>
      <c r="H1241">
        <v>24</v>
      </c>
      <c r="I1241">
        <v>91</v>
      </c>
      <c r="J1241">
        <v>62</v>
      </c>
      <c r="K1241" s="4">
        <v>38537.96</v>
      </c>
      <c r="L1241" s="4">
        <v>1262.5714285714287</v>
      </c>
      <c r="M1241" s="4">
        <v>4.9106132609187593E-2</v>
      </c>
      <c r="N1241" t="s">
        <v>25</v>
      </c>
      <c r="O1241" t="str">
        <f t="shared" si="190"/>
        <v>Low</v>
      </c>
      <c r="P1241" t="str">
        <f t="shared" si="191"/>
        <v>Low</v>
      </c>
      <c r="Q1241" t="str">
        <f t="shared" si="192"/>
        <v>Low</v>
      </c>
      <c r="R1241" t="s">
        <v>3317</v>
      </c>
      <c r="S1241" s="4">
        <f t="shared" ca="1" si="193"/>
        <v>647</v>
      </c>
      <c r="T1241">
        <f t="shared" si="194"/>
        <v>1</v>
      </c>
      <c r="U1241">
        <f t="shared" si="195"/>
        <v>1</v>
      </c>
      <c r="V1241">
        <f t="shared" si="196"/>
        <v>1</v>
      </c>
      <c r="W1241">
        <f t="shared" si="197"/>
        <v>1</v>
      </c>
      <c r="X1241">
        <f t="shared" si="198"/>
        <v>0.99999999999999989</v>
      </c>
      <c r="Y1241" t="str">
        <f t="shared" si="199"/>
        <v>Healthy</v>
      </c>
    </row>
    <row r="1242" spans="1:25" x14ac:dyDescent="0.35">
      <c r="A1242" t="s">
        <v>189</v>
      </c>
      <c r="B1242" t="s">
        <v>190</v>
      </c>
      <c r="C1242" t="s">
        <v>190</v>
      </c>
      <c r="D1242" t="s">
        <v>191</v>
      </c>
      <c r="E1242">
        <v>80835769</v>
      </c>
      <c r="F1242" t="s">
        <v>1054</v>
      </c>
      <c r="G1242" s="3">
        <v>46492</v>
      </c>
      <c r="H1242">
        <v>18</v>
      </c>
      <c r="I1242">
        <v>56</v>
      </c>
      <c r="J1242">
        <v>20</v>
      </c>
      <c r="K1242" s="4">
        <v>368.4</v>
      </c>
      <c r="L1242" s="4">
        <v>42500</v>
      </c>
      <c r="M1242" s="4">
        <v>4.7058823529411766E-4</v>
      </c>
      <c r="N1242" t="s">
        <v>25</v>
      </c>
      <c r="O1242" t="str">
        <f t="shared" si="190"/>
        <v>Low</v>
      </c>
      <c r="P1242" t="str">
        <f t="shared" si="191"/>
        <v>Low</v>
      </c>
      <c r="Q1242" t="str">
        <f t="shared" si="192"/>
        <v>Low</v>
      </c>
      <c r="R1242" t="s">
        <v>3317</v>
      </c>
      <c r="S1242" s="4">
        <f t="shared" ca="1" si="193"/>
        <v>295</v>
      </c>
      <c r="T1242">
        <f t="shared" si="194"/>
        <v>1</v>
      </c>
      <c r="U1242">
        <f t="shared" si="195"/>
        <v>1</v>
      </c>
      <c r="V1242">
        <f t="shared" si="196"/>
        <v>1</v>
      </c>
      <c r="W1242">
        <f t="shared" si="197"/>
        <v>1</v>
      </c>
      <c r="X1242">
        <f t="shared" si="198"/>
        <v>0.99999999999999989</v>
      </c>
      <c r="Y1242" t="str">
        <f t="shared" si="199"/>
        <v>Healthy</v>
      </c>
    </row>
    <row r="1243" spans="1:25" x14ac:dyDescent="0.35">
      <c r="A1243" t="s">
        <v>90</v>
      </c>
      <c r="B1243" t="s">
        <v>91</v>
      </c>
      <c r="C1243" t="s">
        <v>255</v>
      </c>
      <c r="D1243" t="s">
        <v>1052</v>
      </c>
      <c r="E1243">
        <v>80875103</v>
      </c>
      <c r="F1243" t="s">
        <v>1053</v>
      </c>
      <c r="G1243" s="3">
        <v>46830</v>
      </c>
      <c r="H1243">
        <v>24</v>
      </c>
      <c r="I1243">
        <v>89</v>
      </c>
      <c r="J1243">
        <v>61</v>
      </c>
      <c r="K1243" s="4">
        <v>37916.379999999997</v>
      </c>
      <c r="L1243" s="4">
        <v>1262.5714285714287</v>
      </c>
      <c r="M1243" s="4">
        <v>4.8314098212265212E-2</v>
      </c>
      <c r="N1243" t="s">
        <v>25</v>
      </c>
      <c r="O1243" t="str">
        <f t="shared" si="190"/>
        <v>Low</v>
      </c>
      <c r="P1243" t="str">
        <f t="shared" si="191"/>
        <v>Low</v>
      </c>
      <c r="Q1243" t="str">
        <f t="shared" si="192"/>
        <v>Low</v>
      </c>
      <c r="R1243" t="s">
        <v>3317</v>
      </c>
      <c r="S1243" s="4">
        <f t="shared" ca="1" si="193"/>
        <v>633</v>
      </c>
      <c r="T1243">
        <f t="shared" si="194"/>
        <v>1</v>
      </c>
      <c r="U1243">
        <f t="shared" si="195"/>
        <v>1</v>
      </c>
      <c r="V1243">
        <f t="shared" si="196"/>
        <v>1</v>
      </c>
      <c r="W1243">
        <f t="shared" si="197"/>
        <v>1</v>
      </c>
      <c r="X1243">
        <f t="shared" si="198"/>
        <v>0.99999999999999989</v>
      </c>
      <c r="Y1243" t="str">
        <f t="shared" si="199"/>
        <v>Healthy</v>
      </c>
    </row>
    <row r="1244" spans="1:25" x14ac:dyDescent="0.35">
      <c r="A1244" t="s">
        <v>90</v>
      </c>
      <c r="B1244" t="s">
        <v>91</v>
      </c>
      <c r="C1244" t="s">
        <v>255</v>
      </c>
      <c r="D1244" t="s">
        <v>1052</v>
      </c>
      <c r="E1244">
        <v>80875103</v>
      </c>
      <c r="F1244" t="s">
        <v>1053</v>
      </c>
      <c r="G1244" s="3">
        <v>46849</v>
      </c>
      <c r="H1244">
        <v>24</v>
      </c>
      <c r="I1244">
        <v>91</v>
      </c>
      <c r="J1244">
        <v>32</v>
      </c>
      <c r="K1244" s="4">
        <v>19890.560000000001</v>
      </c>
      <c r="L1244" s="4">
        <v>1262.5714285714287</v>
      </c>
      <c r="M1244" s="4">
        <v>2.5345100701516177E-2</v>
      </c>
      <c r="N1244" t="s">
        <v>25</v>
      </c>
      <c r="O1244" t="str">
        <f t="shared" si="190"/>
        <v>Low</v>
      </c>
      <c r="P1244" t="str">
        <f t="shared" si="191"/>
        <v>Low</v>
      </c>
      <c r="Q1244" t="str">
        <f t="shared" si="192"/>
        <v>Low</v>
      </c>
      <c r="R1244" t="s">
        <v>3317</v>
      </c>
      <c r="S1244" s="4">
        <f t="shared" ca="1" si="193"/>
        <v>652</v>
      </c>
      <c r="T1244">
        <f t="shared" si="194"/>
        <v>1</v>
      </c>
      <c r="U1244">
        <f t="shared" si="195"/>
        <v>1</v>
      </c>
      <c r="V1244">
        <f t="shared" si="196"/>
        <v>1</v>
      </c>
      <c r="W1244">
        <f t="shared" si="197"/>
        <v>1</v>
      </c>
      <c r="X1244">
        <f t="shared" si="198"/>
        <v>0.99999999999999989</v>
      </c>
      <c r="Y1244" t="str">
        <f t="shared" si="199"/>
        <v>Healthy</v>
      </c>
    </row>
    <row r="1245" spans="1:25" x14ac:dyDescent="0.35">
      <c r="A1245" t="s">
        <v>90</v>
      </c>
      <c r="B1245" t="s">
        <v>91</v>
      </c>
      <c r="C1245" t="s">
        <v>255</v>
      </c>
      <c r="D1245" t="s">
        <v>1052</v>
      </c>
      <c r="E1245">
        <v>80875103</v>
      </c>
      <c r="F1245" t="s">
        <v>1053</v>
      </c>
      <c r="G1245" s="3">
        <v>46832</v>
      </c>
      <c r="H1245">
        <v>24</v>
      </c>
      <c r="I1245">
        <v>89</v>
      </c>
      <c r="J1245">
        <v>77</v>
      </c>
      <c r="K1245" s="4">
        <v>47861.66</v>
      </c>
      <c r="L1245" s="4">
        <v>1262.5714285714287</v>
      </c>
      <c r="M1245" s="4">
        <v>6.0986648563023306E-2</v>
      </c>
      <c r="N1245" t="s">
        <v>25</v>
      </c>
      <c r="O1245" t="str">
        <f t="shared" si="190"/>
        <v>Low</v>
      </c>
      <c r="P1245" t="str">
        <f t="shared" si="191"/>
        <v>Low</v>
      </c>
      <c r="Q1245" t="str">
        <f t="shared" si="192"/>
        <v>Low</v>
      </c>
      <c r="R1245" t="s">
        <v>3317</v>
      </c>
      <c r="S1245" s="4">
        <f t="shared" ca="1" si="193"/>
        <v>635</v>
      </c>
      <c r="T1245">
        <f t="shared" si="194"/>
        <v>1</v>
      </c>
      <c r="U1245">
        <f t="shared" si="195"/>
        <v>1</v>
      </c>
      <c r="V1245">
        <f t="shared" si="196"/>
        <v>1</v>
      </c>
      <c r="W1245">
        <f t="shared" si="197"/>
        <v>1</v>
      </c>
      <c r="X1245">
        <f t="shared" si="198"/>
        <v>0.99999999999999989</v>
      </c>
      <c r="Y1245" t="str">
        <f t="shared" si="199"/>
        <v>Healthy</v>
      </c>
    </row>
    <row r="1246" spans="1:25" x14ac:dyDescent="0.35">
      <c r="A1246" t="s">
        <v>90</v>
      </c>
      <c r="B1246" t="s">
        <v>91</v>
      </c>
      <c r="C1246" t="s">
        <v>255</v>
      </c>
      <c r="D1246" t="s">
        <v>1052</v>
      </c>
      <c r="E1246">
        <v>80875103</v>
      </c>
      <c r="F1246" t="s">
        <v>1053</v>
      </c>
      <c r="G1246" s="3">
        <v>46831</v>
      </c>
      <c r="H1246">
        <v>24</v>
      </c>
      <c r="I1246">
        <v>89</v>
      </c>
      <c r="J1246">
        <v>72</v>
      </c>
      <c r="K1246" s="4">
        <v>44753.760000000002</v>
      </c>
      <c r="L1246" s="4">
        <v>1262.5714285714287</v>
      </c>
      <c r="M1246" s="4">
        <v>5.7026476578411402E-2</v>
      </c>
      <c r="N1246" t="s">
        <v>25</v>
      </c>
      <c r="O1246" t="str">
        <f t="shared" si="190"/>
        <v>Low</v>
      </c>
      <c r="P1246" t="str">
        <f t="shared" si="191"/>
        <v>Low</v>
      </c>
      <c r="Q1246" t="str">
        <f t="shared" si="192"/>
        <v>Low</v>
      </c>
      <c r="R1246" t="s">
        <v>3317</v>
      </c>
      <c r="S1246" s="4">
        <f t="shared" ca="1" si="193"/>
        <v>634</v>
      </c>
      <c r="T1246">
        <f t="shared" si="194"/>
        <v>1</v>
      </c>
      <c r="U1246">
        <f t="shared" si="195"/>
        <v>1</v>
      </c>
      <c r="V1246">
        <f t="shared" si="196"/>
        <v>1</v>
      </c>
      <c r="W1246">
        <f t="shared" si="197"/>
        <v>1</v>
      </c>
      <c r="X1246">
        <f t="shared" si="198"/>
        <v>0.99999999999999989</v>
      </c>
      <c r="Y1246" t="str">
        <f t="shared" si="199"/>
        <v>Healthy</v>
      </c>
    </row>
    <row r="1247" spans="1:25" x14ac:dyDescent="0.35">
      <c r="A1247" t="s">
        <v>20</v>
      </c>
      <c r="B1247" t="s">
        <v>21</v>
      </c>
      <c r="C1247" t="s">
        <v>926</v>
      </c>
      <c r="D1247" t="s">
        <v>1055</v>
      </c>
      <c r="E1247">
        <v>80851563</v>
      </c>
      <c r="F1247" t="s">
        <v>1056</v>
      </c>
      <c r="G1247" s="3">
        <v>46876</v>
      </c>
      <c r="H1247">
        <v>36</v>
      </c>
      <c r="I1247">
        <v>63</v>
      </c>
      <c r="J1247">
        <v>5</v>
      </c>
      <c r="K1247" s="4">
        <v>879.95</v>
      </c>
      <c r="L1247" s="4">
        <v>10.428571428571429</v>
      </c>
      <c r="M1247" s="4">
        <v>0.47945205479452052</v>
      </c>
      <c r="N1247" t="s">
        <v>25</v>
      </c>
      <c r="O1247" t="str">
        <f t="shared" si="190"/>
        <v>Low</v>
      </c>
      <c r="P1247" t="str">
        <f t="shared" si="191"/>
        <v>Low</v>
      </c>
      <c r="Q1247" t="str">
        <f t="shared" si="192"/>
        <v>Medium</v>
      </c>
      <c r="R1247" t="s">
        <v>3317</v>
      </c>
      <c r="S1247" s="4">
        <f t="shared" ca="1" si="193"/>
        <v>679</v>
      </c>
      <c r="T1247">
        <f t="shared" si="194"/>
        <v>1</v>
      </c>
      <c r="U1247">
        <f t="shared" si="195"/>
        <v>1</v>
      </c>
      <c r="V1247">
        <f t="shared" si="196"/>
        <v>2</v>
      </c>
      <c r="W1247">
        <f t="shared" si="197"/>
        <v>1</v>
      </c>
      <c r="X1247">
        <f t="shared" si="198"/>
        <v>1.2000000000000002</v>
      </c>
      <c r="Y1247" t="str">
        <f t="shared" si="199"/>
        <v>Healthy</v>
      </c>
    </row>
    <row r="1248" spans="1:25" x14ac:dyDescent="0.35">
      <c r="A1248" t="s">
        <v>179</v>
      </c>
      <c r="B1248" t="s">
        <v>195</v>
      </c>
      <c r="C1248" t="s">
        <v>422</v>
      </c>
      <c r="D1248" t="s">
        <v>1057</v>
      </c>
      <c r="E1248">
        <v>80884366</v>
      </c>
      <c r="F1248" t="s">
        <v>1058</v>
      </c>
      <c r="G1248" s="3">
        <v>46445</v>
      </c>
      <c r="H1248">
        <v>16</v>
      </c>
      <c r="I1248">
        <v>53</v>
      </c>
      <c r="J1248">
        <v>374</v>
      </c>
      <c r="K1248" s="4">
        <v>36637.040000000001</v>
      </c>
      <c r="L1248" s="4">
        <v>15789</v>
      </c>
      <c r="M1248" s="4">
        <v>2.3687377287985305E-2</v>
      </c>
      <c r="N1248" t="s">
        <v>25</v>
      </c>
      <c r="O1248" t="str">
        <f t="shared" si="190"/>
        <v>Low</v>
      </c>
      <c r="P1248" t="str">
        <f t="shared" si="191"/>
        <v>Low</v>
      </c>
      <c r="Q1248" t="str">
        <f t="shared" si="192"/>
        <v>Low</v>
      </c>
      <c r="R1248" t="s">
        <v>3317</v>
      </c>
      <c r="S1248" s="4">
        <f t="shared" ca="1" si="193"/>
        <v>248</v>
      </c>
      <c r="T1248">
        <f t="shared" si="194"/>
        <v>1</v>
      </c>
      <c r="U1248">
        <f t="shared" si="195"/>
        <v>1</v>
      </c>
      <c r="V1248">
        <f t="shared" si="196"/>
        <v>1</v>
      </c>
      <c r="W1248">
        <f t="shared" si="197"/>
        <v>1</v>
      </c>
      <c r="X1248">
        <f t="shared" si="198"/>
        <v>0.99999999999999989</v>
      </c>
      <c r="Y1248" t="str">
        <f t="shared" si="199"/>
        <v>Healthy</v>
      </c>
    </row>
    <row r="1249" spans="1:25" x14ac:dyDescent="0.35">
      <c r="A1249" t="s">
        <v>179</v>
      </c>
      <c r="B1249" t="s">
        <v>195</v>
      </c>
      <c r="C1249" t="s">
        <v>422</v>
      </c>
      <c r="D1249" t="s">
        <v>1057</v>
      </c>
      <c r="E1249">
        <v>80884366</v>
      </c>
      <c r="F1249" t="s">
        <v>1058</v>
      </c>
      <c r="G1249" s="3">
        <v>47408</v>
      </c>
      <c r="H1249">
        <v>16</v>
      </c>
      <c r="I1249">
        <v>100</v>
      </c>
      <c r="J1249">
        <v>137</v>
      </c>
      <c r="K1249" s="4">
        <v>13420.52</v>
      </c>
      <c r="L1249" s="4">
        <v>15789</v>
      </c>
      <c r="M1249" s="4">
        <v>8.6769269744759008E-3</v>
      </c>
      <c r="N1249" t="s">
        <v>25</v>
      </c>
      <c r="O1249" t="str">
        <f t="shared" si="190"/>
        <v>Low</v>
      </c>
      <c r="P1249" t="str">
        <f t="shared" si="191"/>
        <v>Low</v>
      </c>
      <c r="Q1249" t="str">
        <f t="shared" si="192"/>
        <v>Low</v>
      </c>
      <c r="R1249" t="s">
        <v>3317</v>
      </c>
      <c r="S1249" s="4">
        <f t="shared" ca="1" si="193"/>
        <v>1211</v>
      </c>
      <c r="T1249">
        <f t="shared" si="194"/>
        <v>1</v>
      </c>
      <c r="U1249">
        <f t="shared" si="195"/>
        <v>1</v>
      </c>
      <c r="V1249">
        <f t="shared" si="196"/>
        <v>1</v>
      </c>
      <c r="W1249">
        <f t="shared" si="197"/>
        <v>1</v>
      </c>
      <c r="X1249">
        <f t="shared" si="198"/>
        <v>0.99999999999999989</v>
      </c>
      <c r="Y1249" t="str">
        <f t="shared" si="199"/>
        <v>Healthy</v>
      </c>
    </row>
    <row r="1250" spans="1:25" x14ac:dyDescent="0.35">
      <c r="A1250" t="s">
        <v>20</v>
      </c>
      <c r="B1250" t="s">
        <v>21</v>
      </c>
      <c r="C1250" t="s">
        <v>926</v>
      </c>
      <c r="D1250" t="s">
        <v>1055</v>
      </c>
      <c r="E1250">
        <v>80851563</v>
      </c>
      <c r="F1250" t="s">
        <v>1056</v>
      </c>
      <c r="G1250" s="3">
        <v>46843</v>
      </c>
      <c r="H1250">
        <v>36</v>
      </c>
      <c r="I1250">
        <v>60</v>
      </c>
      <c r="J1250">
        <v>2</v>
      </c>
      <c r="K1250" s="4">
        <v>351.98</v>
      </c>
      <c r="L1250" s="4">
        <v>10.428571428571429</v>
      </c>
      <c r="M1250" s="4">
        <v>0.19178082191780821</v>
      </c>
      <c r="N1250" t="s">
        <v>25</v>
      </c>
      <c r="O1250" t="str">
        <f t="shared" si="190"/>
        <v>Low</v>
      </c>
      <c r="P1250" t="str">
        <f t="shared" si="191"/>
        <v>Low</v>
      </c>
      <c r="Q1250" t="str">
        <f t="shared" si="192"/>
        <v>Medium</v>
      </c>
      <c r="R1250" t="s">
        <v>3317</v>
      </c>
      <c r="S1250" s="4">
        <f t="shared" ca="1" si="193"/>
        <v>646</v>
      </c>
      <c r="T1250">
        <f t="shared" si="194"/>
        <v>1</v>
      </c>
      <c r="U1250">
        <f t="shared" si="195"/>
        <v>1</v>
      </c>
      <c r="V1250">
        <f t="shared" si="196"/>
        <v>2</v>
      </c>
      <c r="W1250">
        <f t="shared" si="197"/>
        <v>1</v>
      </c>
      <c r="X1250">
        <f t="shared" si="198"/>
        <v>1.2000000000000002</v>
      </c>
      <c r="Y1250" t="str">
        <f t="shared" si="199"/>
        <v>Healthy</v>
      </c>
    </row>
    <row r="1251" spans="1:25" x14ac:dyDescent="0.35">
      <c r="A1251" t="s">
        <v>99</v>
      </c>
      <c r="B1251" t="s">
        <v>100</v>
      </c>
      <c r="C1251" t="s">
        <v>136</v>
      </c>
      <c r="D1251" t="s">
        <v>1059</v>
      </c>
      <c r="E1251">
        <v>80830397</v>
      </c>
      <c r="F1251" t="s">
        <v>1060</v>
      </c>
      <c r="G1251" s="3">
        <v>47197</v>
      </c>
      <c r="H1251">
        <v>36</v>
      </c>
      <c r="I1251">
        <v>93</v>
      </c>
      <c r="J1251">
        <v>535</v>
      </c>
      <c r="K1251" s="4">
        <v>60529.9</v>
      </c>
      <c r="L1251" s="4">
        <v>1823.4285714285713</v>
      </c>
      <c r="M1251" s="4">
        <v>0.29340332184268259</v>
      </c>
      <c r="N1251" t="s">
        <v>25</v>
      </c>
      <c r="O1251" t="str">
        <f t="shared" si="190"/>
        <v>Low</v>
      </c>
      <c r="P1251" t="str">
        <f t="shared" si="191"/>
        <v>Low</v>
      </c>
      <c r="Q1251" t="str">
        <f t="shared" si="192"/>
        <v>Low</v>
      </c>
      <c r="R1251" t="s">
        <v>3317</v>
      </c>
      <c r="S1251" s="4">
        <f t="shared" ca="1" si="193"/>
        <v>1000</v>
      </c>
      <c r="T1251">
        <f t="shared" si="194"/>
        <v>1</v>
      </c>
      <c r="U1251">
        <f t="shared" si="195"/>
        <v>1</v>
      </c>
      <c r="V1251">
        <f t="shared" si="196"/>
        <v>1</v>
      </c>
      <c r="W1251">
        <f t="shared" si="197"/>
        <v>1</v>
      </c>
      <c r="X1251">
        <f t="shared" si="198"/>
        <v>0.99999999999999989</v>
      </c>
      <c r="Y1251" t="str">
        <f t="shared" si="199"/>
        <v>Healthy</v>
      </c>
    </row>
    <row r="1252" spans="1:25" x14ac:dyDescent="0.35">
      <c r="A1252" t="s">
        <v>179</v>
      </c>
      <c r="B1252" t="s">
        <v>195</v>
      </c>
      <c r="C1252" t="s">
        <v>422</v>
      </c>
      <c r="D1252" t="s">
        <v>1057</v>
      </c>
      <c r="E1252">
        <v>80884366</v>
      </c>
      <c r="F1252" t="s">
        <v>1058</v>
      </c>
      <c r="G1252" s="3">
        <v>46446</v>
      </c>
      <c r="H1252">
        <v>16</v>
      </c>
      <c r="I1252">
        <v>53</v>
      </c>
      <c r="J1252">
        <v>340</v>
      </c>
      <c r="K1252" s="4">
        <v>33306.400000000001</v>
      </c>
      <c r="L1252" s="4">
        <v>15789</v>
      </c>
      <c r="M1252" s="4">
        <v>2.1533979352713915E-2</v>
      </c>
      <c r="N1252" t="s">
        <v>25</v>
      </c>
      <c r="O1252" t="str">
        <f t="shared" si="190"/>
        <v>Low</v>
      </c>
      <c r="P1252" t="str">
        <f t="shared" si="191"/>
        <v>Low</v>
      </c>
      <c r="Q1252" t="str">
        <f t="shared" si="192"/>
        <v>Low</v>
      </c>
      <c r="R1252" t="s">
        <v>3317</v>
      </c>
      <c r="S1252" s="4">
        <f t="shared" ca="1" si="193"/>
        <v>249</v>
      </c>
      <c r="T1252">
        <f t="shared" si="194"/>
        <v>1</v>
      </c>
      <c r="U1252">
        <f t="shared" si="195"/>
        <v>1</v>
      </c>
      <c r="V1252">
        <f t="shared" si="196"/>
        <v>1</v>
      </c>
      <c r="W1252">
        <f t="shared" si="197"/>
        <v>1</v>
      </c>
      <c r="X1252">
        <f t="shared" si="198"/>
        <v>0.99999999999999989</v>
      </c>
      <c r="Y1252" t="str">
        <f t="shared" si="199"/>
        <v>Healthy</v>
      </c>
    </row>
    <row r="1253" spans="1:25" x14ac:dyDescent="0.35">
      <c r="A1253" t="s">
        <v>99</v>
      </c>
      <c r="B1253" t="s">
        <v>100</v>
      </c>
      <c r="C1253" t="s">
        <v>136</v>
      </c>
      <c r="D1253" t="s">
        <v>1059</v>
      </c>
      <c r="E1253">
        <v>80830397</v>
      </c>
      <c r="F1253" t="s">
        <v>1060</v>
      </c>
      <c r="G1253" s="3">
        <v>47236</v>
      </c>
      <c r="H1253">
        <v>36</v>
      </c>
      <c r="I1253">
        <v>97</v>
      </c>
      <c r="J1253">
        <v>114</v>
      </c>
      <c r="K1253" s="4">
        <v>12897.96</v>
      </c>
      <c r="L1253" s="4">
        <v>1823.4285714285713</v>
      </c>
      <c r="M1253" s="4">
        <v>6.2519586336571606E-2</v>
      </c>
      <c r="N1253" t="s">
        <v>25</v>
      </c>
      <c r="O1253" t="str">
        <f t="shared" si="190"/>
        <v>Low</v>
      </c>
      <c r="P1253" t="str">
        <f t="shared" si="191"/>
        <v>Low</v>
      </c>
      <c r="Q1253" t="str">
        <f t="shared" si="192"/>
        <v>Low</v>
      </c>
      <c r="R1253" t="s">
        <v>3317</v>
      </c>
      <c r="S1253" s="4">
        <f t="shared" ca="1" si="193"/>
        <v>1039</v>
      </c>
      <c r="T1253">
        <f t="shared" si="194"/>
        <v>1</v>
      </c>
      <c r="U1253">
        <f t="shared" si="195"/>
        <v>1</v>
      </c>
      <c r="V1253">
        <f t="shared" si="196"/>
        <v>1</v>
      </c>
      <c r="W1253">
        <f t="shared" si="197"/>
        <v>1</v>
      </c>
      <c r="X1253">
        <f t="shared" si="198"/>
        <v>0.99999999999999989</v>
      </c>
      <c r="Y1253" t="str">
        <f t="shared" si="199"/>
        <v>Healthy</v>
      </c>
    </row>
    <row r="1254" spans="1:25" x14ac:dyDescent="0.35">
      <c r="A1254" t="s">
        <v>99</v>
      </c>
      <c r="B1254" t="s">
        <v>100</v>
      </c>
      <c r="C1254" t="s">
        <v>136</v>
      </c>
      <c r="D1254" t="s">
        <v>1059</v>
      </c>
      <c r="E1254">
        <v>80830397</v>
      </c>
      <c r="F1254" t="s">
        <v>1060</v>
      </c>
      <c r="G1254" s="3">
        <v>47166</v>
      </c>
      <c r="H1254">
        <v>36</v>
      </c>
      <c r="I1254">
        <v>90</v>
      </c>
      <c r="J1254">
        <v>33</v>
      </c>
      <c r="K1254" s="4">
        <v>3733.62</v>
      </c>
      <c r="L1254" s="4">
        <v>1823.4285714285713</v>
      </c>
      <c r="M1254" s="4">
        <v>1.8097774992165465E-2</v>
      </c>
      <c r="N1254" t="s">
        <v>25</v>
      </c>
      <c r="O1254" t="str">
        <f t="shared" si="190"/>
        <v>Low</v>
      </c>
      <c r="P1254" t="str">
        <f t="shared" si="191"/>
        <v>Low</v>
      </c>
      <c r="Q1254" t="str">
        <f t="shared" si="192"/>
        <v>Low</v>
      </c>
      <c r="R1254" t="s">
        <v>3317</v>
      </c>
      <c r="S1254" s="4">
        <f t="shared" ca="1" si="193"/>
        <v>969</v>
      </c>
      <c r="T1254">
        <f t="shared" si="194"/>
        <v>1</v>
      </c>
      <c r="U1254">
        <f t="shared" si="195"/>
        <v>1</v>
      </c>
      <c r="V1254">
        <f t="shared" si="196"/>
        <v>1</v>
      </c>
      <c r="W1254">
        <f t="shared" si="197"/>
        <v>1</v>
      </c>
      <c r="X1254">
        <f t="shared" si="198"/>
        <v>0.99999999999999989</v>
      </c>
      <c r="Y1254" t="str">
        <f t="shared" si="199"/>
        <v>Healthy</v>
      </c>
    </row>
    <row r="1255" spans="1:25" x14ac:dyDescent="0.35">
      <c r="A1255" t="s">
        <v>179</v>
      </c>
      <c r="B1255" t="s">
        <v>195</v>
      </c>
      <c r="C1255" t="s">
        <v>422</v>
      </c>
      <c r="D1255" t="s">
        <v>1057</v>
      </c>
      <c r="E1255">
        <v>80884366</v>
      </c>
      <c r="F1255" t="s">
        <v>1058</v>
      </c>
      <c r="G1255" s="3">
        <v>46450</v>
      </c>
      <c r="H1255">
        <v>16</v>
      </c>
      <c r="I1255">
        <v>54</v>
      </c>
      <c r="J1255">
        <v>151</v>
      </c>
      <c r="K1255" s="4">
        <v>14791.96</v>
      </c>
      <c r="L1255" s="4">
        <v>15789</v>
      </c>
      <c r="M1255" s="4">
        <v>9.5636202419405909E-3</v>
      </c>
      <c r="N1255" t="s">
        <v>25</v>
      </c>
      <c r="O1255" t="str">
        <f t="shared" si="190"/>
        <v>Low</v>
      </c>
      <c r="P1255" t="str">
        <f t="shared" si="191"/>
        <v>Low</v>
      </c>
      <c r="Q1255" t="str">
        <f t="shared" si="192"/>
        <v>Low</v>
      </c>
      <c r="R1255" t="s">
        <v>3317</v>
      </c>
      <c r="S1255" s="4">
        <f t="shared" ca="1" si="193"/>
        <v>253</v>
      </c>
      <c r="T1255">
        <f t="shared" si="194"/>
        <v>1</v>
      </c>
      <c r="U1255">
        <f t="shared" si="195"/>
        <v>1</v>
      </c>
      <c r="V1255">
        <f t="shared" si="196"/>
        <v>1</v>
      </c>
      <c r="W1255">
        <f t="shared" si="197"/>
        <v>1</v>
      </c>
      <c r="X1255">
        <f t="shared" si="198"/>
        <v>0.99999999999999989</v>
      </c>
      <c r="Y1255" t="str">
        <f t="shared" si="199"/>
        <v>Healthy</v>
      </c>
    </row>
    <row r="1256" spans="1:25" x14ac:dyDescent="0.35">
      <c r="A1256" t="s">
        <v>90</v>
      </c>
      <c r="B1256" t="s">
        <v>91</v>
      </c>
      <c r="C1256" t="s">
        <v>92</v>
      </c>
      <c r="D1256" t="s">
        <v>1061</v>
      </c>
      <c r="E1256">
        <v>80875360</v>
      </c>
      <c r="F1256" t="s">
        <v>1062</v>
      </c>
      <c r="G1256" s="3">
        <v>47403</v>
      </c>
      <c r="H1256">
        <v>24</v>
      </c>
      <c r="I1256">
        <v>100</v>
      </c>
      <c r="J1256">
        <v>16</v>
      </c>
      <c r="K1256" s="4">
        <v>5375.84</v>
      </c>
      <c r="L1256" s="4">
        <f>0</f>
        <v>0</v>
      </c>
      <c r="M1256" s="4">
        <f>999</f>
        <v>999</v>
      </c>
      <c r="N1256" t="s">
        <v>19</v>
      </c>
      <c r="O1256" t="str">
        <f t="shared" si="190"/>
        <v>Low</v>
      </c>
      <c r="P1256" t="str">
        <f t="shared" si="191"/>
        <v>High</v>
      </c>
      <c r="Q1256" t="str">
        <f t="shared" si="192"/>
        <v>High</v>
      </c>
      <c r="R1256" t="s">
        <v>3317</v>
      </c>
      <c r="S1256" s="4">
        <f t="shared" ca="1" si="193"/>
        <v>1206</v>
      </c>
      <c r="T1256">
        <f t="shared" si="194"/>
        <v>1</v>
      </c>
      <c r="U1256">
        <f t="shared" si="195"/>
        <v>3</v>
      </c>
      <c r="V1256">
        <f t="shared" si="196"/>
        <v>3</v>
      </c>
      <c r="W1256">
        <f t="shared" si="197"/>
        <v>1</v>
      </c>
      <c r="X1256">
        <f t="shared" si="198"/>
        <v>2</v>
      </c>
      <c r="Y1256" t="str">
        <f t="shared" si="199"/>
        <v>Monitor</v>
      </c>
    </row>
    <row r="1257" spans="1:25" x14ac:dyDescent="0.35">
      <c r="A1257" t="s">
        <v>944</v>
      </c>
      <c r="B1257" t="s">
        <v>945</v>
      </c>
      <c r="C1257" t="s">
        <v>1063</v>
      </c>
      <c r="D1257" t="s">
        <v>1064</v>
      </c>
      <c r="E1257">
        <v>80875143</v>
      </c>
      <c r="F1257" t="s">
        <v>1065</v>
      </c>
      <c r="G1257" s="3">
        <v>47584</v>
      </c>
      <c r="H1257">
        <v>60</v>
      </c>
      <c r="I1257">
        <v>77</v>
      </c>
      <c r="J1257">
        <v>12</v>
      </c>
      <c r="K1257" s="4">
        <v>26170.560000000001</v>
      </c>
      <c r="L1257" s="4">
        <f>0</f>
        <v>0</v>
      </c>
      <c r="M1257" s="4">
        <f>999</f>
        <v>999</v>
      </c>
      <c r="N1257" t="s">
        <v>19</v>
      </c>
      <c r="O1257" t="str">
        <f t="shared" si="190"/>
        <v>Low</v>
      </c>
      <c r="P1257" t="str">
        <f t="shared" si="191"/>
        <v>High</v>
      </c>
      <c r="Q1257" t="str">
        <f t="shared" si="192"/>
        <v>High</v>
      </c>
      <c r="R1257" t="s">
        <v>3317</v>
      </c>
      <c r="S1257" s="4">
        <f t="shared" ca="1" si="193"/>
        <v>1387</v>
      </c>
      <c r="T1257">
        <f t="shared" si="194"/>
        <v>1</v>
      </c>
      <c r="U1257">
        <f t="shared" si="195"/>
        <v>3</v>
      </c>
      <c r="V1257">
        <f t="shared" si="196"/>
        <v>3</v>
      </c>
      <c r="W1257">
        <f t="shared" si="197"/>
        <v>1</v>
      </c>
      <c r="X1257">
        <f t="shared" si="198"/>
        <v>2</v>
      </c>
      <c r="Y1257" t="str">
        <f t="shared" si="199"/>
        <v>Monitor</v>
      </c>
    </row>
    <row r="1258" spans="1:25" x14ac:dyDescent="0.35">
      <c r="A1258" t="s">
        <v>41</v>
      </c>
      <c r="B1258" t="s">
        <v>80</v>
      </c>
      <c r="C1258" t="s">
        <v>81</v>
      </c>
      <c r="D1258" t="s">
        <v>1066</v>
      </c>
      <c r="E1258">
        <v>80853941</v>
      </c>
      <c r="F1258" t="s">
        <v>1067</v>
      </c>
      <c r="G1258" s="3">
        <v>47172</v>
      </c>
      <c r="H1258">
        <v>36</v>
      </c>
      <c r="I1258">
        <v>91</v>
      </c>
      <c r="J1258">
        <v>48</v>
      </c>
      <c r="K1258" s="4">
        <v>26840.639999999999</v>
      </c>
      <c r="L1258" s="4">
        <v>215.14285714285714</v>
      </c>
      <c r="M1258" s="4">
        <v>0.22310756972111553</v>
      </c>
      <c r="N1258" t="s">
        <v>25</v>
      </c>
      <c r="O1258" t="str">
        <f t="shared" si="190"/>
        <v>Low</v>
      </c>
      <c r="P1258" t="str">
        <f t="shared" si="191"/>
        <v>Low</v>
      </c>
      <c r="Q1258" t="str">
        <f t="shared" si="192"/>
        <v>Low</v>
      </c>
      <c r="R1258" t="s">
        <v>3317</v>
      </c>
      <c r="S1258" s="4">
        <f t="shared" ca="1" si="193"/>
        <v>975</v>
      </c>
      <c r="T1258">
        <f t="shared" si="194"/>
        <v>1</v>
      </c>
      <c r="U1258">
        <f t="shared" si="195"/>
        <v>1</v>
      </c>
      <c r="V1258">
        <f t="shared" si="196"/>
        <v>1</v>
      </c>
      <c r="W1258">
        <f t="shared" si="197"/>
        <v>1</v>
      </c>
      <c r="X1258">
        <f t="shared" si="198"/>
        <v>0.99999999999999989</v>
      </c>
      <c r="Y1258" t="str">
        <f t="shared" si="199"/>
        <v>Healthy</v>
      </c>
    </row>
    <row r="1259" spans="1:25" x14ac:dyDescent="0.35">
      <c r="A1259" t="s">
        <v>41</v>
      </c>
      <c r="B1259" t="s">
        <v>54</v>
      </c>
      <c r="C1259" t="s">
        <v>87</v>
      </c>
      <c r="D1259" t="s">
        <v>447</v>
      </c>
      <c r="E1259">
        <v>80850657</v>
      </c>
      <c r="F1259" t="s">
        <v>1068</v>
      </c>
      <c r="G1259" s="3">
        <v>46761</v>
      </c>
      <c r="H1259">
        <v>36</v>
      </c>
      <c r="I1259">
        <v>53</v>
      </c>
      <c r="J1259">
        <v>48</v>
      </c>
      <c r="K1259" s="4">
        <v>3560.64</v>
      </c>
      <c r="L1259" s="4">
        <v>12.857142857142858</v>
      </c>
      <c r="M1259" s="4">
        <v>3.7333333333333334</v>
      </c>
      <c r="N1259" t="s">
        <v>25</v>
      </c>
      <c r="O1259" t="str">
        <f t="shared" si="190"/>
        <v>Low</v>
      </c>
      <c r="P1259" t="str">
        <f t="shared" si="191"/>
        <v>Low</v>
      </c>
      <c r="Q1259" t="str">
        <f t="shared" si="192"/>
        <v>Medium</v>
      </c>
      <c r="R1259" t="s">
        <v>3317</v>
      </c>
      <c r="S1259" s="4">
        <f t="shared" ca="1" si="193"/>
        <v>564</v>
      </c>
      <c r="T1259">
        <f t="shared" si="194"/>
        <v>1</v>
      </c>
      <c r="U1259">
        <f t="shared" si="195"/>
        <v>1</v>
      </c>
      <c r="V1259">
        <f t="shared" si="196"/>
        <v>2</v>
      </c>
      <c r="W1259">
        <f t="shared" si="197"/>
        <v>1</v>
      </c>
      <c r="X1259">
        <f t="shared" si="198"/>
        <v>1.2000000000000002</v>
      </c>
      <c r="Y1259" t="str">
        <f t="shared" si="199"/>
        <v>Healthy</v>
      </c>
    </row>
    <row r="1260" spans="1:25" x14ac:dyDescent="0.35">
      <c r="A1260" t="s">
        <v>41</v>
      </c>
      <c r="B1260" t="s">
        <v>54</v>
      </c>
      <c r="C1260" t="s">
        <v>55</v>
      </c>
      <c r="D1260" t="s">
        <v>1069</v>
      </c>
      <c r="E1260">
        <v>80875121</v>
      </c>
      <c r="F1260" t="s">
        <v>1070</v>
      </c>
      <c r="G1260" s="3">
        <v>46970</v>
      </c>
      <c r="H1260">
        <v>36</v>
      </c>
      <c r="I1260">
        <v>72</v>
      </c>
      <c r="J1260">
        <v>150</v>
      </c>
      <c r="K1260" s="4">
        <v>35445</v>
      </c>
      <c r="L1260" s="4">
        <v>515.42857142857144</v>
      </c>
      <c r="M1260" s="4">
        <v>0.29101995565410199</v>
      </c>
      <c r="N1260" t="s">
        <v>25</v>
      </c>
      <c r="O1260" t="str">
        <f t="shared" si="190"/>
        <v>Low</v>
      </c>
      <c r="P1260" t="str">
        <f t="shared" si="191"/>
        <v>Low</v>
      </c>
      <c r="Q1260" t="str">
        <f t="shared" si="192"/>
        <v>Low</v>
      </c>
      <c r="R1260" t="s">
        <v>3317</v>
      </c>
      <c r="S1260" s="4">
        <f t="shared" ca="1" si="193"/>
        <v>773</v>
      </c>
      <c r="T1260">
        <f t="shared" si="194"/>
        <v>1</v>
      </c>
      <c r="U1260">
        <f t="shared" si="195"/>
        <v>1</v>
      </c>
      <c r="V1260">
        <f t="shared" si="196"/>
        <v>1</v>
      </c>
      <c r="W1260">
        <f t="shared" si="197"/>
        <v>1</v>
      </c>
      <c r="X1260">
        <f t="shared" si="198"/>
        <v>0.99999999999999989</v>
      </c>
      <c r="Y1260" t="str">
        <f t="shared" si="199"/>
        <v>Healthy</v>
      </c>
    </row>
    <row r="1261" spans="1:25" x14ac:dyDescent="0.35">
      <c r="A1261" t="s">
        <v>104</v>
      </c>
      <c r="B1261" t="s">
        <v>105</v>
      </c>
      <c r="C1261" t="s">
        <v>697</v>
      </c>
      <c r="D1261" t="s">
        <v>1071</v>
      </c>
      <c r="E1261">
        <v>80836250</v>
      </c>
      <c r="F1261" t="s">
        <v>1072</v>
      </c>
      <c r="G1261" s="3">
        <v>46513</v>
      </c>
      <c r="H1261">
        <v>24</v>
      </c>
      <c r="I1261">
        <v>45</v>
      </c>
      <c r="J1261">
        <v>24</v>
      </c>
      <c r="K1261" s="4">
        <v>6700.56</v>
      </c>
      <c r="L1261" s="4">
        <v>48.571428571428569</v>
      </c>
      <c r="M1261" s="4">
        <v>0.49411764705882355</v>
      </c>
      <c r="N1261" t="s">
        <v>25</v>
      </c>
      <c r="O1261" t="str">
        <f t="shared" si="190"/>
        <v>Low</v>
      </c>
      <c r="P1261" t="str">
        <f t="shared" si="191"/>
        <v>Low</v>
      </c>
      <c r="Q1261" t="str">
        <f t="shared" si="192"/>
        <v>Low</v>
      </c>
      <c r="R1261" t="s">
        <v>3317</v>
      </c>
      <c r="S1261" s="4">
        <f t="shared" ca="1" si="193"/>
        <v>316</v>
      </c>
      <c r="T1261">
        <f t="shared" si="194"/>
        <v>1</v>
      </c>
      <c r="U1261">
        <f t="shared" si="195"/>
        <v>1</v>
      </c>
      <c r="V1261">
        <f t="shared" si="196"/>
        <v>1</v>
      </c>
      <c r="W1261">
        <f t="shared" si="197"/>
        <v>1</v>
      </c>
      <c r="X1261">
        <f t="shared" si="198"/>
        <v>0.99999999999999989</v>
      </c>
      <c r="Y1261" t="str">
        <f t="shared" si="199"/>
        <v>Healthy</v>
      </c>
    </row>
    <row r="1262" spans="1:25" x14ac:dyDescent="0.35">
      <c r="A1262" t="s">
        <v>189</v>
      </c>
      <c r="B1262" t="s">
        <v>539</v>
      </c>
      <c r="C1262" t="s">
        <v>539</v>
      </c>
      <c r="D1262" t="s">
        <v>1073</v>
      </c>
      <c r="E1262">
        <v>80895657</v>
      </c>
      <c r="F1262" t="s">
        <v>1074</v>
      </c>
      <c r="G1262" s="3">
        <v>46878</v>
      </c>
      <c r="H1262">
        <v>24</v>
      </c>
      <c r="I1262">
        <v>95</v>
      </c>
      <c r="J1262">
        <v>6</v>
      </c>
      <c r="K1262" s="4">
        <v>4916.9399999999996</v>
      </c>
      <c r="L1262" s="4">
        <v>59.142857142857146</v>
      </c>
      <c r="M1262" s="4">
        <v>0.10144927536231883</v>
      </c>
      <c r="N1262" t="s">
        <v>25</v>
      </c>
      <c r="O1262" t="str">
        <f t="shared" si="190"/>
        <v>Low</v>
      </c>
      <c r="P1262" t="str">
        <f t="shared" si="191"/>
        <v>Low</v>
      </c>
      <c r="Q1262" t="str">
        <f t="shared" si="192"/>
        <v>Low</v>
      </c>
      <c r="R1262" t="s">
        <v>3317</v>
      </c>
      <c r="S1262" s="4">
        <f t="shared" ca="1" si="193"/>
        <v>681</v>
      </c>
      <c r="T1262">
        <f t="shared" si="194"/>
        <v>1</v>
      </c>
      <c r="U1262">
        <f t="shared" si="195"/>
        <v>1</v>
      </c>
      <c r="V1262">
        <f t="shared" si="196"/>
        <v>1</v>
      </c>
      <c r="W1262">
        <f t="shared" si="197"/>
        <v>1</v>
      </c>
      <c r="X1262">
        <f t="shared" si="198"/>
        <v>0.99999999999999989</v>
      </c>
      <c r="Y1262" t="str">
        <f t="shared" si="199"/>
        <v>Healthy</v>
      </c>
    </row>
    <row r="1263" spans="1:25" x14ac:dyDescent="0.35">
      <c r="A1263" t="s">
        <v>104</v>
      </c>
      <c r="B1263" t="s">
        <v>105</v>
      </c>
      <c r="C1263" t="s">
        <v>697</v>
      </c>
      <c r="D1263" t="s">
        <v>1071</v>
      </c>
      <c r="E1263">
        <v>80836250</v>
      </c>
      <c r="F1263" t="s">
        <v>1072</v>
      </c>
      <c r="G1263" s="3">
        <v>46533</v>
      </c>
      <c r="H1263">
        <v>24</v>
      </c>
      <c r="I1263">
        <v>47</v>
      </c>
      <c r="J1263">
        <v>24</v>
      </c>
      <c r="K1263" s="4">
        <v>6700.56</v>
      </c>
      <c r="L1263" s="4">
        <v>48.571428571428569</v>
      </c>
      <c r="M1263" s="4">
        <v>0.49411764705882355</v>
      </c>
      <c r="N1263" t="s">
        <v>25</v>
      </c>
      <c r="O1263" t="str">
        <f t="shared" si="190"/>
        <v>Low</v>
      </c>
      <c r="P1263" t="str">
        <f t="shared" si="191"/>
        <v>Low</v>
      </c>
      <c r="Q1263" t="str">
        <f t="shared" si="192"/>
        <v>Low</v>
      </c>
      <c r="R1263" t="s">
        <v>3317</v>
      </c>
      <c r="S1263" s="4">
        <f t="shared" ca="1" si="193"/>
        <v>336</v>
      </c>
      <c r="T1263">
        <f t="shared" si="194"/>
        <v>1</v>
      </c>
      <c r="U1263">
        <f t="shared" si="195"/>
        <v>1</v>
      </c>
      <c r="V1263">
        <f t="shared" si="196"/>
        <v>1</v>
      </c>
      <c r="W1263">
        <f t="shared" si="197"/>
        <v>1</v>
      </c>
      <c r="X1263">
        <f t="shared" si="198"/>
        <v>0.99999999999999989</v>
      </c>
      <c r="Y1263" t="str">
        <f t="shared" si="199"/>
        <v>Healthy</v>
      </c>
    </row>
    <row r="1264" spans="1:25" x14ac:dyDescent="0.35">
      <c r="A1264" t="s">
        <v>189</v>
      </c>
      <c r="B1264" t="s">
        <v>539</v>
      </c>
      <c r="C1264" t="s">
        <v>539</v>
      </c>
      <c r="D1264" t="s">
        <v>1073</v>
      </c>
      <c r="E1264">
        <v>80895657</v>
      </c>
      <c r="F1264" t="s">
        <v>1074</v>
      </c>
      <c r="G1264" s="3">
        <v>46799</v>
      </c>
      <c r="H1264">
        <v>24</v>
      </c>
      <c r="I1264">
        <v>84</v>
      </c>
      <c r="J1264">
        <v>1</v>
      </c>
      <c r="K1264" s="4">
        <v>819.49</v>
      </c>
      <c r="L1264" s="4">
        <v>59.142857142857146</v>
      </c>
      <c r="M1264" s="4">
        <v>1.6908212560386472E-2</v>
      </c>
      <c r="N1264" t="s">
        <v>25</v>
      </c>
      <c r="O1264" t="str">
        <f t="shared" si="190"/>
        <v>Low</v>
      </c>
      <c r="P1264" t="str">
        <f t="shared" si="191"/>
        <v>Low</v>
      </c>
      <c r="Q1264" t="str">
        <f t="shared" si="192"/>
        <v>Low</v>
      </c>
      <c r="R1264" t="s">
        <v>3317</v>
      </c>
      <c r="S1264" s="4">
        <f t="shared" ca="1" si="193"/>
        <v>602</v>
      </c>
      <c r="T1264">
        <f t="shared" si="194"/>
        <v>1</v>
      </c>
      <c r="U1264">
        <f t="shared" si="195"/>
        <v>1</v>
      </c>
      <c r="V1264">
        <f t="shared" si="196"/>
        <v>1</v>
      </c>
      <c r="W1264">
        <f t="shared" si="197"/>
        <v>1</v>
      </c>
      <c r="X1264">
        <f t="shared" si="198"/>
        <v>0.99999999999999989</v>
      </c>
      <c r="Y1264" t="str">
        <f t="shared" si="199"/>
        <v>Healthy</v>
      </c>
    </row>
    <row r="1265" spans="1:25" x14ac:dyDescent="0.35">
      <c r="A1265" t="s">
        <v>104</v>
      </c>
      <c r="B1265" t="s">
        <v>105</v>
      </c>
      <c r="C1265" t="s">
        <v>697</v>
      </c>
      <c r="D1265" t="s">
        <v>1071</v>
      </c>
      <c r="E1265">
        <v>80836250</v>
      </c>
      <c r="F1265" t="s">
        <v>1072</v>
      </c>
      <c r="G1265" s="3">
        <v>46562</v>
      </c>
      <c r="H1265">
        <v>24</v>
      </c>
      <c r="I1265">
        <v>51</v>
      </c>
      <c r="J1265">
        <v>39</v>
      </c>
      <c r="K1265" s="4">
        <v>10888.41</v>
      </c>
      <c r="L1265" s="4">
        <v>48.571428571428569</v>
      </c>
      <c r="M1265" s="4">
        <v>0.80294117647058827</v>
      </c>
      <c r="N1265" t="s">
        <v>25</v>
      </c>
      <c r="O1265" t="str">
        <f t="shared" si="190"/>
        <v>Low</v>
      </c>
      <c r="P1265" t="str">
        <f t="shared" si="191"/>
        <v>Low</v>
      </c>
      <c r="Q1265" t="str">
        <f t="shared" si="192"/>
        <v>Low</v>
      </c>
      <c r="R1265" t="s">
        <v>3317</v>
      </c>
      <c r="S1265" s="4">
        <f t="shared" ca="1" si="193"/>
        <v>365</v>
      </c>
      <c r="T1265">
        <f t="shared" si="194"/>
        <v>1</v>
      </c>
      <c r="U1265">
        <f t="shared" si="195"/>
        <v>1</v>
      </c>
      <c r="V1265">
        <f t="shared" si="196"/>
        <v>1</v>
      </c>
      <c r="W1265">
        <f t="shared" si="197"/>
        <v>1</v>
      </c>
      <c r="X1265">
        <f t="shared" si="198"/>
        <v>0.99999999999999989</v>
      </c>
      <c r="Y1265" t="str">
        <f t="shared" si="199"/>
        <v>Healthy</v>
      </c>
    </row>
    <row r="1266" spans="1:25" x14ac:dyDescent="0.35">
      <c r="A1266" t="s">
        <v>189</v>
      </c>
      <c r="B1266" t="s">
        <v>539</v>
      </c>
      <c r="C1266" t="s">
        <v>539</v>
      </c>
      <c r="D1266" t="s">
        <v>1073</v>
      </c>
      <c r="E1266">
        <v>80895657</v>
      </c>
      <c r="F1266" t="s">
        <v>1074</v>
      </c>
      <c r="G1266" s="3">
        <v>46750</v>
      </c>
      <c r="H1266">
        <v>24</v>
      </c>
      <c r="I1266">
        <v>78</v>
      </c>
      <c r="J1266">
        <v>18</v>
      </c>
      <c r="K1266" s="4">
        <v>14750.82</v>
      </c>
      <c r="L1266" s="4">
        <v>59.142857142857146</v>
      </c>
      <c r="M1266" s="4">
        <v>0.30434782608695649</v>
      </c>
      <c r="N1266" t="s">
        <v>25</v>
      </c>
      <c r="O1266" t="str">
        <f t="shared" si="190"/>
        <v>Low</v>
      </c>
      <c r="P1266" t="str">
        <f t="shared" si="191"/>
        <v>Low</v>
      </c>
      <c r="Q1266" t="str">
        <f t="shared" si="192"/>
        <v>Low</v>
      </c>
      <c r="R1266" t="s">
        <v>3317</v>
      </c>
      <c r="S1266" s="4">
        <f t="shared" ca="1" si="193"/>
        <v>553</v>
      </c>
      <c r="T1266">
        <f t="shared" si="194"/>
        <v>1</v>
      </c>
      <c r="U1266">
        <f t="shared" si="195"/>
        <v>1</v>
      </c>
      <c r="V1266">
        <f t="shared" si="196"/>
        <v>1</v>
      </c>
      <c r="W1266">
        <f t="shared" si="197"/>
        <v>1</v>
      </c>
      <c r="X1266">
        <f t="shared" si="198"/>
        <v>0.99999999999999989</v>
      </c>
      <c r="Y1266" t="str">
        <f t="shared" si="199"/>
        <v>Healthy</v>
      </c>
    </row>
    <row r="1267" spans="1:25" x14ac:dyDescent="0.35">
      <c r="A1267" t="s">
        <v>14</v>
      </c>
      <c r="B1267" t="s">
        <v>15</v>
      </c>
      <c r="C1267" t="s">
        <v>16</v>
      </c>
      <c r="D1267" t="s">
        <v>1075</v>
      </c>
      <c r="E1267">
        <v>80875792</v>
      </c>
      <c r="F1267" t="s">
        <v>1076</v>
      </c>
      <c r="G1267" s="3">
        <v>47997</v>
      </c>
      <c r="H1267">
        <v>60</v>
      </c>
      <c r="I1267">
        <v>100</v>
      </c>
      <c r="J1267">
        <v>59</v>
      </c>
      <c r="K1267" s="4">
        <v>62244.41</v>
      </c>
      <c r="L1267" s="4">
        <f>0</f>
        <v>0</v>
      </c>
      <c r="M1267" s="4">
        <f>999</f>
        <v>999</v>
      </c>
      <c r="N1267" t="s">
        <v>19</v>
      </c>
      <c r="O1267" t="str">
        <f t="shared" si="190"/>
        <v>Low</v>
      </c>
      <c r="P1267" t="str">
        <f t="shared" si="191"/>
        <v>High</v>
      </c>
      <c r="Q1267" t="str">
        <f t="shared" si="192"/>
        <v>High</v>
      </c>
      <c r="R1267" t="s">
        <v>3317</v>
      </c>
      <c r="S1267" s="4">
        <f t="shared" ca="1" si="193"/>
        <v>1800</v>
      </c>
      <c r="T1267">
        <f t="shared" si="194"/>
        <v>1</v>
      </c>
      <c r="U1267">
        <f t="shared" si="195"/>
        <v>3</v>
      </c>
      <c r="V1267">
        <f t="shared" si="196"/>
        <v>3</v>
      </c>
      <c r="W1267">
        <f t="shared" si="197"/>
        <v>1</v>
      </c>
      <c r="X1267">
        <f t="shared" si="198"/>
        <v>2</v>
      </c>
      <c r="Y1267" t="str">
        <f t="shared" si="199"/>
        <v>Monitor</v>
      </c>
    </row>
    <row r="1268" spans="1:25" x14ac:dyDescent="0.35">
      <c r="A1268" t="s">
        <v>71</v>
      </c>
      <c r="B1268" t="s">
        <v>72</v>
      </c>
      <c r="C1268" t="s">
        <v>687</v>
      </c>
      <c r="D1268" t="s">
        <v>1077</v>
      </c>
      <c r="E1268">
        <v>80858795</v>
      </c>
      <c r="F1268" t="s">
        <v>1078</v>
      </c>
      <c r="G1268" s="3">
        <v>47092</v>
      </c>
      <c r="H1268">
        <v>36</v>
      </c>
      <c r="I1268">
        <v>83</v>
      </c>
      <c r="J1268">
        <v>45</v>
      </c>
      <c r="K1268" s="4">
        <v>29863.35</v>
      </c>
      <c r="L1268" s="4">
        <v>57.571428571428569</v>
      </c>
      <c r="M1268" s="4">
        <v>0.78163771712158814</v>
      </c>
      <c r="N1268" t="s">
        <v>25</v>
      </c>
      <c r="O1268" t="str">
        <f t="shared" si="190"/>
        <v>Low</v>
      </c>
      <c r="P1268" t="str">
        <f t="shared" si="191"/>
        <v>Low</v>
      </c>
      <c r="Q1268" t="str">
        <f t="shared" si="192"/>
        <v>Low</v>
      </c>
      <c r="R1268" t="s">
        <v>3317</v>
      </c>
      <c r="S1268" s="4">
        <f t="shared" ca="1" si="193"/>
        <v>895</v>
      </c>
      <c r="T1268">
        <f t="shared" si="194"/>
        <v>1</v>
      </c>
      <c r="U1268">
        <f t="shared" si="195"/>
        <v>1</v>
      </c>
      <c r="V1268">
        <f t="shared" si="196"/>
        <v>1</v>
      </c>
      <c r="W1268">
        <f t="shared" si="197"/>
        <v>1</v>
      </c>
      <c r="X1268">
        <f t="shared" si="198"/>
        <v>0.99999999999999989</v>
      </c>
      <c r="Y1268" t="str">
        <f t="shared" si="199"/>
        <v>Healthy</v>
      </c>
    </row>
    <row r="1269" spans="1:25" x14ac:dyDescent="0.35">
      <c r="A1269" t="s">
        <v>90</v>
      </c>
      <c r="B1269" t="s">
        <v>91</v>
      </c>
      <c r="C1269" t="s">
        <v>155</v>
      </c>
      <c r="D1269" t="s">
        <v>1079</v>
      </c>
      <c r="E1269">
        <v>80887277</v>
      </c>
      <c r="F1269" t="s">
        <v>1080</v>
      </c>
      <c r="G1269" s="3">
        <v>46792</v>
      </c>
      <c r="H1269">
        <v>24</v>
      </c>
      <c r="I1269">
        <v>83</v>
      </c>
      <c r="J1269">
        <v>62</v>
      </c>
      <c r="K1269" s="4">
        <v>10455.68</v>
      </c>
      <c r="L1269" s="4">
        <v>4354</v>
      </c>
      <c r="M1269" s="4">
        <v>1.4239779513091411E-2</v>
      </c>
      <c r="N1269" t="s">
        <v>25</v>
      </c>
      <c r="O1269" t="str">
        <f t="shared" si="190"/>
        <v>Low</v>
      </c>
      <c r="P1269" t="str">
        <f t="shared" si="191"/>
        <v>Low</v>
      </c>
      <c r="Q1269" t="str">
        <f t="shared" si="192"/>
        <v>Low</v>
      </c>
      <c r="R1269" t="s">
        <v>3317</v>
      </c>
      <c r="S1269" s="4">
        <f t="shared" ca="1" si="193"/>
        <v>595</v>
      </c>
      <c r="T1269">
        <f t="shared" si="194"/>
        <v>1</v>
      </c>
      <c r="U1269">
        <f t="shared" si="195"/>
        <v>1</v>
      </c>
      <c r="V1269">
        <f t="shared" si="196"/>
        <v>1</v>
      </c>
      <c r="W1269">
        <f t="shared" si="197"/>
        <v>1</v>
      </c>
      <c r="X1269">
        <f t="shared" si="198"/>
        <v>0.99999999999999989</v>
      </c>
      <c r="Y1269" t="str">
        <f t="shared" si="199"/>
        <v>Healthy</v>
      </c>
    </row>
    <row r="1270" spans="1:25" x14ac:dyDescent="0.35">
      <c r="A1270" t="s">
        <v>90</v>
      </c>
      <c r="B1270" t="s">
        <v>91</v>
      </c>
      <c r="C1270" t="s">
        <v>155</v>
      </c>
      <c r="D1270" t="s">
        <v>1079</v>
      </c>
      <c r="E1270">
        <v>80887277</v>
      </c>
      <c r="F1270" t="s">
        <v>1080</v>
      </c>
      <c r="G1270" s="3">
        <v>46793</v>
      </c>
      <c r="H1270">
        <v>24</v>
      </c>
      <c r="I1270">
        <v>83</v>
      </c>
      <c r="J1270">
        <v>36</v>
      </c>
      <c r="K1270" s="4">
        <v>6071.04</v>
      </c>
      <c r="L1270" s="4">
        <v>4354</v>
      </c>
      <c r="M1270" s="4">
        <v>8.2682590721175932E-3</v>
      </c>
      <c r="N1270" t="s">
        <v>25</v>
      </c>
      <c r="O1270" t="str">
        <f t="shared" si="190"/>
        <v>Low</v>
      </c>
      <c r="P1270" t="str">
        <f t="shared" si="191"/>
        <v>Low</v>
      </c>
      <c r="Q1270" t="str">
        <f t="shared" si="192"/>
        <v>Low</v>
      </c>
      <c r="R1270" t="s">
        <v>3317</v>
      </c>
      <c r="S1270" s="4">
        <f t="shared" ca="1" si="193"/>
        <v>596</v>
      </c>
      <c r="T1270">
        <f t="shared" si="194"/>
        <v>1</v>
      </c>
      <c r="U1270">
        <f t="shared" si="195"/>
        <v>1</v>
      </c>
      <c r="V1270">
        <f t="shared" si="196"/>
        <v>1</v>
      </c>
      <c r="W1270">
        <f t="shared" si="197"/>
        <v>1</v>
      </c>
      <c r="X1270">
        <f t="shared" si="198"/>
        <v>0.99999999999999989</v>
      </c>
      <c r="Y1270" t="str">
        <f t="shared" si="199"/>
        <v>Healthy</v>
      </c>
    </row>
    <row r="1271" spans="1:25" x14ac:dyDescent="0.35">
      <c r="A1271" t="s">
        <v>71</v>
      </c>
      <c r="B1271" t="s">
        <v>72</v>
      </c>
      <c r="C1271" t="s">
        <v>174</v>
      </c>
      <c r="D1271" t="s">
        <v>1081</v>
      </c>
      <c r="E1271">
        <v>80856197</v>
      </c>
      <c r="F1271" t="s">
        <v>1082</v>
      </c>
      <c r="G1271" s="3">
        <v>46853</v>
      </c>
      <c r="H1271">
        <v>36</v>
      </c>
      <c r="I1271">
        <v>61</v>
      </c>
      <c r="J1271">
        <v>1</v>
      </c>
      <c r="K1271" s="4">
        <v>823.97</v>
      </c>
      <c r="L1271" s="4">
        <v>104.42857142857143</v>
      </c>
      <c r="M1271" s="4">
        <v>9.575923392612859E-3</v>
      </c>
      <c r="N1271" t="s">
        <v>25</v>
      </c>
      <c r="O1271" t="str">
        <f t="shared" si="190"/>
        <v>Low</v>
      </c>
      <c r="P1271" t="str">
        <f t="shared" si="191"/>
        <v>Low</v>
      </c>
      <c r="Q1271" t="str">
        <f t="shared" si="192"/>
        <v>Low</v>
      </c>
      <c r="R1271" t="s">
        <v>3317</v>
      </c>
      <c r="S1271" s="4">
        <f t="shared" ca="1" si="193"/>
        <v>656</v>
      </c>
      <c r="T1271">
        <f t="shared" si="194"/>
        <v>1</v>
      </c>
      <c r="U1271">
        <f t="shared" si="195"/>
        <v>1</v>
      </c>
      <c r="V1271">
        <f t="shared" si="196"/>
        <v>1</v>
      </c>
      <c r="W1271">
        <f t="shared" si="197"/>
        <v>1</v>
      </c>
      <c r="X1271">
        <f t="shared" si="198"/>
        <v>0.99999999999999989</v>
      </c>
      <c r="Y1271" t="str">
        <f t="shared" si="199"/>
        <v>Healthy</v>
      </c>
    </row>
    <row r="1272" spans="1:25" x14ac:dyDescent="0.35">
      <c r="A1272" t="s">
        <v>90</v>
      </c>
      <c r="B1272" t="s">
        <v>91</v>
      </c>
      <c r="C1272" t="s">
        <v>155</v>
      </c>
      <c r="D1272" t="s">
        <v>1079</v>
      </c>
      <c r="E1272">
        <v>80887277</v>
      </c>
      <c r="F1272" t="s">
        <v>1080</v>
      </c>
      <c r="G1272" s="3">
        <v>46791</v>
      </c>
      <c r="H1272">
        <v>24</v>
      </c>
      <c r="I1272">
        <v>83</v>
      </c>
      <c r="J1272">
        <v>120</v>
      </c>
      <c r="K1272" s="4">
        <v>20236.8</v>
      </c>
      <c r="L1272" s="4">
        <v>4354</v>
      </c>
      <c r="M1272" s="4">
        <v>2.7560863573725312E-2</v>
      </c>
      <c r="N1272" t="s">
        <v>25</v>
      </c>
      <c r="O1272" t="str">
        <f t="shared" si="190"/>
        <v>Low</v>
      </c>
      <c r="P1272" t="str">
        <f t="shared" si="191"/>
        <v>Low</v>
      </c>
      <c r="Q1272" t="str">
        <f t="shared" si="192"/>
        <v>Low</v>
      </c>
      <c r="R1272" t="s">
        <v>3317</v>
      </c>
      <c r="S1272" s="4">
        <f t="shared" ca="1" si="193"/>
        <v>594</v>
      </c>
      <c r="T1272">
        <f t="shared" si="194"/>
        <v>1</v>
      </c>
      <c r="U1272">
        <f t="shared" si="195"/>
        <v>1</v>
      </c>
      <c r="V1272">
        <f t="shared" si="196"/>
        <v>1</v>
      </c>
      <c r="W1272">
        <f t="shared" si="197"/>
        <v>1</v>
      </c>
      <c r="X1272">
        <f t="shared" si="198"/>
        <v>0.99999999999999989</v>
      </c>
      <c r="Y1272" t="str">
        <f t="shared" si="199"/>
        <v>Healthy</v>
      </c>
    </row>
    <row r="1273" spans="1:25" x14ac:dyDescent="0.35">
      <c r="A1273" t="s">
        <v>90</v>
      </c>
      <c r="B1273" t="s">
        <v>91</v>
      </c>
      <c r="C1273" t="s">
        <v>155</v>
      </c>
      <c r="D1273" t="s">
        <v>1079</v>
      </c>
      <c r="E1273">
        <v>80887277</v>
      </c>
      <c r="F1273" t="s">
        <v>1080</v>
      </c>
      <c r="G1273" s="3">
        <v>46852</v>
      </c>
      <c r="H1273">
        <v>24</v>
      </c>
      <c r="I1273">
        <v>92</v>
      </c>
      <c r="J1273">
        <v>177</v>
      </c>
      <c r="K1273" s="4">
        <v>29849.279999999999</v>
      </c>
      <c r="L1273" s="4">
        <v>4354</v>
      </c>
      <c r="M1273" s="4">
        <v>4.0652273771244835E-2</v>
      </c>
      <c r="N1273" t="s">
        <v>25</v>
      </c>
      <c r="O1273" t="str">
        <f t="shared" si="190"/>
        <v>Low</v>
      </c>
      <c r="P1273" t="str">
        <f t="shared" si="191"/>
        <v>Low</v>
      </c>
      <c r="Q1273" t="str">
        <f t="shared" si="192"/>
        <v>Low</v>
      </c>
      <c r="R1273" t="s">
        <v>3317</v>
      </c>
      <c r="S1273" s="4">
        <f t="shared" ca="1" si="193"/>
        <v>655</v>
      </c>
      <c r="T1273">
        <f t="shared" si="194"/>
        <v>1</v>
      </c>
      <c r="U1273">
        <f t="shared" si="195"/>
        <v>1</v>
      </c>
      <c r="V1273">
        <f t="shared" si="196"/>
        <v>1</v>
      </c>
      <c r="W1273">
        <f t="shared" si="197"/>
        <v>1</v>
      </c>
      <c r="X1273">
        <f t="shared" si="198"/>
        <v>0.99999999999999989</v>
      </c>
      <c r="Y1273" t="str">
        <f t="shared" si="199"/>
        <v>Healthy</v>
      </c>
    </row>
    <row r="1274" spans="1:25" x14ac:dyDescent="0.35">
      <c r="A1274" t="s">
        <v>20</v>
      </c>
      <c r="B1274" t="s">
        <v>21</v>
      </c>
      <c r="C1274" t="s">
        <v>795</v>
      </c>
      <c r="D1274" t="s">
        <v>796</v>
      </c>
      <c r="E1274">
        <v>80838059</v>
      </c>
      <c r="F1274" t="s">
        <v>1083</v>
      </c>
      <c r="G1274" s="3">
        <v>47011</v>
      </c>
      <c r="H1274">
        <v>36</v>
      </c>
      <c r="I1274">
        <v>76</v>
      </c>
      <c r="J1274">
        <v>2</v>
      </c>
      <c r="K1274" s="4">
        <v>112</v>
      </c>
      <c r="L1274" s="4">
        <v>347.28571428571428</v>
      </c>
      <c r="M1274" s="4">
        <v>5.7589469354175239E-3</v>
      </c>
      <c r="N1274" t="s">
        <v>25</v>
      </c>
      <c r="O1274" t="str">
        <f t="shared" si="190"/>
        <v>Low</v>
      </c>
      <c r="P1274" t="str">
        <f t="shared" si="191"/>
        <v>Low</v>
      </c>
      <c r="Q1274" t="str">
        <f t="shared" si="192"/>
        <v>Low</v>
      </c>
      <c r="R1274" t="s">
        <v>3317</v>
      </c>
      <c r="S1274" s="4">
        <f t="shared" ca="1" si="193"/>
        <v>814</v>
      </c>
      <c r="T1274">
        <f t="shared" si="194"/>
        <v>1</v>
      </c>
      <c r="U1274">
        <f t="shared" si="195"/>
        <v>1</v>
      </c>
      <c r="V1274">
        <f t="shared" si="196"/>
        <v>1</v>
      </c>
      <c r="W1274">
        <f t="shared" si="197"/>
        <v>1</v>
      </c>
      <c r="X1274">
        <f t="shared" si="198"/>
        <v>0.99999999999999989</v>
      </c>
      <c r="Y1274" t="str">
        <f t="shared" si="199"/>
        <v>Healthy</v>
      </c>
    </row>
    <row r="1275" spans="1:25" x14ac:dyDescent="0.35">
      <c r="A1275" t="s">
        <v>90</v>
      </c>
      <c r="B1275" t="s">
        <v>91</v>
      </c>
      <c r="C1275" t="s">
        <v>155</v>
      </c>
      <c r="D1275" t="s">
        <v>1079</v>
      </c>
      <c r="E1275">
        <v>80887277</v>
      </c>
      <c r="F1275" t="s">
        <v>1080</v>
      </c>
      <c r="G1275" s="3">
        <v>46798</v>
      </c>
      <c r="H1275">
        <v>24</v>
      </c>
      <c r="I1275">
        <v>84</v>
      </c>
      <c r="J1275">
        <v>25</v>
      </c>
      <c r="K1275" s="4">
        <v>4216</v>
      </c>
      <c r="L1275" s="4">
        <v>4354</v>
      </c>
      <c r="M1275" s="4">
        <v>5.7418465778594392E-3</v>
      </c>
      <c r="N1275" t="s">
        <v>25</v>
      </c>
      <c r="O1275" t="str">
        <f t="shared" si="190"/>
        <v>Low</v>
      </c>
      <c r="P1275" t="str">
        <f t="shared" si="191"/>
        <v>Low</v>
      </c>
      <c r="Q1275" t="str">
        <f t="shared" si="192"/>
        <v>Low</v>
      </c>
      <c r="R1275" t="s">
        <v>3317</v>
      </c>
      <c r="S1275" s="4">
        <f t="shared" ca="1" si="193"/>
        <v>601</v>
      </c>
      <c r="T1275">
        <f t="shared" si="194"/>
        <v>1</v>
      </c>
      <c r="U1275">
        <f t="shared" si="195"/>
        <v>1</v>
      </c>
      <c r="V1275">
        <f t="shared" si="196"/>
        <v>1</v>
      </c>
      <c r="W1275">
        <f t="shared" si="197"/>
        <v>1</v>
      </c>
      <c r="X1275">
        <f t="shared" si="198"/>
        <v>0.99999999999999989</v>
      </c>
      <c r="Y1275" t="str">
        <f t="shared" si="199"/>
        <v>Healthy</v>
      </c>
    </row>
    <row r="1276" spans="1:25" x14ac:dyDescent="0.35">
      <c r="A1276" t="s">
        <v>20</v>
      </c>
      <c r="B1276" t="s">
        <v>21</v>
      </c>
      <c r="C1276" t="s">
        <v>795</v>
      </c>
      <c r="D1276" t="s">
        <v>796</v>
      </c>
      <c r="E1276">
        <v>80838059</v>
      </c>
      <c r="F1276" t="s">
        <v>1083</v>
      </c>
      <c r="G1276" s="3">
        <v>47011</v>
      </c>
      <c r="H1276">
        <v>36</v>
      </c>
      <c r="I1276">
        <v>76</v>
      </c>
      <c r="J1276">
        <v>14</v>
      </c>
      <c r="K1276" s="4">
        <v>784</v>
      </c>
      <c r="L1276" s="4">
        <v>347.28571428571428</v>
      </c>
      <c r="M1276" s="4">
        <v>4.0312628547922669E-2</v>
      </c>
      <c r="N1276" t="s">
        <v>25</v>
      </c>
      <c r="O1276" t="str">
        <f t="shared" si="190"/>
        <v>Low</v>
      </c>
      <c r="P1276" t="str">
        <f t="shared" si="191"/>
        <v>Low</v>
      </c>
      <c r="Q1276" t="str">
        <f t="shared" si="192"/>
        <v>Low</v>
      </c>
      <c r="R1276" t="s">
        <v>3317</v>
      </c>
      <c r="S1276" s="4">
        <f t="shared" ca="1" si="193"/>
        <v>814</v>
      </c>
      <c r="T1276">
        <f t="shared" si="194"/>
        <v>1</v>
      </c>
      <c r="U1276">
        <f t="shared" si="195"/>
        <v>1</v>
      </c>
      <c r="V1276">
        <f t="shared" si="196"/>
        <v>1</v>
      </c>
      <c r="W1276">
        <f t="shared" si="197"/>
        <v>1</v>
      </c>
      <c r="X1276">
        <f t="shared" si="198"/>
        <v>0.99999999999999989</v>
      </c>
      <c r="Y1276" t="str">
        <f t="shared" si="199"/>
        <v>Healthy</v>
      </c>
    </row>
    <row r="1277" spans="1:25" x14ac:dyDescent="0.35">
      <c r="A1277" t="s">
        <v>90</v>
      </c>
      <c r="B1277" t="s">
        <v>91</v>
      </c>
      <c r="C1277" t="s">
        <v>155</v>
      </c>
      <c r="D1277" t="s">
        <v>1079</v>
      </c>
      <c r="E1277">
        <v>80887277</v>
      </c>
      <c r="F1277" t="s">
        <v>1080</v>
      </c>
      <c r="G1277" s="3">
        <v>46792</v>
      </c>
      <c r="H1277">
        <v>24</v>
      </c>
      <c r="I1277">
        <v>83</v>
      </c>
      <c r="J1277">
        <v>116</v>
      </c>
      <c r="K1277" s="4">
        <v>19562.240000000002</v>
      </c>
      <c r="L1277" s="4">
        <v>4354</v>
      </c>
      <c r="M1277" s="4">
        <v>2.6642168121267799E-2</v>
      </c>
      <c r="N1277" t="s">
        <v>25</v>
      </c>
      <c r="O1277" t="str">
        <f t="shared" si="190"/>
        <v>Low</v>
      </c>
      <c r="P1277" t="str">
        <f t="shared" si="191"/>
        <v>Low</v>
      </c>
      <c r="Q1277" t="str">
        <f t="shared" si="192"/>
        <v>Low</v>
      </c>
      <c r="R1277" t="s">
        <v>3317</v>
      </c>
      <c r="S1277" s="4">
        <f t="shared" ca="1" si="193"/>
        <v>595</v>
      </c>
      <c r="T1277">
        <f t="shared" si="194"/>
        <v>1</v>
      </c>
      <c r="U1277">
        <f t="shared" si="195"/>
        <v>1</v>
      </c>
      <c r="V1277">
        <f t="shared" si="196"/>
        <v>1</v>
      </c>
      <c r="W1277">
        <f t="shared" si="197"/>
        <v>1</v>
      </c>
      <c r="X1277">
        <f t="shared" si="198"/>
        <v>0.99999999999999989</v>
      </c>
      <c r="Y1277" t="str">
        <f t="shared" si="199"/>
        <v>Healthy</v>
      </c>
    </row>
    <row r="1278" spans="1:25" x14ac:dyDescent="0.35">
      <c r="A1278" t="s">
        <v>90</v>
      </c>
      <c r="B1278" t="s">
        <v>91</v>
      </c>
      <c r="C1278" t="s">
        <v>155</v>
      </c>
      <c r="D1278" t="s">
        <v>1079</v>
      </c>
      <c r="E1278">
        <v>80887277</v>
      </c>
      <c r="F1278" t="s">
        <v>1080</v>
      </c>
      <c r="G1278" s="3">
        <v>46822</v>
      </c>
      <c r="H1278">
        <v>24</v>
      </c>
      <c r="I1278">
        <v>88</v>
      </c>
      <c r="J1278">
        <v>155</v>
      </c>
      <c r="K1278" s="4">
        <v>26139.200000000001</v>
      </c>
      <c r="L1278" s="4">
        <v>4354</v>
      </c>
      <c r="M1278" s="4">
        <v>3.5599448782728527E-2</v>
      </c>
      <c r="N1278" t="s">
        <v>25</v>
      </c>
      <c r="O1278" t="str">
        <f t="shared" si="190"/>
        <v>Low</v>
      </c>
      <c r="P1278" t="str">
        <f t="shared" si="191"/>
        <v>Low</v>
      </c>
      <c r="Q1278" t="str">
        <f t="shared" si="192"/>
        <v>Low</v>
      </c>
      <c r="R1278" t="s">
        <v>3317</v>
      </c>
      <c r="S1278" s="4">
        <f t="shared" ca="1" si="193"/>
        <v>625</v>
      </c>
      <c r="T1278">
        <f t="shared" si="194"/>
        <v>1</v>
      </c>
      <c r="U1278">
        <f t="shared" si="195"/>
        <v>1</v>
      </c>
      <c r="V1278">
        <f t="shared" si="196"/>
        <v>1</v>
      </c>
      <c r="W1278">
        <f t="shared" si="197"/>
        <v>1</v>
      </c>
      <c r="X1278">
        <f t="shared" si="198"/>
        <v>0.99999999999999989</v>
      </c>
      <c r="Y1278" t="str">
        <f t="shared" si="199"/>
        <v>Healthy</v>
      </c>
    </row>
    <row r="1279" spans="1:25" x14ac:dyDescent="0.35">
      <c r="A1279" t="s">
        <v>179</v>
      </c>
      <c r="B1279" t="s">
        <v>223</v>
      </c>
      <c r="C1279" t="s">
        <v>1084</v>
      </c>
      <c r="D1279" t="s">
        <v>1085</v>
      </c>
      <c r="E1279">
        <v>80854066</v>
      </c>
      <c r="F1279" t="s">
        <v>1086</v>
      </c>
      <c r="G1279" s="3">
        <v>46552</v>
      </c>
      <c r="H1279">
        <v>18</v>
      </c>
      <c r="I1279">
        <v>67</v>
      </c>
      <c r="J1279">
        <v>50</v>
      </c>
      <c r="K1279" s="4">
        <v>440.5</v>
      </c>
      <c r="L1279" s="4">
        <v>12085.857142857143</v>
      </c>
      <c r="M1279" s="4">
        <v>4.1370669377430525E-3</v>
      </c>
      <c r="N1279" t="s">
        <v>25</v>
      </c>
      <c r="O1279" t="str">
        <f t="shared" si="190"/>
        <v>Low</v>
      </c>
      <c r="P1279" t="str">
        <f t="shared" si="191"/>
        <v>Low</v>
      </c>
      <c r="Q1279" t="str">
        <f t="shared" si="192"/>
        <v>Low</v>
      </c>
      <c r="R1279" t="s">
        <v>3317</v>
      </c>
      <c r="S1279" s="4">
        <f t="shared" ca="1" si="193"/>
        <v>355</v>
      </c>
      <c r="T1279">
        <f t="shared" si="194"/>
        <v>1</v>
      </c>
      <c r="U1279">
        <f t="shared" si="195"/>
        <v>1</v>
      </c>
      <c r="V1279">
        <f t="shared" si="196"/>
        <v>1</v>
      </c>
      <c r="W1279">
        <f t="shared" si="197"/>
        <v>1</v>
      </c>
      <c r="X1279">
        <f t="shared" si="198"/>
        <v>0.99999999999999989</v>
      </c>
      <c r="Y1279" t="str">
        <f t="shared" si="199"/>
        <v>Healthy</v>
      </c>
    </row>
    <row r="1280" spans="1:25" x14ac:dyDescent="0.35">
      <c r="A1280" t="s">
        <v>90</v>
      </c>
      <c r="B1280" t="s">
        <v>91</v>
      </c>
      <c r="C1280" t="s">
        <v>155</v>
      </c>
      <c r="D1280" t="s">
        <v>1079</v>
      </c>
      <c r="E1280">
        <v>80887277</v>
      </c>
      <c r="F1280" t="s">
        <v>1080</v>
      </c>
      <c r="G1280" s="3">
        <v>46851</v>
      </c>
      <c r="H1280">
        <v>24</v>
      </c>
      <c r="I1280">
        <v>92</v>
      </c>
      <c r="J1280">
        <v>45</v>
      </c>
      <c r="K1280" s="4">
        <v>7588.8</v>
      </c>
      <c r="L1280" s="4">
        <v>4354</v>
      </c>
      <c r="M1280" s="4">
        <v>1.0335323840146991E-2</v>
      </c>
      <c r="N1280" t="s">
        <v>25</v>
      </c>
      <c r="O1280" t="str">
        <f t="shared" si="190"/>
        <v>Low</v>
      </c>
      <c r="P1280" t="str">
        <f t="shared" si="191"/>
        <v>Low</v>
      </c>
      <c r="Q1280" t="str">
        <f t="shared" si="192"/>
        <v>Low</v>
      </c>
      <c r="R1280" t="s">
        <v>3317</v>
      </c>
      <c r="S1280" s="4">
        <f t="shared" ca="1" si="193"/>
        <v>654</v>
      </c>
      <c r="T1280">
        <f t="shared" si="194"/>
        <v>1</v>
      </c>
      <c r="U1280">
        <f t="shared" si="195"/>
        <v>1</v>
      </c>
      <c r="V1280">
        <f t="shared" si="196"/>
        <v>1</v>
      </c>
      <c r="W1280">
        <f t="shared" si="197"/>
        <v>1</v>
      </c>
      <c r="X1280">
        <f t="shared" si="198"/>
        <v>0.99999999999999989</v>
      </c>
      <c r="Y1280" t="str">
        <f t="shared" si="199"/>
        <v>Healthy</v>
      </c>
    </row>
    <row r="1281" spans="1:25" x14ac:dyDescent="0.35">
      <c r="A1281" t="s">
        <v>90</v>
      </c>
      <c r="B1281" t="s">
        <v>91</v>
      </c>
      <c r="C1281" t="s">
        <v>155</v>
      </c>
      <c r="D1281" t="s">
        <v>1079</v>
      </c>
      <c r="E1281">
        <v>80887277</v>
      </c>
      <c r="F1281" t="s">
        <v>1080</v>
      </c>
      <c r="G1281" s="3">
        <v>46802</v>
      </c>
      <c r="H1281">
        <v>24</v>
      </c>
      <c r="I1281">
        <v>85</v>
      </c>
      <c r="J1281">
        <v>159</v>
      </c>
      <c r="K1281" s="4">
        <v>26813.759999999998</v>
      </c>
      <c r="L1281" s="4">
        <v>4354</v>
      </c>
      <c r="M1281" s="4">
        <v>3.6518144235186033E-2</v>
      </c>
      <c r="N1281" t="s">
        <v>25</v>
      </c>
      <c r="O1281" t="str">
        <f t="shared" si="190"/>
        <v>Low</v>
      </c>
      <c r="P1281" t="str">
        <f t="shared" si="191"/>
        <v>Low</v>
      </c>
      <c r="Q1281" t="str">
        <f t="shared" si="192"/>
        <v>Low</v>
      </c>
      <c r="R1281" t="s">
        <v>3317</v>
      </c>
      <c r="S1281" s="4">
        <f t="shared" ca="1" si="193"/>
        <v>605</v>
      </c>
      <c r="T1281">
        <f t="shared" si="194"/>
        <v>1</v>
      </c>
      <c r="U1281">
        <f t="shared" si="195"/>
        <v>1</v>
      </c>
      <c r="V1281">
        <f t="shared" si="196"/>
        <v>1</v>
      </c>
      <c r="W1281">
        <f t="shared" si="197"/>
        <v>1</v>
      </c>
      <c r="X1281">
        <f t="shared" si="198"/>
        <v>0.99999999999999989</v>
      </c>
      <c r="Y1281" t="str">
        <f t="shared" si="199"/>
        <v>Healthy</v>
      </c>
    </row>
    <row r="1282" spans="1:25" x14ac:dyDescent="0.35">
      <c r="A1282" t="s">
        <v>90</v>
      </c>
      <c r="B1282" t="s">
        <v>91</v>
      </c>
      <c r="C1282" t="s">
        <v>155</v>
      </c>
      <c r="D1282" t="s">
        <v>1079</v>
      </c>
      <c r="E1282">
        <v>80887277</v>
      </c>
      <c r="F1282" t="s">
        <v>1080</v>
      </c>
      <c r="G1282" s="3">
        <v>46793</v>
      </c>
      <c r="H1282">
        <v>24</v>
      </c>
      <c r="I1282">
        <v>83</v>
      </c>
      <c r="J1282">
        <v>46</v>
      </c>
      <c r="K1282" s="4">
        <v>7757.44</v>
      </c>
      <c r="L1282" s="4">
        <v>4354</v>
      </c>
      <c r="M1282" s="4">
        <v>1.0564997703261369E-2</v>
      </c>
      <c r="N1282" t="s">
        <v>25</v>
      </c>
      <c r="O1282" t="str">
        <f t="shared" si="190"/>
        <v>Low</v>
      </c>
      <c r="P1282" t="str">
        <f t="shared" si="191"/>
        <v>Low</v>
      </c>
      <c r="Q1282" t="str">
        <f t="shared" si="192"/>
        <v>Low</v>
      </c>
      <c r="R1282" t="s">
        <v>3317</v>
      </c>
      <c r="S1282" s="4">
        <f t="shared" ca="1" si="193"/>
        <v>596</v>
      </c>
      <c r="T1282">
        <f t="shared" si="194"/>
        <v>1</v>
      </c>
      <c r="U1282">
        <f t="shared" si="195"/>
        <v>1</v>
      </c>
      <c r="V1282">
        <f t="shared" si="196"/>
        <v>1</v>
      </c>
      <c r="W1282">
        <f t="shared" si="197"/>
        <v>1</v>
      </c>
      <c r="X1282">
        <f t="shared" si="198"/>
        <v>0.99999999999999989</v>
      </c>
      <c r="Y1282" t="str">
        <f t="shared" si="199"/>
        <v>Healthy</v>
      </c>
    </row>
    <row r="1283" spans="1:25" x14ac:dyDescent="0.35">
      <c r="A1283" t="s">
        <v>41</v>
      </c>
      <c r="B1283" t="s">
        <v>54</v>
      </c>
      <c r="C1283" t="s">
        <v>293</v>
      </c>
      <c r="D1283" t="s">
        <v>1087</v>
      </c>
      <c r="E1283">
        <v>80875090</v>
      </c>
      <c r="F1283" t="s">
        <v>1088</v>
      </c>
      <c r="G1283" s="3">
        <v>46623</v>
      </c>
      <c r="H1283">
        <v>18</v>
      </c>
      <c r="I1283">
        <v>80</v>
      </c>
      <c r="J1283">
        <v>3060</v>
      </c>
      <c r="K1283" s="4">
        <v>88617.600000000006</v>
      </c>
      <c r="L1283" s="4">
        <v>14304.428571428571</v>
      </c>
      <c r="M1283" s="4">
        <v>0.21391976510770891</v>
      </c>
      <c r="N1283" t="s">
        <v>25</v>
      </c>
      <c r="O1283" t="str">
        <f t="shared" ref="O1283:O1346" si="200">IF(I1283&lt;20,"High",IF(I1283&lt;40,"Medium","Low"))</f>
        <v>Low</v>
      </c>
      <c r="P1283" t="str">
        <f t="shared" ref="P1283:P1346" si="201">IF(M1283&gt;8,"High",IF(M1283&gt;4,"Medium","Low"))</f>
        <v>Low</v>
      </c>
      <c r="Q1283" t="str">
        <f t="shared" ref="Q1283:Q1346" si="202">IF(L1283&lt;5,"High",IF(L1283&lt;15,"Medium","Low"))</f>
        <v>Low</v>
      </c>
      <c r="R1283" t="s">
        <v>3310</v>
      </c>
      <c r="S1283" s="4">
        <f t="shared" ref="S1283:S1346" ca="1" si="203">G1283-TODAY()</f>
        <v>426</v>
      </c>
      <c r="T1283">
        <f t="shared" ref="T1283:T1346" si="204">IF(O1283="High",3,IF(O1283="Medium",2,1))</f>
        <v>1</v>
      </c>
      <c r="U1283">
        <f t="shared" ref="U1283:U1346" si="205">IF(P1283="High",3,IF(P1283="Medium",2,1))</f>
        <v>1</v>
      </c>
      <c r="V1283">
        <f t="shared" ref="V1283:V1346" si="206">IF(Q1283="High",3,IF(Q1283="Medium",2,1))</f>
        <v>1</v>
      </c>
      <c r="W1283">
        <f t="shared" ref="W1283:W1346" si="207">IF(R1283="High",3,IF(R1283="Medium",2,1))</f>
        <v>2</v>
      </c>
      <c r="X1283">
        <f t="shared" ref="X1283:X1346" si="208">(0.4*T1283)+(0.3*U1283)+(0.2*V1283)+(0.1*W1283)</f>
        <v>1.0999999999999999</v>
      </c>
      <c r="Y1283" t="str">
        <f t="shared" ref="Y1283:Y1346" si="209">IF(X1283&gt;=2.7,"Move Immediately",IF(X1283&gt;=2.2,"High Priority",IF(X1283&gt;=1.7,"Monitor","Healthy")))</f>
        <v>Healthy</v>
      </c>
    </row>
    <row r="1284" spans="1:25" x14ac:dyDescent="0.35">
      <c r="A1284" t="s">
        <v>179</v>
      </c>
      <c r="B1284" t="s">
        <v>223</v>
      </c>
      <c r="C1284" t="s">
        <v>357</v>
      </c>
      <c r="D1284" t="s">
        <v>1089</v>
      </c>
      <c r="E1284">
        <v>80857299</v>
      </c>
      <c r="F1284" t="s">
        <v>1090</v>
      </c>
      <c r="G1284" s="3">
        <v>46368</v>
      </c>
      <c r="H1284">
        <v>18</v>
      </c>
      <c r="I1284">
        <v>33</v>
      </c>
      <c r="J1284">
        <v>5</v>
      </c>
      <c r="K1284" s="4">
        <v>3088.8</v>
      </c>
      <c r="L1284" s="4">
        <v>1.5714285714285714</v>
      </c>
      <c r="M1284" s="4">
        <v>3.1818181818181821</v>
      </c>
      <c r="N1284" t="s">
        <v>25</v>
      </c>
      <c r="O1284" t="str">
        <f t="shared" si="200"/>
        <v>Medium</v>
      </c>
      <c r="P1284" t="str">
        <f t="shared" si="201"/>
        <v>Low</v>
      </c>
      <c r="Q1284" t="str">
        <f t="shared" si="202"/>
        <v>High</v>
      </c>
      <c r="R1284" t="s">
        <v>3317</v>
      </c>
      <c r="S1284" s="4">
        <f t="shared" ca="1" si="203"/>
        <v>171</v>
      </c>
      <c r="T1284">
        <f t="shared" si="204"/>
        <v>2</v>
      </c>
      <c r="U1284">
        <f t="shared" si="205"/>
        <v>1</v>
      </c>
      <c r="V1284">
        <f t="shared" si="206"/>
        <v>3</v>
      </c>
      <c r="W1284">
        <f t="shared" si="207"/>
        <v>1</v>
      </c>
      <c r="X1284">
        <f t="shared" si="208"/>
        <v>1.8000000000000003</v>
      </c>
      <c r="Y1284" t="str">
        <f t="shared" si="209"/>
        <v>Monitor</v>
      </c>
    </row>
    <row r="1285" spans="1:25" x14ac:dyDescent="0.35">
      <c r="A1285" t="s">
        <v>14</v>
      </c>
      <c r="B1285" t="s">
        <v>267</v>
      </c>
      <c r="C1285" t="s">
        <v>1091</v>
      </c>
      <c r="D1285" t="s">
        <v>1092</v>
      </c>
      <c r="E1285">
        <v>80845410</v>
      </c>
      <c r="F1285" t="s">
        <v>1093</v>
      </c>
      <c r="G1285" s="3">
        <v>47970</v>
      </c>
      <c r="H1285">
        <v>60</v>
      </c>
      <c r="I1285">
        <v>99</v>
      </c>
      <c r="J1285">
        <v>2162</v>
      </c>
      <c r="K1285" s="4">
        <v>57595.68</v>
      </c>
      <c r="L1285" s="4">
        <v>30002.714285714286</v>
      </c>
      <c r="M1285" s="4">
        <v>7.2060146939086467E-2</v>
      </c>
      <c r="N1285" t="s">
        <v>25</v>
      </c>
      <c r="O1285" t="str">
        <f t="shared" si="200"/>
        <v>Low</v>
      </c>
      <c r="P1285" t="str">
        <f t="shared" si="201"/>
        <v>Low</v>
      </c>
      <c r="Q1285" t="str">
        <f t="shared" si="202"/>
        <v>Low</v>
      </c>
      <c r="R1285" t="s">
        <v>3317</v>
      </c>
      <c r="S1285" s="4">
        <f t="shared" ca="1" si="203"/>
        <v>1773</v>
      </c>
      <c r="T1285">
        <f t="shared" si="204"/>
        <v>1</v>
      </c>
      <c r="U1285">
        <f t="shared" si="205"/>
        <v>1</v>
      </c>
      <c r="V1285">
        <f t="shared" si="206"/>
        <v>1</v>
      </c>
      <c r="W1285">
        <f t="shared" si="207"/>
        <v>1</v>
      </c>
      <c r="X1285">
        <f t="shared" si="208"/>
        <v>0.99999999999999989</v>
      </c>
      <c r="Y1285" t="str">
        <f t="shared" si="209"/>
        <v>Healthy</v>
      </c>
    </row>
    <row r="1286" spans="1:25" x14ac:dyDescent="0.35">
      <c r="A1286" t="s">
        <v>41</v>
      </c>
      <c r="B1286" t="s">
        <v>54</v>
      </c>
      <c r="C1286" t="s">
        <v>293</v>
      </c>
      <c r="D1286" t="s">
        <v>1087</v>
      </c>
      <c r="E1286">
        <v>80875090</v>
      </c>
      <c r="F1286" t="s">
        <v>1088</v>
      </c>
      <c r="G1286" s="3">
        <v>46618</v>
      </c>
      <c r="H1286">
        <v>18</v>
      </c>
      <c r="I1286">
        <v>79</v>
      </c>
      <c r="J1286">
        <v>27152</v>
      </c>
      <c r="K1286" s="4">
        <v>786321.92000000004</v>
      </c>
      <c r="L1286" s="4">
        <v>14304.428571428571</v>
      </c>
      <c r="M1286" s="4">
        <v>1.8981534190210825</v>
      </c>
      <c r="N1286" t="s">
        <v>25</v>
      </c>
      <c r="O1286" t="str">
        <f t="shared" si="200"/>
        <v>Low</v>
      </c>
      <c r="P1286" t="str">
        <f t="shared" si="201"/>
        <v>Low</v>
      </c>
      <c r="Q1286" t="str">
        <f t="shared" si="202"/>
        <v>Low</v>
      </c>
      <c r="R1286" t="s">
        <v>3309</v>
      </c>
      <c r="S1286" s="4">
        <f t="shared" ca="1" si="203"/>
        <v>421</v>
      </c>
      <c r="T1286">
        <f t="shared" si="204"/>
        <v>1</v>
      </c>
      <c r="U1286">
        <f t="shared" si="205"/>
        <v>1</v>
      </c>
      <c r="V1286">
        <f t="shared" si="206"/>
        <v>1</v>
      </c>
      <c r="W1286">
        <f t="shared" si="207"/>
        <v>3</v>
      </c>
      <c r="X1286">
        <f t="shared" si="208"/>
        <v>1.2</v>
      </c>
      <c r="Y1286" t="str">
        <f t="shared" si="209"/>
        <v>Healthy</v>
      </c>
    </row>
    <row r="1287" spans="1:25" x14ac:dyDescent="0.35">
      <c r="A1287" t="s">
        <v>41</v>
      </c>
      <c r="B1287" t="s">
        <v>54</v>
      </c>
      <c r="C1287" t="s">
        <v>293</v>
      </c>
      <c r="D1287" t="s">
        <v>1087</v>
      </c>
      <c r="E1287">
        <v>80875090</v>
      </c>
      <c r="F1287" t="s">
        <v>1088</v>
      </c>
      <c r="G1287" s="3">
        <v>46638</v>
      </c>
      <c r="H1287">
        <v>18</v>
      </c>
      <c r="I1287">
        <v>83</v>
      </c>
      <c r="J1287">
        <v>300</v>
      </c>
      <c r="K1287" s="4">
        <v>8688</v>
      </c>
      <c r="L1287" s="4">
        <v>14304.428571428571</v>
      </c>
      <c r="M1287" s="4">
        <v>2.0972525990951854E-2</v>
      </c>
      <c r="N1287" t="s">
        <v>25</v>
      </c>
      <c r="O1287" t="str">
        <f t="shared" si="200"/>
        <v>Low</v>
      </c>
      <c r="P1287" t="str">
        <f t="shared" si="201"/>
        <v>Low</v>
      </c>
      <c r="Q1287" t="str">
        <f t="shared" si="202"/>
        <v>Low</v>
      </c>
      <c r="R1287" t="s">
        <v>3317</v>
      </c>
      <c r="S1287" s="4">
        <f t="shared" ca="1" si="203"/>
        <v>441</v>
      </c>
      <c r="T1287">
        <f t="shared" si="204"/>
        <v>1</v>
      </c>
      <c r="U1287">
        <f t="shared" si="205"/>
        <v>1</v>
      </c>
      <c r="V1287">
        <f t="shared" si="206"/>
        <v>1</v>
      </c>
      <c r="W1287">
        <f t="shared" si="207"/>
        <v>1</v>
      </c>
      <c r="X1287">
        <f t="shared" si="208"/>
        <v>0.99999999999999989</v>
      </c>
      <c r="Y1287" t="str">
        <f t="shared" si="209"/>
        <v>Healthy</v>
      </c>
    </row>
    <row r="1288" spans="1:25" x14ac:dyDescent="0.35">
      <c r="A1288" t="s">
        <v>41</v>
      </c>
      <c r="B1288" t="s">
        <v>54</v>
      </c>
      <c r="C1288" t="s">
        <v>293</v>
      </c>
      <c r="D1288" t="s">
        <v>1087</v>
      </c>
      <c r="E1288">
        <v>80875090</v>
      </c>
      <c r="F1288" t="s">
        <v>1088</v>
      </c>
      <c r="G1288" s="3">
        <v>46598</v>
      </c>
      <c r="H1288">
        <v>18</v>
      </c>
      <c r="I1288">
        <v>75</v>
      </c>
      <c r="J1288">
        <v>27220</v>
      </c>
      <c r="K1288" s="4">
        <v>788291.2</v>
      </c>
      <c r="L1288" s="4">
        <v>14304.428571428571</v>
      </c>
      <c r="M1288" s="4">
        <v>1.9029071915790317</v>
      </c>
      <c r="N1288" t="s">
        <v>25</v>
      </c>
      <c r="O1288" t="str">
        <f t="shared" si="200"/>
        <v>Low</v>
      </c>
      <c r="P1288" t="str">
        <f t="shared" si="201"/>
        <v>Low</v>
      </c>
      <c r="Q1288" t="str">
        <f t="shared" si="202"/>
        <v>Low</v>
      </c>
      <c r="R1288" t="s">
        <v>3309</v>
      </c>
      <c r="S1288" s="4">
        <f t="shared" ca="1" si="203"/>
        <v>401</v>
      </c>
      <c r="T1288">
        <f t="shared" si="204"/>
        <v>1</v>
      </c>
      <c r="U1288">
        <f t="shared" si="205"/>
        <v>1</v>
      </c>
      <c r="V1288">
        <f t="shared" si="206"/>
        <v>1</v>
      </c>
      <c r="W1288">
        <f t="shared" si="207"/>
        <v>3</v>
      </c>
      <c r="X1288">
        <f t="shared" si="208"/>
        <v>1.2</v>
      </c>
      <c r="Y1288" t="str">
        <f t="shared" si="209"/>
        <v>Healthy</v>
      </c>
    </row>
    <row r="1289" spans="1:25" x14ac:dyDescent="0.35">
      <c r="A1289" t="s">
        <v>179</v>
      </c>
      <c r="B1289" t="s">
        <v>180</v>
      </c>
      <c r="C1289" t="s">
        <v>181</v>
      </c>
      <c r="D1289" t="s">
        <v>1094</v>
      </c>
      <c r="E1289">
        <v>80857528</v>
      </c>
      <c r="F1289" t="s">
        <v>1095</v>
      </c>
      <c r="G1289" s="3">
        <v>46348</v>
      </c>
      <c r="H1289">
        <v>16</v>
      </c>
      <c r="I1289">
        <v>33</v>
      </c>
      <c r="J1289">
        <v>8</v>
      </c>
      <c r="K1289" s="4">
        <v>8241.52</v>
      </c>
      <c r="L1289" s="4">
        <f>0</f>
        <v>0</v>
      </c>
      <c r="M1289" s="4">
        <f>999</f>
        <v>999</v>
      </c>
      <c r="N1289" t="s">
        <v>19</v>
      </c>
      <c r="O1289" t="str">
        <f t="shared" si="200"/>
        <v>Medium</v>
      </c>
      <c r="P1289" t="str">
        <f t="shared" si="201"/>
        <v>High</v>
      </c>
      <c r="Q1289" t="str">
        <f t="shared" si="202"/>
        <v>High</v>
      </c>
      <c r="R1289" t="s">
        <v>3317</v>
      </c>
      <c r="S1289" s="4">
        <f t="shared" ca="1" si="203"/>
        <v>151</v>
      </c>
      <c r="T1289">
        <f t="shared" si="204"/>
        <v>2</v>
      </c>
      <c r="U1289">
        <f t="shared" si="205"/>
        <v>3</v>
      </c>
      <c r="V1289">
        <f t="shared" si="206"/>
        <v>3</v>
      </c>
      <c r="W1289">
        <f t="shared" si="207"/>
        <v>1</v>
      </c>
      <c r="X1289">
        <f t="shared" si="208"/>
        <v>2.4</v>
      </c>
      <c r="Y1289" t="str">
        <f t="shared" si="209"/>
        <v>High Priority</v>
      </c>
    </row>
    <row r="1290" spans="1:25" x14ac:dyDescent="0.35">
      <c r="A1290" t="s">
        <v>41</v>
      </c>
      <c r="B1290" t="s">
        <v>42</v>
      </c>
      <c r="C1290" t="s">
        <v>365</v>
      </c>
      <c r="D1290" t="s">
        <v>378</v>
      </c>
      <c r="E1290">
        <v>80851946</v>
      </c>
      <c r="F1290" t="s">
        <v>1096</v>
      </c>
      <c r="G1290" s="3">
        <v>47007</v>
      </c>
      <c r="H1290">
        <v>36</v>
      </c>
      <c r="I1290">
        <v>75</v>
      </c>
      <c r="J1290">
        <v>6</v>
      </c>
      <c r="K1290" s="4">
        <v>1099.6199999999999</v>
      </c>
      <c r="L1290" s="4">
        <v>238.71428571428572</v>
      </c>
      <c r="M1290" s="4">
        <v>2.5134649910233391E-2</v>
      </c>
      <c r="N1290" t="s">
        <v>25</v>
      </c>
      <c r="O1290" t="str">
        <f t="shared" si="200"/>
        <v>Low</v>
      </c>
      <c r="P1290" t="str">
        <f t="shared" si="201"/>
        <v>Low</v>
      </c>
      <c r="Q1290" t="str">
        <f t="shared" si="202"/>
        <v>Low</v>
      </c>
      <c r="R1290" t="s">
        <v>3317</v>
      </c>
      <c r="S1290" s="4">
        <f t="shared" ca="1" si="203"/>
        <v>810</v>
      </c>
      <c r="T1290">
        <f t="shared" si="204"/>
        <v>1</v>
      </c>
      <c r="U1290">
        <f t="shared" si="205"/>
        <v>1</v>
      </c>
      <c r="V1290">
        <f t="shared" si="206"/>
        <v>1</v>
      </c>
      <c r="W1290">
        <f t="shared" si="207"/>
        <v>1</v>
      </c>
      <c r="X1290">
        <f t="shared" si="208"/>
        <v>0.99999999999999989</v>
      </c>
      <c r="Y1290" t="str">
        <f t="shared" si="209"/>
        <v>Healthy</v>
      </c>
    </row>
    <row r="1291" spans="1:25" x14ac:dyDescent="0.35">
      <c r="A1291" t="s">
        <v>41</v>
      </c>
      <c r="B1291" t="s">
        <v>54</v>
      </c>
      <c r="C1291" t="s">
        <v>55</v>
      </c>
      <c r="D1291" t="s">
        <v>445</v>
      </c>
      <c r="E1291">
        <v>80875127</v>
      </c>
      <c r="F1291" t="s">
        <v>1097</v>
      </c>
      <c r="G1291" s="3">
        <v>46971</v>
      </c>
      <c r="H1291">
        <v>36</v>
      </c>
      <c r="I1291">
        <v>72</v>
      </c>
      <c r="J1291">
        <v>4</v>
      </c>
      <c r="K1291" s="4">
        <v>4524.6400000000003</v>
      </c>
      <c r="L1291" s="4">
        <v>265.71428571428572</v>
      </c>
      <c r="M1291" s="4">
        <v>1.5053763440860214E-2</v>
      </c>
      <c r="N1291" t="s">
        <v>25</v>
      </c>
      <c r="O1291" t="str">
        <f t="shared" si="200"/>
        <v>Low</v>
      </c>
      <c r="P1291" t="str">
        <f t="shared" si="201"/>
        <v>Low</v>
      </c>
      <c r="Q1291" t="str">
        <f t="shared" si="202"/>
        <v>Low</v>
      </c>
      <c r="R1291" t="s">
        <v>3317</v>
      </c>
      <c r="S1291" s="4">
        <f t="shared" ca="1" si="203"/>
        <v>774</v>
      </c>
      <c r="T1291">
        <f t="shared" si="204"/>
        <v>1</v>
      </c>
      <c r="U1291">
        <f t="shared" si="205"/>
        <v>1</v>
      </c>
      <c r="V1291">
        <f t="shared" si="206"/>
        <v>1</v>
      </c>
      <c r="W1291">
        <f t="shared" si="207"/>
        <v>1</v>
      </c>
      <c r="X1291">
        <f t="shared" si="208"/>
        <v>0.99999999999999989</v>
      </c>
      <c r="Y1291" t="str">
        <f t="shared" si="209"/>
        <v>Healthy</v>
      </c>
    </row>
    <row r="1292" spans="1:25" x14ac:dyDescent="0.35">
      <c r="A1292" t="s">
        <v>189</v>
      </c>
      <c r="B1292" t="s">
        <v>539</v>
      </c>
      <c r="C1292" t="s">
        <v>539</v>
      </c>
      <c r="D1292" t="s">
        <v>1098</v>
      </c>
      <c r="E1292">
        <v>80862579</v>
      </c>
      <c r="F1292" t="s">
        <v>1099</v>
      </c>
      <c r="G1292" s="3">
        <v>46786</v>
      </c>
      <c r="H1292">
        <v>24</v>
      </c>
      <c r="I1292">
        <v>83</v>
      </c>
      <c r="J1292">
        <v>67</v>
      </c>
      <c r="K1292" s="4">
        <v>79003.05</v>
      </c>
      <c r="L1292" s="4">
        <v>1542.8571428571429</v>
      </c>
      <c r="M1292" s="4">
        <v>4.3425925925925923E-2</v>
      </c>
      <c r="N1292" t="s">
        <v>25</v>
      </c>
      <c r="O1292" t="str">
        <f t="shared" si="200"/>
        <v>Low</v>
      </c>
      <c r="P1292" t="str">
        <f t="shared" si="201"/>
        <v>Low</v>
      </c>
      <c r="Q1292" t="str">
        <f t="shared" si="202"/>
        <v>Low</v>
      </c>
      <c r="R1292" t="s">
        <v>3310</v>
      </c>
      <c r="S1292" s="4">
        <f t="shared" ca="1" si="203"/>
        <v>589</v>
      </c>
      <c r="T1292">
        <f t="shared" si="204"/>
        <v>1</v>
      </c>
      <c r="U1292">
        <f t="shared" si="205"/>
        <v>1</v>
      </c>
      <c r="V1292">
        <f t="shared" si="206"/>
        <v>1</v>
      </c>
      <c r="W1292">
        <f t="shared" si="207"/>
        <v>2</v>
      </c>
      <c r="X1292">
        <f t="shared" si="208"/>
        <v>1.0999999999999999</v>
      </c>
      <c r="Y1292" t="str">
        <f t="shared" si="209"/>
        <v>Healthy</v>
      </c>
    </row>
    <row r="1293" spans="1:25" x14ac:dyDescent="0.35">
      <c r="A1293" t="s">
        <v>189</v>
      </c>
      <c r="B1293" t="s">
        <v>539</v>
      </c>
      <c r="C1293" t="s">
        <v>539</v>
      </c>
      <c r="D1293" t="s">
        <v>1098</v>
      </c>
      <c r="E1293">
        <v>80862579</v>
      </c>
      <c r="F1293" t="s">
        <v>1099</v>
      </c>
      <c r="G1293" s="3">
        <v>46769</v>
      </c>
      <c r="H1293">
        <v>24</v>
      </c>
      <c r="I1293">
        <v>80</v>
      </c>
      <c r="J1293">
        <v>38</v>
      </c>
      <c r="K1293" s="4">
        <v>44807.7</v>
      </c>
      <c r="L1293" s="4">
        <v>1542.8571428571429</v>
      </c>
      <c r="M1293" s="4">
        <v>2.462962962962963E-2</v>
      </c>
      <c r="N1293" t="s">
        <v>25</v>
      </c>
      <c r="O1293" t="str">
        <f t="shared" si="200"/>
        <v>Low</v>
      </c>
      <c r="P1293" t="str">
        <f t="shared" si="201"/>
        <v>Low</v>
      </c>
      <c r="Q1293" t="str">
        <f t="shared" si="202"/>
        <v>Low</v>
      </c>
      <c r="R1293" t="s">
        <v>3317</v>
      </c>
      <c r="S1293" s="4">
        <f t="shared" ca="1" si="203"/>
        <v>572</v>
      </c>
      <c r="T1293">
        <f t="shared" si="204"/>
        <v>1</v>
      </c>
      <c r="U1293">
        <f t="shared" si="205"/>
        <v>1</v>
      </c>
      <c r="V1293">
        <f t="shared" si="206"/>
        <v>1</v>
      </c>
      <c r="W1293">
        <f t="shared" si="207"/>
        <v>1</v>
      </c>
      <c r="X1293">
        <f t="shared" si="208"/>
        <v>0.99999999999999989</v>
      </c>
      <c r="Y1293" t="str">
        <f t="shared" si="209"/>
        <v>Healthy</v>
      </c>
    </row>
    <row r="1294" spans="1:25" x14ac:dyDescent="0.35">
      <c r="A1294" t="s">
        <v>179</v>
      </c>
      <c r="B1294" t="s">
        <v>223</v>
      </c>
      <c r="C1294" t="s">
        <v>224</v>
      </c>
      <c r="D1294" t="s">
        <v>712</v>
      </c>
      <c r="E1294">
        <v>83905912</v>
      </c>
      <c r="F1294" t="s">
        <v>1100</v>
      </c>
      <c r="G1294" s="3">
        <v>46643</v>
      </c>
      <c r="H1294">
        <v>18</v>
      </c>
      <c r="I1294">
        <v>84</v>
      </c>
      <c r="J1294">
        <v>91</v>
      </c>
      <c r="K1294" s="4">
        <v>7280</v>
      </c>
      <c r="L1294" s="4">
        <v>20823.857142857141</v>
      </c>
      <c r="M1294" s="4">
        <v>4.3699877201286985E-3</v>
      </c>
      <c r="N1294" t="s">
        <v>25</v>
      </c>
      <c r="O1294" t="str">
        <f t="shared" si="200"/>
        <v>Low</v>
      </c>
      <c r="P1294" t="str">
        <f t="shared" si="201"/>
        <v>Low</v>
      </c>
      <c r="Q1294" t="str">
        <f t="shared" si="202"/>
        <v>Low</v>
      </c>
      <c r="R1294" t="s">
        <v>3317</v>
      </c>
      <c r="S1294" s="4">
        <f t="shared" ca="1" si="203"/>
        <v>446</v>
      </c>
      <c r="T1294">
        <f t="shared" si="204"/>
        <v>1</v>
      </c>
      <c r="U1294">
        <f t="shared" si="205"/>
        <v>1</v>
      </c>
      <c r="V1294">
        <f t="shared" si="206"/>
        <v>1</v>
      </c>
      <c r="W1294">
        <f t="shared" si="207"/>
        <v>1</v>
      </c>
      <c r="X1294">
        <f t="shared" si="208"/>
        <v>0.99999999999999989</v>
      </c>
      <c r="Y1294" t="str">
        <f t="shared" si="209"/>
        <v>Healthy</v>
      </c>
    </row>
    <row r="1295" spans="1:25" x14ac:dyDescent="0.35">
      <c r="A1295" t="s">
        <v>189</v>
      </c>
      <c r="B1295" t="s">
        <v>539</v>
      </c>
      <c r="C1295" t="s">
        <v>539</v>
      </c>
      <c r="D1295" t="s">
        <v>1098</v>
      </c>
      <c r="E1295">
        <v>80862579</v>
      </c>
      <c r="F1295" t="s">
        <v>1099</v>
      </c>
      <c r="G1295" s="3">
        <v>46767</v>
      </c>
      <c r="H1295">
        <v>24</v>
      </c>
      <c r="I1295">
        <v>80</v>
      </c>
      <c r="J1295">
        <v>44</v>
      </c>
      <c r="K1295" s="4">
        <v>51882.6</v>
      </c>
      <c r="L1295" s="4">
        <v>1542.8571428571429</v>
      </c>
      <c r="M1295" s="4">
        <v>2.8518518518518519E-2</v>
      </c>
      <c r="N1295" t="s">
        <v>25</v>
      </c>
      <c r="O1295" t="str">
        <f t="shared" si="200"/>
        <v>Low</v>
      </c>
      <c r="P1295" t="str">
        <f t="shared" si="201"/>
        <v>Low</v>
      </c>
      <c r="Q1295" t="str">
        <f t="shared" si="202"/>
        <v>Low</v>
      </c>
      <c r="R1295" t="s">
        <v>3317</v>
      </c>
      <c r="S1295" s="4">
        <f t="shared" ca="1" si="203"/>
        <v>570</v>
      </c>
      <c r="T1295">
        <f t="shared" si="204"/>
        <v>1</v>
      </c>
      <c r="U1295">
        <f t="shared" si="205"/>
        <v>1</v>
      </c>
      <c r="V1295">
        <f t="shared" si="206"/>
        <v>1</v>
      </c>
      <c r="W1295">
        <f t="shared" si="207"/>
        <v>1</v>
      </c>
      <c r="X1295">
        <f t="shared" si="208"/>
        <v>0.99999999999999989</v>
      </c>
      <c r="Y1295" t="str">
        <f t="shared" si="209"/>
        <v>Healthy</v>
      </c>
    </row>
    <row r="1296" spans="1:25" x14ac:dyDescent="0.35">
      <c r="A1296" t="s">
        <v>179</v>
      </c>
      <c r="B1296" t="s">
        <v>223</v>
      </c>
      <c r="C1296" t="s">
        <v>224</v>
      </c>
      <c r="D1296" t="s">
        <v>712</v>
      </c>
      <c r="E1296">
        <v>83905912</v>
      </c>
      <c r="F1296" t="s">
        <v>1100</v>
      </c>
      <c r="G1296" s="3">
        <v>46645</v>
      </c>
      <c r="H1296">
        <v>18</v>
      </c>
      <c r="I1296">
        <v>84</v>
      </c>
      <c r="J1296">
        <v>144</v>
      </c>
      <c r="K1296" s="4">
        <v>11520</v>
      </c>
      <c r="L1296" s="4">
        <v>20823.857142857141</v>
      </c>
      <c r="M1296" s="4">
        <v>6.9151454032805783E-3</v>
      </c>
      <c r="N1296" t="s">
        <v>25</v>
      </c>
      <c r="O1296" t="str">
        <f t="shared" si="200"/>
        <v>Low</v>
      </c>
      <c r="P1296" t="str">
        <f t="shared" si="201"/>
        <v>Low</v>
      </c>
      <c r="Q1296" t="str">
        <f t="shared" si="202"/>
        <v>Low</v>
      </c>
      <c r="R1296" t="s">
        <v>3317</v>
      </c>
      <c r="S1296" s="4">
        <f t="shared" ca="1" si="203"/>
        <v>448</v>
      </c>
      <c r="T1296">
        <f t="shared" si="204"/>
        <v>1</v>
      </c>
      <c r="U1296">
        <f t="shared" si="205"/>
        <v>1</v>
      </c>
      <c r="V1296">
        <f t="shared" si="206"/>
        <v>1</v>
      </c>
      <c r="W1296">
        <f t="shared" si="207"/>
        <v>1</v>
      </c>
      <c r="X1296">
        <f t="shared" si="208"/>
        <v>0.99999999999999989</v>
      </c>
      <c r="Y1296" t="str">
        <f t="shared" si="209"/>
        <v>Healthy</v>
      </c>
    </row>
    <row r="1297" spans="1:25" x14ac:dyDescent="0.35">
      <c r="A1297" t="s">
        <v>179</v>
      </c>
      <c r="B1297" t="s">
        <v>223</v>
      </c>
      <c r="C1297" t="s">
        <v>224</v>
      </c>
      <c r="D1297" t="s">
        <v>712</v>
      </c>
      <c r="E1297">
        <v>83905912</v>
      </c>
      <c r="F1297" t="s">
        <v>1100</v>
      </c>
      <c r="G1297" s="3">
        <v>46650</v>
      </c>
      <c r="H1297">
        <v>18</v>
      </c>
      <c r="I1297">
        <v>85</v>
      </c>
      <c r="J1297">
        <v>72</v>
      </c>
      <c r="K1297" s="4">
        <v>5760</v>
      </c>
      <c r="L1297" s="4">
        <v>20823.857142857141</v>
      </c>
      <c r="M1297" s="4">
        <v>3.4575727016402892E-3</v>
      </c>
      <c r="N1297" t="s">
        <v>25</v>
      </c>
      <c r="O1297" t="str">
        <f t="shared" si="200"/>
        <v>Low</v>
      </c>
      <c r="P1297" t="str">
        <f t="shared" si="201"/>
        <v>Low</v>
      </c>
      <c r="Q1297" t="str">
        <f t="shared" si="202"/>
        <v>Low</v>
      </c>
      <c r="R1297" t="s">
        <v>3317</v>
      </c>
      <c r="S1297" s="4">
        <f t="shared" ca="1" si="203"/>
        <v>453</v>
      </c>
      <c r="T1297">
        <f t="shared" si="204"/>
        <v>1</v>
      </c>
      <c r="U1297">
        <f t="shared" si="205"/>
        <v>1</v>
      </c>
      <c r="V1297">
        <f t="shared" si="206"/>
        <v>1</v>
      </c>
      <c r="W1297">
        <f t="shared" si="207"/>
        <v>1</v>
      </c>
      <c r="X1297">
        <f t="shared" si="208"/>
        <v>0.99999999999999989</v>
      </c>
      <c r="Y1297" t="str">
        <f t="shared" si="209"/>
        <v>Healthy</v>
      </c>
    </row>
    <row r="1298" spans="1:25" x14ac:dyDescent="0.35">
      <c r="A1298" t="s">
        <v>189</v>
      </c>
      <c r="B1298" t="s">
        <v>539</v>
      </c>
      <c r="C1298" t="s">
        <v>539</v>
      </c>
      <c r="D1298" t="s">
        <v>1098</v>
      </c>
      <c r="E1298">
        <v>80862579</v>
      </c>
      <c r="F1298" t="s">
        <v>1099</v>
      </c>
      <c r="G1298" s="3">
        <v>46773</v>
      </c>
      <c r="H1298">
        <v>24</v>
      </c>
      <c r="I1298">
        <v>81</v>
      </c>
      <c r="J1298">
        <v>69</v>
      </c>
      <c r="K1298" s="4">
        <v>81361.350000000006</v>
      </c>
      <c r="L1298" s="4">
        <v>1542.8571428571429</v>
      </c>
      <c r="M1298" s="4">
        <v>4.4722222222222219E-2</v>
      </c>
      <c r="N1298" t="s">
        <v>25</v>
      </c>
      <c r="O1298" t="str">
        <f t="shared" si="200"/>
        <v>Low</v>
      </c>
      <c r="P1298" t="str">
        <f t="shared" si="201"/>
        <v>Low</v>
      </c>
      <c r="Q1298" t="str">
        <f t="shared" si="202"/>
        <v>Low</v>
      </c>
      <c r="R1298" t="s">
        <v>3310</v>
      </c>
      <c r="S1298" s="4">
        <f t="shared" ca="1" si="203"/>
        <v>576</v>
      </c>
      <c r="T1298">
        <f t="shared" si="204"/>
        <v>1</v>
      </c>
      <c r="U1298">
        <f t="shared" si="205"/>
        <v>1</v>
      </c>
      <c r="V1298">
        <f t="shared" si="206"/>
        <v>1</v>
      </c>
      <c r="W1298">
        <f t="shared" si="207"/>
        <v>2</v>
      </c>
      <c r="X1298">
        <f t="shared" si="208"/>
        <v>1.0999999999999999</v>
      </c>
      <c r="Y1298" t="str">
        <f t="shared" si="209"/>
        <v>Healthy</v>
      </c>
    </row>
    <row r="1299" spans="1:25" x14ac:dyDescent="0.35">
      <c r="A1299" t="s">
        <v>71</v>
      </c>
      <c r="B1299" t="s">
        <v>72</v>
      </c>
      <c r="C1299" t="s">
        <v>386</v>
      </c>
      <c r="D1299" t="s">
        <v>1101</v>
      </c>
      <c r="E1299">
        <v>80866566</v>
      </c>
      <c r="F1299" t="s">
        <v>1102</v>
      </c>
      <c r="G1299" s="3">
        <v>47010</v>
      </c>
      <c r="H1299">
        <v>36</v>
      </c>
      <c r="I1299">
        <v>76</v>
      </c>
      <c r="J1299">
        <v>200</v>
      </c>
      <c r="K1299" s="4">
        <v>14880</v>
      </c>
      <c r="L1299" s="4">
        <v>459.42857142857144</v>
      </c>
      <c r="M1299" s="4">
        <v>0.43532338308457708</v>
      </c>
      <c r="N1299" t="s">
        <v>25</v>
      </c>
      <c r="O1299" t="str">
        <f t="shared" si="200"/>
        <v>Low</v>
      </c>
      <c r="P1299" t="str">
        <f t="shared" si="201"/>
        <v>Low</v>
      </c>
      <c r="Q1299" t="str">
        <f t="shared" si="202"/>
        <v>Low</v>
      </c>
      <c r="R1299" t="s">
        <v>3317</v>
      </c>
      <c r="S1299" s="4">
        <f t="shared" ca="1" si="203"/>
        <v>813</v>
      </c>
      <c r="T1299">
        <f t="shared" si="204"/>
        <v>1</v>
      </c>
      <c r="U1299">
        <f t="shared" si="205"/>
        <v>1</v>
      </c>
      <c r="V1299">
        <f t="shared" si="206"/>
        <v>1</v>
      </c>
      <c r="W1299">
        <f t="shared" si="207"/>
        <v>1</v>
      </c>
      <c r="X1299">
        <f t="shared" si="208"/>
        <v>0.99999999999999989</v>
      </c>
      <c r="Y1299" t="str">
        <f t="shared" si="209"/>
        <v>Healthy</v>
      </c>
    </row>
    <row r="1300" spans="1:25" x14ac:dyDescent="0.35">
      <c r="A1300" t="s">
        <v>71</v>
      </c>
      <c r="B1300" t="s">
        <v>72</v>
      </c>
      <c r="C1300" t="s">
        <v>386</v>
      </c>
      <c r="D1300" t="s">
        <v>595</v>
      </c>
      <c r="E1300">
        <v>80867145</v>
      </c>
      <c r="F1300" t="s">
        <v>1103</v>
      </c>
      <c r="G1300" s="3">
        <v>46973</v>
      </c>
      <c r="H1300">
        <v>36</v>
      </c>
      <c r="I1300">
        <v>72</v>
      </c>
      <c r="J1300">
        <v>1</v>
      </c>
      <c r="K1300" s="4">
        <v>279.99</v>
      </c>
      <c r="L1300" s="4">
        <v>314</v>
      </c>
      <c r="M1300" s="4">
        <v>3.1847133757961785E-3</v>
      </c>
      <c r="N1300" t="s">
        <v>25</v>
      </c>
      <c r="O1300" t="str">
        <f t="shared" si="200"/>
        <v>Low</v>
      </c>
      <c r="P1300" t="str">
        <f t="shared" si="201"/>
        <v>Low</v>
      </c>
      <c r="Q1300" t="str">
        <f t="shared" si="202"/>
        <v>Low</v>
      </c>
      <c r="R1300" t="s">
        <v>3317</v>
      </c>
      <c r="S1300" s="4">
        <f t="shared" ca="1" si="203"/>
        <v>776</v>
      </c>
      <c r="T1300">
        <f t="shared" si="204"/>
        <v>1</v>
      </c>
      <c r="U1300">
        <f t="shared" si="205"/>
        <v>1</v>
      </c>
      <c r="V1300">
        <f t="shared" si="206"/>
        <v>1</v>
      </c>
      <c r="W1300">
        <f t="shared" si="207"/>
        <v>1</v>
      </c>
      <c r="X1300">
        <f t="shared" si="208"/>
        <v>0.99999999999999989</v>
      </c>
      <c r="Y1300" t="str">
        <f t="shared" si="209"/>
        <v>Healthy</v>
      </c>
    </row>
    <row r="1301" spans="1:25" x14ac:dyDescent="0.35">
      <c r="A1301" t="s">
        <v>90</v>
      </c>
      <c r="B1301" t="s">
        <v>91</v>
      </c>
      <c r="C1301" t="s">
        <v>255</v>
      </c>
      <c r="D1301" t="s">
        <v>1104</v>
      </c>
      <c r="E1301">
        <v>80870355</v>
      </c>
      <c r="F1301" t="s">
        <v>1105</v>
      </c>
      <c r="G1301" s="3">
        <v>46855</v>
      </c>
      <c r="H1301">
        <v>24</v>
      </c>
      <c r="I1301">
        <v>92</v>
      </c>
      <c r="J1301">
        <v>104</v>
      </c>
      <c r="K1301" s="4">
        <v>7679.36</v>
      </c>
      <c r="L1301" s="4">
        <v>2367.7142857142858</v>
      </c>
      <c r="M1301" s="4">
        <v>4.3924218655725836E-2</v>
      </c>
      <c r="N1301" t="s">
        <v>25</v>
      </c>
      <c r="O1301" t="str">
        <f t="shared" si="200"/>
        <v>Low</v>
      </c>
      <c r="P1301" t="str">
        <f t="shared" si="201"/>
        <v>Low</v>
      </c>
      <c r="Q1301" t="str">
        <f t="shared" si="202"/>
        <v>Low</v>
      </c>
      <c r="R1301" t="s">
        <v>3317</v>
      </c>
      <c r="S1301" s="4">
        <f t="shared" ca="1" si="203"/>
        <v>658</v>
      </c>
      <c r="T1301">
        <f t="shared" si="204"/>
        <v>1</v>
      </c>
      <c r="U1301">
        <f t="shared" si="205"/>
        <v>1</v>
      </c>
      <c r="V1301">
        <f t="shared" si="206"/>
        <v>1</v>
      </c>
      <c r="W1301">
        <f t="shared" si="207"/>
        <v>1</v>
      </c>
      <c r="X1301">
        <f t="shared" si="208"/>
        <v>0.99999999999999989</v>
      </c>
      <c r="Y1301" t="str">
        <f t="shared" si="209"/>
        <v>Healthy</v>
      </c>
    </row>
    <row r="1302" spans="1:25" x14ac:dyDescent="0.35">
      <c r="A1302" t="s">
        <v>179</v>
      </c>
      <c r="B1302" t="s">
        <v>223</v>
      </c>
      <c r="C1302" t="s">
        <v>224</v>
      </c>
      <c r="D1302" t="s">
        <v>712</v>
      </c>
      <c r="E1302">
        <v>83905912</v>
      </c>
      <c r="F1302" t="s">
        <v>1100</v>
      </c>
      <c r="G1302" s="3">
        <v>46649</v>
      </c>
      <c r="H1302">
        <v>18</v>
      </c>
      <c r="I1302">
        <v>85</v>
      </c>
      <c r="J1302">
        <v>100</v>
      </c>
      <c r="K1302" s="4">
        <v>8000</v>
      </c>
      <c r="L1302" s="4">
        <v>20823.857142857141</v>
      </c>
      <c r="M1302" s="4">
        <v>4.8021843078337352E-3</v>
      </c>
      <c r="N1302" t="s">
        <v>25</v>
      </c>
      <c r="O1302" t="str">
        <f t="shared" si="200"/>
        <v>Low</v>
      </c>
      <c r="P1302" t="str">
        <f t="shared" si="201"/>
        <v>Low</v>
      </c>
      <c r="Q1302" t="str">
        <f t="shared" si="202"/>
        <v>Low</v>
      </c>
      <c r="R1302" t="s">
        <v>3317</v>
      </c>
      <c r="S1302" s="4">
        <f t="shared" ca="1" si="203"/>
        <v>452</v>
      </c>
      <c r="T1302">
        <f t="shared" si="204"/>
        <v>1</v>
      </c>
      <c r="U1302">
        <f t="shared" si="205"/>
        <v>1</v>
      </c>
      <c r="V1302">
        <f t="shared" si="206"/>
        <v>1</v>
      </c>
      <c r="W1302">
        <f t="shared" si="207"/>
        <v>1</v>
      </c>
      <c r="X1302">
        <f t="shared" si="208"/>
        <v>0.99999999999999989</v>
      </c>
      <c r="Y1302" t="str">
        <f t="shared" si="209"/>
        <v>Healthy</v>
      </c>
    </row>
    <row r="1303" spans="1:25" x14ac:dyDescent="0.35">
      <c r="A1303" t="s">
        <v>41</v>
      </c>
      <c r="B1303" t="s">
        <v>54</v>
      </c>
      <c r="C1303" t="s">
        <v>87</v>
      </c>
      <c r="D1303" t="s">
        <v>452</v>
      </c>
      <c r="E1303">
        <v>80872418</v>
      </c>
      <c r="F1303" t="s">
        <v>1106</v>
      </c>
      <c r="G1303" s="3">
        <v>46957</v>
      </c>
      <c r="H1303">
        <v>36</v>
      </c>
      <c r="I1303">
        <v>71</v>
      </c>
      <c r="J1303">
        <v>40</v>
      </c>
      <c r="K1303" s="4">
        <v>2967.2</v>
      </c>
      <c r="L1303" s="4">
        <v>18.857142857142858</v>
      </c>
      <c r="M1303" s="4">
        <v>2.1212121212121211</v>
      </c>
      <c r="N1303" t="s">
        <v>25</v>
      </c>
      <c r="O1303" t="str">
        <f t="shared" si="200"/>
        <v>Low</v>
      </c>
      <c r="P1303" t="str">
        <f t="shared" si="201"/>
        <v>Low</v>
      </c>
      <c r="Q1303" t="str">
        <f t="shared" si="202"/>
        <v>Low</v>
      </c>
      <c r="R1303" t="s">
        <v>3317</v>
      </c>
      <c r="S1303" s="4">
        <f t="shared" ca="1" si="203"/>
        <v>760</v>
      </c>
      <c r="T1303">
        <f t="shared" si="204"/>
        <v>1</v>
      </c>
      <c r="U1303">
        <f t="shared" si="205"/>
        <v>1</v>
      </c>
      <c r="V1303">
        <f t="shared" si="206"/>
        <v>1</v>
      </c>
      <c r="W1303">
        <f t="shared" si="207"/>
        <v>1</v>
      </c>
      <c r="X1303">
        <f t="shared" si="208"/>
        <v>0.99999999999999989</v>
      </c>
      <c r="Y1303" t="str">
        <f t="shared" si="209"/>
        <v>Healthy</v>
      </c>
    </row>
    <row r="1304" spans="1:25" x14ac:dyDescent="0.35">
      <c r="A1304" t="s">
        <v>179</v>
      </c>
      <c r="B1304" t="s">
        <v>223</v>
      </c>
      <c r="C1304" t="s">
        <v>224</v>
      </c>
      <c r="D1304" t="s">
        <v>712</v>
      </c>
      <c r="E1304">
        <v>83905912</v>
      </c>
      <c r="F1304" t="s">
        <v>1100</v>
      </c>
      <c r="G1304" s="3">
        <v>46642</v>
      </c>
      <c r="H1304">
        <v>18</v>
      </c>
      <c r="I1304">
        <v>83</v>
      </c>
      <c r="J1304">
        <v>25</v>
      </c>
      <c r="K1304" s="4">
        <v>2000</v>
      </c>
      <c r="L1304" s="4">
        <v>20823.857142857141</v>
      </c>
      <c r="M1304" s="4">
        <v>1.2005460769584338E-3</v>
      </c>
      <c r="N1304" t="s">
        <v>25</v>
      </c>
      <c r="O1304" t="str">
        <f t="shared" si="200"/>
        <v>Low</v>
      </c>
      <c r="P1304" t="str">
        <f t="shared" si="201"/>
        <v>Low</v>
      </c>
      <c r="Q1304" t="str">
        <f t="shared" si="202"/>
        <v>Low</v>
      </c>
      <c r="R1304" t="s">
        <v>3317</v>
      </c>
      <c r="S1304" s="4">
        <f t="shared" ca="1" si="203"/>
        <v>445</v>
      </c>
      <c r="T1304">
        <f t="shared" si="204"/>
        <v>1</v>
      </c>
      <c r="U1304">
        <f t="shared" si="205"/>
        <v>1</v>
      </c>
      <c r="V1304">
        <f t="shared" si="206"/>
        <v>1</v>
      </c>
      <c r="W1304">
        <f t="shared" si="207"/>
        <v>1</v>
      </c>
      <c r="X1304">
        <f t="shared" si="208"/>
        <v>0.99999999999999989</v>
      </c>
      <c r="Y1304" t="str">
        <f t="shared" si="209"/>
        <v>Healthy</v>
      </c>
    </row>
    <row r="1305" spans="1:25" x14ac:dyDescent="0.35">
      <c r="A1305" t="s">
        <v>41</v>
      </c>
      <c r="B1305" t="s">
        <v>42</v>
      </c>
      <c r="C1305" t="s">
        <v>43</v>
      </c>
      <c r="D1305" t="s">
        <v>1107</v>
      </c>
      <c r="E1305">
        <v>83907118</v>
      </c>
      <c r="F1305" t="s">
        <v>1108</v>
      </c>
      <c r="G1305" s="3">
        <v>47178</v>
      </c>
      <c r="H1305">
        <v>36</v>
      </c>
      <c r="I1305">
        <v>91</v>
      </c>
      <c r="J1305">
        <v>480</v>
      </c>
      <c r="K1305" s="4">
        <v>209822.4</v>
      </c>
      <c r="L1305" s="4">
        <f>0</f>
        <v>0</v>
      </c>
      <c r="M1305" s="4">
        <f>999</f>
        <v>999</v>
      </c>
      <c r="N1305" t="s">
        <v>19</v>
      </c>
      <c r="O1305" t="str">
        <f t="shared" si="200"/>
        <v>Low</v>
      </c>
      <c r="P1305" t="str">
        <f t="shared" si="201"/>
        <v>High</v>
      </c>
      <c r="Q1305" t="str">
        <f t="shared" si="202"/>
        <v>High</v>
      </c>
      <c r="R1305" t="s">
        <v>3309</v>
      </c>
      <c r="S1305" s="4">
        <f t="shared" ca="1" si="203"/>
        <v>981</v>
      </c>
      <c r="T1305">
        <f t="shared" si="204"/>
        <v>1</v>
      </c>
      <c r="U1305">
        <f t="shared" si="205"/>
        <v>3</v>
      </c>
      <c r="V1305">
        <f t="shared" si="206"/>
        <v>3</v>
      </c>
      <c r="W1305">
        <f t="shared" si="207"/>
        <v>3</v>
      </c>
      <c r="X1305">
        <f t="shared" si="208"/>
        <v>2.2000000000000002</v>
      </c>
      <c r="Y1305" t="str">
        <f t="shared" si="209"/>
        <v>High Priority</v>
      </c>
    </row>
    <row r="1306" spans="1:25" x14ac:dyDescent="0.35">
      <c r="A1306" t="s">
        <v>41</v>
      </c>
      <c r="B1306" t="s">
        <v>42</v>
      </c>
      <c r="C1306" t="s">
        <v>43</v>
      </c>
      <c r="D1306" t="s">
        <v>1109</v>
      </c>
      <c r="E1306">
        <v>83907120</v>
      </c>
      <c r="F1306" t="s">
        <v>1110</v>
      </c>
      <c r="G1306" s="3">
        <v>47179</v>
      </c>
      <c r="H1306">
        <v>36</v>
      </c>
      <c r="I1306">
        <v>91</v>
      </c>
      <c r="J1306">
        <v>144</v>
      </c>
      <c r="K1306" s="4">
        <v>62946.720000000001</v>
      </c>
      <c r="L1306" s="4">
        <f>0</f>
        <v>0</v>
      </c>
      <c r="M1306" s="4">
        <f>999</f>
        <v>999</v>
      </c>
      <c r="N1306" t="s">
        <v>19</v>
      </c>
      <c r="O1306" t="str">
        <f t="shared" si="200"/>
        <v>Low</v>
      </c>
      <c r="P1306" t="str">
        <f t="shared" si="201"/>
        <v>High</v>
      </c>
      <c r="Q1306" t="str">
        <f t="shared" si="202"/>
        <v>High</v>
      </c>
      <c r="R1306" t="s">
        <v>3317</v>
      </c>
      <c r="S1306" s="4">
        <f t="shared" ca="1" si="203"/>
        <v>982</v>
      </c>
      <c r="T1306">
        <f t="shared" si="204"/>
        <v>1</v>
      </c>
      <c r="U1306">
        <f t="shared" si="205"/>
        <v>3</v>
      </c>
      <c r="V1306">
        <f t="shared" si="206"/>
        <v>3</v>
      </c>
      <c r="W1306">
        <f t="shared" si="207"/>
        <v>1</v>
      </c>
      <c r="X1306">
        <f t="shared" si="208"/>
        <v>2</v>
      </c>
      <c r="Y1306" t="str">
        <f t="shared" si="209"/>
        <v>Monitor</v>
      </c>
    </row>
    <row r="1307" spans="1:25" x14ac:dyDescent="0.35">
      <c r="A1307" t="s">
        <v>179</v>
      </c>
      <c r="B1307" t="s">
        <v>180</v>
      </c>
      <c r="C1307" t="s">
        <v>181</v>
      </c>
      <c r="D1307" t="s">
        <v>296</v>
      </c>
      <c r="E1307">
        <v>80879963</v>
      </c>
      <c r="F1307" t="s">
        <v>1111</v>
      </c>
      <c r="G1307" s="3">
        <v>46341</v>
      </c>
      <c r="H1307">
        <v>16</v>
      </c>
      <c r="I1307">
        <v>31</v>
      </c>
      <c r="J1307">
        <v>12</v>
      </c>
      <c r="K1307" s="4">
        <v>2140.08</v>
      </c>
      <c r="L1307" s="4">
        <v>19.857142857142858</v>
      </c>
      <c r="M1307" s="4">
        <v>0.60431654676258995</v>
      </c>
      <c r="N1307" t="s">
        <v>25</v>
      </c>
      <c r="O1307" t="str">
        <f t="shared" si="200"/>
        <v>Medium</v>
      </c>
      <c r="P1307" t="str">
        <f t="shared" si="201"/>
        <v>Low</v>
      </c>
      <c r="Q1307" t="str">
        <f t="shared" si="202"/>
        <v>Low</v>
      </c>
      <c r="R1307" t="s">
        <v>3317</v>
      </c>
      <c r="S1307" s="4">
        <f t="shared" ca="1" si="203"/>
        <v>144</v>
      </c>
      <c r="T1307">
        <f t="shared" si="204"/>
        <v>2</v>
      </c>
      <c r="U1307">
        <f t="shared" si="205"/>
        <v>1</v>
      </c>
      <c r="V1307">
        <f t="shared" si="206"/>
        <v>1</v>
      </c>
      <c r="W1307">
        <f t="shared" si="207"/>
        <v>1</v>
      </c>
      <c r="X1307">
        <f t="shared" si="208"/>
        <v>1.4000000000000001</v>
      </c>
      <c r="Y1307" t="str">
        <f t="shared" si="209"/>
        <v>Healthy</v>
      </c>
    </row>
    <row r="1308" spans="1:25" x14ac:dyDescent="0.35">
      <c r="A1308" t="s">
        <v>41</v>
      </c>
      <c r="B1308" t="s">
        <v>42</v>
      </c>
      <c r="C1308" t="s">
        <v>43</v>
      </c>
      <c r="D1308" t="s">
        <v>1109</v>
      </c>
      <c r="E1308">
        <v>83907120</v>
      </c>
      <c r="F1308" t="s">
        <v>1110</v>
      </c>
      <c r="G1308" s="3">
        <v>47178</v>
      </c>
      <c r="H1308">
        <v>36</v>
      </c>
      <c r="I1308">
        <v>91</v>
      </c>
      <c r="J1308">
        <v>480</v>
      </c>
      <c r="K1308" s="4">
        <v>209822.4</v>
      </c>
      <c r="L1308" s="4">
        <f>0</f>
        <v>0</v>
      </c>
      <c r="M1308" s="4">
        <f>999</f>
        <v>999</v>
      </c>
      <c r="N1308" t="s">
        <v>19</v>
      </c>
      <c r="O1308" t="str">
        <f t="shared" si="200"/>
        <v>Low</v>
      </c>
      <c r="P1308" t="str">
        <f t="shared" si="201"/>
        <v>High</v>
      </c>
      <c r="Q1308" t="str">
        <f t="shared" si="202"/>
        <v>High</v>
      </c>
      <c r="R1308" t="s">
        <v>3309</v>
      </c>
      <c r="S1308" s="4">
        <f t="shared" ca="1" si="203"/>
        <v>981</v>
      </c>
      <c r="T1308">
        <f t="shared" si="204"/>
        <v>1</v>
      </c>
      <c r="U1308">
        <f t="shared" si="205"/>
        <v>3</v>
      </c>
      <c r="V1308">
        <f t="shared" si="206"/>
        <v>3</v>
      </c>
      <c r="W1308">
        <f t="shared" si="207"/>
        <v>3</v>
      </c>
      <c r="X1308">
        <f t="shared" si="208"/>
        <v>2.2000000000000002</v>
      </c>
      <c r="Y1308" t="str">
        <f t="shared" si="209"/>
        <v>High Priority</v>
      </c>
    </row>
    <row r="1309" spans="1:25" x14ac:dyDescent="0.35">
      <c r="A1309" t="s">
        <v>41</v>
      </c>
      <c r="B1309" t="s">
        <v>54</v>
      </c>
      <c r="C1309" t="s">
        <v>55</v>
      </c>
      <c r="D1309" t="s">
        <v>1112</v>
      </c>
      <c r="E1309">
        <v>83912330</v>
      </c>
      <c r="F1309" t="s">
        <v>1113</v>
      </c>
      <c r="G1309" s="3">
        <v>47207</v>
      </c>
      <c r="H1309">
        <v>36</v>
      </c>
      <c r="I1309">
        <v>94</v>
      </c>
      <c r="J1309">
        <v>300</v>
      </c>
      <c r="K1309" s="4">
        <v>77979</v>
      </c>
      <c r="L1309" s="4">
        <v>257.14285714285717</v>
      </c>
      <c r="M1309" s="4">
        <v>1.1666666666666665</v>
      </c>
      <c r="N1309" t="s">
        <v>25</v>
      </c>
      <c r="O1309" t="str">
        <f t="shared" si="200"/>
        <v>Low</v>
      </c>
      <c r="P1309" t="str">
        <f t="shared" si="201"/>
        <v>Low</v>
      </c>
      <c r="Q1309" t="str">
        <f t="shared" si="202"/>
        <v>Low</v>
      </c>
      <c r="R1309" t="s">
        <v>3310</v>
      </c>
      <c r="S1309" s="4">
        <f t="shared" ca="1" si="203"/>
        <v>1010</v>
      </c>
      <c r="T1309">
        <f t="shared" si="204"/>
        <v>1</v>
      </c>
      <c r="U1309">
        <f t="shared" si="205"/>
        <v>1</v>
      </c>
      <c r="V1309">
        <f t="shared" si="206"/>
        <v>1</v>
      </c>
      <c r="W1309">
        <f t="shared" si="207"/>
        <v>2</v>
      </c>
      <c r="X1309">
        <f t="shared" si="208"/>
        <v>1.0999999999999999</v>
      </c>
      <c r="Y1309" t="str">
        <f t="shared" si="209"/>
        <v>Healthy</v>
      </c>
    </row>
    <row r="1310" spans="1:25" x14ac:dyDescent="0.35">
      <c r="A1310" t="s">
        <v>210</v>
      </c>
      <c r="B1310" t="s">
        <v>439</v>
      </c>
      <c r="C1310" t="s">
        <v>440</v>
      </c>
      <c r="D1310" t="s">
        <v>1114</v>
      </c>
      <c r="E1310">
        <v>80849612</v>
      </c>
      <c r="F1310" t="s">
        <v>1115</v>
      </c>
      <c r="G1310" s="3">
        <v>47644</v>
      </c>
      <c r="H1310">
        <v>60</v>
      </c>
      <c r="I1310">
        <v>81</v>
      </c>
      <c r="J1310">
        <v>7</v>
      </c>
      <c r="K1310" s="4">
        <v>1444.17</v>
      </c>
      <c r="L1310" s="4">
        <v>397.71428571428572</v>
      </c>
      <c r="M1310" s="4">
        <v>1.7600574712643677E-2</v>
      </c>
      <c r="N1310" t="s">
        <v>25</v>
      </c>
      <c r="O1310" t="str">
        <f t="shared" si="200"/>
        <v>Low</v>
      </c>
      <c r="P1310" t="str">
        <f t="shared" si="201"/>
        <v>Low</v>
      </c>
      <c r="Q1310" t="str">
        <f t="shared" si="202"/>
        <v>Low</v>
      </c>
      <c r="R1310" t="s">
        <v>3317</v>
      </c>
      <c r="S1310" s="4">
        <f t="shared" ca="1" si="203"/>
        <v>1447</v>
      </c>
      <c r="T1310">
        <f t="shared" si="204"/>
        <v>1</v>
      </c>
      <c r="U1310">
        <f t="shared" si="205"/>
        <v>1</v>
      </c>
      <c r="V1310">
        <f t="shared" si="206"/>
        <v>1</v>
      </c>
      <c r="W1310">
        <f t="shared" si="207"/>
        <v>1</v>
      </c>
      <c r="X1310">
        <f t="shared" si="208"/>
        <v>0.99999999999999989</v>
      </c>
      <c r="Y1310" t="str">
        <f t="shared" si="209"/>
        <v>Healthy</v>
      </c>
    </row>
    <row r="1311" spans="1:25" x14ac:dyDescent="0.35">
      <c r="A1311" t="s">
        <v>90</v>
      </c>
      <c r="B1311" t="s">
        <v>217</v>
      </c>
      <c r="C1311" t="s">
        <v>533</v>
      </c>
      <c r="D1311" t="s">
        <v>534</v>
      </c>
      <c r="E1311">
        <v>83914737</v>
      </c>
      <c r="F1311" t="s">
        <v>1116</v>
      </c>
      <c r="G1311" s="3">
        <v>46905</v>
      </c>
      <c r="H1311">
        <v>24</v>
      </c>
      <c r="I1311">
        <v>99</v>
      </c>
      <c r="J1311">
        <v>684</v>
      </c>
      <c r="K1311" s="4">
        <v>73940.399999999994</v>
      </c>
      <c r="L1311" s="4">
        <v>1616.1428571428571</v>
      </c>
      <c r="M1311" s="4">
        <v>0.4232299124900557</v>
      </c>
      <c r="N1311" t="s">
        <v>25</v>
      </c>
      <c r="O1311" t="str">
        <f t="shared" si="200"/>
        <v>Low</v>
      </c>
      <c r="P1311" t="str">
        <f t="shared" si="201"/>
        <v>Low</v>
      </c>
      <c r="Q1311" t="str">
        <f t="shared" si="202"/>
        <v>Low</v>
      </c>
      <c r="R1311" t="s">
        <v>3310</v>
      </c>
      <c r="S1311" s="4">
        <f t="shared" ca="1" si="203"/>
        <v>708</v>
      </c>
      <c r="T1311">
        <f t="shared" si="204"/>
        <v>1</v>
      </c>
      <c r="U1311">
        <f t="shared" si="205"/>
        <v>1</v>
      </c>
      <c r="V1311">
        <f t="shared" si="206"/>
        <v>1</v>
      </c>
      <c r="W1311">
        <f t="shared" si="207"/>
        <v>2</v>
      </c>
      <c r="X1311">
        <f t="shared" si="208"/>
        <v>1.0999999999999999</v>
      </c>
      <c r="Y1311" t="str">
        <f t="shared" si="209"/>
        <v>Healthy</v>
      </c>
    </row>
    <row r="1312" spans="1:25" x14ac:dyDescent="0.35">
      <c r="A1312" t="s">
        <v>90</v>
      </c>
      <c r="B1312" t="s">
        <v>217</v>
      </c>
      <c r="C1312" t="s">
        <v>533</v>
      </c>
      <c r="D1312" t="s">
        <v>534</v>
      </c>
      <c r="E1312">
        <v>83914737</v>
      </c>
      <c r="F1312" t="s">
        <v>1116</v>
      </c>
      <c r="G1312" s="3">
        <v>46905</v>
      </c>
      <c r="H1312">
        <v>24</v>
      </c>
      <c r="I1312">
        <v>99</v>
      </c>
      <c r="J1312">
        <v>1084</v>
      </c>
      <c r="K1312" s="4">
        <v>117180.4</v>
      </c>
      <c r="L1312" s="4">
        <v>1616.1428571428571</v>
      </c>
      <c r="M1312" s="4">
        <v>0.6707327852912579</v>
      </c>
      <c r="N1312" t="s">
        <v>25</v>
      </c>
      <c r="O1312" t="str">
        <f t="shared" si="200"/>
        <v>Low</v>
      </c>
      <c r="P1312" t="str">
        <f t="shared" si="201"/>
        <v>Low</v>
      </c>
      <c r="Q1312" t="str">
        <f t="shared" si="202"/>
        <v>Low</v>
      </c>
      <c r="R1312" t="s">
        <v>3310</v>
      </c>
      <c r="S1312" s="4">
        <f t="shared" ca="1" si="203"/>
        <v>708</v>
      </c>
      <c r="T1312">
        <f t="shared" si="204"/>
        <v>1</v>
      </c>
      <c r="U1312">
        <f t="shared" si="205"/>
        <v>1</v>
      </c>
      <c r="V1312">
        <f t="shared" si="206"/>
        <v>1</v>
      </c>
      <c r="W1312">
        <f t="shared" si="207"/>
        <v>2</v>
      </c>
      <c r="X1312">
        <f t="shared" si="208"/>
        <v>1.0999999999999999</v>
      </c>
      <c r="Y1312" t="str">
        <f t="shared" si="209"/>
        <v>Healthy</v>
      </c>
    </row>
    <row r="1313" spans="1:25" x14ac:dyDescent="0.35">
      <c r="A1313" t="s">
        <v>14</v>
      </c>
      <c r="B1313" t="s">
        <v>258</v>
      </c>
      <c r="C1313" t="s">
        <v>929</v>
      </c>
      <c r="D1313" t="s">
        <v>1117</v>
      </c>
      <c r="E1313">
        <v>80864302</v>
      </c>
      <c r="F1313" t="s">
        <v>1118</v>
      </c>
      <c r="G1313" s="3">
        <v>47919</v>
      </c>
      <c r="H1313">
        <v>60</v>
      </c>
      <c r="I1313">
        <v>96</v>
      </c>
      <c r="J1313">
        <v>363</v>
      </c>
      <c r="K1313" s="4">
        <v>57274.14</v>
      </c>
      <c r="L1313" s="4">
        <v>7528.7142857142853</v>
      </c>
      <c r="M1313" s="4">
        <v>4.8215403882279274E-2</v>
      </c>
      <c r="N1313" t="s">
        <v>25</v>
      </c>
      <c r="O1313" t="str">
        <f t="shared" si="200"/>
        <v>Low</v>
      </c>
      <c r="P1313" t="str">
        <f t="shared" si="201"/>
        <v>Low</v>
      </c>
      <c r="Q1313" t="str">
        <f t="shared" si="202"/>
        <v>Low</v>
      </c>
      <c r="R1313" t="s">
        <v>3317</v>
      </c>
      <c r="S1313" s="4">
        <f t="shared" ca="1" si="203"/>
        <v>1722</v>
      </c>
      <c r="T1313">
        <f t="shared" si="204"/>
        <v>1</v>
      </c>
      <c r="U1313">
        <f t="shared" si="205"/>
        <v>1</v>
      </c>
      <c r="V1313">
        <f t="shared" si="206"/>
        <v>1</v>
      </c>
      <c r="W1313">
        <f t="shared" si="207"/>
        <v>1</v>
      </c>
      <c r="X1313">
        <f t="shared" si="208"/>
        <v>0.99999999999999989</v>
      </c>
      <c r="Y1313" t="str">
        <f t="shared" si="209"/>
        <v>Healthy</v>
      </c>
    </row>
    <row r="1314" spans="1:25" x14ac:dyDescent="0.35">
      <c r="A1314" t="s">
        <v>14</v>
      </c>
      <c r="B1314" t="s">
        <v>258</v>
      </c>
      <c r="C1314" t="s">
        <v>929</v>
      </c>
      <c r="D1314" t="s">
        <v>1117</v>
      </c>
      <c r="E1314">
        <v>80864302</v>
      </c>
      <c r="F1314" t="s">
        <v>1118</v>
      </c>
      <c r="G1314" s="3">
        <v>47952</v>
      </c>
      <c r="H1314">
        <v>60</v>
      </c>
      <c r="I1314">
        <v>98</v>
      </c>
      <c r="J1314">
        <v>692</v>
      </c>
      <c r="K1314" s="4">
        <v>109183.76</v>
      </c>
      <c r="L1314" s="4">
        <v>7528.7142857142853</v>
      </c>
      <c r="M1314" s="4">
        <v>9.1914764425722481E-2</v>
      </c>
      <c r="N1314" t="s">
        <v>25</v>
      </c>
      <c r="O1314" t="str">
        <f t="shared" si="200"/>
        <v>Low</v>
      </c>
      <c r="P1314" t="str">
        <f t="shared" si="201"/>
        <v>Low</v>
      </c>
      <c r="Q1314" t="str">
        <f t="shared" si="202"/>
        <v>Low</v>
      </c>
      <c r="R1314" t="s">
        <v>3310</v>
      </c>
      <c r="S1314" s="4">
        <f t="shared" ca="1" si="203"/>
        <v>1755</v>
      </c>
      <c r="T1314">
        <f t="shared" si="204"/>
        <v>1</v>
      </c>
      <c r="U1314">
        <f t="shared" si="205"/>
        <v>1</v>
      </c>
      <c r="V1314">
        <f t="shared" si="206"/>
        <v>1</v>
      </c>
      <c r="W1314">
        <f t="shared" si="207"/>
        <v>2</v>
      </c>
      <c r="X1314">
        <f t="shared" si="208"/>
        <v>1.0999999999999999</v>
      </c>
      <c r="Y1314" t="str">
        <f t="shared" si="209"/>
        <v>Healthy</v>
      </c>
    </row>
    <row r="1315" spans="1:25" x14ac:dyDescent="0.35">
      <c r="A1315" t="s">
        <v>14</v>
      </c>
      <c r="B1315" t="s">
        <v>258</v>
      </c>
      <c r="C1315" t="s">
        <v>929</v>
      </c>
      <c r="D1315" t="s">
        <v>1117</v>
      </c>
      <c r="E1315">
        <v>80864302</v>
      </c>
      <c r="F1315" t="s">
        <v>1118</v>
      </c>
      <c r="G1315" s="3">
        <v>47919</v>
      </c>
      <c r="H1315">
        <v>60</v>
      </c>
      <c r="I1315">
        <v>96</v>
      </c>
      <c r="J1315">
        <v>689</v>
      </c>
      <c r="K1315" s="4">
        <v>108710.42</v>
      </c>
      <c r="L1315" s="4">
        <v>7528.7142857142853</v>
      </c>
      <c r="M1315" s="4">
        <v>9.1516290013472237E-2</v>
      </c>
      <c r="N1315" t="s">
        <v>25</v>
      </c>
      <c r="O1315" t="str">
        <f t="shared" si="200"/>
        <v>Low</v>
      </c>
      <c r="P1315" t="str">
        <f t="shared" si="201"/>
        <v>Low</v>
      </c>
      <c r="Q1315" t="str">
        <f t="shared" si="202"/>
        <v>Low</v>
      </c>
      <c r="R1315" t="s">
        <v>3310</v>
      </c>
      <c r="S1315" s="4">
        <f t="shared" ca="1" si="203"/>
        <v>1722</v>
      </c>
      <c r="T1315">
        <f t="shared" si="204"/>
        <v>1</v>
      </c>
      <c r="U1315">
        <f t="shared" si="205"/>
        <v>1</v>
      </c>
      <c r="V1315">
        <f t="shared" si="206"/>
        <v>1</v>
      </c>
      <c r="W1315">
        <f t="shared" si="207"/>
        <v>2</v>
      </c>
      <c r="X1315">
        <f t="shared" si="208"/>
        <v>1.0999999999999999</v>
      </c>
      <c r="Y1315" t="str">
        <f t="shared" si="209"/>
        <v>Healthy</v>
      </c>
    </row>
    <row r="1316" spans="1:25" x14ac:dyDescent="0.35">
      <c r="A1316" t="s">
        <v>14</v>
      </c>
      <c r="B1316" t="s">
        <v>258</v>
      </c>
      <c r="C1316" t="s">
        <v>929</v>
      </c>
      <c r="D1316" t="s">
        <v>1117</v>
      </c>
      <c r="E1316">
        <v>80864302</v>
      </c>
      <c r="F1316" t="s">
        <v>1118</v>
      </c>
      <c r="G1316" s="3">
        <v>47875</v>
      </c>
      <c r="H1316">
        <v>60</v>
      </c>
      <c r="I1316">
        <v>94</v>
      </c>
      <c r="J1316">
        <v>574</v>
      </c>
      <c r="K1316" s="4">
        <v>90565.72</v>
      </c>
      <c r="L1316" s="4">
        <v>7528.7142857142853</v>
      </c>
      <c r="M1316" s="4">
        <v>7.6241437543879631E-2</v>
      </c>
      <c r="N1316" t="s">
        <v>25</v>
      </c>
      <c r="O1316" t="str">
        <f t="shared" si="200"/>
        <v>Low</v>
      </c>
      <c r="P1316" t="str">
        <f t="shared" si="201"/>
        <v>Low</v>
      </c>
      <c r="Q1316" t="str">
        <f t="shared" si="202"/>
        <v>Low</v>
      </c>
      <c r="R1316" t="s">
        <v>3310</v>
      </c>
      <c r="S1316" s="4">
        <f t="shared" ca="1" si="203"/>
        <v>1678</v>
      </c>
      <c r="T1316">
        <f t="shared" si="204"/>
        <v>1</v>
      </c>
      <c r="U1316">
        <f t="shared" si="205"/>
        <v>1</v>
      </c>
      <c r="V1316">
        <f t="shared" si="206"/>
        <v>1</v>
      </c>
      <c r="W1316">
        <f t="shared" si="207"/>
        <v>2</v>
      </c>
      <c r="X1316">
        <f t="shared" si="208"/>
        <v>1.0999999999999999</v>
      </c>
      <c r="Y1316" t="str">
        <f t="shared" si="209"/>
        <v>Healthy</v>
      </c>
    </row>
    <row r="1317" spans="1:25" x14ac:dyDescent="0.35">
      <c r="A1317" t="s">
        <v>14</v>
      </c>
      <c r="B1317" t="s">
        <v>258</v>
      </c>
      <c r="C1317" t="s">
        <v>929</v>
      </c>
      <c r="D1317" t="s">
        <v>1117</v>
      </c>
      <c r="E1317">
        <v>80864302</v>
      </c>
      <c r="F1317" t="s">
        <v>1118</v>
      </c>
      <c r="G1317" s="3">
        <v>47924</v>
      </c>
      <c r="H1317">
        <v>60</v>
      </c>
      <c r="I1317">
        <v>96</v>
      </c>
      <c r="J1317">
        <v>683</v>
      </c>
      <c r="K1317" s="4">
        <v>107763.74</v>
      </c>
      <c r="L1317" s="4">
        <v>7528.7142857142853</v>
      </c>
      <c r="M1317" s="4">
        <v>9.071934118897175E-2</v>
      </c>
      <c r="N1317" t="s">
        <v>25</v>
      </c>
      <c r="O1317" t="str">
        <f t="shared" si="200"/>
        <v>Low</v>
      </c>
      <c r="P1317" t="str">
        <f t="shared" si="201"/>
        <v>Low</v>
      </c>
      <c r="Q1317" t="str">
        <f t="shared" si="202"/>
        <v>Low</v>
      </c>
      <c r="R1317" t="s">
        <v>3310</v>
      </c>
      <c r="S1317" s="4">
        <f t="shared" ca="1" si="203"/>
        <v>1727</v>
      </c>
      <c r="T1317">
        <f t="shared" si="204"/>
        <v>1</v>
      </c>
      <c r="U1317">
        <f t="shared" si="205"/>
        <v>1</v>
      </c>
      <c r="V1317">
        <f t="shared" si="206"/>
        <v>1</v>
      </c>
      <c r="W1317">
        <f t="shared" si="207"/>
        <v>2</v>
      </c>
      <c r="X1317">
        <f t="shared" si="208"/>
        <v>1.0999999999999999</v>
      </c>
      <c r="Y1317" t="str">
        <f t="shared" si="209"/>
        <v>Healthy</v>
      </c>
    </row>
    <row r="1318" spans="1:25" x14ac:dyDescent="0.35">
      <c r="A1318" t="s">
        <v>14</v>
      </c>
      <c r="B1318" t="s">
        <v>258</v>
      </c>
      <c r="C1318" t="s">
        <v>929</v>
      </c>
      <c r="D1318" t="s">
        <v>1117</v>
      </c>
      <c r="E1318">
        <v>80864302</v>
      </c>
      <c r="F1318" t="s">
        <v>1118</v>
      </c>
      <c r="G1318" s="3">
        <v>47937</v>
      </c>
      <c r="H1318">
        <v>60</v>
      </c>
      <c r="I1318">
        <v>97</v>
      </c>
      <c r="J1318">
        <v>667</v>
      </c>
      <c r="K1318" s="4">
        <v>105239.26</v>
      </c>
      <c r="L1318" s="4">
        <v>7528.7142857142853</v>
      </c>
      <c r="M1318" s="4">
        <v>8.8594144323637131E-2</v>
      </c>
      <c r="N1318" t="s">
        <v>25</v>
      </c>
      <c r="O1318" t="str">
        <f t="shared" si="200"/>
        <v>Low</v>
      </c>
      <c r="P1318" t="str">
        <f t="shared" si="201"/>
        <v>Low</v>
      </c>
      <c r="Q1318" t="str">
        <f t="shared" si="202"/>
        <v>Low</v>
      </c>
      <c r="R1318" t="s">
        <v>3310</v>
      </c>
      <c r="S1318" s="4">
        <f t="shared" ca="1" si="203"/>
        <v>1740</v>
      </c>
      <c r="T1318">
        <f t="shared" si="204"/>
        <v>1</v>
      </c>
      <c r="U1318">
        <f t="shared" si="205"/>
        <v>1</v>
      </c>
      <c r="V1318">
        <f t="shared" si="206"/>
        <v>1</v>
      </c>
      <c r="W1318">
        <f t="shared" si="207"/>
        <v>2</v>
      </c>
      <c r="X1318">
        <f t="shared" si="208"/>
        <v>1.0999999999999999</v>
      </c>
      <c r="Y1318" t="str">
        <f t="shared" si="209"/>
        <v>Healthy</v>
      </c>
    </row>
    <row r="1319" spans="1:25" x14ac:dyDescent="0.35">
      <c r="A1319" t="s">
        <v>14</v>
      </c>
      <c r="B1319" t="s">
        <v>258</v>
      </c>
      <c r="C1319" t="s">
        <v>929</v>
      </c>
      <c r="D1319" t="s">
        <v>1117</v>
      </c>
      <c r="E1319">
        <v>80864302</v>
      </c>
      <c r="F1319" t="s">
        <v>1118</v>
      </c>
      <c r="G1319" s="3">
        <v>47903</v>
      </c>
      <c r="H1319">
        <v>60</v>
      </c>
      <c r="I1319">
        <v>95</v>
      </c>
      <c r="J1319">
        <v>170</v>
      </c>
      <c r="K1319" s="4">
        <v>26822.6</v>
      </c>
      <c r="L1319" s="4">
        <v>7528.7142857142853</v>
      </c>
      <c r="M1319" s="4">
        <v>2.2580216694180377E-2</v>
      </c>
      <c r="N1319" t="s">
        <v>25</v>
      </c>
      <c r="O1319" t="str">
        <f t="shared" si="200"/>
        <v>Low</v>
      </c>
      <c r="P1319" t="str">
        <f t="shared" si="201"/>
        <v>Low</v>
      </c>
      <c r="Q1319" t="str">
        <f t="shared" si="202"/>
        <v>Low</v>
      </c>
      <c r="R1319" t="s">
        <v>3317</v>
      </c>
      <c r="S1319" s="4">
        <f t="shared" ca="1" si="203"/>
        <v>1706</v>
      </c>
      <c r="T1319">
        <f t="shared" si="204"/>
        <v>1</v>
      </c>
      <c r="U1319">
        <f t="shared" si="205"/>
        <v>1</v>
      </c>
      <c r="V1319">
        <f t="shared" si="206"/>
        <v>1</v>
      </c>
      <c r="W1319">
        <f t="shared" si="207"/>
        <v>1</v>
      </c>
      <c r="X1319">
        <f t="shared" si="208"/>
        <v>0.99999999999999989</v>
      </c>
      <c r="Y1319" t="str">
        <f t="shared" si="209"/>
        <v>Healthy</v>
      </c>
    </row>
    <row r="1320" spans="1:25" x14ac:dyDescent="0.35">
      <c r="A1320" t="s">
        <v>29</v>
      </c>
      <c r="B1320" t="s">
        <v>30</v>
      </c>
      <c r="C1320" t="s">
        <v>1031</v>
      </c>
      <c r="D1320" t="s">
        <v>1032</v>
      </c>
      <c r="E1320">
        <v>80878183</v>
      </c>
      <c r="F1320" t="s">
        <v>1119</v>
      </c>
      <c r="G1320" s="3">
        <v>47140</v>
      </c>
      <c r="H1320">
        <v>36</v>
      </c>
      <c r="I1320">
        <v>88</v>
      </c>
      <c r="J1320">
        <v>1</v>
      </c>
      <c r="K1320" s="4">
        <v>583.49</v>
      </c>
      <c r="L1320" s="4">
        <f>0</f>
        <v>0</v>
      </c>
      <c r="M1320" s="4">
        <f>999</f>
        <v>999</v>
      </c>
      <c r="N1320" t="s">
        <v>19</v>
      </c>
      <c r="O1320" t="str">
        <f t="shared" si="200"/>
        <v>Low</v>
      </c>
      <c r="P1320" t="str">
        <f t="shared" si="201"/>
        <v>High</v>
      </c>
      <c r="Q1320" t="str">
        <f t="shared" si="202"/>
        <v>High</v>
      </c>
      <c r="R1320" t="s">
        <v>3317</v>
      </c>
      <c r="S1320" s="4">
        <f t="shared" ca="1" si="203"/>
        <v>943</v>
      </c>
      <c r="T1320">
        <f t="shared" si="204"/>
        <v>1</v>
      </c>
      <c r="U1320">
        <f t="shared" si="205"/>
        <v>3</v>
      </c>
      <c r="V1320">
        <f t="shared" si="206"/>
        <v>3</v>
      </c>
      <c r="W1320">
        <f t="shared" si="207"/>
        <v>1</v>
      </c>
      <c r="X1320">
        <f t="shared" si="208"/>
        <v>2</v>
      </c>
      <c r="Y1320" t="str">
        <f t="shared" si="209"/>
        <v>Monitor</v>
      </c>
    </row>
    <row r="1321" spans="1:25" x14ac:dyDescent="0.35">
      <c r="A1321" t="s">
        <v>41</v>
      </c>
      <c r="B1321" t="s">
        <v>80</v>
      </c>
      <c r="C1321" t="s">
        <v>81</v>
      </c>
      <c r="D1321" t="s">
        <v>265</v>
      </c>
      <c r="E1321">
        <v>80853933</v>
      </c>
      <c r="F1321" t="s">
        <v>1120</v>
      </c>
      <c r="G1321" s="3">
        <v>47143</v>
      </c>
      <c r="H1321">
        <v>36</v>
      </c>
      <c r="I1321">
        <v>88</v>
      </c>
      <c r="J1321">
        <v>46</v>
      </c>
      <c r="K1321" s="4">
        <v>25722.28</v>
      </c>
      <c r="L1321" s="4">
        <v>15.714285714285714</v>
      </c>
      <c r="M1321" s="4">
        <v>2.9272727272727272</v>
      </c>
      <c r="N1321" t="s">
        <v>25</v>
      </c>
      <c r="O1321" t="str">
        <f t="shared" si="200"/>
        <v>Low</v>
      </c>
      <c r="P1321" t="str">
        <f t="shared" si="201"/>
        <v>Low</v>
      </c>
      <c r="Q1321" t="str">
        <f t="shared" si="202"/>
        <v>Low</v>
      </c>
      <c r="R1321" t="s">
        <v>3317</v>
      </c>
      <c r="S1321" s="4">
        <f t="shared" ca="1" si="203"/>
        <v>946</v>
      </c>
      <c r="T1321">
        <f t="shared" si="204"/>
        <v>1</v>
      </c>
      <c r="U1321">
        <f t="shared" si="205"/>
        <v>1</v>
      </c>
      <c r="V1321">
        <f t="shared" si="206"/>
        <v>1</v>
      </c>
      <c r="W1321">
        <f t="shared" si="207"/>
        <v>1</v>
      </c>
      <c r="X1321">
        <f t="shared" si="208"/>
        <v>0.99999999999999989</v>
      </c>
      <c r="Y1321" t="str">
        <f t="shared" si="209"/>
        <v>Healthy</v>
      </c>
    </row>
    <row r="1322" spans="1:25" x14ac:dyDescent="0.35">
      <c r="A1322" t="s">
        <v>20</v>
      </c>
      <c r="B1322" t="s">
        <v>21</v>
      </c>
      <c r="C1322" t="s">
        <v>1121</v>
      </c>
      <c r="D1322" t="s">
        <v>1122</v>
      </c>
      <c r="E1322">
        <v>82278386</v>
      </c>
      <c r="F1322" t="s">
        <v>1123</v>
      </c>
      <c r="G1322" s="3">
        <v>47020</v>
      </c>
      <c r="H1322">
        <v>36</v>
      </c>
      <c r="I1322">
        <v>77</v>
      </c>
      <c r="J1322">
        <v>2</v>
      </c>
      <c r="K1322" s="4">
        <v>281.60000000000002</v>
      </c>
      <c r="L1322" s="4">
        <f>0</f>
        <v>0</v>
      </c>
      <c r="M1322" s="4">
        <f>999</f>
        <v>999</v>
      </c>
      <c r="N1322" t="s">
        <v>19</v>
      </c>
      <c r="O1322" t="str">
        <f t="shared" si="200"/>
        <v>Low</v>
      </c>
      <c r="P1322" t="str">
        <f t="shared" si="201"/>
        <v>High</v>
      </c>
      <c r="Q1322" t="str">
        <f t="shared" si="202"/>
        <v>High</v>
      </c>
      <c r="R1322" t="s">
        <v>3317</v>
      </c>
      <c r="S1322" s="4">
        <f t="shared" ca="1" si="203"/>
        <v>823</v>
      </c>
      <c r="T1322">
        <f t="shared" si="204"/>
        <v>1</v>
      </c>
      <c r="U1322">
        <f t="shared" si="205"/>
        <v>3</v>
      </c>
      <c r="V1322">
        <f t="shared" si="206"/>
        <v>3</v>
      </c>
      <c r="W1322">
        <f t="shared" si="207"/>
        <v>1</v>
      </c>
      <c r="X1322">
        <f t="shared" si="208"/>
        <v>2</v>
      </c>
      <c r="Y1322" t="str">
        <f t="shared" si="209"/>
        <v>Monitor</v>
      </c>
    </row>
    <row r="1323" spans="1:25" x14ac:dyDescent="0.35">
      <c r="A1323" t="s">
        <v>99</v>
      </c>
      <c r="B1323" t="s">
        <v>100</v>
      </c>
      <c r="C1323" t="s">
        <v>101</v>
      </c>
      <c r="D1323" t="s">
        <v>1124</v>
      </c>
      <c r="E1323">
        <v>82308608</v>
      </c>
      <c r="F1323" t="s">
        <v>1125</v>
      </c>
      <c r="G1323" s="3">
        <v>44312</v>
      </c>
      <c r="H1323">
        <v>18</v>
      </c>
      <c r="I1323">
        <v>0</v>
      </c>
      <c r="J1323">
        <v>10</v>
      </c>
      <c r="K1323" s="4">
        <v>2078.5</v>
      </c>
      <c r="L1323" s="4">
        <f>0</f>
        <v>0</v>
      </c>
      <c r="M1323" s="4">
        <f>999</f>
        <v>999</v>
      </c>
      <c r="N1323" t="s">
        <v>19</v>
      </c>
      <c r="O1323" t="str">
        <f t="shared" si="200"/>
        <v>High</v>
      </c>
      <c r="P1323" t="str">
        <f t="shared" si="201"/>
        <v>High</v>
      </c>
      <c r="Q1323" t="str">
        <f t="shared" si="202"/>
        <v>High</v>
      </c>
      <c r="R1323" t="s">
        <v>3317</v>
      </c>
      <c r="S1323" s="4">
        <f t="shared" ca="1" si="203"/>
        <v>-1885</v>
      </c>
      <c r="T1323">
        <f t="shared" si="204"/>
        <v>3</v>
      </c>
      <c r="U1323">
        <f t="shared" si="205"/>
        <v>3</v>
      </c>
      <c r="V1323">
        <f t="shared" si="206"/>
        <v>3</v>
      </c>
      <c r="W1323">
        <f t="shared" si="207"/>
        <v>1</v>
      </c>
      <c r="X1323">
        <f t="shared" si="208"/>
        <v>2.8000000000000003</v>
      </c>
      <c r="Y1323" t="str">
        <f t="shared" si="209"/>
        <v>Move Immediately</v>
      </c>
    </row>
    <row r="1324" spans="1:25" x14ac:dyDescent="0.35">
      <c r="A1324" t="s">
        <v>99</v>
      </c>
      <c r="B1324" t="s">
        <v>100</v>
      </c>
      <c r="C1324" t="s">
        <v>101</v>
      </c>
      <c r="D1324" t="s">
        <v>1124</v>
      </c>
      <c r="E1324">
        <v>82308608</v>
      </c>
      <c r="F1324" t="s">
        <v>1125</v>
      </c>
      <c r="G1324" s="3">
        <v>45028</v>
      </c>
      <c r="H1324">
        <v>18</v>
      </c>
      <c r="I1324">
        <v>0</v>
      </c>
      <c r="J1324">
        <v>40</v>
      </c>
      <c r="K1324" s="4">
        <v>8314</v>
      </c>
      <c r="L1324" s="4">
        <f>0</f>
        <v>0</v>
      </c>
      <c r="M1324" s="4">
        <f>999</f>
        <v>999</v>
      </c>
      <c r="N1324" t="s">
        <v>19</v>
      </c>
      <c r="O1324" t="str">
        <f t="shared" si="200"/>
        <v>High</v>
      </c>
      <c r="P1324" t="str">
        <f t="shared" si="201"/>
        <v>High</v>
      </c>
      <c r="Q1324" t="str">
        <f t="shared" si="202"/>
        <v>High</v>
      </c>
      <c r="R1324" t="s">
        <v>3317</v>
      </c>
      <c r="S1324" s="4">
        <f t="shared" ca="1" si="203"/>
        <v>-1169</v>
      </c>
      <c r="T1324">
        <f t="shared" si="204"/>
        <v>3</v>
      </c>
      <c r="U1324">
        <f t="shared" si="205"/>
        <v>3</v>
      </c>
      <c r="V1324">
        <f t="shared" si="206"/>
        <v>3</v>
      </c>
      <c r="W1324">
        <f t="shared" si="207"/>
        <v>1</v>
      </c>
      <c r="X1324">
        <f t="shared" si="208"/>
        <v>2.8000000000000003</v>
      </c>
      <c r="Y1324" t="str">
        <f t="shared" si="209"/>
        <v>Move Immediately</v>
      </c>
    </row>
    <row r="1325" spans="1:25" x14ac:dyDescent="0.35">
      <c r="A1325" t="s">
        <v>99</v>
      </c>
      <c r="B1325" t="s">
        <v>100</v>
      </c>
      <c r="C1325" t="s">
        <v>101</v>
      </c>
      <c r="D1325" t="s">
        <v>1124</v>
      </c>
      <c r="E1325">
        <v>82308608</v>
      </c>
      <c r="F1325" t="s">
        <v>1125</v>
      </c>
      <c r="G1325" s="3">
        <v>44537</v>
      </c>
      <c r="H1325">
        <v>18</v>
      </c>
      <c r="I1325">
        <v>0</v>
      </c>
      <c r="J1325">
        <v>55</v>
      </c>
      <c r="K1325" s="4">
        <v>11431.75</v>
      </c>
      <c r="L1325" s="4">
        <f>0</f>
        <v>0</v>
      </c>
      <c r="M1325" s="4">
        <f>999</f>
        <v>999</v>
      </c>
      <c r="N1325" t="s">
        <v>19</v>
      </c>
      <c r="O1325" t="str">
        <f t="shared" si="200"/>
        <v>High</v>
      </c>
      <c r="P1325" t="str">
        <f t="shared" si="201"/>
        <v>High</v>
      </c>
      <c r="Q1325" t="str">
        <f t="shared" si="202"/>
        <v>High</v>
      </c>
      <c r="R1325" t="s">
        <v>3317</v>
      </c>
      <c r="S1325" s="4">
        <f t="shared" ca="1" si="203"/>
        <v>-1660</v>
      </c>
      <c r="T1325">
        <f t="shared" si="204"/>
        <v>3</v>
      </c>
      <c r="U1325">
        <f t="shared" si="205"/>
        <v>3</v>
      </c>
      <c r="V1325">
        <f t="shared" si="206"/>
        <v>3</v>
      </c>
      <c r="W1325">
        <f t="shared" si="207"/>
        <v>1</v>
      </c>
      <c r="X1325">
        <f t="shared" si="208"/>
        <v>2.8000000000000003</v>
      </c>
      <c r="Y1325" t="str">
        <f t="shared" si="209"/>
        <v>Move Immediately</v>
      </c>
    </row>
    <row r="1326" spans="1:25" x14ac:dyDescent="0.35">
      <c r="A1326" t="s">
        <v>99</v>
      </c>
      <c r="B1326" t="s">
        <v>100</v>
      </c>
      <c r="C1326" t="s">
        <v>101</v>
      </c>
      <c r="D1326" t="s">
        <v>1124</v>
      </c>
      <c r="E1326">
        <v>82308608</v>
      </c>
      <c r="F1326" t="s">
        <v>1125</v>
      </c>
      <c r="G1326" s="3">
        <v>45473</v>
      </c>
      <c r="H1326">
        <v>18</v>
      </c>
      <c r="I1326">
        <v>0</v>
      </c>
      <c r="J1326">
        <v>63</v>
      </c>
      <c r="K1326" s="4">
        <v>13094.55</v>
      </c>
      <c r="L1326" s="4">
        <f>0</f>
        <v>0</v>
      </c>
      <c r="M1326" s="4">
        <f>999</f>
        <v>999</v>
      </c>
      <c r="N1326" t="s">
        <v>19</v>
      </c>
      <c r="O1326" t="str">
        <f t="shared" si="200"/>
        <v>High</v>
      </c>
      <c r="P1326" t="str">
        <f t="shared" si="201"/>
        <v>High</v>
      </c>
      <c r="Q1326" t="str">
        <f t="shared" si="202"/>
        <v>High</v>
      </c>
      <c r="R1326" t="s">
        <v>3317</v>
      </c>
      <c r="S1326" s="4">
        <f t="shared" ca="1" si="203"/>
        <v>-724</v>
      </c>
      <c r="T1326">
        <f t="shared" si="204"/>
        <v>3</v>
      </c>
      <c r="U1326">
        <f t="shared" si="205"/>
        <v>3</v>
      </c>
      <c r="V1326">
        <f t="shared" si="206"/>
        <v>3</v>
      </c>
      <c r="W1326">
        <f t="shared" si="207"/>
        <v>1</v>
      </c>
      <c r="X1326">
        <f t="shared" si="208"/>
        <v>2.8000000000000003</v>
      </c>
      <c r="Y1326" t="str">
        <f t="shared" si="209"/>
        <v>Move Immediately</v>
      </c>
    </row>
    <row r="1327" spans="1:25" x14ac:dyDescent="0.35">
      <c r="A1327" t="s">
        <v>14</v>
      </c>
      <c r="B1327" t="s">
        <v>58</v>
      </c>
      <c r="C1327" t="s">
        <v>162</v>
      </c>
      <c r="D1327" t="s">
        <v>1126</v>
      </c>
      <c r="E1327">
        <v>82303862</v>
      </c>
      <c r="F1327" t="s">
        <v>1127</v>
      </c>
      <c r="G1327" s="3">
        <v>45899</v>
      </c>
      <c r="H1327">
        <v>60</v>
      </c>
      <c r="I1327">
        <v>0</v>
      </c>
      <c r="J1327">
        <v>33</v>
      </c>
      <c r="K1327" s="4">
        <v>16942.53</v>
      </c>
      <c r="L1327" s="4">
        <f>0</f>
        <v>0</v>
      </c>
      <c r="M1327" s="4">
        <f>999</f>
        <v>999</v>
      </c>
      <c r="N1327" t="s">
        <v>19</v>
      </c>
      <c r="O1327" t="str">
        <f t="shared" si="200"/>
        <v>High</v>
      </c>
      <c r="P1327" t="str">
        <f t="shared" si="201"/>
        <v>High</v>
      </c>
      <c r="Q1327" t="str">
        <f t="shared" si="202"/>
        <v>High</v>
      </c>
      <c r="R1327" t="s">
        <v>3317</v>
      </c>
      <c r="S1327" s="4">
        <f t="shared" ca="1" si="203"/>
        <v>-298</v>
      </c>
      <c r="T1327">
        <f t="shared" si="204"/>
        <v>3</v>
      </c>
      <c r="U1327">
        <f t="shared" si="205"/>
        <v>3</v>
      </c>
      <c r="V1327">
        <f t="shared" si="206"/>
        <v>3</v>
      </c>
      <c r="W1327">
        <f t="shared" si="207"/>
        <v>1</v>
      </c>
      <c r="X1327">
        <f t="shared" si="208"/>
        <v>2.8000000000000003</v>
      </c>
      <c r="Y1327" t="str">
        <f t="shared" si="209"/>
        <v>Move Immediately</v>
      </c>
    </row>
    <row r="1328" spans="1:25" x14ac:dyDescent="0.35">
      <c r="A1328" t="s">
        <v>29</v>
      </c>
      <c r="B1328" t="s">
        <v>30</v>
      </c>
      <c r="C1328" t="s">
        <v>276</v>
      </c>
      <c r="D1328" t="s">
        <v>1128</v>
      </c>
      <c r="E1328">
        <v>81735973</v>
      </c>
      <c r="F1328" t="s">
        <v>1129</v>
      </c>
      <c r="G1328" s="3">
        <v>45527</v>
      </c>
      <c r="H1328">
        <v>36</v>
      </c>
      <c r="I1328">
        <v>0</v>
      </c>
      <c r="J1328">
        <v>3</v>
      </c>
      <c r="K1328" s="4">
        <v>4797.45</v>
      </c>
      <c r="L1328" s="4">
        <f>0</f>
        <v>0</v>
      </c>
      <c r="M1328" s="4">
        <f>999</f>
        <v>999</v>
      </c>
      <c r="N1328" t="s">
        <v>19</v>
      </c>
      <c r="O1328" t="str">
        <f t="shared" si="200"/>
        <v>High</v>
      </c>
      <c r="P1328" t="str">
        <f t="shared" si="201"/>
        <v>High</v>
      </c>
      <c r="Q1328" t="str">
        <f t="shared" si="202"/>
        <v>High</v>
      </c>
      <c r="R1328" t="s">
        <v>3317</v>
      </c>
      <c r="S1328" s="4">
        <f t="shared" ca="1" si="203"/>
        <v>-670</v>
      </c>
      <c r="T1328">
        <f t="shared" si="204"/>
        <v>3</v>
      </c>
      <c r="U1328">
        <f t="shared" si="205"/>
        <v>3</v>
      </c>
      <c r="V1328">
        <f t="shared" si="206"/>
        <v>3</v>
      </c>
      <c r="W1328">
        <f t="shared" si="207"/>
        <v>1</v>
      </c>
      <c r="X1328">
        <f t="shared" si="208"/>
        <v>2.8000000000000003</v>
      </c>
      <c r="Y1328" t="str">
        <f t="shared" si="209"/>
        <v>Move Immediately</v>
      </c>
    </row>
    <row r="1329" spans="1:25" x14ac:dyDescent="0.35">
      <c r="A1329" t="s">
        <v>14</v>
      </c>
      <c r="B1329" t="s">
        <v>115</v>
      </c>
      <c r="C1329" t="s">
        <v>1130</v>
      </c>
      <c r="D1329" t="s">
        <v>1131</v>
      </c>
      <c r="E1329">
        <v>82323183</v>
      </c>
      <c r="F1329" t="s">
        <v>1132</v>
      </c>
      <c r="G1329" s="3">
        <v>47429</v>
      </c>
      <c r="H1329">
        <v>60</v>
      </c>
      <c r="I1329">
        <v>69</v>
      </c>
      <c r="J1329">
        <v>297</v>
      </c>
      <c r="K1329" s="4">
        <v>8838.7199999999993</v>
      </c>
      <c r="L1329" s="4">
        <f>0</f>
        <v>0</v>
      </c>
      <c r="M1329" s="4">
        <f>999</f>
        <v>999</v>
      </c>
      <c r="N1329" t="s">
        <v>19</v>
      </c>
      <c r="O1329" t="str">
        <f t="shared" si="200"/>
        <v>Low</v>
      </c>
      <c r="P1329" t="str">
        <f t="shared" si="201"/>
        <v>High</v>
      </c>
      <c r="Q1329" t="str">
        <f t="shared" si="202"/>
        <v>High</v>
      </c>
      <c r="R1329" t="s">
        <v>3317</v>
      </c>
      <c r="S1329" s="4">
        <f t="shared" ca="1" si="203"/>
        <v>1232</v>
      </c>
      <c r="T1329">
        <f t="shared" si="204"/>
        <v>1</v>
      </c>
      <c r="U1329">
        <f t="shared" si="205"/>
        <v>3</v>
      </c>
      <c r="V1329">
        <f t="shared" si="206"/>
        <v>3</v>
      </c>
      <c r="W1329">
        <f t="shared" si="207"/>
        <v>1</v>
      </c>
      <c r="X1329">
        <f t="shared" si="208"/>
        <v>2</v>
      </c>
      <c r="Y1329" t="str">
        <f t="shared" si="209"/>
        <v>Monitor</v>
      </c>
    </row>
    <row r="1330" spans="1:25" x14ac:dyDescent="0.35">
      <c r="A1330" t="s">
        <v>14</v>
      </c>
      <c r="B1330" t="s">
        <v>115</v>
      </c>
      <c r="C1330" t="s">
        <v>1130</v>
      </c>
      <c r="D1330" t="s">
        <v>1131</v>
      </c>
      <c r="E1330">
        <v>82323183</v>
      </c>
      <c r="F1330" t="s">
        <v>1132</v>
      </c>
      <c r="G1330" s="3">
        <v>47428</v>
      </c>
      <c r="H1330">
        <v>60</v>
      </c>
      <c r="I1330">
        <v>69</v>
      </c>
      <c r="J1330">
        <v>516</v>
      </c>
      <c r="K1330" s="4">
        <v>15356.16</v>
      </c>
      <c r="L1330" s="4">
        <f>0</f>
        <v>0</v>
      </c>
      <c r="M1330" s="4">
        <f>999</f>
        <v>999</v>
      </c>
      <c r="N1330" t="s">
        <v>19</v>
      </c>
      <c r="O1330" t="str">
        <f t="shared" si="200"/>
        <v>Low</v>
      </c>
      <c r="P1330" t="str">
        <f t="shared" si="201"/>
        <v>High</v>
      </c>
      <c r="Q1330" t="str">
        <f t="shared" si="202"/>
        <v>High</v>
      </c>
      <c r="R1330" t="s">
        <v>3317</v>
      </c>
      <c r="S1330" s="4">
        <f t="shared" ca="1" si="203"/>
        <v>1231</v>
      </c>
      <c r="T1330">
        <f t="shared" si="204"/>
        <v>1</v>
      </c>
      <c r="U1330">
        <f t="shared" si="205"/>
        <v>3</v>
      </c>
      <c r="V1330">
        <f t="shared" si="206"/>
        <v>3</v>
      </c>
      <c r="W1330">
        <f t="shared" si="207"/>
        <v>1</v>
      </c>
      <c r="X1330">
        <f t="shared" si="208"/>
        <v>2</v>
      </c>
      <c r="Y1330" t="str">
        <f t="shared" si="209"/>
        <v>Monitor</v>
      </c>
    </row>
    <row r="1331" spans="1:25" x14ac:dyDescent="0.35">
      <c r="A1331" t="s">
        <v>41</v>
      </c>
      <c r="B1331" t="s">
        <v>54</v>
      </c>
      <c r="C1331" t="s">
        <v>293</v>
      </c>
      <c r="D1331" t="s">
        <v>1133</v>
      </c>
      <c r="E1331">
        <v>80689220</v>
      </c>
      <c r="F1331" t="s">
        <v>1134</v>
      </c>
      <c r="G1331" s="3">
        <v>45507</v>
      </c>
      <c r="H1331">
        <v>18</v>
      </c>
      <c r="I1331">
        <v>0</v>
      </c>
      <c r="J1331">
        <v>7</v>
      </c>
      <c r="K1331" s="4">
        <v>164.64</v>
      </c>
      <c r="L1331" s="4">
        <f>0</f>
        <v>0</v>
      </c>
      <c r="M1331" s="4">
        <f>999</f>
        <v>999</v>
      </c>
      <c r="N1331" t="s">
        <v>19</v>
      </c>
      <c r="O1331" t="str">
        <f t="shared" si="200"/>
        <v>High</v>
      </c>
      <c r="P1331" t="str">
        <f t="shared" si="201"/>
        <v>High</v>
      </c>
      <c r="Q1331" t="str">
        <f t="shared" si="202"/>
        <v>High</v>
      </c>
      <c r="R1331" t="s">
        <v>3317</v>
      </c>
      <c r="S1331" s="4">
        <f t="shared" ca="1" si="203"/>
        <v>-690</v>
      </c>
      <c r="T1331">
        <f t="shared" si="204"/>
        <v>3</v>
      </c>
      <c r="U1331">
        <f t="shared" si="205"/>
        <v>3</v>
      </c>
      <c r="V1331">
        <f t="shared" si="206"/>
        <v>3</v>
      </c>
      <c r="W1331">
        <f t="shared" si="207"/>
        <v>1</v>
      </c>
      <c r="X1331">
        <f t="shared" si="208"/>
        <v>2.8000000000000003</v>
      </c>
      <c r="Y1331" t="str">
        <f t="shared" si="209"/>
        <v>Move Immediately</v>
      </c>
    </row>
    <row r="1332" spans="1:25" x14ac:dyDescent="0.35">
      <c r="A1332" t="s">
        <v>41</v>
      </c>
      <c r="B1332" t="s">
        <v>54</v>
      </c>
      <c r="C1332" t="s">
        <v>293</v>
      </c>
      <c r="D1332" t="s">
        <v>1133</v>
      </c>
      <c r="E1332">
        <v>80689220</v>
      </c>
      <c r="F1332" t="s">
        <v>1134</v>
      </c>
      <c r="G1332" s="3">
        <v>46470</v>
      </c>
      <c r="H1332">
        <v>18</v>
      </c>
      <c r="I1332">
        <v>51</v>
      </c>
      <c r="J1332">
        <v>6</v>
      </c>
      <c r="K1332" s="4">
        <v>124.92</v>
      </c>
      <c r="L1332" s="4">
        <f>0</f>
        <v>0</v>
      </c>
      <c r="M1332" s="4">
        <f>999</f>
        <v>999</v>
      </c>
      <c r="N1332" t="s">
        <v>19</v>
      </c>
      <c r="O1332" t="str">
        <f t="shared" si="200"/>
        <v>Low</v>
      </c>
      <c r="P1332" t="str">
        <f t="shared" si="201"/>
        <v>High</v>
      </c>
      <c r="Q1332" t="str">
        <f t="shared" si="202"/>
        <v>High</v>
      </c>
      <c r="R1332" t="s">
        <v>3317</v>
      </c>
      <c r="S1332" s="4">
        <f t="shared" ca="1" si="203"/>
        <v>273</v>
      </c>
      <c r="T1332">
        <f t="shared" si="204"/>
        <v>1</v>
      </c>
      <c r="U1332">
        <f t="shared" si="205"/>
        <v>3</v>
      </c>
      <c r="V1332">
        <f t="shared" si="206"/>
        <v>3</v>
      </c>
      <c r="W1332">
        <f t="shared" si="207"/>
        <v>1</v>
      </c>
      <c r="X1332">
        <f t="shared" si="208"/>
        <v>2</v>
      </c>
      <c r="Y1332" t="str">
        <f t="shared" si="209"/>
        <v>Monitor</v>
      </c>
    </row>
    <row r="1333" spans="1:25" x14ac:dyDescent="0.35">
      <c r="A1333" t="s">
        <v>99</v>
      </c>
      <c r="B1333" t="s">
        <v>100</v>
      </c>
      <c r="C1333" t="s">
        <v>101</v>
      </c>
      <c r="D1333" t="s">
        <v>1135</v>
      </c>
      <c r="E1333">
        <v>82308604</v>
      </c>
      <c r="F1333" t="s">
        <v>1136</v>
      </c>
      <c r="G1333" s="3">
        <v>44411</v>
      </c>
      <c r="H1333">
        <v>18</v>
      </c>
      <c r="I1333">
        <v>0</v>
      </c>
      <c r="J1333">
        <v>2</v>
      </c>
      <c r="K1333" s="4">
        <v>407.08</v>
      </c>
      <c r="L1333" s="4">
        <f>0</f>
        <v>0</v>
      </c>
      <c r="M1333" s="4">
        <f>999</f>
        <v>999</v>
      </c>
      <c r="N1333" t="s">
        <v>19</v>
      </c>
      <c r="O1333" t="str">
        <f t="shared" si="200"/>
        <v>High</v>
      </c>
      <c r="P1333" t="str">
        <f t="shared" si="201"/>
        <v>High</v>
      </c>
      <c r="Q1333" t="str">
        <f t="shared" si="202"/>
        <v>High</v>
      </c>
      <c r="R1333" t="s">
        <v>3317</v>
      </c>
      <c r="S1333" s="4">
        <f t="shared" ca="1" si="203"/>
        <v>-1786</v>
      </c>
      <c r="T1333">
        <f t="shared" si="204"/>
        <v>3</v>
      </c>
      <c r="U1333">
        <f t="shared" si="205"/>
        <v>3</v>
      </c>
      <c r="V1333">
        <f t="shared" si="206"/>
        <v>3</v>
      </c>
      <c r="W1333">
        <f t="shared" si="207"/>
        <v>1</v>
      </c>
      <c r="X1333">
        <f t="shared" si="208"/>
        <v>2.8000000000000003</v>
      </c>
      <c r="Y1333" t="str">
        <f t="shared" si="209"/>
        <v>Move Immediately</v>
      </c>
    </row>
    <row r="1334" spans="1:25" x14ac:dyDescent="0.35">
      <c r="A1334" t="s">
        <v>99</v>
      </c>
      <c r="B1334" t="s">
        <v>100</v>
      </c>
      <c r="C1334" t="s">
        <v>101</v>
      </c>
      <c r="D1334" t="s">
        <v>1135</v>
      </c>
      <c r="E1334">
        <v>82308604</v>
      </c>
      <c r="F1334" t="s">
        <v>1136</v>
      </c>
      <c r="G1334" s="3">
        <v>44445</v>
      </c>
      <c r="H1334">
        <v>18</v>
      </c>
      <c r="I1334">
        <v>0</v>
      </c>
      <c r="J1334">
        <v>18</v>
      </c>
      <c r="K1334" s="4">
        <v>3663.72</v>
      </c>
      <c r="L1334" s="4">
        <f>0</f>
        <v>0</v>
      </c>
      <c r="M1334" s="4">
        <f>999</f>
        <v>999</v>
      </c>
      <c r="N1334" t="s">
        <v>19</v>
      </c>
      <c r="O1334" t="str">
        <f t="shared" si="200"/>
        <v>High</v>
      </c>
      <c r="P1334" t="str">
        <f t="shared" si="201"/>
        <v>High</v>
      </c>
      <c r="Q1334" t="str">
        <f t="shared" si="202"/>
        <v>High</v>
      </c>
      <c r="R1334" t="s">
        <v>3317</v>
      </c>
      <c r="S1334" s="4">
        <f t="shared" ca="1" si="203"/>
        <v>-1752</v>
      </c>
      <c r="T1334">
        <f t="shared" si="204"/>
        <v>3</v>
      </c>
      <c r="U1334">
        <f t="shared" si="205"/>
        <v>3</v>
      </c>
      <c r="V1334">
        <f t="shared" si="206"/>
        <v>3</v>
      </c>
      <c r="W1334">
        <f t="shared" si="207"/>
        <v>1</v>
      </c>
      <c r="X1334">
        <f t="shared" si="208"/>
        <v>2.8000000000000003</v>
      </c>
      <c r="Y1334" t="str">
        <f t="shared" si="209"/>
        <v>Move Immediately</v>
      </c>
    </row>
    <row r="1335" spans="1:25" x14ac:dyDescent="0.35">
      <c r="A1335" t="s">
        <v>99</v>
      </c>
      <c r="B1335" t="s">
        <v>100</v>
      </c>
      <c r="C1335" t="s">
        <v>101</v>
      </c>
      <c r="D1335" t="s">
        <v>1137</v>
      </c>
      <c r="E1335">
        <v>82308642</v>
      </c>
      <c r="F1335" t="s">
        <v>1138</v>
      </c>
      <c r="G1335" s="3">
        <v>45023</v>
      </c>
      <c r="H1335">
        <v>18</v>
      </c>
      <c r="I1335">
        <v>0</v>
      </c>
      <c r="J1335">
        <v>2</v>
      </c>
      <c r="K1335" s="4">
        <v>125.22</v>
      </c>
      <c r="L1335" s="4">
        <f>0</f>
        <v>0</v>
      </c>
      <c r="M1335" s="4">
        <f>999</f>
        <v>999</v>
      </c>
      <c r="N1335" t="s">
        <v>19</v>
      </c>
      <c r="O1335" t="str">
        <f t="shared" si="200"/>
        <v>High</v>
      </c>
      <c r="P1335" t="str">
        <f t="shared" si="201"/>
        <v>High</v>
      </c>
      <c r="Q1335" t="str">
        <f t="shared" si="202"/>
        <v>High</v>
      </c>
      <c r="R1335" t="s">
        <v>3317</v>
      </c>
      <c r="S1335" s="4">
        <f t="shared" ca="1" si="203"/>
        <v>-1174</v>
      </c>
      <c r="T1335">
        <f t="shared" si="204"/>
        <v>3</v>
      </c>
      <c r="U1335">
        <f t="shared" si="205"/>
        <v>3</v>
      </c>
      <c r="V1335">
        <f t="shared" si="206"/>
        <v>3</v>
      </c>
      <c r="W1335">
        <f t="shared" si="207"/>
        <v>1</v>
      </c>
      <c r="X1335">
        <f t="shared" si="208"/>
        <v>2.8000000000000003</v>
      </c>
      <c r="Y1335" t="str">
        <f t="shared" si="209"/>
        <v>Move Immediately</v>
      </c>
    </row>
    <row r="1336" spans="1:25" x14ac:dyDescent="0.35">
      <c r="A1336" t="s">
        <v>99</v>
      </c>
      <c r="B1336" t="s">
        <v>100</v>
      </c>
      <c r="C1336" t="s">
        <v>101</v>
      </c>
      <c r="D1336" t="s">
        <v>1137</v>
      </c>
      <c r="E1336">
        <v>82308642</v>
      </c>
      <c r="F1336" t="s">
        <v>1138</v>
      </c>
      <c r="G1336" s="3">
        <v>44312</v>
      </c>
      <c r="H1336">
        <v>18</v>
      </c>
      <c r="I1336">
        <v>0</v>
      </c>
      <c r="J1336">
        <v>142</v>
      </c>
      <c r="K1336" s="4">
        <v>8890.6200000000008</v>
      </c>
      <c r="L1336" s="4">
        <f>0</f>
        <v>0</v>
      </c>
      <c r="M1336" s="4">
        <f>999</f>
        <v>999</v>
      </c>
      <c r="N1336" t="s">
        <v>19</v>
      </c>
      <c r="O1336" t="str">
        <f t="shared" si="200"/>
        <v>High</v>
      </c>
      <c r="P1336" t="str">
        <f t="shared" si="201"/>
        <v>High</v>
      </c>
      <c r="Q1336" t="str">
        <f t="shared" si="202"/>
        <v>High</v>
      </c>
      <c r="R1336" t="s">
        <v>3317</v>
      </c>
      <c r="S1336" s="4">
        <f t="shared" ca="1" si="203"/>
        <v>-1885</v>
      </c>
      <c r="T1336">
        <f t="shared" si="204"/>
        <v>3</v>
      </c>
      <c r="U1336">
        <f t="shared" si="205"/>
        <v>3</v>
      </c>
      <c r="V1336">
        <f t="shared" si="206"/>
        <v>3</v>
      </c>
      <c r="W1336">
        <f t="shared" si="207"/>
        <v>1</v>
      </c>
      <c r="X1336">
        <f t="shared" si="208"/>
        <v>2.8000000000000003</v>
      </c>
      <c r="Y1336" t="str">
        <f t="shared" si="209"/>
        <v>Move Immediately</v>
      </c>
    </row>
    <row r="1337" spans="1:25" x14ac:dyDescent="0.35">
      <c r="A1337" t="s">
        <v>20</v>
      </c>
      <c r="B1337" t="s">
        <v>21</v>
      </c>
      <c r="C1337" t="s">
        <v>313</v>
      </c>
      <c r="D1337" t="s">
        <v>1139</v>
      </c>
      <c r="E1337">
        <v>80694825</v>
      </c>
      <c r="F1337" t="s">
        <v>1140</v>
      </c>
      <c r="G1337" s="3">
        <v>47020</v>
      </c>
      <c r="H1337">
        <v>36</v>
      </c>
      <c r="I1337">
        <v>77</v>
      </c>
      <c r="J1337">
        <v>42</v>
      </c>
      <c r="K1337" s="4">
        <v>2822.4</v>
      </c>
      <c r="L1337" s="4">
        <f>0</f>
        <v>0</v>
      </c>
      <c r="M1337" s="4">
        <f>999</f>
        <v>999</v>
      </c>
      <c r="N1337" t="s">
        <v>19</v>
      </c>
      <c r="O1337" t="str">
        <f t="shared" si="200"/>
        <v>Low</v>
      </c>
      <c r="P1337" t="str">
        <f t="shared" si="201"/>
        <v>High</v>
      </c>
      <c r="Q1337" t="str">
        <f t="shared" si="202"/>
        <v>High</v>
      </c>
      <c r="R1337" t="s">
        <v>3317</v>
      </c>
      <c r="S1337" s="4">
        <f t="shared" ca="1" si="203"/>
        <v>823</v>
      </c>
      <c r="T1337">
        <f t="shared" si="204"/>
        <v>1</v>
      </c>
      <c r="U1337">
        <f t="shared" si="205"/>
        <v>3</v>
      </c>
      <c r="V1337">
        <f t="shared" si="206"/>
        <v>3</v>
      </c>
      <c r="W1337">
        <f t="shared" si="207"/>
        <v>1</v>
      </c>
      <c r="X1337">
        <f t="shared" si="208"/>
        <v>2</v>
      </c>
      <c r="Y1337" t="str">
        <f t="shared" si="209"/>
        <v>Monitor</v>
      </c>
    </row>
    <row r="1338" spans="1:25" x14ac:dyDescent="0.35">
      <c r="A1338" t="s">
        <v>41</v>
      </c>
      <c r="B1338" t="s">
        <v>42</v>
      </c>
      <c r="C1338" t="s">
        <v>43</v>
      </c>
      <c r="D1338" t="s">
        <v>1141</v>
      </c>
      <c r="E1338">
        <v>80687479</v>
      </c>
      <c r="F1338" t="s">
        <v>1142</v>
      </c>
      <c r="G1338" s="3">
        <v>45956</v>
      </c>
      <c r="H1338">
        <v>36</v>
      </c>
      <c r="I1338">
        <v>0</v>
      </c>
      <c r="J1338">
        <v>3</v>
      </c>
      <c r="K1338" s="4">
        <v>814.23</v>
      </c>
      <c r="L1338" s="4">
        <f>0</f>
        <v>0</v>
      </c>
      <c r="M1338" s="4">
        <f>999</f>
        <v>999</v>
      </c>
      <c r="N1338" t="s">
        <v>19</v>
      </c>
      <c r="O1338" t="str">
        <f t="shared" si="200"/>
        <v>High</v>
      </c>
      <c r="P1338" t="str">
        <f t="shared" si="201"/>
        <v>High</v>
      </c>
      <c r="Q1338" t="str">
        <f t="shared" si="202"/>
        <v>High</v>
      </c>
      <c r="R1338" t="s">
        <v>3317</v>
      </c>
      <c r="S1338" s="4">
        <f t="shared" ca="1" si="203"/>
        <v>-241</v>
      </c>
      <c r="T1338">
        <f t="shared" si="204"/>
        <v>3</v>
      </c>
      <c r="U1338">
        <f t="shared" si="205"/>
        <v>3</v>
      </c>
      <c r="V1338">
        <f t="shared" si="206"/>
        <v>3</v>
      </c>
      <c r="W1338">
        <f t="shared" si="207"/>
        <v>1</v>
      </c>
      <c r="X1338">
        <f t="shared" si="208"/>
        <v>2.8000000000000003</v>
      </c>
      <c r="Y1338" t="str">
        <f t="shared" si="209"/>
        <v>Move Immediately</v>
      </c>
    </row>
    <row r="1339" spans="1:25" x14ac:dyDescent="0.35">
      <c r="A1339" t="s">
        <v>41</v>
      </c>
      <c r="B1339" t="s">
        <v>42</v>
      </c>
      <c r="C1339" t="s">
        <v>43</v>
      </c>
      <c r="D1339" t="s">
        <v>1141</v>
      </c>
      <c r="E1339">
        <v>80687479</v>
      </c>
      <c r="F1339" t="s">
        <v>1142</v>
      </c>
      <c r="G1339" s="3">
        <v>47020</v>
      </c>
      <c r="H1339">
        <v>36</v>
      </c>
      <c r="I1339">
        <v>77</v>
      </c>
      <c r="J1339">
        <v>13</v>
      </c>
      <c r="K1339" s="4">
        <v>3528.33</v>
      </c>
      <c r="L1339" s="4">
        <f>0</f>
        <v>0</v>
      </c>
      <c r="M1339" s="4">
        <f>999</f>
        <v>999</v>
      </c>
      <c r="N1339" t="s">
        <v>19</v>
      </c>
      <c r="O1339" t="str">
        <f t="shared" si="200"/>
        <v>Low</v>
      </c>
      <c r="P1339" t="str">
        <f t="shared" si="201"/>
        <v>High</v>
      </c>
      <c r="Q1339" t="str">
        <f t="shared" si="202"/>
        <v>High</v>
      </c>
      <c r="R1339" t="s">
        <v>3317</v>
      </c>
      <c r="S1339" s="4">
        <f t="shared" ca="1" si="203"/>
        <v>823</v>
      </c>
      <c r="T1339">
        <f t="shared" si="204"/>
        <v>1</v>
      </c>
      <c r="U1339">
        <f t="shared" si="205"/>
        <v>3</v>
      </c>
      <c r="V1339">
        <f t="shared" si="206"/>
        <v>3</v>
      </c>
      <c r="W1339">
        <f t="shared" si="207"/>
        <v>1</v>
      </c>
      <c r="X1339">
        <f t="shared" si="208"/>
        <v>2</v>
      </c>
      <c r="Y1339" t="str">
        <f t="shared" si="209"/>
        <v>Monitor</v>
      </c>
    </row>
    <row r="1340" spans="1:25" x14ac:dyDescent="0.35">
      <c r="A1340" t="s">
        <v>41</v>
      </c>
      <c r="B1340" t="s">
        <v>42</v>
      </c>
      <c r="C1340" t="s">
        <v>365</v>
      </c>
      <c r="D1340" t="s">
        <v>396</v>
      </c>
      <c r="E1340">
        <v>80696618</v>
      </c>
      <c r="F1340" t="s">
        <v>1143</v>
      </c>
      <c r="G1340" s="3">
        <v>47020</v>
      </c>
      <c r="H1340">
        <v>36</v>
      </c>
      <c r="I1340">
        <v>77</v>
      </c>
      <c r="J1340">
        <v>1</v>
      </c>
      <c r="K1340" s="4">
        <v>590.54999999999995</v>
      </c>
      <c r="L1340" s="4">
        <f>0</f>
        <v>0</v>
      </c>
      <c r="M1340" s="4">
        <f>999</f>
        <v>999</v>
      </c>
      <c r="N1340" t="s">
        <v>19</v>
      </c>
      <c r="O1340" t="str">
        <f t="shared" si="200"/>
        <v>Low</v>
      </c>
      <c r="P1340" t="str">
        <f t="shared" si="201"/>
        <v>High</v>
      </c>
      <c r="Q1340" t="str">
        <f t="shared" si="202"/>
        <v>High</v>
      </c>
      <c r="R1340" t="s">
        <v>3317</v>
      </c>
      <c r="S1340" s="4">
        <f t="shared" ca="1" si="203"/>
        <v>823</v>
      </c>
      <c r="T1340">
        <f t="shared" si="204"/>
        <v>1</v>
      </c>
      <c r="U1340">
        <f t="shared" si="205"/>
        <v>3</v>
      </c>
      <c r="V1340">
        <f t="shared" si="206"/>
        <v>3</v>
      </c>
      <c r="W1340">
        <f t="shared" si="207"/>
        <v>1</v>
      </c>
      <c r="X1340">
        <f t="shared" si="208"/>
        <v>2</v>
      </c>
      <c r="Y1340" t="str">
        <f t="shared" si="209"/>
        <v>Monitor</v>
      </c>
    </row>
    <row r="1341" spans="1:25" x14ac:dyDescent="0.35">
      <c r="A1341" t="s">
        <v>41</v>
      </c>
      <c r="B1341" t="s">
        <v>54</v>
      </c>
      <c r="C1341" t="s">
        <v>87</v>
      </c>
      <c r="D1341" t="s">
        <v>88</v>
      </c>
      <c r="E1341">
        <v>80717006</v>
      </c>
      <c r="F1341" t="s">
        <v>1144</v>
      </c>
      <c r="G1341" s="3">
        <v>47020</v>
      </c>
      <c r="H1341">
        <v>36</v>
      </c>
      <c r="I1341">
        <v>77</v>
      </c>
      <c r="J1341">
        <v>12</v>
      </c>
      <c r="K1341" s="4">
        <v>8218.08</v>
      </c>
      <c r="L1341" s="4">
        <v>10.571428571428571</v>
      </c>
      <c r="M1341" s="4">
        <v>1.1351351351351351</v>
      </c>
      <c r="N1341" t="s">
        <v>25</v>
      </c>
      <c r="O1341" t="str">
        <f t="shared" si="200"/>
        <v>Low</v>
      </c>
      <c r="P1341" t="str">
        <f t="shared" si="201"/>
        <v>Low</v>
      </c>
      <c r="Q1341" t="str">
        <f t="shared" si="202"/>
        <v>Medium</v>
      </c>
      <c r="R1341" t="s">
        <v>3317</v>
      </c>
      <c r="S1341" s="4">
        <f t="shared" ca="1" si="203"/>
        <v>823</v>
      </c>
      <c r="T1341">
        <f t="shared" si="204"/>
        <v>1</v>
      </c>
      <c r="U1341">
        <f t="shared" si="205"/>
        <v>1</v>
      </c>
      <c r="V1341">
        <f t="shared" si="206"/>
        <v>2</v>
      </c>
      <c r="W1341">
        <f t="shared" si="207"/>
        <v>1</v>
      </c>
      <c r="X1341">
        <f t="shared" si="208"/>
        <v>1.2000000000000002</v>
      </c>
      <c r="Y1341" t="str">
        <f t="shared" si="209"/>
        <v>Healthy</v>
      </c>
    </row>
    <row r="1342" spans="1:25" x14ac:dyDescent="0.35">
      <c r="A1342" t="s">
        <v>29</v>
      </c>
      <c r="B1342" t="s">
        <v>30</v>
      </c>
      <c r="C1342" t="s">
        <v>147</v>
      </c>
      <c r="D1342" t="s">
        <v>1145</v>
      </c>
      <c r="E1342">
        <v>82332638</v>
      </c>
      <c r="F1342" t="s">
        <v>1146</v>
      </c>
      <c r="G1342" s="3">
        <v>46291</v>
      </c>
      <c r="H1342">
        <v>36</v>
      </c>
      <c r="I1342">
        <v>9</v>
      </c>
      <c r="J1342">
        <v>32</v>
      </c>
      <c r="K1342" s="4">
        <v>10214.08</v>
      </c>
      <c r="L1342" s="4">
        <v>54</v>
      </c>
      <c r="M1342" s="4">
        <v>0.59259259259259256</v>
      </c>
      <c r="N1342" t="s">
        <v>25</v>
      </c>
      <c r="O1342" t="str">
        <f t="shared" si="200"/>
        <v>High</v>
      </c>
      <c r="P1342" t="str">
        <f t="shared" si="201"/>
        <v>Low</v>
      </c>
      <c r="Q1342" t="str">
        <f t="shared" si="202"/>
        <v>Low</v>
      </c>
      <c r="R1342" t="s">
        <v>3317</v>
      </c>
      <c r="S1342" s="4">
        <f t="shared" ca="1" si="203"/>
        <v>94</v>
      </c>
      <c r="T1342">
        <f t="shared" si="204"/>
        <v>3</v>
      </c>
      <c r="U1342">
        <f t="shared" si="205"/>
        <v>1</v>
      </c>
      <c r="V1342">
        <f t="shared" si="206"/>
        <v>1</v>
      </c>
      <c r="W1342">
        <f t="shared" si="207"/>
        <v>1</v>
      </c>
      <c r="X1342">
        <f t="shared" si="208"/>
        <v>1.8000000000000003</v>
      </c>
      <c r="Y1342" t="str">
        <f t="shared" si="209"/>
        <v>Monitor</v>
      </c>
    </row>
    <row r="1343" spans="1:25" x14ac:dyDescent="0.35">
      <c r="A1343" t="s">
        <v>29</v>
      </c>
      <c r="B1343" t="s">
        <v>30</v>
      </c>
      <c r="C1343" t="s">
        <v>147</v>
      </c>
      <c r="D1343" t="s">
        <v>1145</v>
      </c>
      <c r="E1343">
        <v>82332638</v>
      </c>
      <c r="F1343" t="s">
        <v>1146</v>
      </c>
      <c r="G1343" s="3">
        <v>46527</v>
      </c>
      <c r="H1343">
        <v>36</v>
      </c>
      <c r="I1343">
        <v>31</v>
      </c>
      <c r="J1343">
        <v>2</v>
      </c>
      <c r="K1343" s="4">
        <v>638.38</v>
      </c>
      <c r="L1343" s="4">
        <v>54</v>
      </c>
      <c r="M1343" s="4">
        <v>3.7037037037037035E-2</v>
      </c>
      <c r="N1343" t="s">
        <v>25</v>
      </c>
      <c r="O1343" t="str">
        <f t="shared" si="200"/>
        <v>Medium</v>
      </c>
      <c r="P1343" t="str">
        <f t="shared" si="201"/>
        <v>Low</v>
      </c>
      <c r="Q1343" t="str">
        <f t="shared" si="202"/>
        <v>Low</v>
      </c>
      <c r="R1343" t="s">
        <v>3317</v>
      </c>
      <c r="S1343" s="4">
        <f t="shared" ca="1" si="203"/>
        <v>330</v>
      </c>
      <c r="T1343">
        <f t="shared" si="204"/>
        <v>2</v>
      </c>
      <c r="U1343">
        <f t="shared" si="205"/>
        <v>1</v>
      </c>
      <c r="V1343">
        <f t="shared" si="206"/>
        <v>1</v>
      </c>
      <c r="W1343">
        <f t="shared" si="207"/>
        <v>1</v>
      </c>
      <c r="X1343">
        <f t="shared" si="208"/>
        <v>1.4000000000000001</v>
      </c>
      <c r="Y1343" t="str">
        <f t="shared" si="209"/>
        <v>Healthy</v>
      </c>
    </row>
    <row r="1344" spans="1:25" x14ac:dyDescent="0.35">
      <c r="A1344" t="s">
        <v>71</v>
      </c>
      <c r="B1344" t="s">
        <v>72</v>
      </c>
      <c r="C1344" t="s">
        <v>386</v>
      </c>
      <c r="D1344" t="s">
        <v>595</v>
      </c>
      <c r="E1344">
        <v>80716440</v>
      </c>
      <c r="F1344" t="s">
        <v>1147</v>
      </c>
      <c r="G1344" s="3">
        <v>47020</v>
      </c>
      <c r="H1344">
        <v>36</v>
      </c>
      <c r="I1344">
        <v>77</v>
      </c>
      <c r="J1344">
        <v>2</v>
      </c>
      <c r="K1344" s="4">
        <v>598.38</v>
      </c>
      <c r="L1344" s="4">
        <f>0</f>
        <v>0</v>
      </c>
      <c r="M1344" s="4">
        <f>999</f>
        <v>999</v>
      </c>
      <c r="N1344" t="s">
        <v>19</v>
      </c>
      <c r="O1344" t="str">
        <f t="shared" si="200"/>
        <v>Low</v>
      </c>
      <c r="P1344" t="str">
        <f t="shared" si="201"/>
        <v>High</v>
      </c>
      <c r="Q1344" t="str">
        <f t="shared" si="202"/>
        <v>High</v>
      </c>
      <c r="R1344" t="s">
        <v>3317</v>
      </c>
      <c r="S1344" s="4">
        <f t="shared" ca="1" si="203"/>
        <v>823</v>
      </c>
      <c r="T1344">
        <f t="shared" si="204"/>
        <v>1</v>
      </c>
      <c r="U1344">
        <f t="shared" si="205"/>
        <v>3</v>
      </c>
      <c r="V1344">
        <f t="shared" si="206"/>
        <v>3</v>
      </c>
      <c r="W1344">
        <f t="shared" si="207"/>
        <v>1</v>
      </c>
      <c r="X1344">
        <f t="shared" si="208"/>
        <v>2</v>
      </c>
      <c r="Y1344" t="str">
        <f t="shared" si="209"/>
        <v>Monitor</v>
      </c>
    </row>
    <row r="1345" spans="1:25" x14ac:dyDescent="0.35">
      <c r="A1345" t="s">
        <v>29</v>
      </c>
      <c r="B1345" t="s">
        <v>30</v>
      </c>
      <c r="C1345" t="s">
        <v>290</v>
      </c>
      <c r="D1345" t="s">
        <v>1148</v>
      </c>
      <c r="E1345">
        <v>80710906</v>
      </c>
      <c r="F1345" t="s">
        <v>1149</v>
      </c>
      <c r="G1345" s="3">
        <v>45808</v>
      </c>
      <c r="H1345">
        <v>36</v>
      </c>
      <c r="I1345">
        <v>0</v>
      </c>
      <c r="J1345">
        <v>2</v>
      </c>
      <c r="K1345" s="4">
        <v>1598.34</v>
      </c>
      <c r="L1345" s="4">
        <f>0</f>
        <v>0</v>
      </c>
      <c r="M1345" s="4">
        <f>999</f>
        <v>999</v>
      </c>
      <c r="N1345" t="s">
        <v>19</v>
      </c>
      <c r="O1345" t="str">
        <f t="shared" si="200"/>
        <v>High</v>
      </c>
      <c r="P1345" t="str">
        <f t="shared" si="201"/>
        <v>High</v>
      </c>
      <c r="Q1345" t="str">
        <f t="shared" si="202"/>
        <v>High</v>
      </c>
      <c r="R1345" t="s">
        <v>3317</v>
      </c>
      <c r="S1345" s="4">
        <f t="shared" ca="1" si="203"/>
        <v>-389</v>
      </c>
      <c r="T1345">
        <f t="shared" si="204"/>
        <v>3</v>
      </c>
      <c r="U1345">
        <f t="shared" si="205"/>
        <v>3</v>
      </c>
      <c r="V1345">
        <f t="shared" si="206"/>
        <v>3</v>
      </c>
      <c r="W1345">
        <f t="shared" si="207"/>
        <v>1</v>
      </c>
      <c r="X1345">
        <f t="shared" si="208"/>
        <v>2.8000000000000003</v>
      </c>
      <c r="Y1345" t="str">
        <f t="shared" si="209"/>
        <v>Move Immediately</v>
      </c>
    </row>
    <row r="1346" spans="1:25" x14ac:dyDescent="0.35">
      <c r="A1346" t="s">
        <v>29</v>
      </c>
      <c r="B1346" t="s">
        <v>30</v>
      </c>
      <c r="C1346" t="s">
        <v>290</v>
      </c>
      <c r="D1346" t="s">
        <v>1148</v>
      </c>
      <c r="E1346">
        <v>80710906</v>
      </c>
      <c r="F1346" t="s">
        <v>1149</v>
      </c>
      <c r="G1346" s="3">
        <v>46965</v>
      </c>
      <c r="H1346">
        <v>36</v>
      </c>
      <c r="I1346">
        <v>72</v>
      </c>
      <c r="J1346">
        <v>7</v>
      </c>
      <c r="K1346" s="4">
        <v>5594.19</v>
      </c>
      <c r="L1346" s="4">
        <f>0</f>
        <v>0</v>
      </c>
      <c r="M1346" s="4">
        <f>999</f>
        <v>999</v>
      </c>
      <c r="N1346" t="s">
        <v>19</v>
      </c>
      <c r="O1346" t="str">
        <f t="shared" si="200"/>
        <v>Low</v>
      </c>
      <c r="P1346" t="str">
        <f t="shared" si="201"/>
        <v>High</v>
      </c>
      <c r="Q1346" t="str">
        <f t="shared" si="202"/>
        <v>High</v>
      </c>
      <c r="R1346" t="s">
        <v>3317</v>
      </c>
      <c r="S1346" s="4">
        <f t="shared" ca="1" si="203"/>
        <v>768</v>
      </c>
      <c r="T1346">
        <f t="shared" si="204"/>
        <v>1</v>
      </c>
      <c r="U1346">
        <f t="shared" si="205"/>
        <v>3</v>
      </c>
      <c r="V1346">
        <f t="shared" si="206"/>
        <v>3</v>
      </c>
      <c r="W1346">
        <f t="shared" si="207"/>
        <v>1</v>
      </c>
      <c r="X1346">
        <f t="shared" si="208"/>
        <v>2</v>
      </c>
      <c r="Y1346" t="str">
        <f t="shared" si="209"/>
        <v>Monitor</v>
      </c>
    </row>
    <row r="1347" spans="1:25" x14ac:dyDescent="0.35">
      <c r="A1347" t="s">
        <v>14</v>
      </c>
      <c r="B1347" t="s">
        <v>115</v>
      </c>
      <c r="C1347" t="s">
        <v>1130</v>
      </c>
      <c r="D1347" t="s">
        <v>1150</v>
      </c>
      <c r="E1347">
        <v>80722597</v>
      </c>
      <c r="F1347" t="s">
        <v>1151</v>
      </c>
      <c r="G1347" s="3">
        <v>47294</v>
      </c>
      <c r="H1347">
        <v>60</v>
      </c>
      <c r="I1347">
        <v>61</v>
      </c>
      <c r="J1347">
        <v>22</v>
      </c>
      <c r="K1347" s="4">
        <v>3141.16</v>
      </c>
      <c r="L1347" s="4">
        <v>5.7142857142857144</v>
      </c>
      <c r="M1347" s="4">
        <v>3.85</v>
      </c>
      <c r="N1347" t="s">
        <v>25</v>
      </c>
      <c r="O1347" t="str">
        <f t="shared" ref="O1347:O1410" si="210">IF(I1347&lt;20,"High",IF(I1347&lt;40,"Medium","Low"))</f>
        <v>Low</v>
      </c>
      <c r="P1347" t="str">
        <f t="shared" ref="P1347:P1410" si="211">IF(M1347&gt;8,"High",IF(M1347&gt;4,"Medium","Low"))</f>
        <v>Low</v>
      </c>
      <c r="Q1347" t="str">
        <f t="shared" ref="Q1347:Q1410" si="212">IF(L1347&lt;5,"High",IF(L1347&lt;15,"Medium","Low"))</f>
        <v>Medium</v>
      </c>
      <c r="R1347" t="s">
        <v>3317</v>
      </c>
      <c r="S1347" s="4">
        <f t="shared" ref="S1347:S1410" ca="1" si="213">G1347-TODAY()</f>
        <v>1097</v>
      </c>
      <c r="T1347">
        <f t="shared" ref="T1347:T1410" si="214">IF(O1347="High",3,IF(O1347="Medium",2,1))</f>
        <v>1</v>
      </c>
      <c r="U1347">
        <f t="shared" ref="U1347:U1410" si="215">IF(P1347="High",3,IF(P1347="Medium",2,1))</f>
        <v>1</v>
      </c>
      <c r="V1347">
        <f t="shared" ref="V1347:V1410" si="216">IF(Q1347="High",3,IF(Q1347="Medium",2,1))</f>
        <v>2</v>
      </c>
      <c r="W1347">
        <f t="shared" ref="W1347:W1410" si="217">IF(R1347="High",3,IF(R1347="Medium",2,1))</f>
        <v>1</v>
      </c>
      <c r="X1347">
        <f t="shared" ref="X1347:X1410" si="218">(0.4*T1347)+(0.3*U1347)+(0.2*V1347)+(0.1*W1347)</f>
        <v>1.2000000000000002</v>
      </c>
      <c r="Y1347" t="str">
        <f t="shared" ref="Y1347:Y1410" si="219">IF(X1347&gt;=2.7,"Move Immediately",IF(X1347&gt;=2.2,"High Priority",IF(X1347&gt;=1.7,"Monitor","Healthy")))</f>
        <v>Healthy</v>
      </c>
    </row>
    <row r="1348" spans="1:25" x14ac:dyDescent="0.35">
      <c r="A1348" t="s">
        <v>14</v>
      </c>
      <c r="B1348" t="s">
        <v>115</v>
      </c>
      <c r="C1348" t="s">
        <v>1130</v>
      </c>
      <c r="D1348" t="s">
        <v>1150</v>
      </c>
      <c r="E1348">
        <v>80722597</v>
      </c>
      <c r="F1348" t="s">
        <v>1151</v>
      </c>
      <c r="G1348" s="3">
        <v>47433</v>
      </c>
      <c r="H1348">
        <v>60</v>
      </c>
      <c r="I1348">
        <v>69</v>
      </c>
      <c r="J1348">
        <v>26</v>
      </c>
      <c r="K1348" s="4">
        <v>3712.28</v>
      </c>
      <c r="L1348" s="4">
        <v>5.7142857142857144</v>
      </c>
      <c r="M1348" s="4">
        <v>4.55</v>
      </c>
      <c r="N1348" t="s">
        <v>25</v>
      </c>
      <c r="O1348" t="str">
        <f t="shared" si="210"/>
        <v>Low</v>
      </c>
      <c r="P1348" t="str">
        <f t="shared" si="211"/>
        <v>Medium</v>
      </c>
      <c r="Q1348" t="str">
        <f t="shared" si="212"/>
        <v>Medium</v>
      </c>
      <c r="R1348" t="s">
        <v>3317</v>
      </c>
      <c r="S1348" s="4">
        <f t="shared" ca="1" si="213"/>
        <v>1236</v>
      </c>
      <c r="T1348">
        <f t="shared" si="214"/>
        <v>1</v>
      </c>
      <c r="U1348">
        <f t="shared" si="215"/>
        <v>2</v>
      </c>
      <c r="V1348">
        <f t="shared" si="216"/>
        <v>2</v>
      </c>
      <c r="W1348">
        <f t="shared" si="217"/>
        <v>1</v>
      </c>
      <c r="X1348">
        <f t="shared" si="218"/>
        <v>1.5</v>
      </c>
      <c r="Y1348" t="str">
        <f t="shared" si="219"/>
        <v>Healthy</v>
      </c>
    </row>
    <row r="1349" spans="1:25" x14ac:dyDescent="0.35">
      <c r="A1349" t="s">
        <v>14</v>
      </c>
      <c r="B1349" t="s">
        <v>115</v>
      </c>
      <c r="C1349" t="s">
        <v>1130</v>
      </c>
      <c r="D1349" t="s">
        <v>1150</v>
      </c>
      <c r="E1349">
        <v>80722597</v>
      </c>
      <c r="F1349" t="s">
        <v>1151</v>
      </c>
      <c r="G1349" s="3">
        <v>47395</v>
      </c>
      <c r="H1349">
        <v>60</v>
      </c>
      <c r="I1349">
        <v>67</v>
      </c>
      <c r="J1349">
        <v>28</v>
      </c>
      <c r="K1349" s="4">
        <v>3997.84</v>
      </c>
      <c r="L1349" s="4">
        <v>5.7142857142857144</v>
      </c>
      <c r="M1349" s="4">
        <v>4.8999999999999995</v>
      </c>
      <c r="N1349" t="s">
        <v>25</v>
      </c>
      <c r="O1349" t="str">
        <f t="shared" si="210"/>
        <v>Low</v>
      </c>
      <c r="P1349" t="str">
        <f t="shared" si="211"/>
        <v>Medium</v>
      </c>
      <c r="Q1349" t="str">
        <f t="shared" si="212"/>
        <v>Medium</v>
      </c>
      <c r="R1349" t="s">
        <v>3317</v>
      </c>
      <c r="S1349" s="4">
        <f t="shared" ca="1" si="213"/>
        <v>1198</v>
      </c>
      <c r="T1349">
        <f t="shared" si="214"/>
        <v>1</v>
      </c>
      <c r="U1349">
        <f t="shared" si="215"/>
        <v>2</v>
      </c>
      <c r="V1349">
        <f t="shared" si="216"/>
        <v>2</v>
      </c>
      <c r="W1349">
        <f t="shared" si="217"/>
        <v>1</v>
      </c>
      <c r="X1349">
        <f t="shared" si="218"/>
        <v>1.5</v>
      </c>
      <c r="Y1349" t="str">
        <f t="shared" si="219"/>
        <v>Healthy</v>
      </c>
    </row>
    <row r="1350" spans="1:25" x14ac:dyDescent="0.35">
      <c r="A1350" t="s">
        <v>14</v>
      </c>
      <c r="B1350" t="s">
        <v>115</v>
      </c>
      <c r="C1350" t="s">
        <v>1130</v>
      </c>
      <c r="D1350" t="s">
        <v>1150</v>
      </c>
      <c r="E1350">
        <v>80722597</v>
      </c>
      <c r="F1350" t="s">
        <v>1151</v>
      </c>
      <c r="G1350" s="3">
        <v>47183</v>
      </c>
      <c r="H1350">
        <v>60</v>
      </c>
      <c r="I1350">
        <v>55</v>
      </c>
      <c r="J1350">
        <v>1</v>
      </c>
      <c r="K1350" s="4">
        <v>142.78</v>
      </c>
      <c r="L1350" s="4">
        <v>5.7142857142857144</v>
      </c>
      <c r="M1350" s="4">
        <v>0.17499999999999999</v>
      </c>
      <c r="N1350" t="s">
        <v>25</v>
      </c>
      <c r="O1350" t="str">
        <f t="shared" si="210"/>
        <v>Low</v>
      </c>
      <c r="P1350" t="str">
        <f t="shared" si="211"/>
        <v>Low</v>
      </c>
      <c r="Q1350" t="str">
        <f t="shared" si="212"/>
        <v>Medium</v>
      </c>
      <c r="R1350" t="s">
        <v>3317</v>
      </c>
      <c r="S1350" s="4">
        <f t="shared" ca="1" si="213"/>
        <v>986</v>
      </c>
      <c r="T1350">
        <f t="shared" si="214"/>
        <v>1</v>
      </c>
      <c r="U1350">
        <f t="shared" si="215"/>
        <v>1</v>
      </c>
      <c r="V1350">
        <f t="shared" si="216"/>
        <v>2</v>
      </c>
      <c r="W1350">
        <f t="shared" si="217"/>
        <v>1</v>
      </c>
      <c r="X1350">
        <f t="shared" si="218"/>
        <v>1.2000000000000002</v>
      </c>
      <c r="Y1350" t="str">
        <f t="shared" si="219"/>
        <v>Healthy</v>
      </c>
    </row>
    <row r="1351" spans="1:25" x14ac:dyDescent="0.35">
      <c r="A1351" t="s">
        <v>14</v>
      </c>
      <c r="B1351" t="s">
        <v>115</v>
      </c>
      <c r="C1351" t="s">
        <v>1130</v>
      </c>
      <c r="D1351" t="s">
        <v>1150</v>
      </c>
      <c r="E1351">
        <v>80722597</v>
      </c>
      <c r="F1351" t="s">
        <v>1151</v>
      </c>
      <c r="G1351" s="3">
        <v>47394</v>
      </c>
      <c r="H1351">
        <v>60</v>
      </c>
      <c r="I1351">
        <v>67</v>
      </c>
      <c r="J1351">
        <v>9</v>
      </c>
      <c r="K1351" s="4">
        <v>1285.02</v>
      </c>
      <c r="L1351" s="4">
        <v>5.7142857142857144</v>
      </c>
      <c r="M1351" s="4">
        <v>1.575</v>
      </c>
      <c r="N1351" t="s">
        <v>25</v>
      </c>
      <c r="O1351" t="str">
        <f t="shared" si="210"/>
        <v>Low</v>
      </c>
      <c r="P1351" t="str">
        <f t="shared" si="211"/>
        <v>Low</v>
      </c>
      <c r="Q1351" t="str">
        <f t="shared" si="212"/>
        <v>Medium</v>
      </c>
      <c r="R1351" t="s">
        <v>3317</v>
      </c>
      <c r="S1351" s="4">
        <f t="shared" ca="1" si="213"/>
        <v>1197</v>
      </c>
      <c r="T1351">
        <f t="shared" si="214"/>
        <v>1</v>
      </c>
      <c r="U1351">
        <f t="shared" si="215"/>
        <v>1</v>
      </c>
      <c r="V1351">
        <f t="shared" si="216"/>
        <v>2</v>
      </c>
      <c r="W1351">
        <f t="shared" si="217"/>
        <v>1</v>
      </c>
      <c r="X1351">
        <f t="shared" si="218"/>
        <v>1.2000000000000002</v>
      </c>
      <c r="Y1351" t="str">
        <f t="shared" si="219"/>
        <v>Healthy</v>
      </c>
    </row>
    <row r="1352" spans="1:25" x14ac:dyDescent="0.35">
      <c r="A1352" t="s">
        <v>14</v>
      </c>
      <c r="B1352" t="s">
        <v>115</v>
      </c>
      <c r="C1352" t="s">
        <v>1130</v>
      </c>
      <c r="D1352" t="s">
        <v>1150</v>
      </c>
      <c r="E1352">
        <v>80722597</v>
      </c>
      <c r="F1352" t="s">
        <v>1151</v>
      </c>
      <c r="G1352" s="3">
        <v>47343</v>
      </c>
      <c r="H1352">
        <v>60</v>
      </c>
      <c r="I1352">
        <v>64</v>
      </c>
      <c r="J1352">
        <v>16</v>
      </c>
      <c r="K1352" s="4">
        <v>2284.48</v>
      </c>
      <c r="L1352" s="4">
        <v>5.7142857142857144</v>
      </c>
      <c r="M1352" s="4">
        <v>2.8</v>
      </c>
      <c r="N1352" t="s">
        <v>25</v>
      </c>
      <c r="O1352" t="str">
        <f t="shared" si="210"/>
        <v>Low</v>
      </c>
      <c r="P1352" t="str">
        <f t="shared" si="211"/>
        <v>Low</v>
      </c>
      <c r="Q1352" t="str">
        <f t="shared" si="212"/>
        <v>Medium</v>
      </c>
      <c r="R1352" t="s">
        <v>3317</v>
      </c>
      <c r="S1352" s="4">
        <f t="shared" ca="1" si="213"/>
        <v>1146</v>
      </c>
      <c r="T1352">
        <f t="shared" si="214"/>
        <v>1</v>
      </c>
      <c r="U1352">
        <f t="shared" si="215"/>
        <v>1</v>
      </c>
      <c r="V1352">
        <f t="shared" si="216"/>
        <v>2</v>
      </c>
      <c r="W1352">
        <f t="shared" si="217"/>
        <v>1</v>
      </c>
      <c r="X1352">
        <f t="shared" si="218"/>
        <v>1.2000000000000002</v>
      </c>
      <c r="Y1352" t="str">
        <f t="shared" si="219"/>
        <v>Healthy</v>
      </c>
    </row>
    <row r="1353" spans="1:25" x14ac:dyDescent="0.35">
      <c r="A1353" t="s">
        <v>41</v>
      </c>
      <c r="B1353" t="s">
        <v>80</v>
      </c>
      <c r="C1353" t="s">
        <v>502</v>
      </c>
      <c r="D1353" t="s">
        <v>1152</v>
      </c>
      <c r="E1353">
        <v>80731530</v>
      </c>
      <c r="F1353" t="s">
        <v>1153</v>
      </c>
      <c r="G1353" s="3">
        <v>46114</v>
      </c>
      <c r="H1353">
        <v>36</v>
      </c>
      <c r="I1353">
        <v>0</v>
      </c>
      <c r="J1353">
        <v>5</v>
      </c>
      <c r="K1353" s="4">
        <v>2339.9499999999998</v>
      </c>
      <c r="L1353" s="4">
        <f>0</f>
        <v>0</v>
      </c>
      <c r="M1353" s="4">
        <f>999</f>
        <v>999</v>
      </c>
      <c r="N1353" t="s">
        <v>19</v>
      </c>
      <c r="O1353" t="str">
        <f t="shared" si="210"/>
        <v>High</v>
      </c>
      <c r="P1353" t="str">
        <f t="shared" si="211"/>
        <v>High</v>
      </c>
      <c r="Q1353" t="str">
        <f t="shared" si="212"/>
        <v>High</v>
      </c>
      <c r="R1353" t="s">
        <v>3317</v>
      </c>
      <c r="S1353" s="4">
        <f t="shared" ca="1" si="213"/>
        <v>-83</v>
      </c>
      <c r="T1353">
        <f t="shared" si="214"/>
        <v>3</v>
      </c>
      <c r="U1353">
        <f t="shared" si="215"/>
        <v>3</v>
      </c>
      <c r="V1353">
        <f t="shared" si="216"/>
        <v>3</v>
      </c>
      <c r="W1353">
        <f t="shared" si="217"/>
        <v>1</v>
      </c>
      <c r="X1353">
        <f t="shared" si="218"/>
        <v>2.8000000000000003</v>
      </c>
      <c r="Y1353" t="str">
        <f t="shared" si="219"/>
        <v>Move Immediately</v>
      </c>
    </row>
    <row r="1354" spans="1:25" x14ac:dyDescent="0.35">
      <c r="A1354" t="s">
        <v>20</v>
      </c>
      <c r="B1354" t="s">
        <v>21</v>
      </c>
      <c r="C1354" t="s">
        <v>214</v>
      </c>
      <c r="D1354" t="s">
        <v>817</v>
      </c>
      <c r="E1354">
        <v>80714738</v>
      </c>
      <c r="F1354" t="s">
        <v>1154</v>
      </c>
      <c r="G1354" s="3">
        <v>46150</v>
      </c>
      <c r="H1354">
        <v>36</v>
      </c>
      <c r="I1354">
        <v>0</v>
      </c>
      <c r="J1354">
        <v>9</v>
      </c>
      <c r="K1354" s="4">
        <v>309.60000000000002</v>
      </c>
      <c r="L1354" s="4">
        <f>0</f>
        <v>0</v>
      </c>
      <c r="M1354" s="4">
        <f>999</f>
        <v>999</v>
      </c>
      <c r="N1354" t="s">
        <v>19</v>
      </c>
      <c r="O1354" t="str">
        <f t="shared" si="210"/>
        <v>High</v>
      </c>
      <c r="P1354" t="str">
        <f t="shared" si="211"/>
        <v>High</v>
      </c>
      <c r="Q1354" t="str">
        <f t="shared" si="212"/>
        <v>High</v>
      </c>
      <c r="R1354" t="s">
        <v>3317</v>
      </c>
      <c r="S1354" s="4">
        <f t="shared" ca="1" si="213"/>
        <v>-47</v>
      </c>
      <c r="T1354">
        <f t="shared" si="214"/>
        <v>3</v>
      </c>
      <c r="U1354">
        <f t="shared" si="215"/>
        <v>3</v>
      </c>
      <c r="V1354">
        <f t="shared" si="216"/>
        <v>3</v>
      </c>
      <c r="W1354">
        <f t="shared" si="217"/>
        <v>1</v>
      </c>
      <c r="X1354">
        <f t="shared" si="218"/>
        <v>2.8000000000000003</v>
      </c>
      <c r="Y1354" t="str">
        <f t="shared" si="219"/>
        <v>Move Immediately</v>
      </c>
    </row>
    <row r="1355" spans="1:25" x14ac:dyDescent="0.35">
      <c r="A1355" t="s">
        <v>20</v>
      </c>
      <c r="B1355" t="s">
        <v>21</v>
      </c>
      <c r="C1355" t="s">
        <v>1155</v>
      </c>
      <c r="D1355" t="s">
        <v>1156</v>
      </c>
      <c r="E1355">
        <v>80371270</v>
      </c>
      <c r="F1355" t="s">
        <v>1157</v>
      </c>
      <c r="G1355" s="3">
        <v>48065</v>
      </c>
      <c r="H1355">
        <v>79</v>
      </c>
      <c r="I1355">
        <v>79</v>
      </c>
      <c r="J1355">
        <v>1</v>
      </c>
      <c r="K1355" s="4">
        <v>992.24</v>
      </c>
      <c r="L1355" s="4">
        <v>80.285714285714292</v>
      </c>
      <c r="M1355" s="4">
        <v>1.2455516014234875E-2</v>
      </c>
      <c r="N1355" t="s">
        <v>25</v>
      </c>
      <c r="O1355" t="str">
        <f t="shared" si="210"/>
        <v>Low</v>
      </c>
      <c r="P1355" t="str">
        <f t="shared" si="211"/>
        <v>Low</v>
      </c>
      <c r="Q1355" t="str">
        <f t="shared" si="212"/>
        <v>Low</v>
      </c>
      <c r="R1355" t="s">
        <v>3317</v>
      </c>
      <c r="S1355" s="4">
        <f t="shared" ca="1" si="213"/>
        <v>1868</v>
      </c>
      <c r="T1355">
        <f t="shared" si="214"/>
        <v>1</v>
      </c>
      <c r="U1355">
        <f t="shared" si="215"/>
        <v>1</v>
      </c>
      <c r="V1355">
        <f t="shared" si="216"/>
        <v>1</v>
      </c>
      <c r="W1355">
        <f t="shared" si="217"/>
        <v>1</v>
      </c>
      <c r="X1355">
        <f t="shared" si="218"/>
        <v>0.99999999999999989</v>
      </c>
      <c r="Y1355" t="str">
        <f t="shared" si="219"/>
        <v>Healthy</v>
      </c>
    </row>
    <row r="1356" spans="1:25" x14ac:dyDescent="0.35">
      <c r="A1356" t="s">
        <v>20</v>
      </c>
      <c r="B1356" t="s">
        <v>21</v>
      </c>
      <c r="C1356" t="s">
        <v>1155</v>
      </c>
      <c r="D1356" t="s">
        <v>1156</v>
      </c>
      <c r="E1356">
        <v>80371270</v>
      </c>
      <c r="F1356" t="s">
        <v>1157</v>
      </c>
      <c r="G1356" s="3">
        <v>48073</v>
      </c>
      <c r="H1356">
        <v>79</v>
      </c>
      <c r="I1356">
        <v>79</v>
      </c>
      <c r="J1356">
        <v>1</v>
      </c>
      <c r="K1356" s="4">
        <v>992.24</v>
      </c>
      <c r="L1356" s="4">
        <v>80.285714285714292</v>
      </c>
      <c r="M1356" s="4">
        <v>1.2455516014234875E-2</v>
      </c>
      <c r="N1356" t="s">
        <v>25</v>
      </c>
      <c r="O1356" t="str">
        <f t="shared" si="210"/>
        <v>Low</v>
      </c>
      <c r="P1356" t="str">
        <f t="shared" si="211"/>
        <v>Low</v>
      </c>
      <c r="Q1356" t="str">
        <f t="shared" si="212"/>
        <v>Low</v>
      </c>
      <c r="R1356" t="s">
        <v>3317</v>
      </c>
      <c r="S1356" s="4">
        <f t="shared" ca="1" si="213"/>
        <v>1876</v>
      </c>
      <c r="T1356">
        <f t="shared" si="214"/>
        <v>1</v>
      </c>
      <c r="U1356">
        <f t="shared" si="215"/>
        <v>1</v>
      </c>
      <c r="V1356">
        <f t="shared" si="216"/>
        <v>1</v>
      </c>
      <c r="W1356">
        <f t="shared" si="217"/>
        <v>1</v>
      </c>
      <c r="X1356">
        <f t="shared" si="218"/>
        <v>0.99999999999999989</v>
      </c>
      <c r="Y1356" t="str">
        <f t="shared" si="219"/>
        <v>Healthy</v>
      </c>
    </row>
    <row r="1357" spans="1:25" x14ac:dyDescent="0.35">
      <c r="A1357" t="s">
        <v>99</v>
      </c>
      <c r="B1357" t="s">
        <v>100</v>
      </c>
      <c r="C1357" t="s">
        <v>101</v>
      </c>
      <c r="D1357" t="s">
        <v>1158</v>
      </c>
      <c r="E1357">
        <v>80740040</v>
      </c>
      <c r="F1357" t="s">
        <v>1159</v>
      </c>
      <c r="G1357" s="3">
        <v>47386</v>
      </c>
      <c r="H1357">
        <v>18</v>
      </c>
      <c r="I1357">
        <v>100</v>
      </c>
      <c r="J1357">
        <v>21</v>
      </c>
      <c r="K1357" s="4">
        <v>5259.03</v>
      </c>
      <c r="L1357" s="4">
        <f>0</f>
        <v>0</v>
      </c>
      <c r="M1357" s="4">
        <f>999</f>
        <v>999</v>
      </c>
      <c r="N1357" t="s">
        <v>19</v>
      </c>
      <c r="O1357" t="str">
        <f t="shared" si="210"/>
        <v>Low</v>
      </c>
      <c r="P1357" t="str">
        <f t="shared" si="211"/>
        <v>High</v>
      </c>
      <c r="Q1357" t="str">
        <f t="shared" si="212"/>
        <v>High</v>
      </c>
      <c r="R1357" t="s">
        <v>3317</v>
      </c>
      <c r="S1357" s="4">
        <f t="shared" ca="1" si="213"/>
        <v>1189</v>
      </c>
      <c r="T1357">
        <f t="shared" si="214"/>
        <v>1</v>
      </c>
      <c r="U1357">
        <f t="shared" si="215"/>
        <v>3</v>
      </c>
      <c r="V1357">
        <f t="shared" si="216"/>
        <v>3</v>
      </c>
      <c r="W1357">
        <f t="shared" si="217"/>
        <v>1</v>
      </c>
      <c r="X1357">
        <f t="shared" si="218"/>
        <v>2</v>
      </c>
      <c r="Y1357" t="str">
        <f t="shared" si="219"/>
        <v>Monitor</v>
      </c>
    </row>
    <row r="1358" spans="1:25" x14ac:dyDescent="0.35">
      <c r="A1358" t="s">
        <v>20</v>
      </c>
      <c r="B1358" t="s">
        <v>21</v>
      </c>
      <c r="C1358" t="s">
        <v>133</v>
      </c>
      <c r="D1358" t="s">
        <v>878</v>
      </c>
      <c r="E1358">
        <v>80708950</v>
      </c>
      <c r="F1358" t="s">
        <v>1160</v>
      </c>
      <c r="G1358" s="3">
        <v>46147</v>
      </c>
      <c r="H1358">
        <v>36</v>
      </c>
      <c r="I1358">
        <v>0</v>
      </c>
      <c r="J1358">
        <v>2</v>
      </c>
      <c r="K1358" s="4">
        <v>2977.56</v>
      </c>
      <c r="L1358" s="4">
        <f>0</f>
        <v>0</v>
      </c>
      <c r="M1358" s="4">
        <f>999</f>
        <v>999</v>
      </c>
      <c r="N1358" t="s">
        <v>19</v>
      </c>
      <c r="O1358" t="str">
        <f t="shared" si="210"/>
        <v>High</v>
      </c>
      <c r="P1358" t="str">
        <f t="shared" si="211"/>
        <v>High</v>
      </c>
      <c r="Q1358" t="str">
        <f t="shared" si="212"/>
        <v>High</v>
      </c>
      <c r="R1358" t="s">
        <v>3317</v>
      </c>
      <c r="S1358" s="4">
        <f t="shared" ca="1" si="213"/>
        <v>-50</v>
      </c>
      <c r="T1358">
        <f t="shared" si="214"/>
        <v>3</v>
      </c>
      <c r="U1358">
        <f t="shared" si="215"/>
        <v>3</v>
      </c>
      <c r="V1358">
        <f t="shared" si="216"/>
        <v>3</v>
      </c>
      <c r="W1358">
        <f t="shared" si="217"/>
        <v>1</v>
      </c>
      <c r="X1358">
        <f t="shared" si="218"/>
        <v>2.8000000000000003</v>
      </c>
      <c r="Y1358" t="str">
        <f t="shared" si="219"/>
        <v>Move Immediately</v>
      </c>
    </row>
    <row r="1359" spans="1:25" x14ac:dyDescent="0.35">
      <c r="A1359" t="s">
        <v>104</v>
      </c>
      <c r="B1359" t="s">
        <v>105</v>
      </c>
      <c r="C1359" t="s">
        <v>279</v>
      </c>
      <c r="D1359" t="s">
        <v>280</v>
      </c>
      <c r="E1359">
        <v>80706029</v>
      </c>
      <c r="F1359" t="s">
        <v>1161</v>
      </c>
      <c r="G1359" s="3">
        <v>46157</v>
      </c>
      <c r="H1359">
        <v>24</v>
      </c>
      <c r="I1359">
        <v>0</v>
      </c>
      <c r="J1359">
        <v>1</v>
      </c>
      <c r="K1359" s="4">
        <v>239.19</v>
      </c>
      <c r="L1359" s="4">
        <f>0</f>
        <v>0</v>
      </c>
      <c r="M1359" s="4">
        <f>999</f>
        <v>999</v>
      </c>
      <c r="N1359" t="s">
        <v>19</v>
      </c>
      <c r="O1359" t="str">
        <f t="shared" si="210"/>
        <v>High</v>
      </c>
      <c r="P1359" t="str">
        <f t="shared" si="211"/>
        <v>High</v>
      </c>
      <c r="Q1359" t="str">
        <f t="shared" si="212"/>
        <v>High</v>
      </c>
      <c r="R1359" t="s">
        <v>3317</v>
      </c>
      <c r="S1359" s="4">
        <f t="shared" ca="1" si="213"/>
        <v>-40</v>
      </c>
      <c r="T1359">
        <f t="shared" si="214"/>
        <v>3</v>
      </c>
      <c r="U1359">
        <f t="shared" si="215"/>
        <v>3</v>
      </c>
      <c r="V1359">
        <f t="shared" si="216"/>
        <v>3</v>
      </c>
      <c r="W1359">
        <f t="shared" si="217"/>
        <v>1</v>
      </c>
      <c r="X1359">
        <f t="shared" si="218"/>
        <v>2.8000000000000003</v>
      </c>
      <c r="Y1359" t="str">
        <f t="shared" si="219"/>
        <v>Move Immediately</v>
      </c>
    </row>
    <row r="1360" spans="1:25" x14ac:dyDescent="0.35">
      <c r="A1360" t="s">
        <v>71</v>
      </c>
      <c r="B1360" t="s">
        <v>72</v>
      </c>
      <c r="C1360" t="s">
        <v>73</v>
      </c>
      <c r="D1360" t="s">
        <v>936</v>
      </c>
      <c r="E1360">
        <v>80742039</v>
      </c>
      <c r="F1360" t="s">
        <v>1162</v>
      </c>
      <c r="G1360" s="3">
        <v>46237</v>
      </c>
      <c r="H1360">
        <v>36</v>
      </c>
      <c r="I1360">
        <v>4</v>
      </c>
      <c r="J1360">
        <v>1</v>
      </c>
      <c r="K1360" s="4">
        <v>575.21</v>
      </c>
      <c r="L1360" s="4">
        <v>2.8571428571428572</v>
      </c>
      <c r="M1360" s="4">
        <v>0.35</v>
      </c>
      <c r="N1360" t="s">
        <v>25</v>
      </c>
      <c r="O1360" t="str">
        <f t="shared" si="210"/>
        <v>High</v>
      </c>
      <c r="P1360" t="str">
        <f t="shared" si="211"/>
        <v>Low</v>
      </c>
      <c r="Q1360" t="str">
        <f t="shared" si="212"/>
        <v>High</v>
      </c>
      <c r="R1360" t="s">
        <v>3317</v>
      </c>
      <c r="S1360" s="4">
        <f t="shared" ca="1" si="213"/>
        <v>40</v>
      </c>
      <c r="T1360">
        <f t="shared" si="214"/>
        <v>3</v>
      </c>
      <c r="U1360">
        <f t="shared" si="215"/>
        <v>1</v>
      </c>
      <c r="V1360">
        <f t="shared" si="216"/>
        <v>3</v>
      </c>
      <c r="W1360">
        <f t="shared" si="217"/>
        <v>1</v>
      </c>
      <c r="X1360">
        <f t="shared" si="218"/>
        <v>2.2000000000000006</v>
      </c>
      <c r="Y1360" t="str">
        <f t="shared" si="219"/>
        <v>High Priority</v>
      </c>
    </row>
    <row r="1361" spans="1:25" x14ac:dyDescent="0.35">
      <c r="A1361" t="s">
        <v>71</v>
      </c>
      <c r="B1361" t="s">
        <v>72</v>
      </c>
      <c r="C1361" t="s">
        <v>73</v>
      </c>
      <c r="D1361" t="s">
        <v>936</v>
      </c>
      <c r="E1361">
        <v>80742039</v>
      </c>
      <c r="F1361" t="s">
        <v>1162</v>
      </c>
      <c r="G1361" s="3">
        <v>46641</v>
      </c>
      <c r="H1361">
        <v>36</v>
      </c>
      <c r="I1361">
        <v>42</v>
      </c>
      <c r="J1361">
        <v>5</v>
      </c>
      <c r="K1361" s="4">
        <v>2876.05</v>
      </c>
      <c r="L1361" s="4">
        <v>2.8571428571428572</v>
      </c>
      <c r="M1361" s="4">
        <v>1.75</v>
      </c>
      <c r="N1361" t="s">
        <v>25</v>
      </c>
      <c r="O1361" t="str">
        <f t="shared" si="210"/>
        <v>Low</v>
      </c>
      <c r="P1361" t="str">
        <f t="shared" si="211"/>
        <v>Low</v>
      </c>
      <c r="Q1361" t="str">
        <f t="shared" si="212"/>
        <v>High</v>
      </c>
      <c r="R1361" t="s">
        <v>3317</v>
      </c>
      <c r="S1361" s="4">
        <f t="shared" ca="1" si="213"/>
        <v>444</v>
      </c>
      <c r="T1361">
        <f t="shared" si="214"/>
        <v>1</v>
      </c>
      <c r="U1361">
        <f t="shared" si="215"/>
        <v>1</v>
      </c>
      <c r="V1361">
        <f t="shared" si="216"/>
        <v>3</v>
      </c>
      <c r="W1361">
        <f t="shared" si="217"/>
        <v>1</v>
      </c>
      <c r="X1361">
        <f t="shared" si="218"/>
        <v>1.4000000000000001</v>
      </c>
      <c r="Y1361" t="str">
        <f t="shared" si="219"/>
        <v>Healthy</v>
      </c>
    </row>
    <row r="1362" spans="1:25" x14ac:dyDescent="0.35">
      <c r="A1362" t="s">
        <v>41</v>
      </c>
      <c r="B1362" t="s">
        <v>54</v>
      </c>
      <c r="C1362" t="s">
        <v>293</v>
      </c>
      <c r="D1362" t="s">
        <v>1163</v>
      </c>
      <c r="E1362">
        <v>80750817</v>
      </c>
      <c r="F1362" t="s">
        <v>1164</v>
      </c>
      <c r="G1362" s="3">
        <v>46348</v>
      </c>
      <c r="H1362">
        <v>18</v>
      </c>
      <c r="I1362">
        <v>29</v>
      </c>
      <c r="J1362">
        <v>27</v>
      </c>
      <c r="K1362" s="4">
        <v>1581.66</v>
      </c>
      <c r="L1362" s="4">
        <v>558</v>
      </c>
      <c r="M1362" s="4">
        <v>4.8387096774193547E-2</v>
      </c>
      <c r="N1362" t="s">
        <v>25</v>
      </c>
      <c r="O1362" t="str">
        <f t="shared" si="210"/>
        <v>Medium</v>
      </c>
      <c r="P1362" t="str">
        <f t="shared" si="211"/>
        <v>Low</v>
      </c>
      <c r="Q1362" t="str">
        <f t="shared" si="212"/>
        <v>Low</v>
      </c>
      <c r="R1362" t="s">
        <v>3317</v>
      </c>
      <c r="S1362" s="4">
        <f t="shared" ca="1" si="213"/>
        <v>151</v>
      </c>
      <c r="T1362">
        <f t="shared" si="214"/>
        <v>2</v>
      </c>
      <c r="U1362">
        <f t="shared" si="215"/>
        <v>1</v>
      </c>
      <c r="V1362">
        <f t="shared" si="216"/>
        <v>1</v>
      </c>
      <c r="W1362">
        <f t="shared" si="217"/>
        <v>1</v>
      </c>
      <c r="X1362">
        <f t="shared" si="218"/>
        <v>1.4000000000000001</v>
      </c>
      <c r="Y1362" t="str">
        <f t="shared" si="219"/>
        <v>Healthy</v>
      </c>
    </row>
    <row r="1363" spans="1:25" x14ac:dyDescent="0.35">
      <c r="A1363" t="s">
        <v>41</v>
      </c>
      <c r="B1363" t="s">
        <v>54</v>
      </c>
      <c r="C1363" t="s">
        <v>293</v>
      </c>
      <c r="D1363" t="s">
        <v>1163</v>
      </c>
      <c r="E1363">
        <v>80750817</v>
      </c>
      <c r="F1363" t="s">
        <v>1164</v>
      </c>
      <c r="G1363" s="3">
        <v>46268</v>
      </c>
      <c r="H1363">
        <v>18</v>
      </c>
      <c r="I1363">
        <v>14</v>
      </c>
      <c r="J1363">
        <v>23</v>
      </c>
      <c r="K1363" s="4">
        <v>1347.34</v>
      </c>
      <c r="L1363" s="4">
        <v>558</v>
      </c>
      <c r="M1363" s="4">
        <v>4.1218637992831542E-2</v>
      </c>
      <c r="N1363" t="s">
        <v>25</v>
      </c>
      <c r="O1363" t="str">
        <f t="shared" si="210"/>
        <v>High</v>
      </c>
      <c r="P1363" t="str">
        <f t="shared" si="211"/>
        <v>Low</v>
      </c>
      <c r="Q1363" t="str">
        <f t="shared" si="212"/>
        <v>Low</v>
      </c>
      <c r="R1363" t="s">
        <v>3317</v>
      </c>
      <c r="S1363" s="4">
        <f t="shared" ca="1" si="213"/>
        <v>71</v>
      </c>
      <c r="T1363">
        <f t="shared" si="214"/>
        <v>3</v>
      </c>
      <c r="U1363">
        <f t="shared" si="215"/>
        <v>1</v>
      </c>
      <c r="V1363">
        <f t="shared" si="216"/>
        <v>1</v>
      </c>
      <c r="W1363">
        <f t="shared" si="217"/>
        <v>1</v>
      </c>
      <c r="X1363">
        <f t="shared" si="218"/>
        <v>1.8000000000000003</v>
      </c>
      <c r="Y1363" t="str">
        <f t="shared" si="219"/>
        <v>Monitor</v>
      </c>
    </row>
    <row r="1364" spans="1:25" x14ac:dyDescent="0.35">
      <c r="A1364" t="s">
        <v>41</v>
      </c>
      <c r="B1364" t="s">
        <v>54</v>
      </c>
      <c r="C1364" t="s">
        <v>293</v>
      </c>
      <c r="D1364" t="s">
        <v>1163</v>
      </c>
      <c r="E1364">
        <v>80750817</v>
      </c>
      <c r="F1364" t="s">
        <v>1164</v>
      </c>
      <c r="G1364" s="3">
        <v>46589</v>
      </c>
      <c r="H1364">
        <v>18</v>
      </c>
      <c r="I1364">
        <v>74</v>
      </c>
      <c r="J1364">
        <v>63</v>
      </c>
      <c r="K1364" s="4">
        <v>3690.54</v>
      </c>
      <c r="L1364" s="4">
        <v>558</v>
      </c>
      <c r="M1364" s="4">
        <v>0.11290322580645161</v>
      </c>
      <c r="N1364" t="s">
        <v>25</v>
      </c>
      <c r="O1364" t="str">
        <f t="shared" si="210"/>
        <v>Low</v>
      </c>
      <c r="P1364" t="str">
        <f t="shared" si="211"/>
        <v>Low</v>
      </c>
      <c r="Q1364" t="str">
        <f t="shared" si="212"/>
        <v>Low</v>
      </c>
      <c r="R1364" t="s">
        <v>3317</v>
      </c>
      <c r="S1364" s="4">
        <f t="shared" ca="1" si="213"/>
        <v>392</v>
      </c>
      <c r="T1364">
        <f t="shared" si="214"/>
        <v>1</v>
      </c>
      <c r="U1364">
        <f t="shared" si="215"/>
        <v>1</v>
      </c>
      <c r="V1364">
        <f t="shared" si="216"/>
        <v>1</v>
      </c>
      <c r="W1364">
        <f t="shared" si="217"/>
        <v>1</v>
      </c>
      <c r="X1364">
        <f t="shared" si="218"/>
        <v>0.99999999999999989</v>
      </c>
      <c r="Y1364" t="str">
        <f t="shared" si="219"/>
        <v>Healthy</v>
      </c>
    </row>
    <row r="1365" spans="1:25" x14ac:dyDescent="0.35">
      <c r="A1365" t="s">
        <v>41</v>
      </c>
      <c r="B1365" t="s">
        <v>54</v>
      </c>
      <c r="C1365" t="s">
        <v>293</v>
      </c>
      <c r="D1365" t="s">
        <v>1163</v>
      </c>
      <c r="E1365">
        <v>80750817</v>
      </c>
      <c r="F1365" t="s">
        <v>1164</v>
      </c>
      <c r="G1365" s="3">
        <v>46423</v>
      </c>
      <c r="H1365">
        <v>18</v>
      </c>
      <c r="I1365">
        <v>43</v>
      </c>
      <c r="J1365">
        <v>76</v>
      </c>
      <c r="K1365" s="4">
        <v>4452.08</v>
      </c>
      <c r="L1365" s="4">
        <v>558</v>
      </c>
      <c r="M1365" s="4">
        <v>0.13620071684587814</v>
      </c>
      <c r="N1365" t="s">
        <v>25</v>
      </c>
      <c r="O1365" t="str">
        <f t="shared" si="210"/>
        <v>Low</v>
      </c>
      <c r="P1365" t="str">
        <f t="shared" si="211"/>
        <v>Low</v>
      </c>
      <c r="Q1365" t="str">
        <f t="shared" si="212"/>
        <v>Low</v>
      </c>
      <c r="R1365" t="s">
        <v>3317</v>
      </c>
      <c r="S1365" s="4">
        <f t="shared" ca="1" si="213"/>
        <v>226</v>
      </c>
      <c r="T1365">
        <f t="shared" si="214"/>
        <v>1</v>
      </c>
      <c r="U1365">
        <f t="shared" si="215"/>
        <v>1</v>
      </c>
      <c r="V1365">
        <f t="shared" si="216"/>
        <v>1</v>
      </c>
      <c r="W1365">
        <f t="shared" si="217"/>
        <v>1</v>
      </c>
      <c r="X1365">
        <f t="shared" si="218"/>
        <v>0.99999999999999989</v>
      </c>
      <c r="Y1365" t="str">
        <f t="shared" si="219"/>
        <v>Healthy</v>
      </c>
    </row>
    <row r="1366" spans="1:25" x14ac:dyDescent="0.35">
      <c r="A1366" t="s">
        <v>14</v>
      </c>
      <c r="B1366" t="s">
        <v>115</v>
      </c>
      <c r="C1366" t="s">
        <v>469</v>
      </c>
      <c r="D1366" t="s">
        <v>1165</v>
      </c>
      <c r="E1366">
        <v>80736761</v>
      </c>
      <c r="F1366" t="s">
        <v>1166</v>
      </c>
      <c r="G1366" s="3">
        <v>47039</v>
      </c>
      <c r="H1366">
        <v>60</v>
      </c>
      <c r="I1366">
        <v>47</v>
      </c>
      <c r="J1366">
        <v>91</v>
      </c>
      <c r="K1366" s="4">
        <v>2135.77</v>
      </c>
      <c r="L1366" s="4">
        <f>0</f>
        <v>0</v>
      </c>
      <c r="M1366" s="4">
        <f>999</f>
        <v>999</v>
      </c>
      <c r="N1366" t="s">
        <v>19</v>
      </c>
      <c r="O1366" t="str">
        <f t="shared" si="210"/>
        <v>Low</v>
      </c>
      <c r="P1366" t="str">
        <f t="shared" si="211"/>
        <v>High</v>
      </c>
      <c r="Q1366" t="str">
        <f t="shared" si="212"/>
        <v>High</v>
      </c>
      <c r="R1366" t="s">
        <v>3317</v>
      </c>
      <c r="S1366" s="4">
        <f t="shared" ca="1" si="213"/>
        <v>842</v>
      </c>
      <c r="T1366">
        <f t="shared" si="214"/>
        <v>1</v>
      </c>
      <c r="U1366">
        <f t="shared" si="215"/>
        <v>3</v>
      </c>
      <c r="V1366">
        <f t="shared" si="216"/>
        <v>3</v>
      </c>
      <c r="W1366">
        <f t="shared" si="217"/>
        <v>1</v>
      </c>
      <c r="X1366">
        <f t="shared" si="218"/>
        <v>2</v>
      </c>
      <c r="Y1366" t="str">
        <f t="shared" si="219"/>
        <v>Monitor</v>
      </c>
    </row>
    <row r="1367" spans="1:25" x14ac:dyDescent="0.35">
      <c r="A1367" t="s">
        <v>41</v>
      </c>
      <c r="B1367" t="s">
        <v>54</v>
      </c>
      <c r="C1367" t="s">
        <v>293</v>
      </c>
      <c r="D1367" t="s">
        <v>1163</v>
      </c>
      <c r="E1367">
        <v>80750817</v>
      </c>
      <c r="F1367" t="s">
        <v>1164</v>
      </c>
      <c r="G1367" s="3">
        <v>46423</v>
      </c>
      <c r="H1367">
        <v>18</v>
      </c>
      <c r="I1367">
        <v>43</v>
      </c>
      <c r="J1367">
        <v>1</v>
      </c>
      <c r="K1367" s="4">
        <v>58.58</v>
      </c>
      <c r="L1367" s="4">
        <v>558</v>
      </c>
      <c r="M1367" s="4">
        <v>1.7921146953405018E-3</v>
      </c>
      <c r="N1367" t="s">
        <v>25</v>
      </c>
      <c r="O1367" t="str">
        <f t="shared" si="210"/>
        <v>Low</v>
      </c>
      <c r="P1367" t="str">
        <f t="shared" si="211"/>
        <v>Low</v>
      </c>
      <c r="Q1367" t="str">
        <f t="shared" si="212"/>
        <v>Low</v>
      </c>
      <c r="R1367" t="s">
        <v>3317</v>
      </c>
      <c r="S1367" s="4">
        <f t="shared" ca="1" si="213"/>
        <v>226</v>
      </c>
      <c r="T1367">
        <f t="shared" si="214"/>
        <v>1</v>
      </c>
      <c r="U1367">
        <f t="shared" si="215"/>
        <v>1</v>
      </c>
      <c r="V1367">
        <f t="shared" si="216"/>
        <v>1</v>
      </c>
      <c r="W1367">
        <f t="shared" si="217"/>
        <v>1</v>
      </c>
      <c r="X1367">
        <f t="shared" si="218"/>
        <v>0.99999999999999989</v>
      </c>
      <c r="Y1367" t="str">
        <f t="shared" si="219"/>
        <v>Healthy</v>
      </c>
    </row>
    <row r="1368" spans="1:25" x14ac:dyDescent="0.35">
      <c r="A1368" t="s">
        <v>41</v>
      </c>
      <c r="B1368" t="s">
        <v>54</v>
      </c>
      <c r="C1368" t="s">
        <v>293</v>
      </c>
      <c r="D1368" t="s">
        <v>1163</v>
      </c>
      <c r="E1368">
        <v>80750817</v>
      </c>
      <c r="F1368" t="s">
        <v>1164</v>
      </c>
      <c r="G1368" s="3">
        <v>46408</v>
      </c>
      <c r="H1368">
        <v>18</v>
      </c>
      <c r="I1368">
        <v>40</v>
      </c>
      <c r="J1368">
        <v>43</v>
      </c>
      <c r="K1368" s="4">
        <v>2518.94</v>
      </c>
      <c r="L1368" s="4">
        <v>558</v>
      </c>
      <c r="M1368" s="4">
        <v>7.7060931899641583E-2</v>
      </c>
      <c r="N1368" t="s">
        <v>25</v>
      </c>
      <c r="O1368" t="str">
        <f t="shared" si="210"/>
        <v>Low</v>
      </c>
      <c r="P1368" t="str">
        <f t="shared" si="211"/>
        <v>Low</v>
      </c>
      <c r="Q1368" t="str">
        <f t="shared" si="212"/>
        <v>Low</v>
      </c>
      <c r="R1368" t="s">
        <v>3317</v>
      </c>
      <c r="S1368" s="4">
        <f t="shared" ca="1" si="213"/>
        <v>211</v>
      </c>
      <c r="T1368">
        <f t="shared" si="214"/>
        <v>1</v>
      </c>
      <c r="U1368">
        <f t="shared" si="215"/>
        <v>1</v>
      </c>
      <c r="V1368">
        <f t="shared" si="216"/>
        <v>1</v>
      </c>
      <c r="W1368">
        <f t="shared" si="217"/>
        <v>1</v>
      </c>
      <c r="X1368">
        <f t="shared" si="218"/>
        <v>0.99999999999999989</v>
      </c>
      <c r="Y1368" t="str">
        <f t="shared" si="219"/>
        <v>Healthy</v>
      </c>
    </row>
    <row r="1369" spans="1:25" x14ac:dyDescent="0.35">
      <c r="A1369" t="s">
        <v>14</v>
      </c>
      <c r="B1369" t="s">
        <v>58</v>
      </c>
      <c r="C1369" t="s">
        <v>951</v>
      </c>
      <c r="D1369" t="s">
        <v>952</v>
      </c>
      <c r="E1369">
        <v>80753109</v>
      </c>
      <c r="F1369" t="s">
        <v>1167</v>
      </c>
      <c r="G1369" s="3">
        <v>47017</v>
      </c>
      <c r="H1369">
        <v>60</v>
      </c>
      <c r="I1369">
        <v>46</v>
      </c>
      <c r="J1369">
        <v>3</v>
      </c>
      <c r="K1369" s="4">
        <v>5397.27</v>
      </c>
      <c r="L1369" s="4">
        <f>0</f>
        <v>0</v>
      </c>
      <c r="M1369" s="4">
        <f>999</f>
        <v>999</v>
      </c>
      <c r="N1369" t="s">
        <v>19</v>
      </c>
      <c r="O1369" t="str">
        <f t="shared" si="210"/>
        <v>Low</v>
      </c>
      <c r="P1369" t="str">
        <f t="shared" si="211"/>
        <v>High</v>
      </c>
      <c r="Q1369" t="str">
        <f t="shared" si="212"/>
        <v>High</v>
      </c>
      <c r="R1369" t="s">
        <v>3317</v>
      </c>
      <c r="S1369" s="4">
        <f t="shared" ca="1" si="213"/>
        <v>820</v>
      </c>
      <c r="T1369">
        <f t="shared" si="214"/>
        <v>1</v>
      </c>
      <c r="U1369">
        <f t="shared" si="215"/>
        <v>3</v>
      </c>
      <c r="V1369">
        <f t="shared" si="216"/>
        <v>3</v>
      </c>
      <c r="W1369">
        <f t="shared" si="217"/>
        <v>1</v>
      </c>
      <c r="X1369">
        <f t="shared" si="218"/>
        <v>2</v>
      </c>
      <c r="Y1369" t="str">
        <f t="shared" si="219"/>
        <v>Monitor</v>
      </c>
    </row>
    <row r="1370" spans="1:25" x14ac:dyDescent="0.35">
      <c r="A1370" t="s">
        <v>14</v>
      </c>
      <c r="B1370" t="s">
        <v>58</v>
      </c>
      <c r="C1370" t="s">
        <v>951</v>
      </c>
      <c r="D1370" t="s">
        <v>952</v>
      </c>
      <c r="E1370">
        <v>80753109</v>
      </c>
      <c r="F1370" t="s">
        <v>1167</v>
      </c>
      <c r="G1370" s="3">
        <v>46867</v>
      </c>
      <c r="H1370">
        <v>60</v>
      </c>
      <c r="I1370">
        <v>38</v>
      </c>
      <c r="J1370">
        <v>1</v>
      </c>
      <c r="K1370" s="4">
        <v>1799.09</v>
      </c>
      <c r="L1370" s="4">
        <f>0</f>
        <v>0</v>
      </c>
      <c r="M1370" s="4">
        <f>999</f>
        <v>999</v>
      </c>
      <c r="N1370" t="s">
        <v>19</v>
      </c>
      <c r="O1370" t="str">
        <f t="shared" si="210"/>
        <v>Medium</v>
      </c>
      <c r="P1370" t="str">
        <f t="shared" si="211"/>
        <v>High</v>
      </c>
      <c r="Q1370" t="str">
        <f t="shared" si="212"/>
        <v>High</v>
      </c>
      <c r="R1370" t="s">
        <v>3317</v>
      </c>
      <c r="S1370" s="4">
        <f t="shared" ca="1" si="213"/>
        <v>670</v>
      </c>
      <c r="T1370">
        <f t="shared" si="214"/>
        <v>2</v>
      </c>
      <c r="U1370">
        <f t="shared" si="215"/>
        <v>3</v>
      </c>
      <c r="V1370">
        <f t="shared" si="216"/>
        <v>3</v>
      </c>
      <c r="W1370">
        <f t="shared" si="217"/>
        <v>1</v>
      </c>
      <c r="X1370">
        <f t="shared" si="218"/>
        <v>2.4</v>
      </c>
      <c r="Y1370" t="str">
        <f t="shared" si="219"/>
        <v>High Priority</v>
      </c>
    </row>
    <row r="1371" spans="1:25" x14ac:dyDescent="0.35">
      <c r="A1371" t="s">
        <v>14</v>
      </c>
      <c r="B1371" t="s">
        <v>58</v>
      </c>
      <c r="C1371" t="s">
        <v>951</v>
      </c>
      <c r="D1371" t="s">
        <v>952</v>
      </c>
      <c r="E1371">
        <v>80753109</v>
      </c>
      <c r="F1371" t="s">
        <v>1167</v>
      </c>
      <c r="G1371" s="3">
        <v>46975</v>
      </c>
      <c r="H1371">
        <v>60</v>
      </c>
      <c r="I1371">
        <v>44</v>
      </c>
      <c r="J1371">
        <v>6</v>
      </c>
      <c r="K1371" s="4">
        <v>10794.54</v>
      </c>
      <c r="L1371" s="4">
        <f>0</f>
        <v>0</v>
      </c>
      <c r="M1371" s="4">
        <f>999</f>
        <v>999</v>
      </c>
      <c r="N1371" t="s">
        <v>19</v>
      </c>
      <c r="O1371" t="str">
        <f t="shared" si="210"/>
        <v>Low</v>
      </c>
      <c r="P1371" t="str">
        <f t="shared" si="211"/>
        <v>High</v>
      </c>
      <c r="Q1371" t="str">
        <f t="shared" si="212"/>
        <v>High</v>
      </c>
      <c r="R1371" t="s">
        <v>3317</v>
      </c>
      <c r="S1371" s="4">
        <f t="shared" ca="1" si="213"/>
        <v>778</v>
      </c>
      <c r="T1371">
        <f t="shared" si="214"/>
        <v>1</v>
      </c>
      <c r="U1371">
        <f t="shared" si="215"/>
        <v>3</v>
      </c>
      <c r="V1371">
        <f t="shared" si="216"/>
        <v>3</v>
      </c>
      <c r="W1371">
        <f t="shared" si="217"/>
        <v>1</v>
      </c>
      <c r="X1371">
        <f t="shared" si="218"/>
        <v>2</v>
      </c>
      <c r="Y1371" t="str">
        <f t="shared" si="219"/>
        <v>Monitor</v>
      </c>
    </row>
    <row r="1372" spans="1:25" x14ac:dyDescent="0.35">
      <c r="A1372" t="s">
        <v>29</v>
      </c>
      <c r="B1372" t="s">
        <v>30</v>
      </c>
      <c r="C1372" t="s">
        <v>449</v>
      </c>
      <c r="D1372" t="s">
        <v>1168</v>
      </c>
      <c r="E1372">
        <v>80741176</v>
      </c>
      <c r="F1372" t="s">
        <v>1169</v>
      </c>
      <c r="G1372" s="3">
        <v>46767</v>
      </c>
      <c r="H1372">
        <v>36</v>
      </c>
      <c r="I1372">
        <v>53</v>
      </c>
      <c r="J1372">
        <v>4</v>
      </c>
      <c r="K1372" s="4">
        <v>3168.72</v>
      </c>
      <c r="L1372" s="4">
        <v>0.8571428571428571</v>
      </c>
      <c r="M1372" s="4">
        <v>4.666666666666667</v>
      </c>
      <c r="N1372" t="s">
        <v>25</v>
      </c>
      <c r="O1372" t="str">
        <f t="shared" si="210"/>
        <v>Low</v>
      </c>
      <c r="P1372" t="str">
        <f t="shared" si="211"/>
        <v>Medium</v>
      </c>
      <c r="Q1372" t="str">
        <f t="shared" si="212"/>
        <v>High</v>
      </c>
      <c r="R1372" t="s">
        <v>3317</v>
      </c>
      <c r="S1372" s="4">
        <f t="shared" ca="1" si="213"/>
        <v>570</v>
      </c>
      <c r="T1372">
        <f t="shared" si="214"/>
        <v>1</v>
      </c>
      <c r="U1372">
        <f t="shared" si="215"/>
        <v>2</v>
      </c>
      <c r="V1372">
        <f t="shared" si="216"/>
        <v>3</v>
      </c>
      <c r="W1372">
        <f t="shared" si="217"/>
        <v>1</v>
      </c>
      <c r="X1372">
        <f t="shared" si="218"/>
        <v>1.7000000000000002</v>
      </c>
      <c r="Y1372" t="str">
        <f t="shared" si="219"/>
        <v>Monitor</v>
      </c>
    </row>
    <row r="1373" spans="1:25" x14ac:dyDescent="0.35">
      <c r="A1373" t="s">
        <v>41</v>
      </c>
      <c r="B1373" t="s">
        <v>54</v>
      </c>
      <c r="C1373" t="s">
        <v>55</v>
      </c>
      <c r="D1373" t="s">
        <v>1170</v>
      </c>
      <c r="E1373">
        <v>80759970</v>
      </c>
      <c r="F1373" t="s">
        <v>1171</v>
      </c>
      <c r="G1373" s="3">
        <v>46401</v>
      </c>
      <c r="H1373">
        <v>36</v>
      </c>
      <c r="I1373">
        <v>19</v>
      </c>
      <c r="J1373">
        <v>1</v>
      </c>
      <c r="K1373" s="4">
        <v>852.77</v>
      </c>
      <c r="L1373" s="4">
        <f>0</f>
        <v>0</v>
      </c>
      <c r="M1373" s="4">
        <f>999</f>
        <v>999</v>
      </c>
      <c r="N1373" t="s">
        <v>19</v>
      </c>
      <c r="O1373" t="str">
        <f t="shared" si="210"/>
        <v>High</v>
      </c>
      <c r="P1373" t="str">
        <f t="shared" si="211"/>
        <v>High</v>
      </c>
      <c r="Q1373" t="str">
        <f t="shared" si="212"/>
        <v>High</v>
      </c>
      <c r="R1373" t="s">
        <v>3317</v>
      </c>
      <c r="S1373" s="4">
        <f t="shared" ca="1" si="213"/>
        <v>204</v>
      </c>
      <c r="T1373">
        <f t="shared" si="214"/>
        <v>3</v>
      </c>
      <c r="U1373">
        <f t="shared" si="215"/>
        <v>3</v>
      </c>
      <c r="V1373">
        <f t="shared" si="216"/>
        <v>3</v>
      </c>
      <c r="W1373">
        <f t="shared" si="217"/>
        <v>1</v>
      </c>
      <c r="X1373">
        <f t="shared" si="218"/>
        <v>2.8000000000000003</v>
      </c>
      <c r="Y1373" t="str">
        <f t="shared" si="219"/>
        <v>Move Immediately</v>
      </c>
    </row>
    <row r="1374" spans="1:25" x14ac:dyDescent="0.35">
      <c r="A1374" t="s">
        <v>41</v>
      </c>
      <c r="B1374" t="s">
        <v>54</v>
      </c>
      <c r="C1374" t="s">
        <v>55</v>
      </c>
      <c r="D1374" t="s">
        <v>1170</v>
      </c>
      <c r="E1374">
        <v>80759970</v>
      </c>
      <c r="F1374" t="s">
        <v>1171</v>
      </c>
      <c r="G1374" s="3">
        <v>46456</v>
      </c>
      <c r="H1374">
        <v>36</v>
      </c>
      <c r="I1374">
        <v>24</v>
      </c>
      <c r="J1374">
        <v>1</v>
      </c>
      <c r="K1374" s="4">
        <v>852.77</v>
      </c>
      <c r="L1374" s="4">
        <f>0</f>
        <v>0</v>
      </c>
      <c r="M1374" s="4">
        <f>999</f>
        <v>999</v>
      </c>
      <c r="N1374" t="s">
        <v>19</v>
      </c>
      <c r="O1374" t="str">
        <f t="shared" si="210"/>
        <v>Medium</v>
      </c>
      <c r="P1374" t="str">
        <f t="shared" si="211"/>
        <v>High</v>
      </c>
      <c r="Q1374" t="str">
        <f t="shared" si="212"/>
        <v>High</v>
      </c>
      <c r="R1374" t="s">
        <v>3317</v>
      </c>
      <c r="S1374" s="4">
        <f t="shared" ca="1" si="213"/>
        <v>259</v>
      </c>
      <c r="T1374">
        <f t="shared" si="214"/>
        <v>2</v>
      </c>
      <c r="U1374">
        <f t="shared" si="215"/>
        <v>3</v>
      </c>
      <c r="V1374">
        <f t="shared" si="216"/>
        <v>3</v>
      </c>
      <c r="W1374">
        <f t="shared" si="217"/>
        <v>1</v>
      </c>
      <c r="X1374">
        <f t="shared" si="218"/>
        <v>2.4</v>
      </c>
      <c r="Y1374" t="str">
        <f t="shared" si="219"/>
        <v>High Priority</v>
      </c>
    </row>
    <row r="1375" spans="1:25" x14ac:dyDescent="0.35">
      <c r="A1375" t="s">
        <v>14</v>
      </c>
      <c r="B1375" t="s">
        <v>267</v>
      </c>
      <c r="C1375" t="s">
        <v>268</v>
      </c>
      <c r="D1375" t="s">
        <v>300</v>
      </c>
      <c r="E1375">
        <v>80764166</v>
      </c>
      <c r="F1375" t="s">
        <v>1172</v>
      </c>
      <c r="G1375" s="3">
        <v>47311</v>
      </c>
      <c r="H1375">
        <v>60</v>
      </c>
      <c r="I1375">
        <v>62</v>
      </c>
      <c r="J1375">
        <v>19</v>
      </c>
      <c r="K1375" s="4">
        <v>626.62</v>
      </c>
      <c r="L1375" s="4">
        <f>0</f>
        <v>0</v>
      </c>
      <c r="M1375" s="4">
        <f>999</f>
        <v>999</v>
      </c>
      <c r="N1375" t="s">
        <v>19</v>
      </c>
      <c r="O1375" t="str">
        <f t="shared" si="210"/>
        <v>Low</v>
      </c>
      <c r="P1375" t="str">
        <f t="shared" si="211"/>
        <v>High</v>
      </c>
      <c r="Q1375" t="str">
        <f t="shared" si="212"/>
        <v>High</v>
      </c>
      <c r="R1375" t="s">
        <v>3317</v>
      </c>
      <c r="S1375" s="4">
        <f t="shared" ca="1" si="213"/>
        <v>1114</v>
      </c>
      <c r="T1375">
        <f t="shared" si="214"/>
        <v>1</v>
      </c>
      <c r="U1375">
        <f t="shared" si="215"/>
        <v>3</v>
      </c>
      <c r="V1375">
        <f t="shared" si="216"/>
        <v>3</v>
      </c>
      <c r="W1375">
        <f t="shared" si="217"/>
        <v>1</v>
      </c>
      <c r="X1375">
        <f t="shared" si="218"/>
        <v>2</v>
      </c>
      <c r="Y1375" t="str">
        <f t="shared" si="219"/>
        <v>Monitor</v>
      </c>
    </row>
    <row r="1376" spans="1:25" x14ac:dyDescent="0.35">
      <c r="A1376" t="s">
        <v>944</v>
      </c>
      <c r="B1376" t="s">
        <v>945</v>
      </c>
      <c r="C1376" t="s">
        <v>994</v>
      </c>
      <c r="D1376" t="s">
        <v>1173</v>
      </c>
      <c r="E1376">
        <v>80715360</v>
      </c>
      <c r="F1376" t="s">
        <v>1174</v>
      </c>
      <c r="G1376" s="3">
        <v>46321</v>
      </c>
      <c r="H1376">
        <v>60</v>
      </c>
      <c r="I1376">
        <v>7</v>
      </c>
      <c r="J1376">
        <v>1</v>
      </c>
      <c r="K1376" s="4">
        <v>3053.58</v>
      </c>
      <c r="L1376" s="4">
        <f>0</f>
        <v>0</v>
      </c>
      <c r="M1376" s="4">
        <f>999</f>
        <v>999</v>
      </c>
      <c r="N1376" t="s">
        <v>19</v>
      </c>
      <c r="O1376" t="str">
        <f t="shared" si="210"/>
        <v>High</v>
      </c>
      <c r="P1376" t="str">
        <f t="shared" si="211"/>
        <v>High</v>
      </c>
      <c r="Q1376" t="str">
        <f t="shared" si="212"/>
        <v>High</v>
      </c>
      <c r="R1376" t="s">
        <v>3317</v>
      </c>
      <c r="S1376" s="4">
        <f t="shared" ca="1" si="213"/>
        <v>124</v>
      </c>
      <c r="T1376">
        <f t="shared" si="214"/>
        <v>3</v>
      </c>
      <c r="U1376">
        <f t="shared" si="215"/>
        <v>3</v>
      </c>
      <c r="V1376">
        <f t="shared" si="216"/>
        <v>3</v>
      </c>
      <c r="W1376">
        <f t="shared" si="217"/>
        <v>1</v>
      </c>
      <c r="X1376">
        <f t="shared" si="218"/>
        <v>2.8000000000000003</v>
      </c>
      <c r="Y1376" t="str">
        <f t="shared" si="219"/>
        <v>Move Immediately</v>
      </c>
    </row>
    <row r="1377" spans="1:25" x14ac:dyDescent="0.35">
      <c r="A1377" t="s">
        <v>71</v>
      </c>
      <c r="B1377" t="s">
        <v>72</v>
      </c>
      <c r="C1377" t="s">
        <v>73</v>
      </c>
      <c r="D1377" t="s">
        <v>1175</v>
      </c>
      <c r="E1377">
        <v>80746615</v>
      </c>
      <c r="F1377" t="s">
        <v>1176</v>
      </c>
      <c r="G1377" s="3">
        <v>46117</v>
      </c>
      <c r="H1377">
        <v>36</v>
      </c>
      <c r="I1377">
        <v>0</v>
      </c>
      <c r="J1377">
        <v>22</v>
      </c>
      <c r="K1377" s="4">
        <v>26163.5</v>
      </c>
      <c r="L1377" s="4">
        <f>0</f>
        <v>0</v>
      </c>
      <c r="M1377" s="4">
        <f>999</f>
        <v>999</v>
      </c>
      <c r="N1377" t="s">
        <v>19</v>
      </c>
      <c r="O1377" t="str">
        <f t="shared" si="210"/>
        <v>High</v>
      </c>
      <c r="P1377" t="str">
        <f t="shared" si="211"/>
        <v>High</v>
      </c>
      <c r="Q1377" t="str">
        <f t="shared" si="212"/>
        <v>High</v>
      </c>
      <c r="R1377" t="s">
        <v>3317</v>
      </c>
      <c r="S1377" s="4">
        <f t="shared" ca="1" si="213"/>
        <v>-80</v>
      </c>
      <c r="T1377">
        <f t="shared" si="214"/>
        <v>3</v>
      </c>
      <c r="U1377">
        <f t="shared" si="215"/>
        <v>3</v>
      </c>
      <c r="V1377">
        <f t="shared" si="216"/>
        <v>3</v>
      </c>
      <c r="W1377">
        <f t="shared" si="217"/>
        <v>1</v>
      </c>
      <c r="X1377">
        <f t="shared" si="218"/>
        <v>2.8000000000000003</v>
      </c>
      <c r="Y1377" t="str">
        <f t="shared" si="219"/>
        <v>Move Immediately</v>
      </c>
    </row>
    <row r="1378" spans="1:25" x14ac:dyDescent="0.35">
      <c r="A1378" t="s">
        <v>71</v>
      </c>
      <c r="B1378" t="s">
        <v>72</v>
      </c>
      <c r="C1378" t="s">
        <v>73</v>
      </c>
      <c r="D1378" t="s">
        <v>1175</v>
      </c>
      <c r="E1378">
        <v>80746615</v>
      </c>
      <c r="F1378" t="s">
        <v>1176</v>
      </c>
      <c r="G1378" s="3">
        <v>46218</v>
      </c>
      <c r="H1378">
        <v>36</v>
      </c>
      <c r="I1378">
        <v>2</v>
      </c>
      <c r="J1378">
        <v>198</v>
      </c>
      <c r="K1378" s="4">
        <v>235471.5</v>
      </c>
      <c r="L1378" s="4">
        <f>0</f>
        <v>0</v>
      </c>
      <c r="M1378" s="4">
        <f>999</f>
        <v>999</v>
      </c>
      <c r="N1378" t="s">
        <v>19</v>
      </c>
      <c r="O1378" t="str">
        <f t="shared" si="210"/>
        <v>High</v>
      </c>
      <c r="P1378" t="str">
        <f t="shared" si="211"/>
        <v>High</v>
      </c>
      <c r="Q1378" t="str">
        <f t="shared" si="212"/>
        <v>High</v>
      </c>
      <c r="R1378" t="s">
        <v>3309</v>
      </c>
      <c r="S1378" s="4">
        <f t="shared" ca="1" si="213"/>
        <v>21</v>
      </c>
      <c r="T1378">
        <f t="shared" si="214"/>
        <v>3</v>
      </c>
      <c r="U1378">
        <f t="shared" si="215"/>
        <v>3</v>
      </c>
      <c r="V1378">
        <f t="shared" si="216"/>
        <v>3</v>
      </c>
      <c r="W1378">
        <f t="shared" si="217"/>
        <v>3</v>
      </c>
      <c r="X1378">
        <f t="shared" si="218"/>
        <v>3</v>
      </c>
      <c r="Y1378" t="str">
        <f t="shared" si="219"/>
        <v>Move Immediately</v>
      </c>
    </row>
    <row r="1379" spans="1:25" x14ac:dyDescent="0.35">
      <c r="A1379" t="s">
        <v>71</v>
      </c>
      <c r="B1379" t="s">
        <v>72</v>
      </c>
      <c r="C1379" t="s">
        <v>73</v>
      </c>
      <c r="D1379" t="s">
        <v>1175</v>
      </c>
      <c r="E1379">
        <v>80746615</v>
      </c>
      <c r="F1379" t="s">
        <v>1176</v>
      </c>
      <c r="G1379" s="3">
        <v>46193</v>
      </c>
      <c r="H1379">
        <v>36</v>
      </c>
      <c r="I1379">
        <v>0</v>
      </c>
      <c r="J1379">
        <v>203</v>
      </c>
      <c r="K1379" s="4">
        <v>241417.75</v>
      </c>
      <c r="L1379" s="4">
        <f>0</f>
        <v>0</v>
      </c>
      <c r="M1379" s="4">
        <f>999</f>
        <v>999</v>
      </c>
      <c r="N1379" t="s">
        <v>19</v>
      </c>
      <c r="O1379" t="str">
        <f t="shared" si="210"/>
        <v>High</v>
      </c>
      <c r="P1379" t="str">
        <f t="shared" si="211"/>
        <v>High</v>
      </c>
      <c r="Q1379" t="str">
        <f t="shared" si="212"/>
        <v>High</v>
      </c>
      <c r="R1379" t="s">
        <v>3309</v>
      </c>
      <c r="S1379" s="4">
        <f t="shared" ca="1" si="213"/>
        <v>-4</v>
      </c>
      <c r="T1379">
        <f t="shared" si="214"/>
        <v>3</v>
      </c>
      <c r="U1379">
        <f t="shared" si="215"/>
        <v>3</v>
      </c>
      <c r="V1379">
        <f t="shared" si="216"/>
        <v>3</v>
      </c>
      <c r="W1379">
        <f t="shared" si="217"/>
        <v>3</v>
      </c>
      <c r="X1379">
        <f t="shared" si="218"/>
        <v>3</v>
      </c>
      <c r="Y1379" t="str">
        <f t="shared" si="219"/>
        <v>Move Immediately</v>
      </c>
    </row>
    <row r="1380" spans="1:25" x14ac:dyDescent="0.35">
      <c r="A1380" t="s">
        <v>71</v>
      </c>
      <c r="B1380" t="s">
        <v>72</v>
      </c>
      <c r="C1380" t="s">
        <v>73</v>
      </c>
      <c r="D1380" t="s">
        <v>1175</v>
      </c>
      <c r="E1380">
        <v>80746615</v>
      </c>
      <c r="F1380" t="s">
        <v>1176</v>
      </c>
      <c r="G1380" s="3">
        <v>46085</v>
      </c>
      <c r="H1380">
        <v>36</v>
      </c>
      <c r="I1380">
        <v>0</v>
      </c>
      <c r="J1380">
        <v>66</v>
      </c>
      <c r="K1380" s="4">
        <v>78490.5</v>
      </c>
      <c r="L1380" s="4">
        <f>0</f>
        <v>0</v>
      </c>
      <c r="M1380" s="4">
        <f>999</f>
        <v>999</v>
      </c>
      <c r="N1380" t="s">
        <v>19</v>
      </c>
      <c r="O1380" t="str">
        <f t="shared" si="210"/>
        <v>High</v>
      </c>
      <c r="P1380" t="str">
        <f t="shared" si="211"/>
        <v>High</v>
      </c>
      <c r="Q1380" t="str">
        <f t="shared" si="212"/>
        <v>High</v>
      </c>
      <c r="R1380" t="s">
        <v>3310</v>
      </c>
      <c r="S1380" s="4">
        <f t="shared" ca="1" si="213"/>
        <v>-112</v>
      </c>
      <c r="T1380">
        <f t="shared" si="214"/>
        <v>3</v>
      </c>
      <c r="U1380">
        <f t="shared" si="215"/>
        <v>3</v>
      </c>
      <c r="V1380">
        <f t="shared" si="216"/>
        <v>3</v>
      </c>
      <c r="W1380">
        <f t="shared" si="217"/>
        <v>2</v>
      </c>
      <c r="X1380">
        <f t="shared" si="218"/>
        <v>2.9000000000000004</v>
      </c>
      <c r="Y1380" t="str">
        <f t="shared" si="219"/>
        <v>Move Immediately</v>
      </c>
    </row>
    <row r="1381" spans="1:25" x14ac:dyDescent="0.35">
      <c r="A1381" t="s">
        <v>90</v>
      </c>
      <c r="B1381" t="s">
        <v>91</v>
      </c>
      <c r="C1381" t="s">
        <v>112</v>
      </c>
      <c r="D1381" t="s">
        <v>1177</v>
      </c>
      <c r="E1381">
        <v>80755251</v>
      </c>
      <c r="F1381" t="s">
        <v>1178</v>
      </c>
      <c r="G1381" s="3">
        <v>46218</v>
      </c>
      <c r="H1381">
        <v>24</v>
      </c>
      <c r="I1381">
        <v>4</v>
      </c>
      <c r="J1381">
        <v>48</v>
      </c>
      <c r="K1381" s="4">
        <v>4109.76</v>
      </c>
      <c r="L1381" s="4">
        <f>0</f>
        <v>0</v>
      </c>
      <c r="M1381" s="4">
        <f>999</f>
        <v>999</v>
      </c>
      <c r="N1381" t="s">
        <v>19</v>
      </c>
      <c r="O1381" t="str">
        <f t="shared" si="210"/>
        <v>High</v>
      </c>
      <c r="P1381" t="str">
        <f t="shared" si="211"/>
        <v>High</v>
      </c>
      <c r="Q1381" t="str">
        <f t="shared" si="212"/>
        <v>High</v>
      </c>
      <c r="R1381" t="s">
        <v>3317</v>
      </c>
      <c r="S1381" s="4">
        <f t="shared" ca="1" si="213"/>
        <v>21</v>
      </c>
      <c r="T1381">
        <f t="shared" si="214"/>
        <v>3</v>
      </c>
      <c r="U1381">
        <f t="shared" si="215"/>
        <v>3</v>
      </c>
      <c r="V1381">
        <f t="shared" si="216"/>
        <v>3</v>
      </c>
      <c r="W1381">
        <f t="shared" si="217"/>
        <v>1</v>
      </c>
      <c r="X1381">
        <f t="shared" si="218"/>
        <v>2.8000000000000003</v>
      </c>
      <c r="Y1381" t="str">
        <f t="shared" si="219"/>
        <v>Move Immediately</v>
      </c>
    </row>
    <row r="1382" spans="1:25" x14ac:dyDescent="0.35">
      <c r="A1382" t="s">
        <v>90</v>
      </c>
      <c r="B1382" t="s">
        <v>91</v>
      </c>
      <c r="C1382" t="s">
        <v>112</v>
      </c>
      <c r="D1382" t="s">
        <v>1177</v>
      </c>
      <c r="E1382">
        <v>80755251</v>
      </c>
      <c r="F1382" t="s">
        <v>1178</v>
      </c>
      <c r="G1382" s="3">
        <v>46507</v>
      </c>
      <c r="H1382">
        <v>24</v>
      </c>
      <c r="I1382">
        <v>44</v>
      </c>
      <c r="J1382">
        <v>3</v>
      </c>
      <c r="K1382" s="4">
        <v>256.86</v>
      </c>
      <c r="L1382" s="4">
        <f>0</f>
        <v>0</v>
      </c>
      <c r="M1382" s="4">
        <f>999</f>
        <v>999</v>
      </c>
      <c r="N1382" t="s">
        <v>19</v>
      </c>
      <c r="O1382" t="str">
        <f t="shared" si="210"/>
        <v>Low</v>
      </c>
      <c r="P1382" t="str">
        <f t="shared" si="211"/>
        <v>High</v>
      </c>
      <c r="Q1382" t="str">
        <f t="shared" si="212"/>
        <v>High</v>
      </c>
      <c r="R1382" t="s">
        <v>3317</v>
      </c>
      <c r="S1382" s="4">
        <f t="shared" ca="1" si="213"/>
        <v>310</v>
      </c>
      <c r="T1382">
        <f t="shared" si="214"/>
        <v>1</v>
      </c>
      <c r="U1382">
        <f t="shared" si="215"/>
        <v>3</v>
      </c>
      <c r="V1382">
        <f t="shared" si="216"/>
        <v>3</v>
      </c>
      <c r="W1382">
        <f t="shared" si="217"/>
        <v>1</v>
      </c>
      <c r="X1382">
        <f t="shared" si="218"/>
        <v>2</v>
      </c>
      <c r="Y1382" t="str">
        <f t="shared" si="219"/>
        <v>Monitor</v>
      </c>
    </row>
    <row r="1383" spans="1:25" x14ac:dyDescent="0.35">
      <c r="A1383" t="s">
        <v>99</v>
      </c>
      <c r="B1383" t="s">
        <v>100</v>
      </c>
      <c r="C1383" t="s">
        <v>101</v>
      </c>
      <c r="D1383" t="s">
        <v>1179</v>
      </c>
      <c r="E1383">
        <v>80759507</v>
      </c>
      <c r="F1383" t="s">
        <v>1180</v>
      </c>
      <c r="G1383" s="3">
        <v>46259</v>
      </c>
      <c r="H1383">
        <v>18</v>
      </c>
      <c r="I1383">
        <v>12</v>
      </c>
      <c r="J1383">
        <v>356</v>
      </c>
      <c r="K1383" s="4">
        <v>66863.92</v>
      </c>
      <c r="L1383" s="4">
        <v>11</v>
      </c>
      <c r="M1383" s="4">
        <v>32.363636363636367</v>
      </c>
      <c r="N1383" t="s">
        <v>19</v>
      </c>
      <c r="O1383" t="str">
        <f t="shared" si="210"/>
        <v>High</v>
      </c>
      <c r="P1383" t="str">
        <f t="shared" si="211"/>
        <v>High</v>
      </c>
      <c r="Q1383" t="str">
        <f t="shared" si="212"/>
        <v>Medium</v>
      </c>
      <c r="R1383" t="s">
        <v>3310</v>
      </c>
      <c r="S1383" s="4">
        <f t="shared" ca="1" si="213"/>
        <v>62</v>
      </c>
      <c r="T1383">
        <f t="shared" si="214"/>
        <v>3</v>
      </c>
      <c r="U1383">
        <f t="shared" si="215"/>
        <v>3</v>
      </c>
      <c r="V1383">
        <f t="shared" si="216"/>
        <v>2</v>
      </c>
      <c r="W1383">
        <f t="shared" si="217"/>
        <v>2</v>
      </c>
      <c r="X1383">
        <f t="shared" si="218"/>
        <v>2.7</v>
      </c>
      <c r="Y1383" t="str">
        <f t="shared" si="219"/>
        <v>Move Immediately</v>
      </c>
    </row>
    <row r="1384" spans="1:25" x14ac:dyDescent="0.35">
      <c r="A1384" t="s">
        <v>90</v>
      </c>
      <c r="B1384" t="s">
        <v>91</v>
      </c>
      <c r="C1384" t="s">
        <v>155</v>
      </c>
      <c r="D1384" t="s">
        <v>1181</v>
      </c>
      <c r="E1384">
        <v>80765941</v>
      </c>
      <c r="F1384" t="s">
        <v>1182</v>
      </c>
      <c r="G1384" s="3">
        <v>45950</v>
      </c>
      <c r="H1384">
        <v>24</v>
      </c>
      <c r="I1384">
        <v>0</v>
      </c>
      <c r="J1384">
        <v>43</v>
      </c>
      <c r="K1384" s="4">
        <v>7801.92</v>
      </c>
      <c r="L1384" s="4">
        <v>0.2857142857142857</v>
      </c>
      <c r="M1384" s="4">
        <v>150.5</v>
      </c>
      <c r="N1384" t="s">
        <v>19</v>
      </c>
      <c r="O1384" t="str">
        <f t="shared" si="210"/>
        <v>High</v>
      </c>
      <c r="P1384" t="str">
        <f t="shared" si="211"/>
        <v>High</v>
      </c>
      <c r="Q1384" t="str">
        <f t="shared" si="212"/>
        <v>High</v>
      </c>
      <c r="R1384" t="s">
        <v>3317</v>
      </c>
      <c r="S1384" s="4">
        <f t="shared" ca="1" si="213"/>
        <v>-247</v>
      </c>
      <c r="T1384">
        <f t="shared" si="214"/>
        <v>3</v>
      </c>
      <c r="U1384">
        <f t="shared" si="215"/>
        <v>3</v>
      </c>
      <c r="V1384">
        <f t="shared" si="216"/>
        <v>3</v>
      </c>
      <c r="W1384">
        <f t="shared" si="217"/>
        <v>1</v>
      </c>
      <c r="X1384">
        <f t="shared" si="218"/>
        <v>2.8000000000000003</v>
      </c>
      <c r="Y1384" t="str">
        <f t="shared" si="219"/>
        <v>Move Immediately</v>
      </c>
    </row>
    <row r="1385" spans="1:25" x14ac:dyDescent="0.35">
      <c r="A1385" t="s">
        <v>90</v>
      </c>
      <c r="B1385" t="s">
        <v>91</v>
      </c>
      <c r="C1385" t="s">
        <v>155</v>
      </c>
      <c r="D1385" t="s">
        <v>1181</v>
      </c>
      <c r="E1385">
        <v>80765941</v>
      </c>
      <c r="F1385" t="s">
        <v>1182</v>
      </c>
      <c r="G1385" s="3">
        <v>45894</v>
      </c>
      <c r="H1385">
        <v>24</v>
      </c>
      <c r="I1385">
        <v>0</v>
      </c>
      <c r="J1385">
        <v>17</v>
      </c>
      <c r="K1385" s="4">
        <v>3084.48</v>
      </c>
      <c r="L1385" s="4">
        <v>0.2857142857142857</v>
      </c>
      <c r="M1385" s="4">
        <v>59.5</v>
      </c>
      <c r="N1385" t="s">
        <v>19</v>
      </c>
      <c r="O1385" t="str">
        <f t="shared" si="210"/>
        <v>High</v>
      </c>
      <c r="P1385" t="str">
        <f t="shared" si="211"/>
        <v>High</v>
      </c>
      <c r="Q1385" t="str">
        <f t="shared" si="212"/>
        <v>High</v>
      </c>
      <c r="R1385" t="s">
        <v>3317</v>
      </c>
      <c r="S1385" s="4">
        <f t="shared" ca="1" si="213"/>
        <v>-303</v>
      </c>
      <c r="T1385">
        <f t="shared" si="214"/>
        <v>3</v>
      </c>
      <c r="U1385">
        <f t="shared" si="215"/>
        <v>3</v>
      </c>
      <c r="V1385">
        <f t="shared" si="216"/>
        <v>3</v>
      </c>
      <c r="W1385">
        <f t="shared" si="217"/>
        <v>1</v>
      </c>
      <c r="X1385">
        <f t="shared" si="218"/>
        <v>2.8000000000000003</v>
      </c>
      <c r="Y1385" t="str">
        <f t="shared" si="219"/>
        <v>Move Immediately</v>
      </c>
    </row>
    <row r="1386" spans="1:25" x14ac:dyDescent="0.35">
      <c r="A1386" t="s">
        <v>14</v>
      </c>
      <c r="B1386" t="s">
        <v>343</v>
      </c>
      <c r="C1386" t="s">
        <v>344</v>
      </c>
      <c r="D1386" t="s">
        <v>1183</v>
      </c>
      <c r="E1386">
        <v>80753110</v>
      </c>
      <c r="F1386" t="s">
        <v>1184</v>
      </c>
      <c r="G1386" s="3">
        <v>47071</v>
      </c>
      <c r="H1386">
        <v>60</v>
      </c>
      <c r="I1386">
        <v>49</v>
      </c>
      <c r="J1386">
        <v>9</v>
      </c>
      <c r="K1386" s="4">
        <v>2858.31</v>
      </c>
      <c r="L1386" s="4">
        <f>0</f>
        <v>0</v>
      </c>
      <c r="M1386" s="4">
        <f>999</f>
        <v>999</v>
      </c>
      <c r="N1386" t="s">
        <v>19</v>
      </c>
      <c r="O1386" t="str">
        <f t="shared" si="210"/>
        <v>Low</v>
      </c>
      <c r="P1386" t="str">
        <f t="shared" si="211"/>
        <v>High</v>
      </c>
      <c r="Q1386" t="str">
        <f t="shared" si="212"/>
        <v>High</v>
      </c>
      <c r="R1386" t="s">
        <v>3317</v>
      </c>
      <c r="S1386" s="4">
        <f t="shared" ca="1" si="213"/>
        <v>874</v>
      </c>
      <c r="T1386">
        <f t="shared" si="214"/>
        <v>1</v>
      </c>
      <c r="U1386">
        <f t="shared" si="215"/>
        <v>3</v>
      </c>
      <c r="V1386">
        <f t="shared" si="216"/>
        <v>3</v>
      </c>
      <c r="W1386">
        <f t="shared" si="217"/>
        <v>1</v>
      </c>
      <c r="X1386">
        <f t="shared" si="218"/>
        <v>2</v>
      </c>
      <c r="Y1386" t="str">
        <f t="shared" si="219"/>
        <v>Monitor</v>
      </c>
    </row>
    <row r="1387" spans="1:25" x14ac:dyDescent="0.35">
      <c r="A1387" t="s">
        <v>20</v>
      </c>
      <c r="B1387" t="s">
        <v>21</v>
      </c>
      <c r="C1387" t="s">
        <v>214</v>
      </c>
      <c r="D1387" t="s">
        <v>790</v>
      </c>
      <c r="E1387">
        <v>80731169</v>
      </c>
      <c r="F1387" t="s">
        <v>1185</v>
      </c>
      <c r="G1387" s="3">
        <v>46986</v>
      </c>
      <c r="H1387">
        <v>36</v>
      </c>
      <c r="I1387">
        <v>74</v>
      </c>
      <c r="J1387">
        <v>49</v>
      </c>
      <c r="K1387" s="4">
        <v>9054.7099999999991</v>
      </c>
      <c r="L1387" s="4">
        <v>927.57142857142856</v>
      </c>
      <c r="M1387" s="4">
        <v>5.2826120437394118E-2</v>
      </c>
      <c r="N1387" t="s">
        <v>25</v>
      </c>
      <c r="O1387" t="str">
        <f t="shared" si="210"/>
        <v>Low</v>
      </c>
      <c r="P1387" t="str">
        <f t="shared" si="211"/>
        <v>Low</v>
      </c>
      <c r="Q1387" t="str">
        <f t="shared" si="212"/>
        <v>Low</v>
      </c>
      <c r="R1387" t="s">
        <v>3317</v>
      </c>
      <c r="S1387" s="4">
        <f t="shared" ca="1" si="213"/>
        <v>789</v>
      </c>
      <c r="T1387">
        <f t="shared" si="214"/>
        <v>1</v>
      </c>
      <c r="U1387">
        <f t="shared" si="215"/>
        <v>1</v>
      </c>
      <c r="V1387">
        <f t="shared" si="216"/>
        <v>1</v>
      </c>
      <c r="W1387">
        <f t="shared" si="217"/>
        <v>1</v>
      </c>
      <c r="X1387">
        <f t="shared" si="218"/>
        <v>0.99999999999999989</v>
      </c>
      <c r="Y1387" t="str">
        <f t="shared" si="219"/>
        <v>Healthy</v>
      </c>
    </row>
    <row r="1388" spans="1:25" x14ac:dyDescent="0.35">
      <c r="A1388" t="s">
        <v>20</v>
      </c>
      <c r="B1388" t="s">
        <v>21</v>
      </c>
      <c r="C1388" t="s">
        <v>214</v>
      </c>
      <c r="D1388" t="s">
        <v>790</v>
      </c>
      <c r="E1388">
        <v>80731169</v>
      </c>
      <c r="F1388" t="s">
        <v>1185</v>
      </c>
      <c r="G1388" s="3">
        <v>46955</v>
      </c>
      <c r="H1388">
        <v>36</v>
      </c>
      <c r="I1388">
        <v>71</v>
      </c>
      <c r="J1388">
        <v>41</v>
      </c>
      <c r="K1388" s="4">
        <v>7576.39</v>
      </c>
      <c r="L1388" s="4">
        <v>927.57142857142856</v>
      </c>
      <c r="M1388" s="4">
        <v>4.4201447712921609E-2</v>
      </c>
      <c r="N1388" t="s">
        <v>25</v>
      </c>
      <c r="O1388" t="str">
        <f t="shared" si="210"/>
        <v>Low</v>
      </c>
      <c r="P1388" t="str">
        <f t="shared" si="211"/>
        <v>Low</v>
      </c>
      <c r="Q1388" t="str">
        <f t="shared" si="212"/>
        <v>Low</v>
      </c>
      <c r="R1388" t="s">
        <v>3317</v>
      </c>
      <c r="S1388" s="4">
        <f t="shared" ca="1" si="213"/>
        <v>758</v>
      </c>
      <c r="T1388">
        <f t="shared" si="214"/>
        <v>1</v>
      </c>
      <c r="U1388">
        <f t="shared" si="215"/>
        <v>1</v>
      </c>
      <c r="V1388">
        <f t="shared" si="216"/>
        <v>1</v>
      </c>
      <c r="W1388">
        <f t="shared" si="217"/>
        <v>1</v>
      </c>
      <c r="X1388">
        <f t="shared" si="218"/>
        <v>0.99999999999999989</v>
      </c>
      <c r="Y1388" t="str">
        <f t="shared" si="219"/>
        <v>Healthy</v>
      </c>
    </row>
    <row r="1389" spans="1:25" x14ac:dyDescent="0.35">
      <c r="A1389" t="s">
        <v>20</v>
      </c>
      <c r="B1389" t="s">
        <v>21</v>
      </c>
      <c r="C1389" t="s">
        <v>214</v>
      </c>
      <c r="D1389" t="s">
        <v>790</v>
      </c>
      <c r="E1389">
        <v>80731169</v>
      </c>
      <c r="F1389" t="s">
        <v>1185</v>
      </c>
      <c r="G1389" s="3">
        <v>46954</v>
      </c>
      <c r="H1389">
        <v>36</v>
      </c>
      <c r="I1389">
        <v>71</v>
      </c>
      <c r="J1389">
        <v>42</v>
      </c>
      <c r="K1389" s="4">
        <v>7761.18</v>
      </c>
      <c r="L1389" s="4">
        <v>927.57142857142856</v>
      </c>
      <c r="M1389" s="4">
        <v>4.5279531803480676E-2</v>
      </c>
      <c r="N1389" t="s">
        <v>25</v>
      </c>
      <c r="O1389" t="str">
        <f t="shared" si="210"/>
        <v>Low</v>
      </c>
      <c r="P1389" t="str">
        <f t="shared" si="211"/>
        <v>Low</v>
      </c>
      <c r="Q1389" t="str">
        <f t="shared" si="212"/>
        <v>Low</v>
      </c>
      <c r="R1389" t="s">
        <v>3317</v>
      </c>
      <c r="S1389" s="4">
        <f t="shared" ca="1" si="213"/>
        <v>757</v>
      </c>
      <c r="T1389">
        <f t="shared" si="214"/>
        <v>1</v>
      </c>
      <c r="U1389">
        <f t="shared" si="215"/>
        <v>1</v>
      </c>
      <c r="V1389">
        <f t="shared" si="216"/>
        <v>1</v>
      </c>
      <c r="W1389">
        <f t="shared" si="217"/>
        <v>1</v>
      </c>
      <c r="X1389">
        <f t="shared" si="218"/>
        <v>0.99999999999999989</v>
      </c>
      <c r="Y1389" t="str">
        <f t="shared" si="219"/>
        <v>Healthy</v>
      </c>
    </row>
    <row r="1390" spans="1:25" x14ac:dyDescent="0.35">
      <c r="A1390" t="s">
        <v>20</v>
      </c>
      <c r="B1390" t="s">
        <v>21</v>
      </c>
      <c r="C1390" t="s">
        <v>214</v>
      </c>
      <c r="D1390" t="s">
        <v>790</v>
      </c>
      <c r="E1390">
        <v>80731169</v>
      </c>
      <c r="F1390" t="s">
        <v>1185</v>
      </c>
      <c r="G1390" s="3">
        <v>46956</v>
      </c>
      <c r="H1390">
        <v>36</v>
      </c>
      <c r="I1390">
        <v>71</v>
      </c>
      <c r="J1390">
        <v>12</v>
      </c>
      <c r="K1390" s="4">
        <v>2217.48</v>
      </c>
      <c r="L1390" s="4">
        <v>927.57142857142856</v>
      </c>
      <c r="M1390" s="4">
        <v>1.2937009086708763E-2</v>
      </c>
      <c r="N1390" t="s">
        <v>25</v>
      </c>
      <c r="O1390" t="str">
        <f t="shared" si="210"/>
        <v>Low</v>
      </c>
      <c r="P1390" t="str">
        <f t="shared" si="211"/>
        <v>Low</v>
      </c>
      <c r="Q1390" t="str">
        <f t="shared" si="212"/>
        <v>Low</v>
      </c>
      <c r="R1390" t="s">
        <v>3317</v>
      </c>
      <c r="S1390" s="4">
        <f t="shared" ca="1" si="213"/>
        <v>759</v>
      </c>
      <c r="T1390">
        <f t="shared" si="214"/>
        <v>1</v>
      </c>
      <c r="U1390">
        <f t="shared" si="215"/>
        <v>1</v>
      </c>
      <c r="V1390">
        <f t="shared" si="216"/>
        <v>1</v>
      </c>
      <c r="W1390">
        <f t="shared" si="217"/>
        <v>1</v>
      </c>
      <c r="X1390">
        <f t="shared" si="218"/>
        <v>0.99999999999999989</v>
      </c>
      <c r="Y1390" t="str">
        <f t="shared" si="219"/>
        <v>Healthy</v>
      </c>
    </row>
    <row r="1391" spans="1:25" x14ac:dyDescent="0.35">
      <c r="A1391" t="s">
        <v>20</v>
      </c>
      <c r="B1391" t="s">
        <v>21</v>
      </c>
      <c r="C1391" t="s">
        <v>214</v>
      </c>
      <c r="D1391" t="s">
        <v>790</v>
      </c>
      <c r="E1391">
        <v>80731169</v>
      </c>
      <c r="F1391" t="s">
        <v>1185</v>
      </c>
      <c r="G1391" s="3">
        <v>46977</v>
      </c>
      <c r="H1391">
        <v>36</v>
      </c>
      <c r="I1391">
        <v>73</v>
      </c>
      <c r="J1391">
        <v>46</v>
      </c>
      <c r="K1391" s="4">
        <v>8500.34</v>
      </c>
      <c r="L1391" s="4">
        <v>927.57142857142856</v>
      </c>
      <c r="M1391" s="4">
        <v>4.9591868165716924E-2</v>
      </c>
      <c r="N1391" t="s">
        <v>25</v>
      </c>
      <c r="O1391" t="str">
        <f t="shared" si="210"/>
        <v>Low</v>
      </c>
      <c r="P1391" t="str">
        <f t="shared" si="211"/>
        <v>Low</v>
      </c>
      <c r="Q1391" t="str">
        <f t="shared" si="212"/>
        <v>Low</v>
      </c>
      <c r="R1391" t="s">
        <v>3317</v>
      </c>
      <c r="S1391" s="4">
        <f t="shared" ca="1" si="213"/>
        <v>780</v>
      </c>
      <c r="T1391">
        <f t="shared" si="214"/>
        <v>1</v>
      </c>
      <c r="U1391">
        <f t="shared" si="215"/>
        <v>1</v>
      </c>
      <c r="V1391">
        <f t="shared" si="216"/>
        <v>1</v>
      </c>
      <c r="W1391">
        <f t="shared" si="217"/>
        <v>1</v>
      </c>
      <c r="X1391">
        <f t="shared" si="218"/>
        <v>0.99999999999999989</v>
      </c>
      <c r="Y1391" t="str">
        <f t="shared" si="219"/>
        <v>Healthy</v>
      </c>
    </row>
    <row r="1392" spans="1:25" x14ac:dyDescent="0.35">
      <c r="A1392" t="s">
        <v>20</v>
      </c>
      <c r="B1392" t="s">
        <v>21</v>
      </c>
      <c r="C1392" t="s">
        <v>214</v>
      </c>
      <c r="D1392" t="s">
        <v>790</v>
      </c>
      <c r="E1392">
        <v>80731169</v>
      </c>
      <c r="F1392" t="s">
        <v>1185</v>
      </c>
      <c r="G1392" s="3">
        <v>46965</v>
      </c>
      <c r="H1392">
        <v>36</v>
      </c>
      <c r="I1392">
        <v>72</v>
      </c>
      <c r="J1392">
        <v>44</v>
      </c>
      <c r="K1392" s="4">
        <v>8130.76</v>
      </c>
      <c r="L1392" s="4">
        <v>927.57142857142856</v>
      </c>
      <c r="M1392" s="4">
        <v>4.7435699984598796E-2</v>
      </c>
      <c r="N1392" t="s">
        <v>25</v>
      </c>
      <c r="O1392" t="str">
        <f t="shared" si="210"/>
        <v>Low</v>
      </c>
      <c r="P1392" t="str">
        <f t="shared" si="211"/>
        <v>Low</v>
      </c>
      <c r="Q1392" t="str">
        <f t="shared" si="212"/>
        <v>Low</v>
      </c>
      <c r="R1392" t="s">
        <v>3317</v>
      </c>
      <c r="S1392" s="4">
        <f t="shared" ca="1" si="213"/>
        <v>768</v>
      </c>
      <c r="T1392">
        <f t="shared" si="214"/>
        <v>1</v>
      </c>
      <c r="U1392">
        <f t="shared" si="215"/>
        <v>1</v>
      </c>
      <c r="V1392">
        <f t="shared" si="216"/>
        <v>1</v>
      </c>
      <c r="W1392">
        <f t="shared" si="217"/>
        <v>1</v>
      </c>
      <c r="X1392">
        <f t="shared" si="218"/>
        <v>0.99999999999999989</v>
      </c>
      <c r="Y1392" t="str">
        <f t="shared" si="219"/>
        <v>Healthy</v>
      </c>
    </row>
    <row r="1393" spans="1:25" x14ac:dyDescent="0.35">
      <c r="A1393" t="s">
        <v>29</v>
      </c>
      <c r="B1393" t="s">
        <v>30</v>
      </c>
      <c r="C1393" t="s">
        <v>449</v>
      </c>
      <c r="D1393" t="s">
        <v>1186</v>
      </c>
      <c r="E1393">
        <v>80741181</v>
      </c>
      <c r="F1393" t="s">
        <v>1187</v>
      </c>
      <c r="G1393" s="3">
        <v>47087</v>
      </c>
      <c r="H1393">
        <v>36</v>
      </c>
      <c r="I1393">
        <v>83</v>
      </c>
      <c r="J1393">
        <v>16</v>
      </c>
      <c r="K1393" s="4">
        <v>5729.76</v>
      </c>
      <c r="L1393" s="4">
        <v>224.28571428571428</v>
      </c>
      <c r="M1393" s="4">
        <v>7.1337579617834393E-2</v>
      </c>
      <c r="N1393" t="s">
        <v>25</v>
      </c>
      <c r="O1393" t="str">
        <f t="shared" si="210"/>
        <v>Low</v>
      </c>
      <c r="P1393" t="str">
        <f t="shared" si="211"/>
        <v>Low</v>
      </c>
      <c r="Q1393" t="str">
        <f t="shared" si="212"/>
        <v>Low</v>
      </c>
      <c r="R1393" t="s">
        <v>3317</v>
      </c>
      <c r="S1393" s="4">
        <f t="shared" ca="1" si="213"/>
        <v>890</v>
      </c>
      <c r="T1393">
        <f t="shared" si="214"/>
        <v>1</v>
      </c>
      <c r="U1393">
        <f t="shared" si="215"/>
        <v>1</v>
      </c>
      <c r="V1393">
        <f t="shared" si="216"/>
        <v>1</v>
      </c>
      <c r="W1393">
        <f t="shared" si="217"/>
        <v>1</v>
      </c>
      <c r="X1393">
        <f t="shared" si="218"/>
        <v>0.99999999999999989</v>
      </c>
      <c r="Y1393" t="str">
        <f t="shared" si="219"/>
        <v>Healthy</v>
      </c>
    </row>
    <row r="1394" spans="1:25" x14ac:dyDescent="0.35">
      <c r="A1394" t="s">
        <v>29</v>
      </c>
      <c r="B1394" t="s">
        <v>30</v>
      </c>
      <c r="C1394" t="s">
        <v>449</v>
      </c>
      <c r="D1394" t="s">
        <v>1186</v>
      </c>
      <c r="E1394">
        <v>80741181</v>
      </c>
      <c r="F1394" t="s">
        <v>1187</v>
      </c>
      <c r="G1394" s="3">
        <v>47122</v>
      </c>
      <c r="H1394">
        <v>36</v>
      </c>
      <c r="I1394">
        <v>86</v>
      </c>
      <c r="J1394">
        <v>22</v>
      </c>
      <c r="K1394" s="4">
        <v>7878.42</v>
      </c>
      <c r="L1394" s="4">
        <v>224.28571428571428</v>
      </c>
      <c r="M1394" s="4">
        <v>9.8089171974522299E-2</v>
      </c>
      <c r="N1394" t="s">
        <v>25</v>
      </c>
      <c r="O1394" t="str">
        <f t="shared" si="210"/>
        <v>Low</v>
      </c>
      <c r="P1394" t="str">
        <f t="shared" si="211"/>
        <v>Low</v>
      </c>
      <c r="Q1394" t="str">
        <f t="shared" si="212"/>
        <v>Low</v>
      </c>
      <c r="R1394" t="s">
        <v>3317</v>
      </c>
      <c r="S1394" s="4">
        <f t="shared" ca="1" si="213"/>
        <v>925</v>
      </c>
      <c r="T1394">
        <f t="shared" si="214"/>
        <v>1</v>
      </c>
      <c r="U1394">
        <f t="shared" si="215"/>
        <v>1</v>
      </c>
      <c r="V1394">
        <f t="shared" si="216"/>
        <v>1</v>
      </c>
      <c r="W1394">
        <f t="shared" si="217"/>
        <v>1</v>
      </c>
      <c r="X1394">
        <f t="shared" si="218"/>
        <v>0.99999999999999989</v>
      </c>
      <c r="Y1394" t="str">
        <f t="shared" si="219"/>
        <v>Healthy</v>
      </c>
    </row>
    <row r="1395" spans="1:25" x14ac:dyDescent="0.35">
      <c r="A1395" t="s">
        <v>29</v>
      </c>
      <c r="B1395" t="s">
        <v>30</v>
      </c>
      <c r="C1395" t="s">
        <v>449</v>
      </c>
      <c r="D1395" t="s">
        <v>1186</v>
      </c>
      <c r="E1395">
        <v>80741181</v>
      </c>
      <c r="F1395" t="s">
        <v>1187</v>
      </c>
      <c r="G1395" s="3">
        <v>47145</v>
      </c>
      <c r="H1395">
        <v>36</v>
      </c>
      <c r="I1395">
        <v>88</v>
      </c>
      <c r="J1395">
        <v>19</v>
      </c>
      <c r="K1395" s="4">
        <v>6804.09</v>
      </c>
      <c r="L1395" s="4">
        <v>224.28571428571428</v>
      </c>
      <c r="M1395" s="4">
        <v>8.4713375796178353E-2</v>
      </c>
      <c r="N1395" t="s">
        <v>25</v>
      </c>
      <c r="O1395" t="str">
        <f t="shared" si="210"/>
        <v>Low</v>
      </c>
      <c r="P1395" t="str">
        <f t="shared" si="211"/>
        <v>Low</v>
      </c>
      <c r="Q1395" t="str">
        <f t="shared" si="212"/>
        <v>Low</v>
      </c>
      <c r="R1395" t="s">
        <v>3317</v>
      </c>
      <c r="S1395" s="4">
        <f t="shared" ca="1" si="213"/>
        <v>948</v>
      </c>
      <c r="T1395">
        <f t="shared" si="214"/>
        <v>1</v>
      </c>
      <c r="U1395">
        <f t="shared" si="215"/>
        <v>1</v>
      </c>
      <c r="V1395">
        <f t="shared" si="216"/>
        <v>1</v>
      </c>
      <c r="W1395">
        <f t="shared" si="217"/>
        <v>1</v>
      </c>
      <c r="X1395">
        <f t="shared" si="218"/>
        <v>0.99999999999999989</v>
      </c>
      <c r="Y1395" t="str">
        <f t="shared" si="219"/>
        <v>Healthy</v>
      </c>
    </row>
    <row r="1396" spans="1:25" x14ac:dyDescent="0.35">
      <c r="A1396" t="s">
        <v>29</v>
      </c>
      <c r="B1396" t="s">
        <v>30</v>
      </c>
      <c r="C1396" t="s">
        <v>449</v>
      </c>
      <c r="D1396" t="s">
        <v>1186</v>
      </c>
      <c r="E1396">
        <v>80741181</v>
      </c>
      <c r="F1396" t="s">
        <v>1187</v>
      </c>
      <c r="G1396" s="3">
        <v>47087</v>
      </c>
      <c r="H1396">
        <v>36</v>
      </c>
      <c r="I1396">
        <v>83</v>
      </c>
      <c r="J1396">
        <v>72</v>
      </c>
      <c r="K1396" s="4">
        <v>25783.919999999998</v>
      </c>
      <c r="L1396" s="4">
        <v>224.28571428571428</v>
      </c>
      <c r="M1396" s="4">
        <v>0.32101910828025476</v>
      </c>
      <c r="N1396" t="s">
        <v>25</v>
      </c>
      <c r="O1396" t="str">
        <f t="shared" si="210"/>
        <v>Low</v>
      </c>
      <c r="P1396" t="str">
        <f t="shared" si="211"/>
        <v>Low</v>
      </c>
      <c r="Q1396" t="str">
        <f t="shared" si="212"/>
        <v>Low</v>
      </c>
      <c r="R1396" t="s">
        <v>3317</v>
      </c>
      <c r="S1396" s="4">
        <f t="shared" ca="1" si="213"/>
        <v>890</v>
      </c>
      <c r="T1396">
        <f t="shared" si="214"/>
        <v>1</v>
      </c>
      <c r="U1396">
        <f t="shared" si="215"/>
        <v>1</v>
      </c>
      <c r="V1396">
        <f t="shared" si="216"/>
        <v>1</v>
      </c>
      <c r="W1396">
        <f t="shared" si="217"/>
        <v>1</v>
      </c>
      <c r="X1396">
        <f t="shared" si="218"/>
        <v>0.99999999999999989</v>
      </c>
      <c r="Y1396" t="str">
        <f t="shared" si="219"/>
        <v>Healthy</v>
      </c>
    </row>
    <row r="1397" spans="1:25" x14ac:dyDescent="0.35">
      <c r="A1397" t="s">
        <v>29</v>
      </c>
      <c r="B1397" t="s">
        <v>30</v>
      </c>
      <c r="C1397" t="s">
        <v>449</v>
      </c>
      <c r="D1397" t="s">
        <v>1186</v>
      </c>
      <c r="E1397">
        <v>80741181</v>
      </c>
      <c r="F1397" t="s">
        <v>1187</v>
      </c>
      <c r="G1397" s="3">
        <v>47189</v>
      </c>
      <c r="H1397">
        <v>36</v>
      </c>
      <c r="I1397">
        <v>92</v>
      </c>
      <c r="J1397">
        <v>19</v>
      </c>
      <c r="K1397" s="4">
        <v>6804.09</v>
      </c>
      <c r="L1397" s="4">
        <v>224.28571428571428</v>
      </c>
      <c r="M1397" s="4">
        <v>8.4713375796178353E-2</v>
      </c>
      <c r="N1397" t="s">
        <v>25</v>
      </c>
      <c r="O1397" t="str">
        <f t="shared" si="210"/>
        <v>Low</v>
      </c>
      <c r="P1397" t="str">
        <f t="shared" si="211"/>
        <v>Low</v>
      </c>
      <c r="Q1397" t="str">
        <f t="shared" si="212"/>
        <v>Low</v>
      </c>
      <c r="R1397" t="s">
        <v>3317</v>
      </c>
      <c r="S1397" s="4">
        <f t="shared" ca="1" si="213"/>
        <v>992</v>
      </c>
      <c r="T1397">
        <f t="shared" si="214"/>
        <v>1</v>
      </c>
      <c r="U1397">
        <f t="shared" si="215"/>
        <v>1</v>
      </c>
      <c r="V1397">
        <f t="shared" si="216"/>
        <v>1</v>
      </c>
      <c r="W1397">
        <f t="shared" si="217"/>
        <v>1</v>
      </c>
      <c r="X1397">
        <f t="shared" si="218"/>
        <v>0.99999999999999989</v>
      </c>
      <c r="Y1397" t="str">
        <f t="shared" si="219"/>
        <v>Healthy</v>
      </c>
    </row>
    <row r="1398" spans="1:25" x14ac:dyDescent="0.35">
      <c r="A1398" t="s">
        <v>41</v>
      </c>
      <c r="B1398" t="s">
        <v>42</v>
      </c>
      <c r="C1398" t="s">
        <v>43</v>
      </c>
      <c r="D1398" t="s">
        <v>1188</v>
      </c>
      <c r="E1398">
        <v>80778987</v>
      </c>
      <c r="F1398" t="s">
        <v>1189</v>
      </c>
      <c r="G1398" s="3">
        <v>46540</v>
      </c>
      <c r="H1398">
        <v>36</v>
      </c>
      <c r="I1398">
        <v>32</v>
      </c>
      <c r="J1398">
        <v>1</v>
      </c>
      <c r="K1398" s="4">
        <v>608.54999999999995</v>
      </c>
      <c r="L1398" s="4">
        <f>0</f>
        <v>0</v>
      </c>
      <c r="M1398" s="4">
        <f>999</f>
        <v>999</v>
      </c>
      <c r="N1398" t="s">
        <v>19</v>
      </c>
      <c r="O1398" t="str">
        <f t="shared" si="210"/>
        <v>Medium</v>
      </c>
      <c r="P1398" t="str">
        <f t="shared" si="211"/>
        <v>High</v>
      </c>
      <c r="Q1398" t="str">
        <f t="shared" si="212"/>
        <v>High</v>
      </c>
      <c r="R1398" t="s">
        <v>3317</v>
      </c>
      <c r="S1398" s="4">
        <f t="shared" ca="1" si="213"/>
        <v>343</v>
      </c>
      <c r="T1398">
        <f t="shared" si="214"/>
        <v>2</v>
      </c>
      <c r="U1398">
        <f t="shared" si="215"/>
        <v>3</v>
      </c>
      <c r="V1398">
        <f t="shared" si="216"/>
        <v>3</v>
      </c>
      <c r="W1398">
        <f t="shared" si="217"/>
        <v>1</v>
      </c>
      <c r="X1398">
        <f t="shared" si="218"/>
        <v>2.4</v>
      </c>
      <c r="Y1398" t="str">
        <f t="shared" si="219"/>
        <v>High Priority</v>
      </c>
    </row>
    <row r="1399" spans="1:25" x14ac:dyDescent="0.35">
      <c r="A1399" t="s">
        <v>29</v>
      </c>
      <c r="B1399" t="s">
        <v>30</v>
      </c>
      <c r="C1399" t="s">
        <v>449</v>
      </c>
      <c r="D1399" t="s">
        <v>1186</v>
      </c>
      <c r="E1399">
        <v>80741181</v>
      </c>
      <c r="F1399" t="s">
        <v>1187</v>
      </c>
      <c r="G1399" s="3">
        <v>46900</v>
      </c>
      <c r="H1399">
        <v>36</v>
      </c>
      <c r="I1399">
        <v>66</v>
      </c>
      <c r="J1399">
        <v>5</v>
      </c>
      <c r="K1399" s="4">
        <v>1790.55</v>
      </c>
      <c r="L1399" s="4">
        <v>224.28571428571428</v>
      </c>
      <c r="M1399" s="4">
        <v>2.229299363057325E-2</v>
      </c>
      <c r="N1399" t="s">
        <v>25</v>
      </c>
      <c r="O1399" t="str">
        <f t="shared" si="210"/>
        <v>Low</v>
      </c>
      <c r="P1399" t="str">
        <f t="shared" si="211"/>
        <v>Low</v>
      </c>
      <c r="Q1399" t="str">
        <f t="shared" si="212"/>
        <v>Low</v>
      </c>
      <c r="R1399" t="s">
        <v>3317</v>
      </c>
      <c r="S1399" s="4">
        <f t="shared" ca="1" si="213"/>
        <v>703</v>
      </c>
      <c r="T1399">
        <f t="shared" si="214"/>
        <v>1</v>
      </c>
      <c r="U1399">
        <f t="shared" si="215"/>
        <v>1</v>
      </c>
      <c r="V1399">
        <f t="shared" si="216"/>
        <v>1</v>
      </c>
      <c r="W1399">
        <f t="shared" si="217"/>
        <v>1</v>
      </c>
      <c r="X1399">
        <f t="shared" si="218"/>
        <v>0.99999999999999989</v>
      </c>
      <c r="Y1399" t="str">
        <f t="shared" si="219"/>
        <v>Healthy</v>
      </c>
    </row>
    <row r="1400" spans="1:25" x14ac:dyDescent="0.35">
      <c r="A1400" t="s">
        <v>41</v>
      </c>
      <c r="B1400" t="s">
        <v>42</v>
      </c>
      <c r="C1400" t="s">
        <v>43</v>
      </c>
      <c r="D1400" t="s">
        <v>1188</v>
      </c>
      <c r="E1400">
        <v>80778987</v>
      </c>
      <c r="F1400" t="s">
        <v>1189</v>
      </c>
      <c r="G1400" s="3">
        <v>46594</v>
      </c>
      <c r="H1400">
        <v>36</v>
      </c>
      <c r="I1400">
        <v>37</v>
      </c>
      <c r="J1400">
        <v>8</v>
      </c>
      <c r="K1400" s="4">
        <v>4868.3999999999996</v>
      </c>
      <c r="L1400" s="4">
        <f>0</f>
        <v>0</v>
      </c>
      <c r="M1400" s="4">
        <f>999</f>
        <v>999</v>
      </c>
      <c r="N1400" t="s">
        <v>19</v>
      </c>
      <c r="O1400" t="str">
        <f t="shared" si="210"/>
        <v>Medium</v>
      </c>
      <c r="P1400" t="str">
        <f t="shared" si="211"/>
        <v>High</v>
      </c>
      <c r="Q1400" t="str">
        <f t="shared" si="212"/>
        <v>High</v>
      </c>
      <c r="R1400" t="s">
        <v>3317</v>
      </c>
      <c r="S1400" s="4">
        <f t="shared" ca="1" si="213"/>
        <v>397</v>
      </c>
      <c r="T1400">
        <f t="shared" si="214"/>
        <v>2</v>
      </c>
      <c r="U1400">
        <f t="shared" si="215"/>
        <v>3</v>
      </c>
      <c r="V1400">
        <f t="shared" si="216"/>
        <v>3</v>
      </c>
      <c r="W1400">
        <f t="shared" si="217"/>
        <v>1</v>
      </c>
      <c r="X1400">
        <f t="shared" si="218"/>
        <v>2.4</v>
      </c>
      <c r="Y1400" t="str">
        <f t="shared" si="219"/>
        <v>High Priority</v>
      </c>
    </row>
    <row r="1401" spans="1:25" x14ac:dyDescent="0.35">
      <c r="A1401" t="s">
        <v>41</v>
      </c>
      <c r="B1401" t="s">
        <v>42</v>
      </c>
      <c r="C1401" t="s">
        <v>43</v>
      </c>
      <c r="D1401" t="s">
        <v>1188</v>
      </c>
      <c r="E1401">
        <v>80778987</v>
      </c>
      <c r="F1401" t="s">
        <v>1189</v>
      </c>
      <c r="G1401" s="3">
        <v>46458</v>
      </c>
      <c r="H1401">
        <v>36</v>
      </c>
      <c r="I1401">
        <v>25</v>
      </c>
      <c r="J1401">
        <v>5</v>
      </c>
      <c r="K1401" s="4">
        <v>3042.75</v>
      </c>
      <c r="L1401" s="4">
        <f>0</f>
        <v>0</v>
      </c>
      <c r="M1401" s="4">
        <f>999</f>
        <v>999</v>
      </c>
      <c r="N1401" t="s">
        <v>19</v>
      </c>
      <c r="O1401" t="str">
        <f t="shared" si="210"/>
        <v>Medium</v>
      </c>
      <c r="P1401" t="str">
        <f t="shared" si="211"/>
        <v>High</v>
      </c>
      <c r="Q1401" t="str">
        <f t="shared" si="212"/>
        <v>High</v>
      </c>
      <c r="R1401" t="s">
        <v>3317</v>
      </c>
      <c r="S1401" s="4">
        <f t="shared" ca="1" si="213"/>
        <v>261</v>
      </c>
      <c r="T1401">
        <f t="shared" si="214"/>
        <v>2</v>
      </c>
      <c r="U1401">
        <f t="shared" si="215"/>
        <v>3</v>
      </c>
      <c r="V1401">
        <f t="shared" si="216"/>
        <v>3</v>
      </c>
      <c r="W1401">
        <f t="shared" si="217"/>
        <v>1</v>
      </c>
      <c r="X1401">
        <f t="shared" si="218"/>
        <v>2.4</v>
      </c>
      <c r="Y1401" t="str">
        <f t="shared" si="219"/>
        <v>High Priority</v>
      </c>
    </row>
    <row r="1402" spans="1:25" x14ac:dyDescent="0.35">
      <c r="A1402" t="s">
        <v>29</v>
      </c>
      <c r="B1402" t="s">
        <v>30</v>
      </c>
      <c r="C1402" t="s">
        <v>449</v>
      </c>
      <c r="D1402" t="s">
        <v>1186</v>
      </c>
      <c r="E1402">
        <v>80741181</v>
      </c>
      <c r="F1402" t="s">
        <v>1187</v>
      </c>
      <c r="G1402" s="3">
        <v>47154</v>
      </c>
      <c r="H1402">
        <v>36</v>
      </c>
      <c r="I1402">
        <v>89</v>
      </c>
      <c r="J1402">
        <v>14</v>
      </c>
      <c r="K1402" s="4">
        <v>5013.54</v>
      </c>
      <c r="L1402" s="4">
        <v>224.28571428571428</v>
      </c>
      <c r="M1402" s="4">
        <v>6.2420382165605096E-2</v>
      </c>
      <c r="N1402" t="s">
        <v>25</v>
      </c>
      <c r="O1402" t="str">
        <f t="shared" si="210"/>
        <v>Low</v>
      </c>
      <c r="P1402" t="str">
        <f t="shared" si="211"/>
        <v>Low</v>
      </c>
      <c r="Q1402" t="str">
        <f t="shared" si="212"/>
        <v>Low</v>
      </c>
      <c r="R1402" t="s">
        <v>3317</v>
      </c>
      <c r="S1402" s="4">
        <f t="shared" ca="1" si="213"/>
        <v>957</v>
      </c>
      <c r="T1402">
        <f t="shared" si="214"/>
        <v>1</v>
      </c>
      <c r="U1402">
        <f t="shared" si="215"/>
        <v>1</v>
      </c>
      <c r="V1402">
        <f t="shared" si="216"/>
        <v>1</v>
      </c>
      <c r="W1402">
        <f t="shared" si="217"/>
        <v>1</v>
      </c>
      <c r="X1402">
        <f t="shared" si="218"/>
        <v>0.99999999999999989</v>
      </c>
      <c r="Y1402" t="str">
        <f t="shared" si="219"/>
        <v>Healthy</v>
      </c>
    </row>
    <row r="1403" spans="1:25" x14ac:dyDescent="0.35">
      <c r="A1403" t="s">
        <v>41</v>
      </c>
      <c r="B1403" t="s">
        <v>42</v>
      </c>
      <c r="C1403" t="s">
        <v>43</v>
      </c>
      <c r="D1403" t="s">
        <v>1188</v>
      </c>
      <c r="E1403">
        <v>80778987</v>
      </c>
      <c r="F1403" t="s">
        <v>1189</v>
      </c>
      <c r="G1403" s="3">
        <v>46391</v>
      </c>
      <c r="H1403">
        <v>36</v>
      </c>
      <c r="I1403">
        <v>18</v>
      </c>
      <c r="J1403">
        <v>6</v>
      </c>
      <c r="K1403" s="4">
        <v>3651.3</v>
      </c>
      <c r="L1403" s="4">
        <f>0</f>
        <v>0</v>
      </c>
      <c r="M1403" s="4">
        <f>999</f>
        <v>999</v>
      </c>
      <c r="N1403" t="s">
        <v>19</v>
      </c>
      <c r="O1403" t="str">
        <f t="shared" si="210"/>
        <v>High</v>
      </c>
      <c r="P1403" t="str">
        <f t="shared" si="211"/>
        <v>High</v>
      </c>
      <c r="Q1403" t="str">
        <f t="shared" si="212"/>
        <v>High</v>
      </c>
      <c r="R1403" t="s">
        <v>3317</v>
      </c>
      <c r="S1403" s="4">
        <f t="shared" ca="1" si="213"/>
        <v>194</v>
      </c>
      <c r="T1403">
        <f t="shared" si="214"/>
        <v>3</v>
      </c>
      <c r="U1403">
        <f t="shared" si="215"/>
        <v>3</v>
      </c>
      <c r="V1403">
        <f t="shared" si="216"/>
        <v>3</v>
      </c>
      <c r="W1403">
        <f t="shared" si="217"/>
        <v>1</v>
      </c>
      <c r="X1403">
        <f t="shared" si="218"/>
        <v>2.8000000000000003</v>
      </c>
      <c r="Y1403" t="str">
        <f t="shared" si="219"/>
        <v>Move Immediately</v>
      </c>
    </row>
    <row r="1404" spans="1:25" x14ac:dyDescent="0.35">
      <c r="A1404" t="s">
        <v>29</v>
      </c>
      <c r="B1404" t="s">
        <v>30</v>
      </c>
      <c r="C1404" t="s">
        <v>449</v>
      </c>
      <c r="D1404" t="s">
        <v>1186</v>
      </c>
      <c r="E1404">
        <v>80741181</v>
      </c>
      <c r="F1404" t="s">
        <v>1187</v>
      </c>
      <c r="G1404" s="3">
        <v>47207</v>
      </c>
      <c r="H1404">
        <v>36</v>
      </c>
      <c r="I1404">
        <v>94</v>
      </c>
      <c r="J1404">
        <v>12</v>
      </c>
      <c r="K1404" s="4">
        <v>4297.32</v>
      </c>
      <c r="L1404" s="4">
        <v>224.28571428571428</v>
      </c>
      <c r="M1404" s="4">
        <v>5.3503184713375798E-2</v>
      </c>
      <c r="N1404" t="s">
        <v>25</v>
      </c>
      <c r="O1404" t="str">
        <f t="shared" si="210"/>
        <v>Low</v>
      </c>
      <c r="P1404" t="str">
        <f t="shared" si="211"/>
        <v>Low</v>
      </c>
      <c r="Q1404" t="str">
        <f t="shared" si="212"/>
        <v>Low</v>
      </c>
      <c r="R1404" t="s">
        <v>3317</v>
      </c>
      <c r="S1404" s="4">
        <f t="shared" ca="1" si="213"/>
        <v>1010</v>
      </c>
      <c r="T1404">
        <f t="shared" si="214"/>
        <v>1</v>
      </c>
      <c r="U1404">
        <f t="shared" si="215"/>
        <v>1</v>
      </c>
      <c r="V1404">
        <f t="shared" si="216"/>
        <v>1</v>
      </c>
      <c r="W1404">
        <f t="shared" si="217"/>
        <v>1</v>
      </c>
      <c r="X1404">
        <f t="shared" si="218"/>
        <v>0.99999999999999989</v>
      </c>
      <c r="Y1404" t="str">
        <f t="shared" si="219"/>
        <v>Healthy</v>
      </c>
    </row>
    <row r="1405" spans="1:25" x14ac:dyDescent="0.35">
      <c r="A1405" t="s">
        <v>29</v>
      </c>
      <c r="B1405" t="s">
        <v>30</v>
      </c>
      <c r="C1405" t="s">
        <v>449</v>
      </c>
      <c r="D1405" t="s">
        <v>1186</v>
      </c>
      <c r="E1405">
        <v>80741181</v>
      </c>
      <c r="F1405" t="s">
        <v>1187</v>
      </c>
      <c r="G1405" s="3">
        <v>47076</v>
      </c>
      <c r="H1405">
        <v>36</v>
      </c>
      <c r="I1405">
        <v>82</v>
      </c>
      <c r="J1405">
        <v>18</v>
      </c>
      <c r="K1405" s="4">
        <v>6445.98</v>
      </c>
      <c r="L1405" s="4">
        <v>224.28571428571428</v>
      </c>
      <c r="M1405" s="4">
        <v>8.025477707006369E-2</v>
      </c>
      <c r="N1405" t="s">
        <v>25</v>
      </c>
      <c r="O1405" t="str">
        <f t="shared" si="210"/>
        <v>Low</v>
      </c>
      <c r="P1405" t="str">
        <f t="shared" si="211"/>
        <v>Low</v>
      </c>
      <c r="Q1405" t="str">
        <f t="shared" si="212"/>
        <v>Low</v>
      </c>
      <c r="R1405" t="s">
        <v>3317</v>
      </c>
      <c r="S1405" s="4">
        <f t="shared" ca="1" si="213"/>
        <v>879</v>
      </c>
      <c r="T1405">
        <f t="shared" si="214"/>
        <v>1</v>
      </c>
      <c r="U1405">
        <f t="shared" si="215"/>
        <v>1</v>
      </c>
      <c r="V1405">
        <f t="shared" si="216"/>
        <v>1</v>
      </c>
      <c r="W1405">
        <f t="shared" si="217"/>
        <v>1</v>
      </c>
      <c r="X1405">
        <f t="shared" si="218"/>
        <v>0.99999999999999989</v>
      </c>
      <c r="Y1405" t="str">
        <f t="shared" si="219"/>
        <v>Healthy</v>
      </c>
    </row>
    <row r="1406" spans="1:25" x14ac:dyDescent="0.35">
      <c r="A1406" t="s">
        <v>99</v>
      </c>
      <c r="B1406" t="s">
        <v>100</v>
      </c>
      <c r="C1406" t="s">
        <v>136</v>
      </c>
      <c r="D1406" t="s">
        <v>1190</v>
      </c>
      <c r="E1406">
        <v>80739906</v>
      </c>
      <c r="F1406" t="s">
        <v>1191</v>
      </c>
      <c r="G1406" s="3">
        <v>46722</v>
      </c>
      <c r="H1406">
        <v>36</v>
      </c>
      <c r="I1406">
        <v>49</v>
      </c>
      <c r="J1406">
        <v>30</v>
      </c>
      <c r="K1406" s="4">
        <v>5682.6</v>
      </c>
      <c r="L1406" s="4">
        <v>6.8571428571428568</v>
      </c>
      <c r="M1406" s="4">
        <v>4.375</v>
      </c>
      <c r="N1406" t="s">
        <v>25</v>
      </c>
      <c r="O1406" t="str">
        <f t="shared" si="210"/>
        <v>Low</v>
      </c>
      <c r="P1406" t="str">
        <f t="shared" si="211"/>
        <v>Medium</v>
      </c>
      <c r="Q1406" t="str">
        <f t="shared" si="212"/>
        <v>Medium</v>
      </c>
      <c r="R1406" t="s">
        <v>3317</v>
      </c>
      <c r="S1406" s="4">
        <f t="shared" ca="1" si="213"/>
        <v>525</v>
      </c>
      <c r="T1406">
        <f t="shared" si="214"/>
        <v>1</v>
      </c>
      <c r="U1406">
        <f t="shared" si="215"/>
        <v>2</v>
      </c>
      <c r="V1406">
        <f t="shared" si="216"/>
        <v>2</v>
      </c>
      <c r="W1406">
        <f t="shared" si="217"/>
        <v>1</v>
      </c>
      <c r="X1406">
        <f t="shared" si="218"/>
        <v>1.5</v>
      </c>
      <c r="Y1406" t="str">
        <f t="shared" si="219"/>
        <v>Healthy</v>
      </c>
    </row>
    <row r="1407" spans="1:25" x14ac:dyDescent="0.35">
      <c r="A1407" t="s">
        <v>99</v>
      </c>
      <c r="B1407" t="s">
        <v>100</v>
      </c>
      <c r="C1407" t="s">
        <v>136</v>
      </c>
      <c r="D1407" t="s">
        <v>1190</v>
      </c>
      <c r="E1407">
        <v>80739906</v>
      </c>
      <c r="F1407" t="s">
        <v>1191</v>
      </c>
      <c r="G1407" s="3">
        <v>46624</v>
      </c>
      <c r="H1407">
        <v>36</v>
      </c>
      <c r="I1407">
        <v>40</v>
      </c>
      <c r="J1407">
        <v>19</v>
      </c>
      <c r="K1407" s="4">
        <v>3598.98</v>
      </c>
      <c r="L1407" s="4">
        <v>6.8571428571428568</v>
      </c>
      <c r="M1407" s="4">
        <v>2.7708333333333335</v>
      </c>
      <c r="N1407" t="s">
        <v>25</v>
      </c>
      <c r="O1407" t="str">
        <f t="shared" si="210"/>
        <v>Low</v>
      </c>
      <c r="P1407" t="str">
        <f t="shared" si="211"/>
        <v>Low</v>
      </c>
      <c r="Q1407" t="str">
        <f t="shared" si="212"/>
        <v>Medium</v>
      </c>
      <c r="R1407" t="s">
        <v>3317</v>
      </c>
      <c r="S1407" s="4">
        <f t="shared" ca="1" si="213"/>
        <v>427</v>
      </c>
      <c r="T1407">
        <f t="shared" si="214"/>
        <v>1</v>
      </c>
      <c r="U1407">
        <f t="shared" si="215"/>
        <v>1</v>
      </c>
      <c r="V1407">
        <f t="shared" si="216"/>
        <v>2</v>
      </c>
      <c r="W1407">
        <f t="shared" si="217"/>
        <v>1</v>
      </c>
      <c r="X1407">
        <f t="shared" si="218"/>
        <v>1.2000000000000002</v>
      </c>
      <c r="Y1407" t="str">
        <f t="shared" si="219"/>
        <v>Healthy</v>
      </c>
    </row>
    <row r="1408" spans="1:25" x14ac:dyDescent="0.35">
      <c r="A1408" t="s">
        <v>99</v>
      </c>
      <c r="B1408" t="s">
        <v>100</v>
      </c>
      <c r="C1408" t="s">
        <v>136</v>
      </c>
      <c r="D1408" t="s">
        <v>1190</v>
      </c>
      <c r="E1408">
        <v>80739906</v>
      </c>
      <c r="F1408" t="s">
        <v>1191</v>
      </c>
      <c r="G1408" s="3">
        <v>46680</v>
      </c>
      <c r="H1408">
        <v>36</v>
      </c>
      <c r="I1408">
        <v>45</v>
      </c>
      <c r="J1408">
        <v>20</v>
      </c>
      <c r="K1408" s="4">
        <v>3788.4</v>
      </c>
      <c r="L1408" s="4">
        <v>6.8571428571428568</v>
      </c>
      <c r="M1408" s="4">
        <v>2.916666666666667</v>
      </c>
      <c r="N1408" t="s">
        <v>25</v>
      </c>
      <c r="O1408" t="str">
        <f t="shared" si="210"/>
        <v>Low</v>
      </c>
      <c r="P1408" t="str">
        <f t="shared" si="211"/>
        <v>Low</v>
      </c>
      <c r="Q1408" t="str">
        <f t="shared" si="212"/>
        <v>Medium</v>
      </c>
      <c r="R1408" t="s">
        <v>3317</v>
      </c>
      <c r="S1408" s="4">
        <f t="shared" ca="1" si="213"/>
        <v>483</v>
      </c>
      <c r="T1408">
        <f t="shared" si="214"/>
        <v>1</v>
      </c>
      <c r="U1408">
        <f t="shared" si="215"/>
        <v>1</v>
      </c>
      <c r="V1408">
        <f t="shared" si="216"/>
        <v>2</v>
      </c>
      <c r="W1408">
        <f t="shared" si="217"/>
        <v>1</v>
      </c>
      <c r="X1408">
        <f t="shared" si="218"/>
        <v>1.2000000000000002</v>
      </c>
      <c r="Y1408" t="str">
        <f t="shared" si="219"/>
        <v>Healthy</v>
      </c>
    </row>
    <row r="1409" spans="1:25" x14ac:dyDescent="0.35">
      <c r="A1409" t="s">
        <v>99</v>
      </c>
      <c r="B1409" t="s">
        <v>100</v>
      </c>
      <c r="C1409" t="s">
        <v>136</v>
      </c>
      <c r="D1409" t="s">
        <v>1190</v>
      </c>
      <c r="E1409">
        <v>80739906</v>
      </c>
      <c r="F1409" t="s">
        <v>1191</v>
      </c>
      <c r="G1409" s="3">
        <v>46592</v>
      </c>
      <c r="H1409">
        <v>36</v>
      </c>
      <c r="I1409">
        <v>37</v>
      </c>
      <c r="J1409">
        <v>1</v>
      </c>
      <c r="K1409" s="4">
        <v>189.42</v>
      </c>
      <c r="L1409" s="4">
        <v>6.8571428571428568</v>
      </c>
      <c r="M1409" s="4">
        <v>0.14583333333333334</v>
      </c>
      <c r="N1409" t="s">
        <v>25</v>
      </c>
      <c r="O1409" t="str">
        <f t="shared" si="210"/>
        <v>Medium</v>
      </c>
      <c r="P1409" t="str">
        <f t="shared" si="211"/>
        <v>Low</v>
      </c>
      <c r="Q1409" t="str">
        <f t="shared" si="212"/>
        <v>Medium</v>
      </c>
      <c r="R1409" t="s">
        <v>3317</v>
      </c>
      <c r="S1409" s="4">
        <f t="shared" ca="1" si="213"/>
        <v>395</v>
      </c>
      <c r="T1409">
        <f t="shared" si="214"/>
        <v>2</v>
      </c>
      <c r="U1409">
        <f t="shared" si="215"/>
        <v>1</v>
      </c>
      <c r="V1409">
        <f t="shared" si="216"/>
        <v>2</v>
      </c>
      <c r="W1409">
        <f t="shared" si="217"/>
        <v>1</v>
      </c>
      <c r="X1409">
        <f t="shared" si="218"/>
        <v>1.6</v>
      </c>
      <c r="Y1409" t="str">
        <f t="shared" si="219"/>
        <v>Healthy</v>
      </c>
    </row>
    <row r="1410" spans="1:25" x14ac:dyDescent="0.35">
      <c r="A1410" t="s">
        <v>14</v>
      </c>
      <c r="B1410" t="s">
        <v>58</v>
      </c>
      <c r="C1410" t="s">
        <v>162</v>
      </c>
      <c r="D1410" t="s">
        <v>1192</v>
      </c>
      <c r="E1410">
        <v>80788713</v>
      </c>
      <c r="F1410" t="s">
        <v>1193</v>
      </c>
      <c r="G1410" s="3">
        <v>47351</v>
      </c>
      <c r="H1410">
        <v>60</v>
      </c>
      <c r="I1410">
        <v>64</v>
      </c>
      <c r="J1410">
        <v>30</v>
      </c>
      <c r="K1410" s="4">
        <v>56544</v>
      </c>
      <c r="L1410" s="4">
        <f>0</f>
        <v>0</v>
      </c>
      <c r="M1410" s="4">
        <f>999</f>
        <v>999</v>
      </c>
      <c r="N1410" t="s">
        <v>19</v>
      </c>
      <c r="O1410" t="str">
        <f t="shared" si="210"/>
        <v>Low</v>
      </c>
      <c r="P1410" t="str">
        <f t="shared" si="211"/>
        <v>High</v>
      </c>
      <c r="Q1410" t="str">
        <f t="shared" si="212"/>
        <v>High</v>
      </c>
      <c r="R1410" t="s">
        <v>3317</v>
      </c>
      <c r="S1410" s="4">
        <f t="shared" ca="1" si="213"/>
        <v>1154</v>
      </c>
      <c r="T1410">
        <f t="shared" si="214"/>
        <v>1</v>
      </c>
      <c r="U1410">
        <f t="shared" si="215"/>
        <v>3</v>
      </c>
      <c r="V1410">
        <f t="shared" si="216"/>
        <v>3</v>
      </c>
      <c r="W1410">
        <f t="shared" si="217"/>
        <v>1</v>
      </c>
      <c r="X1410">
        <f t="shared" si="218"/>
        <v>2</v>
      </c>
      <c r="Y1410" t="str">
        <f t="shared" si="219"/>
        <v>Monitor</v>
      </c>
    </row>
    <row r="1411" spans="1:25" x14ac:dyDescent="0.35">
      <c r="A1411" t="s">
        <v>99</v>
      </c>
      <c r="B1411" t="s">
        <v>100</v>
      </c>
      <c r="C1411" t="s">
        <v>375</v>
      </c>
      <c r="D1411" t="s">
        <v>376</v>
      </c>
      <c r="E1411">
        <v>80739907</v>
      </c>
      <c r="F1411" t="s">
        <v>1194</v>
      </c>
      <c r="G1411" s="3">
        <v>46477</v>
      </c>
      <c r="H1411">
        <v>36</v>
      </c>
      <c r="I1411">
        <v>26</v>
      </c>
      <c r="J1411">
        <v>1</v>
      </c>
      <c r="K1411" s="4">
        <v>247.71</v>
      </c>
      <c r="L1411" s="4">
        <v>0.2857142857142857</v>
      </c>
      <c r="M1411" s="4">
        <v>3.5</v>
      </c>
      <c r="N1411" t="s">
        <v>25</v>
      </c>
      <c r="O1411" t="str">
        <f t="shared" ref="O1411:O1474" si="220">IF(I1411&lt;20,"High",IF(I1411&lt;40,"Medium","Low"))</f>
        <v>Medium</v>
      </c>
      <c r="P1411" t="str">
        <f t="shared" ref="P1411:P1474" si="221">IF(M1411&gt;8,"High",IF(M1411&gt;4,"Medium","Low"))</f>
        <v>Low</v>
      </c>
      <c r="Q1411" t="str">
        <f t="shared" ref="Q1411:Q1474" si="222">IF(L1411&lt;5,"High",IF(L1411&lt;15,"Medium","Low"))</f>
        <v>High</v>
      </c>
      <c r="R1411" t="s">
        <v>3317</v>
      </c>
      <c r="S1411" s="4">
        <f t="shared" ref="S1411:S1474" ca="1" si="223">G1411-TODAY()</f>
        <v>280</v>
      </c>
      <c r="T1411">
        <f t="shared" ref="T1411:T1474" si="224">IF(O1411="High",3,IF(O1411="Medium",2,1))</f>
        <v>2</v>
      </c>
      <c r="U1411">
        <f t="shared" ref="U1411:U1474" si="225">IF(P1411="High",3,IF(P1411="Medium",2,1))</f>
        <v>1</v>
      </c>
      <c r="V1411">
        <f t="shared" ref="V1411:V1474" si="226">IF(Q1411="High",3,IF(Q1411="Medium",2,1))</f>
        <v>3</v>
      </c>
      <c r="W1411">
        <f t="shared" ref="W1411:W1474" si="227">IF(R1411="High",3,IF(R1411="Medium",2,1))</f>
        <v>1</v>
      </c>
      <c r="X1411">
        <f t="shared" ref="X1411:X1474" si="228">(0.4*T1411)+(0.3*U1411)+(0.2*V1411)+(0.1*W1411)</f>
        <v>1.8000000000000003</v>
      </c>
      <c r="Y1411" t="str">
        <f t="shared" ref="Y1411:Y1474" si="229">IF(X1411&gt;=2.7,"Move Immediately",IF(X1411&gt;=2.2,"High Priority",IF(X1411&gt;=1.7,"Monitor","Healthy")))</f>
        <v>Monitor</v>
      </c>
    </row>
    <row r="1412" spans="1:25" x14ac:dyDescent="0.35">
      <c r="A1412" t="s">
        <v>99</v>
      </c>
      <c r="B1412" t="s">
        <v>100</v>
      </c>
      <c r="C1412" t="s">
        <v>375</v>
      </c>
      <c r="D1412" t="s">
        <v>376</v>
      </c>
      <c r="E1412">
        <v>80739907</v>
      </c>
      <c r="F1412" t="s">
        <v>1194</v>
      </c>
      <c r="G1412" s="3">
        <v>46753</v>
      </c>
      <c r="H1412">
        <v>36</v>
      </c>
      <c r="I1412">
        <v>52</v>
      </c>
      <c r="J1412">
        <v>5</v>
      </c>
      <c r="K1412" s="4">
        <v>1238.55</v>
      </c>
      <c r="L1412" s="4">
        <v>0.2857142857142857</v>
      </c>
      <c r="M1412" s="4">
        <v>17.5</v>
      </c>
      <c r="N1412" t="s">
        <v>19</v>
      </c>
      <c r="O1412" t="str">
        <f t="shared" si="220"/>
        <v>Low</v>
      </c>
      <c r="P1412" t="str">
        <f t="shared" si="221"/>
        <v>High</v>
      </c>
      <c r="Q1412" t="str">
        <f t="shared" si="222"/>
        <v>High</v>
      </c>
      <c r="R1412" t="s">
        <v>3317</v>
      </c>
      <c r="S1412" s="4">
        <f t="shared" ca="1" si="223"/>
        <v>556</v>
      </c>
      <c r="T1412">
        <f t="shared" si="224"/>
        <v>1</v>
      </c>
      <c r="U1412">
        <f t="shared" si="225"/>
        <v>3</v>
      </c>
      <c r="V1412">
        <f t="shared" si="226"/>
        <v>3</v>
      </c>
      <c r="W1412">
        <f t="shared" si="227"/>
        <v>1</v>
      </c>
      <c r="X1412">
        <f t="shared" si="228"/>
        <v>2</v>
      </c>
      <c r="Y1412" t="str">
        <f t="shared" si="229"/>
        <v>Monitor</v>
      </c>
    </row>
    <row r="1413" spans="1:25" x14ac:dyDescent="0.35">
      <c r="A1413" t="s">
        <v>14</v>
      </c>
      <c r="B1413" t="s">
        <v>267</v>
      </c>
      <c r="C1413" t="s">
        <v>938</v>
      </c>
      <c r="D1413" t="s">
        <v>1019</v>
      </c>
      <c r="E1413">
        <v>80764168</v>
      </c>
      <c r="F1413" t="s">
        <v>1195</v>
      </c>
      <c r="G1413" s="3">
        <v>47239</v>
      </c>
      <c r="H1413">
        <v>60</v>
      </c>
      <c r="I1413">
        <v>58</v>
      </c>
      <c r="J1413">
        <v>528</v>
      </c>
      <c r="K1413" s="4">
        <v>22846.560000000001</v>
      </c>
      <c r="L1413" s="4">
        <v>1.2857142857142858</v>
      </c>
      <c r="M1413" s="4">
        <v>410.66666666666663</v>
      </c>
      <c r="N1413" t="s">
        <v>19</v>
      </c>
      <c r="O1413" t="str">
        <f t="shared" si="220"/>
        <v>Low</v>
      </c>
      <c r="P1413" t="str">
        <f t="shared" si="221"/>
        <v>High</v>
      </c>
      <c r="Q1413" t="str">
        <f t="shared" si="222"/>
        <v>High</v>
      </c>
      <c r="R1413" t="s">
        <v>3317</v>
      </c>
      <c r="S1413" s="4">
        <f t="shared" ca="1" si="223"/>
        <v>1042</v>
      </c>
      <c r="T1413">
        <f t="shared" si="224"/>
        <v>1</v>
      </c>
      <c r="U1413">
        <f t="shared" si="225"/>
        <v>3</v>
      </c>
      <c r="V1413">
        <f t="shared" si="226"/>
        <v>3</v>
      </c>
      <c r="W1413">
        <f t="shared" si="227"/>
        <v>1</v>
      </c>
      <c r="X1413">
        <f t="shared" si="228"/>
        <v>2</v>
      </c>
      <c r="Y1413" t="str">
        <f t="shared" si="229"/>
        <v>Monitor</v>
      </c>
    </row>
    <row r="1414" spans="1:25" x14ac:dyDescent="0.35">
      <c r="A1414" t="s">
        <v>14</v>
      </c>
      <c r="B1414" t="s">
        <v>267</v>
      </c>
      <c r="C1414" t="s">
        <v>938</v>
      </c>
      <c r="D1414" t="s">
        <v>1019</v>
      </c>
      <c r="E1414">
        <v>80764168</v>
      </c>
      <c r="F1414" t="s">
        <v>1195</v>
      </c>
      <c r="G1414" s="3">
        <v>47382</v>
      </c>
      <c r="H1414">
        <v>60</v>
      </c>
      <c r="I1414">
        <v>66</v>
      </c>
      <c r="J1414">
        <v>737</v>
      </c>
      <c r="K1414" s="4">
        <v>31889.99</v>
      </c>
      <c r="L1414" s="4">
        <v>1.2857142857142858</v>
      </c>
      <c r="M1414" s="4">
        <v>573.22222222222217</v>
      </c>
      <c r="N1414" t="s">
        <v>19</v>
      </c>
      <c r="O1414" t="str">
        <f t="shared" si="220"/>
        <v>Low</v>
      </c>
      <c r="P1414" t="str">
        <f t="shared" si="221"/>
        <v>High</v>
      </c>
      <c r="Q1414" t="str">
        <f t="shared" si="222"/>
        <v>High</v>
      </c>
      <c r="R1414" t="s">
        <v>3317</v>
      </c>
      <c r="S1414" s="4">
        <f t="shared" ca="1" si="223"/>
        <v>1185</v>
      </c>
      <c r="T1414">
        <f t="shared" si="224"/>
        <v>1</v>
      </c>
      <c r="U1414">
        <f t="shared" si="225"/>
        <v>3</v>
      </c>
      <c r="V1414">
        <f t="shared" si="226"/>
        <v>3</v>
      </c>
      <c r="W1414">
        <f t="shared" si="227"/>
        <v>1</v>
      </c>
      <c r="X1414">
        <f t="shared" si="228"/>
        <v>2</v>
      </c>
      <c r="Y1414" t="str">
        <f t="shared" si="229"/>
        <v>Monitor</v>
      </c>
    </row>
    <row r="1415" spans="1:25" x14ac:dyDescent="0.35">
      <c r="A1415" t="s">
        <v>179</v>
      </c>
      <c r="B1415" t="s">
        <v>195</v>
      </c>
      <c r="C1415" t="s">
        <v>199</v>
      </c>
      <c r="D1415" t="s">
        <v>1196</v>
      </c>
      <c r="E1415">
        <v>80753273</v>
      </c>
      <c r="F1415" t="s">
        <v>1197</v>
      </c>
      <c r="G1415" s="3">
        <v>46056</v>
      </c>
      <c r="H1415">
        <v>16</v>
      </c>
      <c r="I1415">
        <v>0</v>
      </c>
      <c r="J1415">
        <v>10</v>
      </c>
      <c r="K1415" s="4">
        <v>12435.2</v>
      </c>
      <c r="L1415" s="4">
        <v>0.5714285714285714</v>
      </c>
      <c r="M1415" s="4">
        <v>17.5</v>
      </c>
      <c r="N1415" t="s">
        <v>19</v>
      </c>
      <c r="O1415" t="str">
        <f t="shared" si="220"/>
        <v>High</v>
      </c>
      <c r="P1415" t="str">
        <f t="shared" si="221"/>
        <v>High</v>
      </c>
      <c r="Q1415" t="str">
        <f t="shared" si="222"/>
        <v>High</v>
      </c>
      <c r="R1415" t="s">
        <v>3317</v>
      </c>
      <c r="S1415" s="4">
        <f t="shared" ca="1" si="223"/>
        <v>-141</v>
      </c>
      <c r="T1415">
        <f t="shared" si="224"/>
        <v>3</v>
      </c>
      <c r="U1415">
        <f t="shared" si="225"/>
        <v>3</v>
      </c>
      <c r="V1415">
        <f t="shared" si="226"/>
        <v>3</v>
      </c>
      <c r="W1415">
        <f t="shared" si="227"/>
        <v>1</v>
      </c>
      <c r="X1415">
        <f t="shared" si="228"/>
        <v>2.8000000000000003</v>
      </c>
      <c r="Y1415" t="str">
        <f t="shared" si="229"/>
        <v>Move Immediately</v>
      </c>
    </row>
    <row r="1416" spans="1:25" x14ac:dyDescent="0.35">
      <c r="A1416" t="s">
        <v>189</v>
      </c>
      <c r="B1416" t="s">
        <v>539</v>
      </c>
      <c r="C1416" t="s">
        <v>1198</v>
      </c>
      <c r="D1416" t="s">
        <v>1199</v>
      </c>
      <c r="E1416">
        <v>80781468</v>
      </c>
      <c r="F1416" t="s">
        <v>1200</v>
      </c>
      <c r="G1416" s="3">
        <v>46470</v>
      </c>
      <c r="H1416">
        <v>18</v>
      </c>
      <c r="I1416">
        <v>51</v>
      </c>
      <c r="J1416">
        <v>8</v>
      </c>
      <c r="K1416" s="4">
        <v>4223.84</v>
      </c>
      <c r="L1416" s="4">
        <v>7.7142857142857144</v>
      </c>
      <c r="M1416" s="4">
        <v>1.037037037037037</v>
      </c>
      <c r="N1416" t="s">
        <v>25</v>
      </c>
      <c r="O1416" t="str">
        <f t="shared" si="220"/>
        <v>Low</v>
      </c>
      <c r="P1416" t="str">
        <f t="shared" si="221"/>
        <v>Low</v>
      </c>
      <c r="Q1416" t="str">
        <f t="shared" si="222"/>
        <v>Medium</v>
      </c>
      <c r="R1416" t="s">
        <v>3317</v>
      </c>
      <c r="S1416" s="4">
        <f t="shared" ca="1" si="223"/>
        <v>273</v>
      </c>
      <c r="T1416">
        <f t="shared" si="224"/>
        <v>1</v>
      </c>
      <c r="U1416">
        <f t="shared" si="225"/>
        <v>1</v>
      </c>
      <c r="V1416">
        <f t="shared" si="226"/>
        <v>2</v>
      </c>
      <c r="W1416">
        <f t="shared" si="227"/>
        <v>1</v>
      </c>
      <c r="X1416">
        <f t="shared" si="228"/>
        <v>1.2000000000000002</v>
      </c>
      <c r="Y1416" t="str">
        <f t="shared" si="229"/>
        <v>Healthy</v>
      </c>
    </row>
    <row r="1417" spans="1:25" x14ac:dyDescent="0.35">
      <c r="A1417" t="s">
        <v>189</v>
      </c>
      <c r="B1417" t="s">
        <v>539</v>
      </c>
      <c r="C1417" t="s">
        <v>1198</v>
      </c>
      <c r="D1417" t="s">
        <v>1199</v>
      </c>
      <c r="E1417">
        <v>80781468</v>
      </c>
      <c r="F1417" t="s">
        <v>1200</v>
      </c>
      <c r="G1417" s="3">
        <v>46470</v>
      </c>
      <c r="H1417">
        <v>18</v>
      </c>
      <c r="I1417">
        <v>51</v>
      </c>
      <c r="J1417">
        <v>82</v>
      </c>
      <c r="K1417" s="4">
        <v>43294.36</v>
      </c>
      <c r="L1417" s="4">
        <v>7.7142857142857144</v>
      </c>
      <c r="M1417" s="4">
        <v>10.62962962962963</v>
      </c>
      <c r="N1417" t="s">
        <v>19</v>
      </c>
      <c r="O1417" t="str">
        <f t="shared" si="220"/>
        <v>Low</v>
      </c>
      <c r="P1417" t="str">
        <f t="shared" si="221"/>
        <v>High</v>
      </c>
      <c r="Q1417" t="str">
        <f t="shared" si="222"/>
        <v>Medium</v>
      </c>
      <c r="R1417" t="s">
        <v>3317</v>
      </c>
      <c r="S1417" s="4">
        <f t="shared" ca="1" si="223"/>
        <v>273</v>
      </c>
      <c r="T1417">
        <f t="shared" si="224"/>
        <v>1</v>
      </c>
      <c r="U1417">
        <f t="shared" si="225"/>
        <v>3</v>
      </c>
      <c r="V1417">
        <f t="shared" si="226"/>
        <v>2</v>
      </c>
      <c r="W1417">
        <f t="shared" si="227"/>
        <v>1</v>
      </c>
      <c r="X1417">
        <f t="shared" si="228"/>
        <v>1.7999999999999998</v>
      </c>
      <c r="Y1417" t="str">
        <f t="shared" si="229"/>
        <v>Monitor</v>
      </c>
    </row>
    <row r="1418" spans="1:25" x14ac:dyDescent="0.35">
      <c r="A1418" t="s">
        <v>189</v>
      </c>
      <c r="B1418" t="s">
        <v>539</v>
      </c>
      <c r="C1418" t="s">
        <v>1198</v>
      </c>
      <c r="D1418" t="s">
        <v>1199</v>
      </c>
      <c r="E1418">
        <v>80781468</v>
      </c>
      <c r="F1418" t="s">
        <v>1200</v>
      </c>
      <c r="G1418" s="3">
        <v>46470</v>
      </c>
      <c r="H1418">
        <v>18</v>
      </c>
      <c r="I1418">
        <v>51</v>
      </c>
      <c r="J1418">
        <v>1</v>
      </c>
      <c r="K1418" s="4">
        <v>527.98</v>
      </c>
      <c r="L1418" s="4">
        <v>7.7142857142857144</v>
      </c>
      <c r="M1418" s="4">
        <v>0.12962962962962962</v>
      </c>
      <c r="N1418" t="s">
        <v>25</v>
      </c>
      <c r="O1418" t="str">
        <f t="shared" si="220"/>
        <v>Low</v>
      </c>
      <c r="P1418" t="str">
        <f t="shared" si="221"/>
        <v>Low</v>
      </c>
      <c r="Q1418" t="str">
        <f t="shared" si="222"/>
        <v>Medium</v>
      </c>
      <c r="R1418" t="s">
        <v>3317</v>
      </c>
      <c r="S1418" s="4">
        <f t="shared" ca="1" si="223"/>
        <v>273</v>
      </c>
      <c r="T1418">
        <f t="shared" si="224"/>
        <v>1</v>
      </c>
      <c r="U1418">
        <f t="shared" si="225"/>
        <v>1</v>
      </c>
      <c r="V1418">
        <f t="shared" si="226"/>
        <v>2</v>
      </c>
      <c r="W1418">
        <f t="shared" si="227"/>
        <v>1</v>
      </c>
      <c r="X1418">
        <f t="shared" si="228"/>
        <v>1.2000000000000002</v>
      </c>
      <c r="Y1418" t="str">
        <f t="shared" si="229"/>
        <v>Healthy</v>
      </c>
    </row>
    <row r="1419" spans="1:25" x14ac:dyDescent="0.35">
      <c r="A1419" t="s">
        <v>189</v>
      </c>
      <c r="B1419" t="s">
        <v>539</v>
      </c>
      <c r="C1419" t="s">
        <v>1198</v>
      </c>
      <c r="D1419" t="s">
        <v>1199</v>
      </c>
      <c r="E1419">
        <v>80781468</v>
      </c>
      <c r="F1419" t="s">
        <v>1200</v>
      </c>
      <c r="G1419" s="3">
        <v>45988</v>
      </c>
      <c r="H1419">
        <v>18</v>
      </c>
      <c r="I1419">
        <v>0</v>
      </c>
      <c r="J1419">
        <v>123</v>
      </c>
      <c r="K1419" s="4">
        <v>64941.54</v>
      </c>
      <c r="L1419" s="4">
        <v>7.7142857142857144</v>
      </c>
      <c r="M1419" s="4">
        <v>15.944444444444445</v>
      </c>
      <c r="N1419" t="s">
        <v>19</v>
      </c>
      <c r="O1419" t="str">
        <f t="shared" si="220"/>
        <v>High</v>
      </c>
      <c r="P1419" t="str">
        <f t="shared" si="221"/>
        <v>High</v>
      </c>
      <c r="Q1419" t="str">
        <f t="shared" si="222"/>
        <v>Medium</v>
      </c>
      <c r="R1419" t="s">
        <v>3317</v>
      </c>
      <c r="S1419" s="4">
        <f t="shared" ca="1" si="223"/>
        <v>-209</v>
      </c>
      <c r="T1419">
        <f t="shared" si="224"/>
        <v>3</v>
      </c>
      <c r="U1419">
        <f t="shared" si="225"/>
        <v>3</v>
      </c>
      <c r="V1419">
        <f t="shared" si="226"/>
        <v>2</v>
      </c>
      <c r="W1419">
        <f t="shared" si="227"/>
        <v>1</v>
      </c>
      <c r="X1419">
        <f t="shared" si="228"/>
        <v>2.6</v>
      </c>
      <c r="Y1419" t="str">
        <f t="shared" si="229"/>
        <v>High Priority</v>
      </c>
    </row>
    <row r="1420" spans="1:25" x14ac:dyDescent="0.35">
      <c r="A1420" t="s">
        <v>189</v>
      </c>
      <c r="B1420" t="s">
        <v>539</v>
      </c>
      <c r="C1420" t="s">
        <v>1198</v>
      </c>
      <c r="D1420" t="s">
        <v>1199</v>
      </c>
      <c r="E1420">
        <v>80781468</v>
      </c>
      <c r="F1420" t="s">
        <v>1200</v>
      </c>
      <c r="G1420" s="3">
        <v>46470</v>
      </c>
      <c r="H1420">
        <v>18</v>
      </c>
      <c r="I1420">
        <v>51</v>
      </c>
      <c r="J1420">
        <v>51</v>
      </c>
      <c r="K1420" s="4">
        <v>26926.98</v>
      </c>
      <c r="L1420" s="4">
        <v>7.7142857142857144</v>
      </c>
      <c r="M1420" s="4">
        <v>6.6111111111111107</v>
      </c>
      <c r="N1420" t="s">
        <v>19</v>
      </c>
      <c r="O1420" t="str">
        <f t="shared" si="220"/>
        <v>Low</v>
      </c>
      <c r="P1420" t="str">
        <f t="shared" si="221"/>
        <v>Medium</v>
      </c>
      <c r="Q1420" t="str">
        <f t="shared" si="222"/>
        <v>Medium</v>
      </c>
      <c r="R1420" t="s">
        <v>3317</v>
      </c>
      <c r="S1420" s="4">
        <f t="shared" ca="1" si="223"/>
        <v>273</v>
      </c>
      <c r="T1420">
        <f t="shared" si="224"/>
        <v>1</v>
      </c>
      <c r="U1420">
        <f t="shared" si="225"/>
        <v>2</v>
      </c>
      <c r="V1420">
        <f t="shared" si="226"/>
        <v>2</v>
      </c>
      <c r="W1420">
        <f t="shared" si="227"/>
        <v>1</v>
      </c>
      <c r="X1420">
        <f t="shared" si="228"/>
        <v>1.5</v>
      </c>
      <c r="Y1420" t="str">
        <f t="shared" si="229"/>
        <v>Healthy</v>
      </c>
    </row>
    <row r="1421" spans="1:25" x14ac:dyDescent="0.35">
      <c r="A1421" t="s">
        <v>189</v>
      </c>
      <c r="B1421" t="s">
        <v>539</v>
      </c>
      <c r="C1421" t="s">
        <v>1198</v>
      </c>
      <c r="D1421" t="s">
        <v>1199</v>
      </c>
      <c r="E1421">
        <v>80781468</v>
      </c>
      <c r="F1421" t="s">
        <v>1200</v>
      </c>
      <c r="G1421" s="3">
        <v>46470</v>
      </c>
      <c r="H1421">
        <v>18</v>
      </c>
      <c r="I1421">
        <v>51</v>
      </c>
      <c r="J1421">
        <v>5</v>
      </c>
      <c r="K1421" s="4">
        <v>2639.9</v>
      </c>
      <c r="L1421" s="4">
        <v>7.7142857142857144</v>
      </c>
      <c r="M1421" s="4">
        <v>0.64814814814814814</v>
      </c>
      <c r="N1421" t="s">
        <v>25</v>
      </c>
      <c r="O1421" t="str">
        <f t="shared" si="220"/>
        <v>Low</v>
      </c>
      <c r="P1421" t="str">
        <f t="shared" si="221"/>
        <v>Low</v>
      </c>
      <c r="Q1421" t="str">
        <f t="shared" si="222"/>
        <v>Medium</v>
      </c>
      <c r="R1421" t="s">
        <v>3317</v>
      </c>
      <c r="S1421" s="4">
        <f t="shared" ca="1" si="223"/>
        <v>273</v>
      </c>
      <c r="T1421">
        <f t="shared" si="224"/>
        <v>1</v>
      </c>
      <c r="U1421">
        <f t="shared" si="225"/>
        <v>1</v>
      </c>
      <c r="V1421">
        <f t="shared" si="226"/>
        <v>2</v>
      </c>
      <c r="W1421">
        <f t="shared" si="227"/>
        <v>1</v>
      </c>
      <c r="X1421">
        <f t="shared" si="228"/>
        <v>1.2000000000000002</v>
      </c>
      <c r="Y1421" t="str">
        <f t="shared" si="229"/>
        <v>Healthy</v>
      </c>
    </row>
    <row r="1422" spans="1:25" x14ac:dyDescent="0.35">
      <c r="A1422" t="s">
        <v>944</v>
      </c>
      <c r="B1422" t="s">
        <v>945</v>
      </c>
      <c r="C1422" t="s">
        <v>1201</v>
      </c>
      <c r="D1422" t="s">
        <v>1202</v>
      </c>
      <c r="E1422">
        <v>80715363</v>
      </c>
      <c r="F1422" t="s">
        <v>1203</v>
      </c>
      <c r="G1422" s="3">
        <v>46642</v>
      </c>
      <c r="H1422">
        <v>60</v>
      </c>
      <c r="I1422">
        <v>25</v>
      </c>
      <c r="J1422">
        <v>12</v>
      </c>
      <c r="K1422" s="4">
        <v>26170.560000000001</v>
      </c>
      <c r="L1422" s="4">
        <f>0</f>
        <v>0</v>
      </c>
      <c r="M1422" s="4">
        <f>999</f>
        <v>999</v>
      </c>
      <c r="N1422" t="s">
        <v>19</v>
      </c>
      <c r="O1422" t="str">
        <f t="shared" si="220"/>
        <v>Medium</v>
      </c>
      <c r="P1422" t="str">
        <f t="shared" si="221"/>
        <v>High</v>
      </c>
      <c r="Q1422" t="str">
        <f t="shared" si="222"/>
        <v>High</v>
      </c>
      <c r="R1422" t="s">
        <v>3317</v>
      </c>
      <c r="S1422" s="4">
        <f t="shared" ca="1" si="223"/>
        <v>445</v>
      </c>
      <c r="T1422">
        <f t="shared" si="224"/>
        <v>2</v>
      </c>
      <c r="U1422">
        <f t="shared" si="225"/>
        <v>3</v>
      </c>
      <c r="V1422">
        <f t="shared" si="226"/>
        <v>3</v>
      </c>
      <c r="W1422">
        <f t="shared" si="227"/>
        <v>1</v>
      </c>
      <c r="X1422">
        <f t="shared" si="228"/>
        <v>2.4</v>
      </c>
      <c r="Y1422" t="str">
        <f t="shared" si="229"/>
        <v>High Priority</v>
      </c>
    </row>
    <row r="1423" spans="1:25" x14ac:dyDescent="0.35">
      <c r="A1423" t="s">
        <v>14</v>
      </c>
      <c r="B1423" t="s">
        <v>115</v>
      </c>
      <c r="C1423" t="s">
        <v>904</v>
      </c>
      <c r="D1423" t="s">
        <v>1204</v>
      </c>
      <c r="E1423">
        <v>80691726</v>
      </c>
      <c r="F1423" t="s">
        <v>1205</v>
      </c>
      <c r="G1423" s="3">
        <v>46121</v>
      </c>
      <c r="H1423">
        <v>60</v>
      </c>
      <c r="I1423">
        <v>0</v>
      </c>
      <c r="J1423">
        <v>46</v>
      </c>
      <c r="K1423" s="4">
        <v>2679.04</v>
      </c>
      <c r="L1423" s="4">
        <v>6.8571428571428568</v>
      </c>
      <c r="M1423" s="4">
        <v>6.7083333333333339</v>
      </c>
      <c r="N1423" t="s">
        <v>19</v>
      </c>
      <c r="O1423" t="str">
        <f t="shared" si="220"/>
        <v>High</v>
      </c>
      <c r="P1423" t="str">
        <f t="shared" si="221"/>
        <v>Medium</v>
      </c>
      <c r="Q1423" t="str">
        <f t="shared" si="222"/>
        <v>Medium</v>
      </c>
      <c r="R1423" t="s">
        <v>3317</v>
      </c>
      <c r="S1423" s="4">
        <f t="shared" ca="1" si="223"/>
        <v>-76</v>
      </c>
      <c r="T1423">
        <f t="shared" si="224"/>
        <v>3</v>
      </c>
      <c r="U1423">
        <f t="shared" si="225"/>
        <v>2</v>
      </c>
      <c r="V1423">
        <f t="shared" si="226"/>
        <v>2</v>
      </c>
      <c r="W1423">
        <f t="shared" si="227"/>
        <v>1</v>
      </c>
      <c r="X1423">
        <f t="shared" si="228"/>
        <v>2.3000000000000003</v>
      </c>
      <c r="Y1423" t="str">
        <f t="shared" si="229"/>
        <v>High Priority</v>
      </c>
    </row>
    <row r="1424" spans="1:25" x14ac:dyDescent="0.35">
      <c r="A1424" t="s">
        <v>41</v>
      </c>
      <c r="B1424" t="s">
        <v>54</v>
      </c>
      <c r="C1424" t="s">
        <v>293</v>
      </c>
      <c r="D1424" t="s">
        <v>1206</v>
      </c>
      <c r="E1424">
        <v>80797304</v>
      </c>
      <c r="F1424" t="s">
        <v>1207</v>
      </c>
      <c r="G1424" s="3">
        <v>46470</v>
      </c>
      <c r="H1424">
        <v>18</v>
      </c>
      <c r="I1424">
        <v>51</v>
      </c>
      <c r="J1424">
        <v>15</v>
      </c>
      <c r="K1424" s="4">
        <v>1806</v>
      </c>
      <c r="L1424" s="4">
        <f>0</f>
        <v>0</v>
      </c>
      <c r="M1424" s="4">
        <f>999</f>
        <v>999</v>
      </c>
      <c r="N1424" t="s">
        <v>19</v>
      </c>
      <c r="O1424" t="str">
        <f t="shared" si="220"/>
        <v>Low</v>
      </c>
      <c r="P1424" t="str">
        <f t="shared" si="221"/>
        <v>High</v>
      </c>
      <c r="Q1424" t="str">
        <f t="shared" si="222"/>
        <v>High</v>
      </c>
      <c r="R1424" t="s">
        <v>3317</v>
      </c>
      <c r="S1424" s="4">
        <f t="shared" ca="1" si="223"/>
        <v>273</v>
      </c>
      <c r="T1424">
        <f t="shared" si="224"/>
        <v>1</v>
      </c>
      <c r="U1424">
        <f t="shared" si="225"/>
        <v>3</v>
      </c>
      <c r="V1424">
        <f t="shared" si="226"/>
        <v>3</v>
      </c>
      <c r="W1424">
        <f t="shared" si="227"/>
        <v>1</v>
      </c>
      <c r="X1424">
        <f t="shared" si="228"/>
        <v>2</v>
      </c>
      <c r="Y1424" t="str">
        <f t="shared" si="229"/>
        <v>Monitor</v>
      </c>
    </row>
    <row r="1425" spans="1:25" x14ac:dyDescent="0.35">
      <c r="A1425" t="s">
        <v>71</v>
      </c>
      <c r="B1425" t="s">
        <v>72</v>
      </c>
      <c r="C1425" t="s">
        <v>73</v>
      </c>
      <c r="D1425" t="s">
        <v>1208</v>
      </c>
      <c r="E1425">
        <v>80763156</v>
      </c>
      <c r="F1425" t="s">
        <v>1209</v>
      </c>
      <c r="G1425" s="3">
        <v>46498</v>
      </c>
      <c r="H1425">
        <v>36</v>
      </c>
      <c r="I1425">
        <v>28</v>
      </c>
      <c r="J1425">
        <v>26</v>
      </c>
      <c r="K1425" s="4">
        <v>27042.6</v>
      </c>
      <c r="L1425" s="4">
        <f>0</f>
        <v>0</v>
      </c>
      <c r="M1425" s="4">
        <f>999</f>
        <v>999</v>
      </c>
      <c r="N1425" t="s">
        <v>19</v>
      </c>
      <c r="O1425" t="str">
        <f t="shared" si="220"/>
        <v>Medium</v>
      </c>
      <c r="P1425" t="str">
        <f t="shared" si="221"/>
        <v>High</v>
      </c>
      <c r="Q1425" t="str">
        <f t="shared" si="222"/>
        <v>High</v>
      </c>
      <c r="R1425" t="s">
        <v>3317</v>
      </c>
      <c r="S1425" s="4">
        <f t="shared" ca="1" si="223"/>
        <v>301</v>
      </c>
      <c r="T1425">
        <f t="shared" si="224"/>
        <v>2</v>
      </c>
      <c r="U1425">
        <f t="shared" si="225"/>
        <v>3</v>
      </c>
      <c r="V1425">
        <f t="shared" si="226"/>
        <v>3</v>
      </c>
      <c r="W1425">
        <f t="shared" si="227"/>
        <v>1</v>
      </c>
      <c r="X1425">
        <f t="shared" si="228"/>
        <v>2.4</v>
      </c>
      <c r="Y1425" t="str">
        <f t="shared" si="229"/>
        <v>High Priority</v>
      </c>
    </row>
    <row r="1426" spans="1:25" x14ac:dyDescent="0.35">
      <c r="A1426" t="s">
        <v>71</v>
      </c>
      <c r="B1426" t="s">
        <v>72</v>
      </c>
      <c r="C1426" t="s">
        <v>73</v>
      </c>
      <c r="D1426" t="s">
        <v>1208</v>
      </c>
      <c r="E1426">
        <v>80763156</v>
      </c>
      <c r="F1426" t="s">
        <v>1209</v>
      </c>
      <c r="G1426" s="3">
        <v>46289</v>
      </c>
      <c r="H1426">
        <v>36</v>
      </c>
      <c r="I1426">
        <v>9</v>
      </c>
      <c r="J1426">
        <v>9</v>
      </c>
      <c r="K1426" s="4">
        <v>9360.9</v>
      </c>
      <c r="L1426" s="4">
        <f>0</f>
        <v>0</v>
      </c>
      <c r="M1426" s="4">
        <f>999</f>
        <v>999</v>
      </c>
      <c r="N1426" t="s">
        <v>19</v>
      </c>
      <c r="O1426" t="str">
        <f t="shared" si="220"/>
        <v>High</v>
      </c>
      <c r="P1426" t="str">
        <f t="shared" si="221"/>
        <v>High</v>
      </c>
      <c r="Q1426" t="str">
        <f t="shared" si="222"/>
        <v>High</v>
      </c>
      <c r="R1426" t="s">
        <v>3317</v>
      </c>
      <c r="S1426" s="4">
        <f t="shared" ca="1" si="223"/>
        <v>92</v>
      </c>
      <c r="T1426">
        <f t="shared" si="224"/>
        <v>3</v>
      </c>
      <c r="U1426">
        <f t="shared" si="225"/>
        <v>3</v>
      </c>
      <c r="V1426">
        <f t="shared" si="226"/>
        <v>3</v>
      </c>
      <c r="W1426">
        <f t="shared" si="227"/>
        <v>1</v>
      </c>
      <c r="X1426">
        <f t="shared" si="228"/>
        <v>2.8000000000000003</v>
      </c>
      <c r="Y1426" t="str">
        <f t="shared" si="229"/>
        <v>Move Immediately</v>
      </c>
    </row>
    <row r="1427" spans="1:25" x14ac:dyDescent="0.35">
      <c r="A1427" t="s">
        <v>71</v>
      </c>
      <c r="B1427" t="s">
        <v>72</v>
      </c>
      <c r="C1427" t="s">
        <v>73</v>
      </c>
      <c r="D1427" t="s">
        <v>1208</v>
      </c>
      <c r="E1427">
        <v>80763156</v>
      </c>
      <c r="F1427" t="s">
        <v>1209</v>
      </c>
      <c r="G1427" s="3">
        <v>46408</v>
      </c>
      <c r="H1427">
        <v>36</v>
      </c>
      <c r="I1427">
        <v>20</v>
      </c>
      <c r="J1427">
        <v>2</v>
      </c>
      <c r="K1427" s="4">
        <v>2080.1999999999998</v>
      </c>
      <c r="L1427" s="4">
        <f>0</f>
        <v>0</v>
      </c>
      <c r="M1427" s="4">
        <f>999</f>
        <v>999</v>
      </c>
      <c r="N1427" t="s">
        <v>19</v>
      </c>
      <c r="O1427" t="str">
        <f t="shared" si="220"/>
        <v>Medium</v>
      </c>
      <c r="P1427" t="str">
        <f t="shared" si="221"/>
        <v>High</v>
      </c>
      <c r="Q1427" t="str">
        <f t="shared" si="222"/>
        <v>High</v>
      </c>
      <c r="R1427" t="s">
        <v>3317</v>
      </c>
      <c r="S1427" s="4">
        <f t="shared" ca="1" si="223"/>
        <v>211</v>
      </c>
      <c r="T1427">
        <f t="shared" si="224"/>
        <v>2</v>
      </c>
      <c r="U1427">
        <f t="shared" si="225"/>
        <v>3</v>
      </c>
      <c r="V1427">
        <f t="shared" si="226"/>
        <v>3</v>
      </c>
      <c r="W1427">
        <f t="shared" si="227"/>
        <v>1</v>
      </c>
      <c r="X1427">
        <f t="shared" si="228"/>
        <v>2.4</v>
      </c>
      <c r="Y1427" t="str">
        <f t="shared" si="229"/>
        <v>High Priority</v>
      </c>
    </row>
    <row r="1428" spans="1:25" x14ac:dyDescent="0.35">
      <c r="A1428" t="s">
        <v>71</v>
      </c>
      <c r="B1428" t="s">
        <v>72</v>
      </c>
      <c r="C1428" t="s">
        <v>73</v>
      </c>
      <c r="D1428" t="s">
        <v>1208</v>
      </c>
      <c r="E1428">
        <v>80763156</v>
      </c>
      <c r="F1428" t="s">
        <v>1209</v>
      </c>
      <c r="G1428" s="3">
        <v>46571</v>
      </c>
      <c r="H1428">
        <v>36</v>
      </c>
      <c r="I1428">
        <v>35</v>
      </c>
      <c r="J1428">
        <v>5</v>
      </c>
      <c r="K1428" s="4">
        <v>5200.5</v>
      </c>
      <c r="L1428" s="4">
        <f>0</f>
        <v>0</v>
      </c>
      <c r="M1428" s="4">
        <f>999</f>
        <v>999</v>
      </c>
      <c r="N1428" t="s">
        <v>19</v>
      </c>
      <c r="O1428" t="str">
        <f t="shared" si="220"/>
        <v>Medium</v>
      </c>
      <c r="P1428" t="str">
        <f t="shared" si="221"/>
        <v>High</v>
      </c>
      <c r="Q1428" t="str">
        <f t="shared" si="222"/>
        <v>High</v>
      </c>
      <c r="R1428" t="s">
        <v>3317</v>
      </c>
      <c r="S1428" s="4">
        <f t="shared" ca="1" si="223"/>
        <v>374</v>
      </c>
      <c r="T1428">
        <f t="shared" si="224"/>
        <v>2</v>
      </c>
      <c r="U1428">
        <f t="shared" si="225"/>
        <v>3</v>
      </c>
      <c r="V1428">
        <f t="shared" si="226"/>
        <v>3</v>
      </c>
      <c r="W1428">
        <f t="shared" si="227"/>
        <v>1</v>
      </c>
      <c r="X1428">
        <f t="shared" si="228"/>
        <v>2.4</v>
      </c>
      <c r="Y1428" t="str">
        <f t="shared" si="229"/>
        <v>High Priority</v>
      </c>
    </row>
    <row r="1429" spans="1:25" x14ac:dyDescent="0.35">
      <c r="A1429" t="s">
        <v>71</v>
      </c>
      <c r="B1429" t="s">
        <v>72</v>
      </c>
      <c r="C1429" t="s">
        <v>73</v>
      </c>
      <c r="D1429" t="s">
        <v>1208</v>
      </c>
      <c r="E1429">
        <v>80763156</v>
      </c>
      <c r="F1429" t="s">
        <v>1209</v>
      </c>
      <c r="G1429" s="3">
        <v>46486</v>
      </c>
      <c r="H1429">
        <v>36</v>
      </c>
      <c r="I1429">
        <v>27</v>
      </c>
      <c r="J1429">
        <v>2</v>
      </c>
      <c r="K1429" s="4">
        <v>2080.1999999999998</v>
      </c>
      <c r="L1429" s="4">
        <f>0</f>
        <v>0</v>
      </c>
      <c r="M1429" s="4">
        <f>999</f>
        <v>999</v>
      </c>
      <c r="N1429" t="s">
        <v>19</v>
      </c>
      <c r="O1429" t="str">
        <f t="shared" si="220"/>
        <v>Medium</v>
      </c>
      <c r="P1429" t="str">
        <f t="shared" si="221"/>
        <v>High</v>
      </c>
      <c r="Q1429" t="str">
        <f t="shared" si="222"/>
        <v>High</v>
      </c>
      <c r="R1429" t="s">
        <v>3317</v>
      </c>
      <c r="S1429" s="4">
        <f t="shared" ca="1" si="223"/>
        <v>289</v>
      </c>
      <c r="T1429">
        <f t="shared" si="224"/>
        <v>2</v>
      </c>
      <c r="U1429">
        <f t="shared" si="225"/>
        <v>3</v>
      </c>
      <c r="V1429">
        <f t="shared" si="226"/>
        <v>3</v>
      </c>
      <c r="W1429">
        <f t="shared" si="227"/>
        <v>1</v>
      </c>
      <c r="X1429">
        <f t="shared" si="228"/>
        <v>2.4</v>
      </c>
      <c r="Y1429" t="str">
        <f t="shared" si="229"/>
        <v>High Priority</v>
      </c>
    </row>
    <row r="1430" spans="1:25" x14ac:dyDescent="0.35">
      <c r="A1430" t="s">
        <v>41</v>
      </c>
      <c r="B1430" t="s">
        <v>54</v>
      </c>
      <c r="C1430" t="s">
        <v>87</v>
      </c>
      <c r="D1430" t="s">
        <v>88</v>
      </c>
      <c r="E1430">
        <v>80791896</v>
      </c>
      <c r="F1430" t="s">
        <v>1210</v>
      </c>
      <c r="G1430" s="3">
        <v>46550</v>
      </c>
      <c r="H1430">
        <v>36</v>
      </c>
      <c r="I1430">
        <v>33</v>
      </c>
      <c r="J1430">
        <v>15</v>
      </c>
      <c r="K1430" s="4">
        <v>13371</v>
      </c>
      <c r="L1430" s="4">
        <f>0</f>
        <v>0</v>
      </c>
      <c r="M1430" s="4">
        <f>999</f>
        <v>999</v>
      </c>
      <c r="N1430" t="s">
        <v>19</v>
      </c>
      <c r="O1430" t="str">
        <f t="shared" si="220"/>
        <v>Medium</v>
      </c>
      <c r="P1430" t="str">
        <f t="shared" si="221"/>
        <v>High</v>
      </c>
      <c r="Q1430" t="str">
        <f t="shared" si="222"/>
        <v>High</v>
      </c>
      <c r="R1430" t="s">
        <v>3317</v>
      </c>
      <c r="S1430" s="4">
        <f t="shared" ca="1" si="223"/>
        <v>353</v>
      </c>
      <c r="T1430">
        <f t="shared" si="224"/>
        <v>2</v>
      </c>
      <c r="U1430">
        <f t="shared" si="225"/>
        <v>3</v>
      </c>
      <c r="V1430">
        <f t="shared" si="226"/>
        <v>3</v>
      </c>
      <c r="W1430">
        <f t="shared" si="227"/>
        <v>1</v>
      </c>
      <c r="X1430">
        <f t="shared" si="228"/>
        <v>2.4</v>
      </c>
      <c r="Y1430" t="str">
        <f t="shared" si="229"/>
        <v>High Priority</v>
      </c>
    </row>
    <row r="1431" spans="1:25" x14ac:dyDescent="0.35">
      <c r="A1431" t="s">
        <v>41</v>
      </c>
      <c r="B1431" t="s">
        <v>54</v>
      </c>
      <c r="C1431" t="s">
        <v>87</v>
      </c>
      <c r="D1431" t="s">
        <v>88</v>
      </c>
      <c r="E1431">
        <v>80791896</v>
      </c>
      <c r="F1431" t="s">
        <v>1210</v>
      </c>
      <c r="G1431" s="3">
        <v>46569</v>
      </c>
      <c r="H1431">
        <v>36</v>
      </c>
      <c r="I1431">
        <v>35</v>
      </c>
      <c r="J1431">
        <v>3</v>
      </c>
      <c r="K1431" s="4">
        <v>2674.2</v>
      </c>
      <c r="L1431" s="4">
        <f>0</f>
        <v>0</v>
      </c>
      <c r="M1431" s="4">
        <f>999</f>
        <v>999</v>
      </c>
      <c r="N1431" t="s">
        <v>19</v>
      </c>
      <c r="O1431" t="str">
        <f t="shared" si="220"/>
        <v>Medium</v>
      </c>
      <c r="P1431" t="str">
        <f t="shared" si="221"/>
        <v>High</v>
      </c>
      <c r="Q1431" t="str">
        <f t="shared" si="222"/>
        <v>High</v>
      </c>
      <c r="R1431" t="s">
        <v>3317</v>
      </c>
      <c r="S1431" s="4">
        <f t="shared" ca="1" si="223"/>
        <v>372</v>
      </c>
      <c r="T1431">
        <f t="shared" si="224"/>
        <v>2</v>
      </c>
      <c r="U1431">
        <f t="shared" si="225"/>
        <v>3</v>
      </c>
      <c r="V1431">
        <f t="shared" si="226"/>
        <v>3</v>
      </c>
      <c r="W1431">
        <f t="shared" si="227"/>
        <v>1</v>
      </c>
      <c r="X1431">
        <f t="shared" si="228"/>
        <v>2.4</v>
      </c>
      <c r="Y1431" t="str">
        <f t="shared" si="229"/>
        <v>High Priority</v>
      </c>
    </row>
    <row r="1432" spans="1:25" x14ac:dyDescent="0.35">
      <c r="A1432" t="s">
        <v>29</v>
      </c>
      <c r="B1432" t="s">
        <v>30</v>
      </c>
      <c r="C1432" t="s">
        <v>856</v>
      </c>
      <c r="D1432" t="s">
        <v>1211</v>
      </c>
      <c r="E1432">
        <v>80767023</v>
      </c>
      <c r="F1432" t="s">
        <v>1212</v>
      </c>
      <c r="G1432" s="3">
        <v>46576</v>
      </c>
      <c r="H1432">
        <v>36</v>
      </c>
      <c r="I1432">
        <v>36</v>
      </c>
      <c r="J1432">
        <v>1</v>
      </c>
      <c r="K1432" s="4">
        <v>1599.15</v>
      </c>
      <c r="L1432" s="4">
        <f>0</f>
        <v>0</v>
      </c>
      <c r="M1432" s="4">
        <f>999</f>
        <v>999</v>
      </c>
      <c r="N1432" t="s">
        <v>19</v>
      </c>
      <c r="O1432" t="str">
        <f t="shared" si="220"/>
        <v>Medium</v>
      </c>
      <c r="P1432" t="str">
        <f t="shared" si="221"/>
        <v>High</v>
      </c>
      <c r="Q1432" t="str">
        <f t="shared" si="222"/>
        <v>High</v>
      </c>
      <c r="R1432" t="s">
        <v>3317</v>
      </c>
      <c r="S1432" s="4">
        <f t="shared" ca="1" si="223"/>
        <v>379</v>
      </c>
      <c r="T1432">
        <f t="shared" si="224"/>
        <v>2</v>
      </c>
      <c r="U1432">
        <f t="shared" si="225"/>
        <v>3</v>
      </c>
      <c r="V1432">
        <f t="shared" si="226"/>
        <v>3</v>
      </c>
      <c r="W1432">
        <f t="shared" si="227"/>
        <v>1</v>
      </c>
      <c r="X1432">
        <f t="shared" si="228"/>
        <v>2.4</v>
      </c>
      <c r="Y1432" t="str">
        <f t="shared" si="229"/>
        <v>High Priority</v>
      </c>
    </row>
    <row r="1433" spans="1:25" x14ac:dyDescent="0.35">
      <c r="A1433" t="s">
        <v>189</v>
      </c>
      <c r="B1433" t="s">
        <v>417</v>
      </c>
      <c r="C1433" t="s">
        <v>417</v>
      </c>
      <c r="D1433" t="s">
        <v>519</v>
      </c>
      <c r="E1433">
        <v>80813092</v>
      </c>
      <c r="F1433" t="s">
        <v>1213</v>
      </c>
      <c r="G1433" s="3">
        <v>46460</v>
      </c>
      <c r="H1433">
        <v>18</v>
      </c>
      <c r="I1433">
        <v>50</v>
      </c>
      <c r="J1433">
        <v>60</v>
      </c>
      <c r="K1433" s="4">
        <v>2247</v>
      </c>
      <c r="L1433" s="4">
        <f>0</f>
        <v>0</v>
      </c>
      <c r="M1433" s="4">
        <f>999</f>
        <v>999</v>
      </c>
      <c r="N1433" t="s">
        <v>19</v>
      </c>
      <c r="O1433" t="str">
        <f t="shared" si="220"/>
        <v>Low</v>
      </c>
      <c r="P1433" t="str">
        <f t="shared" si="221"/>
        <v>High</v>
      </c>
      <c r="Q1433" t="str">
        <f t="shared" si="222"/>
        <v>High</v>
      </c>
      <c r="R1433" t="s">
        <v>3317</v>
      </c>
      <c r="S1433" s="4">
        <f t="shared" ca="1" si="223"/>
        <v>263</v>
      </c>
      <c r="T1433">
        <f t="shared" si="224"/>
        <v>1</v>
      </c>
      <c r="U1433">
        <f t="shared" si="225"/>
        <v>3</v>
      </c>
      <c r="V1433">
        <f t="shared" si="226"/>
        <v>3</v>
      </c>
      <c r="W1433">
        <f t="shared" si="227"/>
        <v>1</v>
      </c>
      <c r="X1433">
        <f t="shared" si="228"/>
        <v>2</v>
      </c>
      <c r="Y1433" t="str">
        <f t="shared" si="229"/>
        <v>Monitor</v>
      </c>
    </row>
    <row r="1434" spans="1:25" x14ac:dyDescent="0.35">
      <c r="A1434" t="s">
        <v>189</v>
      </c>
      <c r="B1434" t="s">
        <v>417</v>
      </c>
      <c r="C1434" t="s">
        <v>417</v>
      </c>
      <c r="D1434" t="s">
        <v>519</v>
      </c>
      <c r="E1434">
        <v>80813092</v>
      </c>
      <c r="F1434" t="s">
        <v>1213</v>
      </c>
      <c r="G1434" s="3">
        <v>46030</v>
      </c>
      <c r="H1434">
        <v>18</v>
      </c>
      <c r="I1434">
        <v>0</v>
      </c>
      <c r="J1434">
        <v>48</v>
      </c>
      <c r="K1434" s="4">
        <v>1797.6</v>
      </c>
      <c r="L1434" s="4">
        <f>0</f>
        <v>0</v>
      </c>
      <c r="M1434" s="4">
        <f>999</f>
        <v>999</v>
      </c>
      <c r="N1434" t="s">
        <v>19</v>
      </c>
      <c r="O1434" t="str">
        <f t="shared" si="220"/>
        <v>High</v>
      </c>
      <c r="P1434" t="str">
        <f t="shared" si="221"/>
        <v>High</v>
      </c>
      <c r="Q1434" t="str">
        <f t="shared" si="222"/>
        <v>High</v>
      </c>
      <c r="R1434" t="s">
        <v>3317</v>
      </c>
      <c r="S1434" s="4">
        <f t="shared" ca="1" si="223"/>
        <v>-167</v>
      </c>
      <c r="T1434">
        <f t="shared" si="224"/>
        <v>3</v>
      </c>
      <c r="U1434">
        <f t="shared" si="225"/>
        <v>3</v>
      </c>
      <c r="V1434">
        <f t="shared" si="226"/>
        <v>3</v>
      </c>
      <c r="W1434">
        <f t="shared" si="227"/>
        <v>1</v>
      </c>
      <c r="X1434">
        <f t="shared" si="228"/>
        <v>2.8000000000000003</v>
      </c>
      <c r="Y1434" t="str">
        <f t="shared" si="229"/>
        <v>Move Immediately</v>
      </c>
    </row>
    <row r="1435" spans="1:25" x14ac:dyDescent="0.35">
      <c r="A1435" t="s">
        <v>944</v>
      </c>
      <c r="B1435" t="s">
        <v>945</v>
      </c>
      <c r="C1435" t="s">
        <v>1214</v>
      </c>
      <c r="D1435" t="s">
        <v>1215</v>
      </c>
      <c r="E1435">
        <v>80778330</v>
      </c>
      <c r="F1435" t="s">
        <v>1216</v>
      </c>
      <c r="G1435" s="3">
        <v>47448</v>
      </c>
      <c r="H1435">
        <v>60</v>
      </c>
      <c r="I1435">
        <v>70</v>
      </c>
      <c r="J1435">
        <v>8</v>
      </c>
      <c r="K1435" s="4">
        <v>174532.88</v>
      </c>
      <c r="L1435" s="4">
        <f>0</f>
        <v>0</v>
      </c>
      <c r="M1435" s="4">
        <f>999</f>
        <v>999</v>
      </c>
      <c r="N1435" t="s">
        <v>19</v>
      </c>
      <c r="O1435" t="str">
        <f t="shared" si="220"/>
        <v>Low</v>
      </c>
      <c r="P1435" t="str">
        <f t="shared" si="221"/>
        <v>High</v>
      </c>
      <c r="Q1435" t="str">
        <f t="shared" si="222"/>
        <v>High</v>
      </c>
      <c r="R1435" t="s">
        <v>3309</v>
      </c>
      <c r="S1435" s="4">
        <f t="shared" ca="1" si="223"/>
        <v>1251</v>
      </c>
      <c r="T1435">
        <f t="shared" si="224"/>
        <v>1</v>
      </c>
      <c r="U1435">
        <f t="shared" si="225"/>
        <v>3</v>
      </c>
      <c r="V1435">
        <f t="shared" si="226"/>
        <v>3</v>
      </c>
      <c r="W1435">
        <f t="shared" si="227"/>
        <v>3</v>
      </c>
      <c r="X1435">
        <f t="shared" si="228"/>
        <v>2.2000000000000002</v>
      </c>
      <c r="Y1435" t="str">
        <f t="shared" si="229"/>
        <v>High Priority</v>
      </c>
    </row>
    <row r="1436" spans="1:25" x14ac:dyDescent="0.35">
      <c r="A1436" t="s">
        <v>944</v>
      </c>
      <c r="B1436" t="s">
        <v>945</v>
      </c>
      <c r="C1436" t="s">
        <v>1214</v>
      </c>
      <c r="D1436" t="s">
        <v>1215</v>
      </c>
      <c r="E1436">
        <v>80778330</v>
      </c>
      <c r="F1436" t="s">
        <v>1216</v>
      </c>
      <c r="G1436" s="3">
        <v>47449</v>
      </c>
      <c r="H1436">
        <v>60</v>
      </c>
      <c r="I1436">
        <v>70</v>
      </c>
      <c r="J1436">
        <v>6</v>
      </c>
      <c r="K1436" s="4">
        <v>130899.66</v>
      </c>
      <c r="L1436" s="4">
        <f>0</f>
        <v>0</v>
      </c>
      <c r="M1436" s="4">
        <f>999</f>
        <v>999</v>
      </c>
      <c r="N1436" t="s">
        <v>19</v>
      </c>
      <c r="O1436" t="str">
        <f t="shared" si="220"/>
        <v>Low</v>
      </c>
      <c r="P1436" t="str">
        <f t="shared" si="221"/>
        <v>High</v>
      </c>
      <c r="Q1436" t="str">
        <f t="shared" si="222"/>
        <v>High</v>
      </c>
      <c r="R1436" t="s">
        <v>3310</v>
      </c>
      <c r="S1436" s="4">
        <f t="shared" ca="1" si="223"/>
        <v>1252</v>
      </c>
      <c r="T1436">
        <f t="shared" si="224"/>
        <v>1</v>
      </c>
      <c r="U1436">
        <f t="shared" si="225"/>
        <v>3</v>
      </c>
      <c r="V1436">
        <f t="shared" si="226"/>
        <v>3</v>
      </c>
      <c r="W1436">
        <f t="shared" si="227"/>
        <v>2</v>
      </c>
      <c r="X1436">
        <f t="shared" si="228"/>
        <v>2.1</v>
      </c>
      <c r="Y1436" t="str">
        <f t="shared" si="229"/>
        <v>Monitor</v>
      </c>
    </row>
    <row r="1437" spans="1:25" x14ac:dyDescent="0.35">
      <c r="A1437" t="s">
        <v>210</v>
      </c>
      <c r="B1437" t="s">
        <v>439</v>
      </c>
      <c r="C1437" t="s">
        <v>440</v>
      </c>
      <c r="D1437" t="s">
        <v>1217</v>
      </c>
      <c r="E1437">
        <v>80769031</v>
      </c>
      <c r="F1437" t="s">
        <v>1218</v>
      </c>
      <c r="G1437" s="3">
        <v>47070</v>
      </c>
      <c r="H1437">
        <v>60</v>
      </c>
      <c r="I1437">
        <v>49</v>
      </c>
      <c r="J1437">
        <v>6</v>
      </c>
      <c r="K1437" s="4">
        <v>3233.58</v>
      </c>
      <c r="L1437" s="4">
        <v>22.857142857142858</v>
      </c>
      <c r="M1437" s="4">
        <v>0.26250000000000001</v>
      </c>
      <c r="N1437" t="s">
        <v>25</v>
      </c>
      <c r="O1437" t="str">
        <f t="shared" si="220"/>
        <v>Low</v>
      </c>
      <c r="P1437" t="str">
        <f t="shared" si="221"/>
        <v>Low</v>
      </c>
      <c r="Q1437" t="str">
        <f t="shared" si="222"/>
        <v>Low</v>
      </c>
      <c r="R1437" t="s">
        <v>3317</v>
      </c>
      <c r="S1437" s="4">
        <f t="shared" ca="1" si="223"/>
        <v>873</v>
      </c>
      <c r="T1437">
        <f t="shared" si="224"/>
        <v>1</v>
      </c>
      <c r="U1437">
        <f t="shared" si="225"/>
        <v>1</v>
      </c>
      <c r="V1437">
        <f t="shared" si="226"/>
        <v>1</v>
      </c>
      <c r="W1437">
        <f t="shared" si="227"/>
        <v>1</v>
      </c>
      <c r="X1437">
        <f t="shared" si="228"/>
        <v>0.99999999999999989</v>
      </c>
      <c r="Y1437" t="str">
        <f t="shared" si="229"/>
        <v>Healthy</v>
      </c>
    </row>
    <row r="1438" spans="1:25" x14ac:dyDescent="0.35">
      <c r="A1438" t="s">
        <v>189</v>
      </c>
      <c r="B1438" t="s">
        <v>1219</v>
      </c>
      <c r="C1438" t="s">
        <v>1219</v>
      </c>
      <c r="D1438" t="s">
        <v>1220</v>
      </c>
      <c r="E1438">
        <v>80812660</v>
      </c>
      <c r="F1438" t="s">
        <v>1221</v>
      </c>
      <c r="G1438" s="3">
        <v>46675</v>
      </c>
      <c r="H1438">
        <v>24</v>
      </c>
      <c r="I1438">
        <v>67</v>
      </c>
      <c r="J1438">
        <v>4</v>
      </c>
      <c r="K1438" s="4">
        <v>374.88</v>
      </c>
      <c r="L1438" s="4">
        <v>1611.4285714285713</v>
      </c>
      <c r="M1438" s="4">
        <v>2.4822695035460994E-3</v>
      </c>
      <c r="N1438" t="s">
        <v>25</v>
      </c>
      <c r="O1438" t="str">
        <f t="shared" si="220"/>
        <v>Low</v>
      </c>
      <c r="P1438" t="str">
        <f t="shared" si="221"/>
        <v>Low</v>
      </c>
      <c r="Q1438" t="str">
        <f t="shared" si="222"/>
        <v>Low</v>
      </c>
      <c r="R1438" t="s">
        <v>3317</v>
      </c>
      <c r="S1438" s="4">
        <f t="shared" ca="1" si="223"/>
        <v>478</v>
      </c>
      <c r="T1438">
        <f t="shared" si="224"/>
        <v>1</v>
      </c>
      <c r="U1438">
        <f t="shared" si="225"/>
        <v>1</v>
      </c>
      <c r="V1438">
        <f t="shared" si="226"/>
        <v>1</v>
      </c>
      <c r="W1438">
        <f t="shared" si="227"/>
        <v>1</v>
      </c>
      <c r="X1438">
        <f t="shared" si="228"/>
        <v>0.99999999999999989</v>
      </c>
      <c r="Y1438" t="str">
        <f t="shared" si="229"/>
        <v>Healthy</v>
      </c>
    </row>
    <row r="1439" spans="1:25" x14ac:dyDescent="0.35">
      <c r="A1439" t="s">
        <v>189</v>
      </c>
      <c r="B1439" t="s">
        <v>1219</v>
      </c>
      <c r="C1439" t="s">
        <v>1219</v>
      </c>
      <c r="D1439" t="s">
        <v>1220</v>
      </c>
      <c r="E1439">
        <v>80812660</v>
      </c>
      <c r="F1439" t="s">
        <v>1221</v>
      </c>
      <c r="G1439" s="3">
        <v>46336</v>
      </c>
      <c r="H1439">
        <v>24</v>
      </c>
      <c r="I1439">
        <v>20</v>
      </c>
      <c r="J1439">
        <v>4</v>
      </c>
      <c r="K1439" s="4">
        <v>374.88</v>
      </c>
      <c r="L1439" s="4">
        <v>1611.4285714285713</v>
      </c>
      <c r="M1439" s="4">
        <v>2.4822695035460994E-3</v>
      </c>
      <c r="N1439" t="s">
        <v>25</v>
      </c>
      <c r="O1439" t="str">
        <f t="shared" si="220"/>
        <v>Medium</v>
      </c>
      <c r="P1439" t="str">
        <f t="shared" si="221"/>
        <v>Low</v>
      </c>
      <c r="Q1439" t="str">
        <f t="shared" si="222"/>
        <v>Low</v>
      </c>
      <c r="R1439" t="s">
        <v>3317</v>
      </c>
      <c r="S1439" s="4">
        <f t="shared" ca="1" si="223"/>
        <v>139</v>
      </c>
      <c r="T1439">
        <f t="shared" si="224"/>
        <v>2</v>
      </c>
      <c r="U1439">
        <f t="shared" si="225"/>
        <v>1</v>
      </c>
      <c r="V1439">
        <f t="shared" si="226"/>
        <v>1</v>
      </c>
      <c r="W1439">
        <f t="shared" si="227"/>
        <v>1</v>
      </c>
      <c r="X1439">
        <f t="shared" si="228"/>
        <v>1.4000000000000001</v>
      </c>
      <c r="Y1439" t="str">
        <f t="shared" si="229"/>
        <v>Healthy</v>
      </c>
    </row>
    <row r="1440" spans="1:25" x14ac:dyDescent="0.35">
      <c r="A1440" t="s">
        <v>71</v>
      </c>
      <c r="B1440" t="s">
        <v>72</v>
      </c>
      <c r="C1440" t="s">
        <v>320</v>
      </c>
      <c r="D1440" t="s">
        <v>1222</v>
      </c>
      <c r="E1440">
        <v>80774690</v>
      </c>
      <c r="F1440" t="s">
        <v>1223</v>
      </c>
      <c r="G1440" s="3">
        <v>46396</v>
      </c>
      <c r="H1440">
        <v>36</v>
      </c>
      <c r="I1440">
        <v>19</v>
      </c>
      <c r="J1440">
        <v>1</v>
      </c>
      <c r="K1440" s="4">
        <v>2559.92</v>
      </c>
      <c r="L1440" s="4">
        <f>0</f>
        <v>0</v>
      </c>
      <c r="M1440" s="4">
        <f>999</f>
        <v>999</v>
      </c>
      <c r="N1440" t="s">
        <v>19</v>
      </c>
      <c r="O1440" t="str">
        <f t="shared" si="220"/>
        <v>High</v>
      </c>
      <c r="P1440" t="str">
        <f t="shared" si="221"/>
        <v>High</v>
      </c>
      <c r="Q1440" t="str">
        <f t="shared" si="222"/>
        <v>High</v>
      </c>
      <c r="R1440" t="s">
        <v>3317</v>
      </c>
      <c r="S1440" s="4">
        <f t="shared" ca="1" si="223"/>
        <v>199</v>
      </c>
      <c r="T1440">
        <f t="shared" si="224"/>
        <v>3</v>
      </c>
      <c r="U1440">
        <f t="shared" si="225"/>
        <v>3</v>
      </c>
      <c r="V1440">
        <f t="shared" si="226"/>
        <v>3</v>
      </c>
      <c r="W1440">
        <f t="shared" si="227"/>
        <v>1</v>
      </c>
      <c r="X1440">
        <f t="shared" si="228"/>
        <v>2.8000000000000003</v>
      </c>
      <c r="Y1440" t="str">
        <f t="shared" si="229"/>
        <v>Move Immediately</v>
      </c>
    </row>
    <row r="1441" spans="1:25" x14ac:dyDescent="0.35">
      <c r="A1441" t="s">
        <v>90</v>
      </c>
      <c r="B1441" t="s">
        <v>970</v>
      </c>
      <c r="C1441" t="s">
        <v>971</v>
      </c>
      <c r="D1441" t="s">
        <v>1224</v>
      </c>
      <c r="E1441">
        <v>80777728</v>
      </c>
      <c r="F1441" t="s">
        <v>1225</v>
      </c>
      <c r="G1441" s="3">
        <v>46515</v>
      </c>
      <c r="H1441">
        <v>24</v>
      </c>
      <c r="I1441">
        <v>45</v>
      </c>
      <c r="J1441">
        <v>4</v>
      </c>
      <c r="K1441" s="4">
        <v>1077.8800000000001</v>
      </c>
      <c r="L1441" s="4">
        <v>328.57142857142856</v>
      </c>
      <c r="M1441" s="4">
        <v>1.2173913043478261E-2</v>
      </c>
      <c r="N1441" t="s">
        <v>25</v>
      </c>
      <c r="O1441" t="str">
        <f t="shared" si="220"/>
        <v>Low</v>
      </c>
      <c r="P1441" t="str">
        <f t="shared" si="221"/>
        <v>Low</v>
      </c>
      <c r="Q1441" t="str">
        <f t="shared" si="222"/>
        <v>Low</v>
      </c>
      <c r="R1441" t="s">
        <v>3317</v>
      </c>
      <c r="S1441" s="4">
        <f t="shared" ca="1" si="223"/>
        <v>318</v>
      </c>
      <c r="T1441">
        <f t="shared" si="224"/>
        <v>1</v>
      </c>
      <c r="U1441">
        <f t="shared" si="225"/>
        <v>1</v>
      </c>
      <c r="V1441">
        <f t="shared" si="226"/>
        <v>1</v>
      </c>
      <c r="W1441">
        <f t="shared" si="227"/>
        <v>1</v>
      </c>
      <c r="X1441">
        <f t="shared" si="228"/>
        <v>0.99999999999999989</v>
      </c>
      <c r="Y1441" t="str">
        <f t="shared" si="229"/>
        <v>Healthy</v>
      </c>
    </row>
    <row r="1442" spans="1:25" x14ac:dyDescent="0.35">
      <c r="A1442" t="s">
        <v>90</v>
      </c>
      <c r="B1442" t="s">
        <v>970</v>
      </c>
      <c r="C1442" t="s">
        <v>971</v>
      </c>
      <c r="D1442" t="s">
        <v>1224</v>
      </c>
      <c r="E1442">
        <v>80777728</v>
      </c>
      <c r="F1442" t="s">
        <v>1225</v>
      </c>
      <c r="G1442" s="3">
        <v>46529</v>
      </c>
      <c r="H1442">
        <v>24</v>
      </c>
      <c r="I1442">
        <v>47</v>
      </c>
      <c r="J1442">
        <v>2</v>
      </c>
      <c r="K1442" s="4">
        <v>538.94000000000005</v>
      </c>
      <c r="L1442" s="4">
        <v>328.57142857142856</v>
      </c>
      <c r="M1442" s="4">
        <v>6.0869565217391303E-3</v>
      </c>
      <c r="N1442" t="s">
        <v>25</v>
      </c>
      <c r="O1442" t="str">
        <f t="shared" si="220"/>
        <v>Low</v>
      </c>
      <c r="P1442" t="str">
        <f t="shared" si="221"/>
        <v>Low</v>
      </c>
      <c r="Q1442" t="str">
        <f t="shared" si="222"/>
        <v>Low</v>
      </c>
      <c r="R1442" t="s">
        <v>3317</v>
      </c>
      <c r="S1442" s="4">
        <f t="shared" ca="1" si="223"/>
        <v>332</v>
      </c>
      <c r="T1442">
        <f t="shared" si="224"/>
        <v>1</v>
      </c>
      <c r="U1442">
        <f t="shared" si="225"/>
        <v>1</v>
      </c>
      <c r="V1442">
        <f t="shared" si="226"/>
        <v>1</v>
      </c>
      <c r="W1442">
        <f t="shared" si="227"/>
        <v>1</v>
      </c>
      <c r="X1442">
        <f t="shared" si="228"/>
        <v>0.99999999999999989</v>
      </c>
      <c r="Y1442" t="str">
        <f t="shared" si="229"/>
        <v>Healthy</v>
      </c>
    </row>
    <row r="1443" spans="1:25" x14ac:dyDescent="0.35">
      <c r="A1443" t="s">
        <v>90</v>
      </c>
      <c r="B1443" t="s">
        <v>970</v>
      </c>
      <c r="C1443" t="s">
        <v>971</v>
      </c>
      <c r="D1443" t="s">
        <v>1224</v>
      </c>
      <c r="E1443">
        <v>80777728</v>
      </c>
      <c r="F1443" t="s">
        <v>1225</v>
      </c>
      <c r="G1443" s="3">
        <v>47010</v>
      </c>
      <c r="H1443">
        <v>24</v>
      </c>
      <c r="I1443">
        <v>100</v>
      </c>
      <c r="J1443">
        <v>3</v>
      </c>
      <c r="K1443" s="4">
        <v>808.41</v>
      </c>
      <c r="L1443" s="4">
        <v>328.57142857142856</v>
      </c>
      <c r="M1443" s="4">
        <v>9.1304347826086964E-3</v>
      </c>
      <c r="N1443" t="s">
        <v>25</v>
      </c>
      <c r="O1443" t="str">
        <f t="shared" si="220"/>
        <v>Low</v>
      </c>
      <c r="P1443" t="str">
        <f t="shared" si="221"/>
        <v>Low</v>
      </c>
      <c r="Q1443" t="str">
        <f t="shared" si="222"/>
        <v>Low</v>
      </c>
      <c r="R1443" t="s">
        <v>3317</v>
      </c>
      <c r="S1443" s="4">
        <f t="shared" ca="1" si="223"/>
        <v>813</v>
      </c>
      <c r="T1443">
        <f t="shared" si="224"/>
        <v>1</v>
      </c>
      <c r="U1443">
        <f t="shared" si="225"/>
        <v>1</v>
      </c>
      <c r="V1443">
        <f t="shared" si="226"/>
        <v>1</v>
      </c>
      <c r="W1443">
        <f t="shared" si="227"/>
        <v>1</v>
      </c>
      <c r="X1443">
        <f t="shared" si="228"/>
        <v>0.99999999999999989</v>
      </c>
      <c r="Y1443" t="str">
        <f t="shared" si="229"/>
        <v>Healthy</v>
      </c>
    </row>
    <row r="1444" spans="1:25" x14ac:dyDescent="0.35">
      <c r="A1444" t="s">
        <v>71</v>
      </c>
      <c r="B1444" t="s">
        <v>72</v>
      </c>
      <c r="C1444" t="s">
        <v>73</v>
      </c>
      <c r="D1444" t="s">
        <v>167</v>
      </c>
      <c r="E1444">
        <v>80815733</v>
      </c>
      <c r="F1444" t="s">
        <v>1226</v>
      </c>
      <c r="G1444" s="3">
        <v>46900</v>
      </c>
      <c r="H1444">
        <v>36</v>
      </c>
      <c r="I1444">
        <v>66</v>
      </c>
      <c r="J1444">
        <v>2</v>
      </c>
      <c r="K1444" s="4">
        <v>4011.2</v>
      </c>
      <c r="L1444" s="4">
        <f>0</f>
        <v>0</v>
      </c>
      <c r="M1444" s="4">
        <f>999</f>
        <v>999</v>
      </c>
      <c r="N1444" t="s">
        <v>19</v>
      </c>
      <c r="O1444" t="str">
        <f t="shared" si="220"/>
        <v>Low</v>
      </c>
      <c r="P1444" t="str">
        <f t="shared" si="221"/>
        <v>High</v>
      </c>
      <c r="Q1444" t="str">
        <f t="shared" si="222"/>
        <v>High</v>
      </c>
      <c r="R1444" t="s">
        <v>3317</v>
      </c>
      <c r="S1444" s="4">
        <f t="shared" ca="1" si="223"/>
        <v>703</v>
      </c>
      <c r="T1444">
        <f t="shared" si="224"/>
        <v>1</v>
      </c>
      <c r="U1444">
        <f t="shared" si="225"/>
        <v>3</v>
      </c>
      <c r="V1444">
        <f t="shared" si="226"/>
        <v>3</v>
      </c>
      <c r="W1444">
        <f t="shared" si="227"/>
        <v>1</v>
      </c>
      <c r="X1444">
        <f t="shared" si="228"/>
        <v>2</v>
      </c>
      <c r="Y1444" t="str">
        <f t="shared" si="229"/>
        <v>Monitor</v>
      </c>
    </row>
    <row r="1445" spans="1:25" x14ac:dyDescent="0.35">
      <c r="A1445" t="s">
        <v>71</v>
      </c>
      <c r="B1445" t="s">
        <v>72</v>
      </c>
      <c r="C1445" t="s">
        <v>73</v>
      </c>
      <c r="D1445" t="s">
        <v>167</v>
      </c>
      <c r="E1445">
        <v>80815733</v>
      </c>
      <c r="F1445" t="s">
        <v>1226</v>
      </c>
      <c r="G1445" s="3">
        <v>46814</v>
      </c>
      <c r="H1445">
        <v>36</v>
      </c>
      <c r="I1445">
        <v>58</v>
      </c>
      <c r="J1445">
        <v>1</v>
      </c>
      <c r="K1445" s="4">
        <v>2005.6</v>
      </c>
      <c r="L1445" s="4">
        <f>0</f>
        <v>0</v>
      </c>
      <c r="M1445" s="4">
        <f>999</f>
        <v>999</v>
      </c>
      <c r="N1445" t="s">
        <v>19</v>
      </c>
      <c r="O1445" t="str">
        <f t="shared" si="220"/>
        <v>Low</v>
      </c>
      <c r="P1445" t="str">
        <f t="shared" si="221"/>
        <v>High</v>
      </c>
      <c r="Q1445" t="str">
        <f t="shared" si="222"/>
        <v>High</v>
      </c>
      <c r="R1445" t="s">
        <v>3317</v>
      </c>
      <c r="S1445" s="4">
        <f t="shared" ca="1" si="223"/>
        <v>617</v>
      </c>
      <c r="T1445">
        <f t="shared" si="224"/>
        <v>1</v>
      </c>
      <c r="U1445">
        <f t="shared" si="225"/>
        <v>3</v>
      </c>
      <c r="V1445">
        <f t="shared" si="226"/>
        <v>3</v>
      </c>
      <c r="W1445">
        <f t="shared" si="227"/>
        <v>1</v>
      </c>
      <c r="X1445">
        <f t="shared" si="228"/>
        <v>2</v>
      </c>
      <c r="Y1445" t="str">
        <f t="shared" si="229"/>
        <v>Monitor</v>
      </c>
    </row>
    <row r="1446" spans="1:25" x14ac:dyDescent="0.35">
      <c r="A1446" t="s">
        <v>71</v>
      </c>
      <c r="B1446" t="s">
        <v>72</v>
      </c>
      <c r="C1446" t="s">
        <v>73</v>
      </c>
      <c r="D1446" t="s">
        <v>167</v>
      </c>
      <c r="E1446">
        <v>80815733</v>
      </c>
      <c r="F1446" t="s">
        <v>1226</v>
      </c>
      <c r="G1446" s="3">
        <v>46916</v>
      </c>
      <c r="H1446">
        <v>36</v>
      </c>
      <c r="I1446">
        <v>67</v>
      </c>
      <c r="J1446">
        <v>8</v>
      </c>
      <c r="K1446" s="4">
        <v>16044.8</v>
      </c>
      <c r="L1446" s="4">
        <f>0</f>
        <v>0</v>
      </c>
      <c r="M1446" s="4">
        <f>999</f>
        <v>999</v>
      </c>
      <c r="N1446" t="s">
        <v>19</v>
      </c>
      <c r="O1446" t="str">
        <f t="shared" si="220"/>
        <v>Low</v>
      </c>
      <c r="P1446" t="str">
        <f t="shared" si="221"/>
        <v>High</v>
      </c>
      <c r="Q1446" t="str">
        <f t="shared" si="222"/>
        <v>High</v>
      </c>
      <c r="R1446" t="s">
        <v>3317</v>
      </c>
      <c r="S1446" s="4">
        <f t="shared" ca="1" si="223"/>
        <v>719</v>
      </c>
      <c r="T1446">
        <f t="shared" si="224"/>
        <v>1</v>
      </c>
      <c r="U1446">
        <f t="shared" si="225"/>
        <v>3</v>
      </c>
      <c r="V1446">
        <f t="shared" si="226"/>
        <v>3</v>
      </c>
      <c r="W1446">
        <f t="shared" si="227"/>
        <v>1</v>
      </c>
      <c r="X1446">
        <f t="shared" si="228"/>
        <v>2</v>
      </c>
      <c r="Y1446" t="str">
        <f t="shared" si="229"/>
        <v>Monitor</v>
      </c>
    </row>
    <row r="1447" spans="1:25" x14ac:dyDescent="0.35">
      <c r="A1447" t="s">
        <v>90</v>
      </c>
      <c r="B1447" t="s">
        <v>970</v>
      </c>
      <c r="C1447" t="s">
        <v>971</v>
      </c>
      <c r="D1447" t="s">
        <v>1224</v>
      </c>
      <c r="E1447">
        <v>80777728</v>
      </c>
      <c r="F1447" t="s">
        <v>1225</v>
      </c>
      <c r="G1447" s="3">
        <v>47017</v>
      </c>
      <c r="H1447">
        <v>24</v>
      </c>
      <c r="I1447">
        <v>100</v>
      </c>
      <c r="J1447">
        <v>7</v>
      </c>
      <c r="K1447" s="4">
        <v>1886.29</v>
      </c>
      <c r="L1447" s="4">
        <v>328.57142857142856</v>
      </c>
      <c r="M1447" s="4">
        <v>2.1304347826086957E-2</v>
      </c>
      <c r="N1447" t="s">
        <v>25</v>
      </c>
      <c r="O1447" t="str">
        <f t="shared" si="220"/>
        <v>Low</v>
      </c>
      <c r="P1447" t="str">
        <f t="shared" si="221"/>
        <v>Low</v>
      </c>
      <c r="Q1447" t="str">
        <f t="shared" si="222"/>
        <v>Low</v>
      </c>
      <c r="R1447" t="s">
        <v>3317</v>
      </c>
      <c r="S1447" s="4">
        <f t="shared" ca="1" si="223"/>
        <v>820</v>
      </c>
      <c r="T1447">
        <f t="shared" si="224"/>
        <v>1</v>
      </c>
      <c r="U1447">
        <f t="shared" si="225"/>
        <v>1</v>
      </c>
      <c r="V1447">
        <f t="shared" si="226"/>
        <v>1</v>
      </c>
      <c r="W1447">
        <f t="shared" si="227"/>
        <v>1</v>
      </c>
      <c r="X1447">
        <f t="shared" si="228"/>
        <v>0.99999999999999989</v>
      </c>
      <c r="Y1447" t="str">
        <f t="shared" si="229"/>
        <v>Healthy</v>
      </c>
    </row>
    <row r="1448" spans="1:25" x14ac:dyDescent="0.35">
      <c r="A1448" t="s">
        <v>71</v>
      </c>
      <c r="B1448" t="s">
        <v>72</v>
      </c>
      <c r="C1448" t="s">
        <v>73</v>
      </c>
      <c r="D1448" t="s">
        <v>430</v>
      </c>
      <c r="E1448">
        <v>80815785</v>
      </c>
      <c r="F1448" t="s">
        <v>1227</v>
      </c>
      <c r="G1448" s="3">
        <v>46896</v>
      </c>
      <c r="H1448">
        <v>36</v>
      </c>
      <c r="I1448">
        <v>65</v>
      </c>
      <c r="J1448">
        <v>1</v>
      </c>
      <c r="K1448" s="4">
        <v>2005.6</v>
      </c>
      <c r="L1448" s="4">
        <f>0</f>
        <v>0</v>
      </c>
      <c r="M1448" s="4">
        <f>999</f>
        <v>999</v>
      </c>
      <c r="N1448" t="s">
        <v>19</v>
      </c>
      <c r="O1448" t="str">
        <f t="shared" si="220"/>
        <v>Low</v>
      </c>
      <c r="P1448" t="str">
        <f t="shared" si="221"/>
        <v>High</v>
      </c>
      <c r="Q1448" t="str">
        <f t="shared" si="222"/>
        <v>High</v>
      </c>
      <c r="R1448" t="s">
        <v>3317</v>
      </c>
      <c r="S1448" s="4">
        <f t="shared" ca="1" si="223"/>
        <v>699</v>
      </c>
      <c r="T1448">
        <f t="shared" si="224"/>
        <v>1</v>
      </c>
      <c r="U1448">
        <f t="shared" si="225"/>
        <v>3</v>
      </c>
      <c r="V1448">
        <f t="shared" si="226"/>
        <v>3</v>
      </c>
      <c r="W1448">
        <f t="shared" si="227"/>
        <v>1</v>
      </c>
      <c r="X1448">
        <f t="shared" si="228"/>
        <v>2</v>
      </c>
      <c r="Y1448" t="str">
        <f t="shared" si="229"/>
        <v>Monitor</v>
      </c>
    </row>
    <row r="1449" spans="1:25" x14ac:dyDescent="0.35">
      <c r="A1449" t="s">
        <v>90</v>
      </c>
      <c r="B1449" t="s">
        <v>970</v>
      </c>
      <c r="C1449" t="s">
        <v>971</v>
      </c>
      <c r="D1449" t="s">
        <v>1224</v>
      </c>
      <c r="E1449">
        <v>80777728</v>
      </c>
      <c r="F1449" t="s">
        <v>1225</v>
      </c>
      <c r="G1449" s="3">
        <v>46530</v>
      </c>
      <c r="H1449">
        <v>24</v>
      </c>
      <c r="I1449">
        <v>47</v>
      </c>
      <c r="J1449">
        <v>10</v>
      </c>
      <c r="K1449" s="4">
        <v>2694.7</v>
      </c>
      <c r="L1449" s="4">
        <v>328.57142857142856</v>
      </c>
      <c r="M1449" s="4">
        <v>3.0434782608695653E-2</v>
      </c>
      <c r="N1449" t="s">
        <v>25</v>
      </c>
      <c r="O1449" t="str">
        <f t="shared" si="220"/>
        <v>Low</v>
      </c>
      <c r="P1449" t="str">
        <f t="shared" si="221"/>
        <v>Low</v>
      </c>
      <c r="Q1449" t="str">
        <f t="shared" si="222"/>
        <v>Low</v>
      </c>
      <c r="R1449" t="s">
        <v>3317</v>
      </c>
      <c r="S1449" s="4">
        <f t="shared" ca="1" si="223"/>
        <v>333</v>
      </c>
      <c r="T1449">
        <f t="shared" si="224"/>
        <v>1</v>
      </c>
      <c r="U1449">
        <f t="shared" si="225"/>
        <v>1</v>
      </c>
      <c r="V1449">
        <f t="shared" si="226"/>
        <v>1</v>
      </c>
      <c r="W1449">
        <f t="shared" si="227"/>
        <v>1</v>
      </c>
      <c r="X1449">
        <f t="shared" si="228"/>
        <v>0.99999999999999989</v>
      </c>
      <c r="Y1449" t="str">
        <f t="shared" si="229"/>
        <v>Healthy</v>
      </c>
    </row>
    <row r="1450" spans="1:25" x14ac:dyDescent="0.35">
      <c r="A1450" t="s">
        <v>71</v>
      </c>
      <c r="B1450" t="s">
        <v>72</v>
      </c>
      <c r="C1450" t="s">
        <v>73</v>
      </c>
      <c r="D1450" t="s">
        <v>430</v>
      </c>
      <c r="E1450">
        <v>80815785</v>
      </c>
      <c r="F1450" t="s">
        <v>1227</v>
      </c>
      <c r="G1450" s="3">
        <v>46874</v>
      </c>
      <c r="H1450">
        <v>36</v>
      </c>
      <c r="I1450">
        <v>63</v>
      </c>
      <c r="J1450">
        <v>1</v>
      </c>
      <c r="K1450" s="4">
        <v>2005.6</v>
      </c>
      <c r="L1450" s="4">
        <f>0</f>
        <v>0</v>
      </c>
      <c r="M1450" s="4">
        <f>999</f>
        <v>999</v>
      </c>
      <c r="N1450" t="s">
        <v>19</v>
      </c>
      <c r="O1450" t="str">
        <f t="shared" si="220"/>
        <v>Low</v>
      </c>
      <c r="P1450" t="str">
        <f t="shared" si="221"/>
        <v>High</v>
      </c>
      <c r="Q1450" t="str">
        <f t="shared" si="222"/>
        <v>High</v>
      </c>
      <c r="R1450" t="s">
        <v>3317</v>
      </c>
      <c r="S1450" s="4">
        <f t="shared" ca="1" si="223"/>
        <v>677</v>
      </c>
      <c r="T1450">
        <f t="shared" si="224"/>
        <v>1</v>
      </c>
      <c r="U1450">
        <f t="shared" si="225"/>
        <v>3</v>
      </c>
      <c r="V1450">
        <f t="shared" si="226"/>
        <v>3</v>
      </c>
      <c r="W1450">
        <f t="shared" si="227"/>
        <v>1</v>
      </c>
      <c r="X1450">
        <f t="shared" si="228"/>
        <v>2</v>
      </c>
      <c r="Y1450" t="str">
        <f t="shared" si="229"/>
        <v>Monitor</v>
      </c>
    </row>
    <row r="1451" spans="1:25" x14ac:dyDescent="0.35">
      <c r="A1451" t="s">
        <v>90</v>
      </c>
      <c r="B1451" t="s">
        <v>970</v>
      </c>
      <c r="C1451" t="s">
        <v>971</v>
      </c>
      <c r="D1451" t="s">
        <v>1224</v>
      </c>
      <c r="E1451">
        <v>80777728</v>
      </c>
      <c r="F1451" t="s">
        <v>1225</v>
      </c>
      <c r="G1451" s="3">
        <v>46515</v>
      </c>
      <c r="H1451">
        <v>24</v>
      </c>
      <c r="I1451">
        <v>45</v>
      </c>
      <c r="J1451">
        <v>7</v>
      </c>
      <c r="K1451" s="4">
        <v>1886.29</v>
      </c>
      <c r="L1451" s="4">
        <v>328.57142857142856</v>
      </c>
      <c r="M1451" s="4">
        <v>2.1304347826086957E-2</v>
      </c>
      <c r="N1451" t="s">
        <v>25</v>
      </c>
      <c r="O1451" t="str">
        <f t="shared" si="220"/>
        <v>Low</v>
      </c>
      <c r="P1451" t="str">
        <f t="shared" si="221"/>
        <v>Low</v>
      </c>
      <c r="Q1451" t="str">
        <f t="shared" si="222"/>
        <v>Low</v>
      </c>
      <c r="R1451" t="s">
        <v>3317</v>
      </c>
      <c r="S1451" s="4">
        <f t="shared" ca="1" si="223"/>
        <v>318</v>
      </c>
      <c r="T1451">
        <f t="shared" si="224"/>
        <v>1</v>
      </c>
      <c r="U1451">
        <f t="shared" si="225"/>
        <v>1</v>
      </c>
      <c r="V1451">
        <f t="shared" si="226"/>
        <v>1</v>
      </c>
      <c r="W1451">
        <f t="shared" si="227"/>
        <v>1</v>
      </c>
      <c r="X1451">
        <f t="shared" si="228"/>
        <v>0.99999999999999989</v>
      </c>
      <c r="Y1451" t="str">
        <f t="shared" si="229"/>
        <v>Healthy</v>
      </c>
    </row>
    <row r="1452" spans="1:25" x14ac:dyDescent="0.35">
      <c r="A1452" t="s">
        <v>71</v>
      </c>
      <c r="B1452" t="s">
        <v>72</v>
      </c>
      <c r="C1452" t="s">
        <v>1228</v>
      </c>
      <c r="D1452" t="s">
        <v>1229</v>
      </c>
      <c r="E1452">
        <v>80818465</v>
      </c>
      <c r="F1452" t="s">
        <v>1230</v>
      </c>
      <c r="G1452" s="3">
        <v>46583</v>
      </c>
      <c r="H1452">
        <v>36</v>
      </c>
      <c r="I1452">
        <v>36</v>
      </c>
      <c r="J1452">
        <v>5</v>
      </c>
      <c r="K1452" s="4">
        <v>2243.9499999999998</v>
      </c>
      <c r="L1452" s="4">
        <v>0.8571428571428571</v>
      </c>
      <c r="M1452" s="4">
        <v>5.8333333333333339</v>
      </c>
      <c r="N1452" t="s">
        <v>25</v>
      </c>
      <c r="O1452" t="str">
        <f t="shared" si="220"/>
        <v>Medium</v>
      </c>
      <c r="P1452" t="str">
        <f t="shared" si="221"/>
        <v>Medium</v>
      </c>
      <c r="Q1452" t="str">
        <f t="shared" si="222"/>
        <v>High</v>
      </c>
      <c r="R1452" t="s">
        <v>3317</v>
      </c>
      <c r="S1452" s="4">
        <f t="shared" ca="1" si="223"/>
        <v>386</v>
      </c>
      <c r="T1452">
        <f t="shared" si="224"/>
        <v>2</v>
      </c>
      <c r="U1452">
        <f t="shared" si="225"/>
        <v>2</v>
      </c>
      <c r="V1452">
        <f t="shared" si="226"/>
        <v>3</v>
      </c>
      <c r="W1452">
        <f t="shared" si="227"/>
        <v>1</v>
      </c>
      <c r="X1452">
        <f t="shared" si="228"/>
        <v>2.1</v>
      </c>
      <c r="Y1452" t="str">
        <f t="shared" si="229"/>
        <v>Monitor</v>
      </c>
    </row>
    <row r="1453" spans="1:25" x14ac:dyDescent="0.35">
      <c r="A1453" t="s">
        <v>71</v>
      </c>
      <c r="B1453" t="s">
        <v>72</v>
      </c>
      <c r="C1453" t="s">
        <v>1228</v>
      </c>
      <c r="D1453" t="s">
        <v>1229</v>
      </c>
      <c r="E1453">
        <v>80818465</v>
      </c>
      <c r="F1453" t="s">
        <v>1230</v>
      </c>
      <c r="G1453" s="3">
        <v>46709</v>
      </c>
      <c r="H1453">
        <v>36</v>
      </c>
      <c r="I1453">
        <v>48</v>
      </c>
      <c r="J1453">
        <v>2</v>
      </c>
      <c r="K1453" s="4">
        <v>897.58</v>
      </c>
      <c r="L1453" s="4">
        <v>0.8571428571428571</v>
      </c>
      <c r="M1453" s="4">
        <v>2.3333333333333335</v>
      </c>
      <c r="N1453" t="s">
        <v>25</v>
      </c>
      <c r="O1453" t="str">
        <f t="shared" si="220"/>
        <v>Low</v>
      </c>
      <c r="P1453" t="str">
        <f t="shared" si="221"/>
        <v>Low</v>
      </c>
      <c r="Q1453" t="str">
        <f t="shared" si="222"/>
        <v>High</v>
      </c>
      <c r="R1453" t="s">
        <v>3317</v>
      </c>
      <c r="S1453" s="4">
        <f t="shared" ca="1" si="223"/>
        <v>512</v>
      </c>
      <c r="T1453">
        <f t="shared" si="224"/>
        <v>1</v>
      </c>
      <c r="U1453">
        <f t="shared" si="225"/>
        <v>1</v>
      </c>
      <c r="V1453">
        <f t="shared" si="226"/>
        <v>3</v>
      </c>
      <c r="W1453">
        <f t="shared" si="227"/>
        <v>1</v>
      </c>
      <c r="X1453">
        <f t="shared" si="228"/>
        <v>1.4000000000000001</v>
      </c>
      <c r="Y1453" t="str">
        <f t="shared" si="229"/>
        <v>Healthy</v>
      </c>
    </row>
    <row r="1454" spans="1:25" x14ac:dyDescent="0.35">
      <c r="A1454" t="s">
        <v>90</v>
      </c>
      <c r="B1454" t="s">
        <v>970</v>
      </c>
      <c r="C1454" t="s">
        <v>971</v>
      </c>
      <c r="D1454" t="s">
        <v>1224</v>
      </c>
      <c r="E1454">
        <v>80777728</v>
      </c>
      <c r="F1454" t="s">
        <v>1225</v>
      </c>
      <c r="G1454" s="3">
        <v>46503</v>
      </c>
      <c r="H1454">
        <v>24</v>
      </c>
      <c r="I1454">
        <v>43</v>
      </c>
      <c r="J1454">
        <v>7</v>
      </c>
      <c r="K1454" s="4">
        <v>1886.29</v>
      </c>
      <c r="L1454" s="4">
        <v>328.57142857142856</v>
      </c>
      <c r="M1454" s="4">
        <v>2.1304347826086957E-2</v>
      </c>
      <c r="N1454" t="s">
        <v>25</v>
      </c>
      <c r="O1454" t="str">
        <f t="shared" si="220"/>
        <v>Low</v>
      </c>
      <c r="P1454" t="str">
        <f t="shared" si="221"/>
        <v>Low</v>
      </c>
      <c r="Q1454" t="str">
        <f t="shared" si="222"/>
        <v>Low</v>
      </c>
      <c r="R1454" t="s">
        <v>3317</v>
      </c>
      <c r="S1454" s="4">
        <f t="shared" ca="1" si="223"/>
        <v>306</v>
      </c>
      <c r="T1454">
        <f t="shared" si="224"/>
        <v>1</v>
      </c>
      <c r="U1454">
        <f t="shared" si="225"/>
        <v>1</v>
      </c>
      <c r="V1454">
        <f t="shared" si="226"/>
        <v>1</v>
      </c>
      <c r="W1454">
        <f t="shared" si="227"/>
        <v>1</v>
      </c>
      <c r="X1454">
        <f t="shared" si="228"/>
        <v>0.99999999999999989</v>
      </c>
      <c r="Y1454" t="str">
        <f t="shared" si="229"/>
        <v>Healthy</v>
      </c>
    </row>
    <row r="1455" spans="1:25" x14ac:dyDescent="0.35">
      <c r="A1455" t="s">
        <v>71</v>
      </c>
      <c r="B1455" t="s">
        <v>72</v>
      </c>
      <c r="C1455" t="s">
        <v>174</v>
      </c>
      <c r="D1455" t="s">
        <v>1231</v>
      </c>
      <c r="E1455">
        <v>80774667</v>
      </c>
      <c r="F1455" t="s">
        <v>1232</v>
      </c>
      <c r="G1455" s="3">
        <v>46563</v>
      </c>
      <c r="H1455">
        <v>36</v>
      </c>
      <c r="I1455">
        <v>34</v>
      </c>
      <c r="J1455">
        <v>2</v>
      </c>
      <c r="K1455" s="4">
        <v>467.46</v>
      </c>
      <c r="L1455" s="4">
        <v>1.1428571428571428</v>
      </c>
      <c r="M1455" s="4">
        <v>1.75</v>
      </c>
      <c r="N1455" t="s">
        <v>25</v>
      </c>
      <c r="O1455" t="str">
        <f t="shared" si="220"/>
        <v>Medium</v>
      </c>
      <c r="P1455" t="str">
        <f t="shared" si="221"/>
        <v>Low</v>
      </c>
      <c r="Q1455" t="str">
        <f t="shared" si="222"/>
        <v>High</v>
      </c>
      <c r="R1455" t="s">
        <v>3317</v>
      </c>
      <c r="S1455" s="4">
        <f t="shared" ca="1" si="223"/>
        <v>366</v>
      </c>
      <c r="T1455">
        <f t="shared" si="224"/>
        <v>2</v>
      </c>
      <c r="U1455">
        <f t="shared" si="225"/>
        <v>1</v>
      </c>
      <c r="V1455">
        <f t="shared" si="226"/>
        <v>3</v>
      </c>
      <c r="W1455">
        <f t="shared" si="227"/>
        <v>1</v>
      </c>
      <c r="X1455">
        <f t="shared" si="228"/>
        <v>1.8000000000000003</v>
      </c>
      <c r="Y1455" t="str">
        <f t="shared" si="229"/>
        <v>Monitor</v>
      </c>
    </row>
    <row r="1456" spans="1:25" x14ac:dyDescent="0.35">
      <c r="A1456" t="s">
        <v>41</v>
      </c>
      <c r="B1456" t="s">
        <v>42</v>
      </c>
      <c r="C1456" t="s">
        <v>365</v>
      </c>
      <c r="D1456" t="s">
        <v>378</v>
      </c>
      <c r="E1456">
        <v>80798922</v>
      </c>
      <c r="F1456" t="s">
        <v>1233</v>
      </c>
      <c r="G1456" s="3">
        <v>46618</v>
      </c>
      <c r="H1456">
        <v>36</v>
      </c>
      <c r="I1456">
        <v>39</v>
      </c>
      <c r="J1456">
        <v>1</v>
      </c>
      <c r="K1456" s="4">
        <v>177.16</v>
      </c>
      <c r="L1456" s="4">
        <f>0</f>
        <v>0</v>
      </c>
      <c r="M1456" s="4">
        <f>999</f>
        <v>999</v>
      </c>
      <c r="N1456" t="s">
        <v>19</v>
      </c>
      <c r="O1456" t="str">
        <f t="shared" si="220"/>
        <v>Medium</v>
      </c>
      <c r="P1456" t="str">
        <f t="shared" si="221"/>
        <v>High</v>
      </c>
      <c r="Q1456" t="str">
        <f t="shared" si="222"/>
        <v>High</v>
      </c>
      <c r="R1456" t="s">
        <v>3317</v>
      </c>
      <c r="S1456" s="4">
        <f t="shared" ca="1" si="223"/>
        <v>421</v>
      </c>
      <c r="T1456">
        <f t="shared" si="224"/>
        <v>2</v>
      </c>
      <c r="U1456">
        <f t="shared" si="225"/>
        <v>3</v>
      </c>
      <c r="V1456">
        <f t="shared" si="226"/>
        <v>3</v>
      </c>
      <c r="W1456">
        <f t="shared" si="227"/>
        <v>1</v>
      </c>
      <c r="X1456">
        <f t="shared" si="228"/>
        <v>2.4</v>
      </c>
      <c r="Y1456" t="str">
        <f t="shared" si="229"/>
        <v>High Priority</v>
      </c>
    </row>
    <row r="1457" spans="1:25" x14ac:dyDescent="0.35">
      <c r="A1457" t="s">
        <v>71</v>
      </c>
      <c r="B1457" t="s">
        <v>72</v>
      </c>
      <c r="C1457" t="s">
        <v>174</v>
      </c>
      <c r="D1457" t="s">
        <v>1231</v>
      </c>
      <c r="E1457">
        <v>80774667</v>
      </c>
      <c r="F1457" t="s">
        <v>1232</v>
      </c>
      <c r="G1457" s="3">
        <v>46474</v>
      </c>
      <c r="H1457">
        <v>36</v>
      </c>
      <c r="I1457">
        <v>26</v>
      </c>
      <c r="J1457">
        <v>11</v>
      </c>
      <c r="K1457" s="4">
        <v>2571.0300000000002</v>
      </c>
      <c r="L1457" s="4">
        <v>1.1428571428571428</v>
      </c>
      <c r="M1457" s="4">
        <v>9.625</v>
      </c>
      <c r="N1457" t="s">
        <v>19</v>
      </c>
      <c r="O1457" t="str">
        <f t="shared" si="220"/>
        <v>Medium</v>
      </c>
      <c r="P1457" t="str">
        <f t="shared" si="221"/>
        <v>High</v>
      </c>
      <c r="Q1457" t="str">
        <f t="shared" si="222"/>
        <v>High</v>
      </c>
      <c r="R1457" t="s">
        <v>3317</v>
      </c>
      <c r="S1457" s="4">
        <f t="shared" ca="1" si="223"/>
        <v>277</v>
      </c>
      <c r="T1457">
        <f t="shared" si="224"/>
        <v>2</v>
      </c>
      <c r="U1457">
        <f t="shared" si="225"/>
        <v>3</v>
      </c>
      <c r="V1457">
        <f t="shared" si="226"/>
        <v>3</v>
      </c>
      <c r="W1457">
        <f t="shared" si="227"/>
        <v>1</v>
      </c>
      <c r="X1457">
        <f t="shared" si="228"/>
        <v>2.4</v>
      </c>
      <c r="Y1457" t="str">
        <f t="shared" si="229"/>
        <v>High Priority</v>
      </c>
    </row>
    <row r="1458" spans="1:25" x14ac:dyDescent="0.35">
      <c r="A1458" t="s">
        <v>41</v>
      </c>
      <c r="B1458" t="s">
        <v>42</v>
      </c>
      <c r="C1458" t="s">
        <v>365</v>
      </c>
      <c r="D1458" t="s">
        <v>378</v>
      </c>
      <c r="E1458">
        <v>80798922</v>
      </c>
      <c r="F1458" t="s">
        <v>1233</v>
      </c>
      <c r="G1458" s="3">
        <v>46628</v>
      </c>
      <c r="H1458">
        <v>36</v>
      </c>
      <c r="I1458">
        <v>40</v>
      </c>
      <c r="J1458">
        <v>1</v>
      </c>
      <c r="K1458" s="4">
        <v>177.16</v>
      </c>
      <c r="L1458" s="4">
        <f>0</f>
        <v>0</v>
      </c>
      <c r="M1458" s="4">
        <f>999</f>
        <v>999</v>
      </c>
      <c r="N1458" t="s">
        <v>19</v>
      </c>
      <c r="O1458" t="str">
        <f t="shared" si="220"/>
        <v>Low</v>
      </c>
      <c r="P1458" t="str">
        <f t="shared" si="221"/>
        <v>High</v>
      </c>
      <c r="Q1458" t="str">
        <f t="shared" si="222"/>
        <v>High</v>
      </c>
      <c r="R1458" t="s">
        <v>3317</v>
      </c>
      <c r="S1458" s="4">
        <f t="shared" ca="1" si="223"/>
        <v>431</v>
      </c>
      <c r="T1458">
        <f t="shared" si="224"/>
        <v>1</v>
      </c>
      <c r="U1458">
        <f t="shared" si="225"/>
        <v>3</v>
      </c>
      <c r="V1458">
        <f t="shared" si="226"/>
        <v>3</v>
      </c>
      <c r="W1458">
        <f t="shared" si="227"/>
        <v>1</v>
      </c>
      <c r="X1458">
        <f t="shared" si="228"/>
        <v>2</v>
      </c>
      <c r="Y1458" t="str">
        <f t="shared" si="229"/>
        <v>Monitor</v>
      </c>
    </row>
    <row r="1459" spans="1:25" x14ac:dyDescent="0.35">
      <c r="A1459" t="s">
        <v>179</v>
      </c>
      <c r="B1459" t="s">
        <v>223</v>
      </c>
      <c r="C1459" t="s">
        <v>357</v>
      </c>
      <c r="D1459" t="s">
        <v>1234</v>
      </c>
      <c r="E1459">
        <v>80823652</v>
      </c>
      <c r="F1459" t="s">
        <v>1235</v>
      </c>
      <c r="G1459" s="3">
        <v>46176</v>
      </c>
      <c r="H1459">
        <v>18</v>
      </c>
      <c r="I1459">
        <v>0</v>
      </c>
      <c r="J1459">
        <v>15</v>
      </c>
      <c r="K1459" s="4">
        <v>8653.0499999999993</v>
      </c>
      <c r="L1459" s="4">
        <v>8.1428571428571423</v>
      </c>
      <c r="M1459" s="4">
        <v>1.8421052631578949</v>
      </c>
      <c r="N1459" t="s">
        <v>25</v>
      </c>
      <c r="O1459" t="str">
        <f t="shared" si="220"/>
        <v>High</v>
      </c>
      <c r="P1459" t="str">
        <f t="shared" si="221"/>
        <v>Low</v>
      </c>
      <c r="Q1459" t="str">
        <f t="shared" si="222"/>
        <v>Medium</v>
      </c>
      <c r="R1459" t="s">
        <v>3317</v>
      </c>
      <c r="S1459" s="4">
        <f t="shared" ca="1" si="223"/>
        <v>-21</v>
      </c>
      <c r="T1459">
        <f t="shared" si="224"/>
        <v>3</v>
      </c>
      <c r="U1459">
        <f t="shared" si="225"/>
        <v>1</v>
      </c>
      <c r="V1459">
        <f t="shared" si="226"/>
        <v>2</v>
      </c>
      <c r="W1459">
        <f t="shared" si="227"/>
        <v>1</v>
      </c>
      <c r="X1459">
        <f t="shared" si="228"/>
        <v>2.0000000000000004</v>
      </c>
      <c r="Y1459" t="str">
        <f t="shared" si="229"/>
        <v>Monitor</v>
      </c>
    </row>
    <row r="1460" spans="1:25" x14ac:dyDescent="0.35">
      <c r="A1460" t="s">
        <v>71</v>
      </c>
      <c r="B1460" t="s">
        <v>72</v>
      </c>
      <c r="C1460" t="s">
        <v>73</v>
      </c>
      <c r="D1460" t="s">
        <v>1236</v>
      </c>
      <c r="E1460">
        <v>80830299</v>
      </c>
      <c r="F1460" t="s">
        <v>1237</v>
      </c>
      <c r="G1460" s="3">
        <v>46591</v>
      </c>
      <c r="H1460">
        <v>36</v>
      </c>
      <c r="I1460">
        <v>37</v>
      </c>
      <c r="J1460">
        <v>167</v>
      </c>
      <c r="K1460" s="4">
        <v>84042.75</v>
      </c>
      <c r="L1460" s="4">
        <v>34.285714285714285</v>
      </c>
      <c r="M1460" s="4">
        <v>4.8708333333333336</v>
      </c>
      <c r="N1460" t="s">
        <v>25</v>
      </c>
      <c r="O1460" t="str">
        <f t="shared" si="220"/>
        <v>Medium</v>
      </c>
      <c r="P1460" t="str">
        <f t="shared" si="221"/>
        <v>Medium</v>
      </c>
      <c r="Q1460" t="str">
        <f t="shared" si="222"/>
        <v>Low</v>
      </c>
      <c r="R1460" t="s">
        <v>3310</v>
      </c>
      <c r="S1460" s="4">
        <f t="shared" ca="1" si="223"/>
        <v>394</v>
      </c>
      <c r="T1460">
        <f t="shared" si="224"/>
        <v>2</v>
      </c>
      <c r="U1460">
        <f t="shared" si="225"/>
        <v>2</v>
      </c>
      <c r="V1460">
        <f t="shared" si="226"/>
        <v>1</v>
      </c>
      <c r="W1460">
        <f t="shared" si="227"/>
        <v>2</v>
      </c>
      <c r="X1460">
        <f t="shared" si="228"/>
        <v>1.7999999999999998</v>
      </c>
      <c r="Y1460" t="str">
        <f t="shared" si="229"/>
        <v>Monitor</v>
      </c>
    </row>
    <row r="1461" spans="1:25" x14ac:dyDescent="0.35">
      <c r="A1461" t="s">
        <v>41</v>
      </c>
      <c r="B1461" t="s">
        <v>42</v>
      </c>
      <c r="C1461" t="s">
        <v>43</v>
      </c>
      <c r="D1461" t="s">
        <v>1238</v>
      </c>
      <c r="E1461">
        <v>80779005</v>
      </c>
      <c r="F1461" t="s">
        <v>1239</v>
      </c>
      <c r="G1461" s="3">
        <v>46391</v>
      </c>
      <c r="H1461">
        <v>36</v>
      </c>
      <c r="I1461">
        <v>18</v>
      </c>
      <c r="J1461">
        <v>2</v>
      </c>
      <c r="K1461" s="4">
        <v>1217.0999999999999</v>
      </c>
      <c r="L1461" s="4">
        <v>1.7142857142857142</v>
      </c>
      <c r="M1461" s="4">
        <v>1.1666666666666667</v>
      </c>
      <c r="N1461" t="s">
        <v>25</v>
      </c>
      <c r="O1461" t="str">
        <f t="shared" si="220"/>
        <v>High</v>
      </c>
      <c r="P1461" t="str">
        <f t="shared" si="221"/>
        <v>Low</v>
      </c>
      <c r="Q1461" t="str">
        <f t="shared" si="222"/>
        <v>High</v>
      </c>
      <c r="R1461" t="s">
        <v>3317</v>
      </c>
      <c r="S1461" s="4">
        <f t="shared" ca="1" si="223"/>
        <v>194</v>
      </c>
      <c r="T1461">
        <f t="shared" si="224"/>
        <v>3</v>
      </c>
      <c r="U1461">
        <f t="shared" si="225"/>
        <v>1</v>
      </c>
      <c r="V1461">
        <f t="shared" si="226"/>
        <v>3</v>
      </c>
      <c r="W1461">
        <f t="shared" si="227"/>
        <v>1</v>
      </c>
      <c r="X1461">
        <f t="shared" si="228"/>
        <v>2.2000000000000006</v>
      </c>
      <c r="Y1461" t="str">
        <f t="shared" si="229"/>
        <v>High Priority</v>
      </c>
    </row>
    <row r="1462" spans="1:25" x14ac:dyDescent="0.35">
      <c r="A1462" t="s">
        <v>29</v>
      </c>
      <c r="B1462" t="s">
        <v>30</v>
      </c>
      <c r="C1462" t="s">
        <v>147</v>
      </c>
      <c r="D1462" t="s">
        <v>1145</v>
      </c>
      <c r="E1462">
        <v>80788666</v>
      </c>
      <c r="F1462" t="s">
        <v>1240</v>
      </c>
      <c r="G1462" s="3">
        <v>46822</v>
      </c>
      <c r="H1462">
        <v>36</v>
      </c>
      <c r="I1462">
        <v>58</v>
      </c>
      <c r="J1462">
        <v>12</v>
      </c>
      <c r="K1462" s="4">
        <v>3830.28</v>
      </c>
      <c r="L1462" s="4">
        <v>22.142857142857142</v>
      </c>
      <c r="M1462" s="4">
        <v>0.54193548387096779</v>
      </c>
      <c r="N1462" t="s">
        <v>25</v>
      </c>
      <c r="O1462" t="str">
        <f t="shared" si="220"/>
        <v>Low</v>
      </c>
      <c r="P1462" t="str">
        <f t="shared" si="221"/>
        <v>Low</v>
      </c>
      <c r="Q1462" t="str">
        <f t="shared" si="222"/>
        <v>Low</v>
      </c>
      <c r="R1462" t="s">
        <v>3317</v>
      </c>
      <c r="S1462" s="4">
        <f t="shared" ca="1" si="223"/>
        <v>625</v>
      </c>
      <c r="T1462">
        <f t="shared" si="224"/>
        <v>1</v>
      </c>
      <c r="U1462">
        <f t="shared" si="225"/>
        <v>1</v>
      </c>
      <c r="V1462">
        <f t="shared" si="226"/>
        <v>1</v>
      </c>
      <c r="W1462">
        <f t="shared" si="227"/>
        <v>1</v>
      </c>
      <c r="X1462">
        <f t="shared" si="228"/>
        <v>0.99999999999999989</v>
      </c>
      <c r="Y1462" t="str">
        <f t="shared" si="229"/>
        <v>Healthy</v>
      </c>
    </row>
    <row r="1463" spans="1:25" x14ac:dyDescent="0.35">
      <c r="A1463" t="s">
        <v>41</v>
      </c>
      <c r="B1463" t="s">
        <v>42</v>
      </c>
      <c r="C1463" t="s">
        <v>43</v>
      </c>
      <c r="D1463" t="s">
        <v>1238</v>
      </c>
      <c r="E1463">
        <v>80779005</v>
      </c>
      <c r="F1463" t="s">
        <v>1239</v>
      </c>
      <c r="G1463" s="3">
        <v>46593</v>
      </c>
      <c r="H1463">
        <v>36</v>
      </c>
      <c r="I1463">
        <v>37</v>
      </c>
      <c r="J1463">
        <v>7</v>
      </c>
      <c r="K1463" s="4">
        <v>4259.8500000000004</v>
      </c>
      <c r="L1463" s="4">
        <v>1.7142857142857142</v>
      </c>
      <c r="M1463" s="4">
        <v>4.0833333333333339</v>
      </c>
      <c r="N1463" t="s">
        <v>25</v>
      </c>
      <c r="O1463" t="str">
        <f t="shared" si="220"/>
        <v>Medium</v>
      </c>
      <c r="P1463" t="str">
        <f t="shared" si="221"/>
        <v>Medium</v>
      </c>
      <c r="Q1463" t="str">
        <f t="shared" si="222"/>
        <v>High</v>
      </c>
      <c r="R1463" t="s">
        <v>3317</v>
      </c>
      <c r="S1463" s="4">
        <f t="shared" ca="1" si="223"/>
        <v>396</v>
      </c>
      <c r="T1463">
        <f t="shared" si="224"/>
        <v>2</v>
      </c>
      <c r="U1463">
        <f t="shared" si="225"/>
        <v>2</v>
      </c>
      <c r="V1463">
        <f t="shared" si="226"/>
        <v>3</v>
      </c>
      <c r="W1463">
        <f t="shared" si="227"/>
        <v>1</v>
      </c>
      <c r="X1463">
        <f t="shared" si="228"/>
        <v>2.1</v>
      </c>
      <c r="Y1463" t="str">
        <f t="shared" si="229"/>
        <v>Monitor</v>
      </c>
    </row>
    <row r="1464" spans="1:25" x14ac:dyDescent="0.35">
      <c r="A1464" t="s">
        <v>29</v>
      </c>
      <c r="B1464" t="s">
        <v>30</v>
      </c>
      <c r="C1464" t="s">
        <v>147</v>
      </c>
      <c r="D1464" t="s">
        <v>1145</v>
      </c>
      <c r="E1464">
        <v>80788666</v>
      </c>
      <c r="F1464" t="s">
        <v>1240</v>
      </c>
      <c r="G1464" s="3">
        <v>47095</v>
      </c>
      <c r="H1464">
        <v>36</v>
      </c>
      <c r="I1464">
        <v>84</v>
      </c>
      <c r="J1464">
        <v>24</v>
      </c>
      <c r="K1464" s="4">
        <v>7660.56</v>
      </c>
      <c r="L1464" s="4">
        <v>22.142857142857142</v>
      </c>
      <c r="M1464" s="4">
        <v>1.0838709677419356</v>
      </c>
      <c r="N1464" t="s">
        <v>25</v>
      </c>
      <c r="O1464" t="str">
        <f t="shared" si="220"/>
        <v>Low</v>
      </c>
      <c r="P1464" t="str">
        <f t="shared" si="221"/>
        <v>Low</v>
      </c>
      <c r="Q1464" t="str">
        <f t="shared" si="222"/>
        <v>Low</v>
      </c>
      <c r="R1464" t="s">
        <v>3317</v>
      </c>
      <c r="S1464" s="4">
        <f t="shared" ca="1" si="223"/>
        <v>898</v>
      </c>
      <c r="T1464">
        <f t="shared" si="224"/>
        <v>1</v>
      </c>
      <c r="U1464">
        <f t="shared" si="225"/>
        <v>1</v>
      </c>
      <c r="V1464">
        <f t="shared" si="226"/>
        <v>1</v>
      </c>
      <c r="W1464">
        <f t="shared" si="227"/>
        <v>1</v>
      </c>
      <c r="X1464">
        <f t="shared" si="228"/>
        <v>0.99999999999999989</v>
      </c>
      <c r="Y1464" t="str">
        <f t="shared" si="229"/>
        <v>Healthy</v>
      </c>
    </row>
    <row r="1465" spans="1:25" x14ac:dyDescent="0.35">
      <c r="A1465" t="s">
        <v>41</v>
      </c>
      <c r="B1465" t="s">
        <v>42</v>
      </c>
      <c r="C1465" t="s">
        <v>43</v>
      </c>
      <c r="D1465" t="s">
        <v>1238</v>
      </c>
      <c r="E1465">
        <v>80779005</v>
      </c>
      <c r="F1465" t="s">
        <v>1239</v>
      </c>
      <c r="G1465" s="3">
        <v>46513</v>
      </c>
      <c r="H1465">
        <v>36</v>
      </c>
      <c r="I1465">
        <v>30</v>
      </c>
      <c r="J1465">
        <v>2</v>
      </c>
      <c r="K1465" s="4">
        <v>1217.0999999999999</v>
      </c>
      <c r="L1465" s="4">
        <v>1.7142857142857142</v>
      </c>
      <c r="M1465" s="4">
        <v>1.1666666666666667</v>
      </c>
      <c r="N1465" t="s">
        <v>25</v>
      </c>
      <c r="O1465" t="str">
        <f t="shared" si="220"/>
        <v>Medium</v>
      </c>
      <c r="P1465" t="str">
        <f t="shared" si="221"/>
        <v>Low</v>
      </c>
      <c r="Q1465" t="str">
        <f t="shared" si="222"/>
        <v>High</v>
      </c>
      <c r="R1465" t="s">
        <v>3317</v>
      </c>
      <c r="S1465" s="4">
        <f t="shared" ca="1" si="223"/>
        <v>316</v>
      </c>
      <c r="T1465">
        <f t="shared" si="224"/>
        <v>2</v>
      </c>
      <c r="U1465">
        <f t="shared" si="225"/>
        <v>1</v>
      </c>
      <c r="V1465">
        <f t="shared" si="226"/>
        <v>3</v>
      </c>
      <c r="W1465">
        <f t="shared" si="227"/>
        <v>1</v>
      </c>
      <c r="X1465">
        <f t="shared" si="228"/>
        <v>1.8000000000000003</v>
      </c>
      <c r="Y1465" t="str">
        <f t="shared" si="229"/>
        <v>Monitor</v>
      </c>
    </row>
    <row r="1466" spans="1:25" x14ac:dyDescent="0.35">
      <c r="A1466" t="s">
        <v>29</v>
      </c>
      <c r="B1466" t="s">
        <v>30</v>
      </c>
      <c r="C1466" t="s">
        <v>147</v>
      </c>
      <c r="D1466" t="s">
        <v>1145</v>
      </c>
      <c r="E1466">
        <v>80788666</v>
      </c>
      <c r="F1466" t="s">
        <v>1240</v>
      </c>
      <c r="G1466" s="3">
        <v>46812</v>
      </c>
      <c r="H1466">
        <v>36</v>
      </c>
      <c r="I1466">
        <v>57</v>
      </c>
      <c r="J1466">
        <v>35</v>
      </c>
      <c r="K1466" s="4">
        <v>11171.65</v>
      </c>
      <c r="L1466" s="4">
        <v>22.142857142857142</v>
      </c>
      <c r="M1466" s="4">
        <v>1.5806451612903225</v>
      </c>
      <c r="N1466" t="s">
        <v>25</v>
      </c>
      <c r="O1466" t="str">
        <f t="shared" si="220"/>
        <v>Low</v>
      </c>
      <c r="P1466" t="str">
        <f t="shared" si="221"/>
        <v>Low</v>
      </c>
      <c r="Q1466" t="str">
        <f t="shared" si="222"/>
        <v>Low</v>
      </c>
      <c r="R1466" t="s">
        <v>3317</v>
      </c>
      <c r="S1466" s="4">
        <f t="shared" ca="1" si="223"/>
        <v>615</v>
      </c>
      <c r="T1466">
        <f t="shared" si="224"/>
        <v>1</v>
      </c>
      <c r="U1466">
        <f t="shared" si="225"/>
        <v>1</v>
      </c>
      <c r="V1466">
        <f t="shared" si="226"/>
        <v>1</v>
      </c>
      <c r="W1466">
        <f t="shared" si="227"/>
        <v>1</v>
      </c>
      <c r="X1466">
        <f t="shared" si="228"/>
        <v>0.99999999999999989</v>
      </c>
      <c r="Y1466" t="str">
        <f t="shared" si="229"/>
        <v>Healthy</v>
      </c>
    </row>
    <row r="1467" spans="1:25" x14ac:dyDescent="0.35">
      <c r="A1467" t="s">
        <v>71</v>
      </c>
      <c r="B1467" t="s">
        <v>72</v>
      </c>
      <c r="C1467" t="s">
        <v>320</v>
      </c>
      <c r="D1467" t="s">
        <v>341</v>
      </c>
      <c r="E1467">
        <v>80774709</v>
      </c>
      <c r="F1467" t="s">
        <v>1241</v>
      </c>
      <c r="G1467" s="3">
        <v>46699</v>
      </c>
      <c r="H1467">
        <v>36</v>
      </c>
      <c r="I1467">
        <v>47</v>
      </c>
      <c r="J1467">
        <v>10303</v>
      </c>
      <c r="K1467" s="4">
        <v>115393.60000000001</v>
      </c>
      <c r="L1467" s="4">
        <v>1335.1428571428571</v>
      </c>
      <c r="M1467" s="4">
        <v>7.7167772309009202</v>
      </c>
      <c r="N1467" t="s">
        <v>19</v>
      </c>
      <c r="O1467" t="str">
        <f t="shared" si="220"/>
        <v>Low</v>
      </c>
      <c r="P1467" t="str">
        <f t="shared" si="221"/>
        <v>Medium</v>
      </c>
      <c r="Q1467" t="str">
        <f t="shared" si="222"/>
        <v>Low</v>
      </c>
      <c r="R1467" t="s">
        <v>3310</v>
      </c>
      <c r="S1467" s="4">
        <f t="shared" ca="1" si="223"/>
        <v>502</v>
      </c>
      <c r="T1467">
        <f t="shared" si="224"/>
        <v>1</v>
      </c>
      <c r="U1467">
        <f t="shared" si="225"/>
        <v>2</v>
      </c>
      <c r="V1467">
        <f t="shared" si="226"/>
        <v>1</v>
      </c>
      <c r="W1467">
        <f t="shared" si="227"/>
        <v>2</v>
      </c>
      <c r="X1467">
        <f t="shared" si="228"/>
        <v>1.4</v>
      </c>
      <c r="Y1467" t="str">
        <f t="shared" si="229"/>
        <v>Healthy</v>
      </c>
    </row>
    <row r="1468" spans="1:25" x14ac:dyDescent="0.35">
      <c r="A1468" t="s">
        <v>71</v>
      </c>
      <c r="B1468" t="s">
        <v>72</v>
      </c>
      <c r="C1468" t="s">
        <v>320</v>
      </c>
      <c r="D1468" t="s">
        <v>341</v>
      </c>
      <c r="E1468">
        <v>80774709</v>
      </c>
      <c r="F1468" t="s">
        <v>1241</v>
      </c>
      <c r="G1468" s="3">
        <v>46700</v>
      </c>
      <c r="H1468">
        <v>36</v>
      </c>
      <c r="I1468">
        <v>47</v>
      </c>
      <c r="J1468">
        <v>15858</v>
      </c>
      <c r="K1468" s="4">
        <v>177609.60000000001</v>
      </c>
      <c r="L1468" s="4">
        <v>1335.1428571428571</v>
      </c>
      <c r="M1468" s="4">
        <v>11.877380697624652</v>
      </c>
      <c r="N1468" t="s">
        <v>19</v>
      </c>
      <c r="O1468" t="str">
        <f t="shared" si="220"/>
        <v>Low</v>
      </c>
      <c r="P1468" t="str">
        <f t="shared" si="221"/>
        <v>High</v>
      </c>
      <c r="Q1468" t="str">
        <f t="shared" si="222"/>
        <v>Low</v>
      </c>
      <c r="R1468" t="s">
        <v>3309</v>
      </c>
      <c r="S1468" s="4">
        <f t="shared" ca="1" si="223"/>
        <v>503</v>
      </c>
      <c r="T1468">
        <f t="shared" si="224"/>
        <v>1</v>
      </c>
      <c r="U1468">
        <f t="shared" si="225"/>
        <v>3</v>
      </c>
      <c r="V1468">
        <f t="shared" si="226"/>
        <v>1</v>
      </c>
      <c r="W1468">
        <f t="shared" si="227"/>
        <v>3</v>
      </c>
      <c r="X1468">
        <f t="shared" si="228"/>
        <v>1.7999999999999998</v>
      </c>
      <c r="Y1468" t="str">
        <f t="shared" si="229"/>
        <v>Monitor</v>
      </c>
    </row>
    <row r="1469" spans="1:25" x14ac:dyDescent="0.35">
      <c r="A1469" t="s">
        <v>29</v>
      </c>
      <c r="B1469" t="s">
        <v>30</v>
      </c>
      <c r="C1469" t="s">
        <v>147</v>
      </c>
      <c r="D1469" t="s">
        <v>1145</v>
      </c>
      <c r="E1469">
        <v>80788666</v>
      </c>
      <c r="F1469" t="s">
        <v>1240</v>
      </c>
      <c r="G1469" s="3">
        <v>47192</v>
      </c>
      <c r="H1469">
        <v>36</v>
      </c>
      <c r="I1469">
        <v>93</v>
      </c>
      <c r="J1469">
        <v>60</v>
      </c>
      <c r="K1469" s="4">
        <v>19151.400000000001</v>
      </c>
      <c r="L1469" s="4">
        <v>22.142857142857142</v>
      </c>
      <c r="M1469" s="4">
        <v>2.709677419354839</v>
      </c>
      <c r="N1469" t="s">
        <v>25</v>
      </c>
      <c r="O1469" t="str">
        <f t="shared" si="220"/>
        <v>Low</v>
      </c>
      <c r="P1469" t="str">
        <f t="shared" si="221"/>
        <v>Low</v>
      </c>
      <c r="Q1469" t="str">
        <f t="shared" si="222"/>
        <v>Low</v>
      </c>
      <c r="R1469" t="s">
        <v>3317</v>
      </c>
      <c r="S1469" s="4">
        <f t="shared" ca="1" si="223"/>
        <v>995</v>
      </c>
      <c r="T1469">
        <f t="shared" si="224"/>
        <v>1</v>
      </c>
      <c r="U1469">
        <f t="shared" si="225"/>
        <v>1</v>
      </c>
      <c r="V1469">
        <f t="shared" si="226"/>
        <v>1</v>
      </c>
      <c r="W1469">
        <f t="shared" si="227"/>
        <v>1</v>
      </c>
      <c r="X1469">
        <f t="shared" si="228"/>
        <v>0.99999999999999989</v>
      </c>
      <c r="Y1469" t="str">
        <f t="shared" si="229"/>
        <v>Healthy</v>
      </c>
    </row>
    <row r="1470" spans="1:25" x14ac:dyDescent="0.35">
      <c r="A1470" t="s">
        <v>71</v>
      </c>
      <c r="B1470" t="s">
        <v>72</v>
      </c>
      <c r="C1470" t="s">
        <v>320</v>
      </c>
      <c r="D1470" t="s">
        <v>341</v>
      </c>
      <c r="E1470">
        <v>80774709</v>
      </c>
      <c r="F1470" t="s">
        <v>1241</v>
      </c>
      <c r="G1470" s="3">
        <v>46698</v>
      </c>
      <c r="H1470">
        <v>36</v>
      </c>
      <c r="I1470">
        <v>47</v>
      </c>
      <c r="J1470">
        <v>14161</v>
      </c>
      <c r="K1470" s="4">
        <v>158603.20000000001</v>
      </c>
      <c r="L1470" s="4">
        <v>1335.1428571428571</v>
      </c>
      <c r="M1470" s="4">
        <v>10.606355660175476</v>
      </c>
      <c r="N1470" t="s">
        <v>19</v>
      </c>
      <c r="O1470" t="str">
        <f t="shared" si="220"/>
        <v>Low</v>
      </c>
      <c r="P1470" t="str">
        <f t="shared" si="221"/>
        <v>High</v>
      </c>
      <c r="Q1470" t="str">
        <f t="shared" si="222"/>
        <v>Low</v>
      </c>
      <c r="R1470" t="s">
        <v>3309</v>
      </c>
      <c r="S1470" s="4">
        <f t="shared" ca="1" si="223"/>
        <v>501</v>
      </c>
      <c r="T1470">
        <f t="shared" si="224"/>
        <v>1</v>
      </c>
      <c r="U1470">
        <f t="shared" si="225"/>
        <v>3</v>
      </c>
      <c r="V1470">
        <f t="shared" si="226"/>
        <v>1</v>
      </c>
      <c r="W1470">
        <f t="shared" si="227"/>
        <v>3</v>
      </c>
      <c r="X1470">
        <f t="shared" si="228"/>
        <v>1.7999999999999998</v>
      </c>
      <c r="Y1470" t="str">
        <f t="shared" si="229"/>
        <v>Monitor</v>
      </c>
    </row>
    <row r="1471" spans="1:25" x14ac:dyDescent="0.35">
      <c r="A1471" t="s">
        <v>90</v>
      </c>
      <c r="B1471" t="s">
        <v>217</v>
      </c>
      <c r="C1471" t="s">
        <v>542</v>
      </c>
      <c r="D1471" t="s">
        <v>1242</v>
      </c>
      <c r="E1471">
        <v>80825629</v>
      </c>
      <c r="F1471" t="s">
        <v>1243</v>
      </c>
      <c r="G1471" s="3">
        <v>46244</v>
      </c>
      <c r="H1471">
        <v>24</v>
      </c>
      <c r="I1471">
        <v>7</v>
      </c>
      <c r="J1471">
        <v>4</v>
      </c>
      <c r="K1471" s="4">
        <v>572.88</v>
      </c>
      <c r="L1471" s="4">
        <f>0</f>
        <v>0</v>
      </c>
      <c r="M1471" s="4">
        <f>999</f>
        <v>999</v>
      </c>
      <c r="N1471" t="s">
        <v>19</v>
      </c>
      <c r="O1471" t="str">
        <f t="shared" si="220"/>
        <v>High</v>
      </c>
      <c r="P1471" t="str">
        <f t="shared" si="221"/>
        <v>High</v>
      </c>
      <c r="Q1471" t="str">
        <f t="shared" si="222"/>
        <v>High</v>
      </c>
      <c r="R1471" t="s">
        <v>3317</v>
      </c>
      <c r="S1471" s="4">
        <f t="shared" ca="1" si="223"/>
        <v>47</v>
      </c>
      <c r="T1471">
        <f t="shared" si="224"/>
        <v>3</v>
      </c>
      <c r="U1471">
        <f t="shared" si="225"/>
        <v>3</v>
      </c>
      <c r="V1471">
        <f t="shared" si="226"/>
        <v>3</v>
      </c>
      <c r="W1471">
        <f t="shared" si="227"/>
        <v>1</v>
      </c>
      <c r="X1471">
        <f t="shared" si="228"/>
        <v>2.8000000000000003</v>
      </c>
      <c r="Y1471" t="str">
        <f t="shared" si="229"/>
        <v>Move Immediately</v>
      </c>
    </row>
    <row r="1472" spans="1:25" x14ac:dyDescent="0.35">
      <c r="A1472" t="s">
        <v>90</v>
      </c>
      <c r="B1472" t="s">
        <v>217</v>
      </c>
      <c r="C1472" t="s">
        <v>542</v>
      </c>
      <c r="D1472" t="s">
        <v>1242</v>
      </c>
      <c r="E1472">
        <v>80825629</v>
      </c>
      <c r="F1472" t="s">
        <v>1243</v>
      </c>
      <c r="G1472" s="3">
        <v>46246</v>
      </c>
      <c r="H1472">
        <v>24</v>
      </c>
      <c r="I1472">
        <v>8</v>
      </c>
      <c r="J1472">
        <v>13</v>
      </c>
      <c r="K1472" s="4">
        <v>1861.86</v>
      </c>
      <c r="L1472" s="4">
        <f>0</f>
        <v>0</v>
      </c>
      <c r="M1472" s="4">
        <f>999</f>
        <v>999</v>
      </c>
      <c r="N1472" t="s">
        <v>19</v>
      </c>
      <c r="O1472" t="str">
        <f t="shared" si="220"/>
        <v>High</v>
      </c>
      <c r="P1472" t="str">
        <f t="shared" si="221"/>
        <v>High</v>
      </c>
      <c r="Q1472" t="str">
        <f t="shared" si="222"/>
        <v>High</v>
      </c>
      <c r="R1472" t="s">
        <v>3317</v>
      </c>
      <c r="S1472" s="4">
        <f t="shared" ca="1" si="223"/>
        <v>49</v>
      </c>
      <c r="T1472">
        <f t="shared" si="224"/>
        <v>3</v>
      </c>
      <c r="U1472">
        <f t="shared" si="225"/>
        <v>3</v>
      </c>
      <c r="V1472">
        <f t="shared" si="226"/>
        <v>3</v>
      </c>
      <c r="W1472">
        <f t="shared" si="227"/>
        <v>1</v>
      </c>
      <c r="X1472">
        <f t="shared" si="228"/>
        <v>2.8000000000000003</v>
      </c>
      <c r="Y1472" t="str">
        <f t="shared" si="229"/>
        <v>Move Immediately</v>
      </c>
    </row>
    <row r="1473" spans="1:25" x14ac:dyDescent="0.35">
      <c r="A1473" t="s">
        <v>90</v>
      </c>
      <c r="B1473" t="s">
        <v>217</v>
      </c>
      <c r="C1473" t="s">
        <v>542</v>
      </c>
      <c r="D1473" t="s">
        <v>1242</v>
      </c>
      <c r="E1473">
        <v>80825629</v>
      </c>
      <c r="F1473" t="s">
        <v>1243</v>
      </c>
      <c r="G1473" s="3">
        <v>46209</v>
      </c>
      <c r="H1473">
        <v>24</v>
      </c>
      <c r="I1473">
        <v>2</v>
      </c>
      <c r="J1473">
        <v>6</v>
      </c>
      <c r="K1473" s="4">
        <v>859.32</v>
      </c>
      <c r="L1473" s="4">
        <f>0</f>
        <v>0</v>
      </c>
      <c r="M1473" s="4">
        <f>999</f>
        <v>999</v>
      </c>
      <c r="N1473" t="s">
        <v>19</v>
      </c>
      <c r="O1473" t="str">
        <f t="shared" si="220"/>
        <v>High</v>
      </c>
      <c r="P1473" t="str">
        <f t="shared" si="221"/>
        <v>High</v>
      </c>
      <c r="Q1473" t="str">
        <f t="shared" si="222"/>
        <v>High</v>
      </c>
      <c r="R1473" t="s">
        <v>3317</v>
      </c>
      <c r="S1473" s="4">
        <f t="shared" ca="1" si="223"/>
        <v>12</v>
      </c>
      <c r="T1473">
        <f t="shared" si="224"/>
        <v>3</v>
      </c>
      <c r="U1473">
        <f t="shared" si="225"/>
        <v>3</v>
      </c>
      <c r="V1473">
        <f t="shared" si="226"/>
        <v>3</v>
      </c>
      <c r="W1473">
        <f t="shared" si="227"/>
        <v>1</v>
      </c>
      <c r="X1473">
        <f t="shared" si="228"/>
        <v>2.8000000000000003</v>
      </c>
      <c r="Y1473" t="str">
        <f t="shared" si="229"/>
        <v>Move Immediately</v>
      </c>
    </row>
    <row r="1474" spans="1:25" x14ac:dyDescent="0.35">
      <c r="A1474" t="s">
        <v>90</v>
      </c>
      <c r="B1474" t="s">
        <v>217</v>
      </c>
      <c r="C1474" t="s">
        <v>542</v>
      </c>
      <c r="D1474" t="s">
        <v>1242</v>
      </c>
      <c r="E1474">
        <v>80825629</v>
      </c>
      <c r="F1474" t="s">
        <v>1243</v>
      </c>
      <c r="G1474" s="3">
        <v>46284</v>
      </c>
      <c r="H1474">
        <v>24</v>
      </c>
      <c r="I1474">
        <v>13</v>
      </c>
      <c r="J1474">
        <v>11</v>
      </c>
      <c r="K1474" s="4">
        <v>1575.42</v>
      </c>
      <c r="L1474" s="4">
        <f>0</f>
        <v>0</v>
      </c>
      <c r="M1474" s="4">
        <f>999</f>
        <v>999</v>
      </c>
      <c r="N1474" t="s">
        <v>19</v>
      </c>
      <c r="O1474" t="str">
        <f t="shared" si="220"/>
        <v>High</v>
      </c>
      <c r="P1474" t="str">
        <f t="shared" si="221"/>
        <v>High</v>
      </c>
      <c r="Q1474" t="str">
        <f t="shared" si="222"/>
        <v>High</v>
      </c>
      <c r="R1474" t="s">
        <v>3317</v>
      </c>
      <c r="S1474" s="4">
        <f t="shared" ca="1" si="223"/>
        <v>87</v>
      </c>
      <c r="T1474">
        <f t="shared" si="224"/>
        <v>3</v>
      </c>
      <c r="U1474">
        <f t="shared" si="225"/>
        <v>3</v>
      </c>
      <c r="V1474">
        <f t="shared" si="226"/>
        <v>3</v>
      </c>
      <c r="W1474">
        <f t="shared" si="227"/>
        <v>1</v>
      </c>
      <c r="X1474">
        <f t="shared" si="228"/>
        <v>2.8000000000000003</v>
      </c>
      <c r="Y1474" t="str">
        <f t="shared" si="229"/>
        <v>Move Immediately</v>
      </c>
    </row>
    <row r="1475" spans="1:25" x14ac:dyDescent="0.35">
      <c r="A1475" t="s">
        <v>90</v>
      </c>
      <c r="B1475" t="s">
        <v>91</v>
      </c>
      <c r="C1475" t="s">
        <v>478</v>
      </c>
      <c r="D1475" t="s">
        <v>917</v>
      </c>
      <c r="E1475">
        <v>80814758</v>
      </c>
      <c r="F1475" t="s">
        <v>1244</v>
      </c>
      <c r="G1475" s="3">
        <v>46233</v>
      </c>
      <c r="H1475">
        <v>24</v>
      </c>
      <c r="I1475">
        <v>6</v>
      </c>
      <c r="J1475">
        <v>6</v>
      </c>
      <c r="K1475" s="4">
        <v>757.86</v>
      </c>
      <c r="L1475" s="4">
        <v>898.71428571428567</v>
      </c>
      <c r="M1475" s="4">
        <v>6.6762041010968052E-3</v>
      </c>
      <c r="N1475" t="s">
        <v>25</v>
      </c>
      <c r="O1475" t="str">
        <f t="shared" ref="O1475:O1538" si="230">IF(I1475&lt;20,"High",IF(I1475&lt;40,"Medium","Low"))</f>
        <v>High</v>
      </c>
      <c r="P1475" t="str">
        <f t="shared" ref="P1475:P1538" si="231">IF(M1475&gt;8,"High",IF(M1475&gt;4,"Medium","Low"))</f>
        <v>Low</v>
      </c>
      <c r="Q1475" t="str">
        <f t="shared" ref="Q1475:Q1538" si="232">IF(L1475&lt;5,"High",IF(L1475&lt;15,"Medium","Low"))</f>
        <v>Low</v>
      </c>
      <c r="R1475" t="s">
        <v>3317</v>
      </c>
      <c r="S1475" s="4">
        <f t="shared" ref="S1475:S1538" ca="1" si="233">G1475-TODAY()</f>
        <v>36</v>
      </c>
      <c r="T1475">
        <f t="shared" ref="T1475:T1538" si="234">IF(O1475="High",3,IF(O1475="Medium",2,1))</f>
        <v>3</v>
      </c>
      <c r="U1475">
        <f t="shared" ref="U1475:U1538" si="235">IF(P1475="High",3,IF(P1475="Medium",2,1))</f>
        <v>1</v>
      </c>
      <c r="V1475">
        <f t="shared" ref="V1475:V1538" si="236">IF(Q1475="High",3,IF(Q1475="Medium",2,1))</f>
        <v>1</v>
      </c>
      <c r="W1475">
        <f t="shared" ref="W1475:W1538" si="237">IF(R1475="High",3,IF(R1475="Medium",2,1))</f>
        <v>1</v>
      </c>
      <c r="X1475">
        <f t="shared" ref="X1475:X1538" si="238">(0.4*T1475)+(0.3*U1475)+(0.2*V1475)+(0.1*W1475)</f>
        <v>1.8000000000000003</v>
      </c>
      <c r="Y1475" t="str">
        <f t="shared" ref="Y1475:Y1538" si="239">IF(X1475&gt;=2.7,"Move Immediately",IF(X1475&gt;=2.2,"High Priority",IF(X1475&gt;=1.7,"Monitor","Healthy")))</f>
        <v>Monitor</v>
      </c>
    </row>
    <row r="1476" spans="1:25" x14ac:dyDescent="0.35">
      <c r="A1476" t="s">
        <v>90</v>
      </c>
      <c r="B1476" t="s">
        <v>91</v>
      </c>
      <c r="C1476" t="s">
        <v>478</v>
      </c>
      <c r="D1476" t="s">
        <v>917</v>
      </c>
      <c r="E1476">
        <v>80814758</v>
      </c>
      <c r="F1476" t="s">
        <v>1244</v>
      </c>
      <c r="G1476" s="3">
        <v>47046</v>
      </c>
      <c r="H1476">
        <v>24</v>
      </c>
      <c r="I1476">
        <v>100</v>
      </c>
      <c r="J1476">
        <v>1</v>
      </c>
      <c r="K1476" s="4">
        <v>72</v>
      </c>
      <c r="L1476" s="4">
        <v>898.71428571428567</v>
      </c>
      <c r="M1476" s="4">
        <v>1.1127006835161342E-3</v>
      </c>
      <c r="N1476" t="s">
        <v>25</v>
      </c>
      <c r="O1476" t="str">
        <f t="shared" si="230"/>
        <v>Low</v>
      </c>
      <c r="P1476" t="str">
        <f t="shared" si="231"/>
        <v>Low</v>
      </c>
      <c r="Q1476" t="str">
        <f t="shared" si="232"/>
        <v>Low</v>
      </c>
      <c r="R1476" t="s">
        <v>3317</v>
      </c>
      <c r="S1476" s="4">
        <f t="shared" ca="1" si="233"/>
        <v>849</v>
      </c>
      <c r="T1476">
        <f t="shared" si="234"/>
        <v>1</v>
      </c>
      <c r="U1476">
        <f t="shared" si="235"/>
        <v>1</v>
      </c>
      <c r="V1476">
        <f t="shared" si="236"/>
        <v>1</v>
      </c>
      <c r="W1476">
        <f t="shared" si="237"/>
        <v>1</v>
      </c>
      <c r="X1476">
        <f t="shared" si="238"/>
        <v>0.99999999999999989</v>
      </c>
      <c r="Y1476" t="str">
        <f t="shared" si="239"/>
        <v>Healthy</v>
      </c>
    </row>
    <row r="1477" spans="1:25" x14ac:dyDescent="0.35">
      <c r="A1477" t="s">
        <v>90</v>
      </c>
      <c r="B1477" t="s">
        <v>91</v>
      </c>
      <c r="C1477" t="s">
        <v>478</v>
      </c>
      <c r="D1477" t="s">
        <v>917</v>
      </c>
      <c r="E1477">
        <v>80814758</v>
      </c>
      <c r="F1477" t="s">
        <v>1244</v>
      </c>
      <c r="G1477" s="3">
        <v>46684</v>
      </c>
      <c r="H1477">
        <v>24</v>
      </c>
      <c r="I1477">
        <v>68</v>
      </c>
      <c r="J1477">
        <v>42</v>
      </c>
      <c r="K1477" s="4">
        <v>3024</v>
      </c>
      <c r="L1477" s="4">
        <v>898.71428571428567</v>
      </c>
      <c r="M1477" s="4">
        <v>4.6733428707677639E-2</v>
      </c>
      <c r="N1477" t="s">
        <v>25</v>
      </c>
      <c r="O1477" t="str">
        <f t="shared" si="230"/>
        <v>Low</v>
      </c>
      <c r="P1477" t="str">
        <f t="shared" si="231"/>
        <v>Low</v>
      </c>
      <c r="Q1477" t="str">
        <f t="shared" si="232"/>
        <v>Low</v>
      </c>
      <c r="R1477" t="s">
        <v>3317</v>
      </c>
      <c r="S1477" s="4">
        <f t="shared" ca="1" si="233"/>
        <v>487</v>
      </c>
      <c r="T1477">
        <f t="shared" si="234"/>
        <v>1</v>
      </c>
      <c r="U1477">
        <f t="shared" si="235"/>
        <v>1</v>
      </c>
      <c r="V1477">
        <f t="shared" si="236"/>
        <v>1</v>
      </c>
      <c r="W1477">
        <f t="shared" si="237"/>
        <v>1</v>
      </c>
      <c r="X1477">
        <f t="shared" si="238"/>
        <v>0.99999999999999989</v>
      </c>
      <c r="Y1477" t="str">
        <f t="shared" si="239"/>
        <v>Healthy</v>
      </c>
    </row>
    <row r="1478" spans="1:25" x14ac:dyDescent="0.35">
      <c r="A1478" t="s">
        <v>90</v>
      </c>
      <c r="B1478" t="s">
        <v>217</v>
      </c>
      <c r="C1478" t="s">
        <v>542</v>
      </c>
      <c r="D1478" t="s">
        <v>1245</v>
      </c>
      <c r="E1478">
        <v>80832439</v>
      </c>
      <c r="F1478" t="s">
        <v>1246</v>
      </c>
      <c r="G1478" s="3">
        <v>46843</v>
      </c>
      <c r="H1478">
        <v>24</v>
      </c>
      <c r="I1478">
        <v>90</v>
      </c>
      <c r="J1478">
        <v>524</v>
      </c>
      <c r="K1478" s="4">
        <v>151587.96</v>
      </c>
      <c r="L1478" s="4">
        <v>4.2857142857142856</v>
      </c>
      <c r="M1478" s="4">
        <v>122.26666666666667</v>
      </c>
      <c r="N1478" t="s">
        <v>19</v>
      </c>
      <c r="O1478" t="str">
        <f t="shared" si="230"/>
        <v>Low</v>
      </c>
      <c r="P1478" t="str">
        <f t="shared" si="231"/>
        <v>High</v>
      </c>
      <c r="Q1478" t="str">
        <f t="shared" si="232"/>
        <v>High</v>
      </c>
      <c r="R1478" t="s">
        <v>3309</v>
      </c>
      <c r="S1478" s="4">
        <f t="shared" ca="1" si="233"/>
        <v>646</v>
      </c>
      <c r="T1478">
        <f t="shared" si="234"/>
        <v>1</v>
      </c>
      <c r="U1478">
        <f t="shared" si="235"/>
        <v>3</v>
      </c>
      <c r="V1478">
        <f t="shared" si="236"/>
        <v>3</v>
      </c>
      <c r="W1478">
        <f t="shared" si="237"/>
        <v>3</v>
      </c>
      <c r="X1478">
        <f t="shared" si="238"/>
        <v>2.2000000000000002</v>
      </c>
      <c r="Y1478" t="str">
        <f t="shared" si="239"/>
        <v>High Priority</v>
      </c>
    </row>
    <row r="1479" spans="1:25" x14ac:dyDescent="0.35">
      <c r="A1479" t="s">
        <v>90</v>
      </c>
      <c r="B1479" t="s">
        <v>91</v>
      </c>
      <c r="C1479" t="s">
        <v>92</v>
      </c>
      <c r="D1479" t="s">
        <v>1247</v>
      </c>
      <c r="E1479">
        <v>80830246</v>
      </c>
      <c r="F1479" t="s">
        <v>1248</v>
      </c>
      <c r="G1479" s="3">
        <v>46881</v>
      </c>
      <c r="H1479">
        <v>24</v>
      </c>
      <c r="I1479">
        <v>96</v>
      </c>
      <c r="J1479">
        <v>87</v>
      </c>
      <c r="K1479" s="4">
        <v>25641.51</v>
      </c>
      <c r="L1479" s="4">
        <v>8653</v>
      </c>
      <c r="M1479" s="4">
        <v>1.0054316422050156E-2</v>
      </c>
      <c r="N1479" t="s">
        <v>25</v>
      </c>
      <c r="O1479" t="str">
        <f t="shared" si="230"/>
        <v>Low</v>
      </c>
      <c r="P1479" t="str">
        <f t="shared" si="231"/>
        <v>Low</v>
      </c>
      <c r="Q1479" t="str">
        <f t="shared" si="232"/>
        <v>Low</v>
      </c>
      <c r="R1479" t="s">
        <v>3317</v>
      </c>
      <c r="S1479" s="4">
        <f t="shared" ca="1" si="233"/>
        <v>684</v>
      </c>
      <c r="T1479">
        <f t="shared" si="234"/>
        <v>1</v>
      </c>
      <c r="U1479">
        <f t="shared" si="235"/>
        <v>1</v>
      </c>
      <c r="V1479">
        <f t="shared" si="236"/>
        <v>1</v>
      </c>
      <c r="W1479">
        <f t="shared" si="237"/>
        <v>1</v>
      </c>
      <c r="X1479">
        <f t="shared" si="238"/>
        <v>0.99999999999999989</v>
      </c>
      <c r="Y1479" t="str">
        <f t="shared" si="239"/>
        <v>Healthy</v>
      </c>
    </row>
    <row r="1480" spans="1:25" x14ac:dyDescent="0.35">
      <c r="A1480" t="s">
        <v>90</v>
      </c>
      <c r="B1480" t="s">
        <v>91</v>
      </c>
      <c r="C1480" t="s">
        <v>92</v>
      </c>
      <c r="D1480" t="s">
        <v>1247</v>
      </c>
      <c r="E1480">
        <v>80830246</v>
      </c>
      <c r="F1480" t="s">
        <v>1248</v>
      </c>
      <c r="G1480" s="3">
        <v>46866</v>
      </c>
      <c r="H1480">
        <v>24</v>
      </c>
      <c r="I1480">
        <v>94</v>
      </c>
      <c r="J1480">
        <v>441</v>
      </c>
      <c r="K1480" s="4">
        <v>129975.93</v>
      </c>
      <c r="L1480" s="4">
        <v>8653</v>
      </c>
      <c r="M1480" s="4">
        <v>5.0964983242805961E-2</v>
      </c>
      <c r="N1480" t="s">
        <v>25</v>
      </c>
      <c r="O1480" t="str">
        <f t="shared" si="230"/>
        <v>Low</v>
      </c>
      <c r="P1480" t="str">
        <f t="shared" si="231"/>
        <v>Low</v>
      </c>
      <c r="Q1480" t="str">
        <f t="shared" si="232"/>
        <v>Low</v>
      </c>
      <c r="R1480" t="s">
        <v>3310</v>
      </c>
      <c r="S1480" s="4">
        <f t="shared" ca="1" si="233"/>
        <v>669</v>
      </c>
      <c r="T1480">
        <f t="shared" si="234"/>
        <v>1</v>
      </c>
      <c r="U1480">
        <f t="shared" si="235"/>
        <v>1</v>
      </c>
      <c r="V1480">
        <f t="shared" si="236"/>
        <v>1</v>
      </c>
      <c r="W1480">
        <f t="shared" si="237"/>
        <v>2</v>
      </c>
      <c r="X1480">
        <f t="shared" si="238"/>
        <v>1.0999999999999999</v>
      </c>
      <c r="Y1480" t="str">
        <f t="shared" si="239"/>
        <v>Healthy</v>
      </c>
    </row>
    <row r="1481" spans="1:25" x14ac:dyDescent="0.35">
      <c r="A1481" t="s">
        <v>90</v>
      </c>
      <c r="B1481" t="s">
        <v>91</v>
      </c>
      <c r="C1481" t="s">
        <v>92</v>
      </c>
      <c r="D1481" t="s">
        <v>1247</v>
      </c>
      <c r="E1481">
        <v>80830246</v>
      </c>
      <c r="F1481" t="s">
        <v>1248</v>
      </c>
      <c r="G1481" s="3">
        <v>46897</v>
      </c>
      <c r="H1481">
        <v>24</v>
      </c>
      <c r="I1481">
        <v>98</v>
      </c>
      <c r="J1481">
        <v>469</v>
      </c>
      <c r="K1481" s="4">
        <v>138228.37</v>
      </c>
      <c r="L1481" s="4">
        <v>8653</v>
      </c>
      <c r="M1481" s="4">
        <v>5.4200855194730155E-2</v>
      </c>
      <c r="N1481" t="s">
        <v>25</v>
      </c>
      <c r="O1481" t="str">
        <f t="shared" si="230"/>
        <v>Low</v>
      </c>
      <c r="P1481" t="str">
        <f t="shared" si="231"/>
        <v>Low</v>
      </c>
      <c r="Q1481" t="str">
        <f t="shared" si="232"/>
        <v>Low</v>
      </c>
      <c r="R1481" t="s">
        <v>3309</v>
      </c>
      <c r="S1481" s="4">
        <f t="shared" ca="1" si="233"/>
        <v>700</v>
      </c>
      <c r="T1481">
        <f t="shared" si="234"/>
        <v>1</v>
      </c>
      <c r="U1481">
        <f t="shared" si="235"/>
        <v>1</v>
      </c>
      <c r="V1481">
        <f t="shared" si="236"/>
        <v>1</v>
      </c>
      <c r="W1481">
        <f t="shared" si="237"/>
        <v>3</v>
      </c>
      <c r="X1481">
        <f t="shared" si="238"/>
        <v>1.2</v>
      </c>
      <c r="Y1481" t="str">
        <f t="shared" si="239"/>
        <v>Healthy</v>
      </c>
    </row>
    <row r="1482" spans="1:25" x14ac:dyDescent="0.35">
      <c r="A1482" t="s">
        <v>90</v>
      </c>
      <c r="B1482" t="s">
        <v>91</v>
      </c>
      <c r="C1482" t="s">
        <v>92</v>
      </c>
      <c r="D1482" t="s">
        <v>1247</v>
      </c>
      <c r="E1482">
        <v>80830246</v>
      </c>
      <c r="F1482" t="s">
        <v>1248</v>
      </c>
      <c r="G1482" s="3">
        <v>46880</v>
      </c>
      <c r="H1482">
        <v>24</v>
      </c>
      <c r="I1482">
        <v>96</v>
      </c>
      <c r="J1482">
        <v>496</v>
      </c>
      <c r="K1482" s="4">
        <v>146186.07999999999</v>
      </c>
      <c r="L1482" s="4">
        <v>8653</v>
      </c>
      <c r="M1482" s="4">
        <v>5.7321160291228475E-2</v>
      </c>
      <c r="N1482" t="s">
        <v>25</v>
      </c>
      <c r="O1482" t="str">
        <f t="shared" si="230"/>
        <v>Low</v>
      </c>
      <c r="P1482" t="str">
        <f t="shared" si="231"/>
        <v>Low</v>
      </c>
      <c r="Q1482" t="str">
        <f t="shared" si="232"/>
        <v>Low</v>
      </c>
      <c r="R1482" t="s">
        <v>3309</v>
      </c>
      <c r="S1482" s="4">
        <f t="shared" ca="1" si="233"/>
        <v>683</v>
      </c>
      <c r="T1482">
        <f t="shared" si="234"/>
        <v>1</v>
      </c>
      <c r="U1482">
        <f t="shared" si="235"/>
        <v>1</v>
      </c>
      <c r="V1482">
        <f t="shared" si="236"/>
        <v>1</v>
      </c>
      <c r="W1482">
        <f t="shared" si="237"/>
        <v>3</v>
      </c>
      <c r="X1482">
        <f t="shared" si="238"/>
        <v>1.2</v>
      </c>
      <c r="Y1482" t="str">
        <f t="shared" si="239"/>
        <v>Healthy</v>
      </c>
    </row>
    <row r="1483" spans="1:25" x14ac:dyDescent="0.35">
      <c r="A1483" t="s">
        <v>90</v>
      </c>
      <c r="B1483" t="s">
        <v>91</v>
      </c>
      <c r="C1483" t="s">
        <v>92</v>
      </c>
      <c r="D1483" t="s">
        <v>1247</v>
      </c>
      <c r="E1483">
        <v>80830246</v>
      </c>
      <c r="F1483" t="s">
        <v>1248</v>
      </c>
      <c r="G1483" s="3">
        <v>46908</v>
      </c>
      <c r="H1483">
        <v>24</v>
      </c>
      <c r="I1483">
        <v>99</v>
      </c>
      <c r="J1483">
        <v>396</v>
      </c>
      <c r="K1483" s="4">
        <v>116713.08</v>
      </c>
      <c r="L1483" s="4">
        <v>8653</v>
      </c>
      <c r="M1483" s="4">
        <v>4.5764474748642092E-2</v>
      </c>
      <c r="N1483" t="s">
        <v>25</v>
      </c>
      <c r="O1483" t="str">
        <f t="shared" si="230"/>
        <v>Low</v>
      </c>
      <c r="P1483" t="str">
        <f t="shared" si="231"/>
        <v>Low</v>
      </c>
      <c r="Q1483" t="str">
        <f t="shared" si="232"/>
        <v>Low</v>
      </c>
      <c r="R1483" t="s">
        <v>3310</v>
      </c>
      <c r="S1483" s="4">
        <f t="shared" ca="1" si="233"/>
        <v>711</v>
      </c>
      <c r="T1483">
        <f t="shared" si="234"/>
        <v>1</v>
      </c>
      <c r="U1483">
        <f t="shared" si="235"/>
        <v>1</v>
      </c>
      <c r="V1483">
        <f t="shared" si="236"/>
        <v>1</v>
      </c>
      <c r="W1483">
        <f t="shared" si="237"/>
        <v>2</v>
      </c>
      <c r="X1483">
        <f t="shared" si="238"/>
        <v>1.0999999999999999</v>
      </c>
      <c r="Y1483" t="str">
        <f t="shared" si="239"/>
        <v>Healthy</v>
      </c>
    </row>
    <row r="1484" spans="1:25" x14ac:dyDescent="0.35">
      <c r="A1484" t="s">
        <v>20</v>
      </c>
      <c r="B1484" t="s">
        <v>21</v>
      </c>
      <c r="C1484" t="s">
        <v>214</v>
      </c>
      <c r="D1484" t="s">
        <v>809</v>
      </c>
      <c r="E1484">
        <v>80828250</v>
      </c>
      <c r="F1484" t="s">
        <v>1249</v>
      </c>
      <c r="G1484" s="3">
        <v>46823</v>
      </c>
      <c r="H1484">
        <v>36</v>
      </c>
      <c r="I1484">
        <v>58</v>
      </c>
      <c r="J1484">
        <v>9</v>
      </c>
      <c r="K1484" s="4">
        <v>936</v>
      </c>
      <c r="L1484" s="4">
        <v>37.428571428571431</v>
      </c>
      <c r="M1484" s="4">
        <v>0.24045801526717556</v>
      </c>
      <c r="N1484" t="s">
        <v>25</v>
      </c>
      <c r="O1484" t="str">
        <f t="shared" si="230"/>
        <v>Low</v>
      </c>
      <c r="P1484" t="str">
        <f t="shared" si="231"/>
        <v>Low</v>
      </c>
      <c r="Q1484" t="str">
        <f t="shared" si="232"/>
        <v>Low</v>
      </c>
      <c r="R1484" t="s">
        <v>3317</v>
      </c>
      <c r="S1484" s="4">
        <f t="shared" ca="1" si="233"/>
        <v>626</v>
      </c>
      <c r="T1484">
        <f t="shared" si="234"/>
        <v>1</v>
      </c>
      <c r="U1484">
        <f t="shared" si="235"/>
        <v>1</v>
      </c>
      <c r="V1484">
        <f t="shared" si="236"/>
        <v>1</v>
      </c>
      <c r="W1484">
        <f t="shared" si="237"/>
        <v>1</v>
      </c>
      <c r="X1484">
        <f t="shared" si="238"/>
        <v>0.99999999999999989</v>
      </c>
      <c r="Y1484" t="str">
        <f t="shared" si="239"/>
        <v>Healthy</v>
      </c>
    </row>
    <row r="1485" spans="1:25" x14ac:dyDescent="0.35">
      <c r="A1485" t="s">
        <v>20</v>
      </c>
      <c r="B1485" t="s">
        <v>21</v>
      </c>
      <c r="C1485" t="s">
        <v>214</v>
      </c>
      <c r="D1485" t="s">
        <v>809</v>
      </c>
      <c r="E1485">
        <v>80828250</v>
      </c>
      <c r="F1485" t="s">
        <v>1249</v>
      </c>
      <c r="G1485" s="3">
        <v>46924</v>
      </c>
      <c r="H1485">
        <v>36</v>
      </c>
      <c r="I1485">
        <v>68</v>
      </c>
      <c r="J1485">
        <v>21</v>
      </c>
      <c r="K1485" s="4">
        <v>2184</v>
      </c>
      <c r="L1485" s="4">
        <v>37.428571428571431</v>
      </c>
      <c r="M1485" s="4">
        <v>0.56106870229007633</v>
      </c>
      <c r="N1485" t="s">
        <v>25</v>
      </c>
      <c r="O1485" t="str">
        <f t="shared" si="230"/>
        <v>Low</v>
      </c>
      <c r="P1485" t="str">
        <f t="shared" si="231"/>
        <v>Low</v>
      </c>
      <c r="Q1485" t="str">
        <f t="shared" si="232"/>
        <v>Low</v>
      </c>
      <c r="R1485" t="s">
        <v>3317</v>
      </c>
      <c r="S1485" s="4">
        <f t="shared" ca="1" si="233"/>
        <v>727</v>
      </c>
      <c r="T1485">
        <f t="shared" si="234"/>
        <v>1</v>
      </c>
      <c r="U1485">
        <f t="shared" si="235"/>
        <v>1</v>
      </c>
      <c r="V1485">
        <f t="shared" si="236"/>
        <v>1</v>
      </c>
      <c r="W1485">
        <f t="shared" si="237"/>
        <v>1</v>
      </c>
      <c r="X1485">
        <f t="shared" si="238"/>
        <v>0.99999999999999989</v>
      </c>
      <c r="Y1485" t="str">
        <f t="shared" si="239"/>
        <v>Healthy</v>
      </c>
    </row>
    <row r="1486" spans="1:25" x14ac:dyDescent="0.35">
      <c r="A1486" t="s">
        <v>179</v>
      </c>
      <c r="B1486" t="s">
        <v>223</v>
      </c>
      <c r="C1486" t="s">
        <v>357</v>
      </c>
      <c r="D1486" t="s">
        <v>1250</v>
      </c>
      <c r="E1486">
        <v>80838236</v>
      </c>
      <c r="F1486" t="s">
        <v>1251</v>
      </c>
      <c r="G1486" s="3">
        <v>46134</v>
      </c>
      <c r="H1486">
        <v>18</v>
      </c>
      <c r="I1486">
        <v>0</v>
      </c>
      <c r="J1486">
        <v>9</v>
      </c>
      <c r="K1486" s="4">
        <v>8279.73</v>
      </c>
      <c r="L1486" s="4">
        <f>0</f>
        <v>0</v>
      </c>
      <c r="M1486" s="4">
        <f>999</f>
        <v>999</v>
      </c>
      <c r="N1486" t="s">
        <v>19</v>
      </c>
      <c r="O1486" t="str">
        <f t="shared" si="230"/>
        <v>High</v>
      </c>
      <c r="P1486" t="str">
        <f t="shared" si="231"/>
        <v>High</v>
      </c>
      <c r="Q1486" t="str">
        <f t="shared" si="232"/>
        <v>High</v>
      </c>
      <c r="R1486" t="s">
        <v>3317</v>
      </c>
      <c r="S1486" s="4">
        <f t="shared" ca="1" si="233"/>
        <v>-63</v>
      </c>
      <c r="T1486">
        <f t="shared" si="234"/>
        <v>3</v>
      </c>
      <c r="U1486">
        <f t="shared" si="235"/>
        <v>3</v>
      </c>
      <c r="V1486">
        <f t="shared" si="236"/>
        <v>3</v>
      </c>
      <c r="W1486">
        <f t="shared" si="237"/>
        <v>1</v>
      </c>
      <c r="X1486">
        <f t="shared" si="238"/>
        <v>2.8000000000000003</v>
      </c>
      <c r="Y1486" t="str">
        <f t="shared" si="239"/>
        <v>Move Immediately</v>
      </c>
    </row>
    <row r="1487" spans="1:25" x14ac:dyDescent="0.35">
      <c r="A1487" t="s">
        <v>90</v>
      </c>
      <c r="B1487" t="s">
        <v>91</v>
      </c>
      <c r="C1487" t="s">
        <v>478</v>
      </c>
      <c r="D1487" t="s">
        <v>1252</v>
      </c>
      <c r="E1487">
        <v>80787826</v>
      </c>
      <c r="F1487" t="s">
        <v>1253</v>
      </c>
      <c r="G1487" s="3">
        <v>46038</v>
      </c>
      <c r="H1487">
        <v>24</v>
      </c>
      <c r="I1487">
        <v>0</v>
      </c>
      <c r="J1487">
        <v>81</v>
      </c>
      <c r="K1487" s="4">
        <v>37459.26</v>
      </c>
      <c r="L1487" s="4">
        <v>0.42857142857142855</v>
      </c>
      <c r="M1487" s="4">
        <v>189</v>
      </c>
      <c r="N1487" t="s">
        <v>19</v>
      </c>
      <c r="O1487" t="str">
        <f t="shared" si="230"/>
        <v>High</v>
      </c>
      <c r="P1487" t="str">
        <f t="shared" si="231"/>
        <v>High</v>
      </c>
      <c r="Q1487" t="str">
        <f t="shared" si="232"/>
        <v>High</v>
      </c>
      <c r="R1487" t="s">
        <v>3317</v>
      </c>
      <c r="S1487" s="4">
        <f t="shared" ca="1" si="233"/>
        <v>-159</v>
      </c>
      <c r="T1487">
        <f t="shared" si="234"/>
        <v>3</v>
      </c>
      <c r="U1487">
        <f t="shared" si="235"/>
        <v>3</v>
      </c>
      <c r="V1487">
        <f t="shared" si="236"/>
        <v>3</v>
      </c>
      <c r="W1487">
        <f t="shared" si="237"/>
        <v>1</v>
      </c>
      <c r="X1487">
        <f t="shared" si="238"/>
        <v>2.8000000000000003</v>
      </c>
      <c r="Y1487" t="str">
        <f t="shared" si="239"/>
        <v>Move Immediately</v>
      </c>
    </row>
    <row r="1488" spans="1:25" x14ac:dyDescent="0.35">
      <c r="A1488" t="s">
        <v>41</v>
      </c>
      <c r="B1488" t="s">
        <v>54</v>
      </c>
      <c r="C1488" t="s">
        <v>411</v>
      </c>
      <c r="D1488" t="s">
        <v>1254</v>
      </c>
      <c r="E1488">
        <v>80773711</v>
      </c>
      <c r="F1488" t="s">
        <v>1255</v>
      </c>
      <c r="G1488" s="3">
        <v>46785</v>
      </c>
      <c r="H1488">
        <v>36</v>
      </c>
      <c r="I1488">
        <v>55</v>
      </c>
      <c r="J1488">
        <v>47</v>
      </c>
      <c r="K1488" s="4">
        <v>3217.15</v>
      </c>
      <c r="L1488" s="4">
        <v>482.57142857142856</v>
      </c>
      <c r="M1488" s="4">
        <v>9.739490822972173E-2</v>
      </c>
      <c r="N1488" t="s">
        <v>25</v>
      </c>
      <c r="O1488" t="str">
        <f t="shared" si="230"/>
        <v>Low</v>
      </c>
      <c r="P1488" t="str">
        <f t="shared" si="231"/>
        <v>Low</v>
      </c>
      <c r="Q1488" t="str">
        <f t="shared" si="232"/>
        <v>Low</v>
      </c>
      <c r="R1488" t="s">
        <v>3317</v>
      </c>
      <c r="S1488" s="4">
        <f t="shared" ca="1" si="233"/>
        <v>588</v>
      </c>
      <c r="T1488">
        <f t="shared" si="234"/>
        <v>1</v>
      </c>
      <c r="U1488">
        <f t="shared" si="235"/>
        <v>1</v>
      </c>
      <c r="V1488">
        <f t="shared" si="236"/>
        <v>1</v>
      </c>
      <c r="W1488">
        <f t="shared" si="237"/>
        <v>1</v>
      </c>
      <c r="X1488">
        <f t="shared" si="238"/>
        <v>0.99999999999999989</v>
      </c>
      <c r="Y1488" t="str">
        <f t="shared" si="239"/>
        <v>Healthy</v>
      </c>
    </row>
    <row r="1489" spans="1:25" x14ac:dyDescent="0.35">
      <c r="A1489" t="s">
        <v>41</v>
      </c>
      <c r="B1489" t="s">
        <v>54</v>
      </c>
      <c r="C1489" t="s">
        <v>411</v>
      </c>
      <c r="D1489" t="s">
        <v>1254</v>
      </c>
      <c r="E1489">
        <v>80773711</v>
      </c>
      <c r="F1489" t="s">
        <v>1255</v>
      </c>
      <c r="G1489" s="3">
        <v>46717</v>
      </c>
      <c r="H1489">
        <v>36</v>
      </c>
      <c r="I1489">
        <v>49</v>
      </c>
      <c r="J1489">
        <v>286</v>
      </c>
      <c r="K1489" s="4">
        <v>19576.7</v>
      </c>
      <c r="L1489" s="4">
        <v>482.57142857142856</v>
      </c>
      <c r="M1489" s="4">
        <v>0.59265837773830676</v>
      </c>
      <c r="N1489" t="s">
        <v>25</v>
      </c>
      <c r="O1489" t="str">
        <f t="shared" si="230"/>
        <v>Low</v>
      </c>
      <c r="P1489" t="str">
        <f t="shared" si="231"/>
        <v>Low</v>
      </c>
      <c r="Q1489" t="str">
        <f t="shared" si="232"/>
        <v>Low</v>
      </c>
      <c r="R1489" t="s">
        <v>3317</v>
      </c>
      <c r="S1489" s="4">
        <f t="shared" ca="1" si="233"/>
        <v>520</v>
      </c>
      <c r="T1489">
        <f t="shared" si="234"/>
        <v>1</v>
      </c>
      <c r="U1489">
        <f t="shared" si="235"/>
        <v>1</v>
      </c>
      <c r="V1489">
        <f t="shared" si="236"/>
        <v>1</v>
      </c>
      <c r="W1489">
        <f t="shared" si="237"/>
        <v>1</v>
      </c>
      <c r="X1489">
        <f t="shared" si="238"/>
        <v>0.99999999999999989</v>
      </c>
      <c r="Y1489" t="str">
        <f t="shared" si="239"/>
        <v>Healthy</v>
      </c>
    </row>
    <row r="1490" spans="1:25" x14ac:dyDescent="0.35">
      <c r="A1490" t="s">
        <v>71</v>
      </c>
      <c r="B1490" t="s">
        <v>72</v>
      </c>
      <c r="C1490" t="s">
        <v>174</v>
      </c>
      <c r="D1490" t="s">
        <v>753</v>
      </c>
      <c r="E1490">
        <v>80829181</v>
      </c>
      <c r="F1490" t="s">
        <v>1256</v>
      </c>
      <c r="G1490" s="3">
        <v>46882</v>
      </c>
      <c r="H1490">
        <v>36</v>
      </c>
      <c r="I1490">
        <v>64</v>
      </c>
      <c r="J1490">
        <v>2</v>
      </c>
      <c r="K1490" s="4">
        <v>4150.0200000000004</v>
      </c>
      <c r="L1490" s="4">
        <v>1.2857142857142858</v>
      </c>
      <c r="M1490" s="4">
        <v>1.5555555555555554</v>
      </c>
      <c r="N1490" t="s">
        <v>25</v>
      </c>
      <c r="O1490" t="str">
        <f t="shared" si="230"/>
        <v>Low</v>
      </c>
      <c r="P1490" t="str">
        <f t="shared" si="231"/>
        <v>Low</v>
      </c>
      <c r="Q1490" t="str">
        <f t="shared" si="232"/>
        <v>High</v>
      </c>
      <c r="R1490" t="s">
        <v>3317</v>
      </c>
      <c r="S1490" s="4">
        <f t="shared" ca="1" si="233"/>
        <v>685</v>
      </c>
      <c r="T1490">
        <f t="shared" si="234"/>
        <v>1</v>
      </c>
      <c r="U1490">
        <f t="shared" si="235"/>
        <v>1</v>
      </c>
      <c r="V1490">
        <f t="shared" si="236"/>
        <v>3</v>
      </c>
      <c r="W1490">
        <f t="shared" si="237"/>
        <v>1</v>
      </c>
      <c r="X1490">
        <f t="shared" si="238"/>
        <v>1.4000000000000001</v>
      </c>
      <c r="Y1490" t="str">
        <f t="shared" si="239"/>
        <v>Healthy</v>
      </c>
    </row>
    <row r="1491" spans="1:25" x14ac:dyDescent="0.35">
      <c r="A1491" t="s">
        <v>71</v>
      </c>
      <c r="B1491" t="s">
        <v>72</v>
      </c>
      <c r="C1491" t="s">
        <v>687</v>
      </c>
      <c r="D1491" t="s">
        <v>1257</v>
      </c>
      <c r="E1491">
        <v>80827058</v>
      </c>
      <c r="F1491" t="s">
        <v>1258</v>
      </c>
      <c r="G1491" s="3">
        <v>46789</v>
      </c>
      <c r="H1491">
        <v>36</v>
      </c>
      <c r="I1491">
        <v>55</v>
      </c>
      <c r="J1491">
        <v>8</v>
      </c>
      <c r="K1491" s="4">
        <v>8127.2</v>
      </c>
      <c r="L1491" s="4">
        <v>22.857142857142858</v>
      </c>
      <c r="M1491" s="4">
        <v>0.35</v>
      </c>
      <c r="N1491" t="s">
        <v>25</v>
      </c>
      <c r="O1491" t="str">
        <f t="shared" si="230"/>
        <v>Low</v>
      </c>
      <c r="P1491" t="str">
        <f t="shared" si="231"/>
        <v>Low</v>
      </c>
      <c r="Q1491" t="str">
        <f t="shared" si="232"/>
        <v>Low</v>
      </c>
      <c r="R1491" t="s">
        <v>3317</v>
      </c>
      <c r="S1491" s="4">
        <f t="shared" ca="1" si="233"/>
        <v>592</v>
      </c>
      <c r="T1491">
        <f t="shared" si="234"/>
        <v>1</v>
      </c>
      <c r="U1491">
        <f t="shared" si="235"/>
        <v>1</v>
      </c>
      <c r="V1491">
        <f t="shared" si="236"/>
        <v>1</v>
      </c>
      <c r="W1491">
        <f t="shared" si="237"/>
        <v>1</v>
      </c>
      <c r="X1491">
        <f t="shared" si="238"/>
        <v>0.99999999999999989</v>
      </c>
      <c r="Y1491" t="str">
        <f t="shared" si="239"/>
        <v>Healthy</v>
      </c>
    </row>
    <row r="1492" spans="1:25" x14ac:dyDescent="0.35">
      <c r="A1492" t="s">
        <v>71</v>
      </c>
      <c r="B1492" t="s">
        <v>72</v>
      </c>
      <c r="C1492" t="s">
        <v>687</v>
      </c>
      <c r="D1492" t="s">
        <v>1257</v>
      </c>
      <c r="E1492">
        <v>80827058</v>
      </c>
      <c r="F1492" t="s">
        <v>1258</v>
      </c>
      <c r="G1492" s="3">
        <v>47005</v>
      </c>
      <c r="H1492">
        <v>36</v>
      </c>
      <c r="I1492">
        <v>75</v>
      </c>
      <c r="J1492">
        <v>11</v>
      </c>
      <c r="K1492" s="4">
        <v>11174.9</v>
      </c>
      <c r="L1492" s="4">
        <v>22.857142857142858</v>
      </c>
      <c r="M1492" s="4">
        <v>0.48125000000000001</v>
      </c>
      <c r="N1492" t="s">
        <v>25</v>
      </c>
      <c r="O1492" t="str">
        <f t="shared" si="230"/>
        <v>Low</v>
      </c>
      <c r="P1492" t="str">
        <f t="shared" si="231"/>
        <v>Low</v>
      </c>
      <c r="Q1492" t="str">
        <f t="shared" si="232"/>
        <v>Low</v>
      </c>
      <c r="R1492" t="s">
        <v>3317</v>
      </c>
      <c r="S1492" s="4">
        <f t="shared" ca="1" si="233"/>
        <v>808</v>
      </c>
      <c r="T1492">
        <f t="shared" si="234"/>
        <v>1</v>
      </c>
      <c r="U1492">
        <f t="shared" si="235"/>
        <v>1</v>
      </c>
      <c r="V1492">
        <f t="shared" si="236"/>
        <v>1</v>
      </c>
      <c r="W1492">
        <f t="shared" si="237"/>
        <v>1</v>
      </c>
      <c r="X1492">
        <f t="shared" si="238"/>
        <v>0.99999999999999989</v>
      </c>
      <c r="Y1492" t="str">
        <f t="shared" si="239"/>
        <v>Healthy</v>
      </c>
    </row>
    <row r="1493" spans="1:25" x14ac:dyDescent="0.35">
      <c r="A1493" t="s">
        <v>14</v>
      </c>
      <c r="B1493" t="s">
        <v>67</v>
      </c>
      <c r="C1493" t="s">
        <v>68</v>
      </c>
      <c r="D1493" t="s">
        <v>69</v>
      </c>
      <c r="E1493">
        <v>80794258</v>
      </c>
      <c r="F1493" t="s">
        <v>1259</v>
      </c>
      <c r="G1493" s="3">
        <v>47351</v>
      </c>
      <c r="H1493">
        <v>60</v>
      </c>
      <c r="I1493">
        <v>64</v>
      </c>
      <c r="J1493">
        <v>3</v>
      </c>
      <c r="K1493" s="4">
        <v>321.42</v>
      </c>
      <c r="L1493" s="4">
        <f>0</f>
        <v>0</v>
      </c>
      <c r="M1493" s="4">
        <f>999</f>
        <v>999</v>
      </c>
      <c r="N1493" t="s">
        <v>19</v>
      </c>
      <c r="O1493" t="str">
        <f t="shared" si="230"/>
        <v>Low</v>
      </c>
      <c r="P1493" t="str">
        <f t="shared" si="231"/>
        <v>High</v>
      </c>
      <c r="Q1493" t="str">
        <f t="shared" si="232"/>
        <v>High</v>
      </c>
      <c r="R1493" t="s">
        <v>3317</v>
      </c>
      <c r="S1493" s="4">
        <f t="shared" ca="1" si="233"/>
        <v>1154</v>
      </c>
      <c r="T1493">
        <f t="shared" si="234"/>
        <v>1</v>
      </c>
      <c r="U1493">
        <f t="shared" si="235"/>
        <v>3</v>
      </c>
      <c r="V1493">
        <f t="shared" si="236"/>
        <v>3</v>
      </c>
      <c r="W1493">
        <f t="shared" si="237"/>
        <v>1</v>
      </c>
      <c r="X1493">
        <f t="shared" si="238"/>
        <v>2</v>
      </c>
      <c r="Y1493" t="str">
        <f t="shared" si="239"/>
        <v>Monitor</v>
      </c>
    </row>
    <row r="1494" spans="1:25" x14ac:dyDescent="0.35">
      <c r="A1494" t="s">
        <v>41</v>
      </c>
      <c r="B1494" t="s">
        <v>42</v>
      </c>
      <c r="C1494" t="s">
        <v>43</v>
      </c>
      <c r="D1494" t="s">
        <v>1188</v>
      </c>
      <c r="E1494">
        <v>80839849</v>
      </c>
      <c r="F1494" t="s">
        <v>1260</v>
      </c>
      <c r="G1494" s="3">
        <v>46741</v>
      </c>
      <c r="H1494">
        <v>36</v>
      </c>
      <c r="I1494">
        <v>51</v>
      </c>
      <c r="J1494">
        <v>12</v>
      </c>
      <c r="K1494" s="4">
        <v>8218.08</v>
      </c>
      <c r="L1494" s="4">
        <f>0</f>
        <v>0</v>
      </c>
      <c r="M1494" s="4">
        <f>999</f>
        <v>999</v>
      </c>
      <c r="N1494" t="s">
        <v>19</v>
      </c>
      <c r="O1494" t="str">
        <f t="shared" si="230"/>
        <v>Low</v>
      </c>
      <c r="P1494" t="str">
        <f t="shared" si="231"/>
        <v>High</v>
      </c>
      <c r="Q1494" t="str">
        <f t="shared" si="232"/>
        <v>High</v>
      </c>
      <c r="R1494" t="s">
        <v>3317</v>
      </c>
      <c r="S1494" s="4">
        <f t="shared" ca="1" si="233"/>
        <v>544</v>
      </c>
      <c r="T1494">
        <f t="shared" si="234"/>
        <v>1</v>
      </c>
      <c r="U1494">
        <f t="shared" si="235"/>
        <v>3</v>
      </c>
      <c r="V1494">
        <f t="shared" si="236"/>
        <v>3</v>
      </c>
      <c r="W1494">
        <f t="shared" si="237"/>
        <v>1</v>
      </c>
      <c r="X1494">
        <f t="shared" si="238"/>
        <v>2</v>
      </c>
      <c r="Y1494" t="str">
        <f t="shared" si="239"/>
        <v>Monitor</v>
      </c>
    </row>
    <row r="1495" spans="1:25" x14ac:dyDescent="0.35">
      <c r="A1495" t="s">
        <v>29</v>
      </c>
      <c r="B1495" t="s">
        <v>30</v>
      </c>
      <c r="C1495" t="s">
        <v>391</v>
      </c>
      <c r="D1495" t="s">
        <v>882</v>
      </c>
      <c r="E1495">
        <v>80795671</v>
      </c>
      <c r="F1495" t="s">
        <v>1261</v>
      </c>
      <c r="G1495" s="3">
        <v>46635</v>
      </c>
      <c r="H1495">
        <v>36</v>
      </c>
      <c r="I1495">
        <v>41</v>
      </c>
      <c r="J1495">
        <v>13</v>
      </c>
      <c r="K1495" s="4">
        <v>4872.3999999999996</v>
      </c>
      <c r="L1495" s="4">
        <v>11.571428571428571</v>
      </c>
      <c r="M1495" s="4">
        <v>1.1234567901234569</v>
      </c>
      <c r="N1495" t="s">
        <v>25</v>
      </c>
      <c r="O1495" t="str">
        <f t="shared" si="230"/>
        <v>Low</v>
      </c>
      <c r="P1495" t="str">
        <f t="shared" si="231"/>
        <v>Low</v>
      </c>
      <c r="Q1495" t="str">
        <f t="shared" si="232"/>
        <v>Medium</v>
      </c>
      <c r="R1495" t="s">
        <v>3317</v>
      </c>
      <c r="S1495" s="4">
        <f t="shared" ca="1" si="233"/>
        <v>438</v>
      </c>
      <c r="T1495">
        <f t="shared" si="234"/>
        <v>1</v>
      </c>
      <c r="U1495">
        <f t="shared" si="235"/>
        <v>1</v>
      </c>
      <c r="V1495">
        <f t="shared" si="236"/>
        <v>2</v>
      </c>
      <c r="W1495">
        <f t="shared" si="237"/>
        <v>1</v>
      </c>
      <c r="X1495">
        <f t="shared" si="238"/>
        <v>1.2000000000000002</v>
      </c>
      <c r="Y1495" t="str">
        <f t="shared" si="239"/>
        <v>Healthy</v>
      </c>
    </row>
    <row r="1496" spans="1:25" x14ac:dyDescent="0.35">
      <c r="A1496" t="s">
        <v>29</v>
      </c>
      <c r="B1496" t="s">
        <v>30</v>
      </c>
      <c r="C1496" t="s">
        <v>391</v>
      </c>
      <c r="D1496" t="s">
        <v>882</v>
      </c>
      <c r="E1496">
        <v>80795671</v>
      </c>
      <c r="F1496" t="s">
        <v>1261</v>
      </c>
      <c r="G1496" s="3">
        <v>46852</v>
      </c>
      <c r="H1496">
        <v>36</v>
      </c>
      <c r="I1496">
        <v>61</v>
      </c>
      <c r="J1496">
        <v>11</v>
      </c>
      <c r="K1496" s="4">
        <v>4122.8</v>
      </c>
      <c r="L1496" s="4">
        <v>11.571428571428571</v>
      </c>
      <c r="M1496" s="4">
        <v>0.95061728395061729</v>
      </c>
      <c r="N1496" t="s">
        <v>25</v>
      </c>
      <c r="O1496" t="str">
        <f t="shared" si="230"/>
        <v>Low</v>
      </c>
      <c r="P1496" t="str">
        <f t="shared" si="231"/>
        <v>Low</v>
      </c>
      <c r="Q1496" t="str">
        <f t="shared" si="232"/>
        <v>Medium</v>
      </c>
      <c r="R1496" t="s">
        <v>3317</v>
      </c>
      <c r="S1496" s="4">
        <f t="shared" ca="1" si="233"/>
        <v>655</v>
      </c>
      <c r="T1496">
        <f t="shared" si="234"/>
        <v>1</v>
      </c>
      <c r="U1496">
        <f t="shared" si="235"/>
        <v>1</v>
      </c>
      <c r="V1496">
        <f t="shared" si="236"/>
        <v>2</v>
      </c>
      <c r="W1496">
        <f t="shared" si="237"/>
        <v>1</v>
      </c>
      <c r="X1496">
        <f t="shared" si="238"/>
        <v>1.2000000000000002</v>
      </c>
      <c r="Y1496" t="str">
        <f t="shared" si="239"/>
        <v>Healthy</v>
      </c>
    </row>
    <row r="1497" spans="1:25" x14ac:dyDescent="0.35">
      <c r="A1497" t="s">
        <v>29</v>
      </c>
      <c r="B1497" t="s">
        <v>30</v>
      </c>
      <c r="C1497" t="s">
        <v>391</v>
      </c>
      <c r="D1497" t="s">
        <v>882</v>
      </c>
      <c r="E1497">
        <v>80795671</v>
      </c>
      <c r="F1497" t="s">
        <v>1261</v>
      </c>
      <c r="G1497" s="3">
        <v>46655</v>
      </c>
      <c r="H1497">
        <v>36</v>
      </c>
      <c r="I1497">
        <v>43</v>
      </c>
      <c r="J1497">
        <v>3</v>
      </c>
      <c r="K1497" s="4">
        <v>1124.4000000000001</v>
      </c>
      <c r="L1497" s="4">
        <v>11.571428571428571</v>
      </c>
      <c r="M1497" s="4">
        <v>0.25925925925925924</v>
      </c>
      <c r="N1497" t="s">
        <v>25</v>
      </c>
      <c r="O1497" t="str">
        <f t="shared" si="230"/>
        <v>Low</v>
      </c>
      <c r="P1497" t="str">
        <f t="shared" si="231"/>
        <v>Low</v>
      </c>
      <c r="Q1497" t="str">
        <f t="shared" si="232"/>
        <v>Medium</v>
      </c>
      <c r="R1497" t="s">
        <v>3317</v>
      </c>
      <c r="S1497" s="4">
        <f t="shared" ca="1" si="233"/>
        <v>458</v>
      </c>
      <c r="T1497">
        <f t="shared" si="234"/>
        <v>1</v>
      </c>
      <c r="U1497">
        <f t="shared" si="235"/>
        <v>1</v>
      </c>
      <c r="V1497">
        <f t="shared" si="236"/>
        <v>2</v>
      </c>
      <c r="W1497">
        <f t="shared" si="237"/>
        <v>1</v>
      </c>
      <c r="X1497">
        <f t="shared" si="238"/>
        <v>1.2000000000000002</v>
      </c>
      <c r="Y1497" t="str">
        <f t="shared" si="239"/>
        <v>Healthy</v>
      </c>
    </row>
    <row r="1498" spans="1:25" x14ac:dyDescent="0.35">
      <c r="A1498" t="s">
        <v>944</v>
      </c>
      <c r="B1498" t="s">
        <v>945</v>
      </c>
      <c r="C1498" t="s">
        <v>1063</v>
      </c>
      <c r="D1498" t="s">
        <v>1262</v>
      </c>
      <c r="E1498">
        <v>80829600</v>
      </c>
      <c r="F1498" t="s">
        <v>1263</v>
      </c>
      <c r="G1498" s="3">
        <v>47323</v>
      </c>
      <c r="H1498">
        <v>60</v>
      </c>
      <c r="I1498">
        <v>63</v>
      </c>
      <c r="J1498">
        <v>39</v>
      </c>
      <c r="K1498" s="4">
        <v>170142.18</v>
      </c>
      <c r="L1498" s="4">
        <v>0.8571428571428571</v>
      </c>
      <c r="M1498" s="4">
        <v>45.5</v>
      </c>
      <c r="N1498" t="s">
        <v>19</v>
      </c>
      <c r="O1498" t="str">
        <f t="shared" si="230"/>
        <v>Low</v>
      </c>
      <c r="P1498" t="str">
        <f t="shared" si="231"/>
        <v>High</v>
      </c>
      <c r="Q1498" t="str">
        <f t="shared" si="232"/>
        <v>High</v>
      </c>
      <c r="R1498" t="s">
        <v>3309</v>
      </c>
      <c r="S1498" s="4">
        <f t="shared" ca="1" si="233"/>
        <v>1126</v>
      </c>
      <c r="T1498">
        <f t="shared" si="234"/>
        <v>1</v>
      </c>
      <c r="U1498">
        <f t="shared" si="235"/>
        <v>3</v>
      </c>
      <c r="V1498">
        <f t="shared" si="236"/>
        <v>3</v>
      </c>
      <c r="W1498">
        <f t="shared" si="237"/>
        <v>3</v>
      </c>
      <c r="X1498">
        <f t="shared" si="238"/>
        <v>2.2000000000000002</v>
      </c>
      <c r="Y1498" t="str">
        <f t="shared" si="239"/>
        <v>High Priority</v>
      </c>
    </row>
    <row r="1499" spans="1:25" x14ac:dyDescent="0.35">
      <c r="A1499" t="s">
        <v>944</v>
      </c>
      <c r="B1499" t="s">
        <v>945</v>
      </c>
      <c r="C1499" t="s">
        <v>1063</v>
      </c>
      <c r="D1499" t="s">
        <v>1262</v>
      </c>
      <c r="E1499">
        <v>80829600</v>
      </c>
      <c r="F1499" t="s">
        <v>1263</v>
      </c>
      <c r="G1499" s="3">
        <v>47503</v>
      </c>
      <c r="H1499">
        <v>60</v>
      </c>
      <c r="I1499">
        <v>73</v>
      </c>
      <c r="J1499">
        <v>15</v>
      </c>
      <c r="K1499" s="4">
        <v>65439.3</v>
      </c>
      <c r="L1499" s="4">
        <v>0.8571428571428571</v>
      </c>
      <c r="M1499" s="4">
        <v>17.5</v>
      </c>
      <c r="N1499" t="s">
        <v>19</v>
      </c>
      <c r="O1499" t="str">
        <f t="shared" si="230"/>
        <v>Low</v>
      </c>
      <c r="P1499" t="str">
        <f t="shared" si="231"/>
        <v>High</v>
      </c>
      <c r="Q1499" t="str">
        <f t="shared" si="232"/>
        <v>High</v>
      </c>
      <c r="R1499" t="s">
        <v>3317</v>
      </c>
      <c r="S1499" s="4">
        <f t="shared" ca="1" si="233"/>
        <v>1306</v>
      </c>
      <c r="T1499">
        <f t="shared" si="234"/>
        <v>1</v>
      </c>
      <c r="U1499">
        <f t="shared" si="235"/>
        <v>3</v>
      </c>
      <c r="V1499">
        <f t="shared" si="236"/>
        <v>3</v>
      </c>
      <c r="W1499">
        <f t="shared" si="237"/>
        <v>1</v>
      </c>
      <c r="X1499">
        <f t="shared" si="238"/>
        <v>2</v>
      </c>
      <c r="Y1499" t="str">
        <f t="shared" si="239"/>
        <v>Monitor</v>
      </c>
    </row>
    <row r="1500" spans="1:25" x14ac:dyDescent="0.35">
      <c r="A1500" t="s">
        <v>90</v>
      </c>
      <c r="B1500" t="s">
        <v>91</v>
      </c>
      <c r="C1500" t="s">
        <v>92</v>
      </c>
      <c r="D1500" t="s">
        <v>1264</v>
      </c>
      <c r="E1500">
        <v>80778490</v>
      </c>
      <c r="F1500" t="s">
        <v>1264</v>
      </c>
      <c r="G1500" s="3">
        <v>48976</v>
      </c>
      <c r="H1500">
        <v>24</v>
      </c>
      <c r="I1500">
        <v>100</v>
      </c>
      <c r="J1500">
        <v>228</v>
      </c>
      <c r="K1500" s="4">
        <v>4.5599999999999996</v>
      </c>
      <c r="L1500" s="4">
        <v>688.71428571428567</v>
      </c>
      <c r="M1500" s="4">
        <v>0.33105164903546985</v>
      </c>
      <c r="N1500" t="s">
        <v>25</v>
      </c>
      <c r="O1500" t="str">
        <f t="shared" si="230"/>
        <v>Low</v>
      </c>
      <c r="P1500" t="str">
        <f t="shared" si="231"/>
        <v>Low</v>
      </c>
      <c r="Q1500" t="str">
        <f t="shared" si="232"/>
        <v>Low</v>
      </c>
      <c r="R1500" t="s">
        <v>3317</v>
      </c>
      <c r="S1500" s="4">
        <f t="shared" ca="1" si="233"/>
        <v>2779</v>
      </c>
      <c r="T1500">
        <f t="shared" si="234"/>
        <v>1</v>
      </c>
      <c r="U1500">
        <f t="shared" si="235"/>
        <v>1</v>
      </c>
      <c r="V1500">
        <f t="shared" si="236"/>
        <v>1</v>
      </c>
      <c r="W1500">
        <f t="shared" si="237"/>
        <v>1</v>
      </c>
      <c r="X1500">
        <f t="shared" si="238"/>
        <v>0.99999999999999989</v>
      </c>
      <c r="Y1500" t="str">
        <f t="shared" si="239"/>
        <v>Healthy</v>
      </c>
    </row>
    <row r="1501" spans="1:25" x14ac:dyDescent="0.35">
      <c r="A1501" t="s">
        <v>41</v>
      </c>
      <c r="B1501" t="s">
        <v>42</v>
      </c>
      <c r="C1501" t="s">
        <v>121</v>
      </c>
      <c r="D1501" t="s">
        <v>1265</v>
      </c>
      <c r="E1501">
        <v>80830098</v>
      </c>
      <c r="F1501" t="s">
        <v>1266</v>
      </c>
      <c r="G1501" s="3">
        <v>47249</v>
      </c>
      <c r="H1501">
        <v>36</v>
      </c>
      <c r="I1501">
        <v>98</v>
      </c>
      <c r="J1501">
        <v>48</v>
      </c>
      <c r="K1501" s="4">
        <v>11619.84</v>
      </c>
      <c r="L1501" s="4">
        <v>492.71428571428572</v>
      </c>
      <c r="M1501" s="4">
        <v>9.7419541896201792E-2</v>
      </c>
      <c r="N1501" t="s">
        <v>25</v>
      </c>
      <c r="O1501" t="str">
        <f t="shared" si="230"/>
        <v>Low</v>
      </c>
      <c r="P1501" t="str">
        <f t="shared" si="231"/>
        <v>Low</v>
      </c>
      <c r="Q1501" t="str">
        <f t="shared" si="232"/>
        <v>Low</v>
      </c>
      <c r="R1501" t="s">
        <v>3317</v>
      </c>
      <c r="S1501" s="4">
        <f t="shared" ca="1" si="233"/>
        <v>1052</v>
      </c>
      <c r="T1501">
        <f t="shared" si="234"/>
        <v>1</v>
      </c>
      <c r="U1501">
        <f t="shared" si="235"/>
        <v>1</v>
      </c>
      <c r="V1501">
        <f t="shared" si="236"/>
        <v>1</v>
      </c>
      <c r="W1501">
        <f t="shared" si="237"/>
        <v>1</v>
      </c>
      <c r="X1501">
        <f t="shared" si="238"/>
        <v>0.99999999999999989</v>
      </c>
      <c r="Y1501" t="str">
        <f t="shared" si="239"/>
        <v>Healthy</v>
      </c>
    </row>
    <row r="1502" spans="1:25" x14ac:dyDescent="0.35">
      <c r="A1502" t="s">
        <v>41</v>
      </c>
      <c r="B1502" t="s">
        <v>42</v>
      </c>
      <c r="C1502" t="s">
        <v>121</v>
      </c>
      <c r="D1502" t="s">
        <v>1265</v>
      </c>
      <c r="E1502">
        <v>80830098</v>
      </c>
      <c r="F1502" t="s">
        <v>1266</v>
      </c>
      <c r="G1502" s="3">
        <v>47245</v>
      </c>
      <c r="H1502">
        <v>36</v>
      </c>
      <c r="I1502">
        <v>98</v>
      </c>
      <c r="J1502">
        <v>241</v>
      </c>
      <c r="K1502" s="4">
        <v>58341.279999999999</v>
      </c>
      <c r="L1502" s="4">
        <v>492.71428571428572</v>
      </c>
      <c r="M1502" s="4">
        <v>0.48912728327051319</v>
      </c>
      <c r="N1502" t="s">
        <v>25</v>
      </c>
      <c r="O1502" t="str">
        <f t="shared" si="230"/>
        <v>Low</v>
      </c>
      <c r="P1502" t="str">
        <f t="shared" si="231"/>
        <v>Low</v>
      </c>
      <c r="Q1502" t="str">
        <f t="shared" si="232"/>
        <v>Low</v>
      </c>
      <c r="R1502" t="s">
        <v>3317</v>
      </c>
      <c r="S1502" s="4">
        <f t="shared" ca="1" si="233"/>
        <v>1048</v>
      </c>
      <c r="T1502">
        <f t="shared" si="234"/>
        <v>1</v>
      </c>
      <c r="U1502">
        <f t="shared" si="235"/>
        <v>1</v>
      </c>
      <c r="V1502">
        <f t="shared" si="236"/>
        <v>1</v>
      </c>
      <c r="W1502">
        <f t="shared" si="237"/>
        <v>1</v>
      </c>
      <c r="X1502">
        <f t="shared" si="238"/>
        <v>0.99999999999999989</v>
      </c>
      <c r="Y1502" t="str">
        <f t="shared" si="239"/>
        <v>Healthy</v>
      </c>
    </row>
    <row r="1503" spans="1:25" x14ac:dyDescent="0.35">
      <c r="A1503" t="s">
        <v>41</v>
      </c>
      <c r="B1503" t="s">
        <v>42</v>
      </c>
      <c r="C1503" t="s">
        <v>121</v>
      </c>
      <c r="D1503" t="s">
        <v>1265</v>
      </c>
      <c r="E1503">
        <v>80830098</v>
      </c>
      <c r="F1503" t="s">
        <v>1266</v>
      </c>
      <c r="G1503" s="3">
        <v>47173</v>
      </c>
      <c r="H1503">
        <v>36</v>
      </c>
      <c r="I1503">
        <v>91</v>
      </c>
      <c r="J1503">
        <v>11</v>
      </c>
      <c r="K1503" s="4">
        <v>2662.88</v>
      </c>
      <c r="L1503" s="4">
        <v>492.71428571428572</v>
      </c>
      <c r="M1503" s="4">
        <v>2.2325311684546247E-2</v>
      </c>
      <c r="N1503" t="s">
        <v>25</v>
      </c>
      <c r="O1503" t="str">
        <f t="shared" si="230"/>
        <v>Low</v>
      </c>
      <c r="P1503" t="str">
        <f t="shared" si="231"/>
        <v>Low</v>
      </c>
      <c r="Q1503" t="str">
        <f t="shared" si="232"/>
        <v>Low</v>
      </c>
      <c r="R1503" t="s">
        <v>3317</v>
      </c>
      <c r="S1503" s="4">
        <f t="shared" ca="1" si="233"/>
        <v>976</v>
      </c>
      <c r="T1503">
        <f t="shared" si="234"/>
        <v>1</v>
      </c>
      <c r="U1503">
        <f t="shared" si="235"/>
        <v>1</v>
      </c>
      <c r="V1503">
        <f t="shared" si="236"/>
        <v>1</v>
      </c>
      <c r="W1503">
        <f t="shared" si="237"/>
        <v>1</v>
      </c>
      <c r="X1503">
        <f t="shared" si="238"/>
        <v>0.99999999999999989</v>
      </c>
      <c r="Y1503" t="str">
        <f t="shared" si="239"/>
        <v>Healthy</v>
      </c>
    </row>
    <row r="1504" spans="1:25" x14ac:dyDescent="0.35">
      <c r="A1504" t="s">
        <v>179</v>
      </c>
      <c r="B1504" t="s">
        <v>195</v>
      </c>
      <c r="C1504" t="s">
        <v>199</v>
      </c>
      <c r="D1504" t="s">
        <v>433</v>
      </c>
      <c r="E1504">
        <v>80799538</v>
      </c>
      <c r="F1504" t="s">
        <v>1267</v>
      </c>
      <c r="G1504" s="3">
        <v>46204</v>
      </c>
      <c r="H1504">
        <v>16</v>
      </c>
      <c r="I1504">
        <v>3</v>
      </c>
      <c r="J1504">
        <v>4</v>
      </c>
      <c r="K1504" s="4">
        <v>5422.04</v>
      </c>
      <c r="L1504" s="4">
        <v>2.5714285714285716</v>
      </c>
      <c r="M1504" s="4">
        <v>1.5555555555555554</v>
      </c>
      <c r="N1504" t="s">
        <v>25</v>
      </c>
      <c r="O1504" t="str">
        <f t="shared" si="230"/>
        <v>High</v>
      </c>
      <c r="P1504" t="str">
        <f t="shared" si="231"/>
        <v>Low</v>
      </c>
      <c r="Q1504" t="str">
        <f t="shared" si="232"/>
        <v>High</v>
      </c>
      <c r="R1504" t="s">
        <v>3317</v>
      </c>
      <c r="S1504" s="4">
        <f t="shared" ca="1" si="233"/>
        <v>7</v>
      </c>
      <c r="T1504">
        <f t="shared" si="234"/>
        <v>3</v>
      </c>
      <c r="U1504">
        <f t="shared" si="235"/>
        <v>1</v>
      </c>
      <c r="V1504">
        <f t="shared" si="236"/>
        <v>3</v>
      </c>
      <c r="W1504">
        <f t="shared" si="237"/>
        <v>1</v>
      </c>
      <c r="X1504">
        <f t="shared" si="238"/>
        <v>2.2000000000000006</v>
      </c>
      <c r="Y1504" t="str">
        <f t="shared" si="239"/>
        <v>High Priority</v>
      </c>
    </row>
    <row r="1505" spans="1:25" x14ac:dyDescent="0.35">
      <c r="A1505" t="s">
        <v>41</v>
      </c>
      <c r="B1505" t="s">
        <v>42</v>
      </c>
      <c r="C1505" t="s">
        <v>365</v>
      </c>
      <c r="D1505" t="s">
        <v>867</v>
      </c>
      <c r="E1505">
        <v>80798913</v>
      </c>
      <c r="F1505" t="s">
        <v>1268</v>
      </c>
      <c r="G1505" s="3">
        <v>46629</v>
      </c>
      <c r="H1505">
        <v>36</v>
      </c>
      <c r="I1505">
        <v>40</v>
      </c>
      <c r="J1505">
        <v>2</v>
      </c>
      <c r="K1505" s="4">
        <v>1522.24</v>
      </c>
      <c r="L1505" s="4">
        <f>0</f>
        <v>0</v>
      </c>
      <c r="M1505" s="4">
        <f>999</f>
        <v>999</v>
      </c>
      <c r="N1505" t="s">
        <v>19</v>
      </c>
      <c r="O1505" t="str">
        <f t="shared" si="230"/>
        <v>Low</v>
      </c>
      <c r="P1505" t="str">
        <f t="shared" si="231"/>
        <v>High</v>
      </c>
      <c r="Q1505" t="str">
        <f t="shared" si="232"/>
        <v>High</v>
      </c>
      <c r="R1505" t="s">
        <v>3317</v>
      </c>
      <c r="S1505" s="4">
        <f t="shared" ca="1" si="233"/>
        <v>432</v>
      </c>
      <c r="T1505">
        <f t="shared" si="234"/>
        <v>1</v>
      </c>
      <c r="U1505">
        <f t="shared" si="235"/>
        <v>3</v>
      </c>
      <c r="V1505">
        <f t="shared" si="236"/>
        <v>3</v>
      </c>
      <c r="W1505">
        <f t="shared" si="237"/>
        <v>1</v>
      </c>
      <c r="X1505">
        <f t="shared" si="238"/>
        <v>2</v>
      </c>
      <c r="Y1505" t="str">
        <f t="shared" si="239"/>
        <v>Monitor</v>
      </c>
    </row>
    <row r="1506" spans="1:25" x14ac:dyDescent="0.35">
      <c r="A1506" t="s">
        <v>179</v>
      </c>
      <c r="B1506" t="s">
        <v>223</v>
      </c>
      <c r="C1506" t="s">
        <v>357</v>
      </c>
      <c r="D1506" t="s">
        <v>1269</v>
      </c>
      <c r="E1506">
        <v>80840079</v>
      </c>
      <c r="F1506" t="s">
        <v>1270</v>
      </c>
      <c r="G1506" s="3">
        <v>46213</v>
      </c>
      <c r="H1506">
        <v>18</v>
      </c>
      <c r="I1506">
        <v>4</v>
      </c>
      <c r="J1506">
        <v>4</v>
      </c>
      <c r="K1506" s="4">
        <v>2755.48</v>
      </c>
      <c r="L1506" s="4">
        <v>2.8571428571428572</v>
      </c>
      <c r="M1506" s="4">
        <v>1.4</v>
      </c>
      <c r="N1506" t="s">
        <v>25</v>
      </c>
      <c r="O1506" t="str">
        <f t="shared" si="230"/>
        <v>High</v>
      </c>
      <c r="P1506" t="str">
        <f t="shared" si="231"/>
        <v>Low</v>
      </c>
      <c r="Q1506" t="str">
        <f t="shared" si="232"/>
        <v>High</v>
      </c>
      <c r="R1506" t="s">
        <v>3317</v>
      </c>
      <c r="S1506" s="4">
        <f t="shared" ca="1" si="233"/>
        <v>16</v>
      </c>
      <c r="T1506">
        <f t="shared" si="234"/>
        <v>3</v>
      </c>
      <c r="U1506">
        <f t="shared" si="235"/>
        <v>1</v>
      </c>
      <c r="V1506">
        <f t="shared" si="236"/>
        <v>3</v>
      </c>
      <c r="W1506">
        <f t="shared" si="237"/>
        <v>1</v>
      </c>
      <c r="X1506">
        <f t="shared" si="238"/>
        <v>2.2000000000000006</v>
      </c>
      <c r="Y1506" t="str">
        <f t="shared" si="239"/>
        <v>High Priority</v>
      </c>
    </row>
    <row r="1507" spans="1:25" x14ac:dyDescent="0.35">
      <c r="A1507" t="s">
        <v>179</v>
      </c>
      <c r="B1507" t="s">
        <v>223</v>
      </c>
      <c r="C1507" t="s">
        <v>357</v>
      </c>
      <c r="D1507" t="s">
        <v>1269</v>
      </c>
      <c r="E1507">
        <v>80840079</v>
      </c>
      <c r="F1507" t="s">
        <v>1270</v>
      </c>
      <c r="G1507" s="3">
        <v>46389</v>
      </c>
      <c r="H1507">
        <v>18</v>
      </c>
      <c r="I1507">
        <v>36</v>
      </c>
      <c r="J1507">
        <v>12</v>
      </c>
      <c r="K1507" s="4">
        <v>8266.44</v>
      </c>
      <c r="L1507" s="4">
        <v>2.8571428571428572</v>
      </c>
      <c r="M1507" s="4">
        <v>4.2</v>
      </c>
      <c r="N1507" t="s">
        <v>25</v>
      </c>
      <c r="O1507" t="str">
        <f t="shared" si="230"/>
        <v>Medium</v>
      </c>
      <c r="P1507" t="str">
        <f t="shared" si="231"/>
        <v>Medium</v>
      </c>
      <c r="Q1507" t="str">
        <f t="shared" si="232"/>
        <v>High</v>
      </c>
      <c r="R1507" t="s">
        <v>3317</v>
      </c>
      <c r="S1507" s="4">
        <f t="shared" ca="1" si="233"/>
        <v>192</v>
      </c>
      <c r="T1507">
        <f t="shared" si="234"/>
        <v>2</v>
      </c>
      <c r="U1507">
        <f t="shared" si="235"/>
        <v>2</v>
      </c>
      <c r="V1507">
        <f t="shared" si="236"/>
        <v>3</v>
      </c>
      <c r="W1507">
        <f t="shared" si="237"/>
        <v>1</v>
      </c>
      <c r="X1507">
        <f t="shared" si="238"/>
        <v>2.1</v>
      </c>
      <c r="Y1507" t="str">
        <f t="shared" si="239"/>
        <v>Monitor</v>
      </c>
    </row>
    <row r="1508" spans="1:25" x14ac:dyDescent="0.35">
      <c r="A1508" t="s">
        <v>99</v>
      </c>
      <c r="B1508" t="s">
        <v>100</v>
      </c>
      <c r="C1508" t="s">
        <v>375</v>
      </c>
      <c r="D1508" t="s">
        <v>1271</v>
      </c>
      <c r="E1508">
        <v>80830407</v>
      </c>
      <c r="F1508" t="s">
        <v>1272</v>
      </c>
      <c r="G1508" s="3">
        <v>46804</v>
      </c>
      <c r="H1508">
        <v>36</v>
      </c>
      <c r="I1508">
        <v>57</v>
      </c>
      <c r="J1508">
        <v>90</v>
      </c>
      <c r="K1508" s="4">
        <v>23913.9</v>
      </c>
      <c r="L1508" s="4">
        <v>30.857142857142858</v>
      </c>
      <c r="M1508" s="4">
        <v>2.9166666666666665</v>
      </c>
      <c r="N1508" t="s">
        <v>25</v>
      </c>
      <c r="O1508" t="str">
        <f t="shared" si="230"/>
        <v>Low</v>
      </c>
      <c r="P1508" t="str">
        <f t="shared" si="231"/>
        <v>Low</v>
      </c>
      <c r="Q1508" t="str">
        <f t="shared" si="232"/>
        <v>Low</v>
      </c>
      <c r="R1508" t="s">
        <v>3317</v>
      </c>
      <c r="S1508" s="4">
        <f t="shared" ca="1" si="233"/>
        <v>607</v>
      </c>
      <c r="T1508">
        <f t="shared" si="234"/>
        <v>1</v>
      </c>
      <c r="U1508">
        <f t="shared" si="235"/>
        <v>1</v>
      </c>
      <c r="V1508">
        <f t="shared" si="236"/>
        <v>1</v>
      </c>
      <c r="W1508">
        <f t="shared" si="237"/>
        <v>1</v>
      </c>
      <c r="X1508">
        <f t="shared" si="238"/>
        <v>0.99999999999999989</v>
      </c>
      <c r="Y1508" t="str">
        <f t="shared" si="239"/>
        <v>Healthy</v>
      </c>
    </row>
    <row r="1509" spans="1:25" x14ac:dyDescent="0.35">
      <c r="A1509" t="s">
        <v>99</v>
      </c>
      <c r="B1509" t="s">
        <v>100</v>
      </c>
      <c r="C1509" t="s">
        <v>375</v>
      </c>
      <c r="D1509" t="s">
        <v>1271</v>
      </c>
      <c r="E1509">
        <v>80830407</v>
      </c>
      <c r="F1509" t="s">
        <v>1272</v>
      </c>
      <c r="G1509" s="3">
        <v>47055</v>
      </c>
      <c r="H1509">
        <v>36</v>
      </c>
      <c r="I1509">
        <v>80</v>
      </c>
      <c r="J1509">
        <v>11</v>
      </c>
      <c r="K1509" s="4">
        <v>2922.81</v>
      </c>
      <c r="L1509" s="4">
        <v>30.857142857142858</v>
      </c>
      <c r="M1509" s="4">
        <v>0.35648148148148145</v>
      </c>
      <c r="N1509" t="s">
        <v>25</v>
      </c>
      <c r="O1509" t="str">
        <f t="shared" si="230"/>
        <v>Low</v>
      </c>
      <c r="P1509" t="str">
        <f t="shared" si="231"/>
        <v>Low</v>
      </c>
      <c r="Q1509" t="str">
        <f t="shared" si="232"/>
        <v>Low</v>
      </c>
      <c r="R1509" t="s">
        <v>3317</v>
      </c>
      <c r="S1509" s="4">
        <f t="shared" ca="1" si="233"/>
        <v>858</v>
      </c>
      <c r="T1509">
        <f t="shared" si="234"/>
        <v>1</v>
      </c>
      <c r="U1509">
        <f t="shared" si="235"/>
        <v>1</v>
      </c>
      <c r="V1509">
        <f t="shared" si="236"/>
        <v>1</v>
      </c>
      <c r="W1509">
        <f t="shared" si="237"/>
        <v>1</v>
      </c>
      <c r="X1509">
        <f t="shared" si="238"/>
        <v>0.99999999999999989</v>
      </c>
      <c r="Y1509" t="str">
        <f t="shared" si="239"/>
        <v>Healthy</v>
      </c>
    </row>
    <row r="1510" spans="1:25" x14ac:dyDescent="0.35">
      <c r="A1510" t="s">
        <v>179</v>
      </c>
      <c r="B1510" t="s">
        <v>223</v>
      </c>
      <c r="C1510" t="s">
        <v>357</v>
      </c>
      <c r="D1510" t="s">
        <v>1273</v>
      </c>
      <c r="E1510">
        <v>80823655</v>
      </c>
      <c r="F1510" t="s">
        <v>1274</v>
      </c>
      <c r="G1510" s="3">
        <v>46289</v>
      </c>
      <c r="H1510">
        <v>18</v>
      </c>
      <c r="I1510">
        <v>18</v>
      </c>
      <c r="J1510">
        <v>2</v>
      </c>
      <c r="K1510" s="4">
        <v>1377.74</v>
      </c>
      <c r="L1510" s="4">
        <v>1.7142857142857142</v>
      </c>
      <c r="M1510" s="4">
        <v>1.1666666666666667</v>
      </c>
      <c r="N1510" t="s">
        <v>25</v>
      </c>
      <c r="O1510" t="str">
        <f t="shared" si="230"/>
        <v>High</v>
      </c>
      <c r="P1510" t="str">
        <f t="shared" si="231"/>
        <v>Low</v>
      </c>
      <c r="Q1510" t="str">
        <f t="shared" si="232"/>
        <v>High</v>
      </c>
      <c r="R1510" t="s">
        <v>3317</v>
      </c>
      <c r="S1510" s="4">
        <f t="shared" ca="1" si="233"/>
        <v>92</v>
      </c>
      <c r="T1510">
        <f t="shared" si="234"/>
        <v>3</v>
      </c>
      <c r="U1510">
        <f t="shared" si="235"/>
        <v>1</v>
      </c>
      <c r="V1510">
        <f t="shared" si="236"/>
        <v>3</v>
      </c>
      <c r="W1510">
        <f t="shared" si="237"/>
        <v>1</v>
      </c>
      <c r="X1510">
        <f t="shared" si="238"/>
        <v>2.2000000000000006</v>
      </c>
      <c r="Y1510" t="str">
        <f t="shared" si="239"/>
        <v>High Priority</v>
      </c>
    </row>
    <row r="1511" spans="1:25" x14ac:dyDescent="0.35">
      <c r="A1511" t="s">
        <v>179</v>
      </c>
      <c r="B1511" t="s">
        <v>223</v>
      </c>
      <c r="C1511" t="s">
        <v>357</v>
      </c>
      <c r="D1511" t="s">
        <v>1273</v>
      </c>
      <c r="E1511">
        <v>80823655</v>
      </c>
      <c r="F1511" t="s">
        <v>1274</v>
      </c>
      <c r="G1511" s="3">
        <v>46313</v>
      </c>
      <c r="H1511">
        <v>18</v>
      </c>
      <c r="I1511">
        <v>22</v>
      </c>
      <c r="J1511">
        <v>1</v>
      </c>
      <c r="K1511" s="4">
        <v>688.87</v>
      </c>
      <c r="L1511" s="4">
        <v>1.7142857142857142</v>
      </c>
      <c r="M1511" s="4">
        <v>0.58333333333333337</v>
      </c>
      <c r="N1511" t="s">
        <v>25</v>
      </c>
      <c r="O1511" t="str">
        <f t="shared" si="230"/>
        <v>Medium</v>
      </c>
      <c r="P1511" t="str">
        <f t="shared" si="231"/>
        <v>Low</v>
      </c>
      <c r="Q1511" t="str">
        <f t="shared" si="232"/>
        <v>High</v>
      </c>
      <c r="R1511" t="s">
        <v>3317</v>
      </c>
      <c r="S1511" s="4">
        <f t="shared" ca="1" si="233"/>
        <v>116</v>
      </c>
      <c r="T1511">
        <f t="shared" si="234"/>
        <v>2</v>
      </c>
      <c r="U1511">
        <f t="shared" si="235"/>
        <v>1</v>
      </c>
      <c r="V1511">
        <f t="shared" si="236"/>
        <v>3</v>
      </c>
      <c r="W1511">
        <f t="shared" si="237"/>
        <v>1</v>
      </c>
      <c r="X1511">
        <f t="shared" si="238"/>
        <v>1.8000000000000003</v>
      </c>
      <c r="Y1511" t="str">
        <f t="shared" si="239"/>
        <v>Monitor</v>
      </c>
    </row>
    <row r="1512" spans="1:25" x14ac:dyDescent="0.35">
      <c r="A1512" t="s">
        <v>179</v>
      </c>
      <c r="B1512" t="s">
        <v>223</v>
      </c>
      <c r="C1512" t="s">
        <v>357</v>
      </c>
      <c r="D1512" t="s">
        <v>1273</v>
      </c>
      <c r="E1512">
        <v>80823655</v>
      </c>
      <c r="F1512" t="s">
        <v>1274</v>
      </c>
      <c r="G1512" s="3">
        <v>46308</v>
      </c>
      <c r="H1512">
        <v>18</v>
      </c>
      <c r="I1512">
        <v>21</v>
      </c>
      <c r="J1512">
        <v>1</v>
      </c>
      <c r="K1512" s="4">
        <v>688.87</v>
      </c>
      <c r="L1512" s="4">
        <v>1.7142857142857142</v>
      </c>
      <c r="M1512" s="4">
        <v>0.58333333333333337</v>
      </c>
      <c r="N1512" t="s">
        <v>25</v>
      </c>
      <c r="O1512" t="str">
        <f t="shared" si="230"/>
        <v>Medium</v>
      </c>
      <c r="P1512" t="str">
        <f t="shared" si="231"/>
        <v>Low</v>
      </c>
      <c r="Q1512" t="str">
        <f t="shared" si="232"/>
        <v>High</v>
      </c>
      <c r="R1512" t="s">
        <v>3317</v>
      </c>
      <c r="S1512" s="4">
        <f t="shared" ca="1" si="233"/>
        <v>111</v>
      </c>
      <c r="T1512">
        <f t="shared" si="234"/>
        <v>2</v>
      </c>
      <c r="U1512">
        <f t="shared" si="235"/>
        <v>1</v>
      </c>
      <c r="V1512">
        <f t="shared" si="236"/>
        <v>3</v>
      </c>
      <c r="W1512">
        <f t="shared" si="237"/>
        <v>1</v>
      </c>
      <c r="X1512">
        <f t="shared" si="238"/>
        <v>1.8000000000000003</v>
      </c>
      <c r="Y1512" t="str">
        <f t="shared" si="239"/>
        <v>Monitor</v>
      </c>
    </row>
    <row r="1513" spans="1:25" x14ac:dyDescent="0.35">
      <c r="A1513" t="s">
        <v>90</v>
      </c>
      <c r="B1513" t="s">
        <v>91</v>
      </c>
      <c r="C1513" t="s">
        <v>255</v>
      </c>
      <c r="D1513" t="s">
        <v>1275</v>
      </c>
      <c r="E1513">
        <v>80817625</v>
      </c>
      <c r="F1513" t="s">
        <v>1276</v>
      </c>
      <c r="G1513" s="3">
        <v>46228</v>
      </c>
      <c r="H1513">
        <v>24</v>
      </c>
      <c r="I1513">
        <v>5</v>
      </c>
      <c r="J1513">
        <v>548</v>
      </c>
      <c r="K1513" s="4">
        <v>60904.72</v>
      </c>
      <c r="L1513" s="4">
        <v>74.857142857142861</v>
      </c>
      <c r="M1513" s="4">
        <v>7.3206106870229002</v>
      </c>
      <c r="N1513" t="s">
        <v>19</v>
      </c>
      <c r="O1513" t="str">
        <f t="shared" si="230"/>
        <v>High</v>
      </c>
      <c r="P1513" t="str">
        <f t="shared" si="231"/>
        <v>Medium</v>
      </c>
      <c r="Q1513" t="str">
        <f t="shared" si="232"/>
        <v>Low</v>
      </c>
      <c r="R1513" t="s">
        <v>3317</v>
      </c>
      <c r="S1513" s="4">
        <f t="shared" ca="1" si="233"/>
        <v>31</v>
      </c>
      <c r="T1513">
        <f t="shared" si="234"/>
        <v>3</v>
      </c>
      <c r="U1513">
        <f t="shared" si="235"/>
        <v>2</v>
      </c>
      <c r="V1513">
        <f t="shared" si="236"/>
        <v>1</v>
      </c>
      <c r="W1513">
        <f t="shared" si="237"/>
        <v>1</v>
      </c>
      <c r="X1513">
        <f t="shared" si="238"/>
        <v>2.1000000000000005</v>
      </c>
      <c r="Y1513" t="str">
        <f t="shared" si="239"/>
        <v>Monitor</v>
      </c>
    </row>
    <row r="1514" spans="1:25" x14ac:dyDescent="0.35">
      <c r="A1514" t="s">
        <v>90</v>
      </c>
      <c r="B1514" t="s">
        <v>91</v>
      </c>
      <c r="C1514" t="s">
        <v>255</v>
      </c>
      <c r="D1514" t="s">
        <v>1275</v>
      </c>
      <c r="E1514">
        <v>80817625</v>
      </c>
      <c r="F1514" t="s">
        <v>1276</v>
      </c>
      <c r="G1514" s="3">
        <v>46250</v>
      </c>
      <c r="H1514">
        <v>24</v>
      </c>
      <c r="I1514">
        <v>8</v>
      </c>
      <c r="J1514">
        <v>484</v>
      </c>
      <c r="K1514" s="4">
        <v>53791.76</v>
      </c>
      <c r="L1514" s="4">
        <v>74.857142857142861</v>
      </c>
      <c r="M1514" s="4">
        <v>6.4656488549618318</v>
      </c>
      <c r="N1514" t="s">
        <v>19</v>
      </c>
      <c r="O1514" t="str">
        <f t="shared" si="230"/>
        <v>High</v>
      </c>
      <c r="P1514" t="str">
        <f t="shared" si="231"/>
        <v>Medium</v>
      </c>
      <c r="Q1514" t="str">
        <f t="shared" si="232"/>
        <v>Low</v>
      </c>
      <c r="R1514" t="s">
        <v>3317</v>
      </c>
      <c r="S1514" s="4">
        <f t="shared" ca="1" si="233"/>
        <v>53</v>
      </c>
      <c r="T1514">
        <f t="shared" si="234"/>
        <v>3</v>
      </c>
      <c r="U1514">
        <f t="shared" si="235"/>
        <v>2</v>
      </c>
      <c r="V1514">
        <f t="shared" si="236"/>
        <v>1</v>
      </c>
      <c r="W1514">
        <f t="shared" si="237"/>
        <v>1</v>
      </c>
      <c r="X1514">
        <f t="shared" si="238"/>
        <v>2.1000000000000005</v>
      </c>
      <c r="Y1514" t="str">
        <f t="shared" si="239"/>
        <v>Monitor</v>
      </c>
    </row>
    <row r="1515" spans="1:25" x14ac:dyDescent="0.35">
      <c r="A1515" t="s">
        <v>71</v>
      </c>
      <c r="B1515" t="s">
        <v>72</v>
      </c>
      <c r="C1515" t="s">
        <v>687</v>
      </c>
      <c r="D1515" t="s">
        <v>1277</v>
      </c>
      <c r="E1515">
        <v>80853694</v>
      </c>
      <c r="F1515" t="s">
        <v>1278</v>
      </c>
      <c r="G1515" s="3">
        <v>46931</v>
      </c>
      <c r="H1515">
        <v>36</v>
      </c>
      <c r="I1515">
        <v>68</v>
      </c>
      <c r="J1515">
        <v>14</v>
      </c>
      <c r="K1515" s="4">
        <v>4803.12</v>
      </c>
      <c r="L1515" s="4">
        <v>16.571428571428573</v>
      </c>
      <c r="M1515" s="4">
        <v>0.84482758620689646</v>
      </c>
      <c r="N1515" t="s">
        <v>25</v>
      </c>
      <c r="O1515" t="str">
        <f t="shared" si="230"/>
        <v>Low</v>
      </c>
      <c r="P1515" t="str">
        <f t="shared" si="231"/>
        <v>Low</v>
      </c>
      <c r="Q1515" t="str">
        <f t="shared" si="232"/>
        <v>Low</v>
      </c>
      <c r="R1515" t="s">
        <v>3317</v>
      </c>
      <c r="S1515" s="4">
        <f t="shared" ca="1" si="233"/>
        <v>734</v>
      </c>
      <c r="T1515">
        <f t="shared" si="234"/>
        <v>1</v>
      </c>
      <c r="U1515">
        <f t="shared" si="235"/>
        <v>1</v>
      </c>
      <c r="V1515">
        <f t="shared" si="236"/>
        <v>1</v>
      </c>
      <c r="W1515">
        <f t="shared" si="237"/>
        <v>1</v>
      </c>
      <c r="X1515">
        <f t="shared" si="238"/>
        <v>0.99999999999999989</v>
      </c>
      <c r="Y1515" t="str">
        <f t="shared" si="239"/>
        <v>Healthy</v>
      </c>
    </row>
    <row r="1516" spans="1:25" x14ac:dyDescent="0.35">
      <c r="A1516" t="s">
        <v>71</v>
      </c>
      <c r="B1516" t="s">
        <v>72</v>
      </c>
      <c r="C1516" t="s">
        <v>687</v>
      </c>
      <c r="D1516" t="s">
        <v>1277</v>
      </c>
      <c r="E1516">
        <v>80853694</v>
      </c>
      <c r="F1516" t="s">
        <v>1278</v>
      </c>
      <c r="G1516" s="3">
        <v>47064</v>
      </c>
      <c r="H1516">
        <v>36</v>
      </c>
      <c r="I1516">
        <v>81</v>
      </c>
      <c r="J1516">
        <v>10</v>
      </c>
      <c r="K1516" s="4">
        <v>3430.8</v>
      </c>
      <c r="L1516" s="4">
        <v>16.571428571428573</v>
      </c>
      <c r="M1516" s="4">
        <v>0.60344827586206895</v>
      </c>
      <c r="N1516" t="s">
        <v>25</v>
      </c>
      <c r="O1516" t="str">
        <f t="shared" si="230"/>
        <v>Low</v>
      </c>
      <c r="P1516" t="str">
        <f t="shared" si="231"/>
        <v>Low</v>
      </c>
      <c r="Q1516" t="str">
        <f t="shared" si="232"/>
        <v>Low</v>
      </c>
      <c r="R1516" t="s">
        <v>3317</v>
      </c>
      <c r="S1516" s="4">
        <f t="shared" ca="1" si="233"/>
        <v>867</v>
      </c>
      <c r="T1516">
        <f t="shared" si="234"/>
        <v>1</v>
      </c>
      <c r="U1516">
        <f t="shared" si="235"/>
        <v>1</v>
      </c>
      <c r="V1516">
        <f t="shared" si="236"/>
        <v>1</v>
      </c>
      <c r="W1516">
        <f t="shared" si="237"/>
        <v>1</v>
      </c>
      <c r="X1516">
        <f t="shared" si="238"/>
        <v>0.99999999999999989</v>
      </c>
      <c r="Y1516" t="str">
        <f t="shared" si="239"/>
        <v>Healthy</v>
      </c>
    </row>
    <row r="1517" spans="1:25" x14ac:dyDescent="0.35">
      <c r="A1517" t="s">
        <v>90</v>
      </c>
      <c r="B1517" t="s">
        <v>91</v>
      </c>
      <c r="C1517" t="s">
        <v>92</v>
      </c>
      <c r="D1517" t="s">
        <v>823</v>
      </c>
      <c r="E1517">
        <v>80851067</v>
      </c>
      <c r="F1517" t="s">
        <v>1279</v>
      </c>
      <c r="G1517" s="3">
        <v>46864</v>
      </c>
      <c r="H1517">
        <v>24</v>
      </c>
      <c r="I1517">
        <v>93</v>
      </c>
      <c r="J1517">
        <v>420</v>
      </c>
      <c r="K1517" s="4">
        <v>72647.399999999994</v>
      </c>
      <c r="L1517" s="4">
        <v>18479.142857142859</v>
      </c>
      <c r="M1517" s="4">
        <v>2.2728326916832874E-2</v>
      </c>
      <c r="N1517" t="s">
        <v>25</v>
      </c>
      <c r="O1517" t="str">
        <f t="shared" si="230"/>
        <v>Low</v>
      </c>
      <c r="P1517" t="str">
        <f t="shared" si="231"/>
        <v>Low</v>
      </c>
      <c r="Q1517" t="str">
        <f t="shared" si="232"/>
        <v>Low</v>
      </c>
      <c r="R1517" t="s">
        <v>3310</v>
      </c>
      <c r="S1517" s="4">
        <f t="shared" ca="1" si="233"/>
        <v>667</v>
      </c>
      <c r="T1517">
        <f t="shared" si="234"/>
        <v>1</v>
      </c>
      <c r="U1517">
        <f t="shared" si="235"/>
        <v>1</v>
      </c>
      <c r="V1517">
        <f t="shared" si="236"/>
        <v>1</v>
      </c>
      <c r="W1517">
        <f t="shared" si="237"/>
        <v>2</v>
      </c>
      <c r="X1517">
        <f t="shared" si="238"/>
        <v>1.0999999999999999</v>
      </c>
      <c r="Y1517" t="str">
        <f t="shared" si="239"/>
        <v>Healthy</v>
      </c>
    </row>
    <row r="1518" spans="1:25" x14ac:dyDescent="0.35">
      <c r="A1518" t="s">
        <v>90</v>
      </c>
      <c r="B1518" t="s">
        <v>91</v>
      </c>
      <c r="C1518" t="s">
        <v>92</v>
      </c>
      <c r="D1518" t="s">
        <v>823</v>
      </c>
      <c r="E1518">
        <v>80851067</v>
      </c>
      <c r="F1518" t="s">
        <v>1279</v>
      </c>
      <c r="G1518" s="3">
        <v>46862</v>
      </c>
      <c r="H1518">
        <v>24</v>
      </c>
      <c r="I1518">
        <v>93</v>
      </c>
      <c r="J1518">
        <v>303</v>
      </c>
      <c r="K1518" s="4">
        <v>52409.91</v>
      </c>
      <c r="L1518" s="4">
        <v>18479.142857142859</v>
      </c>
      <c r="M1518" s="4">
        <v>1.6396864418572289E-2</v>
      </c>
      <c r="N1518" t="s">
        <v>25</v>
      </c>
      <c r="O1518" t="str">
        <f t="shared" si="230"/>
        <v>Low</v>
      </c>
      <c r="P1518" t="str">
        <f t="shared" si="231"/>
        <v>Low</v>
      </c>
      <c r="Q1518" t="str">
        <f t="shared" si="232"/>
        <v>Low</v>
      </c>
      <c r="R1518" t="s">
        <v>3317</v>
      </c>
      <c r="S1518" s="4">
        <f t="shared" ca="1" si="233"/>
        <v>665</v>
      </c>
      <c r="T1518">
        <f t="shared" si="234"/>
        <v>1</v>
      </c>
      <c r="U1518">
        <f t="shared" si="235"/>
        <v>1</v>
      </c>
      <c r="V1518">
        <f t="shared" si="236"/>
        <v>1</v>
      </c>
      <c r="W1518">
        <f t="shared" si="237"/>
        <v>1</v>
      </c>
      <c r="X1518">
        <f t="shared" si="238"/>
        <v>0.99999999999999989</v>
      </c>
      <c r="Y1518" t="str">
        <f t="shared" si="239"/>
        <v>Healthy</v>
      </c>
    </row>
    <row r="1519" spans="1:25" x14ac:dyDescent="0.35">
      <c r="A1519" t="s">
        <v>90</v>
      </c>
      <c r="B1519" t="s">
        <v>91</v>
      </c>
      <c r="C1519" t="s">
        <v>255</v>
      </c>
      <c r="D1519" t="s">
        <v>1275</v>
      </c>
      <c r="E1519">
        <v>80817625</v>
      </c>
      <c r="F1519" t="s">
        <v>1276</v>
      </c>
      <c r="G1519" s="3">
        <v>46396</v>
      </c>
      <c r="H1519">
        <v>24</v>
      </c>
      <c r="I1519">
        <v>28</v>
      </c>
      <c r="J1519">
        <v>556</v>
      </c>
      <c r="K1519" s="4">
        <v>61793.84</v>
      </c>
      <c r="L1519" s="4">
        <v>74.857142857142861</v>
      </c>
      <c r="M1519" s="4">
        <v>7.4274809160305342</v>
      </c>
      <c r="N1519" t="s">
        <v>19</v>
      </c>
      <c r="O1519" t="str">
        <f t="shared" si="230"/>
        <v>Medium</v>
      </c>
      <c r="P1519" t="str">
        <f t="shared" si="231"/>
        <v>Medium</v>
      </c>
      <c r="Q1519" t="str">
        <f t="shared" si="232"/>
        <v>Low</v>
      </c>
      <c r="R1519" t="s">
        <v>3317</v>
      </c>
      <c r="S1519" s="4">
        <f t="shared" ca="1" si="233"/>
        <v>199</v>
      </c>
      <c r="T1519">
        <f t="shared" si="234"/>
        <v>2</v>
      </c>
      <c r="U1519">
        <f t="shared" si="235"/>
        <v>2</v>
      </c>
      <c r="V1519">
        <f t="shared" si="236"/>
        <v>1</v>
      </c>
      <c r="W1519">
        <f t="shared" si="237"/>
        <v>1</v>
      </c>
      <c r="X1519">
        <f t="shared" si="238"/>
        <v>1.7</v>
      </c>
      <c r="Y1519" t="str">
        <f t="shared" si="239"/>
        <v>Monitor</v>
      </c>
    </row>
    <row r="1520" spans="1:25" x14ac:dyDescent="0.35">
      <c r="A1520" t="s">
        <v>90</v>
      </c>
      <c r="B1520" t="s">
        <v>91</v>
      </c>
      <c r="C1520" t="s">
        <v>92</v>
      </c>
      <c r="D1520" t="s">
        <v>823</v>
      </c>
      <c r="E1520">
        <v>80851067</v>
      </c>
      <c r="F1520" t="s">
        <v>1279</v>
      </c>
      <c r="G1520" s="3">
        <v>46888</v>
      </c>
      <c r="H1520">
        <v>24</v>
      </c>
      <c r="I1520">
        <v>97</v>
      </c>
      <c r="J1520">
        <v>510</v>
      </c>
      <c r="K1520" s="4">
        <v>88214.7</v>
      </c>
      <c r="L1520" s="4">
        <v>18479.142857142859</v>
      </c>
      <c r="M1520" s="4">
        <v>2.7598682684725633E-2</v>
      </c>
      <c r="N1520" t="s">
        <v>25</v>
      </c>
      <c r="O1520" t="str">
        <f t="shared" si="230"/>
        <v>Low</v>
      </c>
      <c r="P1520" t="str">
        <f t="shared" si="231"/>
        <v>Low</v>
      </c>
      <c r="Q1520" t="str">
        <f t="shared" si="232"/>
        <v>Low</v>
      </c>
      <c r="R1520" t="s">
        <v>3310</v>
      </c>
      <c r="S1520" s="4">
        <f t="shared" ca="1" si="233"/>
        <v>691</v>
      </c>
      <c r="T1520">
        <f t="shared" si="234"/>
        <v>1</v>
      </c>
      <c r="U1520">
        <f t="shared" si="235"/>
        <v>1</v>
      </c>
      <c r="V1520">
        <f t="shared" si="236"/>
        <v>1</v>
      </c>
      <c r="W1520">
        <f t="shared" si="237"/>
        <v>2</v>
      </c>
      <c r="X1520">
        <f t="shared" si="238"/>
        <v>1.0999999999999999</v>
      </c>
      <c r="Y1520" t="str">
        <f t="shared" si="239"/>
        <v>Healthy</v>
      </c>
    </row>
    <row r="1521" spans="1:25" x14ac:dyDescent="0.35">
      <c r="A1521" t="s">
        <v>90</v>
      </c>
      <c r="B1521" t="s">
        <v>91</v>
      </c>
      <c r="C1521" t="s">
        <v>92</v>
      </c>
      <c r="D1521" t="s">
        <v>823</v>
      </c>
      <c r="E1521">
        <v>80851067</v>
      </c>
      <c r="F1521" t="s">
        <v>1279</v>
      </c>
      <c r="G1521" s="3">
        <v>46860</v>
      </c>
      <c r="H1521">
        <v>24</v>
      </c>
      <c r="I1521">
        <v>93</v>
      </c>
      <c r="J1521">
        <v>17</v>
      </c>
      <c r="K1521" s="4">
        <v>2940.49</v>
      </c>
      <c r="L1521" s="4">
        <v>18479.142857142859</v>
      </c>
      <c r="M1521" s="4">
        <v>9.1995608949085449E-4</v>
      </c>
      <c r="N1521" t="s">
        <v>25</v>
      </c>
      <c r="O1521" t="str">
        <f t="shared" si="230"/>
        <v>Low</v>
      </c>
      <c r="P1521" t="str">
        <f t="shared" si="231"/>
        <v>Low</v>
      </c>
      <c r="Q1521" t="str">
        <f t="shared" si="232"/>
        <v>Low</v>
      </c>
      <c r="R1521" t="s">
        <v>3317</v>
      </c>
      <c r="S1521" s="4">
        <f t="shared" ca="1" si="233"/>
        <v>663</v>
      </c>
      <c r="T1521">
        <f t="shared" si="234"/>
        <v>1</v>
      </c>
      <c r="U1521">
        <f t="shared" si="235"/>
        <v>1</v>
      </c>
      <c r="V1521">
        <f t="shared" si="236"/>
        <v>1</v>
      </c>
      <c r="W1521">
        <f t="shared" si="237"/>
        <v>1</v>
      </c>
      <c r="X1521">
        <f t="shared" si="238"/>
        <v>0.99999999999999989</v>
      </c>
      <c r="Y1521" t="str">
        <f t="shared" si="239"/>
        <v>Healthy</v>
      </c>
    </row>
    <row r="1522" spans="1:25" x14ac:dyDescent="0.35">
      <c r="A1522" t="s">
        <v>90</v>
      </c>
      <c r="B1522" t="s">
        <v>91</v>
      </c>
      <c r="C1522" t="s">
        <v>92</v>
      </c>
      <c r="D1522" t="s">
        <v>823</v>
      </c>
      <c r="E1522">
        <v>80851067</v>
      </c>
      <c r="F1522" t="s">
        <v>1279</v>
      </c>
      <c r="G1522" s="3">
        <v>46878</v>
      </c>
      <c r="H1522">
        <v>24</v>
      </c>
      <c r="I1522">
        <v>95</v>
      </c>
      <c r="J1522">
        <v>507</v>
      </c>
      <c r="K1522" s="4">
        <v>87695.79</v>
      </c>
      <c r="L1522" s="4">
        <v>18479.142857142859</v>
      </c>
      <c r="M1522" s="4">
        <v>2.7436337492462541E-2</v>
      </c>
      <c r="N1522" t="s">
        <v>25</v>
      </c>
      <c r="O1522" t="str">
        <f t="shared" si="230"/>
        <v>Low</v>
      </c>
      <c r="P1522" t="str">
        <f t="shared" si="231"/>
        <v>Low</v>
      </c>
      <c r="Q1522" t="str">
        <f t="shared" si="232"/>
        <v>Low</v>
      </c>
      <c r="R1522" t="s">
        <v>3310</v>
      </c>
      <c r="S1522" s="4">
        <f t="shared" ca="1" si="233"/>
        <v>681</v>
      </c>
      <c r="T1522">
        <f t="shared" si="234"/>
        <v>1</v>
      </c>
      <c r="U1522">
        <f t="shared" si="235"/>
        <v>1</v>
      </c>
      <c r="V1522">
        <f t="shared" si="236"/>
        <v>1</v>
      </c>
      <c r="W1522">
        <f t="shared" si="237"/>
        <v>2</v>
      </c>
      <c r="X1522">
        <f t="shared" si="238"/>
        <v>1.0999999999999999</v>
      </c>
      <c r="Y1522" t="str">
        <f t="shared" si="239"/>
        <v>Healthy</v>
      </c>
    </row>
    <row r="1523" spans="1:25" x14ac:dyDescent="0.35">
      <c r="A1523" t="s">
        <v>90</v>
      </c>
      <c r="B1523" t="s">
        <v>91</v>
      </c>
      <c r="C1523" t="s">
        <v>92</v>
      </c>
      <c r="D1523" t="s">
        <v>823</v>
      </c>
      <c r="E1523">
        <v>80851067</v>
      </c>
      <c r="F1523" t="s">
        <v>1279</v>
      </c>
      <c r="G1523" s="3">
        <v>46865</v>
      </c>
      <c r="H1523">
        <v>24</v>
      </c>
      <c r="I1523">
        <v>93</v>
      </c>
      <c r="J1523">
        <v>496</v>
      </c>
      <c r="K1523" s="4">
        <v>85793.12</v>
      </c>
      <c r="L1523" s="4">
        <v>18479.142857142859</v>
      </c>
      <c r="M1523" s="4">
        <v>2.684107178749787E-2</v>
      </c>
      <c r="N1523" t="s">
        <v>25</v>
      </c>
      <c r="O1523" t="str">
        <f t="shared" si="230"/>
        <v>Low</v>
      </c>
      <c r="P1523" t="str">
        <f t="shared" si="231"/>
        <v>Low</v>
      </c>
      <c r="Q1523" t="str">
        <f t="shared" si="232"/>
        <v>Low</v>
      </c>
      <c r="R1523" t="s">
        <v>3310</v>
      </c>
      <c r="S1523" s="4">
        <f t="shared" ca="1" si="233"/>
        <v>668</v>
      </c>
      <c r="T1523">
        <f t="shared" si="234"/>
        <v>1</v>
      </c>
      <c r="U1523">
        <f t="shared" si="235"/>
        <v>1</v>
      </c>
      <c r="V1523">
        <f t="shared" si="236"/>
        <v>1</v>
      </c>
      <c r="W1523">
        <f t="shared" si="237"/>
        <v>2</v>
      </c>
      <c r="X1523">
        <f t="shared" si="238"/>
        <v>1.0999999999999999</v>
      </c>
      <c r="Y1523" t="str">
        <f t="shared" si="239"/>
        <v>Healthy</v>
      </c>
    </row>
    <row r="1524" spans="1:25" x14ac:dyDescent="0.35">
      <c r="A1524" t="s">
        <v>90</v>
      </c>
      <c r="B1524" t="s">
        <v>91</v>
      </c>
      <c r="C1524" t="s">
        <v>92</v>
      </c>
      <c r="D1524" t="s">
        <v>823</v>
      </c>
      <c r="E1524">
        <v>80851067</v>
      </c>
      <c r="F1524" t="s">
        <v>1279</v>
      </c>
      <c r="G1524" s="3">
        <v>46906</v>
      </c>
      <c r="H1524">
        <v>24</v>
      </c>
      <c r="I1524">
        <v>99</v>
      </c>
      <c r="J1524">
        <v>528</v>
      </c>
      <c r="K1524" s="4">
        <v>91328.16</v>
      </c>
      <c r="L1524" s="4">
        <v>18479.142857142859</v>
      </c>
      <c r="M1524" s="4">
        <v>2.8572753838304186E-2</v>
      </c>
      <c r="N1524" t="s">
        <v>25</v>
      </c>
      <c r="O1524" t="str">
        <f t="shared" si="230"/>
        <v>Low</v>
      </c>
      <c r="P1524" t="str">
        <f t="shared" si="231"/>
        <v>Low</v>
      </c>
      <c r="Q1524" t="str">
        <f t="shared" si="232"/>
        <v>Low</v>
      </c>
      <c r="R1524" t="s">
        <v>3310</v>
      </c>
      <c r="S1524" s="4">
        <f t="shared" ca="1" si="233"/>
        <v>709</v>
      </c>
      <c r="T1524">
        <f t="shared" si="234"/>
        <v>1</v>
      </c>
      <c r="U1524">
        <f t="shared" si="235"/>
        <v>1</v>
      </c>
      <c r="V1524">
        <f t="shared" si="236"/>
        <v>1</v>
      </c>
      <c r="W1524">
        <f t="shared" si="237"/>
        <v>2</v>
      </c>
      <c r="X1524">
        <f t="shared" si="238"/>
        <v>1.0999999999999999</v>
      </c>
      <c r="Y1524" t="str">
        <f t="shared" si="239"/>
        <v>Healthy</v>
      </c>
    </row>
    <row r="1525" spans="1:25" x14ac:dyDescent="0.35">
      <c r="A1525" t="s">
        <v>90</v>
      </c>
      <c r="B1525" t="s">
        <v>91</v>
      </c>
      <c r="C1525" t="s">
        <v>92</v>
      </c>
      <c r="D1525" t="s">
        <v>823</v>
      </c>
      <c r="E1525">
        <v>80851067</v>
      </c>
      <c r="F1525" t="s">
        <v>1279</v>
      </c>
      <c r="G1525" s="3">
        <v>46907</v>
      </c>
      <c r="H1525">
        <v>24</v>
      </c>
      <c r="I1525">
        <v>99</v>
      </c>
      <c r="J1525">
        <v>36</v>
      </c>
      <c r="K1525" s="4">
        <v>6226.92</v>
      </c>
      <c r="L1525" s="4">
        <v>18479.142857142859</v>
      </c>
      <c r="M1525" s="4">
        <v>1.9481423071571035E-3</v>
      </c>
      <c r="N1525" t="s">
        <v>25</v>
      </c>
      <c r="O1525" t="str">
        <f t="shared" si="230"/>
        <v>Low</v>
      </c>
      <c r="P1525" t="str">
        <f t="shared" si="231"/>
        <v>Low</v>
      </c>
      <c r="Q1525" t="str">
        <f t="shared" si="232"/>
        <v>Low</v>
      </c>
      <c r="R1525" t="s">
        <v>3317</v>
      </c>
      <c r="S1525" s="4">
        <f t="shared" ca="1" si="233"/>
        <v>710</v>
      </c>
      <c r="T1525">
        <f t="shared" si="234"/>
        <v>1</v>
      </c>
      <c r="U1525">
        <f t="shared" si="235"/>
        <v>1</v>
      </c>
      <c r="V1525">
        <f t="shared" si="236"/>
        <v>1</v>
      </c>
      <c r="W1525">
        <f t="shared" si="237"/>
        <v>1</v>
      </c>
      <c r="X1525">
        <f t="shared" si="238"/>
        <v>0.99999999999999989</v>
      </c>
      <c r="Y1525" t="str">
        <f t="shared" si="239"/>
        <v>Healthy</v>
      </c>
    </row>
    <row r="1526" spans="1:25" x14ac:dyDescent="0.35">
      <c r="A1526" t="s">
        <v>90</v>
      </c>
      <c r="B1526" t="s">
        <v>91</v>
      </c>
      <c r="C1526" t="s">
        <v>92</v>
      </c>
      <c r="D1526" t="s">
        <v>823</v>
      </c>
      <c r="E1526">
        <v>80851067</v>
      </c>
      <c r="F1526" t="s">
        <v>1279</v>
      </c>
      <c r="G1526" s="3">
        <v>46877</v>
      </c>
      <c r="H1526">
        <v>24</v>
      </c>
      <c r="I1526">
        <v>95</v>
      </c>
      <c r="J1526">
        <v>236</v>
      </c>
      <c r="K1526" s="4">
        <v>40820.92</v>
      </c>
      <c r="L1526" s="4">
        <v>18479.142857142859</v>
      </c>
      <c r="M1526" s="4">
        <v>1.2771155124696568E-2</v>
      </c>
      <c r="N1526" t="s">
        <v>25</v>
      </c>
      <c r="O1526" t="str">
        <f t="shared" si="230"/>
        <v>Low</v>
      </c>
      <c r="P1526" t="str">
        <f t="shared" si="231"/>
        <v>Low</v>
      </c>
      <c r="Q1526" t="str">
        <f t="shared" si="232"/>
        <v>Low</v>
      </c>
      <c r="R1526" t="s">
        <v>3317</v>
      </c>
      <c r="S1526" s="4">
        <f t="shared" ca="1" si="233"/>
        <v>680</v>
      </c>
      <c r="T1526">
        <f t="shared" si="234"/>
        <v>1</v>
      </c>
      <c r="U1526">
        <f t="shared" si="235"/>
        <v>1</v>
      </c>
      <c r="V1526">
        <f t="shared" si="236"/>
        <v>1</v>
      </c>
      <c r="W1526">
        <f t="shared" si="237"/>
        <v>1</v>
      </c>
      <c r="X1526">
        <f t="shared" si="238"/>
        <v>0.99999999999999989</v>
      </c>
      <c r="Y1526" t="str">
        <f t="shared" si="239"/>
        <v>Healthy</v>
      </c>
    </row>
    <row r="1527" spans="1:25" x14ac:dyDescent="0.35">
      <c r="A1527" t="s">
        <v>179</v>
      </c>
      <c r="B1527" t="s">
        <v>223</v>
      </c>
      <c r="C1527" t="s">
        <v>357</v>
      </c>
      <c r="D1527" t="s">
        <v>1280</v>
      </c>
      <c r="E1527">
        <v>80838228</v>
      </c>
      <c r="F1527" t="s">
        <v>1281</v>
      </c>
      <c r="G1527" s="3">
        <v>46346</v>
      </c>
      <c r="H1527">
        <v>18</v>
      </c>
      <c r="I1527">
        <v>29</v>
      </c>
      <c r="J1527">
        <v>1</v>
      </c>
      <c r="K1527" s="4">
        <v>857.75</v>
      </c>
      <c r="L1527" s="4">
        <v>1.5714285714285714</v>
      </c>
      <c r="M1527" s="4">
        <v>0.63636363636363635</v>
      </c>
      <c r="N1527" t="s">
        <v>25</v>
      </c>
      <c r="O1527" t="str">
        <f t="shared" si="230"/>
        <v>Medium</v>
      </c>
      <c r="P1527" t="str">
        <f t="shared" si="231"/>
        <v>Low</v>
      </c>
      <c r="Q1527" t="str">
        <f t="shared" si="232"/>
        <v>High</v>
      </c>
      <c r="R1527" t="s">
        <v>3317</v>
      </c>
      <c r="S1527" s="4">
        <f t="shared" ca="1" si="233"/>
        <v>149</v>
      </c>
      <c r="T1527">
        <f t="shared" si="234"/>
        <v>2</v>
      </c>
      <c r="U1527">
        <f t="shared" si="235"/>
        <v>1</v>
      </c>
      <c r="V1527">
        <f t="shared" si="236"/>
        <v>3</v>
      </c>
      <c r="W1527">
        <f t="shared" si="237"/>
        <v>1</v>
      </c>
      <c r="X1527">
        <f t="shared" si="238"/>
        <v>1.8000000000000003</v>
      </c>
      <c r="Y1527" t="str">
        <f t="shared" si="239"/>
        <v>Monitor</v>
      </c>
    </row>
    <row r="1528" spans="1:25" x14ac:dyDescent="0.35">
      <c r="A1528" t="s">
        <v>90</v>
      </c>
      <c r="B1528" t="s">
        <v>91</v>
      </c>
      <c r="C1528" t="s">
        <v>92</v>
      </c>
      <c r="D1528" t="s">
        <v>823</v>
      </c>
      <c r="E1528">
        <v>80851067</v>
      </c>
      <c r="F1528" t="s">
        <v>1279</v>
      </c>
      <c r="G1528" s="3">
        <v>46875</v>
      </c>
      <c r="H1528">
        <v>24</v>
      </c>
      <c r="I1528">
        <v>95</v>
      </c>
      <c r="J1528">
        <v>435</v>
      </c>
      <c r="K1528" s="4">
        <v>75241.95</v>
      </c>
      <c r="L1528" s="4">
        <v>18479.142857142859</v>
      </c>
      <c r="M1528" s="4">
        <v>2.3540052878148334E-2</v>
      </c>
      <c r="N1528" t="s">
        <v>25</v>
      </c>
      <c r="O1528" t="str">
        <f t="shared" si="230"/>
        <v>Low</v>
      </c>
      <c r="P1528" t="str">
        <f t="shared" si="231"/>
        <v>Low</v>
      </c>
      <c r="Q1528" t="str">
        <f t="shared" si="232"/>
        <v>Low</v>
      </c>
      <c r="R1528" t="s">
        <v>3310</v>
      </c>
      <c r="S1528" s="4">
        <f t="shared" ca="1" si="233"/>
        <v>678</v>
      </c>
      <c r="T1528">
        <f t="shared" si="234"/>
        <v>1</v>
      </c>
      <c r="U1528">
        <f t="shared" si="235"/>
        <v>1</v>
      </c>
      <c r="V1528">
        <f t="shared" si="236"/>
        <v>1</v>
      </c>
      <c r="W1528">
        <f t="shared" si="237"/>
        <v>2</v>
      </c>
      <c r="X1528">
        <f t="shared" si="238"/>
        <v>1.0999999999999999</v>
      </c>
      <c r="Y1528" t="str">
        <f t="shared" si="239"/>
        <v>Healthy</v>
      </c>
    </row>
    <row r="1529" spans="1:25" x14ac:dyDescent="0.35">
      <c r="A1529" t="s">
        <v>179</v>
      </c>
      <c r="B1529" t="s">
        <v>223</v>
      </c>
      <c r="C1529" t="s">
        <v>357</v>
      </c>
      <c r="D1529" t="s">
        <v>1280</v>
      </c>
      <c r="E1529">
        <v>80838228</v>
      </c>
      <c r="F1529" t="s">
        <v>1281</v>
      </c>
      <c r="G1529" s="3">
        <v>46273</v>
      </c>
      <c r="H1529">
        <v>18</v>
      </c>
      <c r="I1529">
        <v>15</v>
      </c>
      <c r="J1529">
        <v>1</v>
      </c>
      <c r="K1529" s="4">
        <v>857.75</v>
      </c>
      <c r="L1529" s="4">
        <v>1.5714285714285714</v>
      </c>
      <c r="M1529" s="4">
        <v>0.63636363636363635</v>
      </c>
      <c r="N1529" t="s">
        <v>25</v>
      </c>
      <c r="O1529" t="str">
        <f t="shared" si="230"/>
        <v>High</v>
      </c>
      <c r="P1529" t="str">
        <f t="shared" si="231"/>
        <v>Low</v>
      </c>
      <c r="Q1529" t="str">
        <f t="shared" si="232"/>
        <v>High</v>
      </c>
      <c r="R1529" t="s">
        <v>3317</v>
      </c>
      <c r="S1529" s="4">
        <f t="shared" ca="1" si="233"/>
        <v>76</v>
      </c>
      <c r="T1529">
        <f t="shared" si="234"/>
        <v>3</v>
      </c>
      <c r="U1529">
        <f t="shared" si="235"/>
        <v>1</v>
      </c>
      <c r="V1529">
        <f t="shared" si="236"/>
        <v>3</v>
      </c>
      <c r="W1529">
        <f t="shared" si="237"/>
        <v>1</v>
      </c>
      <c r="X1529">
        <f t="shared" si="238"/>
        <v>2.2000000000000006</v>
      </c>
      <c r="Y1529" t="str">
        <f t="shared" si="239"/>
        <v>High Priority</v>
      </c>
    </row>
    <row r="1530" spans="1:25" x14ac:dyDescent="0.35">
      <c r="A1530" t="s">
        <v>90</v>
      </c>
      <c r="B1530" t="s">
        <v>91</v>
      </c>
      <c r="C1530" t="s">
        <v>92</v>
      </c>
      <c r="D1530" t="s">
        <v>823</v>
      </c>
      <c r="E1530">
        <v>80851067</v>
      </c>
      <c r="F1530" t="s">
        <v>1279</v>
      </c>
      <c r="G1530" s="3">
        <v>46890</v>
      </c>
      <c r="H1530">
        <v>24</v>
      </c>
      <c r="I1530">
        <v>97</v>
      </c>
      <c r="J1530">
        <v>408</v>
      </c>
      <c r="K1530" s="4">
        <v>70571.759999999995</v>
      </c>
      <c r="L1530" s="4">
        <v>18479.142857142859</v>
      </c>
      <c r="M1530" s="4">
        <v>2.2078946147780509E-2</v>
      </c>
      <c r="N1530" t="s">
        <v>25</v>
      </c>
      <c r="O1530" t="str">
        <f t="shared" si="230"/>
        <v>Low</v>
      </c>
      <c r="P1530" t="str">
        <f t="shared" si="231"/>
        <v>Low</v>
      </c>
      <c r="Q1530" t="str">
        <f t="shared" si="232"/>
        <v>Low</v>
      </c>
      <c r="R1530" t="s">
        <v>3310</v>
      </c>
      <c r="S1530" s="4">
        <f t="shared" ca="1" si="233"/>
        <v>693</v>
      </c>
      <c r="T1530">
        <f t="shared" si="234"/>
        <v>1</v>
      </c>
      <c r="U1530">
        <f t="shared" si="235"/>
        <v>1</v>
      </c>
      <c r="V1530">
        <f t="shared" si="236"/>
        <v>1</v>
      </c>
      <c r="W1530">
        <f t="shared" si="237"/>
        <v>2</v>
      </c>
      <c r="X1530">
        <f t="shared" si="238"/>
        <v>1.0999999999999999</v>
      </c>
      <c r="Y1530" t="str">
        <f t="shared" si="239"/>
        <v>Healthy</v>
      </c>
    </row>
    <row r="1531" spans="1:25" x14ac:dyDescent="0.35">
      <c r="A1531" t="s">
        <v>179</v>
      </c>
      <c r="B1531" t="s">
        <v>223</v>
      </c>
      <c r="C1531" t="s">
        <v>357</v>
      </c>
      <c r="D1531" t="s">
        <v>1280</v>
      </c>
      <c r="E1531">
        <v>80838228</v>
      </c>
      <c r="F1531" t="s">
        <v>1281</v>
      </c>
      <c r="G1531" s="3">
        <v>46217</v>
      </c>
      <c r="H1531">
        <v>18</v>
      </c>
      <c r="I1531">
        <v>5</v>
      </c>
      <c r="J1531">
        <v>3</v>
      </c>
      <c r="K1531" s="4">
        <v>2573.25</v>
      </c>
      <c r="L1531" s="4">
        <v>1.5714285714285714</v>
      </c>
      <c r="M1531" s="4">
        <v>1.9090909090909092</v>
      </c>
      <c r="N1531" t="s">
        <v>25</v>
      </c>
      <c r="O1531" t="str">
        <f t="shared" si="230"/>
        <v>High</v>
      </c>
      <c r="P1531" t="str">
        <f t="shared" si="231"/>
        <v>Low</v>
      </c>
      <c r="Q1531" t="str">
        <f t="shared" si="232"/>
        <v>High</v>
      </c>
      <c r="R1531" t="s">
        <v>3317</v>
      </c>
      <c r="S1531" s="4">
        <f t="shared" ca="1" si="233"/>
        <v>20</v>
      </c>
      <c r="T1531">
        <f t="shared" si="234"/>
        <v>3</v>
      </c>
      <c r="U1531">
        <f t="shared" si="235"/>
        <v>1</v>
      </c>
      <c r="V1531">
        <f t="shared" si="236"/>
        <v>3</v>
      </c>
      <c r="W1531">
        <f t="shared" si="237"/>
        <v>1</v>
      </c>
      <c r="X1531">
        <f t="shared" si="238"/>
        <v>2.2000000000000006</v>
      </c>
      <c r="Y1531" t="str">
        <f t="shared" si="239"/>
        <v>High Priority</v>
      </c>
    </row>
    <row r="1532" spans="1:25" x14ac:dyDescent="0.35">
      <c r="A1532" t="s">
        <v>90</v>
      </c>
      <c r="B1532" t="s">
        <v>91</v>
      </c>
      <c r="C1532" t="s">
        <v>92</v>
      </c>
      <c r="D1532" t="s">
        <v>823</v>
      </c>
      <c r="E1532">
        <v>80851067</v>
      </c>
      <c r="F1532" t="s">
        <v>1279</v>
      </c>
      <c r="G1532" s="3">
        <v>46879</v>
      </c>
      <c r="H1532">
        <v>24</v>
      </c>
      <c r="I1532">
        <v>95</v>
      </c>
      <c r="J1532">
        <v>520</v>
      </c>
      <c r="K1532" s="4">
        <v>89944.4</v>
      </c>
      <c r="L1532" s="4">
        <v>18479.142857142859</v>
      </c>
      <c r="M1532" s="4">
        <v>2.8139833325602607E-2</v>
      </c>
      <c r="N1532" t="s">
        <v>25</v>
      </c>
      <c r="O1532" t="str">
        <f t="shared" si="230"/>
        <v>Low</v>
      </c>
      <c r="P1532" t="str">
        <f t="shared" si="231"/>
        <v>Low</v>
      </c>
      <c r="Q1532" t="str">
        <f t="shared" si="232"/>
        <v>Low</v>
      </c>
      <c r="R1532" t="s">
        <v>3310</v>
      </c>
      <c r="S1532" s="4">
        <f t="shared" ca="1" si="233"/>
        <v>682</v>
      </c>
      <c r="T1532">
        <f t="shared" si="234"/>
        <v>1</v>
      </c>
      <c r="U1532">
        <f t="shared" si="235"/>
        <v>1</v>
      </c>
      <c r="V1532">
        <f t="shared" si="236"/>
        <v>1</v>
      </c>
      <c r="W1532">
        <f t="shared" si="237"/>
        <v>2</v>
      </c>
      <c r="X1532">
        <f t="shared" si="238"/>
        <v>1.0999999999999999</v>
      </c>
      <c r="Y1532" t="str">
        <f t="shared" si="239"/>
        <v>Healthy</v>
      </c>
    </row>
    <row r="1533" spans="1:25" x14ac:dyDescent="0.35">
      <c r="A1533" t="s">
        <v>90</v>
      </c>
      <c r="B1533" t="s">
        <v>91</v>
      </c>
      <c r="C1533" t="s">
        <v>92</v>
      </c>
      <c r="D1533" t="s">
        <v>823</v>
      </c>
      <c r="E1533">
        <v>80851067</v>
      </c>
      <c r="F1533" t="s">
        <v>1279</v>
      </c>
      <c r="G1533" s="3">
        <v>46876</v>
      </c>
      <c r="H1533">
        <v>24</v>
      </c>
      <c r="I1533">
        <v>95</v>
      </c>
      <c r="J1533">
        <v>480</v>
      </c>
      <c r="K1533" s="4">
        <v>83025.600000000006</v>
      </c>
      <c r="L1533" s="4">
        <v>18479.142857142859</v>
      </c>
      <c r="M1533" s="4">
        <v>2.5975230762094716E-2</v>
      </c>
      <c r="N1533" t="s">
        <v>25</v>
      </c>
      <c r="O1533" t="str">
        <f t="shared" si="230"/>
        <v>Low</v>
      </c>
      <c r="P1533" t="str">
        <f t="shared" si="231"/>
        <v>Low</v>
      </c>
      <c r="Q1533" t="str">
        <f t="shared" si="232"/>
        <v>Low</v>
      </c>
      <c r="R1533" t="s">
        <v>3310</v>
      </c>
      <c r="S1533" s="4">
        <f t="shared" ca="1" si="233"/>
        <v>679</v>
      </c>
      <c r="T1533">
        <f t="shared" si="234"/>
        <v>1</v>
      </c>
      <c r="U1533">
        <f t="shared" si="235"/>
        <v>1</v>
      </c>
      <c r="V1533">
        <f t="shared" si="236"/>
        <v>1</v>
      </c>
      <c r="W1533">
        <f t="shared" si="237"/>
        <v>2</v>
      </c>
      <c r="X1533">
        <f t="shared" si="238"/>
        <v>1.0999999999999999</v>
      </c>
      <c r="Y1533" t="str">
        <f t="shared" si="239"/>
        <v>Healthy</v>
      </c>
    </row>
    <row r="1534" spans="1:25" x14ac:dyDescent="0.35">
      <c r="A1534" t="s">
        <v>179</v>
      </c>
      <c r="B1534" t="s">
        <v>223</v>
      </c>
      <c r="C1534" t="s">
        <v>357</v>
      </c>
      <c r="D1534" t="s">
        <v>1280</v>
      </c>
      <c r="E1534">
        <v>80838228</v>
      </c>
      <c r="F1534" t="s">
        <v>1281</v>
      </c>
      <c r="G1534" s="3">
        <v>46357</v>
      </c>
      <c r="H1534">
        <v>18</v>
      </c>
      <c r="I1534">
        <v>31</v>
      </c>
      <c r="J1534">
        <v>2</v>
      </c>
      <c r="K1534" s="4">
        <v>1715.5</v>
      </c>
      <c r="L1534" s="4">
        <v>1.5714285714285714</v>
      </c>
      <c r="M1534" s="4">
        <v>1.2727272727272727</v>
      </c>
      <c r="N1534" t="s">
        <v>25</v>
      </c>
      <c r="O1534" t="str">
        <f t="shared" si="230"/>
        <v>Medium</v>
      </c>
      <c r="P1534" t="str">
        <f t="shared" si="231"/>
        <v>Low</v>
      </c>
      <c r="Q1534" t="str">
        <f t="shared" si="232"/>
        <v>High</v>
      </c>
      <c r="R1534" t="s">
        <v>3317</v>
      </c>
      <c r="S1534" s="4">
        <f t="shared" ca="1" si="233"/>
        <v>160</v>
      </c>
      <c r="T1534">
        <f t="shared" si="234"/>
        <v>2</v>
      </c>
      <c r="U1534">
        <f t="shared" si="235"/>
        <v>1</v>
      </c>
      <c r="V1534">
        <f t="shared" si="236"/>
        <v>3</v>
      </c>
      <c r="W1534">
        <f t="shared" si="237"/>
        <v>1</v>
      </c>
      <c r="X1534">
        <f t="shared" si="238"/>
        <v>1.8000000000000003</v>
      </c>
      <c r="Y1534" t="str">
        <f t="shared" si="239"/>
        <v>Monitor</v>
      </c>
    </row>
    <row r="1535" spans="1:25" x14ac:dyDescent="0.35">
      <c r="A1535" t="s">
        <v>179</v>
      </c>
      <c r="B1535" t="s">
        <v>223</v>
      </c>
      <c r="C1535" t="s">
        <v>357</v>
      </c>
      <c r="D1535" t="s">
        <v>1280</v>
      </c>
      <c r="E1535">
        <v>80838228</v>
      </c>
      <c r="F1535" t="s">
        <v>1281</v>
      </c>
      <c r="G1535" s="3">
        <v>46270</v>
      </c>
      <c r="H1535">
        <v>18</v>
      </c>
      <c r="I1535">
        <v>14</v>
      </c>
      <c r="J1535">
        <v>28</v>
      </c>
      <c r="K1535" s="4">
        <v>24017</v>
      </c>
      <c r="L1535" s="4">
        <v>1.5714285714285714</v>
      </c>
      <c r="M1535" s="4">
        <v>17.81818181818182</v>
      </c>
      <c r="N1535" t="s">
        <v>19</v>
      </c>
      <c r="O1535" t="str">
        <f t="shared" si="230"/>
        <v>High</v>
      </c>
      <c r="P1535" t="str">
        <f t="shared" si="231"/>
        <v>High</v>
      </c>
      <c r="Q1535" t="str">
        <f t="shared" si="232"/>
        <v>High</v>
      </c>
      <c r="R1535" t="s">
        <v>3317</v>
      </c>
      <c r="S1535" s="4">
        <f t="shared" ca="1" si="233"/>
        <v>73</v>
      </c>
      <c r="T1535">
        <f t="shared" si="234"/>
        <v>3</v>
      </c>
      <c r="U1535">
        <f t="shared" si="235"/>
        <v>3</v>
      </c>
      <c r="V1535">
        <f t="shared" si="236"/>
        <v>3</v>
      </c>
      <c r="W1535">
        <f t="shared" si="237"/>
        <v>1</v>
      </c>
      <c r="X1535">
        <f t="shared" si="238"/>
        <v>2.8000000000000003</v>
      </c>
      <c r="Y1535" t="str">
        <f t="shared" si="239"/>
        <v>Move Immediately</v>
      </c>
    </row>
    <row r="1536" spans="1:25" x14ac:dyDescent="0.35">
      <c r="A1536" t="s">
        <v>41</v>
      </c>
      <c r="B1536" t="s">
        <v>42</v>
      </c>
      <c r="C1536" t="s">
        <v>121</v>
      </c>
      <c r="D1536" t="s">
        <v>1282</v>
      </c>
      <c r="E1536">
        <v>80851521</v>
      </c>
      <c r="F1536" t="s">
        <v>1283</v>
      </c>
      <c r="G1536" s="3">
        <v>47255</v>
      </c>
      <c r="H1536">
        <v>36</v>
      </c>
      <c r="I1536">
        <v>98</v>
      </c>
      <c r="J1536">
        <v>15</v>
      </c>
      <c r="K1536" s="4">
        <v>1314.75</v>
      </c>
      <c r="L1536" s="4">
        <v>372</v>
      </c>
      <c r="M1536" s="4">
        <v>4.0322580645161289E-2</v>
      </c>
      <c r="N1536" t="s">
        <v>25</v>
      </c>
      <c r="O1536" t="str">
        <f t="shared" si="230"/>
        <v>Low</v>
      </c>
      <c r="P1536" t="str">
        <f t="shared" si="231"/>
        <v>Low</v>
      </c>
      <c r="Q1536" t="str">
        <f t="shared" si="232"/>
        <v>Low</v>
      </c>
      <c r="R1536" t="s">
        <v>3317</v>
      </c>
      <c r="S1536" s="4">
        <f t="shared" ca="1" si="233"/>
        <v>1058</v>
      </c>
      <c r="T1536">
        <f t="shared" si="234"/>
        <v>1</v>
      </c>
      <c r="U1536">
        <f t="shared" si="235"/>
        <v>1</v>
      </c>
      <c r="V1536">
        <f t="shared" si="236"/>
        <v>1</v>
      </c>
      <c r="W1536">
        <f t="shared" si="237"/>
        <v>1</v>
      </c>
      <c r="X1536">
        <f t="shared" si="238"/>
        <v>0.99999999999999989</v>
      </c>
      <c r="Y1536" t="str">
        <f t="shared" si="239"/>
        <v>Healthy</v>
      </c>
    </row>
    <row r="1537" spans="1:25" x14ac:dyDescent="0.35">
      <c r="A1537" t="s">
        <v>41</v>
      </c>
      <c r="B1537" t="s">
        <v>42</v>
      </c>
      <c r="C1537" t="s">
        <v>121</v>
      </c>
      <c r="D1537" t="s">
        <v>1282</v>
      </c>
      <c r="E1537">
        <v>80851521</v>
      </c>
      <c r="F1537" t="s">
        <v>1283</v>
      </c>
      <c r="G1537" s="3">
        <v>47194</v>
      </c>
      <c r="H1537">
        <v>36</v>
      </c>
      <c r="I1537">
        <v>93</v>
      </c>
      <c r="J1537">
        <v>115</v>
      </c>
      <c r="K1537" s="4">
        <v>10079.75</v>
      </c>
      <c r="L1537" s="4">
        <v>372</v>
      </c>
      <c r="M1537" s="4">
        <v>0.30913978494623656</v>
      </c>
      <c r="N1537" t="s">
        <v>25</v>
      </c>
      <c r="O1537" t="str">
        <f t="shared" si="230"/>
        <v>Low</v>
      </c>
      <c r="P1537" t="str">
        <f t="shared" si="231"/>
        <v>Low</v>
      </c>
      <c r="Q1537" t="str">
        <f t="shared" si="232"/>
        <v>Low</v>
      </c>
      <c r="R1537" t="s">
        <v>3317</v>
      </c>
      <c r="S1537" s="4">
        <f t="shared" ca="1" si="233"/>
        <v>997</v>
      </c>
      <c r="T1537">
        <f t="shared" si="234"/>
        <v>1</v>
      </c>
      <c r="U1537">
        <f t="shared" si="235"/>
        <v>1</v>
      </c>
      <c r="V1537">
        <f t="shared" si="236"/>
        <v>1</v>
      </c>
      <c r="W1537">
        <f t="shared" si="237"/>
        <v>1</v>
      </c>
      <c r="X1537">
        <f t="shared" si="238"/>
        <v>0.99999999999999989</v>
      </c>
      <c r="Y1537" t="str">
        <f t="shared" si="239"/>
        <v>Healthy</v>
      </c>
    </row>
    <row r="1538" spans="1:25" x14ac:dyDescent="0.35">
      <c r="A1538" t="s">
        <v>189</v>
      </c>
      <c r="B1538" t="s">
        <v>525</v>
      </c>
      <c r="C1538" t="s">
        <v>525</v>
      </c>
      <c r="D1538" t="s">
        <v>526</v>
      </c>
      <c r="E1538">
        <v>80799292</v>
      </c>
      <c r="F1538" t="s">
        <v>1284</v>
      </c>
      <c r="G1538" s="3">
        <v>46958</v>
      </c>
      <c r="H1538">
        <v>36</v>
      </c>
      <c r="I1538">
        <v>71</v>
      </c>
      <c r="J1538">
        <v>48</v>
      </c>
      <c r="K1538" s="4">
        <v>4652.6400000000003</v>
      </c>
      <c r="L1538" s="4">
        <v>636.14285714285711</v>
      </c>
      <c r="M1538" s="4">
        <v>7.5454749607006516E-2</v>
      </c>
      <c r="N1538" t="s">
        <v>25</v>
      </c>
      <c r="O1538" t="str">
        <f t="shared" si="230"/>
        <v>Low</v>
      </c>
      <c r="P1538" t="str">
        <f t="shared" si="231"/>
        <v>Low</v>
      </c>
      <c r="Q1538" t="str">
        <f t="shared" si="232"/>
        <v>Low</v>
      </c>
      <c r="R1538" t="s">
        <v>3317</v>
      </c>
      <c r="S1538" s="4">
        <f t="shared" ca="1" si="233"/>
        <v>761</v>
      </c>
      <c r="T1538">
        <f t="shared" si="234"/>
        <v>1</v>
      </c>
      <c r="U1538">
        <f t="shared" si="235"/>
        <v>1</v>
      </c>
      <c r="V1538">
        <f t="shared" si="236"/>
        <v>1</v>
      </c>
      <c r="W1538">
        <f t="shared" si="237"/>
        <v>1</v>
      </c>
      <c r="X1538">
        <f t="shared" si="238"/>
        <v>0.99999999999999989</v>
      </c>
      <c r="Y1538" t="str">
        <f t="shared" si="239"/>
        <v>Healthy</v>
      </c>
    </row>
    <row r="1539" spans="1:25" x14ac:dyDescent="0.35">
      <c r="A1539" t="s">
        <v>71</v>
      </c>
      <c r="B1539" t="s">
        <v>72</v>
      </c>
      <c r="C1539" t="s">
        <v>572</v>
      </c>
      <c r="D1539" t="s">
        <v>1285</v>
      </c>
      <c r="E1539">
        <v>80852329</v>
      </c>
      <c r="F1539" t="s">
        <v>1286</v>
      </c>
      <c r="G1539" s="3">
        <v>47032</v>
      </c>
      <c r="H1539">
        <v>36</v>
      </c>
      <c r="I1539">
        <v>78</v>
      </c>
      <c r="J1539">
        <v>24</v>
      </c>
      <c r="K1539" s="4">
        <v>3762.96</v>
      </c>
      <c r="L1539" s="4">
        <v>334.71428571428572</v>
      </c>
      <c r="M1539" s="4">
        <v>7.1702944942381566E-2</v>
      </c>
      <c r="N1539" t="s">
        <v>25</v>
      </c>
      <c r="O1539" t="str">
        <f t="shared" ref="O1539:O1602" si="240">IF(I1539&lt;20,"High",IF(I1539&lt;40,"Medium","Low"))</f>
        <v>Low</v>
      </c>
      <c r="P1539" t="str">
        <f t="shared" ref="P1539:P1602" si="241">IF(M1539&gt;8,"High",IF(M1539&gt;4,"Medium","Low"))</f>
        <v>Low</v>
      </c>
      <c r="Q1539" t="str">
        <f t="shared" ref="Q1539:Q1602" si="242">IF(L1539&lt;5,"High",IF(L1539&lt;15,"Medium","Low"))</f>
        <v>Low</v>
      </c>
      <c r="R1539" t="s">
        <v>3317</v>
      </c>
      <c r="S1539" s="4">
        <f t="shared" ref="S1539:S1602" ca="1" si="243">G1539-TODAY()</f>
        <v>835</v>
      </c>
      <c r="T1539">
        <f t="shared" ref="T1539:T1602" si="244">IF(O1539="High",3,IF(O1539="Medium",2,1))</f>
        <v>1</v>
      </c>
      <c r="U1539">
        <f t="shared" ref="U1539:U1602" si="245">IF(P1539="High",3,IF(P1539="Medium",2,1))</f>
        <v>1</v>
      </c>
      <c r="V1539">
        <f t="shared" ref="V1539:V1602" si="246">IF(Q1539="High",3,IF(Q1539="Medium",2,1))</f>
        <v>1</v>
      </c>
      <c r="W1539">
        <f t="shared" ref="W1539:W1602" si="247">IF(R1539="High",3,IF(R1539="Medium",2,1))</f>
        <v>1</v>
      </c>
      <c r="X1539">
        <f t="shared" ref="X1539:X1602" si="248">(0.4*T1539)+(0.3*U1539)+(0.2*V1539)+(0.1*W1539)</f>
        <v>0.99999999999999989</v>
      </c>
      <c r="Y1539" t="str">
        <f t="shared" ref="Y1539:Y1602" si="249">IF(X1539&gt;=2.7,"Move Immediately",IF(X1539&gt;=2.2,"High Priority",IF(X1539&gt;=1.7,"Monitor","Healthy")))</f>
        <v>Healthy</v>
      </c>
    </row>
    <row r="1540" spans="1:25" x14ac:dyDescent="0.35">
      <c r="A1540" t="s">
        <v>71</v>
      </c>
      <c r="B1540" t="s">
        <v>72</v>
      </c>
      <c r="C1540" t="s">
        <v>174</v>
      </c>
      <c r="D1540" t="s">
        <v>555</v>
      </c>
      <c r="E1540">
        <v>80829200</v>
      </c>
      <c r="F1540" t="s">
        <v>1287</v>
      </c>
      <c r="G1540" s="3">
        <v>47017</v>
      </c>
      <c r="H1540">
        <v>36</v>
      </c>
      <c r="I1540">
        <v>76</v>
      </c>
      <c r="J1540">
        <v>10</v>
      </c>
      <c r="K1540" s="4">
        <v>30977.5</v>
      </c>
      <c r="L1540" s="4">
        <v>137.57142857142858</v>
      </c>
      <c r="M1540" s="4">
        <v>7.2689511941848389E-2</v>
      </c>
      <c r="N1540" t="s">
        <v>25</v>
      </c>
      <c r="O1540" t="str">
        <f t="shared" si="240"/>
        <v>Low</v>
      </c>
      <c r="P1540" t="str">
        <f t="shared" si="241"/>
        <v>Low</v>
      </c>
      <c r="Q1540" t="str">
        <f t="shared" si="242"/>
        <v>Low</v>
      </c>
      <c r="R1540" t="s">
        <v>3317</v>
      </c>
      <c r="S1540" s="4">
        <f t="shared" ca="1" si="243"/>
        <v>820</v>
      </c>
      <c r="T1540">
        <f t="shared" si="244"/>
        <v>1</v>
      </c>
      <c r="U1540">
        <f t="shared" si="245"/>
        <v>1</v>
      </c>
      <c r="V1540">
        <f t="shared" si="246"/>
        <v>1</v>
      </c>
      <c r="W1540">
        <f t="shared" si="247"/>
        <v>1</v>
      </c>
      <c r="X1540">
        <f t="shared" si="248"/>
        <v>0.99999999999999989</v>
      </c>
      <c r="Y1540" t="str">
        <f t="shared" si="249"/>
        <v>Healthy</v>
      </c>
    </row>
    <row r="1541" spans="1:25" x14ac:dyDescent="0.35">
      <c r="A1541" t="s">
        <v>41</v>
      </c>
      <c r="B1541" t="s">
        <v>42</v>
      </c>
      <c r="C1541" t="s">
        <v>365</v>
      </c>
      <c r="D1541" t="s">
        <v>1288</v>
      </c>
      <c r="E1541">
        <v>80839863</v>
      </c>
      <c r="F1541" t="s">
        <v>1289</v>
      </c>
      <c r="G1541" s="3">
        <v>46699</v>
      </c>
      <c r="H1541">
        <v>36</v>
      </c>
      <c r="I1541">
        <v>47</v>
      </c>
      <c r="J1541">
        <v>72</v>
      </c>
      <c r="K1541" s="4">
        <v>13132.08</v>
      </c>
      <c r="L1541" s="4">
        <v>11.285714285714286</v>
      </c>
      <c r="M1541" s="4">
        <v>6.3797468354430373</v>
      </c>
      <c r="N1541" t="s">
        <v>19</v>
      </c>
      <c r="O1541" t="str">
        <f t="shared" si="240"/>
        <v>Low</v>
      </c>
      <c r="P1541" t="str">
        <f t="shared" si="241"/>
        <v>Medium</v>
      </c>
      <c r="Q1541" t="str">
        <f t="shared" si="242"/>
        <v>Medium</v>
      </c>
      <c r="R1541" t="s">
        <v>3317</v>
      </c>
      <c r="S1541" s="4">
        <f t="shared" ca="1" si="243"/>
        <v>502</v>
      </c>
      <c r="T1541">
        <f t="shared" si="244"/>
        <v>1</v>
      </c>
      <c r="U1541">
        <f t="shared" si="245"/>
        <v>2</v>
      </c>
      <c r="V1541">
        <f t="shared" si="246"/>
        <v>2</v>
      </c>
      <c r="W1541">
        <f t="shared" si="247"/>
        <v>1</v>
      </c>
      <c r="X1541">
        <f t="shared" si="248"/>
        <v>1.5</v>
      </c>
      <c r="Y1541" t="str">
        <f t="shared" si="249"/>
        <v>Healthy</v>
      </c>
    </row>
    <row r="1542" spans="1:25" x14ac:dyDescent="0.35">
      <c r="A1542" t="s">
        <v>41</v>
      </c>
      <c r="B1542" t="s">
        <v>42</v>
      </c>
      <c r="C1542" t="s">
        <v>43</v>
      </c>
      <c r="D1542" t="s">
        <v>221</v>
      </c>
      <c r="E1542">
        <v>80863262</v>
      </c>
      <c r="F1542" t="s">
        <v>1290</v>
      </c>
      <c r="G1542" s="3">
        <v>46859</v>
      </c>
      <c r="H1542">
        <v>36</v>
      </c>
      <c r="I1542">
        <v>62</v>
      </c>
      <c r="J1542">
        <v>3</v>
      </c>
      <c r="K1542" s="4">
        <v>2126.4899999999998</v>
      </c>
      <c r="L1542" s="4">
        <f>0</f>
        <v>0</v>
      </c>
      <c r="M1542" s="4">
        <f>999</f>
        <v>999</v>
      </c>
      <c r="N1542" t="s">
        <v>19</v>
      </c>
      <c r="O1542" t="str">
        <f t="shared" si="240"/>
        <v>Low</v>
      </c>
      <c r="P1542" t="str">
        <f t="shared" si="241"/>
        <v>High</v>
      </c>
      <c r="Q1542" t="str">
        <f t="shared" si="242"/>
        <v>High</v>
      </c>
      <c r="R1542" t="s">
        <v>3317</v>
      </c>
      <c r="S1542" s="4">
        <f t="shared" ca="1" si="243"/>
        <v>662</v>
      </c>
      <c r="T1542">
        <f t="shared" si="244"/>
        <v>1</v>
      </c>
      <c r="U1542">
        <f t="shared" si="245"/>
        <v>3</v>
      </c>
      <c r="V1542">
        <f t="shared" si="246"/>
        <v>3</v>
      </c>
      <c r="W1542">
        <f t="shared" si="247"/>
        <v>1</v>
      </c>
      <c r="X1542">
        <f t="shared" si="248"/>
        <v>2</v>
      </c>
      <c r="Y1542" t="str">
        <f t="shared" si="249"/>
        <v>Monitor</v>
      </c>
    </row>
    <row r="1543" spans="1:25" x14ac:dyDescent="0.35">
      <c r="A1543" t="s">
        <v>41</v>
      </c>
      <c r="B1543" t="s">
        <v>80</v>
      </c>
      <c r="C1543" t="s">
        <v>81</v>
      </c>
      <c r="D1543" t="s">
        <v>1291</v>
      </c>
      <c r="E1543">
        <v>80840376</v>
      </c>
      <c r="F1543" t="s">
        <v>1292</v>
      </c>
      <c r="G1543" s="3">
        <v>46785</v>
      </c>
      <c r="H1543">
        <v>36</v>
      </c>
      <c r="I1543">
        <v>55</v>
      </c>
      <c r="J1543">
        <v>42</v>
      </c>
      <c r="K1543" s="4">
        <v>13943.58</v>
      </c>
      <c r="L1543" s="4">
        <v>270.85714285714283</v>
      </c>
      <c r="M1543" s="4">
        <v>0.15506329113924053</v>
      </c>
      <c r="N1543" t="s">
        <v>25</v>
      </c>
      <c r="O1543" t="str">
        <f t="shared" si="240"/>
        <v>Low</v>
      </c>
      <c r="P1543" t="str">
        <f t="shared" si="241"/>
        <v>Low</v>
      </c>
      <c r="Q1543" t="str">
        <f t="shared" si="242"/>
        <v>Low</v>
      </c>
      <c r="R1543" t="s">
        <v>3317</v>
      </c>
      <c r="S1543" s="4">
        <f t="shared" ca="1" si="243"/>
        <v>588</v>
      </c>
      <c r="T1543">
        <f t="shared" si="244"/>
        <v>1</v>
      </c>
      <c r="U1543">
        <f t="shared" si="245"/>
        <v>1</v>
      </c>
      <c r="V1543">
        <f t="shared" si="246"/>
        <v>1</v>
      </c>
      <c r="W1543">
        <f t="shared" si="247"/>
        <v>1</v>
      </c>
      <c r="X1543">
        <f t="shared" si="248"/>
        <v>0.99999999999999989</v>
      </c>
      <c r="Y1543" t="str">
        <f t="shared" si="249"/>
        <v>Healthy</v>
      </c>
    </row>
    <row r="1544" spans="1:25" x14ac:dyDescent="0.35">
      <c r="A1544" t="s">
        <v>41</v>
      </c>
      <c r="B1544" t="s">
        <v>54</v>
      </c>
      <c r="C1544" t="s">
        <v>87</v>
      </c>
      <c r="D1544" t="s">
        <v>335</v>
      </c>
      <c r="E1544">
        <v>80859547</v>
      </c>
      <c r="F1544" t="s">
        <v>1293</v>
      </c>
      <c r="G1544" s="3">
        <v>46999</v>
      </c>
      <c r="H1544">
        <v>36</v>
      </c>
      <c r="I1544">
        <v>75</v>
      </c>
      <c r="J1544">
        <v>14</v>
      </c>
      <c r="K1544" s="4">
        <v>5852.28</v>
      </c>
      <c r="L1544" s="4">
        <f>0</f>
        <v>0</v>
      </c>
      <c r="M1544" s="4">
        <f>999</f>
        <v>999</v>
      </c>
      <c r="N1544" t="s">
        <v>19</v>
      </c>
      <c r="O1544" t="str">
        <f t="shared" si="240"/>
        <v>Low</v>
      </c>
      <c r="P1544" t="str">
        <f t="shared" si="241"/>
        <v>High</v>
      </c>
      <c r="Q1544" t="str">
        <f t="shared" si="242"/>
        <v>High</v>
      </c>
      <c r="R1544" t="s">
        <v>3317</v>
      </c>
      <c r="S1544" s="4">
        <f t="shared" ca="1" si="243"/>
        <v>802</v>
      </c>
      <c r="T1544">
        <f t="shared" si="244"/>
        <v>1</v>
      </c>
      <c r="U1544">
        <f t="shared" si="245"/>
        <v>3</v>
      </c>
      <c r="V1544">
        <f t="shared" si="246"/>
        <v>3</v>
      </c>
      <c r="W1544">
        <f t="shared" si="247"/>
        <v>1</v>
      </c>
      <c r="X1544">
        <f t="shared" si="248"/>
        <v>2</v>
      </c>
      <c r="Y1544" t="str">
        <f t="shared" si="249"/>
        <v>Monitor</v>
      </c>
    </row>
    <row r="1545" spans="1:25" x14ac:dyDescent="0.35">
      <c r="A1545" t="s">
        <v>41</v>
      </c>
      <c r="B1545" t="s">
        <v>80</v>
      </c>
      <c r="C1545" t="s">
        <v>81</v>
      </c>
      <c r="D1545" t="s">
        <v>1291</v>
      </c>
      <c r="E1545">
        <v>80840376</v>
      </c>
      <c r="F1545" t="s">
        <v>1292</v>
      </c>
      <c r="G1545" s="3">
        <v>46800</v>
      </c>
      <c r="H1545">
        <v>36</v>
      </c>
      <c r="I1545">
        <v>56</v>
      </c>
      <c r="J1545">
        <v>18</v>
      </c>
      <c r="K1545" s="4">
        <v>5975.82</v>
      </c>
      <c r="L1545" s="4">
        <v>270.85714285714283</v>
      </c>
      <c r="M1545" s="4">
        <v>6.6455696202531653E-2</v>
      </c>
      <c r="N1545" t="s">
        <v>25</v>
      </c>
      <c r="O1545" t="str">
        <f t="shared" si="240"/>
        <v>Low</v>
      </c>
      <c r="P1545" t="str">
        <f t="shared" si="241"/>
        <v>Low</v>
      </c>
      <c r="Q1545" t="str">
        <f t="shared" si="242"/>
        <v>Low</v>
      </c>
      <c r="R1545" t="s">
        <v>3317</v>
      </c>
      <c r="S1545" s="4">
        <f t="shared" ca="1" si="243"/>
        <v>603</v>
      </c>
      <c r="T1545">
        <f t="shared" si="244"/>
        <v>1</v>
      </c>
      <c r="U1545">
        <f t="shared" si="245"/>
        <v>1</v>
      </c>
      <c r="V1545">
        <f t="shared" si="246"/>
        <v>1</v>
      </c>
      <c r="W1545">
        <f t="shared" si="247"/>
        <v>1</v>
      </c>
      <c r="X1545">
        <f t="shared" si="248"/>
        <v>0.99999999999999989</v>
      </c>
      <c r="Y1545" t="str">
        <f t="shared" si="249"/>
        <v>Healthy</v>
      </c>
    </row>
    <row r="1546" spans="1:25" x14ac:dyDescent="0.35">
      <c r="A1546" t="s">
        <v>41</v>
      </c>
      <c r="B1546" t="s">
        <v>80</v>
      </c>
      <c r="C1546" t="s">
        <v>81</v>
      </c>
      <c r="D1546" t="s">
        <v>1291</v>
      </c>
      <c r="E1546">
        <v>80840376</v>
      </c>
      <c r="F1546" t="s">
        <v>1292</v>
      </c>
      <c r="G1546" s="3">
        <v>46877</v>
      </c>
      <c r="H1546">
        <v>36</v>
      </c>
      <c r="I1546">
        <v>63</v>
      </c>
      <c r="J1546">
        <v>5</v>
      </c>
      <c r="K1546" s="4">
        <v>1659.95</v>
      </c>
      <c r="L1546" s="4">
        <v>270.85714285714283</v>
      </c>
      <c r="M1546" s="4">
        <v>1.8459915611814346E-2</v>
      </c>
      <c r="N1546" t="s">
        <v>25</v>
      </c>
      <c r="O1546" t="str">
        <f t="shared" si="240"/>
        <v>Low</v>
      </c>
      <c r="P1546" t="str">
        <f t="shared" si="241"/>
        <v>Low</v>
      </c>
      <c r="Q1546" t="str">
        <f t="shared" si="242"/>
        <v>Low</v>
      </c>
      <c r="R1546" t="s">
        <v>3317</v>
      </c>
      <c r="S1546" s="4">
        <f t="shared" ca="1" si="243"/>
        <v>680</v>
      </c>
      <c r="T1546">
        <f t="shared" si="244"/>
        <v>1</v>
      </c>
      <c r="U1546">
        <f t="shared" si="245"/>
        <v>1</v>
      </c>
      <c r="V1546">
        <f t="shared" si="246"/>
        <v>1</v>
      </c>
      <c r="W1546">
        <f t="shared" si="247"/>
        <v>1</v>
      </c>
      <c r="X1546">
        <f t="shared" si="248"/>
        <v>0.99999999999999989</v>
      </c>
      <c r="Y1546" t="str">
        <f t="shared" si="249"/>
        <v>Healthy</v>
      </c>
    </row>
    <row r="1547" spans="1:25" x14ac:dyDescent="0.35">
      <c r="A1547" t="s">
        <v>99</v>
      </c>
      <c r="B1547" t="s">
        <v>100</v>
      </c>
      <c r="C1547" t="s">
        <v>136</v>
      </c>
      <c r="D1547" t="s">
        <v>1294</v>
      </c>
      <c r="E1547">
        <v>80830413</v>
      </c>
      <c r="F1547" t="s">
        <v>1295</v>
      </c>
      <c r="G1547" s="3">
        <v>47234</v>
      </c>
      <c r="H1547">
        <v>36</v>
      </c>
      <c r="I1547">
        <v>96</v>
      </c>
      <c r="J1547">
        <v>19</v>
      </c>
      <c r="K1547" s="4">
        <v>4624.9799999999996</v>
      </c>
      <c r="L1547" s="4">
        <v>240</v>
      </c>
      <c r="M1547" s="4">
        <v>7.9166666666666663E-2</v>
      </c>
      <c r="N1547" t="s">
        <v>25</v>
      </c>
      <c r="O1547" t="str">
        <f t="shared" si="240"/>
        <v>Low</v>
      </c>
      <c r="P1547" t="str">
        <f t="shared" si="241"/>
        <v>Low</v>
      </c>
      <c r="Q1547" t="str">
        <f t="shared" si="242"/>
        <v>Low</v>
      </c>
      <c r="R1547" t="s">
        <v>3317</v>
      </c>
      <c r="S1547" s="4">
        <f t="shared" ca="1" si="243"/>
        <v>1037</v>
      </c>
      <c r="T1547">
        <f t="shared" si="244"/>
        <v>1</v>
      </c>
      <c r="U1547">
        <f t="shared" si="245"/>
        <v>1</v>
      </c>
      <c r="V1547">
        <f t="shared" si="246"/>
        <v>1</v>
      </c>
      <c r="W1547">
        <f t="shared" si="247"/>
        <v>1</v>
      </c>
      <c r="X1547">
        <f t="shared" si="248"/>
        <v>0.99999999999999989</v>
      </c>
      <c r="Y1547" t="str">
        <f t="shared" si="249"/>
        <v>Healthy</v>
      </c>
    </row>
    <row r="1548" spans="1:25" x14ac:dyDescent="0.35">
      <c r="A1548" t="s">
        <v>14</v>
      </c>
      <c r="B1548" t="s">
        <v>15</v>
      </c>
      <c r="C1548" t="s">
        <v>16</v>
      </c>
      <c r="D1548" t="s">
        <v>1296</v>
      </c>
      <c r="E1548">
        <v>80831117</v>
      </c>
      <c r="F1548" t="s">
        <v>1297</v>
      </c>
      <c r="G1548" s="3">
        <v>47547</v>
      </c>
      <c r="H1548">
        <v>60</v>
      </c>
      <c r="I1548">
        <v>75</v>
      </c>
      <c r="J1548">
        <v>2</v>
      </c>
      <c r="K1548" s="4">
        <v>1971.82</v>
      </c>
      <c r="L1548" s="4">
        <v>167.57142857142858</v>
      </c>
      <c r="M1548" s="4">
        <v>1.1935208866155157E-2</v>
      </c>
      <c r="N1548" t="s">
        <v>25</v>
      </c>
      <c r="O1548" t="str">
        <f t="shared" si="240"/>
        <v>Low</v>
      </c>
      <c r="P1548" t="str">
        <f t="shared" si="241"/>
        <v>Low</v>
      </c>
      <c r="Q1548" t="str">
        <f t="shared" si="242"/>
        <v>Low</v>
      </c>
      <c r="R1548" t="s">
        <v>3317</v>
      </c>
      <c r="S1548" s="4">
        <f t="shared" ca="1" si="243"/>
        <v>1350</v>
      </c>
      <c r="T1548">
        <f t="shared" si="244"/>
        <v>1</v>
      </c>
      <c r="U1548">
        <f t="shared" si="245"/>
        <v>1</v>
      </c>
      <c r="V1548">
        <f t="shared" si="246"/>
        <v>1</v>
      </c>
      <c r="W1548">
        <f t="shared" si="247"/>
        <v>1</v>
      </c>
      <c r="X1548">
        <f t="shared" si="248"/>
        <v>0.99999999999999989</v>
      </c>
      <c r="Y1548" t="str">
        <f t="shared" si="249"/>
        <v>Healthy</v>
      </c>
    </row>
    <row r="1549" spans="1:25" x14ac:dyDescent="0.35">
      <c r="A1549" t="s">
        <v>14</v>
      </c>
      <c r="B1549" t="s">
        <v>15</v>
      </c>
      <c r="C1549" t="s">
        <v>16</v>
      </c>
      <c r="D1549" t="s">
        <v>1296</v>
      </c>
      <c r="E1549">
        <v>80831117</v>
      </c>
      <c r="F1549" t="s">
        <v>1297</v>
      </c>
      <c r="G1549" s="3">
        <v>47778</v>
      </c>
      <c r="H1549">
        <v>60</v>
      </c>
      <c r="I1549">
        <v>88</v>
      </c>
      <c r="J1549">
        <v>3</v>
      </c>
      <c r="K1549" s="4">
        <v>2957.73</v>
      </c>
      <c r="L1549" s="4">
        <v>167.57142857142858</v>
      </c>
      <c r="M1549" s="4">
        <v>1.7902813299232736E-2</v>
      </c>
      <c r="N1549" t="s">
        <v>25</v>
      </c>
      <c r="O1549" t="str">
        <f t="shared" si="240"/>
        <v>Low</v>
      </c>
      <c r="P1549" t="str">
        <f t="shared" si="241"/>
        <v>Low</v>
      </c>
      <c r="Q1549" t="str">
        <f t="shared" si="242"/>
        <v>Low</v>
      </c>
      <c r="R1549" t="s">
        <v>3317</v>
      </c>
      <c r="S1549" s="4">
        <f t="shared" ca="1" si="243"/>
        <v>1581</v>
      </c>
      <c r="T1549">
        <f t="shared" si="244"/>
        <v>1</v>
      </c>
      <c r="U1549">
        <f t="shared" si="245"/>
        <v>1</v>
      </c>
      <c r="V1549">
        <f t="shared" si="246"/>
        <v>1</v>
      </c>
      <c r="W1549">
        <f t="shared" si="247"/>
        <v>1</v>
      </c>
      <c r="X1549">
        <f t="shared" si="248"/>
        <v>0.99999999999999989</v>
      </c>
      <c r="Y1549" t="str">
        <f t="shared" si="249"/>
        <v>Healthy</v>
      </c>
    </row>
    <row r="1550" spans="1:25" x14ac:dyDescent="0.35">
      <c r="A1550" t="s">
        <v>99</v>
      </c>
      <c r="B1550" t="s">
        <v>100</v>
      </c>
      <c r="C1550" t="s">
        <v>136</v>
      </c>
      <c r="D1550" t="s">
        <v>1294</v>
      </c>
      <c r="E1550">
        <v>80830413</v>
      </c>
      <c r="F1550" t="s">
        <v>1295</v>
      </c>
      <c r="G1550" s="3">
        <v>47132</v>
      </c>
      <c r="H1550">
        <v>36</v>
      </c>
      <c r="I1550">
        <v>87</v>
      </c>
      <c r="J1550">
        <v>1</v>
      </c>
      <c r="K1550" s="4">
        <v>243.42</v>
      </c>
      <c r="L1550" s="4">
        <v>240</v>
      </c>
      <c r="M1550" s="4">
        <v>4.1666666666666666E-3</v>
      </c>
      <c r="N1550" t="s">
        <v>25</v>
      </c>
      <c r="O1550" t="str">
        <f t="shared" si="240"/>
        <v>Low</v>
      </c>
      <c r="P1550" t="str">
        <f t="shared" si="241"/>
        <v>Low</v>
      </c>
      <c r="Q1550" t="str">
        <f t="shared" si="242"/>
        <v>Low</v>
      </c>
      <c r="R1550" t="s">
        <v>3317</v>
      </c>
      <c r="S1550" s="4">
        <f t="shared" ca="1" si="243"/>
        <v>935</v>
      </c>
      <c r="T1550">
        <f t="shared" si="244"/>
        <v>1</v>
      </c>
      <c r="U1550">
        <f t="shared" si="245"/>
        <v>1</v>
      </c>
      <c r="V1550">
        <f t="shared" si="246"/>
        <v>1</v>
      </c>
      <c r="W1550">
        <f t="shared" si="247"/>
        <v>1</v>
      </c>
      <c r="X1550">
        <f t="shared" si="248"/>
        <v>0.99999999999999989</v>
      </c>
      <c r="Y1550" t="str">
        <f t="shared" si="249"/>
        <v>Healthy</v>
      </c>
    </row>
    <row r="1551" spans="1:25" x14ac:dyDescent="0.35">
      <c r="A1551" t="s">
        <v>29</v>
      </c>
      <c r="B1551" t="s">
        <v>30</v>
      </c>
      <c r="C1551" t="s">
        <v>276</v>
      </c>
      <c r="D1551" t="s">
        <v>1298</v>
      </c>
      <c r="E1551">
        <v>80822843</v>
      </c>
      <c r="F1551" t="s">
        <v>1299</v>
      </c>
      <c r="G1551" s="3">
        <v>46667</v>
      </c>
      <c r="H1551">
        <v>36</v>
      </c>
      <c r="I1551">
        <v>44</v>
      </c>
      <c r="J1551">
        <v>16</v>
      </c>
      <c r="K1551" s="4">
        <v>17349.599999999999</v>
      </c>
      <c r="L1551" s="4">
        <v>9</v>
      </c>
      <c r="M1551" s="4">
        <v>1.7777777777777777</v>
      </c>
      <c r="N1551" t="s">
        <v>25</v>
      </c>
      <c r="O1551" t="str">
        <f t="shared" si="240"/>
        <v>Low</v>
      </c>
      <c r="P1551" t="str">
        <f t="shared" si="241"/>
        <v>Low</v>
      </c>
      <c r="Q1551" t="str">
        <f t="shared" si="242"/>
        <v>Medium</v>
      </c>
      <c r="R1551" t="s">
        <v>3317</v>
      </c>
      <c r="S1551" s="4">
        <f t="shared" ca="1" si="243"/>
        <v>470</v>
      </c>
      <c r="T1551">
        <f t="shared" si="244"/>
        <v>1</v>
      </c>
      <c r="U1551">
        <f t="shared" si="245"/>
        <v>1</v>
      </c>
      <c r="V1551">
        <f t="shared" si="246"/>
        <v>2</v>
      </c>
      <c r="W1551">
        <f t="shared" si="247"/>
        <v>1</v>
      </c>
      <c r="X1551">
        <f t="shared" si="248"/>
        <v>1.2000000000000002</v>
      </c>
      <c r="Y1551" t="str">
        <f t="shared" si="249"/>
        <v>Healthy</v>
      </c>
    </row>
    <row r="1552" spans="1:25" x14ac:dyDescent="0.35">
      <c r="A1552" t="s">
        <v>29</v>
      </c>
      <c r="B1552" t="s">
        <v>30</v>
      </c>
      <c r="C1552" t="s">
        <v>276</v>
      </c>
      <c r="D1552" t="s">
        <v>1298</v>
      </c>
      <c r="E1552">
        <v>80822843</v>
      </c>
      <c r="F1552" t="s">
        <v>1299</v>
      </c>
      <c r="G1552" s="3">
        <v>46667</v>
      </c>
      <c r="H1552">
        <v>36</v>
      </c>
      <c r="I1552">
        <v>44</v>
      </c>
      <c r="J1552">
        <v>16</v>
      </c>
      <c r="K1552" s="4">
        <v>17349.599999999999</v>
      </c>
      <c r="L1552" s="4">
        <v>9</v>
      </c>
      <c r="M1552" s="4">
        <v>1.7777777777777777</v>
      </c>
      <c r="N1552" t="s">
        <v>25</v>
      </c>
      <c r="O1552" t="str">
        <f t="shared" si="240"/>
        <v>Low</v>
      </c>
      <c r="P1552" t="str">
        <f t="shared" si="241"/>
        <v>Low</v>
      </c>
      <c r="Q1552" t="str">
        <f t="shared" si="242"/>
        <v>Medium</v>
      </c>
      <c r="R1552" t="s">
        <v>3317</v>
      </c>
      <c r="S1552" s="4">
        <f t="shared" ca="1" si="243"/>
        <v>470</v>
      </c>
      <c r="T1552">
        <f t="shared" si="244"/>
        <v>1</v>
      </c>
      <c r="U1552">
        <f t="shared" si="245"/>
        <v>1</v>
      </c>
      <c r="V1552">
        <f t="shared" si="246"/>
        <v>2</v>
      </c>
      <c r="W1552">
        <f t="shared" si="247"/>
        <v>1</v>
      </c>
      <c r="X1552">
        <f t="shared" si="248"/>
        <v>1.2000000000000002</v>
      </c>
      <c r="Y1552" t="str">
        <f t="shared" si="249"/>
        <v>Healthy</v>
      </c>
    </row>
    <row r="1553" spans="1:25" x14ac:dyDescent="0.35">
      <c r="A1553" t="s">
        <v>29</v>
      </c>
      <c r="B1553" t="s">
        <v>30</v>
      </c>
      <c r="C1553" t="s">
        <v>276</v>
      </c>
      <c r="D1553" t="s">
        <v>1298</v>
      </c>
      <c r="E1553">
        <v>80822843</v>
      </c>
      <c r="F1553" t="s">
        <v>1299</v>
      </c>
      <c r="G1553" s="3">
        <v>46667</v>
      </c>
      <c r="H1553">
        <v>36</v>
      </c>
      <c r="I1553">
        <v>44</v>
      </c>
      <c r="J1553">
        <v>3</v>
      </c>
      <c r="K1553" s="4">
        <v>3253.05</v>
      </c>
      <c r="L1553" s="4">
        <v>9</v>
      </c>
      <c r="M1553" s="4">
        <v>0.33333333333333331</v>
      </c>
      <c r="N1553" t="s">
        <v>25</v>
      </c>
      <c r="O1553" t="str">
        <f t="shared" si="240"/>
        <v>Low</v>
      </c>
      <c r="P1553" t="str">
        <f t="shared" si="241"/>
        <v>Low</v>
      </c>
      <c r="Q1553" t="str">
        <f t="shared" si="242"/>
        <v>Medium</v>
      </c>
      <c r="R1553" t="s">
        <v>3317</v>
      </c>
      <c r="S1553" s="4">
        <f t="shared" ca="1" si="243"/>
        <v>470</v>
      </c>
      <c r="T1553">
        <f t="shared" si="244"/>
        <v>1</v>
      </c>
      <c r="U1553">
        <f t="shared" si="245"/>
        <v>1</v>
      </c>
      <c r="V1553">
        <f t="shared" si="246"/>
        <v>2</v>
      </c>
      <c r="W1553">
        <f t="shared" si="247"/>
        <v>1</v>
      </c>
      <c r="X1553">
        <f t="shared" si="248"/>
        <v>1.2000000000000002</v>
      </c>
      <c r="Y1553" t="str">
        <f t="shared" si="249"/>
        <v>Healthy</v>
      </c>
    </row>
    <row r="1554" spans="1:25" x14ac:dyDescent="0.35">
      <c r="A1554" t="s">
        <v>179</v>
      </c>
      <c r="B1554" t="s">
        <v>223</v>
      </c>
      <c r="C1554" t="s">
        <v>1300</v>
      </c>
      <c r="D1554" t="s">
        <v>1301</v>
      </c>
      <c r="E1554">
        <v>80846891</v>
      </c>
      <c r="F1554" t="s">
        <v>1302</v>
      </c>
      <c r="G1554" s="3">
        <v>46398</v>
      </c>
      <c r="H1554">
        <v>18</v>
      </c>
      <c r="I1554">
        <v>38</v>
      </c>
      <c r="J1554">
        <v>420</v>
      </c>
      <c r="K1554" s="4">
        <v>235410</v>
      </c>
      <c r="L1554" s="4">
        <v>124</v>
      </c>
      <c r="M1554" s="4">
        <v>3.3870967741935485</v>
      </c>
      <c r="N1554" t="s">
        <v>25</v>
      </c>
      <c r="O1554" t="str">
        <f t="shared" si="240"/>
        <v>Medium</v>
      </c>
      <c r="P1554" t="str">
        <f t="shared" si="241"/>
        <v>Low</v>
      </c>
      <c r="Q1554" t="str">
        <f t="shared" si="242"/>
        <v>Low</v>
      </c>
      <c r="R1554" t="s">
        <v>3309</v>
      </c>
      <c r="S1554" s="4">
        <f t="shared" ca="1" si="243"/>
        <v>201</v>
      </c>
      <c r="T1554">
        <f t="shared" si="244"/>
        <v>2</v>
      </c>
      <c r="U1554">
        <f t="shared" si="245"/>
        <v>1</v>
      </c>
      <c r="V1554">
        <f t="shared" si="246"/>
        <v>1</v>
      </c>
      <c r="W1554">
        <f t="shared" si="247"/>
        <v>3</v>
      </c>
      <c r="X1554">
        <f t="shared" si="248"/>
        <v>1.6</v>
      </c>
      <c r="Y1554" t="str">
        <f t="shared" si="249"/>
        <v>Healthy</v>
      </c>
    </row>
    <row r="1555" spans="1:25" x14ac:dyDescent="0.35">
      <c r="A1555" t="s">
        <v>179</v>
      </c>
      <c r="B1555" t="s">
        <v>223</v>
      </c>
      <c r="C1555" t="s">
        <v>1300</v>
      </c>
      <c r="D1555" t="s">
        <v>1301</v>
      </c>
      <c r="E1555">
        <v>80846891</v>
      </c>
      <c r="F1555" t="s">
        <v>1302</v>
      </c>
      <c r="G1555" s="3">
        <v>46414</v>
      </c>
      <c r="H1555">
        <v>18</v>
      </c>
      <c r="I1555">
        <v>41</v>
      </c>
      <c r="J1555">
        <v>865</v>
      </c>
      <c r="K1555" s="4">
        <v>484832.5</v>
      </c>
      <c r="L1555" s="4">
        <v>124</v>
      </c>
      <c r="M1555" s="4">
        <v>6.975806451612903</v>
      </c>
      <c r="N1555" t="s">
        <v>19</v>
      </c>
      <c r="O1555" t="str">
        <f t="shared" si="240"/>
        <v>Low</v>
      </c>
      <c r="P1555" t="str">
        <f t="shared" si="241"/>
        <v>Medium</v>
      </c>
      <c r="Q1555" t="str">
        <f t="shared" si="242"/>
        <v>Low</v>
      </c>
      <c r="R1555" t="s">
        <v>3309</v>
      </c>
      <c r="S1555" s="4">
        <f t="shared" ca="1" si="243"/>
        <v>217</v>
      </c>
      <c r="T1555">
        <f t="shared" si="244"/>
        <v>1</v>
      </c>
      <c r="U1555">
        <f t="shared" si="245"/>
        <v>2</v>
      </c>
      <c r="V1555">
        <f t="shared" si="246"/>
        <v>1</v>
      </c>
      <c r="W1555">
        <f t="shared" si="247"/>
        <v>3</v>
      </c>
      <c r="X1555">
        <f t="shared" si="248"/>
        <v>1.5</v>
      </c>
      <c r="Y1555" t="str">
        <f t="shared" si="249"/>
        <v>Healthy</v>
      </c>
    </row>
    <row r="1556" spans="1:25" x14ac:dyDescent="0.35">
      <c r="A1556" t="s">
        <v>41</v>
      </c>
      <c r="B1556" t="s">
        <v>42</v>
      </c>
      <c r="C1556" t="s">
        <v>43</v>
      </c>
      <c r="D1556" t="s">
        <v>1025</v>
      </c>
      <c r="E1556">
        <v>80871624</v>
      </c>
      <c r="F1556" t="s">
        <v>1303</v>
      </c>
      <c r="G1556" s="3">
        <v>47000</v>
      </c>
      <c r="H1556">
        <v>36</v>
      </c>
      <c r="I1556">
        <v>75</v>
      </c>
      <c r="J1556">
        <v>12</v>
      </c>
      <c r="K1556" s="4">
        <v>3717.72</v>
      </c>
      <c r="L1556" s="4">
        <v>24.857142857142858</v>
      </c>
      <c r="M1556" s="4">
        <v>0.48275862068965514</v>
      </c>
      <c r="N1556" t="s">
        <v>25</v>
      </c>
      <c r="O1556" t="str">
        <f t="shared" si="240"/>
        <v>Low</v>
      </c>
      <c r="P1556" t="str">
        <f t="shared" si="241"/>
        <v>Low</v>
      </c>
      <c r="Q1556" t="str">
        <f t="shared" si="242"/>
        <v>Low</v>
      </c>
      <c r="R1556" t="s">
        <v>3317</v>
      </c>
      <c r="S1556" s="4">
        <f t="shared" ca="1" si="243"/>
        <v>803</v>
      </c>
      <c r="T1556">
        <f t="shared" si="244"/>
        <v>1</v>
      </c>
      <c r="U1556">
        <f t="shared" si="245"/>
        <v>1</v>
      </c>
      <c r="V1556">
        <f t="shared" si="246"/>
        <v>1</v>
      </c>
      <c r="W1556">
        <f t="shared" si="247"/>
        <v>1</v>
      </c>
      <c r="X1556">
        <f t="shared" si="248"/>
        <v>0.99999999999999989</v>
      </c>
      <c r="Y1556" t="str">
        <f t="shared" si="249"/>
        <v>Healthy</v>
      </c>
    </row>
    <row r="1557" spans="1:25" x14ac:dyDescent="0.35">
      <c r="A1557" t="s">
        <v>179</v>
      </c>
      <c r="B1557" t="s">
        <v>223</v>
      </c>
      <c r="C1557" t="s">
        <v>1300</v>
      </c>
      <c r="D1557" t="s">
        <v>1301</v>
      </c>
      <c r="E1557">
        <v>80846891</v>
      </c>
      <c r="F1557" t="s">
        <v>1302</v>
      </c>
      <c r="G1557" s="3">
        <v>46352</v>
      </c>
      <c r="H1557">
        <v>18</v>
      </c>
      <c r="I1557">
        <v>30</v>
      </c>
      <c r="J1557">
        <v>355</v>
      </c>
      <c r="K1557" s="4">
        <v>198977.5</v>
      </c>
      <c r="L1557" s="4">
        <v>124</v>
      </c>
      <c r="M1557" s="4">
        <v>2.8629032258064515</v>
      </c>
      <c r="N1557" t="s">
        <v>25</v>
      </c>
      <c r="O1557" t="str">
        <f t="shared" si="240"/>
        <v>Medium</v>
      </c>
      <c r="P1557" t="str">
        <f t="shared" si="241"/>
        <v>Low</v>
      </c>
      <c r="Q1557" t="str">
        <f t="shared" si="242"/>
        <v>Low</v>
      </c>
      <c r="R1557" t="s">
        <v>3309</v>
      </c>
      <c r="S1557" s="4">
        <f t="shared" ca="1" si="243"/>
        <v>155</v>
      </c>
      <c r="T1557">
        <f t="shared" si="244"/>
        <v>2</v>
      </c>
      <c r="U1557">
        <f t="shared" si="245"/>
        <v>1</v>
      </c>
      <c r="V1557">
        <f t="shared" si="246"/>
        <v>1</v>
      </c>
      <c r="W1557">
        <f t="shared" si="247"/>
        <v>3</v>
      </c>
      <c r="X1557">
        <f t="shared" si="248"/>
        <v>1.6</v>
      </c>
      <c r="Y1557" t="str">
        <f t="shared" si="249"/>
        <v>Healthy</v>
      </c>
    </row>
    <row r="1558" spans="1:25" x14ac:dyDescent="0.35">
      <c r="A1558" t="s">
        <v>179</v>
      </c>
      <c r="B1558" t="s">
        <v>223</v>
      </c>
      <c r="C1558" t="s">
        <v>1300</v>
      </c>
      <c r="D1558" t="s">
        <v>1301</v>
      </c>
      <c r="E1558">
        <v>80846891</v>
      </c>
      <c r="F1558" t="s">
        <v>1302</v>
      </c>
      <c r="G1558" s="3">
        <v>46364</v>
      </c>
      <c r="H1558">
        <v>18</v>
      </c>
      <c r="I1558">
        <v>32</v>
      </c>
      <c r="J1558">
        <v>63</v>
      </c>
      <c r="K1558" s="4">
        <v>35311.5</v>
      </c>
      <c r="L1558" s="4">
        <v>124</v>
      </c>
      <c r="M1558" s="4">
        <v>0.50806451612903225</v>
      </c>
      <c r="N1558" t="s">
        <v>25</v>
      </c>
      <c r="O1558" t="str">
        <f t="shared" si="240"/>
        <v>Medium</v>
      </c>
      <c r="P1558" t="str">
        <f t="shared" si="241"/>
        <v>Low</v>
      </c>
      <c r="Q1558" t="str">
        <f t="shared" si="242"/>
        <v>Low</v>
      </c>
      <c r="R1558" t="s">
        <v>3317</v>
      </c>
      <c r="S1558" s="4">
        <f t="shared" ca="1" si="243"/>
        <v>167</v>
      </c>
      <c r="T1558">
        <f t="shared" si="244"/>
        <v>2</v>
      </c>
      <c r="U1558">
        <f t="shared" si="245"/>
        <v>1</v>
      </c>
      <c r="V1558">
        <f t="shared" si="246"/>
        <v>1</v>
      </c>
      <c r="W1558">
        <f t="shared" si="247"/>
        <v>1</v>
      </c>
      <c r="X1558">
        <f t="shared" si="248"/>
        <v>1.4000000000000001</v>
      </c>
      <c r="Y1558" t="str">
        <f t="shared" si="249"/>
        <v>Healthy</v>
      </c>
    </row>
    <row r="1559" spans="1:25" x14ac:dyDescent="0.35">
      <c r="A1559" t="s">
        <v>179</v>
      </c>
      <c r="B1559" t="s">
        <v>223</v>
      </c>
      <c r="C1559" t="s">
        <v>1300</v>
      </c>
      <c r="D1559" t="s">
        <v>1301</v>
      </c>
      <c r="E1559">
        <v>80846891</v>
      </c>
      <c r="F1559" t="s">
        <v>1302</v>
      </c>
      <c r="G1559" s="3">
        <v>46600</v>
      </c>
      <c r="H1559">
        <v>18</v>
      </c>
      <c r="I1559">
        <v>76</v>
      </c>
      <c r="J1559">
        <v>5</v>
      </c>
      <c r="K1559" s="4">
        <v>2802.5</v>
      </c>
      <c r="L1559" s="4">
        <v>124</v>
      </c>
      <c r="M1559" s="4">
        <v>4.0322580645161289E-2</v>
      </c>
      <c r="N1559" t="s">
        <v>25</v>
      </c>
      <c r="O1559" t="str">
        <f t="shared" si="240"/>
        <v>Low</v>
      </c>
      <c r="P1559" t="str">
        <f t="shared" si="241"/>
        <v>Low</v>
      </c>
      <c r="Q1559" t="str">
        <f t="shared" si="242"/>
        <v>Low</v>
      </c>
      <c r="R1559" t="s">
        <v>3317</v>
      </c>
      <c r="S1559" s="4">
        <f t="shared" ca="1" si="243"/>
        <v>403</v>
      </c>
      <c r="T1559">
        <f t="shared" si="244"/>
        <v>1</v>
      </c>
      <c r="U1559">
        <f t="shared" si="245"/>
        <v>1</v>
      </c>
      <c r="V1559">
        <f t="shared" si="246"/>
        <v>1</v>
      </c>
      <c r="W1559">
        <f t="shared" si="247"/>
        <v>1</v>
      </c>
      <c r="X1559">
        <f t="shared" si="248"/>
        <v>0.99999999999999989</v>
      </c>
      <c r="Y1559" t="str">
        <f t="shared" si="249"/>
        <v>Healthy</v>
      </c>
    </row>
    <row r="1560" spans="1:25" x14ac:dyDescent="0.35">
      <c r="A1560" t="s">
        <v>179</v>
      </c>
      <c r="B1560" t="s">
        <v>223</v>
      </c>
      <c r="C1560" t="s">
        <v>357</v>
      </c>
      <c r="D1560" t="s">
        <v>1304</v>
      </c>
      <c r="E1560">
        <v>80840076</v>
      </c>
      <c r="F1560" t="s">
        <v>1305</v>
      </c>
      <c r="G1560" s="3">
        <v>46283</v>
      </c>
      <c r="H1560">
        <v>18</v>
      </c>
      <c r="I1560">
        <v>17</v>
      </c>
      <c r="J1560">
        <v>6</v>
      </c>
      <c r="K1560" s="4">
        <v>4666.5</v>
      </c>
      <c r="L1560" s="4">
        <v>4.2857142857142856</v>
      </c>
      <c r="M1560" s="4">
        <v>1.4000000000000001</v>
      </c>
      <c r="N1560" t="s">
        <v>25</v>
      </c>
      <c r="O1560" t="str">
        <f t="shared" si="240"/>
        <v>High</v>
      </c>
      <c r="P1560" t="str">
        <f t="shared" si="241"/>
        <v>Low</v>
      </c>
      <c r="Q1560" t="str">
        <f t="shared" si="242"/>
        <v>High</v>
      </c>
      <c r="R1560" t="s">
        <v>3317</v>
      </c>
      <c r="S1560" s="4">
        <f t="shared" ca="1" si="243"/>
        <v>86</v>
      </c>
      <c r="T1560">
        <f t="shared" si="244"/>
        <v>3</v>
      </c>
      <c r="U1560">
        <f t="shared" si="245"/>
        <v>1</v>
      </c>
      <c r="V1560">
        <f t="shared" si="246"/>
        <v>3</v>
      </c>
      <c r="W1560">
        <f t="shared" si="247"/>
        <v>1</v>
      </c>
      <c r="X1560">
        <f t="shared" si="248"/>
        <v>2.2000000000000006</v>
      </c>
      <c r="Y1560" t="str">
        <f t="shared" si="249"/>
        <v>High Priority</v>
      </c>
    </row>
    <row r="1561" spans="1:25" x14ac:dyDescent="0.35">
      <c r="A1561" t="s">
        <v>179</v>
      </c>
      <c r="B1561" t="s">
        <v>223</v>
      </c>
      <c r="C1561" t="s">
        <v>357</v>
      </c>
      <c r="D1561" t="s">
        <v>1304</v>
      </c>
      <c r="E1561">
        <v>80840076</v>
      </c>
      <c r="F1561" t="s">
        <v>1305</v>
      </c>
      <c r="G1561" s="3">
        <v>46242</v>
      </c>
      <c r="H1561">
        <v>18</v>
      </c>
      <c r="I1561">
        <v>9</v>
      </c>
      <c r="J1561">
        <v>18</v>
      </c>
      <c r="K1561" s="4">
        <v>13999.5</v>
      </c>
      <c r="L1561" s="4">
        <v>4.2857142857142856</v>
      </c>
      <c r="M1561" s="4">
        <v>4.2</v>
      </c>
      <c r="N1561" t="s">
        <v>25</v>
      </c>
      <c r="O1561" t="str">
        <f t="shared" si="240"/>
        <v>High</v>
      </c>
      <c r="P1561" t="str">
        <f t="shared" si="241"/>
        <v>Medium</v>
      </c>
      <c r="Q1561" t="str">
        <f t="shared" si="242"/>
        <v>High</v>
      </c>
      <c r="R1561" t="s">
        <v>3317</v>
      </c>
      <c r="S1561" s="4">
        <f t="shared" ca="1" si="243"/>
        <v>45</v>
      </c>
      <c r="T1561">
        <f t="shared" si="244"/>
        <v>3</v>
      </c>
      <c r="U1561">
        <f t="shared" si="245"/>
        <v>2</v>
      </c>
      <c r="V1561">
        <f t="shared" si="246"/>
        <v>3</v>
      </c>
      <c r="W1561">
        <f t="shared" si="247"/>
        <v>1</v>
      </c>
      <c r="X1561">
        <f t="shared" si="248"/>
        <v>2.5000000000000004</v>
      </c>
      <c r="Y1561" t="str">
        <f t="shared" si="249"/>
        <v>High Priority</v>
      </c>
    </row>
    <row r="1562" spans="1:25" x14ac:dyDescent="0.35">
      <c r="A1562" t="s">
        <v>71</v>
      </c>
      <c r="B1562" t="s">
        <v>72</v>
      </c>
      <c r="C1562" t="s">
        <v>150</v>
      </c>
      <c r="D1562" t="s">
        <v>1306</v>
      </c>
      <c r="E1562">
        <v>80866580</v>
      </c>
      <c r="F1562" t="s">
        <v>1307</v>
      </c>
      <c r="G1562" s="3">
        <v>46919</v>
      </c>
      <c r="H1562">
        <v>36</v>
      </c>
      <c r="I1562">
        <v>67</v>
      </c>
      <c r="J1562">
        <v>30</v>
      </c>
      <c r="K1562" s="4">
        <v>888</v>
      </c>
      <c r="L1562" s="4">
        <v>199.28571428571428</v>
      </c>
      <c r="M1562" s="4">
        <v>0.15053763440860216</v>
      </c>
      <c r="N1562" t="s">
        <v>25</v>
      </c>
      <c r="O1562" t="str">
        <f t="shared" si="240"/>
        <v>Low</v>
      </c>
      <c r="P1562" t="str">
        <f t="shared" si="241"/>
        <v>Low</v>
      </c>
      <c r="Q1562" t="str">
        <f t="shared" si="242"/>
        <v>Low</v>
      </c>
      <c r="R1562" t="s">
        <v>3317</v>
      </c>
      <c r="S1562" s="4">
        <f t="shared" ca="1" si="243"/>
        <v>722</v>
      </c>
      <c r="T1562">
        <f t="shared" si="244"/>
        <v>1</v>
      </c>
      <c r="U1562">
        <f t="shared" si="245"/>
        <v>1</v>
      </c>
      <c r="V1562">
        <f t="shared" si="246"/>
        <v>1</v>
      </c>
      <c r="W1562">
        <f t="shared" si="247"/>
        <v>1</v>
      </c>
      <c r="X1562">
        <f t="shared" si="248"/>
        <v>0.99999999999999989</v>
      </c>
      <c r="Y1562" t="str">
        <f t="shared" si="249"/>
        <v>Healthy</v>
      </c>
    </row>
    <row r="1563" spans="1:25" x14ac:dyDescent="0.35">
      <c r="A1563" t="s">
        <v>71</v>
      </c>
      <c r="B1563" t="s">
        <v>72</v>
      </c>
      <c r="C1563" t="s">
        <v>150</v>
      </c>
      <c r="D1563" t="s">
        <v>1306</v>
      </c>
      <c r="E1563">
        <v>80866580</v>
      </c>
      <c r="F1563" t="s">
        <v>1307</v>
      </c>
      <c r="G1563" s="3">
        <v>47002</v>
      </c>
      <c r="H1563">
        <v>36</v>
      </c>
      <c r="I1563">
        <v>75</v>
      </c>
      <c r="J1563">
        <v>124</v>
      </c>
      <c r="K1563" s="4">
        <v>3670.4</v>
      </c>
      <c r="L1563" s="4">
        <v>199.28571428571428</v>
      </c>
      <c r="M1563" s="4">
        <v>0.62222222222222223</v>
      </c>
      <c r="N1563" t="s">
        <v>25</v>
      </c>
      <c r="O1563" t="str">
        <f t="shared" si="240"/>
        <v>Low</v>
      </c>
      <c r="P1563" t="str">
        <f t="shared" si="241"/>
        <v>Low</v>
      </c>
      <c r="Q1563" t="str">
        <f t="shared" si="242"/>
        <v>Low</v>
      </c>
      <c r="R1563" t="s">
        <v>3317</v>
      </c>
      <c r="S1563" s="4">
        <f t="shared" ca="1" si="243"/>
        <v>805</v>
      </c>
      <c r="T1563">
        <f t="shared" si="244"/>
        <v>1</v>
      </c>
      <c r="U1563">
        <f t="shared" si="245"/>
        <v>1</v>
      </c>
      <c r="V1563">
        <f t="shared" si="246"/>
        <v>1</v>
      </c>
      <c r="W1563">
        <f t="shared" si="247"/>
        <v>1</v>
      </c>
      <c r="X1563">
        <f t="shared" si="248"/>
        <v>0.99999999999999989</v>
      </c>
      <c r="Y1563" t="str">
        <f t="shared" si="249"/>
        <v>Healthy</v>
      </c>
    </row>
    <row r="1564" spans="1:25" x14ac:dyDescent="0.35">
      <c r="A1564" t="s">
        <v>71</v>
      </c>
      <c r="B1564" t="s">
        <v>72</v>
      </c>
      <c r="C1564" t="s">
        <v>150</v>
      </c>
      <c r="D1564" t="s">
        <v>1306</v>
      </c>
      <c r="E1564">
        <v>80866580</v>
      </c>
      <c r="F1564" t="s">
        <v>1307</v>
      </c>
      <c r="G1564" s="3">
        <v>46992</v>
      </c>
      <c r="H1564">
        <v>36</v>
      </c>
      <c r="I1564">
        <v>74</v>
      </c>
      <c r="J1564">
        <v>194</v>
      </c>
      <c r="K1564" s="4">
        <v>5742.4</v>
      </c>
      <c r="L1564" s="4">
        <v>199.28571428571428</v>
      </c>
      <c r="M1564" s="4">
        <v>0.97347670250896057</v>
      </c>
      <c r="N1564" t="s">
        <v>25</v>
      </c>
      <c r="O1564" t="str">
        <f t="shared" si="240"/>
        <v>Low</v>
      </c>
      <c r="P1564" t="str">
        <f t="shared" si="241"/>
        <v>Low</v>
      </c>
      <c r="Q1564" t="str">
        <f t="shared" si="242"/>
        <v>Low</v>
      </c>
      <c r="R1564" t="s">
        <v>3317</v>
      </c>
      <c r="S1564" s="4">
        <f t="shared" ca="1" si="243"/>
        <v>795</v>
      </c>
      <c r="T1564">
        <f t="shared" si="244"/>
        <v>1</v>
      </c>
      <c r="U1564">
        <f t="shared" si="245"/>
        <v>1</v>
      </c>
      <c r="V1564">
        <f t="shared" si="246"/>
        <v>1</v>
      </c>
      <c r="W1564">
        <f t="shared" si="247"/>
        <v>1</v>
      </c>
      <c r="X1564">
        <f t="shared" si="248"/>
        <v>0.99999999999999989</v>
      </c>
      <c r="Y1564" t="str">
        <f t="shared" si="249"/>
        <v>Healthy</v>
      </c>
    </row>
    <row r="1565" spans="1:25" x14ac:dyDescent="0.35">
      <c r="A1565" t="s">
        <v>189</v>
      </c>
      <c r="B1565" t="s">
        <v>190</v>
      </c>
      <c r="C1565" t="s">
        <v>190</v>
      </c>
      <c r="D1565" t="s">
        <v>1308</v>
      </c>
      <c r="E1565">
        <v>80835768</v>
      </c>
      <c r="F1565" t="s">
        <v>1309</v>
      </c>
      <c r="G1565" s="3">
        <v>46460</v>
      </c>
      <c r="H1565">
        <v>18</v>
      </c>
      <c r="I1565">
        <v>50</v>
      </c>
      <c r="J1565">
        <v>243</v>
      </c>
      <c r="K1565" s="4">
        <v>8760.15</v>
      </c>
      <c r="L1565" s="4">
        <v>22420.285714285714</v>
      </c>
      <c r="M1565" s="4">
        <v>1.0838398898956303E-2</v>
      </c>
      <c r="N1565" t="s">
        <v>25</v>
      </c>
      <c r="O1565" t="str">
        <f t="shared" si="240"/>
        <v>Low</v>
      </c>
      <c r="P1565" t="str">
        <f t="shared" si="241"/>
        <v>Low</v>
      </c>
      <c r="Q1565" t="str">
        <f t="shared" si="242"/>
        <v>Low</v>
      </c>
      <c r="R1565" t="s">
        <v>3317</v>
      </c>
      <c r="S1565" s="4">
        <f t="shared" ca="1" si="243"/>
        <v>263</v>
      </c>
      <c r="T1565">
        <f t="shared" si="244"/>
        <v>1</v>
      </c>
      <c r="U1565">
        <f t="shared" si="245"/>
        <v>1</v>
      </c>
      <c r="V1565">
        <f t="shared" si="246"/>
        <v>1</v>
      </c>
      <c r="W1565">
        <f t="shared" si="247"/>
        <v>1</v>
      </c>
      <c r="X1565">
        <f t="shared" si="248"/>
        <v>0.99999999999999989</v>
      </c>
      <c r="Y1565" t="str">
        <f t="shared" si="249"/>
        <v>Healthy</v>
      </c>
    </row>
    <row r="1566" spans="1:25" x14ac:dyDescent="0.35">
      <c r="A1566" t="s">
        <v>71</v>
      </c>
      <c r="B1566" t="s">
        <v>72</v>
      </c>
      <c r="C1566" t="s">
        <v>73</v>
      </c>
      <c r="D1566" t="s">
        <v>235</v>
      </c>
      <c r="E1566">
        <v>80867166</v>
      </c>
      <c r="F1566" t="s">
        <v>1310</v>
      </c>
      <c r="G1566" s="3">
        <v>46935</v>
      </c>
      <c r="H1566">
        <v>36</v>
      </c>
      <c r="I1566">
        <v>69</v>
      </c>
      <c r="J1566">
        <v>44</v>
      </c>
      <c r="K1566" s="4">
        <v>48836.04</v>
      </c>
      <c r="L1566" s="4">
        <v>57.571428571428569</v>
      </c>
      <c r="M1566" s="4">
        <v>0.76426799007444168</v>
      </c>
      <c r="N1566" t="s">
        <v>25</v>
      </c>
      <c r="O1566" t="str">
        <f t="shared" si="240"/>
        <v>Low</v>
      </c>
      <c r="P1566" t="str">
        <f t="shared" si="241"/>
        <v>Low</v>
      </c>
      <c r="Q1566" t="str">
        <f t="shared" si="242"/>
        <v>Low</v>
      </c>
      <c r="R1566" t="s">
        <v>3317</v>
      </c>
      <c r="S1566" s="4">
        <f t="shared" ca="1" si="243"/>
        <v>738</v>
      </c>
      <c r="T1566">
        <f t="shared" si="244"/>
        <v>1</v>
      </c>
      <c r="U1566">
        <f t="shared" si="245"/>
        <v>1</v>
      </c>
      <c r="V1566">
        <f t="shared" si="246"/>
        <v>1</v>
      </c>
      <c r="W1566">
        <f t="shared" si="247"/>
        <v>1</v>
      </c>
      <c r="X1566">
        <f t="shared" si="248"/>
        <v>0.99999999999999989</v>
      </c>
      <c r="Y1566" t="str">
        <f t="shared" si="249"/>
        <v>Healthy</v>
      </c>
    </row>
    <row r="1567" spans="1:25" x14ac:dyDescent="0.35">
      <c r="A1567" t="s">
        <v>189</v>
      </c>
      <c r="B1567" t="s">
        <v>190</v>
      </c>
      <c r="C1567" t="s">
        <v>190</v>
      </c>
      <c r="D1567" t="s">
        <v>1308</v>
      </c>
      <c r="E1567">
        <v>80835768</v>
      </c>
      <c r="F1567" t="s">
        <v>1309</v>
      </c>
      <c r="G1567" s="3">
        <v>46492</v>
      </c>
      <c r="H1567">
        <v>18</v>
      </c>
      <c r="I1567">
        <v>56</v>
      </c>
      <c r="J1567">
        <v>421</v>
      </c>
      <c r="K1567" s="4">
        <v>15177.05</v>
      </c>
      <c r="L1567" s="4">
        <v>22420.285714285714</v>
      </c>
      <c r="M1567" s="4">
        <v>1.8777637598603306E-2</v>
      </c>
      <c r="N1567" t="s">
        <v>25</v>
      </c>
      <c r="O1567" t="str">
        <f t="shared" si="240"/>
        <v>Low</v>
      </c>
      <c r="P1567" t="str">
        <f t="shared" si="241"/>
        <v>Low</v>
      </c>
      <c r="Q1567" t="str">
        <f t="shared" si="242"/>
        <v>Low</v>
      </c>
      <c r="R1567" t="s">
        <v>3317</v>
      </c>
      <c r="S1567" s="4">
        <f t="shared" ca="1" si="243"/>
        <v>295</v>
      </c>
      <c r="T1567">
        <f t="shared" si="244"/>
        <v>1</v>
      </c>
      <c r="U1567">
        <f t="shared" si="245"/>
        <v>1</v>
      </c>
      <c r="V1567">
        <f t="shared" si="246"/>
        <v>1</v>
      </c>
      <c r="W1567">
        <f t="shared" si="247"/>
        <v>1</v>
      </c>
      <c r="X1567">
        <f t="shared" si="248"/>
        <v>0.99999999999999989</v>
      </c>
      <c r="Y1567" t="str">
        <f t="shared" si="249"/>
        <v>Healthy</v>
      </c>
    </row>
    <row r="1568" spans="1:25" x14ac:dyDescent="0.35">
      <c r="A1568" t="s">
        <v>71</v>
      </c>
      <c r="B1568" t="s">
        <v>72</v>
      </c>
      <c r="C1568" t="s">
        <v>73</v>
      </c>
      <c r="D1568" t="s">
        <v>235</v>
      </c>
      <c r="E1568">
        <v>80867166</v>
      </c>
      <c r="F1568" t="s">
        <v>1310</v>
      </c>
      <c r="G1568" s="3">
        <v>47001</v>
      </c>
      <c r="H1568">
        <v>36</v>
      </c>
      <c r="I1568">
        <v>75</v>
      </c>
      <c r="J1568">
        <v>2</v>
      </c>
      <c r="K1568" s="4">
        <v>2219.8200000000002</v>
      </c>
      <c r="L1568" s="4">
        <v>57.571428571428569</v>
      </c>
      <c r="M1568" s="4">
        <v>3.4739454094292806E-2</v>
      </c>
      <c r="N1568" t="s">
        <v>25</v>
      </c>
      <c r="O1568" t="str">
        <f t="shared" si="240"/>
        <v>Low</v>
      </c>
      <c r="P1568" t="str">
        <f t="shared" si="241"/>
        <v>Low</v>
      </c>
      <c r="Q1568" t="str">
        <f t="shared" si="242"/>
        <v>Low</v>
      </c>
      <c r="R1568" t="s">
        <v>3317</v>
      </c>
      <c r="S1568" s="4">
        <f t="shared" ca="1" si="243"/>
        <v>804</v>
      </c>
      <c r="T1568">
        <f t="shared" si="244"/>
        <v>1</v>
      </c>
      <c r="U1568">
        <f t="shared" si="245"/>
        <v>1</v>
      </c>
      <c r="V1568">
        <f t="shared" si="246"/>
        <v>1</v>
      </c>
      <c r="W1568">
        <f t="shared" si="247"/>
        <v>1</v>
      </c>
      <c r="X1568">
        <f t="shared" si="248"/>
        <v>0.99999999999999989</v>
      </c>
      <c r="Y1568" t="str">
        <f t="shared" si="249"/>
        <v>Healthy</v>
      </c>
    </row>
    <row r="1569" spans="1:25" x14ac:dyDescent="0.35">
      <c r="A1569" t="s">
        <v>71</v>
      </c>
      <c r="B1569" t="s">
        <v>72</v>
      </c>
      <c r="C1569" t="s">
        <v>73</v>
      </c>
      <c r="D1569" t="s">
        <v>235</v>
      </c>
      <c r="E1569">
        <v>80867166</v>
      </c>
      <c r="F1569" t="s">
        <v>1310</v>
      </c>
      <c r="G1569" s="3">
        <v>46998</v>
      </c>
      <c r="H1569">
        <v>36</v>
      </c>
      <c r="I1569">
        <v>75</v>
      </c>
      <c r="J1569">
        <v>98</v>
      </c>
      <c r="K1569" s="4">
        <v>108771.18</v>
      </c>
      <c r="L1569" s="4">
        <v>57.571428571428569</v>
      </c>
      <c r="M1569" s="4">
        <v>1.7022332506203475</v>
      </c>
      <c r="N1569" t="s">
        <v>25</v>
      </c>
      <c r="O1569" t="str">
        <f t="shared" si="240"/>
        <v>Low</v>
      </c>
      <c r="P1569" t="str">
        <f t="shared" si="241"/>
        <v>Low</v>
      </c>
      <c r="Q1569" t="str">
        <f t="shared" si="242"/>
        <v>Low</v>
      </c>
      <c r="R1569" t="s">
        <v>3310</v>
      </c>
      <c r="S1569" s="4">
        <f t="shared" ca="1" si="243"/>
        <v>801</v>
      </c>
      <c r="T1569">
        <f t="shared" si="244"/>
        <v>1</v>
      </c>
      <c r="U1569">
        <f t="shared" si="245"/>
        <v>1</v>
      </c>
      <c r="V1569">
        <f t="shared" si="246"/>
        <v>1</v>
      </c>
      <c r="W1569">
        <f t="shared" si="247"/>
        <v>2</v>
      </c>
      <c r="X1569">
        <f t="shared" si="248"/>
        <v>1.0999999999999999</v>
      </c>
      <c r="Y1569" t="str">
        <f t="shared" si="249"/>
        <v>Healthy</v>
      </c>
    </row>
    <row r="1570" spans="1:25" x14ac:dyDescent="0.35">
      <c r="A1570" t="s">
        <v>71</v>
      </c>
      <c r="B1570" t="s">
        <v>72</v>
      </c>
      <c r="C1570" t="s">
        <v>73</v>
      </c>
      <c r="D1570" t="s">
        <v>235</v>
      </c>
      <c r="E1570">
        <v>80867166</v>
      </c>
      <c r="F1570" t="s">
        <v>1310</v>
      </c>
      <c r="G1570" s="3">
        <v>47001</v>
      </c>
      <c r="H1570">
        <v>36</v>
      </c>
      <c r="I1570">
        <v>75</v>
      </c>
      <c r="J1570">
        <v>71</v>
      </c>
      <c r="K1570" s="4">
        <v>78803.61</v>
      </c>
      <c r="L1570" s="4">
        <v>57.571428571428569</v>
      </c>
      <c r="M1570" s="4">
        <v>1.2332506203473945</v>
      </c>
      <c r="N1570" t="s">
        <v>25</v>
      </c>
      <c r="O1570" t="str">
        <f t="shared" si="240"/>
        <v>Low</v>
      </c>
      <c r="P1570" t="str">
        <f t="shared" si="241"/>
        <v>Low</v>
      </c>
      <c r="Q1570" t="str">
        <f t="shared" si="242"/>
        <v>Low</v>
      </c>
      <c r="R1570" t="s">
        <v>3310</v>
      </c>
      <c r="S1570" s="4">
        <f t="shared" ca="1" si="243"/>
        <v>804</v>
      </c>
      <c r="T1570">
        <f t="shared" si="244"/>
        <v>1</v>
      </c>
      <c r="U1570">
        <f t="shared" si="245"/>
        <v>1</v>
      </c>
      <c r="V1570">
        <f t="shared" si="246"/>
        <v>1</v>
      </c>
      <c r="W1570">
        <f t="shared" si="247"/>
        <v>2</v>
      </c>
      <c r="X1570">
        <f t="shared" si="248"/>
        <v>1.0999999999999999</v>
      </c>
      <c r="Y1570" t="str">
        <f t="shared" si="249"/>
        <v>Healthy</v>
      </c>
    </row>
    <row r="1571" spans="1:25" x14ac:dyDescent="0.35">
      <c r="A1571" t="s">
        <v>71</v>
      </c>
      <c r="B1571" t="s">
        <v>72</v>
      </c>
      <c r="C1571" t="s">
        <v>73</v>
      </c>
      <c r="D1571" t="s">
        <v>235</v>
      </c>
      <c r="E1571">
        <v>80867166</v>
      </c>
      <c r="F1571" t="s">
        <v>1310</v>
      </c>
      <c r="G1571" s="3">
        <v>46921</v>
      </c>
      <c r="H1571">
        <v>36</v>
      </c>
      <c r="I1571">
        <v>68</v>
      </c>
      <c r="J1571">
        <v>20</v>
      </c>
      <c r="K1571" s="4">
        <v>22198.2</v>
      </c>
      <c r="L1571" s="4">
        <v>57.571428571428569</v>
      </c>
      <c r="M1571" s="4">
        <v>0.34739454094292804</v>
      </c>
      <c r="N1571" t="s">
        <v>25</v>
      </c>
      <c r="O1571" t="str">
        <f t="shared" si="240"/>
        <v>Low</v>
      </c>
      <c r="P1571" t="str">
        <f t="shared" si="241"/>
        <v>Low</v>
      </c>
      <c r="Q1571" t="str">
        <f t="shared" si="242"/>
        <v>Low</v>
      </c>
      <c r="R1571" t="s">
        <v>3317</v>
      </c>
      <c r="S1571" s="4">
        <f t="shared" ca="1" si="243"/>
        <v>724</v>
      </c>
      <c r="T1571">
        <f t="shared" si="244"/>
        <v>1</v>
      </c>
      <c r="U1571">
        <f t="shared" si="245"/>
        <v>1</v>
      </c>
      <c r="V1571">
        <f t="shared" si="246"/>
        <v>1</v>
      </c>
      <c r="W1571">
        <f t="shared" si="247"/>
        <v>1</v>
      </c>
      <c r="X1571">
        <f t="shared" si="248"/>
        <v>0.99999999999999989</v>
      </c>
      <c r="Y1571" t="str">
        <f t="shared" si="249"/>
        <v>Healthy</v>
      </c>
    </row>
    <row r="1572" spans="1:25" x14ac:dyDescent="0.35">
      <c r="A1572" t="s">
        <v>71</v>
      </c>
      <c r="B1572" t="s">
        <v>72</v>
      </c>
      <c r="C1572" t="s">
        <v>73</v>
      </c>
      <c r="D1572" t="s">
        <v>235</v>
      </c>
      <c r="E1572">
        <v>80867166</v>
      </c>
      <c r="F1572" t="s">
        <v>1310</v>
      </c>
      <c r="G1572" s="3">
        <v>46815</v>
      </c>
      <c r="H1572">
        <v>36</v>
      </c>
      <c r="I1572">
        <v>58</v>
      </c>
      <c r="J1572">
        <v>16</v>
      </c>
      <c r="K1572" s="4">
        <v>17758.560000000001</v>
      </c>
      <c r="L1572" s="4">
        <v>57.571428571428569</v>
      </c>
      <c r="M1572" s="4">
        <v>0.27791563275434245</v>
      </c>
      <c r="N1572" t="s">
        <v>25</v>
      </c>
      <c r="O1572" t="str">
        <f t="shared" si="240"/>
        <v>Low</v>
      </c>
      <c r="P1572" t="str">
        <f t="shared" si="241"/>
        <v>Low</v>
      </c>
      <c r="Q1572" t="str">
        <f t="shared" si="242"/>
        <v>Low</v>
      </c>
      <c r="R1572" t="s">
        <v>3317</v>
      </c>
      <c r="S1572" s="4">
        <f t="shared" ca="1" si="243"/>
        <v>618</v>
      </c>
      <c r="T1572">
        <f t="shared" si="244"/>
        <v>1</v>
      </c>
      <c r="U1572">
        <f t="shared" si="245"/>
        <v>1</v>
      </c>
      <c r="V1572">
        <f t="shared" si="246"/>
        <v>1</v>
      </c>
      <c r="W1572">
        <f t="shared" si="247"/>
        <v>1</v>
      </c>
      <c r="X1572">
        <f t="shared" si="248"/>
        <v>0.99999999999999989</v>
      </c>
      <c r="Y1572" t="str">
        <f t="shared" si="249"/>
        <v>Healthy</v>
      </c>
    </row>
    <row r="1573" spans="1:25" x14ac:dyDescent="0.35">
      <c r="A1573" t="s">
        <v>71</v>
      </c>
      <c r="B1573" t="s">
        <v>72</v>
      </c>
      <c r="C1573" t="s">
        <v>73</v>
      </c>
      <c r="D1573" t="s">
        <v>235</v>
      </c>
      <c r="E1573">
        <v>80867166</v>
      </c>
      <c r="F1573" t="s">
        <v>1310</v>
      </c>
      <c r="G1573" s="3">
        <v>46985</v>
      </c>
      <c r="H1573">
        <v>36</v>
      </c>
      <c r="I1573">
        <v>73</v>
      </c>
      <c r="J1573">
        <v>84</v>
      </c>
      <c r="K1573" s="4">
        <v>93232.44</v>
      </c>
      <c r="L1573" s="4">
        <v>57.571428571428569</v>
      </c>
      <c r="M1573" s="4">
        <v>1.4590570719602978</v>
      </c>
      <c r="N1573" t="s">
        <v>25</v>
      </c>
      <c r="O1573" t="str">
        <f t="shared" si="240"/>
        <v>Low</v>
      </c>
      <c r="P1573" t="str">
        <f t="shared" si="241"/>
        <v>Low</v>
      </c>
      <c r="Q1573" t="str">
        <f t="shared" si="242"/>
        <v>Low</v>
      </c>
      <c r="R1573" t="s">
        <v>3310</v>
      </c>
      <c r="S1573" s="4">
        <f t="shared" ca="1" si="243"/>
        <v>788</v>
      </c>
      <c r="T1573">
        <f t="shared" si="244"/>
        <v>1</v>
      </c>
      <c r="U1573">
        <f t="shared" si="245"/>
        <v>1</v>
      </c>
      <c r="V1573">
        <f t="shared" si="246"/>
        <v>1</v>
      </c>
      <c r="W1573">
        <f t="shared" si="247"/>
        <v>2</v>
      </c>
      <c r="X1573">
        <f t="shared" si="248"/>
        <v>1.0999999999999999</v>
      </c>
      <c r="Y1573" t="str">
        <f t="shared" si="249"/>
        <v>Healthy</v>
      </c>
    </row>
    <row r="1574" spans="1:25" x14ac:dyDescent="0.35">
      <c r="A1574" t="s">
        <v>189</v>
      </c>
      <c r="B1574" t="s">
        <v>190</v>
      </c>
      <c r="C1574" t="s">
        <v>190</v>
      </c>
      <c r="D1574" t="s">
        <v>1308</v>
      </c>
      <c r="E1574">
        <v>80835768</v>
      </c>
      <c r="F1574" t="s">
        <v>1309</v>
      </c>
      <c r="G1574" s="3">
        <v>46470</v>
      </c>
      <c r="H1574">
        <v>18</v>
      </c>
      <c r="I1574">
        <v>51</v>
      </c>
      <c r="J1574">
        <v>449</v>
      </c>
      <c r="K1574" s="4">
        <v>16186.45</v>
      </c>
      <c r="L1574" s="4">
        <v>22420.285714285714</v>
      </c>
      <c r="M1574" s="4">
        <v>2.0026506607536541E-2</v>
      </c>
      <c r="N1574" t="s">
        <v>25</v>
      </c>
      <c r="O1574" t="str">
        <f t="shared" si="240"/>
        <v>Low</v>
      </c>
      <c r="P1574" t="str">
        <f t="shared" si="241"/>
        <v>Low</v>
      </c>
      <c r="Q1574" t="str">
        <f t="shared" si="242"/>
        <v>Low</v>
      </c>
      <c r="R1574" t="s">
        <v>3317</v>
      </c>
      <c r="S1574" s="4">
        <f t="shared" ca="1" si="243"/>
        <v>273</v>
      </c>
      <c r="T1574">
        <f t="shared" si="244"/>
        <v>1</v>
      </c>
      <c r="U1574">
        <f t="shared" si="245"/>
        <v>1</v>
      </c>
      <c r="V1574">
        <f t="shared" si="246"/>
        <v>1</v>
      </c>
      <c r="W1574">
        <f t="shared" si="247"/>
        <v>1</v>
      </c>
      <c r="X1574">
        <f t="shared" si="248"/>
        <v>0.99999999999999989</v>
      </c>
      <c r="Y1574" t="str">
        <f t="shared" si="249"/>
        <v>Healthy</v>
      </c>
    </row>
    <row r="1575" spans="1:25" x14ac:dyDescent="0.35">
      <c r="A1575" t="s">
        <v>71</v>
      </c>
      <c r="B1575" t="s">
        <v>72</v>
      </c>
      <c r="C1575" t="s">
        <v>73</v>
      </c>
      <c r="D1575" t="s">
        <v>1208</v>
      </c>
      <c r="E1575">
        <v>80867158</v>
      </c>
      <c r="F1575" t="s">
        <v>1311</v>
      </c>
      <c r="G1575" s="3">
        <v>46933</v>
      </c>
      <c r="H1575">
        <v>36</v>
      </c>
      <c r="I1575">
        <v>69</v>
      </c>
      <c r="J1575">
        <v>17</v>
      </c>
      <c r="K1575" s="4">
        <v>18868.47</v>
      </c>
      <c r="L1575" s="4">
        <v>43.714285714285715</v>
      </c>
      <c r="M1575" s="4">
        <v>0.3888888888888889</v>
      </c>
      <c r="N1575" t="s">
        <v>25</v>
      </c>
      <c r="O1575" t="str">
        <f t="shared" si="240"/>
        <v>Low</v>
      </c>
      <c r="P1575" t="str">
        <f t="shared" si="241"/>
        <v>Low</v>
      </c>
      <c r="Q1575" t="str">
        <f t="shared" si="242"/>
        <v>Low</v>
      </c>
      <c r="R1575" t="s">
        <v>3317</v>
      </c>
      <c r="S1575" s="4">
        <f t="shared" ca="1" si="243"/>
        <v>736</v>
      </c>
      <c r="T1575">
        <f t="shared" si="244"/>
        <v>1</v>
      </c>
      <c r="U1575">
        <f t="shared" si="245"/>
        <v>1</v>
      </c>
      <c r="V1575">
        <f t="shared" si="246"/>
        <v>1</v>
      </c>
      <c r="W1575">
        <f t="shared" si="247"/>
        <v>1</v>
      </c>
      <c r="X1575">
        <f t="shared" si="248"/>
        <v>0.99999999999999989</v>
      </c>
      <c r="Y1575" t="str">
        <f t="shared" si="249"/>
        <v>Healthy</v>
      </c>
    </row>
    <row r="1576" spans="1:25" x14ac:dyDescent="0.35">
      <c r="A1576" t="s">
        <v>71</v>
      </c>
      <c r="B1576" t="s">
        <v>72</v>
      </c>
      <c r="C1576" t="s">
        <v>73</v>
      </c>
      <c r="D1576" t="s">
        <v>1208</v>
      </c>
      <c r="E1576">
        <v>80867158</v>
      </c>
      <c r="F1576" t="s">
        <v>1311</v>
      </c>
      <c r="G1576" s="3">
        <v>46939</v>
      </c>
      <c r="H1576">
        <v>36</v>
      </c>
      <c r="I1576">
        <v>69</v>
      </c>
      <c r="J1576">
        <v>60</v>
      </c>
      <c r="K1576" s="4">
        <v>66594.600000000006</v>
      </c>
      <c r="L1576" s="4">
        <v>43.714285714285715</v>
      </c>
      <c r="M1576" s="4">
        <v>1.3725490196078431</v>
      </c>
      <c r="N1576" t="s">
        <v>25</v>
      </c>
      <c r="O1576" t="str">
        <f t="shared" si="240"/>
        <v>Low</v>
      </c>
      <c r="P1576" t="str">
        <f t="shared" si="241"/>
        <v>Low</v>
      </c>
      <c r="Q1576" t="str">
        <f t="shared" si="242"/>
        <v>Low</v>
      </c>
      <c r="R1576" t="s">
        <v>3310</v>
      </c>
      <c r="S1576" s="4">
        <f t="shared" ca="1" si="243"/>
        <v>742</v>
      </c>
      <c r="T1576">
        <f t="shared" si="244"/>
        <v>1</v>
      </c>
      <c r="U1576">
        <f t="shared" si="245"/>
        <v>1</v>
      </c>
      <c r="V1576">
        <f t="shared" si="246"/>
        <v>1</v>
      </c>
      <c r="W1576">
        <f t="shared" si="247"/>
        <v>2</v>
      </c>
      <c r="X1576">
        <f t="shared" si="248"/>
        <v>1.0999999999999999</v>
      </c>
      <c r="Y1576" t="str">
        <f t="shared" si="249"/>
        <v>Healthy</v>
      </c>
    </row>
    <row r="1577" spans="1:25" x14ac:dyDescent="0.35">
      <c r="A1577" t="s">
        <v>71</v>
      </c>
      <c r="B1577" t="s">
        <v>72</v>
      </c>
      <c r="C1577" t="s">
        <v>73</v>
      </c>
      <c r="D1577" t="s">
        <v>1208</v>
      </c>
      <c r="E1577">
        <v>80867158</v>
      </c>
      <c r="F1577" t="s">
        <v>1311</v>
      </c>
      <c r="G1577" s="3">
        <v>46959</v>
      </c>
      <c r="H1577">
        <v>36</v>
      </c>
      <c r="I1577">
        <v>71</v>
      </c>
      <c r="J1577">
        <v>40</v>
      </c>
      <c r="K1577" s="4">
        <v>44396.4</v>
      </c>
      <c r="L1577" s="4">
        <v>43.714285714285715</v>
      </c>
      <c r="M1577" s="4">
        <v>0.91503267973856206</v>
      </c>
      <c r="N1577" t="s">
        <v>25</v>
      </c>
      <c r="O1577" t="str">
        <f t="shared" si="240"/>
        <v>Low</v>
      </c>
      <c r="P1577" t="str">
        <f t="shared" si="241"/>
        <v>Low</v>
      </c>
      <c r="Q1577" t="str">
        <f t="shared" si="242"/>
        <v>Low</v>
      </c>
      <c r="R1577" t="s">
        <v>3317</v>
      </c>
      <c r="S1577" s="4">
        <f t="shared" ca="1" si="243"/>
        <v>762</v>
      </c>
      <c r="T1577">
        <f t="shared" si="244"/>
        <v>1</v>
      </c>
      <c r="U1577">
        <f t="shared" si="245"/>
        <v>1</v>
      </c>
      <c r="V1577">
        <f t="shared" si="246"/>
        <v>1</v>
      </c>
      <c r="W1577">
        <f t="shared" si="247"/>
        <v>1</v>
      </c>
      <c r="X1577">
        <f t="shared" si="248"/>
        <v>0.99999999999999989</v>
      </c>
      <c r="Y1577" t="str">
        <f t="shared" si="249"/>
        <v>Healthy</v>
      </c>
    </row>
    <row r="1578" spans="1:25" x14ac:dyDescent="0.35">
      <c r="A1578" t="s">
        <v>14</v>
      </c>
      <c r="B1578" t="s">
        <v>15</v>
      </c>
      <c r="C1578" t="s">
        <v>1312</v>
      </c>
      <c r="D1578" t="s">
        <v>1313</v>
      </c>
      <c r="E1578">
        <v>80831120</v>
      </c>
      <c r="F1578" t="s">
        <v>1314</v>
      </c>
      <c r="G1578" s="3">
        <v>47660</v>
      </c>
      <c r="H1578">
        <v>60</v>
      </c>
      <c r="I1578">
        <v>82</v>
      </c>
      <c r="J1578">
        <v>10</v>
      </c>
      <c r="K1578" s="4">
        <v>17999.400000000001</v>
      </c>
      <c r="L1578" s="4">
        <v>72</v>
      </c>
      <c r="M1578" s="4">
        <v>0.1388888888888889</v>
      </c>
      <c r="N1578" t="s">
        <v>25</v>
      </c>
      <c r="O1578" t="str">
        <f t="shared" si="240"/>
        <v>Low</v>
      </c>
      <c r="P1578" t="str">
        <f t="shared" si="241"/>
        <v>Low</v>
      </c>
      <c r="Q1578" t="str">
        <f t="shared" si="242"/>
        <v>Low</v>
      </c>
      <c r="R1578" t="s">
        <v>3317</v>
      </c>
      <c r="S1578" s="4">
        <f t="shared" ca="1" si="243"/>
        <v>1463</v>
      </c>
      <c r="T1578">
        <f t="shared" si="244"/>
        <v>1</v>
      </c>
      <c r="U1578">
        <f t="shared" si="245"/>
        <v>1</v>
      </c>
      <c r="V1578">
        <f t="shared" si="246"/>
        <v>1</v>
      </c>
      <c r="W1578">
        <f t="shared" si="247"/>
        <v>1</v>
      </c>
      <c r="X1578">
        <f t="shared" si="248"/>
        <v>0.99999999999999989</v>
      </c>
      <c r="Y1578" t="str">
        <f t="shared" si="249"/>
        <v>Healthy</v>
      </c>
    </row>
    <row r="1579" spans="1:25" x14ac:dyDescent="0.35">
      <c r="A1579" t="s">
        <v>71</v>
      </c>
      <c r="B1579" t="s">
        <v>72</v>
      </c>
      <c r="C1579" t="s">
        <v>73</v>
      </c>
      <c r="D1579" t="s">
        <v>1208</v>
      </c>
      <c r="E1579">
        <v>80867158</v>
      </c>
      <c r="F1579" t="s">
        <v>1311</v>
      </c>
      <c r="G1579" s="3">
        <v>46901</v>
      </c>
      <c r="H1579">
        <v>36</v>
      </c>
      <c r="I1579">
        <v>66</v>
      </c>
      <c r="J1579">
        <v>108</v>
      </c>
      <c r="K1579" s="4">
        <v>119870.28</v>
      </c>
      <c r="L1579" s="4">
        <v>43.714285714285715</v>
      </c>
      <c r="M1579" s="4">
        <v>2.4705882352941178</v>
      </c>
      <c r="N1579" t="s">
        <v>25</v>
      </c>
      <c r="O1579" t="str">
        <f t="shared" si="240"/>
        <v>Low</v>
      </c>
      <c r="P1579" t="str">
        <f t="shared" si="241"/>
        <v>Low</v>
      </c>
      <c r="Q1579" t="str">
        <f t="shared" si="242"/>
        <v>Low</v>
      </c>
      <c r="R1579" t="s">
        <v>3310</v>
      </c>
      <c r="S1579" s="4">
        <f t="shared" ca="1" si="243"/>
        <v>704</v>
      </c>
      <c r="T1579">
        <f t="shared" si="244"/>
        <v>1</v>
      </c>
      <c r="U1579">
        <f t="shared" si="245"/>
        <v>1</v>
      </c>
      <c r="V1579">
        <f t="shared" si="246"/>
        <v>1</v>
      </c>
      <c r="W1579">
        <f t="shared" si="247"/>
        <v>2</v>
      </c>
      <c r="X1579">
        <f t="shared" si="248"/>
        <v>1.0999999999999999</v>
      </c>
      <c r="Y1579" t="str">
        <f t="shared" si="249"/>
        <v>Healthy</v>
      </c>
    </row>
    <row r="1580" spans="1:25" x14ac:dyDescent="0.35">
      <c r="A1580" t="s">
        <v>71</v>
      </c>
      <c r="B1580" t="s">
        <v>72</v>
      </c>
      <c r="C1580" t="s">
        <v>73</v>
      </c>
      <c r="D1580" t="s">
        <v>1208</v>
      </c>
      <c r="E1580">
        <v>80867158</v>
      </c>
      <c r="F1580" t="s">
        <v>1311</v>
      </c>
      <c r="G1580" s="3">
        <v>46944</v>
      </c>
      <c r="H1580">
        <v>36</v>
      </c>
      <c r="I1580">
        <v>70</v>
      </c>
      <c r="J1580">
        <v>32</v>
      </c>
      <c r="K1580" s="4">
        <v>35517.120000000003</v>
      </c>
      <c r="L1580" s="4">
        <v>43.714285714285715</v>
      </c>
      <c r="M1580" s="4">
        <v>0.73202614379084963</v>
      </c>
      <c r="N1580" t="s">
        <v>25</v>
      </c>
      <c r="O1580" t="str">
        <f t="shared" si="240"/>
        <v>Low</v>
      </c>
      <c r="P1580" t="str">
        <f t="shared" si="241"/>
        <v>Low</v>
      </c>
      <c r="Q1580" t="str">
        <f t="shared" si="242"/>
        <v>Low</v>
      </c>
      <c r="R1580" t="s">
        <v>3317</v>
      </c>
      <c r="S1580" s="4">
        <f t="shared" ca="1" si="243"/>
        <v>747</v>
      </c>
      <c r="T1580">
        <f t="shared" si="244"/>
        <v>1</v>
      </c>
      <c r="U1580">
        <f t="shared" si="245"/>
        <v>1</v>
      </c>
      <c r="V1580">
        <f t="shared" si="246"/>
        <v>1</v>
      </c>
      <c r="W1580">
        <f t="shared" si="247"/>
        <v>1</v>
      </c>
      <c r="X1580">
        <f t="shared" si="248"/>
        <v>0.99999999999999989</v>
      </c>
      <c r="Y1580" t="str">
        <f t="shared" si="249"/>
        <v>Healthy</v>
      </c>
    </row>
    <row r="1581" spans="1:25" x14ac:dyDescent="0.35">
      <c r="A1581" t="s">
        <v>90</v>
      </c>
      <c r="B1581" t="s">
        <v>217</v>
      </c>
      <c r="C1581" t="s">
        <v>239</v>
      </c>
      <c r="D1581" t="s">
        <v>240</v>
      </c>
      <c r="E1581">
        <v>80844720</v>
      </c>
      <c r="F1581" t="s">
        <v>1315</v>
      </c>
      <c r="G1581" s="3">
        <v>46548</v>
      </c>
      <c r="H1581">
        <v>24</v>
      </c>
      <c r="I1581">
        <v>49</v>
      </c>
      <c r="J1581">
        <v>50</v>
      </c>
      <c r="K1581" s="4">
        <v>2162</v>
      </c>
      <c r="L1581" s="4">
        <v>532.14285714285711</v>
      </c>
      <c r="M1581" s="4">
        <v>9.3959731543624164E-2</v>
      </c>
      <c r="N1581" t="s">
        <v>25</v>
      </c>
      <c r="O1581" t="str">
        <f t="shared" si="240"/>
        <v>Low</v>
      </c>
      <c r="P1581" t="str">
        <f t="shared" si="241"/>
        <v>Low</v>
      </c>
      <c r="Q1581" t="str">
        <f t="shared" si="242"/>
        <v>Low</v>
      </c>
      <c r="R1581" t="s">
        <v>3317</v>
      </c>
      <c r="S1581" s="4">
        <f t="shared" ca="1" si="243"/>
        <v>351</v>
      </c>
      <c r="T1581">
        <f t="shared" si="244"/>
        <v>1</v>
      </c>
      <c r="U1581">
        <f t="shared" si="245"/>
        <v>1</v>
      </c>
      <c r="V1581">
        <f t="shared" si="246"/>
        <v>1</v>
      </c>
      <c r="W1581">
        <f t="shared" si="247"/>
        <v>1</v>
      </c>
      <c r="X1581">
        <f t="shared" si="248"/>
        <v>0.99999999999999989</v>
      </c>
      <c r="Y1581" t="str">
        <f t="shared" si="249"/>
        <v>Healthy</v>
      </c>
    </row>
    <row r="1582" spans="1:25" x14ac:dyDescent="0.35">
      <c r="A1582" t="s">
        <v>71</v>
      </c>
      <c r="B1582" t="s">
        <v>72</v>
      </c>
      <c r="C1582" t="s">
        <v>73</v>
      </c>
      <c r="D1582" t="s">
        <v>1208</v>
      </c>
      <c r="E1582">
        <v>80867158</v>
      </c>
      <c r="F1582" t="s">
        <v>1311</v>
      </c>
      <c r="G1582" s="3">
        <v>47061</v>
      </c>
      <c r="H1582">
        <v>36</v>
      </c>
      <c r="I1582">
        <v>80</v>
      </c>
      <c r="J1582">
        <v>139</v>
      </c>
      <c r="K1582" s="4">
        <v>154277.49</v>
      </c>
      <c r="L1582" s="4">
        <v>43.714285714285715</v>
      </c>
      <c r="M1582" s="4">
        <v>3.1797385620915031</v>
      </c>
      <c r="N1582" t="s">
        <v>25</v>
      </c>
      <c r="O1582" t="str">
        <f t="shared" si="240"/>
        <v>Low</v>
      </c>
      <c r="P1582" t="str">
        <f t="shared" si="241"/>
        <v>Low</v>
      </c>
      <c r="Q1582" t="str">
        <f t="shared" si="242"/>
        <v>Low</v>
      </c>
      <c r="R1582" t="s">
        <v>3309</v>
      </c>
      <c r="S1582" s="4">
        <f t="shared" ca="1" si="243"/>
        <v>864</v>
      </c>
      <c r="T1582">
        <f t="shared" si="244"/>
        <v>1</v>
      </c>
      <c r="U1582">
        <f t="shared" si="245"/>
        <v>1</v>
      </c>
      <c r="V1582">
        <f t="shared" si="246"/>
        <v>1</v>
      </c>
      <c r="W1582">
        <f t="shared" si="247"/>
        <v>3</v>
      </c>
      <c r="X1582">
        <f t="shared" si="248"/>
        <v>1.2</v>
      </c>
      <c r="Y1582" t="str">
        <f t="shared" si="249"/>
        <v>Healthy</v>
      </c>
    </row>
    <row r="1583" spans="1:25" x14ac:dyDescent="0.35">
      <c r="A1583" t="s">
        <v>71</v>
      </c>
      <c r="B1583" t="s">
        <v>72</v>
      </c>
      <c r="C1583" t="s">
        <v>73</v>
      </c>
      <c r="D1583" t="s">
        <v>1208</v>
      </c>
      <c r="E1583">
        <v>80867158</v>
      </c>
      <c r="F1583" t="s">
        <v>1311</v>
      </c>
      <c r="G1583" s="3">
        <v>46915</v>
      </c>
      <c r="H1583">
        <v>36</v>
      </c>
      <c r="I1583">
        <v>67</v>
      </c>
      <c r="J1583">
        <v>2</v>
      </c>
      <c r="K1583" s="4">
        <v>2219.8200000000002</v>
      </c>
      <c r="L1583" s="4">
        <v>43.714285714285715</v>
      </c>
      <c r="M1583" s="4">
        <v>4.5751633986928102E-2</v>
      </c>
      <c r="N1583" t="s">
        <v>25</v>
      </c>
      <c r="O1583" t="str">
        <f t="shared" si="240"/>
        <v>Low</v>
      </c>
      <c r="P1583" t="str">
        <f t="shared" si="241"/>
        <v>Low</v>
      </c>
      <c r="Q1583" t="str">
        <f t="shared" si="242"/>
        <v>Low</v>
      </c>
      <c r="R1583" t="s">
        <v>3317</v>
      </c>
      <c r="S1583" s="4">
        <f t="shared" ca="1" si="243"/>
        <v>718</v>
      </c>
      <c r="T1583">
        <f t="shared" si="244"/>
        <v>1</v>
      </c>
      <c r="U1583">
        <f t="shared" si="245"/>
        <v>1</v>
      </c>
      <c r="V1583">
        <f t="shared" si="246"/>
        <v>1</v>
      </c>
      <c r="W1583">
        <f t="shared" si="247"/>
        <v>1</v>
      </c>
      <c r="X1583">
        <f t="shared" si="248"/>
        <v>0.99999999999999989</v>
      </c>
      <c r="Y1583" t="str">
        <f t="shared" si="249"/>
        <v>Healthy</v>
      </c>
    </row>
    <row r="1584" spans="1:25" x14ac:dyDescent="0.35">
      <c r="A1584" t="s">
        <v>71</v>
      </c>
      <c r="B1584" t="s">
        <v>72</v>
      </c>
      <c r="C1584" t="s">
        <v>73</v>
      </c>
      <c r="D1584" t="s">
        <v>1208</v>
      </c>
      <c r="E1584">
        <v>80867158</v>
      </c>
      <c r="F1584" t="s">
        <v>1311</v>
      </c>
      <c r="G1584" s="3">
        <v>46958</v>
      </c>
      <c r="H1584">
        <v>36</v>
      </c>
      <c r="I1584">
        <v>71</v>
      </c>
      <c r="J1584">
        <v>20</v>
      </c>
      <c r="K1584" s="4">
        <v>22198.2</v>
      </c>
      <c r="L1584" s="4">
        <v>43.714285714285715</v>
      </c>
      <c r="M1584" s="4">
        <v>0.45751633986928103</v>
      </c>
      <c r="N1584" t="s">
        <v>25</v>
      </c>
      <c r="O1584" t="str">
        <f t="shared" si="240"/>
        <v>Low</v>
      </c>
      <c r="P1584" t="str">
        <f t="shared" si="241"/>
        <v>Low</v>
      </c>
      <c r="Q1584" t="str">
        <f t="shared" si="242"/>
        <v>Low</v>
      </c>
      <c r="R1584" t="s">
        <v>3317</v>
      </c>
      <c r="S1584" s="4">
        <f t="shared" ca="1" si="243"/>
        <v>761</v>
      </c>
      <c r="T1584">
        <f t="shared" si="244"/>
        <v>1</v>
      </c>
      <c r="U1584">
        <f t="shared" si="245"/>
        <v>1</v>
      </c>
      <c r="V1584">
        <f t="shared" si="246"/>
        <v>1</v>
      </c>
      <c r="W1584">
        <f t="shared" si="247"/>
        <v>1</v>
      </c>
      <c r="X1584">
        <f t="shared" si="248"/>
        <v>0.99999999999999989</v>
      </c>
      <c r="Y1584" t="str">
        <f t="shared" si="249"/>
        <v>Healthy</v>
      </c>
    </row>
    <row r="1585" spans="1:25" x14ac:dyDescent="0.35">
      <c r="A1585" t="s">
        <v>90</v>
      </c>
      <c r="B1585" t="s">
        <v>217</v>
      </c>
      <c r="C1585" t="s">
        <v>239</v>
      </c>
      <c r="D1585" t="s">
        <v>240</v>
      </c>
      <c r="E1585">
        <v>80844720</v>
      </c>
      <c r="F1585" t="s">
        <v>1315</v>
      </c>
      <c r="G1585" s="3">
        <v>46548</v>
      </c>
      <c r="H1585">
        <v>24</v>
      </c>
      <c r="I1585">
        <v>49</v>
      </c>
      <c r="J1585">
        <v>78</v>
      </c>
      <c r="K1585" s="4">
        <v>3372.72</v>
      </c>
      <c r="L1585" s="4">
        <v>532.14285714285711</v>
      </c>
      <c r="M1585" s="4">
        <v>0.14657718120805371</v>
      </c>
      <c r="N1585" t="s">
        <v>25</v>
      </c>
      <c r="O1585" t="str">
        <f t="shared" si="240"/>
        <v>Low</v>
      </c>
      <c r="P1585" t="str">
        <f t="shared" si="241"/>
        <v>Low</v>
      </c>
      <c r="Q1585" t="str">
        <f t="shared" si="242"/>
        <v>Low</v>
      </c>
      <c r="R1585" t="s">
        <v>3317</v>
      </c>
      <c r="S1585" s="4">
        <f t="shared" ca="1" si="243"/>
        <v>351</v>
      </c>
      <c r="T1585">
        <f t="shared" si="244"/>
        <v>1</v>
      </c>
      <c r="U1585">
        <f t="shared" si="245"/>
        <v>1</v>
      </c>
      <c r="V1585">
        <f t="shared" si="246"/>
        <v>1</v>
      </c>
      <c r="W1585">
        <f t="shared" si="247"/>
        <v>1</v>
      </c>
      <c r="X1585">
        <f t="shared" si="248"/>
        <v>0.99999999999999989</v>
      </c>
      <c r="Y1585" t="str">
        <f t="shared" si="249"/>
        <v>Healthy</v>
      </c>
    </row>
    <row r="1586" spans="1:25" x14ac:dyDescent="0.35">
      <c r="A1586" t="s">
        <v>71</v>
      </c>
      <c r="B1586" t="s">
        <v>72</v>
      </c>
      <c r="C1586" t="s">
        <v>73</v>
      </c>
      <c r="D1586" t="s">
        <v>1208</v>
      </c>
      <c r="E1586">
        <v>80867158</v>
      </c>
      <c r="F1586" t="s">
        <v>1311</v>
      </c>
      <c r="G1586" s="3">
        <v>46934</v>
      </c>
      <c r="H1586">
        <v>36</v>
      </c>
      <c r="I1586">
        <v>69</v>
      </c>
      <c r="J1586">
        <v>15</v>
      </c>
      <c r="K1586" s="4">
        <v>16648.650000000001</v>
      </c>
      <c r="L1586" s="4">
        <v>43.714285714285715</v>
      </c>
      <c r="M1586" s="4">
        <v>0.34313725490196079</v>
      </c>
      <c r="N1586" t="s">
        <v>25</v>
      </c>
      <c r="O1586" t="str">
        <f t="shared" si="240"/>
        <v>Low</v>
      </c>
      <c r="P1586" t="str">
        <f t="shared" si="241"/>
        <v>Low</v>
      </c>
      <c r="Q1586" t="str">
        <f t="shared" si="242"/>
        <v>Low</v>
      </c>
      <c r="R1586" t="s">
        <v>3317</v>
      </c>
      <c r="S1586" s="4">
        <f t="shared" ca="1" si="243"/>
        <v>737</v>
      </c>
      <c r="T1586">
        <f t="shared" si="244"/>
        <v>1</v>
      </c>
      <c r="U1586">
        <f t="shared" si="245"/>
        <v>1</v>
      </c>
      <c r="V1586">
        <f t="shared" si="246"/>
        <v>1</v>
      </c>
      <c r="W1586">
        <f t="shared" si="247"/>
        <v>1</v>
      </c>
      <c r="X1586">
        <f t="shared" si="248"/>
        <v>0.99999999999999989</v>
      </c>
      <c r="Y1586" t="str">
        <f t="shared" si="249"/>
        <v>Healthy</v>
      </c>
    </row>
    <row r="1587" spans="1:25" x14ac:dyDescent="0.35">
      <c r="A1587" t="s">
        <v>90</v>
      </c>
      <c r="B1587" t="s">
        <v>91</v>
      </c>
      <c r="C1587" t="s">
        <v>255</v>
      </c>
      <c r="D1587" t="s">
        <v>1316</v>
      </c>
      <c r="E1587">
        <v>80870359</v>
      </c>
      <c r="F1587" t="s">
        <v>1317</v>
      </c>
      <c r="G1587" s="3">
        <v>46853</v>
      </c>
      <c r="H1587">
        <v>24</v>
      </c>
      <c r="I1587">
        <v>92</v>
      </c>
      <c r="J1587">
        <v>905</v>
      </c>
      <c r="K1587" s="4">
        <v>352090.25</v>
      </c>
      <c r="L1587" s="4">
        <v>7353.2857142857147</v>
      </c>
      <c r="M1587" s="4">
        <v>0.12307423309307791</v>
      </c>
      <c r="N1587" t="s">
        <v>25</v>
      </c>
      <c r="O1587" t="str">
        <f t="shared" si="240"/>
        <v>Low</v>
      </c>
      <c r="P1587" t="str">
        <f t="shared" si="241"/>
        <v>Low</v>
      </c>
      <c r="Q1587" t="str">
        <f t="shared" si="242"/>
        <v>Low</v>
      </c>
      <c r="R1587" t="s">
        <v>3309</v>
      </c>
      <c r="S1587" s="4">
        <f t="shared" ca="1" si="243"/>
        <v>656</v>
      </c>
      <c r="T1587">
        <f t="shared" si="244"/>
        <v>1</v>
      </c>
      <c r="U1587">
        <f t="shared" si="245"/>
        <v>1</v>
      </c>
      <c r="V1587">
        <f t="shared" si="246"/>
        <v>1</v>
      </c>
      <c r="W1587">
        <f t="shared" si="247"/>
        <v>3</v>
      </c>
      <c r="X1587">
        <f t="shared" si="248"/>
        <v>1.2</v>
      </c>
      <c r="Y1587" t="str">
        <f t="shared" si="249"/>
        <v>Healthy</v>
      </c>
    </row>
    <row r="1588" spans="1:25" x14ac:dyDescent="0.35">
      <c r="A1588" t="s">
        <v>90</v>
      </c>
      <c r="B1588" t="s">
        <v>91</v>
      </c>
      <c r="C1588" t="s">
        <v>255</v>
      </c>
      <c r="D1588" t="s">
        <v>1316</v>
      </c>
      <c r="E1588">
        <v>80870359</v>
      </c>
      <c r="F1588" t="s">
        <v>1317</v>
      </c>
      <c r="G1588" s="3">
        <v>46696</v>
      </c>
      <c r="H1588">
        <v>24</v>
      </c>
      <c r="I1588">
        <v>70</v>
      </c>
      <c r="J1588">
        <v>274</v>
      </c>
      <c r="K1588" s="4">
        <v>106599.7</v>
      </c>
      <c r="L1588" s="4">
        <v>7353.2857142857147</v>
      </c>
      <c r="M1588" s="4">
        <v>3.7262253997241271E-2</v>
      </c>
      <c r="N1588" t="s">
        <v>25</v>
      </c>
      <c r="O1588" t="str">
        <f t="shared" si="240"/>
        <v>Low</v>
      </c>
      <c r="P1588" t="str">
        <f t="shared" si="241"/>
        <v>Low</v>
      </c>
      <c r="Q1588" t="str">
        <f t="shared" si="242"/>
        <v>Low</v>
      </c>
      <c r="R1588" t="s">
        <v>3310</v>
      </c>
      <c r="S1588" s="4">
        <f t="shared" ca="1" si="243"/>
        <v>499</v>
      </c>
      <c r="T1588">
        <f t="shared" si="244"/>
        <v>1</v>
      </c>
      <c r="U1588">
        <f t="shared" si="245"/>
        <v>1</v>
      </c>
      <c r="V1588">
        <f t="shared" si="246"/>
        <v>1</v>
      </c>
      <c r="W1588">
        <f t="shared" si="247"/>
        <v>2</v>
      </c>
      <c r="X1588">
        <f t="shared" si="248"/>
        <v>1.0999999999999999</v>
      </c>
      <c r="Y1588" t="str">
        <f t="shared" si="249"/>
        <v>Healthy</v>
      </c>
    </row>
    <row r="1589" spans="1:25" x14ac:dyDescent="0.35">
      <c r="A1589" t="s">
        <v>90</v>
      </c>
      <c r="B1589" t="s">
        <v>91</v>
      </c>
      <c r="C1589" t="s">
        <v>255</v>
      </c>
      <c r="D1589" t="s">
        <v>1316</v>
      </c>
      <c r="E1589">
        <v>80870359</v>
      </c>
      <c r="F1589" t="s">
        <v>1317</v>
      </c>
      <c r="G1589" s="3">
        <v>46822</v>
      </c>
      <c r="H1589">
        <v>24</v>
      </c>
      <c r="I1589">
        <v>88</v>
      </c>
      <c r="J1589">
        <v>48</v>
      </c>
      <c r="K1589" s="4">
        <v>18674.400000000001</v>
      </c>
      <c r="L1589" s="4">
        <v>7353.2857142857147</v>
      </c>
      <c r="M1589" s="4">
        <v>6.5276941309035802E-3</v>
      </c>
      <c r="N1589" t="s">
        <v>25</v>
      </c>
      <c r="O1589" t="str">
        <f t="shared" si="240"/>
        <v>Low</v>
      </c>
      <c r="P1589" t="str">
        <f t="shared" si="241"/>
        <v>Low</v>
      </c>
      <c r="Q1589" t="str">
        <f t="shared" si="242"/>
        <v>Low</v>
      </c>
      <c r="R1589" t="s">
        <v>3317</v>
      </c>
      <c r="S1589" s="4">
        <f t="shared" ca="1" si="243"/>
        <v>625</v>
      </c>
      <c r="T1589">
        <f t="shared" si="244"/>
        <v>1</v>
      </c>
      <c r="U1589">
        <f t="shared" si="245"/>
        <v>1</v>
      </c>
      <c r="V1589">
        <f t="shared" si="246"/>
        <v>1</v>
      </c>
      <c r="W1589">
        <f t="shared" si="247"/>
        <v>1</v>
      </c>
      <c r="X1589">
        <f t="shared" si="248"/>
        <v>0.99999999999999989</v>
      </c>
      <c r="Y1589" t="str">
        <f t="shared" si="249"/>
        <v>Healthy</v>
      </c>
    </row>
    <row r="1590" spans="1:25" x14ac:dyDescent="0.35">
      <c r="A1590" t="s">
        <v>90</v>
      </c>
      <c r="B1590" t="s">
        <v>91</v>
      </c>
      <c r="C1590" t="s">
        <v>255</v>
      </c>
      <c r="D1590" t="s">
        <v>1316</v>
      </c>
      <c r="E1590">
        <v>80870359</v>
      </c>
      <c r="F1590" t="s">
        <v>1317</v>
      </c>
      <c r="G1590" s="3">
        <v>46824</v>
      </c>
      <c r="H1590">
        <v>24</v>
      </c>
      <c r="I1590">
        <v>88</v>
      </c>
      <c r="J1590">
        <v>180</v>
      </c>
      <c r="K1590" s="4">
        <v>70029</v>
      </c>
      <c r="L1590" s="4">
        <v>7353.2857142857147</v>
      </c>
      <c r="M1590" s="4">
        <v>2.4478852990888426E-2</v>
      </c>
      <c r="N1590" t="s">
        <v>25</v>
      </c>
      <c r="O1590" t="str">
        <f t="shared" si="240"/>
        <v>Low</v>
      </c>
      <c r="P1590" t="str">
        <f t="shared" si="241"/>
        <v>Low</v>
      </c>
      <c r="Q1590" t="str">
        <f t="shared" si="242"/>
        <v>Low</v>
      </c>
      <c r="R1590" t="s">
        <v>3310</v>
      </c>
      <c r="S1590" s="4">
        <f t="shared" ca="1" si="243"/>
        <v>627</v>
      </c>
      <c r="T1590">
        <f t="shared" si="244"/>
        <v>1</v>
      </c>
      <c r="U1590">
        <f t="shared" si="245"/>
        <v>1</v>
      </c>
      <c r="V1590">
        <f t="shared" si="246"/>
        <v>1</v>
      </c>
      <c r="W1590">
        <f t="shared" si="247"/>
        <v>2</v>
      </c>
      <c r="X1590">
        <f t="shared" si="248"/>
        <v>1.0999999999999999</v>
      </c>
      <c r="Y1590" t="str">
        <f t="shared" si="249"/>
        <v>Healthy</v>
      </c>
    </row>
    <row r="1591" spans="1:25" x14ac:dyDescent="0.35">
      <c r="A1591" t="s">
        <v>90</v>
      </c>
      <c r="B1591" t="s">
        <v>91</v>
      </c>
      <c r="C1591" t="s">
        <v>255</v>
      </c>
      <c r="D1591" t="s">
        <v>1316</v>
      </c>
      <c r="E1591">
        <v>80870359</v>
      </c>
      <c r="F1591" t="s">
        <v>1317</v>
      </c>
      <c r="G1591" s="3">
        <v>46781</v>
      </c>
      <c r="H1591">
        <v>24</v>
      </c>
      <c r="I1591">
        <v>82</v>
      </c>
      <c r="J1591">
        <v>1</v>
      </c>
      <c r="K1591" s="4">
        <v>389.05</v>
      </c>
      <c r="L1591" s="4">
        <v>7353.2857142857147</v>
      </c>
      <c r="M1591" s="4">
        <v>1.3599362772715793E-4</v>
      </c>
      <c r="N1591" t="s">
        <v>25</v>
      </c>
      <c r="O1591" t="str">
        <f t="shared" si="240"/>
        <v>Low</v>
      </c>
      <c r="P1591" t="str">
        <f t="shared" si="241"/>
        <v>Low</v>
      </c>
      <c r="Q1591" t="str">
        <f t="shared" si="242"/>
        <v>Low</v>
      </c>
      <c r="R1591" t="s">
        <v>3317</v>
      </c>
      <c r="S1591" s="4">
        <f t="shared" ca="1" si="243"/>
        <v>584</v>
      </c>
      <c r="T1591">
        <f t="shared" si="244"/>
        <v>1</v>
      </c>
      <c r="U1591">
        <f t="shared" si="245"/>
        <v>1</v>
      </c>
      <c r="V1591">
        <f t="shared" si="246"/>
        <v>1</v>
      </c>
      <c r="W1591">
        <f t="shared" si="247"/>
        <v>1</v>
      </c>
      <c r="X1591">
        <f t="shared" si="248"/>
        <v>0.99999999999999989</v>
      </c>
      <c r="Y1591" t="str">
        <f t="shared" si="249"/>
        <v>Healthy</v>
      </c>
    </row>
    <row r="1592" spans="1:25" x14ac:dyDescent="0.35">
      <c r="A1592" t="s">
        <v>90</v>
      </c>
      <c r="B1592" t="s">
        <v>91</v>
      </c>
      <c r="C1592" t="s">
        <v>255</v>
      </c>
      <c r="D1592" t="s">
        <v>1316</v>
      </c>
      <c r="E1592">
        <v>80870359</v>
      </c>
      <c r="F1592" t="s">
        <v>1317</v>
      </c>
      <c r="G1592" s="3">
        <v>46834</v>
      </c>
      <c r="H1592">
        <v>24</v>
      </c>
      <c r="I1592">
        <v>89</v>
      </c>
      <c r="J1592">
        <v>337</v>
      </c>
      <c r="K1592" s="4">
        <v>131109.85</v>
      </c>
      <c r="L1592" s="4">
        <v>7353.2857142857147</v>
      </c>
      <c r="M1592" s="4">
        <v>4.5829852544052217E-2</v>
      </c>
      <c r="N1592" t="s">
        <v>25</v>
      </c>
      <c r="O1592" t="str">
        <f t="shared" si="240"/>
        <v>Low</v>
      </c>
      <c r="P1592" t="str">
        <f t="shared" si="241"/>
        <v>Low</v>
      </c>
      <c r="Q1592" t="str">
        <f t="shared" si="242"/>
        <v>Low</v>
      </c>
      <c r="R1592" t="s">
        <v>3310</v>
      </c>
      <c r="S1592" s="4">
        <f t="shared" ca="1" si="243"/>
        <v>637</v>
      </c>
      <c r="T1592">
        <f t="shared" si="244"/>
        <v>1</v>
      </c>
      <c r="U1592">
        <f t="shared" si="245"/>
        <v>1</v>
      </c>
      <c r="V1592">
        <f t="shared" si="246"/>
        <v>1</v>
      </c>
      <c r="W1592">
        <f t="shared" si="247"/>
        <v>2</v>
      </c>
      <c r="X1592">
        <f t="shared" si="248"/>
        <v>1.0999999999999999</v>
      </c>
      <c r="Y1592" t="str">
        <f t="shared" si="249"/>
        <v>Healthy</v>
      </c>
    </row>
    <row r="1593" spans="1:25" x14ac:dyDescent="0.35">
      <c r="A1593" t="s">
        <v>99</v>
      </c>
      <c r="B1593" t="s">
        <v>100</v>
      </c>
      <c r="C1593" t="s">
        <v>136</v>
      </c>
      <c r="D1593" t="s">
        <v>1318</v>
      </c>
      <c r="E1593">
        <v>80830394</v>
      </c>
      <c r="F1593" t="s">
        <v>1319</v>
      </c>
      <c r="G1593" s="3">
        <v>47235</v>
      </c>
      <c r="H1593">
        <v>36</v>
      </c>
      <c r="I1593">
        <v>97</v>
      </c>
      <c r="J1593">
        <v>413</v>
      </c>
      <c r="K1593" s="4">
        <v>46726.82</v>
      </c>
      <c r="L1593" s="4">
        <v>1884.1428571428571</v>
      </c>
      <c r="M1593" s="4">
        <v>0.21919781636211996</v>
      </c>
      <c r="N1593" t="s">
        <v>25</v>
      </c>
      <c r="O1593" t="str">
        <f t="shared" si="240"/>
        <v>Low</v>
      </c>
      <c r="P1593" t="str">
        <f t="shared" si="241"/>
        <v>Low</v>
      </c>
      <c r="Q1593" t="str">
        <f t="shared" si="242"/>
        <v>Low</v>
      </c>
      <c r="R1593" t="s">
        <v>3317</v>
      </c>
      <c r="S1593" s="4">
        <f t="shared" ca="1" si="243"/>
        <v>1038</v>
      </c>
      <c r="T1593">
        <f t="shared" si="244"/>
        <v>1</v>
      </c>
      <c r="U1593">
        <f t="shared" si="245"/>
        <v>1</v>
      </c>
      <c r="V1593">
        <f t="shared" si="246"/>
        <v>1</v>
      </c>
      <c r="W1593">
        <f t="shared" si="247"/>
        <v>1</v>
      </c>
      <c r="X1593">
        <f t="shared" si="248"/>
        <v>0.99999999999999989</v>
      </c>
      <c r="Y1593" t="str">
        <f t="shared" si="249"/>
        <v>Healthy</v>
      </c>
    </row>
    <row r="1594" spans="1:25" x14ac:dyDescent="0.35">
      <c r="A1594" t="s">
        <v>90</v>
      </c>
      <c r="B1594" t="s">
        <v>91</v>
      </c>
      <c r="C1594" t="s">
        <v>255</v>
      </c>
      <c r="D1594" t="s">
        <v>1316</v>
      </c>
      <c r="E1594">
        <v>80870359</v>
      </c>
      <c r="F1594" t="s">
        <v>1317</v>
      </c>
      <c r="G1594" s="3">
        <v>46840</v>
      </c>
      <c r="H1594">
        <v>24</v>
      </c>
      <c r="I1594">
        <v>90</v>
      </c>
      <c r="J1594">
        <v>915</v>
      </c>
      <c r="K1594" s="4">
        <v>355980.75</v>
      </c>
      <c r="L1594" s="4">
        <v>7353.2857142857147</v>
      </c>
      <c r="M1594" s="4">
        <v>0.1244341693703495</v>
      </c>
      <c r="N1594" t="s">
        <v>25</v>
      </c>
      <c r="O1594" t="str">
        <f t="shared" si="240"/>
        <v>Low</v>
      </c>
      <c r="P1594" t="str">
        <f t="shared" si="241"/>
        <v>Low</v>
      </c>
      <c r="Q1594" t="str">
        <f t="shared" si="242"/>
        <v>Low</v>
      </c>
      <c r="R1594" t="s">
        <v>3309</v>
      </c>
      <c r="S1594" s="4">
        <f t="shared" ca="1" si="243"/>
        <v>643</v>
      </c>
      <c r="T1594">
        <f t="shared" si="244"/>
        <v>1</v>
      </c>
      <c r="U1594">
        <f t="shared" si="245"/>
        <v>1</v>
      </c>
      <c r="V1594">
        <f t="shared" si="246"/>
        <v>1</v>
      </c>
      <c r="W1594">
        <f t="shared" si="247"/>
        <v>3</v>
      </c>
      <c r="X1594">
        <f t="shared" si="248"/>
        <v>1.2</v>
      </c>
      <c r="Y1594" t="str">
        <f t="shared" si="249"/>
        <v>Healthy</v>
      </c>
    </row>
    <row r="1595" spans="1:25" x14ac:dyDescent="0.35">
      <c r="A1595" t="s">
        <v>99</v>
      </c>
      <c r="B1595" t="s">
        <v>100</v>
      </c>
      <c r="C1595" t="s">
        <v>136</v>
      </c>
      <c r="D1595" t="s">
        <v>1318</v>
      </c>
      <c r="E1595">
        <v>80830394</v>
      </c>
      <c r="F1595" t="s">
        <v>1319</v>
      </c>
      <c r="G1595" s="3">
        <v>47214</v>
      </c>
      <c r="H1595">
        <v>36</v>
      </c>
      <c r="I1595">
        <v>95</v>
      </c>
      <c r="J1595">
        <v>441</v>
      </c>
      <c r="K1595" s="4">
        <v>49894.74</v>
      </c>
      <c r="L1595" s="4">
        <v>1884.1428571428571</v>
      </c>
      <c r="M1595" s="4">
        <v>0.2340586852680264</v>
      </c>
      <c r="N1595" t="s">
        <v>25</v>
      </c>
      <c r="O1595" t="str">
        <f t="shared" si="240"/>
        <v>Low</v>
      </c>
      <c r="P1595" t="str">
        <f t="shared" si="241"/>
        <v>Low</v>
      </c>
      <c r="Q1595" t="str">
        <f t="shared" si="242"/>
        <v>Low</v>
      </c>
      <c r="R1595" t="s">
        <v>3317</v>
      </c>
      <c r="S1595" s="4">
        <f t="shared" ca="1" si="243"/>
        <v>1017</v>
      </c>
      <c r="T1595">
        <f t="shared" si="244"/>
        <v>1</v>
      </c>
      <c r="U1595">
        <f t="shared" si="245"/>
        <v>1</v>
      </c>
      <c r="V1595">
        <f t="shared" si="246"/>
        <v>1</v>
      </c>
      <c r="W1595">
        <f t="shared" si="247"/>
        <v>1</v>
      </c>
      <c r="X1595">
        <f t="shared" si="248"/>
        <v>0.99999999999999989</v>
      </c>
      <c r="Y1595" t="str">
        <f t="shared" si="249"/>
        <v>Healthy</v>
      </c>
    </row>
    <row r="1596" spans="1:25" x14ac:dyDescent="0.35">
      <c r="A1596" t="s">
        <v>90</v>
      </c>
      <c r="B1596" t="s">
        <v>91</v>
      </c>
      <c r="C1596" t="s">
        <v>255</v>
      </c>
      <c r="D1596" t="s">
        <v>1316</v>
      </c>
      <c r="E1596">
        <v>80870359</v>
      </c>
      <c r="F1596" t="s">
        <v>1317</v>
      </c>
      <c r="G1596" s="3">
        <v>46731</v>
      </c>
      <c r="H1596">
        <v>24</v>
      </c>
      <c r="I1596">
        <v>75</v>
      </c>
      <c r="J1596">
        <v>368</v>
      </c>
      <c r="K1596" s="4">
        <v>143170.4</v>
      </c>
      <c r="L1596" s="4">
        <v>7353.2857142857147</v>
      </c>
      <c r="M1596" s="4">
        <v>5.0045655003594113E-2</v>
      </c>
      <c r="N1596" t="s">
        <v>25</v>
      </c>
      <c r="O1596" t="str">
        <f t="shared" si="240"/>
        <v>Low</v>
      </c>
      <c r="P1596" t="str">
        <f t="shared" si="241"/>
        <v>Low</v>
      </c>
      <c r="Q1596" t="str">
        <f t="shared" si="242"/>
        <v>Low</v>
      </c>
      <c r="R1596" t="s">
        <v>3309</v>
      </c>
      <c r="S1596" s="4">
        <f t="shared" ca="1" si="243"/>
        <v>534</v>
      </c>
      <c r="T1596">
        <f t="shared" si="244"/>
        <v>1</v>
      </c>
      <c r="U1596">
        <f t="shared" si="245"/>
        <v>1</v>
      </c>
      <c r="V1596">
        <f t="shared" si="246"/>
        <v>1</v>
      </c>
      <c r="W1596">
        <f t="shared" si="247"/>
        <v>3</v>
      </c>
      <c r="X1596">
        <f t="shared" si="248"/>
        <v>1.2</v>
      </c>
      <c r="Y1596" t="str">
        <f t="shared" si="249"/>
        <v>Healthy</v>
      </c>
    </row>
    <row r="1597" spans="1:25" x14ac:dyDescent="0.35">
      <c r="A1597" t="s">
        <v>90</v>
      </c>
      <c r="B1597" t="s">
        <v>91</v>
      </c>
      <c r="C1597" t="s">
        <v>255</v>
      </c>
      <c r="D1597" t="s">
        <v>1316</v>
      </c>
      <c r="E1597">
        <v>80870359</v>
      </c>
      <c r="F1597" t="s">
        <v>1317</v>
      </c>
      <c r="G1597" s="3">
        <v>46824</v>
      </c>
      <c r="H1597">
        <v>24</v>
      </c>
      <c r="I1597">
        <v>88</v>
      </c>
      <c r="J1597">
        <v>382</v>
      </c>
      <c r="K1597" s="4">
        <v>148617.1</v>
      </c>
      <c r="L1597" s="4">
        <v>7353.2857142857147</v>
      </c>
      <c r="M1597" s="4">
        <v>5.1949565791774323E-2</v>
      </c>
      <c r="N1597" t="s">
        <v>25</v>
      </c>
      <c r="O1597" t="str">
        <f t="shared" si="240"/>
        <v>Low</v>
      </c>
      <c r="P1597" t="str">
        <f t="shared" si="241"/>
        <v>Low</v>
      </c>
      <c r="Q1597" t="str">
        <f t="shared" si="242"/>
        <v>Low</v>
      </c>
      <c r="R1597" t="s">
        <v>3309</v>
      </c>
      <c r="S1597" s="4">
        <f t="shared" ca="1" si="243"/>
        <v>627</v>
      </c>
      <c r="T1597">
        <f t="shared" si="244"/>
        <v>1</v>
      </c>
      <c r="U1597">
        <f t="shared" si="245"/>
        <v>1</v>
      </c>
      <c r="V1597">
        <f t="shared" si="246"/>
        <v>1</v>
      </c>
      <c r="W1597">
        <f t="shared" si="247"/>
        <v>3</v>
      </c>
      <c r="X1597">
        <f t="shared" si="248"/>
        <v>1.2</v>
      </c>
      <c r="Y1597" t="str">
        <f t="shared" si="249"/>
        <v>Healthy</v>
      </c>
    </row>
    <row r="1598" spans="1:25" x14ac:dyDescent="0.35">
      <c r="A1598" t="s">
        <v>99</v>
      </c>
      <c r="B1598" t="s">
        <v>100</v>
      </c>
      <c r="C1598" t="s">
        <v>136</v>
      </c>
      <c r="D1598" t="s">
        <v>1318</v>
      </c>
      <c r="E1598">
        <v>80830394</v>
      </c>
      <c r="F1598" t="s">
        <v>1319</v>
      </c>
      <c r="G1598" s="3">
        <v>47260</v>
      </c>
      <c r="H1598">
        <v>36</v>
      </c>
      <c r="I1598">
        <v>99</v>
      </c>
      <c r="J1598">
        <v>745</v>
      </c>
      <c r="K1598" s="4">
        <v>84289.3</v>
      </c>
      <c r="L1598" s="4">
        <v>1884.1428571428571</v>
      </c>
      <c r="M1598" s="4">
        <v>0.39540526196072484</v>
      </c>
      <c r="N1598" t="s">
        <v>25</v>
      </c>
      <c r="O1598" t="str">
        <f t="shared" si="240"/>
        <v>Low</v>
      </c>
      <c r="P1598" t="str">
        <f t="shared" si="241"/>
        <v>Low</v>
      </c>
      <c r="Q1598" t="str">
        <f t="shared" si="242"/>
        <v>Low</v>
      </c>
      <c r="R1598" t="s">
        <v>3310</v>
      </c>
      <c r="S1598" s="4">
        <f t="shared" ca="1" si="243"/>
        <v>1063</v>
      </c>
      <c r="T1598">
        <f t="shared" si="244"/>
        <v>1</v>
      </c>
      <c r="U1598">
        <f t="shared" si="245"/>
        <v>1</v>
      </c>
      <c r="V1598">
        <f t="shared" si="246"/>
        <v>1</v>
      </c>
      <c r="W1598">
        <f t="shared" si="247"/>
        <v>2</v>
      </c>
      <c r="X1598">
        <f t="shared" si="248"/>
        <v>1.0999999999999999</v>
      </c>
      <c r="Y1598" t="str">
        <f t="shared" si="249"/>
        <v>Healthy</v>
      </c>
    </row>
    <row r="1599" spans="1:25" x14ac:dyDescent="0.35">
      <c r="A1599" t="s">
        <v>90</v>
      </c>
      <c r="B1599" t="s">
        <v>217</v>
      </c>
      <c r="C1599" t="s">
        <v>218</v>
      </c>
      <c r="D1599" t="s">
        <v>848</v>
      </c>
      <c r="E1599">
        <v>80869896</v>
      </c>
      <c r="F1599" t="s">
        <v>1320</v>
      </c>
      <c r="G1599" s="3">
        <v>46909</v>
      </c>
      <c r="H1599">
        <v>24</v>
      </c>
      <c r="I1599">
        <v>100</v>
      </c>
      <c r="J1599">
        <v>10420</v>
      </c>
      <c r="K1599" s="4">
        <v>495679.4</v>
      </c>
      <c r="L1599" s="4">
        <v>86493.857142857145</v>
      </c>
      <c r="M1599" s="4">
        <v>0.12047098307559413</v>
      </c>
      <c r="N1599" t="s">
        <v>25</v>
      </c>
      <c r="O1599" t="str">
        <f t="shared" si="240"/>
        <v>Low</v>
      </c>
      <c r="P1599" t="str">
        <f t="shared" si="241"/>
        <v>Low</v>
      </c>
      <c r="Q1599" t="str">
        <f t="shared" si="242"/>
        <v>Low</v>
      </c>
      <c r="R1599" t="s">
        <v>3309</v>
      </c>
      <c r="S1599" s="4">
        <f t="shared" ca="1" si="243"/>
        <v>712</v>
      </c>
      <c r="T1599">
        <f t="shared" si="244"/>
        <v>1</v>
      </c>
      <c r="U1599">
        <f t="shared" si="245"/>
        <v>1</v>
      </c>
      <c r="V1599">
        <f t="shared" si="246"/>
        <v>1</v>
      </c>
      <c r="W1599">
        <f t="shared" si="247"/>
        <v>3</v>
      </c>
      <c r="X1599">
        <f t="shared" si="248"/>
        <v>1.2</v>
      </c>
      <c r="Y1599" t="str">
        <f t="shared" si="249"/>
        <v>Healthy</v>
      </c>
    </row>
    <row r="1600" spans="1:25" x14ac:dyDescent="0.35">
      <c r="A1600" t="s">
        <v>90</v>
      </c>
      <c r="B1600" t="s">
        <v>217</v>
      </c>
      <c r="C1600" t="s">
        <v>218</v>
      </c>
      <c r="D1600" t="s">
        <v>848</v>
      </c>
      <c r="E1600">
        <v>80869896</v>
      </c>
      <c r="F1600" t="s">
        <v>1320</v>
      </c>
      <c r="G1600" s="3">
        <v>46909</v>
      </c>
      <c r="H1600">
        <v>24</v>
      </c>
      <c r="I1600">
        <v>100</v>
      </c>
      <c r="J1600">
        <v>943</v>
      </c>
      <c r="K1600" s="4">
        <v>44858.51</v>
      </c>
      <c r="L1600" s="4">
        <v>86493.857142857145</v>
      </c>
      <c r="M1600" s="4">
        <v>1.0902508353194364E-2</v>
      </c>
      <c r="N1600" t="s">
        <v>25</v>
      </c>
      <c r="O1600" t="str">
        <f t="shared" si="240"/>
        <v>Low</v>
      </c>
      <c r="P1600" t="str">
        <f t="shared" si="241"/>
        <v>Low</v>
      </c>
      <c r="Q1600" t="str">
        <f t="shared" si="242"/>
        <v>Low</v>
      </c>
      <c r="R1600" t="s">
        <v>3317</v>
      </c>
      <c r="S1600" s="4">
        <f t="shared" ca="1" si="243"/>
        <v>712</v>
      </c>
      <c r="T1600">
        <f t="shared" si="244"/>
        <v>1</v>
      </c>
      <c r="U1600">
        <f t="shared" si="245"/>
        <v>1</v>
      </c>
      <c r="V1600">
        <f t="shared" si="246"/>
        <v>1</v>
      </c>
      <c r="W1600">
        <f t="shared" si="247"/>
        <v>1</v>
      </c>
      <c r="X1600">
        <f t="shared" si="248"/>
        <v>0.99999999999999989</v>
      </c>
      <c r="Y1600" t="str">
        <f t="shared" si="249"/>
        <v>Healthy</v>
      </c>
    </row>
    <row r="1601" spans="1:25" x14ac:dyDescent="0.35">
      <c r="A1601" t="s">
        <v>90</v>
      </c>
      <c r="B1601" t="s">
        <v>217</v>
      </c>
      <c r="C1601" t="s">
        <v>218</v>
      </c>
      <c r="D1601" t="s">
        <v>848</v>
      </c>
      <c r="E1601">
        <v>80869896</v>
      </c>
      <c r="F1601" t="s">
        <v>1320</v>
      </c>
      <c r="G1601" s="3">
        <v>46901</v>
      </c>
      <c r="H1601">
        <v>24</v>
      </c>
      <c r="I1601">
        <v>98</v>
      </c>
      <c r="J1601">
        <v>576</v>
      </c>
      <c r="K1601" s="4">
        <v>27400.32</v>
      </c>
      <c r="L1601" s="4">
        <v>86493.857142857145</v>
      </c>
      <c r="M1601" s="4">
        <v>6.6594324617602896E-3</v>
      </c>
      <c r="N1601" t="s">
        <v>25</v>
      </c>
      <c r="O1601" t="str">
        <f t="shared" si="240"/>
        <v>Low</v>
      </c>
      <c r="P1601" t="str">
        <f t="shared" si="241"/>
        <v>Low</v>
      </c>
      <c r="Q1601" t="str">
        <f t="shared" si="242"/>
        <v>Low</v>
      </c>
      <c r="R1601" t="s">
        <v>3317</v>
      </c>
      <c r="S1601" s="4">
        <f t="shared" ca="1" si="243"/>
        <v>704</v>
      </c>
      <c r="T1601">
        <f t="shared" si="244"/>
        <v>1</v>
      </c>
      <c r="U1601">
        <f t="shared" si="245"/>
        <v>1</v>
      </c>
      <c r="V1601">
        <f t="shared" si="246"/>
        <v>1</v>
      </c>
      <c r="W1601">
        <f t="shared" si="247"/>
        <v>1</v>
      </c>
      <c r="X1601">
        <f t="shared" si="248"/>
        <v>0.99999999999999989</v>
      </c>
      <c r="Y1601" t="str">
        <f t="shared" si="249"/>
        <v>Healthy</v>
      </c>
    </row>
    <row r="1602" spans="1:25" x14ac:dyDescent="0.35">
      <c r="A1602" t="s">
        <v>210</v>
      </c>
      <c r="B1602" t="s">
        <v>211</v>
      </c>
      <c r="C1602" t="s">
        <v>1321</v>
      </c>
      <c r="D1602" t="s">
        <v>1322</v>
      </c>
      <c r="E1602">
        <v>80832394</v>
      </c>
      <c r="F1602" t="s">
        <v>1323</v>
      </c>
      <c r="G1602" s="3">
        <v>47968</v>
      </c>
      <c r="H1602">
        <v>60</v>
      </c>
      <c r="I1602">
        <v>99</v>
      </c>
      <c r="J1602">
        <v>22</v>
      </c>
      <c r="K1602" s="4">
        <v>7873.36</v>
      </c>
      <c r="L1602" s="4">
        <v>933.85714285714289</v>
      </c>
      <c r="M1602" s="4">
        <v>2.3558207128652288E-2</v>
      </c>
      <c r="N1602" t="s">
        <v>25</v>
      </c>
      <c r="O1602" t="str">
        <f t="shared" si="240"/>
        <v>Low</v>
      </c>
      <c r="P1602" t="str">
        <f t="shared" si="241"/>
        <v>Low</v>
      </c>
      <c r="Q1602" t="str">
        <f t="shared" si="242"/>
        <v>Low</v>
      </c>
      <c r="R1602" t="s">
        <v>3317</v>
      </c>
      <c r="S1602" s="4">
        <f t="shared" ca="1" si="243"/>
        <v>1771</v>
      </c>
      <c r="T1602">
        <f t="shared" si="244"/>
        <v>1</v>
      </c>
      <c r="U1602">
        <f t="shared" si="245"/>
        <v>1</v>
      </c>
      <c r="V1602">
        <f t="shared" si="246"/>
        <v>1</v>
      </c>
      <c r="W1602">
        <f t="shared" si="247"/>
        <v>1</v>
      </c>
      <c r="X1602">
        <f t="shared" si="248"/>
        <v>0.99999999999999989</v>
      </c>
      <c r="Y1602" t="str">
        <f t="shared" si="249"/>
        <v>Healthy</v>
      </c>
    </row>
    <row r="1603" spans="1:25" x14ac:dyDescent="0.35">
      <c r="A1603" t="s">
        <v>210</v>
      </c>
      <c r="B1603" t="s">
        <v>211</v>
      </c>
      <c r="C1603" t="s">
        <v>1321</v>
      </c>
      <c r="D1603" t="s">
        <v>1322</v>
      </c>
      <c r="E1603">
        <v>80832394</v>
      </c>
      <c r="F1603" t="s">
        <v>1323</v>
      </c>
      <c r="G1603" s="3">
        <v>47950</v>
      </c>
      <c r="H1603">
        <v>60</v>
      </c>
      <c r="I1603">
        <v>98</v>
      </c>
      <c r="J1603">
        <v>45</v>
      </c>
      <c r="K1603" s="4">
        <v>16104.6</v>
      </c>
      <c r="L1603" s="4">
        <v>933.85714285714289</v>
      </c>
      <c r="M1603" s="4">
        <v>4.8187241854061494E-2</v>
      </c>
      <c r="N1603" t="s">
        <v>25</v>
      </c>
      <c r="O1603" t="str">
        <f t="shared" ref="O1603:O1666" si="250">IF(I1603&lt;20,"High",IF(I1603&lt;40,"Medium","Low"))</f>
        <v>Low</v>
      </c>
      <c r="P1603" t="str">
        <f t="shared" ref="P1603:P1666" si="251">IF(M1603&gt;8,"High",IF(M1603&gt;4,"Medium","Low"))</f>
        <v>Low</v>
      </c>
      <c r="Q1603" t="str">
        <f t="shared" ref="Q1603:Q1666" si="252">IF(L1603&lt;5,"High",IF(L1603&lt;15,"Medium","Low"))</f>
        <v>Low</v>
      </c>
      <c r="R1603" t="s">
        <v>3317</v>
      </c>
      <c r="S1603" s="4">
        <f t="shared" ref="S1603:S1666" ca="1" si="253">G1603-TODAY()</f>
        <v>1753</v>
      </c>
      <c r="T1603">
        <f t="shared" ref="T1603:T1666" si="254">IF(O1603="High",3,IF(O1603="Medium",2,1))</f>
        <v>1</v>
      </c>
      <c r="U1603">
        <f t="shared" ref="U1603:U1666" si="255">IF(P1603="High",3,IF(P1603="Medium",2,1))</f>
        <v>1</v>
      </c>
      <c r="V1603">
        <f t="shared" ref="V1603:V1666" si="256">IF(Q1603="High",3,IF(Q1603="Medium",2,1))</f>
        <v>1</v>
      </c>
      <c r="W1603">
        <f t="shared" ref="W1603:W1666" si="257">IF(R1603="High",3,IF(R1603="Medium",2,1))</f>
        <v>1</v>
      </c>
      <c r="X1603">
        <f t="shared" ref="X1603:X1666" si="258">(0.4*T1603)+(0.3*U1603)+(0.2*V1603)+(0.1*W1603)</f>
        <v>0.99999999999999989</v>
      </c>
      <c r="Y1603" t="str">
        <f t="shared" ref="Y1603:Y1666" si="259">IF(X1603&gt;=2.7,"Move Immediately",IF(X1603&gt;=2.2,"High Priority",IF(X1603&gt;=1.7,"Monitor","Healthy")))</f>
        <v>Healthy</v>
      </c>
    </row>
    <row r="1604" spans="1:25" x14ac:dyDescent="0.35">
      <c r="A1604" t="s">
        <v>71</v>
      </c>
      <c r="B1604" t="s">
        <v>72</v>
      </c>
      <c r="C1604" t="s">
        <v>174</v>
      </c>
      <c r="D1604" t="s">
        <v>763</v>
      </c>
      <c r="E1604">
        <v>80856195</v>
      </c>
      <c r="F1604" t="s">
        <v>1324</v>
      </c>
      <c r="G1604" s="3">
        <v>47082</v>
      </c>
      <c r="H1604">
        <v>36</v>
      </c>
      <c r="I1604">
        <v>82</v>
      </c>
      <c r="J1604">
        <v>1</v>
      </c>
      <c r="K1604" s="4">
        <v>823.97</v>
      </c>
      <c r="L1604" s="4">
        <v>61.857142857142854</v>
      </c>
      <c r="M1604" s="4">
        <v>1.6166281755196306E-2</v>
      </c>
      <c r="N1604" t="s">
        <v>25</v>
      </c>
      <c r="O1604" t="str">
        <f t="shared" si="250"/>
        <v>Low</v>
      </c>
      <c r="P1604" t="str">
        <f t="shared" si="251"/>
        <v>Low</v>
      </c>
      <c r="Q1604" t="str">
        <f t="shared" si="252"/>
        <v>Low</v>
      </c>
      <c r="R1604" t="s">
        <v>3317</v>
      </c>
      <c r="S1604" s="4">
        <f t="shared" ca="1" si="253"/>
        <v>885</v>
      </c>
      <c r="T1604">
        <f t="shared" si="254"/>
        <v>1</v>
      </c>
      <c r="U1604">
        <f t="shared" si="255"/>
        <v>1</v>
      </c>
      <c r="V1604">
        <f t="shared" si="256"/>
        <v>1</v>
      </c>
      <c r="W1604">
        <f t="shared" si="257"/>
        <v>1</v>
      </c>
      <c r="X1604">
        <f t="shared" si="258"/>
        <v>0.99999999999999989</v>
      </c>
      <c r="Y1604" t="str">
        <f t="shared" si="259"/>
        <v>Healthy</v>
      </c>
    </row>
    <row r="1605" spans="1:25" x14ac:dyDescent="0.35">
      <c r="A1605" t="s">
        <v>99</v>
      </c>
      <c r="B1605" t="s">
        <v>100</v>
      </c>
      <c r="C1605" t="s">
        <v>101</v>
      </c>
      <c r="D1605" t="s">
        <v>1325</v>
      </c>
      <c r="E1605">
        <v>80839145</v>
      </c>
      <c r="F1605" t="s">
        <v>1326</v>
      </c>
      <c r="G1605" s="3">
        <v>46224</v>
      </c>
      <c r="H1605">
        <v>18</v>
      </c>
      <c r="I1605">
        <v>6</v>
      </c>
      <c r="J1605">
        <v>20</v>
      </c>
      <c r="K1605" s="4">
        <v>3455.8</v>
      </c>
      <c r="L1605" s="4">
        <v>13.857142857142858</v>
      </c>
      <c r="M1605" s="4">
        <v>1.4432989690721649</v>
      </c>
      <c r="N1605" t="s">
        <v>25</v>
      </c>
      <c r="O1605" t="str">
        <f t="shared" si="250"/>
        <v>High</v>
      </c>
      <c r="P1605" t="str">
        <f t="shared" si="251"/>
        <v>Low</v>
      </c>
      <c r="Q1605" t="str">
        <f t="shared" si="252"/>
        <v>Medium</v>
      </c>
      <c r="R1605" t="s">
        <v>3317</v>
      </c>
      <c r="S1605" s="4">
        <f t="shared" ca="1" si="253"/>
        <v>27</v>
      </c>
      <c r="T1605">
        <f t="shared" si="254"/>
        <v>3</v>
      </c>
      <c r="U1605">
        <f t="shared" si="255"/>
        <v>1</v>
      </c>
      <c r="V1605">
        <f t="shared" si="256"/>
        <v>2</v>
      </c>
      <c r="W1605">
        <f t="shared" si="257"/>
        <v>1</v>
      </c>
      <c r="X1605">
        <f t="shared" si="258"/>
        <v>2.0000000000000004</v>
      </c>
      <c r="Y1605" t="str">
        <f t="shared" si="259"/>
        <v>Monitor</v>
      </c>
    </row>
    <row r="1606" spans="1:25" x14ac:dyDescent="0.35">
      <c r="A1606" t="s">
        <v>99</v>
      </c>
      <c r="B1606" t="s">
        <v>100</v>
      </c>
      <c r="C1606" t="s">
        <v>101</v>
      </c>
      <c r="D1606" t="s">
        <v>1325</v>
      </c>
      <c r="E1606">
        <v>80839145</v>
      </c>
      <c r="F1606" t="s">
        <v>1326</v>
      </c>
      <c r="G1606" s="3">
        <v>46344</v>
      </c>
      <c r="H1606">
        <v>18</v>
      </c>
      <c r="I1606">
        <v>28</v>
      </c>
      <c r="J1606">
        <v>95</v>
      </c>
      <c r="K1606" s="4">
        <v>16415.05</v>
      </c>
      <c r="L1606" s="4">
        <v>13.857142857142858</v>
      </c>
      <c r="M1606" s="4">
        <v>6.8556701030927831</v>
      </c>
      <c r="N1606" t="s">
        <v>19</v>
      </c>
      <c r="O1606" t="str">
        <f t="shared" si="250"/>
        <v>Medium</v>
      </c>
      <c r="P1606" t="str">
        <f t="shared" si="251"/>
        <v>Medium</v>
      </c>
      <c r="Q1606" t="str">
        <f t="shared" si="252"/>
        <v>Medium</v>
      </c>
      <c r="R1606" t="s">
        <v>3317</v>
      </c>
      <c r="S1606" s="4">
        <f t="shared" ca="1" si="253"/>
        <v>147</v>
      </c>
      <c r="T1606">
        <f t="shared" si="254"/>
        <v>2</v>
      </c>
      <c r="U1606">
        <f t="shared" si="255"/>
        <v>2</v>
      </c>
      <c r="V1606">
        <f t="shared" si="256"/>
        <v>2</v>
      </c>
      <c r="W1606">
        <f t="shared" si="257"/>
        <v>1</v>
      </c>
      <c r="X1606">
        <f t="shared" si="258"/>
        <v>1.9</v>
      </c>
      <c r="Y1606" t="str">
        <f t="shared" si="259"/>
        <v>Monitor</v>
      </c>
    </row>
    <row r="1607" spans="1:25" x14ac:dyDescent="0.35">
      <c r="A1607" t="s">
        <v>90</v>
      </c>
      <c r="B1607" t="s">
        <v>217</v>
      </c>
      <c r="C1607" t="s">
        <v>218</v>
      </c>
      <c r="D1607" t="s">
        <v>848</v>
      </c>
      <c r="E1607">
        <v>80869896</v>
      </c>
      <c r="F1607" t="s">
        <v>1320</v>
      </c>
      <c r="G1607" s="3">
        <v>46912</v>
      </c>
      <c r="H1607">
        <v>24</v>
      </c>
      <c r="I1607">
        <v>100</v>
      </c>
      <c r="J1607">
        <v>3200</v>
      </c>
      <c r="K1607" s="4">
        <v>152224</v>
      </c>
      <c r="L1607" s="4">
        <v>86493.857142857145</v>
      </c>
      <c r="M1607" s="4">
        <v>3.6996847009779392E-2</v>
      </c>
      <c r="N1607" t="s">
        <v>25</v>
      </c>
      <c r="O1607" t="str">
        <f t="shared" si="250"/>
        <v>Low</v>
      </c>
      <c r="P1607" t="str">
        <f t="shared" si="251"/>
        <v>Low</v>
      </c>
      <c r="Q1607" t="str">
        <f t="shared" si="252"/>
        <v>Low</v>
      </c>
      <c r="R1607" t="s">
        <v>3309</v>
      </c>
      <c r="S1607" s="4">
        <f t="shared" ca="1" si="253"/>
        <v>715</v>
      </c>
      <c r="T1607">
        <f t="shared" si="254"/>
        <v>1</v>
      </c>
      <c r="U1607">
        <f t="shared" si="255"/>
        <v>1</v>
      </c>
      <c r="V1607">
        <f t="shared" si="256"/>
        <v>1</v>
      </c>
      <c r="W1607">
        <f t="shared" si="257"/>
        <v>3</v>
      </c>
      <c r="X1607">
        <f t="shared" si="258"/>
        <v>1.2</v>
      </c>
      <c r="Y1607" t="str">
        <f t="shared" si="259"/>
        <v>Healthy</v>
      </c>
    </row>
    <row r="1608" spans="1:25" x14ac:dyDescent="0.35">
      <c r="A1608" t="s">
        <v>90</v>
      </c>
      <c r="B1608" t="s">
        <v>217</v>
      </c>
      <c r="C1608" t="s">
        <v>218</v>
      </c>
      <c r="D1608" t="s">
        <v>848</v>
      </c>
      <c r="E1608">
        <v>80869896</v>
      </c>
      <c r="F1608" t="s">
        <v>1320</v>
      </c>
      <c r="G1608" s="3">
        <v>46900</v>
      </c>
      <c r="H1608">
        <v>24</v>
      </c>
      <c r="I1608">
        <v>98</v>
      </c>
      <c r="J1608">
        <v>10112</v>
      </c>
      <c r="K1608" s="4">
        <v>481027.84000000003</v>
      </c>
      <c r="L1608" s="4">
        <v>86493.857142857145</v>
      </c>
      <c r="M1608" s="4">
        <v>0.11691003655090287</v>
      </c>
      <c r="N1608" t="s">
        <v>25</v>
      </c>
      <c r="O1608" t="str">
        <f t="shared" si="250"/>
        <v>Low</v>
      </c>
      <c r="P1608" t="str">
        <f t="shared" si="251"/>
        <v>Low</v>
      </c>
      <c r="Q1608" t="str">
        <f t="shared" si="252"/>
        <v>Low</v>
      </c>
      <c r="R1608" t="s">
        <v>3309</v>
      </c>
      <c r="S1608" s="4">
        <f t="shared" ca="1" si="253"/>
        <v>703</v>
      </c>
      <c r="T1608">
        <f t="shared" si="254"/>
        <v>1</v>
      </c>
      <c r="U1608">
        <f t="shared" si="255"/>
        <v>1</v>
      </c>
      <c r="V1608">
        <f t="shared" si="256"/>
        <v>1</v>
      </c>
      <c r="W1608">
        <f t="shared" si="257"/>
        <v>3</v>
      </c>
      <c r="X1608">
        <f t="shared" si="258"/>
        <v>1.2</v>
      </c>
      <c r="Y1608" t="str">
        <f t="shared" si="259"/>
        <v>Healthy</v>
      </c>
    </row>
    <row r="1609" spans="1:25" x14ac:dyDescent="0.35">
      <c r="A1609" t="s">
        <v>90</v>
      </c>
      <c r="B1609" t="s">
        <v>217</v>
      </c>
      <c r="C1609" t="s">
        <v>218</v>
      </c>
      <c r="D1609" t="s">
        <v>848</v>
      </c>
      <c r="E1609">
        <v>80869896</v>
      </c>
      <c r="F1609" t="s">
        <v>1320</v>
      </c>
      <c r="G1609" s="3">
        <v>46905</v>
      </c>
      <c r="H1609">
        <v>24</v>
      </c>
      <c r="I1609">
        <v>99</v>
      </c>
      <c r="J1609">
        <v>5888</v>
      </c>
      <c r="K1609" s="4">
        <v>280092.15999999997</v>
      </c>
      <c r="L1609" s="4">
        <v>86493.857142857145</v>
      </c>
      <c r="M1609" s="4">
        <v>6.8074198497994079E-2</v>
      </c>
      <c r="N1609" t="s">
        <v>25</v>
      </c>
      <c r="O1609" t="str">
        <f t="shared" si="250"/>
        <v>Low</v>
      </c>
      <c r="P1609" t="str">
        <f t="shared" si="251"/>
        <v>Low</v>
      </c>
      <c r="Q1609" t="str">
        <f t="shared" si="252"/>
        <v>Low</v>
      </c>
      <c r="R1609" t="s">
        <v>3309</v>
      </c>
      <c r="S1609" s="4">
        <f t="shared" ca="1" si="253"/>
        <v>708</v>
      </c>
      <c r="T1609">
        <f t="shared" si="254"/>
        <v>1</v>
      </c>
      <c r="U1609">
        <f t="shared" si="255"/>
        <v>1</v>
      </c>
      <c r="V1609">
        <f t="shared" si="256"/>
        <v>1</v>
      </c>
      <c r="W1609">
        <f t="shared" si="257"/>
        <v>3</v>
      </c>
      <c r="X1609">
        <f t="shared" si="258"/>
        <v>1.2</v>
      </c>
      <c r="Y1609" t="str">
        <f t="shared" si="259"/>
        <v>Healthy</v>
      </c>
    </row>
    <row r="1610" spans="1:25" x14ac:dyDescent="0.35">
      <c r="A1610" t="s">
        <v>179</v>
      </c>
      <c r="B1610" t="s">
        <v>180</v>
      </c>
      <c r="C1610" t="s">
        <v>181</v>
      </c>
      <c r="D1610" t="s">
        <v>1327</v>
      </c>
      <c r="E1610">
        <v>80860033</v>
      </c>
      <c r="F1610" t="s">
        <v>1328</v>
      </c>
      <c r="G1610" s="3">
        <v>46347</v>
      </c>
      <c r="H1610">
        <v>16</v>
      </c>
      <c r="I1610">
        <v>32</v>
      </c>
      <c r="J1610">
        <v>36</v>
      </c>
      <c r="K1610" s="4">
        <v>5498.64</v>
      </c>
      <c r="L1610" s="4">
        <v>408.14285714285717</v>
      </c>
      <c r="M1610" s="4">
        <v>8.8204410220511023E-2</v>
      </c>
      <c r="N1610" t="s">
        <v>25</v>
      </c>
      <c r="O1610" t="str">
        <f t="shared" si="250"/>
        <v>Medium</v>
      </c>
      <c r="P1610" t="str">
        <f t="shared" si="251"/>
        <v>Low</v>
      </c>
      <c r="Q1610" t="str">
        <f t="shared" si="252"/>
        <v>Low</v>
      </c>
      <c r="R1610" t="s">
        <v>3317</v>
      </c>
      <c r="S1610" s="4">
        <f t="shared" ca="1" si="253"/>
        <v>150</v>
      </c>
      <c r="T1610">
        <f t="shared" si="254"/>
        <v>2</v>
      </c>
      <c r="U1610">
        <f t="shared" si="255"/>
        <v>1</v>
      </c>
      <c r="V1610">
        <f t="shared" si="256"/>
        <v>1</v>
      </c>
      <c r="W1610">
        <f t="shared" si="257"/>
        <v>1</v>
      </c>
      <c r="X1610">
        <f t="shared" si="258"/>
        <v>1.4000000000000001</v>
      </c>
      <c r="Y1610" t="str">
        <f t="shared" si="259"/>
        <v>Healthy</v>
      </c>
    </row>
    <row r="1611" spans="1:25" x14ac:dyDescent="0.35">
      <c r="A1611" t="s">
        <v>29</v>
      </c>
      <c r="B1611" t="s">
        <v>30</v>
      </c>
      <c r="C1611" t="s">
        <v>147</v>
      </c>
      <c r="D1611" t="s">
        <v>1329</v>
      </c>
      <c r="E1611">
        <v>80818101</v>
      </c>
      <c r="F1611" t="s">
        <v>1330</v>
      </c>
      <c r="G1611" s="3">
        <v>46675</v>
      </c>
      <c r="H1611">
        <v>36</v>
      </c>
      <c r="I1611">
        <v>45</v>
      </c>
      <c r="J1611">
        <v>6</v>
      </c>
      <c r="K1611" s="4">
        <v>7194.96</v>
      </c>
      <c r="L1611" s="4">
        <v>10.428571428571429</v>
      </c>
      <c r="M1611" s="4">
        <v>0.57534246575342463</v>
      </c>
      <c r="N1611" t="s">
        <v>25</v>
      </c>
      <c r="O1611" t="str">
        <f t="shared" si="250"/>
        <v>Low</v>
      </c>
      <c r="P1611" t="str">
        <f t="shared" si="251"/>
        <v>Low</v>
      </c>
      <c r="Q1611" t="str">
        <f t="shared" si="252"/>
        <v>Medium</v>
      </c>
      <c r="R1611" t="s">
        <v>3317</v>
      </c>
      <c r="S1611" s="4">
        <f t="shared" ca="1" si="253"/>
        <v>478</v>
      </c>
      <c r="T1611">
        <f t="shared" si="254"/>
        <v>1</v>
      </c>
      <c r="U1611">
        <f t="shared" si="255"/>
        <v>1</v>
      </c>
      <c r="V1611">
        <f t="shared" si="256"/>
        <v>2</v>
      </c>
      <c r="W1611">
        <f t="shared" si="257"/>
        <v>1</v>
      </c>
      <c r="X1611">
        <f t="shared" si="258"/>
        <v>1.2000000000000002</v>
      </c>
      <c r="Y1611" t="str">
        <f t="shared" si="259"/>
        <v>Healthy</v>
      </c>
    </row>
    <row r="1612" spans="1:25" x14ac:dyDescent="0.35">
      <c r="A1612" t="s">
        <v>29</v>
      </c>
      <c r="B1612" t="s">
        <v>30</v>
      </c>
      <c r="C1612" t="s">
        <v>147</v>
      </c>
      <c r="D1612" t="s">
        <v>1329</v>
      </c>
      <c r="E1612">
        <v>80818101</v>
      </c>
      <c r="F1612" t="s">
        <v>1330</v>
      </c>
      <c r="G1612" s="3">
        <v>46656</v>
      </c>
      <c r="H1612">
        <v>36</v>
      </c>
      <c r="I1612">
        <v>43</v>
      </c>
      <c r="J1612">
        <v>10</v>
      </c>
      <c r="K1612" s="4">
        <v>11991.6</v>
      </c>
      <c r="L1612" s="4">
        <v>10.428571428571429</v>
      </c>
      <c r="M1612" s="4">
        <v>0.95890410958904104</v>
      </c>
      <c r="N1612" t="s">
        <v>25</v>
      </c>
      <c r="O1612" t="str">
        <f t="shared" si="250"/>
        <v>Low</v>
      </c>
      <c r="P1612" t="str">
        <f t="shared" si="251"/>
        <v>Low</v>
      </c>
      <c r="Q1612" t="str">
        <f t="shared" si="252"/>
        <v>Medium</v>
      </c>
      <c r="R1612" t="s">
        <v>3317</v>
      </c>
      <c r="S1612" s="4">
        <f t="shared" ca="1" si="253"/>
        <v>459</v>
      </c>
      <c r="T1612">
        <f t="shared" si="254"/>
        <v>1</v>
      </c>
      <c r="U1612">
        <f t="shared" si="255"/>
        <v>1</v>
      </c>
      <c r="V1612">
        <f t="shared" si="256"/>
        <v>2</v>
      </c>
      <c r="W1612">
        <f t="shared" si="257"/>
        <v>1</v>
      </c>
      <c r="X1612">
        <f t="shared" si="258"/>
        <v>1.2000000000000002</v>
      </c>
      <c r="Y1612" t="str">
        <f t="shared" si="259"/>
        <v>Healthy</v>
      </c>
    </row>
    <row r="1613" spans="1:25" x14ac:dyDescent="0.35">
      <c r="A1613" t="s">
        <v>29</v>
      </c>
      <c r="B1613" t="s">
        <v>30</v>
      </c>
      <c r="C1613" t="s">
        <v>147</v>
      </c>
      <c r="D1613" t="s">
        <v>1329</v>
      </c>
      <c r="E1613">
        <v>80818101</v>
      </c>
      <c r="F1613" t="s">
        <v>1330</v>
      </c>
      <c r="G1613" s="3">
        <v>46780</v>
      </c>
      <c r="H1613">
        <v>36</v>
      </c>
      <c r="I1613">
        <v>54</v>
      </c>
      <c r="J1613">
        <v>7</v>
      </c>
      <c r="K1613" s="4">
        <v>8394.1200000000008</v>
      </c>
      <c r="L1613" s="4">
        <v>10.428571428571429</v>
      </c>
      <c r="M1613" s="4">
        <v>0.67123287671232879</v>
      </c>
      <c r="N1613" t="s">
        <v>25</v>
      </c>
      <c r="O1613" t="str">
        <f t="shared" si="250"/>
        <v>Low</v>
      </c>
      <c r="P1613" t="str">
        <f t="shared" si="251"/>
        <v>Low</v>
      </c>
      <c r="Q1613" t="str">
        <f t="shared" si="252"/>
        <v>Medium</v>
      </c>
      <c r="R1613" t="s">
        <v>3317</v>
      </c>
      <c r="S1613" s="4">
        <f t="shared" ca="1" si="253"/>
        <v>583</v>
      </c>
      <c r="T1613">
        <f t="shared" si="254"/>
        <v>1</v>
      </c>
      <c r="U1613">
        <f t="shared" si="255"/>
        <v>1</v>
      </c>
      <c r="V1613">
        <f t="shared" si="256"/>
        <v>2</v>
      </c>
      <c r="W1613">
        <f t="shared" si="257"/>
        <v>1</v>
      </c>
      <c r="X1613">
        <f t="shared" si="258"/>
        <v>1.2000000000000002</v>
      </c>
      <c r="Y1613" t="str">
        <f t="shared" si="259"/>
        <v>Healthy</v>
      </c>
    </row>
    <row r="1614" spans="1:25" x14ac:dyDescent="0.35">
      <c r="A1614" t="s">
        <v>29</v>
      </c>
      <c r="B1614" t="s">
        <v>30</v>
      </c>
      <c r="C1614" t="s">
        <v>147</v>
      </c>
      <c r="D1614" t="s">
        <v>1331</v>
      </c>
      <c r="E1614">
        <v>80851514</v>
      </c>
      <c r="F1614" t="s">
        <v>1332</v>
      </c>
      <c r="G1614" s="3">
        <v>47228</v>
      </c>
      <c r="H1614">
        <v>36</v>
      </c>
      <c r="I1614">
        <v>96</v>
      </c>
      <c r="J1614">
        <v>6</v>
      </c>
      <c r="K1614" s="4">
        <v>7674.96</v>
      </c>
      <c r="L1614" s="4">
        <v>12.571428571428571</v>
      </c>
      <c r="M1614" s="4">
        <v>0.47727272727272729</v>
      </c>
      <c r="N1614" t="s">
        <v>25</v>
      </c>
      <c r="O1614" t="str">
        <f t="shared" si="250"/>
        <v>Low</v>
      </c>
      <c r="P1614" t="str">
        <f t="shared" si="251"/>
        <v>Low</v>
      </c>
      <c r="Q1614" t="str">
        <f t="shared" si="252"/>
        <v>Medium</v>
      </c>
      <c r="R1614" t="s">
        <v>3317</v>
      </c>
      <c r="S1614" s="4">
        <f t="shared" ca="1" si="253"/>
        <v>1031</v>
      </c>
      <c r="T1614">
        <f t="shared" si="254"/>
        <v>1</v>
      </c>
      <c r="U1614">
        <f t="shared" si="255"/>
        <v>1</v>
      </c>
      <c r="V1614">
        <f t="shared" si="256"/>
        <v>2</v>
      </c>
      <c r="W1614">
        <f t="shared" si="257"/>
        <v>1</v>
      </c>
      <c r="X1614">
        <f t="shared" si="258"/>
        <v>1.2000000000000002</v>
      </c>
      <c r="Y1614" t="str">
        <f t="shared" si="259"/>
        <v>Healthy</v>
      </c>
    </row>
    <row r="1615" spans="1:25" x14ac:dyDescent="0.35">
      <c r="A1615" t="s">
        <v>41</v>
      </c>
      <c r="B1615" t="s">
        <v>54</v>
      </c>
      <c r="C1615" t="s">
        <v>55</v>
      </c>
      <c r="D1615" t="s">
        <v>1170</v>
      </c>
      <c r="E1615">
        <v>80863616</v>
      </c>
      <c r="F1615" t="s">
        <v>1333</v>
      </c>
      <c r="G1615" s="3">
        <v>46874</v>
      </c>
      <c r="H1615">
        <v>36</v>
      </c>
      <c r="I1615">
        <v>63</v>
      </c>
      <c r="J1615">
        <v>2</v>
      </c>
      <c r="K1615" s="4">
        <v>2062.34</v>
      </c>
      <c r="L1615" s="4">
        <f>0</f>
        <v>0</v>
      </c>
      <c r="M1615" s="4">
        <f>999</f>
        <v>999</v>
      </c>
      <c r="N1615" t="s">
        <v>19</v>
      </c>
      <c r="O1615" t="str">
        <f t="shared" si="250"/>
        <v>Low</v>
      </c>
      <c r="P1615" t="str">
        <f t="shared" si="251"/>
        <v>High</v>
      </c>
      <c r="Q1615" t="str">
        <f t="shared" si="252"/>
        <v>High</v>
      </c>
      <c r="R1615" t="s">
        <v>3317</v>
      </c>
      <c r="S1615" s="4">
        <f t="shared" ca="1" si="253"/>
        <v>677</v>
      </c>
      <c r="T1615">
        <f t="shared" si="254"/>
        <v>1</v>
      </c>
      <c r="U1615">
        <f t="shared" si="255"/>
        <v>3</v>
      </c>
      <c r="V1615">
        <f t="shared" si="256"/>
        <v>3</v>
      </c>
      <c r="W1615">
        <f t="shared" si="257"/>
        <v>1</v>
      </c>
      <c r="X1615">
        <f t="shared" si="258"/>
        <v>2</v>
      </c>
      <c r="Y1615" t="str">
        <f t="shared" si="259"/>
        <v>Monitor</v>
      </c>
    </row>
    <row r="1616" spans="1:25" x14ac:dyDescent="0.35">
      <c r="A1616" t="s">
        <v>29</v>
      </c>
      <c r="B1616" t="s">
        <v>30</v>
      </c>
      <c r="C1616" t="s">
        <v>147</v>
      </c>
      <c r="D1616" t="s">
        <v>1331</v>
      </c>
      <c r="E1616">
        <v>80851514</v>
      </c>
      <c r="F1616" t="s">
        <v>1332</v>
      </c>
      <c r="G1616" s="3">
        <v>46832</v>
      </c>
      <c r="H1616">
        <v>36</v>
      </c>
      <c r="I1616">
        <v>59</v>
      </c>
      <c r="J1616">
        <v>4</v>
      </c>
      <c r="K1616" s="4">
        <v>5116.6400000000003</v>
      </c>
      <c r="L1616" s="4">
        <v>12.571428571428571</v>
      </c>
      <c r="M1616" s="4">
        <v>0.31818181818181818</v>
      </c>
      <c r="N1616" t="s">
        <v>25</v>
      </c>
      <c r="O1616" t="str">
        <f t="shared" si="250"/>
        <v>Low</v>
      </c>
      <c r="P1616" t="str">
        <f t="shared" si="251"/>
        <v>Low</v>
      </c>
      <c r="Q1616" t="str">
        <f t="shared" si="252"/>
        <v>Medium</v>
      </c>
      <c r="R1616" t="s">
        <v>3317</v>
      </c>
      <c r="S1616" s="4">
        <f t="shared" ca="1" si="253"/>
        <v>635</v>
      </c>
      <c r="T1616">
        <f t="shared" si="254"/>
        <v>1</v>
      </c>
      <c r="U1616">
        <f t="shared" si="255"/>
        <v>1</v>
      </c>
      <c r="V1616">
        <f t="shared" si="256"/>
        <v>2</v>
      </c>
      <c r="W1616">
        <f t="shared" si="257"/>
        <v>1</v>
      </c>
      <c r="X1616">
        <f t="shared" si="258"/>
        <v>1.2000000000000002</v>
      </c>
      <c r="Y1616" t="str">
        <f t="shared" si="259"/>
        <v>Healthy</v>
      </c>
    </row>
    <row r="1617" spans="1:25" x14ac:dyDescent="0.35">
      <c r="A1617" t="s">
        <v>210</v>
      </c>
      <c r="B1617" t="s">
        <v>439</v>
      </c>
      <c r="C1617" t="s">
        <v>440</v>
      </c>
      <c r="D1617" t="s">
        <v>1217</v>
      </c>
      <c r="E1617">
        <v>80849614</v>
      </c>
      <c r="F1617" t="s">
        <v>1334</v>
      </c>
      <c r="G1617" s="3">
        <v>47758</v>
      </c>
      <c r="H1617">
        <v>60</v>
      </c>
      <c r="I1617">
        <v>87</v>
      </c>
      <c r="J1617">
        <v>54</v>
      </c>
      <c r="K1617" s="4">
        <v>32376.240000000002</v>
      </c>
      <c r="L1617" s="4">
        <v>38.857142857142854</v>
      </c>
      <c r="M1617" s="4">
        <v>1.3897058823529413</v>
      </c>
      <c r="N1617" t="s">
        <v>25</v>
      </c>
      <c r="O1617" t="str">
        <f t="shared" si="250"/>
        <v>Low</v>
      </c>
      <c r="P1617" t="str">
        <f t="shared" si="251"/>
        <v>Low</v>
      </c>
      <c r="Q1617" t="str">
        <f t="shared" si="252"/>
        <v>Low</v>
      </c>
      <c r="R1617" t="s">
        <v>3317</v>
      </c>
      <c r="S1617" s="4">
        <f t="shared" ca="1" si="253"/>
        <v>1561</v>
      </c>
      <c r="T1617">
        <f t="shared" si="254"/>
        <v>1</v>
      </c>
      <c r="U1617">
        <f t="shared" si="255"/>
        <v>1</v>
      </c>
      <c r="V1617">
        <f t="shared" si="256"/>
        <v>1</v>
      </c>
      <c r="W1617">
        <f t="shared" si="257"/>
        <v>1</v>
      </c>
      <c r="X1617">
        <f t="shared" si="258"/>
        <v>0.99999999999999989</v>
      </c>
      <c r="Y1617" t="str">
        <f t="shared" si="259"/>
        <v>Healthy</v>
      </c>
    </row>
    <row r="1618" spans="1:25" x14ac:dyDescent="0.35">
      <c r="A1618" t="s">
        <v>210</v>
      </c>
      <c r="B1618" t="s">
        <v>439</v>
      </c>
      <c r="C1618" t="s">
        <v>440</v>
      </c>
      <c r="D1618" t="s">
        <v>1217</v>
      </c>
      <c r="E1618">
        <v>80849614</v>
      </c>
      <c r="F1618" t="s">
        <v>1334</v>
      </c>
      <c r="G1618" s="3">
        <v>47693</v>
      </c>
      <c r="H1618">
        <v>60</v>
      </c>
      <c r="I1618">
        <v>83</v>
      </c>
      <c r="J1618">
        <v>8</v>
      </c>
      <c r="K1618" s="4">
        <v>4796.4799999999996</v>
      </c>
      <c r="L1618" s="4">
        <v>38.857142857142854</v>
      </c>
      <c r="M1618" s="4">
        <v>0.20588235294117649</v>
      </c>
      <c r="N1618" t="s">
        <v>25</v>
      </c>
      <c r="O1618" t="str">
        <f t="shared" si="250"/>
        <v>Low</v>
      </c>
      <c r="P1618" t="str">
        <f t="shared" si="251"/>
        <v>Low</v>
      </c>
      <c r="Q1618" t="str">
        <f t="shared" si="252"/>
        <v>Low</v>
      </c>
      <c r="R1618" t="s">
        <v>3317</v>
      </c>
      <c r="S1618" s="4">
        <f t="shared" ca="1" si="253"/>
        <v>1496</v>
      </c>
      <c r="T1618">
        <f t="shared" si="254"/>
        <v>1</v>
      </c>
      <c r="U1618">
        <f t="shared" si="255"/>
        <v>1</v>
      </c>
      <c r="V1618">
        <f t="shared" si="256"/>
        <v>1</v>
      </c>
      <c r="W1618">
        <f t="shared" si="257"/>
        <v>1</v>
      </c>
      <c r="X1618">
        <f t="shared" si="258"/>
        <v>0.99999999999999989</v>
      </c>
      <c r="Y1618" t="str">
        <f t="shared" si="259"/>
        <v>Healthy</v>
      </c>
    </row>
    <row r="1619" spans="1:25" x14ac:dyDescent="0.35">
      <c r="A1619" t="s">
        <v>41</v>
      </c>
      <c r="B1619" t="s">
        <v>54</v>
      </c>
      <c r="C1619" t="s">
        <v>55</v>
      </c>
      <c r="D1619" t="s">
        <v>1335</v>
      </c>
      <c r="E1619">
        <v>80859537</v>
      </c>
      <c r="F1619" t="s">
        <v>1336</v>
      </c>
      <c r="G1619" s="3">
        <v>46917</v>
      </c>
      <c r="H1619">
        <v>36</v>
      </c>
      <c r="I1619">
        <v>67</v>
      </c>
      <c r="J1619">
        <v>12</v>
      </c>
      <c r="K1619" s="4">
        <v>9380.2800000000007</v>
      </c>
      <c r="L1619" s="4">
        <f>0</f>
        <v>0</v>
      </c>
      <c r="M1619" s="4">
        <f>999</f>
        <v>999</v>
      </c>
      <c r="N1619" t="s">
        <v>19</v>
      </c>
      <c r="O1619" t="str">
        <f t="shared" si="250"/>
        <v>Low</v>
      </c>
      <c r="P1619" t="str">
        <f t="shared" si="251"/>
        <v>High</v>
      </c>
      <c r="Q1619" t="str">
        <f t="shared" si="252"/>
        <v>High</v>
      </c>
      <c r="R1619" t="s">
        <v>3317</v>
      </c>
      <c r="S1619" s="4">
        <f t="shared" ca="1" si="253"/>
        <v>720</v>
      </c>
      <c r="T1619">
        <f t="shared" si="254"/>
        <v>1</v>
      </c>
      <c r="U1619">
        <f t="shared" si="255"/>
        <v>3</v>
      </c>
      <c r="V1619">
        <f t="shared" si="256"/>
        <v>3</v>
      </c>
      <c r="W1619">
        <f t="shared" si="257"/>
        <v>1</v>
      </c>
      <c r="X1619">
        <f t="shared" si="258"/>
        <v>2</v>
      </c>
      <c r="Y1619" t="str">
        <f t="shared" si="259"/>
        <v>Monitor</v>
      </c>
    </row>
    <row r="1620" spans="1:25" x14ac:dyDescent="0.35">
      <c r="A1620" t="s">
        <v>29</v>
      </c>
      <c r="B1620" t="s">
        <v>30</v>
      </c>
      <c r="C1620" t="s">
        <v>856</v>
      </c>
      <c r="D1620" t="s">
        <v>1211</v>
      </c>
      <c r="E1620">
        <v>80833281</v>
      </c>
      <c r="F1620" t="s">
        <v>1337</v>
      </c>
      <c r="G1620" s="3">
        <v>46980</v>
      </c>
      <c r="H1620">
        <v>36</v>
      </c>
      <c r="I1620">
        <v>73</v>
      </c>
      <c r="J1620">
        <v>18</v>
      </c>
      <c r="K1620" s="4">
        <v>28784.7</v>
      </c>
      <c r="L1620" s="4">
        <v>47</v>
      </c>
      <c r="M1620" s="4">
        <v>0.38297872340425532</v>
      </c>
      <c r="N1620" t="s">
        <v>25</v>
      </c>
      <c r="O1620" t="str">
        <f t="shared" si="250"/>
        <v>Low</v>
      </c>
      <c r="P1620" t="str">
        <f t="shared" si="251"/>
        <v>Low</v>
      </c>
      <c r="Q1620" t="str">
        <f t="shared" si="252"/>
        <v>Low</v>
      </c>
      <c r="R1620" t="s">
        <v>3317</v>
      </c>
      <c r="S1620" s="4">
        <f t="shared" ca="1" si="253"/>
        <v>783</v>
      </c>
      <c r="T1620">
        <f t="shared" si="254"/>
        <v>1</v>
      </c>
      <c r="U1620">
        <f t="shared" si="255"/>
        <v>1</v>
      </c>
      <c r="V1620">
        <f t="shared" si="256"/>
        <v>1</v>
      </c>
      <c r="W1620">
        <f t="shared" si="257"/>
        <v>1</v>
      </c>
      <c r="X1620">
        <f t="shared" si="258"/>
        <v>0.99999999999999989</v>
      </c>
      <c r="Y1620" t="str">
        <f t="shared" si="259"/>
        <v>Healthy</v>
      </c>
    </row>
    <row r="1621" spans="1:25" x14ac:dyDescent="0.35">
      <c r="A1621" t="s">
        <v>29</v>
      </c>
      <c r="B1621" t="s">
        <v>30</v>
      </c>
      <c r="C1621" t="s">
        <v>856</v>
      </c>
      <c r="D1621" t="s">
        <v>1211</v>
      </c>
      <c r="E1621">
        <v>80833281</v>
      </c>
      <c r="F1621" t="s">
        <v>1337</v>
      </c>
      <c r="G1621" s="3">
        <v>47081</v>
      </c>
      <c r="H1621">
        <v>36</v>
      </c>
      <c r="I1621">
        <v>82</v>
      </c>
      <c r="J1621">
        <v>39</v>
      </c>
      <c r="K1621" s="4">
        <v>62366.85</v>
      </c>
      <c r="L1621" s="4">
        <v>47</v>
      </c>
      <c r="M1621" s="4">
        <v>0.82978723404255317</v>
      </c>
      <c r="N1621" t="s">
        <v>25</v>
      </c>
      <c r="O1621" t="str">
        <f t="shared" si="250"/>
        <v>Low</v>
      </c>
      <c r="P1621" t="str">
        <f t="shared" si="251"/>
        <v>Low</v>
      </c>
      <c r="Q1621" t="str">
        <f t="shared" si="252"/>
        <v>Low</v>
      </c>
      <c r="R1621" t="s">
        <v>3317</v>
      </c>
      <c r="S1621" s="4">
        <f t="shared" ca="1" si="253"/>
        <v>884</v>
      </c>
      <c r="T1621">
        <f t="shared" si="254"/>
        <v>1</v>
      </c>
      <c r="U1621">
        <f t="shared" si="255"/>
        <v>1</v>
      </c>
      <c r="V1621">
        <f t="shared" si="256"/>
        <v>1</v>
      </c>
      <c r="W1621">
        <f t="shared" si="257"/>
        <v>1</v>
      </c>
      <c r="X1621">
        <f t="shared" si="258"/>
        <v>0.99999999999999989</v>
      </c>
      <c r="Y1621" t="str">
        <f t="shared" si="259"/>
        <v>Healthy</v>
      </c>
    </row>
    <row r="1622" spans="1:25" x14ac:dyDescent="0.35">
      <c r="A1622" t="s">
        <v>189</v>
      </c>
      <c r="B1622" t="s">
        <v>539</v>
      </c>
      <c r="C1622" t="s">
        <v>539</v>
      </c>
      <c r="D1622" t="s">
        <v>1338</v>
      </c>
      <c r="E1622">
        <v>80862577</v>
      </c>
      <c r="F1622" t="s">
        <v>1339</v>
      </c>
      <c r="G1622" s="3">
        <v>46580</v>
      </c>
      <c r="H1622">
        <v>24</v>
      </c>
      <c r="I1622">
        <v>54</v>
      </c>
      <c r="J1622">
        <v>18</v>
      </c>
      <c r="K1622" s="4">
        <v>2552.04</v>
      </c>
      <c r="L1622" s="4">
        <v>230.42857142857142</v>
      </c>
      <c r="M1622" s="4">
        <v>7.8115313081215138E-2</v>
      </c>
      <c r="N1622" t="s">
        <v>25</v>
      </c>
      <c r="O1622" t="str">
        <f t="shared" si="250"/>
        <v>Low</v>
      </c>
      <c r="P1622" t="str">
        <f t="shared" si="251"/>
        <v>Low</v>
      </c>
      <c r="Q1622" t="str">
        <f t="shared" si="252"/>
        <v>Low</v>
      </c>
      <c r="R1622" t="s">
        <v>3317</v>
      </c>
      <c r="S1622" s="4">
        <f t="shared" ca="1" si="253"/>
        <v>383</v>
      </c>
      <c r="T1622">
        <f t="shared" si="254"/>
        <v>1</v>
      </c>
      <c r="U1622">
        <f t="shared" si="255"/>
        <v>1</v>
      </c>
      <c r="V1622">
        <f t="shared" si="256"/>
        <v>1</v>
      </c>
      <c r="W1622">
        <f t="shared" si="257"/>
        <v>1</v>
      </c>
      <c r="X1622">
        <f t="shared" si="258"/>
        <v>0.99999999999999989</v>
      </c>
      <c r="Y1622" t="str">
        <f t="shared" si="259"/>
        <v>Healthy</v>
      </c>
    </row>
    <row r="1623" spans="1:25" x14ac:dyDescent="0.35">
      <c r="A1623" t="s">
        <v>29</v>
      </c>
      <c r="B1623" t="s">
        <v>30</v>
      </c>
      <c r="C1623" t="s">
        <v>856</v>
      </c>
      <c r="D1623" t="s">
        <v>1211</v>
      </c>
      <c r="E1623">
        <v>80833281</v>
      </c>
      <c r="F1623" t="s">
        <v>1337</v>
      </c>
      <c r="G1623" s="3">
        <v>47040</v>
      </c>
      <c r="H1623">
        <v>36</v>
      </c>
      <c r="I1623">
        <v>79</v>
      </c>
      <c r="J1623">
        <v>14</v>
      </c>
      <c r="K1623" s="4">
        <v>22388.1</v>
      </c>
      <c r="L1623" s="4">
        <v>47</v>
      </c>
      <c r="M1623" s="4">
        <v>0.2978723404255319</v>
      </c>
      <c r="N1623" t="s">
        <v>25</v>
      </c>
      <c r="O1623" t="str">
        <f t="shared" si="250"/>
        <v>Low</v>
      </c>
      <c r="P1623" t="str">
        <f t="shared" si="251"/>
        <v>Low</v>
      </c>
      <c r="Q1623" t="str">
        <f t="shared" si="252"/>
        <v>Low</v>
      </c>
      <c r="R1623" t="s">
        <v>3317</v>
      </c>
      <c r="S1623" s="4">
        <f t="shared" ca="1" si="253"/>
        <v>843</v>
      </c>
      <c r="T1623">
        <f t="shared" si="254"/>
        <v>1</v>
      </c>
      <c r="U1623">
        <f t="shared" si="255"/>
        <v>1</v>
      </c>
      <c r="V1623">
        <f t="shared" si="256"/>
        <v>1</v>
      </c>
      <c r="W1623">
        <f t="shared" si="257"/>
        <v>1</v>
      </c>
      <c r="X1623">
        <f t="shared" si="258"/>
        <v>0.99999999999999989</v>
      </c>
      <c r="Y1623" t="str">
        <f t="shared" si="259"/>
        <v>Healthy</v>
      </c>
    </row>
    <row r="1624" spans="1:25" x14ac:dyDescent="0.35">
      <c r="A1624" t="s">
        <v>189</v>
      </c>
      <c r="B1624" t="s">
        <v>539</v>
      </c>
      <c r="C1624" t="s">
        <v>539</v>
      </c>
      <c r="D1624" t="s">
        <v>1338</v>
      </c>
      <c r="E1624">
        <v>80862577</v>
      </c>
      <c r="F1624" t="s">
        <v>1339</v>
      </c>
      <c r="G1624" s="3">
        <v>46601</v>
      </c>
      <c r="H1624">
        <v>24</v>
      </c>
      <c r="I1624">
        <v>57</v>
      </c>
      <c r="J1624">
        <v>172</v>
      </c>
      <c r="K1624" s="4">
        <v>24386.16</v>
      </c>
      <c r="L1624" s="4">
        <v>230.42857142857142</v>
      </c>
      <c r="M1624" s="4">
        <v>0.74643521388716683</v>
      </c>
      <c r="N1624" t="s">
        <v>25</v>
      </c>
      <c r="O1624" t="str">
        <f t="shared" si="250"/>
        <v>Low</v>
      </c>
      <c r="P1624" t="str">
        <f t="shared" si="251"/>
        <v>Low</v>
      </c>
      <c r="Q1624" t="str">
        <f t="shared" si="252"/>
        <v>Low</v>
      </c>
      <c r="R1624" t="s">
        <v>3317</v>
      </c>
      <c r="S1624" s="4">
        <f t="shared" ca="1" si="253"/>
        <v>404</v>
      </c>
      <c r="T1624">
        <f t="shared" si="254"/>
        <v>1</v>
      </c>
      <c r="U1624">
        <f t="shared" si="255"/>
        <v>1</v>
      </c>
      <c r="V1624">
        <f t="shared" si="256"/>
        <v>1</v>
      </c>
      <c r="W1624">
        <f t="shared" si="257"/>
        <v>1</v>
      </c>
      <c r="X1624">
        <f t="shared" si="258"/>
        <v>0.99999999999999989</v>
      </c>
      <c r="Y1624" t="str">
        <f t="shared" si="259"/>
        <v>Healthy</v>
      </c>
    </row>
    <row r="1625" spans="1:25" x14ac:dyDescent="0.35">
      <c r="A1625" t="s">
        <v>189</v>
      </c>
      <c r="B1625" t="s">
        <v>539</v>
      </c>
      <c r="C1625" t="s">
        <v>539</v>
      </c>
      <c r="D1625" t="s">
        <v>1338</v>
      </c>
      <c r="E1625">
        <v>80862577</v>
      </c>
      <c r="F1625" t="s">
        <v>1339</v>
      </c>
      <c r="G1625" s="3">
        <v>46599</v>
      </c>
      <c r="H1625">
        <v>24</v>
      </c>
      <c r="I1625">
        <v>57</v>
      </c>
      <c r="J1625">
        <v>18</v>
      </c>
      <c r="K1625" s="4">
        <v>2552.04</v>
      </c>
      <c r="L1625" s="4">
        <v>230.42857142857142</v>
      </c>
      <c r="M1625" s="4">
        <v>7.8115313081215138E-2</v>
      </c>
      <c r="N1625" t="s">
        <v>25</v>
      </c>
      <c r="O1625" t="str">
        <f t="shared" si="250"/>
        <v>Low</v>
      </c>
      <c r="P1625" t="str">
        <f t="shared" si="251"/>
        <v>Low</v>
      </c>
      <c r="Q1625" t="str">
        <f t="shared" si="252"/>
        <v>Low</v>
      </c>
      <c r="R1625" t="s">
        <v>3317</v>
      </c>
      <c r="S1625" s="4">
        <f t="shared" ca="1" si="253"/>
        <v>402</v>
      </c>
      <c r="T1625">
        <f t="shared" si="254"/>
        <v>1</v>
      </c>
      <c r="U1625">
        <f t="shared" si="255"/>
        <v>1</v>
      </c>
      <c r="V1625">
        <f t="shared" si="256"/>
        <v>1</v>
      </c>
      <c r="W1625">
        <f t="shared" si="257"/>
        <v>1</v>
      </c>
      <c r="X1625">
        <f t="shared" si="258"/>
        <v>0.99999999999999989</v>
      </c>
      <c r="Y1625" t="str">
        <f t="shared" si="259"/>
        <v>Healthy</v>
      </c>
    </row>
    <row r="1626" spans="1:25" x14ac:dyDescent="0.35">
      <c r="A1626" t="s">
        <v>189</v>
      </c>
      <c r="B1626" t="s">
        <v>539</v>
      </c>
      <c r="C1626" t="s">
        <v>539</v>
      </c>
      <c r="D1626" t="s">
        <v>1338</v>
      </c>
      <c r="E1626">
        <v>80862577</v>
      </c>
      <c r="F1626" t="s">
        <v>1339</v>
      </c>
      <c r="G1626" s="3">
        <v>46600</v>
      </c>
      <c r="H1626">
        <v>24</v>
      </c>
      <c r="I1626">
        <v>57</v>
      </c>
      <c r="J1626">
        <v>25</v>
      </c>
      <c r="K1626" s="4">
        <v>3544.5</v>
      </c>
      <c r="L1626" s="4">
        <v>230.42857142857142</v>
      </c>
      <c r="M1626" s="4">
        <v>0.10849349039057657</v>
      </c>
      <c r="N1626" t="s">
        <v>25</v>
      </c>
      <c r="O1626" t="str">
        <f t="shared" si="250"/>
        <v>Low</v>
      </c>
      <c r="P1626" t="str">
        <f t="shared" si="251"/>
        <v>Low</v>
      </c>
      <c r="Q1626" t="str">
        <f t="shared" si="252"/>
        <v>Low</v>
      </c>
      <c r="R1626" t="s">
        <v>3317</v>
      </c>
      <c r="S1626" s="4">
        <f t="shared" ca="1" si="253"/>
        <v>403</v>
      </c>
      <c r="T1626">
        <f t="shared" si="254"/>
        <v>1</v>
      </c>
      <c r="U1626">
        <f t="shared" si="255"/>
        <v>1</v>
      </c>
      <c r="V1626">
        <f t="shared" si="256"/>
        <v>1</v>
      </c>
      <c r="W1626">
        <f t="shared" si="257"/>
        <v>1</v>
      </c>
      <c r="X1626">
        <f t="shared" si="258"/>
        <v>0.99999999999999989</v>
      </c>
      <c r="Y1626" t="str">
        <f t="shared" si="259"/>
        <v>Healthy</v>
      </c>
    </row>
    <row r="1627" spans="1:25" x14ac:dyDescent="0.35">
      <c r="A1627" t="s">
        <v>90</v>
      </c>
      <c r="B1627" t="s">
        <v>91</v>
      </c>
      <c r="C1627" t="s">
        <v>478</v>
      </c>
      <c r="D1627" t="s">
        <v>1340</v>
      </c>
      <c r="E1627">
        <v>80875095</v>
      </c>
      <c r="F1627" t="s">
        <v>1341</v>
      </c>
      <c r="G1627" s="3">
        <v>46764</v>
      </c>
      <c r="H1627">
        <v>24</v>
      </c>
      <c r="I1627">
        <v>79</v>
      </c>
      <c r="J1627">
        <v>2</v>
      </c>
      <c r="K1627" s="4">
        <v>1422.42</v>
      </c>
      <c r="L1627" s="4">
        <v>1547.2857142857142</v>
      </c>
      <c r="M1627" s="4">
        <v>1.292586095466716E-3</v>
      </c>
      <c r="N1627" t="s">
        <v>25</v>
      </c>
      <c r="O1627" t="str">
        <f t="shared" si="250"/>
        <v>Low</v>
      </c>
      <c r="P1627" t="str">
        <f t="shared" si="251"/>
        <v>Low</v>
      </c>
      <c r="Q1627" t="str">
        <f t="shared" si="252"/>
        <v>Low</v>
      </c>
      <c r="R1627" t="s">
        <v>3317</v>
      </c>
      <c r="S1627" s="4">
        <f t="shared" ca="1" si="253"/>
        <v>567</v>
      </c>
      <c r="T1627">
        <f t="shared" si="254"/>
        <v>1</v>
      </c>
      <c r="U1627">
        <f t="shared" si="255"/>
        <v>1</v>
      </c>
      <c r="V1627">
        <f t="shared" si="256"/>
        <v>1</v>
      </c>
      <c r="W1627">
        <f t="shared" si="257"/>
        <v>1</v>
      </c>
      <c r="X1627">
        <f t="shared" si="258"/>
        <v>0.99999999999999989</v>
      </c>
      <c r="Y1627" t="str">
        <f t="shared" si="259"/>
        <v>Healthy</v>
      </c>
    </row>
    <row r="1628" spans="1:25" x14ac:dyDescent="0.35">
      <c r="A1628" t="s">
        <v>90</v>
      </c>
      <c r="B1628" t="s">
        <v>91</v>
      </c>
      <c r="C1628" t="s">
        <v>478</v>
      </c>
      <c r="D1628" t="s">
        <v>1340</v>
      </c>
      <c r="E1628">
        <v>80875095</v>
      </c>
      <c r="F1628" t="s">
        <v>1341</v>
      </c>
      <c r="G1628" s="3">
        <v>46823</v>
      </c>
      <c r="H1628">
        <v>24</v>
      </c>
      <c r="I1628">
        <v>88</v>
      </c>
      <c r="J1628">
        <v>252</v>
      </c>
      <c r="K1628" s="4">
        <v>179224.92</v>
      </c>
      <c r="L1628" s="4">
        <v>1547.2857142857142</v>
      </c>
      <c r="M1628" s="4">
        <v>0.16286584802880621</v>
      </c>
      <c r="N1628" t="s">
        <v>25</v>
      </c>
      <c r="O1628" t="str">
        <f t="shared" si="250"/>
        <v>Low</v>
      </c>
      <c r="P1628" t="str">
        <f t="shared" si="251"/>
        <v>Low</v>
      </c>
      <c r="Q1628" t="str">
        <f t="shared" si="252"/>
        <v>Low</v>
      </c>
      <c r="R1628" t="s">
        <v>3309</v>
      </c>
      <c r="S1628" s="4">
        <f t="shared" ca="1" si="253"/>
        <v>626</v>
      </c>
      <c r="T1628">
        <f t="shared" si="254"/>
        <v>1</v>
      </c>
      <c r="U1628">
        <f t="shared" si="255"/>
        <v>1</v>
      </c>
      <c r="V1628">
        <f t="shared" si="256"/>
        <v>1</v>
      </c>
      <c r="W1628">
        <f t="shared" si="257"/>
        <v>3</v>
      </c>
      <c r="X1628">
        <f t="shared" si="258"/>
        <v>1.2</v>
      </c>
      <c r="Y1628" t="str">
        <f t="shared" si="259"/>
        <v>Healthy</v>
      </c>
    </row>
    <row r="1629" spans="1:25" x14ac:dyDescent="0.35">
      <c r="A1629" t="s">
        <v>90</v>
      </c>
      <c r="B1629" t="s">
        <v>91</v>
      </c>
      <c r="C1629" t="s">
        <v>478</v>
      </c>
      <c r="D1629" t="s">
        <v>1340</v>
      </c>
      <c r="E1629">
        <v>80875095</v>
      </c>
      <c r="F1629" t="s">
        <v>1341</v>
      </c>
      <c r="G1629" s="3">
        <v>46786</v>
      </c>
      <c r="H1629">
        <v>24</v>
      </c>
      <c r="I1629">
        <v>83</v>
      </c>
      <c r="J1629">
        <v>46</v>
      </c>
      <c r="K1629" s="4">
        <v>32715.66</v>
      </c>
      <c r="L1629" s="4">
        <v>1547.2857142857142</v>
      </c>
      <c r="M1629" s="4">
        <v>2.9729480195734466E-2</v>
      </c>
      <c r="N1629" t="s">
        <v>25</v>
      </c>
      <c r="O1629" t="str">
        <f t="shared" si="250"/>
        <v>Low</v>
      </c>
      <c r="P1629" t="str">
        <f t="shared" si="251"/>
        <v>Low</v>
      </c>
      <c r="Q1629" t="str">
        <f t="shared" si="252"/>
        <v>Low</v>
      </c>
      <c r="R1629" t="s">
        <v>3317</v>
      </c>
      <c r="S1629" s="4">
        <f t="shared" ca="1" si="253"/>
        <v>589</v>
      </c>
      <c r="T1629">
        <f t="shared" si="254"/>
        <v>1</v>
      </c>
      <c r="U1629">
        <f t="shared" si="255"/>
        <v>1</v>
      </c>
      <c r="V1629">
        <f t="shared" si="256"/>
        <v>1</v>
      </c>
      <c r="W1629">
        <f t="shared" si="257"/>
        <v>1</v>
      </c>
      <c r="X1629">
        <f t="shared" si="258"/>
        <v>0.99999999999999989</v>
      </c>
      <c r="Y1629" t="str">
        <f t="shared" si="259"/>
        <v>Healthy</v>
      </c>
    </row>
    <row r="1630" spans="1:25" x14ac:dyDescent="0.35">
      <c r="A1630" t="s">
        <v>90</v>
      </c>
      <c r="B1630" t="s">
        <v>91</v>
      </c>
      <c r="C1630" t="s">
        <v>478</v>
      </c>
      <c r="D1630" t="s">
        <v>1340</v>
      </c>
      <c r="E1630">
        <v>80875095</v>
      </c>
      <c r="F1630" t="s">
        <v>1341</v>
      </c>
      <c r="G1630" s="3">
        <v>46842</v>
      </c>
      <c r="H1630">
        <v>24</v>
      </c>
      <c r="I1630">
        <v>90</v>
      </c>
      <c r="J1630">
        <v>24</v>
      </c>
      <c r="K1630" s="4">
        <v>17069.04</v>
      </c>
      <c r="L1630" s="4">
        <v>1547.2857142857142</v>
      </c>
      <c r="M1630" s="4">
        <v>1.5511033145600591E-2</v>
      </c>
      <c r="N1630" t="s">
        <v>25</v>
      </c>
      <c r="O1630" t="str">
        <f t="shared" si="250"/>
        <v>Low</v>
      </c>
      <c r="P1630" t="str">
        <f t="shared" si="251"/>
        <v>Low</v>
      </c>
      <c r="Q1630" t="str">
        <f t="shared" si="252"/>
        <v>Low</v>
      </c>
      <c r="R1630" t="s">
        <v>3317</v>
      </c>
      <c r="S1630" s="4">
        <f t="shared" ca="1" si="253"/>
        <v>645</v>
      </c>
      <c r="T1630">
        <f t="shared" si="254"/>
        <v>1</v>
      </c>
      <c r="U1630">
        <f t="shared" si="255"/>
        <v>1</v>
      </c>
      <c r="V1630">
        <f t="shared" si="256"/>
        <v>1</v>
      </c>
      <c r="W1630">
        <f t="shared" si="257"/>
        <v>1</v>
      </c>
      <c r="X1630">
        <f t="shared" si="258"/>
        <v>0.99999999999999989</v>
      </c>
      <c r="Y1630" t="str">
        <f t="shared" si="259"/>
        <v>Healthy</v>
      </c>
    </row>
    <row r="1631" spans="1:25" x14ac:dyDescent="0.35">
      <c r="A1631" t="s">
        <v>90</v>
      </c>
      <c r="B1631" t="s">
        <v>91</v>
      </c>
      <c r="C1631" t="s">
        <v>478</v>
      </c>
      <c r="D1631" t="s">
        <v>1340</v>
      </c>
      <c r="E1631">
        <v>80875095</v>
      </c>
      <c r="F1631" t="s">
        <v>1341</v>
      </c>
      <c r="G1631" s="3">
        <v>46765</v>
      </c>
      <c r="H1631">
        <v>24</v>
      </c>
      <c r="I1631">
        <v>80</v>
      </c>
      <c r="J1631">
        <v>25</v>
      </c>
      <c r="K1631" s="4">
        <v>17780.25</v>
      </c>
      <c r="L1631" s="4">
        <v>1547.2857142857142</v>
      </c>
      <c r="M1631" s="4">
        <v>1.6157326193333949E-2</v>
      </c>
      <c r="N1631" t="s">
        <v>25</v>
      </c>
      <c r="O1631" t="str">
        <f t="shared" si="250"/>
        <v>Low</v>
      </c>
      <c r="P1631" t="str">
        <f t="shared" si="251"/>
        <v>Low</v>
      </c>
      <c r="Q1631" t="str">
        <f t="shared" si="252"/>
        <v>Low</v>
      </c>
      <c r="R1631" t="s">
        <v>3317</v>
      </c>
      <c r="S1631" s="4">
        <f t="shared" ca="1" si="253"/>
        <v>568</v>
      </c>
      <c r="T1631">
        <f t="shared" si="254"/>
        <v>1</v>
      </c>
      <c r="U1631">
        <f t="shared" si="255"/>
        <v>1</v>
      </c>
      <c r="V1631">
        <f t="shared" si="256"/>
        <v>1</v>
      </c>
      <c r="W1631">
        <f t="shared" si="257"/>
        <v>1</v>
      </c>
      <c r="X1631">
        <f t="shared" si="258"/>
        <v>0.99999999999999989</v>
      </c>
      <c r="Y1631" t="str">
        <f t="shared" si="259"/>
        <v>Healthy</v>
      </c>
    </row>
    <row r="1632" spans="1:25" x14ac:dyDescent="0.35">
      <c r="A1632" t="s">
        <v>71</v>
      </c>
      <c r="B1632" t="s">
        <v>72</v>
      </c>
      <c r="C1632" t="s">
        <v>73</v>
      </c>
      <c r="D1632" t="s">
        <v>936</v>
      </c>
      <c r="E1632">
        <v>80867170</v>
      </c>
      <c r="F1632" t="s">
        <v>1342</v>
      </c>
      <c r="G1632" s="3">
        <v>47169</v>
      </c>
      <c r="H1632">
        <v>36</v>
      </c>
      <c r="I1632">
        <v>90</v>
      </c>
      <c r="J1632">
        <v>5</v>
      </c>
      <c r="K1632" s="4">
        <v>2799.9</v>
      </c>
      <c r="L1632" s="4">
        <v>76.857142857142861</v>
      </c>
      <c r="M1632" s="4">
        <v>6.5055762081784388E-2</v>
      </c>
      <c r="N1632" t="s">
        <v>25</v>
      </c>
      <c r="O1632" t="str">
        <f t="shared" si="250"/>
        <v>Low</v>
      </c>
      <c r="P1632" t="str">
        <f t="shared" si="251"/>
        <v>Low</v>
      </c>
      <c r="Q1632" t="str">
        <f t="shared" si="252"/>
        <v>Low</v>
      </c>
      <c r="R1632" t="s">
        <v>3317</v>
      </c>
      <c r="S1632" s="4">
        <f t="shared" ca="1" si="253"/>
        <v>972</v>
      </c>
      <c r="T1632">
        <f t="shared" si="254"/>
        <v>1</v>
      </c>
      <c r="U1632">
        <f t="shared" si="255"/>
        <v>1</v>
      </c>
      <c r="V1632">
        <f t="shared" si="256"/>
        <v>1</v>
      </c>
      <c r="W1632">
        <f t="shared" si="257"/>
        <v>1</v>
      </c>
      <c r="X1632">
        <f t="shared" si="258"/>
        <v>0.99999999999999989</v>
      </c>
      <c r="Y1632" t="str">
        <f t="shared" si="259"/>
        <v>Healthy</v>
      </c>
    </row>
    <row r="1633" spans="1:25" x14ac:dyDescent="0.35">
      <c r="A1633" t="s">
        <v>90</v>
      </c>
      <c r="B1633" t="s">
        <v>91</v>
      </c>
      <c r="C1633" t="s">
        <v>478</v>
      </c>
      <c r="D1633" t="s">
        <v>1340</v>
      </c>
      <c r="E1633">
        <v>80875095</v>
      </c>
      <c r="F1633" t="s">
        <v>1341</v>
      </c>
      <c r="G1633" s="3">
        <v>46792</v>
      </c>
      <c r="H1633">
        <v>24</v>
      </c>
      <c r="I1633">
        <v>83</v>
      </c>
      <c r="J1633">
        <v>12</v>
      </c>
      <c r="K1633" s="4">
        <v>8534.52</v>
      </c>
      <c r="L1633" s="4">
        <v>1547.2857142857142</v>
      </c>
      <c r="M1633" s="4">
        <v>7.7555165728002955E-3</v>
      </c>
      <c r="N1633" t="s">
        <v>25</v>
      </c>
      <c r="O1633" t="str">
        <f t="shared" si="250"/>
        <v>Low</v>
      </c>
      <c r="P1633" t="str">
        <f t="shared" si="251"/>
        <v>Low</v>
      </c>
      <c r="Q1633" t="str">
        <f t="shared" si="252"/>
        <v>Low</v>
      </c>
      <c r="R1633" t="s">
        <v>3317</v>
      </c>
      <c r="S1633" s="4">
        <f t="shared" ca="1" si="253"/>
        <v>595</v>
      </c>
      <c r="T1633">
        <f t="shared" si="254"/>
        <v>1</v>
      </c>
      <c r="U1633">
        <f t="shared" si="255"/>
        <v>1</v>
      </c>
      <c r="V1633">
        <f t="shared" si="256"/>
        <v>1</v>
      </c>
      <c r="W1633">
        <f t="shared" si="257"/>
        <v>1</v>
      </c>
      <c r="X1633">
        <f t="shared" si="258"/>
        <v>0.99999999999999989</v>
      </c>
      <c r="Y1633" t="str">
        <f t="shared" si="259"/>
        <v>Healthy</v>
      </c>
    </row>
    <row r="1634" spans="1:25" x14ac:dyDescent="0.35">
      <c r="A1634" t="s">
        <v>71</v>
      </c>
      <c r="B1634" t="s">
        <v>72</v>
      </c>
      <c r="C1634" t="s">
        <v>73</v>
      </c>
      <c r="D1634" t="s">
        <v>936</v>
      </c>
      <c r="E1634">
        <v>80867170</v>
      </c>
      <c r="F1634" t="s">
        <v>1342</v>
      </c>
      <c r="G1634" s="3">
        <v>47100</v>
      </c>
      <c r="H1634">
        <v>36</v>
      </c>
      <c r="I1634">
        <v>84</v>
      </c>
      <c r="J1634">
        <v>3</v>
      </c>
      <c r="K1634" s="4">
        <v>1679.94</v>
      </c>
      <c r="L1634" s="4">
        <v>76.857142857142861</v>
      </c>
      <c r="M1634" s="4">
        <v>3.9033457249070633E-2</v>
      </c>
      <c r="N1634" t="s">
        <v>25</v>
      </c>
      <c r="O1634" t="str">
        <f t="shared" si="250"/>
        <v>Low</v>
      </c>
      <c r="P1634" t="str">
        <f t="shared" si="251"/>
        <v>Low</v>
      </c>
      <c r="Q1634" t="str">
        <f t="shared" si="252"/>
        <v>Low</v>
      </c>
      <c r="R1634" t="s">
        <v>3317</v>
      </c>
      <c r="S1634" s="4">
        <f t="shared" ca="1" si="253"/>
        <v>903</v>
      </c>
      <c r="T1634">
        <f t="shared" si="254"/>
        <v>1</v>
      </c>
      <c r="U1634">
        <f t="shared" si="255"/>
        <v>1</v>
      </c>
      <c r="V1634">
        <f t="shared" si="256"/>
        <v>1</v>
      </c>
      <c r="W1634">
        <f t="shared" si="257"/>
        <v>1</v>
      </c>
      <c r="X1634">
        <f t="shared" si="258"/>
        <v>0.99999999999999989</v>
      </c>
      <c r="Y1634" t="str">
        <f t="shared" si="259"/>
        <v>Healthy</v>
      </c>
    </row>
    <row r="1635" spans="1:25" x14ac:dyDescent="0.35">
      <c r="A1635" t="s">
        <v>90</v>
      </c>
      <c r="B1635" t="s">
        <v>91</v>
      </c>
      <c r="C1635" t="s">
        <v>478</v>
      </c>
      <c r="D1635" t="s">
        <v>1340</v>
      </c>
      <c r="E1635">
        <v>80875095</v>
      </c>
      <c r="F1635" t="s">
        <v>1341</v>
      </c>
      <c r="G1635" s="3">
        <v>46785</v>
      </c>
      <c r="H1635">
        <v>24</v>
      </c>
      <c r="I1635">
        <v>82</v>
      </c>
      <c r="J1635">
        <v>1</v>
      </c>
      <c r="K1635" s="4">
        <v>711.21</v>
      </c>
      <c r="L1635" s="4">
        <v>1547.2857142857142</v>
      </c>
      <c r="M1635" s="4">
        <v>6.46293047733358E-4</v>
      </c>
      <c r="N1635" t="s">
        <v>25</v>
      </c>
      <c r="O1635" t="str">
        <f t="shared" si="250"/>
        <v>Low</v>
      </c>
      <c r="P1635" t="str">
        <f t="shared" si="251"/>
        <v>Low</v>
      </c>
      <c r="Q1635" t="str">
        <f t="shared" si="252"/>
        <v>Low</v>
      </c>
      <c r="R1635" t="s">
        <v>3317</v>
      </c>
      <c r="S1635" s="4">
        <f t="shared" ca="1" si="253"/>
        <v>588</v>
      </c>
      <c r="T1635">
        <f t="shared" si="254"/>
        <v>1</v>
      </c>
      <c r="U1635">
        <f t="shared" si="255"/>
        <v>1</v>
      </c>
      <c r="V1635">
        <f t="shared" si="256"/>
        <v>1</v>
      </c>
      <c r="W1635">
        <f t="shared" si="257"/>
        <v>1</v>
      </c>
      <c r="X1635">
        <f t="shared" si="258"/>
        <v>0.99999999999999989</v>
      </c>
      <c r="Y1635" t="str">
        <f t="shared" si="259"/>
        <v>Healthy</v>
      </c>
    </row>
    <row r="1636" spans="1:25" x14ac:dyDescent="0.35">
      <c r="A1636" t="s">
        <v>90</v>
      </c>
      <c r="B1636" t="s">
        <v>91</v>
      </c>
      <c r="C1636" t="s">
        <v>478</v>
      </c>
      <c r="D1636" t="s">
        <v>1340</v>
      </c>
      <c r="E1636">
        <v>80875095</v>
      </c>
      <c r="F1636" t="s">
        <v>1341</v>
      </c>
      <c r="G1636" s="3">
        <v>46844</v>
      </c>
      <c r="H1636">
        <v>24</v>
      </c>
      <c r="I1636">
        <v>91</v>
      </c>
      <c r="J1636">
        <v>246</v>
      </c>
      <c r="K1636" s="4">
        <v>174957.66</v>
      </c>
      <c r="L1636" s="4">
        <v>1547.2857142857142</v>
      </c>
      <c r="M1636" s="4">
        <v>0.15898808974240605</v>
      </c>
      <c r="N1636" t="s">
        <v>25</v>
      </c>
      <c r="O1636" t="str">
        <f t="shared" si="250"/>
        <v>Low</v>
      </c>
      <c r="P1636" t="str">
        <f t="shared" si="251"/>
        <v>Low</v>
      </c>
      <c r="Q1636" t="str">
        <f t="shared" si="252"/>
        <v>Low</v>
      </c>
      <c r="R1636" t="s">
        <v>3309</v>
      </c>
      <c r="S1636" s="4">
        <f t="shared" ca="1" si="253"/>
        <v>647</v>
      </c>
      <c r="T1636">
        <f t="shared" si="254"/>
        <v>1</v>
      </c>
      <c r="U1636">
        <f t="shared" si="255"/>
        <v>1</v>
      </c>
      <c r="V1636">
        <f t="shared" si="256"/>
        <v>1</v>
      </c>
      <c r="W1636">
        <f t="shared" si="257"/>
        <v>3</v>
      </c>
      <c r="X1636">
        <f t="shared" si="258"/>
        <v>1.2</v>
      </c>
      <c r="Y1636" t="str">
        <f t="shared" si="259"/>
        <v>Healthy</v>
      </c>
    </row>
    <row r="1637" spans="1:25" x14ac:dyDescent="0.35">
      <c r="A1637" t="s">
        <v>90</v>
      </c>
      <c r="B1637" t="s">
        <v>91</v>
      </c>
      <c r="C1637" t="s">
        <v>478</v>
      </c>
      <c r="D1637" t="s">
        <v>1340</v>
      </c>
      <c r="E1637">
        <v>80875095</v>
      </c>
      <c r="F1637" t="s">
        <v>1341</v>
      </c>
      <c r="G1637" s="3">
        <v>46744</v>
      </c>
      <c r="H1637">
        <v>24</v>
      </c>
      <c r="I1637">
        <v>77</v>
      </c>
      <c r="J1637">
        <v>4</v>
      </c>
      <c r="K1637" s="4">
        <v>2844.84</v>
      </c>
      <c r="L1637" s="4">
        <v>1547.2857142857142</v>
      </c>
      <c r="M1637" s="4">
        <v>2.585172190933432E-3</v>
      </c>
      <c r="N1637" t="s">
        <v>25</v>
      </c>
      <c r="O1637" t="str">
        <f t="shared" si="250"/>
        <v>Low</v>
      </c>
      <c r="P1637" t="str">
        <f t="shared" si="251"/>
        <v>Low</v>
      </c>
      <c r="Q1637" t="str">
        <f t="shared" si="252"/>
        <v>Low</v>
      </c>
      <c r="R1637" t="s">
        <v>3317</v>
      </c>
      <c r="S1637" s="4">
        <f t="shared" ca="1" si="253"/>
        <v>547</v>
      </c>
      <c r="T1637">
        <f t="shared" si="254"/>
        <v>1</v>
      </c>
      <c r="U1637">
        <f t="shared" si="255"/>
        <v>1</v>
      </c>
      <c r="V1637">
        <f t="shared" si="256"/>
        <v>1</v>
      </c>
      <c r="W1637">
        <f t="shared" si="257"/>
        <v>1</v>
      </c>
      <c r="X1637">
        <f t="shared" si="258"/>
        <v>0.99999999999999989</v>
      </c>
      <c r="Y1637" t="str">
        <f t="shared" si="259"/>
        <v>Healthy</v>
      </c>
    </row>
    <row r="1638" spans="1:25" x14ac:dyDescent="0.35">
      <c r="A1638" t="s">
        <v>71</v>
      </c>
      <c r="B1638" t="s">
        <v>72</v>
      </c>
      <c r="C1638" t="s">
        <v>150</v>
      </c>
      <c r="D1638" t="s">
        <v>976</v>
      </c>
      <c r="E1638">
        <v>80866563</v>
      </c>
      <c r="F1638" t="s">
        <v>1343</v>
      </c>
      <c r="G1638" s="3">
        <v>47034</v>
      </c>
      <c r="H1638">
        <v>36</v>
      </c>
      <c r="I1638">
        <v>78</v>
      </c>
      <c r="J1638">
        <v>53</v>
      </c>
      <c r="K1638" s="4">
        <v>2840.8</v>
      </c>
      <c r="L1638" s="4">
        <v>84.142857142857139</v>
      </c>
      <c r="M1638" s="4">
        <v>0.62988115449915116</v>
      </c>
      <c r="N1638" t="s">
        <v>25</v>
      </c>
      <c r="O1638" t="str">
        <f t="shared" si="250"/>
        <v>Low</v>
      </c>
      <c r="P1638" t="str">
        <f t="shared" si="251"/>
        <v>Low</v>
      </c>
      <c r="Q1638" t="str">
        <f t="shared" si="252"/>
        <v>Low</v>
      </c>
      <c r="R1638" t="s">
        <v>3317</v>
      </c>
      <c r="S1638" s="4">
        <f t="shared" ca="1" si="253"/>
        <v>837</v>
      </c>
      <c r="T1638">
        <f t="shared" si="254"/>
        <v>1</v>
      </c>
      <c r="U1638">
        <f t="shared" si="255"/>
        <v>1</v>
      </c>
      <c r="V1638">
        <f t="shared" si="256"/>
        <v>1</v>
      </c>
      <c r="W1638">
        <f t="shared" si="257"/>
        <v>1</v>
      </c>
      <c r="X1638">
        <f t="shared" si="258"/>
        <v>0.99999999999999989</v>
      </c>
      <c r="Y1638" t="str">
        <f t="shared" si="259"/>
        <v>Healthy</v>
      </c>
    </row>
    <row r="1639" spans="1:25" x14ac:dyDescent="0.35">
      <c r="A1639" t="s">
        <v>29</v>
      </c>
      <c r="B1639" t="s">
        <v>30</v>
      </c>
      <c r="C1639" t="s">
        <v>391</v>
      </c>
      <c r="D1639" t="s">
        <v>882</v>
      </c>
      <c r="E1639">
        <v>80823579</v>
      </c>
      <c r="F1639" t="s">
        <v>1344</v>
      </c>
      <c r="G1639" s="3">
        <v>47145</v>
      </c>
      <c r="H1639">
        <v>36</v>
      </c>
      <c r="I1639">
        <v>88</v>
      </c>
      <c r="J1639">
        <v>20</v>
      </c>
      <c r="K1639" s="4">
        <v>7496.2</v>
      </c>
      <c r="L1639" s="4">
        <v>114.28571428571429</v>
      </c>
      <c r="M1639" s="4">
        <v>0.17499999999999999</v>
      </c>
      <c r="N1639" t="s">
        <v>25</v>
      </c>
      <c r="O1639" t="str">
        <f t="shared" si="250"/>
        <v>Low</v>
      </c>
      <c r="P1639" t="str">
        <f t="shared" si="251"/>
        <v>Low</v>
      </c>
      <c r="Q1639" t="str">
        <f t="shared" si="252"/>
        <v>Low</v>
      </c>
      <c r="R1639" t="s">
        <v>3317</v>
      </c>
      <c r="S1639" s="4">
        <f t="shared" ca="1" si="253"/>
        <v>948</v>
      </c>
      <c r="T1639">
        <f t="shared" si="254"/>
        <v>1</v>
      </c>
      <c r="U1639">
        <f t="shared" si="255"/>
        <v>1</v>
      </c>
      <c r="V1639">
        <f t="shared" si="256"/>
        <v>1</v>
      </c>
      <c r="W1639">
        <f t="shared" si="257"/>
        <v>1</v>
      </c>
      <c r="X1639">
        <f t="shared" si="258"/>
        <v>0.99999999999999989</v>
      </c>
      <c r="Y1639" t="str">
        <f t="shared" si="259"/>
        <v>Healthy</v>
      </c>
    </row>
    <row r="1640" spans="1:25" x14ac:dyDescent="0.35">
      <c r="A1640" t="s">
        <v>29</v>
      </c>
      <c r="B1640" t="s">
        <v>30</v>
      </c>
      <c r="C1640" t="s">
        <v>391</v>
      </c>
      <c r="D1640" t="s">
        <v>882</v>
      </c>
      <c r="E1640">
        <v>80823579</v>
      </c>
      <c r="F1640" t="s">
        <v>1344</v>
      </c>
      <c r="G1640" s="3">
        <v>46914</v>
      </c>
      <c r="H1640">
        <v>36</v>
      </c>
      <c r="I1640">
        <v>67</v>
      </c>
      <c r="J1640">
        <v>3</v>
      </c>
      <c r="K1640" s="4">
        <v>1124.43</v>
      </c>
      <c r="L1640" s="4">
        <v>114.28571428571429</v>
      </c>
      <c r="M1640" s="4">
        <v>2.6249999999999999E-2</v>
      </c>
      <c r="N1640" t="s">
        <v>25</v>
      </c>
      <c r="O1640" t="str">
        <f t="shared" si="250"/>
        <v>Low</v>
      </c>
      <c r="P1640" t="str">
        <f t="shared" si="251"/>
        <v>Low</v>
      </c>
      <c r="Q1640" t="str">
        <f t="shared" si="252"/>
        <v>Low</v>
      </c>
      <c r="R1640" t="s">
        <v>3317</v>
      </c>
      <c r="S1640" s="4">
        <f t="shared" ca="1" si="253"/>
        <v>717</v>
      </c>
      <c r="T1640">
        <f t="shared" si="254"/>
        <v>1</v>
      </c>
      <c r="U1640">
        <f t="shared" si="255"/>
        <v>1</v>
      </c>
      <c r="V1640">
        <f t="shared" si="256"/>
        <v>1</v>
      </c>
      <c r="W1640">
        <f t="shared" si="257"/>
        <v>1</v>
      </c>
      <c r="X1640">
        <f t="shared" si="258"/>
        <v>0.99999999999999989</v>
      </c>
      <c r="Y1640" t="str">
        <f t="shared" si="259"/>
        <v>Healthy</v>
      </c>
    </row>
    <row r="1641" spans="1:25" x14ac:dyDescent="0.35">
      <c r="A1641" t="s">
        <v>71</v>
      </c>
      <c r="B1641" t="s">
        <v>72</v>
      </c>
      <c r="C1641" t="s">
        <v>73</v>
      </c>
      <c r="D1641" t="s">
        <v>876</v>
      </c>
      <c r="E1641">
        <v>80867204</v>
      </c>
      <c r="F1641" t="s">
        <v>1345</v>
      </c>
      <c r="G1641" s="3">
        <v>46957</v>
      </c>
      <c r="H1641">
        <v>36</v>
      </c>
      <c r="I1641">
        <v>71</v>
      </c>
      <c r="J1641">
        <v>3</v>
      </c>
      <c r="K1641" s="4">
        <v>3223.2</v>
      </c>
      <c r="L1641" s="4">
        <v>206.71428571428572</v>
      </c>
      <c r="M1641" s="4">
        <v>1.4512785072563926E-2</v>
      </c>
      <c r="N1641" t="s">
        <v>25</v>
      </c>
      <c r="O1641" t="str">
        <f t="shared" si="250"/>
        <v>Low</v>
      </c>
      <c r="P1641" t="str">
        <f t="shared" si="251"/>
        <v>Low</v>
      </c>
      <c r="Q1641" t="str">
        <f t="shared" si="252"/>
        <v>Low</v>
      </c>
      <c r="R1641" t="s">
        <v>3317</v>
      </c>
      <c r="S1641" s="4">
        <f t="shared" ca="1" si="253"/>
        <v>760</v>
      </c>
      <c r="T1641">
        <f t="shared" si="254"/>
        <v>1</v>
      </c>
      <c r="U1641">
        <f t="shared" si="255"/>
        <v>1</v>
      </c>
      <c r="V1641">
        <f t="shared" si="256"/>
        <v>1</v>
      </c>
      <c r="W1641">
        <f t="shared" si="257"/>
        <v>1</v>
      </c>
      <c r="X1641">
        <f t="shared" si="258"/>
        <v>0.99999999999999989</v>
      </c>
      <c r="Y1641" t="str">
        <f t="shared" si="259"/>
        <v>Healthy</v>
      </c>
    </row>
    <row r="1642" spans="1:25" x14ac:dyDescent="0.35">
      <c r="A1642" t="s">
        <v>29</v>
      </c>
      <c r="B1642" t="s">
        <v>30</v>
      </c>
      <c r="C1642" t="s">
        <v>391</v>
      </c>
      <c r="D1642" t="s">
        <v>882</v>
      </c>
      <c r="E1642">
        <v>80823579</v>
      </c>
      <c r="F1642" t="s">
        <v>1344</v>
      </c>
      <c r="G1642" s="3">
        <v>47131</v>
      </c>
      <c r="H1642">
        <v>36</v>
      </c>
      <c r="I1642">
        <v>87</v>
      </c>
      <c r="J1642">
        <v>4</v>
      </c>
      <c r="K1642" s="4">
        <v>1499.24</v>
      </c>
      <c r="L1642" s="4">
        <v>114.28571428571429</v>
      </c>
      <c r="M1642" s="4">
        <v>3.4999999999999996E-2</v>
      </c>
      <c r="N1642" t="s">
        <v>25</v>
      </c>
      <c r="O1642" t="str">
        <f t="shared" si="250"/>
        <v>Low</v>
      </c>
      <c r="P1642" t="str">
        <f t="shared" si="251"/>
        <v>Low</v>
      </c>
      <c r="Q1642" t="str">
        <f t="shared" si="252"/>
        <v>Low</v>
      </c>
      <c r="R1642" t="s">
        <v>3317</v>
      </c>
      <c r="S1642" s="4">
        <f t="shared" ca="1" si="253"/>
        <v>934</v>
      </c>
      <c r="T1642">
        <f t="shared" si="254"/>
        <v>1</v>
      </c>
      <c r="U1642">
        <f t="shared" si="255"/>
        <v>1</v>
      </c>
      <c r="V1642">
        <f t="shared" si="256"/>
        <v>1</v>
      </c>
      <c r="W1642">
        <f t="shared" si="257"/>
        <v>1</v>
      </c>
      <c r="X1642">
        <f t="shared" si="258"/>
        <v>0.99999999999999989</v>
      </c>
      <c r="Y1642" t="str">
        <f t="shared" si="259"/>
        <v>Healthy</v>
      </c>
    </row>
    <row r="1643" spans="1:25" x14ac:dyDescent="0.35">
      <c r="A1643" t="s">
        <v>71</v>
      </c>
      <c r="B1643" t="s">
        <v>72</v>
      </c>
      <c r="C1643" t="s">
        <v>73</v>
      </c>
      <c r="D1643" t="s">
        <v>876</v>
      </c>
      <c r="E1643">
        <v>80867204</v>
      </c>
      <c r="F1643" t="s">
        <v>1345</v>
      </c>
      <c r="G1643" s="3">
        <v>46998</v>
      </c>
      <c r="H1643">
        <v>36</v>
      </c>
      <c r="I1643">
        <v>75</v>
      </c>
      <c r="J1643">
        <v>3</v>
      </c>
      <c r="K1643" s="4">
        <v>3223.2</v>
      </c>
      <c r="L1643" s="4">
        <v>206.71428571428572</v>
      </c>
      <c r="M1643" s="4">
        <v>1.4512785072563926E-2</v>
      </c>
      <c r="N1643" t="s">
        <v>25</v>
      </c>
      <c r="O1643" t="str">
        <f t="shared" si="250"/>
        <v>Low</v>
      </c>
      <c r="P1643" t="str">
        <f t="shared" si="251"/>
        <v>Low</v>
      </c>
      <c r="Q1643" t="str">
        <f t="shared" si="252"/>
        <v>Low</v>
      </c>
      <c r="R1643" t="s">
        <v>3317</v>
      </c>
      <c r="S1643" s="4">
        <f t="shared" ca="1" si="253"/>
        <v>801</v>
      </c>
      <c r="T1643">
        <f t="shared" si="254"/>
        <v>1</v>
      </c>
      <c r="U1643">
        <f t="shared" si="255"/>
        <v>1</v>
      </c>
      <c r="V1643">
        <f t="shared" si="256"/>
        <v>1</v>
      </c>
      <c r="W1643">
        <f t="shared" si="257"/>
        <v>1</v>
      </c>
      <c r="X1643">
        <f t="shared" si="258"/>
        <v>0.99999999999999989</v>
      </c>
      <c r="Y1643" t="str">
        <f t="shared" si="259"/>
        <v>Healthy</v>
      </c>
    </row>
    <row r="1644" spans="1:25" x14ac:dyDescent="0.35">
      <c r="A1644" t="s">
        <v>29</v>
      </c>
      <c r="B1644" t="s">
        <v>30</v>
      </c>
      <c r="C1644" t="s">
        <v>391</v>
      </c>
      <c r="D1644" t="s">
        <v>882</v>
      </c>
      <c r="E1644">
        <v>80823579</v>
      </c>
      <c r="F1644" t="s">
        <v>1344</v>
      </c>
      <c r="G1644" s="3">
        <v>46948</v>
      </c>
      <c r="H1644">
        <v>36</v>
      </c>
      <c r="I1644">
        <v>70</v>
      </c>
      <c r="J1644">
        <v>4</v>
      </c>
      <c r="K1644" s="4">
        <v>1499.24</v>
      </c>
      <c r="L1644" s="4">
        <v>114.28571428571429</v>
      </c>
      <c r="M1644" s="4">
        <v>3.4999999999999996E-2</v>
      </c>
      <c r="N1644" t="s">
        <v>25</v>
      </c>
      <c r="O1644" t="str">
        <f t="shared" si="250"/>
        <v>Low</v>
      </c>
      <c r="P1644" t="str">
        <f t="shared" si="251"/>
        <v>Low</v>
      </c>
      <c r="Q1644" t="str">
        <f t="shared" si="252"/>
        <v>Low</v>
      </c>
      <c r="R1644" t="s">
        <v>3317</v>
      </c>
      <c r="S1644" s="4">
        <f t="shared" ca="1" si="253"/>
        <v>751</v>
      </c>
      <c r="T1644">
        <f t="shared" si="254"/>
        <v>1</v>
      </c>
      <c r="U1644">
        <f t="shared" si="255"/>
        <v>1</v>
      </c>
      <c r="V1644">
        <f t="shared" si="256"/>
        <v>1</v>
      </c>
      <c r="W1644">
        <f t="shared" si="257"/>
        <v>1</v>
      </c>
      <c r="X1644">
        <f t="shared" si="258"/>
        <v>0.99999999999999989</v>
      </c>
      <c r="Y1644" t="str">
        <f t="shared" si="259"/>
        <v>Healthy</v>
      </c>
    </row>
    <row r="1645" spans="1:25" x14ac:dyDescent="0.35">
      <c r="A1645" t="s">
        <v>71</v>
      </c>
      <c r="B1645" t="s">
        <v>72</v>
      </c>
      <c r="C1645" t="s">
        <v>73</v>
      </c>
      <c r="D1645" t="s">
        <v>876</v>
      </c>
      <c r="E1645">
        <v>80867204</v>
      </c>
      <c r="F1645" t="s">
        <v>1345</v>
      </c>
      <c r="G1645" s="3">
        <v>46997</v>
      </c>
      <c r="H1645">
        <v>36</v>
      </c>
      <c r="I1645">
        <v>75</v>
      </c>
      <c r="J1645">
        <v>12</v>
      </c>
      <c r="K1645" s="4">
        <v>12892.8</v>
      </c>
      <c r="L1645" s="4">
        <v>206.71428571428572</v>
      </c>
      <c r="M1645" s="4">
        <v>5.8051140290255702E-2</v>
      </c>
      <c r="N1645" t="s">
        <v>25</v>
      </c>
      <c r="O1645" t="str">
        <f t="shared" si="250"/>
        <v>Low</v>
      </c>
      <c r="P1645" t="str">
        <f t="shared" si="251"/>
        <v>Low</v>
      </c>
      <c r="Q1645" t="str">
        <f t="shared" si="252"/>
        <v>Low</v>
      </c>
      <c r="R1645" t="s">
        <v>3317</v>
      </c>
      <c r="S1645" s="4">
        <f t="shared" ca="1" si="253"/>
        <v>800</v>
      </c>
      <c r="T1645">
        <f t="shared" si="254"/>
        <v>1</v>
      </c>
      <c r="U1645">
        <f t="shared" si="255"/>
        <v>1</v>
      </c>
      <c r="V1645">
        <f t="shared" si="256"/>
        <v>1</v>
      </c>
      <c r="W1645">
        <f t="shared" si="257"/>
        <v>1</v>
      </c>
      <c r="X1645">
        <f t="shared" si="258"/>
        <v>0.99999999999999989</v>
      </c>
      <c r="Y1645" t="str">
        <f t="shared" si="259"/>
        <v>Healthy</v>
      </c>
    </row>
    <row r="1646" spans="1:25" x14ac:dyDescent="0.35">
      <c r="A1646" t="s">
        <v>29</v>
      </c>
      <c r="B1646" t="s">
        <v>30</v>
      </c>
      <c r="C1646" t="s">
        <v>391</v>
      </c>
      <c r="D1646" t="s">
        <v>882</v>
      </c>
      <c r="E1646">
        <v>80823579</v>
      </c>
      <c r="F1646" t="s">
        <v>1344</v>
      </c>
      <c r="G1646" s="3">
        <v>47203</v>
      </c>
      <c r="H1646">
        <v>36</v>
      </c>
      <c r="I1646">
        <v>94</v>
      </c>
      <c r="J1646">
        <v>72</v>
      </c>
      <c r="K1646" s="4">
        <v>26986.32</v>
      </c>
      <c r="L1646" s="4">
        <v>114.28571428571429</v>
      </c>
      <c r="M1646" s="4">
        <v>0.63</v>
      </c>
      <c r="N1646" t="s">
        <v>25</v>
      </c>
      <c r="O1646" t="str">
        <f t="shared" si="250"/>
        <v>Low</v>
      </c>
      <c r="P1646" t="str">
        <f t="shared" si="251"/>
        <v>Low</v>
      </c>
      <c r="Q1646" t="str">
        <f t="shared" si="252"/>
        <v>Low</v>
      </c>
      <c r="R1646" t="s">
        <v>3317</v>
      </c>
      <c r="S1646" s="4">
        <f t="shared" ca="1" si="253"/>
        <v>1006</v>
      </c>
      <c r="T1646">
        <f t="shared" si="254"/>
        <v>1</v>
      </c>
      <c r="U1646">
        <f t="shared" si="255"/>
        <v>1</v>
      </c>
      <c r="V1646">
        <f t="shared" si="256"/>
        <v>1</v>
      </c>
      <c r="W1646">
        <f t="shared" si="257"/>
        <v>1</v>
      </c>
      <c r="X1646">
        <f t="shared" si="258"/>
        <v>0.99999999999999989</v>
      </c>
      <c r="Y1646" t="str">
        <f t="shared" si="259"/>
        <v>Healthy</v>
      </c>
    </row>
    <row r="1647" spans="1:25" x14ac:dyDescent="0.35">
      <c r="A1647" t="s">
        <v>71</v>
      </c>
      <c r="B1647" t="s">
        <v>72</v>
      </c>
      <c r="C1647" t="s">
        <v>73</v>
      </c>
      <c r="D1647" t="s">
        <v>876</v>
      </c>
      <c r="E1647">
        <v>80867204</v>
      </c>
      <c r="F1647" t="s">
        <v>1345</v>
      </c>
      <c r="G1647" s="3">
        <v>46968</v>
      </c>
      <c r="H1647">
        <v>36</v>
      </c>
      <c r="I1647">
        <v>72</v>
      </c>
      <c r="J1647">
        <v>2</v>
      </c>
      <c r="K1647" s="4">
        <v>2148.8000000000002</v>
      </c>
      <c r="L1647" s="4">
        <v>206.71428571428572</v>
      </c>
      <c r="M1647" s="4">
        <v>9.6751900483759493E-3</v>
      </c>
      <c r="N1647" t="s">
        <v>25</v>
      </c>
      <c r="O1647" t="str">
        <f t="shared" si="250"/>
        <v>Low</v>
      </c>
      <c r="P1647" t="str">
        <f t="shared" si="251"/>
        <v>Low</v>
      </c>
      <c r="Q1647" t="str">
        <f t="shared" si="252"/>
        <v>Low</v>
      </c>
      <c r="R1647" t="s">
        <v>3317</v>
      </c>
      <c r="S1647" s="4">
        <f t="shared" ca="1" si="253"/>
        <v>771</v>
      </c>
      <c r="T1647">
        <f t="shared" si="254"/>
        <v>1</v>
      </c>
      <c r="U1647">
        <f t="shared" si="255"/>
        <v>1</v>
      </c>
      <c r="V1647">
        <f t="shared" si="256"/>
        <v>1</v>
      </c>
      <c r="W1647">
        <f t="shared" si="257"/>
        <v>1</v>
      </c>
      <c r="X1647">
        <f t="shared" si="258"/>
        <v>0.99999999999999989</v>
      </c>
      <c r="Y1647" t="str">
        <f t="shared" si="259"/>
        <v>Healthy</v>
      </c>
    </row>
    <row r="1648" spans="1:25" x14ac:dyDescent="0.35">
      <c r="A1648" t="s">
        <v>29</v>
      </c>
      <c r="B1648" t="s">
        <v>30</v>
      </c>
      <c r="C1648" t="s">
        <v>391</v>
      </c>
      <c r="D1648" t="s">
        <v>882</v>
      </c>
      <c r="E1648">
        <v>80823579</v>
      </c>
      <c r="F1648" t="s">
        <v>1344</v>
      </c>
      <c r="G1648" s="3">
        <v>47203</v>
      </c>
      <c r="H1648">
        <v>36</v>
      </c>
      <c r="I1648">
        <v>94</v>
      </c>
      <c r="J1648">
        <v>136</v>
      </c>
      <c r="K1648" s="4">
        <v>50974.16</v>
      </c>
      <c r="L1648" s="4">
        <v>114.28571428571429</v>
      </c>
      <c r="M1648" s="4">
        <v>1.19</v>
      </c>
      <c r="N1648" t="s">
        <v>25</v>
      </c>
      <c r="O1648" t="str">
        <f t="shared" si="250"/>
        <v>Low</v>
      </c>
      <c r="P1648" t="str">
        <f t="shared" si="251"/>
        <v>Low</v>
      </c>
      <c r="Q1648" t="str">
        <f t="shared" si="252"/>
        <v>Low</v>
      </c>
      <c r="R1648" t="s">
        <v>3317</v>
      </c>
      <c r="S1648" s="4">
        <f t="shared" ca="1" si="253"/>
        <v>1006</v>
      </c>
      <c r="T1648">
        <f t="shared" si="254"/>
        <v>1</v>
      </c>
      <c r="U1648">
        <f t="shared" si="255"/>
        <v>1</v>
      </c>
      <c r="V1648">
        <f t="shared" si="256"/>
        <v>1</v>
      </c>
      <c r="W1648">
        <f t="shared" si="257"/>
        <v>1</v>
      </c>
      <c r="X1648">
        <f t="shared" si="258"/>
        <v>0.99999999999999989</v>
      </c>
      <c r="Y1648" t="str">
        <f t="shared" si="259"/>
        <v>Healthy</v>
      </c>
    </row>
    <row r="1649" spans="1:25" x14ac:dyDescent="0.35">
      <c r="A1649" t="s">
        <v>71</v>
      </c>
      <c r="B1649" t="s">
        <v>72</v>
      </c>
      <c r="C1649" t="s">
        <v>73</v>
      </c>
      <c r="D1649" t="s">
        <v>876</v>
      </c>
      <c r="E1649">
        <v>80867204</v>
      </c>
      <c r="F1649" t="s">
        <v>1345</v>
      </c>
      <c r="G1649" s="3">
        <v>46950</v>
      </c>
      <c r="H1649">
        <v>36</v>
      </c>
      <c r="I1649">
        <v>70</v>
      </c>
      <c r="J1649">
        <v>6</v>
      </c>
      <c r="K1649" s="4">
        <v>6446.4</v>
      </c>
      <c r="L1649" s="4">
        <v>206.71428571428572</v>
      </c>
      <c r="M1649" s="4">
        <v>2.9025570145127851E-2</v>
      </c>
      <c r="N1649" t="s">
        <v>25</v>
      </c>
      <c r="O1649" t="str">
        <f t="shared" si="250"/>
        <v>Low</v>
      </c>
      <c r="P1649" t="str">
        <f t="shared" si="251"/>
        <v>Low</v>
      </c>
      <c r="Q1649" t="str">
        <f t="shared" si="252"/>
        <v>Low</v>
      </c>
      <c r="R1649" t="s">
        <v>3317</v>
      </c>
      <c r="S1649" s="4">
        <f t="shared" ca="1" si="253"/>
        <v>753</v>
      </c>
      <c r="T1649">
        <f t="shared" si="254"/>
        <v>1</v>
      </c>
      <c r="U1649">
        <f t="shared" si="255"/>
        <v>1</v>
      </c>
      <c r="V1649">
        <f t="shared" si="256"/>
        <v>1</v>
      </c>
      <c r="W1649">
        <f t="shared" si="257"/>
        <v>1</v>
      </c>
      <c r="X1649">
        <f t="shared" si="258"/>
        <v>0.99999999999999989</v>
      </c>
      <c r="Y1649" t="str">
        <f t="shared" si="259"/>
        <v>Healthy</v>
      </c>
    </row>
    <row r="1650" spans="1:25" x14ac:dyDescent="0.35">
      <c r="A1650" t="s">
        <v>20</v>
      </c>
      <c r="B1650" t="s">
        <v>21</v>
      </c>
      <c r="C1650" t="s">
        <v>51</v>
      </c>
      <c r="D1650" t="s">
        <v>815</v>
      </c>
      <c r="E1650">
        <v>80895778</v>
      </c>
      <c r="F1650" t="s">
        <v>1346</v>
      </c>
      <c r="G1650" s="3">
        <v>47262</v>
      </c>
      <c r="H1650">
        <v>36</v>
      </c>
      <c r="I1650">
        <v>99</v>
      </c>
      <c r="J1650">
        <v>36</v>
      </c>
      <c r="K1650" s="4">
        <v>4032</v>
      </c>
      <c r="L1650" s="4">
        <v>1080.8571428571429</v>
      </c>
      <c r="M1650" s="4">
        <v>3.3306899286280729E-2</v>
      </c>
      <c r="N1650" t="s">
        <v>25</v>
      </c>
      <c r="O1650" t="str">
        <f t="shared" si="250"/>
        <v>Low</v>
      </c>
      <c r="P1650" t="str">
        <f t="shared" si="251"/>
        <v>Low</v>
      </c>
      <c r="Q1650" t="str">
        <f t="shared" si="252"/>
        <v>Low</v>
      </c>
      <c r="R1650" t="s">
        <v>3317</v>
      </c>
      <c r="S1650" s="4">
        <f t="shared" ca="1" si="253"/>
        <v>1065</v>
      </c>
      <c r="T1650">
        <f t="shared" si="254"/>
        <v>1</v>
      </c>
      <c r="U1650">
        <f t="shared" si="255"/>
        <v>1</v>
      </c>
      <c r="V1650">
        <f t="shared" si="256"/>
        <v>1</v>
      </c>
      <c r="W1650">
        <f t="shared" si="257"/>
        <v>1</v>
      </c>
      <c r="X1650">
        <f t="shared" si="258"/>
        <v>0.99999999999999989</v>
      </c>
      <c r="Y1650" t="str">
        <f t="shared" si="259"/>
        <v>Healthy</v>
      </c>
    </row>
    <row r="1651" spans="1:25" x14ac:dyDescent="0.35">
      <c r="A1651" t="s">
        <v>20</v>
      </c>
      <c r="B1651" t="s">
        <v>21</v>
      </c>
      <c r="C1651" t="s">
        <v>51</v>
      </c>
      <c r="D1651" t="s">
        <v>815</v>
      </c>
      <c r="E1651">
        <v>80895778</v>
      </c>
      <c r="F1651" t="s">
        <v>1346</v>
      </c>
      <c r="G1651" s="3">
        <v>47184</v>
      </c>
      <c r="H1651">
        <v>36</v>
      </c>
      <c r="I1651">
        <v>92</v>
      </c>
      <c r="J1651">
        <v>30</v>
      </c>
      <c r="K1651" s="4">
        <v>3360</v>
      </c>
      <c r="L1651" s="4">
        <v>1080.8571428571429</v>
      </c>
      <c r="M1651" s="4">
        <v>2.775574940523394E-2</v>
      </c>
      <c r="N1651" t="s">
        <v>25</v>
      </c>
      <c r="O1651" t="str">
        <f t="shared" si="250"/>
        <v>Low</v>
      </c>
      <c r="P1651" t="str">
        <f t="shared" si="251"/>
        <v>Low</v>
      </c>
      <c r="Q1651" t="str">
        <f t="shared" si="252"/>
        <v>Low</v>
      </c>
      <c r="R1651" t="s">
        <v>3317</v>
      </c>
      <c r="S1651" s="4">
        <f t="shared" ca="1" si="253"/>
        <v>987</v>
      </c>
      <c r="T1651">
        <f t="shared" si="254"/>
        <v>1</v>
      </c>
      <c r="U1651">
        <f t="shared" si="255"/>
        <v>1</v>
      </c>
      <c r="V1651">
        <f t="shared" si="256"/>
        <v>1</v>
      </c>
      <c r="W1651">
        <f t="shared" si="257"/>
        <v>1</v>
      </c>
      <c r="X1651">
        <f t="shared" si="258"/>
        <v>0.99999999999999989</v>
      </c>
      <c r="Y1651" t="str">
        <f t="shared" si="259"/>
        <v>Healthy</v>
      </c>
    </row>
    <row r="1652" spans="1:25" x14ac:dyDescent="0.35">
      <c r="A1652" t="s">
        <v>71</v>
      </c>
      <c r="B1652" t="s">
        <v>72</v>
      </c>
      <c r="C1652" t="s">
        <v>73</v>
      </c>
      <c r="D1652" t="s">
        <v>876</v>
      </c>
      <c r="E1652">
        <v>80867204</v>
      </c>
      <c r="F1652" t="s">
        <v>1345</v>
      </c>
      <c r="G1652" s="3">
        <v>46974</v>
      </c>
      <c r="H1652">
        <v>36</v>
      </c>
      <c r="I1652">
        <v>72</v>
      </c>
      <c r="J1652">
        <v>2</v>
      </c>
      <c r="K1652" s="4">
        <v>2148.8000000000002</v>
      </c>
      <c r="L1652" s="4">
        <v>206.71428571428572</v>
      </c>
      <c r="M1652" s="4">
        <v>9.6751900483759493E-3</v>
      </c>
      <c r="N1652" t="s">
        <v>25</v>
      </c>
      <c r="O1652" t="str">
        <f t="shared" si="250"/>
        <v>Low</v>
      </c>
      <c r="P1652" t="str">
        <f t="shared" si="251"/>
        <v>Low</v>
      </c>
      <c r="Q1652" t="str">
        <f t="shared" si="252"/>
        <v>Low</v>
      </c>
      <c r="R1652" t="s">
        <v>3317</v>
      </c>
      <c r="S1652" s="4">
        <f t="shared" ca="1" si="253"/>
        <v>777</v>
      </c>
      <c r="T1652">
        <f t="shared" si="254"/>
        <v>1</v>
      </c>
      <c r="U1652">
        <f t="shared" si="255"/>
        <v>1</v>
      </c>
      <c r="V1652">
        <f t="shared" si="256"/>
        <v>1</v>
      </c>
      <c r="W1652">
        <f t="shared" si="257"/>
        <v>1</v>
      </c>
      <c r="X1652">
        <f t="shared" si="258"/>
        <v>0.99999999999999989</v>
      </c>
      <c r="Y1652" t="str">
        <f t="shared" si="259"/>
        <v>Healthy</v>
      </c>
    </row>
    <row r="1653" spans="1:25" x14ac:dyDescent="0.35">
      <c r="A1653" t="s">
        <v>20</v>
      </c>
      <c r="B1653" t="s">
        <v>21</v>
      </c>
      <c r="C1653" t="s">
        <v>51</v>
      </c>
      <c r="D1653" t="s">
        <v>815</v>
      </c>
      <c r="E1653">
        <v>80895778</v>
      </c>
      <c r="F1653" t="s">
        <v>1346</v>
      </c>
      <c r="G1653" s="3">
        <v>47213</v>
      </c>
      <c r="H1653">
        <v>36</v>
      </c>
      <c r="I1653">
        <v>95</v>
      </c>
      <c r="J1653">
        <v>36</v>
      </c>
      <c r="K1653" s="4">
        <v>4032</v>
      </c>
      <c r="L1653" s="4">
        <v>1080.8571428571429</v>
      </c>
      <c r="M1653" s="4">
        <v>3.3306899286280729E-2</v>
      </c>
      <c r="N1653" t="s">
        <v>25</v>
      </c>
      <c r="O1653" t="str">
        <f t="shared" si="250"/>
        <v>Low</v>
      </c>
      <c r="P1653" t="str">
        <f t="shared" si="251"/>
        <v>Low</v>
      </c>
      <c r="Q1653" t="str">
        <f t="shared" si="252"/>
        <v>Low</v>
      </c>
      <c r="R1653" t="s">
        <v>3317</v>
      </c>
      <c r="S1653" s="4">
        <f t="shared" ca="1" si="253"/>
        <v>1016</v>
      </c>
      <c r="T1653">
        <f t="shared" si="254"/>
        <v>1</v>
      </c>
      <c r="U1653">
        <f t="shared" si="255"/>
        <v>1</v>
      </c>
      <c r="V1653">
        <f t="shared" si="256"/>
        <v>1</v>
      </c>
      <c r="W1653">
        <f t="shared" si="257"/>
        <v>1</v>
      </c>
      <c r="X1653">
        <f t="shared" si="258"/>
        <v>0.99999999999999989</v>
      </c>
      <c r="Y1653" t="str">
        <f t="shared" si="259"/>
        <v>Healthy</v>
      </c>
    </row>
    <row r="1654" spans="1:25" x14ac:dyDescent="0.35">
      <c r="A1654" t="s">
        <v>90</v>
      </c>
      <c r="B1654" t="s">
        <v>91</v>
      </c>
      <c r="C1654" t="s">
        <v>255</v>
      </c>
      <c r="D1654" t="s">
        <v>1347</v>
      </c>
      <c r="E1654">
        <v>80870354</v>
      </c>
      <c r="F1654" t="s">
        <v>1348</v>
      </c>
      <c r="G1654" s="3">
        <v>46836</v>
      </c>
      <c r="H1654">
        <v>24</v>
      </c>
      <c r="I1654">
        <v>89</v>
      </c>
      <c r="J1654">
        <v>264</v>
      </c>
      <c r="K1654" s="4">
        <v>111455.52</v>
      </c>
      <c r="L1654" s="4">
        <v>7341.1428571428569</v>
      </c>
      <c r="M1654" s="4">
        <v>3.5961703121351288E-2</v>
      </c>
      <c r="N1654" t="s">
        <v>25</v>
      </c>
      <c r="O1654" t="str">
        <f t="shared" si="250"/>
        <v>Low</v>
      </c>
      <c r="P1654" t="str">
        <f t="shared" si="251"/>
        <v>Low</v>
      </c>
      <c r="Q1654" t="str">
        <f t="shared" si="252"/>
        <v>Low</v>
      </c>
      <c r="R1654" t="s">
        <v>3310</v>
      </c>
      <c r="S1654" s="4">
        <f t="shared" ca="1" si="253"/>
        <v>639</v>
      </c>
      <c r="T1654">
        <f t="shared" si="254"/>
        <v>1</v>
      </c>
      <c r="U1654">
        <f t="shared" si="255"/>
        <v>1</v>
      </c>
      <c r="V1654">
        <f t="shared" si="256"/>
        <v>1</v>
      </c>
      <c r="W1654">
        <f t="shared" si="257"/>
        <v>2</v>
      </c>
      <c r="X1654">
        <f t="shared" si="258"/>
        <v>1.0999999999999999</v>
      </c>
      <c r="Y1654" t="str">
        <f t="shared" si="259"/>
        <v>Healthy</v>
      </c>
    </row>
    <row r="1655" spans="1:25" x14ac:dyDescent="0.35">
      <c r="A1655" t="s">
        <v>20</v>
      </c>
      <c r="B1655" t="s">
        <v>21</v>
      </c>
      <c r="C1655" t="s">
        <v>51</v>
      </c>
      <c r="D1655" t="s">
        <v>815</v>
      </c>
      <c r="E1655">
        <v>80895778</v>
      </c>
      <c r="F1655" t="s">
        <v>1346</v>
      </c>
      <c r="G1655" s="3">
        <v>47243</v>
      </c>
      <c r="H1655">
        <v>36</v>
      </c>
      <c r="I1655">
        <v>97</v>
      </c>
      <c r="J1655">
        <v>72</v>
      </c>
      <c r="K1655" s="4">
        <v>8064</v>
      </c>
      <c r="L1655" s="4">
        <v>1080.8571428571429</v>
      </c>
      <c r="M1655" s="4">
        <v>6.6613798572561458E-2</v>
      </c>
      <c r="N1655" t="s">
        <v>25</v>
      </c>
      <c r="O1655" t="str">
        <f t="shared" si="250"/>
        <v>Low</v>
      </c>
      <c r="P1655" t="str">
        <f t="shared" si="251"/>
        <v>Low</v>
      </c>
      <c r="Q1655" t="str">
        <f t="shared" si="252"/>
        <v>Low</v>
      </c>
      <c r="R1655" t="s">
        <v>3317</v>
      </c>
      <c r="S1655" s="4">
        <f t="shared" ca="1" si="253"/>
        <v>1046</v>
      </c>
      <c r="T1655">
        <f t="shared" si="254"/>
        <v>1</v>
      </c>
      <c r="U1655">
        <f t="shared" si="255"/>
        <v>1</v>
      </c>
      <c r="V1655">
        <f t="shared" si="256"/>
        <v>1</v>
      </c>
      <c r="W1655">
        <f t="shared" si="257"/>
        <v>1</v>
      </c>
      <c r="X1655">
        <f t="shared" si="258"/>
        <v>0.99999999999999989</v>
      </c>
      <c r="Y1655" t="str">
        <f t="shared" si="259"/>
        <v>Healthy</v>
      </c>
    </row>
    <row r="1656" spans="1:25" x14ac:dyDescent="0.35">
      <c r="A1656" t="s">
        <v>90</v>
      </c>
      <c r="B1656" t="s">
        <v>91</v>
      </c>
      <c r="C1656" t="s">
        <v>255</v>
      </c>
      <c r="D1656" t="s">
        <v>1347</v>
      </c>
      <c r="E1656">
        <v>80870354</v>
      </c>
      <c r="F1656" t="s">
        <v>1348</v>
      </c>
      <c r="G1656" s="3">
        <v>46849</v>
      </c>
      <c r="H1656">
        <v>24</v>
      </c>
      <c r="I1656">
        <v>91</v>
      </c>
      <c r="J1656">
        <v>156</v>
      </c>
      <c r="K1656" s="4">
        <v>65860.08</v>
      </c>
      <c r="L1656" s="4">
        <v>7341.1428571428569</v>
      </c>
      <c r="M1656" s="4">
        <v>2.1250097298980308E-2</v>
      </c>
      <c r="N1656" t="s">
        <v>25</v>
      </c>
      <c r="O1656" t="str">
        <f t="shared" si="250"/>
        <v>Low</v>
      </c>
      <c r="P1656" t="str">
        <f t="shared" si="251"/>
        <v>Low</v>
      </c>
      <c r="Q1656" t="str">
        <f t="shared" si="252"/>
        <v>Low</v>
      </c>
      <c r="R1656" t="s">
        <v>3310</v>
      </c>
      <c r="S1656" s="4">
        <f t="shared" ca="1" si="253"/>
        <v>652</v>
      </c>
      <c r="T1656">
        <f t="shared" si="254"/>
        <v>1</v>
      </c>
      <c r="U1656">
        <f t="shared" si="255"/>
        <v>1</v>
      </c>
      <c r="V1656">
        <f t="shared" si="256"/>
        <v>1</v>
      </c>
      <c r="W1656">
        <f t="shared" si="257"/>
        <v>2</v>
      </c>
      <c r="X1656">
        <f t="shared" si="258"/>
        <v>1.0999999999999999</v>
      </c>
      <c r="Y1656" t="str">
        <f t="shared" si="259"/>
        <v>Healthy</v>
      </c>
    </row>
    <row r="1657" spans="1:25" x14ac:dyDescent="0.35">
      <c r="A1657" t="s">
        <v>41</v>
      </c>
      <c r="B1657" t="s">
        <v>54</v>
      </c>
      <c r="C1657" t="s">
        <v>55</v>
      </c>
      <c r="D1657" t="s">
        <v>1349</v>
      </c>
      <c r="E1657">
        <v>80896352</v>
      </c>
      <c r="F1657" t="s">
        <v>1350</v>
      </c>
      <c r="G1657" s="3">
        <v>47059</v>
      </c>
      <c r="H1657">
        <v>36</v>
      </c>
      <c r="I1657">
        <v>80</v>
      </c>
      <c r="J1657">
        <v>156</v>
      </c>
      <c r="K1657" s="4">
        <v>68192.28</v>
      </c>
      <c r="L1657" s="4">
        <v>1413.4285714285713</v>
      </c>
      <c r="M1657" s="4">
        <v>0.11036992116434204</v>
      </c>
      <c r="N1657" t="s">
        <v>25</v>
      </c>
      <c r="O1657" t="str">
        <f t="shared" si="250"/>
        <v>Low</v>
      </c>
      <c r="P1657" t="str">
        <f t="shared" si="251"/>
        <v>Low</v>
      </c>
      <c r="Q1657" t="str">
        <f t="shared" si="252"/>
        <v>Low</v>
      </c>
      <c r="R1657" t="s">
        <v>3310</v>
      </c>
      <c r="S1657" s="4">
        <f t="shared" ca="1" si="253"/>
        <v>862</v>
      </c>
      <c r="T1657">
        <f t="shared" si="254"/>
        <v>1</v>
      </c>
      <c r="U1657">
        <f t="shared" si="255"/>
        <v>1</v>
      </c>
      <c r="V1657">
        <f t="shared" si="256"/>
        <v>1</v>
      </c>
      <c r="W1657">
        <f t="shared" si="257"/>
        <v>2</v>
      </c>
      <c r="X1657">
        <f t="shared" si="258"/>
        <v>1.0999999999999999</v>
      </c>
      <c r="Y1657" t="str">
        <f t="shared" si="259"/>
        <v>Healthy</v>
      </c>
    </row>
    <row r="1658" spans="1:25" x14ac:dyDescent="0.35">
      <c r="A1658" t="s">
        <v>90</v>
      </c>
      <c r="B1658" t="s">
        <v>91</v>
      </c>
      <c r="C1658" t="s">
        <v>255</v>
      </c>
      <c r="D1658" t="s">
        <v>1347</v>
      </c>
      <c r="E1658">
        <v>80870354</v>
      </c>
      <c r="F1658" t="s">
        <v>1348</v>
      </c>
      <c r="G1658" s="3">
        <v>46852</v>
      </c>
      <c r="H1658">
        <v>24</v>
      </c>
      <c r="I1658">
        <v>92</v>
      </c>
      <c r="J1658">
        <v>600</v>
      </c>
      <c r="K1658" s="4">
        <v>253308</v>
      </c>
      <c r="L1658" s="4">
        <v>7341.1428571428569</v>
      </c>
      <c r="M1658" s="4">
        <v>8.1731143457616562E-2</v>
      </c>
      <c r="N1658" t="s">
        <v>25</v>
      </c>
      <c r="O1658" t="str">
        <f t="shared" si="250"/>
        <v>Low</v>
      </c>
      <c r="P1658" t="str">
        <f t="shared" si="251"/>
        <v>Low</v>
      </c>
      <c r="Q1658" t="str">
        <f t="shared" si="252"/>
        <v>Low</v>
      </c>
      <c r="R1658" t="s">
        <v>3309</v>
      </c>
      <c r="S1658" s="4">
        <f t="shared" ca="1" si="253"/>
        <v>655</v>
      </c>
      <c r="T1658">
        <f t="shared" si="254"/>
        <v>1</v>
      </c>
      <c r="U1658">
        <f t="shared" si="255"/>
        <v>1</v>
      </c>
      <c r="V1658">
        <f t="shared" si="256"/>
        <v>1</v>
      </c>
      <c r="W1658">
        <f t="shared" si="257"/>
        <v>3</v>
      </c>
      <c r="X1658">
        <f t="shared" si="258"/>
        <v>1.2</v>
      </c>
      <c r="Y1658" t="str">
        <f t="shared" si="259"/>
        <v>Healthy</v>
      </c>
    </row>
    <row r="1659" spans="1:25" x14ac:dyDescent="0.35">
      <c r="A1659" t="s">
        <v>41</v>
      </c>
      <c r="B1659" t="s">
        <v>54</v>
      </c>
      <c r="C1659" t="s">
        <v>55</v>
      </c>
      <c r="D1659" t="s">
        <v>1349</v>
      </c>
      <c r="E1659">
        <v>80896352</v>
      </c>
      <c r="F1659" t="s">
        <v>1350</v>
      </c>
      <c r="G1659" s="3">
        <v>47068</v>
      </c>
      <c r="H1659">
        <v>36</v>
      </c>
      <c r="I1659">
        <v>81</v>
      </c>
      <c r="J1659">
        <v>1758</v>
      </c>
      <c r="K1659" s="4">
        <v>768474.54</v>
      </c>
      <c r="L1659" s="4">
        <v>1413.4285714285713</v>
      </c>
      <c r="M1659" s="4">
        <v>1.2437841115827775</v>
      </c>
      <c r="N1659" t="s">
        <v>25</v>
      </c>
      <c r="O1659" t="str">
        <f t="shared" si="250"/>
        <v>Low</v>
      </c>
      <c r="P1659" t="str">
        <f t="shared" si="251"/>
        <v>Low</v>
      </c>
      <c r="Q1659" t="str">
        <f t="shared" si="252"/>
        <v>Low</v>
      </c>
      <c r="R1659" t="s">
        <v>3309</v>
      </c>
      <c r="S1659" s="4">
        <f t="shared" ca="1" si="253"/>
        <v>871</v>
      </c>
      <c r="T1659">
        <f t="shared" si="254"/>
        <v>1</v>
      </c>
      <c r="U1659">
        <f t="shared" si="255"/>
        <v>1</v>
      </c>
      <c r="V1659">
        <f t="shared" si="256"/>
        <v>1</v>
      </c>
      <c r="W1659">
        <f t="shared" si="257"/>
        <v>3</v>
      </c>
      <c r="X1659">
        <f t="shared" si="258"/>
        <v>1.2</v>
      </c>
      <c r="Y1659" t="str">
        <f t="shared" si="259"/>
        <v>Healthy</v>
      </c>
    </row>
    <row r="1660" spans="1:25" x14ac:dyDescent="0.35">
      <c r="A1660" t="s">
        <v>90</v>
      </c>
      <c r="B1660" t="s">
        <v>91</v>
      </c>
      <c r="C1660" t="s">
        <v>255</v>
      </c>
      <c r="D1660" t="s">
        <v>1347</v>
      </c>
      <c r="E1660">
        <v>80870354</v>
      </c>
      <c r="F1660" t="s">
        <v>1348</v>
      </c>
      <c r="G1660" s="3">
        <v>46806</v>
      </c>
      <c r="H1660">
        <v>24</v>
      </c>
      <c r="I1660">
        <v>85</v>
      </c>
      <c r="J1660">
        <v>7</v>
      </c>
      <c r="K1660" s="4">
        <v>2955.26</v>
      </c>
      <c r="L1660" s="4">
        <v>7341.1428571428569</v>
      </c>
      <c r="M1660" s="4">
        <v>9.5353000700552665E-4</v>
      </c>
      <c r="N1660" t="s">
        <v>25</v>
      </c>
      <c r="O1660" t="str">
        <f t="shared" si="250"/>
        <v>Low</v>
      </c>
      <c r="P1660" t="str">
        <f t="shared" si="251"/>
        <v>Low</v>
      </c>
      <c r="Q1660" t="str">
        <f t="shared" si="252"/>
        <v>Low</v>
      </c>
      <c r="R1660" t="s">
        <v>3317</v>
      </c>
      <c r="S1660" s="4">
        <f t="shared" ca="1" si="253"/>
        <v>609</v>
      </c>
      <c r="T1660">
        <f t="shared" si="254"/>
        <v>1</v>
      </c>
      <c r="U1660">
        <f t="shared" si="255"/>
        <v>1</v>
      </c>
      <c r="V1660">
        <f t="shared" si="256"/>
        <v>1</v>
      </c>
      <c r="W1660">
        <f t="shared" si="257"/>
        <v>1</v>
      </c>
      <c r="X1660">
        <f t="shared" si="258"/>
        <v>0.99999999999999989</v>
      </c>
      <c r="Y1660" t="str">
        <f t="shared" si="259"/>
        <v>Healthy</v>
      </c>
    </row>
    <row r="1661" spans="1:25" x14ac:dyDescent="0.35">
      <c r="A1661" t="s">
        <v>41</v>
      </c>
      <c r="B1661" t="s">
        <v>54</v>
      </c>
      <c r="C1661" t="s">
        <v>55</v>
      </c>
      <c r="D1661" t="s">
        <v>1349</v>
      </c>
      <c r="E1661">
        <v>80896352</v>
      </c>
      <c r="F1661" t="s">
        <v>1350</v>
      </c>
      <c r="G1661" s="3">
        <v>47044</v>
      </c>
      <c r="H1661">
        <v>36</v>
      </c>
      <c r="I1661">
        <v>79</v>
      </c>
      <c r="J1661">
        <v>45</v>
      </c>
      <c r="K1661" s="4">
        <v>19670.849999999999</v>
      </c>
      <c r="L1661" s="4">
        <v>1413.4285714285713</v>
      </c>
      <c r="M1661" s="4">
        <v>3.183747725894482E-2</v>
      </c>
      <c r="N1661" t="s">
        <v>25</v>
      </c>
      <c r="O1661" t="str">
        <f t="shared" si="250"/>
        <v>Low</v>
      </c>
      <c r="P1661" t="str">
        <f t="shared" si="251"/>
        <v>Low</v>
      </c>
      <c r="Q1661" t="str">
        <f t="shared" si="252"/>
        <v>Low</v>
      </c>
      <c r="R1661" t="s">
        <v>3317</v>
      </c>
      <c r="S1661" s="4">
        <f t="shared" ca="1" si="253"/>
        <v>847</v>
      </c>
      <c r="T1661">
        <f t="shared" si="254"/>
        <v>1</v>
      </c>
      <c r="U1661">
        <f t="shared" si="255"/>
        <v>1</v>
      </c>
      <c r="V1661">
        <f t="shared" si="256"/>
        <v>1</v>
      </c>
      <c r="W1661">
        <f t="shared" si="257"/>
        <v>1</v>
      </c>
      <c r="X1661">
        <f t="shared" si="258"/>
        <v>0.99999999999999989</v>
      </c>
      <c r="Y1661" t="str">
        <f t="shared" si="259"/>
        <v>Healthy</v>
      </c>
    </row>
    <row r="1662" spans="1:25" x14ac:dyDescent="0.35">
      <c r="A1662" t="s">
        <v>90</v>
      </c>
      <c r="B1662" t="s">
        <v>91</v>
      </c>
      <c r="C1662" t="s">
        <v>255</v>
      </c>
      <c r="D1662" t="s">
        <v>1347</v>
      </c>
      <c r="E1662">
        <v>80870354</v>
      </c>
      <c r="F1662" t="s">
        <v>1348</v>
      </c>
      <c r="G1662" s="3">
        <v>46836</v>
      </c>
      <c r="H1662">
        <v>24</v>
      </c>
      <c r="I1662">
        <v>89</v>
      </c>
      <c r="J1662">
        <v>37</v>
      </c>
      <c r="K1662" s="4">
        <v>15620.66</v>
      </c>
      <c r="L1662" s="4">
        <v>7341.1428571428569</v>
      </c>
      <c r="M1662" s="4">
        <v>5.0400871798863553E-3</v>
      </c>
      <c r="N1662" t="s">
        <v>25</v>
      </c>
      <c r="O1662" t="str">
        <f t="shared" si="250"/>
        <v>Low</v>
      </c>
      <c r="P1662" t="str">
        <f t="shared" si="251"/>
        <v>Low</v>
      </c>
      <c r="Q1662" t="str">
        <f t="shared" si="252"/>
        <v>Low</v>
      </c>
      <c r="R1662" t="s">
        <v>3317</v>
      </c>
      <c r="S1662" s="4">
        <f t="shared" ca="1" si="253"/>
        <v>639</v>
      </c>
      <c r="T1662">
        <f t="shared" si="254"/>
        <v>1</v>
      </c>
      <c r="U1662">
        <f t="shared" si="255"/>
        <v>1</v>
      </c>
      <c r="V1662">
        <f t="shared" si="256"/>
        <v>1</v>
      </c>
      <c r="W1662">
        <f t="shared" si="257"/>
        <v>1</v>
      </c>
      <c r="X1662">
        <f t="shared" si="258"/>
        <v>0.99999999999999989</v>
      </c>
      <c r="Y1662" t="str">
        <f t="shared" si="259"/>
        <v>Healthy</v>
      </c>
    </row>
    <row r="1663" spans="1:25" x14ac:dyDescent="0.35">
      <c r="A1663" t="s">
        <v>41</v>
      </c>
      <c r="B1663" t="s">
        <v>54</v>
      </c>
      <c r="C1663" t="s">
        <v>55</v>
      </c>
      <c r="D1663" t="s">
        <v>1351</v>
      </c>
      <c r="E1663">
        <v>80896353</v>
      </c>
      <c r="F1663" t="s">
        <v>1352</v>
      </c>
      <c r="G1663" s="3">
        <v>47038</v>
      </c>
      <c r="H1663">
        <v>36</v>
      </c>
      <c r="I1663">
        <v>78</v>
      </c>
      <c r="J1663">
        <v>84</v>
      </c>
      <c r="K1663" s="4">
        <v>36718.92</v>
      </c>
      <c r="L1663" s="4">
        <v>642.85714285714289</v>
      </c>
      <c r="M1663" s="4">
        <v>0.13066666666666665</v>
      </c>
      <c r="N1663" t="s">
        <v>25</v>
      </c>
      <c r="O1663" t="str">
        <f t="shared" si="250"/>
        <v>Low</v>
      </c>
      <c r="P1663" t="str">
        <f t="shared" si="251"/>
        <v>Low</v>
      </c>
      <c r="Q1663" t="str">
        <f t="shared" si="252"/>
        <v>Low</v>
      </c>
      <c r="R1663" t="s">
        <v>3317</v>
      </c>
      <c r="S1663" s="4">
        <f t="shared" ca="1" si="253"/>
        <v>841</v>
      </c>
      <c r="T1663">
        <f t="shared" si="254"/>
        <v>1</v>
      </c>
      <c r="U1663">
        <f t="shared" si="255"/>
        <v>1</v>
      </c>
      <c r="V1663">
        <f t="shared" si="256"/>
        <v>1</v>
      </c>
      <c r="W1663">
        <f t="shared" si="257"/>
        <v>1</v>
      </c>
      <c r="X1663">
        <f t="shared" si="258"/>
        <v>0.99999999999999989</v>
      </c>
      <c r="Y1663" t="str">
        <f t="shared" si="259"/>
        <v>Healthy</v>
      </c>
    </row>
    <row r="1664" spans="1:25" x14ac:dyDescent="0.35">
      <c r="A1664" t="s">
        <v>90</v>
      </c>
      <c r="B1664" t="s">
        <v>91</v>
      </c>
      <c r="C1664" t="s">
        <v>255</v>
      </c>
      <c r="D1664" t="s">
        <v>1347</v>
      </c>
      <c r="E1664">
        <v>80870354</v>
      </c>
      <c r="F1664" t="s">
        <v>1348</v>
      </c>
      <c r="G1664" s="3">
        <v>46845</v>
      </c>
      <c r="H1664">
        <v>24</v>
      </c>
      <c r="I1664">
        <v>91</v>
      </c>
      <c r="J1664">
        <v>94</v>
      </c>
      <c r="K1664" s="4">
        <v>39684.92</v>
      </c>
      <c r="L1664" s="4">
        <v>7341.1428571428569</v>
      </c>
      <c r="M1664" s="4">
        <v>1.2804545808359928E-2</v>
      </c>
      <c r="N1664" t="s">
        <v>25</v>
      </c>
      <c r="O1664" t="str">
        <f t="shared" si="250"/>
        <v>Low</v>
      </c>
      <c r="P1664" t="str">
        <f t="shared" si="251"/>
        <v>Low</v>
      </c>
      <c r="Q1664" t="str">
        <f t="shared" si="252"/>
        <v>Low</v>
      </c>
      <c r="R1664" t="s">
        <v>3317</v>
      </c>
      <c r="S1664" s="4">
        <f t="shared" ca="1" si="253"/>
        <v>648</v>
      </c>
      <c r="T1664">
        <f t="shared" si="254"/>
        <v>1</v>
      </c>
      <c r="U1664">
        <f t="shared" si="255"/>
        <v>1</v>
      </c>
      <c r="V1664">
        <f t="shared" si="256"/>
        <v>1</v>
      </c>
      <c r="W1664">
        <f t="shared" si="257"/>
        <v>1</v>
      </c>
      <c r="X1664">
        <f t="shared" si="258"/>
        <v>0.99999999999999989</v>
      </c>
      <c r="Y1664" t="str">
        <f t="shared" si="259"/>
        <v>Healthy</v>
      </c>
    </row>
    <row r="1665" spans="1:25" x14ac:dyDescent="0.35">
      <c r="A1665" t="s">
        <v>20</v>
      </c>
      <c r="B1665" t="s">
        <v>21</v>
      </c>
      <c r="C1665" t="s">
        <v>51</v>
      </c>
      <c r="D1665" t="s">
        <v>785</v>
      </c>
      <c r="E1665">
        <v>80895780</v>
      </c>
      <c r="F1665" t="s">
        <v>1353</v>
      </c>
      <c r="G1665" s="3">
        <v>47228</v>
      </c>
      <c r="H1665">
        <v>36</v>
      </c>
      <c r="I1665">
        <v>96</v>
      </c>
      <c r="J1665">
        <v>11</v>
      </c>
      <c r="K1665" s="4">
        <v>1232</v>
      </c>
      <c r="L1665" s="4">
        <v>632.71428571428567</v>
      </c>
      <c r="M1665" s="4">
        <v>1.7385414314743736E-2</v>
      </c>
      <c r="N1665" t="s">
        <v>25</v>
      </c>
      <c r="O1665" t="str">
        <f t="shared" si="250"/>
        <v>Low</v>
      </c>
      <c r="P1665" t="str">
        <f t="shared" si="251"/>
        <v>Low</v>
      </c>
      <c r="Q1665" t="str">
        <f t="shared" si="252"/>
        <v>Low</v>
      </c>
      <c r="R1665" t="s">
        <v>3317</v>
      </c>
      <c r="S1665" s="4">
        <f t="shared" ca="1" si="253"/>
        <v>1031</v>
      </c>
      <c r="T1665">
        <f t="shared" si="254"/>
        <v>1</v>
      </c>
      <c r="U1665">
        <f t="shared" si="255"/>
        <v>1</v>
      </c>
      <c r="V1665">
        <f t="shared" si="256"/>
        <v>1</v>
      </c>
      <c r="W1665">
        <f t="shared" si="257"/>
        <v>1</v>
      </c>
      <c r="X1665">
        <f t="shared" si="258"/>
        <v>0.99999999999999989</v>
      </c>
      <c r="Y1665" t="str">
        <f t="shared" si="259"/>
        <v>Healthy</v>
      </c>
    </row>
    <row r="1666" spans="1:25" x14ac:dyDescent="0.35">
      <c r="A1666" t="s">
        <v>90</v>
      </c>
      <c r="B1666" t="s">
        <v>91</v>
      </c>
      <c r="C1666" t="s">
        <v>255</v>
      </c>
      <c r="D1666" t="s">
        <v>1347</v>
      </c>
      <c r="E1666">
        <v>80870354</v>
      </c>
      <c r="F1666" t="s">
        <v>1348</v>
      </c>
      <c r="G1666" s="3">
        <v>46756</v>
      </c>
      <c r="H1666">
        <v>24</v>
      </c>
      <c r="I1666">
        <v>78</v>
      </c>
      <c r="J1666">
        <v>600</v>
      </c>
      <c r="K1666" s="4">
        <v>253308</v>
      </c>
      <c r="L1666" s="4">
        <v>7341.1428571428569</v>
      </c>
      <c r="M1666" s="4">
        <v>8.1731143457616562E-2</v>
      </c>
      <c r="N1666" t="s">
        <v>25</v>
      </c>
      <c r="O1666" t="str">
        <f t="shared" si="250"/>
        <v>Low</v>
      </c>
      <c r="P1666" t="str">
        <f t="shared" si="251"/>
        <v>Low</v>
      </c>
      <c r="Q1666" t="str">
        <f t="shared" si="252"/>
        <v>Low</v>
      </c>
      <c r="R1666" t="s">
        <v>3309</v>
      </c>
      <c r="S1666" s="4">
        <f t="shared" ca="1" si="253"/>
        <v>559</v>
      </c>
      <c r="T1666">
        <f t="shared" si="254"/>
        <v>1</v>
      </c>
      <c r="U1666">
        <f t="shared" si="255"/>
        <v>1</v>
      </c>
      <c r="V1666">
        <f t="shared" si="256"/>
        <v>1</v>
      </c>
      <c r="W1666">
        <f t="shared" si="257"/>
        <v>3</v>
      </c>
      <c r="X1666">
        <f t="shared" si="258"/>
        <v>1.2</v>
      </c>
      <c r="Y1666" t="str">
        <f t="shared" si="259"/>
        <v>Healthy</v>
      </c>
    </row>
    <row r="1667" spans="1:25" x14ac:dyDescent="0.35">
      <c r="A1667" t="s">
        <v>20</v>
      </c>
      <c r="B1667" t="s">
        <v>21</v>
      </c>
      <c r="C1667" t="s">
        <v>51</v>
      </c>
      <c r="D1667" t="s">
        <v>785</v>
      </c>
      <c r="E1667">
        <v>80895780</v>
      </c>
      <c r="F1667" t="s">
        <v>1353</v>
      </c>
      <c r="G1667" s="3">
        <v>47170</v>
      </c>
      <c r="H1667">
        <v>36</v>
      </c>
      <c r="I1667">
        <v>91</v>
      </c>
      <c r="J1667">
        <v>8</v>
      </c>
      <c r="K1667" s="4">
        <v>896</v>
      </c>
      <c r="L1667" s="4">
        <v>632.71428571428567</v>
      </c>
      <c r="M1667" s="4">
        <v>1.264393768344999E-2</v>
      </c>
      <c r="N1667" t="s">
        <v>25</v>
      </c>
      <c r="O1667" t="str">
        <f t="shared" ref="O1667:O1730" si="260">IF(I1667&lt;20,"High",IF(I1667&lt;40,"Medium","Low"))</f>
        <v>Low</v>
      </c>
      <c r="P1667" t="str">
        <f t="shared" ref="P1667:P1730" si="261">IF(M1667&gt;8,"High",IF(M1667&gt;4,"Medium","Low"))</f>
        <v>Low</v>
      </c>
      <c r="Q1667" t="str">
        <f t="shared" ref="Q1667:Q1730" si="262">IF(L1667&lt;5,"High",IF(L1667&lt;15,"Medium","Low"))</f>
        <v>Low</v>
      </c>
      <c r="R1667" t="s">
        <v>3317</v>
      </c>
      <c r="S1667" s="4">
        <f t="shared" ref="S1667:S1730" ca="1" si="263">G1667-TODAY()</f>
        <v>973</v>
      </c>
      <c r="T1667">
        <f t="shared" ref="T1667:T1730" si="264">IF(O1667="High",3,IF(O1667="Medium",2,1))</f>
        <v>1</v>
      </c>
      <c r="U1667">
        <f t="shared" ref="U1667:U1730" si="265">IF(P1667="High",3,IF(P1667="Medium",2,1))</f>
        <v>1</v>
      </c>
      <c r="V1667">
        <f t="shared" ref="V1667:V1730" si="266">IF(Q1667="High",3,IF(Q1667="Medium",2,1))</f>
        <v>1</v>
      </c>
      <c r="W1667">
        <f t="shared" ref="W1667:W1730" si="267">IF(R1667="High",3,IF(R1667="Medium",2,1))</f>
        <v>1</v>
      </c>
      <c r="X1667">
        <f t="shared" ref="X1667:X1730" si="268">(0.4*T1667)+(0.3*U1667)+(0.2*V1667)+(0.1*W1667)</f>
        <v>0.99999999999999989</v>
      </c>
      <c r="Y1667" t="str">
        <f t="shared" ref="Y1667:Y1730" si="269">IF(X1667&gt;=2.7,"Move Immediately",IF(X1667&gt;=2.2,"High Priority",IF(X1667&gt;=1.7,"Monitor","Healthy")))</f>
        <v>Healthy</v>
      </c>
    </row>
    <row r="1668" spans="1:25" x14ac:dyDescent="0.35">
      <c r="A1668" t="s">
        <v>90</v>
      </c>
      <c r="B1668" t="s">
        <v>91</v>
      </c>
      <c r="C1668" t="s">
        <v>255</v>
      </c>
      <c r="D1668" t="s">
        <v>1347</v>
      </c>
      <c r="E1668">
        <v>80870354</v>
      </c>
      <c r="F1668" t="s">
        <v>1348</v>
      </c>
      <c r="G1668" s="3">
        <v>46851</v>
      </c>
      <c r="H1668">
        <v>24</v>
      </c>
      <c r="I1668">
        <v>92</v>
      </c>
      <c r="J1668">
        <v>532</v>
      </c>
      <c r="K1668" s="4">
        <v>224599.76</v>
      </c>
      <c r="L1668" s="4">
        <v>7341.1428571428569</v>
      </c>
      <c r="M1668" s="4">
        <v>7.2468280532420021E-2</v>
      </c>
      <c r="N1668" t="s">
        <v>25</v>
      </c>
      <c r="O1668" t="str">
        <f t="shared" si="260"/>
        <v>Low</v>
      </c>
      <c r="P1668" t="str">
        <f t="shared" si="261"/>
        <v>Low</v>
      </c>
      <c r="Q1668" t="str">
        <f t="shared" si="262"/>
        <v>Low</v>
      </c>
      <c r="R1668" t="s">
        <v>3309</v>
      </c>
      <c r="S1668" s="4">
        <f t="shared" ca="1" si="263"/>
        <v>654</v>
      </c>
      <c r="T1668">
        <f t="shared" si="264"/>
        <v>1</v>
      </c>
      <c r="U1668">
        <f t="shared" si="265"/>
        <v>1</v>
      </c>
      <c r="V1668">
        <f t="shared" si="266"/>
        <v>1</v>
      </c>
      <c r="W1668">
        <f t="shared" si="267"/>
        <v>3</v>
      </c>
      <c r="X1668">
        <f t="shared" si="268"/>
        <v>1.2</v>
      </c>
      <c r="Y1668" t="str">
        <f t="shared" si="269"/>
        <v>Healthy</v>
      </c>
    </row>
    <row r="1669" spans="1:25" x14ac:dyDescent="0.35">
      <c r="A1669" t="s">
        <v>20</v>
      </c>
      <c r="B1669" t="s">
        <v>21</v>
      </c>
      <c r="C1669" t="s">
        <v>926</v>
      </c>
      <c r="D1669" t="s">
        <v>1354</v>
      </c>
      <c r="E1669">
        <v>80896400</v>
      </c>
      <c r="F1669" t="s">
        <v>1355</v>
      </c>
      <c r="G1669" s="3">
        <v>47255</v>
      </c>
      <c r="H1669">
        <v>36</v>
      </c>
      <c r="I1669">
        <v>98</v>
      </c>
      <c r="J1669">
        <v>144</v>
      </c>
      <c r="K1669" s="4">
        <v>27646.560000000001</v>
      </c>
      <c r="L1669" s="4">
        <v>4830.8571428571431</v>
      </c>
      <c r="M1669" s="4">
        <v>2.9808374733853796E-2</v>
      </c>
      <c r="N1669" t="s">
        <v>25</v>
      </c>
      <c r="O1669" t="str">
        <f t="shared" si="260"/>
        <v>Low</v>
      </c>
      <c r="P1669" t="str">
        <f t="shared" si="261"/>
        <v>Low</v>
      </c>
      <c r="Q1669" t="str">
        <f t="shared" si="262"/>
        <v>Low</v>
      </c>
      <c r="R1669" t="s">
        <v>3317</v>
      </c>
      <c r="S1669" s="4">
        <f t="shared" ca="1" si="263"/>
        <v>1058</v>
      </c>
      <c r="T1669">
        <f t="shared" si="264"/>
        <v>1</v>
      </c>
      <c r="U1669">
        <f t="shared" si="265"/>
        <v>1</v>
      </c>
      <c r="V1669">
        <f t="shared" si="266"/>
        <v>1</v>
      </c>
      <c r="W1669">
        <f t="shared" si="267"/>
        <v>1</v>
      </c>
      <c r="X1669">
        <f t="shared" si="268"/>
        <v>0.99999999999999989</v>
      </c>
      <c r="Y1669" t="str">
        <f t="shared" si="269"/>
        <v>Healthy</v>
      </c>
    </row>
    <row r="1670" spans="1:25" x14ac:dyDescent="0.35">
      <c r="A1670" t="s">
        <v>90</v>
      </c>
      <c r="B1670" t="s">
        <v>91</v>
      </c>
      <c r="C1670" t="s">
        <v>255</v>
      </c>
      <c r="D1670" t="s">
        <v>1347</v>
      </c>
      <c r="E1670">
        <v>80870354</v>
      </c>
      <c r="F1670" t="s">
        <v>1348</v>
      </c>
      <c r="G1670" s="3">
        <v>46837</v>
      </c>
      <c r="H1670">
        <v>24</v>
      </c>
      <c r="I1670">
        <v>90</v>
      </c>
      <c r="J1670">
        <v>223</v>
      </c>
      <c r="K1670" s="4">
        <v>94146.14</v>
      </c>
      <c r="L1670" s="4">
        <v>7341.1428571428569</v>
      </c>
      <c r="M1670" s="4">
        <v>3.0376741651747492E-2</v>
      </c>
      <c r="N1670" t="s">
        <v>25</v>
      </c>
      <c r="O1670" t="str">
        <f t="shared" si="260"/>
        <v>Low</v>
      </c>
      <c r="P1670" t="str">
        <f t="shared" si="261"/>
        <v>Low</v>
      </c>
      <c r="Q1670" t="str">
        <f t="shared" si="262"/>
        <v>Low</v>
      </c>
      <c r="R1670" t="s">
        <v>3310</v>
      </c>
      <c r="S1670" s="4">
        <f t="shared" ca="1" si="263"/>
        <v>640</v>
      </c>
      <c r="T1670">
        <f t="shared" si="264"/>
        <v>1</v>
      </c>
      <c r="U1670">
        <f t="shared" si="265"/>
        <v>1</v>
      </c>
      <c r="V1670">
        <f t="shared" si="266"/>
        <v>1</v>
      </c>
      <c r="W1670">
        <f t="shared" si="267"/>
        <v>2</v>
      </c>
      <c r="X1670">
        <f t="shared" si="268"/>
        <v>1.0999999999999999</v>
      </c>
      <c r="Y1670" t="str">
        <f t="shared" si="269"/>
        <v>Healthy</v>
      </c>
    </row>
    <row r="1671" spans="1:25" x14ac:dyDescent="0.35">
      <c r="A1671" t="s">
        <v>20</v>
      </c>
      <c r="B1671" t="s">
        <v>21</v>
      </c>
      <c r="C1671" t="s">
        <v>926</v>
      </c>
      <c r="D1671" t="s">
        <v>1354</v>
      </c>
      <c r="E1671">
        <v>80896400</v>
      </c>
      <c r="F1671" t="s">
        <v>1355</v>
      </c>
      <c r="G1671" s="3">
        <v>47256</v>
      </c>
      <c r="H1671">
        <v>36</v>
      </c>
      <c r="I1671">
        <v>99</v>
      </c>
      <c r="J1671">
        <v>137</v>
      </c>
      <c r="K1671" s="4">
        <v>26302.63</v>
      </c>
      <c r="L1671" s="4">
        <v>4830.8571428571431</v>
      </c>
      <c r="M1671" s="4">
        <v>2.8359356517624792E-2</v>
      </c>
      <c r="N1671" t="s">
        <v>25</v>
      </c>
      <c r="O1671" t="str">
        <f t="shared" si="260"/>
        <v>Low</v>
      </c>
      <c r="P1671" t="str">
        <f t="shared" si="261"/>
        <v>Low</v>
      </c>
      <c r="Q1671" t="str">
        <f t="shared" si="262"/>
        <v>Low</v>
      </c>
      <c r="R1671" t="s">
        <v>3317</v>
      </c>
      <c r="S1671" s="4">
        <f t="shared" ca="1" si="263"/>
        <v>1059</v>
      </c>
      <c r="T1671">
        <f t="shared" si="264"/>
        <v>1</v>
      </c>
      <c r="U1671">
        <f t="shared" si="265"/>
        <v>1</v>
      </c>
      <c r="V1671">
        <f t="shared" si="266"/>
        <v>1</v>
      </c>
      <c r="W1671">
        <f t="shared" si="267"/>
        <v>1</v>
      </c>
      <c r="X1671">
        <f t="shared" si="268"/>
        <v>0.99999999999999989</v>
      </c>
      <c r="Y1671" t="str">
        <f t="shared" si="269"/>
        <v>Healthy</v>
      </c>
    </row>
    <row r="1672" spans="1:25" x14ac:dyDescent="0.35">
      <c r="A1672" t="s">
        <v>90</v>
      </c>
      <c r="B1672" t="s">
        <v>91</v>
      </c>
      <c r="C1672" t="s">
        <v>255</v>
      </c>
      <c r="D1672" t="s">
        <v>1347</v>
      </c>
      <c r="E1672">
        <v>80870354</v>
      </c>
      <c r="F1672" t="s">
        <v>1348</v>
      </c>
      <c r="G1672" s="3">
        <v>46836</v>
      </c>
      <c r="H1672">
        <v>24</v>
      </c>
      <c r="I1672">
        <v>89</v>
      </c>
      <c r="J1672">
        <v>289</v>
      </c>
      <c r="K1672" s="4">
        <v>122010.02</v>
      </c>
      <c r="L1672" s="4">
        <v>7341.1428571428569</v>
      </c>
      <c r="M1672" s="4">
        <v>3.9367167432085313E-2</v>
      </c>
      <c r="N1672" t="s">
        <v>25</v>
      </c>
      <c r="O1672" t="str">
        <f t="shared" si="260"/>
        <v>Low</v>
      </c>
      <c r="P1672" t="str">
        <f t="shared" si="261"/>
        <v>Low</v>
      </c>
      <c r="Q1672" t="str">
        <f t="shared" si="262"/>
        <v>Low</v>
      </c>
      <c r="R1672" t="s">
        <v>3310</v>
      </c>
      <c r="S1672" s="4">
        <f t="shared" ca="1" si="263"/>
        <v>639</v>
      </c>
      <c r="T1672">
        <f t="shared" si="264"/>
        <v>1</v>
      </c>
      <c r="U1672">
        <f t="shared" si="265"/>
        <v>1</v>
      </c>
      <c r="V1672">
        <f t="shared" si="266"/>
        <v>1</v>
      </c>
      <c r="W1672">
        <f t="shared" si="267"/>
        <v>2</v>
      </c>
      <c r="X1672">
        <f t="shared" si="268"/>
        <v>1.0999999999999999</v>
      </c>
      <c r="Y1672" t="str">
        <f t="shared" si="269"/>
        <v>Healthy</v>
      </c>
    </row>
    <row r="1673" spans="1:25" x14ac:dyDescent="0.35">
      <c r="A1673" t="s">
        <v>90</v>
      </c>
      <c r="B1673" t="s">
        <v>91</v>
      </c>
      <c r="C1673" t="s">
        <v>255</v>
      </c>
      <c r="D1673" t="s">
        <v>1347</v>
      </c>
      <c r="E1673">
        <v>80870354</v>
      </c>
      <c r="F1673" t="s">
        <v>1348</v>
      </c>
      <c r="G1673" s="3">
        <v>46883</v>
      </c>
      <c r="H1673">
        <v>24</v>
      </c>
      <c r="I1673">
        <v>96</v>
      </c>
      <c r="J1673">
        <v>309</v>
      </c>
      <c r="K1673" s="4">
        <v>130453.62</v>
      </c>
      <c r="L1673" s="4">
        <v>7341.1428571428569</v>
      </c>
      <c r="M1673" s="4">
        <v>4.2091538880672533E-2</v>
      </c>
      <c r="N1673" t="s">
        <v>25</v>
      </c>
      <c r="O1673" t="str">
        <f t="shared" si="260"/>
        <v>Low</v>
      </c>
      <c r="P1673" t="str">
        <f t="shared" si="261"/>
        <v>Low</v>
      </c>
      <c r="Q1673" t="str">
        <f t="shared" si="262"/>
        <v>Low</v>
      </c>
      <c r="R1673" t="s">
        <v>3310</v>
      </c>
      <c r="S1673" s="4">
        <f t="shared" ca="1" si="263"/>
        <v>686</v>
      </c>
      <c r="T1673">
        <f t="shared" si="264"/>
        <v>1</v>
      </c>
      <c r="U1673">
        <f t="shared" si="265"/>
        <v>1</v>
      </c>
      <c r="V1673">
        <f t="shared" si="266"/>
        <v>1</v>
      </c>
      <c r="W1673">
        <f t="shared" si="267"/>
        <v>2</v>
      </c>
      <c r="X1673">
        <f t="shared" si="268"/>
        <v>1.0999999999999999</v>
      </c>
      <c r="Y1673" t="str">
        <f t="shared" si="269"/>
        <v>Healthy</v>
      </c>
    </row>
    <row r="1674" spans="1:25" x14ac:dyDescent="0.35">
      <c r="A1674" t="s">
        <v>20</v>
      </c>
      <c r="B1674" t="s">
        <v>21</v>
      </c>
      <c r="C1674" t="s">
        <v>926</v>
      </c>
      <c r="D1674" t="s">
        <v>1354</v>
      </c>
      <c r="E1674">
        <v>80896400</v>
      </c>
      <c r="F1674" t="s">
        <v>1355</v>
      </c>
      <c r="G1674" s="3">
        <v>47258</v>
      </c>
      <c r="H1674">
        <v>36</v>
      </c>
      <c r="I1674">
        <v>99</v>
      </c>
      <c r="J1674">
        <v>134</v>
      </c>
      <c r="K1674" s="4">
        <v>25726.66</v>
      </c>
      <c r="L1674" s="4">
        <v>4830.8571428571431</v>
      </c>
      <c r="M1674" s="4">
        <v>2.7738348710669505E-2</v>
      </c>
      <c r="N1674" t="s">
        <v>25</v>
      </c>
      <c r="O1674" t="str">
        <f t="shared" si="260"/>
        <v>Low</v>
      </c>
      <c r="P1674" t="str">
        <f t="shared" si="261"/>
        <v>Low</v>
      </c>
      <c r="Q1674" t="str">
        <f t="shared" si="262"/>
        <v>Low</v>
      </c>
      <c r="R1674" t="s">
        <v>3317</v>
      </c>
      <c r="S1674" s="4">
        <f t="shared" ca="1" si="263"/>
        <v>1061</v>
      </c>
      <c r="T1674">
        <f t="shared" si="264"/>
        <v>1</v>
      </c>
      <c r="U1674">
        <f t="shared" si="265"/>
        <v>1</v>
      </c>
      <c r="V1674">
        <f t="shared" si="266"/>
        <v>1</v>
      </c>
      <c r="W1674">
        <f t="shared" si="267"/>
        <v>1</v>
      </c>
      <c r="X1674">
        <f t="shared" si="268"/>
        <v>0.99999999999999989</v>
      </c>
      <c r="Y1674" t="str">
        <f t="shared" si="269"/>
        <v>Healthy</v>
      </c>
    </row>
    <row r="1675" spans="1:25" x14ac:dyDescent="0.35">
      <c r="A1675" t="s">
        <v>90</v>
      </c>
      <c r="B1675" t="s">
        <v>91</v>
      </c>
      <c r="C1675" t="s">
        <v>255</v>
      </c>
      <c r="D1675" t="s">
        <v>1347</v>
      </c>
      <c r="E1675">
        <v>80870354</v>
      </c>
      <c r="F1675" t="s">
        <v>1348</v>
      </c>
      <c r="G1675" s="3">
        <v>46830</v>
      </c>
      <c r="H1675">
        <v>24</v>
      </c>
      <c r="I1675">
        <v>89</v>
      </c>
      <c r="J1675">
        <v>359</v>
      </c>
      <c r="K1675" s="4">
        <v>151562.62</v>
      </c>
      <c r="L1675" s="4">
        <v>7341.1428571428569</v>
      </c>
      <c r="M1675" s="4">
        <v>4.8902467502140577E-2</v>
      </c>
      <c r="N1675" t="s">
        <v>25</v>
      </c>
      <c r="O1675" t="str">
        <f t="shared" si="260"/>
        <v>Low</v>
      </c>
      <c r="P1675" t="str">
        <f t="shared" si="261"/>
        <v>Low</v>
      </c>
      <c r="Q1675" t="str">
        <f t="shared" si="262"/>
        <v>Low</v>
      </c>
      <c r="R1675" t="s">
        <v>3309</v>
      </c>
      <c r="S1675" s="4">
        <f t="shared" ca="1" si="263"/>
        <v>633</v>
      </c>
      <c r="T1675">
        <f t="shared" si="264"/>
        <v>1</v>
      </c>
      <c r="U1675">
        <f t="shared" si="265"/>
        <v>1</v>
      </c>
      <c r="V1675">
        <f t="shared" si="266"/>
        <v>1</v>
      </c>
      <c r="W1675">
        <f t="shared" si="267"/>
        <v>3</v>
      </c>
      <c r="X1675">
        <f t="shared" si="268"/>
        <v>1.2</v>
      </c>
      <c r="Y1675" t="str">
        <f t="shared" si="269"/>
        <v>Healthy</v>
      </c>
    </row>
    <row r="1676" spans="1:25" x14ac:dyDescent="0.35">
      <c r="A1676" t="s">
        <v>90</v>
      </c>
      <c r="B1676" t="s">
        <v>91</v>
      </c>
      <c r="C1676" t="s">
        <v>255</v>
      </c>
      <c r="D1676" t="s">
        <v>1347</v>
      </c>
      <c r="E1676">
        <v>80870354</v>
      </c>
      <c r="F1676" t="s">
        <v>1348</v>
      </c>
      <c r="G1676" s="3">
        <v>46846</v>
      </c>
      <c r="H1676">
        <v>24</v>
      </c>
      <c r="I1676">
        <v>91</v>
      </c>
      <c r="J1676">
        <v>319</v>
      </c>
      <c r="K1676" s="4">
        <v>134675.42000000001</v>
      </c>
      <c r="L1676" s="4">
        <v>7341.1428571428569</v>
      </c>
      <c r="M1676" s="4">
        <v>4.3453724604966139E-2</v>
      </c>
      <c r="N1676" t="s">
        <v>25</v>
      </c>
      <c r="O1676" t="str">
        <f t="shared" si="260"/>
        <v>Low</v>
      </c>
      <c r="P1676" t="str">
        <f t="shared" si="261"/>
        <v>Low</v>
      </c>
      <c r="Q1676" t="str">
        <f t="shared" si="262"/>
        <v>Low</v>
      </c>
      <c r="R1676" t="s">
        <v>3309</v>
      </c>
      <c r="S1676" s="4">
        <f t="shared" ca="1" si="263"/>
        <v>649</v>
      </c>
      <c r="T1676">
        <f t="shared" si="264"/>
        <v>1</v>
      </c>
      <c r="U1676">
        <f t="shared" si="265"/>
        <v>1</v>
      </c>
      <c r="V1676">
        <f t="shared" si="266"/>
        <v>1</v>
      </c>
      <c r="W1676">
        <f t="shared" si="267"/>
        <v>3</v>
      </c>
      <c r="X1676">
        <f t="shared" si="268"/>
        <v>1.2</v>
      </c>
      <c r="Y1676" t="str">
        <f t="shared" si="269"/>
        <v>Healthy</v>
      </c>
    </row>
    <row r="1677" spans="1:25" x14ac:dyDescent="0.35">
      <c r="A1677" t="s">
        <v>90</v>
      </c>
      <c r="B1677" t="s">
        <v>91</v>
      </c>
      <c r="C1677" t="s">
        <v>255</v>
      </c>
      <c r="D1677" t="s">
        <v>1347</v>
      </c>
      <c r="E1677">
        <v>80870354</v>
      </c>
      <c r="F1677" t="s">
        <v>1348</v>
      </c>
      <c r="G1677" s="3">
        <v>46829</v>
      </c>
      <c r="H1677">
        <v>24</v>
      </c>
      <c r="I1677">
        <v>88</v>
      </c>
      <c r="J1677">
        <v>180</v>
      </c>
      <c r="K1677" s="4">
        <v>75992.399999999994</v>
      </c>
      <c r="L1677" s="4">
        <v>7341.1428571428569</v>
      </c>
      <c r="M1677" s="4">
        <v>2.4519343037284969E-2</v>
      </c>
      <c r="N1677" t="s">
        <v>25</v>
      </c>
      <c r="O1677" t="str">
        <f t="shared" si="260"/>
        <v>Low</v>
      </c>
      <c r="P1677" t="str">
        <f t="shared" si="261"/>
        <v>Low</v>
      </c>
      <c r="Q1677" t="str">
        <f t="shared" si="262"/>
        <v>Low</v>
      </c>
      <c r="R1677" t="s">
        <v>3310</v>
      </c>
      <c r="S1677" s="4">
        <f t="shared" ca="1" si="263"/>
        <v>632</v>
      </c>
      <c r="T1677">
        <f t="shared" si="264"/>
        <v>1</v>
      </c>
      <c r="U1677">
        <f t="shared" si="265"/>
        <v>1</v>
      </c>
      <c r="V1677">
        <f t="shared" si="266"/>
        <v>1</v>
      </c>
      <c r="W1677">
        <f t="shared" si="267"/>
        <v>2</v>
      </c>
      <c r="X1677">
        <f t="shared" si="268"/>
        <v>1.0999999999999999</v>
      </c>
      <c r="Y1677" t="str">
        <f t="shared" si="269"/>
        <v>Healthy</v>
      </c>
    </row>
    <row r="1678" spans="1:25" x14ac:dyDescent="0.35">
      <c r="A1678" t="s">
        <v>20</v>
      </c>
      <c r="B1678" t="s">
        <v>21</v>
      </c>
      <c r="C1678" t="s">
        <v>51</v>
      </c>
      <c r="D1678" t="s">
        <v>52</v>
      </c>
      <c r="E1678">
        <v>80895781</v>
      </c>
      <c r="F1678" t="s">
        <v>1356</v>
      </c>
      <c r="G1678" s="3">
        <v>47173</v>
      </c>
      <c r="H1678">
        <v>36</v>
      </c>
      <c r="I1678">
        <v>91</v>
      </c>
      <c r="J1678">
        <v>1</v>
      </c>
      <c r="K1678" s="4">
        <v>56</v>
      </c>
      <c r="L1678" s="4">
        <v>1157.7142857142858</v>
      </c>
      <c r="M1678" s="4">
        <v>8.637709772951628E-4</v>
      </c>
      <c r="N1678" t="s">
        <v>25</v>
      </c>
      <c r="O1678" t="str">
        <f t="shared" si="260"/>
        <v>Low</v>
      </c>
      <c r="P1678" t="str">
        <f t="shared" si="261"/>
        <v>Low</v>
      </c>
      <c r="Q1678" t="str">
        <f t="shared" si="262"/>
        <v>Low</v>
      </c>
      <c r="R1678" t="s">
        <v>3317</v>
      </c>
      <c r="S1678" s="4">
        <f t="shared" ca="1" si="263"/>
        <v>976</v>
      </c>
      <c r="T1678">
        <f t="shared" si="264"/>
        <v>1</v>
      </c>
      <c r="U1678">
        <f t="shared" si="265"/>
        <v>1</v>
      </c>
      <c r="V1678">
        <f t="shared" si="266"/>
        <v>1</v>
      </c>
      <c r="W1678">
        <f t="shared" si="267"/>
        <v>1</v>
      </c>
      <c r="X1678">
        <f t="shared" si="268"/>
        <v>0.99999999999999989</v>
      </c>
      <c r="Y1678" t="str">
        <f t="shared" si="269"/>
        <v>Healthy</v>
      </c>
    </row>
    <row r="1679" spans="1:25" x14ac:dyDescent="0.35">
      <c r="A1679" t="s">
        <v>20</v>
      </c>
      <c r="B1679" t="s">
        <v>21</v>
      </c>
      <c r="C1679" t="s">
        <v>26</v>
      </c>
      <c r="D1679" t="s">
        <v>1357</v>
      </c>
      <c r="E1679">
        <v>80895608</v>
      </c>
      <c r="F1679" t="s">
        <v>1358</v>
      </c>
      <c r="G1679" s="3">
        <v>47142</v>
      </c>
      <c r="H1679">
        <v>36</v>
      </c>
      <c r="I1679">
        <v>88</v>
      </c>
      <c r="J1679">
        <v>7</v>
      </c>
      <c r="K1679" s="4">
        <v>728</v>
      </c>
      <c r="L1679" s="4">
        <v>1322.8571428571429</v>
      </c>
      <c r="M1679" s="4">
        <v>5.2915766738660906E-3</v>
      </c>
      <c r="N1679" t="s">
        <v>25</v>
      </c>
      <c r="O1679" t="str">
        <f t="shared" si="260"/>
        <v>Low</v>
      </c>
      <c r="P1679" t="str">
        <f t="shared" si="261"/>
        <v>Low</v>
      </c>
      <c r="Q1679" t="str">
        <f t="shared" si="262"/>
        <v>Low</v>
      </c>
      <c r="R1679" t="s">
        <v>3317</v>
      </c>
      <c r="S1679" s="4">
        <f t="shared" ca="1" si="263"/>
        <v>945</v>
      </c>
      <c r="T1679">
        <f t="shared" si="264"/>
        <v>1</v>
      </c>
      <c r="U1679">
        <f t="shared" si="265"/>
        <v>1</v>
      </c>
      <c r="V1679">
        <f t="shared" si="266"/>
        <v>1</v>
      </c>
      <c r="W1679">
        <f t="shared" si="267"/>
        <v>1</v>
      </c>
      <c r="X1679">
        <f t="shared" si="268"/>
        <v>0.99999999999999989</v>
      </c>
      <c r="Y1679" t="str">
        <f t="shared" si="269"/>
        <v>Healthy</v>
      </c>
    </row>
    <row r="1680" spans="1:25" x14ac:dyDescent="0.35">
      <c r="A1680" t="s">
        <v>90</v>
      </c>
      <c r="B1680" t="s">
        <v>91</v>
      </c>
      <c r="C1680" t="s">
        <v>255</v>
      </c>
      <c r="D1680" t="s">
        <v>1347</v>
      </c>
      <c r="E1680">
        <v>80870354</v>
      </c>
      <c r="F1680" t="s">
        <v>1348</v>
      </c>
      <c r="G1680" s="3">
        <v>46828</v>
      </c>
      <c r="H1680">
        <v>24</v>
      </c>
      <c r="I1680">
        <v>88</v>
      </c>
      <c r="J1680">
        <v>317</v>
      </c>
      <c r="K1680" s="4">
        <v>133831.06</v>
      </c>
      <c r="L1680" s="4">
        <v>7341.1428571428569</v>
      </c>
      <c r="M1680" s="4">
        <v>4.3181287460107416E-2</v>
      </c>
      <c r="N1680" t="s">
        <v>25</v>
      </c>
      <c r="O1680" t="str">
        <f t="shared" si="260"/>
        <v>Low</v>
      </c>
      <c r="P1680" t="str">
        <f t="shared" si="261"/>
        <v>Low</v>
      </c>
      <c r="Q1680" t="str">
        <f t="shared" si="262"/>
        <v>Low</v>
      </c>
      <c r="R1680" t="s">
        <v>3309</v>
      </c>
      <c r="S1680" s="4">
        <f t="shared" ca="1" si="263"/>
        <v>631</v>
      </c>
      <c r="T1680">
        <f t="shared" si="264"/>
        <v>1</v>
      </c>
      <c r="U1680">
        <f t="shared" si="265"/>
        <v>1</v>
      </c>
      <c r="V1680">
        <f t="shared" si="266"/>
        <v>1</v>
      </c>
      <c r="W1680">
        <f t="shared" si="267"/>
        <v>3</v>
      </c>
      <c r="X1680">
        <f t="shared" si="268"/>
        <v>1.2</v>
      </c>
      <c r="Y1680" t="str">
        <f t="shared" si="269"/>
        <v>Healthy</v>
      </c>
    </row>
    <row r="1681" spans="1:25" x14ac:dyDescent="0.35">
      <c r="A1681" t="s">
        <v>20</v>
      </c>
      <c r="B1681" t="s">
        <v>21</v>
      </c>
      <c r="C1681" t="s">
        <v>26</v>
      </c>
      <c r="D1681" t="s">
        <v>1357</v>
      </c>
      <c r="E1681">
        <v>80895608</v>
      </c>
      <c r="F1681" t="s">
        <v>1358</v>
      </c>
      <c r="G1681" s="3">
        <v>47171</v>
      </c>
      <c r="H1681">
        <v>36</v>
      </c>
      <c r="I1681">
        <v>91</v>
      </c>
      <c r="J1681">
        <v>5</v>
      </c>
      <c r="K1681" s="4">
        <v>520</v>
      </c>
      <c r="L1681" s="4">
        <v>1322.8571428571429</v>
      </c>
      <c r="M1681" s="4">
        <v>3.7796976241900649E-3</v>
      </c>
      <c r="N1681" t="s">
        <v>25</v>
      </c>
      <c r="O1681" t="str">
        <f t="shared" si="260"/>
        <v>Low</v>
      </c>
      <c r="P1681" t="str">
        <f t="shared" si="261"/>
        <v>Low</v>
      </c>
      <c r="Q1681" t="str">
        <f t="shared" si="262"/>
        <v>Low</v>
      </c>
      <c r="R1681" t="s">
        <v>3317</v>
      </c>
      <c r="S1681" s="4">
        <f t="shared" ca="1" si="263"/>
        <v>974</v>
      </c>
      <c r="T1681">
        <f t="shared" si="264"/>
        <v>1</v>
      </c>
      <c r="U1681">
        <f t="shared" si="265"/>
        <v>1</v>
      </c>
      <c r="V1681">
        <f t="shared" si="266"/>
        <v>1</v>
      </c>
      <c r="W1681">
        <f t="shared" si="267"/>
        <v>1</v>
      </c>
      <c r="X1681">
        <f t="shared" si="268"/>
        <v>0.99999999999999989</v>
      </c>
      <c r="Y1681" t="str">
        <f t="shared" si="269"/>
        <v>Healthy</v>
      </c>
    </row>
    <row r="1682" spans="1:25" x14ac:dyDescent="0.35">
      <c r="A1682" t="s">
        <v>20</v>
      </c>
      <c r="B1682" t="s">
        <v>21</v>
      </c>
      <c r="C1682" t="s">
        <v>51</v>
      </c>
      <c r="D1682" t="s">
        <v>815</v>
      </c>
      <c r="E1682">
        <v>80866079</v>
      </c>
      <c r="F1682" t="s">
        <v>1359</v>
      </c>
      <c r="G1682" s="3">
        <v>47010</v>
      </c>
      <c r="H1682">
        <v>36</v>
      </c>
      <c r="I1682">
        <v>76</v>
      </c>
      <c r="J1682">
        <v>13</v>
      </c>
      <c r="K1682" s="4">
        <v>1456</v>
      </c>
      <c r="L1682" s="4">
        <v>298.28571428571428</v>
      </c>
      <c r="M1682" s="4">
        <v>4.3582375478927203E-2</v>
      </c>
      <c r="N1682" t="s">
        <v>25</v>
      </c>
      <c r="O1682" t="str">
        <f t="shared" si="260"/>
        <v>Low</v>
      </c>
      <c r="P1682" t="str">
        <f t="shared" si="261"/>
        <v>Low</v>
      </c>
      <c r="Q1682" t="str">
        <f t="shared" si="262"/>
        <v>Low</v>
      </c>
      <c r="R1682" t="s">
        <v>3317</v>
      </c>
      <c r="S1682" s="4">
        <f t="shared" ca="1" si="263"/>
        <v>813</v>
      </c>
      <c r="T1682">
        <f t="shared" si="264"/>
        <v>1</v>
      </c>
      <c r="U1682">
        <f t="shared" si="265"/>
        <v>1</v>
      </c>
      <c r="V1682">
        <f t="shared" si="266"/>
        <v>1</v>
      </c>
      <c r="W1682">
        <f t="shared" si="267"/>
        <v>1</v>
      </c>
      <c r="X1682">
        <f t="shared" si="268"/>
        <v>0.99999999999999989</v>
      </c>
      <c r="Y1682" t="str">
        <f t="shared" si="269"/>
        <v>Healthy</v>
      </c>
    </row>
    <row r="1683" spans="1:25" x14ac:dyDescent="0.35">
      <c r="A1683" t="s">
        <v>20</v>
      </c>
      <c r="B1683" t="s">
        <v>21</v>
      </c>
      <c r="C1683" t="s">
        <v>51</v>
      </c>
      <c r="D1683" t="s">
        <v>815</v>
      </c>
      <c r="E1683">
        <v>80866079</v>
      </c>
      <c r="F1683" t="s">
        <v>1359</v>
      </c>
      <c r="G1683" s="3">
        <v>47012</v>
      </c>
      <c r="H1683">
        <v>36</v>
      </c>
      <c r="I1683">
        <v>76</v>
      </c>
      <c r="J1683">
        <v>36</v>
      </c>
      <c r="K1683" s="4">
        <v>4032</v>
      </c>
      <c r="L1683" s="4">
        <v>298.28571428571428</v>
      </c>
      <c r="M1683" s="4">
        <v>0.1206896551724138</v>
      </c>
      <c r="N1683" t="s">
        <v>25</v>
      </c>
      <c r="O1683" t="str">
        <f t="shared" si="260"/>
        <v>Low</v>
      </c>
      <c r="P1683" t="str">
        <f t="shared" si="261"/>
        <v>Low</v>
      </c>
      <c r="Q1683" t="str">
        <f t="shared" si="262"/>
        <v>Low</v>
      </c>
      <c r="R1683" t="s">
        <v>3317</v>
      </c>
      <c r="S1683" s="4">
        <f t="shared" ca="1" si="263"/>
        <v>815</v>
      </c>
      <c r="T1683">
        <f t="shared" si="264"/>
        <v>1</v>
      </c>
      <c r="U1683">
        <f t="shared" si="265"/>
        <v>1</v>
      </c>
      <c r="V1683">
        <f t="shared" si="266"/>
        <v>1</v>
      </c>
      <c r="W1683">
        <f t="shared" si="267"/>
        <v>1</v>
      </c>
      <c r="X1683">
        <f t="shared" si="268"/>
        <v>0.99999999999999989</v>
      </c>
      <c r="Y1683" t="str">
        <f t="shared" si="269"/>
        <v>Healthy</v>
      </c>
    </row>
    <row r="1684" spans="1:25" x14ac:dyDescent="0.35">
      <c r="A1684" t="s">
        <v>90</v>
      </c>
      <c r="B1684" t="s">
        <v>91</v>
      </c>
      <c r="C1684" t="s">
        <v>478</v>
      </c>
      <c r="D1684" t="s">
        <v>1360</v>
      </c>
      <c r="E1684">
        <v>80838649</v>
      </c>
      <c r="F1684" t="s">
        <v>1361</v>
      </c>
      <c r="G1684" s="3">
        <v>46762</v>
      </c>
      <c r="H1684">
        <v>24</v>
      </c>
      <c r="I1684">
        <v>79</v>
      </c>
      <c r="J1684">
        <v>138</v>
      </c>
      <c r="K1684" s="4">
        <v>42996.66</v>
      </c>
      <c r="L1684" s="4">
        <v>11974.285714285714</v>
      </c>
      <c r="M1684" s="4">
        <v>1.1524695776664281E-2</v>
      </c>
      <c r="N1684" t="s">
        <v>25</v>
      </c>
      <c r="O1684" t="str">
        <f t="shared" si="260"/>
        <v>Low</v>
      </c>
      <c r="P1684" t="str">
        <f t="shared" si="261"/>
        <v>Low</v>
      </c>
      <c r="Q1684" t="str">
        <f t="shared" si="262"/>
        <v>Low</v>
      </c>
      <c r="R1684" t="s">
        <v>3317</v>
      </c>
      <c r="S1684" s="4">
        <f t="shared" ca="1" si="263"/>
        <v>565</v>
      </c>
      <c r="T1684">
        <f t="shared" si="264"/>
        <v>1</v>
      </c>
      <c r="U1684">
        <f t="shared" si="265"/>
        <v>1</v>
      </c>
      <c r="V1684">
        <f t="shared" si="266"/>
        <v>1</v>
      </c>
      <c r="W1684">
        <f t="shared" si="267"/>
        <v>1</v>
      </c>
      <c r="X1684">
        <f t="shared" si="268"/>
        <v>0.99999999999999989</v>
      </c>
      <c r="Y1684" t="str">
        <f t="shared" si="269"/>
        <v>Healthy</v>
      </c>
    </row>
    <row r="1685" spans="1:25" x14ac:dyDescent="0.35">
      <c r="A1685" t="s">
        <v>90</v>
      </c>
      <c r="B1685" t="s">
        <v>91</v>
      </c>
      <c r="C1685" t="s">
        <v>478</v>
      </c>
      <c r="D1685" t="s">
        <v>1360</v>
      </c>
      <c r="E1685">
        <v>80838649</v>
      </c>
      <c r="F1685" t="s">
        <v>1361</v>
      </c>
      <c r="G1685" s="3">
        <v>46656</v>
      </c>
      <c r="H1685">
        <v>24</v>
      </c>
      <c r="I1685">
        <v>64</v>
      </c>
      <c r="J1685">
        <v>86</v>
      </c>
      <c r="K1685" s="4">
        <v>26795.02</v>
      </c>
      <c r="L1685" s="4">
        <v>11974.285714285714</v>
      </c>
      <c r="M1685" s="4">
        <v>7.1820567883560012E-3</v>
      </c>
      <c r="N1685" t="s">
        <v>25</v>
      </c>
      <c r="O1685" t="str">
        <f t="shared" si="260"/>
        <v>Low</v>
      </c>
      <c r="P1685" t="str">
        <f t="shared" si="261"/>
        <v>Low</v>
      </c>
      <c r="Q1685" t="str">
        <f t="shared" si="262"/>
        <v>Low</v>
      </c>
      <c r="R1685" t="s">
        <v>3317</v>
      </c>
      <c r="S1685" s="4">
        <f t="shared" ca="1" si="263"/>
        <v>459</v>
      </c>
      <c r="T1685">
        <f t="shared" si="264"/>
        <v>1</v>
      </c>
      <c r="U1685">
        <f t="shared" si="265"/>
        <v>1</v>
      </c>
      <c r="V1685">
        <f t="shared" si="266"/>
        <v>1</v>
      </c>
      <c r="W1685">
        <f t="shared" si="267"/>
        <v>1</v>
      </c>
      <c r="X1685">
        <f t="shared" si="268"/>
        <v>0.99999999999999989</v>
      </c>
      <c r="Y1685" t="str">
        <f t="shared" si="269"/>
        <v>Healthy</v>
      </c>
    </row>
    <row r="1686" spans="1:25" x14ac:dyDescent="0.35">
      <c r="A1686" t="s">
        <v>90</v>
      </c>
      <c r="B1686" t="s">
        <v>91</v>
      </c>
      <c r="C1686" t="s">
        <v>478</v>
      </c>
      <c r="D1686" t="s">
        <v>1360</v>
      </c>
      <c r="E1686">
        <v>80838649</v>
      </c>
      <c r="F1686" t="s">
        <v>1361</v>
      </c>
      <c r="G1686" s="3">
        <v>46553</v>
      </c>
      <c r="H1686">
        <v>24</v>
      </c>
      <c r="I1686">
        <v>50</v>
      </c>
      <c r="J1686">
        <v>119</v>
      </c>
      <c r="K1686" s="4">
        <v>37076.83</v>
      </c>
      <c r="L1686" s="4">
        <v>11974.285714285714</v>
      </c>
      <c r="M1686" s="4">
        <v>9.9379623001670248E-3</v>
      </c>
      <c r="N1686" t="s">
        <v>25</v>
      </c>
      <c r="O1686" t="str">
        <f t="shared" si="260"/>
        <v>Low</v>
      </c>
      <c r="P1686" t="str">
        <f t="shared" si="261"/>
        <v>Low</v>
      </c>
      <c r="Q1686" t="str">
        <f t="shared" si="262"/>
        <v>Low</v>
      </c>
      <c r="R1686" t="s">
        <v>3317</v>
      </c>
      <c r="S1686" s="4">
        <f t="shared" ca="1" si="263"/>
        <v>356</v>
      </c>
      <c r="T1686">
        <f t="shared" si="264"/>
        <v>1</v>
      </c>
      <c r="U1686">
        <f t="shared" si="265"/>
        <v>1</v>
      </c>
      <c r="V1686">
        <f t="shared" si="266"/>
        <v>1</v>
      </c>
      <c r="W1686">
        <f t="shared" si="267"/>
        <v>1</v>
      </c>
      <c r="X1686">
        <f t="shared" si="268"/>
        <v>0.99999999999999989</v>
      </c>
      <c r="Y1686" t="str">
        <f t="shared" si="269"/>
        <v>Healthy</v>
      </c>
    </row>
    <row r="1687" spans="1:25" x14ac:dyDescent="0.35">
      <c r="A1687" t="s">
        <v>90</v>
      </c>
      <c r="B1687" t="s">
        <v>91</v>
      </c>
      <c r="C1687" t="s">
        <v>478</v>
      </c>
      <c r="D1687" t="s">
        <v>1360</v>
      </c>
      <c r="E1687">
        <v>80838649</v>
      </c>
      <c r="F1687" t="s">
        <v>1361</v>
      </c>
      <c r="G1687" s="3">
        <v>46665</v>
      </c>
      <c r="H1687">
        <v>24</v>
      </c>
      <c r="I1687">
        <v>66</v>
      </c>
      <c r="J1687">
        <v>9</v>
      </c>
      <c r="K1687" s="4">
        <v>2804.13</v>
      </c>
      <c r="L1687" s="4">
        <v>11974.285714285714</v>
      </c>
      <c r="M1687" s="4">
        <v>7.5161059413027915E-4</v>
      </c>
      <c r="N1687" t="s">
        <v>25</v>
      </c>
      <c r="O1687" t="str">
        <f t="shared" si="260"/>
        <v>Low</v>
      </c>
      <c r="P1687" t="str">
        <f t="shared" si="261"/>
        <v>Low</v>
      </c>
      <c r="Q1687" t="str">
        <f t="shared" si="262"/>
        <v>Low</v>
      </c>
      <c r="R1687" t="s">
        <v>3317</v>
      </c>
      <c r="S1687" s="4">
        <f t="shared" ca="1" si="263"/>
        <v>468</v>
      </c>
      <c r="T1687">
        <f t="shared" si="264"/>
        <v>1</v>
      </c>
      <c r="U1687">
        <f t="shared" si="265"/>
        <v>1</v>
      </c>
      <c r="V1687">
        <f t="shared" si="266"/>
        <v>1</v>
      </c>
      <c r="W1687">
        <f t="shared" si="267"/>
        <v>1</v>
      </c>
      <c r="X1687">
        <f t="shared" si="268"/>
        <v>0.99999999999999989</v>
      </c>
      <c r="Y1687" t="str">
        <f t="shared" si="269"/>
        <v>Healthy</v>
      </c>
    </row>
    <row r="1688" spans="1:25" x14ac:dyDescent="0.35">
      <c r="A1688" t="s">
        <v>90</v>
      </c>
      <c r="B1688" t="s">
        <v>91</v>
      </c>
      <c r="C1688" t="s">
        <v>478</v>
      </c>
      <c r="D1688" t="s">
        <v>1360</v>
      </c>
      <c r="E1688">
        <v>80838649</v>
      </c>
      <c r="F1688" t="s">
        <v>1361</v>
      </c>
      <c r="G1688" s="3">
        <v>46731</v>
      </c>
      <c r="H1688">
        <v>24</v>
      </c>
      <c r="I1688">
        <v>75</v>
      </c>
      <c r="J1688">
        <v>894</v>
      </c>
      <c r="K1688" s="4">
        <v>278543.58</v>
      </c>
      <c r="L1688" s="4">
        <v>11974.285714285714</v>
      </c>
      <c r="M1688" s="4">
        <v>7.4659985683607738E-2</v>
      </c>
      <c r="N1688" t="s">
        <v>25</v>
      </c>
      <c r="O1688" t="str">
        <f t="shared" si="260"/>
        <v>Low</v>
      </c>
      <c r="P1688" t="str">
        <f t="shared" si="261"/>
        <v>Low</v>
      </c>
      <c r="Q1688" t="str">
        <f t="shared" si="262"/>
        <v>Low</v>
      </c>
      <c r="R1688" t="s">
        <v>3309</v>
      </c>
      <c r="S1688" s="4">
        <f t="shared" ca="1" si="263"/>
        <v>534</v>
      </c>
      <c r="T1688">
        <f t="shared" si="264"/>
        <v>1</v>
      </c>
      <c r="U1688">
        <f t="shared" si="265"/>
        <v>1</v>
      </c>
      <c r="V1688">
        <f t="shared" si="266"/>
        <v>1</v>
      </c>
      <c r="W1688">
        <f t="shared" si="267"/>
        <v>3</v>
      </c>
      <c r="X1688">
        <f t="shared" si="268"/>
        <v>1.2</v>
      </c>
      <c r="Y1688" t="str">
        <f t="shared" si="269"/>
        <v>Healthy</v>
      </c>
    </row>
    <row r="1689" spans="1:25" x14ac:dyDescent="0.35">
      <c r="A1689" t="s">
        <v>90</v>
      </c>
      <c r="B1689" t="s">
        <v>91</v>
      </c>
      <c r="C1689" t="s">
        <v>478</v>
      </c>
      <c r="D1689" t="s">
        <v>1360</v>
      </c>
      <c r="E1689">
        <v>80838649</v>
      </c>
      <c r="F1689" t="s">
        <v>1361</v>
      </c>
      <c r="G1689" s="3">
        <v>46778</v>
      </c>
      <c r="H1689">
        <v>24</v>
      </c>
      <c r="I1689">
        <v>81</v>
      </c>
      <c r="J1689">
        <v>312</v>
      </c>
      <c r="K1689" s="4">
        <v>97209.84</v>
      </c>
      <c r="L1689" s="4">
        <v>11974.285714285714</v>
      </c>
      <c r="M1689" s="4">
        <v>2.605583392984968E-2</v>
      </c>
      <c r="N1689" t="s">
        <v>25</v>
      </c>
      <c r="O1689" t="str">
        <f t="shared" si="260"/>
        <v>Low</v>
      </c>
      <c r="P1689" t="str">
        <f t="shared" si="261"/>
        <v>Low</v>
      </c>
      <c r="Q1689" t="str">
        <f t="shared" si="262"/>
        <v>Low</v>
      </c>
      <c r="R1689" t="s">
        <v>3310</v>
      </c>
      <c r="S1689" s="4">
        <f t="shared" ca="1" si="263"/>
        <v>581</v>
      </c>
      <c r="T1689">
        <f t="shared" si="264"/>
        <v>1</v>
      </c>
      <c r="U1689">
        <f t="shared" si="265"/>
        <v>1</v>
      </c>
      <c r="V1689">
        <f t="shared" si="266"/>
        <v>1</v>
      </c>
      <c r="W1689">
        <f t="shared" si="267"/>
        <v>2</v>
      </c>
      <c r="X1689">
        <f t="shared" si="268"/>
        <v>1.0999999999999999</v>
      </c>
      <c r="Y1689" t="str">
        <f t="shared" si="269"/>
        <v>Healthy</v>
      </c>
    </row>
    <row r="1690" spans="1:25" x14ac:dyDescent="0.35">
      <c r="A1690" t="s">
        <v>90</v>
      </c>
      <c r="B1690" t="s">
        <v>91</v>
      </c>
      <c r="C1690" t="s">
        <v>478</v>
      </c>
      <c r="D1690" t="s">
        <v>1360</v>
      </c>
      <c r="E1690">
        <v>80838649</v>
      </c>
      <c r="F1690" t="s">
        <v>1361</v>
      </c>
      <c r="G1690" s="3">
        <v>46733</v>
      </c>
      <c r="H1690">
        <v>24</v>
      </c>
      <c r="I1690">
        <v>75</v>
      </c>
      <c r="J1690">
        <v>298</v>
      </c>
      <c r="K1690" s="4">
        <v>92847.86</v>
      </c>
      <c r="L1690" s="4">
        <v>11974.285714285714</v>
      </c>
      <c r="M1690" s="4">
        <v>2.4886661894535912E-2</v>
      </c>
      <c r="N1690" t="s">
        <v>25</v>
      </c>
      <c r="O1690" t="str">
        <f t="shared" si="260"/>
        <v>Low</v>
      </c>
      <c r="P1690" t="str">
        <f t="shared" si="261"/>
        <v>Low</v>
      </c>
      <c r="Q1690" t="str">
        <f t="shared" si="262"/>
        <v>Low</v>
      </c>
      <c r="R1690" t="s">
        <v>3310</v>
      </c>
      <c r="S1690" s="4">
        <f t="shared" ca="1" si="263"/>
        <v>536</v>
      </c>
      <c r="T1690">
        <f t="shared" si="264"/>
        <v>1</v>
      </c>
      <c r="U1690">
        <f t="shared" si="265"/>
        <v>1</v>
      </c>
      <c r="V1690">
        <f t="shared" si="266"/>
        <v>1</v>
      </c>
      <c r="W1690">
        <f t="shared" si="267"/>
        <v>2</v>
      </c>
      <c r="X1690">
        <f t="shared" si="268"/>
        <v>1.0999999999999999</v>
      </c>
      <c r="Y1690" t="str">
        <f t="shared" si="269"/>
        <v>Healthy</v>
      </c>
    </row>
    <row r="1691" spans="1:25" x14ac:dyDescent="0.35">
      <c r="A1691" t="s">
        <v>90</v>
      </c>
      <c r="B1691" t="s">
        <v>91</v>
      </c>
      <c r="C1691" t="s">
        <v>478</v>
      </c>
      <c r="D1691" t="s">
        <v>1360</v>
      </c>
      <c r="E1691">
        <v>80838649</v>
      </c>
      <c r="F1691" t="s">
        <v>1361</v>
      </c>
      <c r="G1691" s="3">
        <v>46711</v>
      </c>
      <c r="H1691">
        <v>24</v>
      </c>
      <c r="I1691">
        <v>72</v>
      </c>
      <c r="J1691">
        <v>340</v>
      </c>
      <c r="K1691" s="4">
        <v>105933.8</v>
      </c>
      <c r="L1691" s="4">
        <v>11974.285714285714</v>
      </c>
      <c r="M1691" s="4">
        <v>2.8394178000477215E-2</v>
      </c>
      <c r="N1691" t="s">
        <v>25</v>
      </c>
      <c r="O1691" t="str">
        <f t="shared" si="260"/>
        <v>Low</v>
      </c>
      <c r="P1691" t="str">
        <f t="shared" si="261"/>
        <v>Low</v>
      </c>
      <c r="Q1691" t="str">
        <f t="shared" si="262"/>
        <v>Low</v>
      </c>
      <c r="R1691" t="s">
        <v>3310</v>
      </c>
      <c r="S1691" s="4">
        <f t="shared" ca="1" si="263"/>
        <v>514</v>
      </c>
      <c r="T1691">
        <f t="shared" si="264"/>
        <v>1</v>
      </c>
      <c r="U1691">
        <f t="shared" si="265"/>
        <v>1</v>
      </c>
      <c r="V1691">
        <f t="shared" si="266"/>
        <v>1</v>
      </c>
      <c r="W1691">
        <f t="shared" si="267"/>
        <v>2</v>
      </c>
      <c r="X1691">
        <f t="shared" si="268"/>
        <v>1.0999999999999999</v>
      </c>
      <c r="Y1691" t="str">
        <f t="shared" si="269"/>
        <v>Healthy</v>
      </c>
    </row>
    <row r="1692" spans="1:25" x14ac:dyDescent="0.35">
      <c r="A1692" t="s">
        <v>90</v>
      </c>
      <c r="B1692" t="s">
        <v>91</v>
      </c>
      <c r="C1692" t="s">
        <v>478</v>
      </c>
      <c r="D1692" t="s">
        <v>1360</v>
      </c>
      <c r="E1692">
        <v>80838649</v>
      </c>
      <c r="F1692" t="s">
        <v>1361</v>
      </c>
      <c r="G1692" s="3">
        <v>46732</v>
      </c>
      <c r="H1692">
        <v>24</v>
      </c>
      <c r="I1692">
        <v>75</v>
      </c>
      <c r="J1692">
        <v>328</v>
      </c>
      <c r="K1692" s="4">
        <v>102194.96</v>
      </c>
      <c r="L1692" s="4">
        <v>11974.285714285714</v>
      </c>
      <c r="M1692" s="4">
        <v>2.7392030541636841E-2</v>
      </c>
      <c r="N1692" t="s">
        <v>25</v>
      </c>
      <c r="O1692" t="str">
        <f t="shared" si="260"/>
        <v>Low</v>
      </c>
      <c r="P1692" t="str">
        <f t="shared" si="261"/>
        <v>Low</v>
      </c>
      <c r="Q1692" t="str">
        <f t="shared" si="262"/>
        <v>Low</v>
      </c>
      <c r="R1692" t="s">
        <v>3310</v>
      </c>
      <c r="S1692" s="4">
        <f t="shared" ca="1" si="263"/>
        <v>535</v>
      </c>
      <c r="T1692">
        <f t="shared" si="264"/>
        <v>1</v>
      </c>
      <c r="U1692">
        <f t="shared" si="265"/>
        <v>1</v>
      </c>
      <c r="V1692">
        <f t="shared" si="266"/>
        <v>1</v>
      </c>
      <c r="W1692">
        <f t="shared" si="267"/>
        <v>2</v>
      </c>
      <c r="X1692">
        <f t="shared" si="268"/>
        <v>1.0999999999999999</v>
      </c>
      <c r="Y1692" t="str">
        <f t="shared" si="269"/>
        <v>Healthy</v>
      </c>
    </row>
    <row r="1693" spans="1:25" x14ac:dyDescent="0.35">
      <c r="A1693" t="s">
        <v>90</v>
      </c>
      <c r="B1693" t="s">
        <v>91</v>
      </c>
      <c r="C1693" t="s">
        <v>478</v>
      </c>
      <c r="D1693" t="s">
        <v>1360</v>
      </c>
      <c r="E1693">
        <v>80838649</v>
      </c>
      <c r="F1693" t="s">
        <v>1361</v>
      </c>
      <c r="G1693" s="3">
        <v>46710</v>
      </c>
      <c r="H1693">
        <v>24</v>
      </c>
      <c r="I1693">
        <v>72</v>
      </c>
      <c r="J1693">
        <v>952</v>
      </c>
      <c r="K1693" s="4">
        <v>296614.64</v>
      </c>
      <c r="L1693" s="4">
        <v>11974.285714285714</v>
      </c>
      <c r="M1693" s="4">
        <v>7.9503698401336198E-2</v>
      </c>
      <c r="N1693" t="s">
        <v>25</v>
      </c>
      <c r="O1693" t="str">
        <f t="shared" si="260"/>
        <v>Low</v>
      </c>
      <c r="P1693" t="str">
        <f t="shared" si="261"/>
        <v>Low</v>
      </c>
      <c r="Q1693" t="str">
        <f t="shared" si="262"/>
        <v>Low</v>
      </c>
      <c r="R1693" t="s">
        <v>3309</v>
      </c>
      <c r="S1693" s="4">
        <f t="shared" ca="1" si="263"/>
        <v>513</v>
      </c>
      <c r="T1693">
        <f t="shared" si="264"/>
        <v>1</v>
      </c>
      <c r="U1693">
        <f t="shared" si="265"/>
        <v>1</v>
      </c>
      <c r="V1693">
        <f t="shared" si="266"/>
        <v>1</v>
      </c>
      <c r="W1693">
        <f t="shared" si="267"/>
        <v>3</v>
      </c>
      <c r="X1693">
        <f t="shared" si="268"/>
        <v>1.2</v>
      </c>
      <c r="Y1693" t="str">
        <f t="shared" si="269"/>
        <v>Healthy</v>
      </c>
    </row>
    <row r="1694" spans="1:25" x14ac:dyDescent="0.35">
      <c r="A1694" t="s">
        <v>90</v>
      </c>
      <c r="B1694" t="s">
        <v>91</v>
      </c>
      <c r="C1694" t="s">
        <v>478</v>
      </c>
      <c r="D1694" t="s">
        <v>1360</v>
      </c>
      <c r="E1694">
        <v>80838649</v>
      </c>
      <c r="F1694" t="s">
        <v>1361</v>
      </c>
      <c r="G1694" s="3">
        <v>46730</v>
      </c>
      <c r="H1694">
        <v>24</v>
      </c>
      <c r="I1694">
        <v>75</v>
      </c>
      <c r="J1694">
        <v>341</v>
      </c>
      <c r="K1694" s="4">
        <v>106245.37</v>
      </c>
      <c r="L1694" s="4">
        <v>11974.285714285714</v>
      </c>
      <c r="M1694" s="4">
        <v>2.847769028871391E-2</v>
      </c>
      <c r="N1694" t="s">
        <v>25</v>
      </c>
      <c r="O1694" t="str">
        <f t="shared" si="260"/>
        <v>Low</v>
      </c>
      <c r="P1694" t="str">
        <f t="shared" si="261"/>
        <v>Low</v>
      </c>
      <c r="Q1694" t="str">
        <f t="shared" si="262"/>
        <v>Low</v>
      </c>
      <c r="R1694" t="s">
        <v>3310</v>
      </c>
      <c r="S1694" s="4">
        <f t="shared" ca="1" si="263"/>
        <v>533</v>
      </c>
      <c r="T1694">
        <f t="shared" si="264"/>
        <v>1</v>
      </c>
      <c r="U1694">
        <f t="shared" si="265"/>
        <v>1</v>
      </c>
      <c r="V1694">
        <f t="shared" si="266"/>
        <v>1</v>
      </c>
      <c r="W1694">
        <f t="shared" si="267"/>
        <v>2</v>
      </c>
      <c r="X1694">
        <f t="shared" si="268"/>
        <v>1.0999999999999999</v>
      </c>
      <c r="Y1694" t="str">
        <f t="shared" si="269"/>
        <v>Healthy</v>
      </c>
    </row>
    <row r="1695" spans="1:25" x14ac:dyDescent="0.35">
      <c r="A1695" t="s">
        <v>90</v>
      </c>
      <c r="B1695" t="s">
        <v>91</v>
      </c>
      <c r="C1695" t="s">
        <v>478</v>
      </c>
      <c r="D1695" t="s">
        <v>1360</v>
      </c>
      <c r="E1695">
        <v>80838649</v>
      </c>
      <c r="F1695" t="s">
        <v>1361</v>
      </c>
      <c r="G1695" s="3">
        <v>46711</v>
      </c>
      <c r="H1695">
        <v>24</v>
      </c>
      <c r="I1695">
        <v>72</v>
      </c>
      <c r="J1695">
        <v>151</v>
      </c>
      <c r="K1695" s="4">
        <v>47047.07</v>
      </c>
      <c r="L1695" s="4">
        <v>11974.285714285714</v>
      </c>
      <c r="M1695" s="4">
        <v>1.2610355523741351E-2</v>
      </c>
      <c r="N1695" t="s">
        <v>25</v>
      </c>
      <c r="O1695" t="str">
        <f t="shared" si="260"/>
        <v>Low</v>
      </c>
      <c r="P1695" t="str">
        <f t="shared" si="261"/>
        <v>Low</v>
      </c>
      <c r="Q1695" t="str">
        <f t="shared" si="262"/>
        <v>Low</v>
      </c>
      <c r="R1695" t="s">
        <v>3317</v>
      </c>
      <c r="S1695" s="4">
        <f t="shared" ca="1" si="263"/>
        <v>514</v>
      </c>
      <c r="T1695">
        <f t="shared" si="264"/>
        <v>1</v>
      </c>
      <c r="U1695">
        <f t="shared" si="265"/>
        <v>1</v>
      </c>
      <c r="V1695">
        <f t="shared" si="266"/>
        <v>1</v>
      </c>
      <c r="W1695">
        <f t="shared" si="267"/>
        <v>1</v>
      </c>
      <c r="X1695">
        <f t="shared" si="268"/>
        <v>0.99999999999999989</v>
      </c>
      <c r="Y1695" t="str">
        <f t="shared" si="269"/>
        <v>Healthy</v>
      </c>
    </row>
    <row r="1696" spans="1:25" x14ac:dyDescent="0.35">
      <c r="A1696" t="s">
        <v>90</v>
      </c>
      <c r="B1696" t="s">
        <v>91</v>
      </c>
      <c r="C1696" t="s">
        <v>478</v>
      </c>
      <c r="D1696" t="s">
        <v>1360</v>
      </c>
      <c r="E1696">
        <v>80838649</v>
      </c>
      <c r="F1696" t="s">
        <v>1361</v>
      </c>
      <c r="G1696" s="3">
        <v>46680</v>
      </c>
      <c r="H1696">
        <v>24</v>
      </c>
      <c r="I1696">
        <v>68</v>
      </c>
      <c r="J1696">
        <v>341</v>
      </c>
      <c r="K1696" s="4">
        <v>106245.37</v>
      </c>
      <c r="L1696" s="4">
        <v>11974.285714285714</v>
      </c>
      <c r="M1696" s="4">
        <v>2.847769028871391E-2</v>
      </c>
      <c r="N1696" t="s">
        <v>25</v>
      </c>
      <c r="O1696" t="str">
        <f t="shared" si="260"/>
        <v>Low</v>
      </c>
      <c r="P1696" t="str">
        <f t="shared" si="261"/>
        <v>Low</v>
      </c>
      <c r="Q1696" t="str">
        <f t="shared" si="262"/>
        <v>Low</v>
      </c>
      <c r="R1696" t="s">
        <v>3310</v>
      </c>
      <c r="S1696" s="4">
        <f t="shared" ca="1" si="263"/>
        <v>483</v>
      </c>
      <c r="T1696">
        <f t="shared" si="264"/>
        <v>1</v>
      </c>
      <c r="U1696">
        <f t="shared" si="265"/>
        <v>1</v>
      </c>
      <c r="V1696">
        <f t="shared" si="266"/>
        <v>1</v>
      </c>
      <c r="W1696">
        <f t="shared" si="267"/>
        <v>2</v>
      </c>
      <c r="X1696">
        <f t="shared" si="268"/>
        <v>1.0999999999999999</v>
      </c>
      <c r="Y1696" t="str">
        <f t="shared" si="269"/>
        <v>Healthy</v>
      </c>
    </row>
    <row r="1697" spans="1:25" x14ac:dyDescent="0.35">
      <c r="A1697" t="s">
        <v>90</v>
      </c>
      <c r="B1697" t="s">
        <v>91</v>
      </c>
      <c r="C1697" t="s">
        <v>478</v>
      </c>
      <c r="D1697" t="s">
        <v>1360</v>
      </c>
      <c r="E1697">
        <v>80838649</v>
      </c>
      <c r="F1697" t="s">
        <v>1361</v>
      </c>
      <c r="G1697" s="3">
        <v>46712</v>
      </c>
      <c r="H1697">
        <v>24</v>
      </c>
      <c r="I1697">
        <v>72</v>
      </c>
      <c r="J1697">
        <v>1040</v>
      </c>
      <c r="K1697" s="4">
        <v>324032.8</v>
      </c>
      <c r="L1697" s="4">
        <v>11974.285714285714</v>
      </c>
      <c r="M1697" s="4">
        <v>8.6852779766165594E-2</v>
      </c>
      <c r="N1697" t="s">
        <v>25</v>
      </c>
      <c r="O1697" t="str">
        <f t="shared" si="260"/>
        <v>Low</v>
      </c>
      <c r="P1697" t="str">
        <f t="shared" si="261"/>
        <v>Low</v>
      </c>
      <c r="Q1697" t="str">
        <f t="shared" si="262"/>
        <v>Low</v>
      </c>
      <c r="R1697" t="s">
        <v>3309</v>
      </c>
      <c r="S1697" s="4">
        <f t="shared" ca="1" si="263"/>
        <v>515</v>
      </c>
      <c r="T1697">
        <f t="shared" si="264"/>
        <v>1</v>
      </c>
      <c r="U1697">
        <f t="shared" si="265"/>
        <v>1</v>
      </c>
      <c r="V1697">
        <f t="shared" si="266"/>
        <v>1</v>
      </c>
      <c r="W1697">
        <f t="shared" si="267"/>
        <v>3</v>
      </c>
      <c r="X1697">
        <f t="shared" si="268"/>
        <v>1.2</v>
      </c>
      <c r="Y1697" t="str">
        <f t="shared" si="269"/>
        <v>Healthy</v>
      </c>
    </row>
    <row r="1698" spans="1:25" x14ac:dyDescent="0.35">
      <c r="A1698" t="s">
        <v>90</v>
      </c>
      <c r="B1698" t="s">
        <v>91</v>
      </c>
      <c r="C1698" t="s">
        <v>478</v>
      </c>
      <c r="D1698" t="s">
        <v>1360</v>
      </c>
      <c r="E1698">
        <v>80838649</v>
      </c>
      <c r="F1698" t="s">
        <v>1361</v>
      </c>
      <c r="G1698" s="3">
        <v>46698</v>
      </c>
      <c r="H1698">
        <v>24</v>
      </c>
      <c r="I1698">
        <v>70</v>
      </c>
      <c r="J1698">
        <v>4</v>
      </c>
      <c r="K1698" s="4">
        <v>1246.28</v>
      </c>
      <c r="L1698" s="4">
        <v>11974.285714285714</v>
      </c>
      <c r="M1698" s="4">
        <v>3.3404915294679076E-4</v>
      </c>
      <c r="N1698" t="s">
        <v>25</v>
      </c>
      <c r="O1698" t="str">
        <f t="shared" si="260"/>
        <v>Low</v>
      </c>
      <c r="P1698" t="str">
        <f t="shared" si="261"/>
        <v>Low</v>
      </c>
      <c r="Q1698" t="str">
        <f t="shared" si="262"/>
        <v>Low</v>
      </c>
      <c r="R1698" t="s">
        <v>3317</v>
      </c>
      <c r="S1698" s="4">
        <f t="shared" ca="1" si="263"/>
        <v>501</v>
      </c>
      <c r="T1698">
        <f t="shared" si="264"/>
        <v>1</v>
      </c>
      <c r="U1698">
        <f t="shared" si="265"/>
        <v>1</v>
      </c>
      <c r="V1698">
        <f t="shared" si="266"/>
        <v>1</v>
      </c>
      <c r="W1698">
        <f t="shared" si="267"/>
        <v>1</v>
      </c>
      <c r="X1698">
        <f t="shared" si="268"/>
        <v>0.99999999999999989</v>
      </c>
      <c r="Y1698" t="str">
        <f t="shared" si="269"/>
        <v>Healthy</v>
      </c>
    </row>
    <row r="1699" spans="1:25" x14ac:dyDescent="0.35">
      <c r="A1699" t="s">
        <v>90</v>
      </c>
      <c r="B1699" t="s">
        <v>91</v>
      </c>
      <c r="C1699" t="s">
        <v>478</v>
      </c>
      <c r="D1699" t="s">
        <v>1360</v>
      </c>
      <c r="E1699">
        <v>80838649</v>
      </c>
      <c r="F1699" t="s">
        <v>1361</v>
      </c>
      <c r="G1699" s="3">
        <v>46734</v>
      </c>
      <c r="H1699">
        <v>24</v>
      </c>
      <c r="I1699">
        <v>75</v>
      </c>
      <c r="J1699">
        <v>108</v>
      </c>
      <c r="K1699" s="4">
        <v>33649.56</v>
      </c>
      <c r="L1699" s="4">
        <v>11974.285714285714</v>
      </c>
      <c r="M1699" s="4">
        <v>9.0193271295633502E-3</v>
      </c>
      <c r="N1699" t="s">
        <v>25</v>
      </c>
      <c r="O1699" t="str">
        <f t="shared" si="260"/>
        <v>Low</v>
      </c>
      <c r="P1699" t="str">
        <f t="shared" si="261"/>
        <v>Low</v>
      </c>
      <c r="Q1699" t="str">
        <f t="shared" si="262"/>
        <v>Low</v>
      </c>
      <c r="R1699" t="s">
        <v>3317</v>
      </c>
      <c r="S1699" s="4">
        <f t="shared" ca="1" si="263"/>
        <v>537</v>
      </c>
      <c r="T1699">
        <f t="shared" si="264"/>
        <v>1</v>
      </c>
      <c r="U1699">
        <f t="shared" si="265"/>
        <v>1</v>
      </c>
      <c r="V1699">
        <f t="shared" si="266"/>
        <v>1</v>
      </c>
      <c r="W1699">
        <f t="shared" si="267"/>
        <v>1</v>
      </c>
      <c r="X1699">
        <f t="shared" si="268"/>
        <v>0.99999999999999989</v>
      </c>
      <c r="Y1699" t="str">
        <f t="shared" si="269"/>
        <v>Healthy</v>
      </c>
    </row>
    <row r="1700" spans="1:25" x14ac:dyDescent="0.35">
      <c r="A1700" t="s">
        <v>90</v>
      </c>
      <c r="B1700" t="s">
        <v>91</v>
      </c>
      <c r="C1700" t="s">
        <v>478</v>
      </c>
      <c r="D1700" t="s">
        <v>1360</v>
      </c>
      <c r="E1700">
        <v>80838649</v>
      </c>
      <c r="F1700" t="s">
        <v>1361</v>
      </c>
      <c r="G1700" s="3">
        <v>46762</v>
      </c>
      <c r="H1700">
        <v>24</v>
      </c>
      <c r="I1700">
        <v>79</v>
      </c>
      <c r="J1700">
        <v>96</v>
      </c>
      <c r="K1700" s="4">
        <v>29910.720000000001</v>
      </c>
      <c r="L1700" s="4">
        <v>11974.285714285714</v>
      </c>
      <c r="M1700" s="4">
        <v>8.0171796707229782E-3</v>
      </c>
      <c r="N1700" t="s">
        <v>25</v>
      </c>
      <c r="O1700" t="str">
        <f t="shared" si="260"/>
        <v>Low</v>
      </c>
      <c r="P1700" t="str">
        <f t="shared" si="261"/>
        <v>Low</v>
      </c>
      <c r="Q1700" t="str">
        <f t="shared" si="262"/>
        <v>Low</v>
      </c>
      <c r="R1700" t="s">
        <v>3317</v>
      </c>
      <c r="S1700" s="4">
        <f t="shared" ca="1" si="263"/>
        <v>565</v>
      </c>
      <c r="T1700">
        <f t="shared" si="264"/>
        <v>1</v>
      </c>
      <c r="U1700">
        <f t="shared" si="265"/>
        <v>1</v>
      </c>
      <c r="V1700">
        <f t="shared" si="266"/>
        <v>1</v>
      </c>
      <c r="W1700">
        <f t="shared" si="267"/>
        <v>1</v>
      </c>
      <c r="X1700">
        <f t="shared" si="268"/>
        <v>0.99999999999999989</v>
      </c>
      <c r="Y1700" t="str">
        <f t="shared" si="269"/>
        <v>Healthy</v>
      </c>
    </row>
    <row r="1701" spans="1:25" x14ac:dyDescent="0.35">
      <c r="A1701" t="s">
        <v>90</v>
      </c>
      <c r="B1701" t="s">
        <v>91</v>
      </c>
      <c r="C1701" t="s">
        <v>478</v>
      </c>
      <c r="D1701" t="s">
        <v>1360</v>
      </c>
      <c r="E1701">
        <v>80838649</v>
      </c>
      <c r="F1701" t="s">
        <v>1361</v>
      </c>
      <c r="G1701" s="3">
        <v>46670</v>
      </c>
      <c r="H1701">
        <v>24</v>
      </c>
      <c r="I1701">
        <v>66</v>
      </c>
      <c r="J1701">
        <v>129</v>
      </c>
      <c r="K1701" s="4">
        <v>40192.53</v>
      </c>
      <c r="L1701" s="4">
        <v>11974.285714285714</v>
      </c>
      <c r="M1701" s="4">
        <v>1.0773085182534002E-2</v>
      </c>
      <c r="N1701" t="s">
        <v>25</v>
      </c>
      <c r="O1701" t="str">
        <f t="shared" si="260"/>
        <v>Low</v>
      </c>
      <c r="P1701" t="str">
        <f t="shared" si="261"/>
        <v>Low</v>
      </c>
      <c r="Q1701" t="str">
        <f t="shared" si="262"/>
        <v>Low</v>
      </c>
      <c r="R1701" t="s">
        <v>3317</v>
      </c>
      <c r="S1701" s="4">
        <f t="shared" ca="1" si="263"/>
        <v>473</v>
      </c>
      <c r="T1701">
        <f t="shared" si="264"/>
        <v>1</v>
      </c>
      <c r="U1701">
        <f t="shared" si="265"/>
        <v>1</v>
      </c>
      <c r="V1701">
        <f t="shared" si="266"/>
        <v>1</v>
      </c>
      <c r="W1701">
        <f t="shared" si="267"/>
        <v>1</v>
      </c>
      <c r="X1701">
        <f t="shared" si="268"/>
        <v>0.99999999999999989</v>
      </c>
      <c r="Y1701" t="str">
        <f t="shared" si="269"/>
        <v>Healthy</v>
      </c>
    </row>
    <row r="1702" spans="1:25" x14ac:dyDescent="0.35">
      <c r="A1702" t="s">
        <v>90</v>
      </c>
      <c r="B1702" t="s">
        <v>91</v>
      </c>
      <c r="C1702" t="s">
        <v>478</v>
      </c>
      <c r="D1702" t="s">
        <v>1360</v>
      </c>
      <c r="E1702">
        <v>80838649</v>
      </c>
      <c r="F1702" t="s">
        <v>1361</v>
      </c>
      <c r="G1702" s="3">
        <v>46656</v>
      </c>
      <c r="H1702">
        <v>24</v>
      </c>
      <c r="I1702">
        <v>64</v>
      </c>
      <c r="J1702">
        <v>120</v>
      </c>
      <c r="K1702" s="4">
        <v>37388.400000000001</v>
      </c>
      <c r="L1702" s="4">
        <v>11974.285714285714</v>
      </c>
      <c r="M1702" s="4">
        <v>1.0021474588403722E-2</v>
      </c>
      <c r="N1702" t="s">
        <v>25</v>
      </c>
      <c r="O1702" t="str">
        <f t="shared" si="260"/>
        <v>Low</v>
      </c>
      <c r="P1702" t="str">
        <f t="shared" si="261"/>
        <v>Low</v>
      </c>
      <c r="Q1702" t="str">
        <f t="shared" si="262"/>
        <v>Low</v>
      </c>
      <c r="R1702" t="s">
        <v>3317</v>
      </c>
      <c r="S1702" s="4">
        <f t="shared" ca="1" si="263"/>
        <v>459</v>
      </c>
      <c r="T1702">
        <f t="shared" si="264"/>
        <v>1</v>
      </c>
      <c r="U1702">
        <f t="shared" si="265"/>
        <v>1</v>
      </c>
      <c r="V1702">
        <f t="shared" si="266"/>
        <v>1</v>
      </c>
      <c r="W1702">
        <f t="shared" si="267"/>
        <v>1</v>
      </c>
      <c r="X1702">
        <f t="shared" si="268"/>
        <v>0.99999999999999989</v>
      </c>
      <c r="Y1702" t="str">
        <f t="shared" si="269"/>
        <v>Healthy</v>
      </c>
    </row>
    <row r="1703" spans="1:25" x14ac:dyDescent="0.35">
      <c r="A1703" t="s">
        <v>90</v>
      </c>
      <c r="B1703" t="s">
        <v>91</v>
      </c>
      <c r="C1703" t="s">
        <v>478</v>
      </c>
      <c r="D1703" t="s">
        <v>1360</v>
      </c>
      <c r="E1703">
        <v>80838649</v>
      </c>
      <c r="F1703" t="s">
        <v>1361</v>
      </c>
      <c r="G1703" s="3">
        <v>46698</v>
      </c>
      <c r="H1703">
        <v>24</v>
      </c>
      <c r="I1703">
        <v>70</v>
      </c>
      <c r="J1703">
        <v>286</v>
      </c>
      <c r="K1703" s="4">
        <v>89109.02</v>
      </c>
      <c r="L1703" s="4">
        <v>11974.285714285714</v>
      </c>
      <c r="M1703" s="4">
        <v>2.3884514435695538E-2</v>
      </c>
      <c r="N1703" t="s">
        <v>25</v>
      </c>
      <c r="O1703" t="str">
        <f t="shared" si="260"/>
        <v>Low</v>
      </c>
      <c r="P1703" t="str">
        <f t="shared" si="261"/>
        <v>Low</v>
      </c>
      <c r="Q1703" t="str">
        <f t="shared" si="262"/>
        <v>Low</v>
      </c>
      <c r="R1703" t="s">
        <v>3310</v>
      </c>
      <c r="S1703" s="4">
        <f t="shared" ca="1" si="263"/>
        <v>501</v>
      </c>
      <c r="T1703">
        <f t="shared" si="264"/>
        <v>1</v>
      </c>
      <c r="U1703">
        <f t="shared" si="265"/>
        <v>1</v>
      </c>
      <c r="V1703">
        <f t="shared" si="266"/>
        <v>1</v>
      </c>
      <c r="W1703">
        <f t="shared" si="267"/>
        <v>2</v>
      </c>
      <c r="X1703">
        <f t="shared" si="268"/>
        <v>1.0999999999999999</v>
      </c>
      <c r="Y1703" t="str">
        <f t="shared" si="269"/>
        <v>Healthy</v>
      </c>
    </row>
    <row r="1704" spans="1:25" x14ac:dyDescent="0.35">
      <c r="A1704" t="s">
        <v>99</v>
      </c>
      <c r="B1704" t="s">
        <v>100</v>
      </c>
      <c r="C1704" t="s">
        <v>101</v>
      </c>
      <c r="D1704" t="s">
        <v>1362</v>
      </c>
      <c r="E1704">
        <v>82325382</v>
      </c>
      <c r="F1704" t="s">
        <v>1363</v>
      </c>
      <c r="G1704" s="3">
        <v>45570</v>
      </c>
      <c r="H1704">
        <v>18</v>
      </c>
      <c r="I1704">
        <v>0</v>
      </c>
      <c r="J1704">
        <v>31</v>
      </c>
      <c r="K1704" s="4">
        <v>5580</v>
      </c>
      <c r="L1704" s="4">
        <f>0</f>
        <v>0</v>
      </c>
      <c r="M1704" s="4">
        <f>999</f>
        <v>999</v>
      </c>
      <c r="N1704" t="s">
        <v>19</v>
      </c>
      <c r="O1704" t="str">
        <f t="shared" si="260"/>
        <v>High</v>
      </c>
      <c r="P1704" t="str">
        <f t="shared" si="261"/>
        <v>High</v>
      </c>
      <c r="Q1704" t="str">
        <f t="shared" si="262"/>
        <v>High</v>
      </c>
      <c r="R1704" t="s">
        <v>3317</v>
      </c>
      <c r="S1704" s="4">
        <f t="shared" ca="1" si="263"/>
        <v>-627</v>
      </c>
      <c r="T1704">
        <f t="shared" si="264"/>
        <v>3</v>
      </c>
      <c r="U1704">
        <f t="shared" si="265"/>
        <v>3</v>
      </c>
      <c r="V1704">
        <f t="shared" si="266"/>
        <v>3</v>
      </c>
      <c r="W1704">
        <f t="shared" si="267"/>
        <v>1</v>
      </c>
      <c r="X1704">
        <f t="shared" si="268"/>
        <v>2.8000000000000003</v>
      </c>
      <c r="Y1704" t="str">
        <f t="shared" si="269"/>
        <v>Move Immediately</v>
      </c>
    </row>
    <row r="1705" spans="1:25" x14ac:dyDescent="0.35">
      <c r="A1705" t="s">
        <v>90</v>
      </c>
      <c r="B1705" t="s">
        <v>91</v>
      </c>
      <c r="C1705" t="s">
        <v>478</v>
      </c>
      <c r="D1705" t="s">
        <v>1360</v>
      </c>
      <c r="E1705">
        <v>80838649</v>
      </c>
      <c r="F1705" t="s">
        <v>1361</v>
      </c>
      <c r="G1705" s="3">
        <v>46712</v>
      </c>
      <c r="H1705">
        <v>24</v>
      </c>
      <c r="I1705">
        <v>72</v>
      </c>
      <c r="J1705">
        <v>133</v>
      </c>
      <c r="K1705" s="4">
        <v>41438.81</v>
      </c>
      <c r="L1705" s="4">
        <v>11974.285714285714</v>
      </c>
      <c r="M1705" s="4">
        <v>1.1107134335480792E-2</v>
      </c>
      <c r="N1705" t="s">
        <v>25</v>
      </c>
      <c r="O1705" t="str">
        <f t="shared" si="260"/>
        <v>Low</v>
      </c>
      <c r="P1705" t="str">
        <f t="shared" si="261"/>
        <v>Low</v>
      </c>
      <c r="Q1705" t="str">
        <f t="shared" si="262"/>
        <v>Low</v>
      </c>
      <c r="R1705" t="s">
        <v>3317</v>
      </c>
      <c r="S1705" s="4">
        <f t="shared" ca="1" si="263"/>
        <v>515</v>
      </c>
      <c r="T1705">
        <f t="shared" si="264"/>
        <v>1</v>
      </c>
      <c r="U1705">
        <f t="shared" si="265"/>
        <v>1</v>
      </c>
      <c r="V1705">
        <f t="shared" si="266"/>
        <v>1</v>
      </c>
      <c r="W1705">
        <f t="shared" si="267"/>
        <v>1</v>
      </c>
      <c r="X1705">
        <f t="shared" si="268"/>
        <v>0.99999999999999989</v>
      </c>
      <c r="Y1705" t="str">
        <f t="shared" si="269"/>
        <v>Healthy</v>
      </c>
    </row>
    <row r="1706" spans="1:25" x14ac:dyDescent="0.35">
      <c r="A1706" t="s">
        <v>99</v>
      </c>
      <c r="B1706" t="s">
        <v>100</v>
      </c>
      <c r="C1706" t="s">
        <v>101</v>
      </c>
      <c r="D1706" t="s">
        <v>1362</v>
      </c>
      <c r="E1706">
        <v>82325382</v>
      </c>
      <c r="F1706" t="s">
        <v>1363</v>
      </c>
      <c r="G1706" s="3">
        <v>46049</v>
      </c>
      <c r="H1706">
        <v>18</v>
      </c>
      <c r="I1706">
        <v>0</v>
      </c>
      <c r="J1706">
        <v>1298</v>
      </c>
      <c r="K1706" s="4">
        <v>233640</v>
      </c>
      <c r="L1706" s="4">
        <f>0</f>
        <v>0</v>
      </c>
      <c r="M1706" s="4">
        <f>999</f>
        <v>999</v>
      </c>
      <c r="N1706" t="s">
        <v>19</v>
      </c>
      <c r="O1706" t="str">
        <f t="shared" si="260"/>
        <v>High</v>
      </c>
      <c r="P1706" t="str">
        <f t="shared" si="261"/>
        <v>High</v>
      </c>
      <c r="Q1706" t="str">
        <f t="shared" si="262"/>
        <v>High</v>
      </c>
      <c r="R1706" t="s">
        <v>3309</v>
      </c>
      <c r="S1706" s="4">
        <f t="shared" ca="1" si="263"/>
        <v>-148</v>
      </c>
      <c r="T1706">
        <f t="shared" si="264"/>
        <v>3</v>
      </c>
      <c r="U1706">
        <f t="shared" si="265"/>
        <v>3</v>
      </c>
      <c r="V1706">
        <f t="shared" si="266"/>
        <v>3</v>
      </c>
      <c r="W1706">
        <f t="shared" si="267"/>
        <v>3</v>
      </c>
      <c r="X1706">
        <f t="shared" si="268"/>
        <v>3</v>
      </c>
      <c r="Y1706" t="str">
        <f t="shared" si="269"/>
        <v>Move Immediately</v>
      </c>
    </row>
    <row r="1707" spans="1:25" x14ac:dyDescent="0.35">
      <c r="A1707" t="s">
        <v>99</v>
      </c>
      <c r="B1707" t="s">
        <v>100</v>
      </c>
      <c r="C1707" t="s">
        <v>101</v>
      </c>
      <c r="D1707" t="s">
        <v>1362</v>
      </c>
      <c r="E1707">
        <v>82325382</v>
      </c>
      <c r="F1707" t="s">
        <v>1363</v>
      </c>
      <c r="G1707" s="3">
        <v>45240</v>
      </c>
      <c r="H1707">
        <v>18</v>
      </c>
      <c r="I1707">
        <v>0</v>
      </c>
      <c r="J1707">
        <v>47</v>
      </c>
      <c r="K1707" s="4">
        <v>8460</v>
      </c>
      <c r="L1707" s="4">
        <f>0</f>
        <v>0</v>
      </c>
      <c r="M1707" s="4">
        <f>999</f>
        <v>999</v>
      </c>
      <c r="N1707" t="s">
        <v>19</v>
      </c>
      <c r="O1707" t="str">
        <f t="shared" si="260"/>
        <v>High</v>
      </c>
      <c r="P1707" t="str">
        <f t="shared" si="261"/>
        <v>High</v>
      </c>
      <c r="Q1707" t="str">
        <f t="shared" si="262"/>
        <v>High</v>
      </c>
      <c r="R1707" t="s">
        <v>3317</v>
      </c>
      <c r="S1707" s="4">
        <f t="shared" ca="1" si="263"/>
        <v>-957</v>
      </c>
      <c r="T1707">
        <f t="shared" si="264"/>
        <v>3</v>
      </c>
      <c r="U1707">
        <f t="shared" si="265"/>
        <v>3</v>
      </c>
      <c r="V1707">
        <f t="shared" si="266"/>
        <v>3</v>
      </c>
      <c r="W1707">
        <f t="shared" si="267"/>
        <v>1</v>
      </c>
      <c r="X1707">
        <f t="shared" si="268"/>
        <v>2.8000000000000003</v>
      </c>
      <c r="Y1707" t="str">
        <f t="shared" si="269"/>
        <v>Move Immediately</v>
      </c>
    </row>
    <row r="1708" spans="1:25" x14ac:dyDescent="0.35">
      <c r="A1708" t="s">
        <v>99</v>
      </c>
      <c r="B1708" t="s">
        <v>100</v>
      </c>
      <c r="C1708" t="s">
        <v>101</v>
      </c>
      <c r="D1708" t="s">
        <v>1362</v>
      </c>
      <c r="E1708">
        <v>82325382</v>
      </c>
      <c r="F1708" t="s">
        <v>1363</v>
      </c>
      <c r="G1708" s="3">
        <v>46085</v>
      </c>
      <c r="H1708">
        <v>18</v>
      </c>
      <c r="I1708">
        <v>0</v>
      </c>
      <c r="J1708">
        <v>96</v>
      </c>
      <c r="K1708" s="4">
        <v>17280</v>
      </c>
      <c r="L1708" s="4">
        <f>0</f>
        <v>0</v>
      </c>
      <c r="M1708" s="4">
        <f>999</f>
        <v>999</v>
      </c>
      <c r="N1708" t="s">
        <v>19</v>
      </c>
      <c r="O1708" t="str">
        <f t="shared" si="260"/>
        <v>High</v>
      </c>
      <c r="P1708" t="str">
        <f t="shared" si="261"/>
        <v>High</v>
      </c>
      <c r="Q1708" t="str">
        <f t="shared" si="262"/>
        <v>High</v>
      </c>
      <c r="R1708" t="s">
        <v>3317</v>
      </c>
      <c r="S1708" s="4">
        <f t="shared" ca="1" si="263"/>
        <v>-112</v>
      </c>
      <c r="T1708">
        <f t="shared" si="264"/>
        <v>3</v>
      </c>
      <c r="U1708">
        <f t="shared" si="265"/>
        <v>3</v>
      </c>
      <c r="V1708">
        <f t="shared" si="266"/>
        <v>3</v>
      </c>
      <c r="W1708">
        <f t="shared" si="267"/>
        <v>1</v>
      </c>
      <c r="X1708">
        <f t="shared" si="268"/>
        <v>2.8000000000000003</v>
      </c>
      <c r="Y1708" t="str">
        <f t="shared" si="269"/>
        <v>Move Immediately</v>
      </c>
    </row>
    <row r="1709" spans="1:25" x14ac:dyDescent="0.35">
      <c r="A1709" t="s">
        <v>90</v>
      </c>
      <c r="B1709" t="s">
        <v>217</v>
      </c>
      <c r="C1709" t="s">
        <v>533</v>
      </c>
      <c r="D1709" t="s">
        <v>628</v>
      </c>
      <c r="E1709">
        <v>80873268</v>
      </c>
      <c r="F1709" t="s">
        <v>1364</v>
      </c>
      <c r="G1709" s="3">
        <v>46694</v>
      </c>
      <c r="H1709">
        <v>24</v>
      </c>
      <c r="I1709">
        <v>70</v>
      </c>
      <c r="J1709">
        <v>960</v>
      </c>
      <c r="K1709" s="4">
        <v>37363.199999999997</v>
      </c>
      <c r="L1709" s="4">
        <v>20123.571428571428</v>
      </c>
      <c r="M1709" s="4">
        <v>4.7705249707166442E-2</v>
      </c>
      <c r="N1709" t="s">
        <v>25</v>
      </c>
      <c r="O1709" t="str">
        <f t="shared" si="260"/>
        <v>Low</v>
      </c>
      <c r="P1709" t="str">
        <f t="shared" si="261"/>
        <v>Low</v>
      </c>
      <c r="Q1709" t="str">
        <f t="shared" si="262"/>
        <v>Low</v>
      </c>
      <c r="R1709" t="s">
        <v>3317</v>
      </c>
      <c r="S1709" s="4">
        <f t="shared" ca="1" si="263"/>
        <v>497</v>
      </c>
      <c r="T1709">
        <f t="shared" si="264"/>
        <v>1</v>
      </c>
      <c r="U1709">
        <f t="shared" si="265"/>
        <v>1</v>
      </c>
      <c r="V1709">
        <f t="shared" si="266"/>
        <v>1</v>
      </c>
      <c r="W1709">
        <f t="shared" si="267"/>
        <v>1</v>
      </c>
      <c r="X1709">
        <f t="shared" si="268"/>
        <v>0.99999999999999989</v>
      </c>
      <c r="Y1709" t="str">
        <f t="shared" si="269"/>
        <v>Healthy</v>
      </c>
    </row>
    <row r="1710" spans="1:25" x14ac:dyDescent="0.35">
      <c r="A1710" t="s">
        <v>41</v>
      </c>
      <c r="B1710" t="s">
        <v>54</v>
      </c>
      <c r="C1710" t="s">
        <v>87</v>
      </c>
      <c r="D1710" t="s">
        <v>330</v>
      </c>
      <c r="E1710">
        <v>80878141</v>
      </c>
      <c r="F1710" t="s">
        <v>1365</v>
      </c>
      <c r="G1710" s="3">
        <v>47141</v>
      </c>
      <c r="H1710">
        <v>36</v>
      </c>
      <c r="I1710">
        <v>88</v>
      </c>
      <c r="J1710">
        <v>4</v>
      </c>
      <c r="K1710" s="4">
        <v>3839.88</v>
      </c>
      <c r="L1710" s="4">
        <v>115.71428571428571</v>
      </c>
      <c r="M1710" s="4">
        <v>3.4567901234567905E-2</v>
      </c>
      <c r="N1710" t="s">
        <v>25</v>
      </c>
      <c r="O1710" t="str">
        <f t="shared" si="260"/>
        <v>Low</v>
      </c>
      <c r="P1710" t="str">
        <f t="shared" si="261"/>
        <v>Low</v>
      </c>
      <c r="Q1710" t="str">
        <f t="shared" si="262"/>
        <v>Low</v>
      </c>
      <c r="R1710" t="s">
        <v>3317</v>
      </c>
      <c r="S1710" s="4">
        <f t="shared" ca="1" si="263"/>
        <v>944</v>
      </c>
      <c r="T1710">
        <f t="shared" si="264"/>
        <v>1</v>
      </c>
      <c r="U1710">
        <f t="shared" si="265"/>
        <v>1</v>
      </c>
      <c r="V1710">
        <f t="shared" si="266"/>
        <v>1</v>
      </c>
      <c r="W1710">
        <f t="shared" si="267"/>
        <v>1</v>
      </c>
      <c r="X1710">
        <f t="shared" si="268"/>
        <v>0.99999999999999989</v>
      </c>
      <c r="Y1710" t="str">
        <f t="shared" si="269"/>
        <v>Healthy</v>
      </c>
    </row>
    <row r="1711" spans="1:25" x14ac:dyDescent="0.35">
      <c r="A1711" t="s">
        <v>41</v>
      </c>
      <c r="B1711" t="s">
        <v>54</v>
      </c>
      <c r="C1711" t="s">
        <v>87</v>
      </c>
      <c r="D1711" t="s">
        <v>1366</v>
      </c>
      <c r="E1711">
        <v>80872417</v>
      </c>
      <c r="F1711" t="s">
        <v>1367</v>
      </c>
      <c r="G1711" s="3">
        <v>47010</v>
      </c>
      <c r="H1711">
        <v>36</v>
      </c>
      <c r="I1711">
        <v>76</v>
      </c>
      <c r="J1711">
        <v>8</v>
      </c>
      <c r="K1711" s="4">
        <v>9670.08</v>
      </c>
      <c r="L1711" s="4">
        <v>61.142857142857146</v>
      </c>
      <c r="M1711" s="4">
        <v>0.13084112149532709</v>
      </c>
      <c r="N1711" t="s">
        <v>25</v>
      </c>
      <c r="O1711" t="str">
        <f t="shared" si="260"/>
        <v>Low</v>
      </c>
      <c r="P1711" t="str">
        <f t="shared" si="261"/>
        <v>Low</v>
      </c>
      <c r="Q1711" t="str">
        <f t="shared" si="262"/>
        <v>Low</v>
      </c>
      <c r="R1711" t="s">
        <v>3317</v>
      </c>
      <c r="S1711" s="4">
        <f t="shared" ca="1" si="263"/>
        <v>813</v>
      </c>
      <c r="T1711">
        <f t="shared" si="264"/>
        <v>1</v>
      </c>
      <c r="U1711">
        <f t="shared" si="265"/>
        <v>1</v>
      </c>
      <c r="V1711">
        <f t="shared" si="266"/>
        <v>1</v>
      </c>
      <c r="W1711">
        <f t="shared" si="267"/>
        <v>1</v>
      </c>
      <c r="X1711">
        <f t="shared" si="268"/>
        <v>0.99999999999999989</v>
      </c>
      <c r="Y1711" t="str">
        <f t="shared" si="269"/>
        <v>Healthy</v>
      </c>
    </row>
    <row r="1712" spans="1:25" x14ac:dyDescent="0.35">
      <c r="A1712" t="s">
        <v>41</v>
      </c>
      <c r="B1712" t="s">
        <v>54</v>
      </c>
      <c r="C1712" t="s">
        <v>87</v>
      </c>
      <c r="D1712" t="s">
        <v>1366</v>
      </c>
      <c r="E1712">
        <v>80872417</v>
      </c>
      <c r="F1712" t="s">
        <v>1367</v>
      </c>
      <c r="G1712" s="3">
        <v>46983</v>
      </c>
      <c r="H1712">
        <v>36</v>
      </c>
      <c r="I1712">
        <v>73</v>
      </c>
      <c r="J1712">
        <v>5</v>
      </c>
      <c r="K1712" s="4">
        <v>6043.8</v>
      </c>
      <c r="L1712" s="4">
        <v>61.142857142857146</v>
      </c>
      <c r="M1712" s="4">
        <v>8.1775700934579434E-2</v>
      </c>
      <c r="N1712" t="s">
        <v>25</v>
      </c>
      <c r="O1712" t="str">
        <f t="shared" si="260"/>
        <v>Low</v>
      </c>
      <c r="P1712" t="str">
        <f t="shared" si="261"/>
        <v>Low</v>
      </c>
      <c r="Q1712" t="str">
        <f t="shared" si="262"/>
        <v>Low</v>
      </c>
      <c r="R1712" t="s">
        <v>3317</v>
      </c>
      <c r="S1712" s="4">
        <f t="shared" ca="1" si="263"/>
        <v>786</v>
      </c>
      <c r="T1712">
        <f t="shared" si="264"/>
        <v>1</v>
      </c>
      <c r="U1712">
        <f t="shared" si="265"/>
        <v>1</v>
      </c>
      <c r="V1712">
        <f t="shared" si="266"/>
        <v>1</v>
      </c>
      <c r="W1712">
        <f t="shared" si="267"/>
        <v>1</v>
      </c>
      <c r="X1712">
        <f t="shared" si="268"/>
        <v>0.99999999999999989</v>
      </c>
      <c r="Y1712" t="str">
        <f t="shared" si="269"/>
        <v>Healthy</v>
      </c>
    </row>
    <row r="1713" spans="1:25" x14ac:dyDescent="0.35">
      <c r="A1713" t="s">
        <v>14</v>
      </c>
      <c r="B1713" t="s">
        <v>258</v>
      </c>
      <c r="C1713" t="s">
        <v>929</v>
      </c>
      <c r="D1713" t="s">
        <v>930</v>
      </c>
      <c r="E1713">
        <v>80864300</v>
      </c>
      <c r="F1713" t="s">
        <v>1368</v>
      </c>
      <c r="G1713" s="3">
        <v>47922</v>
      </c>
      <c r="H1713">
        <v>60</v>
      </c>
      <c r="I1713">
        <v>96</v>
      </c>
      <c r="J1713">
        <v>395</v>
      </c>
      <c r="K1713" s="4">
        <v>32820.550000000003</v>
      </c>
      <c r="L1713" s="4">
        <v>4687.7142857142853</v>
      </c>
      <c r="M1713" s="4">
        <v>8.4262814652282567E-2</v>
      </c>
      <c r="N1713" t="s">
        <v>25</v>
      </c>
      <c r="O1713" t="str">
        <f t="shared" si="260"/>
        <v>Low</v>
      </c>
      <c r="P1713" t="str">
        <f t="shared" si="261"/>
        <v>Low</v>
      </c>
      <c r="Q1713" t="str">
        <f t="shared" si="262"/>
        <v>Low</v>
      </c>
      <c r="R1713" t="s">
        <v>3317</v>
      </c>
      <c r="S1713" s="4">
        <f t="shared" ca="1" si="263"/>
        <v>1725</v>
      </c>
      <c r="T1713">
        <f t="shared" si="264"/>
        <v>1</v>
      </c>
      <c r="U1713">
        <f t="shared" si="265"/>
        <v>1</v>
      </c>
      <c r="V1713">
        <f t="shared" si="266"/>
        <v>1</v>
      </c>
      <c r="W1713">
        <f t="shared" si="267"/>
        <v>1</v>
      </c>
      <c r="X1713">
        <f t="shared" si="268"/>
        <v>0.99999999999999989</v>
      </c>
      <c r="Y1713" t="str">
        <f t="shared" si="269"/>
        <v>Healthy</v>
      </c>
    </row>
    <row r="1714" spans="1:25" x14ac:dyDescent="0.35">
      <c r="A1714" t="s">
        <v>14</v>
      </c>
      <c r="B1714" t="s">
        <v>258</v>
      </c>
      <c r="C1714" t="s">
        <v>929</v>
      </c>
      <c r="D1714" t="s">
        <v>930</v>
      </c>
      <c r="E1714">
        <v>80864300</v>
      </c>
      <c r="F1714" t="s">
        <v>1368</v>
      </c>
      <c r="G1714" s="3">
        <v>47880</v>
      </c>
      <c r="H1714">
        <v>60</v>
      </c>
      <c r="I1714">
        <v>94</v>
      </c>
      <c r="J1714">
        <v>361</v>
      </c>
      <c r="K1714" s="4">
        <v>29995.49</v>
      </c>
      <c r="L1714" s="4">
        <v>4687.7142857142853</v>
      </c>
      <c r="M1714" s="4">
        <v>7.7009812884744316E-2</v>
      </c>
      <c r="N1714" t="s">
        <v>25</v>
      </c>
      <c r="O1714" t="str">
        <f t="shared" si="260"/>
        <v>Low</v>
      </c>
      <c r="P1714" t="str">
        <f t="shared" si="261"/>
        <v>Low</v>
      </c>
      <c r="Q1714" t="str">
        <f t="shared" si="262"/>
        <v>Low</v>
      </c>
      <c r="R1714" t="s">
        <v>3317</v>
      </c>
      <c r="S1714" s="4">
        <f t="shared" ca="1" si="263"/>
        <v>1683</v>
      </c>
      <c r="T1714">
        <f t="shared" si="264"/>
        <v>1</v>
      </c>
      <c r="U1714">
        <f t="shared" si="265"/>
        <v>1</v>
      </c>
      <c r="V1714">
        <f t="shared" si="266"/>
        <v>1</v>
      </c>
      <c r="W1714">
        <f t="shared" si="267"/>
        <v>1</v>
      </c>
      <c r="X1714">
        <f t="shared" si="268"/>
        <v>0.99999999999999989</v>
      </c>
      <c r="Y1714" t="str">
        <f t="shared" si="269"/>
        <v>Healthy</v>
      </c>
    </row>
    <row r="1715" spans="1:25" x14ac:dyDescent="0.35">
      <c r="A1715" t="s">
        <v>14</v>
      </c>
      <c r="B1715" t="s">
        <v>258</v>
      </c>
      <c r="C1715" t="s">
        <v>929</v>
      </c>
      <c r="D1715" t="s">
        <v>930</v>
      </c>
      <c r="E1715">
        <v>80864300</v>
      </c>
      <c r="F1715" t="s">
        <v>1368</v>
      </c>
      <c r="G1715" s="3">
        <v>47934</v>
      </c>
      <c r="H1715">
        <v>60</v>
      </c>
      <c r="I1715">
        <v>97</v>
      </c>
      <c r="J1715">
        <v>403</v>
      </c>
      <c r="K1715" s="4">
        <v>33485.269999999997</v>
      </c>
      <c r="L1715" s="4">
        <v>4687.7142857142853</v>
      </c>
      <c r="M1715" s="4">
        <v>8.5969403303468042E-2</v>
      </c>
      <c r="N1715" t="s">
        <v>25</v>
      </c>
      <c r="O1715" t="str">
        <f t="shared" si="260"/>
        <v>Low</v>
      </c>
      <c r="P1715" t="str">
        <f t="shared" si="261"/>
        <v>Low</v>
      </c>
      <c r="Q1715" t="str">
        <f t="shared" si="262"/>
        <v>Low</v>
      </c>
      <c r="R1715" t="s">
        <v>3317</v>
      </c>
      <c r="S1715" s="4">
        <f t="shared" ca="1" si="263"/>
        <v>1737</v>
      </c>
      <c r="T1715">
        <f t="shared" si="264"/>
        <v>1</v>
      </c>
      <c r="U1715">
        <f t="shared" si="265"/>
        <v>1</v>
      </c>
      <c r="V1715">
        <f t="shared" si="266"/>
        <v>1</v>
      </c>
      <c r="W1715">
        <f t="shared" si="267"/>
        <v>1</v>
      </c>
      <c r="X1715">
        <f t="shared" si="268"/>
        <v>0.99999999999999989</v>
      </c>
      <c r="Y1715" t="str">
        <f t="shared" si="269"/>
        <v>Healthy</v>
      </c>
    </row>
    <row r="1716" spans="1:25" x14ac:dyDescent="0.35">
      <c r="A1716" t="s">
        <v>14</v>
      </c>
      <c r="B1716" t="s">
        <v>258</v>
      </c>
      <c r="C1716" t="s">
        <v>929</v>
      </c>
      <c r="D1716" t="s">
        <v>930</v>
      </c>
      <c r="E1716">
        <v>80864300</v>
      </c>
      <c r="F1716" t="s">
        <v>1368</v>
      </c>
      <c r="G1716" s="3">
        <v>47877</v>
      </c>
      <c r="H1716">
        <v>60</v>
      </c>
      <c r="I1716">
        <v>94</v>
      </c>
      <c r="J1716">
        <v>393</v>
      </c>
      <c r="K1716" s="4">
        <v>32654.37</v>
      </c>
      <c r="L1716" s="4">
        <v>4687.7142857142853</v>
      </c>
      <c r="M1716" s="4">
        <v>8.3836167489486205E-2</v>
      </c>
      <c r="N1716" t="s">
        <v>25</v>
      </c>
      <c r="O1716" t="str">
        <f t="shared" si="260"/>
        <v>Low</v>
      </c>
      <c r="P1716" t="str">
        <f t="shared" si="261"/>
        <v>Low</v>
      </c>
      <c r="Q1716" t="str">
        <f t="shared" si="262"/>
        <v>Low</v>
      </c>
      <c r="R1716" t="s">
        <v>3317</v>
      </c>
      <c r="S1716" s="4">
        <f t="shared" ca="1" si="263"/>
        <v>1680</v>
      </c>
      <c r="T1716">
        <f t="shared" si="264"/>
        <v>1</v>
      </c>
      <c r="U1716">
        <f t="shared" si="265"/>
        <v>1</v>
      </c>
      <c r="V1716">
        <f t="shared" si="266"/>
        <v>1</v>
      </c>
      <c r="W1716">
        <f t="shared" si="267"/>
        <v>1</v>
      </c>
      <c r="X1716">
        <f t="shared" si="268"/>
        <v>0.99999999999999989</v>
      </c>
      <c r="Y1716" t="str">
        <f t="shared" si="269"/>
        <v>Healthy</v>
      </c>
    </row>
    <row r="1717" spans="1:25" x14ac:dyDescent="0.35">
      <c r="A1717" t="s">
        <v>14</v>
      </c>
      <c r="B1717" t="s">
        <v>258</v>
      </c>
      <c r="C1717" t="s">
        <v>929</v>
      </c>
      <c r="D1717" t="s">
        <v>930</v>
      </c>
      <c r="E1717">
        <v>80864300</v>
      </c>
      <c r="F1717" t="s">
        <v>1368</v>
      </c>
      <c r="G1717" s="3">
        <v>47932</v>
      </c>
      <c r="H1717">
        <v>60</v>
      </c>
      <c r="I1717">
        <v>97</v>
      </c>
      <c r="J1717">
        <v>427</v>
      </c>
      <c r="K1717" s="4">
        <v>35479.43</v>
      </c>
      <c r="L1717" s="4">
        <v>4687.7142857142853</v>
      </c>
      <c r="M1717" s="4">
        <v>9.1089169257024455E-2</v>
      </c>
      <c r="N1717" t="s">
        <v>25</v>
      </c>
      <c r="O1717" t="str">
        <f t="shared" si="260"/>
        <v>Low</v>
      </c>
      <c r="P1717" t="str">
        <f t="shared" si="261"/>
        <v>Low</v>
      </c>
      <c r="Q1717" t="str">
        <f t="shared" si="262"/>
        <v>Low</v>
      </c>
      <c r="R1717" t="s">
        <v>3317</v>
      </c>
      <c r="S1717" s="4">
        <f t="shared" ca="1" si="263"/>
        <v>1735</v>
      </c>
      <c r="T1717">
        <f t="shared" si="264"/>
        <v>1</v>
      </c>
      <c r="U1717">
        <f t="shared" si="265"/>
        <v>1</v>
      </c>
      <c r="V1717">
        <f t="shared" si="266"/>
        <v>1</v>
      </c>
      <c r="W1717">
        <f t="shared" si="267"/>
        <v>1</v>
      </c>
      <c r="X1717">
        <f t="shared" si="268"/>
        <v>0.99999999999999989</v>
      </c>
      <c r="Y1717" t="str">
        <f t="shared" si="269"/>
        <v>Healthy</v>
      </c>
    </row>
    <row r="1718" spans="1:25" x14ac:dyDescent="0.35">
      <c r="A1718" t="s">
        <v>14</v>
      </c>
      <c r="B1718" t="s">
        <v>258</v>
      </c>
      <c r="C1718" t="s">
        <v>929</v>
      </c>
      <c r="D1718" t="s">
        <v>930</v>
      </c>
      <c r="E1718">
        <v>80864300</v>
      </c>
      <c r="F1718" t="s">
        <v>1368</v>
      </c>
      <c r="G1718" s="3">
        <v>47840</v>
      </c>
      <c r="H1718">
        <v>60</v>
      </c>
      <c r="I1718">
        <v>92</v>
      </c>
      <c r="J1718">
        <v>361</v>
      </c>
      <c r="K1718" s="4">
        <v>29995.49</v>
      </c>
      <c r="L1718" s="4">
        <v>4687.7142857142853</v>
      </c>
      <c r="M1718" s="4">
        <v>7.7009812884744316E-2</v>
      </c>
      <c r="N1718" t="s">
        <v>25</v>
      </c>
      <c r="O1718" t="str">
        <f t="shared" si="260"/>
        <v>Low</v>
      </c>
      <c r="P1718" t="str">
        <f t="shared" si="261"/>
        <v>Low</v>
      </c>
      <c r="Q1718" t="str">
        <f t="shared" si="262"/>
        <v>Low</v>
      </c>
      <c r="R1718" t="s">
        <v>3317</v>
      </c>
      <c r="S1718" s="4">
        <f t="shared" ca="1" si="263"/>
        <v>1643</v>
      </c>
      <c r="T1718">
        <f t="shared" si="264"/>
        <v>1</v>
      </c>
      <c r="U1718">
        <f t="shared" si="265"/>
        <v>1</v>
      </c>
      <c r="V1718">
        <f t="shared" si="266"/>
        <v>1</v>
      </c>
      <c r="W1718">
        <f t="shared" si="267"/>
        <v>1</v>
      </c>
      <c r="X1718">
        <f t="shared" si="268"/>
        <v>0.99999999999999989</v>
      </c>
      <c r="Y1718" t="str">
        <f t="shared" si="269"/>
        <v>Healthy</v>
      </c>
    </row>
    <row r="1719" spans="1:25" x14ac:dyDescent="0.35">
      <c r="A1719" t="s">
        <v>14</v>
      </c>
      <c r="B1719" t="s">
        <v>258</v>
      </c>
      <c r="C1719" t="s">
        <v>929</v>
      </c>
      <c r="D1719" t="s">
        <v>930</v>
      </c>
      <c r="E1719">
        <v>80864300</v>
      </c>
      <c r="F1719" t="s">
        <v>1368</v>
      </c>
      <c r="G1719" s="3">
        <v>47824</v>
      </c>
      <c r="H1719">
        <v>60</v>
      </c>
      <c r="I1719">
        <v>91</v>
      </c>
      <c r="J1719">
        <v>193</v>
      </c>
      <c r="K1719" s="4">
        <v>16036.37</v>
      </c>
      <c r="L1719" s="4">
        <v>4687.7142857142853</v>
      </c>
      <c r="M1719" s="4">
        <v>4.1171451209849455E-2</v>
      </c>
      <c r="N1719" t="s">
        <v>25</v>
      </c>
      <c r="O1719" t="str">
        <f t="shared" si="260"/>
        <v>Low</v>
      </c>
      <c r="P1719" t="str">
        <f t="shared" si="261"/>
        <v>Low</v>
      </c>
      <c r="Q1719" t="str">
        <f t="shared" si="262"/>
        <v>Low</v>
      </c>
      <c r="R1719" t="s">
        <v>3317</v>
      </c>
      <c r="S1719" s="4">
        <f t="shared" ca="1" si="263"/>
        <v>1627</v>
      </c>
      <c r="T1719">
        <f t="shared" si="264"/>
        <v>1</v>
      </c>
      <c r="U1719">
        <f t="shared" si="265"/>
        <v>1</v>
      </c>
      <c r="V1719">
        <f t="shared" si="266"/>
        <v>1</v>
      </c>
      <c r="W1719">
        <f t="shared" si="267"/>
        <v>1</v>
      </c>
      <c r="X1719">
        <f t="shared" si="268"/>
        <v>0.99999999999999989</v>
      </c>
      <c r="Y1719" t="str">
        <f t="shared" si="269"/>
        <v>Healthy</v>
      </c>
    </row>
    <row r="1720" spans="1:25" x14ac:dyDescent="0.35">
      <c r="A1720" t="s">
        <v>14</v>
      </c>
      <c r="B1720" t="s">
        <v>258</v>
      </c>
      <c r="C1720" t="s">
        <v>929</v>
      </c>
      <c r="D1720" t="s">
        <v>930</v>
      </c>
      <c r="E1720">
        <v>80864300</v>
      </c>
      <c r="F1720" t="s">
        <v>1368</v>
      </c>
      <c r="G1720" s="3">
        <v>47902</v>
      </c>
      <c r="H1720">
        <v>60</v>
      </c>
      <c r="I1720">
        <v>95</v>
      </c>
      <c r="J1720">
        <v>1234</v>
      </c>
      <c r="K1720" s="4">
        <v>102533.06</v>
      </c>
      <c r="L1720" s="4">
        <v>4687.7142857142853</v>
      </c>
      <c r="M1720" s="4">
        <v>0.26324129944535873</v>
      </c>
      <c r="N1720" t="s">
        <v>25</v>
      </c>
      <c r="O1720" t="str">
        <f t="shared" si="260"/>
        <v>Low</v>
      </c>
      <c r="P1720" t="str">
        <f t="shared" si="261"/>
        <v>Low</v>
      </c>
      <c r="Q1720" t="str">
        <f t="shared" si="262"/>
        <v>Low</v>
      </c>
      <c r="R1720" t="s">
        <v>3310</v>
      </c>
      <c r="S1720" s="4">
        <f t="shared" ca="1" si="263"/>
        <v>1705</v>
      </c>
      <c r="T1720">
        <f t="shared" si="264"/>
        <v>1</v>
      </c>
      <c r="U1720">
        <f t="shared" si="265"/>
        <v>1</v>
      </c>
      <c r="V1720">
        <f t="shared" si="266"/>
        <v>1</v>
      </c>
      <c r="W1720">
        <f t="shared" si="267"/>
        <v>2</v>
      </c>
      <c r="X1720">
        <f t="shared" si="268"/>
        <v>1.0999999999999999</v>
      </c>
      <c r="Y1720" t="str">
        <f t="shared" si="269"/>
        <v>Healthy</v>
      </c>
    </row>
    <row r="1721" spans="1:25" x14ac:dyDescent="0.35">
      <c r="A1721" t="s">
        <v>179</v>
      </c>
      <c r="B1721" t="s">
        <v>180</v>
      </c>
      <c r="C1721" t="s">
        <v>181</v>
      </c>
      <c r="D1721" t="s">
        <v>182</v>
      </c>
      <c r="E1721">
        <v>80880750</v>
      </c>
      <c r="F1721" t="s">
        <v>1369</v>
      </c>
      <c r="G1721" s="3">
        <v>46339</v>
      </c>
      <c r="H1721">
        <v>16</v>
      </c>
      <c r="I1721">
        <v>31</v>
      </c>
      <c r="J1721">
        <v>4</v>
      </c>
      <c r="K1721" s="4">
        <v>2129.7199999999998</v>
      </c>
      <c r="L1721" s="4">
        <v>21.714285714285715</v>
      </c>
      <c r="M1721" s="4">
        <v>0.18421052631578946</v>
      </c>
      <c r="N1721" t="s">
        <v>25</v>
      </c>
      <c r="O1721" t="str">
        <f t="shared" si="260"/>
        <v>Medium</v>
      </c>
      <c r="P1721" t="str">
        <f t="shared" si="261"/>
        <v>Low</v>
      </c>
      <c r="Q1721" t="str">
        <f t="shared" si="262"/>
        <v>Low</v>
      </c>
      <c r="R1721" t="s">
        <v>3317</v>
      </c>
      <c r="S1721" s="4">
        <f t="shared" ca="1" si="263"/>
        <v>142</v>
      </c>
      <c r="T1721">
        <f t="shared" si="264"/>
        <v>2</v>
      </c>
      <c r="U1721">
        <f t="shared" si="265"/>
        <v>1</v>
      </c>
      <c r="V1721">
        <f t="shared" si="266"/>
        <v>1</v>
      </c>
      <c r="W1721">
        <f t="shared" si="267"/>
        <v>1</v>
      </c>
      <c r="X1721">
        <f t="shared" si="268"/>
        <v>1.4000000000000001</v>
      </c>
      <c r="Y1721" t="str">
        <f t="shared" si="269"/>
        <v>Healthy</v>
      </c>
    </row>
    <row r="1722" spans="1:25" x14ac:dyDescent="0.35">
      <c r="A1722" t="s">
        <v>46</v>
      </c>
      <c r="B1722" t="s">
        <v>47</v>
      </c>
      <c r="C1722" t="s">
        <v>84</v>
      </c>
      <c r="D1722" t="s">
        <v>85</v>
      </c>
      <c r="E1722">
        <v>80862828</v>
      </c>
      <c r="F1722" t="s">
        <v>1370</v>
      </c>
      <c r="G1722" s="3">
        <v>47171</v>
      </c>
      <c r="H1722">
        <v>36</v>
      </c>
      <c r="I1722">
        <v>91</v>
      </c>
      <c r="J1722">
        <v>448</v>
      </c>
      <c r="K1722" s="4">
        <v>27265.279999999999</v>
      </c>
      <c r="L1722" s="4">
        <v>6592.2857142857147</v>
      </c>
      <c r="M1722" s="4">
        <v>6.7958219563992547E-2</v>
      </c>
      <c r="N1722" t="s">
        <v>25</v>
      </c>
      <c r="O1722" t="str">
        <f t="shared" si="260"/>
        <v>Low</v>
      </c>
      <c r="P1722" t="str">
        <f t="shared" si="261"/>
        <v>Low</v>
      </c>
      <c r="Q1722" t="str">
        <f t="shared" si="262"/>
        <v>Low</v>
      </c>
      <c r="R1722" t="s">
        <v>3317</v>
      </c>
      <c r="S1722" s="4">
        <f t="shared" ca="1" si="263"/>
        <v>974</v>
      </c>
      <c r="T1722">
        <f t="shared" si="264"/>
        <v>1</v>
      </c>
      <c r="U1722">
        <f t="shared" si="265"/>
        <v>1</v>
      </c>
      <c r="V1722">
        <f t="shared" si="266"/>
        <v>1</v>
      </c>
      <c r="W1722">
        <f t="shared" si="267"/>
        <v>1</v>
      </c>
      <c r="X1722">
        <f t="shared" si="268"/>
        <v>0.99999999999999989</v>
      </c>
      <c r="Y1722" t="str">
        <f t="shared" si="269"/>
        <v>Healthy</v>
      </c>
    </row>
    <row r="1723" spans="1:25" x14ac:dyDescent="0.35">
      <c r="A1723" t="s">
        <v>46</v>
      </c>
      <c r="B1723" t="s">
        <v>47</v>
      </c>
      <c r="C1723" t="s">
        <v>84</v>
      </c>
      <c r="D1723" t="s">
        <v>85</v>
      </c>
      <c r="E1723">
        <v>80862828</v>
      </c>
      <c r="F1723" t="s">
        <v>1370</v>
      </c>
      <c r="G1723" s="3">
        <v>47217</v>
      </c>
      <c r="H1723">
        <v>36</v>
      </c>
      <c r="I1723">
        <v>95</v>
      </c>
      <c r="J1723">
        <v>261</v>
      </c>
      <c r="K1723" s="4">
        <v>15884.46</v>
      </c>
      <c r="L1723" s="4">
        <v>6592.2857142857147</v>
      </c>
      <c r="M1723" s="4">
        <v>3.9591730594201013E-2</v>
      </c>
      <c r="N1723" t="s">
        <v>25</v>
      </c>
      <c r="O1723" t="str">
        <f t="shared" si="260"/>
        <v>Low</v>
      </c>
      <c r="P1723" t="str">
        <f t="shared" si="261"/>
        <v>Low</v>
      </c>
      <c r="Q1723" t="str">
        <f t="shared" si="262"/>
        <v>Low</v>
      </c>
      <c r="R1723" t="s">
        <v>3317</v>
      </c>
      <c r="S1723" s="4">
        <f t="shared" ca="1" si="263"/>
        <v>1020</v>
      </c>
      <c r="T1723">
        <f t="shared" si="264"/>
        <v>1</v>
      </c>
      <c r="U1723">
        <f t="shared" si="265"/>
        <v>1</v>
      </c>
      <c r="V1723">
        <f t="shared" si="266"/>
        <v>1</v>
      </c>
      <c r="W1723">
        <f t="shared" si="267"/>
        <v>1</v>
      </c>
      <c r="X1723">
        <f t="shared" si="268"/>
        <v>0.99999999999999989</v>
      </c>
      <c r="Y1723" t="str">
        <f t="shared" si="269"/>
        <v>Healthy</v>
      </c>
    </row>
    <row r="1724" spans="1:25" x14ac:dyDescent="0.35">
      <c r="A1724" t="s">
        <v>46</v>
      </c>
      <c r="B1724" t="s">
        <v>47</v>
      </c>
      <c r="C1724" t="s">
        <v>84</v>
      </c>
      <c r="D1724" t="s">
        <v>85</v>
      </c>
      <c r="E1724">
        <v>80862828</v>
      </c>
      <c r="F1724" t="s">
        <v>1370</v>
      </c>
      <c r="G1724" s="3">
        <v>47010</v>
      </c>
      <c r="H1724">
        <v>36</v>
      </c>
      <c r="I1724">
        <v>76</v>
      </c>
      <c r="J1724">
        <v>34</v>
      </c>
      <c r="K1724" s="4">
        <v>2069.2399999999998</v>
      </c>
      <c r="L1724" s="4">
        <v>6592.2857142857147</v>
      </c>
      <c r="M1724" s="4">
        <v>5.1575434490530054E-3</v>
      </c>
      <c r="N1724" t="s">
        <v>25</v>
      </c>
      <c r="O1724" t="str">
        <f t="shared" si="260"/>
        <v>Low</v>
      </c>
      <c r="P1724" t="str">
        <f t="shared" si="261"/>
        <v>Low</v>
      </c>
      <c r="Q1724" t="str">
        <f t="shared" si="262"/>
        <v>Low</v>
      </c>
      <c r="R1724" t="s">
        <v>3317</v>
      </c>
      <c r="S1724" s="4">
        <f t="shared" ca="1" si="263"/>
        <v>813</v>
      </c>
      <c r="T1724">
        <f t="shared" si="264"/>
        <v>1</v>
      </c>
      <c r="U1724">
        <f t="shared" si="265"/>
        <v>1</v>
      </c>
      <c r="V1724">
        <f t="shared" si="266"/>
        <v>1</v>
      </c>
      <c r="W1724">
        <f t="shared" si="267"/>
        <v>1</v>
      </c>
      <c r="X1724">
        <f t="shared" si="268"/>
        <v>0.99999999999999989</v>
      </c>
      <c r="Y1724" t="str">
        <f t="shared" si="269"/>
        <v>Healthy</v>
      </c>
    </row>
    <row r="1725" spans="1:25" x14ac:dyDescent="0.35">
      <c r="A1725" t="s">
        <v>179</v>
      </c>
      <c r="B1725" t="s">
        <v>223</v>
      </c>
      <c r="C1725" t="s">
        <v>357</v>
      </c>
      <c r="D1725" t="s">
        <v>1371</v>
      </c>
      <c r="E1725">
        <v>80883589</v>
      </c>
      <c r="F1725" t="s">
        <v>1372</v>
      </c>
      <c r="G1725" s="3">
        <v>45945</v>
      </c>
      <c r="H1725">
        <v>18</v>
      </c>
      <c r="I1725">
        <v>0</v>
      </c>
      <c r="J1725">
        <v>8</v>
      </c>
      <c r="K1725" s="4">
        <v>4799.84</v>
      </c>
      <c r="L1725" s="4">
        <v>165.42857142857142</v>
      </c>
      <c r="M1725" s="4">
        <v>4.8359240069084632E-2</v>
      </c>
      <c r="N1725" t="s">
        <v>25</v>
      </c>
      <c r="O1725" t="str">
        <f t="shared" si="260"/>
        <v>High</v>
      </c>
      <c r="P1725" t="str">
        <f t="shared" si="261"/>
        <v>Low</v>
      </c>
      <c r="Q1725" t="str">
        <f t="shared" si="262"/>
        <v>Low</v>
      </c>
      <c r="R1725" t="s">
        <v>3317</v>
      </c>
      <c r="S1725" s="4">
        <f t="shared" ca="1" si="263"/>
        <v>-252</v>
      </c>
      <c r="T1725">
        <f t="shared" si="264"/>
        <v>3</v>
      </c>
      <c r="U1725">
        <f t="shared" si="265"/>
        <v>1</v>
      </c>
      <c r="V1725">
        <f t="shared" si="266"/>
        <v>1</v>
      </c>
      <c r="W1725">
        <f t="shared" si="267"/>
        <v>1</v>
      </c>
      <c r="X1725">
        <f t="shared" si="268"/>
        <v>1.8000000000000003</v>
      </c>
      <c r="Y1725" t="str">
        <f t="shared" si="269"/>
        <v>Monitor</v>
      </c>
    </row>
    <row r="1726" spans="1:25" x14ac:dyDescent="0.35">
      <c r="A1726" t="s">
        <v>179</v>
      </c>
      <c r="B1726" t="s">
        <v>223</v>
      </c>
      <c r="C1726" t="s">
        <v>357</v>
      </c>
      <c r="D1726" t="s">
        <v>1371</v>
      </c>
      <c r="E1726">
        <v>80883589</v>
      </c>
      <c r="F1726" t="s">
        <v>1372</v>
      </c>
      <c r="G1726" s="3">
        <v>46570</v>
      </c>
      <c r="H1726">
        <v>18</v>
      </c>
      <c r="I1726">
        <v>70</v>
      </c>
      <c r="J1726">
        <v>5</v>
      </c>
      <c r="K1726" s="4">
        <v>2999.9</v>
      </c>
      <c r="L1726" s="4">
        <v>165.42857142857142</v>
      </c>
      <c r="M1726" s="4">
        <v>3.0224525043177894E-2</v>
      </c>
      <c r="N1726" t="s">
        <v>25</v>
      </c>
      <c r="O1726" t="str">
        <f t="shared" si="260"/>
        <v>Low</v>
      </c>
      <c r="P1726" t="str">
        <f t="shared" si="261"/>
        <v>Low</v>
      </c>
      <c r="Q1726" t="str">
        <f t="shared" si="262"/>
        <v>Low</v>
      </c>
      <c r="R1726" t="s">
        <v>3317</v>
      </c>
      <c r="S1726" s="4">
        <f t="shared" ca="1" si="263"/>
        <v>373</v>
      </c>
      <c r="T1726">
        <f t="shared" si="264"/>
        <v>1</v>
      </c>
      <c r="U1726">
        <f t="shared" si="265"/>
        <v>1</v>
      </c>
      <c r="V1726">
        <f t="shared" si="266"/>
        <v>1</v>
      </c>
      <c r="W1726">
        <f t="shared" si="267"/>
        <v>1</v>
      </c>
      <c r="X1726">
        <f t="shared" si="268"/>
        <v>0.99999999999999989</v>
      </c>
      <c r="Y1726" t="str">
        <f t="shared" si="269"/>
        <v>Healthy</v>
      </c>
    </row>
    <row r="1727" spans="1:25" x14ac:dyDescent="0.35">
      <c r="A1727" t="s">
        <v>179</v>
      </c>
      <c r="B1727" t="s">
        <v>223</v>
      </c>
      <c r="C1727" t="s">
        <v>357</v>
      </c>
      <c r="D1727" t="s">
        <v>1371</v>
      </c>
      <c r="E1727">
        <v>80883589</v>
      </c>
      <c r="F1727" t="s">
        <v>1372</v>
      </c>
      <c r="G1727" s="3">
        <v>46399</v>
      </c>
      <c r="H1727">
        <v>18</v>
      </c>
      <c r="I1727">
        <v>38</v>
      </c>
      <c r="J1727">
        <v>2</v>
      </c>
      <c r="K1727" s="4">
        <v>1199.96</v>
      </c>
      <c r="L1727" s="4">
        <v>165.42857142857142</v>
      </c>
      <c r="M1727" s="4">
        <v>1.2089810017271158E-2</v>
      </c>
      <c r="N1727" t="s">
        <v>25</v>
      </c>
      <c r="O1727" t="str">
        <f t="shared" si="260"/>
        <v>Medium</v>
      </c>
      <c r="P1727" t="str">
        <f t="shared" si="261"/>
        <v>Low</v>
      </c>
      <c r="Q1727" t="str">
        <f t="shared" si="262"/>
        <v>Low</v>
      </c>
      <c r="R1727" t="s">
        <v>3317</v>
      </c>
      <c r="S1727" s="4">
        <f t="shared" ca="1" si="263"/>
        <v>202</v>
      </c>
      <c r="T1727">
        <f t="shared" si="264"/>
        <v>2</v>
      </c>
      <c r="U1727">
        <f t="shared" si="265"/>
        <v>1</v>
      </c>
      <c r="V1727">
        <f t="shared" si="266"/>
        <v>1</v>
      </c>
      <c r="W1727">
        <f t="shared" si="267"/>
        <v>1</v>
      </c>
      <c r="X1727">
        <f t="shared" si="268"/>
        <v>1.4000000000000001</v>
      </c>
      <c r="Y1727" t="str">
        <f t="shared" si="269"/>
        <v>Healthy</v>
      </c>
    </row>
    <row r="1728" spans="1:25" x14ac:dyDescent="0.35">
      <c r="A1728" t="s">
        <v>179</v>
      </c>
      <c r="B1728" t="s">
        <v>223</v>
      </c>
      <c r="C1728" t="s">
        <v>357</v>
      </c>
      <c r="D1728" t="s">
        <v>1371</v>
      </c>
      <c r="E1728">
        <v>80883589</v>
      </c>
      <c r="F1728" t="s">
        <v>1372</v>
      </c>
      <c r="G1728" s="3">
        <v>46532</v>
      </c>
      <c r="H1728">
        <v>18</v>
      </c>
      <c r="I1728">
        <v>63</v>
      </c>
      <c r="J1728">
        <v>5</v>
      </c>
      <c r="K1728" s="4">
        <v>2999.9</v>
      </c>
      <c r="L1728" s="4">
        <v>165.42857142857142</v>
      </c>
      <c r="M1728" s="4">
        <v>3.0224525043177894E-2</v>
      </c>
      <c r="N1728" t="s">
        <v>25</v>
      </c>
      <c r="O1728" t="str">
        <f t="shared" si="260"/>
        <v>Low</v>
      </c>
      <c r="P1728" t="str">
        <f t="shared" si="261"/>
        <v>Low</v>
      </c>
      <c r="Q1728" t="str">
        <f t="shared" si="262"/>
        <v>Low</v>
      </c>
      <c r="R1728" t="s">
        <v>3317</v>
      </c>
      <c r="S1728" s="4">
        <f t="shared" ca="1" si="263"/>
        <v>335</v>
      </c>
      <c r="T1728">
        <f t="shared" si="264"/>
        <v>1</v>
      </c>
      <c r="U1728">
        <f t="shared" si="265"/>
        <v>1</v>
      </c>
      <c r="V1728">
        <f t="shared" si="266"/>
        <v>1</v>
      </c>
      <c r="W1728">
        <f t="shared" si="267"/>
        <v>1</v>
      </c>
      <c r="X1728">
        <f t="shared" si="268"/>
        <v>0.99999999999999989</v>
      </c>
      <c r="Y1728" t="str">
        <f t="shared" si="269"/>
        <v>Healthy</v>
      </c>
    </row>
    <row r="1729" spans="1:25" x14ac:dyDescent="0.35">
      <c r="A1729" t="s">
        <v>179</v>
      </c>
      <c r="B1729" t="s">
        <v>223</v>
      </c>
      <c r="C1729" t="s">
        <v>408</v>
      </c>
      <c r="D1729" t="s">
        <v>1373</v>
      </c>
      <c r="E1729">
        <v>80866778</v>
      </c>
      <c r="F1729" t="s">
        <v>1374</v>
      </c>
      <c r="G1729" s="3">
        <v>46522</v>
      </c>
      <c r="H1729">
        <v>16</v>
      </c>
      <c r="I1729">
        <v>69</v>
      </c>
      <c r="J1729">
        <v>72</v>
      </c>
      <c r="K1729" s="4">
        <v>3663.36</v>
      </c>
      <c r="L1729" s="4">
        <v>2498.1428571428573</v>
      </c>
      <c r="M1729" s="4">
        <v>2.8821410190427173E-2</v>
      </c>
      <c r="N1729" t="s">
        <v>25</v>
      </c>
      <c r="O1729" t="str">
        <f t="shared" si="260"/>
        <v>Low</v>
      </c>
      <c r="P1729" t="str">
        <f t="shared" si="261"/>
        <v>Low</v>
      </c>
      <c r="Q1729" t="str">
        <f t="shared" si="262"/>
        <v>Low</v>
      </c>
      <c r="R1729" t="s">
        <v>3317</v>
      </c>
      <c r="S1729" s="4">
        <f t="shared" ca="1" si="263"/>
        <v>325</v>
      </c>
      <c r="T1729">
        <f t="shared" si="264"/>
        <v>1</v>
      </c>
      <c r="U1729">
        <f t="shared" si="265"/>
        <v>1</v>
      </c>
      <c r="V1729">
        <f t="shared" si="266"/>
        <v>1</v>
      </c>
      <c r="W1729">
        <f t="shared" si="267"/>
        <v>1</v>
      </c>
      <c r="X1729">
        <f t="shared" si="268"/>
        <v>0.99999999999999989</v>
      </c>
      <c r="Y1729" t="str">
        <f t="shared" si="269"/>
        <v>Healthy</v>
      </c>
    </row>
    <row r="1730" spans="1:25" x14ac:dyDescent="0.35">
      <c r="A1730" t="s">
        <v>179</v>
      </c>
      <c r="B1730" t="s">
        <v>223</v>
      </c>
      <c r="C1730" t="s">
        <v>408</v>
      </c>
      <c r="D1730" t="s">
        <v>1373</v>
      </c>
      <c r="E1730">
        <v>80866778</v>
      </c>
      <c r="F1730" t="s">
        <v>1374</v>
      </c>
      <c r="G1730" s="3">
        <v>46526</v>
      </c>
      <c r="H1730">
        <v>16</v>
      </c>
      <c r="I1730">
        <v>70</v>
      </c>
      <c r="J1730">
        <v>24</v>
      </c>
      <c r="K1730" s="4">
        <v>1221.1199999999999</v>
      </c>
      <c r="L1730" s="4">
        <v>2498.1428571428573</v>
      </c>
      <c r="M1730" s="4">
        <v>9.6071367301423915E-3</v>
      </c>
      <c r="N1730" t="s">
        <v>25</v>
      </c>
      <c r="O1730" t="str">
        <f t="shared" si="260"/>
        <v>Low</v>
      </c>
      <c r="P1730" t="str">
        <f t="shared" si="261"/>
        <v>Low</v>
      </c>
      <c r="Q1730" t="str">
        <f t="shared" si="262"/>
        <v>Low</v>
      </c>
      <c r="R1730" t="s">
        <v>3317</v>
      </c>
      <c r="S1730" s="4">
        <f t="shared" ca="1" si="263"/>
        <v>329</v>
      </c>
      <c r="T1730">
        <f t="shared" si="264"/>
        <v>1</v>
      </c>
      <c r="U1730">
        <f t="shared" si="265"/>
        <v>1</v>
      </c>
      <c r="V1730">
        <f t="shared" si="266"/>
        <v>1</v>
      </c>
      <c r="W1730">
        <f t="shared" si="267"/>
        <v>1</v>
      </c>
      <c r="X1730">
        <f t="shared" si="268"/>
        <v>0.99999999999999989</v>
      </c>
      <c r="Y1730" t="str">
        <f t="shared" si="269"/>
        <v>Healthy</v>
      </c>
    </row>
    <row r="1731" spans="1:25" x14ac:dyDescent="0.35">
      <c r="A1731" t="s">
        <v>29</v>
      </c>
      <c r="B1731" t="s">
        <v>30</v>
      </c>
      <c r="C1731" t="s">
        <v>391</v>
      </c>
      <c r="D1731" t="s">
        <v>392</v>
      </c>
      <c r="E1731">
        <v>80878182</v>
      </c>
      <c r="F1731" t="s">
        <v>1375</v>
      </c>
      <c r="G1731" s="3">
        <v>47209</v>
      </c>
      <c r="H1731">
        <v>36</v>
      </c>
      <c r="I1731">
        <v>94</v>
      </c>
      <c r="J1731">
        <v>299</v>
      </c>
      <c r="K1731" s="4">
        <v>27206.01</v>
      </c>
      <c r="L1731" s="4">
        <v>270</v>
      </c>
      <c r="M1731" s="4">
        <v>1.1074074074074074</v>
      </c>
      <c r="N1731" t="s">
        <v>25</v>
      </c>
      <c r="O1731" t="str">
        <f t="shared" ref="O1731:O1794" si="270">IF(I1731&lt;20,"High",IF(I1731&lt;40,"Medium","Low"))</f>
        <v>Low</v>
      </c>
      <c r="P1731" t="str">
        <f t="shared" ref="P1731:P1794" si="271">IF(M1731&gt;8,"High",IF(M1731&gt;4,"Medium","Low"))</f>
        <v>Low</v>
      </c>
      <c r="Q1731" t="str">
        <f t="shared" ref="Q1731:Q1794" si="272">IF(L1731&lt;5,"High",IF(L1731&lt;15,"Medium","Low"))</f>
        <v>Low</v>
      </c>
      <c r="R1731" t="s">
        <v>3317</v>
      </c>
      <c r="S1731" s="4">
        <f t="shared" ref="S1731:S1794" ca="1" si="273">G1731-TODAY()</f>
        <v>1012</v>
      </c>
      <c r="T1731">
        <f t="shared" ref="T1731:T1794" si="274">IF(O1731="High",3,IF(O1731="Medium",2,1))</f>
        <v>1</v>
      </c>
      <c r="U1731">
        <f t="shared" ref="U1731:U1794" si="275">IF(P1731="High",3,IF(P1731="Medium",2,1))</f>
        <v>1</v>
      </c>
      <c r="V1731">
        <f t="shared" ref="V1731:V1794" si="276">IF(Q1731="High",3,IF(Q1731="Medium",2,1))</f>
        <v>1</v>
      </c>
      <c r="W1731">
        <f t="shared" ref="W1731:W1794" si="277">IF(R1731="High",3,IF(R1731="Medium",2,1))</f>
        <v>1</v>
      </c>
      <c r="X1731">
        <f t="shared" ref="X1731:X1794" si="278">(0.4*T1731)+(0.3*U1731)+(0.2*V1731)+(0.1*W1731)</f>
        <v>0.99999999999999989</v>
      </c>
      <c r="Y1731" t="str">
        <f t="shared" ref="Y1731:Y1794" si="279">IF(X1731&gt;=2.7,"Move Immediately",IF(X1731&gt;=2.2,"High Priority",IF(X1731&gt;=1.7,"Monitor","Healthy")))</f>
        <v>Healthy</v>
      </c>
    </row>
    <row r="1732" spans="1:25" x14ac:dyDescent="0.35">
      <c r="A1732" t="s">
        <v>29</v>
      </c>
      <c r="B1732" t="s">
        <v>30</v>
      </c>
      <c r="C1732" t="s">
        <v>391</v>
      </c>
      <c r="D1732" t="s">
        <v>392</v>
      </c>
      <c r="E1732">
        <v>80878182</v>
      </c>
      <c r="F1732" t="s">
        <v>1375</v>
      </c>
      <c r="G1732" s="3">
        <v>47159</v>
      </c>
      <c r="H1732">
        <v>36</v>
      </c>
      <c r="I1732">
        <v>90</v>
      </c>
      <c r="J1732">
        <v>238</v>
      </c>
      <c r="K1732" s="4">
        <v>21655.62</v>
      </c>
      <c r="L1732" s="4">
        <v>270</v>
      </c>
      <c r="M1732" s="4">
        <v>0.88148148148148153</v>
      </c>
      <c r="N1732" t="s">
        <v>25</v>
      </c>
      <c r="O1732" t="str">
        <f t="shared" si="270"/>
        <v>Low</v>
      </c>
      <c r="P1732" t="str">
        <f t="shared" si="271"/>
        <v>Low</v>
      </c>
      <c r="Q1732" t="str">
        <f t="shared" si="272"/>
        <v>Low</v>
      </c>
      <c r="R1732" t="s">
        <v>3317</v>
      </c>
      <c r="S1732" s="4">
        <f t="shared" ca="1" si="273"/>
        <v>962</v>
      </c>
      <c r="T1732">
        <f t="shared" si="274"/>
        <v>1</v>
      </c>
      <c r="U1732">
        <f t="shared" si="275"/>
        <v>1</v>
      </c>
      <c r="V1732">
        <f t="shared" si="276"/>
        <v>1</v>
      </c>
      <c r="W1732">
        <f t="shared" si="277"/>
        <v>1</v>
      </c>
      <c r="X1732">
        <f t="shared" si="278"/>
        <v>0.99999999999999989</v>
      </c>
      <c r="Y1732" t="str">
        <f t="shared" si="279"/>
        <v>Healthy</v>
      </c>
    </row>
    <row r="1733" spans="1:25" x14ac:dyDescent="0.35">
      <c r="A1733" t="s">
        <v>29</v>
      </c>
      <c r="B1733" t="s">
        <v>30</v>
      </c>
      <c r="C1733" t="s">
        <v>391</v>
      </c>
      <c r="D1733" t="s">
        <v>392</v>
      </c>
      <c r="E1733">
        <v>80878182</v>
      </c>
      <c r="F1733" t="s">
        <v>1375</v>
      </c>
      <c r="G1733" s="3">
        <v>47204</v>
      </c>
      <c r="H1733">
        <v>36</v>
      </c>
      <c r="I1733">
        <v>94</v>
      </c>
      <c r="J1733">
        <v>146</v>
      </c>
      <c r="K1733" s="4">
        <v>13284.54</v>
      </c>
      <c r="L1733" s="4">
        <v>270</v>
      </c>
      <c r="M1733" s="4">
        <v>0.54074074074074074</v>
      </c>
      <c r="N1733" t="s">
        <v>25</v>
      </c>
      <c r="O1733" t="str">
        <f t="shared" si="270"/>
        <v>Low</v>
      </c>
      <c r="P1733" t="str">
        <f t="shared" si="271"/>
        <v>Low</v>
      </c>
      <c r="Q1733" t="str">
        <f t="shared" si="272"/>
        <v>Low</v>
      </c>
      <c r="R1733" t="s">
        <v>3317</v>
      </c>
      <c r="S1733" s="4">
        <f t="shared" ca="1" si="273"/>
        <v>1007</v>
      </c>
      <c r="T1733">
        <f t="shared" si="274"/>
        <v>1</v>
      </c>
      <c r="U1733">
        <f t="shared" si="275"/>
        <v>1</v>
      </c>
      <c r="V1733">
        <f t="shared" si="276"/>
        <v>1</v>
      </c>
      <c r="W1733">
        <f t="shared" si="277"/>
        <v>1</v>
      </c>
      <c r="X1733">
        <f t="shared" si="278"/>
        <v>0.99999999999999989</v>
      </c>
      <c r="Y1733" t="str">
        <f t="shared" si="279"/>
        <v>Healthy</v>
      </c>
    </row>
    <row r="1734" spans="1:25" x14ac:dyDescent="0.35">
      <c r="A1734" t="s">
        <v>29</v>
      </c>
      <c r="B1734" t="s">
        <v>30</v>
      </c>
      <c r="C1734" t="s">
        <v>391</v>
      </c>
      <c r="D1734" t="s">
        <v>392</v>
      </c>
      <c r="E1734">
        <v>80878182</v>
      </c>
      <c r="F1734" t="s">
        <v>1375</v>
      </c>
      <c r="G1734" s="3">
        <v>47161</v>
      </c>
      <c r="H1734">
        <v>36</v>
      </c>
      <c r="I1734">
        <v>90</v>
      </c>
      <c r="J1734">
        <v>567</v>
      </c>
      <c r="K1734" s="4">
        <v>51591.33</v>
      </c>
      <c r="L1734" s="4">
        <v>270</v>
      </c>
      <c r="M1734" s="4">
        <v>2.1</v>
      </c>
      <c r="N1734" t="s">
        <v>25</v>
      </c>
      <c r="O1734" t="str">
        <f t="shared" si="270"/>
        <v>Low</v>
      </c>
      <c r="P1734" t="str">
        <f t="shared" si="271"/>
        <v>Low</v>
      </c>
      <c r="Q1734" t="str">
        <f t="shared" si="272"/>
        <v>Low</v>
      </c>
      <c r="R1734" t="s">
        <v>3317</v>
      </c>
      <c r="S1734" s="4">
        <f t="shared" ca="1" si="273"/>
        <v>964</v>
      </c>
      <c r="T1734">
        <f t="shared" si="274"/>
        <v>1</v>
      </c>
      <c r="U1734">
        <f t="shared" si="275"/>
        <v>1</v>
      </c>
      <c r="V1734">
        <f t="shared" si="276"/>
        <v>1</v>
      </c>
      <c r="W1734">
        <f t="shared" si="277"/>
        <v>1</v>
      </c>
      <c r="X1734">
        <f t="shared" si="278"/>
        <v>0.99999999999999989</v>
      </c>
      <c r="Y1734" t="str">
        <f t="shared" si="279"/>
        <v>Healthy</v>
      </c>
    </row>
    <row r="1735" spans="1:25" x14ac:dyDescent="0.35">
      <c r="A1735" t="s">
        <v>29</v>
      </c>
      <c r="B1735" t="s">
        <v>30</v>
      </c>
      <c r="C1735" t="s">
        <v>391</v>
      </c>
      <c r="D1735" t="s">
        <v>392</v>
      </c>
      <c r="E1735">
        <v>80878182</v>
      </c>
      <c r="F1735" t="s">
        <v>1375</v>
      </c>
      <c r="G1735" s="3">
        <v>47231</v>
      </c>
      <c r="H1735">
        <v>36</v>
      </c>
      <c r="I1735">
        <v>96</v>
      </c>
      <c r="J1735">
        <v>240</v>
      </c>
      <c r="K1735" s="4">
        <v>21837.599999999999</v>
      </c>
      <c r="L1735" s="4">
        <v>270</v>
      </c>
      <c r="M1735" s="4">
        <v>0.88888888888888884</v>
      </c>
      <c r="N1735" t="s">
        <v>25</v>
      </c>
      <c r="O1735" t="str">
        <f t="shared" si="270"/>
        <v>Low</v>
      </c>
      <c r="P1735" t="str">
        <f t="shared" si="271"/>
        <v>Low</v>
      </c>
      <c r="Q1735" t="str">
        <f t="shared" si="272"/>
        <v>Low</v>
      </c>
      <c r="R1735" t="s">
        <v>3317</v>
      </c>
      <c r="S1735" s="4">
        <f t="shared" ca="1" si="273"/>
        <v>1034</v>
      </c>
      <c r="T1735">
        <f t="shared" si="274"/>
        <v>1</v>
      </c>
      <c r="U1735">
        <f t="shared" si="275"/>
        <v>1</v>
      </c>
      <c r="V1735">
        <f t="shared" si="276"/>
        <v>1</v>
      </c>
      <c r="W1735">
        <f t="shared" si="277"/>
        <v>1</v>
      </c>
      <c r="X1735">
        <f t="shared" si="278"/>
        <v>0.99999999999999989</v>
      </c>
      <c r="Y1735" t="str">
        <f t="shared" si="279"/>
        <v>Healthy</v>
      </c>
    </row>
    <row r="1736" spans="1:25" x14ac:dyDescent="0.35">
      <c r="A1736" t="s">
        <v>179</v>
      </c>
      <c r="B1736" t="s">
        <v>223</v>
      </c>
      <c r="C1736" t="s">
        <v>357</v>
      </c>
      <c r="D1736" t="s">
        <v>1304</v>
      </c>
      <c r="E1736">
        <v>80868346</v>
      </c>
      <c r="F1736" t="s">
        <v>1376</v>
      </c>
      <c r="G1736" s="3">
        <v>46403</v>
      </c>
      <c r="H1736">
        <v>18</v>
      </c>
      <c r="I1736">
        <v>39</v>
      </c>
      <c r="J1736">
        <v>30</v>
      </c>
      <c r="K1736" s="4">
        <v>18666</v>
      </c>
      <c r="L1736" s="4">
        <v>154.71428571428572</v>
      </c>
      <c r="M1736" s="4">
        <v>0.19390581717451522</v>
      </c>
      <c r="N1736" t="s">
        <v>25</v>
      </c>
      <c r="O1736" t="str">
        <f t="shared" si="270"/>
        <v>Medium</v>
      </c>
      <c r="P1736" t="str">
        <f t="shared" si="271"/>
        <v>Low</v>
      </c>
      <c r="Q1736" t="str">
        <f t="shared" si="272"/>
        <v>Low</v>
      </c>
      <c r="R1736" t="s">
        <v>3317</v>
      </c>
      <c r="S1736" s="4">
        <f t="shared" ca="1" si="273"/>
        <v>206</v>
      </c>
      <c r="T1736">
        <f t="shared" si="274"/>
        <v>2</v>
      </c>
      <c r="U1736">
        <f t="shared" si="275"/>
        <v>1</v>
      </c>
      <c r="V1736">
        <f t="shared" si="276"/>
        <v>1</v>
      </c>
      <c r="W1736">
        <f t="shared" si="277"/>
        <v>1</v>
      </c>
      <c r="X1736">
        <f t="shared" si="278"/>
        <v>1.4000000000000001</v>
      </c>
      <c r="Y1736" t="str">
        <f t="shared" si="279"/>
        <v>Healthy</v>
      </c>
    </row>
    <row r="1737" spans="1:25" x14ac:dyDescent="0.35">
      <c r="A1737" t="s">
        <v>179</v>
      </c>
      <c r="B1737" t="s">
        <v>223</v>
      </c>
      <c r="C1737" t="s">
        <v>357</v>
      </c>
      <c r="D1737" t="s">
        <v>1304</v>
      </c>
      <c r="E1737">
        <v>80868346</v>
      </c>
      <c r="F1737" t="s">
        <v>1376</v>
      </c>
      <c r="G1737" s="3">
        <v>46451</v>
      </c>
      <c r="H1737">
        <v>18</v>
      </c>
      <c r="I1737">
        <v>48</v>
      </c>
      <c r="J1737">
        <v>29</v>
      </c>
      <c r="K1737" s="4">
        <v>18043.8</v>
      </c>
      <c r="L1737" s="4">
        <v>154.71428571428572</v>
      </c>
      <c r="M1737" s="4">
        <v>0.18744228993536471</v>
      </c>
      <c r="N1737" t="s">
        <v>25</v>
      </c>
      <c r="O1737" t="str">
        <f t="shared" si="270"/>
        <v>Low</v>
      </c>
      <c r="P1737" t="str">
        <f t="shared" si="271"/>
        <v>Low</v>
      </c>
      <c r="Q1737" t="str">
        <f t="shared" si="272"/>
        <v>Low</v>
      </c>
      <c r="R1737" t="s">
        <v>3317</v>
      </c>
      <c r="S1737" s="4">
        <f t="shared" ca="1" si="273"/>
        <v>254</v>
      </c>
      <c r="T1737">
        <f t="shared" si="274"/>
        <v>1</v>
      </c>
      <c r="U1737">
        <f t="shared" si="275"/>
        <v>1</v>
      </c>
      <c r="V1737">
        <f t="shared" si="276"/>
        <v>1</v>
      </c>
      <c r="W1737">
        <f t="shared" si="277"/>
        <v>1</v>
      </c>
      <c r="X1737">
        <f t="shared" si="278"/>
        <v>0.99999999999999989</v>
      </c>
      <c r="Y1737" t="str">
        <f t="shared" si="279"/>
        <v>Healthy</v>
      </c>
    </row>
    <row r="1738" spans="1:25" x14ac:dyDescent="0.35">
      <c r="A1738" t="s">
        <v>179</v>
      </c>
      <c r="B1738" t="s">
        <v>223</v>
      </c>
      <c r="C1738" t="s">
        <v>357</v>
      </c>
      <c r="D1738" t="s">
        <v>1304</v>
      </c>
      <c r="E1738">
        <v>80868346</v>
      </c>
      <c r="F1738" t="s">
        <v>1376</v>
      </c>
      <c r="G1738" s="3">
        <v>46451</v>
      </c>
      <c r="H1738">
        <v>18</v>
      </c>
      <c r="I1738">
        <v>48</v>
      </c>
      <c r="J1738">
        <v>1</v>
      </c>
      <c r="K1738" s="4">
        <v>622.20000000000005</v>
      </c>
      <c r="L1738" s="4">
        <v>154.71428571428572</v>
      </c>
      <c r="M1738" s="4">
        <v>6.4635272391505077E-3</v>
      </c>
      <c r="N1738" t="s">
        <v>25</v>
      </c>
      <c r="O1738" t="str">
        <f t="shared" si="270"/>
        <v>Low</v>
      </c>
      <c r="P1738" t="str">
        <f t="shared" si="271"/>
        <v>Low</v>
      </c>
      <c r="Q1738" t="str">
        <f t="shared" si="272"/>
        <v>Low</v>
      </c>
      <c r="R1738" t="s">
        <v>3317</v>
      </c>
      <c r="S1738" s="4">
        <f t="shared" ca="1" si="273"/>
        <v>254</v>
      </c>
      <c r="T1738">
        <f t="shared" si="274"/>
        <v>1</v>
      </c>
      <c r="U1738">
        <f t="shared" si="275"/>
        <v>1</v>
      </c>
      <c r="V1738">
        <f t="shared" si="276"/>
        <v>1</v>
      </c>
      <c r="W1738">
        <f t="shared" si="277"/>
        <v>1</v>
      </c>
      <c r="X1738">
        <f t="shared" si="278"/>
        <v>0.99999999999999989</v>
      </c>
      <c r="Y1738" t="str">
        <f t="shared" si="279"/>
        <v>Healthy</v>
      </c>
    </row>
    <row r="1739" spans="1:25" x14ac:dyDescent="0.35">
      <c r="A1739" t="s">
        <v>20</v>
      </c>
      <c r="B1739" t="s">
        <v>21</v>
      </c>
      <c r="C1739" t="s">
        <v>926</v>
      </c>
      <c r="D1739" t="s">
        <v>1377</v>
      </c>
      <c r="E1739">
        <v>80879506</v>
      </c>
      <c r="F1739" t="s">
        <v>1378</v>
      </c>
      <c r="G1739" s="3">
        <v>47010</v>
      </c>
      <c r="H1739">
        <v>36</v>
      </c>
      <c r="I1739">
        <v>76</v>
      </c>
      <c r="J1739">
        <v>72</v>
      </c>
      <c r="K1739" s="4">
        <v>13362.48</v>
      </c>
      <c r="L1739" s="4">
        <v>1451.4285714285713</v>
      </c>
      <c r="M1739" s="4">
        <v>4.9606299212598431E-2</v>
      </c>
      <c r="N1739" t="s">
        <v>25</v>
      </c>
      <c r="O1739" t="str">
        <f t="shared" si="270"/>
        <v>Low</v>
      </c>
      <c r="P1739" t="str">
        <f t="shared" si="271"/>
        <v>Low</v>
      </c>
      <c r="Q1739" t="str">
        <f t="shared" si="272"/>
        <v>Low</v>
      </c>
      <c r="R1739" t="s">
        <v>3317</v>
      </c>
      <c r="S1739" s="4">
        <f t="shared" ca="1" si="273"/>
        <v>813</v>
      </c>
      <c r="T1739">
        <f t="shared" si="274"/>
        <v>1</v>
      </c>
      <c r="U1739">
        <f t="shared" si="275"/>
        <v>1</v>
      </c>
      <c r="V1739">
        <f t="shared" si="276"/>
        <v>1</v>
      </c>
      <c r="W1739">
        <f t="shared" si="277"/>
        <v>1</v>
      </c>
      <c r="X1739">
        <f t="shared" si="278"/>
        <v>0.99999999999999989</v>
      </c>
      <c r="Y1739" t="str">
        <f t="shared" si="279"/>
        <v>Healthy</v>
      </c>
    </row>
    <row r="1740" spans="1:25" x14ac:dyDescent="0.35">
      <c r="A1740" t="s">
        <v>29</v>
      </c>
      <c r="B1740" t="s">
        <v>30</v>
      </c>
      <c r="C1740" t="s">
        <v>449</v>
      </c>
      <c r="D1740" t="s">
        <v>1168</v>
      </c>
      <c r="E1740">
        <v>82316496</v>
      </c>
      <c r="F1740" t="s">
        <v>1379</v>
      </c>
      <c r="G1740" s="3">
        <v>46138</v>
      </c>
      <c r="H1740">
        <v>36</v>
      </c>
      <c r="I1740">
        <v>0</v>
      </c>
      <c r="J1740">
        <v>2</v>
      </c>
      <c r="K1740" s="4">
        <v>1500.9</v>
      </c>
      <c r="L1740" s="4">
        <f>0</f>
        <v>0</v>
      </c>
      <c r="M1740" s="4">
        <f>999</f>
        <v>999</v>
      </c>
      <c r="N1740" t="s">
        <v>19</v>
      </c>
      <c r="O1740" t="str">
        <f t="shared" si="270"/>
        <v>High</v>
      </c>
      <c r="P1740" t="str">
        <f t="shared" si="271"/>
        <v>High</v>
      </c>
      <c r="Q1740" t="str">
        <f t="shared" si="272"/>
        <v>High</v>
      </c>
      <c r="R1740" t="s">
        <v>3317</v>
      </c>
      <c r="S1740" s="4">
        <f t="shared" ca="1" si="273"/>
        <v>-59</v>
      </c>
      <c r="T1740">
        <f t="shared" si="274"/>
        <v>3</v>
      </c>
      <c r="U1740">
        <f t="shared" si="275"/>
        <v>3</v>
      </c>
      <c r="V1740">
        <f t="shared" si="276"/>
        <v>3</v>
      </c>
      <c r="W1740">
        <f t="shared" si="277"/>
        <v>1</v>
      </c>
      <c r="X1740">
        <f t="shared" si="278"/>
        <v>2.8000000000000003</v>
      </c>
      <c r="Y1740" t="str">
        <f t="shared" si="279"/>
        <v>Move Immediately</v>
      </c>
    </row>
    <row r="1741" spans="1:25" x14ac:dyDescent="0.35">
      <c r="A1741" t="s">
        <v>29</v>
      </c>
      <c r="B1741" t="s">
        <v>30</v>
      </c>
      <c r="C1741" t="s">
        <v>147</v>
      </c>
      <c r="D1741" t="s">
        <v>1380</v>
      </c>
      <c r="E1741">
        <v>82329799</v>
      </c>
      <c r="F1741" t="s">
        <v>1381</v>
      </c>
      <c r="G1741" s="3">
        <v>45974</v>
      </c>
      <c r="H1741">
        <v>36</v>
      </c>
      <c r="I1741">
        <v>0</v>
      </c>
      <c r="J1741">
        <v>108</v>
      </c>
      <c r="K1741" s="4">
        <v>32290.92</v>
      </c>
      <c r="L1741" s="4">
        <f>0</f>
        <v>0</v>
      </c>
      <c r="M1741" s="4">
        <f>999</f>
        <v>999</v>
      </c>
      <c r="N1741" t="s">
        <v>19</v>
      </c>
      <c r="O1741" t="str">
        <f t="shared" si="270"/>
        <v>High</v>
      </c>
      <c r="P1741" t="str">
        <f t="shared" si="271"/>
        <v>High</v>
      </c>
      <c r="Q1741" t="str">
        <f t="shared" si="272"/>
        <v>High</v>
      </c>
      <c r="R1741" t="s">
        <v>3317</v>
      </c>
      <c r="S1741" s="4">
        <f t="shared" ca="1" si="273"/>
        <v>-223</v>
      </c>
      <c r="T1741">
        <f t="shared" si="274"/>
        <v>3</v>
      </c>
      <c r="U1741">
        <f t="shared" si="275"/>
        <v>3</v>
      </c>
      <c r="V1741">
        <f t="shared" si="276"/>
        <v>3</v>
      </c>
      <c r="W1741">
        <f t="shared" si="277"/>
        <v>1</v>
      </c>
      <c r="X1741">
        <f t="shared" si="278"/>
        <v>2.8000000000000003</v>
      </c>
      <c r="Y1741" t="str">
        <f t="shared" si="279"/>
        <v>Move Immediately</v>
      </c>
    </row>
    <row r="1742" spans="1:25" x14ac:dyDescent="0.35">
      <c r="A1742" t="s">
        <v>29</v>
      </c>
      <c r="B1742" t="s">
        <v>30</v>
      </c>
      <c r="C1742" t="s">
        <v>147</v>
      </c>
      <c r="D1742" t="s">
        <v>1380</v>
      </c>
      <c r="E1742">
        <v>82329799</v>
      </c>
      <c r="F1742" t="s">
        <v>1381</v>
      </c>
      <c r="G1742" s="3">
        <v>46509</v>
      </c>
      <c r="H1742">
        <v>36</v>
      </c>
      <c r="I1742">
        <v>29</v>
      </c>
      <c r="J1742">
        <v>12</v>
      </c>
      <c r="K1742" s="4">
        <v>3587.88</v>
      </c>
      <c r="L1742" s="4">
        <f>0</f>
        <v>0</v>
      </c>
      <c r="M1742" s="4">
        <f>999</f>
        <v>999</v>
      </c>
      <c r="N1742" t="s">
        <v>19</v>
      </c>
      <c r="O1742" t="str">
        <f t="shared" si="270"/>
        <v>Medium</v>
      </c>
      <c r="P1742" t="str">
        <f t="shared" si="271"/>
        <v>High</v>
      </c>
      <c r="Q1742" t="str">
        <f t="shared" si="272"/>
        <v>High</v>
      </c>
      <c r="R1742" t="s">
        <v>3317</v>
      </c>
      <c r="S1742" s="4">
        <f t="shared" ca="1" si="273"/>
        <v>312</v>
      </c>
      <c r="T1742">
        <f t="shared" si="274"/>
        <v>2</v>
      </c>
      <c r="U1742">
        <f t="shared" si="275"/>
        <v>3</v>
      </c>
      <c r="V1742">
        <f t="shared" si="276"/>
        <v>3</v>
      </c>
      <c r="W1742">
        <f t="shared" si="277"/>
        <v>1</v>
      </c>
      <c r="X1742">
        <f t="shared" si="278"/>
        <v>2.4</v>
      </c>
      <c r="Y1742" t="str">
        <f t="shared" si="279"/>
        <v>High Priority</v>
      </c>
    </row>
    <row r="1743" spans="1:25" x14ac:dyDescent="0.35">
      <c r="A1743" t="s">
        <v>29</v>
      </c>
      <c r="B1743" t="s">
        <v>30</v>
      </c>
      <c r="C1743" t="s">
        <v>147</v>
      </c>
      <c r="D1743" t="s">
        <v>1380</v>
      </c>
      <c r="E1743">
        <v>82329799</v>
      </c>
      <c r="F1743" t="s">
        <v>1381</v>
      </c>
      <c r="G1743" s="3">
        <v>45989</v>
      </c>
      <c r="H1743">
        <v>36</v>
      </c>
      <c r="I1743">
        <v>0</v>
      </c>
      <c r="J1743">
        <v>84</v>
      </c>
      <c r="K1743" s="4">
        <v>25115.16</v>
      </c>
      <c r="L1743" s="4">
        <f>0</f>
        <v>0</v>
      </c>
      <c r="M1743" s="4">
        <f>999</f>
        <v>999</v>
      </c>
      <c r="N1743" t="s">
        <v>19</v>
      </c>
      <c r="O1743" t="str">
        <f t="shared" si="270"/>
        <v>High</v>
      </c>
      <c r="P1743" t="str">
        <f t="shared" si="271"/>
        <v>High</v>
      </c>
      <c r="Q1743" t="str">
        <f t="shared" si="272"/>
        <v>High</v>
      </c>
      <c r="R1743" t="s">
        <v>3317</v>
      </c>
      <c r="S1743" s="4">
        <f t="shared" ca="1" si="273"/>
        <v>-208</v>
      </c>
      <c r="T1743">
        <f t="shared" si="274"/>
        <v>3</v>
      </c>
      <c r="U1743">
        <f t="shared" si="275"/>
        <v>3</v>
      </c>
      <c r="V1743">
        <f t="shared" si="276"/>
        <v>3</v>
      </c>
      <c r="W1743">
        <f t="shared" si="277"/>
        <v>1</v>
      </c>
      <c r="X1743">
        <f t="shared" si="278"/>
        <v>2.8000000000000003</v>
      </c>
      <c r="Y1743" t="str">
        <f t="shared" si="279"/>
        <v>Move Immediately</v>
      </c>
    </row>
    <row r="1744" spans="1:25" x14ac:dyDescent="0.35">
      <c r="A1744" t="s">
        <v>20</v>
      </c>
      <c r="B1744" t="s">
        <v>21</v>
      </c>
      <c r="C1744" t="s">
        <v>1382</v>
      </c>
      <c r="D1744" t="s">
        <v>1383</v>
      </c>
      <c r="E1744">
        <v>82308003</v>
      </c>
      <c r="F1744" t="s">
        <v>1384</v>
      </c>
      <c r="G1744" s="3">
        <v>47020</v>
      </c>
      <c r="H1744">
        <v>36</v>
      </c>
      <c r="I1744">
        <v>77</v>
      </c>
      <c r="J1744">
        <v>60</v>
      </c>
      <c r="K1744" s="4">
        <v>8928</v>
      </c>
      <c r="L1744" s="4">
        <f>0</f>
        <v>0</v>
      </c>
      <c r="M1744" s="4">
        <f>999</f>
        <v>999</v>
      </c>
      <c r="N1744" t="s">
        <v>19</v>
      </c>
      <c r="O1744" t="str">
        <f t="shared" si="270"/>
        <v>Low</v>
      </c>
      <c r="P1744" t="str">
        <f t="shared" si="271"/>
        <v>High</v>
      </c>
      <c r="Q1744" t="str">
        <f t="shared" si="272"/>
        <v>High</v>
      </c>
      <c r="R1744" t="s">
        <v>3317</v>
      </c>
      <c r="S1744" s="4">
        <f t="shared" ca="1" si="273"/>
        <v>823</v>
      </c>
      <c r="T1744">
        <f t="shared" si="274"/>
        <v>1</v>
      </c>
      <c r="U1744">
        <f t="shared" si="275"/>
        <v>3</v>
      </c>
      <c r="V1744">
        <f t="shared" si="276"/>
        <v>3</v>
      </c>
      <c r="W1744">
        <f t="shared" si="277"/>
        <v>1</v>
      </c>
      <c r="X1744">
        <f t="shared" si="278"/>
        <v>2</v>
      </c>
      <c r="Y1744" t="str">
        <f t="shared" si="279"/>
        <v>Monitor</v>
      </c>
    </row>
    <row r="1745" spans="1:25" x14ac:dyDescent="0.35">
      <c r="A1745" t="s">
        <v>29</v>
      </c>
      <c r="B1745" t="s">
        <v>30</v>
      </c>
      <c r="C1745" t="s">
        <v>449</v>
      </c>
      <c r="D1745" t="s">
        <v>1186</v>
      </c>
      <c r="E1745">
        <v>82316491</v>
      </c>
      <c r="F1745" t="s">
        <v>1385</v>
      </c>
      <c r="G1745" s="3">
        <v>46038</v>
      </c>
      <c r="H1745">
        <v>36</v>
      </c>
      <c r="I1745">
        <v>0</v>
      </c>
      <c r="J1745">
        <v>3</v>
      </c>
      <c r="K1745" s="4">
        <v>999.21</v>
      </c>
      <c r="L1745" s="4">
        <v>0.42857142857142855</v>
      </c>
      <c r="M1745" s="4">
        <v>7</v>
      </c>
      <c r="N1745" t="s">
        <v>19</v>
      </c>
      <c r="O1745" t="str">
        <f t="shared" si="270"/>
        <v>High</v>
      </c>
      <c r="P1745" t="str">
        <f t="shared" si="271"/>
        <v>Medium</v>
      </c>
      <c r="Q1745" t="str">
        <f t="shared" si="272"/>
        <v>High</v>
      </c>
      <c r="R1745" t="s">
        <v>3317</v>
      </c>
      <c r="S1745" s="4">
        <f t="shared" ca="1" si="273"/>
        <v>-159</v>
      </c>
      <c r="T1745">
        <f t="shared" si="274"/>
        <v>3</v>
      </c>
      <c r="U1745">
        <f t="shared" si="275"/>
        <v>2</v>
      </c>
      <c r="V1745">
        <f t="shared" si="276"/>
        <v>3</v>
      </c>
      <c r="W1745">
        <f t="shared" si="277"/>
        <v>1</v>
      </c>
      <c r="X1745">
        <f t="shared" si="278"/>
        <v>2.5000000000000004</v>
      </c>
      <c r="Y1745" t="str">
        <f t="shared" si="279"/>
        <v>High Priority</v>
      </c>
    </row>
    <row r="1746" spans="1:25" x14ac:dyDescent="0.35">
      <c r="A1746" t="s">
        <v>99</v>
      </c>
      <c r="B1746" t="s">
        <v>100</v>
      </c>
      <c r="C1746" t="s">
        <v>101</v>
      </c>
      <c r="D1746" t="s">
        <v>1386</v>
      </c>
      <c r="E1746">
        <v>82308641</v>
      </c>
      <c r="F1746" t="s">
        <v>1387</v>
      </c>
      <c r="G1746" s="3">
        <v>44312</v>
      </c>
      <c r="H1746">
        <v>18</v>
      </c>
      <c r="I1746">
        <v>0</v>
      </c>
      <c r="J1746">
        <v>144</v>
      </c>
      <c r="K1746" s="4">
        <v>9015.84</v>
      </c>
      <c r="L1746" s="4">
        <f>0</f>
        <v>0</v>
      </c>
      <c r="M1746" s="4">
        <f>999</f>
        <v>999</v>
      </c>
      <c r="N1746" t="s">
        <v>19</v>
      </c>
      <c r="O1746" t="str">
        <f t="shared" si="270"/>
        <v>High</v>
      </c>
      <c r="P1746" t="str">
        <f t="shared" si="271"/>
        <v>High</v>
      </c>
      <c r="Q1746" t="str">
        <f t="shared" si="272"/>
        <v>High</v>
      </c>
      <c r="R1746" t="s">
        <v>3317</v>
      </c>
      <c r="S1746" s="4">
        <f t="shared" ca="1" si="273"/>
        <v>-1885</v>
      </c>
      <c r="T1746">
        <f t="shared" si="274"/>
        <v>3</v>
      </c>
      <c r="U1746">
        <f t="shared" si="275"/>
        <v>3</v>
      </c>
      <c r="V1746">
        <f t="shared" si="276"/>
        <v>3</v>
      </c>
      <c r="W1746">
        <f t="shared" si="277"/>
        <v>1</v>
      </c>
      <c r="X1746">
        <f t="shared" si="278"/>
        <v>2.8000000000000003</v>
      </c>
      <c r="Y1746" t="str">
        <f t="shared" si="279"/>
        <v>Move Immediately</v>
      </c>
    </row>
    <row r="1747" spans="1:25" x14ac:dyDescent="0.35">
      <c r="A1747" t="s">
        <v>29</v>
      </c>
      <c r="B1747" t="s">
        <v>30</v>
      </c>
      <c r="C1747" t="s">
        <v>856</v>
      </c>
      <c r="D1747" t="s">
        <v>1388</v>
      </c>
      <c r="E1747">
        <v>82317164</v>
      </c>
      <c r="F1747" t="s">
        <v>1389</v>
      </c>
      <c r="G1747" s="3">
        <v>44987</v>
      </c>
      <c r="H1747">
        <v>36</v>
      </c>
      <c r="I1747">
        <v>0</v>
      </c>
      <c r="J1747">
        <v>3</v>
      </c>
      <c r="K1747" s="4">
        <v>4797.45</v>
      </c>
      <c r="L1747" s="4">
        <f>0</f>
        <v>0</v>
      </c>
      <c r="M1747" s="4">
        <f>999</f>
        <v>999</v>
      </c>
      <c r="N1747" t="s">
        <v>19</v>
      </c>
      <c r="O1747" t="str">
        <f t="shared" si="270"/>
        <v>High</v>
      </c>
      <c r="P1747" t="str">
        <f t="shared" si="271"/>
        <v>High</v>
      </c>
      <c r="Q1747" t="str">
        <f t="shared" si="272"/>
        <v>High</v>
      </c>
      <c r="R1747" t="s">
        <v>3317</v>
      </c>
      <c r="S1747" s="4">
        <f t="shared" ca="1" si="273"/>
        <v>-1210</v>
      </c>
      <c r="T1747">
        <f t="shared" si="274"/>
        <v>3</v>
      </c>
      <c r="U1747">
        <f t="shared" si="275"/>
        <v>3</v>
      </c>
      <c r="V1747">
        <f t="shared" si="276"/>
        <v>3</v>
      </c>
      <c r="W1747">
        <f t="shared" si="277"/>
        <v>1</v>
      </c>
      <c r="X1747">
        <f t="shared" si="278"/>
        <v>2.8000000000000003</v>
      </c>
      <c r="Y1747" t="str">
        <f t="shared" si="279"/>
        <v>Move Immediately</v>
      </c>
    </row>
    <row r="1748" spans="1:25" x14ac:dyDescent="0.35">
      <c r="A1748" t="s">
        <v>20</v>
      </c>
      <c r="B1748" t="s">
        <v>21</v>
      </c>
      <c r="C1748" t="s">
        <v>51</v>
      </c>
      <c r="D1748" t="s">
        <v>804</v>
      </c>
      <c r="E1748">
        <v>82330849</v>
      </c>
      <c r="F1748" t="s">
        <v>1390</v>
      </c>
      <c r="G1748" s="3">
        <v>46826</v>
      </c>
      <c r="H1748">
        <v>36</v>
      </c>
      <c r="I1748">
        <v>59</v>
      </c>
      <c r="J1748">
        <v>73</v>
      </c>
      <c r="K1748" s="4">
        <v>4613.6000000000004</v>
      </c>
      <c r="L1748" s="4">
        <f>0</f>
        <v>0</v>
      </c>
      <c r="M1748" s="4">
        <f>999</f>
        <v>999</v>
      </c>
      <c r="N1748" t="s">
        <v>19</v>
      </c>
      <c r="O1748" t="str">
        <f t="shared" si="270"/>
        <v>Low</v>
      </c>
      <c r="P1748" t="str">
        <f t="shared" si="271"/>
        <v>High</v>
      </c>
      <c r="Q1748" t="str">
        <f t="shared" si="272"/>
        <v>High</v>
      </c>
      <c r="R1748" t="s">
        <v>3317</v>
      </c>
      <c r="S1748" s="4">
        <f t="shared" ca="1" si="273"/>
        <v>629</v>
      </c>
      <c r="T1748">
        <f t="shared" si="274"/>
        <v>1</v>
      </c>
      <c r="U1748">
        <f t="shared" si="275"/>
        <v>3</v>
      </c>
      <c r="V1748">
        <f t="shared" si="276"/>
        <v>3</v>
      </c>
      <c r="W1748">
        <f t="shared" si="277"/>
        <v>1</v>
      </c>
      <c r="X1748">
        <f t="shared" si="278"/>
        <v>2</v>
      </c>
      <c r="Y1748" t="str">
        <f t="shared" si="279"/>
        <v>Monitor</v>
      </c>
    </row>
    <row r="1749" spans="1:25" x14ac:dyDescent="0.35">
      <c r="A1749" t="s">
        <v>20</v>
      </c>
      <c r="B1749" t="s">
        <v>21</v>
      </c>
      <c r="C1749" t="s">
        <v>51</v>
      </c>
      <c r="D1749" t="s">
        <v>804</v>
      </c>
      <c r="E1749">
        <v>82330849</v>
      </c>
      <c r="F1749" t="s">
        <v>1390</v>
      </c>
      <c r="G1749" s="3">
        <v>46828</v>
      </c>
      <c r="H1749">
        <v>36</v>
      </c>
      <c r="I1749">
        <v>59</v>
      </c>
      <c r="J1749">
        <v>3</v>
      </c>
      <c r="K1749" s="4">
        <v>189.6</v>
      </c>
      <c r="L1749" s="4">
        <f>0</f>
        <v>0</v>
      </c>
      <c r="M1749" s="4">
        <f>999</f>
        <v>999</v>
      </c>
      <c r="N1749" t="s">
        <v>19</v>
      </c>
      <c r="O1749" t="str">
        <f t="shared" si="270"/>
        <v>Low</v>
      </c>
      <c r="P1749" t="str">
        <f t="shared" si="271"/>
        <v>High</v>
      </c>
      <c r="Q1749" t="str">
        <f t="shared" si="272"/>
        <v>High</v>
      </c>
      <c r="R1749" t="s">
        <v>3317</v>
      </c>
      <c r="S1749" s="4">
        <f t="shared" ca="1" si="273"/>
        <v>631</v>
      </c>
      <c r="T1749">
        <f t="shared" si="274"/>
        <v>1</v>
      </c>
      <c r="U1749">
        <f t="shared" si="275"/>
        <v>3</v>
      </c>
      <c r="V1749">
        <f t="shared" si="276"/>
        <v>3</v>
      </c>
      <c r="W1749">
        <f t="shared" si="277"/>
        <v>1</v>
      </c>
      <c r="X1749">
        <f t="shared" si="278"/>
        <v>2</v>
      </c>
      <c r="Y1749" t="str">
        <f t="shared" si="279"/>
        <v>Monitor</v>
      </c>
    </row>
    <row r="1750" spans="1:25" x14ac:dyDescent="0.35">
      <c r="A1750" t="s">
        <v>20</v>
      </c>
      <c r="B1750" t="s">
        <v>21</v>
      </c>
      <c r="C1750" t="s">
        <v>51</v>
      </c>
      <c r="D1750" t="s">
        <v>785</v>
      </c>
      <c r="E1750">
        <v>80707577</v>
      </c>
      <c r="F1750" t="s">
        <v>1391</v>
      </c>
      <c r="G1750" s="3">
        <v>46837</v>
      </c>
      <c r="H1750">
        <v>36</v>
      </c>
      <c r="I1750">
        <v>60</v>
      </c>
      <c r="J1750">
        <v>5</v>
      </c>
      <c r="K1750" s="4">
        <v>568</v>
      </c>
      <c r="L1750" s="4">
        <v>6.5714285714285712</v>
      </c>
      <c r="M1750" s="4">
        <v>0.76086956521739135</v>
      </c>
      <c r="N1750" t="s">
        <v>25</v>
      </c>
      <c r="O1750" t="str">
        <f t="shared" si="270"/>
        <v>Low</v>
      </c>
      <c r="P1750" t="str">
        <f t="shared" si="271"/>
        <v>Low</v>
      </c>
      <c r="Q1750" t="str">
        <f t="shared" si="272"/>
        <v>Medium</v>
      </c>
      <c r="R1750" t="s">
        <v>3317</v>
      </c>
      <c r="S1750" s="4">
        <f t="shared" ca="1" si="273"/>
        <v>640</v>
      </c>
      <c r="T1750">
        <f t="shared" si="274"/>
        <v>1</v>
      </c>
      <c r="U1750">
        <f t="shared" si="275"/>
        <v>1</v>
      </c>
      <c r="V1750">
        <f t="shared" si="276"/>
        <v>2</v>
      </c>
      <c r="W1750">
        <f t="shared" si="277"/>
        <v>1</v>
      </c>
      <c r="X1750">
        <f t="shared" si="278"/>
        <v>1.2000000000000002</v>
      </c>
      <c r="Y1750" t="str">
        <f t="shared" si="279"/>
        <v>Healthy</v>
      </c>
    </row>
    <row r="1751" spans="1:25" x14ac:dyDescent="0.35">
      <c r="A1751" t="s">
        <v>90</v>
      </c>
      <c r="B1751" t="s">
        <v>217</v>
      </c>
      <c r="C1751" t="s">
        <v>533</v>
      </c>
      <c r="D1751" t="s">
        <v>1392</v>
      </c>
      <c r="E1751">
        <v>80721075</v>
      </c>
      <c r="F1751" t="s">
        <v>1393</v>
      </c>
      <c r="G1751" s="3">
        <v>45618</v>
      </c>
      <c r="H1751">
        <v>24</v>
      </c>
      <c r="I1751">
        <v>0</v>
      </c>
      <c r="J1751">
        <v>77</v>
      </c>
      <c r="K1751" s="4">
        <v>666.05</v>
      </c>
      <c r="L1751" s="4">
        <v>72.142857142857139</v>
      </c>
      <c r="M1751" s="4">
        <v>1.0673267326732674</v>
      </c>
      <c r="N1751" t="s">
        <v>25</v>
      </c>
      <c r="O1751" t="str">
        <f t="shared" si="270"/>
        <v>High</v>
      </c>
      <c r="P1751" t="str">
        <f t="shared" si="271"/>
        <v>Low</v>
      </c>
      <c r="Q1751" t="str">
        <f t="shared" si="272"/>
        <v>Low</v>
      </c>
      <c r="R1751" t="s">
        <v>3317</v>
      </c>
      <c r="S1751" s="4">
        <f t="shared" ca="1" si="273"/>
        <v>-579</v>
      </c>
      <c r="T1751">
        <f t="shared" si="274"/>
        <v>3</v>
      </c>
      <c r="U1751">
        <f t="shared" si="275"/>
        <v>1</v>
      </c>
      <c r="V1751">
        <f t="shared" si="276"/>
        <v>1</v>
      </c>
      <c r="W1751">
        <f t="shared" si="277"/>
        <v>1</v>
      </c>
      <c r="X1751">
        <f t="shared" si="278"/>
        <v>1.8000000000000003</v>
      </c>
      <c r="Y1751" t="str">
        <f t="shared" si="279"/>
        <v>Monitor</v>
      </c>
    </row>
    <row r="1752" spans="1:25" x14ac:dyDescent="0.35">
      <c r="A1752" t="s">
        <v>90</v>
      </c>
      <c r="B1752" t="s">
        <v>217</v>
      </c>
      <c r="C1752" t="s">
        <v>533</v>
      </c>
      <c r="D1752" t="s">
        <v>1392</v>
      </c>
      <c r="E1752">
        <v>80721075</v>
      </c>
      <c r="F1752" t="s">
        <v>1393</v>
      </c>
      <c r="G1752" s="3">
        <v>45636</v>
      </c>
      <c r="H1752">
        <v>24</v>
      </c>
      <c r="I1752">
        <v>0</v>
      </c>
      <c r="J1752">
        <v>100</v>
      </c>
      <c r="K1752" s="4">
        <v>865</v>
      </c>
      <c r="L1752" s="4">
        <v>72.142857142857139</v>
      </c>
      <c r="M1752" s="4">
        <v>1.3861386138613863</v>
      </c>
      <c r="N1752" t="s">
        <v>25</v>
      </c>
      <c r="O1752" t="str">
        <f t="shared" si="270"/>
        <v>High</v>
      </c>
      <c r="P1752" t="str">
        <f t="shared" si="271"/>
        <v>Low</v>
      </c>
      <c r="Q1752" t="str">
        <f t="shared" si="272"/>
        <v>Low</v>
      </c>
      <c r="R1752" t="s">
        <v>3317</v>
      </c>
      <c r="S1752" s="4">
        <f t="shared" ca="1" si="273"/>
        <v>-561</v>
      </c>
      <c r="T1752">
        <f t="shared" si="274"/>
        <v>3</v>
      </c>
      <c r="U1752">
        <f t="shared" si="275"/>
        <v>1</v>
      </c>
      <c r="V1752">
        <f t="shared" si="276"/>
        <v>1</v>
      </c>
      <c r="W1752">
        <f t="shared" si="277"/>
        <v>1</v>
      </c>
      <c r="X1752">
        <f t="shared" si="278"/>
        <v>1.8000000000000003</v>
      </c>
      <c r="Y1752" t="str">
        <f t="shared" si="279"/>
        <v>Monitor</v>
      </c>
    </row>
    <row r="1753" spans="1:25" x14ac:dyDescent="0.35">
      <c r="A1753" t="s">
        <v>90</v>
      </c>
      <c r="B1753" t="s">
        <v>217</v>
      </c>
      <c r="C1753" t="s">
        <v>533</v>
      </c>
      <c r="D1753" t="s">
        <v>1392</v>
      </c>
      <c r="E1753">
        <v>80721075</v>
      </c>
      <c r="F1753" t="s">
        <v>1393</v>
      </c>
      <c r="G1753" s="3">
        <v>46517</v>
      </c>
      <c r="H1753">
        <v>24</v>
      </c>
      <c r="I1753">
        <v>45</v>
      </c>
      <c r="J1753">
        <v>4595</v>
      </c>
      <c r="K1753" s="4">
        <v>39746.75</v>
      </c>
      <c r="L1753" s="4">
        <v>72.142857142857139</v>
      </c>
      <c r="M1753" s="4">
        <v>63.693069306930695</v>
      </c>
      <c r="N1753" t="s">
        <v>19</v>
      </c>
      <c r="O1753" t="str">
        <f t="shared" si="270"/>
        <v>Low</v>
      </c>
      <c r="P1753" t="str">
        <f t="shared" si="271"/>
        <v>High</v>
      </c>
      <c r="Q1753" t="str">
        <f t="shared" si="272"/>
        <v>Low</v>
      </c>
      <c r="R1753" t="s">
        <v>3317</v>
      </c>
      <c r="S1753" s="4">
        <f t="shared" ca="1" si="273"/>
        <v>320</v>
      </c>
      <c r="T1753">
        <f t="shared" si="274"/>
        <v>1</v>
      </c>
      <c r="U1753">
        <f t="shared" si="275"/>
        <v>3</v>
      </c>
      <c r="V1753">
        <f t="shared" si="276"/>
        <v>1</v>
      </c>
      <c r="W1753">
        <f t="shared" si="277"/>
        <v>1</v>
      </c>
      <c r="X1753">
        <f t="shared" si="278"/>
        <v>1.5999999999999999</v>
      </c>
      <c r="Y1753" t="str">
        <f t="shared" si="279"/>
        <v>Healthy</v>
      </c>
    </row>
    <row r="1754" spans="1:25" x14ac:dyDescent="0.35">
      <c r="A1754" t="s">
        <v>90</v>
      </c>
      <c r="B1754" t="s">
        <v>91</v>
      </c>
      <c r="C1754" t="s">
        <v>155</v>
      </c>
      <c r="D1754" t="s">
        <v>1394</v>
      </c>
      <c r="E1754">
        <v>80705273</v>
      </c>
      <c r="F1754" t="s">
        <v>1395</v>
      </c>
      <c r="G1754" s="3">
        <v>45484</v>
      </c>
      <c r="H1754">
        <v>24</v>
      </c>
      <c r="I1754">
        <v>0</v>
      </c>
      <c r="J1754">
        <v>60</v>
      </c>
      <c r="K1754" s="4">
        <v>25212</v>
      </c>
      <c r="L1754" s="4">
        <f>0</f>
        <v>0</v>
      </c>
      <c r="M1754" s="4">
        <f>999</f>
        <v>999</v>
      </c>
      <c r="N1754" t="s">
        <v>19</v>
      </c>
      <c r="O1754" t="str">
        <f t="shared" si="270"/>
        <v>High</v>
      </c>
      <c r="P1754" t="str">
        <f t="shared" si="271"/>
        <v>High</v>
      </c>
      <c r="Q1754" t="str">
        <f t="shared" si="272"/>
        <v>High</v>
      </c>
      <c r="R1754" t="s">
        <v>3317</v>
      </c>
      <c r="S1754" s="4">
        <f t="shared" ca="1" si="273"/>
        <v>-713</v>
      </c>
      <c r="T1754">
        <f t="shared" si="274"/>
        <v>3</v>
      </c>
      <c r="U1754">
        <f t="shared" si="275"/>
        <v>3</v>
      </c>
      <c r="V1754">
        <f t="shared" si="276"/>
        <v>3</v>
      </c>
      <c r="W1754">
        <f t="shared" si="277"/>
        <v>1</v>
      </c>
      <c r="X1754">
        <f t="shared" si="278"/>
        <v>2.8000000000000003</v>
      </c>
      <c r="Y1754" t="str">
        <f t="shared" si="279"/>
        <v>Move Immediately</v>
      </c>
    </row>
    <row r="1755" spans="1:25" x14ac:dyDescent="0.35">
      <c r="A1755" t="s">
        <v>29</v>
      </c>
      <c r="B1755" t="s">
        <v>30</v>
      </c>
      <c r="C1755" t="s">
        <v>31</v>
      </c>
      <c r="D1755" t="s">
        <v>32</v>
      </c>
      <c r="E1755">
        <v>82327109</v>
      </c>
      <c r="F1755" t="s">
        <v>1396</v>
      </c>
      <c r="G1755" s="3">
        <v>45663</v>
      </c>
      <c r="H1755">
        <v>36</v>
      </c>
      <c r="I1755">
        <v>0</v>
      </c>
      <c r="J1755">
        <v>5</v>
      </c>
      <c r="K1755" s="4">
        <v>5595.85</v>
      </c>
      <c r="L1755" s="4">
        <f>0</f>
        <v>0</v>
      </c>
      <c r="M1755" s="4">
        <f>999</f>
        <v>999</v>
      </c>
      <c r="N1755" t="s">
        <v>19</v>
      </c>
      <c r="O1755" t="str">
        <f t="shared" si="270"/>
        <v>High</v>
      </c>
      <c r="P1755" t="str">
        <f t="shared" si="271"/>
        <v>High</v>
      </c>
      <c r="Q1755" t="str">
        <f t="shared" si="272"/>
        <v>High</v>
      </c>
      <c r="R1755" t="s">
        <v>3317</v>
      </c>
      <c r="S1755" s="4">
        <f t="shared" ca="1" si="273"/>
        <v>-534</v>
      </c>
      <c r="T1755">
        <f t="shared" si="274"/>
        <v>3</v>
      </c>
      <c r="U1755">
        <f t="shared" si="275"/>
        <v>3</v>
      </c>
      <c r="V1755">
        <f t="shared" si="276"/>
        <v>3</v>
      </c>
      <c r="W1755">
        <f t="shared" si="277"/>
        <v>1</v>
      </c>
      <c r="X1755">
        <f t="shared" si="278"/>
        <v>2.8000000000000003</v>
      </c>
      <c r="Y1755" t="str">
        <f t="shared" si="279"/>
        <v>Move Immediately</v>
      </c>
    </row>
    <row r="1756" spans="1:25" x14ac:dyDescent="0.35">
      <c r="A1756" t="s">
        <v>41</v>
      </c>
      <c r="B1756" t="s">
        <v>54</v>
      </c>
      <c r="C1756" t="s">
        <v>87</v>
      </c>
      <c r="D1756" t="s">
        <v>316</v>
      </c>
      <c r="E1756">
        <v>80728688</v>
      </c>
      <c r="F1756" t="s">
        <v>1397</v>
      </c>
      <c r="G1756" s="3">
        <v>45930</v>
      </c>
      <c r="H1756">
        <v>36</v>
      </c>
      <c r="I1756">
        <v>0</v>
      </c>
      <c r="J1756">
        <v>12</v>
      </c>
      <c r="K1756" s="4">
        <v>9051.1200000000008</v>
      </c>
      <c r="L1756" s="4">
        <f>0</f>
        <v>0</v>
      </c>
      <c r="M1756" s="4">
        <f>999</f>
        <v>999</v>
      </c>
      <c r="N1756" t="s">
        <v>19</v>
      </c>
      <c r="O1756" t="str">
        <f t="shared" si="270"/>
        <v>High</v>
      </c>
      <c r="P1756" t="str">
        <f t="shared" si="271"/>
        <v>High</v>
      </c>
      <c r="Q1756" t="str">
        <f t="shared" si="272"/>
        <v>High</v>
      </c>
      <c r="R1756" t="s">
        <v>3317</v>
      </c>
      <c r="S1756" s="4">
        <f t="shared" ca="1" si="273"/>
        <v>-267</v>
      </c>
      <c r="T1756">
        <f t="shared" si="274"/>
        <v>3</v>
      </c>
      <c r="U1756">
        <f t="shared" si="275"/>
        <v>3</v>
      </c>
      <c r="V1756">
        <f t="shared" si="276"/>
        <v>3</v>
      </c>
      <c r="W1756">
        <f t="shared" si="277"/>
        <v>1</v>
      </c>
      <c r="X1756">
        <f t="shared" si="278"/>
        <v>2.8000000000000003</v>
      </c>
      <c r="Y1756" t="str">
        <f t="shared" si="279"/>
        <v>Move Immediately</v>
      </c>
    </row>
    <row r="1757" spans="1:25" x14ac:dyDescent="0.35">
      <c r="A1757" t="s">
        <v>41</v>
      </c>
      <c r="B1757" t="s">
        <v>80</v>
      </c>
      <c r="C1757" t="s">
        <v>81</v>
      </c>
      <c r="D1757" t="s">
        <v>265</v>
      </c>
      <c r="E1757">
        <v>80731205</v>
      </c>
      <c r="F1757" t="s">
        <v>1398</v>
      </c>
      <c r="G1757" s="3">
        <v>45877</v>
      </c>
      <c r="H1757">
        <v>36</v>
      </c>
      <c r="I1757">
        <v>0</v>
      </c>
      <c r="J1757">
        <v>1</v>
      </c>
      <c r="K1757" s="4">
        <v>559.17999999999995</v>
      </c>
      <c r="L1757" s="4">
        <f>0</f>
        <v>0</v>
      </c>
      <c r="M1757" s="4">
        <f>999</f>
        <v>999</v>
      </c>
      <c r="N1757" t="s">
        <v>19</v>
      </c>
      <c r="O1757" t="str">
        <f t="shared" si="270"/>
        <v>High</v>
      </c>
      <c r="P1757" t="str">
        <f t="shared" si="271"/>
        <v>High</v>
      </c>
      <c r="Q1757" t="str">
        <f t="shared" si="272"/>
        <v>High</v>
      </c>
      <c r="R1757" t="s">
        <v>3317</v>
      </c>
      <c r="S1757" s="4">
        <f t="shared" ca="1" si="273"/>
        <v>-320</v>
      </c>
      <c r="T1757">
        <f t="shared" si="274"/>
        <v>3</v>
      </c>
      <c r="U1757">
        <f t="shared" si="275"/>
        <v>3</v>
      </c>
      <c r="V1757">
        <f t="shared" si="276"/>
        <v>3</v>
      </c>
      <c r="W1757">
        <f t="shared" si="277"/>
        <v>1</v>
      </c>
      <c r="X1757">
        <f t="shared" si="278"/>
        <v>2.8000000000000003</v>
      </c>
      <c r="Y1757" t="str">
        <f t="shared" si="279"/>
        <v>Move Immediately</v>
      </c>
    </row>
    <row r="1758" spans="1:25" x14ac:dyDescent="0.35">
      <c r="A1758" t="s">
        <v>14</v>
      </c>
      <c r="B1758" t="s">
        <v>115</v>
      </c>
      <c r="C1758" t="s">
        <v>116</v>
      </c>
      <c r="D1758" t="s">
        <v>932</v>
      </c>
      <c r="E1758">
        <v>80727177</v>
      </c>
      <c r="F1758" t="s">
        <v>1399</v>
      </c>
      <c r="G1758" s="3">
        <v>47295</v>
      </c>
      <c r="H1758">
        <v>60</v>
      </c>
      <c r="I1758">
        <v>61</v>
      </c>
      <c r="J1758">
        <v>94</v>
      </c>
      <c r="K1758" s="4">
        <v>8929.06</v>
      </c>
      <c r="L1758" s="4">
        <f>0</f>
        <v>0</v>
      </c>
      <c r="M1758" s="4">
        <f>999</f>
        <v>999</v>
      </c>
      <c r="N1758" t="s">
        <v>19</v>
      </c>
      <c r="O1758" t="str">
        <f t="shared" si="270"/>
        <v>Low</v>
      </c>
      <c r="P1758" t="str">
        <f t="shared" si="271"/>
        <v>High</v>
      </c>
      <c r="Q1758" t="str">
        <f t="shared" si="272"/>
        <v>High</v>
      </c>
      <c r="R1758" t="s">
        <v>3317</v>
      </c>
      <c r="S1758" s="4">
        <f t="shared" ca="1" si="273"/>
        <v>1098</v>
      </c>
      <c r="T1758">
        <f t="shared" si="274"/>
        <v>1</v>
      </c>
      <c r="U1758">
        <f t="shared" si="275"/>
        <v>3</v>
      </c>
      <c r="V1758">
        <f t="shared" si="276"/>
        <v>3</v>
      </c>
      <c r="W1758">
        <f t="shared" si="277"/>
        <v>1</v>
      </c>
      <c r="X1758">
        <f t="shared" si="278"/>
        <v>2</v>
      </c>
      <c r="Y1758" t="str">
        <f t="shared" si="279"/>
        <v>Monitor</v>
      </c>
    </row>
    <row r="1759" spans="1:25" x14ac:dyDescent="0.35">
      <c r="A1759" t="s">
        <v>14</v>
      </c>
      <c r="B1759" t="s">
        <v>115</v>
      </c>
      <c r="C1759" t="s">
        <v>116</v>
      </c>
      <c r="D1759" t="s">
        <v>932</v>
      </c>
      <c r="E1759">
        <v>80727177</v>
      </c>
      <c r="F1759" t="s">
        <v>1399</v>
      </c>
      <c r="G1759" s="3">
        <v>46345</v>
      </c>
      <c r="H1759">
        <v>60</v>
      </c>
      <c r="I1759">
        <v>9</v>
      </c>
      <c r="J1759">
        <v>99</v>
      </c>
      <c r="K1759" s="4">
        <v>9404.01</v>
      </c>
      <c r="L1759" s="4">
        <f>0</f>
        <v>0</v>
      </c>
      <c r="M1759" s="4">
        <f>999</f>
        <v>999</v>
      </c>
      <c r="N1759" t="s">
        <v>19</v>
      </c>
      <c r="O1759" t="str">
        <f t="shared" si="270"/>
        <v>High</v>
      </c>
      <c r="P1759" t="str">
        <f t="shared" si="271"/>
        <v>High</v>
      </c>
      <c r="Q1759" t="str">
        <f t="shared" si="272"/>
        <v>High</v>
      </c>
      <c r="R1759" t="s">
        <v>3317</v>
      </c>
      <c r="S1759" s="4">
        <f t="shared" ca="1" si="273"/>
        <v>148</v>
      </c>
      <c r="T1759">
        <f t="shared" si="274"/>
        <v>3</v>
      </c>
      <c r="U1759">
        <f t="shared" si="275"/>
        <v>3</v>
      </c>
      <c r="V1759">
        <f t="shared" si="276"/>
        <v>3</v>
      </c>
      <c r="W1759">
        <f t="shared" si="277"/>
        <v>1</v>
      </c>
      <c r="X1759">
        <f t="shared" si="278"/>
        <v>2.8000000000000003</v>
      </c>
      <c r="Y1759" t="str">
        <f t="shared" si="279"/>
        <v>Move Immediately</v>
      </c>
    </row>
    <row r="1760" spans="1:25" x14ac:dyDescent="0.35">
      <c r="A1760" t="s">
        <v>14</v>
      </c>
      <c r="B1760" t="s">
        <v>115</v>
      </c>
      <c r="C1760" t="s">
        <v>116</v>
      </c>
      <c r="D1760" t="s">
        <v>932</v>
      </c>
      <c r="E1760">
        <v>80727177</v>
      </c>
      <c r="F1760" t="s">
        <v>1399</v>
      </c>
      <c r="G1760" s="3">
        <v>46653</v>
      </c>
      <c r="H1760">
        <v>60</v>
      </c>
      <c r="I1760">
        <v>26</v>
      </c>
      <c r="J1760">
        <v>96</v>
      </c>
      <c r="K1760" s="4">
        <v>9119.0400000000009</v>
      </c>
      <c r="L1760" s="4">
        <f>0</f>
        <v>0</v>
      </c>
      <c r="M1760" s="4">
        <f>999</f>
        <v>999</v>
      </c>
      <c r="N1760" t="s">
        <v>19</v>
      </c>
      <c r="O1760" t="str">
        <f t="shared" si="270"/>
        <v>Medium</v>
      </c>
      <c r="P1760" t="str">
        <f t="shared" si="271"/>
        <v>High</v>
      </c>
      <c r="Q1760" t="str">
        <f t="shared" si="272"/>
        <v>High</v>
      </c>
      <c r="R1760" t="s">
        <v>3317</v>
      </c>
      <c r="S1760" s="4">
        <f t="shared" ca="1" si="273"/>
        <v>456</v>
      </c>
      <c r="T1760">
        <f t="shared" si="274"/>
        <v>2</v>
      </c>
      <c r="U1760">
        <f t="shared" si="275"/>
        <v>3</v>
      </c>
      <c r="V1760">
        <f t="shared" si="276"/>
        <v>3</v>
      </c>
      <c r="W1760">
        <f t="shared" si="277"/>
        <v>1</v>
      </c>
      <c r="X1760">
        <f t="shared" si="278"/>
        <v>2.4</v>
      </c>
      <c r="Y1760" t="str">
        <f t="shared" si="279"/>
        <v>High Priority</v>
      </c>
    </row>
    <row r="1761" spans="1:25" x14ac:dyDescent="0.35">
      <c r="A1761" t="s">
        <v>14</v>
      </c>
      <c r="B1761" t="s">
        <v>115</v>
      </c>
      <c r="C1761" t="s">
        <v>116</v>
      </c>
      <c r="D1761" t="s">
        <v>932</v>
      </c>
      <c r="E1761">
        <v>80727177</v>
      </c>
      <c r="F1761" t="s">
        <v>1399</v>
      </c>
      <c r="G1761" s="3">
        <v>47294</v>
      </c>
      <c r="H1761">
        <v>60</v>
      </c>
      <c r="I1761">
        <v>61</v>
      </c>
      <c r="J1761">
        <v>2</v>
      </c>
      <c r="K1761" s="4">
        <v>189.98</v>
      </c>
      <c r="L1761" s="4">
        <f>0</f>
        <v>0</v>
      </c>
      <c r="M1761" s="4">
        <f>999</f>
        <v>999</v>
      </c>
      <c r="N1761" t="s">
        <v>19</v>
      </c>
      <c r="O1761" t="str">
        <f t="shared" si="270"/>
        <v>Low</v>
      </c>
      <c r="P1761" t="str">
        <f t="shared" si="271"/>
        <v>High</v>
      </c>
      <c r="Q1761" t="str">
        <f t="shared" si="272"/>
        <v>High</v>
      </c>
      <c r="R1761" t="s">
        <v>3317</v>
      </c>
      <c r="S1761" s="4">
        <f t="shared" ca="1" si="273"/>
        <v>1097</v>
      </c>
      <c r="T1761">
        <f t="shared" si="274"/>
        <v>1</v>
      </c>
      <c r="U1761">
        <f t="shared" si="275"/>
        <v>3</v>
      </c>
      <c r="V1761">
        <f t="shared" si="276"/>
        <v>3</v>
      </c>
      <c r="W1761">
        <f t="shared" si="277"/>
        <v>1</v>
      </c>
      <c r="X1761">
        <f t="shared" si="278"/>
        <v>2</v>
      </c>
      <c r="Y1761" t="str">
        <f t="shared" si="279"/>
        <v>Monitor</v>
      </c>
    </row>
    <row r="1762" spans="1:25" x14ac:dyDescent="0.35">
      <c r="A1762" t="s">
        <v>41</v>
      </c>
      <c r="B1762" t="s">
        <v>42</v>
      </c>
      <c r="C1762" t="s">
        <v>43</v>
      </c>
      <c r="D1762" t="s">
        <v>1400</v>
      </c>
      <c r="E1762">
        <v>80738976</v>
      </c>
      <c r="F1762" t="s">
        <v>1401</v>
      </c>
      <c r="G1762" s="3">
        <v>46028</v>
      </c>
      <c r="H1762">
        <v>36</v>
      </c>
      <c r="I1762">
        <v>0</v>
      </c>
      <c r="J1762">
        <v>3</v>
      </c>
      <c r="K1762" s="4">
        <v>392.7</v>
      </c>
      <c r="L1762" s="4">
        <f>0</f>
        <v>0</v>
      </c>
      <c r="M1762" s="4">
        <f>999</f>
        <v>999</v>
      </c>
      <c r="N1762" t="s">
        <v>19</v>
      </c>
      <c r="O1762" t="str">
        <f t="shared" si="270"/>
        <v>High</v>
      </c>
      <c r="P1762" t="str">
        <f t="shared" si="271"/>
        <v>High</v>
      </c>
      <c r="Q1762" t="str">
        <f t="shared" si="272"/>
        <v>High</v>
      </c>
      <c r="R1762" t="s">
        <v>3317</v>
      </c>
      <c r="S1762" s="4">
        <f t="shared" ca="1" si="273"/>
        <v>-169</v>
      </c>
      <c r="T1762">
        <f t="shared" si="274"/>
        <v>3</v>
      </c>
      <c r="U1762">
        <f t="shared" si="275"/>
        <v>3</v>
      </c>
      <c r="V1762">
        <f t="shared" si="276"/>
        <v>3</v>
      </c>
      <c r="W1762">
        <f t="shared" si="277"/>
        <v>1</v>
      </c>
      <c r="X1762">
        <f t="shared" si="278"/>
        <v>2.8000000000000003</v>
      </c>
      <c r="Y1762" t="str">
        <f t="shared" si="279"/>
        <v>Move Immediately</v>
      </c>
    </row>
    <row r="1763" spans="1:25" x14ac:dyDescent="0.35">
      <c r="A1763" t="s">
        <v>71</v>
      </c>
      <c r="B1763" t="s">
        <v>72</v>
      </c>
      <c r="C1763" t="s">
        <v>174</v>
      </c>
      <c r="D1763" t="s">
        <v>333</v>
      </c>
      <c r="E1763">
        <v>80743554</v>
      </c>
      <c r="F1763" t="s">
        <v>1402</v>
      </c>
      <c r="G1763" s="3">
        <v>46031</v>
      </c>
      <c r="H1763">
        <v>36</v>
      </c>
      <c r="I1763">
        <v>0</v>
      </c>
      <c r="J1763">
        <v>2</v>
      </c>
      <c r="K1763" s="4">
        <v>3735.02</v>
      </c>
      <c r="L1763" s="4">
        <f>0</f>
        <v>0</v>
      </c>
      <c r="M1763" s="4">
        <f>999</f>
        <v>999</v>
      </c>
      <c r="N1763" t="s">
        <v>19</v>
      </c>
      <c r="O1763" t="str">
        <f t="shared" si="270"/>
        <v>High</v>
      </c>
      <c r="P1763" t="str">
        <f t="shared" si="271"/>
        <v>High</v>
      </c>
      <c r="Q1763" t="str">
        <f t="shared" si="272"/>
        <v>High</v>
      </c>
      <c r="R1763" t="s">
        <v>3317</v>
      </c>
      <c r="S1763" s="4">
        <f t="shared" ca="1" si="273"/>
        <v>-166</v>
      </c>
      <c r="T1763">
        <f t="shared" si="274"/>
        <v>3</v>
      </c>
      <c r="U1763">
        <f t="shared" si="275"/>
        <v>3</v>
      </c>
      <c r="V1763">
        <f t="shared" si="276"/>
        <v>3</v>
      </c>
      <c r="W1763">
        <f t="shared" si="277"/>
        <v>1</v>
      </c>
      <c r="X1763">
        <f t="shared" si="278"/>
        <v>2.8000000000000003</v>
      </c>
      <c r="Y1763" t="str">
        <f t="shared" si="279"/>
        <v>Move Immediately</v>
      </c>
    </row>
    <row r="1764" spans="1:25" x14ac:dyDescent="0.35">
      <c r="A1764" t="s">
        <v>104</v>
      </c>
      <c r="B1764" t="s">
        <v>105</v>
      </c>
      <c r="C1764" t="s">
        <v>106</v>
      </c>
      <c r="D1764" t="s">
        <v>1403</v>
      </c>
      <c r="E1764">
        <v>80728963</v>
      </c>
      <c r="F1764" t="s">
        <v>1404</v>
      </c>
      <c r="G1764" s="3">
        <v>46708</v>
      </c>
      <c r="H1764">
        <v>24</v>
      </c>
      <c r="I1764">
        <v>72</v>
      </c>
      <c r="J1764">
        <v>8</v>
      </c>
      <c r="K1764" s="4">
        <v>2233.52</v>
      </c>
      <c r="L1764" s="4">
        <v>429</v>
      </c>
      <c r="M1764" s="4">
        <v>1.8648018648018648E-2</v>
      </c>
      <c r="N1764" t="s">
        <v>25</v>
      </c>
      <c r="O1764" t="str">
        <f t="shared" si="270"/>
        <v>Low</v>
      </c>
      <c r="P1764" t="str">
        <f t="shared" si="271"/>
        <v>Low</v>
      </c>
      <c r="Q1764" t="str">
        <f t="shared" si="272"/>
        <v>Low</v>
      </c>
      <c r="R1764" t="s">
        <v>3317</v>
      </c>
      <c r="S1764" s="4">
        <f t="shared" ca="1" si="273"/>
        <v>511</v>
      </c>
      <c r="T1764">
        <f t="shared" si="274"/>
        <v>1</v>
      </c>
      <c r="U1764">
        <f t="shared" si="275"/>
        <v>1</v>
      </c>
      <c r="V1764">
        <f t="shared" si="276"/>
        <v>1</v>
      </c>
      <c r="W1764">
        <f t="shared" si="277"/>
        <v>1</v>
      </c>
      <c r="X1764">
        <f t="shared" si="278"/>
        <v>0.99999999999999989</v>
      </c>
      <c r="Y1764" t="str">
        <f t="shared" si="279"/>
        <v>Healthy</v>
      </c>
    </row>
    <row r="1765" spans="1:25" x14ac:dyDescent="0.35">
      <c r="A1765" t="s">
        <v>41</v>
      </c>
      <c r="B1765" t="s">
        <v>54</v>
      </c>
      <c r="C1765" t="s">
        <v>55</v>
      </c>
      <c r="D1765" t="s">
        <v>153</v>
      </c>
      <c r="E1765">
        <v>80728695</v>
      </c>
      <c r="F1765" t="s">
        <v>1405</v>
      </c>
      <c r="G1765" s="3">
        <v>45922</v>
      </c>
      <c r="H1765">
        <v>36</v>
      </c>
      <c r="I1765">
        <v>0</v>
      </c>
      <c r="J1765">
        <v>1</v>
      </c>
      <c r="K1765" s="4">
        <v>608.54999999999995</v>
      </c>
      <c r="L1765" s="4">
        <v>1.4285714285714286</v>
      </c>
      <c r="M1765" s="4">
        <v>0.7</v>
      </c>
      <c r="N1765" t="s">
        <v>25</v>
      </c>
      <c r="O1765" t="str">
        <f t="shared" si="270"/>
        <v>High</v>
      </c>
      <c r="P1765" t="str">
        <f t="shared" si="271"/>
        <v>Low</v>
      </c>
      <c r="Q1765" t="str">
        <f t="shared" si="272"/>
        <v>High</v>
      </c>
      <c r="R1765" t="s">
        <v>3317</v>
      </c>
      <c r="S1765" s="4">
        <f t="shared" ca="1" si="273"/>
        <v>-275</v>
      </c>
      <c r="T1765">
        <f t="shared" si="274"/>
        <v>3</v>
      </c>
      <c r="U1765">
        <f t="shared" si="275"/>
        <v>1</v>
      </c>
      <c r="V1765">
        <f t="shared" si="276"/>
        <v>3</v>
      </c>
      <c r="W1765">
        <f t="shared" si="277"/>
        <v>1</v>
      </c>
      <c r="X1765">
        <f t="shared" si="278"/>
        <v>2.2000000000000006</v>
      </c>
      <c r="Y1765" t="str">
        <f t="shared" si="279"/>
        <v>High Priority</v>
      </c>
    </row>
    <row r="1766" spans="1:25" x14ac:dyDescent="0.35">
      <c r="A1766" t="s">
        <v>41</v>
      </c>
      <c r="B1766" t="s">
        <v>54</v>
      </c>
      <c r="C1766" t="s">
        <v>55</v>
      </c>
      <c r="D1766" t="s">
        <v>153</v>
      </c>
      <c r="E1766">
        <v>80728695</v>
      </c>
      <c r="F1766" t="s">
        <v>1405</v>
      </c>
      <c r="G1766" s="3">
        <v>45957</v>
      </c>
      <c r="H1766">
        <v>36</v>
      </c>
      <c r="I1766">
        <v>0</v>
      </c>
      <c r="J1766">
        <v>2</v>
      </c>
      <c r="K1766" s="4">
        <v>1217.0999999999999</v>
      </c>
      <c r="L1766" s="4">
        <v>1.4285714285714286</v>
      </c>
      <c r="M1766" s="4">
        <v>1.4</v>
      </c>
      <c r="N1766" t="s">
        <v>25</v>
      </c>
      <c r="O1766" t="str">
        <f t="shared" si="270"/>
        <v>High</v>
      </c>
      <c r="P1766" t="str">
        <f t="shared" si="271"/>
        <v>Low</v>
      </c>
      <c r="Q1766" t="str">
        <f t="shared" si="272"/>
        <v>High</v>
      </c>
      <c r="R1766" t="s">
        <v>3317</v>
      </c>
      <c r="S1766" s="4">
        <f t="shared" ca="1" si="273"/>
        <v>-240</v>
      </c>
      <c r="T1766">
        <f t="shared" si="274"/>
        <v>3</v>
      </c>
      <c r="U1766">
        <f t="shared" si="275"/>
        <v>1</v>
      </c>
      <c r="V1766">
        <f t="shared" si="276"/>
        <v>3</v>
      </c>
      <c r="W1766">
        <f t="shared" si="277"/>
        <v>1</v>
      </c>
      <c r="X1766">
        <f t="shared" si="278"/>
        <v>2.2000000000000006</v>
      </c>
      <c r="Y1766" t="str">
        <f t="shared" si="279"/>
        <v>High Priority</v>
      </c>
    </row>
    <row r="1767" spans="1:25" x14ac:dyDescent="0.35">
      <c r="A1767" t="s">
        <v>104</v>
      </c>
      <c r="B1767" t="s">
        <v>105</v>
      </c>
      <c r="C1767" t="s">
        <v>106</v>
      </c>
      <c r="D1767" t="s">
        <v>1403</v>
      </c>
      <c r="E1767">
        <v>80728963</v>
      </c>
      <c r="F1767" t="s">
        <v>1404</v>
      </c>
      <c r="G1767" s="3">
        <v>46600</v>
      </c>
      <c r="H1767">
        <v>24</v>
      </c>
      <c r="I1767">
        <v>57</v>
      </c>
      <c r="J1767">
        <v>12</v>
      </c>
      <c r="K1767" s="4">
        <v>3350.28</v>
      </c>
      <c r="L1767" s="4">
        <v>429</v>
      </c>
      <c r="M1767" s="4">
        <v>2.7972027972027972E-2</v>
      </c>
      <c r="N1767" t="s">
        <v>25</v>
      </c>
      <c r="O1767" t="str">
        <f t="shared" si="270"/>
        <v>Low</v>
      </c>
      <c r="P1767" t="str">
        <f t="shared" si="271"/>
        <v>Low</v>
      </c>
      <c r="Q1767" t="str">
        <f t="shared" si="272"/>
        <v>Low</v>
      </c>
      <c r="R1767" t="s">
        <v>3317</v>
      </c>
      <c r="S1767" s="4">
        <f t="shared" ca="1" si="273"/>
        <v>403</v>
      </c>
      <c r="T1767">
        <f t="shared" si="274"/>
        <v>1</v>
      </c>
      <c r="U1767">
        <f t="shared" si="275"/>
        <v>1</v>
      </c>
      <c r="V1767">
        <f t="shared" si="276"/>
        <v>1</v>
      </c>
      <c r="W1767">
        <f t="shared" si="277"/>
        <v>1</v>
      </c>
      <c r="X1767">
        <f t="shared" si="278"/>
        <v>0.99999999999999989</v>
      </c>
      <c r="Y1767" t="str">
        <f t="shared" si="279"/>
        <v>Healthy</v>
      </c>
    </row>
    <row r="1768" spans="1:25" x14ac:dyDescent="0.35">
      <c r="A1768" t="s">
        <v>104</v>
      </c>
      <c r="B1768" t="s">
        <v>105</v>
      </c>
      <c r="C1768" t="s">
        <v>106</v>
      </c>
      <c r="D1768" t="s">
        <v>1403</v>
      </c>
      <c r="E1768">
        <v>80728963</v>
      </c>
      <c r="F1768" t="s">
        <v>1404</v>
      </c>
      <c r="G1768" s="3">
        <v>46708</v>
      </c>
      <c r="H1768">
        <v>24</v>
      </c>
      <c r="I1768">
        <v>72</v>
      </c>
      <c r="J1768">
        <v>38</v>
      </c>
      <c r="K1768" s="4">
        <v>10609.22</v>
      </c>
      <c r="L1768" s="4">
        <v>429</v>
      </c>
      <c r="M1768" s="4">
        <v>8.8578088578088576E-2</v>
      </c>
      <c r="N1768" t="s">
        <v>25</v>
      </c>
      <c r="O1768" t="str">
        <f t="shared" si="270"/>
        <v>Low</v>
      </c>
      <c r="P1768" t="str">
        <f t="shared" si="271"/>
        <v>Low</v>
      </c>
      <c r="Q1768" t="str">
        <f t="shared" si="272"/>
        <v>Low</v>
      </c>
      <c r="R1768" t="s">
        <v>3317</v>
      </c>
      <c r="S1768" s="4">
        <f t="shared" ca="1" si="273"/>
        <v>511</v>
      </c>
      <c r="T1768">
        <f t="shared" si="274"/>
        <v>1</v>
      </c>
      <c r="U1768">
        <f t="shared" si="275"/>
        <v>1</v>
      </c>
      <c r="V1768">
        <f t="shared" si="276"/>
        <v>1</v>
      </c>
      <c r="W1768">
        <f t="shared" si="277"/>
        <v>1</v>
      </c>
      <c r="X1768">
        <f t="shared" si="278"/>
        <v>0.99999999999999989</v>
      </c>
      <c r="Y1768" t="str">
        <f t="shared" si="279"/>
        <v>Healthy</v>
      </c>
    </row>
    <row r="1769" spans="1:25" x14ac:dyDescent="0.35">
      <c r="A1769" t="s">
        <v>20</v>
      </c>
      <c r="B1769" t="s">
        <v>21</v>
      </c>
      <c r="C1769" t="s">
        <v>133</v>
      </c>
      <c r="D1769" t="s">
        <v>1406</v>
      </c>
      <c r="E1769">
        <v>80708949</v>
      </c>
      <c r="F1769" t="s">
        <v>1407</v>
      </c>
      <c r="G1769" s="3">
        <v>46077</v>
      </c>
      <c r="H1769">
        <v>36</v>
      </c>
      <c r="I1769">
        <v>0</v>
      </c>
      <c r="J1769">
        <v>5</v>
      </c>
      <c r="K1769" s="4">
        <v>7443.9</v>
      </c>
      <c r="L1769" s="4">
        <v>9.4285714285714288</v>
      </c>
      <c r="M1769" s="4">
        <v>0.53030303030303028</v>
      </c>
      <c r="N1769" t="s">
        <v>25</v>
      </c>
      <c r="O1769" t="str">
        <f t="shared" si="270"/>
        <v>High</v>
      </c>
      <c r="P1769" t="str">
        <f t="shared" si="271"/>
        <v>Low</v>
      </c>
      <c r="Q1769" t="str">
        <f t="shared" si="272"/>
        <v>Medium</v>
      </c>
      <c r="R1769" t="s">
        <v>3317</v>
      </c>
      <c r="S1769" s="4">
        <f t="shared" ca="1" si="273"/>
        <v>-120</v>
      </c>
      <c r="T1769">
        <f t="shared" si="274"/>
        <v>3</v>
      </c>
      <c r="U1769">
        <f t="shared" si="275"/>
        <v>1</v>
      </c>
      <c r="V1769">
        <f t="shared" si="276"/>
        <v>2</v>
      </c>
      <c r="W1769">
        <f t="shared" si="277"/>
        <v>1</v>
      </c>
      <c r="X1769">
        <f t="shared" si="278"/>
        <v>2.0000000000000004</v>
      </c>
      <c r="Y1769" t="str">
        <f t="shared" si="279"/>
        <v>Monitor</v>
      </c>
    </row>
    <row r="1770" spans="1:25" x14ac:dyDescent="0.35">
      <c r="A1770" t="s">
        <v>20</v>
      </c>
      <c r="B1770" t="s">
        <v>21</v>
      </c>
      <c r="C1770" t="s">
        <v>133</v>
      </c>
      <c r="D1770" t="s">
        <v>1406</v>
      </c>
      <c r="E1770">
        <v>80708949</v>
      </c>
      <c r="F1770" t="s">
        <v>1407</v>
      </c>
      <c r="G1770" s="3">
        <v>46193</v>
      </c>
      <c r="H1770">
        <v>36</v>
      </c>
      <c r="I1770">
        <v>0</v>
      </c>
      <c r="J1770">
        <v>7</v>
      </c>
      <c r="K1770" s="4">
        <v>10421.459999999999</v>
      </c>
      <c r="L1770" s="4">
        <v>9.4285714285714288</v>
      </c>
      <c r="M1770" s="4">
        <v>0.74242424242424243</v>
      </c>
      <c r="N1770" t="s">
        <v>25</v>
      </c>
      <c r="O1770" t="str">
        <f t="shared" si="270"/>
        <v>High</v>
      </c>
      <c r="P1770" t="str">
        <f t="shared" si="271"/>
        <v>Low</v>
      </c>
      <c r="Q1770" t="str">
        <f t="shared" si="272"/>
        <v>Medium</v>
      </c>
      <c r="R1770" t="s">
        <v>3317</v>
      </c>
      <c r="S1770" s="4">
        <f t="shared" ca="1" si="273"/>
        <v>-4</v>
      </c>
      <c r="T1770">
        <f t="shared" si="274"/>
        <v>3</v>
      </c>
      <c r="U1770">
        <f t="shared" si="275"/>
        <v>1</v>
      </c>
      <c r="V1770">
        <f t="shared" si="276"/>
        <v>2</v>
      </c>
      <c r="W1770">
        <f t="shared" si="277"/>
        <v>1</v>
      </c>
      <c r="X1770">
        <f t="shared" si="278"/>
        <v>2.0000000000000004</v>
      </c>
      <c r="Y1770" t="str">
        <f t="shared" si="279"/>
        <v>Monitor</v>
      </c>
    </row>
    <row r="1771" spans="1:25" x14ac:dyDescent="0.35">
      <c r="A1771" t="s">
        <v>104</v>
      </c>
      <c r="B1771" t="s">
        <v>105</v>
      </c>
      <c r="C1771" t="s">
        <v>106</v>
      </c>
      <c r="D1771" t="s">
        <v>1403</v>
      </c>
      <c r="E1771">
        <v>80728963</v>
      </c>
      <c r="F1771" t="s">
        <v>1404</v>
      </c>
      <c r="G1771" s="3">
        <v>46600</v>
      </c>
      <c r="H1771">
        <v>24</v>
      </c>
      <c r="I1771">
        <v>57</v>
      </c>
      <c r="J1771">
        <v>66</v>
      </c>
      <c r="K1771" s="4">
        <v>18426.54</v>
      </c>
      <c r="L1771" s="4">
        <v>429</v>
      </c>
      <c r="M1771" s="4">
        <v>0.15384615384615385</v>
      </c>
      <c r="N1771" t="s">
        <v>25</v>
      </c>
      <c r="O1771" t="str">
        <f t="shared" si="270"/>
        <v>Low</v>
      </c>
      <c r="P1771" t="str">
        <f t="shared" si="271"/>
        <v>Low</v>
      </c>
      <c r="Q1771" t="str">
        <f t="shared" si="272"/>
        <v>Low</v>
      </c>
      <c r="R1771" t="s">
        <v>3317</v>
      </c>
      <c r="S1771" s="4">
        <f t="shared" ca="1" si="273"/>
        <v>403</v>
      </c>
      <c r="T1771">
        <f t="shared" si="274"/>
        <v>1</v>
      </c>
      <c r="U1771">
        <f t="shared" si="275"/>
        <v>1</v>
      </c>
      <c r="V1771">
        <f t="shared" si="276"/>
        <v>1</v>
      </c>
      <c r="W1771">
        <f t="shared" si="277"/>
        <v>1</v>
      </c>
      <c r="X1771">
        <f t="shared" si="278"/>
        <v>0.99999999999999989</v>
      </c>
      <c r="Y1771" t="str">
        <f t="shared" si="279"/>
        <v>Healthy</v>
      </c>
    </row>
    <row r="1772" spans="1:25" x14ac:dyDescent="0.35">
      <c r="A1772" t="s">
        <v>20</v>
      </c>
      <c r="B1772" t="s">
        <v>21</v>
      </c>
      <c r="C1772" t="s">
        <v>133</v>
      </c>
      <c r="D1772" t="s">
        <v>1406</v>
      </c>
      <c r="E1772">
        <v>80708949</v>
      </c>
      <c r="F1772" t="s">
        <v>1407</v>
      </c>
      <c r="G1772" s="3">
        <v>45828</v>
      </c>
      <c r="H1772">
        <v>36</v>
      </c>
      <c r="I1772">
        <v>0</v>
      </c>
      <c r="J1772">
        <v>4</v>
      </c>
      <c r="K1772" s="4">
        <v>5955.12</v>
      </c>
      <c r="L1772" s="4">
        <v>9.4285714285714288</v>
      </c>
      <c r="M1772" s="4">
        <v>0.42424242424242425</v>
      </c>
      <c r="N1772" t="s">
        <v>25</v>
      </c>
      <c r="O1772" t="str">
        <f t="shared" si="270"/>
        <v>High</v>
      </c>
      <c r="P1772" t="str">
        <f t="shared" si="271"/>
        <v>Low</v>
      </c>
      <c r="Q1772" t="str">
        <f t="shared" si="272"/>
        <v>Medium</v>
      </c>
      <c r="R1772" t="s">
        <v>3317</v>
      </c>
      <c r="S1772" s="4">
        <f t="shared" ca="1" si="273"/>
        <v>-369</v>
      </c>
      <c r="T1772">
        <f t="shared" si="274"/>
        <v>3</v>
      </c>
      <c r="U1772">
        <f t="shared" si="275"/>
        <v>1</v>
      </c>
      <c r="V1772">
        <f t="shared" si="276"/>
        <v>2</v>
      </c>
      <c r="W1772">
        <f t="shared" si="277"/>
        <v>1</v>
      </c>
      <c r="X1772">
        <f t="shared" si="278"/>
        <v>2.0000000000000004</v>
      </c>
      <c r="Y1772" t="str">
        <f t="shared" si="279"/>
        <v>Monitor</v>
      </c>
    </row>
    <row r="1773" spans="1:25" x14ac:dyDescent="0.35">
      <c r="A1773" t="s">
        <v>99</v>
      </c>
      <c r="B1773" t="s">
        <v>100</v>
      </c>
      <c r="C1773" t="s">
        <v>101</v>
      </c>
      <c r="D1773" t="s">
        <v>1408</v>
      </c>
      <c r="E1773">
        <v>80739417</v>
      </c>
      <c r="F1773" t="s">
        <v>1409</v>
      </c>
      <c r="G1773" s="3">
        <v>45374</v>
      </c>
      <c r="H1773">
        <v>18</v>
      </c>
      <c r="I1773">
        <v>0</v>
      </c>
      <c r="J1773">
        <v>17</v>
      </c>
      <c r="K1773" s="4">
        <v>4243.03</v>
      </c>
      <c r="L1773" s="4">
        <v>3.4285714285714284</v>
      </c>
      <c r="M1773" s="4">
        <v>4.9583333333333339</v>
      </c>
      <c r="N1773" t="s">
        <v>25</v>
      </c>
      <c r="O1773" t="str">
        <f t="shared" si="270"/>
        <v>High</v>
      </c>
      <c r="P1773" t="str">
        <f t="shared" si="271"/>
        <v>Medium</v>
      </c>
      <c r="Q1773" t="str">
        <f t="shared" si="272"/>
        <v>High</v>
      </c>
      <c r="R1773" t="s">
        <v>3317</v>
      </c>
      <c r="S1773" s="4">
        <f t="shared" ca="1" si="273"/>
        <v>-823</v>
      </c>
      <c r="T1773">
        <f t="shared" si="274"/>
        <v>3</v>
      </c>
      <c r="U1773">
        <f t="shared" si="275"/>
        <v>2</v>
      </c>
      <c r="V1773">
        <f t="shared" si="276"/>
        <v>3</v>
      </c>
      <c r="W1773">
        <f t="shared" si="277"/>
        <v>1</v>
      </c>
      <c r="X1773">
        <f t="shared" si="278"/>
        <v>2.5000000000000004</v>
      </c>
      <c r="Y1773" t="str">
        <f t="shared" si="279"/>
        <v>High Priority</v>
      </c>
    </row>
    <row r="1774" spans="1:25" x14ac:dyDescent="0.35">
      <c r="A1774" t="s">
        <v>99</v>
      </c>
      <c r="B1774" t="s">
        <v>100</v>
      </c>
      <c r="C1774" t="s">
        <v>101</v>
      </c>
      <c r="D1774" t="s">
        <v>1408</v>
      </c>
      <c r="E1774">
        <v>80739417</v>
      </c>
      <c r="F1774" t="s">
        <v>1409</v>
      </c>
      <c r="G1774" s="3">
        <v>46168</v>
      </c>
      <c r="H1774">
        <v>18</v>
      </c>
      <c r="I1774">
        <v>0</v>
      </c>
      <c r="J1774">
        <v>154</v>
      </c>
      <c r="K1774" s="4">
        <v>38436.86</v>
      </c>
      <c r="L1774" s="4">
        <v>3.4285714285714284</v>
      </c>
      <c r="M1774" s="4">
        <v>44.916666666666671</v>
      </c>
      <c r="N1774" t="s">
        <v>19</v>
      </c>
      <c r="O1774" t="str">
        <f t="shared" si="270"/>
        <v>High</v>
      </c>
      <c r="P1774" t="str">
        <f t="shared" si="271"/>
        <v>High</v>
      </c>
      <c r="Q1774" t="str">
        <f t="shared" si="272"/>
        <v>High</v>
      </c>
      <c r="R1774" t="s">
        <v>3317</v>
      </c>
      <c r="S1774" s="4">
        <f t="shared" ca="1" si="273"/>
        <v>-29</v>
      </c>
      <c r="T1774">
        <f t="shared" si="274"/>
        <v>3</v>
      </c>
      <c r="U1774">
        <f t="shared" si="275"/>
        <v>3</v>
      </c>
      <c r="V1774">
        <f t="shared" si="276"/>
        <v>3</v>
      </c>
      <c r="W1774">
        <f t="shared" si="277"/>
        <v>1</v>
      </c>
      <c r="X1774">
        <f t="shared" si="278"/>
        <v>2.8000000000000003</v>
      </c>
      <c r="Y1774" t="str">
        <f t="shared" si="279"/>
        <v>Move Immediately</v>
      </c>
    </row>
    <row r="1775" spans="1:25" x14ac:dyDescent="0.35">
      <c r="A1775" t="s">
        <v>99</v>
      </c>
      <c r="B1775" t="s">
        <v>100</v>
      </c>
      <c r="C1775" t="s">
        <v>101</v>
      </c>
      <c r="D1775" t="s">
        <v>1408</v>
      </c>
      <c r="E1775">
        <v>80739417</v>
      </c>
      <c r="F1775" t="s">
        <v>1409</v>
      </c>
      <c r="G1775" s="3">
        <v>46169</v>
      </c>
      <c r="H1775">
        <v>18</v>
      </c>
      <c r="I1775">
        <v>0</v>
      </c>
      <c r="J1775">
        <v>96</v>
      </c>
      <c r="K1775" s="4">
        <v>23960.639999999999</v>
      </c>
      <c r="L1775" s="4">
        <v>3.4285714285714284</v>
      </c>
      <c r="M1775" s="4">
        <v>28</v>
      </c>
      <c r="N1775" t="s">
        <v>19</v>
      </c>
      <c r="O1775" t="str">
        <f t="shared" si="270"/>
        <v>High</v>
      </c>
      <c r="P1775" t="str">
        <f t="shared" si="271"/>
        <v>High</v>
      </c>
      <c r="Q1775" t="str">
        <f t="shared" si="272"/>
        <v>High</v>
      </c>
      <c r="R1775" t="s">
        <v>3317</v>
      </c>
      <c r="S1775" s="4">
        <f t="shared" ca="1" si="273"/>
        <v>-28</v>
      </c>
      <c r="T1775">
        <f t="shared" si="274"/>
        <v>3</v>
      </c>
      <c r="U1775">
        <f t="shared" si="275"/>
        <v>3</v>
      </c>
      <c r="V1775">
        <f t="shared" si="276"/>
        <v>3</v>
      </c>
      <c r="W1775">
        <f t="shared" si="277"/>
        <v>1</v>
      </c>
      <c r="X1775">
        <f t="shared" si="278"/>
        <v>2.8000000000000003</v>
      </c>
      <c r="Y1775" t="str">
        <f t="shared" si="279"/>
        <v>Move Immediately</v>
      </c>
    </row>
    <row r="1776" spans="1:25" x14ac:dyDescent="0.35">
      <c r="A1776" t="s">
        <v>41</v>
      </c>
      <c r="B1776" t="s">
        <v>80</v>
      </c>
      <c r="C1776" t="s">
        <v>502</v>
      </c>
      <c r="D1776" t="s">
        <v>503</v>
      </c>
      <c r="E1776">
        <v>80731532</v>
      </c>
      <c r="F1776" t="s">
        <v>1410</v>
      </c>
      <c r="G1776" s="3">
        <v>47020</v>
      </c>
      <c r="H1776">
        <v>36</v>
      </c>
      <c r="I1776">
        <v>77</v>
      </c>
      <c r="J1776">
        <v>4</v>
      </c>
      <c r="K1776" s="4">
        <v>1871.96</v>
      </c>
      <c r="L1776" s="4">
        <f>0</f>
        <v>0</v>
      </c>
      <c r="M1776" s="4">
        <f>999</f>
        <v>999</v>
      </c>
      <c r="N1776" t="s">
        <v>19</v>
      </c>
      <c r="O1776" t="str">
        <f t="shared" si="270"/>
        <v>Low</v>
      </c>
      <c r="P1776" t="str">
        <f t="shared" si="271"/>
        <v>High</v>
      </c>
      <c r="Q1776" t="str">
        <f t="shared" si="272"/>
        <v>High</v>
      </c>
      <c r="R1776" t="s">
        <v>3317</v>
      </c>
      <c r="S1776" s="4">
        <f t="shared" ca="1" si="273"/>
        <v>823</v>
      </c>
      <c r="T1776">
        <f t="shared" si="274"/>
        <v>1</v>
      </c>
      <c r="U1776">
        <f t="shared" si="275"/>
        <v>3</v>
      </c>
      <c r="V1776">
        <f t="shared" si="276"/>
        <v>3</v>
      </c>
      <c r="W1776">
        <f t="shared" si="277"/>
        <v>1</v>
      </c>
      <c r="X1776">
        <f t="shared" si="278"/>
        <v>2</v>
      </c>
      <c r="Y1776" t="str">
        <f t="shared" si="279"/>
        <v>Monitor</v>
      </c>
    </row>
    <row r="1777" spans="1:25" x14ac:dyDescent="0.35">
      <c r="A1777" t="s">
        <v>99</v>
      </c>
      <c r="B1777" t="s">
        <v>100</v>
      </c>
      <c r="C1777" t="s">
        <v>101</v>
      </c>
      <c r="D1777" t="s">
        <v>1408</v>
      </c>
      <c r="E1777">
        <v>80739417</v>
      </c>
      <c r="F1777" t="s">
        <v>1409</v>
      </c>
      <c r="G1777" s="3">
        <v>45452</v>
      </c>
      <c r="H1777">
        <v>18</v>
      </c>
      <c r="I1777">
        <v>0</v>
      </c>
      <c r="J1777">
        <v>7</v>
      </c>
      <c r="K1777" s="4">
        <v>1747.13</v>
      </c>
      <c r="L1777" s="4">
        <v>3.4285714285714284</v>
      </c>
      <c r="M1777" s="4">
        <v>2.041666666666667</v>
      </c>
      <c r="N1777" t="s">
        <v>25</v>
      </c>
      <c r="O1777" t="str">
        <f t="shared" si="270"/>
        <v>High</v>
      </c>
      <c r="P1777" t="str">
        <f t="shared" si="271"/>
        <v>Low</v>
      </c>
      <c r="Q1777" t="str">
        <f t="shared" si="272"/>
        <v>High</v>
      </c>
      <c r="R1777" t="s">
        <v>3317</v>
      </c>
      <c r="S1777" s="4">
        <f t="shared" ca="1" si="273"/>
        <v>-745</v>
      </c>
      <c r="T1777">
        <f t="shared" si="274"/>
        <v>3</v>
      </c>
      <c r="U1777">
        <f t="shared" si="275"/>
        <v>1</v>
      </c>
      <c r="V1777">
        <f t="shared" si="276"/>
        <v>3</v>
      </c>
      <c r="W1777">
        <f t="shared" si="277"/>
        <v>1</v>
      </c>
      <c r="X1777">
        <f t="shared" si="278"/>
        <v>2.2000000000000006</v>
      </c>
      <c r="Y1777" t="str">
        <f t="shared" si="279"/>
        <v>High Priority</v>
      </c>
    </row>
    <row r="1778" spans="1:25" x14ac:dyDescent="0.35">
      <c r="A1778" t="s">
        <v>179</v>
      </c>
      <c r="B1778" t="s">
        <v>195</v>
      </c>
      <c r="C1778" t="s">
        <v>199</v>
      </c>
      <c r="D1778" t="s">
        <v>1411</v>
      </c>
      <c r="E1778">
        <v>80746505</v>
      </c>
      <c r="F1778" t="s">
        <v>1412</v>
      </c>
      <c r="G1778" s="3">
        <v>46061</v>
      </c>
      <c r="H1778">
        <v>16</v>
      </c>
      <c r="I1778">
        <v>0</v>
      </c>
      <c r="J1778">
        <v>2</v>
      </c>
      <c r="K1778" s="4">
        <v>2444.34</v>
      </c>
      <c r="L1778" s="4">
        <f>0</f>
        <v>0</v>
      </c>
      <c r="M1778" s="4">
        <f>999</f>
        <v>999</v>
      </c>
      <c r="N1778" t="s">
        <v>19</v>
      </c>
      <c r="O1778" t="str">
        <f t="shared" si="270"/>
        <v>High</v>
      </c>
      <c r="P1778" t="str">
        <f t="shared" si="271"/>
        <v>High</v>
      </c>
      <c r="Q1778" t="str">
        <f t="shared" si="272"/>
        <v>High</v>
      </c>
      <c r="R1778" t="s">
        <v>3317</v>
      </c>
      <c r="S1778" s="4">
        <f t="shared" ca="1" si="273"/>
        <v>-136</v>
      </c>
      <c r="T1778">
        <f t="shared" si="274"/>
        <v>3</v>
      </c>
      <c r="U1778">
        <f t="shared" si="275"/>
        <v>3</v>
      </c>
      <c r="V1778">
        <f t="shared" si="276"/>
        <v>3</v>
      </c>
      <c r="W1778">
        <f t="shared" si="277"/>
        <v>1</v>
      </c>
      <c r="X1778">
        <f t="shared" si="278"/>
        <v>2.8000000000000003</v>
      </c>
      <c r="Y1778" t="str">
        <f t="shared" si="279"/>
        <v>Move Immediately</v>
      </c>
    </row>
    <row r="1779" spans="1:25" x14ac:dyDescent="0.35">
      <c r="A1779" t="s">
        <v>179</v>
      </c>
      <c r="B1779" t="s">
        <v>195</v>
      </c>
      <c r="C1779" t="s">
        <v>199</v>
      </c>
      <c r="D1779" t="s">
        <v>1411</v>
      </c>
      <c r="E1779">
        <v>80746505</v>
      </c>
      <c r="F1779" t="s">
        <v>1412</v>
      </c>
      <c r="G1779" s="3">
        <v>46061</v>
      </c>
      <c r="H1779">
        <v>16</v>
      </c>
      <c r="I1779">
        <v>0</v>
      </c>
      <c r="J1779">
        <v>1</v>
      </c>
      <c r="K1779" s="4">
        <v>1222.17</v>
      </c>
      <c r="L1779" s="4">
        <f>0</f>
        <v>0</v>
      </c>
      <c r="M1779" s="4">
        <f>999</f>
        <v>999</v>
      </c>
      <c r="N1779" t="s">
        <v>19</v>
      </c>
      <c r="O1779" t="str">
        <f t="shared" si="270"/>
        <v>High</v>
      </c>
      <c r="P1779" t="str">
        <f t="shared" si="271"/>
        <v>High</v>
      </c>
      <c r="Q1779" t="str">
        <f t="shared" si="272"/>
        <v>High</v>
      </c>
      <c r="R1779" t="s">
        <v>3317</v>
      </c>
      <c r="S1779" s="4">
        <f t="shared" ca="1" si="273"/>
        <v>-136</v>
      </c>
      <c r="T1779">
        <f t="shared" si="274"/>
        <v>3</v>
      </c>
      <c r="U1779">
        <f t="shared" si="275"/>
        <v>3</v>
      </c>
      <c r="V1779">
        <f t="shared" si="276"/>
        <v>3</v>
      </c>
      <c r="W1779">
        <f t="shared" si="277"/>
        <v>1</v>
      </c>
      <c r="X1779">
        <f t="shared" si="278"/>
        <v>2.8000000000000003</v>
      </c>
      <c r="Y1779" t="str">
        <f t="shared" si="279"/>
        <v>Move Immediately</v>
      </c>
    </row>
    <row r="1780" spans="1:25" x14ac:dyDescent="0.35">
      <c r="A1780" t="s">
        <v>14</v>
      </c>
      <c r="B1780" t="s">
        <v>15</v>
      </c>
      <c r="C1780" t="s">
        <v>34</v>
      </c>
      <c r="D1780" t="s">
        <v>1413</v>
      </c>
      <c r="E1780">
        <v>80731888</v>
      </c>
      <c r="F1780" t="s">
        <v>1414</v>
      </c>
      <c r="G1780" s="3">
        <v>47058</v>
      </c>
      <c r="H1780">
        <v>60</v>
      </c>
      <c r="I1780">
        <v>48</v>
      </c>
      <c r="J1780">
        <v>8</v>
      </c>
      <c r="K1780" s="4">
        <v>2057.12</v>
      </c>
      <c r="L1780" s="4">
        <f>0</f>
        <v>0</v>
      </c>
      <c r="M1780" s="4">
        <f>999</f>
        <v>999</v>
      </c>
      <c r="N1780" t="s">
        <v>19</v>
      </c>
      <c r="O1780" t="str">
        <f t="shared" si="270"/>
        <v>Low</v>
      </c>
      <c r="P1780" t="str">
        <f t="shared" si="271"/>
        <v>High</v>
      </c>
      <c r="Q1780" t="str">
        <f t="shared" si="272"/>
        <v>High</v>
      </c>
      <c r="R1780" t="s">
        <v>3317</v>
      </c>
      <c r="S1780" s="4">
        <f t="shared" ca="1" si="273"/>
        <v>861</v>
      </c>
      <c r="T1780">
        <f t="shared" si="274"/>
        <v>1</v>
      </c>
      <c r="U1780">
        <f t="shared" si="275"/>
        <v>3</v>
      </c>
      <c r="V1780">
        <f t="shared" si="276"/>
        <v>3</v>
      </c>
      <c r="W1780">
        <f t="shared" si="277"/>
        <v>1</v>
      </c>
      <c r="X1780">
        <f t="shared" si="278"/>
        <v>2</v>
      </c>
      <c r="Y1780" t="str">
        <f t="shared" si="279"/>
        <v>Monitor</v>
      </c>
    </row>
    <row r="1781" spans="1:25" x14ac:dyDescent="0.35">
      <c r="A1781" t="s">
        <v>14</v>
      </c>
      <c r="B1781" t="s">
        <v>15</v>
      </c>
      <c r="C1781" t="s">
        <v>34</v>
      </c>
      <c r="D1781" t="s">
        <v>1413</v>
      </c>
      <c r="E1781">
        <v>80731888</v>
      </c>
      <c r="F1781" t="s">
        <v>1414</v>
      </c>
      <c r="G1781" s="3">
        <v>45374</v>
      </c>
      <c r="H1781">
        <v>60</v>
      </c>
      <c r="I1781">
        <v>0</v>
      </c>
      <c r="J1781">
        <v>23</v>
      </c>
      <c r="K1781" s="4">
        <v>5914.22</v>
      </c>
      <c r="L1781" s="4">
        <f>0</f>
        <v>0</v>
      </c>
      <c r="M1781" s="4">
        <f>999</f>
        <v>999</v>
      </c>
      <c r="N1781" t="s">
        <v>19</v>
      </c>
      <c r="O1781" t="str">
        <f t="shared" si="270"/>
        <v>High</v>
      </c>
      <c r="P1781" t="str">
        <f t="shared" si="271"/>
        <v>High</v>
      </c>
      <c r="Q1781" t="str">
        <f t="shared" si="272"/>
        <v>High</v>
      </c>
      <c r="R1781" t="s">
        <v>3317</v>
      </c>
      <c r="S1781" s="4">
        <f t="shared" ca="1" si="273"/>
        <v>-823</v>
      </c>
      <c r="T1781">
        <f t="shared" si="274"/>
        <v>3</v>
      </c>
      <c r="U1781">
        <f t="shared" si="275"/>
        <v>3</v>
      </c>
      <c r="V1781">
        <f t="shared" si="276"/>
        <v>3</v>
      </c>
      <c r="W1781">
        <f t="shared" si="277"/>
        <v>1</v>
      </c>
      <c r="X1781">
        <f t="shared" si="278"/>
        <v>2.8000000000000003</v>
      </c>
      <c r="Y1781" t="str">
        <f t="shared" si="279"/>
        <v>Move Immediately</v>
      </c>
    </row>
    <row r="1782" spans="1:25" x14ac:dyDescent="0.35">
      <c r="A1782" t="s">
        <v>104</v>
      </c>
      <c r="B1782" t="s">
        <v>105</v>
      </c>
      <c r="C1782" t="s">
        <v>279</v>
      </c>
      <c r="D1782" t="s">
        <v>1415</v>
      </c>
      <c r="E1782">
        <v>80706028</v>
      </c>
      <c r="F1782" t="s">
        <v>1416</v>
      </c>
      <c r="G1782" s="3">
        <v>46156</v>
      </c>
      <c r="H1782">
        <v>24</v>
      </c>
      <c r="I1782">
        <v>0</v>
      </c>
      <c r="J1782">
        <v>8</v>
      </c>
      <c r="K1782" s="4">
        <v>1913.52</v>
      </c>
      <c r="L1782" s="4">
        <f>0</f>
        <v>0</v>
      </c>
      <c r="M1782" s="4">
        <f>999</f>
        <v>999</v>
      </c>
      <c r="N1782" t="s">
        <v>19</v>
      </c>
      <c r="O1782" t="str">
        <f t="shared" si="270"/>
        <v>High</v>
      </c>
      <c r="P1782" t="str">
        <f t="shared" si="271"/>
        <v>High</v>
      </c>
      <c r="Q1782" t="str">
        <f t="shared" si="272"/>
        <v>High</v>
      </c>
      <c r="R1782" t="s">
        <v>3317</v>
      </c>
      <c r="S1782" s="4">
        <f t="shared" ca="1" si="273"/>
        <v>-41</v>
      </c>
      <c r="T1782">
        <f t="shared" si="274"/>
        <v>3</v>
      </c>
      <c r="U1782">
        <f t="shared" si="275"/>
        <v>3</v>
      </c>
      <c r="V1782">
        <f t="shared" si="276"/>
        <v>3</v>
      </c>
      <c r="W1782">
        <f t="shared" si="277"/>
        <v>1</v>
      </c>
      <c r="X1782">
        <f t="shared" si="278"/>
        <v>2.8000000000000003</v>
      </c>
      <c r="Y1782" t="str">
        <f t="shared" si="279"/>
        <v>Move Immediately</v>
      </c>
    </row>
    <row r="1783" spans="1:25" x14ac:dyDescent="0.35">
      <c r="A1783" t="s">
        <v>104</v>
      </c>
      <c r="B1783" t="s">
        <v>105</v>
      </c>
      <c r="C1783" t="s">
        <v>279</v>
      </c>
      <c r="D1783" t="s">
        <v>1415</v>
      </c>
      <c r="E1783">
        <v>80706028</v>
      </c>
      <c r="F1783" t="s">
        <v>1416</v>
      </c>
      <c r="G1783" s="3">
        <v>46123</v>
      </c>
      <c r="H1783">
        <v>24</v>
      </c>
      <c r="I1783">
        <v>0</v>
      </c>
      <c r="J1783">
        <v>5</v>
      </c>
      <c r="K1783" s="4">
        <v>1195.95</v>
      </c>
      <c r="L1783" s="4">
        <f>0</f>
        <v>0</v>
      </c>
      <c r="M1783" s="4">
        <f>999</f>
        <v>999</v>
      </c>
      <c r="N1783" t="s">
        <v>19</v>
      </c>
      <c r="O1783" t="str">
        <f t="shared" si="270"/>
        <v>High</v>
      </c>
      <c r="P1783" t="str">
        <f t="shared" si="271"/>
        <v>High</v>
      </c>
      <c r="Q1783" t="str">
        <f t="shared" si="272"/>
        <v>High</v>
      </c>
      <c r="R1783" t="s">
        <v>3317</v>
      </c>
      <c r="S1783" s="4">
        <f t="shared" ca="1" si="273"/>
        <v>-74</v>
      </c>
      <c r="T1783">
        <f t="shared" si="274"/>
        <v>3</v>
      </c>
      <c r="U1783">
        <f t="shared" si="275"/>
        <v>3</v>
      </c>
      <c r="V1783">
        <f t="shared" si="276"/>
        <v>3</v>
      </c>
      <c r="W1783">
        <f t="shared" si="277"/>
        <v>1</v>
      </c>
      <c r="X1783">
        <f t="shared" si="278"/>
        <v>2.8000000000000003</v>
      </c>
      <c r="Y1783" t="str">
        <f t="shared" si="279"/>
        <v>Move Immediately</v>
      </c>
    </row>
    <row r="1784" spans="1:25" x14ac:dyDescent="0.35">
      <c r="A1784" t="s">
        <v>41</v>
      </c>
      <c r="B1784" t="s">
        <v>54</v>
      </c>
      <c r="C1784" t="s">
        <v>55</v>
      </c>
      <c r="D1784" t="s">
        <v>1417</v>
      </c>
      <c r="E1784">
        <v>80755824</v>
      </c>
      <c r="F1784" t="s">
        <v>1418</v>
      </c>
      <c r="G1784" s="3">
        <v>46072</v>
      </c>
      <c r="H1784">
        <v>36</v>
      </c>
      <c r="I1784">
        <v>0</v>
      </c>
      <c r="J1784">
        <v>12</v>
      </c>
      <c r="K1784" s="4">
        <v>8639.76</v>
      </c>
      <c r="L1784" s="4">
        <f>0</f>
        <v>0</v>
      </c>
      <c r="M1784" s="4">
        <f>999</f>
        <v>999</v>
      </c>
      <c r="N1784" t="s">
        <v>19</v>
      </c>
      <c r="O1784" t="str">
        <f t="shared" si="270"/>
        <v>High</v>
      </c>
      <c r="P1784" t="str">
        <f t="shared" si="271"/>
        <v>High</v>
      </c>
      <c r="Q1784" t="str">
        <f t="shared" si="272"/>
        <v>High</v>
      </c>
      <c r="R1784" t="s">
        <v>3317</v>
      </c>
      <c r="S1784" s="4">
        <f t="shared" ca="1" si="273"/>
        <v>-125</v>
      </c>
      <c r="T1784">
        <f t="shared" si="274"/>
        <v>3</v>
      </c>
      <c r="U1784">
        <f t="shared" si="275"/>
        <v>3</v>
      </c>
      <c r="V1784">
        <f t="shared" si="276"/>
        <v>3</v>
      </c>
      <c r="W1784">
        <f t="shared" si="277"/>
        <v>1</v>
      </c>
      <c r="X1784">
        <f t="shared" si="278"/>
        <v>2.8000000000000003</v>
      </c>
      <c r="Y1784" t="str">
        <f t="shared" si="279"/>
        <v>Move Immediately</v>
      </c>
    </row>
    <row r="1785" spans="1:25" x14ac:dyDescent="0.35">
      <c r="A1785" t="s">
        <v>46</v>
      </c>
      <c r="B1785" t="s">
        <v>1419</v>
      </c>
      <c r="C1785" t="s">
        <v>1420</v>
      </c>
      <c r="D1785" t="s">
        <v>1421</v>
      </c>
      <c r="E1785">
        <v>80750332</v>
      </c>
      <c r="F1785" t="s">
        <v>1422</v>
      </c>
      <c r="G1785" s="3">
        <v>46374</v>
      </c>
      <c r="H1785">
        <v>36</v>
      </c>
      <c r="I1785">
        <v>17</v>
      </c>
      <c r="J1785">
        <v>20</v>
      </c>
      <c r="K1785" s="4">
        <v>7285.4</v>
      </c>
      <c r="L1785" s="4">
        <v>24.428571428571427</v>
      </c>
      <c r="M1785" s="4">
        <v>0.81871345029239773</v>
      </c>
      <c r="N1785" t="s">
        <v>25</v>
      </c>
      <c r="O1785" t="str">
        <f t="shared" si="270"/>
        <v>High</v>
      </c>
      <c r="P1785" t="str">
        <f t="shared" si="271"/>
        <v>Low</v>
      </c>
      <c r="Q1785" t="str">
        <f t="shared" si="272"/>
        <v>Low</v>
      </c>
      <c r="R1785" t="s">
        <v>3317</v>
      </c>
      <c r="S1785" s="4">
        <f t="shared" ca="1" si="273"/>
        <v>177</v>
      </c>
      <c r="T1785">
        <f t="shared" si="274"/>
        <v>3</v>
      </c>
      <c r="U1785">
        <f t="shared" si="275"/>
        <v>1</v>
      </c>
      <c r="V1785">
        <f t="shared" si="276"/>
        <v>1</v>
      </c>
      <c r="W1785">
        <f t="shared" si="277"/>
        <v>1</v>
      </c>
      <c r="X1785">
        <f t="shared" si="278"/>
        <v>1.8000000000000003</v>
      </c>
      <c r="Y1785" t="str">
        <f t="shared" si="279"/>
        <v>Monitor</v>
      </c>
    </row>
    <row r="1786" spans="1:25" x14ac:dyDescent="0.35">
      <c r="A1786" t="s">
        <v>99</v>
      </c>
      <c r="B1786" t="s">
        <v>100</v>
      </c>
      <c r="C1786" t="s">
        <v>375</v>
      </c>
      <c r="D1786" t="s">
        <v>1271</v>
      </c>
      <c r="E1786">
        <v>80740509</v>
      </c>
      <c r="F1786" t="s">
        <v>1423</v>
      </c>
      <c r="G1786" s="3">
        <v>46612</v>
      </c>
      <c r="H1786">
        <v>36</v>
      </c>
      <c r="I1786">
        <v>39</v>
      </c>
      <c r="J1786">
        <v>7</v>
      </c>
      <c r="K1786" s="4">
        <v>1733.97</v>
      </c>
      <c r="L1786" s="4">
        <f>0</f>
        <v>0</v>
      </c>
      <c r="M1786" s="4">
        <f>999</f>
        <v>999</v>
      </c>
      <c r="N1786" t="s">
        <v>19</v>
      </c>
      <c r="O1786" t="str">
        <f t="shared" si="270"/>
        <v>Medium</v>
      </c>
      <c r="P1786" t="str">
        <f t="shared" si="271"/>
        <v>High</v>
      </c>
      <c r="Q1786" t="str">
        <f t="shared" si="272"/>
        <v>High</v>
      </c>
      <c r="R1786" t="s">
        <v>3317</v>
      </c>
      <c r="S1786" s="4">
        <f t="shared" ca="1" si="273"/>
        <v>415</v>
      </c>
      <c r="T1786">
        <f t="shared" si="274"/>
        <v>2</v>
      </c>
      <c r="U1786">
        <f t="shared" si="275"/>
        <v>3</v>
      </c>
      <c r="V1786">
        <f t="shared" si="276"/>
        <v>3</v>
      </c>
      <c r="W1786">
        <f t="shared" si="277"/>
        <v>1</v>
      </c>
      <c r="X1786">
        <f t="shared" si="278"/>
        <v>2.4</v>
      </c>
      <c r="Y1786" t="str">
        <f t="shared" si="279"/>
        <v>High Priority</v>
      </c>
    </row>
    <row r="1787" spans="1:25" x14ac:dyDescent="0.35">
      <c r="A1787" t="s">
        <v>99</v>
      </c>
      <c r="B1787" t="s">
        <v>100</v>
      </c>
      <c r="C1787" t="s">
        <v>375</v>
      </c>
      <c r="D1787" t="s">
        <v>1271</v>
      </c>
      <c r="E1787">
        <v>80740509</v>
      </c>
      <c r="F1787" t="s">
        <v>1423</v>
      </c>
      <c r="G1787" s="3">
        <v>46743</v>
      </c>
      <c r="H1787">
        <v>36</v>
      </c>
      <c r="I1787">
        <v>51</v>
      </c>
      <c r="J1787">
        <v>5</v>
      </c>
      <c r="K1787" s="4">
        <v>1238.55</v>
      </c>
      <c r="L1787" s="4">
        <f>0</f>
        <v>0</v>
      </c>
      <c r="M1787" s="4">
        <f>999</f>
        <v>999</v>
      </c>
      <c r="N1787" t="s">
        <v>19</v>
      </c>
      <c r="O1787" t="str">
        <f t="shared" si="270"/>
        <v>Low</v>
      </c>
      <c r="P1787" t="str">
        <f t="shared" si="271"/>
        <v>High</v>
      </c>
      <c r="Q1787" t="str">
        <f t="shared" si="272"/>
        <v>High</v>
      </c>
      <c r="R1787" t="s">
        <v>3317</v>
      </c>
      <c r="S1787" s="4">
        <f t="shared" ca="1" si="273"/>
        <v>546</v>
      </c>
      <c r="T1787">
        <f t="shared" si="274"/>
        <v>1</v>
      </c>
      <c r="U1787">
        <f t="shared" si="275"/>
        <v>3</v>
      </c>
      <c r="V1787">
        <f t="shared" si="276"/>
        <v>3</v>
      </c>
      <c r="W1787">
        <f t="shared" si="277"/>
        <v>1</v>
      </c>
      <c r="X1787">
        <f t="shared" si="278"/>
        <v>2</v>
      </c>
      <c r="Y1787" t="str">
        <f t="shared" si="279"/>
        <v>Monitor</v>
      </c>
    </row>
    <row r="1788" spans="1:25" x14ac:dyDescent="0.35">
      <c r="A1788" t="s">
        <v>71</v>
      </c>
      <c r="B1788" t="s">
        <v>72</v>
      </c>
      <c r="C1788" t="s">
        <v>73</v>
      </c>
      <c r="D1788" t="s">
        <v>78</v>
      </c>
      <c r="E1788">
        <v>80743843</v>
      </c>
      <c r="F1788" t="s">
        <v>1424</v>
      </c>
      <c r="G1788" s="3">
        <v>46161</v>
      </c>
      <c r="H1788">
        <v>36</v>
      </c>
      <c r="I1788">
        <v>0</v>
      </c>
      <c r="J1788">
        <v>9</v>
      </c>
      <c r="K1788" s="4">
        <v>6062.22</v>
      </c>
      <c r="L1788" s="4">
        <f>0</f>
        <v>0</v>
      </c>
      <c r="M1788" s="4">
        <f>999</f>
        <v>999</v>
      </c>
      <c r="N1788" t="s">
        <v>19</v>
      </c>
      <c r="O1788" t="str">
        <f t="shared" si="270"/>
        <v>High</v>
      </c>
      <c r="P1788" t="str">
        <f t="shared" si="271"/>
        <v>High</v>
      </c>
      <c r="Q1788" t="str">
        <f t="shared" si="272"/>
        <v>High</v>
      </c>
      <c r="R1788" t="s">
        <v>3317</v>
      </c>
      <c r="S1788" s="4">
        <f t="shared" ca="1" si="273"/>
        <v>-36</v>
      </c>
      <c r="T1788">
        <f t="shared" si="274"/>
        <v>3</v>
      </c>
      <c r="U1788">
        <f t="shared" si="275"/>
        <v>3</v>
      </c>
      <c r="V1788">
        <f t="shared" si="276"/>
        <v>3</v>
      </c>
      <c r="W1788">
        <f t="shared" si="277"/>
        <v>1</v>
      </c>
      <c r="X1788">
        <f t="shared" si="278"/>
        <v>2.8000000000000003</v>
      </c>
      <c r="Y1788" t="str">
        <f t="shared" si="279"/>
        <v>Move Immediately</v>
      </c>
    </row>
    <row r="1789" spans="1:25" x14ac:dyDescent="0.35">
      <c r="A1789" t="s">
        <v>71</v>
      </c>
      <c r="B1789" t="s">
        <v>72</v>
      </c>
      <c r="C1789" t="s">
        <v>73</v>
      </c>
      <c r="D1789" t="s">
        <v>78</v>
      </c>
      <c r="E1789">
        <v>80743843</v>
      </c>
      <c r="F1789" t="s">
        <v>1424</v>
      </c>
      <c r="G1789" s="3">
        <v>46194</v>
      </c>
      <c r="H1789">
        <v>36</v>
      </c>
      <c r="I1789">
        <v>0</v>
      </c>
      <c r="J1789">
        <v>9</v>
      </c>
      <c r="K1789" s="4">
        <v>6062.22</v>
      </c>
      <c r="L1789" s="4">
        <f>0</f>
        <v>0</v>
      </c>
      <c r="M1789" s="4">
        <f>999</f>
        <v>999</v>
      </c>
      <c r="N1789" t="s">
        <v>19</v>
      </c>
      <c r="O1789" t="str">
        <f t="shared" si="270"/>
        <v>High</v>
      </c>
      <c r="P1789" t="str">
        <f t="shared" si="271"/>
        <v>High</v>
      </c>
      <c r="Q1789" t="str">
        <f t="shared" si="272"/>
        <v>High</v>
      </c>
      <c r="R1789" t="s">
        <v>3317</v>
      </c>
      <c r="S1789" s="4">
        <f t="shared" ca="1" si="273"/>
        <v>-3</v>
      </c>
      <c r="T1789">
        <f t="shared" si="274"/>
        <v>3</v>
      </c>
      <c r="U1789">
        <f t="shared" si="275"/>
        <v>3</v>
      </c>
      <c r="V1789">
        <f t="shared" si="276"/>
        <v>3</v>
      </c>
      <c r="W1789">
        <f t="shared" si="277"/>
        <v>1</v>
      </c>
      <c r="X1789">
        <f t="shared" si="278"/>
        <v>2.8000000000000003</v>
      </c>
      <c r="Y1789" t="str">
        <f t="shared" si="279"/>
        <v>Move Immediately</v>
      </c>
    </row>
    <row r="1790" spans="1:25" x14ac:dyDescent="0.35">
      <c r="A1790" t="s">
        <v>29</v>
      </c>
      <c r="B1790" t="s">
        <v>30</v>
      </c>
      <c r="C1790" t="s">
        <v>147</v>
      </c>
      <c r="D1790" t="s">
        <v>1331</v>
      </c>
      <c r="E1790">
        <v>80741155</v>
      </c>
      <c r="F1790" t="s">
        <v>1425</v>
      </c>
      <c r="G1790" s="3">
        <v>46144</v>
      </c>
      <c r="H1790">
        <v>36</v>
      </c>
      <c r="I1790">
        <v>0</v>
      </c>
      <c r="J1790">
        <v>4</v>
      </c>
      <c r="K1790" s="4">
        <v>4796.6400000000003</v>
      </c>
      <c r="L1790" s="4">
        <f>0</f>
        <v>0</v>
      </c>
      <c r="M1790" s="4">
        <f>999</f>
        <v>999</v>
      </c>
      <c r="N1790" t="s">
        <v>19</v>
      </c>
      <c r="O1790" t="str">
        <f t="shared" si="270"/>
        <v>High</v>
      </c>
      <c r="P1790" t="str">
        <f t="shared" si="271"/>
        <v>High</v>
      </c>
      <c r="Q1790" t="str">
        <f t="shared" si="272"/>
        <v>High</v>
      </c>
      <c r="R1790" t="s">
        <v>3317</v>
      </c>
      <c r="S1790" s="4">
        <f t="shared" ca="1" si="273"/>
        <v>-53</v>
      </c>
      <c r="T1790">
        <f t="shared" si="274"/>
        <v>3</v>
      </c>
      <c r="U1790">
        <f t="shared" si="275"/>
        <v>3</v>
      </c>
      <c r="V1790">
        <f t="shared" si="276"/>
        <v>3</v>
      </c>
      <c r="W1790">
        <f t="shared" si="277"/>
        <v>1</v>
      </c>
      <c r="X1790">
        <f t="shared" si="278"/>
        <v>2.8000000000000003</v>
      </c>
      <c r="Y1790" t="str">
        <f t="shared" si="279"/>
        <v>Move Immediately</v>
      </c>
    </row>
    <row r="1791" spans="1:25" x14ac:dyDescent="0.35">
      <c r="A1791" t="s">
        <v>29</v>
      </c>
      <c r="B1791" t="s">
        <v>30</v>
      </c>
      <c r="C1791" t="s">
        <v>147</v>
      </c>
      <c r="D1791" t="s">
        <v>1331</v>
      </c>
      <c r="E1791">
        <v>80741155</v>
      </c>
      <c r="F1791" t="s">
        <v>1425</v>
      </c>
      <c r="G1791" s="3">
        <v>46508</v>
      </c>
      <c r="H1791">
        <v>36</v>
      </c>
      <c r="I1791">
        <v>29</v>
      </c>
      <c r="J1791">
        <v>6</v>
      </c>
      <c r="K1791" s="4">
        <v>7194.96</v>
      </c>
      <c r="L1791" s="4">
        <f>0</f>
        <v>0</v>
      </c>
      <c r="M1791" s="4">
        <f>999</f>
        <v>999</v>
      </c>
      <c r="N1791" t="s">
        <v>19</v>
      </c>
      <c r="O1791" t="str">
        <f t="shared" si="270"/>
        <v>Medium</v>
      </c>
      <c r="P1791" t="str">
        <f t="shared" si="271"/>
        <v>High</v>
      </c>
      <c r="Q1791" t="str">
        <f t="shared" si="272"/>
        <v>High</v>
      </c>
      <c r="R1791" t="s">
        <v>3317</v>
      </c>
      <c r="S1791" s="4">
        <f t="shared" ca="1" si="273"/>
        <v>311</v>
      </c>
      <c r="T1791">
        <f t="shared" si="274"/>
        <v>2</v>
      </c>
      <c r="U1791">
        <f t="shared" si="275"/>
        <v>3</v>
      </c>
      <c r="V1791">
        <f t="shared" si="276"/>
        <v>3</v>
      </c>
      <c r="W1791">
        <f t="shared" si="277"/>
        <v>1</v>
      </c>
      <c r="X1791">
        <f t="shared" si="278"/>
        <v>2.4</v>
      </c>
      <c r="Y1791" t="str">
        <f t="shared" si="279"/>
        <v>High Priority</v>
      </c>
    </row>
    <row r="1792" spans="1:25" x14ac:dyDescent="0.35">
      <c r="A1792" t="s">
        <v>29</v>
      </c>
      <c r="B1792" t="s">
        <v>30</v>
      </c>
      <c r="C1792" t="s">
        <v>449</v>
      </c>
      <c r="D1792" t="s">
        <v>1426</v>
      </c>
      <c r="E1792">
        <v>80741189</v>
      </c>
      <c r="F1792" t="s">
        <v>1427</v>
      </c>
      <c r="G1792" s="3">
        <v>47060</v>
      </c>
      <c r="H1792">
        <v>36</v>
      </c>
      <c r="I1792">
        <v>80</v>
      </c>
      <c r="J1792">
        <v>16</v>
      </c>
      <c r="K1792" s="4">
        <v>5729.76</v>
      </c>
      <c r="L1792" s="4">
        <v>153.28571428571428</v>
      </c>
      <c r="M1792" s="4">
        <v>0.10438024231127679</v>
      </c>
      <c r="N1792" t="s">
        <v>25</v>
      </c>
      <c r="O1792" t="str">
        <f t="shared" si="270"/>
        <v>Low</v>
      </c>
      <c r="P1792" t="str">
        <f t="shared" si="271"/>
        <v>Low</v>
      </c>
      <c r="Q1792" t="str">
        <f t="shared" si="272"/>
        <v>Low</v>
      </c>
      <c r="R1792" t="s">
        <v>3317</v>
      </c>
      <c r="S1792" s="4">
        <f t="shared" ca="1" si="273"/>
        <v>863</v>
      </c>
      <c r="T1792">
        <f t="shared" si="274"/>
        <v>1</v>
      </c>
      <c r="U1792">
        <f t="shared" si="275"/>
        <v>1</v>
      </c>
      <c r="V1792">
        <f t="shared" si="276"/>
        <v>1</v>
      </c>
      <c r="W1792">
        <f t="shared" si="277"/>
        <v>1</v>
      </c>
      <c r="X1792">
        <f t="shared" si="278"/>
        <v>0.99999999999999989</v>
      </c>
      <c r="Y1792" t="str">
        <f t="shared" si="279"/>
        <v>Healthy</v>
      </c>
    </row>
    <row r="1793" spans="1:25" x14ac:dyDescent="0.35">
      <c r="A1793" t="s">
        <v>41</v>
      </c>
      <c r="B1793" t="s">
        <v>42</v>
      </c>
      <c r="C1793" t="s">
        <v>365</v>
      </c>
      <c r="D1793" t="s">
        <v>366</v>
      </c>
      <c r="E1793">
        <v>80751156</v>
      </c>
      <c r="F1793" t="s">
        <v>1428</v>
      </c>
      <c r="G1793" s="3">
        <v>46210</v>
      </c>
      <c r="H1793">
        <v>36</v>
      </c>
      <c r="I1793">
        <v>2</v>
      </c>
      <c r="J1793">
        <v>6</v>
      </c>
      <c r="K1793" s="4">
        <v>2047.38</v>
      </c>
      <c r="L1793" s="4">
        <v>0.2857142857142857</v>
      </c>
      <c r="M1793" s="4">
        <v>21</v>
      </c>
      <c r="N1793" t="s">
        <v>19</v>
      </c>
      <c r="O1793" t="str">
        <f t="shared" si="270"/>
        <v>High</v>
      </c>
      <c r="P1793" t="str">
        <f t="shared" si="271"/>
        <v>High</v>
      </c>
      <c r="Q1793" t="str">
        <f t="shared" si="272"/>
        <v>High</v>
      </c>
      <c r="R1793" t="s">
        <v>3317</v>
      </c>
      <c r="S1793" s="4">
        <f t="shared" ca="1" si="273"/>
        <v>13</v>
      </c>
      <c r="T1793">
        <f t="shared" si="274"/>
        <v>3</v>
      </c>
      <c r="U1793">
        <f t="shared" si="275"/>
        <v>3</v>
      </c>
      <c r="V1793">
        <f t="shared" si="276"/>
        <v>3</v>
      </c>
      <c r="W1793">
        <f t="shared" si="277"/>
        <v>1</v>
      </c>
      <c r="X1793">
        <f t="shared" si="278"/>
        <v>2.8000000000000003</v>
      </c>
      <c r="Y1793" t="str">
        <f t="shared" si="279"/>
        <v>Move Immediately</v>
      </c>
    </row>
    <row r="1794" spans="1:25" x14ac:dyDescent="0.35">
      <c r="A1794" t="s">
        <v>29</v>
      </c>
      <c r="B1794" t="s">
        <v>30</v>
      </c>
      <c r="C1794" t="s">
        <v>449</v>
      </c>
      <c r="D1794" t="s">
        <v>1426</v>
      </c>
      <c r="E1794">
        <v>80741189</v>
      </c>
      <c r="F1794" t="s">
        <v>1427</v>
      </c>
      <c r="G1794" s="3">
        <v>47207</v>
      </c>
      <c r="H1794">
        <v>36</v>
      </c>
      <c r="I1794">
        <v>94</v>
      </c>
      <c r="J1794">
        <v>60</v>
      </c>
      <c r="K1794" s="4">
        <v>21486.6</v>
      </c>
      <c r="L1794" s="4">
        <v>153.28571428571428</v>
      </c>
      <c r="M1794" s="4">
        <v>0.39142590866728799</v>
      </c>
      <c r="N1794" t="s">
        <v>25</v>
      </c>
      <c r="O1794" t="str">
        <f t="shared" si="270"/>
        <v>Low</v>
      </c>
      <c r="P1794" t="str">
        <f t="shared" si="271"/>
        <v>Low</v>
      </c>
      <c r="Q1794" t="str">
        <f t="shared" si="272"/>
        <v>Low</v>
      </c>
      <c r="R1794" t="s">
        <v>3317</v>
      </c>
      <c r="S1794" s="4">
        <f t="shared" ca="1" si="273"/>
        <v>1010</v>
      </c>
      <c r="T1794">
        <f t="shared" si="274"/>
        <v>1</v>
      </c>
      <c r="U1794">
        <f t="shared" si="275"/>
        <v>1</v>
      </c>
      <c r="V1794">
        <f t="shared" si="276"/>
        <v>1</v>
      </c>
      <c r="W1794">
        <f t="shared" si="277"/>
        <v>1</v>
      </c>
      <c r="X1794">
        <f t="shared" si="278"/>
        <v>0.99999999999999989</v>
      </c>
      <c r="Y1794" t="str">
        <f t="shared" si="279"/>
        <v>Healthy</v>
      </c>
    </row>
    <row r="1795" spans="1:25" x14ac:dyDescent="0.35">
      <c r="A1795" t="s">
        <v>41</v>
      </c>
      <c r="B1795" t="s">
        <v>42</v>
      </c>
      <c r="C1795" t="s">
        <v>365</v>
      </c>
      <c r="D1795" t="s">
        <v>366</v>
      </c>
      <c r="E1795">
        <v>80751156</v>
      </c>
      <c r="F1795" t="s">
        <v>1428</v>
      </c>
      <c r="G1795" s="3">
        <v>46242</v>
      </c>
      <c r="H1795">
        <v>36</v>
      </c>
      <c r="I1795">
        <v>5</v>
      </c>
      <c r="J1795">
        <v>4</v>
      </c>
      <c r="K1795" s="4">
        <v>1364.92</v>
      </c>
      <c r="L1795" s="4">
        <v>0.2857142857142857</v>
      </c>
      <c r="M1795" s="4">
        <v>14</v>
      </c>
      <c r="N1795" t="s">
        <v>19</v>
      </c>
      <c r="O1795" t="str">
        <f t="shared" ref="O1795:O1858" si="280">IF(I1795&lt;20,"High",IF(I1795&lt;40,"Medium","Low"))</f>
        <v>High</v>
      </c>
      <c r="P1795" t="str">
        <f t="shared" ref="P1795:P1858" si="281">IF(M1795&gt;8,"High",IF(M1795&gt;4,"Medium","Low"))</f>
        <v>High</v>
      </c>
      <c r="Q1795" t="str">
        <f t="shared" ref="Q1795:Q1858" si="282">IF(L1795&lt;5,"High",IF(L1795&lt;15,"Medium","Low"))</f>
        <v>High</v>
      </c>
      <c r="R1795" t="s">
        <v>3317</v>
      </c>
      <c r="S1795" s="4">
        <f t="shared" ref="S1795:S1858" ca="1" si="283">G1795-TODAY()</f>
        <v>45</v>
      </c>
      <c r="T1795">
        <f t="shared" ref="T1795:T1858" si="284">IF(O1795="High",3,IF(O1795="Medium",2,1))</f>
        <v>3</v>
      </c>
      <c r="U1795">
        <f t="shared" ref="U1795:U1858" si="285">IF(P1795="High",3,IF(P1795="Medium",2,1))</f>
        <v>3</v>
      </c>
      <c r="V1795">
        <f t="shared" ref="V1795:V1858" si="286">IF(Q1795="High",3,IF(Q1795="Medium",2,1))</f>
        <v>3</v>
      </c>
      <c r="W1795">
        <f t="shared" ref="W1795:W1858" si="287">IF(R1795="High",3,IF(R1795="Medium",2,1))</f>
        <v>1</v>
      </c>
      <c r="X1795">
        <f t="shared" ref="X1795:X1858" si="288">(0.4*T1795)+(0.3*U1795)+(0.2*V1795)+(0.1*W1795)</f>
        <v>2.8000000000000003</v>
      </c>
      <c r="Y1795" t="str">
        <f t="shared" ref="Y1795:Y1858" si="289">IF(X1795&gt;=2.7,"Move Immediately",IF(X1795&gt;=2.2,"High Priority",IF(X1795&gt;=1.7,"Monitor","Healthy")))</f>
        <v>Move Immediately</v>
      </c>
    </row>
    <row r="1796" spans="1:25" x14ac:dyDescent="0.35">
      <c r="A1796" t="s">
        <v>41</v>
      </c>
      <c r="B1796" t="s">
        <v>42</v>
      </c>
      <c r="C1796" t="s">
        <v>365</v>
      </c>
      <c r="D1796" t="s">
        <v>366</v>
      </c>
      <c r="E1796">
        <v>80751156</v>
      </c>
      <c r="F1796" t="s">
        <v>1428</v>
      </c>
      <c r="G1796" s="3">
        <v>46116</v>
      </c>
      <c r="H1796">
        <v>36</v>
      </c>
      <c r="I1796">
        <v>0</v>
      </c>
      <c r="J1796">
        <v>2</v>
      </c>
      <c r="K1796" s="4">
        <v>682.46</v>
      </c>
      <c r="L1796" s="4">
        <v>0.2857142857142857</v>
      </c>
      <c r="M1796" s="4">
        <v>7</v>
      </c>
      <c r="N1796" t="s">
        <v>19</v>
      </c>
      <c r="O1796" t="str">
        <f t="shared" si="280"/>
        <v>High</v>
      </c>
      <c r="P1796" t="str">
        <f t="shared" si="281"/>
        <v>Medium</v>
      </c>
      <c r="Q1796" t="str">
        <f t="shared" si="282"/>
        <v>High</v>
      </c>
      <c r="R1796" t="s">
        <v>3317</v>
      </c>
      <c r="S1796" s="4">
        <f t="shared" ca="1" si="283"/>
        <v>-81</v>
      </c>
      <c r="T1796">
        <f t="shared" si="284"/>
        <v>3</v>
      </c>
      <c r="U1796">
        <f t="shared" si="285"/>
        <v>2</v>
      </c>
      <c r="V1796">
        <f t="shared" si="286"/>
        <v>3</v>
      </c>
      <c r="W1796">
        <f t="shared" si="287"/>
        <v>1</v>
      </c>
      <c r="X1796">
        <f t="shared" si="288"/>
        <v>2.5000000000000004</v>
      </c>
      <c r="Y1796" t="str">
        <f t="shared" si="289"/>
        <v>High Priority</v>
      </c>
    </row>
    <row r="1797" spans="1:25" x14ac:dyDescent="0.35">
      <c r="A1797" t="s">
        <v>29</v>
      </c>
      <c r="B1797" t="s">
        <v>30</v>
      </c>
      <c r="C1797" t="s">
        <v>449</v>
      </c>
      <c r="D1797" t="s">
        <v>1426</v>
      </c>
      <c r="E1797">
        <v>80741189</v>
      </c>
      <c r="F1797" t="s">
        <v>1427</v>
      </c>
      <c r="G1797" s="3">
        <v>47185</v>
      </c>
      <c r="H1797">
        <v>36</v>
      </c>
      <c r="I1797">
        <v>92</v>
      </c>
      <c r="J1797">
        <v>26</v>
      </c>
      <c r="K1797" s="4">
        <v>9310.86</v>
      </c>
      <c r="L1797" s="4">
        <v>153.28571428571428</v>
      </c>
      <c r="M1797" s="4">
        <v>0.16961789375582481</v>
      </c>
      <c r="N1797" t="s">
        <v>25</v>
      </c>
      <c r="O1797" t="str">
        <f t="shared" si="280"/>
        <v>Low</v>
      </c>
      <c r="P1797" t="str">
        <f t="shared" si="281"/>
        <v>Low</v>
      </c>
      <c r="Q1797" t="str">
        <f t="shared" si="282"/>
        <v>Low</v>
      </c>
      <c r="R1797" t="s">
        <v>3317</v>
      </c>
      <c r="S1797" s="4">
        <f t="shared" ca="1" si="283"/>
        <v>988</v>
      </c>
      <c r="T1797">
        <f t="shared" si="284"/>
        <v>1</v>
      </c>
      <c r="U1797">
        <f t="shared" si="285"/>
        <v>1</v>
      </c>
      <c r="V1797">
        <f t="shared" si="286"/>
        <v>1</v>
      </c>
      <c r="W1797">
        <f t="shared" si="287"/>
        <v>1</v>
      </c>
      <c r="X1797">
        <f t="shared" si="288"/>
        <v>0.99999999999999989</v>
      </c>
      <c r="Y1797" t="str">
        <f t="shared" si="289"/>
        <v>Healthy</v>
      </c>
    </row>
    <row r="1798" spans="1:25" x14ac:dyDescent="0.35">
      <c r="A1798" t="s">
        <v>41</v>
      </c>
      <c r="B1798" t="s">
        <v>42</v>
      </c>
      <c r="C1798" t="s">
        <v>365</v>
      </c>
      <c r="D1798" t="s">
        <v>366</v>
      </c>
      <c r="E1798">
        <v>80751156</v>
      </c>
      <c r="F1798" t="s">
        <v>1428</v>
      </c>
      <c r="G1798" s="3">
        <v>46306</v>
      </c>
      <c r="H1798">
        <v>36</v>
      </c>
      <c r="I1798">
        <v>11</v>
      </c>
      <c r="J1798">
        <v>10</v>
      </c>
      <c r="K1798" s="4">
        <v>3412.3</v>
      </c>
      <c r="L1798" s="4">
        <v>0.2857142857142857</v>
      </c>
      <c r="M1798" s="4">
        <v>35</v>
      </c>
      <c r="N1798" t="s">
        <v>19</v>
      </c>
      <c r="O1798" t="str">
        <f t="shared" si="280"/>
        <v>High</v>
      </c>
      <c r="P1798" t="str">
        <f t="shared" si="281"/>
        <v>High</v>
      </c>
      <c r="Q1798" t="str">
        <f t="shared" si="282"/>
        <v>High</v>
      </c>
      <c r="R1798" t="s">
        <v>3317</v>
      </c>
      <c r="S1798" s="4">
        <f t="shared" ca="1" si="283"/>
        <v>109</v>
      </c>
      <c r="T1798">
        <f t="shared" si="284"/>
        <v>3</v>
      </c>
      <c r="U1798">
        <f t="shared" si="285"/>
        <v>3</v>
      </c>
      <c r="V1798">
        <f t="shared" si="286"/>
        <v>3</v>
      </c>
      <c r="W1798">
        <f t="shared" si="287"/>
        <v>1</v>
      </c>
      <c r="X1798">
        <f t="shared" si="288"/>
        <v>2.8000000000000003</v>
      </c>
      <c r="Y1798" t="str">
        <f t="shared" si="289"/>
        <v>Move Immediately</v>
      </c>
    </row>
    <row r="1799" spans="1:25" x14ac:dyDescent="0.35">
      <c r="A1799" t="s">
        <v>41</v>
      </c>
      <c r="B1799" t="s">
        <v>42</v>
      </c>
      <c r="C1799" t="s">
        <v>365</v>
      </c>
      <c r="D1799" t="s">
        <v>366</v>
      </c>
      <c r="E1799">
        <v>80751156</v>
      </c>
      <c r="F1799" t="s">
        <v>1428</v>
      </c>
      <c r="G1799" s="3">
        <v>46154</v>
      </c>
      <c r="H1799">
        <v>36</v>
      </c>
      <c r="I1799">
        <v>0</v>
      </c>
      <c r="J1799">
        <v>6</v>
      </c>
      <c r="K1799" s="4">
        <v>2047.38</v>
      </c>
      <c r="L1799" s="4">
        <v>0.2857142857142857</v>
      </c>
      <c r="M1799" s="4">
        <v>21</v>
      </c>
      <c r="N1799" t="s">
        <v>19</v>
      </c>
      <c r="O1799" t="str">
        <f t="shared" si="280"/>
        <v>High</v>
      </c>
      <c r="P1799" t="str">
        <f t="shared" si="281"/>
        <v>High</v>
      </c>
      <c r="Q1799" t="str">
        <f t="shared" si="282"/>
        <v>High</v>
      </c>
      <c r="R1799" t="s">
        <v>3317</v>
      </c>
      <c r="S1799" s="4">
        <f t="shared" ca="1" si="283"/>
        <v>-43</v>
      </c>
      <c r="T1799">
        <f t="shared" si="284"/>
        <v>3</v>
      </c>
      <c r="U1799">
        <f t="shared" si="285"/>
        <v>3</v>
      </c>
      <c r="V1799">
        <f t="shared" si="286"/>
        <v>3</v>
      </c>
      <c r="W1799">
        <f t="shared" si="287"/>
        <v>1</v>
      </c>
      <c r="X1799">
        <f t="shared" si="288"/>
        <v>2.8000000000000003</v>
      </c>
      <c r="Y1799" t="str">
        <f t="shared" si="289"/>
        <v>Move Immediately</v>
      </c>
    </row>
    <row r="1800" spans="1:25" x14ac:dyDescent="0.35">
      <c r="A1800" t="s">
        <v>29</v>
      </c>
      <c r="B1800" t="s">
        <v>30</v>
      </c>
      <c r="C1800" t="s">
        <v>449</v>
      </c>
      <c r="D1800" t="s">
        <v>1426</v>
      </c>
      <c r="E1800">
        <v>80741189</v>
      </c>
      <c r="F1800" t="s">
        <v>1427</v>
      </c>
      <c r="G1800" s="3">
        <v>47126</v>
      </c>
      <c r="H1800">
        <v>36</v>
      </c>
      <c r="I1800">
        <v>86</v>
      </c>
      <c r="J1800">
        <v>23</v>
      </c>
      <c r="K1800" s="4">
        <v>8236.5300000000007</v>
      </c>
      <c r="L1800" s="4">
        <v>153.28571428571428</v>
      </c>
      <c r="M1800" s="4">
        <v>0.15004659832246039</v>
      </c>
      <c r="N1800" t="s">
        <v>25</v>
      </c>
      <c r="O1800" t="str">
        <f t="shared" si="280"/>
        <v>Low</v>
      </c>
      <c r="P1800" t="str">
        <f t="shared" si="281"/>
        <v>Low</v>
      </c>
      <c r="Q1800" t="str">
        <f t="shared" si="282"/>
        <v>Low</v>
      </c>
      <c r="R1800" t="s">
        <v>3317</v>
      </c>
      <c r="S1800" s="4">
        <f t="shared" ca="1" si="283"/>
        <v>929</v>
      </c>
      <c r="T1800">
        <f t="shared" si="284"/>
        <v>1</v>
      </c>
      <c r="U1800">
        <f t="shared" si="285"/>
        <v>1</v>
      </c>
      <c r="V1800">
        <f t="shared" si="286"/>
        <v>1</v>
      </c>
      <c r="W1800">
        <f t="shared" si="287"/>
        <v>1</v>
      </c>
      <c r="X1800">
        <f t="shared" si="288"/>
        <v>0.99999999999999989</v>
      </c>
      <c r="Y1800" t="str">
        <f t="shared" si="289"/>
        <v>Healthy</v>
      </c>
    </row>
    <row r="1801" spans="1:25" x14ac:dyDescent="0.35">
      <c r="A1801" t="s">
        <v>29</v>
      </c>
      <c r="B1801" t="s">
        <v>30</v>
      </c>
      <c r="C1801" t="s">
        <v>31</v>
      </c>
      <c r="D1801" t="s">
        <v>1429</v>
      </c>
      <c r="E1801">
        <v>80741157</v>
      </c>
      <c r="F1801" t="s">
        <v>1430</v>
      </c>
      <c r="G1801" s="3">
        <v>46449</v>
      </c>
      <c r="H1801">
        <v>36</v>
      </c>
      <c r="I1801">
        <v>24</v>
      </c>
      <c r="J1801">
        <v>1</v>
      </c>
      <c r="K1801" s="4">
        <v>750.45</v>
      </c>
      <c r="L1801" s="4">
        <f>0</f>
        <v>0</v>
      </c>
      <c r="M1801" s="4">
        <f>999</f>
        <v>999</v>
      </c>
      <c r="N1801" t="s">
        <v>19</v>
      </c>
      <c r="O1801" t="str">
        <f t="shared" si="280"/>
        <v>Medium</v>
      </c>
      <c r="P1801" t="str">
        <f t="shared" si="281"/>
        <v>High</v>
      </c>
      <c r="Q1801" t="str">
        <f t="shared" si="282"/>
        <v>High</v>
      </c>
      <c r="R1801" t="s">
        <v>3317</v>
      </c>
      <c r="S1801" s="4">
        <f t="shared" ca="1" si="283"/>
        <v>252</v>
      </c>
      <c r="T1801">
        <f t="shared" si="284"/>
        <v>2</v>
      </c>
      <c r="U1801">
        <f t="shared" si="285"/>
        <v>3</v>
      </c>
      <c r="V1801">
        <f t="shared" si="286"/>
        <v>3</v>
      </c>
      <c r="W1801">
        <f t="shared" si="287"/>
        <v>1</v>
      </c>
      <c r="X1801">
        <f t="shared" si="288"/>
        <v>2.4</v>
      </c>
      <c r="Y1801" t="str">
        <f t="shared" si="289"/>
        <v>High Priority</v>
      </c>
    </row>
    <row r="1802" spans="1:25" x14ac:dyDescent="0.35">
      <c r="A1802" t="s">
        <v>29</v>
      </c>
      <c r="B1802" t="s">
        <v>30</v>
      </c>
      <c r="C1802" t="s">
        <v>449</v>
      </c>
      <c r="D1802" t="s">
        <v>715</v>
      </c>
      <c r="E1802">
        <v>80741179</v>
      </c>
      <c r="F1802" t="s">
        <v>1431</v>
      </c>
      <c r="G1802" s="3">
        <v>46789</v>
      </c>
      <c r="H1802">
        <v>36</v>
      </c>
      <c r="I1802">
        <v>55</v>
      </c>
      <c r="J1802">
        <v>2</v>
      </c>
      <c r="K1802" s="4">
        <v>1584.36</v>
      </c>
      <c r="L1802" s="4">
        <v>3</v>
      </c>
      <c r="M1802" s="4">
        <v>0.66666666666666663</v>
      </c>
      <c r="N1802" t="s">
        <v>25</v>
      </c>
      <c r="O1802" t="str">
        <f t="shared" si="280"/>
        <v>Low</v>
      </c>
      <c r="P1802" t="str">
        <f t="shared" si="281"/>
        <v>Low</v>
      </c>
      <c r="Q1802" t="str">
        <f t="shared" si="282"/>
        <v>High</v>
      </c>
      <c r="R1802" t="s">
        <v>3317</v>
      </c>
      <c r="S1802" s="4">
        <f t="shared" ca="1" si="283"/>
        <v>592</v>
      </c>
      <c r="T1802">
        <f t="shared" si="284"/>
        <v>1</v>
      </c>
      <c r="U1802">
        <f t="shared" si="285"/>
        <v>1</v>
      </c>
      <c r="V1802">
        <f t="shared" si="286"/>
        <v>3</v>
      </c>
      <c r="W1802">
        <f t="shared" si="287"/>
        <v>1</v>
      </c>
      <c r="X1802">
        <f t="shared" si="288"/>
        <v>1.4000000000000001</v>
      </c>
      <c r="Y1802" t="str">
        <f t="shared" si="289"/>
        <v>Healthy</v>
      </c>
    </row>
    <row r="1803" spans="1:25" x14ac:dyDescent="0.35">
      <c r="A1803" t="s">
        <v>99</v>
      </c>
      <c r="B1803" t="s">
        <v>100</v>
      </c>
      <c r="C1803" t="s">
        <v>136</v>
      </c>
      <c r="D1803" t="s">
        <v>1432</v>
      </c>
      <c r="E1803">
        <v>80739905</v>
      </c>
      <c r="F1803" t="s">
        <v>1433</v>
      </c>
      <c r="G1803" s="3">
        <v>46464</v>
      </c>
      <c r="H1803">
        <v>36</v>
      </c>
      <c r="I1803">
        <v>25</v>
      </c>
      <c r="J1803">
        <v>4</v>
      </c>
      <c r="K1803" s="4">
        <v>757.68</v>
      </c>
      <c r="L1803" s="4">
        <v>0.8571428571428571</v>
      </c>
      <c r="M1803" s="4">
        <v>4.666666666666667</v>
      </c>
      <c r="N1803" t="s">
        <v>25</v>
      </c>
      <c r="O1803" t="str">
        <f t="shared" si="280"/>
        <v>Medium</v>
      </c>
      <c r="P1803" t="str">
        <f t="shared" si="281"/>
        <v>Medium</v>
      </c>
      <c r="Q1803" t="str">
        <f t="shared" si="282"/>
        <v>High</v>
      </c>
      <c r="R1803" t="s">
        <v>3317</v>
      </c>
      <c r="S1803" s="4">
        <f t="shared" ca="1" si="283"/>
        <v>267</v>
      </c>
      <c r="T1803">
        <f t="shared" si="284"/>
        <v>2</v>
      </c>
      <c r="U1803">
        <f t="shared" si="285"/>
        <v>2</v>
      </c>
      <c r="V1803">
        <f t="shared" si="286"/>
        <v>3</v>
      </c>
      <c r="W1803">
        <f t="shared" si="287"/>
        <v>1</v>
      </c>
      <c r="X1803">
        <f t="shared" si="288"/>
        <v>2.1</v>
      </c>
      <c r="Y1803" t="str">
        <f t="shared" si="289"/>
        <v>Monitor</v>
      </c>
    </row>
    <row r="1804" spans="1:25" x14ac:dyDescent="0.35">
      <c r="A1804" t="s">
        <v>41</v>
      </c>
      <c r="B1804" t="s">
        <v>54</v>
      </c>
      <c r="C1804" t="s">
        <v>55</v>
      </c>
      <c r="D1804" t="s">
        <v>1434</v>
      </c>
      <c r="E1804">
        <v>80758832</v>
      </c>
      <c r="F1804" t="s">
        <v>1435</v>
      </c>
      <c r="G1804" s="3">
        <v>46154</v>
      </c>
      <c r="H1804">
        <v>36</v>
      </c>
      <c r="I1804">
        <v>0</v>
      </c>
      <c r="J1804">
        <v>25</v>
      </c>
      <c r="K1804" s="4">
        <v>11454.25</v>
      </c>
      <c r="L1804" s="4">
        <f>0</f>
        <v>0</v>
      </c>
      <c r="M1804" s="4">
        <f>999</f>
        <v>999</v>
      </c>
      <c r="N1804" t="s">
        <v>19</v>
      </c>
      <c r="O1804" t="str">
        <f t="shared" si="280"/>
        <v>High</v>
      </c>
      <c r="P1804" t="str">
        <f t="shared" si="281"/>
        <v>High</v>
      </c>
      <c r="Q1804" t="str">
        <f t="shared" si="282"/>
        <v>High</v>
      </c>
      <c r="R1804" t="s">
        <v>3317</v>
      </c>
      <c r="S1804" s="4">
        <f t="shared" ca="1" si="283"/>
        <v>-43</v>
      </c>
      <c r="T1804">
        <f t="shared" si="284"/>
        <v>3</v>
      </c>
      <c r="U1804">
        <f t="shared" si="285"/>
        <v>3</v>
      </c>
      <c r="V1804">
        <f t="shared" si="286"/>
        <v>3</v>
      </c>
      <c r="W1804">
        <f t="shared" si="287"/>
        <v>1</v>
      </c>
      <c r="X1804">
        <f t="shared" si="288"/>
        <v>2.8000000000000003</v>
      </c>
      <c r="Y1804" t="str">
        <f t="shared" si="289"/>
        <v>Move Immediately</v>
      </c>
    </row>
    <row r="1805" spans="1:25" x14ac:dyDescent="0.35">
      <c r="A1805" t="s">
        <v>104</v>
      </c>
      <c r="B1805" t="s">
        <v>105</v>
      </c>
      <c r="C1805" t="s">
        <v>731</v>
      </c>
      <c r="D1805" t="s">
        <v>732</v>
      </c>
      <c r="E1805">
        <v>80753888</v>
      </c>
      <c r="F1805" t="s">
        <v>1436</v>
      </c>
      <c r="G1805" s="3">
        <v>46570</v>
      </c>
      <c r="H1805">
        <v>24</v>
      </c>
      <c r="I1805">
        <v>53</v>
      </c>
      <c r="J1805">
        <v>7</v>
      </c>
      <c r="K1805" s="4">
        <v>1394.33</v>
      </c>
      <c r="L1805" s="4">
        <v>60.714285714285715</v>
      </c>
      <c r="M1805" s="4">
        <v>0.11529411764705882</v>
      </c>
      <c r="N1805" t="s">
        <v>25</v>
      </c>
      <c r="O1805" t="str">
        <f t="shared" si="280"/>
        <v>Low</v>
      </c>
      <c r="P1805" t="str">
        <f t="shared" si="281"/>
        <v>Low</v>
      </c>
      <c r="Q1805" t="str">
        <f t="shared" si="282"/>
        <v>Low</v>
      </c>
      <c r="R1805" t="s">
        <v>3317</v>
      </c>
      <c r="S1805" s="4">
        <f t="shared" ca="1" si="283"/>
        <v>373</v>
      </c>
      <c r="T1805">
        <f t="shared" si="284"/>
        <v>1</v>
      </c>
      <c r="U1805">
        <f t="shared" si="285"/>
        <v>1</v>
      </c>
      <c r="V1805">
        <f t="shared" si="286"/>
        <v>1</v>
      </c>
      <c r="W1805">
        <f t="shared" si="287"/>
        <v>1</v>
      </c>
      <c r="X1805">
        <f t="shared" si="288"/>
        <v>0.99999999999999989</v>
      </c>
      <c r="Y1805" t="str">
        <f t="shared" si="289"/>
        <v>Healthy</v>
      </c>
    </row>
    <row r="1806" spans="1:25" x14ac:dyDescent="0.35">
      <c r="A1806" t="s">
        <v>104</v>
      </c>
      <c r="B1806" t="s">
        <v>105</v>
      </c>
      <c r="C1806" t="s">
        <v>731</v>
      </c>
      <c r="D1806" t="s">
        <v>732</v>
      </c>
      <c r="E1806">
        <v>80753888</v>
      </c>
      <c r="F1806" t="s">
        <v>1436</v>
      </c>
      <c r="G1806" s="3">
        <v>46684</v>
      </c>
      <c r="H1806">
        <v>24</v>
      </c>
      <c r="I1806">
        <v>68</v>
      </c>
      <c r="J1806">
        <v>5</v>
      </c>
      <c r="K1806" s="4">
        <v>995.95</v>
      </c>
      <c r="L1806" s="4">
        <v>60.714285714285715</v>
      </c>
      <c r="M1806" s="4">
        <v>8.2352941176470587E-2</v>
      </c>
      <c r="N1806" t="s">
        <v>25</v>
      </c>
      <c r="O1806" t="str">
        <f t="shared" si="280"/>
        <v>Low</v>
      </c>
      <c r="P1806" t="str">
        <f t="shared" si="281"/>
        <v>Low</v>
      </c>
      <c r="Q1806" t="str">
        <f t="shared" si="282"/>
        <v>Low</v>
      </c>
      <c r="R1806" t="s">
        <v>3317</v>
      </c>
      <c r="S1806" s="4">
        <f t="shared" ca="1" si="283"/>
        <v>487</v>
      </c>
      <c r="T1806">
        <f t="shared" si="284"/>
        <v>1</v>
      </c>
      <c r="U1806">
        <f t="shared" si="285"/>
        <v>1</v>
      </c>
      <c r="V1806">
        <f t="shared" si="286"/>
        <v>1</v>
      </c>
      <c r="W1806">
        <f t="shared" si="287"/>
        <v>1</v>
      </c>
      <c r="X1806">
        <f t="shared" si="288"/>
        <v>0.99999999999999989</v>
      </c>
      <c r="Y1806" t="str">
        <f t="shared" si="289"/>
        <v>Healthy</v>
      </c>
    </row>
    <row r="1807" spans="1:25" x14ac:dyDescent="0.35">
      <c r="A1807" t="s">
        <v>104</v>
      </c>
      <c r="B1807" t="s">
        <v>105</v>
      </c>
      <c r="C1807" t="s">
        <v>731</v>
      </c>
      <c r="D1807" t="s">
        <v>732</v>
      </c>
      <c r="E1807">
        <v>80753888</v>
      </c>
      <c r="F1807" t="s">
        <v>1436</v>
      </c>
      <c r="G1807" s="3">
        <v>46684</v>
      </c>
      <c r="H1807">
        <v>24</v>
      </c>
      <c r="I1807">
        <v>68</v>
      </c>
      <c r="J1807">
        <v>7</v>
      </c>
      <c r="K1807" s="4">
        <v>1394.33</v>
      </c>
      <c r="L1807" s="4">
        <v>60.714285714285715</v>
      </c>
      <c r="M1807" s="4">
        <v>0.11529411764705882</v>
      </c>
      <c r="N1807" t="s">
        <v>25</v>
      </c>
      <c r="O1807" t="str">
        <f t="shared" si="280"/>
        <v>Low</v>
      </c>
      <c r="P1807" t="str">
        <f t="shared" si="281"/>
        <v>Low</v>
      </c>
      <c r="Q1807" t="str">
        <f t="shared" si="282"/>
        <v>Low</v>
      </c>
      <c r="R1807" t="s">
        <v>3317</v>
      </c>
      <c r="S1807" s="4">
        <f t="shared" ca="1" si="283"/>
        <v>487</v>
      </c>
      <c r="T1807">
        <f t="shared" si="284"/>
        <v>1</v>
      </c>
      <c r="U1807">
        <f t="shared" si="285"/>
        <v>1</v>
      </c>
      <c r="V1807">
        <f t="shared" si="286"/>
        <v>1</v>
      </c>
      <c r="W1807">
        <f t="shared" si="287"/>
        <v>1</v>
      </c>
      <c r="X1807">
        <f t="shared" si="288"/>
        <v>0.99999999999999989</v>
      </c>
      <c r="Y1807" t="str">
        <f t="shared" si="289"/>
        <v>Healthy</v>
      </c>
    </row>
    <row r="1808" spans="1:25" x14ac:dyDescent="0.35">
      <c r="A1808" t="s">
        <v>104</v>
      </c>
      <c r="B1808" t="s">
        <v>105</v>
      </c>
      <c r="C1808" t="s">
        <v>731</v>
      </c>
      <c r="D1808" t="s">
        <v>732</v>
      </c>
      <c r="E1808">
        <v>80753888</v>
      </c>
      <c r="F1808" t="s">
        <v>1436</v>
      </c>
      <c r="G1808" s="3">
        <v>46829</v>
      </c>
      <c r="H1808">
        <v>24</v>
      </c>
      <c r="I1808">
        <v>88</v>
      </c>
      <c r="J1808">
        <v>61</v>
      </c>
      <c r="K1808" s="4">
        <v>12150.59</v>
      </c>
      <c r="L1808" s="4">
        <v>60.714285714285715</v>
      </c>
      <c r="M1808" s="4">
        <v>1.0047058823529411</v>
      </c>
      <c r="N1808" t="s">
        <v>25</v>
      </c>
      <c r="O1808" t="str">
        <f t="shared" si="280"/>
        <v>Low</v>
      </c>
      <c r="P1808" t="str">
        <f t="shared" si="281"/>
        <v>Low</v>
      </c>
      <c r="Q1808" t="str">
        <f t="shared" si="282"/>
        <v>Low</v>
      </c>
      <c r="R1808" t="s">
        <v>3317</v>
      </c>
      <c r="S1808" s="4">
        <f t="shared" ca="1" si="283"/>
        <v>632</v>
      </c>
      <c r="T1808">
        <f t="shared" si="284"/>
        <v>1</v>
      </c>
      <c r="U1808">
        <f t="shared" si="285"/>
        <v>1</v>
      </c>
      <c r="V1808">
        <f t="shared" si="286"/>
        <v>1</v>
      </c>
      <c r="W1808">
        <f t="shared" si="287"/>
        <v>1</v>
      </c>
      <c r="X1808">
        <f t="shared" si="288"/>
        <v>0.99999999999999989</v>
      </c>
      <c r="Y1808" t="str">
        <f t="shared" si="289"/>
        <v>Healthy</v>
      </c>
    </row>
    <row r="1809" spans="1:25" x14ac:dyDescent="0.35">
      <c r="A1809" t="s">
        <v>104</v>
      </c>
      <c r="B1809" t="s">
        <v>105</v>
      </c>
      <c r="C1809" t="s">
        <v>731</v>
      </c>
      <c r="D1809" t="s">
        <v>732</v>
      </c>
      <c r="E1809">
        <v>80753888</v>
      </c>
      <c r="F1809" t="s">
        <v>1436</v>
      </c>
      <c r="G1809" s="3">
        <v>46623</v>
      </c>
      <c r="H1809">
        <v>24</v>
      </c>
      <c r="I1809">
        <v>60</v>
      </c>
      <c r="J1809">
        <v>8</v>
      </c>
      <c r="K1809" s="4">
        <v>1593.52</v>
      </c>
      <c r="L1809" s="4">
        <v>60.714285714285715</v>
      </c>
      <c r="M1809" s="4">
        <v>0.13176470588235295</v>
      </c>
      <c r="N1809" t="s">
        <v>25</v>
      </c>
      <c r="O1809" t="str">
        <f t="shared" si="280"/>
        <v>Low</v>
      </c>
      <c r="P1809" t="str">
        <f t="shared" si="281"/>
        <v>Low</v>
      </c>
      <c r="Q1809" t="str">
        <f t="shared" si="282"/>
        <v>Low</v>
      </c>
      <c r="R1809" t="s">
        <v>3317</v>
      </c>
      <c r="S1809" s="4">
        <f t="shared" ca="1" si="283"/>
        <v>426</v>
      </c>
      <c r="T1809">
        <f t="shared" si="284"/>
        <v>1</v>
      </c>
      <c r="U1809">
        <f t="shared" si="285"/>
        <v>1</v>
      </c>
      <c r="V1809">
        <f t="shared" si="286"/>
        <v>1</v>
      </c>
      <c r="W1809">
        <f t="shared" si="287"/>
        <v>1</v>
      </c>
      <c r="X1809">
        <f t="shared" si="288"/>
        <v>0.99999999999999989</v>
      </c>
      <c r="Y1809" t="str">
        <f t="shared" si="289"/>
        <v>Healthy</v>
      </c>
    </row>
    <row r="1810" spans="1:25" x14ac:dyDescent="0.35">
      <c r="A1810" t="s">
        <v>29</v>
      </c>
      <c r="B1810" t="s">
        <v>30</v>
      </c>
      <c r="C1810" t="s">
        <v>230</v>
      </c>
      <c r="D1810" t="s">
        <v>1437</v>
      </c>
      <c r="E1810">
        <v>80727293</v>
      </c>
      <c r="F1810" t="s">
        <v>1438</v>
      </c>
      <c r="G1810" s="3">
        <v>46625</v>
      </c>
      <c r="H1810">
        <v>36</v>
      </c>
      <c r="I1810">
        <v>40</v>
      </c>
      <c r="J1810">
        <v>5</v>
      </c>
      <c r="K1810" s="4">
        <v>7995.75</v>
      </c>
      <c r="L1810" s="4">
        <v>11.285714285714286</v>
      </c>
      <c r="M1810" s="4">
        <v>0.44303797468354428</v>
      </c>
      <c r="N1810" t="s">
        <v>25</v>
      </c>
      <c r="O1810" t="str">
        <f t="shared" si="280"/>
        <v>Low</v>
      </c>
      <c r="P1810" t="str">
        <f t="shared" si="281"/>
        <v>Low</v>
      </c>
      <c r="Q1810" t="str">
        <f t="shared" si="282"/>
        <v>Medium</v>
      </c>
      <c r="R1810" t="s">
        <v>3317</v>
      </c>
      <c r="S1810" s="4">
        <f t="shared" ca="1" si="283"/>
        <v>428</v>
      </c>
      <c r="T1810">
        <f t="shared" si="284"/>
        <v>1</v>
      </c>
      <c r="U1810">
        <f t="shared" si="285"/>
        <v>1</v>
      </c>
      <c r="V1810">
        <f t="shared" si="286"/>
        <v>2</v>
      </c>
      <c r="W1810">
        <f t="shared" si="287"/>
        <v>1</v>
      </c>
      <c r="X1810">
        <f t="shared" si="288"/>
        <v>1.2000000000000002</v>
      </c>
      <c r="Y1810" t="str">
        <f t="shared" si="289"/>
        <v>Healthy</v>
      </c>
    </row>
    <row r="1811" spans="1:25" x14ac:dyDescent="0.35">
      <c r="A1811" t="s">
        <v>14</v>
      </c>
      <c r="B1811" t="s">
        <v>267</v>
      </c>
      <c r="C1811" t="s">
        <v>268</v>
      </c>
      <c r="D1811" t="s">
        <v>269</v>
      </c>
      <c r="E1811">
        <v>80764167</v>
      </c>
      <c r="F1811" t="s">
        <v>1439</v>
      </c>
      <c r="G1811" s="3">
        <v>47039</v>
      </c>
      <c r="H1811">
        <v>60</v>
      </c>
      <c r="I1811">
        <v>47</v>
      </c>
      <c r="J1811">
        <v>5</v>
      </c>
      <c r="K1811" s="4">
        <v>356.75</v>
      </c>
      <c r="L1811" s="4">
        <f>0</f>
        <v>0</v>
      </c>
      <c r="M1811" s="4">
        <f>999</f>
        <v>999</v>
      </c>
      <c r="N1811" t="s">
        <v>19</v>
      </c>
      <c r="O1811" t="str">
        <f t="shared" si="280"/>
        <v>Low</v>
      </c>
      <c r="P1811" t="str">
        <f t="shared" si="281"/>
        <v>High</v>
      </c>
      <c r="Q1811" t="str">
        <f t="shared" si="282"/>
        <v>High</v>
      </c>
      <c r="R1811" t="s">
        <v>3317</v>
      </c>
      <c r="S1811" s="4">
        <f t="shared" ca="1" si="283"/>
        <v>842</v>
      </c>
      <c r="T1811">
        <f t="shared" si="284"/>
        <v>1</v>
      </c>
      <c r="U1811">
        <f t="shared" si="285"/>
        <v>3</v>
      </c>
      <c r="V1811">
        <f t="shared" si="286"/>
        <v>3</v>
      </c>
      <c r="W1811">
        <f t="shared" si="287"/>
        <v>1</v>
      </c>
      <c r="X1811">
        <f t="shared" si="288"/>
        <v>2</v>
      </c>
      <c r="Y1811" t="str">
        <f t="shared" si="289"/>
        <v>Monitor</v>
      </c>
    </row>
    <row r="1812" spans="1:25" x14ac:dyDescent="0.35">
      <c r="A1812" t="s">
        <v>14</v>
      </c>
      <c r="B1812" t="s">
        <v>267</v>
      </c>
      <c r="C1812" t="s">
        <v>268</v>
      </c>
      <c r="D1812" t="s">
        <v>269</v>
      </c>
      <c r="E1812">
        <v>80764167</v>
      </c>
      <c r="F1812" t="s">
        <v>1439</v>
      </c>
      <c r="G1812" s="3">
        <v>47132</v>
      </c>
      <c r="H1812">
        <v>60</v>
      </c>
      <c r="I1812">
        <v>52</v>
      </c>
      <c r="J1812">
        <v>7</v>
      </c>
      <c r="K1812" s="4">
        <v>499.45</v>
      </c>
      <c r="L1812" s="4">
        <f>0</f>
        <v>0</v>
      </c>
      <c r="M1812" s="4">
        <f>999</f>
        <v>999</v>
      </c>
      <c r="N1812" t="s">
        <v>19</v>
      </c>
      <c r="O1812" t="str">
        <f t="shared" si="280"/>
        <v>Low</v>
      </c>
      <c r="P1812" t="str">
        <f t="shared" si="281"/>
        <v>High</v>
      </c>
      <c r="Q1812" t="str">
        <f t="shared" si="282"/>
        <v>High</v>
      </c>
      <c r="R1812" t="s">
        <v>3317</v>
      </c>
      <c r="S1812" s="4">
        <f t="shared" ca="1" si="283"/>
        <v>935</v>
      </c>
      <c r="T1812">
        <f t="shared" si="284"/>
        <v>1</v>
      </c>
      <c r="U1812">
        <f t="shared" si="285"/>
        <v>3</v>
      </c>
      <c r="V1812">
        <f t="shared" si="286"/>
        <v>3</v>
      </c>
      <c r="W1812">
        <f t="shared" si="287"/>
        <v>1</v>
      </c>
      <c r="X1812">
        <f t="shared" si="288"/>
        <v>2</v>
      </c>
      <c r="Y1812" t="str">
        <f t="shared" si="289"/>
        <v>Monitor</v>
      </c>
    </row>
    <row r="1813" spans="1:25" x14ac:dyDescent="0.35">
      <c r="A1813" t="s">
        <v>189</v>
      </c>
      <c r="B1813" t="s">
        <v>539</v>
      </c>
      <c r="C1813" t="s">
        <v>539</v>
      </c>
      <c r="D1813" t="s">
        <v>1073</v>
      </c>
      <c r="E1813">
        <v>80753733</v>
      </c>
      <c r="F1813" t="s">
        <v>1440</v>
      </c>
      <c r="G1813" s="3">
        <v>46623</v>
      </c>
      <c r="H1813">
        <v>24</v>
      </c>
      <c r="I1813">
        <v>60</v>
      </c>
      <c r="J1813">
        <v>1</v>
      </c>
      <c r="K1813" s="4">
        <v>819.49</v>
      </c>
      <c r="L1813" s="4">
        <v>32.142857142857146</v>
      </c>
      <c r="M1813" s="4">
        <v>3.1111111111111107E-2</v>
      </c>
      <c r="N1813" t="s">
        <v>25</v>
      </c>
      <c r="O1813" t="str">
        <f t="shared" si="280"/>
        <v>Low</v>
      </c>
      <c r="P1813" t="str">
        <f t="shared" si="281"/>
        <v>Low</v>
      </c>
      <c r="Q1813" t="str">
        <f t="shared" si="282"/>
        <v>Low</v>
      </c>
      <c r="R1813" t="s">
        <v>3317</v>
      </c>
      <c r="S1813" s="4">
        <f t="shared" ca="1" si="283"/>
        <v>426</v>
      </c>
      <c r="T1813">
        <f t="shared" si="284"/>
        <v>1</v>
      </c>
      <c r="U1813">
        <f t="shared" si="285"/>
        <v>1</v>
      </c>
      <c r="V1813">
        <f t="shared" si="286"/>
        <v>1</v>
      </c>
      <c r="W1813">
        <f t="shared" si="287"/>
        <v>1</v>
      </c>
      <c r="X1813">
        <f t="shared" si="288"/>
        <v>0.99999999999999989</v>
      </c>
      <c r="Y1813" t="str">
        <f t="shared" si="289"/>
        <v>Healthy</v>
      </c>
    </row>
    <row r="1814" spans="1:25" x14ac:dyDescent="0.35">
      <c r="A1814" t="s">
        <v>189</v>
      </c>
      <c r="B1814" t="s">
        <v>190</v>
      </c>
      <c r="C1814" t="s">
        <v>190</v>
      </c>
      <c r="D1814" t="s">
        <v>1441</v>
      </c>
      <c r="E1814">
        <v>80749427</v>
      </c>
      <c r="F1814" t="s">
        <v>1442</v>
      </c>
      <c r="G1814" s="3">
        <v>46376</v>
      </c>
      <c r="H1814">
        <v>18</v>
      </c>
      <c r="I1814">
        <v>34</v>
      </c>
      <c r="J1814">
        <v>8</v>
      </c>
      <c r="K1814" s="4">
        <v>1177.5999999999999</v>
      </c>
      <c r="L1814" s="4">
        <f>0</f>
        <v>0</v>
      </c>
      <c r="M1814" s="4">
        <f>999</f>
        <v>999</v>
      </c>
      <c r="N1814" t="s">
        <v>19</v>
      </c>
      <c r="O1814" t="str">
        <f t="shared" si="280"/>
        <v>Medium</v>
      </c>
      <c r="P1814" t="str">
        <f t="shared" si="281"/>
        <v>High</v>
      </c>
      <c r="Q1814" t="str">
        <f t="shared" si="282"/>
        <v>High</v>
      </c>
      <c r="R1814" t="s">
        <v>3317</v>
      </c>
      <c r="S1814" s="4">
        <f t="shared" ca="1" si="283"/>
        <v>179</v>
      </c>
      <c r="T1814">
        <f t="shared" si="284"/>
        <v>2</v>
      </c>
      <c r="U1814">
        <f t="shared" si="285"/>
        <v>3</v>
      </c>
      <c r="V1814">
        <f t="shared" si="286"/>
        <v>3</v>
      </c>
      <c r="W1814">
        <f t="shared" si="287"/>
        <v>1</v>
      </c>
      <c r="X1814">
        <f t="shared" si="288"/>
        <v>2.4</v>
      </c>
      <c r="Y1814" t="str">
        <f t="shared" si="289"/>
        <v>High Priority</v>
      </c>
    </row>
    <row r="1815" spans="1:25" x14ac:dyDescent="0.35">
      <c r="A1815" t="s">
        <v>210</v>
      </c>
      <c r="B1815" t="s">
        <v>211</v>
      </c>
      <c r="C1815" t="s">
        <v>338</v>
      </c>
      <c r="D1815" t="s">
        <v>1443</v>
      </c>
      <c r="E1815">
        <v>80758263</v>
      </c>
      <c r="F1815" t="s">
        <v>1444</v>
      </c>
      <c r="G1815" s="3">
        <v>47156</v>
      </c>
      <c r="H1815">
        <v>60</v>
      </c>
      <c r="I1815">
        <v>54</v>
      </c>
      <c r="J1815">
        <v>6</v>
      </c>
      <c r="K1815" s="4">
        <v>1258.08</v>
      </c>
      <c r="L1815" s="4">
        <f>0</f>
        <v>0</v>
      </c>
      <c r="M1815" s="4">
        <f>999</f>
        <v>999</v>
      </c>
      <c r="N1815" t="s">
        <v>19</v>
      </c>
      <c r="O1815" t="str">
        <f t="shared" si="280"/>
        <v>Low</v>
      </c>
      <c r="P1815" t="str">
        <f t="shared" si="281"/>
        <v>High</v>
      </c>
      <c r="Q1815" t="str">
        <f t="shared" si="282"/>
        <v>High</v>
      </c>
      <c r="R1815" t="s">
        <v>3317</v>
      </c>
      <c r="S1815" s="4">
        <f t="shared" ca="1" si="283"/>
        <v>959</v>
      </c>
      <c r="T1815">
        <f t="shared" si="284"/>
        <v>1</v>
      </c>
      <c r="U1815">
        <f t="shared" si="285"/>
        <v>3</v>
      </c>
      <c r="V1815">
        <f t="shared" si="286"/>
        <v>3</v>
      </c>
      <c r="W1815">
        <f t="shared" si="287"/>
        <v>1</v>
      </c>
      <c r="X1815">
        <f t="shared" si="288"/>
        <v>2</v>
      </c>
      <c r="Y1815" t="str">
        <f t="shared" si="289"/>
        <v>Monitor</v>
      </c>
    </row>
    <row r="1816" spans="1:25" x14ac:dyDescent="0.35">
      <c r="A1816" t="s">
        <v>41</v>
      </c>
      <c r="B1816" t="s">
        <v>42</v>
      </c>
      <c r="C1816" t="s">
        <v>43</v>
      </c>
      <c r="D1816" t="s">
        <v>302</v>
      </c>
      <c r="E1816">
        <v>80779003</v>
      </c>
      <c r="F1816" t="s">
        <v>1445</v>
      </c>
      <c r="G1816" s="3">
        <v>46542</v>
      </c>
      <c r="H1816">
        <v>36</v>
      </c>
      <c r="I1816">
        <v>32</v>
      </c>
      <c r="J1816">
        <v>2</v>
      </c>
      <c r="K1816" s="4">
        <v>556.78</v>
      </c>
      <c r="L1816" s="4">
        <f>0</f>
        <v>0</v>
      </c>
      <c r="M1816" s="4">
        <f>999</f>
        <v>999</v>
      </c>
      <c r="N1816" t="s">
        <v>19</v>
      </c>
      <c r="O1816" t="str">
        <f t="shared" si="280"/>
        <v>Medium</v>
      </c>
      <c r="P1816" t="str">
        <f t="shared" si="281"/>
        <v>High</v>
      </c>
      <c r="Q1816" t="str">
        <f t="shared" si="282"/>
        <v>High</v>
      </c>
      <c r="R1816" t="s">
        <v>3317</v>
      </c>
      <c r="S1816" s="4">
        <f t="shared" ca="1" si="283"/>
        <v>345</v>
      </c>
      <c r="T1816">
        <f t="shared" si="284"/>
        <v>2</v>
      </c>
      <c r="U1816">
        <f t="shared" si="285"/>
        <v>3</v>
      </c>
      <c r="V1816">
        <f t="shared" si="286"/>
        <v>3</v>
      </c>
      <c r="W1816">
        <f t="shared" si="287"/>
        <v>1</v>
      </c>
      <c r="X1816">
        <f t="shared" si="288"/>
        <v>2.4</v>
      </c>
      <c r="Y1816" t="str">
        <f t="shared" si="289"/>
        <v>High Priority</v>
      </c>
    </row>
    <row r="1817" spans="1:25" x14ac:dyDescent="0.35">
      <c r="A1817" t="s">
        <v>41</v>
      </c>
      <c r="B1817" t="s">
        <v>42</v>
      </c>
      <c r="C1817" t="s">
        <v>43</v>
      </c>
      <c r="D1817" t="s">
        <v>302</v>
      </c>
      <c r="E1817">
        <v>80779003</v>
      </c>
      <c r="F1817" t="s">
        <v>1445</v>
      </c>
      <c r="G1817" s="3">
        <v>46559</v>
      </c>
      <c r="H1817">
        <v>36</v>
      </c>
      <c r="I1817">
        <v>34</v>
      </c>
      <c r="J1817">
        <v>2</v>
      </c>
      <c r="K1817" s="4">
        <v>556.78</v>
      </c>
      <c r="L1817" s="4">
        <f>0</f>
        <v>0</v>
      </c>
      <c r="M1817" s="4">
        <f>999</f>
        <v>999</v>
      </c>
      <c r="N1817" t="s">
        <v>19</v>
      </c>
      <c r="O1817" t="str">
        <f t="shared" si="280"/>
        <v>Medium</v>
      </c>
      <c r="P1817" t="str">
        <f t="shared" si="281"/>
        <v>High</v>
      </c>
      <c r="Q1817" t="str">
        <f t="shared" si="282"/>
        <v>High</v>
      </c>
      <c r="R1817" t="s">
        <v>3317</v>
      </c>
      <c r="S1817" s="4">
        <f t="shared" ca="1" si="283"/>
        <v>362</v>
      </c>
      <c r="T1817">
        <f t="shared" si="284"/>
        <v>2</v>
      </c>
      <c r="U1817">
        <f t="shared" si="285"/>
        <v>3</v>
      </c>
      <c r="V1817">
        <f t="shared" si="286"/>
        <v>3</v>
      </c>
      <c r="W1817">
        <f t="shared" si="287"/>
        <v>1</v>
      </c>
      <c r="X1817">
        <f t="shared" si="288"/>
        <v>2.4</v>
      </c>
      <c r="Y1817" t="str">
        <f t="shared" si="289"/>
        <v>High Priority</v>
      </c>
    </row>
    <row r="1818" spans="1:25" x14ac:dyDescent="0.35">
      <c r="A1818" t="s">
        <v>179</v>
      </c>
      <c r="B1818" t="s">
        <v>180</v>
      </c>
      <c r="C1818" t="s">
        <v>181</v>
      </c>
      <c r="D1818" t="s">
        <v>182</v>
      </c>
      <c r="E1818">
        <v>80760128</v>
      </c>
      <c r="F1818" t="s">
        <v>1446</v>
      </c>
      <c r="G1818" s="3">
        <v>45820</v>
      </c>
      <c r="H1818">
        <v>16</v>
      </c>
      <c r="I1818">
        <v>0</v>
      </c>
      <c r="J1818">
        <v>14</v>
      </c>
      <c r="K1818" s="4">
        <v>8524.18</v>
      </c>
      <c r="L1818" s="4">
        <v>5.7142857142857144</v>
      </c>
      <c r="M1818" s="4">
        <v>2.4499999999999997</v>
      </c>
      <c r="N1818" t="s">
        <v>25</v>
      </c>
      <c r="O1818" t="str">
        <f t="shared" si="280"/>
        <v>High</v>
      </c>
      <c r="P1818" t="str">
        <f t="shared" si="281"/>
        <v>Low</v>
      </c>
      <c r="Q1818" t="str">
        <f t="shared" si="282"/>
        <v>Medium</v>
      </c>
      <c r="R1818" t="s">
        <v>3317</v>
      </c>
      <c r="S1818" s="4">
        <f t="shared" ca="1" si="283"/>
        <v>-377</v>
      </c>
      <c r="T1818">
        <f t="shared" si="284"/>
        <v>3</v>
      </c>
      <c r="U1818">
        <f t="shared" si="285"/>
        <v>1</v>
      </c>
      <c r="V1818">
        <f t="shared" si="286"/>
        <v>2</v>
      </c>
      <c r="W1818">
        <f t="shared" si="287"/>
        <v>1</v>
      </c>
      <c r="X1818">
        <f t="shared" si="288"/>
        <v>2.0000000000000004</v>
      </c>
      <c r="Y1818" t="str">
        <f t="shared" si="289"/>
        <v>Monitor</v>
      </c>
    </row>
    <row r="1819" spans="1:25" x14ac:dyDescent="0.35">
      <c r="A1819" t="s">
        <v>179</v>
      </c>
      <c r="B1819" t="s">
        <v>180</v>
      </c>
      <c r="C1819" t="s">
        <v>181</v>
      </c>
      <c r="D1819" t="s">
        <v>182</v>
      </c>
      <c r="E1819">
        <v>80760128</v>
      </c>
      <c r="F1819" t="s">
        <v>1446</v>
      </c>
      <c r="G1819" s="3">
        <v>45825</v>
      </c>
      <c r="H1819">
        <v>16</v>
      </c>
      <c r="I1819">
        <v>0</v>
      </c>
      <c r="J1819">
        <v>2</v>
      </c>
      <c r="K1819" s="4">
        <v>1217.74</v>
      </c>
      <c r="L1819" s="4">
        <v>5.7142857142857144</v>
      </c>
      <c r="M1819" s="4">
        <v>0.35</v>
      </c>
      <c r="N1819" t="s">
        <v>25</v>
      </c>
      <c r="O1819" t="str">
        <f t="shared" si="280"/>
        <v>High</v>
      </c>
      <c r="P1819" t="str">
        <f t="shared" si="281"/>
        <v>Low</v>
      </c>
      <c r="Q1819" t="str">
        <f t="shared" si="282"/>
        <v>Medium</v>
      </c>
      <c r="R1819" t="s">
        <v>3317</v>
      </c>
      <c r="S1819" s="4">
        <f t="shared" ca="1" si="283"/>
        <v>-372</v>
      </c>
      <c r="T1819">
        <f t="shared" si="284"/>
        <v>3</v>
      </c>
      <c r="U1819">
        <f t="shared" si="285"/>
        <v>1</v>
      </c>
      <c r="V1819">
        <f t="shared" si="286"/>
        <v>2</v>
      </c>
      <c r="W1819">
        <f t="shared" si="287"/>
        <v>1</v>
      </c>
      <c r="X1819">
        <f t="shared" si="288"/>
        <v>2.0000000000000004</v>
      </c>
      <c r="Y1819" t="str">
        <f t="shared" si="289"/>
        <v>Monitor</v>
      </c>
    </row>
    <row r="1820" spans="1:25" x14ac:dyDescent="0.35">
      <c r="A1820" t="s">
        <v>14</v>
      </c>
      <c r="B1820" t="s">
        <v>1447</v>
      </c>
      <c r="C1820" t="s">
        <v>1448</v>
      </c>
      <c r="D1820" t="s">
        <v>1449</v>
      </c>
      <c r="E1820">
        <v>80788715</v>
      </c>
      <c r="F1820" t="s">
        <v>1450</v>
      </c>
      <c r="G1820" s="3">
        <v>46715</v>
      </c>
      <c r="H1820">
        <v>36</v>
      </c>
      <c r="I1820">
        <v>48</v>
      </c>
      <c r="J1820">
        <v>600</v>
      </c>
      <c r="K1820" s="4">
        <v>75282</v>
      </c>
      <c r="L1820" s="4">
        <f>0</f>
        <v>0</v>
      </c>
      <c r="M1820" s="4">
        <f>999</f>
        <v>999</v>
      </c>
      <c r="N1820" t="s">
        <v>19</v>
      </c>
      <c r="O1820" t="str">
        <f t="shared" si="280"/>
        <v>Low</v>
      </c>
      <c r="P1820" t="str">
        <f t="shared" si="281"/>
        <v>High</v>
      </c>
      <c r="Q1820" t="str">
        <f t="shared" si="282"/>
        <v>High</v>
      </c>
      <c r="R1820" t="s">
        <v>3310</v>
      </c>
      <c r="S1820" s="4">
        <f t="shared" ca="1" si="283"/>
        <v>518</v>
      </c>
      <c r="T1820">
        <f t="shared" si="284"/>
        <v>1</v>
      </c>
      <c r="U1820">
        <f t="shared" si="285"/>
        <v>3</v>
      </c>
      <c r="V1820">
        <f t="shared" si="286"/>
        <v>3</v>
      </c>
      <c r="W1820">
        <f t="shared" si="287"/>
        <v>2</v>
      </c>
      <c r="X1820">
        <f t="shared" si="288"/>
        <v>2.1</v>
      </c>
      <c r="Y1820" t="str">
        <f t="shared" si="289"/>
        <v>Monitor</v>
      </c>
    </row>
    <row r="1821" spans="1:25" x14ac:dyDescent="0.35">
      <c r="A1821" t="s">
        <v>179</v>
      </c>
      <c r="B1821" t="s">
        <v>180</v>
      </c>
      <c r="C1821" t="s">
        <v>181</v>
      </c>
      <c r="D1821" t="s">
        <v>182</v>
      </c>
      <c r="E1821">
        <v>80760128</v>
      </c>
      <c r="F1821" t="s">
        <v>1446</v>
      </c>
      <c r="G1821" s="3">
        <v>45821</v>
      </c>
      <c r="H1821">
        <v>16</v>
      </c>
      <c r="I1821">
        <v>0</v>
      </c>
      <c r="J1821">
        <v>8</v>
      </c>
      <c r="K1821" s="4">
        <v>4870.96</v>
      </c>
      <c r="L1821" s="4">
        <v>5.7142857142857144</v>
      </c>
      <c r="M1821" s="4">
        <v>1.4</v>
      </c>
      <c r="N1821" t="s">
        <v>25</v>
      </c>
      <c r="O1821" t="str">
        <f t="shared" si="280"/>
        <v>High</v>
      </c>
      <c r="P1821" t="str">
        <f t="shared" si="281"/>
        <v>Low</v>
      </c>
      <c r="Q1821" t="str">
        <f t="shared" si="282"/>
        <v>Medium</v>
      </c>
      <c r="R1821" t="s">
        <v>3317</v>
      </c>
      <c r="S1821" s="4">
        <f t="shared" ca="1" si="283"/>
        <v>-376</v>
      </c>
      <c r="T1821">
        <f t="shared" si="284"/>
        <v>3</v>
      </c>
      <c r="U1821">
        <f t="shared" si="285"/>
        <v>1</v>
      </c>
      <c r="V1821">
        <f t="shared" si="286"/>
        <v>2</v>
      </c>
      <c r="W1821">
        <f t="shared" si="287"/>
        <v>1</v>
      </c>
      <c r="X1821">
        <f t="shared" si="288"/>
        <v>2.0000000000000004</v>
      </c>
      <c r="Y1821" t="str">
        <f t="shared" si="289"/>
        <v>Monitor</v>
      </c>
    </row>
    <row r="1822" spans="1:25" x14ac:dyDescent="0.35">
      <c r="A1822" t="s">
        <v>179</v>
      </c>
      <c r="B1822" t="s">
        <v>180</v>
      </c>
      <c r="C1822" t="s">
        <v>181</v>
      </c>
      <c r="D1822" t="s">
        <v>182</v>
      </c>
      <c r="E1822">
        <v>80760128</v>
      </c>
      <c r="F1822" t="s">
        <v>1446</v>
      </c>
      <c r="G1822" s="3">
        <v>45821</v>
      </c>
      <c r="H1822">
        <v>16</v>
      </c>
      <c r="I1822">
        <v>0</v>
      </c>
      <c r="J1822">
        <v>3</v>
      </c>
      <c r="K1822" s="4">
        <v>1826.61</v>
      </c>
      <c r="L1822" s="4">
        <v>5.7142857142857144</v>
      </c>
      <c r="M1822" s="4">
        <v>0.52500000000000002</v>
      </c>
      <c r="N1822" t="s">
        <v>25</v>
      </c>
      <c r="O1822" t="str">
        <f t="shared" si="280"/>
        <v>High</v>
      </c>
      <c r="P1822" t="str">
        <f t="shared" si="281"/>
        <v>Low</v>
      </c>
      <c r="Q1822" t="str">
        <f t="shared" si="282"/>
        <v>Medium</v>
      </c>
      <c r="R1822" t="s">
        <v>3317</v>
      </c>
      <c r="S1822" s="4">
        <f t="shared" ca="1" si="283"/>
        <v>-376</v>
      </c>
      <c r="T1822">
        <f t="shared" si="284"/>
        <v>3</v>
      </c>
      <c r="U1822">
        <f t="shared" si="285"/>
        <v>1</v>
      </c>
      <c r="V1822">
        <f t="shared" si="286"/>
        <v>2</v>
      </c>
      <c r="W1822">
        <f t="shared" si="287"/>
        <v>1</v>
      </c>
      <c r="X1822">
        <f t="shared" si="288"/>
        <v>2.0000000000000004</v>
      </c>
      <c r="Y1822" t="str">
        <f t="shared" si="289"/>
        <v>Monitor</v>
      </c>
    </row>
    <row r="1823" spans="1:25" x14ac:dyDescent="0.35">
      <c r="A1823" t="s">
        <v>179</v>
      </c>
      <c r="B1823" t="s">
        <v>180</v>
      </c>
      <c r="C1823" t="s">
        <v>181</v>
      </c>
      <c r="D1823" t="s">
        <v>182</v>
      </c>
      <c r="E1823">
        <v>80760128</v>
      </c>
      <c r="F1823" t="s">
        <v>1446</v>
      </c>
      <c r="G1823" s="3">
        <v>45822</v>
      </c>
      <c r="H1823">
        <v>16</v>
      </c>
      <c r="I1823">
        <v>0</v>
      </c>
      <c r="J1823">
        <v>1</v>
      </c>
      <c r="K1823" s="4">
        <v>608.87</v>
      </c>
      <c r="L1823" s="4">
        <v>5.7142857142857144</v>
      </c>
      <c r="M1823" s="4">
        <v>0.17499999999999999</v>
      </c>
      <c r="N1823" t="s">
        <v>25</v>
      </c>
      <c r="O1823" t="str">
        <f t="shared" si="280"/>
        <v>High</v>
      </c>
      <c r="P1823" t="str">
        <f t="shared" si="281"/>
        <v>Low</v>
      </c>
      <c r="Q1823" t="str">
        <f t="shared" si="282"/>
        <v>Medium</v>
      </c>
      <c r="R1823" t="s">
        <v>3317</v>
      </c>
      <c r="S1823" s="4">
        <f t="shared" ca="1" si="283"/>
        <v>-375</v>
      </c>
      <c r="T1823">
        <f t="shared" si="284"/>
        <v>3</v>
      </c>
      <c r="U1823">
        <f t="shared" si="285"/>
        <v>1</v>
      </c>
      <c r="V1823">
        <f t="shared" si="286"/>
        <v>2</v>
      </c>
      <c r="W1823">
        <f t="shared" si="287"/>
        <v>1</v>
      </c>
      <c r="X1823">
        <f t="shared" si="288"/>
        <v>2.0000000000000004</v>
      </c>
      <c r="Y1823" t="str">
        <f t="shared" si="289"/>
        <v>Monitor</v>
      </c>
    </row>
    <row r="1824" spans="1:25" x14ac:dyDescent="0.35">
      <c r="A1824" t="s">
        <v>189</v>
      </c>
      <c r="B1824" t="s">
        <v>262</v>
      </c>
      <c r="C1824" t="s">
        <v>262</v>
      </c>
      <c r="D1824" t="s">
        <v>1451</v>
      </c>
      <c r="E1824">
        <v>80787543</v>
      </c>
      <c r="F1824" t="s">
        <v>1452</v>
      </c>
      <c r="G1824" s="3">
        <v>46470</v>
      </c>
      <c r="H1824">
        <v>18</v>
      </c>
      <c r="I1824">
        <v>51</v>
      </c>
      <c r="J1824">
        <v>3</v>
      </c>
      <c r="K1824" s="4">
        <v>483.03</v>
      </c>
      <c r="L1824" s="4">
        <v>1705.8571428571429</v>
      </c>
      <c r="M1824" s="4">
        <v>1.7586466795075789E-3</v>
      </c>
      <c r="N1824" t="s">
        <v>25</v>
      </c>
      <c r="O1824" t="str">
        <f t="shared" si="280"/>
        <v>Low</v>
      </c>
      <c r="P1824" t="str">
        <f t="shared" si="281"/>
        <v>Low</v>
      </c>
      <c r="Q1824" t="str">
        <f t="shared" si="282"/>
        <v>Low</v>
      </c>
      <c r="R1824" t="s">
        <v>3317</v>
      </c>
      <c r="S1824" s="4">
        <f t="shared" ca="1" si="283"/>
        <v>273</v>
      </c>
      <c r="T1824">
        <f t="shared" si="284"/>
        <v>1</v>
      </c>
      <c r="U1824">
        <f t="shared" si="285"/>
        <v>1</v>
      </c>
      <c r="V1824">
        <f t="shared" si="286"/>
        <v>1</v>
      </c>
      <c r="W1824">
        <f t="shared" si="287"/>
        <v>1</v>
      </c>
      <c r="X1824">
        <f t="shared" si="288"/>
        <v>0.99999999999999989</v>
      </c>
      <c r="Y1824" t="str">
        <f t="shared" si="289"/>
        <v>Healthy</v>
      </c>
    </row>
    <row r="1825" spans="1:25" x14ac:dyDescent="0.35">
      <c r="A1825" t="s">
        <v>29</v>
      </c>
      <c r="B1825" t="s">
        <v>30</v>
      </c>
      <c r="C1825" t="s">
        <v>391</v>
      </c>
      <c r="D1825" t="s">
        <v>997</v>
      </c>
      <c r="E1825">
        <v>80739174</v>
      </c>
      <c r="F1825" t="s">
        <v>1453</v>
      </c>
      <c r="G1825" s="3">
        <v>46332</v>
      </c>
      <c r="H1825">
        <v>36</v>
      </c>
      <c r="I1825">
        <v>13</v>
      </c>
      <c r="J1825">
        <v>5</v>
      </c>
      <c r="K1825" s="4">
        <v>1790.55</v>
      </c>
      <c r="L1825" s="4">
        <f>0</f>
        <v>0</v>
      </c>
      <c r="M1825" s="4">
        <f>999</f>
        <v>999</v>
      </c>
      <c r="N1825" t="s">
        <v>19</v>
      </c>
      <c r="O1825" t="str">
        <f t="shared" si="280"/>
        <v>High</v>
      </c>
      <c r="P1825" t="str">
        <f t="shared" si="281"/>
        <v>High</v>
      </c>
      <c r="Q1825" t="str">
        <f t="shared" si="282"/>
        <v>High</v>
      </c>
      <c r="R1825" t="s">
        <v>3317</v>
      </c>
      <c r="S1825" s="4">
        <f t="shared" ca="1" si="283"/>
        <v>135</v>
      </c>
      <c r="T1825">
        <f t="shared" si="284"/>
        <v>3</v>
      </c>
      <c r="U1825">
        <f t="shared" si="285"/>
        <v>3</v>
      </c>
      <c r="V1825">
        <f t="shared" si="286"/>
        <v>3</v>
      </c>
      <c r="W1825">
        <f t="shared" si="287"/>
        <v>1</v>
      </c>
      <c r="X1825">
        <f t="shared" si="288"/>
        <v>2.8000000000000003</v>
      </c>
      <c r="Y1825" t="str">
        <f t="shared" si="289"/>
        <v>Move Immediately</v>
      </c>
    </row>
    <row r="1826" spans="1:25" x14ac:dyDescent="0.35">
      <c r="A1826" t="s">
        <v>41</v>
      </c>
      <c r="B1826" t="s">
        <v>54</v>
      </c>
      <c r="C1826" t="s">
        <v>87</v>
      </c>
      <c r="D1826" t="s">
        <v>452</v>
      </c>
      <c r="E1826">
        <v>80773357</v>
      </c>
      <c r="F1826" t="s">
        <v>1454</v>
      </c>
      <c r="G1826" s="3">
        <v>46350</v>
      </c>
      <c r="H1826">
        <v>36</v>
      </c>
      <c r="I1826">
        <v>15</v>
      </c>
      <c r="J1826">
        <v>24</v>
      </c>
      <c r="K1826" s="4">
        <v>1780.32</v>
      </c>
      <c r="L1826" s="4">
        <v>0.7142857142857143</v>
      </c>
      <c r="M1826" s="4">
        <v>33.6</v>
      </c>
      <c r="N1826" t="s">
        <v>19</v>
      </c>
      <c r="O1826" t="str">
        <f t="shared" si="280"/>
        <v>High</v>
      </c>
      <c r="P1826" t="str">
        <f t="shared" si="281"/>
        <v>High</v>
      </c>
      <c r="Q1826" t="str">
        <f t="shared" si="282"/>
        <v>High</v>
      </c>
      <c r="R1826" t="s">
        <v>3317</v>
      </c>
      <c r="S1826" s="4">
        <f t="shared" ca="1" si="283"/>
        <v>153</v>
      </c>
      <c r="T1826">
        <f t="shared" si="284"/>
        <v>3</v>
      </c>
      <c r="U1826">
        <f t="shared" si="285"/>
        <v>3</v>
      </c>
      <c r="V1826">
        <f t="shared" si="286"/>
        <v>3</v>
      </c>
      <c r="W1826">
        <f t="shared" si="287"/>
        <v>1</v>
      </c>
      <c r="X1826">
        <f t="shared" si="288"/>
        <v>2.8000000000000003</v>
      </c>
      <c r="Y1826" t="str">
        <f t="shared" si="289"/>
        <v>Move Immediately</v>
      </c>
    </row>
    <row r="1827" spans="1:25" x14ac:dyDescent="0.35">
      <c r="A1827" t="s">
        <v>41</v>
      </c>
      <c r="B1827" t="s">
        <v>42</v>
      </c>
      <c r="C1827" t="s">
        <v>43</v>
      </c>
      <c r="D1827" t="s">
        <v>1455</v>
      </c>
      <c r="E1827">
        <v>80810135</v>
      </c>
      <c r="F1827" t="s">
        <v>1456</v>
      </c>
      <c r="G1827" s="3">
        <v>46605</v>
      </c>
      <c r="H1827">
        <v>36</v>
      </c>
      <c r="I1827">
        <v>38</v>
      </c>
      <c r="J1827">
        <v>4</v>
      </c>
      <c r="K1827" s="4">
        <v>3273.48</v>
      </c>
      <c r="L1827" s="4">
        <f>0</f>
        <v>0</v>
      </c>
      <c r="M1827" s="4">
        <f>999</f>
        <v>999</v>
      </c>
      <c r="N1827" t="s">
        <v>19</v>
      </c>
      <c r="O1827" t="str">
        <f t="shared" si="280"/>
        <v>Medium</v>
      </c>
      <c r="P1827" t="str">
        <f t="shared" si="281"/>
        <v>High</v>
      </c>
      <c r="Q1827" t="str">
        <f t="shared" si="282"/>
        <v>High</v>
      </c>
      <c r="R1827" t="s">
        <v>3317</v>
      </c>
      <c r="S1827" s="4">
        <f t="shared" ca="1" si="283"/>
        <v>408</v>
      </c>
      <c r="T1827">
        <f t="shared" si="284"/>
        <v>2</v>
      </c>
      <c r="U1827">
        <f t="shared" si="285"/>
        <v>3</v>
      </c>
      <c r="V1827">
        <f t="shared" si="286"/>
        <v>3</v>
      </c>
      <c r="W1827">
        <f t="shared" si="287"/>
        <v>1</v>
      </c>
      <c r="X1827">
        <f t="shared" si="288"/>
        <v>2.4</v>
      </c>
      <c r="Y1827" t="str">
        <f t="shared" si="289"/>
        <v>High Priority</v>
      </c>
    </row>
    <row r="1828" spans="1:25" x14ac:dyDescent="0.35">
      <c r="A1828" t="s">
        <v>189</v>
      </c>
      <c r="B1828" t="s">
        <v>417</v>
      </c>
      <c r="C1828" t="s">
        <v>417</v>
      </c>
      <c r="D1828" t="s">
        <v>1457</v>
      </c>
      <c r="E1828">
        <v>80788416</v>
      </c>
      <c r="F1828" t="s">
        <v>1458</v>
      </c>
      <c r="G1828" s="3">
        <v>46118</v>
      </c>
      <c r="H1828">
        <v>18</v>
      </c>
      <c r="I1828">
        <v>0</v>
      </c>
      <c r="J1828">
        <v>2</v>
      </c>
      <c r="K1828" s="4">
        <v>554.22</v>
      </c>
      <c r="L1828" s="4">
        <f>0</f>
        <v>0</v>
      </c>
      <c r="M1828" s="4">
        <f>999</f>
        <v>999</v>
      </c>
      <c r="N1828" t="s">
        <v>19</v>
      </c>
      <c r="O1828" t="str">
        <f t="shared" si="280"/>
        <v>High</v>
      </c>
      <c r="P1828" t="str">
        <f t="shared" si="281"/>
        <v>High</v>
      </c>
      <c r="Q1828" t="str">
        <f t="shared" si="282"/>
        <v>High</v>
      </c>
      <c r="R1828" t="s">
        <v>3317</v>
      </c>
      <c r="S1828" s="4">
        <f t="shared" ca="1" si="283"/>
        <v>-79</v>
      </c>
      <c r="T1828">
        <f t="shared" si="284"/>
        <v>3</v>
      </c>
      <c r="U1828">
        <f t="shared" si="285"/>
        <v>3</v>
      </c>
      <c r="V1828">
        <f t="shared" si="286"/>
        <v>3</v>
      </c>
      <c r="W1828">
        <f t="shared" si="287"/>
        <v>1</v>
      </c>
      <c r="X1828">
        <f t="shared" si="288"/>
        <v>2.8000000000000003</v>
      </c>
      <c r="Y1828" t="str">
        <f t="shared" si="289"/>
        <v>Move Immediately</v>
      </c>
    </row>
    <row r="1829" spans="1:25" x14ac:dyDescent="0.35">
      <c r="A1829" t="s">
        <v>189</v>
      </c>
      <c r="B1829" t="s">
        <v>417</v>
      </c>
      <c r="C1829" t="s">
        <v>417</v>
      </c>
      <c r="D1829" t="s">
        <v>1457</v>
      </c>
      <c r="E1829">
        <v>80788416</v>
      </c>
      <c r="F1829" t="s">
        <v>1458</v>
      </c>
      <c r="G1829" s="3">
        <v>46470</v>
      </c>
      <c r="H1829">
        <v>18</v>
      </c>
      <c r="I1829">
        <v>51</v>
      </c>
      <c r="J1829">
        <v>1</v>
      </c>
      <c r="K1829" s="4">
        <v>277.11</v>
      </c>
      <c r="L1829" s="4">
        <f>0</f>
        <v>0</v>
      </c>
      <c r="M1829" s="4">
        <f>999</f>
        <v>999</v>
      </c>
      <c r="N1829" t="s">
        <v>19</v>
      </c>
      <c r="O1829" t="str">
        <f t="shared" si="280"/>
        <v>Low</v>
      </c>
      <c r="P1829" t="str">
        <f t="shared" si="281"/>
        <v>High</v>
      </c>
      <c r="Q1829" t="str">
        <f t="shared" si="282"/>
        <v>High</v>
      </c>
      <c r="R1829" t="s">
        <v>3317</v>
      </c>
      <c r="S1829" s="4">
        <f t="shared" ca="1" si="283"/>
        <v>273</v>
      </c>
      <c r="T1829">
        <f t="shared" si="284"/>
        <v>1</v>
      </c>
      <c r="U1829">
        <f t="shared" si="285"/>
        <v>3</v>
      </c>
      <c r="V1829">
        <f t="shared" si="286"/>
        <v>3</v>
      </c>
      <c r="W1829">
        <f t="shared" si="287"/>
        <v>1</v>
      </c>
      <c r="X1829">
        <f t="shared" si="288"/>
        <v>2</v>
      </c>
      <c r="Y1829" t="str">
        <f t="shared" si="289"/>
        <v>Monitor</v>
      </c>
    </row>
    <row r="1830" spans="1:25" x14ac:dyDescent="0.35">
      <c r="A1830" t="s">
        <v>189</v>
      </c>
      <c r="B1830" t="s">
        <v>417</v>
      </c>
      <c r="C1830" t="s">
        <v>417</v>
      </c>
      <c r="D1830" t="s">
        <v>1457</v>
      </c>
      <c r="E1830">
        <v>80788416</v>
      </c>
      <c r="F1830" t="s">
        <v>1458</v>
      </c>
      <c r="G1830" s="3">
        <v>46011</v>
      </c>
      <c r="H1830">
        <v>18</v>
      </c>
      <c r="I1830">
        <v>0</v>
      </c>
      <c r="J1830">
        <v>2</v>
      </c>
      <c r="K1830" s="4">
        <v>554.22</v>
      </c>
      <c r="L1830" s="4">
        <f>0</f>
        <v>0</v>
      </c>
      <c r="M1830" s="4">
        <f>999</f>
        <v>999</v>
      </c>
      <c r="N1830" t="s">
        <v>19</v>
      </c>
      <c r="O1830" t="str">
        <f t="shared" si="280"/>
        <v>High</v>
      </c>
      <c r="P1830" t="str">
        <f t="shared" si="281"/>
        <v>High</v>
      </c>
      <c r="Q1830" t="str">
        <f t="shared" si="282"/>
        <v>High</v>
      </c>
      <c r="R1830" t="s">
        <v>3317</v>
      </c>
      <c r="S1830" s="4">
        <f t="shared" ca="1" si="283"/>
        <v>-186</v>
      </c>
      <c r="T1830">
        <f t="shared" si="284"/>
        <v>3</v>
      </c>
      <c r="U1830">
        <f t="shared" si="285"/>
        <v>3</v>
      </c>
      <c r="V1830">
        <f t="shared" si="286"/>
        <v>3</v>
      </c>
      <c r="W1830">
        <f t="shared" si="287"/>
        <v>1</v>
      </c>
      <c r="X1830">
        <f t="shared" si="288"/>
        <v>2.8000000000000003</v>
      </c>
      <c r="Y1830" t="str">
        <f t="shared" si="289"/>
        <v>Move Immediately</v>
      </c>
    </row>
    <row r="1831" spans="1:25" x14ac:dyDescent="0.35">
      <c r="A1831" t="s">
        <v>29</v>
      </c>
      <c r="B1831" t="s">
        <v>30</v>
      </c>
      <c r="C1831" t="s">
        <v>391</v>
      </c>
      <c r="D1831" t="s">
        <v>392</v>
      </c>
      <c r="E1831">
        <v>80790451</v>
      </c>
      <c r="F1831" t="s">
        <v>1459</v>
      </c>
      <c r="G1831" s="3">
        <v>46669</v>
      </c>
      <c r="H1831">
        <v>36</v>
      </c>
      <c r="I1831">
        <v>44</v>
      </c>
      <c r="J1831">
        <v>2</v>
      </c>
      <c r="K1831" s="4">
        <v>165.28</v>
      </c>
      <c r="L1831" s="4">
        <v>2</v>
      </c>
      <c r="M1831" s="4">
        <v>1</v>
      </c>
      <c r="N1831" t="s">
        <v>25</v>
      </c>
      <c r="O1831" t="str">
        <f t="shared" si="280"/>
        <v>Low</v>
      </c>
      <c r="P1831" t="str">
        <f t="shared" si="281"/>
        <v>Low</v>
      </c>
      <c r="Q1831" t="str">
        <f t="shared" si="282"/>
        <v>High</v>
      </c>
      <c r="R1831" t="s">
        <v>3317</v>
      </c>
      <c r="S1831" s="4">
        <f t="shared" ca="1" si="283"/>
        <v>472</v>
      </c>
      <c r="T1831">
        <f t="shared" si="284"/>
        <v>1</v>
      </c>
      <c r="U1831">
        <f t="shared" si="285"/>
        <v>1</v>
      </c>
      <c r="V1831">
        <f t="shared" si="286"/>
        <v>3</v>
      </c>
      <c r="W1831">
        <f t="shared" si="287"/>
        <v>1</v>
      </c>
      <c r="X1831">
        <f t="shared" si="288"/>
        <v>1.4000000000000001</v>
      </c>
      <c r="Y1831" t="str">
        <f t="shared" si="289"/>
        <v>Healthy</v>
      </c>
    </row>
    <row r="1832" spans="1:25" x14ac:dyDescent="0.35">
      <c r="A1832" t="s">
        <v>29</v>
      </c>
      <c r="B1832" t="s">
        <v>30</v>
      </c>
      <c r="C1832" t="s">
        <v>391</v>
      </c>
      <c r="D1832" t="s">
        <v>392</v>
      </c>
      <c r="E1832">
        <v>80790451</v>
      </c>
      <c r="F1832" t="s">
        <v>1459</v>
      </c>
      <c r="G1832" s="3">
        <v>46542</v>
      </c>
      <c r="H1832">
        <v>36</v>
      </c>
      <c r="I1832">
        <v>32</v>
      </c>
      <c r="J1832">
        <v>45</v>
      </c>
      <c r="K1832" s="4">
        <v>3718.8</v>
      </c>
      <c r="L1832" s="4">
        <v>2</v>
      </c>
      <c r="M1832" s="4">
        <v>22.5</v>
      </c>
      <c r="N1832" t="s">
        <v>19</v>
      </c>
      <c r="O1832" t="str">
        <f t="shared" si="280"/>
        <v>Medium</v>
      </c>
      <c r="P1832" t="str">
        <f t="shared" si="281"/>
        <v>High</v>
      </c>
      <c r="Q1832" t="str">
        <f t="shared" si="282"/>
        <v>High</v>
      </c>
      <c r="R1832" t="s">
        <v>3317</v>
      </c>
      <c r="S1832" s="4">
        <f t="shared" ca="1" si="283"/>
        <v>345</v>
      </c>
      <c r="T1832">
        <f t="shared" si="284"/>
        <v>2</v>
      </c>
      <c r="U1832">
        <f t="shared" si="285"/>
        <v>3</v>
      </c>
      <c r="V1832">
        <f t="shared" si="286"/>
        <v>3</v>
      </c>
      <c r="W1832">
        <f t="shared" si="287"/>
        <v>1</v>
      </c>
      <c r="X1832">
        <f t="shared" si="288"/>
        <v>2.4</v>
      </c>
      <c r="Y1832" t="str">
        <f t="shared" si="289"/>
        <v>High Priority</v>
      </c>
    </row>
    <row r="1833" spans="1:25" x14ac:dyDescent="0.35">
      <c r="A1833" t="s">
        <v>29</v>
      </c>
      <c r="B1833" t="s">
        <v>30</v>
      </c>
      <c r="C1833" t="s">
        <v>391</v>
      </c>
      <c r="D1833" t="s">
        <v>392</v>
      </c>
      <c r="E1833">
        <v>80790451</v>
      </c>
      <c r="F1833" t="s">
        <v>1459</v>
      </c>
      <c r="G1833" s="3">
        <v>46634</v>
      </c>
      <c r="H1833">
        <v>36</v>
      </c>
      <c r="I1833">
        <v>41</v>
      </c>
      <c r="J1833">
        <v>49</v>
      </c>
      <c r="K1833" s="4">
        <v>4049.36</v>
      </c>
      <c r="L1833" s="4">
        <v>2</v>
      </c>
      <c r="M1833" s="4">
        <v>24.5</v>
      </c>
      <c r="N1833" t="s">
        <v>19</v>
      </c>
      <c r="O1833" t="str">
        <f t="shared" si="280"/>
        <v>Low</v>
      </c>
      <c r="P1833" t="str">
        <f t="shared" si="281"/>
        <v>High</v>
      </c>
      <c r="Q1833" t="str">
        <f t="shared" si="282"/>
        <v>High</v>
      </c>
      <c r="R1833" t="s">
        <v>3317</v>
      </c>
      <c r="S1833" s="4">
        <f t="shared" ca="1" si="283"/>
        <v>437</v>
      </c>
      <c r="T1833">
        <f t="shared" si="284"/>
        <v>1</v>
      </c>
      <c r="U1833">
        <f t="shared" si="285"/>
        <v>3</v>
      </c>
      <c r="V1833">
        <f t="shared" si="286"/>
        <v>3</v>
      </c>
      <c r="W1833">
        <f t="shared" si="287"/>
        <v>1</v>
      </c>
      <c r="X1833">
        <f t="shared" si="288"/>
        <v>2</v>
      </c>
      <c r="Y1833" t="str">
        <f t="shared" si="289"/>
        <v>Monitor</v>
      </c>
    </row>
    <row r="1834" spans="1:25" x14ac:dyDescent="0.35">
      <c r="A1834" t="s">
        <v>189</v>
      </c>
      <c r="B1834" t="s">
        <v>859</v>
      </c>
      <c r="C1834" t="s">
        <v>859</v>
      </c>
      <c r="D1834" t="s">
        <v>1460</v>
      </c>
      <c r="E1834">
        <v>80760602</v>
      </c>
      <c r="F1834" t="s">
        <v>1461</v>
      </c>
      <c r="G1834" s="3">
        <v>46492</v>
      </c>
      <c r="H1834">
        <v>18</v>
      </c>
      <c r="I1834">
        <v>56</v>
      </c>
      <c r="J1834">
        <v>3</v>
      </c>
      <c r="K1834" s="4">
        <v>1081.4100000000001</v>
      </c>
      <c r="L1834" s="4">
        <v>206.14285714285714</v>
      </c>
      <c r="M1834" s="4">
        <v>1.4553014553014554E-2</v>
      </c>
      <c r="N1834" t="s">
        <v>25</v>
      </c>
      <c r="O1834" t="str">
        <f t="shared" si="280"/>
        <v>Low</v>
      </c>
      <c r="P1834" t="str">
        <f t="shared" si="281"/>
        <v>Low</v>
      </c>
      <c r="Q1834" t="str">
        <f t="shared" si="282"/>
        <v>Low</v>
      </c>
      <c r="R1834" t="s">
        <v>3317</v>
      </c>
      <c r="S1834" s="4">
        <f t="shared" ca="1" si="283"/>
        <v>295</v>
      </c>
      <c r="T1834">
        <f t="shared" si="284"/>
        <v>1</v>
      </c>
      <c r="U1834">
        <f t="shared" si="285"/>
        <v>1</v>
      </c>
      <c r="V1834">
        <f t="shared" si="286"/>
        <v>1</v>
      </c>
      <c r="W1834">
        <f t="shared" si="287"/>
        <v>1</v>
      </c>
      <c r="X1834">
        <f t="shared" si="288"/>
        <v>0.99999999999999989</v>
      </c>
      <c r="Y1834" t="str">
        <f t="shared" si="289"/>
        <v>Healthy</v>
      </c>
    </row>
    <row r="1835" spans="1:25" x14ac:dyDescent="0.35">
      <c r="A1835" t="s">
        <v>41</v>
      </c>
      <c r="B1835" t="s">
        <v>54</v>
      </c>
      <c r="C1835" t="s">
        <v>87</v>
      </c>
      <c r="D1835" t="s">
        <v>452</v>
      </c>
      <c r="E1835">
        <v>80791898</v>
      </c>
      <c r="F1835" t="s">
        <v>1462</v>
      </c>
      <c r="G1835" s="3">
        <v>46678</v>
      </c>
      <c r="H1835">
        <v>36</v>
      </c>
      <c r="I1835">
        <v>45</v>
      </c>
      <c r="J1835">
        <v>22</v>
      </c>
      <c r="K1835" s="4">
        <v>1631.96</v>
      </c>
      <c r="L1835" s="4">
        <v>13.714285714285714</v>
      </c>
      <c r="M1835" s="4">
        <v>1.6041666666666667</v>
      </c>
      <c r="N1835" t="s">
        <v>25</v>
      </c>
      <c r="O1835" t="str">
        <f t="shared" si="280"/>
        <v>Low</v>
      </c>
      <c r="P1835" t="str">
        <f t="shared" si="281"/>
        <v>Low</v>
      </c>
      <c r="Q1835" t="str">
        <f t="shared" si="282"/>
        <v>Medium</v>
      </c>
      <c r="R1835" t="s">
        <v>3317</v>
      </c>
      <c r="S1835" s="4">
        <f t="shared" ca="1" si="283"/>
        <v>481</v>
      </c>
      <c r="T1835">
        <f t="shared" si="284"/>
        <v>1</v>
      </c>
      <c r="U1835">
        <f t="shared" si="285"/>
        <v>1</v>
      </c>
      <c r="V1835">
        <f t="shared" si="286"/>
        <v>2</v>
      </c>
      <c r="W1835">
        <f t="shared" si="287"/>
        <v>1</v>
      </c>
      <c r="X1835">
        <f t="shared" si="288"/>
        <v>1.2000000000000002</v>
      </c>
      <c r="Y1835" t="str">
        <f t="shared" si="289"/>
        <v>Healthy</v>
      </c>
    </row>
    <row r="1836" spans="1:25" x14ac:dyDescent="0.35">
      <c r="A1836" t="s">
        <v>41</v>
      </c>
      <c r="B1836" t="s">
        <v>54</v>
      </c>
      <c r="C1836" t="s">
        <v>87</v>
      </c>
      <c r="D1836" t="s">
        <v>452</v>
      </c>
      <c r="E1836">
        <v>80791898</v>
      </c>
      <c r="F1836" t="s">
        <v>1462</v>
      </c>
      <c r="G1836" s="3">
        <v>46655</v>
      </c>
      <c r="H1836">
        <v>36</v>
      </c>
      <c r="I1836">
        <v>43</v>
      </c>
      <c r="J1836">
        <v>20</v>
      </c>
      <c r="K1836" s="4">
        <v>1483.6</v>
      </c>
      <c r="L1836" s="4">
        <v>13.714285714285714</v>
      </c>
      <c r="M1836" s="4">
        <v>1.4583333333333335</v>
      </c>
      <c r="N1836" t="s">
        <v>25</v>
      </c>
      <c r="O1836" t="str">
        <f t="shared" si="280"/>
        <v>Low</v>
      </c>
      <c r="P1836" t="str">
        <f t="shared" si="281"/>
        <v>Low</v>
      </c>
      <c r="Q1836" t="str">
        <f t="shared" si="282"/>
        <v>Medium</v>
      </c>
      <c r="R1836" t="s">
        <v>3317</v>
      </c>
      <c r="S1836" s="4">
        <f t="shared" ca="1" si="283"/>
        <v>458</v>
      </c>
      <c r="T1836">
        <f t="shared" si="284"/>
        <v>1</v>
      </c>
      <c r="U1836">
        <f t="shared" si="285"/>
        <v>1</v>
      </c>
      <c r="V1836">
        <f t="shared" si="286"/>
        <v>2</v>
      </c>
      <c r="W1836">
        <f t="shared" si="287"/>
        <v>1</v>
      </c>
      <c r="X1836">
        <f t="shared" si="288"/>
        <v>1.2000000000000002</v>
      </c>
      <c r="Y1836" t="str">
        <f t="shared" si="289"/>
        <v>Healthy</v>
      </c>
    </row>
    <row r="1837" spans="1:25" x14ac:dyDescent="0.35">
      <c r="A1837" t="s">
        <v>41</v>
      </c>
      <c r="B1837" t="s">
        <v>54</v>
      </c>
      <c r="C1837" t="s">
        <v>87</v>
      </c>
      <c r="D1837" t="s">
        <v>452</v>
      </c>
      <c r="E1837">
        <v>80791898</v>
      </c>
      <c r="F1837" t="s">
        <v>1462</v>
      </c>
      <c r="G1837" s="3">
        <v>46731</v>
      </c>
      <c r="H1837">
        <v>36</v>
      </c>
      <c r="I1837">
        <v>50</v>
      </c>
      <c r="J1837">
        <v>5</v>
      </c>
      <c r="K1837" s="4">
        <v>370.9</v>
      </c>
      <c r="L1837" s="4">
        <v>13.714285714285714</v>
      </c>
      <c r="M1837" s="4">
        <v>0.36458333333333337</v>
      </c>
      <c r="N1837" t="s">
        <v>25</v>
      </c>
      <c r="O1837" t="str">
        <f t="shared" si="280"/>
        <v>Low</v>
      </c>
      <c r="P1837" t="str">
        <f t="shared" si="281"/>
        <v>Low</v>
      </c>
      <c r="Q1837" t="str">
        <f t="shared" si="282"/>
        <v>Medium</v>
      </c>
      <c r="R1837" t="s">
        <v>3317</v>
      </c>
      <c r="S1837" s="4">
        <f t="shared" ca="1" si="283"/>
        <v>534</v>
      </c>
      <c r="T1837">
        <f t="shared" si="284"/>
        <v>1</v>
      </c>
      <c r="U1837">
        <f t="shared" si="285"/>
        <v>1</v>
      </c>
      <c r="V1837">
        <f t="shared" si="286"/>
        <v>2</v>
      </c>
      <c r="W1837">
        <f t="shared" si="287"/>
        <v>1</v>
      </c>
      <c r="X1837">
        <f t="shared" si="288"/>
        <v>1.2000000000000002</v>
      </c>
      <c r="Y1837" t="str">
        <f t="shared" si="289"/>
        <v>Healthy</v>
      </c>
    </row>
    <row r="1838" spans="1:25" x14ac:dyDescent="0.35">
      <c r="A1838" t="s">
        <v>189</v>
      </c>
      <c r="B1838" t="s">
        <v>859</v>
      </c>
      <c r="C1838" t="s">
        <v>859</v>
      </c>
      <c r="D1838" t="s">
        <v>1460</v>
      </c>
      <c r="E1838">
        <v>80760602</v>
      </c>
      <c r="F1838" t="s">
        <v>1461</v>
      </c>
      <c r="G1838" s="3">
        <v>46470</v>
      </c>
      <c r="H1838">
        <v>18</v>
      </c>
      <c r="I1838">
        <v>51</v>
      </c>
      <c r="J1838">
        <v>4</v>
      </c>
      <c r="K1838" s="4">
        <v>1441.88</v>
      </c>
      <c r="L1838" s="4">
        <v>206.14285714285714</v>
      </c>
      <c r="M1838" s="4">
        <v>1.9404019404019403E-2</v>
      </c>
      <c r="N1838" t="s">
        <v>25</v>
      </c>
      <c r="O1838" t="str">
        <f t="shared" si="280"/>
        <v>Low</v>
      </c>
      <c r="P1838" t="str">
        <f t="shared" si="281"/>
        <v>Low</v>
      </c>
      <c r="Q1838" t="str">
        <f t="shared" si="282"/>
        <v>Low</v>
      </c>
      <c r="R1838" t="s">
        <v>3317</v>
      </c>
      <c r="S1838" s="4">
        <f t="shared" ca="1" si="283"/>
        <v>273</v>
      </c>
      <c r="T1838">
        <f t="shared" si="284"/>
        <v>1</v>
      </c>
      <c r="U1838">
        <f t="shared" si="285"/>
        <v>1</v>
      </c>
      <c r="V1838">
        <f t="shared" si="286"/>
        <v>1</v>
      </c>
      <c r="W1838">
        <f t="shared" si="287"/>
        <v>1</v>
      </c>
      <c r="X1838">
        <f t="shared" si="288"/>
        <v>0.99999999999999989</v>
      </c>
      <c r="Y1838" t="str">
        <f t="shared" si="289"/>
        <v>Healthy</v>
      </c>
    </row>
    <row r="1839" spans="1:25" x14ac:dyDescent="0.35">
      <c r="A1839" t="s">
        <v>189</v>
      </c>
      <c r="B1839" t="s">
        <v>859</v>
      </c>
      <c r="C1839" t="s">
        <v>859</v>
      </c>
      <c r="D1839" t="s">
        <v>1460</v>
      </c>
      <c r="E1839">
        <v>80760602</v>
      </c>
      <c r="F1839" t="s">
        <v>1461</v>
      </c>
      <c r="G1839" s="3">
        <v>46445</v>
      </c>
      <c r="H1839">
        <v>18</v>
      </c>
      <c r="I1839">
        <v>47</v>
      </c>
      <c r="J1839">
        <v>2</v>
      </c>
      <c r="K1839" s="4">
        <v>720.94</v>
      </c>
      <c r="L1839" s="4">
        <v>206.14285714285714</v>
      </c>
      <c r="M1839" s="4">
        <v>9.7020097020097014E-3</v>
      </c>
      <c r="N1839" t="s">
        <v>25</v>
      </c>
      <c r="O1839" t="str">
        <f t="shared" si="280"/>
        <v>Low</v>
      </c>
      <c r="P1839" t="str">
        <f t="shared" si="281"/>
        <v>Low</v>
      </c>
      <c r="Q1839" t="str">
        <f t="shared" si="282"/>
        <v>Low</v>
      </c>
      <c r="R1839" t="s">
        <v>3317</v>
      </c>
      <c r="S1839" s="4">
        <f t="shared" ca="1" si="283"/>
        <v>248</v>
      </c>
      <c r="T1839">
        <f t="shared" si="284"/>
        <v>1</v>
      </c>
      <c r="U1839">
        <f t="shared" si="285"/>
        <v>1</v>
      </c>
      <c r="V1839">
        <f t="shared" si="286"/>
        <v>1</v>
      </c>
      <c r="W1839">
        <f t="shared" si="287"/>
        <v>1</v>
      </c>
      <c r="X1839">
        <f t="shared" si="288"/>
        <v>0.99999999999999989</v>
      </c>
      <c r="Y1839" t="str">
        <f t="shared" si="289"/>
        <v>Healthy</v>
      </c>
    </row>
    <row r="1840" spans="1:25" x14ac:dyDescent="0.35">
      <c r="A1840" t="s">
        <v>41</v>
      </c>
      <c r="B1840" t="s">
        <v>54</v>
      </c>
      <c r="C1840" t="s">
        <v>55</v>
      </c>
      <c r="D1840" t="s">
        <v>445</v>
      </c>
      <c r="E1840">
        <v>80798422</v>
      </c>
      <c r="F1840" t="s">
        <v>1463</v>
      </c>
      <c r="G1840" s="3">
        <v>46634</v>
      </c>
      <c r="H1840">
        <v>36</v>
      </c>
      <c r="I1840">
        <v>41</v>
      </c>
      <c r="J1840">
        <v>7</v>
      </c>
      <c r="K1840" s="4">
        <v>6467.79</v>
      </c>
      <c r="L1840" s="4">
        <f>0</f>
        <v>0</v>
      </c>
      <c r="M1840" s="4">
        <f>999</f>
        <v>999</v>
      </c>
      <c r="N1840" t="s">
        <v>19</v>
      </c>
      <c r="O1840" t="str">
        <f t="shared" si="280"/>
        <v>Low</v>
      </c>
      <c r="P1840" t="str">
        <f t="shared" si="281"/>
        <v>High</v>
      </c>
      <c r="Q1840" t="str">
        <f t="shared" si="282"/>
        <v>High</v>
      </c>
      <c r="R1840" t="s">
        <v>3317</v>
      </c>
      <c r="S1840" s="4">
        <f t="shared" ca="1" si="283"/>
        <v>437</v>
      </c>
      <c r="T1840">
        <f t="shared" si="284"/>
        <v>1</v>
      </c>
      <c r="U1840">
        <f t="shared" si="285"/>
        <v>3</v>
      </c>
      <c r="V1840">
        <f t="shared" si="286"/>
        <v>3</v>
      </c>
      <c r="W1840">
        <f t="shared" si="287"/>
        <v>1</v>
      </c>
      <c r="X1840">
        <f t="shared" si="288"/>
        <v>2</v>
      </c>
      <c r="Y1840" t="str">
        <f t="shared" si="289"/>
        <v>Monitor</v>
      </c>
    </row>
    <row r="1841" spans="1:25" x14ac:dyDescent="0.35">
      <c r="A1841" t="s">
        <v>189</v>
      </c>
      <c r="B1841" t="s">
        <v>859</v>
      </c>
      <c r="C1841" t="s">
        <v>859</v>
      </c>
      <c r="D1841" t="s">
        <v>1460</v>
      </c>
      <c r="E1841">
        <v>80760602</v>
      </c>
      <c r="F1841" t="s">
        <v>1461</v>
      </c>
      <c r="G1841" s="3">
        <v>49698</v>
      </c>
      <c r="H1841">
        <v>18</v>
      </c>
      <c r="I1841">
        <v>100</v>
      </c>
      <c r="J1841">
        <v>2</v>
      </c>
      <c r="K1841" s="4">
        <v>720.94</v>
      </c>
      <c r="L1841" s="4">
        <v>206.14285714285714</v>
      </c>
      <c r="M1841" s="4">
        <v>9.7020097020097014E-3</v>
      </c>
      <c r="N1841" t="s">
        <v>25</v>
      </c>
      <c r="O1841" t="str">
        <f t="shared" si="280"/>
        <v>Low</v>
      </c>
      <c r="P1841" t="str">
        <f t="shared" si="281"/>
        <v>Low</v>
      </c>
      <c r="Q1841" t="str">
        <f t="shared" si="282"/>
        <v>Low</v>
      </c>
      <c r="R1841" t="s">
        <v>3317</v>
      </c>
      <c r="S1841" s="4">
        <f t="shared" ca="1" si="283"/>
        <v>3501</v>
      </c>
      <c r="T1841">
        <f t="shared" si="284"/>
        <v>1</v>
      </c>
      <c r="U1841">
        <f t="shared" si="285"/>
        <v>1</v>
      </c>
      <c r="V1841">
        <f t="shared" si="286"/>
        <v>1</v>
      </c>
      <c r="W1841">
        <f t="shared" si="287"/>
        <v>1</v>
      </c>
      <c r="X1841">
        <f t="shared" si="288"/>
        <v>0.99999999999999989</v>
      </c>
      <c r="Y1841" t="str">
        <f t="shared" si="289"/>
        <v>Healthy</v>
      </c>
    </row>
    <row r="1842" spans="1:25" x14ac:dyDescent="0.35">
      <c r="A1842" t="s">
        <v>20</v>
      </c>
      <c r="B1842" t="s">
        <v>21</v>
      </c>
      <c r="C1842" t="s">
        <v>133</v>
      </c>
      <c r="D1842" t="s">
        <v>1464</v>
      </c>
      <c r="E1842">
        <v>80739147</v>
      </c>
      <c r="F1842" t="s">
        <v>1465</v>
      </c>
      <c r="G1842" s="3">
        <v>47076</v>
      </c>
      <c r="H1842">
        <v>36</v>
      </c>
      <c r="I1842">
        <v>82</v>
      </c>
      <c r="J1842">
        <v>20</v>
      </c>
      <c r="K1842" s="4">
        <v>36396</v>
      </c>
      <c r="L1842" s="4">
        <v>36.714285714285715</v>
      </c>
      <c r="M1842" s="4">
        <v>0.54474708171206221</v>
      </c>
      <c r="N1842" t="s">
        <v>25</v>
      </c>
      <c r="O1842" t="str">
        <f t="shared" si="280"/>
        <v>Low</v>
      </c>
      <c r="P1842" t="str">
        <f t="shared" si="281"/>
        <v>Low</v>
      </c>
      <c r="Q1842" t="str">
        <f t="shared" si="282"/>
        <v>Low</v>
      </c>
      <c r="R1842" t="s">
        <v>3317</v>
      </c>
      <c r="S1842" s="4">
        <f t="shared" ca="1" si="283"/>
        <v>879</v>
      </c>
      <c r="T1842">
        <f t="shared" si="284"/>
        <v>1</v>
      </c>
      <c r="U1842">
        <f t="shared" si="285"/>
        <v>1</v>
      </c>
      <c r="V1842">
        <f t="shared" si="286"/>
        <v>1</v>
      </c>
      <c r="W1842">
        <f t="shared" si="287"/>
        <v>1</v>
      </c>
      <c r="X1842">
        <f t="shared" si="288"/>
        <v>0.99999999999999989</v>
      </c>
      <c r="Y1842" t="str">
        <f t="shared" si="289"/>
        <v>Healthy</v>
      </c>
    </row>
    <row r="1843" spans="1:25" x14ac:dyDescent="0.35">
      <c r="A1843" t="s">
        <v>189</v>
      </c>
      <c r="B1843" t="s">
        <v>1219</v>
      </c>
      <c r="C1843" t="s">
        <v>1219</v>
      </c>
      <c r="D1843" t="s">
        <v>1466</v>
      </c>
      <c r="E1843">
        <v>80812662</v>
      </c>
      <c r="F1843" t="s">
        <v>1467</v>
      </c>
      <c r="G1843" s="3">
        <v>46644</v>
      </c>
      <c r="H1843">
        <v>24</v>
      </c>
      <c r="I1843">
        <v>63</v>
      </c>
      <c r="J1843">
        <v>45</v>
      </c>
      <c r="K1843" s="4">
        <v>1838.25</v>
      </c>
      <c r="L1843" s="4">
        <v>1470.8571428571429</v>
      </c>
      <c r="M1843" s="4">
        <v>3.0594405594405592E-2</v>
      </c>
      <c r="N1843" t="s">
        <v>25</v>
      </c>
      <c r="O1843" t="str">
        <f t="shared" si="280"/>
        <v>Low</v>
      </c>
      <c r="P1843" t="str">
        <f t="shared" si="281"/>
        <v>Low</v>
      </c>
      <c r="Q1843" t="str">
        <f t="shared" si="282"/>
        <v>Low</v>
      </c>
      <c r="R1843" t="s">
        <v>3317</v>
      </c>
      <c r="S1843" s="4">
        <f t="shared" ca="1" si="283"/>
        <v>447</v>
      </c>
      <c r="T1843">
        <f t="shared" si="284"/>
        <v>1</v>
      </c>
      <c r="U1843">
        <f t="shared" si="285"/>
        <v>1</v>
      </c>
      <c r="V1843">
        <f t="shared" si="286"/>
        <v>1</v>
      </c>
      <c r="W1843">
        <f t="shared" si="287"/>
        <v>1</v>
      </c>
      <c r="X1843">
        <f t="shared" si="288"/>
        <v>0.99999999999999989</v>
      </c>
      <c r="Y1843" t="str">
        <f t="shared" si="289"/>
        <v>Healthy</v>
      </c>
    </row>
    <row r="1844" spans="1:25" x14ac:dyDescent="0.35">
      <c r="A1844" t="s">
        <v>20</v>
      </c>
      <c r="B1844" t="s">
        <v>21</v>
      </c>
      <c r="C1844" t="s">
        <v>313</v>
      </c>
      <c r="D1844" t="s">
        <v>1468</v>
      </c>
      <c r="E1844">
        <v>80766937</v>
      </c>
      <c r="F1844" t="s">
        <v>1469</v>
      </c>
      <c r="G1844" s="3">
        <v>46619</v>
      </c>
      <c r="H1844">
        <v>36</v>
      </c>
      <c r="I1844">
        <v>40</v>
      </c>
      <c r="J1844">
        <v>1</v>
      </c>
      <c r="K1844" s="4">
        <v>212.79</v>
      </c>
      <c r="L1844" s="4">
        <f>0</f>
        <v>0</v>
      </c>
      <c r="M1844" s="4">
        <f>999</f>
        <v>999</v>
      </c>
      <c r="N1844" t="s">
        <v>19</v>
      </c>
      <c r="O1844" t="str">
        <f t="shared" si="280"/>
        <v>Low</v>
      </c>
      <c r="P1844" t="str">
        <f t="shared" si="281"/>
        <v>High</v>
      </c>
      <c r="Q1844" t="str">
        <f t="shared" si="282"/>
        <v>High</v>
      </c>
      <c r="R1844" t="s">
        <v>3317</v>
      </c>
      <c r="S1844" s="4">
        <f t="shared" ca="1" si="283"/>
        <v>422</v>
      </c>
      <c r="T1844">
        <f t="shared" si="284"/>
        <v>1</v>
      </c>
      <c r="U1844">
        <f t="shared" si="285"/>
        <v>3</v>
      </c>
      <c r="V1844">
        <f t="shared" si="286"/>
        <v>3</v>
      </c>
      <c r="W1844">
        <f t="shared" si="287"/>
        <v>1</v>
      </c>
      <c r="X1844">
        <f t="shared" si="288"/>
        <v>2</v>
      </c>
      <c r="Y1844" t="str">
        <f t="shared" si="289"/>
        <v>Monitor</v>
      </c>
    </row>
    <row r="1845" spans="1:25" x14ac:dyDescent="0.35">
      <c r="A1845" t="s">
        <v>71</v>
      </c>
      <c r="B1845" t="s">
        <v>72</v>
      </c>
      <c r="C1845" t="s">
        <v>174</v>
      </c>
      <c r="D1845" t="s">
        <v>308</v>
      </c>
      <c r="E1845">
        <v>80808822</v>
      </c>
      <c r="F1845" t="s">
        <v>1470</v>
      </c>
      <c r="G1845" s="3">
        <v>46696</v>
      </c>
      <c r="H1845">
        <v>36</v>
      </c>
      <c r="I1845">
        <v>47</v>
      </c>
      <c r="J1845">
        <v>30</v>
      </c>
      <c r="K1845" s="4">
        <v>20207.400000000001</v>
      </c>
      <c r="L1845" s="4">
        <f>0</f>
        <v>0</v>
      </c>
      <c r="M1845" s="4">
        <f>999</f>
        <v>999</v>
      </c>
      <c r="N1845" t="s">
        <v>19</v>
      </c>
      <c r="O1845" t="str">
        <f t="shared" si="280"/>
        <v>Low</v>
      </c>
      <c r="P1845" t="str">
        <f t="shared" si="281"/>
        <v>High</v>
      </c>
      <c r="Q1845" t="str">
        <f t="shared" si="282"/>
        <v>High</v>
      </c>
      <c r="R1845" t="s">
        <v>3317</v>
      </c>
      <c r="S1845" s="4">
        <f t="shared" ca="1" si="283"/>
        <v>499</v>
      </c>
      <c r="T1845">
        <f t="shared" si="284"/>
        <v>1</v>
      </c>
      <c r="U1845">
        <f t="shared" si="285"/>
        <v>3</v>
      </c>
      <c r="V1845">
        <f t="shared" si="286"/>
        <v>3</v>
      </c>
      <c r="W1845">
        <f t="shared" si="287"/>
        <v>1</v>
      </c>
      <c r="X1845">
        <f t="shared" si="288"/>
        <v>2</v>
      </c>
      <c r="Y1845" t="str">
        <f t="shared" si="289"/>
        <v>Monitor</v>
      </c>
    </row>
    <row r="1846" spans="1:25" x14ac:dyDescent="0.35">
      <c r="A1846" t="s">
        <v>71</v>
      </c>
      <c r="B1846" t="s">
        <v>72</v>
      </c>
      <c r="C1846" t="s">
        <v>73</v>
      </c>
      <c r="D1846" t="s">
        <v>1021</v>
      </c>
      <c r="E1846">
        <v>80815789</v>
      </c>
      <c r="F1846" t="s">
        <v>1471</v>
      </c>
      <c r="G1846" s="3">
        <v>46860</v>
      </c>
      <c r="H1846">
        <v>36</v>
      </c>
      <c r="I1846">
        <v>62</v>
      </c>
      <c r="J1846">
        <v>8</v>
      </c>
      <c r="K1846" s="4">
        <v>24073.040000000001</v>
      </c>
      <c r="L1846" s="4">
        <v>2.7142857142857144</v>
      </c>
      <c r="M1846" s="4">
        <v>2.9473684210526314</v>
      </c>
      <c r="N1846" t="s">
        <v>25</v>
      </c>
      <c r="O1846" t="str">
        <f t="shared" si="280"/>
        <v>Low</v>
      </c>
      <c r="P1846" t="str">
        <f t="shared" si="281"/>
        <v>Low</v>
      </c>
      <c r="Q1846" t="str">
        <f t="shared" si="282"/>
        <v>High</v>
      </c>
      <c r="R1846" t="s">
        <v>3317</v>
      </c>
      <c r="S1846" s="4">
        <f t="shared" ca="1" si="283"/>
        <v>663</v>
      </c>
      <c r="T1846">
        <f t="shared" si="284"/>
        <v>1</v>
      </c>
      <c r="U1846">
        <f t="shared" si="285"/>
        <v>1</v>
      </c>
      <c r="V1846">
        <f t="shared" si="286"/>
        <v>3</v>
      </c>
      <c r="W1846">
        <f t="shared" si="287"/>
        <v>1</v>
      </c>
      <c r="X1846">
        <f t="shared" si="288"/>
        <v>1.4000000000000001</v>
      </c>
      <c r="Y1846" t="str">
        <f t="shared" si="289"/>
        <v>Healthy</v>
      </c>
    </row>
    <row r="1847" spans="1:25" x14ac:dyDescent="0.35">
      <c r="A1847" t="s">
        <v>71</v>
      </c>
      <c r="B1847" t="s">
        <v>72</v>
      </c>
      <c r="C1847" t="s">
        <v>73</v>
      </c>
      <c r="D1847" t="s">
        <v>1021</v>
      </c>
      <c r="E1847">
        <v>80815789</v>
      </c>
      <c r="F1847" t="s">
        <v>1471</v>
      </c>
      <c r="G1847" s="3">
        <v>46886</v>
      </c>
      <c r="H1847">
        <v>36</v>
      </c>
      <c r="I1847">
        <v>64</v>
      </c>
      <c r="J1847">
        <v>3</v>
      </c>
      <c r="K1847" s="4">
        <v>9027.39</v>
      </c>
      <c r="L1847" s="4">
        <v>2.7142857142857144</v>
      </c>
      <c r="M1847" s="4">
        <v>1.1052631578947367</v>
      </c>
      <c r="N1847" t="s">
        <v>25</v>
      </c>
      <c r="O1847" t="str">
        <f t="shared" si="280"/>
        <v>Low</v>
      </c>
      <c r="P1847" t="str">
        <f t="shared" si="281"/>
        <v>Low</v>
      </c>
      <c r="Q1847" t="str">
        <f t="shared" si="282"/>
        <v>High</v>
      </c>
      <c r="R1847" t="s">
        <v>3317</v>
      </c>
      <c r="S1847" s="4">
        <f t="shared" ca="1" si="283"/>
        <v>689</v>
      </c>
      <c r="T1847">
        <f t="shared" si="284"/>
        <v>1</v>
      </c>
      <c r="U1847">
        <f t="shared" si="285"/>
        <v>1</v>
      </c>
      <c r="V1847">
        <f t="shared" si="286"/>
        <v>3</v>
      </c>
      <c r="W1847">
        <f t="shared" si="287"/>
        <v>1</v>
      </c>
      <c r="X1847">
        <f t="shared" si="288"/>
        <v>1.4000000000000001</v>
      </c>
      <c r="Y1847" t="str">
        <f t="shared" si="289"/>
        <v>Healthy</v>
      </c>
    </row>
    <row r="1848" spans="1:25" x14ac:dyDescent="0.35">
      <c r="A1848" t="s">
        <v>71</v>
      </c>
      <c r="B1848" t="s">
        <v>72</v>
      </c>
      <c r="C1848" t="s">
        <v>73</v>
      </c>
      <c r="D1848" t="s">
        <v>1021</v>
      </c>
      <c r="E1848">
        <v>80815789</v>
      </c>
      <c r="F1848" t="s">
        <v>1471</v>
      </c>
      <c r="G1848" s="3">
        <v>46852</v>
      </c>
      <c r="H1848">
        <v>36</v>
      </c>
      <c r="I1848">
        <v>61</v>
      </c>
      <c r="J1848">
        <v>1</v>
      </c>
      <c r="K1848" s="4">
        <v>3009.13</v>
      </c>
      <c r="L1848" s="4">
        <v>2.7142857142857144</v>
      </c>
      <c r="M1848" s="4">
        <v>0.36842105263157893</v>
      </c>
      <c r="N1848" t="s">
        <v>25</v>
      </c>
      <c r="O1848" t="str">
        <f t="shared" si="280"/>
        <v>Low</v>
      </c>
      <c r="P1848" t="str">
        <f t="shared" si="281"/>
        <v>Low</v>
      </c>
      <c r="Q1848" t="str">
        <f t="shared" si="282"/>
        <v>High</v>
      </c>
      <c r="R1848" t="s">
        <v>3317</v>
      </c>
      <c r="S1848" s="4">
        <f t="shared" ca="1" si="283"/>
        <v>655</v>
      </c>
      <c r="T1848">
        <f t="shared" si="284"/>
        <v>1</v>
      </c>
      <c r="U1848">
        <f t="shared" si="285"/>
        <v>1</v>
      </c>
      <c r="V1848">
        <f t="shared" si="286"/>
        <v>3</v>
      </c>
      <c r="W1848">
        <f t="shared" si="287"/>
        <v>1</v>
      </c>
      <c r="X1848">
        <f t="shared" si="288"/>
        <v>1.4000000000000001</v>
      </c>
      <c r="Y1848" t="str">
        <f t="shared" si="289"/>
        <v>Healthy</v>
      </c>
    </row>
    <row r="1849" spans="1:25" x14ac:dyDescent="0.35">
      <c r="A1849" t="s">
        <v>14</v>
      </c>
      <c r="B1849" t="s">
        <v>58</v>
      </c>
      <c r="C1849" t="s">
        <v>1472</v>
      </c>
      <c r="D1849" t="s">
        <v>1473</v>
      </c>
      <c r="E1849">
        <v>80769042</v>
      </c>
      <c r="F1849" t="s">
        <v>1474</v>
      </c>
      <c r="G1849" s="3">
        <v>47060</v>
      </c>
      <c r="H1849">
        <v>60</v>
      </c>
      <c r="I1849">
        <v>48</v>
      </c>
      <c r="J1849">
        <v>22</v>
      </c>
      <c r="K1849" s="4">
        <v>56550.78</v>
      </c>
      <c r="L1849" s="4">
        <f>0</f>
        <v>0</v>
      </c>
      <c r="M1849" s="4">
        <f>999</f>
        <v>999</v>
      </c>
      <c r="N1849" t="s">
        <v>19</v>
      </c>
      <c r="O1849" t="str">
        <f t="shared" si="280"/>
        <v>Low</v>
      </c>
      <c r="P1849" t="str">
        <f t="shared" si="281"/>
        <v>High</v>
      </c>
      <c r="Q1849" t="str">
        <f t="shared" si="282"/>
        <v>High</v>
      </c>
      <c r="R1849" t="s">
        <v>3317</v>
      </c>
      <c r="S1849" s="4">
        <f t="shared" ca="1" si="283"/>
        <v>863</v>
      </c>
      <c r="T1849">
        <f t="shared" si="284"/>
        <v>1</v>
      </c>
      <c r="U1849">
        <f t="shared" si="285"/>
        <v>3</v>
      </c>
      <c r="V1849">
        <f t="shared" si="286"/>
        <v>3</v>
      </c>
      <c r="W1849">
        <f t="shared" si="287"/>
        <v>1</v>
      </c>
      <c r="X1849">
        <f t="shared" si="288"/>
        <v>2</v>
      </c>
      <c r="Y1849" t="str">
        <f t="shared" si="289"/>
        <v>Monitor</v>
      </c>
    </row>
    <row r="1850" spans="1:25" x14ac:dyDescent="0.35">
      <c r="A1850" t="s">
        <v>71</v>
      </c>
      <c r="B1850" t="s">
        <v>72</v>
      </c>
      <c r="C1850" t="s">
        <v>386</v>
      </c>
      <c r="D1850" t="s">
        <v>1475</v>
      </c>
      <c r="E1850">
        <v>80815813</v>
      </c>
      <c r="F1850" t="s">
        <v>1476</v>
      </c>
      <c r="G1850" s="3">
        <v>46888</v>
      </c>
      <c r="H1850">
        <v>36</v>
      </c>
      <c r="I1850">
        <v>64</v>
      </c>
      <c r="J1850">
        <v>3</v>
      </c>
      <c r="K1850" s="4">
        <v>220.8</v>
      </c>
      <c r="L1850" s="4">
        <v>0.5714285714285714</v>
      </c>
      <c r="M1850" s="4">
        <v>5.25</v>
      </c>
      <c r="N1850" t="s">
        <v>25</v>
      </c>
      <c r="O1850" t="str">
        <f t="shared" si="280"/>
        <v>Low</v>
      </c>
      <c r="P1850" t="str">
        <f t="shared" si="281"/>
        <v>Medium</v>
      </c>
      <c r="Q1850" t="str">
        <f t="shared" si="282"/>
        <v>High</v>
      </c>
      <c r="R1850" t="s">
        <v>3317</v>
      </c>
      <c r="S1850" s="4">
        <f t="shared" ca="1" si="283"/>
        <v>691</v>
      </c>
      <c r="T1850">
        <f t="shared" si="284"/>
        <v>1</v>
      </c>
      <c r="U1850">
        <f t="shared" si="285"/>
        <v>2</v>
      </c>
      <c r="V1850">
        <f t="shared" si="286"/>
        <v>3</v>
      </c>
      <c r="W1850">
        <f t="shared" si="287"/>
        <v>1</v>
      </c>
      <c r="X1850">
        <f t="shared" si="288"/>
        <v>1.7000000000000002</v>
      </c>
      <c r="Y1850" t="str">
        <f t="shared" si="289"/>
        <v>Monitor</v>
      </c>
    </row>
    <row r="1851" spans="1:25" x14ac:dyDescent="0.35">
      <c r="A1851" t="s">
        <v>99</v>
      </c>
      <c r="B1851" t="s">
        <v>100</v>
      </c>
      <c r="C1851" t="s">
        <v>101</v>
      </c>
      <c r="D1851" t="s">
        <v>1477</v>
      </c>
      <c r="E1851">
        <v>80762958</v>
      </c>
      <c r="F1851" t="s">
        <v>1478</v>
      </c>
      <c r="G1851" s="3">
        <v>46409</v>
      </c>
      <c r="H1851">
        <v>18</v>
      </c>
      <c r="I1851">
        <v>40</v>
      </c>
      <c r="J1851">
        <v>47</v>
      </c>
      <c r="K1851" s="4">
        <v>4833.95</v>
      </c>
      <c r="L1851" s="4">
        <v>311.42857142857144</v>
      </c>
      <c r="M1851" s="4">
        <v>0.15091743119266054</v>
      </c>
      <c r="N1851" t="s">
        <v>25</v>
      </c>
      <c r="O1851" t="str">
        <f t="shared" si="280"/>
        <v>Low</v>
      </c>
      <c r="P1851" t="str">
        <f t="shared" si="281"/>
        <v>Low</v>
      </c>
      <c r="Q1851" t="str">
        <f t="shared" si="282"/>
        <v>Low</v>
      </c>
      <c r="R1851" t="s">
        <v>3317</v>
      </c>
      <c r="S1851" s="4">
        <f t="shared" ca="1" si="283"/>
        <v>212</v>
      </c>
      <c r="T1851">
        <f t="shared" si="284"/>
        <v>1</v>
      </c>
      <c r="U1851">
        <f t="shared" si="285"/>
        <v>1</v>
      </c>
      <c r="V1851">
        <f t="shared" si="286"/>
        <v>1</v>
      </c>
      <c r="W1851">
        <f t="shared" si="287"/>
        <v>1</v>
      </c>
      <c r="X1851">
        <f t="shared" si="288"/>
        <v>0.99999999999999989</v>
      </c>
      <c r="Y1851" t="str">
        <f t="shared" si="289"/>
        <v>Healthy</v>
      </c>
    </row>
    <row r="1852" spans="1:25" x14ac:dyDescent="0.35">
      <c r="A1852" t="s">
        <v>71</v>
      </c>
      <c r="B1852" t="s">
        <v>72</v>
      </c>
      <c r="C1852" t="s">
        <v>386</v>
      </c>
      <c r="D1852" t="s">
        <v>1475</v>
      </c>
      <c r="E1852">
        <v>80815813</v>
      </c>
      <c r="F1852" t="s">
        <v>1476</v>
      </c>
      <c r="G1852" s="3">
        <v>46877</v>
      </c>
      <c r="H1852">
        <v>36</v>
      </c>
      <c r="I1852">
        <v>63</v>
      </c>
      <c r="J1852">
        <v>5</v>
      </c>
      <c r="K1852" s="4">
        <v>368</v>
      </c>
      <c r="L1852" s="4">
        <v>0.5714285714285714</v>
      </c>
      <c r="M1852" s="4">
        <v>8.75</v>
      </c>
      <c r="N1852" t="s">
        <v>19</v>
      </c>
      <c r="O1852" t="str">
        <f t="shared" si="280"/>
        <v>Low</v>
      </c>
      <c r="P1852" t="str">
        <f t="shared" si="281"/>
        <v>High</v>
      </c>
      <c r="Q1852" t="str">
        <f t="shared" si="282"/>
        <v>High</v>
      </c>
      <c r="R1852" t="s">
        <v>3317</v>
      </c>
      <c r="S1852" s="4">
        <f t="shared" ca="1" si="283"/>
        <v>680</v>
      </c>
      <c r="T1852">
        <f t="shared" si="284"/>
        <v>1</v>
      </c>
      <c r="U1852">
        <f t="shared" si="285"/>
        <v>3</v>
      </c>
      <c r="V1852">
        <f t="shared" si="286"/>
        <v>3</v>
      </c>
      <c r="W1852">
        <f t="shared" si="287"/>
        <v>1</v>
      </c>
      <c r="X1852">
        <f t="shared" si="288"/>
        <v>2</v>
      </c>
      <c r="Y1852" t="str">
        <f t="shared" si="289"/>
        <v>Monitor</v>
      </c>
    </row>
    <row r="1853" spans="1:25" x14ac:dyDescent="0.35">
      <c r="A1853" t="s">
        <v>99</v>
      </c>
      <c r="B1853" t="s">
        <v>100</v>
      </c>
      <c r="C1853" t="s">
        <v>101</v>
      </c>
      <c r="D1853" t="s">
        <v>1477</v>
      </c>
      <c r="E1853">
        <v>80762958</v>
      </c>
      <c r="F1853" t="s">
        <v>1478</v>
      </c>
      <c r="G1853" s="3">
        <v>46601</v>
      </c>
      <c r="H1853">
        <v>18</v>
      </c>
      <c r="I1853">
        <v>76</v>
      </c>
      <c r="J1853">
        <v>1984</v>
      </c>
      <c r="K1853" s="4">
        <v>204054.39999999999</v>
      </c>
      <c r="L1853" s="4">
        <v>311.42857142857144</v>
      </c>
      <c r="M1853" s="4">
        <v>6.3706422018348619</v>
      </c>
      <c r="N1853" t="s">
        <v>19</v>
      </c>
      <c r="O1853" t="str">
        <f t="shared" si="280"/>
        <v>Low</v>
      </c>
      <c r="P1853" t="str">
        <f t="shared" si="281"/>
        <v>Medium</v>
      </c>
      <c r="Q1853" t="str">
        <f t="shared" si="282"/>
        <v>Low</v>
      </c>
      <c r="R1853" t="s">
        <v>3309</v>
      </c>
      <c r="S1853" s="4">
        <f t="shared" ca="1" si="283"/>
        <v>404</v>
      </c>
      <c r="T1853">
        <f t="shared" si="284"/>
        <v>1</v>
      </c>
      <c r="U1853">
        <f t="shared" si="285"/>
        <v>2</v>
      </c>
      <c r="V1853">
        <f t="shared" si="286"/>
        <v>1</v>
      </c>
      <c r="W1853">
        <f t="shared" si="287"/>
        <v>3</v>
      </c>
      <c r="X1853">
        <f t="shared" si="288"/>
        <v>1.5</v>
      </c>
      <c r="Y1853" t="str">
        <f t="shared" si="289"/>
        <v>Healthy</v>
      </c>
    </row>
    <row r="1854" spans="1:25" x14ac:dyDescent="0.35">
      <c r="A1854" t="s">
        <v>71</v>
      </c>
      <c r="B1854" t="s">
        <v>72</v>
      </c>
      <c r="C1854" t="s">
        <v>386</v>
      </c>
      <c r="D1854" t="s">
        <v>1475</v>
      </c>
      <c r="E1854">
        <v>80815813</v>
      </c>
      <c r="F1854" t="s">
        <v>1476</v>
      </c>
      <c r="G1854" s="3">
        <v>46892</v>
      </c>
      <c r="H1854">
        <v>36</v>
      </c>
      <c r="I1854">
        <v>65</v>
      </c>
      <c r="J1854">
        <v>5</v>
      </c>
      <c r="K1854" s="4">
        <v>368</v>
      </c>
      <c r="L1854" s="4">
        <v>0.5714285714285714</v>
      </c>
      <c r="M1854" s="4">
        <v>8.75</v>
      </c>
      <c r="N1854" t="s">
        <v>19</v>
      </c>
      <c r="O1854" t="str">
        <f t="shared" si="280"/>
        <v>Low</v>
      </c>
      <c r="P1854" t="str">
        <f t="shared" si="281"/>
        <v>High</v>
      </c>
      <c r="Q1854" t="str">
        <f t="shared" si="282"/>
        <v>High</v>
      </c>
      <c r="R1854" t="s">
        <v>3317</v>
      </c>
      <c r="S1854" s="4">
        <f t="shared" ca="1" si="283"/>
        <v>695</v>
      </c>
      <c r="T1854">
        <f t="shared" si="284"/>
        <v>1</v>
      </c>
      <c r="U1854">
        <f t="shared" si="285"/>
        <v>3</v>
      </c>
      <c r="V1854">
        <f t="shared" si="286"/>
        <v>3</v>
      </c>
      <c r="W1854">
        <f t="shared" si="287"/>
        <v>1</v>
      </c>
      <c r="X1854">
        <f t="shared" si="288"/>
        <v>2</v>
      </c>
      <c r="Y1854" t="str">
        <f t="shared" si="289"/>
        <v>Monitor</v>
      </c>
    </row>
    <row r="1855" spans="1:25" x14ac:dyDescent="0.35">
      <c r="A1855" t="s">
        <v>71</v>
      </c>
      <c r="B1855" t="s">
        <v>72</v>
      </c>
      <c r="C1855" t="s">
        <v>386</v>
      </c>
      <c r="D1855" t="s">
        <v>1475</v>
      </c>
      <c r="E1855">
        <v>80815813</v>
      </c>
      <c r="F1855" t="s">
        <v>1476</v>
      </c>
      <c r="G1855" s="3">
        <v>46747</v>
      </c>
      <c r="H1855">
        <v>36</v>
      </c>
      <c r="I1855">
        <v>51</v>
      </c>
      <c r="J1855">
        <v>29</v>
      </c>
      <c r="K1855" s="4">
        <v>2134.4</v>
      </c>
      <c r="L1855" s="4">
        <v>0.5714285714285714</v>
      </c>
      <c r="M1855" s="4">
        <v>50.75</v>
      </c>
      <c r="N1855" t="s">
        <v>19</v>
      </c>
      <c r="O1855" t="str">
        <f t="shared" si="280"/>
        <v>Low</v>
      </c>
      <c r="P1855" t="str">
        <f t="shared" si="281"/>
        <v>High</v>
      </c>
      <c r="Q1855" t="str">
        <f t="shared" si="282"/>
        <v>High</v>
      </c>
      <c r="R1855" t="s">
        <v>3317</v>
      </c>
      <c r="S1855" s="4">
        <f t="shared" ca="1" si="283"/>
        <v>550</v>
      </c>
      <c r="T1855">
        <f t="shared" si="284"/>
        <v>1</v>
      </c>
      <c r="U1855">
        <f t="shared" si="285"/>
        <v>3</v>
      </c>
      <c r="V1855">
        <f t="shared" si="286"/>
        <v>3</v>
      </c>
      <c r="W1855">
        <f t="shared" si="287"/>
        <v>1</v>
      </c>
      <c r="X1855">
        <f t="shared" si="288"/>
        <v>2</v>
      </c>
      <c r="Y1855" t="str">
        <f t="shared" si="289"/>
        <v>Monitor</v>
      </c>
    </row>
    <row r="1856" spans="1:25" x14ac:dyDescent="0.35">
      <c r="A1856" t="s">
        <v>179</v>
      </c>
      <c r="B1856" t="s">
        <v>180</v>
      </c>
      <c r="C1856" t="s">
        <v>181</v>
      </c>
      <c r="D1856" t="s">
        <v>326</v>
      </c>
      <c r="E1856">
        <v>80822315</v>
      </c>
      <c r="F1856" t="s">
        <v>1479</v>
      </c>
      <c r="G1856" s="3">
        <v>46060</v>
      </c>
      <c r="H1856">
        <v>16</v>
      </c>
      <c r="I1856">
        <v>0</v>
      </c>
      <c r="J1856">
        <v>2</v>
      </c>
      <c r="K1856" s="4">
        <v>1402.62</v>
      </c>
      <c r="L1856" s="4">
        <f>0</f>
        <v>0</v>
      </c>
      <c r="M1856" s="4">
        <f>999</f>
        <v>999</v>
      </c>
      <c r="N1856" t="s">
        <v>19</v>
      </c>
      <c r="O1856" t="str">
        <f t="shared" si="280"/>
        <v>High</v>
      </c>
      <c r="P1856" t="str">
        <f t="shared" si="281"/>
        <v>High</v>
      </c>
      <c r="Q1856" t="str">
        <f t="shared" si="282"/>
        <v>High</v>
      </c>
      <c r="R1856" t="s">
        <v>3317</v>
      </c>
      <c r="S1856" s="4">
        <f t="shared" ca="1" si="283"/>
        <v>-137</v>
      </c>
      <c r="T1856">
        <f t="shared" si="284"/>
        <v>3</v>
      </c>
      <c r="U1856">
        <f t="shared" si="285"/>
        <v>3</v>
      </c>
      <c r="V1856">
        <f t="shared" si="286"/>
        <v>3</v>
      </c>
      <c r="W1856">
        <f t="shared" si="287"/>
        <v>1</v>
      </c>
      <c r="X1856">
        <f t="shared" si="288"/>
        <v>2.8000000000000003</v>
      </c>
      <c r="Y1856" t="str">
        <f t="shared" si="289"/>
        <v>Move Immediately</v>
      </c>
    </row>
    <row r="1857" spans="1:25" x14ac:dyDescent="0.35">
      <c r="A1857" t="s">
        <v>14</v>
      </c>
      <c r="B1857" t="s">
        <v>15</v>
      </c>
      <c r="C1857" t="s">
        <v>34</v>
      </c>
      <c r="D1857" t="s">
        <v>1413</v>
      </c>
      <c r="E1857">
        <v>80753906</v>
      </c>
      <c r="F1857" t="s">
        <v>1480</v>
      </c>
      <c r="G1857" s="3">
        <v>47397</v>
      </c>
      <c r="H1857">
        <v>60</v>
      </c>
      <c r="I1857">
        <v>67</v>
      </c>
      <c r="J1857">
        <v>4</v>
      </c>
      <c r="K1857" s="4">
        <v>1114.24</v>
      </c>
      <c r="L1857" s="4">
        <f>0</f>
        <v>0</v>
      </c>
      <c r="M1857" s="4">
        <f>999</f>
        <v>999</v>
      </c>
      <c r="N1857" t="s">
        <v>19</v>
      </c>
      <c r="O1857" t="str">
        <f t="shared" si="280"/>
        <v>Low</v>
      </c>
      <c r="P1857" t="str">
        <f t="shared" si="281"/>
        <v>High</v>
      </c>
      <c r="Q1857" t="str">
        <f t="shared" si="282"/>
        <v>High</v>
      </c>
      <c r="R1857" t="s">
        <v>3317</v>
      </c>
      <c r="S1857" s="4">
        <f t="shared" ca="1" si="283"/>
        <v>1200</v>
      </c>
      <c r="T1857">
        <f t="shared" si="284"/>
        <v>1</v>
      </c>
      <c r="U1857">
        <f t="shared" si="285"/>
        <v>3</v>
      </c>
      <c r="V1857">
        <f t="shared" si="286"/>
        <v>3</v>
      </c>
      <c r="W1857">
        <f t="shared" si="287"/>
        <v>1</v>
      </c>
      <c r="X1857">
        <f t="shared" si="288"/>
        <v>2</v>
      </c>
      <c r="Y1857" t="str">
        <f t="shared" si="289"/>
        <v>Monitor</v>
      </c>
    </row>
    <row r="1858" spans="1:25" x14ac:dyDescent="0.35">
      <c r="A1858" t="s">
        <v>179</v>
      </c>
      <c r="B1858" t="s">
        <v>180</v>
      </c>
      <c r="C1858" t="s">
        <v>181</v>
      </c>
      <c r="D1858" t="s">
        <v>326</v>
      </c>
      <c r="E1858">
        <v>80822315</v>
      </c>
      <c r="F1858" t="s">
        <v>1479</v>
      </c>
      <c r="G1858" s="3">
        <v>46282</v>
      </c>
      <c r="H1858">
        <v>16</v>
      </c>
      <c r="I1858">
        <v>19</v>
      </c>
      <c r="J1858">
        <v>10</v>
      </c>
      <c r="K1858" s="4">
        <v>7013.1</v>
      </c>
      <c r="L1858" s="4">
        <f>0</f>
        <v>0</v>
      </c>
      <c r="M1858" s="4">
        <f>999</f>
        <v>999</v>
      </c>
      <c r="N1858" t="s">
        <v>19</v>
      </c>
      <c r="O1858" t="str">
        <f t="shared" si="280"/>
        <v>High</v>
      </c>
      <c r="P1858" t="str">
        <f t="shared" si="281"/>
        <v>High</v>
      </c>
      <c r="Q1858" t="str">
        <f t="shared" si="282"/>
        <v>High</v>
      </c>
      <c r="R1858" t="s">
        <v>3317</v>
      </c>
      <c r="S1858" s="4">
        <f t="shared" ca="1" si="283"/>
        <v>85</v>
      </c>
      <c r="T1858">
        <f t="shared" si="284"/>
        <v>3</v>
      </c>
      <c r="U1858">
        <f t="shared" si="285"/>
        <v>3</v>
      </c>
      <c r="V1858">
        <f t="shared" si="286"/>
        <v>3</v>
      </c>
      <c r="W1858">
        <f t="shared" si="287"/>
        <v>1</v>
      </c>
      <c r="X1858">
        <f t="shared" si="288"/>
        <v>2.8000000000000003</v>
      </c>
      <c r="Y1858" t="str">
        <f t="shared" si="289"/>
        <v>Move Immediately</v>
      </c>
    </row>
    <row r="1859" spans="1:25" x14ac:dyDescent="0.35">
      <c r="A1859" t="s">
        <v>179</v>
      </c>
      <c r="B1859" t="s">
        <v>223</v>
      </c>
      <c r="C1859" t="s">
        <v>1300</v>
      </c>
      <c r="D1859" t="s">
        <v>1481</v>
      </c>
      <c r="E1859">
        <v>80815219</v>
      </c>
      <c r="F1859" t="s">
        <v>1482</v>
      </c>
      <c r="G1859" s="3">
        <v>46712</v>
      </c>
      <c r="H1859">
        <v>18</v>
      </c>
      <c r="I1859">
        <v>96</v>
      </c>
      <c r="J1859">
        <v>144</v>
      </c>
      <c r="K1859" s="4">
        <v>24190.560000000001</v>
      </c>
      <c r="L1859" s="4">
        <v>858.42857142857144</v>
      </c>
      <c r="M1859" s="4">
        <v>0.16774837743384921</v>
      </c>
      <c r="N1859" t="s">
        <v>25</v>
      </c>
      <c r="O1859" t="str">
        <f t="shared" ref="O1859:O1922" si="290">IF(I1859&lt;20,"High",IF(I1859&lt;40,"Medium","Low"))</f>
        <v>Low</v>
      </c>
      <c r="P1859" t="str">
        <f t="shared" ref="P1859:P1922" si="291">IF(M1859&gt;8,"High",IF(M1859&gt;4,"Medium","Low"))</f>
        <v>Low</v>
      </c>
      <c r="Q1859" t="str">
        <f t="shared" ref="Q1859:Q1922" si="292">IF(L1859&lt;5,"High",IF(L1859&lt;15,"Medium","Low"))</f>
        <v>Low</v>
      </c>
      <c r="R1859" t="s">
        <v>3317</v>
      </c>
      <c r="S1859" s="4">
        <f t="shared" ref="S1859:S1922" ca="1" si="293">G1859-TODAY()</f>
        <v>515</v>
      </c>
      <c r="T1859">
        <f t="shared" ref="T1859:T1922" si="294">IF(O1859="High",3,IF(O1859="Medium",2,1))</f>
        <v>1</v>
      </c>
      <c r="U1859">
        <f t="shared" ref="U1859:U1922" si="295">IF(P1859="High",3,IF(P1859="Medium",2,1))</f>
        <v>1</v>
      </c>
      <c r="V1859">
        <f t="shared" ref="V1859:V1922" si="296">IF(Q1859="High",3,IF(Q1859="Medium",2,1))</f>
        <v>1</v>
      </c>
      <c r="W1859">
        <f t="shared" ref="W1859:W1922" si="297">IF(R1859="High",3,IF(R1859="Medium",2,1))</f>
        <v>1</v>
      </c>
      <c r="X1859">
        <f t="shared" ref="X1859:X1922" si="298">(0.4*T1859)+(0.3*U1859)+(0.2*V1859)+(0.1*W1859)</f>
        <v>0.99999999999999989</v>
      </c>
      <c r="Y1859" t="str">
        <f t="shared" ref="Y1859:Y1922" si="299">IF(X1859&gt;=2.7,"Move Immediately",IF(X1859&gt;=2.2,"High Priority",IF(X1859&gt;=1.7,"Monitor","Healthy")))</f>
        <v>Healthy</v>
      </c>
    </row>
    <row r="1860" spans="1:25" x14ac:dyDescent="0.35">
      <c r="A1860" t="s">
        <v>14</v>
      </c>
      <c r="B1860" t="s">
        <v>15</v>
      </c>
      <c r="C1860" t="s">
        <v>16</v>
      </c>
      <c r="D1860" t="s">
        <v>1483</v>
      </c>
      <c r="E1860">
        <v>80753937</v>
      </c>
      <c r="F1860" t="s">
        <v>1484</v>
      </c>
      <c r="G1860" s="3">
        <v>47429</v>
      </c>
      <c r="H1860">
        <v>60</v>
      </c>
      <c r="I1860">
        <v>69</v>
      </c>
      <c r="J1860">
        <v>9</v>
      </c>
      <c r="K1860" s="4">
        <v>2306.52</v>
      </c>
      <c r="L1860" s="4">
        <v>3.5714285714285716</v>
      </c>
      <c r="M1860" s="4">
        <v>2.52</v>
      </c>
      <c r="N1860" t="s">
        <v>25</v>
      </c>
      <c r="O1860" t="str">
        <f t="shared" si="290"/>
        <v>Low</v>
      </c>
      <c r="P1860" t="str">
        <f t="shared" si="291"/>
        <v>Low</v>
      </c>
      <c r="Q1860" t="str">
        <f t="shared" si="292"/>
        <v>High</v>
      </c>
      <c r="R1860" t="s">
        <v>3317</v>
      </c>
      <c r="S1860" s="4">
        <f t="shared" ca="1" si="293"/>
        <v>1232</v>
      </c>
      <c r="T1860">
        <f t="shared" si="294"/>
        <v>1</v>
      </c>
      <c r="U1860">
        <f t="shared" si="295"/>
        <v>1</v>
      </c>
      <c r="V1860">
        <f t="shared" si="296"/>
        <v>3</v>
      </c>
      <c r="W1860">
        <f t="shared" si="297"/>
        <v>1</v>
      </c>
      <c r="X1860">
        <f t="shared" si="298"/>
        <v>1.4000000000000001</v>
      </c>
      <c r="Y1860" t="str">
        <f t="shared" si="299"/>
        <v>Healthy</v>
      </c>
    </row>
    <row r="1861" spans="1:25" x14ac:dyDescent="0.35">
      <c r="A1861" t="s">
        <v>179</v>
      </c>
      <c r="B1861" t="s">
        <v>223</v>
      </c>
      <c r="C1861" t="s">
        <v>1300</v>
      </c>
      <c r="D1861" t="s">
        <v>1481</v>
      </c>
      <c r="E1861">
        <v>80815219</v>
      </c>
      <c r="F1861" t="s">
        <v>1482</v>
      </c>
      <c r="G1861" s="3">
        <v>46712</v>
      </c>
      <c r="H1861">
        <v>18</v>
      </c>
      <c r="I1861">
        <v>96</v>
      </c>
      <c r="J1861">
        <v>48</v>
      </c>
      <c r="K1861" s="4">
        <v>8063.52</v>
      </c>
      <c r="L1861" s="4">
        <v>858.42857142857144</v>
      </c>
      <c r="M1861" s="4">
        <v>5.5916125811283073E-2</v>
      </c>
      <c r="N1861" t="s">
        <v>25</v>
      </c>
      <c r="O1861" t="str">
        <f t="shared" si="290"/>
        <v>Low</v>
      </c>
      <c r="P1861" t="str">
        <f t="shared" si="291"/>
        <v>Low</v>
      </c>
      <c r="Q1861" t="str">
        <f t="shared" si="292"/>
        <v>Low</v>
      </c>
      <c r="R1861" t="s">
        <v>3317</v>
      </c>
      <c r="S1861" s="4">
        <f t="shared" ca="1" si="293"/>
        <v>515</v>
      </c>
      <c r="T1861">
        <f t="shared" si="294"/>
        <v>1</v>
      </c>
      <c r="U1861">
        <f t="shared" si="295"/>
        <v>1</v>
      </c>
      <c r="V1861">
        <f t="shared" si="296"/>
        <v>1</v>
      </c>
      <c r="W1861">
        <f t="shared" si="297"/>
        <v>1</v>
      </c>
      <c r="X1861">
        <f t="shared" si="298"/>
        <v>0.99999999999999989</v>
      </c>
      <c r="Y1861" t="str">
        <f t="shared" si="299"/>
        <v>Healthy</v>
      </c>
    </row>
    <row r="1862" spans="1:25" x14ac:dyDescent="0.35">
      <c r="A1862" t="s">
        <v>71</v>
      </c>
      <c r="B1862" t="s">
        <v>72</v>
      </c>
      <c r="C1862" t="s">
        <v>174</v>
      </c>
      <c r="D1862" t="s">
        <v>1485</v>
      </c>
      <c r="E1862">
        <v>80774645</v>
      </c>
      <c r="F1862" t="s">
        <v>1486</v>
      </c>
      <c r="G1862" s="3">
        <v>46438</v>
      </c>
      <c r="H1862">
        <v>36</v>
      </c>
      <c r="I1862">
        <v>23</v>
      </c>
      <c r="J1862">
        <v>6</v>
      </c>
      <c r="K1862" s="4">
        <v>4041.48</v>
      </c>
      <c r="L1862" s="4">
        <f>0</f>
        <v>0</v>
      </c>
      <c r="M1862" s="4">
        <f>999</f>
        <v>999</v>
      </c>
      <c r="N1862" t="s">
        <v>19</v>
      </c>
      <c r="O1862" t="str">
        <f t="shared" si="290"/>
        <v>Medium</v>
      </c>
      <c r="P1862" t="str">
        <f t="shared" si="291"/>
        <v>High</v>
      </c>
      <c r="Q1862" t="str">
        <f t="shared" si="292"/>
        <v>High</v>
      </c>
      <c r="R1862" t="s">
        <v>3317</v>
      </c>
      <c r="S1862" s="4">
        <f t="shared" ca="1" si="293"/>
        <v>241</v>
      </c>
      <c r="T1862">
        <f t="shared" si="294"/>
        <v>2</v>
      </c>
      <c r="U1862">
        <f t="shared" si="295"/>
        <v>3</v>
      </c>
      <c r="V1862">
        <f t="shared" si="296"/>
        <v>3</v>
      </c>
      <c r="W1862">
        <f t="shared" si="297"/>
        <v>1</v>
      </c>
      <c r="X1862">
        <f t="shared" si="298"/>
        <v>2.4</v>
      </c>
      <c r="Y1862" t="str">
        <f t="shared" si="299"/>
        <v>High Priority</v>
      </c>
    </row>
    <row r="1863" spans="1:25" x14ac:dyDescent="0.35">
      <c r="A1863" t="s">
        <v>71</v>
      </c>
      <c r="B1863" t="s">
        <v>72</v>
      </c>
      <c r="C1863" t="s">
        <v>174</v>
      </c>
      <c r="D1863" t="s">
        <v>1485</v>
      </c>
      <c r="E1863">
        <v>80774645</v>
      </c>
      <c r="F1863" t="s">
        <v>1486</v>
      </c>
      <c r="G1863" s="3">
        <v>46636</v>
      </c>
      <c r="H1863">
        <v>36</v>
      </c>
      <c r="I1863">
        <v>41</v>
      </c>
      <c r="J1863">
        <v>5</v>
      </c>
      <c r="K1863" s="4">
        <v>3367.9</v>
      </c>
      <c r="L1863" s="4">
        <f>0</f>
        <v>0</v>
      </c>
      <c r="M1863" s="4">
        <f>999</f>
        <v>999</v>
      </c>
      <c r="N1863" t="s">
        <v>19</v>
      </c>
      <c r="O1863" t="str">
        <f t="shared" si="290"/>
        <v>Low</v>
      </c>
      <c r="P1863" t="str">
        <f t="shared" si="291"/>
        <v>High</v>
      </c>
      <c r="Q1863" t="str">
        <f t="shared" si="292"/>
        <v>High</v>
      </c>
      <c r="R1863" t="s">
        <v>3317</v>
      </c>
      <c r="S1863" s="4">
        <f t="shared" ca="1" si="293"/>
        <v>439</v>
      </c>
      <c r="T1863">
        <f t="shared" si="294"/>
        <v>1</v>
      </c>
      <c r="U1863">
        <f t="shared" si="295"/>
        <v>3</v>
      </c>
      <c r="V1863">
        <f t="shared" si="296"/>
        <v>3</v>
      </c>
      <c r="W1863">
        <f t="shared" si="297"/>
        <v>1</v>
      </c>
      <c r="X1863">
        <f t="shared" si="298"/>
        <v>2</v>
      </c>
      <c r="Y1863" t="str">
        <f t="shared" si="299"/>
        <v>Monitor</v>
      </c>
    </row>
    <row r="1864" spans="1:25" x14ac:dyDescent="0.35">
      <c r="A1864" t="s">
        <v>71</v>
      </c>
      <c r="B1864" t="s">
        <v>72</v>
      </c>
      <c r="C1864" t="s">
        <v>174</v>
      </c>
      <c r="D1864" t="s">
        <v>761</v>
      </c>
      <c r="E1864">
        <v>80774675</v>
      </c>
      <c r="F1864" t="s">
        <v>1487</v>
      </c>
      <c r="G1864" s="3">
        <v>46371</v>
      </c>
      <c r="H1864">
        <v>36</v>
      </c>
      <c r="I1864">
        <v>17</v>
      </c>
      <c r="J1864">
        <v>1</v>
      </c>
      <c r="K1864" s="4">
        <v>1936.92</v>
      </c>
      <c r="L1864" s="4">
        <f>0</f>
        <v>0</v>
      </c>
      <c r="M1864" s="4">
        <f>999</f>
        <v>999</v>
      </c>
      <c r="N1864" t="s">
        <v>19</v>
      </c>
      <c r="O1864" t="str">
        <f t="shared" si="290"/>
        <v>High</v>
      </c>
      <c r="P1864" t="str">
        <f t="shared" si="291"/>
        <v>High</v>
      </c>
      <c r="Q1864" t="str">
        <f t="shared" si="292"/>
        <v>High</v>
      </c>
      <c r="R1864" t="s">
        <v>3317</v>
      </c>
      <c r="S1864" s="4">
        <f t="shared" ca="1" si="293"/>
        <v>174</v>
      </c>
      <c r="T1864">
        <f t="shared" si="294"/>
        <v>3</v>
      </c>
      <c r="U1864">
        <f t="shared" si="295"/>
        <v>3</v>
      </c>
      <c r="V1864">
        <f t="shared" si="296"/>
        <v>3</v>
      </c>
      <c r="W1864">
        <f t="shared" si="297"/>
        <v>1</v>
      </c>
      <c r="X1864">
        <f t="shared" si="298"/>
        <v>2.8000000000000003</v>
      </c>
      <c r="Y1864" t="str">
        <f t="shared" si="299"/>
        <v>Move Immediately</v>
      </c>
    </row>
    <row r="1865" spans="1:25" x14ac:dyDescent="0.35">
      <c r="A1865" t="s">
        <v>41</v>
      </c>
      <c r="B1865" t="s">
        <v>42</v>
      </c>
      <c r="C1865" t="s">
        <v>365</v>
      </c>
      <c r="D1865" t="s">
        <v>508</v>
      </c>
      <c r="E1865">
        <v>80798912</v>
      </c>
      <c r="F1865" t="s">
        <v>1488</v>
      </c>
      <c r="G1865" s="3">
        <v>46576</v>
      </c>
      <c r="H1865">
        <v>36</v>
      </c>
      <c r="I1865">
        <v>36</v>
      </c>
      <c r="J1865">
        <v>26</v>
      </c>
      <c r="K1865" s="4">
        <v>9257.56</v>
      </c>
      <c r="L1865" s="4">
        <v>2</v>
      </c>
      <c r="M1865" s="4">
        <v>13</v>
      </c>
      <c r="N1865" t="s">
        <v>19</v>
      </c>
      <c r="O1865" t="str">
        <f t="shared" si="290"/>
        <v>Medium</v>
      </c>
      <c r="P1865" t="str">
        <f t="shared" si="291"/>
        <v>High</v>
      </c>
      <c r="Q1865" t="str">
        <f t="shared" si="292"/>
        <v>High</v>
      </c>
      <c r="R1865" t="s">
        <v>3317</v>
      </c>
      <c r="S1865" s="4">
        <f t="shared" ca="1" si="293"/>
        <v>379</v>
      </c>
      <c r="T1865">
        <f t="shared" si="294"/>
        <v>2</v>
      </c>
      <c r="U1865">
        <f t="shared" si="295"/>
        <v>3</v>
      </c>
      <c r="V1865">
        <f t="shared" si="296"/>
        <v>3</v>
      </c>
      <c r="W1865">
        <f t="shared" si="297"/>
        <v>1</v>
      </c>
      <c r="X1865">
        <f t="shared" si="298"/>
        <v>2.4</v>
      </c>
      <c r="Y1865" t="str">
        <f t="shared" si="299"/>
        <v>High Priority</v>
      </c>
    </row>
    <row r="1866" spans="1:25" x14ac:dyDescent="0.35">
      <c r="A1866" t="s">
        <v>41</v>
      </c>
      <c r="B1866" t="s">
        <v>42</v>
      </c>
      <c r="C1866" t="s">
        <v>43</v>
      </c>
      <c r="D1866" t="s">
        <v>384</v>
      </c>
      <c r="E1866">
        <v>80778994</v>
      </c>
      <c r="F1866" t="s">
        <v>1489</v>
      </c>
      <c r="G1866" s="3">
        <v>46601</v>
      </c>
      <c r="H1866">
        <v>36</v>
      </c>
      <c r="I1866">
        <v>38</v>
      </c>
      <c r="J1866">
        <v>5</v>
      </c>
      <c r="K1866" s="4">
        <v>3042.75</v>
      </c>
      <c r="L1866" s="4">
        <v>1.7142857142857142</v>
      </c>
      <c r="M1866" s="4">
        <v>2.916666666666667</v>
      </c>
      <c r="N1866" t="s">
        <v>25</v>
      </c>
      <c r="O1866" t="str">
        <f t="shared" si="290"/>
        <v>Medium</v>
      </c>
      <c r="P1866" t="str">
        <f t="shared" si="291"/>
        <v>Low</v>
      </c>
      <c r="Q1866" t="str">
        <f t="shared" si="292"/>
        <v>High</v>
      </c>
      <c r="R1866" t="s">
        <v>3317</v>
      </c>
      <c r="S1866" s="4">
        <f t="shared" ca="1" si="293"/>
        <v>404</v>
      </c>
      <c r="T1866">
        <f t="shared" si="294"/>
        <v>2</v>
      </c>
      <c r="U1866">
        <f t="shared" si="295"/>
        <v>1</v>
      </c>
      <c r="V1866">
        <f t="shared" si="296"/>
        <v>3</v>
      </c>
      <c r="W1866">
        <f t="shared" si="297"/>
        <v>1</v>
      </c>
      <c r="X1866">
        <f t="shared" si="298"/>
        <v>1.8000000000000003</v>
      </c>
      <c r="Y1866" t="str">
        <f t="shared" si="299"/>
        <v>Monitor</v>
      </c>
    </row>
    <row r="1867" spans="1:25" x14ac:dyDescent="0.35">
      <c r="A1867" t="s">
        <v>179</v>
      </c>
      <c r="B1867" t="s">
        <v>180</v>
      </c>
      <c r="C1867" t="s">
        <v>181</v>
      </c>
      <c r="D1867" t="s">
        <v>1490</v>
      </c>
      <c r="E1867">
        <v>80772367</v>
      </c>
      <c r="F1867" t="s">
        <v>1491</v>
      </c>
      <c r="G1867" s="3">
        <v>45980</v>
      </c>
      <c r="H1867">
        <v>16</v>
      </c>
      <c r="I1867">
        <v>0</v>
      </c>
      <c r="J1867">
        <v>6</v>
      </c>
      <c r="K1867" s="4">
        <v>2341.2600000000002</v>
      </c>
      <c r="L1867" s="4">
        <v>0.2857142857142857</v>
      </c>
      <c r="M1867" s="4">
        <v>21</v>
      </c>
      <c r="N1867" t="s">
        <v>19</v>
      </c>
      <c r="O1867" t="str">
        <f t="shared" si="290"/>
        <v>High</v>
      </c>
      <c r="P1867" t="str">
        <f t="shared" si="291"/>
        <v>High</v>
      </c>
      <c r="Q1867" t="str">
        <f t="shared" si="292"/>
        <v>High</v>
      </c>
      <c r="R1867" t="s">
        <v>3317</v>
      </c>
      <c r="S1867" s="4">
        <f t="shared" ca="1" si="293"/>
        <v>-217</v>
      </c>
      <c r="T1867">
        <f t="shared" si="294"/>
        <v>3</v>
      </c>
      <c r="U1867">
        <f t="shared" si="295"/>
        <v>3</v>
      </c>
      <c r="V1867">
        <f t="shared" si="296"/>
        <v>3</v>
      </c>
      <c r="W1867">
        <f t="shared" si="297"/>
        <v>1</v>
      </c>
      <c r="X1867">
        <f t="shared" si="298"/>
        <v>2.8000000000000003</v>
      </c>
      <c r="Y1867" t="str">
        <f t="shared" si="299"/>
        <v>Move Immediately</v>
      </c>
    </row>
    <row r="1868" spans="1:25" x14ac:dyDescent="0.35">
      <c r="A1868" t="s">
        <v>179</v>
      </c>
      <c r="B1868" t="s">
        <v>180</v>
      </c>
      <c r="C1868" t="s">
        <v>181</v>
      </c>
      <c r="D1868" t="s">
        <v>1490</v>
      </c>
      <c r="E1868">
        <v>80772367</v>
      </c>
      <c r="F1868" t="s">
        <v>1491</v>
      </c>
      <c r="G1868" s="3">
        <v>46240</v>
      </c>
      <c r="H1868">
        <v>16</v>
      </c>
      <c r="I1868">
        <v>10</v>
      </c>
      <c r="J1868">
        <v>12</v>
      </c>
      <c r="K1868" s="4">
        <v>4682.5200000000004</v>
      </c>
      <c r="L1868" s="4">
        <v>0.2857142857142857</v>
      </c>
      <c r="M1868" s="4">
        <v>42</v>
      </c>
      <c r="N1868" t="s">
        <v>19</v>
      </c>
      <c r="O1868" t="str">
        <f t="shared" si="290"/>
        <v>High</v>
      </c>
      <c r="P1868" t="str">
        <f t="shared" si="291"/>
        <v>High</v>
      </c>
      <c r="Q1868" t="str">
        <f t="shared" si="292"/>
        <v>High</v>
      </c>
      <c r="R1868" t="s">
        <v>3317</v>
      </c>
      <c r="S1868" s="4">
        <f t="shared" ca="1" si="293"/>
        <v>43</v>
      </c>
      <c r="T1868">
        <f t="shared" si="294"/>
        <v>3</v>
      </c>
      <c r="U1868">
        <f t="shared" si="295"/>
        <v>3</v>
      </c>
      <c r="V1868">
        <f t="shared" si="296"/>
        <v>3</v>
      </c>
      <c r="W1868">
        <f t="shared" si="297"/>
        <v>1</v>
      </c>
      <c r="X1868">
        <f t="shared" si="298"/>
        <v>2.8000000000000003</v>
      </c>
      <c r="Y1868" t="str">
        <f t="shared" si="299"/>
        <v>Move Immediately</v>
      </c>
    </row>
    <row r="1869" spans="1:25" x14ac:dyDescent="0.35">
      <c r="A1869" t="s">
        <v>71</v>
      </c>
      <c r="B1869" t="s">
        <v>72</v>
      </c>
      <c r="C1869" t="s">
        <v>174</v>
      </c>
      <c r="D1869" t="s">
        <v>1485</v>
      </c>
      <c r="E1869">
        <v>80829191</v>
      </c>
      <c r="F1869" t="s">
        <v>1492</v>
      </c>
      <c r="G1869" s="3">
        <v>46942</v>
      </c>
      <c r="H1869">
        <v>36</v>
      </c>
      <c r="I1869">
        <v>69</v>
      </c>
      <c r="J1869">
        <v>47</v>
      </c>
      <c r="K1869" s="4">
        <v>31583.06</v>
      </c>
      <c r="L1869" s="4">
        <v>36.142857142857146</v>
      </c>
      <c r="M1869" s="4">
        <v>1.3003952569169959</v>
      </c>
      <c r="N1869" t="s">
        <v>25</v>
      </c>
      <c r="O1869" t="str">
        <f t="shared" si="290"/>
        <v>Low</v>
      </c>
      <c r="P1869" t="str">
        <f t="shared" si="291"/>
        <v>Low</v>
      </c>
      <c r="Q1869" t="str">
        <f t="shared" si="292"/>
        <v>Low</v>
      </c>
      <c r="R1869" t="s">
        <v>3317</v>
      </c>
      <c r="S1869" s="4">
        <f t="shared" ca="1" si="293"/>
        <v>745</v>
      </c>
      <c r="T1869">
        <f t="shared" si="294"/>
        <v>1</v>
      </c>
      <c r="U1869">
        <f t="shared" si="295"/>
        <v>1</v>
      </c>
      <c r="V1869">
        <f t="shared" si="296"/>
        <v>1</v>
      </c>
      <c r="W1869">
        <f t="shared" si="297"/>
        <v>1</v>
      </c>
      <c r="X1869">
        <f t="shared" si="298"/>
        <v>0.99999999999999989</v>
      </c>
      <c r="Y1869" t="str">
        <f t="shared" si="299"/>
        <v>Healthy</v>
      </c>
    </row>
    <row r="1870" spans="1:25" x14ac:dyDescent="0.35">
      <c r="A1870" t="s">
        <v>71</v>
      </c>
      <c r="B1870" t="s">
        <v>72</v>
      </c>
      <c r="C1870" t="s">
        <v>174</v>
      </c>
      <c r="D1870" t="s">
        <v>761</v>
      </c>
      <c r="E1870">
        <v>80829206</v>
      </c>
      <c r="F1870" t="s">
        <v>1493</v>
      </c>
      <c r="G1870" s="3">
        <v>46944</v>
      </c>
      <c r="H1870">
        <v>36</v>
      </c>
      <c r="I1870">
        <v>70</v>
      </c>
      <c r="J1870">
        <v>2</v>
      </c>
      <c r="K1870" s="4">
        <v>4150.0200000000004</v>
      </c>
      <c r="L1870" s="4">
        <f>0</f>
        <v>0</v>
      </c>
      <c r="M1870" s="4">
        <f>999</f>
        <v>999</v>
      </c>
      <c r="N1870" t="s">
        <v>19</v>
      </c>
      <c r="O1870" t="str">
        <f t="shared" si="290"/>
        <v>Low</v>
      </c>
      <c r="P1870" t="str">
        <f t="shared" si="291"/>
        <v>High</v>
      </c>
      <c r="Q1870" t="str">
        <f t="shared" si="292"/>
        <v>High</v>
      </c>
      <c r="R1870" t="s">
        <v>3317</v>
      </c>
      <c r="S1870" s="4">
        <f t="shared" ca="1" si="293"/>
        <v>747</v>
      </c>
      <c r="T1870">
        <f t="shared" si="294"/>
        <v>1</v>
      </c>
      <c r="U1870">
        <f t="shared" si="295"/>
        <v>3</v>
      </c>
      <c r="V1870">
        <f t="shared" si="296"/>
        <v>3</v>
      </c>
      <c r="W1870">
        <f t="shared" si="297"/>
        <v>1</v>
      </c>
      <c r="X1870">
        <f t="shared" si="298"/>
        <v>2</v>
      </c>
      <c r="Y1870" t="str">
        <f t="shared" si="299"/>
        <v>Monitor</v>
      </c>
    </row>
    <row r="1871" spans="1:25" x14ac:dyDescent="0.35">
      <c r="A1871" t="s">
        <v>41</v>
      </c>
      <c r="B1871" t="s">
        <v>54</v>
      </c>
      <c r="C1871" t="s">
        <v>55</v>
      </c>
      <c r="D1871" t="s">
        <v>1494</v>
      </c>
      <c r="E1871">
        <v>80838124</v>
      </c>
      <c r="F1871" t="s">
        <v>1495</v>
      </c>
      <c r="G1871" s="3">
        <v>46912</v>
      </c>
      <c r="H1871">
        <v>36</v>
      </c>
      <c r="I1871">
        <v>67</v>
      </c>
      <c r="J1871">
        <v>3</v>
      </c>
      <c r="K1871" s="4">
        <v>193.74</v>
      </c>
      <c r="L1871" s="4">
        <f>0</f>
        <v>0</v>
      </c>
      <c r="M1871" s="4">
        <f>999</f>
        <v>999</v>
      </c>
      <c r="N1871" t="s">
        <v>19</v>
      </c>
      <c r="O1871" t="str">
        <f t="shared" si="290"/>
        <v>Low</v>
      </c>
      <c r="P1871" t="str">
        <f t="shared" si="291"/>
        <v>High</v>
      </c>
      <c r="Q1871" t="str">
        <f t="shared" si="292"/>
        <v>High</v>
      </c>
      <c r="R1871" t="s">
        <v>3317</v>
      </c>
      <c r="S1871" s="4">
        <f t="shared" ca="1" si="293"/>
        <v>715</v>
      </c>
      <c r="T1871">
        <f t="shared" si="294"/>
        <v>1</v>
      </c>
      <c r="U1871">
        <f t="shared" si="295"/>
        <v>3</v>
      </c>
      <c r="V1871">
        <f t="shared" si="296"/>
        <v>3</v>
      </c>
      <c r="W1871">
        <f t="shared" si="297"/>
        <v>1</v>
      </c>
      <c r="X1871">
        <f t="shared" si="298"/>
        <v>2</v>
      </c>
      <c r="Y1871" t="str">
        <f t="shared" si="299"/>
        <v>Monitor</v>
      </c>
    </row>
    <row r="1872" spans="1:25" x14ac:dyDescent="0.35">
      <c r="A1872" t="s">
        <v>189</v>
      </c>
      <c r="B1872" t="s">
        <v>539</v>
      </c>
      <c r="C1872" t="s">
        <v>539</v>
      </c>
      <c r="D1872" t="s">
        <v>1098</v>
      </c>
      <c r="E1872">
        <v>80786674</v>
      </c>
      <c r="F1872" t="s">
        <v>1496</v>
      </c>
      <c r="G1872" s="3">
        <v>46144</v>
      </c>
      <c r="H1872">
        <v>24</v>
      </c>
      <c r="I1872">
        <v>0</v>
      </c>
      <c r="J1872">
        <v>20</v>
      </c>
      <c r="K1872" s="4">
        <v>22556.400000000001</v>
      </c>
      <c r="L1872" s="4">
        <f>0</f>
        <v>0</v>
      </c>
      <c r="M1872" s="4">
        <f>999</f>
        <v>999</v>
      </c>
      <c r="N1872" t="s">
        <v>19</v>
      </c>
      <c r="O1872" t="str">
        <f t="shared" si="290"/>
        <v>High</v>
      </c>
      <c r="P1872" t="str">
        <f t="shared" si="291"/>
        <v>High</v>
      </c>
      <c r="Q1872" t="str">
        <f t="shared" si="292"/>
        <v>High</v>
      </c>
      <c r="R1872" t="s">
        <v>3317</v>
      </c>
      <c r="S1872" s="4">
        <f t="shared" ca="1" si="293"/>
        <v>-53</v>
      </c>
      <c r="T1872">
        <f t="shared" si="294"/>
        <v>3</v>
      </c>
      <c r="U1872">
        <f t="shared" si="295"/>
        <v>3</v>
      </c>
      <c r="V1872">
        <f t="shared" si="296"/>
        <v>3</v>
      </c>
      <c r="W1872">
        <f t="shared" si="297"/>
        <v>1</v>
      </c>
      <c r="X1872">
        <f t="shared" si="298"/>
        <v>2.8000000000000003</v>
      </c>
      <c r="Y1872" t="str">
        <f t="shared" si="299"/>
        <v>Move Immediately</v>
      </c>
    </row>
    <row r="1873" spans="1:25" x14ac:dyDescent="0.35">
      <c r="A1873" t="s">
        <v>41</v>
      </c>
      <c r="B1873" t="s">
        <v>42</v>
      </c>
      <c r="C1873" t="s">
        <v>43</v>
      </c>
      <c r="D1873" t="s">
        <v>384</v>
      </c>
      <c r="E1873">
        <v>80839851</v>
      </c>
      <c r="F1873" t="s">
        <v>1497</v>
      </c>
      <c r="G1873" s="3">
        <v>47010</v>
      </c>
      <c r="H1873">
        <v>36</v>
      </c>
      <c r="I1873">
        <v>76</v>
      </c>
      <c r="J1873">
        <v>1</v>
      </c>
      <c r="K1873" s="4">
        <v>684.84</v>
      </c>
      <c r="L1873" s="4">
        <v>37.428571428571431</v>
      </c>
      <c r="M1873" s="4">
        <v>2.6717557251908396E-2</v>
      </c>
      <c r="N1873" t="s">
        <v>25</v>
      </c>
      <c r="O1873" t="str">
        <f t="shared" si="290"/>
        <v>Low</v>
      </c>
      <c r="P1873" t="str">
        <f t="shared" si="291"/>
        <v>Low</v>
      </c>
      <c r="Q1873" t="str">
        <f t="shared" si="292"/>
        <v>Low</v>
      </c>
      <c r="R1873" t="s">
        <v>3317</v>
      </c>
      <c r="S1873" s="4">
        <f t="shared" ca="1" si="293"/>
        <v>813</v>
      </c>
      <c r="T1873">
        <f t="shared" si="294"/>
        <v>1</v>
      </c>
      <c r="U1873">
        <f t="shared" si="295"/>
        <v>1</v>
      </c>
      <c r="V1873">
        <f t="shared" si="296"/>
        <v>1</v>
      </c>
      <c r="W1873">
        <f t="shared" si="297"/>
        <v>1</v>
      </c>
      <c r="X1873">
        <f t="shared" si="298"/>
        <v>0.99999999999999989</v>
      </c>
      <c r="Y1873" t="str">
        <f t="shared" si="299"/>
        <v>Healthy</v>
      </c>
    </row>
    <row r="1874" spans="1:25" x14ac:dyDescent="0.35">
      <c r="A1874" t="s">
        <v>20</v>
      </c>
      <c r="B1874" t="s">
        <v>21</v>
      </c>
      <c r="C1874" t="s">
        <v>133</v>
      </c>
      <c r="D1874" t="s">
        <v>1498</v>
      </c>
      <c r="E1874">
        <v>80823170</v>
      </c>
      <c r="F1874" t="s">
        <v>1499</v>
      </c>
      <c r="G1874" s="3">
        <v>46942</v>
      </c>
      <c r="H1874">
        <v>36</v>
      </c>
      <c r="I1874">
        <v>69</v>
      </c>
      <c r="J1874">
        <v>42</v>
      </c>
      <c r="K1874" s="4">
        <v>86858.94</v>
      </c>
      <c r="L1874" s="4">
        <v>156.28571428571428</v>
      </c>
      <c r="M1874" s="4">
        <v>0.26873857404021939</v>
      </c>
      <c r="N1874" t="s">
        <v>25</v>
      </c>
      <c r="O1874" t="str">
        <f t="shared" si="290"/>
        <v>Low</v>
      </c>
      <c r="P1874" t="str">
        <f t="shared" si="291"/>
        <v>Low</v>
      </c>
      <c r="Q1874" t="str">
        <f t="shared" si="292"/>
        <v>Low</v>
      </c>
      <c r="R1874" t="s">
        <v>3310</v>
      </c>
      <c r="S1874" s="4">
        <f t="shared" ca="1" si="293"/>
        <v>745</v>
      </c>
      <c r="T1874">
        <f t="shared" si="294"/>
        <v>1</v>
      </c>
      <c r="U1874">
        <f t="shared" si="295"/>
        <v>1</v>
      </c>
      <c r="V1874">
        <f t="shared" si="296"/>
        <v>1</v>
      </c>
      <c r="W1874">
        <f t="shared" si="297"/>
        <v>2</v>
      </c>
      <c r="X1874">
        <f t="shared" si="298"/>
        <v>1.0999999999999999</v>
      </c>
      <c r="Y1874" t="str">
        <f t="shared" si="299"/>
        <v>Healthy</v>
      </c>
    </row>
    <row r="1875" spans="1:25" x14ac:dyDescent="0.35">
      <c r="A1875" t="s">
        <v>20</v>
      </c>
      <c r="B1875" t="s">
        <v>21</v>
      </c>
      <c r="C1875" t="s">
        <v>133</v>
      </c>
      <c r="D1875" t="s">
        <v>1498</v>
      </c>
      <c r="E1875">
        <v>80823170</v>
      </c>
      <c r="F1875" t="s">
        <v>1499</v>
      </c>
      <c r="G1875" s="3">
        <v>46916</v>
      </c>
      <c r="H1875">
        <v>36</v>
      </c>
      <c r="I1875">
        <v>67</v>
      </c>
      <c r="J1875">
        <v>6</v>
      </c>
      <c r="K1875" s="4">
        <v>12408.42</v>
      </c>
      <c r="L1875" s="4">
        <v>156.28571428571428</v>
      </c>
      <c r="M1875" s="4">
        <v>3.8391224862888484E-2</v>
      </c>
      <c r="N1875" t="s">
        <v>25</v>
      </c>
      <c r="O1875" t="str">
        <f t="shared" si="290"/>
        <v>Low</v>
      </c>
      <c r="P1875" t="str">
        <f t="shared" si="291"/>
        <v>Low</v>
      </c>
      <c r="Q1875" t="str">
        <f t="shared" si="292"/>
        <v>Low</v>
      </c>
      <c r="R1875" t="s">
        <v>3317</v>
      </c>
      <c r="S1875" s="4">
        <f t="shared" ca="1" si="293"/>
        <v>719</v>
      </c>
      <c r="T1875">
        <f t="shared" si="294"/>
        <v>1</v>
      </c>
      <c r="U1875">
        <f t="shared" si="295"/>
        <v>1</v>
      </c>
      <c r="V1875">
        <f t="shared" si="296"/>
        <v>1</v>
      </c>
      <c r="W1875">
        <f t="shared" si="297"/>
        <v>1</v>
      </c>
      <c r="X1875">
        <f t="shared" si="298"/>
        <v>0.99999999999999989</v>
      </c>
      <c r="Y1875" t="str">
        <f t="shared" si="299"/>
        <v>Healthy</v>
      </c>
    </row>
    <row r="1876" spans="1:25" x14ac:dyDescent="0.35">
      <c r="A1876" t="s">
        <v>41</v>
      </c>
      <c r="B1876" t="s">
        <v>80</v>
      </c>
      <c r="C1876" t="s">
        <v>502</v>
      </c>
      <c r="D1876" t="s">
        <v>1500</v>
      </c>
      <c r="E1876">
        <v>80792063</v>
      </c>
      <c r="F1876" t="s">
        <v>1501</v>
      </c>
      <c r="G1876" s="3">
        <v>46558</v>
      </c>
      <c r="H1876">
        <v>36</v>
      </c>
      <c r="I1876">
        <v>34</v>
      </c>
      <c r="J1876">
        <v>3</v>
      </c>
      <c r="K1876" s="4">
        <v>1403.97</v>
      </c>
      <c r="L1876" s="4">
        <v>0.8571428571428571</v>
      </c>
      <c r="M1876" s="4">
        <v>3.5</v>
      </c>
      <c r="N1876" t="s">
        <v>25</v>
      </c>
      <c r="O1876" t="str">
        <f t="shared" si="290"/>
        <v>Medium</v>
      </c>
      <c r="P1876" t="str">
        <f t="shared" si="291"/>
        <v>Low</v>
      </c>
      <c r="Q1876" t="str">
        <f t="shared" si="292"/>
        <v>High</v>
      </c>
      <c r="R1876" t="s">
        <v>3317</v>
      </c>
      <c r="S1876" s="4">
        <f t="shared" ca="1" si="293"/>
        <v>361</v>
      </c>
      <c r="T1876">
        <f t="shared" si="294"/>
        <v>2</v>
      </c>
      <c r="U1876">
        <f t="shared" si="295"/>
        <v>1</v>
      </c>
      <c r="V1876">
        <f t="shared" si="296"/>
        <v>3</v>
      </c>
      <c r="W1876">
        <f t="shared" si="297"/>
        <v>1</v>
      </c>
      <c r="X1876">
        <f t="shared" si="298"/>
        <v>1.8000000000000003</v>
      </c>
      <c r="Y1876" t="str">
        <f t="shared" si="299"/>
        <v>Monitor</v>
      </c>
    </row>
    <row r="1877" spans="1:25" x14ac:dyDescent="0.35">
      <c r="A1877" t="s">
        <v>20</v>
      </c>
      <c r="B1877" t="s">
        <v>21</v>
      </c>
      <c r="C1877" t="s">
        <v>133</v>
      </c>
      <c r="D1877" t="s">
        <v>1498</v>
      </c>
      <c r="E1877">
        <v>80823170</v>
      </c>
      <c r="F1877" t="s">
        <v>1499</v>
      </c>
      <c r="G1877" s="3">
        <v>46937</v>
      </c>
      <c r="H1877">
        <v>36</v>
      </c>
      <c r="I1877">
        <v>69</v>
      </c>
      <c r="J1877">
        <v>10</v>
      </c>
      <c r="K1877" s="4">
        <v>20680.7</v>
      </c>
      <c r="L1877" s="4">
        <v>156.28571428571428</v>
      </c>
      <c r="M1877" s="4">
        <v>6.3985374771480807E-2</v>
      </c>
      <c r="N1877" t="s">
        <v>25</v>
      </c>
      <c r="O1877" t="str">
        <f t="shared" si="290"/>
        <v>Low</v>
      </c>
      <c r="P1877" t="str">
        <f t="shared" si="291"/>
        <v>Low</v>
      </c>
      <c r="Q1877" t="str">
        <f t="shared" si="292"/>
        <v>Low</v>
      </c>
      <c r="R1877" t="s">
        <v>3317</v>
      </c>
      <c r="S1877" s="4">
        <f t="shared" ca="1" si="293"/>
        <v>740</v>
      </c>
      <c r="T1877">
        <f t="shared" si="294"/>
        <v>1</v>
      </c>
      <c r="U1877">
        <f t="shared" si="295"/>
        <v>1</v>
      </c>
      <c r="V1877">
        <f t="shared" si="296"/>
        <v>1</v>
      </c>
      <c r="W1877">
        <f t="shared" si="297"/>
        <v>1</v>
      </c>
      <c r="X1877">
        <f t="shared" si="298"/>
        <v>0.99999999999999989</v>
      </c>
      <c r="Y1877" t="str">
        <f t="shared" si="299"/>
        <v>Healthy</v>
      </c>
    </row>
    <row r="1878" spans="1:25" x14ac:dyDescent="0.35">
      <c r="A1878" t="s">
        <v>41</v>
      </c>
      <c r="B1878" t="s">
        <v>54</v>
      </c>
      <c r="C1878" t="s">
        <v>55</v>
      </c>
      <c r="D1878" t="s">
        <v>153</v>
      </c>
      <c r="E1878">
        <v>80797296</v>
      </c>
      <c r="F1878" t="s">
        <v>154</v>
      </c>
      <c r="G1878" s="3">
        <v>46486</v>
      </c>
      <c r="H1878">
        <v>36</v>
      </c>
      <c r="I1878">
        <v>27</v>
      </c>
      <c r="J1878">
        <v>4</v>
      </c>
      <c r="K1878" s="4">
        <v>2835.32</v>
      </c>
      <c r="L1878" s="4">
        <f>0</f>
        <v>0</v>
      </c>
      <c r="M1878" s="4">
        <f>999</f>
        <v>999</v>
      </c>
      <c r="N1878" t="s">
        <v>19</v>
      </c>
      <c r="O1878" t="str">
        <f t="shared" si="290"/>
        <v>Medium</v>
      </c>
      <c r="P1878" t="str">
        <f t="shared" si="291"/>
        <v>High</v>
      </c>
      <c r="Q1878" t="str">
        <f t="shared" si="292"/>
        <v>High</v>
      </c>
      <c r="R1878" t="s">
        <v>3317</v>
      </c>
      <c r="S1878" s="4">
        <f t="shared" ca="1" si="293"/>
        <v>289</v>
      </c>
      <c r="T1878">
        <f t="shared" si="294"/>
        <v>2</v>
      </c>
      <c r="U1878">
        <f t="shared" si="295"/>
        <v>3</v>
      </c>
      <c r="V1878">
        <f t="shared" si="296"/>
        <v>3</v>
      </c>
      <c r="W1878">
        <f t="shared" si="297"/>
        <v>1</v>
      </c>
      <c r="X1878">
        <f t="shared" si="298"/>
        <v>2.4</v>
      </c>
      <c r="Y1878" t="str">
        <f t="shared" si="299"/>
        <v>High Priority</v>
      </c>
    </row>
    <row r="1879" spans="1:25" x14ac:dyDescent="0.35">
      <c r="A1879" t="s">
        <v>20</v>
      </c>
      <c r="B1879" t="s">
        <v>21</v>
      </c>
      <c r="C1879" t="s">
        <v>133</v>
      </c>
      <c r="D1879" t="s">
        <v>1498</v>
      </c>
      <c r="E1879">
        <v>80823170</v>
      </c>
      <c r="F1879" t="s">
        <v>1499</v>
      </c>
      <c r="G1879" s="3">
        <v>46913</v>
      </c>
      <c r="H1879">
        <v>36</v>
      </c>
      <c r="I1879">
        <v>67</v>
      </c>
      <c r="J1879">
        <v>6</v>
      </c>
      <c r="K1879" s="4">
        <v>12408.42</v>
      </c>
      <c r="L1879" s="4">
        <v>156.28571428571428</v>
      </c>
      <c r="M1879" s="4">
        <v>3.8391224862888484E-2</v>
      </c>
      <c r="N1879" t="s">
        <v>25</v>
      </c>
      <c r="O1879" t="str">
        <f t="shared" si="290"/>
        <v>Low</v>
      </c>
      <c r="P1879" t="str">
        <f t="shared" si="291"/>
        <v>Low</v>
      </c>
      <c r="Q1879" t="str">
        <f t="shared" si="292"/>
        <v>Low</v>
      </c>
      <c r="R1879" t="s">
        <v>3317</v>
      </c>
      <c r="S1879" s="4">
        <f t="shared" ca="1" si="293"/>
        <v>716</v>
      </c>
      <c r="T1879">
        <f t="shared" si="294"/>
        <v>1</v>
      </c>
      <c r="U1879">
        <f t="shared" si="295"/>
        <v>1</v>
      </c>
      <c r="V1879">
        <f t="shared" si="296"/>
        <v>1</v>
      </c>
      <c r="W1879">
        <f t="shared" si="297"/>
        <v>1</v>
      </c>
      <c r="X1879">
        <f t="shared" si="298"/>
        <v>0.99999999999999989</v>
      </c>
      <c r="Y1879" t="str">
        <f t="shared" si="299"/>
        <v>Healthy</v>
      </c>
    </row>
    <row r="1880" spans="1:25" x14ac:dyDescent="0.35">
      <c r="A1880" t="s">
        <v>20</v>
      </c>
      <c r="B1880" t="s">
        <v>21</v>
      </c>
      <c r="C1880" t="s">
        <v>133</v>
      </c>
      <c r="D1880" t="s">
        <v>1498</v>
      </c>
      <c r="E1880">
        <v>80823170</v>
      </c>
      <c r="F1880" t="s">
        <v>1499</v>
      </c>
      <c r="G1880" s="3">
        <v>46955</v>
      </c>
      <c r="H1880">
        <v>36</v>
      </c>
      <c r="I1880">
        <v>71</v>
      </c>
      <c r="J1880">
        <v>30</v>
      </c>
      <c r="K1880" s="4">
        <v>62042.1</v>
      </c>
      <c r="L1880" s="4">
        <v>156.28571428571428</v>
      </c>
      <c r="M1880" s="4">
        <v>0.19195612431444242</v>
      </c>
      <c r="N1880" t="s">
        <v>25</v>
      </c>
      <c r="O1880" t="str">
        <f t="shared" si="290"/>
        <v>Low</v>
      </c>
      <c r="P1880" t="str">
        <f t="shared" si="291"/>
        <v>Low</v>
      </c>
      <c r="Q1880" t="str">
        <f t="shared" si="292"/>
        <v>Low</v>
      </c>
      <c r="R1880" t="s">
        <v>3317</v>
      </c>
      <c r="S1880" s="4">
        <f t="shared" ca="1" si="293"/>
        <v>758</v>
      </c>
      <c r="T1880">
        <f t="shared" si="294"/>
        <v>1</v>
      </c>
      <c r="U1880">
        <f t="shared" si="295"/>
        <v>1</v>
      </c>
      <c r="V1880">
        <f t="shared" si="296"/>
        <v>1</v>
      </c>
      <c r="W1880">
        <f t="shared" si="297"/>
        <v>1</v>
      </c>
      <c r="X1880">
        <f t="shared" si="298"/>
        <v>0.99999999999999989</v>
      </c>
      <c r="Y1880" t="str">
        <f t="shared" si="299"/>
        <v>Healthy</v>
      </c>
    </row>
    <row r="1881" spans="1:25" x14ac:dyDescent="0.35">
      <c r="A1881" t="s">
        <v>41</v>
      </c>
      <c r="B1881" t="s">
        <v>54</v>
      </c>
      <c r="C1881" t="s">
        <v>55</v>
      </c>
      <c r="D1881" t="s">
        <v>153</v>
      </c>
      <c r="E1881">
        <v>80797296</v>
      </c>
      <c r="F1881" t="s">
        <v>154</v>
      </c>
      <c r="G1881" s="3">
        <v>46600</v>
      </c>
      <c r="H1881">
        <v>36</v>
      </c>
      <c r="I1881">
        <v>38</v>
      </c>
      <c r="J1881">
        <v>2</v>
      </c>
      <c r="K1881" s="4">
        <v>1417.66</v>
      </c>
      <c r="L1881" s="4">
        <f>0</f>
        <v>0</v>
      </c>
      <c r="M1881" s="4">
        <f>999</f>
        <v>999</v>
      </c>
      <c r="N1881" t="s">
        <v>19</v>
      </c>
      <c r="O1881" t="str">
        <f t="shared" si="290"/>
        <v>Medium</v>
      </c>
      <c r="P1881" t="str">
        <f t="shared" si="291"/>
        <v>High</v>
      </c>
      <c r="Q1881" t="str">
        <f t="shared" si="292"/>
        <v>High</v>
      </c>
      <c r="R1881" t="s">
        <v>3317</v>
      </c>
      <c r="S1881" s="4">
        <f t="shared" ca="1" si="293"/>
        <v>403</v>
      </c>
      <c r="T1881">
        <f t="shared" si="294"/>
        <v>2</v>
      </c>
      <c r="U1881">
        <f t="shared" si="295"/>
        <v>3</v>
      </c>
      <c r="V1881">
        <f t="shared" si="296"/>
        <v>3</v>
      </c>
      <c r="W1881">
        <f t="shared" si="297"/>
        <v>1</v>
      </c>
      <c r="X1881">
        <f t="shared" si="298"/>
        <v>2.4</v>
      </c>
      <c r="Y1881" t="str">
        <f t="shared" si="299"/>
        <v>High Priority</v>
      </c>
    </row>
    <row r="1882" spans="1:25" x14ac:dyDescent="0.35">
      <c r="A1882" t="s">
        <v>41</v>
      </c>
      <c r="B1882" t="s">
        <v>54</v>
      </c>
      <c r="C1882" t="s">
        <v>55</v>
      </c>
      <c r="D1882" t="s">
        <v>153</v>
      </c>
      <c r="E1882">
        <v>80797296</v>
      </c>
      <c r="F1882" t="s">
        <v>154</v>
      </c>
      <c r="G1882" s="3">
        <v>46631</v>
      </c>
      <c r="H1882">
        <v>36</v>
      </c>
      <c r="I1882">
        <v>41</v>
      </c>
      <c r="J1882">
        <v>3</v>
      </c>
      <c r="K1882" s="4">
        <v>2126.4899999999998</v>
      </c>
      <c r="L1882" s="4">
        <f>0</f>
        <v>0</v>
      </c>
      <c r="M1882" s="4">
        <f>999</f>
        <v>999</v>
      </c>
      <c r="N1882" t="s">
        <v>19</v>
      </c>
      <c r="O1882" t="str">
        <f t="shared" si="290"/>
        <v>Low</v>
      </c>
      <c r="P1882" t="str">
        <f t="shared" si="291"/>
        <v>High</v>
      </c>
      <c r="Q1882" t="str">
        <f t="shared" si="292"/>
        <v>High</v>
      </c>
      <c r="R1882" t="s">
        <v>3317</v>
      </c>
      <c r="S1882" s="4">
        <f t="shared" ca="1" si="293"/>
        <v>434</v>
      </c>
      <c r="T1882">
        <f t="shared" si="294"/>
        <v>1</v>
      </c>
      <c r="U1882">
        <f t="shared" si="295"/>
        <v>3</v>
      </c>
      <c r="V1882">
        <f t="shared" si="296"/>
        <v>3</v>
      </c>
      <c r="W1882">
        <f t="shared" si="297"/>
        <v>1</v>
      </c>
      <c r="X1882">
        <f t="shared" si="298"/>
        <v>2</v>
      </c>
      <c r="Y1882" t="str">
        <f t="shared" si="299"/>
        <v>Monitor</v>
      </c>
    </row>
    <row r="1883" spans="1:25" x14ac:dyDescent="0.35">
      <c r="A1883" t="s">
        <v>14</v>
      </c>
      <c r="B1883" t="s">
        <v>15</v>
      </c>
      <c r="C1883" t="s">
        <v>1502</v>
      </c>
      <c r="D1883" t="s">
        <v>1502</v>
      </c>
      <c r="E1883">
        <v>80803714</v>
      </c>
      <c r="F1883" t="s">
        <v>1503</v>
      </c>
      <c r="G1883" s="3">
        <v>47741</v>
      </c>
      <c r="H1883">
        <v>60</v>
      </c>
      <c r="I1883">
        <v>86</v>
      </c>
      <c r="J1883">
        <v>6</v>
      </c>
      <c r="K1883" s="4">
        <v>2247.36</v>
      </c>
      <c r="L1883" s="4">
        <v>575.14285714285711</v>
      </c>
      <c r="M1883" s="4">
        <v>1.0432190760059613E-2</v>
      </c>
      <c r="N1883" t="s">
        <v>25</v>
      </c>
      <c r="O1883" t="str">
        <f t="shared" si="290"/>
        <v>Low</v>
      </c>
      <c r="P1883" t="str">
        <f t="shared" si="291"/>
        <v>Low</v>
      </c>
      <c r="Q1883" t="str">
        <f t="shared" si="292"/>
        <v>Low</v>
      </c>
      <c r="R1883" t="s">
        <v>3317</v>
      </c>
      <c r="S1883" s="4">
        <f t="shared" ca="1" si="293"/>
        <v>1544</v>
      </c>
      <c r="T1883">
        <f t="shared" si="294"/>
        <v>1</v>
      </c>
      <c r="U1883">
        <f t="shared" si="295"/>
        <v>1</v>
      </c>
      <c r="V1883">
        <f t="shared" si="296"/>
        <v>1</v>
      </c>
      <c r="W1883">
        <f t="shared" si="297"/>
        <v>1</v>
      </c>
      <c r="X1883">
        <f t="shared" si="298"/>
        <v>0.99999999999999989</v>
      </c>
      <c r="Y1883" t="str">
        <f t="shared" si="299"/>
        <v>Healthy</v>
      </c>
    </row>
    <row r="1884" spans="1:25" x14ac:dyDescent="0.35">
      <c r="A1884" t="s">
        <v>41</v>
      </c>
      <c r="B1884" t="s">
        <v>54</v>
      </c>
      <c r="C1884" t="s">
        <v>55</v>
      </c>
      <c r="D1884" t="s">
        <v>153</v>
      </c>
      <c r="E1884">
        <v>80797296</v>
      </c>
      <c r="F1884" t="s">
        <v>154</v>
      </c>
      <c r="G1884" s="3">
        <v>46649</v>
      </c>
      <c r="H1884">
        <v>36</v>
      </c>
      <c r="I1884">
        <v>42</v>
      </c>
      <c r="J1884">
        <v>3</v>
      </c>
      <c r="K1884" s="4">
        <v>2126.4899999999998</v>
      </c>
      <c r="L1884" s="4">
        <f>0</f>
        <v>0</v>
      </c>
      <c r="M1884" s="4">
        <f>999</f>
        <v>999</v>
      </c>
      <c r="N1884" t="s">
        <v>19</v>
      </c>
      <c r="O1884" t="str">
        <f t="shared" si="290"/>
        <v>Low</v>
      </c>
      <c r="P1884" t="str">
        <f t="shared" si="291"/>
        <v>High</v>
      </c>
      <c r="Q1884" t="str">
        <f t="shared" si="292"/>
        <v>High</v>
      </c>
      <c r="R1884" t="s">
        <v>3317</v>
      </c>
      <c r="S1884" s="4">
        <f t="shared" ca="1" si="293"/>
        <v>452</v>
      </c>
      <c r="T1884">
        <f t="shared" si="294"/>
        <v>1</v>
      </c>
      <c r="U1884">
        <f t="shared" si="295"/>
        <v>3</v>
      </c>
      <c r="V1884">
        <f t="shared" si="296"/>
        <v>3</v>
      </c>
      <c r="W1884">
        <f t="shared" si="297"/>
        <v>1</v>
      </c>
      <c r="X1884">
        <f t="shared" si="298"/>
        <v>2</v>
      </c>
      <c r="Y1884" t="str">
        <f t="shared" si="299"/>
        <v>Monitor</v>
      </c>
    </row>
    <row r="1885" spans="1:25" x14ac:dyDescent="0.35">
      <c r="A1885" t="s">
        <v>41</v>
      </c>
      <c r="B1885" t="s">
        <v>54</v>
      </c>
      <c r="C1885" t="s">
        <v>55</v>
      </c>
      <c r="D1885" t="s">
        <v>1417</v>
      </c>
      <c r="E1885">
        <v>80797302</v>
      </c>
      <c r="F1885" t="s">
        <v>1504</v>
      </c>
      <c r="G1885" s="3">
        <v>46445</v>
      </c>
      <c r="H1885">
        <v>36</v>
      </c>
      <c r="I1885">
        <v>23</v>
      </c>
      <c r="J1885">
        <v>12</v>
      </c>
      <c r="K1885" s="4">
        <v>9328.7999999999993</v>
      </c>
      <c r="L1885" s="4">
        <f>0</f>
        <v>0</v>
      </c>
      <c r="M1885" s="4">
        <f>999</f>
        <v>999</v>
      </c>
      <c r="N1885" t="s">
        <v>19</v>
      </c>
      <c r="O1885" t="str">
        <f t="shared" si="290"/>
        <v>Medium</v>
      </c>
      <c r="P1885" t="str">
        <f t="shared" si="291"/>
        <v>High</v>
      </c>
      <c r="Q1885" t="str">
        <f t="shared" si="292"/>
        <v>High</v>
      </c>
      <c r="R1885" t="s">
        <v>3317</v>
      </c>
      <c r="S1885" s="4">
        <f t="shared" ca="1" si="293"/>
        <v>248</v>
      </c>
      <c r="T1885">
        <f t="shared" si="294"/>
        <v>2</v>
      </c>
      <c r="U1885">
        <f t="shared" si="295"/>
        <v>3</v>
      </c>
      <c r="V1885">
        <f t="shared" si="296"/>
        <v>3</v>
      </c>
      <c r="W1885">
        <f t="shared" si="297"/>
        <v>1</v>
      </c>
      <c r="X1885">
        <f t="shared" si="298"/>
        <v>2.4</v>
      </c>
      <c r="Y1885" t="str">
        <f t="shared" si="299"/>
        <v>High Priority</v>
      </c>
    </row>
    <row r="1886" spans="1:25" x14ac:dyDescent="0.35">
      <c r="A1886" t="s">
        <v>71</v>
      </c>
      <c r="B1886" t="s">
        <v>72</v>
      </c>
      <c r="C1886" t="s">
        <v>572</v>
      </c>
      <c r="D1886" t="s">
        <v>1505</v>
      </c>
      <c r="E1886">
        <v>80842593</v>
      </c>
      <c r="F1886" t="s">
        <v>1506</v>
      </c>
      <c r="G1886" s="3">
        <v>47092</v>
      </c>
      <c r="H1886">
        <v>36</v>
      </c>
      <c r="I1886">
        <v>83</v>
      </c>
      <c r="J1886">
        <v>16</v>
      </c>
      <c r="K1886" s="4">
        <v>1497.6</v>
      </c>
      <c r="L1886" s="4">
        <v>774.28571428571433</v>
      </c>
      <c r="M1886" s="4">
        <v>2.0664206642066418E-2</v>
      </c>
      <c r="N1886" t="s">
        <v>25</v>
      </c>
      <c r="O1886" t="str">
        <f t="shared" si="290"/>
        <v>Low</v>
      </c>
      <c r="P1886" t="str">
        <f t="shared" si="291"/>
        <v>Low</v>
      </c>
      <c r="Q1886" t="str">
        <f t="shared" si="292"/>
        <v>Low</v>
      </c>
      <c r="R1886" t="s">
        <v>3317</v>
      </c>
      <c r="S1886" s="4">
        <f t="shared" ca="1" si="293"/>
        <v>895</v>
      </c>
      <c r="T1886">
        <f t="shared" si="294"/>
        <v>1</v>
      </c>
      <c r="U1886">
        <f t="shared" si="295"/>
        <v>1</v>
      </c>
      <c r="V1886">
        <f t="shared" si="296"/>
        <v>1</v>
      </c>
      <c r="W1886">
        <f t="shared" si="297"/>
        <v>1</v>
      </c>
      <c r="X1886">
        <f t="shared" si="298"/>
        <v>0.99999999999999989</v>
      </c>
      <c r="Y1886" t="str">
        <f t="shared" si="299"/>
        <v>Healthy</v>
      </c>
    </row>
    <row r="1887" spans="1:25" x14ac:dyDescent="0.35">
      <c r="A1887" t="s">
        <v>179</v>
      </c>
      <c r="B1887" t="s">
        <v>180</v>
      </c>
      <c r="C1887" t="s">
        <v>181</v>
      </c>
      <c r="D1887" t="s">
        <v>1507</v>
      </c>
      <c r="E1887">
        <v>80835490</v>
      </c>
      <c r="F1887" t="s">
        <v>1508</v>
      </c>
      <c r="G1887" s="3">
        <v>46179</v>
      </c>
      <c r="H1887">
        <v>16</v>
      </c>
      <c r="I1887">
        <v>0</v>
      </c>
      <c r="J1887">
        <v>12</v>
      </c>
      <c r="K1887" s="4">
        <v>10826.28</v>
      </c>
      <c r="L1887" s="4">
        <f>0</f>
        <v>0</v>
      </c>
      <c r="M1887" s="4">
        <f>999</f>
        <v>999</v>
      </c>
      <c r="N1887" t="s">
        <v>19</v>
      </c>
      <c r="O1887" t="str">
        <f t="shared" si="290"/>
        <v>High</v>
      </c>
      <c r="P1887" t="str">
        <f t="shared" si="291"/>
        <v>High</v>
      </c>
      <c r="Q1887" t="str">
        <f t="shared" si="292"/>
        <v>High</v>
      </c>
      <c r="R1887" t="s">
        <v>3317</v>
      </c>
      <c r="S1887" s="4">
        <f t="shared" ca="1" si="293"/>
        <v>-18</v>
      </c>
      <c r="T1887">
        <f t="shared" si="294"/>
        <v>3</v>
      </c>
      <c r="U1887">
        <f t="shared" si="295"/>
        <v>3</v>
      </c>
      <c r="V1887">
        <f t="shared" si="296"/>
        <v>3</v>
      </c>
      <c r="W1887">
        <f t="shared" si="297"/>
        <v>1</v>
      </c>
      <c r="X1887">
        <f t="shared" si="298"/>
        <v>2.8000000000000003</v>
      </c>
      <c r="Y1887" t="str">
        <f t="shared" si="299"/>
        <v>Move Immediately</v>
      </c>
    </row>
    <row r="1888" spans="1:25" x14ac:dyDescent="0.35">
      <c r="A1888" t="s">
        <v>179</v>
      </c>
      <c r="B1888" t="s">
        <v>180</v>
      </c>
      <c r="C1888" t="s">
        <v>181</v>
      </c>
      <c r="D1888" t="s">
        <v>1507</v>
      </c>
      <c r="E1888">
        <v>80835490</v>
      </c>
      <c r="F1888" t="s">
        <v>1508</v>
      </c>
      <c r="G1888" s="3">
        <v>46155</v>
      </c>
      <c r="H1888">
        <v>16</v>
      </c>
      <c r="I1888">
        <v>0</v>
      </c>
      <c r="J1888">
        <v>4</v>
      </c>
      <c r="K1888" s="4">
        <v>3608.76</v>
      </c>
      <c r="L1888" s="4">
        <f>0</f>
        <v>0</v>
      </c>
      <c r="M1888" s="4">
        <f>999</f>
        <v>999</v>
      </c>
      <c r="N1888" t="s">
        <v>19</v>
      </c>
      <c r="O1888" t="str">
        <f t="shared" si="290"/>
        <v>High</v>
      </c>
      <c r="P1888" t="str">
        <f t="shared" si="291"/>
        <v>High</v>
      </c>
      <c r="Q1888" t="str">
        <f t="shared" si="292"/>
        <v>High</v>
      </c>
      <c r="R1888" t="s">
        <v>3317</v>
      </c>
      <c r="S1888" s="4">
        <f t="shared" ca="1" si="293"/>
        <v>-42</v>
      </c>
      <c r="T1888">
        <f t="shared" si="294"/>
        <v>3</v>
      </c>
      <c r="U1888">
        <f t="shared" si="295"/>
        <v>3</v>
      </c>
      <c r="V1888">
        <f t="shared" si="296"/>
        <v>3</v>
      </c>
      <c r="W1888">
        <f t="shared" si="297"/>
        <v>1</v>
      </c>
      <c r="X1888">
        <f t="shared" si="298"/>
        <v>2.8000000000000003</v>
      </c>
      <c r="Y1888" t="str">
        <f t="shared" si="299"/>
        <v>Move Immediately</v>
      </c>
    </row>
    <row r="1889" spans="1:25" x14ac:dyDescent="0.35">
      <c r="A1889" t="s">
        <v>189</v>
      </c>
      <c r="B1889" t="s">
        <v>190</v>
      </c>
      <c r="C1889" t="s">
        <v>190</v>
      </c>
      <c r="D1889" t="s">
        <v>1509</v>
      </c>
      <c r="E1889">
        <v>80836128</v>
      </c>
      <c r="F1889" t="s">
        <v>1510</v>
      </c>
      <c r="G1889" s="3">
        <v>46492</v>
      </c>
      <c r="H1889">
        <v>18</v>
      </c>
      <c r="I1889">
        <v>56</v>
      </c>
      <c r="J1889">
        <v>1</v>
      </c>
      <c r="K1889" s="4">
        <v>2037.85</v>
      </c>
      <c r="L1889" s="4">
        <v>6.5714285714285712</v>
      </c>
      <c r="M1889" s="4">
        <v>0.15217391304347827</v>
      </c>
      <c r="N1889" t="s">
        <v>25</v>
      </c>
      <c r="O1889" t="str">
        <f t="shared" si="290"/>
        <v>Low</v>
      </c>
      <c r="P1889" t="str">
        <f t="shared" si="291"/>
        <v>Low</v>
      </c>
      <c r="Q1889" t="str">
        <f t="shared" si="292"/>
        <v>Medium</v>
      </c>
      <c r="R1889" t="s">
        <v>3317</v>
      </c>
      <c r="S1889" s="4">
        <f t="shared" ca="1" si="293"/>
        <v>295</v>
      </c>
      <c r="T1889">
        <f t="shared" si="294"/>
        <v>1</v>
      </c>
      <c r="U1889">
        <f t="shared" si="295"/>
        <v>1</v>
      </c>
      <c r="V1889">
        <f t="shared" si="296"/>
        <v>2</v>
      </c>
      <c r="W1889">
        <f t="shared" si="297"/>
        <v>1</v>
      </c>
      <c r="X1889">
        <f t="shared" si="298"/>
        <v>1.2000000000000002</v>
      </c>
      <c r="Y1889" t="str">
        <f t="shared" si="299"/>
        <v>Healthy</v>
      </c>
    </row>
    <row r="1890" spans="1:25" x14ac:dyDescent="0.35">
      <c r="A1890" t="s">
        <v>189</v>
      </c>
      <c r="B1890" t="s">
        <v>190</v>
      </c>
      <c r="C1890" t="s">
        <v>190</v>
      </c>
      <c r="D1890" t="s">
        <v>1509</v>
      </c>
      <c r="E1890">
        <v>80836128</v>
      </c>
      <c r="F1890" t="s">
        <v>1510</v>
      </c>
      <c r="G1890" s="3">
        <v>46460</v>
      </c>
      <c r="H1890">
        <v>18</v>
      </c>
      <c r="I1890">
        <v>50</v>
      </c>
      <c r="J1890">
        <v>4</v>
      </c>
      <c r="K1890" s="4">
        <v>8151.4</v>
      </c>
      <c r="L1890" s="4">
        <v>6.5714285714285712</v>
      </c>
      <c r="M1890" s="4">
        <v>0.60869565217391308</v>
      </c>
      <c r="N1890" t="s">
        <v>25</v>
      </c>
      <c r="O1890" t="str">
        <f t="shared" si="290"/>
        <v>Low</v>
      </c>
      <c r="P1890" t="str">
        <f t="shared" si="291"/>
        <v>Low</v>
      </c>
      <c r="Q1890" t="str">
        <f t="shared" si="292"/>
        <v>Medium</v>
      </c>
      <c r="R1890" t="s">
        <v>3317</v>
      </c>
      <c r="S1890" s="4">
        <f t="shared" ca="1" si="293"/>
        <v>263</v>
      </c>
      <c r="T1890">
        <f t="shared" si="294"/>
        <v>1</v>
      </c>
      <c r="U1890">
        <f t="shared" si="295"/>
        <v>1</v>
      </c>
      <c r="V1890">
        <f t="shared" si="296"/>
        <v>2</v>
      </c>
      <c r="W1890">
        <f t="shared" si="297"/>
        <v>1</v>
      </c>
      <c r="X1890">
        <f t="shared" si="298"/>
        <v>1.2000000000000002</v>
      </c>
      <c r="Y1890" t="str">
        <f t="shared" si="299"/>
        <v>Healthy</v>
      </c>
    </row>
    <row r="1891" spans="1:25" x14ac:dyDescent="0.35">
      <c r="A1891" t="s">
        <v>210</v>
      </c>
      <c r="B1891" t="s">
        <v>211</v>
      </c>
      <c r="C1891" t="s">
        <v>1321</v>
      </c>
      <c r="D1891" t="s">
        <v>1322</v>
      </c>
      <c r="E1891">
        <v>80784058</v>
      </c>
      <c r="F1891" t="s">
        <v>1511</v>
      </c>
      <c r="G1891" s="3">
        <v>47446</v>
      </c>
      <c r="H1891">
        <v>60</v>
      </c>
      <c r="I1891">
        <v>70</v>
      </c>
      <c r="J1891">
        <v>8</v>
      </c>
      <c r="K1891" s="4">
        <v>2863.04</v>
      </c>
      <c r="L1891" s="4">
        <v>5.1428571428571432</v>
      </c>
      <c r="M1891" s="4">
        <v>1.5555555555555554</v>
      </c>
      <c r="N1891" t="s">
        <v>25</v>
      </c>
      <c r="O1891" t="str">
        <f t="shared" si="290"/>
        <v>Low</v>
      </c>
      <c r="P1891" t="str">
        <f t="shared" si="291"/>
        <v>Low</v>
      </c>
      <c r="Q1891" t="str">
        <f t="shared" si="292"/>
        <v>Medium</v>
      </c>
      <c r="R1891" t="s">
        <v>3317</v>
      </c>
      <c r="S1891" s="4">
        <f t="shared" ca="1" si="293"/>
        <v>1249</v>
      </c>
      <c r="T1891">
        <f t="shared" si="294"/>
        <v>1</v>
      </c>
      <c r="U1891">
        <f t="shared" si="295"/>
        <v>1</v>
      </c>
      <c r="V1891">
        <f t="shared" si="296"/>
        <v>2</v>
      </c>
      <c r="W1891">
        <f t="shared" si="297"/>
        <v>1</v>
      </c>
      <c r="X1891">
        <f t="shared" si="298"/>
        <v>1.2000000000000002</v>
      </c>
      <c r="Y1891" t="str">
        <f t="shared" si="299"/>
        <v>Healthy</v>
      </c>
    </row>
    <row r="1892" spans="1:25" x14ac:dyDescent="0.35">
      <c r="A1892" t="s">
        <v>210</v>
      </c>
      <c r="B1892" t="s">
        <v>211</v>
      </c>
      <c r="C1892" t="s">
        <v>1321</v>
      </c>
      <c r="D1892" t="s">
        <v>1322</v>
      </c>
      <c r="E1892">
        <v>80784058</v>
      </c>
      <c r="F1892" t="s">
        <v>1511</v>
      </c>
      <c r="G1892" s="3">
        <v>47439</v>
      </c>
      <c r="H1892">
        <v>60</v>
      </c>
      <c r="I1892">
        <v>69</v>
      </c>
      <c r="J1892">
        <v>1</v>
      </c>
      <c r="K1892" s="4">
        <v>357.88</v>
      </c>
      <c r="L1892" s="4">
        <v>5.1428571428571432</v>
      </c>
      <c r="M1892" s="4">
        <v>0.19444444444444442</v>
      </c>
      <c r="N1892" t="s">
        <v>25</v>
      </c>
      <c r="O1892" t="str">
        <f t="shared" si="290"/>
        <v>Low</v>
      </c>
      <c r="P1892" t="str">
        <f t="shared" si="291"/>
        <v>Low</v>
      </c>
      <c r="Q1892" t="str">
        <f t="shared" si="292"/>
        <v>Medium</v>
      </c>
      <c r="R1892" t="s">
        <v>3317</v>
      </c>
      <c r="S1892" s="4">
        <f t="shared" ca="1" si="293"/>
        <v>1242</v>
      </c>
      <c r="T1892">
        <f t="shared" si="294"/>
        <v>1</v>
      </c>
      <c r="U1892">
        <f t="shared" si="295"/>
        <v>1</v>
      </c>
      <c r="V1892">
        <f t="shared" si="296"/>
        <v>2</v>
      </c>
      <c r="W1892">
        <f t="shared" si="297"/>
        <v>1</v>
      </c>
      <c r="X1892">
        <f t="shared" si="298"/>
        <v>1.2000000000000002</v>
      </c>
      <c r="Y1892" t="str">
        <f t="shared" si="299"/>
        <v>Healthy</v>
      </c>
    </row>
    <row r="1893" spans="1:25" x14ac:dyDescent="0.35">
      <c r="A1893" t="s">
        <v>179</v>
      </c>
      <c r="B1893" t="s">
        <v>195</v>
      </c>
      <c r="C1893" t="s">
        <v>199</v>
      </c>
      <c r="D1893" t="s">
        <v>1512</v>
      </c>
      <c r="E1893">
        <v>80831144</v>
      </c>
      <c r="F1893" t="s">
        <v>1513</v>
      </c>
      <c r="G1893" s="3">
        <v>46661</v>
      </c>
      <c r="H1893">
        <v>16</v>
      </c>
      <c r="I1893">
        <v>98</v>
      </c>
      <c r="J1893">
        <v>215</v>
      </c>
      <c r="K1893" s="4">
        <v>60197.85</v>
      </c>
      <c r="L1893" s="4">
        <v>4181</v>
      </c>
      <c r="M1893" s="4">
        <v>5.1423104520449653E-2</v>
      </c>
      <c r="N1893" t="s">
        <v>25</v>
      </c>
      <c r="O1893" t="str">
        <f t="shared" si="290"/>
        <v>Low</v>
      </c>
      <c r="P1893" t="str">
        <f t="shared" si="291"/>
        <v>Low</v>
      </c>
      <c r="Q1893" t="str">
        <f t="shared" si="292"/>
        <v>Low</v>
      </c>
      <c r="R1893" t="s">
        <v>3317</v>
      </c>
      <c r="S1893" s="4">
        <f t="shared" ca="1" si="293"/>
        <v>464</v>
      </c>
      <c r="T1893">
        <f t="shared" si="294"/>
        <v>1</v>
      </c>
      <c r="U1893">
        <f t="shared" si="295"/>
        <v>1</v>
      </c>
      <c r="V1893">
        <f t="shared" si="296"/>
        <v>1</v>
      </c>
      <c r="W1893">
        <f t="shared" si="297"/>
        <v>1</v>
      </c>
      <c r="X1893">
        <f t="shared" si="298"/>
        <v>0.99999999999999989</v>
      </c>
      <c r="Y1893" t="str">
        <f t="shared" si="299"/>
        <v>Healthy</v>
      </c>
    </row>
    <row r="1894" spans="1:25" x14ac:dyDescent="0.35">
      <c r="A1894" t="s">
        <v>14</v>
      </c>
      <c r="B1894" t="s">
        <v>15</v>
      </c>
      <c r="C1894" t="s">
        <v>34</v>
      </c>
      <c r="D1894" t="s">
        <v>1514</v>
      </c>
      <c r="E1894">
        <v>80799297</v>
      </c>
      <c r="F1894" t="s">
        <v>1515</v>
      </c>
      <c r="G1894" s="3">
        <v>47238</v>
      </c>
      <c r="H1894">
        <v>60</v>
      </c>
      <c r="I1894">
        <v>58</v>
      </c>
      <c r="J1894">
        <v>7</v>
      </c>
      <c r="K1894" s="4">
        <v>1649.97</v>
      </c>
      <c r="L1894" s="4">
        <v>1</v>
      </c>
      <c r="M1894" s="4">
        <v>7</v>
      </c>
      <c r="N1894" t="s">
        <v>19</v>
      </c>
      <c r="O1894" t="str">
        <f t="shared" si="290"/>
        <v>Low</v>
      </c>
      <c r="P1894" t="str">
        <f t="shared" si="291"/>
        <v>Medium</v>
      </c>
      <c r="Q1894" t="str">
        <f t="shared" si="292"/>
        <v>High</v>
      </c>
      <c r="R1894" t="s">
        <v>3317</v>
      </c>
      <c r="S1894" s="4">
        <f t="shared" ca="1" si="293"/>
        <v>1041</v>
      </c>
      <c r="T1894">
        <f t="shared" si="294"/>
        <v>1</v>
      </c>
      <c r="U1894">
        <f t="shared" si="295"/>
        <v>2</v>
      </c>
      <c r="V1894">
        <f t="shared" si="296"/>
        <v>3</v>
      </c>
      <c r="W1894">
        <f t="shared" si="297"/>
        <v>1</v>
      </c>
      <c r="X1894">
        <f t="shared" si="298"/>
        <v>1.7000000000000002</v>
      </c>
      <c r="Y1894" t="str">
        <f t="shared" si="299"/>
        <v>Monitor</v>
      </c>
    </row>
    <row r="1895" spans="1:25" x14ac:dyDescent="0.35">
      <c r="A1895" t="s">
        <v>179</v>
      </c>
      <c r="B1895" t="s">
        <v>195</v>
      </c>
      <c r="C1895" t="s">
        <v>199</v>
      </c>
      <c r="D1895" t="s">
        <v>1512</v>
      </c>
      <c r="E1895">
        <v>80831144</v>
      </c>
      <c r="F1895" t="s">
        <v>1513</v>
      </c>
      <c r="G1895" s="3">
        <v>46622</v>
      </c>
      <c r="H1895">
        <v>16</v>
      </c>
      <c r="I1895">
        <v>90</v>
      </c>
      <c r="J1895">
        <v>208</v>
      </c>
      <c r="K1895" s="4">
        <v>58237.919999999998</v>
      </c>
      <c r="L1895" s="4">
        <v>4181</v>
      </c>
      <c r="M1895" s="4">
        <v>4.9748863908155944E-2</v>
      </c>
      <c r="N1895" t="s">
        <v>25</v>
      </c>
      <c r="O1895" t="str">
        <f t="shared" si="290"/>
        <v>Low</v>
      </c>
      <c r="P1895" t="str">
        <f t="shared" si="291"/>
        <v>Low</v>
      </c>
      <c r="Q1895" t="str">
        <f t="shared" si="292"/>
        <v>Low</v>
      </c>
      <c r="R1895" t="s">
        <v>3317</v>
      </c>
      <c r="S1895" s="4">
        <f t="shared" ca="1" si="293"/>
        <v>425</v>
      </c>
      <c r="T1895">
        <f t="shared" si="294"/>
        <v>1</v>
      </c>
      <c r="U1895">
        <f t="shared" si="295"/>
        <v>1</v>
      </c>
      <c r="V1895">
        <f t="shared" si="296"/>
        <v>1</v>
      </c>
      <c r="W1895">
        <f t="shared" si="297"/>
        <v>1</v>
      </c>
      <c r="X1895">
        <f t="shared" si="298"/>
        <v>0.99999999999999989</v>
      </c>
      <c r="Y1895" t="str">
        <f t="shared" si="299"/>
        <v>Healthy</v>
      </c>
    </row>
    <row r="1896" spans="1:25" x14ac:dyDescent="0.35">
      <c r="A1896" t="s">
        <v>179</v>
      </c>
      <c r="B1896" t="s">
        <v>195</v>
      </c>
      <c r="C1896" t="s">
        <v>199</v>
      </c>
      <c r="D1896" t="s">
        <v>1512</v>
      </c>
      <c r="E1896">
        <v>80831144</v>
      </c>
      <c r="F1896" t="s">
        <v>1513</v>
      </c>
      <c r="G1896" s="3">
        <v>46618</v>
      </c>
      <c r="H1896">
        <v>16</v>
      </c>
      <c r="I1896">
        <v>89</v>
      </c>
      <c r="J1896">
        <v>22</v>
      </c>
      <c r="K1896" s="4">
        <v>6159.78</v>
      </c>
      <c r="L1896" s="4">
        <v>4181</v>
      </c>
      <c r="M1896" s="4">
        <v>5.2618990672088015E-3</v>
      </c>
      <c r="N1896" t="s">
        <v>25</v>
      </c>
      <c r="O1896" t="str">
        <f t="shared" si="290"/>
        <v>Low</v>
      </c>
      <c r="P1896" t="str">
        <f t="shared" si="291"/>
        <v>Low</v>
      </c>
      <c r="Q1896" t="str">
        <f t="shared" si="292"/>
        <v>Low</v>
      </c>
      <c r="R1896" t="s">
        <v>3317</v>
      </c>
      <c r="S1896" s="4">
        <f t="shared" ca="1" si="293"/>
        <v>421</v>
      </c>
      <c r="T1896">
        <f t="shared" si="294"/>
        <v>1</v>
      </c>
      <c r="U1896">
        <f t="shared" si="295"/>
        <v>1</v>
      </c>
      <c r="V1896">
        <f t="shared" si="296"/>
        <v>1</v>
      </c>
      <c r="W1896">
        <f t="shared" si="297"/>
        <v>1</v>
      </c>
      <c r="X1896">
        <f t="shared" si="298"/>
        <v>0.99999999999999989</v>
      </c>
      <c r="Y1896" t="str">
        <f t="shared" si="299"/>
        <v>Healthy</v>
      </c>
    </row>
    <row r="1897" spans="1:25" x14ac:dyDescent="0.35">
      <c r="A1897" t="s">
        <v>179</v>
      </c>
      <c r="B1897" t="s">
        <v>195</v>
      </c>
      <c r="C1897" t="s">
        <v>199</v>
      </c>
      <c r="D1897" t="s">
        <v>1512</v>
      </c>
      <c r="E1897">
        <v>80831144</v>
      </c>
      <c r="F1897" t="s">
        <v>1513</v>
      </c>
      <c r="G1897" s="3">
        <v>46672</v>
      </c>
      <c r="H1897">
        <v>16</v>
      </c>
      <c r="I1897">
        <v>100</v>
      </c>
      <c r="J1897">
        <v>216</v>
      </c>
      <c r="K1897" s="4">
        <v>60477.84</v>
      </c>
      <c r="L1897" s="4">
        <v>4181</v>
      </c>
      <c r="M1897" s="4">
        <v>5.1662281750777327E-2</v>
      </c>
      <c r="N1897" t="s">
        <v>25</v>
      </c>
      <c r="O1897" t="str">
        <f t="shared" si="290"/>
        <v>Low</v>
      </c>
      <c r="P1897" t="str">
        <f t="shared" si="291"/>
        <v>Low</v>
      </c>
      <c r="Q1897" t="str">
        <f t="shared" si="292"/>
        <v>Low</v>
      </c>
      <c r="R1897" t="s">
        <v>3317</v>
      </c>
      <c r="S1897" s="4">
        <f t="shared" ca="1" si="293"/>
        <v>475</v>
      </c>
      <c r="T1897">
        <f t="shared" si="294"/>
        <v>1</v>
      </c>
      <c r="U1897">
        <f t="shared" si="295"/>
        <v>1</v>
      </c>
      <c r="V1897">
        <f t="shared" si="296"/>
        <v>1</v>
      </c>
      <c r="W1897">
        <f t="shared" si="297"/>
        <v>1</v>
      </c>
      <c r="X1897">
        <f t="shared" si="298"/>
        <v>0.99999999999999989</v>
      </c>
      <c r="Y1897" t="str">
        <f t="shared" si="299"/>
        <v>Healthy</v>
      </c>
    </row>
    <row r="1898" spans="1:25" x14ac:dyDescent="0.35">
      <c r="A1898" t="s">
        <v>41</v>
      </c>
      <c r="B1898" t="s">
        <v>54</v>
      </c>
      <c r="C1898" t="s">
        <v>87</v>
      </c>
      <c r="D1898" t="s">
        <v>335</v>
      </c>
      <c r="E1898">
        <v>80791903</v>
      </c>
      <c r="F1898" t="s">
        <v>1516</v>
      </c>
      <c r="G1898" s="3">
        <v>46507</v>
      </c>
      <c r="H1898">
        <v>36</v>
      </c>
      <c r="I1898">
        <v>29</v>
      </c>
      <c r="J1898">
        <v>20</v>
      </c>
      <c r="K1898" s="4">
        <v>7994</v>
      </c>
      <c r="L1898" s="4">
        <f>0</f>
        <v>0</v>
      </c>
      <c r="M1898" s="4">
        <f>999</f>
        <v>999</v>
      </c>
      <c r="N1898" t="s">
        <v>19</v>
      </c>
      <c r="O1898" t="str">
        <f t="shared" si="290"/>
        <v>Medium</v>
      </c>
      <c r="P1898" t="str">
        <f t="shared" si="291"/>
        <v>High</v>
      </c>
      <c r="Q1898" t="str">
        <f t="shared" si="292"/>
        <v>High</v>
      </c>
      <c r="R1898" t="s">
        <v>3317</v>
      </c>
      <c r="S1898" s="4">
        <f t="shared" ca="1" si="293"/>
        <v>310</v>
      </c>
      <c r="T1898">
        <f t="shared" si="294"/>
        <v>2</v>
      </c>
      <c r="U1898">
        <f t="shared" si="295"/>
        <v>3</v>
      </c>
      <c r="V1898">
        <f t="shared" si="296"/>
        <v>3</v>
      </c>
      <c r="W1898">
        <f t="shared" si="297"/>
        <v>1</v>
      </c>
      <c r="X1898">
        <f t="shared" si="298"/>
        <v>2.4</v>
      </c>
      <c r="Y1898" t="str">
        <f t="shared" si="299"/>
        <v>High Priority</v>
      </c>
    </row>
    <row r="1899" spans="1:25" x14ac:dyDescent="0.35">
      <c r="A1899" t="s">
        <v>179</v>
      </c>
      <c r="B1899" t="s">
        <v>180</v>
      </c>
      <c r="C1899" t="s">
        <v>181</v>
      </c>
      <c r="D1899" t="s">
        <v>326</v>
      </c>
      <c r="E1899">
        <v>80796114</v>
      </c>
      <c r="F1899" t="s">
        <v>1517</v>
      </c>
      <c r="G1899" s="3">
        <v>45958</v>
      </c>
      <c r="H1899">
        <v>16</v>
      </c>
      <c r="I1899">
        <v>0</v>
      </c>
      <c r="J1899">
        <v>3</v>
      </c>
      <c r="K1899" s="4">
        <v>2370.6</v>
      </c>
      <c r="L1899" s="4">
        <f>0</f>
        <v>0</v>
      </c>
      <c r="M1899" s="4">
        <f>999</f>
        <v>999</v>
      </c>
      <c r="N1899" t="s">
        <v>19</v>
      </c>
      <c r="O1899" t="str">
        <f t="shared" si="290"/>
        <v>High</v>
      </c>
      <c r="P1899" t="str">
        <f t="shared" si="291"/>
        <v>High</v>
      </c>
      <c r="Q1899" t="str">
        <f t="shared" si="292"/>
        <v>High</v>
      </c>
      <c r="R1899" t="s">
        <v>3317</v>
      </c>
      <c r="S1899" s="4">
        <f t="shared" ca="1" si="293"/>
        <v>-239</v>
      </c>
      <c r="T1899">
        <f t="shared" si="294"/>
        <v>3</v>
      </c>
      <c r="U1899">
        <f t="shared" si="295"/>
        <v>3</v>
      </c>
      <c r="V1899">
        <f t="shared" si="296"/>
        <v>3</v>
      </c>
      <c r="W1899">
        <f t="shared" si="297"/>
        <v>1</v>
      </c>
      <c r="X1899">
        <f t="shared" si="298"/>
        <v>2.8000000000000003</v>
      </c>
      <c r="Y1899" t="str">
        <f t="shared" si="299"/>
        <v>Move Immediately</v>
      </c>
    </row>
    <row r="1900" spans="1:25" x14ac:dyDescent="0.35">
      <c r="A1900" t="s">
        <v>179</v>
      </c>
      <c r="B1900" t="s">
        <v>180</v>
      </c>
      <c r="C1900" t="s">
        <v>181</v>
      </c>
      <c r="D1900" t="s">
        <v>326</v>
      </c>
      <c r="E1900">
        <v>80796114</v>
      </c>
      <c r="F1900" t="s">
        <v>1517</v>
      </c>
      <c r="G1900" s="3">
        <v>45956</v>
      </c>
      <c r="H1900">
        <v>16</v>
      </c>
      <c r="I1900">
        <v>0</v>
      </c>
      <c r="J1900">
        <v>2</v>
      </c>
      <c r="K1900" s="4">
        <v>1580.4</v>
      </c>
      <c r="L1900" s="4">
        <f>0</f>
        <v>0</v>
      </c>
      <c r="M1900" s="4">
        <f>999</f>
        <v>999</v>
      </c>
      <c r="N1900" t="s">
        <v>19</v>
      </c>
      <c r="O1900" t="str">
        <f t="shared" si="290"/>
        <v>High</v>
      </c>
      <c r="P1900" t="str">
        <f t="shared" si="291"/>
        <v>High</v>
      </c>
      <c r="Q1900" t="str">
        <f t="shared" si="292"/>
        <v>High</v>
      </c>
      <c r="R1900" t="s">
        <v>3317</v>
      </c>
      <c r="S1900" s="4">
        <f t="shared" ca="1" si="293"/>
        <v>-241</v>
      </c>
      <c r="T1900">
        <f t="shared" si="294"/>
        <v>3</v>
      </c>
      <c r="U1900">
        <f t="shared" si="295"/>
        <v>3</v>
      </c>
      <c r="V1900">
        <f t="shared" si="296"/>
        <v>3</v>
      </c>
      <c r="W1900">
        <f t="shared" si="297"/>
        <v>1</v>
      </c>
      <c r="X1900">
        <f t="shared" si="298"/>
        <v>2.8000000000000003</v>
      </c>
      <c r="Y1900" t="str">
        <f t="shared" si="299"/>
        <v>Move Immediately</v>
      </c>
    </row>
    <row r="1901" spans="1:25" x14ac:dyDescent="0.35">
      <c r="A1901" t="s">
        <v>179</v>
      </c>
      <c r="B1901" t="s">
        <v>180</v>
      </c>
      <c r="C1901" t="s">
        <v>181</v>
      </c>
      <c r="D1901" t="s">
        <v>326</v>
      </c>
      <c r="E1901">
        <v>80796114</v>
      </c>
      <c r="F1901" t="s">
        <v>1517</v>
      </c>
      <c r="G1901" s="3">
        <v>46004</v>
      </c>
      <c r="H1901">
        <v>16</v>
      </c>
      <c r="I1901">
        <v>0</v>
      </c>
      <c r="J1901">
        <v>1</v>
      </c>
      <c r="K1901" s="4">
        <v>790.2</v>
      </c>
      <c r="L1901" s="4">
        <f>0</f>
        <v>0</v>
      </c>
      <c r="M1901" s="4">
        <f>999</f>
        <v>999</v>
      </c>
      <c r="N1901" t="s">
        <v>19</v>
      </c>
      <c r="O1901" t="str">
        <f t="shared" si="290"/>
        <v>High</v>
      </c>
      <c r="P1901" t="str">
        <f t="shared" si="291"/>
        <v>High</v>
      </c>
      <c r="Q1901" t="str">
        <f t="shared" si="292"/>
        <v>High</v>
      </c>
      <c r="R1901" t="s">
        <v>3317</v>
      </c>
      <c r="S1901" s="4">
        <f t="shared" ca="1" si="293"/>
        <v>-193</v>
      </c>
      <c r="T1901">
        <f t="shared" si="294"/>
        <v>3</v>
      </c>
      <c r="U1901">
        <f t="shared" si="295"/>
        <v>3</v>
      </c>
      <c r="V1901">
        <f t="shared" si="296"/>
        <v>3</v>
      </c>
      <c r="W1901">
        <f t="shared" si="297"/>
        <v>1</v>
      </c>
      <c r="X1901">
        <f t="shared" si="298"/>
        <v>2.8000000000000003</v>
      </c>
      <c r="Y1901" t="str">
        <f t="shared" si="299"/>
        <v>Move Immediately</v>
      </c>
    </row>
    <row r="1902" spans="1:25" x14ac:dyDescent="0.35">
      <c r="A1902" t="s">
        <v>179</v>
      </c>
      <c r="B1902" t="s">
        <v>195</v>
      </c>
      <c r="C1902" t="s">
        <v>199</v>
      </c>
      <c r="D1902" t="s">
        <v>1512</v>
      </c>
      <c r="E1902">
        <v>80831144</v>
      </c>
      <c r="F1902" t="s">
        <v>1513</v>
      </c>
      <c r="G1902" s="3">
        <v>46622</v>
      </c>
      <c r="H1902">
        <v>16</v>
      </c>
      <c r="I1902">
        <v>90</v>
      </c>
      <c r="J1902">
        <v>196</v>
      </c>
      <c r="K1902" s="4">
        <v>54878.04</v>
      </c>
      <c r="L1902" s="4">
        <v>4181</v>
      </c>
      <c r="M1902" s="4">
        <v>4.6878737144223873E-2</v>
      </c>
      <c r="N1902" t="s">
        <v>25</v>
      </c>
      <c r="O1902" t="str">
        <f t="shared" si="290"/>
        <v>Low</v>
      </c>
      <c r="P1902" t="str">
        <f t="shared" si="291"/>
        <v>Low</v>
      </c>
      <c r="Q1902" t="str">
        <f t="shared" si="292"/>
        <v>Low</v>
      </c>
      <c r="R1902" t="s">
        <v>3317</v>
      </c>
      <c r="S1902" s="4">
        <f t="shared" ca="1" si="293"/>
        <v>425</v>
      </c>
      <c r="T1902">
        <f t="shared" si="294"/>
        <v>1</v>
      </c>
      <c r="U1902">
        <f t="shared" si="295"/>
        <v>1</v>
      </c>
      <c r="V1902">
        <f t="shared" si="296"/>
        <v>1</v>
      </c>
      <c r="W1902">
        <f t="shared" si="297"/>
        <v>1</v>
      </c>
      <c r="X1902">
        <f t="shared" si="298"/>
        <v>0.99999999999999989</v>
      </c>
      <c r="Y1902" t="str">
        <f t="shared" si="299"/>
        <v>Healthy</v>
      </c>
    </row>
    <row r="1903" spans="1:25" x14ac:dyDescent="0.35">
      <c r="A1903" t="s">
        <v>99</v>
      </c>
      <c r="B1903" t="s">
        <v>100</v>
      </c>
      <c r="C1903" t="s">
        <v>375</v>
      </c>
      <c r="D1903" t="s">
        <v>949</v>
      </c>
      <c r="E1903">
        <v>80830410</v>
      </c>
      <c r="F1903" t="s">
        <v>1518</v>
      </c>
      <c r="G1903" s="3">
        <v>47229</v>
      </c>
      <c r="H1903">
        <v>36</v>
      </c>
      <c r="I1903">
        <v>96</v>
      </c>
      <c r="J1903">
        <v>42</v>
      </c>
      <c r="K1903" s="4">
        <v>11159.82</v>
      </c>
      <c r="L1903" s="4">
        <v>553.85714285714289</v>
      </c>
      <c r="M1903" s="4">
        <v>7.5831828733556872E-2</v>
      </c>
      <c r="N1903" t="s">
        <v>25</v>
      </c>
      <c r="O1903" t="str">
        <f t="shared" si="290"/>
        <v>Low</v>
      </c>
      <c r="P1903" t="str">
        <f t="shared" si="291"/>
        <v>Low</v>
      </c>
      <c r="Q1903" t="str">
        <f t="shared" si="292"/>
        <v>Low</v>
      </c>
      <c r="R1903" t="s">
        <v>3317</v>
      </c>
      <c r="S1903" s="4">
        <f t="shared" ca="1" si="293"/>
        <v>1032</v>
      </c>
      <c r="T1903">
        <f t="shared" si="294"/>
        <v>1</v>
      </c>
      <c r="U1903">
        <f t="shared" si="295"/>
        <v>1</v>
      </c>
      <c r="V1903">
        <f t="shared" si="296"/>
        <v>1</v>
      </c>
      <c r="W1903">
        <f t="shared" si="297"/>
        <v>1</v>
      </c>
      <c r="X1903">
        <f t="shared" si="298"/>
        <v>0.99999999999999989</v>
      </c>
      <c r="Y1903" t="str">
        <f t="shared" si="299"/>
        <v>Healthy</v>
      </c>
    </row>
    <row r="1904" spans="1:25" x14ac:dyDescent="0.35">
      <c r="A1904" t="s">
        <v>99</v>
      </c>
      <c r="B1904" t="s">
        <v>100</v>
      </c>
      <c r="C1904" t="s">
        <v>375</v>
      </c>
      <c r="D1904" t="s">
        <v>949</v>
      </c>
      <c r="E1904">
        <v>80830410</v>
      </c>
      <c r="F1904" t="s">
        <v>1518</v>
      </c>
      <c r="G1904" s="3">
        <v>46899</v>
      </c>
      <c r="H1904">
        <v>36</v>
      </c>
      <c r="I1904">
        <v>65</v>
      </c>
      <c r="J1904">
        <v>7</v>
      </c>
      <c r="K1904" s="4">
        <v>1859.97</v>
      </c>
      <c r="L1904" s="4">
        <v>553.85714285714289</v>
      </c>
      <c r="M1904" s="4">
        <v>1.2638638122259477E-2</v>
      </c>
      <c r="N1904" t="s">
        <v>25</v>
      </c>
      <c r="O1904" t="str">
        <f t="shared" si="290"/>
        <v>Low</v>
      </c>
      <c r="P1904" t="str">
        <f t="shared" si="291"/>
        <v>Low</v>
      </c>
      <c r="Q1904" t="str">
        <f t="shared" si="292"/>
        <v>Low</v>
      </c>
      <c r="R1904" t="s">
        <v>3317</v>
      </c>
      <c r="S1904" s="4">
        <f t="shared" ca="1" si="293"/>
        <v>702</v>
      </c>
      <c r="T1904">
        <f t="shared" si="294"/>
        <v>1</v>
      </c>
      <c r="U1904">
        <f t="shared" si="295"/>
        <v>1</v>
      </c>
      <c r="V1904">
        <f t="shared" si="296"/>
        <v>1</v>
      </c>
      <c r="W1904">
        <f t="shared" si="297"/>
        <v>1</v>
      </c>
      <c r="X1904">
        <f t="shared" si="298"/>
        <v>0.99999999999999989</v>
      </c>
      <c r="Y1904" t="str">
        <f t="shared" si="299"/>
        <v>Healthy</v>
      </c>
    </row>
    <row r="1905" spans="1:25" x14ac:dyDescent="0.35">
      <c r="A1905" t="s">
        <v>29</v>
      </c>
      <c r="B1905" t="s">
        <v>30</v>
      </c>
      <c r="C1905" t="s">
        <v>147</v>
      </c>
      <c r="D1905" t="s">
        <v>1329</v>
      </c>
      <c r="E1905">
        <v>80767019</v>
      </c>
      <c r="F1905" t="s">
        <v>1519</v>
      </c>
      <c r="G1905" s="3">
        <v>46554</v>
      </c>
      <c r="H1905">
        <v>36</v>
      </c>
      <c r="I1905">
        <v>34</v>
      </c>
      <c r="J1905">
        <v>3</v>
      </c>
      <c r="K1905" s="4">
        <v>3597.48</v>
      </c>
      <c r="L1905" s="4">
        <f>0</f>
        <v>0</v>
      </c>
      <c r="M1905" s="4">
        <f>999</f>
        <v>999</v>
      </c>
      <c r="N1905" t="s">
        <v>19</v>
      </c>
      <c r="O1905" t="str">
        <f t="shared" si="290"/>
        <v>Medium</v>
      </c>
      <c r="P1905" t="str">
        <f t="shared" si="291"/>
        <v>High</v>
      </c>
      <c r="Q1905" t="str">
        <f t="shared" si="292"/>
        <v>High</v>
      </c>
      <c r="R1905" t="s">
        <v>3317</v>
      </c>
      <c r="S1905" s="4">
        <f t="shared" ca="1" si="293"/>
        <v>357</v>
      </c>
      <c r="T1905">
        <f t="shared" si="294"/>
        <v>2</v>
      </c>
      <c r="U1905">
        <f t="shared" si="295"/>
        <v>3</v>
      </c>
      <c r="V1905">
        <f t="shared" si="296"/>
        <v>3</v>
      </c>
      <c r="W1905">
        <f t="shared" si="297"/>
        <v>1</v>
      </c>
      <c r="X1905">
        <f t="shared" si="298"/>
        <v>2.4</v>
      </c>
      <c r="Y1905" t="str">
        <f t="shared" si="299"/>
        <v>High Priority</v>
      </c>
    </row>
    <row r="1906" spans="1:25" x14ac:dyDescent="0.35">
      <c r="A1906" t="s">
        <v>99</v>
      </c>
      <c r="B1906" t="s">
        <v>100</v>
      </c>
      <c r="C1906" t="s">
        <v>375</v>
      </c>
      <c r="D1906" t="s">
        <v>949</v>
      </c>
      <c r="E1906">
        <v>80830410</v>
      </c>
      <c r="F1906" t="s">
        <v>1518</v>
      </c>
      <c r="G1906" s="3">
        <v>47006</v>
      </c>
      <c r="H1906">
        <v>36</v>
      </c>
      <c r="I1906">
        <v>75</v>
      </c>
      <c r="J1906">
        <v>42</v>
      </c>
      <c r="K1906" s="4">
        <v>11159.82</v>
      </c>
      <c r="L1906" s="4">
        <v>553.85714285714289</v>
      </c>
      <c r="M1906" s="4">
        <v>7.5831828733556872E-2</v>
      </c>
      <c r="N1906" t="s">
        <v>25</v>
      </c>
      <c r="O1906" t="str">
        <f t="shared" si="290"/>
        <v>Low</v>
      </c>
      <c r="P1906" t="str">
        <f t="shared" si="291"/>
        <v>Low</v>
      </c>
      <c r="Q1906" t="str">
        <f t="shared" si="292"/>
        <v>Low</v>
      </c>
      <c r="R1906" t="s">
        <v>3317</v>
      </c>
      <c r="S1906" s="4">
        <f t="shared" ca="1" si="293"/>
        <v>809</v>
      </c>
      <c r="T1906">
        <f t="shared" si="294"/>
        <v>1</v>
      </c>
      <c r="U1906">
        <f t="shared" si="295"/>
        <v>1</v>
      </c>
      <c r="V1906">
        <f t="shared" si="296"/>
        <v>1</v>
      </c>
      <c r="W1906">
        <f t="shared" si="297"/>
        <v>1</v>
      </c>
      <c r="X1906">
        <f t="shared" si="298"/>
        <v>0.99999999999999989</v>
      </c>
      <c r="Y1906" t="str">
        <f t="shared" si="299"/>
        <v>Healthy</v>
      </c>
    </row>
    <row r="1907" spans="1:25" x14ac:dyDescent="0.35">
      <c r="A1907" t="s">
        <v>99</v>
      </c>
      <c r="B1907" t="s">
        <v>100</v>
      </c>
      <c r="C1907" t="s">
        <v>375</v>
      </c>
      <c r="D1907" t="s">
        <v>949</v>
      </c>
      <c r="E1907">
        <v>80830410</v>
      </c>
      <c r="F1907" t="s">
        <v>1518</v>
      </c>
      <c r="G1907" s="3">
        <v>46920</v>
      </c>
      <c r="H1907">
        <v>36</v>
      </c>
      <c r="I1907">
        <v>67</v>
      </c>
      <c r="J1907">
        <v>21</v>
      </c>
      <c r="K1907" s="4">
        <v>5579.91</v>
      </c>
      <c r="L1907" s="4">
        <v>553.85714285714289</v>
      </c>
      <c r="M1907" s="4">
        <v>3.7915914366778436E-2</v>
      </c>
      <c r="N1907" t="s">
        <v>25</v>
      </c>
      <c r="O1907" t="str">
        <f t="shared" si="290"/>
        <v>Low</v>
      </c>
      <c r="P1907" t="str">
        <f t="shared" si="291"/>
        <v>Low</v>
      </c>
      <c r="Q1907" t="str">
        <f t="shared" si="292"/>
        <v>Low</v>
      </c>
      <c r="R1907" t="s">
        <v>3317</v>
      </c>
      <c r="S1907" s="4">
        <f t="shared" ca="1" si="293"/>
        <v>723</v>
      </c>
      <c r="T1907">
        <f t="shared" si="294"/>
        <v>1</v>
      </c>
      <c r="U1907">
        <f t="shared" si="295"/>
        <v>1</v>
      </c>
      <c r="V1907">
        <f t="shared" si="296"/>
        <v>1</v>
      </c>
      <c r="W1907">
        <f t="shared" si="297"/>
        <v>1</v>
      </c>
      <c r="X1907">
        <f t="shared" si="298"/>
        <v>0.99999999999999989</v>
      </c>
      <c r="Y1907" t="str">
        <f t="shared" si="299"/>
        <v>Healthy</v>
      </c>
    </row>
    <row r="1908" spans="1:25" x14ac:dyDescent="0.35">
      <c r="A1908" t="s">
        <v>99</v>
      </c>
      <c r="B1908" t="s">
        <v>100</v>
      </c>
      <c r="C1908" t="s">
        <v>375</v>
      </c>
      <c r="D1908" t="s">
        <v>949</v>
      </c>
      <c r="E1908">
        <v>80830410</v>
      </c>
      <c r="F1908" t="s">
        <v>1518</v>
      </c>
      <c r="G1908" s="3">
        <v>47152</v>
      </c>
      <c r="H1908">
        <v>36</v>
      </c>
      <c r="I1908">
        <v>89</v>
      </c>
      <c r="J1908">
        <v>22</v>
      </c>
      <c r="K1908" s="4">
        <v>5845.62</v>
      </c>
      <c r="L1908" s="4">
        <v>553.85714285714289</v>
      </c>
      <c r="M1908" s="4">
        <v>3.9721434098529788E-2</v>
      </c>
      <c r="N1908" t="s">
        <v>25</v>
      </c>
      <c r="O1908" t="str">
        <f t="shared" si="290"/>
        <v>Low</v>
      </c>
      <c r="P1908" t="str">
        <f t="shared" si="291"/>
        <v>Low</v>
      </c>
      <c r="Q1908" t="str">
        <f t="shared" si="292"/>
        <v>Low</v>
      </c>
      <c r="R1908" t="s">
        <v>3317</v>
      </c>
      <c r="S1908" s="4">
        <f t="shared" ca="1" si="293"/>
        <v>955</v>
      </c>
      <c r="T1908">
        <f t="shared" si="294"/>
        <v>1</v>
      </c>
      <c r="U1908">
        <f t="shared" si="295"/>
        <v>1</v>
      </c>
      <c r="V1908">
        <f t="shared" si="296"/>
        <v>1</v>
      </c>
      <c r="W1908">
        <f t="shared" si="297"/>
        <v>1</v>
      </c>
      <c r="X1908">
        <f t="shared" si="298"/>
        <v>0.99999999999999989</v>
      </c>
      <c r="Y1908" t="str">
        <f t="shared" si="299"/>
        <v>Healthy</v>
      </c>
    </row>
    <row r="1909" spans="1:25" x14ac:dyDescent="0.35">
      <c r="A1909" t="s">
        <v>71</v>
      </c>
      <c r="B1909" t="s">
        <v>72</v>
      </c>
      <c r="C1909" t="s">
        <v>386</v>
      </c>
      <c r="D1909" t="s">
        <v>1520</v>
      </c>
      <c r="E1909">
        <v>80815805</v>
      </c>
      <c r="F1909" t="s">
        <v>1521</v>
      </c>
      <c r="G1909" s="3">
        <v>46904</v>
      </c>
      <c r="H1909">
        <v>36</v>
      </c>
      <c r="I1909">
        <v>66</v>
      </c>
      <c r="J1909">
        <v>24</v>
      </c>
      <c r="K1909" s="4">
        <v>3571.2</v>
      </c>
      <c r="L1909" s="4">
        <v>0.14285714285714285</v>
      </c>
      <c r="M1909" s="4">
        <v>168</v>
      </c>
      <c r="N1909" t="s">
        <v>19</v>
      </c>
      <c r="O1909" t="str">
        <f t="shared" si="290"/>
        <v>Low</v>
      </c>
      <c r="P1909" t="str">
        <f t="shared" si="291"/>
        <v>High</v>
      </c>
      <c r="Q1909" t="str">
        <f t="shared" si="292"/>
        <v>High</v>
      </c>
      <c r="R1909" t="s">
        <v>3317</v>
      </c>
      <c r="S1909" s="4">
        <f t="shared" ca="1" si="293"/>
        <v>707</v>
      </c>
      <c r="T1909">
        <f t="shared" si="294"/>
        <v>1</v>
      </c>
      <c r="U1909">
        <f t="shared" si="295"/>
        <v>3</v>
      </c>
      <c r="V1909">
        <f t="shared" si="296"/>
        <v>3</v>
      </c>
      <c r="W1909">
        <f t="shared" si="297"/>
        <v>1</v>
      </c>
      <c r="X1909">
        <f t="shared" si="298"/>
        <v>2</v>
      </c>
      <c r="Y1909" t="str">
        <f t="shared" si="299"/>
        <v>Monitor</v>
      </c>
    </row>
    <row r="1910" spans="1:25" x14ac:dyDescent="0.35">
      <c r="A1910" t="s">
        <v>99</v>
      </c>
      <c r="B1910" t="s">
        <v>100</v>
      </c>
      <c r="C1910" t="s">
        <v>375</v>
      </c>
      <c r="D1910" t="s">
        <v>949</v>
      </c>
      <c r="E1910">
        <v>80830410</v>
      </c>
      <c r="F1910" t="s">
        <v>1518</v>
      </c>
      <c r="G1910" s="3">
        <v>46992</v>
      </c>
      <c r="H1910">
        <v>36</v>
      </c>
      <c r="I1910">
        <v>74</v>
      </c>
      <c r="J1910">
        <v>39</v>
      </c>
      <c r="K1910" s="4">
        <v>10362.69</v>
      </c>
      <c r="L1910" s="4">
        <v>553.85714285714289</v>
      </c>
      <c r="M1910" s="4">
        <v>7.0415269538302808E-2</v>
      </c>
      <c r="N1910" t="s">
        <v>25</v>
      </c>
      <c r="O1910" t="str">
        <f t="shared" si="290"/>
        <v>Low</v>
      </c>
      <c r="P1910" t="str">
        <f t="shared" si="291"/>
        <v>Low</v>
      </c>
      <c r="Q1910" t="str">
        <f t="shared" si="292"/>
        <v>Low</v>
      </c>
      <c r="R1910" t="s">
        <v>3317</v>
      </c>
      <c r="S1910" s="4">
        <f t="shared" ca="1" si="293"/>
        <v>795</v>
      </c>
      <c r="T1910">
        <f t="shared" si="294"/>
        <v>1</v>
      </c>
      <c r="U1910">
        <f t="shared" si="295"/>
        <v>1</v>
      </c>
      <c r="V1910">
        <f t="shared" si="296"/>
        <v>1</v>
      </c>
      <c r="W1910">
        <f t="shared" si="297"/>
        <v>1</v>
      </c>
      <c r="X1910">
        <f t="shared" si="298"/>
        <v>0.99999999999999989</v>
      </c>
      <c r="Y1910" t="str">
        <f t="shared" si="299"/>
        <v>Healthy</v>
      </c>
    </row>
    <row r="1911" spans="1:25" x14ac:dyDescent="0.35">
      <c r="A1911" t="s">
        <v>29</v>
      </c>
      <c r="B1911" t="s">
        <v>30</v>
      </c>
      <c r="C1911" t="s">
        <v>147</v>
      </c>
      <c r="D1911" t="s">
        <v>1522</v>
      </c>
      <c r="E1911">
        <v>80767027</v>
      </c>
      <c r="F1911" t="s">
        <v>1523</v>
      </c>
      <c r="G1911" s="3">
        <v>46852</v>
      </c>
      <c r="H1911">
        <v>36</v>
      </c>
      <c r="I1911">
        <v>61</v>
      </c>
      <c r="J1911">
        <v>6</v>
      </c>
      <c r="K1911" s="4">
        <v>8154.96</v>
      </c>
      <c r="L1911" s="4">
        <v>19.428571428571427</v>
      </c>
      <c r="M1911" s="4">
        <v>0.30882352941176472</v>
      </c>
      <c r="N1911" t="s">
        <v>25</v>
      </c>
      <c r="O1911" t="str">
        <f t="shared" si="290"/>
        <v>Low</v>
      </c>
      <c r="P1911" t="str">
        <f t="shared" si="291"/>
        <v>Low</v>
      </c>
      <c r="Q1911" t="str">
        <f t="shared" si="292"/>
        <v>Low</v>
      </c>
      <c r="R1911" t="s">
        <v>3317</v>
      </c>
      <c r="S1911" s="4">
        <f t="shared" ca="1" si="293"/>
        <v>655</v>
      </c>
      <c r="T1911">
        <f t="shared" si="294"/>
        <v>1</v>
      </c>
      <c r="U1911">
        <f t="shared" si="295"/>
        <v>1</v>
      </c>
      <c r="V1911">
        <f t="shared" si="296"/>
        <v>1</v>
      </c>
      <c r="W1911">
        <f t="shared" si="297"/>
        <v>1</v>
      </c>
      <c r="X1911">
        <f t="shared" si="298"/>
        <v>0.99999999999999989</v>
      </c>
      <c r="Y1911" t="str">
        <f t="shared" si="299"/>
        <v>Healthy</v>
      </c>
    </row>
    <row r="1912" spans="1:25" x14ac:dyDescent="0.35">
      <c r="A1912" t="s">
        <v>99</v>
      </c>
      <c r="B1912" t="s">
        <v>100</v>
      </c>
      <c r="C1912" t="s">
        <v>375</v>
      </c>
      <c r="D1912" t="s">
        <v>949</v>
      </c>
      <c r="E1912">
        <v>80830410</v>
      </c>
      <c r="F1912" t="s">
        <v>1518</v>
      </c>
      <c r="G1912" s="3">
        <v>47262</v>
      </c>
      <c r="H1912">
        <v>36</v>
      </c>
      <c r="I1912">
        <v>99</v>
      </c>
      <c r="J1912">
        <v>24</v>
      </c>
      <c r="K1912" s="4">
        <v>6377.04</v>
      </c>
      <c r="L1912" s="4">
        <v>553.85714285714289</v>
      </c>
      <c r="M1912" s="4">
        <v>4.33324735620325E-2</v>
      </c>
      <c r="N1912" t="s">
        <v>25</v>
      </c>
      <c r="O1912" t="str">
        <f t="shared" si="290"/>
        <v>Low</v>
      </c>
      <c r="P1912" t="str">
        <f t="shared" si="291"/>
        <v>Low</v>
      </c>
      <c r="Q1912" t="str">
        <f t="shared" si="292"/>
        <v>Low</v>
      </c>
      <c r="R1912" t="s">
        <v>3317</v>
      </c>
      <c r="S1912" s="4">
        <f t="shared" ca="1" si="293"/>
        <v>1065</v>
      </c>
      <c r="T1912">
        <f t="shared" si="294"/>
        <v>1</v>
      </c>
      <c r="U1912">
        <f t="shared" si="295"/>
        <v>1</v>
      </c>
      <c r="V1912">
        <f t="shared" si="296"/>
        <v>1</v>
      </c>
      <c r="W1912">
        <f t="shared" si="297"/>
        <v>1</v>
      </c>
      <c r="X1912">
        <f t="shared" si="298"/>
        <v>0.99999999999999989</v>
      </c>
      <c r="Y1912" t="str">
        <f t="shared" si="299"/>
        <v>Healthy</v>
      </c>
    </row>
    <row r="1913" spans="1:25" x14ac:dyDescent="0.35">
      <c r="A1913" t="s">
        <v>29</v>
      </c>
      <c r="B1913" t="s">
        <v>30</v>
      </c>
      <c r="C1913" t="s">
        <v>147</v>
      </c>
      <c r="D1913" t="s">
        <v>1522</v>
      </c>
      <c r="E1913">
        <v>80767027</v>
      </c>
      <c r="F1913" t="s">
        <v>1523</v>
      </c>
      <c r="G1913" s="3">
        <v>46831</v>
      </c>
      <c r="H1913">
        <v>36</v>
      </c>
      <c r="I1913">
        <v>59</v>
      </c>
      <c r="J1913">
        <v>11</v>
      </c>
      <c r="K1913" s="4">
        <v>14950.76</v>
      </c>
      <c r="L1913" s="4">
        <v>19.428571428571427</v>
      </c>
      <c r="M1913" s="4">
        <v>0.56617647058823539</v>
      </c>
      <c r="N1913" t="s">
        <v>25</v>
      </c>
      <c r="O1913" t="str">
        <f t="shared" si="290"/>
        <v>Low</v>
      </c>
      <c r="P1913" t="str">
        <f t="shared" si="291"/>
        <v>Low</v>
      </c>
      <c r="Q1913" t="str">
        <f t="shared" si="292"/>
        <v>Low</v>
      </c>
      <c r="R1913" t="s">
        <v>3317</v>
      </c>
      <c r="S1913" s="4">
        <f t="shared" ca="1" si="293"/>
        <v>634</v>
      </c>
      <c r="T1913">
        <f t="shared" si="294"/>
        <v>1</v>
      </c>
      <c r="U1913">
        <f t="shared" si="295"/>
        <v>1</v>
      </c>
      <c r="V1913">
        <f t="shared" si="296"/>
        <v>1</v>
      </c>
      <c r="W1913">
        <f t="shared" si="297"/>
        <v>1</v>
      </c>
      <c r="X1913">
        <f t="shared" si="298"/>
        <v>0.99999999999999989</v>
      </c>
      <c r="Y1913" t="str">
        <f t="shared" si="299"/>
        <v>Healthy</v>
      </c>
    </row>
    <row r="1914" spans="1:25" x14ac:dyDescent="0.35">
      <c r="A1914" t="s">
        <v>99</v>
      </c>
      <c r="B1914" t="s">
        <v>100</v>
      </c>
      <c r="C1914" t="s">
        <v>375</v>
      </c>
      <c r="D1914" t="s">
        <v>949</v>
      </c>
      <c r="E1914">
        <v>80830410</v>
      </c>
      <c r="F1914" t="s">
        <v>1518</v>
      </c>
      <c r="G1914" s="3">
        <v>47006</v>
      </c>
      <c r="H1914">
        <v>36</v>
      </c>
      <c r="I1914">
        <v>75</v>
      </c>
      <c r="J1914">
        <v>42</v>
      </c>
      <c r="K1914" s="4">
        <v>11159.82</v>
      </c>
      <c r="L1914" s="4">
        <v>553.85714285714289</v>
      </c>
      <c r="M1914" s="4">
        <v>7.5831828733556872E-2</v>
      </c>
      <c r="N1914" t="s">
        <v>25</v>
      </c>
      <c r="O1914" t="str">
        <f t="shared" si="290"/>
        <v>Low</v>
      </c>
      <c r="P1914" t="str">
        <f t="shared" si="291"/>
        <v>Low</v>
      </c>
      <c r="Q1914" t="str">
        <f t="shared" si="292"/>
        <v>Low</v>
      </c>
      <c r="R1914" t="s">
        <v>3317</v>
      </c>
      <c r="S1914" s="4">
        <f t="shared" ca="1" si="293"/>
        <v>809</v>
      </c>
      <c r="T1914">
        <f t="shared" si="294"/>
        <v>1</v>
      </c>
      <c r="U1914">
        <f t="shared" si="295"/>
        <v>1</v>
      </c>
      <c r="V1914">
        <f t="shared" si="296"/>
        <v>1</v>
      </c>
      <c r="W1914">
        <f t="shared" si="297"/>
        <v>1</v>
      </c>
      <c r="X1914">
        <f t="shared" si="298"/>
        <v>0.99999999999999989</v>
      </c>
      <c r="Y1914" t="str">
        <f t="shared" si="299"/>
        <v>Healthy</v>
      </c>
    </row>
    <row r="1915" spans="1:25" x14ac:dyDescent="0.35">
      <c r="A1915" t="s">
        <v>99</v>
      </c>
      <c r="B1915" t="s">
        <v>100</v>
      </c>
      <c r="C1915" t="s">
        <v>375</v>
      </c>
      <c r="D1915" t="s">
        <v>949</v>
      </c>
      <c r="E1915">
        <v>80830410</v>
      </c>
      <c r="F1915" t="s">
        <v>1518</v>
      </c>
      <c r="G1915" s="3">
        <v>46952</v>
      </c>
      <c r="H1915">
        <v>36</v>
      </c>
      <c r="I1915">
        <v>70</v>
      </c>
      <c r="J1915">
        <v>44</v>
      </c>
      <c r="K1915" s="4">
        <v>11691.24</v>
      </c>
      <c r="L1915" s="4">
        <v>553.85714285714289</v>
      </c>
      <c r="M1915" s="4">
        <v>7.9442868197059577E-2</v>
      </c>
      <c r="N1915" t="s">
        <v>25</v>
      </c>
      <c r="O1915" t="str">
        <f t="shared" si="290"/>
        <v>Low</v>
      </c>
      <c r="P1915" t="str">
        <f t="shared" si="291"/>
        <v>Low</v>
      </c>
      <c r="Q1915" t="str">
        <f t="shared" si="292"/>
        <v>Low</v>
      </c>
      <c r="R1915" t="s">
        <v>3317</v>
      </c>
      <c r="S1915" s="4">
        <f t="shared" ca="1" si="293"/>
        <v>755</v>
      </c>
      <c r="T1915">
        <f t="shared" si="294"/>
        <v>1</v>
      </c>
      <c r="U1915">
        <f t="shared" si="295"/>
        <v>1</v>
      </c>
      <c r="V1915">
        <f t="shared" si="296"/>
        <v>1</v>
      </c>
      <c r="W1915">
        <f t="shared" si="297"/>
        <v>1</v>
      </c>
      <c r="X1915">
        <f t="shared" si="298"/>
        <v>0.99999999999999989</v>
      </c>
      <c r="Y1915" t="str">
        <f t="shared" si="299"/>
        <v>Healthy</v>
      </c>
    </row>
    <row r="1916" spans="1:25" x14ac:dyDescent="0.35">
      <c r="A1916" t="s">
        <v>20</v>
      </c>
      <c r="B1916" t="s">
        <v>21</v>
      </c>
      <c r="C1916" t="s">
        <v>1524</v>
      </c>
      <c r="D1916" t="s">
        <v>1525</v>
      </c>
      <c r="E1916">
        <v>80851570</v>
      </c>
      <c r="F1916" t="s">
        <v>1526</v>
      </c>
      <c r="G1916" s="3">
        <v>49316</v>
      </c>
      <c r="H1916">
        <v>120</v>
      </c>
      <c r="I1916">
        <v>87</v>
      </c>
      <c r="J1916">
        <v>36</v>
      </c>
      <c r="K1916" s="4">
        <v>6335.64</v>
      </c>
      <c r="L1916" s="4">
        <v>893.42857142857144</v>
      </c>
      <c r="M1916" s="4">
        <v>4.0294211704509114E-2</v>
      </c>
      <c r="N1916" t="s">
        <v>25</v>
      </c>
      <c r="O1916" t="str">
        <f t="shared" si="290"/>
        <v>Low</v>
      </c>
      <c r="P1916" t="str">
        <f t="shared" si="291"/>
        <v>Low</v>
      </c>
      <c r="Q1916" t="str">
        <f t="shared" si="292"/>
        <v>Low</v>
      </c>
      <c r="R1916" t="s">
        <v>3317</v>
      </c>
      <c r="S1916" s="4">
        <f t="shared" ca="1" si="293"/>
        <v>3119</v>
      </c>
      <c r="T1916">
        <f t="shared" si="294"/>
        <v>1</v>
      </c>
      <c r="U1916">
        <f t="shared" si="295"/>
        <v>1</v>
      </c>
      <c r="V1916">
        <f t="shared" si="296"/>
        <v>1</v>
      </c>
      <c r="W1916">
        <f t="shared" si="297"/>
        <v>1</v>
      </c>
      <c r="X1916">
        <f t="shared" si="298"/>
        <v>0.99999999999999989</v>
      </c>
      <c r="Y1916" t="str">
        <f t="shared" si="299"/>
        <v>Healthy</v>
      </c>
    </row>
    <row r="1917" spans="1:25" x14ac:dyDescent="0.35">
      <c r="A1917" t="s">
        <v>20</v>
      </c>
      <c r="B1917" t="s">
        <v>21</v>
      </c>
      <c r="C1917" t="s">
        <v>1524</v>
      </c>
      <c r="D1917" t="s">
        <v>1525</v>
      </c>
      <c r="E1917">
        <v>80851570</v>
      </c>
      <c r="F1917" t="s">
        <v>1526</v>
      </c>
      <c r="G1917" s="3">
        <v>49501</v>
      </c>
      <c r="H1917">
        <v>120</v>
      </c>
      <c r="I1917">
        <v>92</v>
      </c>
      <c r="J1917">
        <v>299</v>
      </c>
      <c r="K1917" s="4">
        <v>52621.01</v>
      </c>
      <c r="L1917" s="4">
        <v>893.42857142857144</v>
      </c>
      <c r="M1917" s="4">
        <v>0.33466581387911737</v>
      </c>
      <c r="N1917" t="s">
        <v>25</v>
      </c>
      <c r="O1917" t="str">
        <f t="shared" si="290"/>
        <v>Low</v>
      </c>
      <c r="P1917" t="str">
        <f t="shared" si="291"/>
        <v>Low</v>
      </c>
      <c r="Q1917" t="str">
        <f t="shared" si="292"/>
        <v>Low</v>
      </c>
      <c r="R1917" t="s">
        <v>3317</v>
      </c>
      <c r="S1917" s="4">
        <f t="shared" ca="1" si="293"/>
        <v>3304</v>
      </c>
      <c r="T1917">
        <f t="shared" si="294"/>
        <v>1</v>
      </c>
      <c r="U1917">
        <f t="shared" si="295"/>
        <v>1</v>
      </c>
      <c r="V1917">
        <f t="shared" si="296"/>
        <v>1</v>
      </c>
      <c r="W1917">
        <f t="shared" si="297"/>
        <v>1</v>
      </c>
      <c r="X1917">
        <f t="shared" si="298"/>
        <v>0.99999999999999989</v>
      </c>
      <c r="Y1917" t="str">
        <f t="shared" si="299"/>
        <v>Healthy</v>
      </c>
    </row>
    <row r="1918" spans="1:25" x14ac:dyDescent="0.35">
      <c r="A1918" t="s">
        <v>20</v>
      </c>
      <c r="B1918" t="s">
        <v>21</v>
      </c>
      <c r="C1918" t="s">
        <v>1524</v>
      </c>
      <c r="D1918" t="s">
        <v>1525</v>
      </c>
      <c r="E1918">
        <v>80851570</v>
      </c>
      <c r="F1918" t="s">
        <v>1526</v>
      </c>
      <c r="G1918" s="3">
        <v>49500</v>
      </c>
      <c r="H1918">
        <v>120</v>
      </c>
      <c r="I1918">
        <v>92</v>
      </c>
      <c r="J1918">
        <v>270</v>
      </c>
      <c r="K1918" s="4">
        <v>47517.3</v>
      </c>
      <c r="L1918" s="4">
        <v>893.42857142857144</v>
      </c>
      <c r="M1918" s="4">
        <v>0.30220658778381837</v>
      </c>
      <c r="N1918" t="s">
        <v>25</v>
      </c>
      <c r="O1918" t="str">
        <f t="shared" si="290"/>
        <v>Low</v>
      </c>
      <c r="P1918" t="str">
        <f t="shared" si="291"/>
        <v>Low</v>
      </c>
      <c r="Q1918" t="str">
        <f t="shared" si="292"/>
        <v>Low</v>
      </c>
      <c r="R1918" t="s">
        <v>3317</v>
      </c>
      <c r="S1918" s="4">
        <f t="shared" ca="1" si="293"/>
        <v>3303</v>
      </c>
      <c r="T1918">
        <f t="shared" si="294"/>
        <v>1</v>
      </c>
      <c r="U1918">
        <f t="shared" si="295"/>
        <v>1</v>
      </c>
      <c r="V1918">
        <f t="shared" si="296"/>
        <v>1</v>
      </c>
      <c r="W1918">
        <f t="shared" si="297"/>
        <v>1</v>
      </c>
      <c r="X1918">
        <f t="shared" si="298"/>
        <v>0.99999999999999989</v>
      </c>
      <c r="Y1918" t="str">
        <f t="shared" si="299"/>
        <v>Healthy</v>
      </c>
    </row>
    <row r="1919" spans="1:25" x14ac:dyDescent="0.35">
      <c r="A1919" t="s">
        <v>104</v>
      </c>
      <c r="B1919" t="s">
        <v>105</v>
      </c>
      <c r="C1919" t="s">
        <v>279</v>
      </c>
      <c r="D1919" t="s">
        <v>1527</v>
      </c>
      <c r="E1919">
        <v>80780340</v>
      </c>
      <c r="F1919" t="s">
        <v>1528</v>
      </c>
      <c r="G1919" s="3">
        <v>46763</v>
      </c>
      <c r="H1919">
        <v>24</v>
      </c>
      <c r="I1919">
        <v>79</v>
      </c>
      <c r="J1919">
        <v>5</v>
      </c>
      <c r="K1919" s="4">
        <v>1195.95</v>
      </c>
      <c r="L1919" s="4">
        <v>658.14285714285711</v>
      </c>
      <c r="M1919" s="4">
        <v>7.5971347948773612E-3</v>
      </c>
      <c r="N1919" t="s">
        <v>25</v>
      </c>
      <c r="O1919" t="str">
        <f t="shared" si="290"/>
        <v>Low</v>
      </c>
      <c r="P1919" t="str">
        <f t="shared" si="291"/>
        <v>Low</v>
      </c>
      <c r="Q1919" t="str">
        <f t="shared" si="292"/>
        <v>Low</v>
      </c>
      <c r="R1919" t="s">
        <v>3317</v>
      </c>
      <c r="S1919" s="4">
        <f t="shared" ca="1" si="293"/>
        <v>566</v>
      </c>
      <c r="T1919">
        <f t="shared" si="294"/>
        <v>1</v>
      </c>
      <c r="U1919">
        <f t="shared" si="295"/>
        <v>1</v>
      </c>
      <c r="V1919">
        <f t="shared" si="296"/>
        <v>1</v>
      </c>
      <c r="W1919">
        <f t="shared" si="297"/>
        <v>1</v>
      </c>
      <c r="X1919">
        <f t="shared" si="298"/>
        <v>0.99999999999999989</v>
      </c>
      <c r="Y1919" t="str">
        <f t="shared" si="299"/>
        <v>Healthy</v>
      </c>
    </row>
    <row r="1920" spans="1:25" x14ac:dyDescent="0.35">
      <c r="A1920" t="s">
        <v>41</v>
      </c>
      <c r="B1920" t="s">
        <v>54</v>
      </c>
      <c r="C1920" t="s">
        <v>87</v>
      </c>
      <c r="D1920" t="s">
        <v>330</v>
      </c>
      <c r="E1920">
        <v>80850658</v>
      </c>
      <c r="F1920" t="s">
        <v>1529</v>
      </c>
      <c r="G1920" s="3">
        <v>46860</v>
      </c>
      <c r="H1920">
        <v>36</v>
      </c>
      <c r="I1920">
        <v>62</v>
      </c>
      <c r="J1920">
        <v>7</v>
      </c>
      <c r="K1920" s="4">
        <v>18239.43</v>
      </c>
      <c r="L1920" s="4">
        <v>3</v>
      </c>
      <c r="M1920" s="4">
        <v>2.3333333333333335</v>
      </c>
      <c r="N1920" t="s">
        <v>25</v>
      </c>
      <c r="O1920" t="str">
        <f t="shared" si="290"/>
        <v>Low</v>
      </c>
      <c r="P1920" t="str">
        <f t="shared" si="291"/>
        <v>Low</v>
      </c>
      <c r="Q1920" t="str">
        <f t="shared" si="292"/>
        <v>High</v>
      </c>
      <c r="R1920" t="s">
        <v>3317</v>
      </c>
      <c r="S1920" s="4">
        <f t="shared" ca="1" si="293"/>
        <v>663</v>
      </c>
      <c r="T1920">
        <f t="shared" si="294"/>
        <v>1</v>
      </c>
      <c r="U1920">
        <f t="shared" si="295"/>
        <v>1</v>
      </c>
      <c r="V1920">
        <f t="shared" si="296"/>
        <v>3</v>
      </c>
      <c r="W1920">
        <f t="shared" si="297"/>
        <v>1</v>
      </c>
      <c r="X1920">
        <f t="shared" si="298"/>
        <v>1.4000000000000001</v>
      </c>
      <c r="Y1920" t="str">
        <f t="shared" si="299"/>
        <v>Healthy</v>
      </c>
    </row>
    <row r="1921" spans="1:25" x14ac:dyDescent="0.35">
      <c r="A1921" t="s">
        <v>104</v>
      </c>
      <c r="B1921" t="s">
        <v>105</v>
      </c>
      <c r="C1921" t="s">
        <v>279</v>
      </c>
      <c r="D1921" t="s">
        <v>1527</v>
      </c>
      <c r="E1921">
        <v>80780340</v>
      </c>
      <c r="F1921" t="s">
        <v>1528</v>
      </c>
      <c r="G1921" s="3">
        <v>46789</v>
      </c>
      <c r="H1921">
        <v>24</v>
      </c>
      <c r="I1921">
        <v>83</v>
      </c>
      <c r="J1921">
        <v>265</v>
      </c>
      <c r="K1921" s="4">
        <v>63385.35</v>
      </c>
      <c r="L1921" s="4">
        <v>658.14285714285711</v>
      </c>
      <c r="M1921" s="4">
        <v>0.40264814412850014</v>
      </c>
      <c r="N1921" t="s">
        <v>25</v>
      </c>
      <c r="O1921" t="str">
        <f t="shared" si="290"/>
        <v>Low</v>
      </c>
      <c r="P1921" t="str">
        <f t="shared" si="291"/>
        <v>Low</v>
      </c>
      <c r="Q1921" t="str">
        <f t="shared" si="292"/>
        <v>Low</v>
      </c>
      <c r="R1921" t="s">
        <v>3317</v>
      </c>
      <c r="S1921" s="4">
        <f t="shared" ca="1" si="293"/>
        <v>592</v>
      </c>
      <c r="T1921">
        <f t="shared" si="294"/>
        <v>1</v>
      </c>
      <c r="U1921">
        <f t="shared" si="295"/>
        <v>1</v>
      </c>
      <c r="V1921">
        <f t="shared" si="296"/>
        <v>1</v>
      </c>
      <c r="W1921">
        <f t="shared" si="297"/>
        <v>1</v>
      </c>
      <c r="X1921">
        <f t="shared" si="298"/>
        <v>0.99999999999999989</v>
      </c>
      <c r="Y1921" t="str">
        <f t="shared" si="299"/>
        <v>Healthy</v>
      </c>
    </row>
    <row r="1922" spans="1:25" x14ac:dyDescent="0.35">
      <c r="A1922" t="s">
        <v>41</v>
      </c>
      <c r="B1922" t="s">
        <v>54</v>
      </c>
      <c r="C1922" t="s">
        <v>87</v>
      </c>
      <c r="D1922" t="s">
        <v>330</v>
      </c>
      <c r="E1922">
        <v>80850658</v>
      </c>
      <c r="F1922" t="s">
        <v>1529</v>
      </c>
      <c r="G1922" s="3">
        <v>46829</v>
      </c>
      <c r="H1922">
        <v>36</v>
      </c>
      <c r="I1922">
        <v>59</v>
      </c>
      <c r="J1922">
        <v>22</v>
      </c>
      <c r="K1922" s="4">
        <v>21119.34</v>
      </c>
      <c r="L1922" s="4">
        <v>3</v>
      </c>
      <c r="M1922" s="4">
        <v>7.333333333333333</v>
      </c>
      <c r="N1922" t="s">
        <v>19</v>
      </c>
      <c r="O1922" t="str">
        <f t="shared" si="290"/>
        <v>Low</v>
      </c>
      <c r="P1922" t="str">
        <f t="shared" si="291"/>
        <v>Medium</v>
      </c>
      <c r="Q1922" t="str">
        <f t="shared" si="292"/>
        <v>High</v>
      </c>
      <c r="R1922" t="s">
        <v>3317</v>
      </c>
      <c r="S1922" s="4">
        <f t="shared" ca="1" si="293"/>
        <v>632</v>
      </c>
      <c r="T1922">
        <f t="shared" si="294"/>
        <v>1</v>
      </c>
      <c r="U1922">
        <f t="shared" si="295"/>
        <v>2</v>
      </c>
      <c r="V1922">
        <f t="shared" si="296"/>
        <v>3</v>
      </c>
      <c r="W1922">
        <f t="shared" si="297"/>
        <v>1</v>
      </c>
      <c r="X1922">
        <f t="shared" si="298"/>
        <v>1.7000000000000002</v>
      </c>
      <c r="Y1922" t="str">
        <f t="shared" si="299"/>
        <v>Monitor</v>
      </c>
    </row>
    <row r="1923" spans="1:25" x14ac:dyDescent="0.35">
      <c r="A1923" t="s">
        <v>104</v>
      </c>
      <c r="B1923" t="s">
        <v>105</v>
      </c>
      <c r="C1923" t="s">
        <v>279</v>
      </c>
      <c r="D1923" t="s">
        <v>1527</v>
      </c>
      <c r="E1923">
        <v>80780340</v>
      </c>
      <c r="F1923" t="s">
        <v>1528</v>
      </c>
      <c r="G1923" s="3">
        <v>46585</v>
      </c>
      <c r="H1923">
        <v>24</v>
      </c>
      <c r="I1923">
        <v>55</v>
      </c>
      <c r="J1923">
        <v>3</v>
      </c>
      <c r="K1923" s="4">
        <v>10763.55</v>
      </c>
      <c r="L1923" s="4">
        <v>658.14285714285711</v>
      </c>
      <c r="M1923" s="4">
        <v>4.5582808769264165E-3</v>
      </c>
      <c r="N1923" t="s">
        <v>25</v>
      </c>
      <c r="O1923" t="str">
        <f t="shared" ref="O1923:O1986" si="300">IF(I1923&lt;20,"High",IF(I1923&lt;40,"Medium","Low"))</f>
        <v>Low</v>
      </c>
      <c r="P1923" t="str">
        <f t="shared" ref="P1923:P1986" si="301">IF(M1923&gt;8,"High",IF(M1923&gt;4,"Medium","Low"))</f>
        <v>Low</v>
      </c>
      <c r="Q1923" t="str">
        <f t="shared" ref="Q1923:Q1986" si="302">IF(L1923&lt;5,"High",IF(L1923&lt;15,"Medium","Low"))</f>
        <v>Low</v>
      </c>
      <c r="R1923" t="s">
        <v>3317</v>
      </c>
      <c r="S1923" s="4">
        <f t="shared" ref="S1923:S1986" ca="1" si="303">G1923-TODAY()</f>
        <v>388</v>
      </c>
      <c r="T1923">
        <f t="shared" ref="T1923:T1986" si="304">IF(O1923="High",3,IF(O1923="Medium",2,1))</f>
        <v>1</v>
      </c>
      <c r="U1923">
        <f t="shared" ref="U1923:U1986" si="305">IF(P1923="High",3,IF(P1923="Medium",2,1))</f>
        <v>1</v>
      </c>
      <c r="V1923">
        <f t="shared" ref="V1923:V1986" si="306">IF(Q1923="High",3,IF(Q1923="Medium",2,1))</f>
        <v>1</v>
      </c>
      <c r="W1923">
        <f t="shared" ref="W1923:W1986" si="307">IF(R1923="High",3,IF(R1923="Medium",2,1))</f>
        <v>1</v>
      </c>
      <c r="X1923">
        <f t="shared" ref="X1923:X1986" si="308">(0.4*T1923)+(0.3*U1923)+(0.2*V1923)+(0.1*W1923)</f>
        <v>0.99999999999999989</v>
      </c>
      <c r="Y1923" t="str">
        <f t="shared" ref="Y1923:Y1986" si="309">IF(X1923&gt;=2.7,"Move Immediately",IF(X1923&gt;=2.2,"High Priority",IF(X1923&gt;=1.7,"Monitor","Healthy")))</f>
        <v>Healthy</v>
      </c>
    </row>
    <row r="1924" spans="1:25" x14ac:dyDescent="0.35">
      <c r="A1924" t="s">
        <v>20</v>
      </c>
      <c r="B1924" t="s">
        <v>21</v>
      </c>
      <c r="C1924" t="s">
        <v>214</v>
      </c>
      <c r="D1924" t="s">
        <v>1530</v>
      </c>
      <c r="E1924">
        <v>80833644</v>
      </c>
      <c r="F1924" t="s">
        <v>1531</v>
      </c>
      <c r="G1924" s="3">
        <v>45927</v>
      </c>
      <c r="H1924">
        <v>36</v>
      </c>
      <c r="I1924">
        <v>0</v>
      </c>
      <c r="J1924">
        <v>46</v>
      </c>
      <c r="K1924" s="4">
        <v>10545.96</v>
      </c>
      <c r="L1924" s="4">
        <f>0</f>
        <v>0</v>
      </c>
      <c r="M1924" s="4">
        <f>999</f>
        <v>999</v>
      </c>
      <c r="N1924" t="s">
        <v>19</v>
      </c>
      <c r="O1924" t="str">
        <f t="shared" si="300"/>
        <v>High</v>
      </c>
      <c r="P1924" t="str">
        <f t="shared" si="301"/>
        <v>High</v>
      </c>
      <c r="Q1924" t="str">
        <f t="shared" si="302"/>
        <v>High</v>
      </c>
      <c r="R1924" t="s">
        <v>3317</v>
      </c>
      <c r="S1924" s="4">
        <f t="shared" ca="1" si="303"/>
        <v>-270</v>
      </c>
      <c r="T1924">
        <f t="shared" si="304"/>
        <v>3</v>
      </c>
      <c r="U1924">
        <f t="shared" si="305"/>
        <v>3</v>
      </c>
      <c r="V1924">
        <f t="shared" si="306"/>
        <v>3</v>
      </c>
      <c r="W1924">
        <f t="shared" si="307"/>
        <v>1</v>
      </c>
      <c r="X1924">
        <f t="shared" si="308"/>
        <v>2.8000000000000003</v>
      </c>
      <c r="Y1924" t="str">
        <f t="shared" si="309"/>
        <v>Move Immediately</v>
      </c>
    </row>
    <row r="1925" spans="1:25" x14ac:dyDescent="0.35">
      <c r="A1925" t="s">
        <v>210</v>
      </c>
      <c r="B1925" t="s">
        <v>211</v>
      </c>
      <c r="C1925" t="s">
        <v>273</v>
      </c>
      <c r="D1925" t="s">
        <v>1532</v>
      </c>
      <c r="E1925">
        <v>80832389</v>
      </c>
      <c r="F1925" t="s">
        <v>1533</v>
      </c>
      <c r="G1925" s="3">
        <v>47982</v>
      </c>
      <c r="H1925">
        <v>60</v>
      </c>
      <c r="I1925">
        <v>99</v>
      </c>
      <c r="J1925">
        <v>10</v>
      </c>
      <c r="K1925" s="4">
        <v>3157.8</v>
      </c>
      <c r="L1925" s="4">
        <v>1355.1428571428571</v>
      </c>
      <c r="M1925" s="4">
        <v>7.3792958043432432E-3</v>
      </c>
      <c r="N1925" t="s">
        <v>25</v>
      </c>
      <c r="O1925" t="str">
        <f t="shared" si="300"/>
        <v>Low</v>
      </c>
      <c r="P1925" t="str">
        <f t="shared" si="301"/>
        <v>Low</v>
      </c>
      <c r="Q1925" t="str">
        <f t="shared" si="302"/>
        <v>Low</v>
      </c>
      <c r="R1925" t="s">
        <v>3317</v>
      </c>
      <c r="S1925" s="4">
        <f t="shared" ca="1" si="303"/>
        <v>1785</v>
      </c>
      <c r="T1925">
        <f t="shared" si="304"/>
        <v>1</v>
      </c>
      <c r="U1925">
        <f t="shared" si="305"/>
        <v>1</v>
      </c>
      <c r="V1925">
        <f t="shared" si="306"/>
        <v>1</v>
      </c>
      <c r="W1925">
        <f t="shared" si="307"/>
        <v>1</v>
      </c>
      <c r="X1925">
        <f t="shared" si="308"/>
        <v>0.99999999999999989</v>
      </c>
      <c r="Y1925" t="str">
        <f t="shared" si="309"/>
        <v>Healthy</v>
      </c>
    </row>
    <row r="1926" spans="1:25" x14ac:dyDescent="0.35">
      <c r="A1926" t="s">
        <v>189</v>
      </c>
      <c r="B1926" t="s">
        <v>190</v>
      </c>
      <c r="C1926" t="s">
        <v>190</v>
      </c>
      <c r="D1926" t="s">
        <v>1534</v>
      </c>
      <c r="E1926">
        <v>80839935</v>
      </c>
      <c r="F1926" t="s">
        <v>1535</v>
      </c>
      <c r="G1926" s="3">
        <v>46168</v>
      </c>
      <c r="H1926">
        <v>18</v>
      </c>
      <c r="I1926">
        <v>0</v>
      </c>
      <c r="J1926">
        <v>5</v>
      </c>
      <c r="K1926" s="4">
        <v>408.55</v>
      </c>
      <c r="L1926" s="4">
        <f>0</f>
        <v>0</v>
      </c>
      <c r="M1926" s="4">
        <f>999</f>
        <v>999</v>
      </c>
      <c r="N1926" t="s">
        <v>19</v>
      </c>
      <c r="O1926" t="str">
        <f t="shared" si="300"/>
        <v>High</v>
      </c>
      <c r="P1926" t="str">
        <f t="shared" si="301"/>
        <v>High</v>
      </c>
      <c r="Q1926" t="str">
        <f t="shared" si="302"/>
        <v>High</v>
      </c>
      <c r="R1926" t="s">
        <v>3317</v>
      </c>
      <c r="S1926" s="4">
        <f t="shared" ca="1" si="303"/>
        <v>-29</v>
      </c>
      <c r="T1926">
        <f t="shared" si="304"/>
        <v>3</v>
      </c>
      <c r="U1926">
        <f t="shared" si="305"/>
        <v>3</v>
      </c>
      <c r="V1926">
        <f t="shared" si="306"/>
        <v>3</v>
      </c>
      <c r="W1926">
        <f t="shared" si="307"/>
        <v>1</v>
      </c>
      <c r="X1926">
        <f t="shared" si="308"/>
        <v>2.8000000000000003</v>
      </c>
      <c r="Y1926" t="str">
        <f t="shared" si="309"/>
        <v>Move Immediately</v>
      </c>
    </row>
    <row r="1927" spans="1:25" x14ac:dyDescent="0.35">
      <c r="A1927" t="s">
        <v>71</v>
      </c>
      <c r="B1927" t="s">
        <v>72</v>
      </c>
      <c r="C1927" t="s">
        <v>174</v>
      </c>
      <c r="D1927" t="s">
        <v>175</v>
      </c>
      <c r="E1927">
        <v>80829165</v>
      </c>
      <c r="F1927" t="s">
        <v>1536</v>
      </c>
      <c r="G1927" s="3">
        <v>46885</v>
      </c>
      <c r="H1927">
        <v>36</v>
      </c>
      <c r="I1927">
        <v>64</v>
      </c>
      <c r="J1927">
        <v>1</v>
      </c>
      <c r="K1927" s="4">
        <v>1123.96</v>
      </c>
      <c r="L1927" s="4">
        <f>0</f>
        <v>0</v>
      </c>
      <c r="M1927" s="4">
        <f>999</f>
        <v>999</v>
      </c>
      <c r="N1927" t="s">
        <v>19</v>
      </c>
      <c r="O1927" t="str">
        <f t="shared" si="300"/>
        <v>Low</v>
      </c>
      <c r="P1927" t="str">
        <f t="shared" si="301"/>
        <v>High</v>
      </c>
      <c r="Q1927" t="str">
        <f t="shared" si="302"/>
        <v>High</v>
      </c>
      <c r="R1927" t="s">
        <v>3317</v>
      </c>
      <c r="S1927" s="4">
        <f t="shared" ca="1" si="303"/>
        <v>688</v>
      </c>
      <c r="T1927">
        <f t="shared" si="304"/>
        <v>1</v>
      </c>
      <c r="U1927">
        <f t="shared" si="305"/>
        <v>3</v>
      </c>
      <c r="V1927">
        <f t="shared" si="306"/>
        <v>3</v>
      </c>
      <c r="W1927">
        <f t="shared" si="307"/>
        <v>1</v>
      </c>
      <c r="X1927">
        <f t="shared" si="308"/>
        <v>2</v>
      </c>
      <c r="Y1927" t="str">
        <f t="shared" si="309"/>
        <v>Monitor</v>
      </c>
    </row>
    <row r="1928" spans="1:25" x14ac:dyDescent="0.35">
      <c r="A1928" t="s">
        <v>71</v>
      </c>
      <c r="B1928" t="s">
        <v>72</v>
      </c>
      <c r="C1928" t="s">
        <v>174</v>
      </c>
      <c r="D1928" t="s">
        <v>175</v>
      </c>
      <c r="E1928">
        <v>80829165</v>
      </c>
      <c r="F1928" t="s">
        <v>1536</v>
      </c>
      <c r="G1928" s="3">
        <v>46957</v>
      </c>
      <c r="H1928">
        <v>36</v>
      </c>
      <c r="I1928">
        <v>71</v>
      </c>
      <c r="J1928">
        <v>8</v>
      </c>
      <c r="K1928" s="4">
        <v>8991.68</v>
      </c>
      <c r="L1928" s="4">
        <f>0</f>
        <v>0</v>
      </c>
      <c r="M1928" s="4">
        <f>999</f>
        <v>999</v>
      </c>
      <c r="N1928" t="s">
        <v>19</v>
      </c>
      <c r="O1928" t="str">
        <f t="shared" si="300"/>
        <v>Low</v>
      </c>
      <c r="P1928" t="str">
        <f t="shared" si="301"/>
        <v>High</v>
      </c>
      <c r="Q1928" t="str">
        <f t="shared" si="302"/>
        <v>High</v>
      </c>
      <c r="R1928" t="s">
        <v>3317</v>
      </c>
      <c r="S1928" s="4">
        <f t="shared" ca="1" si="303"/>
        <v>760</v>
      </c>
      <c r="T1928">
        <f t="shared" si="304"/>
        <v>1</v>
      </c>
      <c r="U1928">
        <f t="shared" si="305"/>
        <v>3</v>
      </c>
      <c r="V1928">
        <f t="shared" si="306"/>
        <v>3</v>
      </c>
      <c r="W1928">
        <f t="shared" si="307"/>
        <v>1</v>
      </c>
      <c r="X1928">
        <f t="shared" si="308"/>
        <v>2</v>
      </c>
      <c r="Y1928" t="str">
        <f t="shared" si="309"/>
        <v>Monitor</v>
      </c>
    </row>
    <row r="1929" spans="1:25" x14ac:dyDescent="0.35">
      <c r="A1929" t="s">
        <v>20</v>
      </c>
      <c r="B1929" t="s">
        <v>21</v>
      </c>
      <c r="C1929" t="s">
        <v>1537</v>
      </c>
      <c r="D1929" t="s">
        <v>1538</v>
      </c>
      <c r="E1929">
        <v>80829394</v>
      </c>
      <c r="F1929" t="s">
        <v>1539</v>
      </c>
      <c r="G1929" s="3">
        <v>46808</v>
      </c>
      <c r="H1929">
        <v>36</v>
      </c>
      <c r="I1929">
        <v>57</v>
      </c>
      <c r="J1929">
        <v>5</v>
      </c>
      <c r="K1929" s="4">
        <v>518.65</v>
      </c>
      <c r="L1929" s="4">
        <v>31.285714285714285</v>
      </c>
      <c r="M1929" s="4">
        <v>0.15981735159817353</v>
      </c>
      <c r="N1929" t="s">
        <v>25</v>
      </c>
      <c r="O1929" t="str">
        <f t="shared" si="300"/>
        <v>Low</v>
      </c>
      <c r="P1929" t="str">
        <f t="shared" si="301"/>
        <v>Low</v>
      </c>
      <c r="Q1929" t="str">
        <f t="shared" si="302"/>
        <v>Low</v>
      </c>
      <c r="R1929" t="s">
        <v>3317</v>
      </c>
      <c r="S1929" s="4">
        <f t="shared" ca="1" si="303"/>
        <v>611</v>
      </c>
      <c r="T1929">
        <f t="shared" si="304"/>
        <v>1</v>
      </c>
      <c r="U1929">
        <f t="shared" si="305"/>
        <v>1</v>
      </c>
      <c r="V1929">
        <f t="shared" si="306"/>
        <v>1</v>
      </c>
      <c r="W1929">
        <f t="shared" si="307"/>
        <v>1</v>
      </c>
      <c r="X1929">
        <f t="shared" si="308"/>
        <v>0.99999999999999989</v>
      </c>
      <c r="Y1929" t="str">
        <f t="shared" si="309"/>
        <v>Healthy</v>
      </c>
    </row>
    <row r="1930" spans="1:25" x14ac:dyDescent="0.35">
      <c r="A1930" t="s">
        <v>90</v>
      </c>
      <c r="B1930" t="s">
        <v>91</v>
      </c>
      <c r="C1930" t="s">
        <v>92</v>
      </c>
      <c r="D1930" t="s">
        <v>829</v>
      </c>
      <c r="E1930">
        <v>80851069</v>
      </c>
      <c r="F1930" t="s">
        <v>1540</v>
      </c>
      <c r="G1930" s="3">
        <v>46893</v>
      </c>
      <c r="H1930">
        <v>24</v>
      </c>
      <c r="I1930">
        <v>97</v>
      </c>
      <c r="J1930">
        <v>169</v>
      </c>
      <c r="K1930" s="4">
        <v>56782.31</v>
      </c>
      <c r="L1930" s="4">
        <v>6239.5714285714284</v>
      </c>
      <c r="M1930" s="4">
        <v>2.7085193580145158E-2</v>
      </c>
      <c r="N1930" t="s">
        <v>25</v>
      </c>
      <c r="O1930" t="str">
        <f t="shared" si="300"/>
        <v>Low</v>
      </c>
      <c r="P1930" t="str">
        <f t="shared" si="301"/>
        <v>Low</v>
      </c>
      <c r="Q1930" t="str">
        <f t="shared" si="302"/>
        <v>Low</v>
      </c>
      <c r="R1930" t="s">
        <v>3317</v>
      </c>
      <c r="S1930" s="4">
        <f t="shared" ca="1" si="303"/>
        <v>696</v>
      </c>
      <c r="T1930">
        <f t="shared" si="304"/>
        <v>1</v>
      </c>
      <c r="U1930">
        <f t="shared" si="305"/>
        <v>1</v>
      </c>
      <c r="V1930">
        <f t="shared" si="306"/>
        <v>1</v>
      </c>
      <c r="W1930">
        <f t="shared" si="307"/>
        <v>1</v>
      </c>
      <c r="X1930">
        <f t="shared" si="308"/>
        <v>0.99999999999999989</v>
      </c>
      <c r="Y1930" t="str">
        <f t="shared" si="309"/>
        <v>Healthy</v>
      </c>
    </row>
    <row r="1931" spans="1:25" x14ac:dyDescent="0.35">
      <c r="A1931" t="s">
        <v>90</v>
      </c>
      <c r="B1931" t="s">
        <v>217</v>
      </c>
      <c r="C1931" t="s">
        <v>533</v>
      </c>
      <c r="D1931" t="s">
        <v>1541</v>
      </c>
      <c r="E1931">
        <v>80834626</v>
      </c>
      <c r="F1931" t="s">
        <v>1542</v>
      </c>
      <c r="G1931" s="3">
        <v>46427</v>
      </c>
      <c r="H1931">
        <v>24</v>
      </c>
      <c r="I1931">
        <v>33</v>
      </c>
      <c r="J1931">
        <v>2</v>
      </c>
      <c r="K1931" s="4">
        <v>77.84</v>
      </c>
      <c r="L1931" s="4">
        <v>12.714285714285714</v>
      </c>
      <c r="M1931" s="4">
        <v>0.15730337078651685</v>
      </c>
      <c r="N1931" t="s">
        <v>25</v>
      </c>
      <c r="O1931" t="str">
        <f t="shared" si="300"/>
        <v>Medium</v>
      </c>
      <c r="P1931" t="str">
        <f t="shared" si="301"/>
        <v>Low</v>
      </c>
      <c r="Q1931" t="str">
        <f t="shared" si="302"/>
        <v>Medium</v>
      </c>
      <c r="R1931" t="s">
        <v>3317</v>
      </c>
      <c r="S1931" s="4">
        <f t="shared" ca="1" si="303"/>
        <v>230</v>
      </c>
      <c r="T1931">
        <f t="shared" si="304"/>
        <v>2</v>
      </c>
      <c r="U1931">
        <f t="shared" si="305"/>
        <v>1</v>
      </c>
      <c r="V1931">
        <f t="shared" si="306"/>
        <v>2</v>
      </c>
      <c r="W1931">
        <f t="shared" si="307"/>
        <v>1</v>
      </c>
      <c r="X1931">
        <f t="shared" si="308"/>
        <v>1.6</v>
      </c>
      <c r="Y1931" t="str">
        <f t="shared" si="309"/>
        <v>Healthy</v>
      </c>
    </row>
    <row r="1932" spans="1:25" x14ac:dyDescent="0.35">
      <c r="A1932" t="s">
        <v>90</v>
      </c>
      <c r="B1932" t="s">
        <v>91</v>
      </c>
      <c r="C1932" t="s">
        <v>92</v>
      </c>
      <c r="D1932" t="s">
        <v>829</v>
      </c>
      <c r="E1932">
        <v>80851069</v>
      </c>
      <c r="F1932" t="s">
        <v>1540</v>
      </c>
      <c r="G1932" s="3">
        <v>46888</v>
      </c>
      <c r="H1932">
        <v>24</v>
      </c>
      <c r="I1932">
        <v>97</v>
      </c>
      <c r="J1932">
        <v>203</v>
      </c>
      <c r="K1932" s="4">
        <v>68205.97</v>
      </c>
      <c r="L1932" s="4">
        <v>6239.5714285714284</v>
      </c>
      <c r="M1932" s="4">
        <v>3.2534285779700987E-2</v>
      </c>
      <c r="N1932" t="s">
        <v>25</v>
      </c>
      <c r="O1932" t="str">
        <f t="shared" si="300"/>
        <v>Low</v>
      </c>
      <c r="P1932" t="str">
        <f t="shared" si="301"/>
        <v>Low</v>
      </c>
      <c r="Q1932" t="str">
        <f t="shared" si="302"/>
        <v>Low</v>
      </c>
      <c r="R1932" t="s">
        <v>3310</v>
      </c>
      <c r="S1932" s="4">
        <f t="shared" ca="1" si="303"/>
        <v>691</v>
      </c>
      <c r="T1932">
        <f t="shared" si="304"/>
        <v>1</v>
      </c>
      <c r="U1932">
        <f t="shared" si="305"/>
        <v>1</v>
      </c>
      <c r="V1932">
        <f t="shared" si="306"/>
        <v>1</v>
      </c>
      <c r="W1932">
        <f t="shared" si="307"/>
        <v>2</v>
      </c>
      <c r="X1932">
        <f t="shared" si="308"/>
        <v>1.0999999999999999</v>
      </c>
      <c r="Y1932" t="str">
        <f t="shared" si="309"/>
        <v>Healthy</v>
      </c>
    </row>
    <row r="1933" spans="1:25" x14ac:dyDescent="0.35">
      <c r="A1933" t="s">
        <v>90</v>
      </c>
      <c r="B1933" t="s">
        <v>91</v>
      </c>
      <c r="C1933" t="s">
        <v>92</v>
      </c>
      <c r="D1933" t="s">
        <v>829</v>
      </c>
      <c r="E1933">
        <v>80851069</v>
      </c>
      <c r="F1933" t="s">
        <v>1540</v>
      </c>
      <c r="G1933" s="3">
        <v>46892</v>
      </c>
      <c r="H1933">
        <v>24</v>
      </c>
      <c r="I1933">
        <v>97</v>
      </c>
      <c r="J1933">
        <v>72</v>
      </c>
      <c r="K1933" s="4">
        <v>24191.279999999999</v>
      </c>
      <c r="L1933" s="4">
        <v>6239.5714285714284</v>
      </c>
      <c r="M1933" s="4">
        <v>1.1539254069647641E-2</v>
      </c>
      <c r="N1933" t="s">
        <v>25</v>
      </c>
      <c r="O1933" t="str">
        <f t="shared" si="300"/>
        <v>Low</v>
      </c>
      <c r="P1933" t="str">
        <f t="shared" si="301"/>
        <v>Low</v>
      </c>
      <c r="Q1933" t="str">
        <f t="shared" si="302"/>
        <v>Low</v>
      </c>
      <c r="R1933" t="s">
        <v>3317</v>
      </c>
      <c r="S1933" s="4">
        <f t="shared" ca="1" si="303"/>
        <v>695</v>
      </c>
      <c r="T1933">
        <f t="shared" si="304"/>
        <v>1</v>
      </c>
      <c r="U1933">
        <f t="shared" si="305"/>
        <v>1</v>
      </c>
      <c r="V1933">
        <f t="shared" si="306"/>
        <v>1</v>
      </c>
      <c r="W1933">
        <f t="shared" si="307"/>
        <v>1</v>
      </c>
      <c r="X1933">
        <f t="shared" si="308"/>
        <v>0.99999999999999989</v>
      </c>
      <c r="Y1933" t="str">
        <f t="shared" si="309"/>
        <v>Healthy</v>
      </c>
    </row>
    <row r="1934" spans="1:25" x14ac:dyDescent="0.35">
      <c r="A1934" t="s">
        <v>90</v>
      </c>
      <c r="B1934" t="s">
        <v>91</v>
      </c>
      <c r="C1934" t="s">
        <v>92</v>
      </c>
      <c r="D1934" t="s">
        <v>829</v>
      </c>
      <c r="E1934">
        <v>80851069</v>
      </c>
      <c r="F1934" t="s">
        <v>1540</v>
      </c>
      <c r="G1934" s="3">
        <v>46891</v>
      </c>
      <c r="H1934">
        <v>24</v>
      </c>
      <c r="I1934">
        <v>97</v>
      </c>
      <c r="J1934">
        <v>212</v>
      </c>
      <c r="K1934" s="4">
        <v>71229.88</v>
      </c>
      <c r="L1934" s="4">
        <v>6239.5714285714284</v>
      </c>
      <c r="M1934" s="4">
        <v>3.397669253840694E-2</v>
      </c>
      <c r="N1934" t="s">
        <v>25</v>
      </c>
      <c r="O1934" t="str">
        <f t="shared" si="300"/>
        <v>Low</v>
      </c>
      <c r="P1934" t="str">
        <f t="shared" si="301"/>
        <v>Low</v>
      </c>
      <c r="Q1934" t="str">
        <f t="shared" si="302"/>
        <v>Low</v>
      </c>
      <c r="R1934" t="s">
        <v>3310</v>
      </c>
      <c r="S1934" s="4">
        <f t="shared" ca="1" si="303"/>
        <v>694</v>
      </c>
      <c r="T1934">
        <f t="shared" si="304"/>
        <v>1</v>
      </c>
      <c r="U1934">
        <f t="shared" si="305"/>
        <v>1</v>
      </c>
      <c r="V1934">
        <f t="shared" si="306"/>
        <v>1</v>
      </c>
      <c r="W1934">
        <f t="shared" si="307"/>
        <v>2</v>
      </c>
      <c r="X1934">
        <f t="shared" si="308"/>
        <v>1.0999999999999999</v>
      </c>
      <c r="Y1934" t="str">
        <f t="shared" si="309"/>
        <v>Healthy</v>
      </c>
    </row>
    <row r="1935" spans="1:25" x14ac:dyDescent="0.35">
      <c r="A1935" t="s">
        <v>90</v>
      </c>
      <c r="B1935" t="s">
        <v>91</v>
      </c>
      <c r="C1935" t="s">
        <v>92</v>
      </c>
      <c r="D1935" t="s">
        <v>829</v>
      </c>
      <c r="E1935">
        <v>80851069</v>
      </c>
      <c r="F1935" t="s">
        <v>1540</v>
      </c>
      <c r="G1935" s="3">
        <v>46868</v>
      </c>
      <c r="H1935">
        <v>24</v>
      </c>
      <c r="I1935">
        <v>94</v>
      </c>
      <c r="J1935">
        <v>103</v>
      </c>
      <c r="K1935" s="4">
        <v>34606.97</v>
      </c>
      <c r="L1935" s="4">
        <v>6239.5714285714284</v>
      </c>
      <c r="M1935" s="4">
        <v>1.6507544016301487E-2</v>
      </c>
      <c r="N1935" t="s">
        <v>25</v>
      </c>
      <c r="O1935" t="str">
        <f t="shared" si="300"/>
        <v>Low</v>
      </c>
      <c r="P1935" t="str">
        <f t="shared" si="301"/>
        <v>Low</v>
      </c>
      <c r="Q1935" t="str">
        <f t="shared" si="302"/>
        <v>Low</v>
      </c>
      <c r="R1935" t="s">
        <v>3317</v>
      </c>
      <c r="S1935" s="4">
        <f t="shared" ca="1" si="303"/>
        <v>671</v>
      </c>
      <c r="T1935">
        <f t="shared" si="304"/>
        <v>1</v>
      </c>
      <c r="U1935">
        <f t="shared" si="305"/>
        <v>1</v>
      </c>
      <c r="V1935">
        <f t="shared" si="306"/>
        <v>1</v>
      </c>
      <c r="W1935">
        <f t="shared" si="307"/>
        <v>1</v>
      </c>
      <c r="X1935">
        <f t="shared" si="308"/>
        <v>0.99999999999999989</v>
      </c>
      <c r="Y1935" t="str">
        <f t="shared" si="309"/>
        <v>Healthy</v>
      </c>
    </row>
    <row r="1936" spans="1:25" x14ac:dyDescent="0.35">
      <c r="A1936" t="s">
        <v>90</v>
      </c>
      <c r="B1936" t="s">
        <v>91</v>
      </c>
      <c r="C1936" t="s">
        <v>92</v>
      </c>
      <c r="D1936" t="s">
        <v>829</v>
      </c>
      <c r="E1936">
        <v>80851069</v>
      </c>
      <c r="F1936" t="s">
        <v>1540</v>
      </c>
      <c r="G1936" s="3">
        <v>46907</v>
      </c>
      <c r="H1936">
        <v>24</v>
      </c>
      <c r="I1936">
        <v>99</v>
      </c>
      <c r="J1936">
        <v>216</v>
      </c>
      <c r="K1936" s="4">
        <v>72573.84</v>
      </c>
      <c r="L1936" s="4">
        <v>6239.5714285714284</v>
      </c>
      <c r="M1936" s="4">
        <v>3.4617762208942922E-2</v>
      </c>
      <c r="N1936" t="s">
        <v>25</v>
      </c>
      <c r="O1936" t="str">
        <f t="shared" si="300"/>
        <v>Low</v>
      </c>
      <c r="P1936" t="str">
        <f t="shared" si="301"/>
        <v>Low</v>
      </c>
      <c r="Q1936" t="str">
        <f t="shared" si="302"/>
        <v>Low</v>
      </c>
      <c r="R1936" t="s">
        <v>3310</v>
      </c>
      <c r="S1936" s="4">
        <f t="shared" ca="1" si="303"/>
        <v>710</v>
      </c>
      <c r="T1936">
        <f t="shared" si="304"/>
        <v>1</v>
      </c>
      <c r="U1936">
        <f t="shared" si="305"/>
        <v>1</v>
      </c>
      <c r="V1936">
        <f t="shared" si="306"/>
        <v>1</v>
      </c>
      <c r="W1936">
        <f t="shared" si="307"/>
        <v>2</v>
      </c>
      <c r="X1936">
        <f t="shared" si="308"/>
        <v>1.0999999999999999</v>
      </c>
      <c r="Y1936" t="str">
        <f t="shared" si="309"/>
        <v>Healthy</v>
      </c>
    </row>
    <row r="1937" spans="1:25" x14ac:dyDescent="0.35">
      <c r="A1937" t="s">
        <v>90</v>
      </c>
      <c r="B1937" t="s">
        <v>91</v>
      </c>
      <c r="C1937" t="s">
        <v>92</v>
      </c>
      <c r="D1937" t="s">
        <v>829</v>
      </c>
      <c r="E1937">
        <v>80851069</v>
      </c>
      <c r="F1937" t="s">
        <v>1540</v>
      </c>
      <c r="G1937" s="3">
        <v>46867</v>
      </c>
      <c r="H1937">
        <v>24</v>
      </c>
      <c r="I1937">
        <v>94</v>
      </c>
      <c r="J1937">
        <v>73</v>
      </c>
      <c r="K1937" s="4">
        <v>24527.27</v>
      </c>
      <c r="L1937" s="4">
        <v>6239.5714285714284</v>
      </c>
      <c r="M1937" s="4">
        <v>1.1699521487281636E-2</v>
      </c>
      <c r="N1937" t="s">
        <v>25</v>
      </c>
      <c r="O1937" t="str">
        <f t="shared" si="300"/>
        <v>Low</v>
      </c>
      <c r="P1937" t="str">
        <f t="shared" si="301"/>
        <v>Low</v>
      </c>
      <c r="Q1937" t="str">
        <f t="shared" si="302"/>
        <v>Low</v>
      </c>
      <c r="R1937" t="s">
        <v>3317</v>
      </c>
      <c r="S1937" s="4">
        <f t="shared" ca="1" si="303"/>
        <v>670</v>
      </c>
      <c r="T1937">
        <f t="shared" si="304"/>
        <v>1</v>
      </c>
      <c r="U1937">
        <f t="shared" si="305"/>
        <v>1</v>
      </c>
      <c r="V1937">
        <f t="shared" si="306"/>
        <v>1</v>
      </c>
      <c r="W1937">
        <f t="shared" si="307"/>
        <v>1</v>
      </c>
      <c r="X1937">
        <f t="shared" si="308"/>
        <v>0.99999999999999989</v>
      </c>
      <c r="Y1937" t="str">
        <f t="shared" si="309"/>
        <v>Healthy</v>
      </c>
    </row>
    <row r="1938" spans="1:25" x14ac:dyDescent="0.35">
      <c r="A1938" t="s">
        <v>90</v>
      </c>
      <c r="B1938" t="s">
        <v>91</v>
      </c>
      <c r="C1938" t="s">
        <v>92</v>
      </c>
      <c r="D1938" t="s">
        <v>829</v>
      </c>
      <c r="E1938">
        <v>80851069</v>
      </c>
      <c r="F1938" t="s">
        <v>1540</v>
      </c>
      <c r="G1938" s="3">
        <v>46892</v>
      </c>
      <c r="H1938">
        <v>24</v>
      </c>
      <c r="I1938">
        <v>97</v>
      </c>
      <c r="J1938">
        <v>213</v>
      </c>
      <c r="K1938" s="4">
        <v>71565.87</v>
      </c>
      <c r="L1938" s="4">
        <v>6239.5714285714284</v>
      </c>
      <c r="M1938" s="4">
        <v>3.4136959956040935E-2</v>
      </c>
      <c r="N1938" t="s">
        <v>25</v>
      </c>
      <c r="O1938" t="str">
        <f t="shared" si="300"/>
        <v>Low</v>
      </c>
      <c r="P1938" t="str">
        <f t="shared" si="301"/>
        <v>Low</v>
      </c>
      <c r="Q1938" t="str">
        <f t="shared" si="302"/>
        <v>Low</v>
      </c>
      <c r="R1938" t="s">
        <v>3310</v>
      </c>
      <c r="S1938" s="4">
        <f t="shared" ca="1" si="303"/>
        <v>695</v>
      </c>
      <c r="T1938">
        <f t="shared" si="304"/>
        <v>1</v>
      </c>
      <c r="U1938">
        <f t="shared" si="305"/>
        <v>1</v>
      </c>
      <c r="V1938">
        <f t="shared" si="306"/>
        <v>1</v>
      </c>
      <c r="W1938">
        <f t="shared" si="307"/>
        <v>2</v>
      </c>
      <c r="X1938">
        <f t="shared" si="308"/>
        <v>1.0999999999999999</v>
      </c>
      <c r="Y1938" t="str">
        <f t="shared" si="309"/>
        <v>Healthy</v>
      </c>
    </row>
    <row r="1939" spans="1:25" x14ac:dyDescent="0.35">
      <c r="A1939" t="s">
        <v>90</v>
      </c>
      <c r="B1939" t="s">
        <v>91</v>
      </c>
      <c r="C1939" t="s">
        <v>92</v>
      </c>
      <c r="D1939" t="s">
        <v>829</v>
      </c>
      <c r="E1939">
        <v>80851069</v>
      </c>
      <c r="F1939" t="s">
        <v>1540</v>
      </c>
      <c r="G1939" s="3">
        <v>46879</v>
      </c>
      <c r="H1939">
        <v>24</v>
      </c>
      <c r="I1939">
        <v>95</v>
      </c>
      <c r="J1939">
        <v>186</v>
      </c>
      <c r="K1939" s="4">
        <v>62494.14</v>
      </c>
      <c r="L1939" s="4">
        <v>6239.5714285714284</v>
      </c>
      <c r="M1939" s="4">
        <v>2.9809739679923071E-2</v>
      </c>
      <c r="N1939" t="s">
        <v>25</v>
      </c>
      <c r="O1939" t="str">
        <f t="shared" si="300"/>
        <v>Low</v>
      </c>
      <c r="P1939" t="str">
        <f t="shared" si="301"/>
        <v>Low</v>
      </c>
      <c r="Q1939" t="str">
        <f t="shared" si="302"/>
        <v>Low</v>
      </c>
      <c r="R1939" t="s">
        <v>3317</v>
      </c>
      <c r="S1939" s="4">
        <f t="shared" ca="1" si="303"/>
        <v>682</v>
      </c>
      <c r="T1939">
        <f t="shared" si="304"/>
        <v>1</v>
      </c>
      <c r="U1939">
        <f t="shared" si="305"/>
        <v>1</v>
      </c>
      <c r="V1939">
        <f t="shared" si="306"/>
        <v>1</v>
      </c>
      <c r="W1939">
        <f t="shared" si="307"/>
        <v>1</v>
      </c>
      <c r="X1939">
        <f t="shared" si="308"/>
        <v>0.99999999999999989</v>
      </c>
      <c r="Y1939" t="str">
        <f t="shared" si="309"/>
        <v>Healthy</v>
      </c>
    </row>
    <row r="1940" spans="1:25" x14ac:dyDescent="0.35">
      <c r="A1940" t="s">
        <v>41</v>
      </c>
      <c r="B1940" t="s">
        <v>42</v>
      </c>
      <c r="C1940" t="s">
        <v>365</v>
      </c>
      <c r="D1940" t="s">
        <v>396</v>
      </c>
      <c r="E1940">
        <v>80839860</v>
      </c>
      <c r="F1940" t="s">
        <v>1543</v>
      </c>
      <c r="G1940" s="3">
        <v>46751</v>
      </c>
      <c r="H1940">
        <v>36</v>
      </c>
      <c r="I1940">
        <v>52</v>
      </c>
      <c r="J1940">
        <v>3</v>
      </c>
      <c r="K1940" s="4">
        <v>2512.1999999999998</v>
      </c>
      <c r="L1940" s="4">
        <f>0</f>
        <v>0</v>
      </c>
      <c r="M1940" s="4">
        <f>999</f>
        <v>999</v>
      </c>
      <c r="N1940" t="s">
        <v>19</v>
      </c>
      <c r="O1940" t="str">
        <f t="shared" si="300"/>
        <v>Low</v>
      </c>
      <c r="P1940" t="str">
        <f t="shared" si="301"/>
        <v>High</v>
      </c>
      <c r="Q1940" t="str">
        <f t="shared" si="302"/>
        <v>High</v>
      </c>
      <c r="R1940" t="s">
        <v>3317</v>
      </c>
      <c r="S1940" s="4">
        <f t="shared" ca="1" si="303"/>
        <v>554</v>
      </c>
      <c r="T1940">
        <f t="shared" si="304"/>
        <v>1</v>
      </c>
      <c r="U1940">
        <f t="shared" si="305"/>
        <v>3</v>
      </c>
      <c r="V1940">
        <f t="shared" si="306"/>
        <v>3</v>
      </c>
      <c r="W1940">
        <f t="shared" si="307"/>
        <v>1</v>
      </c>
      <c r="X1940">
        <f t="shared" si="308"/>
        <v>2</v>
      </c>
      <c r="Y1940" t="str">
        <f t="shared" si="309"/>
        <v>Monitor</v>
      </c>
    </row>
    <row r="1941" spans="1:25" x14ac:dyDescent="0.35">
      <c r="A1941" t="s">
        <v>71</v>
      </c>
      <c r="B1941" t="s">
        <v>72</v>
      </c>
      <c r="C1941" t="s">
        <v>150</v>
      </c>
      <c r="D1941" t="s">
        <v>1544</v>
      </c>
      <c r="E1941">
        <v>80847629</v>
      </c>
      <c r="F1941" t="s">
        <v>1545</v>
      </c>
      <c r="G1941" s="3">
        <v>46907</v>
      </c>
      <c r="H1941">
        <v>36</v>
      </c>
      <c r="I1941">
        <v>66</v>
      </c>
      <c r="J1941">
        <v>192</v>
      </c>
      <c r="K1941" s="4">
        <v>3072</v>
      </c>
      <c r="L1941" s="4">
        <f>0</f>
        <v>0</v>
      </c>
      <c r="M1941" s="4">
        <f>999</f>
        <v>999</v>
      </c>
      <c r="N1941" t="s">
        <v>19</v>
      </c>
      <c r="O1941" t="str">
        <f t="shared" si="300"/>
        <v>Low</v>
      </c>
      <c r="P1941" t="str">
        <f t="shared" si="301"/>
        <v>High</v>
      </c>
      <c r="Q1941" t="str">
        <f t="shared" si="302"/>
        <v>High</v>
      </c>
      <c r="R1941" t="s">
        <v>3317</v>
      </c>
      <c r="S1941" s="4">
        <f t="shared" ca="1" si="303"/>
        <v>710</v>
      </c>
      <c r="T1941">
        <f t="shared" si="304"/>
        <v>1</v>
      </c>
      <c r="U1941">
        <f t="shared" si="305"/>
        <v>3</v>
      </c>
      <c r="V1941">
        <f t="shared" si="306"/>
        <v>3</v>
      </c>
      <c r="W1941">
        <f t="shared" si="307"/>
        <v>1</v>
      </c>
      <c r="X1941">
        <f t="shared" si="308"/>
        <v>2</v>
      </c>
      <c r="Y1941" t="str">
        <f t="shared" si="309"/>
        <v>Monitor</v>
      </c>
    </row>
    <row r="1942" spans="1:25" x14ac:dyDescent="0.35">
      <c r="A1942" t="s">
        <v>14</v>
      </c>
      <c r="B1942" t="s">
        <v>58</v>
      </c>
      <c r="C1942" t="s">
        <v>951</v>
      </c>
      <c r="D1942" t="s">
        <v>1546</v>
      </c>
      <c r="E1942">
        <v>80821558</v>
      </c>
      <c r="F1942" t="s">
        <v>1547</v>
      </c>
      <c r="G1942" s="3">
        <v>47759</v>
      </c>
      <c r="H1942">
        <v>60</v>
      </c>
      <c r="I1942">
        <v>87</v>
      </c>
      <c r="J1942">
        <v>10</v>
      </c>
      <c r="K1942" s="4">
        <v>5991.2</v>
      </c>
      <c r="L1942" s="4">
        <v>85.714285714285708</v>
      </c>
      <c r="M1942" s="4">
        <v>0.11666666666666667</v>
      </c>
      <c r="N1942" t="s">
        <v>25</v>
      </c>
      <c r="O1942" t="str">
        <f t="shared" si="300"/>
        <v>Low</v>
      </c>
      <c r="P1942" t="str">
        <f t="shared" si="301"/>
        <v>Low</v>
      </c>
      <c r="Q1942" t="str">
        <f t="shared" si="302"/>
        <v>Low</v>
      </c>
      <c r="R1942" t="s">
        <v>3317</v>
      </c>
      <c r="S1942" s="4">
        <f t="shared" ca="1" si="303"/>
        <v>1562</v>
      </c>
      <c r="T1942">
        <f t="shared" si="304"/>
        <v>1</v>
      </c>
      <c r="U1942">
        <f t="shared" si="305"/>
        <v>1</v>
      </c>
      <c r="V1942">
        <f t="shared" si="306"/>
        <v>1</v>
      </c>
      <c r="W1942">
        <f t="shared" si="307"/>
        <v>1</v>
      </c>
      <c r="X1942">
        <f t="shared" si="308"/>
        <v>0.99999999999999989</v>
      </c>
      <c r="Y1942" t="str">
        <f t="shared" si="309"/>
        <v>Healthy</v>
      </c>
    </row>
    <row r="1943" spans="1:25" x14ac:dyDescent="0.35">
      <c r="A1943" t="s">
        <v>14</v>
      </c>
      <c r="B1943" t="s">
        <v>1548</v>
      </c>
      <c r="C1943" t="s">
        <v>1549</v>
      </c>
      <c r="D1943" t="s">
        <v>1550</v>
      </c>
      <c r="E1943">
        <v>80818346</v>
      </c>
      <c r="F1943" t="s">
        <v>1551</v>
      </c>
      <c r="G1943" s="3">
        <v>47967</v>
      </c>
      <c r="H1943">
        <v>60</v>
      </c>
      <c r="I1943">
        <v>99</v>
      </c>
      <c r="J1943">
        <v>58</v>
      </c>
      <c r="K1943" s="4">
        <v>13671.18</v>
      </c>
      <c r="L1943" s="4">
        <v>1822.5714285714287</v>
      </c>
      <c r="M1943" s="4">
        <v>3.1823169775826929E-2</v>
      </c>
      <c r="N1943" t="s">
        <v>25</v>
      </c>
      <c r="O1943" t="str">
        <f t="shared" si="300"/>
        <v>Low</v>
      </c>
      <c r="P1943" t="str">
        <f t="shared" si="301"/>
        <v>Low</v>
      </c>
      <c r="Q1943" t="str">
        <f t="shared" si="302"/>
        <v>Low</v>
      </c>
      <c r="R1943" t="s">
        <v>3317</v>
      </c>
      <c r="S1943" s="4">
        <f t="shared" ca="1" si="303"/>
        <v>1770</v>
      </c>
      <c r="T1943">
        <f t="shared" si="304"/>
        <v>1</v>
      </c>
      <c r="U1943">
        <f t="shared" si="305"/>
        <v>1</v>
      </c>
      <c r="V1943">
        <f t="shared" si="306"/>
        <v>1</v>
      </c>
      <c r="W1943">
        <f t="shared" si="307"/>
        <v>1</v>
      </c>
      <c r="X1943">
        <f t="shared" si="308"/>
        <v>0.99999999999999989</v>
      </c>
      <c r="Y1943" t="str">
        <f t="shared" si="309"/>
        <v>Healthy</v>
      </c>
    </row>
    <row r="1944" spans="1:25" x14ac:dyDescent="0.35">
      <c r="A1944" t="s">
        <v>14</v>
      </c>
      <c r="B1944" t="s">
        <v>1548</v>
      </c>
      <c r="C1944" t="s">
        <v>1549</v>
      </c>
      <c r="D1944" t="s">
        <v>1550</v>
      </c>
      <c r="E1944">
        <v>80818346</v>
      </c>
      <c r="F1944" t="s">
        <v>1551</v>
      </c>
      <c r="G1944" s="3">
        <v>47918</v>
      </c>
      <c r="H1944">
        <v>60</v>
      </c>
      <c r="I1944">
        <v>96</v>
      </c>
      <c r="J1944">
        <v>15</v>
      </c>
      <c r="K1944" s="4">
        <v>3535.65</v>
      </c>
      <c r="L1944" s="4">
        <v>1822.5714285714287</v>
      </c>
      <c r="M1944" s="4">
        <v>8.2301301144379994E-3</v>
      </c>
      <c r="N1944" t="s">
        <v>25</v>
      </c>
      <c r="O1944" t="str">
        <f t="shared" si="300"/>
        <v>Low</v>
      </c>
      <c r="P1944" t="str">
        <f t="shared" si="301"/>
        <v>Low</v>
      </c>
      <c r="Q1944" t="str">
        <f t="shared" si="302"/>
        <v>Low</v>
      </c>
      <c r="R1944" t="s">
        <v>3317</v>
      </c>
      <c r="S1944" s="4">
        <f t="shared" ca="1" si="303"/>
        <v>1721</v>
      </c>
      <c r="T1944">
        <f t="shared" si="304"/>
        <v>1</v>
      </c>
      <c r="U1944">
        <f t="shared" si="305"/>
        <v>1</v>
      </c>
      <c r="V1944">
        <f t="shared" si="306"/>
        <v>1</v>
      </c>
      <c r="W1944">
        <f t="shared" si="307"/>
        <v>1</v>
      </c>
      <c r="X1944">
        <f t="shared" si="308"/>
        <v>0.99999999999999989</v>
      </c>
      <c r="Y1944" t="str">
        <f t="shared" si="309"/>
        <v>Healthy</v>
      </c>
    </row>
    <row r="1945" spans="1:25" x14ac:dyDescent="0.35">
      <c r="A1945" t="s">
        <v>179</v>
      </c>
      <c r="B1945" t="s">
        <v>180</v>
      </c>
      <c r="C1945" t="s">
        <v>181</v>
      </c>
      <c r="D1945" t="s">
        <v>1490</v>
      </c>
      <c r="E1945">
        <v>80829762</v>
      </c>
      <c r="F1945" t="s">
        <v>1552</v>
      </c>
      <c r="G1945" s="3">
        <v>46433</v>
      </c>
      <c r="H1945">
        <v>16</v>
      </c>
      <c r="I1945">
        <v>50</v>
      </c>
      <c r="J1945">
        <v>18</v>
      </c>
      <c r="K1945" s="4">
        <v>5103.8999999999996</v>
      </c>
      <c r="L1945" s="4">
        <v>13.285714285714286</v>
      </c>
      <c r="M1945" s="4">
        <v>1.3548387096774193</v>
      </c>
      <c r="N1945" t="s">
        <v>25</v>
      </c>
      <c r="O1945" t="str">
        <f t="shared" si="300"/>
        <v>Low</v>
      </c>
      <c r="P1945" t="str">
        <f t="shared" si="301"/>
        <v>Low</v>
      </c>
      <c r="Q1945" t="str">
        <f t="shared" si="302"/>
        <v>Medium</v>
      </c>
      <c r="R1945" t="s">
        <v>3317</v>
      </c>
      <c r="S1945" s="4">
        <f t="shared" ca="1" si="303"/>
        <v>236</v>
      </c>
      <c r="T1945">
        <f t="shared" si="304"/>
        <v>1</v>
      </c>
      <c r="U1945">
        <f t="shared" si="305"/>
        <v>1</v>
      </c>
      <c r="V1945">
        <f t="shared" si="306"/>
        <v>2</v>
      </c>
      <c r="W1945">
        <f t="shared" si="307"/>
        <v>1</v>
      </c>
      <c r="X1945">
        <f t="shared" si="308"/>
        <v>1.2000000000000002</v>
      </c>
      <c r="Y1945" t="str">
        <f t="shared" si="309"/>
        <v>Healthy</v>
      </c>
    </row>
    <row r="1946" spans="1:25" x14ac:dyDescent="0.35">
      <c r="A1946" t="s">
        <v>14</v>
      </c>
      <c r="B1946" t="s">
        <v>1548</v>
      </c>
      <c r="C1946" t="s">
        <v>1549</v>
      </c>
      <c r="D1946" t="s">
        <v>1550</v>
      </c>
      <c r="E1946">
        <v>80818346</v>
      </c>
      <c r="F1946" t="s">
        <v>1551</v>
      </c>
      <c r="G1946" s="3">
        <v>47939</v>
      </c>
      <c r="H1946">
        <v>60</v>
      </c>
      <c r="I1946">
        <v>97</v>
      </c>
      <c r="J1946">
        <v>59</v>
      </c>
      <c r="K1946" s="4">
        <v>13906.89</v>
      </c>
      <c r="L1946" s="4">
        <v>1822.5714285714287</v>
      </c>
      <c r="M1946" s="4">
        <v>3.2371845116789463E-2</v>
      </c>
      <c r="N1946" t="s">
        <v>25</v>
      </c>
      <c r="O1946" t="str">
        <f t="shared" si="300"/>
        <v>Low</v>
      </c>
      <c r="P1946" t="str">
        <f t="shared" si="301"/>
        <v>Low</v>
      </c>
      <c r="Q1946" t="str">
        <f t="shared" si="302"/>
        <v>Low</v>
      </c>
      <c r="R1946" t="s">
        <v>3317</v>
      </c>
      <c r="S1946" s="4">
        <f t="shared" ca="1" si="303"/>
        <v>1742</v>
      </c>
      <c r="T1946">
        <f t="shared" si="304"/>
        <v>1</v>
      </c>
      <c r="U1946">
        <f t="shared" si="305"/>
        <v>1</v>
      </c>
      <c r="V1946">
        <f t="shared" si="306"/>
        <v>1</v>
      </c>
      <c r="W1946">
        <f t="shared" si="307"/>
        <v>1</v>
      </c>
      <c r="X1946">
        <f t="shared" si="308"/>
        <v>0.99999999999999989</v>
      </c>
      <c r="Y1946" t="str">
        <f t="shared" si="309"/>
        <v>Healthy</v>
      </c>
    </row>
    <row r="1947" spans="1:25" x14ac:dyDescent="0.35">
      <c r="A1947" t="s">
        <v>14</v>
      </c>
      <c r="B1947" t="s">
        <v>1548</v>
      </c>
      <c r="C1947" t="s">
        <v>1549</v>
      </c>
      <c r="D1947" t="s">
        <v>1550</v>
      </c>
      <c r="E1947">
        <v>80818346</v>
      </c>
      <c r="F1947" t="s">
        <v>1551</v>
      </c>
      <c r="G1947" s="3">
        <v>47950</v>
      </c>
      <c r="H1947">
        <v>60</v>
      </c>
      <c r="I1947">
        <v>98</v>
      </c>
      <c r="J1947">
        <v>144</v>
      </c>
      <c r="K1947" s="4">
        <v>33942.239999999998</v>
      </c>
      <c r="L1947" s="4">
        <v>1822.5714285714287</v>
      </c>
      <c r="M1947" s="4">
        <v>7.9009249098604795E-2</v>
      </c>
      <c r="N1947" t="s">
        <v>25</v>
      </c>
      <c r="O1947" t="str">
        <f t="shared" si="300"/>
        <v>Low</v>
      </c>
      <c r="P1947" t="str">
        <f t="shared" si="301"/>
        <v>Low</v>
      </c>
      <c r="Q1947" t="str">
        <f t="shared" si="302"/>
        <v>Low</v>
      </c>
      <c r="R1947" t="s">
        <v>3317</v>
      </c>
      <c r="S1947" s="4">
        <f t="shared" ca="1" si="303"/>
        <v>1753</v>
      </c>
      <c r="T1947">
        <f t="shared" si="304"/>
        <v>1</v>
      </c>
      <c r="U1947">
        <f t="shared" si="305"/>
        <v>1</v>
      </c>
      <c r="V1947">
        <f t="shared" si="306"/>
        <v>1</v>
      </c>
      <c r="W1947">
        <f t="shared" si="307"/>
        <v>1</v>
      </c>
      <c r="X1947">
        <f t="shared" si="308"/>
        <v>0.99999999999999989</v>
      </c>
      <c r="Y1947" t="str">
        <f t="shared" si="309"/>
        <v>Healthy</v>
      </c>
    </row>
    <row r="1948" spans="1:25" x14ac:dyDescent="0.35">
      <c r="A1948" t="s">
        <v>14</v>
      </c>
      <c r="B1948" t="s">
        <v>1548</v>
      </c>
      <c r="C1948" t="s">
        <v>1549</v>
      </c>
      <c r="D1948" t="s">
        <v>1550</v>
      </c>
      <c r="E1948">
        <v>80818346</v>
      </c>
      <c r="F1948" t="s">
        <v>1551</v>
      </c>
      <c r="G1948" s="3">
        <v>47953</v>
      </c>
      <c r="H1948">
        <v>60</v>
      </c>
      <c r="I1948">
        <v>98</v>
      </c>
      <c r="J1948">
        <v>139</v>
      </c>
      <c r="K1948" s="4">
        <v>32763.69</v>
      </c>
      <c r="L1948" s="4">
        <v>1822.5714285714287</v>
      </c>
      <c r="M1948" s="4">
        <v>7.6265872393792122E-2</v>
      </c>
      <c r="N1948" t="s">
        <v>25</v>
      </c>
      <c r="O1948" t="str">
        <f t="shared" si="300"/>
        <v>Low</v>
      </c>
      <c r="P1948" t="str">
        <f t="shared" si="301"/>
        <v>Low</v>
      </c>
      <c r="Q1948" t="str">
        <f t="shared" si="302"/>
        <v>Low</v>
      </c>
      <c r="R1948" t="s">
        <v>3317</v>
      </c>
      <c r="S1948" s="4">
        <f t="shared" ca="1" si="303"/>
        <v>1756</v>
      </c>
      <c r="T1948">
        <f t="shared" si="304"/>
        <v>1</v>
      </c>
      <c r="U1948">
        <f t="shared" si="305"/>
        <v>1</v>
      </c>
      <c r="V1948">
        <f t="shared" si="306"/>
        <v>1</v>
      </c>
      <c r="W1948">
        <f t="shared" si="307"/>
        <v>1</v>
      </c>
      <c r="X1948">
        <f t="shared" si="308"/>
        <v>0.99999999999999989</v>
      </c>
      <c r="Y1948" t="str">
        <f t="shared" si="309"/>
        <v>Healthy</v>
      </c>
    </row>
    <row r="1949" spans="1:25" x14ac:dyDescent="0.35">
      <c r="A1949" t="s">
        <v>41</v>
      </c>
      <c r="B1949" t="s">
        <v>54</v>
      </c>
      <c r="C1949" t="s">
        <v>87</v>
      </c>
      <c r="D1949" t="s">
        <v>282</v>
      </c>
      <c r="E1949">
        <v>80839427</v>
      </c>
      <c r="F1949" t="s">
        <v>1553</v>
      </c>
      <c r="G1949" s="3">
        <v>46732</v>
      </c>
      <c r="H1949">
        <v>36</v>
      </c>
      <c r="I1949">
        <v>50</v>
      </c>
      <c r="J1949">
        <v>1</v>
      </c>
      <c r="K1949" s="4">
        <v>913.69</v>
      </c>
      <c r="L1949" s="4">
        <f>0</f>
        <v>0</v>
      </c>
      <c r="M1949" s="4">
        <f>999</f>
        <v>999</v>
      </c>
      <c r="N1949" t="s">
        <v>19</v>
      </c>
      <c r="O1949" t="str">
        <f t="shared" si="300"/>
        <v>Low</v>
      </c>
      <c r="P1949" t="str">
        <f t="shared" si="301"/>
        <v>High</v>
      </c>
      <c r="Q1949" t="str">
        <f t="shared" si="302"/>
        <v>High</v>
      </c>
      <c r="R1949" t="s">
        <v>3317</v>
      </c>
      <c r="S1949" s="4">
        <f t="shared" ca="1" si="303"/>
        <v>535</v>
      </c>
      <c r="T1949">
        <f t="shared" si="304"/>
        <v>1</v>
      </c>
      <c r="U1949">
        <f t="shared" si="305"/>
        <v>3</v>
      </c>
      <c r="V1949">
        <f t="shared" si="306"/>
        <v>3</v>
      </c>
      <c r="W1949">
        <f t="shared" si="307"/>
        <v>1</v>
      </c>
      <c r="X1949">
        <f t="shared" si="308"/>
        <v>2</v>
      </c>
      <c r="Y1949" t="str">
        <f t="shared" si="309"/>
        <v>Monitor</v>
      </c>
    </row>
    <row r="1950" spans="1:25" x14ac:dyDescent="0.35">
      <c r="A1950" t="s">
        <v>14</v>
      </c>
      <c r="B1950" t="s">
        <v>1548</v>
      </c>
      <c r="C1950" t="s">
        <v>1549</v>
      </c>
      <c r="D1950" t="s">
        <v>1550</v>
      </c>
      <c r="E1950">
        <v>80818346</v>
      </c>
      <c r="F1950" t="s">
        <v>1551</v>
      </c>
      <c r="G1950" s="3">
        <v>47951</v>
      </c>
      <c r="H1950">
        <v>60</v>
      </c>
      <c r="I1950">
        <v>98</v>
      </c>
      <c r="J1950">
        <v>81</v>
      </c>
      <c r="K1950" s="4">
        <v>19092.509999999998</v>
      </c>
      <c r="L1950" s="4">
        <v>1822.5714285714287</v>
      </c>
      <c r="M1950" s="4">
        <v>4.4442702617965194E-2</v>
      </c>
      <c r="N1950" t="s">
        <v>25</v>
      </c>
      <c r="O1950" t="str">
        <f t="shared" si="300"/>
        <v>Low</v>
      </c>
      <c r="P1950" t="str">
        <f t="shared" si="301"/>
        <v>Low</v>
      </c>
      <c r="Q1950" t="str">
        <f t="shared" si="302"/>
        <v>Low</v>
      </c>
      <c r="R1950" t="s">
        <v>3317</v>
      </c>
      <c r="S1950" s="4">
        <f t="shared" ca="1" si="303"/>
        <v>1754</v>
      </c>
      <c r="T1950">
        <f t="shared" si="304"/>
        <v>1</v>
      </c>
      <c r="U1950">
        <f t="shared" si="305"/>
        <v>1</v>
      </c>
      <c r="V1950">
        <f t="shared" si="306"/>
        <v>1</v>
      </c>
      <c r="W1950">
        <f t="shared" si="307"/>
        <v>1</v>
      </c>
      <c r="X1950">
        <f t="shared" si="308"/>
        <v>0.99999999999999989</v>
      </c>
      <c r="Y1950" t="str">
        <f t="shared" si="309"/>
        <v>Healthy</v>
      </c>
    </row>
    <row r="1951" spans="1:25" x14ac:dyDescent="0.35">
      <c r="A1951" t="s">
        <v>14</v>
      </c>
      <c r="B1951" t="s">
        <v>1548</v>
      </c>
      <c r="C1951" t="s">
        <v>1549</v>
      </c>
      <c r="D1951" t="s">
        <v>1550</v>
      </c>
      <c r="E1951">
        <v>80818346</v>
      </c>
      <c r="F1951" t="s">
        <v>1551</v>
      </c>
      <c r="G1951" s="3">
        <v>47938</v>
      </c>
      <c r="H1951">
        <v>60</v>
      </c>
      <c r="I1951">
        <v>97</v>
      </c>
      <c r="J1951">
        <v>43</v>
      </c>
      <c r="K1951" s="4">
        <v>10135.530000000001</v>
      </c>
      <c r="L1951" s="4">
        <v>1822.5714285714287</v>
      </c>
      <c r="M1951" s="4">
        <v>2.3593039661388933E-2</v>
      </c>
      <c r="N1951" t="s">
        <v>25</v>
      </c>
      <c r="O1951" t="str">
        <f t="shared" si="300"/>
        <v>Low</v>
      </c>
      <c r="P1951" t="str">
        <f t="shared" si="301"/>
        <v>Low</v>
      </c>
      <c r="Q1951" t="str">
        <f t="shared" si="302"/>
        <v>Low</v>
      </c>
      <c r="R1951" t="s">
        <v>3317</v>
      </c>
      <c r="S1951" s="4">
        <f t="shared" ca="1" si="303"/>
        <v>1741</v>
      </c>
      <c r="T1951">
        <f t="shared" si="304"/>
        <v>1</v>
      </c>
      <c r="U1951">
        <f t="shared" si="305"/>
        <v>1</v>
      </c>
      <c r="V1951">
        <f t="shared" si="306"/>
        <v>1</v>
      </c>
      <c r="W1951">
        <f t="shared" si="307"/>
        <v>1</v>
      </c>
      <c r="X1951">
        <f t="shared" si="308"/>
        <v>0.99999999999999989</v>
      </c>
      <c r="Y1951" t="str">
        <f t="shared" si="309"/>
        <v>Healthy</v>
      </c>
    </row>
    <row r="1952" spans="1:25" x14ac:dyDescent="0.35">
      <c r="A1952" t="s">
        <v>104</v>
      </c>
      <c r="B1952" t="s">
        <v>105</v>
      </c>
      <c r="C1952" t="s">
        <v>141</v>
      </c>
      <c r="D1952" t="s">
        <v>1554</v>
      </c>
      <c r="E1952">
        <v>80831166</v>
      </c>
      <c r="F1952" t="s">
        <v>1555</v>
      </c>
      <c r="G1952" s="3">
        <v>46451</v>
      </c>
      <c r="H1952">
        <v>24</v>
      </c>
      <c r="I1952">
        <v>36</v>
      </c>
      <c r="J1952">
        <v>13</v>
      </c>
      <c r="K1952" s="4">
        <v>9332.9599999999991</v>
      </c>
      <c r="L1952" s="4">
        <v>0.42857142857142855</v>
      </c>
      <c r="M1952" s="4">
        <v>30.333333333333336</v>
      </c>
      <c r="N1952" t="s">
        <v>19</v>
      </c>
      <c r="O1952" t="str">
        <f t="shared" si="300"/>
        <v>Medium</v>
      </c>
      <c r="P1952" t="str">
        <f t="shared" si="301"/>
        <v>High</v>
      </c>
      <c r="Q1952" t="str">
        <f t="shared" si="302"/>
        <v>High</v>
      </c>
      <c r="R1952" t="s">
        <v>3317</v>
      </c>
      <c r="S1952" s="4">
        <f t="shared" ca="1" si="303"/>
        <v>254</v>
      </c>
      <c r="T1952">
        <f t="shared" si="304"/>
        <v>2</v>
      </c>
      <c r="U1952">
        <f t="shared" si="305"/>
        <v>3</v>
      </c>
      <c r="V1952">
        <f t="shared" si="306"/>
        <v>3</v>
      </c>
      <c r="W1952">
        <f t="shared" si="307"/>
        <v>1</v>
      </c>
      <c r="X1952">
        <f t="shared" si="308"/>
        <v>2.4</v>
      </c>
      <c r="Y1952" t="str">
        <f t="shared" si="309"/>
        <v>High Priority</v>
      </c>
    </row>
    <row r="1953" spans="1:25" x14ac:dyDescent="0.35">
      <c r="A1953" t="s">
        <v>104</v>
      </c>
      <c r="B1953" t="s">
        <v>105</v>
      </c>
      <c r="C1953" t="s">
        <v>141</v>
      </c>
      <c r="D1953" t="s">
        <v>1554</v>
      </c>
      <c r="E1953">
        <v>80831166</v>
      </c>
      <c r="F1953" t="s">
        <v>1555</v>
      </c>
      <c r="G1953" s="3">
        <v>46299</v>
      </c>
      <c r="H1953">
        <v>24</v>
      </c>
      <c r="I1953">
        <v>15</v>
      </c>
      <c r="J1953">
        <v>16</v>
      </c>
      <c r="K1953" s="4">
        <v>11486.72</v>
      </c>
      <c r="L1953" s="4">
        <v>0.42857142857142855</v>
      </c>
      <c r="M1953" s="4">
        <v>37.333333333333336</v>
      </c>
      <c r="N1953" t="s">
        <v>19</v>
      </c>
      <c r="O1953" t="str">
        <f t="shared" si="300"/>
        <v>High</v>
      </c>
      <c r="P1953" t="str">
        <f t="shared" si="301"/>
        <v>High</v>
      </c>
      <c r="Q1953" t="str">
        <f t="shared" si="302"/>
        <v>High</v>
      </c>
      <c r="R1953" t="s">
        <v>3317</v>
      </c>
      <c r="S1953" s="4">
        <f t="shared" ca="1" si="303"/>
        <v>102</v>
      </c>
      <c r="T1953">
        <f t="shared" si="304"/>
        <v>3</v>
      </c>
      <c r="U1953">
        <f t="shared" si="305"/>
        <v>3</v>
      </c>
      <c r="V1953">
        <f t="shared" si="306"/>
        <v>3</v>
      </c>
      <c r="W1953">
        <f t="shared" si="307"/>
        <v>1</v>
      </c>
      <c r="X1953">
        <f t="shared" si="308"/>
        <v>2.8000000000000003</v>
      </c>
      <c r="Y1953" t="str">
        <f t="shared" si="309"/>
        <v>Move Immediately</v>
      </c>
    </row>
    <row r="1954" spans="1:25" x14ac:dyDescent="0.35">
      <c r="A1954" t="s">
        <v>71</v>
      </c>
      <c r="B1954" t="s">
        <v>72</v>
      </c>
      <c r="C1954" t="s">
        <v>572</v>
      </c>
      <c r="D1954" t="s">
        <v>1556</v>
      </c>
      <c r="E1954">
        <v>80861733</v>
      </c>
      <c r="F1954" t="s">
        <v>1557</v>
      </c>
      <c r="G1954" s="3">
        <v>47028</v>
      </c>
      <c r="H1954">
        <v>36</v>
      </c>
      <c r="I1954">
        <v>77</v>
      </c>
      <c r="J1954">
        <v>17</v>
      </c>
      <c r="K1954" s="4">
        <v>1264.8</v>
      </c>
      <c r="L1954" s="4">
        <v>1020.2857142857143</v>
      </c>
      <c r="M1954" s="4">
        <v>1.6661999439932792E-2</v>
      </c>
      <c r="N1954" t="s">
        <v>25</v>
      </c>
      <c r="O1954" t="str">
        <f t="shared" si="300"/>
        <v>Low</v>
      </c>
      <c r="P1954" t="str">
        <f t="shared" si="301"/>
        <v>Low</v>
      </c>
      <c r="Q1954" t="str">
        <f t="shared" si="302"/>
        <v>Low</v>
      </c>
      <c r="R1954" t="s">
        <v>3317</v>
      </c>
      <c r="S1954" s="4">
        <f t="shared" ca="1" si="303"/>
        <v>831</v>
      </c>
      <c r="T1954">
        <f t="shared" si="304"/>
        <v>1</v>
      </c>
      <c r="U1954">
        <f t="shared" si="305"/>
        <v>1</v>
      </c>
      <c r="V1954">
        <f t="shared" si="306"/>
        <v>1</v>
      </c>
      <c r="W1954">
        <f t="shared" si="307"/>
        <v>1</v>
      </c>
      <c r="X1954">
        <f t="shared" si="308"/>
        <v>0.99999999999999989</v>
      </c>
      <c r="Y1954" t="str">
        <f t="shared" si="309"/>
        <v>Healthy</v>
      </c>
    </row>
    <row r="1955" spans="1:25" x14ac:dyDescent="0.35">
      <c r="A1955" t="s">
        <v>14</v>
      </c>
      <c r="B1955" t="s">
        <v>58</v>
      </c>
      <c r="C1955" t="s">
        <v>1472</v>
      </c>
      <c r="D1955" t="s">
        <v>1558</v>
      </c>
      <c r="E1955">
        <v>80821560</v>
      </c>
      <c r="F1955" t="s">
        <v>1559</v>
      </c>
      <c r="G1955" s="3">
        <v>47780</v>
      </c>
      <c r="H1955">
        <v>60</v>
      </c>
      <c r="I1955">
        <v>88</v>
      </c>
      <c r="J1955">
        <v>13</v>
      </c>
      <c r="K1955" s="4">
        <v>23510.63</v>
      </c>
      <c r="L1955" s="4">
        <v>65.142857142857139</v>
      </c>
      <c r="M1955" s="4">
        <v>0.19956140350877194</v>
      </c>
      <c r="N1955" t="s">
        <v>25</v>
      </c>
      <c r="O1955" t="str">
        <f t="shared" si="300"/>
        <v>Low</v>
      </c>
      <c r="P1955" t="str">
        <f t="shared" si="301"/>
        <v>Low</v>
      </c>
      <c r="Q1955" t="str">
        <f t="shared" si="302"/>
        <v>Low</v>
      </c>
      <c r="R1955" t="s">
        <v>3317</v>
      </c>
      <c r="S1955" s="4">
        <f t="shared" ca="1" si="303"/>
        <v>1583</v>
      </c>
      <c r="T1955">
        <f t="shared" si="304"/>
        <v>1</v>
      </c>
      <c r="U1955">
        <f t="shared" si="305"/>
        <v>1</v>
      </c>
      <c r="V1955">
        <f t="shared" si="306"/>
        <v>1</v>
      </c>
      <c r="W1955">
        <f t="shared" si="307"/>
        <v>1</v>
      </c>
      <c r="X1955">
        <f t="shared" si="308"/>
        <v>0.99999999999999989</v>
      </c>
      <c r="Y1955" t="str">
        <f t="shared" si="309"/>
        <v>Healthy</v>
      </c>
    </row>
    <row r="1956" spans="1:25" x14ac:dyDescent="0.35">
      <c r="A1956" t="s">
        <v>71</v>
      </c>
      <c r="B1956" t="s">
        <v>72</v>
      </c>
      <c r="C1956" t="s">
        <v>572</v>
      </c>
      <c r="D1956" t="s">
        <v>1556</v>
      </c>
      <c r="E1956">
        <v>80861733</v>
      </c>
      <c r="F1956" t="s">
        <v>1557</v>
      </c>
      <c r="G1956" s="3">
        <v>47017</v>
      </c>
      <c r="H1956">
        <v>36</v>
      </c>
      <c r="I1956">
        <v>76</v>
      </c>
      <c r="J1956">
        <v>14</v>
      </c>
      <c r="K1956" s="4">
        <v>1041.5999999999999</v>
      </c>
      <c r="L1956" s="4">
        <v>1020.2857142857143</v>
      </c>
      <c r="M1956" s="4">
        <v>1.3721646597591711E-2</v>
      </c>
      <c r="N1956" t="s">
        <v>25</v>
      </c>
      <c r="O1956" t="str">
        <f t="shared" si="300"/>
        <v>Low</v>
      </c>
      <c r="P1956" t="str">
        <f t="shared" si="301"/>
        <v>Low</v>
      </c>
      <c r="Q1956" t="str">
        <f t="shared" si="302"/>
        <v>Low</v>
      </c>
      <c r="R1956" t="s">
        <v>3317</v>
      </c>
      <c r="S1956" s="4">
        <f t="shared" ca="1" si="303"/>
        <v>820</v>
      </c>
      <c r="T1956">
        <f t="shared" si="304"/>
        <v>1</v>
      </c>
      <c r="U1956">
        <f t="shared" si="305"/>
        <v>1</v>
      </c>
      <c r="V1956">
        <f t="shared" si="306"/>
        <v>1</v>
      </c>
      <c r="W1956">
        <f t="shared" si="307"/>
        <v>1</v>
      </c>
      <c r="X1956">
        <f t="shared" si="308"/>
        <v>0.99999999999999989</v>
      </c>
      <c r="Y1956" t="str">
        <f t="shared" si="309"/>
        <v>Healthy</v>
      </c>
    </row>
    <row r="1957" spans="1:25" x14ac:dyDescent="0.35">
      <c r="A1957" t="s">
        <v>944</v>
      </c>
      <c r="B1957" t="s">
        <v>945</v>
      </c>
      <c r="C1957" t="s">
        <v>994</v>
      </c>
      <c r="D1957" t="s">
        <v>1560</v>
      </c>
      <c r="E1957">
        <v>80810992</v>
      </c>
      <c r="F1957" t="s">
        <v>1561</v>
      </c>
      <c r="G1957" s="3">
        <v>47357</v>
      </c>
      <c r="H1957">
        <v>60</v>
      </c>
      <c r="I1957">
        <v>65</v>
      </c>
      <c r="J1957">
        <v>10</v>
      </c>
      <c r="K1957" s="4">
        <v>69807.199999999997</v>
      </c>
      <c r="L1957" s="4">
        <v>2</v>
      </c>
      <c r="M1957" s="4">
        <v>5</v>
      </c>
      <c r="N1957" t="s">
        <v>25</v>
      </c>
      <c r="O1957" t="str">
        <f t="shared" si="300"/>
        <v>Low</v>
      </c>
      <c r="P1957" t="str">
        <f t="shared" si="301"/>
        <v>Medium</v>
      </c>
      <c r="Q1957" t="str">
        <f t="shared" si="302"/>
        <v>High</v>
      </c>
      <c r="R1957" t="s">
        <v>3310</v>
      </c>
      <c r="S1957" s="4">
        <f t="shared" ca="1" si="303"/>
        <v>1160</v>
      </c>
      <c r="T1957">
        <f t="shared" si="304"/>
        <v>1</v>
      </c>
      <c r="U1957">
        <f t="shared" si="305"/>
        <v>2</v>
      </c>
      <c r="V1957">
        <f t="shared" si="306"/>
        <v>3</v>
      </c>
      <c r="W1957">
        <f t="shared" si="307"/>
        <v>2</v>
      </c>
      <c r="X1957">
        <f t="shared" si="308"/>
        <v>1.8</v>
      </c>
      <c r="Y1957" t="str">
        <f t="shared" si="309"/>
        <v>Monitor</v>
      </c>
    </row>
    <row r="1958" spans="1:25" x14ac:dyDescent="0.35">
      <c r="A1958" t="s">
        <v>944</v>
      </c>
      <c r="B1958" t="s">
        <v>945</v>
      </c>
      <c r="C1958" t="s">
        <v>994</v>
      </c>
      <c r="D1958" t="s">
        <v>1560</v>
      </c>
      <c r="E1958">
        <v>80810992</v>
      </c>
      <c r="F1958" t="s">
        <v>1561</v>
      </c>
      <c r="G1958" s="3">
        <v>47294</v>
      </c>
      <c r="H1958">
        <v>60</v>
      </c>
      <c r="I1958">
        <v>61</v>
      </c>
      <c r="J1958">
        <v>23</v>
      </c>
      <c r="K1958" s="4">
        <v>160556.56</v>
      </c>
      <c r="L1958" s="4">
        <v>2</v>
      </c>
      <c r="M1958" s="4">
        <v>11.5</v>
      </c>
      <c r="N1958" t="s">
        <v>19</v>
      </c>
      <c r="O1958" t="str">
        <f t="shared" si="300"/>
        <v>Low</v>
      </c>
      <c r="P1958" t="str">
        <f t="shared" si="301"/>
        <v>High</v>
      </c>
      <c r="Q1958" t="str">
        <f t="shared" si="302"/>
        <v>High</v>
      </c>
      <c r="R1958" t="s">
        <v>3309</v>
      </c>
      <c r="S1958" s="4">
        <f t="shared" ca="1" si="303"/>
        <v>1097</v>
      </c>
      <c r="T1958">
        <f t="shared" si="304"/>
        <v>1</v>
      </c>
      <c r="U1958">
        <f t="shared" si="305"/>
        <v>3</v>
      </c>
      <c r="V1958">
        <f t="shared" si="306"/>
        <v>3</v>
      </c>
      <c r="W1958">
        <f t="shared" si="307"/>
        <v>3</v>
      </c>
      <c r="X1958">
        <f t="shared" si="308"/>
        <v>2.2000000000000002</v>
      </c>
      <c r="Y1958" t="str">
        <f t="shared" si="309"/>
        <v>High Priority</v>
      </c>
    </row>
    <row r="1959" spans="1:25" x14ac:dyDescent="0.35">
      <c r="A1959" t="s">
        <v>71</v>
      </c>
      <c r="B1959" t="s">
        <v>72</v>
      </c>
      <c r="C1959" t="s">
        <v>572</v>
      </c>
      <c r="D1959" t="s">
        <v>1556</v>
      </c>
      <c r="E1959">
        <v>80861733</v>
      </c>
      <c r="F1959" t="s">
        <v>1557</v>
      </c>
      <c r="G1959" s="3">
        <v>47030</v>
      </c>
      <c r="H1959">
        <v>36</v>
      </c>
      <c r="I1959">
        <v>78</v>
      </c>
      <c r="J1959">
        <v>9</v>
      </c>
      <c r="K1959" s="4">
        <v>669.6</v>
      </c>
      <c r="L1959" s="4">
        <v>1020.2857142857143</v>
      </c>
      <c r="M1959" s="4">
        <v>8.8210585270232424E-3</v>
      </c>
      <c r="N1959" t="s">
        <v>25</v>
      </c>
      <c r="O1959" t="str">
        <f t="shared" si="300"/>
        <v>Low</v>
      </c>
      <c r="P1959" t="str">
        <f t="shared" si="301"/>
        <v>Low</v>
      </c>
      <c r="Q1959" t="str">
        <f t="shared" si="302"/>
        <v>Low</v>
      </c>
      <c r="R1959" t="s">
        <v>3317</v>
      </c>
      <c r="S1959" s="4">
        <f t="shared" ca="1" si="303"/>
        <v>833</v>
      </c>
      <c r="T1959">
        <f t="shared" si="304"/>
        <v>1</v>
      </c>
      <c r="U1959">
        <f t="shared" si="305"/>
        <v>1</v>
      </c>
      <c r="V1959">
        <f t="shared" si="306"/>
        <v>1</v>
      </c>
      <c r="W1959">
        <f t="shared" si="307"/>
        <v>1</v>
      </c>
      <c r="X1959">
        <f t="shared" si="308"/>
        <v>0.99999999999999989</v>
      </c>
      <c r="Y1959" t="str">
        <f t="shared" si="309"/>
        <v>Healthy</v>
      </c>
    </row>
    <row r="1960" spans="1:25" x14ac:dyDescent="0.35">
      <c r="A1960" t="s">
        <v>14</v>
      </c>
      <c r="B1960" t="s">
        <v>15</v>
      </c>
      <c r="C1960" t="s">
        <v>34</v>
      </c>
      <c r="D1960" t="s">
        <v>34</v>
      </c>
      <c r="E1960">
        <v>80803704</v>
      </c>
      <c r="F1960" t="s">
        <v>1562</v>
      </c>
      <c r="G1960" s="3">
        <v>47992</v>
      </c>
      <c r="H1960">
        <v>60</v>
      </c>
      <c r="I1960">
        <v>100</v>
      </c>
      <c r="J1960">
        <v>1743</v>
      </c>
      <c r="K1960" s="4">
        <v>410842.53</v>
      </c>
      <c r="L1960" s="4">
        <v>3340.8571428571427</v>
      </c>
      <c r="M1960" s="4">
        <v>0.52172239801590703</v>
      </c>
      <c r="N1960" t="s">
        <v>25</v>
      </c>
      <c r="O1960" t="str">
        <f t="shared" si="300"/>
        <v>Low</v>
      </c>
      <c r="P1960" t="str">
        <f t="shared" si="301"/>
        <v>Low</v>
      </c>
      <c r="Q1960" t="str">
        <f t="shared" si="302"/>
        <v>Low</v>
      </c>
      <c r="R1960" t="s">
        <v>3309</v>
      </c>
      <c r="S1960" s="4">
        <f t="shared" ca="1" si="303"/>
        <v>1795</v>
      </c>
      <c r="T1960">
        <f t="shared" si="304"/>
        <v>1</v>
      </c>
      <c r="U1960">
        <f t="shared" si="305"/>
        <v>1</v>
      </c>
      <c r="V1960">
        <f t="shared" si="306"/>
        <v>1</v>
      </c>
      <c r="W1960">
        <f t="shared" si="307"/>
        <v>3</v>
      </c>
      <c r="X1960">
        <f t="shared" si="308"/>
        <v>1.2</v>
      </c>
      <c r="Y1960" t="str">
        <f t="shared" si="309"/>
        <v>Healthy</v>
      </c>
    </row>
    <row r="1961" spans="1:25" x14ac:dyDescent="0.35">
      <c r="A1961" t="s">
        <v>41</v>
      </c>
      <c r="B1961" t="s">
        <v>54</v>
      </c>
      <c r="C1961" t="s">
        <v>55</v>
      </c>
      <c r="D1961" t="s">
        <v>608</v>
      </c>
      <c r="E1961">
        <v>80859546</v>
      </c>
      <c r="F1961" t="s">
        <v>1563</v>
      </c>
      <c r="G1961" s="3">
        <v>46884</v>
      </c>
      <c r="H1961">
        <v>36</v>
      </c>
      <c r="I1961">
        <v>64</v>
      </c>
      <c r="J1961">
        <v>120</v>
      </c>
      <c r="K1961" s="4">
        <v>25963.200000000001</v>
      </c>
      <c r="L1961" s="4">
        <v>154.28571428571428</v>
      </c>
      <c r="M1961" s="4">
        <v>0.77777777777777779</v>
      </c>
      <c r="N1961" t="s">
        <v>25</v>
      </c>
      <c r="O1961" t="str">
        <f t="shared" si="300"/>
        <v>Low</v>
      </c>
      <c r="P1961" t="str">
        <f t="shared" si="301"/>
        <v>Low</v>
      </c>
      <c r="Q1961" t="str">
        <f t="shared" si="302"/>
        <v>Low</v>
      </c>
      <c r="R1961" t="s">
        <v>3317</v>
      </c>
      <c r="S1961" s="4">
        <f t="shared" ca="1" si="303"/>
        <v>687</v>
      </c>
      <c r="T1961">
        <f t="shared" si="304"/>
        <v>1</v>
      </c>
      <c r="U1961">
        <f t="shared" si="305"/>
        <v>1</v>
      </c>
      <c r="V1961">
        <f t="shared" si="306"/>
        <v>1</v>
      </c>
      <c r="W1961">
        <f t="shared" si="307"/>
        <v>1</v>
      </c>
      <c r="X1961">
        <f t="shared" si="308"/>
        <v>0.99999999999999989</v>
      </c>
      <c r="Y1961" t="str">
        <f t="shared" si="309"/>
        <v>Healthy</v>
      </c>
    </row>
    <row r="1962" spans="1:25" x14ac:dyDescent="0.35">
      <c r="A1962" t="s">
        <v>41</v>
      </c>
      <c r="B1962" t="s">
        <v>54</v>
      </c>
      <c r="C1962" t="s">
        <v>55</v>
      </c>
      <c r="D1962" t="s">
        <v>608</v>
      </c>
      <c r="E1962">
        <v>80859546</v>
      </c>
      <c r="F1962" t="s">
        <v>1563</v>
      </c>
      <c r="G1962" s="3">
        <v>46982</v>
      </c>
      <c r="H1962">
        <v>36</v>
      </c>
      <c r="I1962">
        <v>73</v>
      </c>
      <c r="J1962">
        <v>90</v>
      </c>
      <c r="K1962" s="4">
        <v>19472.400000000001</v>
      </c>
      <c r="L1962" s="4">
        <v>154.28571428571428</v>
      </c>
      <c r="M1962" s="4">
        <v>0.58333333333333337</v>
      </c>
      <c r="N1962" t="s">
        <v>25</v>
      </c>
      <c r="O1962" t="str">
        <f t="shared" si="300"/>
        <v>Low</v>
      </c>
      <c r="P1962" t="str">
        <f t="shared" si="301"/>
        <v>Low</v>
      </c>
      <c r="Q1962" t="str">
        <f t="shared" si="302"/>
        <v>Low</v>
      </c>
      <c r="R1962" t="s">
        <v>3317</v>
      </c>
      <c r="S1962" s="4">
        <f t="shared" ca="1" si="303"/>
        <v>785</v>
      </c>
      <c r="T1962">
        <f t="shared" si="304"/>
        <v>1</v>
      </c>
      <c r="U1962">
        <f t="shared" si="305"/>
        <v>1</v>
      </c>
      <c r="V1962">
        <f t="shared" si="306"/>
        <v>1</v>
      </c>
      <c r="W1962">
        <f t="shared" si="307"/>
        <v>1</v>
      </c>
      <c r="X1962">
        <f t="shared" si="308"/>
        <v>0.99999999999999989</v>
      </c>
      <c r="Y1962" t="str">
        <f t="shared" si="309"/>
        <v>Healthy</v>
      </c>
    </row>
    <row r="1963" spans="1:25" x14ac:dyDescent="0.35">
      <c r="A1963" t="s">
        <v>41</v>
      </c>
      <c r="B1963" t="s">
        <v>54</v>
      </c>
      <c r="C1963" t="s">
        <v>55</v>
      </c>
      <c r="D1963" t="s">
        <v>1564</v>
      </c>
      <c r="E1963">
        <v>80875118</v>
      </c>
      <c r="F1963" t="s">
        <v>1565</v>
      </c>
      <c r="G1963" s="3">
        <v>46951</v>
      </c>
      <c r="H1963">
        <v>36</v>
      </c>
      <c r="I1963">
        <v>70</v>
      </c>
      <c r="J1963">
        <v>9</v>
      </c>
      <c r="K1963" s="4">
        <v>10180.44</v>
      </c>
      <c r="L1963" s="4">
        <v>33.714285714285715</v>
      </c>
      <c r="M1963" s="4">
        <v>0.26694915254237289</v>
      </c>
      <c r="N1963" t="s">
        <v>25</v>
      </c>
      <c r="O1963" t="str">
        <f t="shared" si="300"/>
        <v>Low</v>
      </c>
      <c r="P1963" t="str">
        <f t="shared" si="301"/>
        <v>Low</v>
      </c>
      <c r="Q1963" t="str">
        <f t="shared" si="302"/>
        <v>Low</v>
      </c>
      <c r="R1963" t="s">
        <v>3317</v>
      </c>
      <c r="S1963" s="4">
        <f t="shared" ca="1" si="303"/>
        <v>754</v>
      </c>
      <c r="T1963">
        <f t="shared" si="304"/>
        <v>1</v>
      </c>
      <c r="U1963">
        <f t="shared" si="305"/>
        <v>1</v>
      </c>
      <c r="V1963">
        <f t="shared" si="306"/>
        <v>1</v>
      </c>
      <c r="W1963">
        <f t="shared" si="307"/>
        <v>1</v>
      </c>
      <c r="X1963">
        <f t="shared" si="308"/>
        <v>0.99999999999999989</v>
      </c>
      <c r="Y1963" t="str">
        <f t="shared" si="309"/>
        <v>Healthy</v>
      </c>
    </row>
    <row r="1964" spans="1:25" x14ac:dyDescent="0.35">
      <c r="A1964" t="s">
        <v>189</v>
      </c>
      <c r="B1964" t="s">
        <v>417</v>
      </c>
      <c r="C1964" t="s">
        <v>417</v>
      </c>
      <c r="D1964" t="s">
        <v>519</v>
      </c>
      <c r="E1964">
        <v>80833457</v>
      </c>
      <c r="F1964" t="s">
        <v>1566</v>
      </c>
      <c r="G1964" s="3">
        <v>46378</v>
      </c>
      <c r="H1964">
        <v>18</v>
      </c>
      <c r="I1964">
        <v>34</v>
      </c>
      <c r="J1964">
        <v>19</v>
      </c>
      <c r="K1964" s="4">
        <v>711.55</v>
      </c>
      <c r="L1964" s="4">
        <v>26.857142857142858</v>
      </c>
      <c r="M1964" s="4">
        <v>0.70744680851063824</v>
      </c>
      <c r="N1964" t="s">
        <v>25</v>
      </c>
      <c r="O1964" t="str">
        <f t="shared" si="300"/>
        <v>Medium</v>
      </c>
      <c r="P1964" t="str">
        <f t="shared" si="301"/>
        <v>Low</v>
      </c>
      <c r="Q1964" t="str">
        <f t="shared" si="302"/>
        <v>Low</v>
      </c>
      <c r="R1964" t="s">
        <v>3317</v>
      </c>
      <c r="S1964" s="4">
        <f t="shared" ca="1" si="303"/>
        <v>181</v>
      </c>
      <c r="T1964">
        <f t="shared" si="304"/>
        <v>2</v>
      </c>
      <c r="U1964">
        <f t="shared" si="305"/>
        <v>1</v>
      </c>
      <c r="V1964">
        <f t="shared" si="306"/>
        <v>1</v>
      </c>
      <c r="W1964">
        <f t="shared" si="307"/>
        <v>1</v>
      </c>
      <c r="X1964">
        <f t="shared" si="308"/>
        <v>1.4000000000000001</v>
      </c>
      <c r="Y1964" t="str">
        <f t="shared" si="309"/>
        <v>Healthy</v>
      </c>
    </row>
    <row r="1965" spans="1:25" x14ac:dyDescent="0.35">
      <c r="A1965" t="s">
        <v>71</v>
      </c>
      <c r="B1965" t="s">
        <v>72</v>
      </c>
      <c r="C1965" t="s">
        <v>73</v>
      </c>
      <c r="D1965" t="s">
        <v>1567</v>
      </c>
      <c r="E1965">
        <v>80867165</v>
      </c>
      <c r="F1965" t="s">
        <v>1568</v>
      </c>
      <c r="G1965" s="3">
        <v>46924</v>
      </c>
      <c r="H1965">
        <v>36</v>
      </c>
      <c r="I1965">
        <v>68</v>
      </c>
      <c r="J1965">
        <v>2</v>
      </c>
      <c r="K1965" s="4">
        <v>1119.96</v>
      </c>
      <c r="L1965" s="4">
        <v>140.14285714285714</v>
      </c>
      <c r="M1965" s="4">
        <v>1.4271151885830785E-2</v>
      </c>
      <c r="N1965" t="s">
        <v>25</v>
      </c>
      <c r="O1965" t="str">
        <f t="shared" si="300"/>
        <v>Low</v>
      </c>
      <c r="P1965" t="str">
        <f t="shared" si="301"/>
        <v>Low</v>
      </c>
      <c r="Q1965" t="str">
        <f t="shared" si="302"/>
        <v>Low</v>
      </c>
      <c r="R1965" t="s">
        <v>3317</v>
      </c>
      <c r="S1965" s="4">
        <f t="shared" ca="1" si="303"/>
        <v>727</v>
      </c>
      <c r="T1965">
        <f t="shared" si="304"/>
        <v>1</v>
      </c>
      <c r="U1965">
        <f t="shared" si="305"/>
        <v>1</v>
      </c>
      <c r="V1965">
        <f t="shared" si="306"/>
        <v>1</v>
      </c>
      <c r="W1965">
        <f t="shared" si="307"/>
        <v>1</v>
      </c>
      <c r="X1965">
        <f t="shared" si="308"/>
        <v>0.99999999999999989</v>
      </c>
      <c r="Y1965" t="str">
        <f t="shared" si="309"/>
        <v>Healthy</v>
      </c>
    </row>
    <row r="1966" spans="1:25" x14ac:dyDescent="0.35">
      <c r="A1966" t="s">
        <v>71</v>
      </c>
      <c r="B1966" t="s">
        <v>72</v>
      </c>
      <c r="C1966" t="s">
        <v>73</v>
      </c>
      <c r="D1966" t="s">
        <v>1567</v>
      </c>
      <c r="E1966">
        <v>80867165</v>
      </c>
      <c r="F1966" t="s">
        <v>1568</v>
      </c>
      <c r="G1966" s="3">
        <v>47000</v>
      </c>
      <c r="H1966">
        <v>36</v>
      </c>
      <c r="I1966">
        <v>75</v>
      </c>
      <c r="J1966">
        <v>22</v>
      </c>
      <c r="K1966" s="4">
        <v>12319.56</v>
      </c>
      <c r="L1966" s="4">
        <v>140.14285714285714</v>
      </c>
      <c r="M1966" s="4">
        <v>0.15698267074413863</v>
      </c>
      <c r="N1966" t="s">
        <v>25</v>
      </c>
      <c r="O1966" t="str">
        <f t="shared" si="300"/>
        <v>Low</v>
      </c>
      <c r="P1966" t="str">
        <f t="shared" si="301"/>
        <v>Low</v>
      </c>
      <c r="Q1966" t="str">
        <f t="shared" si="302"/>
        <v>Low</v>
      </c>
      <c r="R1966" t="s">
        <v>3317</v>
      </c>
      <c r="S1966" s="4">
        <f t="shared" ca="1" si="303"/>
        <v>803</v>
      </c>
      <c r="T1966">
        <f t="shared" si="304"/>
        <v>1</v>
      </c>
      <c r="U1966">
        <f t="shared" si="305"/>
        <v>1</v>
      </c>
      <c r="V1966">
        <f t="shared" si="306"/>
        <v>1</v>
      </c>
      <c r="W1966">
        <f t="shared" si="307"/>
        <v>1</v>
      </c>
      <c r="X1966">
        <f t="shared" si="308"/>
        <v>0.99999999999999989</v>
      </c>
      <c r="Y1966" t="str">
        <f t="shared" si="309"/>
        <v>Healthy</v>
      </c>
    </row>
    <row r="1967" spans="1:25" x14ac:dyDescent="0.35">
      <c r="A1967" t="s">
        <v>71</v>
      </c>
      <c r="B1967" t="s">
        <v>72</v>
      </c>
      <c r="C1967" t="s">
        <v>73</v>
      </c>
      <c r="D1967" t="s">
        <v>1567</v>
      </c>
      <c r="E1967">
        <v>80867165</v>
      </c>
      <c r="F1967" t="s">
        <v>1568</v>
      </c>
      <c r="G1967" s="3">
        <v>46970</v>
      </c>
      <c r="H1967">
        <v>36</v>
      </c>
      <c r="I1967">
        <v>72</v>
      </c>
      <c r="J1967">
        <v>27</v>
      </c>
      <c r="K1967" s="4">
        <v>15119.46</v>
      </c>
      <c r="L1967" s="4">
        <v>140.14285714285714</v>
      </c>
      <c r="M1967" s="4">
        <v>0.19266055045871561</v>
      </c>
      <c r="N1967" t="s">
        <v>25</v>
      </c>
      <c r="O1967" t="str">
        <f t="shared" si="300"/>
        <v>Low</v>
      </c>
      <c r="P1967" t="str">
        <f t="shared" si="301"/>
        <v>Low</v>
      </c>
      <c r="Q1967" t="str">
        <f t="shared" si="302"/>
        <v>Low</v>
      </c>
      <c r="R1967" t="s">
        <v>3317</v>
      </c>
      <c r="S1967" s="4">
        <f t="shared" ca="1" si="303"/>
        <v>773</v>
      </c>
      <c r="T1967">
        <f t="shared" si="304"/>
        <v>1</v>
      </c>
      <c r="U1967">
        <f t="shared" si="305"/>
        <v>1</v>
      </c>
      <c r="V1967">
        <f t="shared" si="306"/>
        <v>1</v>
      </c>
      <c r="W1967">
        <f t="shared" si="307"/>
        <v>1</v>
      </c>
      <c r="X1967">
        <f t="shared" si="308"/>
        <v>0.99999999999999989</v>
      </c>
      <c r="Y1967" t="str">
        <f t="shared" si="309"/>
        <v>Healthy</v>
      </c>
    </row>
    <row r="1968" spans="1:25" x14ac:dyDescent="0.35">
      <c r="A1968" t="s">
        <v>14</v>
      </c>
      <c r="B1968" t="s">
        <v>15</v>
      </c>
      <c r="C1968" t="s">
        <v>34</v>
      </c>
      <c r="D1968" t="s">
        <v>1569</v>
      </c>
      <c r="E1968">
        <v>80832645</v>
      </c>
      <c r="F1968" t="s">
        <v>1570</v>
      </c>
      <c r="G1968" s="3">
        <v>47609</v>
      </c>
      <c r="H1968">
        <v>60</v>
      </c>
      <c r="I1968">
        <v>79</v>
      </c>
      <c r="J1968">
        <v>16</v>
      </c>
      <c r="K1968" s="4">
        <v>6925.44</v>
      </c>
      <c r="L1968" s="4">
        <v>76.714285714285708</v>
      </c>
      <c r="M1968" s="4">
        <v>0.20856610800744882</v>
      </c>
      <c r="N1968" t="s">
        <v>25</v>
      </c>
      <c r="O1968" t="str">
        <f t="shared" si="300"/>
        <v>Low</v>
      </c>
      <c r="P1968" t="str">
        <f t="shared" si="301"/>
        <v>Low</v>
      </c>
      <c r="Q1968" t="str">
        <f t="shared" si="302"/>
        <v>Low</v>
      </c>
      <c r="R1968" t="s">
        <v>3317</v>
      </c>
      <c r="S1968" s="4">
        <f t="shared" ca="1" si="303"/>
        <v>1412</v>
      </c>
      <c r="T1968">
        <f t="shared" si="304"/>
        <v>1</v>
      </c>
      <c r="U1968">
        <f t="shared" si="305"/>
        <v>1</v>
      </c>
      <c r="V1968">
        <f t="shared" si="306"/>
        <v>1</v>
      </c>
      <c r="W1968">
        <f t="shared" si="307"/>
        <v>1</v>
      </c>
      <c r="X1968">
        <f t="shared" si="308"/>
        <v>0.99999999999999989</v>
      </c>
      <c r="Y1968" t="str">
        <f t="shared" si="309"/>
        <v>Healthy</v>
      </c>
    </row>
    <row r="1969" spans="1:25" x14ac:dyDescent="0.35">
      <c r="A1969" t="s">
        <v>71</v>
      </c>
      <c r="B1969" t="s">
        <v>72</v>
      </c>
      <c r="C1969" t="s">
        <v>73</v>
      </c>
      <c r="D1969" t="s">
        <v>1567</v>
      </c>
      <c r="E1969">
        <v>80867165</v>
      </c>
      <c r="F1969" t="s">
        <v>1568</v>
      </c>
      <c r="G1969" s="3">
        <v>47015</v>
      </c>
      <c r="H1969">
        <v>36</v>
      </c>
      <c r="I1969">
        <v>76</v>
      </c>
      <c r="J1969">
        <v>24</v>
      </c>
      <c r="K1969" s="4">
        <v>13439.52</v>
      </c>
      <c r="L1969" s="4">
        <v>140.14285714285714</v>
      </c>
      <c r="M1969" s="4">
        <v>0.17125382262996944</v>
      </c>
      <c r="N1969" t="s">
        <v>25</v>
      </c>
      <c r="O1969" t="str">
        <f t="shared" si="300"/>
        <v>Low</v>
      </c>
      <c r="P1969" t="str">
        <f t="shared" si="301"/>
        <v>Low</v>
      </c>
      <c r="Q1969" t="str">
        <f t="shared" si="302"/>
        <v>Low</v>
      </c>
      <c r="R1969" t="s">
        <v>3317</v>
      </c>
      <c r="S1969" s="4">
        <f t="shared" ca="1" si="303"/>
        <v>818</v>
      </c>
      <c r="T1969">
        <f t="shared" si="304"/>
        <v>1</v>
      </c>
      <c r="U1969">
        <f t="shared" si="305"/>
        <v>1</v>
      </c>
      <c r="V1969">
        <f t="shared" si="306"/>
        <v>1</v>
      </c>
      <c r="W1969">
        <f t="shared" si="307"/>
        <v>1</v>
      </c>
      <c r="X1969">
        <f t="shared" si="308"/>
        <v>0.99999999999999989</v>
      </c>
      <c r="Y1969" t="str">
        <f t="shared" si="309"/>
        <v>Healthy</v>
      </c>
    </row>
    <row r="1970" spans="1:25" x14ac:dyDescent="0.35">
      <c r="A1970" t="s">
        <v>14</v>
      </c>
      <c r="B1970" t="s">
        <v>15</v>
      </c>
      <c r="C1970" t="s">
        <v>34</v>
      </c>
      <c r="D1970" t="s">
        <v>1569</v>
      </c>
      <c r="E1970">
        <v>80832645</v>
      </c>
      <c r="F1970" t="s">
        <v>1570</v>
      </c>
      <c r="G1970" s="3">
        <v>47629</v>
      </c>
      <c r="H1970">
        <v>60</v>
      </c>
      <c r="I1970">
        <v>80</v>
      </c>
      <c r="J1970">
        <v>24</v>
      </c>
      <c r="K1970" s="4">
        <v>10388.16</v>
      </c>
      <c r="L1970" s="4">
        <v>76.714285714285708</v>
      </c>
      <c r="M1970" s="4">
        <v>0.31284916201117319</v>
      </c>
      <c r="N1970" t="s">
        <v>25</v>
      </c>
      <c r="O1970" t="str">
        <f t="shared" si="300"/>
        <v>Low</v>
      </c>
      <c r="P1970" t="str">
        <f t="shared" si="301"/>
        <v>Low</v>
      </c>
      <c r="Q1970" t="str">
        <f t="shared" si="302"/>
        <v>Low</v>
      </c>
      <c r="R1970" t="s">
        <v>3317</v>
      </c>
      <c r="S1970" s="4">
        <f t="shared" ca="1" si="303"/>
        <v>1432</v>
      </c>
      <c r="T1970">
        <f t="shared" si="304"/>
        <v>1</v>
      </c>
      <c r="U1970">
        <f t="shared" si="305"/>
        <v>1</v>
      </c>
      <c r="V1970">
        <f t="shared" si="306"/>
        <v>1</v>
      </c>
      <c r="W1970">
        <f t="shared" si="307"/>
        <v>1</v>
      </c>
      <c r="X1970">
        <f t="shared" si="308"/>
        <v>0.99999999999999989</v>
      </c>
      <c r="Y1970" t="str">
        <f t="shared" si="309"/>
        <v>Healthy</v>
      </c>
    </row>
    <row r="1971" spans="1:25" x14ac:dyDescent="0.35">
      <c r="A1971" t="s">
        <v>14</v>
      </c>
      <c r="B1971" t="s">
        <v>15</v>
      </c>
      <c r="C1971" t="s">
        <v>34</v>
      </c>
      <c r="D1971" t="s">
        <v>1569</v>
      </c>
      <c r="E1971">
        <v>80832645</v>
      </c>
      <c r="F1971" t="s">
        <v>1570</v>
      </c>
      <c r="G1971" s="3">
        <v>47608</v>
      </c>
      <c r="H1971">
        <v>60</v>
      </c>
      <c r="I1971">
        <v>79</v>
      </c>
      <c r="J1971">
        <v>7</v>
      </c>
      <c r="K1971" s="4">
        <v>3029.88</v>
      </c>
      <c r="L1971" s="4">
        <v>76.714285714285708</v>
      </c>
      <c r="M1971" s="4">
        <v>9.1247672253258846E-2</v>
      </c>
      <c r="N1971" t="s">
        <v>25</v>
      </c>
      <c r="O1971" t="str">
        <f t="shared" si="300"/>
        <v>Low</v>
      </c>
      <c r="P1971" t="str">
        <f t="shared" si="301"/>
        <v>Low</v>
      </c>
      <c r="Q1971" t="str">
        <f t="shared" si="302"/>
        <v>Low</v>
      </c>
      <c r="R1971" t="s">
        <v>3317</v>
      </c>
      <c r="S1971" s="4">
        <f t="shared" ca="1" si="303"/>
        <v>1411</v>
      </c>
      <c r="T1971">
        <f t="shared" si="304"/>
        <v>1</v>
      </c>
      <c r="U1971">
        <f t="shared" si="305"/>
        <v>1</v>
      </c>
      <c r="V1971">
        <f t="shared" si="306"/>
        <v>1</v>
      </c>
      <c r="W1971">
        <f t="shared" si="307"/>
        <v>1</v>
      </c>
      <c r="X1971">
        <f t="shared" si="308"/>
        <v>0.99999999999999989</v>
      </c>
      <c r="Y1971" t="str">
        <f t="shared" si="309"/>
        <v>Healthy</v>
      </c>
    </row>
    <row r="1972" spans="1:25" x14ac:dyDescent="0.35">
      <c r="A1972" t="s">
        <v>20</v>
      </c>
      <c r="B1972" t="s">
        <v>21</v>
      </c>
      <c r="C1972" t="s">
        <v>51</v>
      </c>
      <c r="D1972" t="s">
        <v>781</v>
      </c>
      <c r="E1972">
        <v>80866090</v>
      </c>
      <c r="F1972" t="s">
        <v>1571</v>
      </c>
      <c r="G1972" s="3">
        <v>46926</v>
      </c>
      <c r="H1972">
        <v>36</v>
      </c>
      <c r="I1972">
        <v>68</v>
      </c>
      <c r="J1972">
        <v>9</v>
      </c>
      <c r="K1972" s="4">
        <v>1152</v>
      </c>
      <c r="L1972" s="4">
        <v>146.42857142857142</v>
      </c>
      <c r="M1972" s="4">
        <v>6.1463414634146347E-2</v>
      </c>
      <c r="N1972" t="s">
        <v>25</v>
      </c>
      <c r="O1972" t="str">
        <f t="shared" si="300"/>
        <v>Low</v>
      </c>
      <c r="P1972" t="str">
        <f t="shared" si="301"/>
        <v>Low</v>
      </c>
      <c r="Q1972" t="str">
        <f t="shared" si="302"/>
        <v>Low</v>
      </c>
      <c r="R1972" t="s">
        <v>3317</v>
      </c>
      <c r="S1972" s="4">
        <f t="shared" ca="1" si="303"/>
        <v>729</v>
      </c>
      <c r="T1972">
        <f t="shared" si="304"/>
        <v>1</v>
      </c>
      <c r="U1972">
        <f t="shared" si="305"/>
        <v>1</v>
      </c>
      <c r="V1972">
        <f t="shared" si="306"/>
        <v>1</v>
      </c>
      <c r="W1972">
        <f t="shared" si="307"/>
        <v>1</v>
      </c>
      <c r="X1972">
        <f t="shared" si="308"/>
        <v>0.99999999999999989</v>
      </c>
      <c r="Y1972" t="str">
        <f t="shared" si="309"/>
        <v>Healthy</v>
      </c>
    </row>
    <row r="1973" spans="1:25" x14ac:dyDescent="0.35">
      <c r="A1973" t="s">
        <v>20</v>
      </c>
      <c r="B1973" t="s">
        <v>21</v>
      </c>
      <c r="C1973" t="s">
        <v>51</v>
      </c>
      <c r="D1973" t="s">
        <v>781</v>
      </c>
      <c r="E1973">
        <v>80866090</v>
      </c>
      <c r="F1973" t="s">
        <v>1571</v>
      </c>
      <c r="G1973" s="3">
        <v>46984</v>
      </c>
      <c r="H1973">
        <v>36</v>
      </c>
      <c r="I1973">
        <v>73</v>
      </c>
      <c r="J1973">
        <v>11</v>
      </c>
      <c r="K1973" s="4">
        <v>1408</v>
      </c>
      <c r="L1973" s="4">
        <v>146.42857142857142</v>
      </c>
      <c r="M1973" s="4">
        <v>7.5121951219512206E-2</v>
      </c>
      <c r="N1973" t="s">
        <v>25</v>
      </c>
      <c r="O1973" t="str">
        <f t="shared" si="300"/>
        <v>Low</v>
      </c>
      <c r="P1973" t="str">
        <f t="shared" si="301"/>
        <v>Low</v>
      </c>
      <c r="Q1973" t="str">
        <f t="shared" si="302"/>
        <v>Low</v>
      </c>
      <c r="R1973" t="s">
        <v>3317</v>
      </c>
      <c r="S1973" s="4">
        <f t="shared" ca="1" si="303"/>
        <v>787</v>
      </c>
      <c r="T1973">
        <f t="shared" si="304"/>
        <v>1</v>
      </c>
      <c r="U1973">
        <f t="shared" si="305"/>
        <v>1</v>
      </c>
      <c r="V1973">
        <f t="shared" si="306"/>
        <v>1</v>
      </c>
      <c r="W1973">
        <f t="shared" si="307"/>
        <v>1</v>
      </c>
      <c r="X1973">
        <f t="shared" si="308"/>
        <v>0.99999999999999989</v>
      </c>
      <c r="Y1973" t="str">
        <f t="shared" si="309"/>
        <v>Healthy</v>
      </c>
    </row>
    <row r="1974" spans="1:25" x14ac:dyDescent="0.35">
      <c r="A1974" t="s">
        <v>99</v>
      </c>
      <c r="B1974" t="s">
        <v>100</v>
      </c>
      <c r="C1974" t="s">
        <v>136</v>
      </c>
      <c r="D1974" t="s">
        <v>1572</v>
      </c>
      <c r="E1974">
        <v>80830419</v>
      </c>
      <c r="F1974" t="s">
        <v>1573</v>
      </c>
      <c r="G1974" s="3">
        <v>47055</v>
      </c>
      <c r="H1974">
        <v>36</v>
      </c>
      <c r="I1974">
        <v>80</v>
      </c>
      <c r="J1974">
        <v>5</v>
      </c>
      <c r="K1974" s="4">
        <v>1217.0999999999999</v>
      </c>
      <c r="L1974" s="4">
        <v>173.42857142857142</v>
      </c>
      <c r="M1974" s="4">
        <v>2.8830313014827021E-2</v>
      </c>
      <c r="N1974" t="s">
        <v>25</v>
      </c>
      <c r="O1974" t="str">
        <f t="shared" si="300"/>
        <v>Low</v>
      </c>
      <c r="P1974" t="str">
        <f t="shared" si="301"/>
        <v>Low</v>
      </c>
      <c r="Q1974" t="str">
        <f t="shared" si="302"/>
        <v>Low</v>
      </c>
      <c r="R1974" t="s">
        <v>3317</v>
      </c>
      <c r="S1974" s="4">
        <f t="shared" ca="1" si="303"/>
        <v>858</v>
      </c>
      <c r="T1974">
        <f t="shared" si="304"/>
        <v>1</v>
      </c>
      <c r="U1974">
        <f t="shared" si="305"/>
        <v>1</v>
      </c>
      <c r="V1974">
        <f t="shared" si="306"/>
        <v>1</v>
      </c>
      <c r="W1974">
        <f t="shared" si="307"/>
        <v>1</v>
      </c>
      <c r="X1974">
        <f t="shared" si="308"/>
        <v>0.99999999999999989</v>
      </c>
      <c r="Y1974" t="str">
        <f t="shared" si="309"/>
        <v>Healthy</v>
      </c>
    </row>
    <row r="1975" spans="1:25" x14ac:dyDescent="0.35">
      <c r="A1975" t="s">
        <v>20</v>
      </c>
      <c r="B1975" t="s">
        <v>21</v>
      </c>
      <c r="C1975" t="s">
        <v>51</v>
      </c>
      <c r="D1975" t="s">
        <v>781</v>
      </c>
      <c r="E1975">
        <v>80866090</v>
      </c>
      <c r="F1975" t="s">
        <v>1571</v>
      </c>
      <c r="G1975" s="3">
        <v>47013</v>
      </c>
      <c r="H1975">
        <v>36</v>
      </c>
      <c r="I1975">
        <v>76</v>
      </c>
      <c r="J1975">
        <v>124</v>
      </c>
      <c r="K1975" s="4">
        <v>15872</v>
      </c>
      <c r="L1975" s="4">
        <v>146.42857142857142</v>
      </c>
      <c r="M1975" s="4">
        <v>0.84682926829268301</v>
      </c>
      <c r="N1975" t="s">
        <v>25</v>
      </c>
      <c r="O1975" t="str">
        <f t="shared" si="300"/>
        <v>Low</v>
      </c>
      <c r="P1975" t="str">
        <f t="shared" si="301"/>
        <v>Low</v>
      </c>
      <c r="Q1975" t="str">
        <f t="shared" si="302"/>
        <v>Low</v>
      </c>
      <c r="R1975" t="s">
        <v>3317</v>
      </c>
      <c r="S1975" s="4">
        <f t="shared" ca="1" si="303"/>
        <v>816</v>
      </c>
      <c r="T1975">
        <f t="shared" si="304"/>
        <v>1</v>
      </c>
      <c r="U1975">
        <f t="shared" si="305"/>
        <v>1</v>
      </c>
      <c r="V1975">
        <f t="shared" si="306"/>
        <v>1</v>
      </c>
      <c r="W1975">
        <f t="shared" si="307"/>
        <v>1</v>
      </c>
      <c r="X1975">
        <f t="shared" si="308"/>
        <v>0.99999999999999989</v>
      </c>
      <c r="Y1975" t="str">
        <f t="shared" si="309"/>
        <v>Healthy</v>
      </c>
    </row>
    <row r="1976" spans="1:25" x14ac:dyDescent="0.35">
      <c r="A1976" t="s">
        <v>71</v>
      </c>
      <c r="B1976" t="s">
        <v>72</v>
      </c>
      <c r="C1976" t="s">
        <v>150</v>
      </c>
      <c r="D1976" t="s">
        <v>1574</v>
      </c>
      <c r="E1976">
        <v>80866583</v>
      </c>
      <c r="F1976" t="s">
        <v>1575</v>
      </c>
      <c r="G1976" s="3">
        <v>47012</v>
      </c>
      <c r="H1976">
        <v>36</v>
      </c>
      <c r="I1976">
        <v>76</v>
      </c>
      <c r="J1976">
        <v>190</v>
      </c>
      <c r="K1976" s="4">
        <v>5016</v>
      </c>
      <c r="L1976" s="4">
        <v>80.428571428571431</v>
      </c>
      <c r="M1976" s="4">
        <v>2.3623445825932503</v>
      </c>
      <c r="N1976" t="s">
        <v>25</v>
      </c>
      <c r="O1976" t="str">
        <f t="shared" si="300"/>
        <v>Low</v>
      </c>
      <c r="P1976" t="str">
        <f t="shared" si="301"/>
        <v>Low</v>
      </c>
      <c r="Q1976" t="str">
        <f t="shared" si="302"/>
        <v>Low</v>
      </c>
      <c r="R1976" t="s">
        <v>3317</v>
      </c>
      <c r="S1976" s="4">
        <f t="shared" ca="1" si="303"/>
        <v>815</v>
      </c>
      <c r="T1976">
        <f t="shared" si="304"/>
        <v>1</v>
      </c>
      <c r="U1976">
        <f t="shared" si="305"/>
        <v>1</v>
      </c>
      <c r="V1976">
        <f t="shared" si="306"/>
        <v>1</v>
      </c>
      <c r="W1976">
        <f t="shared" si="307"/>
        <v>1</v>
      </c>
      <c r="X1976">
        <f t="shared" si="308"/>
        <v>0.99999999999999989</v>
      </c>
      <c r="Y1976" t="str">
        <f t="shared" si="309"/>
        <v>Healthy</v>
      </c>
    </row>
    <row r="1977" spans="1:25" x14ac:dyDescent="0.35">
      <c r="A1977" t="s">
        <v>71</v>
      </c>
      <c r="B1977" t="s">
        <v>72</v>
      </c>
      <c r="C1977" t="s">
        <v>73</v>
      </c>
      <c r="D1977" t="s">
        <v>78</v>
      </c>
      <c r="E1977">
        <v>80867189</v>
      </c>
      <c r="F1977" t="s">
        <v>1576</v>
      </c>
      <c r="G1977" s="3">
        <v>46982</v>
      </c>
      <c r="H1977">
        <v>36</v>
      </c>
      <c r="I1977">
        <v>73</v>
      </c>
      <c r="J1977">
        <v>1</v>
      </c>
      <c r="K1977" s="4">
        <v>599.17999999999995</v>
      </c>
      <c r="L1977" s="4">
        <v>4.7142857142857144</v>
      </c>
      <c r="M1977" s="4">
        <v>0.21212121212121213</v>
      </c>
      <c r="N1977" t="s">
        <v>25</v>
      </c>
      <c r="O1977" t="str">
        <f t="shared" si="300"/>
        <v>Low</v>
      </c>
      <c r="P1977" t="str">
        <f t="shared" si="301"/>
        <v>Low</v>
      </c>
      <c r="Q1977" t="str">
        <f t="shared" si="302"/>
        <v>High</v>
      </c>
      <c r="R1977" t="s">
        <v>3317</v>
      </c>
      <c r="S1977" s="4">
        <f t="shared" ca="1" si="303"/>
        <v>785</v>
      </c>
      <c r="T1977">
        <f t="shared" si="304"/>
        <v>1</v>
      </c>
      <c r="U1977">
        <f t="shared" si="305"/>
        <v>1</v>
      </c>
      <c r="V1977">
        <f t="shared" si="306"/>
        <v>3</v>
      </c>
      <c r="W1977">
        <f t="shared" si="307"/>
        <v>1</v>
      </c>
      <c r="X1977">
        <f t="shared" si="308"/>
        <v>1.4000000000000001</v>
      </c>
      <c r="Y1977" t="str">
        <f t="shared" si="309"/>
        <v>Healthy</v>
      </c>
    </row>
    <row r="1978" spans="1:25" x14ac:dyDescent="0.35">
      <c r="A1978" t="s">
        <v>41</v>
      </c>
      <c r="B1978" t="s">
        <v>54</v>
      </c>
      <c r="C1978" t="s">
        <v>87</v>
      </c>
      <c r="D1978" t="s">
        <v>494</v>
      </c>
      <c r="E1978">
        <v>80844156</v>
      </c>
      <c r="F1978" t="s">
        <v>1577</v>
      </c>
      <c r="G1978" s="3">
        <v>46852</v>
      </c>
      <c r="H1978">
        <v>36</v>
      </c>
      <c r="I1978">
        <v>61</v>
      </c>
      <c r="J1978">
        <v>5</v>
      </c>
      <c r="K1978" s="4">
        <v>2090.1</v>
      </c>
      <c r="L1978" s="4">
        <v>3.2857142857142856</v>
      </c>
      <c r="M1978" s="4">
        <v>1.5217391304347827</v>
      </c>
      <c r="N1978" t="s">
        <v>25</v>
      </c>
      <c r="O1978" t="str">
        <f t="shared" si="300"/>
        <v>Low</v>
      </c>
      <c r="P1978" t="str">
        <f t="shared" si="301"/>
        <v>Low</v>
      </c>
      <c r="Q1978" t="str">
        <f t="shared" si="302"/>
        <v>High</v>
      </c>
      <c r="R1978" t="s">
        <v>3317</v>
      </c>
      <c r="S1978" s="4">
        <f t="shared" ca="1" si="303"/>
        <v>655</v>
      </c>
      <c r="T1978">
        <f t="shared" si="304"/>
        <v>1</v>
      </c>
      <c r="U1978">
        <f t="shared" si="305"/>
        <v>1</v>
      </c>
      <c r="V1978">
        <f t="shared" si="306"/>
        <v>3</v>
      </c>
      <c r="W1978">
        <f t="shared" si="307"/>
        <v>1</v>
      </c>
      <c r="X1978">
        <f t="shared" si="308"/>
        <v>1.4000000000000001</v>
      </c>
      <c r="Y1978" t="str">
        <f t="shared" si="309"/>
        <v>Healthy</v>
      </c>
    </row>
    <row r="1979" spans="1:25" x14ac:dyDescent="0.35">
      <c r="A1979" t="s">
        <v>71</v>
      </c>
      <c r="B1979" t="s">
        <v>72</v>
      </c>
      <c r="C1979" t="s">
        <v>73</v>
      </c>
      <c r="D1979" t="s">
        <v>78</v>
      </c>
      <c r="E1979">
        <v>80867189</v>
      </c>
      <c r="F1979" t="s">
        <v>1576</v>
      </c>
      <c r="G1979" s="3">
        <v>47046</v>
      </c>
      <c r="H1979">
        <v>36</v>
      </c>
      <c r="I1979">
        <v>79</v>
      </c>
      <c r="J1979">
        <v>11</v>
      </c>
      <c r="K1979" s="4">
        <v>6590.98</v>
      </c>
      <c r="L1979" s="4">
        <v>4.7142857142857144</v>
      </c>
      <c r="M1979" s="4">
        <v>2.3333333333333335</v>
      </c>
      <c r="N1979" t="s">
        <v>25</v>
      </c>
      <c r="O1979" t="str">
        <f t="shared" si="300"/>
        <v>Low</v>
      </c>
      <c r="P1979" t="str">
        <f t="shared" si="301"/>
        <v>Low</v>
      </c>
      <c r="Q1979" t="str">
        <f t="shared" si="302"/>
        <v>High</v>
      </c>
      <c r="R1979" t="s">
        <v>3317</v>
      </c>
      <c r="S1979" s="4">
        <f t="shared" ca="1" si="303"/>
        <v>849</v>
      </c>
      <c r="T1979">
        <f t="shared" si="304"/>
        <v>1</v>
      </c>
      <c r="U1979">
        <f t="shared" si="305"/>
        <v>1</v>
      </c>
      <c r="V1979">
        <f t="shared" si="306"/>
        <v>3</v>
      </c>
      <c r="W1979">
        <f t="shared" si="307"/>
        <v>1</v>
      </c>
      <c r="X1979">
        <f t="shared" si="308"/>
        <v>1.4000000000000001</v>
      </c>
      <c r="Y1979" t="str">
        <f t="shared" si="309"/>
        <v>Healthy</v>
      </c>
    </row>
    <row r="1980" spans="1:25" x14ac:dyDescent="0.35">
      <c r="A1980" t="s">
        <v>90</v>
      </c>
      <c r="B1980" t="s">
        <v>217</v>
      </c>
      <c r="C1980" t="s">
        <v>218</v>
      </c>
      <c r="D1980" t="s">
        <v>1578</v>
      </c>
      <c r="E1980">
        <v>80869894</v>
      </c>
      <c r="F1980" t="s">
        <v>1579</v>
      </c>
      <c r="G1980" s="3">
        <v>46881</v>
      </c>
      <c r="H1980">
        <v>24</v>
      </c>
      <c r="I1980">
        <v>96</v>
      </c>
      <c r="J1980">
        <v>1913</v>
      </c>
      <c r="K1980" s="4">
        <v>220626.29</v>
      </c>
      <c r="L1980" s="4">
        <v>30238.857142857141</v>
      </c>
      <c r="M1980" s="4">
        <v>6.3262972901470205E-2</v>
      </c>
      <c r="N1980" t="s">
        <v>25</v>
      </c>
      <c r="O1980" t="str">
        <f t="shared" si="300"/>
        <v>Low</v>
      </c>
      <c r="P1980" t="str">
        <f t="shared" si="301"/>
        <v>Low</v>
      </c>
      <c r="Q1980" t="str">
        <f t="shared" si="302"/>
        <v>Low</v>
      </c>
      <c r="R1980" t="s">
        <v>3309</v>
      </c>
      <c r="S1980" s="4">
        <f t="shared" ca="1" si="303"/>
        <v>684</v>
      </c>
      <c r="T1980">
        <f t="shared" si="304"/>
        <v>1</v>
      </c>
      <c r="U1980">
        <f t="shared" si="305"/>
        <v>1</v>
      </c>
      <c r="V1980">
        <f t="shared" si="306"/>
        <v>1</v>
      </c>
      <c r="W1980">
        <f t="shared" si="307"/>
        <v>3</v>
      </c>
      <c r="X1980">
        <f t="shared" si="308"/>
        <v>1.2</v>
      </c>
      <c r="Y1980" t="str">
        <f t="shared" si="309"/>
        <v>Healthy</v>
      </c>
    </row>
    <row r="1981" spans="1:25" x14ac:dyDescent="0.35">
      <c r="A1981" t="s">
        <v>41</v>
      </c>
      <c r="B1981" t="s">
        <v>54</v>
      </c>
      <c r="C1981" t="s">
        <v>55</v>
      </c>
      <c r="D1981" t="s">
        <v>610</v>
      </c>
      <c r="E1981">
        <v>80850656</v>
      </c>
      <c r="F1981" t="s">
        <v>1580</v>
      </c>
      <c r="G1981" s="3">
        <v>46794</v>
      </c>
      <c r="H1981">
        <v>36</v>
      </c>
      <c r="I1981">
        <v>56</v>
      </c>
      <c r="J1981">
        <v>56</v>
      </c>
      <c r="K1981" s="4">
        <v>9334.64</v>
      </c>
      <c r="L1981" s="4">
        <f>0</f>
        <v>0</v>
      </c>
      <c r="M1981" s="4">
        <f>999</f>
        <v>999</v>
      </c>
      <c r="N1981" t="s">
        <v>19</v>
      </c>
      <c r="O1981" t="str">
        <f t="shared" si="300"/>
        <v>Low</v>
      </c>
      <c r="P1981" t="str">
        <f t="shared" si="301"/>
        <v>High</v>
      </c>
      <c r="Q1981" t="str">
        <f t="shared" si="302"/>
        <v>High</v>
      </c>
      <c r="R1981" t="s">
        <v>3317</v>
      </c>
      <c r="S1981" s="4">
        <f t="shared" ca="1" si="303"/>
        <v>597</v>
      </c>
      <c r="T1981">
        <f t="shared" si="304"/>
        <v>1</v>
      </c>
      <c r="U1981">
        <f t="shared" si="305"/>
        <v>3</v>
      </c>
      <c r="V1981">
        <f t="shared" si="306"/>
        <v>3</v>
      </c>
      <c r="W1981">
        <f t="shared" si="307"/>
        <v>1</v>
      </c>
      <c r="X1981">
        <f t="shared" si="308"/>
        <v>2</v>
      </c>
      <c r="Y1981" t="str">
        <f t="shared" si="309"/>
        <v>Monitor</v>
      </c>
    </row>
    <row r="1982" spans="1:25" x14ac:dyDescent="0.35">
      <c r="A1982" t="s">
        <v>90</v>
      </c>
      <c r="B1982" t="s">
        <v>217</v>
      </c>
      <c r="C1982" t="s">
        <v>218</v>
      </c>
      <c r="D1982" t="s">
        <v>1578</v>
      </c>
      <c r="E1982">
        <v>80869894</v>
      </c>
      <c r="F1982" t="s">
        <v>1579</v>
      </c>
      <c r="G1982" s="3">
        <v>46908</v>
      </c>
      <c r="H1982">
        <v>24</v>
      </c>
      <c r="I1982">
        <v>99</v>
      </c>
      <c r="J1982">
        <v>1770</v>
      </c>
      <c r="K1982" s="4">
        <v>204134.1</v>
      </c>
      <c r="L1982" s="4">
        <v>30238.857142857141</v>
      </c>
      <c r="M1982" s="4">
        <v>5.8533958199478445E-2</v>
      </c>
      <c r="N1982" t="s">
        <v>25</v>
      </c>
      <c r="O1982" t="str">
        <f t="shared" si="300"/>
        <v>Low</v>
      </c>
      <c r="P1982" t="str">
        <f t="shared" si="301"/>
        <v>Low</v>
      </c>
      <c r="Q1982" t="str">
        <f t="shared" si="302"/>
        <v>Low</v>
      </c>
      <c r="R1982" t="s">
        <v>3309</v>
      </c>
      <c r="S1982" s="4">
        <f t="shared" ca="1" si="303"/>
        <v>711</v>
      </c>
      <c r="T1982">
        <f t="shared" si="304"/>
        <v>1</v>
      </c>
      <c r="U1982">
        <f t="shared" si="305"/>
        <v>1</v>
      </c>
      <c r="V1982">
        <f t="shared" si="306"/>
        <v>1</v>
      </c>
      <c r="W1982">
        <f t="shared" si="307"/>
        <v>3</v>
      </c>
      <c r="X1982">
        <f t="shared" si="308"/>
        <v>1.2</v>
      </c>
      <c r="Y1982" t="str">
        <f t="shared" si="309"/>
        <v>Healthy</v>
      </c>
    </row>
    <row r="1983" spans="1:25" x14ac:dyDescent="0.35">
      <c r="A1983" t="s">
        <v>90</v>
      </c>
      <c r="B1983" t="s">
        <v>217</v>
      </c>
      <c r="C1983" t="s">
        <v>218</v>
      </c>
      <c r="D1983" t="s">
        <v>1578</v>
      </c>
      <c r="E1983">
        <v>80869894</v>
      </c>
      <c r="F1983" t="s">
        <v>1579</v>
      </c>
      <c r="G1983" s="3">
        <v>46883</v>
      </c>
      <c r="H1983">
        <v>24</v>
      </c>
      <c r="I1983">
        <v>96</v>
      </c>
      <c r="J1983">
        <v>2097</v>
      </c>
      <c r="K1983" s="4">
        <v>241847.01</v>
      </c>
      <c r="L1983" s="4">
        <v>30238.857142857141</v>
      </c>
      <c r="M1983" s="4">
        <v>6.9347858951585475E-2</v>
      </c>
      <c r="N1983" t="s">
        <v>25</v>
      </c>
      <c r="O1983" t="str">
        <f t="shared" si="300"/>
        <v>Low</v>
      </c>
      <c r="P1983" t="str">
        <f t="shared" si="301"/>
        <v>Low</v>
      </c>
      <c r="Q1983" t="str">
        <f t="shared" si="302"/>
        <v>Low</v>
      </c>
      <c r="R1983" t="s">
        <v>3309</v>
      </c>
      <c r="S1983" s="4">
        <f t="shared" ca="1" si="303"/>
        <v>686</v>
      </c>
      <c r="T1983">
        <f t="shared" si="304"/>
        <v>1</v>
      </c>
      <c r="U1983">
        <f t="shared" si="305"/>
        <v>1</v>
      </c>
      <c r="V1983">
        <f t="shared" si="306"/>
        <v>1</v>
      </c>
      <c r="W1983">
        <f t="shared" si="307"/>
        <v>3</v>
      </c>
      <c r="X1983">
        <f t="shared" si="308"/>
        <v>1.2</v>
      </c>
      <c r="Y1983" t="str">
        <f t="shared" si="309"/>
        <v>Healthy</v>
      </c>
    </row>
    <row r="1984" spans="1:25" x14ac:dyDescent="0.35">
      <c r="A1984" t="s">
        <v>179</v>
      </c>
      <c r="B1984" t="s">
        <v>195</v>
      </c>
      <c r="C1984" t="s">
        <v>199</v>
      </c>
      <c r="D1984" t="s">
        <v>433</v>
      </c>
      <c r="E1984">
        <v>80831838</v>
      </c>
      <c r="F1984" t="s">
        <v>1581</v>
      </c>
      <c r="G1984" s="3">
        <v>46272</v>
      </c>
      <c r="H1984">
        <v>16</v>
      </c>
      <c r="I1984">
        <v>17</v>
      </c>
      <c r="J1984">
        <v>4</v>
      </c>
      <c r="K1984" s="4">
        <v>5422.04</v>
      </c>
      <c r="L1984" s="4">
        <f>0</f>
        <v>0</v>
      </c>
      <c r="M1984" s="4">
        <f>999</f>
        <v>999</v>
      </c>
      <c r="N1984" t="s">
        <v>19</v>
      </c>
      <c r="O1984" t="str">
        <f t="shared" si="300"/>
        <v>High</v>
      </c>
      <c r="P1984" t="str">
        <f t="shared" si="301"/>
        <v>High</v>
      </c>
      <c r="Q1984" t="str">
        <f t="shared" si="302"/>
        <v>High</v>
      </c>
      <c r="R1984" t="s">
        <v>3317</v>
      </c>
      <c r="S1984" s="4">
        <f t="shared" ca="1" si="303"/>
        <v>75</v>
      </c>
      <c r="T1984">
        <f t="shared" si="304"/>
        <v>3</v>
      </c>
      <c r="U1984">
        <f t="shared" si="305"/>
        <v>3</v>
      </c>
      <c r="V1984">
        <f t="shared" si="306"/>
        <v>3</v>
      </c>
      <c r="W1984">
        <f t="shared" si="307"/>
        <v>1</v>
      </c>
      <c r="X1984">
        <f t="shared" si="308"/>
        <v>2.8000000000000003</v>
      </c>
      <c r="Y1984" t="str">
        <f t="shared" si="309"/>
        <v>Move Immediately</v>
      </c>
    </row>
    <row r="1985" spans="1:25" x14ac:dyDescent="0.35">
      <c r="A1985" t="s">
        <v>90</v>
      </c>
      <c r="B1985" t="s">
        <v>217</v>
      </c>
      <c r="C1985" t="s">
        <v>218</v>
      </c>
      <c r="D1985" t="s">
        <v>1578</v>
      </c>
      <c r="E1985">
        <v>80869894</v>
      </c>
      <c r="F1985" t="s">
        <v>1579</v>
      </c>
      <c r="G1985" s="3">
        <v>46880</v>
      </c>
      <c r="H1985">
        <v>24</v>
      </c>
      <c r="I1985">
        <v>96</v>
      </c>
      <c r="J1985">
        <v>1278</v>
      </c>
      <c r="K1985" s="4">
        <v>147391.74</v>
      </c>
      <c r="L1985" s="4">
        <v>30238.857142857141</v>
      </c>
      <c r="M1985" s="4">
        <v>4.2263502021996295E-2</v>
      </c>
      <c r="N1985" t="s">
        <v>25</v>
      </c>
      <c r="O1985" t="str">
        <f t="shared" si="300"/>
        <v>Low</v>
      </c>
      <c r="P1985" t="str">
        <f t="shared" si="301"/>
        <v>Low</v>
      </c>
      <c r="Q1985" t="str">
        <f t="shared" si="302"/>
        <v>Low</v>
      </c>
      <c r="R1985" t="s">
        <v>3309</v>
      </c>
      <c r="S1985" s="4">
        <f t="shared" ca="1" si="303"/>
        <v>683</v>
      </c>
      <c r="T1985">
        <f t="shared" si="304"/>
        <v>1</v>
      </c>
      <c r="U1985">
        <f t="shared" si="305"/>
        <v>1</v>
      </c>
      <c r="V1985">
        <f t="shared" si="306"/>
        <v>1</v>
      </c>
      <c r="W1985">
        <f t="shared" si="307"/>
        <v>3</v>
      </c>
      <c r="X1985">
        <f t="shared" si="308"/>
        <v>1.2</v>
      </c>
      <c r="Y1985" t="str">
        <f t="shared" si="309"/>
        <v>Healthy</v>
      </c>
    </row>
    <row r="1986" spans="1:25" x14ac:dyDescent="0.35">
      <c r="A1986" t="s">
        <v>179</v>
      </c>
      <c r="B1986" t="s">
        <v>195</v>
      </c>
      <c r="C1986" t="s">
        <v>199</v>
      </c>
      <c r="D1986" t="s">
        <v>433</v>
      </c>
      <c r="E1986">
        <v>80831838</v>
      </c>
      <c r="F1986" t="s">
        <v>1581</v>
      </c>
      <c r="G1986" s="3">
        <v>46279</v>
      </c>
      <c r="H1986">
        <v>16</v>
      </c>
      <c r="I1986">
        <v>18</v>
      </c>
      <c r="J1986">
        <v>1</v>
      </c>
      <c r="K1986" s="4">
        <v>1355.51</v>
      </c>
      <c r="L1986" s="4">
        <f>0</f>
        <v>0</v>
      </c>
      <c r="M1986" s="4">
        <f>999</f>
        <v>999</v>
      </c>
      <c r="N1986" t="s">
        <v>19</v>
      </c>
      <c r="O1986" t="str">
        <f t="shared" si="300"/>
        <v>High</v>
      </c>
      <c r="P1986" t="str">
        <f t="shared" si="301"/>
        <v>High</v>
      </c>
      <c r="Q1986" t="str">
        <f t="shared" si="302"/>
        <v>High</v>
      </c>
      <c r="R1986" t="s">
        <v>3317</v>
      </c>
      <c r="S1986" s="4">
        <f t="shared" ca="1" si="303"/>
        <v>82</v>
      </c>
      <c r="T1986">
        <f t="shared" si="304"/>
        <v>3</v>
      </c>
      <c r="U1986">
        <f t="shared" si="305"/>
        <v>3</v>
      </c>
      <c r="V1986">
        <f t="shared" si="306"/>
        <v>3</v>
      </c>
      <c r="W1986">
        <f t="shared" si="307"/>
        <v>1</v>
      </c>
      <c r="X1986">
        <f t="shared" si="308"/>
        <v>2.8000000000000003</v>
      </c>
      <c r="Y1986" t="str">
        <f t="shared" si="309"/>
        <v>Move Immediately</v>
      </c>
    </row>
    <row r="1987" spans="1:25" x14ac:dyDescent="0.35">
      <c r="A1987" t="s">
        <v>90</v>
      </c>
      <c r="B1987" t="s">
        <v>217</v>
      </c>
      <c r="C1987" t="s">
        <v>218</v>
      </c>
      <c r="D1987" t="s">
        <v>1578</v>
      </c>
      <c r="E1987">
        <v>80869894</v>
      </c>
      <c r="F1987" t="s">
        <v>1579</v>
      </c>
      <c r="G1987" s="3">
        <v>46879</v>
      </c>
      <c r="H1987">
        <v>24</v>
      </c>
      <c r="I1987">
        <v>95</v>
      </c>
      <c r="J1987">
        <v>364</v>
      </c>
      <c r="K1987" s="4">
        <v>41980.12</v>
      </c>
      <c r="L1987" s="4">
        <v>30238.857142857141</v>
      </c>
      <c r="M1987" s="4">
        <v>1.2037491968706302E-2</v>
      </c>
      <c r="N1987" t="s">
        <v>25</v>
      </c>
      <c r="O1987" t="str">
        <f t="shared" ref="O1987:O2050" si="310">IF(I1987&lt;20,"High",IF(I1987&lt;40,"Medium","Low"))</f>
        <v>Low</v>
      </c>
      <c r="P1987" t="str">
        <f t="shared" ref="P1987:P2050" si="311">IF(M1987&gt;8,"High",IF(M1987&gt;4,"Medium","Low"))</f>
        <v>Low</v>
      </c>
      <c r="Q1987" t="str">
        <f t="shared" ref="Q1987:Q2050" si="312">IF(L1987&lt;5,"High",IF(L1987&lt;15,"Medium","Low"))</f>
        <v>Low</v>
      </c>
      <c r="R1987" t="s">
        <v>3317</v>
      </c>
      <c r="S1987" s="4">
        <f t="shared" ref="S1987:S2050" ca="1" si="313">G1987-TODAY()</f>
        <v>682</v>
      </c>
      <c r="T1987">
        <f t="shared" ref="T1987:T2050" si="314">IF(O1987="High",3,IF(O1987="Medium",2,1))</f>
        <v>1</v>
      </c>
      <c r="U1987">
        <f t="shared" ref="U1987:U2050" si="315">IF(P1987="High",3,IF(P1987="Medium",2,1))</f>
        <v>1</v>
      </c>
      <c r="V1987">
        <f t="shared" ref="V1987:V2050" si="316">IF(Q1987="High",3,IF(Q1987="Medium",2,1))</f>
        <v>1</v>
      </c>
      <c r="W1987">
        <f t="shared" ref="W1987:W2050" si="317">IF(R1987="High",3,IF(R1987="Medium",2,1))</f>
        <v>1</v>
      </c>
      <c r="X1987">
        <f t="shared" ref="X1987:X2050" si="318">(0.4*T1987)+(0.3*U1987)+(0.2*V1987)+(0.1*W1987)</f>
        <v>0.99999999999999989</v>
      </c>
      <c r="Y1987" t="str">
        <f t="shared" ref="Y1987:Y2050" si="319">IF(X1987&gt;=2.7,"Move Immediately",IF(X1987&gt;=2.2,"High Priority",IF(X1987&gt;=1.7,"Monitor","Healthy")))</f>
        <v>Healthy</v>
      </c>
    </row>
    <row r="1988" spans="1:25" x14ac:dyDescent="0.35">
      <c r="A1988" t="s">
        <v>179</v>
      </c>
      <c r="B1988" t="s">
        <v>180</v>
      </c>
      <c r="C1988" t="s">
        <v>181</v>
      </c>
      <c r="D1988" t="s">
        <v>1507</v>
      </c>
      <c r="E1988">
        <v>80850106</v>
      </c>
      <c r="F1988" t="s">
        <v>1582</v>
      </c>
      <c r="G1988" s="3">
        <v>46149</v>
      </c>
      <c r="H1988">
        <v>16</v>
      </c>
      <c r="I1988">
        <v>0</v>
      </c>
      <c r="J1988">
        <v>2</v>
      </c>
      <c r="K1988" s="4">
        <v>1847.06</v>
      </c>
      <c r="L1988" s="4">
        <f>0</f>
        <v>0</v>
      </c>
      <c r="M1988" s="4">
        <f>999</f>
        <v>999</v>
      </c>
      <c r="N1988" t="s">
        <v>19</v>
      </c>
      <c r="O1988" t="str">
        <f t="shared" si="310"/>
        <v>High</v>
      </c>
      <c r="P1988" t="str">
        <f t="shared" si="311"/>
        <v>High</v>
      </c>
      <c r="Q1988" t="str">
        <f t="shared" si="312"/>
        <v>High</v>
      </c>
      <c r="R1988" t="s">
        <v>3317</v>
      </c>
      <c r="S1988" s="4">
        <f t="shared" ca="1" si="313"/>
        <v>-48</v>
      </c>
      <c r="T1988">
        <f t="shared" si="314"/>
        <v>3</v>
      </c>
      <c r="U1988">
        <f t="shared" si="315"/>
        <v>3</v>
      </c>
      <c r="V1988">
        <f t="shared" si="316"/>
        <v>3</v>
      </c>
      <c r="W1988">
        <f t="shared" si="317"/>
        <v>1</v>
      </c>
      <c r="X1988">
        <f t="shared" si="318"/>
        <v>2.8000000000000003</v>
      </c>
      <c r="Y1988" t="str">
        <f t="shared" si="319"/>
        <v>Move Immediately</v>
      </c>
    </row>
    <row r="1989" spans="1:25" x14ac:dyDescent="0.35">
      <c r="A1989" t="s">
        <v>90</v>
      </c>
      <c r="B1989" t="s">
        <v>217</v>
      </c>
      <c r="C1989" t="s">
        <v>218</v>
      </c>
      <c r="D1989" t="s">
        <v>1578</v>
      </c>
      <c r="E1989">
        <v>80869894</v>
      </c>
      <c r="F1989" t="s">
        <v>1579</v>
      </c>
      <c r="G1989" s="3">
        <v>46903</v>
      </c>
      <c r="H1989">
        <v>24</v>
      </c>
      <c r="I1989">
        <v>99</v>
      </c>
      <c r="J1989">
        <v>690</v>
      </c>
      <c r="K1989" s="4">
        <v>79577.7</v>
      </c>
      <c r="L1989" s="4">
        <v>30238.857142857141</v>
      </c>
      <c r="M1989" s="4">
        <v>2.2818322687932272E-2</v>
      </c>
      <c r="N1989" t="s">
        <v>25</v>
      </c>
      <c r="O1989" t="str">
        <f t="shared" si="310"/>
        <v>Low</v>
      </c>
      <c r="P1989" t="str">
        <f t="shared" si="311"/>
        <v>Low</v>
      </c>
      <c r="Q1989" t="str">
        <f t="shared" si="312"/>
        <v>Low</v>
      </c>
      <c r="R1989" t="s">
        <v>3310</v>
      </c>
      <c r="S1989" s="4">
        <f t="shared" ca="1" si="313"/>
        <v>706</v>
      </c>
      <c r="T1989">
        <f t="shared" si="314"/>
        <v>1</v>
      </c>
      <c r="U1989">
        <f t="shared" si="315"/>
        <v>1</v>
      </c>
      <c r="V1989">
        <f t="shared" si="316"/>
        <v>1</v>
      </c>
      <c r="W1989">
        <f t="shared" si="317"/>
        <v>2</v>
      </c>
      <c r="X1989">
        <f t="shared" si="318"/>
        <v>1.0999999999999999</v>
      </c>
      <c r="Y1989" t="str">
        <f t="shared" si="319"/>
        <v>Healthy</v>
      </c>
    </row>
    <row r="1990" spans="1:25" x14ac:dyDescent="0.35">
      <c r="A1990" t="s">
        <v>90</v>
      </c>
      <c r="B1990" t="s">
        <v>217</v>
      </c>
      <c r="C1990" t="s">
        <v>218</v>
      </c>
      <c r="D1990" t="s">
        <v>1578</v>
      </c>
      <c r="E1990">
        <v>80869894</v>
      </c>
      <c r="F1990" t="s">
        <v>1579</v>
      </c>
      <c r="G1990" s="3">
        <v>46903</v>
      </c>
      <c r="H1990">
        <v>24</v>
      </c>
      <c r="I1990">
        <v>99</v>
      </c>
      <c r="J1990">
        <v>2117</v>
      </c>
      <c r="K1990" s="4">
        <v>244153.61</v>
      </c>
      <c r="L1990" s="4">
        <v>30238.857142857141</v>
      </c>
      <c r="M1990" s="4">
        <v>7.0009259609206703E-2</v>
      </c>
      <c r="N1990" t="s">
        <v>25</v>
      </c>
      <c r="O1990" t="str">
        <f t="shared" si="310"/>
        <v>Low</v>
      </c>
      <c r="P1990" t="str">
        <f t="shared" si="311"/>
        <v>Low</v>
      </c>
      <c r="Q1990" t="str">
        <f t="shared" si="312"/>
        <v>Low</v>
      </c>
      <c r="R1990" t="s">
        <v>3309</v>
      </c>
      <c r="S1990" s="4">
        <f t="shared" ca="1" si="313"/>
        <v>706</v>
      </c>
      <c r="T1990">
        <f t="shared" si="314"/>
        <v>1</v>
      </c>
      <c r="U1990">
        <f t="shared" si="315"/>
        <v>1</v>
      </c>
      <c r="V1990">
        <f t="shared" si="316"/>
        <v>1</v>
      </c>
      <c r="W1990">
        <f t="shared" si="317"/>
        <v>3</v>
      </c>
      <c r="X1990">
        <f t="shared" si="318"/>
        <v>1.2</v>
      </c>
      <c r="Y1990" t="str">
        <f t="shared" si="319"/>
        <v>Healthy</v>
      </c>
    </row>
    <row r="1991" spans="1:25" x14ac:dyDescent="0.35">
      <c r="A1991" t="s">
        <v>210</v>
      </c>
      <c r="B1991" t="s">
        <v>211</v>
      </c>
      <c r="C1991" t="s">
        <v>212</v>
      </c>
      <c r="D1991" t="s">
        <v>1583</v>
      </c>
      <c r="E1991">
        <v>80832390</v>
      </c>
      <c r="F1991" t="s">
        <v>1584</v>
      </c>
      <c r="G1991" s="3">
        <v>46817</v>
      </c>
      <c r="H1991">
        <v>24</v>
      </c>
      <c r="I1991">
        <v>87</v>
      </c>
      <c r="J1991">
        <v>612</v>
      </c>
      <c r="K1991" s="4">
        <v>276691.32</v>
      </c>
      <c r="L1991" s="4">
        <v>849.14285714285711</v>
      </c>
      <c r="M1991" s="4">
        <v>0.72072678331090179</v>
      </c>
      <c r="N1991" t="s">
        <v>25</v>
      </c>
      <c r="O1991" t="str">
        <f t="shared" si="310"/>
        <v>Low</v>
      </c>
      <c r="P1991" t="str">
        <f t="shared" si="311"/>
        <v>Low</v>
      </c>
      <c r="Q1991" t="str">
        <f t="shared" si="312"/>
        <v>Low</v>
      </c>
      <c r="R1991" t="s">
        <v>3309</v>
      </c>
      <c r="S1991" s="4">
        <f t="shared" ca="1" si="313"/>
        <v>620</v>
      </c>
      <c r="T1991">
        <f t="shared" si="314"/>
        <v>1</v>
      </c>
      <c r="U1991">
        <f t="shared" si="315"/>
        <v>1</v>
      </c>
      <c r="V1991">
        <f t="shared" si="316"/>
        <v>1</v>
      </c>
      <c r="W1991">
        <f t="shared" si="317"/>
        <v>3</v>
      </c>
      <c r="X1991">
        <f t="shared" si="318"/>
        <v>1.2</v>
      </c>
      <c r="Y1991" t="str">
        <f t="shared" si="319"/>
        <v>Healthy</v>
      </c>
    </row>
    <row r="1992" spans="1:25" x14ac:dyDescent="0.35">
      <c r="A1992" t="s">
        <v>90</v>
      </c>
      <c r="B1992" t="s">
        <v>217</v>
      </c>
      <c r="C1992" t="s">
        <v>218</v>
      </c>
      <c r="D1992" t="s">
        <v>1578</v>
      </c>
      <c r="E1992">
        <v>80869894</v>
      </c>
      <c r="F1992" t="s">
        <v>1579</v>
      </c>
      <c r="G1992" s="3">
        <v>46904</v>
      </c>
      <c r="H1992">
        <v>24</v>
      </c>
      <c r="I1992">
        <v>99</v>
      </c>
      <c r="J1992">
        <v>1440</v>
      </c>
      <c r="K1992" s="4">
        <v>166075.20000000001</v>
      </c>
      <c r="L1992" s="4">
        <v>30238.857142857141</v>
      </c>
      <c r="M1992" s="4">
        <v>4.7620847348728221E-2</v>
      </c>
      <c r="N1992" t="s">
        <v>25</v>
      </c>
      <c r="O1992" t="str">
        <f t="shared" si="310"/>
        <v>Low</v>
      </c>
      <c r="P1992" t="str">
        <f t="shared" si="311"/>
        <v>Low</v>
      </c>
      <c r="Q1992" t="str">
        <f t="shared" si="312"/>
        <v>Low</v>
      </c>
      <c r="R1992" t="s">
        <v>3309</v>
      </c>
      <c r="S1992" s="4">
        <f t="shared" ca="1" si="313"/>
        <v>707</v>
      </c>
      <c r="T1992">
        <f t="shared" si="314"/>
        <v>1</v>
      </c>
      <c r="U1992">
        <f t="shared" si="315"/>
        <v>1</v>
      </c>
      <c r="V1992">
        <f t="shared" si="316"/>
        <v>1</v>
      </c>
      <c r="W1992">
        <f t="shared" si="317"/>
        <v>3</v>
      </c>
      <c r="X1992">
        <f t="shared" si="318"/>
        <v>1.2</v>
      </c>
      <c r="Y1992" t="str">
        <f t="shared" si="319"/>
        <v>Healthy</v>
      </c>
    </row>
    <row r="1993" spans="1:25" x14ac:dyDescent="0.35">
      <c r="A1993" t="s">
        <v>90</v>
      </c>
      <c r="B1993" t="s">
        <v>217</v>
      </c>
      <c r="C1993" t="s">
        <v>218</v>
      </c>
      <c r="D1993" t="s">
        <v>1578</v>
      </c>
      <c r="E1993">
        <v>80869894</v>
      </c>
      <c r="F1993" t="s">
        <v>1579</v>
      </c>
      <c r="G1993" s="3">
        <v>46881</v>
      </c>
      <c r="H1993">
        <v>24</v>
      </c>
      <c r="I1993">
        <v>96</v>
      </c>
      <c r="J1993">
        <v>750</v>
      </c>
      <c r="K1993" s="4">
        <v>86497.5</v>
      </c>
      <c r="L1993" s="4">
        <v>30238.857142857141</v>
      </c>
      <c r="M1993" s="4">
        <v>2.4802524660795949E-2</v>
      </c>
      <c r="N1993" t="s">
        <v>25</v>
      </c>
      <c r="O1993" t="str">
        <f t="shared" si="310"/>
        <v>Low</v>
      </c>
      <c r="P1993" t="str">
        <f t="shared" si="311"/>
        <v>Low</v>
      </c>
      <c r="Q1993" t="str">
        <f t="shared" si="312"/>
        <v>Low</v>
      </c>
      <c r="R1993" t="s">
        <v>3310</v>
      </c>
      <c r="S1993" s="4">
        <f t="shared" ca="1" si="313"/>
        <v>684</v>
      </c>
      <c r="T1993">
        <f t="shared" si="314"/>
        <v>1</v>
      </c>
      <c r="U1993">
        <f t="shared" si="315"/>
        <v>1</v>
      </c>
      <c r="V1993">
        <f t="shared" si="316"/>
        <v>1</v>
      </c>
      <c r="W1993">
        <f t="shared" si="317"/>
        <v>2</v>
      </c>
      <c r="X1993">
        <f t="shared" si="318"/>
        <v>1.0999999999999999</v>
      </c>
      <c r="Y1993" t="str">
        <f t="shared" si="319"/>
        <v>Healthy</v>
      </c>
    </row>
    <row r="1994" spans="1:25" x14ac:dyDescent="0.35">
      <c r="A1994" t="s">
        <v>210</v>
      </c>
      <c r="B1994" t="s">
        <v>211</v>
      </c>
      <c r="C1994" t="s">
        <v>212</v>
      </c>
      <c r="D1994" t="s">
        <v>1583</v>
      </c>
      <c r="E1994">
        <v>80832390</v>
      </c>
      <c r="F1994" t="s">
        <v>1584</v>
      </c>
      <c r="G1994" s="3">
        <v>46735</v>
      </c>
      <c r="H1994">
        <v>24</v>
      </c>
      <c r="I1994">
        <v>75</v>
      </c>
      <c r="J1994">
        <v>31</v>
      </c>
      <c r="K1994" s="4">
        <v>14015.41</v>
      </c>
      <c r="L1994" s="4">
        <v>849.14285714285711</v>
      </c>
      <c r="M1994" s="4">
        <v>3.6507402422611038E-2</v>
      </c>
      <c r="N1994" t="s">
        <v>25</v>
      </c>
      <c r="O1994" t="str">
        <f t="shared" si="310"/>
        <v>Low</v>
      </c>
      <c r="P1994" t="str">
        <f t="shared" si="311"/>
        <v>Low</v>
      </c>
      <c r="Q1994" t="str">
        <f t="shared" si="312"/>
        <v>Low</v>
      </c>
      <c r="R1994" t="s">
        <v>3317</v>
      </c>
      <c r="S1994" s="4">
        <f t="shared" ca="1" si="313"/>
        <v>538</v>
      </c>
      <c r="T1994">
        <f t="shared" si="314"/>
        <v>1</v>
      </c>
      <c r="U1994">
        <f t="shared" si="315"/>
        <v>1</v>
      </c>
      <c r="V1994">
        <f t="shared" si="316"/>
        <v>1</v>
      </c>
      <c r="W1994">
        <f t="shared" si="317"/>
        <v>1</v>
      </c>
      <c r="X1994">
        <f t="shared" si="318"/>
        <v>0.99999999999999989</v>
      </c>
      <c r="Y1994" t="str">
        <f t="shared" si="319"/>
        <v>Healthy</v>
      </c>
    </row>
    <row r="1995" spans="1:25" x14ac:dyDescent="0.35">
      <c r="A1995" t="s">
        <v>90</v>
      </c>
      <c r="B1995" t="s">
        <v>217</v>
      </c>
      <c r="C1995" t="s">
        <v>218</v>
      </c>
      <c r="D1995" t="s">
        <v>1578</v>
      </c>
      <c r="E1995">
        <v>80869894</v>
      </c>
      <c r="F1995" t="s">
        <v>1579</v>
      </c>
      <c r="G1995" s="3">
        <v>46890</v>
      </c>
      <c r="H1995">
        <v>24</v>
      </c>
      <c r="I1995">
        <v>97</v>
      </c>
      <c r="J1995">
        <v>1964</v>
      </c>
      <c r="K1995" s="4">
        <v>226508.12</v>
      </c>
      <c r="L1995" s="4">
        <v>30238.857142857141</v>
      </c>
      <c r="M1995" s="4">
        <v>6.4949544578404322E-2</v>
      </c>
      <c r="N1995" t="s">
        <v>25</v>
      </c>
      <c r="O1995" t="str">
        <f t="shared" si="310"/>
        <v>Low</v>
      </c>
      <c r="P1995" t="str">
        <f t="shared" si="311"/>
        <v>Low</v>
      </c>
      <c r="Q1995" t="str">
        <f t="shared" si="312"/>
        <v>Low</v>
      </c>
      <c r="R1995" t="s">
        <v>3309</v>
      </c>
      <c r="S1995" s="4">
        <f t="shared" ca="1" si="313"/>
        <v>693</v>
      </c>
      <c r="T1995">
        <f t="shared" si="314"/>
        <v>1</v>
      </c>
      <c r="U1995">
        <f t="shared" si="315"/>
        <v>1</v>
      </c>
      <c r="V1995">
        <f t="shared" si="316"/>
        <v>1</v>
      </c>
      <c r="W1995">
        <f t="shared" si="317"/>
        <v>3</v>
      </c>
      <c r="X1995">
        <f t="shared" si="318"/>
        <v>1.2</v>
      </c>
      <c r="Y1995" t="str">
        <f t="shared" si="319"/>
        <v>Healthy</v>
      </c>
    </row>
    <row r="1996" spans="1:25" x14ac:dyDescent="0.35">
      <c r="A1996" t="s">
        <v>71</v>
      </c>
      <c r="B1996" t="s">
        <v>72</v>
      </c>
      <c r="C1996" t="s">
        <v>310</v>
      </c>
      <c r="D1996" t="s">
        <v>1585</v>
      </c>
      <c r="E1996">
        <v>80853688</v>
      </c>
      <c r="F1996" t="s">
        <v>1586</v>
      </c>
      <c r="G1996" s="3">
        <v>46954</v>
      </c>
      <c r="H1996">
        <v>36</v>
      </c>
      <c r="I1996">
        <v>71</v>
      </c>
      <c r="J1996">
        <v>26</v>
      </c>
      <c r="K1996" s="4">
        <v>10135.58</v>
      </c>
      <c r="L1996" s="4">
        <v>105.14285714285714</v>
      </c>
      <c r="M1996" s="4">
        <v>0.24728260869565219</v>
      </c>
      <c r="N1996" t="s">
        <v>25</v>
      </c>
      <c r="O1996" t="str">
        <f t="shared" si="310"/>
        <v>Low</v>
      </c>
      <c r="P1996" t="str">
        <f t="shared" si="311"/>
        <v>Low</v>
      </c>
      <c r="Q1996" t="str">
        <f t="shared" si="312"/>
        <v>Low</v>
      </c>
      <c r="R1996" t="s">
        <v>3317</v>
      </c>
      <c r="S1996" s="4">
        <f t="shared" ca="1" si="313"/>
        <v>757</v>
      </c>
      <c r="T1996">
        <f t="shared" si="314"/>
        <v>1</v>
      </c>
      <c r="U1996">
        <f t="shared" si="315"/>
        <v>1</v>
      </c>
      <c r="V1996">
        <f t="shared" si="316"/>
        <v>1</v>
      </c>
      <c r="W1996">
        <f t="shared" si="317"/>
        <v>1</v>
      </c>
      <c r="X1996">
        <f t="shared" si="318"/>
        <v>0.99999999999999989</v>
      </c>
      <c r="Y1996" t="str">
        <f t="shared" si="319"/>
        <v>Healthy</v>
      </c>
    </row>
    <row r="1997" spans="1:25" x14ac:dyDescent="0.35">
      <c r="A1997" t="s">
        <v>90</v>
      </c>
      <c r="B1997" t="s">
        <v>217</v>
      </c>
      <c r="C1997" t="s">
        <v>218</v>
      </c>
      <c r="D1997" t="s">
        <v>1578</v>
      </c>
      <c r="E1997">
        <v>80869894</v>
      </c>
      <c r="F1997" t="s">
        <v>1579</v>
      </c>
      <c r="G1997" s="3">
        <v>46892</v>
      </c>
      <c r="H1997">
        <v>24</v>
      </c>
      <c r="I1997">
        <v>97</v>
      </c>
      <c r="J1997">
        <v>1710</v>
      </c>
      <c r="K1997" s="4">
        <v>197214.3</v>
      </c>
      <c r="L1997" s="4">
        <v>30238.857142857141</v>
      </c>
      <c r="M1997" s="4">
        <v>5.6549756226614768E-2</v>
      </c>
      <c r="N1997" t="s">
        <v>25</v>
      </c>
      <c r="O1997" t="str">
        <f t="shared" si="310"/>
        <v>Low</v>
      </c>
      <c r="P1997" t="str">
        <f t="shared" si="311"/>
        <v>Low</v>
      </c>
      <c r="Q1997" t="str">
        <f t="shared" si="312"/>
        <v>Low</v>
      </c>
      <c r="R1997" t="s">
        <v>3309</v>
      </c>
      <c r="S1997" s="4">
        <f t="shared" ca="1" si="313"/>
        <v>695</v>
      </c>
      <c r="T1997">
        <f t="shared" si="314"/>
        <v>1</v>
      </c>
      <c r="U1997">
        <f t="shared" si="315"/>
        <v>1</v>
      </c>
      <c r="V1997">
        <f t="shared" si="316"/>
        <v>1</v>
      </c>
      <c r="W1997">
        <f t="shared" si="317"/>
        <v>3</v>
      </c>
      <c r="X1997">
        <f t="shared" si="318"/>
        <v>1.2</v>
      </c>
      <c r="Y1997" t="str">
        <f t="shared" si="319"/>
        <v>Healthy</v>
      </c>
    </row>
    <row r="1998" spans="1:25" x14ac:dyDescent="0.35">
      <c r="A1998" t="s">
        <v>71</v>
      </c>
      <c r="B1998" t="s">
        <v>72</v>
      </c>
      <c r="C1998" t="s">
        <v>310</v>
      </c>
      <c r="D1998" t="s">
        <v>1585</v>
      </c>
      <c r="E1998">
        <v>80853688</v>
      </c>
      <c r="F1998" t="s">
        <v>1586</v>
      </c>
      <c r="G1998" s="3">
        <v>47078</v>
      </c>
      <c r="H1998">
        <v>36</v>
      </c>
      <c r="I1998">
        <v>82</v>
      </c>
      <c r="J1998">
        <v>11</v>
      </c>
      <c r="K1998" s="4">
        <v>4288.13</v>
      </c>
      <c r="L1998" s="4">
        <v>105.14285714285714</v>
      </c>
      <c r="M1998" s="4">
        <v>0.10461956521739131</v>
      </c>
      <c r="N1998" t="s">
        <v>25</v>
      </c>
      <c r="O1998" t="str">
        <f t="shared" si="310"/>
        <v>Low</v>
      </c>
      <c r="P1998" t="str">
        <f t="shared" si="311"/>
        <v>Low</v>
      </c>
      <c r="Q1998" t="str">
        <f t="shared" si="312"/>
        <v>Low</v>
      </c>
      <c r="R1998" t="s">
        <v>3317</v>
      </c>
      <c r="S1998" s="4">
        <f t="shared" ca="1" si="313"/>
        <v>881</v>
      </c>
      <c r="T1998">
        <f t="shared" si="314"/>
        <v>1</v>
      </c>
      <c r="U1998">
        <f t="shared" si="315"/>
        <v>1</v>
      </c>
      <c r="V1998">
        <f t="shared" si="316"/>
        <v>1</v>
      </c>
      <c r="W1998">
        <f t="shared" si="317"/>
        <v>1</v>
      </c>
      <c r="X1998">
        <f t="shared" si="318"/>
        <v>0.99999999999999989</v>
      </c>
      <c r="Y1998" t="str">
        <f t="shared" si="319"/>
        <v>Healthy</v>
      </c>
    </row>
    <row r="1999" spans="1:25" x14ac:dyDescent="0.35">
      <c r="A1999" t="s">
        <v>71</v>
      </c>
      <c r="B1999" t="s">
        <v>72</v>
      </c>
      <c r="C1999" t="s">
        <v>310</v>
      </c>
      <c r="D1999" t="s">
        <v>1585</v>
      </c>
      <c r="E1999">
        <v>80853688</v>
      </c>
      <c r="F1999" t="s">
        <v>1586</v>
      </c>
      <c r="G1999" s="3">
        <v>47025</v>
      </c>
      <c r="H1999">
        <v>36</v>
      </c>
      <c r="I1999">
        <v>77</v>
      </c>
      <c r="J1999">
        <v>3</v>
      </c>
      <c r="K1999" s="4">
        <v>1169.49</v>
      </c>
      <c r="L1999" s="4">
        <v>105.14285714285714</v>
      </c>
      <c r="M1999" s="4">
        <v>2.8532608695652176E-2</v>
      </c>
      <c r="N1999" t="s">
        <v>25</v>
      </c>
      <c r="O1999" t="str">
        <f t="shared" si="310"/>
        <v>Low</v>
      </c>
      <c r="P1999" t="str">
        <f t="shared" si="311"/>
        <v>Low</v>
      </c>
      <c r="Q1999" t="str">
        <f t="shared" si="312"/>
        <v>Low</v>
      </c>
      <c r="R1999" t="s">
        <v>3317</v>
      </c>
      <c r="S1999" s="4">
        <f t="shared" ca="1" si="313"/>
        <v>828</v>
      </c>
      <c r="T1999">
        <f t="shared" si="314"/>
        <v>1</v>
      </c>
      <c r="U1999">
        <f t="shared" si="315"/>
        <v>1</v>
      </c>
      <c r="V1999">
        <f t="shared" si="316"/>
        <v>1</v>
      </c>
      <c r="W1999">
        <f t="shared" si="317"/>
        <v>1</v>
      </c>
      <c r="X1999">
        <f t="shared" si="318"/>
        <v>0.99999999999999989</v>
      </c>
      <c r="Y1999" t="str">
        <f t="shared" si="319"/>
        <v>Healthy</v>
      </c>
    </row>
    <row r="2000" spans="1:25" x14ac:dyDescent="0.35">
      <c r="A2000" t="s">
        <v>71</v>
      </c>
      <c r="B2000" t="s">
        <v>72</v>
      </c>
      <c r="C2000" t="s">
        <v>310</v>
      </c>
      <c r="D2000" t="s">
        <v>1585</v>
      </c>
      <c r="E2000">
        <v>80853688</v>
      </c>
      <c r="F2000" t="s">
        <v>1586</v>
      </c>
      <c r="G2000" s="3">
        <v>47043</v>
      </c>
      <c r="H2000">
        <v>36</v>
      </c>
      <c r="I2000">
        <v>79</v>
      </c>
      <c r="J2000">
        <v>6</v>
      </c>
      <c r="K2000" s="4">
        <v>2338.98</v>
      </c>
      <c r="L2000" s="4">
        <v>105.14285714285714</v>
      </c>
      <c r="M2000" s="4">
        <v>5.7065217391304351E-2</v>
      </c>
      <c r="N2000" t="s">
        <v>25</v>
      </c>
      <c r="O2000" t="str">
        <f t="shared" si="310"/>
        <v>Low</v>
      </c>
      <c r="P2000" t="str">
        <f t="shared" si="311"/>
        <v>Low</v>
      </c>
      <c r="Q2000" t="str">
        <f t="shared" si="312"/>
        <v>Low</v>
      </c>
      <c r="R2000" t="s">
        <v>3317</v>
      </c>
      <c r="S2000" s="4">
        <f t="shared" ca="1" si="313"/>
        <v>846</v>
      </c>
      <c r="T2000">
        <f t="shared" si="314"/>
        <v>1</v>
      </c>
      <c r="U2000">
        <f t="shared" si="315"/>
        <v>1</v>
      </c>
      <c r="V2000">
        <f t="shared" si="316"/>
        <v>1</v>
      </c>
      <c r="W2000">
        <f t="shared" si="317"/>
        <v>1</v>
      </c>
      <c r="X2000">
        <f t="shared" si="318"/>
        <v>0.99999999999999989</v>
      </c>
      <c r="Y2000" t="str">
        <f t="shared" si="319"/>
        <v>Healthy</v>
      </c>
    </row>
    <row r="2001" spans="1:25" x14ac:dyDescent="0.35">
      <c r="A2001" t="s">
        <v>20</v>
      </c>
      <c r="B2001" t="s">
        <v>21</v>
      </c>
      <c r="C2001" t="s">
        <v>51</v>
      </c>
      <c r="D2001" t="s">
        <v>719</v>
      </c>
      <c r="E2001">
        <v>80866078</v>
      </c>
      <c r="F2001" t="s">
        <v>1587</v>
      </c>
      <c r="G2001" s="3">
        <v>46986</v>
      </c>
      <c r="H2001">
        <v>36</v>
      </c>
      <c r="I2001">
        <v>74</v>
      </c>
      <c r="J2001">
        <v>83</v>
      </c>
      <c r="K2001" s="4">
        <v>4648</v>
      </c>
      <c r="L2001" s="4">
        <v>60</v>
      </c>
      <c r="M2001" s="4">
        <v>1.3833333333333333</v>
      </c>
      <c r="N2001" t="s">
        <v>25</v>
      </c>
      <c r="O2001" t="str">
        <f t="shared" si="310"/>
        <v>Low</v>
      </c>
      <c r="P2001" t="str">
        <f t="shared" si="311"/>
        <v>Low</v>
      </c>
      <c r="Q2001" t="str">
        <f t="shared" si="312"/>
        <v>Low</v>
      </c>
      <c r="R2001" t="s">
        <v>3317</v>
      </c>
      <c r="S2001" s="4">
        <f t="shared" ca="1" si="313"/>
        <v>789</v>
      </c>
      <c r="T2001">
        <f t="shared" si="314"/>
        <v>1</v>
      </c>
      <c r="U2001">
        <f t="shared" si="315"/>
        <v>1</v>
      </c>
      <c r="V2001">
        <f t="shared" si="316"/>
        <v>1</v>
      </c>
      <c r="W2001">
        <f t="shared" si="317"/>
        <v>1</v>
      </c>
      <c r="X2001">
        <f t="shared" si="318"/>
        <v>0.99999999999999989</v>
      </c>
      <c r="Y2001" t="str">
        <f t="shared" si="319"/>
        <v>Healthy</v>
      </c>
    </row>
    <row r="2002" spans="1:25" x14ac:dyDescent="0.35">
      <c r="A2002" t="s">
        <v>20</v>
      </c>
      <c r="B2002" t="s">
        <v>21</v>
      </c>
      <c r="C2002" t="s">
        <v>51</v>
      </c>
      <c r="D2002" t="s">
        <v>719</v>
      </c>
      <c r="E2002">
        <v>80866078</v>
      </c>
      <c r="F2002" t="s">
        <v>1587</v>
      </c>
      <c r="G2002" s="3">
        <v>46920</v>
      </c>
      <c r="H2002">
        <v>36</v>
      </c>
      <c r="I2002">
        <v>67</v>
      </c>
      <c r="J2002">
        <v>1</v>
      </c>
      <c r="K2002" s="4">
        <v>56</v>
      </c>
      <c r="L2002" s="4">
        <v>60</v>
      </c>
      <c r="M2002" s="4">
        <v>1.6666666666666666E-2</v>
      </c>
      <c r="N2002" t="s">
        <v>25</v>
      </c>
      <c r="O2002" t="str">
        <f t="shared" si="310"/>
        <v>Low</v>
      </c>
      <c r="P2002" t="str">
        <f t="shared" si="311"/>
        <v>Low</v>
      </c>
      <c r="Q2002" t="str">
        <f t="shared" si="312"/>
        <v>Low</v>
      </c>
      <c r="R2002" t="s">
        <v>3317</v>
      </c>
      <c r="S2002" s="4">
        <f t="shared" ca="1" si="313"/>
        <v>723</v>
      </c>
      <c r="T2002">
        <f t="shared" si="314"/>
        <v>1</v>
      </c>
      <c r="U2002">
        <f t="shared" si="315"/>
        <v>1</v>
      </c>
      <c r="V2002">
        <f t="shared" si="316"/>
        <v>1</v>
      </c>
      <c r="W2002">
        <f t="shared" si="317"/>
        <v>1</v>
      </c>
      <c r="X2002">
        <f t="shared" si="318"/>
        <v>0.99999999999999989</v>
      </c>
      <c r="Y2002" t="str">
        <f t="shared" si="319"/>
        <v>Healthy</v>
      </c>
    </row>
    <row r="2003" spans="1:25" x14ac:dyDescent="0.35">
      <c r="A2003" t="s">
        <v>71</v>
      </c>
      <c r="B2003" t="s">
        <v>72</v>
      </c>
      <c r="C2003" t="s">
        <v>310</v>
      </c>
      <c r="D2003" t="s">
        <v>1585</v>
      </c>
      <c r="E2003">
        <v>80853688</v>
      </c>
      <c r="F2003" t="s">
        <v>1586</v>
      </c>
      <c r="G2003" s="3">
        <v>46976</v>
      </c>
      <c r="H2003">
        <v>36</v>
      </c>
      <c r="I2003">
        <v>73</v>
      </c>
      <c r="J2003">
        <v>11</v>
      </c>
      <c r="K2003" s="4">
        <v>4288.13</v>
      </c>
      <c r="L2003" s="4">
        <v>105.14285714285714</v>
      </c>
      <c r="M2003" s="4">
        <v>0.10461956521739131</v>
      </c>
      <c r="N2003" t="s">
        <v>25</v>
      </c>
      <c r="O2003" t="str">
        <f t="shared" si="310"/>
        <v>Low</v>
      </c>
      <c r="P2003" t="str">
        <f t="shared" si="311"/>
        <v>Low</v>
      </c>
      <c r="Q2003" t="str">
        <f t="shared" si="312"/>
        <v>Low</v>
      </c>
      <c r="R2003" t="s">
        <v>3317</v>
      </c>
      <c r="S2003" s="4">
        <f t="shared" ca="1" si="313"/>
        <v>779</v>
      </c>
      <c r="T2003">
        <f t="shared" si="314"/>
        <v>1</v>
      </c>
      <c r="U2003">
        <f t="shared" si="315"/>
        <v>1</v>
      </c>
      <c r="V2003">
        <f t="shared" si="316"/>
        <v>1</v>
      </c>
      <c r="W2003">
        <f t="shared" si="317"/>
        <v>1</v>
      </c>
      <c r="X2003">
        <f t="shared" si="318"/>
        <v>0.99999999999999989</v>
      </c>
      <c r="Y2003" t="str">
        <f t="shared" si="319"/>
        <v>Healthy</v>
      </c>
    </row>
    <row r="2004" spans="1:25" x14ac:dyDescent="0.35">
      <c r="A2004" t="s">
        <v>20</v>
      </c>
      <c r="B2004" t="s">
        <v>21</v>
      </c>
      <c r="C2004" t="s">
        <v>51</v>
      </c>
      <c r="D2004" t="s">
        <v>719</v>
      </c>
      <c r="E2004">
        <v>80866078</v>
      </c>
      <c r="F2004" t="s">
        <v>1587</v>
      </c>
      <c r="G2004" s="3">
        <v>46921</v>
      </c>
      <c r="H2004">
        <v>36</v>
      </c>
      <c r="I2004">
        <v>68</v>
      </c>
      <c r="J2004">
        <v>83</v>
      </c>
      <c r="K2004" s="4">
        <v>4648</v>
      </c>
      <c r="L2004" s="4">
        <v>60</v>
      </c>
      <c r="M2004" s="4">
        <v>1.3833333333333333</v>
      </c>
      <c r="N2004" t="s">
        <v>25</v>
      </c>
      <c r="O2004" t="str">
        <f t="shared" si="310"/>
        <v>Low</v>
      </c>
      <c r="P2004" t="str">
        <f t="shared" si="311"/>
        <v>Low</v>
      </c>
      <c r="Q2004" t="str">
        <f t="shared" si="312"/>
        <v>Low</v>
      </c>
      <c r="R2004" t="s">
        <v>3317</v>
      </c>
      <c r="S2004" s="4">
        <f t="shared" ca="1" si="313"/>
        <v>724</v>
      </c>
      <c r="T2004">
        <f t="shared" si="314"/>
        <v>1</v>
      </c>
      <c r="U2004">
        <f t="shared" si="315"/>
        <v>1</v>
      </c>
      <c r="V2004">
        <f t="shared" si="316"/>
        <v>1</v>
      </c>
      <c r="W2004">
        <f t="shared" si="317"/>
        <v>1</v>
      </c>
      <c r="X2004">
        <f t="shared" si="318"/>
        <v>0.99999999999999989</v>
      </c>
      <c r="Y2004" t="str">
        <f t="shared" si="319"/>
        <v>Healthy</v>
      </c>
    </row>
    <row r="2005" spans="1:25" x14ac:dyDescent="0.35">
      <c r="A2005" t="s">
        <v>71</v>
      </c>
      <c r="B2005" t="s">
        <v>72</v>
      </c>
      <c r="C2005" t="s">
        <v>310</v>
      </c>
      <c r="D2005" t="s">
        <v>1585</v>
      </c>
      <c r="E2005">
        <v>80853688</v>
      </c>
      <c r="F2005" t="s">
        <v>1586</v>
      </c>
      <c r="G2005" s="3">
        <v>47003</v>
      </c>
      <c r="H2005">
        <v>36</v>
      </c>
      <c r="I2005">
        <v>75</v>
      </c>
      <c r="J2005">
        <v>15</v>
      </c>
      <c r="K2005" s="4">
        <v>5847.45</v>
      </c>
      <c r="L2005" s="4">
        <v>105.14285714285714</v>
      </c>
      <c r="M2005" s="4">
        <v>0.14266304347826086</v>
      </c>
      <c r="N2005" t="s">
        <v>25</v>
      </c>
      <c r="O2005" t="str">
        <f t="shared" si="310"/>
        <v>Low</v>
      </c>
      <c r="P2005" t="str">
        <f t="shared" si="311"/>
        <v>Low</v>
      </c>
      <c r="Q2005" t="str">
        <f t="shared" si="312"/>
        <v>Low</v>
      </c>
      <c r="R2005" t="s">
        <v>3317</v>
      </c>
      <c r="S2005" s="4">
        <f t="shared" ca="1" si="313"/>
        <v>806</v>
      </c>
      <c r="T2005">
        <f t="shared" si="314"/>
        <v>1</v>
      </c>
      <c r="U2005">
        <f t="shared" si="315"/>
        <v>1</v>
      </c>
      <c r="V2005">
        <f t="shared" si="316"/>
        <v>1</v>
      </c>
      <c r="W2005">
        <f t="shared" si="317"/>
        <v>1</v>
      </c>
      <c r="X2005">
        <f t="shared" si="318"/>
        <v>0.99999999999999989</v>
      </c>
      <c r="Y2005" t="str">
        <f t="shared" si="319"/>
        <v>Healthy</v>
      </c>
    </row>
    <row r="2006" spans="1:25" x14ac:dyDescent="0.35">
      <c r="A2006" t="s">
        <v>20</v>
      </c>
      <c r="B2006" t="s">
        <v>21</v>
      </c>
      <c r="C2006" t="s">
        <v>51</v>
      </c>
      <c r="D2006" t="s">
        <v>719</v>
      </c>
      <c r="E2006">
        <v>80866078</v>
      </c>
      <c r="F2006" t="s">
        <v>1587</v>
      </c>
      <c r="G2006" s="3">
        <v>46999</v>
      </c>
      <c r="H2006">
        <v>36</v>
      </c>
      <c r="I2006">
        <v>75</v>
      </c>
      <c r="J2006">
        <v>31</v>
      </c>
      <c r="K2006" s="4">
        <v>1736</v>
      </c>
      <c r="L2006" s="4">
        <v>60</v>
      </c>
      <c r="M2006" s="4">
        <v>0.51666666666666672</v>
      </c>
      <c r="N2006" t="s">
        <v>25</v>
      </c>
      <c r="O2006" t="str">
        <f t="shared" si="310"/>
        <v>Low</v>
      </c>
      <c r="P2006" t="str">
        <f t="shared" si="311"/>
        <v>Low</v>
      </c>
      <c r="Q2006" t="str">
        <f t="shared" si="312"/>
        <v>Low</v>
      </c>
      <c r="R2006" t="s">
        <v>3317</v>
      </c>
      <c r="S2006" s="4">
        <f t="shared" ca="1" si="313"/>
        <v>802</v>
      </c>
      <c r="T2006">
        <f t="shared" si="314"/>
        <v>1</v>
      </c>
      <c r="U2006">
        <f t="shared" si="315"/>
        <v>1</v>
      </c>
      <c r="V2006">
        <f t="shared" si="316"/>
        <v>1</v>
      </c>
      <c r="W2006">
        <f t="shared" si="317"/>
        <v>1</v>
      </c>
      <c r="X2006">
        <f t="shared" si="318"/>
        <v>0.99999999999999989</v>
      </c>
      <c r="Y2006" t="str">
        <f t="shared" si="319"/>
        <v>Healthy</v>
      </c>
    </row>
    <row r="2007" spans="1:25" x14ac:dyDescent="0.35">
      <c r="A2007" t="s">
        <v>14</v>
      </c>
      <c r="B2007" t="s">
        <v>115</v>
      </c>
      <c r="C2007" t="s">
        <v>116</v>
      </c>
      <c r="D2007" t="s">
        <v>1588</v>
      </c>
      <c r="E2007">
        <v>80877128</v>
      </c>
      <c r="F2007" t="s">
        <v>1589</v>
      </c>
      <c r="G2007" s="3">
        <v>47735</v>
      </c>
      <c r="H2007">
        <v>60</v>
      </c>
      <c r="I2007">
        <v>86</v>
      </c>
      <c r="J2007">
        <v>2</v>
      </c>
      <c r="K2007" s="4">
        <v>212.78</v>
      </c>
      <c r="L2007" s="4">
        <v>43</v>
      </c>
      <c r="M2007" s="4">
        <v>4.6511627906976744E-2</v>
      </c>
      <c r="N2007" t="s">
        <v>25</v>
      </c>
      <c r="O2007" t="str">
        <f t="shared" si="310"/>
        <v>Low</v>
      </c>
      <c r="P2007" t="str">
        <f t="shared" si="311"/>
        <v>Low</v>
      </c>
      <c r="Q2007" t="str">
        <f t="shared" si="312"/>
        <v>Low</v>
      </c>
      <c r="R2007" t="s">
        <v>3317</v>
      </c>
      <c r="S2007" s="4">
        <f t="shared" ca="1" si="313"/>
        <v>1538</v>
      </c>
      <c r="T2007">
        <f t="shared" si="314"/>
        <v>1</v>
      </c>
      <c r="U2007">
        <f t="shared" si="315"/>
        <v>1</v>
      </c>
      <c r="V2007">
        <f t="shared" si="316"/>
        <v>1</v>
      </c>
      <c r="W2007">
        <f t="shared" si="317"/>
        <v>1</v>
      </c>
      <c r="X2007">
        <f t="shared" si="318"/>
        <v>0.99999999999999989</v>
      </c>
      <c r="Y2007" t="str">
        <f t="shared" si="319"/>
        <v>Healthy</v>
      </c>
    </row>
    <row r="2008" spans="1:25" x14ac:dyDescent="0.35">
      <c r="A2008" t="s">
        <v>71</v>
      </c>
      <c r="B2008" t="s">
        <v>72</v>
      </c>
      <c r="C2008" t="s">
        <v>572</v>
      </c>
      <c r="D2008" t="s">
        <v>1590</v>
      </c>
      <c r="E2008">
        <v>80852344</v>
      </c>
      <c r="F2008" t="s">
        <v>1591</v>
      </c>
      <c r="G2008" s="3">
        <v>47020</v>
      </c>
      <c r="H2008">
        <v>36</v>
      </c>
      <c r="I2008">
        <v>77</v>
      </c>
      <c r="J2008">
        <v>44</v>
      </c>
      <c r="K2008" s="4">
        <v>6898.76</v>
      </c>
      <c r="L2008" s="4">
        <v>144.85714285714286</v>
      </c>
      <c r="M2008" s="4">
        <v>0.30374753451676528</v>
      </c>
      <c r="N2008" t="s">
        <v>25</v>
      </c>
      <c r="O2008" t="str">
        <f t="shared" si="310"/>
        <v>Low</v>
      </c>
      <c r="P2008" t="str">
        <f t="shared" si="311"/>
        <v>Low</v>
      </c>
      <c r="Q2008" t="str">
        <f t="shared" si="312"/>
        <v>Low</v>
      </c>
      <c r="R2008" t="s">
        <v>3317</v>
      </c>
      <c r="S2008" s="4">
        <f t="shared" ca="1" si="313"/>
        <v>823</v>
      </c>
      <c r="T2008">
        <f t="shared" si="314"/>
        <v>1</v>
      </c>
      <c r="U2008">
        <f t="shared" si="315"/>
        <v>1</v>
      </c>
      <c r="V2008">
        <f t="shared" si="316"/>
        <v>1</v>
      </c>
      <c r="W2008">
        <f t="shared" si="317"/>
        <v>1</v>
      </c>
      <c r="X2008">
        <f t="shared" si="318"/>
        <v>0.99999999999999989</v>
      </c>
      <c r="Y2008" t="str">
        <f t="shared" si="319"/>
        <v>Healthy</v>
      </c>
    </row>
    <row r="2009" spans="1:25" x14ac:dyDescent="0.35">
      <c r="A2009" t="s">
        <v>179</v>
      </c>
      <c r="B2009" t="s">
        <v>180</v>
      </c>
      <c r="C2009" t="s">
        <v>181</v>
      </c>
      <c r="D2009" t="s">
        <v>1592</v>
      </c>
      <c r="E2009">
        <v>80852681</v>
      </c>
      <c r="F2009" t="s">
        <v>1593</v>
      </c>
      <c r="G2009" s="3">
        <v>46408</v>
      </c>
      <c r="H2009">
        <v>16</v>
      </c>
      <c r="I2009">
        <v>45</v>
      </c>
      <c r="J2009">
        <v>18</v>
      </c>
      <c r="K2009" s="4">
        <v>1526.4</v>
      </c>
      <c r="L2009" s="4">
        <v>58</v>
      </c>
      <c r="M2009" s="4">
        <v>0.31034482758620691</v>
      </c>
      <c r="N2009" t="s">
        <v>25</v>
      </c>
      <c r="O2009" t="str">
        <f t="shared" si="310"/>
        <v>Low</v>
      </c>
      <c r="P2009" t="str">
        <f t="shared" si="311"/>
        <v>Low</v>
      </c>
      <c r="Q2009" t="str">
        <f t="shared" si="312"/>
        <v>Low</v>
      </c>
      <c r="R2009" t="s">
        <v>3317</v>
      </c>
      <c r="S2009" s="4">
        <f t="shared" ca="1" si="313"/>
        <v>211</v>
      </c>
      <c r="T2009">
        <f t="shared" si="314"/>
        <v>1</v>
      </c>
      <c r="U2009">
        <f t="shared" si="315"/>
        <v>1</v>
      </c>
      <c r="V2009">
        <f t="shared" si="316"/>
        <v>1</v>
      </c>
      <c r="W2009">
        <f t="shared" si="317"/>
        <v>1</v>
      </c>
      <c r="X2009">
        <f t="shared" si="318"/>
        <v>0.99999999999999989</v>
      </c>
      <c r="Y2009" t="str">
        <f t="shared" si="319"/>
        <v>Healthy</v>
      </c>
    </row>
    <row r="2010" spans="1:25" x14ac:dyDescent="0.35">
      <c r="A2010" t="s">
        <v>46</v>
      </c>
      <c r="B2010" t="s">
        <v>47</v>
      </c>
      <c r="C2010" t="s">
        <v>84</v>
      </c>
      <c r="D2010" t="s">
        <v>839</v>
      </c>
      <c r="E2010">
        <v>80862826</v>
      </c>
      <c r="F2010" t="s">
        <v>1594</v>
      </c>
      <c r="G2010" s="3">
        <v>47220</v>
      </c>
      <c r="H2010">
        <v>36</v>
      </c>
      <c r="I2010">
        <v>95</v>
      </c>
      <c r="J2010">
        <v>102</v>
      </c>
      <c r="K2010" s="4">
        <v>6207.72</v>
      </c>
      <c r="L2010" s="4">
        <v>10320.571428571429</v>
      </c>
      <c r="M2010" s="4">
        <v>9.8831736891644966E-3</v>
      </c>
      <c r="N2010" t="s">
        <v>25</v>
      </c>
      <c r="O2010" t="str">
        <f t="shared" si="310"/>
        <v>Low</v>
      </c>
      <c r="P2010" t="str">
        <f t="shared" si="311"/>
        <v>Low</v>
      </c>
      <c r="Q2010" t="str">
        <f t="shared" si="312"/>
        <v>Low</v>
      </c>
      <c r="R2010" t="s">
        <v>3317</v>
      </c>
      <c r="S2010" s="4">
        <f t="shared" ca="1" si="313"/>
        <v>1023</v>
      </c>
      <c r="T2010">
        <f t="shared" si="314"/>
        <v>1</v>
      </c>
      <c r="U2010">
        <f t="shared" si="315"/>
        <v>1</v>
      </c>
      <c r="V2010">
        <f t="shared" si="316"/>
        <v>1</v>
      </c>
      <c r="W2010">
        <f t="shared" si="317"/>
        <v>1</v>
      </c>
      <c r="X2010">
        <f t="shared" si="318"/>
        <v>0.99999999999999989</v>
      </c>
      <c r="Y2010" t="str">
        <f t="shared" si="319"/>
        <v>Healthy</v>
      </c>
    </row>
    <row r="2011" spans="1:25" x14ac:dyDescent="0.35">
      <c r="A2011" t="s">
        <v>41</v>
      </c>
      <c r="B2011" t="s">
        <v>42</v>
      </c>
      <c r="C2011" t="s">
        <v>43</v>
      </c>
      <c r="D2011" t="s">
        <v>1238</v>
      </c>
      <c r="E2011">
        <v>80863253</v>
      </c>
      <c r="F2011" t="s">
        <v>1595</v>
      </c>
      <c r="G2011" s="3">
        <v>46889</v>
      </c>
      <c r="H2011">
        <v>36</v>
      </c>
      <c r="I2011">
        <v>65</v>
      </c>
      <c r="J2011">
        <v>12</v>
      </c>
      <c r="K2011" s="4">
        <v>8505.9599999999991</v>
      </c>
      <c r="L2011" s="4">
        <v>1.7142857142857142</v>
      </c>
      <c r="M2011" s="4">
        <v>7</v>
      </c>
      <c r="N2011" t="s">
        <v>19</v>
      </c>
      <c r="O2011" t="str">
        <f t="shared" si="310"/>
        <v>Low</v>
      </c>
      <c r="P2011" t="str">
        <f t="shared" si="311"/>
        <v>Medium</v>
      </c>
      <c r="Q2011" t="str">
        <f t="shared" si="312"/>
        <v>High</v>
      </c>
      <c r="R2011" t="s">
        <v>3317</v>
      </c>
      <c r="S2011" s="4">
        <f t="shared" ca="1" si="313"/>
        <v>692</v>
      </c>
      <c r="T2011">
        <f t="shared" si="314"/>
        <v>1</v>
      </c>
      <c r="U2011">
        <f t="shared" si="315"/>
        <v>2</v>
      </c>
      <c r="V2011">
        <f t="shared" si="316"/>
        <v>3</v>
      </c>
      <c r="W2011">
        <f t="shared" si="317"/>
        <v>1</v>
      </c>
      <c r="X2011">
        <f t="shared" si="318"/>
        <v>1.7000000000000002</v>
      </c>
      <c r="Y2011" t="str">
        <f t="shared" si="319"/>
        <v>Monitor</v>
      </c>
    </row>
    <row r="2012" spans="1:25" x14ac:dyDescent="0.35">
      <c r="A2012" t="s">
        <v>71</v>
      </c>
      <c r="B2012" t="s">
        <v>72</v>
      </c>
      <c r="C2012" t="s">
        <v>1228</v>
      </c>
      <c r="D2012" t="s">
        <v>1229</v>
      </c>
      <c r="E2012">
        <v>80863079</v>
      </c>
      <c r="F2012" t="s">
        <v>1596</v>
      </c>
      <c r="G2012" s="3">
        <v>46996</v>
      </c>
      <c r="H2012">
        <v>36</v>
      </c>
      <c r="I2012">
        <v>74</v>
      </c>
      <c r="J2012">
        <v>6</v>
      </c>
      <c r="K2012" s="4">
        <v>2687.94</v>
      </c>
      <c r="L2012" s="4">
        <v>28</v>
      </c>
      <c r="M2012" s="4">
        <v>0.21428571428571427</v>
      </c>
      <c r="N2012" t="s">
        <v>25</v>
      </c>
      <c r="O2012" t="str">
        <f t="shared" si="310"/>
        <v>Low</v>
      </c>
      <c r="P2012" t="str">
        <f t="shared" si="311"/>
        <v>Low</v>
      </c>
      <c r="Q2012" t="str">
        <f t="shared" si="312"/>
        <v>Low</v>
      </c>
      <c r="R2012" t="s">
        <v>3317</v>
      </c>
      <c r="S2012" s="4">
        <f t="shared" ca="1" si="313"/>
        <v>799</v>
      </c>
      <c r="T2012">
        <f t="shared" si="314"/>
        <v>1</v>
      </c>
      <c r="U2012">
        <f t="shared" si="315"/>
        <v>1</v>
      </c>
      <c r="V2012">
        <f t="shared" si="316"/>
        <v>1</v>
      </c>
      <c r="W2012">
        <f t="shared" si="317"/>
        <v>1</v>
      </c>
      <c r="X2012">
        <f t="shared" si="318"/>
        <v>0.99999999999999989</v>
      </c>
      <c r="Y2012" t="str">
        <f t="shared" si="319"/>
        <v>Healthy</v>
      </c>
    </row>
    <row r="2013" spans="1:25" x14ac:dyDescent="0.35">
      <c r="A2013" t="s">
        <v>41</v>
      </c>
      <c r="B2013" t="s">
        <v>42</v>
      </c>
      <c r="C2013" t="s">
        <v>365</v>
      </c>
      <c r="D2013" t="s">
        <v>867</v>
      </c>
      <c r="E2013">
        <v>80851942</v>
      </c>
      <c r="F2013" t="s">
        <v>1597</v>
      </c>
      <c r="G2013" s="3">
        <v>46959</v>
      </c>
      <c r="H2013">
        <v>36</v>
      </c>
      <c r="I2013">
        <v>71</v>
      </c>
      <c r="J2013">
        <v>1</v>
      </c>
      <c r="K2013" s="4">
        <v>874.26</v>
      </c>
      <c r="L2013" s="4">
        <v>32.285714285714285</v>
      </c>
      <c r="M2013" s="4">
        <v>3.0973451327433628E-2</v>
      </c>
      <c r="N2013" t="s">
        <v>25</v>
      </c>
      <c r="O2013" t="str">
        <f t="shared" si="310"/>
        <v>Low</v>
      </c>
      <c r="P2013" t="str">
        <f t="shared" si="311"/>
        <v>Low</v>
      </c>
      <c r="Q2013" t="str">
        <f t="shared" si="312"/>
        <v>Low</v>
      </c>
      <c r="R2013" t="s">
        <v>3317</v>
      </c>
      <c r="S2013" s="4">
        <f t="shared" ca="1" si="313"/>
        <v>762</v>
      </c>
      <c r="T2013">
        <f t="shared" si="314"/>
        <v>1</v>
      </c>
      <c r="U2013">
        <f t="shared" si="315"/>
        <v>1</v>
      </c>
      <c r="V2013">
        <f t="shared" si="316"/>
        <v>1</v>
      </c>
      <c r="W2013">
        <f t="shared" si="317"/>
        <v>1</v>
      </c>
      <c r="X2013">
        <f t="shared" si="318"/>
        <v>0.99999999999999989</v>
      </c>
      <c r="Y2013" t="str">
        <f t="shared" si="319"/>
        <v>Healthy</v>
      </c>
    </row>
    <row r="2014" spans="1:25" x14ac:dyDescent="0.35">
      <c r="A2014" t="s">
        <v>179</v>
      </c>
      <c r="B2014" t="s">
        <v>223</v>
      </c>
      <c r="C2014" t="s">
        <v>408</v>
      </c>
      <c r="D2014" t="s">
        <v>1598</v>
      </c>
      <c r="E2014">
        <v>80866906</v>
      </c>
      <c r="F2014" t="s">
        <v>1599</v>
      </c>
      <c r="G2014" s="3">
        <v>46516</v>
      </c>
      <c r="H2014">
        <v>16</v>
      </c>
      <c r="I2014">
        <v>68</v>
      </c>
      <c r="J2014">
        <v>15</v>
      </c>
      <c r="K2014" s="4">
        <v>4866.45</v>
      </c>
      <c r="L2014" s="4">
        <v>10182.714285714286</v>
      </c>
      <c r="M2014" s="4">
        <v>1.4730846392345572E-3</v>
      </c>
      <c r="N2014" t="s">
        <v>25</v>
      </c>
      <c r="O2014" t="str">
        <f t="shared" si="310"/>
        <v>Low</v>
      </c>
      <c r="P2014" t="str">
        <f t="shared" si="311"/>
        <v>Low</v>
      </c>
      <c r="Q2014" t="str">
        <f t="shared" si="312"/>
        <v>Low</v>
      </c>
      <c r="R2014" t="s">
        <v>3317</v>
      </c>
      <c r="S2014" s="4">
        <f t="shared" ca="1" si="313"/>
        <v>319</v>
      </c>
      <c r="T2014">
        <f t="shared" si="314"/>
        <v>1</v>
      </c>
      <c r="U2014">
        <f t="shared" si="315"/>
        <v>1</v>
      </c>
      <c r="V2014">
        <f t="shared" si="316"/>
        <v>1</v>
      </c>
      <c r="W2014">
        <f t="shared" si="317"/>
        <v>1</v>
      </c>
      <c r="X2014">
        <f t="shared" si="318"/>
        <v>0.99999999999999989</v>
      </c>
      <c r="Y2014" t="str">
        <f t="shared" si="319"/>
        <v>Healthy</v>
      </c>
    </row>
    <row r="2015" spans="1:25" x14ac:dyDescent="0.35">
      <c r="A2015" t="s">
        <v>179</v>
      </c>
      <c r="B2015" t="s">
        <v>180</v>
      </c>
      <c r="C2015" t="s">
        <v>181</v>
      </c>
      <c r="D2015" t="s">
        <v>1600</v>
      </c>
      <c r="E2015">
        <v>80847214</v>
      </c>
      <c r="F2015" t="s">
        <v>1601</v>
      </c>
      <c r="G2015" s="3">
        <v>46434</v>
      </c>
      <c r="H2015">
        <v>16</v>
      </c>
      <c r="I2015">
        <v>50</v>
      </c>
      <c r="J2015">
        <v>12</v>
      </c>
      <c r="K2015" s="4">
        <v>1221.1199999999999</v>
      </c>
      <c r="L2015" s="4">
        <v>13</v>
      </c>
      <c r="M2015" s="4">
        <v>0.92307692307692313</v>
      </c>
      <c r="N2015" t="s">
        <v>25</v>
      </c>
      <c r="O2015" t="str">
        <f t="shared" si="310"/>
        <v>Low</v>
      </c>
      <c r="P2015" t="str">
        <f t="shared" si="311"/>
        <v>Low</v>
      </c>
      <c r="Q2015" t="str">
        <f t="shared" si="312"/>
        <v>Medium</v>
      </c>
      <c r="R2015" t="s">
        <v>3317</v>
      </c>
      <c r="S2015" s="4">
        <f t="shared" ca="1" si="313"/>
        <v>237</v>
      </c>
      <c r="T2015">
        <f t="shared" si="314"/>
        <v>1</v>
      </c>
      <c r="U2015">
        <f t="shared" si="315"/>
        <v>1</v>
      </c>
      <c r="V2015">
        <f t="shared" si="316"/>
        <v>2</v>
      </c>
      <c r="W2015">
        <f t="shared" si="317"/>
        <v>1</v>
      </c>
      <c r="X2015">
        <f t="shared" si="318"/>
        <v>1.2000000000000002</v>
      </c>
      <c r="Y2015" t="str">
        <f t="shared" si="319"/>
        <v>Healthy</v>
      </c>
    </row>
    <row r="2016" spans="1:25" x14ac:dyDescent="0.35">
      <c r="A2016" t="s">
        <v>179</v>
      </c>
      <c r="B2016" t="s">
        <v>223</v>
      </c>
      <c r="C2016" t="s">
        <v>408</v>
      </c>
      <c r="D2016" t="s">
        <v>1598</v>
      </c>
      <c r="E2016">
        <v>80866906</v>
      </c>
      <c r="F2016" t="s">
        <v>1599</v>
      </c>
      <c r="G2016" s="3">
        <v>46527</v>
      </c>
      <c r="H2016">
        <v>16</v>
      </c>
      <c r="I2016">
        <v>70</v>
      </c>
      <c r="J2016">
        <v>1</v>
      </c>
      <c r="K2016" s="4">
        <v>324.43</v>
      </c>
      <c r="L2016" s="4">
        <v>10182.714285714286</v>
      </c>
      <c r="M2016" s="4">
        <v>9.8205642615637134E-5</v>
      </c>
      <c r="N2016" t="s">
        <v>25</v>
      </c>
      <c r="O2016" t="str">
        <f t="shared" si="310"/>
        <v>Low</v>
      </c>
      <c r="P2016" t="str">
        <f t="shared" si="311"/>
        <v>Low</v>
      </c>
      <c r="Q2016" t="str">
        <f t="shared" si="312"/>
        <v>Low</v>
      </c>
      <c r="R2016" t="s">
        <v>3317</v>
      </c>
      <c r="S2016" s="4">
        <f t="shared" ca="1" si="313"/>
        <v>330</v>
      </c>
      <c r="T2016">
        <f t="shared" si="314"/>
        <v>1</v>
      </c>
      <c r="U2016">
        <f t="shared" si="315"/>
        <v>1</v>
      </c>
      <c r="V2016">
        <f t="shared" si="316"/>
        <v>1</v>
      </c>
      <c r="W2016">
        <f t="shared" si="317"/>
        <v>1</v>
      </c>
      <c r="X2016">
        <f t="shared" si="318"/>
        <v>0.99999999999999989</v>
      </c>
      <c r="Y2016" t="str">
        <f t="shared" si="319"/>
        <v>Healthy</v>
      </c>
    </row>
    <row r="2017" spans="1:25" x14ac:dyDescent="0.35">
      <c r="A2017" t="s">
        <v>179</v>
      </c>
      <c r="B2017" t="s">
        <v>223</v>
      </c>
      <c r="C2017" t="s">
        <v>408</v>
      </c>
      <c r="D2017" t="s">
        <v>1598</v>
      </c>
      <c r="E2017">
        <v>80866906</v>
      </c>
      <c r="F2017" t="s">
        <v>1599</v>
      </c>
      <c r="G2017" s="3">
        <v>46527</v>
      </c>
      <c r="H2017">
        <v>16</v>
      </c>
      <c r="I2017">
        <v>70</v>
      </c>
      <c r="J2017">
        <v>2</v>
      </c>
      <c r="K2017" s="4">
        <v>648.86</v>
      </c>
      <c r="L2017" s="4">
        <v>10182.714285714286</v>
      </c>
      <c r="M2017" s="4">
        <v>1.9641128523127427E-4</v>
      </c>
      <c r="N2017" t="s">
        <v>25</v>
      </c>
      <c r="O2017" t="str">
        <f t="shared" si="310"/>
        <v>Low</v>
      </c>
      <c r="P2017" t="str">
        <f t="shared" si="311"/>
        <v>Low</v>
      </c>
      <c r="Q2017" t="str">
        <f t="shared" si="312"/>
        <v>Low</v>
      </c>
      <c r="R2017" t="s">
        <v>3317</v>
      </c>
      <c r="S2017" s="4">
        <f t="shared" ca="1" si="313"/>
        <v>330</v>
      </c>
      <c r="T2017">
        <f t="shared" si="314"/>
        <v>1</v>
      </c>
      <c r="U2017">
        <f t="shared" si="315"/>
        <v>1</v>
      </c>
      <c r="V2017">
        <f t="shared" si="316"/>
        <v>1</v>
      </c>
      <c r="W2017">
        <f t="shared" si="317"/>
        <v>1</v>
      </c>
      <c r="X2017">
        <f t="shared" si="318"/>
        <v>0.99999999999999989</v>
      </c>
      <c r="Y2017" t="str">
        <f t="shared" si="319"/>
        <v>Healthy</v>
      </c>
    </row>
    <row r="2018" spans="1:25" x14ac:dyDescent="0.35">
      <c r="A2018" t="s">
        <v>46</v>
      </c>
      <c r="B2018" t="s">
        <v>47</v>
      </c>
      <c r="C2018" t="s">
        <v>1602</v>
      </c>
      <c r="D2018" t="s">
        <v>1603</v>
      </c>
      <c r="E2018">
        <v>80865299</v>
      </c>
      <c r="F2018" t="s">
        <v>1604</v>
      </c>
      <c r="G2018" s="3">
        <v>47544</v>
      </c>
      <c r="H2018">
        <v>48</v>
      </c>
      <c r="I2018">
        <v>94</v>
      </c>
      <c r="J2018">
        <v>8</v>
      </c>
      <c r="K2018" s="4">
        <v>3994.96</v>
      </c>
      <c r="L2018" s="4">
        <v>282.85714285714283</v>
      </c>
      <c r="M2018" s="4">
        <v>2.8282828282828285E-2</v>
      </c>
      <c r="N2018" t="s">
        <v>25</v>
      </c>
      <c r="O2018" t="str">
        <f t="shared" si="310"/>
        <v>Low</v>
      </c>
      <c r="P2018" t="str">
        <f t="shared" si="311"/>
        <v>Low</v>
      </c>
      <c r="Q2018" t="str">
        <f t="shared" si="312"/>
        <v>Low</v>
      </c>
      <c r="R2018" t="s">
        <v>3317</v>
      </c>
      <c r="S2018" s="4">
        <f t="shared" ca="1" si="313"/>
        <v>1347</v>
      </c>
      <c r="T2018">
        <f t="shared" si="314"/>
        <v>1</v>
      </c>
      <c r="U2018">
        <f t="shared" si="315"/>
        <v>1</v>
      </c>
      <c r="V2018">
        <f t="shared" si="316"/>
        <v>1</v>
      </c>
      <c r="W2018">
        <f t="shared" si="317"/>
        <v>1</v>
      </c>
      <c r="X2018">
        <f t="shared" si="318"/>
        <v>0.99999999999999989</v>
      </c>
      <c r="Y2018" t="str">
        <f t="shared" si="319"/>
        <v>Healthy</v>
      </c>
    </row>
    <row r="2019" spans="1:25" x14ac:dyDescent="0.35">
      <c r="A2019" t="s">
        <v>41</v>
      </c>
      <c r="B2019" t="s">
        <v>54</v>
      </c>
      <c r="C2019" t="s">
        <v>459</v>
      </c>
      <c r="D2019" t="s">
        <v>460</v>
      </c>
      <c r="E2019">
        <v>80859557</v>
      </c>
      <c r="F2019" t="s">
        <v>1605</v>
      </c>
      <c r="G2019" s="3">
        <v>46902</v>
      </c>
      <c r="H2019">
        <v>36</v>
      </c>
      <c r="I2019">
        <v>66</v>
      </c>
      <c r="J2019">
        <v>62</v>
      </c>
      <c r="K2019" s="4">
        <v>59518.14</v>
      </c>
      <c r="L2019" s="4">
        <v>20.285714285714285</v>
      </c>
      <c r="M2019" s="4">
        <v>3.0563380281690145</v>
      </c>
      <c r="N2019" t="s">
        <v>25</v>
      </c>
      <c r="O2019" t="str">
        <f t="shared" si="310"/>
        <v>Low</v>
      </c>
      <c r="P2019" t="str">
        <f t="shared" si="311"/>
        <v>Low</v>
      </c>
      <c r="Q2019" t="str">
        <f t="shared" si="312"/>
        <v>Low</v>
      </c>
      <c r="R2019" t="s">
        <v>3317</v>
      </c>
      <c r="S2019" s="4">
        <f t="shared" ca="1" si="313"/>
        <v>705</v>
      </c>
      <c r="T2019">
        <f t="shared" si="314"/>
        <v>1</v>
      </c>
      <c r="U2019">
        <f t="shared" si="315"/>
        <v>1</v>
      </c>
      <c r="V2019">
        <f t="shared" si="316"/>
        <v>1</v>
      </c>
      <c r="W2019">
        <f t="shared" si="317"/>
        <v>1</v>
      </c>
      <c r="X2019">
        <f t="shared" si="318"/>
        <v>0.99999999999999989</v>
      </c>
      <c r="Y2019" t="str">
        <f t="shared" si="319"/>
        <v>Healthy</v>
      </c>
    </row>
    <row r="2020" spans="1:25" x14ac:dyDescent="0.35">
      <c r="A2020" t="s">
        <v>46</v>
      </c>
      <c r="B2020" t="s">
        <v>47</v>
      </c>
      <c r="C2020" t="s">
        <v>1602</v>
      </c>
      <c r="D2020" t="s">
        <v>1603</v>
      </c>
      <c r="E2020">
        <v>80865299</v>
      </c>
      <c r="F2020" t="s">
        <v>1604</v>
      </c>
      <c r="G2020" s="3">
        <v>47594</v>
      </c>
      <c r="H2020">
        <v>48</v>
      </c>
      <c r="I2020">
        <v>97</v>
      </c>
      <c r="J2020">
        <v>7</v>
      </c>
      <c r="K2020" s="4">
        <v>3495.59</v>
      </c>
      <c r="L2020" s="4">
        <v>282.85714285714283</v>
      </c>
      <c r="M2020" s="4">
        <v>2.4747474747474751E-2</v>
      </c>
      <c r="N2020" t="s">
        <v>25</v>
      </c>
      <c r="O2020" t="str">
        <f t="shared" si="310"/>
        <v>Low</v>
      </c>
      <c r="P2020" t="str">
        <f t="shared" si="311"/>
        <v>Low</v>
      </c>
      <c r="Q2020" t="str">
        <f t="shared" si="312"/>
        <v>Low</v>
      </c>
      <c r="R2020" t="s">
        <v>3317</v>
      </c>
      <c r="S2020" s="4">
        <f t="shared" ca="1" si="313"/>
        <v>1397</v>
      </c>
      <c r="T2020">
        <f t="shared" si="314"/>
        <v>1</v>
      </c>
      <c r="U2020">
        <f t="shared" si="315"/>
        <v>1</v>
      </c>
      <c r="V2020">
        <f t="shared" si="316"/>
        <v>1</v>
      </c>
      <c r="W2020">
        <f t="shared" si="317"/>
        <v>1</v>
      </c>
      <c r="X2020">
        <f t="shared" si="318"/>
        <v>0.99999999999999989</v>
      </c>
      <c r="Y2020" t="str">
        <f t="shared" si="319"/>
        <v>Healthy</v>
      </c>
    </row>
    <row r="2021" spans="1:25" x14ac:dyDescent="0.35">
      <c r="A2021" t="s">
        <v>179</v>
      </c>
      <c r="B2021" t="s">
        <v>223</v>
      </c>
      <c r="C2021" t="s">
        <v>357</v>
      </c>
      <c r="D2021" t="s">
        <v>1606</v>
      </c>
      <c r="E2021">
        <v>80869531</v>
      </c>
      <c r="F2021" t="s">
        <v>1607</v>
      </c>
      <c r="G2021" s="3">
        <v>46532</v>
      </c>
      <c r="H2021">
        <v>18</v>
      </c>
      <c r="I2021">
        <v>63</v>
      </c>
      <c r="J2021">
        <v>208</v>
      </c>
      <c r="K2021" s="4">
        <v>51767.040000000001</v>
      </c>
      <c r="L2021" s="4">
        <v>1685</v>
      </c>
      <c r="M2021" s="4">
        <v>0.12344213649851632</v>
      </c>
      <c r="N2021" t="s">
        <v>25</v>
      </c>
      <c r="O2021" t="str">
        <f t="shared" si="310"/>
        <v>Low</v>
      </c>
      <c r="P2021" t="str">
        <f t="shared" si="311"/>
        <v>Low</v>
      </c>
      <c r="Q2021" t="str">
        <f t="shared" si="312"/>
        <v>Low</v>
      </c>
      <c r="R2021" t="s">
        <v>3317</v>
      </c>
      <c r="S2021" s="4">
        <f t="shared" ca="1" si="313"/>
        <v>335</v>
      </c>
      <c r="T2021">
        <f t="shared" si="314"/>
        <v>1</v>
      </c>
      <c r="U2021">
        <f t="shared" si="315"/>
        <v>1</v>
      </c>
      <c r="V2021">
        <f t="shared" si="316"/>
        <v>1</v>
      </c>
      <c r="W2021">
        <f t="shared" si="317"/>
        <v>1</v>
      </c>
      <c r="X2021">
        <f t="shared" si="318"/>
        <v>0.99999999999999989</v>
      </c>
      <c r="Y2021" t="str">
        <f t="shared" si="319"/>
        <v>Healthy</v>
      </c>
    </row>
    <row r="2022" spans="1:25" x14ac:dyDescent="0.35">
      <c r="A2022" t="s">
        <v>189</v>
      </c>
      <c r="B2022" t="s">
        <v>539</v>
      </c>
      <c r="C2022" t="s">
        <v>1198</v>
      </c>
      <c r="D2022" t="s">
        <v>1199</v>
      </c>
      <c r="E2022">
        <v>80870936</v>
      </c>
      <c r="F2022" t="s">
        <v>1608</v>
      </c>
      <c r="G2022" s="3">
        <v>46528</v>
      </c>
      <c r="H2022">
        <v>18</v>
      </c>
      <c r="I2022">
        <v>62</v>
      </c>
      <c r="J2022">
        <v>199</v>
      </c>
      <c r="K2022" s="4">
        <v>129761.93</v>
      </c>
      <c r="L2022" s="4">
        <v>28.142857142857142</v>
      </c>
      <c r="M2022" s="4">
        <v>7.0710659898477157</v>
      </c>
      <c r="N2022" t="s">
        <v>19</v>
      </c>
      <c r="O2022" t="str">
        <f t="shared" si="310"/>
        <v>Low</v>
      </c>
      <c r="P2022" t="str">
        <f t="shared" si="311"/>
        <v>Medium</v>
      </c>
      <c r="Q2022" t="str">
        <f t="shared" si="312"/>
        <v>Low</v>
      </c>
      <c r="R2022" t="s">
        <v>3310</v>
      </c>
      <c r="S2022" s="4">
        <f t="shared" ca="1" si="313"/>
        <v>331</v>
      </c>
      <c r="T2022">
        <f t="shared" si="314"/>
        <v>1</v>
      </c>
      <c r="U2022">
        <f t="shared" si="315"/>
        <v>2</v>
      </c>
      <c r="V2022">
        <f t="shared" si="316"/>
        <v>1</v>
      </c>
      <c r="W2022">
        <f t="shared" si="317"/>
        <v>2</v>
      </c>
      <c r="X2022">
        <f t="shared" si="318"/>
        <v>1.4</v>
      </c>
      <c r="Y2022" t="str">
        <f t="shared" si="319"/>
        <v>Healthy</v>
      </c>
    </row>
    <row r="2023" spans="1:25" x14ac:dyDescent="0.35">
      <c r="A2023" t="s">
        <v>29</v>
      </c>
      <c r="B2023" t="s">
        <v>30</v>
      </c>
      <c r="C2023" t="s">
        <v>449</v>
      </c>
      <c r="D2023" t="s">
        <v>1609</v>
      </c>
      <c r="E2023">
        <v>80851500</v>
      </c>
      <c r="F2023" t="s">
        <v>1610</v>
      </c>
      <c r="G2023" s="3">
        <v>47182</v>
      </c>
      <c r="H2023">
        <v>36</v>
      </c>
      <c r="I2023">
        <v>92</v>
      </c>
      <c r="J2023">
        <v>11</v>
      </c>
      <c r="K2023" s="4">
        <v>9173.1200000000008</v>
      </c>
      <c r="L2023" s="4">
        <v>104.42857142857143</v>
      </c>
      <c r="M2023" s="4">
        <v>0.10533515731874145</v>
      </c>
      <c r="N2023" t="s">
        <v>25</v>
      </c>
      <c r="O2023" t="str">
        <f t="shared" si="310"/>
        <v>Low</v>
      </c>
      <c r="P2023" t="str">
        <f t="shared" si="311"/>
        <v>Low</v>
      </c>
      <c r="Q2023" t="str">
        <f t="shared" si="312"/>
        <v>Low</v>
      </c>
      <c r="R2023" t="s">
        <v>3317</v>
      </c>
      <c r="S2023" s="4">
        <f t="shared" ca="1" si="313"/>
        <v>985</v>
      </c>
      <c r="T2023">
        <f t="shared" si="314"/>
        <v>1</v>
      </c>
      <c r="U2023">
        <f t="shared" si="315"/>
        <v>1</v>
      </c>
      <c r="V2023">
        <f t="shared" si="316"/>
        <v>1</v>
      </c>
      <c r="W2023">
        <f t="shared" si="317"/>
        <v>1</v>
      </c>
      <c r="X2023">
        <f t="shared" si="318"/>
        <v>0.99999999999999989</v>
      </c>
      <c r="Y2023" t="str">
        <f t="shared" si="319"/>
        <v>Healthy</v>
      </c>
    </row>
    <row r="2024" spans="1:25" x14ac:dyDescent="0.35">
      <c r="A2024" t="s">
        <v>29</v>
      </c>
      <c r="B2024" t="s">
        <v>30</v>
      </c>
      <c r="C2024" t="s">
        <v>449</v>
      </c>
      <c r="D2024" t="s">
        <v>1609</v>
      </c>
      <c r="E2024">
        <v>80851500</v>
      </c>
      <c r="F2024" t="s">
        <v>1610</v>
      </c>
      <c r="G2024" s="3">
        <v>47076</v>
      </c>
      <c r="H2024">
        <v>36</v>
      </c>
      <c r="I2024">
        <v>82</v>
      </c>
      <c r="J2024">
        <v>3</v>
      </c>
      <c r="K2024" s="4">
        <v>2501.7600000000002</v>
      </c>
      <c r="L2024" s="4">
        <v>104.42857142857143</v>
      </c>
      <c r="M2024" s="4">
        <v>2.8727770177838577E-2</v>
      </c>
      <c r="N2024" t="s">
        <v>25</v>
      </c>
      <c r="O2024" t="str">
        <f t="shared" si="310"/>
        <v>Low</v>
      </c>
      <c r="P2024" t="str">
        <f t="shared" si="311"/>
        <v>Low</v>
      </c>
      <c r="Q2024" t="str">
        <f t="shared" si="312"/>
        <v>Low</v>
      </c>
      <c r="R2024" t="s">
        <v>3317</v>
      </c>
      <c r="S2024" s="4">
        <f t="shared" ca="1" si="313"/>
        <v>879</v>
      </c>
      <c r="T2024">
        <f t="shared" si="314"/>
        <v>1</v>
      </c>
      <c r="U2024">
        <f t="shared" si="315"/>
        <v>1</v>
      </c>
      <c r="V2024">
        <f t="shared" si="316"/>
        <v>1</v>
      </c>
      <c r="W2024">
        <f t="shared" si="317"/>
        <v>1</v>
      </c>
      <c r="X2024">
        <f t="shared" si="318"/>
        <v>0.99999999999999989</v>
      </c>
      <c r="Y2024" t="str">
        <f t="shared" si="319"/>
        <v>Healthy</v>
      </c>
    </row>
    <row r="2025" spans="1:25" x14ac:dyDescent="0.35">
      <c r="A2025" t="s">
        <v>29</v>
      </c>
      <c r="B2025" t="s">
        <v>30</v>
      </c>
      <c r="C2025" t="s">
        <v>449</v>
      </c>
      <c r="D2025" t="s">
        <v>1609</v>
      </c>
      <c r="E2025">
        <v>80851500</v>
      </c>
      <c r="F2025" t="s">
        <v>1610</v>
      </c>
      <c r="G2025" s="3">
        <v>47102</v>
      </c>
      <c r="H2025">
        <v>36</v>
      </c>
      <c r="I2025">
        <v>84</v>
      </c>
      <c r="J2025">
        <v>13</v>
      </c>
      <c r="K2025" s="4">
        <v>10840.96</v>
      </c>
      <c r="L2025" s="4">
        <v>104.42857142857143</v>
      </c>
      <c r="M2025" s="4">
        <v>0.12448700410396717</v>
      </c>
      <c r="N2025" t="s">
        <v>25</v>
      </c>
      <c r="O2025" t="str">
        <f t="shared" si="310"/>
        <v>Low</v>
      </c>
      <c r="P2025" t="str">
        <f t="shared" si="311"/>
        <v>Low</v>
      </c>
      <c r="Q2025" t="str">
        <f t="shared" si="312"/>
        <v>Low</v>
      </c>
      <c r="R2025" t="s">
        <v>3317</v>
      </c>
      <c r="S2025" s="4">
        <f t="shared" ca="1" si="313"/>
        <v>905</v>
      </c>
      <c r="T2025">
        <f t="shared" si="314"/>
        <v>1</v>
      </c>
      <c r="U2025">
        <f t="shared" si="315"/>
        <v>1</v>
      </c>
      <c r="V2025">
        <f t="shared" si="316"/>
        <v>1</v>
      </c>
      <c r="W2025">
        <f t="shared" si="317"/>
        <v>1</v>
      </c>
      <c r="X2025">
        <f t="shared" si="318"/>
        <v>0.99999999999999989</v>
      </c>
      <c r="Y2025" t="str">
        <f t="shared" si="319"/>
        <v>Healthy</v>
      </c>
    </row>
    <row r="2026" spans="1:25" x14ac:dyDescent="0.35">
      <c r="A2026" t="s">
        <v>29</v>
      </c>
      <c r="B2026" t="s">
        <v>30</v>
      </c>
      <c r="C2026" t="s">
        <v>449</v>
      </c>
      <c r="D2026" t="s">
        <v>1609</v>
      </c>
      <c r="E2026">
        <v>80851500</v>
      </c>
      <c r="F2026" t="s">
        <v>1610</v>
      </c>
      <c r="G2026" s="3">
        <v>47194</v>
      </c>
      <c r="H2026">
        <v>36</v>
      </c>
      <c r="I2026">
        <v>93</v>
      </c>
      <c r="J2026">
        <v>9</v>
      </c>
      <c r="K2026" s="4">
        <v>7505.28</v>
      </c>
      <c r="L2026" s="4">
        <v>104.42857142857143</v>
      </c>
      <c r="M2026" s="4">
        <v>8.6183310533515731E-2</v>
      </c>
      <c r="N2026" t="s">
        <v>25</v>
      </c>
      <c r="O2026" t="str">
        <f t="shared" si="310"/>
        <v>Low</v>
      </c>
      <c r="P2026" t="str">
        <f t="shared" si="311"/>
        <v>Low</v>
      </c>
      <c r="Q2026" t="str">
        <f t="shared" si="312"/>
        <v>Low</v>
      </c>
      <c r="R2026" t="s">
        <v>3317</v>
      </c>
      <c r="S2026" s="4">
        <f t="shared" ca="1" si="313"/>
        <v>997</v>
      </c>
      <c r="T2026">
        <f t="shared" si="314"/>
        <v>1</v>
      </c>
      <c r="U2026">
        <f t="shared" si="315"/>
        <v>1</v>
      </c>
      <c r="V2026">
        <f t="shared" si="316"/>
        <v>1</v>
      </c>
      <c r="W2026">
        <f t="shared" si="317"/>
        <v>1</v>
      </c>
      <c r="X2026">
        <f t="shared" si="318"/>
        <v>0.99999999999999989</v>
      </c>
      <c r="Y2026" t="str">
        <f t="shared" si="319"/>
        <v>Healthy</v>
      </c>
    </row>
    <row r="2027" spans="1:25" x14ac:dyDescent="0.35">
      <c r="A2027" t="s">
        <v>29</v>
      </c>
      <c r="B2027" t="s">
        <v>30</v>
      </c>
      <c r="C2027" t="s">
        <v>449</v>
      </c>
      <c r="D2027" t="s">
        <v>1609</v>
      </c>
      <c r="E2027">
        <v>80851500</v>
      </c>
      <c r="F2027" t="s">
        <v>1610</v>
      </c>
      <c r="G2027" s="3">
        <v>47145</v>
      </c>
      <c r="H2027">
        <v>36</v>
      </c>
      <c r="I2027">
        <v>88</v>
      </c>
      <c r="J2027">
        <v>6</v>
      </c>
      <c r="K2027" s="4">
        <v>5003.5200000000004</v>
      </c>
      <c r="L2027" s="4">
        <v>104.42857142857143</v>
      </c>
      <c r="M2027" s="4">
        <v>5.7455540355677154E-2</v>
      </c>
      <c r="N2027" t="s">
        <v>25</v>
      </c>
      <c r="O2027" t="str">
        <f t="shared" si="310"/>
        <v>Low</v>
      </c>
      <c r="P2027" t="str">
        <f t="shared" si="311"/>
        <v>Low</v>
      </c>
      <c r="Q2027" t="str">
        <f t="shared" si="312"/>
        <v>Low</v>
      </c>
      <c r="R2027" t="s">
        <v>3317</v>
      </c>
      <c r="S2027" s="4">
        <f t="shared" ca="1" si="313"/>
        <v>948</v>
      </c>
      <c r="T2027">
        <f t="shared" si="314"/>
        <v>1</v>
      </c>
      <c r="U2027">
        <f t="shared" si="315"/>
        <v>1</v>
      </c>
      <c r="V2027">
        <f t="shared" si="316"/>
        <v>1</v>
      </c>
      <c r="W2027">
        <f t="shared" si="317"/>
        <v>1</v>
      </c>
      <c r="X2027">
        <f t="shared" si="318"/>
        <v>0.99999999999999989</v>
      </c>
      <c r="Y2027" t="str">
        <f t="shared" si="319"/>
        <v>Healthy</v>
      </c>
    </row>
    <row r="2028" spans="1:25" x14ac:dyDescent="0.35">
      <c r="A2028" t="s">
        <v>29</v>
      </c>
      <c r="B2028" t="s">
        <v>30</v>
      </c>
      <c r="C2028" t="s">
        <v>449</v>
      </c>
      <c r="D2028" t="s">
        <v>1609</v>
      </c>
      <c r="E2028">
        <v>80851500</v>
      </c>
      <c r="F2028" t="s">
        <v>1610</v>
      </c>
      <c r="G2028" s="3">
        <v>47154</v>
      </c>
      <c r="H2028">
        <v>36</v>
      </c>
      <c r="I2028">
        <v>89</v>
      </c>
      <c r="J2028">
        <v>47</v>
      </c>
      <c r="K2028" s="4">
        <v>39194.239999999998</v>
      </c>
      <c r="L2028" s="4">
        <v>104.42857142857143</v>
      </c>
      <c r="M2028" s="4">
        <v>0.45006839945280436</v>
      </c>
      <c r="N2028" t="s">
        <v>25</v>
      </c>
      <c r="O2028" t="str">
        <f t="shared" si="310"/>
        <v>Low</v>
      </c>
      <c r="P2028" t="str">
        <f t="shared" si="311"/>
        <v>Low</v>
      </c>
      <c r="Q2028" t="str">
        <f t="shared" si="312"/>
        <v>Low</v>
      </c>
      <c r="R2028" t="s">
        <v>3317</v>
      </c>
      <c r="S2028" s="4">
        <f t="shared" ca="1" si="313"/>
        <v>957</v>
      </c>
      <c r="T2028">
        <f t="shared" si="314"/>
        <v>1</v>
      </c>
      <c r="U2028">
        <f t="shared" si="315"/>
        <v>1</v>
      </c>
      <c r="V2028">
        <f t="shared" si="316"/>
        <v>1</v>
      </c>
      <c r="W2028">
        <f t="shared" si="317"/>
        <v>1</v>
      </c>
      <c r="X2028">
        <f t="shared" si="318"/>
        <v>0.99999999999999989</v>
      </c>
      <c r="Y2028" t="str">
        <f t="shared" si="319"/>
        <v>Healthy</v>
      </c>
    </row>
    <row r="2029" spans="1:25" x14ac:dyDescent="0.35">
      <c r="A2029" t="s">
        <v>41</v>
      </c>
      <c r="B2029" t="s">
        <v>54</v>
      </c>
      <c r="C2029" t="s">
        <v>459</v>
      </c>
      <c r="D2029" t="s">
        <v>1611</v>
      </c>
      <c r="E2029">
        <v>80878136</v>
      </c>
      <c r="F2029" t="s">
        <v>1612</v>
      </c>
      <c r="G2029" s="3">
        <v>46945</v>
      </c>
      <c r="H2029">
        <v>36</v>
      </c>
      <c r="I2029">
        <v>70</v>
      </c>
      <c r="J2029">
        <v>138</v>
      </c>
      <c r="K2029" s="4">
        <v>28301.040000000001</v>
      </c>
      <c r="L2029" s="4">
        <v>145.14285714285714</v>
      </c>
      <c r="M2029" s="4">
        <v>0.95078740157480313</v>
      </c>
      <c r="N2029" t="s">
        <v>25</v>
      </c>
      <c r="O2029" t="str">
        <f t="shared" si="310"/>
        <v>Low</v>
      </c>
      <c r="P2029" t="str">
        <f t="shared" si="311"/>
        <v>Low</v>
      </c>
      <c r="Q2029" t="str">
        <f t="shared" si="312"/>
        <v>Low</v>
      </c>
      <c r="R2029" t="s">
        <v>3317</v>
      </c>
      <c r="S2029" s="4">
        <f t="shared" ca="1" si="313"/>
        <v>748</v>
      </c>
      <c r="T2029">
        <f t="shared" si="314"/>
        <v>1</v>
      </c>
      <c r="U2029">
        <f t="shared" si="315"/>
        <v>1</v>
      </c>
      <c r="V2029">
        <f t="shared" si="316"/>
        <v>1</v>
      </c>
      <c r="W2029">
        <f t="shared" si="317"/>
        <v>1</v>
      </c>
      <c r="X2029">
        <f t="shared" si="318"/>
        <v>0.99999999999999989</v>
      </c>
      <c r="Y2029" t="str">
        <f t="shared" si="319"/>
        <v>Healthy</v>
      </c>
    </row>
    <row r="2030" spans="1:25" x14ac:dyDescent="0.35">
      <c r="A2030" t="s">
        <v>179</v>
      </c>
      <c r="B2030" t="s">
        <v>180</v>
      </c>
      <c r="C2030" t="s">
        <v>181</v>
      </c>
      <c r="D2030" t="s">
        <v>1613</v>
      </c>
      <c r="E2030">
        <v>80878210</v>
      </c>
      <c r="F2030" t="s">
        <v>1614</v>
      </c>
      <c r="G2030" s="3">
        <v>46518</v>
      </c>
      <c r="H2030">
        <v>16</v>
      </c>
      <c r="I2030">
        <v>68</v>
      </c>
      <c r="J2030">
        <v>144</v>
      </c>
      <c r="K2030" s="4">
        <v>27521.279999999999</v>
      </c>
      <c r="L2030" s="4">
        <v>1167</v>
      </c>
      <c r="M2030" s="4">
        <v>0.12339331619537275</v>
      </c>
      <c r="N2030" t="s">
        <v>25</v>
      </c>
      <c r="O2030" t="str">
        <f t="shared" si="310"/>
        <v>Low</v>
      </c>
      <c r="P2030" t="str">
        <f t="shared" si="311"/>
        <v>Low</v>
      </c>
      <c r="Q2030" t="str">
        <f t="shared" si="312"/>
        <v>Low</v>
      </c>
      <c r="R2030" t="s">
        <v>3317</v>
      </c>
      <c r="S2030" s="4">
        <f t="shared" ca="1" si="313"/>
        <v>321</v>
      </c>
      <c r="T2030">
        <f t="shared" si="314"/>
        <v>1</v>
      </c>
      <c r="U2030">
        <f t="shared" si="315"/>
        <v>1</v>
      </c>
      <c r="V2030">
        <f t="shared" si="316"/>
        <v>1</v>
      </c>
      <c r="W2030">
        <f t="shared" si="317"/>
        <v>1</v>
      </c>
      <c r="X2030">
        <f t="shared" si="318"/>
        <v>0.99999999999999989</v>
      </c>
      <c r="Y2030" t="str">
        <f t="shared" si="319"/>
        <v>Healthy</v>
      </c>
    </row>
    <row r="2031" spans="1:25" x14ac:dyDescent="0.35">
      <c r="A2031" t="s">
        <v>179</v>
      </c>
      <c r="B2031" t="s">
        <v>180</v>
      </c>
      <c r="C2031" t="s">
        <v>181</v>
      </c>
      <c r="D2031" t="s">
        <v>1613</v>
      </c>
      <c r="E2031">
        <v>80878210</v>
      </c>
      <c r="F2031" t="s">
        <v>1614</v>
      </c>
      <c r="G2031" s="3">
        <v>46496</v>
      </c>
      <c r="H2031">
        <v>16</v>
      </c>
      <c r="I2031">
        <v>63</v>
      </c>
      <c r="J2031">
        <v>120</v>
      </c>
      <c r="K2031" s="4">
        <v>22934.400000000001</v>
      </c>
      <c r="L2031" s="4">
        <v>1167</v>
      </c>
      <c r="M2031" s="4">
        <v>0.10282776349614396</v>
      </c>
      <c r="N2031" t="s">
        <v>25</v>
      </c>
      <c r="O2031" t="str">
        <f t="shared" si="310"/>
        <v>Low</v>
      </c>
      <c r="P2031" t="str">
        <f t="shared" si="311"/>
        <v>Low</v>
      </c>
      <c r="Q2031" t="str">
        <f t="shared" si="312"/>
        <v>Low</v>
      </c>
      <c r="R2031" t="s">
        <v>3317</v>
      </c>
      <c r="S2031" s="4">
        <f t="shared" ca="1" si="313"/>
        <v>299</v>
      </c>
      <c r="T2031">
        <f t="shared" si="314"/>
        <v>1</v>
      </c>
      <c r="U2031">
        <f t="shared" si="315"/>
        <v>1</v>
      </c>
      <c r="V2031">
        <f t="shared" si="316"/>
        <v>1</v>
      </c>
      <c r="W2031">
        <f t="shared" si="317"/>
        <v>1</v>
      </c>
      <c r="X2031">
        <f t="shared" si="318"/>
        <v>0.99999999999999989</v>
      </c>
      <c r="Y2031" t="str">
        <f t="shared" si="319"/>
        <v>Healthy</v>
      </c>
    </row>
    <row r="2032" spans="1:25" x14ac:dyDescent="0.35">
      <c r="A2032" t="s">
        <v>179</v>
      </c>
      <c r="B2032" t="s">
        <v>180</v>
      </c>
      <c r="C2032" t="s">
        <v>181</v>
      </c>
      <c r="D2032" t="s">
        <v>1613</v>
      </c>
      <c r="E2032">
        <v>80878210</v>
      </c>
      <c r="F2032" t="s">
        <v>1614</v>
      </c>
      <c r="G2032" s="3">
        <v>46344</v>
      </c>
      <c r="H2032">
        <v>16</v>
      </c>
      <c r="I2032">
        <v>32</v>
      </c>
      <c r="J2032">
        <v>12</v>
      </c>
      <c r="K2032" s="4">
        <v>2293.44</v>
      </c>
      <c r="L2032" s="4">
        <v>1167</v>
      </c>
      <c r="M2032" s="4">
        <v>1.0282776349614395E-2</v>
      </c>
      <c r="N2032" t="s">
        <v>25</v>
      </c>
      <c r="O2032" t="str">
        <f t="shared" si="310"/>
        <v>Medium</v>
      </c>
      <c r="P2032" t="str">
        <f t="shared" si="311"/>
        <v>Low</v>
      </c>
      <c r="Q2032" t="str">
        <f t="shared" si="312"/>
        <v>Low</v>
      </c>
      <c r="R2032" t="s">
        <v>3317</v>
      </c>
      <c r="S2032" s="4">
        <f t="shared" ca="1" si="313"/>
        <v>147</v>
      </c>
      <c r="T2032">
        <f t="shared" si="314"/>
        <v>2</v>
      </c>
      <c r="U2032">
        <f t="shared" si="315"/>
        <v>1</v>
      </c>
      <c r="V2032">
        <f t="shared" si="316"/>
        <v>1</v>
      </c>
      <c r="W2032">
        <f t="shared" si="317"/>
        <v>1</v>
      </c>
      <c r="X2032">
        <f t="shared" si="318"/>
        <v>1.4000000000000001</v>
      </c>
      <c r="Y2032" t="str">
        <f t="shared" si="319"/>
        <v>Healthy</v>
      </c>
    </row>
    <row r="2033" spans="1:25" x14ac:dyDescent="0.35">
      <c r="A2033" t="s">
        <v>71</v>
      </c>
      <c r="B2033" t="s">
        <v>72</v>
      </c>
      <c r="C2033" t="s">
        <v>174</v>
      </c>
      <c r="D2033" t="s">
        <v>1615</v>
      </c>
      <c r="E2033">
        <v>80875304</v>
      </c>
      <c r="F2033" t="s">
        <v>1616</v>
      </c>
      <c r="G2033" s="3">
        <v>49734</v>
      </c>
      <c r="H2033">
        <v>36</v>
      </c>
      <c r="I2033">
        <v>100</v>
      </c>
      <c r="J2033">
        <v>720</v>
      </c>
      <c r="K2033" s="4">
        <v>42624</v>
      </c>
      <c r="L2033" s="4">
        <v>101.42857142857143</v>
      </c>
      <c r="M2033" s="4">
        <v>7.0985915492957741</v>
      </c>
      <c r="N2033" t="s">
        <v>19</v>
      </c>
      <c r="O2033" t="str">
        <f t="shared" si="310"/>
        <v>Low</v>
      </c>
      <c r="P2033" t="str">
        <f t="shared" si="311"/>
        <v>Medium</v>
      </c>
      <c r="Q2033" t="str">
        <f t="shared" si="312"/>
        <v>Low</v>
      </c>
      <c r="R2033" t="s">
        <v>3317</v>
      </c>
      <c r="S2033" s="4">
        <f t="shared" ca="1" si="313"/>
        <v>3537</v>
      </c>
      <c r="T2033">
        <f t="shared" si="314"/>
        <v>1</v>
      </c>
      <c r="U2033">
        <f t="shared" si="315"/>
        <v>2</v>
      </c>
      <c r="V2033">
        <f t="shared" si="316"/>
        <v>1</v>
      </c>
      <c r="W2033">
        <f t="shared" si="317"/>
        <v>1</v>
      </c>
      <c r="X2033">
        <f t="shared" si="318"/>
        <v>1.3</v>
      </c>
      <c r="Y2033" t="str">
        <f t="shared" si="319"/>
        <v>Healthy</v>
      </c>
    </row>
    <row r="2034" spans="1:25" x14ac:dyDescent="0.35">
      <c r="A2034" t="s">
        <v>71</v>
      </c>
      <c r="B2034" t="s">
        <v>72</v>
      </c>
      <c r="C2034" t="s">
        <v>174</v>
      </c>
      <c r="D2034" t="s">
        <v>1615</v>
      </c>
      <c r="E2034">
        <v>80875304</v>
      </c>
      <c r="F2034" t="s">
        <v>1616</v>
      </c>
      <c r="G2034" s="3">
        <v>47019</v>
      </c>
      <c r="H2034">
        <v>36</v>
      </c>
      <c r="I2034">
        <v>77</v>
      </c>
      <c r="J2034">
        <v>3364</v>
      </c>
      <c r="K2034" s="4">
        <v>199148.79999999999</v>
      </c>
      <c r="L2034" s="4">
        <v>101.42857142857143</v>
      </c>
      <c r="M2034" s="4">
        <v>33.166197183098589</v>
      </c>
      <c r="N2034" t="s">
        <v>19</v>
      </c>
      <c r="O2034" t="str">
        <f t="shared" si="310"/>
        <v>Low</v>
      </c>
      <c r="P2034" t="str">
        <f t="shared" si="311"/>
        <v>High</v>
      </c>
      <c r="Q2034" t="str">
        <f t="shared" si="312"/>
        <v>Low</v>
      </c>
      <c r="R2034" t="s">
        <v>3309</v>
      </c>
      <c r="S2034" s="4">
        <f t="shared" ca="1" si="313"/>
        <v>822</v>
      </c>
      <c r="T2034">
        <f t="shared" si="314"/>
        <v>1</v>
      </c>
      <c r="U2034">
        <f t="shared" si="315"/>
        <v>3</v>
      </c>
      <c r="V2034">
        <f t="shared" si="316"/>
        <v>1</v>
      </c>
      <c r="W2034">
        <f t="shared" si="317"/>
        <v>3</v>
      </c>
      <c r="X2034">
        <f t="shared" si="318"/>
        <v>1.7999999999999998</v>
      </c>
      <c r="Y2034" t="str">
        <f t="shared" si="319"/>
        <v>Monitor</v>
      </c>
    </row>
    <row r="2035" spans="1:25" x14ac:dyDescent="0.35">
      <c r="A2035" t="s">
        <v>14</v>
      </c>
      <c r="B2035" t="s">
        <v>58</v>
      </c>
      <c r="C2035" t="s">
        <v>109</v>
      </c>
      <c r="D2035" t="s">
        <v>1617</v>
      </c>
      <c r="E2035">
        <v>80864294</v>
      </c>
      <c r="F2035" t="s">
        <v>1618</v>
      </c>
      <c r="G2035" s="3">
        <v>47811</v>
      </c>
      <c r="H2035">
        <v>60</v>
      </c>
      <c r="I2035">
        <v>90</v>
      </c>
      <c r="J2035">
        <v>5</v>
      </c>
      <c r="K2035" s="4">
        <v>5566.95</v>
      </c>
      <c r="L2035" s="4">
        <v>21.714285714285715</v>
      </c>
      <c r="M2035" s="4">
        <v>0.23026315789473684</v>
      </c>
      <c r="N2035" t="s">
        <v>25</v>
      </c>
      <c r="O2035" t="str">
        <f t="shared" si="310"/>
        <v>Low</v>
      </c>
      <c r="P2035" t="str">
        <f t="shared" si="311"/>
        <v>Low</v>
      </c>
      <c r="Q2035" t="str">
        <f t="shared" si="312"/>
        <v>Low</v>
      </c>
      <c r="R2035" t="s">
        <v>3317</v>
      </c>
      <c r="S2035" s="4">
        <f t="shared" ca="1" si="313"/>
        <v>1614</v>
      </c>
      <c r="T2035">
        <f t="shared" si="314"/>
        <v>1</v>
      </c>
      <c r="U2035">
        <f t="shared" si="315"/>
        <v>1</v>
      </c>
      <c r="V2035">
        <f t="shared" si="316"/>
        <v>1</v>
      </c>
      <c r="W2035">
        <f t="shared" si="317"/>
        <v>1</v>
      </c>
      <c r="X2035">
        <f t="shared" si="318"/>
        <v>0.99999999999999989</v>
      </c>
      <c r="Y2035" t="str">
        <f t="shared" si="319"/>
        <v>Healthy</v>
      </c>
    </row>
    <row r="2036" spans="1:25" x14ac:dyDescent="0.35">
      <c r="A2036" t="s">
        <v>71</v>
      </c>
      <c r="B2036" t="s">
        <v>72</v>
      </c>
      <c r="C2036" t="s">
        <v>572</v>
      </c>
      <c r="D2036" t="s">
        <v>672</v>
      </c>
      <c r="E2036">
        <v>80871356</v>
      </c>
      <c r="F2036" t="s">
        <v>1619</v>
      </c>
      <c r="G2036" s="3">
        <v>46963</v>
      </c>
      <c r="H2036">
        <v>36</v>
      </c>
      <c r="I2036">
        <v>71</v>
      </c>
      <c r="J2036">
        <v>2</v>
      </c>
      <c r="K2036" s="4">
        <v>607.98</v>
      </c>
      <c r="L2036" s="4">
        <v>124.14285714285714</v>
      </c>
      <c r="M2036" s="4">
        <v>1.611047180667434E-2</v>
      </c>
      <c r="N2036" t="s">
        <v>25</v>
      </c>
      <c r="O2036" t="str">
        <f t="shared" si="310"/>
        <v>Low</v>
      </c>
      <c r="P2036" t="str">
        <f t="shared" si="311"/>
        <v>Low</v>
      </c>
      <c r="Q2036" t="str">
        <f t="shared" si="312"/>
        <v>Low</v>
      </c>
      <c r="R2036" t="s">
        <v>3317</v>
      </c>
      <c r="S2036" s="4">
        <f t="shared" ca="1" si="313"/>
        <v>766</v>
      </c>
      <c r="T2036">
        <f t="shared" si="314"/>
        <v>1</v>
      </c>
      <c r="U2036">
        <f t="shared" si="315"/>
        <v>1</v>
      </c>
      <c r="V2036">
        <f t="shared" si="316"/>
        <v>1</v>
      </c>
      <c r="W2036">
        <f t="shared" si="317"/>
        <v>1</v>
      </c>
      <c r="X2036">
        <f t="shared" si="318"/>
        <v>0.99999999999999989</v>
      </c>
      <c r="Y2036" t="str">
        <f t="shared" si="319"/>
        <v>Healthy</v>
      </c>
    </row>
    <row r="2037" spans="1:25" x14ac:dyDescent="0.35">
      <c r="A2037" t="s">
        <v>179</v>
      </c>
      <c r="B2037" t="s">
        <v>223</v>
      </c>
      <c r="C2037" t="s">
        <v>357</v>
      </c>
      <c r="D2037" t="s">
        <v>1620</v>
      </c>
      <c r="E2037">
        <v>80868352</v>
      </c>
      <c r="F2037" t="s">
        <v>1621</v>
      </c>
      <c r="G2037" s="3">
        <v>46449</v>
      </c>
      <c r="H2037">
        <v>18</v>
      </c>
      <c r="I2037">
        <v>48</v>
      </c>
      <c r="J2037">
        <v>6</v>
      </c>
      <c r="K2037" s="4">
        <v>6097.56</v>
      </c>
      <c r="L2037" s="4">
        <v>22.714285714285715</v>
      </c>
      <c r="M2037" s="4">
        <v>0.26415094339622641</v>
      </c>
      <c r="N2037" t="s">
        <v>25</v>
      </c>
      <c r="O2037" t="str">
        <f t="shared" si="310"/>
        <v>Low</v>
      </c>
      <c r="P2037" t="str">
        <f t="shared" si="311"/>
        <v>Low</v>
      </c>
      <c r="Q2037" t="str">
        <f t="shared" si="312"/>
        <v>Low</v>
      </c>
      <c r="R2037" t="s">
        <v>3317</v>
      </c>
      <c r="S2037" s="4">
        <f t="shared" ca="1" si="313"/>
        <v>252</v>
      </c>
      <c r="T2037">
        <f t="shared" si="314"/>
        <v>1</v>
      </c>
      <c r="U2037">
        <f t="shared" si="315"/>
        <v>1</v>
      </c>
      <c r="V2037">
        <f t="shared" si="316"/>
        <v>1</v>
      </c>
      <c r="W2037">
        <f t="shared" si="317"/>
        <v>1</v>
      </c>
      <c r="X2037">
        <f t="shared" si="318"/>
        <v>0.99999999999999989</v>
      </c>
      <c r="Y2037" t="str">
        <f t="shared" si="319"/>
        <v>Healthy</v>
      </c>
    </row>
    <row r="2038" spans="1:25" x14ac:dyDescent="0.35">
      <c r="A2038" t="s">
        <v>179</v>
      </c>
      <c r="B2038" t="s">
        <v>223</v>
      </c>
      <c r="C2038" t="s">
        <v>357</v>
      </c>
      <c r="D2038" t="s">
        <v>1620</v>
      </c>
      <c r="E2038">
        <v>80868352</v>
      </c>
      <c r="F2038" t="s">
        <v>1621</v>
      </c>
      <c r="G2038" s="3">
        <v>46472</v>
      </c>
      <c r="H2038">
        <v>18</v>
      </c>
      <c r="I2038">
        <v>52</v>
      </c>
      <c r="J2038">
        <v>2</v>
      </c>
      <c r="K2038" s="4">
        <v>1742.16</v>
      </c>
      <c r="L2038" s="4">
        <v>22.714285714285715</v>
      </c>
      <c r="M2038" s="4">
        <v>8.8050314465408799E-2</v>
      </c>
      <c r="N2038" t="s">
        <v>25</v>
      </c>
      <c r="O2038" t="str">
        <f t="shared" si="310"/>
        <v>Low</v>
      </c>
      <c r="P2038" t="str">
        <f t="shared" si="311"/>
        <v>Low</v>
      </c>
      <c r="Q2038" t="str">
        <f t="shared" si="312"/>
        <v>Low</v>
      </c>
      <c r="R2038" t="s">
        <v>3317</v>
      </c>
      <c r="S2038" s="4">
        <f t="shared" ca="1" si="313"/>
        <v>275</v>
      </c>
      <c r="T2038">
        <f t="shared" si="314"/>
        <v>1</v>
      </c>
      <c r="U2038">
        <f t="shared" si="315"/>
        <v>1</v>
      </c>
      <c r="V2038">
        <f t="shared" si="316"/>
        <v>1</v>
      </c>
      <c r="W2038">
        <f t="shared" si="317"/>
        <v>1</v>
      </c>
      <c r="X2038">
        <f t="shared" si="318"/>
        <v>0.99999999999999989</v>
      </c>
      <c r="Y2038" t="str">
        <f t="shared" si="319"/>
        <v>Healthy</v>
      </c>
    </row>
    <row r="2039" spans="1:25" x14ac:dyDescent="0.35">
      <c r="A2039" t="s">
        <v>179</v>
      </c>
      <c r="B2039" t="s">
        <v>223</v>
      </c>
      <c r="C2039" t="s">
        <v>357</v>
      </c>
      <c r="D2039" t="s">
        <v>1620</v>
      </c>
      <c r="E2039">
        <v>80868352</v>
      </c>
      <c r="F2039" t="s">
        <v>1621</v>
      </c>
      <c r="G2039" s="3">
        <v>46469</v>
      </c>
      <c r="H2039">
        <v>18</v>
      </c>
      <c r="I2039">
        <v>51</v>
      </c>
      <c r="J2039">
        <v>22</v>
      </c>
      <c r="K2039" s="4">
        <v>19163.759999999998</v>
      </c>
      <c r="L2039" s="4">
        <v>22.714285714285715</v>
      </c>
      <c r="M2039" s="4">
        <v>0.96855345911949686</v>
      </c>
      <c r="N2039" t="s">
        <v>25</v>
      </c>
      <c r="O2039" t="str">
        <f t="shared" si="310"/>
        <v>Low</v>
      </c>
      <c r="P2039" t="str">
        <f t="shared" si="311"/>
        <v>Low</v>
      </c>
      <c r="Q2039" t="str">
        <f t="shared" si="312"/>
        <v>Low</v>
      </c>
      <c r="R2039" t="s">
        <v>3317</v>
      </c>
      <c r="S2039" s="4">
        <f t="shared" ca="1" si="313"/>
        <v>272</v>
      </c>
      <c r="T2039">
        <f t="shared" si="314"/>
        <v>1</v>
      </c>
      <c r="U2039">
        <f t="shared" si="315"/>
        <v>1</v>
      </c>
      <c r="V2039">
        <f t="shared" si="316"/>
        <v>1</v>
      </c>
      <c r="W2039">
        <f t="shared" si="317"/>
        <v>1</v>
      </c>
      <c r="X2039">
        <f t="shared" si="318"/>
        <v>0.99999999999999989</v>
      </c>
      <c r="Y2039" t="str">
        <f t="shared" si="319"/>
        <v>Healthy</v>
      </c>
    </row>
    <row r="2040" spans="1:25" x14ac:dyDescent="0.35">
      <c r="A2040" t="s">
        <v>90</v>
      </c>
      <c r="B2040" t="s">
        <v>217</v>
      </c>
      <c r="C2040" t="s">
        <v>533</v>
      </c>
      <c r="D2040" t="s">
        <v>663</v>
      </c>
      <c r="E2040">
        <v>80873270</v>
      </c>
      <c r="F2040" t="s">
        <v>1622</v>
      </c>
      <c r="G2040" s="3">
        <v>46509</v>
      </c>
      <c r="H2040">
        <v>24</v>
      </c>
      <c r="I2040">
        <v>44</v>
      </c>
      <c r="J2040">
        <v>106</v>
      </c>
      <c r="K2040" s="4">
        <v>6875.16</v>
      </c>
      <c r="L2040" s="4">
        <v>2018.4285714285713</v>
      </c>
      <c r="M2040" s="4">
        <v>5.2516101634935239E-2</v>
      </c>
      <c r="N2040" t="s">
        <v>25</v>
      </c>
      <c r="O2040" t="str">
        <f t="shared" si="310"/>
        <v>Low</v>
      </c>
      <c r="P2040" t="str">
        <f t="shared" si="311"/>
        <v>Low</v>
      </c>
      <c r="Q2040" t="str">
        <f t="shared" si="312"/>
        <v>Low</v>
      </c>
      <c r="R2040" t="s">
        <v>3317</v>
      </c>
      <c r="S2040" s="4">
        <f t="shared" ca="1" si="313"/>
        <v>312</v>
      </c>
      <c r="T2040">
        <f t="shared" si="314"/>
        <v>1</v>
      </c>
      <c r="U2040">
        <f t="shared" si="315"/>
        <v>1</v>
      </c>
      <c r="V2040">
        <f t="shared" si="316"/>
        <v>1</v>
      </c>
      <c r="W2040">
        <f t="shared" si="317"/>
        <v>1</v>
      </c>
      <c r="X2040">
        <f t="shared" si="318"/>
        <v>0.99999999999999989</v>
      </c>
      <c r="Y2040" t="str">
        <f t="shared" si="319"/>
        <v>Healthy</v>
      </c>
    </row>
    <row r="2041" spans="1:25" x14ac:dyDescent="0.35">
      <c r="A2041" t="s">
        <v>90</v>
      </c>
      <c r="B2041" t="s">
        <v>217</v>
      </c>
      <c r="C2041" t="s">
        <v>533</v>
      </c>
      <c r="D2041" t="s">
        <v>663</v>
      </c>
      <c r="E2041">
        <v>80873270</v>
      </c>
      <c r="F2041" t="s">
        <v>1622</v>
      </c>
      <c r="G2041" s="3">
        <v>46560</v>
      </c>
      <c r="H2041">
        <v>24</v>
      </c>
      <c r="I2041">
        <v>51</v>
      </c>
      <c r="J2041">
        <v>87</v>
      </c>
      <c r="K2041" s="4">
        <v>5642.82</v>
      </c>
      <c r="L2041" s="4">
        <v>2018.4285714285713</v>
      </c>
      <c r="M2041" s="4">
        <v>4.3102838134333639E-2</v>
      </c>
      <c r="N2041" t="s">
        <v>25</v>
      </c>
      <c r="O2041" t="str">
        <f t="shared" si="310"/>
        <v>Low</v>
      </c>
      <c r="P2041" t="str">
        <f t="shared" si="311"/>
        <v>Low</v>
      </c>
      <c r="Q2041" t="str">
        <f t="shared" si="312"/>
        <v>Low</v>
      </c>
      <c r="R2041" t="s">
        <v>3317</v>
      </c>
      <c r="S2041" s="4">
        <f t="shared" ca="1" si="313"/>
        <v>363</v>
      </c>
      <c r="T2041">
        <f t="shared" si="314"/>
        <v>1</v>
      </c>
      <c r="U2041">
        <f t="shared" si="315"/>
        <v>1</v>
      </c>
      <c r="V2041">
        <f t="shared" si="316"/>
        <v>1</v>
      </c>
      <c r="W2041">
        <f t="shared" si="317"/>
        <v>1</v>
      </c>
      <c r="X2041">
        <f t="shared" si="318"/>
        <v>0.99999999999999989</v>
      </c>
      <c r="Y2041" t="str">
        <f t="shared" si="319"/>
        <v>Healthy</v>
      </c>
    </row>
    <row r="2042" spans="1:25" x14ac:dyDescent="0.35">
      <c r="A2042" t="s">
        <v>90</v>
      </c>
      <c r="B2042" t="s">
        <v>217</v>
      </c>
      <c r="C2042" t="s">
        <v>533</v>
      </c>
      <c r="D2042" t="s">
        <v>663</v>
      </c>
      <c r="E2042">
        <v>80873270</v>
      </c>
      <c r="F2042" t="s">
        <v>1622</v>
      </c>
      <c r="G2042" s="3">
        <v>46605</v>
      </c>
      <c r="H2042">
        <v>24</v>
      </c>
      <c r="I2042">
        <v>57</v>
      </c>
      <c r="J2042">
        <v>120</v>
      </c>
      <c r="K2042" s="4">
        <v>7783.2</v>
      </c>
      <c r="L2042" s="4">
        <v>2018.4285714285713</v>
      </c>
      <c r="M2042" s="4">
        <v>5.945219053011537E-2</v>
      </c>
      <c r="N2042" t="s">
        <v>25</v>
      </c>
      <c r="O2042" t="str">
        <f t="shared" si="310"/>
        <v>Low</v>
      </c>
      <c r="P2042" t="str">
        <f t="shared" si="311"/>
        <v>Low</v>
      </c>
      <c r="Q2042" t="str">
        <f t="shared" si="312"/>
        <v>Low</v>
      </c>
      <c r="R2042" t="s">
        <v>3317</v>
      </c>
      <c r="S2042" s="4">
        <f t="shared" ca="1" si="313"/>
        <v>408</v>
      </c>
      <c r="T2042">
        <f t="shared" si="314"/>
        <v>1</v>
      </c>
      <c r="U2042">
        <f t="shared" si="315"/>
        <v>1</v>
      </c>
      <c r="V2042">
        <f t="shared" si="316"/>
        <v>1</v>
      </c>
      <c r="W2042">
        <f t="shared" si="317"/>
        <v>1</v>
      </c>
      <c r="X2042">
        <f t="shared" si="318"/>
        <v>0.99999999999999989</v>
      </c>
      <c r="Y2042" t="str">
        <f t="shared" si="319"/>
        <v>Healthy</v>
      </c>
    </row>
    <row r="2043" spans="1:25" x14ac:dyDescent="0.35">
      <c r="A2043" t="s">
        <v>90</v>
      </c>
      <c r="B2043" t="s">
        <v>217</v>
      </c>
      <c r="C2043" t="s">
        <v>533</v>
      </c>
      <c r="D2043" t="s">
        <v>663</v>
      </c>
      <c r="E2043">
        <v>80873270</v>
      </c>
      <c r="F2043" t="s">
        <v>1622</v>
      </c>
      <c r="G2043" s="3">
        <v>46627</v>
      </c>
      <c r="H2043">
        <v>24</v>
      </c>
      <c r="I2043">
        <v>60</v>
      </c>
      <c r="J2043">
        <v>60</v>
      </c>
      <c r="K2043" s="4">
        <v>3891.6</v>
      </c>
      <c r="L2043" s="4">
        <v>2018.4285714285713</v>
      </c>
      <c r="M2043" s="4">
        <v>2.9726095265057685E-2</v>
      </c>
      <c r="N2043" t="s">
        <v>25</v>
      </c>
      <c r="O2043" t="str">
        <f t="shared" si="310"/>
        <v>Low</v>
      </c>
      <c r="P2043" t="str">
        <f t="shared" si="311"/>
        <v>Low</v>
      </c>
      <c r="Q2043" t="str">
        <f t="shared" si="312"/>
        <v>Low</v>
      </c>
      <c r="R2043" t="s">
        <v>3317</v>
      </c>
      <c r="S2043" s="4">
        <f t="shared" ca="1" si="313"/>
        <v>430</v>
      </c>
      <c r="T2043">
        <f t="shared" si="314"/>
        <v>1</v>
      </c>
      <c r="U2043">
        <f t="shared" si="315"/>
        <v>1</v>
      </c>
      <c r="V2043">
        <f t="shared" si="316"/>
        <v>1</v>
      </c>
      <c r="W2043">
        <f t="shared" si="317"/>
        <v>1</v>
      </c>
      <c r="X2043">
        <f t="shared" si="318"/>
        <v>0.99999999999999989</v>
      </c>
      <c r="Y2043" t="str">
        <f t="shared" si="319"/>
        <v>Healthy</v>
      </c>
    </row>
    <row r="2044" spans="1:25" x14ac:dyDescent="0.35">
      <c r="A2044" t="s">
        <v>90</v>
      </c>
      <c r="B2044" t="s">
        <v>217</v>
      </c>
      <c r="C2044" t="s">
        <v>533</v>
      </c>
      <c r="D2044" t="s">
        <v>663</v>
      </c>
      <c r="E2044">
        <v>80873270</v>
      </c>
      <c r="F2044" t="s">
        <v>1622</v>
      </c>
      <c r="G2044" s="3">
        <v>46733</v>
      </c>
      <c r="H2044">
        <v>24</v>
      </c>
      <c r="I2044">
        <v>75</v>
      </c>
      <c r="J2044">
        <v>2</v>
      </c>
      <c r="K2044" s="4">
        <v>129.72</v>
      </c>
      <c r="L2044" s="4">
        <v>2018.4285714285713</v>
      </c>
      <c r="M2044" s="4">
        <v>9.9086984216858955E-4</v>
      </c>
      <c r="N2044" t="s">
        <v>25</v>
      </c>
      <c r="O2044" t="str">
        <f t="shared" si="310"/>
        <v>Low</v>
      </c>
      <c r="P2044" t="str">
        <f t="shared" si="311"/>
        <v>Low</v>
      </c>
      <c r="Q2044" t="str">
        <f t="shared" si="312"/>
        <v>Low</v>
      </c>
      <c r="R2044" t="s">
        <v>3317</v>
      </c>
      <c r="S2044" s="4">
        <f t="shared" ca="1" si="313"/>
        <v>536</v>
      </c>
      <c r="T2044">
        <f t="shared" si="314"/>
        <v>1</v>
      </c>
      <c r="U2044">
        <f t="shared" si="315"/>
        <v>1</v>
      </c>
      <c r="V2044">
        <f t="shared" si="316"/>
        <v>1</v>
      </c>
      <c r="W2044">
        <f t="shared" si="317"/>
        <v>1</v>
      </c>
      <c r="X2044">
        <f t="shared" si="318"/>
        <v>0.99999999999999989</v>
      </c>
      <c r="Y2044" t="str">
        <f t="shared" si="319"/>
        <v>Healthy</v>
      </c>
    </row>
    <row r="2045" spans="1:25" x14ac:dyDescent="0.35">
      <c r="A2045" t="s">
        <v>90</v>
      </c>
      <c r="B2045" t="s">
        <v>217</v>
      </c>
      <c r="C2045" t="s">
        <v>533</v>
      </c>
      <c r="D2045" t="s">
        <v>663</v>
      </c>
      <c r="E2045">
        <v>80873270</v>
      </c>
      <c r="F2045" t="s">
        <v>1622</v>
      </c>
      <c r="G2045" s="3">
        <v>46628</v>
      </c>
      <c r="H2045">
        <v>24</v>
      </c>
      <c r="I2045">
        <v>61</v>
      </c>
      <c r="J2045">
        <v>166</v>
      </c>
      <c r="K2045" s="4">
        <v>10766.76</v>
      </c>
      <c r="L2045" s="4">
        <v>2018.4285714285713</v>
      </c>
      <c r="M2045" s="4">
        <v>8.2242196899992931E-2</v>
      </c>
      <c r="N2045" t="s">
        <v>25</v>
      </c>
      <c r="O2045" t="str">
        <f t="shared" si="310"/>
        <v>Low</v>
      </c>
      <c r="P2045" t="str">
        <f t="shared" si="311"/>
        <v>Low</v>
      </c>
      <c r="Q2045" t="str">
        <f t="shared" si="312"/>
        <v>Low</v>
      </c>
      <c r="R2045" t="s">
        <v>3317</v>
      </c>
      <c r="S2045" s="4">
        <f t="shared" ca="1" si="313"/>
        <v>431</v>
      </c>
      <c r="T2045">
        <f t="shared" si="314"/>
        <v>1</v>
      </c>
      <c r="U2045">
        <f t="shared" si="315"/>
        <v>1</v>
      </c>
      <c r="V2045">
        <f t="shared" si="316"/>
        <v>1</v>
      </c>
      <c r="W2045">
        <f t="shared" si="317"/>
        <v>1</v>
      </c>
      <c r="X2045">
        <f t="shared" si="318"/>
        <v>0.99999999999999989</v>
      </c>
      <c r="Y2045" t="str">
        <f t="shared" si="319"/>
        <v>Healthy</v>
      </c>
    </row>
    <row r="2046" spans="1:25" x14ac:dyDescent="0.35">
      <c r="A2046" t="s">
        <v>41</v>
      </c>
      <c r="B2046" t="s">
        <v>54</v>
      </c>
      <c r="C2046" t="s">
        <v>55</v>
      </c>
      <c r="D2046" t="s">
        <v>1623</v>
      </c>
      <c r="E2046">
        <v>80884386</v>
      </c>
      <c r="F2046" t="s">
        <v>1624</v>
      </c>
      <c r="G2046" s="3">
        <v>46943</v>
      </c>
      <c r="H2046">
        <v>36</v>
      </c>
      <c r="I2046">
        <v>70</v>
      </c>
      <c r="J2046">
        <v>48</v>
      </c>
      <c r="K2046" s="4">
        <v>20982.240000000002</v>
      </c>
      <c r="L2046" s="4">
        <f>0</f>
        <v>0</v>
      </c>
      <c r="M2046" s="4">
        <f>999</f>
        <v>999</v>
      </c>
      <c r="N2046" t="s">
        <v>19</v>
      </c>
      <c r="O2046" t="str">
        <f t="shared" si="310"/>
        <v>Low</v>
      </c>
      <c r="P2046" t="str">
        <f t="shared" si="311"/>
        <v>High</v>
      </c>
      <c r="Q2046" t="str">
        <f t="shared" si="312"/>
        <v>High</v>
      </c>
      <c r="R2046" t="s">
        <v>3317</v>
      </c>
      <c r="S2046" s="4">
        <f t="shared" ca="1" si="313"/>
        <v>746</v>
      </c>
      <c r="T2046">
        <f t="shared" si="314"/>
        <v>1</v>
      </c>
      <c r="U2046">
        <f t="shared" si="315"/>
        <v>3</v>
      </c>
      <c r="V2046">
        <f t="shared" si="316"/>
        <v>3</v>
      </c>
      <c r="W2046">
        <f t="shared" si="317"/>
        <v>1</v>
      </c>
      <c r="X2046">
        <f t="shared" si="318"/>
        <v>2</v>
      </c>
      <c r="Y2046" t="str">
        <f t="shared" si="319"/>
        <v>Monitor</v>
      </c>
    </row>
    <row r="2047" spans="1:25" x14ac:dyDescent="0.35">
      <c r="A2047" t="s">
        <v>41</v>
      </c>
      <c r="B2047" t="s">
        <v>54</v>
      </c>
      <c r="C2047" t="s">
        <v>55</v>
      </c>
      <c r="D2047" t="s">
        <v>1625</v>
      </c>
      <c r="E2047">
        <v>80896865</v>
      </c>
      <c r="F2047" t="s">
        <v>1626</v>
      </c>
      <c r="G2047" s="3">
        <v>47101</v>
      </c>
      <c r="H2047">
        <v>36</v>
      </c>
      <c r="I2047">
        <v>84</v>
      </c>
      <c r="J2047">
        <v>12</v>
      </c>
      <c r="K2047" s="4">
        <v>5245.56</v>
      </c>
      <c r="L2047" s="4">
        <v>1554.8571428571429</v>
      </c>
      <c r="M2047" s="4">
        <v>7.717750826901874E-3</v>
      </c>
      <c r="N2047" t="s">
        <v>25</v>
      </c>
      <c r="O2047" t="str">
        <f t="shared" si="310"/>
        <v>Low</v>
      </c>
      <c r="P2047" t="str">
        <f t="shared" si="311"/>
        <v>Low</v>
      </c>
      <c r="Q2047" t="str">
        <f t="shared" si="312"/>
        <v>Low</v>
      </c>
      <c r="R2047" t="s">
        <v>3317</v>
      </c>
      <c r="S2047" s="4">
        <f t="shared" ca="1" si="313"/>
        <v>904</v>
      </c>
      <c r="T2047">
        <f t="shared" si="314"/>
        <v>1</v>
      </c>
      <c r="U2047">
        <f t="shared" si="315"/>
        <v>1</v>
      </c>
      <c r="V2047">
        <f t="shared" si="316"/>
        <v>1</v>
      </c>
      <c r="W2047">
        <f t="shared" si="317"/>
        <v>1</v>
      </c>
      <c r="X2047">
        <f t="shared" si="318"/>
        <v>0.99999999999999989</v>
      </c>
      <c r="Y2047" t="str">
        <f t="shared" si="319"/>
        <v>Healthy</v>
      </c>
    </row>
    <row r="2048" spans="1:25" x14ac:dyDescent="0.35">
      <c r="A2048" t="s">
        <v>41</v>
      </c>
      <c r="B2048" t="s">
        <v>54</v>
      </c>
      <c r="C2048" t="s">
        <v>55</v>
      </c>
      <c r="D2048" t="s">
        <v>1625</v>
      </c>
      <c r="E2048">
        <v>80896865</v>
      </c>
      <c r="F2048" t="s">
        <v>1626</v>
      </c>
      <c r="G2048" s="3">
        <v>47154</v>
      </c>
      <c r="H2048">
        <v>36</v>
      </c>
      <c r="I2048">
        <v>89</v>
      </c>
      <c r="J2048">
        <v>72</v>
      </c>
      <c r="K2048" s="4">
        <v>31473.360000000001</v>
      </c>
      <c r="L2048" s="4">
        <v>1554.8571428571429</v>
      </c>
      <c r="M2048" s="4">
        <v>4.6306504961411248E-2</v>
      </c>
      <c r="N2048" t="s">
        <v>25</v>
      </c>
      <c r="O2048" t="str">
        <f t="shared" si="310"/>
        <v>Low</v>
      </c>
      <c r="P2048" t="str">
        <f t="shared" si="311"/>
        <v>Low</v>
      </c>
      <c r="Q2048" t="str">
        <f t="shared" si="312"/>
        <v>Low</v>
      </c>
      <c r="R2048" t="s">
        <v>3317</v>
      </c>
      <c r="S2048" s="4">
        <f t="shared" ca="1" si="313"/>
        <v>957</v>
      </c>
      <c r="T2048">
        <f t="shared" si="314"/>
        <v>1</v>
      </c>
      <c r="U2048">
        <f t="shared" si="315"/>
        <v>1</v>
      </c>
      <c r="V2048">
        <f t="shared" si="316"/>
        <v>1</v>
      </c>
      <c r="W2048">
        <f t="shared" si="317"/>
        <v>1</v>
      </c>
      <c r="X2048">
        <f t="shared" si="318"/>
        <v>0.99999999999999989</v>
      </c>
      <c r="Y2048" t="str">
        <f t="shared" si="319"/>
        <v>Healthy</v>
      </c>
    </row>
    <row r="2049" spans="1:25" x14ac:dyDescent="0.35">
      <c r="A2049" t="s">
        <v>20</v>
      </c>
      <c r="B2049" t="s">
        <v>21</v>
      </c>
      <c r="C2049" t="s">
        <v>51</v>
      </c>
      <c r="D2049" t="s">
        <v>719</v>
      </c>
      <c r="E2049">
        <v>80895782</v>
      </c>
      <c r="F2049" t="s">
        <v>1627</v>
      </c>
      <c r="G2049" s="3">
        <v>47204</v>
      </c>
      <c r="H2049">
        <v>36</v>
      </c>
      <c r="I2049">
        <v>94</v>
      </c>
      <c r="J2049">
        <v>112</v>
      </c>
      <c r="K2049" s="4">
        <v>6272</v>
      </c>
      <c r="L2049" s="4">
        <v>368.28571428571428</v>
      </c>
      <c r="M2049" s="4">
        <v>0.30411171450737007</v>
      </c>
      <c r="N2049" t="s">
        <v>25</v>
      </c>
      <c r="O2049" t="str">
        <f t="shared" si="310"/>
        <v>Low</v>
      </c>
      <c r="P2049" t="str">
        <f t="shared" si="311"/>
        <v>Low</v>
      </c>
      <c r="Q2049" t="str">
        <f t="shared" si="312"/>
        <v>Low</v>
      </c>
      <c r="R2049" t="s">
        <v>3317</v>
      </c>
      <c r="S2049" s="4">
        <f t="shared" ca="1" si="313"/>
        <v>1007</v>
      </c>
      <c r="T2049">
        <f t="shared" si="314"/>
        <v>1</v>
      </c>
      <c r="U2049">
        <f t="shared" si="315"/>
        <v>1</v>
      </c>
      <c r="V2049">
        <f t="shared" si="316"/>
        <v>1</v>
      </c>
      <c r="W2049">
        <f t="shared" si="317"/>
        <v>1</v>
      </c>
      <c r="X2049">
        <f t="shared" si="318"/>
        <v>0.99999999999999989</v>
      </c>
      <c r="Y2049" t="str">
        <f t="shared" si="319"/>
        <v>Healthy</v>
      </c>
    </row>
    <row r="2050" spans="1:25" x14ac:dyDescent="0.35">
      <c r="A2050" t="s">
        <v>20</v>
      </c>
      <c r="B2050" t="s">
        <v>21</v>
      </c>
      <c r="C2050" t="s">
        <v>51</v>
      </c>
      <c r="D2050" t="s">
        <v>719</v>
      </c>
      <c r="E2050">
        <v>80895782</v>
      </c>
      <c r="F2050" t="s">
        <v>1627</v>
      </c>
      <c r="G2050" s="3">
        <v>47180</v>
      </c>
      <c r="H2050">
        <v>36</v>
      </c>
      <c r="I2050">
        <v>91</v>
      </c>
      <c r="J2050">
        <v>81</v>
      </c>
      <c r="K2050" s="4">
        <v>4536</v>
      </c>
      <c r="L2050" s="4">
        <v>368.28571428571428</v>
      </c>
      <c r="M2050" s="4">
        <v>0.21993793638479442</v>
      </c>
      <c r="N2050" t="s">
        <v>25</v>
      </c>
      <c r="O2050" t="str">
        <f t="shared" si="310"/>
        <v>Low</v>
      </c>
      <c r="P2050" t="str">
        <f t="shared" si="311"/>
        <v>Low</v>
      </c>
      <c r="Q2050" t="str">
        <f t="shared" si="312"/>
        <v>Low</v>
      </c>
      <c r="R2050" t="s">
        <v>3317</v>
      </c>
      <c r="S2050" s="4">
        <f t="shared" ca="1" si="313"/>
        <v>983</v>
      </c>
      <c r="T2050">
        <f t="shared" si="314"/>
        <v>1</v>
      </c>
      <c r="U2050">
        <f t="shared" si="315"/>
        <v>1</v>
      </c>
      <c r="V2050">
        <f t="shared" si="316"/>
        <v>1</v>
      </c>
      <c r="W2050">
        <f t="shared" si="317"/>
        <v>1</v>
      </c>
      <c r="X2050">
        <f t="shared" si="318"/>
        <v>0.99999999999999989</v>
      </c>
      <c r="Y2050" t="str">
        <f t="shared" si="319"/>
        <v>Healthy</v>
      </c>
    </row>
    <row r="2051" spans="1:25" x14ac:dyDescent="0.35">
      <c r="A2051" t="s">
        <v>20</v>
      </c>
      <c r="B2051" t="s">
        <v>21</v>
      </c>
      <c r="C2051" t="s">
        <v>51</v>
      </c>
      <c r="D2051" t="s">
        <v>719</v>
      </c>
      <c r="E2051">
        <v>80895782</v>
      </c>
      <c r="F2051" t="s">
        <v>1627</v>
      </c>
      <c r="G2051" s="3">
        <v>47186</v>
      </c>
      <c r="H2051">
        <v>36</v>
      </c>
      <c r="I2051">
        <v>92</v>
      </c>
      <c r="J2051">
        <v>117</v>
      </c>
      <c r="K2051" s="4">
        <v>6552</v>
      </c>
      <c r="L2051" s="4">
        <v>368.28571428571428</v>
      </c>
      <c r="M2051" s="4">
        <v>0.31768813033359194</v>
      </c>
      <c r="N2051" t="s">
        <v>25</v>
      </c>
      <c r="O2051" t="str">
        <f t="shared" ref="O2051:O2114" si="320">IF(I2051&lt;20,"High",IF(I2051&lt;40,"Medium","Low"))</f>
        <v>Low</v>
      </c>
      <c r="P2051" t="str">
        <f t="shared" ref="P2051:P2114" si="321">IF(M2051&gt;8,"High",IF(M2051&gt;4,"Medium","Low"))</f>
        <v>Low</v>
      </c>
      <c r="Q2051" t="str">
        <f t="shared" ref="Q2051:Q2114" si="322">IF(L2051&lt;5,"High",IF(L2051&lt;15,"Medium","Low"))</f>
        <v>Low</v>
      </c>
      <c r="R2051" t="s">
        <v>3317</v>
      </c>
      <c r="S2051" s="4">
        <f t="shared" ref="S2051:S2114" ca="1" si="323">G2051-TODAY()</f>
        <v>989</v>
      </c>
      <c r="T2051">
        <f t="shared" ref="T2051:T2114" si="324">IF(O2051="High",3,IF(O2051="Medium",2,1))</f>
        <v>1</v>
      </c>
      <c r="U2051">
        <f t="shared" ref="U2051:U2114" si="325">IF(P2051="High",3,IF(P2051="Medium",2,1))</f>
        <v>1</v>
      </c>
      <c r="V2051">
        <f t="shared" ref="V2051:V2114" si="326">IF(Q2051="High",3,IF(Q2051="Medium",2,1))</f>
        <v>1</v>
      </c>
      <c r="W2051">
        <f t="shared" ref="W2051:W2114" si="327">IF(R2051="High",3,IF(R2051="Medium",2,1))</f>
        <v>1</v>
      </c>
      <c r="X2051">
        <f t="shared" ref="X2051:X2114" si="328">(0.4*T2051)+(0.3*U2051)+(0.2*V2051)+(0.1*W2051)</f>
        <v>0.99999999999999989</v>
      </c>
      <c r="Y2051" t="str">
        <f t="shared" ref="Y2051:Y2114" si="329">IF(X2051&gt;=2.7,"Move Immediately",IF(X2051&gt;=2.2,"High Priority",IF(X2051&gt;=1.7,"Monitor","Healthy")))</f>
        <v>Healthy</v>
      </c>
    </row>
    <row r="2052" spans="1:25" x14ac:dyDescent="0.35">
      <c r="A2052" t="s">
        <v>20</v>
      </c>
      <c r="B2052" t="s">
        <v>21</v>
      </c>
      <c r="C2052" t="s">
        <v>51</v>
      </c>
      <c r="D2052" t="s">
        <v>184</v>
      </c>
      <c r="E2052">
        <v>80895783</v>
      </c>
      <c r="F2052" t="s">
        <v>1628</v>
      </c>
      <c r="G2052" s="3">
        <v>47068</v>
      </c>
      <c r="H2052">
        <v>36</v>
      </c>
      <c r="I2052">
        <v>81</v>
      </c>
      <c r="J2052">
        <v>3</v>
      </c>
      <c r="K2052" s="4">
        <v>336</v>
      </c>
      <c r="L2052" s="4">
        <v>271.57142857142856</v>
      </c>
      <c r="M2052" s="4">
        <v>1.1046817464492374E-2</v>
      </c>
      <c r="N2052" t="s">
        <v>25</v>
      </c>
      <c r="O2052" t="str">
        <f t="shared" si="320"/>
        <v>Low</v>
      </c>
      <c r="P2052" t="str">
        <f t="shared" si="321"/>
        <v>Low</v>
      </c>
      <c r="Q2052" t="str">
        <f t="shared" si="322"/>
        <v>Low</v>
      </c>
      <c r="R2052" t="s">
        <v>3317</v>
      </c>
      <c r="S2052" s="4">
        <f t="shared" ca="1" si="323"/>
        <v>871</v>
      </c>
      <c r="T2052">
        <f t="shared" si="324"/>
        <v>1</v>
      </c>
      <c r="U2052">
        <f t="shared" si="325"/>
        <v>1</v>
      </c>
      <c r="V2052">
        <f t="shared" si="326"/>
        <v>1</v>
      </c>
      <c r="W2052">
        <f t="shared" si="327"/>
        <v>1</v>
      </c>
      <c r="X2052">
        <f t="shared" si="328"/>
        <v>0.99999999999999989</v>
      </c>
      <c r="Y2052" t="str">
        <f t="shared" si="329"/>
        <v>Healthy</v>
      </c>
    </row>
    <row r="2053" spans="1:25" x14ac:dyDescent="0.35">
      <c r="A2053" t="s">
        <v>20</v>
      </c>
      <c r="B2053" t="s">
        <v>21</v>
      </c>
      <c r="C2053" t="s">
        <v>51</v>
      </c>
      <c r="D2053" t="s">
        <v>184</v>
      </c>
      <c r="E2053">
        <v>80895783</v>
      </c>
      <c r="F2053" t="s">
        <v>1628</v>
      </c>
      <c r="G2053" s="3">
        <v>47092</v>
      </c>
      <c r="H2053">
        <v>36</v>
      </c>
      <c r="I2053">
        <v>83</v>
      </c>
      <c r="J2053">
        <v>3</v>
      </c>
      <c r="K2053" s="4">
        <v>336</v>
      </c>
      <c r="L2053" s="4">
        <v>271.57142857142856</v>
      </c>
      <c r="M2053" s="4">
        <v>1.1046817464492374E-2</v>
      </c>
      <c r="N2053" t="s">
        <v>25</v>
      </c>
      <c r="O2053" t="str">
        <f t="shared" si="320"/>
        <v>Low</v>
      </c>
      <c r="P2053" t="str">
        <f t="shared" si="321"/>
        <v>Low</v>
      </c>
      <c r="Q2053" t="str">
        <f t="shared" si="322"/>
        <v>Low</v>
      </c>
      <c r="R2053" t="s">
        <v>3317</v>
      </c>
      <c r="S2053" s="4">
        <f t="shared" ca="1" si="323"/>
        <v>895</v>
      </c>
      <c r="T2053">
        <f t="shared" si="324"/>
        <v>1</v>
      </c>
      <c r="U2053">
        <f t="shared" si="325"/>
        <v>1</v>
      </c>
      <c r="V2053">
        <f t="shared" si="326"/>
        <v>1</v>
      </c>
      <c r="W2053">
        <f t="shared" si="327"/>
        <v>1</v>
      </c>
      <c r="X2053">
        <f t="shared" si="328"/>
        <v>0.99999999999999989</v>
      </c>
      <c r="Y2053" t="str">
        <f t="shared" si="329"/>
        <v>Healthy</v>
      </c>
    </row>
    <row r="2054" spans="1:25" x14ac:dyDescent="0.35">
      <c r="A2054" t="s">
        <v>20</v>
      </c>
      <c r="B2054" t="s">
        <v>21</v>
      </c>
      <c r="C2054" t="s">
        <v>51</v>
      </c>
      <c r="D2054" t="s">
        <v>184</v>
      </c>
      <c r="E2054">
        <v>80895783</v>
      </c>
      <c r="F2054" t="s">
        <v>1628</v>
      </c>
      <c r="G2054" s="3">
        <v>47232</v>
      </c>
      <c r="H2054">
        <v>36</v>
      </c>
      <c r="I2054">
        <v>96</v>
      </c>
      <c r="J2054">
        <v>12</v>
      </c>
      <c r="K2054" s="4">
        <v>1344</v>
      </c>
      <c r="L2054" s="4">
        <v>271.57142857142856</v>
      </c>
      <c r="M2054" s="4">
        <v>4.4187269857969495E-2</v>
      </c>
      <c r="N2054" t="s">
        <v>25</v>
      </c>
      <c r="O2054" t="str">
        <f t="shared" si="320"/>
        <v>Low</v>
      </c>
      <c r="P2054" t="str">
        <f t="shared" si="321"/>
        <v>Low</v>
      </c>
      <c r="Q2054" t="str">
        <f t="shared" si="322"/>
        <v>Low</v>
      </c>
      <c r="R2054" t="s">
        <v>3317</v>
      </c>
      <c r="S2054" s="4">
        <f t="shared" ca="1" si="323"/>
        <v>1035</v>
      </c>
      <c r="T2054">
        <f t="shared" si="324"/>
        <v>1</v>
      </c>
      <c r="U2054">
        <f t="shared" si="325"/>
        <v>1</v>
      </c>
      <c r="V2054">
        <f t="shared" si="326"/>
        <v>1</v>
      </c>
      <c r="W2054">
        <f t="shared" si="327"/>
        <v>1</v>
      </c>
      <c r="X2054">
        <f t="shared" si="328"/>
        <v>0.99999999999999989</v>
      </c>
      <c r="Y2054" t="str">
        <f t="shared" si="329"/>
        <v>Healthy</v>
      </c>
    </row>
    <row r="2055" spans="1:25" x14ac:dyDescent="0.35">
      <c r="A2055" t="s">
        <v>20</v>
      </c>
      <c r="B2055" t="s">
        <v>21</v>
      </c>
      <c r="C2055" t="s">
        <v>51</v>
      </c>
      <c r="D2055" t="s">
        <v>184</v>
      </c>
      <c r="E2055">
        <v>80895783</v>
      </c>
      <c r="F2055" t="s">
        <v>1628</v>
      </c>
      <c r="G2055" s="3">
        <v>47174</v>
      </c>
      <c r="H2055">
        <v>36</v>
      </c>
      <c r="I2055">
        <v>91</v>
      </c>
      <c r="J2055">
        <v>1</v>
      </c>
      <c r="K2055" s="4">
        <v>112</v>
      </c>
      <c r="L2055" s="4">
        <v>271.57142857142856</v>
      </c>
      <c r="M2055" s="4">
        <v>3.6822724881641245E-3</v>
      </c>
      <c r="N2055" t="s">
        <v>25</v>
      </c>
      <c r="O2055" t="str">
        <f t="shared" si="320"/>
        <v>Low</v>
      </c>
      <c r="P2055" t="str">
        <f t="shared" si="321"/>
        <v>Low</v>
      </c>
      <c r="Q2055" t="str">
        <f t="shared" si="322"/>
        <v>Low</v>
      </c>
      <c r="R2055" t="s">
        <v>3317</v>
      </c>
      <c r="S2055" s="4">
        <f t="shared" ca="1" si="323"/>
        <v>977</v>
      </c>
      <c r="T2055">
        <f t="shared" si="324"/>
        <v>1</v>
      </c>
      <c r="U2055">
        <f t="shared" si="325"/>
        <v>1</v>
      </c>
      <c r="V2055">
        <f t="shared" si="326"/>
        <v>1</v>
      </c>
      <c r="W2055">
        <f t="shared" si="327"/>
        <v>1</v>
      </c>
      <c r="X2055">
        <f t="shared" si="328"/>
        <v>0.99999999999999989</v>
      </c>
      <c r="Y2055" t="str">
        <f t="shared" si="329"/>
        <v>Healthy</v>
      </c>
    </row>
    <row r="2056" spans="1:25" x14ac:dyDescent="0.35">
      <c r="A2056" t="s">
        <v>20</v>
      </c>
      <c r="B2056" t="s">
        <v>21</v>
      </c>
      <c r="C2056" t="s">
        <v>684</v>
      </c>
      <c r="D2056" t="s">
        <v>813</v>
      </c>
      <c r="E2056">
        <v>80895609</v>
      </c>
      <c r="F2056" t="s">
        <v>1629</v>
      </c>
      <c r="G2056" s="3">
        <v>47199</v>
      </c>
      <c r="H2056">
        <v>36</v>
      </c>
      <c r="I2056">
        <v>93</v>
      </c>
      <c r="J2056">
        <v>1</v>
      </c>
      <c r="K2056" s="4">
        <v>140</v>
      </c>
      <c r="L2056" s="4">
        <v>1037</v>
      </c>
      <c r="M2056" s="4">
        <v>9.6432015429122472E-4</v>
      </c>
      <c r="N2056" t="s">
        <v>25</v>
      </c>
      <c r="O2056" t="str">
        <f t="shared" si="320"/>
        <v>Low</v>
      </c>
      <c r="P2056" t="str">
        <f t="shared" si="321"/>
        <v>Low</v>
      </c>
      <c r="Q2056" t="str">
        <f t="shared" si="322"/>
        <v>Low</v>
      </c>
      <c r="R2056" t="s">
        <v>3317</v>
      </c>
      <c r="S2056" s="4">
        <f t="shared" ca="1" si="323"/>
        <v>1002</v>
      </c>
      <c r="T2056">
        <f t="shared" si="324"/>
        <v>1</v>
      </c>
      <c r="U2056">
        <f t="shared" si="325"/>
        <v>1</v>
      </c>
      <c r="V2056">
        <f t="shared" si="326"/>
        <v>1</v>
      </c>
      <c r="W2056">
        <f t="shared" si="327"/>
        <v>1</v>
      </c>
      <c r="X2056">
        <f t="shared" si="328"/>
        <v>0.99999999999999989</v>
      </c>
      <c r="Y2056" t="str">
        <f t="shared" si="329"/>
        <v>Healthy</v>
      </c>
    </row>
    <row r="2057" spans="1:25" x14ac:dyDescent="0.35">
      <c r="A2057" t="s">
        <v>20</v>
      </c>
      <c r="B2057" t="s">
        <v>21</v>
      </c>
      <c r="C2057" t="s">
        <v>313</v>
      </c>
      <c r="D2057" t="s">
        <v>884</v>
      </c>
      <c r="E2057">
        <v>80895610</v>
      </c>
      <c r="F2057" t="s">
        <v>1630</v>
      </c>
      <c r="G2057" s="3">
        <v>47217</v>
      </c>
      <c r="H2057">
        <v>36</v>
      </c>
      <c r="I2057">
        <v>95</v>
      </c>
      <c r="J2057">
        <v>686</v>
      </c>
      <c r="K2057" s="4">
        <v>32928</v>
      </c>
      <c r="L2057" s="4">
        <v>1807.4285714285713</v>
      </c>
      <c r="M2057" s="4">
        <v>0.37954473601011701</v>
      </c>
      <c r="N2057" t="s">
        <v>25</v>
      </c>
      <c r="O2057" t="str">
        <f t="shared" si="320"/>
        <v>Low</v>
      </c>
      <c r="P2057" t="str">
        <f t="shared" si="321"/>
        <v>Low</v>
      </c>
      <c r="Q2057" t="str">
        <f t="shared" si="322"/>
        <v>Low</v>
      </c>
      <c r="R2057" t="s">
        <v>3317</v>
      </c>
      <c r="S2057" s="4">
        <f t="shared" ca="1" si="323"/>
        <v>1020</v>
      </c>
      <c r="T2057">
        <f t="shared" si="324"/>
        <v>1</v>
      </c>
      <c r="U2057">
        <f t="shared" si="325"/>
        <v>1</v>
      </c>
      <c r="V2057">
        <f t="shared" si="326"/>
        <v>1</v>
      </c>
      <c r="W2057">
        <f t="shared" si="327"/>
        <v>1</v>
      </c>
      <c r="X2057">
        <f t="shared" si="328"/>
        <v>0.99999999999999989</v>
      </c>
      <c r="Y2057" t="str">
        <f t="shared" si="329"/>
        <v>Healthy</v>
      </c>
    </row>
    <row r="2058" spans="1:25" x14ac:dyDescent="0.35">
      <c r="A2058" t="s">
        <v>20</v>
      </c>
      <c r="B2058" t="s">
        <v>21</v>
      </c>
      <c r="C2058" t="s">
        <v>51</v>
      </c>
      <c r="D2058" t="s">
        <v>793</v>
      </c>
      <c r="E2058">
        <v>80895785</v>
      </c>
      <c r="F2058" t="s">
        <v>1631</v>
      </c>
      <c r="G2058" s="3">
        <v>47214</v>
      </c>
      <c r="H2058">
        <v>36</v>
      </c>
      <c r="I2058">
        <v>95</v>
      </c>
      <c r="J2058">
        <v>32</v>
      </c>
      <c r="K2058" s="4">
        <v>3584</v>
      </c>
      <c r="L2058" s="4">
        <v>682.71428571428567</v>
      </c>
      <c r="M2058" s="4">
        <v>4.6871730487549702E-2</v>
      </c>
      <c r="N2058" t="s">
        <v>25</v>
      </c>
      <c r="O2058" t="str">
        <f t="shared" si="320"/>
        <v>Low</v>
      </c>
      <c r="P2058" t="str">
        <f t="shared" si="321"/>
        <v>Low</v>
      </c>
      <c r="Q2058" t="str">
        <f t="shared" si="322"/>
        <v>Low</v>
      </c>
      <c r="R2058" t="s">
        <v>3317</v>
      </c>
      <c r="S2058" s="4">
        <f t="shared" ca="1" si="323"/>
        <v>1017</v>
      </c>
      <c r="T2058">
        <f t="shared" si="324"/>
        <v>1</v>
      </c>
      <c r="U2058">
        <f t="shared" si="325"/>
        <v>1</v>
      </c>
      <c r="V2058">
        <f t="shared" si="326"/>
        <v>1</v>
      </c>
      <c r="W2058">
        <f t="shared" si="327"/>
        <v>1</v>
      </c>
      <c r="X2058">
        <f t="shared" si="328"/>
        <v>0.99999999999999989</v>
      </c>
      <c r="Y2058" t="str">
        <f t="shared" si="329"/>
        <v>Healthy</v>
      </c>
    </row>
    <row r="2059" spans="1:25" x14ac:dyDescent="0.35">
      <c r="A2059" t="s">
        <v>20</v>
      </c>
      <c r="B2059" t="s">
        <v>21</v>
      </c>
      <c r="C2059" t="s">
        <v>51</v>
      </c>
      <c r="D2059" t="s">
        <v>793</v>
      </c>
      <c r="E2059">
        <v>80895785</v>
      </c>
      <c r="F2059" t="s">
        <v>1631</v>
      </c>
      <c r="G2059" s="3">
        <v>47216</v>
      </c>
      <c r="H2059">
        <v>36</v>
      </c>
      <c r="I2059">
        <v>95</v>
      </c>
      <c r="J2059">
        <v>21</v>
      </c>
      <c r="K2059" s="4">
        <v>2352</v>
      </c>
      <c r="L2059" s="4">
        <v>682.71428571428567</v>
      </c>
      <c r="M2059" s="4">
        <v>3.075957313245449E-2</v>
      </c>
      <c r="N2059" t="s">
        <v>25</v>
      </c>
      <c r="O2059" t="str">
        <f t="shared" si="320"/>
        <v>Low</v>
      </c>
      <c r="P2059" t="str">
        <f t="shared" si="321"/>
        <v>Low</v>
      </c>
      <c r="Q2059" t="str">
        <f t="shared" si="322"/>
        <v>Low</v>
      </c>
      <c r="R2059" t="s">
        <v>3317</v>
      </c>
      <c r="S2059" s="4">
        <f t="shared" ca="1" si="323"/>
        <v>1019</v>
      </c>
      <c r="T2059">
        <f t="shared" si="324"/>
        <v>1</v>
      </c>
      <c r="U2059">
        <f t="shared" si="325"/>
        <v>1</v>
      </c>
      <c r="V2059">
        <f t="shared" si="326"/>
        <v>1</v>
      </c>
      <c r="W2059">
        <f t="shared" si="327"/>
        <v>1</v>
      </c>
      <c r="X2059">
        <f t="shared" si="328"/>
        <v>0.99999999999999989</v>
      </c>
      <c r="Y2059" t="str">
        <f t="shared" si="329"/>
        <v>Healthy</v>
      </c>
    </row>
    <row r="2060" spans="1:25" x14ac:dyDescent="0.35">
      <c r="A2060" t="s">
        <v>20</v>
      </c>
      <c r="B2060" t="s">
        <v>21</v>
      </c>
      <c r="C2060" t="s">
        <v>51</v>
      </c>
      <c r="D2060" t="s">
        <v>793</v>
      </c>
      <c r="E2060">
        <v>80895785</v>
      </c>
      <c r="F2060" t="s">
        <v>1631</v>
      </c>
      <c r="G2060" s="3">
        <v>47229</v>
      </c>
      <c r="H2060">
        <v>36</v>
      </c>
      <c r="I2060">
        <v>96</v>
      </c>
      <c r="J2060">
        <v>31</v>
      </c>
      <c r="K2060" s="4">
        <v>3472</v>
      </c>
      <c r="L2060" s="4">
        <v>682.71428571428567</v>
      </c>
      <c r="M2060" s="4">
        <v>4.5406988909813775E-2</v>
      </c>
      <c r="N2060" t="s">
        <v>25</v>
      </c>
      <c r="O2060" t="str">
        <f t="shared" si="320"/>
        <v>Low</v>
      </c>
      <c r="P2060" t="str">
        <f t="shared" si="321"/>
        <v>Low</v>
      </c>
      <c r="Q2060" t="str">
        <f t="shared" si="322"/>
        <v>Low</v>
      </c>
      <c r="R2060" t="s">
        <v>3317</v>
      </c>
      <c r="S2060" s="4">
        <f t="shared" ca="1" si="323"/>
        <v>1032</v>
      </c>
      <c r="T2060">
        <f t="shared" si="324"/>
        <v>1</v>
      </c>
      <c r="U2060">
        <f t="shared" si="325"/>
        <v>1</v>
      </c>
      <c r="V2060">
        <f t="shared" si="326"/>
        <v>1</v>
      </c>
      <c r="W2060">
        <f t="shared" si="327"/>
        <v>1</v>
      </c>
      <c r="X2060">
        <f t="shared" si="328"/>
        <v>0.99999999999999989</v>
      </c>
      <c r="Y2060" t="str">
        <f t="shared" si="329"/>
        <v>Healthy</v>
      </c>
    </row>
    <row r="2061" spans="1:25" x14ac:dyDescent="0.35">
      <c r="A2061" t="s">
        <v>20</v>
      </c>
      <c r="B2061" t="s">
        <v>21</v>
      </c>
      <c r="C2061" t="s">
        <v>684</v>
      </c>
      <c r="D2061" t="s">
        <v>1632</v>
      </c>
      <c r="E2061">
        <v>80895611</v>
      </c>
      <c r="F2061" t="s">
        <v>1633</v>
      </c>
      <c r="G2061" s="3">
        <v>47178</v>
      </c>
      <c r="H2061">
        <v>36</v>
      </c>
      <c r="I2061">
        <v>91</v>
      </c>
      <c r="J2061">
        <v>31</v>
      </c>
      <c r="K2061" s="4">
        <v>2480</v>
      </c>
      <c r="L2061" s="4">
        <v>3110</v>
      </c>
      <c r="M2061" s="4">
        <v>9.9678456591639868E-3</v>
      </c>
      <c r="N2061" t="s">
        <v>25</v>
      </c>
      <c r="O2061" t="str">
        <f t="shared" si="320"/>
        <v>Low</v>
      </c>
      <c r="P2061" t="str">
        <f t="shared" si="321"/>
        <v>Low</v>
      </c>
      <c r="Q2061" t="str">
        <f t="shared" si="322"/>
        <v>Low</v>
      </c>
      <c r="R2061" t="s">
        <v>3317</v>
      </c>
      <c r="S2061" s="4">
        <f t="shared" ca="1" si="323"/>
        <v>981</v>
      </c>
      <c r="T2061">
        <f t="shared" si="324"/>
        <v>1</v>
      </c>
      <c r="U2061">
        <f t="shared" si="325"/>
        <v>1</v>
      </c>
      <c r="V2061">
        <f t="shared" si="326"/>
        <v>1</v>
      </c>
      <c r="W2061">
        <f t="shared" si="327"/>
        <v>1</v>
      </c>
      <c r="X2061">
        <f t="shared" si="328"/>
        <v>0.99999999999999989</v>
      </c>
      <c r="Y2061" t="str">
        <f t="shared" si="329"/>
        <v>Healthy</v>
      </c>
    </row>
    <row r="2062" spans="1:25" x14ac:dyDescent="0.35">
      <c r="A2062" t="s">
        <v>20</v>
      </c>
      <c r="B2062" t="s">
        <v>21</v>
      </c>
      <c r="C2062" t="s">
        <v>684</v>
      </c>
      <c r="D2062" t="s">
        <v>1632</v>
      </c>
      <c r="E2062">
        <v>80895611</v>
      </c>
      <c r="F2062" t="s">
        <v>1633</v>
      </c>
      <c r="G2062" s="3">
        <v>47169</v>
      </c>
      <c r="H2062">
        <v>36</v>
      </c>
      <c r="I2062">
        <v>90</v>
      </c>
      <c r="J2062">
        <v>31</v>
      </c>
      <c r="K2062" s="4">
        <v>2480</v>
      </c>
      <c r="L2062" s="4">
        <v>3110</v>
      </c>
      <c r="M2062" s="4">
        <v>9.9678456591639868E-3</v>
      </c>
      <c r="N2062" t="s">
        <v>25</v>
      </c>
      <c r="O2062" t="str">
        <f t="shared" si="320"/>
        <v>Low</v>
      </c>
      <c r="P2062" t="str">
        <f t="shared" si="321"/>
        <v>Low</v>
      </c>
      <c r="Q2062" t="str">
        <f t="shared" si="322"/>
        <v>Low</v>
      </c>
      <c r="R2062" t="s">
        <v>3317</v>
      </c>
      <c r="S2062" s="4">
        <f t="shared" ca="1" si="323"/>
        <v>972</v>
      </c>
      <c r="T2062">
        <f t="shared" si="324"/>
        <v>1</v>
      </c>
      <c r="U2062">
        <f t="shared" si="325"/>
        <v>1</v>
      </c>
      <c r="V2062">
        <f t="shared" si="326"/>
        <v>1</v>
      </c>
      <c r="W2062">
        <f t="shared" si="327"/>
        <v>1</v>
      </c>
      <c r="X2062">
        <f t="shared" si="328"/>
        <v>0.99999999999999989</v>
      </c>
      <c r="Y2062" t="str">
        <f t="shared" si="329"/>
        <v>Healthy</v>
      </c>
    </row>
    <row r="2063" spans="1:25" x14ac:dyDescent="0.35">
      <c r="A2063" t="s">
        <v>20</v>
      </c>
      <c r="B2063" t="s">
        <v>21</v>
      </c>
      <c r="C2063" t="s">
        <v>684</v>
      </c>
      <c r="D2063" t="s">
        <v>1632</v>
      </c>
      <c r="E2063">
        <v>80895611</v>
      </c>
      <c r="F2063" t="s">
        <v>1633</v>
      </c>
      <c r="G2063" s="3">
        <v>47201</v>
      </c>
      <c r="H2063">
        <v>36</v>
      </c>
      <c r="I2063">
        <v>93</v>
      </c>
      <c r="J2063">
        <v>42</v>
      </c>
      <c r="K2063" s="4">
        <v>3360</v>
      </c>
      <c r="L2063" s="4">
        <v>3110</v>
      </c>
      <c r="M2063" s="4">
        <v>1.3504823151125401E-2</v>
      </c>
      <c r="N2063" t="s">
        <v>25</v>
      </c>
      <c r="O2063" t="str">
        <f t="shared" si="320"/>
        <v>Low</v>
      </c>
      <c r="P2063" t="str">
        <f t="shared" si="321"/>
        <v>Low</v>
      </c>
      <c r="Q2063" t="str">
        <f t="shared" si="322"/>
        <v>Low</v>
      </c>
      <c r="R2063" t="s">
        <v>3317</v>
      </c>
      <c r="S2063" s="4">
        <f t="shared" ca="1" si="323"/>
        <v>1004</v>
      </c>
      <c r="T2063">
        <f t="shared" si="324"/>
        <v>1</v>
      </c>
      <c r="U2063">
        <f t="shared" si="325"/>
        <v>1</v>
      </c>
      <c r="V2063">
        <f t="shared" si="326"/>
        <v>1</v>
      </c>
      <c r="W2063">
        <f t="shared" si="327"/>
        <v>1</v>
      </c>
      <c r="X2063">
        <f t="shared" si="328"/>
        <v>0.99999999999999989</v>
      </c>
      <c r="Y2063" t="str">
        <f t="shared" si="329"/>
        <v>Healthy</v>
      </c>
    </row>
    <row r="2064" spans="1:25" x14ac:dyDescent="0.35">
      <c r="A2064" t="s">
        <v>20</v>
      </c>
      <c r="B2064" t="s">
        <v>21</v>
      </c>
      <c r="C2064" t="s">
        <v>684</v>
      </c>
      <c r="D2064" t="s">
        <v>1632</v>
      </c>
      <c r="E2064">
        <v>80895611</v>
      </c>
      <c r="F2064" t="s">
        <v>1633</v>
      </c>
      <c r="G2064" s="3">
        <v>47211</v>
      </c>
      <c r="H2064">
        <v>36</v>
      </c>
      <c r="I2064">
        <v>94</v>
      </c>
      <c r="J2064">
        <v>45</v>
      </c>
      <c r="K2064" s="4">
        <v>3600</v>
      </c>
      <c r="L2064" s="4">
        <v>3110</v>
      </c>
      <c r="M2064" s="4">
        <v>1.4469453376205787E-2</v>
      </c>
      <c r="N2064" t="s">
        <v>25</v>
      </c>
      <c r="O2064" t="str">
        <f t="shared" si="320"/>
        <v>Low</v>
      </c>
      <c r="P2064" t="str">
        <f t="shared" si="321"/>
        <v>Low</v>
      </c>
      <c r="Q2064" t="str">
        <f t="shared" si="322"/>
        <v>Low</v>
      </c>
      <c r="R2064" t="s">
        <v>3317</v>
      </c>
      <c r="S2064" s="4">
        <f t="shared" ca="1" si="323"/>
        <v>1014</v>
      </c>
      <c r="T2064">
        <f t="shared" si="324"/>
        <v>1</v>
      </c>
      <c r="U2064">
        <f t="shared" si="325"/>
        <v>1</v>
      </c>
      <c r="V2064">
        <f t="shared" si="326"/>
        <v>1</v>
      </c>
      <c r="W2064">
        <f t="shared" si="327"/>
        <v>1</v>
      </c>
      <c r="X2064">
        <f t="shared" si="328"/>
        <v>0.99999999999999989</v>
      </c>
      <c r="Y2064" t="str">
        <f t="shared" si="329"/>
        <v>Healthy</v>
      </c>
    </row>
    <row r="2065" spans="1:25" x14ac:dyDescent="0.35">
      <c r="A2065" t="s">
        <v>20</v>
      </c>
      <c r="B2065" t="s">
        <v>21</v>
      </c>
      <c r="C2065" t="s">
        <v>684</v>
      </c>
      <c r="D2065" t="s">
        <v>1632</v>
      </c>
      <c r="E2065">
        <v>80895611</v>
      </c>
      <c r="F2065" t="s">
        <v>1633</v>
      </c>
      <c r="G2065" s="3">
        <v>47179</v>
      </c>
      <c r="H2065">
        <v>36</v>
      </c>
      <c r="I2065">
        <v>91</v>
      </c>
      <c r="J2065">
        <v>43</v>
      </c>
      <c r="K2065" s="4">
        <v>3440</v>
      </c>
      <c r="L2065" s="4">
        <v>3110</v>
      </c>
      <c r="M2065" s="4">
        <v>1.382636655948553E-2</v>
      </c>
      <c r="N2065" t="s">
        <v>25</v>
      </c>
      <c r="O2065" t="str">
        <f t="shared" si="320"/>
        <v>Low</v>
      </c>
      <c r="P2065" t="str">
        <f t="shared" si="321"/>
        <v>Low</v>
      </c>
      <c r="Q2065" t="str">
        <f t="shared" si="322"/>
        <v>Low</v>
      </c>
      <c r="R2065" t="s">
        <v>3317</v>
      </c>
      <c r="S2065" s="4">
        <f t="shared" ca="1" si="323"/>
        <v>982</v>
      </c>
      <c r="T2065">
        <f t="shared" si="324"/>
        <v>1</v>
      </c>
      <c r="U2065">
        <f t="shared" si="325"/>
        <v>1</v>
      </c>
      <c r="V2065">
        <f t="shared" si="326"/>
        <v>1</v>
      </c>
      <c r="W2065">
        <f t="shared" si="327"/>
        <v>1</v>
      </c>
      <c r="X2065">
        <f t="shared" si="328"/>
        <v>0.99999999999999989</v>
      </c>
      <c r="Y2065" t="str">
        <f t="shared" si="329"/>
        <v>Healthy</v>
      </c>
    </row>
    <row r="2066" spans="1:25" x14ac:dyDescent="0.35">
      <c r="A2066" t="s">
        <v>20</v>
      </c>
      <c r="B2066" t="s">
        <v>21</v>
      </c>
      <c r="C2066" t="s">
        <v>51</v>
      </c>
      <c r="D2066" t="s">
        <v>819</v>
      </c>
      <c r="E2066">
        <v>80895786</v>
      </c>
      <c r="F2066" t="s">
        <v>1634</v>
      </c>
      <c r="G2066" s="3">
        <v>47220</v>
      </c>
      <c r="H2066">
        <v>36</v>
      </c>
      <c r="I2066">
        <v>95</v>
      </c>
      <c r="J2066">
        <v>4</v>
      </c>
      <c r="K2066" s="4">
        <v>448</v>
      </c>
      <c r="L2066" s="4">
        <v>2776.4285714285716</v>
      </c>
      <c r="M2066" s="4">
        <v>1.4406997684589657E-3</v>
      </c>
      <c r="N2066" t="s">
        <v>25</v>
      </c>
      <c r="O2066" t="str">
        <f t="shared" si="320"/>
        <v>Low</v>
      </c>
      <c r="P2066" t="str">
        <f t="shared" si="321"/>
        <v>Low</v>
      </c>
      <c r="Q2066" t="str">
        <f t="shared" si="322"/>
        <v>Low</v>
      </c>
      <c r="R2066" t="s">
        <v>3317</v>
      </c>
      <c r="S2066" s="4">
        <f t="shared" ca="1" si="323"/>
        <v>1023</v>
      </c>
      <c r="T2066">
        <f t="shared" si="324"/>
        <v>1</v>
      </c>
      <c r="U2066">
        <f t="shared" si="325"/>
        <v>1</v>
      </c>
      <c r="V2066">
        <f t="shared" si="326"/>
        <v>1</v>
      </c>
      <c r="W2066">
        <f t="shared" si="327"/>
        <v>1</v>
      </c>
      <c r="X2066">
        <f t="shared" si="328"/>
        <v>0.99999999999999989</v>
      </c>
      <c r="Y2066" t="str">
        <f t="shared" si="329"/>
        <v>Healthy</v>
      </c>
    </row>
    <row r="2067" spans="1:25" x14ac:dyDescent="0.35">
      <c r="A2067" t="s">
        <v>20</v>
      </c>
      <c r="B2067" t="s">
        <v>21</v>
      </c>
      <c r="C2067" t="s">
        <v>1635</v>
      </c>
      <c r="D2067" t="s">
        <v>1636</v>
      </c>
      <c r="E2067">
        <v>80895612</v>
      </c>
      <c r="F2067" t="s">
        <v>1637</v>
      </c>
      <c r="G2067" s="3">
        <v>47060</v>
      </c>
      <c r="H2067">
        <v>36</v>
      </c>
      <c r="I2067">
        <v>80</v>
      </c>
      <c r="J2067">
        <v>90</v>
      </c>
      <c r="K2067" s="4">
        <v>1872</v>
      </c>
      <c r="L2067" s="4">
        <v>4072.5714285714284</v>
      </c>
      <c r="M2067" s="4">
        <v>2.2099059913006876E-2</v>
      </c>
      <c r="N2067" t="s">
        <v>25</v>
      </c>
      <c r="O2067" t="str">
        <f t="shared" si="320"/>
        <v>Low</v>
      </c>
      <c r="P2067" t="str">
        <f t="shared" si="321"/>
        <v>Low</v>
      </c>
      <c r="Q2067" t="str">
        <f t="shared" si="322"/>
        <v>Low</v>
      </c>
      <c r="R2067" t="s">
        <v>3317</v>
      </c>
      <c r="S2067" s="4">
        <f t="shared" ca="1" si="323"/>
        <v>863</v>
      </c>
      <c r="T2067">
        <f t="shared" si="324"/>
        <v>1</v>
      </c>
      <c r="U2067">
        <f t="shared" si="325"/>
        <v>1</v>
      </c>
      <c r="V2067">
        <f t="shared" si="326"/>
        <v>1</v>
      </c>
      <c r="W2067">
        <f t="shared" si="327"/>
        <v>1</v>
      </c>
      <c r="X2067">
        <f t="shared" si="328"/>
        <v>0.99999999999999989</v>
      </c>
      <c r="Y2067" t="str">
        <f t="shared" si="329"/>
        <v>Healthy</v>
      </c>
    </row>
    <row r="2068" spans="1:25" x14ac:dyDescent="0.35">
      <c r="A2068" t="s">
        <v>20</v>
      </c>
      <c r="B2068" t="s">
        <v>21</v>
      </c>
      <c r="C2068" t="s">
        <v>770</v>
      </c>
      <c r="D2068" t="s">
        <v>775</v>
      </c>
      <c r="E2068">
        <v>80895787</v>
      </c>
      <c r="F2068" t="s">
        <v>1638</v>
      </c>
      <c r="G2068" s="3">
        <v>47233</v>
      </c>
      <c r="H2068">
        <v>36</v>
      </c>
      <c r="I2068">
        <v>96</v>
      </c>
      <c r="J2068">
        <v>10</v>
      </c>
      <c r="K2068" s="4">
        <v>880</v>
      </c>
      <c r="L2068" s="4">
        <v>13107.142857142857</v>
      </c>
      <c r="M2068" s="4">
        <v>7.6294277929155312E-4</v>
      </c>
      <c r="N2068" t="s">
        <v>25</v>
      </c>
      <c r="O2068" t="str">
        <f t="shared" si="320"/>
        <v>Low</v>
      </c>
      <c r="P2068" t="str">
        <f t="shared" si="321"/>
        <v>Low</v>
      </c>
      <c r="Q2068" t="str">
        <f t="shared" si="322"/>
        <v>Low</v>
      </c>
      <c r="R2068" t="s">
        <v>3317</v>
      </c>
      <c r="S2068" s="4">
        <f t="shared" ca="1" si="323"/>
        <v>1036</v>
      </c>
      <c r="T2068">
        <f t="shared" si="324"/>
        <v>1</v>
      </c>
      <c r="U2068">
        <f t="shared" si="325"/>
        <v>1</v>
      </c>
      <c r="V2068">
        <f t="shared" si="326"/>
        <v>1</v>
      </c>
      <c r="W2068">
        <f t="shared" si="327"/>
        <v>1</v>
      </c>
      <c r="X2068">
        <f t="shared" si="328"/>
        <v>0.99999999999999989</v>
      </c>
      <c r="Y2068" t="str">
        <f t="shared" si="329"/>
        <v>Healthy</v>
      </c>
    </row>
    <row r="2069" spans="1:25" x14ac:dyDescent="0.35">
      <c r="A2069" t="s">
        <v>71</v>
      </c>
      <c r="B2069" t="s">
        <v>72</v>
      </c>
      <c r="C2069" t="s">
        <v>174</v>
      </c>
      <c r="D2069" t="s">
        <v>1639</v>
      </c>
      <c r="E2069">
        <v>82327024</v>
      </c>
      <c r="F2069" t="s">
        <v>1640</v>
      </c>
      <c r="G2069" s="3">
        <v>47020</v>
      </c>
      <c r="H2069">
        <v>36</v>
      </c>
      <c r="I2069">
        <v>77</v>
      </c>
      <c r="J2069">
        <v>12</v>
      </c>
      <c r="K2069" s="4">
        <v>3005.16</v>
      </c>
      <c r="L2069" s="4">
        <v>0.14285714285714285</v>
      </c>
      <c r="M2069" s="4">
        <v>84</v>
      </c>
      <c r="N2069" t="s">
        <v>19</v>
      </c>
      <c r="O2069" t="str">
        <f t="shared" si="320"/>
        <v>Low</v>
      </c>
      <c r="P2069" t="str">
        <f t="shared" si="321"/>
        <v>High</v>
      </c>
      <c r="Q2069" t="str">
        <f t="shared" si="322"/>
        <v>High</v>
      </c>
      <c r="R2069" t="s">
        <v>3317</v>
      </c>
      <c r="S2069" s="4">
        <f t="shared" ca="1" si="323"/>
        <v>823</v>
      </c>
      <c r="T2069">
        <f t="shared" si="324"/>
        <v>1</v>
      </c>
      <c r="U2069">
        <f t="shared" si="325"/>
        <v>3</v>
      </c>
      <c r="V2069">
        <f t="shared" si="326"/>
        <v>3</v>
      </c>
      <c r="W2069">
        <f t="shared" si="327"/>
        <v>1</v>
      </c>
      <c r="X2069">
        <f t="shared" si="328"/>
        <v>2</v>
      </c>
      <c r="Y2069" t="str">
        <f t="shared" si="329"/>
        <v>Monitor</v>
      </c>
    </row>
    <row r="2070" spans="1:25" x14ac:dyDescent="0.35">
      <c r="A2070" t="s">
        <v>20</v>
      </c>
      <c r="B2070" t="s">
        <v>21</v>
      </c>
      <c r="C2070" t="s">
        <v>770</v>
      </c>
      <c r="D2070" t="s">
        <v>771</v>
      </c>
      <c r="E2070">
        <v>80895789</v>
      </c>
      <c r="F2070" t="s">
        <v>1641</v>
      </c>
      <c r="G2070" s="3">
        <v>47149</v>
      </c>
      <c r="H2070">
        <v>36</v>
      </c>
      <c r="I2070">
        <v>89</v>
      </c>
      <c r="J2070">
        <v>28</v>
      </c>
      <c r="K2070" s="4">
        <v>7296</v>
      </c>
      <c r="L2070" s="4">
        <v>1118.8571428571429</v>
      </c>
      <c r="M2070" s="4">
        <v>2.5025536261491316E-2</v>
      </c>
      <c r="N2070" t="s">
        <v>25</v>
      </c>
      <c r="O2070" t="str">
        <f t="shared" si="320"/>
        <v>Low</v>
      </c>
      <c r="P2070" t="str">
        <f t="shared" si="321"/>
        <v>Low</v>
      </c>
      <c r="Q2070" t="str">
        <f t="shared" si="322"/>
        <v>Low</v>
      </c>
      <c r="R2070" t="s">
        <v>3317</v>
      </c>
      <c r="S2070" s="4">
        <f t="shared" ca="1" si="323"/>
        <v>952</v>
      </c>
      <c r="T2070">
        <f t="shared" si="324"/>
        <v>1</v>
      </c>
      <c r="U2070">
        <f t="shared" si="325"/>
        <v>1</v>
      </c>
      <c r="V2070">
        <f t="shared" si="326"/>
        <v>1</v>
      </c>
      <c r="W2070">
        <f t="shared" si="327"/>
        <v>1</v>
      </c>
      <c r="X2070">
        <f t="shared" si="328"/>
        <v>0.99999999999999989</v>
      </c>
      <c r="Y2070" t="str">
        <f t="shared" si="329"/>
        <v>Healthy</v>
      </c>
    </row>
    <row r="2071" spans="1:25" x14ac:dyDescent="0.35">
      <c r="A2071" t="s">
        <v>189</v>
      </c>
      <c r="B2071" t="s">
        <v>190</v>
      </c>
      <c r="C2071" t="s">
        <v>190</v>
      </c>
      <c r="D2071" t="s">
        <v>191</v>
      </c>
      <c r="E2071">
        <v>80895636</v>
      </c>
      <c r="F2071" t="s">
        <v>1642</v>
      </c>
      <c r="G2071" s="3">
        <v>46479</v>
      </c>
      <c r="H2071">
        <v>18</v>
      </c>
      <c r="I2071">
        <v>53</v>
      </c>
      <c r="J2071">
        <v>8460</v>
      </c>
      <c r="K2071" s="4">
        <v>155833.20000000001</v>
      </c>
      <c r="L2071" s="4">
        <v>22434.714285714286</v>
      </c>
      <c r="M2071" s="4">
        <v>0.37709417165999121</v>
      </c>
      <c r="N2071" t="s">
        <v>25</v>
      </c>
      <c r="O2071" t="str">
        <f t="shared" si="320"/>
        <v>Low</v>
      </c>
      <c r="P2071" t="str">
        <f t="shared" si="321"/>
        <v>Low</v>
      </c>
      <c r="Q2071" t="str">
        <f t="shared" si="322"/>
        <v>Low</v>
      </c>
      <c r="R2071" t="s">
        <v>3309</v>
      </c>
      <c r="S2071" s="4">
        <f t="shared" ca="1" si="323"/>
        <v>282</v>
      </c>
      <c r="T2071">
        <f t="shared" si="324"/>
        <v>1</v>
      </c>
      <c r="U2071">
        <f t="shared" si="325"/>
        <v>1</v>
      </c>
      <c r="V2071">
        <f t="shared" si="326"/>
        <v>1</v>
      </c>
      <c r="W2071">
        <f t="shared" si="327"/>
        <v>3</v>
      </c>
      <c r="X2071">
        <f t="shared" si="328"/>
        <v>1.2</v>
      </c>
      <c r="Y2071" t="str">
        <f t="shared" si="329"/>
        <v>Healthy</v>
      </c>
    </row>
    <row r="2072" spans="1:25" x14ac:dyDescent="0.35">
      <c r="A2072" t="s">
        <v>71</v>
      </c>
      <c r="B2072" t="s">
        <v>72</v>
      </c>
      <c r="C2072" t="s">
        <v>174</v>
      </c>
      <c r="D2072" t="s">
        <v>1639</v>
      </c>
      <c r="E2072">
        <v>82327024</v>
      </c>
      <c r="F2072" t="s">
        <v>1640</v>
      </c>
      <c r="G2072" s="3">
        <v>46355</v>
      </c>
      <c r="H2072">
        <v>36</v>
      </c>
      <c r="I2072">
        <v>15</v>
      </c>
      <c r="J2072">
        <v>6</v>
      </c>
      <c r="K2072" s="4">
        <v>1502.58</v>
      </c>
      <c r="L2072" s="4">
        <v>0.14285714285714285</v>
      </c>
      <c r="M2072" s="4">
        <v>42</v>
      </c>
      <c r="N2072" t="s">
        <v>19</v>
      </c>
      <c r="O2072" t="str">
        <f t="shared" si="320"/>
        <v>High</v>
      </c>
      <c r="P2072" t="str">
        <f t="shared" si="321"/>
        <v>High</v>
      </c>
      <c r="Q2072" t="str">
        <f t="shared" si="322"/>
        <v>High</v>
      </c>
      <c r="R2072" t="s">
        <v>3317</v>
      </c>
      <c r="S2072" s="4">
        <f t="shared" ca="1" si="323"/>
        <v>158</v>
      </c>
      <c r="T2072">
        <f t="shared" si="324"/>
        <v>3</v>
      </c>
      <c r="U2072">
        <f t="shared" si="325"/>
        <v>3</v>
      </c>
      <c r="V2072">
        <f t="shared" si="326"/>
        <v>3</v>
      </c>
      <c r="W2072">
        <f t="shared" si="327"/>
        <v>1</v>
      </c>
      <c r="X2072">
        <f t="shared" si="328"/>
        <v>2.8000000000000003</v>
      </c>
      <c r="Y2072" t="str">
        <f t="shared" si="329"/>
        <v>Move Immediately</v>
      </c>
    </row>
    <row r="2073" spans="1:25" x14ac:dyDescent="0.35">
      <c r="A2073" t="s">
        <v>71</v>
      </c>
      <c r="B2073" t="s">
        <v>72</v>
      </c>
      <c r="C2073" t="s">
        <v>174</v>
      </c>
      <c r="D2073" t="s">
        <v>1639</v>
      </c>
      <c r="E2073">
        <v>82327024</v>
      </c>
      <c r="F2073" t="s">
        <v>1640</v>
      </c>
      <c r="G2073" s="3">
        <v>46045</v>
      </c>
      <c r="H2073">
        <v>36</v>
      </c>
      <c r="I2073">
        <v>0</v>
      </c>
      <c r="J2073">
        <v>4</v>
      </c>
      <c r="K2073" s="4">
        <v>1001.72</v>
      </c>
      <c r="L2073" s="4">
        <v>0.14285714285714285</v>
      </c>
      <c r="M2073" s="4">
        <v>28</v>
      </c>
      <c r="N2073" t="s">
        <v>19</v>
      </c>
      <c r="O2073" t="str">
        <f t="shared" si="320"/>
        <v>High</v>
      </c>
      <c r="P2073" t="str">
        <f t="shared" si="321"/>
        <v>High</v>
      </c>
      <c r="Q2073" t="str">
        <f t="shared" si="322"/>
        <v>High</v>
      </c>
      <c r="R2073" t="s">
        <v>3317</v>
      </c>
      <c r="S2073" s="4">
        <f t="shared" ca="1" si="323"/>
        <v>-152</v>
      </c>
      <c r="T2073">
        <f t="shared" si="324"/>
        <v>3</v>
      </c>
      <c r="U2073">
        <f t="shared" si="325"/>
        <v>3</v>
      </c>
      <c r="V2073">
        <f t="shared" si="326"/>
        <v>3</v>
      </c>
      <c r="W2073">
        <f t="shared" si="327"/>
        <v>1</v>
      </c>
      <c r="X2073">
        <f t="shared" si="328"/>
        <v>2.8000000000000003</v>
      </c>
      <c r="Y2073" t="str">
        <f t="shared" si="329"/>
        <v>Move Immediately</v>
      </c>
    </row>
    <row r="2074" spans="1:25" x14ac:dyDescent="0.35">
      <c r="A2074" t="s">
        <v>189</v>
      </c>
      <c r="B2074" t="s">
        <v>190</v>
      </c>
      <c r="C2074" t="s">
        <v>190</v>
      </c>
      <c r="D2074" t="s">
        <v>191</v>
      </c>
      <c r="E2074">
        <v>80895636</v>
      </c>
      <c r="F2074" t="s">
        <v>1642</v>
      </c>
      <c r="G2074" s="3">
        <v>46548</v>
      </c>
      <c r="H2074">
        <v>18</v>
      </c>
      <c r="I2074">
        <v>66</v>
      </c>
      <c r="J2074">
        <v>924</v>
      </c>
      <c r="K2074" s="4">
        <v>17020.080000000002</v>
      </c>
      <c r="L2074" s="4">
        <v>22434.714285714286</v>
      </c>
      <c r="M2074" s="4">
        <v>4.1186171940169249E-2</v>
      </c>
      <c r="N2074" t="s">
        <v>25</v>
      </c>
      <c r="O2074" t="str">
        <f t="shared" si="320"/>
        <v>Low</v>
      </c>
      <c r="P2074" t="str">
        <f t="shared" si="321"/>
        <v>Low</v>
      </c>
      <c r="Q2074" t="str">
        <f t="shared" si="322"/>
        <v>Low</v>
      </c>
      <c r="R2074" t="s">
        <v>3317</v>
      </c>
      <c r="S2074" s="4">
        <f t="shared" ca="1" si="323"/>
        <v>351</v>
      </c>
      <c r="T2074">
        <f t="shared" si="324"/>
        <v>1</v>
      </c>
      <c r="U2074">
        <f t="shared" si="325"/>
        <v>1</v>
      </c>
      <c r="V2074">
        <f t="shared" si="326"/>
        <v>1</v>
      </c>
      <c r="W2074">
        <f t="shared" si="327"/>
        <v>1</v>
      </c>
      <c r="X2074">
        <f t="shared" si="328"/>
        <v>0.99999999999999989</v>
      </c>
      <c r="Y2074" t="str">
        <f t="shared" si="329"/>
        <v>Healthy</v>
      </c>
    </row>
    <row r="2075" spans="1:25" x14ac:dyDescent="0.35">
      <c r="A2075" t="s">
        <v>189</v>
      </c>
      <c r="B2075" t="s">
        <v>190</v>
      </c>
      <c r="C2075" t="s">
        <v>190</v>
      </c>
      <c r="D2075" t="s">
        <v>191</v>
      </c>
      <c r="E2075">
        <v>80895636</v>
      </c>
      <c r="F2075" t="s">
        <v>1642</v>
      </c>
      <c r="G2075" s="3">
        <v>46567</v>
      </c>
      <c r="H2075">
        <v>18</v>
      </c>
      <c r="I2075">
        <v>69</v>
      </c>
      <c r="J2075">
        <v>18220</v>
      </c>
      <c r="K2075" s="4">
        <v>335612.4</v>
      </c>
      <c r="L2075" s="4">
        <v>22434.714285714286</v>
      </c>
      <c r="M2075" s="4">
        <v>0.81213425622281799</v>
      </c>
      <c r="N2075" t="s">
        <v>25</v>
      </c>
      <c r="O2075" t="str">
        <f t="shared" si="320"/>
        <v>Low</v>
      </c>
      <c r="P2075" t="str">
        <f t="shared" si="321"/>
        <v>Low</v>
      </c>
      <c r="Q2075" t="str">
        <f t="shared" si="322"/>
        <v>Low</v>
      </c>
      <c r="R2075" t="s">
        <v>3309</v>
      </c>
      <c r="S2075" s="4">
        <f t="shared" ca="1" si="323"/>
        <v>370</v>
      </c>
      <c r="T2075">
        <f t="shared" si="324"/>
        <v>1</v>
      </c>
      <c r="U2075">
        <f t="shared" si="325"/>
        <v>1</v>
      </c>
      <c r="V2075">
        <f t="shared" si="326"/>
        <v>1</v>
      </c>
      <c r="W2075">
        <f t="shared" si="327"/>
        <v>3</v>
      </c>
      <c r="X2075">
        <f t="shared" si="328"/>
        <v>1.2</v>
      </c>
      <c r="Y2075" t="str">
        <f t="shared" si="329"/>
        <v>Healthy</v>
      </c>
    </row>
    <row r="2076" spans="1:25" x14ac:dyDescent="0.35">
      <c r="A2076" t="s">
        <v>20</v>
      </c>
      <c r="B2076" t="s">
        <v>21</v>
      </c>
      <c r="C2076" t="s">
        <v>133</v>
      </c>
      <c r="D2076" t="s">
        <v>1643</v>
      </c>
      <c r="E2076">
        <v>82331795</v>
      </c>
      <c r="F2076" t="s">
        <v>1644</v>
      </c>
      <c r="G2076" s="3">
        <v>46066</v>
      </c>
      <c r="H2076">
        <v>36</v>
      </c>
      <c r="I2076">
        <v>0</v>
      </c>
      <c r="J2076">
        <v>1</v>
      </c>
      <c r="K2076" s="4">
        <v>13240.13</v>
      </c>
      <c r="L2076" s="4">
        <v>0.42857142857142855</v>
      </c>
      <c r="M2076" s="4">
        <v>2.3333333333333335</v>
      </c>
      <c r="N2076" t="s">
        <v>25</v>
      </c>
      <c r="O2076" t="str">
        <f t="shared" si="320"/>
        <v>High</v>
      </c>
      <c r="P2076" t="str">
        <f t="shared" si="321"/>
        <v>Low</v>
      </c>
      <c r="Q2076" t="str">
        <f t="shared" si="322"/>
        <v>High</v>
      </c>
      <c r="R2076" t="s">
        <v>3317</v>
      </c>
      <c r="S2076" s="4">
        <f t="shared" ca="1" si="323"/>
        <v>-131</v>
      </c>
      <c r="T2076">
        <f t="shared" si="324"/>
        <v>3</v>
      </c>
      <c r="U2076">
        <f t="shared" si="325"/>
        <v>1</v>
      </c>
      <c r="V2076">
        <f t="shared" si="326"/>
        <v>3</v>
      </c>
      <c r="W2076">
        <f t="shared" si="327"/>
        <v>1</v>
      </c>
      <c r="X2076">
        <f t="shared" si="328"/>
        <v>2.2000000000000006</v>
      </c>
      <c r="Y2076" t="str">
        <f t="shared" si="329"/>
        <v>High Priority</v>
      </c>
    </row>
    <row r="2077" spans="1:25" x14ac:dyDescent="0.35">
      <c r="A2077" t="s">
        <v>20</v>
      </c>
      <c r="B2077" t="s">
        <v>21</v>
      </c>
      <c r="C2077" t="s">
        <v>133</v>
      </c>
      <c r="D2077" t="s">
        <v>1643</v>
      </c>
      <c r="E2077">
        <v>82331795</v>
      </c>
      <c r="F2077" t="s">
        <v>1644</v>
      </c>
      <c r="G2077" s="3">
        <v>45997</v>
      </c>
      <c r="H2077">
        <v>36</v>
      </c>
      <c r="I2077">
        <v>0</v>
      </c>
      <c r="J2077">
        <v>3</v>
      </c>
      <c r="K2077" s="4">
        <v>39720.39</v>
      </c>
      <c r="L2077" s="4">
        <v>0.42857142857142855</v>
      </c>
      <c r="M2077" s="4">
        <v>7</v>
      </c>
      <c r="N2077" t="s">
        <v>19</v>
      </c>
      <c r="O2077" t="str">
        <f t="shared" si="320"/>
        <v>High</v>
      </c>
      <c r="P2077" t="str">
        <f t="shared" si="321"/>
        <v>Medium</v>
      </c>
      <c r="Q2077" t="str">
        <f t="shared" si="322"/>
        <v>High</v>
      </c>
      <c r="R2077" t="s">
        <v>3317</v>
      </c>
      <c r="S2077" s="4">
        <f t="shared" ca="1" si="323"/>
        <v>-200</v>
      </c>
      <c r="T2077">
        <f t="shared" si="324"/>
        <v>3</v>
      </c>
      <c r="U2077">
        <f t="shared" si="325"/>
        <v>2</v>
      </c>
      <c r="V2077">
        <f t="shared" si="326"/>
        <v>3</v>
      </c>
      <c r="W2077">
        <f t="shared" si="327"/>
        <v>1</v>
      </c>
      <c r="X2077">
        <f t="shared" si="328"/>
        <v>2.5000000000000004</v>
      </c>
      <c r="Y2077" t="str">
        <f t="shared" si="329"/>
        <v>High Priority</v>
      </c>
    </row>
    <row r="2078" spans="1:25" x14ac:dyDescent="0.35">
      <c r="A2078" t="s">
        <v>20</v>
      </c>
      <c r="B2078" t="s">
        <v>21</v>
      </c>
      <c r="C2078" t="s">
        <v>133</v>
      </c>
      <c r="D2078" t="s">
        <v>1643</v>
      </c>
      <c r="E2078">
        <v>82331795</v>
      </c>
      <c r="F2078" t="s">
        <v>1644</v>
      </c>
      <c r="G2078" s="3">
        <v>46316</v>
      </c>
      <c r="H2078">
        <v>36</v>
      </c>
      <c r="I2078">
        <v>11</v>
      </c>
      <c r="J2078">
        <v>6</v>
      </c>
      <c r="K2078" s="4">
        <v>79440.78</v>
      </c>
      <c r="L2078" s="4">
        <v>0.42857142857142855</v>
      </c>
      <c r="M2078" s="4">
        <v>14</v>
      </c>
      <c r="N2078" t="s">
        <v>19</v>
      </c>
      <c r="O2078" t="str">
        <f t="shared" si="320"/>
        <v>High</v>
      </c>
      <c r="P2078" t="str">
        <f t="shared" si="321"/>
        <v>High</v>
      </c>
      <c r="Q2078" t="str">
        <f t="shared" si="322"/>
        <v>High</v>
      </c>
      <c r="R2078" t="s">
        <v>3310</v>
      </c>
      <c r="S2078" s="4">
        <f t="shared" ca="1" si="323"/>
        <v>119</v>
      </c>
      <c r="T2078">
        <f t="shared" si="324"/>
        <v>3</v>
      </c>
      <c r="U2078">
        <f t="shared" si="325"/>
        <v>3</v>
      </c>
      <c r="V2078">
        <f t="shared" si="326"/>
        <v>3</v>
      </c>
      <c r="W2078">
        <f t="shared" si="327"/>
        <v>2</v>
      </c>
      <c r="X2078">
        <f t="shared" si="328"/>
        <v>2.9000000000000004</v>
      </c>
      <c r="Y2078" t="str">
        <f t="shared" si="329"/>
        <v>Move Immediately</v>
      </c>
    </row>
    <row r="2079" spans="1:25" x14ac:dyDescent="0.35">
      <c r="A2079" t="s">
        <v>20</v>
      </c>
      <c r="B2079" t="s">
        <v>21</v>
      </c>
      <c r="C2079" t="s">
        <v>214</v>
      </c>
      <c r="D2079" t="s">
        <v>783</v>
      </c>
      <c r="E2079">
        <v>80895791</v>
      </c>
      <c r="F2079" t="s">
        <v>1645</v>
      </c>
      <c r="G2079" s="3">
        <v>47200</v>
      </c>
      <c r="H2079">
        <v>36</v>
      </c>
      <c r="I2079">
        <v>93</v>
      </c>
      <c r="J2079">
        <v>607</v>
      </c>
      <c r="K2079" s="4">
        <v>58272</v>
      </c>
      <c r="L2079" s="4">
        <v>31760.142857142859</v>
      </c>
      <c r="M2079" s="4">
        <v>1.911200471390467E-2</v>
      </c>
      <c r="N2079" t="s">
        <v>25</v>
      </c>
      <c r="O2079" t="str">
        <f t="shared" si="320"/>
        <v>Low</v>
      </c>
      <c r="P2079" t="str">
        <f t="shared" si="321"/>
        <v>Low</v>
      </c>
      <c r="Q2079" t="str">
        <f t="shared" si="322"/>
        <v>Low</v>
      </c>
      <c r="R2079" t="s">
        <v>3317</v>
      </c>
      <c r="S2079" s="4">
        <f t="shared" ca="1" si="323"/>
        <v>1003</v>
      </c>
      <c r="T2079">
        <f t="shared" si="324"/>
        <v>1</v>
      </c>
      <c r="U2079">
        <f t="shared" si="325"/>
        <v>1</v>
      </c>
      <c r="V2079">
        <f t="shared" si="326"/>
        <v>1</v>
      </c>
      <c r="W2079">
        <f t="shared" si="327"/>
        <v>1</v>
      </c>
      <c r="X2079">
        <f t="shared" si="328"/>
        <v>0.99999999999999989</v>
      </c>
      <c r="Y2079" t="str">
        <f t="shared" si="329"/>
        <v>Healthy</v>
      </c>
    </row>
    <row r="2080" spans="1:25" x14ac:dyDescent="0.35">
      <c r="A2080" t="s">
        <v>20</v>
      </c>
      <c r="B2080" t="s">
        <v>21</v>
      </c>
      <c r="C2080" t="s">
        <v>214</v>
      </c>
      <c r="D2080" t="s">
        <v>783</v>
      </c>
      <c r="E2080">
        <v>80895791</v>
      </c>
      <c r="F2080" t="s">
        <v>1645</v>
      </c>
      <c r="G2080" s="3">
        <v>47194</v>
      </c>
      <c r="H2080">
        <v>36</v>
      </c>
      <c r="I2080">
        <v>93</v>
      </c>
      <c r="J2080">
        <v>428</v>
      </c>
      <c r="K2080" s="4">
        <v>41088</v>
      </c>
      <c r="L2080" s="4">
        <v>31760.142857142859</v>
      </c>
      <c r="M2080" s="4">
        <v>1.3476009913593406E-2</v>
      </c>
      <c r="N2080" t="s">
        <v>25</v>
      </c>
      <c r="O2080" t="str">
        <f t="shared" si="320"/>
        <v>Low</v>
      </c>
      <c r="P2080" t="str">
        <f t="shared" si="321"/>
        <v>Low</v>
      </c>
      <c r="Q2080" t="str">
        <f t="shared" si="322"/>
        <v>Low</v>
      </c>
      <c r="R2080" t="s">
        <v>3317</v>
      </c>
      <c r="S2080" s="4">
        <f t="shared" ca="1" si="323"/>
        <v>997</v>
      </c>
      <c r="T2080">
        <f t="shared" si="324"/>
        <v>1</v>
      </c>
      <c r="U2080">
        <f t="shared" si="325"/>
        <v>1</v>
      </c>
      <c r="V2080">
        <f t="shared" si="326"/>
        <v>1</v>
      </c>
      <c r="W2080">
        <f t="shared" si="327"/>
        <v>1</v>
      </c>
      <c r="X2080">
        <f t="shared" si="328"/>
        <v>0.99999999999999989</v>
      </c>
      <c r="Y2080" t="str">
        <f t="shared" si="329"/>
        <v>Healthy</v>
      </c>
    </row>
    <row r="2081" spans="1:25" x14ac:dyDescent="0.35">
      <c r="A2081" t="s">
        <v>20</v>
      </c>
      <c r="B2081" t="s">
        <v>21</v>
      </c>
      <c r="C2081" t="s">
        <v>214</v>
      </c>
      <c r="D2081" t="s">
        <v>783</v>
      </c>
      <c r="E2081">
        <v>80895791</v>
      </c>
      <c r="F2081" t="s">
        <v>1645</v>
      </c>
      <c r="G2081" s="3">
        <v>47196</v>
      </c>
      <c r="H2081">
        <v>36</v>
      </c>
      <c r="I2081">
        <v>93</v>
      </c>
      <c r="J2081">
        <v>683</v>
      </c>
      <c r="K2081" s="4">
        <v>65568</v>
      </c>
      <c r="L2081" s="4">
        <v>31760.142857142859</v>
      </c>
      <c r="M2081" s="4">
        <v>2.150494105370163E-2</v>
      </c>
      <c r="N2081" t="s">
        <v>25</v>
      </c>
      <c r="O2081" t="str">
        <f t="shared" si="320"/>
        <v>Low</v>
      </c>
      <c r="P2081" t="str">
        <f t="shared" si="321"/>
        <v>Low</v>
      </c>
      <c r="Q2081" t="str">
        <f t="shared" si="322"/>
        <v>Low</v>
      </c>
      <c r="R2081" t="s">
        <v>3317</v>
      </c>
      <c r="S2081" s="4">
        <f t="shared" ca="1" si="323"/>
        <v>999</v>
      </c>
      <c r="T2081">
        <f t="shared" si="324"/>
        <v>1</v>
      </c>
      <c r="U2081">
        <f t="shared" si="325"/>
        <v>1</v>
      </c>
      <c r="V2081">
        <f t="shared" si="326"/>
        <v>1</v>
      </c>
      <c r="W2081">
        <f t="shared" si="327"/>
        <v>1</v>
      </c>
      <c r="X2081">
        <f t="shared" si="328"/>
        <v>0.99999999999999989</v>
      </c>
      <c r="Y2081" t="str">
        <f t="shared" si="329"/>
        <v>Healthy</v>
      </c>
    </row>
    <row r="2082" spans="1:25" x14ac:dyDescent="0.35">
      <c r="A2082" t="s">
        <v>20</v>
      </c>
      <c r="B2082" t="s">
        <v>21</v>
      </c>
      <c r="C2082" t="s">
        <v>214</v>
      </c>
      <c r="D2082" t="s">
        <v>783</v>
      </c>
      <c r="E2082">
        <v>80895791</v>
      </c>
      <c r="F2082" t="s">
        <v>1645</v>
      </c>
      <c r="G2082" s="3">
        <v>47234</v>
      </c>
      <c r="H2082">
        <v>36</v>
      </c>
      <c r="I2082">
        <v>96</v>
      </c>
      <c r="J2082">
        <v>68</v>
      </c>
      <c r="K2082" s="4">
        <v>6528</v>
      </c>
      <c r="L2082" s="4">
        <v>31760.142857142859</v>
      </c>
      <c r="M2082" s="4">
        <v>2.1410483040288589E-3</v>
      </c>
      <c r="N2082" t="s">
        <v>25</v>
      </c>
      <c r="O2082" t="str">
        <f t="shared" si="320"/>
        <v>Low</v>
      </c>
      <c r="P2082" t="str">
        <f t="shared" si="321"/>
        <v>Low</v>
      </c>
      <c r="Q2082" t="str">
        <f t="shared" si="322"/>
        <v>Low</v>
      </c>
      <c r="R2082" t="s">
        <v>3317</v>
      </c>
      <c r="S2082" s="4">
        <f t="shared" ca="1" si="323"/>
        <v>1037</v>
      </c>
      <c r="T2082">
        <f t="shared" si="324"/>
        <v>1</v>
      </c>
      <c r="U2082">
        <f t="shared" si="325"/>
        <v>1</v>
      </c>
      <c r="V2082">
        <f t="shared" si="326"/>
        <v>1</v>
      </c>
      <c r="W2082">
        <f t="shared" si="327"/>
        <v>1</v>
      </c>
      <c r="X2082">
        <f t="shared" si="328"/>
        <v>0.99999999999999989</v>
      </c>
      <c r="Y2082" t="str">
        <f t="shared" si="329"/>
        <v>Healthy</v>
      </c>
    </row>
    <row r="2083" spans="1:25" x14ac:dyDescent="0.35">
      <c r="A2083" t="s">
        <v>20</v>
      </c>
      <c r="B2083" t="s">
        <v>21</v>
      </c>
      <c r="C2083" t="s">
        <v>214</v>
      </c>
      <c r="D2083" t="s">
        <v>783</v>
      </c>
      <c r="E2083">
        <v>80895791</v>
      </c>
      <c r="F2083" t="s">
        <v>1645</v>
      </c>
      <c r="G2083" s="3">
        <v>47232</v>
      </c>
      <c r="H2083">
        <v>36</v>
      </c>
      <c r="I2083">
        <v>96</v>
      </c>
      <c r="J2083">
        <v>1005</v>
      </c>
      <c r="K2083" s="4">
        <v>96480</v>
      </c>
      <c r="L2083" s="4">
        <v>31760.142857142859</v>
      </c>
      <c r="M2083" s="4">
        <v>3.1643434493367699E-2</v>
      </c>
      <c r="N2083" t="s">
        <v>25</v>
      </c>
      <c r="O2083" t="str">
        <f t="shared" si="320"/>
        <v>Low</v>
      </c>
      <c r="P2083" t="str">
        <f t="shared" si="321"/>
        <v>Low</v>
      </c>
      <c r="Q2083" t="str">
        <f t="shared" si="322"/>
        <v>Low</v>
      </c>
      <c r="R2083" t="s">
        <v>3310</v>
      </c>
      <c r="S2083" s="4">
        <f t="shared" ca="1" si="323"/>
        <v>1035</v>
      </c>
      <c r="T2083">
        <f t="shared" si="324"/>
        <v>1</v>
      </c>
      <c r="U2083">
        <f t="shared" si="325"/>
        <v>1</v>
      </c>
      <c r="V2083">
        <f t="shared" si="326"/>
        <v>1</v>
      </c>
      <c r="W2083">
        <f t="shared" si="327"/>
        <v>2</v>
      </c>
      <c r="X2083">
        <f t="shared" si="328"/>
        <v>1.0999999999999999</v>
      </c>
      <c r="Y2083" t="str">
        <f t="shared" si="329"/>
        <v>Healthy</v>
      </c>
    </row>
    <row r="2084" spans="1:25" x14ac:dyDescent="0.35">
      <c r="A2084" t="s">
        <v>20</v>
      </c>
      <c r="B2084" t="s">
        <v>21</v>
      </c>
      <c r="C2084" t="s">
        <v>214</v>
      </c>
      <c r="D2084" t="s">
        <v>783</v>
      </c>
      <c r="E2084">
        <v>80895791</v>
      </c>
      <c r="F2084" t="s">
        <v>1645</v>
      </c>
      <c r="G2084" s="3">
        <v>47234</v>
      </c>
      <c r="H2084">
        <v>36</v>
      </c>
      <c r="I2084">
        <v>96</v>
      </c>
      <c r="J2084">
        <v>635</v>
      </c>
      <c r="K2084" s="4">
        <v>60960</v>
      </c>
      <c r="L2084" s="4">
        <v>31760.142857142859</v>
      </c>
      <c r="M2084" s="4">
        <v>1.9993612839093022E-2</v>
      </c>
      <c r="N2084" t="s">
        <v>25</v>
      </c>
      <c r="O2084" t="str">
        <f t="shared" si="320"/>
        <v>Low</v>
      </c>
      <c r="P2084" t="str">
        <f t="shared" si="321"/>
        <v>Low</v>
      </c>
      <c r="Q2084" t="str">
        <f t="shared" si="322"/>
        <v>Low</v>
      </c>
      <c r="R2084" t="s">
        <v>3317</v>
      </c>
      <c r="S2084" s="4">
        <f t="shared" ca="1" si="323"/>
        <v>1037</v>
      </c>
      <c r="T2084">
        <f t="shared" si="324"/>
        <v>1</v>
      </c>
      <c r="U2084">
        <f t="shared" si="325"/>
        <v>1</v>
      </c>
      <c r="V2084">
        <f t="shared" si="326"/>
        <v>1</v>
      </c>
      <c r="W2084">
        <f t="shared" si="327"/>
        <v>1</v>
      </c>
      <c r="X2084">
        <f t="shared" si="328"/>
        <v>0.99999999999999989</v>
      </c>
      <c r="Y2084" t="str">
        <f t="shared" si="329"/>
        <v>Healthy</v>
      </c>
    </row>
    <row r="2085" spans="1:25" x14ac:dyDescent="0.35">
      <c r="A2085" t="s">
        <v>20</v>
      </c>
      <c r="B2085" t="s">
        <v>21</v>
      </c>
      <c r="C2085" t="s">
        <v>214</v>
      </c>
      <c r="D2085" t="s">
        <v>783</v>
      </c>
      <c r="E2085">
        <v>80895791</v>
      </c>
      <c r="F2085" t="s">
        <v>1645</v>
      </c>
      <c r="G2085" s="3">
        <v>47222</v>
      </c>
      <c r="H2085">
        <v>36</v>
      </c>
      <c r="I2085">
        <v>95</v>
      </c>
      <c r="J2085">
        <v>950</v>
      </c>
      <c r="K2085" s="4">
        <v>91200</v>
      </c>
      <c r="L2085" s="4">
        <v>31760.142857142859</v>
      </c>
      <c r="M2085" s="4">
        <v>2.9911704247462003E-2</v>
      </c>
      <c r="N2085" t="s">
        <v>25</v>
      </c>
      <c r="O2085" t="str">
        <f t="shared" si="320"/>
        <v>Low</v>
      </c>
      <c r="P2085" t="str">
        <f t="shared" si="321"/>
        <v>Low</v>
      </c>
      <c r="Q2085" t="str">
        <f t="shared" si="322"/>
        <v>Low</v>
      </c>
      <c r="R2085" t="s">
        <v>3310</v>
      </c>
      <c r="S2085" s="4">
        <f t="shared" ca="1" si="323"/>
        <v>1025</v>
      </c>
      <c r="T2085">
        <f t="shared" si="324"/>
        <v>1</v>
      </c>
      <c r="U2085">
        <f t="shared" si="325"/>
        <v>1</v>
      </c>
      <c r="V2085">
        <f t="shared" si="326"/>
        <v>1</v>
      </c>
      <c r="W2085">
        <f t="shared" si="327"/>
        <v>2</v>
      </c>
      <c r="X2085">
        <f t="shared" si="328"/>
        <v>1.0999999999999999</v>
      </c>
      <c r="Y2085" t="str">
        <f t="shared" si="329"/>
        <v>Healthy</v>
      </c>
    </row>
    <row r="2086" spans="1:25" x14ac:dyDescent="0.35">
      <c r="A2086" t="s">
        <v>20</v>
      </c>
      <c r="B2086" t="s">
        <v>21</v>
      </c>
      <c r="C2086" t="s">
        <v>214</v>
      </c>
      <c r="D2086" t="s">
        <v>783</v>
      </c>
      <c r="E2086">
        <v>80895791</v>
      </c>
      <c r="F2086" t="s">
        <v>1645</v>
      </c>
      <c r="G2086" s="3">
        <v>47218</v>
      </c>
      <c r="H2086">
        <v>36</v>
      </c>
      <c r="I2086">
        <v>95</v>
      </c>
      <c r="J2086">
        <v>275</v>
      </c>
      <c r="K2086" s="4">
        <v>26400</v>
      </c>
      <c r="L2086" s="4">
        <v>31760.142857142859</v>
      </c>
      <c r="M2086" s="4">
        <v>8.6586512295284742E-3</v>
      </c>
      <c r="N2086" t="s">
        <v>25</v>
      </c>
      <c r="O2086" t="str">
        <f t="shared" si="320"/>
        <v>Low</v>
      </c>
      <c r="P2086" t="str">
        <f t="shared" si="321"/>
        <v>Low</v>
      </c>
      <c r="Q2086" t="str">
        <f t="shared" si="322"/>
        <v>Low</v>
      </c>
      <c r="R2086" t="s">
        <v>3317</v>
      </c>
      <c r="S2086" s="4">
        <f t="shared" ca="1" si="323"/>
        <v>1021</v>
      </c>
      <c r="T2086">
        <f t="shared" si="324"/>
        <v>1</v>
      </c>
      <c r="U2086">
        <f t="shared" si="325"/>
        <v>1</v>
      </c>
      <c r="V2086">
        <f t="shared" si="326"/>
        <v>1</v>
      </c>
      <c r="W2086">
        <f t="shared" si="327"/>
        <v>1</v>
      </c>
      <c r="X2086">
        <f t="shared" si="328"/>
        <v>0.99999999999999989</v>
      </c>
      <c r="Y2086" t="str">
        <f t="shared" si="329"/>
        <v>Healthy</v>
      </c>
    </row>
    <row r="2087" spans="1:25" x14ac:dyDescent="0.35">
      <c r="A2087" t="s">
        <v>20</v>
      </c>
      <c r="B2087" t="s">
        <v>21</v>
      </c>
      <c r="C2087" t="s">
        <v>214</v>
      </c>
      <c r="D2087" t="s">
        <v>783</v>
      </c>
      <c r="E2087">
        <v>80895791</v>
      </c>
      <c r="F2087" t="s">
        <v>1645</v>
      </c>
      <c r="G2087" s="3">
        <v>47226</v>
      </c>
      <c r="H2087">
        <v>36</v>
      </c>
      <c r="I2087">
        <v>96</v>
      </c>
      <c r="J2087">
        <v>648</v>
      </c>
      <c r="K2087" s="4">
        <v>62208</v>
      </c>
      <c r="L2087" s="4">
        <v>31760.142857142859</v>
      </c>
      <c r="M2087" s="4">
        <v>2.0402930897216186E-2</v>
      </c>
      <c r="N2087" t="s">
        <v>25</v>
      </c>
      <c r="O2087" t="str">
        <f t="shared" si="320"/>
        <v>Low</v>
      </c>
      <c r="P2087" t="str">
        <f t="shared" si="321"/>
        <v>Low</v>
      </c>
      <c r="Q2087" t="str">
        <f t="shared" si="322"/>
        <v>Low</v>
      </c>
      <c r="R2087" t="s">
        <v>3317</v>
      </c>
      <c r="S2087" s="4">
        <f t="shared" ca="1" si="323"/>
        <v>1029</v>
      </c>
      <c r="T2087">
        <f t="shared" si="324"/>
        <v>1</v>
      </c>
      <c r="U2087">
        <f t="shared" si="325"/>
        <v>1</v>
      </c>
      <c r="V2087">
        <f t="shared" si="326"/>
        <v>1</v>
      </c>
      <c r="W2087">
        <f t="shared" si="327"/>
        <v>1</v>
      </c>
      <c r="X2087">
        <f t="shared" si="328"/>
        <v>0.99999999999999989</v>
      </c>
      <c r="Y2087" t="str">
        <f t="shared" si="329"/>
        <v>Healthy</v>
      </c>
    </row>
    <row r="2088" spans="1:25" x14ac:dyDescent="0.35">
      <c r="A2088" t="s">
        <v>20</v>
      </c>
      <c r="B2088" t="s">
        <v>21</v>
      </c>
      <c r="C2088" t="s">
        <v>214</v>
      </c>
      <c r="D2088" t="s">
        <v>783</v>
      </c>
      <c r="E2088">
        <v>80895791</v>
      </c>
      <c r="F2088" t="s">
        <v>1645</v>
      </c>
      <c r="G2088" s="3">
        <v>47201</v>
      </c>
      <c r="H2088">
        <v>36</v>
      </c>
      <c r="I2088">
        <v>93</v>
      </c>
      <c r="J2088">
        <v>696</v>
      </c>
      <c r="K2088" s="4">
        <v>66816</v>
      </c>
      <c r="L2088" s="4">
        <v>31760.142857142859</v>
      </c>
      <c r="M2088" s="4">
        <v>2.1914259111824794E-2</v>
      </c>
      <c r="N2088" t="s">
        <v>25</v>
      </c>
      <c r="O2088" t="str">
        <f t="shared" si="320"/>
        <v>Low</v>
      </c>
      <c r="P2088" t="str">
        <f t="shared" si="321"/>
        <v>Low</v>
      </c>
      <c r="Q2088" t="str">
        <f t="shared" si="322"/>
        <v>Low</v>
      </c>
      <c r="R2088" t="s">
        <v>3310</v>
      </c>
      <c r="S2088" s="4">
        <f t="shared" ca="1" si="323"/>
        <v>1004</v>
      </c>
      <c r="T2088">
        <f t="shared" si="324"/>
        <v>1</v>
      </c>
      <c r="U2088">
        <f t="shared" si="325"/>
        <v>1</v>
      </c>
      <c r="V2088">
        <f t="shared" si="326"/>
        <v>1</v>
      </c>
      <c r="W2088">
        <f t="shared" si="327"/>
        <v>2</v>
      </c>
      <c r="X2088">
        <f t="shared" si="328"/>
        <v>1.0999999999999999</v>
      </c>
      <c r="Y2088" t="str">
        <f t="shared" si="329"/>
        <v>Healthy</v>
      </c>
    </row>
    <row r="2089" spans="1:25" x14ac:dyDescent="0.35">
      <c r="A2089" t="s">
        <v>20</v>
      </c>
      <c r="B2089" t="s">
        <v>21</v>
      </c>
      <c r="C2089" t="s">
        <v>214</v>
      </c>
      <c r="D2089" t="s">
        <v>783</v>
      </c>
      <c r="E2089">
        <v>80895791</v>
      </c>
      <c r="F2089" t="s">
        <v>1645</v>
      </c>
      <c r="G2089" s="3">
        <v>47202</v>
      </c>
      <c r="H2089">
        <v>36</v>
      </c>
      <c r="I2089">
        <v>94</v>
      </c>
      <c r="J2089">
        <v>612</v>
      </c>
      <c r="K2089" s="4">
        <v>58752</v>
      </c>
      <c r="L2089" s="4">
        <v>31760.142857142859</v>
      </c>
      <c r="M2089" s="4">
        <v>1.9269434736259732E-2</v>
      </c>
      <c r="N2089" t="s">
        <v>25</v>
      </c>
      <c r="O2089" t="str">
        <f t="shared" si="320"/>
        <v>Low</v>
      </c>
      <c r="P2089" t="str">
        <f t="shared" si="321"/>
        <v>Low</v>
      </c>
      <c r="Q2089" t="str">
        <f t="shared" si="322"/>
        <v>Low</v>
      </c>
      <c r="R2089" t="s">
        <v>3317</v>
      </c>
      <c r="S2089" s="4">
        <f t="shared" ca="1" si="323"/>
        <v>1005</v>
      </c>
      <c r="T2089">
        <f t="shared" si="324"/>
        <v>1</v>
      </c>
      <c r="U2089">
        <f t="shared" si="325"/>
        <v>1</v>
      </c>
      <c r="V2089">
        <f t="shared" si="326"/>
        <v>1</v>
      </c>
      <c r="W2089">
        <f t="shared" si="327"/>
        <v>1</v>
      </c>
      <c r="X2089">
        <f t="shared" si="328"/>
        <v>0.99999999999999989</v>
      </c>
      <c r="Y2089" t="str">
        <f t="shared" si="329"/>
        <v>Healthy</v>
      </c>
    </row>
    <row r="2090" spans="1:25" x14ac:dyDescent="0.35">
      <c r="A2090" t="s">
        <v>20</v>
      </c>
      <c r="B2090" t="s">
        <v>21</v>
      </c>
      <c r="C2090" t="s">
        <v>214</v>
      </c>
      <c r="D2090" t="s">
        <v>783</v>
      </c>
      <c r="E2090">
        <v>80895791</v>
      </c>
      <c r="F2090" t="s">
        <v>1645</v>
      </c>
      <c r="G2090" s="3">
        <v>47234</v>
      </c>
      <c r="H2090">
        <v>36</v>
      </c>
      <c r="I2090">
        <v>96</v>
      </c>
      <c r="J2090">
        <v>360</v>
      </c>
      <c r="K2090" s="4">
        <v>34560</v>
      </c>
      <c r="L2090" s="4">
        <v>31760.142857142859</v>
      </c>
      <c r="M2090" s="4">
        <v>1.1334961609564547E-2</v>
      </c>
      <c r="N2090" t="s">
        <v>25</v>
      </c>
      <c r="O2090" t="str">
        <f t="shared" si="320"/>
        <v>Low</v>
      </c>
      <c r="P2090" t="str">
        <f t="shared" si="321"/>
        <v>Low</v>
      </c>
      <c r="Q2090" t="str">
        <f t="shared" si="322"/>
        <v>Low</v>
      </c>
      <c r="R2090" t="s">
        <v>3317</v>
      </c>
      <c r="S2090" s="4">
        <f t="shared" ca="1" si="323"/>
        <v>1037</v>
      </c>
      <c r="T2090">
        <f t="shared" si="324"/>
        <v>1</v>
      </c>
      <c r="U2090">
        <f t="shared" si="325"/>
        <v>1</v>
      </c>
      <c r="V2090">
        <f t="shared" si="326"/>
        <v>1</v>
      </c>
      <c r="W2090">
        <f t="shared" si="327"/>
        <v>1</v>
      </c>
      <c r="X2090">
        <f t="shared" si="328"/>
        <v>0.99999999999999989</v>
      </c>
      <c r="Y2090" t="str">
        <f t="shared" si="329"/>
        <v>Healthy</v>
      </c>
    </row>
    <row r="2091" spans="1:25" x14ac:dyDescent="0.35">
      <c r="A2091" t="s">
        <v>20</v>
      </c>
      <c r="B2091" t="s">
        <v>21</v>
      </c>
      <c r="C2091" t="s">
        <v>214</v>
      </c>
      <c r="D2091" t="s">
        <v>783</v>
      </c>
      <c r="E2091">
        <v>80895791</v>
      </c>
      <c r="F2091" t="s">
        <v>1645</v>
      </c>
      <c r="G2091" s="3">
        <v>47224</v>
      </c>
      <c r="H2091">
        <v>36</v>
      </c>
      <c r="I2091">
        <v>96</v>
      </c>
      <c r="J2091">
        <v>612</v>
      </c>
      <c r="K2091" s="4">
        <v>58752</v>
      </c>
      <c r="L2091" s="4">
        <v>31760.142857142859</v>
      </c>
      <c r="M2091" s="4">
        <v>1.9269434736259732E-2</v>
      </c>
      <c r="N2091" t="s">
        <v>25</v>
      </c>
      <c r="O2091" t="str">
        <f t="shared" si="320"/>
        <v>Low</v>
      </c>
      <c r="P2091" t="str">
        <f t="shared" si="321"/>
        <v>Low</v>
      </c>
      <c r="Q2091" t="str">
        <f t="shared" si="322"/>
        <v>Low</v>
      </c>
      <c r="R2091" t="s">
        <v>3317</v>
      </c>
      <c r="S2091" s="4">
        <f t="shared" ca="1" si="323"/>
        <v>1027</v>
      </c>
      <c r="T2091">
        <f t="shared" si="324"/>
        <v>1</v>
      </c>
      <c r="U2091">
        <f t="shared" si="325"/>
        <v>1</v>
      </c>
      <c r="V2091">
        <f t="shared" si="326"/>
        <v>1</v>
      </c>
      <c r="W2091">
        <f t="shared" si="327"/>
        <v>1</v>
      </c>
      <c r="X2091">
        <f t="shared" si="328"/>
        <v>0.99999999999999989</v>
      </c>
      <c r="Y2091" t="str">
        <f t="shared" si="329"/>
        <v>Healthy</v>
      </c>
    </row>
    <row r="2092" spans="1:25" x14ac:dyDescent="0.35">
      <c r="A2092" t="s">
        <v>20</v>
      </c>
      <c r="B2092" t="s">
        <v>21</v>
      </c>
      <c r="C2092" t="s">
        <v>214</v>
      </c>
      <c r="D2092" t="s">
        <v>783</v>
      </c>
      <c r="E2092">
        <v>80895791</v>
      </c>
      <c r="F2092" t="s">
        <v>1645</v>
      </c>
      <c r="G2092" s="3">
        <v>47197</v>
      </c>
      <c r="H2092">
        <v>36</v>
      </c>
      <c r="I2092">
        <v>93</v>
      </c>
      <c r="J2092">
        <v>393</v>
      </c>
      <c r="K2092" s="4">
        <v>37728</v>
      </c>
      <c r="L2092" s="4">
        <v>31760.142857142859</v>
      </c>
      <c r="M2092" s="4">
        <v>1.2373999757107965E-2</v>
      </c>
      <c r="N2092" t="s">
        <v>25</v>
      </c>
      <c r="O2092" t="str">
        <f t="shared" si="320"/>
        <v>Low</v>
      </c>
      <c r="P2092" t="str">
        <f t="shared" si="321"/>
        <v>Low</v>
      </c>
      <c r="Q2092" t="str">
        <f t="shared" si="322"/>
        <v>Low</v>
      </c>
      <c r="R2092" t="s">
        <v>3317</v>
      </c>
      <c r="S2092" s="4">
        <f t="shared" ca="1" si="323"/>
        <v>1000</v>
      </c>
      <c r="T2092">
        <f t="shared" si="324"/>
        <v>1</v>
      </c>
      <c r="U2092">
        <f t="shared" si="325"/>
        <v>1</v>
      </c>
      <c r="V2092">
        <f t="shared" si="326"/>
        <v>1</v>
      </c>
      <c r="W2092">
        <f t="shared" si="327"/>
        <v>1</v>
      </c>
      <c r="X2092">
        <f t="shared" si="328"/>
        <v>0.99999999999999989</v>
      </c>
      <c r="Y2092" t="str">
        <f t="shared" si="329"/>
        <v>Healthy</v>
      </c>
    </row>
    <row r="2093" spans="1:25" x14ac:dyDescent="0.35">
      <c r="A2093" t="s">
        <v>20</v>
      </c>
      <c r="B2093" t="s">
        <v>21</v>
      </c>
      <c r="C2093" t="s">
        <v>214</v>
      </c>
      <c r="D2093" t="s">
        <v>783</v>
      </c>
      <c r="E2093">
        <v>80895791</v>
      </c>
      <c r="F2093" t="s">
        <v>1645</v>
      </c>
      <c r="G2093" s="3">
        <v>47200</v>
      </c>
      <c r="H2093">
        <v>36</v>
      </c>
      <c r="I2093">
        <v>93</v>
      </c>
      <c r="J2093">
        <v>353</v>
      </c>
      <c r="K2093" s="4">
        <v>33888</v>
      </c>
      <c r="L2093" s="4">
        <v>31760.142857142859</v>
      </c>
      <c r="M2093" s="4">
        <v>1.111455957826746E-2</v>
      </c>
      <c r="N2093" t="s">
        <v>25</v>
      </c>
      <c r="O2093" t="str">
        <f t="shared" si="320"/>
        <v>Low</v>
      </c>
      <c r="P2093" t="str">
        <f t="shared" si="321"/>
        <v>Low</v>
      </c>
      <c r="Q2093" t="str">
        <f t="shared" si="322"/>
        <v>Low</v>
      </c>
      <c r="R2093" t="s">
        <v>3317</v>
      </c>
      <c r="S2093" s="4">
        <f t="shared" ca="1" si="323"/>
        <v>1003</v>
      </c>
      <c r="T2093">
        <f t="shared" si="324"/>
        <v>1</v>
      </c>
      <c r="U2093">
        <f t="shared" si="325"/>
        <v>1</v>
      </c>
      <c r="V2093">
        <f t="shared" si="326"/>
        <v>1</v>
      </c>
      <c r="W2093">
        <f t="shared" si="327"/>
        <v>1</v>
      </c>
      <c r="X2093">
        <f t="shared" si="328"/>
        <v>0.99999999999999989</v>
      </c>
      <c r="Y2093" t="str">
        <f t="shared" si="329"/>
        <v>Healthy</v>
      </c>
    </row>
    <row r="2094" spans="1:25" x14ac:dyDescent="0.35">
      <c r="A2094" t="s">
        <v>189</v>
      </c>
      <c r="B2094" t="s">
        <v>190</v>
      </c>
      <c r="C2094" t="s">
        <v>190</v>
      </c>
      <c r="D2094" t="s">
        <v>1308</v>
      </c>
      <c r="E2094">
        <v>80895639</v>
      </c>
      <c r="F2094" t="s">
        <v>1646</v>
      </c>
      <c r="G2094" s="3">
        <v>46660</v>
      </c>
      <c r="H2094">
        <v>18</v>
      </c>
      <c r="I2094">
        <v>87</v>
      </c>
      <c r="J2094">
        <v>468</v>
      </c>
      <c r="K2094" s="4">
        <v>16871.400000000001</v>
      </c>
      <c r="L2094" s="4">
        <v>26159.571428571428</v>
      </c>
      <c r="M2094" s="4">
        <v>1.7890201346679992E-2</v>
      </c>
      <c r="N2094" t="s">
        <v>25</v>
      </c>
      <c r="O2094" t="str">
        <f t="shared" si="320"/>
        <v>Low</v>
      </c>
      <c r="P2094" t="str">
        <f t="shared" si="321"/>
        <v>Low</v>
      </c>
      <c r="Q2094" t="str">
        <f t="shared" si="322"/>
        <v>Low</v>
      </c>
      <c r="R2094" t="s">
        <v>3317</v>
      </c>
      <c r="S2094" s="4">
        <f t="shared" ca="1" si="323"/>
        <v>463</v>
      </c>
      <c r="T2094">
        <f t="shared" si="324"/>
        <v>1</v>
      </c>
      <c r="U2094">
        <f t="shared" si="325"/>
        <v>1</v>
      </c>
      <c r="V2094">
        <f t="shared" si="326"/>
        <v>1</v>
      </c>
      <c r="W2094">
        <f t="shared" si="327"/>
        <v>1</v>
      </c>
      <c r="X2094">
        <f t="shared" si="328"/>
        <v>0.99999999999999989</v>
      </c>
      <c r="Y2094" t="str">
        <f t="shared" si="329"/>
        <v>Healthy</v>
      </c>
    </row>
    <row r="2095" spans="1:25" x14ac:dyDescent="0.35">
      <c r="A2095" t="s">
        <v>189</v>
      </c>
      <c r="B2095" t="s">
        <v>190</v>
      </c>
      <c r="C2095" t="s">
        <v>190</v>
      </c>
      <c r="D2095" t="s">
        <v>1308</v>
      </c>
      <c r="E2095">
        <v>80895639</v>
      </c>
      <c r="F2095" t="s">
        <v>1646</v>
      </c>
      <c r="G2095" s="3">
        <v>46610</v>
      </c>
      <c r="H2095">
        <v>18</v>
      </c>
      <c r="I2095">
        <v>77</v>
      </c>
      <c r="J2095">
        <v>12118</v>
      </c>
      <c r="K2095" s="4">
        <v>436853.9</v>
      </c>
      <c r="L2095" s="4">
        <v>26159.571428571428</v>
      </c>
      <c r="M2095" s="4">
        <v>0.46323388871595755</v>
      </c>
      <c r="N2095" t="s">
        <v>25</v>
      </c>
      <c r="O2095" t="str">
        <f t="shared" si="320"/>
        <v>Low</v>
      </c>
      <c r="P2095" t="str">
        <f t="shared" si="321"/>
        <v>Low</v>
      </c>
      <c r="Q2095" t="str">
        <f t="shared" si="322"/>
        <v>Low</v>
      </c>
      <c r="R2095" t="s">
        <v>3309</v>
      </c>
      <c r="S2095" s="4">
        <f t="shared" ca="1" si="323"/>
        <v>413</v>
      </c>
      <c r="T2095">
        <f t="shared" si="324"/>
        <v>1</v>
      </c>
      <c r="U2095">
        <f t="shared" si="325"/>
        <v>1</v>
      </c>
      <c r="V2095">
        <f t="shared" si="326"/>
        <v>1</v>
      </c>
      <c r="W2095">
        <f t="shared" si="327"/>
        <v>3</v>
      </c>
      <c r="X2095">
        <f t="shared" si="328"/>
        <v>1.2</v>
      </c>
      <c r="Y2095" t="str">
        <f t="shared" si="329"/>
        <v>Healthy</v>
      </c>
    </row>
    <row r="2096" spans="1:25" x14ac:dyDescent="0.35">
      <c r="A2096" t="s">
        <v>90</v>
      </c>
      <c r="B2096" t="s">
        <v>91</v>
      </c>
      <c r="C2096" t="s">
        <v>155</v>
      </c>
      <c r="D2096" t="s">
        <v>1394</v>
      </c>
      <c r="E2096">
        <v>80692389</v>
      </c>
      <c r="F2096" t="s">
        <v>1647</v>
      </c>
      <c r="G2096" s="3">
        <v>45315</v>
      </c>
      <c r="H2096">
        <v>24</v>
      </c>
      <c r="I2096">
        <v>0</v>
      </c>
      <c r="J2096">
        <v>12</v>
      </c>
      <c r="K2096" s="4">
        <v>4749.3599999999997</v>
      </c>
      <c r="L2096" s="4">
        <f>0</f>
        <v>0</v>
      </c>
      <c r="M2096" s="4">
        <f>999</f>
        <v>999</v>
      </c>
      <c r="N2096" t="s">
        <v>19</v>
      </c>
      <c r="O2096" t="str">
        <f t="shared" si="320"/>
        <v>High</v>
      </c>
      <c r="P2096" t="str">
        <f t="shared" si="321"/>
        <v>High</v>
      </c>
      <c r="Q2096" t="str">
        <f t="shared" si="322"/>
        <v>High</v>
      </c>
      <c r="R2096" t="s">
        <v>3317</v>
      </c>
      <c r="S2096" s="4">
        <f t="shared" ca="1" si="323"/>
        <v>-882</v>
      </c>
      <c r="T2096">
        <f t="shared" si="324"/>
        <v>3</v>
      </c>
      <c r="U2096">
        <f t="shared" si="325"/>
        <v>3</v>
      </c>
      <c r="V2096">
        <f t="shared" si="326"/>
        <v>3</v>
      </c>
      <c r="W2096">
        <f t="shared" si="327"/>
        <v>1</v>
      </c>
      <c r="X2096">
        <f t="shared" si="328"/>
        <v>2.8000000000000003</v>
      </c>
      <c r="Y2096" t="str">
        <f t="shared" si="329"/>
        <v>Move Immediately</v>
      </c>
    </row>
    <row r="2097" spans="1:25" x14ac:dyDescent="0.35">
      <c r="A2097" t="s">
        <v>189</v>
      </c>
      <c r="B2097" t="s">
        <v>190</v>
      </c>
      <c r="C2097" t="s">
        <v>190</v>
      </c>
      <c r="D2097" t="s">
        <v>1308</v>
      </c>
      <c r="E2097">
        <v>80895639</v>
      </c>
      <c r="F2097" t="s">
        <v>1646</v>
      </c>
      <c r="G2097" s="3">
        <v>46609</v>
      </c>
      <c r="H2097">
        <v>18</v>
      </c>
      <c r="I2097">
        <v>77</v>
      </c>
      <c r="J2097">
        <v>5072</v>
      </c>
      <c r="K2097" s="4">
        <v>182845.6</v>
      </c>
      <c r="L2097" s="4">
        <v>26159.571428571428</v>
      </c>
      <c r="M2097" s="4">
        <v>0.19388696844094214</v>
      </c>
      <c r="N2097" t="s">
        <v>25</v>
      </c>
      <c r="O2097" t="str">
        <f t="shared" si="320"/>
        <v>Low</v>
      </c>
      <c r="P2097" t="str">
        <f t="shared" si="321"/>
        <v>Low</v>
      </c>
      <c r="Q2097" t="str">
        <f t="shared" si="322"/>
        <v>Low</v>
      </c>
      <c r="R2097" t="s">
        <v>3309</v>
      </c>
      <c r="S2097" s="4">
        <f t="shared" ca="1" si="323"/>
        <v>412</v>
      </c>
      <c r="T2097">
        <f t="shared" si="324"/>
        <v>1</v>
      </c>
      <c r="U2097">
        <f t="shared" si="325"/>
        <v>1</v>
      </c>
      <c r="V2097">
        <f t="shared" si="326"/>
        <v>1</v>
      </c>
      <c r="W2097">
        <f t="shared" si="327"/>
        <v>3</v>
      </c>
      <c r="X2097">
        <f t="shared" si="328"/>
        <v>1.2</v>
      </c>
      <c r="Y2097" t="str">
        <f t="shared" si="329"/>
        <v>Healthy</v>
      </c>
    </row>
    <row r="2098" spans="1:25" x14ac:dyDescent="0.35">
      <c r="A2098" t="s">
        <v>20</v>
      </c>
      <c r="B2098" t="s">
        <v>21</v>
      </c>
      <c r="C2098" t="s">
        <v>214</v>
      </c>
      <c r="D2098" t="s">
        <v>215</v>
      </c>
      <c r="E2098">
        <v>80895792</v>
      </c>
      <c r="F2098" t="s">
        <v>1648</v>
      </c>
      <c r="G2098" s="3">
        <v>47232</v>
      </c>
      <c r="H2098">
        <v>36</v>
      </c>
      <c r="I2098">
        <v>96</v>
      </c>
      <c r="J2098">
        <v>336</v>
      </c>
      <c r="K2098" s="4">
        <v>37632</v>
      </c>
      <c r="L2098" s="4">
        <v>6989.5714285714284</v>
      </c>
      <c r="M2098" s="4">
        <v>4.807161689864492E-2</v>
      </c>
      <c r="N2098" t="s">
        <v>25</v>
      </c>
      <c r="O2098" t="str">
        <f t="shared" si="320"/>
        <v>Low</v>
      </c>
      <c r="P2098" t="str">
        <f t="shared" si="321"/>
        <v>Low</v>
      </c>
      <c r="Q2098" t="str">
        <f t="shared" si="322"/>
        <v>Low</v>
      </c>
      <c r="R2098" t="s">
        <v>3317</v>
      </c>
      <c r="S2098" s="4">
        <f t="shared" ca="1" si="323"/>
        <v>1035</v>
      </c>
      <c r="T2098">
        <f t="shared" si="324"/>
        <v>1</v>
      </c>
      <c r="U2098">
        <f t="shared" si="325"/>
        <v>1</v>
      </c>
      <c r="V2098">
        <f t="shared" si="326"/>
        <v>1</v>
      </c>
      <c r="W2098">
        <f t="shared" si="327"/>
        <v>1</v>
      </c>
      <c r="X2098">
        <f t="shared" si="328"/>
        <v>0.99999999999999989</v>
      </c>
      <c r="Y2098" t="str">
        <f t="shared" si="329"/>
        <v>Healthy</v>
      </c>
    </row>
    <row r="2099" spans="1:25" x14ac:dyDescent="0.35">
      <c r="A2099" t="s">
        <v>20</v>
      </c>
      <c r="B2099" t="s">
        <v>21</v>
      </c>
      <c r="C2099" t="s">
        <v>214</v>
      </c>
      <c r="D2099" t="s">
        <v>215</v>
      </c>
      <c r="E2099">
        <v>80895792</v>
      </c>
      <c r="F2099" t="s">
        <v>1648</v>
      </c>
      <c r="G2099" s="3">
        <v>47214</v>
      </c>
      <c r="H2099">
        <v>36</v>
      </c>
      <c r="I2099">
        <v>95</v>
      </c>
      <c r="J2099">
        <v>315</v>
      </c>
      <c r="K2099" s="4">
        <v>35280</v>
      </c>
      <c r="L2099" s="4">
        <v>6989.5714285714284</v>
      </c>
      <c r="M2099" s="4">
        <v>4.5067140842479612E-2</v>
      </c>
      <c r="N2099" t="s">
        <v>25</v>
      </c>
      <c r="O2099" t="str">
        <f t="shared" si="320"/>
        <v>Low</v>
      </c>
      <c r="P2099" t="str">
        <f t="shared" si="321"/>
        <v>Low</v>
      </c>
      <c r="Q2099" t="str">
        <f t="shared" si="322"/>
        <v>Low</v>
      </c>
      <c r="R2099" t="s">
        <v>3317</v>
      </c>
      <c r="S2099" s="4">
        <f t="shared" ca="1" si="323"/>
        <v>1017</v>
      </c>
      <c r="T2099">
        <f t="shared" si="324"/>
        <v>1</v>
      </c>
      <c r="U2099">
        <f t="shared" si="325"/>
        <v>1</v>
      </c>
      <c r="V2099">
        <f t="shared" si="326"/>
        <v>1</v>
      </c>
      <c r="W2099">
        <f t="shared" si="327"/>
        <v>1</v>
      </c>
      <c r="X2099">
        <f t="shared" si="328"/>
        <v>0.99999999999999989</v>
      </c>
      <c r="Y2099" t="str">
        <f t="shared" si="329"/>
        <v>Healthy</v>
      </c>
    </row>
    <row r="2100" spans="1:25" x14ac:dyDescent="0.35">
      <c r="A2100" t="s">
        <v>20</v>
      </c>
      <c r="B2100" t="s">
        <v>21</v>
      </c>
      <c r="C2100" t="s">
        <v>214</v>
      </c>
      <c r="D2100" t="s">
        <v>215</v>
      </c>
      <c r="E2100">
        <v>80895792</v>
      </c>
      <c r="F2100" t="s">
        <v>1648</v>
      </c>
      <c r="G2100" s="3">
        <v>47234</v>
      </c>
      <c r="H2100">
        <v>36</v>
      </c>
      <c r="I2100">
        <v>96</v>
      </c>
      <c r="J2100">
        <v>1129</v>
      </c>
      <c r="K2100" s="4">
        <v>126448</v>
      </c>
      <c r="L2100" s="4">
        <v>6989.5714285714284</v>
      </c>
      <c r="M2100" s="4">
        <v>0.1615263555909825</v>
      </c>
      <c r="N2100" t="s">
        <v>25</v>
      </c>
      <c r="O2100" t="str">
        <f t="shared" si="320"/>
        <v>Low</v>
      </c>
      <c r="P2100" t="str">
        <f t="shared" si="321"/>
        <v>Low</v>
      </c>
      <c r="Q2100" t="str">
        <f t="shared" si="322"/>
        <v>Low</v>
      </c>
      <c r="R2100" t="s">
        <v>3310</v>
      </c>
      <c r="S2100" s="4">
        <f t="shared" ca="1" si="323"/>
        <v>1037</v>
      </c>
      <c r="T2100">
        <f t="shared" si="324"/>
        <v>1</v>
      </c>
      <c r="U2100">
        <f t="shared" si="325"/>
        <v>1</v>
      </c>
      <c r="V2100">
        <f t="shared" si="326"/>
        <v>1</v>
      </c>
      <c r="W2100">
        <f t="shared" si="327"/>
        <v>2</v>
      </c>
      <c r="X2100">
        <f t="shared" si="328"/>
        <v>1.0999999999999999</v>
      </c>
      <c r="Y2100" t="str">
        <f t="shared" si="329"/>
        <v>Healthy</v>
      </c>
    </row>
    <row r="2101" spans="1:25" x14ac:dyDescent="0.35">
      <c r="A2101" t="s">
        <v>20</v>
      </c>
      <c r="B2101" t="s">
        <v>21</v>
      </c>
      <c r="C2101" t="s">
        <v>214</v>
      </c>
      <c r="D2101" t="s">
        <v>215</v>
      </c>
      <c r="E2101">
        <v>80895792</v>
      </c>
      <c r="F2101" t="s">
        <v>1648</v>
      </c>
      <c r="G2101" s="3">
        <v>47215</v>
      </c>
      <c r="H2101">
        <v>36</v>
      </c>
      <c r="I2101">
        <v>95</v>
      </c>
      <c r="J2101">
        <v>240</v>
      </c>
      <c r="K2101" s="4">
        <v>26880</v>
      </c>
      <c r="L2101" s="4">
        <v>6989.5714285714284</v>
      </c>
      <c r="M2101" s="4">
        <v>3.43368692133178E-2</v>
      </c>
      <c r="N2101" t="s">
        <v>25</v>
      </c>
      <c r="O2101" t="str">
        <f t="shared" si="320"/>
        <v>Low</v>
      </c>
      <c r="P2101" t="str">
        <f t="shared" si="321"/>
        <v>Low</v>
      </c>
      <c r="Q2101" t="str">
        <f t="shared" si="322"/>
        <v>Low</v>
      </c>
      <c r="R2101" t="s">
        <v>3317</v>
      </c>
      <c r="S2101" s="4">
        <f t="shared" ca="1" si="323"/>
        <v>1018</v>
      </c>
      <c r="T2101">
        <f t="shared" si="324"/>
        <v>1</v>
      </c>
      <c r="U2101">
        <f t="shared" si="325"/>
        <v>1</v>
      </c>
      <c r="V2101">
        <f t="shared" si="326"/>
        <v>1</v>
      </c>
      <c r="W2101">
        <f t="shared" si="327"/>
        <v>1</v>
      </c>
      <c r="X2101">
        <f t="shared" si="328"/>
        <v>0.99999999999999989</v>
      </c>
      <c r="Y2101" t="str">
        <f t="shared" si="329"/>
        <v>Healthy</v>
      </c>
    </row>
    <row r="2102" spans="1:25" x14ac:dyDescent="0.35">
      <c r="A2102" t="s">
        <v>20</v>
      </c>
      <c r="B2102" t="s">
        <v>21</v>
      </c>
      <c r="C2102" t="s">
        <v>684</v>
      </c>
      <c r="D2102" t="s">
        <v>1649</v>
      </c>
      <c r="E2102">
        <v>80895669</v>
      </c>
      <c r="F2102" t="s">
        <v>1650</v>
      </c>
      <c r="G2102" s="3">
        <v>47254</v>
      </c>
      <c r="H2102">
        <v>36</v>
      </c>
      <c r="I2102">
        <v>98</v>
      </c>
      <c r="J2102">
        <v>11</v>
      </c>
      <c r="K2102" s="4">
        <v>1742.29</v>
      </c>
      <c r="L2102" s="4">
        <v>1598</v>
      </c>
      <c r="M2102" s="4">
        <v>6.8836045056320403E-3</v>
      </c>
      <c r="N2102" t="s">
        <v>25</v>
      </c>
      <c r="O2102" t="str">
        <f t="shared" si="320"/>
        <v>Low</v>
      </c>
      <c r="P2102" t="str">
        <f t="shared" si="321"/>
        <v>Low</v>
      </c>
      <c r="Q2102" t="str">
        <f t="shared" si="322"/>
        <v>Low</v>
      </c>
      <c r="R2102" t="s">
        <v>3317</v>
      </c>
      <c r="S2102" s="4">
        <f t="shared" ca="1" si="323"/>
        <v>1057</v>
      </c>
      <c r="T2102">
        <f t="shared" si="324"/>
        <v>1</v>
      </c>
      <c r="U2102">
        <f t="shared" si="325"/>
        <v>1</v>
      </c>
      <c r="V2102">
        <f t="shared" si="326"/>
        <v>1</v>
      </c>
      <c r="W2102">
        <f t="shared" si="327"/>
        <v>1</v>
      </c>
      <c r="X2102">
        <f t="shared" si="328"/>
        <v>0.99999999999999989</v>
      </c>
      <c r="Y2102" t="str">
        <f t="shared" si="329"/>
        <v>Healthy</v>
      </c>
    </row>
    <row r="2103" spans="1:25" x14ac:dyDescent="0.35">
      <c r="A2103" t="s">
        <v>20</v>
      </c>
      <c r="B2103" t="s">
        <v>21</v>
      </c>
      <c r="C2103" t="s">
        <v>214</v>
      </c>
      <c r="D2103" t="s">
        <v>817</v>
      </c>
      <c r="E2103">
        <v>80895793</v>
      </c>
      <c r="F2103" t="s">
        <v>1651</v>
      </c>
      <c r="G2103" s="3">
        <v>47200</v>
      </c>
      <c r="H2103">
        <v>36</v>
      </c>
      <c r="I2103">
        <v>93</v>
      </c>
      <c r="J2103">
        <v>855</v>
      </c>
      <c r="K2103" s="4">
        <v>34200</v>
      </c>
      <c r="L2103" s="4">
        <v>35199.428571428572</v>
      </c>
      <c r="M2103" s="4">
        <v>2.4290167048166365E-2</v>
      </c>
      <c r="N2103" t="s">
        <v>25</v>
      </c>
      <c r="O2103" t="str">
        <f t="shared" si="320"/>
        <v>Low</v>
      </c>
      <c r="P2103" t="str">
        <f t="shared" si="321"/>
        <v>Low</v>
      </c>
      <c r="Q2103" t="str">
        <f t="shared" si="322"/>
        <v>Low</v>
      </c>
      <c r="R2103" t="s">
        <v>3317</v>
      </c>
      <c r="S2103" s="4">
        <f t="shared" ca="1" si="323"/>
        <v>1003</v>
      </c>
      <c r="T2103">
        <f t="shared" si="324"/>
        <v>1</v>
      </c>
      <c r="U2103">
        <f t="shared" si="325"/>
        <v>1</v>
      </c>
      <c r="V2103">
        <f t="shared" si="326"/>
        <v>1</v>
      </c>
      <c r="W2103">
        <f t="shared" si="327"/>
        <v>1</v>
      </c>
      <c r="X2103">
        <f t="shared" si="328"/>
        <v>0.99999999999999989</v>
      </c>
      <c r="Y2103" t="str">
        <f t="shared" si="329"/>
        <v>Healthy</v>
      </c>
    </row>
    <row r="2104" spans="1:25" x14ac:dyDescent="0.35">
      <c r="A2104" t="s">
        <v>20</v>
      </c>
      <c r="B2104" t="s">
        <v>21</v>
      </c>
      <c r="C2104" t="s">
        <v>214</v>
      </c>
      <c r="D2104" t="s">
        <v>817</v>
      </c>
      <c r="E2104">
        <v>80895793</v>
      </c>
      <c r="F2104" t="s">
        <v>1651</v>
      </c>
      <c r="G2104" s="3">
        <v>47227</v>
      </c>
      <c r="H2104">
        <v>36</v>
      </c>
      <c r="I2104">
        <v>96</v>
      </c>
      <c r="J2104">
        <v>1200</v>
      </c>
      <c r="K2104" s="4">
        <v>48000</v>
      </c>
      <c r="L2104" s="4">
        <v>35199.428571428572</v>
      </c>
      <c r="M2104" s="4">
        <v>3.4091462523742268E-2</v>
      </c>
      <c r="N2104" t="s">
        <v>25</v>
      </c>
      <c r="O2104" t="str">
        <f t="shared" si="320"/>
        <v>Low</v>
      </c>
      <c r="P2104" t="str">
        <f t="shared" si="321"/>
        <v>Low</v>
      </c>
      <c r="Q2104" t="str">
        <f t="shared" si="322"/>
        <v>Low</v>
      </c>
      <c r="R2104" t="s">
        <v>3317</v>
      </c>
      <c r="S2104" s="4">
        <f t="shared" ca="1" si="323"/>
        <v>1030</v>
      </c>
      <c r="T2104">
        <f t="shared" si="324"/>
        <v>1</v>
      </c>
      <c r="U2104">
        <f t="shared" si="325"/>
        <v>1</v>
      </c>
      <c r="V2104">
        <f t="shared" si="326"/>
        <v>1</v>
      </c>
      <c r="W2104">
        <f t="shared" si="327"/>
        <v>1</v>
      </c>
      <c r="X2104">
        <f t="shared" si="328"/>
        <v>0.99999999999999989</v>
      </c>
      <c r="Y2104" t="str">
        <f t="shared" si="329"/>
        <v>Healthy</v>
      </c>
    </row>
    <row r="2105" spans="1:25" x14ac:dyDescent="0.35">
      <c r="A2105" t="s">
        <v>20</v>
      </c>
      <c r="B2105" t="s">
        <v>21</v>
      </c>
      <c r="C2105" t="s">
        <v>214</v>
      </c>
      <c r="D2105" t="s">
        <v>817</v>
      </c>
      <c r="E2105">
        <v>80895793</v>
      </c>
      <c r="F2105" t="s">
        <v>1651</v>
      </c>
      <c r="G2105" s="3">
        <v>47231</v>
      </c>
      <c r="H2105">
        <v>36</v>
      </c>
      <c r="I2105">
        <v>96</v>
      </c>
      <c r="J2105">
        <v>1203</v>
      </c>
      <c r="K2105" s="4">
        <v>48120</v>
      </c>
      <c r="L2105" s="4">
        <v>35199.428571428572</v>
      </c>
      <c r="M2105" s="4">
        <v>3.4176691180051622E-2</v>
      </c>
      <c r="N2105" t="s">
        <v>25</v>
      </c>
      <c r="O2105" t="str">
        <f t="shared" si="320"/>
        <v>Low</v>
      </c>
      <c r="P2105" t="str">
        <f t="shared" si="321"/>
        <v>Low</v>
      </c>
      <c r="Q2105" t="str">
        <f t="shared" si="322"/>
        <v>Low</v>
      </c>
      <c r="R2105" t="s">
        <v>3317</v>
      </c>
      <c r="S2105" s="4">
        <f t="shared" ca="1" si="323"/>
        <v>1034</v>
      </c>
      <c r="T2105">
        <f t="shared" si="324"/>
        <v>1</v>
      </c>
      <c r="U2105">
        <f t="shared" si="325"/>
        <v>1</v>
      </c>
      <c r="V2105">
        <f t="shared" si="326"/>
        <v>1</v>
      </c>
      <c r="W2105">
        <f t="shared" si="327"/>
        <v>1</v>
      </c>
      <c r="X2105">
        <f t="shared" si="328"/>
        <v>0.99999999999999989</v>
      </c>
      <c r="Y2105" t="str">
        <f t="shared" si="329"/>
        <v>Healthy</v>
      </c>
    </row>
    <row r="2106" spans="1:25" x14ac:dyDescent="0.35">
      <c r="A2106" t="s">
        <v>20</v>
      </c>
      <c r="B2106" t="s">
        <v>21</v>
      </c>
      <c r="C2106" t="s">
        <v>214</v>
      </c>
      <c r="D2106" t="s">
        <v>817</v>
      </c>
      <c r="E2106">
        <v>80895793</v>
      </c>
      <c r="F2106" t="s">
        <v>1651</v>
      </c>
      <c r="G2106" s="3">
        <v>47187</v>
      </c>
      <c r="H2106">
        <v>36</v>
      </c>
      <c r="I2106">
        <v>92</v>
      </c>
      <c r="J2106">
        <v>261</v>
      </c>
      <c r="K2106" s="4">
        <v>10440</v>
      </c>
      <c r="L2106" s="4">
        <v>35199.428571428572</v>
      </c>
      <c r="M2106" s="4">
        <v>7.4148930989139435E-3</v>
      </c>
      <c r="N2106" t="s">
        <v>25</v>
      </c>
      <c r="O2106" t="str">
        <f t="shared" si="320"/>
        <v>Low</v>
      </c>
      <c r="P2106" t="str">
        <f t="shared" si="321"/>
        <v>Low</v>
      </c>
      <c r="Q2106" t="str">
        <f t="shared" si="322"/>
        <v>Low</v>
      </c>
      <c r="R2106" t="s">
        <v>3317</v>
      </c>
      <c r="S2106" s="4">
        <f t="shared" ca="1" si="323"/>
        <v>990</v>
      </c>
      <c r="T2106">
        <f t="shared" si="324"/>
        <v>1</v>
      </c>
      <c r="U2106">
        <f t="shared" si="325"/>
        <v>1</v>
      </c>
      <c r="V2106">
        <f t="shared" si="326"/>
        <v>1</v>
      </c>
      <c r="W2106">
        <f t="shared" si="327"/>
        <v>1</v>
      </c>
      <c r="X2106">
        <f t="shared" si="328"/>
        <v>0.99999999999999989</v>
      </c>
      <c r="Y2106" t="str">
        <f t="shared" si="329"/>
        <v>Healthy</v>
      </c>
    </row>
    <row r="2107" spans="1:25" x14ac:dyDescent="0.35">
      <c r="A2107" t="s">
        <v>20</v>
      </c>
      <c r="B2107" t="s">
        <v>21</v>
      </c>
      <c r="C2107" t="s">
        <v>214</v>
      </c>
      <c r="D2107" t="s">
        <v>817</v>
      </c>
      <c r="E2107">
        <v>80895793</v>
      </c>
      <c r="F2107" t="s">
        <v>1651</v>
      </c>
      <c r="G2107" s="3">
        <v>47229</v>
      </c>
      <c r="H2107">
        <v>36</v>
      </c>
      <c r="I2107">
        <v>96</v>
      </c>
      <c r="J2107">
        <v>953</v>
      </c>
      <c r="K2107" s="4">
        <v>38120</v>
      </c>
      <c r="L2107" s="4">
        <v>35199.428571428572</v>
      </c>
      <c r="M2107" s="4">
        <v>2.7074303154271985E-2</v>
      </c>
      <c r="N2107" t="s">
        <v>25</v>
      </c>
      <c r="O2107" t="str">
        <f t="shared" si="320"/>
        <v>Low</v>
      </c>
      <c r="P2107" t="str">
        <f t="shared" si="321"/>
        <v>Low</v>
      </c>
      <c r="Q2107" t="str">
        <f t="shared" si="322"/>
        <v>Low</v>
      </c>
      <c r="R2107" t="s">
        <v>3317</v>
      </c>
      <c r="S2107" s="4">
        <f t="shared" ca="1" si="323"/>
        <v>1032</v>
      </c>
      <c r="T2107">
        <f t="shared" si="324"/>
        <v>1</v>
      </c>
      <c r="U2107">
        <f t="shared" si="325"/>
        <v>1</v>
      </c>
      <c r="V2107">
        <f t="shared" si="326"/>
        <v>1</v>
      </c>
      <c r="W2107">
        <f t="shared" si="327"/>
        <v>1</v>
      </c>
      <c r="X2107">
        <f t="shared" si="328"/>
        <v>0.99999999999999989</v>
      </c>
      <c r="Y2107" t="str">
        <f t="shared" si="329"/>
        <v>Healthy</v>
      </c>
    </row>
    <row r="2108" spans="1:25" x14ac:dyDescent="0.35">
      <c r="A2108" t="s">
        <v>20</v>
      </c>
      <c r="B2108" t="s">
        <v>21</v>
      </c>
      <c r="C2108" t="s">
        <v>214</v>
      </c>
      <c r="D2108" t="s">
        <v>817</v>
      </c>
      <c r="E2108">
        <v>80895793</v>
      </c>
      <c r="F2108" t="s">
        <v>1651</v>
      </c>
      <c r="G2108" s="3">
        <v>47228</v>
      </c>
      <c r="H2108">
        <v>36</v>
      </c>
      <c r="I2108">
        <v>96</v>
      </c>
      <c r="J2108">
        <v>1109</v>
      </c>
      <c r="K2108" s="4">
        <v>44360</v>
      </c>
      <c r="L2108" s="4">
        <v>35199.428571428572</v>
      </c>
      <c r="M2108" s="4">
        <v>3.1506193282358479E-2</v>
      </c>
      <c r="N2108" t="s">
        <v>25</v>
      </c>
      <c r="O2108" t="str">
        <f t="shared" si="320"/>
        <v>Low</v>
      </c>
      <c r="P2108" t="str">
        <f t="shared" si="321"/>
        <v>Low</v>
      </c>
      <c r="Q2108" t="str">
        <f t="shared" si="322"/>
        <v>Low</v>
      </c>
      <c r="R2108" t="s">
        <v>3317</v>
      </c>
      <c r="S2108" s="4">
        <f t="shared" ca="1" si="323"/>
        <v>1031</v>
      </c>
      <c r="T2108">
        <f t="shared" si="324"/>
        <v>1</v>
      </c>
      <c r="U2108">
        <f t="shared" si="325"/>
        <v>1</v>
      </c>
      <c r="V2108">
        <f t="shared" si="326"/>
        <v>1</v>
      </c>
      <c r="W2108">
        <f t="shared" si="327"/>
        <v>1</v>
      </c>
      <c r="X2108">
        <f t="shared" si="328"/>
        <v>0.99999999999999989</v>
      </c>
      <c r="Y2108" t="str">
        <f t="shared" si="329"/>
        <v>Healthy</v>
      </c>
    </row>
    <row r="2109" spans="1:25" x14ac:dyDescent="0.35">
      <c r="A2109" t="s">
        <v>20</v>
      </c>
      <c r="B2109" t="s">
        <v>21</v>
      </c>
      <c r="C2109" t="s">
        <v>214</v>
      </c>
      <c r="D2109" t="s">
        <v>817</v>
      </c>
      <c r="E2109">
        <v>80895793</v>
      </c>
      <c r="F2109" t="s">
        <v>1651</v>
      </c>
      <c r="G2109" s="3">
        <v>47225</v>
      </c>
      <c r="H2109">
        <v>36</v>
      </c>
      <c r="I2109">
        <v>96</v>
      </c>
      <c r="J2109">
        <v>1244</v>
      </c>
      <c r="K2109" s="4">
        <v>49760</v>
      </c>
      <c r="L2109" s="4">
        <v>35199.428571428572</v>
      </c>
      <c r="M2109" s="4">
        <v>3.5341482816279482E-2</v>
      </c>
      <c r="N2109" t="s">
        <v>25</v>
      </c>
      <c r="O2109" t="str">
        <f t="shared" si="320"/>
        <v>Low</v>
      </c>
      <c r="P2109" t="str">
        <f t="shared" si="321"/>
        <v>Low</v>
      </c>
      <c r="Q2109" t="str">
        <f t="shared" si="322"/>
        <v>Low</v>
      </c>
      <c r="R2109" t="s">
        <v>3317</v>
      </c>
      <c r="S2109" s="4">
        <f t="shared" ca="1" si="323"/>
        <v>1028</v>
      </c>
      <c r="T2109">
        <f t="shared" si="324"/>
        <v>1</v>
      </c>
      <c r="U2109">
        <f t="shared" si="325"/>
        <v>1</v>
      </c>
      <c r="V2109">
        <f t="shared" si="326"/>
        <v>1</v>
      </c>
      <c r="W2109">
        <f t="shared" si="327"/>
        <v>1</v>
      </c>
      <c r="X2109">
        <f t="shared" si="328"/>
        <v>0.99999999999999989</v>
      </c>
      <c r="Y2109" t="str">
        <f t="shared" si="329"/>
        <v>Healthy</v>
      </c>
    </row>
    <row r="2110" spans="1:25" x14ac:dyDescent="0.35">
      <c r="A2110" t="s">
        <v>20</v>
      </c>
      <c r="B2110" t="s">
        <v>21</v>
      </c>
      <c r="C2110" t="s">
        <v>214</v>
      </c>
      <c r="D2110" t="s">
        <v>817</v>
      </c>
      <c r="E2110">
        <v>80895793</v>
      </c>
      <c r="F2110" t="s">
        <v>1651</v>
      </c>
      <c r="G2110" s="3">
        <v>47188</v>
      </c>
      <c r="H2110">
        <v>36</v>
      </c>
      <c r="I2110">
        <v>92</v>
      </c>
      <c r="J2110">
        <v>31</v>
      </c>
      <c r="K2110" s="4">
        <v>1240</v>
      </c>
      <c r="L2110" s="4">
        <v>35199.428571428572</v>
      </c>
      <c r="M2110" s="4">
        <v>8.8069611519667526E-4</v>
      </c>
      <c r="N2110" t="s">
        <v>25</v>
      </c>
      <c r="O2110" t="str">
        <f t="shared" si="320"/>
        <v>Low</v>
      </c>
      <c r="P2110" t="str">
        <f t="shared" si="321"/>
        <v>Low</v>
      </c>
      <c r="Q2110" t="str">
        <f t="shared" si="322"/>
        <v>Low</v>
      </c>
      <c r="R2110" t="s">
        <v>3317</v>
      </c>
      <c r="S2110" s="4">
        <f t="shared" ca="1" si="323"/>
        <v>991</v>
      </c>
      <c r="T2110">
        <f t="shared" si="324"/>
        <v>1</v>
      </c>
      <c r="U2110">
        <f t="shared" si="325"/>
        <v>1</v>
      </c>
      <c r="V2110">
        <f t="shared" si="326"/>
        <v>1</v>
      </c>
      <c r="W2110">
        <f t="shared" si="327"/>
        <v>1</v>
      </c>
      <c r="X2110">
        <f t="shared" si="328"/>
        <v>0.99999999999999989</v>
      </c>
      <c r="Y2110" t="str">
        <f t="shared" si="329"/>
        <v>Healthy</v>
      </c>
    </row>
    <row r="2111" spans="1:25" x14ac:dyDescent="0.35">
      <c r="A2111" t="s">
        <v>20</v>
      </c>
      <c r="B2111" t="s">
        <v>21</v>
      </c>
      <c r="C2111" t="s">
        <v>51</v>
      </c>
      <c r="D2111" t="s">
        <v>435</v>
      </c>
      <c r="E2111">
        <v>80895794</v>
      </c>
      <c r="F2111" t="s">
        <v>1652</v>
      </c>
      <c r="G2111" s="3">
        <v>47220</v>
      </c>
      <c r="H2111">
        <v>36</v>
      </c>
      <c r="I2111">
        <v>95</v>
      </c>
      <c r="J2111">
        <v>381</v>
      </c>
      <c r="K2111" s="4">
        <v>24384</v>
      </c>
      <c r="L2111" s="4">
        <v>2602.7142857142858</v>
      </c>
      <c r="M2111" s="4">
        <v>0.14638564136341181</v>
      </c>
      <c r="N2111" t="s">
        <v>25</v>
      </c>
      <c r="O2111" t="str">
        <f t="shared" si="320"/>
        <v>Low</v>
      </c>
      <c r="P2111" t="str">
        <f t="shared" si="321"/>
        <v>Low</v>
      </c>
      <c r="Q2111" t="str">
        <f t="shared" si="322"/>
        <v>Low</v>
      </c>
      <c r="R2111" t="s">
        <v>3317</v>
      </c>
      <c r="S2111" s="4">
        <f t="shared" ca="1" si="323"/>
        <v>1023</v>
      </c>
      <c r="T2111">
        <f t="shared" si="324"/>
        <v>1</v>
      </c>
      <c r="U2111">
        <f t="shared" si="325"/>
        <v>1</v>
      </c>
      <c r="V2111">
        <f t="shared" si="326"/>
        <v>1</v>
      </c>
      <c r="W2111">
        <f t="shared" si="327"/>
        <v>1</v>
      </c>
      <c r="X2111">
        <f t="shared" si="328"/>
        <v>0.99999999999999989</v>
      </c>
      <c r="Y2111" t="str">
        <f t="shared" si="329"/>
        <v>Healthy</v>
      </c>
    </row>
    <row r="2112" spans="1:25" x14ac:dyDescent="0.35">
      <c r="A2112" t="s">
        <v>20</v>
      </c>
      <c r="B2112" t="s">
        <v>21</v>
      </c>
      <c r="C2112" t="s">
        <v>51</v>
      </c>
      <c r="D2112" t="s">
        <v>777</v>
      </c>
      <c r="E2112">
        <v>80895795</v>
      </c>
      <c r="F2112" t="s">
        <v>1653</v>
      </c>
      <c r="G2112" s="3">
        <v>47194</v>
      </c>
      <c r="H2112">
        <v>36</v>
      </c>
      <c r="I2112">
        <v>93</v>
      </c>
      <c r="J2112">
        <v>108</v>
      </c>
      <c r="K2112" s="4">
        <v>13824</v>
      </c>
      <c r="L2112" s="4">
        <v>5865</v>
      </c>
      <c r="M2112" s="4">
        <v>1.8414322250639385E-2</v>
      </c>
      <c r="N2112" t="s">
        <v>25</v>
      </c>
      <c r="O2112" t="str">
        <f t="shared" si="320"/>
        <v>Low</v>
      </c>
      <c r="P2112" t="str">
        <f t="shared" si="321"/>
        <v>Low</v>
      </c>
      <c r="Q2112" t="str">
        <f t="shared" si="322"/>
        <v>Low</v>
      </c>
      <c r="R2112" t="s">
        <v>3317</v>
      </c>
      <c r="S2112" s="4">
        <f t="shared" ca="1" si="323"/>
        <v>997</v>
      </c>
      <c r="T2112">
        <f t="shared" si="324"/>
        <v>1</v>
      </c>
      <c r="U2112">
        <f t="shared" si="325"/>
        <v>1</v>
      </c>
      <c r="V2112">
        <f t="shared" si="326"/>
        <v>1</v>
      </c>
      <c r="W2112">
        <f t="shared" si="327"/>
        <v>1</v>
      </c>
      <c r="X2112">
        <f t="shared" si="328"/>
        <v>0.99999999999999989</v>
      </c>
      <c r="Y2112" t="str">
        <f t="shared" si="329"/>
        <v>Healthy</v>
      </c>
    </row>
    <row r="2113" spans="1:25" x14ac:dyDescent="0.35">
      <c r="A2113" t="s">
        <v>20</v>
      </c>
      <c r="B2113" t="s">
        <v>21</v>
      </c>
      <c r="C2113" t="s">
        <v>51</v>
      </c>
      <c r="D2113" t="s">
        <v>777</v>
      </c>
      <c r="E2113">
        <v>80895795</v>
      </c>
      <c r="F2113" t="s">
        <v>1653</v>
      </c>
      <c r="G2113" s="3">
        <v>47231</v>
      </c>
      <c r="H2113">
        <v>36</v>
      </c>
      <c r="I2113">
        <v>96</v>
      </c>
      <c r="J2113">
        <v>142</v>
      </c>
      <c r="K2113" s="4">
        <v>18176</v>
      </c>
      <c r="L2113" s="4">
        <v>5865</v>
      </c>
      <c r="M2113" s="4">
        <v>2.4211423699914747E-2</v>
      </c>
      <c r="N2113" t="s">
        <v>25</v>
      </c>
      <c r="O2113" t="str">
        <f t="shared" si="320"/>
        <v>Low</v>
      </c>
      <c r="P2113" t="str">
        <f t="shared" si="321"/>
        <v>Low</v>
      </c>
      <c r="Q2113" t="str">
        <f t="shared" si="322"/>
        <v>Low</v>
      </c>
      <c r="R2113" t="s">
        <v>3317</v>
      </c>
      <c r="S2113" s="4">
        <f t="shared" ca="1" si="323"/>
        <v>1034</v>
      </c>
      <c r="T2113">
        <f t="shared" si="324"/>
        <v>1</v>
      </c>
      <c r="U2113">
        <f t="shared" si="325"/>
        <v>1</v>
      </c>
      <c r="V2113">
        <f t="shared" si="326"/>
        <v>1</v>
      </c>
      <c r="W2113">
        <f t="shared" si="327"/>
        <v>1</v>
      </c>
      <c r="X2113">
        <f t="shared" si="328"/>
        <v>0.99999999999999989</v>
      </c>
      <c r="Y2113" t="str">
        <f t="shared" si="329"/>
        <v>Healthy</v>
      </c>
    </row>
    <row r="2114" spans="1:25" x14ac:dyDescent="0.35">
      <c r="A2114" t="s">
        <v>20</v>
      </c>
      <c r="B2114" t="s">
        <v>21</v>
      </c>
      <c r="C2114" t="s">
        <v>51</v>
      </c>
      <c r="D2114" t="s">
        <v>777</v>
      </c>
      <c r="E2114">
        <v>80895795</v>
      </c>
      <c r="F2114" t="s">
        <v>1653</v>
      </c>
      <c r="G2114" s="3">
        <v>47234</v>
      </c>
      <c r="H2114">
        <v>36</v>
      </c>
      <c r="I2114">
        <v>96</v>
      </c>
      <c r="J2114">
        <v>168</v>
      </c>
      <c r="K2114" s="4">
        <v>21504</v>
      </c>
      <c r="L2114" s="4">
        <v>5865</v>
      </c>
      <c r="M2114" s="4">
        <v>2.8644501278772379E-2</v>
      </c>
      <c r="N2114" t="s">
        <v>25</v>
      </c>
      <c r="O2114" t="str">
        <f t="shared" si="320"/>
        <v>Low</v>
      </c>
      <c r="P2114" t="str">
        <f t="shared" si="321"/>
        <v>Low</v>
      </c>
      <c r="Q2114" t="str">
        <f t="shared" si="322"/>
        <v>Low</v>
      </c>
      <c r="R2114" t="s">
        <v>3317</v>
      </c>
      <c r="S2114" s="4">
        <f t="shared" ca="1" si="323"/>
        <v>1037</v>
      </c>
      <c r="T2114">
        <f t="shared" si="324"/>
        <v>1</v>
      </c>
      <c r="U2114">
        <f t="shared" si="325"/>
        <v>1</v>
      </c>
      <c r="V2114">
        <f t="shared" si="326"/>
        <v>1</v>
      </c>
      <c r="W2114">
        <f t="shared" si="327"/>
        <v>1</v>
      </c>
      <c r="X2114">
        <f t="shared" si="328"/>
        <v>0.99999999999999989</v>
      </c>
      <c r="Y2114" t="str">
        <f t="shared" si="329"/>
        <v>Healthy</v>
      </c>
    </row>
    <row r="2115" spans="1:25" x14ac:dyDescent="0.35">
      <c r="A2115" t="s">
        <v>20</v>
      </c>
      <c r="B2115" t="s">
        <v>21</v>
      </c>
      <c r="C2115" t="s">
        <v>51</v>
      </c>
      <c r="D2115" t="s">
        <v>777</v>
      </c>
      <c r="E2115">
        <v>80895795</v>
      </c>
      <c r="F2115" t="s">
        <v>1653</v>
      </c>
      <c r="G2115" s="3">
        <v>47232</v>
      </c>
      <c r="H2115">
        <v>36</v>
      </c>
      <c r="I2115">
        <v>96</v>
      </c>
      <c r="J2115">
        <v>144</v>
      </c>
      <c r="K2115" s="4">
        <v>18432</v>
      </c>
      <c r="L2115" s="4">
        <v>5865</v>
      </c>
      <c r="M2115" s="4">
        <v>2.4552429667519183E-2</v>
      </c>
      <c r="N2115" t="s">
        <v>25</v>
      </c>
      <c r="O2115" t="str">
        <f t="shared" ref="O2115:O2178" si="330">IF(I2115&lt;20,"High",IF(I2115&lt;40,"Medium","Low"))</f>
        <v>Low</v>
      </c>
      <c r="P2115" t="str">
        <f t="shared" ref="P2115:P2178" si="331">IF(M2115&gt;8,"High",IF(M2115&gt;4,"Medium","Low"))</f>
        <v>Low</v>
      </c>
      <c r="Q2115" t="str">
        <f t="shared" ref="Q2115:Q2178" si="332">IF(L2115&lt;5,"High",IF(L2115&lt;15,"Medium","Low"))</f>
        <v>Low</v>
      </c>
      <c r="R2115" t="s">
        <v>3317</v>
      </c>
      <c r="S2115" s="4">
        <f t="shared" ref="S2115:S2178" ca="1" si="333">G2115-TODAY()</f>
        <v>1035</v>
      </c>
      <c r="T2115">
        <f t="shared" ref="T2115:T2178" si="334">IF(O2115="High",3,IF(O2115="Medium",2,1))</f>
        <v>1</v>
      </c>
      <c r="U2115">
        <f t="shared" ref="U2115:U2178" si="335">IF(P2115="High",3,IF(P2115="Medium",2,1))</f>
        <v>1</v>
      </c>
      <c r="V2115">
        <f t="shared" ref="V2115:V2178" si="336">IF(Q2115="High",3,IF(Q2115="Medium",2,1))</f>
        <v>1</v>
      </c>
      <c r="W2115">
        <f t="shared" ref="W2115:W2178" si="337">IF(R2115="High",3,IF(R2115="Medium",2,1))</f>
        <v>1</v>
      </c>
      <c r="X2115">
        <f t="shared" ref="X2115:X2178" si="338">(0.4*T2115)+(0.3*U2115)+(0.2*V2115)+(0.1*W2115)</f>
        <v>0.99999999999999989</v>
      </c>
      <c r="Y2115" t="str">
        <f t="shared" ref="Y2115:Y2178" si="339">IF(X2115&gt;=2.7,"Move Immediately",IF(X2115&gt;=2.2,"High Priority",IF(X2115&gt;=1.7,"Monitor","Healthy")))</f>
        <v>Healthy</v>
      </c>
    </row>
    <row r="2116" spans="1:25" x14ac:dyDescent="0.35">
      <c r="A2116" t="s">
        <v>20</v>
      </c>
      <c r="B2116" t="s">
        <v>21</v>
      </c>
      <c r="C2116" t="s">
        <v>51</v>
      </c>
      <c r="D2116" t="s">
        <v>777</v>
      </c>
      <c r="E2116">
        <v>80895795</v>
      </c>
      <c r="F2116" t="s">
        <v>1653</v>
      </c>
      <c r="G2116" s="3">
        <v>47221</v>
      </c>
      <c r="H2116">
        <v>36</v>
      </c>
      <c r="I2116">
        <v>95</v>
      </c>
      <c r="J2116">
        <v>92</v>
      </c>
      <c r="K2116" s="4">
        <v>11776</v>
      </c>
      <c r="L2116" s="4">
        <v>5865</v>
      </c>
      <c r="M2116" s="4">
        <v>1.5686274509803921E-2</v>
      </c>
      <c r="N2116" t="s">
        <v>25</v>
      </c>
      <c r="O2116" t="str">
        <f t="shared" si="330"/>
        <v>Low</v>
      </c>
      <c r="P2116" t="str">
        <f t="shared" si="331"/>
        <v>Low</v>
      </c>
      <c r="Q2116" t="str">
        <f t="shared" si="332"/>
        <v>Low</v>
      </c>
      <c r="R2116" t="s">
        <v>3317</v>
      </c>
      <c r="S2116" s="4">
        <f t="shared" ca="1" si="333"/>
        <v>1024</v>
      </c>
      <c r="T2116">
        <f t="shared" si="334"/>
        <v>1</v>
      </c>
      <c r="U2116">
        <f t="shared" si="335"/>
        <v>1</v>
      </c>
      <c r="V2116">
        <f t="shared" si="336"/>
        <v>1</v>
      </c>
      <c r="W2116">
        <f t="shared" si="337"/>
        <v>1</v>
      </c>
      <c r="X2116">
        <f t="shared" si="338"/>
        <v>0.99999999999999989</v>
      </c>
      <c r="Y2116" t="str">
        <f t="shared" si="339"/>
        <v>Healthy</v>
      </c>
    </row>
    <row r="2117" spans="1:25" x14ac:dyDescent="0.35">
      <c r="A2117" t="s">
        <v>20</v>
      </c>
      <c r="B2117" t="s">
        <v>21</v>
      </c>
      <c r="C2117" t="s">
        <v>51</v>
      </c>
      <c r="D2117" t="s">
        <v>777</v>
      </c>
      <c r="E2117">
        <v>80895795</v>
      </c>
      <c r="F2117" t="s">
        <v>1653</v>
      </c>
      <c r="G2117" s="3">
        <v>47201</v>
      </c>
      <c r="H2117">
        <v>36</v>
      </c>
      <c r="I2117">
        <v>93</v>
      </c>
      <c r="J2117">
        <v>72</v>
      </c>
      <c r="K2117" s="4">
        <v>9216</v>
      </c>
      <c r="L2117" s="4">
        <v>5865</v>
      </c>
      <c r="M2117" s="4">
        <v>1.2276214833759591E-2</v>
      </c>
      <c r="N2117" t="s">
        <v>25</v>
      </c>
      <c r="O2117" t="str">
        <f t="shared" si="330"/>
        <v>Low</v>
      </c>
      <c r="P2117" t="str">
        <f t="shared" si="331"/>
        <v>Low</v>
      </c>
      <c r="Q2117" t="str">
        <f t="shared" si="332"/>
        <v>Low</v>
      </c>
      <c r="R2117" t="s">
        <v>3317</v>
      </c>
      <c r="S2117" s="4">
        <f t="shared" ca="1" si="333"/>
        <v>1004</v>
      </c>
      <c r="T2117">
        <f t="shared" si="334"/>
        <v>1</v>
      </c>
      <c r="U2117">
        <f t="shared" si="335"/>
        <v>1</v>
      </c>
      <c r="V2117">
        <f t="shared" si="336"/>
        <v>1</v>
      </c>
      <c r="W2117">
        <f t="shared" si="337"/>
        <v>1</v>
      </c>
      <c r="X2117">
        <f t="shared" si="338"/>
        <v>0.99999999999999989</v>
      </c>
      <c r="Y2117" t="str">
        <f t="shared" si="339"/>
        <v>Healthy</v>
      </c>
    </row>
    <row r="2118" spans="1:25" x14ac:dyDescent="0.35">
      <c r="A2118" t="s">
        <v>20</v>
      </c>
      <c r="B2118" t="s">
        <v>21</v>
      </c>
      <c r="C2118" t="s">
        <v>51</v>
      </c>
      <c r="D2118" t="s">
        <v>777</v>
      </c>
      <c r="E2118">
        <v>80895795</v>
      </c>
      <c r="F2118" t="s">
        <v>1653</v>
      </c>
      <c r="G2118" s="3">
        <v>47196</v>
      </c>
      <c r="H2118">
        <v>36</v>
      </c>
      <c r="I2118">
        <v>93</v>
      </c>
      <c r="J2118">
        <v>157</v>
      </c>
      <c r="K2118" s="4">
        <v>20096</v>
      </c>
      <c r="L2118" s="4">
        <v>5865</v>
      </c>
      <c r="M2118" s="4">
        <v>2.6768968456947997E-2</v>
      </c>
      <c r="N2118" t="s">
        <v>25</v>
      </c>
      <c r="O2118" t="str">
        <f t="shared" si="330"/>
        <v>Low</v>
      </c>
      <c r="P2118" t="str">
        <f t="shared" si="331"/>
        <v>Low</v>
      </c>
      <c r="Q2118" t="str">
        <f t="shared" si="332"/>
        <v>Low</v>
      </c>
      <c r="R2118" t="s">
        <v>3317</v>
      </c>
      <c r="S2118" s="4">
        <f t="shared" ca="1" si="333"/>
        <v>999</v>
      </c>
      <c r="T2118">
        <f t="shared" si="334"/>
        <v>1</v>
      </c>
      <c r="U2118">
        <f t="shared" si="335"/>
        <v>1</v>
      </c>
      <c r="V2118">
        <f t="shared" si="336"/>
        <v>1</v>
      </c>
      <c r="W2118">
        <f t="shared" si="337"/>
        <v>1</v>
      </c>
      <c r="X2118">
        <f t="shared" si="338"/>
        <v>0.99999999999999989</v>
      </c>
      <c r="Y2118" t="str">
        <f t="shared" si="339"/>
        <v>Healthy</v>
      </c>
    </row>
    <row r="2119" spans="1:25" x14ac:dyDescent="0.35">
      <c r="A2119" t="s">
        <v>20</v>
      </c>
      <c r="B2119" t="s">
        <v>21</v>
      </c>
      <c r="C2119" t="s">
        <v>51</v>
      </c>
      <c r="D2119" t="s">
        <v>781</v>
      </c>
      <c r="E2119">
        <v>80895798</v>
      </c>
      <c r="F2119" t="s">
        <v>1654</v>
      </c>
      <c r="G2119" s="3">
        <v>47225</v>
      </c>
      <c r="H2119">
        <v>36</v>
      </c>
      <c r="I2119">
        <v>96</v>
      </c>
      <c r="J2119">
        <v>26</v>
      </c>
      <c r="K2119" s="4">
        <v>3328</v>
      </c>
      <c r="L2119" s="4">
        <v>4819.4285714285716</v>
      </c>
      <c r="M2119" s="4">
        <v>5.3948304481859144E-3</v>
      </c>
      <c r="N2119" t="s">
        <v>25</v>
      </c>
      <c r="O2119" t="str">
        <f t="shared" si="330"/>
        <v>Low</v>
      </c>
      <c r="P2119" t="str">
        <f t="shared" si="331"/>
        <v>Low</v>
      </c>
      <c r="Q2119" t="str">
        <f t="shared" si="332"/>
        <v>Low</v>
      </c>
      <c r="R2119" t="s">
        <v>3317</v>
      </c>
      <c r="S2119" s="4">
        <f t="shared" ca="1" si="333"/>
        <v>1028</v>
      </c>
      <c r="T2119">
        <f t="shared" si="334"/>
        <v>1</v>
      </c>
      <c r="U2119">
        <f t="shared" si="335"/>
        <v>1</v>
      </c>
      <c r="V2119">
        <f t="shared" si="336"/>
        <v>1</v>
      </c>
      <c r="W2119">
        <f t="shared" si="337"/>
        <v>1</v>
      </c>
      <c r="X2119">
        <f t="shared" si="338"/>
        <v>0.99999999999999989</v>
      </c>
      <c r="Y2119" t="str">
        <f t="shared" si="339"/>
        <v>Healthy</v>
      </c>
    </row>
    <row r="2120" spans="1:25" x14ac:dyDescent="0.35">
      <c r="A2120" t="s">
        <v>20</v>
      </c>
      <c r="B2120" t="s">
        <v>21</v>
      </c>
      <c r="C2120" t="s">
        <v>51</v>
      </c>
      <c r="D2120" t="s">
        <v>781</v>
      </c>
      <c r="E2120">
        <v>80895798</v>
      </c>
      <c r="F2120" t="s">
        <v>1654</v>
      </c>
      <c r="G2120" s="3">
        <v>47227</v>
      </c>
      <c r="H2120">
        <v>36</v>
      </c>
      <c r="I2120">
        <v>96</v>
      </c>
      <c r="J2120">
        <v>130</v>
      </c>
      <c r="K2120" s="4">
        <v>16640</v>
      </c>
      <c r="L2120" s="4">
        <v>4819.4285714285716</v>
      </c>
      <c r="M2120" s="4">
        <v>2.6974152240929569E-2</v>
      </c>
      <c r="N2120" t="s">
        <v>25</v>
      </c>
      <c r="O2120" t="str">
        <f t="shared" si="330"/>
        <v>Low</v>
      </c>
      <c r="P2120" t="str">
        <f t="shared" si="331"/>
        <v>Low</v>
      </c>
      <c r="Q2120" t="str">
        <f t="shared" si="332"/>
        <v>Low</v>
      </c>
      <c r="R2120" t="s">
        <v>3317</v>
      </c>
      <c r="S2120" s="4">
        <f t="shared" ca="1" si="333"/>
        <v>1030</v>
      </c>
      <c r="T2120">
        <f t="shared" si="334"/>
        <v>1</v>
      </c>
      <c r="U2120">
        <f t="shared" si="335"/>
        <v>1</v>
      </c>
      <c r="V2120">
        <f t="shared" si="336"/>
        <v>1</v>
      </c>
      <c r="W2120">
        <f t="shared" si="337"/>
        <v>1</v>
      </c>
      <c r="X2120">
        <f t="shared" si="338"/>
        <v>0.99999999999999989</v>
      </c>
      <c r="Y2120" t="str">
        <f t="shared" si="339"/>
        <v>Healthy</v>
      </c>
    </row>
    <row r="2121" spans="1:25" x14ac:dyDescent="0.35">
      <c r="A2121" t="s">
        <v>20</v>
      </c>
      <c r="B2121" t="s">
        <v>21</v>
      </c>
      <c r="C2121" t="s">
        <v>51</v>
      </c>
      <c r="D2121" t="s">
        <v>804</v>
      </c>
      <c r="E2121">
        <v>80895799</v>
      </c>
      <c r="F2121" t="s">
        <v>1655</v>
      </c>
      <c r="G2121" s="3">
        <v>47195</v>
      </c>
      <c r="H2121">
        <v>36</v>
      </c>
      <c r="I2121">
        <v>93</v>
      </c>
      <c r="J2121">
        <v>9</v>
      </c>
      <c r="K2121" s="4">
        <v>568.79999999999995</v>
      </c>
      <c r="L2121" s="4">
        <v>904.42857142857144</v>
      </c>
      <c r="M2121" s="4">
        <v>9.9510345916916758E-3</v>
      </c>
      <c r="N2121" t="s">
        <v>25</v>
      </c>
      <c r="O2121" t="str">
        <f t="shared" si="330"/>
        <v>Low</v>
      </c>
      <c r="P2121" t="str">
        <f t="shared" si="331"/>
        <v>Low</v>
      </c>
      <c r="Q2121" t="str">
        <f t="shared" si="332"/>
        <v>Low</v>
      </c>
      <c r="R2121" t="s">
        <v>3317</v>
      </c>
      <c r="S2121" s="4">
        <f t="shared" ca="1" si="333"/>
        <v>998</v>
      </c>
      <c r="T2121">
        <f t="shared" si="334"/>
        <v>1</v>
      </c>
      <c r="U2121">
        <f t="shared" si="335"/>
        <v>1</v>
      </c>
      <c r="V2121">
        <f t="shared" si="336"/>
        <v>1</v>
      </c>
      <c r="W2121">
        <f t="shared" si="337"/>
        <v>1</v>
      </c>
      <c r="X2121">
        <f t="shared" si="338"/>
        <v>0.99999999999999989</v>
      </c>
      <c r="Y2121" t="str">
        <f t="shared" si="339"/>
        <v>Healthy</v>
      </c>
    </row>
    <row r="2122" spans="1:25" x14ac:dyDescent="0.35">
      <c r="A2122" t="s">
        <v>20</v>
      </c>
      <c r="B2122" t="s">
        <v>21</v>
      </c>
      <c r="C2122" t="s">
        <v>51</v>
      </c>
      <c r="D2122" t="s">
        <v>804</v>
      </c>
      <c r="E2122">
        <v>80895799</v>
      </c>
      <c r="F2122" t="s">
        <v>1655</v>
      </c>
      <c r="G2122" s="3">
        <v>47194</v>
      </c>
      <c r="H2122">
        <v>36</v>
      </c>
      <c r="I2122">
        <v>93</v>
      </c>
      <c r="J2122">
        <v>32</v>
      </c>
      <c r="K2122" s="4">
        <v>2022.4</v>
      </c>
      <c r="L2122" s="4">
        <v>904.42857142857144</v>
      </c>
      <c r="M2122" s="4">
        <v>3.5381456326014846E-2</v>
      </c>
      <c r="N2122" t="s">
        <v>25</v>
      </c>
      <c r="O2122" t="str">
        <f t="shared" si="330"/>
        <v>Low</v>
      </c>
      <c r="P2122" t="str">
        <f t="shared" si="331"/>
        <v>Low</v>
      </c>
      <c r="Q2122" t="str">
        <f t="shared" si="332"/>
        <v>Low</v>
      </c>
      <c r="R2122" t="s">
        <v>3317</v>
      </c>
      <c r="S2122" s="4">
        <f t="shared" ca="1" si="333"/>
        <v>997</v>
      </c>
      <c r="T2122">
        <f t="shared" si="334"/>
        <v>1</v>
      </c>
      <c r="U2122">
        <f t="shared" si="335"/>
        <v>1</v>
      </c>
      <c r="V2122">
        <f t="shared" si="336"/>
        <v>1</v>
      </c>
      <c r="W2122">
        <f t="shared" si="337"/>
        <v>1</v>
      </c>
      <c r="X2122">
        <f t="shared" si="338"/>
        <v>0.99999999999999989</v>
      </c>
      <c r="Y2122" t="str">
        <f t="shared" si="339"/>
        <v>Healthy</v>
      </c>
    </row>
    <row r="2123" spans="1:25" x14ac:dyDescent="0.35">
      <c r="A2123" t="s">
        <v>20</v>
      </c>
      <c r="B2123" t="s">
        <v>21</v>
      </c>
      <c r="C2123" t="s">
        <v>51</v>
      </c>
      <c r="D2123" t="s">
        <v>1656</v>
      </c>
      <c r="E2123">
        <v>80895713</v>
      </c>
      <c r="F2123" t="s">
        <v>1657</v>
      </c>
      <c r="G2123" s="3">
        <v>47263</v>
      </c>
      <c r="H2123">
        <v>36</v>
      </c>
      <c r="I2123">
        <v>99</v>
      </c>
      <c r="J2123">
        <v>100</v>
      </c>
      <c r="K2123" s="4">
        <v>19199</v>
      </c>
      <c r="L2123" s="4">
        <v>132.57142857142858</v>
      </c>
      <c r="M2123" s="4">
        <v>0.75431034482758619</v>
      </c>
      <c r="N2123" t="s">
        <v>25</v>
      </c>
      <c r="O2123" t="str">
        <f t="shared" si="330"/>
        <v>Low</v>
      </c>
      <c r="P2123" t="str">
        <f t="shared" si="331"/>
        <v>Low</v>
      </c>
      <c r="Q2123" t="str">
        <f t="shared" si="332"/>
        <v>Low</v>
      </c>
      <c r="R2123" t="s">
        <v>3317</v>
      </c>
      <c r="S2123" s="4">
        <f t="shared" ca="1" si="333"/>
        <v>1066</v>
      </c>
      <c r="T2123">
        <f t="shared" si="334"/>
        <v>1</v>
      </c>
      <c r="U2123">
        <f t="shared" si="335"/>
        <v>1</v>
      </c>
      <c r="V2123">
        <f t="shared" si="336"/>
        <v>1</v>
      </c>
      <c r="W2123">
        <f t="shared" si="337"/>
        <v>1</v>
      </c>
      <c r="X2123">
        <f t="shared" si="338"/>
        <v>0.99999999999999989</v>
      </c>
      <c r="Y2123" t="str">
        <f t="shared" si="339"/>
        <v>Healthy</v>
      </c>
    </row>
    <row r="2124" spans="1:25" x14ac:dyDescent="0.35">
      <c r="A2124" t="s">
        <v>20</v>
      </c>
      <c r="B2124" t="s">
        <v>21</v>
      </c>
      <c r="C2124" t="s">
        <v>51</v>
      </c>
      <c r="D2124" t="s">
        <v>1656</v>
      </c>
      <c r="E2124">
        <v>80895713</v>
      </c>
      <c r="F2124" t="s">
        <v>1657</v>
      </c>
      <c r="G2124" s="3">
        <v>47226</v>
      </c>
      <c r="H2124">
        <v>36</v>
      </c>
      <c r="I2124">
        <v>96</v>
      </c>
      <c r="J2124">
        <v>1</v>
      </c>
      <c r="K2124" s="4">
        <v>191.99</v>
      </c>
      <c r="L2124" s="4">
        <v>132.57142857142858</v>
      </c>
      <c r="M2124" s="4">
        <v>7.5431034482758615E-3</v>
      </c>
      <c r="N2124" t="s">
        <v>25</v>
      </c>
      <c r="O2124" t="str">
        <f t="shared" si="330"/>
        <v>Low</v>
      </c>
      <c r="P2124" t="str">
        <f t="shared" si="331"/>
        <v>Low</v>
      </c>
      <c r="Q2124" t="str">
        <f t="shared" si="332"/>
        <v>Low</v>
      </c>
      <c r="R2124" t="s">
        <v>3317</v>
      </c>
      <c r="S2124" s="4">
        <f t="shared" ca="1" si="333"/>
        <v>1029</v>
      </c>
      <c r="T2124">
        <f t="shared" si="334"/>
        <v>1</v>
      </c>
      <c r="U2124">
        <f t="shared" si="335"/>
        <v>1</v>
      </c>
      <c r="V2124">
        <f t="shared" si="336"/>
        <v>1</v>
      </c>
      <c r="W2124">
        <f t="shared" si="337"/>
        <v>1</v>
      </c>
      <c r="X2124">
        <f t="shared" si="338"/>
        <v>0.99999999999999989</v>
      </c>
      <c r="Y2124" t="str">
        <f t="shared" si="339"/>
        <v>Healthy</v>
      </c>
    </row>
    <row r="2125" spans="1:25" x14ac:dyDescent="0.35">
      <c r="A2125" t="s">
        <v>90</v>
      </c>
      <c r="B2125" t="s">
        <v>91</v>
      </c>
      <c r="C2125" t="s">
        <v>92</v>
      </c>
      <c r="D2125" t="s">
        <v>1658</v>
      </c>
      <c r="E2125">
        <v>80705275</v>
      </c>
      <c r="F2125" t="s">
        <v>1659</v>
      </c>
      <c r="G2125" s="3">
        <v>45358</v>
      </c>
      <c r="H2125">
        <v>24</v>
      </c>
      <c r="I2125">
        <v>0</v>
      </c>
      <c r="J2125">
        <v>36</v>
      </c>
      <c r="K2125" s="4">
        <v>16084.44</v>
      </c>
      <c r="L2125" s="4">
        <f>0</f>
        <v>0</v>
      </c>
      <c r="M2125" s="4">
        <f>999</f>
        <v>999</v>
      </c>
      <c r="N2125" t="s">
        <v>19</v>
      </c>
      <c r="O2125" t="str">
        <f t="shared" si="330"/>
        <v>High</v>
      </c>
      <c r="P2125" t="str">
        <f t="shared" si="331"/>
        <v>High</v>
      </c>
      <c r="Q2125" t="str">
        <f t="shared" si="332"/>
        <v>High</v>
      </c>
      <c r="R2125" t="s">
        <v>3317</v>
      </c>
      <c r="S2125" s="4">
        <f t="shared" ca="1" si="333"/>
        <v>-839</v>
      </c>
      <c r="T2125">
        <f t="shared" si="334"/>
        <v>3</v>
      </c>
      <c r="U2125">
        <f t="shared" si="335"/>
        <v>3</v>
      </c>
      <c r="V2125">
        <f t="shared" si="336"/>
        <v>3</v>
      </c>
      <c r="W2125">
        <f t="shared" si="337"/>
        <v>1</v>
      </c>
      <c r="X2125">
        <f t="shared" si="338"/>
        <v>2.8000000000000003</v>
      </c>
      <c r="Y2125" t="str">
        <f t="shared" si="339"/>
        <v>Move Immediately</v>
      </c>
    </row>
    <row r="2126" spans="1:25" x14ac:dyDescent="0.35">
      <c r="A2126" t="s">
        <v>20</v>
      </c>
      <c r="B2126" t="s">
        <v>21</v>
      </c>
      <c r="C2126" t="s">
        <v>684</v>
      </c>
      <c r="D2126" t="s">
        <v>787</v>
      </c>
      <c r="E2126">
        <v>80895901</v>
      </c>
      <c r="F2126" t="s">
        <v>1660</v>
      </c>
      <c r="G2126" s="3">
        <v>47111</v>
      </c>
      <c r="H2126">
        <v>36</v>
      </c>
      <c r="I2126">
        <v>85</v>
      </c>
      <c r="J2126">
        <v>10</v>
      </c>
      <c r="K2126" s="4">
        <v>1224</v>
      </c>
      <c r="L2126" s="4">
        <v>1215.7142857142858</v>
      </c>
      <c r="M2126" s="4">
        <v>8.2256169212690956E-3</v>
      </c>
      <c r="N2126" t="s">
        <v>25</v>
      </c>
      <c r="O2126" t="str">
        <f t="shared" si="330"/>
        <v>Low</v>
      </c>
      <c r="P2126" t="str">
        <f t="shared" si="331"/>
        <v>Low</v>
      </c>
      <c r="Q2126" t="str">
        <f t="shared" si="332"/>
        <v>Low</v>
      </c>
      <c r="R2126" t="s">
        <v>3317</v>
      </c>
      <c r="S2126" s="4">
        <f t="shared" ca="1" si="333"/>
        <v>914</v>
      </c>
      <c r="T2126">
        <f t="shared" si="334"/>
        <v>1</v>
      </c>
      <c r="U2126">
        <f t="shared" si="335"/>
        <v>1</v>
      </c>
      <c r="V2126">
        <f t="shared" si="336"/>
        <v>1</v>
      </c>
      <c r="W2126">
        <f t="shared" si="337"/>
        <v>1</v>
      </c>
      <c r="X2126">
        <f t="shared" si="338"/>
        <v>0.99999999999999989</v>
      </c>
      <c r="Y2126" t="str">
        <f t="shared" si="339"/>
        <v>Healthy</v>
      </c>
    </row>
    <row r="2127" spans="1:25" x14ac:dyDescent="0.35">
      <c r="A2127" t="s">
        <v>41</v>
      </c>
      <c r="B2127" t="s">
        <v>54</v>
      </c>
      <c r="C2127" t="s">
        <v>55</v>
      </c>
      <c r="D2127" t="s">
        <v>1623</v>
      </c>
      <c r="E2127">
        <v>80896351</v>
      </c>
      <c r="F2127" t="s">
        <v>1661</v>
      </c>
      <c r="G2127" s="3">
        <v>47074</v>
      </c>
      <c r="H2127">
        <v>36</v>
      </c>
      <c r="I2127">
        <v>82</v>
      </c>
      <c r="J2127">
        <v>9</v>
      </c>
      <c r="K2127" s="4">
        <v>3934.17</v>
      </c>
      <c r="L2127" s="4">
        <v>994.28571428571433</v>
      </c>
      <c r="M2127" s="4">
        <v>9.0517241379310335E-3</v>
      </c>
      <c r="N2127" t="s">
        <v>25</v>
      </c>
      <c r="O2127" t="str">
        <f t="shared" si="330"/>
        <v>Low</v>
      </c>
      <c r="P2127" t="str">
        <f t="shared" si="331"/>
        <v>Low</v>
      </c>
      <c r="Q2127" t="str">
        <f t="shared" si="332"/>
        <v>Low</v>
      </c>
      <c r="R2127" t="s">
        <v>3317</v>
      </c>
      <c r="S2127" s="4">
        <f t="shared" ca="1" si="333"/>
        <v>877</v>
      </c>
      <c r="T2127">
        <f t="shared" si="334"/>
        <v>1</v>
      </c>
      <c r="U2127">
        <f t="shared" si="335"/>
        <v>1</v>
      </c>
      <c r="V2127">
        <f t="shared" si="336"/>
        <v>1</v>
      </c>
      <c r="W2127">
        <f t="shared" si="337"/>
        <v>1</v>
      </c>
      <c r="X2127">
        <f t="shared" si="338"/>
        <v>0.99999999999999989</v>
      </c>
      <c r="Y2127" t="str">
        <f t="shared" si="339"/>
        <v>Healthy</v>
      </c>
    </row>
    <row r="2128" spans="1:25" x14ac:dyDescent="0.35">
      <c r="A2128" t="s">
        <v>41</v>
      </c>
      <c r="B2128" t="s">
        <v>54</v>
      </c>
      <c r="C2128" t="s">
        <v>55</v>
      </c>
      <c r="D2128" t="s">
        <v>1623</v>
      </c>
      <c r="E2128">
        <v>80896351</v>
      </c>
      <c r="F2128" t="s">
        <v>1661</v>
      </c>
      <c r="G2128" s="3">
        <v>47101</v>
      </c>
      <c r="H2128">
        <v>36</v>
      </c>
      <c r="I2128">
        <v>84</v>
      </c>
      <c r="J2128">
        <v>60</v>
      </c>
      <c r="K2128" s="4">
        <v>26227.8</v>
      </c>
      <c r="L2128" s="4">
        <v>994.28571428571433</v>
      </c>
      <c r="M2128" s="4">
        <v>6.0344827586206892E-2</v>
      </c>
      <c r="N2128" t="s">
        <v>25</v>
      </c>
      <c r="O2128" t="str">
        <f t="shared" si="330"/>
        <v>Low</v>
      </c>
      <c r="P2128" t="str">
        <f t="shared" si="331"/>
        <v>Low</v>
      </c>
      <c r="Q2128" t="str">
        <f t="shared" si="332"/>
        <v>Low</v>
      </c>
      <c r="R2128" t="s">
        <v>3317</v>
      </c>
      <c r="S2128" s="4">
        <f t="shared" ca="1" si="333"/>
        <v>904</v>
      </c>
      <c r="T2128">
        <f t="shared" si="334"/>
        <v>1</v>
      </c>
      <c r="U2128">
        <f t="shared" si="335"/>
        <v>1</v>
      </c>
      <c r="V2128">
        <f t="shared" si="336"/>
        <v>1</v>
      </c>
      <c r="W2128">
        <f t="shared" si="337"/>
        <v>1</v>
      </c>
      <c r="X2128">
        <f t="shared" si="338"/>
        <v>0.99999999999999989</v>
      </c>
      <c r="Y2128" t="str">
        <f t="shared" si="339"/>
        <v>Healthy</v>
      </c>
    </row>
    <row r="2129" spans="1:25" x14ac:dyDescent="0.35">
      <c r="A2129" t="s">
        <v>20</v>
      </c>
      <c r="B2129" t="s">
        <v>21</v>
      </c>
      <c r="C2129" t="s">
        <v>1537</v>
      </c>
      <c r="D2129" t="s">
        <v>1662</v>
      </c>
      <c r="E2129">
        <v>80895601</v>
      </c>
      <c r="F2129" t="s">
        <v>1663</v>
      </c>
      <c r="G2129" s="3">
        <v>47245</v>
      </c>
      <c r="H2129">
        <v>36</v>
      </c>
      <c r="I2129">
        <v>98</v>
      </c>
      <c r="J2129">
        <v>23</v>
      </c>
      <c r="K2129" s="4">
        <v>2914.56</v>
      </c>
      <c r="L2129" s="4">
        <v>3331.5714285714284</v>
      </c>
      <c r="M2129" s="4">
        <v>6.9036490716521594E-3</v>
      </c>
      <c r="N2129" t="s">
        <v>25</v>
      </c>
      <c r="O2129" t="str">
        <f t="shared" si="330"/>
        <v>Low</v>
      </c>
      <c r="P2129" t="str">
        <f t="shared" si="331"/>
        <v>Low</v>
      </c>
      <c r="Q2129" t="str">
        <f t="shared" si="332"/>
        <v>Low</v>
      </c>
      <c r="R2129" t="s">
        <v>3317</v>
      </c>
      <c r="S2129" s="4">
        <f t="shared" ca="1" si="333"/>
        <v>1048</v>
      </c>
      <c r="T2129">
        <f t="shared" si="334"/>
        <v>1</v>
      </c>
      <c r="U2129">
        <f t="shared" si="335"/>
        <v>1</v>
      </c>
      <c r="V2129">
        <f t="shared" si="336"/>
        <v>1</v>
      </c>
      <c r="W2129">
        <f t="shared" si="337"/>
        <v>1</v>
      </c>
      <c r="X2129">
        <f t="shared" si="338"/>
        <v>0.99999999999999989</v>
      </c>
      <c r="Y2129" t="str">
        <f t="shared" si="339"/>
        <v>Healthy</v>
      </c>
    </row>
    <row r="2130" spans="1:25" x14ac:dyDescent="0.35">
      <c r="A2130" t="s">
        <v>20</v>
      </c>
      <c r="B2130" t="s">
        <v>21</v>
      </c>
      <c r="C2130" t="s">
        <v>171</v>
      </c>
      <c r="D2130" t="s">
        <v>1664</v>
      </c>
      <c r="E2130">
        <v>80895671</v>
      </c>
      <c r="F2130" t="s">
        <v>1665</v>
      </c>
      <c r="G2130" s="3">
        <v>47245</v>
      </c>
      <c r="H2130">
        <v>36</v>
      </c>
      <c r="I2130">
        <v>98</v>
      </c>
      <c r="J2130">
        <v>360</v>
      </c>
      <c r="K2130" s="4">
        <v>38880</v>
      </c>
      <c r="L2130" s="4">
        <v>9498.8571428571431</v>
      </c>
      <c r="M2130" s="4">
        <v>3.7899296155928533E-2</v>
      </c>
      <c r="N2130" t="s">
        <v>25</v>
      </c>
      <c r="O2130" t="str">
        <f t="shared" si="330"/>
        <v>Low</v>
      </c>
      <c r="P2130" t="str">
        <f t="shared" si="331"/>
        <v>Low</v>
      </c>
      <c r="Q2130" t="str">
        <f t="shared" si="332"/>
        <v>Low</v>
      </c>
      <c r="R2130" t="s">
        <v>3317</v>
      </c>
      <c r="S2130" s="4">
        <f t="shared" ca="1" si="333"/>
        <v>1048</v>
      </c>
      <c r="T2130">
        <f t="shared" si="334"/>
        <v>1</v>
      </c>
      <c r="U2130">
        <f t="shared" si="335"/>
        <v>1</v>
      </c>
      <c r="V2130">
        <f t="shared" si="336"/>
        <v>1</v>
      </c>
      <c r="W2130">
        <f t="shared" si="337"/>
        <v>1</v>
      </c>
      <c r="X2130">
        <f t="shared" si="338"/>
        <v>0.99999999999999989</v>
      </c>
      <c r="Y2130" t="str">
        <f t="shared" si="339"/>
        <v>Healthy</v>
      </c>
    </row>
    <row r="2131" spans="1:25" x14ac:dyDescent="0.35">
      <c r="A2131" t="s">
        <v>90</v>
      </c>
      <c r="B2131" t="s">
        <v>91</v>
      </c>
      <c r="C2131" t="s">
        <v>92</v>
      </c>
      <c r="D2131" t="s">
        <v>880</v>
      </c>
      <c r="E2131">
        <v>80704869</v>
      </c>
      <c r="F2131" t="s">
        <v>1666</v>
      </c>
      <c r="G2131" s="3">
        <v>45375</v>
      </c>
      <c r="H2131">
        <v>24</v>
      </c>
      <c r="I2131">
        <v>0</v>
      </c>
      <c r="J2131">
        <v>23</v>
      </c>
      <c r="K2131" s="4">
        <v>25562.43</v>
      </c>
      <c r="L2131" s="4">
        <f>0</f>
        <v>0</v>
      </c>
      <c r="M2131" s="4">
        <f>999</f>
        <v>999</v>
      </c>
      <c r="N2131" t="s">
        <v>19</v>
      </c>
      <c r="O2131" t="str">
        <f t="shared" si="330"/>
        <v>High</v>
      </c>
      <c r="P2131" t="str">
        <f t="shared" si="331"/>
        <v>High</v>
      </c>
      <c r="Q2131" t="str">
        <f t="shared" si="332"/>
        <v>High</v>
      </c>
      <c r="R2131" t="s">
        <v>3317</v>
      </c>
      <c r="S2131" s="4">
        <f t="shared" ca="1" si="333"/>
        <v>-822</v>
      </c>
      <c r="T2131">
        <f t="shared" si="334"/>
        <v>3</v>
      </c>
      <c r="U2131">
        <f t="shared" si="335"/>
        <v>3</v>
      </c>
      <c r="V2131">
        <f t="shared" si="336"/>
        <v>3</v>
      </c>
      <c r="W2131">
        <f t="shared" si="337"/>
        <v>1</v>
      </c>
      <c r="X2131">
        <f t="shared" si="338"/>
        <v>2.8000000000000003</v>
      </c>
      <c r="Y2131" t="str">
        <f t="shared" si="339"/>
        <v>Move Immediately</v>
      </c>
    </row>
    <row r="2132" spans="1:25" x14ac:dyDescent="0.35">
      <c r="A2132" t="s">
        <v>20</v>
      </c>
      <c r="B2132" t="s">
        <v>21</v>
      </c>
      <c r="C2132" t="s">
        <v>171</v>
      </c>
      <c r="D2132" t="s">
        <v>1664</v>
      </c>
      <c r="E2132">
        <v>80895671</v>
      </c>
      <c r="F2132" t="s">
        <v>1665</v>
      </c>
      <c r="G2132" s="3">
        <v>47261</v>
      </c>
      <c r="H2132">
        <v>36</v>
      </c>
      <c r="I2132">
        <v>99</v>
      </c>
      <c r="J2132">
        <v>17</v>
      </c>
      <c r="K2132" s="4">
        <v>1836</v>
      </c>
      <c r="L2132" s="4">
        <v>9498.8571428571431</v>
      </c>
      <c r="M2132" s="4">
        <v>1.7896889851410696E-3</v>
      </c>
      <c r="N2132" t="s">
        <v>25</v>
      </c>
      <c r="O2132" t="str">
        <f t="shared" si="330"/>
        <v>Low</v>
      </c>
      <c r="P2132" t="str">
        <f t="shared" si="331"/>
        <v>Low</v>
      </c>
      <c r="Q2132" t="str">
        <f t="shared" si="332"/>
        <v>Low</v>
      </c>
      <c r="R2132" t="s">
        <v>3317</v>
      </c>
      <c r="S2132" s="4">
        <f t="shared" ca="1" si="333"/>
        <v>1064</v>
      </c>
      <c r="T2132">
        <f t="shared" si="334"/>
        <v>1</v>
      </c>
      <c r="U2132">
        <f t="shared" si="335"/>
        <v>1</v>
      </c>
      <c r="V2132">
        <f t="shared" si="336"/>
        <v>1</v>
      </c>
      <c r="W2132">
        <f t="shared" si="337"/>
        <v>1</v>
      </c>
      <c r="X2132">
        <f t="shared" si="338"/>
        <v>0.99999999999999989</v>
      </c>
      <c r="Y2132" t="str">
        <f t="shared" si="339"/>
        <v>Healthy</v>
      </c>
    </row>
    <row r="2133" spans="1:25" x14ac:dyDescent="0.35">
      <c r="A2133" t="s">
        <v>20</v>
      </c>
      <c r="B2133" t="s">
        <v>21</v>
      </c>
      <c r="C2133" t="s">
        <v>171</v>
      </c>
      <c r="D2133" t="s">
        <v>172</v>
      </c>
      <c r="E2133">
        <v>80895672</v>
      </c>
      <c r="F2133" t="s">
        <v>1667</v>
      </c>
      <c r="G2133" s="3">
        <v>47261</v>
      </c>
      <c r="H2133">
        <v>36</v>
      </c>
      <c r="I2133">
        <v>99</v>
      </c>
      <c r="J2133">
        <v>7</v>
      </c>
      <c r="K2133" s="4">
        <v>756</v>
      </c>
      <c r="L2133" s="4">
        <v>3845.7142857142858</v>
      </c>
      <c r="M2133" s="4">
        <v>1.8202080237741457E-3</v>
      </c>
      <c r="N2133" t="s">
        <v>25</v>
      </c>
      <c r="O2133" t="str">
        <f t="shared" si="330"/>
        <v>Low</v>
      </c>
      <c r="P2133" t="str">
        <f t="shared" si="331"/>
        <v>Low</v>
      </c>
      <c r="Q2133" t="str">
        <f t="shared" si="332"/>
        <v>Low</v>
      </c>
      <c r="R2133" t="s">
        <v>3317</v>
      </c>
      <c r="S2133" s="4">
        <f t="shared" ca="1" si="333"/>
        <v>1064</v>
      </c>
      <c r="T2133">
        <f t="shared" si="334"/>
        <v>1</v>
      </c>
      <c r="U2133">
        <f t="shared" si="335"/>
        <v>1</v>
      </c>
      <c r="V2133">
        <f t="shared" si="336"/>
        <v>1</v>
      </c>
      <c r="W2133">
        <f t="shared" si="337"/>
        <v>1</v>
      </c>
      <c r="X2133">
        <f t="shared" si="338"/>
        <v>0.99999999999999989</v>
      </c>
      <c r="Y2133" t="str">
        <f t="shared" si="339"/>
        <v>Healthy</v>
      </c>
    </row>
    <row r="2134" spans="1:25" x14ac:dyDescent="0.35">
      <c r="A2134" t="s">
        <v>179</v>
      </c>
      <c r="B2134" t="s">
        <v>180</v>
      </c>
      <c r="C2134" t="s">
        <v>181</v>
      </c>
      <c r="D2134" t="s">
        <v>1668</v>
      </c>
      <c r="E2134">
        <v>80890423</v>
      </c>
      <c r="F2134" t="s">
        <v>1669</v>
      </c>
      <c r="G2134" s="3">
        <v>46548</v>
      </c>
      <c r="H2134">
        <v>16</v>
      </c>
      <c r="I2134">
        <v>74</v>
      </c>
      <c r="J2134">
        <v>57</v>
      </c>
      <c r="K2134" s="4">
        <v>55681.02</v>
      </c>
      <c r="L2134" s="4">
        <v>1104</v>
      </c>
      <c r="M2134" s="4">
        <v>5.1630434782608696E-2</v>
      </c>
      <c r="N2134" t="s">
        <v>25</v>
      </c>
      <c r="O2134" t="str">
        <f t="shared" si="330"/>
        <v>Low</v>
      </c>
      <c r="P2134" t="str">
        <f t="shared" si="331"/>
        <v>Low</v>
      </c>
      <c r="Q2134" t="str">
        <f t="shared" si="332"/>
        <v>Low</v>
      </c>
      <c r="R2134" t="s">
        <v>3317</v>
      </c>
      <c r="S2134" s="4">
        <f t="shared" ca="1" si="333"/>
        <v>351</v>
      </c>
      <c r="T2134">
        <f t="shared" si="334"/>
        <v>1</v>
      </c>
      <c r="U2134">
        <f t="shared" si="335"/>
        <v>1</v>
      </c>
      <c r="V2134">
        <f t="shared" si="336"/>
        <v>1</v>
      </c>
      <c r="W2134">
        <f t="shared" si="337"/>
        <v>1</v>
      </c>
      <c r="X2134">
        <f t="shared" si="338"/>
        <v>0.99999999999999989</v>
      </c>
      <c r="Y2134" t="str">
        <f t="shared" si="339"/>
        <v>Healthy</v>
      </c>
    </row>
    <row r="2135" spans="1:25" x14ac:dyDescent="0.35">
      <c r="A2135" t="s">
        <v>179</v>
      </c>
      <c r="B2135" t="s">
        <v>180</v>
      </c>
      <c r="C2135" t="s">
        <v>181</v>
      </c>
      <c r="D2135" t="s">
        <v>1668</v>
      </c>
      <c r="E2135">
        <v>80890423</v>
      </c>
      <c r="F2135" t="s">
        <v>1669</v>
      </c>
      <c r="G2135" s="3">
        <v>46645</v>
      </c>
      <c r="H2135">
        <v>16</v>
      </c>
      <c r="I2135">
        <v>94</v>
      </c>
      <c r="J2135">
        <v>391</v>
      </c>
      <c r="K2135" s="4">
        <v>381952.26</v>
      </c>
      <c r="L2135" s="4">
        <v>1104</v>
      </c>
      <c r="M2135" s="4">
        <v>0.35416666666666669</v>
      </c>
      <c r="N2135" t="s">
        <v>25</v>
      </c>
      <c r="O2135" t="str">
        <f t="shared" si="330"/>
        <v>Low</v>
      </c>
      <c r="P2135" t="str">
        <f t="shared" si="331"/>
        <v>Low</v>
      </c>
      <c r="Q2135" t="str">
        <f t="shared" si="332"/>
        <v>Low</v>
      </c>
      <c r="R2135" t="s">
        <v>3309</v>
      </c>
      <c r="S2135" s="4">
        <f t="shared" ca="1" si="333"/>
        <v>448</v>
      </c>
      <c r="T2135">
        <f t="shared" si="334"/>
        <v>1</v>
      </c>
      <c r="U2135">
        <f t="shared" si="335"/>
        <v>1</v>
      </c>
      <c r="V2135">
        <f t="shared" si="336"/>
        <v>1</v>
      </c>
      <c r="W2135">
        <f t="shared" si="337"/>
        <v>3</v>
      </c>
      <c r="X2135">
        <f t="shared" si="338"/>
        <v>1.2</v>
      </c>
      <c r="Y2135" t="str">
        <f t="shared" si="339"/>
        <v>Healthy</v>
      </c>
    </row>
    <row r="2136" spans="1:25" x14ac:dyDescent="0.35">
      <c r="A2136" t="s">
        <v>179</v>
      </c>
      <c r="B2136" t="s">
        <v>180</v>
      </c>
      <c r="C2136" t="s">
        <v>181</v>
      </c>
      <c r="D2136" t="s">
        <v>1668</v>
      </c>
      <c r="E2136">
        <v>80890423</v>
      </c>
      <c r="F2136" t="s">
        <v>1669</v>
      </c>
      <c r="G2136" s="3">
        <v>46656</v>
      </c>
      <c r="H2136">
        <v>16</v>
      </c>
      <c r="I2136">
        <v>97</v>
      </c>
      <c r="J2136">
        <v>38</v>
      </c>
      <c r="K2136" s="4">
        <v>37120.68</v>
      </c>
      <c r="L2136" s="4">
        <v>1104</v>
      </c>
      <c r="M2136" s="4">
        <v>3.4420289855072464E-2</v>
      </c>
      <c r="N2136" t="s">
        <v>25</v>
      </c>
      <c r="O2136" t="str">
        <f t="shared" si="330"/>
        <v>Low</v>
      </c>
      <c r="P2136" t="str">
        <f t="shared" si="331"/>
        <v>Low</v>
      </c>
      <c r="Q2136" t="str">
        <f t="shared" si="332"/>
        <v>Low</v>
      </c>
      <c r="R2136" t="s">
        <v>3317</v>
      </c>
      <c r="S2136" s="4">
        <f t="shared" ca="1" si="333"/>
        <v>459</v>
      </c>
      <c r="T2136">
        <f t="shared" si="334"/>
        <v>1</v>
      </c>
      <c r="U2136">
        <f t="shared" si="335"/>
        <v>1</v>
      </c>
      <c r="V2136">
        <f t="shared" si="336"/>
        <v>1</v>
      </c>
      <c r="W2136">
        <f t="shared" si="337"/>
        <v>1</v>
      </c>
      <c r="X2136">
        <f t="shared" si="338"/>
        <v>0.99999999999999989</v>
      </c>
      <c r="Y2136" t="str">
        <f t="shared" si="339"/>
        <v>Healthy</v>
      </c>
    </row>
    <row r="2137" spans="1:25" x14ac:dyDescent="0.35">
      <c r="A2137" t="s">
        <v>179</v>
      </c>
      <c r="B2137" t="s">
        <v>180</v>
      </c>
      <c r="C2137" t="s">
        <v>181</v>
      </c>
      <c r="D2137" t="s">
        <v>1668</v>
      </c>
      <c r="E2137">
        <v>80890423</v>
      </c>
      <c r="F2137" t="s">
        <v>1669</v>
      </c>
      <c r="G2137" s="3">
        <v>46656</v>
      </c>
      <c r="H2137">
        <v>16</v>
      </c>
      <c r="I2137">
        <v>97</v>
      </c>
      <c r="J2137">
        <v>16</v>
      </c>
      <c r="K2137" s="4">
        <v>15629.76</v>
      </c>
      <c r="L2137" s="4">
        <v>1104</v>
      </c>
      <c r="M2137" s="4">
        <v>1.4492753623188406E-2</v>
      </c>
      <c r="N2137" t="s">
        <v>25</v>
      </c>
      <c r="O2137" t="str">
        <f t="shared" si="330"/>
        <v>Low</v>
      </c>
      <c r="P2137" t="str">
        <f t="shared" si="331"/>
        <v>Low</v>
      </c>
      <c r="Q2137" t="str">
        <f t="shared" si="332"/>
        <v>Low</v>
      </c>
      <c r="R2137" t="s">
        <v>3317</v>
      </c>
      <c r="S2137" s="4">
        <f t="shared" ca="1" si="333"/>
        <v>459</v>
      </c>
      <c r="T2137">
        <f t="shared" si="334"/>
        <v>1</v>
      </c>
      <c r="U2137">
        <f t="shared" si="335"/>
        <v>1</v>
      </c>
      <c r="V2137">
        <f t="shared" si="336"/>
        <v>1</v>
      </c>
      <c r="W2137">
        <f t="shared" si="337"/>
        <v>1</v>
      </c>
      <c r="X2137">
        <f t="shared" si="338"/>
        <v>0.99999999999999989</v>
      </c>
      <c r="Y2137" t="str">
        <f t="shared" si="339"/>
        <v>Healthy</v>
      </c>
    </row>
    <row r="2138" spans="1:25" x14ac:dyDescent="0.35">
      <c r="A2138" t="s">
        <v>179</v>
      </c>
      <c r="B2138" t="s">
        <v>180</v>
      </c>
      <c r="C2138" t="s">
        <v>181</v>
      </c>
      <c r="D2138" t="s">
        <v>1668</v>
      </c>
      <c r="E2138">
        <v>80890423</v>
      </c>
      <c r="F2138" t="s">
        <v>1669</v>
      </c>
      <c r="G2138" s="3">
        <v>46665</v>
      </c>
      <c r="H2138">
        <v>16</v>
      </c>
      <c r="I2138">
        <v>99</v>
      </c>
      <c r="J2138">
        <v>46</v>
      </c>
      <c r="K2138" s="4">
        <v>44935.56</v>
      </c>
      <c r="L2138" s="4">
        <v>1104</v>
      </c>
      <c r="M2138" s="4">
        <v>4.1666666666666664E-2</v>
      </c>
      <c r="N2138" t="s">
        <v>25</v>
      </c>
      <c r="O2138" t="str">
        <f t="shared" si="330"/>
        <v>Low</v>
      </c>
      <c r="P2138" t="str">
        <f t="shared" si="331"/>
        <v>Low</v>
      </c>
      <c r="Q2138" t="str">
        <f t="shared" si="332"/>
        <v>Low</v>
      </c>
      <c r="R2138" t="s">
        <v>3317</v>
      </c>
      <c r="S2138" s="4">
        <f t="shared" ca="1" si="333"/>
        <v>468</v>
      </c>
      <c r="T2138">
        <f t="shared" si="334"/>
        <v>1</v>
      </c>
      <c r="U2138">
        <f t="shared" si="335"/>
        <v>1</v>
      </c>
      <c r="V2138">
        <f t="shared" si="336"/>
        <v>1</v>
      </c>
      <c r="W2138">
        <f t="shared" si="337"/>
        <v>1</v>
      </c>
      <c r="X2138">
        <f t="shared" si="338"/>
        <v>0.99999999999999989</v>
      </c>
      <c r="Y2138" t="str">
        <f t="shared" si="339"/>
        <v>Healthy</v>
      </c>
    </row>
    <row r="2139" spans="1:25" x14ac:dyDescent="0.35">
      <c r="A2139" t="s">
        <v>179</v>
      </c>
      <c r="B2139" t="s">
        <v>180</v>
      </c>
      <c r="C2139" t="s">
        <v>181</v>
      </c>
      <c r="D2139" t="s">
        <v>1668</v>
      </c>
      <c r="E2139">
        <v>80890423</v>
      </c>
      <c r="F2139" t="s">
        <v>1669</v>
      </c>
      <c r="G2139" s="3">
        <v>46664</v>
      </c>
      <c r="H2139">
        <v>16</v>
      </c>
      <c r="I2139">
        <v>98</v>
      </c>
      <c r="J2139">
        <v>48</v>
      </c>
      <c r="K2139" s="4">
        <v>46889.279999999999</v>
      </c>
      <c r="L2139" s="4">
        <v>1104</v>
      </c>
      <c r="M2139" s="4">
        <v>4.3478260869565216E-2</v>
      </c>
      <c r="N2139" t="s">
        <v>25</v>
      </c>
      <c r="O2139" t="str">
        <f t="shared" si="330"/>
        <v>Low</v>
      </c>
      <c r="P2139" t="str">
        <f t="shared" si="331"/>
        <v>Low</v>
      </c>
      <c r="Q2139" t="str">
        <f t="shared" si="332"/>
        <v>Low</v>
      </c>
      <c r="R2139" t="s">
        <v>3317</v>
      </c>
      <c r="S2139" s="4">
        <f t="shared" ca="1" si="333"/>
        <v>467</v>
      </c>
      <c r="T2139">
        <f t="shared" si="334"/>
        <v>1</v>
      </c>
      <c r="U2139">
        <f t="shared" si="335"/>
        <v>1</v>
      </c>
      <c r="V2139">
        <f t="shared" si="336"/>
        <v>1</v>
      </c>
      <c r="W2139">
        <f t="shared" si="337"/>
        <v>1</v>
      </c>
      <c r="X2139">
        <f t="shared" si="338"/>
        <v>0.99999999999999989</v>
      </c>
      <c r="Y2139" t="str">
        <f t="shared" si="339"/>
        <v>Healthy</v>
      </c>
    </row>
    <row r="2140" spans="1:25" x14ac:dyDescent="0.35">
      <c r="A2140" t="s">
        <v>179</v>
      </c>
      <c r="B2140" t="s">
        <v>180</v>
      </c>
      <c r="C2140" t="s">
        <v>181</v>
      </c>
      <c r="D2140" t="s">
        <v>1668</v>
      </c>
      <c r="E2140">
        <v>80890423</v>
      </c>
      <c r="F2140" t="s">
        <v>1669</v>
      </c>
      <c r="G2140" s="3">
        <v>46585</v>
      </c>
      <c r="H2140">
        <v>16</v>
      </c>
      <c r="I2140">
        <v>82</v>
      </c>
      <c r="J2140">
        <v>2</v>
      </c>
      <c r="K2140" s="4">
        <v>1953.72</v>
      </c>
      <c r="L2140" s="4">
        <v>1104</v>
      </c>
      <c r="M2140" s="4">
        <v>1.8115942028985507E-3</v>
      </c>
      <c r="N2140" t="s">
        <v>25</v>
      </c>
      <c r="O2140" t="str">
        <f t="shared" si="330"/>
        <v>Low</v>
      </c>
      <c r="P2140" t="str">
        <f t="shared" si="331"/>
        <v>Low</v>
      </c>
      <c r="Q2140" t="str">
        <f t="shared" si="332"/>
        <v>Low</v>
      </c>
      <c r="R2140" t="s">
        <v>3317</v>
      </c>
      <c r="S2140" s="4">
        <f t="shared" ca="1" si="333"/>
        <v>388</v>
      </c>
      <c r="T2140">
        <f t="shared" si="334"/>
        <v>1</v>
      </c>
      <c r="U2140">
        <f t="shared" si="335"/>
        <v>1</v>
      </c>
      <c r="V2140">
        <f t="shared" si="336"/>
        <v>1</v>
      </c>
      <c r="W2140">
        <f t="shared" si="337"/>
        <v>1</v>
      </c>
      <c r="X2140">
        <f t="shared" si="338"/>
        <v>0.99999999999999989</v>
      </c>
      <c r="Y2140" t="str">
        <f t="shared" si="339"/>
        <v>Healthy</v>
      </c>
    </row>
    <row r="2141" spans="1:25" x14ac:dyDescent="0.35">
      <c r="A2141" t="s">
        <v>179</v>
      </c>
      <c r="B2141" t="s">
        <v>180</v>
      </c>
      <c r="C2141" t="s">
        <v>181</v>
      </c>
      <c r="D2141" t="s">
        <v>1668</v>
      </c>
      <c r="E2141">
        <v>80890423</v>
      </c>
      <c r="F2141" t="s">
        <v>1669</v>
      </c>
      <c r="G2141" s="3">
        <v>46644</v>
      </c>
      <c r="H2141">
        <v>16</v>
      </c>
      <c r="I2141">
        <v>94</v>
      </c>
      <c r="J2141">
        <v>154</v>
      </c>
      <c r="K2141" s="4">
        <v>150436.44</v>
      </c>
      <c r="L2141" s="4">
        <v>1104</v>
      </c>
      <c r="M2141" s="4">
        <v>0.13949275362318841</v>
      </c>
      <c r="N2141" t="s">
        <v>25</v>
      </c>
      <c r="O2141" t="str">
        <f t="shared" si="330"/>
        <v>Low</v>
      </c>
      <c r="P2141" t="str">
        <f t="shared" si="331"/>
        <v>Low</v>
      </c>
      <c r="Q2141" t="str">
        <f t="shared" si="332"/>
        <v>Low</v>
      </c>
      <c r="R2141" t="s">
        <v>3309</v>
      </c>
      <c r="S2141" s="4">
        <f t="shared" ca="1" si="333"/>
        <v>447</v>
      </c>
      <c r="T2141">
        <f t="shared" si="334"/>
        <v>1</v>
      </c>
      <c r="U2141">
        <f t="shared" si="335"/>
        <v>1</v>
      </c>
      <c r="V2141">
        <f t="shared" si="336"/>
        <v>1</v>
      </c>
      <c r="W2141">
        <f t="shared" si="337"/>
        <v>3</v>
      </c>
      <c r="X2141">
        <f t="shared" si="338"/>
        <v>1.2</v>
      </c>
      <c r="Y2141" t="str">
        <f t="shared" si="339"/>
        <v>Healthy</v>
      </c>
    </row>
    <row r="2142" spans="1:25" x14ac:dyDescent="0.35">
      <c r="A2142" t="s">
        <v>179</v>
      </c>
      <c r="B2142" t="s">
        <v>180</v>
      </c>
      <c r="C2142" t="s">
        <v>181</v>
      </c>
      <c r="D2142" t="s">
        <v>1668</v>
      </c>
      <c r="E2142">
        <v>80890423</v>
      </c>
      <c r="F2142" t="s">
        <v>1669</v>
      </c>
      <c r="G2142" s="3">
        <v>46586</v>
      </c>
      <c r="H2142">
        <v>16</v>
      </c>
      <c r="I2142">
        <v>82</v>
      </c>
      <c r="J2142">
        <v>8</v>
      </c>
      <c r="K2142" s="4">
        <v>7814.88</v>
      </c>
      <c r="L2142" s="4">
        <v>1104</v>
      </c>
      <c r="M2142" s="4">
        <v>7.246376811594203E-3</v>
      </c>
      <c r="N2142" t="s">
        <v>25</v>
      </c>
      <c r="O2142" t="str">
        <f t="shared" si="330"/>
        <v>Low</v>
      </c>
      <c r="P2142" t="str">
        <f t="shared" si="331"/>
        <v>Low</v>
      </c>
      <c r="Q2142" t="str">
        <f t="shared" si="332"/>
        <v>Low</v>
      </c>
      <c r="R2142" t="s">
        <v>3317</v>
      </c>
      <c r="S2142" s="4">
        <f t="shared" ca="1" si="333"/>
        <v>389</v>
      </c>
      <c r="T2142">
        <f t="shared" si="334"/>
        <v>1</v>
      </c>
      <c r="U2142">
        <f t="shared" si="335"/>
        <v>1</v>
      </c>
      <c r="V2142">
        <f t="shared" si="336"/>
        <v>1</v>
      </c>
      <c r="W2142">
        <f t="shared" si="337"/>
        <v>1</v>
      </c>
      <c r="X2142">
        <f t="shared" si="338"/>
        <v>0.99999999999999989</v>
      </c>
      <c r="Y2142" t="str">
        <f t="shared" si="339"/>
        <v>Healthy</v>
      </c>
    </row>
    <row r="2143" spans="1:25" x14ac:dyDescent="0.35">
      <c r="A2143" t="s">
        <v>179</v>
      </c>
      <c r="B2143" t="s">
        <v>180</v>
      </c>
      <c r="C2143" t="s">
        <v>181</v>
      </c>
      <c r="D2143" t="s">
        <v>1668</v>
      </c>
      <c r="E2143">
        <v>80890423</v>
      </c>
      <c r="F2143" t="s">
        <v>1669</v>
      </c>
      <c r="G2143" s="3">
        <v>46621</v>
      </c>
      <c r="H2143">
        <v>16</v>
      </c>
      <c r="I2143">
        <v>89</v>
      </c>
      <c r="J2143">
        <v>38</v>
      </c>
      <c r="K2143" s="4">
        <v>37120.68</v>
      </c>
      <c r="L2143" s="4">
        <v>1104</v>
      </c>
      <c r="M2143" s="4">
        <v>3.4420289855072464E-2</v>
      </c>
      <c r="N2143" t="s">
        <v>25</v>
      </c>
      <c r="O2143" t="str">
        <f t="shared" si="330"/>
        <v>Low</v>
      </c>
      <c r="P2143" t="str">
        <f t="shared" si="331"/>
        <v>Low</v>
      </c>
      <c r="Q2143" t="str">
        <f t="shared" si="332"/>
        <v>Low</v>
      </c>
      <c r="R2143" t="s">
        <v>3317</v>
      </c>
      <c r="S2143" s="4">
        <f t="shared" ca="1" si="333"/>
        <v>424</v>
      </c>
      <c r="T2143">
        <f t="shared" si="334"/>
        <v>1</v>
      </c>
      <c r="U2143">
        <f t="shared" si="335"/>
        <v>1</v>
      </c>
      <c r="V2143">
        <f t="shared" si="336"/>
        <v>1</v>
      </c>
      <c r="W2143">
        <f t="shared" si="337"/>
        <v>1</v>
      </c>
      <c r="X2143">
        <f t="shared" si="338"/>
        <v>0.99999999999999989</v>
      </c>
      <c r="Y2143" t="str">
        <f t="shared" si="339"/>
        <v>Healthy</v>
      </c>
    </row>
    <row r="2144" spans="1:25" x14ac:dyDescent="0.35">
      <c r="A2144" t="s">
        <v>179</v>
      </c>
      <c r="B2144" t="s">
        <v>180</v>
      </c>
      <c r="C2144" t="s">
        <v>181</v>
      </c>
      <c r="D2144" t="s">
        <v>1670</v>
      </c>
      <c r="E2144">
        <v>80890431</v>
      </c>
      <c r="F2144" t="s">
        <v>1671</v>
      </c>
      <c r="G2144" s="3">
        <v>46644</v>
      </c>
      <c r="H2144">
        <v>16</v>
      </c>
      <c r="I2144">
        <v>94</v>
      </c>
      <c r="J2144">
        <v>78</v>
      </c>
      <c r="K2144" s="4">
        <v>89367.72</v>
      </c>
      <c r="L2144" s="4">
        <v>1028.8571428571429</v>
      </c>
      <c r="M2144" s="4">
        <v>7.5812274368231042E-2</v>
      </c>
      <c r="N2144" t="s">
        <v>25</v>
      </c>
      <c r="O2144" t="str">
        <f t="shared" si="330"/>
        <v>Low</v>
      </c>
      <c r="P2144" t="str">
        <f t="shared" si="331"/>
        <v>Low</v>
      </c>
      <c r="Q2144" t="str">
        <f t="shared" si="332"/>
        <v>Low</v>
      </c>
      <c r="R2144" t="s">
        <v>3310</v>
      </c>
      <c r="S2144" s="4">
        <f t="shared" ca="1" si="333"/>
        <v>447</v>
      </c>
      <c r="T2144">
        <f t="shared" si="334"/>
        <v>1</v>
      </c>
      <c r="U2144">
        <f t="shared" si="335"/>
        <v>1</v>
      </c>
      <c r="V2144">
        <f t="shared" si="336"/>
        <v>1</v>
      </c>
      <c r="W2144">
        <f t="shared" si="337"/>
        <v>2</v>
      </c>
      <c r="X2144">
        <f t="shared" si="338"/>
        <v>1.0999999999999999</v>
      </c>
      <c r="Y2144" t="str">
        <f t="shared" si="339"/>
        <v>Healthy</v>
      </c>
    </row>
    <row r="2145" spans="1:25" x14ac:dyDescent="0.35">
      <c r="A2145" t="s">
        <v>179</v>
      </c>
      <c r="B2145" t="s">
        <v>180</v>
      </c>
      <c r="C2145" t="s">
        <v>181</v>
      </c>
      <c r="D2145" t="s">
        <v>1670</v>
      </c>
      <c r="E2145">
        <v>80890431</v>
      </c>
      <c r="F2145" t="s">
        <v>1671</v>
      </c>
      <c r="G2145" s="3">
        <v>46556</v>
      </c>
      <c r="H2145">
        <v>16</v>
      </c>
      <c r="I2145">
        <v>76</v>
      </c>
      <c r="J2145">
        <v>43</v>
      </c>
      <c r="K2145" s="4">
        <v>49266.82</v>
      </c>
      <c r="L2145" s="4">
        <v>1028.8571428571429</v>
      </c>
      <c r="M2145" s="4">
        <v>4.1793946126076086E-2</v>
      </c>
      <c r="N2145" t="s">
        <v>25</v>
      </c>
      <c r="O2145" t="str">
        <f t="shared" si="330"/>
        <v>Low</v>
      </c>
      <c r="P2145" t="str">
        <f t="shared" si="331"/>
        <v>Low</v>
      </c>
      <c r="Q2145" t="str">
        <f t="shared" si="332"/>
        <v>Low</v>
      </c>
      <c r="R2145" t="s">
        <v>3317</v>
      </c>
      <c r="S2145" s="4">
        <f t="shared" ca="1" si="333"/>
        <v>359</v>
      </c>
      <c r="T2145">
        <f t="shared" si="334"/>
        <v>1</v>
      </c>
      <c r="U2145">
        <f t="shared" si="335"/>
        <v>1</v>
      </c>
      <c r="V2145">
        <f t="shared" si="336"/>
        <v>1</v>
      </c>
      <c r="W2145">
        <f t="shared" si="337"/>
        <v>1</v>
      </c>
      <c r="X2145">
        <f t="shared" si="338"/>
        <v>0.99999999999999989</v>
      </c>
      <c r="Y2145" t="str">
        <f t="shared" si="339"/>
        <v>Healthy</v>
      </c>
    </row>
    <row r="2146" spans="1:25" x14ac:dyDescent="0.35">
      <c r="A2146" t="s">
        <v>179</v>
      </c>
      <c r="B2146" t="s">
        <v>180</v>
      </c>
      <c r="C2146" t="s">
        <v>181</v>
      </c>
      <c r="D2146" t="s">
        <v>1670</v>
      </c>
      <c r="E2146">
        <v>80890431</v>
      </c>
      <c r="F2146" t="s">
        <v>1671</v>
      </c>
      <c r="G2146" s="3">
        <v>46627</v>
      </c>
      <c r="H2146">
        <v>16</v>
      </c>
      <c r="I2146">
        <v>91</v>
      </c>
      <c r="J2146">
        <v>135</v>
      </c>
      <c r="K2146" s="4">
        <v>154674.9</v>
      </c>
      <c r="L2146" s="4">
        <v>1028.8571428571429</v>
      </c>
      <c r="M2146" s="4">
        <v>0.13121355179116911</v>
      </c>
      <c r="N2146" t="s">
        <v>25</v>
      </c>
      <c r="O2146" t="str">
        <f t="shared" si="330"/>
        <v>Low</v>
      </c>
      <c r="P2146" t="str">
        <f t="shared" si="331"/>
        <v>Low</v>
      </c>
      <c r="Q2146" t="str">
        <f t="shared" si="332"/>
        <v>Low</v>
      </c>
      <c r="R2146" t="s">
        <v>3309</v>
      </c>
      <c r="S2146" s="4">
        <f t="shared" ca="1" si="333"/>
        <v>430</v>
      </c>
      <c r="T2146">
        <f t="shared" si="334"/>
        <v>1</v>
      </c>
      <c r="U2146">
        <f t="shared" si="335"/>
        <v>1</v>
      </c>
      <c r="V2146">
        <f t="shared" si="336"/>
        <v>1</v>
      </c>
      <c r="W2146">
        <f t="shared" si="337"/>
        <v>3</v>
      </c>
      <c r="X2146">
        <f t="shared" si="338"/>
        <v>1.2</v>
      </c>
      <c r="Y2146" t="str">
        <f t="shared" si="339"/>
        <v>Healthy</v>
      </c>
    </row>
    <row r="2147" spans="1:25" x14ac:dyDescent="0.35">
      <c r="A2147" t="s">
        <v>179</v>
      </c>
      <c r="B2147" t="s">
        <v>180</v>
      </c>
      <c r="C2147" t="s">
        <v>181</v>
      </c>
      <c r="D2147" t="s">
        <v>1670</v>
      </c>
      <c r="E2147">
        <v>80890431</v>
      </c>
      <c r="F2147" t="s">
        <v>1671</v>
      </c>
      <c r="G2147" s="3">
        <v>46621</v>
      </c>
      <c r="H2147">
        <v>16</v>
      </c>
      <c r="I2147">
        <v>89</v>
      </c>
      <c r="J2147">
        <v>41</v>
      </c>
      <c r="K2147" s="4">
        <v>46975.34</v>
      </c>
      <c r="L2147" s="4">
        <v>1028.8571428571429</v>
      </c>
      <c r="M2147" s="4">
        <v>3.9850041655095807E-2</v>
      </c>
      <c r="N2147" t="s">
        <v>25</v>
      </c>
      <c r="O2147" t="str">
        <f t="shared" si="330"/>
        <v>Low</v>
      </c>
      <c r="P2147" t="str">
        <f t="shared" si="331"/>
        <v>Low</v>
      </c>
      <c r="Q2147" t="str">
        <f t="shared" si="332"/>
        <v>Low</v>
      </c>
      <c r="R2147" t="s">
        <v>3317</v>
      </c>
      <c r="S2147" s="4">
        <f t="shared" ca="1" si="333"/>
        <v>424</v>
      </c>
      <c r="T2147">
        <f t="shared" si="334"/>
        <v>1</v>
      </c>
      <c r="U2147">
        <f t="shared" si="335"/>
        <v>1</v>
      </c>
      <c r="V2147">
        <f t="shared" si="336"/>
        <v>1</v>
      </c>
      <c r="W2147">
        <f t="shared" si="337"/>
        <v>1</v>
      </c>
      <c r="X2147">
        <f t="shared" si="338"/>
        <v>0.99999999999999989</v>
      </c>
      <c r="Y2147" t="str">
        <f t="shared" si="339"/>
        <v>Healthy</v>
      </c>
    </row>
    <row r="2148" spans="1:25" x14ac:dyDescent="0.35">
      <c r="A2148" t="s">
        <v>179</v>
      </c>
      <c r="B2148" t="s">
        <v>180</v>
      </c>
      <c r="C2148" t="s">
        <v>181</v>
      </c>
      <c r="D2148" t="s">
        <v>1670</v>
      </c>
      <c r="E2148">
        <v>80890431</v>
      </c>
      <c r="F2148" t="s">
        <v>1671</v>
      </c>
      <c r="G2148" s="3">
        <v>46606</v>
      </c>
      <c r="H2148">
        <v>16</v>
      </c>
      <c r="I2148">
        <v>86</v>
      </c>
      <c r="J2148">
        <v>97</v>
      </c>
      <c r="K2148" s="4">
        <v>111136.78</v>
      </c>
      <c r="L2148" s="4">
        <v>1028.8571428571429</v>
      </c>
      <c r="M2148" s="4">
        <v>9.4279366842543733E-2</v>
      </c>
      <c r="N2148" t="s">
        <v>25</v>
      </c>
      <c r="O2148" t="str">
        <f t="shared" si="330"/>
        <v>Low</v>
      </c>
      <c r="P2148" t="str">
        <f t="shared" si="331"/>
        <v>Low</v>
      </c>
      <c r="Q2148" t="str">
        <f t="shared" si="332"/>
        <v>Low</v>
      </c>
      <c r="R2148" t="s">
        <v>3310</v>
      </c>
      <c r="S2148" s="4">
        <f t="shared" ca="1" si="333"/>
        <v>409</v>
      </c>
      <c r="T2148">
        <f t="shared" si="334"/>
        <v>1</v>
      </c>
      <c r="U2148">
        <f t="shared" si="335"/>
        <v>1</v>
      </c>
      <c r="V2148">
        <f t="shared" si="336"/>
        <v>1</v>
      </c>
      <c r="W2148">
        <f t="shared" si="337"/>
        <v>2</v>
      </c>
      <c r="X2148">
        <f t="shared" si="338"/>
        <v>1.0999999999999999</v>
      </c>
      <c r="Y2148" t="str">
        <f t="shared" si="339"/>
        <v>Healthy</v>
      </c>
    </row>
    <row r="2149" spans="1:25" x14ac:dyDescent="0.35">
      <c r="A2149" t="s">
        <v>179</v>
      </c>
      <c r="B2149" t="s">
        <v>180</v>
      </c>
      <c r="C2149" t="s">
        <v>181</v>
      </c>
      <c r="D2149" t="s">
        <v>1670</v>
      </c>
      <c r="E2149">
        <v>80890431</v>
      </c>
      <c r="F2149" t="s">
        <v>1671</v>
      </c>
      <c r="G2149" s="3">
        <v>46595</v>
      </c>
      <c r="H2149">
        <v>16</v>
      </c>
      <c r="I2149">
        <v>84</v>
      </c>
      <c r="J2149">
        <v>36</v>
      </c>
      <c r="K2149" s="4">
        <v>41246.639999999999</v>
      </c>
      <c r="L2149" s="4">
        <v>1028.8571428571429</v>
      </c>
      <c r="M2149" s="4">
        <v>3.4990280477645096E-2</v>
      </c>
      <c r="N2149" t="s">
        <v>25</v>
      </c>
      <c r="O2149" t="str">
        <f t="shared" si="330"/>
        <v>Low</v>
      </c>
      <c r="P2149" t="str">
        <f t="shared" si="331"/>
        <v>Low</v>
      </c>
      <c r="Q2149" t="str">
        <f t="shared" si="332"/>
        <v>Low</v>
      </c>
      <c r="R2149" t="s">
        <v>3317</v>
      </c>
      <c r="S2149" s="4">
        <f t="shared" ca="1" si="333"/>
        <v>398</v>
      </c>
      <c r="T2149">
        <f t="shared" si="334"/>
        <v>1</v>
      </c>
      <c r="U2149">
        <f t="shared" si="335"/>
        <v>1</v>
      </c>
      <c r="V2149">
        <f t="shared" si="336"/>
        <v>1</v>
      </c>
      <c r="W2149">
        <f t="shared" si="337"/>
        <v>1</v>
      </c>
      <c r="X2149">
        <f t="shared" si="338"/>
        <v>0.99999999999999989</v>
      </c>
      <c r="Y2149" t="str">
        <f t="shared" si="339"/>
        <v>Healthy</v>
      </c>
    </row>
    <row r="2150" spans="1:25" x14ac:dyDescent="0.35">
      <c r="A2150" t="s">
        <v>179</v>
      </c>
      <c r="B2150" t="s">
        <v>180</v>
      </c>
      <c r="C2150" t="s">
        <v>181</v>
      </c>
      <c r="D2150" t="s">
        <v>1670</v>
      </c>
      <c r="E2150">
        <v>80890431</v>
      </c>
      <c r="F2150" t="s">
        <v>1671</v>
      </c>
      <c r="G2150" s="3">
        <v>46622</v>
      </c>
      <c r="H2150">
        <v>16</v>
      </c>
      <c r="I2150">
        <v>90</v>
      </c>
      <c r="J2150">
        <v>195</v>
      </c>
      <c r="K2150" s="4">
        <v>223419.3</v>
      </c>
      <c r="L2150" s="4">
        <v>1028.8571428571429</v>
      </c>
      <c r="M2150" s="4">
        <v>0.18953068592057762</v>
      </c>
      <c r="N2150" t="s">
        <v>25</v>
      </c>
      <c r="O2150" t="str">
        <f t="shared" si="330"/>
        <v>Low</v>
      </c>
      <c r="P2150" t="str">
        <f t="shared" si="331"/>
        <v>Low</v>
      </c>
      <c r="Q2150" t="str">
        <f t="shared" si="332"/>
        <v>Low</v>
      </c>
      <c r="R2150" t="s">
        <v>3309</v>
      </c>
      <c r="S2150" s="4">
        <f t="shared" ca="1" si="333"/>
        <v>425</v>
      </c>
      <c r="T2150">
        <f t="shared" si="334"/>
        <v>1</v>
      </c>
      <c r="U2150">
        <f t="shared" si="335"/>
        <v>1</v>
      </c>
      <c r="V2150">
        <f t="shared" si="336"/>
        <v>1</v>
      </c>
      <c r="W2150">
        <f t="shared" si="337"/>
        <v>3</v>
      </c>
      <c r="X2150">
        <f t="shared" si="338"/>
        <v>1.2</v>
      </c>
      <c r="Y2150" t="str">
        <f t="shared" si="339"/>
        <v>Healthy</v>
      </c>
    </row>
    <row r="2151" spans="1:25" x14ac:dyDescent="0.35">
      <c r="A2151" t="s">
        <v>179</v>
      </c>
      <c r="B2151" t="s">
        <v>180</v>
      </c>
      <c r="C2151" t="s">
        <v>181</v>
      </c>
      <c r="D2151" t="s">
        <v>1670</v>
      </c>
      <c r="E2151">
        <v>80890431</v>
      </c>
      <c r="F2151" t="s">
        <v>1671</v>
      </c>
      <c r="G2151" s="3">
        <v>46586</v>
      </c>
      <c r="H2151">
        <v>16</v>
      </c>
      <c r="I2151">
        <v>82</v>
      </c>
      <c r="J2151">
        <v>59</v>
      </c>
      <c r="K2151" s="4">
        <v>67598.66</v>
      </c>
      <c r="L2151" s="4">
        <v>1028.8571428571429</v>
      </c>
      <c r="M2151" s="4">
        <v>5.7345181893918351E-2</v>
      </c>
      <c r="N2151" t="s">
        <v>25</v>
      </c>
      <c r="O2151" t="str">
        <f t="shared" si="330"/>
        <v>Low</v>
      </c>
      <c r="P2151" t="str">
        <f t="shared" si="331"/>
        <v>Low</v>
      </c>
      <c r="Q2151" t="str">
        <f t="shared" si="332"/>
        <v>Low</v>
      </c>
      <c r="R2151" t="s">
        <v>3310</v>
      </c>
      <c r="S2151" s="4">
        <f t="shared" ca="1" si="333"/>
        <v>389</v>
      </c>
      <c r="T2151">
        <f t="shared" si="334"/>
        <v>1</v>
      </c>
      <c r="U2151">
        <f t="shared" si="335"/>
        <v>1</v>
      </c>
      <c r="V2151">
        <f t="shared" si="336"/>
        <v>1</v>
      </c>
      <c r="W2151">
        <f t="shared" si="337"/>
        <v>2</v>
      </c>
      <c r="X2151">
        <f t="shared" si="338"/>
        <v>1.0999999999999999</v>
      </c>
      <c r="Y2151" t="str">
        <f t="shared" si="339"/>
        <v>Healthy</v>
      </c>
    </row>
    <row r="2152" spans="1:25" x14ac:dyDescent="0.35">
      <c r="A2152" t="s">
        <v>71</v>
      </c>
      <c r="B2152" t="s">
        <v>72</v>
      </c>
      <c r="C2152" t="s">
        <v>73</v>
      </c>
      <c r="D2152" t="s">
        <v>1672</v>
      </c>
      <c r="E2152">
        <v>80887754</v>
      </c>
      <c r="F2152" t="s">
        <v>1673</v>
      </c>
      <c r="G2152" s="3">
        <v>47256</v>
      </c>
      <c r="H2152">
        <v>36</v>
      </c>
      <c r="I2152">
        <v>99</v>
      </c>
      <c r="J2152">
        <v>396</v>
      </c>
      <c r="K2152" s="4">
        <v>379843.2</v>
      </c>
      <c r="L2152" s="4">
        <v>1945.7142857142858</v>
      </c>
      <c r="M2152" s="4">
        <v>0.20352422907488987</v>
      </c>
      <c r="N2152" t="s">
        <v>25</v>
      </c>
      <c r="O2152" t="str">
        <f t="shared" si="330"/>
        <v>Low</v>
      </c>
      <c r="P2152" t="str">
        <f t="shared" si="331"/>
        <v>Low</v>
      </c>
      <c r="Q2152" t="str">
        <f t="shared" si="332"/>
        <v>Low</v>
      </c>
      <c r="R2152" t="s">
        <v>3309</v>
      </c>
      <c r="S2152" s="4">
        <f t="shared" ca="1" si="333"/>
        <v>1059</v>
      </c>
      <c r="T2152">
        <f t="shared" si="334"/>
        <v>1</v>
      </c>
      <c r="U2152">
        <f t="shared" si="335"/>
        <v>1</v>
      </c>
      <c r="V2152">
        <f t="shared" si="336"/>
        <v>1</v>
      </c>
      <c r="W2152">
        <f t="shared" si="337"/>
        <v>3</v>
      </c>
      <c r="X2152">
        <f t="shared" si="338"/>
        <v>1.2</v>
      </c>
      <c r="Y2152" t="str">
        <f t="shared" si="339"/>
        <v>Healthy</v>
      </c>
    </row>
    <row r="2153" spans="1:25" x14ac:dyDescent="0.35">
      <c r="A2153" t="s">
        <v>71</v>
      </c>
      <c r="B2153" t="s">
        <v>72</v>
      </c>
      <c r="C2153" t="s">
        <v>73</v>
      </c>
      <c r="D2153" t="s">
        <v>1672</v>
      </c>
      <c r="E2153">
        <v>80887754</v>
      </c>
      <c r="F2153" t="s">
        <v>1673</v>
      </c>
      <c r="G2153" s="3">
        <v>47255</v>
      </c>
      <c r="H2153">
        <v>36</v>
      </c>
      <c r="I2153">
        <v>98</v>
      </c>
      <c r="J2153">
        <v>533</v>
      </c>
      <c r="K2153" s="4">
        <v>511253.6</v>
      </c>
      <c r="L2153" s="4">
        <v>1945.7142857142858</v>
      </c>
      <c r="M2153" s="4">
        <v>0.27393538913362703</v>
      </c>
      <c r="N2153" t="s">
        <v>25</v>
      </c>
      <c r="O2153" t="str">
        <f t="shared" si="330"/>
        <v>Low</v>
      </c>
      <c r="P2153" t="str">
        <f t="shared" si="331"/>
        <v>Low</v>
      </c>
      <c r="Q2153" t="str">
        <f t="shared" si="332"/>
        <v>Low</v>
      </c>
      <c r="R2153" t="s">
        <v>3309</v>
      </c>
      <c r="S2153" s="4">
        <f t="shared" ca="1" si="333"/>
        <v>1058</v>
      </c>
      <c r="T2153">
        <f t="shared" si="334"/>
        <v>1</v>
      </c>
      <c r="U2153">
        <f t="shared" si="335"/>
        <v>1</v>
      </c>
      <c r="V2153">
        <f t="shared" si="336"/>
        <v>1</v>
      </c>
      <c r="W2153">
        <f t="shared" si="337"/>
        <v>3</v>
      </c>
      <c r="X2153">
        <f t="shared" si="338"/>
        <v>1.2</v>
      </c>
      <c r="Y2153" t="str">
        <f t="shared" si="339"/>
        <v>Healthy</v>
      </c>
    </row>
    <row r="2154" spans="1:25" x14ac:dyDescent="0.35">
      <c r="A2154" t="s">
        <v>189</v>
      </c>
      <c r="B2154" t="s">
        <v>190</v>
      </c>
      <c r="C2154" t="s">
        <v>190</v>
      </c>
      <c r="D2154" t="s">
        <v>1674</v>
      </c>
      <c r="E2154">
        <v>80895637</v>
      </c>
      <c r="F2154" t="s">
        <v>1675</v>
      </c>
      <c r="G2154" s="3">
        <v>46555</v>
      </c>
      <c r="H2154">
        <v>18</v>
      </c>
      <c r="I2154">
        <v>67</v>
      </c>
      <c r="J2154">
        <v>20</v>
      </c>
      <c r="K2154" s="4">
        <v>5158.8</v>
      </c>
      <c r="L2154" s="4">
        <v>2073.1428571428573</v>
      </c>
      <c r="M2154" s="4">
        <v>9.6471885336273412E-3</v>
      </c>
      <c r="N2154" t="s">
        <v>25</v>
      </c>
      <c r="O2154" t="str">
        <f t="shared" si="330"/>
        <v>Low</v>
      </c>
      <c r="P2154" t="str">
        <f t="shared" si="331"/>
        <v>Low</v>
      </c>
      <c r="Q2154" t="str">
        <f t="shared" si="332"/>
        <v>Low</v>
      </c>
      <c r="R2154" t="s">
        <v>3317</v>
      </c>
      <c r="S2154" s="4">
        <f t="shared" ca="1" si="333"/>
        <v>358</v>
      </c>
      <c r="T2154">
        <f t="shared" si="334"/>
        <v>1</v>
      </c>
      <c r="U2154">
        <f t="shared" si="335"/>
        <v>1</v>
      </c>
      <c r="V2154">
        <f t="shared" si="336"/>
        <v>1</v>
      </c>
      <c r="W2154">
        <f t="shared" si="337"/>
        <v>1</v>
      </c>
      <c r="X2154">
        <f t="shared" si="338"/>
        <v>0.99999999999999989</v>
      </c>
      <c r="Y2154" t="str">
        <f t="shared" si="339"/>
        <v>Healthy</v>
      </c>
    </row>
    <row r="2155" spans="1:25" x14ac:dyDescent="0.35">
      <c r="A2155" t="s">
        <v>189</v>
      </c>
      <c r="B2155" t="s">
        <v>190</v>
      </c>
      <c r="C2155" t="s">
        <v>190</v>
      </c>
      <c r="D2155" t="s">
        <v>1674</v>
      </c>
      <c r="E2155">
        <v>80895637</v>
      </c>
      <c r="F2155" t="s">
        <v>1675</v>
      </c>
      <c r="G2155" s="3">
        <v>46601</v>
      </c>
      <c r="H2155">
        <v>18</v>
      </c>
      <c r="I2155">
        <v>76</v>
      </c>
      <c r="J2155">
        <v>102</v>
      </c>
      <c r="K2155" s="4">
        <v>26309.88</v>
      </c>
      <c r="L2155" s="4">
        <v>2073.1428571428573</v>
      </c>
      <c r="M2155" s="4">
        <v>4.9200661521499447E-2</v>
      </c>
      <c r="N2155" t="s">
        <v>25</v>
      </c>
      <c r="O2155" t="str">
        <f t="shared" si="330"/>
        <v>Low</v>
      </c>
      <c r="P2155" t="str">
        <f t="shared" si="331"/>
        <v>Low</v>
      </c>
      <c r="Q2155" t="str">
        <f t="shared" si="332"/>
        <v>Low</v>
      </c>
      <c r="R2155" t="s">
        <v>3317</v>
      </c>
      <c r="S2155" s="4">
        <f t="shared" ca="1" si="333"/>
        <v>404</v>
      </c>
      <c r="T2155">
        <f t="shared" si="334"/>
        <v>1</v>
      </c>
      <c r="U2155">
        <f t="shared" si="335"/>
        <v>1</v>
      </c>
      <c r="V2155">
        <f t="shared" si="336"/>
        <v>1</v>
      </c>
      <c r="W2155">
        <f t="shared" si="337"/>
        <v>1</v>
      </c>
      <c r="X2155">
        <f t="shared" si="338"/>
        <v>0.99999999999999989</v>
      </c>
      <c r="Y2155" t="str">
        <f t="shared" si="339"/>
        <v>Healthy</v>
      </c>
    </row>
    <row r="2156" spans="1:25" x14ac:dyDescent="0.35">
      <c r="A2156" t="s">
        <v>90</v>
      </c>
      <c r="B2156" t="s">
        <v>91</v>
      </c>
      <c r="C2156" t="s">
        <v>92</v>
      </c>
      <c r="D2156" t="s">
        <v>1658</v>
      </c>
      <c r="E2156">
        <v>80712432</v>
      </c>
      <c r="F2156" t="s">
        <v>1676</v>
      </c>
      <c r="G2156" s="3">
        <v>45689</v>
      </c>
      <c r="H2156">
        <v>24</v>
      </c>
      <c r="I2156">
        <v>0</v>
      </c>
      <c r="J2156">
        <v>6</v>
      </c>
      <c r="K2156" s="4">
        <v>3020.88</v>
      </c>
      <c r="L2156" s="4">
        <f>0</f>
        <v>0</v>
      </c>
      <c r="M2156" s="4">
        <f>999</f>
        <v>999</v>
      </c>
      <c r="N2156" t="s">
        <v>19</v>
      </c>
      <c r="O2156" t="str">
        <f t="shared" si="330"/>
        <v>High</v>
      </c>
      <c r="P2156" t="str">
        <f t="shared" si="331"/>
        <v>High</v>
      </c>
      <c r="Q2156" t="str">
        <f t="shared" si="332"/>
        <v>High</v>
      </c>
      <c r="R2156" t="s">
        <v>3317</v>
      </c>
      <c r="S2156" s="4">
        <f t="shared" ca="1" si="333"/>
        <v>-508</v>
      </c>
      <c r="T2156">
        <f t="shared" si="334"/>
        <v>3</v>
      </c>
      <c r="U2156">
        <f t="shared" si="335"/>
        <v>3</v>
      </c>
      <c r="V2156">
        <f t="shared" si="336"/>
        <v>3</v>
      </c>
      <c r="W2156">
        <f t="shared" si="337"/>
        <v>1</v>
      </c>
      <c r="X2156">
        <f t="shared" si="338"/>
        <v>2.8000000000000003</v>
      </c>
      <c r="Y2156" t="str">
        <f t="shared" si="339"/>
        <v>Move Immediately</v>
      </c>
    </row>
    <row r="2157" spans="1:25" x14ac:dyDescent="0.35">
      <c r="A2157" t="s">
        <v>189</v>
      </c>
      <c r="B2157" t="s">
        <v>190</v>
      </c>
      <c r="C2157" t="s">
        <v>190</v>
      </c>
      <c r="D2157" t="s">
        <v>1674</v>
      </c>
      <c r="E2157">
        <v>80895637</v>
      </c>
      <c r="F2157" t="s">
        <v>1675</v>
      </c>
      <c r="G2157" s="3">
        <v>46539</v>
      </c>
      <c r="H2157">
        <v>18</v>
      </c>
      <c r="I2157">
        <v>64</v>
      </c>
      <c r="J2157">
        <v>6</v>
      </c>
      <c r="K2157" s="4">
        <v>1547.64</v>
      </c>
      <c r="L2157" s="4">
        <v>2073.1428571428573</v>
      </c>
      <c r="M2157" s="4">
        <v>2.8941565600882025E-3</v>
      </c>
      <c r="N2157" t="s">
        <v>25</v>
      </c>
      <c r="O2157" t="str">
        <f t="shared" si="330"/>
        <v>Low</v>
      </c>
      <c r="P2157" t="str">
        <f t="shared" si="331"/>
        <v>Low</v>
      </c>
      <c r="Q2157" t="str">
        <f t="shared" si="332"/>
        <v>Low</v>
      </c>
      <c r="R2157" t="s">
        <v>3317</v>
      </c>
      <c r="S2157" s="4">
        <f t="shared" ca="1" si="333"/>
        <v>342</v>
      </c>
      <c r="T2157">
        <f t="shared" si="334"/>
        <v>1</v>
      </c>
      <c r="U2157">
        <f t="shared" si="335"/>
        <v>1</v>
      </c>
      <c r="V2157">
        <f t="shared" si="336"/>
        <v>1</v>
      </c>
      <c r="W2157">
        <f t="shared" si="337"/>
        <v>1</v>
      </c>
      <c r="X2157">
        <f t="shared" si="338"/>
        <v>0.99999999999999989</v>
      </c>
      <c r="Y2157" t="str">
        <f t="shared" si="339"/>
        <v>Healthy</v>
      </c>
    </row>
    <row r="2158" spans="1:25" x14ac:dyDescent="0.35">
      <c r="A2158" t="s">
        <v>90</v>
      </c>
      <c r="B2158" t="s">
        <v>91</v>
      </c>
      <c r="C2158" t="s">
        <v>92</v>
      </c>
      <c r="D2158" t="s">
        <v>1658</v>
      </c>
      <c r="E2158">
        <v>80712432</v>
      </c>
      <c r="F2158" t="s">
        <v>1676</v>
      </c>
      <c r="G2158" s="3">
        <v>45601</v>
      </c>
      <c r="H2158">
        <v>24</v>
      </c>
      <c r="I2158">
        <v>0</v>
      </c>
      <c r="J2158">
        <v>6</v>
      </c>
      <c r="K2158" s="4">
        <v>3020.88</v>
      </c>
      <c r="L2158" s="4">
        <f>0</f>
        <v>0</v>
      </c>
      <c r="M2158" s="4">
        <f>999</f>
        <v>999</v>
      </c>
      <c r="N2158" t="s">
        <v>19</v>
      </c>
      <c r="O2158" t="str">
        <f t="shared" si="330"/>
        <v>High</v>
      </c>
      <c r="P2158" t="str">
        <f t="shared" si="331"/>
        <v>High</v>
      </c>
      <c r="Q2158" t="str">
        <f t="shared" si="332"/>
        <v>High</v>
      </c>
      <c r="R2158" t="s">
        <v>3317</v>
      </c>
      <c r="S2158" s="4">
        <f t="shared" ca="1" si="333"/>
        <v>-596</v>
      </c>
      <c r="T2158">
        <f t="shared" si="334"/>
        <v>3</v>
      </c>
      <c r="U2158">
        <f t="shared" si="335"/>
        <v>3</v>
      </c>
      <c r="V2158">
        <f t="shared" si="336"/>
        <v>3</v>
      </c>
      <c r="W2158">
        <f t="shared" si="337"/>
        <v>1</v>
      </c>
      <c r="X2158">
        <f t="shared" si="338"/>
        <v>2.8000000000000003</v>
      </c>
      <c r="Y2158" t="str">
        <f t="shared" si="339"/>
        <v>Move Immediately</v>
      </c>
    </row>
    <row r="2159" spans="1:25" x14ac:dyDescent="0.35">
      <c r="A2159" t="s">
        <v>41</v>
      </c>
      <c r="B2159" t="s">
        <v>42</v>
      </c>
      <c r="C2159" t="s">
        <v>121</v>
      </c>
      <c r="D2159" t="s">
        <v>1677</v>
      </c>
      <c r="E2159">
        <v>80878378</v>
      </c>
      <c r="F2159" t="s">
        <v>1678</v>
      </c>
      <c r="G2159" s="3">
        <v>47253</v>
      </c>
      <c r="H2159">
        <v>36</v>
      </c>
      <c r="I2159">
        <v>98</v>
      </c>
      <c r="J2159">
        <v>744</v>
      </c>
      <c r="K2159" s="4">
        <v>71424</v>
      </c>
      <c r="L2159" s="4">
        <v>5101.5714285714284</v>
      </c>
      <c r="M2159" s="4">
        <v>0.14583741704236791</v>
      </c>
      <c r="N2159" t="s">
        <v>25</v>
      </c>
      <c r="O2159" t="str">
        <f t="shared" si="330"/>
        <v>Low</v>
      </c>
      <c r="P2159" t="str">
        <f t="shared" si="331"/>
        <v>Low</v>
      </c>
      <c r="Q2159" t="str">
        <f t="shared" si="332"/>
        <v>Low</v>
      </c>
      <c r="R2159" t="s">
        <v>3310</v>
      </c>
      <c r="S2159" s="4">
        <f t="shared" ca="1" si="333"/>
        <v>1056</v>
      </c>
      <c r="T2159">
        <f t="shared" si="334"/>
        <v>1</v>
      </c>
      <c r="U2159">
        <f t="shared" si="335"/>
        <v>1</v>
      </c>
      <c r="V2159">
        <f t="shared" si="336"/>
        <v>1</v>
      </c>
      <c r="W2159">
        <f t="shared" si="337"/>
        <v>2</v>
      </c>
      <c r="X2159">
        <f t="shared" si="338"/>
        <v>1.0999999999999999</v>
      </c>
      <c r="Y2159" t="str">
        <f t="shared" si="339"/>
        <v>Healthy</v>
      </c>
    </row>
    <row r="2160" spans="1:25" x14ac:dyDescent="0.35">
      <c r="A2160" t="s">
        <v>41</v>
      </c>
      <c r="B2160" t="s">
        <v>42</v>
      </c>
      <c r="C2160" t="s">
        <v>121</v>
      </c>
      <c r="D2160" t="s">
        <v>1677</v>
      </c>
      <c r="E2160">
        <v>80878378</v>
      </c>
      <c r="F2160" t="s">
        <v>1678</v>
      </c>
      <c r="G2160" s="3">
        <v>47252</v>
      </c>
      <c r="H2160">
        <v>36</v>
      </c>
      <c r="I2160">
        <v>98</v>
      </c>
      <c r="J2160">
        <v>288</v>
      </c>
      <c r="K2160" s="4">
        <v>27648</v>
      </c>
      <c r="L2160" s="4">
        <v>5101.5714285714284</v>
      </c>
      <c r="M2160" s="4">
        <v>5.6453193693819834E-2</v>
      </c>
      <c r="N2160" t="s">
        <v>25</v>
      </c>
      <c r="O2160" t="str">
        <f t="shared" si="330"/>
        <v>Low</v>
      </c>
      <c r="P2160" t="str">
        <f t="shared" si="331"/>
        <v>Low</v>
      </c>
      <c r="Q2160" t="str">
        <f t="shared" si="332"/>
        <v>Low</v>
      </c>
      <c r="R2160" t="s">
        <v>3317</v>
      </c>
      <c r="S2160" s="4">
        <f t="shared" ca="1" si="333"/>
        <v>1055</v>
      </c>
      <c r="T2160">
        <f t="shared" si="334"/>
        <v>1</v>
      </c>
      <c r="U2160">
        <f t="shared" si="335"/>
        <v>1</v>
      </c>
      <c r="V2160">
        <f t="shared" si="336"/>
        <v>1</v>
      </c>
      <c r="W2160">
        <f t="shared" si="337"/>
        <v>1</v>
      </c>
      <c r="X2160">
        <f t="shared" si="338"/>
        <v>0.99999999999999989</v>
      </c>
      <c r="Y2160" t="str">
        <f t="shared" si="339"/>
        <v>Healthy</v>
      </c>
    </row>
    <row r="2161" spans="1:25" x14ac:dyDescent="0.35">
      <c r="A2161" t="s">
        <v>41</v>
      </c>
      <c r="B2161" t="s">
        <v>42</v>
      </c>
      <c r="C2161" t="s">
        <v>121</v>
      </c>
      <c r="D2161" t="s">
        <v>1677</v>
      </c>
      <c r="E2161">
        <v>80878378</v>
      </c>
      <c r="F2161" t="s">
        <v>1678</v>
      </c>
      <c r="G2161" s="3">
        <v>47214</v>
      </c>
      <c r="H2161">
        <v>36</v>
      </c>
      <c r="I2161">
        <v>95</v>
      </c>
      <c r="J2161">
        <v>1224</v>
      </c>
      <c r="K2161" s="4">
        <v>117504</v>
      </c>
      <c r="L2161" s="4">
        <v>5101.5714285714284</v>
      </c>
      <c r="M2161" s="4">
        <v>0.2399260731987343</v>
      </c>
      <c r="N2161" t="s">
        <v>25</v>
      </c>
      <c r="O2161" t="str">
        <f t="shared" si="330"/>
        <v>Low</v>
      </c>
      <c r="P2161" t="str">
        <f t="shared" si="331"/>
        <v>Low</v>
      </c>
      <c r="Q2161" t="str">
        <f t="shared" si="332"/>
        <v>Low</v>
      </c>
      <c r="R2161" t="s">
        <v>3310</v>
      </c>
      <c r="S2161" s="4">
        <f t="shared" ca="1" si="333"/>
        <v>1017</v>
      </c>
      <c r="T2161">
        <f t="shared" si="334"/>
        <v>1</v>
      </c>
      <c r="U2161">
        <f t="shared" si="335"/>
        <v>1</v>
      </c>
      <c r="V2161">
        <f t="shared" si="336"/>
        <v>1</v>
      </c>
      <c r="W2161">
        <f t="shared" si="337"/>
        <v>2</v>
      </c>
      <c r="X2161">
        <f t="shared" si="338"/>
        <v>1.0999999999999999</v>
      </c>
      <c r="Y2161" t="str">
        <f t="shared" si="339"/>
        <v>Healthy</v>
      </c>
    </row>
    <row r="2162" spans="1:25" x14ac:dyDescent="0.35">
      <c r="A2162" t="s">
        <v>179</v>
      </c>
      <c r="B2162" t="s">
        <v>195</v>
      </c>
      <c r="C2162" t="s">
        <v>199</v>
      </c>
      <c r="D2162" t="s">
        <v>1679</v>
      </c>
      <c r="E2162">
        <v>80891224</v>
      </c>
      <c r="F2162" t="s">
        <v>1680</v>
      </c>
      <c r="G2162" s="3">
        <v>46574</v>
      </c>
      <c r="H2162">
        <v>16</v>
      </c>
      <c r="I2162">
        <v>80</v>
      </c>
      <c r="J2162">
        <v>323</v>
      </c>
      <c r="K2162" s="4">
        <v>401656.96</v>
      </c>
      <c r="L2162" s="4">
        <v>332.71428571428572</v>
      </c>
      <c r="M2162" s="4">
        <v>0.97080291970802912</v>
      </c>
      <c r="N2162" t="s">
        <v>25</v>
      </c>
      <c r="O2162" t="str">
        <f t="shared" si="330"/>
        <v>Low</v>
      </c>
      <c r="P2162" t="str">
        <f t="shared" si="331"/>
        <v>Low</v>
      </c>
      <c r="Q2162" t="str">
        <f t="shared" si="332"/>
        <v>Low</v>
      </c>
      <c r="R2162" t="s">
        <v>3309</v>
      </c>
      <c r="S2162" s="4">
        <f t="shared" ca="1" si="333"/>
        <v>377</v>
      </c>
      <c r="T2162">
        <f t="shared" si="334"/>
        <v>1</v>
      </c>
      <c r="U2162">
        <f t="shared" si="335"/>
        <v>1</v>
      </c>
      <c r="V2162">
        <f t="shared" si="336"/>
        <v>1</v>
      </c>
      <c r="W2162">
        <f t="shared" si="337"/>
        <v>3</v>
      </c>
      <c r="X2162">
        <f t="shared" si="338"/>
        <v>1.2</v>
      </c>
      <c r="Y2162" t="str">
        <f t="shared" si="339"/>
        <v>Healthy</v>
      </c>
    </row>
    <row r="2163" spans="1:25" x14ac:dyDescent="0.35">
      <c r="A2163" t="s">
        <v>179</v>
      </c>
      <c r="B2163" t="s">
        <v>195</v>
      </c>
      <c r="C2163" t="s">
        <v>199</v>
      </c>
      <c r="D2163" t="s">
        <v>1679</v>
      </c>
      <c r="E2163">
        <v>80891224</v>
      </c>
      <c r="F2163" t="s">
        <v>1680</v>
      </c>
      <c r="G2163" s="3">
        <v>46568</v>
      </c>
      <c r="H2163">
        <v>16</v>
      </c>
      <c r="I2163">
        <v>78</v>
      </c>
      <c r="J2163">
        <v>44</v>
      </c>
      <c r="K2163" s="4">
        <v>54714.879999999997</v>
      </c>
      <c r="L2163" s="4">
        <v>332.71428571428572</v>
      </c>
      <c r="M2163" s="4">
        <v>0.13224559896951482</v>
      </c>
      <c r="N2163" t="s">
        <v>25</v>
      </c>
      <c r="O2163" t="str">
        <f t="shared" si="330"/>
        <v>Low</v>
      </c>
      <c r="P2163" t="str">
        <f t="shared" si="331"/>
        <v>Low</v>
      </c>
      <c r="Q2163" t="str">
        <f t="shared" si="332"/>
        <v>Low</v>
      </c>
      <c r="R2163" t="s">
        <v>3317</v>
      </c>
      <c r="S2163" s="4">
        <f t="shared" ca="1" si="333"/>
        <v>371</v>
      </c>
      <c r="T2163">
        <f t="shared" si="334"/>
        <v>1</v>
      </c>
      <c r="U2163">
        <f t="shared" si="335"/>
        <v>1</v>
      </c>
      <c r="V2163">
        <f t="shared" si="336"/>
        <v>1</v>
      </c>
      <c r="W2163">
        <f t="shared" si="337"/>
        <v>1</v>
      </c>
      <c r="X2163">
        <f t="shared" si="338"/>
        <v>0.99999999999999989</v>
      </c>
      <c r="Y2163" t="str">
        <f t="shared" si="339"/>
        <v>Healthy</v>
      </c>
    </row>
    <row r="2164" spans="1:25" x14ac:dyDescent="0.35">
      <c r="A2164" t="s">
        <v>179</v>
      </c>
      <c r="B2164" t="s">
        <v>195</v>
      </c>
      <c r="C2164" t="s">
        <v>199</v>
      </c>
      <c r="D2164" t="s">
        <v>1679</v>
      </c>
      <c r="E2164">
        <v>80891224</v>
      </c>
      <c r="F2164" t="s">
        <v>1680</v>
      </c>
      <c r="G2164" s="3">
        <v>46574</v>
      </c>
      <c r="H2164">
        <v>16</v>
      </c>
      <c r="I2164">
        <v>80</v>
      </c>
      <c r="J2164">
        <v>108</v>
      </c>
      <c r="K2164" s="4">
        <v>134300.16</v>
      </c>
      <c r="L2164" s="4">
        <v>332.71428571428572</v>
      </c>
      <c r="M2164" s="4">
        <v>0.32460283383426364</v>
      </c>
      <c r="N2164" t="s">
        <v>25</v>
      </c>
      <c r="O2164" t="str">
        <f t="shared" si="330"/>
        <v>Low</v>
      </c>
      <c r="P2164" t="str">
        <f t="shared" si="331"/>
        <v>Low</v>
      </c>
      <c r="Q2164" t="str">
        <f t="shared" si="332"/>
        <v>Low</v>
      </c>
      <c r="R2164" t="s">
        <v>3309</v>
      </c>
      <c r="S2164" s="4">
        <f t="shared" ca="1" si="333"/>
        <v>377</v>
      </c>
      <c r="T2164">
        <f t="shared" si="334"/>
        <v>1</v>
      </c>
      <c r="U2164">
        <f t="shared" si="335"/>
        <v>1</v>
      </c>
      <c r="V2164">
        <f t="shared" si="336"/>
        <v>1</v>
      </c>
      <c r="W2164">
        <f t="shared" si="337"/>
        <v>3</v>
      </c>
      <c r="X2164">
        <f t="shared" si="338"/>
        <v>1.2</v>
      </c>
      <c r="Y2164" t="str">
        <f t="shared" si="339"/>
        <v>Healthy</v>
      </c>
    </row>
    <row r="2165" spans="1:25" x14ac:dyDescent="0.35">
      <c r="A2165" t="s">
        <v>179</v>
      </c>
      <c r="B2165" t="s">
        <v>195</v>
      </c>
      <c r="C2165" t="s">
        <v>199</v>
      </c>
      <c r="D2165" t="s">
        <v>1679</v>
      </c>
      <c r="E2165">
        <v>80891224</v>
      </c>
      <c r="F2165" t="s">
        <v>1680</v>
      </c>
      <c r="G2165" s="3">
        <v>46574</v>
      </c>
      <c r="H2165">
        <v>16</v>
      </c>
      <c r="I2165">
        <v>80</v>
      </c>
      <c r="J2165">
        <v>54</v>
      </c>
      <c r="K2165" s="4">
        <v>67150.080000000002</v>
      </c>
      <c r="L2165" s="4">
        <v>332.71428571428572</v>
      </c>
      <c r="M2165" s="4">
        <v>0.16230141691713182</v>
      </c>
      <c r="N2165" t="s">
        <v>25</v>
      </c>
      <c r="O2165" t="str">
        <f t="shared" si="330"/>
        <v>Low</v>
      </c>
      <c r="P2165" t="str">
        <f t="shared" si="331"/>
        <v>Low</v>
      </c>
      <c r="Q2165" t="str">
        <f t="shared" si="332"/>
        <v>Low</v>
      </c>
      <c r="R2165" t="s">
        <v>3310</v>
      </c>
      <c r="S2165" s="4">
        <f t="shared" ca="1" si="333"/>
        <v>377</v>
      </c>
      <c r="T2165">
        <f t="shared" si="334"/>
        <v>1</v>
      </c>
      <c r="U2165">
        <f t="shared" si="335"/>
        <v>1</v>
      </c>
      <c r="V2165">
        <f t="shared" si="336"/>
        <v>1</v>
      </c>
      <c r="W2165">
        <f t="shared" si="337"/>
        <v>2</v>
      </c>
      <c r="X2165">
        <f t="shared" si="338"/>
        <v>1.0999999999999999</v>
      </c>
      <c r="Y2165" t="str">
        <f t="shared" si="339"/>
        <v>Healthy</v>
      </c>
    </row>
    <row r="2166" spans="1:25" x14ac:dyDescent="0.35">
      <c r="A2166" t="s">
        <v>179</v>
      </c>
      <c r="B2166" t="s">
        <v>195</v>
      </c>
      <c r="C2166" t="s">
        <v>199</v>
      </c>
      <c r="D2166" t="s">
        <v>1679</v>
      </c>
      <c r="E2166">
        <v>80891224</v>
      </c>
      <c r="F2166" t="s">
        <v>1680</v>
      </c>
      <c r="G2166" s="3">
        <v>46568</v>
      </c>
      <c r="H2166">
        <v>16</v>
      </c>
      <c r="I2166">
        <v>78</v>
      </c>
      <c r="J2166">
        <v>26</v>
      </c>
      <c r="K2166" s="4">
        <v>32331.52</v>
      </c>
      <c r="L2166" s="4">
        <v>332.71428571428572</v>
      </c>
      <c r="M2166" s="4">
        <v>7.8145126663804201E-2</v>
      </c>
      <c r="N2166" t="s">
        <v>25</v>
      </c>
      <c r="O2166" t="str">
        <f t="shared" si="330"/>
        <v>Low</v>
      </c>
      <c r="P2166" t="str">
        <f t="shared" si="331"/>
        <v>Low</v>
      </c>
      <c r="Q2166" t="str">
        <f t="shared" si="332"/>
        <v>Low</v>
      </c>
      <c r="R2166" t="s">
        <v>3317</v>
      </c>
      <c r="S2166" s="4">
        <f t="shared" ca="1" si="333"/>
        <v>371</v>
      </c>
      <c r="T2166">
        <f t="shared" si="334"/>
        <v>1</v>
      </c>
      <c r="U2166">
        <f t="shared" si="335"/>
        <v>1</v>
      </c>
      <c r="V2166">
        <f t="shared" si="336"/>
        <v>1</v>
      </c>
      <c r="W2166">
        <f t="shared" si="337"/>
        <v>1</v>
      </c>
      <c r="X2166">
        <f t="shared" si="338"/>
        <v>0.99999999999999989</v>
      </c>
      <c r="Y2166" t="str">
        <f t="shared" si="339"/>
        <v>Healthy</v>
      </c>
    </row>
    <row r="2167" spans="1:25" x14ac:dyDescent="0.35">
      <c r="A2167" t="s">
        <v>179</v>
      </c>
      <c r="B2167" t="s">
        <v>195</v>
      </c>
      <c r="C2167" t="s">
        <v>199</v>
      </c>
      <c r="D2167" t="s">
        <v>1681</v>
      </c>
      <c r="E2167">
        <v>80891228</v>
      </c>
      <c r="F2167" t="s">
        <v>1682</v>
      </c>
      <c r="G2167" s="3">
        <v>46568</v>
      </c>
      <c r="H2167">
        <v>16</v>
      </c>
      <c r="I2167">
        <v>78</v>
      </c>
      <c r="J2167">
        <v>34</v>
      </c>
      <c r="K2167" s="4">
        <v>34754.46</v>
      </c>
      <c r="L2167" s="4">
        <v>812.14285714285711</v>
      </c>
      <c r="M2167" s="4">
        <v>4.1864555848724713E-2</v>
      </c>
      <c r="N2167" t="s">
        <v>25</v>
      </c>
      <c r="O2167" t="str">
        <f t="shared" si="330"/>
        <v>Low</v>
      </c>
      <c r="P2167" t="str">
        <f t="shared" si="331"/>
        <v>Low</v>
      </c>
      <c r="Q2167" t="str">
        <f t="shared" si="332"/>
        <v>Low</v>
      </c>
      <c r="R2167" t="s">
        <v>3317</v>
      </c>
      <c r="S2167" s="4">
        <f t="shared" ca="1" si="333"/>
        <v>371</v>
      </c>
      <c r="T2167">
        <f t="shared" si="334"/>
        <v>1</v>
      </c>
      <c r="U2167">
        <f t="shared" si="335"/>
        <v>1</v>
      </c>
      <c r="V2167">
        <f t="shared" si="336"/>
        <v>1</v>
      </c>
      <c r="W2167">
        <f t="shared" si="337"/>
        <v>1</v>
      </c>
      <c r="X2167">
        <f t="shared" si="338"/>
        <v>0.99999999999999989</v>
      </c>
      <c r="Y2167" t="str">
        <f t="shared" si="339"/>
        <v>Healthy</v>
      </c>
    </row>
    <row r="2168" spans="1:25" x14ac:dyDescent="0.35">
      <c r="A2168" t="s">
        <v>179</v>
      </c>
      <c r="B2168" t="s">
        <v>195</v>
      </c>
      <c r="C2168" t="s">
        <v>199</v>
      </c>
      <c r="D2168" t="s">
        <v>1681</v>
      </c>
      <c r="E2168">
        <v>80891228</v>
      </c>
      <c r="F2168" t="s">
        <v>1682</v>
      </c>
      <c r="G2168" s="3">
        <v>46574</v>
      </c>
      <c r="H2168">
        <v>16</v>
      </c>
      <c r="I2168">
        <v>80</v>
      </c>
      <c r="J2168">
        <v>314</v>
      </c>
      <c r="K2168" s="4">
        <v>320967.65999999997</v>
      </c>
      <c r="L2168" s="4">
        <v>812.14285714285711</v>
      </c>
      <c r="M2168" s="4">
        <v>0.38663148636763411</v>
      </c>
      <c r="N2168" t="s">
        <v>25</v>
      </c>
      <c r="O2168" t="str">
        <f t="shared" si="330"/>
        <v>Low</v>
      </c>
      <c r="P2168" t="str">
        <f t="shared" si="331"/>
        <v>Low</v>
      </c>
      <c r="Q2168" t="str">
        <f t="shared" si="332"/>
        <v>Low</v>
      </c>
      <c r="R2168" t="s">
        <v>3309</v>
      </c>
      <c r="S2168" s="4">
        <f t="shared" ca="1" si="333"/>
        <v>377</v>
      </c>
      <c r="T2168">
        <f t="shared" si="334"/>
        <v>1</v>
      </c>
      <c r="U2168">
        <f t="shared" si="335"/>
        <v>1</v>
      </c>
      <c r="V2168">
        <f t="shared" si="336"/>
        <v>1</v>
      </c>
      <c r="W2168">
        <f t="shared" si="337"/>
        <v>3</v>
      </c>
      <c r="X2168">
        <f t="shared" si="338"/>
        <v>1.2</v>
      </c>
      <c r="Y2168" t="str">
        <f t="shared" si="339"/>
        <v>Healthy</v>
      </c>
    </row>
    <row r="2169" spans="1:25" x14ac:dyDescent="0.35">
      <c r="A2169" t="s">
        <v>179</v>
      </c>
      <c r="B2169" t="s">
        <v>195</v>
      </c>
      <c r="C2169" t="s">
        <v>199</v>
      </c>
      <c r="D2169" t="s">
        <v>1681</v>
      </c>
      <c r="E2169">
        <v>80891228</v>
      </c>
      <c r="F2169" t="s">
        <v>1682</v>
      </c>
      <c r="G2169" s="3">
        <v>46568</v>
      </c>
      <c r="H2169">
        <v>16</v>
      </c>
      <c r="I2169">
        <v>78</v>
      </c>
      <c r="J2169">
        <v>594</v>
      </c>
      <c r="K2169" s="4">
        <v>607180.86</v>
      </c>
      <c r="L2169" s="4">
        <v>812.14285714285711</v>
      </c>
      <c r="M2169" s="4">
        <v>0.73139841688654361</v>
      </c>
      <c r="N2169" t="s">
        <v>25</v>
      </c>
      <c r="O2169" t="str">
        <f t="shared" si="330"/>
        <v>Low</v>
      </c>
      <c r="P2169" t="str">
        <f t="shared" si="331"/>
        <v>Low</v>
      </c>
      <c r="Q2169" t="str">
        <f t="shared" si="332"/>
        <v>Low</v>
      </c>
      <c r="R2169" t="s">
        <v>3309</v>
      </c>
      <c r="S2169" s="4">
        <f t="shared" ca="1" si="333"/>
        <v>371</v>
      </c>
      <c r="T2169">
        <f t="shared" si="334"/>
        <v>1</v>
      </c>
      <c r="U2169">
        <f t="shared" si="335"/>
        <v>1</v>
      </c>
      <c r="V2169">
        <f t="shared" si="336"/>
        <v>1</v>
      </c>
      <c r="W2169">
        <f t="shared" si="337"/>
        <v>3</v>
      </c>
      <c r="X2169">
        <f t="shared" si="338"/>
        <v>1.2</v>
      </c>
      <c r="Y2169" t="str">
        <f t="shared" si="339"/>
        <v>Healthy</v>
      </c>
    </row>
    <row r="2170" spans="1:25" x14ac:dyDescent="0.35">
      <c r="A2170" t="s">
        <v>179</v>
      </c>
      <c r="B2170" t="s">
        <v>195</v>
      </c>
      <c r="C2170" t="s">
        <v>199</v>
      </c>
      <c r="D2170" t="s">
        <v>1681</v>
      </c>
      <c r="E2170">
        <v>80891228</v>
      </c>
      <c r="F2170" t="s">
        <v>1682</v>
      </c>
      <c r="G2170" s="3">
        <v>46574</v>
      </c>
      <c r="H2170">
        <v>16</v>
      </c>
      <c r="I2170">
        <v>80</v>
      </c>
      <c r="J2170">
        <v>78</v>
      </c>
      <c r="K2170" s="4">
        <v>79730.820000000007</v>
      </c>
      <c r="L2170" s="4">
        <v>812.14285714285711</v>
      </c>
      <c r="M2170" s="4">
        <v>9.6042216358839055E-2</v>
      </c>
      <c r="N2170" t="s">
        <v>25</v>
      </c>
      <c r="O2170" t="str">
        <f t="shared" si="330"/>
        <v>Low</v>
      </c>
      <c r="P2170" t="str">
        <f t="shared" si="331"/>
        <v>Low</v>
      </c>
      <c r="Q2170" t="str">
        <f t="shared" si="332"/>
        <v>Low</v>
      </c>
      <c r="R2170" t="s">
        <v>3310</v>
      </c>
      <c r="S2170" s="4">
        <f t="shared" ca="1" si="333"/>
        <v>377</v>
      </c>
      <c r="T2170">
        <f t="shared" si="334"/>
        <v>1</v>
      </c>
      <c r="U2170">
        <f t="shared" si="335"/>
        <v>1</v>
      </c>
      <c r="V2170">
        <f t="shared" si="336"/>
        <v>1</v>
      </c>
      <c r="W2170">
        <f t="shared" si="337"/>
        <v>2</v>
      </c>
      <c r="X2170">
        <f t="shared" si="338"/>
        <v>1.0999999999999999</v>
      </c>
      <c r="Y2170" t="str">
        <f t="shared" si="339"/>
        <v>Healthy</v>
      </c>
    </row>
    <row r="2171" spans="1:25" x14ac:dyDescent="0.35">
      <c r="A2171" t="s">
        <v>179</v>
      </c>
      <c r="B2171" t="s">
        <v>195</v>
      </c>
      <c r="C2171" t="s">
        <v>199</v>
      </c>
      <c r="D2171" t="s">
        <v>1681</v>
      </c>
      <c r="E2171">
        <v>80891228</v>
      </c>
      <c r="F2171" t="s">
        <v>1682</v>
      </c>
      <c r="G2171" s="3">
        <v>46568</v>
      </c>
      <c r="H2171">
        <v>16</v>
      </c>
      <c r="I2171">
        <v>78</v>
      </c>
      <c r="J2171">
        <v>38</v>
      </c>
      <c r="K2171" s="4">
        <v>38843.22</v>
      </c>
      <c r="L2171" s="4">
        <v>812.14285714285711</v>
      </c>
      <c r="M2171" s="4">
        <v>4.6789797713280568E-2</v>
      </c>
      <c r="N2171" t="s">
        <v>25</v>
      </c>
      <c r="O2171" t="str">
        <f t="shared" si="330"/>
        <v>Low</v>
      </c>
      <c r="P2171" t="str">
        <f t="shared" si="331"/>
        <v>Low</v>
      </c>
      <c r="Q2171" t="str">
        <f t="shared" si="332"/>
        <v>Low</v>
      </c>
      <c r="R2171" t="s">
        <v>3317</v>
      </c>
      <c r="S2171" s="4">
        <f t="shared" ca="1" si="333"/>
        <v>371</v>
      </c>
      <c r="T2171">
        <f t="shared" si="334"/>
        <v>1</v>
      </c>
      <c r="U2171">
        <f t="shared" si="335"/>
        <v>1</v>
      </c>
      <c r="V2171">
        <f t="shared" si="336"/>
        <v>1</v>
      </c>
      <c r="W2171">
        <f t="shared" si="337"/>
        <v>1</v>
      </c>
      <c r="X2171">
        <f t="shared" si="338"/>
        <v>0.99999999999999989</v>
      </c>
      <c r="Y2171" t="str">
        <f t="shared" si="339"/>
        <v>Healthy</v>
      </c>
    </row>
    <row r="2172" spans="1:25" x14ac:dyDescent="0.35">
      <c r="A2172" t="s">
        <v>179</v>
      </c>
      <c r="B2172" t="s">
        <v>195</v>
      </c>
      <c r="C2172" t="s">
        <v>199</v>
      </c>
      <c r="D2172" t="s">
        <v>1681</v>
      </c>
      <c r="E2172">
        <v>80891228</v>
      </c>
      <c r="F2172" t="s">
        <v>1682</v>
      </c>
      <c r="G2172" s="3">
        <v>46537</v>
      </c>
      <c r="H2172">
        <v>16</v>
      </c>
      <c r="I2172">
        <v>72</v>
      </c>
      <c r="J2172">
        <v>752</v>
      </c>
      <c r="K2172" s="4">
        <v>768686.88</v>
      </c>
      <c r="L2172" s="4">
        <v>812.14285714285711</v>
      </c>
      <c r="M2172" s="4">
        <v>0.92594547053649956</v>
      </c>
      <c r="N2172" t="s">
        <v>25</v>
      </c>
      <c r="O2172" t="str">
        <f t="shared" si="330"/>
        <v>Low</v>
      </c>
      <c r="P2172" t="str">
        <f t="shared" si="331"/>
        <v>Low</v>
      </c>
      <c r="Q2172" t="str">
        <f t="shared" si="332"/>
        <v>Low</v>
      </c>
      <c r="R2172" t="s">
        <v>3309</v>
      </c>
      <c r="S2172" s="4">
        <f t="shared" ca="1" si="333"/>
        <v>340</v>
      </c>
      <c r="T2172">
        <f t="shared" si="334"/>
        <v>1</v>
      </c>
      <c r="U2172">
        <f t="shared" si="335"/>
        <v>1</v>
      </c>
      <c r="V2172">
        <f t="shared" si="336"/>
        <v>1</v>
      </c>
      <c r="W2172">
        <f t="shared" si="337"/>
        <v>3</v>
      </c>
      <c r="X2172">
        <f t="shared" si="338"/>
        <v>1.2</v>
      </c>
      <c r="Y2172" t="str">
        <f t="shared" si="339"/>
        <v>Healthy</v>
      </c>
    </row>
    <row r="2173" spans="1:25" x14ac:dyDescent="0.35">
      <c r="A2173" t="s">
        <v>179</v>
      </c>
      <c r="B2173" t="s">
        <v>195</v>
      </c>
      <c r="C2173" t="s">
        <v>199</v>
      </c>
      <c r="D2173" t="s">
        <v>1683</v>
      </c>
      <c r="E2173">
        <v>80891230</v>
      </c>
      <c r="F2173" t="s">
        <v>1684</v>
      </c>
      <c r="G2173" s="3">
        <v>46626</v>
      </c>
      <c r="H2173">
        <v>16</v>
      </c>
      <c r="I2173">
        <v>90</v>
      </c>
      <c r="J2173">
        <v>10</v>
      </c>
      <c r="K2173" s="4">
        <v>11110.8</v>
      </c>
      <c r="L2173" s="4">
        <v>1006.5714285714286</v>
      </c>
      <c r="M2173" s="4">
        <v>9.9347147317627033E-3</v>
      </c>
      <c r="N2173" t="s">
        <v>25</v>
      </c>
      <c r="O2173" t="str">
        <f t="shared" si="330"/>
        <v>Low</v>
      </c>
      <c r="P2173" t="str">
        <f t="shared" si="331"/>
        <v>Low</v>
      </c>
      <c r="Q2173" t="str">
        <f t="shared" si="332"/>
        <v>Low</v>
      </c>
      <c r="R2173" t="s">
        <v>3317</v>
      </c>
      <c r="S2173" s="4">
        <f t="shared" ca="1" si="333"/>
        <v>429</v>
      </c>
      <c r="T2173">
        <f t="shared" si="334"/>
        <v>1</v>
      </c>
      <c r="U2173">
        <f t="shared" si="335"/>
        <v>1</v>
      </c>
      <c r="V2173">
        <f t="shared" si="336"/>
        <v>1</v>
      </c>
      <c r="W2173">
        <f t="shared" si="337"/>
        <v>1</v>
      </c>
      <c r="X2173">
        <f t="shared" si="338"/>
        <v>0.99999999999999989</v>
      </c>
      <c r="Y2173" t="str">
        <f t="shared" si="339"/>
        <v>Healthy</v>
      </c>
    </row>
    <row r="2174" spans="1:25" x14ac:dyDescent="0.35">
      <c r="A2174" t="s">
        <v>179</v>
      </c>
      <c r="B2174" t="s">
        <v>195</v>
      </c>
      <c r="C2174" t="s">
        <v>199</v>
      </c>
      <c r="D2174" t="s">
        <v>1683</v>
      </c>
      <c r="E2174">
        <v>80891230</v>
      </c>
      <c r="F2174" t="s">
        <v>1684</v>
      </c>
      <c r="G2174" s="3">
        <v>46563</v>
      </c>
      <c r="H2174">
        <v>16</v>
      </c>
      <c r="I2174">
        <v>77</v>
      </c>
      <c r="J2174">
        <v>2</v>
      </c>
      <c r="K2174" s="4">
        <v>2222.16</v>
      </c>
      <c r="L2174" s="4">
        <v>1006.5714285714286</v>
      </c>
      <c r="M2174" s="4">
        <v>1.9869429463525404E-3</v>
      </c>
      <c r="N2174" t="s">
        <v>25</v>
      </c>
      <c r="O2174" t="str">
        <f t="shared" si="330"/>
        <v>Low</v>
      </c>
      <c r="P2174" t="str">
        <f t="shared" si="331"/>
        <v>Low</v>
      </c>
      <c r="Q2174" t="str">
        <f t="shared" si="332"/>
        <v>Low</v>
      </c>
      <c r="R2174" t="s">
        <v>3317</v>
      </c>
      <c r="S2174" s="4">
        <f t="shared" ca="1" si="333"/>
        <v>366</v>
      </c>
      <c r="T2174">
        <f t="shared" si="334"/>
        <v>1</v>
      </c>
      <c r="U2174">
        <f t="shared" si="335"/>
        <v>1</v>
      </c>
      <c r="V2174">
        <f t="shared" si="336"/>
        <v>1</v>
      </c>
      <c r="W2174">
        <f t="shared" si="337"/>
        <v>1</v>
      </c>
      <c r="X2174">
        <f t="shared" si="338"/>
        <v>0.99999999999999989</v>
      </c>
      <c r="Y2174" t="str">
        <f t="shared" si="339"/>
        <v>Healthy</v>
      </c>
    </row>
    <row r="2175" spans="1:25" x14ac:dyDescent="0.35">
      <c r="A2175" t="s">
        <v>41</v>
      </c>
      <c r="B2175" t="s">
        <v>42</v>
      </c>
      <c r="C2175" t="s">
        <v>43</v>
      </c>
      <c r="D2175" t="s">
        <v>1685</v>
      </c>
      <c r="E2175">
        <v>80875101</v>
      </c>
      <c r="F2175" t="s">
        <v>1686</v>
      </c>
      <c r="G2175" s="3">
        <v>47025</v>
      </c>
      <c r="H2175">
        <v>36</v>
      </c>
      <c r="I2175">
        <v>77</v>
      </c>
      <c r="J2175">
        <v>8</v>
      </c>
      <c r="K2175" s="4">
        <v>6368.72</v>
      </c>
      <c r="L2175" s="4">
        <v>1.1428571428571428</v>
      </c>
      <c r="M2175" s="4">
        <v>7</v>
      </c>
      <c r="N2175" t="s">
        <v>19</v>
      </c>
      <c r="O2175" t="str">
        <f t="shared" si="330"/>
        <v>Low</v>
      </c>
      <c r="P2175" t="str">
        <f t="shared" si="331"/>
        <v>Medium</v>
      </c>
      <c r="Q2175" t="str">
        <f t="shared" si="332"/>
        <v>High</v>
      </c>
      <c r="R2175" t="s">
        <v>3317</v>
      </c>
      <c r="S2175" s="4">
        <f t="shared" ca="1" si="333"/>
        <v>828</v>
      </c>
      <c r="T2175">
        <f t="shared" si="334"/>
        <v>1</v>
      </c>
      <c r="U2175">
        <f t="shared" si="335"/>
        <v>2</v>
      </c>
      <c r="V2175">
        <f t="shared" si="336"/>
        <v>3</v>
      </c>
      <c r="W2175">
        <f t="shared" si="337"/>
        <v>1</v>
      </c>
      <c r="X2175">
        <f t="shared" si="338"/>
        <v>1.7000000000000002</v>
      </c>
      <c r="Y2175" t="str">
        <f t="shared" si="339"/>
        <v>Monitor</v>
      </c>
    </row>
    <row r="2176" spans="1:25" x14ac:dyDescent="0.35">
      <c r="A2176" t="s">
        <v>41</v>
      </c>
      <c r="B2176" t="s">
        <v>42</v>
      </c>
      <c r="C2176" t="s">
        <v>43</v>
      </c>
      <c r="D2176" t="s">
        <v>1685</v>
      </c>
      <c r="E2176">
        <v>80875101</v>
      </c>
      <c r="F2176" t="s">
        <v>1686</v>
      </c>
      <c r="G2176" s="3">
        <v>47025</v>
      </c>
      <c r="H2176">
        <v>36</v>
      </c>
      <c r="I2176">
        <v>77</v>
      </c>
      <c r="J2176">
        <v>8</v>
      </c>
      <c r="K2176" s="4">
        <v>6368.72</v>
      </c>
      <c r="L2176" s="4">
        <v>1.1428571428571428</v>
      </c>
      <c r="M2176" s="4">
        <v>7</v>
      </c>
      <c r="N2176" t="s">
        <v>19</v>
      </c>
      <c r="O2176" t="str">
        <f t="shared" si="330"/>
        <v>Low</v>
      </c>
      <c r="P2176" t="str">
        <f t="shared" si="331"/>
        <v>Medium</v>
      </c>
      <c r="Q2176" t="str">
        <f t="shared" si="332"/>
        <v>High</v>
      </c>
      <c r="R2176" t="s">
        <v>3317</v>
      </c>
      <c r="S2176" s="4">
        <f t="shared" ca="1" si="333"/>
        <v>828</v>
      </c>
      <c r="T2176">
        <f t="shared" si="334"/>
        <v>1</v>
      </c>
      <c r="U2176">
        <f t="shared" si="335"/>
        <v>2</v>
      </c>
      <c r="V2176">
        <f t="shared" si="336"/>
        <v>3</v>
      </c>
      <c r="W2176">
        <f t="shared" si="337"/>
        <v>1</v>
      </c>
      <c r="X2176">
        <f t="shared" si="338"/>
        <v>1.7000000000000002</v>
      </c>
      <c r="Y2176" t="str">
        <f t="shared" si="339"/>
        <v>Monitor</v>
      </c>
    </row>
    <row r="2177" spans="1:25" x14ac:dyDescent="0.35">
      <c r="A2177" t="s">
        <v>179</v>
      </c>
      <c r="B2177" t="s">
        <v>223</v>
      </c>
      <c r="C2177" t="s">
        <v>357</v>
      </c>
      <c r="D2177" t="s">
        <v>1687</v>
      </c>
      <c r="E2177">
        <v>80888110</v>
      </c>
      <c r="F2177" t="s">
        <v>1688</v>
      </c>
      <c r="G2177" s="3">
        <v>46692</v>
      </c>
      <c r="H2177">
        <v>18</v>
      </c>
      <c r="I2177">
        <v>93</v>
      </c>
      <c r="J2177">
        <v>2400</v>
      </c>
      <c r="K2177" s="4">
        <v>120552</v>
      </c>
      <c r="L2177" s="4">
        <v>342.85714285714283</v>
      </c>
      <c r="M2177" s="4">
        <v>7.0000000000000009</v>
      </c>
      <c r="N2177" t="s">
        <v>19</v>
      </c>
      <c r="O2177" t="str">
        <f t="shared" si="330"/>
        <v>Low</v>
      </c>
      <c r="P2177" t="str">
        <f t="shared" si="331"/>
        <v>Medium</v>
      </c>
      <c r="Q2177" t="str">
        <f t="shared" si="332"/>
        <v>Low</v>
      </c>
      <c r="R2177" t="s">
        <v>3310</v>
      </c>
      <c r="S2177" s="4">
        <f t="shared" ca="1" si="333"/>
        <v>495</v>
      </c>
      <c r="T2177">
        <f t="shared" si="334"/>
        <v>1</v>
      </c>
      <c r="U2177">
        <f t="shared" si="335"/>
        <v>2</v>
      </c>
      <c r="V2177">
        <f t="shared" si="336"/>
        <v>1</v>
      </c>
      <c r="W2177">
        <f t="shared" si="337"/>
        <v>2</v>
      </c>
      <c r="X2177">
        <f t="shared" si="338"/>
        <v>1.4</v>
      </c>
      <c r="Y2177" t="str">
        <f t="shared" si="339"/>
        <v>Healthy</v>
      </c>
    </row>
    <row r="2178" spans="1:25" x14ac:dyDescent="0.35">
      <c r="A2178" t="s">
        <v>90</v>
      </c>
      <c r="B2178" t="s">
        <v>217</v>
      </c>
      <c r="C2178" t="s">
        <v>239</v>
      </c>
      <c r="D2178" t="s">
        <v>240</v>
      </c>
      <c r="E2178">
        <v>80879944</v>
      </c>
      <c r="F2178" t="s">
        <v>1689</v>
      </c>
      <c r="G2178" s="3">
        <v>46880</v>
      </c>
      <c r="H2178">
        <v>24</v>
      </c>
      <c r="I2178">
        <v>96</v>
      </c>
      <c r="J2178">
        <v>78</v>
      </c>
      <c r="K2178" s="4">
        <v>3710.46</v>
      </c>
      <c r="L2178" s="4">
        <v>39</v>
      </c>
      <c r="M2178" s="4">
        <v>2</v>
      </c>
      <c r="N2178" t="s">
        <v>25</v>
      </c>
      <c r="O2178" t="str">
        <f t="shared" si="330"/>
        <v>Low</v>
      </c>
      <c r="P2178" t="str">
        <f t="shared" si="331"/>
        <v>Low</v>
      </c>
      <c r="Q2178" t="str">
        <f t="shared" si="332"/>
        <v>Low</v>
      </c>
      <c r="R2178" t="s">
        <v>3317</v>
      </c>
      <c r="S2178" s="4">
        <f t="shared" ca="1" si="333"/>
        <v>683</v>
      </c>
      <c r="T2178">
        <f t="shared" si="334"/>
        <v>1</v>
      </c>
      <c r="U2178">
        <f t="shared" si="335"/>
        <v>1</v>
      </c>
      <c r="V2178">
        <f t="shared" si="336"/>
        <v>1</v>
      </c>
      <c r="W2178">
        <f t="shared" si="337"/>
        <v>1</v>
      </c>
      <c r="X2178">
        <f t="shared" si="338"/>
        <v>0.99999999999999989</v>
      </c>
      <c r="Y2178" t="str">
        <f t="shared" si="339"/>
        <v>Healthy</v>
      </c>
    </row>
    <row r="2179" spans="1:25" x14ac:dyDescent="0.35">
      <c r="A2179" t="s">
        <v>90</v>
      </c>
      <c r="B2179" t="s">
        <v>217</v>
      </c>
      <c r="C2179" t="s">
        <v>533</v>
      </c>
      <c r="D2179" t="s">
        <v>1690</v>
      </c>
      <c r="E2179">
        <v>80887328</v>
      </c>
      <c r="F2179" t="s">
        <v>1691</v>
      </c>
      <c r="G2179" s="3">
        <v>46826</v>
      </c>
      <c r="H2179">
        <v>24</v>
      </c>
      <c r="I2179">
        <v>88</v>
      </c>
      <c r="J2179">
        <v>5</v>
      </c>
      <c r="K2179" s="4">
        <v>1037.8</v>
      </c>
      <c r="L2179" s="4">
        <v>5419.4285714285716</v>
      </c>
      <c r="M2179" s="4">
        <v>9.2260649514972588E-4</v>
      </c>
      <c r="N2179" t="s">
        <v>25</v>
      </c>
      <c r="O2179" t="str">
        <f t="shared" ref="O2179:O2242" si="340">IF(I2179&lt;20,"High",IF(I2179&lt;40,"Medium","Low"))</f>
        <v>Low</v>
      </c>
      <c r="P2179" t="str">
        <f t="shared" ref="P2179:P2242" si="341">IF(M2179&gt;8,"High",IF(M2179&gt;4,"Medium","Low"))</f>
        <v>Low</v>
      </c>
      <c r="Q2179" t="str">
        <f t="shared" ref="Q2179:Q2242" si="342">IF(L2179&lt;5,"High",IF(L2179&lt;15,"Medium","Low"))</f>
        <v>Low</v>
      </c>
      <c r="R2179" t="s">
        <v>3317</v>
      </c>
      <c r="S2179" s="4">
        <f t="shared" ref="S2179:S2242" ca="1" si="343">G2179-TODAY()</f>
        <v>629</v>
      </c>
      <c r="T2179">
        <f t="shared" ref="T2179:T2242" si="344">IF(O2179="High",3,IF(O2179="Medium",2,1))</f>
        <v>1</v>
      </c>
      <c r="U2179">
        <f t="shared" ref="U2179:U2242" si="345">IF(P2179="High",3,IF(P2179="Medium",2,1))</f>
        <v>1</v>
      </c>
      <c r="V2179">
        <f t="shared" ref="V2179:V2242" si="346">IF(Q2179="High",3,IF(Q2179="Medium",2,1))</f>
        <v>1</v>
      </c>
      <c r="W2179">
        <f t="shared" ref="W2179:W2242" si="347">IF(R2179="High",3,IF(R2179="Medium",2,1))</f>
        <v>1</v>
      </c>
      <c r="X2179">
        <f t="shared" ref="X2179:X2242" si="348">(0.4*T2179)+(0.3*U2179)+(0.2*V2179)+(0.1*W2179)</f>
        <v>0.99999999999999989</v>
      </c>
      <c r="Y2179" t="str">
        <f t="shared" ref="Y2179:Y2242" si="349">IF(X2179&gt;=2.7,"Move Immediately",IF(X2179&gt;=2.2,"High Priority",IF(X2179&gt;=1.7,"Monitor","Healthy")))</f>
        <v>Healthy</v>
      </c>
    </row>
    <row r="2180" spans="1:25" x14ac:dyDescent="0.35">
      <c r="A2180" t="s">
        <v>90</v>
      </c>
      <c r="B2180" t="s">
        <v>217</v>
      </c>
      <c r="C2180" t="s">
        <v>533</v>
      </c>
      <c r="D2180" t="s">
        <v>1690</v>
      </c>
      <c r="E2180">
        <v>80887328</v>
      </c>
      <c r="F2180" t="s">
        <v>1691</v>
      </c>
      <c r="G2180" s="3">
        <v>46817</v>
      </c>
      <c r="H2180">
        <v>24</v>
      </c>
      <c r="I2180">
        <v>87</v>
      </c>
      <c r="J2180">
        <v>15</v>
      </c>
      <c r="K2180" s="4">
        <v>3113.4</v>
      </c>
      <c r="L2180" s="4">
        <v>5419.4285714285716</v>
      </c>
      <c r="M2180" s="4">
        <v>2.7678194854491773E-3</v>
      </c>
      <c r="N2180" t="s">
        <v>25</v>
      </c>
      <c r="O2180" t="str">
        <f t="shared" si="340"/>
        <v>Low</v>
      </c>
      <c r="P2180" t="str">
        <f t="shared" si="341"/>
        <v>Low</v>
      </c>
      <c r="Q2180" t="str">
        <f t="shared" si="342"/>
        <v>Low</v>
      </c>
      <c r="R2180" t="s">
        <v>3317</v>
      </c>
      <c r="S2180" s="4">
        <f t="shared" ca="1" si="343"/>
        <v>620</v>
      </c>
      <c r="T2180">
        <f t="shared" si="344"/>
        <v>1</v>
      </c>
      <c r="U2180">
        <f t="shared" si="345"/>
        <v>1</v>
      </c>
      <c r="V2180">
        <f t="shared" si="346"/>
        <v>1</v>
      </c>
      <c r="W2180">
        <f t="shared" si="347"/>
        <v>1</v>
      </c>
      <c r="X2180">
        <f t="shared" si="348"/>
        <v>0.99999999999999989</v>
      </c>
      <c r="Y2180" t="str">
        <f t="shared" si="349"/>
        <v>Healthy</v>
      </c>
    </row>
    <row r="2181" spans="1:25" x14ac:dyDescent="0.35">
      <c r="A2181" t="s">
        <v>90</v>
      </c>
      <c r="B2181" t="s">
        <v>217</v>
      </c>
      <c r="C2181" t="s">
        <v>533</v>
      </c>
      <c r="D2181" t="s">
        <v>663</v>
      </c>
      <c r="E2181">
        <v>80887329</v>
      </c>
      <c r="F2181" t="s">
        <v>1692</v>
      </c>
      <c r="G2181" s="3">
        <v>46753</v>
      </c>
      <c r="H2181">
        <v>24</v>
      </c>
      <c r="I2181">
        <v>78</v>
      </c>
      <c r="J2181">
        <v>270</v>
      </c>
      <c r="K2181" s="4">
        <v>17512.2</v>
      </c>
      <c r="L2181" s="4">
        <v>1101.1428571428571</v>
      </c>
      <c r="M2181" s="4">
        <v>0.24519979242345616</v>
      </c>
      <c r="N2181" t="s">
        <v>25</v>
      </c>
      <c r="O2181" t="str">
        <f t="shared" si="340"/>
        <v>Low</v>
      </c>
      <c r="P2181" t="str">
        <f t="shared" si="341"/>
        <v>Low</v>
      </c>
      <c r="Q2181" t="str">
        <f t="shared" si="342"/>
        <v>Low</v>
      </c>
      <c r="R2181" t="s">
        <v>3317</v>
      </c>
      <c r="S2181" s="4">
        <f t="shared" ca="1" si="343"/>
        <v>556</v>
      </c>
      <c r="T2181">
        <f t="shared" si="344"/>
        <v>1</v>
      </c>
      <c r="U2181">
        <f t="shared" si="345"/>
        <v>1</v>
      </c>
      <c r="V2181">
        <f t="shared" si="346"/>
        <v>1</v>
      </c>
      <c r="W2181">
        <f t="shared" si="347"/>
        <v>1</v>
      </c>
      <c r="X2181">
        <f t="shared" si="348"/>
        <v>0.99999999999999989</v>
      </c>
      <c r="Y2181" t="str">
        <f t="shared" si="349"/>
        <v>Healthy</v>
      </c>
    </row>
    <row r="2182" spans="1:25" x14ac:dyDescent="0.35">
      <c r="A2182" t="s">
        <v>90</v>
      </c>
      <c r="B2182" t="s">
        <v>217</v>
      </c>
      <c r="C2182" t="s">
        <v>533</v>
      </c>
      <c r="D2182" t="s">
        <v>663</v>
      </c>
      <c r="E2182">
        <v>80887329</v>
      </c>
      <c r="F2182" t="s">
        <v>1692</v>
      </c>
      <c r="G2182" s="3">
        <v>46753</v>
      </c>
      <c r="H2182">
        <v>24</v>
      </c>
      <c r="I2182">
        <v>78</v>
      </c>
      <c r="J2182">
        <v>108</v>
      </c>
      <c r="K2182" s="4">
        <v>7004.88</v>
      </c>
      <c r="L2182" s="4">
        <v>1101.1428571428571</v>
      </c>
      <c r="M2182" s="4">
        <v>9.8079916969382466E-2</v>
      </c>
      <c r="N2182" t="s">
        <v>25</v>
      </c>
      <c r="O2182" t="str">
        <f t="shared" si="340"/>
        <v>Low</v>
      </c>
      <c r="P2182" t="str">
        <f t="shared" si="341"/>
        <v>Low</v>
      </c>
      <c r="Q2182" t="str">
        <f t="shared" si="342"/>
        <v>Low</v>
      </c>
      <c r="R2182" t="s">
        <v>3317</v>
      </c>
      <c r="S2182" s="4">
        <f t="shared" ca="1" si="343"/>
        <v>556</v>
      </c>
      <c r="T2182">
        <f t="shared" si="344"/>
        <v>1</v>
      </c>
      <c r="U2182">
        <f t="shared" si="345"/>
        <v>1</v>
      </c>
      <c r="V2182">
        <f t="shared" si="346"/>
        <v>1</v>
      </c>
      <c r="W2182">
        <f t="shared" si="347"/>
        <v>1</v>
      </c>
      <c r="X2182">
        <f t="shared" si="348"/>
        <v>0.99999999999999989</v>
      </c>
      <c r="Y2182" t="str">
        <f t="shared" si="349"/>
        <v>Healthy</v>
      </c>
    </row>
    <row r="2183" spans="1:25" x14ac:dyDescent="0.35">
      <c r="A2183" t="s">
        <v>90</v>
      </c>
      <c r="B2183" t="s">
        <v>217</v>
      </c>
      <c r="C2183" t="s">
        <v>533</v>
      </c>
      <c r="D2183" t="s">
        <v>663</v>
      </c>
      <c r="E2183">
        <v>80887329</v>
      </c>
      <c r="F2183" t="s">
        <v>1692</v>
      </c>
      <c r="G2183" s="3">
        <v>46755</v>
      </c>
      <c r="H2183">
        <v>24</v>
      </c>
      <c r="I2183">
        <v>78</v>
      </c>
      <c r="J2183">
        <v>248</v>
      </c>
      <c r="K2183" s="4">
        <v>16085.28</v>
      </c>
      <c r="L2183" s="4">
        <v>1101.1428571428571</v>
      </c>
      <c r="M2183" s="4">
        <v>0.2252205500778412</v>
      </c>
      <c r="N2183" t="s">
        <v>25</v>
      </c>
      <c r="O2183" t="str">
        <f t="shared" si="340"/>
        <v>Low</v>
      </c>
      <c r="P2183" t="str">
        <f t="shared" si="341"/>
        <v>Low</v>
      </c>
      <c r="Q2183" t="str">
        <f t="shared" si="342"/>
        <v>Low</v>
      </c>
      <c r="R2183" t="s">
        <v>3317</v>
      </c>
      <c r="S2183" s="4">
        <f t="shared" ca="1" si="343"/>
        <v>558</v>
      </c>
      <c r="T2183">
        <f t="shared" si="344"/>
        <v>1</v>
      </c>
      <c r="U2183">
        <f t="shared" si="345"/>
        <v>1</v>
      </c>
      <c r="V2183">
        <f t="shared" si="346"/>
        <v>1</v>
      </c>
      <c r="W2183">
        <f t="shared" si="347"/>
        <v>1</v>
      </c>
      <c r="X2183">
        <f t="shared" si="348"/>
        <v>0.99999999999999989</v>
      </c>
      <c r="Y2183" t="str">
        <f t="shared" si="349"/>
        <v>Healthy</v>
      </c>
    </row>
    <row r="2184" spans="1:25" x14ac:dyDescent="0.35">
      <c r="A2184" t="s">
        <v>90</v>
      </c>
      <c r="B2184" t="s">
        <v>217</v>
      </c>
      <c r="C2184" t="s">
        <v>533</v>
      </c>
      <c r="D2184" t="s">
        <v>663</v>
      </c>
      <c r="E2184">
        <v>80887329</v>
      </c>
      <c r="F2184" t="s">
        <v>1692</v>
      </c>
      <c r="G2184" s="3">
        <v>46756</v>
      </c>
      <c r="H2184">
        <v>24</v>
      </c>
      <c r="I2184">
        <v>78</v>
      </c>
      <c r="J2184">
        <v>154</v>
      </c>
      <c r="K2184" s="4">
        <v>9988.44</v>
      </c>
      <c r="L2184" s="4">
        <v>1101.1428571428571</v>
      </c>
      <c r="M2184" s="4">
        <v>0.13985469641930462</v>
      </c>
      <c r="N2184" t="s">
        <v>25</v>
      </c>
      <c r="O2184" t="str">
        <f t="shared" si="340"/>
        <v>Low</v>
      </c>
      <c r="P2184" t="str">
        <f t="shared" si="341"/>
        <v>Low</v>
      </c>
      <c r="Q2184" t="str">
        <f t="shared" si="342"/>
        <v>Low</v>
      </c>
      <c r="R2184" t="s">
        <v>3317</v>
      </c>
      <c r="S2184" s="4">
        <f t="shared" ca="1" si="343"/>
        <v>559</v>
      </c>
      <c r="T2184">
        <f t="shared" si="344"/>
        <v>1</v>
      </c>
      <c r="U2184">
        <f t="shared" si="345"/>
        <v>1</v>
      </c>
      <c r="V2184">
        <f t="shared" si="346"/>
        <v>1</v>
      </c>
      <c r="W2184">
        <f t="shared" si="347"/>
        <v>1</v>
      </c>
      <c r="X2184">
        <f t="shared" si="348"/>
        <v>0.99999999999999989</v>
      </c>
      <c r="Y2184" t="str">
        <f t="shared" si="349"/>
        <v>Healthy</v>
      </c>
    </row>
    <row r="2185" spans="1:25" x14ac:dyDescent="0.35">
      <c r="A2185" t="s">
        <v>20</v>
      </c>
      <c r="B2185" t="s">
        <v>21</v>
      </c>
      <c r="C2185" t="s">
        <v>214</v>
      </c>
      <c r="D2185" t="s">
        <v>1693</v>
      </c>
      <c r="E2185">
        <v>80716687</v>
      </c>
      <c r="F2185" t="s">
        <v>1694</v>
      </c>
      <c r="G2185" s="3">
        <v>46914</v>
      </c>
      <c r="H2185">
        <v>36</v>
      </c>
      <c r="I2185">
        <v>67</v>
      </c>
      <c r="J2185">
        <v>19</v>
      </c>
      <c r="K2185" s="4">
        <v>6085.89</v>
      </c>
      <c r="L2185" s="4">
        <v>10.571428571428571</v>
      </c>
      <c r="M2185" s="4">
        <v>1.7972972972972974</v>
      </c>
      <c r="N2185" t="s">
        <v>25</v>
      </c>
      <c r="O2185" t="str">
        <f t="shared" si="340"/>
        <v>Low</v>
      </c>
      <c r="P2185" t="str">
        <f t="shared" si="341"/>
        <v>Low</v>
      </c>
      <c r="Q2185" t="str">
        <f t="shared" si="342"/>
        <v>Medium</v>
      </c>
      <c r="R2185" t="s">
        <v>3317</v>
      </c>
      <c r="S2185" s="4">
        <f t="shared" ca="1" si="343"/>
        <v>717</v>
      </c>
      <c r="T2185">
        <f t="shared" si="344"/>
        <v>1</v>
      </c>
      <c r="U2185">
        <f t="shared" si="345"/>
        <v>1</v>
      </c>
      <c r="V2185">
        <f t="shared" si="346"/>
        <v>2</v>
      </c>
      <c r="W2185">
        <f t="shared" si="347"/>
        <v>1</v>
      </c>
      <c r="X2185">
        <f t="shared" si="348"/>
        <v>1.2000000000000002</v>
      </c>
      <c r="Y2185" t="str">
        <f t="shared" si="349"/>
        <v>Healthy</v>
      </c>
    </row>
    <row r="2186" spans="1:25" x14ac:dyDescent="0.35">
      <c r="A2186" t="s">
        <v>179</v>
      </c>
      <c r="B2186" t="s">
        <v>195</v>
      </c>
      <c r="C2186" t="s">
        <v>199</v>
      </c>
      <c r="D2186" t="s">
        <v>708</v>
      </c>
      <c r="E2186">
        <v>80891233</v>
      </c>
      <c r="F2186" t="s">
        <v>1695</v>
      </c>
      <c r="G2186" s="3">
        <v>46537</v>
      </c>
      <c r="H2186">
        <v>16</v>
      </c>
      <c r="I2186">
        <v>72</v>
      </c>
      <c r="J2186">
        <v>10</v>
      </c>
      <c r="K2186" s="4">
        <v>15332.8</v>
      </c>
      <c r="L2186" s="4">
        <v>22.142857142857142</v>
      </c>
      <c r="M2186" s="4">
        <v>0.45161290322580644</v>
      </c>
      <c r="N2186" t="s">
        <v>25</v>
      </c>
      <c r="O2186" t="str">
        <f t="shared" si="340"/>
        <v>Low</v>
      </c>
      <c r="P2186" t="str">
        <f t="shared" si="341"/>
        <v>Low</v>
      </c>
      <c r="Q2186" t="str">
        <f t="shared" si="342"/>
        <v>Low</v>
      </c>
      <c r="R2186" t="s">
        <v>3317</v>
      </c>
      <c r="S2186" s="4">
        <f t="shared" ca="1" si="343"/>
        <v>340</v>
      </c>
      <c r="T2186">
        <f t="shared" si="344"/>
        <v>1</v>
      </c>
      <c r="U2186">
        <f t="shared" si="345"/>
        <v>1</v>
      </c>
      <c r="V2186">
        <f t="shared" si="346"/>
        <v>1</v>
      </c>
      <c r="W2186">
        <f t="shared" si="347"/>
        <v>1</v>
      </c>
      <c r="X2186">
        <f t="shared" si="348"/>
        <v>0.99999999999999989</v>
      </c>
      <c r="Y2186" t="str">
        <f t="shared" si="349"/>
        <v>Healthy</v>
      </c>
    </row>
    <row r="2187" spans="1:25" x14ac:dyDescent="0.35">
      <c r="A2187" t="s">
        <v>179</v>
      </c>
      <c r="B2187" t="s">
        <v>195</v>
      </c>
      <c r="C2187" t="s">
        <v>199</v>
      </c>
      <c r="D2187" t="s">
        <v>708</v>
      </c>
      <c r="E2187">
        <v>80891233</v>
      </c>
      <c r="F2187" t="s">
        <v>1695</v>
      </c>
      <c r="G2187" s="3">
        <v>46568</v>
      </c>
      <c r="H2187">
        <v>16</v>
      </c>
      <c r="I2187">
        <v>78</v>
      </c>
      <c r="J2187">
        <v>12</v>
      </c>
      <c r="K2187" s="4">
        <v>18399.36</v>
      </c>
      <c r="L2187" s="4">
        <v>22.142857142857142</v>
      </c>
      <c r="M2187" s="4">
        <v>0.54193548387096779</v>
      </c>
      <c r="N2187" t="s">
        <v>25</v>
      </c>
      <c r="O2187" t="str">
        <f t="shared" si="340"/>
        <v>Low</v>
      </c>
      <c r="P2187" t="str">
        <f t="shared" si="341"/>
        <v>Low</v>
      </c>
      <c r="Q2187" t="str">
        <f t="shared" si="342"/>
        <v>Low</v>
      </c>
      <c r="R2187" t="s">
        <v>3317</v>
      </c>
      <c r="S2187" s="4">
        <f t="shared" ca="1" si="343"/>
        <v>371</v>
      </c>
      <c r="T2187">
        <f t="shared" si="344"/>
        <v>1</v>
      </c>
      <c r="U2187">
        <f t="shared" si="345"/>
        <v>1</v>
      </c>
      <c r="V2187">
        <f t="shared" si="346"/>
        <v>1</v>
      </c>
      <c r="W2187">
        <f t="shared" si="347"/>
        <v>1</v>
      </c>
      <c r="X2187">
        <f t="shared" si="348"/>
        <v>0.99999999999999989</v>
      </c>
      <c r="Y2187" t="str">
        <f t="shared" si="349"/>
        <v>Healthy</v>
      </c>
    </row>
    <row r="2188" spans="1:25" x14ac:dyDescent="0.35">
      <c r="A2188" t="s">
        <v>20</v>
      </c>
      <c r="B2188" t="s">
        <v>21</v>
      </c>
      <c r="C2188" t="s">
        <v>214</v>
      </c>
      <c r="D2188" t="s">
        <v>1693</v>
      </c>
      <c r="E2188">
        <v>80716687</v>
      </c>
      <c r="F2188" t="s">
        <v>1694</v>
      </c>
      <c r="G2188" s="3">
        <v>47727</v>
      </c>
      <c r="H2188">
        <v>36</v>
      </c>
      <c r="I2188">
        <v>100</v>
      </c>
      <c r="J2188">
        <v>7</v>
      </c>
      <c r="K2188" s="4">
        <v>2242.17</v>
      </c>
      <c r="L2188" s="4">
        <v>10.571428571428571</v>
      </c>
      <c r="M2188" s="4">
        <v>0.66216216216216217</v>
      </c>
      <c r="N2188" t="s">
        <v>25</v>
      </c>
      <c r="O2188" t="str">
        <f t="shared" si="340"/>
        <v>Low</v>
      </c>
      <c r="P2188" t="str">
        <f t="shared" si="341"/>
        <v>Low</v>
      </c>
      <c r="Q2188" t="str">
        <f t="shared" si="342"/>
        <v>Medium</v>
      </c>
      <c r="R2188" t="s">
        <v>3317</v>
      </c>
      <c r="S2188" s="4">
        <f t="shared" ca="1" si="343"/>
        <v>1530</v>
      </c>
      <c r="T2188">
        <f t="shared" si="344"/>
        <v>1</v>
      </c>
      <c r="U2188">
        <f t="shared" si="345"/>
        <v>1</v>
      </c>
      <c r="V2188">
        <f t="shared" si="346"/>
        <v>2</v>
      </c>
      <c r="W2188">
        <f t="shared" si="347"/>
        <v>1</v>
      </c>
      <c r="X2188">
        <f t="shared" si="348"/>
        <v>1.2000000000000002</v>
      </c>
      <c r="Y2188" t="str">
        <f t="shared" si="349"/>
        <v>Healthy</v>
      </c>
    </row>
    <row r="2189" spans="1:25" x14ac:dyDescent="0.35">
      <c r="A2189" t="s">
        <v>179</v>
      </c>
      <c r="B2189" t="s">
        <v>195</v>
      </c>
      <c r="C2189" t="s">
        <v>199</v>
      </c>
      <c r="D2189" t="s">
        <v>708</v>
      </c>
      <c r="E2189">
        <v>80891233</v>
      </c>
      <c r="F2189" t="s">
        <v>1695</v>
      </c>
      <c r="G2189" s="3">
        <v>46568</v>
      </c>
      <c r="H2189">
        <v>16</v>
      </c>
      <c r="I2189">
        <v>78</v>
      </c>
      <c r="J2189">
        <v>6</v>
      </c>
      <c r="K2189" s="4">
        <v>9199.68</v>
      </c>
      <c r="L2189" s="4">
        <v>22.142857142857142</v>
      </c>
      <c r="M2189" s="4">
        <v>0.2709677419354839</v>
      </c>
      <c r="N2189" t="s">
        <v>25</v>
      </c>
      <c r="O2189" t="str">
        <f t="shared" si="340"/>
        <v>Low</v>
      </c>
      <c r="P2189" t="str">
        <f t="shared" si="341"/>
        <v>Low</v>
      </c>
      <c r="Q2189" t="str">
        <f t="shared" si="342"/>
        <v>Low</v>
      </c>
      <c r="R2189" t="s">
        <v>3317</v>
      </c>
      <c r="S2189" s="4">
        <f t="shared" ca="1" si="343"/>
        <v>371</v>
      </c>
      <c r="T2189">
        <f t="shared" si="344"/>
        <v>1</v>
      </c>
      <c r="U2189">
        <f t="shared" si="345"/>
        <v>1</v>
      </c>
      <c r="V2189">
        <f t="shared" si="346"/>
        <v>1</v>
      </c>
      <c r="W2189">
        <f t="shared" si="347"/>
        <v>1</v>
      </c>
      <c r="X2189">
        <f t="shared" si="348"/>
        <v>0.99999999999999989</v>
      </c>
      <c r="Y2189" t="str">
        <f t="shared" si="349"/>
        <v>Healthy</v>
      </c>
    </row>
    <row r="2190" spans="1:25" x14ac:dyDescent="0.35">
      <c r="A2190" t="s">
        <v>179</v>
      </c>
      <c r="B2190" t="s">
        <v>195</v>
      </c>
      <c r="C2190" t="s">
        <v>199</v>
      </c>
      <c r="D2190" t="s">
        <v>1696</v>
      </c>
      <c r="E2190">
        <v>80891234</v>
      </c>
      <c r="F2190" t="s">
        <v>1697</v>
      </c>
      <c r="G2190" s="3">
        <v>46502</v>
      </c>
      <c r="H2190">
        <v>16</v>
      </c>
      <c r="I2190">
        <v>65</v>
      </c>
      <c r="J2190">
        <v>1</v>
      </c>
      <c r="K2190" s="4">
        <v>1687.95</v>
      </c>
      <c r="L2190" s="4">
        <v>47.428571428571431</v>
      </c>
      <c r="M2190" s="4">
        <v>2.1084337349397589E-2</v>
      </c>
      <c r="N2190" t="s">
        <v>25</v>
      </c>
      <c r="O2190" t="str">
        <f t="shared" si="340"/>
        <v>Low</v>
      </c>
      <c r="P2190" t="str">
        <f t="shared" si="341"/>
        <v>Low</v>
      </c>
      <c r="Q2190" t="str">
        <f t="shared" si="342"/>
        <v>Low</v>
      </c>
      <c r="R2190" t="s">
        <v>3317</v>
      </c>
      <c r="S2190" s="4">
        <f t="shared" ca="1" si="343"/>
        <v>305</v>
      </c>
      <c r="T2190">
        <f t="shared" si="344"/>
        <v>1</v>
      </c>
      <c r="U2190">
        <f t="shared" si="345"/>
        <v>1</v>
      </c>
      <c r="V2190">
        <f t="shared" si="346"/>
        <v>1</v>
      </c>
      <c r="W2190">
        <f t="shared" si="347"/>
        <v>1</v>
      </c>
      <c r="X2190">
        <f t="shared" si="348"/>
        <v>0.99999999999999989</v>
      </c>
      <c r="Y2190" t="str">
        <f t="shared" si="349"/>
        <v>Healthy</v>
      </c>
    </row>
    <row r="2191" spans="1:25" x14ac:dyDescent="0.35">
      <c r="A2191" t="s">
        <v>90</v>
      </c>
      <c r="B2191" t="s">
        <v>217</v>
      </c>
      <c r="C2191" t="s">
        <v>542</v>
      </c>
      <c r="D2191" t="s">
        <v>633</v>
      </c>
      <c r="E2191">
        <v>80888561</v>
      </c>
      <c r="F2191" t="s">
        <v>1698</v>
      </c>
      <c r="G2191" s="3">
        <v>46852</v>
      </c>
      <c r="H2191">
        <v>24</v>
      </c>
      <c r="I2191">
        <v>92</v>
      </c>
      <c r="J2191">
        <v>15</v>
      </c>
      <c r="K2191" s="4">
        <v>2768.1</v>
      </c>
      <c r="L2191" s="4">
        <v>18915.714285714286</v>
      </c>
      <c r="M2191" s="4">
        <v>7.9299146590136691E-4</v>
      </c>
      <c r="N2191" t="s">
        <v>25</v>
      </c>
      <c r="O2191" t="str">
        <f t="shared" si="340"/>
        <v>Low</v>
      </c>
      <c r="P2191" t="str">
        <f t="shared" si="341"/>
        <v>Low</v>
      </c>
      <c r="Q2191" t="str">
        <f t="shared" si="342"/>
        <v>Low</v>
      </c>
      <c r="R2191" t="s">
        <v>3317</v>
      </c>
      <c r="S2191" s="4">
        <f t="shared" ca="1" si="343"/>
        <v>655</v>
      </c>
      <c r="T2191">
        <f t="shared" si="344"/>
        <v>1</v>
      </c>
      <c r="U2191">
        <f t="shared" si="345"/>
        <v>1</v>
      </c>
      <c r="V2191">
        <f t="shared" si="346"/>
        <v>1</v>
      </c>
      <c r="W2191">
        <f t="shared" si="347"/>
        <v>1</v>
      </c>
      <c r="X2191">
        <f t="shared" si="348"/>
        <v>0.99999999999999989</v>
      </c>
      <c r="Y2191" t="str">
        <f t="shared" si="349"/>
        <v>Healthy</v>
      </c>
    </row>
    <row r="2192" spans="1:25" x14ac:dyDescent="0.35">
      <c r="A2192" t="s">
        <v>90</v>
      </c>
      <c r="B2192" t="s">
        <v>217</v>
      </c>
      <c r="C2192" t="s">
        <v>542</v>
      </c>
      <c r="D2192" t="s">
        <v>633</v>
      </c>
      <c r="E2192">
        <v>80888561</v>
      </c>
      <c r="F2192" t="s">
        <v>1698</v>
      </c>
      <c r="G2192" s="3">
        <v>46772</v>
      </c>
      <c r="H2192">
        <v>24</v>
      </c>
      <c r="I2192">
        <v>81</v>
      </c>
      <c r="J2192">
        <v>11</v>
      </c>
      <c r="K2192" s="4">
        <v>2029.94</v>
      </c>
      <c r="L2192" s="4">
        <v>18915.714285714286</v>
      </c>
      <c r="M2192" s="4">
        <v>5.8152707499433581E-4</v>
      </c>
      <c r="N2192" t="s">
        <v>25</v>
      </c>
      <c r="O2192" t="str">
        <f t="shared" si="340"/>
        <v>Low</v>
      </c>
      <c r="P2192" t="str">
        <f t="shared" si="341"/>
        <v>Low</v>
      </c>
      <c r="Q2192" t="str">
        <f t="shared" si="342"/>
        <v>Low</v>
      </c>
      <c r="R2192" t="s">
        <v>3317</v>
      </c>
      <c r="S2192" s="4">
        <f t="shared" ca="1" si="343"/>
        <v>575</v>
      </c>
      <c r="T2192">
        <f t="shared" si="344"/>
        <v>1</v>
      </c>
      <c r="U2192">
        <f t="shared" si="345"/>
        <v>1</v>
      </c>
      <c r="V2192">
        <f t="shared" si="346"/>
        <v>1</v>
      </c>
      <c r="W2192">
        <f t="shared" si="347"/>
        <v>1</v>
      </c>
      <c r="X2192">
        <f t="shared" si="348"/>
        <v>0.99999999999999989</v>
      </c>
      <c r="Y2192" t="str">
        <f t="shared" si="349"/>
        <v>Healthy</v>
      </c>
    </row>
    <row r="2193" spans="1:25" x14ac:dyDescent="0.35">
      <c r="A2193" t="s">
        <v>90</v>
      </c>
      <c r="B2193" t="s">
        <v>217</v>
      </c>
      <c r="C2193" t="s">
        <v>542</v>
      </c>
      <c r="D2193" t="s">
        <v>633</v>
      </c>
      <c r="E2193">
        <v>80888561</v>
      </c>
      <c r="F2193" t="s">
        <v>1698</v>
      </c>
      <c r="G2193" s="3">
        <v>46884</v>
      </c>
      <c r="H2193">
        <v>24</v>
      </c>
      <c r="I2193">
        <v>96</v>
      </c>
      <c r="J2193">
        <v>288</v>
      </c>
      <c r="K2193" s="4">
        <v>53147.519999999997</v>
      </c>
      <c r="L2193" s="4">
        <v>18915.714285714286</v>
      </c>
      <c r="M2193" s="4">
        <v>1.5225436145306245E-2</v>
      </c>
      <c r="N2193" t="s">
        <v>25</v>
      </c>
      <c r="O2193" t="str">
        <f t="shared" si="340"/>
        <v>Low</v>
      </c>
      <c r="P2193" t="str">
        <f t="shared" si="341"/>
        <v>Low</v>
      </c>
      <c r="Q2193" t="str">
        <f t="shared" si="342"/>
        <v>Low</v>
      </c>
      <c r="R2193" t="s">
        <v>3317</v>
      </c>
      <c r="S2193" s="4">
        <f t="shared" ca="1" si="343"/>
        <v>687</v>
      </c>
      <c r="T2193">
        <f t="shared" si="344"/>
        <v>1</v>
      </c>
      <c r="U2193">
        <f t="shared" si="345"/>
        <v>1</v>
      </c>
      <c r="V2193">
        <f t="shared" si="346"/>
        <v>1</v>
      </c>
      <c r="W2193">
        <f t="shared" si="347"/>
        <v>1</v>
      </c>
      <c r="X2193">
        <f t="shared" si="348"/>
        <v>0.99999999999999989</v>
      </c>
      <c r="Y2193" t="str">
        <f t="shared" si="349"/>
        <v>Healthy</v>
      </c>
    </row>
    <row r="2194" spans="1:25" x14ac:dyDescent="0.35">
      <c r="A2194" t="s">
        <v>90</v>
      </c>
      <c r="B2194" t="s">
        <v>217</v>
      </c>
      <c r="C2194" t="s">
        <v>542</v>
      </c>
      <c r="D2194" t="s">
        <v>633</v>
      </c>
      <c r="E2194">
        <v>80888561</v>
      </c>
      <c r="F2194" t="s">
        <v>1698</v>
      </c>
      <c r="G2194" s="3">
        <v>46845</v>
      </c>
      <c r="H2194">
        <v>24</v>
      </c>
      <c r="I2194">
        <v>91</v>
      </c>
      <c r="J2194">
        <v>16</v>
      </c>
      <c r="K2194" s="4">
        <v>2952.64</v>
      </c>
      <c r="L2194" s="4">
        <v>18915.714285714286</v>
      </c>
      <c r="M2194" s="4">
        <v>8.4585756362812474E-4</v>
      </c>
      <c r="N2194" t="s">
        <v>25</v>
      </c>
      <c r="O2194" t="str">
        <f t="shared" si="340"/>
        <v>Low</v>
      </c>
      <c r="P2194" t="str">
        <f t="shared" si="341"/>
        <v>Low</v>
      </c>
      <c r="Q2194" t="str">
        <f t="shared" si="342"/>
        <v>Low</v>
      </c>
      <c r="R2194" t="s">
        <v>3317</v>
      </c>
      <c r="S2194" s="4">
        <f t="shared" ca="1" si="343"/>
        <v>648</v>
      </c>
      <c r="T2194">
        <f t="shared" si="344"/>
        <v>1</v>
      </c>
      <c r="U2194">
        <f t="shared" si="345"/>
        <v>1</v>
      </c>
      <c r="V2194">
        <f t="shared" si="346"/>
        <v>1</v>
      </c>
      <c r="W2194">
        <f t="shared" si="347"/>
        <v>1</v>
      </c>
      <c r="X2194">
        <f t="shared" si="348"/>
        <v>0.99999999999999989</v>
      </c>
      <c r="Y2194" t="str">
        <f t="shared" si="349"/>
        <v>Healthy</v>
      </c>
    </row>
    <row r="2195" spans="1:25" x14ac:dyDescent="0.35">
      <c r="A2195" t="s">
        <v>90</v>
      </c>
      <c r="B2195" t="s">
        <v>217</v>
      </c>
      <c r="C2195" t="s">
        <v>542</v>
      </c>
      <c r="D2195" t="s">
        <v>633</v>
      </c>
      <c r="E2195">
        <v>80888561</v>
      </c>
      <c r="F2195" t="s">
        <v>1698</v>
      </c>
      <c r="G2195" s="3">
        <v>46885</v>
      </c>
      <c r="H2195">
        <v>24</v>
      </c>
      <c r="I2195">
        <v>96</v>
      </c>
      <c r="J2195">
        <v>128</v>
      </c>
      <c r="K2195" s="4">
        <v>23621.119999999999</v>
      </c>
      <c r="L2195" s="4">
        <v>18915.714285714286</v>
      </c>
      <c r="M2195" s="4">
        <v>6.7668605090249979E-3</v>
      </c>
      <c r="N2195" t="s">
        <v>25</v>
      </c>
      <c r="O2195" t="str">
        <f t="shared" si="340"/>
        <v>Low</v>
      </c>
      <c r="P2195" t="str">
        <f t="shared" si="341"/>
        <v>Low</v>
      </c>
      <c r="Q2195" t="str">
        <f t="shared" si="342"/>
        <v>Low</v>
      </c>
      <c r="R2195" t="s">
        <v>3317</v>
      </c>
      <c r="S2195" s="4">
        <f t="shared" ca="1" si="343"/>
        <v>688</v>
      </c>
      <c r="T2195">
        <f t="shared" si="344"/>
        <v>1</v>
      </c>
      <c r="U2195">
        <f t="shared" si="345"/>
        <v>1</v>
      </c>
      <c r="V2195">
        <f t="shared" si="346"/>
        <v>1</v>
      </c>
      <c r="W2195">
        <f t="shared" si="347"/>
        <v>1</v>
      </c>
      <c r="X2195">
        <f t="shared" si="348"/>
        <v>0.99999999999999989</v>
      </c>
      <c r="Y2195" t="str">
        <f t="shared" si="349"/>
        <v>Healthy</v>
      </c>
    </row>
    <row r="2196" spans="1:25" x14ac:dyDescent="0.35">
      <c r="A2196" t="s">
        <v>90</v>
      </c>
      <c r="B2196" t="s">
        <v>217</v>
      </c>
      <c r="C2196" t="s">
        <v>542</v>
      </c>
      <c r="D2196" t="s">
        <v>633</v>
      </c>
      <c r="E2196">
        <v>80888561</v>
      </c>
      <c r="F2196" t="s">
        <v>1698</v>
      </c>
      <c r="G2196" s="3">
        <v>46874</v>
      </c>
      <c r="H2196">
        <v>24</v>
      </c>
      <c r="I2196">
        <v>95</v>
      </c>
      <c r="J2196">
        <v>272</v>
      </c>
      <c r="K2196" s="4">
        <v>50194.879999999997</v>
      </c>
      <c r="L2196" s="4">
        <v>18915.714285714286</v>
      </c>
      <c r="M2196" s="4">
        <v>1.4379578581678121E-2</v>
      </c>
      <c r="N2196" t="s">
        <v>25</v>
      </c>
      <c r="O2196" t="str">
        <f t="shared" si="340"/>
        <v>Low</v>
      </c>
      <c r="P2196" t="str">
        <f t="shared" si="341"/>
        <v>Low</v>
      </c>
      <c r="Q2196" t="str">
        <f t="shared" si="342"/>
        <v>Low</v>
      </c>
      <c r="R2196" t="s">
        <v>3317</v>
      </c>
      <c r="S2196" s="4">
        <f t="shared" ca="1" si="343"/>
        <v>677</v>
      </c>
      <c r="T2196">
        <f t="shared" si="344"/>
        <v>1</v>
      </c>
      <c r="U2196">
        <f t="shared" si="345"/>
        <v>1</v>
      </c>
      <c r="V2196">
        <f t="shared" si="346"/>
        <v>1</v>
      </c>
      <c r="W2196">
        <f t="shared" si="347"/>
        <v>1</v>
      </c>
      <c r="X2196">
        <f t="shared" si="348"/>
        <v>0.99999999999999989</v>
      </c>
      <c r="Y2196" t="str">
        <f t="shared" si="349"/>
        <v>Healthy</v>
      </c>
    </row>
    <row r="2197" spans="1:25" x14ac:dyDescent="0.35">
      <c r="A2197" t="s">
        <v>90</v>
      </c>
      <c r="B2197" t="s">
        <v>217</v>
      </c>
      <c r="C2197" t="s">
        <v>542</v>
      </c>
      <c r="D2197" t="s">
        <v>1699</v>
      </c>
      <c r="E2197">
        <v>80888563</v>
      </c>
      <c r="F2197" t="s">
        <v>1700</v>
      </c>
      <c r="G2197" s="3">
        <v>46688</v>
      </c>
      <c r="H2197">
        <v>24</v>
      </c>
      <c r="I2197">
        <v>69</v>
      </c>
      <c r="J2197">
        <v>730</v>
      </c>
      <c r="K2197" s="4">
        <v>224518.8</v>
      </c>
      <c r="L2197" s="4">
        <v>7.1428571428571432</v>
      </c>
      <c r="M2197" s="4">
        <v>102.19999999999999</v>
      </c>
      <c r="N2197" t="s">
        <v>19</v>
      </c>
      <c r="O2197" t="str">
        <f t="shared" si="340"/>
        <v>Low</v>
      </c>
      <c r="P2197" t="str">
        <f t="shared" si="341"/>
        <v>High</v>
      </c>
      <c r="Q2197" t="str">
        <f t="shared" si="342"/>
        <v>Medium</v>
      </c>
      <c r="R2197" t="s">
        <v>3309</v>
      </c>
      <c r="S2197" s="4">
        <f t="shared" ca="1" si="343"/>
        <v>491</v>
      </c>
      <c r="T2197">
        <f t="shared" si="344"/>
        <v>1</v>
      </c>
      <c r="U2197">
        <f t="shared" si="345"/>
        <v>3</v>
      </c>
      <c r="V2197">
        <f t="shared" si="346"/>
        <v>2</v>
      </c>
      <c r="W2197">
        <f t="shared" si="347"/>
        <v>3</v>
      </c>
      <c r="X2197">
        <f t="shared" si="348"/>
        <v>1.9999999999999998</v>
      </c>
      <c r="Y2197" t="str">
        <f t="shared" si="349"/>
        <v>Monitor</v>
      </c>
    </row>
    <row r="2198" spans="1:25" x14ac:dyDescent="0.35">
      <c r="A2198" t="s">
        <v>14</v>
      </c>
      <c r="B2198" t="s">
        <v>15</v>
      </c>
      <c r="C2198" t="s">
        <v>1312</v>
      </c>
      <c r="D2198" t="s">
        <v>1313</v>
      </c>
      <c r="E2198">
        <v>80875776</v>
      </c>
      <c r="F2198" t="s">
        <v>1701</v>
      </c>
      <c r="G2198" s="3">
        <v>47796</v>
      </c>
      <c r="H2198">
        <v>60</v>
      </c>
      <c r="I2198">
        <v>89</v>
      </c>
      <c r="J2198">
        <v>48</v>
      </c>
      <c r="K2198" s="4">
        <v>92527.2</v>
      </c>
      <c r="L2198" s="4">
        <v>3.4285714285714284</v>
      </c>
      <c r="M2198" s="4">
        <v>14</v>
      </c>
      <c r="N2198" t="s">
        <v>19</v>
      </c>
      <c r="O2198" t="str">
        <f t="shared" si="340"/>
        <v>Low</v>
      </c>
      <c r="P2198" t="str">
        <f t="shared" si="341"/>
        <v>High</v>
      </c>
      <c r="Q2198" t="str">
        <f t="shared" si="342"/>
        <v>High</v>
      </c>
      <c r="R2198" t="s">
        <v>3310</v>
      </c>
      <c r="S2198" s="4">
        <f t="shared" ca="1" si="343"/>
        <v>1599</v>
      </c>
      <c r="T2198">
        <f t="shared" si="344"/>
        <v>1</v>
      </c>
      <c r="U2198">
        <f t="shared" si="345"/>
        <v>3</v>
      </c>
      <c r="V2198">
        <f t="shared" si="346"/>
        <v>3</v>
      </c>
      <c r="W2198">
        <f t="shared" si="347"/>
        <v>2</v>
      </c>
      <c r="X2198">
        <f t="shared" si="348"/>
        <v>2.1</v>
      </c>
      <c r="Y2198" t="str">
        <f t="shared" si="349"/>
        <v>Monitor</v>
      </c>
    </row>
    <row r="2199" spans="1:25" x14ac:dyDescent="0.35">
      <c r="A2199" t="s">
        <v>14</v>
      </c>
      <c r="B2199" t="s">
        <v>15</v>
      </c>
      <c r="C2199" t="s">
        <v>16</v>
      </c>
      <c r="D2199" t="s">
        <v>1296</v>
      </c>
      <c r="E2199">
        <v>80875778</v>
      </c>
      <c r="F2199" t="s">
        <v>1702</v>
      </c>
      <c r="G2199" s="3">
        <v>47989</v>
      </c>
      <c r="H2199">
        <v>60</v>
      </c>
      <c r="I2199">
        <v>100</v>
      </c>
      <c r="J2199">
        <v>376</v>
      </c>
      <c r="K2199" s="4">
        <v>386407.67999999999</v>
      </c>
      <c r="L2199" s="4">
        <v>610</v>
      </c>
      <c r="M2199" s="4">
        <v>0.61639344262295082</v>
      </c>
      <c r="N2199" t="s">
        <v>25</v>
      </c>
      <c r="O2199" t="str">
        <f t="shared" si="340"/>
        <v>Low</v>
      </c>
      <c r="P2199" t="str">
        <f t="shared" si="341"/>
        <v>Low</v>
      </c>
      <c r="Q2199" t="str">
        <f t="shared" si="342"/>
        <v>Low</v>
      </c>
      <c r="R2199" t="s">
        <v>3309</v>
      </c>
      <c r="S2199" s="4">
        <f t="shared" ca="1" si="343"/>
        <v>1792</v>
      </c>
      <c r="T2199">
        <f t="shared" si="344"/>
        <v>1</v>
      </c>
      <c r="U2199">
        <f t="shared" si="345"/>
        <v>1</v>
      </c>
      <c r="V2199">
        <f t="shared" si="346"/>
        <v>1</v>
      </c>
      <c r="W2199">
        <f t="shared" si="347"/>
        <v>3</v>
      </c>
      <c r="X2199">
        <f t="shared" si="348"/>
        <v>1.2</v>
      </c>
      <c r="Y2199" t="str">
        <f t="shared" si="349"/>
        <v>Healthy</v>
      </c>
    </row>
    <row r="2200" spans="1:25" x14ac:dyDescent="0.35">
      <c r="A2200" t="s">
        <v>14</v>
      </c>
      <c r="B2200" t="s">
        <v>15</v>
      </c>
      <c r="C2200" t="s">
        <v>16</v>
      </c>
      <c r="D2200" t="s">
        <v>1296</v>
      </c>
      <c r="E2200">
        <v>80875778</v>
      </c>
      <c r="F2200" t="s">
        <v>1702</v>
      </c>
      <c r="G2200" s="3">
        <v>47964</v>
      </c>
      <c r="H2200">
        <v>60</v>
      </c>
      <c r="I2200">
        <v>98</v>
      </c>
      <c r="J2200">
        <v>3</v>
      </c>
      <c r="K2200" s="4">
        <v>3083.04</v>
      </c>
      <c r="L2200" s="4">
        <v>610</v>
      </c>
      <c r="M2200" s="4">
        <v>4.9180327868852463E-3</v>
      </c>
      <c r="N2200" t="s">
        <v>25</v>
      </c>
      <c r="O2200" t="str">
        <f t="shared" si="340"/>
        <v>Low</v>
      </c>
      <c r="P2200" t="str">
        <f t="shared" si="341"/>
        <v>Low</v>
      </c>
      <c r="Q2200" t="str">
        <f t="shared" si="342"/>
        <v>Low</v>
      </c>
      <c r="R2200" t="s">
        <v>3317</v>
      </c>
      <c r="S2200" s="4">
        <f t="shared" ca="1" si="343"/>
        <v>1767</v>
      </c>
      <c r="T2200">
        <f t="shared" si="344"/>
        <v>1</v>
      </c>
      <c r="U2200">
        <f t="shared" si="345"/>
        <v>1</v>
      </c>
      <c r="V2200">
        <f t="shared" si="346"/>
        <v>1</v>
      </c>
      <c r="W2200">
        <f t="shared" si="347"/>
        <v>1</v>
      </c>
      <c r="X2200">
        <f t="shared" si="348"/>
        <v>0.99999999999999989</v>
      </c>
      <c r="Y2200" t="str">
        <f t="shared" si="349"/>
        <v>Healthy</v>
      </c>
    </row>
    <row r="2201" spans="1:25" x14ac:dyDescent="0.35">
      <c r="A2201" t="s">
        <v>14</v>
      </c>
      <c r="B2201" t="s">
        <v>58</v>
      </c>
      <c r="C2201" t="s">
        <v>59</v>
      </c>
      <c r="D2201" t="s">
        <v>1703</v>
      </c>
      <c r="E2201">
        <v>80875779</v>
      </c>
      <c r="F2201" t="s">
        <v>1704</v>
      </c>
      <c r="G2201" s="3">
        <v>47981</v>
      </c>
      <c r="H2201">
        <v>60</v>
      </c>
      <c r="I2201">
        <v>99</v>
      </c>
      <c r="J2201">
        <v>72</v>
      </c>
      <c r="K2201" s="4">
        <v>181989.36</v>
      </c>
      <c r="L2201" s="4">
        <v>85.857142857142861</v>
      </c>
      <c r="M2201" s="4">
        <v>0.83860232945091506</v>
      </c>
      <c r="N2201" t="s">
        <v>25</v>
      </c>
      <c r="O2201" t="str">
        <f t="shared" si="340"/>
        <v>Low</v>
      </c>
      <c r="P2201" t="str">
        <f t="shared" si="341"/>
        <v>Low</v>
      </c>
      <c r="Q2201" t="str">
        <f t="shared" si="342"/>
        <v>Low</v>
      </c>
      <c r="R2201" t="s">
        <v>3309</v>
      </c>
      <c r="S2201" s="4">
        <f t="shared" ca="1" si="343"/>
        <v>1784</v>
      </c>
      <c r="T2201">
        <f t="shared" si="344"/>
        <v>1</v>
      </c>
      <c r="U2201">
        <f t="shared" si="345"/>
        <v>1</v>
      </c>
      <c r="V2201">
        <f t="shared" si="346"/>
        <v>1</v>
      </c>
      <c r="W2201">
        <f t="shared" si="347"/>
        <v>3</v>
      </c>
      <c r="X2201">
        <f t="shared" si="348"/>
        <v>1.2</v>
      </c>
      <c r="Y2201" t="str">
        <f t="shared" si="349"/>
        <v>Healthy</v>
      </c>
    </row>
    <row r="2202" spans="1:25" x14ac:dyDescent="0.35">
      <c r="A2202" t="s">
        <v>14</v>
      </c>
      <c r="B2202" t="s">
        <v>58</v>
      </c>
      <c r="C2202" t="s">
        <v>59</v>
      </c>
      <c r="D2202" t="s">
        <v>1703</v>
      </c>
      <c r="E2202">
        <v>80875779</v>
      </c>
      <c r="F2202" t="s">
        <v>1704</v>
      </c>
      <c r="G2202" s="3">
        <v>47962</v>
      </c>
      <c r="H2202">
        <v>60</v>
      </c>
      <c r="I2202">
        <v>98</v>
      </c>
      <c r="J2202">
        <v>48</v>
      </c>
      <c r="K2202" s="4">
        <v>121326.24</v>
      </c>
      <c r="L2202" s="4">
        <v>85.857142857142861</v>
      </c>
      <c r="M2202" s="4">
        <v>0.55906821963394338</v>
      </c>
      <c r="N2202" t="s">
        <v>25</v>
      </c>
      <c r="O2202" t="str">
        <f t="shared" si="340"/>
        <v>Low</v>
      </c>
      <c r="P2202" t="str">
        <f t="shared" si="341"/>
        <v>Low</v>
      </c>
      <c r="Q2202" t="str">
        <f t="shared" si="342"/>
        <v>Low</v>
      </c>
      <c r="R2202" t="s">
        <v>3310</v>
      </c>
      <c r="S2202" s="4">
        <f t="shared" ca="1" si="343"/>
        <v>1765</v>
      </c>
      <c r="T2202">
        <f t="shared" si="344"/>
        <v>1</v>
      </c>
      <c r="U2202">
        <f t="shared" si="345"/>
        <v>1</v>
      </c>
      <c r="V2202">
        <f t="shared" si="346"/>
        <v>1</v>
      </c>
      <c r="W2202">
        <f t="shared" si="347"/>
        <v>2</v>
      </c>
      <c r="X2202">
        <f t="shared" si="348"/>
        <v>1.0999999999999999</v>
      </c>
      <c r="Y2202" t="str">
        <f t="shared" si="349"/>
        <v>Healthy</v>
      </c>
    </row>
    <row r="2203" spans="1:25" x14ac:dyDescent="0.35">
      <c r="A2203" t="s">
        <v>14</v>
      </c>
      <c r="B2203" t="s">
        <v>58</v>
      </c>
      <c r="C2203" t="s">
        <v>59</v>
      </c>
      <c r="D2203" t="s">
        <v>1703</v>
      </c>
      <c r="E2203">
        <v>80875779</v>
      </c>
      <c r="F2203" t="s">
        <v>1704</v>
      </c>
      <c r="G2203" s="3">
        <v>47948</v>
      </c>
      <c r="H2203">
        <v>60</v>
      </c>
      <c r="I2203">
        <v>98</v>
      </c>
      <c r="J2203">
        <v>47</v>
      </c>
      <c r="K2203" s="4">
        <v>179461.73</v>
      </c>
      <c r="L2203" s="4">
        <v>85.857142857142861</v>
      </c>
      <c r="M2203" s="4">
        <v>0.54742096505823623</v>
      </c>
      <c r="N2203" t="s">
        <v>25</v>
      </c>
      <c r="O2203" t="str">
        <f t="shared" si="340"/>
        <v>Low</v>
      </c>
      <c r="P2203" t="str">
        <f t="shared" si="341"/>
        <v>Low</v>
      </c>
      <c r="Q2203" t="str">
        <f t="shared" si="342"/>
        <v>Low</v>
      </c>
      <c r="R2203" t="s">
        <v>3309</v>
      </c>
      <c r="S2203" s="4">
        <f t="shared" ca="1" si="343"/>
        <v>1751</v>
      </c>
      <c r="T2203">
        <f t="shared" si="344"/>
        <v>1</v>
      </c>
      <c r="U2203">
        <f t="shared" si="345"/>
        <v>1</v>
      </c>
      <c r="V2203">
        <f t="shared" si="346"/>
        <v>1</v>
      </c>
      <c r="W2203">
        <f t="shared" si="347"/>
        <v>3</v>
      </c>
      <c r="X2203">
        <f t="shared" si="348"/>
        <v>1.2</v>
      </c>
      <c r="Y2203" t="str">
        <f t="shared" si="349"/>
        <v>Healthy</v>
      </c>
    </row>
    <row r="2204" spans="1:25" x14ac:dyDescent="0.35">
      <c r="A2204" t="s">
        <v>14</v>
      </c>
      <c r="B2204" t="s">
        <v>58</v>
      </c>
      <c r="C2204" t="s">
        <v>1472</v>
      </c>
      <c r="D2204" t="s">
        <v>1558</v>
      </c>
      <c r="E2204">
        <v>80875787</v>
      </c>
      <c r="F2204" t="s">
        <v>1705</v>
      </c>
      <c r="G2204" s="3">
        <v>47936</v>
      </c>
      <c r="H2204">
        <v>60</v>
      </c>
      <c r="I2204">
        <v>97</v>
      </c>
      <c r="J2204">
        <v>24</v>
      </c>
      <c r="K2204" s="4">
        <v>44947.199999999997</v>
      </c>
      <c r="L2204" s="4">
        <v>205</v>
      </c>
      <c r="M2204" s="4">
        <v>0.11707317073170732</v>
      </c>
      <c r="N2204" t="s">
        <v>25</v>
      </c>
      <c r="O2204" t="str">
        <f t="shared" si="340"/>
        <v>Low</v>
      </c>
      <c r="P2204" t="str">
        <f t="shared" si="341"/>
        <v>Low</v>
      </c>
      <c r="Q2204" t="str">
        <f t="shared" si="342"/>
        <v>Low</v>
      </c>
      <c r="R2204" t="s">
        <v>3317</v>
      </c>
      <c r="S2204" s="4">
        <f t="shared" ca="1" si="343"/>
        <v>1739</v>
      </c>
      <c r="T2204">
        <f t="shared" si="344"/>
        <v>1</v>
      </c>
      <c r="U2204">
        <f t="shared" si="345"/>
        <v>1</v>
      </c>
      <c r="V2204">
        <f t="shared" si="346"/>
        <v>1</v>
      </c>
      <c r="W2204">
        <f t="shared" si="347"/>
        <v>1</v>
      </c>
      <c r="X2204">
        <f t="shared" si="348"/>
        <v>0.99999999999999989</v>
      </c>
      <c r="Y2204" t="str">
        <f t="shared" si="349"/>
        <v>Healthy</v>
      </c>
    </row>
    <row r="2205" spans="1:25" x14ac:dyDescent="0.35">
      <c r="A2205" t="s">
        <v>14</v>
      </c>
      <c r="B2205" t="s">
        <v>58</v>
      </c>
      <c r="C2205" t="s">
        <v>1472</v>
      </c>
      <c r="D2205" t="s">
        <v>1558</v>
      </c>
      <c r="E2205">
        <v>80875787</v>
      </c>
      <c r="F2205" t="s">
        <v>1705</v>
      </c>
      <c r="G2205" s="3">
        <v>48003</v>
      </c>
      <c r="H2205">
        <v>60</v>
      </c>
      <c r="I2205">
        <v>100</v>
      </c>
      <c r="J2205">
        <v>72</v>
      </c>
      <c r="K2205" s="4">
        <v>134841.60000000001</v>
      </c>
      <c r="L2205" s="4">
        <v>205</v>
      </c>
      <c r="M2205" s="4">
        <v>0.35121951219512193</v>
      </c>
      <c r="N2205" t="s">
        <v>25</v>
      </c>
      <c r="O2205" t="str">
        <f t="shared" si="340"/>
        <v>Low</v>
      </c>
      <c r="P2205" t="str">
        <f t="shared" si="341"/>
        <v>Low</v>
      </c>
      <c r="Q2205" t="str">
        <f t="shared" si="342"/>
        <v>Low</v>
      </c>
      <c r="R2205" t="s">
        <v>3309</v>
      </c>
      <c r="S2205" s="4">
        <f t="shared" ca="1" si="343"/>
        <v>1806</v>
      </c>
      <c r="T2205">
        <f t="shared" si="344"/>
        <v>1</v>
      </c>
      <c r="U2205">
        <f t="shared" si="345"/>
        <v>1</v>
      </c>
      <c r="V2205">
        <f t="shared" si="346"/>
        <v>1</v>
      </c>
      <c r="W2205">
        <f t="shared" si="347"/>
        <v>3</v>
      </c>
      <c r="X2205">
        <f t="shared" si="348"/>
        <v>1.2</v>
      </c>
      <c r="Y2205" t="str">
        <f t="shared" si="349"/>
        <v>Healthy</v>
      </c>
    </row>
    <row r="2206" spans="1:25" x14ac:dyDescent="0.35">
      <c r="A2206" t="s">
        <v>99</v>
      </c>
      <c r="B2206" t="s">
        <v>100</v>
      </c>
      <c r="C2206" t="s">
        <v>101</v>
      </c>
      <c r="D2206" t="s">
        <v>1158</v>
      </c>
      <c r="E2206">
        <v>80736892</v>
      </c>
      <c r="F2206" t="s">
        <v>1706</v>
      </c>
      <c r="G2206" s="3">
        <v>45595</v>
      </c>
      <c r="H2206">
        <v>18</v>
      </c>
      <c r="I2206">
        <v>0</v>
      </c>
      <c r="J2206">
        <v>88</v>
      </c>
      <c r="K2206" s="4">
        <v>22037.84</v>
      </c>
      <c r="L2206" s="4">
        <v>0.14285714285714285</v>
      </c>
      <c r="M2206" s="4">
        <v>616</v>
      </c>
      <c r="N2206" t="s">
        <v>19</v>
      </c>
      <c r="O2206" t="str">
        <f t="shared" si="340"/>
        <v>High</v>
      </c>
      <c r="P2206" t="str">
        <f t="shared" si="341"/>
        <v>High</v>
      </c>
      <c r="Q2206" t="str">
        <f t="shared" si="342"/>
        <v>High</v>
      </c>
      <c r="R2206" t="s">
        <v>3317</v>
      </c>
      <c r="S2206" s="4">
        <f t="shared" ca="1" si="343"/>
        <v>-602</v>
      </c>
      <c r="T2206">
        <f t="shared" si="344"/>
        <v>3</v>
      </c>
      <c r="U2206">
        <f t="shared" si="345"/>
        <v>3</v>
      </c>
      <c r="V2206">
        <f t="shared" si="346"/>
        <v>3</v>
      </c>
      <c r="W2206">
        <f t="shared" si="347"/>
        <v>1</v>
      </c>
      <c r="X2206">
        <f t="shared" si="348"/>
        <v>2.8000000000000003</v>
      </c>
      <c r="Y2206" t="str">
        <f t="shared" si="349"/>
        <v>Move Immediately</v>
      </c>
    </row>
    <row r="2207" spans="1:25" x14ac:dyDescent="0.35">
      <c r="A2207" t="s">
        <v>14</v>
      </c>
      <c r="B2207" t="s">
        <v>58</v>
      </c>
      <c r="C2207" t="s">
        <v>1472</v>
      </c>
      <c r="D2207" t="s">
        <v>1558</v>
      </c>
      <c r="E2207">
        <v>80875787</v>
      </c>
      <c r="F2207" t="s">
        <v>1705</v>
      </c>
      <c r="G2207" s="3">
        <v>47982</v>
      </c>
      <c r="H2207">
        <v>60</v>
      </c>
      <c r="I2207">
        <v>99</v>
      </c>
      <c r="J2207">
        <v>24</v>
      </c>
      <c r="K2207" s="4">
        <v>44947.199999999997</v>
      </c>
      <c r="L2207" s="4">
        <v>205</v>
      </c>
      <c r="M2207" s="4">
        <v>0.11707317073170732</v>
      </c>
      <c r="N2207" t="s">
        <v>25</v>
      </c>
      <c r="O2207" t="str">
        <f t="shared" si="340"/>
        <v>Low</v>
      </c>
      <c r="P2207" t="str">
        <f t="shared" si="341"/>
        <v>Low</v>
      </c>
      <c r="Q2207" t="str">
        <f t="shared" si="342"/>
        <v>Low</v>
      </c>
      <c r="R2207" t="s">
        <v>3317</v>
      </c>
      <c r="S2207" s="4">
        <f t="shared" ca="1" si="343"/>
        <v>1785</v>
      </c>
      <c r="T2207">
        <f t="shared" si="344"/>
        <v>1</v>
      </c>
      <c r="U2207">
        <f t="shared" si="345"/>
        <v>1</v>
      </c>
      <c r="V2207">
        <f t="shared" si="346"/>
        <v>1</v>
      </c>
      <c r="W2207">
        <f t="shared" si="347"/>
        <v>1</v>
      </c>
      <c r="X2207">
        <f t="shared" si="348"/>
        <v>0.99999999999999989</v>
      </c>
      <c r="Y2207" t="str">
        <f t="shared" si="349"/>
        <v>Healthy</v>
      </c>
    </row>
    <row r="2208" spans="1:25" x14ac:dyDescent="0.35">
      <c r="A2208" t="s">
        <v>14</v>
      </c>
      <c r="B2208" t="s">
        <v>58</v>
      </c>
      <c r="C2208" t="s">
        <v>1472</v>
      </c>
      <c r="D2208" t="s">
        <v>1558</v>
      </c>
      <c r="E2208">
        <v>80875787</v>
      </c>
      <c r="F2208" t="s">
        <v>1705</v>
      </c>
      <c r="G2208" s="3">
        <v>47852</v>
      </c>
      <c r="H2208">
        <v>60</v>
      </c>
      <c r="I2208">
        <v>92</v>
      </c>
      <c r="J2208">
        <v>5</v>
      </c>
      <c r="K2208" s="4">
        <v>99258.4</v>
      </c>
      <c r="L2208" s="4">
        <v>205</v>
      </c>
      <c r="M2208" s="4">
        <v>2.4390243902439025E-2</v>
      </c>
      <c r="N2208" t="s">
        <v>25</v>
      </c>
      <c r="O2208" t="str">
        <f t="shared" si="340"/>
        <v>Low</v>
      </c>
      <c r="P2208" t="str">
        <f t="shared" si="341"/>
        <v>Low</v>
      </c>
      <c r="Q2208" t="str">
        <f t="shared" si="342"/>
        <v>Low</v>
      </c>
      <c r="R2208" t="s">
        <v>3310</v>
      </c>
      <c r="S2208" s="4">
        <f t="shared" ca="1" si="343"/>
        <v>1655</v>
      </c>
      <c r="T2208">
        <f t="shared" si="344"/>
        <v>1</v>
      </c>
      <c r="U2208">
        <f t="shared" si="345"/>
        <v>1</v>
      </c>
      <c r="V2208">
        <f t="shared" si="346"/>
        <v>1</v>
      </c>
      <c r="W2208">
        <f t="shared" si="347"/>
        <v>2</v>
      </c>
      <c r="X2208">
        <f t="shared" si="348"/>
        <v>1.0999999999999999</v>
      </c>
      <c r="Y2208" t="str">
        <f t="shared" si="349"/>
        <v>Healthy</v>
      </c>
    </row>
    <row r="2209" spans="1:25" x14ac:dyDescent="0.35">
      <c r="A2209" t="s">
        <v>99</v>
      </c>
      <c r="B2209" t="s">
        <v>100</v>
      </c>
      <c r="C2209" t="s">
        <v>101</v>
      </c>
      <c r="D2209" t="s">
        <v>1158</v>
      </c>
      <c r="E2209">
        <v>80736892</v>
      </c>
      <c r="F2209" t="s">
        <v>1706</v>
      </c>
      <c r="G2209" s="3">
        <v>45401</v>
      </c>
      <c r="H2209">
        <v>18</v>
      </c>
      <c r="I2209">
        <v>0</v>
      </c>
      <c r="J2209">
        <v>387</v>
      </c>
      <c r="K2209" s="4">
        <v>96916.41</v>
      </c>
      <c r="L2209" s="4">
        <v>0.14285714285714285</v>
      </c>
      <c r="M2209" s="4">
        <v>2709</v>
      </c>
      <c r="N2209" t="s">
        <v>19</v>
      </c>
      <c r="O2209" t="str">
        <f t="shared" si="340"/>
        <v>High</v>
      </c>
      <c r="P2209" t="str">
        <f t="shared" si="341"/>
        <v>High</v>
      </c>
      <c r="Q2209" t="str">
        <f t="shared" si="342"/>
        <v>High</v>
      </c>
      <c r="R2209" t="s">
        <v>3310</v>
      </c>
      <c r="S2209" s="4">
        <f t="shared" ca="1" si="343"/>
        <v>-796</v>
      </c>
      <c r="T2209">
        <f t="shared" si="344"/>
        <v>3</v>
      </c>
      <c r="U2209">
        <f t="shared" si="345"/>
        <v>3</v>
      </c>
      <c r="V2209">
        <f t="shared" si="346"/>
        <v>3</v>
      </c>
      <c r="W2209">
        <f t="shared" si="347"/>
        <v>2</v>
      </c>
      <c r="X2209">
        <f t="shared" si="348"/>
        <v>2.9000000000000004</v>
      </c>
      <c r="Y2209" t="str">
        <f t="shared" si="349"/>
        <v>Move Immediately</v>
      </c>
    </row>
    <row r="2210" spans="1:25" x14ac:dyDescent="0.35">
      <c r="A2210" t="s">
        <v>14</v>
      </c>
      <c r="B2210" t="s">
        <v>58</v>
      </c>
      <c r="C2210" t="s">
        <v>1472</v>
      </c>
      <c r="D2210" t="s">
        <v>1558</v>
      </c>
      <c r="E2210">
        <v>80875787</v>
      </c>
      <c r="F2210" t="s">
        <v>1705</v>
      </c>
      <c r="G2210" s="3">
        <v>47995</v>
      </c>
      <c r="H2210">
        <v>60</v>
      </c>
      <c r="I2210">
        <v>100</v>
      </c>
      <c r="J2210">
        <v>72</v>
      </c>
      <c r="K2210" s="4">
        <v>134841.60000000001</v>
      </c>
      <c r="L2210" s="4">
        <v>205</v>
      </c>
      <c r="M2210" s="4">
        <v>0.35121951219512193</v>
      </c>
      <c r="N2210" t="s">
        <v>25</v>
      </c>
      <c r="O2210" t="str">
        <f t="shared" si="340"/>
        <v>Low</v>
      </c>
      <c r="P2210" t="str">
        <f t="shared" si="341"/>
        <v>Low</v>
      </c>
      <c r="Q2210" t="str">
        <f t="shared" si="342"/>
        <v>Low</v>
      </c>
      <c r="R2210" t="s">
        <v>3309</v>
      </c>
      <c r="S2210" s="4">
        <f t="shared" ca="1" si="343"/>
        <v>1798</v>
      </c>
      <c r="T2210">
        <f t="shared" si="344"/>
        <v>1</v>
      </c>
      <c r="U2210">
        <f t="shared" si="345"/>
        <v>1</v>
      </c>
      <c r="V2210">
        <f t="shared" si="346"/>
        <v>1</v>
      </c>
      <c r="W2210">
        <f t="shared" si="347"/>
        <v>3</v>
      </c>
      <c r="X2210">
        <f t="shared" si="348"/>
        <v>1.2</v>
      </c>
      <c r="Y2210" t="str">
        <f t="shared" si="349"/>
        <v>Healthy</v>
      </c>
    </row>
    <row r="2211" spans="1:25" x14ac:dyDescent="0.35">
      <c r="A2211" t="s">
        <v>14</v>
      </c>
      <c r="B2211" t="s">
        <v>15</v>
      </c>
      <c r="C2211" t="s">
        <v>16</v>
      </c>
      <c r="D2211" t="s">
        <v>1707</v>
      </c>
      <c r="E2211">
        <v>80875788</v>
      </c>
      <c r="F2211" t="s">
        <v>1708</v>
      </c>
      <c r="G2211" s="3">
        <v>47958</v>
      </c>
      <c r="H2211">
        <v>60</v>
      </c>
      <c r="I2211">
        <v>98</v>
      </c>
      <c r="J2211">
        <v>9</v>
      </c>
      <c r="K2211" s="4">
        <v>12026.16</v>
      </c>
      <c r="L2211" s="4">
        <v>408</v>
      </c>
      <c r="M2211" s="4">
        <v>2.2058823529411766E-2</v>
      </c>
      <c r="N2211" t="s">
        <v>25</v>
      </c>
      <c r="O2211" t="str">
        <f t="shared" si="340"/>
        <v>Low</v>
      </c>
      <c r="P2211" t="str">
        <f t="shared" si="341"/>
        <v>Low</v>
      </c>
      <c r="Q2211" t="str">
        <f t="shared" si="342"/>
        <v>Low</v>
      </c>
      <c r="R2211" t="s">
        <v>3317</v>
      </c>
      <c r="S2211" s="4">
        <f t="shared" ca="1" si="343"/>
        <v>1761</v>
      </c>
      <c r="T2211">
        <f t="shared" si="344"/>
        <v>1</v>
      </c>
      <c r="U2211">
        <f t="shared" si="345"/>
        <v>1</v>
      </c>
      <c r="V2211">
        <f t="shared" si="346"/>
        <v>1</v>
      </c>
      <c r="W2211">
        <f t="shared" si="347"/>
        <v>1</v>
      </c>
      <c r="X2211">
        <f t="shared" si="348"/>
        <v>0.99999999999999989</v>
      </c>
      <c r="Y2211" t="str">
        <f t="shared" si="349"/>
        <v>Healthy</v>
      </c>
    </row>
    <row r="2212" spans="1:25" x14ac:dyDescent="0.35">
      <c r="A2212" t="s">
        <v>14</v>
      </c>
      <c r="B2212" t="s">
        <v>15</v>
      </c>
      <c r="C2212" t="s">
        <v>16</v>
      </c>
      <c r="D2212" t="s">
        <v>1707</v>
      </c>
      <c r="E2212">
        <v>80875788</v>
      </c>
      <c r="F2212" t="s">
        <v>1708</v>
      </c>
      <c r="G2212" s="3">
        <v>47965</v>
      </c>
      <c r="H2212">
        <v>60</v>
      </c>
      <c r="I2212">
        <v>99</v>
      </c>
      <c r="J2212">
        <v>344</v>
      </c>
      <c r="K2212" s="4">
        <v>459666.56</v>
      </c>
      <c r="L2212" s="4">
        <v>408</v>
      </c>
      <c r="M2212" s="4">
        <v>0.84313725490196079</v>
      </c>
      <c r="N2212" t="s">
        <v>25</v>
      </c>
      <c r="O2212" t="str">
        <f t="shared" si="340"/>
        <v>Low</v>
      </c>
      <c r="P2212" t="str">
        <f t="shared" si="341"/>
        <v>Low</v>
      </c>
      <c r="Q2212" t="str">
        <f t="shared" si="342"/>
        <v>Low</v>
      </c>
      <c r="R2212" t="s">
        <v>3309</v>
      </c>
      <c r="S2212" s="4">
        <f t="shared" ca="1" si="343"/>
        <v>1768</v>
      </c>
      <c r="T2212">
        <f t="shared" si="344"/>
        <v>1</v>
      </c>
      <c r="U2212">
        <f t="shared" si="345"/>
        <v>1</v>
      </c>
      <c r="V2212">
        <f t="shared" si="346"/>
        <v>1</v>
      </c>
      <c r="W2212">
        <f t="shared" si="347"/>
        <v>3</v>
      </c>
      <c r="X2212">
        <f t="shared" si="348"/>
        <v>1.2</v>
      </c>
      <c r="Y2212" t="str">
        <f t="shared" si="349"/>
        <v>Healthy</v>
      </c>
    </row>
    <row r="2213" spans="1:25" x14ac:dyDescent="0.35">
      <c r="A2213" t="s">
        <v>14</v>
      </c>
      <c r="B2213" t="s">
        <v>15</v>
      </c>
      <c r="C2213" t="s">
        <v>16</v>
      </c>
      <c r="D2213" t="s">
        <v>1707</v>
      </c>
      <c r="E2213">
        <v>80875788</v>
      </c>
      <c r="F2213" t="s">
        <v>1708</v>
      </c>
      <c r="G2213" s="3">
        <v>47915</v>
      </c>
      <c r="H2213">
        <v>60</v>
      </c>
      <c r="I2213">
        <v>96</v>
      </c>
      <c r="J2213">
        <v>8</v>
      </c>
      <c r="K2213" s="4">
        <v>10689.92</v>
      </c>
      <c r="L2213" s="4">
        <v>408</v>
      </c>
      <c r="M2213" s="4">
        <v>1.9607843137254902E-2</v>
      </c>
      <c r="N2213" t="s">
        <v>25</v>
      </c>
      <c r="O2213" t="str">
        <f t="shared" si="340"/>
        <v>Low</v>
      </c>
      <c r="P2213" t="str">
        <f t="shared" si="341"/>
        <v>Low</v>
      </c>
      <c r="Q2213" t="str">
        <f t="shared" si="342"/>
        <v>Low</v>
      </c>
      <c r="R2213" t="s">
        <v>3317</v>
      </c>
      <c r="S2213" s="4">
        <f t="shared" ca="1" si="343"/>
        <v>1718</v>
      </c>
      <c r="T2213">
        <f t="shared" si="344"/>
        <v>1</v>
      </c>
      <c r="U2213">
        <f t="shared" si="345"/>
        <v>1</v>
      </c>
      <c r="V2213">
        <f t="shared" si="346"/>
        <v>1</v>
      </c>
      <c r="W2213">
        <f t="shared" si="347"/>
        <v>1</v>
      </c>
      <c r="X2213">
        <f t="shared" si="348"/>
        <v>0.99999999999999989</v>
      </c>
      <c r="Y2213" t="str">
        <f t="shared" si="349"/>
        <v>Healthy</v>
      </c>
    </row>
    <row r="2214" spans="1:25" x14ac:dyDescent="0.35">
      <c r="A2214" t="s">
        <v>14</v>
      </c>
      <c r="B2214" t="s">
        <v>58</v>
      </c>
      <c r="C2214" t="s">
        <v>59</v>
      </c>
      <c r="D2214" t="s">
        <v>60</v>
      </c>
      <c r="E2214">
        <v>80875798</v>
      </c>
      <c r="F2214" t="s">
        <v>1709</v>
      </c>
      <c r="G2214" s="3">
        <v>47985</v>
      </c>
      <c r="H2214">
        <v>60</v>
      </c>
      <c r="I2214">
        <v>100</v>
      </c>
      <c r="J2214">
        <v>72</v>
      </c>
      <c r="K2214" s="4">
        <v>111020.4</v>
      </c>
      <c r="L2214" s="4">
        <v>395.57142857142856</v>
      </c>
      <c r="M2214" s="4">
        <v>0.18201516793066089</v>
      </c>
      <c r="N2214" t="s">
        <v>25</v>
      </c>
      <c r="O2214" t="str">
        <f t="shared" si="340"/>
        <v>Low</v>
      </c>
      <c r="P2214" t="str">
        <f t="shared" si="341"/>
        <v>Low</v>
      </c>
      <c r="Q2214" t="str">
        <f t="shared" si="342"/>
        <v>Low</v>
      </c>
      <c r="R2214" t="s">
        <v>3310</v>
      </c>
      <c r="S2214" s="4">
        <f t="shared" ca="1" si="343"/>
        <v>1788</v>
      </c>
      <c r="T2214">
        <f t="shared" si="344"/>
        <v>1</v>
      </c>
      <c r="U2214">
        <f t="shared" si="345"/>
        <v>1</v>
      </c>
      <c r="V2214">
        <f t="shared" si="346"/>
        <v>1</v>
      </c>
      <c r="W2214">
        <f t="shared" si="347"/>
        <v>2</v>
      </c>
      <c r="X2214">
        <f t="shared" si="348"/>
        <v>1.0999999999999999</v>
      </c>
      <c r="Y2214" t="str">
        <f t="shared" si="349"/>
        <v>Healthy</v>
      </c>
    </row>
    <row r="2215" spans="1:25" x14ac:dyDescent="0.35">
      <c r="A2215" t="s">
        <v>14</v>
      </c>
      <c r="B2215" t="s">
        <v>58</v>
      </c>
      <c r="C2215" t="s">
        <v>59</v>
      </c>
      <c r="D2215" t="s">
        <v>60</v>
      </c>
      <c r="E2215">
        <v>80875798</v>
      </c>
      <c r="F2215" t="s">
        <v>1709</v>
      </c>
      <c r="G2215" s="3">
        <v>47979</v>
      </c>
      <c r="H2215">
        <v>60</v>
      </c>
      <c r="I2215">
        <v>99</v>
      </c>
      <c r="J2215">
        <v>96</v>
      </c>
      <c r="K2215" s="4">
        <v>148027.20000000001</v>
      </c>
      <c r="L2215" s="4">
        <v>395.57142857142856</v>
      </c>
      <c r="M2215" s="4">
        <v>0.24268689057421453</v>
      </c>
      <c r="N2215" t="s">
        <v>25</v>
      </c>
      <c r="O2215" t="str">
        <f t="shared" si="340"/>
        <v>Low</v>
      </c>
      <c r="P2215" t="str">
        <f t="shared" si="341"/>
        <v>Low</v>
      </c>
      <c r="Q2215" t="str">
        <f t="shared" si="342"/>
        <v>Low</v>
      </c>
      <c r="R2215" t="s">
        <v>3309</v>
      </c>
      <c r="S2215" s="4">
        <f t="shared" ca="1" si="343"/>
        <v>1782</v>
      </c>
      <c r="T2215">
        <f t="shared" si="344"/>
        <v>1</v>
      </c>
      <c r="U2215">
        <f t="shared" si="345"/>
        <v>1</v>
      </c>
      <c r="V2215">
        <f t="shared" si="346"/>
        <v>1</v>
      </c>
      <c r="W2215">
        <f t="shared" si="347"/>
        <v>3</v>
      </c>
      <c r="X2215">
        <f t="shared" si="348"/>
        <v>1.2</v>
      </c>
      <c r="Y2215" t="str">
        <f t="shared" si="349"/>
        <v>Healthy</v>
      </c>
    </row>
    <row r="2216" spans="1:25" x14ac:dyDescent="0.35">
      <c r="A2216" t="s">
        <v>14</v>
      </c>
      <c r="B2216" t="s">
        <v>58</v>
      </c>
      <c r="C2216" t="s">
        <v>59</v>
      </c>
      <c r="D2216" t="s">
        <v>60</v>
      </c>
      <c r="E2216">
        <v>80875798</v>
      </c>
      <c r="F2216" t="s">
        <v>1709</v>
      </c>
      <c r="G2216" s="3">
        <v>47904</v>
      </c>
      <c r="H2216">
        <v>60</v>
      </c>
      <c r="I2216">
        <v>95</v>
      </c>
      <c r="J2216">
        <v>18</v>
      </c>
      <c r="K2216" s="4">
        <v>27755.1</v>
      </c>
      <c r="L2216" s="4">
        <v>395.57142857142856</v>
      </c>
      <c r="M2216" s="4">
        <v>4.5503791982665222E-2</v>
      </c>
      <c r="N2216" t="s">
        <v>25</v>
      </c>
      <c r="O2216" t="str">
        <f t="shared" si="340"/>
        <v>Low</v>
      </c>
      <c r="P2216" t="str">
        <f t="shared" si="341"/>
        <v>Low</v>
      </c>
      <c r="Q2216" t="str">
        <f t="shared" si="342"/>
        <v>Low</v>
      </c>
      <c r="R2216" t="s">
        <v>3317</v>
      </c>
      <c r="S2216" s="4">
        <f t="shared" ca="1" si="343"/>
        <v>1707</v>
      </c>
      <c r="T2216">
        <f t="shared" si="344"/>
        <v>1</v>
      </c>
      <c r="U2216">
        <f t="shared" si="345"/>
        <v>1</v>
      </c>
      <c r="V2216">
        <f t="shared" si="346"/>
        <v>1</v>
      </c>
      <c r="W2216">
        <f t="shared" si="347"/>
        <v>1</v>
      </c>
      <c r="X2216">
        <f t="shared" si="348"/>
        <v>0.99999999999999989</v>
      </c>
      <c r="Y2216" t="str">
        <f t="shared" si="349"/>
        <v>Healthy</v>
      </c>
    </row>
    <row r="2217" spans="1:25" x14ac:dyDescent="0.35">
      <c r="A2217" t="s">
        <v>14</v>
      </c>
      <c r="B2217" t="s">
        <v>58</v>
      </c>
      <c r="C2217" t="s">
        <v>59</v>
      </c>
      <c r="D2217" t="s">
        <v>60</v>
      </c>
      <c r="E2217">
        <v>80875798</v>
      </c>
      <c r="F2217" t="s">
        <v>1709</v>
      </c>
      <c r="G2217" s="3">
        <v>47961</v>
      </c>
      <c r="H2217">
        <v>60</v>
      </c>
      <c r="I2217">
        <v>98</v>
      </c>
      <c r="J2217">
        <v>120</v>
      </c>
      <c r="K2217" s="4">
        <v>185034</v>
      </c>
      <c r="L2217" s="4">
        <v>395.57142857142856</v>
      </c>
      <c r="M2217" s="4">
        <v>0.30335861321776814</v>
      </c>
      <c r="N2217" t="s">
        <v>25</v>
      </c>
      <c r="O2217" t="str">
        <f t="shared" si="340"/>
        <v>Low</v>
      </c>
      <c r="P2217" t="str">
        <f t="shared" si="341"/>
        <v>Low</v>
      </c>
      <c r="Q2217" t="str">
        <f t="shared" si="342"/>
        <v>Low</v>
      </c>
      <c r="R2217" t="s">
        <v>3309</v>
      </c>
      <c r="S2217" s="4">
        <f t="shared" ca="1" si="343"/>
        <v>1764</v>
      </c>
      <c r="T2217">
        <f t="shared" si="344"/>
        <v>1</v>
      </c>
      <c r="U2217">
        <f t="shared" si="345"/>
        <v>1</v>
      </c>
      <c r="V2217">
        <f t="shared" si="346"/>
        <v>1</v>
      </c>
      <c r="W2217">
        <f t="shared" si="347"/>
        <v>3</v>
      </c>
      <c r="X2217">
        <f t="shared" si="348"/>
        <v>1.2</v>
      </c>
      <c r="Y2217" t="str">
        <f t="shared" si="349"/>
        <v>Healthy</v>
      </c>
    </row>
    <row r="2218" spans="1:25" x14ac:dyDescent="0.35">
      <c r="A2218" t="s">
        <v>14</v>
      </c>
      <c r="B2218" t="s">
        <v>58</v>
      </c>
      <c r="C2218" t="s">
        <v>59</v>
      </c>
      <c r="D2218" t="s">
        <v>60</v>
      </c>
      <c r="E2218">
        <v>80875798</v>
      </c>
      <c r="F2218" t="s">
        <v>1709</v>
      </c>
      <c r="G2218" s="3">
        <v>47950</v>
      </c>
      <c r="H2218">
        <v>60</v>
      </c>
      <c r="I2218">
        <v>98</v>
      </c>
      <c r="J2218">
        <v>117</v>
      </c>
      <c r="K2218" s="4">
        <v>180408.15</v>
      </c>
      <c r="L2218" s="4">
        <v>395.57142857142856</v>
      </c>
      <c r="M2218" s="4">
        <v>0.29577464788732394</v>
      </c>
      <c r="N2218" t="s">
        <v>25</v>
      </c>
      <c r="O2218" t="str">
        <f t="shared" si="340"/>
        <v>Low</v>
      </c>
      <c r="P2218" t="str">
        <f t="shared" si="341"/>
        <v>Low</v>
      </c>
      <c r="Q2218" t="str">
        <f t="shared" si="342"/>
        <v>Low</v>
      </c>
      <c r="R2218" t="s">
        <v>3309</v>
      </c>
      <c r="S2218" s="4">
        <f t="shared" ca="1" si="343"/>
        <v>1753</v>
      </c>
      <c r="T2218">
        <f t="shared" si="344"/>
        <v>1</v>
      </c>
      <c r="U2218">
        <f t="shared" si="345"/>
        <v>1</v>
      </c>
      <c r="V2218">
        <f t="shared" si="346"/>
        <v>1</v>
      </c>
      <c r="W2218">
        <f t="shared" si="347"/>
        <v>3</v>
      </c>
      <c r="X2218">
        <f t="shared" si="348"/>
        <v>1.2</v>
      </c>
      <c r="Y2218" t="str">
        <f t="shared" si="349"/>
        <v>Healthy</v>
      </c>
    </row>
    <row r="2219" spans="1:25" x14ac:dyDescent="0.35">
      <c r="A2219" t="s">
        <v>14</v>
      </c>
      <c r="B2219" t="s">
        <v>58</v>
      </c>
      <c r="C2219" t="s">
        <v>1472</v>
      </c>
      <c r="D2219" t="s">
        <v>1473</v>
      </c>
      <c r="E2219">
        <v>80875803</v>
      </c>
      <c r="F2219" t="s">
        <v>1710</v>
      </c>
      <c r="G2219" s="3">
        <v>47850</v>
      </c>
      <c r="H2219">
        <v>60</v>
      </c>
      <c r="I2219">
        <v>92</v>
      </c>
      <c r="J2219">
        <v>24</v>
      </c>
      <c r="K2219" s="4">
        <v>73746.240000000005</v>
      </c>
      <c r="L2219" s="4">
        <v>3.4285714285714284</v>
      </c>
      <c r="M2219" s="4">
        <v>7</v>
      </c>
      <c r="N2219" t="s">
        <v>19</v>
      </c>
      <c r="O2219" t="str">
        <f t="shared" si="340"/>
        <v>Low</v>
      </c>
      <c r="P2219" t="str">
        <f t="shared" si="341"/>
        <v>Medium</v>
      </c>
      <c r="Q2219" t="str">
        <f t="shared" si="342"/>
        <v>High</v>
      </c>
      <c r="R2219" t="s">
        <v>3310</v>
      </c>
      <c r="S2219" s="4">
        <f t="shared" ca="1" si="343"/>
        <v>1653</v>
      </c>
      <c r="T2219">
        <f t="shared" si="344"/>
        <v>1</v>
      </c>
      <c r="U2219">
        <f t="shared" si="345"/>
        <v>2</v>
      </c>
      <c r="V2219">
        <f t="shared" si="346"/>
        <v>3</v>
      </c>
      <c r="W2219">
        <f t="shared" si="347"/>
        <v>2</v>
      </c>
      <c r="X2219">
        <f t="shared" si="348"/>
        <v>1.8</v>
      </c>
      <c r="Y2219" t="str">
        <f t="shared" si="349"/>
        <v>Monitor</v>
      </c>
    </row>
    <row r="2220" spans="1:25" x14ac:dyDescent="0.35">
      <c r="A2220" t="s">
        <v>14</v>
      </c>
      <c r="B2220" t="s">
        <v>343</v>
      </c>
      <c r="C2220" t="s">
        <v>344</v>
      </c>
      <c r="D2220" t="s">
        <v>1183</v>
      </c>
      <c r="E2220">
        <v>80876088</v>
      </c>
      <c r="F2220" t="s">
        <v>1711</v>
      </c>
      <c r="G2220" s="3">
        <v>47965</v>
      </c>
      <c r="H2220">
        <v>60</v>
      </c>
      <c r="I2220">
        <v>99</v>
      </c>
      <c r="J2220">
        <v>31</v>
      </c>
      <c r="K2220" s="4">
        <v>11788.06</v>
      </c>
      <c r="L2220" s="4">
        <v>1793.4285714285713</v>
      </c>
      <c r="M2220" s="4">
        <v>1.7285327385693803E-2</v>
      </c>
      <c r="N2220" t="s">
        <v>25</v>
      </c>
      <c r="O2220" t="str">
        <f t="shared" si="340"/>
        <v>Low</v>
      </c>
      <c r="P2220" t="str">
        <f t="shared" si="341"/>
        <v>Low</v>
      </c>
      <c r="Q2220" t="str">
        <f t="shared" si="342"/>
        <v>Low</v>
      </c>
      <c r="R2220" t="s">
        <v>3317</v>
      </c>
      <c r="S2220" s="4">
        <f t="shared" ca="1" si="343"/>
        <v>1768</v>
      </c>
      <c r="T2220">
        <f t="shared" si="344"/>
        <v>1</v>
      </c>
      <c r="U2220">
        <f t="shared" si="345"/>
        <v>1</v>
      </c>
      <c r="V2220">
        <f t="shared" si="346"/>
        <v>1</v>
      </c>
      <c r="W2220">
        <f t="shared" si="347"/>
        <v>1</v>
      </c>
      <c r="X2220">
        <f t="shared" si="348"/>
        <v>0.99999999999999989</v>
      </c>
      <c r="Y2220" t="str">
        <f t="shared" si="349"/>
        <v>Healthy</v>
      </c>
    </row>
    <row r="2221" spans="1:25" x14ac:dyDescent="0.35">
      <c r="A2221" t="s">
        <v>14</v>
      </c>
      <c r="B2221" t="s">
        <v>343</v>
      </c>
      <c r="C2221" t="s">
        <v>344</v>
      </c>
      <c r="D2221" t="s">
        <v>1183</v>
      </c>
      <c r="E2221">
        <v>80876088</v>
      </c>
      <c r="F2221" t="s">
        <v>1711</v>
      </c>
      <c r="G2221" s="3">
        <v>47999</v>
      </c>
      <c r="H2221">
        <v>60</v>
      </c>
      <c r="I2221">
        <v>100</v>
      </c>
      <c r="J2221">
        <v>533</v>
      </c>
      <c r="K2221" s="4">
        <v>202678.58</v>
      </c>
      <c r="L2221" s="4">
        <v>1793.4285714285713</v>
      </c>
      <c r="M2221" s="4">
        <v>0.29719611279273539</v>
      </c>
      <c r="N2221" t="s">
        <v>25</v>
      </c>
      <c r="O2221" t="str">
        <f t="shared" si="340"/>
        <v>Low</v>
      </c>
      <c r="P2221" t="str">
        <f t="shared" si="341"/>
        <v>Low</v>
      </c>
      <c r="Q2221" t="str">
        <f t="shared" si="342"/>
        <v>Low</v>
      </c>
      <c r="R2221" t="s">
        <v>3309</v>
      </c>
      <c r="S2221" s="4">
        <f t="shared" ca="1" si="343"/>
        <v>1802</v>
      </c>
      <c r="T2221">
        <f t="shared" si="344"/>
        <v>1</v>
      </c>
      <c r="U2221">
        <f t="shared" si="345"/>
        <v>1</v>
      </c>
      <c r="V2221">
        <f t="shared" si="346"/>
        <v>1</v>
      </c>
      <c r="W2221">
        <f t="shared" si="347"/>
        <v>3</v>
      </c>
      <c r="X2221">
        <f t="shared" si="348"/>
        <v>1.2</v>
      </c>
      <c r="Y2221" t="str">
        <f t="shared" si="349"/>
        <v>Healthy</v>
      </c>
    </row>
    <row r="2222" spans="1:25" x14ac:dyDescent="0.35">
      <c r="A2222" t="s">
        <v>46</v>
      </c>
      <c r="B2222" t="s">
        <v>47</v>
      </c>
      <c r="C2222" t="s">
        <v>1712</v>
      </c>
      <c r="D2222" t="s">
        <v>1713</v>
      </c>
      <c r="E2222">
        <v>80896468</v>
      </c>
      <c r="F2222" t="s">
        <v>1714</v>
      </c>
      <c r="G2222" s="3">
        <v>46696</v>
      </c>
      <c r="H2222">
        <v>18</v>
      </c>
      <c r="I2222">
        <v>93</v>
      </c>
      <c r="J2222">
        <v>140</v>
      </c>
      <c r="K2222" s="4">
        <v>6665.4</v>
      </c>
      <c r="L2222" s="4">
        <v>442.14285714285717</v>
      </c>
      <c r="M2222" s="4">
        <v>0.31663974151857832</v>
      </c>
      <c r="N2222" t="s">
        <v>25</v>
      </c>
      <c r="O2222" t="str">
        <f t="shared" si="340"/>
        <v>Low</v>
      </c>
      <c r="P2222" t="str">
        <f t="shared" si="341"/>
        <v>Low</v>
      </c>
      <c r="Q2222" t="str">
        <f t="shared" si="342"/>
        <v>Low</v>
      </c>
      <c r="R2222" t="s">
        <v>3317</v>
      </c>
      <c r="S2222" s="4">
        <f t="shared" ca="1" si="343"/>
        <v>499</v>
      </c>
      <c r="T2222">
        <f t="shared" si="344"/>
        <v>1</v>
      </c>
      <c r="U2222">
        <f t="shared" si="345"/>
        <v>1</v>
      </c>
      <c r="V2222">
        <f t="shared" si="346"/>
        <v>1</v>
      </c>
      <c r="W2222">
        <f t="shared" si="347"/>
        <v>1</v>
      </c>
      <c r="X2222">
        <f t="shared" si="348"/>
        <v>0.99999999999999989</v>
      </c>
      <c r="Y2222" t="str">
        <f t="shared" si="349"/>
        <v>Healthy</v>
      </c>
    </row>
    <row r="2223" spans="1:25" x14ac:dyDescent="0.35">
      <c r="A2223" t="s">
        <v>46</v>
      </c>
      <c r="B2223" t="s">
        <v>47</v>
      </c>
      <c r="C2223" t="s">
        <v>1712</v>
      </c>
      <c r="D2223" t="s">
        <v>1713</v>
      </c>
      <c r="E2223">
        <v>80896468</v>
      </c>
      <c r="F2223" t="s">
        <v>1714</v>
      </c>
      <c r="G2223" s="3">
        <v>46635</v>
      </c>
      <c r="H2223">
        <v>18</v>
      </c>
      <c r="I2223">
        <v>82</v>
      </c>
      <c r="J2223">
        <v>28</v>
      </c>
      <c r="K2223" s="4">
        <v>1333.08</v>
      </c>
      <c r="L2223" s="4">
        <v>442.14285714285717</v>
      </c>
      <c r="M2223" s="4">
        <v>6.3327948303715673E-2</v>
      </c>
      <c r="N2223" t="s">
        <v>25</v>
      </c>
      <c r="O2223" t="str">
        <f t="shared" si="340"/>
        <v>Low</v>
      </c>
      <c r="P2223" t="str">
        <f t="shared" si="341"/>
        <v>Low</v>
      </c>
      <c r="Q2223" t="str">
        <f t="shared" si="342"/>
        <v>Low</v>
      </c>
      <c r="R2223" t="s">
        <v>3317</v>
      </c>
      <c r="S2223" s="4">
        <f t="shared" ca="1" si="343"/>
        <v>438</v>
      </c>
      <c r="T2223">
        <f t="shared" si="344"/>
        <v>1</v>
      </c>
      <c r="U2223">
        <f t="shared" si="345"/>
        <v>1</v>
      </c>
      <c r="V2223">
        <f t="shared" si="346"/>
        <v>1</v>
      </c>
      <c r="W2223">
        <f t="shared" si="347"/>
        <v>1</v>
      </c>
      <c r="X2223">
        <f t="shared" si="348"/>
        <v>0.99999999999999989</v>
      </c>
      <c r="Y2223" t="str">
        <f t="shared" si="349"/>
        <v>Healthy</v>
      </c>
    </row>
    <row r="2224" spans="1:25" x14ac:dyDescent="0.35">
      <c r="A2224" t="s">
        <v>46</v>
      </c>
      <c r="B2224" t="s">
        <v>47</v>
      </c>
      <c r="C2224" t="s">
        <v>1712</v>
      </c>
      <c r="D2224" t="s">
        <v>1713</v>
      </c>
      <c r="E2224">
        <v>80896468</v>
      </c>
      <c r="F2224" t="s">
        <v>1714</v>
      </c>
      <c r="G2224" s="3">
        <v>46602</v>
      </c>
      <c r="H2224">
        <v>18</v>
      </c>
      <c r="I2224">
        <v>76</v>
      </c>
      <c r="J2224">
        <v>1</v>
      </c>
      <c r="K2224" s="4">
        <v>47.61</v>
      </c>
      <c r="L2224" s="4">
        <v>442.14285714285717</v>
      </c>
      <c r="M2224" s="4">
        <v>2.2617124394184165E-3</v>
      </c>
      <c r="N2224" t="s">
        <v>25</v>
      </c>
      <c r="O2224" t="str">
        <f t="shared" si="340"/>
        <v>Low</v>
      </c>
      <c r="P2224" t="str">
        <f t="shared" si="341"/>
        <v>Low</v>
      </c>
      <c r="Q2224" t="str">
        <f t="shared" si="342"/>
        <v>Low</v>
      </c>
      <c r="R2224" t="s">
        <v>3317</v>
      </c>
      <c r="S2224" s="4">
        <f t="shared" ca="1" si="343"/>
        <v>405</v>
      </c>
      <c r="T2224">
        <f t="shared" si="344"/>
        <v>1</v>
      </c>
      <c r="U2224">
        <f t="shared" si="345"/>
        <v>1</v>
      </c>
      <c r="V2224">
        <f t="shared" si="346"/>
        <v>1</v>
      </c>
      <c r="W2224">
        <f t="shared" si="347"/>
        <v>1</v>
      </c>
      <c r="X2224">
        <f t="shared" si="348"/>
        <v>0.99999999999999989</v>
      </c>
      <c r="Y2224" t="str">
        <f t="shared" si="349"/>
        <v>Healthy</v>
      </c>
    </row>
    <row r="2225" spans="1:25" x14ac:dyDescent="0.35">
      <c r="A2225" t="s">
        <v>46</v>
      </c>
      <c r="B2225" t="s">
        <v>47</v>
      </c>
      <c r="C2225" t="s">
        <v>1712</v>
      </c>
      <c r="D2225" t="s">
        <v>1713</v>
      </c>
      <c r="E2225">
        <v>80896468</v>
      </c>
      <c r="F2225" t="s">
        <v>1714</v>
      </c>
      <c r="G2225" s="3">
        <v>46607</v>
      </c>
      <c r="H2225">
        <v>18</v>
      </c>
      <c r="I2225">
        <v>77</v>
      </c>
      <c r="J2225">
        <v>1033</v>
      </c>
      <c r="K2225" s="4">
        <v>49181.13</v>
      </c>
      <c r="L2225" s="4">
        <v>442.14285714285717</v>
      </c>
      <c r="M2225" s="4">
        <v>2.3363489499192243</v>
      </c>
      <c r="N2225" t="s">
        <v>25</v>
      </c>
      <c r="O2225" t="str">
        <f t="shared" si="340"/>
        <v>Low</v>
      </c>
      <c r="P2225" t="str">
        <f t="shared" si="341"/>
        <v>Low</v>
      </c>
      <c r="Q2225" t="str">
        <f t="shared" si="342"/>
        <v>Low</v>
      </c>
      <c r="R2225" t="s">
        <v>3317</v>
      </c>
      <c r="S2225" s="4">
        <f t="shared" ca="1" si="343"/>
        <v>410</v>
      </c>
      <c r="T2225">
        <f t="shared" si="344"/>
        <v>1</v>
      </c>
      <c r="U2225">
        <f t="shared" si="345"/>
        <v>1</v>
      </c>
      <c r="V2225">
        <f t="shared" si="346"/>
        <v>1</v>
      </c>
      <c r="W2225">
        <f t="shared" si="347"/>
        <v>1</v>
      </c>
      <c r="X2225">
        <f t="shared" si="348"/>
        <v>0.99999999999999989</v>
      </c>
      <c r="Y2225" t="str">
        <f t="shared" si="349"/>
        <v>Healthy</v>
      </c>
    </row>
    <row r="2226" spans="1:25" x14ac:dyDescent="0.35">
      <c r="A2226" t="s">
        <v>46</v>
      </c>
      <c r="B2226" t="s">
        <v>47</v>
      </c>
      <c r="C2226" t="s">
        <v>1712</v>
      </c>
      <c r="D2226" t="s">
        <v>1713</v>
      </c>
      <c r="E2226">
        <v>80896468</v>
      </c>
      <c r="F2226" t="s">
        <v>1714</v>
      </c>
      <c r="G2226" s="3">
        <v>46669</v>
      </c>
      <c r="H2226">
        <v>18</v>
      </c>
      <c r="I2226">
        <v>88</v>
      </c>
      <c r="J2226">
        <v>1008</v>
      </c>
      <c r="K2226" s="4">
        <v>47990.879999999997</v>
      </c>
      <c r="L2226" s="4">
        <v>442.14285714285717</v>
      </c>
      <c r="M2226" s="4">
        <v>2.2798061389337638</v>
      </c>
      <c r="N2226" t="s">
        <v>25</v>
      </c>
      <c r="O2226" t="str">
        <f t="shared" si="340"/>
        <v>Low</v>
      </c>
      <c r="P2226" t="str">
        <f t="shared" si="341"/>
        <v>Low</v>
      </c>
      <c r="Q2226" t="str">
        <f t="shared" si="342"/>
        <v>Low</v>
      </c>
      <c r="R2226" t="s">
        <v>3317</v>
      </c>
      <c r="S2226" s="4">
        <f t="shared" ca="1" si="343"/>
        <v>472</v>
      </c>
      <c r="T2226">
        <f t="shared" si="344"/>
        <v>1</v>
      </c>
      <c r="U2226">
        <f t="shared" si="345"/>
        <v>1</v>
      </c>
      <c r="V2226">
        <f t="shared" si="346"/>
        <v>1</v>
      </c>
      <c r="W2226">
        <f t="shared" si="347"/>
        <v>1</v>
      </c>
      <c r="X2226">
        <f t="shared" si="348"/>
        <v>0.99999999999999989</v>
      </c>
      <c r="Y2226" t="str">
        <f t="shared" si="349"/>
        <v>Healthy</v>
      </c>
    </row>
    <row r="2227" spans="1:25" x14ac:dyDescent="0.35">
      <c r="A2227" t="s">
        <v>46</v>
      </c>
      <c r="B2227" t="s">
        <v>47</v>
      </c>
      <c r="C2227" t="s">
        <v>1712</v>
      </c>
      <c r="D2227" t="s">
        <v>1715</v>
      </c>
      <c r="E2227">
        <v>80896469</v>
      </c>
      <c r="F2227" t="s">
        <v>1716</v>
      </c>
      <c r="G2227" s="3">
        <v>46567</v>
      </c>
      <c r="H2227">
        <v>18</v>
      </c>
      <c r="I2227">
        <v>69</v>
      </c>
      <c r="J2227">
        <v>3412</v>
      </c>
      <c r="K2227" s="4">
        <v>65510.400000000001</v>
      </c>
      <c r="L2227" s="4">
        <v>9069.2857142857138</v>
      </c>
      <c r="M2227" s="4">
        <v>0.37621485390249665</v>
      </c>
      <c r="N2227" t="s">
        <v>25</v>
      </c>
      <c r="O2227" t="str">
        <f t="shared" si="340"/>
        <v>Low</v>
      </c>
      <c r="P2227" t="str">
        <f t="shared" si="341"/>
        <v>Low</v>
      </c>
      <c r="Q2227" t="str">
        <f t="shared" si="342"/>
        <v>Low</v>
      </c>
      <c r="R2227" t="s">
        <v>3317</v>
      </c>
      <c r="S2227" s="4">
        <f t="shared" ca="1" si="343"/>
        <v>370</v>
      </c>
      <c r="T2227">
        <f t="shared" si="344"/>
        <v>1</v>
      </c>
      <c r="U2227">
        <f t="shared" si="345"/>
        <v>1</v>
      </c>
      <c r="V2227">
        <f t="shared" si="346"/>
        <v>1</v>
      </c>
      <c r="W2227">
        <f t="shared" si="347"/>
        <v>1</v>
      </c>
      <c r="X2227">
        <f t="shared" si="348"/>
        <v>0.99999999999999989</v>
      </c>
      <c r="Y2227" t="str">
        <f t="shared" si="349"/>
        <v>Healthy</v>
      </c>
    </row>
    <row r="2228" spans="1:25" x14ac:dyDescent="0.35">
      <c r="A2228" t="s">
        <v>46</v>
      </c>
      <c r="B2228" t="s">
        <v>47</v>
      </c>
      <c r="C2228" t="s">
        <v>1712</v>
      </c>
      <c r="D2228" t="s">
        <v>1715</v>
      </c>
      <c r="E2228">
        <v>80896469</v>
      </c>
      <c r="F2228" t="s">
        <v>1716</v>
      </c>
      <c r="G2228" s="3">
        <v>46575</v>
      </c>
      <c r="H2228">
        <v>18</v>
      </c>
      <c r="I2228">
        <v>71</v>
      </c>
      <c r="J2228">
        <v>157</v>
      </c>
      <c r="K2228" s="4">
        <v>3014.4</v>
      </c>
      <c r="L2228" s="4">
        <v>9069.2857142857138</v>
      </c>
      <c r="M2228" s="4">
        <v>1.7311175868315352E-2</v>
      </c>
      <c r="N2228" t="s">
        <v>25</v>
      </c>
      <c r="O2228" t="str">
        <f t="shared" si="340"/>
        <v>Low</v>
      </c>
      <c r="P2228" t="str">
        <f t="shared" si="341"/>
        <v>Low</v>
      </c>
      <c r="Q2228" t="str">
        <f t="shared" si="342"/>
        <v>Low</v>
      </c>
      <c r="R2228" t="s">
        <v>3317</v>
      </c>
      <c r="S2228" s="4">
        <f t="shared" ca="1" si="343"/>
        <v>378</v>
      </c>
      <c r="T2228">
        <f t="shared" si="344"/>
        <v>1</v>
      </c>
      <c r="U2228">
        <f t="shared" si="345"/>
        <v>1</v>
      </c>
      <c r="V2228">
        <f t="shared" si="346"/>
        <v>1</v>
      </c>
      <c r="W2228">
        <f t="shared" si="347"/>
        <v>1</v>
      </c>
      <c r="X2228">
        <f t="shared" si="348"/>
        <v>0.99999999999999989</v>
      </c>
      <c r="Y2228" t="str">
        <f t="shared" si="349"/>
        <v>Healthy</v>
      </c>
    </row>
    <row r="2229" spans="1:25" x14ac:dyDescent="0.35">
      <c r="A2229" t="s">
        <v>46</v>
      </c>
      <c r="B2229" t="s">
        <v>47</v>
      </c>
      <c r="C2229" t="s">
        <v>1712</v>
      </c>
      <c r="D2229" t="s">
        <v>1715</v>
      </c>
      <c r="E2229">
        <v>80896469</v>
      </c>
      <c r="F2229" t="s">
        <v>1716</v>
      </c>
      <c r="G2229" s="3">
        <v>46579</v>
      </c>
      <c r="H2229">
        <v>18</v>
      </c>
      <c r="I2229">
        <v>72</v>
      </c>
      <c r="J2229">
        <v>4128</v>
      </c>
      <c r="K2229" s="4">
        <v>79257.600000000006</v>
      </c>
      <c r="L2229" s="4">
        <v>9069.2857142857138</v>
      </c>
      <c r="M2229" s="4">
        <v>0.45516263684334884</v>
      </c>
      <c r="N2229" t="s">
        <v>25</v>
      </c>
      <c r="O2229" t="str">
        <f t="shared" si="340"/>
        <v>Low</v>
      </c>
      <c r="P2229" t="str">
        <f t="shared" si="341"/>
        <v>Low</v>
      </c>
      <c r="Q2229" t="str">
        <f t="shared" si="342"/>
        <v>Low</v>
      </c>
      <c r="R2229" t="s">
        <v>3310</v>
      </c>
      <c r="S2229" s="4">
        <f t="shared" ca="1" si="343"/>
        <v>382</v>
      </c>
      <c r="T2229">
        <f t="shared" si="344"/>
        <v>1</v>
      </c>
      <c r="U2229">
        <f t="shared" si="345"/>
        <v>1</v>
      </c>
      <c r="V2229">
        <f t="shared" si="346"/>
        <v>1</v>
      </c>
      <c r="W2229">
        <f t="shared" si="347"/>
        <v>2</v>
      </c>
      <c r="X2229">
        <f t="shared" si="348"/>
        <v>1.0999999999999999</v>
      </c>
      <c r="Y2229" t="str">
        <f t="shared" si="349"/>
        <v>Healthy</v>
      </c>
    </row>
    <row r="2230" spans="1:25" x14ac:dyDescent="0.35">
      <c r="A2230" t="s">
        <v>14</v>
      </c>
      <c r="B2230" t="s">
        <v>343</v>
      </c>
      <c r="C2230" t="s">
        <v>1717</v>
      </c>
      <c r="D2230" t="s">
        <v>1718</v>
      </c>
      <c r="E2230">
        <v>80875774</v>
      </c>
      <c r="F2230" t="s">
        <v>1719</v>
      </c>
      <c r="G2230" s="3">
        <v>47897</v>
      </c>
      <c r="H2230">
        <v>60</v>
      </c>
      <c r="I2230">
        <v>95</v>
      </c>
      <c r="J2230">
        <v>48</v>
      </c>
      <c r="K2230" s="4">
        <v>52332</v>
      </c>
      <c r="L2230" s="4">
        <v>10.285714285714286</v>
      </c>
      <c r="M2230" s="4">
        <v>4.6666666666666661</v>
      </c>
      <c r="N2230" t="s">
        <v>25</v>
      </c>
      <c r="O2230" t="str">
        <f t="shared" si="340"/>
        <v>Low</v>
      </c>
      <c r="P2230" t="str">
        <f t="shared" si="341"/>
        <v>Medium</v>
      </c>
      <c r="Q2230" t="str">
        <f t="shared" si="342"/>
        <v>Medium</v>
      </c>
      <c r="R2230" t="s">
        <v>3317</v>
      </c>
      <c r="S2230" s="4">
        <f t="shared" ca="1" si="343"/>
        <v>1700</v>
      </c>
      <c r="T2230">
        <f t="shared" si="344"/>
        <v>1</v>
      </c>
      <c r="U2230">
        <f t="shared" si="345"/>
        <v>2</v>
      </c>
      <c r="V2230">
        <f t="shared" si="346"/>
        <v>2</v>
      </c>
      <c r="W2230">
        <f t="shared" si="347"/>
        <v>1</v>
      </c>
      <c r="X2230">
        <f t="shared" si="348"/>
        <v>1.5</v>
      </c>
      <c r="Y2230" t="str">
        <f t="shared" si="349"/>
        <v>Healthy</v>
      </c>
    </row>
    <row r="2231" spans="1:25" x14ac:dyDescent="0.35">
      <c r="A2231" t="s">
        <v>14</v>
      </c>
      <c r="B2231" t="s">
        <v>343</v>
      </c>
      <c r="C2231" t="s">
        <v>1717</v>
      </c>
      <c r="D2231" t="s">
        <v>1718</v>
      </c>
      <c r="E2231">
        <v>80875774</v>
      </c>
      <c r="F2231" t="s">
        <v>1719</v>
      </c>
      <c r="G2231" s="3">
        <v>47965</v>
      </c>
      <c r="H2231">
        <v>60</v>
      </c>
      <c r="I2231">
        <v>99</v>
      </c>
      <c r="J2231">
        <v>120</v>
      </c>
      <c r="K2231" s="4">
        <v>130830</v>
      </c>
      <c r="L2231" s="4">
        <v>10.285714285714286</v>
      </c>
      <c r="M2231" s="4">
        <v>11.666666666666666</v>
      </c>
      <c r="N2231" t="s">
        <v>19</v>
      </c>
      <c r="O2231" t="str">
        <f t="shared" si="340"/>
        <v>Low</v>
      </c>
      <c r="P2231" t="str">
        <f t="shared" si="341"/>
        <v>High</v>
      </c>
      <c r="Q2231" t="str">
        <f t="shared" si="342"/>
        <v>Medium</v>
      </c>
      <c r="R2231" t="s">
        <v>3310</v>
      </c>
      <c r="S2231" s="4">
        <f t="shared" ca="1" si="343"/>
        <v>1768</v>
      </c>
      <c r="T2231">
        <f t="shared" si="344"/>
        <v>1</v>
      </c>
      <c r="U2231">
        <f t="shared" si="345"/>
        <v>3</v>
      </c>
      <c r="V2231">
        <f t="shared" si="346"/>
        <v>2</v>
      </c>
      <c r="W2231">
        <f t="shared" si="347"/>
        <v>2</v>
      </c>
      <c r="X2231">
        <f t="shared" si="348"/>
        <v>1.8999999999999997</v>
      </c>
      <c r="Y2231" t="str">
        <f t="shared" si="349"/>
        <v>Monitor</v>
      </c>
    </row>
    <row r="2232" spans="1:25" x14ac:dyDescent="0.35">
      <c r="A2232" t="s">
        <v>14</v>
      </c>
      <c r="B2232" t="s">
        <v>343</v>
      </c>
      <c r="C2232" t="s">
        <v>1717</v>
      </c>
      <c r="D2232" t="s">
        <v>1720</v>
      </c>
      <c r="E2232">
        <v>80875782</v>
      </c>
      <c r="F2232" t="s">
        <v>1721</v>
      </c>
      <c r="G2232" s="3">
        <v>47960</v>
      </c>
      <c r="H2232">
        <v>60</v>
      </c>
      <c r="I2232">
        <v>98</v>
      </c>
      <c r="J2232">
        <v>144</v>
      </c>
      <c r="K2232" s="4">
        <v>264016.8</v>
      </c>
      <c r="L2232" s="4">
        <v>39.428571428571431</v>
      </c>
      <c r="M2232" s="4">
        <v>3.652173913043478</v>
      </c>
      <c r="N2232" t="s">
        <v>25</v>
      </c>
      <c r="O2232" t="str">
        <f t="shared" si="340"/>
        <v>Low</v>
      </c>
      <c r="P2232" t="str">
        <f t="shared" si="341"/>
        <v>Low</v>
      </c>
      <c r="Q2232" t="str">
        <f t="shared" si="342"/>
        <v>Low</v>
      </c>
      <c r="R2232" t="s">
        <v>3309</v>
      </c>
      <c r="S2232" s="4">
        <f t="shared" ca="1" si="343"/>
        <v>1763</v>
      </c>
      <c r="T2232">
        <f t="shared" si="344"/>
        <v>1</v>
      </c>
      <c r="U2232">
        <f t="shared" si="345"/>
        <v>1</v>
      </c>
      <c r="V2232">
        <f t="shared" si="346"/>
        <v>1</v>
      </c>
      <c r="W2232">
        <f t="shared" si="347"/>
        <v>3</v>
      </c>
      <c r="X2232">
        <f t="shared" si="348"/>
        <v>1.2</v>
      </c>
      <c r="Y2232" t="str">
        <f t="shared" si="349"/>
        <v>Healthy</v>
      </c>
    </row>
    <row r="2233" spans="1:25" x14ac:dyDescent="0.35">
      <c r="A2233" t="s">
        <v>14</v>
      </c>
      <c r="B2233" t="s">
        <v>343</v>
      </c>
      <c r="C2233" t="s">
        <v>1717</v>
      </c>
      <c r="D2233" t="s">
        <v>1720</v>
      </c>
      <c r="E2233">
        <v>80875782</v>
      </c>
      <c r="F2233" t="s">
        <v>1721</v>
      </c>
      <c r="G2233" s="3">
        <v>47840</v>
      </c>
      <c r="H2233">
        <v>60</v>
      </c>
      <c r="I2233">
        <v>92</v>
      </c>
      <c r="J2233">
        <v>12</v>
      </c>
      <c r="K2233" s="4">
        <v>22001.4</v>
      </c>
      <c r="L2233" s="4">
        <v>39.428571428571431</v>
      </c>
      <c r="M2233" s="4">
        <v>0.30434782608695649</v>
      </c>
      <c r="N2233" t="s">
        <v>25</v>
      </c>
      <c r="O2233" t="str">
        <f t="shared" si="340"/>
        <v>Low</v>
      </c>
      <c r="P2233" t="str">
        <f t="shared" si="341"/>
        <v>Low</v>
      </c>
      <c r="Q2233" t="str">
        <f t="shared" si="342"/>
        <v>Low</v>
      </c>
      <c r="R2233" t="s">
        <v>3317</v>
      </c>
      <c r="S2233" s="4">
        <f t="shared" ca="1" si="343"/>
        <v>1643</v>
      </c>
      <c r="T2233">
        <f t="shared" si="344"/>
        <v>1</v>
      </c>
      <c r="U2233">
        <f t="shared" si="345"/>
        <v>1</v>
      </c>
      <c r="V2233">
        <f t="shared" si="346"/>
        <v>1</v>
      </c>
      <c r="W2233">
        <f t="shared" si="347"/>
        <v>1</v>
      </c>
      <c r="X2233">
        <f t="shared" si="348"/>
        <v>0.99999999999999989</v>
      </c>
      <c r="Y2233" t="str">
        <f t="shared" si="349"/>
        <v>Healthy</v>
      </c>
    </row>
    <row r="2234" spans="1:25" x14ac:dyDescent="0.35">
      <c r="A2234" t="s">
        <v>14</v>
      </c>
      <c r="B2234" t="s">
        <v>15</v>
      </c>
      <c r="C2234" t="s">
        <v>1312</v>
      </c>
      <c r="D2234" t="s">
        <v>1722</v>
      </c>
      <c r="E2234">
        <v>80875790</v>
      </c>
      <c r="F2234" t="s">
        <v>1723</v>
      </c>
      <c r="G2234" s="3">
        <v>47960</v>
      </c>
      <c r="H2234">
        <v>60</v>
      </c>
      <c r="I2234">
        <v>98</v>
      </c>
      <c r="J2234">
        <v>120</v>
      </c>
      <c r="K2234" s="4">
        <v>97711.2</v>
      </c>
      <c r="L2234" s="4">
        <v>986.28571428571433</v>
      </c>
      <c r="M2234" s="4">
        <v>0.12166859791425261</v>
      </c>
      <c r="N2234" t="s">
        <v>25</v>
      </c>
      <c r="O2234" t="str">
        <f t="shared" si="340"/>
        <v>Low</v>
      </c>
      <c r="P2234" t="str">
        <f t="shared" si="341"/>
        <v>Low</v>
      </c>
      <c r="Q2234" t="str">
        <f t="shared" si="342"/>
        <v>Low</v>
      </c>
      <c r="R2234" t="s">
        <v>3310</v>
      </c>
      <c r="S2234" s="4">
        <f t="shared" ca="1" si="343"/>
        <v>1763</v>
      </c>
      <c r="T2234">
        <f t="shared" si="344"/>
        <v>1</v>
      </c>
      <c r="U2234">
        <f t="shared" si="345"/>
        <v>1</v>
      </c>
      <c r="V2234">
        <f t="shared" si="346"/>
        <v>1</v>
      </c>
      <c r="W2234">
        <f t="shared" si="347"/>
        <v>2</v>
      </c>
      <c r="X2234">
        <f t="shared" si="348"/>
        <v>1.0999999999999999</v>
      </c>
      <c r="Y2234" t="str">
        <f t="shared" si="349"/>
        <v>Healthy</v>
      </c>
    </row>
    <row r="2235" spans="1:25" x14ac:dyDescent="0.35">
      <c r="A2235" t="s">
        <v>14</v>
      </c>
      <c r="B2235" t="s">
        <v>15</v>
      </c>
      <c r="C2235" t="s">
        <v>1312</v>
      </c>
      <c r="D2235" t="s">
        <v>1722</v>
      </c>
      <c r="E2235">
        <v>80875790</v>
      </c>
      <c r="F2235" t="s">
        <v>1723</v>
      </c>
      <c r="G2235" s="3">
        <v>48001</v>
      </c>
      <c r="H2235">
        <v>60</v>
      </c>
      <c r="I2235">
        <v>100</v>
      </c>
      <c r="J2235">
        <v>504</v>
      </c>
      <c r="K2235" s="4">
        <v>410387.04</v>
      </c>
      <c r="L2235" s="4">
        <v>986.28571428571433</v>
      </c>
      <c r="M2235" s="4">
        <v>0.5110081112398609</v>
      </c>
      <c r="N2235" t="s">
        <v>25</v>
      </c>
      <c r="O2235" t="str">
        <f t="shared" si="340"/>
        <v>Low</v>
      </c>
      <c r="P2235" t="str">
        <f t="shared" si="341"/>
        <v>Low</v>
      </c>
      <c r="Q2235" t="str">
        <f t="shared" si="342"/>
        <v>Low</v>
      </c>
      <c r="R2235" t="s">
        <v>3309</v>
      </c>
      <c r="S2235" s="4">
        <f t="shared" ca="1" si="343"/>
        <v>1804</v>
      </c>
      <c r="T2235">
        <f t="shared" si="344"/>
        <v>1</v>
      </c>
      <c r="U2235">
        <f t="shared" si="345"/>
        <v>1</v>
      </c>
      <c r="V2235">
        <f t="shared" si="346"/>
        <v>1</v>
      </c>
      <c r="W2235">
        <f t="shared" si="347"/>
        <v>3</v>
      </c>
      <c r="X2235">
        <f t="shared" si="348"/>
        <v>1.2</v>
      </c>
      <c r="Y2235" t="str">
        <f t="shared" si="349"/>
        <v>Healthy</v>
      </c>
    </row>
    <row r="2236" spans="1:25" x14ac:dyDescent="0.35">
      <c r="A2236" t="s">
        <v>14</v>
      </c>
      <c r="B2236" t="s">
        <v>15</v>
      </c>
      <c r="C2236" t="s">
        <v>1312</v>
      </c>
      <c r="D2236" t="s">
        <v>1722</v>
      </c>
      <c r="E2236">
        <v>80875790</v>
      </c>
      <c r="F2236" t="s">
        <v>1723</v>
      </c>
      <c r="G2236" s="3">
        <v>47941</v>
      </c>
      <c r="H2236">
        <v>60</v>
      </c>
      <c r="I2236">
        <v>97</v>
      </c>
      <c r="J2236">
        <v>48</v>
      </c>
      <c r="K2236" s="4">
        <v>39084.480000000003</v>
      </c>
      <c r="L2236" s="4">
        <v>986.28571428571433</v>
      </c>
      <c r="M2236" s="4">
        <v>4.8667439165701043E-2</v>
      </c>
      <c r="N2236" t="s">
        <v>25</v>
      </c>
      <c r="O2236" t="str">
        <f t="shared" si="340"/>
        <v>Low</v>
      </c>
      <c r="P2236" t="str">
        <f t="shared" si="341"/>
        <v>Low</v>
      </c>
      <c r="Q2236" t="str">
        <f t="shared" si="342"/>
        <v>Low</v>
      </c>
      <c r="R2236" t="s">
        <v>3317</v>
      </c>
      <c r="S2236" s="4">
        <f t="shared" ca="1" si="343"/>
        <v>1744</v>
      </c>
      <c r="T2236">
        <f t="shared" si="344"/>
        <v>1</v>
      </c>
      <c r="U2236">
        <f t="shared" si="345"/>
        <v>1</v>
      </c>
      <c r="V2236">
        <f t="shared" si="346"/>
        <v>1</v>
      </c>
      <c r="W2236">
        <f t="shared" si="347"/>
        <v>1</v>
      </c>
      <c r="X2236">
        <f t="shared" si="348"/>
        <v>0.99999999999999989</v>
      </c>
      <c r="Y2236" t="str">
        <f t="shared" si="349"/>
        <v>Healthy</v>
      </c>
    </row>
    <row r="2237" spans="1:25" x14ac:dyDescent="0.35">
      <c r="A2237" t="s">
        <v>14</v>
      </c>
      <c r="B2237" t="s">
        <v>15</v>
      </c>
      <c r="C2237" t="s">
        <v>1312</v>
      </c>
      <c r="D2237" t="s">
        <v>1722</v>
      </c>
      <c r="E2237">
        <v>80875790</v>
      </c>
      <c r="F2237" t="s">
        <v>1723</v>
      </c>
      <c r="G2237" s="3">
        <v>47985</v>
      </c>
      <c r="H2237">
        <v>60</v>
      </c>
      <c r="I2237">
        <v>100</v>
      </c>
      <c r="J2237">
        <v>48</v>
      </c>
      <c r="K2237" s="4">
        <v>39084.480000000003</v>
      </c>
      <c r="L2237" s="4">
        <v>986.28571428571433</v>
      </c>
      <c r="M2237" s="4">
        <v>4.8667439165701043E-2</v>
      </c>
      <c r="N2237" t="s">
        <v>25</v>
      </c>
      <c r="O2237" t="str">
        <f t="shared" si="340"/>
        <v>Low</v>
      </c>
      <c r="P2237" t="str">
        <f t="shared" si="341"/>
        <v>Low</v>
      </c>
      <c r="Q2237" t="str">
        <f t="shared" si="342"/>
        <v>Low</v>
      </c>
      <c r="R2237" t="s">
        <v>3317</v>
      </c>
      <c r="S2237" s="4">
        <f t="shared" ca="1" si="343"/>
        <v>1788</v>
      </c>
      <c r="T2237">
        <f t="shared" si="344"/>
        <v>1</v>
      </c>
      <c r="U2237">
        <f t="shared" si="345"/>
        <v>1</v>
      </c>
      <c r="V2237">
        <f t="shared" si="346"/>
        <v>1</v>
      </c>
      <c r="W2237">
        <f t="shared" si="347"/>
        <v>1</v>
      </c>
      <c r="X2237">
        <f t="shared" si="348"/>
        <v>0.99999999999999989</v>
      </c>
      <c r="Y2237" t="str">
        <f t="shared" si="349"/>
        <v>Healthy</v>
      </c>
    </row>
    <row r="2238" spans="1:25" x14ac:dyDescent="0.35">
      <c r="A2238" t="s">
        <v>14</v>
      </c>
      <c r="B2238" t="s">
        <v>15</v>
      </c>
      <c r="C2238" t="s">
        <v>1312</v>
      </c>
      <c r="D2238" t="s">
        <v>1722</v>
      </c>
      <c r="E2238">
        <v>80875790</v>
      </c>
      <c r="F2238" t="s">
        <v>1723</v>
      </c>
      <c r="G2238" s="3">
        <v>47950</v>
      </c>
      <c r="H2238">
        <v>60</v>
      </c>
      <c r="I2238">
        <v>98</v>
      </c>
      <c r="J2238">
        <v>48</v>
      </c>
      <c r="K2238" s="4">
        <v>39084.480000000003</v>
      </c>
      <c r="L2238" s="4">
        <v>986.28571428571433</v>
      </c>
      <c r="M2238" s="4">
        <v>4.8667439165701043E-2</v>
      </c>
      <c r="N2238" t="s">
        <v>25</v>
      </c>
      <c r="O2238" t="str">
        <f t="shared" si="340"/>
        <v>Low</v>
      </c>
      <c r="P2238" t="str">
        <f t="shared" si="341"/>
        <v>Low</v>
      </c>
      <c r="Q2238" t="str">
        <f t="shared" si="342"/>
        <v>Low</v>
      </c>
      <c r="R2238" t="s">
        <v>3317</v>
      </c>
      <c r="S2238" s="4">
        <f t="shared" ca="1" si="343"/>
        <v>1753</v>
      </c>
      <c r="T2238">
        <f t="shared" si="344"/>
        <v>1</v>
      </c>
      <c r="U2238">
        <f t="shared" si="345"/>
        <v>1</v>
      </c>
      <c r="V2238">
        <f t="shared" si="346"/>
        <v>1</v>
      </c>
      <c r="W2238">
        <f t="shared" si="347"/>
        <v>1</v>
      </c>
      <c r="X2238">
        <f t="shared" si="348"/>
        <v>0.99999999999999989</v>
      </c>
      <c r="Y2238" t="str">
        <f t="shared" si="349"/>
        <v>Healthy</v>
      </c>
    </row>
    <row r="2239" spans="1:25" x14ac:dyDescent="0.35">
      <c r="A2239" t="s">
        <v>14</v>
      </c>
      <c r="B2239" t="s">
        <v>58</v>
      </c>
      <c r="C2239" t="s">
        <v>162</v>
      </c>
      <c r="D2239" t="s">
        <v>193</v>
      </c>
      <c r="E2239">
        <v>80875791</v>
      </c>
      <c r="F2239" t="s">
        <v>1724</v>
      </c>
      <c r="G2239" s="3">
        <v>47940</v>
      </c>
      <c r="H2239">
        <v>60</v>
      </c>
      <c r="I2239">
        <v>97</v>
      </c>
      <c r="J2239">
        <v>33</v>
      </c>
      <c r="K2239" s="4">
        <v>61066.83</v>
      </c>
      <c r="L2239" s="4">
        <v>224.14285714285714</v>
      </c>
      <c r="M2239" s="4">
        <v>0.14722753346080306</v>
      </c>
      <c r="N2239" t="s">
        <v>25</v>
      </c>
      <c r="O2239" t="str">
        <f t="shared" si="340"/>
        <v>Low</v>
      </c>
      <c r="P2239" t="str">
        <f t="shared" si="341"/>
        <v>Low</v>
      </c>
      <c r="Q2239" t="str">
        <f t="shared" si="342"/>
        <v>Low</v>
      </c>
      <c r="R2239" t="s">
        <v>3317</v>
      </c>
      <c r="S2239" s="4">
        <f t="shared" ca="1" si="343"/>
        <v>1743</v>
      </c>
      <c r="T2239">
        <f t="shared" si="344"/>
        <v>1</v>
      </c>
      <c r="U2239">
        <f t="shared" si="345"/>
        <v>1</v>
      </c>
      <c r="V2239">
        <f t="shared" si="346"/>
        <v>1</v>
      </c>
      <c r="W2239">
        <f t="shared" si="347"/>
        <v>1</v>
      </c>
      <c r="X2239">
        <f t="shared" si="348"/>
        <v>0.99999999999999989</v>
      </c>
      <c r="Y2239" t="str">
        <f t="shared" si="349"/>
        <v>Healthy</v>
      </c>
    </row>
    <row r="2240" spans="1:25" x14ac:dyDescent="0.35">
      <c r="A2240" t="s">
        <v>14</v>
      </c>
      <c r="B2240" t="s">
        <v>58</v>
      </c>
      <c r="C2240" t="s">
        <v>162</v>
      </c>
      <c r="D2240" t="s">
        <v>193</v>
      </c>
      <c r="E2240">
        <v>80875791</v>
      </c>
      <c r="F2240" t="s">
        <v>1724</v>
      </c>
      <c r="G2240" s="3">
        <v>47834</v>
      </c>
      <c r="H2240">
        <v>60</v>
      </c>
      <c r="I2240">
        <v>91</v>
      </c>
      <c r="J2240">
        <v>3</v>
      </c>
      <c r="K2240" s="4">
        <v>5551.53</v>
      </c>
      <c r="L2240" s="4">
        <v>224.14285714285714</v>
      </c>
      <c r="M2240" s="4">
        <v>1.338432122370937E-2</v>
      </c>
      <c r="N2240" t="s">
        <v>25</v>
      </c>
      <c r="O2240" t="str">
        <f t="shared" si="340"/>
        <v>Low</v>
      </c>
      <c r="P2240" t="str">
        <f t="shared" si="341"/>
        <v>Low</v>
      </c>
      <c r="Q2240" t="str">
        <f t="shared" si="342"/>
        <v>Low</v>
      </c>
      <c r="R2240" t="s">
        <v>3317</v>
      </c>
      <c r="S2240" s="4">
        <f t="shared" ca="1" si="343"/>
        <v>1637</v>
      </c>
      <c r="T2240">
        <f t="shared" si="344"/>
        <v>1</v>
      </c>
      <c r="U2240">
        <f t="shared" si="345"/>
        <v>1</v>
      </c>
      <c r="V2240">
        <f t="shared" si="346"/>
        <v>1</v>
      </c>
      <c r="W2240">
        <f t="shared" si="347"/>
        <v>1</v>
      </c>
      <c r="X2240">
        <f t="shared" si="348"/>
        <v>0.99999999999999989</v>
      </c>
      <c r="Y2240" t="str">
        <f t="shared" si="349"/>
        <v>Healthy</v>
      </c>
    </row>
    <row r="2241" spans="1:25" x14ac:dyDescent="0.35">
      <c r="A2241" t="s">
        <v>14</v>
      </c>
      <c r="B2241" t="s">
        <v>58</v>
      </c>
      <c r="C2241" t="s">
        <v>162</v>
      </c>
      <c r="D2241" t="s">
        <v>193</v>
      </c>
      <c r="E2241">
        <v>80875791</v>
      </c>
      <c r="F2241" t="s">
        <v>1724</v>
      </c>
      <c r="G2241" s="3">
        <v>47902</v>
      </c>
      <c r="H2241">
        <v>60</v>
      </c>
      <c r="I2241">
        <v>95</v>
      </c>
      <c r="J2241">
        <v>32</v>
      </c>
      <c r="K2241" s="4">
        <v>59216.32</v>
      </c>
      <c r="L2241" s="4">
        <v>224.14285714285714</v>
      </c>
      <c r="M2241" s="4">
        <v>0.14276609305289995</v>
      </c>
      <c r="N2241" t="s">
        <v>25</v>
      </c>
      <c r="O2241" t="str">
        <f t="shared" si="340"/>
        <v>Low</v>
      </c>
      <c r="P2241" t="str">
        <f t="shared" si="341"/>
        <v>Low</v>
      </c>
      <c r="Q2241" t="str">
        <f t="shared" si="342"/>
        <v>Low</v>
      </c>
      <c r="R2241" t="s">
        <v>3317</v>
      </c>
      <c r="S2241" s="4">
        <f t="shared" ca="1" si="343"/>
        <v>1705</v>
      </c>
      <c r="T2241">
        <f t="shared" si="344"/>
        <v>1</v>
      </c>
      <c r="U2241">
        <f t="shared" si="345"/>
        <v>1</v>
      </c>
      <c r="V2241">
        <f t="shared" si="346"/>
        <v>1</v>
      </c>
      <c r="W2241">
        <f t="shared" si="347"/>
        <v>1</v>
      </c>
      <c r="X2241">
        <f t="shared" si="348"/>
        <v>0.99999999999999989</v>
      </c>
      <c r="Y2241" t="str">
        <f t="shared" si="349"/>
        <v>Healthy</v>
      </c>
    </row>
    <row r="2242" spans="1:25" x14ac:dyDescent="0.35">
      <c r="A2242" t="s">
        <v>14</v>
      </c>
      <c r="B2242" t="s">
        <v>58</v>
      </c>
      <c r="C2242" t="s">
        <v>162</v>
      </c>
      <c r="D2242" t="s">
        <v>193</v>
      </c>
      <c r="E2242">
        <v>80875791</v>
      </c>
      <c r="F2242" t="s">
        <v>1724</v>
      </c>
      <c r="G2242" s="3">
        <v>47875</v>
      </c>
      <c r="H2242">
        <v>60</v>
      </c>
      <c r="I2242">
        <v>94</v>
      </c>
      <c r="J2242">
        <v>5</v>
      </c>
      <c r="K2242" s="4">
        <v>9252.5499999999993</v>
      </c>
      <c r="L2242" s="4">
        <v>224.14285714285714</v>
      </c>
      <c r="M2242" s="4">
        <v>2.2307202039515615E-2</v>
      </c>
      <c r="N2242" t="s">
        <v>25</v>
      </c>
      <c r="O2242" t="str">
        <f t="shared" si="340"/>
        <v>Low</v>
      </c>
      <c r="P2242" t="str">
        <f t="shared" si="341"/>
        <v>Low</v>
      </c>
      <c r="Q2242" t="str">
        <f t="shared" si="342"/>
        <v>Low</v>
      </c>
      <c r="R2242" t="s">
        <v>3317</v>
      </c>
      <c r="S2242" s="4">
        <f t="shared" ca="1" si="343"/>
        <v>1678</v>
      </c>
      <c r="T2242">
        <f t="shared" si="344"/>
        <v>1</v>
      </c>
      <c r="U2242">
        <f t="shared" si="345"/>
        <v>1</v>
      </c>
      <c r="V2242">
        <f t="shared" si="346"/>
        <v>1</v>
      </c>
      <c r="W2242">
        <f t="shared" si="347"/>
        <v>1</v>
      </c>
      <c r="X2242">
        <f t="shared" si="348"/>
        <v>0.99999999999999989</v>
      </c>
      <c r="Y2242" t="str">
        <f t="shared" si="349"/>
        <v>Healthy</v>
      </c>
    </row>
    <row r="2243" spans="1:25" x14ac:dyDescent="0.35">
      <c r="A2243" t="s">
        <v>14</v>
      </c>
      <c r="B2243" t="s">
        <v>58</v>
      </c>
      <c r="C2243" t="s">
        <v>162</v>
      </c>
      <c r="D2243" t="s">
        <v>193</v>
      </c>
      <c r="E2243">
        <v>80875791</v>
      </c>
      <c r="F2243" t="s">
        <v>1724</v>
      </c>
      <c r="G2243" s="3">
        <v>48004</v>
      </c>
      <c r="H2243">
        <v>60</v>
      </c>
      <c r="I2243">
        <v>100</v>
      </c>
      <c r="J2243">
        <v>33</v>
      </c>
      <c r="K2243" s="4">
        <v>61066.83</v>
      </c>
      <c r="L2243" s="4">
        <v>224.14285714285714</v>
      </c>
      <c r="M2243" s="4">
        <v>0.14722753346080306</v>
      </c>
      <c r="N2243" t="s">
        <v>25</v>
      </c>
      <c r="O2243" t="str">
        <f t="shared" ref="O2243:O2306" si="350">IF(I2243&lt;20,"High",IF(I2243&lt;40,"Medium","Low"))</f>
        <v>Low</v>
      </c>
      <c r="P2243" t="str">
        <f t="shared" ref="P2243:P2306" si="351">IF(M2243&gt;8,"High",IF(M2243&gt;4,"Medium","Low"))</f>
        <v>Low</v>
      </c>
      <c r="Q2243" t="str">
        <f t="shared" ref="Q2243:Q2306" si="352">IF(L2243&lt;5,"High",IF(L2243&lt;15,"Medium","Low"))</f>
        <v>Low</v>
      </c>
      <c r="R2243" t="s">
        <v>3317</v>
      </c>
      <c r="S2243" s="4">
        <f t="shared" ref="S2243:S2306" ca="1" si="353">G2243-TODAY()</f>
        <v>1807</v>
      </c>
      <c r="T2243">
        <f t="shared" ref="T2243:T2306" si="354">IF(O2243="High",3,IF(O2243="Medium",2,1))</f>
        <v>1</v>
      </c>
      <c r="U2243">
        <f t="shared" ref="U2243:U2306" si="355">IF(P2243="High",3,IF(P2243="Medium",2,1))</f>
        <v>1</v>
      </c>
      <c r="V2243">
        <f t="shared" ref="V2243:V2306" si="356">IF(Q2243="High",3,IF(Q2243="Medium",2,1))</f>
        <v>1</v>
      </c>
      <c r="W2243">
        <f t="shared" ref="W2243:W2306" si="357">IF(R2243="High",3,IF(R2243="Medium",2,1))</f>
        <v>1</v>
      </c>
      <c r="X2243">
        <f t="shared" ref="X2243:X2306" si="358">(0.4*T2243)+(0.3*U2243)+(0.2*V2243)+(0.1*W2243)</f>
        <v>0.99999999999999989</v>
      </c>
      <c r="Y2243" t="str">
        <f t="shared" ref="Y2243:Y2306" si="359">IF(X2243&gt;=2.7,"Move Immediately",IF(X2243&gt;=2.2,"High Priority",IF(X2243&gt;=1.7,"Monitor","Healthy")))</f>
        <v>Healthy</v>
      </c>
    </row>
    <row r="2244" spans="1:25" x14ac:dyDescent="0.35">
      <c r="A2244" t="s">
        <v>14</v>
      </c>
      <c r="B2244" t="s">
        <v>58</v>
      </c>
      <c r="C2244" t="s">
        <v>162</v>
      </c>
      <c r="D2244" t="s">
        <v>193</v>
      </c>
      <c r="E2244">
        <v>80875791</v>
      </c>
      <c r="F2244" t="s">
        <v>1724</v>
      </c>
      <c r="G2244" s="3">
        <v>47818</v>
      </c>
      <c r="H2244">
        <v>60</v>
      </c>
      <c r="I2244">
        <v>90</v>
      </c>
      <c r="J2244">
        <v>22</v>
      </c>
      <c r="K2244" s="4">
        <v>40711.22</v>
      </c>
      <c r="L2244" s="4">
        <v>224.14285714285714</v>
      </c>
      <c r="M2244" s="4">
        <v>9.8151688973868709E-2</v>
      </c>
      <c r="N2244" t="s">
        <v>25</v>
      </c>
      <c r="O2244" t="str">
        <f t="shared" si="350"/>
        <v>Low</v>
      </c>
      <c r="P2244" t="str">
        <f t="shared" si="351"/>
        <v>Low</v>
      </c>
      <c r="Q2244" t="str">
        <f t="shared" si="352"/>
        <v>Low</v>
      </c>
      <c r="R2244" t="s">
        <v>3317</v>
      </c>
      <c r="S2244" s="4">
        <f t="shared" ca="1" si="353"/>
        <v>1621</v>
      </c>
      <c r="T2244">
        <f t="shared" si="354"/>
        <v>1</v>
      </c>
      <c r="U2244">
        <f t="shared" si="355"/>
        <v>1</v>
      </c>
      <c r="V2244">
        <f t="shared" si="356"/>
        <v>1</v>
      </c>
      <c r="W2244">
        <f t="shared" si="357"/>
        <v>1</v>
      </c>
      <c r="X2244">
        <f t="shared" si="358"/>
        <v>0.99999999999999989</v>
      </c>
      <c r="Y2244" t="str">
        <f t="shared" si="359"/>
        <v>Healthy</v>
      </c>
    </row>
    <row r="2245" spans="1:25" x14ac:dyDescent="0.35">
      <c r="A2245" t="s">
        <v>14</v>
      </c>
      <c r="B2245" t="s">
        <v>58</v>
      </c>
      <c r="C2245" t="s">
        <v>162</v>
      </c>
      <c r="D2245" t="s">
        <v>193</v>
      </c>
      <c r="E2245">
        <v>80875791</v>
      </c>
      <c r="F2245" t="s">
        <v>1724</v>
      </c>
      <c r="G2245" s="3">
        <v>47855</v>
      </c>
      <c r="H2245">
        <v>60</v>
      </c>
      <c r="I2245">
        <v>92</v>
      </c>
      <c r="J2245">
        <v>7</v>
      </c>
      <c r="K2245" s="4">
        <v>12953.57</v>
      </c>
      <c r="L2245" s="4">
        <v>224.14285714285714</v>
      </c>
      <c r="M2245" s="4">
        <v>3.1230082855321861E-2</v>
      </c>
      <c r="N2245" t="s">
        <v>25</v>
      </c>
      <c r="O2245" t="str">
        <f t="shared" si="350"/>
        <v>Low</v>
      </c>
      <c r="P2245" t="str">
        <f t="shared" si="351"/>
        <v>Low</v>
      </c>
      <c r="Q2245" t="str">
        <f t="shared" si="352"/>
        <v>Low</v>
      </c>
      <c r="R2245" t="s">
        <v>3317</v>
      </c>
      <c r="S2245" s="4">
        <f t="shared" ca="1" si="353"/>
        <v>1658</v>
      </c>
      <c r="T2245">
        <f t="shared" si="354"/>
        <v>1</v>
      </c>
      <c r="U2245">
        <f t="shared" si="355"/>
        <v>1</v>
      </c>
      <c r="V2245">
        <f t="shared" si="356"/>
        <v>1</v>
      </c>
      <c r="W2245">
        <f t="shared" si="357"/>
        <v>1</v>
      </c>
      <c r="X2245">
        <f t="shared" si="358"/>
        <v>0.99999999999999989</v>
      </c>
      <c r="Y2245" t="str">
        <f t="shared" si="359"/>
        <v>Healthy</v>
      </c>
    </row>
    <row r="2246" spans="1:25" x14ac:dyDescent="0.35">
      <c r="A2246" t="s">
        <v>14</v>
      </c>
      <c r="B2246" t="s">
        <v>15</v>
      </c>
      <c r="C2246" t="s">
        <v>1312</v>
      </c>
      <c r="D2246" t="s">
        <v>1725</v>
      </c>
      <c r="E2246">
        <v>80875793</v>
      </c>
      <c r="F2246" t="s">
        <v>1726</v>
      </c>
      <c r="G2246" s="3">
        <v>47917</v>
      </c>
      <c r="H2246">
        <v>60</v>
      </c>
      <c r="I2246">
        <v>96</v>
      </c>
      <c r="J2246">
        <v>96</v>
      </c>
      <c r="K2246" s="4">
        <v>127456.32000000001</v>
      </c>
      <c r="L2246" s="4">
        <v>351.71428571428572</v>
      </c>
      <c r="M2246" s="4">
        <v>0.27294882209585702</v>
      </c>
      <c r="N2246" t="s">
        <v>25</v>
      </c>
      <c r="O2246" t="str">
        <f t="shared" si="350"/>
        <v>Low</v>
      </c>
      <c r="P2246" t="str">
        <f t="shared" si="351"/>
        <v>Low</v>
      </c>
      <c r="Q2246" t="str">
        <f t="shared" si="352"/>
        <v>Low</v>
      </c>
      <c r="R2246" t="s">
        <v>3310</v>
      </c>
      <c r="S2246" s="4">
        <f t="shared" ca="1" si="353"/>
        <v>1720</v>
      </c>
      <c r="T2246">
        <f t="shared" si="354"/>
        <v>1</v>
      </c>
      <c r="U2246">
        <f t="shared" si="355"/>
        <v>1</v>
      </c>
      <c r="V2246">
        <f t="shared" si="356"/>
        <v>1</v>
      </c>
      <c r="W2246">
        <f t="shared" si="357"/>
        <v>2</v>
      </c>
      <c r="X2246">
        <f t="shared" si="358"/>
        <v>1.0999999999999999</v>
      </c>
      <c r="Y2246" t="str">
        <f t="shared" si="359"/>
        <v>Healthy</v>
      </c>
    </row>
    <row r="2247" spans="1:25" x14ac:dyDescent="0.35">
      <c r="A2247" t="s">
        <v>14</v>
      </c>
      <c r="B2247" t="s">
        <v>15</v>
      </c>
      <c r="C2247" t="s">
        <v>1312</v>
      </c>
      <c r="D2247" t="s">
        <v>1725</v>
      </c>
      <c r="E2247">
        <v>80875793</v>
      </c>
      <c r="F2247" t="s">
        <v>1726</v>
      </c>
      <c r="G2247" s="3">
        <v>47853</v>
      </c>
      <c r="H2247">
        <v>60</v>
      </c>
      <c r="I2247">
        <v>92</v>
      </c>
      <c r="J2247">
        <v>10</v>
      </c>
      <c r="K2247" s="4">
        <v>13276.7</v>
      </c>
      <c r="L2247" s="4">
        <v>351.71428571428572</v>
      </c>
      <c r="M2247" s="4">
        <v>2.843216896831844E-2</v>
      </c>
      <c r="N2247" t="s">
        <v>25</v>
      </c>
      <c r="O2247" t="str">
        <f t="shared" si="350"/>
        <v>Low</v>
      </c>
      <c r="P2247" t="str">
        <f t="shared" si="351"/>
        <v>Low</v>
      </c>
      <c r="Q2247" t="str">
        <f t="shared" si="352"/>
        <v>Low</v>
      </c>
      <c r="R2247" t="s">
        <v>3317</v>
      </c>
      <c r="S2247" s="4">
        <f t="shared" ca="1" si="353"/>
        <v>1656</v>
      </c>
      <c r="T2247">
        <f t="shared" si="354"/>
        <v>1</v>
      </c>
      <c r="U2247">
        <f t="shared" si="355"/>
        <v>1</v>
      </c>
      <c r="V2247">
        <f t="shared" si="356"/>
        <v>1</v>
      </c>
      <c r="W2247">
        <f t="shared" si="357"/>
        <v>1</v>
      </c>
      <c r="X2247">
        <f t="shared" si="358"/>
        <v>0.99999999999999989</v>
      </c>
      <c r="Y2247" t="str">
        <f t="shared" si="359"/>
        <v>Healthy</v>
      </c>
    </row>
    <row r="2248" spans="1:25" x14ac:dyDescent="0.35">
      <c r="A2248" t="s">
        <v>14</v>
      </c>
      <c r="B2248" t="s">
        <v>15</v>
      </c>
      <c r="C2248" t="s">
        <v>1312</v>
      </c>
      <c r="D2248" t="s">
        <v>1725</v>
      </c>
      <c r="E2248">
        <v>80875793</v>
      </c>
      <c r="F2248" t="s">
        <v>1726</v>
      </c>
      <c r="G2248" s="3">
        <v>47888</v>
      </c>
      <c r="H2248">
        <v>60</v>
      </c>
      <c r="I2248">
        <v>94</v>
      </c>
      <c r="J2248">
        <v>96</v>
      </c>
      <c r="K2248" s="4">
        <v>127456.32000000001</v>
      </c>
      <c r="L2248" s="4">
        <v>351.71428571428572</v>
      </c>
      <c r="M2248" s="4">
        <v>0.27294882209585702</v>
      </c>
      <c r="N2248" t="s">
        <v>25</v>
      </c>
      <c r="O2248" t="str">
        <f t="shared" si="350"/>
        <v>Low</v>
      </c>
      <c r="P2248" t="str">
        <f t="shared" si="351"/>
        <v>Low</v>
      </c>
      <c r="Q2248" t="str">
        <f t="shared" si="352"/>
        <v>Low</v>
      </c>
      <c r="R2248" t="s">
        <v>3310</v>
      </c>
      <c r="S2248" s="4">
        <f t="shared" ca="1" si="353"/>
        <v>1691</v>
      </c>
      <c r="T2248">
        <f t="shared" si="354"/>
        <v>1</v>
      </c>
      <c r="U2248">
        <f t="shared" si="355"/>
        <v>1</v>
      </c>
      <c r="V2248">
        <f t="shared" si="356"/>
        <v>1</v>
      </c>
      <c r="W2248">
        <f t="shared" si="357"/>
        <v>2</v>
      </c>
      <c r="X2248">
        <f t="shared" si="358"/>
        <v>1.0999999999999999</v>
      </c>
      <c r="Y2248" t="str">
        <f t="shared" si="359"/>
        <v>Healthy</v>
      </c>
    </row>
    <row r="2249" spans="1:25" x14ac:dyDescent="0.35">
      <c r="A2249" t="s">
        <v>14</v>
      </c>
      <c r="B2249" t="s">
        <v>15</v>
      </c>
      <c r="C2249" t="s">
        <v>1312</v>
      </c>
      <c r="D2249" t="s">
        <v>1725</v>
      </c>
      <c r="E2249">
        <v>80875793</v>
      </c>
      <c r="F2249" t="s">
        <v>1726</v>
      </c>
      <c r="G2249" s="3">
        <v>47877</v>
      </c>
      <c r="H2249">
        <v>60</v>
      </c>
      <c r="I2249">
        <v>94</v>
      </c>
      <c r="J2249">
        <v>24</v>
      </c>
      <c r="K2249" s="4">
        <v>31864.080000000002</v>
      </c>
      <c r="L2249" s="4">
        <v>351.71428571428572</v>
      </c>
      <c r="M2249" s="4">
        <v>6.8237205523964256E-2</v>
      </c>
      <c r="N2249" t="s">
        <v>25</v>
      </c>
      <c r="O2249" t="str">
        <f t="shared" si="350"/>
        <v>Low</v>
      </c>
      <c r="P2249" t="str">
        <f t="shared" si="351"/>
        <v>Low</v>
      </c>
      <c r="Q2249" t="str">
        <f t="shared" si="352"/>
        <v>Low</v>
      </c>
      <c r="R2249" t="s">
        <v>3317</v>
      </c>
      <c r="S2249" s="4">
        <f t="shared" ca="1" si="353"/>
        <v>1680</v>
      </c>
      <c r="T2249">
        <f t="shared" si="354"/>
        <v>1</v>
      </c>
      <c r="U2249">
        <f t="shared" si="355"/>
        <v>1</v>
      </c>
      <c r="V2249">
        <f t="shared" si="356"/>
        <v>1</v>
      </c>
      <c r="W2249">
        <f t="shared" si="357"/>
        <v>1</v>
      </c>
      <c r="X2249">
        <f t="shared" si="358"/>
        <v>0.99999999999999989</v>
      </c>
      <c r="Y2249" t="str">
        <f t="shared" si="359"/>
        <v>Healthy</v>
      </c>
    </row>
    <row r="2250" spans="1:25" x14ac:dyDescent="0.35">
      <c r="A2250" t="s">
        <v>14</v>
      </c>
      <c r="B2250" t="s">
        <v>15</v>
      </c>
      <c r="C2250" t="s">
        <v>1312</v>
      </c>
      <c r="D2250" t="s">
        <v>1725</v>
      </c>
      <c r="E2250">
        <v>80875793</v>
      </c>
      <c r="F2250" t="s">
        <v>1726</v>
      </c>
      <c r="G2250" s="3">
        <v>47898</v>
      </c>
      <c r="H2250">
        <v>60</v>
      </c>
      <c r="I2250">
        <v>95</v>
      </c>
      <c r="J2250">
        <v>96</v>
      </c>
      <c r="K2250" s="4">
        <v>127456.32000000001</v>
      </c>
      <c r="L2250" s="4">
        <v>351.71428571428572</v>
      </c>
      <c r="M2250" s="4">
        <v>0.27294882209585702</v>
      </c>
      <c r="N2250" t="s">
        <v>25</v>
      </c>
      <c r="O2250" t="str">
        <f t="shared" si="350"/>
        <v>Low</v>
      </c>
      <c r="P2250" t="str">
        <f t="shared" si="351"/>
        <v>Low</v>
      </c>
      <c r="Q2250" t="str">
        <f t="shared" si="352"/>
        <v>Low</v>
      </c>
      <c r="R2250" t="s">
        <v>3310</v>
      </c>
      <c r="S2250" s="4">
        <f t="shared" ca="1" si="353"/>
        <v>1701</v>
      </c>
      <c r="T2250">
        <f t="shared" si="354"/>
        <v>1</v>
      </c>
      <c r="U2250">
        <f t="shared" si="355"/>
        <v>1</v>
      </c>
      <c r="V2250">
        <f t="shared" si="356"/>
        <v>1</v>
      </c>
      <c r="W2250">
        <f t="shared" si="357"/>
        <v>2</v>
      </c>
      <c r="X2250">
        <f t="shared" si="358"/>
        <v>1.0999999999999999</v>
      </c>
      <c r="Y2250" t="str">
        <f t="shared" si="359"/>
        <v>Healthy</v>
      </c>
    </row>
    <row r="2251" spans="1:25" x14ac:dyDescent="0.35">
      <c r="A2251" t="s">
        <v>14</v>
      </c>
      <c r="B2251" t="s">
        <v>58</v>
      </c>
      <c r="C2251" t="s">
        <v>162</v>
      </c>
      <c r="D2251" t="s">
        <v>1192</v>
      </c>
      <c r="E2251">
        <v>80875796</v>
      </c>
      <c r="F2251" t="s">
        <v>1727</v>
      </c>
      <c r="G2251" s="3">
        <v>47855</v>
      </c>
      <c r="H2251">
        <v>60</v>
      </c>
      <c r="I2251">
        <v>92</v>
      </c>
      <c r="J2251">
        <v>19</v>
      </c>
      <c r="K2251" s="4">
        <v>40696.67</v>
      </c>
      <c r="L2251" s="4">
        <v>20</v>
      </c>
      <c r="M2251" s="4">
        <v>0.95</v>
      </c>
      <c r="N2251" t="s">
        <v>25</v>
      </c>
      <c r="O2251" t="str">
        <f t="shared" si="350"/>
        <v>Low</v>
      </c>
      <c r="P2251" t="str">
        <f t="shared" si="351"/>
        <v>Low</v>
      </c>
      <c r="Q2251" t="str">
        <f t="shared" si="352"/>
        <v>Low</v>
      </c>
      <c r="R2251" t="s">
        <v>3317</v>
      </c>
      <c r="S2251" s="4">
        <f t="shared" ca="1" si="353"/>
        <v>1658</v>
      </c>
      <c r="T2251">
        <f t="shared" si="354"/>
        <v>1</v>
      </c>
      <c r="U2251">
        <f t="shared" si="355"/>
        <v>1</v>
      </c>
      <c r="V2251">
        <f t="shared" si="356"/>
        <v>1</v>
      </c>
      <c r="W2251">
        <f t="shared" si="357"/>
        <v>1</v>
      </c>
      <c r="X2251">
        <f t="shared" si="358"/>
        <v>0.99999999999999989</v>
      </c>
      <c r="Y2251" t="str">
        <f t="shared" si="359"/>
        <v>Healthy</v>
      </c>
    </row>
    <row r="2252" spans="1:25" x14ac:dyDescent="0.35">
      <c r="A2252" t="s">
        <v>14</v>
      </c>
      <c r="B2252" t="s">
        <v>58</v>
      </c>
      <c r="C2252" t="s">
        <v>162</v>
      </c>
      <c r="D2252" t="s">
        <v>1192</v>
      </c>
      <c r="E2252">
        <v>80875796</v>
      </c>
      <c r="F2252" t="s">
        <v>1727</v>
      </c>
      <c r="G2252" s="3">
        <v>47833</v>
      </c>
      <c r="H2252">
        <v>60</v>
      </c>
      <c r="I2252">
        <v>91</v>
      </c>
      <c r="J2252">
        <v>15</v>
      </c>
      <c r="K2252" s="4">
        <v>32128.95</v>
      </c>
      <c r="L2252" s="4">
        <v>20</v>
      </c>
      <c r="M2252" s="4">
        <v>0.75</v>
      </c>
      <c r="N2252" t="s">
        <v>25</v>
      </c>
      <c r="O2252" t="str">
        <f t="shared" si="350"/>
        <v>Low</v>
      </c>
      <c r="P2252" t="str">
        <f t="shared" si="351"/>
        <v>Low</v>
      </c>
      <c r="Q2252" t="str">
        <f t="shared" si="352"/>
        <v>Low</v>
      </c>
      <c r="R2252" t="s">
        <v>3317</v>
      </c>
      <c r="S2252" s="4">
        <f t="shared" ca="1" si="353"/>
        <v>1636</v>
      </c>
      <c r="T2252">
        <f t="shared" si="354"/>
        <v>1</v>
      </c>
      <c r="U2252">
        <f t="shared" si="355"/>
        <v>1</v>
      </c>
      <c r="V2252">
        <f t="shared" si="356"/>
        <v>1</v>
      </c>
      <c r="W2252">
        <f t="shared" si="357"/>
        <v>1</v>
      </c>
      <c r="X2252">
        <f t="shared" si="358"/>
        <v>0.99999999999999989</v>
      </c>
      <c r="Y2252" t="str">
        <f t="shared" si="359"/>
        <v>Healthy</v>
      </c>
    </row>
    <row r="2253" spans="1:25" x14ac:dyDescent="0.35">
      <c r="A2253" t="s">
        <v>14</v>
      </c>
      <c r="B2253" t="s">
        <v>58</v>
      </c>
      <c r="C2253" t="s">
        <v>806</v>
      </c>
      <c r="D2253" t="s">
        <v>806</v>
      </c>
      <c r="E2253">
        <v>80875802</v>
      </c>
      <c r="F2253" t="s">
        <v>1728</v>
      </c>
      <c r="G2253" s="3">
        <v>47113</v>
      </c>
      <c r="H2253">
        <v>36</v>
      </c>
      <c r="I2253">
        <v>85</v>
      </c>
      <c r="J2253">
        <v>24</v>
      </c>
      <c r="K2253" s="4">
        <v>22607.279999999999</v>
      </c>
      <c r="L2253" s="4">
        <v>3.4285714285714284</v>
      </c>
      <c r="M2253" s="4">
        <v>7</v>
      </c>
      <c r="N2253" t="s">
        <v>19</v>
      </c>
      <c r="O2253" t="str">
        <f t="shared" si="350"/>
        <v>Low</v>
      </c>
      <c r="P2253" t="str">
        <f t="shared" si="351"/>
        <v>Medium</v>
      </c>
      <c r="Q2253" t="str">
        <f t="shared" si="352"/>
        <v>High</v>
      </c>
      <c r="R2253" t="s">
        <v>3317</v>
      </c>
      <c r="S2253" s="4">
        <f t="shared" ca="1" si="353"/>
        <v>916</v>
      </c>
      <c r="T2253">
        <f t="shared" si="354"/>
        <v>1</v>
      </c>
      <c r="U2253">
        <f t="shared" si="355"/>
        <v>2</v>
      </c>
      <c r="V2253">
        <f t="shared" si="356"/>
        <v>3</v>
      </c>
      <c r="W2253">
        <f t="shared" si="357"/>
        <v>1</v>
      </c>
      <c r="X2253">
        <f t="shared" si="358"/>
        <v>1.7000000000000002</v>
      </c>
      <c r="Y2253" t="str">
        <f t="shared" si="359"/>
        <v>Monitor</v>
      </c>
    </row>
    <row r="2254" spans="1:25" x14ac:dyDescent="0.35">
      <c r="A2254" t="s">
        <v>14</v>
      </c>
      <c r="B2254" t="s">
        <v>58</v>
      </c>
      <c r="C2254" t="s">
        <v>951</v>
      </c>
      <c r="D2254" t="s">
        <v>952</v>
      </c>
      <c r="E2254">
        <v>80875804</v>
      </c>
      <c r="F2254" t="s">
        <v>1729</v>
      </c>
      <c r="G2254" s="3">
        <v>47929</v>
      </c>
      <c r="H2254">
        <v>60</v>
      </c>
      <c r="I2254">
        <v>97</v>
      </c>
      <c r="J2254">
        <v>78</v>
      </c>
      <c r="K2254" s="4">
        <v>167070.54</v>
      </c>
      <c r="L2254" s="4">
        <v>29.142857142857142</v>
      </c>
      <c r="M2254" s="4">
        <v>2.6764705882352944</v>
      </c>
      <c r="N2254" t="s">
        <v>25</v>
      </c>
      <c r="O2254" t="str">
        <f t="shared" si="350"/>
        <v>Low</v>
      </c>
      <c r="P2254" t="str">
        <f t="shared" si="351"/>
        <v>Low</v>
      </c>
      <c r="Q2254" t="str">
        <f t="shared" si="352"/>
        <v>Low</v>
      </c>
      <c r="R2254" t="s">
        <v>3309</v>
      </c>
      <c r="S2254" s="4">
        <f t="shared" ca="1" si="353"/>
        <v>1732</v>
      </c>
      <c r="T2254">
        <f t="shared" si="354"/>
        <v>1</v>
      </c>
      <c r="U2254">
        <f t="shared" si="355"/>
        <v>1</v>
      </c>
      <c r="V2254">
        <f t="shared" si="356"/>
        <v>1</v>
      </c>
      <c r="W2254">
        <f t="shared" si="357"/>
        <v>3</v>
      </c>
      <c r="X2254">
        <f t="shared" si="358"/>
        <v>1.2</v>
      </c>
      <c r="Y2254" t="str">
        <f t="shared" si="359"/>
        <v>Healthy</v>
      </c>
    </row>
    <row r="2255" spans="1:25" x14ac:dyDescent="0.35">
      <c r="A2255" t="s">
        <v>41</v>
      </c>
      <c r="B2255" t="s">
        <v>54</v>
      </c>
      <c r="C2255" t="s">
        <v>293</v>
      </c>
      <c r="D2255" t="s">
        <v>1730</v>
      </c>
      <c r="E2255">
        <v>83900207</v>
      </c>
      <c r="F2255" t="s">
        <v>1731</v>
      </c>
      <c r="G2255" s="3">
        <v>46601</v>
      </c>
      <c r="H2255">
        <v>18</v>
      </c>
      <c r="I2255">
        <v>76</v>
      </c>
      <c r="J2255">
        <v>150</v>
      </c>
      <c r="K2255" s="4">
        <v>4344</v>
      </c>
      <c r="L2255" s="4">
        <v>13267.428571428571</v>
      </c>
      <c r="M2255" s="4">
        <v>1.1305883366353691E-2</v>
      </c>
      <c r="N2255" t="s">
        <v>25</v>
      </c>
      <c r="O2255" t="str">
        <f t="shared" si="350"/>
        <v>Low</v>
      </c>
      <c r="P2255" t="str">
        <f t="shared" si="351"/>
        <v>Low</v>
      </c>
      <c r="Q2255" t="str">
        <f t="shared" si="352"/>
        <v>Low</v>
      </c>
      <c r="R2255" t="s">
        <v>3317</v>
      </c>
      <c r="S2255" s="4">
        <f t="shared" ca="1" si="353"/>
        <v>404</v>
      </c>
      <c r="T2255">
        <f t="shared" si="354"/>
        <v>1</v>
      </c>
      <c r="U2255">
        <f t="shared" si="355"/>
        <v>1</v>
      </c>
      <c r="V2255">
        <f t="shared" si="356"/>
        <v>1</v>
      </c>
      <c r="W2255">
        <f t="shared" si="357"/>
        <v>1</v>
      </c>
      <c r="X2255">
        <f t="shared" si="358"/>
        <v>0.99999999999999989</v>
      </c>
      <c r="Y2255" t="str">
        <f t="shared" si="359"/>
        <v>Healthy</v>
      </c>
    </row>
    <row r="2256" spans="1:25" x14ac:dyDescent="0.35">
      <c r="A2256" t="s">
        <v>41</v>
      </c>
      <c r="B2256" t="s">
        <v>54</v>
      </c>
      <c r="C2256" t="s">
        <v>293</v>
      </c>
      <c r="D2256" t="s">
        <v>1730</v>
      </c>
      <c r="E2256">
        <v>83900207</v>
      </c>
      <c r="F2256" t="s">
        <v>1731</v>
      </c>
      <c r="G2256" s="3">
        <v>46649</v>
      </c>
      <c r="H2256">
        <v>18</v>
      </c>
      <c r="I2256">
        <v>85</v>
      </c>
      <c r="J2256">
        <v>177</v>
      </c>
      <c r="K2256" s="4">
        <v>5125.92</v>
      </c>
      <c r="L2256" s="4">
        <v>13267.428571428571</v>
      </c>
      <c r="M2256" s="4">
        <v>1.3340942372297356E-2</v>
      </c>
      <c r="N2256" t="s">
        <v>25</v>
      </c>
      <c r="O2256" t="str">
        <f t="shared" si="350"/>
        <v>Low</v>
      </c>
      <c r="P2256" t="str">
        <f t="shared" si="351"/>
        <v>Low</v>
      </c>
      <c r="Q2256" t="str">
        <f t="shared" si="352"/>
        <v>Low</v>
      </c>
      <c r="R2256" t="s">
        <v>3317</v>
      </c>
      <c r="S2256" s="4">
        <f t="shared" ca="1" si="353"/>
        <v>452</v>
      </c>
      <c r="T2256">
        <f t="shared" si="354"/>
        <v>1</v>
      </c>
      <c r="U2256">
        <f t="shared" si="355"/>
        <v>1</v>
      </c>
      <c r="V2256">
        <f t="shared" si="356"/>
        <v>1</v>
      </c>
      <c r="W2256">
        <f t="shared" si="357"/>
        <v>1</v>
      </c>
      <c r="X2256">
        <f t="shared" si="358"/>
        <v>0.99999999999999989</v>
      </c>
      <c r="Y2256" t="str">
        <f t="shared" si="359"/>
        <v>Healthy</v>
      </c>
    </row>
    <row r="2257" spans="1:25" x14ac:dyDescent="0.35">
      <c r="A2257" t="s">
        <v>41</v>
      </c>
      <c r="B2257" t="s">
        <v>54</v>
      </c>
      <c r="C2257" t="s">
        <v>293</v>
      </c>
      <c r="D2257" t="s">
        <v>1730</v>
      </c>
      <c r="E2257">
        <v>83900207</v>
      </c>
      <c r="F2257" t="s">
        <v>1731</v>
      </c>
      <c r="G2257" s="3">
        <v>46578</v>
      </c>
      <c r="H2257">
        <v>18</v>
      </c>
      <c r="I2257">
        <v>71</v>
      </c>
      <c r="J2257">
        <v>173</v>
      </c>
      <c r="K2257" s="4">
        <v>5010.08</v>
      </c>
      <c r="L2257" s="4">
        <v>13267.428571428571</v>
      </c>
      <c r="M2257" s="4">
        <v>1.3039452149194591E-2</v>
      </c>
      <c r="N2257" t="s">
        <v>25</v>
      </c>
      <c r="O2257" t="str">
        <f t="shared" si="350"/>
        <v>Low</v>
      </c>
      <c r="P2257" t="str">
        <f t="shared" si="351"/>
        <v>Low</v>
      </c>
      <c r="Q2257" t="str">
        <f t="shared" si="352"/>
        <v>Low</v>
      </c>
      <c r="R2257" t="s">
        <v>3317</v>
      </c>
      <c r="S2257" s="4">
        <f t="shared" ca="1" si="353"/>
        <v>381</v>
      </c>
      <c r="T2257">
        <f t="shared" si="354"/>
        <v>1</v>
      </c>
      <c r="U2257">
        <f t="shared" si="355"/>
        <v>1</v>
      </c>
      <c r="V2257">
        <f t="shared" si="356"/>
        <v>1</v>
      </c>
      <c r="W2257">
        <f t="shared" si="357"/>
        <v>1</v>
      </c>
      <c r="X2257">
        <f t="shared" si="358"/>
        <v>0.99999999999999989</v>
      </c>
      <c r="Y2257" t="str">
        <f t="shared" si="359"/>
        <v>Healthy</v>
      </c>
    </row>
    <row r="2258" spans="1:25" x14ac:dyDescent="0.35">
      <c r="A2258" t="s">
        <v>41</v>
      </c>
      <c r="B2258" t="s">
        <v>54</v>
      </c>
      <c r="C2258" t="s">
        <v>293</v>
      </c>
      <c r="D2258" t="s">
        <v>1730</v>
      </c>
      <c r="E2258">
        <v>83900207</v>
      </c>
      <c r="F2258" t="s">
        <v>1731</v>
      </c>
      <c r="G2258" s="3">
        <v>46610</v>
      </c>
      <c r="H2258">
        <v>18</v>
      </c>
      <c r="I2258">
        <v>77</v>
      </c>
      <c r="J2258">
        <v>180</v>
      </c>
      <c r="K2258" s="4">
        <v>5212.8</v>
      </c>
      <c r="L2258" s="4">
        <v>13267.428571428571</v>
      </c>
      <c r="M2258" s="4">
        <v>1.3567060039624429E-2</v>
      </c>
      <c r="N2258" t="s">
        <v>25</v>
      </c>
      <c r="O2258" t="str">
        <f t="shared" si="350"/>
        <v>Low</v>
      </c>
      <c r="P2258" t="str">
        <f t="shared" si="351"/>
        <v>Low</v>
      </c>
      <c r="Q2258" t="str">
        <f t="shared" si="352"/>
        <v>Low</v>
      </c>
      <c r="R2258" t="s">
        <v>3317</v>
      </c>
      <c r="S2258" s="4">
        <f t="shared" ca="1" si="353"/>
        <v>413</v>
      </c>
      <c r="T2258">
        <f t="shared" si="354"/>
        <v>1</v>
      </c>
      <c r="U2258">
        <f t="shared" si="355"/>
        <v>1</v>
      </c>
      <c r="V2258">
        <f t="shared" si="356"/>
        <v>1</v>
      </c>
      <c r="W2258">
        <f t="shared" si="357"/>
        <v>1</v>
      </c>
      <c r="X2258">
        <f t="shared" si="358"/>
        <v>0.99999999999999989</v>
      </c>
      <c r="Y2258" t="str">
        <f t="shared" si="359"/>
        <v>Healthy</v>
      </c>
    </row>
    <row r="2259" spans="1:25" x14ac:dyDescent="0.35">
      <c r="A2259" t="s">
        <v>41</v>
      </c>
      <c r="B2259" t="s">
        <v>54</v>
      </c>
      <c r="C2259" t="s">
        <v>293</v>
      </c>
      <c r="D2259" t="s">
        <v>1730</v>
      </c>
      <c r="E2259">
        <v>83900207</v>
      </c>
      <c r="F2259" t="s">
        <v>1731</v>
      </c>
      <c r="G2259" s="3">
        <v>46582</v>
      </c>
      <c r="H2259">
        <v>18</v>
      </c>
      <c r="I2259">
        <v>72</v>
      </c>
      <c r="J2259">
        <v>263</v>
      </c>
      <c r="K2259" s="4">
        <v>7616.48</v>
      </c>
      <c r="L2259" s="4">
        <v>13267.428571428571</v>
      </c>
      <c r="M2259" s="4">
        <v>1.9822982169006808E-2</v>
      </c>
      <c r="N2259" t="s">
        <v>25</v>
      </c>
      <c r="O2259" t="str">
        <f t="shared" si="350"/>
        <v>Low</v>
      </c>
      <c r="P2259" t="str">
        <f t="shared" si="351"/>
        <v>Low</v>
      </c>
      <c r="Q2259" t="str">
        <f t="shared" si="352"/>
        <v>Low</v>
      </c>
      <c r="R2259" t="s">
        <v>3317</v>
      </c>
      <c r="S2259" s="4">
        <f t="shared" ca="1" si="353"/>
        <v>385</v>
      </c>
      <c r="T2259">
        <f t="shared" si="354"/>
        <v>1</v>
      </c>
      <c r="U2259">
        <f t="shared" si="355"/>
        <v>1</v>
      </c>
      <c r="V2259">
        <f t="shared" si="356"/>
        <v>1</v>
      </c>
      <c r="W2259">
        <f t="shared" si="357"/>
        <v>1</v>
      </c>
      <c r="X2259">
        <f t="shared" si="358"/>
        <v>0.99999999999999989</v>
      </c>
      <c r="Y2259" t="str">
        <f t="shared" si="359"/>
        <v>Healthy</v>
      </c>
    </row>
    <row r="2260" spans="1:25" x14ac:dyDescent="0.35">
      <c r="A2260" t="s">
        <v>41</v>
      </c>
      <c r="B2260" t="s">
        <v>54</v>
      </c>
      <c r="C2260" t="s">
        <v>293</v>
      </c>
      <c r="D2260" t="s">
        <v>1730</v>
      </c>
      <c r="E2260">
        <v>83900207</v>
      </c>
      <c r="F2260" t="s">
        <v>1731</v>
      </c>
      <c r="G2260" s="3">
        <v>46645</v>
      </c>
      <c r="H2260">
        <v>18</v>
      </c>
      <c r="I2260">
        <v>84</v>
      </c>
      <c r="J2260">
        <v>300</v>
      </c>
      <c r="K2260" s="4">
        <v>8688</v>
      </c>
      <c r="L2260" s="4">
        <v>13267.428571428571</v>
      </c>
      <c r="M2260" s="4">
        <v>2.2611766732707383E-2</v>
      </c>
      <c r="N2260" t="s">
        <v>25</v>
      </c>
      <c r="O2260" t="str">
        <f t="shared" si="350"/>
        <v>Low</v>
      </c>
      <c r="P2260" t="str">
        <f t="shared" si="351"/>
        <v>Low</v>
      </c>
      <c r="Q2260" t="str">
        <f t="shared" si="352"/>
        <v>Low</v>
      </c>
      <c r="R2260" t="s">
        <v>3317</v>
      </c>
      <c r="S2260" s="4">
        <f t="shared" ca="1" si="353"/>
        <v>448</v>
      </c>
      <c r="T2260">
        <f t="shared" si="354"/>
        <v>1</v>
      </c>
      <c r="U2260">
        <f t="shared" si="355"/>
        <v>1</v>
      </c>
      <c r="V2260">
        <f t="shared" si="356"/>
        <v>1</v>
      </c>
      <c r="W2260">
        <f t="shared" si="357"/>
        <v>1</v>
      </c>
      <c r="X2260">
        <f t="shared" si="358"/>
        <v>0.99999999999999989</v>
      </c>
      <c r="Y2260" t="str">
        <f t="shared" si="359"/>
        <v>Healthy</v>
      </c>
    </row>
    <row r="2261" spans="1:25" x14ac:dyDescent="0.35">
      <c r="A2261" t="s">
        <v>41</v>
      </c>
      <c r="B2261" t="s">
        <v>54</v>
      </c>
      <c r="C2261" t="s">
        <v>293</v>
      </c>
      <c r="D2261" t="s">
        <v>1730</v>
      </c>
      <c r="E2261">
        <v>83900207</v>
      </c>
      <c r="F2261" t="s">
        <v>1731</v>
      </c>
      <c r="G2261" s="3">
        <v>46595</v>
      </c>
      <c r="H2261">
        <v>18</v>
      </c>
      <c r="I2261">
        <v>75</v>
      </c>
      <c r="J2261">
        <v>162</v>
      </c>
      <c r="K2261" s="4">
        <v>4691.5200000000004</v>
      </c>
      <c r="L2261" s="4">
        <v>13267.428571428571</v>
      </c>
      <c r="M2261" s="4">
        <v>1.2210354035661987E-2</v>
      </c>
      <c r="N2261" t="s">
        <v>25</v>
      </c>
      <c r="O2261" t="str">
        <f t="shared" si="350"/>
        <v>Low</v>
      </c>
      <c r="P2261" t="str">
        <f t="shared" si="351"/>
        <v>Low</v>
      </c>
      <c r="Q2261" t="str">
        <f t="shared" si="352"/>
        <v>Low</v>
      </c>
      <c r="R2261" t="s">
        <v>3317</v>
      </c>
      <c r="S2261" s="4">
        <f t="shared" ca="1" si="353"/>
        <v>398</v>
      </c>
      <c r="T2261">
        <f t="shared" si="354"/>
        <v>1</v>
      </c>
      <c r="U2261">
        <f t="shared" si="355"/>
        <v>1</v>
      </c>
      <c r="V2261">
        <f t="shared" si="356"/>
        <v>1</v>
      </c>
      <c r="W2261">
        <f t="shared" si="357"/>
        <v>1</v>
      </c>
      <c r="X2261">
        <f t="shared" si="358"/>
        <v>0.99999999999999989</v>
      </c>
      <c r="Y2261" t="str">
        <f t="shared" si="359"/>
        <v>Healthy</v>
      </c>
    </row>
    <row r="2262" spans="1:25" x14ac:dyDescent="0.35">
      <c r="A2262" t="s">
        <v>41</v>
      </c>
      <c r="B2262" t="s">
        <v>54</v>
      </c>
      <c r="C2262" t="s">
        <v>293</v>
      </c>
      <c r="D2262" t="s">
        <v>1730</v>
      </c>
      <c r="E2262">
        <v>83900207</v>
      </c>
      <c r="F2262" t="s">
        <v>1731</v>
      </c>
      <c r="G2262" s="3">
        <v>46579</v>
      </c>
      <c r="H2262">
        <v>18</v>
      </c>
      <c r="I2262">
        <v>72</v>
      </c>
      <c r="J2262">
        <v>215</v>
      </c>
      <c r="K2262" s="4">
        <v>6226.4</v>
      </c>
      <c r="L2262" s="4">
        <v>13267.428571428571</v>
      </c>
      <c r="M2262" s="4">
        <v>1.6205099491773626E-2</v>
      </c>
      <c r="N2262" t="s">
        <v>25</v>
      </c>
      <c r="O2262" t="str">
        <f t="shared" si="350"/>
        <v>Low</v>
      </c>
      <c r="P2262" t="str">
        <f t="shared" si="351"/>
        <v>Low</v>
      </c>
      <c r="Q2262" t="str">
        <f t="shared" si="352"/>
        <v>Low</v>
      </c>
      <c r="R2262" t="s">
        <v>3317</v>
      </c>
      <c r="S2262" s="4">
        <f t="shared" ca="1" si="353"/>
        <v>382</v>
      </c>
      <c r="T2262">
        <f t="shared" si="354"/>
        <v>1</v>
      </c>
      <c r="U2262">
        <f t="shared" si="355"/>
        <v>1</v>
      </c>
      <c r="V2262">
        <f t="shared" si="356"/>
        <v>1</v>
      </c>
      <c r="W2262">
        <f t="shared" si="357"/>
        <v>1</v>
      </c>
      <c r="X2262">
        <f t="shared" si="358"/>
        <v>0.99999999999999989</v>
      </c>
      <c r="Y2262" t="str">
        <f t="shared" si="359"/>
        <v>Healthy</v>
      </c>
    </row>
    <row r="2263" spans="1:25" x14ac:dyDescent="0.35">
      <c r="A2263" t="s">
        <v>41</v>
      </c>
      <c r="B2263" t="s">
        <v>54</v>
      </c>
      <c r="C2263" t="s">
        <v>293</v>
      </c>
      <c r="D2263" t="s">
        <v>1730</v>
      </c>
      <c r="E2263">
        <v>83900207</v>
      </c>
      <c r="F2263" t="s">
        <v>1731</v>
      </c>
      <c r="G2263" s="3">
        <v>46638</v>
      </c>
      <c r="H2263">
        <v>18</v>
      </c>
      <c r="I2263">
        <v>83</v>
      </c>
      <c r="J2263">
        <v>162</v>
      </c>
      <c r="K2263" s="4">
        <v>4691.5200000000004</v>
      </c>
      <c r="L2263" s="4">
        <v>13267.428571428571</v>
      </c>
      <c r="M2263" s="4">
        <v>1.2210354035661987E-2</v>
      </c>
      <c r="N2263" t="s">
        <v>25</v>
      </c>
      <c r="O2263" t="str">
        <f t="shared" si="350"/>
        <v>Low</v>
      </c>
      <c r="P2263" t="str">
        <f t="shared" si="351"/>
        <v>Low</v>
      </c>
      <c r="Q2263" t="str">
        <f t="shared" si="352"/>
        <v>Low</v>
      </c>
      <c r="R2263" t="s">
        <v>3317</v>
      </c>
      <c r="S2263" s="4">
        <f t="shared" ca="1" si="353"/>
        <v>441</v>
      </c>
      <c r="T2263">
        <f t="shared" si="354"/>
        <v>1</v>
      </c>
      <c r="U2263">
        <f t="shared" si="355"/>
        <v>1</v>
      </c>
      <c r="V2263">
        <f t="shared" si="356"/>
        <v>1</v>
      </c>
      <c r="W2263">
        <f t="shared" si="357"/>
        <v>1</v>
      </c>
      <c r="X2263">
        <f t="shared" si="358"/>
        <v>0.99999999999999989</v>
      </c>
      <c r="Y2263" t="str">
        <f t="shared" si="359"/>
        <v>Healthy</v>
      </c>
    </row>
    <row r="2264" spans="1:25" x14ac:dyDescent="0.35">
      <c r="A2264" t="s">
        <v>41</v>
      </c>
      <c r="B2264" t="s">
        <v>54</v>
      </c>
      <c r="C2264" t="s">
        <v>293</v>
      </c>
      <c r="D2264" t="s">
        <v>1730</v>
      </c>
      <c r="E2264">
        <v>83900207</v>
      </c>
      <c r="F2264" t="s">
        <v>1731</v>
      </c>
      <c r="G2264" s="3">
        <v>46645</v>
      </c>
      <c r="H2264">
        <v>18</v>
      </c>
      <c r="I2264">
        <v>84</v>
      </c>
      <c r="J2264">
        <v>240</v>
      </c>
      <c r="K2264" s="4">
        <v>6950.4</v>
      </c>
      <c r="L2264" s="4">
        <v>13267.428571428571</v>
      </c>
      <c r="M2264" s="4">
        <v>1.8089413386165907E-2</v>
      </c>
      <c r="N2264" t="s">
        <v>25</v>
      </c>
      <c r="O2264" t="str">
        <f t="shared" si="350"/>
        <v>Low</v>
      </c>
      <c r="P2264" t="str">
        <f t="shared" si="351"/>
        <v>Low</v>
      </c>
      <c r="Q2264" t="str">
        <f t="shared" si="352"/>
        <v>Low</v>
      </c>
      <c r="R2264" t="s">
        <v>3317</v>
      </c>
      <c r="S2264" s="4">
        <f t="shared" ca="1" si="353"/>
        <v>448</v>
      </c>
      <c r="T2264">
        <f t="shared" si="354"/>
        <v>1</v>
      </c>
      <c r="U2264">
        <f t="shared" si="355"/>
        <v>1</v>
      </c>
      <c r="V2264">
        <f t="shared" si="356"/>
        <v>1</v>
      </c>
      <c r="W2264">
        <f t="shared" si="357"/>
        <v>1</v>
      </c>
      <c r="X2264">
        <f t="shared" si="358"/>
        <v>0.99999999999999989</v>
      </c>
      <c r="Y2264" t="str">
        <f t="shared" si="359"/>
        <v>Healthy</v>
      </c>
    </row>
    <row r="2265" spans="1:25" x14ac:dyDescent="0.35">
      <c r="A2265" t="s">
        <v>41</v>
      </c>
      <c r="B2265" t="s">
        <v>54</v>
      </c>
      <c r="C2265" t="s">
        <v>293</v>
      </c>
      <c r="D2265" t="s">
        <v>1730</v>
      </c>
      <c r="E2265">
        <v>83900207</v>
      </c>
      <c r="F2265" t="s">
        <v>1731</v>
      </c>
      <c r="G2265" s="3">
        <v>46614</v>
      </c>
      <c r="H2265">
        <v>18</v>
      </c>
      <c r="I2265">
        <v>78</v>
      </c>
      <c r="J2265">
        <v>180</v>
      </c>
      <c r="K2265" s="4">
        <v>5212.8</v>
      </c>
      <c r="L2265" s="4">
        <v>13267.428571428571</v>
      </c>
      <c r="M2265" s="4">
        <v>1.3567060039624429E-2</v>
      </c>
      <c r="N2265" t="s">
        <v>25</v>
      </c>
      <c r="O2265" t="str">
        <f t="shared" si="350"/>
        <v>Low</v>
      </c>
      <c r="P2265" t="str">
        <f t="shared" si="351"/>
        <v>Low</v>
      </c>
      <c r="Q2265" t="str">
        <f t="shared" si="352"/>
        <v>Low</v>
      </c>
      <c r="R2265" t="s">
        <v>3317</v>
      </c>
      <c r="S2265" s="4">
        <f t="shared" ca="1" si="353"/>
        <v>417</v>
      </c>
      <c r="T2265">
        <f t="shared" si="354"/>
        <v>1</v>
      </c>
      <c r="U2265">
        <f t="shared" si="355"/>
        <v>1</v>
      </c>
      <c r="V2265">
        <f t="shared" si="356"/>
        <v>1</v>
      </c>
      <c r="W2265">
        <f t="shared" si="357"/>
        <v>1</v>
      </c>
      <c r="X2265">
        <f t="shared" si="358"/>
        <v>0.99999999999999989</v>
      </c>
      <c r="Y2265" t="str">
        <f t="shared" si="359"/>
        <v>Healthy</v>
      </c>
    </row>
    <row r="2266" spans="1:25" x14ac:dyDescent="0.35">
      <c r="A2266" t="s">
        <v>99</v>
      </c>
      <c r="B2266" t="s">
        <v>100</v>
      </c>
      <c r="C2266" t="s">
        <v>101</v>
      </c>
      <c r="D2266" t="s">
        <v>1732</v>
      </c>
      <c r="E2266">
        <v>80740039</v>
      </c>
      <c r="F2266" t="s">
        <v>1733</v>
      </c>
      <c r="G2266" s="3">
        <v>45615</v>
      </c>
      <c r="H2266">
        <v>18</v>
      </c>
      <c r="I2266">
        <v>0</v>
      </c>
      <c r="J2266">
        <v>37</v>
      </c>
      <c r="K2266" s="4">
        <v>9265.91</v>
      </c>
      <c r="L2266" s="4">
        <f>0</f>
        <v>0</v>
      </c>
      <c r="M2266" s="4">
        <f>999</f>
        <v>999</v>
      </c>
      <c r="N2266" t="s">
        <v>19</v>
      </c>
      <c r="O2266" t="str">
        <f t="shared" si="350"/>
        <v>High</v>
      </c>
      <c r="P2266" t="str">
        <f t="shared" si="351"/>
        <v>High</v>
      </c>
      <c r="Q2266" t="str">
        <f t="shared" si="352"/>
        <v>High</v>
      </c>
      <c r="R2266" t="s">
        <v>3317</v>
      </c>
      <c r="S2266" s="4">
        <f t="shared" ca="1" si="353"/>
        <v>-582</v>
      </c>
      <c r="T2266">
        <f t="shared" si="354"/>
        <v>3</v>
      </c>
      <c r="U2266">
        <f t="shared" si="355"/>
        <v>3</v>
      </c>
      <c r="V2266">
        <f t="shared" si="356"/>
        <v>3</v>
      </c>
      <c r="W2266">
        <f t="shared" si="357"/>
        <v>1</v>
      </c>
      <c r="X2266">
        <f t="shared" si="358"/>
        <v>2.8000000000000003</v>
      </c>
      <c r="Y2266" t="str">
        <f t="shared" si="359"/>
        <v>Move Immediately</v>
      </c>
    </row>
    <row r="2267" spans="1:25" x14ac:dyDescent="0.35">
      <c r="A2267" t="s">
        <v>41</v>
      </c>
      <c r="B2267" t="s">
        <v>54</v>
      </c>
      <c r="C2267" t="s">
        <v>293</v>
      </c>
      <c r="D2267" t="s">
        <v>1734</v>
      </c>
      <c r="E2267">
        <v>83900258</v>
      </c>
      <c r="F2267" t="s">
        <v>1735</v>
      </c>
      <c r="G2267" s="3">
        <v>46596</v>
      </c>
      <c r="H2267">
        <v>18</v>
      </c>
      <c r="I2267">
        <v>75</v>
      </c>
      <c r="J2267">
        <v>1</v>
      </c>
      <c r="K2267" s="4">
        <v>28.96</v>
      </c>
      <c r="L2267" s="4">
        <v>5889.5714285714284</v>
      </c>
      <c r="M2267" s="4">
        <v>1.6979164140005338E-4</v>
      </c>
      <c r="N2267" t="s">
        <v>25</v>
      </c>
      <c r="O2267" t="str">
        <f t="shared" si="350"/>
        <v>Low</v>
      </c>
      <c r="P2267" t="str">
        <f t="shared" si="351"/>
        <v>Low</v>
      </c>
      <c r="Q2267" t="str">
        <f t="shared" si="352"/>
        <v>Low</v>
      </c>
      <c r="R2267" t="s">
        <v>3317</v>
      </c>
      <c r="S2267" s="4">
        <f t="shared" ca="1" si="353"/>
        <v>399</v>
      </c>
      <c r="T2267">
        <f t="shared" si="354"/>
        <v>1</v>
      </c>
      <c r="U2267">
        <f t="shared" si="355"/>
        <v>1</v>
      </c>
      <c r="V2267">
        <f t="shared" si="356"/>
        <v>1</v>
      </c>
      <c r="W2267">
        <f t="shared" si="357"/>
        <v>1</v>
      </c>
      <c r="X2267">
        <f t="shared" si="358"/>
        <v>0.99999999999999989</v>
      </c>
      <c r="Y2267" t="str">
        <f t="shared" si="359"/>
        <v>Healthy</v>
      </c>
    </row>
    <row r="2268" spans="1:25" x14ac:dyDescent="0.35">
      <c r="A2268" t="s">
        <v>99</v>
      </c>
      <c r="B2268" t="s">
        <v>100</v>
      </c>
      <c r="C2268" t="s">
        <v>101</v>
      </c>
      <c r="D2268" t="s">
        <v>1732</v>
      </c>
      <c r="E2268">
        <v>80740039</v>
      </c>
      <c r="F2268" t="s">
        <v>1733</v>
      </c>
      <c r="G2268" s="3">
        <v>45519</v>
      </c>
      <c r="H2268">
        <v>18</v>
      </c>
      <c r="I2268">
        <v>0</v>
      </c>
      <c r="J2268">
        <v>18</v>
      </c>
      <c r="K2268" s="4">
        <v>4507.74</v>
      </c>
      <c r="L2268" s="4">
        <f>0</f>
        <v>0</v>
      </c>
      <c r="M2268" s="4">
        <f>999</f>
        <v>999</v>
      </c>
      <c r="N2268" t="s">
        <v>19</v>
      </c>
      <c r="O2268" t="str">
        <f t="shared" si="350"/>
        <v>High</v>
      </c>
      <c r="P2268" t="str">
        <f t="shared" si="351"/>
        <v>High</v>
      </c>
      <c r="Q2268" t="str">
        <f t="shared" si="352"/>
        <v>High</v>
      </c>
      <c r="R2268" t="s">
        <v>3317</v>
      </c>
      <c r="S2268" s="4">
        <f t="shared" ca="1" si="353"/>
        <v>-678</v>
      </c>
      <c r="T2268">
        <f t="shared" si="354"/>
        <v>3</v>
      </c>
      <c r="U2268">
        <f t="shared" si="355"/>
        <v>3</v>
      </c>
      <c r="V2268">
        <f t="shared" si="356"/>
        <v>3</v>
      </c>
      <c r="W2268">
        <f t="shared" si="357"/>
        <v>1</v>
      </c>
      <c r="X2268">
        <f t="shared" si="358"/>
        <v>2.8000000000000003</v>
      </c>
      <c r="Y2268" t="str">
        <f t="shared" si="359"/>
        <v>Move Immediately</v>
      </c>
    </row>
    <row r="2269" spans="1:25" x14ac:dyDescent="0.35">
      <c r="A2269" t="s">
        <v>210</v>
      </c>
      <c r="B2269" t="s">
        <v>211</v>
      </c>
      <c r="C2269" t="s">
        <v>338</v>
      </c>
      <c r="D2269" t="s">
        <v>1736</v>
      </c>
      <c r="E2269">
        <v>80741843</v>
      </c>
      <c r="F2269" t="s">
        <v>1737</v>
      </c>
      <c r="G2269" s="3">
        <v>47199</v>
      </c>
      <c r="H2269">
        <v>60</v>
      </c>
      <c r="I2269">
        <v>56</v>
      </c>
      <c r="J2269">
        <v>3</v>
      </c>
      <c r="K2269" s="4">
        <v>1007.97</v>
      </c>
      <c r="L2269" s="4">
        <v>2.2857142857142856</v>
      </c>
      <c r="M2269" s="4">
        <v>1.3125</v>
      </c>
      <c r="N2269" t="s">
        <v>25</v>
      </c>
      <c r="O2269" t="str">
        <f t="shared" si="350"/>
        <v>Low</v>
      </c>
      <c r="P2269" t="str">
        <f t="shared" si="351"/>
        <v>Low</v>
      </c>
      <c r="Q2269" t="str">
        <f t="shared" si="352"/>
        <v>High</v>
      </c>
      <c r="R2269" t="s">
        <v>3317</v>
      </c>
      <c r="S2269" s="4">
        <f t="shared" ca="1" si="353"/>
        <v>1002</v>
      </c>
      <c r="T2269">
        <f t="shared" si="354"/>
        <v>1</v>
      </c>
      <c r="U2269">
        <f t="shared" si="355"/>
        <v>1</v>
      </c>
      <c r="V2269">
        <f t="shared" si="356"/>
        <v>3</v>
      </c>
      <c r="W2269">
        <f t="shared" si="357"/>
        <v>1</v>
      </c>
      <c r="X2269">
        <f t="shared" si="358"/>
        <v>1.4000000000000001</v>
      </c>
      <c r="Y2269" t="str">
        <f t="shared" si="359"/>
        <v>Healthy</v>
      </c>
    </row>
    <row r="2270" spans="1:25" x14ac:dyDescent="0.35">
      <c r="A2270" t="s">
        <v>210</v>
      </c>
      <c r="B2270" t="s">
        <v>211</v>
      </c>
      <c r="C2270" t="s">
        <v>338</v>
      </c>
      <c r="D2270" t="s">
        <v>1736</v>
      </c>
      <c r="E2270">
        <v>80741843</v>
      </c>
      <c r="F2270" t="s">
        <v>1737</v>
      </c>
      <c r="G2270" s="3">
        <v>47187</v>
      </c>
      <c r="H2270">
        <v>60</v>
      </c>
      <c r="I2270">
        <v>55</v>
      </c>
      <c r="J2270">
        <v>7</v>
      </c>
      <c r="K2270" s="4">
        <v>2393.9299999999998</v>
      </c>
      <c r="L2270" s="4">
        <v>2.2857142857142856</v>
      </c>
      <c r="M2270" s="4">
        <v>3.0625</v>
      </c>
      <c r="N2270" t="s">
        <v>25</v>
      </c>
      <c r="O2270" t="str">
        <f t="shared" si="350"/>
        <v>Low</v>
      </c>
      <c r="P2270" t="str">
        <f t="shared" si="351"/>
        <v>Low</v>
      </c>
      <c r="Q2270" t="str">
        <f t="shared" si="352"/>
        <v>High</v>
      </c>
      <c r="R2270" t="s">
        <v>3317</v>
      </c>
      <c r="S2270" s="4">
        <f t="shared" ca="1" si="353"/>
        <v>990</v>
      </c>
      <c r="T2270">
        <f t="shared" si="354"/>
        <v>1</v>
      </c>
      <c r="U2270">
        <f t="shared" si="355"/>
        <v>1</v>
      </c>
      <c r="V2270">
        <f t="shared" si="356"/>
        <v>3</v>
      </c>
      <c r="W2270">
        <f t="shared" si="357"/>
        <v>1</v>
      </c>
      <c r="X2270">
        <f t="shared" si="358"/>
        <v>1.4000000000000001</v>
      </c>
      <c r="Y2270" t="str">
        <f t="shared" si="359"/>
        <v>Healthy</v>
      </c>
    </row>
    <row r="2271" spans="1:25" x14ac:dyDescent="0.35">
      <c r="A2271" t="s">
        <v>210</v>
      </c>
      <c r="B2271" t="s">
        <v>211</v>
      </c>
      <c r="C2271" t="s">
        <v>338</v>
      </c>
      <c r="D2271" t="s">
        <v>1736</v>
      </c>
      <c r="E2271">
        <v>80741843</v>
      </c>
      <c r="F2271" t="s">
        <v>1737</v>
      </c>
      <c r="G2271" s="3">
        <v>47412</v>
      </c>
      <c r="H2271">
        <v>60</v>
      </c>
      <c r="I2271">
        <v>68</v>
      </c>
      <c r="J2271">
        <v>2</v>
      </c>
      <c r="K2271" s="4">
        <v>671.98</v>
      </c>
      <c r="L2271" s="4">
        <v>2.2857142857142856</v>
      </c>
      <c r="M2271" s="4">
        <v>0.875</v>
      </c>
      <c r="N2271" t="s">
        <v>25</v>
      </c>
      <c r="O2271" t="str">
        <f t="shared" si="350"/>
        <v>Low</v>
      </c>
      <c r="P2271" t="str">
        <f t="shared" si="351"/>
        <v>Low</v>
      </c>
      <c r="Q2271" t="str">
        <f t="shared" si="352"/>
        <v>High</v>
      </c>
      <c r="R2271" t="s">
        <v>3317</v>
      </c>
      <c r="S2271" s="4">
        <f t="shared" ca="1" si="353"/>
        <v>1215</v>
      </c>
      <c r="T2271">
        <f t="shared" si="354"/>
        <v>1</v>
      </c>
      <c r="U2271">
        <f t="shared" si="355"/>
        <v>1</v>
      </c>
      <c r="V2271">
        <f t="shared" si="356"/>
        <v>3</v>
      </c>
      <c r="W2271">
        <f t="shared" si="357"/>
        <v>1</v>
      </c>
      <c r="X2271">
        <f t="shared" si="358"/>
        <v>1.4000000000000001</v>
      </c>
      <c r="Y2271" t="str">
        <f t="shared" si="359"/>
        <v>Healthy</v>
      </c>
    </row>
    <row r="2272" spans="1:25" x14ac:dyDescent="0.35">
      <c r="A2272" t="s">
        <v>210</v>
      </c>
      <c r="B2272" t="s">
        <v>211</v>
      </c>
      <c r="C2272" t="s">
        <v>338</v>
      </c>
      <c r="D2272" t="s">
        <v>1736</v>
      </c>
      <c r="E2272">
        <v>80741843</v>
      </c>
      <c r="F2272" t="s">
        <v>1737</v>
      </c>
      <c r="G2272" s="3">
        <v>46597</v>
      </c>
      <c r="H2272">
        <v>60</v>
      </c>
      <c r="I2272">
        <v>23</v>
      </c>
      <c r="J2272">
        <v>3</v>
      </c>
      <c r="K2272" s="4">
        <v>1007.97</v>
      </c>
      <c r="L2272" s="4">
        <v>2.2857142857142856</v>
      </c>
      <c r="M2272" s="4">
        <v>1.3125</v>
      </c>
      <c r="N2272" t="s">
        <v>25</v>
      </c>
      <c r="O2272" t="str">
        <f t="shared" si="350"/>
        <v>Medium</v>
      </c>
      <c r="P2272" t="str">
        <f t="shared" si="351"/>
        <v>Low</v>
      </c>
      <c r="Q2272" t="str">
        <f t="shared" si="352"/>
        <v>High</v>
      </c>
      <c r="R2272" t="s">
        <v>3317</v>
      </c>
      <c r="S2272" s="4">
        <f t="shared" ca="1" si="353"/>
        <v>400</v>
      </c>
      <c r="T2272">
        <f t="shared" si="354"/>
        <v>2</v>
      </c>
      <c r="U2272">
        <f t="shared" si="355"/>
        <v>1</v>
      </c>
      <c r="V2272">
        <f t="shared" si="356"/>
        <v>3</v>
      </c>
      <c r="W2272">
        <f t="shared" si="357"/>
        <v>1</v>
      </c>
      <c r="X2272">
        <f t="shared" si="358"/>
        <v>1.8000000000000003</v>
      </c>
      <c r="Y2272" t="str">
        <f t="shared" si="359"/>
        <v>Monitor</v>
      </c>
    </row>
    <row r="2273" spans="1:25" x14ac:dyDescent="0.35">
      <c r="A2273" t="s">
        <v>41</v>
      </c>
      <c r="B2273" t="s">
        <v>54</v>
      </c>
      <c r="C2273" t="s">
        <v>293</v>
      </c>
      <c r="D2273" t="s">
        <v>1738</v>
      </c>
      <c r="E2273">
        <v>83900262</v>
      </c>
      <c r="F2273" t="s">
        <v>1739</v>
      </c>
      <c r="G2273" s="3">
        <v>46648</v>
      </c>
      <c r="H2273">
        <v>18</v>
      </c>
      <c r="I2273">
        <v>84</v>
      </c>
      <c r="J2273">
        <v>60</v>
      </c>
      <c r="K2273" s="4">
        <v>1737.6</v>
      </c>
      <c r="L2273" s="4">
        <v>106409.71428571429</v>
      </c>
      <c r="M2273" s="4">
        <v>5.6385829435551E-4</v>
      </c>
      <c r="N2273" t="s">
        <v>25</v>
      </c>
      <c r="O2273" t="str">
        <f t="shared" si="350"/>
        <v>Low</v>
      </c>
      <c r="P2273" t="str">
        <f t="shared" si="351"/>
        <v>Low</v>
      </c>
      <c r="Q2273" t="str">
        <f t="shared" si="352"/>
        <v>Low</v>
      </c>
      <c r="R2273" t="s">
        <v>3317</v>
      </c>
      <c r="S2273" s="4">
        <f t="shared" ca="1" si="353"/>
        <v>451</v>
      </c>
      <c r="T2273">
        <f t="shared" si="354"/>
        <v>1</v>
      </c>
      <c r="U2273">
        <f t="shared" si="355"/>
        <v>1</v>
      </c>
      <c r="V2273">
        <f t="shared" si="356"/>
        <v>1</v>
      </c>
      <c r="W2273">
        <f t="shared" si="357"/>
        <v>1</v>
      </c>
      <c r="X2273">
        <f t="shared" si="358"/>
        <v>0.99999999999999989</v>
      </c>
      <c r="Y2273" t="str">
        <f t="shared" si="359"/>
        <v>Healthy</v>
      </c>
    </row>
    <row r="2274" spans="1:25" x14ac:dyDescent="0.35">
      <c r="A2274" t="s">
        <v>41</v>
      </c>
      <c r="B2274" t="s">
        <v>54</v>
      </c>
      <c r="C2274" t="s">
        <v>293</v>
      </c>
      <c r="D2274" t="s">
        <v>1738</v>
      </c>
      <c r="E2274">
        <v>83900262</v>
      </c>
      <c r="F2274" t="s">
        <v>1739</v>
      </c>
      <c r="G2274" s="3">
        <v>46620</v>
      </c>
      <c r="H2274">
        <v>18</v>
      </c>
      <c r="I2274">
        <v>79</v>
      </c>
      <c r="J2274">
        <v>60</v>
      </c>
      <c r="K2274" s="4">
        <v>1737.6</v>
      </c>
      <c r="L2274" s="4">
        <v>106409.71428571429</v>
      </c>
      <c r="M2274" s="4">
        <v>5.6385829435551E-4</v>
      </c>
      <c r="N2274" t="s">
        <v>25</v>
      </c>
      <c r="O2274" t="str">
        <f t="shared" si="350"/>
        <v>Low</v>
      </c>
      <c r="P2274" t="str">
        <f t="shared" si="351"/>
        <v>Low</v>
      </c>
      <c r="Q2274" t="str">
        <f t="shared" si="352"/>
        <v>Low</v>
      </c>
      <c r="R2274" t="s">
        <v>3317</v>
      </c>
      <c r="S2274" s="4">
        <f t="shared" ca="1" si="353"/>
        <v>423</v>
      </c>
      <c r="T2274">
        <f t="shared" si="354"/>
        <v>1</v>
      </c>
      <c r="U2274">
        <f t="shared" si="355"/>
        <v>1</v>
      </c>
      <c r="V2274">
        <f t="shared" si="356"/>
        <v>1</v>
      </c>
      <c r="W2274">
        <f t="shared" si="357"/>
        <v>1</v>
      </c>
      <c r="X2274">
        <f t="shared" si="358"/>
        <v>0.99999999999999989</v>
      </c>
      <c r="Y2274" t="str">
        <f t="shared" si="359"/>
        <v>Healthy</v>
      </c>
    </row>
    <row r="2275" spans="1:25" x14ac:dyDescent="0.35">
      <c r="A2275" t="s">
        <v>41</v>
      </c>
      <c r="B2275" t="s">
        <v>54</v>
      </c>
      <c r="C2275" t="s">
        <v>293</v>
      </c>
      <c r="D2275" t="s">
        <v>1740</v>
      </c>
      <c r="E2275">
        <v>83905764</v>
      </c>
      <c r="F2275" t="s">
        <v>1741</v>
      </c>
      <c r="G2275" s="3">
        <v>46652</v>
      </c>
      <c r="H2275">
        <v>18</v>
      </c>
      <c r="I2275">
        <v>85</v>
      </c>
      <c r="J2275">
        <v>200</v>
      </c>
      <c r="K2275" s="4">
        <v>46334</v>
      </c>
      <c r="L2275" s="4">
        <v>2160</v>
      </c>
      <c r="M2275" s="4">
        <v>9.2592592592592587E-2</v>
      </c>
      <c r="N2275" t="s">
        <v>25</v>
      </c>
      <c r="O2275" t="str">
        <f t="shared" si="350"/>
        <v>Low</v>
      </c>
      <c r="P2275" t="str">
        <f t="shared" si="351"/>
        <v>Low</v>
      </c>
      <c r="Q2275" t="str">
        <f t="shared" si="352"/>
        <v>Low</v>
      </c>
      <c r="R2275" t="s">
        <v>3317</v>
      </c>
      <c r="S2275" s="4">
        <f t="shared" ca="1" si="353"/>
        <v>455</v>
      </c>
      <c r="T2275">
        <f t="shared" si="354"/>
        <v>1</v>
      </c>
      <c r="U2275">
        <f t="shared" si="355"/>
        <v>1</v>
      </c>
      <c r="V2275">
        <f t="shared" si="356"/>
        <v>1</v>
      </c>
      <c r="W2275">
        <f t="shared" si="357"/>
        <v>1</v>
      </c>
      <c r="X2275">
        <f t="shared" si="358"/>
        <v>0.99999999999999989</v>
      </c>
      <c r="Y2275" t="str">
        <f t="shared" si="359"/>
        <v>Healthy</v>
      </c>
    </row>
    <row r="2276" spans="1:25" x14ac:dyDescent="0.35">
      <c r="A2276" t="s">
        <v>41</v>
      </c>
      <c r="B2276" t="s">
        <v>54</v>
      </c>
      <c r="C2276" t="s">
        <v>293</v>
      </c>
      <c r="D2276" t="s">
        <v>1740</v>
      </c>
      <c r="E2276">
        <v>83905764</v>
      </c>
      <c r="F2276" t="s">
        <v>1741</v>
      </c>
      <c r="G2276" s="3">
        <v>46642</v>
      </c>
      <c r="H2276">
        <v>18</v>
      </c>
      <c r="I2276">
        <v>83</v>
      </c>
      <c r="J2276">
        <v>80</v>
      </c>
      <c r="K2276" s="4">
        <v>18533.599999999999</v>
      </c>
      <c r="L2276" s="4">
        <v>2160</v>
      </c>
      <c r="M2276" s="4">
        <v>3.7037037037037035E-2</v>
      </c>
      <c r="N2276" t="s">
        <v>25</v>
      </c>
      <c r="O2276" t="str">
        <f t="shared" si="350"/>
        <v>Low</v>
      </c>
      <c r="P2276" t="str">
        <f t="shared" si="351"/>
        <v>Low</v>
      </c>
      <c r="Q2276" t="str">
        <f t="shared" si="352"/>
        <v>Low</v>
      </c>
      <c r="R2276" t="s">
        <v>3317</v>
      </c>
      <c r="S2276" s="4">
        <f t="shared" ca="1" si="353"/>
        <v>445</v>
      </c>
      <c r="T2276">
        <f t="shared" si="354"/>
        <v>1</v>
      </c>
      <c r="U2276">
        <f t="shared" si="355"/>
        <v>1</v>
      </c>
      <c r="V2276">
        <f t="shared" si="356"/>
        <v>1</v>
      </c>
      <c r="W2276">
        <f t="shared" si="357"/>
        <v>1</v>
      </c>
      <c r="X2276">
        <f t="shared" si="358"/>
        <v>0.99999999999999989</v>
      </c>
      <c r="Y2276" t="str">
        <f t="shared" si="359"/>
        <v>Healthy</v>
      </c>
    </row>
    <row r="2277" spans="1:25" x14ac:dyDescent="0.35">
      <c r="A2277" t="s">
        <v>41</v>
      </c>
      <c r="B2277" t="s">
        <v>54</v>
      </c>
      <c r="C2277" t="s">
        <v>293</v>
      </c>
      <c r="D2277" t="s">
        <v>1740</v>
      </c>
      <c r="E2277">
        <v>83905764</v>
      </c>
      <c r="F2277" t="s">
        <v>1741</v>
      </c>
      <c r="G2277" s="3">
        <v>46615</v>
      </c>
      <c r="H2277">
        <v>18</v>
      </c>
      <c r="I2277">
        <v>78</v>
      </c>
      <c r="J2277">
        <v>80</v>
      </c>
      <c r="K2277" s="4">
        <v>18533.599999999999</v>
      </c>
      <c r="L2277" s="4">
        <v>2160</v>
      </c>
      <c r="M2277" s="4">
        <v>3.7037037037037035E-2</v>
      </c>
      <c r="N2277" t="s">
        <v>25</v>
      </c>
      <c r="O2277" t="str">
        <f t="shared" si="350"/>
        <v>Low</v>
      </c>
      <c r="P2277" t="str">
        <f t="shared" si="351"/>
        <v>Low</v>
      </c>
      <c r="Q2277" t="str">
        <f t="shared" si="352"/>
        <v>Low</v>
      </c>
      <c r="R2277" t="s">
        <v>3317</v>
      </c>
      <c r="S2277" s="4">
        <f t="shared" ca="1" si="353"/>
        <v>418</v>
      </c>
      <c r="T2277">
        <f t="shared" si="354"/>
        <v>1</v>
      </c>
      <c r="U2277">
        <f t="shared" si="355"/>
        <v>1</v>
      </c>
      <c r="V2277">
        <f t="shared" si="356"/>
        <v>1</v>
      </c>
      <c r="W2277">
        <f t="shared" si="357"/>
        <v>1</v>
      </c>
      <c r="X2277">
        <f t="shared" si="358"/>
        <v>0.99999999999999989</v>
      </c>
      <c r="Y2277" t="str">
        <f t="shared" si="359"/>
        <v>Healthy</v>
      </c>
    </row>
    <row r="2278" spans="1:25" x14ac:dyDescent="0.35">
      <c r="A2278" t="s">
        <v>41</v>
      </c>
      <c r="B2278" t="s">
        <v>54</v>
      </c>
      <c r="C2278" t="s">
        <v>293</v>
      </c>
      <c r="D2278" t="s">
        <v>1740</v>
      </c>
      <c r="E2278">
        <v>83905764</v>
      </c>
      <c r="F2278" t="s">
        <v>1741</v>
      </c>
      <c r="G2278" s="3">
        <v>46547</v>
      </c>
      <c r="H2278">
        <v>18</v>
      </c>
      <c r="I2278">
        <v>66</v>
      </c>
      <c r="J2278">
        <v>40</v>
      </c>
      <c r="K2278" s="4">
        <v>9266.7999999999993</v>
      </c>
      <c r="L2278" s="4">
        <v>2160</v>
      </c>
      <c r="M2278" s="4">
        <v>1.8518518518518517E-2</v>
      </c>
      <c r="N2278" t="s">
        <v>25</v>
      </c>
      <c r="O2278" t="str">
        <f t="shared" si="350"/>
        <v>Low</v>
      </c>
      <c r="P2278" t="str">
        <f t="shared" si="351"/>
        <v>Low</v>
      </c>
      <c r="Q2278" t="str">
        <f t="shared" si="352"/>
        <v>Low</v>
      </c>
      <c r="R2278" t="s">
        <v>3317</v>
      </c>
      <c r="S2278" s="4">
        <f t="shared" ca="1" si="353"/>
        <v>350</v>
      </c>
      <c r="T2278">
        <f t="shared" si="354"/>
        <v>1</v>
      </c>
      <c r="U2278">
        <f t="shared" si="355"/>
        <v>1</v>
      </c>
      <c r="V2278">
        <f t="shared" si="356"/>
        <v>1</v>
      </c>
      <c r="W2278">
        <f t="shared" si="357"/>
        <v>1</v>
      </c>
      <c r="X2278">
        <f t="shared" si="358"/>
        <v>0.99999999999999989</v>
      </c>
      <c r="Y2278" t="str">
        <f t="shared" si="359"/>
        <v>Healthy</v>
      </c>
    </row>
    <row r="2279" spans="1:25" x14ac:dyDescent="0.35">
      <c r="A2279" t="s">
        <v>41</v>
      </c>
      <c r="B2279" t="s">
        <v>54</v>
      </c>
      <c r="C2279" t="s">
        <v>293</v>
      </c>
      <c r="D2279" t="s">
        <v>1740</v>
      </c>
      <c r="E2279">
        <v>83905764</v>
      </c>
      <c r="F2279" t="s">
        <v>1741</v>
      </c>
      <c r="G2279" s="3">
        <v>46616</v>
      </c>
      <c r="H2279">
        <v>18</v>
      </c>
      <c r="I2279">
        <v>79</v>
      </c>
      <c r="J2279">
        <v>17</v>
      </c>
      <c r="K2279" s="4">
        <v>3938.39</v>
      </c>
      <c r="L2279" s="4">
        <v>2160</v>
      </c>
      <c r="M2279" s="4">
        <v>7.8703703703703696E-3</v>
      </c>
      <c r="N2279" t="s">
        <v>25</v>
      </c>
      <c r="O2279" t="str">
        <f t="shared" si="350"/>
        <v>Low</v>
      </c>
      <c r="P2279" t="str">
        <f t="shared" si="351"/>
        <v>Low</v>
      </c>
      <c r="Q2279" t="str">
        <f t="shared" si="352"/>
        <v>Low</v>
      </c>
      <c r="R2279" t="s">
        <v>3317</v>
      </c>
      <c r="S2279" s="4">
        <f t="shared" ca="1" si="353"/>
        <v>419</v>
      </c>
      <c r="T2279">
        <f t="shared" si="354"/>
        <v>1</v>
      </c>
      <c r="U2279">
        <f t="shared" si="355"/>
        <v>1</v>
      </c>
      <c r="V2279">
        <f t="shared" si="356"/>
        <v>1</v>
      </c>
      <c r="W2279">
        <f t="shared" si="357"/>
        <v>1</v>
      </c>
      <c r="X2279">
        <f t="shared" si="358"/>
        <v>0.99999999999999989</v>
      </c>
      <c r="Y2279" t="str">
        <f t="shared" si="359"/>
        <v>Healthy</v>
      </c>
    </row>
    <row r="2280" spans="1:25" x14ac:dyDescent="0.35">
      <c r="A2280" t="s">
        <v>41</v>
      </c>
      <c r="B2280" t="s">
        <v>54</v>
      </c>
      <c r="C2280" t="s">
        <v>293</v>
      </c>
      <c r="D2280" t="s">
        <v>1742</v>
      </c>
      <c r="E2280">
        <v>83905765</v>
      </c>
      <c r="F2280" t="s">
        <v>1743</v>
      </c>
      <c r="G2280" s="3">
        <v>46546</v>
      </c>
      <c r="H2280">
        <v>18</v>
      </c>
      <c r="I2280">
        <v>66</v>
      </c>
      <c r="J2280">
        <v>40</v>
      </c>
      <c r="K2280" s="4">
        <v>9266.7999999999993</v>
      </c>
      <c r="L2280" s="4">
        <v>4741.7142857142853</v>
      </c>
      <c r="M2280" s="4">
        <v>8.4357676548565928E-3</v>
      </c>
      <c r="N2280" t="s">
        <v>25</v>
      </c>
      <c r="O2280" t="str">
        <f t="shared" si="350"/>
        <v>Low</v>
      </c>
      <c r="P2280" t="str">
        <f t="shared" si="351"/>
        <v>Low</v>
      </c>
      <c r="Q2280" t="str">
        <f t="shared" si="352"/>
        <v>Low</v>
      </c>
      <c r="R2280" t="s">
        <v>3317</v>
      </c>
      <c r="S2280" s="4">
        <f t="shared" ca="1" si="353"/>
        <v>349</v>
      </c>
      <c r="T2280">
        <f t="shared" si="354"/>
        <v>1</v>
      </c>
      <c r="U2280">
        <f t="shared" si="355"/>
        <v>1</v>
      </c>
      <c r="V2280">
        <f t="shared" si="356"/>
        <v>1</v>
      </c>
      <c r="W2280">
        <f t="shared" si="357"/>
        <v>1</v>
      </c>
      <c r="X2280">
        <f t="shared" si="358"/>
        <v>0.99999999999999989</v>
      </c>
      <c r="Y2280" t="str">
        <f t="shared" si="359"/>
        <v>Healthy</v>
      </c>
    </row>
    <row r="2281" spans="1:25" x14ac:dyDescent="0.35">
      <c r="A2281" t="s">
        <v>41</v>
      </c>
      <c r="B2281" t="s">
        <v>54</v>
      </c>
      <c r="C2281" t="s">
        <v>293</v>
      </c>
      <c r="D2281" t="s">
        <v>1742</v>
      </c>
      <c r="E2281">
        <v>83905765</v>
      </c>
      <c r="F2281" t="s">
        <v>1743</v>
      </c>
      <c r="G2281" s="3">
        <v>46555</v>
      </c>
      <c r="H2281">
        <v>18</v>
      </c>
      <c r="I2281">
        <v>67</v>
      </c>
      <c r="J2281">
        <v>18</v>
      </c>
      <c r="K2281" s="4">
        <v>4170.0600000000004</v>
      </c>
      <c r="L2281" s="4">
        <v>4741.7142857142853</v>
      </c>
      <c r="M2281" s="4">
        <v>3.7960954446854666E-3</v>
      </c>
      <c r="N2281" t="s">
        <v>25</v>
      </c>
      <c r="O2281" t="str">
        <f t="shared" si="350"/>
        <v>Low</v>
      </c>
      <c r="P2281" t="str">
        <f t="shared" si="351"/>
        <v>Low</v>
      </c>
      <c r="Q2281" t="str">
        <f t="shared" si="352"/>
        <v>Low</v>
      </c>
      <c r="R2281" t="s">
        <v>3317</v>
      </c>
      <c r="S2281" s="4">
        <f t="shared" ca="1" si="353"/>
        <v>358</v>
      </c>
      <c r="T2281">
        <f t="shared" si="354"/>
        <v>1</v>
      </c>
      <c r="U2281">
        <f t="shared" si="355"/>
        <v>1</v>
      </c>
      <c r="V2281">
        <f t="shared" si="356"/>
        <v>1</v>
      </c>
      <c r="W2281">
        <f t="shared" si="357"/>
        <v>1</v>
      </c>
      <c r="X2281">
        <f t="shared" si="358"/>
        <v>0.99999999999999989</v>
      </c>
      <c r="Y2281" t="str">
        <f t="shared" si="359"/>
        <v>Healthy</v>
      </c>
    </row>
    <row r="2282" spans="1:25" x14ac:dyDescent="0.35">
      <c r="A2282" t="s">
        <v>41</v>
      </c>
      <c r="B2282" t="s">
        <v>54</v>
      </c>
      <c r="C2282" t="s">
        <v>293</v>
      </c>
      <c r="D2282" t="s">
        <v>1742</v>
      </c>
      <c r="E2282">
        <v>83905765</v>
      </c>
      <c r="F2282" t="s">
        <v>1743</v>
      </c>
      <c r="G2282" s="3">
        <v>46617</v>
      </c>
      <c r="H2282">
        <v>18</v>
      </c>
      <c r="I2282">
        <v>79</v>
      </c>
      <c r="J2282">
        <v>9</v>
      </c>
      <c r="K2282" s="4">
        <v>2085.0300000000002</v>
      </c>
      <c r="L2282" s="4">
        <v>4741.7142857142853</v>
      </c>
      <c r="M2282" s="4">
        <v>1.8980477223427333E-3</v>
      </c>
      <c r="N2282" t="s">
        <v>25</v>
      </c>
      <c r="O2282" t="str">
        <f t="shared" si="350"/>
        <v>Low</v>
      </c>
      <c r="P2282" t="str">
        <f t="shared" si="351"/>
        <v>Low</v>
      </c>
      <c r="Q2282" t="str">
        <f t="shared" si="352"/>
        <v>Low</v>
      </c>
      <c r="R2282" t="s">
        <v>3317</v>
      </c>
      <c r="S2282" s="4">
        <f t="shared" ca="1" si="353"/>
        <v>420</v>
      </c>
      <c r="T2282">
        <f t="shared" si="354"/>
        <v>1</v>
      </c>
      <c r="U2282">
        <f t="shared" si="355"/>
        <v>1</v>
      </c>
      <c r="V2282">
        <f t="shared" si="356"/>
        <v>1</v>
      </c>
      <c r="W2282">
        <f t="shared" si="357"/>
        <v>1</v>
      </c>
      <c r="X2282">
        <f t="shared" si="358"/>
        <v>0.99999999999999989</v>
      </c>
      <c r="Y2282" t="str">
        <f t="shared" si="359"/>
        <v>Healthy</v>
      </c>
    </row>
    <row r="2283" spans="1:25" x14ac:dyDescent="0.35">
      <c r="A2283" t="s">
        <v>41</v>
      </c>
      <c r="B2283" t="s">
        <v>54</v>
      </c>
      <c r="C2283" t="s">
        <v>293</v>
      </c>
      <c r="D2283" t="s">
        <v>1742</v>
      </c>
      <c r="E2283">
        <v>83905765</v>
      </c>
      <c r="F2283" t="s">
        <v>1743</v>
      </c>
      <c r="G2283" s="3">
        <v>46546</v>
      </c>
      <c r="H2283">
        <v>18</v>
      </c>
      <c r="I2283">
        <v>66</v>
      </c>
      <c r="J2283">
        <v>2</v>
      </c>
      <c r="K2283" s="4">
        <v>463.34</v>
      </c>
      <c r="L2283" s="4">
        <v>4741.7142857142853</v>
      </c>
      <c r="M2283" s="4">
        <v>4.2178838274282965E-4</v>
      </c>
      <c r="N2283" t="s">
        <v>25</v>
      </c>
      <c r="O2283" t="str">
        <f t="shared" si="350"/>
        <v>Low</v>
      </c>
      <c r="P2283" t="str">
        <f t="shared" si="351"/>
        <v>Low</v>
      </c>
      <c r="Q2283" t="str">
        <f t="shared" si="352"/>
        <v>Low</v>
      </c>
      <c r="R2283" t="s">
        <v>3317</v>
      </c>
      <c r="S2283" s="4">
        <f t="shared" ca="1" si="353"/>
        <v>349</v>
      </c>
      <c r="T2283">
        <f t="shared" si="354"/>
        <v>1</v>
      </c>
      <c r="U2283">
        <f t="shared" si="355"/>
        <v>1</v>
      </c>
      <c r="V2283">
        <f t="shared" si="356"/>
        <v>1</v>
      </c>
      <c r="W2283">
        <f t="shared" si="357"/>
        <v>1</v>
      </c>
      <c r="X2283">
        <f t="shared" si="358"/>
        <v>0.99999999999999989</v>
      </c>
      <c r="Y2283" t="str">
        <f t="shared" si="359"/>
        <v>Healthy</v>
      </c>
    </row>
    <row r="2284" spans="1:25" x14ac:dyDescent="0.35">
      <c r="A2284" t="s">
        <v>41</v>
      </c>
      <c r="B2284" t="s">
        <v>54</v>
      </c>
      <c r="C2284" t="s">
        <v>293</v>
      </c>
      <c r="D2284" t="s">
        <v>1744</v>
      </c>
      <c r="E2284">
        <v>80750816</v>
      </c>
      <c r="F2284" t="s">
        <v>1745</v>
      </c>
      <c r="G2284" s="3">
        <v>46409</v>
      </c>
      <c r="H2284">
        <v>18</v>
      </c>
      <c r="I2284">
        <v>40</v>
      </c>
      <c r="J2284">
        <v>2</v>
      </c>
      <c r="K2284" s="4">
        <v>117.16</v>
      </c>
      <c r="L2284" s="4">
        <v>394.28571428571428</v>
      </c>
      <c r="M2284" s="4">
        <v>5.0724637681159425E-3</v>
      </c>
      <c r="N2284" t="s">
        <v>25</v>
      </c>
      <c r="O2284" t="str">
        <f t="shared" si="350"/>
        <v>Low</v>
      </c>
      <c r="P2284" t="str">
        <f t="shared" si="351"/>
        <v>Low</v>
      </c>
      <c r="Q2284" t="str">
        <f t="shared" si="352"/>
        <v>Low</v>
      </c>
      <c r="R2284" t="s">
        <v>3317</v>
      </c>
      <c r="S2284" s="4">
        <f t="shared" ca="1" si="353"/>
        <v>212</v>
      </c>
      <c r="T2284">
        <f t="shared" si="354"/>
        <v>1</v>
      </c>
      <c r="U2284">
        <f t="shared" si="355"/>
        <v>1</v>
      </c>
      <c r="V2284">
        <f t="shared" si="356"/>
        <v>1</v>
      </c>
      <c r="W2284">
        <f t="shared" si="357"/>
        <v>1</v>
      </c>
      <c r="X2284">
        <f t="shared" si="358"/>
        <v>0.99999999999999989</v>
      </c>
      <c r="Y2284" t="str">
        <f t="shared" si="359"/>
        <v>Healthy</v>
      </c>
    </row>
    <row r="2285" spans="1:25" x14ac:dyDescent="0.35">
      <c r="A2285" t="s">
        <v>41</v>
      </c>
      <c r="B2285" t="s">
        <v>42</v>
      </c>
      <c r="C2285" t="s">
        <v>121</v>
      </c>
      <c r="D2285" t="s">
        <v>1746</v>
      </c>
      <c r="E2285">
        <v>80876990</v>
      </c>
      <c r="F2285" t="s">
        <v>1747</v>
      </c>
      <c r="G2285" s="3">
        <v>47039</v>
      </c>
      <c r="H2285">
        <v>36</v>
      </c>
      <c r="I2285">
        <v>78</v>
      </c>
      <c r="J2285">
        <v>17</v>
      </c>
      <c r="K2285" s="4">
        <v>5099.83</v>
      </c>
      <c r="L2285" s="4">
        <v>148.71428571428572</v>
      </c>
      <c r="M2285" s="4">
        <v>0.11431316042267051</v>
      </c>
      <c r="N2285" t="s">
        <v>25</v>
      </c>
      <c r="O2285" t="str">
        <f t="shared" si="350"/>
        <v>Low</v>
      </c>
      <c r="P2285" t="str">
        <f t="shared" si="351"/>
        <v>Low</v>
      </c>
      <c r="Q2285" t="str">
        <f t="shared" si="352"/>
        <v>Low</v>
      </c>
      <c r="R2285" t="s">
        <v>3317</v>
      </c>
      <c r="S2285" s="4">
        <f t="shared" ca="1" si="353"/>
        <v>842</v>
      </c>
      <c r="T2285">
        <f t="shared" si="354"/>
        <v>1</v>
      </c>
      <c r="U2285">
        <f t="shared" si="355"/>
        <v>1</v>
      </c>
      <c r="V2285">
        <f t="shared" si="356"/>
        <v>1</v>
      </c>
      <c r="W2285">
        <f t="shared" si="357"/>
        <v>1</v>
      </c>
      <c r="X2285">
        <f t="shared" si="358"/>
        <v>0.99999999999999989</v>
      </c>
      <c r="Y2285" t="str">
        <f t="shared" si="359"/>
        <v>Healthy</v>
      </c>
    </row>
    <row r="2286" spans="1:25" x14ac:dyDescent="0.35">
      <c r="A2286" t="s">
        <v>41</v>
      </c>
      <c r="B2286" t="s">
        <v>42</v>
      </c>
      <c r="C2286" t="s">
        <v>121</v>
      </c>
      <c r="D2286" t="s">
        <v>1746</v>
      </c>
      <c r="E2286">
        <v>80876990</v>
      </c>
      <c r="F2286" t="s">
        <v>1747</v>
      </c>
      <c r="G2286" s="3">
        <v>47040</v>
      </c>
      <c r="H2286">
        <v>36</v>
      </c>
      <c r="I2286">
        <v>79</v>
      </c>
      <c r="J2286">
        <v>41</v>
      </c>
      <c r="K2286" s="4">
        <v>12299.59</v>
      </c>
      <c r="L2286" s="4">
        <v>148.71428571428572</v>
      </c>
      <c r="M2286" s="4">
        <v>0.27569644572526414</v>
      </c>
      <c r="N2286" t="s">
        <v>25</v>
      </c>
      <c r="O2286" t="str">
        <f t="shared" si="350"/>
        <v>Low</v>
      </c>
      <c r="P2286" t="str">
        <f t="shared" si="351"/>
        <v>Low</v>
      </c>
      <c r="Q2286" t="str">
        <f t="shared" si="352"/>
        <v>Low</v>
      </c>
      <c r="R2286" t="s">
        <v>3317</v>
      </c>
      <c r="S2286" s="4">
        <f t="shared" ca="1" si="353"/>
        <v>843</v>
      </c>
      <c r="T2286">
        <f t="shared" si="354"/>
        <v>1</v>
      </c>
      <c r="U2286">
        <f t="shared" si="355"/>
        <v>1</v>
      </c>
      <c r="V2286">
        <f t="shared" si="356"/>
        <v>1</v>
      </c>
      <c r="W2286">
        <f t="shared" si="357"/>
        <v>1</v>
      </c>
      <c r="X2286">
        <f t="shared" si="358"/>
        <v>0.99999999999999989</v>
      </c>
      <c r="Y2286" t="str">
        <f t="shared" si="359"/>
        <v>Healthy</v>
      </c>
    </row>
    <row r="2287" spans="1:25" x14ac:dyDescent="0.35">
      <c r="A2287" t="s">
        <v>41</v>
      </c>
      <c r="B2287" t="s">
        <v>42</v>
      </c>
      <c r="C2287" t="s">
        <v>121</v>
      </c>
      <c r="D2287" t="s">
        <v>1746</v>
      </c>
      <c r="E2287">
        <v>80876990</v>
      </c>
      <c r="F2287" t="s">
        <v>1747</v>
      </c>
      <c r="G2287" s="3">
        <v>47067</v>
      </c>
      <c r="H2287">
        <v>36</v>
      </c>
      <c r="I2287">
        <v>81</v>
      </c>
      <c r="J2287">
        <v>33</v>
      </c>
      <c r="K2287" s="4">
        <v>9899.67</v>
      </c>
      <c r="L2287" s="4">
        <v>148.71428571428572</v>
      </c>
      <c r="M2287" s="4">
        <v>0.22190201729106626</v>
      </c>
      <c r="N2287" t="s">
        <v>25</v>
      </c>
      <c r="O2287" t="str">
        <f t="shared" si="350"/>
        <v>Low</v>
      </c>
      <c r="P2287" t="str">
        <f t="shared" si="351"/>
        <v>Low</v>
      </c>
      <c r="Q2287" t="str">
        <f t="shared" si="352"/>
        <v>Low</v>
      </c>
      <c r="R2287" t="s">
        <v>3317</v>
      </c>
      <c r="S2287" s="4">
        <f t="shared" ca="1" si="353"/>
        <v>870</v>
      </c>
      <c r="T2287">
        <f t="shared" si="354"/>
        <v>1</v>
      </c>
      <c r="U2287">
        <f t="shared" si="355"/>
        <v>1</v>
      </c>
      <c r="V2287">
        <f t="shared" si="356"/>
        <v>1</v>
      </c>
      <c r="W2287">
        <f t="shared" si="357"/>
        <v>1</v>
      </c>
      <c r="X2287">
        <f t="shared" si="358"/>
        <v>0.99999999999999989</v>
      </c>
      <c r="Y2287" t="str">
        <f t="shared" si="359"/>
        <v>Healthy</v>
      </c>
    </row>
    <row r="2288" spans="1:25" x14ac:dyDescent="0.35">
      <c r="A2288" t="s">
        <v>46</v>
      </c>
      <c r="B2288" t="s">
        <v>129</v>
      </c>
      <c r="C2288" t="s">
        <v>1748</v>
      </c>
      <c r="D2288" t="s">
        <v>1749</v>
      </c>
      <c r="E2288">
        <v>80896464</v>
      </c>
      <c r="F2288" t="s">
        <v>1750</v>
      </c>
      <c r="G2288" s="3">
        <v>47154</v>
      </c>
      <c r="H2288">
        <v>36</v>
      </c>
      <c r="I2288">
        <v>89</v>
      </c>
      <c r="J2288">
        <v>33</v>
      </c>
      <c r="K2288" s="4">
        <v>12558.48</v>
      </c>
      <c r="L2288" s="4">
        <v>39.428571428571431</v>
      </c>
      <c r="M2288" s="4">
        <v>0.83695652173913038</v>
      </c>
      <c r="N2288" t="s">
        <v>25</v>
      </c>
      <c r="O2288" t="str">
        <f t="shared" si="350"/>
        <v>Low</v>
      </c>
      <c r="P2288" t="str">
        <f t="shared" si="351"/>
        <v>Low</v>
      </c>
      <c r="Q2288" t="str">
        <f t="shared" si="352"/>
        <v>Low</v>
      </c>
      <c r="R2288" t="s">
        <v>3317</v>
      </c>
      <c r="S2288" s="4">
        <f t="shared" ca="1" si="353"/>
        <v>957</v>
      </c>
      <c r="T2288">
        <f t="shared" si="354"/>
        <v>1</v>
      </c>
      <c r="U2288">
        <f t="shared" si="355"/>
        <v>1</v>
      </c>
      <c r="V2288">
        <f t="shared" si="356"/>
        <v>1</v>
      </c>
      <c r="W2288">
        <f t="shared" si="357"/>
        <v>1</v>
      </c>
      <c r="X2288">
        <f t="shared" si="358"/>
        <v>0.99999999999999989</v>
      </c>
      <c r="Y2288" t="str">
        <f t="shared" si="359"/>
        <v>Healthy</v>
      </c>
    </row>
    <row r="2289" spans="1:25" x14ac:dyDescent="0.35">
      <c r="A2289" t="s">
        <v>46</v>
      </c>
      <c r="B2289" t="s">
        <v>129</v>
      </c>
      <c r="C2289" t="s">
        <v>1748</v>
      </c>
      <c r="D2289" t="s">
        <v>1749</v>
      </c>
      <c r="E2289">
        <v>80896464</v>
      </c>
      <c r="F2289" t="s">
        <v>1750</v>
      </c>
      <c r="G2289" s="3">
        <v>47175</v>
      </c>
      <c r="H2289">
        <v>36</v>
      </c>
      <c r="I2289">
        <v>91</v>
      </c>
      <c r="J2289">
        <v>43</v>
      </c>
      <c r="K2289" s="4">
        <v>16364.08</v>
      </c>
      <c r="L2289" s="4">
        <v>39.428571428571431</v>
      </c>
      <c r="M2289" s="4">
        <v>1.0905797101449275</v>
      </c>
      <c r="N2289" t="s">
        <v>25</v>
      </c>
      <c r="O2289" t="str">
        <f t="shared" si="350"/>
        <v>Low</v>
      </c>
      <c r="P2289" t="str">
        <f t="shared" si="351"/>
        <v>Low</v>
      </c>
      <c r="Q2289" t="str">
        <f t="shared" si="352"/>
        <v>Low</v>
      </c>
      <c r="R2289" t="s">
        <v>3317</v>
      </c>
      <c r="S2289" s="4">
        <f t="shared" ca="1" si="353"/>
        <v>978</v>
      </c>
      <c r="T2289">
        <f t="shared" si="354"/>
        <v>1</v>
      </c>
      <c r="U2289">
        <f t="shared" si="355"/>
        <v>1</v>
      </c>
      <c r="V2289">
        <f t="shared" si="356"/>
        <v>1</v>
      </c>
      <c r="W2289">
        <f t="shared" si="357"/>
        <v>1</v>
      </c>
      <c r="X2289">
        <f t="shared" si="358"/>
        <v>0.99999999999999989</v>
      </c>
      <c r="Y2289" t="str">
        <f t="shared" si="359"/>
        <v>Healthy</v>
      </c>
    </row>
    <row r="2290" spans="1:25" x14ac:dyDescent="0.35">
      <c r="A2290" t="s">
        <v>46</v>
      </c>
      <c r="B2290" t="s">
        <v>129</v>
      </c>
      <c r="C2290" t="s">
        <v>1748</v>
      </c>
      <c r="D2290" t="s">
        <v>1751</v>
      </c>
      <c r="E2290">
        <v>80896465</v>
      </c>
      <c r="F2290" t="s">
        <v>1752</v>
      </c>
      <c r="G2290" s="3">
        <v>47172</v>
      </c>
      <c r="H2290">
        <v>36</v>
      </c>
      <c r="I2290">
        <v>91</v>
      </c>
      <c r="J2290">
        <v>2</v>
      </c>
      <c r="K2290" s="4">
        <v>761.12</v>
      </c>
      <c r="L2290" s="4">
        <v>254.28571428571428</v>
      </c>
      <c r="M2290" s="4">
        <v>7.8651685393258432E-3</v>
      </c>
      <c r="N2290" t="s">
        <v>25</v>
      </c>
      <c r="O2290" t="str">
        <f t="shared" si="350"/>
        <v>Low</v>
      </c>
      <c r="P2290" t="str">
        <f t="shared" si="351"/>
        <v>Low</v>
      </c>
      <c r="Q2290" t="str">
        <f t="shared" si="352"/>
        <v>Low</v>
      </c>
      <c r="R2290" t="s">
        <v>3317</v>
      </c>
      <c r="S2290" s="4">
        <f t="shared" ca="1" si="353"/>
        <v>975</v>
      </c>
      <c r="T2290">
        <f t="shared" si="354"/>
        <v>1</v>
      </c>
      <c r="U2290">
        <f t="shared" si="355"/>
        <v>1</v>
      </c>
      <c r="V2290">
        <f t="shared" si="356"/>
        <v>1</v>
      </c>
      <c r="W2290">
        <f t="shared" si="357"/>
        <v>1</v>
      </c>
      <c r="X2290">
        <f t="shared" si="358"/>
        <v>0.99999999999999989</v>
      </c>
      <c r="Y2290" t="str">
        <f t="shared" si="359"/>
        <v>Healthy</v>
      </c>
    </row>
    <row r="2291" spans="1:25" x14ac:dyDescent="0.35">
      <c r="A2291" t="s">
        <v>46</v>
      </c>
      <c r="B2291" t="s">
        <v>129</v>
      </c>
      <c r="C2291" t="s">
        <v>1748</v>
      </c>
      <c r="D2291" t="s">
        <v>1751</v>
      </c>
      <c r="E2291">
        <v>80896465</v>
      </c>
      <c r="F2291" t="s">
        <v>1752</v>
      </c>
      <c r="G2291" s="3">
        <v>47187</v>
      </c>
      <c r="H2291">
        <v>36</v>
      </c>
      <c r="I2291">
        <v>92</v>
      </c>
      <c r="J2291">
        <v>12</v>
      </c>
      <c r="K2291" s="4">
        <v>4566.72</v>
      </c>
      <c r="L2291" s="4">
        <v>254.28571428571428</v>
      </c>
      <c r="M2291" s="4">
        <v>4.7191011235955059E-2</v>
      </c>
      <c r="N2291" t="s">
        <v>25</v>
      </c>
      <c r="O2291" t="str">
        <f t="shared" si="350"/>
        <v>Low</v>
      </c>
      <c r="P2291" t="str">
        <f t="shared" si="351"/>
        <v>Low</v>
      </c>
      <c r="Q2291" t="str">
        <f t="shared" si="352"/>
        <v>Low</v>
      </c>
      <c r="R2291" t="s">
        <v>3317</v>
      </c>
      <c r="S2291" s="4">
        <f t="shared" ca="1" si="353"/>
        <v>990</v>
      </c>
      <c r="T2291">
        <f t="shared" si="354"/>
        <v>1</v>
      </c>
      <c r="U2291">
        <f t="shared" si="355"/>
        <v>1</v>
      </c>
      <c r="V2291">
        <f t="shared" si="356"/>
        <v>1</v>
      </c>
      <c r="W2291">
        <f t="shared" si="357"/>
        <v>1</v>
      </c>
      <c r="X2291">
        <f t="shared" si="358"/>
        <v>0.99999999999999989</v>
      </c>
      <c r="Y2291" t="str">
        <f t="shared" si="359"/>
        <v>Healthy</v>
      </c>
    </row>
    <row r="2292" spans="1:25" x14ac:dyDescent="0.35">
      <c r="A2292" t="s">
        <v>46</v>
      </c>
      <c r="B2292" t="s">
        <v>129</v>
      </c>
      <c r="C2292" t="s">
        <v>1748</v>
      </c>
      <c r="D2292" t="s">
        <v>1751</v>
      </c>
      <c r="E2292">
        <v>80896465</v>
      </c>
      <c r="F2292" t="s">
        <v>1752</v>
      </c>
      <c r="G2292" s="3">
        <v>47151</v>
      </c>
      <c r="H2292">
        <v>36</v>
      </c>
      <c r="I2292">
        <v>89</v>
      </c>
      <c r="J2292">
        <v>3</v>
      </c>
      <c r="K2292" s="4">
        <v>1141.68</v>
      </c>
      <c r="L2292" s="4">
        <v>254.28571428571428</v>
      </c>
      <c r="M2292" s="4">
        <v>1.1797752808988765E-2</v>
      </c>
      <c r="N2292" t="s">
        <v>25</v>
      </c>
      <c r="O2292" t="str">
        <f t="shared" si="350"/>
        <v>Low</v>
      </c>
      <c r="P2292" t="str">
        <f t="shared" si="351"/>
        <v>Low</v>
      </c>
      <c r="Q2292" t="str">
        <f t="shared" si="352"/>
        <v>Low</v>
      </c>
      <c r="R2292" t="s">
        <v>3317</v>
      </c>
      <c r="S2292" s="4">
        <f t="shared" ca="1" si="353"/>
        <v>954</v>
      </c>
      <c r="T2292">
        <f t="shared" si="354"/>
        <v>1</v>
      </c>
      <c r="U2292">
        <f t="shared" si="355"/>
        <v>1</v>
      </c>
      <c r="V2292">
        <f t="shared" si="356"/>
        <v>1</v>
      </c>
      <c r="W2292">
        <f t="shared" si="357"/>
        <v>1</v>
      </c>
      <c r="X2292">
        <f t="shared" si="358"/>
        <v>0.99999999999999989</v>
      </c>
      <c r="Y2292" t="str">
        <f t="shared" si="359"/>
        <v>Healthy</v>
      </c>
    </row>
    <row r="2293" spans="1:25" x14ac:dyDescent="0.35">
      <c r="A2293" t="s">
        <v>46</v>
      </c>
      <c r="B2293" t="s">
        <v>129</v>
      </c>
      <c r="C2293" t="s">
        <v>1748</v>
      </c>
      <c r="D2293" t="s">
        <v>1751</v>
      </c>
      <c r="E2293">
        <v>80896465</v>
      </c>
      <c r="F2293" t="s">
        <v>1752</v>
      </c>
      <c r="G2293" s="3">
        <v>47189</v>
      </c>
      <c r="H2293">
        <v>36</v>
      </c>
      <c r="I2293">
        <v>92</v>
      </c>
      <c r="J2293">
        <v>12</v>
      </c>
      <c r="K2293" s="4">
        <v>4566.72</v>
      </c>
      <c r="L2293" s="4">
        <v>254.28571428571428</v>
      </c>
      <c r="M2293" s="4">
        <v>4.7191011235955059E-2</v>
      </c>
      <c r="N2293" t="s">
        <v>25</v>
      </c>
      <c r="O2293" t="str">
        <f t="shared" si="350"/>
        <v>Low</v>
      </c>
      <c r="P2293" t="str">
        <f t="shared" si="351"/>
        <v>Low</v>
      </c>
      <c r="Q2293" t="str">
        <f t="shared" si="352"/>
        <v>Low</v>
      </c>
      <c r="R2293" t="s">
        <v>3317</v>
      </c>
      <c r="S2293" s="4">
        <f t="shared" ca="1" si="353"/>
        <v>992</v>
      </c>
      <c r="T2293">
        <f t="shared" si="354"/>
        <v>1</v>
      </c>
      <c r="U2293">
        <f t="shared" si="355"/>
        <v>1</v>
      </c>
      <c r="V2293">
        <f t="shared" si="356"/>
        <v>1</v>
      </c>
      <c r="W2293">
        <f t="shared" si="357"/>
        <v>1</v>
      </c>
      <c r="X2293">
        <f t="shared" si="358"/>
        <v>0.99999999999999989</v>
      </c>
      <c r="Y2293" t="str">
        <f t="shared" si="359"/>
        <v>Healthy</v>
      </c>
    </row>
    <row r="2294" spans="1:25" x14ac:dyDescent="0.35">
      <c r="A2294" t="s">
        <v>179</v>
      </c>
      <c r="B2294" t="s">
        <v>223</v>
      </c>
      <c r="C2294" t="s">
        <v>357</v>
      </c>
      <c r="D2294" t="s">
        <v>1753</v>
      </c>
      <c r="E2294">
        <v>83908213</v>
      </c>
      <c r="F2294" t="s">
        <v>1754</v>
      </c>
      <c r="G2294" s="3">
        <v>46716</v>
      </c>
      <c r="H2294">
        <v>18</v>
      </c>
      <c r="I2294">
        <v>97</v>
      </c>
      <c r="J2294">
        <v>117</v>
      </c>
      <c r="K2294" s="4">
        <v>74877.66</v>
      </c>
      <c r="L2294" s="4">
        <v>4629.1428571428569</v>
      </c>
      <c r="M2294" s="4">
        <v>2.527465744969757E-2</v>
      </c>
      <c r="N2294" t="s">
        <v>25</v>
      </c>
      <c r="O2294" t="str">
        <f t="shared" si="350"/>
        <v>Low</v>
      </c>
      <c r="P2294" t="str">
        <f t="shared" si="351"/>
        <v>Low</v>
      </c>
      <c r="Q2294" t="str">
        <f t="shared" si="352"/>
        <v>Low</v>
      </c>
      <c r="R2294" t="s">
        <v>3310</v>
      </c>
      <c r="S2294" s="4">
        <f t="shared" ca="1" si="353"/>
        <v>519</v>
      </c>
      <c r="T2294">
        <f t="shared" si="354"/>
        <v>1</v>
      </c>
      <c r="U2294">
        <f t="shared" si="355"/>
        <v>1</v>
      </c>
      <c r="V2294">
        <f t="shared" si="356"/>
        <v>1</v>
      </c>
      <c r="W2294">
        <f t="shared" si="357"/>
        <v>2</v>
      </c>
      <c r="X2294">
        <f t="shared" si="358"/>
        <v>1.0999999999999999</v>
      </c>
      <c r="Y2294" t="str">
        <f t="shared" si="359"/>
        <v>Healthy</v>
      </c>
    </row>
    <row r="2295" spans="1:25" x14ac:dyDescent="0.35">
      <c r="A2295" t="s">
        <v>179</v>
      </c>
      <c r="B2295" t="s">
        <v>223</v>
      </c>
      <c r="C2295" t="s">
        <v>357</v>
      </c>
      <c r="D2295" t="s">
        <v>1753</v>
      </c>
      <c r="E2295">
        <v>83908213</v>
      </c>
      <c r="F2295" t="s">
        <v>1754</v>
      </c>
      <c r="G2295" s="3">
        <v>46701</v>
      </c>
      <c r="H2295">
        <v>18</v>
      </c>
      <c r="I2295">
        <v>94</v>
      </c>
      <c r="J2295">
        <v>78</v>
      </c>
      <c r="K2295" s="4">
        <v>49918.44</v>
      </c>
      <c r="L2295" s="4">
        <v>4629.1428571428569</v>
      </c>
      <c r="M2295" s="4">
        <v>1.6849771633131713E-2</v>
      </c>
      <c r="N2295" t="s">
        <v>25</v>
      </c>
      <c r="O2295" t="str">
        <f t="shared" si="350"/>
        <v>Low</v>
      </c>
      <c r="P2295" t="str">
        <f t="shared" si="351"/>
        <v>Low</v>
      </c>
      <c r="Q2295" t="str">
        <f t="shared" si="352"/>
        <v>Low</v>
      </c>
      <c r="R2295" t="s">
        <v>3317</v>
      </c>
      <c r="S2295" s="4">
        <f t="shared" ca="1" si="353"/>
        <v>504</v>
      </c>
      <c r="T2295">
        <f t="shared" si="354"/>
        <v>1</v>
      </c>
      <c r="U2295">
        <f t="shared" si="355"/>
        <v>1</v>
      </c>
      <c r="V2295">
        <f t="shared" si="356"/>
        <v>1</v>
      </c>
      <c r="W2295">
        <f t="shared" si="357"/>
        <v>1</v>
      </c>
      <c r="X2295">
        <f t="shared" si="358"/>
        <v>0.99999999999999989</v>
      </c>
      <c r="Y2295" t="str">
        <f t="shared" si="359"/>
        <v>Healthy</v>
      </c>
    </row>
    <row r="2296" spans="1:25" x14ac:dyDescent="0.35">
      <c r="A2296" t="s">
        <v>179</v>
      </c>
      <c r="B2296" t="s">
        <v>223</v>
      </c>
      <c r="C2296" t="s">
        <v>357</v>
      </c>
      <c r="D2296" t="s">
        <v>1753</v>
      </c>
      <c r="E2296">
        <v>83908213</v>
      </c>
      <c r="F2296" t="s">
        <v>1754</v>
      </c>
      <c r="G2296" s="3">
        <v>46727</v>
      </c>
      <c r="H2296">
        <v>18</v>
      </c>
      <c r="I2296">
        <v>99</v>
      </c>
      <c r="J2296">
        <v>123</v>
      </c>
      <c r="K2296" s="4">
        <v>78717.539999999994</v>
      </c>
      <c r="L2296" s="4">
        <v>4629.1428571428569</v>
      </c>
      <c r="M2296" s="4">
        <v>2.6570793729169241E-2</v>
      </c>
      <c r="N2296" t="s">
        <v>25</v>
      </c>
      <c r="O2296" t="str">
        <f t="shared" si="350"/>
        <v>Low</v>
      </c>
      <c r="P2296" t="str">
        <f t="shared" si="351"/>
        <v>Low</v>
      </c>
      <c r="Q2296" t="str">
        <f t="shared" si="352"/>
        <v>Low</v>
      </c>
      <c r="R2296" t="s">
        <v>3310</v>
      </c>
      <c r="S2296" s="4">
        <f t="shared" ca="1" si="353"/>
        <v>530</v>
      </c>
      <c r="T2296">
        <f t="shared" si="354"/>
        <v>1</v>
      </c>
      <c r="U2296">
        <f t="shared" si="355"/>
        <v>1</v>
      </c>
      <c r="V2296">
        <f t="shared" si="356"/>
        <v>1</v>
      </c>
      <c r="W2296">
        <f t="shared" si="357"/>
        <v>2</v>
      </c>
      <c r="X2296">
        <f t="shared" si="358"/>
        <v>1.0999999999999999</v>
      </c>
      <c r="Y2296" t="str">
        <f t="shared" si="359"/>
        <v>Healthy</v>
      </c>
    </row>
    <row r="2297" spans="1:25" x14ac:dyDescent="0.35">
      <c r="A2297" t="s">
        <v>179</v>
      </c>
      <c r="B2297" t="s">
        <v>223</v>
      </c>
      <c r="C2297" t="s">
        <v>357</v>
      </c>
      <c r="D2297" t="s">
        <v>1753</v>
      </c>
      <c r="E2297">
        <v>83908213</v>
      </c>
      <c r="F2297" t="s">
        <v>1754</v>
      </c>
      <c r="G2297" s="3">
        <v>46707</v>
      </c>
      <c r="H2297">
        <v>18</v>
      </c>
      <c r="I2297">
        <v>95</v>
      </c>
      <c r="J2297">
        <v>27</v>
      </c>
      <c r="K2297" s="4">
        <v>17279.46</v>
      </c>
      <c r="L2297" s="4">
        <v>4629.1428571428569</v>
      </c>
      <c r="M2297" s="4">
        <v>5.8326132576225157E-3</v>
      </c>
      <c r="N2297" t="s">
        <v>25</v>
      </c>
      <c r="O2297" t="str">
        <f t="shared" si="350"/>
        <v>Low</v>
      </c>
      <c r="P2297" t="str">
        <f t="shared" si="351"/>
        <v>Low</v>
      </c>
      <c r="Q2297" t="str">
        <f t="shared" si="352"/>
        <v>Low</v>
      </c>
      <c r="R2297" t="s">
        <v>3317</v>
      </c>
      <c r="S2297" s="4">
        <f t="shared" ca="1" si="353"/>
        <v>510</v>
      </c>
      <c r="T2297">
        <f t="shared" si="354"/>
        <v>1</v>
      </c>
      <c r="U2297">
        <f t="shared" si="355"/>
        <v>1</v>
      </c>
      <c r="V2297">
        <f t="shared" si="356"/>
        <v>1</v>
      </c>
      <c r="W2297">
        <f t="shared" si="357"/>
        <v>1</v>
      </c>
      <c r="X2297">
        <f t="shared" si="358"/>
        <v>0.99999999999999989</v>
      </c>
      <c r="Y2297" t="str">
        <f t="shared" si="359"/>
        <v>Healthy</v>
      </c>
    </row>
    <row r="2298" spans="1:25" x14ac:dyDescent="0.35">
      <c r="A2298" t="s">
        <v>179</v>
      </c>
      <c r="B2298" t="s">
        <v>223</v>
      </c>
      <c r="C2298" t="s">
        <v>357</v>
      </c>
      <c r="D2298" t="s">
        <v>1753</v>
      </c>
      <c r="E2298">
        <v>83908213</v>
      </c>
      <c r="F2298" t="s">
        <v>1754</v>
      </c>
      <c r="G2298" s="3">
        <v>46702</v>
      </c>
      <c r="H2298">
        <v>18</v>
      </c>
      <c r="I2298">
        <v>94</v>
      </c>
      <c r="J2298">
        <v>24</v>
      </c>
      <c r="K2298" s="4">
        <v>15359.52</v>
      </c>
      <c r="L2298" s="4">
        <v>4629.1428571428569</v>
      </c>
      <c r="M2298" s="4">
        <v>5.1845451178866809E-3</v>
      </c>
      <c r="N2298" t="s">
        <v>25</v>
      </c>
      <c r="O2298" t="str">
        <f t="shared" si="350"/>
        <v>Low</v>
      </c>
      <c r="P2298" t="str">
        <f t="shared" si="351"/>
        <v>Low</v>
      </c>
      <c r="Q2298" t="str">
        <f t="shared" si="352"/>
        <v>Low</v>
      </c>
      <c r="R2298" t="s">
        <v>3317</v>
      </c>
      <c r="S2298" s="4">
        <f t="shared" ca="1" si="353"/>
        <v>505</v>
      </c>
      <c r="T2298">
        <f t="shared" si="354"/>
        <v>1</v>
      </c>
      <c r="U2298">
        <f t="shared" si="355"/>
        <v>1</v>
      </c>
      <c r="V2298">
        <f t="shared" si="356"/>
        <v>1</v>
      </c>
      <c r="W2298">
        <f t="shared" si="357"/>
        <v>1</v>
      </c>
      <c r="X2298">
        <f t="shared" si="358"/>
        <v>0.99999999999999989</v>
      </c>
      <c r="Y2298" t="str">
        <f t="shared" si="359"/>
        <v>Healthy</v>
      </c>
    </row>
    <row r="2299" spans="1:25" x14ac:dyDescent="0.35">
      <c r="A2299" t="s">
        <v>46</v>
      </c>
      <c r="B2299" t="s">
        <v>129</v>
      </c>
      <c r="C2299" t="s">
        <v>665</v>
      </c>
      <c r="D2299" t="s">
        <v>1755</v>
      </c>
      <c r="E2299">
        <v>80753181</v>
      </c>
      <c r="F2299" t="s">
        <v>1756</v>
      </c>
      <c r="G2299" s="3">
        <v>47223</v>
      </c>
      <c r="H2299">
        <v>36</v>
      </c>
      <c r="I2299">
        <v>95</v>
      </c>
      <c r="J2299">
        <v>8</v>
      </c>
      <c r="K2299" s="4">
        <v>678.8</v>
      </c>
      <c r="L2299" s="4">
        <v>4713.2857142857147</v>
      </c>
      <c r="M2299" s="4">
        <v>1.697329736610796E-3</v>
      </c>
      <c r="N2299" t="s">
        <v>25</v>
      </c>
      <c r="O2299" t="str">
        <f t="shared" si="350"/>
        <v>Low</v>
      </c>
      <c r="P2299" t="str">
        <f t="shared" si="351"/>
        <v>Low</v>
      </c>
      <c r="Q2299" t="str">
        <f t="shared" si="352"/>
        <v>Low</v>
      </c>
      <c r="R2299" t="s">
        <v>3317</v>
      </c>
      <c r="S2299" s="4">
        <f t="shared" ca="1" si="353"/>
        <v>1026</v>
      </c>
      <c r="T2299">
        <f t="shared" si="354"/>
        <v>1</v>
      </c>
      <c r="U2299">
        <f t="shared" si="355"/>
        <v>1</v>
      </c>
      <c r="V2299">
        <f t="shared" si="356"/>
        <v>1</v>
      </c>
      <c r="W2299">
        <f t="shared" si="357"/>
        <v>1</v>
      </c>
      <c r="X2299">
        <f t="shared" si="358"/>
        <v>0.99999999999999989</v>
      </c>
      <c r="Y2299" t="str">
        <f t="shared" si="359"/>
        <v>Healthy</v>
      </c>
    </row>
    <row r="2300" spans="1:25" x14ac:dyDescent="0.35">
      <c r="A2300" t="s">
        <v>179</v>
      </c>
      <c r="B2300" t="s">
        <v>223</v>
      </c>
      <c r="C2300" t="s">
        <v>357</v>
      </c>
      <c r="D2300" t="s">
        <v>1753</v>
      </c>
      <c r="E2300">
        <v>83908213</v>
      </c>
      <c r="F2300" t="s">
        <v>1754</v>
      </c>
      <c r="G2300" s="3">
        <v>46698</v>
      </c>
      <c r="H2300">
        <v>18</v>
      </c>
      <c r="I2300">
        <v>94</v>
      </c>
      <c r="J2300">
        <v>228</v>
      </c>
      <c r="K2300" s="4">
        <v>145915.44</v>
      </c>
      <c r="L2300" s="4">
        <v>4629.1428571428569</v>
      </c>
      <c r="M2300" s="4">
        <v>4.9253178619923468E-2</v>
      </c>
      <c r="N2300" t="s">
        <v>25</v>
      </c>
      <c r="O2300" t="str">
        <f t="shared" si="350"/>
        <v>Low</v>
      </c>
      <c r="P2300" t="str">
        <f t="shared" si="351"/>
        <v>Low</v>
      </c>
      <c r="Q2300" t="str">
        <f t="shared" si="352"/>
        <v>Low</v>
      </c>
      <c r="R2300" t="s">
        <v>3309</v>
      </c>
      <c r="S2300" s="4">
        <f t="shared" ca="1" si="353"/>
        <v>501</v>
      </c>
      <c r="T2300">
        <f t="shared" si="354"/>
        <v>1</v>
      </c>
      <c r="U2300">
        <f t="shared" si="355"/>
        <v>1</v>
      </c>
      <c r="V2300">
        <f t="shared" si="356"/>
        <v>1</v>
      </c>
      <c r="W2300">
        <f t="shared" si="357"/>
        <v>3</v>
      </c>
      <c r="X2300">
        <f t="shared" si="358"/>
        <v>1.2</v>
      </c>
      <c r="Y2300" t="str">
        <f t="shared" si="359"/>
        <v>Healthy</v>
      </c>
    </row>
    <row r="2301" spans="1:25" x14ac:dyDescent="0.35">
      <c r="A2301" t="s">
        <v>179</v>
      </c>
      <c r="B2301" t="s">
        <v>223</v>
      </c>
      <c r="C2301" t="s">
        <v>357</v>
      </c>
      <c r="D2301" t="s">
        <v>1757</v>
      </c>
      <c r="E2301">
        <v>83908214</v>
      </c>
      <c r="F2301" t="s">
        <v>1758</v>
      </c>
      <c r="G2301" s="3">
        <v>46704</v>
      </c>
      <c r="H2301">
        <v>18</v>
      </c>
      <c r="I2301">
        <v>95</v>
      </c>
      <c r="J2301">
        <v>12</v>
      </c>
      <c r="K2301" s="4">
        <v>2986.56</v>
      </c>
      <c r="L2301" s="4">
        <v>3449</v>
      </c>
      <c r="M2301" s="4">
        <v>3.4792693534357786E-3</v>
      </c>
      <c r="N2301" t="s">
        <v>25</v>
      </c>
      <c r="O2301" t="str">
        <f t="shared" si="350"/>
        <v>Low</v>
      </c>
      <c r="P2301" t="str">
        <f t="shared" si="351"/>
        <v>Low</v>
      </c>
      <c r="Q2301" t="str">
        <f t="shared" si="352"/>
        <v>Low</v>
      </c>
      <c r="R2301" t="s">
        <v>3317</v>
      </c>
      <c r="S2301" s="4">
        <f t="shared" ca="1" si="353"/>
        <v>507</v>
      </c>
      <c r="T2301">
        <f t="shared" si="354"/>
        <v>1</v>
      </c>
      <c r="U2301">
        <f t="shared" si="355"/>
        <v>1</v>
      </c>
      <c r="V2301">
        <f t="shared" si="356"/>
        <v>1</v>
      </c>
      <c r="W2301">
        <f t="shared" si="357"/>
        <v>1</v>
      </c>
      <c r="X2301">
        <f t="shared" si="358"/>
        <v>0.99999999999999989</v>
      </c>
      <c r="Y2301" t="str">
        <f t="shared" si="359"/>
        <v>Healthy</v>
      </c>
    </row>
    <row r="2302" spans="1:25" x14ac:dyDescent="0.35">
      <c r="A2302" t="s">
        <v>14</v>
      </c>
      <c r="B2302" t="s">
        <v>58</v>
      </c>
      <c r="C2302" t="s">
        <v>951</v>
      </c>
      <c r="D2302" t="s">
        <v>1546</v>
      </c>
      <c r="E2302">
        <v>80753108</v>
      </c>
      <c r="F2302" t="s">
        <v>1759</v>
      </c>
      <c r="G2302" s="3">
        <v>47381</v>
      </c>
      <c r="H2302">
        <v>60</v>
      </c>
      <c r="I2302">
        <v>66</v>
      </c>
      <c r="J2302">
        <v>3</v>
      </c>
      <c r="K2302" s="4">
        <v>1668.81</v>
      </c>
      <c r="L2302" s="4">
        <f>0</f>
        <v>0</v>
      </c>
      <c r="M2302" s="4">
        <f>999</f>
        <v>999</v>
      </c>
      <c r="N2302" t="s">
        <v>19</v>
      </c>
      <c r="O2302" t="str">
        <f t="shared" si="350"/>
        <v>Low</v>
      </c>
      <c r="P2302" t="str">
        <f t="shared" si="351"/>
        <v>High</v>
      </c>
      <c r="Q2302" t="str">
        <f t="shared" si="352"/>
        <v>High</v>
      </c>
      <c r="R2302" t="s">
        <v>3317</v>
      </c>
      <c r="S2302" s="4">
        <f t="shared" ca="1" si="353"/>
        <v>1184</v>
      </c>
      <c r="T2302">
        <f t="shared" si="354"/>
        <v>1</v>
      </c>
      <c r="U2302">
        <f t="shared" si="355"/>
        <v>3</v>
      </c>
      <c r="V2302">
        <f t="shared" si="356"/>
        <v>3</v>
      </c>
      <c r="W2302">
        <f t="shared" si="357"/>
        <v>1</v>
      </c>
      <c r="X2302">
        <f t="shared" si="358"/>
        <v>2</v>
      </c>
      <c r="Y2302" t="str">
        <f t="shared" si="359"/>
        <v>Monitor</v>
      </c>
    </row>
    <row r="2303" spans="1:25" x14ac:dyDescent="0.35">
      <c r="A2303" t="s">
        <v>179</v>
      </c>
      <c r="B2303" t="s">
        <v>223</v>
      </c>
      <c r="C2303" t="s">
        <v>357</v>
      </c>
      <c r="D2303" t="s">
        <v>1757</v>
      </c>
      <c r="E2303">
        <v>83908214</v>
      </c>
      <c r="F2303" t="s">
        <v>1758</v>
      </c>
      <c r="G2303" s="3">
        <v>46722</v>
      </c>
      <c r="H2303">
        <v>18</v>
      </c>
      <c r="I2303">
        <v>98</v>
      </c>
      <c r="J2303">
        <v>84</v>
      </c>
      <c r="K2303" s="4">
        <v>20905.919999999998</v>
      </c>
      <c r="L2303" s="4">
        <v>3449</v>
      </c>
      <c r="M2303" s="4">
        <v>2.4354885474050448E-2</v>
      </c>
      <c r="N2303" t="s">
        <v>25</v>
      </c>
      <c r="O2303" t="str">
        <f t="shared" si="350"/>
        <v>Low</v>
      </c>
      <c r="P2303" t="str">
        <f t="shared" si="351"/>
        <v>Low</v>
      </c>
      <c r="Q2303" t="str">
        <f t="shared" si="352"/>
        <v>Low</v>
      </c>
      <c r="R2303" t="s">
        <v>3317</v>
      </c>
      <c r="S2303" s="4">
        <f t="shared" ca="1" si="353"/>
        <v>525</v>
      </c>
      <c r="T2303">
        <f t="shared" si="354"/>
        <v>1</v>
      </c>
      <c r="U2303">
        <f t="shared" si="355"/>
        <v>1</v>
      </c>
      <c r="V2303">
        <f t="shared" si="356"/>
        <v>1</v>
      </c>
      <c r="W2303">
        <f t="shared" si="357"/>
        <v>1</v>
      </c>
      <c r="X2303">
        <f t="shared" si="358"/>
        <v>0.99999999999999989</v>
      </c>
      <c r="Y2303" t="str">
        <f t="shared" si="359"/>
        <v>Healthy</v>
      </c>
    </row>
    <row r="2304" spans="1:25" x14ac:dyDescent="0.35">
      <c r="A2304" t="s">
        <v>179</v>
      </c>
      <c r="B2304" t="s">
        <v>223</v>
      </c>
      <c r="C2304" t="s">
        <v>357</v>
      </c>
      <c r="D2304" t="s">
        <v>1757</v>
      </c>
      <c r="E2304">
        <v>83908214</v>
      </c>
      <c r="F2304" t="s">
        <v>1758</v>
      </c>
      <c r="G2304" s="3">
        <v>46723</v>
      </c>
      <c r="H2304">
        <v>18</v>
      </c>
      <c r="I2304">
        <v>98</v>
      </c>
      <c r="J2304">
        <v>624</v>
      </c>
      <c r="K2304" s="4">
        <v>155301.12</v>
      </c>
      <c r="L2304" s="4">
        <v>3449</v>
      </c>
      <c r="M2304" s="4">
        <v>0.18092200637866049</v>
      </c>
      <c r="N2304" t="s">
        <v>25</v>
      </c>
      <c r="O2304" t="str">
        <f t="shared" si="350"/>
        <v>Low</v>
      </c>
      <c r="P2304" t="str">
        <f t="shared" si="351"/>
        <v>Low</v>
      </c>
      <c r="Q2304" t="str">
        <f t="shared" si="352"/>
        <v>Low</v>
      </c>
      <c r="R2304" t="s">
        <v>3309</v>
      </c>
      <c r="S2304" s="4">
        <f t="shared" ca="1" si="353"/>
        <v>526</v>
      </c>
      <c r="T2304">
        <f t="shared" si="354"/>
        <v>1</v>
      </c>
      <c r="U2304">
        <f t="shared" si="355"/>
        <v>1</v>
      </c>
      <c r="V2304">
        <f t="shared" si="356"/>
        <v>1</v>
      </c>
      <c r="W2304">
        <f t="shared" si="357"/>
        <v>3</v>
      </c>
      <c r="X2304">
        <f t="shared" si="358"/>
        <v>1.2</v>
      </c>
      <c r="Y2304" t="str">
        <f t="shared" si="359"/>
        <v>Healthy</v>
      </c>
    </row>
    <row r="2305" spans="1:25" x14ac:dyDescent="0.35">
      <c r="A2305" t="s">
        <v>179</v>
      </c>
      <c r="B2305" t="s">
        <v>223</v>
      </c>
      <c r="C2305" t="s">
        <v>357</v>
      </c>
      <c r="D2305" t="s">
        <v>1757</v>
      </c>
      <c r="E2305">
        <v>83908214</v>
      </c>
      <c r="F2305" t="s">
        <v>1758</v>
      </c>
      <c r="G2305" s="3">
        <v>46699</v>
      </c>
      <c r="H2305">
        <v>18</v>
      </c>
      <c r="I2305">
        <v>94</v>
      </c>
      <c r="J2305">
        <v>50</v>
      </c>
      <c r="K2305" s="4">
        <v>12444</v>
      </c>
      <c r="L2305" s="4">
        <v>3449</v>
      </c>
      <c r="M2305" s="4">
        <v>1.4496955639315743E-2</v>
      </c>
      <c r="N2305" t="s">
        <v>25</v>
      </c>
      <c r="O2305" t="str">
        <f t="shared" si="350"/>
        <v>Low</v>
      </c>
      <c r="P2305" t="str">
        <f t="shared" si="351"/>
        <v>Low</v>
      </c>
      <c r="Q2305" t="str">
        <f t="shared" si="352"/>
        <v>Low</v>
      </c>
      <c r="R2305" t="s">
        <v>3317</v>
      </c>
      <c r="S2305" s="4">
        <f t="shared" ca="1" si="353"/>
        <v>502</v>
      </c>
      <c r="T2305">
        <f t="shared" si="354"/>
        <v>1</v>
      </c>
      <c r="U2305">
        <f t="shared" si="355"/>
        <v>1</v>
      </c>
      <c r="V2305">
        <f t="shared" si="356"/>
        <v>1</v>
      </c>
      <c r="W2305">
        <f t="shared" si="357"/>
        <v>1</v>
      </c>
      <c r="X2305">
        <f t="shared" si="358"/>
        <v>0.99999999999999989</v>
      </c>
      <c r="Y2305" t="str">
        <f t="shared" si="359"/>
        <v>Healthy</v>
      </c>
    </row>
    <row r="2306" spans="1:25" x14ac:dyDescent="0.35">
      <c r="A2306" t="s">
        <v>179</v>
      </c>
      <c r="B2306" t="s">
        <v>223</v>
      </c>
      <c r="C2306" t="s">
        <v>357</v>
      </c>
      <c r="D2306" t="s">
        <v>1757</v>
      </c>
      <c r="E2306">
        <v>83908214</v>
      </c>
      <c r="F2306" t="s">
        <v>1758</v>
      </c>
      <c r="G2306" s="3">
        <v>46707</v>
      </c>
      <c r="H2306">
        <v>18</v>
      </c>
      <c r="I2306">
        <v>95</v>
      </c>
      <c r="J2306">
        <v>45</v>
      </c>
      <c r="K2306" s="4">
        <v>11199.6</v>
      </c>
      <c r="L2306" s="4">
        <v>3449</v>
      </c>
      <c r="M2306" s="4">
        <v>1.3047260075384169E-2</v>
      </c>
      <c r="N2306" t="s">
        <v>25</v>
      </c>
      <c r="O2306" t="str">
        <f t="shared" si="350"/>
        <v>Low</v>
      </c>
      <c r="P2306" t="str">
        <f t="shared" si="351"/>
        <v>Low</v>
      </c>
      <c r="Q2306" t="str">
        <f t="shared" si="352"/>
        <v>Low</v>
      </c>
      <c r="R2306" t="s">
        <v>3317</v>
      </c>
      <c r="S2306" s="4">
        <f t="shared" ca="1" si="353"/>
        <v>510</v>
      </c>
      <c r="T2306">
        <f t="shared" si="354"/>
        <v>1</v>
      </c>
      <c r="U2306">
        <f t="shared" si="355"/>
        <v>1</v>
      </c>
      <c r="V2306">
        <f t="shared" si="356"/>
        <v>1</v>
      </c>
      <c r="W2306">
        <f t="shared" si="357"/>
        <v>1</v>
      </c>
      <c r="X2306">
        <f t="shared" si="358"/>
        <v>0.99999999999999989</v>
      </c>
      <c r="Y2306" t="str">
        <f t="shared" si="359"/>
        <v>Healthy</v>
      </c>
    </row>
    <row r="2307" spans="1:25" x14ac:dyDescent="0.35">
      <c r="A2307" t="s">
        <v>179</v>
      </c>
      <c r="B2307" t="s">
        <v>223</v>
      </c>
      <c r="C2307" t="s">
        <v>357</v>
      </c>
      <c r="D2307" t="s">
        <v>1757</v>
      </c>
      <c r="E2307">
        <v>83908214</v>
      </c>
      <c r="F2307" t="s">
        <v>1758</v>
      </c>
      <c r="G2307" s="3">
        <v>46723</v>
      </c>
      <c r="H2307">
        <v>18</v>
      </c>
      <c r="I2307">
        <v>98</v>
      </c>
      <c r="J2307">
        <v>72</v>
      </c>
      <c r="K2307" s="4">
        <v>17919.36</v>
      </c>
      <c r="L2307" s="4">
        <v>3449</v>
      </c>
      <c r="M2307" s="4">
        <v>2.0875616120614671E-2</v>
      </c>
      <c r="N2307" t="s">
        <v>25</v>
      </c>
      <c r="O2307" t="str">
        <f t="shared" ref="O2307:O2370" si="360">IF(I2307&lt;20,"High",IF(I2307&lt;40,"Medium","Low"))</f>
        <v>Low</v>
      </c>
      <c r="P2307" t="str">
        <f t="shared" ref="P2307:P2370" si="361">IF(M2307&gt;8,"High",IF(M2307&gt;4,"Medium","Low"))</f>
        <v>Low</v>
      </c>
      <c r="Q2307" t="str">
        <f t="shared" ref="Q2307:Q2370" si="362">IF(L2307&lt;5,"High",IF(L2307&lt;15,"Medium","Low"))</f>
        <v>Low</v>
      </c>
      <c r="R2307" t="s">
        <v>3317</v>
      </c>
      <c r="S2307" s="4">
        <f t="shared" ref="S2307:S2370" ca="1" si="363">G2307-TODAY()</f>
        <v>526</v>
      </c>
      <c r="T2307">
        <f t="shared" ref="T2307:T2370" si="364">IF(O2307="High",3,IF(O2307="Medium",2,1))</f>
        <v>1</v>
      </c>
      <c r="U2307">
        <f t="shared" ref="U2307:U2370" si="365">IF(P2307="High",3,IF(P2307="Medium",2,1))</f>
        <v>1</v>
      </c>
      <c r="V2307">
        <f t="shared" ref="V2307:V2370" si="366">IF(Q2307="High",3,IF(Q2307="Medium",2,1))</f>
        <v>1</v>
      </c>
      <c r="W2307">
        <f t="shared" ref="W2307:W2370" si="367">IF(R2307="High",3,IF(R2307="Medium",2,1))</f>
        <v>1</v>
      </c>
      <c r="X2307">
        <f t="shared" ref="X2307:X2370" si="368">(0.4*T2307)+(0.3*U2307)+(0.2*V2307)+(0.1*W2307)</f>
        <v>0.99999999999999989</v>
      </c>
      <c r="Y2307" t="str">
        <f t="shared" ref="Y2307:Y2370" si="369">IF(X2307&gt;=2.7,"Move Immediately",IF(X2307&gt;=2.2,"High Priority",IF(X2307&gt;=1.7,"Monitor","Healthy")))</f>
        <v>Healthy</v>
      </c>
    </row>
    <row r="2308" spans="1:25" x14ac:dyDescent="0.35">
      <c r="A2308" t="s">
        <v>179</v>
      </c>
      <c r="B2308" t="s">
        <v>223</v>
      </c>
      <c r="C2308" t="s">
        <v>357</v>
      </c>
      <c r="D2308" t="s">
        <v>1757</v>
      </c>
      <c r="E2308">
        <v>83908214</v>
      </c>
      <c r="F2308" t="s">
        <v>1758</v>
      </c>
      <c r="G2308" s="3">
        <v>46721</v>
      </c>
      <c r="H2308">
        <v>18</v>
      </c>
      <c r="I2308">
        <v>98</v>
      </c>
      <c r="J2308">
        <v>10</v>
      </c>
      <c r="K2308" s="4">
        <v>2488.8000000000002</v>
      </c>
      <c r="L2308" s="4">
        <v>3449</v>
      </c>
      <c r="M2308" s="4">
        <v>2.8993911278631487E-3</v>
      </c>
      <c r="N2308" t="s">
        <v>25</v>
      </c>
      <c r="O2308" t="str">
        <f t="shared" si="360"/>
        <v>Low</v>
      </c>
      <c r="P2308" t="str">
        <f t="shared" si="361"/>
        <v>Low</v>
      </c>
      <c r="Q2308" t="str">
        <f t="shared" si="362"/>
        <v>Low</v>
      </c>
      <c r="R2308" t="s">
        <v>3317</v>
      </c>
      <c r="S2308" s="4">
        <f t="shared" ca="1" si="363"/>
        <v>524</v>
      </c>
      <c r="T2308">
        <f t="shared" si="364"/>
        <v>1</v>
      </c>
      <c r="U2308">
        <f t="shared" si="365"/>
        <v>1</v>
      </c>
      <c r="V2308">
        <f t="shared" si="366"/>
        <v>1</v>
      </c>
      <c r="W2308">
        <f t="shared" si="367"/>
        <v>1</v>
      </c>
      <c r="X2308">
        <f t="shared" si="368"/>
        <v>0.99999999999999989</v>
      </c>
      <c r="Y2308" t="str">
        <f t="shared" si="369"/>
        <v>Healthy</v>
      </c>
    </row>
    <row r="2309" spans="1:25" x14ac:dyDescent="0.35">
      <c r="A2309" t="s">
        <v>179</v>
      </c>
      <c r="B2309" t="s">
        <v>223</v>
      </c>
      <c r="C2309" t="s">
        <v>357</v>
      </c>
      <c r="D2309" t="s">
        <v>1757</v>
      </c>
      <c r="E2309">
        <v>83908214</v>
      </c>
      <c r="F2309" t="s">
        <v>1758</v>
      </c>
      <c r="G2309" s="3">
        <v>46722</v>
      </c>
      <c r="H2309">
        <v>18</v>
      </c>
      <c r="I2309">
        <v>98</v>
      </c>
      <c r="J2309">
        <v>60</v>
      </c>
      <c r="K2309" s="4">
        <v>14932.8</v>
      </c>
      <c r="L2309" s="4">
        <v>3449</v>
      </c>
      <c r="M2309" s="4">
        <v>1.7396346767178893E-2</v>
      </c>
      <c r="N2309" t="s">
        <v>25</v>
      </c>
      <c r="O2309" t="str">
        <f t="shared" si="360"/>
        <v>Low</v>
      </c>
      <c r="P2309" t="str">
        <f t="shared" si="361"/>
        <v>Low</v>
      </c>
      <c r="Q2309" t="str">
        <f t="shared" si="362"/>
        <v>Low</v>
      </c>
      <c r="R2309" t="s">
        <v>3317</v>
      </c>
      <c r="S2309" s="4">
        <f t="shared" ca="1" si="363"/>
        <v>525</v>
      </c>
      <c r="T2309">
        <f t="shared" si="364"/>
        <v>1</v>
      </c>
      <c r="U2309">
        <f t="shared" si="365"/>
        <v>1</v>
      </c>
      <c r="V2309">
        <f t="shared" si="366"/>
        <v>1</v>
      </c>
      <c r="W2309">
        <f t="shared" si="367"/>
        <v>1</v>
      </c>
      <c r="X2309">
        <f t="shared" si="368"/>
        <v>0.99999999999999989</v>
      </c>
      <c r="Y2309" t="str">
        <f t="shared" si="369"/>
        <v>Healthy</v>
      </c>
    </row>
    <row r="2310" spans="1:25" x14ac:dyDescent="0.35">
      <c r="A2310" t="s">
        <v>179</v>
      </c>
      <c r="B2310" t="s">
        <v>223</v>
      </c>
      <c r="C2310" t="s">
        <v>357</v>
      </c>
      <c r="D2310" t="s">
        <v>1757</v>
      </c>
      <c r="E2310">
        <v>83908214</v>
      </c>
      <c r="F2310" t="s">
        <v>1758</v>
      </c>
      <c r="G2310" s="3">
        <v>46723</v>
      </c>
      <c r="H2310">
        <v>18</v>
      </c>
      <c r="I2310">
        <v>98</v>
      </c>
      <c r="J2310">
        <v>84</v>
      </c>
      <c r="K2310" s="4">
        <v>20905.919999999998</v>
      </c>
      <c r="L2310" s="4">
        <v>3449</v>
      </c>
      <c r="M2310" s="4">
        <v>2.4354885474050448E-2</v>
      </c>
      <c r="N2310" t="s">
        <v>25</v>
      </c>
      <c r="O2310" t="str">
        <f t="shared" si="360"/>
        <v>Low</v>
      </c>
      <c r="P2310" t="str">
        <f t="shared" si="361"/>
        <v>Low</v>
      </c>
      <c r="Q2310" t="str">
        <f t="shared" si="362"/>
        <v>Low</v>
      </c>
      <c r="R2310" t="s">
        <v>3317</v>
      </c>
      <c r="S2310" s="4">
        <f t="shared" ca="1" si="363"/>
        <v>526</v>
      </c>
      <c r="T2310">
        <f t="shared" si="364"/>
        <v>1</v>
      </c>
      <c r="U2310">
        <f t="shared" si="365"/>
        <v>1</v>
      </c>
      <c r="V2310">
        <f t="shared" si="366"/>
        <v>1</v>
      </c>
      <c r="W2310">
        <f t="shared" si="367"/>
        <v>1</v>
      </c>
      <c r="X2310">
        <f t="shared" si="368"/>
        <v>0.99999999999999989</v>
      </c>
      <c r="Y2310" t="str">
        <f t="shared" si="369"/>
        <v>Healthy</v>
      </c>
    </row>
    <row r="2311" spans="1:25" x14ac:dyDescent="0.35">
      <c r="A2311" t="s">
        <v>179</v>
      </c>
      <c r="B2311" t="s">
        <v>223</v>
      </c>
      <c r="C2311" t="s">
        <v>357</v>
      </c>
      <c r="D2311" t="s">
        <v>1760</v>
      </c>
      <c r="E2311">
        <v>83905443</v>
      </c>
      <c r="F2311" t="s">
        <v>1761</v>
      </c>
      <c r="G2311" s="3">
        <v>46561</v>
      </c>
      <c r="H2311">
        <v>18</v>
      </c>
      <c r="I2311">
        <v>68</v>
      </c>
      <c r="J2311">
        <v>1</v>
      </c>
      <c r="K2311" s="4">
        <v>724.42</v>
      </c>
      <c r="L2311" s="4">
        <v>76.142857142857139</v>
      </c>
      <c r="M2311" s="4">
        <v>1.3133208255159476E-2</v>
      </c>
      <c r="N2311" t="s">
        <v>25</v>
      </c>
      <c r="O2311" t="str">
        <f t="shared" si="360"/>
        <v>Low</v>
      </c>
      <c r="P2311" t="str">
        <f t="shared" si="361"/>
        <v>Low</v>
      </c>
      <c r="Q2311" t="str">
        <f t="shared" si="362"/>
        <v>Low</v>
      </c>
      <c r="R2311" t="s">
        <v>3317</v>
      </c>
      <c r="S2311" s="4">
        <f t="shared" ca="1" si="363"/>
        <v>364</v>
      </c>
      <c r="T2311">
        <f t="shared" si="364"/>
        <v>1</v>
      </c>
      <c r="U2311">
        <f t="shared" si="365"/>
        <v>1</v>
      </c>
      <c r="V2311">
        <f t="shared" si="366"/>
        <v>1</v>
      </c>
      <c r="W2311">
        <f t="shared" si="367"/>
        <v>1</v>
      </c>
      <c r="X2311">
        <f t="shared" si="368"/>
        <v>0.99999999999999989</v>
      </c>
      <c r="Y2311" t="str">
        <f t="shared" si="369"/>
        <v>Healthy</v>
      </c>
    </row>
    <row r="2312" spans="1:25" x14ac:dyDescent="0.35">
      <c r="A2312" t="s">
        <v>179</v>
      </c>
      <c r="B2312" t="s">
        <v>223</v>
      </c>
      <c r="C2312" t="s">
        <v>357</v>
      </c>
      <c r="D2312" t="s">
        <v>1760</v>
      </c>
      <c r="E2312">
        <v>83905443</v>
      </c>
      <c r="F2312" t="s">
        <v>1761</v>
      </c>
      <c r="G2312" s="3">
        <v>46569</v>
      </c>
      <c r="H2312">
        <v>18</v>
      </c>
      <c r="I2312">
        <v>70</v>
      </c>
      <c r="J2312">
        <v>2</v>
      </c>
      <c r="K2312" s="4">
        <v>1448.84</v>
      </c>
      <c r="L2312" s="4">
        <v>76.142857142857139</v>
      </c>
      <c r="M2312" s="4">
        <v>2.6266416510318951E-2</v>
      </c>
      <c r="N2312" t="s">
        <v>25</v>
      </c>
      <c r="O2312" t="str">
        <f t="shared" si="360"/>
        <v>Low</v>
      </c>
      <c r="P2312" t="str">
        <f t="shared" si="361"/>
        <v>Low</v>
      </c>
      <c r="Q2312" t="str">
        <f t="shared" si="362"/>
        <v>Low</v>
      </c>
      <c r="R2312" t="s">
        <v>3317</v>
      </c>
      <c r="S2312" s="4">
        <f t="shared" ca="1" si="363"/>
        <v>372</v>
      </c>
      <c r="T2312">
        <f t="shared" si="364"/>
        <v>1</v>
      </c>
      <c r="U2312">
        <f t="shared" si="365"/>
        <v>1</v>
      </c>
      <c r="V2312">
        <f t="shared" si="366"/>
        <v>1</v>
      </c>
      <c r="W2312">
        <f t="shared" si="367"/>
        <v>1</v>
      </c>
      <c r="X2312">
        <f t="shared" si="368"/>
        <v>0.99999999999999989</v>
      </c>
      <c r="Y2312" t="str">
        <f t="shared" si="369"/>
        <v>Healthy</v>
      </c>
    </row>
    <row r="2313" spans="1:25" x14ac:dyDescent="0.35">
      <c r="A2313" t="s">
        <v>179</v>
      </c>
      <c r="B2313" t="s">
        <v>223</v>
      </c>
      <c r="C2313" t="s">
        <v>357</v>
      </c>
      <c r="D2313" t="s">
        <v>1760</v>
      </c>
      <c r="E2313">
        <v>83905443</v>
      </c>
      <c r="F2313" t="s">
        <v>1761</v>
      </c>
      <c r="G2313" s="3">
        <v>46587</v>
      </c>
      <c r="H2313">
        <v>18</v>
      </c>
      <c r="I2313">
        <v>73</v>
      </c>
      <c r="J2313">
        <v>11</v>
      </c>
      <c r="K2313" s="4">
        <v>48536.14</v>
      </c>
      <c r="L2313" s="4">
        <v>76.142857142857139</v>
      </c>
      <c r="M2313" s="4">
        <v>0.14446529080675424</v>
      </c>
      <c r="N2313" t="s">
        <v>25</v>
      </c>
      <c r="O2313" t="str">
        <f t="shared" si="360"/>
        <v>Low</v>
      </c>
      <c r="P2313" t="str">
        <f t="shared" si="361"/>
        <v>Low</v>
      </c>
      <c r="Q2313" t="str">
        <f t="shared" si="362"/>
        <v>Low</v>
      </c>
      <c r="R2313" t="s">
        <v>3317</v>
      </c>
      <c r="S2313" s="4">
        <f t="shared" ca="1" si="363"/>
        <v>390</v>
      </c>
      <c r="T2313">
        <f t="shared" si="364"/>
        <v>1</v>
      </c>
      <c r="U2313">
        <f t="shared" si="365"/>
        <v>1</v>
      </c>
      <c r="V2313">
        <f t="shared" si="366"/>
        <v>1</v>
      </c>
      <c r="W2313">
        <f t="shared" si="367"/>
        <v>1</v>
      </c>
      <c r="X2313">
        <f t="shared" si="368"/>
        <v>0.99999999999999989</v>
      </c>
      <c r="Y2313" t="str">
        <f t="shared" si="369"/>
        <v>Healthy</v>
      </c>
    </row>
    <row r="2314" spans="1:25" x14ac:dyDescent="0.35">
      <c r="A2314" t="s">
        <v>179</v>
      </c>
      <c r="B2314" t="s">
        <v>223</v>
      </c>
      <c r="C2314" t="s">
        <v>357</v>
      </c>
      <c r="D2314" t="s">
        <v>472</v>
      </c>
      <c r="E2314">
        <v>83908215</v>
      </c>
      <c r="F2314" t="s">
        <v>1762</v>
      </c>
      <c r="G2314" s="3">
        <v>46727</v>
      </c>
      <c r="H2314">
        <v>18</v>
      </c>
      <c r="I2314">
        <v>99</v>
      </c>
      <c r="J2314">
        <v>735</v>
      </c>
      <c r="K2314" s="4">
        <v>470385.3</v>
      </c>
      <c r="L2314" s="4">
        <v>6441</v>
      </c>
      <c r="M2314" s="4">
        <v>0.11411271541686073</v>
      </c>
      <c r="N2314" t="s">
        <v>25</v>
      </c>
      <c r="O2314" t="str">
        <f t="shared" si="360"/>
        <v>Low</v>
      </c>
      <c r="P2314" t="str">
        <f t="shared" si="361"/>
        <v>Low</v>
      </c>
      <c r="Q2314" t="str">
        <f t="shared" si="362"/>
        <v>Low</v>
      </c>
      <c r="R2314" t="s">
        <v>3309</v>
      </c>
      <c r="S2314" s="4">
        <f t="shared" ca="1" si="363"/>
        <v>530</v>
      </c>
      <c r="T2314">
        <f t="shared" si="364"/>
        <v>1</v>
      </c>
      <c r="U2314">
        <f t="shared" si="365"/>
        <v>1</v>
      </c>
      <c r="V2314">
        <f t="shared" si="366"/>
        <v>1</v>
      </c>
      <c r="W2314">
        <f t="shared" si="367"/>
        <v>3</v>
      </c>
      <c r="X2314">
        <f t="shared" si="368"/>
        <v>1.2</v>
      </c>
      <c r="Y2314" t="str">
        <f t="shared" si="369"/>
        <v>Healthy</v>
      </c>
    </row>
    <row r="2315" spans="1:25" x14ac:dyDescent="0.35">
      <c r="A2315" t="s">
        <v>179</v>
      </c>
      <c r="B2315" t="s">
        <v>223</v>
      </c>
      <c r="C2315" t="s">
        <v>357</v>
      </c>
      <c r="D2315" t="s">
        <v>472</v>
      </c>
      <c r="E2315">
        <v>83908215</v>
      </c>
      <c r="F2315" t="s">
        <v>1762</v>
      </c>
      <c r="G2315" s="3">
        <v>46711</v>
      </c>
      <c r="H2315">
        <v>18</v>
      </c>
      <c r="I2315">
        <v>96</v>
      </c>
      <c r="J2315">
        <v>156</v>
      </c>
      <c r="K2315" s="4">
        <v>99836.88</v>
      </c>
      <c r="L2315" s="4">
        <v>6441</v>
      </c>
      <c r="M2315" s="4">
        <v>2.4219841639496972E-2</v>
      </c>
      <c r="N2315" t="s">
        <v>25</v>
      </c>
      <c r="O2315" t="str">
        <f t="shared" si="360"/>
        <v>Low</v>
      </c>
      <c r="P2315" t="str">
        <f t="shared" si="361"/>
        <v>Low</v>
      </c>
      <c r="Q2315" t="str">
        <f t="shared" si="362"/>
        <v>Low</v>
      </c>
      <c r="R2315" t="s">
        <v>3310</v>
      </c>
      <c r="S2315" s="4">
        <f t="shared" ca="1" si="363"/>
        <v>514</v>
      </c>
      <c r="T2315">
        <f t="shared" si="364"/>
        <v>1</v>
      </c>
      <c r="U2315">
        <f t="shared" si="365"/>
        <v>1</v>
      </c>
      <c r="V2315">
        <f t="shared" si="366"/>
        <v>1</v>
      </c>
      <c r="W2315">
        <f t="shared" si="367"/>
        <v>2</v>
      </c>
      <c r="X2315">
        <f t="shared" si="368"/>
        <v>1.0999999999999999</v>
      </c>
      <c r="Y2315" t="str">
        <f t="shared" si="369"/>
        <v>Healthy</v>
      </c>
    </row>
    <row r="2316" spans="1:25" x14ac:dyDescent="0.35">
      <c r="A2316" t="s">
        <v>179</v>
      </c>
      <c r="B2316" t="s">
        <v>223</v>
      </c>
      <c r="C2316" t="s">
        <v>357</v>
      </c>
      <c r="D2316" t="s">
        <v>472</v>
      </c>
      <c r="E2316">
        <v>83908215</v>
      </c>
      <c r="F2316" t="s">
        <v>1762</v>
      </c>
      <c r="G2316" s="3">
        <v>46712</v>
      </c>
      <c r="H2316">
        <v>18</v>
      </c>
      <c r="I2316">
        <v>96</v>
      </c>
      <c r="J2316">
        <v>78</v>
      </c>
      <c r="K2316" s="4">
        <v>49918.44</v>
      </c>
      <c r="L2316" s="4">
        <v>6441</v>
      </c>
      <c r="M2316" s="4">
        <v>1.2109920819748486E-2</v>
      </c>
      <c r="N2316" t="s">
        <v>25</v>
      </c>
      <c r="O2316" t="str">
        <f t="shared" si="360"/>
        <v>Low</v>
      </c>
      <c r="P2316" t="str">
        <f t="shared" si="361"/>
        <v>Low</v>
      </c>
      <c r="Q2316" t="str">
        <f t="shared" si="362"/>
        <v>Low</v>
      </c>
      <c r="R2316" t="s">
        <v>3317</v>
      </c>
      <c r="S2316" s="4">
        <f t="shared" ca="1" si="363"/>
        <v>515</v>
      </c>
      <c r="T2316">
        <f t="shared" si="364"/>
        <v>1</v>
      </c>
      <c r="U2316">
        <f t="shared" si="365"/>
        <v>1</v>
      </c>
      <c r="V2316">
        <f t="shared" si="366"/>
        <v>1</v>
      </c>
      <c r="W2316">
        <f t="shared" si="367"/>
        <v>1</v>
      </c>
      <c r="X2316">
        <f t="shared" si="368"/>
        <v>0.99999999999999989</v>
      </c>
      <c r="Y2316" t="str">
        <f t="shared" si="369"/>
        <v>Healthy</v>
      </c>
    </row>
    <row r="2317" spans="1:25" x14ac:dyDescent="0.35">
      <c r="A2317" t="s">
        <v>179</v>
      </c>
      <c r="B2317" t="s">
        <v>223</v>
      </c>
      <c r="C2317" t="s">
        <v>357</v>
      </c>
      <c r="D2317" t="s">
        <v>472</v>
      </c>
      <c r="E2317">
        <v>83908215</v>
      </c>
      <c r="F2317" t="s">
        <v>1762</v>
      </c>
      <c r="G2317" s="3">
        <v>46721</v>
      </c>
      <c r="H2317">
        <v>18</v>
      </c>
      <c r="I2317">
        <v>98</v>
      </c>
      <c r="J2317">
        <v>161</v>
      </c>
      <c r="K2317" s="4">
        <v>103036.78</v>
      </c>
      <c r="L2317" s="4">
        <v>6441</v>
      </c>
      <c r="M2317" s="4">
        <v>2.4996118615121875E-2</v>
      </c>
      <c r="N2317" t="s">
        <v>25</v>
      </c>
      <c r="O2317" t="str">
        <f t="shared" si="360"/>
        <v>Low</v>
      </c>
      <c r="P2317" t="str">
        <f t="shared" si="361"/>
        <v>Low</v>
      </c>
      <c r="Q2317" t="str">
        <f t="shared" si="362"/>
        <v>Low</v>
      </c>
      <c r="R2317" t="s">
        <v>3310</v>
      </c>
      <c r="S2317" s="4">
        <f t="shared" ca="1" si="363"/>
        <v>524</v>
      </c>
      <c r="T2317">
        <f t="shared" si="364"/>
        <v>1</v>
      </c>
      <c r="U2317">
        <f t="shared" si="365"/>
        <v>1</v>
      </c>
      <c r="V2317">
        <f t="shared" si="366"/>
        <v>1</v>
      </c>
      <c r="W2317">
        <f t="shared" si="367"/>
        <v>2</v>
      </c>
      <c r="X2317">
        <f t="shared" si="368"/>
        <v>1.0999999999999999</v>
      </c>
      <c r="Y2317" t="str">
        <f t="shared" si="369"/>
        <v>Healthy</v>
      </c>
    </row>
    <row r="2318" spans="1:25" x14ac:dyDescent="0.35">
      <c r="A2318" t="s">
        <v>179</v>
      </c>
      <c r="B2318" t="s">
        <v>223</v>
      </c>
      <c r="C2318" t="s">
        <v>357</v>
      </c>
      <c r="D2318" t="s">
        <v>472</v>
      </c>
      <c r="E2318">
        <v>83908215</v>
      </c>
      <c r="F2318" t="s">
        <v>1762</v>
      </c>
      <c r="G2318" s="3">
        <v>46722</v>
      </c>
      <c r="H2318">
        <v>18</v>
      </c>
      <c r="I2318">
        <v>98</v>
      </c>
      <c r="J2318">
        <v>735</v>
      </c>
      <c r="K2318" s="4">
        <v>470385.3</v>
      </c>
      <c r="L2318" s="4">
        <v>6441</v>
      </c>
      <c r="M2318" s="4">
        <v>0.11411271541686073</v>
      </c>
      <c r="N2318" t="s">
        <v>25</v>
      </c>
      <c r="O2318" t="str">
        <f t="shared" si="360"/>
        <v>Low</v>
      </c>
      <c r="P2318" t="str">
        <f t="shared" si="361"/>
        <v>Low</v>
      </c>
      <c r="Q2318" t="str">
        <f t="shared" si="362"/>
        <v>Low</v>
      </c>
      <c r="R2318" t="s">
        <v>3309</v>
      </c>
      <c r="S2318" s="4">
        <f t="shared" ca="1" si="363"/>
        <v>525</v>
      </c>
      <c r="T2318">
        <f t="shared" si="364"/>
        <v>1</v>
      </c>
      <c r="U2318">
        <f t="shared" si="365"/>
        <v>1</v>
      </c>
      <c r="V2318">
        <f t="shared" si="366"/>
        <v>1</v>
      </c>
      <c r="W2318">
        <f t="shared" si="367"/>
        <v>3</v>
      </c>
      <c r="X2318">
        <f t="shared" si="368"/>
        <v>1.2</v>
      </c>
      <c r="Y2318" t="str">
        <f t="shared" si="369"/>
        <v>Healthy</v>
      </c>
    </row>
    <row r="2319" spans="1:25" x14ac:dyDescent="0.35">
      <c r="A2319" t="s">
        <v>99</v>
      </c>
      <c r="B2319" t="s">
        <v>100</v>
      </c>
      <c r="C2319" t="s">
        <v>136</v>
      </c>
      <c r="D2319" t="s">
        <v>1294</v>
      </c>
      <c r="E2319">
        <v>80739914</v>
      </c>
      <c r="F2319" t="s">
        <v>1763</v>
      </c>
      <c r="G2319" s="3">
        <v>46749</v>
      </c>
      <c r="H2319">
        <v>36</v>
      </c>
      <c r="I2319">
        <v>52</v>
      </c>
      <c r="J2319">
        <v>12</v>
      </c>
      <c r="K2319" s="4">
        <v>2735.88</v>
      </c>
      <c r="L2319" s="4">
        <f>0</f>
        <v>0</v>
      </c>
      <c r="M2319" s="4">
        <f>999</f>
        <v>999</v>
      </c>
      <c r="N2319" t="s">
        <v>19</v>
      </c>
      <c r="O2319" t="str">
        <f t="shared" si="360"/>
        <v>Low</v>
      </c>
      <c r="P2319" t="str">
        <f t="shared" si="361"/>
        <v>High</v>
      </c>
      <c r="Q2319" t="str">
        <f t="shared" si="362"/>
        <v>High</v>
      </c>
      <c r="R2319" t="s">
        <v>3317</v>
      </c>
      <c r="S2319" s="4">
        <f t="shared" ca="1" si="363"/>
        <v>552</v>
      </c>
      <c r="T2319">
        <f t="shared" si="364"/>
        <v>1</v>
      </c>
      <c r="U2319">
        <f t="shared" si="365"/>
        <v>3</v>
      </c>
      <c r="V2319">
        <f t="shared" si="366"/>
        <v>3</v>
      </c>
      <c r="W2319">
        <f t="shared" si="367"/>
        <v>1</v>
      </c>
      <c r="X2319">
        <f t="shared" si="368"/>
        <v>2</v>
      </c>
      <c r="Y2319" t="str">
        <f t="shared" si="369"/>
        <v>Monitor</v>
      </c>
    </row>
    <row r="2320" spans="1:25" x14ac:dyDescent="0.35">
      <c r="A2320" t="s">
        <v>179</v>
      </c>
      <c r="B2320" t="s">
        <v>223</v>
      </c>
      <c r="C2320" t="s">
        <v>357</v>
      </c>
      <c r="D2320" t="s">
        <v>472</v>
      </c>
      <c r="E2320">
        <v>83908215</v>
      </c>
      <c r="F2320" t="s">
        <v>1762</v>
      </c>
      <c r="G2320" s="3">
        <v>46727</v>
      </c>
      <c r="H2320">
        <v>18</v>
      </c>
      <c r="I2320">
        <v>99</v>
      </c>
      <c r="J2320">
        <v>57</v>
      </c>
      <c r="K2320" s="4">
        <v>36478.86</v>
      </c>
      <c r="L2320" s="4">
        <v>6441</v>
      </c>
      <c r="M2320" s="4">
        <v>8.8495575221238937E-3</v>
      </c>
      <c r="N2320" t="s">
        <v>25</v>
      </c>
      <c r="O2320" t="str">
        <f t="shared" si="360"/>
        <v>Low</v>
      </c>
      <c r="P2320" t="str">
        <f t="shared" si="361"/>
        <v>Low</v>
      </c>
      <c r="Q2320" t="str">
        <f t="shared" si="362"/>
        <v>Low</v>
      </c>
      <c r="R2320" t="s">
        <v>3317</v>
      </c>
      <c r="S2320" s="4">
        <f t="shared" ca="1" si="363"/>
        <v>530</v>
      </c>
      <c r="T2320">
        <f t="shared" si="364"/>
        <v>1</v>
      </c>
      <c r="U2320">
        <f t="shared" si="365"/>
        <v>1</v>
      </c>
      <c r="V2320">
        <f t="shared" si="366"/>
        <v>1</v>
      </c>
      <c r="W2320">
        <f t="shared" si="367"/>
        <v>1</v>
      </c>
      <c r="X2320">
        <f t="shared" si="368"/>
        <v>0.99999999999999989</v>
      </c>
      <c r="Y2320" t="str">
        <f t="shared" si="369"/>
        <v>Healthy</v>
      </c>
    </row>
    <row r="2321" spans="1:25" x14ac:dyDescent="0.35">
      <c r="A2321" t="s">
        <v>179</v>
      </c>
      <c r="B2321" t="s">
        <v>223</v>
      </c>
      <c r="C2321" t="s">
        <v>357</v>
      </c>
      <c r="D2321" t="s">
        <v>472</v>
      </c>
      <c r="E2321">
        <v>83908215</v>
      </c>
      <c r="F2321" t="s">
        <v>1762</v>
      </c>
      <c r="G2321" s="3">
        <v>46724</v>
      </c>
      <c r="H2321">
        <v>18</v>
      </c>
      <c r="I2321">
        <v>99</v>
      </c>
      <c r="J2321">
        <v>54</v>
      </c>
      <c r="K2321" s="4">
        <v>34558.92</v>
      </c>
      <c r="L2321" s="4">
        <v>6441</v>
      </c>
      <c r="M2321" s="4">
        <v>8.3837913367489515E-3</v>
      </c>
      <c r="N2321" t="s">
        <v>25</v>
      </c>
      <c r="O2321" t="str">
        <f t="shared" si="360"/>
        <v>Low</v>
      </c>
      <c r="P2321" t="str">
        <f t="shared" si="361"/>
        <v>Low</v>
      </c>
      <c r="Q2321" t="str">
        <f t="shared" si="362"/>
        <v>Low</v>
      </c>
      <c r="R2321" t="s">
        <v>3317</v>
      </c>
      <c r="S2321" s="4">
        <f t="shared" ca="1" si="363"/>
        <v>527</v>
      </c>
      <c r="T2321">
        <f t="shared" si="364"/>
        <v>1</v>
      </c>
      <c r="U2321">
        <f t="shared" si="365"/>
        <v>1</v>
      </c>
      <c r="V2321">
        <f t="shared" si="366"/>
        <v>1</v>
      </c>
      <c r="W2321">
        <f t="shared" si="367"/>
        <v>1</v>
      </c>
      <c r="X2321">
        <f t="shared" si="368"/>
        <v>0.99999999999999989</v>
      </c>
      <c r="Y2321" t="str">
        <f t="shared" si="369"/>
        <v>Healthy</v>
      </c>
    </row>
    <row r="2322" spans="1:25" x14ac:dyDescent="0.35">
      <c r="A2322" t="s">
        <v>179</v>
      </c>
      <c r="B2322" t="s">
        <v>223</v>
      </c>
      <c r="C2322" t="s">
        <v>357</v>
      </c>
      <c r="D2322" t="s">
        <v>472</v>
      </c>
      <c r="E2322">
        <v>83908215</v>
      </c>
      <c r="F2322" t="s">
        <v>1762</v>
      </c>
      <c r="G2322" s="3">
        <v>46725</v>
      </c>
      <c r="H2322">
        <v>18</v>
      </c>
      <c r="I2322">
        <v>99</v>
      </c>
      <c r="J2322">
        <v>552</v>
      </c>
      <c r="K2322" s="4">
        <v>353268.96</v>
      </c>
      <c r="L2322" s="4">
        <v>6441</v>
      </c>
      <c r="M2322" s="4">
        <v>8.5700978108989287E-2</v>
      </c>
      <c r="N2322" t="s">
        <v>25</v>
      </c>
      <c r="O2322" t="str">
        <f t="shared" si="360"/>
        <v>Low</v>
      </c>
      <c r="P2322" t="str">
        <f t="shared" si="361"/>
        <v>Low</v>
      </c>
      <c r="Q2322" t="str">
        <f t="shared" si="362"/>
        <v>Low</v>
      </c>
      <c r="R2322" t="s">
        <v>3309</v>
      </c>
      <c r="S2322" s="4">
        <f t="shared" ca="1" si="363"/>
        <v>528</v>
      </c>
      <c r="T2322">
        <f t="shared" si="364"/>
        <v>1</v>
      </c>
      <c r="U2322">
        <f t="shared" si="365"/>
        <v>1</v>
      </c>
      <c r="V2322">
        <f t="shared" si="366"/>
        <v>1</v>
      </c>
      <c r="W2322">
        <f t="shared" si="367"/>
        <v>3</v>
      </c>
      <c r="X2322">
        <f t="shared" si="368"/>
        <v>1.2</v>
      </c>
      <c r="Y2322" t="str">
        <f t="shared" si="369"/>
        <v>Healthy</v>
      </c>
    </row>
    <row r="2323" spans="1:25" x14ac:dyDescent="0.35">
      <c r="A2323" t="s">
        <v>179</v>
      </c>
      <c r="B2323" t="s">
        <v>223</v>
      </c>
      <c r="C2323" t="s">
        <v>357</v>
      </c>
      <c r="D2323" t="s">
        <v>472</v>
      </c>
      <c r="E2323">
        <v>83908215</v>
      </c>
      <c r="F2323" t="s">
        <v>1762</v>
      </c>
      <c r="G2323" s="3">
        <v>46711</v>
      </c>
      <c r="H2323">
        <v>18</v>
      </c>
      <c r="I2323">
        <v>96</v>
      </c>
      <c r="J2323">
        <v>48</v>
      </c>
      <c r="K2323" s="4">
        <v>30719.040000000001</v>
      </c>
      <c r="L2323" s="4">
        <v>6441</v>
      </c>
      <c r="M2323" s="4">
        <v>7.4522589659990687E-3</v>
      </c>
      <c r="N2323" t="s">
        <v>25</v>
      </c>
      <c r="O2323" t="str">
        <f t="shared" si="360"/>
        <v>Low</v>
      </c>
      <c r="P2323" t="str">
        <f t="shared" si="361"/>
        <v>Low</v>
      </c>
      <c r="Q2323" t="str">
        <f t="shared" si="362"/>
        <v>Low</v>
      </c>
      <c r="R2323" t="s">
        <v>3317</v>
      </c>
      <c r="S2323" s="4">
        <f t="shared" ca="1" si="363"/>
        <v>514</v>
      </c>
      <c r="T2323">
        <f t="shared" si="364"/>
        <v>1</v>
      </c>
      <c r="U2323">
        <f t="shared" si="365"/>
        <v>1</v>
      </c>
      <c r="V2323">
        <f t="shared" si="366"/>
        <v>1</v>
      </c>
      <c r="W2323">
        <f t="shared" si="367"/>
        <v>1</v>
      </c>
      <c r="X2323">
        <f t="shared" si="368"/>
        <v>0.99999999999999989</v>
      </c>
      <c r="Y2323" t="str">
        <f t="shared" si="369"/>
        <v>Healthy</v>
      </c>
    </row>
    <row r="2324" spans="1:25" x14ac:dyDescent="0.35">
      <c r="A2324" t="s">
        <v>179</v>
      </c>
      <c r="B2324" t="s">
        <v>223</v>
      </c>
      <c r="C2324" t="s">
        <v>357</v>
      </c>
      <c r="D2324" t="s">
        <v>472</v>
      </c>
      <c r="E2324">
        <v>83908215</v>
      </c>
      <c r="F2324" t="s">
        <v>1762</v>
      </c>
      <c r="G2324" s="3">
        <v>46712</v>
      </c>
      <c r="H2324">
        <v>18</v>
      </c>
      <c r="I2324">
        <v>96</v>
      </c>
      <c r="J2324">
        <v>24</v>
      </c>
      <c r="K2324" s="4">
        <v>15359.52</v>
      </c>
      <c r="L2324" s="4">
        <v>6441</v>
      </c>
      <c r="M2324" s="4">
        <v>3.7261294829995344E-3</v>
      </c>
      <c r="N2324" t="s">
        <v>25</v>
      </c>
      <c r="O2324" t="str">
        <f t="shared" si="360"/>
        <v>Low</v>
      </c>
      <c r="P2324" t="str">
        <f t="shared" si="361"/>
        <v>Low</v>
      </c>
      <c r="Q2324" t="str">
        <f t="shared" si="362"/>
        <v>Low</v>
      </c>
      <c r="R2324" t="s">
        <v>3317</v>
      </c>
      <c r="S2324" s="4">
        <f t="shared" ca="1" si="363"/>
        <v>515</v>
      </c>
      <c r="T2324">
        <f t="shared" si="364"/>
        <v>1</v>
      </c>
      <c r="U2324">
        <f t="shared" si="365"/>
        <v>1</v>
      </c>
      <c r="V2324">
        <f t="shared" si="366"/>
        <v>1</v>
      </c>
      <c r="W2324">
        <f t="shared" si="367"/>
        <v>1</v>
      </c>
      <c r="X2324">
        <f t="shared" si="368"/>
        <v>0.99999999999999989</v>
      </c>
      <c r="Y2324" t="str">
        <f t="shared" si="369"/>
        <v>Healthy</v>
      </c>
    </row>
    <row r="2325" spans="1:25" x14ac:dyDescent="0.35">
      <c r="A2325" t="s">
        <v>179</v>
      </c>
      <c r="B2325" t="s">
        <v>223</v>
      </c>
      <c r="C2325" t="s">
        <v>357</v>
      </c>
      <c r="D2325" t="s">
        <v>472</v>
      </c>
      <c r="E2325">
        <v>83908215</v>
      </c>
      <c r="F2325" t="s">
        <v>1762</v>
      </c>
      <c r="G2325" s="3">
        <v>46719</v>
      </c>
      <c r="H2325">
        <v>18</v>
      </c>
      <c r="I2325">
        <v>98</v>
      </c>
      <c r="J2325">
        <v>88</v>
      </c>
      <c r="K2325" s="4">
        <v>56318.239999999998</v>
      </c>
      <c r="L2325" s="4">
        <v>6441</v>
      </c>
      <c r="M2325" s="4">
        <v>1.3662474770998292E-2</v>
      </c>
      <c r="N2325" t="s">
        <v>25</v>
      </c>
      <c r="O2325" t="str">
        <f t="shared" si="360"/>
        <v>Low</v>
      </c>
      <c r="P2325" t="str">
        <f t="shared" si="361"/>
        <v>Low</v>
      </c>
      <c r="Q2325" t="str">
        <f t="shared" si="362"/>
        <v>Low</v>
      </c>
      <c r="R2325" t="s">
        <v>3317</v>
      </c>
      <c r="S2325" s="4">
        <f t="shared" ca="1" si="363"/>
        <v>522</v>
      </c>
      <c r="T2325">
        <f t="shared" si="364"/>
        <v>1</v>
      </c>
      <c r="U2325">
        <f t="shared" si="365"/>
        <v>1</v>
      </c>
      <c r="V2325">
        <f t="shared" si="366"/>
        <v>1</v>
      </c>
      <c r="W2325">
        <f t="shared" si="367"/>
        <v>1</v>
      </c>
      <c r="X2325">
        <f t="shared" si="368"/>
        <v>0.99999999999999989</v>
      </c>
      <c r="Y2325" t="str">
        <f t="shared" si="369"/>
        <v>Healthy</v>
      </c>
    </row>
    <row r="2326" spans="1:25" x14ac:dyDescent="0.35">
      <c r="A2326" t="s">
        <v>179</v>
      </c>
      <c r="B2326" t="s">
        <v>223</v>
      </c>
      <c r="C2326" t="s">
        <v>357</v>
      </c>
      <c r="D2326" t="s">
        <v>472</v>
      </c>
      <c r="E2326">
        <v>83908215</v>
      </c>
      <c r="F2326" t="s">
        <v>1762</v>
      </c>
      <c r="G2326" s="3">
        <v>46717</v>
      </c>
      <c r="H2326">
        <v>18</v>
      </c>
      <c r="I2326">
        <v>97</v>
      </c>
      <c r="J2326">
        <v>30</v>
      </c>
      <c r="K2326" s="4">
        <v>19199.400000000001</v>
      </c>
      <c r="L2326" s="4">
        <v>6441</v>
      </c>
      <c r="M2326" s="4">
        <v>4.657661853749418E-3</v>
      </c>
      <c r="N2326" t="s">
        <v>25</v>
      </c>
      <c r="O2326" t="str">
        <f t="shared" si="360"/>
        <v>Low</v>
      </c>
      <c r="P2326" t="str">
        <f t="shared" si="361"/>
        <v>Low</v>
      </c>
      <c r="Q2326" t="str">
        <f t="shared" si="362"/>
        <v>Low</v>
      </c>
      <c r="R2326" t="s">
        <v>3317</v>
      </c>
      <c r="S2326" s="4">
        <f t="shared" ca="1" si="363"/>
        <v>520</v>
      </c>
      <c r="T2326">
        <f t="shared" si="364"/>
        <v>1</v>
      </c>
      <c r="U2326">
        <f t="shared" si="365"/>
        <v>1</v>
      </c>
      <c r="V2326">
        <f t="shared" si="366"/>
        <v>1</v>
      </c>
      <c r="W2326">
        <f t="shared" si="367"/>
        <v>1</v>
      </c>
      <c r="X2326">
        <f t="shared" si="368"/>
        <v>0.99999999999999989</v>
      </c>
      <c r="Y2326" t="str">
        <f t="shared" si="369"/>
        <v>Healthy</v>
      </c>
    </row>
    <row r="2327" spans="1:25" x14ac:dyDescent="0.35">
      <c r="A2327" t="s">
        <v>179</v>
      </c>
      <c r="B2327" t="s">
        <v>223</v>
      </c>
      <c r="C2327" t="s">
        <v>357</v>
      </c>
      <c r="D2327" t="s">
        <v>1764</v>
      </c>
      <c r="E2327">
        <v>83908216</v>
      </c>
      <c r="F2327" t="s">
        <v>1765</v>
      </c>
      <c r="G2327" s="3">
        <v>46713</v>
      </c>
      <c r="H2327">
        <v>18</v>
      </c>
      <c r="I2327">
        <v>96</v>
      </c>
      <c r="J2327">
        <v>64</v>
      </c>
      <c r="K2327" s="4">
        <v>15928.32</v>
      </c>
      <c r="L2327" s="4">
        <v>1571</v>
      </c>
      <c r="M2327" s="4">
        <v>4.0738383195416929E-2</v>
      </c>
      <c r="N2327" t="s">
        <v>25</v>
      </c>
      <c r="O2327" t="str">
        <f t="shared" si="360"/>
        <v>Low</v>
      </c>
      <c r="P2327" t="str">
        <f t="shared" si="361"/>
        <v>Low</v>
      </c>
      <c r="Q2327" t="str">
        <f t="shared" si="362"/>
        <v>Low</v>
      </c>
      <c r="R2327" t="s">
        <v>3317</v>
      </c>
      <c r="S2327" s="4">
        <f t="shared" ca="1" si="363"/>
        <v>516</v>
      </c>
      <c r="T2327">
        <f t="shared" si="364"/>
        <v>1</v>
      </c>
      <c r="U2327">
        <f t="shared" si="365"/>
        <v>1</v>
      </c>
      <c r="V2327">
        <f t="shared" si="366"/>
        <v>1</v>
      </c>
      <c r="W2327">
        <f t="shared" si="367"/>
        <v>1</v>
      </c>
      <c r="X2327">
        <f t="shared" si="368"/>
        <v>0.99999999999999989</v>
      </c>
      <c r="Y2327" t="str">
        <f t="shared" si="369"/>
        <v>Healthy</v>
      </c>
    </row>
    <row r="2328" spans="1:25" x14ac:dyDescent="0.35">
      <c r="A2328" t="s">
        <v>179</v>
      </c>
      <c r="B2328" t="s">
        <v>223</v>
      </c>
      <c r="C2328" t="s">
        <v>357</v>
      </c>
      <c r="D2328" t="s">
        <v>1764</v>
      </c>
      <c r="E2328">
        <v>83908216</v>
      </c>
      <c r="F2328" t="s">
        <v>1765</v>
      </c>
      <c r="G2328" s="3">
        <v>46713</v>
      </c>
      <c r="H2328">
        <v>18</v>
      </c>
      <c r="I2328">
        <v>96</v>
      </c>
      <c r="J2328">
        <v>12</v>
      </c>
      <c r="K2328" s="4">
        <v>2986.56</v>
      </c>
      <c r="L2328" s="4">
        <v>1571</v>
      </c>
      <c r="M2328" s="4">
        <v>7.6384468491406746E-3</v>
      </c>
      <c r="N2328" t="s">
        <v>25</v>
      </c>
      <c r="O2328" t="str">
        <f t="shared" si="360"/>
        <v>Low</v>
      </c>
      <c r="P2328" t="str">
        <f t="shared" si="361"/>
        <v>Low</v>
      </c>
      <c r="Q2328" t="str">
        <f t="shared" si="362"/>
        <v>Low</v>
      </c>
      <c r="R2328" t="s">
        <v>3317</v>
      </c>
      <c r="S2328" s="4">
        <f t="shared" ca="1" si="363"/>
        <v>516</v>
      </c>
      <c r="T2328">
        <f t="shared" si="364"/>
        <v>1</v>
      </c>
      <c r="U2328">
        <f t="shared" si="365"/>
        <v>1</v>
      </c>
      <c r="V2328">
        <f t="shared" si="366"/>
        <v>1</v>
      </c>
      <c r="W2328">
        <f t="shared" si="367"/>
        <v>1</v>
      </c>
      <c r="X2328">
        <f t="shared" si="368"/>
        <v>0.99999999999999989</v>
      </c>
      <c r="Y2328" t="str">
        <f t="shared" si="369"/>
        <v>Healthy</v>
      </c>
    </row>
    <row r="2329" spans="1:25" x14ac:dyDescent="0.35">
      <c r="A2329" t="s">
        <v>179</v>
      </c>
      <c r="B2329" t="s">
        <v>223</v>
      </c>
      <c r="C2329" t="s">
        <v>357</v>
      </c>
      <c r="D2329" t="s">
        <v>1764</v>
      </c>
      <c r="E2329">
        <v>83908216</v>
      </c>
      <c r="F2329" t="s">
        <v>1765</v>
      </c>
      <c r="G2329" s="3">
        <v>46709</v>
      </c>
      <c r="H2329">
        <v>18</v>
      </c>
      <c r="I2329">
        <v>96</v>
      </c>
      <c r="J2329">
        <v>24</v>
      </c>
      <c r="K2329" s="4">
        <v>5973.12</v>
      </c>
      <c r="L2329" s="4">
        <v>1571</v>
      </c>
      <c r="M2329" s="4">
        <v>1.5276893698281349E-2</v>
      </c>
      <c r="N2329" t="s">
        <v>25</v>
      </c>
      <c r="O2329" t="str">
        <f t="shared" si="360"/>
        <v>Low</v>
      </c>
      <c r="P2329" t="str">
        <f t="shared" si="361"/>
        <v>Low</v>
      </c>
      <c r="Q2329" t="str">
        <f t="shared" si="362"/>
        <v>Low</v>
      </c>
      <c r="R2329" t="s">
        <v>3317</v>
      </c>
      <c r="S2329" s="4">
        <f t="shared" ca="1" si="363"/>
        <v>512</v>
      </c>
      <c r="T2329">
        <f t="shared" si="364"/>
        <v>1</v>
      </c>
      <c r="U2329">
        <f t="shared" si="365"/>
        <v>1</v>
      </c>
      <c r="V2329">
        <f t="shared" si="366"/>
        <v>1</v>
      </c>
      <c r="W2329">
        <f t="shared" si="367"/>
        <v>1</v>
      </c>
      <c r="X2329">
        <f t="shared" si="368"/>
        <v>0.99999999999999989</v>
      </c>
      <c r="Y2329" t="str">
        <f t="shared" si="369"/>
        <v>Healthy</v>
      </c>
    </row>
    <row r="2330" spans="1:25" x14ac:dyDescent="0.35">
      <c r="A2330" t="s">
        <v>179</v>
      </c>
      <c r="B2330" t="s">
        <v>223</v>
      </c>
      <c r="C2330" t="s">
        <v>357</v>
      </c>
      <c r="D2330" t="s">
        <v>1764</v>
      </c>
      <c r="E2330">
        <v>83908216</v>
      </c>
      <c r="F2330" t="s">
        <v>1765</v>
      </c>
      <c r="G2330" s="3">
        <v>46674</v>
      </c>
      <c r="H2330">
        <v>18</v>
      </c>
      <c r="I2330">
        <v>89</v>
      </c>
      <c r="J2330">
        <v>8</v>
      </c>
      <c r="K2330" s="4">
        <v>1991.04</v>
      </c>
      <c r="L2330" s="4">
        <v>1571</v>
      </c>
      <c r="M2330" s="4">
        <v>5.0922978994271161E-3</v>
      </c>
      <c r="N2330" t="s">
        <v>25</v>
      </c>
      <c r="O2330" t="str">
        <f t="shared" si="360"/>
        <v>Low</v>
      </c>
      <c r="P2330" t="str">
        <f t="shared" si="361"/>
        <v>Low</v>
      </c>
      <c r="Q2330" t="str">
        <f t="shared" si="362"/>
        <v>Low</v>
      </c>
      <c r="R2330" t="s">
        <v>3317</v>
      </c>
      <c r="S2330" s="4">
        <f t="shared" ca="1" si="363"/>
        <v>477</v>
      </c>
      <c r="T2330">
        <f t="shared" si="364"/>
        <v>1</v>
      </c>
      <c r="U2330">
        <f t="shared" si="365"/>
        <v>1</v>
      </c>
      <c r="V2330">
        <f t="shared" si="366"/>
        <v>1</v>
      </c>
      <c r="W2330">
        <f t="shared" si="367"/>
        <v>1</v>
      </c>
      <c r="X2330">
        <f t="shared" si="368"/>
        <v>0.99999999999999989</v>
      </c>
      <c r="Y2330" t="str">
        <f t="shared" si="369"/>
        <v>Healthy</v>
      </c>
    </row>
    <row r="2331" spans="1:25" x14ac:dyDescent="0.35">
      <c r="A2331" t="s">
        <v>179</v>
      </c>
      <c r="B2331" t="s">
        <v>223</v>
      </c>
      <c r="C2331" t="s">
        <v>357</v>
      </c>
      <c r="D2331" t="s">
        <v>1764</v>
      </c>
      <c r="E2331">
        <v>83908216</v>
      </c>
      <c r="F2331" t="s">
        <v>1765</v>
      </c>
      <c r="G2331" s="3">
        <v>46713</v>
      </c>
      <c r="H2331">
        <v>18</v>
      </c>
      <c r="I2331">
        <v>96</v>
      </c>
      <c r="J2331">
        <v>60</v>
      </c>
      <c r="K2331" s="4">
        <v>14932.8</v>
      </c>
      <c r="L2331" s="4">
        <v>1571</v>
      </c>
      <c r="M2331" s="4">
        <v>3.8192234245703373E-2</v>
      </c>
      <c r="N2331" t="s">
        <v>25</v>
      </c>
      <c r="O2331" t="str">
        <f t="shared" si="360"/>
        <v>Low</v>
      </c>
      <c r="P2331" t="str">
        <f t="shared" si="361"/>
        <v>Low</v>
      </c>
      <c r="Q2331" t="str">
        <f t="shared" si="362"/>
        <v>Low</v>
      </c>
      <c r="R2331" t="s">
        <v>3317</v>
      </c>
      <c r="S2331" s="4">
        <f t="shared" ca="1" si="363"/>
        <v>516</v>
      </c>
      <c r="T2331">
        <f t="shared" si="364"/>
        <v>1</v>
      </c>
      <c r="U2331">
        <f t="shared" si="365"/>
        <v>1</v>
      </c>
      <c r="V2331">
        <f t="shared" si="366"/>
        <v>1</v>
      </c>
      <c r="W2331">
        <f t="shared" si="367"/>
        <v>1</v>
      </c>
      <c r="X2331">
        <f t="shared" si="368"/>
        <v>0.99999999999999989</v>
      </c>
      <c r="Y2331" t="str">
        <f t="shared" si="369"/>
        <v>Healthy</v>
      </c>
    </row>
    <row r="2332" spans="1:25" x14ac:dyDescent="0.35">
      <c r="A2332" t="s">
        <v>179</v>
      </c>
      <c r="B2332" t="s">
        <v>223</v>
      </c>
      <c r="C2332" t="s">
        <v>357</v>
      </c>
      <c r="D2332" t="s">
        <v>358</v>
      </c>
      <c r="E2332">
        <v>83908217</v>
      </c>
      <c r="F2332" t="s">
        <v>1766</v>
      </c>
      <c r="G2332" s="3">
        <v>46575</v>
      </c>
      <c r="H2332">
        <v>18</v>
      </c>
      <c r="I2332">
        <v>71</v>
      </c>
      <c r="J2332">
        <v>3</v>
      </c>
      <c r="K2332" s="4">
        <v>2466.6</v>
      </c>
      <c r="L2332" s="4">
        <v>216.85714285714286</v>
      </c>
      <c r="M2332" s="4">
        <v>1.383399209486166E-2</v>
      </c>
      <c r="N2332" t="s">
        <v>25</v>
      </c>
      <c r="O2332" t="str">
        <f t="shared" si="360"/>
        <v>Low</v>
      </c>
      <c r="P2332" t="str">
        <f t="shared" si="361"/>
        <v>Low</v>
      </c>
      <c r="Q2332" t="str">
        <f t="shared" si="362"/>
        <v>Low</v>
      </c>
      <c r="R2332" t="s">
        <v>3317</v>
      </c>
      <c r="S2332" s="4">
        <f t="shared" ca="1" si="363"/>
        <v>378</v>
      </c>
      <c r="T2332">
        <f t="shared" si="364"/>
        <v>1</v>
      </c>
      <c r="U2332">
        <f t="shared" si="365"/>
        <v>1</v>
      </c>
      <c r="V2332">
        <f t="shared" si="366"/>
        <v>1</v>
      </c>
      <c r="W2332">
        <f t="shared" si="367"/>
        <v>1</v>
      </c>
      <c r="X2332">
        <f t="shared" si="368"/>
        <v>0.99999999999999989</v>
      </c>
      <c r="Y2332" t="str">
        <f t="shared" si="369"/>
        <v>Healthy</v>
      </c>
    </row>
    <row r="2333" spans="1:25" x14ac:dyDescent="0.35">
      <c r="A2333" t="s">
        <v>189</v>
      </c>
      <c r="B2333" t="s">
        <v>190</v>
      </c>
      <c r="C2333" t="s">
        <v>190</v>
      </c>
      <c r="D2333" t="s">
        <v>1767</v>
      </c>
      <c r="E2333">
        <v>80722388</v>
      </c>
      <c r="F2333" t="s">
        <v>1768</v>
      </c>
      <c r="G2333" s="3">
        <v>46304</v>
      </c>
      <c r="H2333">
        <v>18</v>
      </c>
      <c r="I2333">
        <v>21</v>
      </c>
      <c r="J2333">
        <v>1</v>
      </c>
      <c r="K2333" s="4">
        <v>148.80000000000001</v>
      </c>
      <c r="L2333" s="4">
        <v>698.85714285714289</v>
      </c>
      <c r="M2333" s="4">
        <v>1.4309076042518397E-3</v>
      </c>
      <c r="N2333" t="s">
        <v>25</v>
      </c>
      <c r="O2333" t="str">
        <f t="shared" si="360"/>
        <v>Medium</v>
      </c>
      <c r="P2333" t="str">
        <f t="shared" si="361"/>
        <v>Low</v>
      </c>
      <c r="Q2333" t="str">
        <f t="shared" si="362"/>
        <v>Low</v>
      </c>
      <c r="R2333" t="s">
        <v>3317</v>
      </c>
      <c r="S2333" s="4">
        <f t="shared" ca="1" si="363"/>
        <v>107</v>
      </c>
      <c r="T2333">
        <f t="shared" si="364"/>
        <v>2</v>
      </c>
      <c r="U2333">
        <f t="shared" si="365"/>
        <v>1</v>
      </c>
      <c r="V2333">
        <f t="shared" si="366"/>
        <v>1</v>
      </c>
      <c r="W2333">
        <f t="shared" si="367"/>
        <v>1</v>
      </c>
      <c r="X2333">
        <f t="shared" si="368"/>
        <v>1.4000000000000001</v>
      </c>
      <c r="Y2333" t="str">
        <f t="shared" si="369"/>
        <v>Healthy</v>
      </c>
    </row>
    <row r="2334" spans="1:25" x14ac:dyDescent="0.35">
      <c r="A2334" t="s">
        <v>189</v>
      </c>
      <c r="B2334" t="s">
        <v>190</v>
      </c>
      <c r="C2334" t="s">
        <v>190</v>
      </c>
      <c r="D2334" t="s">
        <v>1767</v>
      </c>
      <c r="E2334">
        <v>80722388</v>
      </c>
      <c r="F2334" t="s">
        <v>1768</v>
      </c>
      <c r="G2334" s="3">
        <v>46487</v>
      </c>
      <c r="H2334">
        <v>18</v>
      </c>
      <c r="I2334">
        <v>55</v>
      </c>
      <c r="J2334">
        <v>42</v>
      </c>
      <c r="K2334" s="4">
        <v>6249.6</v>
      </c>
      <c r="L2334" s="4">
        <v>698.85714285714289</v>
      </c>
      <c r="M2334" s="4">
        <v>6.0098119378577265E-2</v>
      </c>
      <c r="N2334" t="s">
        <v>25</v>
      </c>
      <c r="O2334" t="str">
        <f t="shared" si="360"/>
        <v>Low</v>
      </c>
      <c r="P2334" t="str">
        <f t="shared" si="361"/>
        <v>Low</v>
      </c>
      <c r="Q2334" t="str">
        <f t="shared" si="362"/>
        <v>Low</v>
      </c>
      <c r="R2334" t="s">
        <v>3317</v>
      </c>
      <c r="S2334" s="4">
        <f t="shared" ca="1" si="363"/>
        <v>290</v>
      </c>
      <c r="T2334">
        <f t="shared" si="364"/>
        <v>1</v>
      </c>
      <c r="U2334">
        <f t="shared" si="365"/>
        <v>1</v>
      </c>
      <c r="V2334">
        <f t="shared" si="366"/>
        <v>1</v>
      </c>
      <c r="W2334">
        <f t="shared" si="367"/>
        <v>1</v>
      </c>
      <c r="X2334">
        <f t="shared" si="368"/>
        <v>0.99999999999999989</v>
      </c>
      <c r="Y2334" t="str">
        <f t="shared" si="369"/>
        <v>Healthy</v>
      </c>
    </row>
    <row r="2335" spans="1:25" x14ac:dyDescent="0.35">
      <c r="A2335" t="s">
        <v>179</v>
      </c>
      <c r="B2335" t="s">
        <v>223</v>
      </c>
      <c r="C2335" t="s">
        <v>357</v>
      </c>
      <c r="D2335" t="s">
        <v>1371</v>
      </c>
      <c r="E2335">
        <v>83905451</v>
      </c>
      <c r="F2335" t="s">
        <v>1769</v>
      </c>
      <c r="G2335" s="3">
        <v>46604</v>
      </c>
      <c r="H2335">
        <v>18</v>
      </c>
      <c r="I2335">
        <v>76</v>
      </c>
      <c r="J2335">
        <v>5</v>
      </c>
      <c r="K2335" s="4">
        <v>3106.55</v>
      </c>
      <c r="L2335" s="4">
        <v>11.857142857142858</v>
      </c>
      <c r="M2335" s="4">
        <v>0.42168674698795178</v>
      </c>
      <c r="N2335" t="s">
        <v>25</v>
      </c>
      <c r="O2335" t="str">
        <f t="shared" si="360"/>
        <v>Low</v>
      </c>
      <c r="P2335" t="str">
        <f t="shared" si="361"/>
        <v>Low</v>
      </c>
      <c r="Q2335" t="str">
        <f t="shared" si="362"/>
        <v>Medium</v>
      </c>
      <c r="R2335" t="s">
        <v>3317</v>
      </c>
      <c r="S2335" s="4">
        <f t="shared" ca="1" si="363"/>
        <v>407</v>
      </c>
      <c r="T2335">
        <f t="shared" si="364"/>
        <v>1</v>
      </c>
      <c r="U2335">
        <f t="shared" si="365"/>
        <v>1</v>
      </c>
      <c r="V2335">
        <f t="shared" si="366"/>
        <v>2</v>
      </c>
      <c r="W2335">
        <f t="shared" si="367"/>
        <v>1</v>
      </c>
      <c r="X2335">
        <f t="shared" si="368"/>
        <v>1.2000000000000002</v>
      </c>
      <c r="Y2335" t="str">
        <f t="shared" si="369"/>
        <v>Healthy</v>
      </c>
    </row>
    <row r="2336" spans="1:25" x14ac:dyDescent="0.35">
      <c r="A2336" t="s">
        <v>179</v>
      </c>
      <c r="B2336" t="s">
        <v>223</v>
      </c>
      <c r="C2336" t="s">
        <v>357</v>
      </c>
      <c r="D2336" t="s">
        <v>1770</v>
      </c>
      <c r="E2336">
        <v>83908218</v>
      </c>
      <c r="F2336" t="s">
        <v>1771</v>
      </c>
      <c r="G2336" s="3">
        <v>46729</v>
      </c>
      <c r="H2336">
        <v>18</v>
      </c>
      <c r="I2336">
        <v>99</v>
      </c>
      <c r="J2336">
        <v>28</v>
      </c>
      <c r="K2336" s="4">
        <v>20283.759999999998</v>
      </c>
      <c r="L2336" s="4">
        <v>438.57142857142856</v>
      </c>
      <c r="M2336" s="4">
        <v>6.3843648208469064E-2</v>
      </c>
      <c r="N2336" t="s">
        <v>25</v>
      </c>
      <c r="O2336" t="str">
        <f t="shared" si="360"/>
        <v>Low</v>
      </c>
      <c r="P2336" t="str">
        <f t="shared" si="361"/>
        <v>Low</v>
      </c>
      <c r="Q2336" t="str">
        <f t="shared" si="362"/>
        <v>Low</v>
      </c>
      <c r="R2336" t="s">
        <v>3317</v>
      </c>
      <c r="S2336" s="4">
        <f t="shared" ca="1" si="363"/>
        <v>532</v>
      </c>
      <c r="T2336">
        <f t="shared" si="364"/>
        <v>1</v>
      </c>
      <c r="U2336">
        <f t="shared" si="365"/>
        <v>1</v>
      </c>
      <c r="V2336">
        <f t="shared" si="366"/>
        <v>1</v>
      </c>
      <c r="W2336">
        <f t="shared" si="367"/>
        <v>1</v>
      </c>
      <c r="X2336">
        <f t="shared" si="368"/>
        <v>0.99999999999999989</v>
      </c>
      <c r="Y2336" t="str">
        <f t="shared" si="369"/>
        <v>Healthy</v>
      </c>
    </row>
    <row r="2337" spans="1:25" x14ac:dyDescent="0.35">
      <c r="A2337" t="s">
        <v>179</v>
      </c>
      <c r="B2337" t="s">
        <v>223</v>
      </c>
      <c r="C2337" t="s">
        <v>357</v>
      </c>
      <c r="D2337" t="s">
        <v>1770</v>
      </c>
      <c r="E2337">
        <v>83908218</v>
      </c>
      <c r="F2337" t="s">
        <v>1771</v>
      </c>
      <c r="G2337" s="3">
        <v>46677</v>
      </c>
      <c r="H2337">
        <v>18</v>
      </c>
      <c r="I2337">
        <v>90</v>
      </c>
      <c r="J2337">
        <v>20</v>
      </c>
      <c r="K2337" s="4">
        <v>14488.4</v>
      </c>
      <c r="L2337" s="4">
        <v>438.57142857142856</v>
      </c>
      <c r="M2337" s="4">
        <v>4.5602605863192182E-2</v>
      </c>
      <c r="N2337" t="s">
        <v>25</v>
      </c>
      <c r="O2337" t="str">
        <f t="shared" si="360"/>
        <v>Low</v>
      </c>
      <c r="P2337" t="str">
        <f t="shared" si="361"/>
        <v>Low</v>
      </c>
      <c r="Q2337" t="str">
        <f t="shared" si="362"/>
        <v>Low</v>
      </c>
      <c r="R2337" t="s">
        <v>3317</v>
      </c>
      <c r="S2337" s="4">
        <f t="shared" ca="1" si="363"/>
        <v>480</v>
      </c>
      <c r="T2337">
        <f t="shared" si="364"/>
        <v>1</v>
      </c>
      <c r="U2337">
        <f t="shared" si="365"/>
        <v>1</v>
      </c>
      <c r="V2337">
        <f t="shared" si="366"/>
        <v>1</v>
      </c>
      <c r="W2337">
        <f t="shared" si="367"/>
        <v>1</v>
      </c>
      <c r="X2337">
        <f t="shared" si="368"/>
        <v>0.99999999999999989</v>
      </c>
      <c r="Y2337" t="str">
        <f t="shared" si="369"/>
        <v>Healthy</v>
      </c>
    </row>
    <row r="2338" spans="1:25" x14ac:dyDescent="0.35">
      <c r="A2338" t="s">
        <v>179</v>
      </c>
      <c r="B2338" t="s">
        <v>223</v>
      </c>
      <c r="C2338" t="s">
        <v>357</v>
      </c>
      <c r="D2338" t="s">
        <v>1770</v>
      </c>
      <c r="E2338">
        <v>83908218</v>
      </c>
      <c r="F2338" t="s">
        <v>1771</v>
      </c>
      <c r="G2338" s="3">
        <v>46713</v>
      </c>
      <c r="H2338">
        <v>18</v>
      </c>
      <c r="I2338">
        <v>96</v>
      </c>
      <c r="J2338">
        <v>150</v>
      </c>
      <c r="K2338" s="4">
        <v>108663</v>
      </c>
      <c r="L2338" s="4">
        <v>438.57142857142856</v>
      </c>
      <c r="M2338" s="4">
        <v>0.34201954397394135</v>
      </c>
      <c r="N2338" t="s">
        <v>25</v>
      </c>
      <c r="O2338" t="str">
        <f t="shared" si="360"/>
        <v>Low</v>
      </c>
      <c r="P2338" t="str">
        <f t="shared" si="361"/>
        <v>Low</v>
      </c>
      <c r="Q2338" t="str">
        <f t="shared" si="362"/>
        <v>Low</v>
      </c>
      <c r="R2338" t="s">
        <v>3310</v>
      </c>
      <c r="S2338" s="4">
        <f t="shared" ca="1" si="363"/>
        <v>516</v>
      </c>
      <c r="T2338">
        <f t="shared" si="364"/>
        <v>1</v>
      </c>
      <c r="U2338">
        <f t="shared" si="365"/>
        <v>1</v>
      </c>
      <c r="V2338">
        <f t="shared" si="366"/>
        <v>1</v>
      </c>
      <c r="W2338">
        <f t="shared" si="367"/>
        <v>2</v>
      </c>
      <c r="X2338">
        <f t="shared" si="368"/>
        <v>1.0999999999999999</v>
      </c>
      <c r="Y2338" t="str">
        <f t="shared" si="369"/>
        <v>Healthy</v>
      </c>
    </row>
    <row r="2339" spans="1:25" x14ac:dyDescent="0.35">
      <c r="A2339" t="s">
        <v>189</v>
      </c>
      <c r="B2339" t="s">
        <v>190</v>
      </c>
      <c r="C2339" t="s">
        <v>190</v>
      </c>
      <c r="D2339" t="s">
        <v>1767</v>
      </c>
      <c r="E2339">
        <v>80722388</v>
      </c>
      <c r="F2339" t="s">
        <v>1768</v>
      </c>
      <c r="G2339" s="3">
        <v>46492</v>
      </c>
      <c r="H2339">
        <v>18</v>
      </c>
      <c r="I2339">
        <v>56</v>
      </c>
      <c r="J2339">
        <v>15</v>
      </c>
      <c r="K2339" s="4">
        <v>2232</v>
      </c>
      <c r="L2339" s="4">
        <v>698.85714285714289</v>
      </c>
      <c r="M2339" s="4">
        <v>2.1463614063777597E-2</v>
      </c>
      <c r="N2339" t="s">
        <v>25</v>
      </c>
      <c r="O2339" t="str">
        <f t="shared" si="360"/>
        <v>Low</v>
      </c>
      <c r="P2339" t="str">
        <f t="shared" si="361"/>
        <v>Low</v>
      </c>
      <c r="Q2339" t="str">
        <f t="shared" si="362"/>
        <v>Low</v>
      </c>
      <c r="R2339" t="s">
        <v>3317</v>
      </c>
      <c r="S2339" s="4">
        <f t="shared" ca="1" si="363"/>
        <v>295</v>
      </c>
      <c r="T2339">
        <f t="shared" si="364"/>
        <v>1</v>
      </c>
      <c r="U2339">
        <f t="shared" si="365"/>
        <v>1</v>
      </c>
      <c r="V2339">
        <f t="shared" si="366"/>
        <v>1</v>
      </c>
      <c r="W2339">
        <f t="shared" si="367"/>
        <v>1</v>
      </c>
      <c r="X2339">
        <f t="shared" si="368"/>
        <v>0.99999999999999989</v>
      </c>
      <c r="Y2339" t="str">
        <f t="shared" si="369"/>
        <v>Healthy</v>
      </c>
    </row>
    <row r="2340" spans="1:25" x14ac:dyDescent="0.35">
      <c r="A2340" t="s">
        <v>179</v>
      </c>
      <c r="B2340" t="s">
        <v>223</v>
      </c>
      <c r="C2340" t="s">
        <v>357</v>
      </c>
      <c r="D2340" t="s">
        <v>1770</v>
      </c>
      <c r="E2340">
        <v>83908218</v>
      </c>
      <c r="F2340" t="s">
        <v>1771</v>
      </c>
      <c r="G2340" s="3">
        <v>46677</v>
      </c>
      <c r="H2340">
        <v>18</v>
      </c>
      <c r="I2340">
        <v>90</v>
      </c>
      <c r="J2340">
        <v>6</v>
      </c>
      <c r="K2340" s="4">
        <v>4346.5200000000004</v>
      </c>
      <c r="L2340" s="4">
        <v>438.57142857142856</v>
      </c>
      <c r="M2340" s="4">
        <v>1.3680781758957655E-2</v>
      </c>
      <c r="N2340" t="s">
        <v>25</v>
      </c>
      <c r="O2340" t="str">
        <f t="shared" si="360"/>
        <v>Low</v>
      </c>
      <c r="P2340" t="str">
        <f t="shared" si="361"/>
        <v>Low</v>
      </c>
      <c r="Q2340" t="str">
        <f t="shared" si="362"/>
        <v>Low</v>
      </c>
      <c r="R2340" t="s">
        <v>3317</v>
      </c>
      <c r="S2340" s="4">
        <f t="shared" ca="1" si="363"/>
        <v>480</v>
      </c>
      <c r="T2340">
        <f t="shared" si="364"/>
        <v>1</v>
      </c>
      <c r="U2340">
        <f t="shared" si="365"/>
        <v>1</v>
      </c>
      <c r="V2340">
        <f t="shared" si="366"/>
        <v>1</v>
      </c>
      <c r="W2340">
        <f t="shared" si="367"/>
        <v>1</v>
      </c>
      <c r="X2340">
        <f t="shared" si="368"/>
        <v>0.99999999999999989</v>
      </c>
      <c r="Y2340" t="str">
        <f t="shared" si="369"/>
        <v>Healthy</v>
      </c>
    </row>
    <row r="2341" spans="1:25" x14ac:dyDescent="0.35">
      <c r="A2341" t="s">
        <v>179</v>
      </c>
      <c r="B2341" t="s">
        <v>223</v>
      </c>
      <c r="C2341" t="s">
        <v>357</v>
      </c>
      <c r="D2341" t="s">
        <v>1770</v>
      </c>
      <c r="E2341">
        <v>83908218</v>
      </c>
      <c r="F2341" t="s">
        <v>1771</v>
      </c>
      <c r="G2341" s="3">
        <v>46713</v>
      </c>
      <c r="H2341">
        <v>18</v>
      </c>
      <c r="I2341">
        <v>96</v>
      </c>
      <c r="J2341">
        <v>30</v>
      </c>
      <c r="K2341" s="4">
        <v>21732.6</v>
      </c>
      <c r="L2341" s="4">
        <v>438.57142857142856</v>
      </c>
      <c r="M2341" s="4">
        <v>6.8403908794788276E-2</v>
      </c>
      <c r="N2341" t="s">
        <v>25</v>
      </c>
      <c r="O2341" t="str">
        <f t="shared" si="360"/>
        <v>Low</v>
      </c>
      <c r="P2341" t="str">
        <f t="shared" si="361"/>
        <v>Low</v>
      </c>
      <c r="Q2341" t="str">
        <f t="shared" si="362"/>
        <v>Low</v>
      </c>
      <c r="R2341" t="s">
        <v>3317</v>
      </c>
      <c r="S2341" s="4">
        <f t="shared" ca="1" si="363"/>
        <v>516</v>
      </c>
      <c r="T2341">
        <f t="shared" si="364"/>
        <v>1</v>
      </c>
      <c r="U2341">
        <f t="shared" si="365"/>
        <v>1</v>
      </c>
      <c r="V2341">
        <f t="shared" si="366"/>
        <v>1</v>
      </c>
      <c r="W2341">
        <f t="shared" si="367"/>
        <v>1</v>
      </c>
      <c r="X2341">
        <f t="shared" si="368"/>
        <v>0.99999999999999989</v>
      </c>
      <c r="Y2341" t="str">
        <f t="shared" si="369"/>
        <v>Healthy</v>
      </c>
    </row>
    <row r="2342" spans="1:25" x14ac:dyDescent="0.35">
      <c r="A2342" t="s">
        <v>179</v>
      </c>
      <c r="B2342" t="s">
        <v>223</v>
      </c>
      <c r="C2342" t="s">
        <v>357</v>
      </c>
      <c r="D2342" t="s">
        <v>1770</v>
      </c>
      <c r="E2342">
        <v>83908218</v>
      </c>
      <c r="F2342" t="s">
        <v>1771</v>
      </c>
      <c r="G2342" s="3">
        <v>46666</v>
      </c>
      <c r="H2342">
        <v>18</v>
      </c>
      <c r="I2342">
        <v>88</v>
      </c>
      <c r="J2342">
        <v>23</v>
      </c>
      <c r="K2342" s="4">
        <v>16661.66</v>
      </c>
      <c r="L2342" s="4">
        <v>438.57142857142856</v>
      </c>
      <c r="M2342" s="4">
        <v>5.2442996742671014E-2</v>
      </c>
      <c r="N2342" t="s">
        <v>25</v>
      </c>
      <c r="O2342" t="str">
        <f t="shared" si="360"/>
        <v>Low</v>
      </c>
      <c r="P2342" t="str">
        <f t="shared" si="361"/>
        <v>Low</v>
      </c>
      <c r="Q2342" t="str">
        <f t="shared" si="362"/>
        <v>Low</v>
      </c>
      <c r="R2342" t="s">
        <v>3317</v>
      </c>
      <c r="S2342" s="4">
        <f t="shared" ca="1" si="363"/>
        <v>469</v>
      </c>
      <c r="T2342">
        <f t="shared" si="364"/>
        <v>1</v>
      </c>
      <c r="U2342">
        <f t="shared" si="365"/>
        <v>1</v>
      </c>
      <c r="V2342">
        <f t="shared" si="366"/>
        <v>1</v>
      </c>
      <c r="W2342">
        <f t="shared" si="367"/>
        <v>1</v>
      </c>
      <c r="X2342">
        <f t="shared" si="368"/>
        <v>0.99999999999999989</v>
      </c>
      <c r="Y2342" t="str">
        <f t="shared" si="369"/>
        <v>Healthy</v>
      </c>
    </row>
    <row r="2343" spans="1:25" x14ac:dyDescent="0.35">
      <c r="A2343" t="s">
        <v>179</v>
      </c>
      <c r="B2343" t="s">
        <v>223</v>
      </c>
      <c r="C2343" t="s">
        <v>357</v>
      </c>
      <c r="D2343" t="s">
        <v>1770</v>
      </c>
      <c r="E2343">
        <v>83908218</v>
      </c>
      <c r="F2343" t="s">
        <v>1771</v>
      </c>
      <c r="G2343" s="3">
        <v>46658</v>
      </c>
      <c r="H2343">
        <v>18</v>
      </c>
      <c r="I2343">
        <v>86</v>
      </c>
      <c r="J2343">
        <v>19</v>
      </c>
      <c r="K2343" s="4">
        <v>13763.98</v>
      </c>
      <c r="L2343" s="4">
        <v>438.57142857142856</v>
      </c>
      <c r="M2343" s="4">
        <v>4.3322475570032576E-2</v>
      </c>
      <c r="N2343" t="s">
        <v>25</v>
      </c>
      <c r="O2343" t="str">
        <f t="shared" si="360"/>
        <v>Low</v>
      </c>
      <c r="P2343" t="str">
        <f t="shared" si="361"/>
        <v>Low</v>
      </c>
      <c r="Q2343" t="str">
        <f t="shared" si="362"/>
        <v>Low</v>
      </c>
      <c r="R2343" t="s">
        <v>3317</v>
      </c>
      <c r="S2343" s="4">
        <f t="shared" ca="1" si="363"/>
        <v>461</v>
      </c>
      <c r="T2343">
        <f t="shared" si="364"/>
        <v>1</v>
      </c>
      <c r="U2343">
        <f t="shared" si="365"/>
        <v>1</v>
      </c>
      <c r="V2343">
        <f t="shared" si="366"/>
        <v>1</v>
      </c>
      <c r="W2343">
        <f t="shared" si="367"/>
        <v>1</v>
      </c>
      <c r="X2343">
        <f t="shared" si="368"/>
        <v>0.99999999999999989</v>
      </c>
      <c r="Y2343" t="str">
        <f t="shared" si="369"/>
        <v>Healthy</v>
      </c>
    </row>
    <row r="2344" spans="1:25" x14ac:dyDescent="0.35">
      <c r="A2344" t="s">
        <v>189</v>
      </c>
      <c r="B2344" t="s">
        <v>190</v>
      </c>
      <c r="C2344" t="s">
        <v>190</v>
      </c>
      <c r="D2344" t="s">
        <v>1767</v>
      </c>
      <c r="E2344">
        <v>80722388</v>
      </c>
      <c r="F2344" t="s">
        <v>1768</v>
      </c>
      <c r="G2344" s="3">
        <v>46072</v>
      </c>
      <c r="H2344">
        <v>18</v>
      </c>
      <c r="I2344">
        <v>0</v>
      </c>
      <c r="J2344">
        <v>45</v>
      </c>
      <c r="K2344" s="4">
        <v>6696</v>
      </c>
      <c r="L2344" s="4">
        <v>698.85714285714289</v>
      </c>
      <c r="M2344" s="4">
        <v>6.4390842191332787E-2</v>
      </c>
      <c r="N2344" t="s">
        <v>25</v>
      </c>
      <c r="O2344" t="str">
        <f t="shared" si="360"/>
        <v>High</v>
      </c>
      <c r="P2344" t="str">
        <f t="shared" si="361"/>
        <v>Low</v>
      </c>
      <c r="Q2344" t="str">
        <f t="shared" si="362"/>
        <v>Low</v>
      </c>
      <c r="R2344" t="s">
        <v>3317</v>
      </c>
      <c r="S2344" s="4">
        <f t="shared" ca="1" si="363"/>
        <v>-125</v>
      </c>
      <c r="T2344">
        <f t="shared" si="364"/>
        <v>3</v>
      </c>
      <c r="U2344">
        <f t="shared" si="365"/>
        <v>1</v>
      </c>
      <c r="V2344">
        <f t="shared" si="366"/>
        <v>1</v>
      </c>
      <c r="W2344">
        <f t="shared" si="367"/>
        <v>1</v>
      </c>
      <c r="X2344">
        <f t="shared" si="368"/>
        <v>1.8000000000000003</v>
      </c>
      <c r="Y2344" t="str">
        <f t="shared" si="369"/>
        <v>Monitor</v>
      </c>
    </row>
    <row r="2345" spans="1:25" x14ac:dyDescent="0.35">
      <c r="A2345" t="s">
        <v>179</v>
      </c>
      <c r="B2345" t="s">
        <v>223</v>
      </c>
      <c r="C2345" t="s">
        <v>357</v>
      </c>
      <c r="D2345" t="s">
        <v>1770</v>
      </c>
      <c r="E2345">
        <v>83908218</v>
      </c>
      <c r="F2345" t="s">
        <v>1771</v>
      </c>
      <c r="G2345" s="3">
        <v>46676</v>
      </c>
      <c r="H2345">
        <v>18</v>
      </c>
      <c r="I2345">
        <v>90</v>
      </c>
      <c r="J2345">
        <v>12</v>
      </c>
      <c r="K2345" s="4">
        <v>8693.0400000000009</v>
      </c>
      <c r="L2345" s="4">
        <v>438.57142857142856</v>
      </c>
      <c r="M2345" s="4">
        <v>2.736156351791531E-2</v>
      </c>
      <c r="N2345" t="s">
        <v>25</v>
      </c>
      <c r="O2345" t="str">
        <f t="shared" si="360"/>
        <v>Low</v>
      </c>
      <c r="P2345" t="str">
        <f t="shared" si="361"/>
        <v>Low</v>
      </c>
      <c r="Q2345" t="str">
        <f t="shared" si="362"/>
        <v>Low</v>
      </c>
      <c r="R2345" t="s">
        <v>3317</v>
      </c>
      <c r="S2345" s="4">
        <f t="shared" ca="1" si="363"/>
        <v>479</v>
      </c>
      <c r="T2345">
        <f t="shared" si="364"/>
        <v>1</v>
      </c>
      <c r="U2345">
        <f t="shared" si="365"/>
        <v>1</v>
      </c>
      <c r="V2345">
        <f t="shared" si="366"/>
        <v>1</v>
      </c>
      <c r="W2345">
        <f t="shared" si="367"/>
        <v>1</v>
      </c>
      <c r="X2345">
        <f t="shared" si="368"/>
        <v>0.99999999999999989</v>
      </c>
      <c r="Y2345" t="str">
        <f t="shared" si="369"/>
        <v>Healthy</v>
      </c>
    </row>
    <row r="2346" spans="1:25" x14ac:dyDescent="0.35">
      <c r="A2346" t="s">
        <v>179</v>
      </c>
      <c r="B2346" t="s">
        <v>223</v>
      </c>
      <c r="C2346" t="s">
        <v>357</v>
      </c>
      <c r="D2346" t="s">
        <v>1772</v>
      </c>
      <c r="E2346">
        <v>83908219</v>
      </c>
      <c r="F2346" t="s">
        <v>1773</v>
      </c>
      <c r="G2346" s="3">
        <v>46704</v>
      </c>
      <c r="H2346">
        <v>18</v>
      </c>
      <c r="I2346">
        <v>95</v>
      </c>
      <c r="J2346">
        <v>18</v>
      </c>
      <c r="K2346" s="4">
        <v>16783.38</v>
      </c>
      <c r="L2346" s="4">
        <v>2198.7142857142858</v>
      </c>
      <c r="M2346" s="4">
        <v>8.1866025599376252E-3</v>
      </c>
      <c r="N2346" t="s">
        <v>25</v>
      </c>
      <c r="O2346" t="str">
        <f t="shared" si="360"/>
        <v>Low</v>
      </c>
      <c r="P2346" t="str">
        <f t="shared" si="361"/>
        <v>Low</v>
      </c>
      <c r="Q2346" t="str">
        <f t="shared" si="362"/>
        <v>Low</v>
      </c>
      <c r="R2346" t="s">
        <v>3317</v>
      </c>
      <c r="S2346" s="4">
        <f t="shared" ca="1" si="363"/>
        <v>507</v>
      </c>
      <c r="T2346">
        <f t="shared" si="364"/>
        <v>1</v>
      </c>
      <c r="U2346">
        <f t="shared" si="365"/>
        <v>1</v>
      </c>
      <c r="V2346">
        <f t="shared" si="366"/>
        <v>1</v>
      </c>
      <c r="W2346">
        <f t="shared" si="367"/>
        <v>1</v>
      </c>
      <c r="X2346">
        <f t="shared" si="368"/>
        <v>0.99999999999999989</v>
      </c>
      <c r="Y2346" t="str">
        <f t="shared" si="369"/>
        <v>Healthy</v>
      </c>
    </row>
    <row r="2347" spans="1:25" x14ac:dyDescent="0.35">
      <c r="A2347" t="s">
        <v>179</v>
      </c>
      <c r="B2347" t="s">
        <v>223</v>
      </c>
      <c r="C2347" t="s">
        <v>357</v>
      </c>
      <c r="D2347" t="s">
        <v>1772</v>
      </c>
      <c r="E2347">
        <v>83908219</v>
      </c>
      <c r="F2347" t="s">
        <v>1773</v>
      </c>
      <c r="G2347" s="3">
        <v>46703</v>
      </c>
      <c r="H2347">
        <v>18</v>
      </c>
      <c r="I2347">
        <v>95</v>
      </c>
      <c r="J2347">
        <v>222</v>
      </c>
      <c r="K2347" s="4">
        <v>206995.02</v>
      </c>
      <c r="L2347" s="4">
        <v>2198.7142857142858</v>
      </c>
      <c r="M2347" s="4">
        <v>0.10096809823923071</v>
      </c>
      <c r="N2347" t="s">
        <v>25</v>
      </c>
      <c r="O2347" t="str">
        <f t="shared" si="360"/>
        <v>Low</v>
      </c>
      <c r="P2347" t="str">
        <f t="shared" si="361"/>
        <v>Low</v>
      </c>
      <c r="Q2347" t="str">
        <f t="shared" si="362"/>
        <v>Low</v>
      </c>
      <c r="R2347" t="s">
        <v>3309</v>
      </c>
      <c r="S2347" s="4">
        <f t="shared" ca="1" si="363"/>
        <v>506</v>
      </c>
      <c r="T2347">
        <f t="shared" si="364"/>
        <v>1</v>
      </c>
      <c r="U2347">
        <f t="shared" si="365"/>
        <v>1</v>
      </c>
      <c r="V2347">
        <f t="shared" si="366"/>
        <v>1</v>
      </c>
      <c r="W2347">
        <f t="shared" si="367"/>
        <v>3</v>
      </c>
      <c r="X2347">
        <f t="shared" si="368"/>
        <v>1.2</v>
      </c>
      <c r="Y2347" t="str">
        <f t="shared" si="369"/>
        <v>Healthy</v>
      </c>
    </row>
    <row r="2348" spans="1:25" x14ac:dyDescent="0.35">
      <c r="A2348" t="s">
        <v>179</v>
      </c>
      <c r="B2348" t="s">
        <v>223</v>
      </c>
      <c r="C2348" t="s">
        <v>357</v>
      </c>
      <c r="D2348" t="s">
        <v>1772</v>
      </c>
      <c r="E2348">
        <v>83908219</v>
      </c>
      <c r="F2348" t="s">
        <v>1773</v>
      </c>
      <c r="G2348" s="3">
        <v>46717</v>
      </c>
      <c r="H2348">
        <v>18</v>
      </c>
      <c r="I2348">
        <v>97</v>
      </c>
      <c r="J2348">
        <v>23</v>
      </c>
      <c r="K2348" s="4">
        <v>21445.43</v>
      </c>
      <c r="L2348" s="4">
        <v>2198.7142857142858</v>
      </c>
      <c r="M2348" s="4">
        <v>1.0460658826586967E-2</v>
      </c>
      <c r="N2348" t="s">
        <v>25</v>
      </c>
      <c r="O2348" t="str">
        <f t="shared" si="360"/>
        <v>Low</v>
      </c>
      <c r="P2348" t="str">
        <f t="shared" si="361"/>
        <v>Low</v>
      </c>
      <c r="Q2348" t="str">
        <f t="shared" si="362"/>
        <v>Low</v>
      </c>
      <c r="R2348" t="s">
        <v>3317</v>
      </c>
      <c r="S2348" s="4">
        <f t="shared" ca="1" si="363"/>
        <v>520</v>
      </c>
      <c r="T2348">
        <f t="shared" si="364"/>
        <v>1</v>
      </c>
      <c r="U2348">
        <f t="shared" si="365"/>
        <v>1</v>
      </c>
      <c r="V2348">
        <f t="shared" si="366"/>
        <v>1</v>
      </c>
      <c r="W2348">
        <f t="shared" si="367"/>
        <v>1</v>
      </c>
      <c r="X2348">
        <f t="shared" si="368"/>
        <v>0.99999999999999989</v>
      </c>
      <c r="Y2348" t="str">
        <f t="shared" si="369"/>
        <v>Healthy</v>
      </c>
    </row>
    <row r="2349" spans="1:25" x14ac:dyDescent="0.35">
      <c r="A2349" t="s">
        <v>179</v>
      </c>
      <c r="B2349" t="s">
        <v>223</v>
      </c>
      <c r="C2349" t="s">
        <v>357</v>
      </c>
      <c r="D2349" t="s">
        <v>1772</v>
      </c>
      <c r="E2349">
        <v>83908219</v>
      </c>
      <c r="F2349" t="s">
        <v>1773</v>
      </c>
      <c r="G2349" s="3">
        <v>46737</v>
      </c>
      <c r="H2349">
        <v>18</v>
      </c>
      <c r="I2349">
        <v>100</v>
      </c>
      <c r="J2349">
        <v>78</v>
      </c>
      <c r="K2349" s="4">
        <v>72727.98</v>
      </c>
      <c r="L2349" s="4">
        <v>2198.7142857142858</v>
      </c>
      <c r="M2349" s="4">
        <v>3.5475277759729709E-2</v>
      </c>
      <c r="N2349" t="s">
        <v>25</v>
      </c>
      <c r="O2349" t="str">
        <f t="shared" si="360"/>
        <v>Low</v>
      </c>
      <c r="P2349" t="str">
        <f t="shared" si="361"/>
        <v>Low</v>
      </c>
      <c r="Q2349" t="str">
        <f t="shared" si="362"/>
        <v>Low</v>
      </c>
      <c r="R2349" t="s">
        <v>3310</v>
      </c>
      <c r="S2349" s="4">
        <f t="shared" ca="1" si="363"/>
        <v>540</v>
      </c>
      <c r="T2349">
        <f t="shared" si="364"/>
        <v>1</v>
      </c>
      <c r="U2349">
        <f t="shared" si="365"/>
        <v>1</v>
      </c>
      <c r="V2349">
        <f t="shared" si="366"/>
        <v>1</v>
      </c>
      <c r="W2349">
        <f t="shared" si="367"/>
        <v>2</v>
      </c>
      <c r="X2349">
        <f t="shared" si="368"/>
        <v>1.0999999999999999</v>
      </c>
      <c r="Y2349" t="str">
        <f t="shared" si="369"/>
        <v>Healthy</v>
      </c>
    </row>
    <row r="2350" spans="1:25" x14ac:dyDescent="0.35">
      <c r="A2350" t="s">
        <v>179</v>
      </c>
      <c r="B2350" t="s">
        <v>223</v>
      </c>
      <c r="C2350" t="s">
        <v>357</v>
      </c>
      <c r="D2350" t="s">
        <v>1772</v>
      </c>
      <c r="E2350">
        <v>83908219</v>
      </c>
      <c r="F2350" t="s">
        <v>1773</v>
      </c>
      <c r="G2350" s="3">
        <v>46359</v>
      </c>
      <c r="H2350">
        <v>18</v>
      </c>
      <c r="I2350">
        <v>31</v>
      </c>
      <c r="J2350">
        <v>205</v>
      </c>
      <c r="K2350" s="4">
        <v>191144.05</v>
      </c>
      <c r="L2350" s="4">
        <v>2198.7142857142858</v>
      </c>
      <c r="M2350" s="4">
        <v>9.3236306932622956E-2</v>
      </c>
      <c r="N2350" t="s">
        <v>25</v>
      </c>
      <c r="O2350" t="str">
        <f t="shared" si="360"/>
        <v>Medium</v>
      </c>
      <c r="P2350" t="str">
        <f t="shared" si="361"/>
        <v>Low</v>
      </c>
      <c r="Q2350" t="str">
        <f t="shared" si="362"/>
        <v>Low</v>
      </c>
      <c r="R2350" t="s">
        <v>3309</v>
      </c>
      <c r="S2350" s="4">
        <f t="shared" ca="1" si="363"/>
        <v>162</v>
      </c>
      <c r="T2350">
        <f t="shared" si="364"/>
        <v>2</v>
      </c>
      <c r="U2350">
        <f t="shared" si="365"/>
        <v>1</v>
      </c>
      <c r="V2350">
        <f t="shared" si="366"/>
        <v>1</v>
      </c>
      <c r="W2350">
        <f t="shared" si="367"/>
        <v>3</v>
      </c>
      <c r="X2350">
        <f t="shared" si="368"/>
        <v>1.6</v>
      </c>
      <c r="Y2350" t="str">
        <f t="shared" si="369"/>
        <v>Healthy</v>
      </c>
    </row>
    <row r="2351" spans="1:25" x14ac:dyDescent="0.35">
      <c r="A2351" t="s">
        <v>179</v>
      </c>
      <c r="B2351" t="s">
        <v>223</v>
      </c>
      <c r="C2351" t="s">
        <v>357</v>
      </c>
      <c r="D2351" t="s">
        <v>1772</v>
      </c>
      <c r="E2351">
        <v>83908219</v>
      </c>
      <c r="F2351" t="s">
        <v>1773</v>
      </c>
      <c r="G2351" s="3">
        <v>46705</v>
      </c>
      <c r="H2351">
        <v>18</v>
      </c>
      <c r="I2351">
        <v>95</v>
      </c>
      <c r="J2351">
        <v>248</v>
      </c>
      <c r="K2351" s="4">
        <v>231237.68</v>
      </c>
      <c r="L2351" s="4">
        <v>2198.7142857142858</v>
      </c>
      <c r="M2351" s="4">
        <v>0.11279319082580729</v>
      </c>
      <c r="N2351" t="s">
        <v>25</v>
      </c>
      <c r="O2351" t="str">
        <f t="shared" si="360"/>
        <v>Low</v>
      </c>
      <c r="P2351" t="str">
        <f t="shared" si="361"/>
        <v>Low</v>
      </c>
      <c r="Q2351" t="str">
        <f t="shared" si="362"/>
        <v>Low</v>
      </c>
      <c r="R2351" t="s">
        <v>3309</v>
      </c>
      <c r="S2351" s="4">
        <f t="shared" ca="1" si="363"/>
        <v>508</v>
      </c>
      <c r="T2351">
        <f t="shared" si="364"/>
        <v>1</v>
      </c>
      <c r="U2351">
        <f t="shared" si="365"/>
        <v>1</v>
      </c>
      <c r="V2351">
        <f t="shared" si="366"/>
        <v>1</v>
      </c>
      <c r="W2351">
        <f t="shared" si="367"/>
        <v>3</v>
      </c>
      <c r="X2351">
        <f t="shared" si="368"/>
        <v>1.2</v>
      </c>
      <c r="Y2351" t="str">
        <f t="shared" si="369"/>
        <v>Healthy</v>
      </c>
    </row>
    <row r="2352" spans="1:25" x14ac:dyDescent="0.35">
      <c r="A2352" t="s">
        <v>179</v>
      </c>
      <c r="B2352" t="s">
        <v>223</v>
      </c>
      <c r="C2352" t="s">
        <v>357</v>
      </c>
      <c r="D2352" t="s">
        <v>400</v>
      </c>
      <c r="E2352">
        <v>83908210</v>
      </c>
      <c r="F2352" t="s">
        <v>1774</v>
      </c>
      <c r="G2352" s="3">
        <v>46721</v>
      </c>
      <c r="H2352">
        <v>18</v>
      </c>
      <c r="I2352">
        <v>98</v>
      </c>
      <c r="J2352">
        <v>60</v>
      </c>
      <c r="K2352" s="4">
        <v>14932.8</v>
      </c>
      <c r="L2352" s="4">
        <v>2156.5714285714284</v>
      </c>
      <c r="M2352" s="4">
        <v>2.7821939586645472E-2</v>
      </c>
      <c r="N2352" t="s">
        <v>25</v>
      </c>
      <c r="O2352" t="str">
        <f t="shared" si="360"/>
        <v>Low</v>
      </c>
      <c r="P2352" t="str">
        <f t="shared" si="361"/>
        <v>Low</v>
      </c>
      <c r="Q2352" t="str">
        <f t="shared" si="362"/>
        <v>Low</v>
      </c>
      <c r="R2352" t="s">
        <v>3317</v>
      </c>
      <c r="S2352" s="4">
        <f t="shared" ca="1" si="363"/>
        <v>524</v>
      </c>
      <c r="T2352">
        <f t="shared" si="364"/>
        <v>1</v>
      </c>
      <c r="U2352">
        <f t="shared" si="365"/>
        <v>1</v>
      </c>
      <c r="V2352">
        <f t="shared" si="366"/>
        <v>1</v>
      </c>
      <c r="W2352">
        <f t="shared" si="367"/>
        <v>1</v>
      </c>
      <c r="X2352">
        <f t="shared" si="368"/>
        <v>0.99999999999999989</v>
      </c>
      <c r="Y2352" t="str">
        <f t="shared" si="369"/>
        <v>Healthy</v>
      </c>
    </row>
    <row r="2353" spans="1:25" x14ac:dyDescent="0.35">
      <c r="A2353" t="s">
        <v>99</v>
      </c>
      <c r="B2353" t="s">
        <v>100</v>
      </c>
      <c r="C2353" t="s">
        <v>101</v>
      </c>
      <c r="D2353" t="s">
        <v>1775</v>
      </c>
      <c r="E2353">
        <v>80759505</v>
      </c>
      <c r="F2353" t="s">
        <v>1776</v>
      </c>
      <c r="G2353" s="3">
        <v>46614</v>
      </c>
      <c r="H2353">
        <v>18</v>
      </c>
      <c r="I2353">
        <v>78</v>
      </c>
      <c r="J2353">
        <v>396</v>
      </c>
      <c r="K2353" s="4">
        <v>74376.72</v>
      </c>
      <c r="L2353" s="4">
        <v>0.2857142857142857</v>
      </c>
      <c r="M2353" s="4">
        <v>1386</v>
      </c>
      <c r="N2353" t="s">
        <v>19</v>
      </c>
      <c r="O2353" t="str">
        <f t="shared" si="360"/>
        <v>Low</v>
      </c>
      <c r="P2353" t="str">
        <f t="shared" si="361"/>
        <v>High</v>
      </c>
      <c r="Q2353" t="str">
        <f t="shared" si="362"/>
        <v>High</v>
      </c>
      <c r="R2353" t="s">
        <v>3310</v>
      </c>
      <c r="S2353" s="4">
        <f t="shared" ca="1" si="363"/>
        <v>417</v>
      </c>
      <c r="T2353">
        <f t="shared" si="364"/>
        <v>1</v>
      </c>
      <c r="U2353">
        <f t="shared" si="365"/>
        <v>3</v>
      </c>
      <c r="V2353">
        <f t="shared" si="366"/>
        <v>3</v>
      </c>
      <c r="W2353">
        <f t="shared" si="367"/>
        <v>2</v>
      </c>
      <c r="X2353">
        <f t="shared" si="368"/>
        <v>2.1</v>
      </c>
      <c r="Y2353" t="str">
        <f t="shared" si="369"/>
        <v>Monitor</v>
      </c>
    </row>
    <row r="2354" spans="1:25" x14ac:dyDescent="0.35">
      <c r="A2354" t="s">
        <v>179</v>
      </c>
      <c r="B2354" t="s">
        <v>223</v>
      </c>
      <c r="C2354" t="s">
        <v>357</v>
      </c>
      <c r="D2354" t="s">
        <v>400</v>
      </c>
      <c r="E2354">
        <v>83908210</v>
      </c>
      <c r="F2354" t="s">
        <v>1774</v>
      </c>
      <c r="G2354" s="3">
        <v>46667</v>
      </c>
      <c r="H2354">
        <v>18</v>
      </c>
      <c r="I2354">
        <v>88</v>
      </c>
      <c r="J2354">
        <v>12</v>
      </c>
      <c r="K2354" s="4">
        <v>2986.56</v>
      </c>
      <c r="L2354" s="4">
        <v>2156.5714285714284</v>
      </c>
      <c r="M2354" s="4">
        <v>5.5643879173290943E-3</v>
      </c>
      <c r="N2354" t="s">
        <v>25</v>
      </c>
      <c r="O2354" t="str">
        <f t="shared" si="360"/>
        <v>Low</v>
      </c>
      <c r="P2354" t="str">
        <f t="shared" si="361"/>
        <v>Low</v>
      </c>
      <c r="Q2354" t="str">
        <f t="shared" si="362"/>
        <v>Low</v>
      </c>
      <c r="R2354" t="s">
        <v>3317</v>
      </c>
      <c r="S2354" s="4">
        <f t="shared" ca="1" si="363"/>
        <v>470</v>
      </c>
      <c r="T2354">
        <f t="shared" si="364"/>
        <v>1</v>
      </c>
      <c r="U2354">
        <f t="shared" si="365"/>
        <v>1</v>
      </c>
      <c r="V2354">
        <f t="shared" si="366"/>
        <v>1</v>
      </c>
      <c r="W2354">
        <f t="shared" si="367"/>
        <v>1</v>
      </c>
      <c r="X2354">
        <f t="shared" si="368"/>
        <v>0.99999999999999989</v>
      </c>
      <c r="Y2354" t="str">
        <f t="shared" si="369"/>
        <v>Healthy</v>
      </c>
    </row>
    <row r="2355" spans="1:25" x14ac:dyDescent="0.35">
      <c r="A2355" t="s">
        <v>99</v>
      </c>
      <c r="B2355" t="s">
        <v>100</v>
      </c>
      <c r="C2355" t="s">
        <v>101</v>
      </c>
      <c r="D2355" t="s">
        <v>1775</v>
      </c>
      <c r="E2355">
        <v>80759505</v>
      </c>
      <c r="F2355" t="s">
        <v>1776</v>
      </c>
      <c r="G2355" s="3">
        <v>45985</v>
      </c>
      <c r="H2355">
        <v>18</v>
      </c>
      <c r="I2355">
        <v>0</v>
      </c>
      <c r="J2355">
        <v>105</v>
      </c>
      <c r="K2355" s="4">
        <v>19721.099999999999</v>
      </c>
      <c r="L2355" s="4">
        <v>0.2857142857142857</v>
      </c>
      <c r="M2355" s="4">
        <v>367.5</v>
      </c>
      <c r="N2355" t="s">
        <v>19</v>
      </c>
      <c r="O2355" t="str">
        <f t="shared" si="360"/>
        <v>High</v>
      </c>
      <c r="P2355" t="str">
        <f t="shared" si="361"/>
        <v>High</v>
      </c>
      <c r="Q2355" t="str">
        <f t="shared" si="362"/>
        <v>High</v>
      </c>
      <c r="R2355" t="s">
        <v>3317</v>
      </c>
      <c r="S2355" s="4">
        <f t="shared" ca="1" si="363"/>
        <v>-212</v>
      </c>
      <c r="T2355">
        <f t="shared" si="364"/>
        <v>3</v>
      </c>
      <c r="U2355">
        <f t="shared" si="365"/>
        <v>3</v>
      </c>
      <c r="V2355">
        <f t="shared" si="366"/>
        <v>3</v>
      </c>
      <c r="W2355">
        <f t="shared" si="367"/>
        <v>1</v>
      </c>
      <c r="X2355">
        <f t="shared" si="368"/>
        <v>2.8000000000000003</v>
      </c>
      <c r="Y2355" t="str">
        <f t="shared" si="369"/>
        <v>Move Immediately</v>
      </c>
    </row>
    <row r="2356" spans="1:25" x14ac:dyDescent="0.35">
      <c r="A2356" t="s">
        <v>179</v>
      </c>
      <c r="B2356" t="s">
        <v>223</v>
      </c>
      <c r="C2356" t="s">
        <v>357</v>
      </c>
      <c r="D2356" t="s">
        <v>400</v>
      </c>
      <c r="E2356">
        <v>83908210</v>
      </c>
      <c r="F2356" t="s">
        <v>1774</v>
      </c>
      <c r="G2356" s="3">
        <v>46721</v>
      </c>
      <c r="H2356">
        <v>18</v>
      </c>
      <c r="I2356">
        <v>98</v>
      </c>
      <c r="J2356">
        <v>228</v>
      </c>
      <c r="K2356" s="4">
        <v>56744.639999999999</v>
      </c>
      <c r="L2356" s="4">
        <v>2156.5714285714284</v>
      </c>
      <c r="M2356" s="4">
        <v>0.10572337042925278</v>
      </c>
      <c r="N2356" t="s">
        <v>25</v>
      </c>
      <c r="O2356" t="str">
        <f t="shared" si="360"/>
        <v>Low</v>
      </c>
      <c r="P2356" t="str">
        <f t="shared" si="361"/>
        <v>Low</v>
      </c>
      <c r="Q2356" t="str">
        <f t="shared" si="362"/>
        <v>Low</v>
      </c>
      <c r="R2356" t="s">
        <v>3317</v>
      </c>
      <c r="S2356" s="4">
        <f t="shared" ca="1" si="363"/>
        <v>524</v>
      </c>
      <c r="T2356">
        <f t="shared" si="364"/>
        <v>1</v>
      </c>
      <c r="U2356">
        <f t="shared" si="365"/>
        <v>1</v>
      </c>
      <c r="V2356">
        <f t="shared" si="366"/>
        <v>1</v>
      </c>
      <c r="W2356">
        <f t="shared" si="367"/>
        <v>1</v>
      </c>
      <c r="X2356">
        <f t="shared" si="368"/>
        <v>0.99999999999999989</v>
      </c>
      <c r="Y2356" t="str">
        <f t="shared" si="369"/>
        <v>Healthy</v>
      </c>
    </row>
    <row r="2357" spans="1:25" x14ac:dyDescent="0.35">
      <c r="A2357" t="s">
        <v>179</v>
      </c>
      <c r="B2357" t="s">
        <v>223</v>
      </c>
      <c r="C2357" t="s">
        <v>357</v>
      </c>
      <c r="D2357" t="s">
        <v>400</v>
      </c>
      <c r="E2357">
        <v>83908210</v>
      </c>
      <c r="F2357" t="s">
        <v>1774</v>
      </c>
      <c r="G2357" s="3">
        <v>46674</v>
      </c>
      <c r="H2357">
        <v>18</v>
      </c>
      <c r="I2357">
        <v>89</v>
      </c>
      <c r="J2357">
        <v>1</v>
      </c>
      <c r="K2357" s="4">
        <v>248.88</v>
      </c>
      <c r="L2357" s="4">
        <v>2156.5714285714284</v>
      </c>
      <c r="M2357" s="4">
        <v>4.6369899311075782E-4</v>
      </c>
      <c r="N2357" t="s">
        <v>25</v>
      </c>
      <c r="O2357" t="str">
        <f t="shared" si="360"/>
        <v>Low</v>
      </c>
      <c r="P2357" t="str">
        <f t="shared" si="361"/>
        <v>Low</v>
      </c>
      <c r="Q2357" t="str">
        <f t="shared" si="362"/>
        <v>Low</v>
      </c>
      <c r="R2357" t="s">
        <v>3317</v>
      </c>
      <c r="S2357" s="4">
        <f t="shared" ca="1" si="363"/>
        <v>477</v>
      </c>
      <c r="T2357">
        <f t="shared" si="364"/>
        <v>1</v>
      </c>
      <c r="U2357">
        <f t="shared" si="365"/>
        <v>1</v>
      </c>
      <c r="V2357">
        <f t="shared" si="366"/>
        <v>1</v>
      </c>
      <c r="W2357">
        <f t="shared" si="367"/>
        <v>1</v>
      </c>
      <c r="X2357">
        <f t="shared" si="368"/>
        <v>0.99999999999999989</v>
      </c>
      <c r="Y2357" t="str">
        <f t="shared" si="369"/>
        <v>Healthy</v>
      </c>
    </row>
    <row r="2358" spans="1:25" x14ac:dyDescent="0.35">
      <c r="A2358" t="s">
        <v>179</v>
      </c>
      <c r="B2358" t="s">
        <v>223</v>
      </c>
      <c r="C2358" t="s">
        <v>357</v>
      </c>
      <c r="D2358" t="s">
        <v>400</v>
      </c>
      <c r="E2358">
        <v>83908210</v>
      </c>
      <c r="F2358" t="s">
        <v>1774</v>
      </c>
      <c r="G2358" s="3">
        <v>46674</v>
      </c>
      <c r="H2358">
        <v>18</v>
      </c>
      <c r="I2358">
        <v>89</v>
      </c>
      <c r="J2358">
        <v>70</v>
      </c>
      <c r="K2358" s="4">
        <v>17421.599999999999</v>
      </c>
      <c r="L2358" s="4">
        <v>2156.5714285714284</v>
      </c>
      <c r="M2358" s="4">
        <v>3.2458929517753046E-2</v>
      </c>
      <c r="N2358" t="s">
        <v>25</v>
      </c>
      <c r="O2358" t="str">
        <f t="shared" si="360"/>
        <v>Low</v>
      </c>
      <c r="P2358" t="str">
        <f t="shared" si="361"/>
        <v>Low</v>
      </c>
      <c r="Q2358" t="str">
        <f t="shared" si="362"/>
        <v>Low</v>
      </c>
      <c r="R2358" t="s">
        <v>3317</v>
      </c>
      <c r="S2358" s="4">
        <f t="shared" ca="1" si="363"/>
        <v>477</v>
      </c>
      <c r="T2358">
        <f t="shared" si="364"/>
        <v>1</v>
      </c>
      <c r="U2358">
        <f t="shared" si="365"/>
        <v>1</v>
      </c>
      <c r="V2358">
        <f t="shared" si="366"/>
        <v>1</v>
      </c>
      <c r="W2358">
        <f t="shared" si="367"/>
        <v>1</v>
      </c>
      <c r="X2358">
        <f t="shared" si="368"/>
        <v>0.99999999999999989</v>
      </c>
      <c r="Y2358" t="str">
        <f t="shared" si="369"/>
        <v>Healthy</v>
      </c>
    </row>
    <row r="2359" spans="1:25" x14ac:dyDescent="0.35">
      <c r="A2359" t="s">
        <v>41</v>
      </c>
      <c r="B2359" t="s">
        <v>54</v>
      </c>
      <c r="C2359" t="s">
        <v>55</v>
      </c>
      <c r="D2359" t="s">
        <v>1564</v>
      </c>
      <c r="E2359">
        <v>80780058</v>
      </c>
      <c r="F2359" t="s">
        <v>1777</v>
      </c>
      <c r="G2359" s="3">
        <v>46358</v>
      </c>
      <c r="H2359">
        <v>36</v>
      </c>
      <c r="I2359">
        <v>15</v>
      </c>
      <c r="J2359">
        <v>4</v>
      </c>
      <c r="K2359" s="4">
        <v>3411.08</v>
      </c>
      <c r="L2359" s="4">
        <f>0</f>
        <v>0</v>
      </c>
      <c r="M2359" s="4">
        <f>999</f>
        <v>999</v>
      </c>
      <c r="N2359" t="s">
        <v>19</v>
      </c>
      <c r="O2359" t="str">
        <f t="shared" si="360"/>
        <v>High</v>
      </c>
      <c r="P2359" t="str">
        <f t="shared" si="361"/>
        <v>High</v>
      </c>
      <c r="Q2359" t="str">
        <f t="shared" si="362"/>
        <v>High</v>
      </c>
      <c r="R2359" t="s">
        <v>3317</v>
      </c>
      <c r="S2359" s="4">
        <f t="shared" ca="1" si="363"/>
        <v>161</v>
      </c>
      <c r="T2359">
        <f t="shared" si="364"/>
        <v>3</v>
      </c>
      <c r="U2359">
        <f t="shared" si="365"/>
        <v>3</v>
      </c>
      <c r="V2359">
        <f t="shared" si="366"/>
        <v>3</v>
      </c>
      <c r="W2359">
        <f t="shared" si="367"/>
        <v>1</v>
      </c>
      <c r="X2359">
        <f t="shared" si="368"/>
        <v>2.8000000000000003</v>
      </c>
      <c r="Y2359" t="str">
        <f t="shared" si="369"/>
        <v>Move Immediately</v>
      </c>
    </row>
    <row r="2360" spans="1:25" x14ac:dyDescent="0.35">
      <c r="A2360" t="s">
        <v>179</v>
      </c>
      <c r="B2360" t="s">
        <v>223</v>
      </c>
      <c r="C2360" t="s">
        <v>357</v>
      </c>
      <c r="D2360" t="s">
        <v>400</v>
      </c>
      <c r="E2360">
        <v>83908210</v>
      </c>
      <c r="F2360" t="s">
        <v>1774</v>
      </c>
      <c r="G2360" s="3">
        <v>46693</v>
      </c>
      <c r="H2360">
        <v>18</v>
      </c>
      <c r="I2360">
        <v>93</v>
      </c>
      <c r="J2360">
        <v>13</v>
      </c>
      <c r="K2360" s="4">
        <v>3235.44</v>
      </c>
      <c r="L2360" s="4">
        <v>2156.5714285714284</v>
      </c>
      <c r="M2360" s="4">
        <v>6.0280869104398522E-3</v>
      </c>
      <c r="N2360" t="s">
        <v>25</v>
      </c>
      <c r="O2360" t="str">
        <f t="shared" si="360"/>
        <v>Low</v>
      </c>
      <c r="P2360" t="str">
        <f t="shared" si="361"/>
        <v>Low</v>
      </c>
      <c r="Q2360" t="str">
        <f t="shared" si="362"/>
        <v>Low</v>
      </c>
      <c r="R2360" t="s">
        <v>3317</v>
      </c>
      <c r="S2360" s="4">
        <f t="shared" ca="1" si="363"/>
        <v>496</v>
      </c>
      <c r="T2360">
        <f t="shared" si="364"/>
        <v>1</v>
      </c>
      <c r="U2360">
        <f t="shared" si="365"/>
        <v>1</v>
      </c>
      <c r="V2360">
        <f t="shared" si="366"/>
        <v>1</v>
      </c>
      <c r="W2360">
        <f t="shared" si="367"/>
        <v>1</v>
      </c>
      <c r="X2360">
        <f t="shared" si="368"/>
        <v>0.99999999999999989</v>
      </c>
      <c r="Y2360" t="str">
        <f t="shared" si="369"/>
        <v>Healthy</v>
      </c>
    </row>
    <row r="2361" spans="1:25" x14ac:dyDescent="0.35">
      <c r="A2361" t="s">
        <v>179</v>
      </c>
      <c r="B2361" t="s">
        <v>223</v>
      </c>
      <c r="C2361" t="s">
        <v>357</v>
      </c>
      <c r="D2361" t="s">
        <v>400</v>
      </c>
      <c r="E2361">
        <v>83908210</v>
      </c>
      <c r="F2361" t="s">
        <v>1774</v>
      </c>
      <c r="G2361" s="3">
        <v>46730</v>
      </c>
      <c r="H2361">
        <v>18</v>
      </c>
      <c r="I2361">
        <v>100</v>
      </c>
      <c r="J2361">
        <v>60</v>
      </c>
      <c r="K2361" s="4">
        <v>14932.8</v>
      </c>
      <c r="L2361" s="4">
        <v>2156.5714285714284</v>
      </c>
      <c r="M2361" s="4">
        <v>2.7821939586645472E-2</v>
      </c>
      <c r="N2361" t="s">
        <v>25</v>
      </c>
      <c r="O2361" t="str">
        <f t="shared" si="360"/>
        <v>Low</v>
      </c>
      <c r="P2361" t="str">
        <f t="shared" si="361"/>
        <v>Low</v>
      </c>
      <c r="Q2361" t="str">
        <f t="shared" si="362"/>
        <v>Low</v>
      </c>
      <c r="R2361" t="s">
        <v>3317</v>
      </c>
      <c r="S2361" s="4">
        <f t="shared" ca="1" si="363"/>
        <v>533</v>
      </c>
      <c r="T2361">
        <f t="shared" si="364"/>
        <v>1</v>
      </c>
      <c r="U2361">
        <f t="shared" si="365"/>
        <v>1</v>
      </c>
      <c r="V2361">
        <f t="shared" si="366"/>
        <v>1</v>
      </c>
      <c r="W2361">
        <f t="shared" si="367"/>
        <v>1</v>
      </c>
      <c r="X2361">
        <f t="shared" si="368"/>
        <v>0.99999999999999989</v>
      </c>
      <c r="Y2361" t="str">
        <f t="shared" si="369"/>
        <v>Healthy</v>
      </c>
    </row>
    <row r="2362" spans="1:25" x14ac:dyDescent="0.35">
      <c r="A2362" t="s">
        <v>179</v>
      </c>
      <c r="B2362" t="s">
        <v>223</v>
      </c>
      <c r="C2362" t="s">
        <v>357</v>
      </c>
      <c r="D2362" t="s">
        <v>400</v>
      </c>
      <c r="E2362">
        <v>83908210</v>
      </c>
      <c r="F2362" t="s">
        <v>1774</v>
      </c>
      <c r="G2362" s="3">
        <v>46686</v>
      </c>
      <c r="H2362">
        <v>18</v>
      </c>
      <c r="I2362">
        <v>91</v>
      </c>
      <c r="J2362">
        <v>192</v>
      </c>
      <c r="K2362" s="4">
        <v>47784.959999999999</v>
      </c>
      <c r="L2362" s="4">
        <v>2156.5714285714284</v>
      </c>
      <c r="M2362" s="4">
        <v>8.9030206677265508E-2</v>
      </c>
      <c r="N2362" t="s">
        <v>25</v>
      </c>
      <c r="O2362" t="str">
        <f t="shared" si="360"/>
        <v>Low</v>
      </c>
      <c r="P2362" t="str">
        <f t="shared" si="361"/>
        <v>Low</v>
      </c>
      <c r="Q2362" t="str">
        <f t="shared" si="362"/>
        <v>Low</v>
      </c>
      <c r="R2362" t="s">
        <v>3317</v>
      </c>
      <c r="S2362" s="4">
        <f t="shared" ca="1" si="363"/>
        <v>489</v>
      </c>
      <c r="T2362">
        <f t="shared" si="364"/>
        <v>1</v>
      </c>
      <c r="U2362">
        <f t="shared" si="365"/>
        <v>1</v>
      </c>
      <c r="V2362">
        <f t="shared" si="366"/>
        <v>1</v>
      </c>
      <c r="W2362">
        <f t="shared" si="367"/>
        <v>1</v>
      </c>
      <c r="X2362">
        <f t="shared" si="368"/>
        <v>0.99999999999999989</v>
      </c>
      <c r="Y2362" t="str">
        <f t="shared" si="369"/>
        <v>Healthy</v>
      </c>
    </row>
    <row r="2363" spans="1:25" x14ac:dyDescent="0.35">
      <c r="A2363" t="s">
        <v>179</v>
      </c>
      <c r="B2363" t="s">
        <v>223</v>
      </c>
      <c r="C2363" t="s">
        <v>357</v>
      </c>
      <c r="D2363" t="s">
        <v>400</v>
      </c>
      <c r="E2363">
        <v>83908210</v>
      </c>
      <c r="F2363" t="s">
        <v>1774</v>
      </c>
      <c r="G2363" s="3">
        <v>46721</v>
      </c>
      <c r="H2363">
        <v>18</v>
      </c>
      <c r="I2363">
        <v>98</v>
      </c>
      <c r="J2363">
        <v>192</v>
      </c>
      <c r="K2363" s="4">
        <v>47784.959999999999</v>
      </c>
      <c r="L2363" s="4">
        <v>2156.5714285714284</v>
      </c>
      <c r="M2363" s="4">
        <v>8.9030206677265508E-2</v>
      </c>
      <c r="N2363" t="s">
        <v>25</v>
      </c>
      <c r="O2363" t="str">
        <f t="shared" si="360"/>
        <v>Low</v>
      </c>
      <c r="P2363" t="str">
        <f t="shared" si="361"/>
        <v>Low</v>
      </c>
      <c r="Q2363" t="str">
        <f t="shared" si="362"/>
        <v>Low</v>
      </c>
      <c r="R2363" t="s">
        <v>3317</v>
      </c>
      <c r="S2363" s="4">
        <f t="shared" ca="1" si="363"/>
        <v>524</v>
      </c>
      <c r="T2363">
        <f t="shared" si="364"/>
        <v>1</v>
      </c>
      <c r="U2363">
        <f t="shared" si="365"/>
        <v>1</v>
      </c>
      <c r="V2363">
        <f t="shared" si="366"/>
        <v>1</v>
      </c>
      <c r="W2363">
        <f t="shared" si="367"/>
        <v>1</v>
      </c>
      <c r="X2363">
        <f t="shared" si="368"/>
        <v>0.99999999999999989</v>
      </c>
      <c r="Y2363" t="str">
        <f t="shared" si="369"/>
        <v>Healthy</v>
      </c>
    </row>
    <row r="2364" spans="1:25" x14ac:dyDescent="0.35">
      <c r="A2364" t="s">
        <v>71</v>
      </c>
      <c r="B2364" t="s">
        <v>72</v>
      </c>
      <c r="C2364" t="s">
        <v>320</v>
      </c>
      <c r="D2364" t="s">
        <v>620</v>
      </c>
      <c r="E2364">
        <v>80781490</v>
      </c>
      <c r="F2364" t="s">
        <v>1778</v>
      </c>
      <c r="G2364" s="3">
        <v>46630</v>
      </c>
      <c r="H2364">
        <v>36</v>
      </c>
      <c r="I2364">
        <v>41</v>
      </c>
      <c r="J2364">
        <v>40</v>
      </c>
      <c r="K2364" s="4">
        <v>736</v>
      </c>
      <c r="L2364" s="4">
        <v>11.714285714285714</v>
      </c>
      <c r="M2364" s="4">
        <v>3.4146341463414638</v>
      </c>
      <c r="N2364" t="s">
        <v>25</v>
      </c>
      <c r="O2364" t="str">
        <f t="shared" si="360"/>
        <v>Low</v>
      </c>
      <c r="P2364" t="str">
        <f t="shared" si="361"/>
        <v>Low</v>
      </c>
      <c r="Q2364" t="str">
        <f t="shared" si="362"/>
        <v>Medium</v>
      </c>
      <c r="R2364" t="s">
        <v>3317</v>
      </c>
      <c r="S2364" s="4">
        <f t="shared" ca="1" si="363"/>
        <v>433</v>
      </c>
      <c r="T2364">
        <f t="shared" si="364"/>
        <v>1</v>
      </c>
      <c r="U2364">
        <f t="shared" si="365"/>
        <v>1</v>
      </c>
      <c r="V2364">
        <f t="shared" si="366"/>
        <v>2</v>
      </c>
      <c r="W2364">
        <f t="shared" si="367"/>
        <v>1</v>
      </c>
      <c r="X2364">
        <f t="shared" si="368"/>
        <v>1.2000000000000002</v>
      </c>
      <c r="Y2364" t="str">
        <f t="shared" si="369"/>
        <v>Healthy</v>
      </c>
    </row>
    <row r="2365" spans="1:25" x14ac:dyDescent="0.35">
      <c r="A2365" t="s">
        <v>179</v>
      </c>
      <c r="B2365" t="s">
        <v>223</v>
      </c>
      <c r="C2365" t="s">
        <v>357</v>
      </c>
      <c r="D2365" t="s">
        <v>400</v>
      </c>
      <c r="E2365">
        <v>83908210</v>
      </c>
      <c r="F2365" t="s">
        <v>1774</v>
      </c>
      <c r="G2365" s="3">
        <v>46696</v>
      </c>
      <c r="H2365">
        <v>18</v>
      </c>
      <c r="I2365">
        <v>93</v>
      </c>
      <c r="J2365">
        <v>24</v>
      </c>
      <c r="K2365" s="4">
        <v>5973.12</v>
      </c>
      <c r="L2365" s="4">
        <v>2156.5714285714284</v>
      </c>
      <c r="M2365" s="4">
        <v>1.1128775834658189E-2</v>
      </c>
      <c r="N2365" t="s">
        <v>25</v>
      </c>
      <c r="O2365" t="str">
        <f t="shared" si="360"/>
        <v>Low</v>
      </c>
      <c r="P2365" t="str">
        <f t="shared" si="361"/>
        <v>Low</v>
      </c>
      <c r="Q2365" t="str">
        <f t="shared" si="362"/>
        <v>Low</v>
      </c>
      <c r="R2365" t="s">
        <v>3317</v>
      </c>
      <c r="S2365" s="4">
        <f t="shared" ca="1" si="363"/>
        <v>499</v>
      </c>
      <c r="T2365">
        <f t="shared" si="364"/>
        <v>1</v>
      </c>
      <c r="U2365">
        <f t="shared" si="365"/>
        <v>1</v>
      </c>
      <c r="V2365">
        <f t="shared" si="366"/>
        <v>1</v>
      </c>
      <c r="W2365">
        <f t="shared" si="367"/>
        <v>1</v>
      </c>
      <c r="X2365">
        <f t="shared" si="368"/>
        <v>0.99999999999999989</v>
      </c>
      <c r="Y2365" t="str">
        <f t="shared" si="369"/>
        <v>Healthy</v>
      </c>
    </row>
    <row r="2366" spans="1:25" x14ac:dyDescent="0.35">
      <c r="A2366" t="s">
        <v>179</v>
      </c>
      <c r="B2366" t="s">
        <v>223</v>
      </c>
      <c r="C2366" t="s">
        <v>357</v>
      </c>
      <c r="D2366" t="s">
        <v>400</v>
      </c>
      <c r="E2366">
        <v>83908210</v>
      </c>
      <c r="F2366" t="s">
        <v>1774</v>
      </c>
      <c r="G2366" s="3">
        <v>46594</v>
      </c>
      <c r="H2366">
        <v>18</v>
      </c>
      <c r="I2366">
        <v>74</v>
      </c>
      <c r="J2366">
        <v>151</v>
      </c>
      <c r="K2366" s="4">
        <v>37580.879999999997</v>
      </c>
      <c r="L2366" s="4">
        <v>2156.5714285714284</v>
      </c>
      <c r="M2366" s="4">
        <v>7.0018547959724439E-2</v>
      </c>
      <c r="N2366" t="s">
        <v>25</v>
      </c>
      <c r="O2366" t="str">
        <f t="shared" si="360"/>
        <v>Low</v>
      </c>
      <c r="P2366" t="str">
        <f t="shared" si="361"/>
        <v>Low</v>
      </c>
      <c r="Q2366" t="str">
        <f t="shared" si="362"/>
        <v>Low</v>
      </c>
      <c r="R2366" t="s">
        <v>3317</v>
      </c>
      <c r="S2366" s="4">
        <f t="shared" ca="1" si="363"/>
        <v>397</v>
      </c>
      <c r="T2366">
        <f t="shared" si="364"/>
        <v>1</v>
      </c>
      <c r="U2366">
        <f t="shared" si="365"/>
        <v>1</v>
      </c>
      <c r="V2366">
        <f t="shared" si="366"/>
        <v>1</v>
      </c>
      <c r="W2366">
        <f t="shared" si="367"/>
        <v>1</v>
      </c>
      <c r="X2366">
        <f t="shared" si="368"/>
        <v>0.99999999999999989</v>
      </c>
      <c r="Y2366" t="str">
        <f t="shared" si="369"/>
        <v>Healthy</v>
      </c>
    </row>
    <row r="2367" spans="1:25" x14ac:dyDescent="0.35">
      <c r="A2367" t="s">
        <v>179</v>
      </c>
      <c r="B2367" t="s">
        <v>223</v>
      </c>
      <c r="C2367" t="s">
        <v>357</v>
      </c>
      <c r="D2367" t="s">
        <v>1779</v>
      </c>
      <c r="E2367">
        <v>83908220</v>
      </c>
      <c r="F2367" t="s">
        <v>1780</v>
      </c>
      <c r="G2367" s="3">
        <v>46736</v>
      </c>
      <c r="H2367">
        <v>18</v>
      </c>
      <c r="I2367">
        <v>100</v>
      </c>
      <c r="J2367">
        <v>580</v>
      </c>
      <c r="K2367" s="4">
        <v>322213.2</v>
      </c>
      <c r="L2367" s="4">
        <v>1288</v>
      </c>
      <c r="M2367" s="4">
        <v>0.4503105590062112</v>
      </c>
      <c r="N2367" t="s">
        <v>25</v>
      </c>
      <c r="O2367" t="str">
        <f t="shared" si="360"/>
        <v>Low</v>
      </c>
      <c r="P2367" t="str">
        <f t="shared" si="361"/>
        <v>Low</v>
      </c>
      <c r="Q2367" t="str">
        <f t="shared" si="362"/>
        <v>Low</v>
      </c>
      <c r="R2367" t="s">
        <v>3309</v>
      </c>
      <c r="S2367" s="4">
        <f t="shared" ca="1" si="363"/>
        <v>539</v>
      </c>
      <c r="T2367">
        <f t="shared" si="364"/>
        <v>1</v>
      </c>
      <c r="U2367">
        <f t="shared" si="365"/>
        <v>1</v>
      </c>
      <c r="V2367">
        <f t="shared" si="366"/>
        <v>1</v>
      </c>
      <c r="W2367">
        <f t="shared" si="367"/>
        <v>3</v>
      </c>
      <c r="X2367">
        <f t="shared" si="368"/>
        <v>1.2</v>
      </c>
      <c r="Y2367" t="str">
        <f t="shared" si="369"/>
        <v>Healthy</v>
      </c>
    </row>
    <row r="2368" spans="1:25" x14ac:dyDescent="0.35">
      <c r="A2368" t="s">
        <v>179</v>
      </c>
      <c r="B2368" t="s">
        <v>223</v>
      </c>
      <c r="C2368" t="s">
        <v>357</v>
      </c>
      <c r="D2368" t="s">
        <v>1779</v>
      </c>
      <c r="E2368">
        <v>83908220</v>
      </c>
      <c r="F2368" t="s">
        <v>1780</v>
      </c>
      <c r="G2368" s="3">
        <v>46728</v>
      </c>
      <c r="H2368">
        <v>18</v>
      </c>
      <c r="I2368">
        <v>99</v>
      </c>
      <c r="J2368">
        <v>2</v>
      </c>
      <c r="K2368" s="4">
        <v>1111.08</v>
      </c>
      <c r="L2368" s="4">
        <v>1288</v>
      </c>
      <c r="M2368" s="4">
        <v>1.5527950310559005E-3</v>
      </c>
      <c r="N2368" t="s">
        <v>25</v>
      </c>
      <c r="O2368" t="str">
        <f t="shared" si="360"/>
        <v>Low</v>
      </c>
      <c r="P2368" t="str">
        <f t="shared" si="361"/>
        <v>Low</v>
      </c>
      <c r="Q2368" t="str">
        <f t="shared" si="362"/>
        <v>Low</v>
      </c>
      <c r="R2368" t="s">
        <v>3317</v>
      </c>
      <c r="S2368" s="4">
        <f t="shared" ca="1" si="363"/>
        <v>531</v>
      </c>
      <c r="T2368">
        <f t="shared" si="364"/>
        <v>1</v>
      </c>
      <c r="U2368">
        <f t="shared" si="365"/>
        <v>1</v>
      </c>
      <c r="V2368">
        <f t="shared" si="366"/>
        <v>1</v>
      </c>
      <c r="W2368">
        <f t="shared" si="367"/>
        <v>1</v>
      </c>
      <c r="X2368">
        <f t="shared" si="368"/>
        <v>0.99999999999999989</v>
      </c>
      <c r="Y2368" t="str">
        <f t="shared" si="369"/>
        <v>Healthy</v>
      </c>
    </row>
    <row r="2369" spans="1:25" x14ac:dyDescent="0.35">
      <c r="A2369" t="s">
        <v>179</v>
      </c>
      <c r="B2369" t="s">
        <v>223</v>
      </c>
      <c r="C2369" t="s">
        <v>357</v>
      </c>
      <c r="D2369" t="s">
        <v>1781</v>
      </c>
      <c r="E2369">
        <v>83908211</v>
      </c>
      <c r="F2369" t="s">
        <v>1782</v>
      </c>
      <c r="G2369" s="3">
        <v>46670</v>
      </c>
      <c r="H2369">
        <v>18</v>
      </c>
      <c r="I2369">
        <v>89</v>
      </c>
      <c r="J2369">
        <v>14</v>
      </c>
      <c r="K2369" s="4">
        <v>10141.879999999999</v>
      </c>
      <c r="L2369" s="4">
        <v>653.14285714285711</v>
      </c>
      <c r="M2369" s="4">
        <v>2.1434820647419073E-2</v>
      </c>
      <c r="N2369" t="s">
        <v>25</v>
      </c>
      <c r="O2369" t="str">
        <f t="shared" si="360"/>
        <v>Low</v>
      </c>
      <c r="P2369" t="str">
        <f t="shared" si="361"/>
        <v>Low</v>
      </c>
      <c r="Q2369" t="str">
        <f t="shared" si="362"/>
        <v>Low</v>
      </c>
      <c r="R2369" t="s">
        <v>3317</v>
      </c>
      <c r="S2369" s="4">
        <f t="shared" ca="1" si="363"/>
        <v>473</v>
      </c>
      <c r="T2369">
        <f t="shared" si="364"/>
        <v>1</v>
      </c>
      <c r="U2369">
        <f t="shared" si="365"/>
        <v>1</v>
      </c>
      <c r="V2369">
        <f t="shared" si="366"/>
        <v>1</v>
      </c>
      <c r="W2369">
        <f t="shared" si="367"/>
        <v>1</v>
      </c>
      <c r="X2369">
        <f t="shared" si="368"/>
        <v>0.99999999999999989</v>
      </c>
      <c r="Y2369" t="str">
        <f t="shared" si="369"/>
        <v>Healthy</v>
      </c>
    </row>
    <row r="2370" spans="1:25" x14ac:dyDescent="0.35">
      <c r="A2370" t="s">
        <v>179</v>
      </c>
      <c r="B2370" t="s">
        <v>223</v>
      </c>
      <c r="C2370" t="s">
        <v>357</v>
      </c>
      <c r="D2370" t="s">
        <v>1781</v>
      </c>
      <c r="E2370">
        <v>83908211</v>
      </c>
      <c r="F2370" t="s">
        <v>1782</v>
      </c>
      <c r="G2370" s="3">
        <v>46653</v>
      </c>
      <c r="H2370">
        <v>18</v>
      </c>
      <c r="I2370">
        <v>85</v>
      </c>
      <c r="J2370">
        <v>20</v>
      </c>
      <c r="K2370" s="4">
        <v>14488.4</v>
      </c>
      <c r="L2370" s="4">
        <v>653.14285714285711</v>
      </c>
      <c r="M2370" s="4">
        <v>3.0621172353455819E-2</v>
      </c>
      <c r="N2370" t="s">
        <v>25</v>
      </c>
      <c r="O2370" t="str">
        <f t="shared" si="360"/>
        <v>Low</v>
      </c>
      <c r="P2370" t="str">
        <f t="shared" si="361"/>
        <v>Low</v>
      </c>
      <c r="Q2370" t="str">
        <f t="shared" si="362"/>
        <v>Low</v>
      </c>
      <c r="R2370" t="s">
        <v>3317</v>
      </c>
      <c r="S2370" s="4">
        <f t="shared" ca="1" si="363"/>
        <v>456</v>
      </c>
      <c r="T2370">
        <f t="shared" si="364"/>
        <v>1</v>
      </c>
      <c r="U2370">
        <f t="shared" si="365"/>
        <v>1</v>
      </c>
      <c r="V2370">
        <f t="shared" si="366"/>
        <v>1</v>
      </c>
      <c r="W2370">
        <f t="shared" si="367"/>
        <v>1</v>
      </c>
      <c r="X2370">
        <f t="shared" si="368"/>
        <v>0.99999999999999989</v>
      </c>
      <c r="Y2370" t="str">
        <f t="shared" si="369"/>
        <v>Healthy</v>
      </c>
    </row>
    <row r="2371" spans="1:25" x14ac:dyDescent="0.35">
      <c r="A2371" t="s">
        <v>179</v>
      </c>
      <c r="B2371" t="s">
        <v>223</v>
      </c>
      <c r="C2371" t="s">
        <v>357</v>
      </c>
      <c r="D2371" t="s">
        <v>1781</v>
      </c>
      <c r="E2371">
        <v>83908211</v>
      </c>
      <c r="F2371" t="s">
        <v>1782</v>
      </c>
      <c r="G2371" s="3">
        <v>46718</v>
      </c>
      <c r="H2371">
        <v>18</v>
      </c>
      <c r="I2371">
        <v>97</v>
      </c>
      <c r="J2371">
        <v>208</v>
      </c>
      <c r="K2371" s="4">
        <v>150679.35999999999</v>
      </c>
      <c r="L2371" s="4">
        <v>653.14285714285711</v>
      </c>
      <c r="M2371" s="4">
        <v>0.31846019247594054</v>
      </c>
      <c r="N2371" t="s">
        <v>25</v>
      </c>
      <c r="O2371" t="str">
        <f t="shared" ref="O2371:O2434" si="370">IF(I2371&lt;20,"High",IF(I2371&lt;40,"Medium","Low"))</f>
        <v>Low</v>
      </c>
      <c r="P2371" t="str">
        <f t="shared" ref="P2371:P2434" si="371">IF(M2371&gt;8,"High",IF(M2371&gt;4,"Medium","Low"))</f>
        <v>Low</v>
      </c>
      <c r="Q2371" t="str">
        <f t="shared" ref="Q2371:Q2434" si="372">IF(L2371&lt;5,"High",IF(L2371&lt;15,"Medium","Low"))</f>
        <v>Low</v>
      </c>
      <c r="R2371" t="s">
        <v>3309</v>
      </c>
      <c r="S2371" s="4">
        <f t="shared" ref="S2371:S2434" ca="1" si="373">G2371-TODAY()</f>
        <v>521</v>
      </c>
      <c r="T2371">
        <f t="shared" ref="T2371:T2434" si="374">IF(O2371="High",3,IF(O2371="Medium",2,1))</f>
        <v>1</v>
      </c>
      <c r="U2371">
        <f t="shared" ref="U2371:U2434" si="375">IF(P2371="High",3,IF(P2371="Medium",2,1))</f>
        <v>1</v>
      </c>
      <c r="V2371">
        <f t="shared" ref="V2371:V2434" si="376">IF(Q2371="High",3,IF(Q2371="Medium",2,1))</f>
        <v>1</v>
      </c>
      <c r="W2371">
        <f t="shared" ref="W2371:W2434" si="377">IF(R2371="High",3,IF(R2371="Medium",2,1))</f>
        <v>3</v>
      </c>
      <c r="X2371">
        <f t="shared" ref="X2371:X2434" si="378">(0.4*T2371)+(0.3*U2371)+(0.2*V2371)+(0.1*W2371)</f>
        <v>1.2</v>
      </c>
      <c r="Y2371" t="str">
        <f t="shared" ref="Y2371:Y2434" si="379">IF(X2371&gt;=2.7,"Move Immediately",IF(X2371&gt;=2.2,"High Priority",IF(X2371&gt;=1.7,"Monitor","Healthy")))</f>
        <v>Healthy</v>
      </c>
    </row>
    <row r="2372" spans="1:25" x14ac:dyDescent="0.35">
      <c r="A2372" t="s">
        <v>179</v>
      </c>
      <c r="B2372" t="s">
        <v>223</v>
      </c>
      <c r="C2372" t="s">
        <v>357</v>
      </c>
      <c r="D2372" t="s">
        <v>1781</v>
      </c>
      <c r="E2372">
        <v>83908211</v>
      </c>
      <c r="F2372" t="s">
        <v>1782</v>
      </c>
      <c r="G2372" s="3">
        <v>46604</v>
      </c>
      <c r="H2372">
        <v>18</v>
      </c>
      <c r="I2372">
        <v>76</v>
      </c>
      <c r="J2372">
        <v>6</v>
      </c>
      <c r="K2372" s="4">
        <v>4346.5200000000004</v>
      </c>
      <c r="L2372" s="4">
        <v>653.14285714285711</v>
      </c>
      <c r="M2372" s="4">
        <v>9.1863517060367453E-3</v>
      </c>
      <c r="N2372" t="s">
        <v>25</v>
      </c>
      <c r="O2372" t="str">
        <f t="shared" si="370"/>
        <v>Low</v>
      </c>
      <c r="P2372" t="str">
        <f t="shared" si="371"/>
        <v>Low</v>
      </c>
      <c r="Q2372" t="str">
        <f t="shared" si="372"/>
        <v>Low</v>
      </c>
      <c r="R2372" t="s">
        <v>3317</v>
      </c>
      <c r="S2372" s="4">
        <f t="shared" ca="1" si="373"/>
        <v>407</v>
      </c>
      <c r="T2372">
        <f t="shared" si="374"/>
        <v>1</v>
      </c>
      <c r="U2372">
        <f t="shared" si="375"/>
        <v>1</v>
      </c>
      <c r="V2372">
        <f t="shared" si="376"/>
        <v>1</v>
      </c>
      <c r="W2372">
        <f t="shared" si="377"/>
        <v>1</v>
      </c>
      <c r="X2372">
        <f t="shared" si="378"/>
        <v>0.99999999999999989</v>
      </c>
      <c r="Y2372" t="str">
        <f t="shared" si="379"/>
        <v>Healthy</v>
      </c>
    </row>
    <row r="2373" spans="1:25" x14ac:dyDescent="0.35">
      <c r="A2373" t="s">
        <v>14</v>
      </c>
      <c r="B2373" t="s">
        <v>343</v>
      </c>
      <c r="C2373" t="s">
        <v>344</v>
      </c>
      <c r="D2373" t="s">
        <v>1183</v>
      </c>
      <c r="E2373">
        <v>80753920</v>
      </c>
      <c r="F2373" t="s">
        <v>1783</v>
      </c>
      <c r="G2373" s="3">
        <v>47184</v>
      </c>
      <c r="H2373">
        <v>60</v>
      </c>
      <c r="I2373">
        <v>55</v>
      </c>
      <c r="J2373">
        <v>3</v>
      </c>
      <c r="K2373" s="4">
        <v>1013.76</v>
      </c>
      <c r="L2373" s="4">
        <f>0</f>
        <v>0</v>
      </c>
      <c r="M2373" s="4">
        <f>999</f>
        <v>999</v>
      </c>
      <c r="N2373" t="s">
        <v>19</v>
      </c>
      <c r="O2373" t="str">
        <f t="shared" si="370"/>
        <v>Low</v>
      </c>
      <c r="P2373" t="str">
        <f t="shared" si="371"/>
        <v>High</v>
      </c>
      <c r="Q2373" t="str">
        <f t="shared" si="372"/>
        <v>High</v>
      </c>
      <c r="R2373" t="s">
        <v>3317</v>
      </c>
      <c r="S2373" s="4">
        <f t="shared" ca="1" si="373"/>
        <v>987</v>
      </c>
      <c r="T2373">
        <f t="shared" si="374"/>
        <v>1</v>
      </c>
      <c r="U2373">
        <f t="shared" si="375"/>
        <v>3</v>
      </c>
      <c r="V2373">
        <f t="shared" si="376"/>
        <v>3</v>
      </c>
      <c r="W2373">
        <f t="shared" si="377"/>
        <v>1</v>
      </c>
      <c r="X2373">
        <f t="shared" si="378"/>
        <v>2</v>
      </c>
      <c r="Y2373" t="str">
        <f t="shared" si="379"/>
        <v>Monitor</v>
      </c>
    </row>
    <row r="2374" spans="1:25" x14ac:dyDescent="0.35">
      <c r="A2374" t="s">
        <v>179</v>
      </c>
      <c r="B2374" t="s">
        <v>223</v>
      </c>
      <c r="C2374" t="s">
        <v>357</v>
      </c>
      <c r="D2374" t="s">
        <v>1781</v>
      </c>
      <c r="E2374">
        <v>83908211</v>
      </c>
      <c r="F2374" t="s">
        <v>1782</v>
      </c>
      <c r="G2374" s="3">
        <v>46691</v>
      </c>
      <c r="H2374">
        <v>18</v>
      </c>
      <c r="I2374">
        <v>92</v>
      </c>
      <c r="J2374">
        <v>70</v>
      </c>
      <c r="K2374" s="4">
        <v>50709.4</v>
      </c>
      <c r="L2374" s="4">
        <v>653.14285714285711</v>
      </c>
      <c r="M2374" s="4">
        <v>0.10717410323709536</v>
      </c>
      <c r="N2374" t="s">
        <v>25</v>
      </c>
      <c r="O2374" t="str">
        <f t="shared" si="370"/>
        <v>Low</v>
      </c>
      <c r="P2374" t="str">
        <f t="shared" si="371"/>
        <v>Low</v>
      </c>
      <c r="Q2374" t="str">
        <f t="shared" si="372"/>
        <v>Low</v>
      </c>
      <c r="R2374" t="s">
        <v>3317</v>
      </c>
      <c r="S2374" s="4">
        <f t="shared" ca="1" si="373"/>
        <v>494</v>
      </c>
      <c r="T2374">
        <f t="shared" si="374"/>
        <v>1</v>
      </c>
      <c r="U2374">
        <f t="shared" si="375"/>
        <v>1</v>
      </c>
      <c r="V2374">
        <f t="shared" si="376"/>
        <v>1</v>
      </c>
      <c r="W2374">
        <f t="shared" si="377"/>
        <v>1</v>
      </c>
      <c r="X2374">
        <f t="shared" si="378"/>
        <v>0.99999999999999989</v>
      </c>
      <c r="Y2374" t="str">
        <f t="shared" si="379"/>
        <v>Healthy</v>
      </c>
    </row>
    <row r="2375" spans="1:25" x14ac:dyDescent="0.35">
      <c r="A2375" t="s">
        <v>179</v>
      </c>
      <c r="B2375" t="s">
        <v>223</v>
      </c>
      <c r="C2375" t="s">
        <v>357</v>
      </c>
      <c r="D2375" t="s">
        <v>1781</v>
      </c>
      <c r="E2375">
        <v>83908211</v>
      </c>
      <c r="F2375" t="s">
        <v>1782</v>
      </c>
      <c r="G2375" s="3">
        <v>46695</v>
      </c>
      <c r="H2375">
        <v>18</v>
      </c>
      <c r="I2375">
        <v>93</v>
      </c>
      <c r="J2375">
        <v>60</v>
      </c>
      <c r="K2375" s="4">
        <v>43465.2</v>
      </c>
      <c r="L2375" s="4">
        <v>653.14285714285711</v>
      </c>
      <c r="M2375" s="4">
        <v>9.1863517060367453E-2</v>
      </c>
      <c r="N2375" t="s">
        <v>25</v>
      </c>
      <c r="O2375" t="str">
        <f t="shared" si="370"/>
        <v>Low</v>
      </c>
      <c r="P2375" t="str">
        <f t="shared" si="371"/>
        <v>Low</v>
      </c>
      <c r="Q2375" t="str">
        <f t="shared" si="372"/>
        <v>Low</v>
      </c>
      <c r="R2375" t="s">
        <v>3317</v>
      </c>
      <c r="S2375" s="4">
        <f t="shared" ca="1" si="373"/>
        <v>498</v>
      </c>
      <c r="T2375">
        <f t="shared" si="374"/>
        <v>1</v>
      </c>
      <c r="U2375">
        <f t="shared" si="375"/>
        <v>1</v>
      </c>
      <c r="V2375">
        <f t="shared" si="376"/>
        <v>1</v>
      </c>
      <c r="W2375">
        <f t="shared" si="377"/>
        <v>1</v>
      </c>
      <c r="X2375">
        <f t="shared" si="378"/>
        <v>0.99999999999999989</v>
      </c>
      <c r="Y2375" t="str">
        <f t="shared" si="379"/>
        <v>Healthy</v>
      </c>
    </row>
    <row r="2376" spans="1:25" x14ac:dyDescent="0.35">
      <c r="A2376" t="s">
        <v>179</v>
      </c>
      <c r="B2376" t="s">
        <v>223</v>
      </c>
      <c r="C2376" t="s">
        <v>357</v>
      </c>
      <c r="D2376" t="s">
        <v>1781</v>
      </c>
      <c r="E2376">
        <v>83908211</v>
      </c>
      <c r="F2376" t="s">
        <v>1782</v>
      </c>
      <c r="G2376" s="3">
        <v>46634</v>
      </c>
      <c r="H2376">
        <v>18</v>
      </c>
      <c r="I2376">
        <v>82</v>
      </c>
      <c r="J2376">
        <v>4</v>
      </c>
      <c r="K2376" s="4">
        <v>2897.68</v>
      </c>
      <c r="L2376" s="4">
        <v>653.14285714285711</v>
      </c>
      <c r="M2376" s="4">
        <v>6.1242344706911641E-3</v>
      </c>
      <c r="N2376" t="s">
        <v>25</v>
      </c>
      <c r="O2376" t="str">
        <f t="shared" si="370"/>
        <v>Low</v>
      </c>
      <c r="P2376" t="str">
        <f t="shared" si="371"/>
        <v>Low</v>
      </c>
      <c r="Q2376" t="str">
        <f t="shared" si="372"/>
        <v>Low</v>
      </c>
      <c r="R2376" t="s">
        <v>3317</v>
      </c>
      <c r="S2376" s="4">
        <f t="shared" ca="1" si="373"/>
        <v>437</v>
      </c>
      <c r="T2376">
        <f t="shared" si="374"/>
        <v>1</v>
      </c>
      <c r="U2376">
        <f t="shared" si="375"/>
        <v>1</v>
      </c>
      <c r="V2376">
        <f t="shared" si="376"/>
        <v>1</v>
      </c>
      <c r="W2376">
        <f t="shared" si="377"/>
        <v>1</v>
      </c>
      <c r="X2376">
        <f t="shared" si="378"/>
        <v>0.99999999999999989</v>
      </c>
      <c r="Y2376" t="str">
        <f t="shared" si="379"/>
        <v>Healthy</v>
      </c>
    </row>
    <row r="2377" spans="1:25" x14ac:dyDescent="0.35">
      <c r="A2377" t="s">
        <v>179</v>
      </c>
      <c r="B2377" t="s">
        <v>223</v>
      </c>
      <c r="C2377" t="s">
        <v>357</v>
      </c>
      <c r="D2377" t="s">
        <v>1781</v>
      </c>
      <c r="E2377">
        <v>83908211</v>
      </c>
      <c r="F2377" t="s">
        <v>1782</v>
      </c>
      <c r="G2377" s="3">
        <v>46663</v>
      </c>
      <c r="H2377">
        <v>18</v>
      </c>
      <c r="I2377">
        <v>87</v>
      </c>
      <c r="J2377">
        <v>22</v>
      </c>
      <c r="K2377" s="4">
        <v>15937.24</v>
      </c>
      <c r="L2377" s="4">
        <v>653.14285714285711</v>
      </c>
      <c r="M2377" s="4">
        <v>3.3683289588801402E-2</v>
      </c>
      <c r="N2377" t="s">
        <v>25</v>
      </c>
      <c r="O2377" t="str">
        <f t="shared" si="370"/>
        <v>Low</v>
      </c>
      <c r="P2377" t="str">
        <f t="shared" si="371"/>
        <v>Low</v>
      </c>
      <c r="Q2377" t="str">
        <f t="shared" si="372"/>
        <v>Low</v>
      </c>
      <c r="R2377" t="s">
        <v>3317</v>
      </c>
      <c r="S2377" s="4">
        <f t="shared" ca="1" si="373"/>
        <v>466</v>
      </c>
      <c r="T2377">
        <f t="shared" si="374"/>
        <v>1</v>
      </c>
      <c r="U2377">
        <f t="shared" si="375"/>
        <v>1</v>
      </c>
      <c r="V2377">
        <f t="shared" si="376"/>
        <v>1</v>
      </c>
      <c r="W2377">
        <f t="shared" si="377"/>
        <v>1</v>
      </c>
      <c r="X2377">
        <f t="shared" si="378"/>
        <v>0.99999999999999989</v>
      </c>
      <c r="Y2377" t="str">
        <f t="shared" si="379"/>
        <v>Healthy</v>
      </c>
    </row>
    <row r="2378" spans="1:25" x14ac:dyDescent="0.35">
      <c r="A2378" t="s">
        <v>179</v>
      </c>
      <c r="B2378" t="s">
        <v>223</v>
      </c>
      <c r="C2378" t="s">
        <v>357</v>
      </c>
      <c r="D2378" t="s">
        <v>1784</v>
      </c>
      <c r="E2378">
        <v>83908221</v>
      </c>
      <c r="F2378" t="s">
        <v>1785</v>
      </c>
      <c r="G2378" s="3">
        <v>46713</v>
      </c>
      <c r="H2378">
        <v>18</v>
      </c>
      <c r="I2378">
        <v>96</v>
      </c>
      <c r="J2378">
        <v>12</v>
      </c>
      <c r="K2378" s="4">
        <v>11188.92</v>
      </c>
      <c r="L2378" s="4">
        <v>628.57142857142856</v>
      </c>
      <c r="M2378" s="4">
        <v>1.9090909090909092E-2</v>
      </c>
      <c r="N2378" t="s">
        <v>25</v>
      </c>
      <c r="O2378" t="str">
        <f t="shared" si="370"/>
        <v>Low</v>
      </c>
      <c r="P2378" t="str">
        <f t="shared" si="371"/>
        <v>Low</v>
      </c>
      <c r="Q2378" t="str">
        <f t="shared" si="372"/>
        <v>Low</v>
      </c>
      <c r="R2378" t="s">
        <v>3317</v>
      </c>
      <c r="S2378" s="4">
        <f t="shared" ca="1" si="373"/>
        <v>516</v>
      </c>
      <c r="T2378">
        <f t="shared" si="374"/>
        <v>1</v>
      </c>
      <c r="U2378">
        <f t="shared" si="375"/>
        <v>1</v>
      </c>
      <c r="V2378">
        <f t="shared" si="376"/>
        <v>1</v>
      </c>
      <c r="W2378">
        <f t="shared" si="377"/>
        <v>1</v>
      </c>
      <c r="X2378">
        <f t="shared" si="378"/>
        <v>0.99999999999999989</v>
      </c>
      <c r="Y2378" t="str">
        <f t="shared" si="379"/>
        <v>Healthy</v>
      </c>
    </row>
    <row r="2379" spans="1:25" x14ac:dyDescent="0.35">
      <c r="A2379" t="s">
        <v>179</v>
      </c>
      <c r="B2379" t="s">
        <v>223</v>
      </c>
      <c r="C2379" t="s">
        <v>357</v>
      </c>
      <c r="D2379" t="s">
        <v>1784</v>
      </c>
      <c r="E2379">
        <v>83908221</v>
      </c>
      <c r="F2379" t="s">
        <v>1785</v>
      </c>
      <c r="G2379" s="3">
        <v>46589</v>
      </c>
      <c r="H2379">
        <v>18</v>
      </c>
      <c r="I2379">
        <v>74</v>
      </c>
      <c r="J2379">
        <v>1</v>
      </c>
      <c r="K2379" s="4">
        <v>932.41</v>
      </c>
      <c r="L2379" s="4">
        <v>628.57142857142856</v>
      </c>
      <c r="M2379" s="4">
        <v>1.590909090909091E-3</v>
      </c>
      <c r="N2379" t="s">
        <v>25</v>
      </c>
      <c r="O2379" t="str">
        <f t="shared" si="370"/>
        <v>Low</v>
      </c>
      <c r="P2379" t="str">
        <f t="shared" si="371"/>
        <v>Low</v>
      </c>
      <c r="Q2379" t="str">
        <f t="shared" si="372"/>
        <v>Low</v>
      </c>
      <c r="R2379" t="s">
        <v>3317</v>
      </c>
      <c r="S2379" s="4">
        <f t="shared" ca="1" si="373"/>
        <v>392</v>
      </c>
      <c r="T2379">
        <f t="shared" si="374"/>
        <v>1</v>
      </c>
      <c r="U2379">
        <f t="shared" si="375"/>
        <v>1</v>
      </c>
      <c r="V2379">
        <f t="shared" si="376"/>
        <v>1</v>
      </c>
      <c r="W2379">
        <f t="shared" si="377"/>
        <v>1</v>
      </c>
      <c r="X2379">
        <f t="shared" si="378"/>
        <v>0.99999999999999989</v>
      </c>
      <c r="Y2379" t="str">
        <f t="shared" si="379"/>
        <v>Healthy</v>
      </c>
    </row>
    <row r="2380" spans="1:25" x14ac:dyDescent="0.35">
      <c r="A2380" t="s">
        <v>71</v>
      </c>
      <c r="B2380" t="s">
        <v>72</v>
      </c>
      <c r="C2380" t="s">
        <v>174</v>
      </c>
      <c r="D2380" t="s">
        <v>305</v>
      </c>
      <c r="E2380">
        <v>80774659</v>
      </c>
      <c r="F2380" t="s">
        <v>1786</v>
      </c>
      <c r="G2380" s="3">
        <v>46510</v>
      </c>
      <c r="H2380">
        <v>36</v>
      </c>
      <c r="I2380">
        <v>29</v>
      </c>
      <c r="J2380">
        <v>4</v>
      </c>
      <c r="K2380" s="4">
        <v>4195.08</v>
      </c>
      <c r="L2380" s="4">
        <f>0</f>
        <v>0</v>
      </c>
      <c r="M2380" s="4">
        <f>999</f>
        <v>999</v>
      </c>
      <c r="N2380" t="s">
        <v>19</v>
      </c>
      <c r="O2380" t="str">
        <f t="shared" si="370"/>
        <v>Medium</v>
      </c>
      <c r="P2380" t="str">
        <f t="shared" si="371"/>
        <v>High</v>
      </c>
      <c r="Q2380" t="str">
        <f t="shared" si="372"/>
        <v>High</v>
      </c>
      <c r="R2380" t="s">
        <v>3317</v>
      </c>
      <c r="S2380" s="4">
        <f t="shared" ca="1" si="373"/>
        <v>313</v>
      </c>
      <c r="T2380">
        <f t="shared" si="374"/>
        <v>2</v>
      </c>
      <c r="U2380">
        <f t="shared" si="375"/>
        <v>3</v>
      </c>
      <c r="V2380">
        <f t="shared" si="376"/>
        <v>3</v>
      </c>
      <c r="W2380">
        <f t="shared" si="377"/>
        <v>1</v>
      </c>
      <c r="X2380">
        <f t="shared" si="378"/>
        <v>2.4</v>
      </c>
      <c r="Y2380" t="str">
        <f t="shared" si="379"/>
        <v>High Priority</v>
      </c>
    </row>
    <row r="2381" spans="1:25" x14ac:dyDescent="0.35">
      <c r="A2381" t="s">
        <v>179</v>
      </c>
      <c r="B2381" t="s">
        <v>223</v>
      </c>
      <c r="C2381" t="s">
        <v>357</v>
      </c>
      <c r="D2381" t="s">
        <v>1050</v>
      </c>
      <c r="E2381">
        <v>83908212</v>
      </c>
      <c r="F2381" t="s">
        <v>1787</v>
      </c>
      <c r="G2381" s="3">
        <v>46720</v>
      </c>
      <c r="H2381">
        <v>18</v>
      </c>
      <c r="I2381">
        <v>98</v>
      </c>
      <c r="J2381">
        <v>335</v>
      </c>
      <c r="K2381" s="4">
        <v>351069.95</v>
      </c>
      <c r="L2381" s="4">
        <v>8722.5714285714294</v>
      </c>
      <c r="M2381" s="4">
        <v>3.8406105670018668E-2</v>
      </c>
      <c r="N2381" t="s">
        <v>25</v>
      </c>
      <c r="O2381" t="str">
        <f t="shared" si="370"/>
        <v>Low</v>
      </c>
      <c r="P2381" t="str">
        <f t="shared" si="371"/>
        <v>Low</v>
      </c>
      <c r="Q2381" t="str">
        <f t="shared" si="372"/>
        <v>Low</v>
      </c>
      <c r="R2381" t="s">
        <v>3309</v>
      </c>
      <c r="S2381" s="4">
        <f t="shared" ca="1" si="373"/>
        <v>523</v>
      </c>
      <c r="T2381">
        <f t="shared" si="374"/>
        <v>1</v>
      </c>
      <c r="U2381">
        <f t="shared" si="375"/>
        <v>1</v>
      </c>
      <c r="V2381">
        <f t="shared" si="376"/>
        <v>1</v>
      </c>
      <c r="W2381">
        <f t="shared" si="377"/>
        <v>3</v>
      </c>
      <c r="X2381">
        <f t="shared" si="378"/>
        <v>1.2</v>
      </c>
      <c r="Y2381" t="str">
        <f t="shared" si="379"/>
        <v>Healthy</v>
      </c>
    </row>
    <row r="2382" spans="1:25" x14ac:dyDescent="0.35">
      <c r="A2382" t="s">
        <v>179</v>
      </c>
      <c r="B2382" t="s">
        <v>223</v>
      </c>
      <c r="C2382" t="s">
        <v>357</v>
      </c>
      <c r="D2382" t="s">
        <v>1050</v>
      </c>
      <c r="E2382">
        <v>83908212</v>
      </c>
      <c r="F2382" t="s">
        <v>1787</v>
      </c>
      <c r="G2382" s="3">
        <v>46703</v>
      </c>
      <c r="H2382">
        <v>18</v>
      </c>
      <c r="I2382">
        <v>95</v>
      </c>
      <c r="J2382">
        <v>244</v>
      </c>
      <c r="K2382" s="4">
        <v>255704.68</v>
      </c>
      <c r="L2382" s="4">
        <v>8722.5714285714294</v>
      </c>
      <c r="M2382" s="4">
        <v>2.7973402338759865E-2</v>
      </c>
      <c r="N2382" t="s">
        <v>25</v>
      </c>
      <c r="O2382" t="str">
        <f t="shared" si="370"/>
        <v>Low</v>
      </c>
      <c r="P2382" t="str">
        <f t="shared" si="371"/>
        <v>Low</v>
      </c>
      <c r="Q2382" t="str">
        <f t="shared" si="372"/>
        <v>Low</v>
      </c>
      <c r="R2382" t="s">
        <v>3309</v>
      </c>
      <c r="S2382" s="4">
        <f t="shared" ca="1" si="373"/>
        <v>506</v>
      </c>
      <c r="T2382">
        <f t="shared" si="374"/>
        <v>1</v>
      </c>
      <c r="U2382">
        <f t="shared" si="375"/>
        <v>1</v>
      </c>
      <c r="V2382">
        <f t="shared" si="376"/>
        <v>1</v>
      </c>
      <c r="W2382">
        <f t="shared" si="377"/>
        <v>3</v>
      </c>
      <c r="X2382">
        <f t="shared" si="378"/>
        <v>1.2</v>
      </c>
      <c r="Y2382" t="str">
        <f t="shared" si="379"/>
        <v>Healthy</v>
      </c>
    </row>
    <row r="2383" spans="1:25" x14ac:dyDescent="0.35">
      <c r="A2383" t="s">
        <v>14</v>
      </c>
      <c r="B2383" t="s">
        <v>58</v>
      </c>
      <c r="C2383" t="s">
        <v>162</v>
      </c>
      <c r="D2383" t="s">
        <v>1788</v>
      </c>
      <c r="E2383">
        <v>80788712</v>
      </c>
      <c r="F2383" t="s">
        <v>1789</v>
      </c>
      <c r="G2383" s="3">
        <v>47252</v>
      </c>
      <c r="H2383">
        <v>60</v>
      </c>
      <c r="I2383">
        <v>59</v>
      </c>
      <c r="J2383">
        <v>28</v>
      </c>
      <c r="K2383" s="4">
        <v>28775.040000000001</v>
      </c>
      <c r="L2383" s="4">
        <f>0</f>
        <v>0</v>
      </c>
      <c r="M2383" s="4">
        <f>999</f>
        <v>999</v>
      </c>
      <c r="N2383" t="s">
        <v>19</v>
      </c>
      <c r="O2383" t="str">
        <f t="shared" si="370"/>
        <v>Low</v>
      </c>
      <c r="P2383" t="str">
        <f t="shared" si="371"/>
        <v>High</v>
      </c>
      <c r="Q2383" t="str">
        <f t="shared" si="372"/>
        <v>High</v>
      </c>
      <c r="R2383" t="s">
        <v>3317</v>
      </c>
      <c r="S2383" s="4">
        <f t="shared" ca="1" si="373"/>
        <v>1055</v>
      </c>
      <c r="T2383">
        <f t="shared" si="374"/>
        <v>1</v>
      </c>
      <c r="U2383">
        <f t="shared" si="375"/>
        <v>3</v>
      </c>
      <c r="V2383">
        <f t="shared" si="376"/>
        <v>3</v>
      </c>
      <c r="W2383">
        <f t="shared" si="377"/>
        <v>1</v>
      </c>
      <c r="X2383">
        <f t="shared" si="378"/>
        <v>2</v>
      </c>
      <c r="Y2383" t="str">
        <f t="shared" si="379"/>
        <v>Monitor</v>
      </c>
    </row>
    <row r="2384" spans="1:25" x14ac:dyDescent="0.35">
      <c r="A2384" t="s">
        <v>179</v>
      </c>
      <c r="B2384" t="s">
        <v>223</v>
      </c>
      <c r="C2384" t="s">
        <v>357</v>
      </c>
      <c r="D2384" t="s">
        <v>1050</v>
      </c>
      <c r="E2384">
        <v>83908212</v>
      </c>
      <c r="F2384" t="s">
        <v>1787</v>
      </c>
      <c r="G2384" s="3">
        <v>46706</v>
      </c>
      <c r="H2384">
        <v>18</v>
      </c>
      <c r="I2384">
        <v>95</v>
      </c>
      <c r="J2384">
        <v>315</v>
      </c>
      <c r="K2384" s="4">
        <v>330110.55</v>
      </c>
      <c r="L2384" s="4">
        <v>8722.5714285714294</v>
      </c>
      <c r="M2384" s="4">
        <v>3.6113203838972777E-2</v>
      </c>
      <c r="N2384" t="s">
        <v>25</v>
      </c>
      <c r="O2384" t="str">
        <f t="shared" si="370"/>
        <v>Low</v>
      </c>
      <c r="P2384" t="str">
        <f t="shared" si="371"/>
        <v>Low</v>
      </c>
      <c r="Q2384" t="str">
        <f t="shared" si="372"/>
        <v>Low</v>
      </c>
      <c r="R2384" t="s">
        <v>3309</v>
      </c>
      <c r="S2384" s="4">
        <f t="shared" ca="1" si="373"/>
        <v>509</v>
      </c>
      <c r="T2384">
        <f t="shared" si="374"/>
        <v>1</v>
      </c>
      <c r="U2384">
        <f t="shared" si="375"/>
        <v>1</v>
      </c>
      <c r="V2384">
        <f t="shared" si="376"/>
        <v>1</v>
      </c>
      <c r="W2384">
        <f t="shared" si="377"/>
        <v>3</v>
      </c>
      <c r="X2384">
        <f t="shared" si="378"/>
        <v>1.2</v>
      </c>
      <c r="Y2384" t="str">
        <f t="shared" si="379"/>
        <v>Healthy</v>
      </c>
    </row>
    <row r="2385" spans="1:25" x14ac:dyDescent="0.35">
      <c r="A2385" t="s">
        <v>14</v>
      </c>
      <c r="B2385" t="s">
        <v>58</v>
      </c>
      <c r="C2385" t="s">
        <v>162</v>
      </c>
      <c r="D2385" t="s">
        <v>1788</v>
      </c>
      <c r="E2385">
        <v>80788712</v>
      </c>
      <c r="F2385" t="s">
        <v>1789</v>
      </c>
      <c r="G2385" s="3">
        <v>47327</v>
      </c>
      <c r="H2385">
        <v>60</v>
      </c>
      <c r="I2385">
        <v>63</v>
      </c>
      <c r="J2385">
        <v>1</v>
      </c>
      <c r="K2385" s="4">
        <v>1027.68</v>
      </c>
      <c r="L2385" s="4">
        <f>0</f>
        <v>0</v>
      </c>
      <c r="M2385" s="4">
        <f>999</f>
        <v>999</v>
      </c>
      <c r="N2385" t="s">
        <v>19</v>
      </c>
      <c r="O2385" t="str">
        <f t="shared" si="370"/>
        <v>Low</v>
      </c>
      <c r="P2385" t="str">
        <f t="shared" si="371"/>
        <v>High</v>
      </c>
      <c r="Q2385" t="str">
        <f t="shared" si="372"/>
        <v>High</v>
      </c>
      <c r="R2385" t="s">
        <v>3317</v>
      </c>
      <c r="S2385" s="4">
        <f t="shared" ca="1" si="373"/>
        <v>1130</v>
      </c>
      <c r="T2385">
        <f t="shared" si="374"/>
        <v>1</v>
      </c>
      <c r="U2385">
        <f t="shared" si="375"/>
        <v>3</v>
      </c>
      <c r="V2385">
        <f t="shared" si="376"/>
        <v>3</v>
      </c>
      <c r="W2385">
        <f t="shared" si="377"/>
        <v>1</v>
      </c>
      <c r="X2385">
        <f t="shared" si="378"/>
        <v>2</v>
      </c>
      <c r="Y2385" t="str">
        <f t="shared" si="379"/>
        <v>Monitor</v>
      </c>
    </row>
    <row r="2386" spans="1:25" x14ac:dyDescent="0.35">
      <c r="A2386" t="s">
        <v>179</v>
      </c>
      <c r="B2386" t="s">
        <v>223</v>
      </c>
      <c r="C2386" t="s">
        <v>357</v>
      </c>
      <c r="D2386" t="s">
        <v>1050</v>
      </c>
      <c r="E2386">
        <v>83908212</v>
      </c>
      <c r="F2386" t="s">
        <v>1787</v>
      </c>
      <c r="G2386" s="3">
        <v>46722</v>
      </c>
      <c r="H2386">
        <v>18</v>
      </c>
      <c r="I2386">
        <v>98</v>
      </c>
      <c r="J2386">
        <v>728</v>
      </c>
      <c r="K2386" s="4">
        <v>762922.16</v>
      </c>
      <c r="L2386" s="4">
        <v>8722.5714285714294</v>
      </c>
      <c r="M2386" s="4">
        <v>8.3461626650070411E-2</v>
      </c>
      <c r="N2386" t="s">
        <v>25</v>
      </c>
      <c r="O2386" t="str">
        <f t="shared" si="370"/>
        <v>Low</v>
      </c>
      <c r="P2386" t="str">
        <f t="shared" si="371"/>
        <v>Low</v>
      </c>
      <c r="Q2386" t="str">
        <f t="shared" si="372"/>
        <v>Low</v>
      </c>
      <c r="R2386" t="s">
        <v>3309</v>
      </c>
      <c r="S2386" s="4">
        <f t="shared" ca="1" si="373"/>
        <v>525</v>
      </c>
      <c r="T2386">
        <f t="shared" si="374"/>
        <v>1</v>
      </c>
      <c r="U2386">
        <f t="shared" si="375"/>
        <v>1</v>
      </c>
      <c r="V2386">
        <f t="shared" si="376"/>
        <v>1</v>
      </c>
      <c r="W2386">
        <f t="shared" si="377"/>
        <v>3</v>
      </c>
      <c r="X2386">
        <f t="shared" si="378"/>
        <v>1.2</v>
      </c>
      <c r="Y2386" t="str">
        <f t="shared" si="379"/>
        <v>Healthy</v>
      </c>
    </row>
    <row r="2387" spans="1:25" x14ac:dyDescent="0.35">
      <c r="A2387" t="s">
        <v>179</v>
      </c>
      <c r="B2387" t="s">
        <v>223</v>
      </c>
      <c r="C2387" t="s">
        <v>357</v>
      </c>
      <c r="D2387" t="s">
        <v>1050</v>
      </c>
      <c r="E2387">
        <v>83908212</v>
      </c>
      <c r="F2387" t="s">
        <v>1787</v>
      </c>
      <c r="G2387" s="3">
        <v>46674</v>
      </c>
      <c r="H2387">
        <v>18</v>
      </c>
      <c r="I2387">
        <v>89</v>
      </c>
      <c r="J2387">
        <v>52</v>
      </c>
      <c r="K2387" s="4">
        <v>54494.44</v>
      </c>
      <c r="L2387" s="4">
        <v>8722.5714285714294</v>
      </c>
      <c r="M2387" s="4">
        <v>5.9615447607193157E-3</v>
      </c>
      <c r="N2387" t="s">
        <v>25</v>
      </c>
      <c r="O2387" t="str">
        <f t="shared" si="370"/>
        <v>Low</v>
      </c>
      <c r="P2387" t="str">
        <f t="shared" si="371"/>
        <v>Low</v>
      </c>
      <c r="Q2387" t="str">
        <f t="shared" si="372"/>
        <v>Low</v>
      </c>
      <c r="R2387" t="s">
        <v>3317</v>
      </c>
      <c r="S2387" s="4">
        <f t="shared" ca="1" si="373"/>
        <v>477</v>
      </c>
      <c r="T2387">
        <f t="shared" si="374"/>
        <v>1</v>
      </c>
      <c r="U2387">
        <f t="shared" si="375"/>
        <v>1</v>
      </c>
      <c r="V2387">
        <f t="shared" si="376"/>
        <v>1</v>
      </c>
      <c r="W2387">
        <f t="shared" si="377"/>
        <v>1</v>
      </c>
      <c r="X2387">
        <f t="shared" si="378"/>
        <v>0.99999999999999989</v>
      </c>
      <c r="Y2387" t="str">
        <f t="shared" si="379"/>
        <v>Healthy</v>
      </c>
    </row>
    <row r="2388" spans="1:25" x14ac:dyDescent="0.35">
      <c r="A2388" t="s">
        <v>14</v>
      </c>
      <c r="B2388" t="s">
        <v>58</v>
      </c>
      <c r="C2388" t="s">
        <v>162</v>
      </c>
      <c r="D2388" t="s">
        <v>1788</v>
      </c>
      <c r="E2388">
        <v>80788712</v>
      </c>
      <c r="F2388" t="s">
        <v>1789</v>
      </c>
      <c r="G2388" s="3">
        <v>47343</v>
      </c>
      <c r="H2388">
        <v>60</v>
      </c>
      <c r="I2388">
        <v>64</v>
      </c>
      <c r="J2388">
        <v>4</v>
      </c>
      <c r="K2388" s="4">
        <v>4110.72</v>
      </c>
      <c r="L2388" s="4">
        <f>0</f>
        <v>0</v>
      </c>
      <c r="M2388" s="4">
        <f>999</f>
        <v>999</v>
      </c>
      <c r="N2388" t="s">
        <v>19</v>
      </c>
      <c r="O2388" t="str">
        <f t="shared" si="370"/>
        <v>Low</v>
      </c>
      <c r="P2388" t="str">
        <f t="shared" si="371"/>
        <v>High</v>
      </c>
      <c r="Q2388" t="str">
        <f t="shared" si="372"/>
        <v>High</v>
      </c>
      <c r="R2388" t="s">
        <v>3317</v>
      </c>
      <c r="S2388" s="4">
        <f t="shared" ca="1" si="373"/>
        <v>1146</v>
      </c>
      <c r="T2388">
        <f t="shared" si="374"/>
        <v>1</v>
      </c>
      <c r="U2388">
        <f t="shared" si="375"/>
        <v>3</v>
      </c>
      <c r="V2388">
        <f t="shared" si="376"/>
        <v>3</v>
      </c>
      <c r="W2388">
        <f t="shared" si="377"/>
        <v>1</v>
      </c>
      <c r="X2388">
        <f t="shared" si="378"/>
        <v>2</v>
      </c>
      <c r="Y2388" t="str">
        <f t="shared" si="379"/>
        <v>Monitor</v>
      </c>
    </row>
    <row r="2389" spans="1:25" x14ac:dyDescent="0.35">
      <c r="A2389" t="s">
        <v>179</v>
      </c>
      <c r="B2389" t="s">
        <v>223</v>
      </c>
      <c r="C2389" t="s">
        <v>357</v>
      </c>
      <c r="D2389" t="s">
        <v>1050</v>
      </c>
      <c r="E2389">
        <v>83908212</v>
      </c>
      <c r="F2389" t="s">
        <v>1787</v>
      </c>
      <c r="G2389" s="3">
        <v>46720</v>
      </c>
      <c r="H2389">
        <v>18</v>
      </c>
      <c r="I2389">
        <v>98</v>
      </c>
      <c r="J2389">
        <v>372</v>
      </c>
      <c r="K2389" s="4">
        <v>389844.84</v>
      </c>
      <c r="L2389" s="4">
        <v>8722.5714285714294</v>
      </c>
      <c r="M2389" s="4">
        <v>4.2647974057453568E-2</v>
      </c>
      <c r="N2389" t="s">
        <v>25</v>
      </c>
      <c r="O2389" t="str">
        <f t="shared" si="370"/>
        <v>Low</v>
      </c>
      <c r="P2389" t="str">
        <f t="shared" si="371"/>
        <v>Low</v>
      </c>
      <c r="Q2389" t="str">
        <f t="shared" si="372"/>
        <v>Low</v>
      </c>
      <c r="R2389" t="s">
        <v>3309</v>
      </c>
      <c r="S2389" s="4">
        <f t="shared" ca="1" si="373"/>
        <v>523</v>
      </c>
      <c r="T2389">
        <f t="shared" si="374"/>
        <v>1</v>
      </c>
      <c r="U2389">
        <f t="shared" si="375"/>
        <v>1</v>
      </c>
      <c r="V2389">
        <f t="shared" si="376"/>
        <v>1</v>
      </c>
      <c r="W2389">
        <f t="shared" si="377"/>
        <v>3</v>
      </c>
      <c r="X2389">
        <f t="shared" si="378"/>
        <v>1.2</v>
      </c>
      <c r="Y2389" t="str">
        <f t="shared" si="379"/>
        <v>Healthy</v>
      </c>
    </row>
    <row r="2390" spans="1:25" x14ac:dyDescent="0.35">
      <c r="A2390" t="s">
        <v>179</v>
      </c>
      <c r="B2390" t="s">
        <v>223</v>
      </c>
      <c r="C2390" t="s">
        <v>357</v>
      </c>
      <c r="D2390" t="s">
        <v>1050</v>
      </c>
      <c r="E2390">
        <v>83908212</v>
      </c>
      <c r="F2390" t="s">
        <v>1787</v>
      </c>
      <c r="G2390" s="3">
        <v>46705</v>
      </c>
      <c r="H2390">
        <v>18</v>
      </c>
      <c r="I2390">
        <v>95</v>
      </c>
      <c r="J2390">
        <v>556</v>
      </c>
      <c r="K2390" s="4">
        <v>582671.31999999995</v>
      </c>
      <c r="L2390" s="4">
        <v>8722.5714285714294</v>
      </c>
      <c r="M2390" s="4">
        <v>6.3742670903075754E-2</v>
      </c>
      <c r="N2390" t="s">
        <v>25</v>
      </c>
      <c r="O2390" t="str">
        <f t="shared" si="370"/>
        <v>Low</v>
      </c>
      <c r="P2390" t="str">
        <f t="shared" si="371"/>
        <v>Low</v>
      </c>
      <c r="Q2390" t="str">
        <f t="shared" si="372"/>
        <v>Low</v>
      </c>
      <c r="R2390" t="s">
        <v>3309</v>
      </c>
      <c r="S2390" s="4">
        <f t="shared" ca="1" si="373"/>
        <v>508</v>
      </c>
      <c r="T2390">
        <f t="shared" si="374"/>
        <v>1</v>
      </c>
      <c r="U2390">
        <f t="shared" si="375"/>
        <v>1</v>
      </c>
      <c r="V2390">
        <f t="shared" si="376"/>
        <v>1</v>
      </c>
      <c r="W2390">
        <f t="shared" si="377"/>
        <v>3</v>
      </c>
      <c r="X2390">
        <f t="shared" si="378"/>
        <v>1.2</v>
      </c>
      <c r="Y2390" t="str">
        <f t="shared" si="379"/>
        <v>Healthy</v>
      </c>
    </row>
    <row r="2391" spans="1:25" x14ac:dyDescent="0.35">
      <c r="A2391" t="s">
        <v>179</v>
      </c>
      <c r="B2391" t="s">
        <v>223</v>
      </c>
      <c r="C2391" t="s">
        <v>357</v>
      </c>
      <c r="D2391" t="s">
        <v>1050</v>
      </c>
      <c r="E2391">
        <v>83908212</v>
      </c>
      <c r="F2391" t="s">
        <v>1787</v>
      </c>
      <c r="G2391" s="3">
        <v>46688</v>
      </c>
      <c r="H2391">
        <v>18</v>
      </c>
      <c r="I2391">
        <v>92</v>
      </c>
      <c r="J2391">
        <v>16</v>
      </c>
      <c r="K2391" s="4">
        <v>16767.52</v>
      </c>
      <c r="L2391" s="4">
        <v>8722.5714285714294</v>
      </c>
      <c r="M2391" s="4">
        <v>1.8343214648367124E-3</v>
      </c>
      <c r="N2391" t="s">
        <v>25</v>
      </c>
      <c r="O2391" t="str">
        <f t="shared" si="370"/>
        <v>Low</v>
      </c>
      <c r="P2391" t="str">
        <f t="shared" si="371"/>
        <v>Low</v>
      </c>
      <c r="Q2391" t="str">
        <f t="shared" si="372"/>
        <v>Low</v>
      </c>
      <c r="R2391" t="s">
        <v>3317</v>
      </c>
      <c r="S2391" s="4">
        <f t="shared" ca="1" si="373"/>
        <v>491</v>
      </c>
      <c r="T2391">
        <f t="shared" si="374"/>
        <v>1</v>
      </c>
      <c r="U2391">
        <f t="shared" si="375"/>
        <v>1</v>
      </c>
      <c r="V2391">
        <f t="shared" si="376"/>
        <v>1</v>
      </c>
      <c r="W2391">
        <f t="shared" si="377"/>
        <v>1</v>
      </c>
      <c r="X2391">
        <f t="shared" si="378"/>
        <v>0.99999999999999989</v>
      </c>
      <c r="Y2391" t="str">
        <f t="shared" si="379"/>
        <v>Healthy</v>
      </c>
    </row>
    <row r="2392" spans="1:25" x14ac:dyDescent="0.35">
      <c r="A2392" t="s">
        <v>179</v>
      </c>
      <c r="B2392" t="s">
        <v>223</v>
      </c>
      <c r="C2392" t="s">
        <v>357</v>
      </c>
      <c r="D2392" t="s">
        <v>1050</v>
      </c>
      <c r="E2392">
        <v>83908212</v>
      </c>
      <c r="F2392" t="s">
        <v>1787</v>
      </c>
      <c r="G2392" s="3">
        <v>46729</v>
      </c>
      <c r="H2392">
        <v>18</v>
      </c>
      <c r="I2392">
        <v>99</v>
      </c>
      <c r="J2392">
        <v>742</v>
      </c>
      <c r="K2392" s="4">
        <v>777593.74</v>
      </c>
      <c r="L2392" s="4">
        <v>8722.5714285714294</v>
      </c>
      <c r="M2392" s="4">
        <v>8.5066657931802542E-2</v>
      </c>
      <c r="N2392" t="s">
        <v>25</v>
      </c>
      <c r="O2392" t="str">
        <f t="shared" si="370"/>
        <v>Low</v>
      </c>
      <c r="P2392" t="str">
        <f t="shared" si="371"/>
        <v>Low</v>
      </c>
      <c r="Q2392" t="str">
        <f t="shared" si="372"/>
        <v>Low</v>
      </c>
      <c r="R2392" t="s">
        <v>3309</v>
      </c>
      <c r="S2392" s="4">
        <f t="shared" ca="1" si="373"/>
        <v>532</v>
      </c>
      <c r="T2392">
        <f t="shared" si="374"/>
        <v>1</v>
      </c>
      <c r="U2392">
        <f t="shared" si="375"/>
        <v>1</v>
      </c>
      <c r="V2392">
        <f t="shared" si="376"/>
        <v>1</v>
      </c>
      <c r="W2392">
        <f t="shared" si="377"/>
        <v>3</v>
      </c>
      <c r="X2392">
        <f t="shared" si="378"/>
        <v>1.2</v>
      </c>
      <c r="Y2392" t="str">
        <f t="shared" si="379"/>
        <v>Healthy</v>
      </c>
    </row>
    <row r="2393" spans="1:25" x14ac:dyDescent="0.35">
      <c r="A2393" t="s">
        <v>179</v>
      </c>
      <c r="B2393" t="s">
        <v>223</v>
      </c>
      <c r="C2393" t="s">
        <v>357</v>
      </c>
      <c r="D2393" t="s">
        <v>1050</v>
      </c>
      <c r="E2393">
        <v>83908212</v>
      </c>
      <c r="F2393" t="s">
        <v>1787</v>
      </c>
      <c r="G2393" s="3">
        <v>46728</v>
      </c>
      <c r="H2393">
        <v>18</v>
      </c>
      <c r="I2393">
        <v>99</v>
      </c>
      <c r="J2393">
        <v>218</v>
      </c>
      <c r="K2393" s="4">
        <v>228457.46</v>
      </c>
      <c r="L2393" s="4">
        <v>8722.5714285714294</v>
      </c>
      <c r="M2393" s="4">
        <v>2.4992629958400209E-2</v>
      </c>
      <c r="N2393" t="s">
        <v>25</v>
      </c>
      <c r="O2393" t="str">
        <f t="shared" si="370"/>
        <v>Low</v>
      </c>
      <c r="P2393" t="str">
        <f t="shared" si="371"/>
        <v>Low</v>
      </c>
      <c r="Q2393" t="str">
        <f t="shared" si="372"/>
        <v>Low</v>
      </c>
      <c r="R2393" t="s">
        <v>3309</v>
      </c>
      <c r="S2393" s="4">
        <f t="shared" ca="1" si="373"/>
        <v>531</v>
      </c>
      <c r="T2393">
        <f t="shared" si="374"/>
        <v>1</v>
      </c>
      <c r="U2393">
        <f t="shared" si="375"/>
        <v>1</v>
      </c>
      <c r="V2393">
        <f t="shared" si="376"/>
        <v>1</v>
      </c>
      <c r="W2393">
        <f t="shared" si="377"/>
        <v>3</v>
      </c>
      <c r="X2393">
        <f t="shared" si="378"/>
        <v>1.2</v>
      </c>
      <c r="Y2393" t="str">
        <f t="shared" si="379"/>
        <v>Healthy</v>
      </c>
    </row>
    <row r="2394" spans="1:25" x14ac:dyDescent="0.35">
      <c r="A2394" t="s">
        <v>179</v>
      </c>
      <c r="B2394" t="s">
        <v>223</v>
      </c>
      <c r="C2394" t="s">
        <v>357</v>
      </c>
      <c r="D2394" t="s">
        <v>1050</v>
      </c>
      <c r="E2394">
        <v>83908212</v>
      </c>
      <c r="F2394" t="s">
        <v>1787</v>
      </c>
      <c r="G2394" s="3">
        <v>46699</v>
      </c>
      <c r="H2394">
        <v>18</v>
      </c>
      <c r="I2394">
        <v>94</v>
      </c>
      <c r="J2394">
        <v>2</v>
      </c>
      <c r="K2394" s="4">
        <v>2095.94</v>
      </c>
      <c r="L2394" s="4">
        <v>8722.5714285714294</v>
      </c>
      <c r="M2394" s="4">
        <v>2.2929018310458905E-4</v>
      </c>
      <c r="N2394" t="s">
        <v>25</v>
      </c>
      <c r="O2394" t="str">
        <f t="shared" si="370"/>
        <v>Low</v>
      </c>
      <c r="P2394" t="str">
        <f t="shared" si="371"/>
        <v>Low</v>
      </c>
      <c r="Q2394" t="str">
        <f t="shared" si="372"/>
        <v>Low</v>
      </c>
      <c r="R2394" t="s">
        <v>3317</v>
      </c>
      <c r="S2394" s="4">
        <f t="shared" ca="1" si="373"/>
        <v>502</v>
      </c>
      <c r="T2394">
        <f t="shared" si="374"/>
        <v>1</v>
      </c>
      <c r="U2394">
        <f t="shared" si="375"/>
        <v>1</v>
      </c>
      <c r="V2394">
        <f t="shared" si="376"/>
        <v>1</v>
      </c>
      <c r="W2394">
        <f t="shared" si="377"/>
        <v>1</v>
      </c>
      <c r="X2394">
        <f t="shared" si="378"/>
        <v>0.99999999999999989</v>
      </c>
      <c r="Y2394" t="str">
        <f t="shared" si="379"/>
        <v>Healthy</v>
      </c>
    </row>
    <row r="2395" spans="1:25" x14ac:dyDescent="0.35">
      <c r="A2395" t="s">
        <v>179</v>
      </c>
      <c r="B2395" t="s">
        <v>223</v>
      </c>
      <c r="C2395" t="s">
        <v>357</v>
      </c>
      <c r="D2395" t="s">
        <v>1050</v>
      </c>
      <c r="E2395">
        <v>83908212</v>
      </c>
      <c r="F2395" t="s">
        <v>1787</v>
      </c>
      <c r="G2395" s="3">
        <v>46675</v>
      </c>
      <c r="H2395">
        <v>18</v>
      </c>
      <c r="I2395">
        <v>89</v>
      </c>
      <c r="J2395">
        <v>2</v>
      </c>
      <c r="K2395" s="4">
        <v>2095.94</v>
      </c>
      <c r="L2395" s="4">
        <v>8722.5714285714294</v>
      </c>
      <c r="M2395" s="4">
        <v>2.2929018310458905E-4</v>
      </c>
      <c r="N2395" t="s">
        <v>25</v>
      </c>
      <c r="O2395" t="str">
        <f t="shared" si="370"/>
        <v>Low</v>
      </c>
      <c r="P2395" t="str">
        <f t="shared" si="371"/>
        <v>Low</v>
      </c>
      <c r="Q2395" t="str">
        <f t="shared" si="372"/>
        <v>Low</v>
      </c>
      <c r="R2395" t="s">
        <v>3317</v>
      </c>
      <c r="S2395" s="4">
        <f t="shared" ca="1" si="373"/>
        <v>478</v>
      </c>
      <c r="T2395">
        <f t="shared" si="374"/>
        <v>1</v>
      </c>
      <c r="U2395">
        <f t="shared" si="375"/>
        <v>1</v>
      </c>
      <c r="V2395">
        <f t="shared" si="376"/>
        <v>1</v>
      </c>
      <c r="W2395">
        <f t="shared" si="377"/>
        <v>1</v>
      </c>
      <c r="X2395">
        <f t="shared" si="378"/>
        <v>0.99999999999999989</v>
      </c>
      <c r="Y2395" t="str">
        <f t="shared" si="379"/>
        <v>Healthy</v>
      </c>
    </row>
    <row r="2396" spans="1:25" x14ac:dyDescent="0.35">
      <c r="A2396" t="s">
        <v>179</v>
      </c>
      <c r="B2396" t="s">
        <v>223</v>
      </c>
      <c r="C2396" t="s">
        <v>357</v>
      </c>
      <c r="D2396" t="s">
        <v>1050</v>
      </c>
      <c r="E2396">
        <v>83908212</v>
      </c>
      <c r="F2396" t="s">
        <v>1787</v>
      </c>
      <c r="G2396" s="3">
        <v>46731</v>
      </c>
      <c r="H2396">
        <v>18</v>
      </c>
      <c r="I2396">
        <v>100</v>
      </c>
      <c r="J2396">
        <v>12</v>
      </c>
      <c r="K2396" s="4">
        <v>12575.64</v>
      </c>
      <c r="L2396" s="4">
        <v>8722.5714285714294</v>
      </c>
      <c r="M2396" s="4">
        <v>1.3757410986275343E-3</v>
      </c>
      <c r="N2396" t="s">
        <v>25</v>
      </c>
      <c r="O2396" t="str">
        <f t="shared" si="370"/>
        <v>Low</v>
      </c>
      <c r="P2396" t="str">
        <f t="shared" si="371"/>
        <v>Low</v>
      </c>
      <c r="Q2396" t="str">
        <f t="shared" si="372"/>
        <v>Low</v>
      </c>
      <c r="R2396" t="s">
        <v>3317</v>
      </c>
      <c r="S2396" s="4">
        <f t="shared" ca="1" si="373"/>
        <v>534</v>
      </c>
      <c r="T2396">
        <f t="shared" si="374"/>
        <v>1</v>
      </c>
      <c r="U2396">
        <f t="shared" si="375"/>
        <v>1</v>
      </c>
      <c r="V2396">
        <f t="shared" si="376"/>
        <v>1</v>
      </c>
      <c r="W2396">
        <f t="shared" si="377"/>
        <v>1</v>
      </c>
      <c r="X2396">
        <f t="shared" si="378"/>
        <v>0.99999999999999989</v>
      </c>
      <c r="Y2396" t="str">
        <f t="shared" si="379"/>
        <v>Healthy</v>
      </c>
    </row>
    <row r="2397" spans="1:25" x14ac:dyDescent="0.35">
      <c r="A2397" t="s">
        <v>189</v>
      </c>
      <c r="B2397" t="s">
        <v>539</v>
      </c>
      <c r="C2397" t="s">
        <v>1198</v>
      </c>
      <c r="D2397" t="s">
        <v>1790</v>
      </c>
      <c r="E2397">
        <v>80781467</v>
      </c>
      <c r="F2397" t="s">
        <v>1791</v>
      </c>
      <c r="G2397" s="3">
        <v>45967</v>
      </c>
      <c r="H2397">
        <v>18</v>
      </c>
      <c r="I2397">
        <v>0</v>
      </c>
      <c r="J2397">
        <v>12</v>
      </c>
      <c r="K2397" s="4">
        <v>1152</v>
      </c>
      <c r="L2397" s="4">
        <f>0</f>
        <v>0</v>
      </c>
      <c r="M2397" s="4">
        <f>999</f>
        <v>999</v>
      </c>
      <c r="N2397" t="s">
        <v>19</v>
      </c>
      <c r="O2397" t="str">
        <f t="shared" si="370"/>
        <v>High</v>
      </c>
      <c r="P2397" t="str">
        <f t="shared" si="371"/>
        <v>High</v>
      </c>
      <c r="Q2397" t="str">
        <f t="shared" si="372"/>
        <v>High</v>
      </c>
      <c r="R2397" t="s">
        <v>3317</v>
      </c>
      <c r="S2397" s="4">
        <f t="shared" ca="1" si="373"/>
        <v>-230</v>
      </c>
      <c r="T2397">
        <f t="shared" si="374"/>
        <v>3</v>
      </c>
      <c r="U2397">
        <f t="shared" si="375"/>
        <v>3</v>
      </c>
      <c r="V2397">
        <f t="shared" si="376"/>
        <v>3</v>
      </c>
      <c r="W2397">
        <f t="shared" si="377"/>
        <v>1</v>
      </c>
      <c r="X2397">
        <f t="shared" si="378"/>
        <v>2.8000000000000003</v>
      </c>
      <c r="Y2397" t="str">
        <f t="shared" si="379"/>
        <v>Move Immediately</v>
      </c>
    </row>
    <row r="2398" spans="1:25" x14ac:dyDescent="0.35">
      <c r="A2398" t="s">
        <v>179</v>
      </c>
      <c r="B2398" t="s">
        <v>223</v>
      </c>
      <c r="C2398" t="s">
        <v>357</v>
      </c>
      <c r="D2398" t="s">
        <v>1050</v>
      </c>
      <c r="E2398">
        <v>83908212</v>
      </c>
      <c r="F2398" t="s">
        <v>1787</v>
      </c>
      <c r="G2398" s="3">
        <v>46703</v>
      </c>
      <c r="H2398">
        <v>18</v>
      </c>
      <c r="I2398">
        <v>95</v>
      </c>
      <c r="J2398">
        <v>380</v>
      </c>
      <c r="K2398" s="4">
        <v>398228.6</v>
      </c>
      <c r="L2398" s="4">
        <v>8722.5714285714294</v>
      </c>
      <c r="M2398" s="4">
        <v>4.3565134789871923E-2</v>
      </c>
      <c r="N2398" t="s">
        <v>25</v>
      </c>
      <c r="O2398" t="str">
        <f t="shared" si="370"/>
        <v>Low</v>
      </c>
      <c r="P2398" t="str">
        <f t="shared" si="371"/>
        <v>Low</v>
      </c>
      <c r="Q2398" t="str">
        <f t="shared" si="372"/>
        <v>Low</v>
      </c>
      <c r="R2398" t="s">
        <v>3309</v>
      </c>
      <c r="S2398" s="4">
        <f t="shared" ca="1" si="373"/>
        <v>506</v>
      </c>
      <c r="T2398">
        <f t="shared" si="374"/>
        <v>1</v>
      </c>
      <c r="U2398">
        <f t="shared" si="375"/>
        <v>1</v>
      </c>
      <c r="V2398">
        <f t="shared" si="376"/>
        <v>1</v>
      </c>
      <c r="W2398">
        <f t="shared" si="377"/>
        <v>3</v>
      </c>
      <c r="X2398">
        <f t="shared" si="378"/>
        <v>1.2</v>
      </c>
      <c r="Y2398" t="str">
        <f t="shared" si="379"/>
        <v>Healthy</v>
      </c>
    </row>
    <row r="2399" spans="1:25" x14ac:dyDescent="0.35">
      <c r="A2399" t="s">
        <v>179</v>
      </c>
      <c r="B2399" t="s">
        <v>223</v>
      </c>
      <c r="C2399" t="s">
        <v>357</v>
      </c>
      <c r="D2399" t="s">
        <v>1050</v>
      </c>
      <c r="E2399">
        <v>83908212</v>
      </c>
      <c r="F2399" t="s">
        <v>1787</v>
      </c>
      <c r="G2399" s="3">
        <v>46685</v>
      </c>
      <c r="H2399">
        <v>18</v>
      </c>
      <c r="I2399">
        <v>91</v>
      </c>
      <c r="J2399">
        <v>336</v>
      </c>
      <c r="K2399" s="4">
        <v>352117.92</v>
      </c>
      <c r="L2399" s="4">
        <v>8722.5714285714294</v>
      </c>
      <c r="M2399" s="4">
        <v>3.8520750761570959E-2</v>
      </c>
      <c r="N2399" t="s">
        <v>25</v>
      </c>
      <c r="O2399" t="str">
        <f t="shared" si="370"/>
        <v>Low</v>
      </c>
      <c r="P2399" t="str">
        <f t="shared" si="371"/>
        <v>Low</v>
      </c>
      <c r="Q2399" t="str">
        <f t="shared" si="372"/>
        <v>Low</v>
      </c>
      <c r="R2399" t="s">
        <v>3309</v>
      </c>
      <c r="S2399" s="4">
        <f t="shared" ca="1" si="373"/>
        <v>488</v>
      </c>
      <c r="T2399">
        <f t="shared" si="374"/>
        <v>1</v>
      </c>
      <c r="U2399">
        <f t="shared" si="375"/>
        <v>1</v>
      </c>
      <c r="V2399">
        <f t="shared" si="376"/>
        <v>1</v>
      </c>
      <c r="W2399">
        <f t="shared" si="377"/>
        <v>3</v>
      </c>
      <c r="X2399">
        <f t="shared" si="378"/>
        <v>1.2</v>
      </c>
      <c r="Y2399" t="str">
        <f t="shared" si="379"/>
        <v>Healthy</v>
      </c>
    </row>
    <row r="2400" spans="1:25" x14ac:dyDescent="0.35">
      <c r="A2400" t="s">
        <v>179</v>
      </c>
      <c r="B2400" t="s">
        <v>223</v>
      </c>
      <c r="C2400" t="s">
        <v>357</v>
      </c>
      <c r="D2400" t="s">
        <v>1050</v>
      </c>
      <c r="E2400">
        <v>83908212</v>
      </c>
      <c r="F2400" t="s">
        <v>1787</v>
      </c>
      <c r="G2400" s="3">
        <v>46697</v>
      </c>
      <c r="H2400">
        <v>18</v>
      </c>
      <c r="I2400">
        <v>94</v>
      </c>
      <c r="J2400">
        <v>232</v>
      </c>
      <c r="K2400" s="4">
        <v>243129.04</v>
      </c>
      <c r="L2400" s="4">
        <v>8722.5714285714294</v>
      </c>
      <c r="M2400" s="4">
        <v>2.6597661240132332E-2</v>
      </c>
      <c r="N2400" t="s">
        <v>25</v>
      </c>
      <c r="O2400" t="str">
        <f t="shared" si="370"/>
        <v>Low</v>
      </c>
      <c r="P2400" t="str">
        <f t="shared" si="371"/>
        <v>Low</v>
      </c>
      <c r="Q2400" t="str">
        <f t="shared" si="372"/>
        <v>Low</v>
      </c>
      <c r="R2400" t="s">
        <v>3309</v>
      </c>
      <c r="S2400" s="4">
        <f t="shared" ca="1" si="373"/>
        <v>500</v>
      </c>
      <c r="T2400">
        <f t="shared" si="374"/>
        <v>1</v>
      </c>
      <c r="U2400">
        <f t="shared" si="375"/>
        <v>1</v>
      </c>
      <c r="V2400">
        <f t="shared" si="376"/>
        <v>1</v>
      </c>
      <c r="W2400">
        <f t="shared" si="377"/>
        <v>3</v>
      </c>
      <c r="X2400">
        <f t="shared" si="378"/>
        <v>1.2</v>
      </c>
      <c r="Y2400" t="str">
        <f t="shared" si="379"/>
        <v>Healthy</v>
      </c>
    </row>
    <row r="2401" spans="1:25" x14ac:dyDescent="0.35">
      <c r="A2401" t="s">
        <v>179</v>
      </c>
      <c r="B2401" t="s">
        <v>223</v>
      </c>
      <c r="C2401" t="s">
        <v>357</v>
      </c>
      <c r="D2401" t="s">
        <v>1050</v>
      </c>
      <c r="E2401">
        <v>83908212</v>
      </c>
      <c r="F2401" t="s">
        <v>1787</v>
      </c>
      <c r="G2401" s="3">
        <v>46682</v>
      </c>
      <c r="H2401">
        <v>18</v>
      </c>
      <c r="I2401">
        <v>91</v>
      </c>
      <c r="J2401">
        <v>246</v>
      </c>
      <c r="K2401" s="4">
        <v>257800.62</v>
      </c>
      <c r="L2401" s="4">
        <v>8722.5714285714294</v>
      </c>
      <c r="M2401" s="4">
        <v>2.8202692521864456E-2</v>
      </c>
      <c r="N2401" t="s">
        <v>25</v>
      </c>
      <c r="O2401" t="str">
        <f t="shared" si="370"/>
        <v>Low</v>
      </c>
      <c r="P2401" t="str">
        <f t="shared" si="371"/>
        <v>Low</v>
      </c>
      <c r="Q2401" t="str">
        <f t="shared" si="372"/>
        <v>Low</v>
      </c>
      <c r="R2401" t="s">
        <v>3309</v>
      </c>
      <c r="S2401" s="4">
        <f t="shared" ca="1" si="373"/>
        <v>485</v>
      </c>
      <c r="T2401">
        <f t="shared" si="374"/>
        <v>1</v>
      </c>
      <c r="U2401">
        <f t="shared" si="375"/>
        <v>1</v>
      </c>
      <c r="V2401">
        <f t="shared" si="376"/>
        <v>1</v>
      </c>
      <c r="W2401">
        <f t="shared" si="377"/>
        <v>3</v>
      </c>
      <c r="X2401">
        <f t="shared" si="378"/>
        <v>1.2</v>
      </c>
      <c r="Y2401" t="str">
        <f t="shared" si="379"/>
        <v>Healthy</v>
      </c>
    </row>
    <row r="2402" spans="1:25" x14ac:dyDescent="0.35">
      <c r="A2402" t="s">
        <v>179</v>
      </c>
      <c r="B2402" t="s">
        <v>223</v>
      </c>
      <c r="C2402" t="s">
        <v>357</v>
      </c>
      <c r="D2402" t="s">
        <v>1050</v>
      </c>
      <c r="E2402">
        <v>83908212</v>
      </c>
      <c r="F2402" t="s">
        <v>1787</v>
      </c>
      <c r="G2402" s="3">
        <v>46701</v>
      </c>
      <c r="H2402">
        <v>18</v>
      </c>
      <c r="I2402">
        <v>94</v>
      </c>
      <c r="J2402">
        <v>250</v>
      </c>
      <c r="K2402" s="4">
        <v>261992.5</v>
      </c>
      <c r="L2402" s="4">
        <v>8722.5714285714294</v>
      </c>
      <c r="M2402" s="4">
        <v>2.8661272888073634E-2</v>
      </c>
      <c r="N2402" t="s">
        <v>25</v>
      </c>
      <c r="O2402" t="str">
        <f t="shared" si="370"/>
        <v>Low</v>
      </c>
      <c r="P2402" t="str">
        <f t="shared" si="371"/>
        <v>Low</v>
      </c>
      <c r="Q2402" t="str">
        <f t="shared" si="372"/>
        <v>Low</v>
      </c>
      <c r="R2402" t="s">
        <v>3309</v>
      </c>
      <c r="S2402" s="4">
        <f t="shared" ca="1" si="373"/>
        <v>504</v>
      </c>
      <c r="T2402">
        <f t="shared" si="374"/>
        <v>1</v>
      </c>
      <c r="U2402">
        <f t="shared" si="375"/>
        <v>1</v>
      </c>
      <c r="V2402">
        <f t="shared" si="376"/>
        <v>1</v>
      </c>
      <c r="W2402">
        <f t="shared" si="377"/>
        <v>3</v>
      </c>
      <c r="X2402">
        <f t="shared" si="378"/>
        <v>1.2</v>
      </c>
      <c r="Y2402" t="str">
        <f t="shared" si="379"/>
        <v>Healthy</v>
      </c>
    </row>
    <row r="2403" spans="1:25" x14ac:dyDescent="0.35">
      <c r="A2403" t="s">
        <v>179</v>
      </c>
      <c r="B2403" t="s">
        <v>223</v>
      </c>
      <c r="C2403" t="s">
        <v>357</v>
      </c>
      <c r="D2403" t="s">
        <v>1050</v>
      </c>
      <c r="E2403">
        <v>83908212</v>
      </c>
      <c r="F2403" t="s">
        <v>1787</v>
      </c>
      <c r="G2403" s="3">
        <v>46698</v>
      </c>
      <c r="H2403">
        <v>18</v>
      </c>
      <c r="I2403">
        <v>94</v>
      </c>
      <c r="J2403">
        <v>195</v>
      </c>
      <c r="K2403" s="4">
        <v>204354.15</v>
      </c>
      <c r="L2403" s="4">
        <v>8722.5714285714294</v>
      </c>
      <c r="M2403" s="4">
        <v>2.2355792852697433E-2</v>
      </c>
      <c r="N2403" t="s">
        <v>25</v>
      </c>
      <c r="O2403" t="str">
        <f t="shared" si="370"/>
        <v>Low</v>
      </c>
      <c r="P2403" t="str">
        <f t="shared" si="371"/>
        <v>Low</v>
      </c>
      <c r="Q2403" t="str">
        <f t="shared" si="372"/>
        <v>Low</v>
      </c>
      <c r="R2403" t="s">
        <v>3309</v>
      </c>
      <c r="S2403" s="4">
        <f t="shared" ca="1" si="373"/>
        <v>501</v>
      </c>
      <c r="T2403">
        <f t="shared" si="374"/>
        <v>1</v>
      </c>
      <c r="U2403">
        <f t="shared" si="375"/>
        <v>1</v>
      </c>
      <c r="V2403">
        <f t="shared" si="376"/>
        <v>1</v>
      </c>
      <c r="W2403">
        <f t="shared" si="377"/>
        <v>3</v>
      </c>
      <c r="X2403">
        <f t="shared" si="378"/>
        <v>1.2</v>
      </c>
      <c r="Y2403" t="str">
        <f t="shared" si="379"/>
        <v>Healthy</v>
      </c>
    </row>
    <row r="2404" spans="1:25" x14ac:dyDescent="0.35">
      <c r="A2404" t="s">
        <v>179</v>
      </c>
      <c r="B2404" t="s">
        <v>223</v>
      </c>
      <c r="C2404" t="s">
        <v>357</v>
      </c>
      <c r="D2404" t="s">
        <v>1050</v>
      </c>
      <c r="E2404">
        <v>83908212</v>
      </c>
      <c r="F2404" t="s">
        <v>1787</v>
      </c>
      <c r="G2404" s="3">
        <v>46675</v>
      </c>
      <c r="H2404">
        <v>18</v>
      </c>
      <c r="I2404">
        <v>89</v>
      </c>
      <c r="J2404">
        <v>188</v>
      </c>
      <c r="K2404" s="4">
        <v>197018.36</v>
      </c>
      <c r="L2404" s="4">
        <v>8722.5714285714294</v>
      </c>
      <c r="M2404" s="4">
        <v>2.1553277211831371E-2</v>
      </c>
      <c r="N2404" t="s">
        <v>25</v>
      </c>
      <c r="O2404" t="str">
        <f t="shared" si="370"/>
        <v>Low</v>
      </c>
      <c r="P2404" t="str">
        <f t="shared" si="371"/>
        <v>Low</v>
      </c>
      <c r="Q2404" t="str">
        <f t="shared" si="372"/>
        <v>Low</v>
      </c>
      <c r="R2404" t="s">
        <v>3309</v>
      </c>
      <c r="S2404" s="4">
        <f t="shared" ca="1" si="373"/>
        <v>478</v>
      </c>
      <c r="T2404">
        <f t="shared" si="374"/>
        <v>1</v>
      </c>
      <c r="U2404">
        <f t="shared" si="375"/>
        <v>1</v>
      </c>
      <c r="V2404">
        <f t="shared" si="376"/>
        <v>1</v>
      </c>
      <c r="W2404">
        <f t="shared" si="377"/>
        <v>3</v>
      </c>
      <c r="X2404">
        <f t="shared" si="378"/>
        <v>1.2</v>
      </c>
      <c r="Y2404" t="str">
        <f t="shared" si="379"/>
        <v>Healthy</v>
      </c>
    </row>
    <row r="2405" spans="1:25" x14ac:dyDescent="0.35">
      <c r="A2405" t="s">
        <v>179</v>
      </c>
      <c r="B2405" t="s">
        <v>223</v>
      </c>
      <c r="C2405" t="s">
        <v>357</v>
      </c>
      <c r="D2405" t="s">
        <v>1050</v>
      </c>
      <c r="E2405">
        <v>83908212</v>
      </c>
      <c r="F2405" t="s">
        <v>1787</v>
      </c>
      <c r="G2405" s="3">
        <v>46673</v>
      </c>
      <c r="H2405">
        <v>18</v>
      </c>
      <c r="I2405">
        <v>89</v>
      </c>
      <c r="J2405">
        <v>166</v>
      </c>
      <c r="K2405" s="4">
        <v>173963.02</v>
      </c>
      <c r="L2405" s="4">
        <v>8722.5714285714294</v>
      </c>
      <c r="M2405" s="4">
        <v>1.9031085197680892E-2</v>
      </c>
      <c r="N2405" t="s">
        <v>25</v>
      </c>
      <c r="O2405" t="str">
        <f t="shared" si="370"/>
        <v>Low</v>
      </c>
      <c r="P2405" t="str">
        <f t="shared" si="371"/>
        <v>Low</v>
      </c>
      <c r="Q2405" t="str">
        <f t="shared" si="372"/>
        <v>Low</v>
      </c>
      <c r="R2405" t="s">
        <v>3309</v>
      </c>
      <c r="S2405" s="4">
        <f t="shared" ca="1" si="373"/>
        <v>476</v>
      </c>
      <c r="T2405">
        <f t="shared" si="374"/>
        <v>1</v>
      </c>
      <c r="U2405">
        <f t="shared" si="375"/>
        <v>1</v>
      </c>
      <c r="V2405">
        <f t="shared" si="376"/>
        <v>1</v>
      </c>
      <c r="W2405">
        <f t="shared" si="377"/>
        <v>3</v>
      </c>
      <c r="X2405">
        <f t="shared" si="378"/>
        <v>1.2</v>
      </c>
      <c r="Y2405" t="str">
        <f t="shared" si="379"/>
        <v>Healthy</v>
      </c>
    </row>
    <row r="2406" spans="1:25" x14ac:dyDescent="0.35">
      <c r="A2406" t="s">
        <v>90</v>
      </c>
      <c r="B2406" t="s">
        <v>217</v>
      </c>
      <c r="C2406" t="s">
        <v>542</v>
      </c>
      <c r="D2406" t="s">
        <v>721</v>
      </c>
      <c r="E2406">
        <v>83904899</v>
      </c>
      <c r="F2406" t="s">
        <v>1792</v>
      </c>
      <c r="G2406" s="3">
        <v>46860</v>
      </c>
      <c r="H2406">
        <v>24</v>
      </c>
      <c r="I2406">
        <v>93</v>
      </c>
      <c r="J2406">
        <v>1278</v>
      </c>
      <c r="K2406" s="4">
        <v>55260.72</v>
      </c>
      <c r="L2406" s="4">
        <v>134490.42857142858</v>
      </c>
      <c r="M2406" s="4">
        <v>9.5025349653135166E-3</v>
      </c>
      <c r="N2406" t="s">
        <v>25</v>
      </c>
      <c r="O2406" t="str">
        <f t="shared" si="370"/>
        <v>Low</v>
      </c>
      <c r="P2406" t="str">
        <f t="shared" si="371"/>
        <v>Low</v>
      </c>
      <c r="Q2406" t="str">
        <f t="shared" si="372"/>
        <v>Low</v>
      </c>
      <c r="R2406" t="s">
        <v>3317</v>
      </c>
      <c r="S2406" s="4">
        <f t="shared" ca="1" si="373"/>
        <v>663</v>
      </c>
      <c r="T2406">
        <f t="shared" si="374"/>
        <v>1</v>
      </c>
      <c r="U2406">
        <f t="shared" si="375"/>
        <v>1</v>
      </c>
      <c r="V2406">
        <f t="shared" si="376"/>
        <v>1</v>
      </c>
      <c r="W2406">
        <f t="shared" si="377"/>
        <v>1</v>
      </c>
      <c r="X2406">
        <f t="shared" si="378"/>
        <v>0.99999999999999989</v>
      </c>
      <c r="Y2406" t="str">
        <f t="shared" si="379"/>
        <v>Healthy</v>
      </c>
    </row>
    <row r="2407" spans="1:25" x14ac:dyDescent="0.35">
      <c r="A2407" t="s">
        <v>90</v>
      </c>
      <c r="B2407" t="s">
        <v>217</v>
      </c>
      <c r="C2407" t="s">
        <v>542</v>
      </c>
      <c r="D2407" t="s">
        <v>721</v>
      </c>
      <c r="E2407">
        <v>83904899</v>
      </c>
      <c r="F2407" t="s">
        <v>1792</v>
      </c>
      <c r="G2407" s="3">
        <v>46863</v>
      </c>
      <c r="H2407">
        <v>24</v>
      </c>
      <c r="I2407">
        <v>93</v>
      </c>
      <c r="J2407">
        <v>1392</v>
      </c>
      <c r="K2407" s="4">
        <v>60190.080000000002</v>
      </c>
      <c r="L2407" s="4">
        <v>134490.42857142858</v>
      </c>
      <c r="M2407" s="4">
        <v>1.0350178929355566E-2</v>
      </c>
      <c r="N2407" t="s">
        <v>25</v>
      </c>
      <c r="O2407" t="str">
        <f t="shared" si="370"/>
        <v>Low</v>
      </c>
      <c r="P2407" t="str">
        <f t="shared" si="371"/>
        <v>Low</v>
      </c>
      <c r="Q2407" t="str">
        <f t="shared" si="372"/>
        <v>Low</v>
      </c>
      <c r="R2407" t="s">
        <v>3317</v>
      </c>
      <c r="S2407" s="4">
        <f t="shared" ca="1" si="373"/>
        <v>666</v>
      </c>
      <c r="T2407">
        <f t="shared" si="374"/>
        <v>1</v>
      </c>
      <c r="U2407">
        <f t="shared" si="375"/>
        <v>1</v>
      </c>
      <c r="V2407">
        <f t="shared" si="376"/>
        <v>1</v>
      </c>
      <c r="W2407">
        <f t="shared" si="377"/>
        <v>1</v>
      </c>
      <c r="X2407">
        <f t="shared" si="378"/>
        <v>0.99999999999999989</v>
      </c>
      <c r="Y2407" t="str">
        <f t="shared" si="379"/>
        <v>Healthy</v>
      </c>
    </row>
    <row r="2408" spans="1:25" x14ac:dyDescent="0.35">
      <c r="A2408" t="s">
        <v>179</v>
      </c>
      <c r="B2408" t="s">
        <v>223</v>
      </c>
      <c r="C2408" t="s">
        <v>357</v>
      </c>
      <c r="D2408" t="s">
        <v>1793</v>
      </c>
      <c r="E2408">
        <v>80807459</v>
      </c>
      <c r="F2408" t="s">
        <v>1794</v>
      </c>
      <c r="G2408" s="3">
        <v>46107</v>
      </c>
      <c r="H2408">
        <v>18</v>
      </c>
      <c r="I2408">
        <v>0</v>
      </c>
      <c r="J2408">
        <v>576</v>
      </c>
      <c r="K2408" s="4">
        <v>37376.639999999999</v>
      </c>
      <c r="L2408" s="4">
        <v>96.571428571428569</v>
      </c>
      <c r="M2408" s="4">
        <v>5.9644970414201186</v>
      </c>
      <c r="N2408" t="s">
        <v>25</v>
      </c>
      <c r="O2408" t="str">
        <f t="shared" si="370"/>
        <v>High</v>
      </c>
      <c r="P2408" t="str">
        <f t="shared" si="371"/>
        <v>Medium</v>
      </c>
      <c r="Q2408" t="str">
        <f t="shared" si="372"/>
        <v>Low</v>
      </c>
      <c r="R2408" t="s">
        <v>3317</v>
      </c>
      <c r="S2408" s="4">
        <f t="shared" ca="1" si="373"/>
        <v>-90</v>
      </c>
      <c r="T2408">
        <f t="shared" si="374"/>
        <v>3</v>
      </c>
      <c r="U2408">
        <f t="shared" si="375"/>
        <v>2</v>
      </c>
      <c r="V2408">
        <f t="shared" si="376"/>
        <v>1</v>
      </c>
      <c r="W2408">
        <f t="shared" si="377"/>
        <v>1</v>
      </c>
      <c r="X2408">
        <f t="shared" si="378"/>
        <v>2.1000000000000005</v>
      </c>
      <c r="Y2408" t="str">
        <f t="shared" si="379"/>
        <v>Monitor</v>
      </c>
    </row>
    <row r="2409" spans="1:25" x14ac:dyDescent="0.35">
      <c r="A2409" t="s">
        <v>90</v>
      </c>
      <c r="B2409" t="s">
        <v>91</v>
      </c>
      <c r="C2409" t="s">
        <v>478</v>
      </c>
      <c r="D2409" t="s">
        <v>1252</v>
      </c>
      <c r="E2409">
        <v>80793805</v>
      </c>
      <c r="F2409" t="s">
        <v>1795</v>
      </c>
      <c r="G2409" s="3">
        <v>46295</v>
      </c>
      <c r="H2409">
        <v>24</v>
      </c>
      <c r="I2409">
        <v>14</v>
      </c>
      <c r="J2409">
        <v>27</v>
      </c>
      <c r="K2409" s="4">
        <v>12486.42</v>
      </c>
      <c r="L2409" s="4">
        <v>3.8571428571428572</v>
      </c>
      <c r="M2409" s="4">
        <v>7</v>
      </c>
      <c r="N2409" t="s">
        <v>19</v>
      </c>
      <c r="O2409" t="str">
        <f t="shared" si="370"/>
        <v>High</v>
      </c>
      <c r="P2409" t="str">
        <f t="shared" si="371"/>
        <v>Medium</v>
      </c>
      <c r="Q2409" t="str">
        <f t="shared" si="372"/>
        <v>High</v>
      </c>
      <c r="R2409" t="s">
        <v>3317</v>
      </c>
      <c r="S2409" s="4">
        <f t="shared" ca="1" si="373"/>
        <v>98</v>
      </c>
      <c r="T2409">
        <f t="shared" si="374"/>
        <v>3</v>
      </c>
      <c r="U2409">
        <f t="shared" si="375"/>
        <v>2</v>
      </c>
      <c r="V2409">
        <f t="shared" si="376"/>
        <v>3</v>
      </c>
      <c r="W2409">
        <f t="shared" si="377"/>
        <v>1</v>
      </c>
      <c r="X2409">
        <f t="shared" si="378"/>
        <v>2.5000000000000004</v>
      </c>
      <c r="Y2409" t="str">
        <f t="shared" si="379"/>
        <v>High Priority</v>
      </c>
    </row>
    <row r="2410" spans="1:25" x14ac:dyDescent="0.35">
      <c r="A2410" t="s">
        <v>90</v>
      </c>
      <c r="B2410" t="s">
        <v>217</v>
      </c>
      <c r="C2410" t="s">
        <v>542</v>
      </c>
      <c r="D2410" t="s">
        <v>721</v>
      </c>
      <c r="E2410">
        <v>83904899</v>
      </c>
      <c r="F2410" t="s">
        <v>1792</v>
      </c>
      <c r="G2410" s="3">
        <v>46860</v>
      </c>
      <c r="H2410">
        <v>24</v>
      </c>
      <c r="I2410">
        <v>93</v>
      </c>
      <c r="J2410">
        <v>1352</v>
      </c>
      <c r="K2410" s="4">
        <v>58460.480000000003</v>
      </c>
      <c r="L2410" s="4">
        <v>134490.42857142858</v>
      </c>
      <c r="M2410" s="4">
        <v>1.005275999460397E-2</v>
      </c>
      <c r="N2410" t="s">
        <v>25</v>
      </c>
      <c r="O2410" t="str">
        <f t="shared" si="370"/>
        <v>Low</v>
      </c>
      <c r="P2410" t="str">
        <f t="shared" si="371"/>
        <v>Low</v>
      </c>
      <c r="Q2410" t="str">
        <f t="shared" si="372"/>
        <v>Low</v>
      </c>
      <c r="R2410" t="s">
        <v>3317</v>
      </c>
      <c r="S2410" s="4">
        <f t="shared" ca="1" si="373"/>
        <v>663</v>
      </c>
      <c r="T2410">
        <f t="shared" si="374"/>
        <v>1</v>
      </c>
      <c r="U2410">
        <f t="shared" si="375"/>
        <v>1</v>
      </c>
      <c r="V2410">
        <f t="shared" si="376"/>
        <v>1</v>
      </c>
      <c r="W2410">
        <f t="shared" si="377"/>
        <v>1</v>
      </c>
      <c r="X2410">
        <f t="shared" si="378"/>
        <v>0.99999999999999989</v>
      </c>
      <c r="Y2410" t="str">
        <f t="shared" si="379"/>
        <v>Healthy</v>
      </c>
    </row>
    <row r="2411" spans="1:25" x14ac:dyDescent="0.35">
      <c r="A2411" t="s">
        <v>90</v>
      </c>
      <c r="B2411" t="s">
        <v>217</v>
      </c>
      <c r="C2411" t="s">
        <v>542</v>
      </c>
      <c r="D2411" t="s">
        <v>721</v>
      </c>
      <c r="E2411">
        <v>83904899</v>
      </c>
      <c r="F2411" t="s">
        <v>1792</v>
      </c>
      <c r="G2411" s="3">
        <v>46844</v>
      </c>
      <c r="H2411">
        <v>24</v>
      </c>
      <c r="I2411">
        <v>91</v>
      </c>
      <c r="J2411">
        <v>906</v>
      </c>
      <c r="K2411" s="4">
        <v>39175.440000000002</v>
      </c>
      <c r="L2411" s="4">
        <v>134490.42857142858</v>
      </c>
      <c r="M2411" s="4">
        <v>6.7365388721236661E-3</v>
      </c>
      <c r="N2411" t="s">
        <v>25</v>
      </c>
      <c r="O2411" t="str">
        <f t="shared" si="370"/>
        <v>Low</v>
      </c>
      <c r="P2411" t="str">
        <f t="shared" si="371"/>
        <v>Low</v>
      </c>
      <c r="Q2411" t="str">
        <f t="shared" si="372"/>
        <v>Low</v>
      </c>
      <c r="R2411" t="s">
        <v>3317</v>
      </c>
      <c r="S2411" s="4">
        <f t="shared" ca="1" si="373"/>
        <v>647</v>
      </c>
      <c r="T2411">
        <f t="shared" si="374"/>
        <v>1</v>
      </c>
      <c r="U2411">
        <f t="shared" si="375"/>
        <v>1</v>
      </c>
      <c r="V2411">
        <f t="shared" si="376"/>
        <v>1</v>
      </c>
      <c r="W2411">
        <f t="shared" si="377"/>
        <v>1</v>
      </c>
      <c r="X2411">
        <f t="shared" si="378"/>
        <v>0.99999999999999989</v>
      </c>
      <c r="Y2411" t="str">
        <f t="shared" si="379"/>
        <v>Healthy</v>
      </c>
    </row>
    <row r="2412" spans="1:25" x14ac:dyDescent="0.35">
      <c r="A2412" t="s">
        <v>90</v>
      </c>
      <c r="B2412" t="s">
        <v>217</v>
      </c>
      <c r="C2412" t="s">
        <v>542</v>
      </c>
      <c r="D2412" t="s">
        <v>721</v>
      </c>
      <c r="E2412">
        <v>83904899</v>
      </c>
      <c r="F2412" t="s">
        <v>1792</v>
      </c>
      <c r="G2412" s="3">
        <v>46846</v>
      </c>
      <c r="H2412">
        <v>24</v>
      </c>
      <c r="I2412">
        <v>91</v>
      </c>
      <c r="J2412">
        <v>1552</v>
      </c>
      <c r="K2412" s="4">
        <v>67108.479999999996</v>
      </c>
      <c r="L2412" s="4">
        <v>134490.42857142858</v>
      </c>
      <c r="M2412" s="4">
        <v>1.1539854668361953E-2</v>
      </c>
      <c r="N2412" t="s">
        <v>25</v>
      </c>
      <c r="O2412" t="str">
        <f t="shared" si="370"/>
        <v>Low</v>
      </c>
      <c r="P2412" t="str">
        <f t="shared" si="371"/>
        <v>Low</v>
      </c>
      <c r="Q2412" t="str">
        <f t="shared" si="372"/>
        <v>Low</v>
      </c>
      <c r="R2412" t="s">
        <v>3310</v>
      </c>
      <c r="S2412" s="4">
        <f t="shared" ca="1" si="373"/>
        <v>649</v>
      </c>
      <c r="T2412">
        <f t="shared" si="374"/>
        <v>1</v>
      </c>
      <c r="U2412">
        <f t="shared" si="375"/>
        <v>1</v>
      </c>
      <c r="V2412">
        <f t="shared" si="376"/>
        <v>1</v>
      </c>
      <c r="W2412">
        <f t="shared" si="377"/>
        <v>2</v>
      </c>
      <c r="X2412">
        <f t="shared" si="378"/>
        <v>1.0999999999999999</v>
      </c>
      <c r="Y2412" t="str">
        <f t="shared" si="379"/>
        <v>Healthy</v>
      </c>
    </row>
    <row r="2413" spans="1:25" x14ac:dyDescent="0.35">
      <c r="A2413" t="s">
        <v>90</v>
      </c>
      <c r="B2413" t="s">
        <v>217</v>
      </c>
      <c r="C2413" t="s">
        <v>542</v>
      </c>
      <c r="D2413" t="s">
        <v>721</v>
      </c>
      <c r="E2413">
        <v>83904899</v>
      </c>
      <c r="F2413" t="s">
        <v>1792</v>
      </c>
      <c r="G2413" s="3">
        <v>46867</v>
      </c>
      <c r="H2413">
        <v>24</v>
      </c>
      <c r="I2413">
        <v>94</v>
      </c>
      <c r="J2413">
        <v>161</v>
      </c>
      <c r="K2413" s="4">
        <v>6961.64</v>
      </c>
      <c r="L2413" s="4">
        <v>134490.42857142858</v>
      </c>
      <c r="M2413" s="4">
        <v>1.197111212375177E-3</v>
      </c>
      <c r="N2413" t="s">
        <v>25</v>
      </c>
      <c r="O2413" t="str">
        <f t="shared" si="370"/>
        <v>Low</v>
      </c>
      <c r="P2413" t="str">
        <f t="shared" si="371"/>
        <v>Low</v>
      </c>
      <c r="Q2413" t="str">
        <f t="shared" si="372"/>
        <v>Low</v>
      </c>
      <c r="R2413" t="s">
        <v>3317</v>
      </c>
      <c r="S2413" s="4">
        <f t="shared" ca="1" si="373"/>
        <v>670</v>
      </c>
      <c r="T2413">
        <f t="shared" si="374"/>
        <v>1</v>
      </c>
      <c r="U2413">
        <f t="shared" si="375"/>
        <v>1</v>
      </c>
      <c r="V2413">
        <f t="shared" si="376"/>
        <v>1</v>
      </c>
      <c r="W2413">
        <f t="shared" si="377"/>
        <v>1</v>
      </c>
      <c r="X2413">
        <f t="shared" si="378"/>
        <v>0.99999999999999989</v>
      </c>
      <c r="Y2413" t="str">
        <f t="shared" si="379"/>
        <v>Healthy</v>
      </c>
    </row>
    <row r="2414" spans="1:25" x14ac:dyDescent="0.35">
      <c r="A2414" t="s">
        <v>104</v>
      </c>
      <c r="B2414" t="s">
        <v>105</v>
      </c>
      <c r="C2414" t="s">
        <v>141</v>
      </c>
      <c r="D2414" t="s">
        <v>142</v>
      </c>
      <c r="E2414">
        <v>80786352</v>
      </c>
      <c r="F2414" t="s">
        <v>1796</v>
      </c>
      <c r="G2414" s="3">
        <v>46526</v>
      </c>
      <c r="H2414">
        <v>24</v>
      </c>
      <c r="I2414">
        <v>46</v>
      </c>
      <c r="J2414">
        <v>270</v>
      </c>
      <c r="K2414" s="4">
        <v>102183.54</v>
      </c>
      <c r="L2414" s="4">
        <v>658.71428571428567</v>
      </c>
      <c r="M2414" s="4">
        <v>0.40988939492517895</v>
      </c>
      <c r="N2414" t="s">
        <v>25</v>
      </c>
      <c r="O2414" t="str">
        <f t="shared" si="370"/>
        <v>Low</v>
      </c>
      <c r="P2414" t="str">
        <f t="shared" si="371"/>
        <v>Low</v>
      </c>
      <c r="Q2414" t="str">
        <f t="shared" si="372"/>
        <v>Low</v>
      </c>
      <c r="R2414" t="s">
        <v>3310</v>
      </c>
      <c r="S2414" s="4">
        <f t="shared" ca="1" si="373"/>
        <v>329</v>
      </c>
      <c r="T2414">
        <f t="shared" si="374"/>
        <v>1</v>
      </c>
      <c r="U2414">
        <f t="shared" si="375"/>
        <v>1</v>
      </c>
      <c r="V2414">
        <f t="shared" si="376"/>
        <v>1</v>
      </c>
      <c r="W2414">
        <f t="shared" si="377"/>
        <v>2</v>
      </c>
      <c r="X2414">
        <f t="shared" si="378"/>
        <v>1.0999999999999999</v>
      </c>
      <c r="Y2414" t="str">
        <f t="shared" si="379"/>
        <v>Healthy</v>
      </c>
    </row>
    <row r="2415" spans="1:25" x14ac:dyDescent="0.35">
      <c r="A2415" t="s">
        <v>104</v>
      </c>
      <c r="B2415" t="s">
        <v>105</v>
      </c>
      <c r="C2415" t="s">
        <v>141</v>
      </c>
      <c r="D2415" t="s">
        <v>142</v>
      </c>
      <c r="E2415">
        <v>80786352</v>
      </c>
      <c r="F2415" t="s">
        <v>1796</v>
      </c>
      <c r="G2415" s="3">
        <v>46570</v>
      </c>
      <c r="H2415">
        <v>24</v>
      </c>
      <c r="I2415">
        <v>53</v>
      </c>
      <c r="J2415">
        <v>330</v>
      </c>
      <c r="K2415" s="4">
        <v>92132.7</v>
      </c>
      <c r="L2415" s="4">
        <v>658.71428571428567</v>
      </c>
      <c r="M2415" s="4">
        <v>0.50097592713077432</v>
      </c>
      <c r="N2415" t="s">
        <v>25</v>
      </c>
      <c r="O2415" t="str">
        <f t="shared" si="370"/>
        <v>Low</v>
      </c>
      <c r="P2415" t="str">
        <f t="shared" si="371"/>
        <v>Low</v>
      </c>
      <c r="Q2415" t="str">
        <f t="shared" si="372"/>
        <v>Low</v>
      </c>
      <c r="R2415" t="s">
        <v>3310</v>
      </c>
      <c r="S2415" s="4">
        <f t="shared" ca="1" si="373"/>
        <v>373</v>
      </c>
      <c r="T2415">
        <f t="shared" si="374"/>
        <v>1</v>
      </c>
      <c r="U2415">
        <f t="shared" si="375"/>
        <v>1</v>
      </c>
      <c r="V2415">
        <f t="shared" si="376"/>
        <v>1</v>
      </c>
      <c r="W2415">
        <f t="shared" si="377"/>
        <v>2</v>
      </c>
      <c r="X2415">
        <f t="shared" si="378"/>
        <v>1.0999999999999999</v>
      </c>
      <c r="Y2415" t="str">
        <f t="shared" si="379"/>
        <v>Healthy</v>
      </c>
    </row>
    <row r="2416" spans="1:25" x14ac:dyDescent="0.35">
      <c r="A2416" t="s">
        <v>90</v>
      </c>
      <c r="B2416" t="s">
        <v>217</v>
      </c>
      <c r="C2416" t="s">
        <v>542</v>
      </c>
      <c r="D2416" t="s">
        <v>721</v>
      </c>
      <c r="E2416">
        <v>83904899</v>
      </c>
      <c r="F2416" t="s">
        <v>1792</v>
      </c>
      <c r="G2416" s="3">
        <v>46862</v>
      </c>
      <c r="H2416">
        <v>24</v>
      </c>
      <c r="I2416">
        <v>93</v>
      </c>
      <c r="J2416">
        <v>296</v>
      </c>
      <c r="K2416" s="4">
        <v>12799.04</v>
      </c>
      <c r="L2416" s="4">
        <v>134490.42857142858</v>
      </c>
      <c r="M2416" s="4">
        <v>2.2009001171618158E-3</v>
      </c>
      <c r="N2416" t="s">
        <v>25</v>
      </c>
      <c r="O2416" t="str">
        <f t="shared" si="370"/>
        <v>Low</v>
      </c>
      <c r="P2416" t="str">
        <f t="shared" si="371"/>
        <v>Low</v>
      </c>
      <c r="Q2416" t="str">
        <f t="shared" si="372"/>
        <v>Low</v>
      </c>
      <c r="R2416" t="s">
        <v>3317</v>
      </c>
      <c r="S2416" s="4">
        <f t="shared" ca="1" si="373"/>
        <v>665</v>
      </c>
      <c r="T2416">
        <f t="shared" si="374"/>
        <v>1</v>
      </c>
      <c r="U2416">
        <f t="shared" si="375"/>
        <v>1</v>
      </c>
      <c r="V2416">
        <f t="shared" si="376"/>
        <v>1</v>
      </c>
      <c r="W2416">
        <f t="shared" si="377"/>
        <v>1</v>
      </c>
      <c r="X2416">
        <f t="shared" si="378"/>
        <v>0.99999999999999989</v>
      </c>
      <c r="Y2416" t="str">
        <f t="shared" si="379"/>
        <v>Healthy</v>
      </c>
    </row>
    <row r="2417" spans="1:25" x14ac:dyDescent="0.35">
      <c r="A2417" t="s">
        <v>104</v>
      </c>
      <c r="B2417" t="s">
        <v>105</v>
      </c>
      <c r="C2417" t="s">
        <v>141</v>
      </c>
      <c r="D2417" t="s">
        <v>142</v>
      </c>
      <c r="E2417">
        <v>80786352</v>
      </c>
      <c r="F2417" t="s">
        <v>1796</v>
      </c>
      <c r="G2417" s="3">
        <v>46585</v>
      </c>
      <c r="H2417">
        <v>24</v>
      </c>
      <c r="I2417">
        <v>55</v>
      </c>
      <c r="J2417">
        <v>654</v>
      </c>
      <c r="K2417" s="4">
        <v>182590.26</v>
      </c>
      <c r="L2417" s="4">
        <v>658.71428571428567</v>
      </c>
      <c r="M2417" s="4">
        <v>0.992843201040989</v>
      </c>
      <c r="N2417" t="s">
        <v>25</v>
      </c>
      <c r="O2417" t="str">
        <f t="shared" si="370"/>
        <v>Low</v>
      </c>
      <c r="P2417" t="str">
        <f t="shared" si="371"/>
        <v>Low</v>
      </c>
      <c r="Q2417" t="str">
        <f t="shared" si="372"/>
        <v>Low</v>
      </c>
      <c r="R2417" t="s">
        <v>3309</v>
      </c>
      <c r="S2417" s="4">
        <f t="shared" ca="1" si="373"/>
        <v>388</v>
      </c>
      <c r="T2417">
        <f t="shared" si="374"/>
        <v>1</v>
      </c>
      <c r="U2417">
        <f t="shared" si="375"/>
        <v>1</v>
      </c>
      <c r="V2417">
        <f t="shared" si="376"/>
        <v>1</v>
      </c>
      <c r="W2417">
        <f t="shared" si="377"/>
        <v>3</v>
      </c>
      <c r="X2417">
        <f t="shared" si="378"/>
        <v>1.2</v>
      </c>
      <c r="Y2417" t="str">
        <f t="shared" si="379"/>
        <v>Healthy</v>
      </c>
    </row>
    <row r="2418" spans="1:25" x14ac:dyDescent="0.35">
      <c r="A2418" t="s">
        <v>104</v>
      </c>
      <c r="B2418" t="s">
        <v>105</v>
      </c>
      <c r="C2418" t="s">
        <v>141</v>
      </c>
      <c r="D2418" t="s">
        <v>142</v>
      </c>
      <c r="E2418">
        <v>80786352</v>
      </c>
      <c r="F2418" t="s">
        <v>1796</v>
      </c>
      <c r="G2418" s="3">
        <v>46235</v>
      </c>
      <c r="H2418">
        <v>24</v>
      </c>
      <c r="I2418">
        <v>6</v>
      </c>
      <c r="J2418">
        <v>11</v>
      </c>
      <c r="K2418" s="4">
        <v>3071.09</v>
      </c>
      <c r="L2418" s="4">
        <v>658.71428571428567</v>
      </c>
      <c r="M2418" s="4">
        <v>1.6699197571025809E-2</v>
      </c>
      <c r="N2418" t="s">
        <v>25</v>
      </c>
      <c r="O2418" t="str">
        <f t="shared" si="370"/>
        <v>High</v>
      </c>
      <c r="P2418" t="str">
        <f t="shared" si="371"/>
        <v>Low</v>
      </c>
      <c r="Q2418" t="str">
        <f t="shared" si="372"/>
        <v>Low</v>
      </c>
      <c r="R2418" t="s">
        <v>3317</v>
      </c>
      <c r="S2418" s="4">
        <f t="shared" ca="1" si="373"/>
        <v>38</v>
      </c>
      <c r="T2418">
        <f t="shared" si="374"/>
        <v>3</v>
      </c>
      <c r="U2418">
        <f t="shared" si="375"/>
        <v>1</v>
      </c>
      <c r="V2418">
        <f t="shared" si="376"/>
        <v>1</v>
      </c>
      <c r="W2418">
        <f t="shared" si="377"/>
        <v>1</v>
      </c>
      <c r="X2418">
        <f t="shared" si="378"/>
        <v>1.8000000000000003</v>
      </c>
      <c r="Y2418" t="str">
        <f t="shared" si="379"/>
        <v>Monitor</v>
      </c>
    </row>
    <row r="2419" spans="1:25" x14ac:dyDescent="0.35">
      <c r="A2419" t="s">
        <v>104</v>
      </c>
      <c r="B2419" t="s">
        <v>105</v>
      </c>
      <c r="C2419" t="s">
        <v>141</v>
      </c>
      <c r="D2419" t="s">
        <v>142</v>
      </c>
      <c r="E2419">
        <v>80786352</v>
      </c>
      <c r="F2419" t="s">
        <v>1796</v>
      </c>
      <c r="G2419" s="3">
        <v>46628</v>
      </c>
      <c r="H2419">
        <v>24</v>
      </c>
      <c r="I2419">
        <v>61</v>
      </c>
      <c r="J2419">
        <v>168</v>
      </c>
      <c r="K2419" s="4">
        <v>46903.92</v>
      </c>
      <c r="L2419" s="4">
        <v>658.71428571428567</v>
      </c>
      <c r="M2419" s="4">
        <v>0.25504229017566687</v>
      </c>
      <c r="N2419" t="s">
        <v>25</v>
      </c>
      <c r="O2419" t="str">
        <f t="shared" si="370"/>
        <v>Low</v>
      </c>
      <c r="P2419" t="str">
        <f t="shared" si="371"/>
        <v>Low</v>
      </c>
      <c r="Q2419" t="str">
        <f t="shared" si="372"/>
        <v>Low</v>
      </c>
      <c r="R2419" t="s">
        <v>3317</v>
      </c>
      <c r="S2419" s="4">
        <f t="shared" ca="1" si="373"/>
        <v>431</v>
      </c>
      <c r="T2419">
        <f t="shared" si="374"/>
        <v>1</v>
      </c>
      <c r="U2419">
        <f t="shared" si="375"/>
        <v>1</v>
      </c>
      <c r="V2419">
        <f t="shared" si="376"/>
        <v>1</v>
      </c>
      <c r="W2419">
        <f t="shared" si="377"/>
        <v>1</v>
      </c>
      <c r="X2419">
        <f t="shared" si="378"/>
        <v>0.99999999999999989</v>
      </c>
      <c r="Y2419" t="str">
        <f t="shared" si="379"/>
        <v>Healthy</v>
      </c>
    </row>
    <row r="2420" spans="1:25" x14ac:dyDescent="0.35">
      <c r="A2420" t="s">
        <v>104</v>
      </c>
      <c r="B2420" t="s">
        <v>105</v>
      </c>
      <c r="C2420" t="s">
        <v>141</v>
      </c>
      <c r="D2420" t="s">
        <v>142</v>
      </c>
      <c r="E2420">
        <v>80786352</v>
      </c>
      <c r="F2420" t="s">
        <v>1796</v>
      </c>
      <c r="G2420" s="3">
        <v>46535</v>
      </c>
      <c r="H2420">
        <v>24</v>
      </c>
      <c r="I2420">
        <v>48</v>
      </c>
      <c r="J2420">
        <v>345</v>
      </c>
      <c r="K2420" s="4">
        <v>109721.67</v>
      </c>
      <c r="L2420" s="4">
        <v>658.71428571428567</v>
      </c>
      <c r="M2420" s="4">
        <v>0.52374756018217306</v>
      </c>
      <c r="N2420" t="s">
        <v>25</v>
      </c>
      <c r="O2420" t="str">
        <f t="shared" si="370"/>
        <v>Low</v>
      </c>
      <c r="P2420" t="str">
        <f t="shared" si="371"/>
        <v>Low</v>
      </c>
      <c r="Q2420" t="str">
        <f t="shared" si="372"/>
        <v>Low</v>
      </c>
      <c r="R2420" t="s">
        <v>3310</v>
      </c>
      <c r="S2420" s="4">
        <f t="shared" ca="1" si="373"/>
        <v>338</v>
      </c>
      <c r="T2420">
        <f t="shared" si="374"/>
        <v>1</v>
      </c>
      <c r="U2420">
        <f t="shared" si="375"/>
        <v>1</v>
      </c>
      <c r="V2420">
        <f t="shared" si="376"/>
        <v>1</v>
      </c>
      <c r="W2420">
        <f t="shared" si="377"/>
        <v>2</v>
      </c>
      <c r="X2420">
        <f t="shared" si="378"/>
        <v>1.0999999999999999</v>
      </c>
      <c r="Y2420" t="str">
        <f t="shared" si="379"/>
        <v>Healthy</v>
      </c>
    </row>
    <row r="2421" spans="1:25" x14ac:dyDescent="0.35">
      <c r="A2421" t="s">
        <v>90</v>
      </c>
      <c r="B2421" t="s">
        <v>217</v>
      </c>
      <c r="C2421" t="s">
        <v>542</v>
      </c>
      <c r="D2421" t="s">
        <v>721</v>
      </c>
      <c r="E2421">
        <v>83904899</v>
      </c>
      <c r="F2421" t="s">
        <v>1792</v>
      </c>
      <c r="G2421" s="3">
        <v>46852</v>
      </c>
      <c r="H2421">
        <v>24</v>
      </c>
      <c r="I2421">
        <v>92</v>
      </c>
      <c r="J2421">
        <v>1680</v>
      </c>
      <c r="K2421" s="4">
        <v>72643.199999999997</v>
      </c>
      <c r="L2421" s="4">
        <v>134490.42857142858</v>
      </c>
      <c r="M2421" s="4">
        <v>1.2491595259567063E-2</v>
      </c>
      <c r="N2421" t="s">
        <v>25</v>
      </c>
      <c r="O2421" t="str">
        <f t="shared" si="370"/>
        <v>Low</v>
      </c>
      <c r="P2421" t="str">
        <f t="shared" si="371"/>
        <v>Low</v>
      </c>
      <c r="Q2421" t="str">
        <f t="shared" si="372"/>
        <v>Low</v>
      </c>
      <c r="R2421" t="s">
        <v>3310</v>
      </c>
      <c r="S2421" s="4">
        <f t="shared" ca="1" si="373"/>
        <v>655</v>
      </c>
      <c r="T2421">
        <f t="shared" si="374"/>
        <v>1</v>
      </c>
      <c r="U2421">
        <f t="shared" si="375"/>
        <v>1</v>
      </c>
      <c r="V2421">
        <f t="shared" si="376"/>
        <v>1</v>
      </c>
      <c r="W2421">
        <f t="shared" si="377"/>
        <v>2</v>
      </c>
      <c r="X2421">
        <f t="shared" si="378"/>
        <v>1.0999999999999999</v>
      </c>
      <c r="Y2421" t="str">
        <f t="shared" si="379"/>
        <v>Healthy</v>
      </c>
    </row>
    <row r="2422" spans="1:25" x14ac:dyDescent="0.35">
      <c r="A2422" t="s">
        <v>104</v>
      </c>
      <c r="B2422" t="s">
        <v>105</v>
      </c>
      <c r="C2422" t="s">
        <v>141</v>
      </c>
      <c r="D2422" t="s">
        <v>142</v>
      </c>
      <c r="E2422">
        <v>80786352</v>
      </c>
      <c r="F2422" t="s">
        <v>1796</v>
      </c>
      <c r="G2422" s="3">
        <v>46343</v>
      </c>
      <c r="H2422">
        <v>24</v>
      </c>
      <c r="I2422">
        <v>21</v>
      </c>
      <c r="J2422">
        <v>12</v>
      </c>
      <c r="K2422" s="4">
        <v>211067.64</v>
      </c>
      <c r="L2422" s="4">
        <v>658.71428571428567</v>
      </c>
      <c r="M2422" s="4">
        <v>1.8217306441119064E-2</v>
      </c>
      <c r="N2422" t="s">
        <v>25</v>
      </c>
      <c r="O2422" t="str">
        <f t="shared" si="370"/>
        <v>Medium</v>
      </c>
      <c r="P2422" t="str">
        <f t="shared" si="371"/>
        <v>Low</v>
      </c>
      <c r="Q2422" t="str">
        <f t="shared" si="372"/>
        <v>Low</v>
      </c>
      <c r="R2422" t="s">
        <v>3309</v>
      </c>
      <c r="S2422" s="4">
        <f t="shared" ca="1" si="373"/>
        <v>146</v>
      </c>
      <c r="T2422">
        <f t="shared" si="374"/>
        <v>2</v>
      </c>
      <c r="U2422">
        <f t="shared" si="375"/>
        <v>1</v>
      </c>
      <c r="V2422">
        <f t="shared" si="376"/>
        <v>1</v>
      </c>
      <c r="W2422">
        <f t="shared" si="377"/>
        <v>3</v>
      </c>
      <c r="X2422">
        <f t="shared" si="378"/>
        <v>1.6</v>
      </c>
      <c r="Y2422" t="str">
        <f t="shared" si="379"/>
        <v>Healthy</v>
      </c>
    </row>
    <row r="2423" spans="1:25" x14ac:dyDescent="0.35">
      <c r="A2423" t="s">
        <v>90</v>
      </c>
      <c r="B2423" t="s">
        <v>217</v>
      </c>
      <c r="C2423" t="s">
        <v>542</v>
      </c>
      <c r="D2423" t="s">
        <v>721</v>
      </c>
      <c r="E2423">
        <v>83904899</v>
      </c>
      <c r="F2423" t="s">
        <v>1792</v>
      </c>
      <c r="G2423" s="3">
        <v>46852</v>
      </c>
      <c r="H2423">
        <v>24</v>
      </c>
      <c r="I2423">
        <v>92</v>
      </c>
      <c r="J2423">
        <v>1588</v>
      </c>
      <c r="K2423" s="4">
        <v>68665.119999999995</v>
      </c>
      <c r="L2423" s="4">
        <v>134490.42857142858</v>
      </c>
      <c r="M2423" s="4">
        <v>1.1807531709638391E-2</v>
      </c>
      <c r="N2423" t="s">
        <v>25</v>
      </c>
      <c r="O2423" t="str">
        <f t="shared" si="370"/>
        <v>Low</v>
      </c>
      <c r="P2423" t="str">
        <f t="shared" si="371"/>
        <v>Low</v>
      </c>
      <c r="Q2423" t="str">
        <f t="shared" si="372"/>
        <v>Low</v>
      </c>
      <c r="R2423" t="s">
        <v>3310</v>
      </c>
      <c r="S2423" s="4">
        <f t="shared" ca="1" si="373"/>
        <v>655</v>
      </c>
      <c r="T2423">
        <f t="shared" si="374"/>
        <v>1</v>
      </c>
      <c r="U2423">
        <f t="shared" si="375"/>
        <v>1</v>
      </c>
      <c r="V2423">
        <f t="shared" si="376"/>
        <v>1</v>
      </c>
      <c r="W2423">
        <f t="shared" si="377"/>
        <v>2</v>
      </c>
      <c r="X2423">
        <f t="shared" si="378"/>
        <v>1.0999999999999999</v>
      </c>
      <c r="Y2423" t="str">
        <f t="shared" si="379"/>
        <v>Healthy</v>
      </c>
    </row>
    <row r="2424" spans="1:25" x14ac:dyDescent="0.35">
      <c r="A2424" t="s">
        <v>104</v>
      </c>
      <c r="B2424" t="s">
        <v>105</v>
      </c>
      <c r="C2424" t="s">
        <v>141</v>
      </c>
      <c r="D2424" t="s">
        <v>142</v>
      </c>
      <c r="E2424">
        <v>80786352</v>
      </c>
      <c r="F2424" t="s">
        <v>1796</v>
      </c>
      <c r="G2424" s="3">
        <v>46536</v>
      </c>
      <c r="H2424">
        <v>24</v>
      </c>
      <c r="I2424">
        <v>48</v>
      </c>
      <c r="J2424">
        <v>356</v>
      </c>
      <c r="K2424" s="4">
        <v>99391.64</v>
      </c>
      <c r="L2424" s="4">
        <v>658.71428571428567</v>
      </c>
      <c r="M2424" s="4">
        <v>0.54044675775319895</v>
      </c>
      <c r="N2424" t="s">
        <v>25</v>
      </c>
      <c r="O2424" t="str">
        <f t="shared" si="370"/>
        <v>Low</v>
      </c>
      <c r="P2424" t="str">
        <f t="shared" si="371"/>
        <v>Low</v>
      </c>
      <c r="Q2424" t="str">
        <f t="shared" si="372"/>
        <v>Low</v>
      </c>
      <c r="R2424" t="s">
        <v>3310</v>
      </c>
      <c r="S2424" s="4">
        <f t="shared" ca="1" si="373"/>
        <v>339</v>
      </c>
      <c r="T2424">
        <f t="shared" si="374"/>
        <v>1</v>
      </c>
      <c r="U2424">
        <f t="shared" si="375"/>
        <v>1</v>
      </c>
      <c r="V2424">
        <f t="shared" si="376"/>
        <v>1</v>
      </c>
      <c r="W2424">
        <f t="shared" si="377"/>
        <v>2</v>
      </c>
      <c r="X2424">
        <f t="shared" si="378"/>
        <v>1.0999999999999999</v>
      </c>
      <c r="Y2424" t="str">
        <f t="shared" si="379"/>
        <v>Healthy</v>
      </c>
    </row>
    <row r="2425" spans="1:25" x14ac:dyDescent="0.35">
      <c r="A2425" t="s">
        <v>41</v>
      </c>
      <c r="B2425" t="s">
        <v>54</v>
      </c>
      <c r="C2425" t="s">
        <v>55</v>
      </c>
      <c r="D2425" t="s">
        <v>987</v>
      </c>
      <c r="E2425">
        <v>83900146</v>
      </c>
      <c r="F2425" t="s">
        <v>1797</v>
      </c>
      <c r="G2425" s="3">
        <v>47111</v>
      </c>
      <c r="H2425">
        <v>36</v>
      </c>
      <c r="I2425">
        <v>85</v>
      </c>
      <c r="J2425">
        <v>36</v>
      </c>
      <c r="K2425" s="4">
        <v>12409.92</v>
      </c>
      <c r="L2425" s="4">
        <f>0</f>
        <v>0</v>
      </c>
      <c r="M2425" s="4">
        <f>999</f>
        <v>999</v>
      </c>
      <c r="N2425" t="s">
        <v>19</v>
      </c>
      <c r="O2425" t="str">
        <f t="shared" si="370"/>
        <v>Low</v>
      </c>
      <c r="P2425" t="str">
        <f t="shared" si="371"/>
        <v>High</v>
      </c>
      <c r="Q2425" t="str">
        <f t="shared" si="372"/>
        <v>High</v>
      </c>
      <c r="R2425" t="s">
        <v>3317</v>
      </c>
      <c r="S2425" s="4">
        <f t="shared" ca="1" si="373"/>
        <v>914</v>
      </c>
      <c r="T2425">
        <f t="shared" si="374"/>
        <v>1</v>
      </c>
      <c r="U2425">
        <f t="shared" si="375"/>
        <v>3</v>
      </c>
      <c r="V2425">
        <f t="shared" si="376"/>
        <v>3</v>
      </c>
      <c r="W2425">
        <f t="shared" si="377"/>
        <v>1</v>
      </c>
      <c r="X2425">
        <f t="shared" si="378"/>
        <v>2</v>
      </c>
      <c r="Y2425" t="str">
        <f t="shared" si="379"/>
        <v>Monitor</v>
      </c>
    </row>
    <row r="2426" spans="1:25" x14ac:dyDescent="0.35">
      <c r="A2426" t="s">
        <v>20</v>
      </c>
      <c r="B2426" t="s">
        <v>21</v>
      </c>
      <c r="C2426" t="s">
        <v>1155</v>
      </c>
      <c r="D2426" t="s">
        <v>1798</v>
      </c>
      <c r="E2426">
        <v>80896032</v>
      </c>
      <c r="F2426" t="s">
        <v>1799</v>
      </c>
      <c r="G2426" s="3">
        <v>48423</v>
      </c>
      <c r="H2426">
        <v>79</v>
      </c>
      <c r="I2426">
        <v>94</v>
      </c>
      <c r="J2426">
        <v>2</v>
      </c>
      <c r="K2426" s="4">
        <v>425.58</v>
      </c>
      <c r="L2426" s="4">
        <v>114.42857142857143</v>
      </c>
      <c r="M2426" s="4">
        <v>1.7478152309612985E-2</v>
      </c>
      <c r="N2426" t="s">
        <v>25</v>
      </c>
      <c r="O2426" t="str">
        <f t="shared" si="370"/>
        <v>Low</v>
      </c>
      <c r="P2426" t="str">
        <f t="shared" si="371"/>
        <v>Low</v>
      </c>
      <c r="Q2426" t="str">
        <f t="shared" si="372"/>
        <v>Low</v>
      </c>
      <c r="R2426" t="s">
        <v>3317</v>
      </c>
      <c r="S2426" s="4">
        <f t="shared" ca="1" si="373"/>
        <v>2226</v>
      </c>
      <c r="T2426">
        <f t="shared" si="374"/>
        <v>1</v>
      </c>
      <c r="U2426">
        <f t="shared" si="375"/>
        <v>1</v>
      </c>
      <c r="V2426">
        <f t="shared" si="376"/>
        <v>1</v>
      </c>
      <c r="W2426">
        <f t="shared" si="377"/>
        <v>1</v>
      </c>
      <c r="X2426">
        <f t="shared" si="378"/>
        <v>0.99999999999999989</v>
      </c>
      <c r="Y2426" t="str">
        <f t="shared" si="379"/>
        <v>Healthy</v>
      </c>
    </row>
    <row r="2427" spans="1:25" x14ac:dyDescent="0.35">
      <c r="A2427" t="s">
        <v>14</v>
      </c>
      <c r="B2427" t="s">
        <v>702</v>
      </c>
      <c r="C2427" t="s">
        <v>703</v>
      </c>
      <c r="D2427" t="s">
        <v>1800</v>
      </c>
      <c r="E2427">
        <v>80867317</v>
      </c>
      <c r="F2427" t="s">
        <v>1801</v>
      </c>
      <c r="G2427" s="3">
        <v>47887</v>
      </c>
      <c r="H2427">
        <v>60</v>
      </c>
      <c r="I2427">
        <v>94</v>
      </c>
      <c r="J2427">
        <v>57</v>
      </c>
      <c r="K2427" s="4">
        <v>8744.94</v>
      </c>
      <c r="L2427" s="4">
        <v>549.85714285714289</v>
      </c>
      <c r="M2427" s="4">
        <v>0.10366328916601714</v>
      </c>
      <c r="N2427" t="s">
        <v>25</v>
      </c>
      <c r="O2427" t="str">
        <f t="shared" si="370"/>
        <v>Low</v>
      </c>
      <c r="P2427" t="str">
        <f t="shared" si="371"/>
        <v>Low</v>
      </c>
      <c r="Q2427" t="str">
        <f t="shared" si="372"/>
        <v>Low</v>
      </c>
      <c r="R2427" t="s">
        <v>3317</v>
      </c>
      <c r="S2427" s="4">
        <f t="shared" ca="1" si="373"/>
        <v>1690</v>
      </c>
      <c r="T2427">
        <f t="shared" si="374"/>
        <v>1</v>
      </c>
      <c r="U2427">
        <f t="shared" si="375"/>
        <v>1</v>
      </c>
      <c r="V2427">
        <f t="shared" si="376"/>
        <v>1</v>
      </c>
      <c r="W2427">
        <f t="shared" si="377"/>
        <v>1</v>
      </c>
      <c r="X2427">
        <f t="shared" si="378"/>
        <v>0.99999999999999989</v>
      </c>
      <c r="Y2427" t="str">
        <f t="shared" si="379"/>
        <v>Healthy</v>
      </c>
    </row>
    <row r="2428" spans="1:25" x14ac:dyDescent="0.35">
      <c r="A2428" t="s">
        <v>14</v>
      </c>
      <c r="B2428" t="s">
        <v>702</v>
      </c>
      <c r="C2428" t="s">
        <v>703</v>
      </c>
      <c r="D2428" t="s">
        <v>1800</v>
      </c>
      <c r="E2428">
        <v>80867317</v>
      </c>
      <c r="F2428" t="s">
        <v>1801</v>
      </c>
      <c r="G2428" s="3">
        <v>47882</v>
      </c>
      <c r="H2428">
        <v>60</v>
      </c>
      <c r="I2428">
        <v>94</v>
      </c>
      <c r="J2428">
        <v>64</v>
      </c>
      <c r="K2428" s="4">
        <v>9818.8799999999992</v>
      </c>
      <c r="L2428" s="4">
        <v>549.85714285714289</v>
      </c>
      <c r="M2428" s="4">
        <v>0.11639386853728241</v>
      </c>
      <c r="N2428" t="s">
        <v>25</v>
      </c>
      <c r="O2428" t="str">
        <f t="shared" si="370"/>
        <v>Low</v>
      </c>
      <c r="P2428" t="str">
        <f t="shared" si="371"/>
        <v>Low</v>
      </c>
      <c r="Q2428" t="str">
        <f t="shared" si="372"/>
        <v>Low</v>
      </c>
      <c r="R2428" t="s">
        <v>3317</v>
      </c>
      <c r="S2428" s="4">
        <f t="shared" ca="1" si="373"/>
        <v>1685</v>
      </c>
      <c r="T2428">
        <f t="shared" si="374"/>
        <v>1</v>
      </c>
      <c r="U2428">
        <f t="shared" si="375"/>
        <v>1</v>
      </c>
      <c r="V2428">
        <f t="shared" si="376"/>
        <v>1</v>
      </c>
      <c r="W2428">
        <f t="shared" si="377"/>
        <v>1</v>
      </c>
      <c r="X2428">
        <f t="shared" si="378"/>
        <v>0.99999999999999989</v>
      </c>
      <c r="Y2428" t="str">
        <f t="shared" si="379"/>
        <v>Healthy</v>
      </c>
    </row>
    <row r="2429" spans="1:25" x14ac:dyDescent="0.35">
      <c r="A2429" t="s">
        <v>14</v>
      </c>
      <c r="B2429" t="s">
        <v>702</v>
      </c>
      <c r="C2429" t="s">
        <v>703</v>
      </c>
      <c r="D2429" t="s">
        <v>1800</v>
      </c>
      <c r="E2429">
        <v>80867317</v>
      </c>
      <c r="F2429" t="s">
        <v>1801</v>
      </c>
      <c r="G2429" s="3">
        <v>47932</v>
      </c>
      <c r="H2429">
        <v>60</v>
      </c>
      <c r="I2429">
        <v>97</v>
      </c>
      <c r="J2429">
        <v>186</v>
      </c>
      <c r="K2429" s="4">
        <v>28536.12</v>
      </c>
      <c r="L2429" s="4">
        <v>549.85714285714289</v>
      </c>
      <c r="M2429" s="4">
        <v>0.33826968043647698</v>
      </c>
      <c r="N2429" t="s">
        <v>25</v>
      </c>
      <c r="O2429" t="str">
        <f t="shared" si="370"/>
        <v>Low</v>
      </c>
      <c r="P2429" t="str">
        <f t="shared" si="371"/>
        <v>Low</v>
      </c>
      <c r="Q2429" t="str">
        <f t="shared" si="372"/>
        <v>Low</v>
      </c>
      <c r="R2429" t="s">
        <v>3317</v>
      </c>
      <c r="S2429" s="4">
        <f t="shared" ca="1" si="373"/>
        <v>1735</v>
      </c>
      <c r="T2429">
        <f t="shared" si="374"/>
        <v>1</v>
      </c>
      <c r="U2429">
        <f t="shared" si="375"/>
        <v>1</v>
      </c>
      <c r="V2429">
        <f t="shared" si="376"/>
        <v>1</v>
      </c>
      <c r="W2429">
        <f t="shared" si="377"/>
        <v>1</v>
      </c>
      <c r="X2429">
        <f t="shared" si="378"/>
        <v>0.99999999999999989</v>
      </c>
      <c r="Y2429" t="str">
        <f t="shared" si="379"/>
        <v>Healthy</v>
      </c>
    </row>
    <row r="2430" spans="1:25" x14ac:dyDescent="0.35">
      <c r="A2430" t="s">
        <v>14</v>
      </c>
      <c r="B2430" t="s">
        <v>702</v>
      </c>
      <c r="C2430" t="s">
        <v>703</v>
      </c>
      <c r="D2430" t="s">
        <v>1800</v>
      </c>
      <c r="E2430">
        <v>80867317</v>
      </c>
      <c r="F2430" t="s">
        <v>1801</v>
      </c>
      <c r="G2430" s="3">
        <v>47935</v>
      </c>
      <c r="H2430">
        <v>60</v>
      </c>
      <c r="I2430">
        <v>97</v>
      </c>
      <c r="J2430">
        <v>158</v>
      </c>
      <c r="K2430" s="4">
        <v>24240.36</v>
      </c>
      <c r="L2430" s="4">
        <v>549.85714285714289</v>
      </c>
      <c r="M2430" s="4">
        <v>0.28734736295141594</v>
      </c>
      <c r="N2430" t="s">
        <v>25</v>
      </c>
      <c r="O2430" t="str">
        <f t="shared" si="370"/>
        <v>Low</v>
      </c>
      <c r="P2430" t="str">
        <f t="shared" si="371"/>
        <v>Low</v>
      </c>
      <c r="Q2430" t="str">
        <f t="shared" si="372"/>
        <v>Low</v>
      </c>
      <c r="R2430" t="s">
        <v>3317</v>
      </c>
      <c r="S2430" s="4">
        <f t="shared" ca="1" si="373"/>
        <v>1738</v>
      </c>
      <c r="T2430">
        <f t="shared" si="374"/>
        <v>1</v>
      </c>
      <c r="U2430">
        <f t="shared" si="375"/>
        <v>1</v>
      </c>
      <c r="V2430">
        <f t="shared" si="376"/>
        <v>1</v>
      </c>
      <c r="W2430">
        <f t="shared" si="377"/>
        <v>1</v>
      </c>
      <c r="X2430">
        <f t="shared" si="378"/>
        <v>0.99999999999999989</v>
      </c>
      <c r="Y2430" t="str">
        <f t="shared" si="379"/>
        <v>Healthy</v>
      </c>
    </row>
    <row r="2431" spans="1:25" x14ac:dyDescent="0.35">
      <c r="A2431" t="s">
        <v>14</v>
      </c>
      <c r="B2431" t="s">
        <v>702</v>
      </c>
      <c r="C2431" t="s">
        <v>703</v>
      </c>
      <c r="D2431" t="s">
        <v>1800</v>
      </c>
      <c r="E2431">
        <v>80867317</v>
      </c>
      <c r="F2431" t="s">
        <v>1801</v>
      </c>
      <c r="G2431" s="3">
        <v>47934</v>
      </c>
      <c r="H2431">
        <v>60</v>
      </c>
      <c r="I2431">
        <v>97</v>
      </c>
      <c r="J2431">
        <v>183</v>
      </c>
      <c r="K2431" s="4">
        <v>28075.86</v>
      </c>
      <c r="L2431" s="4">
        <v>549.85714285714289</v>
      </c>
      <c r="M2431" s="4">
        <v>0.33281371784879188</v>
      </c>
      <c r="N2431" t="s">
        <v>25</v>
      </c>
      <c r="O2431" t="str">
        <f t="shared" si="370"/>
        <v>Low</v>
      </c>
      <c r="P2431" t="str">
        <f t="shared" si="371"/>
        <v>Low</v>
      </c>
      <c r="Q2431" t="str">
        <f t="shared" si="372"/>
        <v>Low</v>
      </c>
      <c r="R2431" t="s">
        <v>3317</v>
      </c>
      <c r="S2431" s="4">
        <f t="shared" ca="1" si="373"/>
        <v>1737</v>
      </c>
      <c r="T2431">
        <f t="shared" si="374"/>
        <v>1</v>
      </c>
      <c r="U2431">
        <f t="shared" si="375"/>
        <v>1</v>
      </c>
      <c r="V2431">
        <f t="shared" si="376"/>
        <v>1</v>
      </c>
      <c r="W2431">
        <f t="shared" si="377"/>
        <v>1</v>
      </c>
      <c r="X2431">
        <f t="shared" si="378"/>
        <v>0.99999999999999989</v>
      </c>
      <c r="Y2431" t="str">
        <f t="shared" si="379"/>
        <v>Healthy</v>
      </c>
    </row>
    <row r="2432" spans="1:25" x14ac:dyDescent="0.35">
      <c r="A2432" t="s">
        <v>14</v>
      </c>
      <c r="B2432" t="s">
        <v>702</v>
      </c>
      <c r="C2432" t="s">
        <v>703</v>
      </c>
      <c r="D2432" t="s">
        <v>1800</v>
      </c>
      <c r="E2432">
        <v>80867317</v>
      </c>
      <c r="F2432" t="s">
        <v>1801</v>
      </c>
      <c r="G2432" s="3">
        <v>47993</v>
      </c>
      <c r="H2432">
        <v>60</v>
      </c>
      <c r="I2432">
        <v>100</v>
      </c>
      <c r="J2432">
        <v>144</v>
      </c>
      <c r="K2432" s="4">
        <v>22092.48</v>
      </c>
      <c r="L2432" s="4">
        <v>549.85714285714289</v>
      </c>
      <c r="M2432" s="4">
        <v>0.26188620420888542</v>
      </c>
      <c r="N2432" t="s">
        <v>25</v>
      </c>
      <c r="O2432" t="str">
        <f t="shared" si="370"/>
        <v>Low</v>
      </c>
      <c r="P2432" t="str">
        <f t="shared" si="371"/>
        <v>Low</v>
      </c>
      <c r="Q2432" t="str">
        <f t="shared" si="372"/>
        <v>Low</v>
      </c>
      <c r="R2432" t="s">
        <v>3317</v>
      </c>
      <c r="S2432" s="4">
        <f t="shared" ca="1" si="373"/>
        <v>1796</v>
      </c>
      <c r="T2432">
        <f t="shared" si="374"/>
        <v>1</v>
      </c>
      <c r="U2432">
        <f t="shared" si="375"/>
        <v>1</v>
      </c>
      <c r="V2432">
        <f t="shared" si="376"/>
        <v>1</v>
      </c>
      <c r="W2432">
        <f t="shared" si="377"/>
        <v>1</v>
      </c>
      <c r="X2432">
        <f t="shared" si="378"/>
        <v>0.99999999999999989</v>
      </c>
      <c r="Y2432" t="str">
        <f t="shared" si="379"/>
        <v>Healthy</v>
      </c>
    </row>
    <row r="2433" spans="1:25" x14ac:dyDescent="0.35">
      <c r="A2433" t="s">
        <v>41</v>
      </c>
      <c r="B2433" t="s">
        <v>54</v>
      </c>
      <c r="C2433" t="s">
        <v>87</v>
      </c>
      <c r="D2433" t="s">
        <v>447</v>
      </c>
      <c r="E2433">
        <v>80791895</v>
      </c>
      <c r="F2433" t="s">
        <v>1802</v>
      </c>
      <c r="G2433" s="3">
        <v>46754</v>
      </c>
      <c r="H2433">
        <v>36</v>
      </c>
      <c r="I2433">
        <v>52</v>
      </c>
      <c r="J2433">
        <v>146</v>
      </c>
      <c r="K2433" s="4">
        <v>10830.28</v>
      </c>
      <c r="L2433" s="4">
        <v>7</v>
      </c>
      <c r="M2433" s="4">
        <v>20.857142857142858</v>
      </c>
      <c r="N2433" t="s">
        <v>19</v>
      </c>
      <c r="O2433" t="str">
        <f t="shared" si="370"/>
        <v>Low</v>
      </c>
      <c r="P2433" t="str">
        <f t="shared" si="371"/>
        <v>High</v>
      </c>
      <c r="Q2433" t="str">
        <f t="shared" si="372"/>
        <v>Medium</v>
      </c>
      <c r="R2433" t="s">
        <v>3317</v>
      </c>
      <c r="S2433" s="4">
        <f t="shared" ca="1" si="373"/>
        <v>557</v>
      </c>
      <c r="T2433">
        <f t="shared" si="374"/>
        <v>1</v>
      </c>
      <c r="U2433">
        <f t="shared" si="375"/>
        <v>3</v>
      </c>
      <c r="V2433">
        <f t="shared" si="376"/>
        <v>2</v>
      </c>
      <c r="W2433">
        <f t="shared" si="377"/>
        <v>1</v>
      </c>
      <c r="X2433">
        <f t="shared" si="378"/>
        <v>1.7999999999999998</v>
      </c>
      <c r="Y2433" t="str">
        <f t="shared" si="379"/>
        <v>Monitor</v>
      </c>
    </row>
    <row r="2434" spans="1:25" x14ac:dyDescent="0.35">
      <c r="A2434" t="s">
        <v>14</v>
      </c>
      <c r="B2434" t="s">
        <v>702</v>
      </c>
      <c r="C2434" t="s">
        <v>1803</v>
      </c>
      <c r="D2434" t="s">
        <v>1804</v>
      </c>
      <c r="E2434">
        <v>80878373</v>
      </c>
      <c r="F2434" t="s">
        <v>1805</v>
      </c>
      <c r="G2434" s="3">
        <v>47868</v>
      </c>
      <c r="H2434">
        <v>60</v>
      </c>
      <c r="I2434">
        <v>93</v>
      </c>
      <c r="J2434">
        <v>306</v>
      </c>
      <c r="K2434" s="4">
        <v>65660.58</v>
      </c>
      <c r="L2434" s="4">
        <v>681.28571428571433</v>
      </c>
      <c r="M2434" s="4">
        <v>0.44915076535961412</v>
      </c>
      <c r="N2434" t="s">
        <v>25</v>
      </c>
      <c r="O2434" t="str">
        <f t="shared" si="370"/>
        <v>Low</v>
      </c>
      <c r="P2434" t="str">
        <f t="shared" si="371"/>
        <v>Low</v>
      </c>
      <c r="Q2434" t="str">
        <f t="shared" si="372"/>
        <v>Low</v>
      </c>
      <c r="R2434" t="s">
        <v>3317</v>
      </c>
      <c r="S2434" s="4">
        <f t="shared" ca="1" si="373"/>
        <v>1671</v>
      </c>
      <c r="T2434">
        <f t="shared" si="374"/>
        <v>1</v>
      </c>
      <c r="U2434">
        <f t="shared" si="375"/>
        <v>1</v>
      </c>
      <c r="V2434">
        <f t="shared" si="376"/>
        <v>1</v>
      </c>
      <c r="W2434">
        <f t="shared" si="377"/>
        <v>1</v>
      </c>
      <c r="X2434">
        <f t="shared" si="378"/>
        <v>0.99999999999999989</v>
      </c>
      <c r="Y2434" t="str">
        <f t="shared" si="379"/>
        <v>Healthy</v>
      </c>
    </row>
    <row r="2435" spans="1:25" x14ac:dyDescent="0.35">
      <c r="A2435" t="s">
        <v>14</v>
      </c>
      <c r="B2435" t="s">
        <v>702</v>
      </c>
      <c r="C2435" t="s">
        <v>1803</v>
      </c>
      <c r="D2435" t="s">
        <v>1804</v>
      </c>
      <c r="E2435">
        <v>80878373</v>
      </c>
      <c r="F2435" t="s">
        <v>1805</v>
      </c>
      <c r="G2435" s="3">
        <v>47871</v>
      </c>
      <c r="H2435">
        <v>60</v>
      </c>
      <c r="I2435">
        <v>93</v>
      </c>
      <c r="J2435">
        <v>72</v>
      </c>
      <c r="K2435" s="4">
        <v>13823.28</v>
      </c>
      <c r="L2435" s="4">
        <v>681.28571428571433</v>
      </c>
      <c r="M2435" s="4">
        <v>0.10568253302579156</v>
      </c>
      <c r="N2435" t="s">
        <v>25</v>
      </c>
      <c r="O2435" t="str">
        <f t="shared" ref="O2435:O2498" si="380">IF(I2435&lt;20,"High",IF(I2435&lt;40,"Medium","Low"))</f>
        <v>Low</v>
      </c>
      <c r="P2435" t="str">
        <f t="shared" ref="P2435:P2498" si="381">IF(M2435&gt;8,"High",IF(M2435&gt;4,"Medium","Low"))</f>
        <v>Low</v>
      </c>
      <c r="Q2435" t="str">
        <f t="shared" ref="Q2435:Q2498" si="382">IF(L2435&lt;5,"High",IF(L2435&lt;15,"Medium","Low"))</f>
        <v>Low</v>
      </c>
      <c r="R2435" t="s">
        <v>3317</v>
      </c>
      <c r="S2435" s="4">
        <f t="shared" ref="S2435:S2498" ca="1" si="383">G2435-TODAY()</f>
        <v>1674</v>
      </c>
      <c r="T2435">
        <f t="shared" ref="T2435:T2498" si="384">IF(O2435="High",3,IF(O2435="Medium",2,1))</f>
        <v>1</v>
      </c>
      <c r="U2435">
        <f t="shared" ref="U2435:U2498" si="385">IF(P2435="High",3,IF(P2435="Medium",2,1))</f>
        <v>1</v>
      </c>
      <c r="V2435">
        <f t="shared" ref="V2435:V2498" si="386">IF(Q2435="High",3,IF(Q2435="Medium",2,1))</f>
        <v>1</v>
      </c>
      <c r="W2435">
        <f t="shared" ref="W2435:W2498" si="387">IF(R2435="High",3,IF(R2435="Medium",2,1))</f>
        <v>1</v>
      </c>
      <c r="X2435">
        <f t="shared" ref="X2435:X2498" si="388">(0.4*T2435)+(0.3*U2435)+(0.2*V2435)+(0.1*W2435)</f>
        <v>0.99999999999999989</v>
      </c>
      <c r="Y2435" t="str">
        <f t="shared" ref="Y2435:Y2498" si="389">IF(X2435&gt;=2.7,"Move Immediately",IF(X2435&gt;=2.2,"High Priority",IF(X2435&gt;=1.7,"Monitor","Healthy")))</f>
        <v>Healthy</v>
      </c>
    </row>
    <row r="2436" spans="1:25" x14ac:dyDescent="0.35">
      <c r="A2436" t="s">
        <v>14</v>
      </c>
      <c r="B2436" t="s">
        <v>37</v>
      </c>
      <c r="C2436" t="s">
        <v>38</v>
      </c>
      <c r="D2436" t="s">
        <v>1806</v>
      </c>
      <c r="E2436">
        <v>80889851</v>
      </c>
      <c r="F2436" t="s">
        <v>1807</v>
      </c>
      <c r="G2436" s="3">
        <v>47972</v>
      </c>
      <c r="H2436">
        <v>60</v>
      </c>
      <c r="I2436">
        <v>99</v>
      </c>
      <c r="J2436">
        <v>30</v>
      </c>
      <c r="K2436" s="4">
        <v>2490.6</v>
      </c>
      <c r="L2436" s="4">
        <v>10135.428571428571</v>
      </c>
      <c r="M2436" s="4">
        <v>2.9599143034335007E-3</v>
      </c>
      <c r="N2436" t="s">
        <v>25</v>
      </c>
      <c r="O2436" t="str">
        <f t="shared" si="380"/>
        <v>Low</v>
      </c>
      <c r="P2436" t="str">
        <f t="shared" si="381"/>
        <v>Low</v>
      </c>
      <c r="Q2436" t="str">
        <f t="shared" si="382"/>
        <v>Low</v>
      </c>
      <c r="R2436" t="s">
        <v>3317</v>
      </c>
      <c r="S2436" s="4">
        <f t="shared" ca="1" si="383"/>
        <v>1775</v>
      </c>
      <c r="T2436">
        <f t="shared" si="384"/>
        <v>1</v>
      </c>
      <c r="U2436">
        <f t="shared" si="385"/>
        <v>1</v>
      </c>
      <c r="V2436">
        <f t="shared" si="386"/>
        <v>1</v>
      </c>
      <c r="W2436">
        <f t="shared" si="387"/>
        <v>1</v>
      </c>
      <c r="X2436">
        <f t="shared" si="388"/>
        <v>0.99999999999999989</v>
      </c>
      <c r="Y2436" t="str">
        <f t="shared" si="389"/>
        <v>Healthy</v>
      </c>
    </row>
    <row r="2437" spans="1:25" x14ac:dyDescent="0.35">
      <c r="A2437" t="s">
        <v>189</v>
      </c>
      <c r="B2437" t="s">
        <v>417</v>
      </c>
      <c r="C2437" t="s">
        <v>417</v>
      </c>
      <c r="D2437" t="s">
        <v>521</v>
      </c>
      <c r="E2437">
        <v>80813091</v>
      </c>
      <c r="F2437" t="s">
        <v>1808</v>
      </c>
      <c r="G2437" s="3">
        <v>45977</v>
      </c>
      <c r="H2437">
        <v>18</v>
      </c>
      <c r="I2437">
        <v>0</v>
      </c>
      <c r="J2437">
        <v>14</v>
      </c>
      <c r="K2437" s="4">
        <v>524.29999999999995</v>
      </c>
      <c r="L2437" s="4">
        <f>0</f>
        <v>0</v>
      </c>
      <c r="M2437" s="4">
        <f>999</f>
        <v>999</v>
      </c>
      <c r="N2437" t="s">
        <v>19</v>
      </c>
      <c r="O2437" t="str">
        <f t="shared" si="380"/>
        <v>High</v>
      </c>
      <c r="P2437" t="str">
        <f t="shared" si="381"/>
        <v>High</v>
      </c>
      <c r="Q2437" t="str">
        <f t="shared" si="382"/>
        <v>High</v>
      </c>
      <c r="R2437" t="s">
        <v>3317</v>
      </c>
      <c r="S2437" s="4">
        <f t="shared" ca="1" si="383"/>
        <v>-220</v>
      </c>
      <c r="T2437">
        <f t="shared" si="384"/>
        <v>3</v>
      </c>
      <c r="U2437">
        <f t="shared" si="385"/>
        <v>3</v>
      </c>
      <c r="V2437">
        <f t="shared" si="386"/>
        <v>3</v>
      </c>
      <c r="W2437">
        <f t="shared" si="387"/>
        <v>1</v>
      </c>
      <c r="X2437">
        <f t="shared" si="388"/>
        <v>2.8000000000000003</v>
      </c>
      <c r="Y2437" t="str">
        <f t="shared" si="389"/>
        <v>Move Immediately</v>
      </c>
    </row>
    <row r="2438" spans="1:25" x14ac:dyDescent="0.35">
      <c r="A2438" t="s">
        <v>14</v>
      </c>
      <c r="B2438" t="s">
        <v>37</v>
      </c>
      <c r="C2438" t="s">
        <v>38</v>
      </c>
      <c r="D2438" t="s">
        <v>1806</v>
      </c>
      <c r="E2438">
        <v>80889851</v>
      </c>
      <c r="F2438" t="s">
        <v>1807</v>
      </c>
      <c r="G2438" s="3">
        <v>47981</v>
      </c>
      <c r="H2438">
        <v>60</v>
      </c>
      <c r="I2438">
        <v>99</v>
      </c>
      <c r="J2438">
        <v>19</v>
      </c>
      <c r="K2438" s="4">
        <v>1577.38</v>
      </c>
      <c r="L2438" s="4">
        <v>10135.428571428571</v>
      </c>
      <c r="M2438" s="4">
        <v>1.8746123921745505E-3</v>
      </c>
      <c r="N2438" t="s">
        <v>25</v>
      </c>
      <c r="O2438" t="str">
        <f t="shared" si="380"/>
        <v>Low</v>
      </c>
      <c r="P2438" t="str">
        <f t="shared" si="381"/>
        <v>Low</v>
      </c>
      <c r="Q2438" t="str">
        <f t="shared" si="382"/>
        <v>Low</v>
      </c>
      <c r="R2438" t="s">
        <v>3317</v>
      </c>
      <c r="S2438" s="4">
        <f t="shared" ca="1" si="383"/>
        <v>1784</v>
      </c>
      <c r="T2438">
        <f t="shared" si="384"/>
        <v>1</v>
      </c>
      <c r="U2438">
        <f t="shared" si="385"/>
        <v>1</v>
      </c>
      <c r="V2438">
        <f t="shared" si="386"/>
        <v>1</v>
      </c>
      <c r="W2438">
        <f t="shared" si="387"/>
        <v>1</v>
      </c>
      <c r="X2438">
        <f t="shared" si="388"/>
        <v>0.99999999999999989</v>
      </c>
      <c r="Y2438" t="str">
        <f t="shared" si="389"/>
        <v>Healthy</v>
      </c>
    </row>
    <row r="2439" spans="1:25" x14ac:dyDescent="0.35">
      <c r="A2439" t="s">
        <v>189</v>
      </c>
      <c r="B2439" t="s">
        <v>417</v>
      </c>
      <c r="C2439" t="s">
        <v>417</v>
      </c>
      <c r="D2439" t="s">
        <v>521</v>
      </c>
      <c r="E2439">
        <v>80813091</v>
      </c>
      <c r="F2439" t="s">
        <v>1808</v>
      </c>
      <c r="G2439" s="3">
        <v>46027</v>
      </c>
      <c r="H2439">
        <v>18</v>
      </c>
      <c r="I2439">
        <v>0</v>
      </c>
      <c r="J2439">
        <v>54</v>
      </c>
      <c r="K2439" s="4">
        <v>2022.3</v>
      </c>
      <c r="L2439" s="4">
        <f>0</f>
        <v>0</v>
      </c>
      <c r="M2439" s="4">
        <f>999</f>
        <v>999</v>
      </c>
      <c r="N2439" t="s">
        <v>19</v>
      </c>
      <c r="O2439" t="str">
        <f t="shared" si="380"/>
        <v>High</v>
      </c>
      <c r="P2439" t="str">
        <f t="shared" si="381"/>
        <v>High</v>
      </c>
      <c r="Q2439" t="str">
        <f t="shared" si="382"/>
        <v>High</v>
      </c>
      <c r="R2439" t="s">
        <v>3317</v>
      </c>
      <c r="S2439" s="4">
        <f t="shared" ca="1" si="383"/>
        <v>-170</v>
      </c>
      <c r="T2439">
        <f t="shared" si="384"/>
        <v>3</v>
      </c>
      <c r="U2439">
        <f t="shared" si="385"/>
        <v>3</v>
      </c>
      <c r="V2439">
        <f t="shared" si="386"/>
        <v>3</v>
      </c>
      <c r="W2439">
        <f t="shared" si="387"/>
        <v>1</v>
      </c>
      <c r="X2439">
        <f t="shared" si="388"/>
        <v>2.8000000000000003</v>
      </c>
      <c r="Y2439" t="str">
        <f t="shared" si="389"/>
        <v>Move Immediately</v>
      </c>
    </row>
    <row r="2440" spans="1:25" x14ac:dyDescent="0.35">
      <c r="A2440" t="s">
        <v>189</v>
      </c>
      <c r="B2440" t="s">
        <v>417</v>
      </c>
      <c r="C2440" t="s">
        <v>417</v>
      </c>
      <c r="D2440" t="s">
        <v>521</v>
      </c>
      <c r="E2440">
        <v>80813091</v>
      </c>
      <c r="F2440" t="s">
        <v>1808</v>
      </c>
      <c r="G2440" s="3">
        <v>45973</v>
      </c>
      <c r="H2440">
        <v>18</v>
      </c>
      <c r="I2440">
        <v>0</v>
      </c>
      <c r="J2440">
        <v>3</v>
      </c>
      <c r="K2440" s="4">
        <v>112.35</v>
      </c>
      <c r="L2440" s="4">
        <f>0</f>
        <v>0</v>
      </c>
      <c r="M2440" s="4">
        <f>999</f>
        <v>999</v>
      </c>
      <c r="N2440" t="s">
        <v>19</v>
      </c>
      <c r="O2440" t="str">
        <f t="shared" si="380"/>
        <v>High</v>
      </c>
      <c r="P2440" t="str">
        <f t="shared" si="381"/>
        <v>High</v>
      </c>
      <c r="Q2440" t="str">
        <f t="shared" si="382"/>
        <v>High</v>
      </c>
      <c r="R2440" t="s">
        <v>3317</v>
      </c>
      <c r="S2440" s="4">
        <f t="shared" ca="1" si="383"/>
        <v>-224</v>
      </c>
      <c r="T2440">
        <f t="shared" si="384"/>
        <v>3</v>
      </c>
      <c r="U2440">
        <f t="shared" si="385"/>
        <v>3</v>
      </c>
      <c r="V2440">
        <f t="shared" si="386"/>
        <v>3</v>
      </c>
      <c r="W2440">
        <f t="shared" si="387"/>
        <v>1</v>
      </c>
      <c r="X2440">
        <f t="shared" si="388"/>
        <v>2.8000000000000003</v>
      </c>
      <c r="Y2440" t="str">
        <f t="shared" si="389"/>
        <v>Move Immediately</v>
      </c>
    </row>
    <row r="2441" spans="1:25" x14ac:dyDescent="0.35">
      <c r="A2441" t="s">
        <v>179</v>
      </c>
      <c r="B2441" t="s">
        <v>180</v>
      </c>
      <c r="C2441" t="s">
        <v>181</v>
      </c>
      <c r="D2441" t="s">
        <v>1809</v>
      </c>
      <c r="E2441">
        <v>83906745</v>
      </c>
      <c r="F2441" t="s">
        <v>1810</v>
      </c>
      <c r="G2441" s="3">
        <v>46645</v>
      </c>
      <c r="H2441">
        <v>16</v>
      </c>
      <c r="I2441">
        <v>94</v>
      </c>
      <c r="J2441">
        <v>204</v>
      </c>
      <c r="K2441" s="4">
        <v>27017.759999999998</v>
      </c>
      <c r="L2441" s="4">
        <f>0</f>
        <v>0</v>
      </c>
      <c r="M2441" s="4">
        <f>999</f>
        <v>999</v>
      </c>
      <c r="N2441" t="s">
        <v>19</v>
      </c>
      <c r="O2441" t="str">
        <f t="shared" si="380"/>
        <v>Low</v>
      </c>
      <c r="P2441" t="str">
        <f t="shared" si="381"/>
        <v>High</v>
      </c>
      <c r="Q2441" t="str">
        <f t="shared" si="382"/>
        <v>High</v>
      </c>
      <c r="R2441" t="s">
        <v>3317</v>
      </c>
      <c r="S2441" s="4">
        <f t="shared" ca="1" si="383"/>
        <v>448</v>
      </c>
      <c r="T2441">
        <f t="shared" si="384"/>
        <v>1</v>
      </c>
      <c r="U2441">
        <f t="shared" si="385"/>
        <v>3</v>
      </c>
      <c r="V2441">
        <f t="shared" si="386"/>
        <v>3</v>
      </c>
      <c r="W2441">
        <f t="shared" si="387"/>
        <v>1</v>
      </c>
      <c r="X2441">
        <f t="shared" si="388"/>
        <v>2</v>
      </c>
      <c r="Y2441" t="str">
        <f t="shared" si="389"/>
        <v>Monitor</v>
      </c>
    </row>
    <row r="2442" spans="1:25" x14ac:dyDescent="0.35">
      <c r="A2442" t="s">
        <v>179</v>
      </c>
      <c r="B2442" t="s">
        <v>180</v>
      </c>
      <c r="C2442" t="s">
        <v>181</v>
      </c>
      <c r="D2442" t="s">
        <v>1811</v>
      </c>
      <c r="E2442">
        <v>83906746</v>
      </c>
      <c r="F2442" t="s">
        <v>1812</v>
      </c>
      <c r="G2442" s="3">
        <v>46650</v>
      </c>
      <c r="H2442">
        <v>16</v>
      </c>
      <c r="I2442">
        <v>95</v>
      </c>
      <c r="J2442">
        <v>60</v>
      </c>
      <c r="K2442" s="4">
        <v>8479.7999999999993</v>
      </c>
      <c r="L2442" s="4">
        <f>0</f>
        <v>0</v>
      </c>
      <c r="M2442" s="4">
        <f>999</f>
        <v>999</v>
      </c>
      <c r="N2442" t="s">
        <v>19</v>
      </c>
      <c r="O2442" t="str">
        <f t="shared" si="380"/>
        <v>Low</v>
      </c>
      <c r="P2442" t="str">
        <f t="shared" si="381"/>
        <v>High</v>
      </c>
      <c r="Q2442" t="str">
        <f t="shared" si="382"/>
        <v>High</v>
      </c>
      <c r="R2442" t="s">
        <v>3317</v>
      </c>
      <c r="S2442" s="4">
        <f t="shared" ca="1" si="383"/>
        <v>453</v>
      </c>
      <c r="T2442">
        <f t="shared" si="384"/>
        <v>1</v>
      </c>
      <c r="U2442">
        <f t="shared" si="385"/>
        <v>3</v>
      </c>
      <c r="V2442">
        <f t="shared" si="386"/>
        <v>3</v>
      </c>
      <c r="W2442">
        <f t="shared" si="387"/>
        <v>1</v>
      </c>
      <c r="X2442">
        <f t="shared" si="388"/>
        <v>2</v>
      </c>
      <c r="Y2442" t="str">
        <f t="shared" si="389"/>
        <v>Monitor</v>
      </c>
    </row>
    <row r="2443" spans="1:25" x14ac:dyDescent="0.35">
      <c r="A2443" t="s">
        <v>179</v>
      </c>
      <c r="B2443" t="s">
        <v>180</v>
      </c>
      <c r="C2443" t="s">
        <v>181</v>
      </c>
      <c r="D2443" t="s">
        <v>1813</v>
      </c>
      <c r="E2443">
        <v>83906747</v>
      </c>
      <c r="F2443" t="s">
        <v>1814</v>
      </c>
      <c r="G2443" s="3">
        <v>46568</v>
      </c>
      <c r="H2443">
        <v>16</v>
      </c>
      <c r="I2443">
        <v>78</v>
      </c>
      <c r="J2443">
        <v>228</v>
      </c>
      <c r="K2443" s="4">
        <v>45720.84</v>
      </c>
      <c r="L2443" s="4">
        <v>418.85714285714283</v>
      </c>
      <c r="M2443" s="4">
        <v>0.54433833560709421</v>
      </c>
      <c r="N2443" t="s">
        <v>25</v>
      </c>
      <c r="O2443" t="str">
        <f t="shared" si="380"/>
        <v>Low</v>
      </c>
      <c r="P2443" t="str">
        <f t="shared" si="381"/>
        <v>Low</v>
      </c>
      <c r="Q2443" t="str">
        <f t="shared" si="382"/>
        <v>Low</v>
      </c>
      <c r="R2443" t="s">
        <v>3317</v>
      </c>
      <c r="S2443" s="4">
        <f t="shared" ca="1" si="383"/>
        <v>371</v>
      </c>
      <c r="T2443">
        <f t="shared" si="384"/>
        <v>1</v>
      </c>
      <c r="U2443">
        <f t="shared" si="385"/>
        <v>1</v>
      </c>
      <c r="V2443">
        <f t="shared" si="386"/>
        <v>1</v>
      </c>
      <c r="W2443">
        <f t="shared" si="387"/>
        <v>1</v>
      </c>
      <c r="X2443">
        <f t="shared" si="388"/>
        <v>0.99999999999999989</v>
      </c>
      <c r="Y2443" t="str">
        <f t="shared" si="389"/>
        <v>Healthy</v>
      </c>
    </row>
    <row r="2444" spans="1:25" x14ac:dyDescent="0.35">
      <c r="A2444" t="s">
        <v>179</v>
      </c>
      <c r="B2444" t="s">
        <v>180</v>
      </c>
      <c r="C2444" t="s">
        <v>181</v>
      </c>
      <c r="D2444" t="s">
        <v>1813</v>
      </c>
      <c r="E2444">
        <v>83906747</v>
      </c>
      <c r="F2444" t="s">
        <v>1814</v>
      </c>
      <c r="G2444" s="3">
        <v>46572</v>
      </c>
      <c r="H2444">
        <v>16</v>
      </c>
      <c r="I2444">
        <v>79</v>
      </c>
      <c r="J2444">
        <v>183</v>
      </c>
      <c r="K2444" s="4">
        <v>36696.99</v>
      </c>
      <c r="L2444" s="4">
        <v>418.85714285714283</v>
      </c>
      <c r="M2444" s="4">
        <v>0.43690313778990453</v>
      </c>
      <c r="N2444" t="s">
        <v>25</v>
      </c>
      <c r="O2444" t="str">
        <f t="shared" si="380"/>
        <v>Low</v>
      </c>
      <c r="P2444" t="str">
        <f t="shared" si="381"/>
        <v>Low</v>
      </c>
      <c r="Q2444" t="str">
        <f t="shared" si="382"/>
        <v>Low</v>
      </c>
      <c r="R2444" t="s">
        <v>3317</v>
      </c>
      <c r="S2444" s="4">
        <f t="shared" ca="1" si="383"/>
        <v>375</v>
      </c>
      <c r="T2444">
        <f t="shared" si="384"/>
        <v>1</v>
      </c>
      <c r="U2444">
        <f t="shared" si="385"/>
        <v>1</v>
      </c>
      <c r="V2444">
        <f t="shared" si="386"/>
        <v>1</v>
      </c>
      <c r="W2444">
        <f t="shared" si="387"/>
        <v>1</v>
      </c>
      <c r="X2444">
        <f t="shared" si="388"/>
        <v>0.99999999999999989</v>
      </c>
      <c r="Y2444" t="str">
        <f t="shared" si="389"/>
        <v>Healthy</v>
      </c>
    </row>
    <row r="2445" spans="1:25" x14ac:dyDescent="0.35">
      <c r="A2445" t="s">
        <v>179</v>
      </c>
      <c r="B2445" t="s">
        <v>180</v>
      </c>
      <c r="C2445" t="s">
        <v>181</v>
      </c>
      <c r="D2445" t="s">
        <v>1813</v>
      </c>
      <c r="E2445">
        <v>83906747</v>
      </c>
      <c r="F2445" t="s">
        <v>1814</v>
      </c>
      <c r="G2445" s="3">
        <v>46562</v>
      </c>
      <c r="H2445">
        <v>16</v>
      </c>
      <c r="I2445">
        <v>77</v>
      </c>
      <c r="J2445">
        <v>149</v>
      </c>
      <c r="K2445" s="4">
        <v>29878.97</v>
      </c>
      <c r="L2445" s="4">
        <v>418.85714285714283</v>
      </c>
      <c r="M2445" s="4">
        <v>0.35572987721691679</v>
      </c>
      <c r="N2445" t="s">
        <v>25</v>
      </c>
      <c r="O2445" t="str">
        <f t="shared" si="380"/>
        <v>Low</v>
      </c>
      <c r="P2445" t="str">
        <f t="shared" si="381"/>
        <v>Low</v>
      </c>
      <c r="Q2445" t="str">
        <f t="shared" si="382"/>
        <v>Low</v>
      </c>
      <c r="R2445" t="s">
        <v>3317</v>
      </c>
      <c r="S2445" s="4">
        <f t="shared" ca="1" si="383"/>
        <v>365</v>
      </c>
      <c r="T2445">
        <f t="shared" si="384"/>
        <v>1</v>
      </c>
      <c r="U2445">
        <f t="shared" si="385"/>
        <v>1</v>
      </c>
      <c r="V2445">
        <f t="shared" si="386"/>
        <v>1</v>
      </c>
      <c r="W2445">
        <f t="shared" si="387"/>
        <v>1</v>
      </c>
      <c r="X2445">
        <f t="shared" si="388"/>
        <v>0.99999999999999989</v>
      </c>
      <c r="Y2445" t="str">
        <f t="shared" si="389"/>
        <v>Healthy</v>
      </c>
    </row>
    <row r="2446" spans="1:25" x14ac:dyDescent="0.35">
      <c r="A2446" t="s">
        <v>90</v>
      </c>
      <c r="B2446" t="s">
        <v>91</v>
      </c>
      <c r="C2446" t="s">
        <v>155</v>
      </c>
      <c r="D2446" t="s">
        <v>1815</v>
      </c>
      <c r="E2446">
        <v>80817966</v>
      </c>
      <c r="F2446" t="s">
        <v>1816</v>
      </c>
      <c r="G2446" s="3">
        <v>46244</v>
      </c>
      <c r="H2446">
        <v>24</v>
      </c>
      <c r="I2446">
        <v>7</v>
      </c>
      <c r="J2446">
        <v>18</v>
      </c>
      <c r="K2446" s="4">
        <v>4850.46</v>
      </c>
      <c r="L2446" s="4">
        <f>0</f>
        <v>0</v>
      </c>
      <c r="M2446" s="4">
        <f>999</f>
        <v>999</v>
      </c>
      <c r="N2446" t="s">
        <v>19</v>
      </c>
      <c r="O2446" t="str">
        <f t="shared" si="380"/>
        <v>High</v>
      </c>
      <c r="P2446" t="str">
        <f t="shared" si="381"/>
        <v>High</v>
      </c>
      <c r="Q2446" t="str">
        <f t="shared" si="382"/>
        <v>High</v>
      </c>
      <c r="R2446" t="s">
        <v>3317</v>
      </c>
      <c r="S2446" s="4">
        <f t="shared" ca="1" si="383"/>
        <v>47</v>
      </c>
      <c r="T2446">
        <f t="shared" si="384"/>
        <v>3</v>
      </c>
      <c r="U2446">
        <f t="shared" si="385"/>
        <v>3</v>
      </c>
      <c r="V2446">
        <f t="shared" si="386"/>
        <v>3</v>
      </c>
      <c r="W2446">
        <f t="shared" si="387"/>
        <v>1</v>
      </c>
      <c r="X2446">
        <f t="shared" si="388"/>
        <v>2.8000000000000003</v>
      </c>
      <c r="Y2446" t="str">
        <f t="shared" si="389"/>
        <v>Move Immediately</v>
      </c>
    </row>
    <row r="2447" spans="1:25" x14ac:dyDescent="0.35">
      <c r="A2447" t="s">
        <v>210</v>
      </c>
      <c r="B2447" t="s">
        <v>211</v>
      </c>
      <c r="C2447" t="s">
        <v>1817</v>
      </c>
      <c r="D2447" t="s">
        <v>1818</v>
      </c>
      <c r="E2447">
        <v>80886468</v>
      </c>
      <c r="F2447" t="s">
        <v>1819</v>
      </c>
      <c r="G2447" s="3">
        <v>47132</v>
      </c>
      <c r="H2447">
        <v>36</v>
      </c>
      <c r="I2447">
        <v>87</v>
      </c>
      <c r="J2447">
        <v>3110</v>
      </c>
      <c r="K2447" s="4">
        <v>327358.59999999998</v>
      </c>
      <c r="L2447" s="4">
        <v>130.85714285714286</v>
      </c>
      <c r="M2447" s="4">
        <v>23.766375545851528</v>
      </c>
      <c r="N2447" t="s">
        <v>19</v>
      </c>
      <c r="O2447" t="str">
        <f t="shared" si="380"/>
        <v>Low</v>
      </c>
      <c r="P2447" t="str">
        <f t="shared" si="381"/>
        <v>High</v>
      </c>
      <c r="Q2447" t="str">
        <f t="shared" si="382"/>
        <v>Low</v>
      </c>
      <c r="R2447" t="s">
        <v>3309</v>
      </c>
      <c r="S2447" s="4">
        <f t="shared" ca="1" si="383"/>
        <v>935</v>
      </c>
      <c r="T2447">
        <f t="shared" si="384"/>
        <v>1</v>
      </c>
      <c r="U2447">
        <f t="shared" si="385"/>
        <v>3</v>
      </c>
      <c r="V2447">
        <f t="shared" si="386"/>
        <v>1</v>
      </c>
      <c r="W2447">
        <f t="shared" si="387"/>
        <v>3</v>
      </c>
      <c r="X2447">
        <f t="shared" si="388"/>
        <v>1.7999999999999998</v>
      </c>
      <c r="Y2447" t="str">
        <f t="shared" si="389"/>
        <v>Monitor</v>
      </c>
    </row>
    <row r="2448" spans="1:25" x14ac:dyDescent="0.35">
      <c r="A2448" t="s">
        <v>179</v>
      </c>
      <c r="B2448" t="s">
        <v>223</v>
      </c>
      <c r="C2448" t="s">
        <v>357</v>
      </c>
      <c r="D2448" t="s">
        <v>1820</v>
      </c>
      <c r="E2448">
        <v>83914729</v>
      </c>
      <c r="F2448" t="s">
        <v>1821</v>
      </c>
      <c r="G2448" s="3">
        <v>46609</v>
      </c>
      <c r="H2448">
        <v>18</v>
      </c>
      <c r="I2448">
        <v>77</v>
      </c>
      <c r="J2448">
        <v>32</v>
      </c>
      <c r="K2448" s="4">
        <v>1152</v>
      </c>
      <c r="L2448" s="4">
        <v>4150.8571428571431</v>
      </c>
      <c r="M2448" s="4">
        <v>7.7092511013215851E-3</v>
      </c>
      <c r="N2448" t="s">
        <v>25</v>
      </c>
      <c r="O2448" t="str">
        <f t="shared" si="380"/>
        <v>Low</v>
      </c>
      <c r="P2448" t="str">
        <f t="shared" si="381"/>
        <v>Low</v>
      </c>
      <c r="Q2448" t="str">
        <f t="shared" si="382"/>
        <v>Low</v>
      </c>
      <c r="R2448" t="s">
        <v>3317</v>
      </c>
      <c r="S2448" s="4">
        <f t="shared" ca="1" si="383"/>
        <v>412</v>
      </c>
      <c r="T2448">
        <f t="shared" si="384"/>
        <v>1</v>
      </c>
      <c r="U2448">
        <f t="shared" si="385"/>
        <v>1</v>
      </c>
      <c r="V2448">
        <f t="shared" si="386"/>
        <v>1</v>
      </c>
      <c r="W2448">
        <f t="shared" si="387"/>
        <v>1</v>
      </c>
      <c r="X2448">
        <f t="shared" si="388"/>
        <v>0.99999999999999989</v>
      </c>
      <c r="Y2448" t="str">
        <f t="shared" si="389"/>
        <v>Healthy</v>
      </c>
    </row>
    <row r="2449" spans="1:25" x14ac:dyDescent="0.35">
      <c r="A2449" t="s">
        <v>179</v>
      </c>
      <c r="B2449" t="s">
        <v>223</v>
      </c>
      <c r="C2449" t="s">
        <v>357</v>
      </c>
      <c r="D2449" t="s">
        <v>1820</v>
      </c>
      <c r="E2449">
        <v>83914729</v>
      </c>
      <c r="F2449" t="s">
        <v>1821</v>
      </c>
      <c r="G2449" s="3">
        <v>46653</v>
      </c>
      <c r="H2449">
        <v>18</v>
      </c>
      <c r="I2449">
        <v>85</v>
      </c>
      <c r="J2449">
        <v>320</v>
      </c>
      <c r="K2449" s="4">
        <v>11520</v>
      </c>
      <c r="L2449" s="4">
        <v>4150.8571428571431</v>
      </c>
      <c r="M2449" s="4">
        <v>7.7092511013215848E-2</v>
      </c>
      <c r="N2449" t="s">
        <v>25</v>
      </c>
      <c r="O2449" t="str">
        <f t="shared" si="380"/>
        <v>Low</v>
      </c>
      <c r="P2449" t="str">
        <f t="shared" si="381"/>
        <v>Low</v>
      </c>
      <c r="Q2449" t="str">
        <f t="shared" si="382"/>
        <v>Low</v>
      </c>
      <c r="R2449" t="s">
        <v>3317</v>
      </c>
      <c r="S2449" s="4">
        <f t="shared" ca="1" si="383"/>
        <v>456</v>
      </c>
      <c r="T2449">
        <f t="shared" si="384"/>
        <v>1</v>
      </c>
      <c r="U2449">
        <f t="shared" si="385"/>
        <v>1</v>
      </c>
      <c r="V2449">
        <f t="shared" si="386"/>
        <v>1</v>
      </c>
      <c r="W2449">
        <f t="shared" si="387"/>
        <v>1</v>
      </c>
      <c r="X2449">
        <f t="shared" si="388"/>
        <v>0.99999999999999989</v>
      </c>
      <c r="Y2449" t="str">
        <f t="shared" si="389"/>
        <v>Healthy</v>
      </c>
    </row>
    <row r="2450" spans="1:25" x14ac:dyDescent="0.35">
      <c r="A2450" t="s">
        <v>179</v>
      </c>
      <c r="B2450" t="s">
        <v>223</v>
      </c>
      <c r="C2450" t="s">
        <v>357</v>
      </c>
      <c r="D2450" t="s">
        <v>1820</v>
      </c>
      <c r="E2450">
        <v>83914729</v>
      </c>
      <c r="F2450" t="s">
        <v>1821</v>
      </c>
      <c r="G2450" s="3">
        <v>46603</v>
      </c>
      <c r="H2450">
        <v>18</v>
      </c>
      <c r="I2450">
        <v>76</v>
      </c>
      <c r="J2450">
        <v>32</v>
      </c>
      <c r="K2450" s="4">
        <v>1152</v>
      </c>
      <c r="L2450" s="4">
        <v>4150.8571428571431</v>
      </c>
      <c r="M2450" s="4">
        <v>7.7092511013215851E-3</v>
      </c>
      <c r="N2450" t="s">
        <v>25</v>
      </c>
      <c r="O2450" t="str">
        <f t="shared" si="380"/>
        <v>Low</v>
      </c>
      <c r="P2450" t="str">
        <f t="shared" si="381"/>
        <v>Low</v>
      </c>
      <c r="Q2450" t="str">
        <f t="shared" si="382"/>
        <v>Low</v>
      </c>
      <c r="R2450" t="s">
        <v>3317</v>
      </c>
      <c r="S2450" s="4">
        <f t="shared" ca="1" si="383"/>
        <v>406</v>
      </c>
      <c r="T2450">
        <f t="shared" si="384"/>
        <v>1</v>
      </c>
      <c r="U2450">
        <f t="shared" si="385"/>
        <v>1</v>
      </c>
      <c r="V2450">
        <f t="shared" si="386"/>
        <v>1</v>
      </c>
      <c r="W2450">
        <f t="shared" si="387"/>
        <v>1</v>
      </c>
      <c r="X2450">
        <f t="shared" si="388"/>
        <v>0.99999999999999989</v>
      </c>
      <c r="Y2450" t="str">
        <f t="shared" si="389"/>
        <v>Healthy</v>
      </c>
    </row>
    <row r="2451" spans="1:25" x14ac:dyDescent="0.35">
      <c r="A2451" t="s">
        <v>179</v>
      </c>
      <c r="B2451" t="s">
        <v>223</v>
      </c>
      <c r="C2451" t="s">
        <v>357</v>
      </c>
      <c r="D2451" t="s">
        <v>1820</v>
      </c>
      <c r="E2451">
        <v>83914730</v>
      </c>
      <c r="F2451" t="s">
        <v>1822</v>
      </c>
      <c r="G2451" s="3">
        <v>46713</v>
      </c>
      <c r="H2451">
        <v>18</v>
      </c>
      <c r="I2451">
        <v>96</v>
      </c>
      <c r="J2451">
        <v>48</v>
      </c>
      <c r="K2451" s="4">
        <v>1728</v>
      </c>
      <c r="L2451" s="4">
        <v>3901.7142857142858</v>
      </c>
      <c r="M2451" s="4">
        <v>1.2302284710017574E-2</v>
      </c>
      <c r="N2451" t="s">
        <v>25</v>
      </c>
      <c r="O2451" t="str">
        <f t="shared" si="380"/>
        <v>Low</v>
      </c>
      <c r="P2451" t="str">
        <f t="shared" si="381"/>
        <v>Low</v>
      </c>
      <c r="Q2451" t="str">
        <f t="shared" si="382"/>
        <v>Low</v>
      </c>
      <c r="R2451" t="s">
        <v>3317</v>
      </c>
      <c r="S2451" s="4">
        <f t="shared" ca="1" si="383"/>
        <v>516</v>
      </c>
      <c r="T2451">
        <f t="shared" si="384"/>
        <v>1</v>
      </c>
      <c r="U2451">
        <f t="shared" si="385"/>
        <v>1</v>
      </c>
      <c r="V2451">
        <f t="shared" si="386"/>
        <v>1</v>
      </c>
      <c r="W2451">
        <f t="shared" si="387"/>
        <v>1</v>
      </c>
      <c r="X2451">
        <f t="shared" si="388"/>
        <v>0.99999999999999989</v>
      </c>
      <c r="Y2451" t="str">
        <f t="shared" si="389"/>
        <v>Healthy</v>
      </c>
    </row>
    <row r="2452" spans="1:25" x14ac:dyDescent="0.35">
      <c r="A2452" t="s">
        <v>179</v>
      </c>
      <c r="B2452" t="s">
        <v>223</v>
      </c>
      <c r="C2452" t="s">
        <v>357</v>
      </c>
      <c r="D2452" t="s">
        <v>1820</v>
      </c>
      <c r="E2452">
        <v>83914730</v>
      </c>
      <c r="F2452" t="s">
        <v>1822</v>
      </c>
      <c r="G2452" s="3">
        <v>46728</v>
      </c>
      <c r="H2452">
        <v>18</v>
      </c>
      <c r="I2452">
        <v>99</v>
      </c>
      <c r="J2452">
        <v>4384</v>
      </c>
      <c r="K2452" s="4">
        <v>157824</v>
      </c>
      <c r="L2452" s="4">
        <v>3901.7142857142858</v>
      </c>
      <c r="M2452" s="4">
        <v>1.123608670181605</v>
      </c>
      <c r="N2452" t="s">
        <v>25</v>
      </c>
      <c r="O2452" t="str">
        <f t="shared" si="380"/>
        <v>Low</v>
      </c>
      <c r="P2452" t="str">
        <f t="shared" si="381"/>
        <v>Low</v>
      </c>
      <c r="Q2452" t="str">
        <f t="shared" si="382"/>
        <v>Low</v>
      </c>
      <c r="R2452" t="s">
        <v>3309</v>
      </c>
      <c r="S2452" s="4">
        <f t="shared" ca="1" si="383"/>
        <v>531</v>
      </c>
      <c r="T2452">
        <f t="shared" si="384"/>
        <v>1</v>
      </c>
      <c r="U2452">
        <f t="shared" si="385"/>
        <v>1</v>
      </c>
      <c r="V2452">
        <f t="shared" si="386"/>
        <v>1</v>
      </c>
      <c r="W2452">
        <f t="shared" si="387"/>
        <v>3</v>
      </c>
      <c r="X2452">
        <f t="shared" si="388"/>
        <v>1.2</v>
      </c>
      <c r="Y2452" t="str">
        <f t="shared" si="389"/>
        <v>Healthy</v>
      </c>
    </row>
    <row r="2453" spans="1:25" x14ac:dyDescent="0.35">
      <c r="A2453" t="s">
        <v>71</v>
      </c>
      <c r="B2453" t="s">
        <v>72</v>
      </c>
      <c r="C2453" t="s">
        <v>73</v>
      </c>
      <c r="D2453" t="s">
        <v>158</v>
      </c>
      <c r="E2453">
        <v>80815731</v>
      </c>
      <c r="F2453" t="s">
        <v>1823</v>
      </c>
      <c r="G2453" s="3">
        <v>46875</v>
      </c>
      <c r="H2453">
        <v>36</v>
      </c>
      <c r="I2453">
        <v>63</v>
      </c>
      <c r="J2453">
        <v>4</v>
      </c>
      <c r="K2453" s="4">
        <v>4171.6400000000003</v>
      </c>
      <c r="L2453" s="4">
        <v>56.571428571428569</v>
      </c>
      <c r="M2453" s="4">
        <v>7.0707070707070704E-2</v>
      </c>
      <c r="N2453" t="s">
        <v>25</v>
      </c>
      <c r="O2453" t="str">
        <f t="shared" si="380"/>
        <v>Low</v>
      </c>
      <c r="P2453" t="str">
        <f t="shared" si="381"/>
        <v>Low</v>
      </c>
      <c r="Q2453" t="str">
        <f t="shared" si="382"/>
        <v>Low</v>
      </c>
      <c r="R2453" t="s">
        <v>3317</v>
      </c>
      <c r="S2453" s="4">
        <f t="shared" ca="1" si="383"/>
        <v>678</v>
      </c>
      <c r="T2453">
        <f t="shared" si="384"/>
        <v>1</v>
      </c>
      <c r="U2453">
        <f t="shared" si="385"/>
        <v>1</v>
      </c>
      <c r="V2453">
        <f t="shared" si="386"/>
        <v>1</v>
      </c>
      <c r="W2453">
        <f t="shared" si="387"/>
        <v>1</v>
      </c>
      <c r="X2453">
        <f t="shared" si="388"/>
        <v>0.99999999999999989</v>
      </c>
      <c r="Y2453" t="str">
        <f t="shared" si="389"/>
        <v>Healthy</v>
      </c>
    </row>
    <row r="2454" spans="1:25" x14ac:dyDescent="0.35">
      <c r="A2454" t="s">
        <v>179</v>
      </c>
      <c r="B2454" t="s">
        <v>223</v>
      </c>
      <c r="C2454" t="s">
        <v>357</v>
      </c>
      <c r="D2454" t="s">
        <v>1820</v>
      </c>
      <c r="E2454">
        <v>83914730</v>
      </c>
      <c r="F2454" t="s">
        <v>1822</v>
      </c>
      <c r="G2454" s="3">
        <v>46724</v>
      </c>
      <c r="H2454">
        <v>18</v>
      </c>
      <c r="I2454">
        <v>99</v>
      </c>
      <c r="J2454">
        <v>96</v>
      </c>
      <c r="K2454" s="4">
        <v>3456</v>
      </c>
      <c r="L2454" s="4">
        <v>3901.7142857142858</v>
      </c>
      <c r="M2454" s="4">
        <v>2.4604569420035149E-2</v>
      </c>
      <c r="N2454" t="s">
        <v>25</v>
      </c>
      <c r="O2454" t="str">
        <f t="shared" si="380"/>
        <v>Low</v>
      </c>
      <c r="P2454" t="str">
        <f t="shared" si="381"/>
        <v>Low</v>
      </c>
      <c r="Q2454" t="str">
        <f t="shared" si="382"/>
        <v>Low</v>
      </c>
      <c r="R2454" t="s">
        <v>3317</v>
      </c>
      <c r="S2454" s="4">
        <f t="shared" ca="1" si="383"/>
        <v>527</v>
      </c>
      <c r="T2454">
        <f t="shared" si="384"/>
        <v>1</v>
      </c>
      <c r="U2454">
        <f t="shared" si="385"/>
        <v>1</v>
      </c>
      <c r="V2454">
        <f t="shared" si="386"/>
        <v>1</v>
      </c>
      <c r="W2454">
        <f t="shared" si="387"/>
        <v>1</v>
      </c>
      <c r="X2454">
        <f t="shared" si="388"/>
        <v>0.99999999999999989</v>
      </c>
      <c r="Y2454" t="str">
        <f t="shared" si="389"/>
        <v>Healthy</v>
      </c>
    </row>
    <row r="2455" spans="1:25" x14ac:dyDescent="0.35">
      <c r="A2455" t="s">
        <v>71</v>
      </c>
      <c r="B2455" t="s">
        <v>72</v>
      </c>
      <c r="C2455" t="s">
        <v>73</v>
      </c>
      <c r="D2455" t="s">
        <v>158</v>
      </c>
      <c r="E2455">
        <v>80815731</v>
      </c>
      <c r="F2455" t="s">
        <v>1823</v>
      </c>
      <c r="G2455" s="3">
        <v>46902</v>
      </c>
      <c r="H2455">
        <v>36</v>
      </c>
      <c r="I2455">
        <v>66</v>
      </c>
      <c r="J2455">
        <v>12</v>
      </c>
      <c r="K2455" s="4">
        <v>12514.92</v>
      </c>
      <c r="L2455" s="4">
        <v>56.571428571428569</v>
      </c>
      <c r="M2455" s="4">
        <v>0.21212121212121213</v>
      </c>
      <c r="N2455" t="s">
        <v>25</v>
      </c>
      <c r="O2455" t="str">
        <f t="shared" si="380"/>
        <v>Low</v>
      </c>
      <c r="P2455" t="str">
        <f t="shared" si="381"/>
        <v>Low</v>
      </c>
      <c r="Q2455" t="str">
        <f t="shared" si="382"/>
        <v>Low</v>
      </c>
      <c r="R2455" t="s">
        <v>3317</v>
      </c>
      <c r="S2455" s="4">
        <f t="shared" ca="1" si="383"/>
        <v>705</v>
      </c>
      <c r="T2455">
        <f t="shared" si="384"/>
        <v>1</v>
      </c>
      <c r="U2455">
        <f t="shared" si="385"/>
        <v>1</v>
      </c>
      <c r="V2455">
        <f t="shared" si="386"/>
        <v>1</v>
      </c>
      <c r="W2455">
        <f t="shared" si="387"/>
        <v>1</v>
      </c>
      <c r="X2455">
        <f t="shared" si="388"/>
        <v>0.99999999999999989</v>
      </c>
      <c r="Y2455" t="str">
        <f t="shared" si="389"/>
        <v>Healthy</v>
      </c>
    </row>
    <row r="2456" spans="1:25" x14ac:dyDescent="0.35">
      <c r="A2456" t="s">
        <v>179</v>
      </c>
      <c r="B2456" t="s">
        <v>223</v>
      </c>
      <c r="C2456" t="s">
        <v>357</v>
      </c>
      <c r="D2456" t="s">
        <v>1820</v>
      </c>
      <c r="E2456">
        <v>83914730</v>
      </c>
      <c r="F2456" t="s">
        <v>1822</v>
      </c>
      <c r="G2456" s="3">
        <v>46730</v>
      </c>
      <c r="H2456">
        <v>18</v>
      </c>
      <c r="I2456">
        <v>100</v>
      </c>
      <c r="J2456">
        <v>480</v>
      </c>
      <c r="K2456" s="4">
        <v>17280</v>
      </c>
      <c r="L2456" s="4">
        <v>3901.7142857142858</v>
      </c>
      <c r="M2456" s="4">
        <v>0.12302284710017575</v>
      </c>
      <c r="N2456" t="s">
        <v>25</v>
      </c>
      <c r="O2456" t="str">
        <f t="shared" si="380"/>
        <v>Low</v>
      </c>
      <c r="P2456" t="str">
        <f t="shared" si="381"/>
        <v>Low</v>
      </c>
      <c r="Q2456" t="str">
        <f t="shared" si="382"/>
        <v>Low</v>
      </c>
      <c r="R2456" t="s">
        <v>3317</v>
      </c>
      <c r="S2456" s="4">
        <f t="shared" ca="1" si="383"/>
        <v>533</v>
      </c>
      <c r="T2456">
        <f t="shared" si="384"/>
        <v>1</v>
      </c>
      <c r="U2456">
        <f t="shared" si="385"/>
        <v>1</v>
      </c>
      <c r="V2456">
        <f t="shared" si="386"/>
        <v>1</v>
      </c>
      <c r="W2456">
        <f t="shared" si="387"/>
        <v>1</v>
      </c>
      <c r="X2456">
        <f t="shared" si="388"/>
        <v>0.99999999999999989</v>
      </c>
      <c r="Y2456" t="str">
        <f t="shared" si="389"/>
        <v>Healthy</v>
      </c>
    </row>
    <row r="2457" spans="1:25" x14ac:dyDescent="0.35">
      <c r="A2457" t="s">
        <v>71</v>
      </c>
      <c r="B2457" t="s">
        <v>72</v>
      </c>
      <c r="C2457" t="s">
        <v>73</v>
      </c>
      <c r="D2457" t="s">
        <v>1824</v>
      </c>
      <c r="E2457">
        <v>80815781</v>
      </c>
      <c r="F2457" t="s">
        <v>1825</v>
      </c>
      <c r="G2457" s="3">
        <v>46860</v>
      </c>
      <c r="H2457">
        <v>36</v>
      </c>
      <c r="I2457">
        <v>62</v>
      </c>
      <c r="J2457">
        <v>5</v>
      </c>
      <c r="K2457" s="4">
        <v>10028</v>
      </c>
      <c r="L2457" s="4">
        <f>0</f>
        <v>0</v>
      </c>
      <c r="M2457" s="4">
        <f>999</f>
        <v>999</v>
      </c>
      <c r="N2457" t="s">
        <v>19</v>
      </c>
      <c r="O2457" t="str">
        <f t="shared" si="380"/>
        <v>Low</v>
      </c>
      <c r="P2457" t="str">
        <f t="shared" si="381"/>
        <v>High</v>
      </c>
      <c r="Q2457" t="str">
        <f t="shared" si="382"/>
        <v>High</v>
      </c>
      <c r="R2457" t="s">
        <v>3317</v>
      </c>
      <c r="S2457" s="4">
        <f t="shared" ca="1" si="383"/>
        <v>663</v>
      </c>
      <c r="T2457">
        <f t="shared" si="384"/>
        <v>1</v>
      </c>
      <c r="U2457">
        <f t="shared" si="385"/>
        <v>3</v>
      </c>
      <c r="V2457">
        <f t="shared" si="386"/>
        <v>3</v>
      </c>
      <c r="W2457">
        <f t="shared" si="387"/>
        <v>1</v>
      </c>
      <c r="X2457">
        <f t="shared" si="388"/>
        <v>2</v>
      </c>
      <c r="Y2457" t="str">
        <f t="shared" si="389"/>
        <v>Monitor</v>
      </c>
    </row>
    <row r="2458" spans="1:25" x14ac:dyDescent="0.35">
      <c r="A2458" t="s">
        <v>71</v>
      </c>
      <c r="B2458" t="s">
        <v>72</v>
      </c>
      <c r="C2458" t="s">
        <v>73</v>
      </c>
      <c r="D2458" t="s">
        <v>1824</v>
      </c>
      <c r="E2458">
        <v>80815781</v>
      </c>
      <c r="F2458" t="s">
        <v>1825</v>
      </c>
      <c r="G2458" s="3">
        <v>46836</v>
      </c>
      <c r="H2458">
        <v>36</v>
      </c>
      <c r="I2458">
        <v>60</v>
      </c>
      <c r="J2458">
        <v>2</v>
      </c>
      <c r="K2458" s="4">
        <v>4011.2</v>
      </c>
      <c r="L2458" s="4">
        <f>0</f>
        <v>0</v>
      </c>
      <c r="M2458" s="4">
        <f>999</f>
        <v>999</v>
      </c>
      <c r="N2458" t="s">
        <v>19</v>
      </c>
      <c r="O2458" t="str">
        <f t="shared" si="380"/>
        <v>Low</v>
      </c>
      <c r="P2458" t="str">
        <f t="shared" si="381"/>
        <v>High</v>
      </c>
      <c r="Q2458" t="str">
        <f t="shared" si="382"/>
        <v>High</v>
      </c>
      <c r="R2458" t="s">
        <v>3317</v>
      </c>
      <c r="S2458" s="4">
        <f t="shared" ca="1" si="383"/>
        <v>639</v>
      </c>
      <c r="T2458">
        <f t="shared" si="384"/>
        <v>1</v>
      </c>
      <c r="U2458">
        <f t="shared" si="385"/>
        <v>3</v>
      </c>
      <c r="V2458">
        <f t="shared" si="386"/>
        <v>3</v>
      </c>
      <c r="W2458">
        <f t="shared" si="387"/>
        <v>1</v>
      </c>
      <c r="X2458">
        <f t="shared" si="388"/>
        <v>2</v>
      </c>
      <c r="Y2458" t="str">
        <f t="shared" si="389"/>
        <v>Monitor</v>
      </c>
    </row>
    <row r="2459" spans="1:25" x14ac:dyDescent="0.35">
      <c r="A2459" t="s">
        <v>179</v>
      </c>
      <c r="B2459" t="s">
        <v>180</v>
      </c>
      <c r="C2459" t="s">
        <v>181</v>
      </c>
      <c r="D2459" t="s">
        <v>1826</v>
      </c>
      <c r="E2459">
        <v>83906748</v>
      </c>
      <c r="F2459" t="s">
        <v>1827</v>
      </c>
      <c r="G2459" s="3">
        <v>46578</v>
      </c>
      <c r="H2459">
        <v>16</v>
      </c>
      <c r="I2459">
        <v>80</v>
      </c>
      <c r="J2459">
        <v>48</v>
      </c>
      <c r="K2459" s="4">
        <v>8168.64</v>
      </c>
      <c r="L2459" s="4">
        <v>253.71428571428572</v>
      </c>
      <c r="M2459" s="4">
        <v>0.18918918918918917</v>
      </c>
      <c r="N2459" t="s">
        <v>25</v>
      </c>
      <c r="O2459" t="str">
        <f t="shared" si="380"/>
        <v>Low</v>
      </c>
      <c r="P2459" t="str">
        <f t="shared" si="381"/>
        <v>Low</v>
      </c>
      <c r="Q2459" t="str">
        <f t="shared" si="382"/>
        <v>Low</v>
      </c>
      <c r="R2459" t="s">
        <v>3317</v>
      </c>
      <c r="S2459" s="4">
        <f t="shared" ca="1" si="383"/>
        <v>381</v>
      </c>
      <c r="T2459">
        <f t="shared" si="384"/>
        <v>1</v>
      </c>
      <c r="U2459">
        <f t="shared" si="385"/>
        <v>1</v>
      </c>
      <c r="V2459">
        <f t="shared" si="386"/>
        <v>1</v>
      </c>
      <c r="W2459">
        <f t="shared" si="387"/>
        <v>1</v>
      </c>
      <c r="X2459">
        <f t="shared" si="388"/>
        <v>0.99999999999999989</v>
      </c>
      <c r="Y2459" t="str">
        <f t="shared" si="389"/>
        <v>Healthy</v>
      </c>
    </row>
    <row r="2460" spans="1:25" x14ac:dyDescent="0.35">
      <c r="A2460" t="s">
        <v>71</v>
      </c>
      <c r="B2460" t="s">
        <v>72</v>
      </c>
      <c r="C2460" t="s">
        <v>1228</v>
      </c>
      <c r="D2460" t="s">
        <v>1828</v>
      </c>
      <c r="E2460">
        <v>80818464</v>
      </c>
      <c r="F2460" t="s">
        <v>1829</v>
      </c>
      <c r="G2460" s="3">
        <v>46696</v>
      </c>
      <c r="H2460">
        <v>36</v>
      </c>
      <c r="I2460">
        <v>47</v>
      </c>
      <c r="J2460">
        <v>6</v>
      </c>
      <c r="K2460" s="4">
        <v>2692.74</v>
      </c>
      <c r="L2460" s="4">
        <f>0</f>
        <v>0</v>
      </c>
      <c r="M2460" s="4">
        <f>999</f>
        <v>999</v>
      </c>
      <c r="N2460" t="s">
        <v>19</v>
      </c>
      <c r="O2460" t="str">
        <f t="shared" si="380"/>
        <v>Low</v>
      </c>
      <c r="P2460" t="str">
        <f t="shared" si="381"/>
        <v>High</v>
      </c>
      <c r="Q2460" t="str">
        <f t="shared" si="382"/>
        <v>High</v>
      </c>
      <c r="R2460" t="s">
        <v>3317</v>
      </c>
      <c r="S2460" s="4">
        <f t="shared" ca="1" si="383"/>
        <v>499</v>
      </c>
      <c r="T2460">
        <f t="shared" si="384"/>
        <v>1</v>
      </c>
      <c r="U2460">
        <f t="shared" si="385"/>
        <v>3</v>
      </c>
      <c r="V2460">
        <f t="shared" si="386"/>
        <v>3</v>
      </c>
      <c r="W2460">
        <f t="shared" si="387"/>
        <v>1</v>
      </c>
      <c r="X2460">
        <f t="shared" si="388"/>
        <v>2</v>
      </c>
      <c r="Y2460" t="str">
        <f t="shared" si="389"/>
        <v>Monitor</v>
      </c>
    </row>
    <row r="2461" spans="1:25" x14ac:dyDescent="0.35">
      <c r="A2461" t="s">
        <v>179</v>
      </c>
      <c r="B2461" t="s">
        <v>180</v>
      </c>
      <c r="C2461" t="s">
        <v>181</v>
      </c>
      <c r="D2461" t="s">
        <v>1826</v>
      </c>
      <c r="E2461">
        <v>83906748</v>
      </c>
      <c r="F2461" t="s">
        <v>1827</v>
      </c>
      <c r="G2461" s="3">
        <v>46555</v>
      </c>
      <c r="H2461">
        <v>16</v>
      </c>
      <c r="I2461">
        <v>76</v>
      </c>
      <c r="J2461">
        <v>72</v>
      </c>
      <c r="K2461" s="4">
        <v>12252.96</v>
      </c>
      <c r="L2461" s="4">
        <v>253.71428571428572</v>
      </c>
      <c r="M2461" s="4">
        <v>0.28378378378378377</v>
      </c>
      <c r="N2461" t="s">
        <v>25</v>
      </c>
      <c r="O2461" t="str">
        <f t="shared" si="380"/>
        <v>Low</v>
      </c>
      <c r="P2461" t="str">
        <f t="shared" si="381"/>
        <v>Low</v>
      </c>
      <c r="Q2461" t="str">
        <f t="shared" si="382"/>
        <v>Low</v>
      </c>
      <c r="R2461" t="s">
        <v>3317</v>
      </c>
      <c r="S2461" s="4">
        <f t="shared" ca="1" si="383"/>
        <v>358</v>
      </c>
      <c r="T2461">
        <f t="shared" si="384"/>
        <v>1</v>
      </c>
      <c r="U2461">
        <f t="shared" si="385"/>
        <v>1</v>
      </c>
      <c r="V2461">
        <f t="shared" si="386"/>
        <v>1</v>
      </c>
      <c r="W2461">
        <f t="shared" si="387"/>
        <v>1</v>
      </c>
      <c r="X2461">
        <f t="shared" si="388"/>
        <v>0.99999999999999989</v>
      </c>
      <c r="Y2461" t="str">
        <f t="shared" si="389"/>
        <v>Healthy</v>
      </c>
    </row>
    <row r="2462" spans="1:25" x14ac:dyDescent="0.35">
      <c r="A2462" t="s">
        <v>41</v>
      </c>
      <c r="B2462" t="s">
        <v>54</v>
      </c>
      <c r="C2462" t="s">
        <v>293</v>
      </c>
      <c r="D2462" t="s">
        <v>1738</v>
      </c>
      <c r="E2462">
        <v>83920953</v>
      </c>
      <c r="F2462" t="s">
        <v>1830</v>
      </c>
      <c r="G2462" s="3">
        <v>46673</v>
      </c>
      <c r="H2462">
        <v>18</v>
      </c>
      <c r="I2462">
        <v>89</v>
      </c>
      <c r="J2462">
        <v>7500</v>
      </c>
      <c r="K2462" s="4">
        <v>217200</v>
      </c>
      <c r="L2462" s="4">
        <v>57864.285714285717</v>
      </c>
      <c r="M2462" s="4">
        <v>0.12961362794716702</v>
      </c>
      <c r="N2462" t="s">
        <v>25</v>
      </c>
      <c r="O2462" t="str">
        <f t="shared" si="380"/>
        <v>Low</v>
      </c>
      <c r="P2462" t="str">
        <f t="shared" si="381"/>
        <v>Low</v>
      </c>
      <c r="Q2462" t="str">
        <f t="shared" si="382"/>
        <v>Low</v>
      </c>
      <c r="R2462" t="s">
        <v>3309</v>
      </c>
      <c r="S2462" s="4">
        <f t="shared" ca="1" si="383"/>
        <v>476</v>
      </c>
      <c r="T2462">
        <f t="shared" si="384"/>
        <v>1</v>
      </c>
      <c r="U2462">
        <f t="shared" si="385"/>
        <v>1</v>
      </c>
      <c r="V2462">
        <f t="shared" si="386"/>
        <v>1</v>
      </c>
      <c r="W2462">
        <f t="shared" si="387"/>
        <v>3</v>
      </c>
      <c r="X2462">
        <f t="shared" si="388"/>
        <v>1.2</v>
      </c>
      <c r="Y2462" t="str">
        <f t="shared" si="389"/>
        <v>Healthy</v>
      </c>
    </row>
    <row r="2463" spans="1:25" x14ac:dyDescent="0.35">
      <c r="A2463" t="s">
        <v>41</v>
      </c>
      <c r="B2463" t="s">
        <v>54</v>
      </c>
      <c r="C2463" t="s">
        <v>293</v>
      </c>
      <c r="D2463" t="s">
        <v>1738</v>
      </c>
      <c r="E2463">
        <v>83920953</v>
      </c>
      <c r="F2463" t="s">
        <v>1830</v>
      </c>
      <c r="G2463" s="3">
        <v>46683</v>
      </c>
      <c r="H2463">
        <v>18</v>
      </c>
      <c r="I2463">
        <v>91</v>
      </c>
      <c r="J2463">
        <v>7440</v>
      </c>
      <c r="K2463" s="4">
        <v>215462.39999999999</v>
      </c>
      <c r="L2463" s="4">
        <v>57864.285714285717</v>
      </c>
      <c r="M2463" s="4">
        <v>0.12857671892358968</v>
      </c>
      <c r="N2463" t="s">
        <v>25</v>
      </c>
      <c r="O2463" t="str">
        <f t="shared" si="380"/>
        <v>Low</v>
      </c>
      <c r="P2463" t="str">
        <f t="shared" si="381"/>
        <v>Low</v>
      </c>
      <c r="Q2463" t="str">
        <f t="shared" si="382"/>
        <v>Low</v>
      </c>
      <c r="R2463" t="s">
        <v>3309</v>
      </c>
      <c r="S2463" s="4">
        <f t="shared" ca="1" si="383"/>
        <v>486</v>
      </c>
      <c r="T2463">
        <f t="shared" si="384"/>
        <v>1</v>
      </c>
      <c r="U2463">
        <f t="shared" si="385"/>
        <v>1</v>
      </c>
      <c r="V2463">
        <f t="shared" si="386"/>
        <v>1</v>
      </c>
      <c r="W2463">
        <f t="shared" si="387"/>
        <v>3</v>
      </c>
      <c r="X2463">
        <f t="shared" si="388"/>
        <v>1.2</v>
      </c>
      <c r="Y2463" t="str">
        <f t="shared" si="389"/>
        <v>Healthy</v>
      </c>
    </row>
    <row r="2464" spans="1:25" x14ac:dyDescent="0.35">
      <c r="A2464" t="s">
        <v>41</v>
      </c>
      <c r="B2464" t="s">
        <v>54</v>
      </c>
      <c r="C2464" t="s">
        <v>293</v>
      </c>
      <c r="D2464" t="s">
        <v>1738</v>
      </c>
      <c r="E2464">
        <v>83920953</v>
      </c>
      <c r="F2464" t="s">
        <v>1830</v>
      </c>
      <c r="G2464" s="3">
        <v>46680</v>
      </c>
      <c r="H2464">
        <v>18</v>
      </c>
      <c r="I2464">
        <v>90</v>
      </c>
      <c r="J2464">
        <v>720</v>
      </c>
      <c r="K2464" s="4">
        <v>20851.2</v>
      </c>
      <c r="L2464" s="4">
        <v>57864.285714285717</v>
      </c>
      <c r="M2464" s="4">
        <v>1.2442908282928032E-2</v>
      </c>
      <c r="N2464" t="s">
        <v>25</v>
      </c>
      <c r="O2464" t="str">
        <f t="shared" si="380"/>
        <v>Low</v>
      </c>
      <c r="P2464" t="str">
        <f t="shared" si="381"/>
        <v>Low</v>
      </c>
      <c r="Q2464" t="str">
        <f t="shared" si="382"/>
        <v>Low</v>
      </c>
      <c r="R2464" t="s">
        <v>3317</v>
      </c>
      <c r="S2464" s="4">
        <f t="shared" ca="1" si="383"/>
        <v>483</v>
      </c>
      <c r="T2464">
        <f t="shared" si="384"/>
        <v>1</v>
      </c>
      <c r="U2464">
        <f t="shared" si="385"/>
        <v>1</v>
      </c>
      <c r="V2464">
        <f t="shared" si="386"/>
        <v>1</v>
      </c>
      <c r="W2464">
        <f t="shared" si="387"/>
        <v>1</v>
      </c>
      <c r="X2464">
        <f t="shared" si="388"/>
        <v>0.99999999999999989</v>
      </c>
      <c r="Y2464" t="str">
        <f t="shared" si="389"/>
        <v>Healthy</v>
      </c>
    </row>
    <row r="2465" spans="1:25" x14ac:dyDescent="0.35">
      <c r="A2465" t="s">
        <v>41</v>
      </c>
      <c r="B2465" t="s">
        <v>54</v>
      </c>
      <c r="C2465" t="s">
        <v>293</v>
      </c>
      <c r="D2465" t="s">
        <v>1738</v>
      </c>
      <c r="E2465">
        <v>83920953</v>
      </c>
      <c r="F2465" t="s">
        <v>1830</v>
      </c>
      <c r="G2465" s="3">
        <v>46698</v>
      </c>
      <c r="H2465">
        <v>18</v>
      </c>
      <c r="I2465">
        <v>94</v>
      </c>
      <c r="J2465">
        <v>7620</v>
      </c>
      <c r="K2465" s="4">
        <v>220675.20000000001</v>
      </c>
      <c r="L2465" s="4">
        <v>57864.285714285717</v>
      </c>
      <c r="M2465" s="4">
        <v>0.13168744599432169</v>
      </c>
      <c r="N2465" t="s">
        <v>25</v>
      </c>
      <c r="O2465" t="str">
        <f t="shared" si="380"/>
        <v>Low</v>
      </c>
      <c r="P2465" t="str">
        <f t="shared" si="381"/>
        <v>Low</v>
      </c>
      <c r="Q2465" t="str">
        <f t="shared" si="382"/>
        <v>Low</v>
      </c>
      <c r="R2465" t="s">
        <v>3309</v>
      </c>
      <c r="S2465" s="4">
        <f t="shared" ca="1" si="383"/>
        <v>501</v>
      </c>
      <c r="T2465">
        <f t="shared" si="384"/>
        <v>1</v>
      </c>
      <c r="U2465">
        <f t="shared" si="385"/>
        <v>1</v>
      </c>
      <c r="V2465">
        <f t="shared" si="386"/>
        <v>1</v>
      </c>
      <c r="W2465">
        <f t="shared" si="387"/>
        <v>3</v>
      </c>
      <c r="X2465">
        <f t="shared" si="388"/>
        <v>1.2</v>
      </c>
      <c r="Y2465" t="str">
        <f t="shared" si="389"/>
        <v>Healthy</v>
      </c>
    </row>
    <row r="2466" spans="1:25" x14ac:dyDescent="0.35">
      <c r="A2466" t="s">
        <v>41</v>
      </c>
      <c r="B2466" t="s">
        <v>54</v>
      </c>
      <c r="C2466" t="s">
        <v>293</v>
      </c>
      <c r="D2466" t="s">
        <v>1738</v>
      </c>
      <c r="E2466">
        <v>83920953</v>
      </c>
      <c r="F2466" t="s">
        <v>1830</v>
      </c>
      <c r="G2466" s="3">
        <v>46666</v>
      </c>
      <c r="H2466">
        <v>18</v>
      </c>
      <c r="I2466">
        <v>88</v>
      </c>
      <c r="J2466">
        <v>4735</v>
      </c>
      <c r="K2466" s="4">
        <v>137125.6</v>
      </c>
      <c r="L2466" s="4">
        <v>57864.285714285717</v>
      </c>
      <c r="M2466" s="4">
        <v>8.1829403777311432E-2</v>
      </c>
      <c r="N2466" t="s">
        <v>25</v>
      </c>
      <c r="O2466" t="str">
        <f t="shared" si="380"/>
        <v>Low</v>
      </c>
      <c r="P2466" t="str">
        <f t="shared" si="381"/>
        <v>Low</v>
      </c>
      <c r="Q2466" t="str">
        <f t="shared" si="382"/>
        <v>Low</v>
      </c>
      <c r="R2466" t="s">
        <v>3309</v>
      </c>
      <c r="S2466" s="4">
        <f t="shared" ca="1" si="383"/>
        <v>469</v>
      </c>
      <c r="T2466">
        <f t="shared" si="384"/>
        <v>1</v>
      </c>
      <c r="U2466">
        <f t="shared" si="385"/>
        <v>1</v>
      </c>
      <c r="V2466">
        <f t="shared" si="386"/>
        <v>1</v>
      </c>
      <c r="W2466">
        <f t="shared" si="387"/>
        <v>3</v>
      </c>
      <c r="X2466">
        <f t="shared" si="388"/>
        <v>1.2</v>
      </c>
      <c r="Y2466" t="str">
        <f t="shared" si="389"/>
        <v>Healthy</v>
      </c>
    </row>
    <row r="2467" spans="1:25" x14ac:dyDescent="0.35">
      <c r="A2467" t="s">
        <v>41</v>
      </c>
      <c r="B2467" t="s">
        <v>54</v>
      </c>
      <c r="C2467" t="s">
        <v>293</v>
      </c>
      <c r="D2467" t="s">
        <v>1738</v>
      </c>
      <c r="E2467">
        <v>83920953</v>
      </c>
      <c r="F2467" t="s">
        <v>1830</v>
      </c>
      <c r="G2467" s="3">
        <v>46602</v>
      </c>
      <c r="H2467">
        <v>18</v>
      </c>
      <c r="I2467">
        <v>76</v>
      </c>
      <c r="J2467">
        <v>8820</v>
      </c>
      <c r="K2467" s="4">
        <v>255427.20000000001</v>
      </c>
      <c r="L2467" s="4">
        <v>57864.285714285717</v>
      </c>
      <c r="M2467" s="4">
        <v>0.15242562646586841</v>
      </c>
      <c r="N2467" t="s">
        <v>25</v>
      </c>
      <c r="O2467" t="str">
        <f t="shared" si="380"/>
        <v>Low</v>
      </c>
      <c r="P2467" t="str">
        <f t="shared" si="381"/>
        <v>Low</v>
      </c>
      <c r="Q2467" t="str">
        <f t="shared" si="382"/>
        <v>Low</v>
      </c>
      <c r="R2467" t="s">
        <v>3309</v>
      </c>
      <c r="S2467" s="4">
        <f t="shared" ca="1" si="383"/>
        <v>405</v>
      </c>
      <c r="T2467">
        <f t="shared" si="384"/>
        <v>1</v>
      </c>
      <c r="U2467">
        <f t="shared" si="385"/>
        <v>1</v>
      </c>
      <c r="V2467">
        <f t="shared" si="386"/>
        <v>1</v>
      </c>
      <c r="W2467">
        <f t="shared" si="387"/>
        <v>3</v>
      </c>
      <c r="X2467">
        <f t="shared" si="388"/>
        <v>1.2</v>
      </c>
      <c r="Y2467" t="str">
        <f t="shared" si="389"/>
        <v>Healthy</v>
      </c>
    </row>
    <row r="2468" spans="1:25" x14ac:dyDescent="0.35">
      <c r="A2468" t="s">
        <v>41</v>
      </c>
      <c r="B2468" t="s">
        <v>54</v>
      </c>
      <c r="C2468" t="s">
        <v>293</v>
      </c>
      <c r="D2468" t="s">
        <v>1738</v>
      </c>
      <c r="E2468">
        <v>83920953</v>
      </c>
      <c r="F2468" t="s">
        <v>1830</v>
      </c>
      <c r="G2468" s="3">
        <v>46703</v>
      </c>
      <c r="H2468">
        <v>18</v>
      </c>
      <c r="I2468">
        <v>95</v>
      </c>
      <c r="J2468">
        <v>7380</v>
      </c>
      <c r="K2468" s="4">
        <v>213724.79999999999</v>
      </c>
      <c r="L2468" s="4">
        <v>57864.285714285717</v>
      </c>
      <c r="M2468" s="4">
        <v>0.12753980990001235</v>
      </c>
      <c r="N2468" t="s">
        <v>25</v>
      </c>
      <c r="O2468" t="str">
        <f t="shared" si="380"/>
        <v>Low</v>
      </c>
      <c r="P2468" t="str">
        <f t="shared" si="381"/>
        <v>Low</v>
      </c>
      <c r="Q2468" t="str">
        <f t="shared" si="382"/>
        <v>Low</v>
      </c>
      <c r="R2468" t="s">
        <v>3309</v>
      </c>
      <c r="S2468" s="4">
        <f t="shared" ca="1" si="383"/>
        <v>506</v>
      </c>
      <c r="T2468">
        <f t="shared" si="384"/>
        <v>1</v>
      </c>
      <c r="U2468">
        <f t="shared" si="385"/>
        <v>1</v>
      </c>
      <c r="V2468">
        <f t="shared" si="386"/>
        <v>1</v>
      </c>
      <c r="W2468">
        <f t="shared" si="387"/>
        <v>3</v>
      </c>
      <c r="X2468">
        <f t="shared" si="388"/>
        <v>1.2</v>
      </c>
      <c r="Y2468" t="str">
        <f t="shared" si="389"/>
        <v>Healthy</v>
      </c>
    </row>
    <row r="2469" spans="1:25" x14ac:dyDescent="0.35">
      <c r="A2469" t="s">
        <v>41</v>
      </c>
      <c r="B2469" t="s">
        <v>54</v>
      </c>
      <c r="C2469" t="s">
        <v>293</v>
      </c>
      <c r="D2469" t="s">
        <v>1738</v>
      </c>
      <c r="E2469">
        <v>83920953</v>
      </c>
      <c r="F2469" t="s">
        <v>1830</v>
      </c>
      <c r="G2469" s="3">
        <v>46698</v>
      </c>
      <c r="H2469">
        <v>18</v>
      </c>
      <c r="I2469">
        <v>94</v>
      </c>
      <c r="J2469">
        <v>7587</v>
      </c>
      <c r="K2469" s="4">
        <v>219719.52</v>
      </c>
      <c r="L2469" s="4">
        <v>57864.285714285717</v>
      </c>
      <c r="M2469" s="4">
        <v>0.13111714603135416</v>
      </c>
      <c r="N2469" t="s">
        <v>25</v>
      </c>
      <c r="O2469" t="str">
        <f t="shared" si="380"/>
        <v>Low</v>
      </c>
      <c r="P2469" t="str">
        <f t="shared" si="381"/>
        <v>Low</v>
      </c>
      <c r="Q2469" t="str">
        <f t="shared" si="382"/>
        <v>Low</v>
      </c>
      <c r="R2469" t="s">
        <v>3309</v>
      </c>
      <c r="S2469" s="4">
        <f t="shared" ca="1" si="383"/>
        <v>501</v>
      </c>
      <c r="T2469">
        <f t="shared" si="384"/>
        <v>1</v>
      </c>
      <c r="U2469">
        <f t="shared" si="385"/>
        <v>1</v>
      </c>
      <c r="V2469">
        <f t="shared" si="386"/>
        <v>1</v>
      </c>
      <c r="W2469">
        <f t="shared" si="387"/>
        <v>3</v>
      </c>
      <c r="X2469">
        <f t="shared" si="388"/>
        <v>1.2</v>
      </c>
      <c r="Y2469" t="str">
        <f t="shared" si="389"/>
        <v>Healthy</v>
      </c>
    </row>
    <row r="2470" spans="1:25" x14ac:dyDescent="0.35">
      <c r="A2470" t="s">
        <v>29</v>
      </c>
      <c r="B2470" t="s">
        <v>30</v>
      </c>
      <c r="C2470" t="s">
        <v>147</v>
      </c>
      <c r="D2470" t="s">
        <v>148</v>
      </c>
      <c r="E2470">
        <v>80767025</v>
      </c>
      <c r="F2470" t="s">
        <v>1831</v>
      </c>
      <c r="G2470" s="3">
        <v>46934</v>
      </c>
      <c r="H2470">
        <v>36</v>
      </c>
      <c r="I2470">
        <v>69</v>
      </c>
      <c r="J2470">
        <v>1</v>
      </c>
      <c r="K2470" s="4">
        <v>1439.15</v>
      </c>
      <c r="L2470" s="4">
        <v>69.142857142857139</v>
      </c>
      <c r="M2470" s="4">
        <v>1.4462809917355372E-2</v>
      </c>
      <c r="N2470" t="s">
        <v>25</v>
      </c>
      <c r="O2470" t="str">
        <f t="shared" si="380"/>
        <v>Low</v>
      </c>
      <c r="P2470" t="str">
        <f t="shared" si="381"/>
        <v>Low</v>
      </c>
      <c r="Q2470" t="str">
        <f t="shared" si="382"/>
        <v>Low</v>
      </c>
      <c r="R2470" t="s">
        <v>3317</v>
      </c>
      <c r="S2470" s="4">
        <f t="shared" ca="1" si="383"/>
        <v>737</v>
      </c>
      <c r="T2470">
        <f t="shared" si="384"/>
        <v>1</v>
      </c>
      <c r="U2470">
        <f t="shared" si="385"/>
        <v>1</v>
      </c>
      <c r="V2470">
        <f t="shared" si="386"/>
        <v>1</v>
      </c>
      <c r="W2470">
        <f t="shared" si="387"/>
        <v>1</v>
      </c>
      <c r="X2470">
        <f t="shared" si="388"/>
        <v>0.99999999999999989</v>
      </c>
      <c r="Y2470" t="str">
        <f t="shared" si="389"/>
        <v>Healthy</v>
      </c>
    </row>
    <row r="2471" spans="1:25" x14ac:dyDescent="0.35">
      <c r="A2471" t="s">
        <v>41</v>
      </c>
      <c r="B2471" t="s">
        <v>54</v>
      </c>
      <c r="C2471" t="s">
        <v>293</v>
      </c>
      <c r="D2471" t="s">
        <v>1738</v>
      </c>
      <c r="E2471">
        <v>83920953</v>
      </c>
      <c r="F2471" t="s">
        <v>1830</v>
      </c>
      <c r="G2471" s="3">
        <v>46702</v>
      </c>
      <c r="H2471">
        <v>18</v>
      </c>
      <c r="I2471">
        <v>94</v>
      </c>
      <c r="J2471">
        <v>7980</v>
      </c>
      <c r="K2471" s="4">
        <v>231100.79999999999</v>
      </c>
      <c r="L2471" s="4">
        <v>57864.285714285717</v>
      </c>
      <c r="M2471" s="4">
        <v>0.13790890013578569</v>
      </c>
      <c r="N2471" t="s">
        <v>25</v>
      </c>
      <c r="O2471" t="str">
        <f t="shared" si="380"/>
        <v>Low</v>
      </c>
      <c r="P2471" t="str">
        <f t="shared" si="381"/>
        <v>Low</v>
      </c>
      <c r="Q2471" t="str">
        <f t="shared" si="382"/>
        <v>Low</v>
      </c>
      <c r="R2471" t="s">
        <v>3309</v>
      </c>
      <c r="S2471" s="4">
        <f t="shared" ca="1" si="383"/>
        <v>505</v>
      </c>
      <c r="T2471">
        <f t="shared" si="384"/>
        <v>1</v>
      </c>
      <c r="U2471">
        <f t="shared" si="385"/>
        <v>1</v>
      </c>
      <c r="V2471">
        <f t="shared" si="386"/>
        <v>1</v>
      </c>
      <c r="W2471">
        <f t="shared" si="387"/>
        <v>3</v>
      </c>
      <c r="X2471">
        <f t="shared" si="388"/>
        <v>1.2</v>
      </c>
      <c r="Y2471" t="str">
        <f t="shared" si="389"/>
        <v>Healthy</v>
      </c>
    </row>
    <row r="2472" spans="1:25" x14ac:dyDescent="0.35">
      <c r="A2472" t="s">
        <v>179</v>
      </c>
      <c r="B2472" t="s">
        <v>223</v>
      </c>
      <c r="C2472" t="s">
        <v>1300</v>
      </c>
      <c r="D2472" t="s">
        <v>1832</v>
      </c>
      <c r="E2472">
        <v>80820516</v>
      </c>
      <c r="F2472" t="s">
        <v>1833</v>
      </c>
      <c r="G2472" s="3">
        <v>46492</v>
      </c>
      <c r="H2472">
        <v>18</v>
      </c>
      <c r="I2472">
        <v>56</v>
      </c>
      <c r="J2472">
        <v>18</v>
      </c>
      <c r="K2472" s="4">
        <v>19397.52</v>
      </c>
      <c r="L2472" s="4">
        <v>0.2857142857142857</v>
      </c>
      <c r="M2472" s="4">
        <v>63</v>
      </c>
      <c r="N2472" t="s">
        <v>19</v>
      </c>
      <c r="O2472" t="str">
        <f t="shared" si="380"/>
        <v>Low</v>
      </c>
      <c r="P2472" t="str">
        <f t="shared" si="381"/>
        <v>High</v>
      </c>
      <c r="Q2472" t="str">
        <f t="shared" si="382"/>
        <v>High</v>
      </c>
      <c r="R2472" t="s">
        <v>3317</v>
      </c>
      <c r="S2472" s="4">
        <f t="shared" ca="1" si="383"/>
        <v>295</v>
      </c>
      <c r="T2472">
        <f t="shared" si="384"/>
        <v>1</v>
      </c>
      <c r="U2472">
        <f t="shared" si="385"/>
        <v>3</v>
      </c>
      <c r="V2472">
        <f t="shared" si="386"/>
        <v>3</v>
      </c>
      <c r="W2472">
        <f t="shared" si="387"/>
        <v>1</v>
      </c>
      <c r="X2472">
        <f t="shared" si="388"/>
        <v>2</v>
      </c>
      <c r="Y2472" t="str">
        <f t="shared" si="389"/>
        <v>Monitor</v>
      </c>
    </row>
    <row r="2473" spans="1:25" x14ac:dyDescent="0.35">
      <c r="A2473" t="s">
        <v>41</v>
      </c>
      <c r="B2473" t="s">
        <v>54</v>
      </c>
      <c r="C2473" t="s">
        <v>293</v>
      </c>
      <c r="D2473" t="s">
        <v>1738</v>
      </c>
      <c r="E2473">
        <v>83920953</v>
      </c>
      <c r="F2473" t="s">
        <v>1830</v>
      </c>
      <c r="G2473" s="3">
        <v>46709</v>
      </c>
      <c r="H2473">
        <v>18</v>
      </c>
      <c r="I2473">
        <v>96</v>
      </c>
      <c r="J2473">
        <v>7380</v>
      </c>
      <c r="K2473" s="4">
        <v>213724.79999999999</v>
      </c>
      <c r="L2473" s="4">
        <v>57864.285714285717</v>
      </c>
      <c r="M2473" s="4">
        <v>0.12753980990001235</v>
      </c>
      <c r="N2473" t="s">
        <v>25</v>
      </c>
      <c r="O2473" t="str">
        <f t="shared" si="380"/>
        <v>Low</v>
      </c>
      <c r="P2473" t="str">
        <f t="shared" si="381"/>
        <v>Low</v>
      </c>
      <c r="Q2473" t="str">
        <f t="shared" si="382"/>
        <v>Low</v>
      </c>
      <c r="R2473" t="s">
        <v>3309</v>
      </c>
      <c r="S2473" s="4">
        <f t="shared" ca="1" si="383"/>
        <v>512</v>
      </c>
      <c r="T2473">
        <f t="shared" si="384"/>
        <v>1</v>
      </c>
      <c r="U2473">
        <f t="shared" si="385"/>
        <v>1</v>
      </c>
      <c r="V2473">
        <f t="shared" si="386"/>
        <v>1</v>
      </c>
      <c r="W2473">
        <f t="shared" si="387"/>
        <v>3</v>
      </c>
      <c r="X2473">
        <f t="shared" si="388"/>
        <v>1.2</v>
      </c>
      <c r="Y2473" t="str">
        <f t="shared" si="389"/>
        <v>Healthy</v>
      </c>
    </row>
    <row r="2474" spans="1:25" x14ac:dyDescent="0.35">
      <c r="A2474" t="s">
        <v>41</v>
      </c>
      <c r="B2474" t="s">
        <v>54</v>
      </c>
      <c r="C2474" t="s">
        <v>293</v>
      </c>
      <c r="D2474" t="s">
        <v>1738</v>
      </c>
      <c r="E2474">
        <v>83920953</v>
      </c>
      <c r="F2474" t="s">
        <v>1830</v>
      </c>
      <c r="G2474" s="3">
        <v>46677</v>
      </c>
      <c r="H2474">
        <v>18</v>
      </c>
      <c r="I2474">
        <v>90</v>
      </c>
      <c r="J2474">
        <v>7320</v>
      </c>
      <c r="K2474" s="4">
        <v>211987.20000000001</v>
      </c>
      <c r="L2474" s="4">
        <v>57864.285714285717</v>
      </c>
      <c r="M2474" s="4">
        <v>0.12650290087643501</v>
      </c>
      <c r="N2474" t="s">
        <v>25</v>
      </c>
      <c r="O2474" t="str">
        <f t="shared" si="380"/>
        <v>Low</v>
      </c>
      <c r="P2474" t="str">
        <f t="shared" si="381"/>
        <v>Low</v>
      </c>
      <c r="Q2474" t="str">
        <f t="shared" si="382"/>
        <v>Low</v>
      </c>
      <c r="R2474" t="s">
        <v>3309</v>
      </c>
      <c r="S2474" s="4">
        <f t="shared" ca="1" si="383"/>
        <v>480</v>
      </c>
      <c r="T2474">
        <f t="shared" si="384"/>
        <v>1</v>
      </c>
      <c r="U2474">
        <f t="shared" si="385"/>
        <v>1</v>
      </c>
      <c r="V2474">
        <f t="shared" si="386"/>
        <v>1</v>
      </c>
      <c r="W2474">
        <f t="shared" si="387"/>
        <v>3</v>
      </c>
      <c r="X2474">
        <f t="shared" si="388"/>
        <v>1.2</v>
      </c>
      <c r="Y2474" t="str">
        <f t="shared" si="389"/>
        <v>Healthy</v>
      </c>
    </row>
    <row r="2475" spans="1:25" x14ac:dyDescent="0.35">
      <c r="A2475" t="s">
        <v>41</v>
      </c>
      <c r="B2475" t="s">
        <v>54</v>
      </c>
      <c r="C2475" t="s">
        <v>293</v>
      </c>
      <c r="D2475" t="s">
        <v>1738</v>
      </c>
      <c r="E2475">
        <v>83920953</v>
      </c>
      <c r="F2475" t="s">
        <v>1830</v>
      </c>
      <c r="G2475" s="3">
        <v>46673</v>
      </c>
      <c r="H2475">
        <v>18</v>
      </c>
      <c r="I2475">
        <v>89</v>
      </c>
      <c r="J2475">
        <v>3770</v>
      </c>
      <c r="K2475" s="4">
        <v>109179.2</v>
      </c>
      <c r="L2475" s="4">
        <v>57864.285714285717</v>
      </c>
      <c r="M2475" s="4">
        <v>6.5152450314775956E-2</v>
      </c>
      <c r="N2475" t="s">
        <v>25</v>
      </c>
      <c r="O2475" t="str">
        <f t="shared" si="380"/>
        <v>Low</v>
      </c>
      <c r="P2475" t="str">
        <f t="shared" si="381"/>
        <v>Low</v>
      </c>
      <c r="Q2475" t="str">
        <f t="shared" si="382"/>
        <v>Low</v>
      </c>
      <c r="R2475" t="s">
        <v>3310</v>
      </c>
      <c r="S2475" s="4">
        <f t="shared" ca="1" si="383"/>
        <v>476</v>
      </c>
      <c r="T2475">
        <f t="shared" si="384"/>
        <v>1</v>
      </c>
      <c r="U2475">
        <f t="shared" si="385"/>
        <v>1</v>
      </c>
      <c r="V2475">
        <f t="shared" si="386"/>
        <v>1</v>
      </c>
      <c r="W2475">
        <f t="shared" si="387"/>
        <v>2</v>
      </c>
      <c r="X2475">
        <f t="shared" si="388"/>
        <v>1.0999999999999999</v>
      </c>
      <c r="Y2475" t="str">
        <f t="shared" si="389"/>
        <v>Healthy</v>
      </c>
    </row>
    <row r="2476" spans="1:25" x14ac:dyDescent="0.35">
      <c r="A2476" t="s">
        <v>41</v>
      </c>
      <c r="B2476" t="s">
        <v>54</v>
      </c>
      <c r="C2476" t="s">
        <v>293</v>
      </c>
      <c r="D2476" t="s">
        <v>1738</v>
      </c>
      <c r="E2476">
        <v>83920953</v>
      </c>
      <c r="F2476" t="s">
        <v>1830</v>
      </c>
      <c r="G2476" s="3">
        <v>46711</v>
      </c>
      <c r="H2476">
        <v>18</v>
      </c>
      <c r="I2476">
        <v>96</v>
      </c>
      <c r="J2476">
        <v>4200</v>
      </c>
      <c r="K2476" s="4">
        <v>121632</v>
      </c>
      <c r="L2476" s="4">
        <v>57864.285714285717</v>
      </c>
      <c r="M2476" s="4">
        <v>7.2583631650413524E-2</v>
      </c>
      <c r="N2476" t="s">
        <v>25</v>
      </c>
      <c r="O2476" t="str">
        <f t="shared" si="380"/>
        <v>Low</v>
      </c>
      <c r="P2476" t="str">
        <f t="shared" si="381"/>
        <v>Low</v>
      </c>
      <c r="Q2476" t="str">
        <f t="shared" si="382"/>
        <v>Low</v>
      </c>
      <c r="R2476" t="s">
        <v>3310</v>
      </c>
      <c r="S2476" s="4">
        <f t="shared" ca="1" si="383"/>
        <v>514</v>
      </c>
      <c r="T2476">
        <f t="shared" si="384"/>
        <v>1</v>
      </c>
      <c r="U2476">
        <f t="shared" si="385"/>
        <v>1</v>
      </c>
      <c r="V2476">
        <f t="shared" si="386"/>
        <v>1</v>
      </c>
      <c r="W2476">
        <f t="shared" si="387"/>
        <v>2</v>
      </c>
      <c r="X2476">
        <f t="shared" si="388"/>
        <v>1.0999999999999999</v>
      </c>
      <c r="Y2476" t="str">
        <f t="shared" si="389"/>
        <v>Healthy</v>
      </c>
    </row>
    <row r="2477" spans="1:25" x14ac:dyDescent="0.35">
      <c r="A2477" t="s">
        <v>41</v>
      </c>
      <c r="B2477" t="s">
        <v>54</v>
      </c>
      <c r="C2477" t="s">
        <v>293</v>
      </c>
      <c r="D2477" t="s">
        <v>1738</v>
      </c>
      <c r="E2477">
        <v>83920953</v>
      </c>
      <c r="F2477" t="s">
        <v>1830</v>
      </c>
      <c r="G2477" s="3">
        <v>46675</v>
      </c>
      <c r="H2477">
        <v>18</v>
      </c>
      <c r="I2477">
        <v>89</v>
      </c>
      <c r="J2477">
        <v>7680</v>
      </c>
      <c r="K2477" s="4">
        <v>222412.79999999999</v>
      </c>
      <c r="L2477" s="4">
        <v>57864.285714285717</v>
      </c>
      <c r="M2477" s="4">
        <v>0.132724355017899</v>
      </c>
      <c r="N2477" t="s">
        <v>25</v>
      </c>
      <c r="O2477" t="str">
        <f t="shared" si="380"/>
        <v>Low</v>
      </c>
      <c r="P2477" t="str">
        <f t="shared" si="381"/>
        <v>Low</v>
      </c>
      <c r="Q2477" t="str">
        <f t="shared" si="382"/>
        <v>Low</v>
      </c>
      <c r="R2477" t="s">
        <v>3309</v>
      </c>
      <c r="S2477" s="4">
        <f t="shared" ca="1" si="383"/>
        <v>478</v>
      </c>
      <c r="T2477">
        <f t="shared" si="384"/>
        <v>1</v>
      </c>
      <c r="U2477">
        <f t="shared" si="385"/>
        <v>1</v>
      </c>
      <c r="V2477">
        <f t="shared" si="386"/>
        <v>1</v>
      </c>
      <c r="W2477">
        <f t="shared" si="387"/>
        <v>3</v>
      </c>
      <c r="X2477">
        <f t="shared" si="388"/>
        <v>1.2</v>
      </c>
      <c r="Y2477" t="str">
        <f t="shared" si="389"/>
        <v>Healthy</v>
      </c>
    </row>
    <row r="2478" spans="1:25" x14ac:dyDescent="0.35">
      <c r="A2478" t="s">
        <v>210</v>
      </c>
      <c r="B2478" t="s">
        <v>439</v>
      </c>
      <c r="C2478" t="s">
        <v>440</v>
      </c>
      <c r="D2478" t="s">
        <v>1834</v>
      </c>
      <c r="E2478">
        <v>80817959</v>
      </c>
      <c r="F2478" t="s">
        <v>1835</v>
      </c>
      <c r="G2478" s="3">
        <v>47482</v>
      </c>
      <c r="H2478">
        <v>60</v>
      </c>
      <c r="I2478">
        <v>72</v>
      </c>
      <c r="J2478">
        <v>576</v>
      </c>
      <c r="K2478" s="4">
        <v>37440</v>
      </c>
      <c r="L2478" s="4">
        <f>0</f>
        <v>0</v>
      </c>
      <c r="M2478" s="4">
        <f>999</f>
        <v>999</v>
      </c>
      <c r="N2478" t="s">
        <v>19</v>
      </c>
      <c r="O2478" t="str">
        <f t="shared" si="380"/>
        <v>Low</v>
      </c>
      <c r="P2478" t="str">
        <f t="shared" si="381"/>
        <v>High</v>
      </c>
      <c r="Q2478" t="str">
        <f t="shared" si="382"/>
        <v>High</v>
      </c>
      <c r="R2478" t="s">
        <v>3317</v>
      </c>
      <c r="S2478" s="4">
        <f t="shared" ca="1" si="383"/>
        <v>1285</v>
      </c>
      <c r="T2478">
        <f t="shared" si="384"/>
        <v>1</v>
      </c>
      <c r="U2478">
        <f t="shared" si="385"/>
        <v>3</v>
      </c>
      <c r="V2478">
        <f t="shared" si="386"/>
        <v>3</v>
      </c>
      <c r="W2478">
        <f t="shared" si="387"/>
        <v>1</v>
      </c>
      <c r="X2478">
        <f t="shared" si="388"/>
        <v>2</v>
      </c>
      <c r="Y2478" t="str">
        <f t="shared" si="389"/>
        <v>Monitor</v>
      </c>
    </row>
    <row r="2479" spans="1:25" x14ac:dyDescent="0.35">
      <c r="A2479" t="s">
        <v>41</v>
      </c>
      <c r="B2479" t="s">
        <v>54</v>
      </c>
      <c r="C2479" t="s">
        <v>293</v>
      </c>
      <c r="D2479" t="s">
        <v>1738</v>
      </c>
      <c r="E2479">
        <v>83920953</v>
      </c>
      <c r="F2479" t="s">
        <v>1830</v>
      </c>
      <c r="G2479" s="3">
        <v>46702</v>
      </c>
      <c r="H2479">
        <v>18</v>
      </c>
      <c r="I2479">
        <v>94</v>
      </c>
      <c r="J2479">
        <v>7656</v>
      </c>
      <c r="K2479" s="4">
        <v>221717.76000000001</v>
      </c>
      <c r="L2479" s="4">
        <v>57864.285714285717</v>
      </c>
      <c r="M2479" s="4">
        <v>0.1323095914084681</v>
      </c>
      <c r="N2479" t="s">
        <v>25</v>
      </c>
      <c r="O2479" t="str">
        <f t="shared" si="380"/>
        <v>Low</v>
      </c>
      <c r="P2479" t="str">
        <f t="shared" si="381"/>
        <v>Low</v>
      </c>
      <c r="Q2479" t="str">
        <f t="shared" si="382"/>
        <v>Low</v>
      </c>
      <c r="R2479" t="s">
        <v>3309</v>
      </c>
      <c r="S2479" s="4">
        <f t="shared" ca="1" si="383"/>
        <v>505</v>
      </c>
      <c r="T2479">
        <f t="shared" si="384"/>
        <v>1</v>
      </c>
      <c r="U2479">
        <f t="shared" si="385"/>
        <v>1</v>
      </c>
      <c r="V2479">
        <f t="shared" si="386"/>
        <v>1</v>
      </c>
      <c r="W2479">
        <f t="shared" si="387"/>
        <v>3</v>
      </c>
      <c r="X2479">
        <f t="shared" si="388"/>
        <v>1.2</v>
      </c>
      <c r="Y2479" t="str">
        <f t="shared" si="389"/>
        <v>Healthy</v>
      </c>
    </row>
    <row r="2480" spans="1:25" x14ac:dyDescent="0.35">
      <c r="A2480" t="s">
        <v>210</v>
      </c>
      <c r="B2480" t="s">
        <v>439</v>
      </c>
      <c r="C2480" t="s">
        <v>440</v>
      </c>
      <c r="D2480" t="s">
        <v>1834</v>
      </c>
      <c r="E2480">
        <v>80817959</v>
      </c>
      <c r="F2480" t="s">
        <v>1835</v>
      </c>
      <c r="G2480" s="3">
        <v>47453</v>
      </c>
      <c r="H2480">
        <v>60</v>
      </c>
      <c r="I2480">
        <v>70</v>
      </c>
      <c r="J2480">
        <v>1920</v>
      </c>
      <c r="K2480" s="4">
        <v>124800</v>
      </c>
      <c r="L2480" s="4">
        <f>0</f>
        <v>0</v>
      </c>
      <c r="M2480" s="4">
        <f>999</f>
        <v>999</v>
      </c>
      <c r="N2480" t="s">
        <v>19</v>
      </c>
      <c r="O2480" t="str">
        <f t="shared" si="380"/>
        <v>Low</v>
      </c>
      <c r="P2480" t="str">
        <f t="shared" si="381"/>
        <v>High</v>
      </c>
      <c r="Q2480" t="str">
        <f t="shared" si="382"/>
        <v>High</v>
      </c>
      <c r="R2480" t="s">
        <v>3310</v>
      </c>
      <c r="S2480" s="4">
        <f t="shared" ca="1" si="383"/>
        <v>1256</v>
      </c>
      <c r="T2480">
        <f t="shared" si="384"/>
        <v>1</v>
      </c>
      <c r="U2480">
        <f t="shared" si="385"/>
        <v>3</v>
      </c>
      <c r="V2480">
        <f t="shared" si="386"/>
        <v>3</v>
      </c>
      <c r="W2480">
        <f t="shared" si="387"/>
        <v>2</v>
      </c>
      <c r="X2480">
        <f t="shared" si="388"/>
        <v>2.1</v>
      </c>
      <c r="Y2480" t="str">
        <f t="shared" si="389"/>
        <v>Monitor</v>
      </c>
    </row>
    <row r="2481" spans="1:25" x14ac:dyDescent="0.35">
      <c r="A2481" t="s">
        <v>41</v>
      </c>
      <c r="B2481" t="s">
        <v>54</v>
      </c>
      <c r="C2481" t="s">
        <v>293</v>
      </c>
      <c r="D2481" t="s">
        <v>1730</v>
      </c>
      <c r="E2481">
        <v>83920957</v>
      </c>
      <c r="F2481" t="s">
        <v>1836</v>
      </c>
      <c r="G2481" s="3">
        <v>46669</v>
      </c>
      <c r="H2481">
        <v>18</v>
      </c>
      <c r="I2481">
        <v>88</v>
      </c>
      <c r="J2481">
        <v>540</v>
      </c>
      <c r="K2481" s="4">
        <v>15638.4</v>
      </c>
      <c r="L2481" s="4">
        <v>2160</v>
      </c>
      <c r="M2481" s="4">
        <v>0.25</v>
      </c>
      <c r="N2481" t="s">
        <v>25</v>
      </c>
      <c r="O2481" t="str">
        <f t="shared" si="380"/>
        <v>Low</v>
      </c>
      <c r="P2481" t="str">
        <f t="shared" si="381"/>
        <v>Low</v>
      </c>
      <c r="Q2481" t="str">
        <f t="shared" si="382"/>
        <v>Low</v>
      </c>
      <c r="R2481" t="s">
        <v>3317</v>
      </c>
      <c r="S2481" s="4">
        <f t="shared" ca="1" si="383"/>
        <v>472</v>
      </c>
      <c r="T2481">
        <f t="shared" si="384"/>
        <v>1</v>
      </c>
      <c r="U2481">
        <f t="shared" si="385"/>
        <v>1</v>
      </c>
      <c r="V2481">
        <f t="shared" si="386"/>
        <v>1</v>
      </c>
      <c r="W2481">
        <f t="shared" si="387"/>
        <v>1</v>
      </c>
      <c r="X2481">
        <f t="shared" si="388"/>
        <v>0.99999999999999989</v>
      </c>
      <c r="Y2481" t="str">
        <f t="shared" si="389"/>
        <v>Healthy</v>
      </c>
    </row>
    <row r="2482" spans="1:25" x14ac:dyDescent="0.35">
      <c r="A2482" t="s">
        <v>210</v>
      </c>
      <c r="B2482" t="s">
        <v>439</v>
      </c>
      <c r="C2482" t="s">
        <v>440</v>
      </c>
      <c r="D2482" t="s">
        <v>1834</v>
      </c>
      <c r="E2482">
        <v>80817959</v>
      </c>
      <c r="F2482" t="s">
        <v>1835</v>
      </c>
      <c r="G2482" s="3">
        <v>47457</v>
      </c>
      <c r="H2482">
        <v>60</v>
      </c>
      <c r="I2482">
        <v>70</v>
      </c>
      <c r="J2482">
        <v>3840</v>
      </c>
      <c r="K2482" s="4">
        <v>249600</v>
      </c>
      <c r="L2482" s="4">
        <f>0</f>
        <v>0</v>
      </c>
      <c r="M2482" s="4">
        <f>999</f>
        <v>999</v>
      </c>
      <c r="N2482" t="s">
        <v>19</v>
      </c>
      <c r="O2482" t="str">
        <f t="shared" si="380"/>
        <v>Low</v>
      </c>
      <c r="P2482" t="str">
        <f t="shared" si="381"/>
        <v>High</v>
      </c>
      <c r="Q2482" t="str">
        <f t="shared" si="382"/>
        <v>High</v>
      </c>
      <c r="R2482" t="s">
        <v>3309</v>
      </c>
      <c r="S2482" s="4">
        <f t="shared" ca="1" si="383"/>
        <v>1260</v>
      </c>
      <c r="T2482">
        <f t="shared" si="384"/>
        <v>1</v>
      </c>
      <c r="U2482">
        <f t="shared" si="385"/>
        <v>3</v>
      </c>
      <c r="V2482">
        <f t="shared" si="386"/>
        <v>3</v>
      </c>
      <c r="W2482">
        <f t="shared" si="387"/>
        <v>3</v>
      </c>
      <c r="X2482">
        <f t="shared" si="388"/>
        <v>2.2000000000000002</v>
      </c>
      <c r="Y2482" t="str">
        <f t="shared" si="389"/>
        <v>High Priority</v>
      </c>
    </row>
    <row r="2483" spans="1:25" x14ac:dyDescent="0.35">
      <c r="A2483" t="s">
        <v>41</v>
      </c>
      <c r="B2483" t="s">
        <v>54</v>
      </c>
      <c r="C2483" t="s">
        <v>293</v>
      </c>
      <c r="D2483" t="s">
        <v>1730</v>
      </c>
      <c r="E2483">
        <v>83920957</v>
      </c>
      <c r="F2483" t="s">
        <v>1836</v>
      </c>
      <c r="G2483" s="3">
        <v>46655</v>
      </c>
      <c r="H2483">
        <v>18</v>
      </c>
      <c r="I2483">
        <v>86</v>
      </c>
      <c r="J2483">
        <v>420</v>
      </c>
      <c r="K2483" s="4">
        <v>12163.2</v>
      </c>
      <c r="L2483" s="4">
        <v>2160</v>
      </c>
      <c r="M2483" s="4">
        <v>0.19444444444444445</v>
      </c>
      <c r="N2483" t="s">
        <v>25</v>
      </c>
      <c r="O2483" t="str">
        <f t="shared" si="380"/>
        <v>Low</v>
      </c>
      <c r="P2483" t="str">
        <f t="shared" si="381"/>
        <v>Low</v>
      </c>
      <c r="Q2483" t="str">
        <f t="shared" si="382"/>
        <v>Low</v>
      </c>
      <c r="R2483" t="s">
        <v>3317</v>
      </c>
      <c r="S2483" s="4">
        <f t="shared" ca="1" si="383"/>
        <v>458</v>
      </c>
      <c r="T2483">
        <f t="shared" si="384"/>
        <v>1</v>
      </c>
      <c r="U2483">
        <f t="shared" si="385"/>
        <v>1</v>
      </c>
      <c r="V2483">
        <f t="shared" si="386"/>
        <v>1</v>
      </c>
      <c r="W2483">
        <f t="shared" si="387"/>
        <v>1</v>
      </c>
      <c r="X2483">
        <f t="shared" si="388"/>
        <v>0.99999999999999989</v>
      </c>
      <c r="Y2483" t="str">
        <f t="shared" si="389"/>
        <v>Healthy</v>
      </c>
    </row>
    <row r="2484" spans="1:25" x14ac:dyDescent="0.35">
      <c r="A2484" t="s">
        <v>210</v>
      </c>
      <c r="B2484" t="s">
        <v>439</v>
      </c>
      <c r="C2484" t="s">
        <v>440</v>
      </c>
      <c r="D2484" t="s">
        <v>1834</v>
      </c>
      <c r="E2484">
        <v>80817959</v>
      </c>
      <c r="F2484" t="s">
        <v>1835</v>
      </c>
      <c r="G2484" s="3">
        <v>47477</v>
      </c>
      <c r="H2484">
        <v>60</v>
      </c>
      <c r="I2484">
        <v>71</v>
      </c>
      <c r="J2484">
        <v>4608</v>
      </c>
      <c r="K2484" s="4">
        <v>299520</v>
      </c>
      <c r="L2484" s="4">
        <f>0</f>
        <v>0</v>
      </c>
      <c r="M2484" s="4">
        <f>999</f>
        <v>999</v>
      </c>
      <c r="N2484" t="s">
        <v>19</v>
      </c>
      <c r="O2484" t="str">
        <f t="shared" si="380"/>
        <v>Low</v>
      </c>
      <c r="P2484" t="str">
        <f t="shared" si="381"/>
        <v>High</v>
      </c>
      <c r="Q2484" t="str">
        <f t="shared" si="382"/>
        <v>High</v>
      </c>
      <c r="R2484" t="s">
        <v>3309</v>
      </c>
      <c r="S2484" s="4">
        <f t="shared" ca="1" si="383"/>
        <v>1280</v>
      </c>
      <c r="T2484">
        <f t="shared" si="384"/>
        <v>1</v>
      </c>
      <c r="U2484">
        <f t="shared" si="385"/>
        <v>3</v>
      </c>
      <c r="V2484">
        <f t="shared" si="386"/>
        <v>3</v>
      </c>
      <c r="W2484">
        <f t="shared" si="387"/>
        <v>3</v>
      </c>
      <c r="X2484">
        <f t="shared" si="388"/>
        <v>2.2000000000000002</v>
      </c>
      <c r="Y2484" t="str">
        <f t="shared" si="389"/>
        <v>High Priority</v>
      </c>
    </row>
    <row r="2485" spans="1:25" x14ac:dyDescent="0.35">
      <c r="A2485" t="s">
        <v>41</v>
      </c>
      <c r="B2485" t="s">
        <v>54</v>
      </c>
      <c r="C2485" t="s">
        <v>293</v>
      </c>
      <c r="D2485" t="s">
        <v>1730</v>
      </c>
      <c r="E2485">
        <v>83920957</v>
      </c>
      <c r="F2485" t="s">
        <v>1836</v>
      </c>
      <c r="G2485" s="3">
        <v>46702</v>
      </c>
      <c r="H2485">
        <v>18</v>
      </c>
      <c r="I2485">
        <v>94</v>
      </c>
      <c r="J2485">
        <v>3480</v>
      </c>
      <c r="K2485" s="4">
        <v>100780.8</v>
      </c>
      <c r="L2485" s="4">
        <v>2160</v>
      </c>
      <c r="M2485" s="4">
        <v>1.6111111111111112</v>
      </c>
      <c r="N2485" t="s">
        <v>25</v>
      </c>
      <c r="O2485" t="str">
        <f t="shared" si="380"/>
        <v>Low</v>
      </c>
      <c r="P2485" t="str">
        <f t="shared" si="381"/>
        <v>Low</v>
      </c>
      <c r="Q2485" t="str">
        <f t="shared" si="382"/>
        <v>Low</v>
      </c>
      <c r="R2485" t="s">
        <v>3310</v>
      </c>
      <c r="S2485" s="4">
        <f t="shared" ca="1" si="383"/>
        <v>505</v>
      </c>
      <c r="T2485">
        <f t="shared" si="384"/>
        <v>1</v>
      </c>
      <c r="U2485">
        <f t="shared" si="385"/>
        <v>1</v>
      </c>
      <c r="V2485">
        <f t="shared" si="386"/>
        <v>1</v>
      </c>
      <c r="W2485">
        <f t="shared" si="387"/>
        <v>2</v>
      </c>
      <c r="X2485">
        <f t="shared" si="388"/>
        <v>1.0999999999999999</v>
      </c>
      <c r="Y2485" t="str">
        <f t="shared" si="389"/>
        <v>Healthy</v>
      </c>
    </row>
    <row r="2486" spans="1:25" x14ac:dyDescent="0.35">
      <c r="A2486" t="s">
        <v>41</v>
      </c>
      <c r="B2486" t="s">
        <v>54</v>
      </c>
      <c r="C2486" t="s">
        <v>293</v>
      </c>
      <c r="D2486" t="s">
        <v>1730</v>
      </c>
      <c r="E2486">
        <v>83920957</v>
      </c>
      <c r="F2486" t="s">
        <v>1836</v>
      </c>
      <c r="G2486" s="3">
        <v>46681</v>
      </c>
      <c r="H2486">
        <v>18</v>
      </c>
      <c r="I2486">
        <v>91</v>
      </c>
      <c r="J2486">
        <v>480</v>
      </c>
      <c r="K2486" s="4">
        <v>13900.8</v>
      </c>
      <c r="L2486" s="4">
        <v>2160</v>
      </c>
      <c r="M2486" s="4">
        <v>0.22222222222222221</v>
      </c>
      <c r="N2486" t="s">
        <v>25</v>
      </c>
      <c r="O2486" t="str">
        <f t="shared" si="380"/>
        <v>Low</v>
      </c>
      <c r="P2486" t="str">
        <f t="shared" si="381"/>
        <v>Low</v>
      </c>
      <c r="Q2486" t="str">
        <f t="shared" si="382"/>
        <v>Low</v>
      </c>
      <c r="R2486" t="s">
        <v>3317</v>
      </c>
      <c r="S2486" s="4">
        <f t="shared" ca="1" si="383"/>
        <v>484</v>
      </c>
      <c r="T2486">
        <f t="shared" si="384"/>
        <v>1</v>
      </c>
      <c r="U2486">
        <f t="shared" si="385"/>
        <v>1</v>
      </c>
      <c r="V2486">
        <f t="shared" si="386"/>
        <v>1</v>
      </c>
      <c r="W2486">
        <f t="shared" si="387"/>
        <v>1</v>
      </c>
      <c r="X2486">
        <f t="shared" si="388"/>
        <v>0.99999999999999989</v>
      </c>
      <c r="Y2486" t="str">
        <f t="shared" si="389"/>
        <v>Healthy</v>
      </c>
    </row>
    <row r="2487" spans="1:25" x14ac:dyDescent="0.35">
      <c r="A2487" t="s">
        <v>41</v>
      </c>
      <c r="B2487" t="s">
        <v>54</v>
      </c>
      <c r="C2487" t="s">
        <v>293</v>
      </c>
      <c r="D2487" t="s">
        <v>1730</v>
      </c>
      <c r="E2487">
        <v>83920957</v>
      </c>
      <c r="F2487" t="s">
        <v>1836</v>
      </c>
      <c r="G2487" s="3">
        <v>46694</v>
      </c>
      <c r="H2487">
        <v>18</v>
      </c>
      <c r="I2487">
        <v>93</v>
      </c>
      <c r="J2487">
        <v>179</v>
      </c>
      <c r="K2487" s="4">
        <v>5183.84</v>
      </c>
      <c r="L2487" s="4">
        <v>2160</v>
      </c>
      <c r="M2487" s="4">
        <v>8.2870370370370372E-2</v>
      </c>
      <c r="N2487" t="s">
        <v>25</v>
      </c>
      <c r="O2487" t="str">
        <f t="shared" si="380"/>
        <v>Low</v>
      </c>
      <c r="P2487" t="str">
        <f t="shared" si="381"/>
        <v>Low</v>
      </c>
      <c r="Q2487" t="str">
        <f t="shared" si="382"/>
        <v>Low</v>
      </c>
      <c r="R2487" t="s">
        <v>3317</v>
      </c>
      <c r="S2487" s="4">
        <f t="shared" ca="1" si="383"/>
        <v>497</v>
      </c>
      <c r="T2487">
        <f t="shared" si="384"/>
        <v>1</v>
      </c>
      <c r="U2487">
        <f t="shared" si="385"/>
        <v>1</v>
      </c>
      <c r="V2487">
        <f t="shared" si="386"/>
        <v>1</v>
      </c>
      <c r="W2487">
        <f t="shared" si="387"/>
        <v>1</v>
      </c>
      <c r="X2487">
        <f t="shared" si="388"/>
        <v>0.99999999999999989</v>
      </c>
      <c r="Y2487" t="str">
        <f t="shared" si="389"/>
        <v>Healthy</v>
      </c>
    </row>
    <row r="2488" spans="1:25" x14ac:dyDescent="0.35">
      <c r="A2488" t="s">
        <v>41</v>
      </c>
      <c r="B2488" t="s">
        <v>54</v>
      </c>
      <c r="C2488" t="s">
        <v>293</v>
      </c>
      <c r="D2488" t="s">
        <v>1730</v>
      </c>
      <c r="E2488">
        <v>83920957</v>
      </c>
      <c r="F2488" t="s">
        <v>1836</v>
      </c>
      <c r="G2488" s="3">
        <v>46678</v>
      </c>
      <c r="H2488">
        <v>18</v>
      </c>
      <c r="I2488">
        <v>90</v>
      </c>
      <c r="J2488">
        <v>600</v>
      </c>
      <c r="K2488" s="4">
        <v>17376</v>
      </c>
      <c r="L2488" s="4">
        <v>2160</v>
      </c>
      <c r="M2488" s="4">
        <v>0.27777777777777779</v>
      </c>
      <c r="N2488" t="s">
        <v>25</v>
      </c>
      <c r="O2488" t="str">
        <f t="shared" si="380"/>
        <v>Low</v>
      </c>
      <c r="P2488" t="str">
        <f t="shared" si="381"/>
        <v>Low</v>
      </c>
      <c r="Q2488" t="str">
        <f t="shared" si="382"/>
        <v>Low</v>
      </c>
      <c r="R2488" t="s">
        <v>3317</v>
      </c>
      <c r="S2488" s="4">
        <f t="shared" ca="1" si="383"/>
        <v>481</v>
      </c>
      <c r="T2488">
        <f t="shared" si="384"/>
        <v>1</v>
      </c>
      <c r="U2488">
        <f t="shared" si="385"/>
        <v>1</v>
      </c>
      <c r="V2488">
        <f t="shared" si="386"/>
        <v>1</v>
      </c>
      <c r="W2488">
        <f t="shared" si="387"/>
        <v>1</v>
      </c>
      <c r="X2488">
        <f t="shared" si="388"/>
        <v>0.99999999999999989</v>
      </c>
      <c r="Y2488" t="str">
        <f t="shared" si="389"/>
        <v>Healthy</v>
      </c>
    </row>
    <row r="2489" spans="1:25" x14ac:dyDescent="0.35">
      <c r="A2489" t="s">
        <v>41</v>
      </c>
      <c r="B2489" t="s">
        <v>54</v>
      </c>
      <c r="C2489" t="s">
        <v>293</v>
      </c>
      <c r="D2489" t="s">
        <v>1837</v>
      </c>
      <c r="E2489">
        <v>83920958</v>
      </c>
      <c r="F2489" t="s">
        <v>1838</v>
      </c>
      <c r="G2489" s="3">
        <v>46701</v>
      </c>
      <c r="H2489">
        <v>18</v>
      </c>
      <c r="I2489">
        <v>94</v>
      </c>
      <c r="J2489">
        <v>4376</v>
      </c>
      <c r="K2489" s="4">
        <v>126728.96000000001</v>
      </c>
      <c r="L2489" s="4">
        <v>100737.42857142857</v>
      </c>
      <c r="M2489" s="4">
        <v>4.3439663509945235E-2</v>
      </c>
      <c r="N2489" t="s">
        <v>25</v>
      </c>
      <c r="O2489" t="str">
        <f t="shared" si="380"/>
        <v>Low</v>
      </c>
      <c r="P2489" t="str">
        <f t="shared" si="381"/>
        <v>Low</v>
      </c>
      <c r="Q2489" t="str">
        <f t="shared" si="382"/>
        <v>Low</v>
      </c>
      <c r="R2489" t="s">
        <v>3310</v>
      </c>
      <c r="S2489" s="4">
        <f t="shared" ca="1" si="383"/>
        <v>504</v>
      </c>
      <c r="T2489">
        <f t="shared" si="384"/>
        <v>1</v>
      </c>
      <c r="U2489">
        <f t="shared" si="385"/>
        <v>1</v>
      </c>
      <c r="V2489">
        <f t="shared" si="386"/>
        <v>1</v>
      </c>
      <c r="W2489">
        <f t="shared" si="387"/>
        <v>2</v>
      </c>
      <c r="X2489">
        <f t="shared" si="388"/>
        <v>1.0999999999999999</v>
      </c>
      <c r="Y2489" t="str">
        <f t="shared" si="389"/>
        <v>Healthy</v>
      </c>
    </row>
    <row r="2490" spans="1:25" x14ac:dyDescent="0.35">
      <c r="A2490" t="s">
        <v>41</v>
      </c>
      <c r="B2490" t="s">
        <v>54</v>
      </c>
      <c r="C2490" t="s">
        <v>293</v>
      </c>
      <c r="D2490" t="s">
        <v>1837</v>
      </c>
      <c r="E2490">
        <v>83920958</v>
      </c>
      <c r="F2490" t="s">
        <v>1838</v>
      </c>
      <c r="G2490" s="3">
        <v>46704</v>
      </c>
      <c r="H2490">
        <v>18</v>
      </c>
      <c r="I2490">
        <v>95</v>
      </c>
      <c r="J2490">
        <v>17481</v>
      </c>
      <c r="K2490" s="4">
        <v>506249.76</v>
      </c>
      <c r="L2490" s="4">
        <v>100737.42857142857</v>
      </c>
      <c r="M2490" s="4">
        <v>0.17353033770963269</v>
      </c>
      <c r="N2490" t="s">
        <v>25</v>
      </c>
      <c r="O2490" t="str">
        <f t="shared" si="380"/>
        <v>Low</v>
      </c>
      <c r="P2490" t="str">
        <f t="shared" si="381"/>
        <v>Low</v>
      </c>
      <c r="Q2490" t="str">
        <f t="shared" si="382"/>
        <v>Low</v>
      </c>
      <c r="R2490" t="s">
        <v>3309</v>
      </c>
      <c r="S2490" s="4">
        <f t="shared" ca="1" si="383"/>
        <v>507</v>
      </c>
      <c r="T2490">
        <f t="shared" si="384"/>
        <v>1</v>
      </c>
      <c r="U2490">
        <f t="shared" si="385"/>
        <v>1</v>
      </c>
      <c r="V2490">
        <f t="shared" si="386"/>
        <v>1</v>
      </c>
      <c r="W2490">
        <f t="shared" si="387"/>
        <v>3</v>
      </c>
      <c r="X2490">
        <f t="shared" si="388"/>
        <v>1.2</v>
      </c>
      <c r="Y2490" t="str">
        <f t="shared" si="389"/>
        <v>Healthy</v>
      </c>
    </row>
    <row r="2491" spans="1:25" x14ac:dyDescent="0.35">
      <c r="A2491" t="s">
        <v>41</v>
      </c>
      <c r="B2491" t="s">
        <v>54</v>
      </c>
      <c r="C2491" t="s">
        <v>293</v>
      </c>
      <c r="D2491" t="s">
        <v>1837</v>
      </c>
      <c r="E2491">
        <v>83920958</v>
      </c>
      <c r="F2491" t="s">
        <v>1838</v>
      </c>
      <c r="G2491" s="3">
        <v>46699</v>
      </c>
      <c r="H2491">
        <v>18</v>
      </c>
      <c r="I2491">
        <v>94</v>
      </c>
      <c r="J2491">
        <v>16140</v>
      </c>
      <c r="K2491" s="4">
        <v>467414.4</v>
      </c>
      <c r="L2491" s="4">
        <v>100737.42857142857</v>
      </c>
      <c r="M2491" s="4">
        <v>0.16021850298229345</v>
      </c>
      <c r="N2491" t="s">
        <v>25</v>
      </c>
      <c r="O2491" t="str">
        <f t="shared" si="380"/>
        <v>Low</v>
      </c>
      <c r="P2491" t="str">
        <f t="shared" si="381"/>
        <v>Low</v>
      </c>
      <c r="Q2491" t="str">
        <f t="shared" si="382"/>
        <v>Low</v>
      </c>
      <c r="R2491" t="s">
        <v>3309</v>
      </c>
      <c r="S2491" s="4">
        <f t="shared" ca="1" si="383"/>
        <v>502</v>
      </c>
      <c r="T2491">
        <f t="shared" si="384"/>
        <v>1</v>
      </c>
      <c r="U2491">
        <f t="shared" si="385"/>
        <v>1</v>
      </c>
      <c r="V2491">
        <f t="shared" si="386"/>
        <v>1</v>
      </c>
      <c r="W2491">
        <f t="shared" si="387"/>
        <v>3</v>
      </c>
      <c r="X2491">
        <f t="shared" si="388"/>
        <v>1.2</v>
      </c>
      <c r="Y2491" t="str">
        <f t="shared" si="389"/>
        <v>Healthy</v>
      </c>
    </row>
    <row r="2492" spans="1:25" x14ac:dyDescent="0.35">
      <c r="A2492" t="s">
        <v>41</v>
      </c>
      <c r="B2492" t="s">
        <v>54</v>
      </c>
      <c r="C2492" t="s">
        <v>293</v>
      </c>
      <c r="D2492" t="s">
        <v>1837</v>
      </c>
      <c r="E2492">
        <v>83920958</v>
      </c>
      <c r="F2492" t="s">
        <v>1838</v>
      </c>
      <c r="G2492" s="3">
        <v>46708</v>
      </c>
      <c r="H2492">
        <v>18</v>
      </c>
      <c r="I2492">
        <v>96</v>
      </c>
      <c r="J2492">
        <v>3840</v>
      </c>
      <c r="K2492" s="4">
        <v>111206.39999999999</v>
      </c>
      <c r="L2492" s="4">
        <v>100737.42857142857</v>
      </c>
      <c r="M2492" s="4">
        <v>3.811890033779472E-2</v>
      </c>
      <c r="N2492" t="s">
        <v>25</v>
      </c>
      <c r="O2492" t="str">
        <f t="shared" si="380"/>
        <v>Low</v>
      </c>
      <c r="P2492" t="str">
        <f t="shared" si="381"/>
        <v>Low</v>
      </c>
      <c r="Q2492" t="str">
        <f t="shared" si="382"/>
        <v>Low</v>
      </c>
      <c r="R2492" t="s">
        <v>3310</v>
      </c>
      <c r="S2492" s="4">
        <f t="shared" ca="1" si="383"/>
        <v>511</v>
      </c>
      <c r="T2492">
        <f t="shared" si="384"/>
        <v>1</v>
      </c>
      <c r="U2492">
        <f t="shared" si="385"/>
        <v>1</v>
      </c>
      <c r="V2492">
        <f t="shared" si="386"/>
        <v>1</v>
      </c>
      <c r="W2492">
        <f t="shared" si="387"/>
        <v>2</v>
      </c>
      <c r="X2492">
        <f t="shared" si="388"/>
        <v>1.0999999999999999</v>
      </c>
      <c r="Y2492" t="str">
        <f t="shared" si="389"/>
        <v>Healthy</v>
      </c>
    </row>
    <row r="2493" spans="1:25" x14ac:dyDescent="0.35">
      <c r="A2493" t="s">
        <v>41</v>
      </c>
      <c r="B2493" t="s">
        <v>54</v>
      </c>
      <c r="C2493" t="s">
        <v>293</v>
      </c>
      <c r="D2493" t="s">
        <v>1837</v>
      </c>
      <c r="E2493">
        <v>83920958</v>
      </c>
      <c r="F2493" t="s">
        <v>1838</v>
      </c>
      <c r="G2493" s="3">
        <v>46703</v>
      </c>
      <c r="H2493">
        <v>18</v>
      </c>
      <c r="I2493">
        <v>95</v>
      </c>
      <c r="J2493">
        <v>5940</v>
      </c>
      <c r="K2493" s="4">
        <v>172022.39999999999</v>
      </c>
      <c r="L2493" s="4">
        <v>100737.42857142857</v>
      </c>
      <c r="M2493" s="4">
        <v>5.8965173960026207E-2</v>
      </c>
      <c r="N2493" t="s">
        <v>25</v>
      </c>
      <c r="O2493" t="str">
        <f t="shared" si="380"/>
        <v>Low</v>
      </c>
      <c r="P2493" t="str">
        <f t="shared" si="381"/>
        <v>Low</v>
      </c>
      <c r="Q2493" t="str">
        <f t="shared" si="382"/>
        <v>Low</v>
      </c>
      <c r="R2493" t="s">
        <v>3309</v>
      </c>
      <c r="S2493" s="4">
        <f t="shared" ca="1" si="383"/>
        <v>506</v>
      </c>
      <c r="T2493">
        <f t="shared" si="384"/>
        <v>1</v>
      </c>
      <c r="U2493">
        <f t="shared" si="385"/>
        <v>1</v>
      </c>
      <c r="V2493">
        <f t="shared" si="386"/>
        <v>1</v>
      </c>
      <c r="W2493">
        <f t="shared" si="387"/>
        <v>3</v>
      </c>
      <c r="X2493">
        <f t="shared" si="388"/>
        <v>1.2</v>
      </c>
      <c r="Y2493" t="str">
        <f t="shared" si="389"/>
        <v>Healthy</v>
      </c>
    </row>
    <row r="2494" spans="1:25" x14ac:dyDescent="0.35">
      <c r="A2494" t="s">
        <v>14</v>
      </c>
      <c r="B2494" t="s">
        <v>15</v>
      </c>
      <c r="C2494" t="s">
        <v>16</v>
      </c>
      <c r="D2494" t="s">
        <v>1839</v>
      </c>
      <c r="E2494">
        <v>80875511</v>
      </c>
      <c r="F2494" t="s">
        <v>1840</v>
      </c>
      <c r="G2494" s="3">
        <v>47946</v>
      </c>
      <c r="H2494">
        <v>60</v>
      </c>
      <c r="I2494">
        <v>97</v>
      </c>
      <c r="J2494">
        <v>1</v>
      </c>
      <c r="K2494" s="4">
        <v>727.69</v>
      </c>
      <c r="L2494" s="4">
        <v>70</v>
      </c>
      <c r="M2494" s="4">
        <v>1.4285714285714285E-2</v>
      </c>
      <c r="N2494" t="s">
        <v>25</v>
      </c>
      <c r="O2494" t="str">
        <f t="shared" si="380"/>
        <v>Low</v>
      </c>
      <c r="P2494" t="str">
        <f t="shared" si="381"/>
        <v>Low</v>
      </c>
      <c r="Q2494" t="str">
        <f t="shared" si="382"/>
        <v>Low</v>
      </c>
      <c r="R2494" t="s">
        <v>3317</v>
      </c>
      <c r="S2494" s="4">
        <f t="shared" ca="1" si="383"/>
        <v>1749</v>
      </c>
      <c r="T2494">
        <f t="shared" si="384"/>
        <v>1</v>
      </c>
      <c r="U2494">
        <f t="shared" si="385"/>
        <v>1</v>
      </c>
      <c r="V2494">
        <f t="shared" si="386"/>
        <v>1</v>
      </c>
      <c r="W2494">
        <f t="shared" si="387"/>
        <v>1</v>
      </c>
      <c r="X2494">
        <f t="shared" si="388"/>
        <v>0.99999999999999989</v>
      </c>
      <c r="Y2494" t="str">
        <f t="shared" si="389"/>
        <v>Healthy</v>
      </c>
    </row>
    <row r="2495" spans="1:25" x14ac:dyDescent="0.35">
      <c r="A2495" t="s">
        <v>179</v>
      </c>
      <c r="B2495" t="s">
        <v>223</v>
      </c>
      <c r="C2495" t="s">
        <v>357</v>
      </c>
      <c r="D2495" t="s">
        <v>472</v>
      </c>
      <c r="E2495">
        <v>80838218</v>
      </c>
      <c r="F2495" t="s">
        <v>1841</v>
      </c>
      <c r="G2495" s="3">
        <v>46369</v>
      </c>
      <c r="H2495">
        <v>18</v>
      </c>
      <c r="I2495">
        <v>33</v>
      </c>
      <c r="J2495">
        <v>5</v>
      </c>
      <c r="K2495" s="4">
        <v>3888.75</v>
      </c>
      <c r="L2495" s="4">
        <v>31.571428571428573</v>
      </c>
      <c r="M2495" s="4">
        <v>0.15837104072398189</v>
      </c>
      <c r="N2495" t="s">
        <v>25</v>
      </c>
      <c r="O2495" t="str">
        <f t="shared" si="380"/>
        <v>Medium</v>
      </c>
      <c r="P2495" t="str">
        <f t="shared" si="381"/>
        <v>Low</v>
      </c>
      <c r="Q2495" t="str">
        <f t="shared" si="382"/>
        <v>Low</v>
      </c>
      <c r="R2495" t="s">
        <v>3317</v>
      </c>
      <c r="S2495" s="4">
        <f t="shared" ca="1" si="383"/>
        <v>172</v>
      </c>
      <c r="T2495">
        <f t="shared" si="384"/>
        <v>2</v>
      </c>
      <c r="U2495">
        <f t="shared" si="385"/>
        <v>1</v>
      </c>
      <c r="V2495">
        <f t="shared" si="386"/>
        <v>1</v>
      </c>
      <c r="W2495">
        <f t="shared" si="387"/>
        <v>1</v>
      </c>
      <c r="X2495">
        <f t="shared" si="388"/>
        <v>1.4000000000000001</v>
      </c>
      <c r="Y2495" t="str">
        <f t="shared" si="389"/>
        <v>Healthy</v>
      </c>
    </row>
    <row r="2496" spans="1:25" x14ac:dyDescent="0.35">
      <c r="A2496" t="s">
        <v>14</v>
      </c>
      <c r="B2496" t="s">
        <v>15</v>
      </c>
      <c r="C2496" t="s">
        <v>16</v>
      </c>
      <c r="D2496" t="s">
        <v>1839</v>
      </c>
      <c r="E2496">
        <v>80875511</v>
      </c>
      <c r="F2496" t="s">
        <v>1840</v>
      </c>
      <c r="G2496" s="3">
        <v>47913</v>
      </c>
      <c r="H2496">
        <v>60</v>
      </c>
      <c r="I2496">
        <v>96</v>
      </c>
      <c r="J2496">
        <v>5</v>
      </c>
      <c r="K2496" s="4">
        <v>3638.45</v>
      </c>
      <c r="L2496" s="4">
        <v>70</v>
      </c>
      <c r="M2496" s="4">
        <v>7.1428571428571425E-2</v>
      </c>
      <c r="N2496" t="s">
        <v>25</v>
      </c>
      <c r="O2496" t="str">
        <f t="shared" si="380"/>
        <v>Low</v>
      </c>
      <c r="P2496" t="str">
        <f t="shared" si="381"/>
        <v>Low</v>
      </c>
      <c r="Q2496" t="str">
        <f t="shared" si="382"/>
        <v>Low</v>
      </c>
      <c r="R2496" t="s">
        <v>3317</v>
      </c>
      <c r="S2496" s="4">
        <f t="shared" ca="1" si="383"/>
        <v>1716</v>
      </c>
      <c r="T2496">
        <f t="shared" si="384"/>
        <v>1</v>
      </c>
      <c r="U2496">
        <f t="shared" si="385"/>
        <v>1</v>
      </c>
      <c r="V2496">
        <f t="shared" si="386"/>
        <v>1</v>
      </c>
      <c r="W2496">
        <f t="shared" si="387"/>
        <v>1</v>
      </c>
      <c r="X2496">
        <f t="shared" si="388"/>
        <v>0.99999999999999989</v>
      </c>
      <c r="Y2496" t="str">
        <f t="shared" si="389"/>
        <v>Healthy</v>
      </c>
    </row>
    <row r="2497" spans="1:25" x14ac:dyDescent="0.35">
      <c r="A2497" t="s">
        <v>179</v>
      </c>
      <c r="B2497" t="s">
        <v>223</v>
      </c>
      <c r="C2497" t="s">
        <v>357</v>
      </c>
      <c r="D2497" t="s">
        <v>472</v>
      </c>
      <c r="E2497">
        <v>80838218</v>
      </c>
      <c r="F2497" t="s">
        <v>1841</v>
      </c>
      <c r="G2497" s="3">
        <v>46338</v>
      </c>
      <c r="H2497">
        <v>18</v>
      </c>
      <c r="I2497">
        <v>27</v>
      </c>
      <c r="J2497">
        <v>12</v>
      </c>
      <c r="K2497" s="4">
        <v>9333</v>
      </c>
      <c r="L2497" s="4">
        <v>31.571428571428573</v>
      </c>
      <c r="M2497" s="4">
        <v>0.38009049773755654</v>
      </c>
      <c r="N2497" t="s">
        <v>25</v>
      </c>
      <c r="O2497" t="str">
        <f t="shared" si="380"/>
        <v>Medium</v>
      </c>
      <c r="P2497" t="str">
        <f t="shared" si="381"/>
        <v>Low</v>
      </c>
      <c r="Q2497" t="str">
        <f t="shared" si="382"/>
        <v>Low</v>
      </c>
      <c r="R2497" t="s">
        <v>3317</v>
      </c>
      <c r="S2497" s="4">
        <f t="shared" ca="1" si="383"/>
        <v>141</v>
      </c>
      <c r="T2497">
        <f t="shared" si="384"/>
        <v>2</v>
      </c>
      <c r="U2497">
        <f t="shared" si="385"/>
        <v>1</v>
      </c>
      <c r="V2497">
        <f t="shared" si="386"/>
        <v>1</v>
      </c>
      <c r="W2497">
        <f t="shared" si="387"/>
        <v>1</v>
      </c>
      <c r="X2497">
        <f t="shared" si="388"/>
        <v>1.4000000000000001</v>
      </c>
      <c r="Y2497" t="str">
        <f t="shared" si="389"/>
        <v>Healthy</v>
      </c>
    </row>
    <row r="2498" spans="1:25" x14ac:dyDescent="0.35">
      <c r="A2498" t="s">
        <v>14</v>
      </c>
      <c r="B2498" t="s">
        <v>15</v>
      </c>
      <c r="C2498" t="s">
        <v>16</v>
      </c>
      <c r="D2498" t="s">
        <v>1839</v>
      </c>
      <c r="E2498">
        <v>80875511</v>
      </c>
      <c r="F2498" t="s">
        <v>1840</v>
      </c>
      <c r="G2498" s="3">
        <v>47944</v>
      </c>
      <c r="H2498">
        <v>60</v>
      </c>
      <c r="I2498">
        <v>97</v>
      </c>
      <c r="J2498">
        <v>9</v>
      </c>
      <c r="K2498" s="4">
        <v>6549.21</v>
      </c>
      <c r="L2498" s="4">
        <v>70</v>
      </c>
      <c r="M2498" s="4">
        <v>0.12857142857142856</v>
      </c>
      <c r="N2498" t="s">
        <v>25</v>
      </c>
      <c r="O2498" t="str">
        <f t="shared" si="380"/>
        <v>Low</v>
      </c>
      <c r="P2498" t="str">
        <f t="shared" si="381"/>
        <v>Low</v>
      </c>
      <c r="Q2498" t="str">
        <f t="shared" si="382"/>
        <v>Low</v>
      </c>
      <c r="R2498" t="s">
        <v>3317</v>
      </c>
      <c r="S2498" s="4">
        <f t="shared" ca="1" si="383"/>
        <v>1747</v>
      </c>
      <c r="T2498">
        <f t="shared" si="384"/>
        <v>1</v>
      </c>
      <c r="U2498">
        <f t="shared" si="385"/>
        <v>1</v>
      </c>
      <c r="V2498">
        <f t="shared" si="386"/>
        <v>1</v>
      </c>
      <c r="W2498">
        <f t="shared" si="387"/>
        <v>1</v>
      </c>
      <c r="X2498">
        <f t="shared" si="388"/>
        <v>0.99999999999999989</v>
      </c>
      <c r="Y2498" t="str">
        <f t="shared" si="389"/>
        <v>Healthy</v>
      </c>
    </row>
    <row r="2499" spans="1:25" x14ac:dyDescent="0.35">
      <c r="A2499" t="s">
        <v>179</v>
      </c>
      <c r="B2499" t="s">
        <v>223</v>
      </c>
      <c r="C2499" t="s">
        <v>357</v>
      </c>
      <c r="D2499" t="s">
        <v>472</v>
      </c>
      <c r="E2499">
        <v>80838218</v>
      </c>
      <c r="F2499" t="s">
        <v>1841</v>
      </c>
      <c r="G2499" s="3">
        <v>46369</v>
      </c>
      <c r="H2499">
        <v>18</v>
      </c>
      <c r="I2499">
        <v>33</v>
      </c>
      <c r="J2499">
        <v>12</v>
      </c>
      <c r="K2499" s="4">
        <v>9333</v>
      </c>
      <c r="L2499" s="4">
        <v>31.571428571428573</v>
      </c>
      <c r="M2499" s="4">
        <v>0.38009049773755654</v>
      </c>
      <c r="N2499" t="s">
        <v>25</v>
      </c>
      <c r="O2499" t="str">
        <f t="shared" ref="O2499:O2562" si="390">IF(I2499&lt;20,"High",IF(I2499&lt;40,"Medium","Low"))</f>
        <v>Medium</v>
      </c>
      <c r="P2499" t="str">
        <f t="shared" ref="P2499:P2562" si="391">IF(M2499&gt;8,"High",IF(M2499&gt;4,"Medium","Low"))</f>
        <v>Low</v>
      </c>
      <c r="Q2499" t="str">
        <f t="shared" ref="Q2499:Q2562" si="392">IF(L2499&lt;5,"High",IF(L2499&lt;15,"Medium","Low"))</f>
        <v>Low</v>
      </c>
      <c r="R2499" t="s">
        <v>3317</v>
      </c>
      <c r="S2499" s="4">
        <f t="shared" ref="S2499:S2562" ca="1" si="393">G2499-TODAY()</f>
        <v>172</v>
      </c>
      <c r="T2499">
        <f t="shared" ref="T2499:T2562" si="394">IF(O2499="High",3,IF(O2499="Medium",2,1))</f>
        <v>2</v>
      </c>
      <c r="U2499">
        <f t="shared" ref="U2499:U2562" si="395">IF(P2499="High",3,IF(P2499="Medium",2,1))</f>
        <v>1</v>
      </c>
      <c r="V2499">
        <f t="shared" ref="V2499:V2562" si="396">IF(Q2499="High",3,IF(Q2499="Medium",2,1))</f>
        <v>1</v>
      </c>
      <c r="W2499">
        <f t="shared" ref="W2499:W2562" si="397">IF(R2499="High",3,IF(R2499="Medium",2,1))</f>
        <v>1</v>
      </c>
      <c r="X2499">
        <f t="shared" ref="X2499:X2562" si="398">(0.4*T2499)+(0.3*U2499)+(0.2*V2499)+(0.1*W2499)</f>
        <v>1.4000000000000001</v>
      </c>
      <c r="Y2499" t="str">
        <f t="shared" ref="Y2499:Y2562" si="399">IF(X2499&gt;=2.7,"Move Immediately",IF(X2499&gt;=2.2,"High Priority",IF(X2499&gt;=1.7,"Monitor","Healthy")))</f>
        <v>Healthy</v>
      </c>
    </row>
    <row r="2500" spans="1:25" x14ac:dyDescent="0.35">
      <c r="A2500" t="s">
        <v>14</v>
      </c>
      <c r="B2500" t="s">
        <v>15</v>
      </c>
      <c r="C2500" t="s">
        <v>16</v>
      </c>
      <c r="D2500" t="s">
        <v>1839</v>
      </c>
      <c r="E2500">
        <v>80875511</v>
      </c>
      <c r="F2500" t="s">
        <v>1840</v>
      </c>
      <c r="G2500" s="3">
        <v>47940</v>
      </c>
      <c r="H2500">
        <v>60</v>
      </c>
      <c r="I2500">
        <v>97</v>
      </c>
      <c r="J2500">
        <v>122</v>
      </c>
      <c r="K2500" s="4">
        <v>88778.18</v>
      </c>
      <c r="L2500" s="4">
        <v>70</v>
      </c>
      <c r="M2500" s="4">
        <v>1.7428571428571429</v>
      </c>
      <c r="N2500" t="s">
        <v>25</v>
      </c>
      <c r="O2500" t="str">
        <f t="shared" si="390"/>
        <v>Low</v>
      </c>
      <c r="P2500" t="str">
        <f t="shared" si="391"/>
        <v>Low</v>
      </c>
      <c r="Q2500" t="str">
        <f t="shared" si="392"/>
        <v>Low</v>
      </c>
      <c r="R2500" t="s">
        <v>3310</v>
      </c>
      <c r="S2500" s="4">
        <f t="shared" ca="1" si="393"/>
        <v>1743</v>
      </c>
      <c r="T2500">
        <f t="shared" si="394"/>
        <v>1</v>
      </c>
      <c r="U2500">
        <f t="shared" si="395"/>
        <v>1</v>
      </c>
      <c r="V2500">
        <f t="shared" si="396"/>
        <v>1</v>
      </c>
      <c r="W2500">
        <f t="shared" si="397"/>
        <v>2</v>
      </c>
      <c r="X2500">
        <f t="shared" si="398"/>
        <v>1.0999999999999999</v>
      </c>
      <c r="Y2500" t="str">
        <f t="shared" si="399"/>
        <v>Healthy</v>
      </c>
    </row>
    <row r="2501" spans="1:25" x14ac:dyDescent="0.35">
      <c r="A2501" t="s">
        <v>179</v>
      </c>
      <c r="B2501" t="s">
        <v>223</v>
      </c>
      <c r="C2501" t="s">
        <v>357</v>
      </c>
      <c r="D2501" t="s">
        <v>472</v>
      </c>
      <c r="E2501">
        <v>80838218</v>
      </c>
      <c r="F2501" t="s">
        <v>1841</v>
      </c>
      <c r="G2501" s="3">
        <v>46359</v>
      </c>
      <c r="H2501">
        <v>18</v>
      </c>
      <c r="I2501">
        <v>31</v>
      </c>
      <c r="J2501">
        <v>9</v>
      </c>
      <c r="K2501" s="4">
        <v>6999.75</v>
      </c>
      <c r="L2501" s="4">
        <v>31.571428571428573</v>
      </c>
      <c r="M2501" s="4">
        <v>0.28506787330316741</v>
      </c>
      <c r="N2501" t="s">
        <v>25</v>
      </c>
      <c r="O2501" t="str">
        <f t="shared" si="390"/>
        <v>Medium</v>
      </c>
      <c r="P2501" t="str">
        <f t="shared" si="391"/>
        <v>Low</v>
      </c>
      <c r="Q2501" t="str">
        <f t="shared" si="392"/>
        <v>Low</v>
      </c>
      <c r="R2501" t="s">
        <v>3317</v>
      </c>
      <c r="S2501" s="4">
        <f t="shared" ca="1" si="393"/>
        <v>162</v>
      </c>
      <c r="T2501">
        <f t="shared" si="394"/>
        <v>2</v>
      </c>
      <c r="U2501">
        <f t="shared" si="395"/>
        <v>1</v>
      </c>
      <c r="V2501">
        <f t="shared" si="396"/>
        <v>1</v>
      </c>
      <c r="W2501">
        <f t="shared" si="397"/>
        <v>1</v>
      </c>
      <c r="X2501">
        <f t="shared" si="398"/>
        <v>1.4000000000000001</v>
      </c>
      <c r="Y2501" t="str">
        <f t="shared" si="399"/>
        <v>Healthy</v>
      </c>
    </row>
    <row r="2502" spans="1:25" x14ac:dyDescent="0.35">
      <c r="A2502" t="s">
        <v>14</v>
      </c>
      <c r="B2502" t="s">
        <v>15</v>
      </c>
      <c r="C2502" t="s">
        <v>16</v>
      </c>
      <c r="D2502" t="s">
        <v>1839</v>
      </c>
      <c r="E2502">
        <v>80875511</v>
      </c>
      <c r="F2502" t="s">
        <v>1840</v>
      </c>
      <c r="G2502" s="3">
        <v>47940</v>
      </c>
      <c r="H2502">
        <v>60</v>
      </c>
      <c r="I2502">
        <v>97</v>
      </c>
      <c r="J2502">
        <v>16</v>
      </c>
      <c r="K2502" s="4">
        <v>11643.04</v>
      </c>
      <c r="L2502" s="4">
        <v>70</v>
      </c>
      <c r="M2502" s="4">
        <v>0.22857142857142856</v>
      </c>
      <c r="N2502" t="s">
        <v>25</v>
      </c>
      <c r="O2502" t="str">
        <f t="shared" si="390"/>
        <v>Low</v>
      </c>
      <c r="P2502" t="str">
        <f t="shared" si="391"/>
        <v>Low</v>
      </c>
      <c r="Q2502" t="str">
        <f t="shared" si="392"/>
        <v>Low</v>
      </c>
      <c r="R2502" t="s">
        <v>3317</v>
      </c>
      <c r="S2502" s="4">
        <f t="shared" ca="1" si="393"/>
        <v>1743</v>
      </c>
      <c r="T2502">
        <f t="shared" si="394"/>
        <v>1</v>
      </c>
      <c r="U2502">
        <f t="shared" si="395"/>
        <v>1</v>
      </c>
      <c r="V2502">
        <f t="shared" si="396"/>
        <v>1</v>
      </c>
      <c r="W2502">
        <f t="shared" si="397"/>
        <v>1</v>
      </c>
      <c r="X2502">
        <f t="shared" si="398"/>
        <v>0.99999999999999989</v>
      </c>
      <c r="Y2502" t="str">
        <f t="shared" si="399"/>
        <v>Healthy</v>
      </c>
    </row>
    <row r="2503" spans="1:25" x14ac:dyDescent="0.35">
      <c r="A2503" t="s">
        <v>179</v>
      </c>
      <c r="B2503" t="s">
        <v>223</v>
      </c>
      <c r="C2503" t="s">
        <v>357</v>
      </c>
      <c r="D2503" t="s">
        <v>472</v>
      </c>
      <c r="E2503">
        <v>80838218</v>
      </c>
      <c r="F2503" t="s">
        <v>1841</v>
      </c>
      <c r="G2503" s="3">
        <v>46365</v>
      </c>
      <c r="H2503">
        <v>18</v>
      </c>
      <c r="I2503">
        <v>32</v>
      </c>
      <c r="J2503">
        <v>6</v>
      </c>
      <c r="K2503" s="4">
        <v>4666.5</v>
      </c>
      <c r="L2503" s="4">
        <v>31.571428571428573</v>
      </c>
      <c r="M2503" s="4">
        <v>0.19004524886877827</v>
      </c>
      <c r="N2503" t="s">
        <v>25</v>
      </c>
      <c r="O2503" t="str">
        <f t="shared" si="390"/>
        <v>Medium</v>
      </c>
      <c r="P2503" t="str">
        <f t="shared" si="391"/>
        <v>Low</v>
      </c>
      <c r="Q2503" t="str">
        <f t="shared" si="392"/>
        <v>Low</v>
      </c>
      <c r="R2503" t="s">
        <v>3317</v>
      </c>
      <c r="S2503" s="4">
        <f t="shared" ca="1" si="393"/>
        <v>168</v>
      </c>
      <c r="T2503">
        <f t="shared" si="394"/>
        <v>2</v>
      </c>
      <c r="U2503">
        <f t="shared" si="395"/>
        <v>1</v>
      </c>
      <c r="V2503">
        <f t="shared" si="396"/>
        <v>1</v>
      </c>
      <c r="W2503">
        <f t="shared" si="397"/>
        <v>1</v>
      </c>
      <c r="X2503">
        <f t="shared" si="398"/>
        <v>1.4000000000000001</v>
      </c>
      <c r="Y2503" t="str">
        <f t="shared" si="399"/>
        <v>Healthy</v>
      </c>
    </row>
    <row r="2504" spans="1:25" x14ac:dyDescent="0.35">
      <c r="A2504" t="s">
        <v>944</v>
      </c>
      <c r="B2504" t="s">
        <v>945</v>
      </c>
      <c r="C2504" t="s">
        <v>1842</v>
      </c>
      <c r="D2504" t="s">
        <v>1843</v>
      </c>
      <c r="E2504">
        <v>80891396</v>
      </c>
      <c r="F2504" t="s">
        <v>1844</v>
      </c>
      <c r="G2504" s="3">
        <v>47852</v>
      </c>
      <c r="H2504">
        <v>60</v>
      </c>
      <c r="I2504">
        <v>92</v>
      </c>
      <c r="J2504">
        <v>33</v>
      </c>
      <c r="K2504" s="4">
        <v>230363.76</v>
      </c>
      <c r="L2504" s="4">
        <v>6.4285714285714288</v>
      </c>
      <c r="M2504" s="4">
        <v>5.1333333333333329</v>
      </c>
      <c r="N2504" t="s">
        <v>25</v>
      </c>
      <c r="O2504" t="str">
        <f t="shared" si="390"/>
        <v>Low</v>
      </c>
      <c r="P2504" t="str">
        <f t="shared" si="391"/>
        <v>Medium</v>
      </c>
      <c r="Q2504" t="str">
        <f t="shared" si="392"/>
        <v>Medium</v>
      </c>
      <c r="R2504" t="s">
        <v>3309</v>
      </c>
      <c r="S2504" s="4">
        <f t="shared" ca="1" si="393"/>
        <v>1655</v>
      </c>
      <c r="T2504">
        <f t="shared" si="394"/>
        <v>1</v>
      </c>
      <c r="U2504">
        <f t="shared" si="395"/>
        <v>2</v>
      </c>
      <c r="V2504">
        <f t="shared" si="396"/>
        <v>2</v>
      </c>
      <c r="W2504">
        <f t="shared" si="397"/>
        <v>3</v>
      </c>
      <c r="X2504">
        <f t="shared" si="398"/>
        <v>1.7</v>
      </c>
      <c r="Y2504" t="str">
        <f t="shared" si="399"/>
        <v>Monitor</v>
      </c>
    </row>
    <row r="2505" spans="1:25" x14ac:dyDescent="0.35">
      <c r="A2505" t="s">
        <v>944</v>
      </c>
      <c r="B2505" t="s">
        <v>945</v>
      </c>
      <c r="C2505" t="s">
        <v>1842</v>
      </c>
      <c r="D2505" t="s">
        <v>1845</v>
      </c>
      <c r="E2505">
        <v>80891399</v>
      </c>
      <c r="F2505" t="s">
        <v>1846</v>
      </c>
      <c r="G2505" s="3">
        <v>47882</v>
      </c>
      <c r="H2505">
        <v>60</v>
      </c>
      <c r="I2505">
        <v>94</v>
      </c>
      <c r="J2505">
        <v>51</v>
      </c>
      <c r="K2505" s="4">
        <v>222493.62</v>
      </c>
      <c r="L2505" s="4">
        <f>0</f>
        <v>0</v>
      </c>
      <c r="M2505" s="4">
        <f>999</f>
        <v>999</v>
      </c>
      <c r="N2505" t="s">
        <v>19</v>
      </c>
      <c r="O2505" t="str">
        <f t="shared" si="390"/>
        <v>Low</v>
      </c>
      <c r="P2505" t="str">
        <f t="shared" si="391"/>
        <v>High</v>
      </c>
      <c r="Q2505" t="str">
        <f t="shared" si="392"/>
        <v>High</v>
      </c>
      <c r="R2505" t="s">
        <v>3309</v>
      </c>
      <c r="S2505" s="4">
        <f t="shared" ca="1" si="393"/>
        <v>1685</v>
      </c>
      <c r="T2505">
        <f t="shared" si="394"/>
        <v>1</v>
      </c>
      <c r="U2505">
        <f t="shared" si="395"/>
        <v>3</v>
      </c>
      <c r="V2505">
        <f t="shared" si="396"/>
        <v>3</v>
      </c>
      <c r="W2505">
        <f t="shared" si="397"/>
        <v>3</v>
      </c>
      <c r="X2505">
        <f t="shared" si="398"/>
        <v>2.2000000000000002</v>
      </c>
      <c r="Y2505" t="str">
        <f t="shared" si="399"/>
        <v>High Priority</v>
      </c>
    </row>
    <row r="2506" spans="1:25" x14ac:dyDescent="0.35">
      <c r="A2506" t="s">
        <v>944</v>
      </c>
      <c r="B2506" t="s">
        <v>945</v>
      </c>
      <c r="C2506" t="s">
        <v>1842</v>
      </c>
      <c r="D2506" t="s">
        <v>1847</v>
      </c>
      <c r="E2506">
        <v>80891400</v>
      </c>
      <c r="F2506" t="s">
        <v>1848</v>
      </c>
      <c r="G2506" s="3">
        <v>47883</v>
      </c>
      <c r="H2506">
        <v>60</v>
      </c>
      <c r="I2506">
        <v>94</v>
      </c>
      <c r="J2506">
        <v>87</v>
      </c>
      <c r="K2506" s="4">
        <v>303623.03999999998</v>
      </c>
      <c r="L2506" s="4">
        <v>36.714285714285715</v>
      </c>
      <c r="M2506" s="4">
        <v>2.3696498054474708</v>
      </c>
      <c r="N2506" t="s">
        <v>25</v>
      </c>
      <c r="O2506" t="str">
        <f t="shared" si="390"/>
        <v>Low</v>
      </c>
      <c r="P2506" t="str">
        <f t="shared" si="391"/>
        <v>Low</v>
      </c>
      <c r="Q2506" t="str">
        <f t="shared" si="392"/>
        <v>Low</v>
      </c>
      <c r="R2506" t="s">
        <v>3309</v>
      </c>
      <c r="S2506" s="4">
        <f t="shared" ca="1" si="393"/>
        <v>1686</v>
      </c>
      <c r="T2506">
        <f t="shared" si="394"/>
        <v>1</v>
      </c>
      <c r="U2506">
        <f t="shared" si="395"/>
        <v>1</v>
      </c>
      <c r="V2506">
        <f t="shared" si="396"/>
        <v>1</v>
      </c>
      <c r="W2506">
        <f t="shared" si="397"/>
        <v>3</v>
      </c>
      <c r="X2506">
        <f t="shared" si="398"/>
        <v>1.2</v>
      </c>
      <c r="Y2506" t="str">
        <f t="shared" si="399"/>
        <v>Healthy</v>
      </c>
    </row>
    <row r="2507" spans="1:25" x14ac:dyDescent="0.35">
      <c r="A2507" t="s">
        <v>179</v>
      </c>
      <c r="B2507" t="s">
        <v>223</v>
      </c>
      <c r="C2507" t="s">
        <v>357</v>
      </c>
      <c r="D2507" t="s">
        <v>472</v>
      </c>
      <c r="E2507">
        <v>80838218</v>
      </c>
      <c r="F2507" t="s">
        <v>1841</v>
      </c>
      <c r="G2507" s="3">
        <v>46332</v>
      </c>
      <c r="H2507">
        <v>18</v>
      </c>
      <c r="I2507">
        <v>26</v>
      </c>
      <c r="J2507">
        <v>7</v>
      </c>
      <c r="K2507" s="4">
        <v>5444.25</v>
      </c>
      <c r="L2507" s="4">
        <v>31.571428571428573</v>
      </c>
      <c r="M2507" s="4">
        <v>0.22171945701357465</v>
      </c>
      <c r="N2507" t="s">
        <v>25</v>
      </c>
      <c r="O2507" t="str">
        <f t="shared" si="390"/>
        <v>Medium</v>
      </c>
      <c r="P2507" t="str">
        <f t="shared" si="391"/>
        <v>Low</v>
      </c>
      <c r="Q2507" t="str">
        <f t="shared" si="392"/>
        <v>Low</v>
      </c>
      <c r="R2507" t="s">
        <v>3317</v>
      </c>
      <c r="S2507" s="4">
        <f t="shared" ca="1" si="393"/>
        <v>135</v>
      </c>
      <c r="T2507">
        <f t="shared" si="394"/>
        <v>2</v>
      </c>
      <c r="U2507">
        <f t="shared" si="395"/>
        <v>1</v>
      </c>
      <c r="V2507">
        <f t="shared" si="396"/>
        <v>1</v>
      </c>
      <c r="W2507">
        <f t="shared" si="397"/>
        <v>1</v>
      </c>
      <c r="X2507">
        <f t="shared" si="398"/>
        <v>1.4000000000000001</v>
      </c>
      <c r="Y2507" t="str">
        <f t="shared" si="399"/>
        <v>Healthy</v>
      </c>
    </row>
    <row r="2508" spans="1:25" x14ac:dyDescent="0.35">
      <c r="A2508" t="s">
        <v>944</v>
      </c>
      <c r="B2508" t="s">
        <v>945</v>
      </c>
      <c r="C2508" t="s">
        <v>1842</v>
      </c>
      <c r="D2508" t="s">
        <v>1847</v>
      </c>
      <c r="E2508">
        <v>80891400</v>
      </c>
      <c r="F2508" t="s">
        <v>1848</v>
      </c>
      <c r="G2508" s="3">
        <v>47883</v>
      </c>
      <c r="H2508">
        <v>60</v>
      </c>
      <c r="I2508">
        <v>94</v>
      </c>
      <c r="J2508">
        <v>3</v>
      </c>
      <c r="K2508" s="4">
        <v>10469.76</v>
      </c>
      <c r="L2508" s="4">
        <v>36.714285714285715</v>
      </c>
      <c r="M2508" s="4">
        <v>8.171206225680934E-2</v>
      </c>
      <c r="N2508" t="s">
        <v>25</v>
      </c>
      <c r="O2508" t="str">
        <f t="shared" si="390"/>
        <v>Low</v>
      </c>
      <c r="P2508" t="str">
        <f t="shared" si="391"/>
        <v>Low</v>
      </c>
      <c r="Q2508" t="str">
        <f t="shared" si="392"/>
        <v>Low</v>
      </c>
      <c r="R2508" t="s">
        <v>3317</v>
      </c>
      <c r="S2508" s="4">
        <f t="shared" ca="1" si="393"/>
        <v>1686</v>
      </c>
      <c r="T2508">
        <f t="shared" si="394"/>
        <v>1</v>
      </c>
      <c r="U2508">
        <f t="shared" si="395"/>
        <v>1</v>
      </c>
      <c r="V2508">
        <f t="shared" si="396"/>
        <v>1</v>
      </c>
      <c r="W2508">
        <f t="shared" si="397"/>
        <v>1</v>
      </c>
      <c r="X2508">
        <f t="shared" si="398"/>
        <v>0.99999999999999989</v>
      </c>
      <c r="Y2508" t="str">
        <f t="shared" si="399"/>
        <v>Healthy</v>
      </c>
    </row>
    <row r="2509" spans="1:25" x14ac:dyDescent="0.35">
      <c r="A2509" t="s">
        <v>944</v>
      </c>
      <c r="B2509" t="s">
        <v>945</v>
      </c>
      <c r="C2509" t="s">
        <v>1842</v>
      </c>
      <c r="D2509" t="s">
        <v>1849</v>
      </c>
      <c r="E2509">
        <v>80891402</v>
      </c>
      <c r="F2509" t="s">
        <v>1850</v>
      </c>
      <c r="G2509" s="3">
        <v>47832</v>
      </c>
      <c r="H2509">
        <v>60</v>
      </c>
      <c r="I2509">
        <v>91</v>
      </c>
      <c r="J2509">
        <v>141</v>
      </c>
      <c r="K2509" s="4">
        <v>245978.73</v>
      </c>
      <c r="L2509" s="4">
        <v>84.857142857142861</v>
      </c>
      <c r="M2509" s="4">
        <v>1.6616161616161615</v>
      </c>
      <c r="N2509" t="s">
        <v>25</v>
      </c>
      <c r="O2509" t="str">
        <f t="shared" si="390"/>
        <v>Low</v>
      </c>
      <c r="P2509" t="str">
        <f t="shared" si="391"/>
        <v>Low</v>
      </c>
      <c r="Q2509" t="str">
        <f t="shared" si="392"/>
        <v>Low</v>
      </c>
      <c r="R2509" t="s">
        <v>3309</v>
      </c>
      <c r="S2509" s="4">
        <f t="shared" ca="1" si="393"/>
        <v>1635</v>
      </c>
      <c r="T2509">
        <f t="shared" si="394"/>
        <v>1</v>
      </c>
      <c r="U2509">
        <f t="shared" si="395"/>
        <v>1</v>
      </c>
      <c r="V2509">
        <f t="shared" si="396"/>
        <v>1</v>
      </c>
      <c r="W2509">
        <f t="shared" si="397"/>
        <v>3</v>
      </c>
      <c r="X2509">
        <f t="shared" si="398"/>
        <v>1.2</v>
      </c>
      <c r="Y2509" t="str">
        <f t="shared" si="399"/>
        <v>Healthy</v>
      </c>
    </row>
    <row r="2510" spans="1:25" x14ac:dyDescent="0.35">
      <c r="A2510" t="s">
        <v>944</v>
      </c>
      <c r="B2510" t="s">
        <v>945</v>
      </c>
      <c r="C2510" t="s">
        <v>1842</v>
      </c>
      <c r="D2510" t="s">
        <v>1849</v>
      </c>
      <c r="E2510">
        <v>80891402</v>
      </c>
      <c r="F2510" t="s">
        <v>1850</v>
      </c>
      <c r="G2510" s="3">
        <v>47639</v>
      </c>
      <c r="H2510">
        <v>60</v>
      </c>
      <c r="I2510">
        <v>80</v>
      </c>
      <c r="J2510">
        <v>48</v>
      </c>
      <c r="K2510" s="4">
        <v>83737.440000000002</v>
      </c>
      <c r="L2510" s="4">
        <v>84.857142857142861</v>
      </c>
      <c r="M2510" s="4">
        <v>0.56565656565656564</v>
      </c>
      <c r="N2510" t="s">
        <v>25</v>
      </c>
      <c r="O2510" t="str">
        <f t="shared" si="390"/>
        <v>Low</v>
      </c>
      <c r="P2510" t="str">
        <f t="shared" si="391"/>
        <v>Low</v>
      </c>
      <c r="Q2510" t="str">
        <f t="shared" si="392"/>
        <v>Low</v>
      </c>
      <c r="R2510" t="s">
        <v>3310</v>
      </c>
      <c r="S2510" s="4">
        <f t="shared" ca="1" si="393"/>
        <v>1442</v>
      </c>
      <c r="T2510">
        <f t="shared" si="394"/>
        <v>1</v>
      </c>
      <c r="U2510">
        <f t="shared" si="395"/>
        <v>1</v>
      </c>
      <c r="V2510">
        <f t="shared" si="396"/>
        <v>1</v>
      </c>
      <c r="W2510">
        <f t="shared" si="397"/>
        <v>2</v>
      </c>
      <c r="X2510">
        <f t="shared" si="398"/>
        <v>1.0999999999999999</v>
      </c>
      <c r="Y2510" t="str">
        <f t="shared" si="399"/>
        <v>Healthy</v>
      </c>
    </row>
    <row r="2511" spans="1:25" x14ac:dyDescent="0.35">
      <c r="A2511" t="s">
        <v>71</v>
      </c>
      <c r="B2511" t="s">
        <v>72</v>
      </c>
      <c r="C2511" t="s">
        <v>174</v>
      </c>
      <c r="D2511" t="s">
        <v>1851</v>
      </c>
      <c r="E2511">
        <v>80829179</v>
      </c>
      <c r="F2511" t="s">
        <v>1852</v>
      </c>
      <c r="G2511" s="3">
        <v>46975</v>
      </c>
      <c r="H2511">
        <v>36</v>
      </c>
      <c r="I2511">
        <v>73</v>
      </c>
      <c r="J2511">
        <v>2</v>
      </c>
      <c r="K2511" s="4">
        <v>3836.92</v>
      </c>
      <c r="L2511" s="4">
        <v>1.8571428571428572</v>
      </c>
      <c r="M2511" s="4">
        <v>1.0769230769230769</v>
      </c>
      <c r="N2511" t="s">
        <v>25</v>
      </c>
      <c r="O2511" t="str">
        <f t="shared" si="390"/>
        <v>Low</v>
      </c>
      <c r="P2511" t="str">
        <f t="shared" si="391"/>
        <v>Low</v>
      </c>
      <c r="Q2511" t="str">
        <f t="shared" si="392"/>
        <v>High</v>
      </c>
      <c r="R2511" t="s">
        <v>3317</v>
      </c>
      <c r="S2511" s="4">
        <f t="shared" ca="1" si="393"/>
        <v>778</v>
      </c>
      <c r="T2511">
        <f t="shared" si="394"/>
        <v>1</v>
      </c>
      <c r="U2511">
        <f t="shared" si="395"/>
        <v>1</v>
      </c>
      <c r="V2511">
        <f t="shared" si="396"/>
        <v>3</v>
      </c>
      <c r="W2511">
        <f t="shared" si="397"/>
        <v>1</v>
      </c>
      <c r="X2511">
        <f t="shared" si="398"/>
        <v>1.4000000000000001</v>
      </c>
      <c r="Y2511" t="str">
        <f t="shared" si="399"/>
        <v>Healthy</v>
      </c>
    </row>
    <row r="2512" spans="1:25" x14ac:dyDescent="0.35">
      <c r="A2512" t="s">
        <v>90</v>
      </c>
      <c r="B2512" t="s">
        <v>91</v>
      </c>
      <c r="C2512" t="s">
        <v>112</v>
      </c>
      <c r="D2512" t="s">
        <v>1853</v>
      </c>
      <c r="E2512">
        <v>83916744</v>
      </c>
      <c r="F2512" t="s">
        <v>1854</v>
      </c>
      <c r="G2512" s="3">
        <v>46917</v>
      </c>
      <c r="H2512">
        <v>24</v>
      </c>
      <c r="I2512">
        <v>100</v>
      </c>
      <c r="J2512">
        <v>234</v>
      </c>
      <c r="K2512" s="4">
        <v>92612.52</v>
      </c>
      <c r="L2512" s="4">
        <f>0</f>
        <v>0</v>
      </c>
      <c r="M2512" s="4">
        <f>999</f>
        <v>999</v>
      </c>
      <c r="N2512" t="s">
        <v>19</v>
      </c>
      <c r="O2512" t="str">
        <f t="shared" si="390"/>
        <v>Low</v>
      </c>
      <c r="P2512" t="str">
        <f t="shared" si="391"/>
        <v>High</v>
      </c>
      <c r="Q2512" t="str">
        <f t="shared" si="392"/>
        <v>High</v>
      </c>
      <c r="R2512" t="s">
        <v>3310</v>
      </c>
      <c r="S2512" s="4">
        <f t="shared" ca="1" si="393"/>
        <v>720</v>
      </c>
      <c r="T2512">
        <f t="shared" si="394"/>
        <v>1</v>
      </c>
      <c r="U2512">
        <f t="shared" si="395"/>
        <v>3</v>
      </c>
      <c r="V2512">
        <f t="shared" si="396"/>
        <v>3</v>
      </c>
      <c r="W2512">
        <f t="shared" si="397"/>
        <v>2</v>
      </c>
      <c r="X2512">
        <f t="shared" si="398"/>
        <v>2.1</v>
      </c>
      <c r="Y2512" t="str">
        <f t="shared" si="399"/>
        <v>Monitor</v>
      </c>
    </row>
    <row r="2513" spans="1:25" x14ac:dyDescent="0.35">
      <c r="A2513" t="s">
        <v>90</v>
      </c>
      <c r="B2513" t="s">
        <v>91</v>
      </c>
      <c r="C2513" t="s">
        <v>112</v>
      </c>
      <c r="D2513" t="s">
        <v>1853</v>
      </c>
      <c r="E2513">
        <v>83916744</v>
      </c>
      <c r="F2513" t="s">
        <v>1854</v>
      </c>
      <c r="G2513" s="3">
        <v>46867</v>
      </c>
      <c r="H2513">
        <v>24</v>
      </c>
      <c r="I2513">
        <v>94</v>
      </c>
      <c r="J2513">
        <v>114</v>
      </c>
      <c r="K2513" s="4">
        <v>45118.92</v>
      </c>
      <c r="L2513" s="4">
        <f>0</f>
        <v>0</v>
      </c>
      <c r="M2513" s="4">
        <f>999</f>
        <v>999</v>
      </c>
      <c r="N2513" t="s">
        <v>19</v>
      </c>
      <c r="O2513" t="str">
        <f t="shared" si="390"/>
        <v>Low</v>
      </c>
      <c r="P2513" t="str">
        <f t="shared" si="391"/>
        <v>High</v>
      </c>
      <c r="Q2513" t="str">
        <f t="shared" si="392"/>
        <v>High</v>
      </c>
      <c r="R2513" t="s">
        <v>3317</v>
      </c>
      <c r="S2513" s="4">
        <f t="shared" ca="1" si="393"/>
        <v>670</v>
      </c>
      <c r="T2513">
        <f t="shared" si="394"/>
        <v>1</v>
      </c>
      <c r="U2513">
        <f t="shared" si="395"/>
        <v>3</v>
      </c>
      <c r="V2513">
        <f t="shared" si="396"/>
        <v>3</v>
      </c>
      <c r="W2513">
        <f t="shared" si="397"/>
        <v>1</v>
      </c>
      <c r="X2513">
        <f t="shared" si="398"/>
        <v>2</v>
      </c>
      <c r="Y2513" t="str">
        <f t="shared" si="399"/>
        <v>Monitor</v>
      </c>
    </row>
    <row r="2514" spans="1:25" x14ac:dyDescent="0.35">
      <c r="A2514" t="s">
        <v>90</v>
      </c>
      <c r="B2514" t="s">
        <v>91</v>
      </c>
      <c r="C2514" t="s">
        <v>92</v>
      </c>
      <c r="D2514" t="s">
        <v>1855</v>
      </c>
      <c r="E2514">
        <v>80829948</v>
      </c>
      <c r="F2514" t="s">
        <v>1856</v>
      </c>
      <c r="G2514" s="3">
        <v>46454</v>
      </c>
      <c r="H2514">
        <v>24</v>
      </c>
      <c r="I2514">
        <v>36</v>
      </c>
      <c r="J2514">
        <v>60</v>
      </c>
      <c r="K2514" s="4">
        <v>26790.6</v>
      </c>
      <c r="L2514" s="4">
        <v>102.28571428571429</v>
      </c>
      <c r="M2514" s="4">
        <v>0.58659217877094971</v>
      </c>
      <c r="N2514" t="s">
        <v>25</v>
      </c>
      <c r="O2514" t="str">
        <f t="shared" si="390"/>
        <v>Medium</v>
      </c>
      <c r="P2514" t="str">
        <f t="shared" si="391"/>
        <v>Low</v>
      </c>
      <c r="Q2514" t="str">
        <f t="shared" si="392"/>
        <v>Low</v>
      </c>
      <c r="R2514" t="s">
        <v>3317</v>
      </c>
      <c r="S2514" s="4">
        <f t="shared" ca="1" si="393"/>
        <v>257</v>
      </c>
      <c r="T2514">
        <f t="shared" si="394"/>
        <v>2</v>
      </c>
      <c r="U2514">
        <f t="shared" si="395"/>
        <v>1</v>
      </c>
      <c r="V2514">
        <f t="shared" si="396"/>
        <v>1</v>
      </c>
      <c r="W2514">
        <f t="shared" si="397"/>
        <v>1</v>
      </c>
      <c r="X2514">
        <f t="shared" si="398"/>
        <v>1.4000000000000001</v>
      </c>
      <c r="Y2514" t="str">
        <f t="shared" si="399"/>
        <v>Healthy</v>
      </c>
    </row>
    <row r="2515" spans="1:25" x14ac:dyDescent="0.35">
      <c r="A2515" t="s">
        <v>90</v>
      </c>
      <c r="B2515" t="s">
        <v>91</v>
      </c>
      <c r="C2515" t="s">
        <v>112</v>
      </c>
      <c r="D2515" t="s">
        <v>1853</v>
      </c>
      <c r="E2515">
        <v>83916744</v>
      </c>
      <c r="F2515" t="s">
        <v>1854</v>
      </c>
      <c r="G2515" s="3">
        <v>46907</v>
      </c>
      <c r="H2515">
        <v>24</v>
      </c>
      <c r="I2515">
        <v>99</v>
      </c>
      <c r="J2515">
        <v>867</v>
      </c>
      <c r="K2515" s="4">
        <v>343141.26</v>
      </c>
      <c r="L2515" s="4">
        <f>0</f>
        <v>0</v>
      </c>
      <c r="M2515" s="4">
        <f>999</f>
        <v>999</v>
      </c>
      <c r="N2515" t="s">
        <v>19</v>
      </c>
      <c r="O2515" t="str">
        <f t="shared" si="390"/>
        <v>Low</v>
      </c>
      <c r="P2515" t="str">
        <f t="shared" si="391"/>
        <v>High</v>
      </c>
      <c r="Q2515" t="str">
        <f t="shared" si="392"/>
        <v>High</v>
      </c>
      <c r="R2515" t="s">
        <v>3309</v>
      </c>
      <c r="S2515" s="4">
        <f t="shared" ca="1" si="393"/>
        <v>710</v>
      </c>
      <c r="T2515">
        <f t="shared" si="394"/>
        <v>1</v>
      </c>
      <c r="U2515">
        <f t="shared" si="395"/>
        <v>3</v>
      </c>
      <c r="V2515">
        <f t="shared" si="396"/>
        <v>3</v>
      </c>
      <c r="W2515">
        <f t="shared" si="397"/>
        <v>3</v>
      </c>
      <c r="X2515">
        <f t="shared" si="398"/>
        <v>2.2000000000000002</v>
      </c>
      <c r="Y2515" t="str">
        <f t="shared" si="399"/>
        <v>High Priority</v>
      </c>
    </row>
    <row r="2516" spans="1:25" x14ac:dyDescent="0.35">
      <c r="A2516" t="s">
        <v>90</v>
      </c>
      <c r="B2516" t="s">
        <v>91</v>
      </c>
      <c r="C2516" t="s">
        <v>112</v>
      </c>
      <c r="D2516" t="s">
        <v>1853</v>
      </c>
      <c r="E2516">
        <v>83916744</v>
      </c>
      <c r="F2516" t="s">
        <v>1854</v>
      </c>
      <c r="G2516" s="3">
        <v>46866</v>
      </c>
      <c r="H2516">
        <v>24</v>
      </c>
      <c r="I2516">
        <v>94</v>
      </c>
      <c r="J2516">
        <v>27</v>
      </c>
      <c r="K2516" s="4">
        <v>10686.06</v>
      </c>
      <c r="L2516" s="4">
        <f>0</f>
        <v>0</v>
      </c>
      <c r="M2516" s="4">
        <f>999</f>
        <v>999</v>
      </c>
      <c r="N2516" t="s">
        <v>19</v>
      </c>
      <c r="O2516" t="str">
        <f t="shared" si="390"/>
        <v>Low</v>
      </c>
      <c r="P2516" t="str">
        <f t="shared" si="391"/>
        <v>High</v>
      </c>
      <c r="Q2516" t="str">
        <f t="shared" si="392"/>
        <v>High</v>
      </c>
      <c r="R2516" t="s">
        <v>3317</v>
      </c>
      <c r="S2516" s="4">
        <f t="shared" ca="1" si="393"/>
        <v>669</v>
      </c>
      <c r="T2516">
        <f t="shared" si="394"/>
        <v>1</v>
      </c>
      <c r="U2516">
        <f t="shared" si="395"/>
        <v>3</v>
      </c>
      <c r="V2516">
        <f t="shared" si="396"/>
        <v>3</v>
      </c>
      <c r="W2516">
        <f t="shared" si="397"/>
        <v>1</v>
      </c>
      <c r="X2516">
        <f t="shared" si="398"/>
        <v>2</v>
      </c>
      <c r="Y2516" t="str">
        <f t="shared" si="399"/>
        <v>Monitor</v>
      </c>
    </row>
    <row r="2517" spans="1:25" x14ac:dyDescent="0.35">
      <c r="A2517" t="s">
        <v>90</v>
      </c>
      <c r="B2517" t="s">
        <v>91</v>
      </c>
      <c r="C2517" t="s">
        <v>112</v>
      </c>
      <c r="D2517" t="s">
        <v>1853</v>
      </c>
      <c r="E2517">
        <v>83916744</v>
      </c>
      <c r="F2517" t="s">
        <v>1854</v>
      </c>
      <c r="G2517" s="3">
        <v>46907</v>
      </c>
      <c r="H2517">
        <v>24</v>
      </c>
      <c r="I2517">
        <v>99</v>
      </c>
      <c r="J2517">
        <v>90</v>
      </c>
      <c r="K2517" s="4">
        <v>35620.199999999997</v>
      </c>
      <c r="L2517" s="4">
        <f>0</f>
        <v>0</v>
      </c>
      <c r="M2517" s="4">
        <f>999</f>
        <v>999</v>
      </c>
      <c r="N2517" t="s">
        <v>19</v>
      </c>
      <c r="O2517" t="str">
        <f t="shared" si="390"/>
        <v>Low</v>
      </c>
      <c r="P2517" t="str">
        <f t="shared" si="391"/>
        <v>High</v>
      </c>
      <c r="Q2517" t="str">
        <f t="shared" si="392"/>
        <v>High</v>
      </c>
      <c r="R2517" t="s">
        <v>3317</v>
      </c>
      <c r="S2517" s="4">
        <f t="shared" ca="1" si="393"/>
        <v>710</v>
      </c>
      <c r="T2517">
        <f t="shared" si="394"/>
        <v>1</v>
      </c>
      <c r="U2517">
        <f t="shared" si="395"/>
        <v>3</v>
      </c>
      <c r="V2517">
        <f t="shared" si="396"/>
        <v>3</v>
      </c>
      <c r="W2517">
        <f t="shared" si="397"/>
        <v>1</v>
      </c>
      <c r="X2517">
        <f t="shared" si="398"/>
        <v>2</v>
      </c>
      <c r="Y2517" t="str">
        <f t="shared" si="399"/>
        <v>Monitor</v>
      </c>
    </row>
    <row r="2518" spans="1:25" x14ac:dyDescent="0.35">
      <c r="A2518" t="s">
        <v>90</v>
      </c>
      <c r="B2518" t="s">
        <v>217</v>
      </c>
      <c r="C2518" t="s">
        <v>542</v>
      </c>
      <c r="D2518" t="s">
        <v>1857</v>
      </c>
      <c r="E2518">
        <v>80888583</v>
      </c>
      <c r="F2518" t="s">
        <v>1858</v>
      </c>
      <c r="G2518" s="3">
        <v>46906</v>
      </c>
      <c r="H2518">
        <v>24</v>
      </c>
      <c r="I2518">
        <v>99</v>
      </c>
      <c r="J2518">
        <v>800</v>
      </c>
      <c r="K2518" s="4">
        <v>55352</v>
      </c>
      <c r="L2518" s="4">
        <v>3200</v>
      </c>
      <c r="M2518" s="4">
        <v>0.25</v>
      </c>
      <c r="N2518" t="s">
        <v>25</v>
      </c>
      <c r="O2518" t="str">
        <f t="shared" si="390"/>
        <v>Low</v>
      </c>
      <c r="P2518" t="str">
        <f t="shared" si="391"/>
        <v>Low</v>
      </c>
      <c r="Q2518" t="str">
        <f t="shared" si="392"/>
        <v>Low</v>
      </c>
      <c r="R2518" t="s">
        <v>3317</v>
      </c>
      <c r="S2518" s="4">
        <f t="shared" ca="1" si="393"/>
        <v>709</v>
      </c>
      <c r="T2518">
        <f t="shared" si="394"/>
        <v>1</v>
      </c>
      <c r="U2518">
        <f t="shared" si="395"/>
        <v>1</v>
      </c>
      <c r="V2518">
        <f t="shared" si="396"/>
        <v>1</v>
      </c>
      <c r="W2518">
        <f t="shared" si="397"/>
        <v>1</v>
      </c>
      <c r="X2518">
        <f t="shared" si="398"/>
        <v>0.99999999999999989</v>
      </c>
      <c r="Y2518" t="str">
        <f t="shared" si="399"/>
        <v>Healthy</v>
      </c>
    </row>
    <row r="2519" spans="1:25" x14ac:dyDescent="0.35">
      <c r="A2519" t="s">
        <v>41</v>
      </c>
      <c r="B2519" t="s">
        <v>42</v>
      </c>
      <c r="C2519" t="s">
        <v>43</v>
      </c>
      <c r="D2519" t="s">
        <v>1859</v>
      </c>
      <c r="E2519">
        <v>80839848</v>
      </c>
      <c r="F2519" t="s">
        <v>1860</v>
      </c>
      <c r="G2519" s="3">
        <v>46732</v>
      </c>
      <c r="H2519">
        <v>36</v>
      </c>
      <c r="I2519">
        <v>50</v>
      </c>
      <c r="J2519">
        <v>3</v>
      </c>
      <c r="K2519" s="4">
        <v>2054.52</v>
      </c>
      <c r="L2519" s="4">
        <f>0</f>
        <v>0</v>
      </c>
      <c r="M2519" s="4">
        <f>999</f>
        <v>999</v>
      </c>
      <c r="N2519" t="s">
        <v>19</v>
      </c>
      <c r="O2519" t="str">
        <f t="shared" si="390"/>
        <v>Low</v>
      </c>
      <c r="P2519" t="str">
        <f t="shared" si="391"/>
        <v>High</v>
      </c>
      <c r="Q2519" t="str">
        <f t="shared" si="392"/>
        <v>High</v>
      </c>
      <c r="R2519" t="s">
        <v>3317</v>
      </c>
      <c r="S2519" s="4">
        <f t="shared" ca="1" si="393"/>
        <v>535</v>
      </c>
      <c r="T2519">
        <f t="shared" si="394"/>
        <v>1</v>
      </c>
      <c r="U2519">
        <f t="shared" si="395"/>
        <v>3</v>
      </c>
      <c r="V2519">
        <f t="shared" si="396"/>
        <v>3</v>
      </c>
      <c r="W2519">
        <f t="shared" si="397"/>
        <v>1</v>
      </c>
      <c r="X2519">
        <f t="shared" si="398"/>
        <v>2</v>
      </c>
      <c r="Y2519" t="str">
        <f t="shared" si="399"/>
        <v>Monitor</v>
      </c>
    </row>
    <row r="2520" spans="1:25" x14ac:dyDescent="0.35">
      <c r="A2520" t="s">
        <v>90</v>
      </c>
      <c r="B2520" t="s">
        <v>217</v>
      </c>
      <c r="C2520" t="s">
        <v>542</v>
      </c>
      <c r="D2520" t="s">
        <v>1857</v>
      </c>
      <c r="E2520">
        <v>80888583</v>
      </c>
      <c r="F2520" t="s">
        <v>1858</v>
      </c>
      <c r="G2520" s="3">
        <v>46888</v>
      </c>
      <c r="H2520">
        <v>24</v>
      </c>
      <c r="I2520">
        <v>97</v>
      </c>
      <c r="J2520">
        <v>800</v>
      </c>
      <c r="K2520" s="4">
        <v>55352</v>
      </c>
      <c r="L2520" s="4">
        <v>3200</v>
      </c>
      <c r="M2520" s="4">
        <v>0.25</v>
      </c>
      <c r="N2520" t="s">
        <v>25</v>
      </c>
      <c r="O2520" t="str">
        <f t="shared" si="390"/>
        <v>Low</v>
      </c>
      <c r="P2520" t="str">
        <f t="shared" si="391"/>
        <v>Low</v>
      </c>
      <c r="Q2520" t="str">
        <f t="shared" si="392"/>
        <v>Low</v>
      </c>
      <c r="R2520" t="s">
        <v>3317</v>
      </c>
      <c r="S2520" s="4">
        <f t="shared" ca="1" si="393"/>
        <v>691</v>
      </c>
      <c r="T2520">
        <f t="shared" si="394"/>
        <v>1</v>
      </c>
      <c r="U2520">
        <f t="shared" si="395"/>
        <v>1</v>
      </c>
      <c r="V2520">
        <f t="shared" si="396"/>
        <v>1</v>
      </c>
      <c r="W2520">
        <f t="shared" si="397"/>
        <v>1</v>
      </c>
      <c r="X2520">
        <f t="shared" si="398"/>
        <v>0.99999999999999989</v>
      </c>
      <c r="Y2520" t="str">
        <f t="shared" si="399"/>
        <v>Healthy</v>
      </c>
    </row>
    <row r="2521" spans="1:25" x14ac:dyDescent="0.35">
      <c r="A2521" t="s">
        <v>71</v>
      </c>
      <c r="B2521" t="s">
        <v>72</v>
      </c>
      <c r="C2521" t="s">
        <v>174</v>
      </c>
      <c r="D2521" t="s">
        <v>1861</v>
      </c>
      <c r="E2521">
        <v>80829182</v>
      </c>
      <c r="F2521" t="s">
        <v>1862</v>
      </c>
      <c r="G2521" s="3">
        <v>46922</v>
      </c>
      <c r="H2521">
        <v>36</v>
      </c>
      <c r="I2521">
        <v>68</v>
      </c>
      <c r="J2521">
        <v>1</v>
      </c>
      <c r="K2521" s="4">
        <v>292.16000000000003</v>
      </c>
      <c r="L2521" s="4">
        <v>104.14285714285714</v>
      </c>
      <c r="M2521" s="4">
        <v>9.6021947873799734E-3</v>
      </c>
      <c r="N2521" t="s">
        <v>25</v>
      </c>
      <c r="O2521" t="str">
        <f t="shared" si="390"/>
        <v>Low</v>
      </c>
      <c r="P2521" t="str">
        <f t="shared" si="391"/>
        <v>Low</v>
      </c>
      <c r="Q2521" t="str">
        <f t="shared" si="392"/>
        <v>Low</v>
      </c>
      <c r="R2521" t="s">
        <v>3317</v>
      </c>
      <c r="S2521" s="4">
        <f t="shared" ca="1" si="393"/>
        <v>725</v>
      </c>
      <c r="T2521">
        <f t="shared" si="394"/>
        <v>1</v>
      </c>
      <c r="U2521">
        <f t="shared" si="395"/>
        <v>1</v>
      </c>
      <c r="V2521">
        <f t="shared" si="396"/>
        <v>1</v>
      </c>
      <c r="W2521">
        <f t="shared" si="397"/>
        <v>1</v>
      </c>
      <c r="X2521">
        <f t="shared" si="398"/>
        <v>0.99999999999999989</v>
      </c>
      <c r="Y2521" t="str">
        <f t="shared" si="399"/>
        <v>Healthy</v>
      </c>
    </row>
    <row r="2522" spans="1:25" x14ac:dyDescent="0.35">
      <c r="A2522" t="s">
        <v>90</v>
      </c>
      <c r="B2522" t="s">
        <v>217</v>
      </c>
      <c r="C2522" t="s">
        <v>542</v>
      </c>
      <c r="D2522" t="s">
        <v>1857</v>
      </c>
      <c r="E2522">
        <v>80888583</v>
      </c>
      <c r="F2522" t="s">
        <v>1858</v>
      </c>
      <c r="G2522" s="3">
        <v>46894</v>
      </c>
      <c r="H2522">
        <v>24</v>
      </c>
      <c r="I2522">
        <v>98</v>
      </c>
      <c r="J2522">
        <v>1427</v>
      </c>
      <c r="K2522" s="4">
        <v>98734.13</v>
      </c>
      <c r="L2522" s="4">
        <v>3200</v>
      </c>
      <c r="M2522" s="4">
        <v>0.44593749999999999</v>
      </c>
      <c r="N2522" t="s">
        <v>25</v>
      </c>
      <c r="O2522" t="str">
        <f t="shared" si="390"/>
        <v>Low</v>
      </c>
      <c r="P2522" t="str">
        <f t="shared" si="391"/>
        <v>Low</v>
      </c>
      <c r="Q2522" t="str">
        <f t="shared" si="392"/>
        <v>Low</v>
      </c>
      <c r="R2522" t="s">
        <v>3310</v>
      </c>
      <c r="S2522" s="4">
        <f t="shared" ca="1" si="393"/>
        <v>697</v>
      </c>
      <c r="T2522">
        <f t="shared" si="394"/>
        <v>1</v>
      </c>
      <c r="U2522">
        <f t="shared" si="395"/>
        <v>1</v>
      </c>
      <c r="V2522">
        <f t="shared" si="396"/>
        <v>1</v>
      </c>
      <c r="W2522">
        <f t="shared" si="397"/>
        <v>2</v>
      </c>
      <c r="X2522">
        <f t="shared" si="398"/>
        <v>1.0999999999999999</v>
      </c>
      <c r="Y2522" t="str">
        <f t="shared" si="399"/>
        <v>Healthy</v>
      </c>
    </row>
    <row r="2523" spans="1:25" x14ac:dyDescent="0.35">
      <c r="A2523" t="s">
        <v>71</v>
      </c>
      <c r="B2523" t="s">
        <v>72</v>
      </c>
      <c r="C2523" t="s">
        <v>174</v>
      </c>
      <c r="D2523" t="s">
        <v>1861</v>
      </c>
      <c r="E2523">
        <v>80829182</v>
      </c>
      <c r="F2523" t="s">
        <v>1862</v>
      </c>
      <c r="G2523" s="3">
        <v>46964</v>
      </c>
      <c r="H2523">
        <v>36</v>
      </c>
      <c r="I2523">
        <v>71</v>
      </c>
      <c r="J2523">
        <v>14</v>
      </c>
      <c r="K2523" s="4">
        <v>4090.24</v>
      </c>
      <c r="L2523" s="4">
        <v>104.14285714285714</v>
      </c>
      <c r="M2523" s="4">
        <v>0.13443072702331962</v>
      </c>
      <c r="N2523" t="s">
        <v>25</v>
      </c>
      <c r="O2523" t="str">
        <f t="shared" si="390"/>
        <v>Low</v>
      </c>
      <c r="P2523" t="str">
        <f t="shared" si="391"/>
        <v>Low</v>
      </c>
      <c r="Q2523" t="str">
        <f t="shared" si="392"/>
        <v>Low</v>
      </c>
      <c r="R2523" t="s">
        <v>3317</v>
      </c>
      <c r="S2523" s="4">
        <f t="shared" ca="1" si="393"/>
        <v>767</v>
      </c>
      <c r="T2523">
        <f t="shared" si="394"/>
        <v>1</v>
      </c>
      <c r="U2523">
        <f t="shared" si="395"/>
        <v>1</v>
      </c>
      <c r="V2523">
        <f t="shared" si="396"/>
        <v>1</v>
      </c>
      <c r="W2523">
        <f t="shared" si="397"/>
        <v>1</v>
      </c>
      <c r="X2523">
        <f t="shared" si="398"/>
        <v>0.99999999999999989</v>
      </c>
      <c r="Y2523" t="str">
        <f t="shared" si="399"/>
        <v>Healthy</v>
      </c>
    </row>
    <row r="2524" spans="1:25" x14ac:dyDescent="0.35">
      <c r="A2524" t="s">
        <v>90</v>
      </c>
      <c r="B2524" t="s">
        <v>217</v>
      </c>
      <c r="C2524" t="s">
        <v>542</v>
      </c>
      <c r="D2524" t="s">
        <v>1857</v>
      </c>
      <c r="E2524">
        <v>80888583</v>
      </c>
      <c r="F2524" t="s">
        <v>1858</v>
      </c>
      <c r="G2524" s="3">
        <v>46892</v>
      </c>
      <c r="H2524">
        <v>24</v>
      </c>
      <c r="I2524">
        <v>97</v>
      </c>
      <c r="J2524">
        <v>1200</v>
      </c>
      <c r="K2524" s="4">
        <v>83028</v>
      </c>
      <c r="L2524" s="4">
        <v>3200</v>
      </c>
      <c r="M2524" s="4">
        <v>0.375</v>
      </c>
      <c r="N2524" t="s">
        <v>25</v>
      </c>
      <c r="O2524" t="str">
        <f t="shared" si="390"/>
        <v>Low</v>
      </c>
      <c r="P2524" t="str">
        <f t="shared" si="391"/>
        <v>Low</v>
      </c>
      <c r="Q2524" t="str">
        <f t="shared" si="392"/>
        <v>Low</v>
      </c>
      <c r="R2524" t="s">
        <v>3310</v>
      </c>
      <c r="S2524" s="4">
        <f t="shared" ca="1" si="393"/>
        <v>695</v>
      </c>
      <c r="T2524">
        <f t="shared" si="394"/>
        <v>1</v>
      </c>
      <c r="U2524">
        <f t="shared" si="395"/>
        <v>1</v>
      </c>
      <c r="V2524">
        <f t="shared" si="396"/>
        <v>1</v>
      </c>
      <c r="W2524">
        <f t="shared" si="397"/>
        <v>2</v>
      </c>
      <c r="X2524">
        <f t="shared" si="398"/>
        <v>1.0999999999999999</v>
      </c>
      <c r="Y2524" t="str">
        <f t="shared" si="399"/>
        <v>Healthy</v>
      </c>
    </row>
    <row r="2525" spans="1:25" x14ac:dyDescent="0.35">
      <c r="A2525" t="s">
        <v>90</v>
      </c>
      <c r="B2525" t="s">
        <v>217</v>
      </c>
      <c r="C2525" t="s">
        <v>542</v>
      </c>
      <c r="D2525" t="s">
        <v>1857</v>
      </c>
      <c r="E2525">
        <v>80888583</v>
      </c>
      <c r="F2525" t="s">
        <v>1858</v>
      </c>
      <c r="G2525" s="3">
        <v>46905</v>
      </c>
      <c r="H2525">
        <v>24</v>
      </c>
      <c r="I2525">
        <v>99</v>
      </c>
      <c r="J2525">
        <v>4400</v>
      </c>
      <c r="K2525" s="4">
        <v>304436</v>
      </c>
      <c r="L2525" s="4">
        <v>3200</v>
      </c>
      <c r="M2525" s="4">
        <v>1.375</v>
      </c>
      <c r="N2525" t="s">
        <v>25</v>
      </c>
      <c r="O2525" t="str">
        <f t="shared" si="390"/>
        <v>Low</v>
      </c>
      <c r="P2525" t="str">
        <f t="shared" si="391"/>
        <v>Low</v>
      </c>
      <c r="Q2525" t="str">
        <f t="shared" si="392"/>
        <v>Low</v>
      </c>
      <c r="R2525" t="s">
        <v>3309</v>
      </c>
      <c r="S2525" s="4">
        <f t="shared" ca="1" si="393"/>
        <v>708</v>
      </c>
      <c r="T2525">
        <f t="shared" si="394"/>
        <v>1</v>
      </c>
      <c r="U2525">
        <f t="shared" si="395"/>
        <v>1</v>
      </c>
      <c r="V2525">
        <f t="shared" si="396"/>
        <v>1</v>
      </c>
      <c r="W2525">
        <f t="shared" si="397"/>
        <v>3</v>
      </c>
      <c r="X2525">
        <f t="shared" si="398"/>
        <v>1.2</v>
      </c>
      <c r="Y2525" t="str">
        <f t="shared" si="399"/>
        <v>Healthy</v>
      </c>
    </row>
    <row r="2526" spans="1:25" x14ac:dyDescent="0.35">
      <c r="A2526" t="s">
        <v>189</v>
      </c>
      <c r="B2526" t="s">
        <v>417</v>
      </c>
      <c r="C2526" t="s">
        <v>417</v>
      </c>
      <c r="D2526" t="s">
        <v>1863</v>
      </c>
      <c r="E2526">
        <v>80835895</v>
      </c>
      <c r="F2526" t="s">
        <v>1864</v>
      </c>
      <c r="G2526" s="3">
        <v>46178</v>
      </c>
      <c r="H2526">
        <v>18</v>
      </c>
      <c r="I2526">
        <v>0</v>
      </c>
      <c r="J2526">
        <v>1</v>
      </c>
      <c r="K2526" s="4">
        <v>296.38</v>
      </c>
      <c r="L2526" s="4">
        <v>2.2857142857142856</v>
      </c>
      <c r="M2526" s="4">
        <v>0.4375</v>
      </c>
      <c r="N2526" t="s">
        <v>25</v>
      </c>
      <c r="O2526" t="str">
        <f t="shared" si="390"/>
        <v>High</v>
      </c>
      <c r="P2526" t="str">
        <f t="shared" si="391"/>
        <v>Low</v>
      </c>
      <c r="Q2526" t="str">
        <f t="shared" si="392"/>
        <v>High</v>
      </c>
      <c r="R2526" t="s">
        <v>3317</v>
      </c>
      <c r="S2526" s="4">
        <f t="shared" ca="1" si="393"/>
        <v>-19</v>
      </c>
      <c r="T2526">
        <f t="shared" si="394"/>
        <v>3</v>
      </c>
      <c r="U2526">
        <f t="shared" si="395"/>
        <v>1</v>
      </c>
      <c r="V2526">
        <f t="shared" si="396"/>
        <v>3</v>
      </c>
      <c r="W2526">
        <f t="shared" si="397"/>
        <v>1</v>
      </c>
      <c r="X2526">
        <f t="shared" si="398"/>
        <v>2.2000000000000006</v>
      </c>
      <c r="Y2526" t="str">
        <f t="shared" si="399"/>
        <v>High Priority</v>
      </c>
    </row>
    <row r="2527" spans="1:25" x14ac:dyDescent="0.35">
      <c r="A2527" t="s">
        <v>90</v>
      </c>
      <c r="B2527" t="s">
        <v>217</v>
      </c>
      <c r="C2527" t="s">
        <v>533</v>
      </c>
      <c r="D2527" t="s">
        <v>622</v>
      </c>
      <c r="E2527">
        <v>83914733</v>
      </c>
      <c r="F2527" t="s">
        <v>1865</v>
      </c>
      <c r="G2527" s="3">
        <v>46878</v>
      </c>
      <c r="H2527">
        <v>24</v>
      </c>
      <c r="I2527">
        <v>95</v>
      </c>
      <c r="J2527">
        <v>106</v>
      </c>
      <c r="K2527" s="4">
        <v>222770.66</v>
      </c>
      <c r="L2527" s="4">
        <v>428.57142857142856</v>
      </c>
      <c r="M2527" s="4">
        <v>0.24733333333333335</v>
      </c>
      <c r="N2527" t="s">
        <v>25</v>
      </c>
      <c r="O2527" t="str">
        <f t="shared" si="390"/>
        <v>Low</v>
      </c>
      <c r="P2527" t="str">
        <f t="shared" si="391"/>
        <v>Low</v>
      </c>
      <c r="Q2527" t="str">
        <f t="shared" si="392"/>
        <v>Low</v>
      </c>
      <c r="R2527" t="s">
        <v>3309</v>
      </c>
      <c r="S2527" s="4">
        <f t="shared" ca="1" si="393"/>
        <v>681</v>
      </c>
      <c r="T2527">
        <f t="shared" si="394"/>
        <v>1</v>
      </c>
      <c r="U2527">
        <f t="shared" si="395"/>
        <v>1</v>
      </c>
      <c r="V2527">
        <f t="shared" si="396"/>
        <v>1</v>
      </c>
      <c r="W2527">
        <f t="shared" si="397"/>
        <v>3</v>
      </c>
      <c r="X2527">
        <f t="shared" si="398"/>
        <v>1.2</v>
      </c>
      <c r="Y2527" t="str">
        <f t="shared" si="399"/>
        <v>Healthy</v>
      </c>
    </row>
    <row r="2528" spans="1:25" x14ac:dyDescent="0.35">
      <c r="A2528" t="s">
        <v>90</v>
      </c>
      <c r="B2528" t="s">
        <v>217</v>
      </c>
      <c r="C2528" t="s">
        <v>533</v>
      </c>
      <c r="D2528" t="s">
        <v>622</v>
      </c>
      <c r="E2528">
        <v>83914733</v>
      </c>
      <c r="F2528" t="s">
        <v>1865</v>
      </c>
      <c r="G2528" s="3">
        <v>46870</v>
      </c>
      <c r="H2528">
        <v>24</v>
      </c>
      <c r="I2528">
        <v>94</v>
      </c>
      <c r="J2528">
        <v>1</v>
      </c>
      <c r="K2528" s="4">
        <v>2101.61</v>
      </c>
      <c r="L2528" s="4">
        <v>428.57142857142856</v>
      </c>
      <c r="M2528" s="4">
        <v>2.3333333333333335E-3</v>
      </c>
      <c r="N2528" t="s">
        <v>25</v>
      </c>
      <c r="O2528" t="str">
        <f t="shared" si="390"/>
        <v>Low</v>
      </c>
      <c r="P2528" t="str">
        <f t="shared" si="391"/>
        <v>Low</v>
      </c>
      <c r="Q2528" t="str">
        <f t="shared" si="392"/>
        <v>Low</v>
      </c>
      <c r="R2528" t="s">
        <v>3317</v>
      </c>
      <c r="S2528" s="4">
        <f t="shared" ca="1" si="393"/>
        <v>673</v>
      </c>
      <c r="T2528">
        <f t="shared" si="394"/>
        <v>1</v>
      </c>
      <c r="U2528">
        <f t="shared" si="395"/>
        <v>1</v>
      </c>
      <c r="V2528">
        <f t="shared" si="396"/>
        <v>1</v>
      </c>
      <c r="W2528">
        <f t="shared" si="397"/>
        <v>1</v>
      </c>
      <c r="X2528">
        <f t="shared" si="398"/>
        <v>0.99999999999999989</v>
      </c>
      <c r="Y2528" t="str">
        <f t="shared" si="399"/>
        <v>Healthy</v>
      </c>
    </row>
    <row r="2529" spans="1:25" x14ac:dyDescent="0.35">
      <c r="A2529" t="s">
        <v>189</v>
      </c>
      <c r="B2529" t="s">
        <v>417</v>
      </c>
      <c r="C2529" t="s">
        <v>417</v>
      </c>
      <c r="D2529" t="s">
        <v>1863</v>
      </c>
      <c r="E2529">
        <v>80835895</v>
      </c>
      <c r="F2529" t="s">
        <v>1864</v>
      </c>
      <c r="G2529" s="3">
        <v>46245</v>
      </c>
      <c r="H2529">
        <v>18</v>
      </c>
      <c r="I2529">
        <v>10</v>
      </c>
      <c r="J2529">
        <v>3</v>
      </c>
      <c r="K2529" s="4">
        <v>831.33</v>
      </c>
      <c r="L2529" s="4">
        <v>2.2857142857142856</v>
      </c>
      <c r="M2529" s="4">
        <v>1.3125</v>
      </c>
      <c r="N2529" t="s">
        <v>25</v>
      </c>
      <c r="O2529" t="str">
        <f t="shared" si="390"/>
        <v>High</v>
      </c>
      <c r="P2529" t="str">
        <f t="shared" si="391"/>
        <v>Low</v>
      </c>
      <c r="Q2529" t="str">
        <f t="shared" si="392"/>
        <v>High</v>
      </c>
      <c r="R2529" t="s">
        <v>3317</v>
      </c>
      <c r="S2529" s="4">
        <f t="shared" ca="1" si="393"/>
        <v>48</v>
      </c>
      <c r="T2529">
        <f t="shared" si="394"/>
        <v>3</v>
      </c>
      <c r="U2529">
        <f t="shared" si="395"/>
        <v>1</v>
      </c>
      <c r="V2529">
        <f t="shared" si="396"/>
        <v>3</v>
      </c>
      <c r="W2529">
        <f t="shared" si="397"/>
        <v>1</v>
      </c>
      <c r="X2529">
        <f t="shared" si="398"/>
        <v>2.2000000000000006</v>
      </c>
      <c r="Y2529" t="str">
        <f t="shared" si="399"/>
        <v>High Priority</v>
      </c>
    </row>
    <row r="2530" spans="1:25" x14ac:dyDescent="0.35">
      <c r="A2530" t="s">
        <v>90</v>
      </c>
      <c r="B2530" t="s">
        <v>217</v>
      </c>
      <c r="C2530" t="s">
        <v>533</v>
      </c>
      <c r="D2530" t="s">
        <v>622</v>
      </c>
      <c r="E2530">
        <v>83914733</v>
      </c>
      <c r="F2530" t="s">
        <v>1865</v>
      </c>
      <c r="G2530" s="3">
        <v>46881</v>
      </c>
      <c r="H2530">
        <v>24</v>
      </c>
      <c r="I2530">
        <v>96</v>
      </c>
      <c r="J2530">
        <v>96</v>
      </c>
      <c r="K2530" s="4">
        <v>201754.56</v>
      </c>
      <c r="L2530" s="4">
        <v>428.57142857142856</v>
      </c>
      <c r="M2530" s="4">
        <v>0.224</v>
      </c>
      <c r="N2530" t="s">
        <v>25</v>
      </c>
      <c r="O2530" t="str">
        <f t="shared" si="390"/>
        <v>Low</v>
      </c>
      <c r="P2530" t="str">
        <f t="shared" si="391"/>
        <v>Low</v>
      </c>
      <c r="Q2530" t="str">
        <f t="shared" si="392"/>
        <v>Low</v>
      </c>
      <c r="R2530" t="s">
        <v>3309</v>
      </c>
      <c r="S2530" s="4">
        <f t="shared" ca="1" si="393"/>
        <v>684</v>
      </c>
      <c r="T2530">
        <f t="shared" si="394"/>
        <v>1</v>
      </c>
      <c r="U2530">
        <f t="shared" si="395"/>
        <v>1</v>
      </c>
      <c r="V2530">
        <f t="shared" si="396"/>
        <v>1</v>
      </c>
      <c r="W2530">
        <f t="shared" si="397"/>
        <v>3</v>
      </c>
      <c r="X2530">
        <f t="shared" si="398"/>
        <v>1.2</v>
      </c>
      <c r="Y2530" t="str">
        <f t="shared" si="399"/>
        <v>Healthy</v>
      </c>
    </row>
    <row r="2531" spans="1:25" x14ac:dyDescent="0.35">
      <c r="A2531" t="s">
        <v>90</v>
      </c>
      <c r="B2531" t="s">
        <v>217</v>
      </c>
      <c r="C2531" t="s">
        <v>533</v>
      </c>
      <c r="D2531" t="s">
        <v>622</v>
      </c>
      <c r="E2531">
        <v>83914733</v>
      </c>
      <c r="F2531" t="s">
        <v>1865</v>
      </c>
      <c r="G2531" s="3">
        <v>46891</v>
      </c>
      <c r="H2531">
        <v>24</v>
      </c>
      <c r="I2531">
        <v>97</v>
      </c>
      <c r="J2531">
        <v>126</v>
      </c>
      <c r="K2531" s="4">
        <v>264802.86</v>
      </c>
      <c r="L2531" s="4">
        <v>428.57142857142856</v>
      </c>
      <c r="M2531" s="4">
        <v>0.29399999999999998</v>
      </c>
      <c r="N2531" t="s">
        <v>25</v>
      </c>
      <c r="O2531" t="str">
        <f t="shared" si="390"/>
        <v>Low</v>
      </c>
      <c r="P2531" t="str">
        <f t="shared" si="391"/>
        <v>Low</v>
      </c>
      <c r="Q2531" t="str">
        <f t="shared" si="392"/>
        <v>Low</v>
      </c>
      <c r="R2531" t="s">
        <v>3309</v>
      </c>
      <c r="S2531" s="4">
        <f t="shared" ca="1" si="393"/>
        <v>694</v>
      </c>
      <c r="T2531">
        <f t="shared" si="394"/>
        <v>1</v>
      </c>
      <c r="U2531">
        <f t="shared" si="395"/>
        <v>1</v>
      </c>
      <c r="V2531">
        <f t="shared" si="396"/>
        <v>1</v>
      </c>
      <c r="W2531">
        <f t="shared" si="397"/>
        <v>3</v>
      </c>
      <c r="X2531">
        <f t="shared" si="398"/>
        <v>1.2</v>
      </c>
      <c r="Y2531" t="str">
        <f t="shared" si="399"/>
        <v>Healthy</v>
      </c>
    </row>
    <row r="2532" spans="1:25" x14ac:dyDescent="0.35">
      <c r="A2532" t="s">
        <v>41</v>
      </c>
      <c r="B2532" t="s">
        <v>80</v>
      </c>
      <c r="C2532" t="s">
        <v>502</v>
      </c>
      <c r="D2532" t="s">
        <v>523</v>
      </c>
      <c r="E2532">
        <v>80840380</v>
      </c>
      <c r="F2532" t="s">
        <v>1866</v>
      </c>
      <c r="G2532" s="3">
        <v>46744</v>
      </c>
      <c r="H2532">
        <v>36</v>
      </c>
      <c r="I2532">
        <v>51</v>
      </c>
      <c r="J2532">
        <v>6</v>
      </c>
      <c r="K2532" s="4">
        <v>1847.94</v>
      </c>
      <c r="L2532" s="4">
        <v>754.57142857142856</v>
      </c>
      <c r="M2532" s="4">
        <v>7.9515335100340777E-3</v>
      </c>
      <c r="N2532" t="s">
        <v>25</v>
      </c>
      <c r="O2532" t="str">
        <f t="shared" si="390"/>
        <v>Low</v>
      </c>
      <c r="P2532" t="str">
        <f t="shared" si="391"/>
        <v>Low</v>
      </c>
      <c r="Q2532" t="str">
        <f t="shared" si="392"/>
        <v>Low</v>
      </c>
      <c r="R2532" t="s">
        <v>3317</v>
      </c>
      <c r="S2532" s="4">
        <f t="shared" ca="1" si="393"/>
        <v>547</v>
      </c>
      <c r="T2532">
        <f t="shared" si="394"/>
        <v>1</v>
      </c>
      <c r="U2532">
        <f t="shared" si="395"/>
        <v>1</v>
      </c>
      <c r="V2532">
        <f t="shared" si="396"/>
        <v>1</v>
      </c>
      <c r="W2532">
        <f t="shared" si="397"/>
        <v>1</v>
      </c>
      <c r="X2532">
        <f t="shared" si="398"/>
        <v>0.99999999999999989</v>
      </c>
      <c r="Y2532" t="str">
        <f t="shared" si="399"/>
        <v>Healthy</v>
      </c>
    </row>
    <row r="2533" spans="1:25" x14ac:dyDescent="0.35">
      <c r="A2533" t="s">
        <v>90</v>
      </c>
      <c r="B2533" t="s">
        <v>217</v>
      </c>
      <c r="C2533" t="s">
        <v>533</v>
      </c>
      <c r="D2533" t="s">
        <v>622</v>
      </c>
      <c r="E2533">
        <v>83914733</v>
      </c>
      <c r="F2533" t="s">
        <v>1865</v>
      </c>
      <c r="G2533" s="3">
        <v>46883</v>
      </c>
      <c r="H2533">
        <v>24</v>
      </c>
      <c r="I2533">
        <v>96</v>
      </c>
      <c r="J2533">
        <v>130</v>
      </c>
      <c r="K2533" s="4">
        <v>273209.3</v>
      </c>
      <c r="L2533" s="4">
        <v>428.57142857142856</v>
      </c>
      <c r="M2533" s="4">
        <v>0.30333333333333334</v>
      </c>
      <c r="N2533" t="s">
        <v>25</v>
      </c>
      <c r="O2533" t="str">
        <f t="shared" si="390"/>
        <v>Low</v>
      </c>
      <c r="P2533" t="str">
        <f t="shared" si="391"/>
        <v>Low</v>
      </c>
      <c r="Q2533" t="str">
        <f t="shared" si="392"/>
        <v>Low</v>
      </c>
      <c r="R2533" t="s">
        <v>3309</v>
      </c>
      <c r="S2533" s="4">
        <f t="shared" ca="1" si="393"/>
        <v>686</v>
      </c>
      <c r="T2533">
        <f t="shared" si="394"/>
        <v>1</v>
      </c>
      <c r="U2533">
        <f t="shared" si="395"/>
        <v>1</v>
      </c>
      <c r="V2533">
        <f t="shared" si="396"/>
        <v>1</v>
      </c>
      <c r="W2533">
        <f t="shared" si="397"/>
        <v>3</v>
      </c>
      <c r="X2533">
        <f t="shared" si="398"/>
        <v>1.2</v>
      </c>
      <c r="Y2533" t="str">
        <f t="shared" si="399"/>
        <v>Healthy</v>
      </c>
    </row>
    <row r="2534" spans="1:25" x14ac:dyDescent="0.35">
      <c r="A2534" t="s">
        <v>41</v>
      </c>
      <c r="B2534" t="s">
        <v>80</v>
      </c>
      <c r="C2534" t="s">
        <v>502</v>
      </c>
      <c r="D2534" t="s">
        <v>523</v>
      </c>
      <c r="E2534">
        <v>80840380</v>
      </c>
      <c r="F2534" t="s">
        <v>1866</v>
      </c>
      <c r="G2534" s="3">
        <v>47243</v>
      </c>
      <c r="H2534">
        <v>36</v>
      </c>
      <c r="I2534">
        <v>97</v>
      </c>
      <c r="J2534">
        <v>24</v>
      </c>
      <c r="K2534" s="4">
        <v>6527.76</v>
      </c>
      <c r="L2534" s="4">
        <v>754.57142857142856</v>
      </c>
      <c r="M2534" s="4">
        <v>3.1806134040136311E-2</v>
      </c>
      <c r="N2534" t="s">
        <v>25</v>
      </c>
      <c r="O2534" t="str">
        <f t="shared" si="390"/>
        <v>Low</v>
      </c>
      <c r="P2534" t="str">
        <f t="shared" si="391"/>
        <v>Low</v>
      </c>
      <c r="Q2534" t="str">
        <f t="shared" si="392"/>
        <v>Low</v>
      </c>
      <c r="R2534" t="s">
        <v>3317</v>
      </c>
      <c r="S2534" s="4">
        <f t="shared" ca="1" si="393"/>
        <v>1046</v>
      </c>
      <c r="T2534">
        <f t="shared" si="394"/>
        <v>1</v>
      </c>
      <c r="U2534">
        <f t="shared" si="395"/>
        <v>1</v>
      </c>
      <c r="V2534">
        <f t="shared" si="396"/>
        <v>1</v>
      </c>
      <c r="W2534">
        <f t="shared" si="397"/>
        <v>1</v>
      </c>
      <c r="X2534">
        <f t="shared" si="398"/>
        <v>0.99999999999999989</v>
      </c>
      <c r="Y2534" t="str">
        <f t="shared" si="399"/>
        <v>Healthy</v>
      </c>
    </row>
    <row r="2535" spans="1:25" x14ac:dyDescent="0.35">
      <c r="A2535" t="s">
        <v>90</v>
      </c>
      <c r="B2535" t="s">
        <v>217</v>
      </c>
      <c r="C2535" t="s">
        <v>533</v>
      </c>
      <c r="D2535" t="s">
        <v>622</v>
      </c>
      <c r="E2535">
        <v>83914733</v>
      </c>
      <c r="F2535" t="s">
        <v>1865</v>
      </c>
      <c r="G2535" s="3">
        <v>46877</v>
      </c>
      <c r="H2535">
        <v>24</v>
      </c>
      <c r="I2535">
        <v>95</v>
      </c>
      <c r="J2535">
        <v>117</v>
      </c>
      <c r="K2535" s="4">
        <v>245888.37</v>
      </c>
      <c r="L2535" s="4">
        <v>428.57142857142856</v>
      </c>
      <c r="M2535" s="4">
        <v>0.27300000000000002</v>
      </c>
      <c r="N2535" t="s">
        <v>25</v>
      </c>
      <c r="O2535" t="str">
        <f t="shared" si="390"/>
        <v>Low</v>
      </c>
      <c r="P2535" t="str">
        <f t="shared" si="391"/>
        <v>Low</v>
      </c>
      <c r="Q2535" t="str">
        <f t="shared" si="392"/>
        <v>Low</v>
      </c>
      <c r="R2535" t="s">
        <v>3309</v>
      </c>
      <c r="S2535" s="4">
        <f t="shared" ca="1" si="393"/>
        <v>680</v>
      </c>
      <c r="T2535">
        <f t="shared" si="394"/>
        <v>1</v>
      </c>
      <c r="U2535">
        <f t="shared" si="395"/>
        <v>1</v>
      </c>
      <c r="V2535">
        <f t="shared" si="396"/>
        <v>1</v>
      </c>
      <c r="W2535">
        <f t="shared" si="397"/>
        <v>3</v>
      </c>
      <c r="X2535">
        <f t="shared" si="398"/>
        <v>1.2</v>
      </c>
      <c r="Y2535" t="str">
        <f t="shared" si="399"/>
        <v>Healthy</v>
      </c>
    </row>
    <row r="2536" spans="1:25" x14ac:dyDescent="0.35">
      <c r="A2536" t="s">
        <v>41</v>
      </c>
      <c r="B2536" t="s">
        <v>80</v>
      </c>
      <c r="C2536" t="s">
        <v>502</v>
      </c>
      <c r="D2536" t="s">
        <v>523</v>
      </c>
      <c r="E2536">
        <v>80840380</v>
      </c>
      <c r="F2536" t="s">
        <v>1866</v>
      </c>
      <c r="G2536" s="3">
        <v>46891</v>
      </c>
      <c r="H2536">
        <v>36</v>
      </c>
      <c r="I2536">
        <v>65</v>
      </c>
      <c r="J2536">
        <v>30</v>
      </c>
      <c r="K2536" s="4">
        <v>8159.7</v>
      </c>
      <c r="L2536" s="4">
        <v>754.57142857142856</v>
      </c>
      <c r="M2536" s="4">
        <v>3.9757667550170392E-2</v>
      </c>
      <c r="N2536" t="s">
        <v>25</v>
      </c>
      <c r="O2536" t="str">
        <f t="shared" si="390"/>
        <v>Low</v>
      </c>
      <c r="P2536" t="str">
        <f t="shared" si="391"/>
        <v>Low</v>
      </c>
      <c r="Q2536" t="str">
        <f t="shared" si="392"/>
        <v>Low</v>
      </c>
      <c r="R2536" t="s">
        <v>3317</v>
      </c>
      <c r="S2536" s="4">
        <f t="shared" ca="1" si="393"/>
        <v>694</v>
      </c>
      <c r="T2536">
        <f t="shared" si="394"/>
        <v>1</v>
      </c>
      <c r="U2536">
        <f t="shared" si="395"/>
        <v>1</v>
      </c>
      <c r="V2536">
        <f t="shared" si="396"/>
        <v>1</v>
      </c>
      <c r="W2536">
        <f t="shared" si="397"/>
        <v>1</v>
      </c>
      <c r="X2536">
        <f t="shared" si="398"/>
        <v>0.99999999999999989</v>
      </c>
      <c r="Y2536" t="str">
        <f t="shared" si="399"/>
        <v>Healthy</v>
      </c>
    </row>
    <row r="2537" spans="1:25" x14ac:dyDescent="0.35">
      <c r="A2537" t="s">
        <v>90</v>
      </c>
      <c r="B2537" t="s">
        <v>217</v>
      </c>
      <c r="C2537" t="s">
        <v>533</v>
      </c>
      <c r="D2537" t="s">
        <v>622</v>
      </c>
      <c r="E2537">
        <v>83914733</v>
      </c>
      <c r="F2537" t="s">
        <v>1865</v>
      </c>
      <c r="G2537" s="3">
        <v>46876</v>
      </c>
      <c r="H2537">
        <v>24</v>
      </c>
      <c r="I2537">
        <v>95</v>
      </c>
      <c r="J2537">
        <v>128</v>
      </c>
      <c r="K2537" s="4">
        <v>269006.08000000002</v>
      </c>
      <c r="L2537" s="4">
        <v>428.57142857142856</v>
      </c>
      <c r="M2537" s="4">
        <v>0.29866666666666669</v>
      </c>
      <c r="N2537" t="s">
        <v>25</v>
      </c>
      <c r="O2537" t="str">
        <f t="shared" si="390"/>
        <v>Low</v>
      </c>
      <c r="P2537" t="str">
        <f t="shared" si="391"/>
        <v>Low</v>
      </c>
      <c r="Q2537" t="str">
        <f t="shared" si="392"/>
        <v>Low</v>
      </c>
      <c r="R2537" t="s">
        <v>3309</v>
      </c>
      <c r="S2537" s="4">
        <f t="shared" ca="1" si="393"/>
        <v>679</v>
      </c>
      <c r="T2537">
        <f t="shared" si="394"/>
        <v>1</v>
      </c>
      <c r="U2537">
        <f t="shared" si="395"/>
        <v>1</v>
      </c>
      <c r="V2537">
        <f t="shared" si="396"/>
        <v>1</v>
      </c>
      <c r="W2537">
        <f t="shared" si="397"/>
        <v>3</v>
      </c>
      <c r="X2537">
        <f t="shared" si="398"/>
        <v>1.2</v>
      </c>
      <c r="Y2537" t="str">
        <f t="shared" si="399"/>
        <v>Healthy</v>
      </c>
    </row>
    <row r="2538" spans="1:25" x14ac:dyDescent="0.35">
      <c r="A2538" t="s">
        <v>41</v>
      </c>
      <c r="B2538" t="s">
        <v>80</v>
      </c>
      <c r="C2538" t="s">
        <v>502</v>
      </c>
      <c r="D2538" t="s">
        <v>523</v>
      </c>
      <c r="E2538">
        <v>80840380</v>
      </c>
      <c r="F2538" t="s">
        <v>1866</v>
      </c>
      <c r="G2538" s="3">
        <v>46976</v>
      </c>
      <c r="H2538">
        <v>36</v>
      </c>
      <c r="I2538">
        <v>73</v>
      </c>
      <c r="J2538">
        <v>102</v>
      </c>
      <c r="K2538" s="4">
        <v>37534.620000000003</v>
      </c>
      <c r="L2538" s="4">
        <v>754.57142857142856</v>
      </c>
      <c r="M2538" s="4">
        <v>0.13517606967057932</v>
      </c>
      <c r="N2538" t="s">
        <v>25</v>
      </c>
      <c r="O2538" t="str">
        <f t="shared" si="390"/>
        <v>Low</v>
      </c>
      <c r="P2538" t="str">
        <f t="shared" si="391"/>
        <v>Low</v>
      </c>
      <c r="Q2538" t="str">
        <f t="shared" si="392"/>
        <v>Low</v>
      </c>
      <c r="R2538" t="s">
        <v>3317</v>
      </c>
      <c r="S2538" s="4">
        <f t="shared" ca="1" si="393"/>
        <v>779</v>
      </c>
      <c r="T2538">
        <f t="shared" si="394"/>
        <v>1</v>
      </c>
      <c r="U2538">
        <f t="shared" si="395"/>
        <v>1</v>
      </c>
      <c r="V2538">
        <f t="shared" si="396"/>
        <v>1</v>
      </c>
      <c r="W2538">
        <f t="shared" si="397"/>
        <v>1</v>
      </c>
      <c r="X2538">
        <f t="shared" si="398"/>
        <v>0.99999999999999989</v>
      </c>
      <c r="Y2538" t="str">
        <f t="shared" si="399"/>
        <v>Healthy</v>
      </c>
    </row>
    <row r="2539" spans="1:25" x14ac:dyDescent="0.35">
      <c r="A2539" t="s">
        <v>90</v>
      </c>
      <c r="B2539" t="s">
        <v>217</v>
      </c>
      <c r="C2539" t="s">
        <v>533</v>
      </c>
      <c r="D2539" t="s">
        <v>622</v>
      </c>
      <c r="E2539">
        <v>83914733</v>
      </c>
      <c r="F2539" t="s">
        <v>1865</v>
      </c>
      <c r="G2539" s="3">
        <v>46871</v>
      </c>
      <c r="H2539">
        <v>24</v>
      </c>
      <c r="I2539">
        <v>94</v>
      </c>
      <c r="J2539">
        <v>70</v>
      </c>
      <c r="K2539" s="4">
        <v>147112.70000000001</v>
      </c>
      <c r="L2539" s="4">
        <v>428.57142857142856</v>
      </c>
      <c r="M2539" s="4">
        <v>0.16333333333333333</v>
      </c>
      <c r="N2539" t="s">
        <v>25</v>
      </c>
      <c r="O2539" t="str">
        <f t="shared" si="390"/>
        <v>Low</v>
      </c>
      <c r="P2539" t="str">
        <f t="shared" si="391"/>
        <v>Low</v>
      </c>
      <c r="Q2539" t="str">
        <f t="shared" si="392"/>
        <v>Low</v>
      </c>
      <c r="R2539" t="s">
        <v>3309</v>
      </c>
      <c r="S2539" s="4">
        <f t="shared" ca="1" si="393"/>
        <v>674</v>
      </c>
      <c r="T2539">
        <f t="shared" si="394"/>
        <v>1</v>
      </c>
      <c r="U2539">
        <f t="shared" si="395"/>
        <v>1</v>
      </c>
      <c r="V2539">
        <f t="shared" si="396"/>
        <v>1</v>
      </c>
      <c r="W2539">
        <f t="shared" si="397"/>
        <v>3</v>
      </c>
      <c r="X2539">
        <f t="shared" si="398"/>
        <v>1.2</v>
      </c>
      <c r="Y2539" t="str">
        <f t="shared" si="399"/>
        <v>Healthy</v>
      </c>
    </row>
    <row r="2540" spans="1:25" x14ac:dyDescent="0.35">
      <c r="A2540" t="s">
        <v>41</v>
      </c>
      <c r="B2540" t="s">
        <v>80</v>
      </c>
      <c r="C2540" t="s">
        <v>502</v>
      </c>
      <c r="D2540" t="s">
        <v>523</v>
      </c>
      <c r="E2540">
        <v>80840380</v>
      </c>
      <c r="F2540" t="s">
        <v>1866</v>
      </c>
      <c r="G2540" s="3">
        <v>47010</v>
      </c>
      <c r="H2540">
        <v>36</v>
      </c>
      <c r="I2540">
        <v>76</v>
      </c>
      <c r="J2540">
        <v>24</v>
      </c>
      <c r="K2540" s="4">
        <v>6527.76</v>
      </c>
      <c r="L2540" s="4">
        <v>754.57142857142856</v>
      </c>
      <c r="M2540" s="4">
        <v>3.1806134040136311E-2</v>
      </c>
      <c r="N2540" t="s">
        <v>25</v>
      </c>
      <c r="O2540" t="str">
        <f t="shared" si="390"/>
        <v>Low</v>
      </c>
      <c r="P2540" t="str">
        <f t="shared" si="391"/>
        <v>Low</v>
      </c>
      <c r="Q2540" t="str">
        <f t="shared" si="392"/>
        <v>Low</v>
      </c>
      <c r="R2540" t="s">
        <v>3317</v>
      </c>
      <c r="S2540" s="4">
        <f t="shared" ca="1" si="393"/>
        <v>813</v>
      </c>
      <c r="T2540">
        <f t="shared" si="394"/>
        <v>1</v>
      </c>
      <c r="U2540">
        <f t="shared" si="395"/>
        <v>1</v>
      </c>
      <c r="V2540">
        <f t="shared" si="396"/>
        <v>1</v>
      </c>
      <c r="W2540">
        <f t="shared" si="397"/>
        <v>1</v>
      </c>
      <c r="X2540">
        <f t="shared" si="398"/>
        <v>0.99999999999999989</v>
      </c>
      <c r="Y2540" t="str">
        <f t="shared" si="399"/>
        <v>Healthy</v>
      </c>
    </row>
    <row r="2541" spans="1:25" x14ac:dyDescent="0.35">
      <c r="A2541" t="s">
        <v>90</v>
      </c>
      <c r="B2541" t="s">
        <v>217</v>
      </c>
      <c r="C2541" t="s">
        <v>533</v>
      </c>
      <c r="D2541" t="s">
        <v>622</v>
      </c>
      <c r="E2541">
        <v>83914733</v>
      </c>
      <c r="F2541" t="s">
        <v>1865</v>
      </c>
      <c r="G2541" s="3">
        <v>46873</v>
      </c>
      <c r="H2541">
        <v>24</v>
      </c>
      <c r="I2541">
        <v>95</v>
      </c>
      <c r="J2541">
        <v>74</v>
      </c>
      <c r="K2541" s="4">
        <v>155519.14000000001</v>
      </c>
      <c r="L2541" s="4">
        <v>428.57142857142856</v>
      </c>
      <c r="M2541" s="4">
        <v>0.17266666666666666</v>
      </c>
      <c r="N2541" t="s">
        <v>25</v>
      </c>
      <c r="O2541" t="str">
        <f t="shared" si="390"/>
        <v>Low</v>
      </c>
      <c r="P2541" t="str">
        <f t="shared" si="391"/>
        <v>Low</v>
      </c>
      <c r="Q2541" t="str">
        <f t="shared" si="392"/>
        <v>Low</v>
      </c>
      <c r="R2541" t="s">
        <v>3309</v>
      </c>
      <c r="S2541" s="4">
        <f t="shared" ca="1" si="393"/>
        <v>676</v>
      </c>
      <c r="T2541">
        <f t="shared" si="394"/>
        <v>1</v>
      </c>
      <c r="U2541">
        <f t="shared" si="395"/>
        <v>1</v>
      </c>
      <c r="V2541">
        <f t="shared" si="396"/>
        <v>1</v>
      </c>
      <c r="W2541">
        <f t="shared" si="397"/>
        <v>3</v>
      </c>
      <c r="X2541">
        <f t="shared" si="398"/>
        <v>1.2</v>
      </c>
      <c r="Y2541" t="str">
        <f t="shared" si="399"/>
        <v>Healthy</v>
      </c>
    </row>
    <row r="2542" spans="1:25" x14ac:dyDescent="0.35">
      <c r="A2542" t="s">
        <v>41</v>
      </c>
      <c r="B2542" t="s">
        <v>80</v>
      </c>
      <c r="C2542" t="s">
        <v>502</v>
      </c>
      <c r="D2542" t="s">
        <v>523</v>
      </c>
      <c r="E2542">
        <v>80840380</v>
      </c>
      <c r="F2542" t="s">
        <v>1866</v>
      </c>
      <c r="G2542" s="3">
        <v>46646</v>
      </c>
      <c r="H2542">
        <v>36</v>
      </c>
      <c r="I2542">
        <v>42</v>
      </c>
      <c r="J2542">
        <v>30</v>
      </c>
      <c r="K2542" s="4">
        <v>8159.7</v>
      </c>
      <c r="L2542" s="4">
        <v>754.57142857142856</v>
      </c>
      <c r="M2542" s="4">
        <v>3.9757667550170392E-2</v>
      </c>
      <c r="N2542" t="s">
        <v>25</v>
      </c>
      <c r="O2542" t="str">
        <f t="shared" si="390"/>
        <v>Low</v>
      </c>
      <c r="P2542" t="str">
        <f t="shared" si="391"/>
        <v>Low</v>
      </c>
      <c r="Q2542" t="str">
        <f t="shared" si="392"/>
        <v>Low</v>
      </c>
      <c r="R2542" t="s">
        <v>3317</v>
      </c>
      <c r="S2542" s="4">
        <f t="shared" ca="1" si="393"/>
        <v>449</v>
      </c>
      <c r="T2542">
        <f t="shared" si="394"/>
        <v>1</v>
      </c>
      <c r="U2542">
        <f t="shared" si="395"/>
        <v>1</v>
      </c>
      <c r="V2542">
        <f t="shared" si="396"/>
        <v>1</v>
      </c>
      <c r="W2542">
        <f t="shared" si="397"/>
        <v>1</v>
      </c>
      <c r="X2542">
        <f t="shared" si="398"/>
        <v>0.99999999999999989</v>
      </c>
      <c r="Y2542" t="str">
        <f t="shared" si="399"/>
        <v>Healthy</v>
      </c>
    </row>
    <row r="2543" spans="1:25" x14ac:dyDescent="0.35">
      <c r="A2543" t="s">
        <v>90</v>
      </c>
      <c r="B2543" t="s">
        <v>217</v>
      </c>
      <c r="C2543" t="s">
        <v>533</v>
      </c>
      <c r="D2543" t="s">
        <v>622</v>
      </c>
      <c r="E2543">
        <v>83914733</v>
      </c>
      <c r="F2543" t="s">
        <v>1865</v>
      </c>
      <c r="G2543" s="3">
        <v>46891</v>
      </c>
      <c r="H2543">
        <v>24</v>
      </c>
      <c r="I2543">
        <v>97</v>
      </c>
      <c r="J2543">
        <v>427</v>
      </c>
      <c r="K2543" s="4">
        <v>897387.47</v>
      </c>
      <c r="L2543" s="4">
        <v>428.57142857142856</v>
      </c>
      <c r="M2543" s="4">
        <v>0.9963333333333334</v>
      </c>
      <c r="N2543" t="s">
        <v>25</v>
      </c>
      <c r="O2543" t="str">
        <f t="shared" si="390"/>
        <v>Low</v>
      </c>
      <c r="P2543" t="str">
        <f t="shared" si="391"/>
        <v>Low</v>
      </c>
      <c r="Q2543" t="str">
        <f t="shared" si="392"/>
        <v>Low</v>
      </c>
      <c r="R2543" t="s">
        <v>3309</v>
      </c>
      <c r="S2543" s="4">
        <f t="shared" ca="1" si="393"/>
        <v>694</v>
      </c>
      <c r="T2543">
        <f t="shared" si="394"/>
        <v>1</v>
      </c>
      <c r="U2543">
        <f t="shared" si="395"/>
        <v>1</v>
      </c>
      <c r="V2543">
        <f t="shared" si="396"/>
        <v>1</v>
      </c>
      <c r="W2543">
        <f t="shared" si="397"/>
        <v>3</v>
      </c>
      <c r="X2543">
        <f t="shared" si="398"/>
        <v>1.2</v>
      </c>
      <c r="Y2543" t="str">
        <f t="shared" si="399"/>
        <v>Healthy</v>
      </c>
    </row>
    <row r="2544" spans="1:25" x14ac:dyDescent="0.35">
      <c r="A2544" t="s">
        <v>41</v>
      </c>
      <c r="B2544" t="s">
        <v>80</v>
      </c>
      <c r="C2544" t="s">
        <v>502</v>
      </c>
      <c r="D2544" t="s">
        <v>523</v>
      </c>
      <c r="E2544">
        <v>80840380</v>
      </c>
      <c r="F2544" t="s">
        <v>1866</v>
      </c>
      <c r="G2544" s="3">
        <v>46924</v>
      </c>
      <c r="H2544">
        <v>36</v>
      </c>
      <c r="I2544">
        <v>68</v>
      </c>
      <c r="J2544">
        <v>72</v>
      </c>
      <c r="K2544" s="4">
        <v>19583.28</v>
      </c>
      <c r="L2544" s="4">
        <v>754.57142857142856</v>
      </c>
      <c r="M2544" s="4">
        <v>9.5418402120408932E-2</v>
      </c>
      <c r="N2544" t="s">
        <v>25</v>
      </c>
      <c r="O2544" t="str">
        <f t="shared" si="390"/>
        <v>Low</v>
      </c>
      <c r="P2544" t="str">
        <f t="shared" si="391"/>
        <v>Low</v>
      </c>
      <c r="Q2544" t="str">
        <f t="shared" si="392"/>
        <v>Low</v>
      </c>
      <c r="R2544" t="s">
        <v>3317</v>
      </c>
      <c r="S2544" s="4">
        <f t="shared" ca="1" si="393"/>
        <v>727</v>
      </c>
      <c r="T2544">
        <f t="shared" si="394"/>
        <v>1</v>
      </c>
      <c r="U2544">
        <f t="shared" si="395"/>
        <v>1</v>
      </c>
      <c r="V2544">
        <f t="shared" si="396"/>
        <v>1</v>
      </c>
      <c r="W2544">
        <f t="shared" si="397"/>
        <v>1</v>
      </c>
      <c r="X2544">
        <f t="shared" si="398"/>
        <v>0.99999999999999989</v>
      </c>
      <c r="Y2544" t="str">
        <f t="shared" si="399"/>
        <v>Healthy</v>
      </c>
    </row>
    <row r="2545" spans="1:25" x14ac:dyDescent="0.35">
      <c r="A2545" t="s">
        <v>90</v>
      </c>
      <c r="B2545" t="s">
        <v>217</v>
      </c>
      <c r="C2545" t="s">
        <v>533</v>
      </c>
      <c r="D2545" t="s">
        <v>622</v>
      </c>
      <c r="E2545">
        <v>83914733</v>
      </c>
      <c r="F2545" t="s">
        <v>1865</v>
      </c>
      <c r="G2545" s="3">
        <v>46888</v>
      </c>
      <c r="H2545">
        <v>24</v>
      </c>
      <c r="I2545">
        <v>97</v>
      </c>
      <c r="J2545">
        <v>142</v>
      </c>
      <c r="K2545" s="4">
        <v>298428.62</v>
      </c>
      <c r="L2545" s="4">
        <v>428.57142857142856</v>
      </c>
      <c r="M2545" s="4">
        <v>0.33133333333333337</v>
      </c>
      <c r="N2545" t="s">
        <v>25</v>
      </c>
      <c r="O2545" t="str">
        <f t="shared" si="390"/>
        <v>Low</v>
      </c>
      <c r="P2545" t="str">
        <f t="shared" si="391"/>
        <v>Low</v>
      </c>
      <c r="Q2545" t="str">
        <f t="shared" si="392"/>
        <v>Low</v>
      </c>
      <c r="R2545" t="s">
        <v>3309</v>
      </c>
      <c r="S2545" s="4">
        <f t="shared" ca="1" si="393"/>
        <v>691</v>
      </c>
      <c r="T2545">
        <f t="shared" si="394"/>
        <v>1</v>
      </c>
      <c r="U2545">
        <f t="shared" si="395"/>
        <v>1</v>
      </c>
      <c r="V2545">
        <f t="shared" si="396"/>
        <v>1</v>
      </c>
      <c r="W2545">
        <f t="shared" si="397"/>
        <v>3</v>
      </c>
      <c r="X2545">
        <f t="shared" si="398"/>
        <v>1.2</v>
      </c>
      <c r="Y2545" t="str">
        <f t="shared" si="399"/>
        <v>Healthy</v>
      </c>
    </row>
    <row r="2546" spans="1:25" x14ac:dyDescent="0.35">
      <c r="A2546" t="s">
        <v>41</v>
      </c>
      <c r="B2546" t="s">
        <v>80</v>
      </c>
      <c r="C2546" t="s">
        <v>502</v>
      </c>
      <c r="D2546" t="s">
        <v>523</v>
      </c>
      <c r="E2546">
        <v>80840380</v>
      </c>
      <c r="F2546" t="s">
        <v>1866</v>
      </c>
      <c r="G2546" s="3">
        <v>46816</v>
      </c>
      <c r="H2546">
        <v>36</v>
      </c>
      <c r="I2546">
        <v>58</v>
      </c>
      <c r="J2546">
        <v>12</v>
      </c>
      <c r="K2546" s="4">
        <v>3263.88</v>
      </c>
      <c r="L2546" s="4">
        <v>754.57142857142856</v>
      </c>
      <c r="M2546" s="4">
        <v>1.5903067020068155E-2</v>
      </c>
      <c r="N2546" t="s">
        <v>25</v>
      </c>
      <c r="O2546" t="str">
        <f t="shared" si="390"/>
        <v>Low</v>
      </c>
      <c r="P2546" t="str">
        <f t="shared" si="391"/>
        <v>Low</v>
      </c>
      <c r="Q2546" t="str">
        <f t="shared" si="392"/>
        <v>Low</v>
      </c>
      <c r="R2546" t="s">
        <v>3317</v>
      </c>
      <c r="S2546" s="4">
        <f t="shared" ca="1" si="393"/>
        <v>619</v>
      </c>
      <c r="T2546">
        <f t="shared" si="394"/>
        <v>1</v>
      </c>
      <c r="U2546">
        <f t="shared" si="395"/>
        <v>1</v>
      </c>
      <c r="V2546">
        <f t="shared" si="396"/>
        <v>1</v>
      </c>
      <c r="W2546">
        <f t="shared" si="397"/>
        <v>1</v>
      </c>
      <c r="X2546">
        <f t="shared" si="398"/>
        <v>0.99999999999999989</v>
      </c>
      <c r="Y2546" t="str">
        <f t="shared" si="399"/>
        <v>Healthy</v>
      </c>
    </row>
    <row r="2547" spans="1:25" x14ac:dyDescent="0.35">
      <c r="A2547" t="s">
        <v>90</v>
      </c>
      <c r="B2547" t="s">
        <v>217</v>
      </c>
      <c r="C2547" t="s">
        <v>533</v>
      </c>
      <c r="D2547" t="s">
        <v>628</v>
      </c>
      <c r="E2547">
        <v>83914734</v>
      </c>
      <c r="F2547" t="s">
        <v>1867</v>
      </c>
      <c r="G2547" s="3">
        <v>46912</v>
      </c>
      <c r="H2547">
        <v>24</v>
      </c>
      <c r="I2547">
        <v>100</v>
      </c>
      <c r="J2547">
        <v>52</v>
      </c>
      <c r="K2547" s="4">
        <v>2023.84</v>
      </c>
      <c r="L2547" s="4">
        <v>26092.857142857141</v>
      </c>
      <c r="M2547" s="4">
        <v>1.99288256227758E-3</v>
      </c>
      <c r="N2547" t="s">
        <v>25</v>
      </c>
      <c r="O2547" t="str">
        <f t="shared" si="390"/>
        <v>Low</v>
      </c>
      <c r="P2547" t="str">
        <f t="shared" si="391"/>
        <v>Low</v>
      </c>
      <c r="Q2547" t="str">
        <f t="shared" si="392"/>
        <v>Low</v>
      </c>
      <c r="R2547" t="s">
        <v>3317</v>
      </c>
      <c r="S2547" s="4">
        <f t="shared" ca="1" si="393"/>
        <v>715</v>
      </c>
      <c r="T2547">
        <f t="shared" si="394"/>
        <v>1</v>
      </c>
      <c r="U2547">
        <f t="shared" si="395"/>
        <v>1</v>
      </c>
      <c r="V2547">
        <f t="shared" si="396"/>
        <v>1</v>
      </c>
      <c r="W2547">
        <f t="shared" si="397"/>
        <v>1</v>
      </c>
      <c r="X2547">
        <f t="shared" si="398"/>
        <v>0.99999999999999989</v>
      </c>
      <c r="Y2547" t="str">
        <f t="shared" si="399"/>
        <v>Healthy</v>
      </c>
    </row>
    <row r="2548" spans="1:25" x14ac:dyDescent="0.35">
      <c r="A2548" t="s">
        <v>41</v>
      </c>
      <c r="B2548" t="s">
        <v>80</v>
      </c>
      <c r="C2548" t="s">
        <v>502</v>
      </c>
      <c r="D2548" t="s">
        <v>523</v>
      </c>
      <c r="E2548">
        <v>80840380</v>
      </c>
      <c r="F2548" t="s">
        <v>1866</v>
      </c>
      <c r="G2548" s="3">
        <v>46925</v>
      </c>
      <c r="H2548">
        <v>36</v>
      </c>
      <c r="I2548">
        <v>68</v>
      </c>
      <c r="J2548">
        <v>18</v>
      </c>
      <c r="K2548" s="4">
        <v>4895.82</v>
      </c>
      <c r="L2548" s="4">
        <v>754.57142857142856</v>
      </c>
      <c r="M2548" s="4">
        <v>2.3854600530102233E-2</v>
      </c>
      <c r="N2548" t="s">
        <v>25</v>
      </c>
      <c r="O2548" t="str">
        <f t="shared" si="390"/>
        <v>Low</v>
      </c>
      <c r="P2548" t="str">
        <f t="shared" si="391"/>
        <v>Low</v>
      </c>
      <c r="Q2548" t="str">
        <f t="shared" si="392"/>
        <v>Low</v>
      </c>
      <c r="R2548" t="s">
        <v>3317</v>
      </c>
      <c r="S2548" s="4">
        <f t="shared" ca="1" si="393"/>
        <v>728</v>
      </c>
      <c r="T2548">
        <f t="shared" si="394"/>
        <v>1</v>
      </c>
      <c r="U2548">
        <f t="shared" si="395"/>
        <v>1</v>
      </c>
      <c r="V2548">
        <f t="shared" si="396"/>
        <v>1</v>
      </c>
      <c r="W2548">
        <f t="shared" si="397"/>
        <v>1</v>
      </c>
      <c r="X2548">
        <f t="shared" si="398"/>
        <v>0.99999999999999989</v>
      </c>
      <c r="Y2548" t="str">
        <f t="shared" si="399"/>
        <v>Healthy</v>
      </c>
    </row>
    <row r="2549" spans="1:25" x14ac:dyDescent="0.35">
      <c r="A2549" t="s">
        <v>41</v>
      </c>
      <c r="B2549" t="s">
        <v>80</v>
      </c>
      <c r="C2549" t="s">
        <v>502</v>
      </c>
      <c r="D2549" t="s">
        <v>523</v>
      </c>
      <c r="E2549">
        <v>80840380</v>
      </c>
      <c r="F2549" t="s">
        <v>1866</v>
      </c>
      <c r="G2549" s="3">
        <v>46816</v>
      </c>
      <c r="H2549">
        <v>36</v>
      </c>
      <c r="I2549">
        <v>58</v>
      </c>
      <c r="J2549">
        <v>12</v>
      </c>
      <c r="K2549" s="4">
        <v>3263.88</v>
      </c>
      <c r="L2549" s="4">
        <v>754.57142857142856</v>
      </c>
      <c r="M2549" s="4">
        <v>1.5903067020068155E-2</v>
      </c>
      <c r="N2549" t="s">
        <v>25</v>
      </c>
      <c r="O2549" t="str">
        <f t="shared" si="390"/>
        <v>Low</v>
      </c>
      <c r="P2549" t="str">
        <f t="shared" si="391"/>
        <v>Low</v>
      </c>
      <c r="Q2549" t="str">
        <f t="shared" si="392"/>
        <v>Low</v>
      </c>
      <c r="R2549" t="s">
        <v>3317</v>
      </c>
      <c r="S2549" s="4">
        <f t="shared" ca="1" si="393"/>
        <v>619</v>
      </c>
      <c r="T2549">
        <f t="shared" si="394"/>
        <v>1</v>
      </c>
      <c r="U2549">
        <f t="shared" si="395"/>
        <v>1</v>
      </c>
      <c r="V2549">
        <f t="shared" si="396"/>
        <v>1</v>
      </c>
      <c r="W2549">
        <f t="shared" si="397"/>
        <v>1</v>
      </c>
      <c r="X2549">
        <f t="shared" si="398"/>
        <v>0.99999999999999989</v>
      </c>
      <c r="Y2549" t="str">
        <f t="shared" si="399"/>
        <v>Healthy</v>
      </c>
    </row>
    <row r="2550" spans="1:25" x14ac:dyDescent="0.35">
      <c r="A2550" t="s">
        <v>90</v>
      </c>
      <c r="B2550" t="s">
        <v>217</v>
      </c>
      <c r="C2550" t="s">
        <v>533</v>
      </c>
      <c r="D2550" t="s">
        <v>628</v>
      </c>
      <c r="E2550">
        <v>83914734</v>
      </c>
      <c r="F2550" t="s">
        <v>1867</v>
      </c>
      <c r="G2550" s="3">
        <v>46910</v>
      </c>
      <c r="H2550">
        <v>24</v>
      </c>
      <c r="I2550">
        <v>100</v>
      </c>
      <c r="J2550">
        <v>6720</v>
      </c>
      <c r="K2550" s="4">
        <v>261542.39999999999</v>
      </c>
      <c r="L2550" s="4">
        <v>26092.857142857141</v>
      </c>
      <c r="M2550" s="4">
        <v>0.25754174650971806</v>
      </c>
      <c r="N2550" t="s">
        <v>25</v>
      </c>
      <c r="O2550" t="str">
        <f t="shared" si="390"/>
        <v>Low</v>
      </c>
      <c r="P2550" t="str">
        <f t="shared" si="391"/>
        <v>Low</v>
      </c>
      <c r="Q2550" t="str">
        <f t="shared" si="392"/>
        <v>Low</v>
      </c>
      <c r="R2550" t="s">
        <v>3309</v>
      </c>
      <c r="S2550" s="4">
        <f t="shared" ca="1" si="393"/>
        <v>713</v>
      </c>
      <c r="T2550">
        <f t="shared" si="394"/>
        <v>1</v>
      </c>
      <c r="U2550">
        <f t="shared" si="395"/>
        <v>1</v>
      </c>
      <c r="V2550">
        <f t="shared" si="396"/>
        <v>1</v>
      </c>
      <c r="W2550">
        <f t="shared" si="397"/>
        <v>3</v>
      </c>
      <c r="X2550">
        <f t="shared" si="398"/>
        <v>1.2</v>
      </c>
      <c r="Y2550" t="str">
        <f t="shared" si="399"/>
        <v>Healthy</v>
      </c>
    </row>
    <row r="2551" spans="1:25" x14ac:dyDescent="0.35">
      <c r="A2551" t="s">
        <v>41</v>
      </c>
      <c r="B2551" t="s">
        <v>80</v>
      </c>
      <c r="C2551" t="s">
        <v>502</v>
      </c>
      <c r="D2551" t="s">
        <v>523</v>
      </c>
      <c r="E2551">
        <v>80840380</v>
      </c>
      <c r="F2551" t="s">
        <v>1866</v>
      </c>
      <c r="G2551" s="3">
        <v>47217</v>
      </c>
      <c r="H2551">
        <v>36</v>
      </c>
      <c r="I2551">
        <v>95</v>
      </c>
      <c r="J2551">
        <v>30</v>
      </c>
      <c r="K2551" s="4">
        <v>8159.7</v>
      </c>
      <c r="L2551" s="4">
        <v>754.57142857142856</v>
      </c>
      <c r="M2551" s="4">
        <v>3.9757667550170392E-2</v>
      </c>
      <c r="N2551" t="s">
        <v>25</v>
      </c>
      <c r="O2551" t="str">
        <f t="shared" si="390"/>
        <v>Low</v>
      </c>
      <c r="P2551" t="str">
        <f t="shared" si="391"/>
        <v>Low</v>
      </c>
      <c r="Q2551" t="str">
        <f t="shared" si="392"/>
        <v>Low</v>
      </c>
      <c r="R2551" t="s">
        <v>3317</v>
      </c>
      <c r="S2551" s="4">
        <f t="shared" ca="1" si="393"/>
        <v>1020</v>
      </c>
      <c r="T2551">
        <f t="shared" si="394"/>
        <v>1</v>
      </c>
      <c r="U2551">
        <f t="shared" si="395"/>
        <v>1</v>
      </c>
      <c r="V2551">
        <f t="shared" si="396"/>
        <v>1</v>
      </c>
      <c r="W2551">
        <f t="shared" si="397"/>
        <v>1</v>
      </c>
      <c r="X2551">
        <f t="shared" si="398"/>
        <v>0.99999999999999989</v>
      </c>
      <c r="Y2551" t="str">
        <f t="shared" si="399"/>
        <v>Healthy</v>
      </c>
    </row>
    <row r="2552" spans="1:25" x14ac:dyDescent="0.35">
      <c r="A2552" t="s">
        <v>90</v>
      </c>
      <c r="B2552" t="s">
        <v>91</v>
      </c>
      <c r="C2552" t="s">
        <v>478</v>
      </c>
      <c r="D2552" t="s">
        <v>1868</v>
      </c>
      <c r="E2552">
        <v>83908992</v>
      </c>
      <c r="F2552" t="s">
        <v>1869</v>
      </c>
      <c r="G2552" s="3">
        <v>46666</v>
      </c>
      <c r="H2552">
        <v>24</v>
      </c>
      <c r="I2552">
        <v>66</v>
      </c>
      <c r="J2552">
        <v>3921</v>
      </c>
      <c r="K2552" s="4">
        <v>495261.51</v>
      </c>
      <c r="L2552" s="4">
        <v>282.14285714285717</v>
      </c>
      <c r="M2552" s="4">
        <v>13.897215189873416</v>
      </c>
      <c r="N2552" t="s">
        <v>19</v>
      </c>
      <c r="O2552" t="str">
        <f t="shared" si="390"/>
        <v>Low</v>
      </c>
      <c r="P2552" t="str">
        <f t="shared" si="391"/>
        <v>High</v>
      </c>
      <c r="Q2552" t="str">
        <f t="shared" si="392"/>
        <v>Low</v>
      </c>
      <c r="R2552" t="s">
        <v>3309</v>
      </c>
      <c r="S2552" s="4">
        <f t="shared" ca="1" si="393"/>
        <v>469</v>
      </c>
      <c r="T2552">
        <f t="shared" si="394"/>
        <v>1</v>
      </c>
      <c r="U2552">
        <f t="shared" si="395"/>
        <v>3</v>
      </c>
      <c r="V2552">
        <f t="shared" si="396"/>
        <v>1</v>
      </c>
      <c r="W2552">
        <f t="shared" si="397"/>
        <v>3</v>
      </c>
      <c r="X2552">
        <f t="shared" si="398"/>
        <v>1.7999999999999998</v>
      </c>
      <c r="Y2552" t="str">
        <f t="shared" si="399"/>
        <v>Monitor</v>
      </c>
    </row>
    <row r="2553" spans="1:25" x14ac:dyDescent="0.35">
      <c r="A2553" t="s">
        <v>179</v>
      </c>
      <c r="B2553" t="s">
        <v>195</v>
      </c>
      <c r="C2553" t="s">
        <v>1870</v>
      </c>
      <c r="D2553" t="s">
        <v>1871</v>
      </c>
      <c r="E2553">
        <v>80810319</v>
      </c>
      <c r="F2553" t="s">
        <v>1872</v>
      </c>
      <c r="G2553" s="3">
        <v>46526</v>
      </c>
      <c r="H2553">
        <v>18</v>
      </c>
      <c r="I2553">
        <v>62</v>
      </c>
      <c r="J2553">
        <v>64</v>
      </c>
      <c r="K2553" s="4">
        <v>46931.839999999997</v>
      </c>
      <c r="L2553" s="4">
        <v>276.85714285714283</v>
      </c>
      <c r="M2553" s="4">
        <v>0.23116615067079466</v>
      </c>
      <c r="N2553" t="s">
        <v>25</v>
      </c>
      <c r="O2553" t="str">
        <f t="shared" si="390"/>
        <v>Low</v>
      </c>
      <c r="P2553" t="str">
        <f t="shared" si="391"/>
        <v>Low</v>
      </c>
      <c r="Q2553" t="str">
        <f t="shared" si="392"/>
        <v>Low</v>
      </c>
      <c r="R2553" t="s">
        <v>3317</v>
      </c>
      <c r="S2553" s="4">
        <f t="shared" ca="1" si="393"/>
        <v>329</v>
      </c>
      <c r="T2553">
        <f t="shared" si="394"/>
        <v>1</v>
      </c>
      <c r="U2553">
        <f t="shared" si="395"/>
        <v>1</v>
      </c>
      <c r="V2553">
        <f t="shared" si="396"/>
        <v>1</v>
      </c>
      <c r="W2553">
        <f t="shared" si="397"/>
        <v>1</v>
      </c>
      <c r="X2553">
        <f t="shared" si="398"/>
        <v>0.99999999999999989</v>
      </c>
      <c r="Y2553" t="str">
        <f t="shared" si="399"/>
        <v>Healthy</v>
      </c>
    </row>
    <row r="2554" spans="1:25" x14ac:dyDescent="0.35">
      <c r="A2554" t="s">
        <v>90</v>
      </c>
      <c r="B2554" t="s">
        <v>91</v>
      </c>
      <c r="C2554" t="s">
        <v>155</v>
      </c>
      <c r="D2554" t="s">
        <v>1873</v>
      </c>
      <c r="E2554">
        <v>83914216</v>
      </c>
      <c r="F2554" t="s">
        <v>1874</v>
      </c>
      <c r="G2554" s="3">
        <v>46910</v>
      </c>
      <c r="H2554">
        <v>24</v>
      </c>
      <c r="I2554">
        <v>100</v>
      </c>
      <c r="J2554">
        <v>91</v>
      </c>
      <c r="K2554" s="4">
        <v>7791.42</v>
      </c>
      <c r="L2554" s="4">
        <f>0</f>
        <v>0</v>
      </c>
      <c r="M2554" s="4">
        <f>999</f>
        <v>999</v>
      </c>
      <c r="N2554" t="s">
        <v>19</v>
      </c>
      <c r="O2554" t="str">
        <f t="shared" si="390"/>
        <v>Low</v>
      </c>
      <c r="P2554" t="str">
        <f t="shared" si="391"/>
        <v>High</v>
      </c>
      <c r="Q2554" t="str">
        <f t="shared" si="392"/>
        <v>High</v>
      </c>
      <c r="R2554" t="s">
        <v>3317</v>
      </c>
      <c r="S2554" s="4">
        <f t="shared" ca="1" si="393"/>
        <v>713</v>
      </c>
      <c r="T2554">
        <f t="shared" si="394"/>
        <v>1</v>
      </c>
      <c r="U2554">
        <f t="shared" si="395"/>
        <v>3</v>
      </c>
      <c r="V2554">
        <f t="shared" si="396"/>
        <v>3</v>
      </c>
      <c r="W2554">
        <f t="shared" si="397"/>
        <v>1</v>
      </c>
      <c r="X2554">
        <f t="shared" si="398"/>
        <v>2</v>
      </c>
      <c r="Y2554" t="str">
        <f t="shared" si="399"/>
        <v>Monitor</v>
      </c>
    </row>
    <row r="2555" spans="1:25" x14ac:dyDescent="0.35">
      <c r="A2555" t="s">
        <v>179</v>
      </c>
      <c r="B2555" t="s">
        <v>195</v>
      </c>
      <c r="C2555" t="s">
        <v>1870</v>
      </c>
      <c r="D2555" t="s">
        <v>1871</v>
      </c>
      <c r="E2555">
        <v>80810319</v>
      </c>
      <c r="F2555" t="s">
        <v>1872</v>
      </c>
      <c r="G2555" s="3">
        <v>46448</v>
      </c>
      <c r="H2555">
        <v>18</v>
      </c>
      <c r="I2555">
        <v>47</v>
      </c>
      <c r="J2555">
        <v>74</v>
      </c>
      <c r="K2555" s="4">
        <v>54264.94</v>
      </c>
      <c r="L2555" s="4">
        <v>276.85714285714283</v>
      </c>
      <c r="M2555" s="4">
        <v>0.26728586171310631</v>
      </c>
      <c r="N2555" t="s">
        <v>25</v>
      </c>
      <c r="O2555" t="str">
        <f t="shared" si="390"/>
        <v>Low</v>
      </c>
      <c r="P2555" t="str">
        <f t="shared" si="391"/>
        <v>Low</v>
      </c>
      <c r="Q2555" t="str">
        <f t="shared" si="392"/>
        <v>Low</v>
      </c>
      <c r="R2555" t="s">
        <v>3317</v>
      </c>
      <c r="S2555" s="4">
        <f t="shared" ca="1" si="393"/>
        <v>251</v>
      </c>
      <c r="T2555">
        <f t="shared" si="394"/>
        <v>1</v>
      </c>
      <c r="U2555">
        <f t="shared" si="395"/>
        <v>1</v>
      </c>
      <c r="V2555">
        <f t="shared" si="396"/>
        <v>1</v>
      </c>
      <c r="W2555">
        <f t="shared" si="397"/>
        <v>1</v>
      </c>
      <c r="X2555">
        <f t="shared" si="398"/>
        <v>0.99999999999999989</v>
      </c>
      <c r="Y2555" t="str">
        <f t="shared" si="399"/>
        <v>Healthy</v>
      </c>
    </row>
    <row r="2556" spans="1:25" x14ac:dyDescent="0.35">
      <c r="A2556" t="s">
        <v>90</v>
      </c>
      <c r="B2556" t="s">
        <v>91</v>
      </c>
      <c r="C2556" t="s">
        <v>155</v>
      </c>
      <c r="D2556" t="s">
        <v>1815</v>
      </c>
      <c r="E2556">
        <v>83914223</v>
      </c>
      <c r="F2556" t="s">
        <v>1875</v>
      </c>
      <c r="G2556" s="3">
        <v>46913</v>
      </c>
      <c r="H2556">
        <v>24</v>
      </c>
      <c r="I2556">
        <v>100</v>
      </c>
      <c r="J2556">
        <v>108</v>
      </c>
      <c r="K2556" s="4">
        <v>36286.92</v>
      </c>
      <c r="L2556" s="4">
        <f>0</f>
        <v>0</v>
      </c>
      <c r="M2556" s="4">
        <f>999</f>
        <v>999</v>
      </c>
      <c r="N2556" t="s">
        <v>19</v>
      </c>
      <c r="O2556" t="str">
        <f t="shared" si="390"/>
        <v>Low</v>
      </c>
      <c r="P2556" t="str">
        <f t="shared" si="391"/>
        <v>High</v>
      </c>
      <c r="Q2556" t="str">
        <f t="shared" si="392"/>
        <v>High</v>
      </c>
      <c r="R2556" t="s">
        <v>3317</v>
      </c>
      <c r="S2556" s="4">
        <f t="shared" ca="1" si="393"/>
        <v>716</v>
      </c>
      <c r="T2556">
        <f t="shared" si="394"/>
        <v>1</v>
      </c>
      <c r="U2556">
        <f t="shared" si="395"/>
        <v>3</v>
      </c>
      <c r="V2556">
        <f t="shared" si="396"/>
        <v>3</v>
      </c>
      <c r="W2556">
        <f t="shared" si="397"/>
        <v>1</v>
      </c>
      <c r="X2556">
        <f t="shared" si="398"/>
        <v>2</v>
      </c>
      <c r="Y2556" t="str">
        <f t="shared" si="399"/>
        <v>Monitor</v>
      </c>
    </row>
    <row r="2557" spans="1:25" x14ac:dyDescent="0.35">
      <c r="A2557" t="s">
        <v>90</v>
      </c>
      <c r="B2557" t="s">
        <v>91</v>
      </c>
      <c r="C2557" t="s">
        <v>155</v>
      </c>
      <c r="D2557" t="s">
        <v>1079</v>
      </c>
      <c r="E2557">
        <v>83914228</v>
      </c>
      <c r="F2557" t="s">
        <v>1876</v>
      </c>
      <c r="G2557" s="3">
        <v>46884</v>
      </c>
      <c r="H2557">
        <v>24</v>
      </c>
      <c r="I2557">
        <v>96</v>
      </c>
      <c r="J2557">
        <v>131</v>
      </c>
      <c r="K2557" s="4">
        <v>24358.14</v>
      </c>
      <c r="L2557" s="4">
        <v>622.71428571428567</v>
      </c>
      <c r="M2557" s="4">
        <v>0.21036935076852492</v>
      </c>
      <c r="N2557" t="s">
        <v>25</v>
      </c>
      <c r="O2557" t="str">
        <f t="shared" si="390"/>
        <v>Low</v>
      </c>
      <c r="P2557" t="str">
        <f t="shared" si="391"/>
        <v>Low</v>
      </c>
      <c r="Q2557" t="str">
        <f t="shared" si="392"/>
        <v>Low</v>
      </c>
      <c r="R2557" t="s">
        <v>3317</v>
      </c>
      <c r="S2557" s="4">
        <f t="shared" ca="1" si="393"/>
        <v>687</v>
      </c>
      <c r="T2557">
        <f t="shared" si="394"/>
        <v>1</v>
      </c>
      <c r="U2557">
        <f t="shared" si="395"/>
        <v>1</v>
      </c>
      <c r="V2557">
        <f t="shared" si="396"/>
        <v>1</v>
      </c>
      <c r="W2557">
        <f t="shared" si="397"/>
        <v>1</v>
      </c>
      <c r="X2557">
        <f t="shared" si="398"/>
        <v>0.99999999999999989</v>
      </c>
      <c r="Y2557" t="str">
        <f t="shared" si="399"/>
        <v>Healthy</v>
      </c>
    </row>
    <row r="2558" spans="1:25" x14ac:dyDescent="0.35">
      <c r="A2558" t="s">
        <v>90</v>
      </c>
      <c r="B2558" t="s">
        <v>91</v>
      </c>
      <c r="C2558" t="s">
        <v>155</v>
      </c>
      <c r="D2558" t="s">
        <v>1079</v>
      </c>
      <c r="E2558">
        <v>83914228</v>
      </c>
      <c r="F2558" t="s">
        <v>1876</v>
      </c>
      <c r="G2558" s="3">
        <v>46885</v>
      </c>
      <c r="H2558">
        <v>24</v>
      </c>
      <c r="I2558">
        <v>96</v>
      </c>
      <c r="J2558">
        <v>171</v>
      </c>
      <c r="K2558" s="4">
        <v>31795.74</v>
      </c>
      <c r="L2558" s="4">
        <v>622.71428571428567</v>
      </c>
      <c r="M2558" s="4">
        <v>0.27460426703372337</v>
      </c>
      <c r="N2558" t="s">
        <v>25</v>
      </c>
      <c r="O2558" t="str">
        <f t="shared" si="390"/>
        <v>Low</v>
      </c>
      <c r="P2558" t="str">
        <f t="shared" si="391"/>
        <v>Low</v>
      </c>
      <c r="Q2558" t="str">
        <f t="shared" si="392"/>
        <v>Low</v>
      </c>
      <c r="R2558" t="s">
        <v>3317</v>
      </c>
      <c r="S2558" s="4">
        <f t="shared" ca="1" si="393"/>
        <v>688</v>
      </c>
      <c r="T2558">
        <f t="shared" si="394"/>
        <v>1</v>
      </c>
      <c r="U2558">
        <f t="shared" si="395"/>
        <v>1</v>
      </c>
      <c r="V2558">
        <f t="shared" si="396"/>
        <v>1</v>
      </c>
      <c r="W2558">
        <f t="shared" si="397"/>
        <v>1</v>
      </c>
      <c r="X2558">
        <f t="shared" si="398"/>
        <v>0.99999999999999989</v>
      </c>
      <c r="Y2558" t="str">
        <f t="shared" si="399"/>
        <v>Healthy</v>
      </c>
    </row>
    <row r="2559" spans="1:25" x14ac:dyDescent="0.35">
      <c r="A2559" t="s">
        <v>41</v>
      </c>
      <c r="B2559" t="s">
        <v>42</v>
      </c>
      <c r="C2559" t="s">
        <v>121</v>
      </c>
      <c r="D2559" t="s">
        <v>1877</v>
      </c>
      <c r="E2559">
        <v>80830097</v>
      </c>
      <c r="F2559" t="s">
        <v>1878</v>
      </c>
      <c r="G2559" s="3">
        <v>47256</v>
      </c>
      <c r="H2559">
        <v>36</v>
      </c>
      <c r="I2559">
        <v>99</v>
      </c>
      <c r="J2559">
        <v>1</v>
      </c>
      <c r="K2559" s="4">
        <v>242.08</v>
      </c>
      <c r="L2559" s="4">
        <v>948.42857142857144</v>
      </c>
      <c r="M2559" s="4">
        <v>1.0543756589847869E-3</v>
      </c>
      <c r="N2559" t="s">
        <v>25</v>
      </c>
      <c r="O2559" t="str">
        <f t="shared" si="390"/>
        <v>Low</v>
      </c>
      <c r="P2559" t="str">
        <f t="shared" si="391"/>
        <v>Low</v>
      </c>
      <c r="Q2559" t="str">
        <f t="shared" si="392"/>
        <v>Low</v>
      </c>
      <c r="R2559" t="s">
        <v>3317</v>
      </c>
      <c r="S2559" s="4">
        <f t="shared" ca="1" si="393"/>
        <v>1059</v>
      </c>
      <c r="T2559">
        <f t="shared" si="394"/>
        <v>1</v>
      </c>
      <c r="U2559">
        <f t="shared" si="395"/>
        <v>1</v>
      </c>
      <c r="V2559">
        <f t="shared" si="396"/>
        <v>1</v>
      </c>
      <c r="W2559">
        <f t="shared" si="397"/>
        <v>1</v>
      </c>
      <c r="X2559">
        <f t="shared" si="398"/>
        <v>0.99999999999999989</v>
      </c>
      <c r="Y2559" t="str">
        <f t="shared" si="399"/>
        <v>Healthy</v>
      </c>
    </row>
    <row r="2560" spans="1:25" x14ac:dyDescent="0.35">
      <c r="A2560" t="s">
        <v>90</v>
      </c>
      <c r="B2560" t="s">
        <v>91</v>
      </c>
      <c r="C2560" t="s">
        <v>155</v>
      </c>
      <c r="D2560" t="s">
        <v>1079</v>
      </c>
      <c r="E2560">
        <v>83914228</v>
      </c>
      <c r="F2560" t="s">
        <v>1876</v>
      </c>
      <c r="G2560" s="3">
        <v>46876</v>
      </c>
      <c r="H2560">
        <v>24</v>
      </c>
      <c r="I2560">
        <v>95</v>
      </c>
      <c r="J2560">
        <v>211</v>
      </c>
      <c r="K2560" s="4">
        <v>39233.339999999997</v>
      </c>
      <c r="L2560" s="4">
        <v>622.71428571428567</v>
      </c>
      <c r="M2560" s="4">
        <v>0.33883918329892182</v>
      </c>
      <c r="N2560" t="s">
        <v>25</v>
      </c>
      <c r="O2560" t="str">
        <f t="shared" si="390"/>
        <v>Low</v>
      </c>
      <c r="P2560" t="str">
        <f t="shared" si="391"/>
        <v>Low</v>
      </c>
      <c r="Q2560" t="str">
        <f t="shared" si="392"/>
        <v>Low</v>
      </c>
      <c r="R2560" t="s">
        <v>3317</v>
      </c>
      <c r="S2560" s="4">
        <f t="shared" ca="1" si="393"/>
        <v>679</v>
      </c>
      <c r="T2560">
        <f t="shared" si="394"/>
        <v>1</v>
      </c>
      <c r="U2560">
        <f t="shared" si="395"/>
        <v>1</v>
      </c>
      <c r="V2560">
        <f t="shared" si="396"/>
        <v>1</v>
      </c>
      <c r="W2560">
        <f t="shared" si="397"/>
        <v>1</v>
      </c>
      <c r="X2560">
        <f t="shared" si="398"/>
        <v>0.99999999999999989</v>
      </c>
      <c r="Y2560" t="str">
        <f t="shared" si="399"/>
        <v>Healthy</v>
      </c>
    </row>
    <row r="2561" spans="1:25" x14ac:dyDescent="0.35">
      <c r="A2561" t="s">
        <v>90</v>
      </c>
      <c r="B2561" t="s">
        <v>91</v>
      </c>
      <c r="C2561" t="s">
        <v>155</v>
      </c>
      <c r="D2561" t="s">
        <v>1079</v>
      </c>
      <c r="E2561">
        <v>83914228</v>
      </c>
      <c r="F2561" t="s">
        <v>1876</v>
      </c>
      <c r="G2561" s="3">
        <v>46885</v>
      </c>
      <c r="H2561">
        <v>24</v>
      </c>
      <c r="I2561">
        <v>96</v>
      </c>
      <c r="J2561">
        <v>193</v>
      </c>
      <c r="K2561" s="4">
        <v>35886.42</v>
      </c>
      <c r="L2561" s="4">
        <v>622.71428571428567</v>
      </c>
      <c r="M2561" s="4">
        <v>0.30993347097958251</v>
      </c>
      <c r="N2561" t="s">
        <v>25</v>
      </c>
      <c r="O2561" t="str">
        <f t="shared" si="390"/>
        <v>Low</v>
      </c>
      <c r="P2561" t="str">
        <f t="shared" si="391"/>
        <v>Low</v>
      </c>
      <c r="Q2561" t="str">
        <f t="shared" si="392"/>
        <v>Low</v>
      </c>
      <c r="R2561" t="s">
        <v>3317</v>
      </c>
      <c r="S2561" s="4">
        <f t="shared" ca="1" si="393"/>
        <v>688</v>
      </c>
      <c r="T2561">
        <f t="shared" si="394"/>
        <v>1</v>
      </c>
      <c r="U2561">
        <f t="shared" si="395"/>
        <v>1</v>
      </c>
      <c r="V2561">
        <f t="shared" si="396"/>
        <v>1</v>
      </c>
      <c r="W2561">
        <f t="shared" si="397"/>
        <v>1</v>
      </c>
      <c r="X2561">
        <f t="shared" si="398"/>
        <v>0.99999999999999989</v>
      </c>
      <c r="Y2561" t="str">
        <f t="shared" si="399"/>
        <v>Healthy</v>
      </c>
    </row>
    <row r="2562" spans="1:25" x14ac:dyDescent="0.35">
      <c r="A2562" t="s">
        <v>90</v>
      </c>
      <c r="B2562" t="s">
        <v>91</v>
      </c>
      <c r="C2562" t="s">
        <v>155</v>
      </c>
      <c r="D2562" t="s">
        <v>1079</v>
      </c>
      <c r="E2562">
        <v>83914228</v>
      </c>
      <c r="F2562" t="s">
        <v>1876</v>
      </c>
      <c r="G2562" s="3">
        <v>46899</v>
      </c>
      <c r="H2562">
        <v>24</v>
      </c>
      <c r="I2562">
        <v>98</v>
      </c>
      <c r="J2562">
        <v>210</v>
      </c>
      <c r="K2562" s="4">
        <v>39047.4</v>
      </c>
      <c r="L2562" s="4">
        <v>622.71428571428567</v>
      </c>
      <c r="M2562" s="4">
        <v>0.33723331039229182</v>
      </c>
      <c r="N2562" t="s">
        <v>25</v>
      </c>
      <c r="O2562" t="str">
        <f t="shared" si="390"/>
        <v>Low</v>
      </c>
      <c r="P2562" t="str">
        <f t="shared" si="391"/>
        <v>Low</v>
      </c>
      <c r="Q2562" t="str">
        <f t="shared" si="392"/>
        <v>Low</v>
      </c>
      <c r="R2562" t="s">
        <v>3317</v>
      </c>
      <c r="S2562" s="4">
        <f t="shared" ca="1" si="393"/>
        <v>702</v>
      </c>
      <c r="T2562">
        <f t="shared" si="394"/>
        <v>1</v>
      </c>
      <c r="U2562">
        <f t="shared" si="395"/>
        <v>1</v>
      </c>
      <c r="V2562">
        <f t="shared" si="396"/>
        <v>1</v>
      </c>
      <c r="W2562">
        <f t="shared" si="397"/>
        <v>1</v>
      </c>
      <c r="X2562">
        <f t="shared" si="398"/>
        <v>0.99999999999999989</v>
      </c>
      <c r="Y2562" t="str">
        <f t="shared" si="399"/>
        <v>Healthy</v>
      </c>
    </row>
    <row r="2563" spans="1:25" x14ac:dyDescent="0.35">
      <c r="A2563" t="s">
        <v>90</v>
      </c>
      <c r="B2563" t="s">
        <v>91</v>
      </c>
      <c r="C2563" t="s">
        <v>155</v>
      </c>
      <c r="D2563" t="s">
        <v>1079</v>
      </c>
      <c r="E2563">
        <v>83914228</v>
      </c>
      <c r="F2563" t="s">
        <v>1876</v>
      </c>
      <c r="G2563" s="3">
        <v>46820</v>
      </c>
      <c r="H2563">
        <v>24</v>
      </c>
      <c r="I2563">
        <v>87</v>
      </c>
      <c r="J2563">
        <v>216</v>
      </c>
      <c r="K2563" s="4">
        <v>40163.040000000001</v>
      </c>
      <c r="L2563" s="4">
        <v>622.71428571428567</v>
      </c>
      <c r="M2563" s="4">
        <v>0.34686854783207161</v>
      </c>
      <c r="N2563" t="s">
        <v>25</v>
      </c>
      <c r="O2563" t="str">
        <f t="shared" ref="O2563:O2626" si="400">IF(I2563&lt;20,"High",IF(I2563&lt;40,"Medium","Low"))</f>
        <v>Low</v>
      </c>
      <c r="P2563" t="str">
        <f t="shared" ref="P2563:P2626" si="401">IF(M2563&gt;8,"High",IF(M2563&gt;4,"Medium","Low"))</f>
        <v>Low</v>
      </c>
      <c r="Q2563" t="str">
        <f t="shared" ref="Q2563:Q2626" si="402">IF(L2563&lt;5,"High",IF(L2563&lt;15,"Medium","Low"))</f>
        <v>Low</v>
      </c>
      <c r="R2563" t="s">
        <v>3317</v>
      </c>
      <c r="S2563" s="4">
        <f t="shared" ref="S2563:S2626" ca="1" si="403">G2563-TODAY()</f>
        <v>623</v>
      </c>
      <c r="T2563">
        <f t="shared" ref="T2563:T2626" si="404">IF(O2563="High",3,IF(O2563="Medium",2,1))</f>
        <v>1</v>
      </c>
      <c r="U2563">
        <f t="shared" ref="U2563:U2626" si="405">IF(P2563="High",3,IF(P2563="Medium",2,1))</f>
        <v>1</v>
      </c>
      <c r="V2563">
        <f t="shared" ref="V2563:V2626" si="406">IF(Q2563="High",3,IF(Q2563="Medium",2,1))</f>
        <v>1</v>
      </c>
      <c r="W2563">
        <f t="shared" ref="W2563:W2626" si="407">IF(R2563="High",3,IF(R2563="Medium",2,1))</f>
        <v>1</v>
      </c>
      <c r="X2563">
        <f t="shared" ref="X2563:X2626" si="408">(0.4*T2563)+(0.3*U2563)+(0.2*V2563)+(0.1*W2563)</f>
        <v>0.99999999999999989</v>
      </c>
      <c r="Y2563" t="str">
        <f t="shared" ref="Y2563:Y2626" si="409">IF(X2563&gt;=2.7,"Move Immediately",IF(X2563&gt;=2.2,"High Priority",IF(X2563&gt;=1.7,"Monitor","Healthy")))</f>
        <v>Healthy</v>
      </c>
    </row>
    <row r="2564" spans="1:25" x14ac:dyDescent="0.35">
      <c r="A2564" t="s">
        <v>90</v>
      </c>
      <c r="B2564" t="s">
        <v>91</v>
      </c>
      <c r="C2564" t="s">
        <v>155</v>
      </c>
      <c r="D2564" t="s">
        <v>1079</v>
      </c>
      <c r="E2564">
        <v>83914228</v>
      </c>
      <c r="F2564" t="s">
        <v>1876</v>
      </c>
      <c r="G2564" s="3">
        <v>46911</v>
      </c>
      <c r="H2564">
        <v>24</v>
      </c>
      <c r="I2564">
        <v>100</v>
      </c>
      <c r="J2564">
        <v>180</v>
      </c>
      <c r="K2564" s="4">
        <v>33469.199999999997</v>
      </c>
      <c r="L2564" s="4">
        <v>622.71428571428567</v>
      </c>
      <c r="M2564" s="4">
        <v>0.289057123193393</v>
      </c>
      <c r="N2564" t="s">
        <v>25</v>
      </c>
      <c r="O2564" t="str">
        <f t="shared" si="400"/>
        <v>Low</v>
      </c>
      <c r="P2564" t="str">
        <f t="shared" si="401"/>
        <v>Low</v>
      </c>
      <c r="Q2564" t="str">
        <f t="shared" si="402"/>
        <v>Low</v>
      </c>
      <c r="R2564" t="s">
        <v>3317</v>
      </c>
      <c r="S2564" s="4">
        <f t="shared" ca="1" si="403"/>
        <v>714</v>
      </c>
      <c r="T2564">
        <f t="shared" si="404"/>
        <v>1</v>
      </c>
      <c r="U2564">
        <f t="shared" si="405"/>
        <v>1</v>
      </c>
      <c r="V2564">
        <f t="shared" si="406"/>
        <v>1</v>
      </c>
      <c r="W2564">
        <f t="shared" si="407"/>
        <v>1</v>
      </c>
      <c r="X2564">
        <f t="shared" si="408"/>
        <v>0.99999999999999989</v>
      </c>
      <c r="Y2564" t="str">
        <f t="shared" si="409"/>
        <v>Healthy</v>
      </c>
    </row>
    <row r="2565" spans="1:25" x14ac:dyDescent="0.35">
      <c r="A2565" t="s">
        <v>90</v>
      </c>
      <c r="B2565" t="s">
        <v>91</v>
      </c>
      <c r="C2565" t="s">
        <v>155</v>
      </c>
      <c r="D2565" t="s">
        <v>1079</v>
      </c>
      <c r="E2565">
        <v>83914228</v>
      </c>
      <c r="F2565" t="s">
        <v>1876</v>
      </c>
      <c r="G2565" s="3">
        <v>46803</v>
      </c>
      <c r="H2565">
        <v>24</v>
      </c>
      <c r="I2565">
        <v>85</v>
      </c>
      <c r="J2565">
        <v>118</v>
      </c>
      <c r="K2565" s="4">
        <v>21940.92</v>
      </c>
      <c r="L2565" s="4">
        <v>622.71428571428567</v>
      </c>
      <c r="M2565" s="4">
        <v>0.1894930029823354</v>
      </c>
      <c r="N2565" t="s">
        <v>25</v>
      </c>
      <c r="O2565" t="str">
        <f t="shared" si="400"/>
        <v>Low</v>
      </c>
      <c r="P2565" t="str">
        <f t="shared" si="401"/>
        <v>Low</v>
      </c>
      <c r="Q2565" t="str">
        <f t="shared" si="402"/>
        <v>Low</v>
      </c>
      <c r="R2565" t="s">
        <v>3317</v>
      </c>
      <c r="S2565" s="4">
        <f t="shared" ca="1" si="403"/>
        <v>606</v>
      </c>
      <c r="T2565">
        <f t="shared" si="404"/>
        <v>1</v>
      </c>
      <c r="U2565">
        <f t="shared" si="405"/>
        <v>1</v>
      </c>
      <c r="V2565">
        <f t="shared" si="406"/>
        <v>1</v>
      </c>
      <c r="W2565">
        <f t="shared" si="407"/>
        <v>1</v>
      </c>
      <c r="X2565">
        <f t="shared" si="408"/>
        <v>0.99999999999999989</v>
      </c>
      <c r="Y2565" t="str">
        <f t="shared" si="409"/>
        <v>Healthy</v>
      </c>
    </row>
    <row r="2566" spans="1:25" x14ac:dyDescent="0.35">
      <c r="A2566" t="s">
        <v>90</v>
      </c>
      <c r="B2566" t="s">
        <v>91</v>
      </c>
      <c r="C2566" t="s">
        <v>155</v>
      </c>
      <c r="D2566" t="s">
        <v>1079</v>
      </c>
      <c r="E2566">
        <v>83914228</v>
      </c>
      <c r="F2566" t="s">
        <v>1876</v>
      </c>
      <c r="G2566" s="3">
        <v>46861</v>
      </c>
      <c r="H2566">
        <v>24</v>
      </c>
      <c r="I2566">
        <v>93</v>
      </c>
      <c r="J2566">
        <v>120</v>
      </c>
      <c r="K2566" s="4">
        <v>22312.799999999999</v>
      </c>
      <c r="L2566" s="4">
        <v>622.71428571428567</v>
      </c>
      <c r="M2566" s="4">
        <v>0.19270474879559535</v>
      </c>
      <c r="N2566" t="s">
        <v>25</v>
      </c>
      <c r="O2566" t="str">
        <f t="shared" si="400"/>
        <v>Low</v>
      </c>
      <c r="P2566" t="str">
        <f t="shared" si="401"/>
        <v>Low</v>
      </c>
      <c r="Q2566" t="str">
        <f t="shared" si="402"/>
        <v>Low</v>
      </c>
      <c r="R2566" t="s">
        <v>3317</v>
      </c>
      <c r="S2566" s="4">
        <f t="shared" ca="1" si="403"/>
        <v>664</v>
      </c>
      <c r="T2566">
        <f t="shared" si="404"/>
        <v>1</v>
      </c>
      <c r="U2566">
        <f t="shared" si="405"/>
        <v>1</v>
      </c>
      <c r="V2566">
        <f t="shared" si="406"/>
        <v>1</v>
      </c>
      <c r="W2566">
        <f t="shared" si="407"/>
        <v>1</v>
      </c>
      <c r="X2566">
        <f t="shared" si="408"/>
        <v>0.99999999999999989</v>
      </c>
      <c r="Y2566" t="str">
        <f t="shared" si="409"/>
        <v>Healthy</v>
      </c>
    </row>
    <row r="2567" spans="1:25" x14ac:dyDescent="0.35">
      <c r="A2567" t="s">
        <v>189</v>
      </c>
      <c r="B2567" t="s">
        <v>190</v>
      </c>
      <c r="C2567" t="s">
        <v>190</v>
      </c>
      <c r="D2567" t="s">
        <v>1534</v>
      </c>
      <c r="E2567">
        <v>80835772</v>
      </c>
      <c r="F2567" t="s">
        <v>1879</v>
      </c>
      <c r="G2567" s="3">
        <v>46229</v>
      </c>
      <c r="H2567">
        <v>18</v>
      </c>
      <c r="I2567">
        <v>7</v>
      </c>
      <c r="J2567">
        <v>1</v>
      </c>
      <c r="K2567" s="4">
        <v>81.709999999999994</v>
      </c>
      <c r="L2567" s="4">
        <v>17.142857142857142</v>
      </c>
      <c r="M2567" s="4">
        <v>5.8333333333333334E-2</v>
      </c>
      <c r="N2567" t="s">
        <v>25</v>
      </c>
      <c r="O2567" t="str">
        <f t="shared" si="400"/>
        <v>High</v>
      </c>
      <c r="P2567" t="str">
        <f t="shared" si="401"/>
        <v>Low</v>
      </c>
      <c r="Q2567" t="str">
        <f t="shared" si="402"/>
        <v>Low</v>
      </c>
      <c r="R2567" t="s">
        <v>3317</v>
      </c>
      <c r="S2567" s="4">
        <f t="shared" ca="1" si="403"/>
        <v>32</v>
      </c>
      <c r="T2567">
        <f t="shared" si="404"/>
        <v>3</v>
      </c>
      <c r="U2567">
        <f t="shared" si="405"/>
        <v>1</v>
      </c>
      <c r="V2567">
        <f t="shared" si="406"/>
        <v>1</v>
      </c>
      <c r="W2567">
        <f t="shared" si="407"/>
        <v>1</v>
      </c>
      <c r="X2567">
        <f t="shared" si="408"/>
        <v>1.8000000000000003</v>
      </c>
      <c r="Y2567" t="str">
        <f t="shared" si="409"/>
        <v>Monitor</v>
      </c>
    </row>
    <row r="2568" spans="1:25" x14ac:dyDescent="0.35">
      <c r="A2568" t="s">
        <v>90</v>
      </c>
      <c r="B2568" t="s">
        <v>91</v>
      </c>
      <c r="C2568" t="s">
        <v>155</v>
      </c>
      <c r="D2568" t="s">
        <v>1880</v>
      </c>
      <c r="E2568">
        <v>83914233</v>
      </c>
      <c r="F2568" t="s">
        <v>1881</v>
      </c>
      <c r="G2568" s="3">
        <v>46888</v>
      </c>
      <c r="H2568">
        <v>24</v>
      </c>
      <c r="I2568">
        <v>97</v>
      </c>
      <c r="J2568">
        <v>213</v>
      </c>
      <c r="K2568" s="4">
        <v>14737.47</v>
      </c>
      <c r="L2568" s="4">
        <v>71.714285714285708</v>
      </c>
      <c r="M2568" s="4">
        <v>2.9701195219123511</v>
      </c>
      <c r="N2568" t="s">
        <v>25</v>
      </c>
      <c r="O2568" t="str">
        <f t="shared" si="400"/>
        <v>Low</v>
      </c>
      <c r="P2568" t="str">
        <f t="shared" si="401"/>
        <v>Low</v>
      </c>
      <c r="Q2568" t="str">
        <f t="shared" si="402"/>
        <v>Low</v>
      </c>
      <c r="R2568" t="s">
        <v>3317</v>
      </c>
      <c r="S2568" s="4">
        <f t="shared" ca="1" si="403"/>
        <v>691</v>
      </c>
      <c r="T2568">
        <f t="shared" si="404"/>
        <v>1</v>
      </c>
      <c r="U2568">
        <f t="shared" si="405"/>
        <v>1</v>
      </c>
      <c r="V2568">
        <f t="shared" si="406"/>
        <v>1</v>
      </c>
      <c r="W2568">
        <f t="shared" si="407"/>
        <v>1</v>
      </c>
      <c r="X2568">
        <f t="shared" si="408"/>
        <v>0.99999999999999989</v>
      </c>
      <c r="Y2568" t="str">
        <f t="shared" si="409"/>
        <v>Healthy</v>
      </c>
    </row>
    <row r="2569" spans="1:25" x14ac:dyDescent="0.35">
      <c r="A2569" t="s">
        <v>14</v>
      </c>
      <c r="B2569" t="s">
        <v>15</v>
      </c>
      <c r="C2569" t="s">
        <v>1312</v>
      </c>
      <c r="D2569" t="s">
        <v>1722</v>
      </c>
      <c r="E2569">
        <v>80831131</v>
      </c>
      <c r="F2569" t="s">
        <v>1882</v>
      </c>
      <c r="G2569" s="3">
        <v>47754</v>
      </c>
      <c r="H2569">
        <v>60</v>
      </c>
      <c r="I2569">
        <v>87</v>
      </c>
      <c r="J2569">
        <v>4</v>
      </c>
      <c r="K2569" s="4">
        <v>3051.32</v>
      </c>
      <c r="L2569" s="4">
        <v>493.71428571428572</v>
      </c>
      <c r="M2569" s="4">
        <v>8.1018518518518514E-3</v>
      </c>
      <c r="N2569" t="s">
        <v>25</v>
      </c>
      <c r="O2569" t="str">
        <f t="shared" si="400"/>
        <v>Low</v>
      </c>
      <c r="P2569" t="str">
        <f t="shared" si="401"/>
        <v>Low</v>
      </c>
      <c r="Q2569" t="str">
        <f t="shared" si="402"/>
        <v>Low</v>
      </c>
      <c r="R2569" t="s">
        <v>3317</v>
      </c>
      <c r="S2569" s="4">
        <f t="shared" ca="1" si="403"/>
        <v>1557</v>
      </c>
      <c r="T2569">
        <f t="shared" si="404"/>
        <v>1</v>
      </c>
      <c r="U2569">
        <f t="shared" si="405"/>
        <v>1</v>
      </c>
      <c r="V2569">
        <f t="shared" si="406"/>
        <v>1</v>
      </c>
      <c r="W2569">
        <f t="shared" si="407"/>
        <v>1</v>
      </c>
      <c r="X2569">
        <f t="shared" si="408"/>
        <v>0.99999999999999989</v>
      </c>
      <c r="Y2569" t="str">
        <f t="shared" si="409"/>
        <v>Healthy</v>
      </c>
    </row>
    <row r="2570" spans="1:25" x14ac:dyDescent="0.35">
      <c r="A2570" t="s">
        <v>90</v>
      </c>
      <c r="B2570" t="s">
        <v>91</v>
      </c>
      <c r="C2570" t="s">
        <v>155</v>
      </c>
      <c r="D2570" t="s">
        <v>1880</v>
      </c>
      <c r="E2570">
        <v>83914233</v>
      </c>
      <c r="F2570" t="s">
        <v>1881</v>
      </c>
      <c r="G2570" s="3">
        <v>46881</v>
      </c>
      <c r="H2570">
        <v>24</v>
      </c>
      <c r="I2570">
        <v>96</v>
      </c>
      <c r="J2570">
        <v>61</v>
      </c>
      <c r="K2570" s="4">
        <v>4220.59</v>
      </c>
      <c r="L2570" s="4">
        <v>71.714285714285708</v>
      </c>
      <c r="M2570" s="4">
        <v>0.85059760956175301</v>
      </c>
      <c r="N2570" t="s">
        <v>25</v>
      </c>
      <c r="O2570" t="str">
        <f t="shared" si="400"/>
        <v>Low</v>
      </c>
      <c r="P2570" t="str">
        <f t="shared" si="401"/>
        <v>Low</v>
      </c>
      <c r="Q2570" t="str">
        <f t="shared" si="402"/>
        <v>Low</v>
      </c>
      <c r="R2570" t="s">
        <v>3317</v>
      </c>
      <c r="S2570" s="4">
        <f t="shared" ca="1" si="403"/>
        <v>684</v>
      </c>
      <c r="T2570">
        <f t="shared" si="404"/>
        <v>1</v>
      </c>
      <c r="U2570">
        <f t="shared" si="405"/>
        <v>1</v>
      </c>
      <c r="V2570">
        <f t="shared" si="406"/>
        <v>1</v>
      </c>
      <c r="W2570">
        <f t="shared" si="407"/>
        <v>1</v>
      </c>
      <c r="X2570">
        <f t="shared" si="408"/>
        <v>0.99999999999999989</v>
      </c>
      <c r="Y2570" t="str">
        <f t="shared" si="409"/>
        <v>Healthy</v>
      </c>
    </row>
    <row r="2571" spans="1:25" x14ac:dyDescent="0.35">
      <c r="A2571" t="s">
        <v>90</v>
      </c>
      <c r="B2571" t="s">
        <v>91</v>
      </c>
      <c r="C2571" t="s">
        <v>255</v>
      </c>
      <c r="D2571" t="s">
        <v>256</v>
      </c>
      <c r="E2571">
        <v>80844726</v>
      </c>
      <c r="F2571" t="s">
        <v>1883</v>
      </c>
      <c r="G2571" s="3">
        <v>46410</v>
      </c>
      <c r="H2571">
        <v>24</v>
      </c>
      <c r="I2571">
        <v>30</v>
      </c>
      <c r="J2571">
        <v>18</v>
      </c>
      <c r="K2571" s="4">
        <v>5356.98</v>
      </c>
      <c r="L2571" s="4">
        <v>7.7142857142857144</v>
      </c>
      <c r="M2571" s="4">
        <v>2.3333333333333335</v>
      </c>
      <c r="N2571" t="s">
        <v>25</v>
      </c>
      <c r="O2571" t="str">
        <f t="shared" si="400"/>
        <v>Medium</v>
      </c>
      <c r="P2571" t="str">
        <f t="shared" si="401"/>
        <v>Low</v>
      </c>
      <c r="Q2571" t="str">
        <f t="shared" si="402"/>
        <v>Medium</v>
      </c>
      <c r="R2571" t="s">
        <v>3317</v>
      </c>
      <c r="S2571" s="4">
        <f t="shared" ca="1" si="403"/>
        <v>213</v>
      </c>
      <c r="T2571">
        <f t="shared" si="404"/>
        <v>2</v>
      </c>
      <c r="U2571">
        <f t="shared" si="405"/>
        <v>1</v>
      </c>
      <c r="V2571">
        <f t="shared" si="406"/>
        <v>2</v>
      </c>
      <c r="W2571">
        <f t="shared" si="407"/>
        <v>1</v>
      </c>
      <c r="X2571">
        <f t="shared" si="408"/>
        <v>1.6</v>
      </c>
      <c r="Y2571" t="str">
        <f t="shared" si="409"/>
        <v>Healthy</v>
      </c>
    </row>
    <row r="2572" spans="1:25" x14ac:dyDescent="0.35">
      <c r="A2572" t="s">
        <v>90</v>
      </c>
      <c r="B2572" t="s">
        <v>91</v>
      </c>
      <c r="C2572" t="s">
        <v>155</v>
      </c>
      <c r="D2572" t="s">
        <v>1880</v>
      </c>
      <c r="E2572">
        <v>83914233</v>
      </c>
      <c r="F2572" t="s">
        <v>1881</v>
      </c>
      <c r="G2572" s="3">
        <v>46912</v>
      </c>
      <c r="H2572">
        <v>24</v>
      </c>
      <c r="I2572">
        <v>100</v>
      </c>
      <c r="J2572">
        <v>144</v>
      </c>
      <c r="K2572" s="4">
        <v>9963.36</v>
      </c>
      <c r="L2572" s="4">
        <v>71.714285714285708</v>
      </c>
      <c r="M2572" s="4">
        <v>2.0079681274900398</v>
      </c>
      <c r="N2572" t="s">
        <v>25</v>
      </c>
      <c r="O2572" t="str">
        <f t="shared" si="400"/>
        <v>Low</v>
      </c>
      <c r="P2572" t="str">
        <f t="shared" si="401"/>
        <v>Low</v>
      </c>
      <c r="Q2572" t="str">
        <f t="shared" si="402"/>
        <v>Low</v>
      </c>
      <c r="R2572" t="s">
        <v>3317</v>
      </c>
      <c r="S2572" s="4">
        <f t="shared" ca="1" si="403"/>
        <v>715</v>
      </c>
      <c r="T2572">
        <f t="shared" si="404"/>
        <v>1</v>
      </c>
      <c r="U2572">
        <f t="shared" si="405"/>
        <v>1</v>
      </c>
      <c r="V2572">
        <f t="shared" si="406"/>
        <v>1</v>
      </c>
      <c r="W2572">
        <f t="shared" si="407"/>
        <v>1</v>
      </c>
      <c r="X2572">
        <f t="shared" si="408"/>
        <v>0.99999999999999989</v>
      </c>
      <c r="Y2572" t="str">
        <f t="shared" si="409"/>
        <v>Healthy</v>
      </c>
    </row>
    <row r="2573" spans="1:25" x14ac:dyDescent="0.35">
      <c r="A2573" t="s">
        <v>90</v>
      </c>
      <c r="B2573" t="s">
        <v>91</v>
      </c>
      <c r="C2573" t="s">
        <v>155</v>
      </c>
      <c r="D2573" t="s">
        <v>1880</v>
      </c>
      <c r="E2573">
        <v>83914233</v>
      </c>
      <c r="F2573" t="s">
        <v>1881</v>
      </c>
      <c r="G2573" s="3">
        <v>46887</v>
      </c>
      <c r="H2573">
        <v>24</v>
      </c>
      <c r="I2573">
        <v>97</v>
      </c>
      <c r="J2573">
        <v>454</v>
      </c>
      <c r="K2573" s="4">
        <v>31412.26</v>
      </c>
      <c r="L2573" s="4">
        <v>71.714285714285708</v>
      </c>
      <c r="M2573" s="4">
        <v>6.330677290836654</v>
      </c>
      <c r="N2573" t="s">
        <v>19</v>
      </c>
      <c r="O2573" t="str">
        <f t="shared" si="400"/>
        <v>Low</v>
      </c>
      <c r="P2573" t="str">
        <f t="shared" si="401"/>
        <v>Medium</v>
      </c>
      <c r="Q2573" t="str">
        <f t="shared" si="402"/>
        <v>Low</v>
      </c>
      <c r="R2573" t="s">
        <v>3317</v>
      </c>
      <c r="S2573" s="4">
        <f t="shared" ca="1" si="403"/>
        <v>690</v>
      </c>
      <c r="T2573">
        <f t="shared" si="404"/>
        <v>1</v>
      </c>
      <c r="U2573">
        <f t="shared" si="405"/>
        <v>2</v>
      </c>
      <c r="V2573">
        <f t="shared" si="406"/>
        <v>1</v>
      </c>
      <c r="W2573">
        <f t="shared" si="407"/>
        <v>1</v>
      </c>
      <c r="X2573">
        <f t="shared" si="408"/>
        <v>1.3</v>
      </c>
      <c r="Y2573" t="str">
        <f t="shared" si="409"/>
        <v>Healthy</v>
      </c>
    </row>
    <row r="2574" spans="1:25" x14ac:dyDescent="0.35">
      <c r="A2574" t="s">
        <v>41</v>
      </c>
      <c r="B2574" t="s">
        <v>54</v>
      </c>
      <c r="C2574" t="s">
        <v>55</v>
      </c>
      <c r="D2574" t="s">
        <v>1884</v>
      </c>
      <c r="E2574">
        <v>80837672</v>
      </c>
      <c r="F2574" t="s">
        <v>1885</v>
      </c>
      <c r="G2574" s="3">
        <v>46702</v>
      </c>
      <c r="H2574">
        <v>36</v>
      </c>
      <c r="I2574">
        <v>47</v>
      </c>
      <c r="J2574">
        <v>1</v>
      </c>
      <c r="K2574" s="4">
        <v>158.83000000000001</v>
      </c>
      <c r="L2574" s="4">
        <v>19.285714285714285</v>
      </c>
      <c r="M2574" s="4">
        <v>5.1851851851851857E-2</v>
      </c>
      <c r="N2574" t="s">
        <v>25</v>
      </c>
      <c r="O2574" t="str">
        <f t="shared" si="400"/>
        <v>Low</v>
      </c>
      <c r="P2574" t="str">
        <f t="shared" si="401"/>
        <v>Low</v>
      </c>
      <c r="Q2574" t="str">
        <f t="shared" si="402"/>
        <v>Low</v>
      </c>
      <c r="R2574" t="s">
        <v>3317</v>
      </c>
      <c r="S2574" s="4">
        <f t="shared" ca="1" si="403"/>
        <v>505</v>
      </c>
      <c r="T2574">
        <f t="shared" si="404"/>
        <v>1</v>
      </c>
      <c r="U2574">
        <f t="shared" si="405"/>
        <v>1</v>
      </c>
      <c r="V2574">
        <f t="shared" si="406"/>
        <v>1</v>
      </c>
      <c r="W2574">
        <f t="shared" si="407"/>
        <v>1</v>
      </c>
      <c r="X2574">
        <f t="shared" si="408"/>
        <v>0.99999999999999989</v>
      </c>
      <c r="Y2574" t="str">
        <f t="shared" si="409"/>
        <v>Healthy</v>
      </c>
    </row>
    <row r="2575" spans="1:25" x14ac:dyDescent="0.35">
      <c r="A2575" t="s">
        <v>90</v>
      </c>
      <c r="B2575" t="s">
        <v>91</v>
      </c>
      <c r="C2575" t="s">
        <v>112</v>
      </c>
      <c r="D2575" t="s">
        <v>1886</v>
      </c>
      <c r="E2575">
        <v>83916747</v>
      </c>
      <c r="F2575" t="s">
        <v>1887</v>
      </c>
      <c r="G2575" s="3">
        <v>46865</v>
      </c>
      <c r="H2575">
        <v>24</v>
      </c>
      <c r="I2575">
        <v>93</v>
      </c>
      <c r="J2575">
        <v>408</v>
      </c>
      <c r="K2575" s="4">
        <v>80739.12</v>
      </c>
      <c r="L2575" s="4">
        <f>0</f>
        <v>0</v>
      </c>
      <c r="M2575" s="4">
        <f>999</f>
        <v>999</v>
      </c>
      <c r="N2575" t="s">
        <v>19</v>
      </c>
      <c r="O2575" t="str">
        <f t="shared" si="400"/>
        <v>Low</v>
      </c>
      <c r="P2575" t="str">
        <f t="shared" si="401"/>
        <v>High</v>
      </c>
      <c r="Q2575" t="str">
        <f t="shared" si="402"/>
        <v>High</v>
      </c>
      <c r="R2575" t="s">
        <v>3310</v>
      </c>
      <c r="S2575" s="4">
        <f t="shared" ca="1" si="403"/>
        <v>668</v>
      </c>
      <c r="T2575">
        <f t="shared" si="404"/>
        <v>1</v>
      </c>
      <c r="U2575">
        <f t="shared" si="405"/>
        <v>3</v>
      </c>
      <c r="V2575">
        <f t="shared" si="406"/>
        <v>3</v>
      </c>
      <c r="W2575">
        <f t="shared" si="407"/>
        <v>2</v>
      </c>
      <c r="X2575">
        <f t="shared" si="408"/>
        <v>2.1</v>
      </c>
      <c r="Y2575" t="str">
        <f t="shared" si="409"/>
        <v>Monitor</v>
      </c>
    </row>
    <row r="2576" spans="1:25" x14ac:dyDescent="0.35">
      <c r="A2576" t="s">
        <v>41</v>
      </c>
      <c r="B2576" t="s">
        <v>54</v>
      </c>
      <c r="C2576" t="s">
        <v>55</v>
      </c>
      <c r="D2576" t="s">
        <v>1884</v>
      </c>
      <c r="E2576">
        <v>80837672</v>
      </c>
      <c r="F2576" t="s">
        <v>1885</v>
      </c>
      <c r="G2576" s="3">
        <v>46725</v>
      </c>
      <c r="H2576">
        <v>36</v>
      </c>
      <c r="I2576">
        <v>49</v>
      </c>
      <c r="J2576">
        <v>10</v>
      </c>
      <c r="K2576" s="4">
        <v>1588.3</v>
      </c>
      <c r="L2576" s="4">
        <v>19.285714285714285</v>
      </c>
      <c r="M2576" s="4">
        <v>0.5185185185185186</v>
      </c>
      <c r="N2576" t="s">
        <v>25</v>
      </c>
      <c r="O2576" t="str">
        <f t="shared" si="400"/>
        <v>Low</v>
      </c>
      <c r="P2576" t="str">
        <f t="shared" si="401"/>
        <v>Low</v>
      </c>
      <c r="Q2576" t="str">
        <f t="shared" si="402"/>
        <v>Low</v>
      </c>
      <c r="R2576" t="s">
        <v>3317</v>
      </c>
      <c r="S2576" s="4">
        <f t="shared" ca="1" si="403"/>
        <v>528</v>
      </c>
      <c r="T2576">
        <f t="shared" si="404"/>
        <v>1</v>
      </c>
      <c r="U2576">
        <f t="shared" si="405"/>
        <v>1</v>
      </c>
      <c r="V2576">
        <f t="shared" si="406"/>
        <v>1</v>
      </c>
      <c r="W2576">
        <f t="shared" si="407"/>
        <v>1</v>
      </c>
      <c r="X2576">
        <f t="shared" si="408"/>
        <v>0.99999999999999989</v>
      </c>
      <c r="Y2576" t="str">
        <f t="shared" si="409"/>
        <v>Healthy</v>
      </c>
    </row>
    <row r="2577" spans="1:25" x14ac:dyDescent="0.35">
      <c r="A2577" t="s">
        <v>90</v>
      </c>
      <c r="B2577" t="s">
        <v>91</v>
      </c>
      <c r="C2577" t="s">
        <v>112</v>
      </c>
      <c r="D2577" t="s">
        <v>1886</v>
      </c>
      <c r="E2577">
        <v>83916747</v>
      </c>
      <c r="F2577" t="s">
        <v>1887</v>
      </c>
      <c r="G2577" s="3">
        <v>46865</v>
      </c>
      <c r="H2577">
        <v>24</v>
      </c>
      <c r="I2577">
        <v>93</v>
      </c>
      <c r="J2577">
        <v>144</v>
      </c>
      <c r="K2577" s="4">
        <v>28496.16</v>
      </c>
      <c r="L2577" s="4">
        <f>0</f>
        <v>0</v>
      </c>
      <c r="M2577" s="4">
        <f>999</f>
        <v>999</v>
      </c>
      <c r="N2577" t="s">
        <v>19</v>
      </c>
      <c r="O2577" t="str">
        <f t="shared" si="400"/>
        <v>Low</v>
      </c>
      <c r="P2577" t="str">
        <f t="shared" si="401"/>
        <v>High</v>
      </c>
      <c r="Q2577" t="str">
        <f t="shared" si="402"/>
        <v>High</v>
      </c>
      <c r="R2577" t="s">
        <v>3317</v>
      </c>
      <c r="S2577" s="4">
        <f t="shared" ca="1" si="403"/>
        <v>668</v>
      </c>
      <c r="T2577">
        <f t="shared" si="404"/>
        <v>1</v>
      </c>
      <c r="U2577">
        <f t="shared" si="405"/>
        <v>3</v>
      </c>
      <c r="V2577">
        <f t="shared" si="406"/>
        <v>3</v>
      </c>
      <c r="W2577">
        <f t="shared" si="407"/>
        <v>1</v>
      </c>
      <c r="X2577">
        <f t="shared" si="408"/>
        <v>2</v>
      </c>
      <c r="Y2577" t="str">
        <f t="shared" si="409"/>
        <v>Monitor</v>
      </c>
    </row>
    <row r="2578" spans="1:25" x14ac:dyDescent="0.35">
      <c r="A2578" t="s">
        <v>99</v>
      </c>
      <c r="B2578" t="s">
        <v>100</v>
      </c>
      <c r="C2578" t="s">
        <v>375</v>
      </c>
      <c r="D2578" t="s">
        <v>1888</v>
      </c>
      <c r="E2578">
        <v>80830404</v>
      </c>
      <c r="F2578" t="s">
        <v>1889</v>
      </c>
      <c r="G2578" s="3">
        <v>47181</v>
      </c>
      <c r="H2578">
        <v>36</v>
      </c>
      <c r="I2578">
        <v>92</v>
      </c>
      <c r="J2578">
        <v>14</v>
      </c>
      <c r="K2578" s="4">
        <v>3719.94</v>
      </c>
      <c r="L2578" s="4">
        <v>351.14285714285717</v>
      </c>
      <c r="M2578" s="4">
        <v>3.9869812855980472E-2</v>
      </c>
      <c r="N2578" t="s">
        <v>25</v>
      </c>
      <c r="O2578" t="str">
        <f t="shared" si="400"/>
        <v>Low</v>
      </c>
      <c r="P2578" t="str">
        <f t="shared" si="401"/>
        <v>Low</v>
      </c>
      <c r="Q2578" t="str">
        <f t="shared" si="402"/>
        <v>Low</v>
      </c>
      <c r="R2578" t="s">
        <v>3317</v>
      </c>
      <c r="S2578" s="4">
        <f t="shared" ca="1" si="403"/>
        <v>984</v>
      </c>
      <c r="T2578">
        <f t="shared" si="404"/>
        <v>1</v>
      </c>
      <c r="U2578">
        <f t="shared" si="405"/>
        <v>1</v>
      </c>
      <c r="V2578">
        <f t="shared" si="406"/>
        <v>1</v>
      </c>
      <c r="W2578">
        <f t="shared" si="407"/>
        <v>1</v>
      </c>
      <c r="X2578">
        <f t="shared" si="408"/>
        <v>0.99999999999999989</v>
      </c>
      <c r="Y2578" t="str">
        <f t="shared" si="409"/>
        <v>Healthy</v>
      </c>
    </row>
    <row r="2579" spans="1:25" x14ac:dyDescent="0.35">
      <c r="A2579" t="s">
        <v>90</v>
      </c>
      <c r="B2579" t="s">
        <v>91</v>
      </c>
      <c r="C2579" t="s">
        <v>112</v>
      </c>
      <c r="D2579" t="s">
        <v>1886</v>
      </c>
      <c r="E2579">
        <v>83916747</v>
      </c>
      <c r="F2579" t="s">
        <v>1887</v>
      </c>
      <c r="G2579" s="3">
        <v>46865</v>
      </c>
      <c r="H2579">
        <v>24</v>
      </c>
      <c r="I2579">
        <v>93</v>
      </c>
      <c r="J2579">
        <v>922</v>
      </c>
      <c r="K2579" s="4">
        <v>182454.58</v>
      </c>
      <c r="L2579" s="4">
        <f>0</f>
        <v>0</v>
      </c>
      <c r="M2579" s="4">
        <f>999</f>
        <v>999</v>
      </c>
      <c r="N2579" t="s">
        <v>19</v>
      </c>
      <c r="O2579" t="str">
        <f t="shared" si="400"/>
        <v>Low</v>
      </c>
      <c r="P2579" t="str">
        <f t="shared" si="401"/>
        <v>High</v>
      </c>
      <c r="Q2579" t="str">
        <f t="shared" si="402"/>
        <v>High</v>
      </c>
      <c r="R2579" t="s">
        <v>3309</v>
      </c>
      <c r="S2579" s="4">
        <f t="shared" ca="1" si="403"/>
        <v>668</v>
      </c>
      <c r="T2579">
        <f t="shared" si="404"/>
        <v>1</v>
      </c>
      <c r="U2579">
        <f t="shared" si="405"/>
        <v>3</v>
      </c>
      <c r="V2579">
        <f t="shared" si="406"/>
        <v>3</v>
      </c>
      <c r="W2579">
        <f t="shared" si="407"/>
        <v>3</v>
      </c>
      <c r="X2579">
        <f t="shared" si="408"/>
        <v>2.2000000000000002</v>
      </c>
      <c r="Y2579" t="str">
        <f t="shared" si="409"/>
        <v>High Priority</v>
      </c>
    </row>
    <row r="2580" spans="1:25" x14ac:dyDescent="0.35">
      <c r="A2580" t="s">
        <v>99</v>
      </c>
      <c r="B2580" t="s">
        <v>100</v>
      </c>
      <c r="C2580" t="s">
        <v>375</v>
      </c>
      <c r="D2580" t="s">
        <v>1888</v>
      </c>
      <c r="E2580">
        <v>80830404</v>
      </c>
      <c r="F2580" t="s">
        <v>1889</v>
      </c>
      <c r="G2580" s="3">
        <v>47010</v>
      </c>
      <c r="H2580">
        <v>36</v>
      </c>
      <c r="I2580">
        <v>76</v>
      </c>
      <c r="J2580">
        <v>50</v>
      </c>
      <c r="K2580" s="4">
        <v>13285.5</v>
      </c>
      <c r="L2580" s="4">
        <v>351.14285714285717</v>
      </c>
      <c r="M2580" s="4">
        <v>0.14239218877135881</v>
      </c>
      <c r="N2580" t="s">
        <v>25</v>
      </c>
      <c r="O2580" t="str">
        <f t="shared" si="400"/>
        <v>Low</v>
      </c>
      <c r="P2580" t="str">
        <f t="shared" si="401"/>
        <v>Low</v>
      </c>
      <c r="Q2580" t="str">
        <f t="shared" si="402"/>
        <v>Low</v>
      </c>
      <c r="R2580" t="s">
        <v>3317</v>
      </c>
      <c r="S2580" s="4">
        <f t="shared" ca="1" si="403"/>
        <v>813</v>
      </c>
      <c r="T2580">
        <f t="shared" si="404"/>
        <v>1</v>
      </c>
      <c r="U2580">
        <f t="shared" si="405"/>
        <v>1</v>
      </c>
      <c r="V2580">
        <f t="shared" si="406"/>
        <v>1</v>
      </c>
      <c r="W2580">
        <f t="shared" si="407"/>
        <v>1</v>
      </c>
      <c r="X2580">
        <f t="shared" si="408"/>
        <v>0.99999999999999989</v>
      </c>
      <c r="Y2580" t="str">
        <f t="shared" si="409"/>
        <v>Healthy</v>
      </c>
    </row>
    <row r="2581" spans="1:25" x14ac:dyDescent="0.35">
      <c r="A2581" t="s">
        <v>20</v>
      </c>
      <c r="B2581" t="s">
        <v>21</v>
      </c>
      <c r="C2581" t="s">
        <v>126</v>
      </c>
      <c r="D2581" t="s">
        <v>1890</v>
      </c>
      <c r="E2581">
        <v>80895928</v>
      </c>
      <c r="F2581" t="s">
        <v>1891</v>
      </c>
      <c r="G2581" s="3">
        <v>46909</v>
      </c>
      <c r="H2581">
        <v>36</v>
      </c>
      <c r="I2581">
        <v>66</v>
      </c>
      <c r="J2581">
        <v>24</v>
      </c>
      <c r="K2581" s="4">
        <v>10506.72</v>
      </c>
      <c r="L2581" s="4">
        <v>8.5714285714285712</v>
      </c>
      <c r="M2581" s="4">
        <v>2.8000000000000003</v>
      </c>
      <c r="N2581" t="s">
        <v>25</v>
      </c>
      <c r="O2581" t="str">
        <f t="shared" si="400"/>
        <v>Low</v>
      </c>
      <c r="P2581" t="str">
        <f t="shared" si="401"/>
        <v>Low</v>
      </c>
      <c r="Q2581" t="str">
        <f t="shared" si="402"/>
        <v>Medium</v>
      </c>
      <c r="R2581" t="s">
        <v>3317</v>
      </c>
      <c r="S2581" s="4">
        <f t="shared" ca="1" si="403"/>
        <v>712</v>
      </c>
      <c r="T2581">
        <f t="shared" si="404"/>
        <v>1</v>
      </c>
      <c r="U2581">
        <f t="shared" si="405"/>
        <v>1</v>
      </c>
      <c r="V2581">
        <f t="shared" si="406"/>
        <v>2</v>
      </c>
      <c r="W2581">
        <f t="shared" si="407"/>
        <v>1</v>
      </c>
      <c r="X2581">
        <f t="shared" si="408"/>
        <v>1.2000000000000002</v>
      </c>
      <c r="Y2581" t="str">
        <f t="shared" si="409"/>
        <v>Healthy</v>
      </c>
    </row>
    <row r="2582" spans="1:25" x14ac:dyDescent="0.35">
      <c r="A2582" t="s">
        <v>99</v>
      </c>
      <c r="B2582" t="s">
        <v>100</v>
      </c>
      <c r="C2582" t="s">
        <v>375</v>
      </c>
      <c r="D2582" t="s">
        <v>1888</v>
      </c>
      <c r="E2582">
        <v>80830404</v>
      </c>
      <c r="F2582" t="s">
        <v>1889</v>
      </c>
      <c r="G2582" s="3">
        <v>46761</v>
      </c>
      <c r="H2582">
        <v>36</v>
      </c>
      <c r="I2582">
        <v>53</v>
      </c>
      <c r="J2582">
        <v>79</v>
      </c>
      <c r="K2582" s="4">
        <v>20991.09</v>
      </c>
      <c r="L2582" s="4">
        <v>351.14285714285717</v>
      </c>
      <c r="M2582" s="4">
        <v>0.22497965825874694</v>
      </c>
      <c r="N2582" t="s">
        <v>25</v>
      </c>
      <c r="O2582" t="str">
        <f t="shared" si="400"/>
        <v>Low</v>
      </c>
      <c r="P2582" t="str">
        <f t="shared" si="401"/>
        <v>Low</v>
      </c>
      <c r="Q2582" t="str">
        <f t="shared" si="402"/>
        <v>Low</v>
      </c>
      <c r="R2582" t="s">
        <v>3317</v>
      </c>
      <c r="S2582" s="4">
        <f t="shared" ca="1" si="403"/>
        <v>564</v>
      </c>
      <c r="T2582">
        <f t="shared" si="404"/>
        <v>1</v>
      </c>
      <c r="U2582">
        <f t="shared" si="405"/>
        <v>1</v>
      </c>
      <c r="V2582">
        <f t="shared" si="406"/>
        <v>1</v>
      </c>
      <c r="W2582">
        <f t="shared" si="407"/>
        <v>1</v>
      </c>
      <c r="X2582">
        <f t="shared" si="408"/>
        <v>0.99999999999999989</v>
      </c>
      <c r="Y2582" t="str">
        <f t="shared" si="409"/>
        <v>Healthy</v>
      </c>
    </row>
    <row r="2583" spans="1:25" x14ac:dyDescent="0.35">
      <c r="A2583" t="s">
        <v>20</v>
      </c>
      <c r="B2583" t="s">
        <v>21</v>
      </c>
      <c r="C2583" t="s">
        <v>126</v>
      </c>
      <c r="D2583" t="s">
        <v>1890</v>
      </c>
      <c r="E2583">
        <v>80895928</v>
      </c>
      <c r="F2583" t="s">
        <v>1891</v>
      </c>
      <c r="G2583" s="3">
        <v>46923</v>
      </c>
      <c r="H2583">
        <v>36</v>
      </c>
      <c r="I2583">
        <v>68</v>
      </c>
      <c r="J2583">
        <v>48</v>
      </c>
      <c r="K2583" s="4">
        <v>21013.439999999999</v>
      </c>
      <c r="L2583" s="4">
        <v>8.5714285714285712</v>
      </c>
      <c r="M2583" s="4">
        <v>5.6000000000000005</v>
      </c>
      <c r="N2583" t="s">
        <v>25</v>
      </c>
      <c r="O2583" t="str">
        <f t="shared" si="400"/>
        <v>Low</v>
      </c>
      <c r="P2583" t="str">
        <f t="shared" si="401"/>
        <v>Medium</v>
      </c>
      <c r="Q2583" t="str">
        <f t="shared" si="402"/>
        <v>Medium</v>
      </c>
      <c r="R2583" t="s">
        <v>3317</v>
      </c>
      <c r="S2583" s="4">
        <f t="shared" ca="1" si="403"/>
        <v>726</v>
      </c>
      <c r="T2583">
        <f t="shared" si="404"/>
        <v>1</v>
      </c>
      <c r="U2583">
        <f t="shared" si="405"/>
        <v>2</v>
      </c>
      <c r="V2583">
        <f t="shared" si="406"/>
        <v>2</v>
      </c>
      <c r="W2583">
        <f t="shared" si="407"/>
        <v>1</v>
      </c>
      <c r="X2583">
        <f t="shared" si="408"/>
        <v>1.5</v>
      </c>
      <c r="Y2583" t="str">
        <f t="shared" si="409"/>
        <v>Healthy</v>
      </c>
    </row>
    <row r="2584" spans="1:25" x14ac:dyDescent="0.35">
      <c r="A2584" t="s">
        <v>90</v>
      </c>
      <c r="B2584" t="s">
        <v>91</v>
      </c>
      <c r="C2584" t="s">
        <v>478</v>
      </c>
      <c r="D2584" t="s">
        <v>1252</v>
      </c>
      <c r="E2584">
        <v>83908990</v>
      </c>
      <c r="F2584" t="s">
        <v>1892</v>
      </c>
      <c r="G2584" s="3">
        <v>46666</v>
      </c>
      <c r="H2584">
        <v>24</v>
      </c>
      <c r="I2584">
        <v>66</v>
      </c>
      <c r="J2584">
        <v>27</v>
      </c>
      <c r="K2584" s="4">
        <v>13191.12</v>
      </c>
      <c r="L2584" s="4">
        <v>69.571428571428569</v>
      </c>
      <c r="M2584" s="4">
        <v>0.38809034907597539</v>
      </c>
      <c r="N2584" t="s">
        <v>25</v>
      </c>
      <c r="O2584" t="str">
        <f t="shared" si="400"/>
        <v>Low</v>
      </c>
      <c r="P2584" t="str">
        <f t="shared" si="401"/>
        <v>Low</v>
      </c>
      <c r="Q2584" t="str">
        <f t="shared" si="402"/>
        <v>Low</v>
      </c>
      <c r="R2584" t="s">
        <v>3317</v>
      </c>
      <c r="S2584" s="4">
        <f t="shared" ca="1" si="403"/>
        <v>469</v>
      </c>
      <c r="T2584">
        <f t="shared" si="404"/>
        <v>1</v>
      </c>
      <c r="U2584">
        <f t="shared" si="405"/>
        <v>1</v>
      </c>
      <c r="V2584">
        <f t="shared" si="406"/>
        <v>1</v>
      </c>
      <c r="W2584">
        <f t="shared" si="407"/>
        <v>1</v>
      </c>
      <c r="X2584">
        <f t="shared" si="408"/>
        <v>0.99999999999999989</v>
      </c>
      <c r="Y2584" t="str">
        <f t="shared" si="409"/>
        <v>Healthy</v>
      </c>
    </row>
    <row r="2585" spans="1:25" x14ac:dyDescent="0.35">
      <c r="A2585" t="s">
        <v>99</v>
      </c>
      <c r="B2585" t="s">
        <v>100</v>
      </c>
      <c r="C2585" t="s">
        <v>375</v>
      </c>
      <c r="D2585" t="s">
        <v>1888</v>
      </c>
      <c r="E2585">
        <v>80830404</v>
      </c>
      <c r="F2585" t="s">
        <v>1889</v>
      </c>
      <c r="G2585" s="3">
        <v>51847</v>
      </c>
      <c r="H2585">
        <v>36</v>
      </c>
      <c r="I2585">
        <v>100</v>
      </c>
      <c r="J2585">
        <v>24</v>
      </c>
      <c r="K2585" s="4">
        <v>6377.04</v>
      </c>
      <c r="L2585" s="4">
        <v>351.14285714285717</v>
      </c>
      <c r="M2585" s="4">
        <v>6.8348250610252237E-2</v>
      </c>
      <c r="N2585" t="s">
        <v>25</v>
      </c>
      <c r="O2585" t="str">
        <f t="shared" si="400"/>
        <v>Low</v>
      </c>
      <c r="P2585" t="str">
        <f t="shared" si="401"/>
        <v>Low</v>
      </c>
      <c r="Q2585" t="str">
        <f t="shared" si="402"/>
        <v>Low</v>
      </c>
      <c r="R2585" t="s">
        <v>3317</v>
      </c>
      <c r="S2585" s="4">
        <f t="shared" ca="1" si="403"/>
        <v>5650</v>
      </c>
      <c r="T2585">
        <f t="shared" si="404"/>
        <v>1</v>
      </c>
      <c r="U2585">
        <f t="shared" si="405"/>
        <v>1</v>
      </c>
      <c r="V2585">
        <f t="shared" si="406"/>
        <v>1</v>
      </c>
      <c r="W2585">
        <f t="shared" si="407"/>
        <v>1</v>
      </c>
      <c r="X2585">
        <f t="shared" si="408"/>
        <v>0.99999999999999989</v>
      </c>
      <c r="Y2585" t="str">
        <f t="shared" si="409"/>
        <v>Healthy</v>
      </c>
    </row>
    <row r="2586" spans="1:25" x14ac:dyDescent="0.35">
      <c r="A2586" t="s">
        <v>90</v>
      </c>
      <c r="B2586" t="s">
        <v>91</v>
      </c>
      <c r="C2586" t="s">
        <v>478</v>
      </c>
      <c r="D2586" t="s">
        <v>1252</v>
      </c>
      <c r="E2586">
        <v>83908990</v>
      </c>
      <c r="F2586" t="s">
        <v>1892</v>
      </c>
      <c r="G2586" s="3">
        <v>46731</v>
      </c>
      <c r="H2586">
        <v>24</v>
      </c>
      <c r="I2586">
        <v>75</v>
      </c>
      <c r="J2586">
        <v>54</v>
      </c>
      <c r="K2586" s="4">
        <v>26382.240000000002</v>
      </c>
      <c r="L2586" s="4">
        <v>69.571428571428569</v>
      </c>
      <c r="M2586" s="4">
        <v>0.77618069815195079</v>
      </c>
      <c r="N2586" t="s">
        <v>25</v>
      </c>
      <c r="O2586" t="str">
        <f t="shared" si="400"/>
        <v>Low</v>
      </c>
      <c r="P2586" t="str">
        <f t="shared" si="401"/>
        <v>Low</v>
      </c>
      <c r="Q2586" t="str">
        <f t="shared" si="402"/>
        <v>Low</v>
      </c>
      <c r="R2586" t="s">
        <v>3317</v>
      </c>
      <c r="S2586" s="4">
        <f t="shared" ca="1" si="403"/>
        <v>534</v>
      </c>
      <c r="T2586">
        <f t="shared" si="404"/>
        <v>1</v>
      </c>
      <c r="U2586">
        <f t="shared" si="405"/>
        <v>1</v>
      </c>
      <c r="V2586">
        <f t="shared" si="406"/>
        <v>1</v>
      </c>
      <c r="W2586">
        <f t="shared" si="407"/>
        <v>1</v>
      </c>
      <c r="X2586">
        <f t="shared" si="408"/>
        <v>0.99999999999999989</v>
      </c>
      <c r="Y2586" t="str">
        <f t="shared" si="409"/>
        <v>Healthy</v>
      </c>
    </row>
    <row r="2587" spans="1:25" x14ac:dyDescent="0.35">
      <c r="A2587" t="s">
        <v>90</v>
      </c>
      <c r="B2587" t="s">
        <v>91</v>
      </c>
      <c r="C2587" t="s">
        <v>478</v>
      </c>
      <c r="D2587" t="s">
        <v>1252</v>
      </c>
      <c r="E2587">
        <v>83908990</v>
      </c>
      <c r="F2587" t="s">
        <v>1892</v>
      </c>
      <c r="G2587" s="3">
        <v>46638</v>
      </c>
      <c r="H2587">
        <v>24</v>
      </c>
      <c r="I2587">
        <v>62</v>
      </c>
      <c r="J2587">
        <v>54</v>
      </c>
      <c r="K2587" s="4">
        <v>26382.240000000002</v>
      </c>
      <c r="L2587" s="4">
        <v>69.571428571428569</v>
      </c>
      <c r="M2587" s="4">
        <v>0.77618069815195079</v>
      </c>
      <c r="N2587" t="s">
        <v>25</v>
      </c>
      <c r="O2587" t="str">
        <f t="shared" si="400"/>
        <v>Low</v>
      </c>
      <c r="P2587" t="str">
        <f t="shared" si="401"/>
        <v>Low</v>
      </c>
      <c r="Q2587" t="str">
        <f t="shared" si="402"/>
        <v>Low</v>
      </c>
      <c r="R2587" t="s">
        <v>3317</v>
      </c>
      <c r="S2587" s="4">
        <f t="shared" ca="1" si="403"/>
        <v>441</v>
      </c>
      <c r="T2587">
        <f t="shared" si="404"/>
        <v>1</v>
      </c>
      <c r="U2587">
        <f t="shared" si="405"/>
        <v>1</v>
      </c>
      <c r="V2587">
        <f t="shared" si="406"/>
        <v>1</v>
      </c>
      <c r="W2587">
        <f t="shared" si="407"/>
        <v>1</v>
      </c>
      <c r="X2587">
        <f t="shared" si="408"/>
        <v>0.99999999999999989</v>
      </c>
      <c r="Y2587" t="str">
        <f t="shared" si="409"/>
        <v>Healthy</v>
      </c>
    </row>
    <row r="2588" spans="1:25" x14ac:dyDescent="0.35">
      <c r="A2588" t="s">
        <v>90</v>
      </c>
      <c r="B2588" t="s">
        <v>91</v>
      </c>
      <c r="C2588" t="s">
        <v>155</v>
      </c>
      <c r="D2588" t="s">
        <v>1893</v>
      </c>
      <c r="E2588">
        <v>83914222</v>
      </c>
      <c r="F2588" t="s">
        <v>1894</v>
      </c>
      <c r="G2588" s="3">
        <v>46910</v>
      </c>
      <c r="H2588">
        <v>24</v>
      </c>
      <c r="I2588">
        <v>100</v>
      </c>
      <c r="J2588">
        <v>826</v>
      </c>
      <c r="K2588" s="4">
        <v>299086.34000000003</v>
      </c>
      <c r="L2588" s="4">
        <v>319.71428571428572</v>
      </c>
      <c r="M2588" s="4">
        <v>2.5835567470956211</v>
      </c>
      <c r="N2588" t="s">
        <v>25</v>
      </c>
      <c r="O2588" t="str">
        <f t="shared" si="400"/>
        <v>Low</v>
      </c>
      <c r="P2588" t="str">
        <f t="shared" si="401"/>
        <v>Low</v>
      </c>
      <c r="Q2588" t="str">
        <f t="shared" si="402"/>
        <v>Low</v>
      </c>
      <c r="R2588" t="s">
        <v>3309</v>
      </c>
      <c r="S2588" s="4">
        <f t="shared" ca="1" si="403"/>
        <v>713</v>
      </c>
      <c r="T2588">
        <f t="shared" si="404"/>
        <v>1</v>
      </c>
      <c r="U2588">
        <f t="shared" si="405"/>
        <v>1</v>
      </c>
      <c r="V2588">
        <f t="shared" si="406"/>
        <v>1</v>
      </c>
      <c r="W2588">
        <f t="shared" si="407"/>
        <v>3</v>
      </c>
      <c r="X2588">
        <f t="shared" si="408"/>
        <v>1.2</v>
      </c>
      <c r="Y2588" t="str">
        <f t="shared" si="409"/>
        <v>Healthy</v>
      </c>
    </row>
    <row r="2589" spans="1:25" x14ac:dyDescent="0.35">
      <c r="A2589" t="s">
        <v>90</v>
      </c>
      <c r="B2589" t="s">
        <v>91</v>
      </c>
      <c r="C2589" t="s">
        <v>155</v>
      </c>
      <c r="D2589" t="s">
        <v>1893</v>
      </c>
      <c r="E2589">
        <v>83914222</v>
      </c>
      <c r="F2589" t="s">
        <v>1894</v>
      </c>
      <c r="G2589" s="3">
        <v>46898</v>
      </c>
      <c r="H2589">
        <v>24</v>
      </c>
      <c r="I2589">
        <v>98</v>
      </c>
      <c r="J2589">
        <v>1578</v>
      </c>
      <c r="K2589" s="4">
        <v>571378.02</v>
      </c>
      <c r="L2589" s="4">
        <v>319.71428571428572</v>
      </c>
      <c r="M2589" s="4">
        <v>4.935656836461126</v>
      </c>
      <c r="N2589" t="s">
        <v>25</v>
      </c>
      <c r="O2589" t="str">
        <f t="shared" si="400"/>
        <v>Low</v>
      </c>
      <c r="P2589" t="str">
        <f t="shared" si="401"/>
        <v>Medium</v>
      </c>
      <c r="Q2589" t="str">
        <f t="shared" si="402"/>
        <v>Low</v>
      </c>
      <c r="R2589" t="s">
        <v>3309</v>
      </c>
      <c r="S2589" s="4">
        <f t="shared" ca="1" si="403"/>
        <v>701</v>
      </c>
      <c r="T2589">
        <f t="shared" si="404"/>
        <v>1</v>
      </c>
      <c r="U2589">
        <f t="shared" si="405"/>
        <v>2</v>
      </c>
      <c r="V2589">
        <f t="shared" si="406"/>
        <v>1</v>
      </c>
      <c r="W2589">
        <f t="shared" si="407"/>
        <v>3</v>
      </c>
      <c r="X2589">
        <f t="shared" si="408"/>
        <v>1.5</v>
      </c>
      <c r="Y2589" t="str">
        <f t="shared" si="409"/>
        <v>Healthy</v>
      </c>
    </row>
    <row r="2590" spans="1:25" x14ac:dyDescent="0.35">
      <c r="A2590" t="s">
        <v>99</v>
      </c>
      <c r="B2590" t="s">
        <v>100</v>
      </c>
      <c r="C2590" t="s">
        <v>375</v>
      </c>
      <c r="D2590" t="s">
        <v>1888</v>
      </c>
      <c r="E2590">
        <v>80830404</v>
      </c>
      <c r="F2590" t="s">
        <v>1889</v>
      </c>
      <c r="G2590" s="3">
        <v>46968</v>
      </c>
      <c r="H2590">
        <v>36</v>
      </c>
      <c r="I2590">
        <v>72</v>
      </c>
      <c r="J2590">
        <v>24</v>
      </c>
      <c r="K2590" s="4">
        <v>6377.04</v>
      </c>
      <c r="L2590" s="4">
        <v>351.14285714285717</v>
      </c>
      <c r="M2590" s="4">
        <v>6.8348250610252237E-2</v>
      </c>
      <c r="N2590" t="s">
        <v>25</v>
      </c>
      <c r="O2590" t="str">
        <f t="shared" si="400"/>
        <v>Low</v>
      </c>
      <c r="P2590" t="str">
        <f t="shared" si="401"/>
        <v>Low</v>
      </c>
      <c r="Q2590" t="str">
        <f t="shared" si="402"/>
        <v>Low</v>
      </c>
      <c r="R2590" t="s">
        <v>3317</v>
      </c>
      <c r="S2590" s="4">
        <f t="shared" ca="1" si="403"/>
        <v>771</v>
      </c>
      <c r="T2590">
        <f t="shared" si="404"/>
        <v>1</v>
      </c>
      <c r="U2590">
        <f t="shared" si="405"/>
        <v>1</v>
      </c>
      <c r="V2590">
        <f t="shared" si="406"/>
        <v>1</v>
      </c>
      <c r="W2590">
        <f t="shared" si="407"/>
        <v>1</v>
      </c>
      <c r="X2590">
        <f t="shared" si="408"/>
        <v>0.99999999999999989</v>
      </c>
      <c r="Y2590" t="str">
        <f t="shared" si="409"/>
        <v>Healthy</v>
      </c>
    </row>
    <row r="2591" spans="1:25" x14ac:dyDescent="0.35">
      <c r="A2591" t="s">
        <v>90</v>
      </c>
      <c r="B2591" t="s">
        <v>91</v>
      </c>
      <c r="C2591" t="s">
        <v>155</v>
      </c>
      <c r="D2591" t="s">
        <v>1895</v>
      </c>
      <c r="E2591">
        <v>83914232</v>
      </c>
      <c r="F2591" t="s">
        <v>1896</v>
      </c>
      <c r="G2591" s="3">
        <v>46887</v>
      </c>
      <c r="H2591">
        <v>24</v>
      </c>
      <c r="I2591">
        <v>97</v>
      </c>
      <c r="J2591">
        <v>12</v>
      </c>
      <c r="K2591" s="4">
        <v>5809.08</v>
      </c>
      <c r="L2591" s="4">
        <f>0</f>
        <v>0</v>
      </c>
      <c r="M2591" s="4">
        <f>999</f>
        <v>999</v>
      </c>
      <c r="N2591" t="s">
        <v>19</v>
      </c>
      <c r="O2591" t="str">
        <f t="shared" si="400"/>
        <v>Low</v>
      </c>
      <c r="P2591" t="str">
        <f t="shared" si="401"/>
        <v>High</v>
      </c>
      <c r="Q2591" t="str">
        <f t="shared" si="402"/>
        <v>High</v>
      </c>
      <c r="R2591" t="s">
        <v>3317</v>
      </c>
      <c r="S2591" s="4">
        <f t="shared" ca="1" si="403"/>
        <v>690</v>
      </c>
      <c r="T2591">
        <f t="shared" si="404"/>
        <v>1</v>
      </c>
      <c r="U2591">
        <f t="shared" si="405"/>
        <v>3</v>
      </c>
      <c r="V2591">
        <f t="shared" si="406"/>
        <v>3</v>
      </c>
      <c r="W2591">
        <f t="shared" si="407"/>
        <v>1</v>
      </c>
      <c r="X2591">
        <f t="shared" si="408"/>
        <v>2</v>
      </c>
      <c r="Y2591" t="str">
        <f t="shared" si="409"/>
        <v>Monitor</v>
      </c>
    </row>
    <row r="2592" spans="1:25" x14ac:dyDescent="0.35">
      <c r="A2592" t="s">
        <v>99</v>
      </c>
      <c r="B2592" t="s">
        <v>100</v>
      </c>
      <c r="C2592" t="s">
        <v>375</v>
      </c>
      <c r="D2592" t="s">
        <v>1888</v>
      </c>
      <c r="E2592">
        <v>80830404</v>
      </c>
      <c r="F2592" t="s">
        <v>1889</v>
      </c>
      <c r="G2592" s="3">
        <v>46757</v>
      </c>
      <c r="H2592">
        <v>36</v>
      </c>
      <c r="I2592">
        <v>52</v>
      </c>
      <c r="J2592">
        <v>35</v>
      </c>
      <c r="K2592" s="4">
        <v>9299.85</v>
      </c>
      <c r="L2592" s="4">
        <v>351.14285714285717</v>
      </c>
      <c r="M2592" s="4">
        <v>9.9674532139951172E-2</v>
      </c>
      <c r="N2592" t="s">
        <v>25</v>
      </c>
      <c r="O2592" t="str">
        <f t="shared" si="400"/>
        <v>Low</v>
      </c>
      <c r="P2592" t="str">
        <f t="shared" si="401"/>
        <v>Low</v>
      </c>
      <c r="Q2592" t="str">
        <f t="shared" si="402"/>
        <v>Low</v>
      </c>
      <c r="R2592" t="s">
        <v>3317</v>
      </c>
      <c r="S2592" s="4">
        <f t="shared" ca="1" si="403"/>
        <v>560</v>
      </c>
      <c r="T2592">
        <f t="shared" si="404"/>
        <v>1</v>
      </c>
      <c r="U2592">
        <f t="shared" si="405"/>
        <v>1</v>
      </c>
      <c r="V2592">
        <f t="shared" si="406"/>
        <v>1</v>
      </c>
      <c r="W2592">
        <f t="shared" si="407"/>
        <v>1</v>
      </c>
      <c r="X2592">
        <f t="shared" si="408"/>
        <v>0.99999999999999989</v>
      </c>
      <c r="Y2592" t="str">
        <f t="shared" si="409"/>
        <v>Healthy</v>
      </c>
    </row>
    <row r="2593" spans="1:25" x14ac:dyDescent="0.35">
      <c r="A2593" t="s">
        <v>90</v>
      </c>
      <c r="B2593" t="s">
        <v>217</v>
      </c>
      <c r="C2593" t="s">
        <v>542</v>
      </c>
      <c r="D2593" t="s">
        <v>543</v>
      </c>
      <c r="E2593">
        <v>80893344</v>
      </c>
      <c r="F2593" t="s">
        <v>1897</v>
      </c>
      <c r="G2593" s="3">
        <v>46888</v>
      </c>
      <c r="H2593">
        <v>24</v>
      </c>
      <c r="I2593">
        <v>97</v>
      </c>
      <c r="J2593">
        <v>2928</v>
      </c>
      <c r="K2593" s="4">
        <v>1253506.08</v>
      </c>
      <c r="L2593" s="4">
        <v>5540.5714285714284</v>
      </c>
      <c r="M2593" s="4">
        <v>0.52846534653465349</v>
      </c>
      <c r="N2593" t="s">
        <v>25</v>
      </c>
      <c r="O2593" t="str">
        <f t="shared" si="400"/>
        <v>Low</v>
      </c>
      <c r="P2593" t="str">
        <f t="shared" si="401"/>
        <v>Low</v>
      </c>
      <c r="Q2593" t="str">
        <f t="shared" si="402"/>
        <v>Low</v>
      </c>
      <c r="R2593" t="s">
        <v>3309</v>
      </c>
      <c r="S2593" s="4">
        <f t="shared" ca="1" si="403"/>
        <v>691</v>
      </c>
      <c r="T2593">
        <f t="shared" si="404"/>
        <v>1</v>
      </c>
      <c r="U2593">
        <f t="shared" si="405"/>
        <v>1</v>
      </c>
      <c r="V2593">
        <f t="shared" si="406"/>
        <v>1</v>
      </c>
      <c r="W2593">
        <f t="shared" si="407"/>
        <v>3</v>
      </c>
      <c r="X2593">
        <f t="shared" si="408"/>
        <v>1.2</v>
      </c>
      <c r="Y2593" t="str">
        <f t="shared" si="409"/>
        <v>Healthy</v>
      </c>
    </row>
    <row r="2594" spans="1:25" x14ac:dyDescent="0.35">
      <c r="A2594" t="s">
        <v>90</v>
      </c>
      <c r="B2594" t="s">
        <v>217</v>
      </c>
      <c r="C2594" t="s">
        <v>542</v>
      </c>
      <c r="D2594" t="s">
        <v>543</v>
      </c>
      <c r="E2594">
        <v>80893344</v>
      </c>
      <c r="F2594" t="s">
        <v>1897</v>
      </c>
      <c r="G2594" s="3">
        <v>46887</v>
      </c>
      <c r="H2594">
        <v>24</v>
      </c>
      <c r="I2594">
        <v>97</v>
      </c>
      <c r="J2594">
        <v>4965</v>
      </c>
      <c r="K2594" s="4">
        <v>2125566.15</v>
      </c>
      <c r="L2594" s="4">
        <v>5540.5714285714284</v>
      </c>
      <c r="M2594" s="4">
        <v>0.89611695544554459</v>
      </c>
      <c r="N2594" t="s">
        <v>25</v>
      </c>
      <c r="O2594" t="str">
        <f t="shared" si="400"/>
        <v>Low</v>
      </c>
      <c r="P2594" t="str">
        <f t="shared" si="401"/>
        <v>Low</v>
      </c>
      <c r="Q2594" t="str">
        <f t="shared" si="402"/>
        <v>Low</v>
      </c>
      <c r="R2594" t="s">
        <v>3309</v>
      </c>
      <c r="S2594" s="4">
        <f t="shared" ca="1" si="403"/>
        <v>690</v>
      </c>
      <c r="T2594">
        <f t="shared" si="404"/>
        <v>1</v>
      </c>
      <c r="U2594">
        <f t="shared" si="405"/>
        <v>1</v>
      </c>
      <c r="V2594">
        <f t="shared" si="406"/>
        <v>1</v>
      </c>
      <c r="W2594">
        <f t="shared" si="407"/>
        <v>3</v>
      </c>
      <c r="X2594">
        <f t="shared" si="408"/>
        <v>1.2</v>
      </c>
      <c r="Y2594" t="str">
        <f t="shared" si="409"/>
        <v>Healthy</v>
      </c>
    </row>
    <row r="2595" spans="1:25" x14ac:dyDescent="0.35">
      <c r="A2595" t="s">
        <v>99</v>
      </c>
      <c r="B2595" t="s">
        <v>100</v>
      </c>
      <c r="C2595" t="s">
        <v>375</v>
      </c>
      <c r="D2595" t="s">
        <v>1888</v>
      </c>
      <c r="E2595">
        <v>80830404</v>
      </c>
      <c r="F2595" t="s">
        <v>1889</v>
      </c>
      <c r="G2595" s="3">
        <v>46970</v>
      </c>
      <c r="H2595">
        <v>36</v>
      </c>
      <c r="I2595">
        <v>72</v>
      </c>
      <c r="J2595">
        <v>72</v>
      </c>
      <c r="K2595" s="4">
        <v>19131.12</v>
      </c>
      <c r="L2595" s="4">
        <v>351.14285714285717</v>
      </c>
      <c r="M2595" s="4">
        <v>0.20504475183075671</v>
      </c>
      <c r="N2595" t="s">
        <v>25</v>
      </c>
      <c r="O2595" t="str">
        <f t="shared" si="400"/>
        <v>Low</v>
      </c>
      <c r="P2595" t="str">
        <f t="shared" si="401"/>
        <v>Low</v>
      </c>
      <c r="Q2595" t="str">
        <f t="shared" si="402"/>
        <v>Low</v>
      </c>
      <c r="R2595" t="s">
        <v>3317</v>
      </c>
      <c r="S2595" s="4">
        <f t="shared" ca="1" si="403"/>
        <v>773</v>
      </c>
      <c r="T2595">
        <f t="shared" si="404"/>
        <v>1</v>
      </c>
      <c r="U2595">
        <f t="shared" si="405"/>
        <v>1</v>
      </c>
      <c r="V2595">
        <f t="shared" si="406"/>
        <v>1</v>
      </c>
      <c r="W2595">
        <f t="shared" si="407"/>
        <v>1</v>
      </c>
      <c r="X2595">
        <f t="shared" si="408"/>
        <v>0.99999999999999989</v>
      </c>
      <c r="Y2595" t="str">
        <f t="shared" si="409"/>
        <v>Healthy</v>
      </c>
    </row>
    <row r="2596" spans="1:25" x14ac:dyDescent="0.35">
      <c r="A2596" t="s">
        <v>90</v>
      </c>
      <c r="B2596" t="s">
        <v>217</v>
      </c>
      <c r="C2596" t="s">
        <v>542</v>
      </c>
      <c r="D2596" t="s">
        <v>1898</v>
      </c>
      <c r="E2596">
        <v>80893348</v>
      </c>
      <c r="F2596" t="s">
        <v>1899</v>
      </c>
      <c r="G2596" s="3">
        <v>46901</v>
      </c>
      <c r="H2596">
        <v>24</v>
      </c>
      <c r="I2596">
        <v>98</v>
      </c>
      <c r="J2596">
        <v>128</v>
      </c>
      <c r="K2596" s="4">
        <v>57347.839999999997</v>
      </c>
      <c r="L2596" s="4">
        <v>30.571428571428573</v>
      </c>
      <c r="M2596" s="4">
        <v>4.1869158878504669</v>
      </c>
      <c r="N2596" t="s">
        <v>25</v>
      </c>
      <c r="O2596" t="str">
        <f t="shared" si="400"/>
        <v>Low</v>
      </c>
      <c r="P2596" t="str">
        <f t="shared" si="401"/>
        <v>Medium</v>
      </c>
      <c r="Q2596" t="str">
        <f t="shared" si="402"/>
        <v>Low</v>
      </c>
      <c r="R2596" t="s">
        <v>3317</v>
      </c>
      <c r="S2596" s="4">
        <f t="shared" ca="1" si="403"/>
        <v>704</v>
      </c>
      <c r="T2596">
        <f t="shared" si="404"/>
        <v>1</v>
      </c>
      <c r="U2596">
        <f t="shared" si="405"/>
        <v>2</v>
      </c>
      <c r="V2596">
        <f t="shared" si="406"/>
        <v>1</v>
      </c>
      <c r="W2596">
        <f t="shared" si="407"/>
        <v>1</v>
      </c>
      <c r="X2596">
        <f t="shared" si="408"/>
        <v>1.3</v>
      </c>
      <c r="Y2596" t="str">
        <f t="shared" si="409"/>
        <v>Healthy</v>
      </c>
    </row>
    <row r="2597" spans="1:25" x14ac:dyDescent="0.35">
      <c r="A2597" t="s">
        <v>90</v>
      </c>
      <c r="B2597" t="s">
        <v>217</v>
      </c>
      <c r="C2597" t="s">
        <v>542</v>
      </c>
      <c r="D2597" t="s">
        <v>1898</v>
      </c>
      <c r="E2597">
        <v>80893348</v>
      </c>
      <c r="F2597" t="s">
        <v>1899</v>
      </c>
      <c r="G2597" s="3">
        <v>46854</v>
      </c>
      <c r="H2597">
        <v>24</v>
      </c>
      <c r="I2597">
        <v>92</v>
      </c>
      <c r="J2597">
        <v>5</v>
      </c>
      <c r="K2597" s="4">
        <v>2240.15</v>
      </c>
      <c r="L2597" s="4">
        <v>30.571428571428573</v>
      </c>
      <c r="M2597" s="4">
        <v>0.16355140186915887</v>
      </c>
      <c r="N2597" t="s">
        <v>25</v>
      </c>
      <c r="O2597" t="str">
        <f t="shared" si="400"/>
        <v>Low</v>
      </c>
      <c r="P2597" t="str">
        <f t="shared" si="401"/>
        <v>Low</v>
      </c>
      <c r="Q2597" t="str">
        <f t="shared" si="402"/>
        <v>Low</v>
      </c>
      <c r="R2597" t="s">
        <v>3317</v>
      </c>
      <c r="S2597" s="4">
        <f t="shared" ca="1" si="403"/>
        <v>657</v>
      </c>
      <c r="T2597">
        <f t="shared" si="404"/>
        <v>1</v>
      </c>
      <c r="U2597">
        <f t="shared" si="405"/>
        <v>1</v>
      </c>
      <c r="V2597">
        <f t="shared" si="406"/>
        <v>1</v>
      </c>
      <c r="W2597">
        <f t="shared" si="407"/>
        <v>1</v>
      </c>
      <c r="X2597">
        <f t="shared" si="408"/>
        <v>0.99999999999999989</v>
      </c>
      <c r="Y2597" t="str">
        <f t="shared" si="409"/>
        <v>Healthy</v>
      </c>
    </row>
    <row r="2598" spans="1:25" x14ac:dyDescent="0.35">
      <c r="A2598" t="s">
        <v>90</v>
      </c>
      <c r="B2598" t="s">
        <v>217</v>
      </c>
      <c r="C2598" t="s">
        <v>542</v>
      </c>
      <c r="D2598" t="s">
        <v>1898</v>
      </c>
      <c r="E2598">
        <v>80893348</v>
      </c>
      <c r="F2598" t="s">
        <v>1899</v>
      </c>
      <c r="G2598" s="3">
        <v>46883</v>
      </c>
      <c r="H2598">
        <v>24</v>
      </c>
      <c r="I2598">
        <v>96</v>
      </c>
      <c r="J2598">
        <v>30</v>
      </c>
      <c r="K2598" s="4">
        <v>13440.9</v>
      </c>
      <c r="L2598" s="4">
        <v>30.571428571428573</v>
      </c>
      <c r="M2598" s="4">
        <v>0.98130841121495327</v>
      </c>
      <c r="N2598" t="s">
        <v>25</v>
      </c>
      <c r="O2598" t="str">
        <f t="shared" si="400"/>
        <v>Low</v>
      </c>
      <c r="P2598" t="str">
        <f t="shared" si="401"/>
        <v>Low</v>
      </c>
      <c r="Q2598" t="str">
        <f t="shared" si="402"/>
        <v>Low</v>
      </c>
      <c r="R2598" t="s">
        <v>3317</v>
      </c>
      <c r="S2598" s="4">
        <f t="shared" ca="1" si="403"/>
        <v>686</v>
      </c>
      <c r="T2598">
        <f t="shared" si="404"/>
        <v>1</v>
      </c>
      <c r="U2598">
        <f t="shared" si="405"/>
        <v>1</v>
      </c>
      <c r="V2598">
        <f t="shared" si="406"/>
        <v>1</v>
      </c>
      <c r="W2598">
        <f t="shared" si="407"/>
        <v>1</v>
      </c>
      <c r="X2598">
        <f t="shared" si="408"/>
        <v>0.99999999999999989</v>
      </c>
      <c r="Y2598" t="str">
        <f t="shared" si="409"/>
        <v>Healthy</v>
      </c>
    </row>
    <row r="2599" spans="1:25" x14ac:dyDescent="0.35">
      <c r="A2599" t="s">
        <v>90</v>
      </c>
      <c r="B2599" t="s">
        <v>217</v>
      </c>
      <c r="C2599" t="s">
        <v>542</v>
      </c>
      <c r="D2599" t="s">
        <v>1898</v>
      </c>
      <c r="E2599">
        <v>80893348</v>
      </c>
      <c r="F2599" t="s">
        <v>1899</v>
      </c>
      <c r="G2599" s="3">
        <v>46854</v>
      </c>
      <c r="H2599">
        <v>24</v>
      </c>
      <c r="I2599">
        <v>92</v>
      </c>
      <c r="J2599">
        <v>34</v>
      </c>
      <c r="K2599" s="4">
        <v>15233.02</v>
      </c>
      <c r="L2599" s="4">
        <v>30.571428571428573</v>
      </c>
      <c r="M2599" s="4">
        <v>1.1121495327102804</v>
      </c>
      <c r="N2599" t="s">
        <v>25</v>
      </c>
      <c r="O2599" t="str">
        <f t="shared" si="400"/>
        <v>Low</v>
      </c>
      <c r="P2599" t="str">
        <f t="shared" si="401"/>
        <v>Low</v>
      </c>
      <c r="Q2599" t="str">
        <f t="shared" si="402"/>
        <v>Low</v>
      </c>
      <c r="R2599" t="s">
        <v>3317</v>
      </c>
      <c r="S2599" s="4">
        <f t="shared" ca="1" si="403"/>
        <v>657</v>
      </c>
      <c r="T2599">
        <f t="shared" si="404"/>
        <v>1</v>
      </c>
      <c r="U2599">
        <f t="shared" si="405"/>
        <v>1</v>
      </c>
      <c r="V2599">
        <f t="shared" si="406"/>
        <v>1</v>
      </c>
      <c r="W2599">
        <f t="shared" si="407"/>
        <v>1</v>
      </c>
      <c r="X2599">
        <f t="shared" si="408"/>
        <v>0.99999999999999989</v>
      </c>
      <c r="Y2599" t="str">
        <f t="shared" si="409"/>
        <v>Healthy</v>
      </c>
    </row>
    <row r="2600" spans="1:25" x14ac:dyDescent="0.35">
      <c r="A2600" t="s">
        <v>90</v>
      </c>
      <c r="B2600" t="s">
        <v>217</v>
      </c>
      <c r="C2600" t="s">
        <v>542</v>
      </c>
      <c r="D2600" t="s">
        <v>1898</v>
      </c>
      <c r="E2600">
        <v>80893348</v>
      </c>
      <c r="F2600" t="s">
        <v>1899</v>
      </c>
      <c r="G2600" s="3">
        <v>46883</v>
      </c>
      <c r="H2600">
        <v>24</v>
      </c>
      <c r="I2600">
        <v>96</v>
      </c>
      <c r="J2600">
        <v>11</v>
      </c>
      <c r="K2600" s="4">
        <v>4928.33</v>
      </c>
      <c r="L2600" s="4">
        <v>30.571428571428573</v>
      </c>
      <c r="M2600" s="4">
        <v>0.35981308411214952</v>
      </c>
      <c r="N2600" t="s">
        <v>25</v>
      </c>
      <c r="O2600" t="str">
        <f t="shared" si="400"/>
        <v>Low</v>
      </c>
      <c r="P2600" t="str">
        <f t="shared" si="401"/>
        <v>Low</v>
      </c>
      <c r="Q2600" t="str">
        <f t="shared" si="402"/>
        <v>Low</v>
      </c>
      <c r="R2600" t="s">
        <v>3317</v>
      </c>
      <c r="S2600" s="4">
        <f t="shared" ca="1" si="403"/>
        <v>686</v>
      </c>
      <c r="T2600">
        <f t="shared" si="404"/>
        <v>1</v>
      </c>
      <c r="U2600">
        <f t="shared" si="405"/>
        <v>1</v>
      </c>
      <c r="V2600">
        <f t="shared" si="406"/>
        <v>1</v>
      </c>
      <c r="W2600">
        <f t="shared" si="407"/>
        <v>1</v>
      </c>
      <c r="X2600">
        <f t="shared" si="408"/>
        <v>0.99999999999999989</v>
      </c>
      <c r="Y2600" t="str">
        <f t="shared" si="409"/>
        <v>Healthy</v>
      </c>
    </row>
    <row r="2601" spans="1:25" x14ac:dyDescent="0.35">
      <c r="A2601" t="s">
        <v>90</v>
      </c>
      <c r="B2601" t="s">
        <v>91</v>
      </c>
      <c r="C2601" t="s">
        <v>155</v>
      </c>
      <c r="D2601" t="s">
        <v>156</v>
      </c>
      <c r="E2601">
        <v>83914224</v>
      </c>
      <c r="F2601" t="s">
        <v>1900</v>
      </c>
      <c r="G2601" s="3">
        <v>46903</v>
      </c>
      <c r="H2601">
        <v>24</v>
      </c>
      <c r="I2601">
        <v>99</v>
      </c>
      <c r="J2601">
        <v>360</v>
      </c>
      <c r="K2601" s="4">
        <v>163584</v>
      </c>
      <c r="L2601" s="4">
        <f>0</f>
        <v>0</v>
      </c>
      <c r="M2601" s="4">
        <f>999</f>
        <v>999</v>
      </c>
      <c r="N2601" t="s">
        <v>19</v>
      </c>
      <c r="O2601" t="str">
        <f t="shared" si="400"/>
        <v>Low</v>
      </c>
      <c r="P2601" t="str">
        <f t="shared" si="401"/>
        <v>High</v>
      </c>
      <c r="Q2601" t="str">
        <f t="shared" si="402"/>
        <v>High</v>
      </c>
      <c r="R2601" t="s">
        <v>3309</v>
      </c>
      <c r="S2601" s="4">
        <f t="shared" ca="1" si="403"/>
        <v>706</v>
      </c>
      <c r="T2601">
        <f t="shared" si="404"/>
        <v>1</v>
      </c>
      <c r="U2601">
        <f t="shared" si="405"/>
        <v>3</v>
      </c>
      <c r="V2601">
        <f t="shared" si="406"/>
        <v>3</v>
      </c>
      <c r="W2601">
        <f t="shared" si="407"/>
        <v>3</v>
      </c>
      <c r="X2601">
        <f t="shared" si="408"/>
        <v>2.2000000000000002</v>
      </c>
      <c r="Y2601" t="str">
        <f t="shared" si="409"/>
        <v>High Priority</v>
      </c>
    </row>
    <row r="2602" spans="1:25" x14ac:dyDescent="0.35">
      <c r="A2602" t="s">
        <v>90</v>
      </c>
      <c r="B2602" t="s">
        <v>91</v>
      </c>
      <c r="C2602" t="s">
        <v>155</v>
      </c>
      <c r="D2602" t="s">
        <v>156</v>
      </c>
      <c r="E2602">
        <v>83914224</v>
      </c>
      <c r="F2602" t="s">
        <v>1900</v>
      </c>
      <c r="G2602" s="3">
        <v>46902</v>
      </c>
      <c r="H2602">
        <v>24</v>
      </c>
      <c r="I2602">
        <v>99</v>
      </c>
      <c r="J2602">
        <v>60</v>
      </c>
      <c r="K2602" s="4">
        <v>27264</v>
      </c>
      <c r="L2602" s="4">
        <f>0</f>
        <v>0</v>
      </c>
      <c r="M2602" s="4">
        <f>999</f>
        <v>999</v>
      </c>
      <c r="N2602" t="s">
        <v>19</v>
      </c>
      <c r="O2602" t="str">
        <f t="shared" si="400"/>
        <v>Low</v>
      </c>
      <c r="P2602" t="str">
        <f t="shared" si="401"/>
        <v>High</v>
      </c>
      <c r="Q2602" t="str">
        <f t="shared" si="402"/>
        <v>High</v>
      </c>
      <c r="R2602" t="s">
        <v>3317</v>
      </c>
      <c r="S2602" s="4">
        <f t="shared" ca="1" si="403"/>
        <v>705</v>
      </c>
      <c r="T2602">
        <f t="shared" si="404"/>
        <v>1</v>
      </c>
      <c r="U2602">
        <f t="shared" si="405"/>
        <v>3</v>
      </c>
      <c r="V2602">
        <f t="shared" si="406"/>
        <v>3</v>
      </c>
      <c r="W2602">
        <f t="shared" si="407"/>
        <v>1</v>
      </c>
      <c r="X2602">
        <f t="shared" si="408"/>
        <v>2</v>
      </c>
      <c r="Y2602" t="str">
        <f t="shared" si="409"/>
        <v>Monitor</v>
      </c>
    </row>
    <row r="2603" spans="1:25" x14ac:dyDescent="0.35">
      <c r="A2603" t="s">
        <v>90</v>
      </c>
      <c r="B2603" t="s">
        <v>91</v>
      </c>
      <c r="C2603" t="s">
        <v>155</v>
      </c>
      <c r="D2603" t="s">
        <v>156</v>
      </c>
      <c r="E2603">
        <v>83914224</v>
      </c>
      <c r="F2603" t="s">
        <v>1900</v>
      </c>
      <c r="G2603" s="3">
        <v>46913</v>
      </c>
      <c r="H2603">
        <v>24</v>
      </c>
      <c r="I2603">
        <v>100</v>
      </c>
      <c r="J2603">
        <v>48</v>
      </c>
      <c r="K2603" s="4">
        <v>21811.200000000001</v>
      </c>
      <c r="L2603" s="4">
        <f>0</f>
        <v>0</v>
      </c>
      <c r="M2603" s="4">
        <f>999</f>
        <v>999</v>
      </c>
      <c r="N2603" t="s">
        <v>19</v>
      </c>
      <c r="O2603" t="str">
        <f t="shared" si="400"/>
        <v>Low</v>
      </c>
      <c r="P2603" t="str">
        <f t="shared" si="401"/>
        <v>High</v>
      </c>
      <c r="Q2603" t="str">
        <f t="shared" si="402"/>
        <v>High</v>
      </c>
      <c r="R2603" t="s">
        <v>3317</v>
      </c>
      <c r="S2603" s="4">
        <f t="shared" ca="1" si="403"/>
        <v>716</v>
      </c>
      <c r="T2603">
        <f t="shared" si="404"/>
        <v>1</v>
      </c>
      <c r="U2603">
        <f t="shared" si="405"/>
        <v>3</v>
      </c>
      <c r="V2603">
        <f t="shared" si="406"/>
        <v>3</v>
      </c>
      <c r="W2603">
        <f t="shared" si="407"/>
        <v>1</v>
      </c>
      <c r="X2603">
        <f t="shared" si="408"/>
        <v>2</v>
      </c>
      <c r="Y2603" t="str">
        <f t="shared" si="409"/>
        <v>Monitor</v>
      </c>
    </row>
    <row r="2604" spans="1:25" x14ac:dyDescent="0.35">
      <c r="A2604" t="s">
        <v>90</v>
      </c>
      <c r="B2604" t="s">
        <v>91</v>
      </c>
      <c r="C2604" t="s">
        <v>155</v>
      </c>
      <c r="D2604" t="s">
        <v>156</v>
      </c>
      <c r="E2604">
        <v>83914224</v>
      </c>
      <c r="F2604" t="s">
        <v>1900</v>
      </c>
      <c r="G2604" s="3">
        <v>46880</v>
      </c>
      <c r="H2604">
        <v>24</v>
      </c>
      <c r="I2604">
        <v>96</v>
      </c>
      <c r="J2604">
        <v>60</v>
      </c>
      <c r="K2604" s="4">
        <v>27264</v>
      </c>
      <c r="L2604" s="4">
        <f>0</f>
        <v>0</v>
      </c>
      <c r="M2604" s="4">
        <f>999</f>
        <v>999</v>
      </c>
      <c r="N2604" t="s">
        <v>19</v>
      </c>
      <c r="O2604" t="str">
        <f t="shared" si="400"/>
        <v>Low</v>
      </c>
      <c r="P2604" t="str">
        <f t="shared" si="401"/>
        <v>High</v>
      </c>
      <c r="Q2604" t="str">
        <f t="shared" si="402"/>
        <v>High</v>
      </c>
      <c r="R2604" t="s">
        <v>3317</v>
      </c>
      <c r="S2604" s="4">
        <f t="shared" ca="1" si="403"/>
        <v>683</v>
      </c>
      <c r="T2604">
        <f t="shared" si="404"/>
        <v>1</v>
      </c>
      <c r="U2604">
        <f t="shared" si="405"/>
        <v>3</v>
      </c>
      <c r="V2604">
        <f t="shared" si="406"/>
        <v>3</v>
      </c>
      <c r="W2604">
        <f t="shared" si="407"/>
        <v>1</v>
      </c>
      <c r="X2604">
        <f t="shared" si="408"/>
        <v>2</v>
      </c>
      <c r="Y2604" t="str">
        <f t="shared" si="409"/>
        <v>Monitor</v>
      </c>
    </row>
    <row r="2605" spans="1:25" x14ac:dyDescent="0.35">
      <c r="A2605" t="s">
        <v>20</v>
      </c>
      <c r="B2605" t="s">
        <v>21</v>
      </c>
      <c r="C2605" t="s">
        <v>214</v>
      </c>
      <c r="D2605" t="s">
        <v>1901</v>
      </c>
      <c r="E2605">
        <v>83921716</v>
      </c>
      <c r="F2605" t="s">
        <v>1902</v>
      </c>
      <c r="G2605" s="3">
        <v>47264</v>
      </c>
      <c r="H2605">
        <v>36</v>
      </c>
      <c r="I2605">
        <v>99</v>
      </c>
      <c r="J2605">
        <v>340</v>
      </c>
      <c r="K2605" s="4">
        <v>73436.600000000006</v>
      </c>
      <c r="L2605" s="4">
        <f>0</f>
        <v>0</v>
      </c>
      <c r="M2605" s="4">
        <f>999</f>
        <v>999</v>
      </c>
      <c r="N2605" t="s">
        <v>19</v>
      </c>
      <c r="O2605" t="str">
        <f t="shared" si="400"/>
        <v>Low</v>
      </c>
      <c r="P2605" t="str">
        <f t="shared" si="401"/>
        <v>High</v>
      </c>
      <c r="Q2605" t="str">
        <f t="shared" si="402"/>
        <v>High</v>
      </c>
      <c r="R2605" t="s">
        <v>3310</v>
      </c>
      <c r="S2605" s="4">
        <f t="shared" ca="1" si="403"/>
        <v>1067</v>
      </c>
      <c r="T2605">
        <f t="shared" si="404"/>
        <v>1</v>
      </c>
      <c r="U2605">
        <f t="shared" si="405"/>
        <v>3</v>
      </c>
      <c r="V2605">
        <f t="shared" si="406"/>
        <v>3</v>
      </c>
      <c r="W2605">
        <f t="shared" si="407"/>
        <v>2</v>
      </c>
      <c r="X2605">
        <f t="shared" si="408"/>
        <v>2.1</v>
      </c>
      <c r="Y2605" t="str">
        <f t="shared" si="409"/>
        <v>Monitor</v>
      </c>
    </row>
    <row r="2606" spans="1:25" x14ac:dyDescent="0.35">
      <c r="A2606" t="s">
        <v>29</v>
      </c>
      <c r="B2606" t="s">
        <v>30</v>
      </c>
      <c r="C2606" t="s">
        <v>31</v>
      </c>
      <c r="D2606" t="s">
        <v>76</v>
      </c>
      <c r="E2606">
        <v>82312151</v>
      </c>
      <c r="F2606" t="s">
        <v>1903</v>
      </c>
      <c r="G2606" s="3">
        <v>45361</v>
      </c>
      <c r="H2606">
        <v>36</v>
      </c>
      <c r="I2606">
        <v>0</v>
      </c>
      <c r="J2606">
        <v>2</v>
      </c>
      <c r="K2606" s="4">
        <v>582.66</v>
      </c>
      <c r="L2606" s="4">
        <f>0</f>
        <v>0</v>
      </c>
      <c r="M2606" s="4">
        <f>999</f>
        <v>999</v>
      </c>
      <c r="N2606" t="s">
        <v>19</v>
      </c>
      <c r="O2606" t="str">
        <f t="shared" si="400"/>
        <v>High</v>
      </c>
      <c r="P2606" t="str">
        <f t="shared" si="401"/>
        <v>High</v>
      </c>
      <c r="Q2606" t="str">
        <f t="shared" si="402"/>
        <v>High</v>
      </c>
      <c r="R2606" t="s">
        <v>3317</v>
      </c>
      <c r="S2606" s="4">
        <f t="shared" ca="1" si="403"/>
        <v>-836</v>
      </c>
      <c r="T2606">
        <f t="shared" si="404"/>
        <v>3</v>
      </c>
      <c r="U2606">
        <f t="shared" si="405"/>
        <v>3</v>
      </c>
      <c r="V2606">
        <f t="shared" si="406"/>
        <v>3</v>
      </c>
      <c r="W2606">
        <f t="shared" si="407"/>
        <v>1</v>
      </c>
      <c r="X2606">
        <f t="shared" si="408"/>
        <v>2.8000000000000003</v>
      </c>
      <c r="Y2606" t="str">
        <f t="shared" si="409"/>
        <v>Move Immediately</v>
      </c>
    </row>
    <row r="2607" spans="1:25" x14ac:dyDescent="0.35">
      <c r="A2607" t="s">
        <v>29</v>
      </c>
      <c r="B2607" t="s">
        <v>30</v>
      </c>
      <c r="C2607" t="s">
        <v>31</v>
      </c>
      <c r="D2607" t="s">
        <v>76</v>
      </c>
      <c r="E2607">
        <v>82312151</v>
      </c>
      <c r="F2607" t="s">
        <v>1903</v>
      </c>
      <c r="G2607" s="3">
        <v>45504</v>
      </c>
      <c r="H2607">
        <v>36</v>
      </c>
      <c r="I2607">
        <v>0</v>
      </c>
      <c r="J2607">
        <v>3</v>
      </c>
      <c r="K2607" s="4">
        <v>873.99</v>
      </c>
      <c r="L2607" s="4">
        <f>0</f>
        <v>0</v>
      </c>
      <c r="M2607" s="4">
        <f>999</f>
        <v>999</v>
      </c>
      <c r="N2607" t="s">
        <v>19</v>
      </c>
      <c r="O2607" t="str">
        <f t="shared" si="400"/>
        <v>High</v>
      </c>
      <c r="P2607" t="str">
        <f t="shared" si="401"/>
        <v>High</v>
      </c>
      <c r="Q2607" t="str">
        <f t="shared" si="402"/>
        <v>High</v>
      </c>
      <c r="R2607" t="s">
        <v>3317</v>
      </c>
      <c r="S2607" s="4">
        <f t="shared" ca="1" si="403"/>
        <v>-693</v>
      </c>
      <c r="T2607">
        <f t="shared" si="404"/>
        <v>3</v>
      </c>
      <c r="U2607">
        <f t="shared" si="405"/>
        <v>3</v>
      </c>
      <c r="V2607">
        <f t="shared" si="406"/>
        <v>3</v>
      </c>
      <c r="W2607">
        <f t="shared" si="407"/>
        <v>1</v>
      </c>
      <c r="X2607">
        <f t="shared" si="408"/>
        <v>2.8000000000000003</v>
      </c>
      <c r="Y2607" t="str">
        <f t="shared" si="409"/>
        <v>Move Immediately</v>
      </c>
    </row>
    <row r="2608" spans="1:25" x14ac:dyDescent="0.35">
      <c r="A2608" t="s">
        <v>41</v>
      </c>
      <c r="B2608" t="s">
        <v>54</v>
      </c>
      <c r="C2608" t="s">
        <v>87</v>
      </c>
      <c r="D2608" t="s">
        <v>282</v>
      </c>
      <c r="E2608">
        <v>80850692</v>
      </c>
      <c r="F2608" t="s">
        <v>1904</v>
      </c>
      <c r="G2608" s="3">
        <v>46818</v>
      </c>
      <c r="H2608">
        <v>36</v>
      </c>
      <c r="I2608">
        <v>58</v>
      </c>
      <c r="J2608">
        <v>12</v>
      </c>
      <c r="K2608" s="4">
        <v>11519.64</v>
      </c>
      <c r="L2608" s="4">
        <f>0</f>
        <v>0</v>
      </c>
      <c r="M2608" s="4">
        <f>999</f>
        <v>999</v>
      </c>
      <c r="N2608" t="s">
        <v>19</v>
      </c>
      <c r="O2608" t="str">
        <f t="shared" si="400"/>
        <v>Low</v>
      </c>
      <c r="P2608" t="str">
        <f t="shared" si="401"/>
        <v>High</v>
      </c>
      <c r="Q2608" t="str">
        <f t="shared" si="402"/>
        <v>High</v>
      </c>
      <c r="R2608" t="s">
        <v>3317</v>
      </c>
      <c r="S2608" s="4">
        <f t="shared" ca="1" si="403"/>
        <v>621</v>
      </c>
      <c r="T2608">
        <f t="shared" si="404"/>
        <v>1</v>
      </c>
      <c r="U2608">
        <f t="shared" si="405"/>
        <v>3</v>
      </c>
      <c r="V2608">
        <f t="shared" si="406"/>
        <v>3</v>
      </c>
      <c r="W2608">
        <f t="shared" si="407"/>
        <v>1</v>
      </c>
      <c r="X2608">
        <f t="shared" si="408"/>
        <v>2</v>
      </c>
      <c r="Y2608" t="str">
        <f t="shared" si="409"/>
        <v>Monitor</v>
      </c>
    </row>
    <row r="2609" spans="1:25" x14ac:dyDescent="0.35">
      <c r="A2609" t="s">
        <v>41</v>
      </c>
      <c r="B2609" t="s">
        <v>54</v>
      </c>
      <c r="C2609" t="s">
        <v>87</v>
      </c>
      <c r="D2609" t="s">
        <v>282</v>
      </c>
      <c r="E2609">
        <v>80850692</v>
      </c>
      <c r="F2609" t="s">
        <v>1904</v>
      </c>
      <c r="G2609" s="3">
        <v>46830</v>
      </c>
      <c r="H2609">
        <v>36</v>
      </c>
      <c r="I2609">
        <v>59</v>
      </c>
      <c r="J2609">
        <v>1</v>
      </c>
      <c r="K2609" s="4">
        <v>959.97</v>
      </c>
      <c r="L2609" s="4">
        <f>0</f>
        <v>0</v>
      </c>
      <c r="M2609" s="4">
        <f>999</f>
        <v>999</v>
      </c>
      <c r="N2609" t="s">
        <v>19</v>
      </c>
      <c r="O2609" t="str">
        <f t="shared" si="400"/>
        <v>Low</v>
      </c>
      <c r="P2609" t="str">
        <f t="shared" si="401"/>
        <v>High</v>
      </c>
      <c r="Q2609" t="str">
        <f t="shared" si="402"/>
        <v>High</v>
      </c>
      <c r="R2609" t="s">
        <v>3317</v>
      </c>
      <c r="S2609" s="4">
        <f t="shared" ca="1" si="403"/>
        <v>633</v>
      </c>
      <c r="T2609">
        <f t="shared" si="404"/>
        <v>1</v>
      </c>
      <c r="U2609">
        <f t="shared" si="405"/>
        <v>3</v>
      </c>
      <c r="V2609">
        <f t="shared" si="406"/>
        <v>3</v>
      </c>
      <c r="W2609">
        <f t="shared" si="407"/>
        <v>1</v>
      </c>
      <c r="X2609">
        <f t="shared" si="408"/>
        <v>2</v>
      </c>
      <c r="Y2609" t="str">
        <f t="shared" si="409"/>
        <v>Monitor</v>
      </c>
    </row>
    <row r="2610" spans="1:25" x14ac:dyDescent="0.35">
      <c r="A2610" t="s">
        <v>41</v>
      </c>
      <c r="B2610" t="s">
        <v>54</v>
      </c>
      <c r="C2610" t="s">
        <v>87</v>
      </c>
      <c r="D2610" t="s">
        <v>282</v>
      </c>
      <c r="E2610">
        <v>80850692</v>
      </c>
      <c r="F2610" t="s">
        <v>1904</v>
      </c>
      <c r="G2610" s="3">
        <v>46853</v>
      </c>
      <c r="H2610">
        <v>36</v>
      </c>
      <c r="I2610">
        <v>61</v>
      </c>
      <c r="J2610">
        <v>8</v>
      </c>
      <c r="K2610" s="4">
        <v>7679.76</v>
      </c>
      <c r="L2610" s="4">
        <f>0</f>
        <v>0</v>
      </c>
      <c r="M2610" s="4">
        <f>999</f>
        <v>999</v>
      </c>
      <c r="N2610" t="s">
        <v>19</v>
      </c>
      <c r="O2610" t="str">
        <f t="shared" si="400"/>
        <v>Low</v>
      </c>
      <c r="P2610" t="str">
        <f t="shared" si="401"/>
        <v>High</v>
      </c>
      <c r="Q2610" t="str">
        <f t="shared" si="402"/>
        <v>High</v>
      </c>
      <c r="R2610" t="s">
        <v>3317</v>
      </c>
      <c r="S2610" s="4">
        <f t="shared" ca="1" si="403"/>
        <v>656</v>
      </c>
      <c r="T2610">
        <f t="shared" si="404"/>
        <v>1</v>
      </c>
      <c r="U2610">
        <f t="shared" si="405"/>
        <v>3</v>
      </c>
      <c r="V2610">
        <f t="shared" si="406"/>
        <v>3</v>
      </c>
      <c r="W2610">
        <f t="shared" si="407"/>
        <v>1</v>
      </c>
      <c r="X2610">
        <f t="shared" si="408"/>
        <v>2</v>
      </c>
      <c r="Y2610" t="str">
        <f t="shared" si="409"/>
        <v>Monitor</v>
      </c>
    </row>
    <row r="2611" spans="1:25" x14ac:dyDescent="0.35">
      <c r="A2611" t="s">
        <v>210</v>
      </c>
      <c r="B2611" t="s">
        <v>211</v>
      </c>
      <c r="C2611" t="s">
        <v>212</v>
      </c>
      <c r="D2611" t="s">
        <v>1905</v>
      </c>
      <c r="E2611">
        <v>80840353</v>
      </c>
      <c r="F2611" t="s">
        <v>1906</v>
      </c>
      <c r="G2611" s="3">
        <v>46852</v>
      </c>
      <c r="H2611">
        <v>24</v>
      </c>
      <c r="I2611">
        <v>92</v>
      </c>
      <c r="J2611">
        <v>2</v>
      </c>
      <c r="K2611" s="4">
        <v>924.6</v>
      </c>
      <c r="L2611" s="4">
        <v>277.28571428571428</v>
      </c>
      <c r="M2611" s="4">
        <v>7.2127769191138594E-3</v>
      </c>
      <c r="N2611" t="s">
        <v>25</v>
      </c>
      <c r="O2611" t="str">
        <f t="shared" si="400"/>
        <v>Low</v>
      </c>
      <c r="P2611" t="str">
        <f t="shared" si="401"/>
        <v>Low</v>
      </c>
      <c r="Q2611" t="str">
        <f t="shared" si="402"/>
        <v>Low</v>
      </c>
      <c r="R2611" t="s">
        <v>3317</v>
      </c>
      <c r="S2611" s="4">
        <f t="shared" ca="1" si="403"/>
        <v>655</v>
      </c>
      <c r="T2611">
        <f t="shared" si="404"/>
        <v>1</v>
      </c>
      <c r="U2611">
        <f t="shared" si="405"/>
        <v>1</v>
      </c>
      <c r="V2611">
        <f t="shared" si="406"/>
        <v>1</v>
      </c>
      <c r="W2611">
        <f t="shared" si="407"/>
        <v>1</v>
      </c>
      <c r="X2611">
        <f t="shared" si="408"/>
        <v>0.99999999999999989</v>
      </c>
      <c r="Y2611" t="str">
        <f t="shared" si="409"/>
        <v>Healthy</v>
      </c>
    </row>
    <row r="2612" spans="1:25" x14ac:dyDescent="0.35">
      <c r="A2612" t="s">
        <v>179</v>
      </c>
      <c r="B2612" t="s">
        <v>180</v>
      </c>
      <c r="C2612" t="s">
        <v>181</v>
      </c>
      <c r="D2612" t="s">
        <v>1907</v>
      </c>
      <c r="E2612">
        <v>80850105</v>
      </c>
      <c r="F2612" t="s">
        <v>1908</v>
      </c>
      <c r="G2612" s="3">
        <v>46331</v>
      </c>
      <c r="H2612">
        <v>16</v>
      </c>
      <c r="I2612">
        <v>29</v>
      </c>
      <c r="J2612">
        <v>1</v>
      </c>
      <c r="K2612" s="4">
        <v>1101.3</v>
      </c>
      <c r="L2612" s="4">
        <f>0</f>
        <v>0</v>
      </c>
      <c r="M2612" s="4">
        <f>999</f>
        <v>999</v>
      </c>
      <c r="N2612" t="s">
        <v>19</v>
      </c>
      <c r="O2612" t="str">
        <f t="shared" si="400"/>
        <v>Medium</v>
      </c>
      <c r="P2612" t="str">
        <f t="shared" si="401"/>
        <v>High</v>
      </c>
      <c r="Q2612" t="str">
        <f t="shared" si="402"/>
        <v>High</v>
      </c>
      <c r="R2612" t="s">
        <v>3317</v>
      </c>
      <c r="S2612" s="4">
        <f t="shared" ca="1" si="403"/>
        <v>134</v>
      </c>
      <c r="T2612">
        <f t="shared" si="404"/>
        <v>2</v>
      </c>
      <c r="U2612">
        <f t="shared" si="405"/>
        <v>3</v>
      </c>
      <c r="V2612">
        <f t="shared" si="406"/>
        <v>3</v>
      </c>
      <c r="W2612">
        <f t="shared" si="407"/>
        <v>1</v>
      </c>
      <c r="X2612">
        <f t="shared" si="408"/>
        <v>2.4</v>
      </c>
      <c r="Y2612" t="str">
        <f t="shared" si="409"/>
        <v>High Priority</v>
      </c>
    </row>
    <row r="2613" spans="1:25" x14ac:dyDescent="0.35">
      <c r="A2613" t="s">
        <v>179</v>
      </c>
      <c r="B2613" t="s">
        <v>180</v>
      </c>
      <c r="C2613" t="s">
        <v>181</v>
      </c>
      <c r="D2613" t="s">
        <v>1907</v>
      </c>
      <c r="E2613">
        <v>80850105</v>
      </c>
      <c r="F2613" t="s">
        <v>1908</v>
      </c>
      <c r="G2613" s="3">
        <v>46329</v>
      </c>
      <c r="H2613">
        <v>16</v>
      </c>
      <c r="I2613">
        <v>29</v>
      </c>
      <c r="J2613">
        <v>4</v>
      </c>
      <c r="K2613" s="4">
        <v>4405.2</v>
      </c>
      <c r="L2613" s="4">
        <f>0</f>
        <v>0</v>
      </c>
      <c r="M2613" s="4">
        <f>999</f>
        <v>999</v>
      </c>
      <c r="N2613" t="s">
        <v>19</v>
      </c>
      <c r="O2613" t="str">
        <f t="shared" si="400"/>
        <v>Medium</v>
      </c>
      <c r="P2613" t="str">
        <f t="shared" si="401"/>
        <v>High</v>
      </c>
      <c r="Q2613" t="str">
        <f t="shared" si="402"/>
        <v>High</v>
      </c>
      <c r="R2613" t="s">
        <v>3317</v>
      </c>
      <c r="S2613" s="4">
        <f t="shared" ca="1" si="403"/>
        <v>132</v>
      </c>
      <c r="T2613">
        <f t="shared" si="404"/>
        <v>2</v>
      </c>
      <c r="U2613">
        <f t="shared" si="405"/>
        <v>3</v>
      </c>
      <c r="V2613">
        <f t="shared" si="406"/>
        <v>3</v>
      </c>
      <c r="W2613">
        <f t="shared" si="407"/>
        <v>1</v>
      </c>
      <c r="X2613">
        <f t="shared" si="408"/>
        <v>2.4</v>
      </c>
      <c r="Y2613" t="str">
        <f t="shared" si="409"/>
        <v>High Priority</v>
      </c>
    </row>
    <row r="2614" spans="1:25" x14ac:dyDescent="0.35">
      <c r="A2614" t="s">
        <v>179</v>
      </c>
      <c r="B2614" t="s">
        <v>180</v>
      </c>
      <c r="C2614" t="s">
        <v>181</v>
      </c>
      <c r="D2614" t="s">
        <v>1907</v>
      </c>
      <c r="E2614">
        <v>80850105</v>
      </c>
      <c r="F2614" t="s">
        <v>1908</v>
      </c>
      <c r="G2614" s="3">
        <v>46302</v>
      </c>
      <c r="H2614">
        <v>16</v>
      </c>
      <c r="I2614">
        <v>23</v>
      </c>
      <c r="J2614">
        <v>2</v>
      </c>
      <c r="K2614" s="4">
        <v>2202.6</v>
      </c>
      <c r="L2614" s="4">
        <f>0</f>
        <v>0</v>
      </c>
      <c r="M2614" s="4">
        <f>999</f>
        <v>999</v>
      </c>
      <c r="N2614" t="s">
        <v>19</v>
      </c>
      <c r="O2614" t="str">
        <f t="shared" si="400"/>
        <v>Medium</v>
      </c>
      <c r="P2614" t="str">
        <f t="shared" si="401"/>
        <v>High</v>
      </c>
      <c r="Q2614" t="str">
        <f t="shared" si="402"/>
        <v>High</v>
      </c>
      <c r="R2614" t="s">
        <v>3317</v>
      </c>
      <c r="S2614" s="4">
        <f t="shared" ca="1" si="403"/>
        <v>105</v>
      </c>
      <c r="T2614">
        <f t="shared" si="404"/>
        <v>2</v>
      </c>
      <c r="U2614">
        <f t="shared" si="405"/>
        <v>3</v>
      </c>
      <c r="V2614">
        <f t="shared" si="406"/>
        <v>3</v>
      </c>
      <c r="W2614">
        <f t="shared" si="407"/>
        <v>1</v>
      </c>
      <c r="X2614">
        <f t="shared" si="408"/>
        <v>2.4</v>
      </c>
      <c r="Y2614" t="str">
        <f t="shared" si="409"/>
        <v>High Priority</v>
      </c>
    </row>
    <row r="2615" spans="1:25" x14ac:dyDescent="0.35">
      <c r="A2615" t="s">
        <v>179</v>
      </c>
      <c r="B2615" t="s">
        <v>180</v>
      </c>
      <c r="C2615" t="s">
        <v>181</v>
      </c>
      <c r="D2615" t="s">
        <v>1907</v>
      </c>
      <c r="E2615">
        <v>80850105</v>
      </c>
      <c r="F2615" t="s">
        <v>1908</v>
      </c>
      <c r="G2615" s="3">
        <v>46335</v>
      </c>
      <c r="H2615">
        <v>16</v>
      </c>
      <c r="I2615">
        <v>30</v>
      </c>
      <c r="J2615">
        <v>6</v>
      </c>
      <c r="K2615" s="4">
        <v>6607.8</v>
      </c>
      <c r="L2615" s="4">
        <f>0</f>
        <v>0</v>
      </c>
      <c r="M2615" s="4">
        <f>999</f>
        <v>999</v>
      </c>
      <c r="N2615" t="s">
        <v>19</v>
      </c>
      <c r="O2615" t="str">
        <f t="shared" si="400"/>
        <v>Medium</v>
      </c>
      <c r="P2615" t="str">
        <f t="shared" si="401"/>
        <v>High</v>
      </c>
      <c r="Q2615" t="str">
        <f t="shared" si="402"/>
        <v>High</v>
      </c>
      <c r="R2615" t="s">
        <v>3317</v>
      </c>
      <c r="S2615" s="4">
        <f t="shared" ca="1" si="403"/>
        <v>138</v>
      </c>
      <c r="T2615">
        <f t="shared" si="404"/>
        <v>2</v>
      </c>
      <c r="U2615">
        <f t="shared" si="405"/>
        <v>3</v>
      </c>
      <c r="V2615">
        <f t="shared" si="406"/>
        <v>3</v>
      </c>
      <c r="W2615">
        <f t="shared" si="407"/>
        <v>1</v>
      </c>
      <c r="X2615">
        <f t="shared" si="408"/>
        <v>2.4</v>
      </c>
      <c r="Y2615" t="str">
        <f t="shared" si="409"/>
        <v>High Priority</v>
      </c>
    </row>
    <row r="2616" spans="1:25" x14ac:dyDescent="0.35">
      <c r="A2616" t="s">
        <v>179</v>
      </c>
      <c r="B2616" t="s">
        <v>223</v>
      </c>
      <c r="C2616" t="s">
        <v>224</v>
      </c>
      <c r="D2616" t="s">
        <v>710</v>
      </c>
      <c r="E2616">
        <v>80857307</v>
      </c>
      <c r="F2616" t="s">
        <v>1909</v>
      </c>
      <c r="G2616" s="3">
        <v>46661</v>
      </c>
      <c r="H2616">
        <v>18</v>
      </c>
      <c r="I2616">
        <v>87</v>
      </c>
      <c r="J2616">
        <v>96</v>
      </c>
      <c r="K2616" s="4">
        <v>3840</v>
      </c>
      <c r="L2616" s="4">
        <v>24216.285714285714</v>
      </c>
      <c r="M2616" s="4">
        <v>3.9642743372228844E-3</v>
      </c>
      <c r="N2616" t="s">
        <v>25</v>
      </c>
      <c r="O2616" t="str">
        <f t="shared" si="400"/>
        <v>Low</v>
      </c>
      <c r="P2616" t="str">
        <f t="shared" si="401"/>
        <v>Low</v>
      </c>
      <c r="Q2616" t="str">
        <f t="shared" si="402"/>
        <v>Low</v>
      </c>
      <c r="R2616" t="s">
        <v>3317</v>
      </c>
      <c r="S2616" s="4">
        <f t="shared" ca="1" si="403"/>
        <v>464</v>
      </c>
      <c r="T2616">
        <f t="shared" si="404"/>
        <v>1</v>
      </c>
      <c r="U2616">
        <f t="shared" si="405"/>
        <v>1</v>
      </c>
      <c r="V2616">
        <f t="shared" si="406"/>
        <v>1</v>
      </c>
      <c r="W2616">
        <f t="shared" si="407"/>
        <v>1</v>
      </c>
      <c r="X2616">
        <f t="shared" si="408"/>
        <v>0.99999999999999989</v>
      </c>
      <c r="Y2616" t="str">
        <f t="shared" si="409"/>
        <v>Healthy</v>
      </c>
    </row>
    <row r="2617" spans="1:25" x14ac:dyDescent="0.35">
      <c r="A2617" t="s">
        <v>179</v>
      </c>
      <c r="B2617" t="s">
        <v>223</v>
      </c>
      <c r="C2617" t="s">
        <v>224</v>
      </c>
      <c r="D2617" t="s">
        <v>710</v>
      </c>
      <c r="E2617">
        <v>80857307</v>
      </c>
      <c r="F2617" t="s">
        <v>1909</v>
      </c>
      <c r="G2617" s="3">
        <v>46662</v>
      </c>
      <c r="H2617">
        <v>18</v>
      </c>
      <c r="I2617">
        <v>87</v>
      </c>
      <c r="J2617">
        <v>193</v>
      </c>
      <c r="K2617" s="4">
        <v>7720</v>
      </c>
      <c r="L2617" s="4">
        <v>24216.285714285714</v>
      </c>
      <c r="M2617" s="4">
        <v>7.9698431987918397E-3</v>
      </c>
      <c r="N2617" t="s">
        <v>25</v>
      </c>
      <c r="O2617" t="str">
        <f t="shared" si="400"/>
        <v>Low</v>
      </c>
      <c r="P2617" t="str">
        <f t="shared" si="401"/>
        <v>Low</v>
      </c>
      <c r="Q2617" t="str">
        <f t="shared" si="402"/>
        <v>Low</v>
      </c>
      <c r="R2617" t="s">
        <v>3317</v>
      </c>
      <c r="S2617" s="4">
        <f t="shared" ca="1" si="403"/>
        <v>465</v>
      </c>
      <c r="T2617">
        <f t="shared" si="404"/>
        <v>1</v>
      </c>
      <c r="U2617">
        <f t="shared" si="405"/>
        <v>1</v>
      </c>
      <c r="V2617">
        <f t="shared" si="406"/>
        <v>1</v>
      </c>
      <c r="W2617">
        <f t="shared" si="407"/>
        <v>1</v>
      </c>
      <c r="X2617">
        <f t="shared" si="408"/>
        <v>0.99999999999999989</v>
      </c>
      <c r="Y2617" t="str">
        <f t="shared" si="409"/>
        <v>Healthy</v>
      </c>
    </row>
    <row r="2618" spans="1:25" x14ac:dyDescent="0.35">
      <c r="A2618" t="s">
        <v>179</v>
      </c>
      <c r="B2618" t="s">
        <v>223</v>
      </c>
      <c r="C2618" t="s">
        <v>224</v>
      </c>
      <c r="D2618" t="s">
        <v>710</v>
      </c>
      <c r="E2618">
        <v>80857307</v>
      </c>
      <c r="F2618" t="s">
        <v>1909</v>
      </c>
      <c r="G2618" s="3">
        <v>46662</v>
      </c>
      <c r="H2618">
        <v>18</v>
      </c>
      <c r="I2618">
        <v>87</v>
      </c>
      <c r="J2618">
        <v>229</v>
      </c>
      <c r="K2618" s="4">
        <v>9160</v>
      </c>
      <c r="L2618" s="4">
        <v>24216.285714285714</v>
      </c>
      <c r="M2618" s="4">
        <v>9.4564460752504225E-3</v>
      </c>
      <c r="N2618" t="s">
        <v>25</v>
      </c>
      <c r="O2618" t="str">
        <f t="shared" si="400"/>
        <v>Low</v>
      </c>
      <c r="P2618" t="str">
        <f t="shared" si="401"/>
        <v>Low</v>
      </c>
      <c r="Q2618" t="str">
        <f t="shared" si="402"/>
        <v>Low</v>
      </c>
      <c r="R2618" t="s">
        <v>3317</v>
      </c>
      <c r="S2618" s="4">
        <f t="shared" ca="1" si="403"/>
        <v>465</v>
      </c>
      <c r="T2618">
        <f t="shared" si="404"/>
        <v>1</v>
      </c>
      <c r="U2618">
        <f t="shared" si="405"/>
        <v>1</v>
      </c>
      <c r="V2618">
        <f t="shared" si="406"/>
        <v>1</v>
      </c>
      <c r="W2618">
        <f t="shared" si="407"/>
        <v>1</v>
      </c>
      <c r="X2618">
        <f t="shared" si="408"/>
        <v>0.99999999999999989</v>
      </c>
      <c r="Y2618" t="str">
        <f t="shared" si="409"/>
        <v>Healthy</v>
      </c>
    </row>
    <row r="2619" spans="1:25" x14ac:dyDescent="0.35">
      <c r="A2619" t="s">
        <v>179</v>
      </c>
      <c r="B2619" t="s">
        <v>223</v>
      </c>
      <c r="C2619" t="s">
        <v>224</v>
      </c>
      <c r="D2619" t="s">
        <v>710</v>
      </c>
      <c r="E2619">
        <v>80857307</v>
      </c>
      <c r="F2619" t="s">
        <v>1909</v>
      </c>
      <c r="G2619" s="3">
        <v>46657</v>
      </c>
      <c r="H2619">
        <v>18</v>
      </c>
      <c r="I2619">
        <v>86</v>
      </c>
      <c r="J2619">
        <v>181</v>
      </c>
      <c r="K2619" s="4">
        <v>7240</v>
      </c>
      <c r="L2619" s="4">
        <v>24216.285714285714</v>
      </c>
      <c r="M2619" s="4">
        <v>7.4743089066389799E-3</v>
      </c>
      <c r="N2619" t="s">
        <v>25</v>
      </c>
      <c r="O2619" t="str">
        <f t="shared" si="400"/>
        <v>Low</v>
      </c>
      <c r="P2619" t="str">
        <f t="shared" si="401"/>
        <v>Low</v>
      </c>
      <c r="Q2619" t="str">
        <f t="shared" si="402"/>
        <v>Low</v>
      </c>
      <c r="R2619" t="s">
        <v>3317</v>
      </c>
      <c r="S2619" s="4">
        <f t="shared" ca="1" si="403"/>
        <v>460</v>
      </c>
      <c r="T2619">
        <f t="shared" si="404"/>
        <v>1</v>
      </c>
      <c r="U2619">
        <f t="shared" si="405"/>
        <v>1</v>
      </c>
      <c r="V2619">
        <f t="shared" si="406"/>
        <v>1</v>
      </c>
      <c r="W2619">
        <f t="shared" si="407"/>
        <v>1</v>
      </c>
      <c r="X2619">
        <f t="shared" si="408"/>
        <v>0.99999999999999989</v>
      </c>
      <c r="Y2619" t="str">
        <f t="shared" si="409"/>
        <v>Healthy</v>
      </c>
    </row>
    <row r="2620" spans="1:25" x14ac:dyDescent="0.35">
      <c r="A2620" t="s">
        <v>71</v>
      </c>
      <c r="B2620" t="s">
        <v>72</v>
      </c>
      <c r="C2620" t="s">
        <v>687</v>
      </c>
      <c r="D2620" t="s">
        <v>1910</v>
      </c>
      <c r="E2620">
        <v>80853689</v>
      </c>
      <c r="F2620" t="s">
        <v>1911</v>
      </c>
      <c r="G2620" s="3">
        <v>47007</v>
      </c>
      <c r="H2620">
        <v>36</v>
      </c>
      <c r="I2620">
        <v>75</v>
      </c>
      <c r="J2620">
        <v>66</v>
      </c>
      <c r="K2620" s="4">
        <v>5895.12</v>
      </c>
      <c r="L2620" s="4">
        <v>202.57142857142858</v>
      </c>
      <c r="M2620" s="4">
        <v>0.32581100141043723</v>
      </c>
      <c r="N2620" t="s">
        <v>25</v>
      </c>
      <c r="O2620" t="str">
        <f t="shared" si="400"/>
        <v>Low</v>
      </c>
      <c r="P2620" t="str">
        <f t="shared" si="401"/>
        <v>Low</v>
      </c>
      <c r="Q2620" t="str">
        <f t="shared" si="402"/>
        <v>Low</v>
      </c>
      <c r="R2620" t="s">
        <v>3317</v>
      </c>
      <c r="S2620" s="4">
        <f t="shared" ca="1" si="403"/>
        <v>810</v>
      </c>
      <c r="T2620">
        <f t="shared" si="404"/>
        <v>1</v>
      </c>
      <c r="U2620">
        <f t="shared" si="405"/>
        <v>1</v>
      </c>
      <c r="V2620">
        <f t="shared" si="406"/>
        <v>1</v>
      </c>
      <c r="W2620">
        <f t="shared" si="407"/>
        <v>1</v>
      </c>
      <c r="X2620">
        <f t="shared" si="408"/>
        <v>0.99999999999999989</v>
      </c>
      <c r="Y2620" t="str">
        <f t="shared" si="409"/>
        <v>Healthy</v>
      </c>
    </row>
    <row r="2621" spans="1:25" x14ac:dyDescent="0.35">
      <c r="A2621" t="s">
        <v>90</v>
      </c>
      <c r="B2621" t="s">
        <v>91</v>
      </c>
      <c r="C2621" t="s">
        <v>478</v>
      </c>
      <c r="D2621" t="s">
        <v>1360</v>
      </c>
      <c r="E2621">
        <v>80797467</v>
      </c>
      <c r="F2621" t="s">
        <v>1912</v>
      </c>
      <c r="G2621" s="3">
        <v>46352</v>
      </c>
      <c r="H2621">
        <v>24</v>
      </c>
      <c r="I2621">
        <v>22</v>
      </c>
      <c r="J2621">
        <v>2</v>
      </c>
      <c r="K2621" s="4">
        <v>589.46</v>
      </c>
      <c r="L2621" s="4">
        <f>0</f>
        <v>0</v>
      </c>
      <c r="M2621" s="4">
        <f>999</f>
        <v>999</v>
      </c>
      <c r="N2621" t="s">
        <v>19</v>
      </c>
      <c r="O2621" t="str">
        <f t="shared" si="400"/>
        <v>Medium</v>
      </c>
      <c r="P2621" t="str">
        <f t="shared" si="401"/>
        <v>High</v>
      </c>
      <c r="Q2621" t="str">
        <f t="shared" si="402"/>
        <v>High</v>
      </c>
      <c r="R2621" t="s">
        <v>3317</v>
      </c>
      <c r="S2621" s="4">
        <f t="shared" ca="1" si="403"/>
        <v>155</v>
      </c>
      <c r="T2621">
        <f t="shared" si="404"/>
        <v>2</v>
      </c>
      <c r="U2621">
        <f t="shared" si="405"/>
        <v>3</v>
      </c>
      <c r="V2621">
        <f t="shared" si="406"/>
        <v>3</v>
      </c>
      <c r="W2621">
        <f t="shared" si="407"/>
        <v>1</v>
      </c>
      <c r="X2621">
        <f t="shared" si="408"/>
        <v>2.4</v>
      </c>
      <c r="Y2621" t="str">
        <f t="shared" si="409"/>
        <v>High Priority</v>
      </c>
    </row>
    <row r="2622" spans="1:25" x14ac:dyDescent="0.35">
      <c r="A2622" t="s">
        <v>90</v>
      </c>
      <c r="B2622" t="s">
        <v>91</v>
      </c>
      <c r="C2622" t="s">
        <v>92</v>
      </c>
      <c r="D2622" t="s">
        <v>1913</v>
      </c>
      <c r="E2622">
        <v>80851074</v>
      </c>
      <c r="F2622" t="s">
        <v>1914</v>
      </c>
      <c r="G2622" s="3">
        <v>46883</v>
      </c>
      <c r="H2622">
        <v>24</v>
      </c>
      <c r="I2622">
        <v>96</v>
      </c>
      <c r="J2622">
        <v>8</v>
      </c>
      <c r="K2622" s="4">
        <v>4171.04</v>
      </c>
      <c r="L2622" s="4">
        <v>4503.7142857142853</v>
      </c>
      <c r="M2622" s="4">
        <v>1.7763116158091734E-3</v>
      </c>
      <c r="N2622" t="s">
        <v>25</v>
      </c>
      <c r="O2622" t="str">
        <f t="shared" si="400"/>
        <v>Low</v>
      </c>
      <c r="P2622" t="str">
        <f t="shared" si="401"/>
        <v>Low</v>
      </c>
      <c r="Q2622" t="str">
        <f t="shared" si="402"/>
        <v>Low</v>
      </c>
      <c r="R2622" t="s">
        <v>3317</v>
      </c>
      <c r="S2622" s="4">
        <f t="shared" ca="1" si="403"/>
        <v>686</v>
      </c>
      <c r="T2622">
        <f t="shared" si="404"/>
        <v>1</v>
      </c>
      <c r="U2622">
        <f t="shared" si="405"/>
        <v>1</v>
      </c>
      <c r="V2622">
        <f t="shared" si="406"/>
        <v>1</v>
      </c>
      <c r="W2622">
        <f t="shared" si="407"/>
        <v>1</v>
      </c>
      <c r="X2622">
        <f t="shared" si="408"/>
        <v>0.99999999999999989</v>
      </c>
      <c r="Y2622" t="str">
        <f t="shared" si="409"/>
        <v>Healthy</v>
      </c>
    </row>
    <row r="2623" spans="1:25" x14ac:dyDescent="0.35">
      <c r="A2623" t="s">
        <v>90</v>
      </c>
      <c r="B2623" t="s">
        <v>91</v>
      </c>
      <c r="C2623" t="s">
        <v>92</v>
      </c>
      <c r="D2623" t="s">
        <v>1913</v>
      </c>
      <c r="E2623">
        <v>80851074</v>
      </c>
      <c r="F2623" t="s">
        <v>1914</v>
      </c>
      <c r="G2623" s="3">
        <v>46912</v>
      </c>
      <c r="H2623">
        <v>24</v>
      </c>
      <c r="I2623">
        <v>100</v>
      </c>
      <c r="J2623">
        <v>12</v>
      </c>
      <c r="K2623" s="4">
        <v>6256.56</v>
      </c>
      <c r="L2623" s="4">
        <v>4503.7142857142853</v>
      </c>
      <c r="M2623" s="4">
        <v>2.6644674237137605E-3</v>
      </c>
      <c r="N2623" t="s">
        <v>25</v>
      </c>
      <c r="O2623" t="str">
        <f t="shared" si="400"/>
        <v>Low</v>
      </c>
      <c r="P2623" t="str">
        <f t="shared" si="401"/>
        <v>Low</v>
      </c>
      <c r="Q2623" t="str">
        <f t="shared" si="402"/>
        <v>Low</v>
      </c>
      <c r="R2623" t="s">
        <v>3317</v>
      </c>
      <c r="S2623" s="4">
        <f t="shared" ca="1" si="403"/>
        <v>715</v>
      </c>
      <c r="T2623">
        <f t="shared" si="404"/>
        <v>1</v>
      </c>
      <c r="U2623">
        <f t="shared" si="405"/>
        <v>1</v>
      </c>
      <c r="V2623">
        <f t="shared" si="406"/>
        <v>1</v>
      </c>
      <c r="W2623">
        <f t="shared" si="407"/>
        <v>1</v>
      </c>
      <c r="X2623">
        <f t="shared" si="408"/>
        <v>0.99999999999999989</v>
      </c>
      <c r="Y2623" t="str">
        <f t="shared" si="409"/>
        <v>Healthy</v>
      </c>
    </row>
    <row r="2624" spans="1:25" x14ac:dyDescent="0.35">
      <c r="A2624" t="s">
        <v>90</v>
      </c>
      <c r="B2624" t="s">
        <v>91</v>
      </c>
      <c r="C2624" t="s">
        <v>92</v>
      </c>
      <c r="D2624" t="s">
        <v>1913</v>
      </c>
      <c r="E2624">
        <v>80851074</v>
      </c>
      <c r="F2624" t="s">
        <v>1914</v>
      </c>
      <c r="G2624" s="3">
        <v>46904</v>
      </c>
      <c r="H2624">
        <v>24</v>
      </c>
      <c r="I2624">
        <v>99</v>
      </c>
      <c r="J2624">
        <v>1636</v>
      </c>
      <c r="K2624" s="4">
        <v>852977.68</v>
      </c>
      <c r="L2624" s="4">
        <v>4503.7142857142853</v>
      </c>
      <c r="M2624" s="4">
        <v>0.36325572543297596</v>
      </c>
      <c r="N2624" t="s">
        <v>25</v>
      </c>
      <c r="O2624" t="str">
        <f t="shared" si="400"/>
        <v>Low</v>
      </c>
      <c r="P2624" t="str">
        <f t="shared" si="401"/>
        <v>Low</v>
      </c>
      <c r="Q2624" t="str">
        <f t="shared" si="402"/>
        <v>Low</v>
      </c>
      <c r="R2624" t="s">
        <v>3309</v>
      </c>
      <c r="S2624" s="4">
        <f t="shared" ca="1" si="403"/>
        <v>707</v>
      </c>
      <c r="T2624">
        <f t="shared" si="404"/>
        <v>1</v>
      </c>
      <c r="U2624">
        <f t="shared" si="405"/>
        <v>1</v>
      </c>
      <c r="V2624">
        <f t="shared" si="406"/>
        <v>1</v>
      </c>
      <c r="W2624">
        <f t="shared" si="407"/>
        <v>3</v>
      </c>
      <c r="X2624">
        <f t="shared" si="408"/>
        <v>1.2</v>
      </c>
      <c r="Y2624" t="str">
        <f t="shared" si="409"/>
        <v>Healthy</v>
      </c>
    </row>
    <row r="2625" spans="1:25" x14ac:dyDescent="0.35">
      <c r="A2625" t="s">
        <v>90</v>
      </c>
      <c r="B2625" t="s">
        <v>91</v>
      </c>
      <c r="C2625" t="s">
        <v>92</v>
      </c>
      <c r="D2625" t="s">
        <v>1913</v>
      </c>
      <c r="E2625">
        <v>80851074</v>
      </c>
      <c r="F2625" t="s">
        <v>1914</v>
      </c>
      <c r="G2625" s="3">
        <v>46897</v>
      </c>
      <c r="H2625">
        <v>24</v>
      </c>
      <c r="I2625">
        <v>98</v>
      </c>
      <c r="J2625">
        <v>444</v>
      </c>
      <c r="K2625" s="4">
        <v>231492.72</v>
      </c>
      <c r="L2625" s="4">
        <v>4503.7142857142853</v>
      </c>
      <c r="M2625" s="4">
        <v>9.8585294677409133E-2</v>
      </c>
      <c r="N2625" t="s">
        <v>25</v>
      </c>
      <c r="O2625" t="str">
        <f t="shared" si="400"/>
        <v>Low</v>
      </c>
      <c r="P2625" t="str">
        <f t="shared" si="401"/>
        <v>Low</v>
      </c>
      <c r="Q2625" t="str">
        <f t="shared" si="402"/>
        <v>Low</v>
      </c>
      <c r="R2625" t="s">
        <v>3309</v>
      </c>
      <c r="S2625" s="4">
        <f t="shared" ca="1" si="403"/>
        <v>700</v>
      </c>
      <c r="T2625">
        <f t="shared" si="404"/>
        <v>1</v>
      </c>
      <c r="U2625">
        <f t="shared" si="405"/>
        <v>1</v>
      </c>
      <c r="V2625">
        <f t="shared" si="406"/>
        <v>1</v>
      </c>
      <c r="W2625">
        <f t="shared" si="407"/>
        <v>3</v>
      </c>
      <c r="X2625">
        <f t="shared" si="408"/>
        <v>1.2</v>
      </c>
      <c r="Y2625" t="str">
        <f t="shared" si="409"/>
        <v>Healthy</v>
      </c>
    </row>
    <row r="2626" spans="1:25" x14ac:dyDescent="0.35">
      <c r="A2626" t="s">
        <v>90</v>
      </c>
      <c r="B2626" t="s">
        <v>91</v>
      </c>
      <c r="C2626" t="s">
        <v>92</v>
      </c>
      <c r="D2626" t="s">
        <v>1913</v>
      </c>
      <c r="E2626">
        <v>80851074</v>
      </c>
      <c r="F2626" t="s">
        <v>1914</v>
      </c>
      <c r="G2626" s="3">
        <v>46885</v>
      </c>
      <c r="H2626">
        <v>24</v>
      </c>
      <c r="I2626">
        <v>96</v>
      </c>
      <c r="J2626">
        <v>24</v>
      </c>
      <c r="K2626" s="4">
        <v>12513.12</v>
      </c>
      <c r="L2626" s="4">
        <v>4503.7142857142853</v>
      </c>
      <c r="M2626" s="4">
        <v>5.328934847427521E-3</v>
      </c>
      <c r="N2626" t="s">
        <v>25</v>
      </c>
      <c r="O2626" t="str">
        <f t="shared" si="400"/>
        <v>Low</v>
      </c>
      <c r="P2626" t="str">
        <f t="shared" si="401"/>
        <v>Low</v>
      </c>
      <c r="Q2626" t="str">
        <f t="shared" si="402"/>
        <v>Low</v>
      </c>
      <c r="R2626" t="s">
        <v>3317</v>
      </c>
      <c r="S2626" s="4">
        <f t="shared" ca="1" si="403"/>
        <v>688</v>
      </c>
      <c r="T2626">
        <f t="shared" si="404"/>
        <v>1</v>
      </c>
      <c r="U2626">
        <f t="shared" si="405"/>
        <v>1</v>
      </c>
      <c r="V2626">
        <f t="shared" si="406"/>
        <v>1</v>
      </c>
      <c r="W2626">
        <f t="shared" si="407"/>
        <v>1</v>
      </c>
      <c r="X2626">
        <f t="shared" si="408"/>
        <v>0.99999999999999989</v>
      </c>
      <c r="Y2626" t="str">
        <f t="shared" si="409"/>
        <v>Healthy</v>
      </c>
    </row>
    <row r="2627" spans="1:25" x14ac:dyDescent="0.35">
      <c r="A2627" t="s">
        <v>41</v>
      </c>
      <c r="B2627" t="s">
        <v>42</v>
      </c>
      <c r="C2627" t="s">
        <v>43</v>
      </c>
      <c r="D2627" t="s">
        <v>1915</v>
      </c>
      <c r="E2627">
        <v>80863261</v>
      </c>
      <c r="F2627" t="s">
        <v>1916</v>
      </c>
      <c r="G2627" s="3">
        <v>46860</v>
      </c>
      <c r="H2627">
        <v>36</v>
      </c>
      <c r="I2627">
        <v>62</v>
      </c>
      <c r="J2627">
        <v>60</v>
      </c>
      <c r="K2627" s="4">
        <v>42529.8</v>
      </c>
      <c r="L2627" s="4">
        <f>0</f>
        <v>0</v>
      </c>
      <c r="M2627" s="4">
        <f>999</f>
        <v>999</v>
      </c>
      <c r="N2627" t="s">
        <v>19</v>
      </c>
      <c r="O2627" t="str">
        <f t="shared" ref="O2627:O2690" si="410">IF(I2627&lt;20,"High",IF(I2627&lt;40,"Medium","Low"))</f>
        <v>Low</v>
      </c>
      <c r="P2627" t="str">
        <f t="shared" ref="P2627:P2690" si="411">IF(M2627&gt;8,"High",IF(M2627&gt;4,"Medium","Low"))</f>
        <v>High</v>
      </c>
      <c r="Q2627" t="str">
        <f t="shared" ref="Q2627:Q2690" si="412">IF(L2627&lt;5,"High",IF(L2627&lt;15,"Medium","Low"))</f>
        <v>High</v>
      </c>
      <c r="R2627" t="s">
        <v>3317</v>
      </c>
      <c r="S2627" s="4">
        <f t="shared" ref="S2627:S2690" ca="1" si="413">G2627-TODAY()</f>
        <v>663</v>
      </c>
      <c r="T2627">
        <f t="shared" ref="T2627:T2690" si="414">IF(O2627="High",3,IF(O2627="Medium",2,1))</f>
        <v>1</v>
      </c>
      <c r="U2627">
        <f t="shared" ref="U2627:U2690" si="415">IF(P2627="High",3,IF(P2627="Medium",2,1))</f>
        <v>3</v>
      </c>
      <c r="V2627">
        <f t="shared" ref="V2627:V2690" si="416">IF(Q2627="High",3,IF(Q2627="Medium",2,1))</f>
        <v>3</v>
      </c>
      <c r="W2627">
        <f t="shared" ref="W2627:W2690" si="417">IF(R2627="High",3,IF(R2627="Medium",2,1))</f>
        <v>1</v>
      </c>
      <c r="X2627">
        <f t="shared" ref="X2627:X2690" si="418">(0.4*T2627)+(0.3*U2627)+(0.2*V2627)+(0.1*W2627)</f>
        <v>2</v>
      </c>
      <c r="Y2627" t="str">
        <f t="shared" ref="Y2627:Y2690" si="419">IF(X2627&gt;=2.7,"Move Immediately",IF(X2627&gt;=2.2,"High Priority",IF(X2627&gt;=1.7,"Monitor","Healthy")))</f>
        <v>Monitor</v>
      </c>
    </row>
    <row r="2628" spans="1:25" x14ac:dyDescent="0.35">
      <c r="A2628" t="s">
        <v>14</v>
      </c>
      <c r="B2628" t="s">
        <v>58</v>
      </c>
      <c r="C2628" t="s">
        <v>162</v>
      </c>
      <c r="D2628" t="s">
        <v>349</v>
      </c>
      <c r="E2628">
        <v>82303858</v>
      </c>
      <c r="F2628" t="s">
        <v>1917</v>
      </c>
      <c r="G2628" s="3">
        <v>49291</v>
      </c>
      <c r="H2628">
        <v>60</v>
      </c>
      <c r="I2628">
        <v>100</v>
      </c>
      <c r="J2628">
        <v>1</v>
      </c>
      <c r="K2628" s="4">
        <v>471.41</v>
      </c>
      <c r="L2628" s="4">
        <f>0</f>
        <v>0</v>
      </c>
      <c r="M2628" s="4">
        <f>999</f>
        <v>999</v>
      </c>
      <c r="N2628" t="s">
        <v>19</v>
      </c>
      <c r="O2628" t="str">
        <f t="shared" si="410"/>
        <v>Low</v>
      </c>
      <c r="P2628" t="str">
        <f t="shared" si="411"/>
        <v>High</v>
      </c>
      <c r="Q2628" t="str">
        <f t="shared" si="412"/>
        <v>High</v>
      </c>
      <c r="R2628" t="s">
        <v>3317</v>
      </c>
      <c r="S2628" s="4">
        <f t="shared" ca="1" si="413"/>
        <v>3094</v>
      </c>
      <c r="T2628">
        <f t="shared" si="414"/>
        <v>1</v>
      </c>
      <c r="U2628">
        <f t="shared" si="415"/>
        <v>3</v>
      </c>
      <c r="V2628">
        <f t="shared" si="416"/>
        <v>3</v>
      </c>
      <c r="W2628">
        <f t="shared" si="417"/>
        <v>1</v>
      </c>
      <c r="X2628">
        <f t="shared" si="418"/>
        <v>2</v>
      </c>
      <c r="Y2628" t="str">
        <f t="shared" si="419"/>
        <v>Monitor</v>
      </c>
    </row>
    <row r="2629" spans="1:25" x14ac:dyDescent="0.35">
      <c r="A2629" t="s">
        <v>41</v>
      </c>
      <c r="B2629" t="s">
        <v>54</v>
      </c>
      <c r="C2629" t="s">
        <v>87</v>
      </c>
      <c r="D2629" t="s">
        <v>330</v>
      </c>
      <c r="E2629">
        <v>80859542</v>
      </c>
      <c r="F2629" t="s">
        <v>1918</v>
      </c>
      <c r="G2629" s="3">
        <v>46939</v>
      </c>
      <c r="H2629">
        <v>36</v>
      </c>
      <c r="I2629">
        <v>69</v>
      </c>
      <c r="J2629">
        <v>2</v>
      </c>
      <c r="K2629" s="4">
        <v>1919.94</v>
      </c>
      <c r="L2629" s="4">
        <v>21.571428571428573</v>
      </c>
      <c r="M2629" s="4">
        <v>9.2715231788079458E-2</v>
      </c>
      <c r="N2629" t="s">
        <v>25</v>
      </c>
      <c r="O2629" t="str">
        <f t="shared" si="410"/>
        <v>Low</v>
      </c>
      <c r="P2629" t="str">
        <f t="shared" si="411"/>
        <v>Low</v>
      </c>
      <c r="Q2629" t="str">
        <f t="shared" si="412"/>
        <v>Low</v>
      </c>
      <c r="R2629" t="s">
        <v>3317</v>
      </c>
      <c r="S2629" s="4">
        <f t="shared" ca="1" si="413"/>
        <v>742</v>
      </c>
      <c r="T2629">
        <f t="shared" si="414"/>
        <v>1</v>
      </c>
      <c r="U2629">
        <f t="shared" si="415"/>
        <v>1</v>
      </c>
      <c r="V2629">
        <f t="shared" si="416"/>
        <v>1</v>
      </c>
      <c r="W2629">
        <f t="shared" si="417"/>
        <v>1</v>
      </c>
      <c r="X2629">
        <f t="shared" si="418"/>
        <v>0.99999999999999989</v>
      </c>
      <c r="Y2629" t="str">
        <f t="shared" si="419"/>
        <v>Healthy</v>
      </c>
    </row>
    <row r="2630" spans="1:25" x14ac:dyDescent="0.35">
      <c r="A2630" t="s">
        <v>179</v>
      </c>
      <c r="B2630" t="s">
        <v>180</v>
      </c>
      <c r="C2630" t="s">
        <v>181</v>
      </c>
      <c r="D2630" t="s">
        <v>1094</v>
      </c>
      <c r="E2630">
        <v>80865745</v>
      </c>
      <c r="F2630" t="s">
        <v>1919</v>
      </c>
      <c r="G2630" s="3">
        <v>46301</v>
      </c>
      <c r="H2630">
        <v>16</v>
      </c>
      <c r="I2630">
        <v>23</v>
      </c>
      <c r="J2630">
        <v>12</v>
      </c>
      <c r="K2630" s="4">
        <v>12362.28</v>
      </c>
      <c r="L2630" s="4">
        <v>1.1428571428571428</v>
      </c>
      <c r="M2630" s="4">
        <v>10.5</v>
      </c>
      <c r="N2630" t="s">
        <v>19</v>
      </c>
      <c r="O2630" t="str">
        <f t="shared" si="410"/>
        <v>Medium</v>
      </c>
      <c r="P2630" t="str">
        <f t="shared" si="411"/>
        <v>High</v>
      </c>
      <c r="Q2630" t="str">
        <f t="shared" si="412"/>
        <v>High</v>
      </c>
      <c r="R2630" t="s">
        <v>3317</v>
      </c>
      <c r="S2630" s="4">
        <f t="shared" ca="1" si="413"/>
        <v>104</v>
      </c>
      <c r="T2630">
        <f t="shared" si="414"/>
        <v>2</v>
      </c>
      <c r="U2630">
        <f t="shared" si="415"/>
        <v>3</v>
      </c>
      <c r="V2630">
        <f t="shared" si="416"/>
        <v>3</v>
      </c>
      <c r="W2630">
        <f t="shared" si="417"/>
        <v>1</v>
      </c>
      <c r="X2630">
        <f t="shared" si="418"/>
        <v>2.4</v>
      </c>
      <c r="Y2630" t="str">
        <f t="shared" si="419"/>
        <v>High Priority</v>
      </c>
    </row>
    <row r="2631" spans="1:25" x14ac:dyDescent="0.35">
      <c r="A2631" t="s">
        <v>71</v>
      </c>
      <c r="B2631" t="s">
        <v>72</v>
      </c>
      <c r="C2631" t="s">
        <v>73</v>
      </c>
      <c r="D2631" t="s">
        <v>1920</v>
      </c>
      <c r="E2631">
        <v>80867156</v>
      </c>
      <c r="F2631" t="s">
        <v>1921</v>
      </c>
      <c r="G2631" s="3">
        <v>47057</v>
      </c>
      <c r="H2631">
        <v>36</v>
      </c>
      <c r="I2631">
        <v>80</v>
      </c>
      <c r="J2631">
        <v>12</v>
      </c>
      <c r="K2631" s="4">
        <v>13318.92</v>
      </c>
      <c r="L2631" s="4">
        <v>29.714285714285715</v>
      </c>
      <c r="M2631" s="4">
        <v>0.40384615384615385</v>
      </c>
      <c r="N2631" t="s">
        <v>25</v>
      </c>
      <c r="O2631" t="str">
        <f t="shared" si="410"/>
        <v>Low</v>
      </c>
      <c r="P2631" t="str">
        <f t="shared" si="411"/>
        <v>Low</v>
      </c>
      <c r="Q2631" t="str">
        <f t="shared" si="412"/>
        <v>Low</v>
      </c>
      <c r="R2631" t="s">
        <v>3317</v>
      </c>
      <c r="S2631" s="4">
        <f t="shared" ca="1" si="413"/>
        <v>860</v>
      </c>
      <c r="T2631">
        <f t="shared" si="414"/>
        <v>1</v>
      </c>
      <c r="U2631">
        <f t="shared" si="415"/>
        <v>1</v>
      </c>
      <c r="V2631">
        <f t="shared" si="416"/>
        <v>1</v>
      </c>
      <c r="W2631">
        <f t="shared" si="417"/>
        <v>1</v>
      </c>
      <c r="X2631">
        <f t="shared" si="418"/>
        <v>0.99999999999999989</v>
      </c>
      <c r="Y2631" t="str">
        <f t="shared" si="419"/>
        <v>Healthy</v>
      </c>
    </row>
    <row r="2632" spans="1:25" x14ac:dyDescent="0.35">
      <c r="A2632" t="s">
        <v>90</v>
      </c>
      <c r="B2632" t="s">
        <v>91</v>
      </c>
      <c r="C2632" t="s">
        <v>255</v>
      </c>
      <c r="D2632" t="s">
        <v>1922</v>
      </c>
      <c r="E2632">
        <v>80870358</v>
      </c>
      <c r="F2632" t="s">
        <v>1923</v>
      </c>
      <c r="G2632" s="3">
        <v>46845</v>
      </c>
      <c r="H2632">
        <v>24</v>
      </c>
      <c r="I2632">
        <v>91</v>
      </c>
      <c r="J2632">
        <v>1008</v>
      </c>
      <c r="K2632" s="4">
        <v>244359.36</v>
      </c>
      <c r="L2632" s="4">
        <v>19872.428571428572</v>
      </c>
      <c r="M2632" s="4">
        <v>5.0723543746899864E-2</v>
      </c>
      <c r="N2632" t="s">
        <v>25</v>
      </c>
      <c r="O2632" t="str">
        <f t="shared" si="410"/>
        <v>Low</v>
      </c>
      <c r="P2632" t="str">
        <f t="shared" si="411"/>
        <v>Low</v>
      </c>
      <c r="Q2632" t="str">
        <f t="shared" si="412"/>
        <v>Low</v>
      </c>
      <c r="R2632" t="s">
        <v>3309</v>
      </c>
      <c r="S2632" s="4">
        <f t="shared" ca="1" si="413"/>
        <v>648</v>
      </c>
      <c r="T2632">
        <f t="shared" si="414"/>
        <v>1</v>
      </c>
      <c r="U2632">
        <f t="shared" si="415"/>
        <v>1</v>
      </c>
      <c r="V2632">
        <f t="shared" si="416"/>
        <v>1</v>
      </c>
      <c r="W2632">
        <f t="shared" si="417"/>
        <v>3</v>
      </c>
      <c r="X2632">
        <f t="shared" si="418"/>
        <v>1.2</v>
      </c>
      <c r="Y2632" t="str">
        <f t="shared" si="419"/>
        <v>Healthy</v>
      </c>
    </row>
    <row r="2633" spans="1:25" x14ac:dyDescent="0.35">
      <c r="A2633" t="s">
        <v>90</v>
      </c>
      <c r="B2633" t="s">
        <v>91</v>
      </c>
      <c r="C2633" t="s">
        <v>255</v>
      </c>
      <c r="D2633" t="s">
        <v>1922</v>
      </c>
      <c r="E2633">
        <v>80870358</v>
      </c>
      <c r="F2633" t="s">
        <v>1923</v>
      </c>
      <c r="G2633" s="3">
        <v>46852</v>
      </c>
      <c r="H2633">
        <v>24</v>
      </c>
      <c r="I2633">
        <v>92</v>
      </c>
      <c r="J2633">
        <v>612</v>
      </c>
      <c r="K2633" s="4">
        <v>148361.04</v>
      </c>
      <c r="L2633" s="4">
        <v>19872.428571428572</v>
      </c>
      <c r="M2633" s="4">
        <v>3.0796437274903488E-2</v>
      </c>
      <c r="N2633" t="s">
        <v>25</v>
      </c>
      <c r="O2633" t="str">
        <f t="shared" si="410"/>
        <v>Low</v>
      </c>
      <c r="P2633" t="str">
        <f t="shared" si="411"/>
        <v>Low</v>
      </c>
      <c r="Q2633" t="str">
        <f t="shared" si="412"/>
        <v>Low</v>
      </c>
      <c r="R2633" t="s">
        <v>3309</v>
      </c>
      <c r="S2633" s="4">
        <f t="shared" ca="1" si="413"/>
        <v>655</v>
      </c>
      <c r="T2633">
        <f t="shared" si="414"/>
        <v>1</v>
      </c>
      <c r="U2633">
        <f t="shared" si="415"/>
        <v>1</v>
      </c>
      <c r="V2633">
        <f t="shared" si="416"/>
        <v>1</v>
      </c>
      <c r="W2633">
        <f t="shared" si="417"/>
        <v>3</v>
      </c>
      <c r="X2633">
        <f t="shared" si="418"/>
        <v>1.2</v>
      </c>
      <c r="Y2633" t="str">
        <f t="shared" si="419"/>
        <v>Healthy</v>
      </c>
    </row>
    <row r="2634" spans="1:25" x14ac:dyDescent="0.35">
      <c r="A2634" t="s">
        <v>90</v>
      </c>
      <c r="B2634" t="s">
        <v>91</v>
      </c>
      <c r="C2634" t="s">
        <v>255</v>
      </c>
      <c r="D2634" t="s">
        <v>1922</v>
      </c>
      <c r="E2634">
        <v>80870358</v>
      </c>
      <c r="F2634" t="s">
        <v>1923</v>
      </c>
      <c r="G2634" s="3">
        <v>46842</v>
      </c>
      <c r="H2634">
        <v>24</v>
      </c>
      <c r="I2634">
        <v>90</v>
      </c>
      <c r="J2634">
        <v>59</v>
      </c>
      <c r="K2634" s="4">
        <v>14302.78</v>
      </c>
      <c r="L2634" s="4">
        <v>19872.428571428572</v>
      </c>
      <c r="M2634" s="4">
        <v>2.9689375804237026E-3</v>
      </c>
      <c r="N2634" t="s">
        <v>25</v>
      </c>
      <c r="O2634" t="str">
        <f t="shared" si="410"/>
        <v>Low</v>
      </c>
      <c r="P2634" t="str">
        <f t="shared" si="411"/>
        <v>Low</v>
      </c>
      <c r="Q2634" t="str">
        <f t="shared" si="412"/>
        <v>Low</v>
      </c>
      <c r="R2634" t="s">
        <v>3317</v>
      </c>
      <c r="S2634" s="4">
        <f t="shared" ca="1" si="413"/>
        <v>645</v>
      </c>
      <c r="T2634">
        <f t="shared" si="414"/>
        <v>1</v>
      </c>
      <c r="U2634">
        <f t="shared" si="415"/>
        <v>1</v>
      </c>
      <c r="V2634">
        <f t="shared" si="416"/>
        <v>1</v>
      </c>
      <c r="W2634">
        <f t="shared" si="417"/>
        <v>1</v>
      </c>
      <c r="X2634">
        <f t="shared" si="418"/>
        <v>0.99999999999999989</v>
      </c>
      <c r="Y2634" t="str">
        <f t="shared" si="419"/>
        <v>Healthy</v>
      </c>
    </row>
    <row r="2635" spans="1:25" x14ac:dyDescent="0.35">
      <c r="A2635" t="s">
        <v>90</v>
      </c>
      <c r="B2635" t="s">
        <v>91</v>
      </c>
      <c r="C2635" t="s">
        <v>255</v>
      </c>
      <c r="D2635" t="s">
        <v>1922</v>
      </c>
      <c r="E2635">
        <v>80870358</v>
      </c>
      <c r="F2635" t="s">
        <v>1923</v>
      </c>
      <c r="G2635" s="3">
        <v>46698</v>
      </c>
      <c r="H2635">
        <v>24</v>
      </c>
      <c r="I2635">
        <v>70</v>
      </c>
      <c r="J2635">
        <v>976</v>
      </c>
      <c r="K2635" s="4">
        <v>236601.92</v>
      </c>
      <c r="L2635" s="4">
        <v>19872.428571428572</v>
      </c>
      <c r="M2635" s="4">
        <v>4.911327251683955E-2</v>
      </c>
      <c r="N2635" t="s">
        <v>25</v>
      </c>
      <c r="O2635" t="str">
        <f t="shared" si="410"/>
        <v>Low</v>
      </c>
      <c r="P2635" t="str">
        <f t="shared" si="411"/>
        <v>Low</v>
      </c>
      <c r="Q2635" t="str">
        <f t="shared" si="412"/>
        <v>Low</v>
      </c>
      <c r="R2635" t="s">
        <v>3309</v>
      </c>
      <c r="S2635" s="4">
        <f t="shared" ca="1" si="413"/>
        <v>501</v>
      </c>
      <c r="T2635">
        <f t="shared" si="414"/>
        <v>1</v>
      </c>
      <c r="U2635">
        <f t="shared" si="415"/>
        <v>1</v>
      </c>
      <c r="V2635">
        <f t="shared" si="416"/>
        <v>1</v>
      </c>
      <c r="W2635">
        <f t="shared" si="417"/>
        <v>3</v>
      </c>
      <c r="X2635">
        <f t="shared" si="418"/>
        <v>1.2</v>
      </c>
      <c r="Y2635" t="str">
        <f t="shared" si="419"/>
        <v>Healthy</v>
      </c>
    </row>
    <row r="2636" spans="1:25" x14ac:dyDescent="0.35">
      <c r="A2636" t="s">
        <v>90</v>
      </c>
      <c r="B2636" t="s">
        <v>91</v>
      </c>
      <c r="C2636" t="s">
        <v>255</v>
      </c>
      <c r="D2636" t="s">
        <v>1922</v>
      </c>
      <c r="E2636">
        <v>80870358</v>
      </c>
      <c r="F2636" t="s">
        <v>1923</v>
      </c>
      <c r="G2636" s="3">
        <v>46903</v>
      </c>
      <c r="H2636">
        <v>24</v>
      </c>
      <c r="I2636">
        <v>99</v>
      </c>
      <c r="J2636">
        <v>944</v>
      </c>
      <c r="K2636" s="4">
        <v>228844.48</v>
      </c>
      <c r="L2636" s="4">
        <v>19872.428571428572</v>
      </c>
      <c r="M2636" s="4">
        <v>4.7503001286779242E-2</v>
      </c>
      <c r="N2636" t="s">
        <v>25</v>
      </c>
      <c r="O2636" t="str">
        <f t="shared" si="410"/>
        <v>Low</v>
      </c>
      <c r="P2636" t="str">
        <f t="shared" si="411"/>
        <v>Low</v>
      </c>
      <c r="Q2636" t="str">
        <f t="shared" si="412"/>
        <v>Low</v>
      </c>
      <c r="R2636" t="s">
        <v>3309</v>
      </c>
      <c r="S2636" s="4">
        <f t="shared" ca="1" si="413"/>
        <v>706</v>
      </c>
      <c r="T2636">
        <f t="shared" si="414"/>
        <v>1</v>
      </c>
      <c r="U2636">
        <f t="shared" si="415"/>
        <v>1</v>
      </c>
      <c r="V2636">
        <f t="shared" si="416"/>
        <v>1</v>
      </c>
      <c r="W2636">
        <f t="shared" si="417"/>
        <v>3</v>
      </c>
      <c r="X2636">
        <f t="shared" si="418"/>
        <v>1.2</v>
      </c>
      <c r="Y2636" t="str">
        <f t="shared" si="419"/>
        <v>Healthy</v>
      </c>
    </row>
    <row r="2637" spans="1:25" x14ac:dyDescent="0.35">
      <c r="A2637" t="s">
        <v>90</v>
      </c>
      <c r="B2637" t="s">
        <v>91</v>
      </c>
      <c r="C2637" t="s">
        <v>255</v>
      </c>
      <c r="D2637" t="s">
        <v>1922</v>
      </c>
      <c r="E2637">
        <v>80870358</v>
      </c>
      <c r="F2637" t="s">
        <v>1923</v>
      </c>
      <c r="G2637" s="3">
        <v>46851</v>
      </c>
      <c r="H2637">
        <v>24</v>
      </c>
      <c r="I2637">
        <v>92</v>
      </c>
      <c r="J2637">
        <v>972</v>
      </c>
      <c r="K2637" s="4">
        <v>235632.24</v>
      </c>
      <c r="L2637" s="4">
        <v>19872.428571428572</v>
      </c>
      <c r="M2637" s="4">
        <v>4.8911988613082012E-2</v>
      </c>
      <c r="N2637" t="s">
        <v>25</v>
      </c>
      <c r="O2637" t="str">
        <f t="shared" si="410"/>
        <v>Low</v>
      </c>
      <c r="P2637" t="str">
        <f t="shared" si="411"/>
        <v>Low</v>
      </c>
      <c r="Q2637" t="str">
        <f t="shared" si="412"/>
        <v>Low</v>
      </c>
      <c r="R2637" t="s">
        <v>3309</v>
      </c>
      <c r="S2637" s="4">
        <f t="shared" ca="1" si="413"/>
        <v>654</v>
      </c>
      <c r="T2637">
        <f t="shared" si="414"/>
        <v>1</v>
      </c>
      <c r="U2637">
        <f t="shared" si="415"/>
        <v>1</v>
      </c>
      <c r="V2637">
        <f t="shared" si="416"/>
        <v>1</v>
      </c>
      <c r="W2637">
        <f t="shared" si="417"/>
        <v>3</v>
      </c>
      <c r="X2637">
        <f t="shared" si="418"/>
        <v>1.2</v>
      </c>
      <c r="Y2637" t="str">
        <f t="shared" si="419"/>
        <v>Healthy</v>
      </c>
    </row>
    <row r="2638" spans="1:25" x14ac:dyDescent="0.35">
      <c r="A2638" t="s">
        <v>90</v>
      </c>
      <c r="B2638" t="s">
        <v>91</v>
      </c>
      <c r="C2638" t="s">
        <v>255</v>
      </c>
      <c r="D2638" t="s">
        <v>1922</v>
      </c>
      <c r="E2638">
        <v>80870358</v>
      </c>
      <c r="F2638" t="s">
        <v>1923</v>
      </c>
      <c r="G2638" s="3">
        <v>46854</v>
      </c>
      <c r="H2638">
        <v>24</v>
      </c>
      <c r="I2638">
        <v>92</v>
      </c>
      <c r="J2638">
        <v>840</v>
      </c>
      <c r="K2638" s="4">
        <v>203632.8</v>
      </c>
      <c r="L2638" s="4">
        <v>19872.428571428572</v>
      </c>
      <c r="M2638" s="4">
        <v>4.2269619789083224E-2</v>
      </c>
      <c r="N2638" t="s">
        <v>25</v>
      </c>
      <c r="O2638" t="str">
        <f t="shared" si="410"/>
        <v>Low</v>
      </c>
      <c r="P2638" t="str">
        <f t="shared" si="411"/>
        <v>Low</v>
      </c>
      <c r="Q2638" t="str">
        <f t="shared" si="412"/>
        <v>Low</v>
      </c>
      <c r="R2638" t="s">
        <v>3309</v>
      </c>
      <c r="S2638" s="4">
        <f t="shared" ca="1" si="413"/>
        <v>657</v>
      </c>
      <c r="T2638">
        <f t="shared" si="414"/>
        <v>1</v>
      </c>
      <c r="U2638">
        <f t="shared" si="415"/>
        <v>1</v>
      </c>
      <c r="V2638">
        <f t="shared" si="416"/>
        <v>1</v>
      </c>
      <c r="W2638">
        <f t="shared" si="417"/>
        <v>3</v>
      </c>
      <c r="X2638">
        <f t="shared" si="418"/>
        <v>1.2</v>
      </c>
      <c r="Y2638" t="str">
        <f t="shared" si="419"/>
        <v>Healthy</v>
      </c>
    </row>
    <row r="2639" spans="1:25" x14ac:dyDescent="0.35">
      <c r="A2639" t="s">
        <v>90</v>
      </c>
      <c r="B2639" t="s">
        <v>91</v>
      </c>
      <c r="C2639" t="s">
        <v>255</v>
      </c>
      <c r="D2639" t="s">
        <v>1922</v>
      </c>
      <c r="E2639">
        <v>80870358</v>
      </c>
      <c r="F2639" t="s">
        <v>1923</v>
      </c>
      <c r="G2639" s="3">
        <v>46841</v>
      </c>
      <c r="H2639">
        <v>24</v>
      </c>
      <c r="I2639">
        <v>90</v>
      </c>
      <c r="J2639">
        <v>842</v>
      </c>
      <c r="K2639" s="4">
        <v>204117.64</v>
      </c>
      <c r="L2639" s="4">
        <v>19872.428571428572</v>
      </c>
      <c r="M2639" s="4">
        <v>4.2370261740961992E-2</v>
      </c>
      <c r="N2639" t="s">
        <v>25</v>
      </c>
      <c r="O2639" t="str">
        <f t="shared" si="410"/>
        <v>Low</v>
      </c>
      <c r="P2639" t="str">
        <f t="shared" si="411"/>
        <v>Low</v>
      </c>
      <c r="Q2639" t="str">
        <f t="shared" si="412"/>
        <v>Low</v>
      </c>
      <c r="R2639" t="s">
        <v>3309</v>
      </c>
      <c r="S2639" s="4">
        <f t="shared" ca="1" si="413"/>
        <v>644</v>
      </c>
      <c r="T2639">
        <f t="shared" si="414"/>
        <v>1</v>
      </c>
      <c r="U2639">
        <f t="shared" si="415"/>
        <v>1</v>
      </c>
      <c r="V2639">
        <f t="shared" si="416"/>
        <v>1</v>
      </c>
      <c r="W2639">
        <f t="shared" si="417"/>
        <v>3</v>
      </c>
      <c r="X2639">
        <f t="shared" si="418"/>
        <v>1.2</v>
      </c>
      <c r="Y2639" t="str">
        <f t="shared" si="419"/>
        <v>Healthy</v>
      </c>
    </row>
    <row r="2640" spans="1:25" x14ac:dyDescent="0.35">
      <c r="A2640" t="s">
        <v>90</v>
      </c>
      <c r="B2640" t="s">
        <v>91</v>
      </c>
      <c r="C2640" t="s">
        <v>255</v>
      </c>
      <c r="D2640" t="s">
        <v>1922</v>
      </c>
      <c r="E2640">
        <v>80870358</v>
      </c>
      <c r="F2640" t="s">
        <v>1923</v>
      </c>
      <c r="G2640" s="3">
        <v>46850</v>
      </c>
      <c r="H2640">
        <v>24</v>
      </c>
      <c r="I2640">
        <v>91</v>
      </c>
      <c r="J2640">
        <v>792</v>
      </c>
      <c r="K2640" s="4">
        <v>191996.64</v>
      </c>
      <c r="L2640" s="4">
        <v>19872.428571428572</v>
      </c>
      <c r="M2640" s="4">
        <v>3.9854212943992752E-2</v>
      </c>
      <c r="N2640" t="s">
        <v>25</v>
      </c>
      <c r="O2640" t="str">
        <f t="shared" si="410"/>
        <v>Low</v>
      </c>
      <c r="P2640" t="str">
        <f t="shared" si="411"/>
        <v>Low</v>
      </c>
      <c r="Q2640" t="str">
        <f t="shared" si="412"/>
        <v>Low</v>
      </c>
      <c r="R2640" t="s">
        <v>3309</v>
      </c>
      <c r="S2640" s="4">
        <f t="shared" ca="1" si="413"/>
        <v>653</v>
      </c>
      <c r="T2640">
        <f t="shared" si="414"/>
        <v>1</v>
      </c>
      <c r="U2640">
        <f t="shared" si="415"/>
        <v>1</v>
      </c>
      <c r="V2640">
        <f t="shared" si="416"/>
        <v>1</v>
      </c>
      <c r="W2640">
        <f t="shared" si="417"/>
        <v>3</v>
      </c>
      <c r="X2640">
        <f t="shared" si="418"/>
        <v>1.2</v>
      </c>
      <c r="Y2640" t="str">
        <f t="shared" si="419"/>
        <v>Healthy</v>
      </c>
    </row>
    <row r="2641" spans="1:25" x14ac:dyDescent="0.35">
      <c r="A2641" t="s">
        <v>90</v>
      </c>
      <c r="B2641" t="s">
        <v>91</v>
      </c>
      <c r="C2641" t="s">
        <v>255</v>
      </c>
      <c r="D2641" t="s">
        <v>1922</v>
      </c>
      <c r="E2641">
        <v>80870358</v>
      </c>
      <c r="F2641" t="s">
        <v>1923</v>
      </c>
      <c r="G2641" s="3">
        <v>46727</v>
      </c>
      <c r="H2641">
        <v>24</v>
      </c>
      <c r="I2641">
        <v>74</v>
      </c>
      <c r="J2641">
        <v>414</v>
      </c>
      <c r="K2641" s="4">
        <v>100361.88</v>
      </c>
      <c r="L2641" s="4">
        <v>19872.428571428572</v>
      </c>
      <c r="M2641" s="4">
        <v>2.0832884038905302E-2</v>
      </c>
      <c r="N2641" t="s">
        <v>25</v>
      </c>
      <c r="O2641" t="str">
        <f t="shared" si="410"/>
        <v>Low</v>
      </c>
      <c r="P2641" t="str">
        <f t="shared" si="411"/>
        <v>Low</v>
      </c>
      <c r="Q2641" t="str">
        <f t="shared" si="412"/>
        <v>Low</v>
      </c>
      <c r="R2641" t="s">
        <v>3310</v>
      </c>
      <c r="S2641" s="4">
        <f t="shared" ca="1" si="413"/>
        <v>530</v>
      </c>
      <c r="T2641">
        <f t="shared" si="414"/>
        <v>1</v>
      </c>
      <c r="U2641">
        <f t="shared" si="415"/>
        <v>1</v>
      </c>
      <c r="V2641">
        <f t="shared" si="416"/>
        <v>1</v>
      </c>
      <c r="W2641">
        <f t="shared" si="417"/>
        <v>2</v>
      </c>
      <c r="X2641">
        <f t="shared" si="418"/>
        <v>1.0999999999999999</v>
      </c>
      <c r="Y2641" t="str">
        <f t="shared" si="419"/>
        <v>Healthy</v>
      </c>
    </row>
    <row r="2642" spans="1:25" x14ac:dyDescent="0.35">
      <c r="A2642" t="s">
        <v>90</v>
      </c>
      <c r="B2642" t="s">
        <v>91</v>
      </c>
      <c r="C2642" t="s">
        <v>255</v>
      </c>
      <c r="D2642" t="s">
        <v>1922</v>
      </c>
      <c r="E2642">
        <v>80870358</v>
      </c>
      <c r="F2642" t="s">
        <v>1923</v>
      </c>
      <c r="G2642" s="3">
        <v>46792</v>
      </c>
      <c r="H2642">
        <v>24</v>
      </c>
      <c r="I2642">
        <v>83</v>
      </c>
      <c r="J2642">
        <v>506</v>
      </c>
      <c r="K2642" s="4">
        <v>122664.52</v>
      </c>
      <c r="L2642" s="4">
        <v>19872.428571428572</v>
      </c>
      <c r="M2642" s="4">
        <v>2.5462413825328701E-2</v>
      </c>
      <c r="N2642" t="s">
        <v>25</v>
      </c>
      <c r="O2642" t="str">
        <f t="shared" si="410"/>
        <v>Low</v>
      </c>
      <c r="P2642" t="str">
        <f t="shared" si="411"/>
        <v>Low</v>
      </c>
      <c r="Q2642" t="str">
        <f t="shared" si="412"/>
        <v>Low</v>
      </c>
      <c r="R2642" t="s">
        <v>3310</v>
      </c>
      <c r="S2642" s="4">
        <f t="shared" ca="1" si="413"/>
        <v>595</v>
      </c>
      <c r="T2642">
        <f t="shared" si="414"/>
        <v>1</v>
      </c>
      <c r="U2642">
        <f t="shared" si="415"/>
        <v>1</v>
      </c>
      <c r="V2642">
        <f t="shared" si="416"/>
        <v>1</v>
      </c>
      <c r="W2642">
        <f t="shared" si="417"/>
        <v>2</v>
      </c>
      <c r="X2642">
        <f t="shared" si="418"/>
        <v>1.0999999999999999</v>
      </c>
      <c r="Y2642" t="str">
        <f t="shared" si="419"/>
        <v>Healthy</v>
      </c>
    </row>
    <row r="2643" spans="1:25" x14ac:dyDescent="0.35">
      <c r="A2643" t="s">
        <v>90</v>
      </c>
      <c r="B2643" t="s">
        <v>91</v>
      </c>
      <c r="C2643" t="s">
        <v>255</v>
      </c>
      <c r="D2643" t="s">
        <v>1922</v>
      </c>
      <c r="E2643">
        <v>80870358</v>
      </c>
      <c r="F2643" t="s">
        <v>1923</v>
      </c>
      <c r="G2643" s="3">
        <v>46848</v>
      </c>
      <c r="H2643">
        <v>24</v>
      </c>
      <c r="I2643">
        <v>91</v>
      </c>
      <c r="J2643">
        <v>707</v>
      </c>
      <c r="K2643" s="4">
        <v>171390.94</v>
      </c>
      <c r="L2643" s="4">
        <v>19872.428571428572</v>
      </c>
      <c r="M2643" s="4">
        <v>3.5576929989145044E-2</v>
      </c>
      <c r="N2643" t="s">
        <v>25</v>
      </c>
      <c r="O2643" t="str">
        <f t="shared" si="410"/>
        <v>Low</v>
      </c>
      <c r="P2643" t="str">
        <f t="shared" si="411"/>
        <v>Low</v>
      </c>
      <c r="Q2643" t="str">
        <f t="shared" si="412"/>
        <v>Low</v>
      </c>
      <c r="R2643" t="s">
        <v>3309</v>
      </c>
      <c r="S2643" s="4">
        <f t="shared" ca="1" si="413"/>
        <v>651</v>
      </c>
      <c r="T2643">
        <f t="shared" si="414"/>
        <v>1</v>
      </c>
      <c r="U2643">
        <f t="shared" si="415"/>
        <v>1</v>
      </c>
      <c r="V2643">
        <f t="shared" si="416"/>
        <v>1</v>
      </c>
      <c r="W2643">
        <f t="shared" si="417"/>
        <v>3</v>
      </c>
      <c r="X2643">
        <f t="shared" si="418"/>
        <v>1.2</v>
      </c>
      <c r="Y2643" t="str">
        <f t="shared" si="419"/>
        <v>Healthy</v>
      </c>
    </row>
    <row r="2644" spans="1:25" x14ac:dyDescent="0.35">
      <c r="A2644" t="s">
        <v>90</v>
      </c>
      <c r="B2644" t="s">
        <v>91</v>
      </c>
      <c r="C2644" t="s">
        <v>255</v>
      </c>
      <c r="D2644" t="s">
        <v>1922</v>
      </c>
      <c r="E2644">
        <v>80870358</v>
      </c>
      <c r="F2644" t="s">
        <v>1923</v>
      </c>
      <c r="G2644" s="3">
        <v>46843</v>
      </c>
      <c r="H2644">
        <v>24</v>
      </c>
      <c r="I2644">
        <v>90</v>
      </c>
      <c r="J2644">
        <v>720</v>
      </c>
      <c r="K2644" s="4">
        <v>174542.4</v>
      </c>
      <c r="L2644" s="4">
        <v>19872.428571428572</v>
      </c>
      <c r="M2644" s="4">
        <v>3.6231102676357048E-2</v>
      </c>
      <c r="N2644" t="s">
        <v>25</v>
      </c>
      <c r="O2644" t="str">
        <f t="shared" si="410"/>
        <v>Low</v>
      </c>
      <c r="P2644" t="str">
        <f t="shared" si="411"/>
        <v>Low</v>
      </c>
      <c r="Q2644" t="str">
        <f t="shared" si="412"/>
        <v>Low</v>
      </c>
      <c r="R2644" t="s">
        <v>3309</v>
      </c>
      <c r="S2644" s="4">
        <f t="shared" ca="1" si="413"/>
        <v>646</v>
      </c>
      <c r="T2644">
        <f t="shared" si="414"/>
        <v>1</v>
      </c>
      <c r="U2644">
        <f t="shared" si="415"/>
        <v>1</v>
      </c>
      <c r="V2644">
        <f t="shared" si="416"/>
        <v>1</v>
      </c>
      <c r="W2644">
        <f t="shared" si="417"/>
        <v>3</v>
      </c>
      <c r="X2644">
        <f t="shared" si="418"/>
        <v>1.2</v>
      </c>
      <c r="Y2644" t="str">
        <f t="shared" si="419"/>
        <v>Healthy</v>
      </c>
    </row>
    <row r="2645" spans="1:25" x14ac:dyDescent="0.35">
      <c r="A2645" t="s">
        <v>90</v>
      </c>
      <c r="B2645" t="s">
        <v>404</v>
      </c>
      <c r="C2645" t="s">
        <v>405</v>
      </c>
      <c r="D2645" t="s">
        <v>1924</v>
      </c>
      <c r="E2645">
        <v>80869511</v>
      </c>
      <c r="F2645" t="s">
        <v>1925</v>
      </c>
      <c r="G2645" s="3">
        <v>46857</v>
      </c>
      <c r="H2645">
        <v>24</v>
      </c>
      <c r="I2645">
        <v>92</v>
      </c>
      <c r="J2645">
        <v>28</v>
      </c>
      <c r="K2645" s="4">
        <v>5327.28</v>
      </c>
      <c r="L2645" s="4">
        <v>1826.1428571428571</v>
      </c>
      <c r="M2645" s="4">
        <v>1.5332863959946805E-2</v>
      </c>
      <c r="N2645" t="s">
        <v>25</v>
      </c>
      <c r="O2645" t="str">
        <f t="shared" si="410"/>
        <v>Low</v>
      </c>
      <c r="P2645" t="str">
        <f t="shared" si="411"/>
        <v>Low</v>
      </c>
      <c r="Q2645" t="str">
        <f t="shared" si="412"/>
        <v>Low</v>
      </c>
      <c r="R2645" t="s">
        <v>3317</v>
      </c>
      <c r="S2645" s="4">
        <f t="shared" ca="1" si="413"/>
        <v>660</v>
      </c>
      <c r="T2645">
        <f t="shared" si="414"/>
        <v>1</v>
      </c>
      <c r="U2645">
        <f t="shared" si="415"/>
        <v>1</v>
      </c>
      <c r="V2645">
        <f t="shared" si="416"/>
        <v>1</v>
      </c>
      <c r="W2645">
        <f t="shared" si="417"/>
        <v>1</v>
      </c>
      <c r="X2645">
        <f t="shared" si="418"/>
        <v>0.99999999999999989</v>
      </c>
      <c r="Y2645" t="str">
        <f t="shared" si="419"/>
        <v>Healthy</v>
      </c>
    </row>
    <row r="2646" spans="1:25" x14ac:dyDescent="0.35">
      <c r="A2646" t="s">
        <v>90</v>
      </c>
      <c r="B2646" t="s">
        <v>404</v>
      </c>
      <c r="C2646" t="s">
        <v>405</v>
      </c>
      <c r="D2646" t="s">
        <v>1924</v>
      </c>
      <c r="E2646">
        <v>80869511</v>
      </c>
      <c r="F2646" t="s">
        <v>1925</v>
      </c>
      <c r="G2646" s="3">
        <v>46863</v>
      </c>
      <c r="H2646">
        <v>24</v>
      </c>
      <c r="I2646">
        <v>93</v>
      </c>
      <c r="J2646">
        <v>85</v>
      </c>
      <c r="K2646" s="4">
        <v>16172.1</v>
      </c>
      <c r="L2646" s="4">
        <v>1826.1428571428571</v>
      </c>
      <c r="M2646" s="4">
        <v>4.6546194164124227E-2</v>
      </c>
      <c r="N2646" t="s">
        <v>25</v>
      </c>
      <c r="O2646" t="str">
        <f t="shared" si="410"/>
        <v>Low</v>
      </c>
      <c r="P2646" t="str">
        <f t="shared" si="411"/>
        <v>Low</v>
      </c>
      <c r="Q2646" t="str">
        <f t="shared" si="412"/>
        <v>Low</v>
      </c>
      <c r="R2646" t="s">
        <v>3317</v>
      </c>
      <c r="S2646" s="4">
        <f t="shared" ca="1" si="413"/>
        <v>666</v>
      </c>
      <c r="T2646">
        <f t="shared" si="414"/>
        <v>1</v>
      </c>
      <c r="U2646">
        <f t="shared" si="415"/>
        <v>1</v>
      </c>
      <c r="V2646">
        <f t="shared" si="416"/>
        <v>1</v>
      </c>
      <c r="W2646">
        <f t="shared" si="417"/>
        <v>1</v>
      </c>
      <c r="X2646">
        <f t="shared" si="418"/>
        <v>0.99999999999999989</v>
      </c>
      <c r="Y2646" t="str">
        <f t="shared" si="419"/>
        <v>Healthy</v>
      </c>
    </row>
    <row r="2647" spans="1:25" x14ac:dyDescent="0.35">
      <c r="A2647" t="s">
        <v>90</v>
      </c>
      <c r="B2647" t="s">
        <v>404</v>
      </c>
      <c r="C2647" t="s">
        <v>405</v>
      </c>
      <c r="D2647" t="s">
        <v>1924</v>
      </c>
      <c r="E2647">
        <v>80869511</v>
      </c>
      <c r="F2647" t="s">
        <v>1925</v>
      </c>
      <c r="G2647" s="3">
        <v>46873</v>
      </c>
      <c r="H2647">
        <v>24</v>
      </c>
      <c r="I2647">
        <v>95</v>
      </c>
      <c r="J2647">
        <v>45</v>
      </c>
      <c r="K2647" s="4">
        <v>8561.7000000000007</v>
      </c>
      <c r="L2647" s="4">
        <v>1826.1428571428571</v>
      </c>
      <c r="M2647" s="4">
        <v>2.4642102792771649E-2</v>
      </c>
      <c r="N2647" t="s">
        <v>25</v>
      </c>
      <c r="O2647" t="str">
        <f t="shared" si="410"/>
        <v>Low</v>
      </c>
      <c r="P2647" t="str">
        <f t="shared" si="411"/>
        <v>Low</v>
      </c>
      <c r="Q2647" t="str">
        <f t="shared" si="412"/>
        <v>Low</v>
      </c>
      <c r="R2647" t="s">
        <v>3317</v>
      </c>
      <c r="S2647" s="4">
        <f t="shared" ca="1" si="413"/>
        <v>676</v>
      </c>
      <c r="T2647">
        <f t="shared" si="414"/>
        <v>1</v>
      </c>
      <c r="U2647">
        <f t="shared" si="415"/>
        <v>1</v>
      </c>
      <c r="V2647">
        <f t="shared" si="416"/>
        <v>1</v>
      </c>
      <c r="W2647">
        <f t="shared" si="417"/>
        <v>1</v>
      </c>
      <c r="X2647">
        <f t="shared" si="418"/>
        <v>0.99999999999999989</v>
      </c>
      <c r="Y2647" t="str">
        <f t="shared" si="419"/>
        <v>Healthy</v>
      </c>
    </row>
    <row r="2648" spans="1:25" x14ac:dyDescent="0.35">
      <c r="A2648" t="s">
        <v>29</v>
      </c>
      <c r="B2648" t="s">
        <v>30</v>
      </c>
      <c r="C2648" t="s">
        <v>449</v>
      </c>
      <c r="D2648" t="s">
        <v>1609</v>
      </c>
      <c r="E2648">
        <v>82316488</v>
      </c>
      <c r="F2648" t="s">
        <v>1926</v>
      </c>
      <c r="G2648" s="3">
        <v>46830</v>
      </c>
      <c r="H2648">
        <v>36</v>
      </c>
      <c r="I2648">
        <v>59</v>
      </c>
      <c r="J2648">
        <v>1</v>
      </c>
      <c r="K2648" s="4">
        <v>734.86</v>
      </c>
      <c r="L2648" s="4">
        <f>0</f>
        <v>0</v>
      </c>
      <c r="M2648" s="4">
        <f>999</f>
        <v>999</v>
      </c>
      <c r="N2648" t="s">
        <v>19</v>
      </c>
      <c r="O2648" t="str">
        <f t="shared" si="410"/>
        <v>Low</v>
      </c>
      <c r="P2648" t="str">
        <f t="shared" si="411"/>
        <v>High</v>
      </c>
      <c r="Q2648" t="str">
        <f t="shared" si="412"/>
        <v>High</v>
      </c>
      <c r="R2648" t="s">
        <v>3317</v>
      </c>
      <c r="S2648" s="4">
        <f t="shared" ca="1" si="413"/>
        <v>633</v>
      </c>
      <c r="T2648">
        <f t="shared" si="414"/>
        <v>1</v>
      </c>
      <c r="U2648">
        <f t="shared" si="415"/>
        <v>3</v>
      </c>
      <c r="V2648">
        <f t="shared" si="416"/>
        <v>3</v>
      </c>
      <c r="W2648">
        <f t="shared" si="417"/>
        <v>1</v>
      </c>
      <c r="X2648">
        <f t="shared" si="418"/>
        <v>2</v>
      </c>
      <c r="Y2648" t="str">
        <f t="shared" si="419"/>
        <v>Monitor</v>
      </c>
    </row>
    <row r="2649" spans="1:25" x14ac:dyDescent="0.35">
      <c r="A2649" t="s">
        <v>90</v>
      </c>
      <c r="B2649" t="s">
        <v>404</v>
      </c>
      <c r="C2649" t="s">
        <v>405</v>
      </c>
      <c r="D2649" t="s">
        <v>1924</v>
      </c>
      <c r="E2649">
        <v>80869511</v>
      </c>
      <c r="F2649" t="s">
        <v>1925</v>
      </c>
      <c r="G2649" s="3">
        <v>46870</v>
      </c>
      <c r="H2649">
        <v>24</v>
      </c>
      <c r="I2649">
        <v>94</v>
      </c>
      <c r="J2649">
        <v>87</v>
      </c>
      <c r="K2649" s="4">
        <v>16552.62</v>
      </c>
      <c r="L2649" s="4">
        <v>1826.1428571428571</v>
      </c>
      <c r="M2649" s="4">
        <v>4.764139873269186E-2</v>
      </c>
      <c r="N2649" t="s">
        <v>25</v>
      </c>
      <c r="O2649" t="str">
        <f t="shared" si="410"/>
        <v>Low</v>
      </c>
      <c r="P2649" t="str">
        <f t="shared" si="411"/>
        <v>Low</v>
      </c>
      <c r="Q2649" t="str">
        <f t="shared" si="412"/>
        <v>Low</v>
      </c>
      <c r="R2649" t="s">
        <v>3317</v>
      </c>
      <c r="S2649" s="4">
        <f t="shared" ca="1" si="413"/>
        <v>673</v>
      </c>
      <c r="T2649">
        <f t="shared" si="414"/>
        <v>1</v>
      </c>
      <c r="U2649">
        <f t="shared" si="415"/>
        <v>1</v>
      </c>
      <c r="V2649">
        <f t="shared" si="416"/>
        <v>1</v>
      </c>
      <c r="W2649">
        <f t="shared" si="417"/>
        <v>1</v>
      </c>
      <c r="X2649">
        <f t="shared" si="418"/>
        <v>0.99999999999999989</v>
      </c>
      <c r="Y2649" t="str">
        <f t="shared" si="419"/>
        <v>Healthy</v>
      </c>
    </row>
    <row r="2650" spans="1:25" x14ac:dyDescent="0.35">
      <c r="A2650" t="s">
        <v>29</v>
      </c>
      <c r="B2650" t="s">
        <v>30</v>
      </c>
      <c r="C2650" t="s">
        <v>449</v>
      </c>
      <c r="D2650" t="s">
        <v>1609</v>
      </c>
      <c r="E2650">
        <v>82316488</v>
      </c>
      <c r="F2650" t="s">
        <v>1926</v>
      </c>
      <c r="G2650" s="3">
        <v>46145</v>
      </c>
      <c r="H2650">
        <v>36</v>
      </c>
      <c r="I2650">
        <v>0</v>
      </c>
      <c r="J2650">
        <v>1</v>
      </c>
      <c r="K2650" s="4">
        <v>750.45</v>
      </c>
      <c r="L2650" s="4">
        <f>0</f>
        <v>0</v>
      </c>
      <c r="M2650" s="4">
        <f>999</f>
        <v>999</v>
      </c>
      <c r="N2650" t="s">
        <v>19</v>
      </c>
      <c r="O2650" t="str">
        <f t="shared" si="410"/>
        <v>High</v>
      </c>
      <c r="P2650" t="str">
        <f t="shared" si="411"/>
        <v>High</v>
      </c>
      <c r="Q2650" t="str">
        <f t="shared" si="412"/>
        <v>High</v>
      </c>
      <c r="R2650" t="s">
        <v>3317</v>
      </c>
      <c r="S2650" s="4">
        <f t="shared" ca="1" si="413"/>
        <v>-52</v>
      </c>
      <c r="T2650">
        <f t="shared" si="414"/>
        <v>3</v>
      </c>
      <c r="U2650">
        <f t="shared" si="415"/>
        <v>3</v>
      </c>
      <c r="V2650">
        <f t="shared" si="416"/>
        <v>3</v>
      </c>
      <c r="W2650">
        <f t="shared" si="417"/>
        <v>1</v>
      </c>
      <c r="X2650">
        <f t="shared" si="418"/>
        <v>2.8000000000000003</v>
      </c>
      <c r="Y2650" t="str">
        <f t="shared" si="419"/>
        <v>Move Immediately</v>
      </c>
    </row>
    <row r="2651" spans="1:25" x14ac:dyDescent="0.35">
      <c r="A2651" t="s">
        <v>29</v>
      </c>
      <c r="B2651" t="s">
        <v>30</v>
      </c>
      <c r="C2651" t="s">
        <v>449</v>
      </c>
      <c r="D2651" t="s">
        <v>1609</v>
      </c>
      <c r="E2651">
        <v>82316488</v>
      </c>
      <c r="F2651" t="s">
        <v>1926</v>
      </c>
      <c r="G2651" s="3">
        <v>45817</v>
      </c>
      <c r="H2651">
        <v>36</v>
      </c>
      <c r="I2651">
        <v>0</v>
      </c>
      <c r="J2651">
        <v>3</v>
      </c>
      <c r="K2651" s="4">
        <v>2251.35</v>
      </c>
      <c r="L2651" s="4">
        <f>0</f>
        <v>0</v>
      </c>
      <c r="M2651" s="4">
        <f>999</f>
        <v>999</v>
      </c>
      <c r="N2651" t="s">
        <v>19</v>
      </c>
      <c r="O2651" t="str">
        <f t="shared" si="410"/>
        <v>High</v>
      </c>
      <c r="P2651" t="str">
        <f t="shared" si="411"/>
        <v>High</v>
      </c>
      <c r="Q2651" t="str">
        <f t="shared" si="412"/>
        <v>High</v>
      </c>
      <c r="R2651" t="s">
        <v>3317</v>
      </c>
      <c r="S2651" s="4">
        <f t="shared" ca="1" si="413"/>
        <v>-380</v>
      </c>
      <c r="T2651">
        <f t="shared" si="414"/>
        <v>3</v>
      </c>
      <c r="U2651">
        <f t="shared" si="415"/>
        <v>3</v>
      </c>
      <c r="V2651">
        <f t="shared" si="416"/>
        <v>3</v>
      </c>
      <c r="W2651">
        <f t="shared" si="417"/>
        <v>1</v>
      </c>
      <c r="X2651">
        <f t="shared" si="418"/>
        <v>2.8000000000000003</v>
      </c>
      <c r="Y2651" t="str">
        <f t="shared" si="419"/>
        <v>Move Immediately</v>
      </c>
    </row>
    <row r="2652" spans="1:25" x14ac:dyDescent="0.35">
      <c r="A2652" t="s">
        <v>29</v>
      </c>
      <c r="B2652" t="s">
        <v>30</v>
      </c>
      <c r="C2652" t="s">
        <v>449</v>
      </c>
      <c r="D2652" t="s">
        <v>1609</v>
      </c>
      <c r="E2652">
        <v>82316488</v>
      </c>
      <c r="F2652" t="s">
        <v>1926</v>
      </c>
      <c r="G2652" s="3">
        <v>46139</v>
      </c>
      <c r="H2652">
        <v>36</v>
      </c>
      <c r="I2652">
        <v>0</v>
      </c>
      <c r="J2652">
        <v>1</v>
      </c>
      <c r="K2652" s="4">
        <v>750.45</v>
      </c>
      <c r="L2652" s="4">
        <f>0</f>
        <v>0</v>
      </c>
      <c r="M2652" s="4">
        <f>999</f>
        <v>999</v>
      </c>
      <c r="N2652" t="s">
        <v>19</v>
      </c>
      <c r="O2652" t="str">
        <f t="shared" si="410"/>
        <v>High</v>
      </c>
      <c r="P2652" t="str">
        <f t="shared" si="411"/>
        <v>High</v>
      </c>
      <c r="Q2652" t="str">
        <f t="shared" si="412"/>
        <v>High</v>
      </c>
      <c r="R2652" t="s">
        <v>3317</v>
      </c>
      <c r="S2652" s="4">
        <f t="shared" ca="1" si="413"/>
        <v>-58</v>
      </c>
      <c r="T2652">
        <f t="shared" si="414"/>
        <v>3</v>
      </c>
      <c r="U2652">
        <f t="shared" si="415"/>
        <v>3</v>
      </c>
      <c r="V2652">
        <f t="shared" si="416"/>
        <v>3</v>
      </c>
      <c r="W2652">
        <f t="shared" si="417"/>
        <v>1</v>
      </c>
      <c r="X2652">
        <f t="shared" si="418"/>
        <v>2.8000000000000003</v>
      </c>
      <c r="Y2652" t="str">
        <f t="shared" si="419"/>
        <v>Move Immediately</v>
      </c>
    </row>
    <row r="2653" spans="1:25" x14ac:dyDescent="0.35">
      <c r="A2653" t="s">
        <v>210</v>
      </c>
      <c r="B2653" t="s">
        <v>439</v>
      </c>
      <c r="C2653" t="s">
        <v>440</v>
      </c>
      <c r="D2653" t="s">
        <v>1927</v>
      </c>
      <c r="E2653">
        <v>80864296</v>
      </c>
      <c r="F2653" t="s">
        <v>1928</v>
      </c>
      <c r="G2653" s="3">
        <v>47944</v>
      </c>
      <c r="H2653">
        <v>60</v>
      </c>
      <c r="I2653">
        <v>97</v>
      </c>
      <c r="J2653">
        <v>15918</v>
      </c>
      <c r="K2653" s="4">
        <v>1327083.6599999999</v>
      </c>
      <c r="L2653" s="4">
        <v>65892.428571428565</v>
      </c>
      <c r="M2653" s="4">
        <v>0.24157555496295913</v>
      </c>
      <c r="N2653" t="s">
        <v>25</v>
      </c>
      <c r="O2653" t="str">
        <f t="shared" si="410"/>
        <v>Low</v>
      </c>
      <c r="P2653" t="str">
        <f t="shared" si="411"/>
        <v>Low</v>
      </c>
      <c r="Q2653" t="str">
        <f t="shared" si="412"/>
        <v>Low</v>
      </c>
      <c r="R2653" t="s">
        <v>3309</v>
      </c>
      <c r="S2653" s="4">
        <f t="shared" ca="1" si="413"/>
        <v>1747</v>
      </c>
      <c r="T2653">
        <f t="shared" si="414"/>
        <v>1</v>
      </c>
      <c r="U2653">
        <f t="shared" si="415"/>
        <v>1</v>
      </c>
      <c r="V2653">
        <f t="shared" si="416"/>
        <v>1</v>
      </c>
      <c r="W2653">
        <f t="shared" si="417"/>
        <v>3</v>
      </c>
      <c r="X2653">
        <f t="shared" si="418"/>
        <v>1.2</v>
      </c>
      <c r="Y2653" t="str">
        <f t="shared" si="419"/>
        <v>Healthy</v>
      </c>
    </row>
    <row r="2654" spans="1:25" x14ac:dyDescent="0.35">
      <c r="A2654" t="s">
        <v>210</v>
      </c>
      <c r="B2654" t="s">
        <v>439</v>
      </c>
      <c r="C2654" t="s">
        <v>440</v>
      </c>
      <c r="D2654" t="s">
        <v>1927</v>
      </c>
      <c r="E2654">
        <v>80864296</v>
      </c>
      <c r="F2654" t="s">
        <v>1928</v>
      </c>
      <c r="G2654" s="3">
        <v>47989</v>
      </c>
      <c r="H2654">
        <v>60</v>
      </c>
      <c r="I2654">
        <v>100</v>
      </c>
      <c r="J2654">
        <v>110</v>
      </c>
      <c r="K2654" s="4">
        <v>9170.7000000000007</v>
      </c>
      <c r="L2654" s="4">
        <v>65892.428571428565</v>
      </c>
      <c r="M2654" s="4">
        <v>1.6693875515721513E-3</v>
      </c>
      <c r="N2654" t="s">
        <v>25</v>
      </c>
      <c r="O2654" t="str">
        <f t="shared" si="410"/>
        <v>Low</v>
      </c>
      <c r="P2654" t="str">
        <f t="shared" si="411"/>
        <v>Low</v>
      </c>
      <c r="Q2654" t="str">
        <f t="shared" si="412"/>
        <v>Low</v>
      </c>
      <c r="R2654" t="s">
        <v>3317</v>
      </c>
      <c r="S2654" s="4">
        <f t="shared" ca="1" si="413"/>
        <v>1792</v>
      </c>
      <c r="T2654">
        <f t="shared" si="414"/>
        <v>1</v>
      </c>
      <c r="U2654">
        <f t="shared" si="415"/>
        <v>1</v>
      </c>
      <c r="V2654">
        <f t="shared" si="416"/>
        <v>1</v>
      </c>
      <c r="W2654">
        <f t="shared" si="417"/>
        <v>1</v>
      </c>
      <c r="X2654">
        <f t="shared" si="418"/>
        <v>0.99999999999999989</v>
      </c>
      <c r="Y2654" t="str">
        <f t="shared" si="419"/>
        <v>Healthy</v>
      </c>
    </row>
    <row r="2655" spans="1:25" x14ac:dyDescent="0.35">
      <c r="A2655" t="s">
        <v>14</v>
      </c>
      <c r="B2655" t="s">
        <v>115</v>
      </c>
      <c r="C2655" t="s">
        <v>904</v>
      </c>
      <c r="D2655" t="s">
        <v>1929</v>
      </c>
      <c r="E2655">
        <v>82323185</v>
      </c>
      <c r="F2655" t="s">
        <v>1930</v>
      </c>
      <c r="G2655" s="3">
        <v>46337</v>
      </c>
      <c r="H2655">
        <v>60</v>
      </c>
      <c r="I2655">
        <v>8</v>
      </c>
      <c r="J2655">
        <v>1</v>
      </c>
      <c r="K2655" s="4">
        <v>49.92</v>
      </c>
      <c r="L2655" s="4">
        <v>11.428571428571429</v>
      </c>
      <c r="M2655" s="4">
        <v>8.7499999999999994E-2</v>
      </c>
      <c r="N2655" t="s">
        <v>25</v>
      </c>
      <c r="O2655" t="str">
        <f t="shared" si="410"/>
        <v>High</v>
      </c>
      <c r="P2655" t="str">
        <f t="shared" si="411"/>
        <v>Low</v>
      </c>
      <c r="Q2655" t="str">
        <f t="shared" si="412"/>
        <v>Medium</v>
      </c>
      <c r="R2655" t="s">
        <v>3317</v>
      </c>
      <c r="S2655" s="4">
        <f t="shared" ca="1" si="413"/>
        <v>140</v>
      </c>
      <c r="T2655">
        <f t="shared" si="414"/>
        <v>3</v>
      </c>
      <c r="U2655">
        <f t="shared" si="415"/>
        <v>1</v>
      </c>
      <c r="V2655">
        <f t="shared" si="416"/>
        <v>2</v>
      </c>
      <c r="W2655">
        <f t="shared" si="417"/>
        <v>1</v>
      </c>
      <c r="X2655">
        <f t="shared" si="418"/>
        <v>2.0000000000000004</v>
      </c>
      <c r="Y2655" t="str">
        <f t="shared" si="419"/>
        <v>Monitor</v>
      </c>
    </row>
    <row r="2656" spans="1:25" x14ac:dyDescent="0.35">
      <c r="A2656" t="s">
        <v>210</v>
      </c>
      <c r="B2656" t="s">
        <v>439</v>
      </c>
      <c r="C2656" t="s">
        <v>440</v>
      </c>
      <c r="D2656" t="s">
        <v>1927</v>
      </c>
      <c r="E2656">
        <v>80864296</v>
      </c>
      <c r="F2656" t="s">
        <v>1928</v>
      </c>
      <c r="G2656" s="3">
        <v>47983</v>
      </c>
      <c r="H2656">
        <v>60</v>
      </c>
      <c r="I2656">
        <v>100</v>
      </c>
      <c r="J2656">
        <v>3131</v>
      </c>
      <c r="K2656" s="4">
        <v>261031.47</v>
      </c>
      <c r="L2656" s="4">
        <v>65892.428571428565</v>
      </c>
      <c r="M2656" s="4">
        <v>4.7516840217930963E-2</v>
      </c>
      <c r="N2656" t="s">
        <v>25</v>
      </c>
      <c r="O2656" t="str">
        <f t="shared" si="410"/>
        <v>Low</v>
      </c>
      <c r="P2656" t="str">
        <f t="shared" si="411"/>
        <v>Low</v>
      </c>
      <c r="Q2656" t="str">
        <f t="shared" si="412"/>
        <v>Low</v>
      </c>
      <c r="R2656" t="s">
        <v>3309</v>
      </c>
      <c r="S2656" s="4">
        <f t="shared" ca="1" si="413"/>
        <v>1786</v>
      </c>
      <c r="T2656">
        <f t="shared" si="414"/>
        <v>1</v>
      </c>
      <c r="U2656">
        <f t="shared" si="415"/>
        <v>1</v>
      </c>
      <c r="V2656">
        <f t="shared" si="416"/>
        <v>1</v>
      </c>
      <c r="W2656">
        <f t="shared" si="417"/>
        <v>3</v>
      </c>
      <c r="X2656">
        <f t="shared" si="418"/>
        <v>1.2</v>
      </c>
      <c r="Y2656" t="str">
        <f t="shared" si="419"/>
        <v>Healthy</v>
      </c>
    </row>
    <row r="2657" spans="1:25" x14ac:dyDescent="0.35">
      <c r="A2657" t="s">
        <v>29</v>
      </c>
      <c r="B2657" t="s">
        <v>30</v>
      </c>
      <c r="C2657" t="s">
        <v>391</v>
      </c>
      <c r="D2657" t="s">
        <v>997</v>
      </c>
      <c r="E2657">
        <v>80823581</v>
      </c>
      <c r="F2657" t="s">
        <v>1931</v>
      </c>
      <c r="G2657" s="3">
        <v>47168</v>
      </c>
      <c r="H2657">
        <v>36</v>
      </c>
      <c r="I2657">
        <v>90</v>
      </c>
      <c r="J2657">
        <v>96</v>
      </c>
      <c r="K2657" s="4">
        <v>35981.760000000002</v>
      </c>
      <c r="L2657" s="4">
        <v>545</v>
      </c>
      <c r="M2657" s="4">
        <v>0.1761467889908257</v>
      </c>
      <c r="N2657" t="s">
        <v>25</v>
      </c>
      <c r="O2657" t="str">
        <f t="shared" si="410"/>
        <v>Low</v>
      </c>
      <c r="P2657" t="str">
        <f t="shared" si="411"/>
        <v>Low</v>
      </c>
      <c r="Q2657" t="str">
        <f t="shared" si="412"/>
        <v>Low</v>
      </c>
      <c r="R2657" t="s">
        <v>3317</v>
      </c>
      <c r="S2657" s="4">
        <f t="shared" ca="1" si="413"/>
        <v>971</v>
      </c>
      <c r="T2657">
        <f t="shared" si="414"/>
        <v>1</v>
      </c>
      <c r="U2657">
        <f t="shared" si="415"/>
        <v>1</v>
      </c>
      <c r="V2657">
        <f t="shared" si="416"/>
        <v>1</v>
      </c>
      <c r="W2657">
        <f t="shared" si="417"/>
        <v>1</v>
      </c>
      <c r="X2657">
        <f t="shared" si="418"/>
        <v>0.99999999999999989</v>
      </c>
      <c r="Y2657" t="str">
        <f t="shared" si="419"/>
        <v>Healthy</v>
      </c>
    </row>
    <row r="2658" spans="1:25" x14ac:dyDescent="0.35">
      <c r="A2658" t="s">
        <v>29</v>
      </c>
      <c r="B2658" t="s">
        <v>30</v>
      </c>
      <c r="C2658" t="s">
        <v>391</v>
      </c>
      <c r="D2658" t="s">
        <v>997</v>
      </c>
      <c r="E2658">
        <v>80823581</v>
      </c>
      <c r="F2658" t="s">
        <v>1931</v>
      </c>
      <c r="G2658" s="3">
        <v>47209</v>
      </c>
      <c r="H2658">
        <v>36</v>
      </c>
      <c r="I2658">
        <v>94</v>
      </c>
      <c r="J2658">
        <v>216</v>
      </c>
      <c r="K2658" s="4">
        <v>80958.960000000006</v>
      </c>
      <c r="L2658" s="4">
        <v>545</v>
      </c>
      <c r="M2658" s="4">
        <v>0.39633027522935782</v>
      </c>
      <c r="N2658" t="s">
        <v>25</v>
      </c>
      <c r="O2658" t="str">
        <f t="shared" si="410"/>
        <v>Low</v>
      </c>
      <c r="P2658" t="str">
        <f t="shared" si="411"/>
        <v>Low</v>
      </c>
      <c r="Q2658" t="str">
        <f t="shared" si="412"/>
        <v>Low</v>
      </c>
      <c r="R2658" t="s">
        <v>3310</v>
      </c>
      <c r="S2658" s="4">
        <f t="shared" ca="1" si="413"/>
        <v>1012</v>
      </c>
      <c r="T2658">
        <f t="shared" si="414"/>
        <v>1</v>
      </c>
      <c r="U2658">
        <f t="shared" si="415"/>
        <v>1</v>
      </c>
      <c r="V2658">
        <f t="shared" si="416"/>
        <v>1</v>
      </c>
      <c r="W2658">
        <f t="shared" si="417"/>
        <v>2</v>
      </c>
      <c r="X2658">
        <f t="shared" si="418"/>
        <v>1.0999999999999999</v>
      </c>
      <c r="Y2658" t="str">
        <f t="shared" si="419"/>
        <v>Healthy</v>
      </c>
    </row>
    <row r="2659" spans="1:25" x14ac:dyDescent="0.35">
      <c r="A2659" t="s">
        <v>29</v>
      </c>
      <c r="B2659" t="s">
        <v>30</v>
      </c>
      <c r="C2659" t="s">
        <v>391</v>
      </c>
      <c r="D2659" t="s">
        <v>997</v>
      </c>
      <c r="E2659">
        <v>80823581</v>
      </c>
      <c r="F2659" t="s">
        <v>1931</v>
      </c>
      <c r="G2659" s="3">
        <v>47160</v>
      </c>
      <c r="H2659">
        <v>36</v>
      </c>
      <c r="I2659">
        <v>90</v>
      </c>
      <c r="J2659">
        <v>212</v>
      </c>
      <c r="K2659" s="4">
        <v>79459.72</v>
      </c>
      <c r="L2659" s="4">
        <v>545</v>
      </c>
      <c r="M2659" s="4">
        <v>0.38899082568807342</v>
      </c>
      <c r="N2659" t="s">
        <v>25</v>
      </c>
      <c r="O2659" t="str">
        <f t="shared" si="410"/>
        <v>Low</v>
      </c>
      <c r="P2659" t="str">
        <f t="shared" si="411"/>
        <v>Low</v>
      </c>
      <c r="Q2659" t="str">
        <f t="shared" si="412"/>
        <v>Low</v>
      </c>
      <c r="R2659" t="s">
        <v>3310</v>
      </c>
      <c r="S2659" s="4">
        <f t="shared" ca="1" si="413"/>
        <v>963</v>
      </c>
      <c r="T2659">
        <f t="shared" si="414"/>
        <v>1</v>
      </c>
      <c r="U2659">
        <f t="shared" si="415"/>
        <v>1</v>
      </c>
      <c r="V2659">
        <f t="shared" si="416"/>
        <v>1</v>
      </c>
      <c r="W2659">
        <f t="shared" si="417"/>
        <v>2</v>
      </c>
      <c r="X2659">
        <f t="shared" si="418"/>
        <v>1.0999999999999999</v>
      </c>
      <c r="Y2659" t="str">
        <f t="shared" si="419"/>
        <v>Healthy</v>
      </c>
    </row>
    <row r="2660" spans="1:25" x14ac:dyDescent="0.35">
      <c r="A2660" t="s">
        <v>29</v>
      </c>
      <c r="B2660" t="s">
        <v>30</v>
      </c>
      <c r="C2660" t="s">
        <v>391</v>
      </c>
      <c r="D2660" t="s">
        <v>997</v>
      </c>
      <c r="E2660">
        <v>80823581</v>
      </c>
      <c r="F2660" t="s">
        <v>1931</v>
      </c>
      <c r="G2660" s="3">
        <v>47095</v>
      </c>
      <c r="H2660">
        <v>36</v>
      </c>
      <c r="I2660">
        <v>84</v>
      </c>
      <c r="J2660">
        <v>57</v>
      </c>
      <c r="K2660" s="4">
        <v>21364.17</v>
      </c>
      <c r="L2660" s="4">
        <v>545</v>
      </c>
      <c r="M2660" s="4">
        <v>0.10458715596330276</v>
      </c>
      <c r="N2660" t="s">
        <v>25</v>
      </c>
      <c r="O2660" t="str">
        <f t="shared" si="410"/>
        <v>Low</v>
      </c>
      <c r="P2660" t="str">
        <f t="shared" si="411"/>
        <v>Low</v>
      </c>
      <c r="Q2660" t="str">
        <f t="shared" si="412"/>
        <v>Low</v>
      </c>
      <c r="R2660" t="s">
        <v>3317</v>
      </c>
      <c r="S2660" s="4">
        <f t="shared" ca="1" si="413"/>
        <v>898</v>
      </c>
      <c r="T2660">
        <f t="shared" si="414"/>
        <v>1</v>
      </c>
      <c r="U2660">
        <f t="shared" si="415"/>
        <v>1</v>
      </c>
      <c r="V2660">
        <f t="shared" si="416"/>
        <v>1</v>
      </c>
      <c r="W2660">
        <f t="shared" si="417"/>
        <v>1</v>
      </c>
      <c r="X2660">
        <f t="shared" si="418"/>
        <v>0.99999999999999989</v>
      </c>
      <c r="Y2660" t="str">
        <f t="shared" si="419"/>
        <v>Healthy</v>
      </c>
    </row>
    <row r="2661" spans="1:25" x14ac:dyDescent="0.35">
      <c r="A2661" t="s">
        <v>41</v>
      </c>
      <c r="B2661" t="s">
        <v>54</v>
      </c>
      <c r="C2661" t="s">
        <v>87</v>
      </c>
      <c r="D2661" t="s">
        <v>456</v>
      </c>
      <c r="E2661">
        <v>80872421</v>
      </c>
      <c r="F2661" t="s">
        <v>1932</v>
      </c>
      <c r="G2661" s="3">
        <v>46966</v>
      </c>
      <c r="H2661">
        <v>36</v>
      </c>
      <c r="I2661">
        <v>72</v>
      </c>
      <c r="J2661">
        <v>16</v>
      </c>
      <c r="K2661" s="4">
        <v>3281.28</v>
      </c>
      <c r="L2661" s="4">
        <v>77.142857142857139</v>
      </c>
      <c r="M2661" s="4">
        <v>0.20740740740740743</v>
      </c>
      <c r="N2661" t="s">
        <v>25</v>
      </c>
      <c r="O2661" t="str">
        <f t="shared" si="410"/>
        <v>Low</v>
      </c>
      <c r="P2661" t="str">
        <f t="shared" si="411"/>
        <v>Low</v>
      </c>
      <c r="Q2661" t="str">
        <f t="shared" si="412"/>
        <v>Low</v>
      </c>
      <c r="R2661" t="s">
        <v>3317</v>
      </c>
      <c r="S2661" s="4">
        <f t="shared" ca="1" si="413"/>
        <v>769</v>
      </c>
      <c r="T2661">
        <f t="shared" si="414"/>
        <v>1</v>
      </c>
      <c r="U2661">
        <f t="shared" si="415"/>
        <v>1</v>
      </c>
      <c r="V2661">
        <f t="shared" si="416"/>
        <v>1</v>
      </c>
      <c r="W2661">
        <f t="shared" si="417"/>
        <v>1</v>
      </c>
      <c r="X2661">
        <f t="shared" si="418"/>
        <v>0.99999999999999989</v>
      </c>
      <c r="Y2661" t="str">
        <f t="shared" si="419"/>
        <v>Healthy</v>
      </c>
    </row>
    <row r="2662" spans="1:25" x14ac:dyDescent="0.35">
      <c r="A2662" t="s">
        <v>189</v>
      </c>
      <c r="B2662" t="s">
        <v>539</v>
      </c>
      <c r="C2662" t="s">
        <v>539</v>
      </c>
      <c r="D2662" t="s">
        <v>1933</v>
      </c>
      <c r="E2662">
        <v>80862578</v>
      </c>
      <c r="F2662" t="s">
        <v>1934</v>
      </c>
      <c r="G2662" s="3">
        <v>46740</v>
      </c>
      <c r="H2662">
        <v>24</v>
      </c>
      <c r="I2662">
        <v>76</v>
      </c>
      <c r="J2662">
        <v>720</v>
      </c>
      <c r="K2662" s="4">
        <v>69213.600000000006</v>
      </c>
      <c r="L2662" s="4">
        <v>9484.7142857142862</v>
      </c>
      <c r="M2662" s="4">
        <v>7.591161718855903E-2</v>
      </c>
      <c r="N2662" t="s">
        <v>25</v>
      </c>
      <c r="O2662" t="str">
        <f t="shared" si="410"/>
        <v>Low</v>
      </c>
      <c r="P2662" t="str">
        <f t="shared" si="411"/>
        <v>Low</v>
      </c>
      <c r="Q2662" t="str">
        <f t="shared" si="412"/>
        <v>Low</v>
      </c>
      <c r="R2662" t="s">
        <v>3310</v>
      </c>
      <c r="S2662" s="4">
        <f t="shared" ca="1" si="413"/>
        <v>543</v>
      </c>
      <c r="T2662">
        <f t="shared" si="414"/>
        <v>1</v>
      </c>
      <c r="U2662">
        <f t="shared" si="415"/>
        <v>1</v>
      </c>
      <c r="V2662">
        <f t="shared" si="416"/>
        <v>1</v>
      </c>
      <c r="W2662">
        <f t="shared" si="417"/>
        <v>2</v>
      </c>
      <c r="X2662">
        <f t="shared" si="418"/>
        <v>1.0999999999999999</v>
      </c>
      <c r="Y2662" t="str">
        <f t="shared" si="419"/>
        <v>Healthy</v>
      </c>
    </row>
    <row r="2663" spans="1:25" x14ac:dyDescent="0.35">
      <c r="A2663" t="s">
        <v>71</v>
      </c>
      <c r="B2663" t="s">
        <v>72</v>
      </c>
      <c r="C2663" t="s">
        <v>174</v>
      </c>
      <c r="D2663" t="s">
        <v>175</v>
      </c>
      <c r="E2663">
        <v>80878831</v>
      </c>
      <c r="F2663" t="s">
        <v>1935</v>
      </c>
      <c r="G2663" s="3">
        <v>47018</v>
      </c>
      <c r="H2663">
        <v>36</v>
      </c>
      <c r="I2663">
        <v>76</v>
      </c>
      <c r="J2663">
        <v>7</v>
      </c>
      <c r="K2663" s="4">
        <v>7274.19</v>
      </c>
      <c r="L2663" s="4">
        <v>1.1428571428571428</v>
      </c>
      <c r="M2663" s="4">
        <v>6.125</v>
      </c>
      <c r="N2663" t="s">
        <v>19</v>
      </c>
      <c r="O2663" t="str">
        <f t="shared" si="410"/>
        <v>Low</v>
      </c>
      <c r="P2663" t="str">
        <f t="shared" si="411"/>
        <v>Medium</v>
      </c>
      <c r="Q2663" t="str">
        <f t="shared" si="412"/>
        <v>High</v>
      </c>
      <c r="R2663" t="s">
        <v>3317</v>
      </c>
      <c r="S2663" s="4">
        <f t="shared" ca="1" si="413"/>
        <v>821</v>
      </c>
      <c r="T2663">
        <f t="shared" si="414"/>
        <v>1</v>
      </c>
      <c r="U2663">
        <f t="shared" si="415"/>
        <v>2</v>
      </c>
      <c r="V2663">
        <f t="shared" si="416"/>
        <v>3</v>
      </c>
      <c r="W2663">
        <f t="shared" si="417"/>
        <v>1</v>
      </c>
      <c r="X2663">
        <f t="shared" si="418"/>
        <v>1.7000000000000002</v>
      </c>
      <c r="Y2663" t="str">
        <f t="shared" si="419"/>
        <v>Monitor</v>
      </c>
    </row>
    <row r="2664" spans="1:25" x14ac:dyDescent="0.35">
      <c r="A2664" t="s">
        <v>71</v>
      </c>
      <c r="B2664" t="s">
        <v>72</v>
      </c>
      <c r="C2664" t="s">
        <v>174</v>
      </c>
      <c r="D2664" t="s">
        <v>175</v>
      </c>
      <c r="E2664">
        <v>80878831</v>
      </c>
      <c r="F2664" t="s">
        <v>1935</v>
      </c>
      <c r="G2664" s="3">
        <v>47015</v>
      </c>
      <c r="H2664">
        <v>36</v>
      </c>
      <c r="I2664">
        <v>76</v>
      </c>
      <c r="J2664">
        <v>1</v>
      </c>
      <c r="K2664" s="4">
        <v>1039.17</v>
      </c>
      <c r="L2664" s="4">
        <v>1.1428571428571428</v>
      </c>
      <c r="M2664" s="4">
        <v>0.875</v>
      </c>
      <c r="N2664" t="s">
        <v>25</v>
      </c>
      <c r="O2664" t="str">
        <f t="shared" si="410"/>
        <v>Low</v>
      </c>
      <c r="P2664" t="str">
        <f t="shared" si="411"/>
        <v>Low</v>
      </c>
      <c r="Q2664" t="str">
        <f t="shared" si="412"/>
        <v>High</v>
      </c>
      <c r="R2664" t="s">
        <v>3317</v>
      </c>
      <c r="S2664" s="4">
        <f t="shared" ca="1" si="413"/>
        <v>818</v>
      </c>
      <c r="T2664">
        <f t="shared" si="414"/>
        <v>1</v>
      </c>
      <c r="U2664">
        <f t="shared" si="415"/>
        <v>1</v>
      </c>
      <c r="V2664">
        <f t="shared" si="416"/>
        <v>3</v>
      </c>
      <c r="W2664">
        <f t="shared" si="417"/>
        <v>1</v>
      </c>
      <c r="X2664">
        <f t="shared" si="418"/>
        <v>1.4000000000000001</v>
      </c>
      <c r="Y2664" t="str">
        <f t="shared" si="419"/>
        <v>Healthy</v>
      </c>
    </row>
    <row r="2665" spans="1:25" x14ac:dyDescent="0.35">
      <c r="A2665" t="s">
        <v>71</v>
      </c>
      <c r="B2665" t="s">
        <v>72</v>
      </c>
      <c r="C2665" t="s">
        <v>174</v>
      </c>
      <c r="D2665" t="s">
        <v>748</v>
      </c>
      <c r="E2665">
        <v>82327019</v>
      </c>
      <c r="F2665" t="s">
        <v>1936</v>
      </c>
      <c r="G2665" s="3">
        <v>47020</v>
      </c>
      <c r="H2665">
        <v>36</v>
      </c>
      <c r="I2665">
        <v>77</v>
      </c>
      <c r="J2665">
        <v>12</v>
      </c>
      <c r="K2665" s="4">
        <v>3005.16</v>
      </c>
      <c r="L2665" s="4">
        <f>0</f>
        <v>0</v>
      </c>
      <c r="M2665" s="4">
        <f>999</f>
        <v>999</v>
      </c>
      <c r="N2665" t="s">
        <v>19</v>
      </c>
      <c r="O2665" t="str">
        <f t="shared" si="410"/>
        <v>Low</v>
      </c>
      <c r="P2665" t="str">
        <f t="shared" si="411"/>
        <v>High</v>
      </c>
      <c r="Q2665" t="str">
        <f t="shared" si="412"/>
        <v>High</v>
      </c>
      <c r="R2665" t="s">
        <v>3317</v>
      </c>
      <c r="S2665" s="4">
        <f t="shared" ca="1" si="413"/>
        <v>823</v>
      </c>
      <c r="T2665">
        <f t="shared" si="414"/>
        <v>1</v>
      </c>
      <c r="U2665">
        <f t="shared" si="415"/>
        <v>3</v>
      </c>
      <c r="V2665">
        <f t="shared" si="416"/>
        <v>3</v>
      </c>
      <c r="W2665">
        <f t="shared" si="417"/>
        <v>1</v>
      </c>
      <c r="X2665">
        <f t="shared" si="418"/>
        <v>2</v>
      </c>
      <c r="Y2665" t="str">
        <f t="shared" si="419"/>
        <v>Monitor</v>
      </c>
    </row>
    <row r="2666" spans="1:25" x14ac:dyDescent="0.35">
      <c r="A2666" t="s">
        <v>29</v>
      </c>
      <c r="B2666" t="s">
        <v>30</v>
      </c>
      <c r="C2666" t="s">
        <v>1937</v>
      </c>
      <c r="D2666" t="s">
        <v>1938</v>
      </c>
      <c r="E2666">
        <v>80823575</v>
      </c>
      <c r="F2666" t="s">
        <v>1939</v>
      </c>
      <c r="G2666" s="3">
        <v>47145</v>
      </c>
      <c r="H2666">
        <v>36</v>
      </c>
      <c r="I2666">
        <v>88</v>
      </c>
      <c r="J2666">
        <v>22</v>
      </c>
      <c r="K2666" s="4">
        <v>7804.94</v>
      </c>
      <c r="L2666" s="4">
        <v>331.71428571428572</v>
      </c>
      <c r="M2666" s="4">
        <v>6.6322136089577946E-2</v>
      </c>
      <c r="N2666" t="s">
        <v>25</v>
      </c>
      <c r="O2666" t="str">
        <f t="shared" si="410"/>
        <v>Low</v>
      </c>
      <c r="P2666" t="str">
        <f t="shared" si="411"/>
        <v>Low</v>
      </c>
      <c r="Q2666" t="str">
        <f t="shared" si="412"/>
        <v>Low</v>
      </c>
      <c r="R2666" t="s">
        <v>3317</v>
      </c>
      <c r="S2666" s="4">
        <f t="shared" ca="1" si="413"/>
        <v>948</v>
      </c>
      <c r="T2666">
        <f t="shared" si="414"/>
        <v>1</v>
      </c>
      <c r="U2666">
        <f t="shared" si="415"/>
        <v>1</v>
      </c>
      <c r="V2666">
        <f t="shared" si="416"/>
        <v>1</v>
      </c>
      <c r="W2666">
        <f t="shared" si="417"/>
        <v>1</v>
      </c>
      <c r="X2666">
        <f t="shared" si="418"/>
        <v>0.99999999999999989</v>
      </c>
      <c r="Y2666" t="str">
        <f t="shared" si="419"/>
        <v>Healthy</v>
      </c>
    </row>
    <row r="2667" spans="1:25" x14ac:dyDescent="0.35">
      <c r="A2667" t="s">
        <v>29</v>
      </c>
      <c r="B2667" t="s">
        <v>30</v>
      </c>
      <c r="C2667" t="s">
        <v>1937</v>
      </c>
      <c r="D2667" t="s">
        <v>1938</v>
      </c>
      <c r="E2667">
        <v>80823575</v>
      </c>
      <c r="F2667" t="s">
        <v>1939</v>
      </c>
      <c r="G2667" s="3">
        <v>47227</v>
      </c>
      <c r="H2667">
        <v>36</v>
      </c>
      <c r="I2667">
        <v>96</v>
      </c>
      <c r="J2667">
        <v>24</v>
      </c>
      <c r="K2667" s="4">
        <v>8514.48</v>
      </c>
      <c r="L2667" s="4">
        <v>331.71428571428572</v>
      </c>
      <c r="M2667" s="4">
        <v>7.2351421188630485E-2</v>
      </c>
      <c r="N2667" t="s">
        <v>25</v>
      </c>
      <c r="O2667" t="str">
        <f t="shared" si="410"/>
        <v>Low</v>
      </c>
      <c r="P2667" t="str">
        <f t="shared" si="411"/>
        <v>Low</v>
      </c>
      <c r="Q2667" t="str">
        <f t="shared" si="412"/>
        <v>Low</v>
      </c>
      <c r="R2667" t="s">
        <v>3317</v>
      </c>
      <c r="S2667" s="4">
        <f t="shared" ca="1" si="413"/>
        <v>1030</v>
      </c>
      <c r="T2667">
        <f t="shared" si="414"/>
        <v>1</v>
      </c>
      <c r="U2667">
        <f t="shared" si="415"/>
        <v>1</v>
      </c>
      <c r="V2667">
        <f t="shared" si="416"/>
        <v>1</v>
      </c>
      <c r="W2667">
        <f t="shared" si="417"/>
        <v>1</v>
      </c>
      <c r="X2667">
        <f t="shared" si="418"/>
        <v>0.99999999999999989</v>
      </c>
      <c r="Y2667" t="str">
        <f t="shared" si="419"/>
        <v>Healthy</v>
      </c>
    </row>
    <row r="2668" spans="1:25" x14ac:dyDescent="0.35">
      <c r="A2668" t="s">
        <v>29</v>
      </c>
      <c r="B2668" t="s">
        <v>30</v>
      </c>
      <c r="C2668" t="s">
        <v>1937</v>
      </c>
      <c r="D2668" t="s">
        <v>1938</v>
      </c>
      <c r="E2668">
        <v>80823575</v>
      </c>
      <c r="F2668" t="s">
        <v>1939</v>
      </c>
      <c r="G2668" s="3">
        <v>47158</v>
      </c>
      <c r="H2668">
        <v>36</v>
      </c>
      <c r="I2668">
        <v>89</v>
      </c>
      <c r="J2668">
        <v>83</v>
      </c>
      <c r="K2668" s="4">
        <v>29445.91</v>
      </c>
      <c r="L2668" s="4">
        <v>331.71428571428572</v>
      </c>
      <c r="M2668" s="4">
        <v>0.25021533161068044</v>
      </c>
      <c r="N2668" t="s">
        <v>25</v>
      </c>
      <c r="O2668" t="str">
        <f t="shared" si="410"/>
        <v>Low</v>
      </c>
      <c r="P2668" t="str">
        <f t="shared" si="411"/>
        <v>Low</v>
      </c>
      <c r="Q2668" t="str">
        <f t="shared" si="412"/>
        <v>Low</v>
      </c>
      <c r="R2668" t="s">
        <v>3317</v>
      </c>
      <c r="S2668" s="4">
        <f t="shared" ca="1" si="413"/>
        <v>961</v>
      </c>
      <c r="T2668">
        <f t="shared" si="414"/>
        <v>1</v>
      </c>
      <c r="U2668">
        <f t="shared" si="415"/>
        <v>1</v>
      </c>
      <c r="V2668">
        <f t="shared" si="416"/>
        <v>1</v>
      </c>
      <c r="W2668">
        <f t="shared" si="417"/>
        <v>1</v>
      </c>
      <c r="X2668">
        <f t="shared" si="418"/>
        <v>0.99999999999999989</v>
      </c>
      <c r="Y2668" t="str">
        <f t="shared" si="419"/>
        <v>Healthy</v>
      </c>
    </row>
    <row r="2669" spans="1:25" x14ac:dyDescent="0.35">
      <c r="A2669" t="s">
        <v>29</v>
      </c>
      <c r="B2669" t="s">
        <v>30</v>
      </c>
      <c r="C2669" t="s">
        <v>1937</v>
      </c>
      <c r="D2669" t="s">
        <v>1938</v>
      </c>
      <c r="E2669">
        <v>80823575</v>
      </c>
      <c r="F2669" t="s">
        <v>1939</v>
      </c>
      <c r="G2669" s="3">
        <v>47158</v>
      </c>
      <c r="H2669">
        <v>36</v>
      </c>
      <c r="I2669">
        <v>89</v>
      </c>
      <c r="J2669">
        <v>36</v>
      </c>
      <c r="K2669" s="4">
        <v>12771.72</v>
      </c>
      <c r="L2669" s="4">
        <v>331.71428571428572</v>
      </c>
      <c r="M2669" s="4">
        <v>0.10852713178294573</v>
      </c>
      <c r="N2669" t="s">
        <v>25</v>
      </c>
      <c r="O2669" t="str">
        <f t="shared" si="410"/>
        <v>Low</v>
      </c>
      <c r="P2669" t="str">
        <f t="shared" si="411"/>
        <v>Low</v>
      </c>
      <c r="Q2669" t="str">
        <f t="shared" si="412"/>
        <v>Low</v>
      </c>
      <c r="R2669" t="s">
        <v>3317</v>
      </c>
      <c r="S2669" s="4">
        <f t="shared" ca="1" si="413"/>
        <v>961</v>
      </c>
      <c r="T2669">
        <f t="shared" si="414"/>
        <v>1</v>
      </c>
      <c r="U2669">
        <f t="shared" si="415"/>
        <v>1</v>
      </c>
      <c r="V2669">
        <f t="shared" si="416"/>
        <v>1</v>
      </c>
      <c r="W2669">
        <f t="shared" si="417"/>
        <v>1</v>
      </c>
      <c r="X2669">
        <f t="shared" si="418"/>
        <v>0.99999999999999989</v>
      </c>
      <c r="Y2669" t="str">
        <f t="shared" si="419"/>
        <v>Healthy</v>
      </c>
    </row>
    <row r="2670" spans="1:25" x14ac:dyDescent="0.35">
      <c r="A2670" t="s">
        <v>29</v>
      </c>
      <c r="B2670" t="s">
        <v>30</v>
      </c>
      <c r="C2670" t="s">
        <v>1937</v>
      </c>
      <c r="D2670" t="s">
        <v>1938</v>
      </c>
      <c r="E2670">
        <v>80823575</v>
      </c>
      <c r="F2670" t="s">
        <v>1939</v>
      </c>
      <c r="G2670" s="3">
        <v>47200</v>
      </c>
      <c r="H2670">
        <v>36</v>
      </c>
      <c r="I2670">
        <v>93</v>
      </c>
      <c r="J2670">
        <v>48</v>
      </c>
      <c r="K2670" s="4">
        <v>17028.96</v>
      </c>
      <c r="L2670" s="4">
        <v>331.71428571428572</v>
      </c>
      <c r="M2670" s="4">
        <v>0.14470284237726097</v>
      </c>
      <c r="N2670" t="s">
        <v>25</v>
      </c>
      <c r="O2670" t="str">
        <f t="shared" si="410"/>
        <v>Low</v>
      </c>
      <c r="P2670" t="str">
        <f t="shared" si="411"/>
        <v>Low</v>
      </c>
      <c r="Q2670" t="str">
        <f t="shared" si="412"/>
        <v>Low</v>
      </c>
      <c r="R2670" t="s">
        <v>3317</v>
      </c>
      <c r="S2670" s="4">
        <f t="shared" ca="1" si="413"/>
        <v>1003</v>
      </c>
      <c r="T2670">
        <f t="shared" si="414"/>
        <v>1</v>
      </c>
      <c r="U2670">
        <f t="shared" si="415"/>
        <v>1</v>
      </c>
      <c r="V2670">
        <f t="shared" si="416"/>
        <v>1</v>
      </c>
      <c r="W2670">
        <f t="shared" si="417"/>
        <v>1</v>
      </c>
      <c r="X2670">
        <f t="shared" si="418"/>
        <v>0.99999999999999989</v>
      </c>
      <c r="Y2670" t="str">
        <f t="shared" si="419"/>
        <v>Healthy</v>
      </c>
    </row>
    <row r="2671" spans="1:25" x14ac:dyDescent="0.35">
      <c r="A2671" t="s">
        <v>29</v>
      </c>
      <c r="B2671" t="s">
        <v>30</v>
      </c>
      <c r="C2671" t="s">
        <v>1937</v>
      </c>
      <c r="D2671" t="s">
        <v>1938</v>
      </c>
      <c r="E2671">
        <v>80823575</v>
      </c>
      <c r="F2671" t="s">
        <v>1939</v>
      </c>
      <c r="G2671" s="3">
        <v>47134</v>
      </c>
      <c r="H2671">
        <v>36</v>
      </c>
      <c r="I2671">
        <v>87</v>
      </c>
      <c r="J2671">
        <v>26</v>
      </c>
      <c r="K2671" s="4">
        <v>9224.02</v>
      </c>
      <c r="L2671" s="4">
        <v>331.71428571428572</v>
      </c>
      <c r="M2671" s="4">
        <v>7.8380706287683025E-2</v>
      </c>
      <c r="N2671" t="s">
        <v>25</v>
      </c>
      <c r="O2671" t="str">
        <f t="shared" si="410"/>
        <v>Low</v>
      </c>
      <c r="P2671" t="str">
        <f t="shared" si="411"/>
        <v>Low</v>
      </c>
      <c r="Q2671" t="str">
        <f t="shared" si="412"/>
        <v>Low</v>
      </c>
      <c r="R2671" t="s">
        <v>3317</v>
      </c>
      <c r="S2671" s="4">
        <f t="shared" ca="1" si="413"/>
        <v>937</v>
      </c>
      <c r="T2671">
        <f t="shared" si="414"/>
        <v>1</v>
      </c>
      <c r="U2671">
        <f t="shared" si="415"/>
        <v>1</v>
      </c>
      <c r="V2671">
        <f t="shared" si="416"/>
        <v>1</v>
      </c>
      <c r="W2671">
        <f t="shared" si="417"/>
        <v>1</v>
      </c>
      <c r="X2671">
        <f t="shared" si="418"/>
        <v>0.99999999999999989</v>
      </c>
      <c r="Y2671" t="str">
        <f t="shared" si="419"/>
        <v>Healthy</v>
      </c>
    </row>
    <row r="2672" spans="1:25" x14ac:dyDescent="0.35">
      <c r="A2672" t="s">
        <v>29</v>
      </c>
      <c r="B2672" t="s">
        <v>30</v>
      </c>
      <c r="C2672" t="s">
        <v>1937</v>
      </c>
      <c r="D2672" t="s">
        <v>1938</v>
      </c>
      <c r="E2672">
        <v>80823575</v>
      </c>
      <c r="F2672" t="s">
        <v>1939</v>
      </c>
      <c r="G2672" s="3">
        <v>47145</v>
      </c>
      <c r="H2672">
        <v>36</v>
      </c>
      <c r="I2672">
        <v>88</v>
      </c>
      <c r="J2672">
        <v>25</v>
      </c>
      <c r="K2672" s="4">
        <v>8869.25</v>
      </c>
      <c r="L2672" s="4">
        <v>331.71428571428572</v>
      </c>
      <c r="M2672" s="4">
        <v>7.5366063738156755E-2</v>
      </c>
      <c r="N2672" t="s">
        <v>25</v>
      </c>
      <c r="O2672" t="str">
        <f t="shared" si="410"/>
        <v>Low</v>
      </c>
      <c r="P2672" t="str">
        <f t="shared" si="411"/>
        <v>Low</v>
      </c>
      <c r="Q2672" t="str">
        <f t="shared" si="412"/>
        <v>Low</v>
      </c>
      <c r="R2672" t="s">
        <v>3317</v>
      </c>
      <c r="S2672" s="4">
        <f t="shared" ca="1" si="413"/>
        <v>948</v>
      </c>
      <c r="T2672">
        <f t="shared" si="414"/>
        <v>1</v>
      </c>
      <c r="U2672">
        <f t="shared" si="415"/>
        <v>1</v>
      </c>
      <c r="V2672">
        <f t="shared" si="416"/>
        <v>1</v>
      </c>
      <c r="W2672">
        <f t="shared" si="417"/>
        <v>1</v>
      </c>
      <c r="X2672">
        <f t="shared" si="418"/>
        <v>0.99999999999999989</v>
      </c>
      <c r="Y2672" t="str">
        <f t="shared" si="419"/>
        <v>Healthy</v>
      </c>
    </row>
    <row r="2673" spans="1:25" x14ac:dyDescent="0.35">
      <c r="A2673" t="s">
        <v>29</v>
      </c>
      <c r="B2673" t="s">
        <v>30</v>
      </c>
      <c r="C2673" t="s">
        <v>1937</v>
      </c>
      <c r="D2673" t="s">
        <v>1938</v>
      </c>
      <c r="E2673">
        <v>80823575</v>
      </c>
      <c r="F2673" t="s">
        <v>1939</v>
      </c>
      <c r="G2673" s="3">
        <v>47168</v>
      </c>
      <c r="H2673">
        <v>36</v>
      </c>
      <c r="I2673">
        <v>90</v>
      </c>
      <c r="J2673">
        <v>64</v>
      </c>
      <c r="K2673" s="4">
        <v>22705.279999999999</v>
      </c>
      <c r="L2673" s="4">
        <v>331.71428571428572</v>
      </c>
      <c r="M2673" s="4">
        <v>0.19293712316968131</v>
      </c>
      <c r="N2673" t="s">
        <v>25</v>
      </c>
      <c r="O2673" t="str">
        <f t="shared" si="410"/>
        <v>Low</v>
      </c>
      <c r="P2673" t="str">
        <f t="shared" si="411"/>
        <v>Low</v>
      </c>
      <c r="Q2673" t="str">
        <f t="shared" si="412"/>
        <v>Low</v>
      </c>
      <c r="R2673" t="s">
        <v>3317</v>
      </c>
      <c r="S2673" s="4">
        <f t="shared" ca="1" si="413"/>
        <v>971</v>
      </c>
      <c r="T2673">
        <f t="shared" si="414"/>
        <v>1</v>
      </c>
      <c r="U2673">
        <f t="shared" si="415"/>
        <v>1</v>
      </c>
      <c r="V2673">
        <f t="shared" si="416"/>
        <v>1</v>
      </c>
      <c r="W2673">
        <f t="shared" si="417"/>
        <v>1</v>
      </c>
      <c r="X2673">
        <f t="shared" si="418"/>
        <v>0.99999999999999989</v>
      </c>
      <c r="Y2673" t="str">
        <f t="shared" si="419"/>
        <v>Healthy</v>
      </c>
    </row>
    <row r="2674" spans="1:25" x14ac:dyDescent="0.35">
      <c r="A2674" t="s">
        <v>41</v>
      </c>
      <c r="B2674" t="s">
        <v>80</v>
      </c>
      <c r="C2674" t="s">
        <v>81</v>
      </c>
      <c r="D2674" t="s">
        <v>1291</v>
      </c>
      <c r="E2674">
        <v>80853936</v>
      </c>
      <c r="F2674" t="s">
        <v>1940</v>
      </c>
      <c r="G2674" s="3">
        <v>47020</v>
      </c>
      <c r="H2674">
        <v>36</v>
      </c>
      <c r="I2674">
        <v>77</v>
      </c>
      <c r="J2674">
        <v>66</v>
      </c>
      <c r="K2674" s="4">
        <v>21911.34</v>
      </c>
      <c r="L2674" s="4">
        <f>0</f>
        <v>0</v>
      </c>
      <c r="M2674" s="4">
        <f>999</f>
        <v>999</v>
      </c>
      <c r="N2674" t="s">
        <v>19</v>
      </c>
      <c r="O2674" t="str">
        <f t="shared" si="410"/>
        <v>Low</v>
      </c>
      <c r="P2674" t="str">
        <f t="shared" si="411"/>
        <v>High</v>
      </c>
      <c r="Q2674" t="str">
        <f t="shared" si="412"/>
        <v>High</v>
      </c>
      <c r="R2674" t="s">
        <v>3317</v>
      </c>
      <c r="S2674" s="4">
        <f t="shared" ca="1" si="413"/>
        <v>823</v>
      </c>
      <c r="T2674">
        <f t="shared" si="414"/>
        <v>1</v>
      </c>
      <c r="U2674">
        <f t="shared" si="415"/>
        <v>3</v>
      </c>
      <c r="V2674">
        <f t="shared" si="416"/>
        <v>3</v>
      </c>
      <c r="W2674">
        <f t="shared" si="417"/>
        <v>1</v>
      </c>
      <c r="X2674">
        <f t="shared" si="418"/>
        <v>2</v>
      </c>
      <c r="Y2674" t="str">
        <f t="shared" si="419"/>
        <v>Monitor</v>
      </c>
    </row>
    <row r="2675" spans="1:25" x14ac:dyDescent="0.35">
      <c r="A2675" t="s">
        <v>179</v>
      </c>
      <c r="B2675" t="s">
        <v>223</v>
      </c>
      <c r="C2675" t="s">
        <v>357</v>
      </c>
      <c r="D2675" t="s">
        <v>1941</v>
      </c>
      <c r="E2675">
        <v>80868349</v>
      </c>
      <c r="F2675" t="s">
        <v>1942</v>
      </c>
      <c r="G2675" s="3">
        <v>46418</v>
      </c>
      <c r="H2675">
        <v>18</v>
      </c>
      <c r="I2675">
        <v>42</v>
      </c>
      <c r="J2675">
        <v>1</v>
      </c>
      <c r="K2675" s="4">
        <v>871.08</v>
      </c>
      <c r="L2675" s="4">
        <v>0.42857142857142855</v>
      </c>
      <c r="M2675" s="4">
        <v>2.3333333333333335</v>
      </c>
      <c r="N2675" t="s">
        <v>25</v>
      </c>
      <c r="O2675" t="str">
        <f t="shared" si="410"/>
        <v>Low</v>
      </c>
      <c r="P2675" t="str">
        <f t="shared" si="411"/>
        <v>Low</v>
      </c>
      <c r="Q2675" t="str">
        <f t="shared" si="412"/>
        <v>High</v>
      </c>
      <c r="R2675" t="s">
        <v>3317</v>
      </c>
      <c r="S2675" s="4">
        <f t="shared" ca="1" si="413"/>
        <v>221</v>
      </c>
      <c r="T2675">
        <f t="shared" si="414"/>
        <v>1</v>
      </c>
      <c r="U2675">
        <f t="shared" si="415"/>
        <v>1</v>
      </c>
      <c r="V2675">
        <f t="shared" si="416"/>
        <v>3</v>
      </c>
      <c r="W2675">
        <f t="shared" si="417"/>
        <v>1</v>
      </c>
      <c r="X2675">
        <f t="shared" si="418"/>
        <v>1.4000000000000001</v>
      </c>
      <c r="Y2675" t="str">
        <f t="shared" si="419"/>
        <v>Healthy</v>
      </c>
    </row>
    <row r="2676" spans="1:25" x14ac:dyDescent="0.35">
      <c r="A2676" t="s">
        <v>90</v>
      </c>
      <c r="B2676" t="s">
        <v>217</v>
      </c>
      <c r="C2676" t="s">
        <v>239</v>
      </c>
      <c r="D2676" t="s">
        <v>1943</v>
      </c>
      <c r="E2676">
        <v>80687268</v>
      </c>
      <c r="F2676" t="s">
        <v>1944</v>
      </c>
      <c r="G2676" s="3">
        <v>45696</v>
      </c>
      <c r="H2676">
        <v>24</v>
      </c>
      <c r="I2676">
        <v>0</v>
      </c>
      <c r="J2676">
        <v>21</v>
      </c>
      <c r="K2676" s="4">
        <v>1362.06</v>
      </c>
      <c r="L2676" s="4">
        <f>0</f>
        <v>0</v>
      </c>
      <c r="M2676" s="4">
        <f>999</f>
        <v>999</v>
      </c>
      <c r="N2676" t="s">
        <v>19</v>
      </c>
      <c r="O2676" t="str">
        <f t="shared" si="410"/>
        <v>High</v>
      </c>
      <c r="P2676" t="str">
        <f t="shared" si="411"/>
        <v>High</v>
      </c>
      <c r="Q2676" t="str">
        <f t="shared" si="412"/>
        <v>High</v>
      </c>
      <c r="R2676" t="s">
        <v>3317</v>
      </c>
      <c r="S2676" s="4">
        <f t="shared" ca="1" si="413"/>
        <v>-501</v>
      </c>
      <c r="T2676">
        <f t="shared" si="414"/>
        <v>3</v>
      </c>
      <c r="U2676">
        <f t="shared" si="415"/>
        <v>3</v>
      </c>
      <c r="V2676">
        <f t="shared" si="416"/>
        <v>3</v>
      </c>
      <c r="W2676">
        <f t="shared" si="417"/>
        <v>1</v>
      </c>
      <c r="X2676">
        <f t="shared" si="418"/>
        <v>2.8000000000000003</v>
      </c>
      <c r="Y2676" t="str">
        <f t="shared" si="419"/>
        <v>Move Immediately</v>
      </c>
    </row>
    <row r="2677" spans="1:25" x14ac:dyDescent="0.35">
      <c r="A2677" t="s">
        <v>179</v>
      </c>
      <c r="B2677" t="s">
        <v>223</v>
      </c>
      <c r="C2677" t="s">
        <v>357</v>
      </c>
      <c r="D2677" t="s">
        <v>1941</v>
      </c>
      <c r="E2677">
        <v>80868349</v>
      </c>
      <c r="F2677" t="s">
        <v>1942</v>
      </c>
      <c r="G2677" s="3">
        <v>46583</v>
      </c>
      <c r="H2677">
        <v>18</v>
      </c>
      <c r="I2677">
        <v>72</v>
      </c>
      <c r="J2677">
        <v>2</v>
      </c>
      <c r="K2677" s="4">
        <v>1742.16</v>
      </c>
      <c r="L2677" s="4">
        <v>0.42857142857142855</v>
      </c>
      <c r="M2677" s="4">
        <v>4.666666666666667</v>
      </c>
      <c r="N2677" t="s">
        <v>25</v>
      </c>
      <c r="O2677" t="str">
        <f t="shared" si="410"/>
        <v>Low</v>
      </c>
      <c r="P2677" t="str">
        <f t="shared" si="411"/>
        <v>Medium</v>
      </c>
      <c r="Q2677" t="str">
        <f t="shared" si="412"/>
        <v>High</v>
      </c>
      <c r="R2677" t="s">
        <v>3317</v>
      </c>
      <c r="S2677" s="4">
        <f t="shared" ca="1" si="413"/>
        <v>386</v>
      </c>
      <c r="T2677">
        <f t="shared" si="414"/>
        <v>1</v>
      </c>
      <c r="U2677">
        <f t="shared" si="415"/>
        <v>2</v>
      </c>
      <c r="V2677">
        <f t="shared" si="416"/>
        <v>3</v>
      </c>
      <c r="W2677">
        <f t="shared" si="417"/>
        <v>1</v>
      </c>
      <c r="X2677">
        <f t="shared" si="418"/>
        <v>1.7000000000000002</v>
      </c>
      <c r="Y2677" t="str">
        <f t="shared" si="419"/>
        <v>Monitor</v>
      </c>
    </row>
    <row r="2678" spans="1:25" x14ac:dyDescent="0.35">
      <c r="A2678" t="s">
        <v>90</v>
      </c>
      <c r="B2678" t="s">
        <v>217</v>
      </c>
      <c r="C2678" t="s">
        <v>239</v>
      </c>
      <c r="D2678" t="s">
        <v>1943</v>
      </c>
      <c r="E2678">
        <v>80687268</v>
      </c>
      <c r="F2678" t="s">
        <v>1944</v>
      </c>
      <c r="G2678" s="3">
        <v>46033</v>
      </c>
      <c r="H2678">
        <v>24</v>
      </c>
      <c r="I2678">
        <v>0</v>
      </c>
      <c r="J2678">
        <v>6</v>
      </c>
      <c r="K2678" s="4">
        <v>389.16</v>
      </c>
      <c r="L2678" s="4">
        <f>0</f>
        <v>0</v>
      </c>
      <c r="M2678" s="4">
        <f>999</f>
        <v>999</v>
      </c>
      <c r="N2678" t="s">
        <v>19</v>
      </c>
      <c r="O2678" t="str">
        <f t="shared" si="410"/>
        <v>High</v>
      </c>
      <c r="P2678" t="str">
        <f t="shared" si="411"/>
        <v>High</v>
      </c>
      <c r="Q2678" t="str">
        <f t="shared" si="412"/>
        <v>High</v>
      </c>
      <c r="R2678" t="s">
        <v>3317</v>
      </c>
      <c r="S2678" s="4">
        <f t="shared" ca="1" si="413"/>
        <v>-164</v>
      </c>
      <c r="T2678">
        <f t="shared" si="414"/>
        <v>3</v>
      </c>
      <c r="U2678">
        <f t="shared" si="415"/>
        <v>3</v>
      </c>
      <c r="V2678">
        <f t="shared" si="416"/>
        <v>3</v>
      </c>
      <c r="W2678">
        <f t="shared" si="417"/>
        <v>1</v>
      </c>
      <c r="X2678">
        <f t="shared" si="418"/>
        <v>2.8000000000000003</v>
      </c>
      <c r="Y2678" t="str">
        <f t="shared" si="419"/>
        <v>Move Immediately</v>
      </c>
    </row>
    <row r="2679" spans="1:25" x14ac:dyDescent="0.35">
      <c r="A2679" t="s">
        <v>179</v>
      </c>
      <c r="B2679" t="s">
        <v>223</v>
      </c>
      <c r="C2679" t="s">
        <v>357</v>
      </c>
      <c r="D2679" t="s">
        <v>1941</v>
      </c>
      <c r="E2679">
        <v>80868349</v>
      </c>
      <c r="F2679" t="s">
        <v>1942</v>
      </c>
      <c r="G2679" s="3">
        <v>46410</v>
      </c>
      <c r="H2679">
        <v>18</v>
      </c>
      <c r="I2679">
        <v>40</v>
      </c>
      <c r="J2679">
        <v>6</v>
      </c>
      <c r="K2679" s="4">
        <v>5226.4799999999996</v>
      </c>
      <c r="L2679" s="4">
        <v>0.42857142857142855</v>
      </c>
      <c r="M2679" s="4">
        <v>14</v>
      </c>
      <c r="N2679" t="s">
        <v>19</v>
      </c>
      <c r="O2679" t="str">
        <f t="shared" si="410"/>
        <v>Low</v>
      </c>
      <c r="P2679" t="str">
        <f t="shared" si="411"/>
        <v>High</v>
      </c>
      <c r="Q2679" t="str">
        <f t="shared" si="412"/>
        <v>High</v>
      </c>
      <c r="R2679" t="s">
        <v>3317</v>
      </c>
      <c r="S2679" s="4">
        <f t="shared" ca="1" si="413"/>
        <v>213</v>
      </c>
      <c r="T2679">
        <f t="shared" si="414"/>
        <v>1</v>
      </c>
      <c r="U2679">
        <f t="shared" si="415"/>
        <v>3</v>
      </c>
      <c r="V2679">
        <f t="shared" si="416"/>
        <v>3</v>
      </c>
      <c r="W2679">
        <f t="shared" si="417"/>
        <v>1</v>
      </c>
      <c r="X2679">
        <f t="shared" si="418"/>
        <v>2</v>
      </c>
      <c r="Y2679" t="str">
        <f t="shared" si="419"/>
        <v>Monitor</v>
      </c>
    </row>
    <row r="2680" spans="1:25" x14ac:dyDescent="0.35">
      <c r="A2680" t="s">
        <v>179</v>
      </c>
      <c r="B2680" t="s">
        <v>180</v>
      </c>
      <c r="C2680" t="s">
        <v>181</v>
      </c>
      <c r="D2680" t="s">
        <v>296</v>
      </c>
      <c r="E2680">
        <v>80891524</v>
      </c>
      <c r="F2680" t="s">
        <v>1945</v>
      </c>
      <c r="G2680" s="3">
        <v>46432</v>
      </c>
      <c r="H2680">
        <v>16</v>
      </c>
      <c r="I2680">
        <v>50</v>
      </c>
      <c r="J2680">
        <v>72</v>
      </c>
      <c r="K2680" s="4">
        <v>12840.48</v>
      </c>
      <c r="L2680" s="4">
        <v>40.857142857142854</v>
      </c>
      <c r="M2680" s="4">
        <v>1.7622377622377623</v>
      </c>
      <c r="N2680" t="s">
        <v>25</v>
      </c>
      <c r="O2680" t="str">
        <f t="shared" si="410"/>
        <v>Low</v>
      </c>
      <c r="P2680" t="str">
        <f t="shared" si="411"/>
        <v>Low</v>
      </c>
      <c r="Q2680" t="str">
        <f t="shared" si="412"/>
        <v>Low</v>
      </c>
      <c r="R2680" t="s">
        <v>3317</v>
      </c>
      <c r="S2680" s="4">
        <f t="shared" ca="1" si="413"/>
        <v>235</v>
      </c>
      <c r="T2680">
        <f t="shared" si="414"/>
        <v>1</v>
      </c>
      <c r="U2680">
        <f t="shared" si="415"/>
        <v>1</v>
      </c>
      <c r="V2680">
        <f t="shared" si="416"/>
        <v>1</v>
      </c>
      <c r="W2680">
        <f t="shared" si="417"/>
        <v>1</v>
      </c>
      <c r="X2680">
        <f t="shared" si="418"/>
        <v>0.99999999999999989</v>
      </c>
      <c r="Y2680" t="str">
        <f t="shared" si="419"/>
        <v>Healthy</v>
      </c>
    </row>
    <row r="2681" spans="1:25" x14ac:dyDescent="0.35">
      <c r="A2681" t="s">
        <v>90</v>
      </c>
      <c r="B2681" t="s">
        <v>217</v>
      </c>
      <c r="C2681" t="s">
        <v>239</v>
      </c>
      <c r="D2681" t="s">
        <v>1943</v>
      </c>
      <c r="E2681">
        <v>80687268</v>
      </c>
      <c r="F2681" t="s">
        <v>1944</v>
      </c>
      <c r="G2681" s="3">
        <v>45559</v>
      </c>
      <c r="H2681">
        <v>24</v>
      </c>
      <c r="I2681">
        <v>0</v>
      </c>
      <c r="J2681">
        <v>3</v>
      </c>
      <c r="K2681" s="4">
        <v>194.58</v>
      </c>
      <c r="L2681" s="4">
        <f>0</f>
        <v>0</v>
      </c>
      <c r="M2681" s="4">
        <f>999</f>
        <v>999</v>
      </c>
      <c r="N2681" t="s">
        <v>19</v>
      </c>
      <c r="O2681" t="str">
        <f t="shared" si="410"/>
        <v>High</v>
      </c>
      <c r="P2681" t="str">
        <f t="shared" si="411"/>
        <v>High</v>
      </c>
      <c r="Q2681" t="str">
        <f t="shared" si="412"/>
        <v>High</v>
      </c>
      <c r="R2681" t="s">
        <v>3317</v>
      </c>
      <c r="S2681" s="4">
        <f t="shared" ca="1" si="413"/>
        <v>-638</v>
      </c>
      <c r="T2681">
        <f t="shared" si="414"/>
        <v>3</v>
      </c>
      <c r="U2681">
        <f t="shared" si="415"/>
        <v>3</v>
      </c>
      <c r="V2681">
        <f t="shared" si="416"/>
        <v>3</v>
      </c>
      <c r="W2681">
        <f t="shared" si="417"/>
        <v>1</v>
      </c>
      <c r="X2681">
        <f t="shared" si="418"/>
        <v>2.8000000000000003</v>
      </c>
      <c r="Y2681" t="str">
        <f t="shared" si="419"/>
        <v>Move Immediately</v>
      </c>
    </row>
    <row r="2682" spans="1:25" x14ac:dyDescent="0.35">
      <c r="A2682" t="s">
        <v>71</v>
      </c>
      <c r="B2682" t="s">
        <v>72</v>
      </c>
      <c r="C2682" t="s">
        <v>73</v>
      </c>
      <c r="D2682" t="s">
        <v>1946</v>
      </c>
      <c r="E2682">
        <v>80895473</v>
      </c>
      <c r="F2682" t="s">
        <v>1947</v>
      </c>
      <c r="G2682" s="3">
        <v>47021</v>
      </c>
      <c r="H2682">
        <v>36</v>
      </c>
      <c r="I2682">
        <v>77</v>
      </c>
      <c r="J2682">
        <v>17</v>
      </c>
      <c r="K2682" s="4">
        <v>18868.47</v>
      </c>
      <c r="L2682" s="4">
        <v>242.85714285714286</v>
      </c>
      <c r="M2682" s="4">
        <v>6.9999999999999993E-2</v>
      </c>
      <c r="N2682" t="s">
        <v>25</v>
      </c>
      <c r="O2682" t="str">
        <f t="shared" si="410"/>
        <v>Low</v>
      </c>
      <c r="P2682" t="str">
        <f t="shared" si="411"/>
        <v>Low</v>
      </c>
      <c r="Q2682" t="str">
        <f t="shared" si="412"/>
        <v>Low</v>
      </c>
      <c r="R2682" t="s">
        <v>3317</v>
      </c>
      <c r="S2682" s="4">
        <f t="shared" ca="1" si="413"/>
        <v>824</v>
      </c>
      <c r="T2682">
        <f t="shared" si="414"/>
        <v>1</v>
      </c>
      <c r="U2682">
        <f t="shared" si="415"/>
        <v>1</v>
      </c>
      <c r="V2682">
        <f t="shared" si="416"/>
        <v>1</v>
      </c>
      <c r="W2682">
        <f t="shared" si="417"/>
        <v>1</v>
      </c>
      <c r="X2682">
        <f t="shared" si="418"/>
        <v>0.99999999999999989</v>
      </c>
      <c r="Y2682" t="str">
        <f t="shared" si="419"/>
        <v>Healthy</v>
      </c>
    </row>
    <row r="2683" spans="1:25" x14ac:dyDescent="0.35">
      <c r="A2683" t="s">
        <v>71</v>
      </c>
      <c r="B2683" t="s">
        <v>72</v>
      </c>
      <c r="C2683" t="s">
        <v>73</v>
      </c>
      <c r="D2683" t="s">
        <v>1946</v>
      </c>
      <c r="E2683">
        <v>80895473</v>
      </c>
      <c r="F2683" t="s">
        <v>1947</v>
      </c>
      <c r="G2683" s="3">
        <v>47042</v>
      </c>
      <c r="H2683">
        <v>36</v>
      </c>
      <c r="I2683">
        <v>79</v>
      </c>
      <c r="J2683">
        <v>78</v>
      </c>
      <c r="K2683" s="4">
        <v>86572.98</v>
      </c>
      <c r="L2683" s="4">
        <v>242.85714285714286</v>
      </c>
      <c r="M2683" s="4">
        <v>0.32117647058823529</v>
      </c>
      <c r="N2683" t="s">
        <v>25</v>
      </c>
      <c r="O2683" t="str">
        <f t="shared" si="410"/>
        <v>Low</v>
      </c>
      <c r="P2683" t="str">
        <f t="shared" si="411"/>
        <v>Low</v>
      </c>
      <c r="Q2683" t="str">
        <f t="shared" si="412"/>
        <v>Low</v>
      </c>
      <c r="R2683" t="s">
        <v>3310</v>
      </c>
      <c r="S2683" s="4">
        <f t="shared" ca="1" si="413"/>
        <v>845</v>
      </c>
      <c r="T2683">
        <f t="shared" si="414"/>
        <v>1</v>
      </c>
      <c r="U2683">
        <f t="shared" si="415"/>
        <v>1</v>
      </c>
      <c r="V2683">
        <f t="shared" si="416"/>
        <v>1</v>
      </c>
      <c r="W2683">
        <f t="shared" si="417"/>
        <v>2</v>
      </c>
      <c r="X2683">
        <f t="shared" si="418"/>
        <v>1.0999999999999999</v>
      </c>
      <c r="Y2683" t="str">
        <f t="shared" si="419"/>
        <v>Healthy</v>
      </c>
    </row>
    <row r="2684" spans="1:25" x14ac:dyDescent="0.35">
      <c r="A2684" t="s">
        <v>71</v>
      </c>
      <c r="B2684" t="s">
        <v>72</v>
      </c>
      <c r="C2684" t="s">
        <v>73</v>
      </c>
      <c r="D2684" t="s">
        <v>1946</v>
      </c>
      <c r="E2684">
        <v>80895473</v>
      </c>
      <c r="F2684" t="s">
        <v>1947</v>
      </c>
      <c r="G2684" s="3">
        <v>47077</v>
      </c>
      <c r="H2684">
        <v>36</v>
      </c>
      <c r="I2684">
        <v>82</v>
      </c>
      <c r="J2684">
        <v>32</v>
      </c>
      <c r="K2684" s="4">
        <v>35517.120000000003</v>
      </c>
      <c r="L2684" s="4">
        <v>242.85714285714286</v>
      </c>
      <c r="M2684" s="4">
        <v>0.13176470588235295</v>
      </c>
      <c r="N2684" t="s">
        <v>25</v>
      </c>
      <c r="O2684" t="str">
        <f t="shared" si="410"/>
        <v>Low</v>
      </c>
      <c r="P2684" t="str">
        <f t="shared" si="411"/>
        <v>Low</v>
      </c>
      <c r="Q2684" t="str">
        <f t="shared" si="412"/>
        <v>Low</v>
      </c>
      <c r="R2684" t="s">
        <v>3317</v>
      </c>
      <c r="S2684" s="4">
        <f t="shared" ca="1" si="413"/>
        <v>880</v>
      </c>
      <c r="T2684">
        <f t="shared" si="414"/>
        <v>1</v>
      </c>
      <c r="U2684">
        <f t="shared" si="415"/>
        <v>1</v>
      </c>
      <c r="V2684">
        <f t="shared" si="416"/>
        <v>1</v>
      </c>
      <c r="W2684">
        <f t="shared" si="417"/>
        <v>1</v>
      </c>
      <c r="X2684">
        <f t="shared" si="418"/>
        <v>0.99999999999999989</v>
      </c>
      <c r="Y2684" t="str">
        <f t="shared" si="419"/>
        <v>Healthy</v>
      </c>
    </row>
    <row r="2685" spans="1:25" x14ac:dyDescent="0.35">
      <c r="A2685" t="s">
        <v>71</v>
      </c>
      <c r="B2685" t="s">
        <v>72</v>
      </c>
      <c r="C2685" t="s">
        <v>73</v>
      </c>
      <c r="D2685" t="s">
        <v>1946</v>
      </c>
      <c r="E2685">
        <v>80895473</v>
      </c>
      <c r="F2685" t="s">
        <v>1947</v>
      </c>
      <c r="G2685" s="3">
        <v>47106</v>
      </c>
      <c r="H2685">
        <v>36</v>
      </c>
      <c r="I2685">
        <v>85</v>
      </c>
      <c r="J2685">
        <v>290</v>
      </c>
      <c r="K2685" s="4">
        <v>321873.90000000002</v>
      </c>
      <c r="L2685" s="4">
        <v>242.85714285714286</v>
      </c>
      <c r="M2685" s="4">
        <v>1.1941176470588235</v>
      </c>
      <c r="N2685" t="s">
        <v>25</v>
      </c>
      <c r="O2685" t="str">
        <f t="shared" si="410"/>
        <v>Low</v>
      </c>
      <c r="P2685" t="str">
        <f t="shared" si="411"/>
        <v>Low</v>
      </c>
      <c r="Q2685" t="str">
        <f t="shared" si="412"/>
        <v>Low</v>
      </c>
      <c r="R2685" t="s">
        <v>3309</v>
      </c>
      <c r="S2685" s="4">
        <f t="shared" ca="1" si="413"/>
        <v>909</v>
      </c>
      <c r="T2685">
        <f t="shared" si="414"/>
        <v>1</v>
      </c>
      <c r="U2685">
        <f t="shared" si="415"/>
        <v>1</v>
      </c>
      <c r="V2685">
        <f t="shared" si="416"/>
        <v>1</v>
      </c>
      <c r="W2685">
        <f t="shared" si="417"/>
        <v>3</v>
      </c>
      <c r="X2685">
        <f t="shared" si="418"/>
        <v>1.2</v>
      </c>
      <c r="Y2685" t="str">
        <f t="shared" si="419"/>
        <v>Healthy</v>
      </c>
    </row>
    <row r="2686" spans="1:25" x14ac:dyDescent="0.35">
      <c r="A2686" t="s">
        <v>20</v>
      </c>
      <c r="B2686" t="s">
        <v>21</v>
      </c>
      <c r="C2686" t="s">
        <v>1155</v>
      </c>
      <c r="D2686" t="s">
        <v>1948</v>
      </c>
      <c r="E2686">
        <v>82330070</v>
      </c>
      <c r="F2686" t="s">
        <v>1949</v>
      </c>
      <c r="G2686" s="3">
        <v>47574</v>
      </c>
      <c r="H2686">
        <v>79</v>
      </c>
      <c r="I2686">
        <v>58</v>
      </c>
      <c r="J2686">
        <v>1</v>
      </c>
      <c r="K2686" s="4">
        <v>479.18</v>
      </c>
      <c r="L2686" s="4">
        <f>0</f>
        <v>0</v>
      </c>
      <c r="M2686" s="4">
        <f>999</f>
        <v>999</v>
      </c>
      <c r="N2686" t="s">
        <v>19</v>
      </c>
      <c r="O2686" t="str">
        <f t="shared" si="410"/>
        <v>Low</v>
      </c>
      <c r="P2686" t="str">
        <f t="shared" si="411"/>
        <v>High</v>
      </c>
      <c r="Q2686" t="str">
        <f t="shared" si="412"/>
        <v>High</v>
      </c>
      <c r="R2686" t="s">
        <v>3317</v>
      </c>
      <c r="S2686" s="4">
        <f t="shared" ca="1" si="413"/>
        <v>1377</v>
      </c>
      <c r="T2686">
        <f t="shared" si="414"/>
        <v>1</v>
      </c>
      <c r="U2686">
        <f t="shared" si="415"/>
        <v>3</v>
      </c>
      <c r="V2686">
        <f t="shared" si="416"/>
        <v>3</v>
      </c>
      <c r="W2686">
        <f t="shared" si="417"/>
        <v>1</v>
      </c>
      <c r="X2686">
        <f t="shared" si="418"/>
        <v>2</v>
      </c>
      <c r="Y2686" t="str">
        <f t="shared" si="419"/>
        <v>Monitor</v>
      </c>
    </row>
    <row r="2687" spans="1:25" x14ac:dyDescent="0.35">
      <c r="A2687" t="s">
        <v>71</v>
      </c>
      <c r="B2687" t="s">
        <v>72</v>
      </c>
      <c r="C2687" t="s">
        <v>73</v>
      </c>
      <c r="D2687" t="s">
        <v>1946</v>
      </c>
      <c r="E2687">
        <v>80895473</v>
      </c>
      <c r="F2687" t="s">
        <v>1947</v>
      </c>
      <c r="G2687" s="3">
        <v>47049</v>
      </c>
      <c r="H2687">
        <v>36</v>
      </c>
      <c r="I2687">
        <v>79</v>
      </c>
      <c r="J2687">
        <v>8</v>
      </c>
      <c r="K2687" s="4">
        <v>8879.2800000000007</v>
      </c>
      <c r="L2687" s="4">
        <v>242.85714285714286</v>
      </c>
      <c r="M2687" s="4">
        <v>3.2941176470588238E-2</v>
      </c>
      <c r="N2687" t="s">
        <v>25</v>
      </c>
      <c r="O2687" t="str">
        <f t="shared" si="410"/>
        <v>Low</v>
      </c>
      <c r="P2687" t="str">
        <f t="shared" si="411"/>
        <v>Low</v>
      </c>
      <c r="Q2687" t="str">
        <f t="shared" si="412"/>
        <v>Low</v>
      </c>
      <c r="R2687" t="s">
        <v>3317</v>
      </c>
      <c r="S2687" s="4">
        <f t="shared" ca="1" si="413"/>
        <v>852</v>
      </c>
      <c r="T2687">
        <f t="shared" si="414"/>
        <v>1</v>
      </c>
      <c r="U2687">
        <f t="shared" si="415"/>
        <v>1</v>
      </c>
      <c r="V2687">
        <f t="shared" si="416"/>
        <v>1</v>
      </c>
      <c r="W2687">
        <f t="shared" si="417"/>
        <v>1</v>
      </c>
      <c r="X2687">
        <f t="shared" si="418"/>
        <v>0.99999999999999989</v>
      </c>
      <c r="Y2687" t="str">
        <f t="shared" si="419"/>
        <v>Healthy</v>
      </c>
    </row>
    <row r="2688" spans="1:25" x14ac:dyDescent="0.35">
      <c r="A2688" t="s">
        <v>20</v>
      </c>
      <c r="B2688" t="s">
        <v>21</v>
      </c>
      <c r="C2688" t="s">
        <v>1155</v>
      </c>
      <c r="D2688" t="s">
        <v>1948</v>
      </c>
      <c r="E2688">
        <v>82330070</v>
      </c>
      <c r="F2688" t="s">
        <v>1949</v>
      </c>
      <c r="G2688" s="3">
        <v>47327</v>
      </c>
      <c r="H2688">
        <v>79</v>
      </c>
      <c r="I2688">
        <v>48</v>
      </c>
      <c r="J2688">
        <v>3</v>
      </c>
      <c r="K2688" s="4">
        <v>1437.54</v>
      </c>
      <c r="L2688" s="4">
        <f>0</f>
        <v>0</v>
      </c>
      <c r="M2688" s="4">
        <f>999</f>
        <v>999</v>
      </c>
      <c r="N2688" t="s">
        <v>19</v>
      </c>
      <c r="O2688" t="str">
        <f t="shared" si="410"/>
        <v>Low</v>
      </c>
      <c r="P2688" t="str">
        <f t="shared" si="411"/>
        <v>High</v>
      </c>
      <c r="Q2688" t="str">
        <f t="shared" si="412"/>
        <v>High</v>
      </c>
      <c r="R2688" t="s">
        <v>3317</v>
      </c>
      <c r="S2688" s="4">
        <f t="shared" ca="1" si="413"/>
        <v>1130</v>
      </c>
      <c r="T2688">
        <f t="shared" si="414"/>
        <v>1</v>
      </c>
      <c r="U2688">
        <f t="shared" si="415"/>
        <v>3</v>
      </c>
      <c r="V2688">
        <f t="shared" si="416"/>
        <v>3</v>
      </c>
      <c r="W2688">
        <f t="shared" si="417"/>
        <v>1</v>
      </c>
      <c r="X2688">
        <f t="shared" si="418"/>
        <v>2</v>
      </c>
      <c r="Y2688" t="str">
        <f t="shared" si="419"/>
        <v>Monitor</v>
      </c>
    </row>
    <row r="2689" spans="1:25" x14ac:dyDescent="0.35">
      <c r="A2689" t="s">
        <v>71</v>
      </c>
      <c r="B2689" t="s">
        <v>72</v>
      </c>
      <c r="C2689" t="s">
        <v>73</v>
      </c>
      <c r="D2689" t="s">
        <v>1946</v>
      </c>
      <c r="E2689">
        <v>80895473</v>
      </c>
      <c r="F2689" t="s">
        <v>1947</v>
      </c>
      <c r="G2689" s="3">
        <v>47043</v>
      </c>
      <c r="H2689">
        <v>36</v>
      </c>
      <c r="I2689">
        <v>79</v>
      </c>
      <c r="J2689">
        <v>28</v>
      </c>
      <c r="K2689" s="4">
        <v>31077.48</v>
      </c>
      <c r="L2689" s="4">
        <v>242.85714285714286</v>
      </c>
      <c r="M2689" s="4">
        <v>0.11529411764705882</v>
      </c>
      <c r="N2689" t="s">
        <v>25</v>
      </c>
      <c r="O2689" t="str">
        <f t="shared" si="410"/>
        <v>Low</v>
      </c>
      <c r="P2689" t="str">
        <f t="shared" si="411"/>
        <v>Low</v>
      </c>
      <c r="Q2689" t="str">
        <f t="shared" si="412"/>
        <v>Low</v>
      </c>
      <c r="R2689" t="s">
        <v>3317</v>
      </c>
      <c r="S2689" s="4">
        <f t="shared" ca="1" si="413"/>
        <v>846</v>
      </c>
      <c r="T2689">
        <f t="shared" si="414"/>
        <v>1</v>
      </c>
      <c r="U2689">
        <f t="shared" si="415"/>
        <v>1</v>
      </c>
      <c r="V2689">
        <f t="shared" si="416"/>
        <v>1</v>
      </c>
      <c r="W2689">
        <f t="shared" si="417"/>
        <v>1</v>
      </c>
      <c r="X2689">
        <f t="shared" si="418"/>
        <v>0.99999999999999989</v>
      </c>
      <c r="Y2689" t="str">
        <f t="shared" si="419"/>
        <v>Healthy</v>
      </c>
    </row>
    <row r="2690" spans="1:25" x14ac:dyDescent="0.35">
      <c r="A2690" t="s">
        <v>71</v>
      </c>
      <c r="B2690" t="s">
        <v>72</v>
      </c>
      <c r="C2690" t="s">
        <v>310</v>
      </c>
      <c r="D2690" t="s">
        <v>1950</v>
      </c>
      <c r="E2690">
        <v>80895474</v>
      </c>
      <c r="F2690" t="s">
        <v>1951</v>
      </c>
      <c r="G2690" s="3">
        <v>47199</v>
      </c>
      <c r="H2690">
        <v>36</v>
      </c>
      <c r="I2690">
        <v>93</v>
      </c>
      <c r="J2690">
        <v>14</v>
      </c>
      <c r="K2690" s="4">
        <v>17518.2</v>
      </c>
      <c r="L2690" s="4">
        <v>1241</v>
      </c>
      <c r="M2690" s="4">
        <v>1.1281224818694601E-2</v>
      </c>
      <c r="N2690" t="s">
        <v>25</v>
      </c>
      <c r="O2690" t="str">
        <f t="shared" si="410"/>
        <v>Low</v>
      </c>
      <c r="P2690" t="str">
        <f t="shared" si="411"/>
        <v>Low</v>
      </c>
      <c r="Q2690" t="str">
        <f t="shared" si="412"/>
        <v>Low</v>
      </c>
      <c r="R2690" t="s">
        <v>3317</v>
      </c>
      <c r="S2690" s="4">
        <f t="shared" ca="1" si="413"/>
        <v>1002</v>
      </c>
      <c r="T2690">
        <f t="shared" si="414"/>
        <v>1</v>
      </c>
      <c r="U2690">
        <f t="shared" si="415"/>
        <v>1</v>
      </c>
      <c r="V2690">
        <f t="shared" si="416"/>
        <v>1</v>
      </c>
      <c r="W2690">
        <f t="shared" si="417"/>
        <v>1</v>
      </c>
      <c r="X2690">
        <f t="shared" si="418"/>
        <v>0.99999999999999989</v>
      </c>
      <c r="Y2690" t="str">
        <f t="shared" si="419"/>
        <v>Healthy</v>
      </c>
    </row>
    <row r="2691" spans="1:25" x14ac:dyDescent="0.35">
      <c r="A2691" t="s">
        <v>71</v>
      </c>
      <c r="B2691" t="s">
        <v>72</v>
      </c>
      <c r="C2691" t="s">
        <v>310</v>
      </c>
      <c r="D2691" t="s">
        <v>1950</v>
      </c>
      <c r="E2691">
        <v>80895474</v>
      </c>
      <c r="F2691" t="s">
        <v>1951</v>
      </c>
      <c r="G2691" s="3">
        <v>47223</v>
      </c>
      <c r="H2691">
        <v>36</v>
      </c>
      <c r="I2691">
        <v>95</v>
      </c>
      <c r="J2691">
        <v>148</v>
      </c>
      <c r="K2691" s="4">
        <v>185192.4</v>
      </c>
      <c r="L2691" s="4">
        <v>1241</v>
      </c>
      <c r="M2691" s="4">
        <v>0.11925866236905722</v>
      </c>
      <c r="N2691" t="s">
        <v>25</v>
      </c>
      <c r="O2691" t="str">
        <f t="shared" ref="O2691:O2754" si="420">IF(I2691&lt;20,"High",IF(I2691&lt;40,"Medium","Low"))</f>
        <v>Low</v>
      </c>
      <c r="P2691" t="str">
        <f t="shared" ref="P2691:P2754" si="421">IF(M2691&gt;8,"High",IF(M2691&gt;4,"Medium","Low"))</f>
        <v>Low</v>
      </c>
      <c r="Q2691" t="str">
        <f t="shared" ref="Q2691:Q2754" si="422">IF(L2691&lt;5,"High",IF(L2691&lt;15,"Medium","Low"))</f>
        <v>Low</v>
      </c>
      <c r="R2691" t="s">
        <v>3309</v>
      </c>
      <c r="S2691" s="4">
        <f t="shared" ref="S2691:S2754" ca="1" si="423">G2691-TODAY()</f>
        <v>1026</v>
      </c>
      <c r="T2691">
        <f t="shared" ref="T2691:T2754" si="424">IF(O2691="High",3,IF(O2691="Medium",2,1))</f>
        <v>1</v>
      </c>
      <c r="U2691">
        <f t="shared" ref="U2691:U2754" si="425">IF(P2691="High",3,IF(P2691="Medium",2,1))</f>
        <v>1</v>
      </c>
      <c r="V2691">
        <f t="shared" ref="V2691:V2754" si="426">IF(Q2691="High",3,IF(Q2691="Medium",2,1))</f>
        <v>1</v>
      </c>
      <c r="W2691">
        <f t="shared" ref="W2691:W2754" si="427">IF(R2691="High",3,IF(R2691="Medium",2,1))</f>
        <v>3</v>
      </c>
      <c r="X2691">
        <f t="shared" ref="X2691:X2754" si="428">(0.4*T2691)+(0.3*U2691)+(0.2*V2691)+(0.1*W2691)</f>
        <v>1.2</v>
      </c>
      <c r="Y2691" t="str">
        <f t="shared" ref="Y2691:Y2754" si="429">IF(X2691&gt;=2.7,"Move Immediately",IF(X2691&gt;=2.2,"High Priority",IF(X2691&gt;=1.7,"Monitor","Healthy")))</f>
        <v>Healthy</v>
      </c>
    </row>
    <row r="2692" spans="1:25" x14ac:dyDescent="0.35">
      <c r="A2692" t="s">
        <v>71</v>
      </c>
      <c r="B2692" t="s">
        <v>72</v>
      </c>
      <c r="C2692" t="s">
        <v>310</v>
      </c>
      <c r="D2692" t="s">
        <v>1950</v>
      </c>
      <c r="E2692">
        <v>80895474</v>
      </c>
      <c r="F2692" t="s">
        <v>1951</v>
      </c>
      <c r="G2692" s="3">
        <v>47196</v>
      </c>
      <c r="H2692">
        <v>36</v>
      </c>
      <c r="I2692">
        <v>93</v>
      </c>
      <c r="J2692">
        <v>6</v>
      </c>
      <c r="K2692" s="4">
        <v>7507.8</v>
      </c>
      <c r="L2692" s="4">
        <v>1241</v>
      </c>
      <c r="M2692" s="4">
        <v>4.8348106365834007E-3</v>
      </c>
      <c r="N2692" t="s">
        <v>25</v>
      </c>
      <c r="O2692" t="str">
        <f t="shared" si="420"/>
        <v>Low</v>
      </c>
      <c r="P2692" t="str">
        <f t="shared" si="421"/>
        <v>Low</v>
      </c>
      <c r="Q2692" t="str">
        <f t="shared" si="422"/>
        <v>Low</v>
      </c>
      <c r="R2692" t="s">
        <v>3317</v>
      </c>
      <c r="S2692" s="4">
        <f t="shared" ca="1" si="423"/>
        <v>999</v>
      </c>
      <c r="T2692">
        <f t="shared" si="424"/>
        <v>1</v>
      </c>
      <c r="U2692">
        <f t="shared" si="425"/>
        <v>1</v>
      </c>
      <c r="V2692">
        <f t="shared" si="426"/>
        <v>1</v>
      </c>
      <c r="W2692">
        <f t="shared" si="427"/>
        <v>1</v>
      </c>
      <c r="X2692">
        <f t="shared" si="428"/>
        <v>0.99999999999999989</v>
      </c>
      <c r="Y2692" t="str">
        <f t="shared" si="429"/>
        <v>Healthy</v>
      </c>
    </row>
    <row r="2693" spans="1:25" x14ac:dyDescent="0.35">
      <c r="A2693" t="s">
        <v>71</v>
      </c>
      <c r="B2693" t="s">
        <v>72</v>
      </c>
      <c r="C2693" t="s">
        <v>310</v>
      </c>
      <c r="D2693" t="s">
        <v>1950</v>
      </c>
      <c r="E2693">
        <v>80895474</v>
      </c>
      <c r="F2693" t="s">
        <v>1951</v>
      </c>
      <c r="G2693" s="3">
        <v>47241</v>
      </c>
      <c r="H2693">
        <v>36</v>
      </c>
      <c r="I2693">
        <v>97</v>
      </c>
      <c r="J2693">
        <v>480</v>
      </c>
      <c r="K2693" s="4">
        <v>600624</v>
      </c>
      <c r="L2693" s="4">
        <v>1241</v>
      </c>
      <c r="M2693" s="4">
        <v>0.38678485092667203</v>
      </c>
      <c r="N2693" t="s">
        <v>25</v>
      </c>
      <c r="O2693" t="str">
        <f t="shared" si="420"/>
        <v>Low</v>
      </c>
      <c r="P2693" t="str">
        <f t="shared" si="421"/>
        <v>Low</v>
      </c>
      <c r="Q2693" t="str">
        <f t="shared" si="422"/>
        <v>Low</v>
      </c>
      <c r="R2693" t="s">
        <v>3309</v>
      </c>
      <c r="S2693" s="4">
        <f t="shared" ca="1" si="423"/>
        <v>1044</v>
      </c>
      <c r="T2693">
        <f t="shared" si="424"/>
        <v>1</v>
      </c>
      <c r="U2693">
        <f t="shared" si="425"/>
        <v>1</v>
      </c>
      <c r="V2693">
        <f t="shared" si="426"/>
        <v>1</v>
      </c>
      <c r="W2693">
        <f t="shared" si="427"/>
        <v>3</v>
      </c>
      <c r="X2693">
        <f t="shared" si="428"/>
        <v>1.2</v>
      </c>
      <c r="Y2693" t="str">
        <f t="shared" si="429"/>
        <v>Healthy</v>
      </c>
    </row>
    <row r="2694" spans="1:25" x14ac:dyDescent="0.35">
      <c r="A2694" t="s">
        <v>71</v>
      </c>
      <c r="B2694" t="s">
        <v>72</v>
      </c>
      <c r="C2694" t="s">
        <v>310</v>
      </c>
      <c r="D2694" t="s">
        <v>1950</v>
      </c>
      <c r="E2694">
        <v>80895474</v>
      </c>
      <c r="F2694" t="s">
        <v>1951</v>
      </c>
      <c r="G2694" s="3">
        <v>47183</v>
      </c>
      <c r="H2694">
        <v>36</v>
      </c>
      <c r="I2694">
        <v>92</v>
      </c>
      <c r="J2694">
        <v>24</v>
      </c>
      <c r="K2694" s="4">
        <v>30031.200000000001</v>
      </c>
      <c r="L2694" s="4">
        <v>1241</v>
      </c>
      <c r="M2694" s="4">
        <v>1.9339242546333603E-2</v>
      </c>
      <c r="N2694" t="s">
        <v>25</v>
      </c>
      <c r="O2694" t="str">
        <f t="shared" si="420"/>
        <v>Low</v>
      </c>
      <c r="P2694" t="str">
        <f t="shared" si="421"/>
        <v>Low</v>
      </c>
      <c r="Q2694" t="str">
        <f t="shared" si="422"/>
        <v>Low</v>
      </c>
      <c r="R2694" t="s">
        <v>3317</v>
      </c>
      <c r="S2694" s="4">
        <f t="shared" ca="1" si="423"/>
        <v>986</v>
      </c>
      <c r="T2694">
        <f t="shared" si="424"/>
        <v>1</v>
      </c>
      <c r="U2694">
        <f t="shared" si="425"/>
        <v>1</v>
      </c>
      <c r="V2694">
        <f t="shared" si="426"/>
        <v>1</v>
      </c>
      <c r="W2694">
        <f t="shared" si="427"/>
        <v>1</v>
      </c>
      <c r="X2694">
        <f t="shared" si="428"/>
        <v>0.99999999999999989</v>
      </c>
      <c r="Y2694" t="str">
        <f t="shared" si="429"/>
        <v>Healthy</v>
      </c>
    </row>
    <row r="2695" spans="1:25" x14ac:dyDescent="0.35">
      <c r="A2695" t="s">
        <v>71</v>
      </c>
      <c r="B2695" t="s">
        <v>72</v>
      </c>
      <c r="C2695" t="s">
        <v>310</v>
      </c>
      <c r="D2695" t="s">
        <v>1950</v>
      </c>
      <c r="E2695">
        <v>80895474</v>
      </c>
      <c r="F2695" t="s">
        <v>1951</v>
      </c>
      <c r="G2695" s="3">
        <v>47210</v>
      </c>
      <c r="H2695">
        <v>36</v>
      </c>
      <c r="I2695">
        <v>94</v>
      </c>
      <c r="J2695">
        <v>95</v>
      </c>
      <c r="K2695" s="4">
        <v>118873.5</v>
      </c>
      <c r="L2695" s="4">
        <v>1241</v>
      </c>
      <c r="M2695" s="4">
        <v>7.6551168412570508E-2</v>
      </c>
      <c r="N2695" t="s">
        <v>25</v>
      </c>
      <c r="O2695" t="str">
        <f t="shared" si="420"/>
        <v>Low</v>
      </c>
      <c r="P2695" t="str">
        <f t="shared" si="421"/>
        <v>Low</v>
      </c>
      <c r="Q2695" t="str">
        <f t="shared" si="422"/>
        <v>Low</v>
      </c>
      <c r="R2695" t="s">
        <v>3310</v>
      </c>
      <c r="S2695" s="4">
        <f t="shared" ca="1" si="423"/>
        <v>1013</v>
      </c>
      <c r="T2695">
        <f t="shared" si="424"/>
        <v>1</v>
      </c>
      <c r="U2695">
        <f t="shared" si="425"/>
        <v>1</v>
      </c>
      <c r="V2695">
        <f t="shared" si="426"/>
        <v>1</v>
      </c>
      <c r="W2695">
        <f t="shared" si="427"/>
        <v>2</v>
      </c>
      <c r="X2695">
        <f t="shared" si="428"/>
        <v>1.0999999999999999</v>
      </c>
      <c r="Y2695" t="str">
        <f t="shared" si="429"/>
        <v>Healthy</v>
      </c>
    </row>
    <row r="2696" spans="1:25" x14ac:dyDescent="0.35">
      <c r="A2696" t="s">
        <v>71</v>
      </c>
      <c r="B2696" t="s">
        <v>72</v>
      </c>
      <c r="C2696" t="s">
        <v>320</v>
      </c>
      <c r="D2696" t="s">
        <v>626</v>
      </c>
      <c r="E2696">
        <v>80895449</v>
      </c>
      <c r="F2696" t="s">
        <v>1952</v>
      </c>
      <c r="G2696" s="3">
        <v>47171</v>
      </c>
      <c r="H2696">
        <v>36</v>
      </c>
      <c r="I2696">
        <v>91</v>
      </c>
      <c r="J2696">
        <v>141</v>
      </c>
      <c r="K2696" s="4">
        <v>3948</v>
      </c>
      <c r="L2696" s="4">
        <v>121935</v>
      </c>
      <c r="M2696" s="4">
        <v>1.1563537950547422E-3</v>
      </c>
      <c r="N2696" t="s">
        <v>25</v>
      </c>
      <c r="O2696" t="str">
        <f t="shared" si="420"/>
        <v>Low</v>
      </c>
      <c r="P2696" t="str">
        <f t="shared" si="421"/>
        <v>Low</v>
      </c>
      <c r="Q2696" t="str">
        <f t="shared" si="422"/>
        <v>Low</v>
      </c>
      <c r="R2696" t="s">
        <v>3317</v>
      </c>
      <c r="S2696" s="4">
        <f t="shared" ca="1" si="423"/>
        <v>974</v>
      </c>
      <c r="T2696">
        <f t="shared" si="424"/>
        <v>1</v>
      </c>
      <c r="U2696">
        <f t="shared" si="425"/>
        <v>1</v>
      </c>
      <c r="V2696">
        <f t="shared" si="426"/>
        <v>1</v>
      </c>
      <c r="W2696">
        <f t="shared" si="427"/>
        <v>1</v>
      </c>
      <c r="X2696">
        <f t="shared" si="428"/>
        <v>0.99999999999999989</v>
      </c>
      <c r="Y2696" t="str">
        <f t="shared" si="429"/>
        <v>Healthy</v>
      </c>
    </row>
    <row r="2697" spans="1:25" x14ac:dyDescent="0.35">
      <c r="A2697" t="s">
        <v>71</v>
      </c>
      <c r="B2697" t="s">
        <v>72</v>
      </c>
      <c r="C2697" t="s">
        <v>320</v>
      </c>
      <c r="D2697" t="s">
        <v>626</v>
      </c>
      <c r="E2697">
        <v>80895449</v>
      </c>
      <c r="F2697" t="s">
        <v>1952</v>
      </c>
      <c r="G2697" s="3">
        <v>47228</v>
      </c>
      <c r="H2697">
        <v>36</v>
      </c>
      <c r="I2697">
        <v>96</v>
      </c>
      <c r="J2697">
        <v>371</v>
      </c>
      <c r="K2697" s="4">
        <v>10388</v>
      </c>
      <c r="L2697" s="4">
        <v>121935</v>
      </c>
      <c r="M2697" s="4">
        <v>3.0426046664206339E-3</v>
      </c>
      <c r="N2697" t="s">
        <v>25</v>
      </c>
      <c r="O2697" t="str">
        <f t="shared" si="420"/>
        <v>Low</v>
      </c>
      <c r="P2697" t="str">
        <f t="shared" si="421"/>
        <v>Low</v>
      </c>
      <c r="Q2697" t="str">
        <f t="shared" si="422"/>
        <v>Low</v>
      </c>
      <c r="R2697" t="s">
        <v>3317</v>
      </c>
      <c r="S2697" s="4">
        <f t="shared" ca="1" si="423"/>
        <v>1031</v>
      </c>
      <c r="T2697">
        <f t="shared" si="424"/>
        <v>1</v>
      </c>
      <c r="U2697">
        <f t="shared" si="425"/>
        <v>1</v>
      </c>
      <c r="V2697">
        <f t="shared" si="426"/>
        <v>1</v>
      </c>
      <c r="W2697">
        <f t="shared" si="427"/>
        <v>1</v>
      </c>
      <c r="X2697">
        <f t="shared" si="428"/>
        <v>0.99999999999999989</v>
      </c>
      <c r="Y2697" t="str">
        <f t="shared" si="429"/>
        <v>Healthy</v>
      </c>
    </row>
    <row r="2698" spans="1:25" x14ac:dyDescent="0.35">
      <c r="A2698" t="s">
        <v>20</v>
      </c>
      <c r="B2698" t="s">
        <v>21</v>
      </c>
      <c r="C2698" t="s">
        <v>795</v>
      </c>
      <c r="D2698" t="s">
        <v>796</v>
      </c>
      <c r="E2698">
        <v>80690050</v>
      </c>
      <c r="F2698" t="s">
        <v>1953</v>
      </c>
      <c r="G2698" s="3">
        <v>46590</v>
      </c>
      <c r="H2698">
        <v>36</v>
      </c>
      <c r="I2698">
        <v>37</v>
      </c>
      <c r="J2698">
        <v>3</v>
      </c>
      <c r="K2698" s="4">
        <v>168</v>
      </c>
      <c r="L2698" s="4">
        <f>0</f>
        <v>0</v>
      </c>
      <c r="M2698" s="4">
        <f>999</f>
        <v>999</v>
      </c>
      <c r="N2698" t="s">
        <v>19</v>
      </c>
      <c r="O2698" t="str">
        <f t="shared" si="420"/>
        <v>Medium</v>
      </c>
      <c r="P2698" t="str">
        <f t="shared" si="421"/>
        <v>High</v>
      </c>
      <c r="Q2698" t="str">
        <f t="shared" si="422"/>
        <v>High</v>
      </c>
      <c r="R2698" t="s">
        <v>3317</v>
      </c>
      <c r="S2698" s="4">
        <f t="shared" ca="1" si="423"/>
        <v>393</v>
      </c>
      <c r="T2698">
        <f t="shared" si="424"/>
        <v>2</v>
      </c>
      <c r="U2698">
        <f t="shared" si="425"/>
        <v>3</v>
      </c>
      <c r="V2698">
        <f t="shared" si="426"/>
        <v>3</v>
      </c>
      <c r="W2698">
        <f t="shared" si="427"/>
        <v>1</v>
      </c>
      <c r="X2698">
        <f t="shared" si="428"/>
        <v>2.4</v>
      </c>
      <c r="Y2698" t="str">
        <f t="shared" si="429"/>
        <v>High Priority</v>
      </c>
    </row>
    <row r="2699" spans="1:25" x14ac:dyDescent="0.35">
      <c r="A2699" t="s">
        <v>20</v>
      </c>
      <c r="B2699" t="s">
        <v>21</v>
      </c>
      <c r="C2699" t="s">
        <v>795</v>
      </c>
      <c r="D2699" t="s">
        <v>796</v>
      </c>
      <c r="E2699">
        <v>80690050</v>
      </c>
      <c r="F2699" t="s">
        <v>1953</v>
      </c>
      <c r="G2699" s="3">
        <v>46405</v>
      </c>
      <c r="H2699">
        <v>36</v>
      </c>
      <c r="I2699">
        <v>20</v>
      </c>
      <c r="J2699">
        <v>26</v>
      </c>
      <c r="K2699" s="4">
        <v>1456</v>
      </c>
      <c r="L2699" s="4">
        <f>0</f>
        <v>0</v>
      </c>
      <c r="M2699" s="4">
        <f>999</f>
        <v>999</v>
      </c>
      <c r="N2699" t="s">
        <v>19</v>
      </c>
      <c r="O2699" t="str">
        <f t="shared" si="420"/>
        <v>Medium</v>
      </c>
      <c r="P2699" t="str">
        <f t="shared" si="421"/>
        <v>High</v>
      </c>
      <c r="Q2699" t="str">
        <f t="shared" si="422"/>
        <v>High</v>
      </c>
      <c r="R2699" t="s">
        <v>3317</v>
      </c>
      <c r="S2699" s="4">
        <f t="shared" ca="1" si="423"/>
        <v>208</v>
      </c>
      <c r="T2699">
        <f t="shared" si="424"/>
        <v>2</v>
      </c>
      <c r="U2699">
        <f t="shared" si="425"/>
        <v>3</v>
      </c>
      <c r="V2699">
        <f t="shared" si="426"/>
        <v>3</v>
      </c>
      <c r="W2699">
        <f t="shared" si="427"/>
        <v>1</v>
      </c>
      <c r="X2699">
        <f t="shared" si="428"/>
        <v>2.4</v>
      </c>
      <c r="Y2699" t="str">
        <f t="shared" si="429"/>
        <v>High Priority</v>
      </c>
    </row>
    <row r="2700" spans="1:25" x14ac:dyDescent="0.35">
      <c r="A2700" t="s">
        <v>20</v>
      </c>
      <c r="B2700" t="s">
        <v>21</v>
      </c>
      <c r="C2700" t="s">
        <v>795</v>
      </c>
      <c r="D2700" t="s">
        <v>796</v>
      </c>
      <c r="E2700">
        <v>80690050</v>
      </c>
      <c r="F2700" t="s">
        <v>1953</v>
      </c>
      <c r="G2700" s="3">
        <v>46617</v>
      </c>
      <c r="H2700">
        <v>36</v>
      </c>
      <c r="I2700">
        <v>39</v>
      </c>
      <c r="J2700">
        <v>3</v>
      </c>
      <c r="K2700" s="4">
        <v>168</v>
      </c>
      <c r="L2700" s="4">
        <f>0</f>
        <v>0</v>
      </c>
      <c r="M2700" s="4">
        <f>999</f>
        <v>999</v>
      </c>
      <c r="N2700" t="s">
        <v>19</v>
      </c>
      <c r="O2700" t="str">
        <f t="shared" si="420"/>
        <v>Medium</v>
      </c>
      <c r="P2700" t="str">
        <f t="shared" si="421"/>
        <v>High</v>
      </c>
      <c r="Q2700" t="str">
        <f t="shared" si="422"/>
        <v>High</v>
      </c>
      <c r="R2700" t="s">
        <v>3317</v>
      </c>
      <c r="S2700" s="4">
        <f t="shared" ca="1" si="423"/>
        <v>420</v>
      </c>
      <c r="T2700">
        <f t="shared" si="424"/>
        <v>2</v>
      </c>
      <c r="U2700">
        <f t="shared" si="425"/>
        <v>3</v>
      </c>
      <c r="V2700">
        <f t="shared" si="426"/>
        <v>3</v>
      </c>
      <c r="W2700">
        <f t="shared" si="427"/>
        <v>1</v>
      </c>
      <c r="X2700">
        <f t="shared" si="428"/>
        <v>2.4</v>
      </c>
      <c r="Y2700" t="str">
        <f t="shared" si="429"/>
        <v>High Priority</v>
      </c>
    </row>
    <row r="2701" spans="1:25" x14ac:dyDescent="0.35">
      <c r="A2701" t="s">
        <v>71</v>
      </c>
      <c r="B2701" t="s">
        <v>72</v>
      </c>
      <c r="C2701" t="s">
        <v>320</v>
      </c>
      <c r="D2701" t="s">
        <v>626</v>
      </c>
      <c r="E2701">
        <v>80895449</v>
      </c>
      <c r="F2701" t="s">
        <v>1952</v>
      </c>
      <c r="G2701" s="3">
        <v>47219</v>
      </c>
      <c r="H2701">
        <v>36</v>
      </c>
      <c r="I2701">
        <v>95</v>
      </c>
      <c r="J2701">
        <v>211</v>
      </c>
      <c r="K2701" s="4">
        <v>5908</v>
      </c>
      <c r="L2701" s="4">
        <v>121935</v>
      </c>
      <c r="M2701" s="4">
        <v>1.730430147209579E-3</v>
      </c>
      <c r="N2701" t="s">
        <v>25</v>
      </c>
      <c r="O2701" t="str">
        <f t="shared" si="420"/>
        <v>Low</v>
      </c>
      <c r="P2701" t="str">
        <f t="shared" si="421"/>
        <v>Low</v>
      </c>
      <c r="Q2701" t="str">
        <f t="shared" si="422"/>
        <v>Low</v>
      </c>
      <c r="R2701" t="s">
        <v>3317</v>
      </c>
      <c r="S2701" s="4">
        <f t="shared" ca="1" si="423"/>
        <v>1022</v>
      </c>
      <c r="T2701">
        <f t="shared" si="424"/>
        <v>1</v>
      </c>
      <c r="U2701">
        <f t="shared" si="425"/>
        <v>1</v>
      </c>
      <c r="V2701">
        <f t="shared" si="426"/>
        <v>1</v>
      </c>
      <c r="W2701">
        <f t="shared" si="427"/>
        <v>1</v>
      </c>
      <c r="X2701">
        <f t="shared" si="428"/>
        <v>0.99999999999999989</v>
      </c>
      <c r="Y2701" t="str">
        <f t="shared" si="429"/>
        <v>Healthy</v>
      </c>
    </row>
    <row r="2702" spans="1:25" x14ac:dyDescent="0.35">
      <c r="A2702" t="s">
        <v>71</v>
      </c>
      <c r="B2702" t="s">
        <v>72</v>
      </c>
      <c r="C2702" t="s">
        <v>320</v>
      </c>
      <c r="D2702" t="s">
        <v>626</v>
      </c>
      <c r="E2702">
        <v>80895449</v>
      </c>
      <c r="F2702" t="s">
        <v>1952</v>
      </c>
      <c r="G2702" s="3">
        <v>47172</v>
      </c>
      <c r="H2702">
        <v>36</v>
      </c>
      <c r="I2702">
        <v>91</v>
      </c>
      <c r="J2702">
        <v>275</v>
      </c>
      <c r="K2702" s="4">
        <v>7700</v>
      </c>
      <c r="L2702" s="4">
        <v>121935</v>
      </c>
      <c r="M2702" s="4">
        <v>2.2552999548940008E-3</v>
      </c>
      <c r="N2702" t="s">
        <v>25</v>
      </c>
      <c r="O2702" t="str">
        <f t="shared" si="420"/>
        <v>Low</v>
      </c>
      <c r="P2702" t="str">
        <f t="shared" si="421"/>
        <v>Low</v>
      </c>
      <c r="Q2702" t="str">
        <f t="shared" si="422"/>
        <v>Low</v>
      </c>
      <c r="R2702" t="s">
        <v>3317</v>
      </c>
      <c r="S2702" s="4">
        <f t="shared" ca="1" si="423"/>
        <v>975</v>
      </c>
      <c r="T2702">
        <f t="shared" si="424"/>
        <v>1</v>
      </c>
      <c r="U2702">
        <f t="shared" si="425"/>
        <v>1</v>
      </c>
      <c r="V2702">
        <f t="shared" si="426"/>
        <v>1</v>
      </c>
      <c r="W2702">
        <f t="shared" si="427"/>
        <v>1</v>
      </c>
      <c r="X2702">
        <f t="shared" si="428"/>
        <v>0.99999999999999989</v>
      </c>
      <c r="Y2702" t="str">
        <f t="shared" si="429"/>
        <v>Healthy</v>
      </c>
    </row>
    <row r="2703" spans="1:25" x14ac:dyDescent="0.35">
      <c r="A2703" t="s">
        <v>71</v>
      </c>
      <c r="B2703" t="s">
        <v>72</v>
      </c>
      <c r="C2703" t="s">
        <v>687</v>
      </c>
      <c r="D2703" t="s">
        <v>1954</v>
      </c>
      <c r="E2703">
        <v>80895475</v>
      </c>
      <c r="F2703" t="s">
        <v>1955</v>
      </c>
      <c r="G2703" s="3">
        <v>47078</v>
      </c>
      <c r="H2703">
        <v>36</v>
      </c>
      <c r="I2703">
        <v>82</v>
      </c>
      <c r="J2703">
        <v>279</v>
      </c>
      <c r="K2703" s="4">
        <v>22824.99</v>
      </c>
      <c r="L2703" s="4">
        <v>152.42857142857142</v>
      </c>
      <c r="M2703" s="4">
        <v>1.830365510777882</v>
      </c>
      <c r="N2703" t="s">
        <v>25</v>
      </c>
      <c r="O2703" t="str">
        <f t="shared" si="420"/>
        <v>Low</v>
      </c>
      <c r="P2703" t="str">
        <f t="shared" si="421"/>
        <v>Low</v>
      </c>
      <c r="Q2703" t="str">
        <f t="shared" si="422"/>
        <v>Low</v>
      </c>
      <c r="R2703" t="s">
        <v>3317</v>
      </c>
      <c r="S2703" s="4">
        <f t="shared" ca="1" si="423"/>
        <v>881</v>
      </c>
      <c r="T2703">
        <f t="shared" si="424"/>
        <v>1</v>
      </c>
      <c r="U2703">
        <f t="shared" si="425"/>
        <v>1</v>
      </c>
      <c r="V2703">
        <f t="shared" si="426"/>
        <v>1</v>
      </c>
      <c r="W2703">
        <f t="shared" si="427"/>
        <v>1</v>
      </c>
      <c r="X2703">
        <f t="shared" si="428"/>
        <v>0.99999999999999989</v>
      </c>
      <c r="Y2703" t="str">
        <f t="shared" si="429"/>
        <v>Healthy</v>
      </c>
    </row>
    <row r="2704" spans="1:25" x14ac:dyDescent="0.35">
      <c r="A2704" t="s">
        <v>71</v>
      </c>
      <c r="B2704" t="s">
        <v>72</v>
      </c>
      <c r="C2704" t="s">
        <v>73</v>
      </c>
      <c r="D2704" t="s">
        <v>428</v>
      </c>
      <c r="E2704">
        <v>80895450</v>
      </c>
      <c r="F2704" t="s">
        <v>1956</v>
      </c>
      <c r="G2704" s="3">
        <v>47083</v>
      </c>
      <c r="H2704">
        <v>36</v>
      </c>
      <c r="I2704">
        <v>83</v>
      </c>
      <c r="J2704">
        <v>4</v>
      </c>
      <c r="K2704" s="4">
        <v>3560.32</v>
      </c>
      <c r="L2704" s="4">
        <v>1206.8571428571429</v>
      </c>
      <c r="M2704" s="4">
        <v>3.3143939393939395E-3</v>
      </c>
      <c r="N2704" t="s">
        <v>25</v>
      </c>
      <c r="O2704" t="str">
        <f t="shared" si="420"/>
        <v>Low</v>
      </c>
      <c r="P2704" t="str">
        <f t="shared" si="421"/>
        <v>Low</v>
      </c>
      <c r="Q2704" t="str">
        <f t="shared" si="422"/>
        <v>Low</v>
      </c>
      <c r="R2704" t="s">
        <v>3317</v>
      </c>
      <c r="S2704" s="4">
        <f t="shared" ca="1" si="423"/>
        <v>886</v>
      </c>
      <c r="T2704">
        <f t="shared" si="424"/>
        <v>1</v>
      </c>
      <c r="U2704">
        <f t="shared" si="425"/>
        <v>1</v>
      </c>
      <c r="V2704">
        <f t="shared" si="426"/>
        <v>1</v>
      </c>
      <c r="W2704">
        <f t="shared" si="427"/>
        <v>1</v>
      </c>
      <c r="X2704">
        <f t="shared" si="428"/>
        <v>0.99999999999999989</v>
      </c>
      <c r="Y2704" t="str">
        <f t="shared" si="429"/>
        <v>Healthy</v>
      </c>
    </row>
    <row r="2705" spans="1:25" x14ac:dyDescent="0.35">
      <c r="A2705" t="s">
        <v>71</v>
      </c>
      <c r="B2705" t="s">
        <v>72</v>
      </c>
      <c r="C2705" t="s">
        <v>73</v>
      </c>
      <c r="D2705" t="s">
        <v>428</v>
      </c>
      <c r="E2705">
        <v>80895450</v>
      </c>
      <c r="F2705" t="s">
        <v>1956</v>
      </c>
      <c r="G2705" s="3">
        <v>47264</v>
      </c>
      <c r="H2705">
        <v>36</v>
      </c>
      <c r="I2705">
        <v>99</v>
      </c>
      <c r="J2705">
        <v>124</v>
      </c>
      <c r="K2705" s="4">
        <v>110369.92</v>
      </c>
      <c r="L2705" s="4">
        <v>1206.8571428571429</v>
      </c>
      <c r="M2705" s="4">
        <v>0.10274621212121211</v>
      </c>
      <c r="N2705" t="s">
        <v>25</v>
      </c>
      <c r="O2705" t="str">
        <f t="shared" si="420"/>
        <v>Low</v>
      </c>
      <c r="P2705" t="str">
        <f t="shared" si="421"/>
        <v>Low</v>
      </c>
      <c r="Q2705" t="str">
        <f t="shared" si="422"/>
        <v>Low</v>
      </c>
      <c r="R2705" t="s">
        <v>3310</v>
      </c>
      <c r="S2705" s="4">
        <f t="shared" ca="1" si="423"/>
        <v>1067</v>
      </c>
      <c r="T2705">
        <f t="shared" si="424"/>
        <v>1</v>
      </c>
      <c r="U2705">
        <f t="shared" si="425"/>
        <v>1</v>
      </c>
      <c r="V2705">
        <f t="shared" si="426"/>
        <v>1</v>
      </c>
      <c r="W2705">
        <f t="shared" si="427"/>
        <v>2</v>
      </c>
      <c r="X2705">
        <f t="shared" si="428"/>
        <v>1.0999999999999999</v>
      </c>
      <c r="Y2705" t="str">
        <f t="shared" si="429"/>
        <v>Healthy</v>
      </c>
    </row>
    <row r="2706" spans="1:25" x14ac:dyDescent="0.35">
      <c r="A2706" t="s">
        <v>71</v>
      </c>
      <c r="B2706" t="s">
        <v>72</v>
      </c>
      <c r="C2706" t="s">
        <v>73</v>
      </c>
      <c r="D2706" t="s">
        <v>428</v>
      </c>
      <c r="E2706">
        <v>80895450</v>
      </c>
      <c r="F2706" t="s">
        <v>1956</v>
      </c>
      <c r="G2706" s="3">
        <v>47251</v>
      </c>
      <c r="H2706">
        <v>36</v>
      </c>
      <c r="I2706">
        <v>98</v>
      </c>
      <c r="J2706">
        <v>20</v>
      </c>
      <c r="K2706" s="4">
        <v>17801.599999999999</v>
      </c>
      <c r="L2706" s="4">
        <v>1206.8571428571429</v>
      </c>
      <c r="M2706" s="4">
        <v>1.6571969696969696E-2</v>
      </c>
      <c r="N2706" t="s">
        <v>25</v>
      </c>
      <c r="O2706" t="str">
        <f t="shared" si="420"/>
        <v>Low</v>
      </c>
      <c r="P2706" t="str">
        <f t="shared" si="421"/>
        <v>Low</v>
      </c>
      <c r="Q2706" t="str">
        <f t="shared" si="422"/>
        <v>Low</v>
      </c>
      <c r="R2706" t="s">
        <v>3317</v>
      </c>
      <c r="S2706" s="4">
        <f t="shared" ca="1" si="423"/>
        <v>1054</v>
      </c>
      <c r="T2706">
        <f t="shared" si="424"/>
        <v>1</v>
      </c>
      <c r="U2706">
        <f t="shared" si="425"/>
        <v>1</v>
      </c>
      <c r="V2706">
        <f t="shared" si="426"/>
        <v>1</v>
      </c>
      <c r="W2706">
        <f t="shared" si="427"/>
        <v>1</v>
      </c>
      <c r="X2706">
        <f t="shared" si="428"/>
        <v>0.99999999999999989</v>
      </c>
      <c r="Y2706" t="str">
        <f t="shared" si="429"/>
        <v>Healthy</v>
      </c>
    </row>
    <row r="2707" spans="1:25" x14ac:dyDescent="0.35">
      <c r="A2707" t="s">
        <v>71</v>
      </c>
      <c r="B2707" t="s">
        <v>72</v>
      </c>
      <c r="C2707" t="s">
        <v>73</v>
      </c>
      <c r="D2707" t="s">
        <v>428</v>
      </c>
      <c r="E2707">
        <v>80895450</v>
      </c>
      <c r="F2707" t="s">
        <v>1956</v>
      </c>
      <c r="G2707" s="3">
        <v>47241</v>
      </c>
      <c r="H2707">
        <v>36</v>
      </c>
      <c r="I2707">
        <v>97</v>
      </c>
      <c r="J2707">
        <v>4</v>
      </c>
      <c r="K2707" s="4">
        <v>3560.32</v>
      </c>
      <c r="L2707" s="4">
        <v>1206.8571428571429</v>
      </c>
      <c r="M2707" s="4">
        <v>3.3143939393939395E-3</v>
      </c>
      <c r="N2707" t="s">
        <v>25</v>
      </c>
      <c r="O2707" t="str">
        <f t="shared" si="420"/>
        <v>Low</v>
      </c>
      <c r="P2707" t="str">
        <f t="shared" si="421"/>
        <v>Low</v>
      </c>
      <c r="Q2707" t="str">
        <f t="shared" si="422"/>
        <v>Low</v>
      </c>
      <c r="R2707" t="s">
        <v>3317</v>
      </c>
      <c r="S2707" s="4">
        <f t="shared" ca="1" si="423"/>
        <v>1044</v>
      </c>
      <c r="T2707">
        <f t="shared" si="424"/>
        <v>1</v>
      </c>
      <c r="U2707">
        <f t="shared" si="425"/>
        <v>1</v>
      </c>
      <c r="V2707">
        <f t="shared" si="426"/>
        <v>1</v>
      </c>
      <c r="W2707">
        <f t="shared" si="427"/>
        <v>1</v>
      </c>
      <c r="X2707">
        <f t="shared" si="428"/>
        <v>0.99999999999999989</v>
      </c>
      <c r="Y2707" t="str">
        <f t="shared" si="429"/>
        <v>Healthy</v>
      </c>
    </row>
    <row r="2708" spans="1:25" x14ac:dyDescent="0.35">
      <c r="A2708" t="s">
        <v>71</v>
      </c>
      <c r="B2708" t="s">
        <v>72</v>
      </c>
      <c r="C2708" t="s">
        <v>73</v>
      </c>
      <c r="D2708" t="s">
        <v>428</v>
      </c>
      <c r="E2708">
        <v>80895450</v>
      </c>
      <c r="F2708" t="s">
        <v>1956</v>
      </c>
      <c r="G2708" s="3">
        <v>47271</v>
      </c>
      <c r="H2708">
        <v>36</v>
      </c>
      <c r="I2708">
        <v>100</v>
      </c>
      <c r="J2708">
        <v>164</v>
      </c>
      <c r="K2708" s="4">
        <v>145973.12</v>
      </c>
      <c r="L2708" s="4">
        <v>1206.8571428571429</v>
      </c>
      <c r="M2708" s="4">
        <v>0.13589015151515152</v>
      </c>
      <c r="N2708" t="s">
        <v>25</v>
      </c>
      <c r="O2708" t="str">
        <f t="shared" si="420"/>
        <v>Low</v>
      </c>
      <c r="P2708" t="str">
        <f t="shared" si="421"/>
        <v>Low</v>
      </c>
      <c r="Q2708" t="str">
        <f t="shared" si="422"/>
        <v>Low</v>
      </c>
      <c r="R2708" t="s">
        <v>3309</v>
      </c>
      <c r="S2708" s="4">
        <f t="shared" ca="1" si="423"/>
        <v>1074</v>
      </c>
      <c r="T2708">
        <f t="shared" si="424"/>
        <v>1</v>
      </c>
      <c r="U2708">
        <f t="shared" si="425"/>
        <v>1</v>
      </c>
      <c r="V2708">
        <f t="shared" si="426"/>
        <v>1</v>
      </c>
      <c r="W2708">
        <f t="shared" si="427"/>
        <v>3</v>
      </c>
      <c r="X2708">
        <f t="shared" si="428"/>
        <v>1.2</v>
      </c>
      <c r="Y2708" t="str">
        <f t="shared" si="429"/>
        <v>Healthy</v>
      </c>
    </row>
    <row r="2709" spans="1:25" x14ac:dyDescent="0.35">
      <c r="A2709" t="s">
        <v>71</v>
      </c>
      <c r="B2709" t="s">
        <v>72</v>
      </c>
      <c r="C2709" t="s">
        <v>73</v>
      </c>
      <c r="D2709" t="s">
        <v>428</v>
      </c>
      <c r="E2709">
        <v>80895450</v>
      </c>
      <c r="F2709" t="s">
        <v>1956</v>
      </c>
      <c r="G2709" s="3">
        <v>47228</v>
      </c>
      <c r="H2709">
        <v>36</v>
      </c>
      <c r="I2709">
        <v>96</v>
      </c>
      <c r="J2709">
        <v>32</v>
      </c>
      <c r="K2709" s="4">
        <v>28482.560000000001</v>
      </c>
      <c r="L2709" s="4">
        <v>1206.8571428571429</v>
      </c>
      <c r="M2709" s="4">
        <v>2.6515151515151516E-2</v>
      </c>
      <c r="N2709" t="s">
        <v>25</v>
      </c>
      <c r="O2709" t="str">
        <f t="shared" si="420"/>
        <v>Low</v>
      </c>
      <c r="P2709" t="str">
        <f t="shared" si="421"/>
        <v>Low</v>
      </c>
      <c r="Q2709" t="str">
        <f t="shared" si="422"/>
        <v>Low</v>
      </c>
      <c r="R2709" t="s">
        <v>3317</v>
      </c>
      <c r="S2709" s="4">
        <f t="shared" ca="1" si="423"/>
        <v>1031</v>
      </c>
      <c r="T2709">
        <f t="shared" si="424"/>
        <v>1</v>
      </c>
      <c r="U2709">
        <f t="shared" si="425"/>
        <v>1</v>
      </c>
      <c r="V2709">
        <f t="shared" si="426"/>
        <v>1</v>
      </c>
      <c r="W2709">
        <f t="shared" si="427"/>
        <v>1</v>
      </c>
      <c r="X2709">
        <f t="shared" si="428"/>
        <v>0.99999999999999989</v>
      </c>
      <c r="Y2709" t="str">
        <f t="shared" si="429"/>
        <v>Healthy</v>
      </c>
    </row>
    <row r="2710" spans="1:25" x14ac:dyDescent="0.35">
      <c r="A2710" t="s">
        <v>71</v>
      </c>
      <c r="B2710" t="s">
        <v>72</v>
      </c>
      <c r="C2710" t="s">
        <v>73</v>
      </c>
      <c r="D2710" t="s">
        <v>428</v>
      </c>
      <c r="E2710">
        <v>80895450</v>
      </c>
      <c r="F2710" t="s">
        <v>1956</v>
      </c>
      <c r="G2710" s="3">
        <v>47209</v>
      </c>
      <c r="H2710">
        <v>36</v>
      </c>
      <c r="I2710">
        <v>94</v>
      </c>
      <c r="J2710">
        <v>4</v>
      </c>
      <c r="K2710" s="4">
        <v>3560.32</v>
      </c>
      <c r="L2710" s="4">
        <v>1206.8571428571429</v>
      </c>
      <c r="M2710" s="4">
        <v>3.3143939393939395E-3</v>
      </c>
      <c r="N2710" t="s">
        <v>25</v>
      </c>
      <c r="O2710" t="str">
        <f t="shared" si="420"/>
        <v>Low</v>
      </c>
      <c r="P2710" t="str">
        <f t="shared" si="421"/>
        <v>Low</v>
      </c>
      <c r="Q2710" t="str">
        <f t="shared" si="422"/>
        <v>Low</v>
      </c>
      <c r="R2710" t="s">
        <v>3317</v>
      </c>
      <c r="S2710" s="4">
        <f t="shared" ca="1" si="423"/>
        <v>1012</v>
      </c>
      <c r="T2710">
        <f t="shared" si="424"/>
        <v>1</v>
      </c>
      <c r="U2710">
        <f t="shared" si="425"/>
        <v>1</v>
      </c>
      <c r="V2710">
        <f t="shared" si="426"/>
        <v>1</v>
      </c>
      <c r="W2710">
        <f t="shared" si="427"/>
        <v>1</v>
      </c>
      <c r="X2710">
        <f t="shared" si="428"/>
        <v>0.99999999999999989</v>
      </c>
      <c r="Y2710" t="str">
        <f t="shared" si="429"/>
        <v>Healthy</v>
      </c>
    </row>
    <row r="2711" spans="1:25" x14ac:dyDescent="0.35">
      <c r="A2711" t="s">
        <v>71</v>
      </c>
      <c r="B2711" t="s">
        <v>72</v>
      </c>
      <c r="C2711" t="s">
        <v>73</v>
      </c>
      <c r="D2711" t="s">
        <v>428</v>
      </c>
      <c r="E2711">
        <v>80895450</v>
      </c>
      <c r="F2711" t="s">
        <v>1956</v>
      </c>
      <c r="G2711" s="3">
        <v>47282</v>
      </c>
      <c r="H2711">
        <v>36</v>
      </c>
      <c r="I2711">
        <v>100</v>
      </c>
      <c r="J2711">
        <v>100</v>
      </c>
      <c r="K2711" s="4">
        <v>89008</v>
      </c>
      <c r="L2711" s="4">
        <v>1206.8571428571429</v>
      </c>
      <c r="M2711" s="4">
        <v>8.2859848484848481E-2</v>
      </c>
      <c r="N2711" t="s">
        <v>25</v>
      </c>
      <c r="O2711" t="str">
        <f t="shared" si="420"/>
        <v>Low</v>
      </c>
      <c r="P2711" t="str">
        <f t="shared" si="421"/>
        <v>Low</v>
      </c>
      <c r="Q2711" t="str">
        <f t="shared" si="422"/>
        <v>Low</v>
      </c>
      <c r="R2711" t="s">
        <v>3310</v>
      </c>
      <c r="S2711" s="4">
        <f t="shared" ca="1" si="423"/>
        <v>1085</v>
      </c>
      <c r="T2711">
        <f t="shared" si="424"/>
        <v>1</v>
      </c>
      <c r="U2711">
        <f t="shared" si="425"/>
        <v>1</v>
      </c>
      <c r="V2711">
        <f t="shared" si="426"/>
        <v>1</v>
      </c>
      <c r="W2711">
        <f t="shared" si="427"/>
        <v>2</v>
      </c>
      <c r="X2711">
        <f t="shared" si="428"/>
        <v>1.0999999999999999</v>
      </c>
      <c r="Y2711" t="str">
        <f t="shared" si="429"/>
        <v>Healthy</v>
      </c>
    </row>
    <row r="2712" spans="1:25" x14ac:dyDescent="0.35">
      <c r="A2712" t="s">
        <v>14</v>
      </c>
      <c r="B2712" t="s">
        <v>343</v>
      </c>
      <c r="C2712" t="s">
        <v>344</v>
      </c>
      <c r="D2712" t="s">
        <v>1957</v>
      </c>
      <c r="E2712">
        <v>82332600</v>
      </c>
      <c r="F2712" t="s">
        <v>1958</v>
      </c>
      <c r="G2712" s="3">
        <v>46632</v>
      </c>
      <c r="H2712">
        <v>60</v>
      </c>
      <c r="I2712">
        <v>24</v>
      </c>
      <c r="J2712">
        <v>12</v>
      </c>
      <c r="K2712" s="4">
        <v>3839.88</v>
      </c>
      <c r="L2712" s="4">
        <f>0</f>
        <v>0</v>
      </c>
      <c r="M2712" s="4">
        <f>999</f>
        <v>999</v>
      </c>
      <c r="N2712" t="s">
        <v>19</v>
      </c>
      <c r="O2712" t="str">
        <f t="shared" si="420"/>
        <v>Medium</v>
      </c>
      <c r="P2712" t="str">
        <f t="shared" si="421"/>
        <v>High</v>
      </c>
      <c r="Q2712" t="str">
        <f t="shared" si="422"/>
        <v>High</v>
      </c>
      <c r="R2712" t="s">
        <v>3317</v>
      </c>
      <c r="S2712" s="4">
        <f t="shared" ca="1" si="423"/>
        <v>435</v>
      </c>
      <c r="T2712">
        <f t="shared" si="424"/>
        <v>2</v>
      </c>
      <c r="U2712">
        <f t="shared" si="425"/>
        <v>3</v>
      </c>
      <c r="V2712">
        <f t="shared" si="426"/>
        <v>3</v>
      </c>
      <c r="W2712">
        <f t="shared" si="427"/>
        <v>1</v>
      </c>
      <c r="X2712">
        <f t="shared" si="428"/>
        <v>2.4</v>
      </c>
      <c r="Y2712" t="str">
        <f t="shared" si="429"/>
        <v>High Priority</v>
      </c>
    </row>
    <row r="2713" spans="1:25" x14ac:dyDescent="0.35">
      <c r="A2713" t="s">
        <v>71</v>
      </c>
      <c r="B2713" t="s">
        <v>72</v>
      </c>
      <c r="C2713" t="s">
        <v>73</v>
      </c>
      <c r="D2713" t="s">
        <v>428</v>
      </c>
      <c r="E2713">
        <v>80895450</v>
      </c>
      <c r="F2713" t="s">
        <v>1956</v>
      </c>
      <c r="G2713" s="3">
        <v>47250</v>
      </c>
      <c r="H2713">
        <v>36</v>
      </c>
      <c r="I2713">
        <v>98</v>
      </c>
      <c r="J2713">
        <v>24</v>
      </c>
      <c r="K2713" s="4">
        <v>21361.919999999998</v>
      </c>
      <c r="L2713" s="4">
        <v>1206.8571428571429</v>
      </c>
      <c r="M2713" s="4">
        <v>1.9886363636363636E-2</v>
      </c>
      <c r="N2713" t="s">
        <v>25</v>
      </c>
      <c r="O2713" t="str">
        <f t="shared" si="420"/>
        <v>Low</v>
      </c>
      <c r="P2713" t="str">
        <f t="shared" si="421"/>
        <v>Low</v>
      </c>
      <c r="Q2713" t="str">
        <f t="shared" si="422"/>
        <v>Low</v>
      </c>
      <c r="R2713" t="s">
        <v>3317</v>
      </c>
      <c r="S2713" s="4">
        <f t="shared" ca="1" si="423"/>
        <v>1053</v>
      </c>
      <c r="T2713">
        <f t="shared" si="424"/>
        <v>1</v>
      </c>
      <c r="U2713">
        <f t="shared" si="425"/>
        <v>1</v>
      </c>
      <c r="V2713">
        <f t="shared" si="426"/>
        <v>1</v>
      </c>
      <c r="W2713">
        <f t="shared" si="427"/>
        <v>1</v>
      </c>
      <c r="X2713">
        <f t="shared" si="428"/>
        <v>0.99999999999999989</v>
      </c>
      <c r="Y2713" t="str">
        <f t="shared" si="429"/>
        <v>Healthy</v>
      </c>
    </row>
    <row r="2714" spans="1:25" x14ac:dyDescent="0.35">
      <c r="A2714" t="s">
        <v>71</v>
      </c>
      <c r="B2714" t="s">
        <v>72</v>
      </c>
      <c r="C2714" t="s">
        <v>73</v>
      </c>
      <c r="D2714" t="s">
        <v>428</v>
      </c>
      <c r="E2714">
        <v>80895450</v>
      </c>
      <c r="F2714" t="s">
        <v>1956</v>
      </c>
      <c r="G2714" s="3">
        <v>47225</v>
      </c>
      <c r="H2714">
        <v>36</v>
      </c>
      <c r="I2714">
        <v>96</v>
      </c>
      <c r="J2714">
        <v>32</v>
      </c>
      <c r="K2714" s="4">
        <v>28482.560000000001</v>
      </c>
      <c r="L2714" s="4">
        <v>1206.8571428571429</v>
      </c>
      <c r="M2714" s="4">
        <v>2.6515151515151516E-2</v>
      </c>
      <c r="N2714" t="s">
        <v>25</v>
      </c>
      <c r="O2714" t="str">
        <f t="shared" si="420"/>
        <v>Low</v>
      </c>
      <c r="P2714" t="str">
        <f t="shared" si="421"/>
        <v>Low</v>
      </c>
      <c r="Q2714" t="str">
        <f t="shared" si="422"/>
        <v>Low</v>
      </c>
      <c r="R2714" t="s">
        <v>3317</v>
      </c>
      <c r="S2714" s="4">
        <f t="shared" ca="1" si="423"/>
        <v>1028</v>
      </c>
      <c r="T2714">
        <f t="shared" si="424"/>
        <v>1</v>
      </c>
      <c r="U2714">
        <f t="shared" si="425"/>
        <v>1</v>
      </c>
      <c r="V2714">
        <f t="shared" si="426"/>
        <v>1</v>
      </c>
      <c r="W2714">
        <f t="shared" si="427"/>
        <v>1</v>
      </c>
      <c r="X2714">
        <f t="shared" si="428"/>
        <v>0.99999999999999989</v>
      </c>
      <c r="Y2714" t="str">
        <f t="shared" si="429"/>
        <v>Healthy</v>
      </c>
    </row>
    <row r="2715" spans="1:25" x14ac:dyDescent="0.35">
      <c r="A2715" t="s">
        <v>71</v>
      </c>
      <c r="B2715" t="s">
        <v>72</v>
      </c>
      <c r="C2715" t="s">
        <v>73</v>
      </c>
      <c r="D2715" t="s">
        <v>428</v>
      </c>
      <c r="E2715">
        <v>80895450</v>
      </c>
      <c r="F2715" t="s">
        <v>1956</v>
      </c>
      <c r="G2715" s="3">
        <v>47234</v>
      </c>
      <c r="H2715">
        <v>36</v>
      </c>
      <c r="I2715">
        <v>96</v>
      </c>
      <c r="J2715">
        <v>8</v>
      </c>
      <c r="K2715" s="4">
        <v>7120.64</v>
      </c>
      <c r="L2715" s="4">
        <v>1206.8571428571429</v>
      </c>
      <c r="M2715" s="4">
        <v>6.628787878787879E-3</v>
      </c>
      <c r="N2715" t="s">
        <v>25</v>
      </c>
      <c r="O2715" t="str">
        <f t="shared" si="420"/>
        <v>Low</v>
      </c>
      <c r="P2715" t="str">
        <f t="shared" si="421"/>
        <v>Low</v>
      </c>
      <c r="Q2715" t="str">
        <f t="shared" si="422"/>
        <v>Low</v>
      </c>
      <c r="R2715" t="s">
        <v>3317</v>
      </c>
      <c r="S2715" s="4">
        <f t="shared" ca="1" si="423"/>
        <v>1037</v>
      </c>
      <c r="T2715">
        <f t="shared" si="424"/>
        <v>1</v>
      </c>
      <c r="U2715">
        <f t="shared" si="425"/>
        <v>1</v>
      </c>
      <c r="V2715">
        <f t="shared" si="426"/>
        <v>1</v>
      </c>
      <c r="W2715">
        <f t="shared" si="427"/>
        <v>1</v>
      </c>
      <c r="X2715">
        <f t="shared" si="428"/>
        <v>0.99999999999999989</v>
      </c>
      <c r="Y2715" t="str">
        <f t="shared" si="429"/>
        <v>Healthy</v>
      </c>
    </row>
    <row r="2716" spans="1:25" x14ac:dyDescent="0.35">
      <c r="A2716" t="s">
        <v>29</v>
      </c>
      <c r="B2716" t="s">
        <v>30</v>
      </c>
      <c r="C2716" t="s">
        <v>449</v>
      </c>
      <c r="D2716" t="s">
        <v>1000</v>
      </c>
      <c r="E2716">
        <v>82316490</v>
      </c>
      <c r="F2716" t="s">
        <v>1959</v>
      </c>
      <c r="G2716" s="3">
        <v>46256</v>
      </c>
      <c r="H2716">
        <v>36</v>
      </c>
      <c r="I2716">
        <v>6</v>
      </c>
      <c r="J2716">
        <v>1</v>
      </c>
      <c r="K2716" s="4">
        <v>833.92</v>
      </c>
      <c r="L2716" s="4">
        <f>0</f>
        <v>0</v>
      </c>
      <c r="M2716" s="4">
        <f>999</f>
        <v>999</v>
      </c>
      <c r="N2716" t="s">
        <v>19</v>
      </c>
      <c r="O2716" t="str">
        <f t="shared" si="420"/>
        <v>High</v>
      </c>
      <c r="P2716" t="str">
        <f t="shared" si="421"/>
        <v>High</v>
      </c>
      <c r="Q2716" t="str">
        <f t="shared" si="422"/>
        <v>High</v>
      </c>
      <c r="R2716" t="s">
        <v>3317</v>
      </c>
      <c r="S2716" s="4">
        <f t="shared" ca="1" si="423"/>
        <v>59</v>
      </c>
      <c r="T2716">
        <f t="shared" si="424"/>
        <v>3</v>
      </c>
      <c r="U2716">
        <f t="shared" si="425"/>
        <v>3</v>
      </c>
      <c r="V2716">
        <f t="shared" si="426"/>
        <v>3</v>
      </c>
      <c r="W2716">
        <f t="shared" si="427"/>
        <v>1</v>
      </c>
      <c r="X2716">
        <f t="shared" si="428"/>
        <v>2.8000000000000003</v>
      </c>
      <c r="Y2716" t="str">
        <f t="shared" si="429"/>
        <v>Move Immediately</v>
      </c>
    </row>
    <row r="2717" spans="1:25" x14ac:dyDescent="0.35">
      <c r="A2717" t="s">
        <v>71</v>
      </c>
      <c r="B2717" t="s">
        <v>72</v>
      </c>
      <c r="C2717" t="s">
        <v>687</v>
      </c>
      <c r="D2717" t="s">
        <v>890</v>
      </c>
      <c r="E2717">
        <v>80895476</v>
      </c>
      <c r="F2717" t="s">
        <v>1960</v>
      </c>
      <c r="G2717" s="3">
        <v>47092</v>
      </c>
      <c r="H2717">
        <v>36</v>
      </c>
      <c r="I2717">
        <v>83</v>
      </c>
      <c r="J2717">
        <v>10</v>
      </c>
      <c r="K2717" s="4">
        <v>3122</v>
      </c>
      <c r="L2717" s="4">
        <v>247.57142857142858</v>
      </c>
      <c r="M2717" s="4">
        <v>4.0392383150605886E-2</v>
      </c>
      <c r="N2717" t="s">
        <v>25</v>
      </c>
      <c r="O2717" t="str">
        <f t="shared" si="420"/>
        <v>Low</v>
      </c>
      <c r="P2717" t="str">
        <f t="shared" si="421"/>
        <v>Low</v>
      </c>
      <c r="Q2717" t="str">
        <f t="shared" si="422"/>
        <v>Low</v>
      </c>
      <c r="R2717" t="s">
        <v>3317</v>
      </c>
      <c r="S2717" s="4">
        <f t="shared" ca="1" si="423"/>
        <v>895</v>
      </c>
      <c r="T2717">
        <f t="shared" si="424"/>
        <v>1</v>
      </c>
      <c r="U2717">
        <f t="shared" si="425"/>
        <v>1</v>
      </c>
      <c r="V2717">
        <f t="shared" si="426"/>
        <v>1</v>
      </c>
      <c r="W2717">
        <f t="shared" si="427"/>
        <v>1</v>
      </c>
      <c r="X2717">
        <f t="shared" si="428"/>
        <v>0.99999999999999989</v>
      </c>
      <c r="Y2717" t="str">
        <f t="shared" si="429"/>
        <v>Healthy</v>
      </c>
    </row>
    <row r="2718" spans="1:25" x14ac:dyDescent="0.35">
      <c r="A2718" t="s">
        <v>71</v>
      </c>
      <c r="B2718" t="s">
        <v>72</v>
      </c>
      <c r="C2718" t="s">
        <v>687</v>
      </c>
      <c r="D2718" t="s">
        <v>890</v>
      </c>
      <c r="E2718">
        <v>80895476</v>
      </c>
      <c r="F2718" t="s">
        <v>1960</v>
      </c>
      <c r="G2718" s="3">
        <v>47093</v>
      </c>
      <c r="H2718">
        <v>36</v>
      </c>
      <c r="I2718">
        <v>83</v>
      </c>
      <c r="J2718">
        <v>16</v>
      </c>
      <c r="K2718" s="4">
        <v>4995.2</v>
      </c>
      <c r="L2718" s="4">
        <v>247.57142857142858</v>
      </c>
      <c r="M2718" s="4">
        <v>6.4627813040969415E-2</v>
      </c>
      <c r="N2718" t="s">
        <v>25</v>
      </c>
      <c r="O2718" t="str">
        <f t="shared" si="420"/>
        <v>Low</v>
      </c>
      <c r="P2718" t="str">
        <f t="shared" si="421"/>
        <v>Low</v>
      </c>
      <c r="Q2718" t="str">
        <f t="shared" si="422"/>
        <v>Low</v>
      </c>
      <c r="R2718" t="s">
        <v>3317</v>
      </c>
      <c r="S2718" s="4">
        <f t="shared" ca="1" si="423"/>
        <v>896</v>
      </c>
      <c r="T2718">
        <f t="shared" si="424"/>
        <v>1</v>
      </c>
      <c r="U2718">
        <f t="shared" si="425"/>
        <v>1</v>
      </c>
      <c r="V2718">
        <f t="shared" si="426"/>
        <v>1</v>
      </c>
      <c r="W2718">
        <f t="shared" si="427"/>
        <v>1</v>
      </c>
      <c r="X2718">
        <f t="shared" si="428"/>
        <v>0.99999999999999989</v>
      </c>
      <c r="Y2718" t="str">
        <f t="shared" si="429"/>
        <v>Healthy</v>
      </c>
    </row>
    <row r="2719" spans="1:25" x14ac:dyDescent="0.35">
      <c r="A2719" t="s">
        <v>71</v>
      </c>
      <c r="B2719" t="s">
        <v>72</v>
      </c>
      <c r="C2719" t="s">
        <v>687</v>
      </c>
      <c r="D2719" t="s">
        <v>890</v>
      </c>
      <c r="E2719">
        <v>80895476</v>
      </c>
      <c r="F2719" t="s">
        <v>1960</v>
      </c>
      <c r="G2719" s="3">
        <v>47050</v>
      </c>
      <c r="H2719">
        <v>36</v>
      </c>
      <c r="I2719">
        <v>79</v>
      </c>
      <c r="J2719">
        <v>12</v>
      </c>
      <c r="K2719" s="4">
        <v>3746.4</v>
      </c>
      <c r="L2719" s="4">
        <v>247.57142857142858</v>
      </c>
      <c r="M2719" s="4">
        <v>4.8470859780727057E-2</v>
      </c>
      <c r="N2719" t="s">
        <v>25</v>
      </c>
      <c r="O2719" t="str">
        <f t="shared" si="420"/>
        <v>Low</v>
      </c>
      <c r="P2719" t="str">
        <f t="shared" si="421"/>
        <v>Low</v>
      </c>
      <c r="Q2719" t="str">
        <f t="shared" si="422"/>
        <v>Low</v>
      </c>
      <c r="R2719" t="s">
        <v>3317</v>
      </c>
      <c r="S2719" s="4">
        <f t="shared" ca="1" si="423"/>
        <v>853</v>
      </c>
      <c r="T2719">
        <f t="shared" si="424"/>
        <v>1</v>
      </c>
      <c r="U2719">
        <f t="shared" si="425"/>
        <v>1</v>
      </c>
      <c r="V2719">
        <f t="shared" si="426"/>
        <v>1</v>
      </c>
      <c r="W2719">
        <f t="shared" si="427"/>
        <v>1</v>
      </c>
      <c r="X2719">
        <f t="shared" si="428"/>
        <v>0.99999999999999989</v>
      </c>
      <c r="Y2719" t="str">
        <f t="shared" si="429"/>
        <v>Healthy</v>
      </c>
    </row>
    <row r="2720" spans="1:25" x14ac:dyDescent="0.35">
      <c r="A2720" t="s">
        <v>20</v>
      </c>
      <c r="B2720" t="s">
        <v>21</v>
      </c>
      <c r="C2720" t="s">
        <v>126</v>
      </c>
      <c r="D2720" t="s">
        <v>980</v>
      </c>
      <c r="E2720">
        <v>80707384</v>
      </c>
      <c r="F2720" t="s">
        <v>1961</v>
      </c>
      <c r="G2720" s="3">
        <v>46102</v>
      </c>
      <c r="H2720">
        <v>36</v>
      </c>
      <c r="I2720">
        <v>0</v>
      </c>
      <c r="J2720">
        <v>20</v>
      </c>
      <c r="K2720" s="4">
        <v>8755.6</v>
      </c>
      <c r="L2720" s="4">
        <f>0</f>
        <v>0</v>
      </c>
      <c r="M2720" s="4">
        <f>999</f>
        <v>999</v>
      </c>
      <c r="N2720" t="s">
        <v>19</v>
      </c>
      <c r="O2720" t="str">
        <f t="shared" si="420"/>
        <v>High</v>
      </c>
      <c r="P2720" t="str">
        <f t="shared" si="421"/>
        <v>High</v>
      </c>
      <c r="Q2720" t="str">
        <f t="shared" si="422"/>
        <v>High</v>
      </c>
      <c r="R2720" t="s">
        <v>3317</v>
      </c>
      <c r="S2720" s="4">
        <f t="shared" ca="1" si="423"/>
        <v>-95</v>
      </c>
      <c r="T2720">
        <f t="shared" si="424"/>
        <v>3</v>
      </c>
      <c r="U2720">
        <f t="shared" si="425"/>
        <v>3</v>
      </c>
      <c r="V2720">
        <f t="shared" si="426"/>
        <v>3</v>
      </c>
      <c r="W2720">
        <f t="shared" si="427"/>
        <v>1</v>
      </c>
      <c r="X2720">
        <f t="shared" si="428"/>
        <v>2.8000000000000003</v>
      </c>
      <c r="Y2720" t="str">
        <f t="shared" si="429"/>
        <v>Move Immediately</v>
      </c>
    </row>
    <row r="2721" spans="1:25" x14ac:dyDescent="0.35">
      <c r="A2721" t="s">
        <v>71</v>
      </c>
      <c r="B2721" t="s">
        <v>72</v>
      </c>
      <c r="C2721" t="s">
        <v>687</v>
      </c>
      <c r="D2721" t="s">
        <v>890</v>
      </c>
      <c r="E2721">
        <v>80895476</v>
      </c>
      <c r="F2721" t="s">
        <v>1960</v>
      </c>
      <c r="G2721" s="3">
        <v>47226</v>
      </c>
      <c r="H2721">
        <v>36</v>
      </c>
      <c r="I2721">
        <v>96</v>
      </c>
      <c r="J2721">
        <v>95</v>
      </c>
      <c r="K2721" s="4">
        <v>29659</v>
      </c>
      <c r="L2721" s="4">
        <v>247.57142857142858</v>
      </c>
      <c r="M2721" s="4">
        <v>0.38372763993075587</v>
      </c>
      <c r="N2721" t="s">
        <v>25</v>
      </c>
      <c r="O2721" t="str">
        <f t="shared" si="420"/>
        <v>Low</v>
      </c>
      <c r="P2721" t="str">
        <f t="shared" si="421"/>
        <v>Low</v>
      </c>
      <c r="Q2721" t="str">
        <f t="shared" si="422"/>
        <v>Low</v>
      </c>
      <c r="R2721" t="s">
        <v>3317</v>
      </c>
      <c r="S2721" s="4">
        <f t="shared" ca="1" si="423"/>
        <v>1029</v>
      </c>
      <c r="T2721">
        <f t="shared" si="424"/>
        <v>1</v>
      </c>
      <c r="U2721">
        <f t="shared" si="425"/>
        <v>1</v>
      </c>
      <c r="V2721">
        <f t="shared" si="426"/>
        <v>1</v>
      </c>
      <c r="W2721">
        <f t="shared" si="427"/>
        <v>1</v>
      </c>
      <c r="X2721">
        <f t="shared" si="428"/>
        <v>0.99999999999999989</v>
      </c>
      <c r="Y2721" t="str">
        <f t="shared" si="429"/>
        <v>Healthy</v>
      </c>
    </row>
    <row r="2722" spans="1:25" x14ac:dyDescent="0.35">
      <c r="A2722" t="s">
        <v>71</v>
      </c>
      <c r="B2722" t="s">
        <v>72</v>
      </c>
      <c r="C2722" t="s">
        <v>73</v>
      </c>
      <c r="D2722" t="s">
        <v>158</v>
      </c>
      <c r="E2722">
        <v>80895451</v>
      </c>
      <c r="F2722" t="s">
        <v>1962</v>
      </c>
      <c r="G2722" s="3">
        <v>47277</v>
      </c>
      <c r="H2722">
        <v>36</v>
      </c>
      <c r="I2722">
        <v>100</v>
      </c>
      <c r="J2722">
        <v>164</v>
      </c>
      <c r="K2722" s="4">
        <v>157308.79999999999</v>
      </c>
      <c r="L2722" s="4">
        <v>1761.2857142857142</v>
      </c>
      <c r="M2722" s="4">
        <v>9.3113796739394933E-2</v>
      </c>
      <c r="N2722" t="s">
        <v>25</v>
      </c>
      <c r="O2722" t="str">
        <f t="shared" si="420"/>
        <v>Low</v>
      </c>
      <c r="P2722" t="str">
        <f t="shared" si="421"/>
        <v>Low</v>
      </c>
      <c r="Q2722" t="str">
        <f t="shared" si="422"/>
        <v>Low</v>
      </c>
      <c r="R2722" t="s">
        <v>3309</v>
      </c>
      <c r="S2722" s="4">
        <f t="shared" ca="1" si="423"/>
        <v>1080</v>
      </c>
      <c r="T2722">
        <f t="shared" si="424"/>
        <v>1</v>
      </c>
      <c r="U2722">
        <f t="shared" si="425"/>
        <v>1</v>
      </c>
      <c r="V2722">
        <f t="shared" si="426"/>
        <v>1</v>
      </c>
      <c r="W2722">
        <f t="shared" si="427"/>
        <v>3</v>
      </c>
      <c r="X2722">
        <f t="shared" si="428"/>
        <v>1.2</v>
      </c>
      <c r="Y2722" t="str">
        <f t="shared" si="429"/>
        <v>Healthy</v>
      </c>
    </row>
    <row r="2723" spans="1:25" x14ac:dyDescent="0.35">
      <c r="A2723" t="s">
        <v>71</v>
      </c>
      <c r="B2723" t="s">
        <v>72</v>
      </c>
      <c r="C2723" t="s">
        <v>73</v>
      </c>
      <c r="D2723" t="s">
        <v>158</v>
      </c>
      <c r="E2723">
        <v>80895451</v>
      </c>
      <c r="F2723" t="s">
        <v>1962</v>
      </c>
      <c r="G2723" s="3">
        <v>47225</v>
      </c>
      <c r="H2723">
        <v>36</v>
      </c>
      <c r="I2723">
        <v>96</v>
      </c>
      <c r="J2723">
        <v>20</v>
      </c>
      <c r="K2723" s="4">
        <v>19184</v>
      </c>
      <c r="L2723" s="4">
        <v>1761.2857142857142</v>
      </c>
      <c r="M2723" s="4">
        <v>1.1355341065779869E-2</v>
      </c>
      <c r="N2723" t="s">
        <v>25</v>
      </c>
      <c r="O2723" t="str">
        <f t="shared" si="420"/>
        <v>Low</v>
      </c>
      <c r="P2723" t="str">
        <f t="shared" si="421"/>
        <v>Low</v>
      </c>
      <c r="Q2723" t="str">
        <f t="shared" si="422"/>
        <v>Low</v>
      </c>
      <c r="R2723" t="s">
        <v>3317</v>
      </c>
      <c r="S2723" s="4">
        <f t="shared" ca="1" si="423"/>
        <v>1028</v>
      </c>
      <c r="T2723">
        <f t="shared" si="424"/>
        <v>1</v>
      </c>
      <c r="U2723">
        <f t="shared" si="425"/>
        <v>1</v>
      </c>
      <c r="V2723">
        <f t="shared" si="426"/>
        <v>1</v>
      </c>
      <c r="W2723">
        <f t="shared" si="427"/>
        <v>1</v>
      </c>
      <c r="X2723">
        <f t="shared" si="428"/>
        <v>0.99999999999999989</v>
      </c>
      <c r="Y2723" t="str">
        <f t="shared" si="429"/>
        <v>Healthy</v>
      </c>
    </row>
    <row r="2724" spans="1:25" x14ac:dyDescent="0.35">
      <c r="A2724" t="s">
        <v>71</v>
      </c>
      <c r="B2724" t="s">
        <v>72</v>
      </c>
      <c r="C2724" t="s">
        <v>73</v>
      </c>
      <c r="D2724" t="s">
        <v>158</v>
      </c>
      <c r="E2724">
        <v>80895451</v>
      </c>
      <c r="F2724" t="s">
        <v>1962</v>
      </c>
      <c r="G2724" s="3">
        <v>47225</v>
      </c>
      <c r="H2724">
        <v>36</v>
      </c>
      <c r="I2724">
        <v>96</v>
      </c>
      <c r="J2724">
        <v>52</v>
      </c>
      <c r="K2724" s="4">
        <v>49878.400000000001</v>
      </c>
      <c r="L2724" s="4">
        <v>1761.2857142857142</v>
      </c>
      <c r="M2724" s="4">
        <v>2.9523886771027661E-2</v>
      </c>
      <c r="N2724" t="s">
        <v>25</v>
      </c>
      <c r="O2724" t="str">
        <f t="shared" si="420"/>
        <v>Low</v>
      </c>
      <c r="P2724" t="str">
        <f t="shared" si="421"/>
        <v>Low</v>
      </c>
      <c r="Q2724" t="str">
        <f t="shared" si="422"/>
        <v>Low</v>
      </c>
      <c r="R2724" t="s">
        <v>3317</v>
      </c>
      <c r="S2724" s="4">
        <f t="shared" ca="1" si="423"/>
        <v>1028</v>
      </c>
      <c r="T2724">
        <f t="shared" si="424"/>
        <v>1</v>
      </c>
      <c r="U2724">
        <f t="shared" si="425"/>
        <v>1</v>
      </c>
      <c r="V2724">
        <f t="shared" si="426"/>
        <v>1</v>
      </c>
      <c r="W2724">
        <f t="shared" si="427"/>
        <v>1</v>
      </c>
      <c r="X2724">
        <f t="shared" si="428"/>
        <v>0.99999999999999989</v>
      </c>
      <c r="Y2724" t="str">
        <f t="shared" si="429"/>
        <v>Healthy</v>
      </c>
    </row>
    <row r="2725" spans="1:25" x14ac:dyDescent="0.35">
      <c r="A2725" t="s">
        <v>20</v>
      </c>
      <c r="B2725" t="s">
        <v>21</v>
      </c>
      <c r="C2725" t="s">
        <v>26</v>
      </c>
      <c r="D2725" t="s">
        <v>1357</v>
      </c>
      <c r="E2725">
        <v>80702213</v>
      </c>
      <c r="F2725" t="s">
        <v>1963</v>
      </c>
      <c r="G2725" s="3">
        <v>46943</v>
      </c>
      <c r="H2725">
        <v>36</v>
      </c>
      <c r="I2725">
        <v>70</v>
      </c>
      <c r="J2725">
        <v>9</v>
      </c>
      <c r="K2725" s="4">
        <v>957.6</v>
      </c>
      <c r="L2725" s="4">
        <v>192.28571428571428</v>
      </c>
      <c r="M2725" s="4">
        <v>4.6805349182763745E-2</v>
      </c>
      <c r="N2725" t="s">
        <v>25</v>
      </c>
      <c r="O2725" t="str">
        <f t="shared" si="420"/>
        <v>Low</v>
      </c>
      <c r="P2725" t="str">
        <f t="shared" si="421"/>
        <v>Low</v>
      </c>
      <c r="Q2725" t="str">
        <f t="shared" si="422"/>
        <v>Low</v>
      </c>
      <c r="R2725" t="s">
        <v>3317</v>
      </c>
      <c r="S2725" s="4">
        <f t="shared" ca="1" si="423"/>
        <v>746</v>
      </c>
      <c r="T2725">
        <f t="shared" si="424"/>
        <v>1</v>
      </c>
      <c r="U2725">
        <f t="shared" si="425"/>
        <v>1</v>
      </c>
      <c r="V2725">
        <f t="shared" si="426"/>
        <v>1</v>
      </c>
      <c r="W2725">
        <f t="shared" si="427"/>
        <v>1</v>
      </c>
      <c r="X2725">
        <f t="shared" si="428"/>
        <v>0.99999999999999989</v>
      </c>
      <c r="Y2725" t="str">
        <f t="shared" si="429"/>
        <v>Healthy</v>
      </c>
    </row>
    <row r="2726" spans="1:25" x14ac:dyDescent="0.35">
      <c r="A2726" t="s">
        <v>71</v>
      </c>
      <c r="B2726" t="s">
        <v>72</v>
      </c>
      <c r="C2726" t="s">
        <v>73</v>
      </c>
      <c r="D2726" t="s">
        <v>158</v>
      </c>
      <c r="E2726">
        <v>80895451</v>
      </c>
      <c r="F2726" t="s">
        <v>1962</v>
      </c>
      <c r="G2726" s="3">
        <v>47219</v>
      </c>
      <c r="H2726">
        <v>36</v>
      </c>
      <c r="I2726">
        <v>95</v>
      </c>
      <c r="J2726">
        <v>105</v>
      </c>
      <c r="K2726" s="4">
        <v>100716</v>
      </c>
      <c r="L2726" s="4">
        <v>1761.2857142857142</v>
      </c>
      <c r="M2726" s="4">
        <v>5.961554059534431E-2</v>
      </c>
      <c r="N2726" t="s">
        <v>25</v>
      </c>
      <c r="O2726" t="str">
        <f t="shared" si="420"/>
        <v>Low</v>
      </c>
      <c r="P2726" t="str">
        <f t="shared" si="421"/>
        <v>Low</v>
      </c>
      <c r="Q2726" t="str">
        <f t="shared" si="422"/>
        <v>Low</v>
      </c>
      <c r="R2726" t="s">
        <v>3310</v>
      </c>
      <c r="S2726" s="4">
        <f t="shared" ca="1" si="423"/>
        <v>1022</v>
      </c>
      <c r="T2726">
        <f t="shared" si="424"/>
        <v>1</v>
      </c>
      <c r="U2726">
        <f t="shared" si="425"/>
        <v>1</v>
      </c>
      <c r="V2726">
        <f t="shared" si="426"/>
        <v>1</v>
      </c>
      <c r="W2726">
        <f t="shared" si="427"/>
        <v>2</v>
      </c>
      <c r="X2726">
        <f t="shared" si="428"/>
        <v>1.0999999999999999</v>
      </c>
      <c r="Y2726" t="str">
        <f t="shared" si="429"/>
        <v>Healthy</v>
      </c>
    </row>
    <row r="2727" spans="1:25" x14ac:dyDescent="0.35">
      <c r="A2727" t="s">
        <v>71</v>
      </c>
      <c r="B2727" t="s">
        <v>72</v>
      </c>
      <c r="C2727" t="s">
        <v>73</v>
      </c>
      <c r="D2727" t="s">
        <v>158</v>
      </c>
      <c r="E2727">
        <v>80895451</v>
      </c>
      <c r="F2727" t="s">
        <v>1962</v>
      </c>
      <c r="G2727" s="3">
        <v>47224</v>
      </c>
      <c r="H2727">
        <v>36</v>
      </c>
      <c r="I2727">
        <v>96</v>
      </c>
      <c r="J2727">
        <v>110</v>
      </c>
      <c r="K2727" s="4">
        <v>105512</v>
      </c>
      <c r="L2727" s="4">
        <v>1761.2857142857142</v>
      </c>
      <c r="M2727" s="4">
        <v>6.2454375861789278E-2</v>
      </c>
      <c r="N2727" t="s">
        <v>25</v>
      </c>
      <c r="O2727" t="str">
        <f t="shared" si="420"/>
        <v>Low</v>
      </c>
      <c r="P2727" t="str">
        <f t="shared" si="421"/>
        <v>Low</v>
      </c>
      <c r="Q2727" t="str">
        <f t="shared" si="422"/>
        <v>Low</v>
      </c>
      <c r="R2727" t="s">
        <v>3310</v>
      </c>
      <c r="S2727" s="4">
        <f t="shared" ca="1" si="423"/>
        <v>1027</v>
      </c>
      <c r="T2727">
        <f t="shared" si="424"/>
        <v>1</v>
      </c>
      <c r="U2727">
        <f t="shared" si="425"/>
        <v>1</v>
      </c>
      <c r="V2727">
        <f t="shared" si="426"/>
        <v>1</v>
      </c>
      <c r="W2727">
        <f t="shared" si="427"/>
        <v>2</v>
      </c>
      <c r="X2727">
        <f t="shared" si="428"/>
        <v>1.0999999999999999</v>
      </c>
      <c r="Y2727" t="str">
        <f t="shared" si="429"/>
        <v>Healthy</v>
      </c>
    </row>
    <row r="2728" spans="1:25" x14ac:dyDescent="0.35">
      <c r="A2728" t="s">
        <v>71</v>
      </c>
      <c r="B2728" t="s">
        <v>72</v>
      </c>
      <c r="C2728" t="s">
        <v>73</v>
      </c>
      <c r="D2728" t="s">
        <v>158</v>
      </c>
      <c r="E2728">
        <v>80895451</v>
      </c>
      <c r="F2728" t="s">
        <v>1962</v>
      </c>
      <c r="G2728" s="3">
        <v>47118</v>
      </c>
      <c r="H2728">
        <v>36</v>
      </c>
      <c r="I2728">
        <v>86</v>
      </c>
      <c r="J2728">
        <v>24</v>
      </c>
      <c r="K2728" s="4">
        <v>23020.799999999999</v>
      </c>
      <c r="L2728" s="4">
        <v>1761.2857142857142</v>
      </c>
      <c r="M2728" s="4">
        <v>1.3626409278935842E-2</v>
      </c>
      <c r="N2728" t="s">
        <v>25</v>
      </c>
      <c r="O2728" t="str">
        <f t="shared" si="420"/>
        <v>Low</v>
      </c>
      <c r="P2728" t="str">
        <f t="shared" si="421"/>
        <v>Low</v>
      </c>
      <c r="Q2728" t="str">
        <f t="shared" si="422"/>
        <v>Low</v>
      </c>
      <c r="R2728" t="s">
        <v>3317</v>
      </c>
      <c r="S2728" s="4">
        <f t="shared" ca="1" si="423"/>
        <v>921</v>
      </c>
      <c r="T2728">
        <f t="shared" si="424"/>
        <v>1</v>
      </c>
      <c r="U2728">
        <f t="shared" si="425"/>
        <v>1</v>
      </c>
      <c r="V2728">
        <f t="shared" si="426"/>
        <v>1</v>
      </c>
      <c r="W2728">
        <f t="shared" si="427"/>
        <v>1</v>
      </c>
      <c r="X2728">
        <f t="shared" si="428"/>
        <v>0.99999999999999989</v>
      </c>
      <c r="Y2728" t="str">
        <f t="shared" si="429"/>
        <v>Healthy</v>
      </c>
    </row>
    <row r="2729" spans="1:25" x14ac:dyDescent="0.35">
      <c r="A2729" t="s">
        <v>71</v>
      </c>
      <c r="B2729" t="s">
        <v>72</v>
      </c>
      <c r="C2729" t="s">
        <v>73</v>
      </c>
      <c r="D2729" t="s">
        <v>158</v>
      </c>
      <c r="E2729">
        <v>80895451</v>
      </c>
      <c r="F2729" t="s">
        <v>1962</v>
      </c>
      <c r="G2729" s="3">
        <v>47221</v>
      </c>
      <c r="H2729">
        <v>36</v>
      </c>
      <c r="I2729">
        <v>95</v>
      </c>
      <c r="J2729">
        <v>44</v>
      </c>
      <c r="K2729" s="4">
        <v>42204.800000000003</v>
      </c>
      <c r="L2729" s="4">
        <v>1761.2857142857142</v>
      </c>
      <c r="M2729" s="4">
        <v>2.4981750344715711E-2</v>
      </c>
      <c r="N2729" t="s">
        <v>25</v>
      </c>
      <c r="O2729" t="str">
        <f t="shared" si="420"/>
        <v>Low</v>
      </c>
      <c r="P2729" t="str">
        <f t="shared" si="421"/>
        <v>Low</v>
      </c>
      <c r="Q2729" t="str">
        <f t="shared" si="422"/>
        <v>Low</v>
      </c>
      <c r="R2729" t="s">
        <v>3317</v>
      </c>
      <c r="S2729" s="4">
        <f t="shared" ca="1" si="423"/>
        <v>1024</v>
      </c>
      <c r="T2729">
        <f t="shared" si="424"/>
        <v>1</v>
      </c>
      <c r="U2729">
        <f t="shared" si="425"/>
        <v>1</v>
      </c>
      <c r="V2729">
        <f t="shared" si="426"/>
        <v>1</v>
      </c>
      <c r="W2729">
        <f t="shared" si="427"/>
        <v>1</v>
      </c>
      <c r="X2729">
        <f t="shared" si="428"/>
        <v>0.99999999999999989</v>
      </c>
      <c r="Y2729" t="str">
        <f t="shared" si="429"/>
        <v>Healthy</v>
      </c>
    </row>
    <row r="2730" spans="1:25" x14ac:dyDescent="0.35">
      <c r="A2730" t="s">
        <v>71</v>
      </c>
      <c r="B2730" t="s">
        <v>72</v>
      </c>
      <c r="C2730" t="s">
        <v>73</v>
      </c>
      <c r="D2730" t="s">
        <v>158</v>
      </c>
      <c r="E2730">
        <v>80895451</v>
      </c>
      <c r="F2730" t="s">
        <v>1962</v>
      </c>
      <c r="G2730" s="3">
        <v>47241</v>
      </c>
      <c r="H2730">
        <v>36</v>
      </c>
      <c r="I2730">
        <v>97</v>
      </c>
      <c r="J2730">
        <v>8</v>
      </c>
      <c r="K2730" s="4">
        <v>7673.6</v>
      </c>
      <c r="L2730" s="4">
        <v>1761.2857142857142</v>
      </c>
      <c r="M2730" s="4">
        <v>4.542136426311948E-3</v>
      </c>
      <c r="N2730" t="s">
        <v>25</v>
      </c>
      <c r="O2730" t="str">
        <f t="shared" si="420"/>
        <v>Low</v>
      </c>
      <c r="P2730" t="str">
        <f t="shared" si="421"/>
        <v>Low</v>
      </c>
      <c r="Q2730" t="str">
        <f t="shared" si="422"/>
        <v>Low</v>
      </c>
      <c r="R2730" t="s">
        <v>3317</v>
      </c>
      <c r="S2730" s="4">
        <f t="shared" ca="1" si="423"/>
        <v>1044</v>
      </c>
      <c r="T2730">
        <f t="shared" si="424"/>
        <v>1</v>
      </c>
      <c r="U2730">
        <f t="shared" si="425"/>
        <v>1</v>
      </c>
      <c r="V2730">
        <f t="shared" si="426"/>
        <v>1</v>
      </c>
      <c r="W2730">
        <f t="shared" si="427"/>
        <v>1</v>
      </c>
      <c r="X2730">
        <f t="shared" si="428"/>
        <v>0.99999999999999989</v>
      </c>
      <c r="Y2730" t="str">
        <f t="shared" si="429"/>
        <v>Healthy</v>
      </c>
    </row>
    <row r="2731" spans="1:25" x14ac:dyDescent="0.35">
      <c r="A2731" t="s">
        <v>29</v>
      </c>
      <c r="B2731" t="s">
        <v>30</v>
      </c>
      <c r="C2731" t="s">
        <v>31</v>
      </c>
      <c r="D2731" t="s">
        <v>1964</v>
      </c>
      <c r="E2731">
        <v>82327106</v>
      </c>
      <c r="F2731" t="s">
        <v>1965</v>
      </c>
      <c r="G2731" s="3">
        <v>45628</v>
      </c>
      <c r="H2731">
        <v>36</v>
      </c>
      <c r="I2731">
        <v>0</v>
      </c>
      <c r="J2731">
        <v>27</v>
      </c>
      <c r="K2731" s="4">
        <v>12937.86</v>
      </c>
      <c r="L2731" s="4">
        <f>0</f>
        <v>0</v>
      </c>
      <c r="M2731" s="4">
        <f>999</f>
        <v>999</v>
      </c>
      <c r="N2731" t="s">
        <v>19</v>
      </c>
      <c r="O2731" t="str">
        <f t="shared" si="420"/>
        <v>High</v>
      </c>
      <c r="P2731" t="str">
        <f t="shared" si="421"/>
        <v>High</v>
      </c>
      <c r="Q2731" t="str">
        <f t="shared" si="422"/>
        <v>High</v>
      </c>
      <c r="R2731" t="s">
        <v>3317</v>
      </c>
      <c r="S2731" s="4">
        <f t="shared" ca="1" si="423"/>
        <v>-569</v>
      </c>
      <c r="T2731">
        <f t="shared" si="424"/>
        <v>3</v>
      </c>
      <c r="U2731">
        <f t="shared" si="425"/>
        <v>3</v>
      </c>
      <c r="V2731">
        <f t="shared" si="426"/>
        <v>3</v>
      </c>
      <c r="W2731">
        <f t="shared" si="427"/>
        <v>1</v>
      </c>
      <c r="X2731">
        <f t="shared" si="428"/>
        <v>2.8000000000000003</v>
      </c>
      <c r="Y2731" t="str">
        <f t="shared" si="429"/>
        <v>Move Immediately</v>
      </c>
    </row>
    <row r="2732" spans="1:25" x14ac:dyDescent="0.35">
      <c r="A2732" t="s">
        <v>71</v>
      </c>
      <c r="B2732" t="s">
        <v>72</v>
      </c>
      <c r="C2732" t="s">
        <v>73</v>
      </c>
      <c r="D2732" t="s">
        <v>158</v>
      </c>
      <c r="E2732">
        <v>80895451</v>
      </c>
      <c r="F2732" t="s">
        <v>1962</v>
      </c>
      <c r="G2732" s="3">
        <v>47240</v>
      </c>
      <c r="H2732">
        <v>36</v>
      </c>
      <c r="I2732">
        <v>97</v>
      </c>
      <c r="J2732">
        <v>69</v>
      </c>
      <c r="K2732" s="4">
        <v>66184.800000000003</v>
      </c>
      <c r="L2732" s="4">
        <v>1761.2857142857142</v>
      </c>
      <c r="M2732" s="4">
        <v>3.9175926676940545E-2</v>
      </c>
      <c r="N2732" t="s">
        <v>25</v>
      </c>
      <c r="O2732" t="str">
        <f t="shared" si="420"/>
        <v>Low</v>
      </c>
      <c r="P2732" t="str">
        <f t="shared" si="421"/>
        <v>Low</v>
      </c>
      <c r="Q2732" t="str">
        <f t="shared" si="422"/>
        <v>Low</v>
      </c>
      <c r="R2732" t="s">
        <v>3310</v>
      </c>
      <c r="S2732" s="4">
        <f t="shared" ca="1" si="423"/>
        <v>1043</v>
      </c>
      <c r="T2732">
        <f t="shared" si="424"/>
        <v>1</v>
      </c>
      <c r="U2732">
        <f t="shared" si="425"/>
        <v>1</v>
      </c>
      <c r="V2732">
        <f t="shared" si="426"/>
        <v>1</v>
      </c>
      <c r="W2732">
        <f t="shared" si="427"/>
        <v>2</v>
      </c>
      <c r="X2732">
        <f t="shared" si="428"/>
        <v>1.0999999999999999</v>
      </c>
      <c r="Y2732" t="str">
        <f t="shared" si="429"/>
        <v>Healthy</v>
      </c>
    </row>
    <row r="2733" spans="1:25" x14ac:dyDescent="0.35">
      <c r="A2733" t="s">
        <v>71</v>
      </c>
      <c r="B2733" t="s">
        <v>72</v>
      </c>
      <c r="C2733" t="s">
        <v>687</v>
      </c>
      <c r="D2733" t="s">
        <v>1966</v>
      </c>
      <c r="E2733">
        <v>80895477</v>
      </c>
      <c r="F2733" t="s">
        <v>1967</v>
      </c>
      <c r="G2733" s="3">
        <v>47175</v>
      </c>
      <c r="H2733">
        <v>36</v>
      </c>
      <c r="I2733">
        <v>91</v>
      </c>
      <c r="J2733">
        <v>164</v>
      </c>
      <c r="K2733" s="4">
        <v>25462.639999999999</v>
      </c>
      <c r="L2733" s="4">
        <v>113.71428571428571</v>
      </c>
      <c r="M2733" s="4">
        <v>1.442211055276382</v>
      </c>
      <c r="N2733" t="s">
        <v>25</v>
      </c>
      <c r="O2733" t="str">
        <f t="shared" si="420"/>
        <v>Low</v>
      </c>
      <c r="P2733" t="str">
        <f t="shared" si="421"/>
        <v>Low</v>
      </c>
      <c r="Q2733" t="str">
        <f t="shared" si="422"/>
        <v>Low</v>
      </c>
      <c r="R2733" t="s">
        <v>3317</v>
      </c>
      <c r="S2733" s="4">
        <f t="shared" ca="1" si="423"/>
        <v>978</v>
      </c>
      <c r="T2733">
        <f t="shared" si="424"/>
        <v>1</v>
      </c>
      <c r="U2733">
        <f t="shared" si="425"/>
        <v>1</v>
      </c>
      <c r="V2733">
        <f t="shared" si="426"/>
        <v>1</v>
      </c>
      <c r="W2733">
        <f t="shared" si="427"/>
        <v>1</v>
      </c>
      <c r="X2733">
        <f t="shared" si="428"/>
        <v>0.99999999999999989</v>
      </c>
      <c r="Y2733" t="str">
        <f t="shared" si="429"/>
        <v>Healthy</v>
      </c>
    </row>
    <row r="2734" spans="1:25" x14ac:dyDescent="0.35">
      <c r="A2734" t="s">
        <v>71</v>
      </c>
      <c r="B2734" t="s">
        <v>72</v>
      </c>
      <c r="C2734" t="s">
        <v>687</v>
      </c>
      <c r="D2734" t="s">
        <v>1968</v>
      </c>
      <c r="E2734">
        <v>80895479</v>
      </c>
      <c r="F2734" t="s">
        <v>1969</v>
      </c>
      <c r="G2734" s="3">
        <v>47263</v>
      </c>
      <c r="H2734">
        <v>36</v>
      </c>
      <c r="I2734">
        <v>99</v>
      </c>
      <c r="J2734">
        <v>78</v>
      </c>
      <c r="K2734" s="4">
        <v>24351.599999999999</v>
      </c>
      <c r="L2734" s="4">
        <v>167.14285714285714</v>
      </c>
      <c r="M2734" s="4">
        <v>0.46666666666666667</v>
      </c>
      <c r="N2734" t="s">
        <v>25</v>
      </c>
      <c r="O2734" t="str">
        <f t="shared" si="420"/>
        <v>Low</v>
      </c>
      <c r="P2734" t="str">
        <f t="shared" si="421"/>
        <v>Low</v>
      </c>
      <c r="Q2734" t="str">
        <f t="shared" si="422"/>
        <v>Low</v>
      </c>
      <c r="R2734" t="s">
        <v>3317</v>
      </c>
      <c r="S2734" s="4">
        <f t="shared" ca="1" si="423"/>
        <v>1066</v>
      </c>
      <c r="T2734">
        <f t="shared" si="424"/>
        <v>1</v>
      </c>
      <c r="U2734">
        <f t="shared" si="425"/>
        <v>1</v>
      </c>
      <c r="V2734">
        <f t="shared" si="426"/>
        <v>1</v>
      </c>
      <c r="W2734">
        <f t="shared" si="427"/>
        <v>1</v>
      </c>
      <c r="X2734">
        <f t="shared" si="428"/>
        <v>0.99999999999999989</v>
      </c>
      <c r="Y2734" t="str">
        <f t="shared" si="429"/>
        <v>Healthy</v>
      </c>
    </row>
    <row r="2735" spans="1:25" x14ac:dyDescent="0.35">
      <c r="A2735" t="s">
        <v>71</v>
      </c>
      <c r="B2735" t="s">
        <v>72</v>
      </c>
      <c r="C2735" t="s">
        <v>687</v>
      </c>
      <c r="D2735" t="s">
        <v>1968</v>
      </c>
      <c r="E2735">
        <v>80895479</v>
      </c>
      <c r="F2735" t="s">
        <v>1969</v>
      </c>
      <c r="G2735" s="3">
        <v>47141</v>
      </c>
      <c r="H2735">
        <v>36</v>
      </c>
      <c r="I2735">
        <v>88</v>
      </c>
      <c r="J2735">
        <v>18</v>
      </c>
      <c r="K2735" s="4">
        <v>5619.6</v>
      </c>
      <c r="L2735" s="4">
        <v>167.14285714285714</v>
      </c>
      <c r="M2735" s="4">
        <v>0.1076923076923077</v>
      </c>
      <c r="N2735" t="s">
        <v>25</v>
      </c>
      <c r="O2735" t="str">
        <f t="shared" si="420"/>
        <v>Low</v>
      </c>
      <c r="P2735" t="str">
        <f t="shared" si="421"/>
        <v>Low</v>
      </c>
      <c r="Q2735" t="str">
        <f t="shared" si="422"/>
        <v>Low</v>
      </c>
      <c r="R2735" t="s">
        <v>3317</v>
      </c>
      <c r="S2735" s="4">
        <f t="shared" ca="1" si="423"/>
        <v>944</v>
      </c>
      <c r="T2735">
        <f t="shared" si="424"/>
        <v>1</v>
      </c>
      <c r="U2735">
        <f t="shared" si="425"/>
        <v>1</v>
      </c>
      <c r="V2735">
        <f t="shared" si="426"/>
        <v>1</v>
      </c>
      <c r="W2735">
        <f t="shared" si="427"/>
        <v>1</v>
      </c>
      <c r="X2735">
        <f t="shared" si="428"/>
        <v>0.99999999999999989</v>
      </c>
      <c r="Y2735" t="str">
        <f t="shared" si="429"/>
        <v>Healthy</v>
      </c>
    </row>
    <row r="2736" spans="1:25" x14ac:dyDescent="0.35">
      <c r="A2736" t="s">
        <v>71</v>
      </c>
      <c r="B2736" t="s">
        <v>72</v>
      </c>
      <c r="C2736" t="s">
        <v>687</v>
      </c>
      <c r="D2736" t="s">
        <v>1968</v>
      </c>
      <c r="E2736">
        <v>80895479</v>
      </c>
      <c r="F2736" t="s">
        <v>1969</v>
      </c>
      <c r="G2736" s="3">
        <v>47078</v>
      </c>
      <c r="H2736">
        <v>36</v>
      </c>
      <c r="I2736">
        <v>82</v>
      </c>
      <c r="J2736">
        <v>24</v>
      </c>
      <c r="K2736" s="4">
        <v>7492.8</v>
      </c>
      <c r="L2736" s="4">
        <v>167.14285714285714</v>
      </c>
      <c r="M2736" s="4">
        <v>0.14358974358974361</v>
      </c>
      <c r="N2736" t="s">
        <v>25</v>
      </c>
      <c r="O2736" t="str">
        <f t="shared" si="420"/>
        <v>Low</v>
      </c>
      <c r="P2736" t="str">
        <f t="shared" si="421"/>
        <v>Low</v>
      </c>
      <c r="Q2736" t="str">
        <f t="shared" si="422"/>
        <v>Low</v>
      </c>
      <c r="R2736" t="s">
        <v>3317</v>
      </c>
      <c r="S2736" s="4">
        <f t="shared" ca="1" si="423"/>
        <v>881</v>
      </c>
      <c r="T2736">
        <f t="shared" si="424"/>
        <v>1</v>
      </c>
      <c r="U2736">
        <f t="shared" si="425"/>
        <v>1</v>
      </c>
      <c r="V2736">
        <f t="shared" si="426"/>
        <v>1</v>
      </c>
      <c r="W2736">
        <f t="shared" si="427"/>
        <v>1</v>
      </c>
      <c r="X2736">
        <f t="shared" si="428"/>
        <v>0.99999999999999989</v>
      </c>
      <c r="Y2736" t="str">
        <f t="shared" si="429"/>
        <v>Healthy</v>
      </c>
    </row>
    <row r="2737" spans="1:25" x14ac:dyDescent="0.35">
      <c r="A2737" t="s">
        <v>71</v>
      </c>
      <c r="B2737" t="s">
        <v>72</v>
      </c>
      <c r="C2737" t="s">
        <v>310</v>
      </c>
      <c r="D2737" t="s">
        <v>682</v>
      </c>
      <c r="E2737">
        <v>80895480</v>
      </c>
      <c r="F2737" t="s">
        <v>1970</v>
      </c>
      <c r="G2737" s="3">
        <v>47105</v>
      </c>
      <c r="H2737">
        <v>36</v>
      </c>
      <c r="I2737">
        <v>85</v>
      </c>
      <c r="J2737">
        <v>10</v>
      </c>
      <c r="K2737" s="4">
        <v>768</v>
      </c>
      <c r="L2737" s="4">
        <v>531.57142857142856</v>
      </c>
      <c r="M2737" s="4">
        <v>1.8812147272238646E-2</v>
      </c>
      <c r="N2737" t="s">
        <v>25</v>
      </c>
      <c r="O2737" t="str">
        <f t="shared" si="420"/>
        <v>Low</v>
      </c>
      <c r="P2737" t="str">
        <f t="shared" si="421"/>
        <v>Low</v>
      </c>
      <c r="Q2737" t="str">
        <f t="shared" si="422"/>
        <v>Low</v>
      </c>
      <c r="R2737" t="s">
        <v>3317</v>
      </c>
      <c r="S2737" s="4">
        <f t="shared" ca="1" si="423"/>
        <v>908</v>
      </c>
      <c r="T2737">
        <f t="shared" si="424"/>
        <v>1</v>
      </c>
      <c r="U2737">
        <f t="shared" si="425"/>
        <v>1</v>
      </c>
      <c r="V2737">
        <f t="shared" si="426"/>
        <v>1</v>
      </c>
      <c r="W2737">
        <f t="shared" si="427"/>
        <v>1</v>
      </c>
      <c r="X2737">
        <f t="shared" si="428"/>
        <v>0.99999999999999989</v>
      </c>
      <c r="Y2737" t="str">
        <f t="shared" si="429"/>
        <v>Healthy</v>
      </c>
    </row>
    <row r="2738" spans="1:25" x14ac:dyDescent="0.35">
      <c r="A2738" t="s">
        <v>71</v>
      </c>
      <c r="B2738" t="s">
        <v>72</v>
      </c>
      <c r="C2738" t="s">
        <v>310</v>
      </c>
      <c r="D2738" t="s">
        <v>682</v>
      </c>
      <c r="E2738">
        <v>80895480</v>
      </c>
      <c r="F2738" t="s">
        <v>1970</v>
      </c>
      <c r="G2738" s="3">
        <v>47087</v>
      </c>
      <c r="H2738">
        <v>36</v>
      </c>
      <c r="I2738">
        <v>83</v>
      </c>
      <c r="J2738">
        <v>18</v>
      </c>
      <c r="K2738" s="4">
        <v>1382.4</v>
      </c>
      <c r="L2738" s="4">
        <v>531.57142857142856</v>
      </c>
      <c r="M2738" s="4">
        <v>3.3861865090029565E-2</v>
      </c>
      <c r="N2738" t="s">
        <v>25</v>
      </c>
      <c r="O2738" t="str">
        <f t="shared" si="420"/>
        <v>Low</v>
      </c>
      <c r="P2738" t="str">
        <f t="shared" si="421"/>
        <v>Low</v>
      </c>
      <c r="Q2738" t="str">
        <f t="shared" si="422"/>
        <v>Low</v>
      </c>
      <c r="R2738" t="s">
        <v>3317</v>
      </c>
      <c r="S2738" s="4">
        <f t="shared" ca="1" si="423"/>
        <v>890</v>
      </c>
      <c r="T2738">
        <f t="shared" si="424"/>
        <v>1</v>
      </c>
      <c r="U2738">
        <f t="shared" si="425"/>
        <v>1</v>
      </c>
      <c r="V2738">
        <f t="shared" si="426"/>
        <v>1</v>
      </c>
      <c r="W2738">
        <f t="shared" si="427"/>
        <v>1</v>
      </c>
      <c r="X2738">
        <f t="shared" si="428"/>
        <v>0.99999999999999989</v>
      </c>
      <c r="Y2738" t="str">
        <f t="shared" si="429"/>
        <v>Healthy</v>
      </c>
    </row>
    <row r="2739" spans="1:25" x14ac:dyDescent="0.35">
      <c r="A2739" t="s">
        <v>71</v>
      </c>
      <c r="B2739" t="s">
        <v>72</v>
      </c>
      <c r="C2739" t="s">
        <v>310</v>
      </c>
      <c r="D2739" t="s">
        <v>682</v>
      </c>
      <c r="E2739">
        <v>80895480</v>
      </c>
      <c r="F2739" t="s">
        <v>1970</v>
      </c>
      <c r="G2739" s="3">
        <v>47117</v>
      </c>
      <c r="H2739">
        <v>36</v>
      </c>
      <c r="I2739">
        <v>86</v>
      </c>
      <c r="J2739">
        <v>12</v>
      </c>
      <c r="K2739" s="4">
        <v>921.6</v>
      </c>
      <c r="L2739" s="4">
        <v>531.57142857142856</v>
      </c>
      <c r="M2739" s="4">
        <v>2.2574576726686377E-2</v>
      </c>
      <c r="N2739" t="s">
        <v>25</v>
      </c>
      <c r="O2739" t="str">
        <f t="shared" si="420"/>
        <v>Low</v>
      </c>
      <c r="P2739" t="str">
        <f t="shared" si="421"/>
        <v>Low</v>
      </c>
      <c r="Q2739" t="str">
        <f t="shared" si="422"/>
        <v>Low</v>
      </c>
      <c r="R2739" t="s">
        <v>3317</v>
      </c>
      <c r="S2739" s="4">
        <f t="shared" ca="1" si="423"/>
        <v>920</v>
      </c>
      <c r="T2739">
        <f t="shared" si="424"/>
        <v>1</v>
      </c>
      <c r="U2739">
        <f t="shared" si="425"/>
        <v>1</v>
      </c>
      <c r="V2739">
        <f t="shared" si="426"/>
        <v>1</v>
      </c>
      <c r="W2739">
        <f t="shared" si="427"/>
        <v>1</v>
      </c>
      <c r="X2739">
        <f t="shared" si="428"/>
        <v>0.99999999999999989</v>
      </c>
      <c r="Y2739" t="str">
        <f t="shared" si="429"/>
        <v>Healthy</v>
      </c>
    </row>
    <row r="2740" spans="1:25" x14ac:dyDescent="0.35">
      <c r="A2740" t="s">
        <v>71</v>
      </c>
      <c r="B2740" t="s">
        <v>72</v>
      </c>
      <c r="C2740" t="s">
        <v>687</v>
      </c>
      <c r="D2740" t="s">
        <v>1971</v>
      </c>
      <c r="E2740">
        <v>80895481</v>
      </c>
      <c r="F2740" t="s">
        <v>1972</v>
      </c>
      <c r="G2740" s="3">
        <v>47141</v>
      </c>
      <c r="H2740">
        <v>36</v>
      </c>
      <c r="I2740">
        <v>88</v>
      </c>
      <c r="J2740">
        <v>40</v>
      </c>
      <c r="K2740" s="4">
        <v>40636</v>
      </c>
      <c r="L2740" s="4">
        <v>20.571428571428573</v>
      </c>
      <c r="M2740" s="4">
        <v>1.9444444444444442</v>
      </c>
      <c r="N2740" t="s">
        <v>25</v>
      </c>
      <c r="O2740" t="str">
        <f t="shared" si="420"/>
        <v>Low</v>
      </c>
      <c r="P2740" t="str">
        <f t="shared" si="421"/>
        <v>Low</v>
      </c>
      <c r="Q2740" t="str">
        <f t="shared" si="422"/>
        <v>Low</v>
      </c>
      <c r="R2740" t="s">
        <v>3317</v>
      </c>
      <c r="S2740" s="4">
        <f t="shared" ca="1" si="423"/>
        <v>944</v>
      </c>
      <c r="T2740">
        <f t="shared" si="424"/>
        <v>1</v>
      </c>
      <c r="U2740">
        <f t="shared" si="425"/>
        <v>1</v>
      </c>
      <c r="V2740">
        <f t="shared" si="426"/>
        <v>1</v>
      </c>
      <c r="W2740">
        <f t="shared" si="427"/>
        <v>1</v>
      </c>
      <c r="X2740">
        <f t="shared" si="428"/>
        <v>0.99999999999999989</v>
      </c>
      <c r="Y2740" t="str">
        <f t="shared" si="429"/>
        <v>Healthy</v>
      </c>
    </row>
    <row r="2741" spans="1:25" x14ac:dyDescent="0.35">
      <c r="A2741" t="s">
        <v>71</v>
      </c>
      <c r="B2741" t="s">
        <v>72</v>
      </c>
      <c r="C2741" t="s">
        <v>310</v>
      </c>
      <c r="D2741" t="s">
        <v>1585</v>
      </c>
      <c r="E2741">
        <v>80895482</v>
      </c>
      <c r="F2741" t="s">
        <v>1973</v>
      </c>
      <c r="G2741" s="3">
        <v>47160</v>
      </c>
      <c r="H2741">
        <v>36</v>
      </c>
      <c r="I2741">
        <v>90</v>
      </c>
      <c r="J2741">
        <v>15</v>
      </c>
      <c r="K2741" s="4">
        <v>5847.45</v>
      </c>
      <c r="L2741" s="4">
        <v>103.85714285714286</v>
      </c>
      <c r="M2741" s="4">
        <v>0.14442916093535074</v>
      </c>
      <c r="N2741" t="s">
        <v>25</v>
      </c>
      <c r="O2741" t="str">
        <f t="shared" si="420"/>
        <v>Low</v>
      </c>
      <c r="P2741" t="str">
        <f t="shared" si="421"/>
        <v>Low</v>
      </c>
      <c r="Q2741" t="str">
        <f t="shared" si="422"/>
        <v>Low</v>
      </c>
      <c r="R2741" t="s">
        <v>3317</v>
      </c>
      <c r="S2741" s="4">
        <f t="shared" ca="1" si="423"/>
        <v>963</v>
      </c>
      <c r="T2741">
        <f t="shared" si="424"/>
        <v>1</v>
      </c>
      <c r="U2741">
        <f t="shared" si="425"/>
        <v>1</v>
      </c>
      <c r="V2741">
        <f t="shared" si="426"/>
        <v>1</v>
      </c>
      <c r="W2741">
        <f t="shared" si="427"/>
        <v>1</v>
      </c>
      <c r="X2741">
        <f t="shared" si="428"/>
        <v>0.99999999999999989</v>
      </c>
      <c r="Y2741" t="str">
        <f t="shared" si="429"/>
        <v>Healthy</v>
      </c>
    </row>
    <row r="2742" spans="1:25" x14ac:dyDescent="0.35">
      <c r="A2742" t="s">
        <v>71</v>
      </c>
      <c r="B2742" t="s">
        <v>72</v>
      </c>
      <c r="C2742" t="s">
        <v>310</v>
      </c>
      <c r="D2742" t="s">
        <v>1585</v>
      </c>
      <c r="E2742">
        <v>80895482</v>
      </c>
      <c r="F2742" t="s">
        <v>1973</v>
      </c>
      <c r="G2742" s="3">
        <v>47219</v>
      </c>
      <c r="H2742">
        <v>36</v>
      </c>
      <c r="I2742">
        <v>95</v>
      </c>
      <c r="J2742">
        <v>36</v>
      </c>
      <c r="K2742" s="4">
        <v>14033.88</v>
      </c>
      <c r="L2742" s="4">
        <v>103.85714285714286</v>
      </c>
      <c r="M2742" s="4">
        <v>0.34662998624484181</v>
      </c>
      <c r="N2742" t="s">
        <v>25</v>
      </c>
      <c r="O2742" t="str">
        <f t="shared" si="420"/>
        <v>Low</v>
      </c>
      <c r="P2742" t="str">
        <f t="shared" si="421"/>
        <v>Low</v>
      </c>
      <c r="Q2742" t="str">
        <f t="shared" si="422"/>
        <v>Low</v>
      </c>
      <c r="R2742" t="s">
        <v>3317</v>
      </c>
      <c r="S2742" s="4">
        <f t="shared" ca="1" si="423"/>
        <v>1022</v>
      </c>
      <c r="T2742">
        <f t="shared" si="424"/>
        <v>1</v>
      </c>
      <c r="U2742">
        <f t="shared" si="425"/>
        <v>1</v>
      </c>
      <c r="V2742">
        <f t="shared" si="426"/>
        <v>1</v>
      </c>
      <c r="W2742">
        <f t="shared" si="427"/>
        <v>1</v>
      </c>
      <c r="X2742">
        <f t="shared" si="428"/>
        <v>0.99999999999999989</v>
      </c>
      <c r="Y2742" t="str">
        <f t="shared" si="429"/>
        <v>Healthy</v>
      </c>
    </row>
    <row r="2743" spans="1:25" x14ac:dyDescent="0.35">
      <c r="A2743" t="s">
        <v>71</v>
      </c>
      <c r="B2743" t="s">
        <v>72</v>
      </c>
      <c r="C2743" t="s">
        <v>310</v>
      </c>
      <c r="D2743" t="s">
        <v>1585</v>
      </c>
      <c r="E2743">
        <v>80895482</v>
      </c>
      <c r="F2743" t="s">
        <v>1973</v>
      </c>
      <c r="G2743" s="3">
        <v>47235</v>
      </c>
      <c r="H2743">
        <v>36</v>
      </c>
      <c r="I2743">
        <v>97</v>
      </c>
      <c r="J2743">
        <v>23</v>
      </c>
      <c r="K2743" s="4">
        <v>8966.09</v>
      </c>
      <c r="L2743" s="4">
        <v>103.85714285714286</v>
      </c>
      <c r="M2743" s="4">
        <v>0.22145804676753783</v>
      </c>
      <c r="N2743" t="s">
        <v>25</v>
      </c>
      <c r="O2743" t="str">
        <f t="shared" si="420"/>
        <v>Low</v>
      </c>
      <c r="P2743" t="str">
        <f t="shared" si="421"/>
        <v>Low</v>
      </c>
      <c r="Q2743" t="str">
        <f t="shared" si="422"/>
        <v>Low</v>
      </c>
      <c r="R2743" t="s">
        <v>3317</v>
      </c>
      <c r="S2743" s="4">
        <f t="shared" ca="1" si="423"/>
        <v>1038</v>
      </c>
      <c r="T2743">
        <f t="shared" si="424"/>
        <v>1</v>
      </c>
      <c r="U2743">
        <f t="shared" si="425"/>
        <v>1</v>
      </c>
      <c r="V2743">
        <f t="shared" si="426"/>
        <v>1</v>
      </c>
      <c r="W2743">
        <f t="shared" si="427"/>
        <v>1</v>
      </c>
      <c r="X2743">
        <f t="shared" si="428"/>
        <v>0.99999999999999989</v>
      </c>
      <c r="Y2743" t="str">
        <f t="shared" si="429"/>
        <v>Healthy</v>
      </c>
    </row>
    <row r="2744" spans="1:25" x14ac:dyDescent="0.35">
      <c r="A2744" t="s">
        <v>71</v>
      </c>
      <c r="B2744" t="s">
        <v>72</v>
      </c>
      <c r="C2744" t="s">
        <v>310</v>
      </c>
      <c r="D2744" t="s">
        <v>1585</v>
      </c>
      <c r="E2744">
        <v>80895482</v>
      </c>
      <c r="F2744" t="s">
        <v>1973</v>
      </c>
      <c r="G2744" s="3">
        <v>47103</v>
      </c>
      <c r="H2744">
        <v>36</v>
      </c>
      <c r="I2744">
        <v>84</v>
      </c>
      <c r="J2744">
        <v>21</v>
      </c>
      <c r="K2744" s="4">
        <v>8186.43</v>
      </c>
      <c r="L2744" s="4">
        <v>103.85714285714286</v>
      </c>
      <c r="M2744" s="4">
        <v>0.20220082530949104</v>
      </c>
      <c r="N2744" t="s">
        <v>25</v>
      </c>
      <c r="O2744" t="str">
        <f t="shared" si="420"/>
        <v>Low</v>
      </c>
      <c r="P2744" t="str">
        <f t="shared" si="421"/>
        <v>Low</v>
      </c>
      <c r="Q2744" t="str">
        <f t="shared" si="422"/>
        <v>Low</v>
      </c>
      <c r="R2744" t="s">
        <v>3317</v>
      </c>
      <c r="S2744" s="4">
        <f t="shared" ca="1" si="423"/>
        <v>906</v>
      </c>
      <c r="T2744">
        <f t="shared" si="424"/>
        <v>1</v>
      </c>
      <c r="U2744">
        <f t="shared" si="425"/>
        <v>1</v>
      </c>
      <c r="V2744">
        <f t="shared" si="426"/>
        <v>1</v>
      </c>
      <c r="W2744">
        <f t="shared" si="427"/>
        <v>1</v>
      </c>
      <c r="X2744">
        <f t="shared" si="428"/>
        <v>0.99999999999999989</v>
      </c>
      <c r="Y2744" t="str">
        <f t="shared" si="429"/>
        <v>Healthy</v>
      </c>
    </row>
    <row r="2745" spans="1:25" x14ac:dyDescent="0.35">
      <c r="A2745" t="s">
        <v>71</v>
      </c>
      <c r="B2745" t="s">
        <v>72</v>
      </c>
      <c r="C2745" t="s">
        <v>572</v>
      </c>
      <c r="D2745" t="s">
        <v>1590</v>
      </c>
      <c r="E2745">
        <v>80721112</v>
      </c>
      <c r="F2745" t="s">
        <v>1974</v>
      </c>
      <c r="G2745" s="3">
        <v>46699</v>
      </c>
      <c r="H2745">
        <v>36</v>
      </c>
      <c r="I2745">
        <v>47</v>
      </c>
      <c r="J2745">
        <v>12</v>
      </c>
      <c r="K2745" s="4">
        <v>1785.6</v>
      </c>
      <c r="L2745" s="4">
        <f>0</f>
        <v>0</v>
      </c>
      <c r="M2745" s="4">
        <f>999</f>
        <v>999</v>
      </c>
      <c r="N2745" t="s">
        <v>19</v>
      </c>
      <c r="O2745" t="str">
        <f t="shared" si="420"/>
        <v>Low</v>
      </c>
      <c r="P2745" t="str">
        <f t="shared" si="421"/>
        <v>High</v>
      </c>
      <c r="Q2745" t="str">
        <f t="shared" si="422"/>
        <v>High</v>
      </c>
      <c r="R2745" t="s">
        <v>3317</v>
      </c>
      <c r="S2745" s="4">
        <f t="shared" ca="1" si="423"/>
        <v>502</v>
      </c>
      <c r="T2745">
        <f t="shared" si="424"/>
        <v>1</v>
      </c>
      <c r="U2745">
        <f t="shared" si="425"/>
        <v>3</v>
      </c>
      <c r="V2745">
        <f t="shared" si="426"/>
        <v>3</v>
      </c>
      <c r="W2745">
        <f t="shared" si="427"/>
        <v>1</v>
      </c>
      <c r="X2745">
        <f t="shared" si="428"/>
        <v>2</v>
      </c>
      <c r="Y2745" t="str">
        <f t="shared" si="429"/>
        <v>Monitor</v>
      </c>
    </row>
    <row r="2746" spans="1:25" x14ac:dyDescent="0.35">
      <c r="A2746" t="s">
        <v>71</v>
      </c>
      <c r="B2746" t="s">
        <v>72</v>
      </c>
      <c r="C2746" t="s">
        <v>687</v>
      </c>
      <c r="D2746" t="s">
        <v>1277</v>
      </c>
      <c r="E2746">
        <v>80895483</v>
      </c>
      <c r="F2746" t="s">
        <v>1975</v>
      </c>
      <c r="G2746" s="3">
        <v>47080</v>
      </c>
      <c r="H2746">
        <v>36</v>
      </c>
      <c r="I2746">
        <v>82</v>
      </c>
      <c r="J2746">
        <v>8</v>
      </c>
      <c r="K2746" s="4">
        <v>2744.64</v>
      </c>
      <c r="L2746" s="4">
        <v>121.85714285714286</v>
      </c>
      <c r="M2746" s="4">
        <v>6.5650644783118398E-2</v>
      </c>
      <c r="N2746" t="s">
        <v>25</v>
      </c>
      <c r="O2746" t="str">
        <f t="shared" si="420"/>
        <v>Low</v>
      </c>
      <c r="P2746" t="str">
        <f t="shared" si="421"/>
        <v>Low</v>
      </c>
      <c r="Q2746" t="str">
        <f t="shared" si="422"/>
        <v>Low</v>
      </c>
      <c r="R2746" t="s">
        <v>3317</v>
      </c>
      <c r="S2746" s="4">
        <f t="shared" ca="1" si="423"/>
        <v>883</v>
      </c>
      <c r="T2746">
        <f t="shared" si="424"/>
        <v>1</v>
      </c>
      <c r="U2746">
        <f t="shared" si="425"/>
        <v>1</v>
      </c>
      <c r="V2746">
        <f t="shared" si="426"/>
        <v>1</v>
      </c>
      <c r="W2746">
        <f t="shared" si="427"/>
        <v>1</v>
      </c>
      <c r="X2746">
        <f t="shared" si="428"/>
        <v>0.99999999999999989</v>
      </c>
      <c r="Y2746" t="str">
        <f t="shared" si="429"/>
        <v>Healthy</v>
      </c>
    </row>
    <row r="2747" spans="1:25" x14ac:dyDescent="0.35">
      <c r="A2747" t="s">
        <v>71</v>
      </c>
      <c r="B2747" t="s">
        <v>72</v>
      </c>
      <c r="C2747" t="s">
        <v>687</v>
      </c>
      <c r="D2747" t="s">
        <v>1277</v>
      </c>
      <c r="E2747">
        <v>80895483</v>
      </c>
      <c r="F2747" t="s">
        <v>1975</v>
      </c>
      <c r="G2747" s="3">
        <v>47089</v>
      </c>
      <c r="H2747">
        <v>36</v>
      </c>
      <c r="I2747">
        <v>83</v>
      </c>
      <c r="J2747">
        <v>6</v>
      </c>
      <c r="K2747" s="4">
        <v>2058.48</v>
      </c>
      <c r="L2747" s="4">
        <v>121.85714285714286</v>
      </c>
      <c r="M2747" s="4">
        <v>4.9237983587338802E-2</v>
      </c>
      <c r="N2747" t="s">
        <v>25</v>
      </c>
      <c r="O2747" t="str">
        <f t="shared" si="420"/>
        <v>Low</v>
      </c>
      <c r="P2747" t="str">
        <f t="shared" si="421"/>
        <v>Low</v>
      </c>
      <c r="Q2747" t="str">
        <f t="shared" si="422"/>
        <v>Low</v>
      </c>
      <c r="R2747" t="s">
        <v>3317</v>
      </c>
      <c r="S2747" s="4">
        <f t="shared" ca="1" si="423"/>
        <v>892</v>
      </c>
      <c r="T2747">
        <f t="shared" si="424"/>
        <v>1</v>
      </c>
      <c r="U2747">
        <f t="shared" si="425"/>
        <v>1</v>
      </c>
      <c r="V2747">
        <f t="shared" si="426"/>
        <v>1</v>
      </c>
      <c r="W2747">
        <f t="shared" si="427"/>
        <v>1</v>
      </c>
      <c r="X2747">
        <f t="shared" si="428"/>
        <v>0.99999999999999989</v>
      </c>
      <c r="Y2747" t="str">
        <f t="shared" si="429"/>
        <v>Healthy</v>
      </c>
    </row>
    <row r="2748" spans="1:25" x14ac:dyDescent="0.35">
      <c r="A2748" t="s">
        <v>71</v>
      </c>
      <c r="B2748" t="s">
        <v>72</v>
      </c>
      <c r="C2748" t="s">
        <v>687</v>
      </c>
      <c r="D2748" t="s">
        <v>1277</v>
      </c>
      <c r="E2748">
        <v>80895483</v>
      </c>
      <c r="F2748" t="s">
        <v>1975</v>
      </c>
      <c r="G2748" s="3">
        <v>47262</v>
      </c>
      <c r="H2748">
        <v>36</v>
      </c>
      <c r="I2748">
        <v>99</v>
      </c>
      <c r="J2748">
        <v>84</v>
      </c>
      <c r="K2748" s="4">
        <v>28818.720000000001</v>
      </c>
      <c r="L2748" s="4">
        <v>121.85714285714286</v>
      </c>
      <c r="M2748" s="4">
        <v>0.68933177022274328</v>
      </c>
      <c r="N2748" t="s">
        <v>25</v>
      </c>
      <c r="O2748" t="str">
        <f t="shared" si="420"/>
        <v>Low</v>
      </c>
      <c r="P2748" t="str">
        <f t="shared" si="421"/>
        <v>Low</v>
      </c>
      <c r="Q2748" t="str">
        <f t="shared" si="422"/>
        <v>Low</v>
      </c>
      <c r="R2748" t="s">
        <v>3317</v>
      </c>
      <c r="S2748" s="4">
        <f t="shared" ca="1" si="423"/>
        <v>1065</v>
      </c>
      <c r="T2748">
        <f t="shared" si="424"/>
        <v>1</v>
      </c>
      <c r="U2748">
        <f t="shared" si="425"/>
        <v>1</v>
      </c>
      <c r="V2748">
        <f t="shared" si="426"/>
        <v>1</v>
      </c>
      <c r="W2748">
        <f t="shared" si="427"/>
        <v>1</v>
      </c>
      <c r="X2748">
        <f t="shared" si="428"/>
        <v>0.99999999999999989</v>
      </c>
      <c r="Y2748" t="str">
        <f t="shared" si="429"/>
        <v>Healthy</v>
      </c>
    </row>
    <row r="2749" spans="1:25" x14ac:dyDescent="0.35">
      <c r="A2749" t="s">
        <v>71</v>
      </c>
      <c r="B2749" t="s">
        <v>72</v>
      </c>
      <c r="C2749" t="s">
        <v>73</v>
      </c>
      <c r="D2749" t="s">
        <v>1920</v>
      </c>
      <c r="E2749">
        <v>80895484</v>
      </c>
      <c r="F2749" t="s">
        <v>1976</v>
      </c>
      <c r="G2749" s="3">
        <v>47082</v>
      </c>
      <c r="H2749">
        <v>36</v>
      </c>
      <c r="I2749">
        <v>82</v>
      </c>
      <c r="J2749">
        <v>15</v>
      </c>
      <c r="K2749" s="4">
        <v>16648.650000000001</v>
      </c>
      <c r="L2749" s="4">
        <v>161</v>
      </c>
      <c r="M2749" s="4">
        <v>9.3167701863354033E-2</v>
      </c>
      <c r="N2749" t="s">
        <v>25</v>
      </c>
      <c r="O2749" t="str">
        <f t="shared" si="420"/>
        <v>Low</v>
      </c>
      <c r="P2749" t="str">
        <f t="shared" si="421"/>
        <v>Low</v>
      </c>
      <c r="Q2749" t="str">
        <f t="shared" si="422"/>
        <v>Low</v>
      </c>
      <c r="R2749" t="s">
        <v>3317</v>
      </c>
      <c r="S2749" s="4">
        <f t="shared" ca="1" si="423"/>
        <v>885</v>
      </c>
      <c r="T2749">
        <f t="shared" si="424"/>
        <v>1</v>
      </c>
      <c r="U2749">
        <f t="shared" si="425"/>
        <v>1</v>
      </c>
      <c r="V2749">
        <f t="shared" si="426"/>
        <v>1</v>
      </c>
      <c r="W2749">
        <f t="shared" si="427"/>
        <v>1</v>
      </c>
      <c r="X2749">
        <f t="shared" si="428"/>
        <v>0.99999999999999989</v>
      </c>
      <c r="Y2749" t="str">
        <f t="shared" si="429"/>
        <v>Healthy</v>
      </c>
    </row>
    <row r="2750" spans="1:25" x14ac:dyDescent="0.35">
      <c r="A2750" t="s">
        <v>71</v>
      </c>
      <c r="B2750" t="s">
        <v>72</v>
      </c>
      <c r="C2750" t="s">
        <v>73</v>
      </c>
      <c r="D2750" t="s">
        <v>1920</v>
      </c>
      <c r="E2750">
        <v>80895484</v>
      </c>
      <c r="F2750" t="s">
        <v>1976</v>
      </c>
      <c r="G2750" s="3">
        <v>47090</v>
      </c>
      <c r="H2750">
        <v>36</v>
      </c>
      <c r="I2750">
        <v>83</v>
      </c>
      <c r="J2750">
        <v>95</v>
      </c>
      <c r="K2750" s="4">
        <v>105441.45</v>
      </c>
      <c r="L2750" s="4">
        <v>161</v>
      </c>
      <c r="M2750" s="4">
        <v>0.59006211180124224</v>
      </c>
      <c r="N2750" t="s">
        <v>25</v>
      </c>
      <c r="O2750" t="str">
        <f t="shared" si="420"/>
        <v>Low</v>
      </c>
      <c r="P2750" t="str">
        <f t="shared" si="421"/>
        <v>Low</v>
      </c>
      <c r="Q2750" t="str">
        <f t="shared" si="422"/>
        <v>Low</v>
      </c>
      <c r="R2750" t="s">
        <v>3310</v>
      </c>
      <c r="S2750" s="4">
        <f t="shared" ca="1" si="423"/>
        <v>893</v>
      </c>
      <c r="T2750">
        <f t="shared" si="424"/>
        <v>1</v>
      </c>
      <c r="U2750">
        <f t="shared" si="425"/>
        <v>1</v>
      </c>
      <c r="V2750">
        <f t="shared" si="426"/>
        <v>1</v>
      </c>
      <c r="W2750">
        <f t="shared" si="427"/>
        <v>2</v>
      </c>
      <c r="X2750">
        <f t="shared" si="428"/>
        <v>1.0999999999999999</v>
      </c>
      <c r="Y2750" t="str">
        <f t="shared" si="429"/>
        <v>Healthy</v>
      </c>
    </row>
    <row r="2751" spans="1:25" x14ac:dyDescent="0.35">
      <c r="A2751" t="s">
        <v>71</v>
      </c>
      <c r="B2751" t="s">
        <v>72</v>
      </c>
      <c r="C2751" t="s">
        <v>73</v>
      </c>
      <c r="D2751" t="s">
        <v>1920</v>
      </c>
      <c r="E2751">
        <v>80895484</v>
      </c>
      <c r="F2751" t="s">
        <v>1976</v>
      </c>
      <c r="G2751" s="3">
        <v>47101</v>
      </c>
      <c r="H2751">
        <v>36</v>
      </c>
      <c r="I2751">
        <v>84</v>
      </c>
      <c r="J2751">
        <v>28</v>
      </c>
      <c r="K2751" s="4">
        <v>31077.48</v>
      </c>
      <c r="L2751" s="4">
        <v>161</v>
      </c>
      <c r="M2751" s="4">
        <v>0.17391304347826086</v>
      </c>
      <c r="N2751" t="s">
        <v>25</v>
      </c>
      <c r="O2751" t="str">
        <f t="shared" si="420"/>
        <v>Low</v>
      </c>
      <c r="P2751" t="str">
        <f t="shared" si="421"/>
        <v>Low</v>
      </c>
      <c r="Q2751" t="str">
        <f t="shared" si="422"/>
        <v>Low</v>
      </c>
      <c r="R2751" t="s">
        <v>3317</v>
      </c>
      <c r="S2751" s="4">
        <f t="shared" ca="1" si="423"/>
        <v>904</v>
      </c>
      <c r="T2751">
        <f t="shared" si="424"/>
        <v>1</v>
      </c>
      <c r="U2751">
        <f t="shared" si="425"/>
        <v>1</v>
      </c>
      <c r="V2751">
        <f t="shared" si="426"/>
        <v>1</v>
      </c>
      <c r="W2751">
        <f t="shared" si="427"/>
        <v>1</v>
      </c>
      <c r="X2751">
        <f t="shared" si="428"/>
        <v>0.99999999999999989</v>
      </c>
      <c r="Y2751" t="str">
        <f t="shared" si="429"/>
        <v>Healthy</v>
      </c>
    </row>
    <row r="2752" spans="1:25" x14ac:dyDescent="0.35">
      <c r="A2752" t="s">
        <v>71</v>
      </c>
      <c r="B2752" t="s">
        <v>72</v>
      </c>
      <c r="C2752" t="s">
        <v>73</v>
      </c>
      <c r="D2752" t="s">
        <v>1920</v>
      </c>
      <c r="E2752">
        <v>80895484</v>
      </c>
      <c r="F2752" t="s">
        <v>1976</v>
      </c>
      <c r="G2752" s="3">
        <v>47118</v>
      </c>
      <c r="H2752">
        <v>36</v>
      </c>
      <c r="I2752">
        <v>86</v>
      </c>
      <c r="J2752">
        <v>72</v>
      </c>
      <c r="K2752" s="4">
        <v>79913.52</v>
      </c>
      <c r="L2752" s="4">
        <v>161</v>
      </c>
      <c r="M2752" s="4">
        <v>0.44720496894409939</v>
      </c>
      <c r="N2752" t="s">
        <v>25</v>
      </c>
      <c r="O2752" t="str">
        <f t="shared" si="420"/>
        <v>Low</v>
      </c>
      <c r="P2752" t="str">
        <f t="shared" si="421"/>
        <v>Low</v>
      </c>
      <c r="Q2752" t="str">
        <f t="shared" si="422"/>
        <v>Low</v>
      </c>
      <c r="R2752" t="s">
        <v>3310</v>
      </c>
      <c r="S2752" s="4">
        <f t="shared" ca="1" si="423"/>
        <v>921</v>
      </c>
      <c r="T2752">
        <f t="shared" si="424"/>
        <v>1</v>
      </c>
      <c r="U2752">
        <f t="shared" si="425"/>
        <v>1</v>
      </c>
      <c r="V2752">
        <f t="shared" si="426"/>
        <v>1</v>
      </c>
      <c r="W2752">
        <f t="shared" si="427"/>
        <v>2</v>
      </c>
      <c r="X2752">
        <f t="shared" si="428"/>
        <v>1.0999999999999999</v>
      </c>
      <c r="Y2752" t="str">
        <f t="shared" si="429"/>
        <v>Healthy</v>
      </c>
    </row>
    <row r="2753" spans="1:25" x14ac:dyDescent="0.35">
      <c r="A2753" t="s">
        <v>71</v>
      </c>
      <c r="B2753" t="s">
        <v>72</v>
      </c>
      <c r="C2753" t="s">
        <v>73</v>
      </c>
      <c r="D2753" t="s">
        <v>1920</v>
      </c>
      <c r="E2753">
        <v>80895484</v>
      </c>
      <c r="F2753" t="s">
        <v>1976</v>
      </c>
      <c r="G2753" s="3">
        <v>47100</v>
      </c>
      <c r="H2753">
        <v>36</v>
      </c>
      <c r="I2753">
        <v>84</v>
      </c>
      <c r="J2753">
        <v>4</v>
      </c>
      <c r="K2753" s="4">
        <v>4439.6400000000003</v>
      </c>
      <c r="L2753" s="4">
        <v>161</v>
      </c>
      <c r="M2753" s="4">
        <v>2.4844720496894408E-2</v>
      </c>
      <c r="N2753" t="s">
        <v>25</v>
      </c>
      <c r="O2753" t="str">
        <f t="shared" si="420"/>
        <v>Low</v>
      </c>
      <c r="P2753" t="str">
        <f t="shared" si="421"/>
        <v>Low</v>
      </c>
      <c r="Q2753" t="str">
        <f t="shared" si="422"/>
        <v>Low</v>
      </c>
      <c r="R2753" t="s">
        <v>3317</v>
      </c>
      <c r="S2753" s="4">
        <f t="shared" ca="1" si="423"/>
        <v>903</v>
      </c>
      <c r="T2753">
        <f t="shared" si="424"/>
        <v>1</v>
      </c>
      <c r="U2753">
        <f t="shared" si="425"/>
        <v>1</v>
      </c>
      <c r="V2753">
        <f t="shared" si="426"/>
        <v>1</v>
      </c>
      <c r="W2753">
        <f t="shared" si="427"/>
        <v>1</v>
      </c>
      <c r="X2753">
        <f t="shared" si="428"/>
        <v>0.99999999999999989</v>
      </c>
      <c r="Y2753" t="str">
        <f t="shared" si="429"/>
        <v>Healthy</v>
      </c>
    </row>
    <row r="2754" spans="1:25" x14ac:dyDescent="0.35">
      <c r="A2754" t="s">
        <v>71</v>
      </c>
      <c r="B2754" t="s">
        <v>72</v>
      </c>
      <c r="C2754" t="s">
        <v>386</v>
      </c>
      <c r="D2754" t="s">
        <v>575</v>
      </c>
      <c r="E2754">
        <v>80895459</v>
      </c>
      <c r="F2754" t="s">
        <v>1977</v>
      </c>
      <c r="G2754" s="3">
        <v>47095</v>
      </c>
      <c r="H2754">
        <v>36</v>
      </c>
      <c r="I2754">
        <v>84</v>
      </c>
      <c r="J2754">
        <v>16</v>
      </c>
      <c r="K2754" s="4">
        <v>4479.84</v>
      </c>
      <c r="L2754" s="4">
        <v>265</v>
      </c>
      <c r="M2754" s="4">
        <v>6.0377358490566038E-2</v>
      </c>
      <c r="N2754" t="s">
        <v>25</v>
      </c>
      <c r="O2754" t="str">
        <f t="shared" si="420"/>
        <v>Low</v>
      </c>
      <c r="P2754" t="str">
        <f t="shared" si="421"/>
        <v>Low</v>
      </c>
      <c r="Q2754" t="str">
        <f t="shared" si="422"/>
        <v>Low</v>
      </c>
      <c r="R2754" t="s">
        <v>3317</v>
      </c>
      <c r="S2754" s="4">
        <f t="shared" ca="1" si="423"/>
        <v>898</v>
      </c>
      <c r="T2754">
        <f t="shared" si="424"/>
        <v>1</v>
      </c>
      <c r="U2754">
        <f t="shared" si="425"/>
        <v>1</v>
      </c>
      <c r="V2754">
        <f t="shared" si="426"/>
        <v>1</v>
      </c>
      <c r="W2754">
        <f t="shared" si="427"/>
        <v>1</v>
      </c>
      <c r="X2754">
        <f t="shared" si="428"/>
        <v>0.99999999999999989</v>
      </c>
      <c r="Y2754" t="str">
        <f t="shared" si="429"/>
        <v>Healthy</v>
      </c>
    </row>
    <row r="2755" spans="1:25" x14ac:dyDescent="0.35">
      <c r="A2755" t="s">
        <v>71</v>
      </c>
      <c r="B2755" t="s">
        <v>72</v>
      </c>
      <c r="C2755" t="s">
        <v>386</v>
      </c>
      <c r="D2755" t="s">
        <v>575</v>
      </c>
      <c r="E2755">
        <v>80895459</v>
      </c>
      <c r="F2755" t="s">
        <v>1977</v>
      </c>
      <c r="G2755" s="3">
        <v>47028</v>
      </c>
      <c r="H2755">
        <v>36</v>
      </c>
      <c r="I2755">
        <v>77</v>
      </c>
      <c r="J2755">
        <v>3</v>
      </c>
      <c r="K2755" s="4">
        <v>839.97</v>
      </c>
      <c r="L2755" s="4">
        <v>265</v>
      </c>
      <c r="M2755" s="4">
        <v>1.1320754716981131E-2</v>
      </c>
      <c r="N2755" t="s">
        <v>25</v>
      </c>
      <c r="O2755" t="str">
        <f t="shared" ref="O2755:O2818" si="430">IF(I2755&lt;20,"High",IF(I2755&lt;40,"Medium","Low"))</f>
        <v>Low</v>
      </c>
      <c r="P2755" t="str">
        <f t="shared" ref="P2755:P2818" si="431">IF(M2755&gt;8,"High",IF(M2755&gt;4,"Medium","Low"))</f>
        <v>Low</v>
      </c>
      <c r="Q2755" t="str">
        <f t="shared" ref="Q2755:Q2818" si="432">IF(L2755&lt;5,"High",IF(L2755&lt;15,"Medium","Low"))</f>
        <v>Low</v>
      </c>
      <c r="R2755" t="s">
        <v>3317</v>
      </c>
      <c r="S2755" s="4">
        <f t="shared" ref="S2755:S2818" ca="1" si="433">G2755-TODAY()</f>
        <v>831</v>
      </c>
      <c r="T2755">
        <f t="shared" ref="T2755:T2818" si="434">IF(O2755="High",3,IF(O2755="Medium",2,1))</f>
        <v>1</v>
      </c>
      <c r="U2755">
        <f t="shared" ref="U2755:U2818" si="435">IF(P2755="High",3,IF(P2755="Medium",2,1))</f>
        <v>1</v>
      </c>
      <c r="V2755">
        <f t="shared" ref="V2755:V2818" si="436">IF(Q2755="High",3,IF(Q2755="Medium",2,1))</f>
        <v>1</v>
      </c>
      <c r="W2755">
        <f t="shared" ref="W2755:W2818" si="437">IF(R2755="High",3,IF(R2755="Medium",2,1))</f>
        <v>1</v>
      </c>
      <c r="X2755">
        <f t="shared" ref="X2755:X2818" si="438">(0.4*T2755)+(0.3*U2755)+(0.2*V2755)+(0.1*W2755)</f>
        <v>0.99999999999999989</v>
      </c>
      <c r="Y2755" t="str">
        <f t="shared" ref="Y2755:Y2818" si="439">IF(X2755&gt;=2.7,"Move Immediately",IF(X2755&gt;=2.2,"High Priority",IF(X2755&gt;=1.7,"Monitor","Healthy")))</f>
        <v>Healthy</v>
      </c>
    </row>
    <row r="2756" spans="1:25" x14ac:dyDescent="0.35">
      <c r="A2756" t="s">
        <v>71</v>
      </c>
      <c r="B2756" t="s">
        <v>72</v>
      </c>
      <c r="C2756" t="s">
        <v>386</v>
      </c>
      <c r="D2756" t="s">
        <v>575</v>
      </c>
      <c r="E2756">
        <v>80895459</v>
      </c>
      <c r="F2756" t="s">
        <v>1977</v>
      </c>
      <c r="G2756" s="3">
        <v>47106</v>
      </c>
      <c r="H2756">
        <v>36</v>
      </c>
      <c r="I2756">
        <v>85</v>
      </c>
      <c r="J2756">
        <v>5</v>
      </c>
      <c r="K2756" s="4">
        <v>1399.95</v>
      </c>
      <c r="L2756" s="4">
        <v>265</v>
      </c>
      <c r="M2756" s="4">
        <v>1.8867924528301886E-2</v>
      </c>
      <c r="N2756" t="s">
        <v>25</v>
      </c>
      <c r="O2756" t="str">
        <f t="shared" si="430"/>
        <v>Low</v>
      </c>
      <c r="P2756" t="str">
        <f t="shared" si="431"/>
        <v>Low</v>
      </c>
      <c r="Q2756" t="str">
        <f t="shared" si="432"/>
        <v>Low</v>
      </c>
      <c r="R2756" t="s">
        <v>3317</v>
      </c>
      <c r="S2756" s="4">
        <f t="shared" ca="1" si="433"/>
        <v>909</v>
      </c>
      <c r="T2756">
        <f t="shared" si="434"/>
        <v>1</v>
      </c>
      <c r="U2756">
        <f t="shared" si="435"/>
        <v>1</v>
      </c>
      <c r="V2756">
        <f t="shared" si="436"/>
        <v>1</v>
      </c>
      <c r="W2756">
        <f t="shared" si="437"/>
        <v>1</v>
      </c>
      <c r="X2756">
        <f t="shared" si="438"/>
        <v>0.99999999999999989</v>
      </c>
      <c r="Y2756" t="str">
        <f t="shared" si="439"/>
        <v>Healthy</v>
      </c>
    </row>
    <row r="2757" spans="1:25" x14ac:dyDescent="0.35">
      <c r="A2757" t="s">
        <v>71</v>
      </c>
      <c r="B2757" t="s">
        <v>72</v>
      </c>
      <c r="C2757" t="s">
        <v>73</v>
      </c>
      <c r="D2757" t="s">
        <v>1208</v>
      </c>
      <c r="E2757">
        <v>80895485</v>
      </c>
      <c r="F2757" t="s">
        <v>1978</v>
      </c>
      <c r="G2757" s="3">
        <v>47107</v>
      </c>
      <c r="H2757">
        <v>36</v>
      </c>
      <c r="I2757">
        <v>85</v>
      </c>
      <c r="J2757">
        <v>572</v>
      </c>
      <c r="K2757" s="4">
        <v>634868.52</v>
      </c>
      <c r="L2757" s="4">
        <v>7.4285714285714288</v>
      </c>
      <c r="M2757" s="4">
        <v>77</v>
      </c>
      <c r="N2757" t="s">
        <v>19</v>
      </c>
      <c r="O2757" t="str">
        <f t="shared" si="430"/>
        <v>Low</v>
      </c>
      <c r="P2757" t="str">
        <f t="shared" si="431"/>
        <v>High</v>
      </c>
      <c r="Q2757" t="str">
        <f t="shared" si="432"/>
        <v>Medium</v>
      </c>
      <c r="R2757" t="s">
        <v>3309</v>
      </c>
      <c r="S2757" s="4">
        <f t="shared" ca="1" si="433"/>
        <v>910</v>
      </c>
      <c r="T2757">
        <f t="shared" si="434"/>
        <v>1</v>
      </c>
      <c r="U2757">
        <f t="shared" si="435"/>
        <v>3</v>
      </c>
      <c r="V2757">
        <f t="shared" si="436"/>
        <v>2</v>
      </c>
      <c r="W2757">
        <f t="shared" si="437"/>
        <v>3</v>
      </c>
      <c r="X2757">
        <f t="shared" si="438"/>
        <v>1.9999999999999998</v>
      </c>
      <c r="Y2757" t="str">
        <f t="shared" si="439"/>
        <v>Monitor</v>
      </c>
    </row>
    <row r="2758" spans="1:25" x14ac:dyDescent="0.35">
      <c r="A2758" t="s">
        <v>71</v>
      </c>
      <c r="B2758" t="s">
        <v>72</v>
      </c>
      <c r="C2758" t="s">
        <v>73</v>
      </c>
      <c r="D2758" t="s">
        <v>1208</v>
      </c>
      <c r="E2758">
        <v>80895485</v>
      </c>
      <c r="F2758" t="s">
        <v>1978</v>
      </c>
      <c r="G2758" s="3">
        <v>47112</v>
      </c>
      <c r="H2758">
        <v>36</v>
      </c>
      <c r="I2758">
        <v>85</v>
      </c>
      <c r="J2758">
        <v>575</v>
      </c>
      <c r="K2758" s="4">
        <v>638198.25</v>
      </c>
      <c r="L2758" s="4">
        <v>7.4285714285714288</v>
      </c>
      <c r="M2758" s="4">
        <v>77.403846153846146</v>
      </c>
      <c r="N2758" t="s">
        <v>19</v>
      </c>
      <c r="O2758" t="str">
        <f t="shared" si="430"/>
        <v>Low</v>
      </c>
      <c r="P2758" t="str">
        <f t="shared" si="431"/>
        <v>High</v>
      </c>
      <c r="Q2758" t="str">
        <f t="shared" si="432"/>
        <v>Medium</v>
      </c>
      <c r="R2758" t="s">
        <v>3309</v>
      </c>
      <c r="S2758" s="4">
        <f t="shared" ca="1" si="433"/>
        <v>915</v>
      </c>
      <c r="T2758">
        <f t="shared" si="434"/>
        <v>1</v>
      </c>
      <c r="U2758">
        <f t="shared" si="435"/>
        <v>3</v>
      </c>
      <c r="V2758">
        <f t="shared" si="436"/>
        <v>2</v>
      </c>
      <c r="W2758">
        <f t="shared" si="437"/>
        <v>3</v>
      </c>
      <c r="X2758">
        <f t="shared" si="438"/>
        <v>1.9999999999999998</v>
      </c>
      <c r="Y2758" t="str">
        <f t="shared" si="439"/>
        <v>Monitor</v>
      </c>
    </row>
    <row r="2759" spans="1:25" x14ac:dyDescent="0.35">
      <c r="A2759" t="s">
        <v>71</v>
      </c>
      <c r="B2759" t="s">
        <v>72</v>
      </c>
      <c r="C2759" t="s">
        <v>73</v>
      </c>
      <c r="D2759" t="s">
        <v>1979</v>
      </c>
      <c r="E2759">
        <v>80895486</v>
      </c>
      <c r="F2759" t="s">
        <v>1980</v>
      </c>
      <c r="G2759" s="3">
        <v>47198</v>
      </c>
      <c r="H2759">
        <v>36</v>
      </c>
      <c r="I2759">
        <v>93</v>
      </c>
      <c r="J2759">
        <v>21</v>
      </c>
      <c r="K2759" s="4">
        <v>12582.78</v>
      </c>
      <c r="L2759" s="4">
        <v>540.28571428571433</v>
      </c>
      <c r="M2759" s="4">
        <v>3.8868323638286614E-2</v>
      </c>
      <c r="N2759" t="s">
        <v>25</v>
      </c>
      <c r="O2759" t="str">
        <f t="shared" si="430"/>
        <v>Low</v>
      </c>
      <c r="P2759" t="str">
        <f t="shared" si="431"/>
        <v>Low</v>
      </c>
      <c r="Q2759" t="str">
        <f t="shared" si="432"/>
        <v>Low</v>
      </c>
      <c r="R2759" t="s">
        <v>3317</v>
      </c>
      <c r="S2759" s="4">
        <f t="shared" ca="1" si="433"/>
        <v>1001</v>
      </c>
      <c r="T2759">
        <f t="shared" si="434"/>
        <v>1</v>
      </c>
      <c r="U2759">
        <f t="shared" si="435"/>
        <v>1</v>
      </c>
      <c r="V2759">
        <f t="shared" si="436"/>
        <v>1</v>
      </c>
      <c r="W2759">
        <f t="shared" si="437"/>
        <v>1</v>
      </c>
      <c r="X2759">
        <f t="shared" si="438"/>
        <v>0.99999999999999989</v>
      </c>
      <c r="Y2759" t="str">
        <f t="shared" si="439"/>
        <v>Healthy</v>
      </c>
    </row>
    <row r="2760" spans="1:25" x14ac:dyDescent="0.35">
      <c r="A2760" t="s">
        <v>71</v>
      </c>
      <c r="B2760" t="s">
        <v>72</v>
      </c>
      <c r="C2760" t="s">
        <v>73</v>
      </c>
      <c r="D2760" t="s">
        <v>1979</v>
      </c>
      <c r="E2760">
        <v>80895486</v>
      </c>
      <c r="F2760" t="s">
        <v>1980</v>
      </c>
      <c r="G2760" s="3">
        <v>47101</v>
      </c>
      <c r="H2760">
        <v>36</v>
      </c>
      <c r="I2760">
        <v>84</v>
      </c>
      <c r="J2760">
        <v>6</v>
      </c>
      <c r="K2760" s="4">
        <v>3595.08</v>
      </c>
      <c r="L2760" s="4">
        <v>540.28571428571433</v>
      </c>
      <c r="M2760" s="4">
        <v>1.1105235325224748E-2</v>
      </c>
      <c r="N2760" t="s">
        <v>25</v>
      </c>
      <c r="O2760" t="str">
        <f t="shared" si="430"/>
        <v>Low</v>
      </c>
      <c r="P2760" t="str">
        <f t="shared" si="431"/>
        <v>Low</v>
      </c>
      <c r="Q2760" t="str">
        <f t="shared" si="432"/>
        <v>Low</v>
      </c>
      <c r="R2760" t="s">
        <v>3317</v>
      </c>
      <c r="S2760" s="4">
        <f t="shared" ca="1" si="433"/>
        <v>904</v>
      </c>
      <c r="T2760">
        <f t="shared" si="434"/>
        <v>1</v>
      </c>
      <c r="U2760">
        <f t="shared" si="435"/>
        <v>1</v>
      </c>
      <c r="V2760">
        <f t="shared" si="436"/>
        <v>1</v>
      </c>
      <c r="W2760">
        <f t="shared" si="437"/>
        <v>1</v>
      </c>
      <c r="X2760">
        <f t="shared" si="438"/>
        <v>0.99999999999999989</v>
      </c>
      <c r="Y2760" t="str">
        <f t="shared" si="439"/>
        <v>Healthy</v>
      </c>
    </row>
    <row r="2761" spans="1:25" x14ac:dyDescent="0.35">
      <c r="A2761" t="s">
        <v>71</v>
      </c>
      <c r="B2761" t="s">
        <v>72</v>
      </c>
      <c r="C2761" t="s">
        <v>73</v>
      </c>
      <c r="D2761" t="s">
        <v>1979</v>
      </c>
      <c r="E2761">
        <v>80895486</v>
      </c>
      <c r="F2761" t="s">
        <v>1980</v>
      </c>
      <c r="G2761" s="3">
        <v>47262</v>
      </c>
      <c r="H2761">
        <v>36</v>
      </c>
      <c r="I2761">
        <v>99</v>
      </c>
      <c r="J2761">
        <v>96</v>
      </c>
      <c r="K2761" s="4">
        <v>57521.279999999999</v>
      </c>
      <c r="L2761" s="4">
        <v>540.28571428571433</v>
      </c>
      <c r="M2761" s="4">
        <v>0.17768376520359597</v>
      </c>
      <c r="N2761" t="s">
        <v>25</v>
      </c>
      <c r="O2761" t="str">
        <f t="shared" si="430"/>
        <v>Low</v>
      </c>
      <c r="P2761" t="str">
        <f t="shared" si="431"/>
        <v>Low</v>
      </c>
      <c r="Q2761" t="str">
        <f t="shared" si="432"/>
        <v>Low</v>
      </c>
      <c r="R2761" t="s">
        <v>3317</v>
      </c>
      <c r="S2761" s="4">
        <f t="shared" ca="1" si="433"/>
        <v>1065</v>
      </c>
      <c r="T2761">
        <f t="shared" si="434"/>
        <v>1</v>
      </c>
      <c r="U2761">
        <f t="shared" si="435"/>
        <v>1</v>
      </c>
      <c r="V2761">
        <f t="shared" si="436"/>
        <v>1</v>
      </c>
      <c r="W2761">
        <f t="shared" si="437"/>
        <v>1</v>
      </c>
      <c r="X2761">
        <f t="shared" si="438"/>
        <v>0.99999999999999989</v>
      </c>
      <c r="Y2761" t="str">
        <f t="shared" si="439"/>
        <v>Healthy</v>
      </c>
    </row>
    <row r="2762" spans="1:25" x14ac:dyDescent="0.35">
      <c r="A2762" t="s">
        <v>71</v>
      </c>
      <c r="B2762" t="s">
        <v>72</v>
      </c>
      <c r="C2762" t="s">
        <v>73</v>
      </c>
      <c r="D2762" t="s">
        <v>1979</v>
      </c>
      <c r="E2762">
        <v>80895486</v>
      </c>
      <c r="F2762" t="s">
        <v>1980</v>
      </c>
      <c r="G2762" s="3">
        <v>47209</v>
      </c>
      <c r="H2762">
        <v>36</v>
      </c>
      <c r="I2762">
        <v>94</v>
      </c>
      <c r="J2762">
        <v>17</v>
      </c>
      <c r="K2762" s="4">
        <v>10186.06</v>
      </c>
      <c r="L2762" s="4">
        <v>540.28571428571433</v>
      </c>
      <c r="M2762" s="4">
        <v>3.146483342147012E-2</v>
      </c>
      <c r="N2762" t="s">
        <v>25</v>
      </c>
      <c r="O2762" t="str">
        <f t="shared" si="430"/>
        <v>Low</v>
      </c>
      <c r="P2762" t="str">
        <f t="shared" si="431"/>
        <v>Low</v>
      </c>
      <c r="Q2762" t="str">
        <f t="shared" si="432"/>
        <v>Low</v>
      </c>
      <c r="R2762" t="s">
        <v>3317</v>
      </c>
      <c r="S2762" s="4">
        <f t="shared" ca="1" si="433"/>
        <v>1012</v>
      </c>
      <c r="T2762">
        <f t="shared" si="434"/>
        <v>1</v>
      </c>
      <c r="U2762">
        <f t="shared" si="435"/>
        <v>1</v>
      </c>
      <c r="V2762">
        <f t="shared" si="436"/>
        <v>1</v>
      </c>
      <c r="W2762">
        <f t="shared" si="437"/>
        <v>1</v>
      </c>
      <c r="X2762">
        <f t="shared" si="438"/>
        <v>0.99999999999999989</v>
      </c>
      <c r="Y2762" t="str">
        <f t="shared" si="439"/>
        <v>Healthy</v>
      </c>
    </row>
    <row r="2763" spans="1:25" x14ac:dyDescent="0.35">
      <c r="A2763" t="s">
        <v>71</v>
      </c>
      <c r="B2763" t="s">
        <v>72</v>
      </c>
      <c r="C2763" t="s">
        <v>73</v>
      </c>
      <c r="D2763" t="s">
        <v>235</v>
      </c>
      <c r="E2763">
        <v>80895487</v>
      </c>
      <c r="F2763" t="s">
        <v>1981</v>
      </c>
      <c r="G2763" s="3">
        <v>47103</v>
      </c>
      <c r="H2763">
        <v>36</v>
      </c>
      <c r="I2763">
        <v>84</v>
      </c>
      <c r="J2763">
        <v>56</v>
      </c>
      <c r="K2763" s="4">
        <v>62154.96</v>
      </c>
      <c r="L2763" s="4">
        <v>292.71428571428572</v>
      </c>
      <c r="M2763" s="4">
        <v>0.1913128355295266</v>
      </c>
      <c r="N2763" t="s">
        <v>25</v>
      </c>
      <c r="O2763" t="str">
        <f t="shared" si="430"/>
        <v>Low</v>
      </c>
      <c r="P2763" t="str">
        <f t="shared" si="431"/>
        <v>Low</v>
      </c>
      <c r="Q2763" t="str">
        <f t="shared" si="432"/>
        <v>Low</v>
      </c>
      <c r="R2763" t="s">
        <v>3317</v>
      </c>
      <c r="S2763" s="4">
        <f t="shared" ca="1" si="433"/>
        <v>906</v>
      </c>
      <c r="T2763">
        <f t="shared" si="434"/>
        <v>1</v>
      </c>
      <c r="U2763">
        <f t="shared" si="435"/>
        <v>1</v>
      </c>
      <c r="V2763">
        <f t="shared" si="436"/>
        <v>1</v>
      </c>
      <c r="W2763">
        <f t="shared" si="437"/>
        <v>1</v>
      </c>
      <c r="X2763">
        <f t="shared" si="438"/>
        <v>0.99999999999999989</v>
      </c>
      <c r="Y2763" t="str">
        <f t="shared" si="439"/>
        <v>Healthy</v>
      </c>
    </row>
    <row r="2764" spans="1:25" x14ac:dyDescent="0.35">
      <c r="A2764" t="s">
        <v>71</v>
      </c>
      <c r="B2764" t="s">
        <v>72</v>
      </c>
      <c r="C2764" t="s">
        <v>73</v>
      </c>
      <c r="D2764" t="s">
        <v>235</v>
      </c>
      <c r="E2764">
        <v>80895487</v>
      </c>
      <c r="F2764" t="s">
        <v>1981</v>
      </c>
      <c r="G2764" s="3">
        <v>47092</v>
      </c>
      <c r="H2764">
        <v>36</v>
      </c>
      <c r="I2764">
        <v>83</v>
      </c>
      <c r="J2764">
        <v>135</v>
      </c>
      <c r="K2764" s="4">
        <v>149837.85</v>
      </c>
      <c r="L2764" s="4">
        <v>292.71428571428572</v>
      </c>
      <c r="M2764" s="4">
        <v>0.46120058565153732</v>
      </c>
      <c r="N2764" t="s">
        <v>25</v>
      </c>
      <c r="O2764" t="str">
        <f t="shared" si="430"/>
        <v>Low</v>
      </c>
      <c r="P2764" t="str">
        <f t="shared" si="431"/>
        <v>Low</v>
      </c>
      <c r="Q2764" t="str">
        <f t="shared" si="432"/>
        <v>Low</v>
      </c>
      <c r="R2764" t="s">
        <v>3309</v>
      </c>
      <c r="S2764" s="4">
        <f t="shared" ca="1" si="433"/>
        <v>895</v>
      </c>
      <c r="T2764">
        <f t="shared" si="434"/>
        <v>1</v>
      </c>
      <c r="U2764">
        <f t="shared" si="435"/>
        <v>1</v>
      </c>
      <c r="V2764">
        <f t="shared" si="436"/>
        <v>1</v>
      </c>
      <c r="W2764">
        <f t="shared" si="437"/>
        <v>3</v>
      </c>
      <c r="X2764">
        <f t="shared" si="438"/>
        <v>1.2</v>
      </c>
      <c r="Y2764" t="str">
        <f t="shared" si="439"/>
        <v>Healthy</v>
      </c>
    </row>
    <row r="2765" spans="1:25" x14ac:dyDescent="0.35">
      <c r="A2765" t="s">
        <v>71</v>
      </c>
      <c r="B2765" t="s">
        <v>72</v>
      </c>
      <c r="C2765" t="s">
        <v>73</v>
      </c>
      <c r="D2765" t="s">
        <v>235</v>
      </c>
      <c r="E2765">
        <v>80895487</v>
      </c>
      <c r="F2765" t="s">
        <v>1981</v>
      </c>
      <c r="G2765" s="3">
        <v>47117</v>
      </c>
      <c r="H2765">
        <v>36</v>
      </c>
      <c r="I2765">
        <v>86</v>
      </c>
      <c r="J2765">
        <v>80</v>
      </c>
      <c r="K2765" s="4">
        <v>88792.8</v>
      </c>
      <c r="L2765" s="4">
        <v>292.71428571428572</v>
      </c>
      <c r="M2765" s="4">
        <v>0.27330405075646658</v>
      </c>
      <c r="N2765" t="s">
        <v>25</v>
      </c>
      <c r="O2765" t="str">
        <f t="shared" si="430"/>
        <v>Low</v>
      </c>
      <c r="P2765" t="str">
        <f t="shared" si="431"/>
        <v>Low</v>
      </c>
      <c r="Q2765" t="str">
        <f t="shared" si="432"/>
        <v>Low</v>
      </c>
      <c r="R2765" t="s">
        <v>3310</v>
      </c>
      <c r="S2765" s="4">
        <f t="shared" ca="1" si="433"/>
        <v>920</v>
      </c>
      <c r="T2765">
        <f t="shared" si="434"/>
        <v>1</v>
      </c>
      <c r="U2765">
        <f t="shared" si="435"/>
        <v>1</v>
      </c>
      <c r="V2765">
        <f t="shared" si="436"/>
        <v>1</v>
      </c>
      <c r="W2765">
        <f t="shared" si="437"/>
        <v>2</v>
      </c>
      <c r="X2765">
        <f t="shared" si="438"/>
        <v>1.0999999999999999</v>
      </c>
      <c r="Y2765" t="str">
        <f t="shared" si="439"/>
        <v>Healthy</v>
      </c>
    </row>
    <row r="2766" spans="1:25" x14ac:dyDescent="0.35">
      <c r="A2766" t="s">
        <v>71</v>
      </c>
      <c r="B2766" t="s">
        <v>72</v>
      </c>
      <c r="C2766" t="s">
        <v>73</v>
      </c>
      <c r="D2766" t="s">
        <v>235</v>
      </c>
      <c r="E2766">
        <v>80895487</v>
      </c>
      <c r="F2766" t="s">
        <v>1981</v>
      </c>
      <c r="G2766" s="3">
        <v>47083</v>
      </c>
      <c r="H2766">
        <v>36</v>
      </c>
      <c r="I2766">
        <v>83</v>
      </c>
      <c r="J2766">
        <v>20</v>
      </c>
      <c r="K2766" s="4">
        <v>22198.2</v>
      </c>
      <c r="L2766" s="4">
        <v>292.71428571428572</v>
      </c>
      <c r="M2766" s="4">
        <v>6.8326012689116644E-2</v>
      </c>
      <c r="N2766" t="s">
        <v>25</v>
      </c>
      <c r="O2766" t="str">
        <f t="shared" si="430"/>
        <v>Low</v>
      </c>
      <c r="P2766" t="str">
        <f t="shared" si="431"/>
        <v>Low</v>
      </c>
      <c r="Q2766" t="str">
        <f t="shared" si="432"/>
        <v>Low</v>
      </c>
      <c r="R2766" t="s">
        <v>3317</v>
      </c>
      <c r="S2766" s="4">
        <f t="shared" ca="1" si="433"/>
        <v>886</v>
      </c>
      <c r="T2766">
        <f t="shared" si="434"/>
        <v>1</v>
      </c>
      <c r="U2766">
        <f t="shared" si="435"/>
        <v>1</v>
      </c>
      <c r="V2766">
        <f t="shared" si="436"/>
        <v>1</v>
      </c>
      <c r="W2766">
        <f t="shared" si="437"/>
        <v>1</v>
      </c>
      <c r="X2766">
        <f t="shared" si="438"/>
        <v>0.99999999999999989</v>
      </c>
      <c r="Y2766" t="str">
        <f t="shared" si="439"/>
        <v>Healthy</v>
      </c>
    </row>
    <row r="2767" spans="1:25" x14ac:dyDescent="0.35">
      <c r="A2767" t="s">
        <v>71</v>
      </c>
      <c r="B2767" t="s">
        <v>72</v>
      </c>
      <c r="C2767" t="s">
        <v>73</v>
      </c>
      <c r="D2767" t="s">
        <v>235</v>
      </c>
      <c r="E2767">
        <v>80895487</v>
      </c>
      <c r="F2767" t="s">
        <v>1981</v>
      </c>
      <c r="G2767" s="3">
        <v>47082</v>
      </c>
      <c r="H2767">
        <v>36</v>
      </c>
      <c r="I2767">
        <v>82</v>
      </c>
      <c r="J2767">
        <v>10</v>
      </c>
      <c r="K2767" s="4">
        <v>11099.1</v>
      </c>
      <c r="L2767" s="4">
        <v>292.71428571428572</v>
      </c>
      <c r="M2767" s="4">
        <v>3.4163006344558322E-2</v>
      </c>
      <c r="N2767" t="s">
        <v>25</v>
      </c>
      <c r="O2767" t="str">
        <f t="shared" si="430"/>
        <v>Low</v>
      </c>
      <c r="P2767" t="str">
        <f t="shared" si="431"/>
        <v>Low</v>
      </c>
      <c r="Q2767" t="str">
        <f t="shared" si="432"/>
        <v>Low</v>
      </c>
      <c r="R2767" t="s">
        <v>3317</v>
      </c>
      <c r="S2767" s="4">
        <f t="shared" ca="1" si="433"/>
        <v>885</v>
      </c>
      <c r="T2767">
        <f t="shared" si="434"/>
        <v>1</v>
      </c>
      <c r="U2767">
        <f t="shared" si="435"/>
        <v>1</v>
      </c>
      <c r="V2767">
        <f t="shared" si="436"/>
        <v>1</v>
      </c>
      <c r="W2767">
        <f t="shared" si="437"/>
        <v>1</v>
      </c>
      <c r="X2767">
        <f t="shared" si="438"/>
        <v>0.99999999999999989</v>
      </c>
      <c r="Y2767" t="str">
        <f t="shared" si="439"/>
        <v>Healthy</v>
      </c>
    </row>
    <row r="2768" spans="1:25" x14ac:dyDescent="0.35">
      <c r="A2768" t="s">
        <v>71</v>
      </c>
      <c r="B2768" t="s">
        <v>72</v>
      </c>
      <c r="C2768" t="s">
        <v>150</v>
      </c>
      <c r="D2768" t="s">
        <v>1574</v>
      </c>
      <c r="E2768">
        <v>80895462</v>
      </c>
      <c r="F2768" t="s">
        <v>1982</v>
      </c>
      <c r="G2768" s="3">
        <v>47224</v>
      </c>
      <c r="H2768">
        <v>36</v>
      </c>
      <c r="I2768">
        <v>96</v>
      </c>
      <c r="J2768">
        <v>199</v>
      </c>
      <c r="K2768" s="4">
        <v>5253.6</v>
      </c>
      <c r="L2768" s="4">
        <v>1107</v>
      </c>
      <c r="M2768" s="4">
        <v>0.17976513098464317</v>
      </c>
      <c r="N2768" t="s">
        <v>25</v>
      </c>
      <c r="O2768" t="str">
        <f t="shared" si="430"/>
        <v>Low</v>
      </c>
      <c r="P2768" t="str">
        <f t="shared" si="431"/>
        <v>Low</v>
      </c>
      <c r="Q2768" t="str">
        <f t="shared" si="432"/>
        <v>Low</v>
      </c>
      <c r="R2768" t="s">
        <v>3317</v>
      </c>
      <c r="S2768" s="4">
        <f t="shared" ca="1" si="433"/>
        <v>1027</v>
      </c>
      <c r="T2768">
        <f t="shared" si="434"/>
        <v>1</v>
      </c>
      <c r="U2768">
        <f t="shared" si="435"/>
        <v>1</v>
      </c>
      <c r="V2768">
        <f t="shared" si="436"/>
        <v>1</v>
      </c>
      <c r="W2768">
        <f t="shared" si="437"/>
        <v>1</v>
      </c>
      <c r="X2768">
        <f t="shared" si="438"/>
        <v>0.99999999999999989</v>
      </c>
      <c r="Y2768" t="str">
        <f t="shared" si="439"/>
        <v>Healthy</v>
      </c>
    </row>
    <row r="2769" spans="1:25" x14ac:dyDescent="0.35">
      <c r="A2769" t="s">
        <v>71</v>
      </c>
      <c r="B2769" t="s">
        <v>72</v>
      </c>
      <c r="C2769" t="s">
        <v>150</v>
      </c>
      <c r="D2769" t="s">
        <v>1574</v>
      </c>
      <c r="E2769">
        <v>80895462</v>
      </c>
      <c r="F2769" t="s">
        <v>1982</v>
      </c>
      <c r="G2769" s="3">
        <v>47142</v>
      </c>
      <c r="H2769">
        <v>36</v>
      </c>
      <c r="I2769">
        <v>88</v>
      </c>
      <c r="J2769">
        <v>197</v>
      </c>
      <c r="K2769" s="4">
        <v>5200.8</v>
      </c>
      <c r="L2769" s="4">
        <v>1107</v>
      </c>
      <c r="M2769" s="4">
        <v>0.17795844625112917</v>
      </c>
      <c r="N2769" t="s">
        <v>25</v>
      </c>
      <c r="O2769" t="str">
        <f t="shared" si="430"/>
        <v>Low</v>
      </c>
      <c r="P2769" t="str">
        <f t="shared" si="431"/>
        <v>Low</v>
      </c>
      <c r="Q2769" t="str">
        <f t="shared" si="432"/>
        <v>Low</v>
      </c>
      <c r="R2769" t="s">
        <v>3317</v>
      </c>
      <c r="S2769" s="4">
        <f t="shared" ca="1" si="433"/>
        <v>945</v>
      </c>
      <c r="T2769">
        <f t="shared" si="434"/>
        <v>1</v>
      </c>
      <c r="U2769">
        <f t="shared" si="435"/>
        <v>1</v>
      </c>
      <c r="V2769">
        <f t="shared" si="436"/>
        <v>1</v>
      </c>
      <c r="W2769">
        <f t="shared" si="437"/>
        <v>1</v>
      </c>
      <c r="X2769">
        <f t="shared" si="438"/>
        <v>0.99999999999999989</v>
      </c>
      <c r="Y2769" t="str">
        <f t="shared" si="439"/>
        <v>Healthy</v>
      </c>
    </row>
    <row r="2770" spans="1:25" x14ac:dyDescent="0.35">
      <c r="A2770" t="s">
        <v>71</v>
      </c>
      <c r="B2770" t="s">
        <v>72</v>
      </c>
      <c r="C2770" t="s">
        <v>150</v>
      </c>
      <c r="D2770" t="s">
        <v>1574</v>
      </c>
      <c r="E2770">
        <v>80895462</v>
      </c>
      <c r="F2770" t="s">
        <v>1982</v>
      </c>
      <c r="G2770" s="3">
        <v>47167</v>
      </c>
      <c r="H2770">
        <v>36</v>
      </c>
      <c r="I2770">
        <v>90</v>
      </c>
      <c r="J2770">
        <v>34</v>
      </c>
      <c r="K2770" s="4">
        <v>897.6</v>
      </c>
      <c r="L2770" s="4">
        <v>1107</v>
      </c>
      <c r="M2770" s="4">
        <v>3.071364046973803E-2</v>
      </c>
      <c r="N2770" t="s">
        <v>25</v>
      </c>
      <c r="O2770" t="str">
        <f t="shared" si="430"/>
        <v>Low</v>
      </c>
      <c r="P2770" t="str">
        <f t="shared" si="431"/>
        <v>Low</v>
      </c>
      <c r="Q2770" t="str">
        <f t="shared" si="432"/>
        <v>Low</v>
      </c>
      <c r="R2770" t="s">
        <v>3317</v>
      </c>
      <c r="S2770" s="4">
        <f t="shared" ca="1" si="433"/>
        <v>970</v>
      </c>
      <c r="T2770">
        <f t="shared" si="434"/>
        <v>1</v>
      </c>
      <c r="U2770">
        <f t="shared" si="435"/>
        <v>1</v>
      </c>
      <c r="V2770">
        <f t="shared" si="436"/>
        <v>1</v>
      </c>
      <c r="W2770">
        <f t="shared" si="437"/>
        <v>1</v>
      </c>
      <c r="X2770">
        <f t="shared" si="438"/>
        <v>0.99999999999999989</v>
      </c>
      <c r="Y2770" t="str">
        <f t="shared" si="439"/>
        <v>Healthy</v>
      </c>
    </row>
    <row r="2771" spans="1:25" x14ac:dyDescent="0.35">
      <c r="A2771" t="s">
        <v>71</v>
      </c>
      <c r="B2771" t="s">
        <v>72</v>
      </c>
      <c r="C2771" t="s">
        <v>150</v>
      </c>
      <c r="D2771" t="s">
        <v>1574</v>
      </c>
      <c r="E2771">
        <v>80895462</v>
      </c>
      <c r="F2771" t="s">
        <v>1982</v>
      </c>
      <c r="G2771" s="3">
        <v>47119</v>
      </c>
      <c r="H2771">
        <v>36</v>
      </c>
      <c r="I2771">
        <v>86</v>
      </c>
      <c r="J2771">
        <v>2</v>
      </c>
      <c r="K2771" s="4">
        <v>52.8</v>
      </c>
      <c r="L2771" s="4">
        <v>1107</v>
      </c>
      <c r="M2771" s="4">
        <v>1.8066847335140017E-3</v>
      </c>
      <c r="N2771" t="s">
        <v>25</v>
      </c>
      <c r="O2771" t="str">
        <f t="shared" si="430"/>
        <v>Low</v>
      </c>
      <c r="P2771" t="str">
        <f t="shared" si="431"/>
        <v>Low</v>
      </c>
      <c r="Q2771" t="str">
        <f t="shared" si="432"/>
        <v>Low</v>
      </c>
      <c r="R2771" t="s">
        <v>3317</v>
      </c>
      <c r="S2771" s="4">
        <f t="shared" ca="1" si="433"/>
        <v>922</v>
      </c>
      <c r="T2771">
        <f t="shared" si="434"/>
        <v>1</v>
      </c>
      <c r="U2771">
        <f t="shared" si="435"/>
        <v>1</v>
      </c>
      <c r="V2771">
        <f t="shared" si="436"/>
        <v>1</v>
      </c>
      <c r="W2771">
        <f t="shared" si="437"/>
        <v>1</v>
      </c>
      <c r="X2771">
        <f t="shared" si="438"/>
        <v>0.99999999999999989</v>
      </c>
      <c r="Y2771" t="str">
        <f t="shared" si="439"/>
        <v>Healthy</v>
      </c>
    </row>
    <row r="2772" spans="1:25" x14ac:dyDescent="0.35">
      <c r="A2772" t="s">
        <v>71</v>
      </c>
      <c r="B2772" t="s">
        <v>72</v>
      </c>
      <c r="C2772" t="s">
        <v>150</v>
      </c>
      <c r="D2772" t="s">
        <v>1574</v>
      </c>
      <c r="E2772">
        <v>80895462</v>
      </c>
      <c r="F2772" t="s">
        <v>1982</v>
      </c>
      <c r="G2772" s="3">
        <v>47127</v>
      </c>
      <c r="H2772">
        <v>36</v>
      </c>
      <c r="I2772">
        <v>87</v>
      </c>
      <c r="J2772">
        <v>91</v>
      </c>
      <c r="K2772" s="4">
        <v>2402.4</v>
      </c>
      <c r="L2772" s="4">
        <v>1107</v>
      </c>
      <c r="M2772" s="4">
        <v>8.2204155374887081E-2</v>
      </c>
      <c r="N2772" t="s">
        <v>25</v>
      </c>
      <c r="O2772" t="str">
        <f t="shared" si="430"/>
        <v>Low</v>
      </c>
      <c r="P2772" t="str">
        <f t="shared" si="431"/>
        <v>Low</v>
      </c>
      <c r="Q2772" t="str">
        <f t="shared" si="432"/>
        <v>Low</v>
      </c>
      <c r="R2772" t="s">
        <v>3317</v>
      </c>
      <c r="S2772" s="4">
        <f t="shared" ca="1" si="433"/>
        <v>930</v>
      </c>
      <c r="T2772">
        <f t="shared" si="434"/>
        <v>1</v>
      </c>
      <c r="U2772">
        <f t="shared" si="435"/>
        <v>1</v>
      </c>
      <c r="V2772">
        <f t="shared" si="436"/>
        <v>1</v>
      </c>
      <c r="W2772">
        <f t="shared" si="437"/>
        <v>1</v>
      </c>
      <c r="X2772">
        <f t="shared" si="438"/>
        <v>0.99999999999999989</v>
      </c>
      <c r="Y2772" t="str">
        <f t="shared" si="439"/>
        <v>Healthy</v>
      </c>
    </row>
    <row r="2773" spans="1:25" x14ac:dyDescent="0.35">
      <c r="A2773" t="s">
        <v>71</v>
      </c>
      <c r="B2773" t="s">
        <v>72</v>
      </c>
      <c r="C2773" t="s">
        <v>150</v>
      </c>
      <c r="D2773" t="s">
        <v>1574</v>
      </c>
      <c r="E2773">
        <v>80895462</v>
      </c>
      <c r="F2773" t="s">
        <v>1982</v>
      </c>
      <c r="G2773" s="3">
        <v>47277</v>
      </c>
      <c r="H2773">
        <v>36</v>
      </c>
      <c r="I2773">
        <v>100</v>
      </c>
      <c r="J2773">
        <v>384</v>
      </c>
      <c r="K2773" s="4">
        <v>10137.6</v>
      </c>
      <c r="L2773" s="4">
        <v>1107</v>
      </c>
      <c r="M2773" s="4">
        <v>0.34688346883468835</v>
      </c>
      <c r="N2773" t="s">
        <v>25</v>
      </c>
      <c r="O2773" t="str">
        <f t="shared" si="430"/>
        <v>Low</v>
      </c>
      <c r="P2773" t="str">
        <f t="shared" si="431"/>
        <v>Low</v>
      </c>
      <c r="Q2773" t="str">
        <f t="shared" si="432"/>
        <v>Low</v>
      </c>
      <c r="R2773" t="s">
        <v>3317</v>
      </c>
      <c r="S2773" s="4">
        <f t="shared" ca="1" si="433"/>
        <v>1080</v>
      </c>
      <c r="T2773">
        <f t="shared" si="434"/>
        <v>1</v>
      </c>
      <c r="U2773">
        <f t="shared" si="435"/>
        <v>1</v>
      </c>
      <c r="V2773">
        <f t="shared" si="436"/>
        <v>1</v>
      </c>
      <c r="W2773">
        <f t="shared" si="437"/>
        <v>1</v>
      </c>
      <c r="X2773">
        <f t="shared" si="438"/>
        <v>0.99999999999999989</v>
      </c>
      <c r="Y2773" t="str">
        <f t="shared" si="439"/>
        <v>Healthy</v>
      </c>
    </row>
    <row r="2774" spans="1:25" x14ac:dyDescent="0.35">
      <c r="A2774" t="s">
        <v>71</v>
      </c>
      <c r="B2774" t="s">
        <v>72</v>
      </c>
      <c r="C2774" t="s">
        <v>150</v>
      </c>
      <c r="D2774" t="s">
        <v>1574</v>
      </c>
      <c r="E2774">
        <v>80895462</v>
      </c>
      <c r="F2774" t="s">
        <v>1982</v>
      </c>
      <c r="G2774" s="3">
        <v>47174</v>
      </c>
      <c r="H2774">
        <v>36</v>
      </c>
      <c r="I2774">
        <v>91</v>
      </c>
      <c r="J2774">
        <v>192</v>
      </c>
      <c r="K2774" s="4">
        <v>5068.8</v>
      </c>
      <c r="L2774" s="4">
        <v>1107</v>
      </c>
      <c r="M2774" s="4">
        <v>0.17344173441734417</v>
      </c>
      <c r="N2774" t="s">
        <v>25</v>
      </c>
      <c r="O2774" t="str">
        <f t="shared" si="430"/>
        <v>Low</v>
      </c>
      <c r="P2774" t="str">
        <f t="shared" si="431"/>
        <v>Low</v>
      </c>
      <c r="Q2774" t="str">
        <f t="shared" si="432"/>
        <v>Low</v>
      </c>
      <c r="R2774" t="s">
        <v>3317</v>
      </c>
      <c r="S2774" s="4">
        <f t="shared" ca="1" si="433"/>
        <v>977</v>
      </c>
      <c r="T2774">
        <f t="shared" si="434"/>
        <v>1</v>
      </c>
      <c r="U2774">
        <f t="shared" si="435"/>
        <v>1</v>
      </c>
      <c r="V2774">
        <f t="shared" si="436"/>
        <v>1</v>
      </c>
      <c r="W2774">
        <f t="shared" si="437"/>
        <v>1</v>
      </c>
      <c r="X2774">
        <f t="shared" si="438"/>
        <v>0.99999999999999989</v>
      </c>
      <c r="Y2774" t="str">
        <f t="shared" si="439"/>
        <v>Healthy</v>
      </c>
    </row>
    <row r="2775" spans="1:25" x14ac:dyDescent="0.35">
      <c r="A2775" t="s">
        <v>71</v>
      </c>
      <c r="B2775" t="s">
        <v>72</v>
      </c>
      <c r="C2775" t="s">
        <v>150</v>
      </c>
      <c r="D2775" t="s">
        <v>1574</v>
      </c>
      <c r="E2775">
        <v>80895462</v>
      </c>
      <c r="F2775" t="s">
        <v>1982</v>
      </c>
      <c r="G2775" s="3">
        <v>47255</v>
      </c>
      <c r="H2775">
        <v>36</v>
      </c>
      <c r="I2775">
        <v>98</v>
      </c>
      <c r="J2775">
        <v>192</v>
      </c>
      <c r="K2775" s="4">
        <v>5068.8</v>
      </c>
      <c r="L2775" s="4">
        <v>1107</v>
      </c>
      <c r="M2775" s="4">
        <v>0.17344173441734417</v>
      </c>
      <c r="N2775" t="s">
        <v>25</v>
      </c>
      <c r="O2775" t="str">
        <f t="shared" si="430"/>
        <v>Low</v>
      </c>
      <c r="P2775" t="str">
        <f t="shared" si="431"/>
        <v>Low</v>
      </c>
      <c r="Q2775" t="str">
        <f t="shared" si="432"/>
        <v>Low</v>
      </c>
      <c r="R2775" t="s">
        <v>3317</v>
      </c>
      <c r="S2775" s="4">
        <f t="shared" ca="1" si="433"/>
        <v>1058</v>
      </c>
      <c r="T2775">
        <f t="shared" si="434"/>
        <v>1</v>
      </c>
      <c r="U2775">
        <f t="shared" si="435"/>
        <v>1</v>
      </c>
      <c r="V2775">
        <f t="shared" si="436"/>
        <v>1</v>
      </c>
      <c r="W2775">
        <f t="shared" si="437"/>
        <v>1</v>
      </c>
      <c r="X2775">
        <f t="shared" si="438"/>
        <v>0.99999999999999989</v>
      </c>
      <c r="Y2775" t="str">
        <f t="shared" si="439"/>
        <v>Healthy</v>
      </c>
    </row>
    <row r="2776" spans="1:25" x14ac:dyDescent="0.35">
      <c r="A2776" t="s">
        <v>71</v>
      </c>
      <c r="B2776" t="s">
        <v>72</v>
      </c>
      <c r="C2776" t="s">
        <v>150</v>
      </c>
      <c r="D2776" t="s">
        <v>1574</v>
      </c>
      <c r="E2776">
        <v>80895462</v>
      </c>
      <c r="F2776" t="s">
        <v>1982</v>
      </c>
      <c r="G2776" s="3">
        <v>47085</v>
      </c>
      <c r="H2776">
        <v>36</v>
      </c>
      <c r="I2776">
        <v>83</v>
      </c>
      <c r="J2776">
        <v>190</v>
      </c>
      <c r="K2776" s="4">
        <v>5016</v>
      </c>
      <c r="L2776" s="4">
        <v>1107</v>
      </c>
      <c r="M2776" s="4">
        <v>0.17163504968383017</v>
      </c>
      <c r="N2776" t="s">
        <v>25</v>
      </c>
      <c r="O2776" t="str">
        <f t="shared" si="430"/>
        <v>Low</v>
      </c>
      <c r="P2776" t="str">
        <f t="shared" si="431"/>
        <v>Low</v>
      </c>
      <c r="Q2776" t="str">
        <f t="shared" si="432"/>
        <v>Low</v>
      </c>
      <c r="R2776" t="s">
        <v>3317</v>
      </c>
      <c r="S2776" s="4">
        <f t="shared" ca="1" si="433"/>
        <v>888</v>
      </c>
      <c r="T2776">
        <f t="shared" si="434"/>
        <v>1</v>
      </c>
      <c r="U2776">
        <f t="shared" si="435"/>
        <v>1</v>
      </c>
      <c r="V2776">
        <f t="shared" si="436"/>
        <v>1</v>
      </c>
      <c r="W2776">
        <f t="shared" si="437"/>
        <v>1</v>
      </c>
      <c r="X2776">
        <f t="shared" si="438"/>
        <v>0.99999999999999989</v>
      </c>
      <c r="Y2776" t="str">
        <f t="shared" si="439"/>
        <v>Healthy</v>
      </c>
    </row>
    <row r="2777" spans="1:25" x14ac:dyDescent="0.35">
      <c r="A2777" t="s">
        <v>71</v>
      </c>
      <c r="B2777" t="s">
        <v>72</v>
      </c>
      <c r="C2777" t="s">
        <v>73</v>
      </c>
      <c r="D2777" t="s">
        <v>1983</v>
      </c>
      <c r="E2777">
        <v>80895488</v>
      </c>
      <c r="F2777" t="s">
        <v>1984</v>
      </c>
      <c r="G2777" s="3">
        <v>47230</v>
      </c>
      <c r="H2777">
        <v>36</v>
      </c>
      <c r="I2777">
        <v>96</v>
      </c>
      <c r="J2777">
        <v>8</v>
      </c>
      <c r="K2777" s="4">
        <v>15200.4</v>
      </c>
      <c r="L2777" s="4">
        <v>81.142857142857139</v>
      </c>
      <c r="M2777" s="4">
        <v>9.8591549295774655E-2</v>
      </c>
      <c r="N2777" t="s">
        <v>25</v>
      </c>
      <c r="O2777" t="str">
        <f t="shared" si="430"/>
        <v>Low</v>
      </c>
      <c r="P2777" t="str">
        <f t="shared" si="431"/>
        <v>Low</v>
      </c>
      <c r="Q2777" t="str">
        <f t="shared" si="432"/>
        <v>Low</v>
      </c>
      <c r="R2777" t="s">
        <v>3317</v>
      </c>
      <c r="S2777" s="4">
        <f t="shared" ca="1" si="433"/>
        <v>1033</v>
      </c>
      <c r="T2777">
        <f t="shared" si="434"/>
        <v>1</v>
      </c>
      <c r="U2777">
        <f t="shared" si="435"/>
        <v>1</v>
      </c>
      <c r="V2777">
        <f t="shared" si="436"/>
        <v>1</v>
      </c>
      <c r="W2777">
        <f t="shared" si="437"/>
        <v>1</v>
      </c>
      <c r="X2777">
        <f t="shared" si="438"/>
        <v>0.99999999999999989</v>
      </c>
      <c r="Y2777" t="str">
        <f t="shared" si="439"/>
        <v>Healthy</v>
      </c>
    </row>
    <row r="2778" spans="1:25" x14ac:dyDescent="0.35">
      <c r="A2778" t="s">
        <v>71</v>
      </c>
      <c r="B2778" t="s">
        <v>72</v>
      </c>
      <c r="C2778" t="s">
        <v>73</v>
      </c>
      <c r="D2778" t="s">
        <v>1983</v>
      </c>
      <c r="E2778">
        <v>80895488</v>
      </c>
      <c r="F2778" t="s">
        <v>1984</v>
      </c>
      <c r="G2778" s="3">
        <v>47269</v>
      </c>
      <c r="H2778">
        <v>36</v>
      </c>
      <c r="I2778">
        <v>100</v>
      </c>
      <c r="J2778">
        <v>140</v>
      </c>
      <c r="K2778" s="4">
        <v>266007</v>
      </c>
      <c r="L2778" s="4">
        <v>81.142857142857139</v>
      </c>
      <c r="M2778" s="4">
        <v>1.7253521126760565</v>
      </c>
      <c r="N2778" t="s">
        <v>25</v>
      </c>
      <c r="O2778" t="str">
        <f t="shared" si="430"/>
        <v>Low</v>
      </c>
      <c r="P2778" t="str">
        <f t="shared" si="431"/>
        <v>Low</v>
      </c>
      <c r="Q2778" t="str">
        <f t="shared" si="432"/>
        <v>Low</v>
      </c>
      <c r="R2778" t="s">
        <v>3309</v>
      </c>
      <c r="S2778" s="4">
        <f t="shared" ca="1" si="433"/>
        <v>1072</v>
      </c>
      <c r="T2778">
        <f t="shared" si="434"/>
        <v>1</v>
      </c>
      <c r="U2778">
        <f t="shared" si="435"/>
        <v>1</v>
      </c>
      <c r="V2778">
        <f t="shared" si="436"/>
        <v>1</v>
      </c>
      <c r="W2778">
        <f t="shared" si="437"/>
        <v>3</v>
      </c>
      <c r="X2778">
        <f t="shared" si="438"/>
        <v>1.2</v>
      </c>
      <c r="Y2778" t="str">
        <f t="shared" si="439"/>
        <v>Healthy</v>
      </c>
    </row>
    <row r="2779" spans="1:25" x14ac:dyDescent="0.35">
      <c r="A2779" t="s">
        <v>71</v>
      </c>
      <c r="B2779" t="s">
        <v>72</v>
      </c>
      <c r="C2779" t="s">
        <v>150</v>
      </c>
      <c r="D2779" t="s">
        <v>955</v>
      </c>
      <c r="E2779">
        <v>80895463</v>
      </c>
      <c r="F2779" t="s">
        <v>1985</v>
      </c>
      <c r="G2779" s="3">
        <v>47248</v>
      </c>
      <c r="H2779">
        <v>36</v>
      </c>
      <c r="I2779">
        <v>98</v>
      </c>
      <c r="J2779">
        <v>20</v>
      </c>
      <c r="K2779" s="4">
        <v>432</v>
      </c>
      <c r="L2779" s="4">
        <v>1147.8571428571429</v>
      </c>
      <c r="M2779" s="4">
        <v>1.7423771001866831E-2</v>
      </c>
      <c r="N2779" t="s">
        <v>25</v>
      </c>
      <c r="O2779" t="str">
        <f t="shared" si="430"/>
        <v>Low</v>
      </c>
      <c r="P2779" t="str">
        <f t="shared" si="431"/>
        <v>Low</v>
      </c>
      <c r="Q2779" t="str">
        <f t="shared" si="432"/>
        <v>Low</v>
      </c>
      <c r="R2779" t="s">
        <v>3317</v>
      </c>
      <c r="S2779" s="4">
        <f t="shared" ca="1" si="433"/>
        <v>1051</v>
      </c>
      <c r="T2779">
        <f t="shared" si="434"/>
        <v>1</v>
      </c>
      <c r="U2779">
        <f t="shared" si="435"/>
        <v>1</v>
      </c>
      <c r="V2779">
        <f t="shared" si="436"/>
        <v>1</v>
      </c>
      <c r="W2779">
        <f t="shared" si="437"/>
        <v>1</v>
      </c>
      <c r="X2779">
        <f t="shared" si="438"/>
        <v>0.99999999999999989</v>
      </c>
      <c r="Y2779" t="str">
        <f t="shared" si="439"/>
        <v>Healthy</v>
      </c>
    </row>
    <row r="2780" spans="1:25" x14ac:dyDescent="0.35">
      <c r="A2780" t="s">
        <v>71</v>
      </c>
      <c r="B2780" t="s">
        <v>72</v>
      </c>
      <c r="C2780" t="s">
        <v>150</v>
      </c>
      <c r="D2780" t="s">
        <v>955</v>
      </c>
      <c r="E2780">
        <v>80895463</v>
      </c>
      <c r="F2780" t="s">
        <v>1985</v>
      </c>
      <c r="G2780" s="3">
        <v>47153</v>
      </c>
      <c r="H2780">
        <v>36</v>
      </c>
      <c r="I2780">
        <v>89</v>
      </c>
      <c r="J2780">
        <v>192</v>
      </c>
      <c r="K2780" s="4">
        <v>4147.2</v>
      </c>
      <c r="L2780" s="4">
        <v>1147.8571428571429</v>
      </c>
      <c r="M2780" s="4">
        <v>0.16726820161792158</v>
      </c>
      <c r="N2780" t="s">
        <v>25</v>
      </c>
      <c r="O2780" t="str">
        <f t="shared" si="430"/>
        <v>Low</v>
      </c>
      <c r="P2780" t="str">
        <f t="shared" si="431"/>
        <v>Low</v>
      </c>
      <c r="Q2780" t="str">
        <f t="shared" si="432"/>
        <v>Low</v>
      </c>
      <c r="R2780" t="s">
        <v>3317</v>
      </c>
      <c r="S2780" s="4">
        <f t="shared" ca="1" si="433"/>
        <v>956</v>
      </c>
      <c r="T2780">
        <f t="shared" si="434"/>
        <v>1</v>
      </c>
      <c r="U2780">
        <f t="shared" si="435"/>
        <v>1</v>
      </c>
      <c r="V2780">
        <f t="shared" si="436"/>
        <v>1</v>
      </c>
      <c r="W2780">
        <f t="shared" si="437"/>
        <v>1</v>
      </c>
      <c r="X2780">
        <f t="shared" si="438"/>
        <v>0.99999999999999989</v>
      </c>
      <c r="Y2780" t="str">
        <f t="shared" si="439"/>
        <v>Healthy</v>
      </c>
    </row>
    <row r="2781" spans="1:25" x14ac:dyDescent="0.35">
      <c r="A2781" t="s">
        <v>71</v>
      </c>
      <c r="B2781" t="s">
        <v>72</v>
      </c>
      <c r="C2781" t="s">
        <v>150</v>
      </c>
      <c r="D2781" t="s">
        <v>955</v>
      </c>
      <c r="E2781">
        <v>80895463</v>
      </c>
      <c r="F2781" t="s">
        <v>1985</v>
      </c>
      <c r="G2781" s="3">
        <v>47070</v>
      </c>
      <c r="H2781">
        <v>36</v>
      </c>
      <c r="I2781">
        <v>81</v>
      </c>
      <c r="J2781">
        <v>157</v>
      </c>
      <c r="K2781" s="4">
        <v>3391.2</v>
      </c>
      <c r="L2781" s="4">
        <v>1147.8571428571429</v>
      </c>
      <c r="M2781" s="4">
        <v>0.13677660236465464</v>
      </c>
      <c r="N2781" t="s">
        <v>25</v>
      </c>
      <c r="O2781" t="str">
        <f t="shared" si="430"/>
        <v>Low</v>
      </c>
      <c r="P2781" t="str">
        <f t="shared" si="431"/>
        <v>Low</v>
      </c>
      <c r="Q2781" t="str">
        <f t="shared" si="432"/>
        <v>Low</v>
      </c>
      <c r="R2781" t="s">
        <v>3317</v>
      </c>
      <c r="S2781" s="4">
        <f t="shared" ca="1" si="433"/>
        <v>873</v>
      </c>
      <c r="T2781">
        <f t="shared" si="434"/>
        <v>1</v>
      </c>
      <c r="U2781">
        <f t="shared" si="435"/>
        <v>1</v>
      </c>
      <c r="V2781">
        <f t="shared" si="436"/>
        <v>1</v>
      </c>
      <c r="W2781">
        <f t="shared" si="437"/>
        <v>1</v>
      </c>
      <c r="X2781">
        <f t="shared" si="438"/>
        <v>0.99999999999999989</v>
      </c>
      <c r="Y2781" t="str">
        <f t="shared" si="439"/>
        <v>Healthy</v>
      </c>
    </row>
    <row r="2782" spans="1:25" x14ac:dyDescent="0.35">
      <c r="A2782" t="s">
        <v>41</v>
      </c>
      <c r="B2782" t="s">
        <v>80</v>
      </c>
      <c r="C2782" t="s">
        <v>502</v>
      </c>
      <c r="D2782" t="s">
        <v>1500</v>
      </c>
      <c r="E2782">
        <v>80731531</v>
      </c>
      <c r="F2782" t="s">
        <v>1986</v>
      </c>
      <c r="G2782" s="3">
        <v>46277</v>
      </c>
      <c r="H2782">
        <v>36</v>
      </c>
      <c r="I2782">
        <v>8</v>
      </c>
      <c r="J2782">
        <v>5</v>
      </c>
      <c r="K2782" s="4">
        <v>2339.9499999999998</v>
      </c>
      <c r="L2782" s="4">
        <f>0</f>
        <v>0</v>
      </c>
      <c r="M2782" s="4">
        <f>999</f>
        <v>999</v>
      </c>
      <c r="N2782" t="s">
        <v>19</v>
      </c>
      <c r="O2782" t="str">
        <f t="shared" si="430"/>
        <v>High</v>
      </c>
      <c r="P2782" t="str">
        <f t="shared" si="431"/>
        <v>High</v>
      </c>
      <c r="Q2782" t="str">
        <f t="shared" si="432"/>
        <v>High</v>
      </c>
      <c r="R2782" t="s">
        <v>3317</v>
      </c>
      <c r="S2782" s="4">
        <f t="shared" ca="1" si="433"/>
        <v>80</v>
      </c>
      <c r="T2782">
        <f t="shared" si="434"/>
        <v>3</v>
      </c>
      <c r="U2782">
        <f t="shared" si="435"/>
        <v>3</v>
      </c>
      <c r="V2782">
        <f t="shared" si="436"/>
        <v>3</v>
      </c>
      <c r="W2782">
        <f t="shared" si="437"/>
        <v>1</v>
      </c>
      <c r="X2782">
        <f t="shared" si="438"/>
        <v>2.8000000000000003</v>
      </c>
      <c r="Y2782" t="str">
        <f t="shared" si="439"/>
        <v>Move Immediately</v>
      </c>
    </row>
    <row r="2783" spans="1:25" x14ac:dyDescent="0.35">
      <c r="A2783" t="s">
        <v>71</v>
      </c>
      <c r="B2783" t="s">
        <v>72</v>
      </c>
      <c r="C2783" t="s">
        <v>150</v>
      </c>
      <c r="D2783" t="s">
        <v>955</v>
      </c>
      <c r="E2783">
        <v>80895463</v>
      </c>
      <c r="F2783" t="s">
        <v>1985</v>
      </c>
      <c r="G2783" s="3">
        <v>47249</v>
      </c>
      <c r="H2783">
        <v>36</v>
      </c>
      <c r="I2783">
        <v>98</v>
      </c>
      <c r="J2783">
        <v>192</v>
      </c>
      <c r="K2783" s="4">
        <v>4147.2</v>
      </c>
      <c r="L2783" s="4">
        <v>1147.8571428571429</v>
      </c>
      <c r="M2783" s="4">
        <v>0.16726820161792158</v>
      </c>
      <c r="N2783" t="s">
        <v>25</v>
      </c>
      <c r="O2783" t="str">
        <f t="shared" si="430"/>
        <v>Low</v>
      </c>
      <c r="P2783" t="str">
        <f t="shared" si="431"/>
        <v>Low</v>
      </c>
      <c r="Q2783" t="str">
        <f t="shared" si="432"/>
        <v>Low</v>
      </c>
      <c r="R2783" t="s">
        <v>3317</v>
      </c>
      <c r="S2783" s="4">
        <f t="shared" ca="1" si="433"/>
        <v>1052</v>
      </c>
      <c r="T2783">
        <f t="shared" si="434"/>
        <v>1</v>
      </c>
      <c r="U2783">
        <f t="shared" si="435"/>
        <v>1</v>
      </c>
      <c r="V2783">
        <f t="shared" si="436"/>
        <v>1</v>
      </c>
      <c r="W2783">
        <f t="shared" si="437"/>
        <v>1</v>
      </c>
      <c r="X2783">
        <f t="shared" si="438"/>
        <v>0.99999999999999989</v>
      </c>
      <c r="Y2783" t="str">
        <f t="shared" si="439"/>
        <v>Healthy</v>
      </c>
    </row>
    <row r="2784" spans="1:25" x14ac:dyDescent="0.35">
      <c r="A2784" t="s">
        <v>71</v>
      </c>
      <c r="B2784" t="s">
        <v>72</v>
      </c>
      <c r="C2784" t="s">
        <v>150</v>
      </c>
      <c r="D2784" t="s">
        <v>955</v>
      </c>
      <c r="E2784">
        <v>80895463</v>
      </c>
      <c r="F2784" t="s">
        <v>1985</v>
      </c>
      <c r="G2784" s="3">
        <v>47125</v>
      </c>
      <c r="H2784">
        <v>36</v>
      </c>
      <c r="I2784">
        <v>86</v>
      </c>
      <c r="J2784">
        <v>144</v>
      </c>
      <c r="K2784" s="4">
        <v>3110.4</v>
      </c>
      <c r="L2784" s="4">
        <v>1147.8571428571429</v>
      </c>
      <c r="M2784" s="4">
        <v>0.12545115121344119</v>
      </c>
      <c r="N2784" t="s">
        <v>25</v>
      </c>
      <c r="O2784" t="str">
        <f t="shared" si="430"/>
        <v>Low</v>
      </c>
      <c r="P2784" t="str">
        <f t="shared" si="431"/>
        <v>Low</v>
      </c>
      <c r="Q2784" t="str">
        <f t="shared" si="432"/>
        <v>Low</v>
      </c>
      <c r="R2784" t="s">
        <v>3317</v>
      </c>
      <c r="S2784" s="4">
        <f t="shared" ca="1" si="433"/>
        <v>928</v>
      </c>
      <c r="T2784">
        <f t="shared" si="434"/>
        <v>1</v>
      </c>
      <c r="U2784">
        <f t="shared" si="435"/>
        <v>1</v>
      </c>
      <c r="V2784">
        <f t="shared" si="436"/>
        <v>1</v>
      </c>
      <c r="W2784">
        <f t="shared" si="437"/>
        <v>1</v>
      </c>
      <c r="X2784">
        <f t="shared" si="438"/>
        <v>0.99999999999999989</v>
      </c>
      <c r="Y2784" t="str">
        <f t="shared" si="439"/>
        <v>Healthy</v>
      </c>
    </row>
    <row r="2785" spans="1:25" x14ac:dyDescent="0.35">
      <c r="A2785" t="s">
        <v>20</v>
      </c>
      <c r="B2785" t="s">
        <v>21</v>
      </c>
      <c r="C2785" t="s">
        <v>684</v>
      </c>
      <c r="D2785" t="s">
        <v>1632</v>
      </c>
      <c r="E2785">
        <v>80730185</v>
      </c>
      <c r="F2785" t="s">
        <v>1987</v>
      </c>
      <c r="G2785" s="3">
        <v>46817</v>
      </c>
      <c r="H2785">
        <v>36</v>
      </c>
      <c r="I2785">
        <v>58</v>
      </c>
      <c r="J2785">
        <v>24</v>
      </c>
      <c r="K2785" s="4">
        <v>2035.2</v>
      </c>
      <c r="L2785" s="4">
        <v>48</v>
      </c>
      <c r="M2785" s="4">
        <v>0.5</v>
      </c>
      <c r="N2785" t="s">
        <v>25</v>
      </c>
      <c r="O2785" t="str">
        <f t="shared" si="430"/>
        <v>Low</v>
      </c>
      <c r="P2785" t="str">
        <f t="shared" si="431"/>
        <v>Low</v>
      </c>
      <c r="Q2785" t="str">
        <f t="shared" si="432"/>
        <v>Low</v>
      </c>
      <c r="R2785" t="s">
        <v>3317</v>
      </c>
      <c r="S2785" s="4">
        <f t="shared" ca="1" si="433"/>
        <v>620</v>
      </c>
      <c r="T2785">
        <f t="shared" si="434"/>
        <v>1</v>
      </c>
      <c r="U2785">
        <f t="shared" si="435"/>
        <v>1</v>
      </c>
      <c r="V2785">
        <f t="shared" si="436"/>
        <v>1</v>
      </c>
      <c r="W2785">
        <f t="shared" si="437"/>
        <v>1</v>
      </c>
      <c r="X2785">
        <f t="shared" si="438"/>
        <v>0.99999999999999989</v>
      </c>
      <c r="Y2785" t="str">
        <f t="shared" si="439"/>
        <v>Healthy</v>
      </c>
    </row>
    <row r="2786" spans="1:25" x14ac:dyDescent="0.35">
      <c r="A2786" t="s">
        <v>71</v>
      </c>
      <c r="B2786" t="s">
        <v>72</v>
      </c>
      <c r="C2786" t="s">
        <v>150</v>
      </c>
      <c r="D2786" t="s">
        <v>955</v>
      </c>
      <c r="E2786">
        <v>80895463</v>
      </c>
      <c r="F2786" t="s">
        <v>1985</v>
      </c>
      <c r="G2786" s="3">
        <v>47183</v>
      </c>
      <c r="H2786">
        <v>36</v>
      </c>
      <c r="I2786">
        <v>92</v>
      </c>
      <c r="J2786">
        <v>192</v>
      </c>
      <c r="K2786" s="4">
        <v>4147.2</v>
      </c>
      <c r="L2786" s="4">
        <v>1147.8571428571429</v>
      </c>
      <c r="M2786" s="4">
        <v>0.16726820161792158</v>
      </c>
      <c r="N2786" t="s">
        <v>25</v>
      </c>
      <c r="O2786" t="str">
        <f t="shared" si="430"/>
        <v>Low</v>
      </c>
      <c r="P2786" t="str">
        <f t="shared" si="431"/>
        <v>Low</v>
      </c>
      <c r="Q2786" t="str">
        <f t="shared" si="432"/>
        <v>Low</v>
      </c>
      <c r="R2786" t="s">
        <v>3317</v>
      </c>
      <c r="S2786" s="4">
        <f t="shared" ca="1" si="433"/>
        <v>986</v>
      </c>
      <c r="T2786">
        <f t="shared" si="434"/>
        <v>1</v>
      </c>
      <c r="U2786">
        <f t="shared" si="435"/>
        <v>1</v>
      </c>
      <c r="V2786">
        <f t="shared" si="436"/>
        <v>1</v>
      </c>
      <c r="W2786">
        <f t="shared" si="437"/>
        <v>1</v>
      </c>
      <c r="X2786">
        <f t="shared" si="438"/>
        <v>0.99999999999999989</v>
      </c>
      <c r="Y2786" t="str">
        <f t="shared" si="439"/>
        <v>Healthy</v>
      </c>
    </row>
    <row r="2787" spans="1:25" x14ac:dyDescent="0.35">
      <c r="A2787" t="s">
        <v>20</v>
      </c>
      <c r="B2787" t="s">
        <v>21</v>
      </c>
      <c r="C2787" t="s">
        <v>684</v>
      </c>
      <c r="D2787" t="s">
        <v>1632</v>
      </c>
      <c r="E2787">
        <v>80730185</v>
      </c>
      <c r="F2787" t="s">
        <v>1987</v>
      </c>
      <c r="G2787" s="3">
        <v>45926</v>
      </c>
      <c r="H2787">
        <v>36</v>
      </c>
      <c r="I2787">
        <v>0</v>
      </c>
      <c r="J2787">
        <v>42</v>
      </c>
      <c r="K2787" s="4">
        <v>4032</v>
      </c>
      <c r="L2787" s="4">
        <v>48</v>
      </c>
      <c r="M2787" s="4">
        <v>0.875</v>
      </c>
      <c r="N2787" t="s">
        <v>25</v>
      </c>
      <c r="O2787" t="str">
        <f t="shared" si="430"/>
        <v>High</v>
      </c>
      <c r="P2787" t="str">
        <f t="shared" si="431"/>
        <v>Low</v>
      </c>
      <c r="Q2787" t="str">
        <f t="shared" si="432"/>
        <v>Low</v>
      </c>
      <c r="R2787" t="s">
        <v>3317</v>
      </c>
      <c r="S2787" s="4">
        <f t="shared" ca="1" si="433"/>
        <v>-271</v>
      </c>
      <c r="T2787">
        <f t="shared" si="434"/>
        <v>3</v>
      </c>
      <c r="U2787">
        <f t="shared" si="435"/>
        <v>1</v>
      </c>
      <c r="V2787">
        <f t="shared" si="436"/>
        <v>1</v>
      </c>
      <c r="W2787">
        <f t="shared" si="437"/>
        <v>1</v>
      </c>
      <c r="X2787">
        <f t="shared" si="438"/>
        <v>1.8000000000000003</v>
      </c>
      <c r="Y2787" t="str">
        <f t="shared" si="439"/>
        <v>Monitor</v>
      </c>
    </row>
    <row r="2788" spans="1:25" x14ac:dyDescent="0.35">
      <c r="A2788" t="s">
        <v>71</v>
      </c>
      <c r="B2788" t="s">
        <v>72</v>
      </c>
      <c r="C2788" t="s">
        <v>150</v>
      </c>
      <c r="D2788" t="s">
        <v>955</v>
      </c>
      <c r="E2788">
        <v>80895463</v>
      </c>
      <c r="F2788" t="s">
        <v>1985</v>
      </c>
      <c r="G2788" s="3">
        <v>47182</v>
      </c>
      <c r="H2788">
        <v>36</v>
      </c>
      <c r="I2788">
        <v>92</v>
      </c>
      <c r="J2788">
        <v>173</v>
      </c>
      <c r="K2788" s="4">
        <v>3736.8</v>
      </c>
      <c r="L2788" s="4">
        <v>1147.8571428571429</v>
      </c>
      <c r="M2788" s="4">
        <v>0.15071561916614809</v>
      </c>
      <c r="N2788" t="s">
        <v>25</v>
      </c>
      <c r="O2788" t="str">
        <f t="shared" si="430"/>
        <v>Low</v>
      </c>
      <c r="P2788" t="str">
        <f t="shared" si="431"/>
        <v>Low</v>
      </c>
      <c r="Q2788" t="str">
        <f t="shared" si="432"/>
        <v>Low</v>
      </c>
      <c r="R2788" t="s">
        <v>3317</v>
      </c>
      <c r="S2788" s="4">
        <f t="shared" ca="1" si="433"/>
        <v>985</v>
      </c>
      <c r="T2788">
        <f t="shared" si="434"/>
        <v>1</v>
      </c>
      <c r="U2788">
        <f t="shared" si="435"/>
        <v>1</v>
      </c>
      <c r="V2788">
        <f t="shared" si="436"/>
        <v>1</v>
      </c>
      <c r="W2788">
        <f t="shared" si="437"/>
        <v>1</v>
      </c>
      <c r="X2788">
        <f t="shared" si="438"/>
        <v>0.99999999999999989</v>
      </c>
      <c r="Y2788" t="str">
        <f t="shared" si="439"/>
        <v>Healthy</v>
      </c>
    </row>
    <row r="2789" spans="1:25" x14ac:dyDescent="0.35">
      <c r="A2789" t="s">
        <v>20</v>
      </c>
      <c r="B2789" t="s">
        <v>21</v>
      </c>
      <c r="C2789" t="s">
        <v>684</v>
      </c>
      <c r="D2789" t="s">
        <v>1632</v>
      </c>
      <c r="E2789">
        <v>80730185</v>
      </c>
      <c r="F2789" t="s">
        <v>1987</v>
      </c>
      <c r="G2789" s="3">
        <v>46969</v>
      </c>
      <c r="H2789">
        <v>36</v>
      </c>
      <c r="I2789">
        <v>72</v>
      </c>
      <c r="J2789">
        <v>12</v>
      </c>
      <c r="K2789" s="4">
        <v>1017.6</v>
      </c>
      <c r="L2789" s="4">
        <v>48</v>
      </c>
      <c r="M2789" s="4">
        <v>0.25</v>
      </c>
      <c r="N2789" t="s">
        <v>25</v>
      </c>
      <c r="O2789" t="str">
        <f t="shared" si="430"/>
        <v>Low</v>
      </c>
      <c r="P2789" t="str">
        <f t="shared" si="431"/>
        <v>Low</v>
      </c>
      <c r="Q2789" t="str">
        <f t="shared" si="432"/>
        <v>Low</v>
      </c>
      <c r="R2789" t="s">
        <v>3317</v>
      </c>
      <c r="S2789" s="4">
        <f t="shared" ca="1" si="433"/>
        <v>772</v>
      </c>
      <c r="T2789">
        <f t="shared" si="434"/>
        <v>1</v>
      </c>
      <c r="U2789">
        <f t="shared" si="435"/>
        <v>1</v>
      </c>
      <c r="V2789">
        <f t="shared" si="436"/>
        <v>1</v>
      </c>
      <c r="W2789">
        <f t="shared" si="437"/>
        <v>1</v>
      </c>
      <c r="X2789">
        <f t="shared" si="438"/>
        <v>0.99999999999999989</v>
      </c>
      <c r="Y2789" t="str">
        <f t="shared" si="439"/>
        <v>Healthy</v>
      </c>
    </row>
    <row r="2790" spans="1:25" x14ac:dyDescent="0.35">
      <c r="A2790" t="s">
        <v>71</v>
      </c>
      <c r="B2790" t="s">
        <v>72</v>
      </c>
      <c r="C2790" t="s">
        <v>150</v>
      </c>
      <c r="D2790" t="s">
        <v>955</v>
      </c>
      <c r="E2790">
        <v>80895463</v>
      </c>
      <c r="F2790" t="s">
        <v>1985</v>
      </c>
      <c r="G2790" s="3">
        <v>47209</v>
      </c>
      <c r="H2790">
        <v>36</v>
      </c>
      <c r="I2790">
        <v>94</v>
      </c>
      <c r="J2790">
        <v>192</v>
      </c>
      <c r="K2790" s="4">
        <v>4147.2</v>
      </c>
      <c r="L2790" s="4">
        <v>1147.8571428571429</v>
      </c>
      <c r="M2790" s="4">
        <v>0.16726820161792158</v>
      </c>
      <c r="N2790" t="s">
        <v>25</v>
      </c>
      <c r="O2790" t="str">
        <f t="shared" si="430"/>
        <v>Low</v>
      </c>
      <c r="P2790" t="str">
        <f t="shared" si="431"/>
        <v>Low</v>
      </c>
      <c r="Q2790" t="str">
        <f t="shared" si="432"/>
        <v>Low</v>
      </c>
      <c r="R2790" t="s">
        <v>3317</v>
      </c>
      <c r="S2790" s="4">
        <f t="shared" ca="1" si="433"/>
        <v>1012</v>
      </c>
      <c r="T2790">
        <f t="shared" si="434"/>
        <v>1</v>
      </c>
      <c r="U2790">
        <f t="shared" si="435"/>
        <v>1</v>
      </c>
      <c r="V2790">
        <f t="shared" si="436"/>
        <v>1</v>
      </c>
      <c r="W2790">
        <f t="shared" si="437"/>
        <v>1</v>
      </c>
      <c r="X2790">
        <f t="shared" si="438"/>
        <v>0.99999999999999989</v>
      </c>
      <c r="Y2790" t="str">
        <f t="shared" si="439"/>
        <v>Healthy</v>
      </c>
    </row>
    <row r="2791" spans="1:25" x14ac:dyDescent="0.35">
      <c r="A2791" t="s">
        <v>20</v>
      </c>
      <c r="B2791" t="s">
        <v>21</v>
      </c>
      <c r="C2791" t="s">
        <v>684</v>
      </c>
      <c r="D2791" t="s">
        <v>1632</v>
      </c>
      <c r="E2791">
        <v>80730185</v>
      </c>
      <c r="F2791" t="s">
        <v>1987</v>
      </c>
      <c r="G2791" s="3">
        <v>46599</v>
      </c>
      <c r="H2791">
        <v>36</v>
      </c>
      <c r="I2791">
        <v>38</v>
      </c>
      <c r="J2791">
        <v>5</v>
      </c>
      <c r="K2791" s="4">
        <v>424</v>
      </c>
      <c r="L2791" s="4">
        <v>48</v>
      </c>
      <c r="M2791" s="4">
        <v>0.10416666666666667</v>
      </c>
      <c r="N2791" t="s">
        <v>25</v>
      </c>
      <c r="O2791" t="str">
        <f t="shared" si="430"/>
        <v>Medium</v>
      </c>
      <c r="P2791" t="str">
        <f t="shared" si="431"/>
        <v>Low</v>
      </c>
      <c r="Q2791" t="str">
        <f t="shared" si="432"/>
        <v>Low</v>
      </c>
      <c r="R2791" t="s">
        <v>3317</v>
      </c>
      <c r="S2791" s="4">
        <f t="shared" ca="1" si="433"/>
        <v>402</v>
      </c>
      <c r="T2791">
        <f t="shared" si="434"/>
        <v>2</v>
      </c>
      <c r="U2791">
        <f t="shared" si="435"/>
        <v>1</v>
      </c>
      <c r="V2791">
        <f t="shared" si="436"/>
        <v>1</v>
      </c>
      <c r="W2791">
        <f t="shared" si="437"/>
        <v>1</v>
      </c>
      <c r="X2791">
        <f t="shared" si="438"/>
        <v>1.4000000000000001</v>
      </c>
      <c r="Y2791" t="str">
        <f t="shared" si="439"/>
        <v>Healthy</v>
      </c>
    </row>
    <row r="2792" spans="1:25" x14ac:dyDescent="0.35">
      <c r="A2792" t="s">
        <v>71</v>
      </c>
      <c r="B2792" t="s">
        <v>72</v>
      </c>
      <c r="C2792" t="s">
        <v>150</v>
      </c>
      <c r="D2792" t="s">
        <v>955</v>
      </c>
      <c r="E2792">
        <v>80895463</v>
      </c>
      <c r="F2792" t="s">
        <v>1985</v>
      </c>
      <c r="G2792" s="3">
        <v>47081</v>
      </c>
      <c r="H2792">
        <v>36</v>
      </c>
      <c r="I2792">
        <v>82</v>
      </c>
      <c r="J2792">
        <v>36</v>
      </c>
      <c r="K2792" s="4">
        <v>777.6</v>
      </c>
      <c r="L2792" s="4">
        <v>1147.8571428571429</v>
      </c>
      <c r="M2792" s="4">
        <v>3.1362787803360298E-2</v>
      </c>
      <c r="N2792" t="s">
        <v>25</v>
      </c>
      <c r="O2792" t="str">
        <f t="shared" si="430"/>
        <v>Low</v>
      </c>
      <c r="P2792" t="str">
        <f t="shared" si="431"/>
        <v>Low</v>
      </c>
      <c r="Q2792" t="str">
        <f t="shared" si="432"/>
        <v>Low</v>
      </c>
      <c r="R2792" t="s">
        <v>3317</v>
      </c>
      <c r="S2792" s="4">
        <f t="shared" ca="1" si="433"/>
        <v>884</v>
      </c>
      <c r="T2792">
        <f t="shared" si="434"/>
        <v>1</v>
      </c>
      <c r="U2792">
        <f t="shared" si="435"/>
        <v>1</v>
      </c>
      <c r="V2792">
        <f t="shared" si="436"/>
        <v>1</v>
      </c>
      <c r="W2792">
        <f t="shared" si="437"/>
        <v>1</v>
      </c>
      <c r="X2792">
        <f t="shared" si="438"/>
        <v>0.99999999999999989</v>
      </c>
      <c r="Y2792" t="str">
        <f t="shared" si="439"/>
        <v>Healthy</v>
      </c>
    </row>
    <row r="2793" spans="1:25" x14ac:dyDescent="0.35">
      <c r="A2793" t="s">
        <v>71</v>
      </c>
      <c r="B2793" t="s">
        <v>72</v>
      </c>
      <c r="C2793" t="s">
        <v>150</v>
      </c>
      <c r="D2793" t="s">
        <v>955</v>
      </c>
      <c r="E2793">
        <v>80895463</v>
      </c>
      <c r="F2793" t="s">
        <v>1985</v>
      </c>
      <c r="G2793" s="3">
        <v>47101</v>
      </c>
      <c r="H2793">
        <v>36</v>
      </c>
      <c r="I2793">
        <v>84</v>
      </c>
      <c r="J2793">
        <v>176</v>
      </c>
      <c r="K2793" s="4">
        <v>3801.6</v>
      </c>
      <c r="L2793" s="4">
        <v>1147.8571428571429</v>
      </c>
      <c r="M2793" s="4">
        <v>0.15332918481642813</v>
      </c>
      <c r="N2793" t="s">
        <v>25</v>
      </c>
      <c r="O2793" t="str">
        <f t="shared" si="430"/>
        <v>Low</v>
      </c>
      <c r="P2793" t="str">
        <f t="shared" si="431"/>
        <v>Low</v>
      </c>
      <c r="Q2793" t="str">
        <f t="shared" si="432"/>
        <v>Low</v>
      </c>
      <c r="R2793" t="s">
        <v>3317</v>
      </c>
      <c r="S2793" s="4">
        <f t="shared" ca="1" si="433"/>
        <v>904</v>
      </c>
      <c r="T2793">
        <f t="shared" si="434"/>
        <v>1</v>
      </c>
      <c r="U2793">
        <f t="shared" si="435"/>
        <v>1</v>
      </c>
      <c r="V2793">
        <f t="shared" si="436"/>
        <v>1</v>
      </c>
      <c r="W2793">
        <f t="shared" si="437"/>
        <v>1</v>
      </c>
      <c r="X2793">
        <f t="shared" si="438"/>
        <v>0.99999999999999989</v>
      </c>
      <c r="Y2793" t="str">
        <f t="shared" si="439"/>
        <v>Healthy</v>
      </c>
    </row>
    <row r="2794" spans="1:25" x14ac:dyDescent="0.35">
      <c r="A2794" t="s">
        <v>71</v>
      </c>
      <c r="B2794" t="s">
        <v>72</v>
      </c>
      <c r="C2794" t="s">
        <v>310</v>
      </c>
      <c r="D2794" t="s">
        <v>1988</v>
      </c>
      <c r="E2794">
        <v>80895489</v>
      </c>
      <c r="F2794" t="s">
        <v>1989</v>
      </c>
      <c r="G2794" s="3">
        <v>47251</v>
      </c>
      <c r="H2794">
        <v>36</v>
      </c>
      <c r="I2794">
        <v>98</v>
      </c>
      <c r="J2794">
        <v>255</v>
      </c>
      <c r="K2794" s="4">
        <v>447012.45</v>
      </c>
      <c r="L2794" s="4">
        <v>1155.8571428571429</v>
      </c>
      <c r="M2794" s="4">
        <v>0.22061549870226177</v>
      </c>
      <c r="N2794" t="s">
        <v>25</v>
      </c>
      <c r="O2794" t="str">
        <f t="shared" si="430"/>
        <v>Low</v>
      </c>
      <c r="P2794" t="str">
        <f t="shared" si="431"/>
        <v>Low</v>
      </c>
      <c r="Q2794" t="str">
        <f t="shared" si="432"/>
        <v>Low</v>
      </c>
      <c r="R2794" t="s">
        <v>3309</v>
      </c>
      <c r="S2794" s="4">
        <f t="shared" ca="1" si="433"/>
        <v>1054</v>
      </c>
      <c r="T2794">
        <f t="shared" si="434"/>
        <v>1</v>
      </c>
      <c r="U2794">
        <f t="shared" si="435"/>
        <v>1</v>
      </c>
      <c r="V2794">
        <f t="shared" si="436"/>
        <v>1</v>
      </c>
      <c r="W2794">
        <f t="shared" si="437"/>
        <v>3</v>
      </c>
      <c r="X2794">
        <f t="shared" si="438"/>
        <v>1.2</v>
      </c>
      <c r="Y2794" t="str">
        <f t="shared" si="439"/>
        <v>Healthy</v>
      </c>
    </row>
    <row r="2795" spans="1:25" x14ac:dyDescent="0.35">
      <c r="A2795" t="s">
        <v>20</v>
      </c>
      <c r="B2795" t="s">
        <v>21</v>
      </c>
      <c r="C2795" t="s">
        <v>684</v>
      </c>
      <c r="D2795" t="s">
        <v>1632</v>
      </c>
      <c r="E2795">
        <v>80730185</v>
      </c>
      <c r="F2795" t="s">
        <v>1987</v>
      </c>
      <c r="G2795" s="3">
        <v>46660</v>
      </c>
      <c r="H2795">
        <v>36</v>
      </c>
      <c r="I2795">
        <v>43</v>
      </c>
      <c r="J2795">
        <v>48</v>
      </c>
      <c r="K2795" s="4">
        <v>4070.4</v>
      </c>
      <c r="L2795" s="4">
        <v>48</v>
      </c>
      <c r="M2795" s="4">
        <v>1</v>
      </c>
      <c r="N2795" t="s">
        <v>25</v>
      </c>
      <c r="O2795" t="str">
        <f t="shared" si="430"/>
        <v>Low</v>
      </c>
      <c r="P2795" t="str">
        <f t="shared" si="431"/>
        <v>Low</v>
      </c>
      <c r="Q2795" t="str">
        <f t="shared" si="432"/>
        <v>Low</v>
      </c>
      <c r="R2795" t="s">
        <v>3317</v>
      </c>
      <c r="S2795" s="4">
        <f t="shared" ca="1" si="433"/>
        <v>463</v>
      </c>
      <c r="T2795">
        <f t="shared" si="434"/>
        <v>1</v>
      </c>
      <c r="U2795">
        <f t="shared" si="435"/>
        <v>1</v>
      </c>
      <c r="V2795">
        <f t="shared" si="436"/>
        <v>1</v>
      </c>
      <c r="W2795">
        <f t="shared" si="437"/>
        <v>1</v>
      </c>
      <c r="X2795">
        <f t="shared" si="438"/>
        <v>0.99999999999999989</v>
      </c>
      <c r="Y2795" t="str">
        <f t="shared" si="439"/>
        <v>Healthy</v>
      </c>
    </row>
    <row r="2796" spans="1:25" x14ac:dyDescent="0.35">
      <c r="A2796" t="s">
        <v>71</v>
      </c>
      <c r="B2796" t="s">
        <v>72</v>
      </c>
      <c r="C2796" t="s">
        <v>310</v>
      </c>
      <c r="D2796" t="s">
        <v>1988</v>
      </c>
      <c r="E2796">
        <v>80895489</v>
      </c>
      <c r="F2796" t="s">
        <v>1989</v>
      </c>
      <c r="G2796" s="3">
        <v>47250</v>
      </c>
      <c r="H2796">
        <v>36</v>
      </c>
      <c r="I2796">
        <v>98</v>
      </c>
      <c r="J2796">
        <v>332</v>
      </c>
      <c r="K2796" s="4">
        <v>581992.68000000005</v>
      </c>
      <c r="L2796" s="4">
        <v>1155.8571428571429</v>
      </c>
      <c r="M2796" s="4">
        <v>0.28723272772216041</v>
      </c>
      <c r="N2796" t="s">
        <v>25</v>
      </c>
      <c r="O2796" t="str">
        <f t="shared" si="430"/>
        <v>Low</v>
      </c>
      <c r="P2796" t="str">
        <f t="shared" si="431"/>
        <v>Low</v>
      </c>
      <c r="Q2796" t="str">
        <f t="shared" si="432"/>
        <v>Low</v>
      </c>
      <c r="R2796" t="s">
        <v>3309</v>
      </c>
      <c r="S2796" s="4">
        <f t="shared" ca="1" si="433"/>
        <v>1053</v>
      </c>
      <c r="T2796">
        <f t="shared" si="434"/>
        <v>1</v>
      </c>
      <c r="U2796">
        <f t="shared" si="435"/>
        <v>1</v>
      </c>
      <c r="V2796">
        <f t="shared" si="436"/>
        <v>1</v>
      </c>
      <c r="W2796">
        <f t="shared" si="437"/>
        <v>3</v>
      </c>
      <c r="X2796">
        <f t="shared" si="438"/>
        <v>1.2</v>
      </c>
      <c r="Y2796" t="str">
        <f t="shared" si="439"/>
        <v>Healthy</v>
      </c>
    </row>
    <row r="2797" spans="1:25" x14ac:dyDescent="0.35">
      <c r="A2797" t="s">
        <v>71</v>
      </c>
      <c r="B2797" t="s">
        <v>72</v>
      </c>
      <c r="C2797" t="s">
        <v>150</v>
      </c>
      <c r="D2797" t="s">
        <v>1544</v>
      </c>
      <c r="E2797">
        <v>80895464</v>
      </c>
      <c r="F2797" t="s">
        <v>1990</v>
      </c>
      <c r="G2797" s="3">
        <v>47203</v>
      </c>
      <c r="H2797">
        <v>36</v>
      </c>
      <c r="I2797">
        <v>94</v>
      </c>
      <c r="J2797">
        <v>305</v>
      </c>
      <c r="K2797" s="4">
        <v>5124</v>
      </c>
      <c r="L2797" s="4">
        <v>849.57142857142856</v>
      </c>
      <c r="M2797" s="4">
        <v>0.35900454010425425</v>
      </c>
      <c r="N2797" t="s">
        <v>25</v>
      </c>
      <c r="O2797" t="str">
        <f t="shared" si="430"/>
        <v>Low</v>
      </c>
      <c r="P2797" t="str">
        <f t="shared" si="431"/>
        <v>Low</v>
      </c>
      <c r="Q2797" t="str">
        <f t="shared" si="432"/>
        <v>Low</v>
      </c>
      <c r="R2797" t="s">
        <v>3317</v>
      </c>
      <c r="S2797" s="4">
        <f t="shared" ca="1" si="433"/>
        <v>1006</v>
      </c>
      <c r="T2797">
        <f t="shared" si="434"/>
        <v>1</v>
      </c>
      <c r="U2797">
        <f t="shared" si="435"/>
        <v>1</v>
      </c>
      <c r="V2797">
        <f t="shared" si="436"/>
        <v>1</v>
      </c>
      <c r="W2797">
        <f t="shared" si="437"/>
        <v>1</v>
      </c>
      <c r="X2797">
        <f t="shared" si="438"/>
        <v>0.99999999999999989</v>
      </c>
      <c r="Y2797" t="str">
        <f t="shared" si="439"/>
        <v>Healthy</v>
      </c>
    </row>
    <row r="2798" spans="1:25" x14ac:dyDescent="0.35">
      <c r="A2798" t="s">
        <v>20</v>
      </c>
      <c r="B2798" t="s">
        <v>21</v>
      </c>
      <c r="C2798" t="s">
        <v>684</v>
      </c>
      <c r="D2798" t="s">
        <v>1632</v>
      </c>
      <c r="E2798">
        <v>80730185</v>
      </c>
      <c r="F2798" t="s">
        <v>1987</v>
      </c>
      <c r="G2798" s="3">
        <v>46931</v>
      </c>
      <c r="H2798">
        <v>36</v>
      </c>
      <c r="I2798">
        <v>68</v>
      </c>
      <c r="J2798">
        <v>13</v>
      </c>
      <c r="K2798" s="4">
        <v>1102.4000000000001</v>
      </c>
      <c r="L2798" s="4">
        <v>48</v>
      </c>
      <c r="M2798" s="4">
        <v>0.27083333333333331</v>
      </c>
      <c r="N2798" t="s">
        <v>25</v>
      </c>
      <c r="O2798" t="str">
        <f t="shared" si="430"/>
        <v>Low</v>
      </c>
      <c r="P2798" t="str">
        <f t="shared" si="431"/>
        <v>Low</v>
      </c>
      <c r="Q2798" t="str">
        <f t="shared" si="432"/>
        <v>Low</v>
      </c>
      <c r="R2798" t="s">
        <v>3317</v>
      </c>
      <c r="S2798" s="4">
        <f t="shared" ca="1" si="433"/>
        <v>734</v>
      </c>
      <c r="T2798">
        <f t="shared" si="434"/>
        <v>1</v>
      </c>
      <c r="U2798">
        <f t="shared" si="435"/>
        <v>1</v>
      </c>
      <c r="V2798">
        <f t="shared" si="436"/>
        <v>1</v>
      </c>
      <c r="W2798">
        <f t="shared" si="437"/>
        <v>1</v>
      </c>
      <c r="X2798">
        <f t="shared" si="438"/>
        <v>0.99999999999999989</v>
      </c>
      <c r="Y2798" t="str">
        <f t="shared" si="439"/>
        <v>Healthy</v>
      </c>
    </row>
    <row r="2799" spans="1:25" x14ac:dyDescent="0.35">
      <c r="A2799" t="s">
        <v>71</v>
      </c>
      <c r="B2799" t="s">
        <v>72</v>
      </c>
      <c r="C2799" t="s">
        <v>150</v>
      </c>
      <c r="D2799" t="s">
        <v>1544</v>
      </c>
      <c r="E2799">
        <v>80895464</v>
      </c>
      <c r="F2799" t="s">
        <v>1990</v>
      </c>
      <c r="G2799" s="3">
        <v>47116</v>
      </c>
      <c r="H2799">
        <v>36</v>
      </c>
      <c r="I2799">
        <v>86</v>
      </c>
      <c r="J2799">
        <v>192</v>
      </c>
      <c r="K2799" s="4">
        <v>3225.6</v>
      </c>
      <c r="L2799" s="4">
        <v>849.57142857142856</v>
      </c>
      <c r="M2799" s="4">
        <v>0.22599630065579285</v>
      </c>
      <c r="N2799" t="s">
        <v>25</v>
      </c>
      <c r="O2799" t="str">
        <f t="shared" si="430"/>
        <v>Low</v>
      </c>
      <c r="P2799" t="str">
        <f t="shared" si="431"/>
        <v>Low</v>
      </c>
      <c r="Q2799" t="str">
        <f t="shared" si="432"/>
        <v>Low</v>
      </c>
      <c r="R2799" t="s">
        <v>3317</v>
      </c>
      <c r="S2799" s="4">
        <f t="shared" ca="1" si="433"/>
        <v>919</v>
      </c>
      <c r="T2799">
        <f t="shared" si="434"/>
        <v>1</v>
      </c>
      <c r="U2799">
        <f t="shared" si="435"/>
        <v>1</v>
      </c>
      <c r="V2799">
        <f t="shared" si="436"/>
        <v>1</v>
      </c>
      <c r="W2799">
        <f t="shared" si="437"/>
        <v>1</v>
      </c>
      <c r="X2799">
        <f t="shared" si="438"/>
        <v>0.99999999999999989</v>
      </c>
      <c r="Y2799" t="str">
        <f t="shared" si="439"/>
        <v>Healthy</v>
      </c>
    </row>
    <row r="2800" spans="1:25" x14ac:dyDescent="0.35">
      <c r="A2800" t="s">
        <v>71</v>
      </c>
      <c r="B2800" t="s">
        <v>72</v>
      </c>
      <c r="C2800" t="s">
        <v>150</v>
      </c>
      <c r="D2800" t="s">
        <v>1544</v>
      </c>
      <c r="E2800">
        <v>80895464</v>
      </c>
      <c r="F2800" t="s">
        <v>1990</v>
      </c>
      <c r="G2800" s="3">
        <v>47063</v>
      </c>
      <c r="H2800">
        <v>36</v>
      </c>
      <c r="I2800">
        <v>81</v>
      </c>
      <c r="J2800">
        <v>144</v>
      </c>
      <c r="K2800" s="4">
        <v>2419.1999999999998</v>
      </c>
      <c r="L2800" s="4">
        <v>849.57142857142856</v>
      </c>
      <c r="M2800" s="4">
        <v>0.16949722549184462</v>
      </c>
      <c r="N2800" t="s">
        <v>25</v>
      </c>
      <c r="O2800" t="str">
        <f t="shared" si="430"/>
        <v>Low</v>
      </c>
      <c r="P2800" t="str">
        <f t="shared" si="431"/>
        <v>Low</v>
      </c>
      <c r="Q2800" t="str">
        <f t="shared" si="432"/>
        <v>Low</v>
      </c>
      <c r="R2800" t="s">
        <v>3317</v>
      </c>
      <c r="S2800" s="4">
        <f t="shared" ca="1" si="433"/>
        <v>866</v>
      </c>
      <c r="T2800">
        <f t="shared" si="434"/>
        <v>1</v>
      </c>
      <c r="U2800">
        <f t="shared" si="435"/>
        <v>1</v>
      </c>
      <c r="V2800">
        <f t="shared" si="436"/>
        <v>1</v>
      </c>
      <c r="W2800">
        <f t="shared" si="437"/>
        <v>1</v>
      </c>
      <c r="X2800">
        <f t="shared" si="438"/>
        <v>0.99999999999999989</v>
      </c>
      <c r="Y2800" t="str">
        <f t="shared" si="439"/>
        <v>Healthy</v>
      </c>
    </row>
    <row r="2801" spans="1:25" x14ac:dyDescent="0.35">
      <c r="A2801" t="s">
        <v>71</v>
      </c>
      <c r="B2801" t="s">
        <v>72</v>
      </c>
      <c r="C2801" t="s">
        <v>150</v>
      </c>
      <c r="D2801" t="s">
        <v>1544</v>
      </c>
      <c r="E2801">
        <v>80895464</v>
      </c>
      <c r="F2801" t="s">
        <v>1990</v>
      </c>
      <c r="G2801" s="3">
        <v>47091</v>
      </c>
      <c r="H2801">
        <v>36</v>
      </c>
      <c r="I2801">
        <v>83</v>
      </c>
      <c r="J2801">
        <v>155</v>
      </c>
      <c r="K2801" s="4">
        <v>2604</v>
      </c>
      <c r="L2801" s="4">
        <v>849.57142857142856</v>
      </c>
      <c r="M2801" s="4">
        <v>0.1824449302169161</v>
      </c>
      <c r="N2801" t="s">
        <v>25</v>
      </c>
      <c r="O2801" t="str">
        <f t="shared" si="430"/>
        <v>Low</v>
      </c>
      <c r="P2801" t="str">
        <f t="shared" si="431"/>
        <v>Low</v>
      </c>
      <c r="Q2801" t="str">
        <f t="shared" si="432"/>
        <v>Low</v>
      </c>
      <c r="R2801" t="s">
        <v>3317</v>
      </c>
      <c r="S2801" s="4">
        <f t="shared" ca="1" si="433"/>
        <v>894</v>
      </c>
      <c r="T2801">
        <f t="shared" si="434"/>
        <v>1</v>
      </c>
      <c r="U2801">
        <f t="shared" si="435"/>
        <v>1</v>
      </c>
      <c r="V2801">
        <f t="shared" si="436"/>
        <v>1</v>
      </c>
      <c r="W2801">
        <f t="shared" si="437"/>
        <v>1</v>
      </c>
      <c r="X2801">
        <f t="shared" si="438"/>
        <v>0.99999999999999989</v>
      </c>
      <c r="Y2801" t="str">
        <f t="shared" si="439"/>
        <v>Healthy</v>
      </c>
    </row>
    <row r="2802" spans="1:25" x14ac:dyDescent="0.35">
      <c r="A2802" t="s">
        <v>71</v>
      </c>
      <c r="B2802" t="s">
        <v>72</v>
      </c>
      <c r="C2802" t="s">
        <v>150</v>
      </c>
      <c r="D2802" t="s">
        <v>1544</v>
      </c>
      <c r="E2802">
        <v>80895464</v>
      </c>
      <c r="F2802" t="s">
        <v>1990</v>
      </c>
      <c r="G2802" s="3">
        <v>47187</v>
      </c>
      <c r="H2802">
        <v>36</v>
      </c>
      <c r="I2802">
        <v>92</v>
      </c>
      <c r="J2802">
        <v>177</v>
      </c>
      <c r="K2802" s="4">
        <v>2973.6</v>
      </c>
      <c r="L2802" s="4">
        <v>849.57142857142856</v>
      </c>
      <c r="M2802" s="4">
        <v>0.20834033966705903</v>
      </c>
      <c r="N2802" t="s">
        <v>25</v>
      </c>
      <c r="O2802" t="str">
        <f t="shared" si="430"/>
        <v>Low</v>
      </c>
      <c r="P2802" t="str">
        <f t="shared" si="431"/>
        <v>Low</v>
      </c>
      <c r="Q2802" t="str">
        <f t="shared" si="432"/>
        <v>Low</v>
      </c>
      <c r="R2802" t="s">
        <v>3317</v>
      </c>
      <c r="S2802" s="4">
        <f t="shared" ca="1" si="433"/>
        <v>990</v>
      </c>
      <c r="T2802">
        <f t="shared" si="434"/>
        <v>1</v>
      </c>
      <c r="U2802">
        <f t="shared" si="435"/>
        <v>1</v>
      </c>
      <c r="V2802">
        <f t="shared" si="436"/>
        <v>1</v>
      </c>
      <c r="W2802">
        <f t="shared" si="437"/>
        <v>1</v>
      </c>
      <c r="X2802">
        <f t="shared" si="438"/>
        <v>0.99999999999999989</v>
      </c>
      <c r="Y2802" t="str">
        <f t="shared" si="439"/>
        <v>Healthy</v>
      </c>
    </row>
    <row r="2803" spans="1:25" x14ac:dyDescent="0.35">
      <c r="A2803" t="s">
        <v>71</v>
      </c>
      <c r="B2803" t="s">
        <v>72</v>
      </c>
      <c r="C2803" t="s">
        <v>150</v>
      </c>
      <c r="D2803" t="s">
        <v>1544</v>
      </c>
      <c r="E2803">
        <v>80895464</v>
      </c>
      <c r="F2803" t="s">
        <v>1990</v>
      </c>
      <c r="G2803" s="3">
        <v>47047</v>
      </c>
      <c r="H2803">
        <v>36</v>
      </c>
      <c r="I2803">
        <v>79</v>
      </c>
      <c r="J2803">
        <v>197</v>
      </c>
      <c r="K2803" s="4">
        <v>3309.6</v>
      </c>
      <c r="L2803" s="4">
        <v>849.57142857142856</v>
      </c>
      <c r="M2803" s="4">
        <v>0.23188162098537077</v>
      </c>
      <c r="N2803" t="s">
        <v>25</v>
      </c>
      <c r="O2803" t="str">
        <f t="shared" si="430"/>
        <v>Low</v>
      </c>
      <c r="P2803" t="str">
        <f t="shared" si="431"/>
        <v>Low</v>
      </c>
      <c r="Q2803" t="str">
        <f t="shared" si="432"/>
        <v>Low</v>
      </c>
      <c r="R2803" t="s">
        <v>3317</v>
      </c>
      <c r="S2803" s="4">
        <f t="shared" ca="1" si="433"/>
        <v>850</v>
      </c>
      <c r="T2803">
        <f t="shared" si="434"/>
        <v>1</v>
      </c>
      <c r="U2803">
        <f t="shared" si="435"/>
        <v>1</v>
      </c>
      <c r="V2803">
        <f t="shared" si="436"/>
        <v>1</v>
      </c>
      <c r="W2803">
        <f t="shared" si="437"/>
        <v>1</v>
      </c>
      <c r="X2803">
        <f t="shared" si="438"/>
        <v>0.99999999999999989</v>
      </c>
      <c r="Y2803" t="str">
        <f t="shared" si="439"/>
        <v>Healthy</v>
      </c>
    </row>
    <row r="2804" spans="1:25" x14ac:dyDescent="0.35">
      <c r="A2804" t="s">
        <v>71</v>
      </c>
      <c r="B2804" t="s">
        <v>72</v>
      </c>
      <c r="C2804" t="s">
        <v>150</v>
      </c>
      <c r="D2804" t="s">
        <v>1544</v>
      </c>
      <c r="E2804">
        <v>80895464</v>
      </c>
      <c r="F2804" t="s">
        <v>1990</v>
      </c>
      <c r="G2804" s="3">
        <v>47090</v>
      </c>
      <c r="H2804">
        <v>36</v>
      </c>
      <c r="I2804">
        <v>83</v>
      </c>
      <c r="J2804">
        <v>305</v>
      </c>
      <c r="K2804" s="4">
        <v>5124</v>
      </c>
      <c r="L2804" s="4">
        <v>849.57142857142856</v>
      </c>
      <c r="M2804" s="4">
        <v>0.35900454010425425</v>
      </c>
      <c r="N2804" t="s">
        <v>25</v>
      </c>
      <c r="O2804" t="str">
        <f t="shared" si="430"/>
        <v>Low</v>
      </c>
      <c r="P2804" t="str">
        <f t="shared" si="431"/>
        <v>Low</v>
      </c>
      <c r="Q2804" t="str">
        <f t="shared" si="432"/>
        <v>Low</v>
      </c>
      <c r="R2804" t="s">
        <v>3317</v>
      </c>
      <c r="S2804" s="4">
        <f t="shared" ca="1" si="433"/>
        <v>893</v>
      </c>
      <c r="T2804">
        <f t="shared" si="434"/>
        <v>1</v>
      </c>
      <c r="U2804">
        <f t="shared" si="435"/>
        <v>1</v>
      </c>
      <c r="V2804">
        <f t="shared" si="436"/>
        <v>1</v>
      </c>
      <c r="W2804">
        <f t="shared" si="437"/>
        <v>1</v>
      </c>
      <c r="X2804">
        <f t="shared" si="438"/>
        <v>0.99999999999999989</v>
      </c>
      <c r="Y2804" t="str">
        <f t="shared" si="439"/>
        <v>Healthy</v>
      </c>
    </row>
    <row r="2805" spans="1:25" x14ac:dyDescent="0.35">
      <c r="A2805" t="s">
        <v>71</v>
      </c>
      <c r="B2805" t="s">
        <v>72</v>
      </c>
      <c r="C2805" t="s">
        <v>150</v>
      </c>
      <c r="D2805" t="s">
        <v>1544</v>
      </c>
      <c r="E2805">
        <v>80895464</v>
      </c>
      <c r="F2805" t="s">
        <v>1990</v>
      </c>
      <c r="G2805" s="3">
        <v>47062</v>
      </c>
      <c r="H2805">
        <v>36</v>
      </c>
      <c r="I2805">
        <v>81</v>
      </c>
      <c r="J2805">
        <v>252</v>
      </c>
      <c r="K2805" s="4">
        <v>4233.6000000000004</v>
      </c>
      <c r="L2805" s="4">
        <v>849.57142857142856</v>
      </c>
      <c r="M2805" s="4">
        <v>0.29662014461072811</v>
      </c>
      <c r="N2805" t="s">
        <v>25</v>
      </c>
      <c r="O2805" t="str">
        <f t="shared" si="430"/>
        <v>Low</v>
      </c>
      <c r="P2805" t="str">
        <f t="shared" si="431"/>
        <v>Low</v>
      </c>
      <c r="Q2805" t="str">
        <f t="shared" si="432"/>
        <v>Low</v>
      </c>
      <c r="R2805" t="s">
        <v>3317</v>
      </c>
      <c r="S2805" s="4">
        <f t="shared" ca="1" si="433"/>
        <v>865</v>
      </c>
      <c r="T2805">
        <f t="shared" si="434"/>
        <v>1</v>
      </c>
      <c r="U2805">
        <f t="shared" si="435"/>
        <v>1</v>
      </c>
      <c r="V2805">
        <f t="shared" si="436"/>
        <v>1</v>
      </c>
      <c r="W2805">
        <f t="shared" si="437"/>
        <v>1</v>
      </c>
      <c r="X2805">
        <f t="shared" si="438"/>
        <v>0.99999999999999989</v>
      </c>
      <c r="Y2805" t="str">
        <f t="shared" si="439"/>
        <v>Healthy</v>
      </c>
    </row>
    <row r="2806" spans="1:25" x14ac:dyDescent="0.35">
      <c r="A2806" t="s">
        <v>71</v>
      </c>
      <c r="B2806" t="s">
        <v>72</v>
      </c>
      <c r="C2806" t="s">
        <v>150</v>
      </c>
      <c r="D2806" t="s">
        <v>1544</v>
      </c>
      <c r="E2806">
        <v>80895464</v>
      </c>
      <c r="F2806" t="s">
        <v>1990</v>
      </c>
      <c r="G2806" s="3">
        <v>47158</v>
      </c>
      <c r="H2806">
        <v>36</v>
      </c>
      <c r="I2806">
        <v>89</v>
      </c>
      <c r="J2806">
        <v>192</v>
      </c>
      <c r="K2806" s="4">
        <v>3225.6</v>
      </c>
      <c r="L2806" s="4">
        <v>849.57142857142856</v>
      </c>
      <c r="M2806" s="4">
        <v>0.22599630065579285</v>
      </c>
      <c r="N2806" t="s">
        <v>25</v>
      </c>
      <c r="O2806" t="str">
        <f t="shared" si="430"/>
        <v>Low</v>
      </c>
      <c r="P2806" t="str">
        <f t="shared" si="431"/>
        <v>Low</v>
      </c>
      <c r="Q2806" t="str">
        <f t="shared" si="432"/>
        <v>Low</v>
      </c>
      <c r="R2806" t="s">
        <v>3317</v>
      </c>
      <c r="S2806" s="4">
        <f t="shared" ca="1" si="433"/>
        <v>961</v>
      </c>
      <c r="T2806">
        <f t="shared" si="434"/>
        <v>1</v>
      </c>
      <c r="U2806">
        <f t="shared" si="435"/>
        <v>1</v>
      </c>
      <c r="V2806">
        <f t="shared" si="436"/>
        <v>1</v>
      </c>
      <c r="W2806">
        <f t="shared" si="437"/>
        <v>1</v>
      </c>
      <c r="X2806">
        <f t="shared" si="438"/>
        <v>0.99999999999999989</v>
      </c>
      <c r="Y2806" t="str">
        <f t="shared" si="439"/>
        <v>Healthy</v>
      </c>
    </row>
    <row r="2807" spans="1:25" x14ac:dyDescent="0.35">
      <c r="A2807" t="s">
        <v>41</v>
      </c>
      <c r="B2807" t="s">
        <v>42</v>
      </c>
      <c r="C2807" t="s">
        <v>43</v>
      </c>
      <c r="D2807" t="s">
        <v>1991</v>
      </c>
      <c r="E2807">
        <v>80738970</v>
      </c>
      <c r="F2807" t="s">
        <v>1992</v>
      </c>
      <c r="G2807" s="3">
        <v>46270</v>
      </c>
      <c r="H2807">
        <v>36</v>
      </c>
      <c r="I2807">
        <v>7</v>
      </c>
      <c r="J2807">
        <v>9</v>
      </c>
      <c r="K2807" s="4">
        <v>2403.4499999999998</v>
      </c>
      <c r="L2807" s="4">
        <f>0</f>
        <v>0</v>
      </c>
      <c r="M2807" s="4">
        <f>999</f>
        <v>999</v>
      </c>
      <c r="N2807" t="s">
        <v>19</v>
      </c>
      <c r="O2807" t="str">
        <f t="shared" si="430"/>
        <v>High</v>
      </c>
      <c r="P2807" t="str">
        <f t="shared" si="431"/>
        <v>High</v>
      </c>
      <c r="Q2807" t="str">
        <f t="shared" si="432"/>
        <v>High</v>
      </c>
      <c r="R2807" t="s">
        <v>3317</v>
      </c>
      <c r="S2807" s="4">
        <f t="shared" ca="1" si="433"/>
        <v>73</v>
      </c>
      <c r="T2807">
        <f t="shared" si="434"/>
        <v>3</v>
      </c>
      <c r="U2807">
        <f t="shared" si="435"/>
        <v>3</v>
      </c>
      <c r="V2807">
        <f t="shared" si="436"/>
        <v>3</v>
      </c>
      <c r="W2807">
        <f t="shared" si="437"/>
        <v>1</v>
      </c>
      <c r="X2807">
        <f t="shared" si="438"/>
        <v>2.8000000000000003</v>
      </c>
      <c r="Y2807" t="str">
        <f t="shared" si="439"/>
        <v>Move Immediately</v>
      </c>
    </row>
    <row r="2808" spans="1:25" x14ac:dyDescent="0.35">
      <c r="A2808" t="s">
        <v>71</v>
      </c>
      <c r="B2808" t="s">
        <v>72</v>
      </c>
      <c r="C2808" t="s">
        <v>73</v>
      </c>
      <c r="D2808" t="s">
        <v>1993</v>
      </c>
      <c r="E2808">
        <v>80895490</v>
      </c>
      <c r="F2808" t="s">
        <v>1994</v>
      </c>
      <c r="G2808" s="3">
        <v>47278</v>
      </c>
      <c r="H2808">
        <v>36</v>
      </c>
      <c r="I2808">
        <v>100</v>
      </c>
      <c r="J2808">
        <v>162</v>
      </c>
      <c r="K2808" s="4">
        <v>108860.76</v>
      </c>
      <c r="L2808" s="4">
        <v>1098.5714285714287</v>
      </c>
      <c r="M2808" s="4">
        <v>0.14746423927178151</v>
      </c>
      <c r="N2808" t="s">
        <v>25</v>
      </c>
      <c r="O2808" t="str">
        <f t="shared" si="430"/>
        <v>Low</v>
      </c>
      <c r="P2808" t="str">
        <f t="shared" si="431"/>
        <v>Low</v>
      </c>
      <c r="Q2808" t="str">
        <f t="shared" si="432"/>
        <v>Low</v>
      </c>
      <c r="R2808" t="s">
        <v>3310</v>
      </c>
      <c r="S2808" s="4">
        <f t="shared" ca="1" si="433"/>
        <v>1081</v>
      </c>
      <c r="T2808">
        <f t="shared" si="434"/>
        <v>1</v>
      </c>
      <c r="U2808">
        <f t="shared" si="435"/>
        <v>1</v>
      </c>
      <c r="V2808">
        <f t="shared" si="436"/>
        <v>1</v>
      </c>
      <c r="W2808">
        <f t="shared" si="437"/>
        <v>2</v>
      </c>
      <c r="X2808">
        <f t="shared" si="438"/>
        <v>1.0999999999999999</v>
      </c>
      <c r="Y2808" t="str">
        <f t="shared" si="439"/>
        <v>Healthy</v>
      </c>
    </row>
    <row r="2809" spans="1:25" x14ac:dyDescent="0.35">
      <c r="A2809" t="s">
        <v>71</v>
      </c>
      <c r="B2809" t="s">
        <v>72</v>
      </c>
      <c r="C2809" t="s">
        <v>73</v>
      </c>
      <c r="D2809" t="s">
        <v>1993</v>
      </c>
      <c r="E2809">
        <v>80895490</v>
      </c>
      <c r="F2809" t="s">
        <v>1994</v>
      </c>
      <c r="G2809" s="3">
        <v>47174</v>
      </c>
      <c r="H2809">
        <v>36</v>
      </c>
      <c r="I2809">
        <v>91</v>
      </c>
      <c r="J2809">
        <v>18</v>
      </c>
      <c r="K2809" s="4">
        <v>12095.64</v>
      </c>
      <c r="L2809" s="4">
        <v>1098.5714285714287</v>
      </c>
      <c r="M2809" s="4">
        <v>1.6384915474642391E-2</v>
      </c>
      <c r="N2809" t="s">
        <v>25</v>
      </c>
      <c r="O2809" t="str">
        <f t="shared" si="430"/>
        <v>Low</v>
      </c>
      <c r="P2809" t="str">
        <f t="shared" si="431"/>
        <v>Low</v>
      </c>
      <c r="Q2809" t="str">
        <f t="shared" si="432"/>
        <v>Low</v>
      </c>
      <c r="R2809" t="s">
        <v>3317</v>
      </c>
      <c r="S2809" s="4">
        <f t="shared" ca="1" si="433"/>
        <v>977</v>
      </c>
      <c r="T2809">
        <f t="shared" si="434"/>
        <v>1</v>
      </c>
      <c r="U2809">
        <f t="shared" si="435"/>
        <v>1</v>
      </c>
      <c r="V2809">
        <f t="shared" si="436"/>
        <v>1</v>
      </c>
      <c r="W2809">
        <f t="shared" si="437"/>
        <v>1</v>
      </c>
      <c r="X2809">
        <f t="shared" si="438"/>
        <v>0.99999999999999989</v>
      </c>
      <c r="Y2809" t="str">
        <f t="shared" si="439"/>
        <v>Healthy</v>
      </c>
    </row>
    <row r="2810" spans="1:25" x14ac:dyDescent="0.35">
      <c r="A2810" t="s">
        <v>71</v>
      </c>
      <c r="B2810" t="s">
        <v>72</v>
      </c>
      <c r="C2810" t="s">
        <v>73</v>
      </c>
      <c r="D2810" t="s">
        <v>1993</v>
      </c>
      <c r="E2810">
        <v>80895490</v>
      </c>
      <c r="F2810" t="s">
        <v>1994</v>
      </c>
      <c r="G2810" s="3">
        <v>47244</v>
      </c>
      <c r="H2810">
        <v>36</v>
      </c>
      <c r="I2810">
        <v>97</v>
      </c>
      <c r="J2810">
        <v>25</v>
      </c>
      <c r="K2810" s="4">
        <v>16799.5</v>
      </c>
      <c r="L2810" s="4">
        <v>1098.5714285714287</v>
      </c>
      <c r="M2810" s="4">
        <v>2.2756827048114433E-2</v>
      </c>
      <c r="N2810" t="s">
        <v>25</v>
      </c>
      <c r="O2810" t="str">
        <f t="shared" si="430"/>
        <v>Low</v>
      </c>
      <c r="P2810" t="str">
        <f t="shared" si="431"/>
        <v>Low</v>
      </c>
      <c r="Q2810" t="str">
        <f t="shared" si="432"/>
        <v>Low</v>
      </c>
      <c r="R2810" t="s">
        <v>3317</v>
      </c>
      <c r="S2810" s="4">
        <f t="shared" ca="1" si="433"/>
        <v>1047</v>
      </c>
      <c r="T2810">
        <f t="shared" si="434"/>
        <v>1</v>
      </c>
      <c r="U2810">
        <f t="shared" si="435"/>
        <v>1</v>
      </c>
      <c r="V2810">
        <f t="shared" si="436"/>
        <v>1</v>
      </c>
      <c r="W2810">
        <f t="shared" si="437"/>
        <v>1</v>
      </c>
      <c r="X2810">
        <f t="shared" si="438"/>
        <v>0.99999999999999989</v>
      </c>
      <c r="Y2810" t="str">
        <f t="shared" si="439"/>
        <v>Healthy</v>
      </c>
    </row>
    <row r="2811" spans="1:25" x14ac:dyDescent="0.35">
      <c r="A2811" t="s">
        <v>71</v>
      </c>
      <c r="B2811" t="s">
        <v>72</v>
      </c>
      <c r="C2811" t="s">
        <v>73</v>
      </c>
      <c r="D2811" t="s">
        <v>1993</v>
      </c>
      <c r="E2811">
        <v>80895490</v>
      </c>
      <c r="F2811" t="s">
        <v>1994</v>
      </c>
      <c r="G2811" s="3">
        <v>47204</v>
      </c>
      <c r="H2811">
        <v>36</v>
      </c>
      <c r="I2811">
        <v>94</v>
      </c>
      <c r="J2811">
        <v>13</v>
      </c>
      <c r="K2811" s="4">
        <v>8735.74</v>
      </c>
      <c r="L2811" s="4">
        <v>1098.5714285714287</v>
      </c>
      <c r="M2811" s="4">
        <v>1.1833550065019505E-2</v>
      </c>
      <c r="N2811" t="s">
        <v>25</v>
      </c>
      <c r="O2811" t="str">
        <f t="shared" si="430"/>
        <v>Low</v>
      </c>
      <c r="P2811" t="str">
        <f t="shared" si="431"/>
        <v>Low</v>
      </c>
      <c r="Q2811" t="str">
        <f t="shared" si="432"/>
        <v>Low</v>
      </c>
      <c r="R2811" t="s">
        <v>3317</v>
      </c>
      <c r="S2811" s="4">
        <f t="shared" ca="1" si="433"/>
        <v>1007</v>
      </c>
      <c r="T2811">
        <f t="shared" si="434"/>
        <v>1</v>
      </c>
      <c r="U2811">
        <f t="shared" si="435"/>
        <v>1</v>
      </c>
      <c r="V2811">
        <f t="shared" si="436"/>
        <v>1</v>
      </c>
      <c r="W2811">
        <f t="shared" si="437"/>
        <v>1</v>
      </c>
      <c r="X2811">
        <f t="shared" si="438"/>
        <v>0.99999999999999989</v>
      </c>
      <c r="Y2811" t="str">
        <f t="shared" si="439"/>
        <v>Healthy</v>
      </c>
    </row>
    <row r="2812" spans="1:25" x14ac:dyDescent="0.35">
      <c r="A2812" t="s">
        <v>71</v>
      </c>
      <c r="B2812" t="s">
        <v>72</v>
      </c>
      <c r="C2812" t="s">
        <v>73</v>
      </c>
      <c r="D2812" t="s">
        <v>1993</v>
      </c>
      <c r="E2812">
        <v>80895490</v>
      </c>
      <c r="F2812" t="s">
        <v>1994</v>
      </c>
      <c r="G2812" s="3">
        <v>47213</v>
      </c>
      <c r="H2812">
        <v>36</v>
      </c>
      <c r="I2812">
        <v>95</v>
      </c>
      <c r="J2812">
        <v>20</v>
      </c>
      <c r="K2812" s="4">
        <v>13439.6</v>
      </c>
      <c r="L2812" s="4">
        <v>1098.5714285714287</v>
      </c>
      <c r="M2812" s="4">
        <v>1.8205461638491547E-2</v>
      </c>
      <c r="N2812" t="s">
        <v>25</v>
      </c>
      <c r="O2812" t="str">
        <f t="shared" si="430"/>
        <v>Low</v>
      </c>
      <c r="P2812" t="str">
        <f t="shared" si="431"/>
        <v>Low</v>
      </c>
      <c r="Q2812" t="str">
        <f t="shared" si="432"/>
        <v>Low</v>
      </c>
      <c r="R2812" t="s">
        <v>3317</v>
      </c>
      <c r="S2812" s="4">
        <f t="shared" ca="1" si="433"/>
        <v>1016</v>
      </c>
      <c r="T2812">
        <f t="shared" si="434"/>
        <v>1</v>
      </c>
      <c r="U2812">
        <f t="shared" si="435"/>
        <v>1</v>
      </c>
      <c r="V2812">
        <f t="shared" si="436"/>
        <v>1</v>
      </c>
      <c r="W2812">
        <f t="shared" si="437"/>
        <v>1</v>
      </c>
      <c r="X2812">
        <f t="shared" si="438"/>
        <v>0.99999999999999989</v>
      </c>
      <c r="Y2812" t="str">
        <f t="shared" si="439"/>
        <v>Healthy</v>
      </c>
    </row>
    <row r="2813" spans="1:25" x14ac:dyDescent="0.35">
      <c r="A2813" t="s">
        <v>71</v>
      </c>
      <c r="B2813" t="s">
        <v>72</v>
      </c>
      <c r="C2813" t="s">
        <v>73</v>
      </c>
      <c r="D2813" t="s">
        <v>1993</v>
      </c>
      <c r="E2813">
        <v>80895490</v>
      </c>
      <c r="F2813" t="s">
        <v>1994</v>
      </c>
      <c r="G2813" s="3">
        <v>47277</v>
      </c>
      <c r="H2813">
        <v>36</v>
      </c>
      <c r="I2813">
        <v>100</v>
      </c>
      <c r="J2813">
        <v>90</v>
      </c>
      <c r="K2813" s="4">
        <v>60478.2</v>
      </c>
      <c r="L2813" s="4">
        <v>1098.5714285714287</v>
      </c>
      <c r="M2813" s="4">
        <v>8.192457737321196E-2</v>
      </c>
      <c r="N2813" t="s">
        <v>25</v>
      </c>
      <c r="O2813" t="str">
        <f t="shared" si="430"/>
        <v>Low</v>
      </c>
      <c r="P2813" t="str">
        <f t="shared" si="431"/>
        <v>Low</v>
      </c>
      <c r="Q2813" t="str">
        <f t="shared" si="432"/>
        <v>Low</v>
      </c>
      <c r="R2813" t="s">
        <v>3317</v>
      </c>
      <c r="S2813" s="4">
        <f t="shared" ca="1" si="433"/>
        <v>1080</v>
      </c>
      <c r="T2813">
        <f t="shared" si="434"/>
        <v>1</v>
      </c>
      <c r="U2813">
        <f t="shared" si="435"/>
        <v>1</v>
      </c>
      <c r="V2813">
        <f t="shared" si="436"/>
        <v>1</v>
      </c>
      <c r="W2813">
        <f t="shared" si="437"/>
        <v>1</v>
      </c>
      <c r="X2813">
        <f t="shared" si="438"/>
        <v>0.99999999999999989</v>
      </c>
      <c r="Y2813" t="str">
        <f t="shared" si="439"/>
        <v>Healthy</v>
      </c>
    </row>
    <row r="2814" spans="1:25" x14ac:dyDescent="0.35">
      <c r="A2814" t="s">
        <v>71</v>
      </c>
      <c r="B2814" t="s">
        <v>72</v>
      </c>
      <c r="C2814" t="s">
        <v>73</v>
      </c>
      <c r="D2814" t="s">
        <v>1993</v>
      </c>
      <c r="E2814">
        <v>80895490</v>
      </c>
      <c r="F2814" t="s">
        <v>1994</v>
      </c>
      <c r="G2814" s="3">
        <v>47271</v>
      </c>
      <c r="H2814">
        <v>36</v>
      </c>
      <c r="I2814">
        <v>100</v>
      </c>
      <c r="J2814">
        <v>270</v>
      </c>
      <c r="K2814" s="4">
        <v>181434.6</v>
      </c>
      <c r="L2814" s="4">
        <v>1098.5714285714287</v>
      </c>
      <c r="M2814" s="4">
        <v>0.24577373211963588</v>
      </c>
      <c r="N2814" t="s">
        <v>25</v>
      </c>
      <c r="O2814" t="str">
        <f t="shared" si="430"/>
        <v>Low</v>
      </c>
      <c r="P2814" t="str">
        <f t="shared" si="431"/>
        <v>Low</v>
      </c>
      <c r="Q2814" t="str">
        <f t="shared" si="432"/>
        <v>Low</v>
      </c>
      <c r="R2814" t="s">
        <v>3309</v>
      </c>
      <c r="S2814" s="4">
        <f t="shared" ca="1" si="433"/>
        <v>1074</v>
      </c>
      <c r="T2814">
        <f t="shared" si="434"/>
        <v>1</v>
      </c>
      <c r="U2814">
        <f t="shared" si="435"/>
        <v>1</v>
      </c>
      <c r="V2814">
        <f t="shared" si="436"/>
        <v>1</v>
      </c>
      <c r="W2814">
        <f t="shared" si="437"/>
        <v>3</v>
      </c>
      <c r="X2814">
        <f t="shared" si="438"/>
        <v>1.2</v>
      </c>
      <c r="Y2814" t="str">
        <f t="shared" si="439"/>
        <v>Healthy</v>
      </c>
    </row>
    <row r="2815" spans="1:25" x14ac:dyDescent="0.35">
      <c r="A2815" t="s">
        <v>71</v>
      </c>
      <c r="B2815" t="s">
        <v>72</v>
      </c>
      <c r="C2815" t="s">
        <v>310</v>
      </c>
      <c r="D2815" t="s">
        <v>1995</v>
      </c>
      <c r="E2815">
        <v>80895465</v>
      </c>
      <c r="F2815" t="s">
        <v>1996</v>
      </c>
      <c r="G2815" s="3">
        <v>47244</v>
      </c>
      <c r="H2815">
        <v>36</v>
      </c>
      <c r="I2815">
        <v>97</v>
      </c>
      <c r="J2815">
        <v>36</v>
      </c>
      <c r="K2815" s="4">
        <v>11239.2</v>
      </c>
      <c r="L2815" s="4">
        <v>888.71428571428567</v>
      </c>
      <c r="M2815" s="4">
        <v>4.0507956920109313E-2</v>
      </c>
      <c r="N2815" t="s">
        <v>25</v>
      </c>
      <c r="O2815" t="str">
        <f t="shared" si="430"/>
        <v>Low</v>
      </c>
      <c r="P2815" t="str">
        <f t="shared" si="431"/>
        <v>Low</v>
      </c>
      <c r="Q2815" t="str">
        <f t="shared" si="432"/>
        <v>Low</v>
      </c>
      <c r="R2815" t="s">
        <v>3317</v>
      </c>
      <c r="S2815" s="4">
        <f t="shared" ca="1" si="433"/>
        <v>1047</v>
      </c>
      <c r="T2815">
        <f t="shared" si="434"/>
        <v>1</v>
      </c>
      <c r="U2815">
        <f t="shared" si="435"/>
        <v>1</v>
      </c>
      <c r="V2815">
        <f t="shared" si="436"/>
        <v>1</v>
      </c>
      <c r="W2815">
        <f t="shared" si="437"/>
        <v>1</v>
      </c>
      <c r="X2815">
        <f t="shared" si="438"/>
        <v>0.99999999999999989</v>
      </c>
      <c r="Y2815" t="str">
        <f t="shared" si="439"/>
        <v>Healthy</v>
      </c>
    </row>
    <row r="2816" spans="1:25" x14ac:dyDescent="0.35">
      <c r="A2816" t="s">
        <v>71</v>
      </c>
      <c r="B2816" t="s">
        <v>72</v>
      </c>
      <c r="C2816" t="s">
        <v>310</v>
      </c>
      <c r="D2816" t="s">
        <v>1995</v>
      </c>
      <c r="E2816">
        <v>80895465</v>
      </c>
      <c r="F2816" t="s">
        <v>1996</v>
      </c>
      <c r="G2816" s="3">
        <v>47264</v>
      </c>
      <c r="H2816">
        <v>36</v>
      </c>
      <c r="I2816">
        <v>99</v>
      </c>
      <c r="J2816">
        <v>96</v>
      </c>
      <c r="K2816" s="4">
        <v>29971.200000000001</v>
      </c>
      <c r="L2816" s="4">
        <v>888.71428571428567</v>
      </c>
      <c r="M2816" s="4">
        <v>0.10802121845362482</v>
      </c>
      <c r="N2816" t="s">
        <v>25</v>
      </c>
      <c r="O2816" t="str">
        <f t="shared" si="430"/>
        <v>Low</v>
      </c>
      <c r="P2816" t="str">
        <f t="shared" si="431"/>
        <v>Low</v>
      </c>
      <c r="Q2816" t="str">
        <f t="shared" si="432"/>
        <v>Low</v>
      </c>
      <c r="R2816" t="s">
        <v>3317</v>
      </c>
      <c r="S2816" s="4">
        <f t="shared" ca="1" si="433"/>
        <v>1067</v>
      </c>
      <c r="T2816">
        <f t="shared" si="434"/>
        <v>1</v>
      </c>
      <c r="U2816">
        <f t="shared" si="435"/>
        <v>1</v>
      </c>
      <c r="V2816">
        <f t="shared" si="436"/>
        <v>1</v>
      </c>
      <c r="W2816">
        <f t="shared" si="437"/>
        <v>1</v>
      </c>
      <c r="X2816">
        <f t="shared" si="438"/>
        <v>0.99999999999999989</v>
      </c>
      <c r="Y2816" t="str">
        <f t="shared" si="439"/>
        <v>Healthy</v>
      </c>
    </row>
    <row r="2817" spans="1:25" x14ac:dyDescent="0.35">
      <c r="A2817" t="s">
        <v>71</v>
      </c>
      <c r="B2817" t="s">
        <v>72</v>
      </c>
      <c r="C2817" t="s">
        <v>310</v>
      </c>
      <c r="D2817" t="s">
        <v>1995</v>
      </c>
      <c r="E2817">
        <v>80895465</v>
      </c>
      <c r="F2817" t="s">
        <v>1996</v>
      </c>
      <c r="G2817" s="3">
        <v>47226</v>
      </c>
      <c r="H2817">
        <v>36</v>
      </c>
      <c r="I2817">
        <v>96</v>
      </c>
      <c r="J2817">
        <v>24</v>
      </c>
      <c r="K2817" s="4">
        <v>7492.8</v>
      </c>
      <c r="L2817" s="4">
        <v>888.71428571428567</v>
      </c>
      <c r="M2817" s="4">
        <v>2.7005304613406205E-2</v>
      </c>
      <c r="N2817" t="s">
        <v>25</v>
      </c>
      <c r="O2817" t="str">
        <f t="shared" si="430"/>
        <v>Low</v>
      </c>
      <c r="P2817" t="str">
        <f t="shared" si="431"/>
        <v>Low</v>
      </c>
      <c r="Q2817" t="str">
        <f t="shared" si="432"/>
        <v>Low</v>
      </c>
      <c r="R2817" t="s">
        <v>3317</v>
      </c>
      <c r="S2817" s="4">
        <f t="shared" ca="1" si="433"/>
        <v>1029</v>
      </c>
      <c r="T2817">
        <f t="shared" si="434"/>
        <v>1</v>
      </c>
      <c r="U2817">
        <f t="shared" si="435"/>
        <v>1</v>
      </c>
      <c r="V2817">
        <f t="shared" si="436"/>
        <v>1</v>
      </c>
      <c r="W2817">
        <f t="shared" si="437"/>
        <v>1</v>
      </c>
      <c r="X2817">
        <f t="shared" si="438"/>
        <v>0.99999999999999989</v>
      </c>
      <c r="Y2817" t="str">
        <f t="shared" si="439"/>
        <v>Healthy</v>
      </c>
    </row>
    <row r="2818" spans="1:25" x14ac:dyDescent="0.35">
      <c r="A2818" t="s">
        <v>71</v>
      </c>
      <c r="B2818" t="s">
        <v>72</v>
      </c>
      <c r="C2818" t="s">
        <v>687</v>
      </c>
      <c r="D2818" t="s">
        <v>1910</v>
      </c>
      <c r="E2818">
        <v>80895491</v>
      </c>
      <c r="F2818" t="s">
        <v>1997</v>
      </c>
      <c r="G2818" s="3">
        <v>47078</v>
      </c>
      <c r="H2818">
        <v>36</v>
      </c>
      <c r="I2818">
        <v>82</v>
      </c>
      <c r="J2818">
        <v>281</v>
      </c>
      <c r="K2818" s="4">
        <v>25098.92</v>
      </c>
      <c r="L2818" s="4">
        <f>0</f>
        <v>0</v>
      </c>
      <c r="M2818" s="4">
        <f>999</f>
        <v>999</v>
      </c>
      <c r="N2818" t="s">
        <v>19</v>
      </c>
      <c r="O2818" t="str">
        <f t="shared" si="430"/>
        <v>Low</v>
      </c>
      <c r="P2818" t="str">
        <f t="shared" si="431"/>
        <v>High</v>
      </c>
      <c r="Q2818" t="str">
        <f t="shared" si="432"/>
        <v>High</v>
      </c>
      <c r="R2818" t="s">
        <v>3317</v>
      </c>
      <c r="S2818" s="4">
        <f t="shared" ca="1" si="433"/>
        <v>881</v>
      </c>
      <c r="T2818">
        <f t="shared" si="434"/>
        <v>1</v>
      </c>
      <c r="U2818">
        <f t="shared" si="435"/>
        <v>3</v>
      </c>
      <c r="V2818">
        <f t="shared" si="436"/>
        <v>3</v>
      </c>
      <c r="W2818">
        <f t="shared" si="437"/>
        <v>1</v>
      </c>
      <c r="X2818">
        <f t="shared" si="438"/>
        <v>2</v>
      </c>
      <c r="Y2818" t="str">
        <f t="shared" si="439"/>
        <v>Monitor</v>
      </c>
    </row>
    <row r="2819" spans="1:25" x14ac:dyDescent="0.35">
      <c r="A2819" t="s">
        <v>71</v>
      </c>
      <c r="B2819" t="s">
        <v>72</v>
      </c>
      <c r="C2819" t="s">
        <v>310</v>
      </c>
      <c r="D2819" t="s">
        <v>1998</v>
      </c>
      <c r="E2819">
        <v>80895466</v>
      </c>
      <c r="F2819" t="s">
        <v>1999</v>
      </c>
      <c r="G2819" s="3">
        <v>47258</v>
      </c>
      <c r="H2819">
        <v>36</v>
      </c>
      <c r="I2819">
        <v>99</v>
      </c>
      <c r="J2819">
        <v>9</v>
      </c>
      <c r="K2819" s="4">
        <v>9143.1</v>
      </c>
      <c r="L2819" s="4">
        <v>1371.7142857142858</v>
      </c>
      <c r="M2819" s="4">
        <v>6.5611330972714012E-3</v>
      </c>
      <c r="N2819" t="s">
        <v>25</v>
      </c>
      <c r="O2819" t="str">
        <f t="shared" ref="O2819:O2882" si="440">IF(I2819&lt;20,"High",IF(I2819&lt;40,"Medium","Low"))</f>
        <v>Low</v>
      </c>
      <c r="P2819" t="str">
        <f t="shared" ref="P2819:P2882" si="441">IF(M2819&gt;8,"High",IF(M2819&gt;4,"Medium","Low"))</f>
        <v>Low</v>
      </c>
      <c r="Q2819" t="str">
        <f t="shared" ref="Q2819:Q2882" si="442">IF(L2819&lt;5,"High",IF(L2819&lt;15,"Medium","Low"))</f>
        <v>Low</v>
      </c>
      <c r="R2819" t="s">
        <v>3317</v>
      </c>
      <c r="S2819" s="4">
        <f t="shared" ref="S2819:S2882" ca="1" si="443">G2819-TODAY()</f>
        <v>1061</v>
      </c>
      <c r="T2819">
        <f t="shared" ref="T2819:T2882" si="444">IF(O2819="High",3,IF(O2819="Medium",2,1))</f>
        <v>1</v>
      </c>
      <c r="U2819">
        <f t="shared" ref="U2819:U2882" si="445">IF(P2819="High",3,IF(P2819="Medium",2,1))</f>
        <v>1</v>
      </c>
      <c r="V2819">
        <f t="shared" ref="V2819:V2882" si="446">IF(Q2819="High",3,IF(Q2819="Medium",2,1))</f>
        <v>1</v>
      </c>
      <c r="W2819">
        <f t="shared" ref="W2819:W2882" si="447">IF(R2819="High",3,IF(R2819="Medium",2,1))</f>
        <v>1</v>
      </c>
      <c r="X2819">
        <f t="shared" ref="X2819:X2882" si="448">(0.4*T2819)+(0.3*U2819)+(0.2*V2819)+(0.1*W2819)</f>
        <v>0.99999999999999989</v>
      </c>
      <c r="Y2819" t="str">
        <f t="shared" ref="Y2819:Y2882" si="449">IF(X2819&gt;=2.7,"Move Immediately",IF(X2819&gt;=2.2,"High Priority",IF(X2819&gt;=1.7,"Monitor","Healthy")))</f>
        <v>Healthy</v>
      </c>
    </row>
    <row r="2820" spans="1:25" x14ac:dyDescent="0.35">
      <c r="A2820" t="s">
        <v>71</v>
      </c>
      <c r="B2820" t="s">
        <v>72</v>
      </c>
      <c r="C2820" t="s">
        <v>310</v>
      </c>
      <c r="D2820" t="s">
        <v>1998</v>
      </c>
      <c r="E2820">
        <v>80895466</v>
      </c>
      <c r="F2820" t="s">
        <v>1999</v>
      </c>
      <c r="G2820" s="3">
        <v>47248</v>
      </c>
      <c r="H2820">
        <v>36</v>
      </c>
      <c r="I2820">
        <v>98</v>
      </c>
      <c r="J2820">
        <v>5</v>
      </c>
      <c r="K2820" s="4">
        <v>5079.5</v>
      </c>
      <c r="L2820" s="4">
        <v>1371.7142857142858</v>
      </c>
      <c r="M2820" s="4">
        <v>3.6450739429285564E-3</v>
      </c>
      <c r="N2820" t="s">
        <v>25</v>
      </c>
      <c r="O2820" t="str">
        <f t="shared" si="440"/>
        <v>Low</v>
      </c>
      <c r="P2820" t="str">
        <f t="shared" si="441"/>
        <v>Low</v>
      </c>
      <c r="Q2820" t="str">
        <f t="shared" si="442"/>
        <v>Low</v>
      </c>
      <c r="R2820" t="s">
        <v>3317</v>
      </c>
      <c r="S2820" s="4">
        <f t="shared" ca="1" si="443"/>
        <v>1051</v>
      </c>
      <c r="T2820">
        <f t="shared" si="444"/>
        <v>1</v>
      </c>
      <c r="U2820">
        <f t="shared" si="445"/>
        <v>1</v>
      </c>
      <c r="V2820">
        <f t="shared" si="446"/>
        <v>1</v>
      </c>
      <c r="W2820">
        <f t="shared" si="447"/>
        <v>1</v>
      </c>
      <c r="X2820">
        <f t="shared" si="448"/>
        <v>0.99999999999999989</v>
      </c>
      <c r="Y2820" t="str">
        <f t="shared" si="449"/>
        <v>Healthy</v>
      </c>
    </row>
    <row r="2821" spans="1:25" x14ac:dyDescent="0.35">
      <c r="A2821" t="s">
        <v>71</v>
      </c>
      <c r="B2821" t="s">
        <v>72</v>
      </c>
      <c r="C2821" t="s">
        <v>310</v>
      </c>
      <c r="D2821" t="s">
        <v>1998</v>
      </c>
      <c r="E2821">
        <v>80895466</v>
      </c>
      <c r="F2821" t="s">
        <v>1999</v>
      </c>
      <c r="G2821" s="3">
        <v>47249</v>
      </c>
      <c r="H2821">
        <v>36</v>
      </c>
      <c r="I2821">
        <v>98</v>
      </c>
      <c r="J2821">
        <v>7</v>
      </c>
      <c r="K2821" s="4">
        <v>7111.3</v>
      </c>
      <c r="L2821" s="4">
        <v>1371.7142857142858</v>
      </c>
      <c r="M2821" s="4">
        <v>5.103103520099979E-3</v>
      </c>
      <c r="N2821" t="s">
        <v>25</v>
      </c>
      <c r="O2821" t="str">
        <f t="shared" si="440"/>
        <v>Low</v>
      </c>
      <c r="P2821" t="str">
        <f t="shared" si="441"/>
        <v>Low</v>
      </c>
      <c r="Q2821" t="str">
        <f t="shared" si="442"/>
        <v>Low</v>
      </c>
      <c r="R2821" t="s">
        <v>3317</v>
      </c>
      <c r="S2821" s="4">
        <f t="shared" ca="1" si="443"/>
        <v>1052</v>
      </c>
      <c r="T2821">
        <f t="shared" si="444"/>
        <v>1</v>
      </c>
      <c r="U2821">
        <f t="shared" si="445"/>
        <v>1</v>
      </c>
      <c r="V2821">
        <f t="shared" si="446"/>
        <v>1</v>
      </c>
      <c r="W2821">
        <f t="shared" si="447"/>
        <v>1</v>
      </c>
      <c r="X2821">
        <f t="shared" si="448"/>
        <v>0.99999999999999989</v>
      </c>
      <c r="Y2821" t="str">
        <f t="shared" si="449"/>
        <v>Healthy</v>
      </c>
    </row>
    <row r="2822" spans="1:25" x14ac:dyDescent="0.35">
      <c r="A2822" t="s">
        <v>71</v>
      </c>
      <c r="B2822" t="s">
        <v>72</v>
      </c>
      <c r="C2822" t="s">
        <v>310</v>
      </c>
      <c r="D2822" t="s">
        <v>1998</v>
      </c>
      <c r="E2822">
        <v>80895466</v>
      </c>
      <c r="F2822" t="s">
        <v>1999</v>
      </c>
      <c r="G2822" s="3">
        <v>47280</v>
      </c>
      <c r="H2822">
        <v>36</v>
      </c>
      <c r="I2822">
        <v>100</v>
      </c>
      <c r="J2822">
        <v>12</v>
      </c>
      <c r="K2822" s="4">
        <v>12190.8</v>
      </c>
      <c r="L2822" s="4">
        <v>1371.7142857142858</v>
      </c>
      <c r="M2822" s="4">
        <v>8.748177463028535E-3</v>
      </c>
      <c r="N2822" t="s">
        <v>25</v>
      </c>
      <c r="O2822" t="str">
        <f t="shared" si="440"/>
        <v>Low</v>
      </c>
      <c r="P2822" t="str">
        <f t="shared" si="441"/>
        <v>Low</v>
      </c>
      <c r="Q2822" t="str">
        <f t="shared" si="442"/>
        <v>Low</v>
      </c>
      <c r="R2822" t="s">
        <v>3317</v>
      </c>
      <c r="S2822" s="4">
        <f t="shared" ca="1" si="443"/>
        <v>1083</v>
      </c>
      <c r="T2822">
        <f t="shared" si="444"/>
        <v>1</v>
      </c>
      <c r="U2822">
        <f t="shared" si="445"/>
        <v>1</v>
      </c>
      <c r="V2822">
        <f t="shared" si="446"/>
        <v>1</v>
      </c>
      <c r="W2822">
        <f t="shared" si="447"/>
        <v>1</v>
      </c>
      <c r="X2822">
        <f t="shared" si="448"/>
        <v>0.99999999999999989</v>
      </c>
      <c r="Y2822" t="str">
        <f t="shared" si="449"/>
        <v>Healthy</v>
      </c>
    </row>
    <row r="2823" spans="1:25" x14ac:dyDescent="0.35">
      <c r="A2823" t="s">
        <v>71</v>
      </c>
      <c r="B2823" t="s">
        <v>72</v>
      </c>
      <c r="C2823" t="s">
        <v>73</v>
      </c>
      <c r="D2823" t="s">
        <v>1824</v>
      </c>
      <c r="E2823">
        <v>80895492</v>
      </c>
      <c r="F2823" t="s">
        <v>2000</v>
      </c>
      <c r="G2823" s="3">
        <v>47215</v>
      </c>
      <c r="H2823">
        <v>36</v>
      </c>
      <c r="I2823">
        <v>95</v>
      </c>
      <c r="J2823">
        <v>6</v>
      </c>
      <c r="K2823" s="4">
        <v>11400.3</v>
      </c>
      <c r="L2823" s="4">
        <v>325.28571428571428</v>
      </c>
      <c r="M2823" s="4">
        <v>1.844532279314888E-2</v>
      </c>
      <c r="N2823" t="s">
        <v>25</v>
      </c>
      <c r="O2823" t="str">
        <f t="shared" si="440"/>
        <v>Low</v>
      </c>
      <c r="P2823" t="str">
        <f t="shared" si="441"/>
        <v>Low</v>
      </c>
      <c r="Q2823" t="str">
        <f t="shared" si="442"/>
        <v>Low</v>
      </c>
      <c r="R2823" t="s">
        <v>3317</v>
      </c>
      <c r="S2823" s="4">
        <f t="shared" ca="1" si="443"/>
        <v>1018</v>
      </c>
      <c r="T2823">
        <f t="shared" si="444"/>
        <v>1</v>
      </c>
      <c r="U2823">
        <f t="shared" si="445"/>
        <v>1</v>
      </c>
      <c r="V2823">
        <f t="shared" si="446"/>
        <v>1</v>
      </c>
      <c r="W2823">
        <f t="shared" si="447"/>
        <v>1</v>
      </c>
      <c r="X2823">
        <f t="shared" si="448"/>
        <v>0.99999999999999989</v>
      </c>
      <c r="Y2823" t="str">
        <f t="shared" si="449"/>
        <v>Healthy</v>
      </c>
    </row>
    <row r="2824" spans="1:25" x14ac:dyDescent="0.35">
      <c r="A2824" t="s">
        <v>90</v>
      </c>
      <c r="B2824" t="s">
        <v>217</v>
      </c>
      <c r="C2824" t="s">
        <v>239</v>
      </c>
      <c r="D2824" t="s">
        <v>557</v>
      </c>
      <c r="E2824">
        <v>80744303</v>
      </c>
      <c r="F2824" t="s">
        <v>2001</v>
      </c>
      <c r="G2824" s="3">
        <v>45982</v>
      </c>
      <c r="H2824">
        <v>24</v>
      </c>
      <c r="I2824">
        <v>0</v>
      </c>
      <c r="J2824">
        <v>2</v>
      </c>
      <c r="K2824" s="4">
        <v>5977.92</v>
      </c>
      <c r="L2824" s="4">
        <v>0.42857142857142855</v>
      </c>
      <c r="M2824" s="4">
        <v>4.666666666666667</v>
      </c>
      <c r="N2824" t="s">
        <v>25</v>
      </c>
      <c r="O2824" t="str">
        <f t="shared" si="440"/>
        <v>High</v>
      </c>
      <c r="P2824" t="str">
        <f t="shared" si="441"/>
        <v>Medium</v>
      </c>
      <c r="Q2824" t="str">
        <f t="shared" si="442"/>
        <v>High</v>
      </c>
      <c r="R2824" t="s">
        <v>3317</v>
      </c>
      <c r="S2824" s="4">
        <f t="shared" ca="1" si="443"/>
        <v>-215</v>
      </c>
      <c r="T2824">
        <f t="shared" si="444"/>
        <v>3</v>
      </c>
      <c r="U2824">
        <f t="shared" si="445"/>
        <v>2</v>
      </c>
      <c r="V2824">
        <f t="shared" si="446"/>
        <v>3</v>
      </c>
      <c r="W2824">
        <f t="shared" si="447"/>
        <v>1</v>
      </c>
      <c r="X2824">
        <f t="shared" si="448"/>
        <v>2.5000000000000004</v>
      </c>
      <c r="Y2824" t="str">
        <f t="shared" si="449"/>
        <v>High Priority</v>
      </c>
    </row>
    <row r="2825" spans="1:25" x14ac:dyDescent="0.35">
      <c r="A2825" t="s">
        <v>71</v>
      </c>
      <c r="B2825" t="s">
        <v>72</v>
      </c>
      <c r="C2825" t="s">
        <v>73</v>
      </c>
      <c r="D2825" t="s">
        <v>1824</v>
      </c>
      <c r="E2825">
        <v>80895492</v>
      </c>
      <c r="F2825" t="s">
        <v>2000</v>
      </c>
      <c r="G2825" s="3">
        <v>47188</v>
      </c>
      <c r="H2825">
        <v>36</v>
      </c>
      <c r="I2825">
        <v>92</v>
      </c>
      <c r="J2825">
        <v>7</v>
      </c>
      <c r="K2825" s="4">
        <v>13300.35</v>
      </c>
      <c r="L2825" s="4">
        <v>325.28571428571428</v>
      </c>
      <c r="M2825" s="4">
        <v>2.1519543258673696E-2</v>
      </c>
      <c r="N2825" t="s">
        <v>25</v>
      </c>
      <c r="O2825" t="str">
        <f t="shared" si="440"/>
        <v>Low</v>
      </c>
      <c r="P2825" t="str">
        <f t="shared" si="441"/>
        <v>Low</v>
      </c>
      <c r="Q2825" t="str">
        <f t="shared" si="442"/>
        <v>Low</v>
      </c>
      <c r="R2825" t="s">
        <v>3317</v>
      </c>
      <c r="S2825" s="4">
        <f t="shared" ca="1" si="443"/>
        <v>991</v>
      </c>
      <c r="T2825">
        <f t="shared" si="444"/>
        <v>1</v>
      </c>
      <c r="U2825">
        <f t="shared" si="445"/>
        <v>1</v>
      </c>
      <c r="V2825">
        <f t="shared" si="446"/>
        <v>1</v>
      </c>
      <c r="W2825">
        <f t="shared" si="447"/>
        <v>1</v>
      </c>
      <c r="X2825">
        <f t="shared" si="448"/>
        <v>0.99999999999999989</v>
      </c>
      <c r="Y2825" t="str">
        <f t="shared" si="449"/>
        <v>Healthy</v>
      </c>
    </row>
    <row r="2826" spans="1:25" x14ac:dyDescent="0.35">
      <c r="A2826" t="s">
        <v>90</v>
      </c>
      <c r="B2826" t="s">
        <v>217</v>
      </c>
      <c r="C2826" t="s">
        <v>239</v>
      </c>
      <c r="D2826" t="s">
        <v>557</v>
      </c>
      <c r="E2826">
        <v>80744303</v>
      </c>
      <c r="F2826" t="s">
        <v>2001</v>
      </c>
      <c r="G2826" s="3">
        <v>45983</v>
      </c>
      <c r="H2826">
        <v>24</v>
      </c>
      <c r="I2826">
        <v>0</v>
      </c>
      <c r="J2826">
        <v>1</v>
      </c>
      <c r="K2826" s="4">
        <v>2988.96</v>
      </c>
      <c r="L2826" s="4">
        <v>0.42857142857142855</v>
      </c>
      <c r="M2826" s="4">
        <v>2.3333333333333335</v>
      </c>
      <c r="N2826" t="s">
        <v>25</v>
      </c>
      <c r="O2826" t="str">
        <f t="shared" si="440"/>
        <v>High</v>
      </c>
      <c r="P2826" t="str">
        <f t="shared" si="441"/>
        <v>Low</v>
      </c>
      <c r="Q2826" t="str">
        <f t="shared" si="442"/>
        <v>High</v>
      </c>
      <c r="R2826" t="s">
        <v>3317</v>
      </c>
      <c r="S2826" s="4">
        <f t="shared" ca="1" si="443"/>
        <v>-214</v>
      </c>
      <c r="T2826">
        <f t="shared" si="444"/>
        <v>3</v>
      </c>
      <c r="U2826">
        <f t="shared" si="445"/>
        <v>1</v>
      </c>
      <c r="V2826">
        <f t="shared" si="446"/>
        <v>3</v>
      </c>
      <c r="W2826">
        <f t="shared" si="447"/>
        <v>1</v>
      </c>
      <c r="X2826">
        <f t="shared" si="448"/>
        <v>2.2000000000000006</v>
      </c>
      <c r="Y2826" t="str">
        <f t="shared" si="449"/>
        <v>High Priority</v>
      </c>
    </row>
    <row r="2827" spans="1:25" x14ac:dyDescent="0.35">
      <c r="A2827" t="s">
        <v>71</v>
      </c>
      <c r="B2827" t="s">
        <v>72</v>
      </c>
      <c r="C2827" t="s">
        <v>73</v>
      </c>
      <c r="D2827" t="s">
        <v>1824</v>
      </c>
      <c r="E2827">
        <v>80895492</v>
      </c>
      <c r="F2827" t="s">
        <v>2000</v>
      </c>
      <c r="G2827" s="3">
        <v>47208</v>
      </c>
      <c r="H2827">
        <v>36</v>
      </c>
      <c r="I2827">
        <v>94</v>
      </c>
      <c r="J2827">
        <v>5</v>
      </c>
      <c r="K2827" s="4">
        <v>9500.25</v>
      </c>
      <c r="L2827" s="4">
        <v>325.28571428571428</v>
      </c>
      <c r="M2827" s="4">
        <v>1.5371102327624068E-2</v>
      </c>
      <c r="N2827" t="s">
        <v>25</v>
      </c>
      <c r="O2827" t="str">
        <f t="shared" si="440"/>
        <v>Low</v>
      </c>
      <c r="P2827" t="str">
        <f t="shared" si="441"/>
        <v>Low</v>
      </c>
      <c r="Q2827" t="str">
        <f t="shared" si="442"/>
        <v>Low</v>
      </c>
      <c r="R2827" t="s">
        <v>3317</v>
      </c>
      <c r="S2827" s="4">
        <f t="shared" ca="1" si="443"/>
        <v>1011</v>
      </c>
      <c r="T2827">
        <f t="shared" si="444"/>
        <v>1</v>
      </c>
      <c r="U2827">
        <f t="shared" si="445"/>
        <v>1</v>
      </c>
      <c r="V2827">
        <f t="shared" si="446"/>
        <v>1</v>
      </c>
      <c r="W2827">
        <f t="shared" si="447"/>
        <v>1</v>
      </c>
      <c r="X2827">
        <f t="shared" si="448"/>
        <v>0.99999999999999989</v>
      </c>
      <c r="Y2827" t="str">
        <f t="shared" si="449"/>
        <v>Healthy</v>
      </c>
    </row>
    <row r="2828" spans="1:25" x14ac:dyDescent="0.35">
      <c r="A2828" t="s">
        <v>71</v>
      </c>
      <c r="B2828" t="s">
        <v>72</v>
      </c>
      <c r="C2828" t="s">
        <v>73</v>
      </c>
      <c r="D2828" t="s">
        <v>1824</v>
      </c>
      <c r="E2828">
        <v>80895492</v>
      </c>
      <c r="F2828" t="s">
        <v>2000</v>
      </c>
      <c r="G2828" s="3">
        <v>47157</v>
      </c>
      <c r="H2828">
        <v>36</v>
      </c>
      <c r="I2828">
        <v>89</v>
      </c>
      <c r="J2828">
        <v>6</v>
      </c>
      <c r="K2828" s="4">
        <v>11400.3</v>
      </c>
      <c r="L2828" s="4">
        <v>325.28571428571428</v>
      </c>
      <c r="M2828" s="4">
        <v>1.844532279314888E-2</v>
      </c>
      <c r="N2828" t="s">
        <v>25</v>
      </c>
      <c r="O2828" t="str">
        <f t="shared" si="440"/>
        <v>Low</v>
      </c>
      <c r="P2828" t="str">
        <f t="shared" si="441"/>
        <v>Low</v>
      </c>
      <c r="Q2828" t="str">
        <f t="shared" si="442"/>
        <v>Low</v>
      </c>
      <c r="R2828" t="s">
        <v>3317</v>
      </c>
      <c r="S2828" s="4">
        <f t="shared" ca="1" si="443"/>
        <v>960</v>
      </c>
      <c r="T2828">
        <f t="shared" si="444"/>
        <v>1</v>
      </c>
      <c r="U2828">
        <f t="shared" si="445"/>
        <v>1</v>
      </c>
      <c r="V2828">
        <f t="shared" si="446"/>
        <v>1</v>
      </c>
      <c r="W2828">
        <f t="shared" si="447"/>
        <v>1</v>
      </c>
      <c r="X2828">
        <f t="shared" si="448"/>
        <v>0.99999999999999989</v>
      </c>
      <c r="Y2828" t="str">
        <f t="shared" si="449"/>
        <v>Healthy</v>
      </c>
    </row>
    <row r="2829" spans="1:25" x14ac:dyDescent="0.35">
      <c r="A2829" t="s">
        <v>71</v>
      </c>
      <c r="B2829" t="s">
        <v>72</v>
      </c>
      <c r="C2829" t="s">
        <v>174</v>
      </c>
      <c r="D2829" t="s">
        <v>328</v>
      </c>
      <c r="E2829">
        <v>80743563</v>
      </c>
      <c r="F2829" t="s">
        <v>2002</v>
      </c>
      <c r="G2829" s="3">
        <v>46333</v>
      </c>
      <c r="H2829">
        <v>36</v>
      </c>
      <c r="I2829">
        <v>13</v>
      </c>
      <c r="J2829">
        <v>4</v>
      </c>
      <c r="K2829" s="4">
        <v>4044.68</v>
      </c>
      <c r="L2829" s="4">
        <f>0</f>
        <v>0</v>
      </c>
      <c r="M2829" s="4">
        <f>999</f>
        <v>999</v>
      </c>
      <c r="N2829" t="s">
        <v>19</v>
      </c>
      <c r="O2829" t="str">
        <f t="shared" si="440"/>
        <v>High</v>
      </c>
      <c r="P2829" t="str">
        <f t="shared" si="441"/>
        <v>High</v>
      </c>
      <c r="Q2829" t="str">
        <f t="shared" si="442"/>
        <v>High</v>
      </c>
      <c r="R2829" t="s">
        <v>3317</v>
      </c>
      <c r="S2829" s="4">
        <f t="shared" ca="1" si="443"/>
        <v>136</v>
      </c>
      <c r="T2829">
        <f t="shared" si="444"/>
        <v>3</v>
      </c>
      <c r="U2829">
        <f t="shared" si="445"/>
        <v>3</v>
      </c>
      <c r="V2829">
        <f t="shared" si="446"/>
        <v>3</v>
      </c>
      <c r="W2829">
        <f t="shared" si="447"/>
        <v>1</v>
      </c>
      <c r="X2829">
        <f t="shared" si="448"/>
        <v>2.8000000000000003</v>
      </c>
      <c r="Y2829" t="str">
        <f t="shared" si="449"/>
        <v>Move Immediately</v>
      </c>
    </row>
    <row r="2830" spans="1:25" x14ac:dyDescent="0.35">
      <c r="A2830" t="s">
        <v>71</v>
      </c>
      <c r="B2830" t="s">
        <v>72</v>
      </c>
      <c r="C2830" t="s">
        <v>73</v>
      </c>
      <c r="D2830" t="s">
        <v>1824</v>
      </c>
      <c r="E2830">
        <v>80895492</v>
      </c>
      <c r="F2830" t="s">
        <v>2000</v>
      </c>
      <c r="G2830" s="3">
        <v>47273</v>
      </c>
      <c r="H2830">
        <v>36</v>
      </c>
      <c r="I2830">
        <v>100</v>
      </c>
      <c r="J2830">
        <v>81</v>
      </c>
      <c r="K2830" s="4">
        <v>153904.04999999999</v>
      </c>
      <c r="L2830" s="4">
        <v>325.28571428571428</v>
      </c>
      <c r="M2830" s="4">
        <v>0.24901185770750989</v>
      </c>
      <c r="N2830" t="s">
        <v>25</v>
      </c>
      <c r="O2830" t="str">
        <f t="shared" si="440"/>
        <v>Low</v>
      </c>
      <c r="P2830" t="str">
        <f t="shared" si="441"/>
        <v>Low</v>
      </c>
      <c r="Q2830" t="str">
        <f t="shared" si="442"/>
        <v>Low</v>
      </c>
      <c r="R2830" t="s">
        <v>3309</v>
      </c>
      <c r="S2830" s="4">
        <f t="shared" ca="1" si="443"/>
        <v>1076</v>
      </c>
      <c r="T2830">
        <f t="shared" si="444"/>
        <v>1</v>
      </c>
      <c r="U2830">
        <f t="shared" si="445"/>
        <v>1</v>
      </c>
      <c r="V2830">
        <f t="shared" si="446"/>
        <v>1</v>
      </c>
      <c r="W2830">
        <f t="shared" si="447"/>
        <v>3</v>
      </c>
      <c r="X2830">
        <f t="shared" si="448"/>
        <v>1.2</v>
      </c>
      <c r="Y2830" t="str">
        <f t="shared" si="449"/>
        <v>Healthy</v>
      </c>
    </row>
    <row r="2831" spans="1:25" x14ac:dyDescent="0.35">
      <c r="A2831" t="s">
        <v>71</v>
      </c>
      <c r="B2831" t="s">
        <v>72</v>
      </c>
      <c r="C2831" t="s">
        <v>73</v>
      </c>
      <c r="D2831" t="s">
        <v>1824</v>
      </c>
      <c r="E2831">
        <v>80895492</v>
      </c>
      <c r="F2831" t="s">
        <v>2000</v>
      </c>
      <c r="G2831" s="3">
        <v>47208</v>
      </c>
      <c r="H2831">
        <v>36</v>
      </c>
      <c r="I2831">
        <v>94</v>
      </c>
      <c r="J2831">
        <v>32</v>
      </c>
      <c r="K2831" s="4">
        <v>60801.599999999999</v>
      </c>
      <c r="L2831" s="4">
        <v>325.28571428571428</v>
      </c>
      <c r="M2831" s="4">
        <v>9.8375054896794031E-2</v>
      </c>
      <c r="N2831" t="s">
        <v>25</v>
      </c>
      <c r="O2831" t="str">
        <f t="shared" si="440"/>
        <v>Low</v>
      </c>
      <c r="P2831" t="str">
        <f t="shared" si="441"/>
        <v>Low</v>
      </c>
      <c r="Q2831" t="str">
        <f t="shared" si="442"/>
        <v>Low</v>
      </c>
      <c r="R2831" t="s">
        <v>3317</v>
      </c>
      <c r="S2831" s="4">
        <f t="shared" ca="1" si="443"/>
        <v>1011</v>
      </c>
      <c r="T2831">
        <f t="shared" si="444"/>
        <v>1</v>
      </c>
      <c r="U2831">
        <f t="shared" si="445"/>
        <v>1</v>
      </c>
      <c r="V2831">
        <f t="shared" si="446"/>
        <v>1</v>
      </c>
      <c r="W2831">
        <f t="shared" si="447"/>
        <v>1</v>
      </c>
      <c r="X2831">
        <f t="shared" si="448"/>
        <v>0.99999999999999989</v>
      </c>
      <c r="Y2831" t="str">
        <f t="shared" si="449"/>
        <v>Healthy</v>
      </c>
    </row>
    <row r="2832" spans="1:25" x14ac:dyDescent="0.35">
      <c r="A2832" t="s">
        <v>71</v>
      </c>
      <c r="B2832" t="s">
        <v>72</v>
      </c>
      <c r="C2832" t="s">
        <v>73</v>
      </c>
      <c r="D2832" t="s">
        <v>1824</v>
      </c>
      <c r="E2832">
        <v>80895492</v>
      </c>
      <c r="F2832" t="s">
        <v>2000</v>
      </c>
      <c r="G2832" s="3">
        <v>47259</v>
      </c>
      <c r="H2832">
        <v>36</v>
      </c>
      <c r="I2832">
        <v>99</v>
      </c>
      <c r="J2832">
        <v>200</v>
      </c>
      <c r="K2832" s="4">
        <v>380010</v>
      </c>
      <c r="L2832" s="4">
        <v>325.28571428571428</v>
      </c>
      <c r="M2832" s="4">
        <v>0.61484409310496269</v>
      </c>
      <c r="N2832" t="s">
        <v>25</v>
      </c>
      <c r="O2832" t="str">
        <f t="shared" si="440"/>
        <v>Low</v>
      </c>
      <c r="P2832" t="str">
        <f t="shared" si="441"/>
        <v>Low</v>
      </c>
      <c r="Q2832" t="str">
        <f t="shared" si="442"/>
        <v>Low</v>
      </c>
      <c r="R2832" t="s">
        <v>3309</v>
      </c>
      <c r="S2832" s="4">
        <f t="shared" ca="1" si="443"/>
        <v>1062</v>
      </c>
      <c r="T2832">
        <f t="shared" si="444"/>
        <v>1</v>
      </c>
      <c r="U2832">
        <f t="shared" si="445"/>
        <v>1</v>
      </c>
      <c r="V2832">
        <f t="shared" si="446"/>
        <v>1</v>
      </c>
      <c r="W2832">
        <f t="shared" si="447"/>
        <v>3</v>
      </c>
      <c r="X2832">
        <f t="shared" si="448"/>
        <v>1.2</v>
      </c>
      <c r="Y2832" t="str">
        <f t="shared" si="449"/>
        <v>Healthy</v>
      </c>
    </row>
    <row r="2833" spans="1:25" x14ac:dyDescent="0.35">
      <c r="A2833" t="s">
        <v>71</v>
      </c>
      <c r="B2833" t="s">
        <v>72</v>
      </c>
      <c r="C2833" t="s">
        <v>73</v>
      </c>
      <c r="D2833" t="s">
        <v>1824</v>
      </c>
      <c r="E2833">
        <v>80895492</v>
      </c>
      <c r="F2833" t="s">
        <v>2000</v>
      </c>
      <c r="G2833" s="3">
        <v>47225</v>
      </c>
      <c r="H2833">
        <v>36</v>
      </c>
      <c r="I2833">
        <v>96</v>
      </c>
      <c r="J2833">
        <v>37</v>
      </c>
      <c r="K2833" s="4">
        <v>70301.850000000006</v>
      </c>
      <c r="L2833" s="4">
        <v>325.28571428571428</v>
      </c>
      <c r="M2833" s="4">
        <v>0.1137461572244181</v>
      </c>
      <c r="N2833" t="s">
        <v>25</v>
      </c>
      <c r="O2833" t="str">
        <f t="shared" si="440"/>
        <v>Low</v>
      </c>
      <c r="P2833" t="str">
        <f t="shared" si="441"/>
        <v>Low</v>
      </c>
      <c r="Q2833" t="str">
        <f t="shared" si="442"/>
        <v>Low</v>
      </c>
      <c r="R2833" t="s">
        <v>3310</v>
      </c>
      <c r="S2833" s="4">
        <f t="shared" ca="1" si="443"/>
        <v>1028</v>
      </c>
      <c r="T2833">
        <f t="shared" si="444"/>
        <v>1</v>
      </c>
      <c r="U2833">
        <f t="shared" si="445"/>
        <v>1</v>
      </c>
      <c r="V2833">
        <f t="shared" si="446"/>
        <v>1</v>
      </c>
      <c r="W2833">
        <f t="shared" si="447"/>
        <v>2</v>
      </c>
      <c r="X2833">
        <f t="shared" si="448"/>
        <v>1.0999999999999999</v>
      </c>
      <c r="Y2833" t="str">
        <f t="shared" si="449"/>
        <v>Healthy</v>
      </c>
    </row>
    <row r="2834" spans="1:25" x14ac:dyDescent="0.35">
      <c r="A2834" t="s">
        <v>71</v>
      </c>
      <c r="B2834" t="s">
        <v>72</v>
      </c>
      <c r="C2834" t="s">
        <v>73</v>
      </c>
      <c r="D2834" t="s">
        <v>430</v>
      </c>
      <c r="E2834">
        <v>80895493</v>
      </c>
      <c r="F2834" t="s">
        <v>2003</v>
      </c>
      <c r="G2834" s="3">
        <v>47199</v>
      </c>
      <c r="H2834">
        <v>36</v>
      </c>
      <c r="I2834">
        <v>93</v>
      </c>
      <c r="J2834">
        <v>60</v>
      </c>
      <c r="K2834" s="4">
        <v>114003</v>
      </c>
      <c r="L2834" s="4">
        <v>1185.2857142857142</v>
      </c>
      <c r="M2834" s="4">
        <v>5.0620706279378092E-2</v>
      </c>
      <c r="N2834" t="s">
        <v>25</v>
      </c>
      <c r="O2834" t="str">
        <f t="shared" si="440"/>
        <v>Low</v>
      </c>
      <c r="P2834" t="str">
        <f t="shared" si="441"/>
        <v>Low</v>
      </c>
      <c r="Q2834" t="str">
        <f t="shared" si="442"/>
        <v>Low</v>
      </c>
      <c r="R2834" t="s">
        <v>3310</v>
      </c>
      <c r="S2834" s="4">
        <f t="shared" ca="1" si="443"/>
        <v>1002</v>
      </c>
      <c r="T2834">
        <f t="shared" si="444"/>
        <v>1</v>
      </c>
      <c r="U2834">
        <f t="shared" si="445"/>
        <v>1</v>
      </c>
      <c r="V2834">
        <f t="shared" si="446"/>
        <v>1</v>
      </c>
      <c r="W2834">
        <f t="shared" si="447"/>
        <v>2</v>
      </c>
      <c r="X2834">
        <f t="shared" si="448"/>
        <v>1.0999999999999999</v>
      </c>
      <c r="Y2834" t="str">
        <f t="shared" si="449"/>
        <v>Healthy</v>
      </c>
    </row>
    <row r="2835" spans="1:25" x14ac:dyDescent="0.35">
      <c r="A2835" t="s">
        <v>71</v>
      </c>
      <c r="B2835" t="s">
        <v>72</v>
      </c>
      <c r="C2835" t="s">
        <v>73</v>
      </c>
      <c r="D2835" t="s">
        <v>430</v>
      </c>
      <c r="E2835">
        <v>80895493</v>
      </c>
      <c r="F2835" t="s">
        <v>2003</v>
      </c>
      <c r="G2835" s="3">
        <v>47255</v>
      </c>
      <c r="H2835">
        <v>36</v>
      </c>
      <c r="I2835">
        <v>98</v>
      </c>
      <c r="J2835">
        <v>119</v>
      </c>
      <c r="K2835" s="4">
        <v>226105.95</v>
      </c>
      <c r="L2835" s="4">
        <v>1185.2857142857142</v>
      </c>
      <c r="M2835" s="4">
        <v>0.10039773412076655</v>
      </c>
      <c r="N2835" t="s">
        <v>25</v>
      </c>
      <c r="O2835" t="str">
        <f t="shared" si="440"/>
        <v>Low</v>
      </c>
      <c r="P2835" t="str">
        <f t="shared" si="441"/>
        <v>Low</v>
      </c>
      <c r="Q2835" t="str">
        <f t="shared" si="442"/>
        <v>Low</v>
      </c>
      <c r="R2835" t="s">
        <v>3309</v>
      </c>
      <c r="S2835" s="4">
        <f t="shared" ca="1" si="443"/>
        <v>1058</v>
      </c>
      <c r="T2835">
        <f t="shared" si="444"/>
        <v>1</v>
      </c>
      <c r="U2835">
        <f t="shared" si="445"/>
        <v>1</v>
      </c>
      <c r="V2835">
        <f t="shared" si="446"/>
        <v>1</v>
      </c>
      <c r="W2835">
        <f t="shared" si="447"/>
        <v>3</v>
      </c>
      <c r="X2835">
        <f t="shared" si="448"/>
        <v>1.2</v>
      </c>
      <c r="Y2835" t="str">
        <f t="shared" si="449"/>
        <v>Healthy</v>
      </c>
    </row>
    <row r="2836" spans="1:25" x14ac:dyDescent="0.35">
      <c r="A2836" t="s">
        <v>71</v>
      </c>
      <c r="B2836" t="s">
        <v>72</v>
      </c>
      <c r="C2836" t="s">
        <v>73</v>
      </c>
      <c r="D2836" t="s">
        <v>430</v>
      </c>
      <c r="E2836">
        <v>80895493</v>
      </c>
      <c r="F2836" t="s">
        <v>2003</v>
      </c>
      <c r="G2836" s="3">
        <v>47225</v>
      </c>
      <c r="H2836">
        <v>36</v>
      </c>
      <c r="I2836">
        <v>96</v>
      </c>
      <c r="J2836">
        <v>82</v>
      </c>
      <c r="K2836" s="4">
        <v>155804.1</v>
      </c>
      <c r="L2836" s="4">
        <v>1185.2857142857142</v>
      </c>
      <c r="M2836" s="4">
        <v>6.918163191515006E-2</v>
      </c>
      <c r="N2836" t="s">
        <v>25</v>
      </c>
      <c r="O2836" t="str">
        <f t="shared" si="440"/>
        <v>Low</v>
      </c>
      <c r="P2836" t="str">
        <f t="shared" si="441"/>
        <v>Low</v>
      </c>
      <c r="Q2836" t="str">
        <f t="shared" si="442"/>
        <v>Low</v>
      </c>
      <c r="R2836" t="s">
        <v>3309</v>
      </c>
      <c r="S2836" s="4">
        <f t="shared" ca="1" si="443"/>
        <v>1028</v>
      </c>
      <c r="T2836">
        <f t="shared" si="444"/>
        <v>1</v>
      </c>
      <c r="U2836">
        <f t="shared" si="445"/>
        <v>1</v>
      </c>
      <c r="V2836">
        <f t="shared" si="446"/>
        <v>1</v>
      </c>
      <c r="W2836">
        <f t="shared" si="447"/>
        <v>3</v>
      </c>
      <c r="X2836">
        <f t="shared" si="448"/>
        <v>1.2</v>
      </c>
      <c r="Y2836" t="str">
        <f t="shared" si="449"/>
        <v>Healthy</v>
      </c>
    </row>
    <row r="2837" spans="1:25" x14ac:dyDescent="0.35">
      <c r="A2837" t="s">
        <v>71</v>
      </c>
      <c r="B2837" t="s">
        <v>72</v>
      </c>
      <c r="C2837" t="s">
        <v>73</v>
      </c>
      <c r="D2837" t="s">
        <v>430</v>
      </c>
      <c r="E2837">
        <v>80895493</v>
      </c>
      <c r="F2837" t="s">
        <v>2003</v>
      </c>
      <c r="G2837" s="3">
        <v>47256</v>
      </c>
      <c r="H2837">
        <v>36</v>
      </c>
      <c r="I2837">
        <v>99</v>
      </c>
      <c r="J2837">
        <v>85</v>
      </c>
      <c r="K2837" s="4">
        <v>161504.25</v>
      </c>
      <c r="L2837" s="4">
        <v>1185.2857142857142</v>
      </c>
      <c r="M2837" s="4">
        <v>7.1712667229118968E-2</v>
      </c>
      <c r="N2837" t="s">
        <v>25</v>
      </c>
      <c r="O2837" t="str">
        <f t="shared" si="440"/>
        <v>Low</v>
      </c>
      <c r="P2837" t="str">
        <f t="shared" si="441"/>
        <v>Low</v>
      </c>
      <c r="Q2837" t="str">
        <f t="shared" si="442"/>
        <v>Low</v>
      </c>
      <c r="R2837" t="s">
        <v>3309</v>
      </c>
      <c r="S2837" s="4">
        <f t="shared" ca="1" si="443"/>
        <v>1059</v>
      </c>
      <c r="T2837">
        <f t="shared" si="444"/>
        <v>1</v>
      </c>
      <c r="U2837">
        <f t="shared" si="445"/>
        <v>1</v>
      </c>
      <c r="V2837">
        <f t="shared" si="446"/>
        <v>1</v>
      </c>
      <c r="W2837">
        <f t="shared" si="447"/>
        <v>3</v>
      </c>
      <c r="X2837">
        <f t="shared" si="448"/>
        <v>1.2</v>
      </c>
      <c r="Y2837" t="str">
        <f t="shared" si="449"/>
        <v>Healthy</v>
      </c>
    </row>
    <row r="2838" spans="1:25" x14ac:dyDescent="0.35">
      <c r="A2838" t="s">
        <v>71</v>
      </c>
      <c r="B2838" t="s">
        <v>72</v>
      </c>
      <c r="C2838" t="s">
        <v>73</v>
      </c>
      <c r="D2838" t="s">
        <v>430</v>
      </c>
      <c r="E2838">
        <v>80895493</v>
      </c>
      <c r="F2838" t="s">
        <v>2003</v>
      </c>
      <c r="G2838" s="3">
        <v>47198</v>
      </c>
      <c r="H2838">
        <v>36</v>
      </c>
      <c r="I2838">
        <v>93</v>
      </c>
      <c r="J2838">
        <v>6</v>
      </c>
      <c r="K2838" s="4">
        <v>11400.3</v>
      </c>
      <c r="L2838" s="4">
        <v>1185.2857142857142</v>
      </c>
      <c r="M2838" s="4">
        <v>5.0620706279378095E-3</v>
      </c>
      <c r="N2838" t="s">
        <v>25</v>
      </c>
      <c r="O2838" t="str">
        <f t="shared" si="440"/>
        <v>Low</v>
      </c>
      <c r="P2838" t="str">
        <f t="shared" si="441"/>
        <v>Low</v>
      </c>
      <c r="Q2838" t="str">
        <f t="shared" si="442"/>
        <v>Low</v>
      </c>
      <c r="R2838" t="s">
        <v>3317</v>
      </c>
      <c r="S2838" s="4">
        <f t="shared" ca="1" si="443"/>
        <v>1001</v>
      </c>
      <c r="T2838">
        <f t="shared" si="444"/>
        <v>1</v>
      </c>
      <c r="U2838">
        <f t="shared" si="445"/>
        <v>1</v>
      </c>
      <c r="V2838">
        <f t="shared" si="446"/>
        <v>1</v>
      </c>
      <c r="W2838">
        <f t="shared" si="447"/>
        <v>1</v>
      </c>
      <c r="X2838">
        <f t="shared" si="448"/>
        <v>0.99999999999999989</v>
      </c>
      <c r="Y2838" t="str">
        <f t="shared" si="449"/>
        <v>Healthy</v>
      </c>
    </row>
    <row r="2839" spans="1:25" x14ac:dyDescent="0.35">
      <c r="A2839" t="s">
        <v>71</v>
      </c>
      <c r="B2839" t="s">
        <v>72</v>
      </c>
      <c r="C2839" t="s">
        <v>73</v>
      </c>
      <c r="D2839" t="s">
        <v>430</v>
      </c>
      <c r="E2839">
        <v>80895493</v>
      </c>
      <c r="F2839" t="s">
        <v>2003</v>
      </c>
      <c r="G2839" s="3">
        <v>47222</v>
      </c>
      <c r="H2839">
        <v>36</v>
      </c>
      <c r="I2839">
        <v>95</v>
      </c>
      <c r="J2839">
        <v>81</v>
      </c>
      <c r="K2839" s="4">
        <v>153904.04999999999</v>
      </c>
      <c r="L2839" s="4">
        <v>1185.2857142857142</v>
      </c>
      <c r="M2839" s="4">
        <v>6.8337953477160429E-2</v>
      </c>
      <c r="N2839" t="s">
        <v>25</v>
      </c>
      <c r="O2839" t="str">
        <f t="shared" si="440"/>
        <v>Low</v>
      </c>
      <c r="P2839" t="str">
        <f t="shared" si="441"/>
        <v>Low</v>
      </c>
      <c r="Q2839" t="str">
        <f t="shared" si="442"/>
        <v>Low</v>
      </c>
      <c r="R2839" t="s">
        <v>3309</v>
      </c>
      <c r="S2839" s="4">
        <f t="shared" ca="1" si="443"/>
        <v>1025</v>
      </c>
      <c r="T2839">
        <f t="shared" si="444"/>
        <v>1</v>
      </c>
      <c r="U2839">
        <f t="shared" si="445"/>
        <v>1</v>
      </c>
      <c r="V2839">
        <f t="shared" si="446"/>
        <v>1</v>
      </c>
      <c r="W2839">
        <f t="shared" si="447"/>
        <v>3</v>
      </c>
      <c r="X2839">
        <f t="shared" si="448"/>
        <v>1.2</v>
      </c>
      <c r="Y2839" t="str">
        <f t="shared" si="449"/>
        <v>Healthy</v>
      </c>
    </row>
    <row r="2840" spans="1:25" x14ac:dyDescent="0.35">
      <c r="A2840" t="s">
        <v>71</v>
      </c>
      <c r="B2840" t="s">
        <v>72</v>
      </c>
      <c r="C2840" t="s">
        <v>73</v>
      </c>
      <c r="D2840" t="s">
        <v>430</v>
      </c>
      <c r="E2840">
        <v>80895493</v>
      </c>
      <c r="F2840" t="s">
        <v>2003</v>
      </c>
      <c r="G2840" s="3">
        <v>47207</v>
      </c>
      <c r="H2840">
        <v>36</v>
      </c>
      <c r="I2840">
        <v>94</v>
      </c>
      <c r="J2840">
        <v>1</v>
      </c>
      <c r="K2840" s="4">
        <v>1900.05</v>
      </c>
      <c r="L2840" s="4">
        <v>1185.2857142857142</v>
      </c>
      <c r="M2840" s="4">
        <v>8.4367843798963484E-4</v>
      </c>
      <c r="N2840" t="s">
        <v>25</v>
      </c>
      <c r="O2840" t="str">
        <f t="shared" si="440"/>
        <v>Low</v>
      </c>
      <c r="P2840" t="str">
        <f t="shared" si="441"/>
        <v>Low</v>
      </c>
      <c r="Q2840" t="str">
        <f t="shared" si="442"/>
        <v>Low</v>
      </c>
      <c r="R2840" t="s">
        <v>3317</v>
      </c>
      <c r="S2840" s="4">
        <f t="shared" ca="1" si="443"/>
        <v>1010</v>
      </c>
      <c r="T2840">
        <f t="shared" si="444"/>
        <v>1</v>
      </c>
      <c r="U2840">
        <f t="shared" si="445"/>
        <v>1</v>
      </c>
      <c r="V2840">
        <f t="shared" si="446"/>
        <v>1</v>
      </c>
      <c r="W2840">
        <f t="shared" si="447"/>
        <v>1</v>
      </c>
      <c r="X2840">
        <f t="shared" si="448"/>
        <v>0.99999999999999989</v>
      </c>
      <c r="Y2840" t="str">
        <f t="shared" si="449"/>
        <v>Healthy</v>
      </c>
    </row>
    <row r="2841" spans="1:25" x14ac:dyDescent="0.35">
      <c r="A2841" t="s">
        <v>71</v>
      </c>
      <c r="B2841" t="s">
        <v>72</v>
      </c>
      <c r="C2841" t="s">
        <v>73</v>
      </c>
      <c r="D2841" t="s">
        <v>167</v>
      </c>
      <c r="E2841">
        <v>80895494</v>
      </c>
      <c r="F2841" t="s">
        <v>2004</v>
      </c>
      <c r="G2841" s="3">
        <v>47258</v>
      </c>
      <c r="H2841">
        <v>36</v>
      </c>
      <c r="I2841">
        <v>99</v>
      </c>
      <c r="J2841">
        <v>135</v>
      </c>
      <c r="K2841" s="4">
        <v>256506.75</v>
      </c>
      <c r="L2841" s="4">
        <v>1367</v>
      </c>
      <c r="M2841" s="4">
        <v>9.8756400877834674E-2</v>
      </c>
      <c r="N2841" t="s">
        <v>25</v>
      </c>
      <c r="O2841" t="str">
        <f t="shared" si="440"/>
        <v>Low</v>
      </c>
      <c r="P2841" t="str">
        <f t="shared" si="441"/>
        <v>Low</v>
      </c>
      <c r="Q2841" t="str">
        <f t="shared" si="442"/>
        <v>Low</v>
      </c>
      <c r="R2841" t="s">
        <v>3309</v>
      </c>
      <c r="S2841" s="4">
        <f t="shared" ca="1" si="443"/>
        <v>1061</v>
      </c>
      <c r="T2841">
        <f t="shared" si="444"/>
        <v>1</v>
      </c>
      <c r="U2841">
        <f t="shared" si="445"/>
        <v>1</v>
      </c>
      <c r="V2841">
        <f t="shared" si="446"/>
        <v>1</v>
      </c>
      <c r="W2841">
        <f t="shared" si="447"/>
        <v>3</v>
      </c>
      <c r="X2841">
        <f t="shared" si="448"/>
        <v>1.2</v>
      </c>
      <c r="Y2841" t="str">
        <f t="shared" si="449"/>
        <v>Healthy</v>
      </c>
    </row>
    <row r="2842" spans="1:25" x14ac:dyDescent="0.35">
      <c r="A2842" t="s">
        <v>71</v>
      </c>
      <c r="B2842" t="s">
        <v>72</v>
      </c>
      <c r="C2842" t="s">
        <v>73</v>
      </c>
      <c r="D2842" t="s">
        <v>167</v>
      </c>
      <c r="E2842">
        <v>80895494</v>
      </c>
      <c r="F2842" t="s">
        <v>2004</v>
      </c>
      <c r="G2842" s="3">
        <v>47169</v>
      </c>
      <c r="H2842">
        <v>36</v>
      </c>
      <c r="I2842">
        <v>90</v>
      </c>
      <c r="J2842">
        <v>21</v>
      </c>
      <c r="K2842" s="4">
        <v>39901.050000000003</v>
      </c>
      <c r="L2842" s="4">
        <v>1367</v>
      </c>
      <c r="M2842" s="4">
        <v>1.5362106803218726E-2</v>
      </c>
      <c r="N2842" t="s">
        <v>25</v>
      </c>
      <c r="O2842" t="str">
        <f t="shared" si="440"/>
        <v>Low</v>
      </c>
      <c r="P2842" t="str">
        <f t="shared" si="441"/>
        <v>Low</v>
      </c>
      <c r="Q2842" t="str">
        <f t="shared" si="442"/>
        <v>Low</v>
      </c>
      <c r="R2842" t="s">
        <v>3317</v>
      </c>
      <c r="S2842" s="4">
        <f t="shared" ca="1" si="443"/>
        <v>972</v>
      </c>
      <c r="T2842">
        <f t="shared" si="444"/>
        <v>1</v>
      </c>
      <c r="U2842">
        <f t="shared" si="445"/>
        <v>1</v>
      </c>
      <c r="V2842">
        <f t="shared" si="446"/>
        <v>1</v>
      </c>
      <c r="W2842">
        <f t="shared" si="447"/>
        <v>1</v>
      </c>
      <c r="X2842">
        <f t="shared" si="448"/>
        <v>0.99999999999999989</v>
      </c>
      <c r="Y2842" t="str">
        <f t="shared" si="449"/>
        <v>Healthy</v>
      </c>
    </row>
    <row r="2843" spans="1:25" x14ac:dyDescent="0.35">
      <c r="A2843" t="s">
        <v>71</v>
      </c>
      <c r="B2843" t="s">
        <v>72</v>
      </c>
      <c r="C2843" t="s">
        <v>73</v>
      </c>
      <c r="D2843" t="s">
        <v>167</v>
      </c>
      <c r="E2843">
        <v>80895494</v>
      </c>
      <c r="F2843" t="s">
        <v>2004</v>
      </c>
      <c r="G2843" s="3">
        <v>47039</v>
      </c>
      <c r="H2843">
        <v>36</v>
      </c>
      <c r="I2843">
        <v>78</v>
      </c>
      <c r="J2843">
        <v>128</v>
      </c>
      <c r="K2843" s="4">
        <v>243206.39999999999</v>
      </c>
      <c r="L2843" s="4">
        <v>1367</v>
      </c>
      <c r="M2843" s="4">
        <v>9.3635698610095103E-2</v>
      </c>
      <c r="N2843" t="s">
        <v>25</v>
      </c>
      <c r="O2843" t="str">
        <f t="shared" si="440"/>
        <v>Low</v>
      </c>
      <c r="P2843" t="str">
        <f t="shared" si="441"/>
        <v>Low</v>
      </c>
      <c r="Q2843" t="str">
        <f t="shared" si="442"/>
        <v>Low</v>
      </c>
      <c r="R2843" t="s">
        <v>3309</v>
      </c>
      <c r="S2843" s="4">
        <f t="shared" ca="1" si="443"/>
        <v>842</v>
      </c>
      <c r="T2843">
        <f t="shared" si="444"/>
        <v>1</v>
      </c>
      <c r="U2843">
        <f t="shared" si="445"/>
        <v>1</v>
      </c>
      <c r="V2843">
        <f t="shared" si="446"/>
        <v>1</v>
      </c>
      <c r="W2843">
        <f t="shared" si="447"/>
        <v>3</v>
      </c>
      <c r="X2843">
        <f t="shared" si="448"/>
        <v>1.2</v>
      </c>
      <c r="Y2843" t="str">
        <f t="shared" si="449"/>
        <v>Healthy</v>
      </c>
    </row>
    <row r="2844" spans="1:25" x14ac:dyDescent="0.35">
      <c r="A2844" t="s">
        <v>71</v>
      </c>
      <c r="B2844" t="s">
        <v>72</v>
      </c>
      <c r="C2844" t="s">
        <v>73</v>
      </c>
      <c r="D2844" t="s">
        <v>167</v>
      </c>
      <c r="E2844">
        <v>80895494</v>
      </c>
      <c r="F2844" t="s">
        <v>2004</v>
      </c>
      <c r="G2844" s="3">
        <v>47272</v>
      </c>
      <c r="H2844">
        <v>36</v>
      </c>
      <c r="I2844">
        <v>100</v>
      </c>
      <c r="J2844">
        <v>133</v>
      </c>
      <c r="K2844" s="4">
        <v>252706.65</v>
      </c>
      <c r="L2844" s="4">
        <v>1367</v>
      </c>
      <c r="M2844" s="4">
        <v>9.7293343087051939E-2</v>
      </c>
      <c r="N2844" t="s">
        <v>25</v>
      </c>
      <c r="O2844" t="str">
        <f t="shared" si="440"/>
        <v>Low</v>
      </c>
      <c r="P2844" t="str">
        <f t="shared" si="441"/>
        <v>Low</v>
      </c>
      <c r="Q2844" t="str">
        <f t="shared" si="442"/>
        <v>Low</v>
      </c>
      <c r="R2844" t="s">
        <v>3309</v>
      </c>
      <c r="S2844" s="4">
        <f t="shared" ca="1" si="443"/>
        <v>1075</v>
      </c>
      <c r="T2844">
        <f t="shared" si="444"/>
        <v>1</v>
      </c>
      <c r="U2844">
        <f t="shared" si="445"/>
        <v>1</v>
      </c>
      <c r="V2844">
        <f t="shared" si="446"/>
        <v>1</v>
      </c>
      <c r="W2844">
        <f t="shared" si="447"/>
        <v>3</v>
      </c>
      <c r="X2844">
        <f t="shared" si="448"/>
        <v>1.2</v>
      </c>
      <c r="Y2844" t="str">
        <f t="shared" si="449"/>
        <v>Healthy</v>
      </c>
    </row>
    <row r="2845" spans="1:25" x14ac:dyDescent="0.35">
      <c r="A2845" t="s">
        <v>71</v>
      </c>
      <c r="B2845" t="s">
        <v>72</v>
      </c>
      <c r="C2845" t="s">
        <v>73</v>
      </c>
      <c r="D2845" t="s">
        <v>167</v>
      </c>
      <c r="E2845">
        <v>80895494</v>
      </c>
      <c r="F2845" t="s">
        <v>2004</v>
      </c>
      <c r="G2845" s="3">
        <v>47232</v>
      </c>
      <c r="H2845">
        <v>36</v>
      </c>
      <c r="I2845">
        <v>96</v>
      </c>
      <c r="J2845">
        <v>131</v>
      </c>
      <c r="K2845" s="4">
        <v>248906.55</v>
      </c>
      <c r="L2845" s="4">
        <v>1367</v>
      </c>
      <c r="M2845" s="4">
        <v>9.5830285296269205E-2</v>
      </c>
      <c r="N2845" t="s">
        <v>25</v>
      </c>
      <c r="O2845" t="str">
        <f t="shared" si="440"/>
        <v>Low</v>
      </c>
      <c r="P2845" t="str">
        <f t="shared" si="441"/>
        <v>Low</v>
      </c>
      <c r="Q2845" t="str">
        <f t="shared" si="442"/>
        <v>Low</v>
      </c>
      <c r="R2845" t="s">
        <v>3309</v>
      </c>
      <c r="S2845" s="4">
        <f t="shared" ca="1" si="443"/>
        <v>1035</v>
      </c>
      <c r="T2845">
        <f t="shared" si="444"/>
        <v>1</v>
      </c>
      <c r="U2845">
        <f t="shared" si="445"/>
        <v>1</v>
      </c>
      <c r="V2845">
        <f t="shared" si="446"/>
        <v>1</v>
      </c>
      <c r="W2845">
        <f t="shared" si="447"/>
        <v>3</v>
      </c>
      <c r="X2845">
        <f t="shared" si="448"/>
        <v>1.2</v>
      </c>
      <c r="Y2845" t="str">
        <f t="shared" si="449"/>
        <v>Healthy</v>
      </c>
    </row>
    <row r="2846" spans="1:25" x14ac:dyDescent="0.35">
      <c r="A2846" t="s">
        <v>71</v>
      </c>
      <c r="B2846" t="s">
        <v>72</v>
      </c>
      <c r="C2846" t="s">
        <v>73</v>
      </c>
      <c r="D2846" t="s">
        <v>167</v>
      </c>
      <c r="E2846">
        <v>80895494</v>
      </c>
      <c r="F2846" t="s">
        <v>2004</v>
      </c>
      <c r="G2846" s="3">
        <v>47217</v>
      </c>
      <c r="H2846">
        <v>36</v>
      </c>
      <c r="I2846">
        <v>95</v>
      </c>
      <c r="J2846">
        <v>8</v>
      </c>
      <c r="K2846" s="4">
        <v>15200.4</v>
      </c>
      <c r="L2846" s="4">
        <v>1367</v>
      </c>
      <c r="M2846" s="4">
        <v>5.8522311631309439E-3</v>
      </c>
      <c r="N2846" t="s">
        <v>25</v>
      </c>
      <c r="O2846" t="str">
        <f t="shared" si="440"/>
        <v>Low</v>
      </c>
      <c r="P2846" t="str">
        <f t="shared" si="441"/>
        <v>Low</v>
      </c>
      <c r="Q2846" t="str">
        <f t="shared" si="442"/>
        <v>Low</v>
      </c>
      <c r="R2846" t="s">
        <v>3317</v>
      </c>
      <c r="S2846" s="4">
        <f t="shared" ca="1" si="443"/>
        <v>1020</v>
      </c>
      <c r="T2846">
        <f t="shared" si="444"/>
        <v>1</v>
      </c>
      <c r="U2846">
        <f t="shared" si="445"/>
        <v>1</v>
      </c>
      <c r="V2846">
        <f t="shared" si="446"/>
        <v>1</v>
      </c>
      <c r="W2846">
        <f t="shared" si="447"/>
        <v>1</v>
      </c>
      <c r="X2846">
        <f t="shared" si="448"/>
        <v>0.99999999999999989</v>
      </c>
      <c r="Y2846" t="str">
        <f t="shared" si="449"/>
        <v>Healthy</v>
      </c>
    </row>
    <row r="2847" spans="1:25" x14ac:dyDescent="0.35">
      <c r="A2847" t="s">
        <v>20</v>
      </c>
      <c r="B2847" t="s">
        <v>21</v>
      </c>
      <c r="C2847" t="s">
        <v>1155</v>
      </c>
      <c r="D2847" t="s">
        <v>2005</v>
      </c>
      <c r="E2847">
        <v>80718793</v>
      </c>
      <c r="F2847" t="s">
        <v>2006</v>
      </c>
      <c r="G2847" s="3">
        <v>48251</v>
      </c>
      <c r="H2847">
        <v>79</v>
      </c>
      <c r="I2847">
        <v>87</v>
      </c>
      <c r="J2847">
        <v>2</v>
      </c>
      <c r="K2847" s="4">
        <v>1653.46</v>
      </c>
      <c r="L2847" s="4">
        <v>121.28571428571429</v>
      </c>
      <c r="M2847" s="4">
        <v>1.6489988221436984E-2</v>
      </c>
      <c r="N2847" t="s">
        <v>25</v>
      </c>
      <c r="O2847" t="str">
        <f t="shared" si="440"/>
        <v>Low</v>
      </c>
      <c r="P2847" t="str">
        <f t="shared" si="441"/>
        <v>Low</v>
      </c>
      <c r="Q2847" t="str">
        <f t="shared" si="442"/>
        <v>Low</v>
      </c>
      <c r="R2847" t="s">
        <v>3317</v>
      </c>
      <c r="S2847" s="4">
        <f t="shared" ca="1" si="443"/>
        <v>2054</v>
      </c>
      <c r="T2847">
        <f t="shared" si="444"/>
        <v>1</v>
      </c>
      <c r="U2847">
        <f t="shared" si="445"/>
        <v>1</v>
      </c>
      <c r="V2847">
        <f t="shared" si="446"/>
        <v>1</v>
      </c>
      <c r="W2847">
        <f t="shared" si="447"/>
        <v>1</v>
      </c>
      <c r="X2847">
        <f t="shared" si="448"/>
        <v>0.99999999999999989</v>
      </c>
      <c r="Y2847" t="str">
        <f t="shared" si="449"/>
        <v>Healthy</v>
      </c>
    </row>
    <row r="2848" spans="1:25" x14ac:dyDescent="0.35">
      <c r="A2848" t="s">
        <v>71</v>
      </c>
      <c r="B2848" t="s">
        <v>72</v>
      </c>
      <c r="C2848" t="s">
        <v>73</v>
      </c>
      <c r="D2848" t="s">
        <v>97</v>
      </c>
      <c r="E2848">
        <v>80895469</v>
      </c>
      <c r="F2848" t="s">
        <v>2007</v>
      </c>
      <c r="G2848" s="3">
        <v>47236</v>
      </c>
      <c r="H2848">
        <v>36</v>
      </c>
      <c r="I2848">
        <v>97</v>
      </c>
      <c r="J2848">
        <v>3</v>
      </c>
      <c r="K2848" s="4">
        <v>2015.94</v>
      </c>
      <c r="L2848" s="4">
        <v>532</v>
      </c>
      <c r="M2848" s="4">
        <v>5.6390977443609019E-3</v>
      </c>
      <c r="N2848" t="s">
        <v>25</v>
      </c>
      <c r="O2848" t="str">
        <f t="shared" si="440"/>
        <v>Low</v>
      </c>
      <c r="P2848" t="str">
        <f t="shared" si="441"/>
        <v>Low</v>
      </c>
      <c r="Q2848" t="str">
        <f t="shared" si="442"/>
        <v>Low</v>
      </c>
      <c r="R2848" t="s">
        <v>3317</v>
      </c>
      <c r="S2848" s="4">
        <f t="shared" ca="1" si="443"/>
        <v>1039</v>
      </c>
      <c r="T2848">
        <f t="shared" si="444"/>
        <v>1</v>
      </c>
      <c r="U2848">
        <f t="shared" si="445"/>
        <v>1</v>
      </c>
      <c r="V2848">
        <f t="shared" si="446"/>
        <v>1</v>
      </c>
      <c r="W2848">
        <f t="shared" si="447"/>
        <v>1</v>
      </c>
      <c r="X2848">
        <f t="shared" si="448"/>
        <v>0.99999999999999989</v>
      </c>
      <c r="Y2848" t="str">
        <f t="shared" si="449"/>
        <v>Healthy</v>
      </c>
    </row>
    <row r="2849" spans="1:25" x14ac:dyDescent="0.35">
      <c r="A2849" t="s">
        <v>71</v>
      </c>
      <c r="B2849" t="s">
        <v>72</v>
      </c>
      <c r="C2849" t="s">
        <v>73</v>
      </c>
      <c r="D2849" t="s">
        <v>97</v>
      </c>
      <c r="E2849">
        <v>80895469</v>
      </c>
      <c r="F2849" t="s">
        <v>2007</v>
      </c>
      <c r="G2849" s="3">
        <v>47279</v>
      </c>
      <c r="H2849">
        <v>36</v>
      </c>
      <c r="I2849">
        <v>100</v>
      </c>
      <c r="J2849">
        <v>84</v>
      </c>
      <c r="K2849" s="4">
        <v>56446.32</v>
      </c>
      <c r="L2849" s="4">
        <v>532</v>
      </c>
      <c r="M2849" s="4">
        <v>0.15789473684210525</v>
      </c>
      <c r="N2849" t="s">
        <v>25</v>
      </c>
      <c r="O2849" t="str">
        <f t="shared" si="440"/>
        <v>Low</v>
      </c>
      <c r="P2849" t="str">
        <f t="shared" si="441"/>
        <v>Low</v>
      </c>
      <c r="Q2849" t="str">
        <f t="shared" si="442"/>
        <v>Low</v>
      </c>
      <c r="R2849" t="s">
        <v>3317</v>
      </c>
      <c r="S2849" s="4">
        <f t="shared" ca="1" si="443"/>
        <v>1082</v>
      </c>
      <c r="T2849">
        <f t="shared" si="444"/>
        <v>1</v>
      </c>
      <c r="U2849">
        <f t="shared" si="445"/>
        <v>1</v>
      </c>
      <c r="V2849">
        <f t="shared" si="446"/>
        <v>1</v>
      </c>
      <c r="W2849">
        <f t="shared" si="447"/>
        <v>1</v>
      </c>
      <c r="X2849">
        <f t="shared" si="448"/>
        <v>0.99999999999999989</v>
      </c>
      <c r="Y2849" t="str">
        <f t="shared" si="449"/>
        <v>Healthy</v>
      </c>
    </row>
    <row r="2850" spans="1:25" x14ac:dyDescent="0.35">
      <c r="A2850" t="s">
        <v>71</v>
      </c>
      <c r="B2850" t="s">
        <v>72</v>
      </c>
      <c r="C2850" t="s">
        <v>73</v>
      </c>
      <c r="D2850" t="s">
        <v>97</v>
      </c>
      <c r="E2850">
        <v>80895469</v>
      </c>
      <c r="F2850" t="s">
        <v>2007</v>
      </c>
      <c r="G2850" s="3">
        <v>47266</v>
      </c>
      <c r="H2850">
        <v>36</v>
      </c>
      <c r="I2850">
        <v>99</v>
      </c>
      <c r="J2850">
        <v>264</v>
      </c>
      <c r="K2850" s="4">
        <v>177402.72</v>
      </c>
      <c r="L2850" s="4">
        <v>532</v>
      </c>
      <c r="M2850" s="4">
        <v>0.49624060150375937</v>
      </c>
      <c r="N2850" t="s">
        <v>25</v>
      </c>
      <c r="O2850" t="str">
        <f t="shared" si="440"/>
        <v>Low</v>
      </c>
      <c r="P2850" t="str">
        <f t="shared" si="441"/>
        <v>Low</v>
      </c>
      <c r="Q2850" t="str">
        <f t="shared" si="442"/>
        <v>Low</v>
      </c>
      <c r="R2850" t="s">
        <v>3309</v>
      </c>
      <c r="S2850" s="4">
        <f t="shared" ca="1" si="443"/>
        <v>1069</v>
      </c>
      <c r="T2850">
        <f t="shared" si="444"/>
        <v>1</v>
      </c>
      <c r="U2850">
        <f t="shared" si="445"/>
        <v>1</v>
      </c>
      <c r="V2850">
        <f t="shared" si="446"/>
        <v>1</v>
      </c>
      <c r="W2850">
        <f t="shared" si="447"/>
        <v>3</v>
      </c>
      <c r="X2850">
        <f t="shared" si="448"/>
        <v>1.2</v>
      </c>
      <c r="Y2850" t="str">
        <f t="shared" si="449"/>
        <v>Healthy</v>
      </c>
    </row>
    <row r="2851" spans="1:25" x14ac:dyDescent="0.35">
      <c r="A2851" t="s">
        <v>71</v>
      </c>
      <c r="B2851" t="s">
        <v>72</v>
      </c>
      <c r="C2851" t="s">
        <v>73</v>
      </c>
      <c r="D2851" t="s">
        <v>97</v>
      </c>
      <c r="E2851">
        <v>80895469</v>
      </c>
      <c r="F2851" t="s">
        <v>2007</v>
      </c>
      <c r="G2851" s="3">
        <v>47186</v>
      </c>
      <c r="H2851">
        <v>36</v>
      </c>
      <c r="I2851">
        <v>92</v>
      </c>
      <c r="J2851">
        <v>41</v>
      </c>
      <c r="K2851" s="4">
        <v>27551.18</v>
      </c>
      <c r="L2851" s="4">
        <v>532</v>
      </c>
      <c r="M2851" s="4">
        <v>7.7067669172932327E-2</v>
      </c>
      <c r="N2851" t="s">
        <v>25</v>
      </c>
      <c r="O2851" t="str">
        <f t="shared" si="440"/>
        <v>Low</v>
      </c>
      <c r="P2851" t="str">
        <f t="shared" si="441"/>
        <v>Low</v>
      </c>
      <c r="Q2851" t="str">
        <f t="shared" si="442"/>
        <v>Low</v>
      </c>
      <c r="R2851" t="s">
        <v>3317</v>
      </c>
      <c r="S2851" s="4">
        <f t="shared" ca="1" si="443"/>
        <v>989</v>
      </c>
      <c r="T2851">
        <f t="shared" si="444"/>
        <v>1</v>
      </c>
      <c r="U2851">
        <f t="shared" si="445"/>
        <v>1</v>
      </c>
      <c r="V2851">
        <f t="shared" si="446"/>
        <v>1</v>
      </c>
      <c r="W2851">
        <f t="shared" si="447"/>
        <v>1</v>
      </c>
      <c r="X2851">
        <f t="shared" si="448"/>
        <v>0.99999999999999989</v>
      </c>
      <c r="Y2851" t="str">
        <f t="shared" si="449"/>
        <v>Healthy</v>
      </c>
    </row>
    <row r="2852" spans="1:25" x14ac:dyDescent="0.35">
      <c r="A2852" t="s">
        <v>71</v>
      </c>
      <c r="B2852" t="s">
        <v>72</v>
      </c>
      <c r="C2852" t="s">
        <v>73</v>
      </c>
      <c r="D2852" t="s">
        <v>97</v>
      </c>
      <c r="E2852">
        <v>80895469</v>
      </c>
      <c r="F2852" t="s">
        <v>2007</v>
      </c>
      <c r="G2852" s="3">
        <v>47240</v>
      </c>
      <c r="H2852">
        <v>36</v>
      </c>
      <c r="I2852">
        <v>97</v>
      </c>
      <c r="J2852">
        <v>3</v>
      </c>
      <c r="K2852" s="4">
        <v>2015.94</v>
      </c>
      <c r="L2852" s="4">
        <v>532</v>
      </c>
      <c r="M2852" s="4">
        <v>5.6390977443609019E-3</v>
      </c>
      <c r="N2852" t="s">
        <v>25</v>
      </c>
      <c r="O2852" t="str">
        <f t="shared" si="440"/>
        <v>Low</v>
      </c>
      <c r="P2852" t="str">
        <f t="shared" si="441"/>
        <v>Low</v>
      </c>
      <c r="Q2852" t="str">
        <f t="shared" si="442"/>
        <v>Low</v>
      </c>
      <c r="R2852" t="s">
        <v>3317</v>
      </c>
      <c r="S2852" s="4">
        <f t="shared" ca="1" si="443"/>
        <v>1043</v>
      </c>
      <c r="T2852">
        <f t="shared" si="444"/>
        <v>1</v>
      </c>
      <c r="U2852">
        <f t="shared" si="445"/>
        <v>1</v>
      </c>
      <c r="V2852">
        <f t="shared" si="446"/>
        <v>1</v>
      </c>
      <c r="W2852">
        <f t="shared" si="447"/>
        <v>1</v>
      </c>
      <c r="X2852">
        <f t="shared" si="448"/>
        <v>0.99999999999999989</v>
      </c>
      <c r="Y2852" t="str">
        <f t="shared" si="449"/>
        <v>Healthy</v>
      </c>
    </row>
    <row r="2853" spans="1:25" x14ac:dyDescent="0.35">
      <c r="A2853" t="s">
        <v>71</v>
      </c>
      <c r="B2853" t="s">
        <v>72</v>
      </c>
      <c r="C2853" t="s">
        <v>73</v>
      </c>
      <c r="D2853" t="s">
        <v>1021</v>
      </c>
      <c r="E2853">
        <v>80895495</v>
      </c>
      <c r="F2853" t="s">
        <v>2008</v>
      </c>
      <c r="G2853" s="3">
        <v>47267</v>
      </c>
      <c r="H2853">
        <v>36</v>
      </c>
      <c r="I2853">
        <v>100</v>
      </c>
      <c r="J2853">
        <v>68</v>
      </c>
      <c r="K2853" s="4">
        <v>193782.32</v>
      </c>
      <c r="L2853" s="4">
        <v>156</v>
      </c>
      <c r="M2853" s="4">
        <v>0.4358974358974359</v>
      </c>
      <c r="N2853" t="s">
        <v>25</v>
      </c>
      <c r="O2853" t="str">
        <f t="shared" si="440"/>
        <v>Low</v>
      </c>
      <c r="P2853" t="str">
        <f t="shared" si="441"/>
        <v>Low</v>
      </c>
      <c r="Q2853" t="str">
        <f t="shared" si="442"/>
        <v>Low</v>
      </c>
      <c r="R2853" t="s">
        <v>3309</v>
      </c>
      <c r="S2853" s="4">
        <f t="shared" ca="1" si="443"/>
        <v>1070</v>
      </c>
      <c r="T2853">
        <f t="shared" si="444"/>
        <v>1</v>
      </c>
      <c r="U2853">
        <f t="shared" si="445"/>
        <v>1</v>
      </c>
      <c r="V2853">
        <f t="shared" si="446"/>
        <v>1</v>
      </c>
      <c r="W2853">
        <f t="shared" si="447"/>
        <v>3</v>
      </c>
      <c r="X2853">
        <f t="shared" si="448"/>
        <v>1.2</v>
      </c>
      <c r="Y2853" t="str">
        <f t="shared" si="449"/>
        <v>Healthy</v>
      </c>
    </row>
    <row r="2854" spans="1:25" x14ac:dyDescent="0.35">
      <c r="A2854" t="s">
        <v>71</v>
      </c>
      <c r="B2854" t="s">
        <v>72</v>
      </c>
      <c r="C2854" t="s">
        <v>73</v>
      </c>
      <c r="D2854" t="s">
        <v>1021</v>
      </c>
      <c r="E2854">
        <v>80895495</v>
      </c>
      <c r="F2854" t="s">
        <v>2008</v>
      </c>
      <c r="G2854" s="3">
        <v>47235</v>
      </c>
      <c r="H2854">
        <v>36</v>
      </c>
      <c r="I2854">
        <v>97</v>
      </c>
      <c r="J2854">
        <v>44</v>
      </c>
      <c r="K2854" s="4">
        <v>125388.56</v>
      </c>
      <c r="L2854" s="4">
        <v>156</v>
      </c>
      <c r="M2854" s="4">
        <v>0.28205128205128205</v>
      </c>
      <c r="N2854" t="s">
        <v>25</v>
      </c>
      <c r="O2854" t="str">
        <f t="shared" si="440"/>
        <v>Low</v>
      </c>
      <c r="P2854" t="str">
        <f t="shared" si="441"/>
        <v>Low</v>
      </c>
      <c r="Q2854" t="str">
        <f t="shared" si="442"/>
        <v>Low</v>
      </c>
      <c r="R2854" t="s">
        <v>3310</v>
      </c>
      <c r="S2854" s="4">
        <f t="shared" ca="1" si="443"/>
        <v>1038</v>
      </c>
      <c r="T2854">
        <f t="shared" si="444"/>
        <v>1</v>
      </c>
      <c r="U2854">
        <f t="shared" si="445"/>
        <v>1</v>
      </c>
      <c r="V2854">
        <f t="shared" si="446"/>
        <v>1</v>
      </c>
      <c r="W2854">
        <f t="shared" si="447"/>
        <v>2</v>
      </c>
      <c r="X2854">
        <f t="shared" si="448"/>
        <v>1.0999999999999999</v>
      </c>
      <c r="Y2854" t="str">
        <f t="shared" si="449"/>
        <v>Healthy</v>
      </c>
    </row>
    <row r="2855" spans="1:25" x14ac:dyDescent="0.35">
      <c r="A2855" t="s">
        <v>71</v>
      </c>
      <c r="B2855" t="s">
        <v>72</v>
      </c>
      <c r="C2855" t="s">
        <v>73</v>
      </c>
      <c r="D2855" t="s">
        <v>1021</v>
      </c>
      <c r="E2855">
        <v>80895495</v>
      </c>
      <c r="F2855" t="s">
        <v>2008</v>
      </c>
      <c r="G2855" s="3">
        <v>47222</v>
      </c>
      <c r="H2855">
        <v>36</v>
      </c>
      <c r="I2855">
        <v>95</v>
      </c>
      <c r="J2855">
        <v>32</v>
      </c>
      <c r="K2855" s="4">
        <v>91191.679999999993</v>
      </c>
      <c r="L2855" s="4">
        <v>156</v>
      </c>
      <c r="M2855" s="4">
        <v>0.20512820512820512</v>
      </c>
      <c r="N2855" t="s">
        <v>25</v>
      </c>
      <c r="O2855" t="str">
        <f t="shared" si="440"/>
        <v>Low</v>
      </c>
      <c r="P2855" t="str">
        <f t="shared" si="441"/>
        <v>Low</v>
      </c>
      <c r="Q2855" t="str">
        <f t="shared" si="442"/>
        <v>Low</v>
      </c>
      <c r="R2855" t="s">
        <v>3310</v>
      </c>
      <c r="S2855" s="4">
        <f t="shared" ca="1" si="443"/>
        <v>1025</v>
      </c>
      <c r="T2855">
        <f t="shared" si="444"/>
        <v>1</v>
      </c>
      <c r="U2855">
        <f t="shared" si="445"/>
        <v>1</v>
      </c>
      <c r="V2855">
        <f t="shared" si="446"/>
        <v>1</v>
      </c>
      <c r="W2855">
        <f t="shared" si="447"/>
        <v>2</v>
      </c>
      <c r="X2855">
        <f t="shared" si="448"/>
        <v>1.0999999999999999</v>
      </c>
      <c r="Y2855" t="str">
        <f t="shared" si="449"/>
        <v>Healthy</v>
      </c>
    </row>
    <row r="2856" spans="1:25" x14ac:dyDescent="0.35">
      <c r="A2856" t="s">
        <v>71</v>
      </c>
      <c r="B2856" t="s">
        <v>72</v>
      </c>
      <c r="C2856" t="s">
        <v>73</v>
      </c>
      <c r="D2856" t="s">
        <v>1021</v>
      </c>
      <c r="E2856">
        <v>80895495</v>
      </c>
      <c r="F2856" t="s">
        <v>2008</v>
      </c>
      <c r="G2856" s="3">
        <v>47222</v>
      </c>
      <c r="H2856">
        <v>36</v>
      </c>
      <c r="I2856">
        <v>95</v>
      </c>
      <c r="J2856">
        <v>31</v>
      </c>
      <c r="K2856" s="4">
        <v>88341.94</v>
      </c>
      <c r="L2856" s="4">
        <v>156</v>
      </c>
      <c r="M2856" s="4">
        <v>0.19871794871794871</v>
      </c>
      <c r="N2856" t="s">
        <v>25</v>
      </c>
      <c r="O2856" t="str">
        <f t="shared" si="440"/>
        <v>Low</v>
      </c>
      <c r="P2856" t="str">
        <f t="shared" si="441"/>
        <v>Low</v>
      </c>
      <c r="Q2856" t="str">
        <f t="shared" si="442"/>
        <v>Low</v>
      </c>
      <c r="R2856" t="s">
        <v>3310</v>
      </c>
      <c r="S2856" s="4">
        <f t="shared" ca="1" si="443"/>
        <v>1025</v>
      </c>
      <c r="T2856">
        <f t="shared" si="444"/>
        <v>1</v>
      </c>
      <c r="U2856">
        <f t="shared" si="445"/>
        <v>1</v>
      </c>
      <c r="V2856">
        <f t="shared" si="446"/>
        <v>1</v>
      </c>
      <c r="W2856">
        <f t="shared" si="447"/>
        <v>2</v>
      </c>
      <c r="X2856">
        <f t="shared" si="448"/>
        <v>1.0999999999999999</v>
      </c>
      <c r="Y2856" t="str">
        <f t="shared" si="449"/>
        <v>Healthy</v>
      </c>
    </row>
    <row r="2857" spans="1:25" x14ac:dyDescent="0.35">
      <c r="A2857" t="s">
        <v>71</v>
      </c>
      <c r="B2857" t="s">
        <v>72</v>
      </c>
      <c r="C2857" t="s">
        <v>73</v>
      </c>
      <c r="D2857" t="s">
        <v>2009</v>
      </c>
      <c r="E2857">
        <v>80895470</v>
      </c>
      <c r="F2857" t="s">
        <v>2010</v>
      </c>
      <c r="G2857" s="3">
        <v>47202</v>
      </c>
      <c r="H2857">
        <v>36</v>
      </c>
      <c r="I2857">
        <v>94</v>
      </c>
      <c r="J2857">
        <v>48</v>
      </c>
      <c r="K2857" s="4">
        <v>32255.040000000001</v>
      </c>
      <c r="L2857" s="4">
        <v>1269.8571428571429</v>
      </c>
      <c r="M2857" s="4">
        <v>3.7799527505906177E-2</v>
      </c>
      <c r="N2857" t="s">
        <v>25</v>
      </c>
      <c r="O2857" t="str">
        <f t="shared" si="440"/>
        <v>Low</v>
      </c>
      <c r="P2857" t="str">
        <f t="shared" si="441"/>
        <v>Low</v>
      </c>
      <c r="Q2857" t="str">
        <f t="shared" si="442"/>
        <v>Low</v>
      </c>
      <c r="R2857" t="s">
        <v>3317</v>
      </c>
      <c r="S2857" s="4">
        <f t="shared" ca="1" si="443"/>
        <v>1005</v>
      </c>
      <c r="T2857">
        <f t="shared" si="444"/>
        <v>1</v>
      </c>
      <c r="U2857">
        <f t="shared" si="445"/>
        <v>1</v>
      </c>
      <c r="V2857">
        <f t="shared" si="446"/>
        <v>1</v>
      </c>
      <c r="W2857">
        <f t="shared" si="447"/>
        <v>1</v>
      </c>
      <c r="X2857">
        <f t="shared" si="448"/>
        <v>0.99999999999999989</v>
      </c>
      <c r="Y2857" t="str">
        <f t="shared" si="449"/>
        <v>Healthy</v>
      </c>
    </row>
    <row r="2858" spans="1:25" x14ac:dyDescent="0.35">
      <c r="A2858" t="s">
        <v>41</v>
      </c>
      <c r="B2858" t="s">
        <v>54</v>
      </c>
      <c r="C2858" t="s">
        <v>55</v>
      </c>
      <c r="D2858" t="s">
        <v>1170</v>
      </c>
      <c r="E2858">
        <v>80751140</v>
      </c>
      <c r="F2858" t="s">
        <v>2011</v>
      </c>
      <c r="G2858" s="3">
        <v>46122</v>
      </c>
      <c r="H2858">
        <v>36</v>
      </c>
      <c r="I2858">
        <v>0</v>
      </c>
      <c r="J2858">
        <v>4</v>
      </c>
      <c r="K2858" s="4">
        <v>3273.48</v>
      </c>
      <c r="L2858" s="4">
        <f>0</f>
        <v>0</v>
      </c>
      <c r="M2858" s="4">
        <f>999</f>
        <v>999</v>
      </c>
      <c r="N2858" t="s">
        <v>19</v>
      </c>
      <c r="O2858" t="str">
        <f t="shared" si="440"/>
        <v>High</v>
      </c>
      <c r="P2858" t="str">
        <f t="shared" si="441"/>
        <v>High</v>
      </c>
      <c r="Q2858" t="str">
        <f t="shared" si="442"/>
        <v>High</v>
      </c>
      <c r="R2858" t="s">
        <v>3317</v>
      </c>
      <c r="S2858" s="4">
        <f t="shared" ca="1" si="443"/>
        <v>-75</v>
      </c>
      <c r="T2858">
        <f t="shared" si="444"/>
        <v>3</v>
      </c>
      <c r="U2858">
        <f t="shared" si="445"/>
        <v>3</v>
      </c>
      <c r="V2858">
        <f t="shared" si="446"/>
        <v>3</v>
      </c>
      <c r="W2858">
        <f t="shared" si="447"/>
        <v>1</v>
      </c>
      <c r="X2858">
        <f t="shared" si="448"/>
        <v>2.8000000000000003</v>
      </c>
      <c r="Y2858" t="str">
        <f t="shared" si="449"/>
        <v>Move Immediately</v>
      </c>
    </row>
    <row r="2859" spans="1:25" x14ac:dyDescent="0.35">
      <c r="A2859" t="s">
        <v>71</v>
      </c>
      <c r="B2859" t="s">
        <v>72</v>
      </c>
      <c r="C2859" t="s">
        <v>73</v>
      </c>
      <c r="D2859" t="s">
        <v>2009</v>
      </c>
      <c r="E2859">
        <v>80895470</v>
      </c>
      <c r="F2859" t="s">
        <v>2010</v>
      </c>
      <c r="G2859" s="3">
        <v>47217</v>
      </c>
      <c r="H2859">
        <v>36</v>
      </c>
      <c r="I2859">
        <v>95</v>
      </c>
      <c r="J2859">
        <v>59</v>
      </c>
      <c r="K2859" s="4">
        <v>39646.82</v>
      </c>
      <c r="L2859" s="4">
        <v>1269.8571428571429</v>
      </c>
      <c r="M2859" s="4">
        <v>4.6461919226009674E-2</v>
      </c>
      <c r="N2859" t="s">
        <v>25</v>
      </c>
      <c r="O2859" t="str">
        <f t="shared" si="440"/>
        <v>Low</v>
      </c>
      <c r="P2859" t="str">
        <f t="shared" si="441"/>
        <v>Low</v>
      </c>
      <c r="Q2859" t="str">
        <f t="shared" si="442"/>
        <v>Low</v>
      </c>
      <c r="R2859" t="s">
        <v>3317</v>
      </c>
      <c r="S2859" s="4">
        <f t="shared" ca="1" si="443"/>
        <v>1020</v>
      </c>
      <c r="T2859">
        <f t="shared" si="444"/>
        <v>1</v>
      </c>
      <c r="U2859">
        <f t="shared" si="445"/>
        <v>1</v>
      </c>
      <c r="V2859">
        <f t="shared" si="446"/>
        <v>1</v>
      </c>
      <c r="W2859">
        <f t="shared" si="447"/>
        <v>1</v>
      </c>
      <c r="X2859">
        <f t="shared" si="448"/>
        <v>0.99999999999999989</v>
      </c>
      <c r="Y2859" t="str">
        <f t="shared" si="449"/>
        <v>Healthy</v>
      </c>
    </row>
    <row r="2860" spans="1:25" x14ac:dyDescent="0.35">
      <c r="A2860" t="s">
        <v>41</v>
      </c>
      <c r="B2860" t="s">
        <v>54</v>
      </c>
      <c r="C2860" t="s">
        <v>55</v>
      </c>
      <c r="D2860" t="s">
        <v>1170</v>
      </c>
      <c r="E2860">
        <v>80751140</v>
      </c>
      <c r="F2860" t="s">
        <v>2011</v>
      </c>
      <c r="G2860" s="3">
        <v>46122</v>
      </c>
      <c r="H2860">
        <v>36</v>
      </c>
      <c r="I2860">
        <v>0</v>
      </c>
      <c r="J2860">
        <v>1</v>
      </c>
      <c r="K2860" s="4">
        <v>818.37</v>
      </c>
      <c r="L2860" s="4">
        <f>0</f>
        <v>0</v>
      </c>
      <c r="M2860" s="4">
        <f>999</f>
        <v>999</v>
      </c>
      <c r="N2860" t="s">
        <v>19</v>
      </c>
      <c r="O2860" t="str">
        <f t="shared" si="440"/>
        <v>High</v>
      </c>
      <c r="P2860" t="str">
        <f t="shared" si="441"/>
        <v>High</v>
      </c>
      <c r="Q2860" t="str">
        <f t="shared" si="442"/>
        <v>High</v>
      </c>
      <c r="R2860" t="s">
        <v>3317</v>
      </c>
      <c r="S2860" s="4">
        <f t="shared" ca="1" si="443"/>
        <v>-75</v>
      </c>
      <c r="T2860">
        <f t="shared" si="444"/>
        <v>3</v>
      </c>
      <c r="U2860">
        <f t="shared" si="445"/>
        <v>3</v>
      </c>
      <c r="V2860">
        <f t="shared" si="446"/>
        <v>3</v>
      </c>
      <c r="W2860">
        <f t="shared" si="447"/>
        <v>1</v>
      </c>
      <c r="X2860">
        <f t="shared" si="448"/>
        <v>2.8000000000000003</v>
      </c>
      <c r="Y2860" t="str">
        <f t="shared" si="449"/>
        <v>Move Immediately</v>
      </c>
    </row>
    <row r="2861" spans="1:25" x14ac:dyDescent="0.35">
      <c r="A2861" t="s">
        <v>71</v>
      </c>
      <c r="B2861" t="s">
        <v>72</v>
      </c>
      <c r="C2861" t="s">
        <v>73</v>
      </c>
      <c r="D2861" t="s">
        <v>2009</v>
      </c>
      <c r="E2861">
        <v>80895470</v>
      </c>
      <c r="F2861" t="s">
        <v>2010</v>
      </c>
      <c r="G2861" s="3">
        <v>47167</v>
      </c>
      <c r="H2861">
        <v>36</v>
      </c>
      <c r="I2861">
        <v>90</v>
      </c>
      <c r="J2861">
        <v>36</v>
      </c>
      <c r="K2861" s="4">
        <v>24191.279999999999</v>
      </c>
      <c r="L2861" s="4">
        <v>1269.8571428571429</v>
      </c>
      <c r="M2861" s="4">
        <v>2.8349645629429633E-2</v>
      </c>
      <c r="N2861" t="s">
        <v>25</v>
      </c>
      <c r="O2861" t="str">
        <f t="shared" si="440"/>
        <v>Low</v>
      </c>
      <c r="P2861" t="str">
        <f t="shared" si="441"/>
        <v>Low</v>
      </c>
      <c r="Q2861" t="str">
        <f t="shared" si="442"/>
        <v>Low</v>
      </c>
      <c r="R2861" t="s">
        <v>3317</v>
      </c>
      <c r="S2861" s="4">
        <f t="shared" ca="1" si="443"/>
        <v>970</v>
      </c>
      <c r="T2861">
        <f t="shared" si="444"/>
        <v>1</v>
      </c>
      <c r="U2861">
        <f t="shared" si="445"/>
        <v>1</v>
      </c>
      <c r="V2861">
        <f t="shared" si="446"/>
        <v>1</v>
      </c>
      <c r="W2861">
        <f t="shared" si="447"/>
        <v>1</v>
      </c>
      <c r="X2861">
        <f t="shared" si="448"/>
        <v>0.99999999999999989</v>
      </c>
      <c r="Y2861" t="str">
        <f t="shared" si="449"/>
        <v>Healthy</v>
      </c>
    </row>
    <row r="2862" spans="1:25" x14ac:dyDescent="0.35">
      <c r="A2862" t="s">
        <v>71</v>
      </c>
      <c r="B2862" t="s">
        <v>72</v>
      </c>
      <c r="C2862" t="s">
        <v>73</v>
      </c>
      <c r="D2862" t="s">
        <v>2009</v>
      </c>
      <c r="E2862">
        <v>80895470</v>
      </c>
      <c r="F2862" t="s">
        <v>2010</v>
      </c>
      <c r="G2862" s="3">
        <v>47273</v>
      </c>
      <c r="H2862">
        <v>36</v>
      </c>
      <c r="I2862">
        <v>100</v>
      </c>
      <c r="J2862">
        <v>30</v>
      </c>
      <c r="K2862" s="4">
        <v>20159.400000000001</v>
      </c>
      <c r="L2862" s="4">
        <v>1269.8571428571429</v>
      </c>
      <c r="M2862" s="4">
        <v>2.3624704691191361E-2</v>
      </c>
      <c r="N2862" t="s">
        <v>25</v>
      </c>
      <c r="O2862" t="str">
        <f t="shared" si="440"/>
        <v>Low</v>
      </c>
      <c r="P2862" t="str">
        <f t="shared" si="441"/>
        <v>Low</v>
      </c>
      <c r="Q2862" t="str">
        <f t="shared" si="442"/>
        <v>Low</v>
      </c>
      <c r="R2862" t="s">
        <v>3317</v>
      </c>
      <c r="S2862" s="4">
        <f t="shared" ca="1" si="443"/>
        <v>1076</v>
      </c>
      <c r="T2862">
        <f t="shared" si="444"/>
        <v>1</v>
      </c>
      <c r="U2862">
        <f t="shared" si="445"/>
        <v>1</v>
      </c>
      <c r="V2862">
        <f t="shared" si="446"/>
        <v>1</v>
      </c>
      <c r="W2862">
        <f t="shared" si="447"/>
        <v>1</v>
      </c>
      <c r="X2862">
        <f t="shared" si="448"/>
        <v>0.99999999999999989</v>
      </c>
      <c r="Y2862" t="str">
        <f t="shared" si="449"/>
        <v>Healthy</v>
      </c>
    </row>
    <row r="2863" spans="1:25" x14ac:dyDescent="0.35">
      <c r="A2863" t="s">
        <v>71</v>
      </c>
      <c r="B2863" t="s">
        <v>72</v>
      </c>
      <c r="C2863" t="s">
        <v>73</v>
      </c>
      <c r="D2863" t="s">
        <v>2009</v>
      </c>
      <c r="E2863">
        <v>80895470</v>
      </c>
      <c r="F2863" t="s">
        <v>2010</v>
      </c>
      <c r="G2863" s="3">
        <v>47113</v>
      </c>
      <c r="H2863">
        <v>36</v>
      </c>
      <c r="I2863">
        <v>85</v>
      </c>
      <c r="J2863">
        <v>20</v>
      </c>
      <c r="K2863" s="4">
        <v>13439.6</v>
      </c>
      <c r="L2863" s="4">
        <v>1269.8571428571429</v>
      </c>
      <c r="M2863" s="4">
        <v>1.5749803127460906E-2</v>
      </c>
      <c r="N2863" t="s">
        <v>25</v>
      </c>
      <c r="O2863" t="str">
        <f t="shared" si="440"/>
        <v>Low</v>
      </c>
      <c r="P2863" t="str">
        <f t="shared" si="441"/>
        <v>Low</v>
      </c>
      <c r="Q2863" t="str">
        <f t="shared" si="442"/>
        <v>Low</v>
      </c>
      <c r="R2863" t="s">
        <v>3317</v>
      </c>
      <c r="S2863" s="4">
        <f t="shared" ca="1" si="443"/>
        <v>916</v>
      </c>
      <c r="T2863">
        <f t="shared" si="444"/>
        <v>1</v>
      </c>
      <c r="U2863">
        <f t="shared" si="445"/>
        <v>1</v>
      </c>
      <c r="V2863">
        <f t="shared" si="446"/>
        <v>1</v>
      </c>
      <c r="W2863">
        <f t="shared" si="447"/>
        <v>1</v>
      </c>
      <c r="X2863">
        <f t="shared" si="448"/>
        <v>0.99999999999999989</v>
      </c>
      <c r="Y2863" t="str">
        <f t="shared" si="449"/>
        <v>Healthy</v>
      </c>
    </row>
    <row r="2864" spans="1:25" x14ac:dyDescent="0.35">
      <c r="A2864" t="s">
        <v>71</v>
      </c>
      <c r="B2864" t="s">
        <v>72</v>
      </c>
      <c r="C2864" t="s">
        <v>73</v>
      </c>
      <c r="D2864" t="s">
        <v>2009</v>
      </c>
      <c r="E2864">
        <v>80895470</v>
      </c>
      <c r="F2864" t="s">
        <v>2010</v>
      </c>
      <c r="G2864" s="3">
        <v>47233</v>
      </c>
      <c r="H2864">
        <v>36</v>
      </c>
      <c r="I2864">
        <v>96</v>
      </c>
      <c r="J2864">
        <v>5</v>
      </c>
      <c r="K2864" s="4">
        <v>3359.9</v>
      </c>
      <c r="L2864" s="4">
        <v>1269.8571428571429</v>
      </c>
      <c r="M2864" s="4">
        <v>3.9374507818652265E-3</v>
      </c>
      <c r="N2864" t="s">
        <v>25</v>
      </c>
      <c r="O2864" t="str">
        <f t="shared" si="440"/>
        <v>Low</v>
      </c>
      <c r="P2864" t="str">
        <f t="shared" si="441"/>
        <v>Low</v>
      </c>
      <c r="Q2864" t="str">
        <f t="shared" si="442"/>
        <v>Low</v>
      </c>
      <c r="R2864" t="s">
        <v>3317</v>
      </c>
      <c r="S2864" s="4">
        <f t="shared" ca="1" si="443"/>
        <v>1036</v>
      </c>
      <c r="T2864">
        <f t="shared" si="444"/>
        <v>1</v>
      </c>
      <c r="U2864">
        <f t="shared" si="445"/>
        <v>1</v>
      </c>
      <c r="V2864">
        <f t="shared" si="446"/>
        <v>1</v>
      </c>
      <c r="W2864">
        <f t="shared" si="447"/>
        <v>1</v>
      </c>
      <c r="X2864">
        <f t="shared" si="448"/>
        <v>0.99999999999999989</v>
      </c>
      <c r="Y2864" t="str">
        <f t="shared" si="449"/>
        <v>Healthy</v>
      </c>
    </row>
    <row r="2865" spans="1:25" x14ac:dyDescent="0.35">
      <c r="A2865" t="s">
        <v>71</v>
      </c>
      <c r="B2865" t="s">
        <v>72</v>
      </c>
      <c r="C2865" t="s">
        <v>73</v>
      </c>
      <c r="D2865" t="s">
        <v>2009</v>
      </c>
      <c r="E2865">
        <v>80895470</v>
      </c>
      <c r="F2865" t="s">
        <v>2010</v>
      </c>
      <c r="G2865" s="3">
        <v>47263</v>
      </c>
      <c r="H2865">
        <v>36</v>
      </c>
      <c r="I2865">
        <v>99</v>
      </c>
      <c r="J2865">
        <v>120</v>
      </c>
      <c r="K2865" s="4">
        <v>80637.600000000006</v>
      </c>
      <c r="L2865" s="4">
        <v>1269.8571428571429</v>
      </c>
      <c r="M2865" s="4">
        <v>9.4498818764765444E-2</v>
      </c>
      <c r="N2865" t="s">
        <v>25</v>
      </c>
      <c r="O2865" t="str">
        <f t="shared" si="440"/>
        <v>Low</v>
      </c>
      <c r="P2865" t="str">
        <f t="shared" si="441"/>
        <v>Low</v>
      </c>
      <c r="Q2865" t="str">
        <f t="shared" si="442"/>
        <v>Low</v>
      </c>
      <c r="R2865" t="s">
        <v>3310</v>
      </c>
      <c r="S2865" s="4">
        <f t="shared" ca="1" si="443"/>
        <v>1066</v>
      </c>
      <c r="T2865">
        <f t="shared" si="444"/>
        <v>1</v>
      </c>
      <c r="U2865">
        <f t="shared" si="445"/>
        <v>1</v>
      </c>
      <c r="V2865">
        <f t="shared" si="446"/>
        <v>1</v>
      </c>
      <c r="W2865">
        <f t="shared" si="447"/>
        <v>2</v>
      </c>
      <c r="X2865">
        <f t="shared" si="448"/>
        <v>1.0999999999999999</v>
      </c>
      <c r="Y2865" t="str">
        <f t="shared" si="449"/>
        <v>Healthy</v>
      </c>
    </row>
    <row r="2866" spans="1:25" x14ac:dyDescent="0.35">
      <c r="A2866" t="s">
        <v>71</v>
      </c>
      <c r="B2866" t="s">
        <v>72</v>
      </c>
      <c r="C2866" t="s">
        <v>73</v>
      </c>
      <c r="D2866" t="s">
        <v>2009</v>
      </c>
      <c r="E2866">
        <v>80895470</v>
      </c>
      <c r="F2866" t="s">
        <v>2010</v>
      </c>
      <c r="G2866" s="3">
        <v>47124</v>
      </c>
      <c r="H2866">
        <v>36</v>
      </c>
      <c r="I2866">
        <v>86</v>
      </c>
      <c r="J2866">
        <v>30</v>
      </c>
      <c r="K2866" s="4">
        <v>20159.400000000001</v>
      </c>
      <c r="L2866" s="4">
        <v>1269.8571428571429</v>
      </c>
      <c r="M2866" s="4">
        <v>2.3624704691191361E-2</v>
      </c>
      <c r="N2866" t="s">
        <v>25</v>
      </c>
      <c r="O2866" t="str">
        <f t="shared" si="440"/>
        <v>Low</v>
      </c>
      <c r="P2866" t="str">
        <f t="shared" si="441"/>
        <v>Low</v>
      </c>
      <c r="Q2866" t="str">
        <f t="shared" si="442"/>
        <v>Low</v>
      </c>
      <c r="R2866" t="s">
        <v>3317</v>
      </c>
      <c r="S2866" s="4">
        <f t="shared" ca="1" si="443"/>
        <v>927</v>
      </c>
      <c r="T2866">
        <f t="shared" si="444"/>
        <v>1</v>
      </c>
      <c r="U2866">
        <f t="shared" si="445"/>
        <v>1</v>
      </c>
      <c r="V2866">
        <f t="shared" si="446"/>
        <v>1</v>
      </c>
      <c r="W2866">
        <f t="shared" si="447"/>
        <v>1</v>
      </c>
      <c r="X2866">
        <f t="shared" si="448"/>
        <v>0.99999999999999989</v>
      </c>
      <c r="Y2866" t="str">
        <f t="shared" si="449"/>
        <v>Healthy</v>
      </c>
    </row>
    <row r="2867" spans="1:25" x14ac:dyDescent="0.35">
      <c r="A2867" t="s">
        <v>71</v>
      </c>
      <c r="B2867" t="s">
        <v>72</v>
      </c>
      <c r="C2867" t="s">
        <v>73</v>
      </c>
      <c r="D2867" t="s">
        <v>757</v>
      </c>
      <c r="E2867">
        <v>80895496</v>
      </c>
      <c r="F2867" t="s">
        <v>2012</v>
      </c>
      <c r="G2867" s="3">
        <v>47249</v>
      </c>
      <c r="H2867">
        <v>36</v>
      </c>
      <c r="I2867">
        <v>98</v>
      </c>
      <c r="J2867">
        <v>80</v>
      </c>
      <c r="K2867" s="4">
        <v>227979.2</v>
      </c>
      <c r="L2867" s="4">
        <v>140.57142857142858</v>
      </c>
      <c r="M2867" s="4">
        <v>0.56910569105691056</v>
      </c>
      <c r="N2867" t="s">
        <v>25</v>
      </c>
      <c r="O2867" t="str">
        <f t="shared" si="440"/>
        <v>Low</v>
      </c>
      <c r="P2867" t="str">
        <f t="shared" si="441"/>
        <v>Low</v>
      </c>
      <c r="Q2867" t="str">
        <f t="shared" si="442"/>
        <v>Low</v>
      </c>
      <c r="R2867" t="s">
        <v>3309</v>
      </c>
      <c r="S2867" s="4">
        <f t="shared" ca="1" si="443"/>
        <v>1052</v>
      </c>
      <c r="T2867">
        <f t="shared" si="444"/>
        <v>1</v>
      </c>
      <c r="U2867">
        <f t="shared" si="445"/>
        <v>1</v>
      </c>
      <c r="V2867">
        <f t="shared" si="446"/>
        <v>1</v>
      </c>
      <c r="W2867">
        <f t="shared" si="447"/>
        <v>3</v>
      </c>
      <c r="X2867">
        <f t="shared" si="448"/>
        <v>1.2</v>
      </c>
      <c r="Y2867" t="str">
        <f t="shared" si="449"/>
        <v>Healthy</v>
      </c>
    </row>
    <row r="2868" spans="1:25" x14ac:dyDescent="0.35">
      <c r="A2868" t="s">
        <v>71</v>
      </c>
      <c r="B2868" t="s">
        <v>72</v>
      </c>
      <c r="C2868" t="s">
        <v>73</v>
      </c>
      <c r="D2868" t="s">
        <v>757</v>
      </c>
      <c r="E2868">
        <v>80895496</v>
      </c>
      <c r="F2868" t="s">
        <v>2012</v>
      </c>
      <c r="G2868" s="3">
        <v>47228</v>
      </c>
      <c r="H2868">
        <v>36</v>
      </c>
      <c r="I2868">
        <v>96</v>
      </c>
      <c r="J2868">
        <v>43</v>
      </c>
      <c r="K2868" s="4">
        <v>122538.82</v>
      </c>
      <c r="L2868" s="4">
        <v>140.57142857142858</v>
      </c>
      <c r="M2868" s="4">
        <v>0.30589430894308939</v>
      </c>
      <c r="N2868" t="s">
        <v>25</v>
      </c>
      <c r="O2868" t="str">
        <f t="shared" si="440"/>
        <v>Low</v>
      </c>
      <c r="P2868" t="str">
        <f t="shared" si="441"/>
        <v>Low</v>
      </c>
      <c r="Q2868" t="str">
        <f t="shared" si="442"/>
        <v>Low</v>
      </c>
      <c r="R2868" t="s">
        <v>3310</v>
      </c>
      <c r="S2868" s="4">
        <f t="shared" ca="1" si="443"/>
        <v>1031</v>
      </c>
      <c r="T2868">
        <f t="shared" si="444"/>
        <v>1</v>
      </c>
      <c r="U2868">
        <f t="shared" si="445"/>
        <v>1</v>
      </c>
      <c r="V2868">
        <f t="shared" si="446"/>
        <v>1</v>
      </c>
      <c r="W2868">
        <f t="shared" si="447"/>
        <v>2</v>
      </c>
      <c r="X2868">
        <f t="shared" si="448"/>
        <v>1.0999999999999999</v>
      </c>
      <c r="Y2868" t="str">
        <f t="shared" si="449"/>
        <v>Healthy</v>
      </c>
    </row>
    <row r="2869" spans="1:25" x14ac:dyDescent="0.35">
      <c r="A2869" t="s">
        <v>71</v>
      </c>
      <c r="B2869" t="s">
        <v>72</v>
      </c>
      <c r="C2869" t="s">
        <v>310</v>
      </c>
      <c r="D2869" t="s">
        <v>311</v>
      </c>
      <c r="E2869">
        <v>80895471</v>
      </c>
      <c r="F2869" t="s">
        <v>2013</v>
      </c>
      <c r="G2869" s="3">
        <v>47264</v>
      </c>
      <c r="H2869">
        <v>36</v>
      </c>
      <c r="I2869">
        <v>99</v>
      </c>
      <c r="J2869">
        <v>156</v>
      </c>
      <c r="K2869" s="4">
        <v>146499.6</v>
      </c>
      <c r="L2869" s="4">
        <v>405.28571428571428</v>
      </c>
      <c r="M2869" s="4">
        <v>0.38491364117025029</v>
      </c>
      <c r="N2869" t="s">
        <v>25</v>
      </c>
      <c r="O2869" t="str">
        <f t="shared" si="440"/>
        <v>Low</v>
      </c>
      <c r="P2869" t="str">
        <f t="shared" si="441"/>
        <v>Low</v>
      </c>
      <c r="Q2869" t="str">
        <f t="shared" si="442"/>
        <v>Low</v>
      </c>
      <c r="R2869" t="s">
        <v>3309</v>
      </c>
      <c r="S2869" s="4">
        <f t="shared" ca="1" si="443"/>
        <v>1067</v>
      </c>
      <c r="T2869">
        <f t="shared" si="444"/>
        <v>1</v>
      </c>
      <c r="U2869">
        <f t="shared" si="445"/>
        <v>1</v>
      </c>
      <c r="V2869">
        <f t="shared" si="446"/>
        <v>1</v>
      </c>
      <c r="W2869">
        <f t="shared" si="447"/>
        <v>3</v>
      </c>
      <c r="X2869">
        <f t="shared" si="448"/>
        <v>1.2</v>
      </c>
      <c r="Y2869" t="str">
        <f t="shared" si="449"/>
        <v>Healthy</v>
      </c>
    </row>
    <row r="2870" spans="1:25" x14ac:dyDescent="0.35">
      <c r="A2870" t="s">
        <v>71</v>
      </c>
      <c r="B2870" t="s">
        <v>72</v>
      </c>
      <c r="C2870" t="s">
        <v>310</v>
      </c>
      <c r="D2870" t="s">
        <v>311</v>
      </c>
      <c r="E2870">
        <v>80895471</v>
      </c>
      <c r="F2870" t="s">
        <v>2013</v>
      </c>
      <c r="G2870" s="3">
        <v>47212</v>
      </c>
      <c r="H2870">
        <v>36</v>
      </c>
      <c r="I2870">
        <v>94</v>
      </c>
      <c r="J2870">
        <v>23</v>
      </c>
      <c r="K2870" s="4">
        <v>21599.3</v>
      </c>
      <c r="L2870" s="4">
        <v>405.28571428571428</v>
      </c>
      <c r="M2870" s="4">
        <v>5.6750088121254851E-2</v>
      </c>
      <c r="N2870" t="s">
        <v>25</v>
      </c>
      <c r="O2870" t="str">
        <f t="shared" si="440"/>
        <v>Low</v>
      </c>
      <c r="P2870" t="str">
        <f t="shared" si="441"/>
        <v>Low</v>
      </c>
      <c r="Q2870" t="str">
        <f t="shared" si="442"/>
        <v>Low</v>
      </c>
      <c r="R2870" t="s">
        <v>3317</v>
      </c>
      <c r="S2870" s="4">
        <f t="shared" ca="1" si="443"/>
        <v>1015</v>
      </c>
      <c r="T2870">
        <f t="shared" si="444"/>
        <v>1</v>
      </c>
      <c r="U2870">
        <f t="shared" si="445"/>
        <v>1</v>
      </c>
      <c r="V2870">
        <f t="shared" si="446"/>
        <v>1</v>
      </c>
      <c r="W2870">
        <f t="shared" si="447"/>
        <v>1</v>
      </c>
      <c r="X2870">
        <f t="shared" si="448"/>
        <v>0.99999999999999989</v>
      </c>
      <c r="Y2870" t="str">
        <f t="shared" si="449"/>
        <v>Healthy</v>
      </c>
    </row>
    <row r="2871" spans="1:25" x14ac:dyDescent="0.35">
      <c r="A2871" t="s">
        <v>71</v>
      </c>
      <c r="B2871" t="s">
        <v>72</v>
      </c>
      <c r="C2871" t="s">
        <v>310</v>
      </c>
      <c r="D2871" t="s">
        <v>311</v>
      </c>
      <c r="E2871">
        <v>80895471</v>
      </c>
      <c r="F2871" t="s">
        <v>2013</v>
      </c>
      <c r="G2871" s="3">
        <v>47184</v>
      </c>
      <c r="H2871">
        <v>36</v>
      </c>
      <c r="I2871">
        <v>92</v>
      </c>
      <c r="J2871">
        <v>6</v>
      </c>
      <c r="K2871" s="4">
        <v>5634.6</v>
      </c>
      <c r="L2871" s="4">
        <v>405.28571428571428</v>
      </c>
      <c r="M2871" s="4">
        <v>1.4804370814240395E-2</v>
      </c>
      <c r="N2871" t="s">
        <v>25</v>
      </c>
      <c r="O2871" t="str">
        <f t="shared" si="440"/>
        <v>Low</v>
      </c>
      <c r="P2871" t="str">
        <f t="shared" si="441"/>
        <v>Low</v>
      </c>
      <c r="Q2871" t="str">
        <f t="shared" si="442"/>
        <v>Low</v>
      </c>
      <c r="R2871" t="s">
        <v>3317</v>
      </c>
      <c r="S2871" s="4">
        <f t="shared" ca="1" si="443"/>
        <v>987</v>
      </c>
      <c r="T2871">
        <f t="shared" si="444"/>
        <v>1</v>
      </c>
      <c r="U2871">
        <f t="shared" si="445"/>
        <v>1</v>
      </c>
      <c r="V2871">
        <f t="shared" si="446"/>
        <v>1</v>
      </c>
      <c r="W2871">
        <f t="shared" si="447"/>
        <v>1</v>
      </c>
      <c r="X2871">
        <f t="shared" si="448"/>
        <v>0.99999999999999989</v>
      </c>
      <c r="Y2871" t="str">
        <f t="shared" si="449"/>
        <v>Healthy</v>
      </c>
    </row>
    <row r="2872" spans="1:25" x14ac:dyDescent="0.35">
      <c r="A2872" t="s">
        <v>71</v>
      </c>
      <c r="B2872" t="s">
        <v>72</v>
      </c>
      <c r="C2872" t="s">
        <v>310</v>
      </c>
      <c r="D2872" t="s">
        <v>311</v>
      </c>
      <c r="E2872">
        <v>80895471</v>
      </c>
      <c r="F2872" t="s">
        <v>2013</v>
      </c>
      <c r="G2872" s="3">
        <v>47224</v>
      </c>
      <c r="H2872">
        <v>36</v>
      </c>
      <c r="I2872">
        <v>96</v>
      </c>
      <c r="J2872">
        <v>17</v>
      </c>
      <c r="K2872" s="4">
        <v>15964.7</v>
      </c>
      <c r="L2872" s="4">
        <v>405.28571428571428</v>
      </c>
      <c r="M2872" s="4">
        <v>4.1945717307014456E-2</v>
      </c>
      <c r="N2872" t="s">
        <v>25</v>
      </c>
      <c r="O2872" t="str">
        <f t="shared" si="440"/>
        <v>Low</v>
      </c>
      <c r="P2872" t="str">
        <f t="shared" si="441"/>
        <v>Low</v>
      </c>
      <c r="Q2872" t="str">
        <f t="shared" si="442"/>
        <v>Low</v>
      </c>
      <c r="R2872" t="s">
        <v>3317</v>
      </c>
      <c r="S2872" s="4">
        <f t="shared" ca="1" si="443"/>
        <v>1027</v>
      </c>
      <c r="T2872">
        <f t="shared" si="444"/>
        <v>1</v>
      </c>
      <c r="U2872">
        <f t="shared" si="445"/>
        <v>1</v>
      </c>
      <c r="V2872">
        <f t="shared" si="446"/>
        <v>1</v>
      </c>
      <c r="W2872">
        <f t="shared" si="447"/>
        <v>1</v>
      </c>
      <c r="X2872">
        <f t="shared" si="448"/>
        <v>0.99999999999999989</v>
      </c>
      <c r="Y2872" t="str">
        <f t="shared" si="449"/>
        <v>Healthy</v>
      </c>
    </row>
    <row r="2873" spans="1:25" x14ac:dyDescent="0.35">
      <c r="A2873" t="s">
        <v>71</v>
      </c>
      <c r="B2873" t="s">
        <v>72</v>
      </c>
      <c r="C2873" t="s">
        <v>310</v>
      </c>
      <c r="D2873" t="s">
        <v>311</v>
      </c>
      <c r="E2873">
        <v>80895471</v>
      </c>
      <c r="F2873" t="s">
        <v>2013</v>
      </c>
      <c r="G2873" s="3">
        <v>47242</v>
      </c>
      <c r="H2873">
        <v>36</v>
      </c>
      <c r="I2873">
        <v>97</v>
      </c>
      <c r="J2873">
        <v>24</v>
      </c>
      <c r="K2873" s="4">
        <v>22538.400000000001</v>
      </c>
      <c r="L2873" s="4">
        <v>405.28571428571428</v>
      </c>
      <c r="M2873" s="4">
        <v>5.9217483256961578E-2</v>
      </c>
      <c r="N2873" t="s">
        <v>25</v>
      </c>
      <c r="O2873" t="str">
        <f t="shared" si="440"/>
        <v>Low</v>
      </c>
      <c r="P2873" t="str">
        <f t="shared" si="441"/>
        <v>Low</v>
      </c>
      <c r="Q2873" t="str">
        <f t="shared" si="442"/>
        <v>Low</v>
      </c>
      <c r="R2873" t="s">
        <v>3317</v>
      </c>
      <c r="S2873" s="4">
        <f t="shared" ca="1" si="443"/>
        <v>1045</v>
      </c>
      <c r="T2873">
        <f t="shared" si="444"/>
        <v>1</v>
      </c>
      <c r="U2873">
        <f t="shared" si="445"/>
        <v>1</v>
      </c>
      <c r="V2873">
        <f t="shared" si="446"/>
        <v>1</v>
      </c>
      <c r="W2873">
        <f t="shared" si="447"/>
        <v>1</v>
      </c>
      <c r="X2873">
        <f t="shared" si="448"/>
        <v>0.99999999999999989</v>
      </c>
      <c r="Y2873" t="str">
        <f t="shared" si="449"/>
        <v>Healthy</v>
      </c>
    </row>
    <row r="2874" spans="1:25" x14ac:dyDescent="0.35">
      <c r="A2874" t="s">
        <v>71</v>
      </c>
      <c r="B2874" t="s">
        <v>72</v>
      </c>
      <c r="C2874" t="s">
        <v>310</v>
      </c>
      <c r="D2874" t="s">
        <v>311</v>
      </c>
      <c r="E2874">
        <v>80895471</v>
      </c>
      <c r="F2874" t="s">
        <v>2013</v>
      </c>
      <c r="G2874" s="3">
        <v>47166</v>
      </c>
      <c r="H2874">
        <v>36</v>
      </c>
      <c r="I2874">
        <v>90</v>
      </c>
      <c r="J2874">
        <v>11</v>
      </c>
      <c r="K2874" s="4">
        <v>10330.1</v>
      </c>
      <c r="L2874" s="4">
        <v>405.28571428571428</v>
      </c>
      <c r="M2874" s="4">
        <v>2.7141346492774058E-2</v>
      </c>
      <c r="N2874" t="s">
        <v>25</v>
      </c>
      <c r="O2874" t="str">
        <f t="shared" si="440"/>
        <v>Low</v>
      </c>
      <c r="P2874" t="str">
        <f t="shared" si="441"/>
        <v>Low</v>
      </c>
      <c r="Q2874" t="str">
        <f t="shared" si="442"/>
        <v>Low</v>
      </c>
      <c r="R2874" t="s">
        <v>3317</v>
      </c>
      <c r="S2874" s="4">
        <f t="shared" ca="1" si="443"/>
        <v>969</v>
      </c>
      <c r="T2874">
        <f t="shared" si="444"/>
        <v>1</v>
      </c>
      <c r="U2874">
        <f t="shared" si="445"/>
        <v>1</v>
      </c>
      <c r="V2874">
        <f t="shared" si="446"/>
        <v>1</v>
      </c>
      <c r="W2874">
        <f t="shared" si="447"/>
        <v>1</v>
      </c>
      <c r="X2874">
        <f t="shared" si="448"/>
        <v>0.99999999999999989</v>
      </c>
      <c r="Y2874" t="str">
        <f t="shared" si="449"/>
        <v>Healthy</v>
      </c>
    </row>
    <row r="2875" spans="1:25" x14ac:dyDescent="0.35">
      <c r="A2875" t="s">
        <v>71</v>
      </c>
      <c r="B2875" t="s">
        <v>72</v>
      </c>
      <c r="C2875" t="s">
        <v>73</v>
      </c>
      <c r="D2875" t="s">
        <v>2014</v>
      </c>
      <c r="E2875">
        <v>80895497</v>
      </c>
      <c r="F2875" t="s">
        <v>2015</v>
      </c>
      <c r="G2875" s="3">
        <v>47272</v>
      </c>
      <c r="H2875">
        <v>36</v>
      </c>
      <c r="I2875">
        <v>100</v>
      </c>
      <c r="J2875">
        <v>102</v>
      </c>
      <c r="K2875" s="4">
        <v>277454.28000000003</v>
      </c>
      <c r="L2875" s="4">
        <v>227.28571428571428</v>
      </c>
      <c r="M2875" s="4">
        <v>0.44877435575109997</v>
      </c>
      <c r="N2875" t="s">
        <v>25</v>
      </c>
      <c r="O2875" t="str">
        <f t="shared" si="440"/>
        <v>Low</v>
      </c>
      <c r="P2875" t="str">
        <f t="shared" si="441"/>
        <v>Low</v>
      </c>
      <c r="Q2875" t="str">
        <f t="shared" si="442"/>
        <v>Low</v>
      </c>
      <c r="R2875" t="s">
        <v>3309</v>
      </c>
      <c r="S2875" s="4">
        <f t="shared" ca="1" si="443"/>
        <v>1075</v>
      </c>
      <c r="T2875">
        <f t="shared" si="444"/>
        <v>1</v>
      </c>
      <c r="U2875">
        <f t="shared" si="445"/>
        <v>1</v>
      </c>
      <c r="V2875">
        <f t="shared" si="446"/>
        <v>1</v>
      </c>
      <c r="W2875">
        <f t="shared" si="447"/>
        <v>3</v>
      </c>
      <c r="X2875">
        <f t="shared" si="448"/>
        <v>1.2</v>
      </c>
      <c r="Y2875" t="str">
        <f t="shared" si="449"/>
        <v>Healthy</v>
      </c>
    </row>
    <row r="2876" spans="1:25" x14ac:dyDescent="0.35">
      <c r="A2876" t="s">
        <v>71</v>
      </c>
      <c r="B2876" t="s">
        <v>72</v>
      </c>
      <c r="C2876" t="s">
        <v>73</v>
      </c>
      <c r="D2876" t="s">
        <v>2014</v>
      </c>
      <c r="E2876">
        <v>80895497</v>
      </c>
      <c r="F2876" t="s">
        <v>2015</v>
      </c>
      <c r="G2876" s="3">
        <v>47175</v>
      </c>
      <c r="H2876">
        <v>36</v>
      </c>
      <c r="I2876">
        <v>91</v>
      </c>
      <c r="J2876">
        <v>4</v>
      </c>
      <c r="K2876" s="4">
        <v>10880.56</v>
      </c>
      <c r="L2876" s="4">
        <v>227.28571428571428</v>
      </c>
      <c r="M2876" s="4">
        <v>1.759899434318039E-2</v>
      </c>
      <c r="N2876" t="s">
        <v>25</v>
      </c>
      <c r="O2876" t="str">
        <f t="shared" si="440"/>
        <v>Low</v>
      </c>
      <c r="P2876" t="str">
        <f t="shared" si="441"/>
        <v>Low</v>
      </c>
      <c r="Q2876" t="str">
        <f t="shared" si="442"/>
        <v>Low</v>
      </c>
      <c r="R2876" t="s">
        <v>3317</v>
      </c>
      <c r="S2876" s="4">
        <f t="shared" ca="1" si="443"/>
        <v>978</v>
      </c>
      <c r="T2876">
        <f t="shared" si="444"/>
        <v>1</v>
      </c>
      <c r="U2876">
        <f t="shared" si="445"/>
        <v>1</v>
      </c>
      <c r="V2876">
        <f t="shared" si="446"/>
        <v>1</v>
      </c>
      <c r="W2876">
        <f t="shared" si="447"/>
        <v>1</v>
      </c>
      <c r="X2876">
        <f t="shared" si="448"/>
        <v>0.99999999999999989</v>
      </c>
      <c r="Y2876" t="str">
        <f t="shared" si="449"/>
        <v>Healthy</v>
      </c>
    </row>
    <row r="2877" spans="1:25" x14ac:dyDescent="0.35">
      <c r="A2877" t="s">
        <v>71</v>
      </c>
      <c r="B2877" t="s">
        <v>72</v>
      </c>
      <c r="C2877" t="s">
        <v>73</v>
      </c>
      <c r="D2877" t="s">
        <v>2014</v>
      </c>
      <c r="E2877">
        <v>80895497</v>
      </c>
      <c r="F2877" t="s">
        <v>2015</v>
      </c>
      <c r="G2877" s="3">
        <v>47193</v>
      </c>
      <c r="H2877">
        <v>36</v>
      </c>
      <c r="I2877">
        <v>93</v>
      </c>
      <c r="J2877">
        <v>3</v>
      </c>
      <c r="K2877" s="4">
        <v>8160.42</v>
      </c>
      <c r="L2877" s="4">
        <v>227.28571428571428</v>
      </c>
      <c r="M2877" s="4">
        <v>1.3199245757385293E-2</v>
      </c>
      <c r="N2877" t="s">
        <v>25</v>
      </c>
      <c r="O2877" t="str">
        <f t="shared" si="440"/>
        <v>Low</v>
      </c>
      <c r="P2877" t="str">
        <f t="shared" si="441"/>
        <v>Low</v>
      </c>
      <c r="Q2877" t="str">
        <f t="shared" si="442"/>
        <v>Low</v>
      </c>
      <c r="R2877" t="s">
        <v>3317</v>
      </c>
      <c r="S2877" s="4">
        <f t="shared" ca="1" si="443"/>
        <v>996</v>
      </c>
      <c r="T2877">
        <f t="shared" si="444"/>
        <v>1</v>
      </c>
      <c r="U2877">
        <f t="shared" si="445"/>
        <v>1</v>
      </c>
      <c r="V2877">
        <f t="shared" si="446"/>
        <v>1</v>
      </c>
      <c r="W2877">
        <f t="shared" si="447"/>
        <v>1</v>
      </c>
      <c r="X2877">
        <f t="shared" si="448"/>
        <v>0.99999999999999989</v>
      </c>
      <c r="Y2877" t="str">
        <f t="shared" si="449"/>
        <v>Healthy</v>
      </c>
    </row>
    <row r="2878" spans="1:25" x14ac:dyDescent="0.35">
      <c r="A2878" t="s">
        <v>41</v>
      </c>
      <c r="B2878" t="s">
        <v>54</v>
      </c>
      <c r="C2878" t="s">
        <v>293</v>
      </c>
      <c r="D2878" t="s">
        <v>736</v>
      </c>
      <c r="E2878">
        <v>80750818</v>
      </c>
      <c r="F2878" t="s">
        <v>2016</v>
      </c>
      <c r="G2878" s="3">
        <v>46460</v>
      </c>
      <c r="H2878">
        <v>18</v>
      </c>
      <c r="I2878">
        <v>50</v>
      </c>
      <c r="J2878">
        <v>8</v>
      </c>
      <c r="K2878" s="4">
        <v>468.64</v>
      </c>
      <c r="L2878" s="4">
        <v>528.28571428571433</v>
      </c>
      <c r="M2878" s="4">
        <v>1.5143320713899403E-2</v>
      </c>
      <c r="N2878" t="s">
        <v>25</v>
      </c>
      <c r="O2878" t="str">
        <f t="shared" si="440"/>
        <v>Low</v>
      </c>
      <c r="P2878" t="str">
        <f t="shared" si="441"/>
        <v>Low</v>
      </c>
      <c r="Q2878" t="str">
        <f t="shared" si="442"/>
        <v>Low</v>
      </c>
      <c r="R2878" t="s">
        <v>3317</v>
      </c>
      <c r="S2878" s="4">
        <f t="shared" ca="1" si="443"/>
        <v>263</v>
      </c>
      <c r="T2878">
        <f t="shared" si="444"/>
        <v>1</v>
      </c>
      <c r="U2878">
        <f t="shared" si="445"/>
        <v>1</v>
      </c>
      <c r="V2878">
        <f t="shared" si="446"/>
        <v>1</v>
      </c>
      <c r="W2878">
        <f t="shared" si="447"/>
        <v>1</v>
      </c>
      <c r="X2878">
        <f t="shared" si="448"/>
        <v>0.99999999999999989</v>
      </c>
      <c r="Y2878" t="str">
        <f t="shared" si="449"/>
        <v>Healthy</v>
      </c>
    </row>
    <row r="2879" spans="1:25" x14ac:dyDescent="0.35">
      <c r="A2879" t="s">
        <v>71</v>
      </c>
      <c r="B2879" t="s">
        <v>72</v>
      </c>
      <c r="C2879" t="s">
        <v>73</v>
      </c>
      <c r="D2879" t="s">
        <v>2014</v>
      </c>
      <c r="E2879">
        <v>80895497</v>
      </c>
      <c r="F2879" t="s">
        <v>2015</v>
      </c>
      <c r="G2879" s="3">
        <v>47232</v>
      </c>
      <c r="H2879">
        <v>36</v>
      </c>
      <c r="I2879">
        <v>96</v>
      </c>
      <c r="J2879">
        <v>106</v>
      </c>
      <c r="K2879" s="4">
        <v>288334.84000000003</v>
      </c>
      <c r="L2879" s="4">
        <v>227.28571428571428</v>
      </c>
      <c r="M2879" s="4">
        <v>0.46637335009428033</v>
      </c>
      <c r="N2879" t="s">
        <v>25</v>
      </c>
      <c r="O2879" t="str">
        <f t="shared" si="440"/>
        <v>Low</v>
      </c>
      <c r="P2879" t="str">
        <f t="shared" si="441"/>
        <v>Low</v>
      </c>
      <c r="Q2879" t="str">
        <f t="shared" si="442"/>
        <v>Low</v>
      </c>
      <c r="R2879" t="s">
        <v>3309</v>
      </c>
      <c r="S2879" s="4">
        <f t="shared" ca="1" si="443"/>
        <v>1035</v>
      </c>
      <c r="T2879">
        <f t="shared" si="444"/>
        <v>1</v>
      </c>
      <c r="U2879">
        <f t="shared" si="445"/>
        <v>1</v>
      </c>
      <c r="V2879">
        <f t="shared" si="446"/>
        <v>1</v>
      </c>
      <c r="W2879">
        <f t="shared" si="447"/>
        <v>3</v>
      </c>
      <c r="X2879">
        <f t="shared" si="448"/>
        <v>1.2</v>
      </c>
      <c r="Y2879" t="str">
        <f t="shared" si="449"/>
        <v>Healthy</v>
      </c>
    </row>
    <row r="2880" spans="1:25" x14ac:dyDescent="0.35">
      <c r="A2880" t="s">
        <v>71</v>
      </c>
      <c r="B2880" t="s">
        <v>72</v>
      </c>
      <c r="C2880" t="s">
        <v>73</v>
      </c>
      <c r="D2880" t="s">
        <v>2014</v>
      </c>
      <c r="E2880">
        <v>80895497</v>
      </c>
      <c r="F2880" t="s">
        <v>2015</v>
      </c>
      <c r="G2880" s="3">
        <v>47216</v>
      </c>
      <c r="H2880">
        <v>36</v>
      </c>
      <c r="I2880">
        <v>95</v>
      </c>
      <c r="J2880">
        <v>3</v>
      </c>
      <c r="K2880" s="4">
        <v>8160.42</v>
      </c>
      <c r="L2880" s="4">
        <v>227.28571428571428</v>
      </c>
      <c r="M2880" s="4">
        <v>1.3199245757385293E-2</v>
      </c>
      <c r="N2880" t="s">
        <v>25</v>
      </c>
      <c r="O2880" t="str">
        <f t="shared" si="440"/>
        <v>Low</v>
      </c>
      <c r="P2880" t="str">
        <f t="shared" si="441"/>
        <v>Low</v>
      </c>
      <c r="Q2880" t="str">
        <f t="shared" si="442"/>
        <v>Low</v>
      </c>
      <c r="R2880" t="s">
        <v>3317</v>
      </c>
      <c r="S2880" s="4">
        <f t="shared" ca="1" si="443"/>
        <v>1019</v>
      </c>
      <c r="T2880">
        <f t="shared" si="444"/>
        <v>1</v>
      </c>
      <c r="U2880">
        <f t="shared" si="445"/>
        <v>1</v>
      </c>
      <c r="V2880">
        <f t="shared" si="446"/>
        <v>1</v>
      </c>
      <c r="W2880">
        <f t="shared" si="447"/>
        <v>1</v>
      </c>
      <c r="X2880">
        <f t="shared" si="448"/>
        <v>0.99999999999999989</v>
      </c>
      <c r="Y2880" t="str">
        <f t="shared" si="449"/>
        <v>Healthy</v>
      </c>
    </row>
    <row r="2881" spans="1:25" x14ac:dyDescent="0.35">
      <c r="A2881" t="s">
        <v>71</v>
      </c>
      <c r="B2881" t="s">
        <v>72</v>
      </c>
      <c r="C2881" t="s">
        <v>73</v>
      </c>
      <c r="D2881" t="s">
        <v>2014</v>
      </c>
      <c r="E2881">
        <v>80895497</v>
      </c>
      <c r="F2881" t="s">
        <v>2015</v>
      </c>
      <c r="G2881" s="3">
        <v>47258</v>
      </c>
      <c r="H2881">
        <v>36</v>
      </c>
      <c r="I2881">
        <v>99</v>
      </c>
      <c r="J2881">
        <v>35</v>
      </c>
      <c r="K2881" s="4">
        <v>95204.9</v>
      </c>
      <c r="L2881" s="4">
        <v>227.28571428571428</v>
      </c>
      <c r="M2881" s="4">
        <v>0.15399120050282841</v>
      </c>
      <c r="N2881" t="s">
        <v>25</v>
      </c>
      <c r="O2881" t="str">
        <f t="shared" si="440"/>
        <v>Low</v>
      </c>
      <c r="P2881" t="str">
        <f t="shared" si="441"/>
        <v>Low</v>
      </c>
      <c r="Q2881" t="str">
        <f t="shared" si="442"/>
        <v>Low</v>
      </c>
      <c r="R2881" t="s">
        <v>3310</v>
      </c>
      <c r="S2881" s="4">
        <f t="shared" ca="1" si="443"/>
        <v>1061</v>
      </c>
      <c r="T2881">
        <f t="shared" si="444"/>
        <v>1</v>
      </c>
      <c r="U2881">
        <f t="shared" si="445"/>
        <v>1</v>
      </c>
      <c r="V2881">
        <f t="shared" si="446"/>
        <v>1</v>
      </c>
      <c r="W2881">
        <f t="shared" si="447"/>
        <v>2</v>
      </c>
      <c r="X2881">
        <f t="shared" si="448"/>
        <v>1.0999999999999999</v>
      </c>
      <c r="Y2881" t="str">
        <f t="shared" si="449"/>
        <v>Healthy</v>
      </c>
    </row>
    <row r="2882" spans="1:25" x14ac:dyDescent="0.35">
      <c r="A2882" t="s">
        <v>41</v>
      </c>
      <c r="B2882" t="s">
        <v>54</v>
      </c>
      <c r="C2882" t="s">
        <v>293</v>
      </c>
      <c r="D2882" t="s">
        <v>736</v>
      </c>
      <c r="E2882">
        <v>80750818</v>
      </c>
      <c r="F2882" t="s">
        <v>2016</v>
      </c>
      <c r="G2882" s="3">
        <v>46455</v>
      </c>
      <c r="H2882">
        <v>18</v>
      </c>
      <c r="I2882">
        <v>49</v>
      </c>
      <c r="J2882">
        <v>24</v>
      </c>
      <c r="K2882" s="4">
        <v>1405.92</v>
      </c>
      <c r="L2882" s="4">
        <v>528.28571428571433</v>
      </c>
      <c r="M2882" s="4">
        <v>4.5429962141698213E-2</v>
      </c>
      <c r="N2882" t="s">
        <v>25</v>
      </c>
      <c r="O2882" t="str">
        <f t="shared" si="440"/>
        <v>Low</v>
      </c>
      <c r="P2882" t="str">
        <f t="shared" si="441"/>
        <v>Low</v>
      </c>
      <c r="Q2882" t="str">
        <f t="shared" si="442"/>
        <v>Low</v>
      </c>
      <c r="R2882" t="s">
        <v>3317</v>
      </c>
      <c r="S2882" s="4">
        <f t="shared" ca="1" si="443"/>
        <v>258</v>
      </c>
      <c r="T2882">
        <f t="shared" si="444"/>
        <v>1</v>
      </c>
      <c r="U2882">
        <f t="shared" si="445"/>
        <v>1</v>
      </c>
      <c r="V2882">
        <f t="shared" si="446"/>
        <v>1</v>
      </c>
      <c r="W2882">
        <f t="shared" si="447"/>
        <v>1</v>
      </c>
      <c r="X2882">
        <f t="shared" si="448"/>
        <v>0.99999999999999989</v>
      </c>
      <c r="Y2882" t="str">
        <f t="shared" si="449"/>
        <v>Healthy</v>
      </c>
    </row>
    <row r="2883" spans="1:25" x14ac:dyDescent="0.35">
      <c r="A2883" t="s">
        <v>71</v>
      </c>
      <c r="B2883" t="s">
        <v>72</v>
      </c>
      <c r="C2883" t="s">
        <v>73</v>
      </c>
      <c r="D2883" t="s">
        <v>2014</v>
      </c>
      <c r="E2883">
        <v>80895497</v>
      </c>
      <c r="F2883" t="s">
        <v>2015</v>
      </c>
      <c r="G2883" s="3">
        <v>47240</v>
      </c>
      <c r="H2883">
        <v>36</v>
      </c>
      <c r="I2883">
        <v>97</v>
      </c>
      <c r="J2883">
        <v>5</v>
      </c>
      <c r="K2883" s="4">
        <v>13600.7</v>
      </c>
      <c r="L2883" s="4">
        <v>227.28571428571428</v>
      </c>
      <c r="M2883" s="4">
        <v>2.1998742928975488E-2</v>
      </c>
      <c r="N2883" t="s">
        <v>25</v>
      </c>
      <c r="O2883" t="str">
        <f t="shared" ref="O2883:O2946" si="450">IF(I2883&lt;20,"High",IF(I2883&lt;40,"Medium","Low"))</f>
        <v>Low</v>
      </c>
      <c r="P2883" t="str">
        <f t="shared" ref="P2883:P2946" si="451">IF(M2883&gt;8,"High",IF(M2883&gt;4,"Medium","Low"))</f>
        <v>Low</v>
      </c>
      <c r="Q2883" t="str">
        <f t="shared" ref="Q2883:Q2946" si="452">IF(L2883&lt;5,"High",IF(L2883&lt;15,"Medium","Low"))</f>
        <v>Low</v>
      </c>
      <c r="R2883" t="s">
        <v>3317</v>
      </c>
      <c r="S2883" s="4">
        <f t="shared" ref="S2883:S2946" ca="1" si="453">G2883-TODAY()</f>
        <v>1043</v>
      </c>
      <c r="T2883">
        <f t="shared" ref="T2883:T2946" si="454">IF(O2883="High",3,IF(O2883="Medium",2,1))</f>
        <v>1</v>
      </c>
      <c r="U2883">
        <f t="shared" ref="U2883:U2946" si="455">IF(P2883="High",3,IF(P2883="Medium",2,1))</f>
        <v>1</v>
      </c>
      <c r="V2883">
        <f t="shared" ref="V2883:V2946" si="456">IF(Q2883="High",3,IF(Q2883="Medium",2,1))</f>
        <v>1</v>
      </c>
      <c r="W2883">
        <f t="shared" ref="W2883:W2946" si="457">IF(R2883="High",3,IF(R2883="Medium",2,1))</f>
        <v>1</v>
      </c>
      <c r="X2883">
        <f t="shared" ref="X2883:X2946" si="458">(0.4*T2883)+(0.3*U2883)+(0.2*V2883)+(0.1*W2883)</f>
        <v>0.99999999999999989</v>
      </c>
      <c r="Y2883" t="str">
        <f t="shared" ref="Y2883:Y2946" si="459">IF(X2883&gt;=2.7,"Move Immediately",IF(X2883&gt;=2.2,"High Priority",IF(X2883&gt;=1.7,"Monitor","Healthy")))</f>
        <v>Healthy</v>
      </c>
    </row>
    <row r="2884" spans="1:25" x14ac:dyDescent="0.35">
      <c r="A2884" t="s">
        <v>71</v>
      </c>
      <c r="B2884" t="s">
        <v>72</v>
      </c>
      <c r="C2884" t="s">
        <v>310</v>
      </c>
      <c r="D2884" t="s">
        <v>2017</v>
      </c>
      <c r="E2884">
        <v>80895472</v>
      </c>
      <c r="F2884" t="s">
        <v>2018</v>
      </c>
      <c r="G2884" s="3">
        <v>47190</v>
      </c>
      <c r="H2884">
        <v>36</v>
      </c>
      <c r="I2884">
        <v>92</v>
      </c>
      <c r="J2884">
        <v>18</v>
      </c>
      <c r="K2884" s="4">
        <v>18286.2</v>
      </c>
      <c r="L2884" s="4">
        <v>463.85714285714283</v>
      </c>
      <c r="M2884" s="4">
        <v>3.8805050816137977E-2</v>
      </c>
      <c r="N2884" t="s">
        <v>25</v>
      </c>
      <c r="O2884" t="str">
        <f t="shared" si="450"/>
        <v>Low</v>
      </c>
      <c r="P2884" t="str">
        <f t="shared" si="451"/>
        <v>Low</v>
      </c>
      <c r="Q2884" t="str">
        <f t="shared" si="452"/>
        <v>Low</v>
      </c>
      <c r="R2884" t="s">
        <v>3317</v>
      </c>
      <c r="S2884" s="4">
        <f t="shared" ca="1" si="453"/>
        <v>993</v>
      </c>
      <c r="T2884">
        <f t="shared" si="454"/>
        <v>1</v>
      </c>
      <c r="U2884">
        <f t="shared" si="455"/>
        <v>1</v>
      </c>
      <c r="V2884">
        <f t="shared" si="456"/>
        <v>1</v>
      </c>
      <c r="W2884">
        <f t="shared" si="457"/>
        <v>1</v>
      </c>
      <c r="X2884">
        <f t="shared" si="458"/>
        <v>0.99999999999999989</v>
      </c>
      <c r="Y2884" t="str">
        <f t="shared" si="459"/>
        <v>Healthy</v>
      </c>
    </row>
    <row r="2885" spans="1:25" x14ac:dyDescent="0.35">
      <c r="A2885" t="s">
        <v>41</v>
      </c>
      <c r="B2885" t="s">
        <v>54</v>
      </c>
      <c r="C2885" t="s">
        <v>293</v>
      </c>
      <c r="D2885" t="s">
        <v>736</v>
      </c>
      <c r="E2885">
        <v>80750818</v>
      </c>
      <c r="F2885" t="s">
        <v>2016</v>
      </c>
      <c r="G2885" s="3">
        <v>46470</v>
      </c>
      <c r="H2885">
        <v>18</v>
      </c>
      <c r="I2885">
        <v>51</v>
      </c>
      <c r="J2885">
        <v>8</v>
      </c>
      <c r="K2885" s="4">
        <v>468.64</v>
      </c>
      <c r="L2885" s="4">
        <v>528.28571428571433</v>
      </c>
      <c r="M2885" s="4">
        <v>1.5143320713899403E-2</v>
      </c>
      <c r="N2885" t="s">
        <v>25</v>
      </c>
      <c r="O2885" t="str">
        <f t="shared" si="450"/>
        <v>Low</v>
      </c>
      <c r="P2885" t="str">
        <f t="shared" si="451"/>
        <v>Low</v>
      </c>
      <c r="Q2885" t="str">
        <f t="shared" si="452"/>
        <v>Low</v>
      </c>
      <c r="R2885" t="s">
        <v>3317</v>
      </c>
      <c r="S2885" s="4">
        <f t="shared" ca="1" si="453"/>
        <v>273</v>
      </c>
      <c r="T2885">
        <f t="shared" si="454"/>
        <v>1</v>
      </c>
      <c r="U2885">
        <f t="shared" si="455"/>
        <v>1</v>
      </c>
      <c r="V2885">
        <f t="shared" si="456"/>
        <v>1</v>
      </c>
      <c r="W2885">
        <f t="shared" si="457"/>
        <v>1</v>
      </c>
      <c r="X2885">
        <f t="shared" si="458"/>
        <v>0.99999999999999989</v>
      </c>
      <c r="Y2885" t="str">
        <f t="shared" si="459"/>
        <v>Healthy</v>
      </c>
    </row>
    <row r="2886" spans="1:25" x14ac:dyDescent="0.35">
      <c r="A2886" t="s">
        <v>71</v>
      </c>
      <c r="B2886" t="s">
        <v>72</v>
      </c>
      <c r="C2886" t="s">
        <v>310</v>
      </c>
      <c r="D2886" t="s">
        <v>2017</v>
      </c>
      <c r="E2886">
        <v>80895472</v>
      </c>
      <c r="F2886" t="s">
        <v>2018</v>
      </c>
      <c r="G2886" s="3">
        <v>47191</v>
      </c>
      <c r="H2886">
        <v>36</v>
      </c>
      <c r="I2886">
        <v>93</v>
      </c>
      <c r="J2886">
        <v>8</v>
      </c>
      <c r="K2886" s="4">
        <v>8127.2</v>
      </c>
      <c r="L2886" s="4">
        <v>463.85714285714283</v>
      </c>
      <c r="M2886" s="4">
        <v>1.7246689251616879E-2</v>
      </c>
      <c r="N2886" t="s">
        <v>25</v>
      </c>
      <c r="O2886" t="str">
        <f t="shared" si="450"/>
        <v>Low</v>
      </c>
      <c r="P2886" t="str">
        <f t="shared" si="451"/>
        <v>Low</v>
      </c>
      <c r="Q2886" t="str">
        <f t="shared" si="452"/>
        <v>Low</v>
      </c>
      <c r="R2886" t="s">
        <v>3317</v>
      </c>
      <c r="S2886" s="4">
        <f t="shared" ca="1" si="453"/>
        <v>994</v>
      </c>
      <c r="T2886">
        <f t="shared" si="454"/>
        <v>1</v>
      </c>
      <c r="U2886">
        <f t="shared" si="455"/>
        <v>1</v>
      </c>
      <c r="V2886">
        <f t="shared" si="456"/>
        <v>1</v>
      </c>
      <c r="W2886">
        <f t="shared" si="457"/>
        <v>1</v>
      </c>
      <c r="X2886">
        <f t="shared" si="458"/>
        <v>0.99999999999999989</v>
      </c>
      <c r="Y2886" t="str">
        <f t="shared" si="459"/>
        <v>Healthy</v>
      </c>
    </row>
    <row r="2887" spans="1:25" x14ac:dyDescent="0.35">
      <c r="A2887" t="s">
        <v>71</v>
      </c>
      <c r="B2887" t="s">
        <v>72</v>
      </c>
      <c r="C2887" t="s">
        <v>320</v>
      </c>
      <c r="D2887" t="s">
        <v>630</v>
      </c>
      <c r="E2887">
        <v>80895448</v>
      </c>
      <c r="F2887" t="s">
        <v>2019</v>
      </c>
      <c r="G2887" s="3">
        <v>47204</v>
      </c>
      <c r="H2887">
        <v>36</v>
      </c>
      <c r="I2887">
        <v>94</v>
      </c>
      <c r="J2887">
        <v>666</v>
      </c>
      <c r="K2887" s="4">
        <v>15984</v>
      </c>
      <c r="L2887" s="4">
        <v>219185.85714285713</v>
      </c>
      <c r="M2887" s="4">
        <v>3.0385172140277561E-3</v>
      </c>
      <c r="N2887" t="s">
        <v>25</v>
      </c>
      <c r="O2887" t="str">
        <f t="shared" si="450"/>
        <v>Low</v>
      </c>
      <c r="P2887" t="str">
        <f t="shared" si="451"/>
        <v>Low</v>
      </c>
      <c r="Q2887" t="str">
        <f t="shared" si="452"/>
        <v>Low</v>
      </c>
      <c r="R2887" t="s">
        <v>3317</v>
      </c>
      <c r="S2887" s="4">
        <f t="shared" ca="1" si="453"/>
        <v>1007</v>
      </c>
      <c r="T2887">
        <f t="shared" si="454"/>
        <v>1</v>
      </c>
      <c r="U2887">
        <f t="shared" si="455"/>
        <v>1</v>
      </c>
      <c r="V2887">
        <f t="shared" si="456"/>
        <v>1</v>
      </c>
      <c r="W2887">
        <f t="shared" si="457"/>
        <v>1</v>
      </c>
      <c r="X2887">
        <f t="shared" si="458"/>
        <v>0.99999999999999989</v>
      </c>
      <c r="Y2887" t="str">
        <f t="shared" si="459"/>
        <v>Healthy</v>
      </c>
    </row>
    <row r="2888" spans="1:25" x14ac:dyDescent="0.35">
      <c r="A2888" t="s">
        <v>71</v>
      </c>
      <c r="B2888" t="s">
        <v>72</v>
      </c>
      <c r="C2888" t="s">
        <v>320</v>
      </c>
      <c r="D2888" t="s">
        <v>630</v>
      </c>
      <c r="E2888">
        <v>80895448</v>
      </c>
      <c r="F2888" t="s">
        <v>2019</v>
      </c>
      <c r="G2888" s="3">
        <v>47214</v>
      </c>
      <c r="H2888">
        <v>36</v>
      </c>
      <c r="I2888">
        <v>95</v>
      </c>
      <c r="J2888">
        <v>576</v>
      </c>
      <c r="K2888" s="4">
        <v>13824</v>
      </c>
      <c r="L2888" s="4">
        <v>219185.85714285713</v>
      </c>
      <c r="M2888" s="4">
        <v>2.6279067796996809E-3</v>
      </c>
      <c r="N2888" t="s">
        <v>25</v>
      </c>
      <c r="O2888" t="str">
        <f t="shared" si="450"/>
        <v>Low</v>
      </c>
      <c r="P2888" t="str">
        <f t="shared" si="451"/>
        <v>Low</v>
      </c>
      <c r="Q2888" t="str">
        <f t="shared" si="452"/>
        <v>Low</v>
      </c>
      <c r="R2888" t="s">
        <v>3317</v>
      </c>
      <c r="S2888" s="4">
        <f t="shared" ca="1" si="453"/>
        <v>1017</v>
      </c>
      <c r="T2888">
        <f t="shared" si="454"/>
        <v>1</v>
      </c>
      <c r="U2888">
        <f t="shared" si="455"/>
        <v>1</v>
      </c>
      <c r="V2888">
        <f t="shared" si="456"/>
        <v>1</v>
      </c>
      <c r="W2888">
        <f t="shared" si="457"/>
        <v>1</v>
      </c>
      <c r="X2888">
        <f t="shared" si="458"/>
        <v>0.99999999999999989</v>
      </c>
      <c r="Y2888" t="str">
        <f t="shared" si="459"/>
        <v>Healthy</v>
      </c>
    </row>
    <row r="2889" spans="1:25" x14ac:dyDescent="0.35">
      <c r="A2889" t="s">
        <v>29</v>
      </c>
      <c r="B2889" t="s">
        <v>30</v>
      </c>
      <c r="C2889" t="s">
        <v>449</v>
      </c>
      <c r="D2889" t="s">
        <v>1609</v>
      </c>
      <c r="E2889">
        <v>80741177</v>
      </c>
      <c r="F2889" t="s">
        <v>2020</v>
      </c>
      <c r="G2889" s="3">
        <v>46796</v>
      </c>
      <c r="H2889">
        <v>36</v>
      </c>
      <c r="I2889">
        <v>56</v>
      </c>
      <c r="J2889">
        <v>1</v>
      </c>
      <c r="K2889" s="4">
        <v>792.18</v>
      </c>
      <c r="L2889" s="4">
        <v>0.8571428571428571</v>
      </c>
      <c r="M2889" s="4">
        <v>1.1666666666666667</v>
      </c>
      <c r="N2889" t="s">
        <v>25</v>
      </c>
      <c r="O2889" t="str">
        <f t="shared" si="450"/>
        <v>Low</v>
      </c>
      <c r="P2889" t="str">
        <f t="shared" si="451"/>
        <v>Low</v>
      </c>
      <c r="Q2889" t="str">
        <f t="shared" si="452"/>
        <v>High</v>
      </c>
      <c r="R2889" t="s">
        <v>3317</v>
      </c>
      <c r="S2889" s="4">
        <f t="shared" ca="1" si="453"/>
        <v>599</v>
      </c>
      <c r="T2889">
        <f t="shared" si="454"/>
        <v>1</v>
      </c>
      <c r="U2889">
        <f t="shared" si="455"/>
        <v>1</v>
      </c>
      <c r="V2889">
        <f t="shared" si="456"/>
        <v>3</v>
      </c>
      <c r="W2889">
        <f t="shared" si="457"/>
        <v>1</v>
      </c>
      <c r="X2889">
        <f t="shared" si="458"/>
        <v>1.4000000000000001</v>
      </c>
      <c r="Y2889" t="str">
        <f t="shared" si="459"/>
        <v>Healthy</v>
      </c>
    </row>
    <row r="2890" spans="1:25" x14ac:dyDescent="0.35">
      <c r="A2890" t="s">
        <v>71</v>
      </c>
      <c r="B2890" t="s">
        <v>72</v>
      </c>
      <c r="C2890" t="s">
        <v>320</v>
      </c>
      <c r="D2890" t="s">
        <v>630</v>
      </c>
      <c r="E2890">
        <v>80895448</v>
      </c>
      <c r="F2890" t="s">
        <v>2019</v>
      </c>
      <c r="G2890" s="3">
        <v>47210</v>
      </c>
      <c r="H2890">
        <v>36</v>
      </c>
      <c r="I2890">
        <v>94</v>
      </c>
      <c r="J2890">
        <v>678</v>
      </c>
      <c r="K2890" s="4">
        <v>16272</v>
      </c>
      <c r="L2890" s="4">
        <v>219185.85714285713</v>
      </c>
      <c r="M2890" s="4">
        <v>3.093265271938166E-3</v>
      </c>
      <c r="N2890" t="s">
        <v>25</v>
      </c>
      <c r="O2890" t="str">
        <f t="shared" si="450"/>
        <v>Low</v>
      </c>
      <c r="P2890" t="str">
        <f t="shared" si="451"/>
        <v>Low</v>
      </c>
      <c r="Q2890" t="str">
        <f t="shared" si="452"/>
        <v>Low</v>
      </c>
      <c r="R2890" t="s">
        <v>3317</v>
      </c>
      <c r="S2890" s="4">
        <f t="shared" ca="1" si="453"/>
        <v>1013</v>
      </c>
      <c r="T2890">
        <f t="shared" si="454"/>
        <v>1</v>
      </c>
      <c r="U2890">
        <f t="shared" si="455"/>
        <v>1</v>
      </c>
      <c r="V2890">
        <f t="shared" si="456"/>
        <v>1</v>
      </c>
      <c r="W2890">
        <f t="shared" si="457"/>
        <v>1</v>
      </c>
      <c r="X2890">
        <f t="shared" si="458"/>
        <v>0.99999999999999989</v>
      </c>
      <c r="Y2890" t="str">
        <f t="shared" si="459"/>
        <v>Healthy</v>
      </c>
    </row>
    <row r="2891" spans="1:25" x14ac:dyDescent="0.35">
      <c r="A2891" t="s">
        <v>99</v>
      </c>
      <c r="B2891" t="s">
        <v>100</v>
      </c>
      <c r="C2891" t="s">
        <v>136</v>
      </c>
      <c r="D2891" t="s">
        <v>1318</v>
      </c>
      <c r="E2891">
        <v>80739903</v>
      </c>
      <c r="F2891" t="s">
        <v>2021</v>
      </c>
      <c r="G2891" s="3">
        <v>46316</v>
      </c>
      <c r="H2891">
        <v>36</v>
      </c>
      <c r="I2891">
        <v>11</v>
      </c>
      <c r="J2891">
        <v>2</v>
      </c>
      <c r="K2891" s="4">
        <v>197.14</v>
      </c>
      <c r="L2891" s="4">
        <f>0</f>
        <v>0</v>
      </c>
      <c r="M2891" s="4">
        <f>999</f>
        <v>999</v>
      </c>
      <c r="N2891" t="s">
        <v>19</v>
      </c>
      <c r="O2891" t="str">
        <f t="shared" si="450"/>
        <v>High</v>
      </c>
      <c r="P2891" t="str">
        <f t="shared" si="451"/>
        <v>High</v>
      </c>
      <c r="Q2891" t="str">
        <f t="shared" si="452"/>
        <v>High</v>
      </c>
      <c r="R2891" t="s">
        <v>3317</v>
      </c>
      <c r="S2891" s="4">
        <f t="shared" ca="1" si="453"/>
        <v>119</v>
      </c>
      <c r="T2891">
        <f t="shared" si="454"/>
        <v>3</v>
      </c>
      <c r="U2891">
        <f t="shared" si="455"/>
        <v>3</v>
      </c>
      <c r="V2891">
        <f t="shared" si="456"/>
        <v>3</v>
      </c>
      <c r="W2891">
        <f t="shared" si="457"/>
        <v>1</v>
      </c>
      <c r="X2891">
        <f t="shared" si="458"/>
        <v>2.8000000000000003</v>
      </c>
      <c r="Y2891" t="str">
        <f t="shared" si="459"/>
        <v>Move Immediately</v>
      </c>
    </row>
    <row r="2892" spans="1:25" x14ac:dyDescent="0.35">
      <c r="A2892" t="s">
        <v>99</v>
      </c>
      <c r="B2892" t="s">
        <v>100</v>
      </c>
      <c r="C2892" t="s">
        <v>136</v>
      </c>
      <c r="D2892" t="s">
        <v>1318</v>
      </c>
      <c r="E2892">
        <v>80739903</v>
      </c>
      <c r="F2892" t="s">
        <v>2021</v>
      </c>
      <c r="G2892" s="3">
        <v>46701</v>
      </c>
      <c r="H2892">
        <v>36</v>
      </c>
      <c r="I2892">
        <v>47</v>
      </c>
      <c r="J2892">
        <v>1</v>
      </c>
      <c r="K2892" s="4">
        <v>98.57</v>
      </c>
      <c r="L2892" s="4">
        <f>0</f>
        <v>0</v>
      </c>
      <c r="M2892" s="4">
        <f>999</f>
        <v>999</v>
      </c>
      <c r="N2892" t="s">
        <v>19</v>
      </c>
      <c r="O2892" t="str">
        <f t="shared" si="450"/>
        <v>Low</v>
      </c>
      <c r="P2892" t="str">
        <f t="shared" si="451"/>
        <v>High</v>
      </c>
      <c r="Q2892" t="str">
        <f t="shared" si="452"/>
        <v>High</v>
      </c>
      <c r="R2892" t="s">
        <v>3317</v>
      </c>
      <c r="S2892" s="4">
        <f t="shared" ca="1" si="453"/>
        <v>504</v>
      </c>
      <c r="T2892">
        <f t="shared" si="454"/>
        <v>1</v>
      </c>
      <c r="U2892">
        <f t="shared" si="455"/>
        <v>3</v>
      </c>
      <c r="V2892">
        <f t="shared" si="456"/>
        <v>3</v>
      </c>
      <c r="W2892">
        <f t="shared" si="457"/>
        <v>1</v>
      </c>
      <c r="X2892">
        <f t="shared" si="458"/>
        <v>2</v>
      </c>
      <c r="Y2892" t="str">
        <f t="shared" si="459"/>
        <v>Monitor</v>
      </c>
    </row>
    <row r="2893" spans="1:25" x14ac:dyDescent="0.35">
      <c r="A2893" t="s">
        <v>29</v>
      </c>
      <c r="B2893" t="s">
        <v>30</v>
      </c>
      <c r="C2893" t="s">
        <v>2022</v>
      </c>
      <c r="D2893" t="s">
        <v>2023</v>
      </c>
      <c r="E2893">
        <v>80767011</v>
      </c>
      <c r="F2893" t="s">
        <v>2024</v>
      </c>
      <c r="G2893" s="3">
        <v>46456</v>
      </c>
      <c r="H2893">
        <v>36</v>
      </c>
      <c r="I2893">
        <v>24</v>
      </c>
      <c r="J2893">
        <v>12</v>
      </c>
      <c r="K2893" s="4">
        <v>2387.88</v>
      </c>
      <c r="L2893" s="4">
        <f>0</f>
        <v>0</v>
      </c>
      <c r="M2893" s="4">
        <f>999</f>
        <v>999</v>
      </c>
      <c r="N2893" t="s">
        <v>19</v>
      </c>
      <c r="O2893" t="str">
        <f t="shared" si="450"/>
        <v>Medium</v>
      </c>
      <c r="P2893" t="str">
        <f t="shared" si="451"/>
        <v>High</v>
      </c>
      <c r="Q2893" t="str">
        <f t="shared" si="452"/>
        <v>High</v>
      </c>
      <c r="R2893" t="s">
        <v>3317</v>
      </c>
      <c r="S2893" s="4">
        <f t="shared" ca="1" si="453"/>
        <v>259</v>
      </c>
      <c r="T2893">
        <f t="shared" si="454"/>
        <v>2</v>
      </c>
      <c r="U2893">
        <f t="shared" si="455"/>
        <v>3</v>
      </c>
      <c r="V2893">
        <f t="shared" si="456"/>
        <v>3</v>
      </c>
      <c r="W2893">
        <f t="shared" si="457"/>
        <v>1</v>
      </c>
      <c r="X2893">
        <f t="shared" si="458"/>
        <v>2.4</v>
      </c>
      <c r="Y2893" t="str">
        <f t="shared" si="459"/>
        <v>High Priority</v>
      </c>
    </row>
    <row r="2894" spans="1:25" x14ac:dyDescent="0.35">
      <c r="A2894" t="s">
        <v>29</v>
      </c>
      <c r="B2894" t="s">
        <v>30</v>
      </c>
      <c r="C2894" t="s">
        <v>2022</v>
      </c>
      <c r="D2894" t="s">
        <v>2023</v>
      </c>
      <c r="E2894">
        <v>80767011</v>
      </c>
      <c r="F2894" t="s">
        <v>2024</v>
      </c>
      <c r="G2894" s="3">
        <v>46453</v>
      </c>
      <c r="H2894">
        <v>36</v>
      </c>
      <c r="I2894">
        <v>24</v>
      </c>
      <c r="J2894">
        <v>24</v>
      </c>
      <c r="K2894" s="4">
        <v>4775.76</v>
      </c>
      <c r="L2894" s="4">
        <f>0</f>
        <v>0</v>
      </c>
      <c r="M2894" s="4">
        <f>999</f>
        <v>999</v>
      </c>
      <c r="N2894" t="s">
        <v>19</v>
      </c>
      <c r="O2894" t="str">
        <f t="shared" si="450"/>
        <v>Medium</v>
      </c>
      <c r="P2894" t="str">
        <f t="shared" si="451"/>
        <v>High</v>
      </c>
      <c r="Q2894" t="str">
        <f t="shared" si="452"/>
        <v>High</v>
      </c>
      <c r="R2894" t="s">
        <v>3317</v>
      </c>
      <c r="S2894" s="4">
        <f t="shared" ca="1" si="453"/>
        <v>256</v>
      </c>
      <c r="T2894">
        <f t="shared" si="454"/>
        <v>2</v>
      </c>
      <c r="U2894">
        <f t="shared" si="455"/>
        <v>3</v>
      </c>
      <c r="V2894">
        <f t="shared" si="456"/>
        <v>3</v>
      </c>
      <c r="W2894">
        <f t="shared" si="457"/>
        <v>1</v>
      </c>
      <c r="X2894">
        <f t="shared" si="458"/>
        <v>2.4</v>
      </c>
      <c r="Y2894" t="str">
        <f t="shared" si="459"/>
        <v>High Priority</v>
      </c>
    </row>
    <row r="2895" spans="1:25" x14ac:dyDescent="0.35">
      <c r="A2895" t="s">
        <v>29</v>
      </c>
      <c r="B2895" t="s">
        <v>30</v>
      </c>
      <c r="C2895" t="s">
        <v>2022</v>
      </c>
      <c r="D2895" t="s">
        <v>2023</v>
      </c>
      <c r="E2895">
        <v>80767011</v>
      </c>
      <c r="F2895" t="s">
        <v>2024</v>
      </c>
      <c r="G2895" s="3">
        <v>46633</v>
      </c>
      <c r="H2895">
        <v>36</v>
      </c>
      <c r="I2895">
        <v>41</v>
      </c>
      <c r="J2895">
        <v>34</v>
      </c>
      <c r="K2895" s="4">
        <v>6765.66</v>
      </c>
      <c r="L2895" s="4">
        <f>0</f>
        <v>0</v>
      </c>
      <c r="M2895" s="4">
        <f>999</f>
        <v>999</v>
      </c>
      <c r="N2895" t="s">
        <v>19</v>
      </c>
      <c r="O2895" t="str">
        <f t="shared" si="450"/>
        <v>Low</v>
      </c>
      <c r="P2895" t="str">
        <f t="shared" si="451"/>
        <v>High</v>
      </c>
      <c r="Q2895" t="str">
        <f t="shared" si="452"/>
        <v>High</v>
      </c>
      <c r="R2895" t="s">
        <v>3317</v>
      </c>
      <c r="S2895" s="4">
        <f t="shared" ca="1" si="453"/>
        <v>436</v>
      </c>
      <c r="T2895">
        <f t="shared" si="454"/>
        <v>1</v>
      </c>
      <c r="U2895">
        <f t="shared" si="455"/>
        <v>3</v>
      </c>
      <c r="V2895">
        <f t="shared" si="456"/>
        <v>3</v>
      </c>
      <c r="W2895">
        <f t="shared" si="457"/>
        <v>1</v>
      </c>
      <c r="X2895">
        <f t="shared" si="458"/>
        <v>2</v>
      </c>
      <c r="Y2895" t="str">
        <f t="shared" si="459"/>
        <v>Monitor</v>
      </c>
    </row>
    <row r="2896" spans="1:25" x14ac:dyDescent="0.35">
      <c r="A2896" t="s">
        <v>189</v>
      </c>
      <c r="B2896" t="s">
        <v>190</v>
      </c>
      <c r="C2896" t="s">
        <v>190</v>
      </c>
      <c r="D2896" t="s">
        <v>2025</v>
      </c>
      <c r="E2896">
        <v>80749425</v>
      </c>
      <c r="F2896" t="s">
        <v>2026</v>
      </c>
      <c r="G2896" s="3">
        <v>46484</v>
      </c>
      <c r="H2896">
        <v>18</v>
      </c>
      <c r="I2896">
        <v>54</v>
      </c>
      <c r="J2896">
        <v>1</v>
      </c>
      <c r="K2896" s="4">
        <v>73.599999999999994</v>
      </c>
      <c r="L2896" s="4">
        <v>1184.4285714285713</v>
      </c>
      <c r="M2896" s="4">
        <v>8.4428898805934149E-4</v>
      </c>
      <c r="N2896" t="s">
        <v>25</v>
      </c>
      <c r="O2896" t="str">
        <f t="shared" si="450"/>
        <v>Low</v>
      </c>
      <c r="P2896" t="str">
        <f t="shared" si="451"/>
        <v>Low</v>
      </c>
      <c r="Q2896" t="str">
        <f t="shared" si="452"/>
        <v>Low</v>
      </c>
      <c r="R2896" t="s">
        <v>3317</v>
      </c>
      <c r="S2896" s="4">
        <f t="shared" ca="1" si="453"/>
        <v>287</v>
      </c>
      <c r="T2896">
        <f t="shared" si="454"/>
        <v>1</v>
      </c>
      <c r="U2896">
        <f t="shared" si="455"/>
        <v>1</v>
      </c>
      <c r="V2896">
        <f t="shared" si="456"/>
        <v>1</v>
      </c>
      <c r="W2896">
        <f t="shared" si="457"/>
        <v>1</v>
      </c>
      <c r="X2896">
        <f t="shared" si="458"/>
        <v>0.99999999999999989</v>
      </c>
      <c r="Y2896" t="str">
        <f t="shared" si="459"/>
        <v>Healthy</v>
      </c>
    </row>
    <row r="2897" spans="1:25" x14ac:dyDescent="0.35">
      <c r="A2897" t="s">
        <v>71</v>
      </c>
      <c r="B2897" t="s">
        <v>72</v>
      </c>
      <c r="C2897" t="s">
        <v>73</v>
      </c>
      <c r="D2897" t="s">
        <v>298</v>
      </c>
      <c r="E2897">
        <v>80763136</v>
      </c>
      <c r="F2897" t="s">
        <v>2027</v>
      </c>
      <c r="G2897" s="3">
        <v>46551</v>
      </c>
      <c r="H2897">
        <v>36</v>
      </c>
      <c r="I2897">
        <v>33</v>
      </c>
      <c r="J2897">
        <v>32</v>
      </c>
      <c r="K2897" s="4">
        <v>32218.240000000002</v>
      </c>
      <c r="L2897" s="4">
        <f>0</f>
        <v>0</v>
      </c>
      <c r="M2897" s="4">
        <f>999</f>
        <v>999</v>
      </c>
      <c r="N2897" t="s">
        <v>19</v>
      </c>
      <c r="O2897" t="str">
        <f t="shared" si="450"/>
        <v>Medium</v>
      </c>
      <c r="P2897" t="str">
        <f t="shared" si="451"/>
        <v>High</v>
      </c>
      <c r="Q2897" t="str">
        <f t="shared" si="452"/>
        <v>High</v>
      </c>
      <c r="R2897" t="s">
        <v>3317</v>
      </c>
      <c r="S2897" s="4">
        <f t="shared" ca="1" si="453"/>
        <v>354</v>
      </c>
      <c r="T2897">
        <f t="shared" si="454"/>
        <v>2</v>
      </c>
      <c r="U2897">
        <f t="shared" si="455"/>
        <v>3</v>
      </c>
      <c r="V2897">
        <f t="shared" si="456"/>
        <v>3</v>
      </c>
      <c r="W2897">
        <f t="shared" si="457"/>
        <v>1</v>
      </c>
      <c r="X2897">
        <f t="shared" si="458"/>
        <v>2.4</v>
      </c>
      <c r="Y2897" t="str">
        <f t="shared" si="459"/>
        <v>High Priority</v>
      </c>
    </row>
    <row r="2898" spans="1:25" x14ac:dyDescent="0.35">
      <c r="A2898" t="s">
        <v>71</v>
      </c>
      <c r="B2898" t="s">
        <v>72</v>
      </c>
      <c r="C2898" t="s">
        <v>73</v>
      </c>
      <c r="D2898" t="s">
        <v>298</v>
      </c>
      <c r="E2898">
        <v>80763136</v>
      </c>
      <c r="F2898" t="s">
        <v>2027</v>
      </c>
      <c r="G2898" s="3">
        <v>46228</v>
      </c>
      <c r="H2898">
        <v>36</v>
      </c>
      <c r="I2898">
        <v>3</v>
      </c>
      <c r="J2898">
        <v>2</v>
      </c>
      <c r="K2898" s="4">
        <v>2013.64</v>
      </c>
      <c r="L2898" s="4">
        <f>0</f>
        <v>0</v>
      </c>
      <c r="M2898" s="4">
        <f>999</f>
        <v>999</v>
      </c>
      <c r="N2898" t="s">
        <v>19</v>
      </c>
      <c r="O2898" t="str">
        <f t="shared" si="450"/>
        <v>High</v>
      </c>
      <c r="P2898" t="str">
        <f t="shared" si="451"/>
        <v>High</v>
      </c>
      <c r="Q2898" t="str">
        <f t="shared" si="452"/>
        <v>High</v>
      </c>
      <c r="R2898" t="s">
        <v>3317</v>
      </c>
      <c r="S2898" s="4">
        <f t="shared" ca="1" si="453"/>
        <v>31</v>
      </c>
      <c r="T2898">
        <f t="shared" si="454"/>
        <v>3</v>
      </c>
      <c r="U2898">
        <f t="shared" si="455"/>
        <v>3</v>
      </c>
      <c r="V2898">
        <f t="shared" si="456"/>
        <v>3</v>
      </c>
      <c r="W2898">
        <f t="shared" si="457"/>
        <v>1</v>
      </c>
      <c r="X2898">
        <f t="shared" si="458"/>
        <v>2.8000000000000003</v>
      </c>
      <c r="Y2898" t="str">
        <f t="shared" si="459"/>
        <v>Move Immediately</v>
      </c>
    </row>
    <row r="2899" spans="1:25" x14ac:dyDescent="0.35">
      <c r="A2899" t="s">
        <v>944</v>
      </c>
      <c r="B2899" t="s">
        <v>945</v>
      </c>
      <c r="C2899" t="s">
        <v>946</v>
      </c>
      <c r="D2899" t="s">
        <v>2028</v>
      </c>
      <c r="E2899">
        <v>80723487</v>
      </c>
      <c r="F2899" t="s">
        <v>2029</v>
      </c>
      <c r="G2899" s="3">
        <v>46518</v>
      </c>
      <c r="H2899">
        <v>60</v>
      </c>
      <c r="I2899">
        <v>18</v>
      </c>
      <c r="J2899">
        <v>1</v>
      </c>
      <c r="K2899" s="4">
        <v>1744.53</v>
      </c>
      <c r="L2899" s="4">
        <v>9.8571428571428577</v>
      </c>
      <c r="M2899" s="4">
        <v>0.10144927536231883</v>
      </c>
      <c r="N2899" t="s">
        <v>25</v>
      </c>
      <c r="O2899" t="str">
        <f t="shared" si="450"/>
        <v>High</v>
      </c>
      <c r="P2899" t="str">
        <f t="shared" si="451"/>
        <v>Low</v>
      </c>
      <c r="Q2899" t="str">
        <f t="shared" si="452"/>
        <v>Medium</v>
      </c>
      <c r="R2899" t="s">
        <v>3317</v>
      </c>
      <c r="S2899" s="4">
        <f t="shared" ca="1" si="453"/>
        <v>321</v>
      </c>
      <c r="T2899">
        <f t="shared" si="454"/>
        <v>3</v>
      </c>
      <c r="U2899">
        <f t="shared" si="455"/>
        <v>1</v>
      </c>
      <c r="V2899">
        <f t="shared" si="456"/>
        <v>2</v>
      </c>
      <c r="W2899">
        <f t="shared" si="457"/>
        <v>1</v>
      </c>
      <c r="X2899">
        <f t="shared" si="458"/>
        <v>2.0000000000000004</v>
      </c>
      <c r="Y2899" t="str">
        <f t="shared" si="459"/>
        <v>Monitor</v>
      </c>
    </row>
    <row r="2900" spans="1:25" x14ac:dyDescent="0.35">
      <c r="A2900" t="s">
        <v>210</v>
      </c>
      <c r="B2900" t="s">
        <v>211</v>
      </c>
      <c r="C2900" t="s">
        <v>212</v>
      </c>
      <c r="D2900" t="s">
        <v>1583</v>
      </c>
      <c r="E2900">
        <v>80759914</v>
      </c>
      <c r="F2900" t="s">
        <v>2030</v>
      </c>
      <c r="G2900" s="3">
        <v>45968</v>
      </c>
      <c r="H2900">
        <v>24</v>
      </c>
      <c r="I2900">
        <v>0</v>
      </c>
      <c r="J2900">
        <v>55</v>
      </c>
      <c r="K2900" s="4">
        <v>22958.65</v>
      </c>
      <c r="L2900" s="4">
        <f>0</f>
        <v>0</v>
      </c>
      <c r="M2900" s="4">
        <f>999</f>
        <v>999</v>
      </c>
      <c r="N2900" t="s">
        <v>19</v>
      </c>
      <c r="O2900" t="str">
        <f t="shared" si="450"/>
        <v>High</v>
      </c>
      <c r="P2900" t="str">
        <f t="shared" si="451"/>
        <v>High</v>
      </c>
      <c r="Q2900" t="str">
        <f t="shared" si="452"/>
        <v>High</v>
      </c>
      <c r="R2900" t="s">
        <v>3317</v>
      </c>
      <c r="S2900" s="4">
        <f t="shared" ca="1" si="453"/>
        <v>-229</v>
      </c>
      <c r="T2900">
        <f t="shared" si="454"/>
        <v>3</v>
      </c>
      <c r="U2900">
        <f t="shared" si="455"/>
        <v>3</v>
      </c>
      <c r="V2900">
        <f t="shared" si="456"/>
        <v>3</v>
      </c>
      <c r="W2900">
        <f t="shared" si="457"/>
        <v>1</v>
      </c>
      <c r="X2900">
        <f t="shared" si="458"/>
        <v>2.8000000000000003</v>
      </c>
      <c r="Y2900" t="str">
        <f t="shared" si="459"/>
        <v>Move Immediately</v>
      </c>
    </row>
    <row r="2901" spans="1:25" x14ac:dyDescent="0.35">
      <c r="A2901" t="s">
        <v>90</v>
      </c>
      <c r="B2901" t="s">
        <v>91</v>
      </c>
      <c r="C2901" t="s">
        <v>92</v>
      </c>
      <c r="D2901" t="s">
        <v>2031</v>
      </c>
      <c r="E2901">
        <v>80781017</v>
      </c>
      <c r="F2901" t="s">
        <v>2032</v>
      </c>
      <c r="G2901" s="3">
        <v>46122</v>
      </c>
      <c r="H2901">
        <v>24</v>
      </c>
      <c r="I2901">
        <v>0</v>
      </c>
      <c r="J2901">
        <v>18</v>
      </c>
      <c r="K2901" s="4">
        <v>8042.22</v>
      </c>
      <c r="L2901" s="4">
        <v>5.1428571428571432</v>
      </c>
      <c r="M2901" s="4">
        <v>3.4999999999999996</v>
      </c>
      <c r="N2901" t="s">
        <v>25</v>
      </c>
      <c r="O2901" t="str">
        <f t="shared" si="450"/>
        <v>High</v>
      </c>
      <c r="P2901" t="str">
        <f t="shared" si="451"/>
        <v>Low</v>
      </c>
      <c r="Q2901" t="str">
        <f t="shared" si="452"/>
        <v>Medium</v>
      </c>
      <c r="R2901" t="s">
        <v>3317</v>
      </c>
      <c r="S2901" s="4">
        <f t="shared" ca="1" si="453"/>
        <v>-75</v>
      </c>
      <c r="T2901">
        <f t="shared" si="454"/>
        <v>3</v>
      </c>
      <c r="U2901">
        <f t="shared" si="455"/>
        <v>1</v>
      </c>
      <c r="V2901">
        <f t="shared" si="456"/>
        <v>2</v>
      </c>
      <c r="W2901">
        <f t="shared" si="457"/>
        <v>1</v>
      </c>
      <c r="X2901">
        <f t="shared" si="458"/>
        <v>2.0000000000000004</v>
      </c>
      <c r="Y2901" t="str">
        <f t="shared" si="459"/>
        <v>Monitor</v>
      </c>
    </row>
    <row r="2902" spans="1:25" x14ac:dyDescent="0.35">
      <c r="A2902" t="s">
        <v>90</v>
      </c>
      <c r="B2902" t="s">
        <v>91</v>
      </c>
      <c r="C2902" t="s">
        <v>92</v>
      </c>
      <c r="D2902" t="s">
        <v>2031</v>
      </c>
      <c r="E2902">
        <v>80781017</v>
      </c>
      <c r="F2902" t="s">
        <v>2032</v>
      </c>
      <c r="G2902" s="3">
        <v>46072</v>
      </c>
      <c r="H2902">
        <v>24</v>
      </c>
      <c r="I2902">
        <v>0</v>
      </c>
      <c r="J2902">
        <v>7</v>
      </c>
      <c r="K2902" s="4">
        <v>3127.53</v>
      </c>
      <c r="L2902" s="4">
        <v>5.1428571428571432</v>
      </c>
      <c r="M2902" s="4">
        <v>1.3611111111111109</v>
      </c>
      <c r="N2902" t="s">
        <v>25</v>
      </c>
      <c r="O2902" t="str">
        <f t="shared" si="450"/>
        <v>High</v>
      </c>
      <c r="P2902" t="str">
        <f t="shared" si="451"/>
        <v>Low</v>
      </c>
      <c r="Q2902" t="str">
        <f t="shared" si="452"/>
        <v>Medium</v>
      </c>
      <c r="R2902" t="s">
        <v>3317</v>
      </c>
      <c r="S2902" s="4">
        <f t="shared" ca="1" si="453"/>
        <v>-125</v>
      </c>
      <c r="T2902">
        <f t="shared" si="454"/>
        <v>3</v>
      </c>
      <c r="U2902">
        <f t="shared" si="455"/>
        <v>1</v>
      </c>
      <c r="V2902">
        <f t="shared" si="456"/>
        <v>2</v>
      </c>
      <c r="W2902">
        <f t="shared" si="457"/>
        <v>1</v>
      </c>
      <c r="X2902">
        <f t="shared" si="458"/>
        <v>2.0000000000000004</v>
      </c>
      <c r="Y2902" t="str">
        <f t="shared" si="459"/>
        <v>Monitor</v>
      </c>
    </row>
    <row r="2903" spans="1:25" x14ac:dyDescent="0.35">
      <c r="A2903" t="s">
        <v>90</v>
      </c>
      <c r="B2903" t="s">
        <v>91</v>
      </c>
      <c r="C2903" t="s">
        <v>92</v>
      </c>
      <c r="D2903" t="s">
        <v>2031</v>
      </c>
      <c r="E2903">
        <v>80781017</v>
      </c>
      <c r="F2903" t="s">
        <v>2032</v>
      </c>
      <c r="G2903" s="3">
        <v>46396</v>
      </c>
      <c r="H2903">
        <v>24</v>
      </c>
      <c r="I2903">
        <v>28</v>
      </c>
      <c r="J2903">
        <v>2</v>
      </c>
      <c r="K2903" s="4">
        <v>893.58</v>
      </c>
      <c r="L2903" s="4">
        <v>5.1428571428571432</v>
      </c>
      <c r="M2903" s="4">
        <v>0.38888888888888884</v>
      </c>
      <c r="N2903" t="s">
        <v>25</v>
      </c>
      <c r="O2903" t="str">
        <f t="shared" si="450"/>
        <v>Medium</v>
      </c>
      <c r="P2903" t="str">
        <f t="shared" si="451"/>
        <v>Low</v>
      </c>
      <c r="Q2903" t="str">
        <f t="shared" si="452"/>
        <v>Medium</v>
      </c>
      <c r="R2903" t="s">
        <v>3317</v>
      </c>
      <c r="S2903" s="4">
        <f t="shared" ca="1" si="453"/>
        <v>199</v>
      </c>
      <c r="T2903">
        <f t="shared" si="454"/>
        <v>2</v>
      </c>
      <c r="U2903">
        <f t="shared" si="455"/>
        <v>1</v>
      </c>
      <c r="V2903">
        <f t="shared" si="456"/>
        <v>2</v>
      </c>
      <c r="W2903">
        <f t="shared" si="457"/>
        <v>1</v>
      </c>
      <c r="X2903">
        <f t="shared" si="458"/>
        <v>1.6</v>
      </c>
      <c r="Y2903" t="str">
        <f t="shared" si="459"/>
        <v>Healthy</v>
      </c>
    </row>
    <row r="2904" spans="1:25" x14ac:dyDescent="0.35">
      <c r="A2904" t="s">
        <v>90</v>
      </c>
      <c r="B2904" t="s">
        <v>91</v>
      </c>
      <c r="C2904" t="s">
        <v>92</v>
      </c>
      <c r="D2904" t="s">
        <v>2031</v>
      </c>
      <c r="E2904">
        <v>80781017</v>
      </c>
      <c r="F2904" t="s">
        <v>2032</v>
      </c>
      <c r="G2904" s="3">
        <v>46062</v>
      </c>
      <c r="H2904">
        <v>24</v>
      </c>
      <c r="I2904">
        <v>0</v>
      </c>
      <c r="J2904">
        <v>11</v>
      </c>
      <c r="K2904" s="4">
        <v>4914.6899999999996</v>
      </c>
      <c r="L2904" s="4">
        <v>5.1428571428571432</v>
      </c>
      <c r="M2904" s="4">
        <v>2.1388888888888888</v>
      </c>
      <c r="N2904" t="s">
        <v>25</v>
      </c>
      <c r="O2904" t="str">
        <f t="shared" si="450"/>
        <v>High</v>
      </c>
      <c r="P2904" t="str">
        <f t="shared" si="451"/>
        <v>Low</v>
      </c>
      <c r="Q2904" t="str">
        <f t="shared" si="452"/>
        <v>Medium</v>
      </c>
      <c r="R2904" t="s">
        <v>3317</v>
      </c>
      <c r="S2904" s="4">
        <f t="shared" ca="1" si="453"/>
        <v>-135</v>
      </c>
      <c r="T2904">
        <f t="shared" si="454"/>
        <v>3</v>
      </c>
      <c r="U2904">
        <f t="shared" si="455"/>
        <v>1</v>
      </c>
      <c r="V2904">
        <f t="shared" si="456"/>
        <v>2</v>
      </c>
      <c r="W2904">
        <f t="shared" si="457"/>
        <v>1</v>
      </c>
      <c r="X2904">
        <f t="shared" si="458"/>
        <v>2.0000000000000004</v>
      </c>
      <c r="Y2904" t="str">
        <f t="shared" si="459"/>
        <v>Monitor</v>
      </c>
    </row>
    <row r="2905" spans="1:25" x14ac:dyDescent="0.35">
      <c r="A2905" t="s">
        <v>71</v>
      </c>
      <c r="B2905" t="s">
        <v>72</v>
      </c>
      <c r="C2905" t="s">
        <v>174</v>
      </c>
      <c r="D2905" t="s">
        <v>2033</v>
      </c>
      <c r="E2905">
        <v>80774663</v>
      </c>
      <c r="F2905" t="s">
        <v>2034</v>
      </c>
      <c r="G2905" s="3">
        <v>46510</v>
      </c>
      <c r="H2905">
        <v>36</v>
      </c>
      <c r="I2905">
        <v>29</v>
      </c>
      <c r="J2905">
        <v>4</v>
      </c>
      <c r="K2905" s="4">
        <v>2694.32</v>
      </c>
      <c r="L2905" s="4">
        <f>0</f>
        <v>0</v>
      </c>
      <c r="M2905" s="4">
        <f>999</f>
        <v>999</v>
      </c>
      <c r="N2905" t="s">
        <v>19</v>
      </c>
      <c r="O2905" t="str">
        <f t="shared" si="450"/>
        <v>Medium</v>
      </c>
      <c r="P2905" t="str">
        <f t="shared" si="451"/>
        <v>High</v>
      </c>
      <c r="Q2905" t="str">
        <f t="shared" si="452"/>
        <v>High</v>
      </c>
      <c r="R2905" t="s">
        <v>3317</v>
      </c>
      <c r="S2905" s="4">
        <f t="shared" ca="1" si="453"/>
        <v>313</v>
      </c>
      <c r="T2905">
        <f t="shared" si="454"/>
        <v>2</v>
      </c>
      <c r="U2905">
        <f t="shared" si="455"/>
        <v>3</v>
      </c>
      <c r="V2905">
        <f t="shared" si="456"/>
        <v>3</v>
      </c>
      <c r="W2905">
        <f t="shared" si="457"/>
        <v>1</v>
      </c>
      <c r="X2905">
        <f t="shared" si="458"/>
        <v>2.4</v>
      </c>
      <c r="Y2905" t="str">
        <f t="shared" si="459"/>
        <v>High Priority</v>
      </c>
    </row>
    <row r="2906" spans="1:25" x14ac:dyDescent="0.35">
      <c r="A2906" t="s">
        <v>71</v>
      </c>
      <c r="B2906" t="s">
        <v>72</v>
      </c>
      <c r="C2906" t="s">
        <v>174</v>
      </c>
      <c r="D2906" t="s">
        <v>2033</v>
      </c>
      <c r="E2906">
        <v>80774663</v>
      </c>
      <c r="F2906" t="s">
        <v>2034</v>
      </c>
      <c r="G2906" s="3">
        <v>46427</v>
      </c>
      <c r="H2906">
        <v>36</v>
      </c>
      <c r="I2906">
        <v>22</v>
      </c>
      <c r="J2906">
        <v>13</v>
      </c>
      <c r="K2906" s="4">
        <v>8756.5400000000009</v>
      </c>
      <c r="L2906" s="4">
        <f>0</f>
        <v>0</v>
      </c>
      <c r="M2906" s="4">
        <f>999</f>
        <v>999</v>
      </c>
      <c r="N2906" t="s">
        <v>19</v>
      </c>
      <c r="O2906" t="str">
        <f t="shared" si="450"/>
        <v>Medium</v>
      </c>
      <c r="P2906" t="str">
        <f t="shared" si="451"/>
        <v>High</v>
      </c>
      <c r="Q2906" t="str">
        <f t="shared" si="452"/>
        <v>High</v>
      </c>
      <c r="R2906" t="s">
        <v>3317</v>
      </c>
      <c r="S2906" s="4">
        <f t="shared" ca="1" si="453"/>
        <v>230</v>
      </c>
      <c r="T2906">
        <f t="shared" si="454"/>
        <v>2</v>
      </c>
      <c r="U2906">
        <f t="shared" si="455"/>
        <v>3</v>
      </c>
      <c r="V2906">
        <f t="shared" si="456"/>
        <v>3</v>
      </c>
      <c r="W2906">
        <f t="shared" si="457"/>
        <v>1</v>
      </c>
      <c r="X2906">
        <f t="shared" si="458"/>
        <v>2.4</v>
      </c>
      <c r="Y2906" t="str">
        <f t="shared" si="459"/>
        <v>High Priority</v>
      </c>
    </row>
    <row r="2907" spans="1:25" x14ac:dyDescent="0.35">
      <c r="A2907" t="s">
        <v>41</v>
      </c>
      <c r="B2907" t="s">
        <v>42</v>
      </c>
      <c r="C2907" t="s">
        <v>43</v>
      </c>
      <c r="D2907" t="s">
        <v>2035</v>
      </c>
      <c r="E2907">
        <v>80778984</v>
      </c>
      <c r="F2907" t="s">
        <v>2036</v>
      </c>
      <c r="G2907" s="3">
        <v>46583</v>
      </c>
      <c r="H2907">
        <v>36</v>
      </c>
      <c r="I2907">
        <v>36</v>
      </c>
      <c r="J2907">
        <v>6</v>
      </c>
      <c r="K2907" s="4">
        <v>879.66</v>
      </c>
      <c r="L2907" s="4">
        <f>0</f>
        <v>0</v>
      </c>
      <c r="M2907" s="4">
        <f>999</f>
        <v>999</v>
      </c>
      <c r="N2907" t="s">
        <v>19</v>
      </c>
      <c r="O2907" t="str">
        <f t="shared" si="450"/>
        <v>Medium</v>
      </c>
      <c r="P2907" t="str">
        <f t="shared" si="451"/>
        <v>High</v>
      </c>
      <c r="Q2907" t="str">
        <f t="shared" si="452"/>
        <v>High</v>
      </c>
      <c r="R2907" t="s">
        <v>3317</v>
      </c>
      <c r="S2907" s="4">
        <f t="shared" ca="1" si="453"/>
        <v>386</v>
      </c>
      <c r="T2907">
        <f t="shared" si="454"/>
        <v>2</v>
      </c>
      <c r="U2907">
        <f t="shared" si="455"/>
        <v>3</v>
      </c>
      <c r="V2907">
        <f t="shared" si="456"/>
        <v>3</v>
      </c>
      <c r="W2907">
        <f t="shared" si="457"/>
        <v>1</v>
      </c>
      <c r="X2907">
        <f t="shared" si="458"/>
        <v>2.4</v>
      </c>
      <c r="Y2907" t="str">
        <f t="shared" si="459"/>
        <v>High Priority</v>
      </c>
    </row>
    <row r="2908" spans="1:25" x14ac:dyDescent="0.35">
      <c r="A2908" t="s">
        <v>41</v>
      </c>
      <c r="B2908" t="s">
        <v>42</v>
      </c>
      <c r="C2908" t="s">
        <v>43</v>
      </c>
      <c r="D2908" t="s">
        <v>2037</v>
      </c>
      <c r="E2908">
        <v>80779012</v>
      </c>
      <c r="F2908" t="s">
        <v>2038</v>
      </c>
      <c r="G2908" s="3">
        <v>46385</v>
      </c>
      <c r="H2908">
        <v>36</v>
      </c>
      <c r="I2908">
        <v>18</v>
      </c>
      <c r="J2908">
        <v>13</v>
      </c>
      <c r="K2908" s="4">
        <v>3619.07</v>
      </c>
      <c r="L2908" s="4">
        <f>0</f>
        <v>0</v>
      </c>
      <c r="M2908" s="4">
        <f>999</f>
        <v>999</v>
      </c>
      <c r="N2908" t="s">
        <v>19</v>
      </c>
      <c r="O2908" t="str">
        <f t="shared" si="450"/>
        <v>High</v>
      </c>
      <c r="P2908" t="str">
        <f t="shared" si="451"/>
        <v>High</v>
      </c>
      <c r="Q2908" t="str">
        <f t="shared" si="452"/>
        <v>High</v>
      </c>
      <c r="R2908" t="s">
        <v>3317</v>
      </c>
      <c r="S2908" s="4">
        <f t="shared" ca="1" si="453"/>
        <v>188</v>
      </c>
      <c r="T2908">
        <f t="shared" si="454"/>
        <v>3</v>
      </c>
      <c r="U2908">
        <f t="shared" si="455"/>
        <v>3</v>
      </c>
      <c r="V2908">
        <f t="shared" si="456"/>
        <v>3</v>
      </c>
      <c r="W2908">
        <f t="shared" si="457"/>
        <v>1</v>
      </c>
      <c r="X2908">
        <f t="shared" si="458"/>
        <v>2.8000000000000003</v>
      </c>
      <c r="Y2908" t="str">
        <f t="shared" si="459"/>
        <v>Move Immediately</v>
      </c>
    </row>
    <row r="2909" spans="1:25" x14ac:dyDescent="0.35">
      <c r="A2909" t="s">
        <v>20</v>
      </c>
      <c r="B2909" t="s">
        <v>21</v>
      </c>
      <c r="C2909" t="s">
        <v>227</v>
      </c>
      <c r="D2909" t="s">
        <v>2039</v>
      </c>
      <c r="E2909">
        <v>80778377</v>
      </c>
      <c r="F2909" t="s">
        <v>2040</v>
      </c>
      <c r="G2909" s="3">
        <v>47006</v>
      </c>
      <c r="H2909">
        <v>36</v>
      </c>
      <c r="I2909">
        <v>75</v>
      </c>
      <c r="J2909">
        <v>14</v>
      </c>
      <c r="K2909" s="4">
        <v>1187.2</v>
      </c>
      <c r="L2909" s="4">
        <v>83.428571428571431</v>
      </c>
      <c r="M2909" s="4">
        <v>0.1678082191780822</v>
      </c>
      <c r="N2909" t="s">
        <v>25</v>
      </c>
      <c r="O2909" t="str">
        <f t="shared" si="450"/>
        <v>Low</v>
      </c>
      <c r="P2909" t="str">
        <f t="shared" si="451"/>
        <v>Low</v>
      </c>
      <c r="Q2909" t="str">
        <f t="shared" si="452"/>
        <v>Low</v>
      </c>
      <c r="R2909" t="s">
        <v>3317</v>
      </c>
      <c r="S2909" s="4">
        <f t="shared" ca="1" si="453"/>
        <v>809</v>
      </c>
      <c r="T2909">
        <f t="shared" si="454"/>
        <v>1</v>
      </c>
      <c r="U2909">
        <f t="shared" si="455"/>
        <v>1</v>
      </c>
      <c r="V2909">
        <f t="shared" si="456"/>
        <v>1</v>
      </c>
      <c r="W2909">
        <f t="shared" si="457"/>
        <v>1</v>
      </c>
      <c r="X2909">
        <f t="shared" si="458"/>
        <v>0.99999999999999989</v>
      </c>
      <c r="Y2909" t="str">
        <f t="shared" si="459"/>
        <v>Healthy</v>
      </c>
    </row>
    <row r="2910" spans="1:25" x14ac:dyDescent="0.35">
      <c r="A2910" t="s">
        <v>189</v>
      </c>
      <c r="B2910" t="s">
        <v>1219</v>
      </c>
      <c r="C2910" t="s">
        <v>1219</v>
      </c>
      <c r="D2910" t="s">
        <v>1220</v>
      </c>
      <c r="E2910">
        <v>80787526</v>
      </c>
      <c r="F2910" t="s">
        <v>2041</v>
      </c>
      <c r="G2910" s="3">
        <v>46674</v>
      </c>
      <c r="H2910">
        <v>24</v>
      </c>
      <c r="I2910">
        <v>67</v>
      </c>
      <c r="J2910">
        <v>19</v>
      </c>
      <c r="K2910" s="4">
        <v>1780.68</v>
      </c>
      <c r="L2910" s="4">
        <f>0</f>
        <v>0</v>
      </c>
      <c r="M2910" s="4">
        <f>999</f>
        <v>999</v>
      </c>
      <c r="N2910" t="s">
        <v>19</v>
      </c>
      <c r="O2910" t="str">
        <f t="shared" si="450"/>
        <v>Low</v>
      </c>
      <c r="P2910" t="str">
        <f t="shared" si="451"/>
        <v>High</v>
      </c>
      <c r="Q2910" t="str">
        <f t="shared" si="452"/>
        <v>High</v>
      </c>
      <c r="R2910" t="s">
        <v>3317</v>
      </c>
      <c r="S2910" s="4">
        <f t="shared" ca="1" si="453"/>
        <v>477</v>
      </c>
      <c r="T2910">
        <f t="shared" si="454"/>
        <v>1</v>
      </c>
      <c r="U2910">
        <f t="shared" si="455"/>
        <v>3</v>
      </c>
      <c r="V2910">
        <f t="shared" si="456"/>
        <v>3</v>
      </c>
      <c r="W2910">
        <f t="shared" si="457"/>
        <v>1</v>
      </c>
      <c r="X2910">
        <f t="shared" si="458"/>
        <v>2</v>
      </c>
      <c r="Y2910" t="str">
        <f t="shared" si="459"/>
        <v>Monitor</v>
      </c>
    </row>
    <row r="2911" spans="1:25" x14ac:dyDescent="0.35">
      <c r="A2911" t="s">
        <v>179</v>
      </c>
      <c r="B2911" t="s">
        <v>195</v>
      </c>
      <c r="C2911" t="s">
        <v>196</v>
      </c>
      <c r="D2911" t="s">
        <v>2042</v>
      </c>
      <c r="E2911">
        <v>80797367</v>
      </c>
      <c r="F2911" t="s">
        <v>2043</v>
      </c>
      <c r="G2911" s="3">
        <v>46027</v>
      </c>
      <c r="H2911">
        <v>16</v>
      </c>
      <c r="I2911">
        <v>0</v>
      </c>
      <c r="J2911">
        <v>48</v>
      </c>
      <c r="K2911" s="4">
        <v>15743.52</v>
      </c>
      <c r="L2911" s="4">
        <f>0</f>
        <v>0</v>
      </c>
      <c r="M2911" s="4">
        <f>999</f>
        <v>999</v>
      </c>
      <c r="N2911" t="s">
        <v>19</v>
      </c>
      <c r="O2911" t="str">
        <f t="shared" si="450"/>
        <v>High</v>
      </c>
      <c r="P2911" t="str">
        <f t="shared" si="451"/>
        <v>High</v>
      </c>
      <c r="Q2911" t="str">
        <f t="shared" si="452"/>
        <v>High</v>
      </c>
      <c r="R2911" t="s">
        <v>3317</v>
      </c>
      <c r="S2911" s="4">
        <f t="shared" ca="1" si="453"/>
        <v>-170</v>
      </c>
      <c r="T2911">
        <f t="shared" si="454"/>
        <v>3</v>
      </c>
      <c r="U2911">
        <f t="shared" si="455"/>
        <v>3</v>
      </c>
      <c r="V2911">
        <f t="shared" si="456"/>
        <v>3</v>
      </c>
      <c r="W2911">
        <f t="shared" si="457"/>
        <v>1</v>
      </c>
      <c r="X2911">
        <f t="shared" si="458"/>
        <v>2.8000000000000003</v>
      </c>
      <c r="Y2911" t="str">
        <f t="shared" si="459"/>
        <v>Move Immediately</v>
      </c>
    </row>
    <row r="2912" spans="1:25" x14ac:dyDescent="0.35">
      <c r="A2912" t="s">
        <v>944</v>
      </c>
      <c r="B2912" t="s">
        <v>945</v>
      </c>
      <c r="C2912" t="s">
        <v>2044</v>
      </c>
      <c r="D2912" t="s">
        <v>2045</v>
      </c>
      <c r="E2912">
        <v>80797058</v>
      </c>
      <c r="F2912" t="s">
        <v>2046</v>
      </c>
      <c r="G2912" s="3">
        <v>47708</v>
      </c>
      <c r="H2912">
        <v>60</v>
      </c>
      <c r="I2912">
        <v>84</v>
      </c>
      <c r="J2912">
        <v>49</v>
      </c>
      <c r="K2912" s="4">
        <v>94034.43</v>
      </c>
      <c r="L2912" s="4">
        <v>782.71428571428567</v>
      </c>
      <c r="M2912" s="4">
        <v>6.2602664719839385E-2</v>
      </c>
      <c r="N2912" t="s">
        <v>25</v>
      </c>
      <c r="O2912" t="str">
        <f t="shared" si="450"/>
        <v>Low</v>
      </c>
      <c r="P2912" t="str">
        <f t="shared" si="451"/>
        <v>Low</v>
      </c>
      <c r="Q2912" t="str">
        <f t="shared" si="452"/>
        <v>Low</v>
      </c>
      <c r="R2912" t="s">
        <v>3310</v>
      </c>
      <c r="S2912" s="4">
        <f t="shared" ca="1" si="453"/>
        <v>1511</v>
      </c>
      <c r="T2912">
        <f t="shared" si="454"/>
        <v>1</v>
      </c>
      <c r="U2912">
        <f t="shared" si="455"/>
        <v>1</v>
      </c>
      <c r="V2912">
        <f t="shared" si="456"/>
        <v>1</v>
      </c>
      <c r="W2912">
        <f t="shared" si="457"/>
        <v>2</v>
      </c>
      <c r="X2912">
        <f t="shared" si="458"/>
        <v>1.0999999999999999</v>
      </c>
      <c r="Y2912" t="str">
        <f t="shared" si="459"/>
        <v>Healthy</v>
      </c>
    </row>
    <row r="2913" spans="1:25" x14ac:dyDescent="0.35">
      <c r="A2913" t="s">
        <v>944</v>
      </c>
      <c r="B2913" t="s">
        <v>945</v>
      </c>
      <c r="C2913" t="s">
        <v>2044</v>
      </c>
      <c r="D2913" t="s">
        <v>2045</v>
      </c>
      <c r="E2913">
        <v>80797058</v>
      </c>
      <c r="F2913" t="s">
        <v>2046</v>
      </c>
      <c r="G2913" s="3">
        <v>47738</v>
      </c>
      <c r="H2913">
        <v>60</v>
      </c>
      <c r="I2913">
        <v>86</v>
      </c>
      <c r="J2913">
        <v>48</v>
      </c>
      <c r="K2913" s="4">
        <v>92115.36</v>
      </c>
      <c r="L2913" s="4">
        <v>782.71428571428567</v>
      </c>
      <c r="M2913" s="4">
        <v>6.1325059317393689E-2</v>
      </c>
      <c r="N2913" t="s">
        <v>25</v>
      </c>
      <c r="O2913" t="str">
        <f t="shared" si="450"/>
        <v>Low</v>
      </c>
      <c r="P2913" t="str">
        <f t="shared" si="451"/>
        <v>Low</v>
      </c>
      <c r="Q2913" t="str">
        <f t="shared" si="452"/>
        <v>Low</v>
      </c>
      <c r="R2913" t="s">
        <v>3310</v>
      </c>
      <c r="S2913" s="4">
        <f t="shared" ca="1" si="453"/>
        <v>1541</v>
      </c>
      <c r="T2913">
        <f t="shared" si="454"/>
        <v>1</v>
      </c>
      <c r="U2913">
        <f t="shared" si="455"/>
        <v>1</v>
      </c>
      <c r="V2913">
        <f t="shared" si="456"/>
        <v>1</v>
      </c>
      <c r="W2913">
        <f t="shared" si="457"/>
        <v>2</v>
      </c>
      <c r="X2913">
        <f t="shared" si="458"/>
        <v>1.0999999999999999</v>
      </c>
      <c r="Y2913" t="str">
        <f t="shared" si="459"/>
        <v>Healthy</v>
      </c>
    </row>
    <row r="2914" spans="1:25" x14ac:dyDescent="0.35">
      <c r="A2914" t="s">
        <v>944</v>
      </c>
      <c r="B2914" t="s">
        <v>945</v>
      </c>
      <c r="C2914" t="s">
        <v>2044</v>
      </c>
      <c r="D2914" t="s">
        <v>2045</v>
      </c>
      <c r="E2914">
        <v>80797058</v>
      </c>
      <c r="F2914" t="s">
        <v>2046</v>
      </c>
      <c r="G2914" s="3">
        <v>47740</v>
      </c>
      <c r="H2914">
        <v>60</v>
      </c>
      <c r="I2914">
        <v>86</v>
      </c>
      <c r="J2914">
        <v>42</v>
      </c>
      <c r="K2914" s="4">
        <v>80600.94</v>
      </c>
      <c r="L2914" s="4">
        <v>782.71428571428567</v>
      </c>
      <c r="M2914" s="4">
        <v>5.3659426902719479E-2</v>
      </c>
      <c r="N2914" t="s">
        <v>25</v>
      </c>
      <c r="O2914" t="str">
        <f t="shared" si="450"/>
        <v>Low</v>
      </c>
      <c r="P2914" t="str">
        <f t="shared" si="451"/>
        <v>Low</v>
      </c>
      <c r="Q2914" t="str">
        <f t="shared" si="452"/>
        <v>Low</v>
      </c>
      <c r="R2914" t="s">
        <v>3310</v>
      </c>
      <c r="S2914" s="4">
        <f t="shared" ca="1" si="453"/>
        <v>1543</v>
      </c>
      <c r="T2914">
        <f t="shared" si="454"/>
        <v>1</v>
      </c>
      <c r="U2914">
        <f t="shared" si="455"/>
        <v>1</v>
      </c>
      <c r="V2914">
        <f t="shared" si="456"/>
        <v>1</v>
      </c>
      <c r="W2914">
        <f t="shared" si="457"/>
        <v>2</v>
      </c>
      <c r="X2914">
        <f t="shared" si="458"/>
        <v>1.0999999999999999</v>
      </c>
      <c r="Y2914" t="str">
        <f t="shared" si="459"/>
        <v>Healthy</v>
      </c>
    </row>
    <row r="2915" spans="1:25" x14ac:dyDescent="0.35">
      <c r="A2915" t="s">
        <v>90</v>
      </c>
      <c r="B2915" t="s">
        <v>91</v>
      </c>
      <c r="C2915" t="s">
        <v>155</v>
      </c>
      <c r="D2915" t="s">
        <v>156</v>
      </c>
      <c r="E2915">
        <v>82329716</v>
      </c>
      <c r="F2915" t="s">
        <v>2047</v>
      </c>
      <c r="G2915" s="3">
        <v>45309</v>
      </c>
      <c r="H2915">
        <v>24</v>
      </c>
      <c r="I2915">
        <v>0</v>
      </c>
      <c r="J2915">
        <v>228</v>
      </c>
      <c r="K2915" s="4">
        <v>86398.32</v>
      </c>
      <c r="L2915" s="4">
        <v>42</v>
      </c>
      <c r="M2915" s="4">
        <v>5.4285714285714288</v>
      </c>
      <c r="N2915" t="s">
        <v>25</v>
      </c>
      <c r="O2915" t="str">
        <f t="shared" si="450"/>
        <v>High</v>
      </c>
      <c r="P2915" t="str">
        <f t="shared" si="451"/>
        <v>Medium</v>
      </c>
      <c r="Q2915" t="str">
        <f t="shared" si="452"/>
        <v>Low</v>
      </c>
      <c r="R2915" t="s">
        <v>3310</v>
      </c>
      <c r="S2915" s="4">
        <f t="shared" ca="1" si="453"/>
        <v>-888</v>
      </c>
      <c r="T2915">
        <f t="shared" si="454"/>
        <v>3</v>
      </c>
      <c r="U2915">
        <f t="shared" si="455"/>
        <v>2</v>
      </c>
      <c r="V2915">
        <f t="shared" si="456"/>
        <v>1</v>
      </c>
      <c r="W2915">
        <f t="shared" si="457"/>
        <v>2</v>
      </c>
      <c r="X2915">
        <f t="shared" si="458"/>
        <v>2.2000000000000006</v>
      </c>
      <c r="Y2915" t="str">
        <f t="shared" si="459"/>
        <v>High Priority</v>
      </c>
    </row>
    <row r="2916" spans="1:25" x14ac:dyDescent="0.35">
      <c r="A2916" t="s">
        <v>944</v>
      </c>
      <c r="B2916" t="s">
        <v>945</v>
      </c>
      <c r="C2916" t="s">
        <v>2044</v>
      </c>
      <c r="D2916" t="s">
        <v>2045</v>
      </c>
      <c r="E2916">
        <v>80797058</v>
      </c>
      <c r="F2916" t="s">
        <v>2046</v>
      </c>
      <c r="G2916" s="3">
        <v>47895</v>
      </c>
      <c r="H2916">
        <v>60</v>
      </c>
      <c r="I2916">
        <v>95</v>
      </c>
      <c r="J2916">
        <v>30</v>
      </c>
      <c r="K2916" s="4">
        <v>57572.1</v>
      </c>
      <c r="L2916" s="4">
        <v>782.71428571428567</v>
      </c>
      <c r="M2916" s="4">
        <v>3.8328162073371058E-2</v>
      </c>
      <c r="N2916" t="s">
        <v>25</v>
      </c>
      <c r="O2916" t="str">
        <f t="shared" si="450"/>
        <v>Low</v>
      </c>
      <c r="P2916" t="str">
        <f t="shared" si="451"/>
        <v>Low</v>
      </c>
      <c r="Q2916" t="str">
        <f t="shared" si="452"/>
        <v>Low</v>
      </c>
      <c r="R2916" t="s">
        <v>3317</v>
      </c>
      <c r="S2916" s="4">
        <f t="shared" ca="1" si="453"/>
        <v>1698</v>
      </c>
      <c r="T2916">
        <f t="shared" si="454"/>
        <v>1</v>
      </c>
      <c r="U2916">
        <f t="shared" si="455"/>
        <v>1</v>
      </c>
      <c r="V2916">
        <f t="shared" si="456"/>
        <v>1</v>
      </c>
      <c r="W2916">
        <f t="shared" si="457"/>
        <v>1</v>
      </c>
      <c r="X2916">
        <f t="shared" si="458"/>
        <v>0.99999999999999989</v>
      </c>
      <c r="Y2916" t="str">
        <f t="shared" si="459"/>
        <v>Healthy</v>
      </c>
    </row>
    <row r="2917" spans="1:25" x14ac:dyDescent="0.35">
      <c r="A2917" t="s">
        <v>29</v>
      </c>
      <c r="B2917" t="s">
        <v>30</v>
      </c>
      <c r="C2917" t="s">
        <v>147</v>
      </c>
      <c r="D2917" t="s">
        <v>1329</v>
      </c>
      <c r="E2917">
        <v>82324411</v>
      </c>
      <c r="F2917" t="s">
        <v>2048</v>
      </c>
      <c r="G2917" s="3">
        <v>46111</v>
      </c>
      <c r="H2917">
        <v>36</v>
      </c>
      <c r="I2917">
        <v>0</v>
      </c>
      <c r="J2917">
        <v>2</v>
      </c>
      <c r="K2917" s="4">
        <v>2238.3200000000002</v>
      </c>
      <c r="L2917" s="4">
        <f>0</f>
        <v>0</v>
      </c>
      <c r="M2917" s="4">
        <f>999</f>
        <v>999</v>
      </c>
      <c r="N2917" t="s">
        <v>19</v>
      </c>
      <c r="O2917" t="str">
        <f t="shared" si="450"/>
        <v>High</v>
      </c>
      <c r="P2917" t="str">
        <f t="shared" si="451"/>
        <v>High</v>
      </c>
      <c r="Q2917" t="str">
        <f t="shared" si="452"/>
        <v>High</v>
      </c>
      <c r="R2917" t="s">
        <v>3317</v>
      </c>
      <c r="S2917" s="4">
        <f t="shared" ca="1" si="453"/>
        <v>-86</v>
      </c>
      <c r="T2917">
        <f t="shared" si="454"/>
        <v>3</v>
      </c>
      <c r="U2917">
        <f t="shared" si="455"/>
        <v>3</v>
      </c>
      <c r="V2917">
        <f t="shared" si="456"/>
        <v>3</v>
      </c>
      <c r="W2917">
        <f t="shared" si="457"/>
        <v>1</v>
      </c>
      <c r="X2917">
        <f t="shared" si="458"/>
        <v>2.8000000000000003</v>
      </c>
      <c r="Y2917" t="str">
        <f t="shared" si="459"/>
        <v>Move Immediately</v>
      </c>
    </row>
    <row r="2918" spans="1:25" x14ac:dyDescent="0.35">
      <c r="A2918" t="s">
        <v>20</v>
      </c>
      <c r="B2918" t="s">
        <v>21</v>
      </c>
      <c r="C2918" t="s">
        <v>656</v>
      </c>
      <c r="D2918" t="s">
        <v>2049</v>
      </c>
      <c r="E2918">
        <v>82332659</v>
      </c>
      <c r="F2918" t="s">
        <v>2050</v>
      </c>
      <c r="G2918" s="3">
        <v>46131</v>
      </c>
      <c r="H2918">
        <v>36</v>
      </c>
      <c r="I2918">
        <v>0</v>
      </c>
      <c r="J2918">
        <v>247</v>
      </c>
      <c r="K2918" s="4">
        <v>5137.6000000000004</v>
      </c>
      <c r="L2918" s="4">
        <f>0</f>
        <v>0</v>
      </c>
      <c r="M2918" s="4">
        <f>999</f>
        <v>999</v>
      </c>
      <c r="N2918" t="s">
        <v>19</v>
      </c>
      <c r="O2918" t="str">
        <f t="shared" si="450"/>
        <v>High</v>
      </c>
      <c r="P2918" t="str">
        <f t="shared" si="451"/>
        <v>High</v>
      </c>
      <c r="Q2918" t="str">
        <f t="shared" si="452"/>
        <v>High</v>
      </c>
      <c r="R2918" t="s">
        <v>3317</v>
      </c>
      <c r="S2918" s="4">
        <f t="shared" ca="1" si="453"/>
        <v>-66</v>
      </c>
      <c r="T2918">
        <f t="shared" si="454"/>
        <v>3</v>
      </c>
      <c r="U2918">
        <f t="shared" si="455"/>
        <v>3</v>
      </c>
      <c r="V2918">
        <f t="shared" si="456"/>
        <v>3</v>
      </c>
      <c r="W2918">
        <f t="shared" si="457"/>
        <v>1</v>
      </c>
      <c r="X2918">
        <f t="shared" si="458"/>
        <v>2.8000000000000003</v>
      </c>
      <c r="Y2918" t="str">
        <f t="shared" si="459"/>
        <v>Move Immediately</v>
      </c>
    </row>
    <row r="2919" spans="1:25" x14ac:dyDescent="0.35">
      <c r="A2919" t="s">
        <v>90</v>
      </c>
      <c r="B2919" t="s">
        <v>91</v>
      </c>
      <c r="C2919" t="s">
        <v>92</v>
      </c>
      <c r="D2919" t="s">
        <v>2051</v>
      </c>
      <c r="E2919">
        <v>80793049</v>
      </c>
      <c r="F2919" t="s">
        <v>2052</v>
      </c>
      <c r="G2919" s="3">
        <v>46376</v>
      </c>
      <c r="H2919">
        <v>24</v>
      </c>
      <c r="I2919">
        <v>26</v>
      </c>
      <c r="J2919">
        <v>16</v>
      </c>
      <c r="K2919" s="4">
        <v>830.24</v>
      </c>
      <c r="L2919" s="4">
        <f>0</f>
        <v>0</v>
      </c>
      <c r="M2919" s="4">
        <f>999</f>
        <v>999</v>
      </c>
      <c r="N2919" t="s">
        <v>19</v>
      </c>
      <c r="O2919" t="str">
        <f t="shared" si="450"/>
        <v>Medium</v>
      </c>
      <c r="P2919" t="str">
        <f t="shared" si="451"/>
        <v>High</v>
      </c>
      <c r="Q2919" t="str">
        <f t="shared" si="452"/>
        <v>High</v>
      </c>
      <c r="R2919" t="s">
        <v>3317</v>
      </c>
      <c r="S2919" s="4">
        <f t="shared" ca="1" si="453"/>
        <v>179</v>
      </c>
      <c r="T2919">
        <f t="shared" si="454"/>
        <v>2</v>
      </c>
      <c r="U2919">
        <f t="shared" si="455"/>
        <v>3</v>
      </c>
      <c r="V2919">
        <f t="shared" si="456"/>
        <v>3</v>
      </c>
      <c r="W2919">
        <f t="shared" si="457"/>
        <v>1</v>
      </c>
      <c r="X2919">
        <f t="shared" si="458"/>
        <v>2.4</v>
      </c>
      <c r="Y2919" t="str">
        <f t="shared" si="459"/>
        <v>High Priority</v>
      </c>
    </row>
    <row r="2920" spans="1:25" x14ac:dyDescent="0.35">
      <c r="A2920" t="s">
        <v>90</v>
      </c>
      <c r="B2920" t="s">
        <v>91</v>
      </c>
      <c r="C2920" t="s">
        <v>92</v>
      </c>
      <c r="D2920" t="s">
        <v>2051</v>
      </c>
      <c r="E2920">
        <v>80793049</v>
      </c>
      <c r="F2920" t="s">
        <v>2052</v>
      </c>
      <c r="G2920" s="3">
        <v>46396</v>
      </c>
      <c r="H2920">
        <v>24</v>
      </c>
      <c r="I2920">
        <v>28</v>
      </c>
      <c r="J2920">
        <v>2</v>
      </c>
      <c r="K2920" s="4">
        <v>103.78</v>
      </c>
      <c r="L2920" s="4">
        <f>0</f>
        <v>0</v>
      </c>
      <c r="M2920" s="4">
        <f>999</f>
        <v>999</v>
      </c>
      <c r="N2920" t="s">
        <v>19</v>
      </c>
      <c r="O2920" t="str">
        <f t="shared" si="450"/>
        <v>Medium</v>
      </c>
      <c r="P2920" t="str">
        <f t="shared" si="451"/>
        <v>High</v>
      </c>
      <c r="Q2920" t="str">
        <f t="shared" si="452"/>
        <v>High</v>
      </c>
      <c r="R2920" t="s">
        <v>3317</v>
      </c>
      <c r="S2920" s="4">
        <f t="shared" ca="1" si="453"/>
        <v>199</v>
      </c>
      <c r="T2920">
        <f t="shared" si="454"/>
        <v>2</v>
      </c>
      <c r="U2920">
        <f t="shared" si="455"/>
        <v>3</v>
      </c>
      <c r="V2920">
        <f t="shared" si="456"/>
        <v>3</v>
      </c>
      <c r="W2920">
        <f t="shared" si="457"/>
        <v>1</v>
      </c>
      <c r="X2920">
        <f t="shared" si="458"/>
        <v>2.4</v>
      </c>
      <c r="Y2920" t="str">
        <f t="shared" si="459"/>
        <v>High Priority</v>
      </c>
    </row>
    <row r="2921" spans="1:25" x14ac:dyDescent="0.35">
      <c r="A2921" t="s">
        <v>41</v>
      </c>
      <c r="B2921" t="s">
        <v>54</v>
      </c>
      <c r="C2921" t="s">
        <v>87</v>
      </c>
      <c r="D2921" t="s">
        <v>95</v>
      </c>
      <c r="E2921">
        <v>80704076</v>
      </c>
      <c r="F2921" t="s">
        <v>2053</v>
      </c>
      <c r="G2921" s="3">
        <v>47020</v>
      </c>
      <c r="H2921">
        <v>36</v>
      </c>
      <c r="I2921">
        <v>77</v>
      </c>
      <c r="J2921">
        <v>2</v>
      </c>
      <c r="K2921" s="4">
        <v>1333.68</v>
      </c>
      <c r="L2921" s="4">
        <f>0</f>
        <v>0</v>
      </c>
      <c r="M2921" s="4">
        <f>999</f>
        <v>999</v>
      </c>
      <c r="N2921" t="s">
        <v>19</v>
      </c>
      <c r="O2921" t="str">
        <f t="shared" si="450"/>
        <v>Low</v>
      </c>
      <c r="P2921" t="str">
        <f t="shared" si="451"/>
        <v>High</v>
      </c>
      <c r="Q2921" t="str">
        <f t="shared" si="452"/>
        <v>High</v>
      </c>
      <c r="R2921" t="s">
        <v>3317</v>
      </c>
      <c r="S2921" s="4">
        <f t="shared" ca="1" si="453"/>
        <v>823</v>
      </c>
      <c r="T2921">
        <f t="shared" si="454"/>
        <v>1</v>
      </c>
      <c r="U2921">
        <f t="shared" si="455"/>
        <v>3</v>
      </c>
      <c r="V2921">
        <f t="shared" si="456"/>
        <v>3</v>
      </c>
      <c r="W2921">
        <f t="shared" si="457"/>
        <v>1</v>
      </c>
      <c r="X2921">
        <f t="shared" si="458"/>
        <v>2</v>
      </c>
      <c r="Y2921" t="str">
        <f t="shared" si="459"/>
        <v>Monitor</v>
      </c>
    </row>
    <row r="2922" spans="1:25" x14ac:dyDescent="0.35">
      <c r="A2922" t="s">
        <v>41</v>
      </c>
      <c r="B2922" t="s">
        <v>54</v>
      </c>
      <c r="C2922" t="s">
        <v>87</v>
      </c>
      <c r="D2922" t="s">
        <v>95</v>
      </c>
      <c r="E2922">
        <v>80704076</v>
      </c>
      <c r="F2922" t="s">
        <v>2053</v>
      </c>
      <c r="G2922" s="3">
        <v>47020</v>
      </c>
      <c r="H2922">
        <v>36</v>
      </c>
      <c r="I2922">
        <v>77</v>
      </c>
      <c r="J2922">
        <v>12</v>
      </c>
      <c r="K2922" s="4">
        <v>8002.08</v>
      </c>
      <c r="L2922" s="4">
        <f>0</f>
        <v>0</v>
      </c>
      <c r="M2922" s="4">
        <f>999</f>
        <v>999</v>
      </c>
      <c r="N2922" t="s">
        <v>19</v>
      </c>
      <c r="O2922" t="str">
        <f t="shared" si="450"/>
        <v>Low</v>
      </c>
      <c r="P2922" t="str">
        <f t="shared" si="451"/>
        <v>High</v>
      </c>
      <c r="Q2922" t="str">
        <f t="shared" si="452"/>
        <v>High</v>
      </c>
      <c r="R2922" t="s">
        <v>3317</v>
      </c>
      <c r="S2922" s="4">
        <f t="shared" ca="1" si="453"/>
        <v>823</v>
      </c>
      <c r="T2922">
        <f t="shared" si="454"/>
        <v>1</v>
      </c>
      <c r="U2922">
        <f t="shared" si="455"/>
        <v>3</v>
      </c>
      <c r="V2922">
        <f t="shared" si="456"/>
        <v>3</v>
      </c>
      <c r="W2922">
        <f t="shared" si="457"/>
        <v>1</v>
      </c>
      <c r="X2922">
        <f t="shared" si="458"/>
        <v>2</v>
      </c>
      <c r="Y2922" t="str">
        <f t="shared" si="459"/>
        <v>Monitor</v>
      </c>
    </row>
    <row r="2923" spans="1:25" x14ac:dyDescent="0.35">
      <c r="A2923" t="s">
        <v>14</v>
      </c>
      <c r="B2923" t="s">
        <v>15</v>
      </c>
      <c r="C2923" t="s">
        <v>34</v>
      </c>
      <c r="D2923" t="s">
        <v>2054</v>
      </c>
      <c r="E2923">
        <v>80753941</v>
      </c>
      <c r="F2923" t="s">
        <v>2055</v>
      </c>
      <c r="G2923" s="3">
        <v>47430</v>
      </c>
      <c r="H2923">
        <v>60</v>
      </c>
      <c r="I2923">
        <v>69</v>
      </c>
      <c r="J2923">
        <v>11</v>
      </c>
      <c r="K2923" s="4">
        <v>1837.33</v>
      </c>
      <c r="L2923" s="4">
        <f>0</f>
        <v>0</v>
      </c>
      <c r="M2923" s="4">
        <f>999</f>
        <v>999</v>
      </c>
      <c r="N2923" t="s">
        <v>19</v>
      </c>
      <c r="O2923" t="str">
        <f t="shared" si="450"/>
        <v>Low</v>
      </c>
      <c r="P2923" t="str">
        <f t="shared" si="451"/>
        <v>High</v>
      </c>
      <c r="Q2923" t="str">
        <f t="shared" si="452"/>
        <v>High</v>
      </c>
      <c r="R2923" t="s">
        <v>3317</v>
      </c>
      <c r="S2923" s="4">
        <f t="shared" ca="1" si="453"/>
        <v>1233</v>
      </c>
      <c r="T2923">
        <f t="shared" si="454"/>
        <v>1</v>
      </c>
      <c r="U2923">
        <f t="shared" si="455"/>
        <v>3</v>
      </c>
      <c r="V2923">
        <f t="shared" si="456"/>
        <v>3</v>
      </c>
      <c r="W2923">
        <f t="shared" si="457"/>
        <v>1</v>
      </c>
      <c r="X2923">
        <f t="shared" si="458"/>
        <v>2</v>
      </c>
      <c r="Y2923" t="str">
        <f t="shared" si="459"/>
        <v>Monitor</v>
      </c>
    </row>
    <row r="2924" spans="1:25" x14ac:dyDescent="0.35">
      <c r="A2924" t="s">
        <v>41</v>
      </c>
      <c r="B2924" t="s">
        <v>54</v>
      </c>
      <c r="C2924" t="s">
        <v>87</v>
      </c>
      <c r="D2924" t="s">
        <v>95</v>
      </c>
      <c r="E2924">
        <v>80704076</v>
      </c>
      <c r="F2924" t="s">
        <v>2053</v>
      </c>
      <c r="G2924" s="3">
        <v>47020</v>
      </c>
      <c r="H2924">
        <v>36</v>
      </c>
      <c r="I2924">
        <v>77</v>
      </c>
      <c r="J2924">
        <v>10</v>
      </c>
      <c r="K2924" s="4">
        <v>6668.4</v>
      </c>
      <c r="L2924" s="4">
        <f>0</f>
        <v>0</v>
      </c>
      <c r="M2924" s="4">
        <f>999</f>
        <v>999</v>
      </c>
      <c r="N2924" t="s">
        <v>19</v>
      </c>
      <c r="O2924" t="str">
        <f t="shared" si="450"/>
        <v>Low</v>
      </c>
      <c r="P2924" t="str">
        <f t="shared" si="451"/>
        <v>High</v>
      </c>
      <c r="Q2924" t="str">
        <f t="shared" si="452"/>
        <v>High</v>
      </c>
      <c r="R2924" t="s">
        <v>3317</v>
      </c>
      <c r="S2924" s="4">
        <f t="shared" ca="1" si="453"/>
        <v>823</v>
      </c>
      <c r="T2924">
        <f t="shared" si="454"/>
        <v>1</v>
      </c>
      <c r="U2924">
        <f t="shared" si="455"/>
        <v>3</v>
      </c>
      <c r="V2924">
        <f t="shared" si="456"/>
        <v>3</v>
      </c>
      <c r="W2924">
        <f t="shared" si="457"/>
        <v>1</v>
      </c>
      <c r="X2924">
        <f t="shared" si="458"/>
        <v>2</v>
      </c>
      <c r="Y2924" t="str">
        <f t="shared" si="459"/>
        <v>Monitor</v>
      </c>
    </row>
    <row r="2925" spans="1:25" x14ac:dyDescent="0.35">
      <c r="A2925" t="s">
        <v>14</v>
      </c>
      <c r="B2925" t="s">
        <v>15</v>
      </c>
      <c r="C2925" t="s">
        <v>34</v>
      </c>
      <c r="D2925" t="s">
        <v>2054</v>
      </c>
      <c r="E2925">
        <v>80753941</v>
      </c>
      <c r="F2925" t="s">
        <v>2055</v>
      </c>
      <c r="G2925" s="3">
        <v>47433</v>
      </c>
      <c r="H2925">
        <v>60</v>
      </c>
      <c r="I2925">
        <v>69</v>
      </c>
      <c r="J2925">
        <v>1</v>
      </c>
      <c r="K2925" s="4">
        <v>167.03</v>
      </c>
      <c r="L2925" s="4">
        <f>0</f>
        <v>0</v>
      </c>
      <c r="M2925" s="4">
        <f>999</f>
        <v>999</v>
      </c>
      <c r="N2925" t="s">
        <v>19</v>
      </c>
      <c r="O2925" t="str">
        <f t="shared" si="450"/>
        <v>Low</v>
      </c>
      <c r="P2925" t="str">
        <f t="shared" si="451"/>
        <v>High</v>
      </c>
      <c r="Q2925" t="str">
        <f t="shared" si="452"/>
        <v>High</v>
      </c>
      <c r="R2925" t="s">
        <v>3317</v>
      </c>
      <c r="S2925" s="4">
        <f t="shared" ca="1" si="453"/>
        <v>1236</v>
      </c>
      <c r="T2925">
        <f t="shared" si="454"/>
        <v>1</v>
      </c>
      <c r="U2925">
        <f t="shared" si="455"/>
        <v>3</v>
      </c>
      <c r="V2925">
        <f t="shared" si="456"/>
        <v>3</v>
      </c>
      <c r="W2925">
        <f t="shared" si="457"/>
        <v>1</v>
      </c>
      <c r="X2925">
        <f t="shared" si="458"/>
        <v>2</v>
      </c>
      <c r="Y2925" t="str">
        <f t="shared" si="459"/>
        <v>Monitor</v>
      </c>
    </row>
    <row r="2926" spans="1:25" x14ac:dyDescent="0.35">
      <c r="A2926" t="s">
        <v>29</v>
      </c>
      <c r="B2926" t="s">
        <v>30</v>
      </c>
      <c r="C2926" t="s">
        <v>449</v>
      </c>
      <c r="D2926" t="s">
        <v>1000</v>
      </c>
      <c r="E2926">
        <v>80788673</v>
      </c>
      <c r="F2926" t="s">
        <v>2056</v>
      </c>
      <c r="G2926" s="3">
        <v>46606</v>
      </c>
      <c r="H2926">
        <v>36</v>
      </c>
      <c r="I2926">
        <v>38</v>
      </c>
      <c r="J2926">
        <v>2</v>
      </c>
      <c r="K2926" s="4">
        <v>1834.8</v>
      </c>
      <c r="L2926" s="4">
        <f>0</f>
        <v>0</v>
      </c>
      <c r="M2926" s="4">
        <f>999</f>
        <v>999</v>
      </c>
      <c r="N2926" t="s">
        <v>19</v>
      </c>
      <c r="O2926" t="str">
        <f t="shared" si="450"/>
        <v>Medium</v>
      </c>
      <c r="P2926" t="str">
        <f t="shared" si="451"/>
        <v>High</v>
      </c>
      <c r="Q2926" t="str">
        <f t="shared" si="452"/>
        <v>High</v>
      </c>
      <c r="R2926" t="s">
        <v>3317</v>
      </c>
      <c r="S2926" s="4">
        <f t="shared" ca="1" si="453"/>
        <v>409</v>
      </c>
      <c r="T2926">
        <f t="shared" si="454"/>
        <v>2</v>
      </c>
      <c r="U2926">
        <f t="shared" si="455"/>
        <v>3</v>
      </c>
      <c r="V2926">
        <f t="shared" si="456"/>
        <v>3</v>
      </c>
      <c r="W2926">
        <f t="shared" si="457"/>
        <v>1</v>
      </c>
      <c r="X2926">
        <f t="shared" si="458"/>
        <v>2.4</v>
      </c>
      <c r="Y2926" t="str">
        <f t="shared" si="459"/>
        <v>High Priority</v>
      </c>
    </row>
    <row r="2927" spans="1:25" x14ac:dyDescent="0.35">
      <c r="A2927" t="s">
        <v>41</v>
      </c>
      <c r="B2927" t="s">
        <v>42</v>
      </c>
      <c r="C2927" t="s">
        <v>43</v>
      </c>
      <c r="D2927" t="s">
        <v>846</v>
      </c>
      <c r="E2927">
        <v>80706998</v>
      </c>
      <c r="F2927" t="s">
        <v>2057</v>
      </c>
      <c r="G2927" s="3">
        <v>47020</v>
      </c>
      <c r="H2927">
        <v>36</v>
      </c>
      <c r="I2927">
        <v>77</v>
      </c>
      <c r="J2927">
        <v>12</v>
      </c>
      <c r="K2927" s="4">
        <v>5893.56</v>
      </c>
      <c r="L2927" s="4">
        <f>0</f>
        <v>0</v>
      </c>
      <c r="M2927" s="4">
        <f>999</f>
        <v>999</v>
      </c>
      <c r="N2927" t="s">
        <v>19</v>
      </c>
      <c r="O2927" t="str">
        <f t="shared" si="450"/>
        <v>Low</v>
      </c>
      <c r="P2927" t="str">
        <f t="shared" si="451"/>
        <v>High</v>
      </c>
      <c r="Q2927" t="str">
        <f t="shared" si="452"/>
        <v>High</v>
      </c>
      <c r="R2927" t="s">
        <v>3317</v>
      </c>
      <c r="S2927" s="4">
        <f t="shared" ca="1" si="453"/>
        <v>823</v>
      </c>
      <c r="T2927">
        <f t="shared" si="454"/>
        <v>1</v>
      </c>
      <c r="U2927">
        <f t="shared" si="455"/>
        <v>3</v>
      </c>
      <c r="V2927">
        <f t="shared" si="456"/>
        <v>3</v>
      </c>
      <c r="W2927">
        <f t="shared" si="457"/>
        <v>1</v>
      </c>
      <c r="X2927">
        <f t="shared" si="458"/>
        <v>2</v>
      </c>
      <c r="Y2927" t="str">
        <f t="shared" si="459"/>
        <v>Monitor</v>
      </c>
    </row>
    <row r="2928" spans="1:25" x14ac:dyDescent="0.35">
      <c r="A2928" t="s">
        <v>179</v>
      </c>
      <c r="B2928" t="s">
        <v>195</v>
      </c>
      <c r="C2928" t="s">
        <v>196</v>
      </c>
      <c r="D2928" t="s">
        <v>2058</v>
      </c>
      <c r="E2928">
        <v>80794604</v>
      </c>
      <c r="F2928" t="s">
        <v>2059</v>
      </c>
      <c r="G2928" s="3">
        <v>45968</v>
      </c>
      <c r="H2928">
        <v>16</v>
      </c>
      <c r="I2928">
        <v>0</v>
      </c>
      <c r="J2928">
        <v>34</v>
      </c>
      <c r="K2928" s="4">
        <v>5137.74</v>
      </c>
      <c r="L2928" s="4">
        <v>1.5714285714285714</v>
      </c>
      <c r="M2928" s="4">
        <v>21.636363636363637</v>
      </c>
      <c r="N2928" t="s">
        <v>19</v>
      </c>
      <c r="O2928" t="str">
        <f t="shared" si="450"/>
        <v>High</v>
      </c>
      <c r="P2928" t="str">
        <f t="shared" si="451"/>
        <v>High</v>
      </c>
      <c r="Q2928" t="str">
        <f t="shared" si="452"/>
        <v>High</v>
      </c>
      <c r="R2928" t="s">
        <v>3317</v>
      </c>
      <c r="S2928" s="4">
        <f t="shared" ca="1" si="453"/>
        <v>-229</v>
      </c>
      <c r="T2928">
        <f t="shared" si="454"/>
        <v>3</v>
      </c>
      <c r="U2928">
        <f t="shared" si="455"/>
        <v>3</v>
      </c>
      <c r="V2928">
        <f t="shared" si="456"/>
        <v>3</v>
      </c>
      <c r="W2928">
        <f t="shared" si="457"/>
        <v>1</v>
      </c>
      <c r="X2928">
        <f t="shared" si="458"/>
        <v>2.8000000000000003</v>
      </c>
      <c r="Y2928" t="str">
        <f t="shared" si="459"/>
        <v>Move Immediately</v>
      </c>
    </row>
    <row r="2929" spans="1:25" x14ac:dyDescent="0.35">
      <c r="A2929" t="s">
        <v>29</v>
      </c>
      <c r="B2929" t="s">
        <v>30</v>
      </c>
      <c r="C2929" t="s">
        <v>147</v>
      </c>
      <c r="D2929" t="s">
        <v>2060</v>
      </c>
      <c r="E2929">
        <v>80794643</v>
      </c>
      <c r="F2929" t="s">
        <v>2061</v>
      </c>
      <c r="G2929" s="3">
        <v>46696</v>
      </c>
      <c r="H2929">
        <v>36</v>
      </c>
      <c r="I2929">
        <v>47</v>
      </c>
      <c r="J2929">
        <v>12</v>
      </c>
      <c r="K2929" s="4">
        <v>17269.8</v>
      </c>
      <c r="L2929" s="4">
        <v>38.857142857142854</v>
      </c>
      <c r="M2929" s="4">
        <v>0.30882352941176472</v>
      </c>
      <c r="N2929" t="s">
        <v>25</v>
      </c>
      <c r="O2929" t="str">
        <f t="shared" si="450"/>
        <v>Low</v>
      </c>
      <c r="P2929" t="str">
        <f t="shared" si="451"/>
        <v>Low</v>
      </c>
      <c r="Q2929" t="str">
        <f t="shared" si="452"/>
        <v>Low</v>
      </c>
      <c r="R2929" t="s">
        <v>3317</v>
      </c>
      <c r="S2929" s="4">
        <f t="shared" ca="1" si="453"/>
        <v>499</v>
      </c>
      <c r="T2929">
        <f t="shared" si="454"/>
        <v>1</v>
      </c>
      <c r="U2929">
        <f t="shared" si="455"/>
        <v>1</v>
      </c>
      <c r="V2929">
        <f t="shared" si="456"/>
        <v>1</v>
      </c>
      <c r="W2929">
        <f t="shared" si="457"/>
        <v>1</v>
      </c>
      <c r="X2929">
        <f t="shared" si="458"/>
        <v>0.99999999999999989</v>
      </c>
      <c r="Y2929" t="str">
        <f t="shared" si="459"/>
        <v>Healthy</v>
      </c>
    </row>
    <row r="2930" spans="1:25" x14ac:dyDescent="0.35">
      <c r="A2930" t="s">
        <v>29</v>
      </c>
      <c r="B2930" t="s">
        <v>30</v>
      </c>
      <c r="C2930" t="s">
        <v>147</v>
      </c>
      <c r="D2930" t="s">
        <v>2060</v>
      </c>
      <c r="E2930">
        <v>80794643</v>
      </c>
      <c r="F2930" t="s">
        <v>2061</v>
      </c>
      <c r="G2930" s="3">
        <v>46866</v>
      </c>
      <c r="H2930">
        <v>36</v>
      </c>
      <c r="I2930">
        <v>62</v>
      </c>
      <c r="J2930">
        <v>8</v>
      </c>
      <c r="K2930" s="4">
        <v>11513.2</v>
      </c>
      <c r="L2930" s="4">
        <v>38.857142857142854</v>
      </c>
      <c r="M2930" s="4">
        <v>0.20588235294117649</v>
      </c>
      <c r="N2930" t="s">
        <v>25</v>
      </c>
      <c r="O2930" t="str">
        <f t="shared" si="450"/>
        <v>Low</v>
      </c>
      <c r="P2930" t="str">
        <f t="shared" si="451"/>
        <v>Low</v>
      </c>
      <c r="Q2930" t="str">
        <f t="shared" si="452"/>
        <v>Low</v>
      </c>
      <c r="R2930" t="s">
        <v>3317</v>
      </c>
      <c r="S2930" s="4">
        <f t="shared" ca="1" si="453"/>
        <v>669</v>
      </c>
      <c r="T2930">
        <f t="shared" si="454"/>
        <v>1</v>
      </c>
      <c r="U2930">
        <f t="shared" si="455"/>
        <v>1</v>
      </c>
      <c r="V2930">
        <f t="shared" si="456"/>
        <v>1</v>
      </c>
      <c r="W2930">
        <f t="shared" si="457"/>
        <v>1</v>
      </c>
      <c r="X2930">
        <f t="shared" si="458"/>
        <v>0.99999999999999989</v>
      </c>
      <c r="Y2930" t="str">
        <f t="shared" si="459"/>
        <v>Healthy</v>
      </c>
    </row>
    <row r="2931" spans="1:25" x14ac:dyDescent="0.35">
      <c r="A2931" t="s">
        <v>29</v>
      </c>
      <c r="B2931" t="s">
        <v>30</v>
      </c>
      <c r="C2931" t="s">
        <v>147</v>
      </c>
      <c r="D2931" t="s">
        <v>2060</v>
      </c>
      <c r="E2931">
        <v>80794643</v>
      </c>
      <c r="F2931" t="s">
        <v>2061</v>
      </c>
      <c r="G2931" s="3">
        <v>46516</v>
      </c>
      <c r="H2931">
        <v>36</v>
      </c>
      <c r="I2931">
        <v>30</v>
      </c>
      <c r="J2931">
        <v>6</v>
      </c>
      <c r="K2931" s="4">
        <v>8634.9</v>
      </c>
      <c r="L2931" s="4">
        <v>38.857142857142854</v>
      </c>
      <c r="M2931" s="4">
        <v>0.15441176470588236</v>
      </c>
      <c r="N2931" t="s">
        <v>25</v>
      </c>
      <c r="O2931" t="str">
        <f t="shared" si="450"/>
        <v>Medium</v>
      </c>
      <c r="P2931" t="str">
        <f t="shared" si="451"/>
        <v>Low</v>
      </c>
      <c r="Q2931" t="str">
        <f t="shared" si="452"/>
        <v>Low</v>
      </c>
      <c r="R2931" t="s">
        <v>3317</v>
      </c>
      <c r="S2931" s="4">
        <f t="shared" ca="1" si="453"/>
        <v>319</v>
      </c>
      <c r="T2931">
        <f t="shared" si="454"/>
        <v>2</v>
      </c>
      <c r="U2931">
        <f t="shared" si="455"/>
        <v>1</v>
      </c>
      <c r="V2931">
        <f t="shared" si="456"/>
        <v>1</v>
      </c>
      <c r="W2931">
        <f t="shared" si="457"/>
        <v>1</v>
      </c>
      <c r="X2931">
        <f t="shared" si="458"/>
        <v>1.4000000000000001</v>
      </c>
      <c r="Y2931" t="str">
        <f t="shared" si="459"/>
        <v>Healthy</v>
      </c>
    </row>
    <row r="2932" spans="1:25" x14ac:dyDescent="0.35">
      <c r="A2932" t="s">
        <v>29</v>
      </c>
      <c r="B2932" t="s">
        <v>30</v>
      </c>
      <c r="C2932" t="s">
        <v>147</v>
      </c>
      <c r="D2932" t="s">
        <v>2060</v>
      </c>
      <c r="E2932">
        <v>80794643</v>
      </c>
      <c r="F2932" t="s">
        <v>2061</v>
      </c>
      <c r="G2932" s="3">
        <v>46717</v>
      </c>
      <c r="H2932">
        <v>36</v>
      </c>
      <c r="I2932">
        <v>49</v>
      </c>
      <c r="J2932">
        <v>21</v>
      </c>
      <c r="K2932" s="4">
        <v>30222.15</v>
      </c>
      <c r="L2932" s="4">
        <v>38.857142857142854</v>
      </c>
      <c r="M2932" s="4">
        <v>0.54044117647058831</v>
      </c>
      <c r="N2932" t="s">
        <v>25</v>
      </c>
      <c r="O2932" t="str">
        <f t="shared" si="450"/>
        <v>Low</v>
      </c>
      <c r="P2932" t="str">
        <f t="shared" si="451"/>
        <v>Low</v>
      </c>
      <c r="Q2932" t="str">
        <f t="shared" si="452"/>
        <v>Low</v>
      </c>
      <c r="R2932" t="s">
        <v>3317</v>
      </c>
      <c r="S2932" s="4">
        <f t="shared" ca="1" si="453"/>
        <v>520</v>
      </c>
      <c r="T2932">
        <f t="shared" si="454"/>
        <v>1</v>
      </c>
      <c r="U2932">
        <f t="shared" si="455"/>
        <v>1</v>
      </c>
      <c r="V2932">
        <f t="shared" si="456"/>
        <v>1</v>
      </c>
      <c r="W2932">
        <f t="shared" si="457"/>
        <v>1</v>
      </c>
      <c r="X2932">
        <f t="shared" si="458"/>
        <v>0.99999999999999989</v>
      </c>
      <c r="Y2932" t="str">
        <f t="shared" si="459"/>
        <v>Healthy</v>
      </c>
    </row>
    <row r="2933" spans="1:25" x14ac:dyDescent="0.35">
      <c r="A2933" t="s">
        <v>944</v>
      </c>
      <c r="B2933" t="s">
        <v>945</v>
      </c>
      <c r="C2933" t="s">
        <v>946</v>
      </c>
      <c r="D2933" t="s">
        <v>2062</v>
      </c>
      <c r="E2933">
        <v>80798190</v>
      </c>
      <c r="F2933" t="s">
        <v>2063</v>
      </c>
      <c r="G2933" s="3">
        <v>47453</v>
      </c>
      <c r="H2933">
        <v>60</v>
      </c>
      <c r="I2933">
        <v>70</v>
      </c>
      <c r="J2933">
        <v>1</v>
      </c>
      <c r="K2933" s="4">
        <v>3751.73</v>
      </c>
      <c r="L2933" s="4">
        <v>18.714285714285715</v>
      </c>
      <c r="M2933" s="4">
        <v>5.3435114503816793E-2</v>
      </c>
      <c r="N2933" t="s">
        <v>25</v>
      </c>
      <c r="O2933" t="str">
        <f t="shared" si="450"/>
        <v>Low</v>
      </c>
      <c r="P2933" t="str">
        <f t="shared" si="451"/>
        <v>Low</v>
      </c>
      <c r="Q2933" t="str">
        <f t="shared" si="452"/>
        <v>Low</v>
      </c>
      <c r="R2933" t="s">
        <v>3317</v>
      </c>
      <c r="S2933" s="4">
        <f t="shared" ca="1" si="453"/>
        <v>1256</v>
      </c>
      <c r="T2933">
        <f t="shared" si="454"/>
        <v>1</v>
      </c>
      <c r="U2933">
        <f t="shared" si="455"/>
        <v>1</v>
      </c>
      <c r="V2933">
        <f t="shared" si="456"/>
        <v>1</v>
      </c>
      <c r="W2933">
        <f t="shared" si="457"/>
        <v>1</v>
      </c>
      <c r="X2933">
        <f t="shared" si="458"/>
        <v>0.99999999999999989</v>
      </c>
      <c r="Y2933" t="str">
        <f t="shared" si="459"/>
        <v>Healthy</v>
      </c>
    </row>
    <row r="2934" spans="1:25" x14ac:dyDescent="0.35">
      <c r="A2934" t="s">
        <v>179</v>
      </c>
      <c r="B2934" t="s">
        <v>223</v>
      </c>
      <c r="C2934" t="s">
        <v>408</v>
      </c>
      <c r="D2934" t="s">
        <v>2064</v>
      </c>
      <c r="E2934">
        <v>80823666</v>
      </c>
      <c r="F2934" t="s">
        <v>2065</v>
      </c>
      <c r="G2934" s="3">
        <v>45965</v>
      </c>
      <c r="H2934">
        <v>16</v>
      </c>
      <c r="I2934">
        <v>0</v>
      </c>
      <c r="J2934">
        <v>34</v>
      </c>
      <c r="K2934" s="4">
        <v>11484.18</v>
      </c>
      <c r="L2934" s="4">
        <v>35</v>
      </c>
      <c r="M2934" s="4">
        <v>0.97142857142857142</v>
      </c>
      <c r="N2934" t="s">
        <v>25</v>
      </c>
      <c r="O2934" t="str">
        <f t="shared" si="450"/>
        <v>High</v>
      </c>
      <c r="P2934" t="str">
        <f t="shared" si="451"/>
        <v>Low</v>
      </c>
      <c r="Q2934" t="str">
        <f t="shared" si="452"/>
        <v>Low</v>
      </c>
      <c r="R2934" t="s">
        <v>3317</v>
      </c>
      <c r="S2934" s="4">
        <f t="shared" ca="1" si="453"/>
        <v>-232</v>
      </c>
      <c r="T2934">
        <f t="shared" si="454"/>
        <v>3</v>
      </c>
      <c r="U2934">
        <f t="shared" si="455"/>
        <v>1</v>
      </c>
      <c r="V2934">
        <f t="shared" si="456"/>
        <v>1</v>
      </c>
      <c r="W2934">
        <f t="shared" si="457"/>
        <v>1</v>
      </c>
      <c r="X2934">
        <f t="shared" si="458"/>
        <v>1.8000000000000003</v>
      </c>
      <c r="Y2934" t="str">
        <f t="shared" si="459"/>
        <v>Monitor</v>
      </c>
    </row>
    <row r="2935" spans="1:25" x14ac:dyDescent="0.35">
      <c r="A2935" t="s">
        <v>179</v>
      </c>
      <c r="B2935" t="s">
        <v>223</v>
      </c>
      <c r="C2935" t="s">
        <v>408</v>
      </c>
      <c r="D2935" t="s">
        <v>2064</v>
      </c>
      <c r="E2935">
        <v>80823666</v>
      </c>
      <c r="F2935" t="s">
        <v>2065</v>
      </c>
      <c r="G2935" s="3">
        <v>45958</v>
      </c>
      <c r="H2935">
        <v>16</v>
      </c>
      <c r="I2935">
        <v>0</v>
      </c>
      <c r="J2935">
        <v>2</v>
      </c>
      <c r="K2935" s="4">
        <v>675.54</v>
      </c>
      <c r="L2935" s="4">
        <v>35</v>
      </c>
      <c r="M2935" s="4">
        <v>5.7142857142857141E-2</v>
      </c>
      <c r="N2935" t="s">
        <v>25</v>
      </c>
      <c r="O2935" t="str">
        <f t="shared" si="450"/>
        <v>High</v>
      </c>
      <c r="P2935" t="str">
        <f t="shared" si="451"/>
        <v>Low</v>
      </c>
      <c r="Q2935" t="str">
        <f t="shared" si="452"/>
        <v>Low</v>
      </c>
      <c r="R2935" t="s">
        <v>3317</v>
      </c>
      <c r="S2935" s="4">
        <f t="shared" ca="1" si="453"/>
        <v>-239</v>
      </c>
      <c r="T2935">
        <f t="shared" si="454"/>
        <v>3</v>
      </c>
      <c r="U2935">
        <f t="shared" si="455"/>
        <v>1</v>
      </c>
      <c r="V2935">
        <f t="shared" si="456"/>
        <v>1</v>
      </c>
      <c r="W2935">
        <f t="shared" si="457"/>
        <v>1</v>
      </c>
      <c r="X2935">
        <f t="shared" si="458"/>
        <v>1.8000000000000003</v>
      </c>
      <c r="Y2935" t="str">
        <f t="shared" si="459"/>
        <v>Monitor</v>
      </c>
    </row>
    <row r="2936" spans="1:25" x14ac:dyDescent="0.35">
      <c r="A2936" t="s">
        <v>189</v>
      </c>
      <c r="B2936" t="s">
        <v>1219</v>
      </c>
      <c r="C2936" t="s">
        <v>1219</v>
      </c>
      <c r="D2936" t="s">
        <v>2066</v>
      </c>
      <c r="E2936">
        <v>80812661</v>
      </c>
      <c r="F2936" t="s">
        <v>2067</v>
      </c>
      <c r="G2936" s="3">
        <v>46609</v>
      </c>
      <c r="H2936">
        <v>24</v>
      </c>
      <c r="I2936">
        <v>58</v>
      </c>
      <c r="J2936">
        <v>14</v>
      </c>
      <c r="K2936" s="4">
        <v>2254.14</v>
      </c>
      <c r="L2936" s="4">
        <v>549.28571428571433</v>
      </c>
      <c r="M2936" s="4">
        <v>2.5487646293888163E-2</v>
      </c>
      <c r="N2936" t="s">
        <v>25</v>
      </c>
      <c r="O2936" t="str">
        <f t="shared" si="450"/>
        <v>Low</v>
      </c>
      <c r="P2936" t="str">
        <f t="shared" si="451"/>
        <v>Low</v>
      </c>
      <c r="Q2936" t="str">
        <f t="shared" si="452"/>
        <v>Low</v>
      </c>
      <c r="R2936" t="s">
        <v>3317</v>
      </c>
      <c r="S2936" s="4">
        <f t="shared" ca="1" si="453"/>
        <v>412</v>
      </c>
      <c r="T2936">
        <f t="shared" si="454"/>
        <v>1</v>
      </c>
      <c r="U2936">
        <f t="shared" si="455"/>
        <v>1</v>
      </c>
      <c r="V2936">
        <f t="shared" si="456"/>
        <v>1</v>
      </c>
      <c r="W2936">
        <f t="shared" si="457"/>
        <v>1</v>
      </c>
      <c r="X2936">
        <f t="shared" si="458"/>
        <v>0.99999999999999989</v>
      </c>
      <c r="Y2936" t="str">
        <f t="shared" si="459"/>
        <v>Healthy</v>
      </c>
    </row>
    <row r="2937" spans="1:25" x14ac:dyDescent="0.35">
      <c r="A2937" t="s">
        <v>71</v>
      </c>
      <c r="B2937" t="s">
        <v>72</v>
      </c>
      <c r="C2937" t="s">
        <v>73</v>
      </c>
      <c r="D2937" t="s">
        <v>97</v>
      </c>
      <c r="E2937">
        <v>80815787</v>
      </c>
      <c r="F2937" t="s">
        <v>2068</v>
      </c>
      <c r="G2937" s="3">
        <v>46887</v>
      </c>
      <c r="H2937">
        <v>36</v>
      </c>
      <c r="I2937">
        <v>64</v>
      </c>
      <c r="J2937">
        <v>6</v>
      </c>
      <c r="K2937" s="4">
        <v>4041.48</v>
      </c>
      <c r="L2937" s="4">
        <f>0</f>
        <v>0</v>
      </c>
      <c r="M2937" s="4">
        <f>999</f>
        <v>999</v>
      </c>
      <c r="N2937" t="s">
        <v>19</v>
      </c>
      <c r="O2937" t="str">
        <f t="shared" si="450"/>
        <v>Low</v>
      </c>
      <c r="P2937" t="str">
        <f t="shared" si="451"/>
        <v>High</v>
      </c>
      <c r="Q2937" t="str">
        <f t="shared" si="452"/>
        <v>High</v>
      </c>
      <c r="R2937" t="s">
        <v>3317</v>
      </c>
      <c r="S2937" s="4">
        <f t="shared" ca="1" si="453"/>
        <v>690</v>
      </c>
      <c r="T2937">
        <f t="shared" si="454"/>
        <v>1</v>
      </c>
      <c r="U2937">
        <f t="shared" si="455"/>
        <v>3</v>
      </c>
      <c r="V2937">
        <f t="shared" si="456"/>
        <v>3</v>
      </c>
      <c r="W2937">
        <f t="shared" si="457"/>
        <v>1</v>
      </c>
      <c r="X2937">
        <f t="shared" si="458"/>
        <v>2</v>
      </c>
      <c r="Y2937" t="str">
        <f t="shared" si="459"/>
        <v>Monitor</v>
      </c>
    </row>
    <row r="2938" spans="1:25" x14ac:dyDescent="0.35">
      <c r="A2938" t="s">
        <v>71</v>
      </c>
      <c r="B2938" t="s">
        <v>72</v>
      </c>
      <c r="C2938" t="s">
        <v>73</v>
      </c>
      <c r="D2938" t="s">
        <v>2009</v>
      </c>
      <c r="E2938">
        <v>80815735</v>
      </c>
      <c r="F2938" t="s">
        <v>2069</v>
      </c>
      <c r="G2938" s="3">
        <v>46872</v>
      </c>
      <c r="H2938">
        <v>36</v>
      </c>
      <c r="I2938">
        <v>63</v>
      </c>
      <c r="J2938">
        <v>6</v>
      </c>
      <c r="K2938" s="4">
        <v>4041.48</v>
      </c>
      <c r="L2938" s="4">
        <f>0</f>
        <v>0</v>
      </c>
      <c r="M2938" s="4">
        <f>999</f>
        <v>999</v>
      </c>
      <c r="N2938" t="s">
        <v>19</v>
      </c>
      <c r="O2938" t="str">
        <f t="shared" si="450"/>
        <v>Low</v>
      </c>
      <c r="P2938" t="str">
        <f t="shared" si="451"/>
        <v>High</v>
      </c>
      <c r="Q2938" t="str">
        <f t="shared" si="452"/>
        <v>High</v>
      </c>
      <c r="R2938" t="s">
        <v>3317</v>
      </c>
      <c r="S2938" s="4">
        <f t="shared" ca="1" si="453"/>
        <v>675</v>
      </c>
      <c r="T2938">
        <f t="shared" si="454"/>
        <v>1</v>
      </c>
      <c r="U2938">
        <f t="shared" si="455"/>
        <v>3</v>
      </c>
      <c r="V2938">
        <f t="shared" si="456"/>
        <v>3</v>
      </c>
      <c r="W2938">
        <f t="shared" si="457"/>
        <v>1</v>
      </c>
      <c r="X2938">
        <f t="shared" si="458"/>
        <v>2</v>
      </c>
      <c r="Y2938" t="str">
        <f t="shared" si="459"/>
        <v>Monitor</v>
      </c>
    </row>
    <row r="2939" spans="1:25" x14ac:dyDescent="0.35">
      <c r="A2939" t="s">
        <v>14</v>
      </c>
      <c r="B2939" t="s">
        <v>267</v>
      </c>
      <c r="C2939" t="s">
        <v>268</v>
      </c>
      <c r="D2939" t="s">
        <v>269</v>
      </c>
      <c r="E2939">
        <v>82269582</v>
      </c>
      <c r="F2939" t="s">
        <v>2070</v>
      </c>
      <c r="G2939" s="3">
        <v>45152</v>
      </c>
      <c r="H2939">
        <v>60</v>
      </c>
      <c r="I2939">
        <v>0</v>
      </c>
      <c r="J2939">
        <v>12</v>
      </c>
      <c r="K2939" s="4">
        <v>771.36</v>
      </c>
      <c r="L2939" s="4">
        <f>0</f>
        <v>0</v>
      </c>
      <c r="M2939" s="4">
        <f>999</f>
        <v>999</v>
      </c>
      <c r="N2939" t="s">
        <v>19</v>
      </c>
      <c r="O2939" t="str">
        <f t="shared" si="450"/>
        <v>High</v>
      </c>
      <c r="P2939" t="str">
        <f t="shared" si="451"/>
        <v>High</v>
      </c>
      <c r="Q2939" t="str">
        <f t="shared" si="452"/>
        <v>High</v>
      </c>
      <c r="R2939" t="s">
        <v>3317</v>
      </c>
      <c r="S2939" s="4">
        <f t="shared" ca="1" si="453"/>
        <v>-1045</v>
      </c>
      <c r="T2939">
        <f t="shared" si="454"/>
        <v>3</v>
      </c>
      <c r="U2939">
        <f t="shared" si="455"/>
        <v>3</v>
      </c>
      <c r="V2939">
        <f t="shared" si="456"/>
        <v>3</v>
      </c>
      <c r="W2939">
        <f t="shared" si="457"/>
        <v>1</v>
      </c>
      <c r="X2939">
        <f t="shared" si="458"/>
        <v>2.8000000000000003</v>
      </c>
      <c r="Y2939" t="str">
        <f t="shared" si="459"/>
        <v>Move Immediately</v>
      </c>
    </row>
    <row r="2940" spans="1:25" x14ac:dyDescent="0.35">
      <c r="A2940" t="s">
        <v>41</v>
      </c>
      <c r="B2940" t="s">
        <v>42</v>
      </c>
      <c r="C2940" t="s">
        <v>365</v>
      </c>
      <c r="D2940" t="s">
        <v>396</v>
      </c>
      <c r="E2940">
        <v>80798911</v>
      </c>
      <c r="F2940" t="s">
        <v>2071</v>
      </c>
      <c r="G2940" s="3">
        <v>46631</v>
      </c>
      <c r="H2940">
        <v>36</v>
      </c>
      <c r="I2940">
        <v>41</v>
      </c>
      <c r="J2940">
        <v>4</v>
      </c>
      <c r="K2940" s="4">
        <v>3044.48</v>
      </c>
      <c r="L2940" s="4">
        <f>0</f>
        <v>0</v>
      </c>
      <c r="M2940" s="4">
        <f>999</f>
        <v>999</v>
      </c>
      <c r="N2940" t="s">
        <v>19</v>
      </c>
      <c r="O2940" t="str">
        <f t="shared" si="450"/>
        <v>Low</v>
      </c>
      <c r="P2940" t="str">
        <f t="shared" si="451"/>
        <v>High</v>
      </c>
      <c r="Q2940" t="str">
        <f t="shared" si="452"/>
        <v>High</v>
      </c>
      <c r="R2940" t="s">
        <v>3317</v>
      </c>
      <c r="S2940" s="4">
        <f t="shared" ca="1" si="453"/>
        <v>434</v>
      </c>
      <c r="T2940">
        <f t="shared" si="454"/>
        <v>1</v>
      </c>
      <c r="U2940">
        <f t="shared" si="455"/>
        <v>3</v>
      </c>
      <c r="V2940">
        <f t="shared" si="456"/>
        <v>3</v>
      </c>
      <c r="W2940">
        <f t="shared" si="457"/>
        <v>1</v>
      </c>
      <c r="X2940">
        <f t="shared" si="458"/>
        <v>2</v>
      </c>
      <c r="Y2940" t="str">
        <f t="shared" si="459"/>
        <v>Monitor</v>
      </c>
    </row>
    <row r="2941" spans="1:25" x14ac:dyDescent="0.35">
      <c r="A2941" t="s">
        <v>41</v>
      </c>
      <c r="B2941" t="s">
        <v>42</v>
      </c>
      <c r="C2941" t="s">
        <v>365</v>
      </c>
      <c r="D2941" t="s">
        <v>396</v>
      </c>
      <c r="E2941">
        <v>80798911</v>
      </c>
      <c r="F2941" t="s">
        <v>2071</v>
      </c>
      <c r="G2941" s="3">
        <v>46633</v>
      </c>
      <c r="H2941">
        <v>36</v>
      </c>
      <c r="I2941">
        <v>41</v>
      </c>
      <c r="J2941">
        <v>7</v>
      </c>
      <c r="K2941" s="4">
        <v>5327.84</v>
      </c>
      <c r="L2941" s="4">
        <f>0</f>
        <v>0</v>
      </c>
      <c r="M2941" s="4">
        <f>999</f>
        <v>999</v>
      </c>
      <c r="N2941" t="s">
        <v>19</v>
      </c>
      <c r="O2941" t="str">
        <f t="shared" si="450"/>
        <v>Low</v>
      </c>
      <c r="P2941" t="str">
        <f t="shared" si="451"/>
        <v>High</v>
      </c>
      <c r="Q2941" t="str">
        <f t="shared" si="452"/>
        <v>High</v>
      </c>
      <c r="R2941" t="s">
        <v>3317</v>
      </c>
      <c r="S2941" s="4">
        <f t="shared" ca="1" si="453"/>
        <v>436</v>
      </c>
      <c r="T2941">
        <f t="shared" si="454"/>
        <v>1</v>
      </c>
      <c r="U2941">
        <f t="shared" si="455"/>
        <v>3</v>
      </c>
      <c r="V2941">
        <f t="shared" si="456"/>
        <v>3</v>
      </c>
      <c r="W2941">
        <f t="shared" si="457"/>
        <v>1</v>
      </c>
      <c r="X2941">
        <f t="shared" si="458"/>
        <v>2</v>
      </c>
      <c r="Y2941" t="str">
        <f t="shared" si="459"/>
        <v>Monitor</v>
      </c>
    </row>
    <row r="2942" spans="1:25" x14ac:dyDescent="0.35">
      <c r="A2942" t="s">
        <v>41</v>
      </c>
      <c r="B2942" t="s">
        <v>42</v>
      </c>
      <c r="C2942" t="s">
        <v>365</v>
      </c>
      <c r="D2942" t="s">
        <v>1288</v>
      </c>
      <c r="E2942">
        <v>80798918</v>
      </c>
      <c r="F2942" t="s">
        <v>2072</v>
      </c>
      <c r="G2942" s="3">
        <v>46564</v>
      </c>
      <c r="H2942">
        <v>36</v>
      </c>
      <c r="I2942">
        <v>34</v>
      </c>
      <c r="J2942">
        <v>43</v>
      </c>
      <c r="K2942" s="4">
        <v>7617.88</v>
      </c>
      <c r="L2942" s="4">
        <f>0</f>
        <v>0</v>
      </c>
      <c r="M2942" s="4">
        <f>999</f>
        <v>999</v>
      </c>
      <c r="N2942" t="s">
        <v>19</v>
      </c>
      <c r="O2942" t="str">
        <f t="shared" si="450"/>
        <v>Medium</v>
      </c>
      <c r="P2942" t="str">
        <f t="shared" si="451"/>
        <v>High</v>
      </c>
      <c r="Q2942" t="str">
        <f t="shared" si="452"/>
        <v>High</v>
      </c>
      <c r="R2942" t="s">
        <v>3317</v>
      </c>
      <c r="S2942" s="4">
        <f t="shared" ca="1" si="453"/>
        <v>367</v>
      </c>
      <c r="T2942">
        <f t="shared" si="454"/>
        <v>2</v>
      </c>
      <c r="U2942">
        <f t="shared" si="455"/>
        <v>3</v>
      </c>
      <c r="V2942">
        <f t="shared" si="456"/>
        <v>3</v>
      </c>
      <c r="W2942">
        <f t="shared" si="457"/>
        <v>1</v>
      </c>
      <c r="X2942">
        <f t="shared" si="458"/>
        <v>2.4</v>
      </c>
      <c r="Y2942" t="str">
        <f t="shared" si="459"/>
        <v>High Priority</v>
      </c>
    </row>
    <row r="2943" spans="1:25" x14ac:dyDescent="0.35">
      <c r="A2943" t="s">
        <v>179</v>
      </c>
      <c r="B2943" t="s">
        <v>180</v>
      </c>
      <c r="C2943" t="s">
        <v>181</v>
      </c>
      <c r="D2943" t="s">
        <v>637</v>
      </c>
      <c r="E2943">
        <v>80829752</v>
      </c>
      <c r="F2943" t="s">
        <v>2073</v>
      </c>
      <c r="G2943" s="3">
        <v>46161</v>
      </c>
      <c r="H2943">
        <v>16</v>
      </c>
      <c r="I2943">
        <v>0</v>
      </c>
      <c r="J2943">
        <v>11</v>
      </c>
      <c r="K2943" s="4">
        <v>2199.89</v>
      </c>
      <c r="L2943" s="4">
        <v>18.571428571428573</v>
      </c>
      <c r="M2943" s="4">
        <v>0.59230769230769231</v>
      </c>
      <c r="N2943" t="s">
        <v>25</v>
      </c>
      <c r="O2943" t="str">
        <f t="shared" si="450"/>
        <v>High</v>
      </c>
      <c r="P2943" t="str">
        <f t="shared" si="451"/>
        <v>Low</v>
      </c>
      <c r="Q2943" t="str">
        <f t="shared" si="452"/>
        <v>Low</v>
      </c>
      <c r="R2943" t="s">
        <v>3317</v>
      </c>
      <c r="S2943" s="4">
        <f t="shared" ca="1" si="453"/>
        <v>-36</v>
      </c>
      <c r="T2943">
        <f t="shared" si="454"/>
        <v>3</v>
      </c>
      <c r="U2943">
        <f t="shared" si="455"/>
        <v>1</v>
      </c>
      <c r="V2943">
        <f t="shared" si="456"/>
        <v>1</v>
      </c>
      <c r="W2943">
        <f t="shared" si="457"/>
        <v>1</v>
      </c>
      <c r="X2943">
        <f t="shared" si="458"/>
        <v>1.8000000000000003</v>
      </c>
      <c r="Y2943" t="str">
        <f t="shared" si="459"/>
        <v>Monitor</v>
      </c>
    </row>
    <row r="2944" spans="1:25" x14ac:dyDescent="0.35">
      <c r="A2944" t="s">
        <v>179</v>
      </c>
      <c r="B2944" t="s">
        <v>180</v>
      </c>
      <c r="C2944" t="s">
        <v>181</v>
      </c>
      <c r="D2944" t="s">
        <v>637</v>
      </c>
      <c r="E2944">
        <v>80829752</v>
      </c>
      <c r="F2944" t="s">
        <v>2073</v>
      </c>
      <c r="G2944" s="3">
        <v>47395</v>
      </c>
      <c r="H2944">
        <v>16</v>
      </c>
      <c r="I2944">
        <v>100</v>
      </c>
      <c r="J2944">
        <v>37</v>
      </c>
      <c r="K2944" s="4">
        <v>7103.63</v>
      </c>
      <c r="L2944" s="4">
        <v>18.571428571428573</v>
      </c>
      <c r="M2944" s="4">
        <v>1.9923076923076921</v>
      </c>
      <c r="N2944" t="s">
        <v>25</v>
      </c>
      <c r="O2944" t="str">
        <f t="shared" si="450"/>
        <v>Low</v>
      </c>
      <c r="P2944" t="str">
        <f t="shared" si="451"/>
        <v>Low</v>
      </c>
      <c r="Q2944" t="str">
        <f t="shared" si="452"/>
        <v>Low</v>
      </c>
      <c r="R2944" t="s">
        <v>3317</v>
      </c>
      <c r="S2944" s="4">
        <f t="shared" ca="1" si="453"/>
        <v>1198</v>
      </c>
      <c r="T2944">
        <f t="shared" si="454"/>
        <v>1</v>
      </c>
      <c r="U2944">
        <f t="shared" si="455"/>
        <v>1</v>
      </c>
      <c r="V2944">
        <f t="shared" si="456"/>
        <v>1</v>
      </c>
      <c r="W2944">
        <f t="shared" si="457"/>
        <v>1</v>
      </c>
      <c r="X2944">
        <f t="shared" si="458"/>
        <v>0.99999999999999989</v>
      </c>
      <c r="Y2944" t="str">
        <f t="shared" si="459"/>
        <v>Healthy</v>
      </c>
    </row>
    <row r="2945" spans="1:25" x14ac:dyDescent="0.35">
      <c r="A2945" t="s">
        <v>210</v>
      </c>
      <c r="B2945" t="s">
        <v>211</v>
      </c>
      <c r="C2945" t="s">
        <v>338</v>
      </c>
      <c r="D2945" t="s">
        <v>1443</v>
      </c>
      <c r="E2945">
        <v>80817960</v>
      </c>
      <c r="F2945" t="s">
        <v>2074</v>
      </c>
      <c r="G2945" s="3">
        <v>47533</v>
      </c>
      <c r="H2945">
        <v>60</v>
      </c>
      <c r="I2945">
        <v>75</v>
      </c>
      <c r="J2945">
        <v>9</v>
      </c>
      <c r="K2945" s="4">
        <v>2266.02</v>
      </c>
      <c r="L2945" s="4">
        <f>0</f>
        <v>0</v>
      </c>
      <c r="M2945" s="4">
        <f>999</f>
        <v>999</v>
      </c>
      <c r="N2945" t="s">
        <v>19</v>
      </c>
      <c r="O2945" t="str">
        <f t="shared" si="450"/>
        <v>Low</v>
      </c>
      <c r="P2945" t="str">
        <f t="shared" si="451"/>
        <v>High</v>
      </c>
      <c r="Q2945" t="str">
        <f t="shared" si="452"/>
        <v>High</v>
      </c>
      <c r="R2945" t="s">
        <v>3317</v>
      </c>
      <c r="S2945" s="4">
        <f t="shared" ca="1" si="453"/>
        <v>1336</v>
      </c>
      <c r="T2945">
        <f t="shared" si="454"/>
        <v>1</v>
      </c>
      <c r="U2945">
        <f t="shared" si="455"/>
        <v>3</v>
      </c>
      <c r="V2945">
        <f t="shared" si="456"/>
        <v>3</v>
      </c>
      <c r="W2945">
        <f t="shared" si="457"/>
        <v>1</v>
      </c>
      <c r="X2945">
        <f t="shared" si="458"/>
        <v>2</v>
      </c>
      <c r="Y2945" t="str">
        <f t="shared" si="459"/>
        <v>Monitor</v>
      </c>
    </row>
    <row r="2946" spans="1:25" x14ac:dyDescent="0.35">
      <c r="A2946" t="s">
        <v>41</v>
      </c>
      <c r="B2946" t="s">
        <v>42</v>
      </c>
      <c r="C2946" t="s">
        <v>365</v>
      </c>
      <c r="D2946" t="s">
        <v>508</v>
      </c>
      <c r="E2946">
        <v>80719425</v>
      </c>
      <c r="F2946" t="s">
        <v>2075</v>
      </c>
      <c r="G2946" s="3">
        <v>45920</v>
      </c>
      <c r="H2946">
        <v>36</v>
      </c>
      <c r="I2946">
        <v>0</v>
      </c>
      <c r="J2946">
        <v>9</v>
      </c>
      <c r="K2946" s="4">
        <v>2686.14</v>
      </c>
      <c r="L2946" s="4">
        <v>5.4285714285714288</v>
      </c>
      <c r="M2946" s="4">
        <v>1.6578947368421051</v>
      </c>
      <c r="N2946" t="s">
        <v>25</v>
      </c>
      <c r="O2946" t="str">
        <f t="shared" si="450"/>
        <v>High</v>
      </c>
      <c r="P2946" t="str">
        <f t="shared" si="451"/>
        <v>Low</v>
      </c>
      <c r="Q2946" t="str">
        <f t="shared" si="452"/>
        <v>Medium</v>
      </c>
      <c r="R2946" t="s">
        <v>3317</v>
      </c>
      <c r="S2946" s="4">
        <f t="shared" ca="1" si="453"/>
        <v>-277</v>
      </c>
      <c r="T2946">
        <f t="shared" si="454"/>
        <v>3</v>
      </c>
      <c r="U2946">
        <f t="shared" si="455"/>
        <v>1</v>
      </c>
      <c r="V2946">
        <f t="shared" si="456"/>
        <v>2</v>
      </c>
      <c r="W2946">
        <f t="shared" si="457"/>
        <v>1</v>
      </c>
      <c r="X2946">
        <f t="shared" si="458"/>
        <v>2.0000000000000004</v>
      </c>
      <c r="Y2946" t="str">
        <f t="shared" si="459"/>
        <v>Monitor</v>
      </c>
    </row>
    <row r="2947" spans="1:25" x14ac:dyDescent="0.35">
      <c r="A2947" t="s">
        <v>90</v>
      </c>
      <c r="B2947" t="s">
        <v>91</v>
      </c>
      <c r="C2947" t="s">
        <v>92</v>
      </c>
      <c r="D2947" t="s">
        <v>208</v>
      </c>
      <c r="E2947">
        <v>80830249</v>
      </c>
      <c r="F2947" t="s">
        <v>2076</v>
      </c>
      <c r="G2947" s="3">
        <v>46666</v>
      </c>
      <c r="H2947">
        <v>24</v>
      </c>
      <c r="I2947">
        <v>66</v>
      </c>
      <c r="J2947">
        <v>181</v>
      </c>
      <c r="K2947" s="4">
        <v>27394.35</v>
      </c>
      <c r="L2947" s="4">
        <v>8356.8571428571431</v>
      </c>
      <c r="M2947" s="4">
        <v>2.1658860131970322E-2</v>
      </c>
      <c r="N2947" t="s">
        <v>25</v>
      </c>
      <c r="O2947" t="str">
        <f t="shared" ref="O2947:O3010" si="460">IF(I2947&lt;20,"High",IF(I2947&lt;40,"Medium","Low"))</f>
        <v>Low</v>
      </c>
      <c r="P2947" t="str">
        <f t="shared" ref="P2947:P3010" si="461">IF(M2947&gt;8,"High",IF(M2947&gt;4,"Medium","Low"))</f>
        <v>Low</v>
      </c>
      <c r="Q2947" t="str">
        <f t="shared" ref="Q2947:Q3010" si="462">IF(L2947&lt;5,"High",IF(L2947&lt;15,"Medium","Low"))</f>
        <v>Low</v>
      </c>
      <c r="R2947" t="s">
        <v>3317</v>
      </c>
      <c r="S2947" s="4">
        <f t="shared" ref="S2947:S3010" ca="1" si="463">G2947-TODAY()</f>
        <v>469</v>
      </c>
      <c r="T2947">
        <f t="shared" ref="T2947:T3010" si="464">IF(O2947="High",3,IF(O2947="Medium",2,1))</f>
        <v>1</v>
      </c>
      <c r="U2947">
        <f t="shared" ref="U2947:U3010" si="465">IF(P2947="High",3,IF(P2947="Medium",2,1))</f>
        <v>1</v>
      </c>
      <c r="V2947">
        <f t="shared" ref="V2947:V3010" si="466">IF(Q2947="High",3,IF(Q2947="Medium",2,1))</f>
        <v>1</v>
      </c>
      <c r="W2947">
        <f t="shared" ref="W2947:W3010" si="467">IF(R2947="High",3,IF(R2947="Medium",2,1))</f>
        <v>1</v>
      </c>
      <c r="X2947">
        <f t="shared" ref="X2947:X3010" si="468">(0.4*T2947)+(0.3*U2947)+(0.2*V2947)+(0.1*W2947)</f>
        <v>0.99999999999999989</v>
      </c>
      <c r="Y2947" t="str">
        <f t="shared" ref="Y2947:Y3010" si="469">IF(X2947&gt;=2.7,"Move Immediately",IF(X2947&gt;=2.2,"High Priority",IF(X2947&gt;=1.7,"Monitor","Healthy")))</f>
        <v>Healthy</v>
      </c>
    </row>
    <row r="2948" spans="1:25" x14ac:dyDescent="0.35">
      <c r="A2948" t="s">
        <v>41</v>
      </c>
      <c r="B2948" t="s">
        <v>42</v>
      </c>
      <c r="C2948" t="s">
        <v>365</v>
      </c>
      <c r="D2948" t="s">
        <v>508</v>
      </c>
      <c r="E2948">
        <v>80719425</v>
      </c>
      <c r="F2948" t="s">
        <v>2075</v>
      </c>
      <c r="G2948" s="3">
        <v>47020</v>
      </c>
      <c r="H2948">
        <v>36</v>
      </c>
      <c r="I2948">
        <v>77</v>
      </c>
      <c r="J2948">
        <v>17</v>
      </c>
      <c r="K2948" s="4">
        <v>5073.82</v>
      </c>
      <c r="L2948" s="4">
        <v>5.4285714285714288</v>
      </c>
      <c r="M2948" s="4">
        <v>3.1315789473684208</v>
      </c>
      <c r="N2948" t="s">
        <v>25</v>
      </c>
      <c r="O2948" t="str">
        <f t="shared" si="460"/>
        <v>Low</v>
      </c>
      <c r="P2948" t="str">
        <f t="shared" si="461"/>
        <v>Low</v>
      </c>
      <c r="Q2948" t="str">
        <f t="shared" si="462"/>
        <v>Medium</v>
      </c>
      <c r="R2948" t="s">
        <v>3317</v>
      </c>
      <c r="S2948" s="4">
        <f t="shared" ca="1" si="463"/>
        <v>823</v>
      </c>
      <c r="T2948">
        <f t="shared" si="464"/>
        <v>1</v>
      </c>
      <c r="U2948">
        <f t="shared" si="465"/>
        <v>1</v>
      </c>
      <c r="V2948">
        <f t="shared" si="466"/>
        <v>2</v>
      </c>
      <c r="W2948">
        <f t="shared" si="467"/>
        <v>1</v>
      </c>
      <c r="X2948">
        <f t="shared" si="468"/>
        <v>1.2000000000000002</v>
      </c>
      <c r="Y2948" t="str">
        <f t="shared" si="469"/>
        <v>Healthy</v>
      </c>
    </row>
    <row r="2949" spans="1:25" x14ac:dyDescent="0.35">
      <c r="A2949" t="s">
        <v>90</v>
      </c>
      <c r="B2949" t="s">
        <v>91</v>
      </c>
      <c r="C2949" t="s">
        <v>92</v>
      </c>
      <c r="D2949" t="s">
        <v>208</v>
      </c>
      <c r="E2949">
        <v>80830249</v>
      </c>
      <c r="F2949" t="s">
        <v>2076</v>
      </c>
      <c r="G2949" s="3">
        <v>46879</v>
      </c>
      <c r="H2949">
        <v>24</v>
      </c>
      <c r="I2949">
        <v>95</v>
      </c>
      <c r="J2949">
        <v>297</v>
      </c>
      <c r="K2949" s="4">
        <v>44950.95</v>
      </c>
      <c r="L2949" s="4">
        <v>8356.8571428571431</v>
      </c>
      <c r="M2949" s="4">
        <v>3.553967657013915E-2</v>
      </c>
      <c r="N2949" t="s">
        <v>25</v>
      </c>
      <c r="O2949" t="str">
        <f t="shared" si="460"/>
        <v>Low</v>
      </c>
      <c r="P2949" t="str">
        <f t="shared" si="461"/>
        <v>Low</v>
      </c>
      <c r="Q2949" t="str">
        <f t="shared" si="462"/>
        <v>Low</v>
      </c>
      <c r="R2949" t="s">
        <v>3317</v>
      </c>
      <c r="S2949" s="4">
        <f t="shared" ca="1" si="463"/>
        <v>682</v>
      </c>
      <c r="T2949">
        <f t="shared" si="464"/>
        <v>1</v>
      </c>
      <c r="U2949">
        <f t="shared" si="465"/>
        <v>1</v>
      </c>
      <c r="V2949">
        <f t="shared" si="466"/>
        <v>1</v>
      </c>
      <c r="W2949">
        <f t="shared" si="467"/>
        <v>1</v>
      </c>
      <c r="X2949">
        <f t="shared" si="468"/>
        <v>0.99999999999999989</v>
      </c>
      <c r="Y2949" t="str">
        <f t="shared" si="469"/>
        <v>Healthy</v>
      </c>
    </row>
    <row r="2950" spans="1:25" x14ac:dyDescent="0.35">
      <c r="A2950" t="s">
        <v>90</v>
      </c>
      <c r="B2950" t="s">
        <v>91</v>
      </c>
      <c r="C2950" t="s">
        <v>92</v>
      </c>
      <c r="D2950" t="s">
        <v>208</v>
      </c>
      <c r="E2950">
        <v>80830249</v>
      </c>
      <c r="F2950" t="s">
        <v>2076</v>
      </c>
      <c r="G2950" s="3">
        <v>46839</v>
      </c>
      <c r="H2950">
        <v>24</v>
      </c>
      <c r="I2950">
        <v>90</v>
      </c>
      <c r="J2950">
        <v>271</v>
      </c>
      <c r="K2950" s="4">
        <v>41015.85</v>
      </c>
      <c r="L2950" s="4">
        <v>8356.8571428571431</v>
      </c>
      <c r="M2950" s="4">
        <v>3.2428459092618551E-2</v>
      </c>
      <c r="N2950" t="s">
        <v>25</v>
      </c>
      <c r="O2950" t="str">
        <f t="shared" si="460"/>
        <v>Low</v>
      </c>
      <c r="P2950" t="str">
        <f t="shared" si="461"/>
        <v>Low</v>
      </c>
      <c r="Q2950" t="str">
        <f t="shared" si="462"/>
        <v>Low</v>
      </c>
      <c r="R2950" t="s">
        <v>3317</v>
      </c>
      <c r="S2950" s="4">
        <f t="shared" ca="1" si="463"/>
        <v>642</v>
      </c>
      <c r="T2950">
        <f t="shared" si="464"/>
        <v>1</v>
      </c>
      <c r="U2950">
        <f t="shared" si="465"/>
        <v>1</v>
      </c>
      <c r="V2950">
        <f t="shared" si="466"/>
        <v>1</v>
      </c>
      <c r="W2950">
        <f t="shared" si="467"/>
        <v>1</v>
      </c>
      <c r="X2950">
        <f t="shared" si="468"/>
        <v>0.99999999999999989</v>
      </c>
      <c r="Y2950" t="str">
        <f t="shared" si="469"/>
        <v>Healthy</v>
      </c>
    </row>
    <row r="2951" spans="1:25" x14ac:dyDescent="0.35">
      <c r="A2951" t="s">
        <v>90</v>
      </c>
      <c r="B2951" t="s">
        <v>91</v>
      </c>
      <c r="C2951" t="s">
        <v>92</v>
      </c>
      <c r="D2951" t="s">
        <v>208</v>
      </c>
      <c r="E2951">
        <v>80830249</v>
      </c>
      <c r="F2951" t="s">
        <v>2076</v>
      </c>
      <c r="G2951" s="3">
        <v>46850</v>
      </c>
      <c r="H2951">
        <v>24</v>
      </c>
      <c r="I2951">
        <v>91</v>
      </c>
      <c r="J2951">
        <v>233</v>
      </c>
      <c r="K2951" s="4">
        <v>35264.550000000003</v>
      </c>
      <c r="L2951" s="4">
        <v>8356.8571428571431</v>
      </c>
      <c r="M2951" s="4">
        <v>2.788129508701152E-2</v>
      </c>
      <c r="N2951" t="s">
        <v>25</v>
      </c>
      <c r="O2951" t="str">
        <f t="shared" si="460"/>
        <v>Low</v>
      </c>
      <c r="P2951" t="str">
        <f t="shared" si="461"/>
        <v>Low</v>
      </c>
      <c r="Q2951" t="str">
        <f t="shared" si="462"/>
        <v>Low</v>
      </c>
      <c r="R2951" t="s">
        <v>3317</v>
      </c>
      <c r="S2951" s="4">
        <f t="shared" ca="1" si="463"/>
        <v>653</v>
      </c>
      <c r="T2951">
        <f t="shared" si="464"/>
        <v>1</v>
      </c>
      <c r="U2951">
        <f t="shared" si="465"/>
        <v>1</v>
      </c>
      <c r="V2951">
        <f t="shared" si="466"/>
        <v>1</v>
      </c>
      <c r="W2951">
        <f t="shared" si="467"/>
        <v>1</v>
      </c>
      <c r="X2951">
        <f t="shared" si="468"/>
        <v>0.99999999999999989</v>
      </c>
      <c r="Y2951" t="str">
        <f t="shared" si="469"/>
        <v>Healthy</v>
      </c>
    </row>
    <row r="2952" spans="1:25" x14ac:dyDescent="0.35">
      <c r="A2952" t="s">
        <v>90</v>
      </c>
      <c r="B2952" t="s">
        <v>91</v>
      </c>
      <c r="C2952" t="s">
        <v>92</v>
      </c>
      <c r="D2952" t="s">
        <v>208</v>
      </c>
      <c r="E2952">
        <v>80830249</v>
      </c>
      <c r="F2952" t="s">
        <v>2076</v>
      </c>
      <c r="G2952" s="3">
        <v>46851</v>
      </c>
      <c r="H2952">
        <v>24</v>
      </c>
      <c r="I2952">
        <v>92</v>
      </c>
      <c r="J2952">
        <v>160</v>
      </c>
      <c r="K2952" s="4">
        <v>24216</v>
      </c>
      <c r="L2952" s="4">
        <v>8356.8571428571431</v>
      </c>
      <c r="M2952" s="4">
        <v>1.9145953707819071E-2</v>
      </c>
      <c r="N2952" t="s">
        <v>25</v>
      </c>
      <c r="O2952" t="str">
        <f t="shared" si="460"/>
        <v>Low</v>
      </c>
      <c r="P2952" t="str">
        <f t="shared" si="461"/>
        <v>Low</v>
      </c>
      <c r="Q2952" t="str">
        <f t="shared" si="462"/>
        <v>Low</v>
      </c>
      <c r="R2952" t="s">
        <v>3317</v>
      </c>
      <c r="S2952" s="4">
        <f t="shared" ca="1" si="463"/>
        <v>654</v>
      </c>
      <c r="T2952">
        <f t="shared" si="464"/>
        <v>1</v>
      </c>
      <c r="U2952">
        <f t="shared" si="465"/>
        <v>1</v>
      </c>
      <c r="V2952">
        <f t="shared" si="466"/>
        <v>1</v>
      </c>
      <c r="W2952">
        <f t="shared" si="467"/>
        <v>1</v>
      </c>
      <c r="X2952">
        <f t="shared" si="468"/>
        <v>0.99999999999999989</v>
      </c>
      <c r="Y2952" t="str">
        <f t="shared" si="469"/>
        <v>Healthy</v>
      </c>
    </row>
    <row r="2953" spans="1:25" x14ac:dyDescent="0.35">
      <c r="A2953" t="s">
        <v>41</v>
      </c>
      <c r="B2953" t="s">
        <v>42</v>
      </c>
      <c r="C2953" t="s">
        <v>365</v>
      </c>
      <c r="D2953" t="s">
        <v>508</v>
      </c>
      <c r="E2953">
        <v>80719425</v>
      </c>
      <c r="F2953" t="s">
        <v>2075</v>
      </c>
      <c r="G2953" s="3">
        <v>45920</v>
      </c>
      <c r="H2953">
        <v>36</v>
      </c>
      <c r="I2953">
        <v>0</v>
      </c>
      <c r="J2953">
        <v>1</v>
      </c>
      <c r="K2953" s="4">
        <v>298.45999999999998</v>
      </c>
      <c r="L2953" s="4">
        <v>5.4285714285714288</v>
      </c>
      <c r="M2953" s="4">
        <v>0.18421052631578946</v>
      </c>
      <c r="N2953" t="s">
        <v>25</v>
      </c>
      <c r="O2953" t="str">
        <f t="shared" si="460"/>
        <v>High</v>
      </c>
      <c r="P2953" t="str">
        <f t="shared" si="461"/>
        <v>Low</v>
      </c>
      <c r="Q2953" t="str">
        <f t="shared" si="462"/>
        <v>Medium</v>
      </c>
      <c r="R2953" t="s">
        <v>3317</v>
      </c>
      <c r="S2953" s="4">
        <f t="shared" ca="1" si="463"/>
        <v>-277</v>
      </c>
      <c r="T2953">
        <f t="shared" si="464"/>
        <v>3</v>
      </c>
      <c r="U2953">
        <f t="shared" si="465"/>
        <v>1</v>
      </c>
      <c r="V2953">
        <f t="shared" si="466"/>
        <v>2</v>
      </c>
      <c r="W2953">
        <f t="shared" si="467"/>
        <v>1</v>
      </c>
      <c r="X2953">
        <f t="shared" si="468"/>
        <v>2.0000000000000004</v>
      </c>
      <c r="Y2953" t="str">
        <f t="shared" si="469"/>
        <v>Monitor</v>
      </c>
    </row>
    <row r="2954" spans="1:25" x14ac:dyDescent="0.35">
      <c r="A2954" t="s">
        <v>90</v>
      </c>
      <c r="B2954" t="s">
        <v>91</v>
      </c>
      <c r="C2954" t="s">
        <v>92</v>
      </c>
      <c r="D2954" t="s">
        <v>208</v>
      </c>
      <c r="E2954">
        <v>80830249</v>
      </c>
      <c r="F2954" t="s">
        <v>2076</v>
      </c>
      <c r="G2954" s="3">
        <v>46852</v>
      </c>
      <c r="H2954">
        <v>24</v>
      </c>
      <c r="I2954">
        <v>92</v>
      </c>
      <c r="J2954">
        <v>288</v>
      </c>
      <c r="K2954" s="4">
        <v>43588.800000000003</v>
      </c>
      <c r="L2954" s="4">
        <v>8356.8571428571431</v>
      </c>
      <c r="M2954" s="4">
        <v>3.4462716674074328E-2</v>
      </c>
      <c r="N2954" t="s">
        <v>25</v>
      </c>
      <c r="O2954" t="str">
        <f t="shared" si="460"/>
        <v>Low</v>
      </c>
      <c r="P2954" t="str">
        <f t="shared" si="461"/>
        <v>Low</v>
      </c>
      <c r="Q2954" t="str">
        <f t="shared" si="462"/>
        <v>Low</v>
      </c>
      <c r="R2954" t="s">
        <v>3317</v>
      </c>
      <c r="S2954" s="4">
        <f t="shared" ca="1" si="463"/>
        <v>655</v>
      </c>
      <c r="T2954">
        <f t="shared" si="464"/>
        <v>1</v>
      </c>
      <c r="U2954">
        <f t="shared" si="465"/>
        <v>1</v>
      </c>
      <c r="V2954">
        <f t="shared" si="466"/>
        <v>1</v>
      </c>
      <c r="W2954">
        <f t="shared" si="467"/>
        <v>1</v>
      </c>
      <c r="X2954">
        <f t="shared" si="468"/>
        <v>0.99999999999999989</v>
      </c>
      <c r="Y2954" t="str">
        <f t="shared" si="469"/>
        <v>Healthy</v>
      </c>
    </row>
    <row r="2955" spans="1:25" x14ac:dyDescent="0.35">
      <c r="A2955" t="s">
        <v>90</v>
      </c>
      <c r="B2955" t="s">
        <v>91</v>
      </c>
      <c r="C2955" t="s">
        <v>92</v>
      </c>
      <c r="D2955" t="s">
        <v>208</v>
      </c>
      <c r="E2955">
        <v>80830249</v>
      </c>
      <c r="F2955" t="s">
        <v>2076</v>
      </c>
      <c r="G2955" s="3">
        <v>46837</v>
      </c>
      <c r="H2955">
        <v>24</v>
      </c>
      <c r="I2955">
        <v>90</v>
      </c>
      <c r="J2955">
        <v>107</v>
      </c>
      <c r="K2955" s="4">
        <v>16194.45</v>
      </c>
      <c r="L2955" s="4">
        <v>8356.8571428571431</v>
      </c>
      <c r="M2955" s="4">
        <v>1.2803856542104003E-2</v>
      </c>
      <c r="N2955" t="s">
        <v>25</v>
      </c>
      <c r="O2955" t="str">
        <f t="shared" si="460"/>
        <v>Low</v>
      </c>
      <c r="P2955" t="str">
        <f t="shared" si="461"/>
        <v>Low</v>
      </c>
      <c r="Q2955" t="str">
        <f t="shared" si="462"/>
        <v>Low</v>
      </c>
      <c r="R2955" t="s">
        <v>3317</v>
      </c>
      <c r="S2955" s="4">
        <f t="shared" ca="1" si="463"/>
        <v>640</v>
      </c>
      <c r="T2955">
        <f t="shared" si="464"/>
        <v>1</v>
      </c>
      <c r="U2955">
        <f t="shared" si="465"/>
        <v>1</v>
      </c>
      <c r="V2955">
        <f t="shared" si="466"/>
        <v>1</v>
      </c>
      <c r="W2955">
        <f t="shared" si="467"/>
        <v>1</v>
      </c>
      <c r="X2955">
        <f t="shared" si="468"/>
        <v>0.99999999999999989</v>
      </c>
      <c r="Y2955" t="str">
        <f t="shared" si="469"/>
        <v>Healthy</v>
      </c>
    </row>
    <row r="2956" spans="1:25" x14ac:dyDescent="0.35">
      <c r="A2956" t="s">
        <v>90</v>
      </c>
      <c r="B2956" t="s">
        <v>91</v>
      </c>
      <c r="C2956" t="s">
        <v>92</v>
      </c>
      <c r="D2956" t="s">
        <v>208</v>
      </c>
      <c r="E2956">
        <v>80830249</v>
      </c>
      <c r="F2956" t="s">
        <v>2076</v>
      </c>
      <c r="G2956" s="3">
        <v>46909</v>
      </c>
      <c r="H2956">
        <v>24</v>
      </c>
      <c r="I2956">
        <v>100</v>
      </c>
      <c r="J2956">
        <v>896</v>
      </c>
      <c r="K2956" s="4">
        <v>135609.60000000001</v>
      </c>
      <c r="L2956" s="4">
        <v>8356.8571428571431</v>
      </c>
      <c r="M2956" s="4">
        <v>0.10721734076378679</v>
      </c>
      <c r="N2956" t="s">
        <v>25</v>
      </c>
      <c r="O2956" t="str">
        <f t="shared" si="460"/>
        <v>Low</v>
      </c>
      <c r="P2956" t="str">
        <f t="shared" si="461"/>
        <v>Low</v>
      </c>
      <c r="Q2956" t="str">
        <f t="shared" si="462"/>
        <v>Low</v>
      </c>
      <c r="R2956" t="s">
        <v>3309</v>
      </c>
      <c r="S2956" s="4">
        <f t="shared" ca="1" si="463"/>
        <v>712</v>
      </c>
      <c r="T2956">
        <f t="shared" si="464"/>
        <v>1</v>
      </c>
      <c r="U2956">
        <f t="shared" si="465"/>
        <v>1</v>
      </c>
      <c r="V2956">
        <f t="shared" si="466"/>
        <v>1</v>
      </c>
      <c r="W2956">
        <f t="shared" si="467"/>
        <v>3</v>
      </c>
      <c r="X2956">
        <f t="shared" si="468"/>
        <v>1.2</v>
      </c>
      <c r="Y2956" t="str">
        <f t="shared" si="469"/>
        <v>Healthy</v>
      </c>
    </row>
    <row r="2957" spans="1:25" x14ac:dyDescent="0.35">
      <c r="A2957" t="s">
        <v>90</v>
      </c>
      <c r="B2957" t="s">
        <v>91</v>
      </c>
      <c r="C2957" t="s">
        <v>92</v>
      </c>
      <c r="D2957" t="s">
        <v>208</v>
      </c>
      <c r="E2957">
        <v>80830249</v>
      </c>
      <c r="F2957" t="s">
        <v>2076</v>
      </c>
      <c r="G2957" s="3">
        <v>46885</v>
      </c>
      <c r="H2957">
        <v>24</v>
      </c>
      <c r="I2957">
        <v>96</v>
      </c>
      <c r="J2957">
        <v>128</v>
      </c>
      <c r="K2957" s="4">
        <v>19372.8</v>
      </c>
      <c r="L2957" s="4">
        <v>8356.8571428571431</v>
      </c>
      <c r="M2957" s="4">
        <v>1.5316762966255256E-2</v>
      </c>
      <c r="N2957" t="s">
        <v>25</v>
      </c>
      <c r="O2957" t="str">
        <f t="shared" si="460"/>
        <v>Low</v>
      </c>
      <c r="P2957" t="str">
        <f t="shared" si="461"/>
        <v>Low</v>
      </c>
      <c r="Q2957" t="str">
        <f t="shared" si="462"/>
        <v>Low</v>
      </c>
      <c r="R2957" t="s">
        <v>3317</v>
      </c>
      <c r="S2957" s="4">
        <f t="shared" ca="1" si="463"/>
        <v>688</v>
      </c>
      <c r="T2957">
        <f t="shared" si="464"/>
        <v>1</v>
      </c>
      <c r="U2957">
        <f t="shared" si="465"/>
        <v>1</v>
      </c>
      <c r="V2957">
        <f t="shared" si="466"/>
        <v>1</v>
      </c>
      <c r="W2957">
        <f t="shared" si="467"/>
        <v>1</v>
      </c>
      <c r="X2957">
        <f t="shared" si="468"/>
        <v>0.99999999999999989</v>
      </c>
      <c r="Y2957" t="str">
        <f t="shared" si="469"/>
        <v>Healthy</v>
      </c>
    </row>
    <row r="2958" spans="1:25" x14ac:dyDescent="0.35">
      <c r="A2958" t="s">
        <v>90</v>
      </c>
      <c r="B2958" t="s">
        <v>91</v>
      </c>
      <c r="C2958" t="s">
        <v>92</v>
      </c>
      <c r="D2958" t="s">
        <v>208</v>
      </c>
      <c r="E2958">
        <v>80830249</v>
      </c>
      <c r="F2958" t="s">
        <v>2076</v>
      </c>
      <c r="G2958" s="3">
        <v>46728</v>
      </c>
      <c r="H2958">
        <v>24</v>
      </c>
      <c r="I2958">
        <v>74</v>
      </c>
      <c r="J2958">
        <v>969</v>
      </c>
      <c r="K2958" s="4">
        <v>146658.15</v>
      </c>
      <c r="L2958" s="4">
        <v>8356.8571428571431</v>
      </c>
      <c r="M2958" s="4">
        <v>0.11595268214297924</v>
      </c>
      <c r="N2958" t="s">
        <v>25</v>
      </c>
      <c r="O2958" t="str">
        <f t="shared" si="460"/>
        <v>Low</v>
      </c>
      <c r="P2958" t="str">
        <f t="shared" si="461"/>
        <v>Low</v>
      </c>
      <c r="Q2958" t="str">
        <f t="shared" si="462"/>
        <v>Low</v>
      </c>
      <c r="R2958" t="s">
        <v>3309</v>
      </c>
      <c r="S2958" s="4">
        <f t="shared" ca="1" si="463"/>
        <v>531</v>
      </c>
      <c r="T2958">
        <f t="shared" si="464"/>
        <v>1</v>
      </c>
      <c r="U2958">
        <f t="shared" si="465"/>
        <v>1</v>
      </c>
      <c r="V2958">
        <f t="shared" si="466"/>
        <v>1</v>
      </c>
      <c r="W2958">
        <f t="shared" si="467"/>
        <v>3</v>
      </c>
      <c r="X2958">
        <f t="shared" si="468"/>
        <v>1.2</v>
      </c>
      <c r="Y2958" t="str">
        <f t="shared" si="469"/>
        <v>Healthy</v>
      </c>
    </row>
    <row r="2959" spans="1:25" x14ac:dyDescent="0.35">
      <c r="A2959" t="s">
        <v>90</v>
      </c>
      <c r="B2959" t="s">
        <v>91</v>
      </c>
      <c r="C2959" t="s">
        <v>92</v>
      </c>
      <c r="D2959" t="s">
        <v>208</v>
      </c>
      <c r="E2959">
        <v>80830249</v>
      </c>
      <c r="F2959" t="s">
        <v>2076</v>
      </c>
      <c r="G2959" s="3">
        <v>46839</v>
      </c>
      <c r="H2959">
        <v>24</v>
      </c>
      <c r="I2959">
        <v>90</v>
      </c>
      <c r="J2959">
        <v>35</v>
      </c>
      <c r="K2959" s="4">
        <v>5297.25</v>
      </c>
      <c r="L2959" s="4">
        <v>8356.8571428571431</v>
      </c>
      <c r="M2959" s="4">
        <v>4.1881773735854217E-3</v>
      </c>
      <c r="N2959" t="s">
        <v>25</v>
      </c>
      <c r="O2959" t="str">
        <f t="shared" si="460"/>
        <v>Low</v>
      </c>
      <c r="P2959" t="str">
        <f t="shared" si="461"/>
        <v>Low</v>
      </c>
      <c r="Q2959" t="str">
        <f t="shared" si="462"/>
        <v>Low</v>
      </c>
      <c r="R2959" t="s">
        <v>3317</v>
      </c>
      <c r="S2959" s="4">
        <f t="shared" ca="1" si="463"/>
        <v>642</v>
      </c>
      <c r="T2959">
        <f t="shared" si="464"/>
        <v>1</v>
      </c>
      <c r="U2959">
        <f t="shared" si="465"/>
        <v>1</v>
      </c>
      <c r="V2959">
        <f t="shared" si="466"/>
        <v>1</v>
      </c>
      <c r="W2959">
        <f t="shared" si="467"/>
        <v>1</v>
      </c>
      <c r="X2959">
        <f t="shared" si="468"/>
        <v>0.99999999999999989</v>
      </c>
      <c r="Y2959" t="str">
        <f t="shared" si="469"/>
        <v>Healthy</v>
      </c>
    </row>
    <row r="2960" spans="1:25" x14ac:dyDescent="0.35">
      <c r="A2960" t="s">
        <v>90</v>
      </c>
      <c r="B2960" t="s">
        <v>91</v>
      </c>
      <c r="C2960" t="s">
        <v>92</v>
      </c>
      <c r="D2960" t="s">
        <v>208</v>
      </c>
      <c r="E2960">
        <v>80830249</v>
      </c>
      <c r="F2960" t="s">
        <v>2076</v>
      </c>
      <c r="G2960" s="3">
        <v>46851</v>
      </c>
      <c r="H2960">
        <v>24</v>
      </c>
      <c r="I2960">
        <v>92</v>
      </c>
      <c r="J2960">
        <v>116</v>
      </c>
      <c r="K2960" s="4">
        <v>17556.599999999999</v>
      </c>
      <c r="L2960" s="4">
        <v>8356.8571428571431</v>
      </c>
      <c r="M2960" s="4">
        <v>1.3880816438168827E-2</v>
      </c>
      <c r="N2960" t="s">
        <v>25</v>
      </c>
      <c r="O2960" t="str">
        <f t="shared" si="460"/>
        <v>Low</v>
      </c>
      <c r="P2960" t="str">
        <f t="shared" si="461"/>
        <v>Low</v>
      </c>
      <c r="Q2960" t="str">
        <f t="shared" si="462"/>
        <v>Low</v>
      </c>
      <c r="R2960" t="s">
        <v>3317</v>
      </c>
      <c r="S2960" s="4">
        <f t="shared" ca="1" si="463"/>
        <v>654</v>
      </c>
      <c r="T2960">
        <f t="shared" si="464"/>
        <v>1</v>
      </c>
      <c r="U2960">
        <f t="shared" si="465"/>
        <v>1</v>
      </c>
      <c r="V2960">
        <f t="shared" si="466"/>
        <v>1</v>
      </c>
      <c r="W2960">
        <f t="shared" si="467"/>
        <v>1</v>
      </c>
      <c r="X2960">
        <f t="shared" si="468"/>
        <v>0.99999999999999989</v>
      </c>
      <c r="Y2960" t="str">
        <f t="shared" si="469"/>
        <v>Healthy</v>
      </c>
    </row>
    <row r="2961" spans="1:25" x14ac:dyDescent="0.35">
      <c r="A2961" t="s">
        <v>90</v>
      </c>
      <c r="B2961" t="s">
        <v>91</v>
      </c>
      <c r="C2961" t="s">
        <v>92</v>
      </c>
      <c r="D2961" t="s">
        <v>208</v>
      </c>
      <c r="E2961">
        <v>80830249</v>
      </c>
      <c r="F2961" t="s">
        <v>2076</v>
      </c>
      <c r="G2961" s="3">
        <v>46840</v>
      </c>
      <c r="H2961">
        <v>24</v>
      </c>
      <c r="I2961">
        <v>90</v>
      </c>
      <c r="J2961">
        <v>128</v>
      </c>
      <c r="K2961" s="4">
        <v>19372.8</v>
      </c>
      <c r="L2961" s="4">
        <v>8356.8571428571431</v>
      </c>
      <c r="M2961" s="4">
        <v>1.5316762966255256E-2</v>
      </c>
      <c r="N2961" t="s">
        <v>25</v>
      </c>
      <c r="O2961" t="str">
        <f t="shared" si="460"/>
        <v>Low</v>
      </c>
      <c r="P2961" t="str">
        <f t="shared" si="461"/>
        <v>Low</v>
      </c>
      <c r="Q2961" t="str">
        <f t="shared" si="462"/>
        <v>Low</v>
      </c>
      <c r="R2961" t="s">
        <v>3317</v>
      </c>
      <c r="S2961" s="4">
        <f t="shared" ca="1" si="463"/>
        <v>643</v>
      </c>
      <c r="T2961">
        <f t="shared" si="464"/>
        <v>1</v>
      </c>
      <c r="U2961">
        <f t="shared" si="465"/>
        <v>1</v>
      </c>
      <c r="V2961">
        <f t="shared" si="466"/>
        <v>1</v>
      </c>
      <c r="W2961">
        <f t="shared" si="467"/>
        <v>1</v>
      </c>
      <c r="X2961">
        <f t="shared" si="468"/>
        <v>0.99999999999999989</v>
      </c>
      <c r="Y2961" t="str">
        <f t="shared" si="469"/>
        <v>Healthy</v>
      </c>
    </row>
    <row r="2962" spans="1:25" x14ac:dyDescent="0.35">
      <c r="A2962" t="s">
        <v>90</v>
      </c>
      <c r="B2962" t="s">
        <v>91</v>
      </c>
      <c r="C2962" t="s">
        <v>92</v>
      </c>
      <c r="D2962" t="s">
        <v>208</v>
      </c>
      <c r="E2962">
        <v>80830249</v>
      </c>
      <c r="F2962" t="s">
        <v>2076</v>
      </c>
      <c r="G2962" s="3">
        <v>46885</v>
      </c>
      <c r="H2962">
        <v>24</v>
      </c>
      <c r="I2962">
        <v>96</v>
      </c>
      <c r="J2962">
        <v>435</v>
      </c>
      <c r="K2962" s="4">
        <v>65837.25</v>
      </c>
      <c r="L2962" s="4">
        <v>8356.8571428571431</v>
      </c>
      <c r="M2962" s="4">
        <v>5.20530616431331E-2</v>
      </c>
      <c r="N2962" t="s">
        <v>25</v>
      </c>
      <c r="O2962" t="str">
        <f t="shared" si="460"/>
        <v>Low</v>
      </c>
      <c r="P2962" t="str">
        <f t="shared" si="461"/>
        <v>Low</v>
      </c>
      <c r="Q2962" t="str">
        <f t="shared" si="462"/>
        <v>Low</v>
      </c>
      <c r="R2962" t="s">
        <v>3310</v>
      </c>
      <c r="S2962" s="4">
        <f t="shared" ca="1" si="463"/>
        <v>688</v>
      </c>
      <c r="T2962">
        <f t="shared" si="464"/>
        <v>1</v>
      </c>
      <c r="U2962">
        <f t="shared" si="465"/>
        <v>1</v>
      </c>
      <c r="V2962">
        <f t="shared" si="466"/>
        <v>1</v>
      </c>
      <c r="W2962">
        <f t="shared" si="467"/>
        <v>2</v>
      </c>
      <c r="X2962">
        <f t="shared" si="468"/>
        <v>1.0999999999999999</v>
      </c>
      <c r="Y2962" t="str">
        <f t="shared" si="469"/>
        <v>Healthy</v>
      </c>
    </row>
    <row r="2963" spans="1:25" x14ac:dyDescent="0.35">
      <c r="A2963" t="s">
        <v>90</v>
      </c>
      <c r="B2963" t="s">
        <v>91</v>
      </c>
      <c r="C2963" t="s">
        <v>92</v>
      </c>
      <c r="D2963" t="s">
        <v>208</v>
      </c>
      <c r="E2963">
        <v>80830249</v>
      </c>
      <c r="F2963" t="s">
        <v>2076</v>
      </c>
      <c r="G2963" s="3">
        <v>46851</v>
      </c>
      <c r="H2963">
        <v>24</v>
      </c>
      <c r="I2963">
        <v>92</v>
      </c>
      <c r="J2963">
        <v>72</v>
      </c>
      <c r="K2963" s="4">
        <v>10897.2</v>
      </c>
      <c r="L2963" s="4">
        <v>8356.8571428571431</v>
      </c>
      <c r="M2963" s="4">
        <v>8.6156791685185821E-3</v>
      </c>
      <c r="N2963" t="s">
        <v>25</v>
      </c>
      <c r="O2963" t="str">
        <f t="shared" si="460"/>
        <v>Low</v>
      </c>
      <c r="P2963" t="str">
        <f t="shared" si="461"/>
        <v>Low</v>
      </c>
      <c r="Q2963" t="str">
        <f t="shared" si="462"/>
        <v>Low</v>
      </c>
      <c r="R2963" t="s">
        <v>3317</v>
      </c>
      <c r="S2963" s="4">
        <f t="shared" ca="1" si="463"/>
        <v>654</v>
      </c>
      <c r="T2963">
        <f t="shared" si="464"/>
        <v>1</v>
      </c>
      <c r="U2963">
        <f t="shared" si="465"/>
        <v>1</v>
      </c>
      <c r="V2963">
        <f t="shared" si="466"/>
        <v>1</v>
      </c>
      <c r="W2963">
        <f t="shared" si="467"/>
        <v>1</v>
      </c>
      <c r="X2963">
        <f t="shared" si="468"/>
        <v>0.99999999999999989</v>
      </c>
      <c r="Y2963" t="str">
        <f t="shared" si="469"/>
        <v>Healthy</v>
      </c>
    </row>
    <row r="2964" spans="1:25" x14ac:dyDescent="0.35">
      <c r="A2964" t="s">
        <v>90</v>
      </c>
      <c r="B2964" t="s">
        <v>91</v>
      </c>
      <c r="C2964" t="s">
        <v>92</v>
      </c>
      <c r="D2964" t="s">
        <v>208</v>
      </c>
      <c r="E2964">
        <v>80830249</v>
      </c>
      <c r="F2964" t="s">
        <v>2076</v>
      </c>
      <c r="G2964" s="3">
        <v>46886</v>
      </c>
      <c r="H2964">
        <v>24</v>
      </c>
      <c r="I2964">
        <v>96</v>
      </c>
      <c r="J2964">
        <v>256</v>
      </c>
      <c r="K2964" s="4">
        <v>38745.599999999999</v>
      </c>
      <c r="L2964" s="4">
        <v>8356.8571428571431</v>
      </c>
      <c r="M2964" s="4">
        <v>3.0633525932510512E-2</v>
      </c>
      <c r="N2964" t="s">
        <v>25</v>
      </c>
      <c r="O2964" t="str">
        <f t="shared" si="460"/>
        <v>Low</v>
      </c>
      <c r="P2964" t="str">
        <f t="shared" si="461"/>
        <v>Low</v>
      </c>
      <c r="Q2964" t="str">
        <f t="shared" si="462"/>
        <v>Low</v>
      </c>
      <c r="R2964" t="s">
        <v>3317</v>
      </c>
      <c r="S2964" s="4">
        <f t="shared" ca="1" si="463"/>
        <v>689</v>
      </c>
      <c r="T2964">
        <f t="shared" si="464"/>
        <v>1</v>
      </c>
      <c r="U2964">
        <f t="shared" si="465"/>
        <v>1</v>
      </c>
      <c r="V2964">
        <f t="shared" si="466"/>
        <v>1</v>
      </c>
      <c r="W2964">
        <f t="shared" si="467"/>
        <v>1</v>
      </c>
      <c r="X2964">
        <f t="shared" si="468"/>
        <v>0.99999999999999989</v>
      </c>
      <c r="Y2964" t="str">
        <f t="shared" si="469"/>
        <v>Healthy</v>
      </c>
    </row>
    <row r="2965" spans="1:25" x14ac:dyDescent="0.35">
      <c r="A2965" t="s">
        <v>90</v>
      </c>
      <c r="B2965" t="s">
        <v>91</v>
      </c>
      <c r="C2965" t="s">
        <v>92</v>
      </c>
      <c r="D2965" t="s">
        <v>208</v>
      </c>
      <c r="E2965">
        <v>80830249</v>
      </c>
      <c r="F2965" t="s">
        <v>2076</v>
      </c>
      <c r="G2965" s="3">
        <v>46885</v>
      </c>
      <c r="H2965">
        <v>24</v>
      </c>
      <c r="I2965">
        <v>96</v>
      </c>
      <c r="J2965">
        <v>265</v>
      </c>
      <c r="K2965" s="4">
        <v>40107.75</v>
      </c>
      <c r="L2965" s="4">
        <v>8356.8571428571431</v>
      </c>
      <c r="M2965" s="4">
        <v>3.1710485828575337E-2</v>
      </c>
      <c r="N2965" t="s">
        <v>25</v>
      </c>
      <c r="O2965" t="str">
        <f t="shared" si="460"/>
        <v>Low</v>
      </c>
      <c r="P2965" t="str">
        <f t="shared" si="461"/>
        <v>Low</v>
      </c>
      <c r="Q2965" t="str">
        <f t="shared" si="462"/>
        <v>Low</v>
      </c>
      <c r="R2965" t="s">
        <v>3317</v>
      </c>
      <c r="S2965" s="4">
        <f t="shared" ca="1" si="463"/>
        <v>688</v>
      </c>
      <c r="T2965">
        <f t="shared" si="464"/>
        <v>1</v>
      </c>
      <c r="U2965">
        <f t="shared" si="465"/>
        <v>1</v>
      </c>
      <c r="V2965">
        <f t="shared" si="466"/>
        <v>1</v>
      </c>
      <c r="W2965">
        <f t="shared" si="467"/>
        <v>1</v>
      </c>
      <c r="X2965">
        <f t="shared" si="468"/>
        <v>0.99999999999999989</v>
      </c>
      <c r="Y2965" t="str">
        <f t="shared" si="469"/>
        <v>Healthy</v>
      </c>
    </row>
    <row r="2966" spans="1:25" x14ac:dyDescent="0.35">
      <c r="A2966" t="s">
        <v>20</v>
      </c>
      <c r="B2966" t="s">
        <v>21</v>
      </c>
      <c r="C2966" t="s">
        <v>214</v>
      </c>
      <c r="D2966" t="s">
        <v>809</v>
      </c>
      <c r="E2966">
        <v>80707581</v>
      </c>
      <c r="F2966" t="s">
        <v>2077</v>
      </c>
      <c r="G2966" s="3">
        <v>46493</v>
      </c>
      <c r="H2966">
        <v>36</v>
      </c>
      <c r="I2966">
        <v>28</v>
      </c>
      <c r="J2966">
        <v>47</v>
      </c>
      <c r="K2966" s="4">
        <v>5000.8</v>
      </c>
      <c r="L2966" s="4">
        <v>15.571428571428571</v>
      </c>
      <c r="M2966" s="4">
        <v>3.0183486238532109</v>
      </c>
      <c r="N2966" t="s">
        <v>25</v>
      </c>
      <c r="O2966" t="str">
        <f t="shared" si="460"/>
        <v>Medium</v>
      </c>
      <c r="P2966" t="str">
        <f t="shared" si="461"/>
        <v>Low</v>
      </c>
      <c r="Q2966" t="str">
        <f t="shared" si="462"/>
        <v>Low</v>
      </c>
      <c r="R2966" t="s">
        <v>3317</v>
      </c>
      <c r="S2966" s="4">
        <f t="shared" ca="1" si="463"/>
        <v>296</v>
      </c>
      <c r="T2966">
        <f t="shared" si="464"/>
        <v>2</v>
      </c>
      <c r="U2966">
        <f t="shared" si="465"/>
        <v>1</v>
      </c>
      <c r="V2966">
        <f t="shared" si="466"/>
        <v>1</v>
      </c>
      <c r="W2966">
        <f t="shared" si="467"/>
        <v>1</v>
      </c>
      <c r="X2966">
        <f t="shared" si="468"/>
        <v>1.4000000000000001</v>
      </c>
      <c r="Y2966" t="str">
        <f t="shared" si="469"/>
        <v>Healthy</v>
      </c>
    </row>
    <row r="2967" spans="1:25" x14ac:dyDescent="0.35">
      <c r="A2967" t="s">
        <v>179</v>
      </c>
      <c r="B2967" t="s">
        <v>223</v>
      </c>
      <c r="C2967" t="s">
        <v>357</v>
      </c>
      <c r="D2967" t="s">
        <v>2078</v>
      </c>
      <c r="E2967">
        <v>80838238</v>
      </c>
      <c r="F2967" t="s">
        <v>2079</v>
      </c>
      <c r="G2967" s="3">
        <v>46357</v>
      </c>
      <c r="H2967">
        <v>18</v>
      </c>
      <c r="I2967">
        <v>31</v>
      </c>
      <c r="J2967">
        <v>8</v>
      </c>
      <c r="K2967" s="4">
        <v>8781.92</v>
      </c>
      <c r="L2967" s="4">
        <v>1.7142857142857142</v>
      </c>
      <c r="M2967" s="4">
        <v>4.666666666666667</v>
      </c>
      <c r="N2967" t="s">
        <v>25</v>
      </c>
      <c r="O2967" t="str">
        <f t="shared" si="460"/>
        <v>Medium</v>
      </c>
      <c r="P2967" t="str">
        <f t="shared" si="461"/>
        <v>Medium</v>
      </c>
      <c r="Q2967" t="str">
        <f t="shared" si="462"/>
        <v>High</v>
      </c>
      <c r="R2967" t="s">
        <v>3317</v>
      </c>
      <c r="S2967" s="4">
        <f t="shared" ca="1" si="463"/>
        <v>160</v>
      </c>
      <c r="T2967">
        <f t="shared" si="464"/>
        <v>2</v>
      </c>
      <c r="U2967">
        <f t="shared" si="465"/>
        <v>2</v>
      </c>
      <c r="V2967">
        <f t="shared" si="466"/>
        <v>3</v>
      </c>
      <c r="W2967">
        <f t="shared" si="467"/>
        <v>1</v>
      </c>
      <c r="X2967">
        <f t="shared" si="468"/>
        <v>2.1</v>
      </c>
      <c r="Y2967" t="str">
        <f t="shared" si="469"/>
        <v>Monitor</v>
      </c>
    </row>
    <row r="2968" spans="1:25" x14ac:dyDescent="0.35">
      <c r="A2968" t="s">
        <v>90</v>
      </c>
      <c r="B2968" t="s">
        <v>217</v>
      </c>
      <c r="C2968" t="s">
        <v>533</v>
      </c>
      <c r="D2968" t="s">
        <v>2080</v>
      </c>
      <c r="E2968">
        <v>80723251</v>
      </c>
      <c r="F2968" t="s">
        <v>2081</v>
      </c>
      <c r="G2968" s="3">
        <v>45575</v>
      </c>
      <c r="H2968">
        <v>24</v>
      </c>
      <c r="I2968">
        <v>0</v>
      </c>
      <c r="J2968">
        <v>15</v>
      </c>
      <c r="K2968" s="4">
        <v>9145.65</v>
      </c>
      <c r="L2968" s="4">
        <v>1.1428571428571428</v>
      </c>
      <c r="M2968" s="4">
        <v>13.125</v>
      </c>
      <c r="N2968" t="s">
        <v>19</v>
      </c>
      <c r="O2968" t="str">
        <f t="shared" si="460"/>
        <v>High</v>
      </c>
      <c r="P2968" t="str">
        <f t="shared" si="461"/>
        <v>High</v>
      </c>
      <c r="Q2968" t="str">
        <f t="shared" si="462"/>
        <v>High</v>
      </c>
      <c r="R2968" t="s">
        <v>3317</v>
      </c>
      <c r="S2968" s="4">
        <f t="shared" ca="1" si="463"/>
        <v>-622</v>
      </c>
      <c r="T2968">
        <f t="shared" si="464"/>
        <v>3</v>
      </c>
      <c r="U2968">
        <f t="shared" si="465"/>
        <v>3</v>
      </c>
      <c r="V2968">
        <f t="shared" si="466"/>
        <v>3</v>
      </c>
      <c r="W2968">
        <f t="shared" si="467"/>
        <v>1</v>
      </c>
      <c r="X2968">
        <f t="shared" si="468"/>
        <v>2.8000000000000003</v>
      </c>
      <c r="Y2968" t="str">
        <f t="shared" si="469"/>
        <v>Move Immediately</v>
      </c>
    </row>
    <row r="2969" spans="1:25" x14ac:dyDescent="0.35">
      <c r="A2969" t="s">
        <v>90</v>
      </c>
      <c r="B2969" t="s">
        <v>217</v>
      </c>
      <c r="C2969" t="s">
        <v>533</v>
      </c>
      <c r="D2969" t="s">
        <v>2080</v>
      </c>
      <c r="E2969">
        <v>80723251</v>
      </c>
      <c r="F2969" t="s">
        <v>2081</v>
      </c>
      <c r="G2969" s="3">
        <v>45576</v>
      </c>
      <c r="H2969">
        <v>24</v>
      </c>
      <c r="I2969">
        <v>0</v>
      </c>
      <c r="J2969">
        <v>5</v>
      </c>
      <c r="K2969" s="4">
        <v>3048.55</v>
      </c>
      <c r="L2969" s="4">
        <v>1.1428571428571428</v>
      </c>
      <c r="M2969" s="4">
        <v>4.375</v>
      </c>
      <c r="N2969" t="s">
        <v>25</v>
      </c>
      <c r="O2969" t="str">
        <f t="shared" si="460"/>
        <v>High</v>
      </c>
      <c r="P2969" t="str">
        <f t="shared" si="461"/>
        <v>Medium</v>
      </c>
      <c r="Q2969" t="str">
        <f t="shared" si="462"/>
        <v>High</v>
      </c>
      <c r="R2969" t="s">
        <v>3317</v>
      </c>
      <c r="S2969" s="4">
        <f t="shared" ca="1" si="463"/>
        <v>-621</v>
      </c>
      <c r="T2969">
        <f t="shared" si="464"/>
        <v>3</v>
      </c>
      <c r="U2969">
        <f t="shared" si="465"/>
        <v>2</v>
      </c>
      <c r="V2969">
        <f t="shared" si="466"/>
        <v>3</v>
      </c>
      <c r="W2969">
        <f t="shared" si="467"/>
        <v>1</v>
      </c>
      <c r="X2969">
        <f t="shared" si="468"/>
        <v>2.5000000000000004</v>
      </c>
      <c r="Y2969" t="str">
        <f t="shared" si="469"/>
        <v>High Priority</v>
      </c>
    </row>
    <row r="2970" spans="1:25" x14ac:dyDescent="0.35">
      <c r="A2970" t="s">
        <v>90</v>
      </c>
      <c r="B2970" t="s">
        <v>217</v>
      </c>
      <c r="C2970" t="s">
        <v>533</v>
      </c>
      <c r="D2970" t="s">
        <v>2080</v>
      </c>
      <c r="E2970">
        <v>80723251</v>
      </c>
      <c r="F2970" t="s">
        <v>2081</v>
      </c>
      <c r="G2970" s="3">
        <v>45591</v>
      </c>
      <c r="H2970">
        <v>24</v>
      </c>
      <c r="I2970">
        <v>0</v>
      </c>
      <c r="J2970">
        <v>4</v>
      </c>
      <c r="K2970" s="4">
        <v>2438.84</v>
      </c>
      <c r="L2970" s="4">
        <v>1.1428571428571428</v>
      </c>
      <c r="M2970" s="4">
        <v>3.5</v>
      </c>
      <c r="N2970" t="s">
        <v>25</v>
      </c>
      <c r="O2970" t="str">
        <f t="shared" si="460"/>
        <v>High</v>
      </c>
      <c r="P2970" t="str">
        <f t="shared" si="461"/>
        <v>Low</v>
      </c>
      <c r="Q2970" t="str">
        <f t="shared" si="462"/>
        <v>High</v>
      </c>
      <c r="R2970" t="s">
        <v>3317</v>
      </c>
      <c r="S2970" s="4">
        <f t="shared" ca="1" si="463"/>
        <v>-606</v>
      </c>
      <c r="T2970">
        <f t="shared" si="464"/>
        <v>3</v>
      </c>
      <c r="U2970">
        <f t="shared" si="465"/>
        <v>1</v>
      </c>
      <c r="V2970">
        <f t="shared" si="466"/>
        <v>3</v>
      </c>
      <c r="W2970">
        <f t="shared" si="467"/>
        <v>1</v>
      </c>
      <c r="X2970">
        <f t="shared" si="468"/>
        <v>2.2000000000000006</v>
      </c>
      <c r="Y2970" t="str">
        <f t="shared" si="469"/>
        <v>High Priority</v>
      </c>
    </row>
    <row r="2971" spans="1:25" x14ac:dyDescent="0.35">
      <c r="A2971" t="s">
        <v>14</v>
      </c>
      <c r="B2971" t="s">
        <v>115</v>
      </c>
      <c r="C2971" t="s">
        <v>116</v>
      </c>
      <c r="D2971" t="s">
        <v>117</v>
      </c>
      <c r="E2971">
        <v>80820216</v>
      </c>
      <c r="F2971" t="s">
        <v>2082</v>
      </c>
      <c r="G2971" s="3">
        <v>47647</v>
      </c>
      <c r="H2971">
        <v>60</v>
      </c>
      <c r="I2971">
        <v>81</v>
      </c>
      <c r="J2971">
        <v>144</v>
      </c>
      <c r="K2971" s="4">
        <v>17297.28</v>
      </c>
      <c r="L2971" s="4">
        <v>412.57142857142856</v>
      </c>
      <c r="M2971" s="4">
        <v>0.34903047091412742</v>
      </c>
      <c r="N2971" t="s">
        <v>25</v>
      </c>
      <c r="O2971" t="str">
        <f t="shared" si="460"/>
        <v>Low</v>
      </c>
      <c r="P2971" t="str">
        <f t="shared" si="461"/>
        <v>Low</v>
      </c>
      <c r="Q2971" t="str">
        <f t="shared" si="462"/>
        <v>Low</v>
      </c>
      <c r="R2971" t="s">
        <v>3317</v>
      </c>
      <c r="S2971" s="4">
        <f t="shared" ca="1" si="463"/>
        <v>1450</v>
      </c>
      <c r="T2971">
        <f t="shared" si="464"/>
        <v>1</v>
      </c>
      <c r="U2971">
        <f t="shared" si="465"/>
        <v>1</v>
      </c>
      <c r="V2971">
        <f t="shared" si="466"/>
        <v>1</v>
      </c>
      <c r="W2971">
        <f t="shared" si="467"/>
        <v>1</v>
      </c>
      <c r="X2971">
        <f t="shared" si="468"/>
        <v>0.99999999999999989</v>
      </c>
      <c r="Y2971" t="str">
        <f t="shared" si="469"/>
        <v>Healthy</v>
      </c>
    </row>
    <row r="2972" spans="1:25" x14ac:dyDescent="0.35">
      <c r="A2972" t="s">
        <v>71</v>
      </c>
      <c r="B2972" t="s">
        <v>72</v>
      </c>
      <c r="C2972" t="s">
        <v>687</v>
      </c>
      <c r="D2972" t="s">
        <v>1968</v>
      </c>
      <c r="E2972">
        <v>80827060</v>
      </c>
      <c r="F2972" t="s">
        <v>2083</v>
      </c>
      <c r="G2972" s="3">
        <v>46929</v>
      </c>
      <c r="H2972">
        <v>36</v>
      </c>
      <c r="I2972">
        <v>68</v>
      </c>
      <c r="J2972">
        <v>18</v>
      </c>
      <c r="K2972" s="4">
        <v>5619.6</v>
      </c>
      <c r="L2972" s="4">
        <v>90</v>
      </c>
      <c r="M2972" s="4">
        <v>0.2</v>
      </c>
      <c r="N2972" t="s">
        <v>25</v>
      </c>
      <c r="O2972" t="str">
        <f t="shared" si="460"/>
        <v>Low</v>
      </c>
      <c r="P2972" t="str">
        <f t="shared" si="461"/>
        <v>Low</v>
      </c>
      <c r="Q2972" t="str">
        <f t="shared" si="462"/>
        <v>Low</v>
      </c>
      <c r="R2972" t="s">
        <v>3317</v>
      </c>
      <c r="S2972" s="4">
        <f t="shared" ca="1" si="463"/>
        <v>732</v>
      </c>
      <c r="T2972">
        <f t="shared" si="464"/>
        <v>1</v>
      </c>
      <c r="U2972">
        <f t="shared" si="465"/>
        <v>1</v>
      </c>
      <c r="V2972">
        <f t="shared" si="466"/>
        <v>1</v>
      </c>
      <c r="W2972">
        <f t="shared" si="467"/>
        <v>1</v>
      </c>
      <c r="X2972">
        <f t="shared" si="468"/>
        <v>0.99999999999999989</v>
      </c>
      <c r="Y2972" t="str">
        <f t="shared" si="469"/>
        <v>Healthy</v>
      </c>
    </row>
    <row r="2973" spans="1:25" x14ac:dyDescent="0.35">
      <c r="A2973" t="s">
        <v>71</v>
      </c>
      <c r="B2973" t="s">
        <v>72</v>
      </c>
      <c r="C2973" t="s">
        <v>687</v>
      </c>
      <c r="D2973" t="s">
        <v>1968</v>
      </c>
      <c r="E2973">
        <v>80827060</v>
      </c>
      <c r="F2973" t="s">
        <v>2083</v>
      </c>
      <c r="G2973" s="3">
        <v>46930</v>
      </c>
      <c r="H2973">
        <v>36</v>
      </c>
      <c r="I2973">
        <v>68</v>
      </c>
      <c r="J2973">
        <v>11</v>
      </c>
      <c r="K2973" s="4">
        <v>3663.77</v>
      </c>
      <c r="L2973" s="4">
        <v>90</v>
      </c>
      <c r="M2973" s="4">
        <v>0.12222222222222222</v>
      </c>
      <c r="N2973" t="s">
        <v>25</v>
      </c>
      <c r="O2973" t="str">
        <f t="shared" si="460"/>
        <v>Low</v>
      </c>
      <c r="P2973" t="str">
        <f t="shared" si="461"/>
        <v>Low</v>
      </c>
      <c r="Q2973" t="str">
        <f t="shared" si="462"/>
        <v>Low</v>
      </c>
      <c r="R2973" t="s">
        <v>3317</v>
      </c>
      <c r="S2973" s="4">
        <f t="shared" ca="1" si="463"/>
        <v>733</v>
      </c>
      <c r="T2973">
        <f t="shared" si="464"/>
        <v>1</v>
      </c>
      <c r="U2973">
        <f t="shared" si="465"/>
        <v>1</v>
      </c>
      <c r="V2973">
        <f t="shared" si="466"/>
        <v>1</v>
      </c>
      <c r="W2973">
        <f t="shared" si="467"/>
        <v>1</v>
      </c>
      <c r="X2973">
        <f t="shared" si="468"/>
        <v>0.99999999999999989</v>
      </c>
      <c r="Y2973" t="str">
        <f t="shared" si="469"/>
        <v>Healthy</v>
      </c>
    </row>
    <row r="2974" spans="1:25" x14ac:dyDescent="0.35">
      <c r="A2974" t="s">
        <v>71</v>
      </c>
      <c r="B2974" t="s">
        <v>72</v>
      </c>
      <c r="C2974" t="s">
        <v>687</v>
      </c>
      <c r="D2974" t="s">
        <v>1968</v>
      </c>
      <c r="E2974">
        <v>80827060</v>
      </c>
      <c r="F2974" t="s">
        <v>2083</v>
      </c>
      <c r="G2974" s="3">
        <v>47041</v>
      </c>
      <c r="H2974">
        <v>36</v>
      </c>
      <c r="I2974">
        <v>79</v>
      </c>
      <c r="J2974">
        <v>25</v>
      </c>
      <c r="K2974" s="4">
        <v>7805</v>
      </c>
      <c r="L2974" s="4">
        <v>90</v>
      </c>
      <c r="M2974" s="4">
        <v>0.27777777777777779</v>
      </c>
      <c r="N2974" t="s">
        <v>25</v>
      </c>
      <c r="O2974" t="str">
        <f t="shared" si="460"/>
        <v>Low</v>
      </c>
      <c r="P2974" t="str">
        <f t="shared" si="461"/>
        <v>Low</v>
      </c>
      <c r="Q2974" t="str">
        <f t="shared" si="462"/>
        <v>Low</v>
      </c>
      <c r="R2974" t="s">
        <v>3317</v>
      </c>
      <c r="S2974" s="4">
        <f t="shared" ca="1" si="463"/>
        <v>844</v>
      </c>
      <c r="T2974">
        <f t="shared" si="464"/>
        <v>1</v>
      </c>
      <c r="U2974">
        <f t="shared" si="465"/>
        <v>1</v>
      </c>
      <c r="V2974">
        <f t="shared" si="466"/>
        <v>1</v>
      </c>
      <c r="W2974">
        <f t="shared" si="467"/>
        <v>1</v>
      </c>
      <c r="X2974">
        <f t="shared" si="468"/>
        <v>0.99999999999999989</v>
      </c>
      <c r="Y2974" t="str">
        <f t="shared" si="469"/>
        <v>Healthy</v>
      </c>
    </row>
    <row r="2975" spans="1:25" x14ac:dyDescent="0.35">
      <c r="A2975" t="s">
        <v>71</v>
      </c>
      <c r="B2975" t="s">
        <v>72</v>
      </c>
      <c r="C2975" t="s">
        <v>174</v>
      </c>
      <c r="D2975" t="s">
        <v>547</v>
      </c>
      <c r="E2975">
        <v>80829184</v>
      </c>
      <c r="F2975" t="s">
        <v>2084</v>
      </c>
      <c r="G2975" s="3">
        <v>47112</v>
      </c>
      <c r="H2975">
        <v>36</v>
      </c>
      <c r="I2975">
        <v>85</v>
      </c>
      <c r="J2975">
        <v>3</v>
      </c>
      <c r="K2975" s="4">
        <v>12450.06</v>
      </c>
      <c r="L2975" s="4">
        <v>155.57142857142858</v>
      </c>
      <c r="M2975" s="4">
        <v>1.9283746556473826E-2</v>
      </c>
      <c r="N2975" t="s">
        <v>25</v>
      </c>
      <c r="O2975" t="str">
        <f t="shared" si="460"/>
        <v>Low</v>
      </c>
      <c r="P2975" t="str">
        <f t="shared" si="461"/>
        <v>Low</v>
      </c>
      <c r="Q2975" t="str">
        <f t="shared" si="462"/>
        <v>Low</v>
      </c>
      <c r="R2975" t="s">
        <v>3317</v>
      </c>
      <c r="S2975" s="4">
        <f t="shared" ca="1" si="463"/>
        <v>915</v>
      </c>
      <c r="T2975">
        <f t="shared" si="464"/>
        <v>1</v>
      </c>
      <c r="U2975">
        <f t="shared" si="465"/>
        <v>1</v>
      </c>
      <c r="V2975">
        <f t="shared" si="466"/>
        <v>1</v>
      </c>
      <c r="W2975">
        <f t="shared" si="467"/>
        <v>1</v>
      </c>
      <c r="X2975">
        <f t="shared" si="468"/>
        <v>0.99999999999999989</v>
      </c>
      <c r="Y2975" t="str">
        <f t="shared" si="469"/>
        <v>Healthy</v>
      </c>
    </row>
    <row r="2976" spans="1:25" x14ac:dyDescent="0.35">
      <c r="A2976" t="s">
        <v>90</v>
      </c>
      <c r="B2976" t="s">
        <v>91</v>
      </c>
      <c r="C2976" t="s">
        <v>155</v>
      </c>
      <c r="D2976" t="s">
        <v>1895</v>
      </c>
      <c r="E2976">
        <v>80837260</v>
      </c>
      <c r="F2976" t="s">
        <v>2085</v>
      </c>
      <c r="G2976" s="3">
        <v>46633</v>
      </c>
      <c r="H2976">
        <v>24</v>
      </c>
      <c r="I2976">
        <v>61</v>
      </c>
      <c r="J2976">
        <v>141</v>
      </c>
      <c r="K2976" s="4">
        <v>57739.5</v>
      </c>
      <c r="L2976" s="4">
        <v>303.85714285714283</v>
      </c>
      <c r="M2976" s="4">
        <v>0.46403385049365309</v>
      </c>
      <c r="N2976" t="s">
        <v>25</v>
      </c>
      <c r="O2976" t="str">
        <f t="shared" si="460"/>
        <v>Low</v>
      </c>
      <c r="P2976" t="str">
        <f t="shared" si="461"/>
        <v>Low</v>
      </c>
      <c r="Q2976" t="str">
        <f t="shared" si="462"/>
        <v>Low</v>
      </c>
      <c r="R2976" t="s">
        <v>3317</v>
      </c>
      <c r="S2976" s="4">
        <f t="shared" ca="1" si="463"/>
        <v>436</v>
      </c>
      <c r="T2976">
        <f t="shared" si="464"/>
        <v>1</v>
      </c>
      <c r="U2976">
        <f t="shared" si="465"/>
        <v>1</v>
      </c>
      <c r="V2976">
        <f t="shared" si="466"/>
        <v>1</v>
      </c>
      <c r="W2976">
        <f t="shared" si="467"/>
        <v>1</v>
      </c>
      <c r="X2976">
        <f t="shared" si="468"/>
        <v>0.99999999999999989</v>
      </c>
      <c r="Y2976" t="str">
        <f t="shared" si="469"/>
        <v>Healthy</v>
      </c>
    </row>
    <row r="2977" spans="1:25" x14ac:dyDescent="0.35">
      <c r="A2977" t="s">
        <v>41</v>
      </c>
      <c r="B2977" t="s">
        <v>42</v>
      </c>
      <c r="C2977" t="s">
        <v>43</v>
      </c>
      <c r="D2977" t="s">
        <v>1238</v>
      </c>
      <c r="E2977">
        <v>80839850</v>
      </c>
      <c r="F2977" t="s">
        <v>2086</v>
      </c>
      <c r="G2977" s="3">
        <v>47010</v>
      </c>
      <c r="H2977">
        <v>36</v>
      </c>
      <c r="I2977">
        <v>76</v>
      </c>
      <c r="J2977">
        <v>6</v>
      </c>
      <c r="K2977" s="4">
        <v>4109.04</v>
      </c>
      <c r="L2977" s="4">
        <v>15.571428571428571</v>
      </c>
      <c r="M2977" s="4">
        <v>0.38532110091743121</v>
      </c>
      <c r="N2977" t="s">
        <v>25</v>
      </c>
      <c r="O2977" t="str">
        <f t="shared" si="460"/>
        <v>Low</v>
      </c>
      <c r="P2977" t="str">
        <f t="shared" si="461"/>
        <v>Low</v>
      </c>
      <c r="Q2977" t="str">
        <f t="shared" si="462"/>
        <v>Low</v>
      </c>
      <c r="R2977" t="s">
        <v>3317</v>
      </c>
      <c r="S2977" s="4">
        <f t="shared" ca="1" si="463"/>
        <v>813</v>
      </c>
      <c r="T2977">
        <f t="shared" si="464"/>
        <v>1</v>
      </c>
      <c r="U2977">
        <f t="shared" si="465"/>
        <v>1</v>
      </c>
      <c r="V2977">
        <f t="shared" si="466"/>
        <v>1</v>
      </c>
      <c r="W2977">
        <f t="shared" si="467"/>
        <v>1</v>
      </c>
      <c r="X2977">
        <f t="shared" si="468"/>
        <v>0.99999999999999989</v>
      </c>
      <c r="Y2977" t="str">
        <f t="shared" si="469"/>
        <v>Healthy</v>
      </c>
    </row>
    <row r="2978" spans="1:25" x14ac:dyDescent="0.35">
      <c r="A2978" t="s">
        <v>41</v>
      </c>
      <c r="B2978" t="s">
        <v>42</v>
      </c>
      <c r="C2978" t="s">
        <v>43</v>
      </c>
      <c r="D2978" t="s">
        <v>1238</v>
      </c>
      <c r="E2978">
        <v>80839850</v>
      </c>
      <c r="F2978" t="s">
        <v>2086</v>
      </c>
      <c r="G2978" s="3">
        <v>46707</v>
      </c>
      <c r="H2978">
        <v>36</v>
      </c>
      <c r="I2978">
        <v>48</v>
      </c>
      <c r="J2978">
        <v>2</v>
      </c>
      <c r="K2978" s="4">
        <v>1369.68</v>
      </c>
      <c r="L2978" s="4">
        <v>15.571428571428571</v>
      </c>
      <c r="M2978" s="4">
        <v>0.12844036697247707</v>
      </c>
      <c r="N2978" t="s">
        <v>25</v>
      </c>
      <c r="O2978" t="str">
        <f t="shared" si="460"/>
        <v>Low</v>
      </c>
      <c r="P2978" t="str">
        <f t="shared" si="461"/>
        <v>Low</v>
      </c>
      <c r="Q2978" t="str">
        <f t="shared" si="462"/>
        <v>Low</v>
      </c>
      <c r="R2978" t="s">
        <v>3317</v>
      </c>
      <c r="S2978" s="4">
        <f t="shared" ca="1" si="463"/>
        <v>510</v>
      </c>
      <c r="T2978">
        <f t="shared" si="464"/>
        <v>1</v>
      </c>
      <c r="U2978">
        <f t="shared" si="465"/>
        <v>1</v>
      </c>
      <c r="V2978">
        <f t="shared" si="466"/>
        <v>1</v>
      </c>
      <c r="W2978">
        <f t="shared" si="467"/>
        <v>1</v>
      </c>
      <c r="X2978">
        <f t="shared" si="468"/>
        <v>0.99999999999999989</v>
      </c>
      <c r="Y2978" t="str">
        <f t="shared" si="469"/>
        <v>Healthy</v>
      </c>
    </row>
    <row r="2979" spans="1:25" x14ac:dyDescent="0.35">
      <c r="A2979" t="s">
        <v>41</v>
      </c>
      <c r="B2979" t="s">
        <v>42</v>
      </c>
      <c r="C2979" t="s">
        <v>43</v>
      </c>
      <c r="D2979" t="s">
        <v>1238</v>
      </c>
      <c r="E2979">
        <v>80839850</v>
      </c>
      <c r="F2979" t="s">
        <v>2086</v>
      </c>
      <c r="G2979" s="3">
        <v>46836</v>
      </c>
      <c r="H2979">
        <v>36</v>
      </c>
      <c r="I2979">
        <v>60</v>
      </c>
      <c r="J2979">
        <v>11</v>
      </c>
      <c r="K2979" s="4">
        <v>7533.24</v>
      </c>
      <c r="L2979" s="4">
        <v>15.571428571428571</v>
      </c>
      <c r="M2979" s="4">
        <v>0.70642201834862384</v>
      </c>
      <c r="N2979" t="s">
        <v>25</v>
      </c>
      <c r="O2979" t="str">
        <f t="shared" si="460"/>
        <v>Low</v>
      </c>
      <c r="P2979" t="str">
        <f t="shared" si="461"/>
        <v>Low</v>
      </c>
      <c r="Q2979" t="str">
        <f t="shared" si="462"/>
        <v>Low</v>
      </c>
      <c r="R2979" t="s">
        <v>3317</v>
      </c>
      <c r="S2979" s="4">
        <f t="shared" ca="1" si="463"/>
        <v>639</v>
      </c>
      <c r="T2979">
        <f t="shared" si="464"/>
        <v>1</v>
      </c>
      <c r="U2979">
        <f t="shared" si="465"/>
        <v>1</v>
      </c>
      <c r="V2979">
        <f t="shared" si="466"/>
        <v>1</v>
      </c>
      <c r="W2979">
        <f t="shared" si="467"/>
        <v>1</v>
      </c>
      <c r="X2979">
        <f t="shared" si="468"/>
        <v>0.99999999999999989</v>
      </c>
      <c r="Y2979" t="str">
        <f t="shared" si="469"/>
        <v>Healthy</v>
      </c>
    </row>
    <row r="2980" spans="1:25" x14ac:dyDescent="0.35">
      <c r="A2980" t="s">
        <v>41</v>
      </c>
      <c r="B2980" t="s">
        <v>80</v>
      </c>
      <c r="C2980" t="s">
        <v>2087</v>
      </c>
      <c r="D2980" t="s">
        <v>2088</v>
      </c>
      <c r="E2980">
        <v>80840374</v>
      </c>
      <c r="F2980" t="s">
        <v>2089</v>
      </c>
      <c r="G2980" s="3">
        <v>46872</v>
      </c>
      <c r="H2980">
        <v>36</v>
      </c>
      <c r="I2980">
        <v>63</v>
      </c>
      <c r="J2980">
        <v>14</v>
      </c>
      <c r="K2980" s="4">
        <v>6708.52</v>
      </c>
      <c r="L2980" s="4">
        <v>65.142857142857139</v>
      </c>
      <c r="M2980" s="4">
        <v>0.21491228070175439</v>
      </c>
      <c r="N2980" t="s">
        <v>25</v>
      </c>
      <c r="O2980" t="str">
        <f t="shared" si="460"/>
        <v>Low</v>
      </c>
      <c r="P2980" t="str">
        <f t="shared" si="461"/>
        <v>Low</v>
      </c>
      <c r="Q2980" t="str">
        <f t="shared" si="462"/>
        <v>Low</v>
      </c>
      <c r="R2980" t="s">
        <v>3317</v>
      </c>
      <c r="S2980" s="4">
        <f t="shared" ca="1" si="463"/>
        <v>675</v>
      </c>
      <c r="T2980">
        <f t="shared" si="464"/>
        <v>1</v>
      </c>
      <c r="U2980">
        <f t="shared" si="465"/>
        <v>1</v>
      </c>
      <c r="V2980">
        <f t="shared" si="466"/>
        <v>1</v>
      </c>
      <c r="W2980">
        <f t="shared" si="467"/>
        <v>1</v>
      </c>
      <c r="X2980">
        <f t="shared" si="468"/>
        <v>0.99999999999999989</v>
      </c>
      <c r="Y2980" t="str">
        <f t="shared" si="469"/>
        <v>Healthy</v>
      </c>
    </row>
    <row r="2981" spans="1:25" x14ac:dyDescent="0.35">
      <c r="A2981" t="s">
        <v>41</v>
      </c>
      <c r="B2981" t="s">
        <v>80</v>
      </c>
      <c r="C2981" t="s">
        <v>2087</v>
      </c>
      <c r="D2981" t="s">
        <v>2088</v>
      </c>
      <c r="E2981">
        <v>80840374</v>
      </c>
      <c r="F2981" t="s">
        <v>2089</v>
      </c>
      <c r="G2981" s="3">
        <v>47101</v>
      </c>
      <c r="H2981">
        <v>36</v>
      </c>
      <c r="I2981">
        <v>84</v>
      </c>
      <c r="J2981">
        <v>24</v>
      </c>
      <c r="K2981" s="4">
        <v>11500.32</v>
      </c>
      <c r="L2981" s="4">
        <v>65.142857142857139</v>
      </c>
      <c r="M2981" s="4">
        <v>0.36842105263157898</v>
      </c>
      <c r="N2981" t="s">
        <v>25</v>
      </c>
      <c r="O2981" t="str">
        <f t="shared" si="460"/>
        <v>Low</v>
      </c>
      <c r="P2981" t="str">
        <f t="shared" si="461"/>
        <v>Low</v>
      </c>
      <c r="Q2981" t="str">
        <f t="shared" si="462"/>
        <v>Low</v>
      </c>
      <c r="R2981" t="s">
        <v>3317</v>
      </c>
      <c r="S2981" s="4">
        <f t="shared" ca="1" si="463"/>
        <v>904</v>
      </c>
      <c r="T2981">
        <f t="shared" si="464"/>
        <v>1</v>
      </c>
      <c r="U2981">
        <f t="shared" si="465"/>
        <v>1</v>
      </c>
      <c r="V2981">
        <f t="shared" si="466"/>
        <v>1</v>
      </c>
      <c r="W2981">
        <f t="shared" si="467"/>
        <v>1</v>
      </c>
      <c r="X2981">
        <f t="shared" si="468"/>
        <v>0.99999999999999989</v>
      </c>
      <c r="Y2981" t="str">
        <f t="shared" si="469"/>
        <v>Healthy</v>
      </c>
    </row>
    <row r="2982" spans="1:25" x14ac:dyDescent="0.35">
      <c r="A2982" t="s">
        <v>41</v>
      </c>
      <c r="B2982" t="s">
        <v>80</v>
      </c>
      <c r="C2982" t="s">
        <v>2087</v>
      </c>
      <c r="D2982" t="s">
        <v>2088</v>
      </c>
      <c r="E2982">
        <v>80840374</v>
      </c>
      <c r="F2982" t="s">
        <v>2089</v>
      </c>
      <c r="G2982" s="3">
        <v>46962</v>
      </c>
      <c r="H2982">
        <v>36</v>
      </c>
      <c r="I2982">
        <v>71</v>
      </c>
      <c r="J2982">
        <v>24</v>
      </c>
      <c r="K2982" s="4">
        <v>11500.32</v>
      </c>
      <c r="L2982" s="4">
        <v>65.142857142857139</v>
      </c>
      <c r="M2982" s="4">
        <v>0.36842105263157898</v>
      </c>
      <c r="N2982" t="s">
        <v>25</v>
      </c>
      <c r="O2982" t="str">
        <f t="shared" si="460"/>
        <v>Low</v>
      </c>
      <c r="P2982" t="str">
        <f t="shared" si="461"/>
        <v>Low</v>
      </c>
      <c r="Q2982" t="str">
        <f t="shared" si="462"/>
        <v>Low</v>
      </c>
      <c r="R2982" t="s">
        <v>3317</v>
      </c>
      <c r="S2982" s="4">
        <f t="shared" ca="1" si="463"/>
        <v>765</v>
      </c>
      <c r="T2982">
        <f t="shared" si="464"/>
        <v>1</v>
      </c>
      <c r="U2982">
        <f t="shared" si="465"/>
        <v>1</v>
      </c>
      <c r="V2982">
        <f t="shared" si="466"/>
        <v>1</v>
      </c>
      <c r="W2982">
        <f t="shared" si="467"/>
        <v>1</v>
      </c>
      <c r="X2982">
        <f t="shared" si="468"/>
        <v>0.99999999999999989</v>
      </c>
      <c r="Y2982" t="str">
        <f t="shared" si="469"/>
        <v>Healthy</v>
      </c>
    </row>
    <row r="2983" spans="1:25" x14ac:dyDescent="0.35">
      <c r="A2983" t="s">
        <v>179</v>
      </c>
      <c r="B2983" t="s">
        <v>223</v>
      </c>
      <c r="C2983" t="s">
        <v>1300</v>
      </c>
      <c r="D2983" t="s">
        <v>2090</v>
      </c>
      <c r="E2983">
        <v>80846888</v>
      </c>
      <c r="F2983" t="s">
        <v>2091</v>
      </c>
      <c r="G2983" s="3">
        <v>46704</v>
      </c>
      <c r="H2983">
        <v>18</v>
      </c>
      <c r="I2983">
        <v>95</v>
      </c>
      <c r="J2983">
        <v>23</v>
      </c>
      <c r="K2983" s="4">
        <v>12777.42</v>
      </c>
      <c r="L2983" s="4">
        <v>75.428571428571431</v>
      </c>
      <c r="M2983" s="4">
        <v>0.30492424242424243</v>
      </c>
      <c r="N2983" t="s">
        <v>25</v>
      </c>
      <c r="O2983" t="str">
        <f t="shared" si="460"/>
        <v>Low</v>
      </c>
      <c r="P2983" t="str">
        <f t="shared" si="461"/>
        <v>Low</v>
      </c>
      <c r="Q2983" t="str">
        <f t="shared" si="462"/>
        <v>Low</v>
      </c>
      <c r="R2983" t="s">
        <v>3317</v>
      </c>
      <c r="S2983" s="4">
        <f t="shared" ca="1" si="463"/>
        <v>507</v>
      </c>
      <c r="T2983">
        <f t="shared" si="464"/>
        <v>1</v>
      </c>
      <c r="U2983">
        <f t="shared" si="465"/>
        <v>1</v>
      </c>
      <c r="V2983">
        <f t="shared" si="466"/>
        <v>1</v>
      </c>
      <c r="W2983">
        <f t="shared" si="467"/>
        <v>1</v>
      </c>
      <c r="X2983">
        <f t="shared" si="468"/>
        <v>0.99999999999999989</v>
      </c>
      <c r="Y2983" t="str">
        <f t="shared" si="469"/>
        <v>Healthy</v>
      </c>
    </row>
    <row r="2984" spans="1:25" x14ac:dyDescent="0.35">
      <c r="A2984" t="s">
        <v>179</v>
      </c>
      <c r="B2984" t="s">
        <v>223</v>
      </c>
      <c r="C2984" t="s">
        <v>1300</v>
      </c>
      <c r="D2984" t="s">
        <v>2090</v>
      </c>
      <c r="E2984">
        <v>80846888</v>
      </c>
      <c r="F2984" t="s">
        <v>2091</v>
      </c>
      <c r="G2984" s="3">
        <v>46660</v>
      </c>
      <c r="H2984">
        <v>18</v>
      </c>
      <c r="I2984">
        <v>87</v>
      </c>
      <c r="J2984">
        <v>1</v>
      </c>
      <c r="K2984" s="4">
        <v>555.54</v>
      </c>
      <c r="L2984" s="4">
        <v>75.428571428571431</v>
      </c>
      <c r="M2984" s="4">
        <v>1.3257575757575758E-2</v>
      </c>
      <c r="N2984" t="s">
        <v>25</v>
      </c>
      <c r="O2984" t="str">
        <f t="shared" si="460"/>
        <v>Low</v>
      </c>
      <c r="P2984" t="str">
        <f t="shared" si="461"/>
        <v>Low</v>
      </c>
      <c r="Q2984" t="str">
        <f t="shared" si="462"/>
        <v>Low</v>
      </c>
      <c r="R2984" t="s">
        <v>3317</v>
      </c>
      <c r="S2984" s="4">
        <f t="shared" ca="1" si="463"/>
        <v>463</v>
      </c>
      <c r="T2984">
        <f t="shared" si="464"/>
        <v>1</v>
      </c>
      <c r="U2984">
        <f t="shared" si="465"/>
        <v>1</v>
      </c>
      <c r="V2984">
        <f t="shared" si="466"/>
        <v>1</v>
      </c>
      <c r="W2984">
        <f t="shared" si="467"/>
        <v>1</v>
      </c>
      <c r="X2984">
        <f t="shared" si="468"/>
        <v>0.99999999999999989</v>
      </c>
      <c r="Y2984" t="str">
        <f t="shared" si="469"/>
        <v>Healthy</v>
      </c>
    </row>
    <row r="2985" spans="1:25" x14ac:dyDescent="0.35">
      <c r="A2985" t="s">
        <v>179</v>
      </c>
      <c r="B2985" t="s">
        <v>195</v>
      </c>
      <c r="C2985" t="s">
        <v>199</v>
      </c>
      <c r="D2985" t="s">
        <v>237</v>
      </c>
      <c r="E2985">
        <v>80847258</v>
      </c>
      <c r="F2985" t="s">
        <v>2092</v>
      </c>
      <c r="G2985" s="3">
        <v>46187</v>
      </c>
      <c r="H2985">
        <v>16</v>
      </c>
      <c r="I2985">
        <v>0</v>
      </c>
      <c r="J2985">
        <v>1</v>
      </c>
      <c r="K2985" s="4">
        <v>1332.4</v>
      </c>
      <c r="L2985" s="4">
        <f>0</f>
        <v>0</v>
      </c>
      <c r="M2985" s="4">
        <f>999</f>
        <v>999</v>
      </c>
      <c r="N2985" t="s">
        <v>19</v>
      </c>
      <c r="O2985" t="str">
        <f t="shared" si="460"/>
        <v>High</v>
      </c>
      <c r="P2985" t="str">
        <f t="shared" si="461"/>
        <v>High</v>
      </c>
      <c r="Q2985" t="str">
        <f t="shared" si="462"/>
        <v>High</v>
      </c>
      <c r="R2985" t="s">
        <v>3317</v>
      </c>
      <c r="S2985" s="4">
        <f t="shared" ca="1" si="463"/>
        <v>-10</v>
      </c>
      <c r="T2985">
        <f t="shared" si="464"/>
        <v>3</v>
      </c>
      <c r="U2985">
        <f t="shared" si="465"/>
        <v>3</v>
      </c>
      <c r="V2985">
        <f t="shared" si="466"/>
        <v>3</v>
      </c>
      <c r="W2985">
        <f t="shared" si="467"/>
        <v>1</v>
      </c>
      <c r="X2985">
        <f t="shared" si="468"/>
        <v>2.8000000000000003</v>
      </c>
      <c r="Y2985" t="str">
        <f t="shared" si="469"/>
        <v>Move Immediately</v>
      </c>
    </row>
    <row r="2986" spans="1:25" x14ac:dyDescent="0.35">
      <c r="A2986" t="s">
        <v>179</v>
      </c>
      <c r="B2986" t="s">
        <v>195</v>
      </c>
      <c r="C2986" t="s">
        <v>199</v>
      </c>
      <c r="D2986" t="s">
        <v>237</v>
      </c>
      <c r="E2986">
        <v>80847258</v>
      </c>
      <c r="F2986" t="s">
        <v>2092</v>
      </c>
      <c r="G2986" s="3">
        <v>46182</v>
      </c>
      <c r="H2986">
        <v>16</v>
      </c>
      <c r="I2986">
        <v>0</v>
      </c>
      <c r="J2986">
        <v>1</v>
      </c>
      <c r="K2986" s="4">
        <v>1332.4</v>
      </c>
      <c r="L2986" s="4">
        <f>0</f>
        <v>0</v>
      </c>
      <c r="M2986" s="4">
        <f>999</f>
        <v>999</v>
      </c>
      <c r="N2986" t="s">
        <v>19</v>
      </c>
      <c r="O2986" t="str">
        <f t="shared" si="460"/>
        <v>High</v>
      </c>
      <c r="P2986" t="str">
        <f t="shared" si="461"/>
        <v>High</v>
      </c>
      <c r="Q2986" t="str">
        <f t="shared" si="462"/>
        <v>High</v>
      </c>
      <c r="R2986" t="s">
        <v>3317</v>
      </c>
      <c r="S2986" s="4">
        <f t="shared" ca="1" si="463"/>
        <v>-15</v>
      </c>
      <c r="T2986">
        <f t="shared" si="464"/>
        <v>3</v>
      </c>
      <c r="U2986">
        <f t="shared" si="465"/>
        <v>3</v>
      </c>
      <c r="V2986">
        <f t="shared" si="466"/>
        <v>3</v>
      </c>
      <c r="W2986">
        <f t="shared" si="467"/>
        <v>1</v>
      </c>
      <c r="X2986">
        <f t="shared" si="468"/>
        <v>2.8000000000000003</v>
      </c>
      <c r="Y2986" t="str">
        <f t="shared" si="469"/>
        <v>Move Immediately</v>
      </c>
    </row>
    <row r="2987" spans="1:25" x14ac:dyDescent="0.35">
      <c r="A2987" t="s">
        <v>179</v>
      </c>
      <c r="B2987" t="s">
        <v>195</v>
      </c>
      <c r="C2987" t="s">
        <v>199</v>
      </c>
      <c r="D2987" t="s">
        <v>237</v>
      </c>
      <c r="E2987">
        <v>80847258</v>
      </c>
      <c r="F2987" t="s">
        <v>2092</v>
      </c>
      <c r="G2987" s="3">
        <v>46186</v>
      </c>
      <c r="H2987">
        <v>16</v>
      </c>
      <c r="I2987">
        <v>0</v>
      </c>
      <c r="J2987">
        <v>1</v>
      </c>
      <c r="K2987" s="4">
        <v>1332.4</v>
      </c>
      <c r="L2987" s="4">
        <f>0</f>
        <v>0</v>
      </c>
      <c r="M2987" s="4">
        <f>999</f>
        <v>999</v>
      </c>
      <c r="N2987" t="s">
        <v>19</v>
      </c>
      <c r="O2987" t="str">
        <f t="shared" si="460"/>
        <v>High</v>
      </c>
      <c r="P2987" t="str">
        <f t="shared" si="461"/>
        <v>High</v>
      </c>
      <c r="Q2987" t="str">
        <f t="shared" si="462"/>
        <v>High</v>
      </c>
      <c r="R2987" t="s">
        <v>3317</v>
      </c>
      <c r="S2987" s="4">
        <f t="shared" ca="1" si="463"/>
        <v>-11</v>
      </c>
      <c r="T2987">
        <f t="shared" si="464"/>
        <v>3</v>
      </c>
      <c r="U2987">
        <f t="shared" si="465"/>
        <v>3</v>
      </c>
      <c r="V2987">
        <f t="shared" si="466"/>
        <v>3</v>
      </c>
      <c r="W2987">
        <f t="shared" si="467"/>
        <v>1</v>
      </c>
      <c r="X2987">
        <f t="shared" si="468"/>
        <v>2.8000000000000003</v>
      </c>
      <c r="Y2987" t="str">
        <f t="shared" si="469"/>
        <v>Move Immediately</v>
      </c>
    </row>
    <row r="2988" spans="1:25" x14ac:dyDescent="0.35">
      <c r="A2988" t="s">
        <v>179</v>
      </c>
      <c r="B2988" t="s">
        <v>195</v>
      </c>
      <c r="C2988" t="s">
        <v>199</v>
      </c>
      <c r="D2988" t="s">
        <v>237</v>
      </c>
      <c r="E2988">
        <v>80847258</v>
      </c>
      <c r="F2988" t="s">
        <v>2092</v>
      </c>
      <c r="G2988" s="3">
        <v>46181</v>
      </c>
      <c r="H2988">
        <v>16</v>
      </c>
      <c r="I2988">
        <v>0</v>
      </c>
      <c r="J2988">
        <v>1</v>
      </c>
      <c r="K2988" s="4">
        <v>1332.4</v>
      </c>
      <c r="L2988" s="4">
        <f>0</f>
        <v>0</v>
      </c>
      <c r="M2988" s="4">
        <f>999</f>
        <v>999</v>
      </c>
      <c r="N2988" t="s">
        <v>19</v>
      </c>
      <c r="O2988" t="str">
        <f t="shared" si="460"/>
        <v>High</v>
      </c>
      <c r="P2988" t="str">
        <f t="shared" si="461"/>
        <v>High</v>
      </c>
      <c r="Q2988" t="str">
        <f t="shared" si="462"/>
        <v>High</v>
      </c>
      <c r="R2988" t="s">
        <v>3317</v>
      </c>
      <c r="S2988" s="4">
        <f t="shared" ca="1" si="463"/>
        <v>-16</v>
      </c>
      <c r="T2988">
        <f t="shared" si="464"/>
        <v>3</v>
      </c>
      <c r="U2988">
        <f t="shared" si="465"/>
        <v>3</v>
      </c>
      <c r="V2988">
        <f t="shared" si="466"/>
        <v>3</v>
      </c>
      <c r="W2988">
        <f t="shared" si="467"/>
        <v>1</v>
      </c>
      <c r="X2988">
        <f t="shared" si="468"/>
        <v>2.8000000000000003</v>
      </c>
      <c r="Y2988" t="str">
        <f t="shared" si="469"/>
        <v>Move Immediately</v>
      </c>
    </row>
    <row r="2989" spans="1:25" x14ac:dyDescent="0.35">
      <c r="A2989" t="s">
        <v>179</v>
      </c>
      <c r="B2989" t="s">
        <v>223</v>
      </c>
      <c r="C2989" t="s">
        <v>357</v>
      </c>
      <c r="D2989" t="s">
        <v>2093</v>
      </c>
      <c r="E2989">
        <v>80840073</v>
      </c>
      <c r="F2989" t="s">
        <v>2094</v>
      </c>
      <c r="G2989" s="3">
        <v>46385</v>
      </c>
      <c r="H2989">
        <v>18</v>
      </c>
      <c r="I2989">
        <v>36</v>
      </c>
      <c r="J2989">
        <v>2</v>
      </c>
      <c r="K2989" s="4">
        <v>1775.94</v>
      </c>
      <c r="L2989" s="4">
        <v>53.285714285714285</v>
      </c>
      <c r="M2989" s="4">
        <v>3.7533512064343161E-2</v>
      </c>
      <c r="N2989" t="s">
        <v>25</v>
      </c>
      <c r="O2989" t="str">
        <f t="shared" si="460"/>
        <v>Medium</v>
      </c>
      <c r="P2989" t="str">
        <f t="shared" si="461"/>
        <v>Low</v>
      </c>
      <c r="Q2989" t="str">
        <f t="shared" si="462"/>
        <v>Low</v>
      </c>
      <c r="R2989" t="s">
        <v>3317</v>
      </c>
      <c r="S2989" s="4">
        <f t="shared" ca="1" si="463"/>
        <v>188</v>
      </c>
      <c r="T2989">
        <f t="shared" si="464"/>
        <v>2</v>
      </c>
      <c r="U2989">
        <f t="shared" si="465"/>
        <v>1</v>
      </c>
      <c r="V2989">
        <f t="shared" si="466"/>
        <v>1</v>
      </c>
      <c r="W2989">
        <f t="shared" si="467"/>
        <v>1</v>
      </c>
      <c r="X2989">
        <f t="shared" si="468"/>
        <v>1.4000000000000001</v>
      </c>
      <c r="Y2989" t="str">
        <f t="shared" si="469"/>
        <v>Healthy</v>
      </c>
    </row>
    <row r="2990" spans="1:25" x14ac:dyDescent="0.35">
      <c r="A2990" t="s">
        <v>179</v>
      </c>
      <c r="B2990" t="s">
        <v>223</v>
      </c>
      <c r="C2990" t="s">
        <v>357</v>
      </c>
      <c r="D2990" t="s">
        <v>2093</v>
      </c>
      <c r="E2990">
        <v>80840073</v>
      </c>
      <c r="F2990" t="s">
        <v>2094</v>
      </c>
      <c r="G2990" s="3">
        <v>46342</v>
      </c>
      <c r="H2990">
        <v>18</v>
      </c>
      <c r="I2990">
        <v>28</v>
      </c>
      <c r="J2990">
        <v>1</v>
      </c>
      <c r="K2990" s="4">
        <v>887.97</v>
      </c>
      <c r="L2990" s="4">
        <v>53.285714285714285</v>
      </c>
      <c r="M2990" s="4">
        <v>1.876675603217158E-2</v>
      </c>
      <c r="N2990" t="s">
        <v>25</v>
      </c>
      <c r="O2990" t="str">
        <f t="shared" si="460"/>
        <v>Medium</v>
      </c>
      <c r="P2990" t="str">
        <f t="shared" si="461"/>
        <v>Low</v>
      </c>
      <c r="Q2990" t="str">
        <f t="shared" si="462"/>
        <v>Low</v>
      </c>
      <c r="R2990" t="s">
        <v>3317</v>
      </c>
      <c r="S2990" s="4">
        <f t="shared" ca="1" si="463"/>
        <v>145</v>
      </c>
      <c r="T2990">
        <f t="shared" si="464"/>
        <v>2</v>
      </c>
      <c r="U2990">
        <f t="shared" si="465"/>
        <v>1</v>
      </c>
      <c r="V2990">
        <f t="shared" si="466"/>
        <v>1</v>
      </c>
      <c r="W2990">
        <f t="shared" si="467"/>
        <v>1</v>
      </c>
      <c r="X2990">
        <f t="shared" si="468"/>
        <v>1.4000000000000001</v>
      </c>
      <c r="Y2990" t="str">
        <f t="shared" si="469"/>
        <v>Healthy</v>
      </c>
    </row>
    <row r="2991" spans="1:25" x14ac:dyDescent="0.35">
      <c r="A2991" t="s">
        <v>71</v>
      </c>
      <c r="B2991" t="s">
        <v>72</v>
      </c>
      <c r="C2991" t="s">
        <v>386</v>
      </c>
      <c r="D2991" t="s">
        <v>601</v>
      </c>
      <c r="E2991">
        <v>80713806</v>
      </c>
      <c r="F2991" t="s">
        <v>2095</v>
      </c>
      <c r="G2991" s="3">
        <v>46011</v>
      </c>
      <c r="H2991">
        <v>36</v>
      </c>
      <c r="I2991">
        <v>0</v>
      </c>
      <c r="J2991">
        <v>12</v>
      </c>
      <c r="K2991" s="4">
        <v>3590.28</v>
      </c>
      <c r="L2991" s="4">
        <f>0</f>
        <v>0</v>
      </c>
      <c r="M2991" s="4">
        <f>999</f>
        <v>999</v>
      </c>
      <c r="N2991" t="s">
        <v>19</v>
      </c>
      <c r="O2991" t="str">
        <f t="shared" si="460"/>
        <v>High</v>
      </c>
      <c r="P2991" t="str">
        <f t="shared" si="461"/>
        <v>High</v>
      </c>
      <c r="Q2991" t="str">
        <f t="shared" si="462"/>
        <v>High</v>
      </c>
      <c r="R2991" t="s">
        <v>3317</v>
      </c>
      <c r="S2991" s="4">
        <f t="shared" ca="1" si="463"/>
        <v>-186</v>
      </c>
      <c r="T2991">
        <f t="shared" si="464"/>
        <v>3</v>
      </c>
      <c r="U2991">
        <f t="shared" si="465"/>
        <v>3</v>
      </c>
      <c r="V2991">
        <f t="shared" si="466"/>
        <v>3</v>
      </c>
      <c r="W2991">
        <f t="shared" si="467"/>
        <v>1</v>
      </c>
      <c r="X2991">
        <f t="shared" si="468"/>
        <v>2.8000000000000003</v>
      </c>
      <c r="Y2991" t="str">
        <f t="shared" si="469"/>
        <v>Move Immediately</v>
      </c>
    </row>
    <row r="2992" spans="1:25" x14ac:dyDescent="0.35">
      <c r="A2992" t="s">
        <v>179</v>
      </c>
      <c r="B2992" t="s">
        <v>223</v>
      </c>
      <c r="C2992" t="s">
        <v>357</v>
      </c>
      <c r="D2992" t="s">
        <v>2093</v>
      </c>
      <c r="E2992">
        <v>80840073</v>
      </c>
      <c r="F2992" t="s">
        <v>2094</v>
      </c>
      <c r="G2992" s="3">
        <v>46376</v>
      </c>
      <c r="H2992">
        <v>18</v>
      </c>
      <c r="I2992">
        <v>34</v>
      </c>
      <c r="J2992">
        <v>15</v>
      </c>
      <c r="K2992" s="4">
        <v>13319.55</v>
      </c>
      <c r="L2992" s="4">
        <v>53.285714285714285</v>
      </c>
      <c r="M2992" s="4">
        <v>0.28150134048257375</v>
      </c>
      <c r="N2992" t="s">
        <v>25</v>
      </c>
      <c r="O2992" t="str">
        <f t="shared" si="460"/>
        <v>Medium</v>
      </c>
      <c r="P2992" t="str">
        <f t="shared" si="461"/>
        <v>Low</v>
      </c>
      <c r="Q2992" t="str">
        <f t="shared" si="462"/>
        <v>Low</v>
      </c>
      <c r="R2992" t="s">
        <v>3317</v>
      </c>
      <c r="S2992" s="4">
        <f t="shared" ca="1" si="463"/>
        <v>179</v>
      </c>
      <c r="T2992">
        <f t="shared" si="464"/>
        <v>2</v>
      </c>
      <c r="U2992">
        <f t="shared" si="465"/>
        <v>1</v>
      </c>
      <c r="V2992">
        <f t="shared" si="466"/>
        <v>1</v>
      </c>
      <c r="W2992">
        <f t="shared" si="467"/>
        <v>1</v>
      </c>
      <c r="X2992">
        <f t="shared" si="468"/>
        <v>1.4000000000000001</v>
      </c>
      <c r="Y2992" t="str">
        <f t="shared" si="469"/>
        <v>Healthy</v>
      </c>
    </row>
    <row r="2993" spans="1:25" x14ac:dyDescent="0.35">
      <c r="A2993" t="s">
        <v>90</v>
      </c>
      <c r="B2993" t="s">
        <v>217</v>
      </c>
      <c r="C2993" t="s">
        <v>239</v>
      </c>
      <c r="D2993" t="s">
        <v>557</v>
      </c>
      <c r="E2993">
        <v>80844721</v>
      </c>
      <c r="F2993" t="s">
        <v>2096</v>
      </c>
      <c r="G2993" s="3">
        <v>46469</v>
      </c>
      <c r="H2993">
        <v>24</v>
      </c>
      <c r="I2993">
        <v>38</v>
      </c>
      <c r="J2993">
        <v>2</v>
      </c>
      <c r="K2993" s="4">
        <v>7065.5</v>
      </c>
      <c r="L2993" s="4">
        <v>4.2857142857142856</v>
      </c>
      <c r="M2993" s="4">
        <v>0.46666666666666667</v>
      </c>
      <c r="N2993" t="s">
        <v>25</v>
      </c>
      <c r="O2993" t="str">
        <f t="shared" si="460"/>
        <v>Medium</v>
      </c>
      <c r="P2993" t="str">
        <f t="shared" si="461"/>
        <v>Low</v>
      </c>
      <c r="Q2993" t="str">
        <f t="shared" si="462"/>
        <v>High</v>
      </c>
      <c r="R2993" t="s">
        <v>3317</v>
      </c>
      <c r="S2993" s="4">
        <f t="shared" ca="1" si="463"/>
        <v>272</v>
      </c>
      <c r="T2993">
        <f t="shared" si="464"/>
        <v>2</v>
      </c>
      <c r="U2993">
        <f t="shared" si="465"/>
        <v>1</v>
      </c>
      <c r="V2993">
        <f t="shared" si="466"/>
        <v>3</v>
      </c>
      <c r="W2993">
        <f t="shared" si="467"/>
        <v>1</v>
      </c>
      <c r="X2993">
        <f t="shared" si="468"/>
        <v>1.8000000000000003</v>
      </c>
      <c r="Y2993" t="str">
        <f t="shared" si="469"/>
        <v>Monitor</v>
      </c>
    </row>
    <row r="2994" spans="1:25" x14ac:dyDescent="0.35">
      <c r="A2994" t="s">
        <v>90</v>
      </c>
      <c r="B2994" t="s">
        <v>217</v>
      </c>
      <c r="C2994" t="s">
        <v>239</v>
      </c>
      <c r="D2994" t="s">
        <v>557</v>
      </c>
      <c r="E2994">
        <v>80844721</v>
      </c>
      <c r="F2994" t="s">
        <v>2096</v>
      </c>
      <c r="G2994" s="3">
        <v>46449</v>
      </c>
      <c r="H2994">
        <v>24</v>
      </c>
      <c r="I2994">
        <v>36</v>
      </c>
      <c r="J2994">
        <v>3</v>
      </c>
      <c r="K2994" s="4">
        <v>10598.25</v>
      </c>
      <c r="L2994" s="4">
        <v>4.2857142857142856</v>
      </c>
      <c r="M2994" s="4">
        <v>0.70000000000000007</v>
      </c>
      <c r="N2994" t="s">
        <v>25</v>
      </c>
      <c r="O2994" t="str">
        <f t="shared" si="460"/>
        <v>Medium</v>
      </c>
      <c r="P2994" t="str">
        <f t="shared" si="461"/>
        <v>Low</v>
      </c>
      <c r="Q2994" t="str">
        <f t="shared" si="462"/>
        <v>High</v>
      </c>
      <c r="R2994" t="s">
        <v>3317</v>
      </c>
      <c r="S2994" s="4">
        <f t="shared" ca="1" si="463"/>
        <v>252</v>
      </c>
      <c r="T2994">
        <f t="shared" si="464"/>
        <v>2</v>
      </c>
      <c r="U2994">
        <f t="shared" si="465"/>
        <v>1</v>
      </c>
      <c r="V2994">
        <f t="shared" si="466"/>
        <v>3</v>
      </c>
      <c r="W2994">
        <f t="shared" si="467"/>
        <v>1</v>
      </c>
      <c r="X2994">
        <f t="shared" si="468"/>
        <v>1.8000000000000003</v>
      </c>
      <c r="Y2994" t="str">
        <f t="shared" si="469"/>
        <v>Monitor</v>
      </c>
    </row>
    <row r="2995" spans="1:25" x14ac:dyDescent="0.35">
      <c r="A2995" t="s">
        <v>90</v>
      </c>
      <c r="B2995" t="s">
        <v>217</v>
      </c>
      <c r="C2995" t="s">
        <v>239</v>
      </c>
      <c r="D2995" t="s">
        <v>557</v>
      </c>
      <c r="E2995">
        <v>80844721</v>
      </c>
      <c r="F2995" t="s">
        <v>2096</v>
      </c>
      <c r="G2995" s="3">
        <v>46425</v>
      </c>
      <c r="H2995">
        <v>24</v>
      </c>
      <c r="I2995">
        <v>32</v>
      </c>
      <c r="J2995">
        <v>1</v>
      </c>
      <c r="K2995" s="4">
        <v>3532.75</v>
      </c>
      <c r="L2995" s="4">
        <v>4.2857142857142856</v>
      </c>
      <c r="M2995" s="4">
        <v>0.23333333333333334</v>
      </c>
      <c r="N2995" t="s">
        <v>25</v>
      </c>
      <c r="O2995" t="str">
        <f t="shared" si="460"/>
        <v>Medium</v>
      </c>
      <c r="P2995" t="str">
        <f t="shared" si="461"/>
        <v>Low</v>
      </c>
      <c r="Q2995" t="str">
        <f t="shared" si="462"/>
        <v>High</v>
      </c>
      <c r="R2995" t="s">
        <v>3317</v>
      </c>
      <c r="S2995" s="4">
        <f t="shared" ca="1" si="463"/>
        <v>228</v>
      </c>
      <c r="T2995">
        <f t="shared" si="464"/>
        <v>2</v>
      </c>
      <c r="U2995">
        <f t="shared" si="465"/>
        <v>1</v>
      </c>
      <c r="V2995">
        <f t="shared" si="466"/>
        <v>3</v>
      </c>
      <c r="W2995">
        <f t="shared" si="467"/>
        <v>1</v>
      </c>
      <c r="X2995">
        <f t="shared" si="468"/>
        <v>1.8000000000000003</v>
      </c>
      <c r="Y2995" t="str">
        <f t="shared" si="469"/>
        <v>Monitor</v>
      </c>
    </row>
    <row r="2996" spans="1:25" x14ac:dyDescent="0.35">
      <c r="A2996" t="s">
        <v>90</v>
      </c>
      <c r="B2996" t="s">
        <v>217</v>
      </c>
      <c r="C2996" t="s">
        <v>533</v>
      </c>
      <c r="D2996" t="s">
        <v>2097</v>
      </c>
      <c r="E2996">
        <v>80844717</v>
      </c>
      <c r="F2996" t="s">
        <v>2098</v>
      </c>
      <c r="G2996" s="3">
        <v>46696</v>
      </c>
      <c r="H2996">
        <v>24</v>
      </c>
      <c r="I2996">
        <v>70</v>
      </c>
      <c r="J2996">
        <v>1920</v>
      </c>
      <c r="K2996" s="4">
        <v>99628.800000000003</v>
      </c>
      <c r="L2996" s="4">
        <v>68.571428571428569</v>
      </c>
      <c r="M2996" s="4">
        <v>28</v>
      </c>
      <c r="N2996" t="s">
        <v>19</v>
      </c>
      <c r="O2996" t="str">
        <f t="shared" si="460"/>
        <v>Low</v>
      </c>
      <c r="P2996" t="str">
        <f t="shared" si="461"/>
        <v>High</v>
      </c>
      <c r="Q2996" t="str">
        <f t="shared" si="462"/>
        <v>Low</v>
      </c>
      <c r="R2996" t="s">
        <v>3310</v>
      </c>
      <c r="S2996" s="4">
        <f t="shared" ca="1" si="463"/>
        <v>499</v>
      </c>
      <c r="T2996">
        <f t="shared" si="464"/>
        <v>1</v>
      </c>
      <c r="U2996">
        <f t="shared" si="465"/>
        <v>3</v>
      </c>
      <c r="V2996">
        <f t="shared" si="466"/>
        <v>1</v>
      </c>
      <c r="W2996">
        <f t="shared" si="467"/>
        <v>2</v>
      </c>
      <c r="X2996">
        <f t="shared" si="468"/>
        <v>1.6999999999999997</v>
      </c>
      <c r="Y2996" t="str">
        <f t="shared" si="469"/>
        <v>Monitor</v>
      </c>
    </row>
    <row r="2997" spans="1:25" x14ac:dyDescent="0.35">
      <c r="A2997" t="s">
        <v>90</v>
      </c>
      <c r="B2997" t="s">
        <v>217</v>
      </c>
      <c r="C2997" t="s">
        <v>533</v>
      </c>
      <c r="D2997" t="s">
        <v>2097</v>
      </c>
      <c r="E2997">
        <v>80844717</v>
      </c>
      <c r="F2997" t="s">
        <v>2098</v>
      </c>
      <c r="G2997" s="3">
        <v>46697</v>
      </c>
      <c r="H2997">
        <v>24</v>
      </c>
      <c r="I2997">
        <v>70</v>
      </c>
      <c r="J2997">
        <v>2760</v>
      </c>
      <c r="K2997" s="4">
        <v>143216.4</v>
      </c>
      <c r="L2997" s="4">
        <v>68.571428571428569</v>
      </c>
      <c r="M2997" s="4">
        <v>40.25</v>
      </c>
      <c r="N2997" t="s">
        <v>19</v>
      </c>
      <c r="O2997" t="str">
        <f t="shared" si="460"/>
        <v>Low</v>
      </c>
      <c r="P2997" t="str">
        <f t="shared" si="461"/>
        <v>High</v>
      </c>
      <c r="Q2997" t="str">
        <f t="shared" si="462"/>
        <v>Low</v>
      </c>
      <c r="R2997" t="s">
        <v>3309</v>
      </c>
      <c r="S2997" s="4">
        <f t="shared" ca="1" si="463"/>
        <v>500</v>
      </c>
      <c r="T2997">
        <f t="shared" si="464"/>
        <v>1</v>
      </c>
      <c r="U2997">
        <f t="shared" si="465"/>
        <v>3</v>
      </c>
      <c r="V2997">
        <f t="shared" si="466"/>
        <v>1</v>
      </c>
      <c r="W2997">
        <f t="shared" si="467"/>
        <v>3</v>
      </c>
      <c r="X2997">
        <f t="shared" si="468"/>
        <v>1.7999999999999998</v>
      </c>
      <c r="Y2997" t="str">
        <f t="shared" si="469"/>
        <v>Monitor</v>
      </c>
    </row>
    <row r="2998" spans="1:25" x14ac:dyDescent="0.35">
      <c r="A2998" t="s">
        <v>90</v>
      </c>
      <c r="B2998" t="s">
        <v>217</v>
      </c>
      <c r="C2998" t="s">
        <v>533</v>
      </c>
      <c r="D2998" t="s">
        <v>2097</v>
      </c>
      <c r="E2998">
        <v>80844717</v>
      </c>
      <c r="F2998" t="s">
        <v>2098</v>
      </c>
      <c r="G2998" s="3">
        <v>46682</v>
      </c>
      <c r="H2998">
        <v>24</v>
      </c>
      <c r="I2998">
        <v>68</v>
      </c>
      <c r="J2998">
        <v>444</v>
      </c>
      <c r="K2998" s="4">
        <v>23039.16</v>
      </c>
      <c r="L2998" s="4">
        <v>68.571428571428569</v>
      </c>
      <c r="M2998" s="4">
        <v>6.4750000000000005</v>
      </c>
      <c r="N2998" t="s">
        <v>19</v>
      </c>
      <c r="O2998" t="str">
        <f t="shared" si="460"/>
        <v>Low</v>
      </c>
      <c r="P2998" t="str">
        <f t="shared" si="461"/>
        <v>Medium</v>
      </c>
      <c r="Q2998" t="str">
        <f t="shared" si="462"/>
        <v>Low</v>
      </c>
      <c r="R2998" t="s">
        <v>3317</v>
      </c>
      <c r="S2998" s="4">
        <f t="shared" ca="1" si="463"/>
        <v>485</v>
      </c>
      <c r="T2998">
        <f t="shared" si="464"/>
        <v>1</v>
      </c>
      <c r="U2998">
        <f t="shared" si="465"/>
        <v>2</v>
      </c>
      <c r="V2998">
        <f t="shared" si="466"/>
        <v>1</v>
      </c>
      <c r="W2998">
        <f t="shared" si="467"/>
        <v>1</v>
      </c>
      <c r="X2998">
        <f t="shared" si="468"/>
        <v>1.3</v>
      </c>
      <c r="Y2998" t="str">
        <f t="shared" si="469"/>
        <v>Healthy</v>
      </c>
    </row>
    <row r="2999" spans="1:25" x14ac:dyDescent="0.35">
      <c r="A2999" t="s">
        <v>41</v>
      </c>
      <c r="B2999" t="s">
        <v>54</v>
      </c>
      <c r="C2999" t="s">
        <v>87</v>
      </c>
      <c r="D2999" t="s">
        <v>95</v>
      </c>
      <c r="E2999">
        <v>80728689</v>
      </c>
      <c r="F2999" t="s">
        <v>2099</v>
      </c>
      <c r="G2999" s="3">
        <v>47020</v>
      </c>
      <c r="H2999">
        <v>36</v>
      </c>
      <c r="I2999">
        <v>77</v>
      </c>
      <c r="J2999">
        <v>24</v>
      </c>
      <c r="K2999" s="4">
        <v>18102.240000000002</v>
      </c>
      <c r="L2999" s="4">
        <f>0</f>
        <v>0</v>
      </c>
      <c r="M2999" s="4">
        <f>999</f>
        <v>999</v>
      </c>
      <c r="N2999" t="s">
        <v>19</v>
      </c>
      <c r="O2999" t="str">
        <f t="shared" si="460"/>
        <v>Low</v>
      </c>
      <c r="P2999" t="str">
        <f t="shared" si="461"/>
        <v>High</v>
      </c>
      <c r="Q2999" t="str">
        <f t="shared" si="462"/>
        <v>High</v>
      </c>
      <c r="R2999" t="s">
        <v>3317</v>
      </c>
      <c r="S2999" s="4">
        <f t="shared" ca="1" si="463"/>
        <v>823</v>
      </c>
      <c r="T2999">
        <f t="shared" si="464"/>
        <v>1</v>
      </c>
      <c r="U2999">
        <f t="shared" si="465"/>
        <v>3</v>
      </c>
      <c r="V2999">
        <f t="shared" si="466"/>
        <v>3</v>
      </c>
      <c r="W2999">
        <f t="shared" si="467"/>
        <v>1</v>
      </c>
      <c r="X2999">
        <f t="shared" si="468"/>
        <v>2</v>
      </c>
      <c r="Y2999" t="str">
        <f t="shared" si="469"/>
        <v>Monitor</v>
      </c>
    </row>
    <row r="3000" spans="1:25" x14ac:dyDescent="0.35">
      <c r="A3000" t="s">
        <v>179</v>
      </c>
      <c r="B3000" t="s">
        <v>223</v>
      </c>
      <c r="C3000" t="s">
        <v>357</v>
      </c>
      <c r="D3000" t="s">
        <v>1941</v>
      </c>
      <c r="E3000">
        <v>80840081</v>
      </c>
      <c r="F3000" t="s">
        <v>2100</v>
      </c>
      <c r="G3000" s="3">
        <v>46402</v>
      </c>
      <c r="H3000">
        <v>18</v>
      </c>
      <c r="I3000">
        <v>39</v>
      </c>
      <c r="J3000">
        <v>1</v>
      </c>
      <c r="K3000" s="4">
        <v>857.75</v>
      </c>
      <c r="L3000" s="4">
        <f>0</f>
        <v>0</v>
      </c>
      <c r="M3000" s="4">
        <f>999</f>
        <v>999</v>
      </c>
      <c r="N3000" t="s">
        <v>19</v>
      </c>
      <c r="O3000" t="str">
        <f t="shared" si="460"/>
        <v>Medium</v>
      </c>
      <c r="P3000" t="str">
        <f t="shared" si="461"/>
        <v>High</v>
      </c>
      <c r="Q3000" t="str">
        <f t="shared" si="462"/>
        <v>High</v>
      </c>
      <c r="R3000" t="s">
        <v>3317</v>
      </c>
      <c r="S3000" s="4">
        <f t="shared" ca="1" si="463"/>
        <v>205</v>
      </c>
      <c r="T3000">
        <f t="shared" si="464"/>
        <v>2</v>
      </c>
      <c r="U3000">
        <f t="shared" si="465"/>
        <v>3</v>
      </c>
      <c r="V3000">
        <f t="shared" si="466"/>
        <v>3</v>
      </c>
      <c r="W3000">
        <f t="shared" si="467"/>
        <v>1</v>
      </c>
      <c r="X3000">
        <f t="shared" si="468"/>
        <v>2.4</v>
      </c>
      <c r="Y3000" t="str">
        <f t="shared" si="469"/>
        <v>High Priority</v>
      </c>
    </row>
    <row r="3001" spans="1:25" x14ac:dyDescent="0.35">
      <c r="A3001" t="s">
        <v>179</v>
      </c>
      <c r="B3001" t="s">
        <v>223</v>
      </c>
      <c r="C3001" t="s">
        <v>357</v>
      </c>
      <c r="D3001" t="s">
        <v>1941</v>
      </c>
      <c r="E3001">
        <v>80840081</v>
      </c>
      <c r="F3001" t="s">
        <v>2100</v>
      </c>
      <c r="G3001" s="3">
        <v>46389</v>
      </c>
      <c r="H3001">
        <v>18</v>
      </c>
      <c r="I3001">
        <v>36</v>
      </c>
      <c r="J3001">
        <v>10</v>
      </c>
      <c r="K3001" s="4">
        <v>8577.5</v>
      </c>
      <c r="L3001" s="4">
        <f>0</f>
        <v>0</v>
      </c>
      <c r="M3001" s="4">
        <f>999</f>
        <v>999</v>
      </c>
      <c r="N3001" t="s">
        <v>19</v>
      </c>
      <c r="O3001" t="str">
        <f t="shared" si="460"/>
        <v>Medium</v>
      </c>
      <c r="P3001" t="str">
        <f t="shared" si="461"/>
        <v>High</v>
      </c>
      <c r="Q3001" t="str">
        <f t="shared" si="462"/>
        <v>High</v>
      </c>
      <c r="R3001" t="s">
        <v>3317</v>
      </c>
      <c r="S3001" s="4">
        <f t="shared" ca="1" si="463"/>
        <v>192</v>
      </c>
      <c r="T3001">
        <f t="shared" si="464"/>
        <v>2</v>
      </c>
      <c r="U3001">
        <f t="shared" si="465"/>
        <v>3</v>
      </c>
      <c r="V3001">
        <f t="shared" si="466"/>
        <v>3</v>
      </c>
      <c r="W3001">
        <f t="shared" si="467"/>
        <v>1</v>
      </c>
      <c r="X3001">
        <f t="shared" si="468"/>
        <v>2.4</v>
      </c>
      <c r="Y3001" t="str">
        <f t="shared" si="469"/>
        <v>High Priority</v>
      </c>
    </row>
    <row r="3002" spans="1:25" x14ac:dyDescent="0.35">
      <c r="A3002" t="s">
        <v>179</v>
      </c>
      <c r="B3002" t="s">
        <v>195</v>
      </c>
      <c r="C3002" t="s">
        <v>199</v>
      </c>
      <c r="D3002" t="s">
        <v>2101</v>
      </c>
      <c r="E3002">
        <v>80831141</v>
      </c>
      <c r="F3002" t="s">
        <v>2102</v>
      </c>
      <c r="G3002" s="3">
        <v>46671</v>
      </c>
      <c r="H3002">
        <v>16</v>
      </c>
      <c r="I3002">
        <v>100</v>
      </c>
      <c r="J3002">
        <v>336</v>
      </c>
      <c r="K3002" s="4">
        <v>86610.72</v>
      </c>
      <c r="L3002" s="4">
        <v>3706.2857142857142</v>
      </c>
      <c r="M3002" s="4">
        <v>9.0656799259944493E-2</v>
      </c>
      <c r="N3002" t="s">
        <v>25</v>
      </c>
      <c r="O3002" t="str">
        <f t="shared" si="460"/>
        <v>Low</v>
      </c>
      <c r="P3002" t="str">
        <f t="shared" si="461"/>
        <v>Low</v>
      </c>
      <c r="Q3002" t="str">
        <f t="shared" si="462"/>
        <v>Low</v>
      </c>
      <c r="R3002" t="s">
        <v>3310</v>
      </c>
      <c r="S3002" s="4">
        <f t="shared" ca="1" si="463"/>
        <v>474</v>
      </c>
      <c r="T3002">
        <f t="shared" si="464"/>
        <v>1</v>
      </c>
      <c r="U3002">
        <f t="shared" si="465"/>
        <v>1</v>
      </c>
      <c r="V3002">
        <f t="shared" si="466"/>
        <v>1</v>
      </c>
      <c r="W3002">
        <f t="shared" si="467"/>
        <v>2</v>
      </c>
      <c r="X3002">
        <f t="shared" si="468"/>
        <v>1.0999999999999999</v>
      </c>
      <c r="Y3002" t="str">
        <f t="shared" si="469"/>
        <v>Healthy</v>
      </c>
    </row>
    <row r="3003" spans="1:25" x14ac:dyDescent="0.35">
      <c r="A3003" t="s">
        <v>179</v>
      </c>
      <c r="B3003" t="s">
        <v>195</v>
      </c>
      <c r="C3003" t="s">
        <v>199</v>
      </c>
      <c r="D3003" t="s">
        <v>2101</v>
      </c>
      <c r="E3003">
        <v>80831141</v>
      </c>
      <c r="F3003" t="s">
        <v>2102</v>
      </c>
      <c r="G3003" s="3">
        <v>46668</v>
      </c>
      <c r="H3003">
        <v>16</v>
      </c>
      <c r="I3003">
        <v>99</v>
      </c>
      <c r="J3003">
        <v>330</v>
      </c>
      <c r="K3003" s="4">
        <v>85064.1</v>
      </c>
      <c r="L3003" s="4">
        <v>3706.2857142857142</v>
      </c>
      <c r="M3003" s="4">
        <v>8.9037927844588347E-2</v>
      </c>
      <c r="N3003" t="s">
        <v>25</v>
      </c>
      <c r="O3003" t="str">
        <f t="shared" si="460"/>
        <v>Low</v>
      </c>
      <c r="P3003" t="str">
        <f t="shared" si="461"/>
        <v>Low</v>
      </c>
      <c r="Q3003" t="str">
        <f t="shared" si="462"/>
        <v>Low</v>
      </c>
      <c r="R3003" t="s">
        <v>3310</v>
      </c>
      <c r="S3003" s="4">
        <f t="shared" ca="1" si="463"/>
        <v>471</v>
      </c>
      <c r="T3003">
        <f t="shared" si="464"/>
        <v>1</v>
      </c>
      <c r="U3003">
        <f t="shared" si="465"/>
        <v>1</v>
      </c>
      <c r="V3003">
        <f t="shared" si="466"/>
        <v>1</v>
      </c>
      <c r="W3003">
        <f t="shared" si="467"/>
        <v>2</v>
      </c>
      <c r="X3003">
        <f t="shared" si="468"/>
        <v>1.0999999999999999</v>
      </c>
      <c r="Y3003" t="str">
        <f t="shared" si="469"/>
        <v>Healthy</v>
      </c>
    </row>
    <row r="3004" spans="1:25" x14ac:dyDescent="0.35">
      <c r="A3004" t="s">
        <v>20</v>
      </c>
      <c r="B3004" t="s">
        <v>21</v>
      </c>
      <c r="C3004" t="s">
        <v>214</v>
      </c>
      <c r="D3004" t="s">
        <v>802</v>
      </c>
      <c r="E3004">
        <v>80851569</v>
      </c>
      <c r="F3004" t="s">
        <v>2103</v>
      </c>
      <c r="G3004" s="3">
        <v>47041</v>
      </c>
      <c r="H3004">
        <v>36</v>
      </c>
      <c r="I3004">
        <v>79</v>
      </c>
      <c r="J3004">
        <v>252</v>
      </c>
      <c r="K3004" s="4">
        <v>50195.88</v>
      </c>
      <c r="L3004" s="4">
        <v>1494.4285714285713</v>
      </c>
      <c r="M3004" s="4">
        <v>0.168626326355033</v>
      </c>
      <c r="N3004" t="s">
        <v>25</v>
      </c>
      <c r="O3004" t="str">
        <f t="shared" si="460"/>
        <v>Low</v>
      </c>
      <c r="P3004" t="str">
        <f t="shared" si="461"/>
        <v>Low</v>
      </c>
      <c r="Q3004" t="str">
        <f t="shared" si="462"/>
        <v>Low</v>
      </c>
      <c r="R3004" t="s">
        <v>3317</v>
      </c>
      <c r="S3004" s="4">
        <f t="shared" ca="1" si="463"/>
        <v>844</v>
      </c>
      <c r="T3004">
        <f t="shared" si="464"/>
        <v>1</v>
      </c>
      <c r="U3004">
        <f t="shared" si="465"/>
        <v>1</v>
      </c>
      <c r="V3004">
        <f t="shared" si="466"/>
        <v>1</v>
      </c>
      <c r="W3004">
        <f t="shared" si="467"/>
        <v>1</v>
      </c>
      <c r="X3004">
        <f t="shared" si="468"/>
        <v>0.99999999999999989</v>
      </c>
      <c r="Y3004" t="str">
        <f t="shared" si="469"/>
        <v>Healthy</v>
      </c>
    </row>
    <row r="3005" spans="1:25" x14ac:dyDescent="0.35">
      <c r="A3005" t="s">
        <v>20</v>
      </c>
      <c r="B3005" t="s">
        <v>21</v>
      </c>
      <c r="C3005" t="s">
        <v>214</v>
      </c>
      <c r="D3005" t="s">
        <v>802</v>
      </c>
      <c r="E3005">
        <v>80851569</v>
      </c>
      <c r="F3005" t="s">
        <v>2103</v>
      </c>
      <c r="G3005" s="3">
        <v>46937</v>
      </c>
      <c r="H3005">
        <v>36</v>
      </c>
      <c r="I3005">
        <v>69</v>
      </c>
      <c r="J3005">
        <v>282</v>
      </c>
      <c r="K3005" s="4">
        <v>56171.58</v>
      </c>
      <c r="L3005" s="4">
        <v>1494.4285714285713</v>
      </c>
      <c r="M3005" s="4">
        <v>0.18870088901634643</v>
      </c>
      <c r="N3005" t="s">
        <v>25</v>
      </c>
      <c r="O3005" t="str">
        <f t="shared" si="460"/>
        <v>Low</v>
      </c>
      <c r="P3005" t="str">
        <f t="shared" si="461"/>
        <v>Low</v>
      </c>
      <c r="Q3005" t="str">
        <f t="shared" si="462"/>
        <v>Low</v>
      </c>
      <c r="R3005" t="s">
        <v>3317</v>
      </c>
      <c r="S3005" s="4">
        <f t="shared" ca="1" si="463"/>
        <v>740</v>
      </c>
      <c r="T3005">
        <f t="shared" si="464"/>
        <v>1</v>
      </c>
      <c r="U3005">
        <f t="shared" si="465"/>
        <v>1</v>
      </c>
      <c r="V3005">
        <f t="shared" si="466"/>
        <v>1</v>
      </c>
      <c r="W3005">
        <f t="shared" si="467"/>
        <v>1</v>
      </c>
      <c r="X3005">
        <f t="shared" si="468"/>
        <v>0.99999999999999989</v>
      </c>
      <c r="Y3005" t="str">
        <f t="shared" si="469"/>
        <v>Healthy</v>
      </c>
    </row>
    <row r="3006" spans="1:25" x14ac:dyDescent="0.35">
      <c r="A3006" t="s">
        <v>20</v>
      </c>
      <c r="B3006" t="s">
        <v>21</v>
      </c>
      <c r="C3006" t="s">
        <v>214</v>
      </c>
      <c r="D3006" t="s">
        <v>802</v>
      </c>
      <c r="E3006">
        <v>80851569</v>
      </c>
      <c r="F3006" t="s">
        <v>2103</v>
      </c>
      <c r="G3006" s="3">
        <v>46937</v>
      </c>
      <c r="H3006">
        <v>36</v>
      </c>
      <c r="I3006">
        <v>69</v>
      </c>
      <c r="J3006">
        <v>156</v>
      </c>
      <c r="K3006" s="4">
        <v>31073.64</v>
      </c>
      <c r="L3006" s="4">
        <v>1494.4285714285713</v>
      </c>
      <c r="M3006" s="4">
        <v>0.10438772583882995</v>
      </c>
      <c r="N3006" t="s">
        <v>25</v>
      </c>
      <c r="O3006" t="str">
        <f t="shared" si="460"/>
        <v>Low</v>
      </c>
      <c r="P3006" t="str">
        <f t="shared" si="461"/>
        <v>Low</v>
      </c>
      <c r="Q3006" t="str">
        <f t="shared" si="462"/>
        <v>Low</v>
      </c>
      <c r="R3006" t="s">
        <v>3317</v>
      </c>
      <c r="S3006" s="4">
        <f t="shared" ca="1" si="463"/>
        <v>740</v>
      </c>
      <c r="T3006">
        <f t="shared" si="464"/>
        <v>1</v>
      </c>
      <c r="U3006">
        <f t="shared" si="465"/>
        <v>1</v>
      </c>
      <c r="V3006">
        <f t="shared" si="466"/>
        <v>1</v>
      </c>
      <c r="W3006">
        <f t="shared" si="467"/>
        <v>1</v>
      </c>
      <c r="X3006">
        <f t="shared" si="468"/>
        <v>0.99999999999999989</v>
      </c>
      <c r="Y3006" t="str">
        <f t="shared" si="469"/>
        <v>Healthy</v>
      </c>
    </row>
    <row r="3007" spans="1:25" x14ac:dyDescent="0.35">
      <c r="A3007" t="s">
        <v>20</v>
      </c>
      <c r="B3007" t="s">
        <v>21</v>
      </c>
      <c r="C3007" t="s">
        <v>214</v>
      </c>
      <c r="D3007" t="s">
        <v>802</v>
      </c>
      <c r="E3007">
        <v>80851569</v>
      </c>
      <c r="F3007" t="s">
        <v>2103</v>
      </c>
      <c r="G3007" s="3">
        <v>46940</v>
      </c>
      <c r="H3007">
        <v>36</v>
      </c>
      <c r="I3007">
        <v>69</v>
      </c>
      <c r="J3007">
        <v>284</v>
      </c>
      <c r="K3007" s="4">
        <v>56569.96</v>
      </c>
      <c r="L3007" s="4">
        <v>1494.4285714285713</v>
      </c>
      <c r="M3007" s="4">
        <v>0.19003919319376733</v>
      </c>
      <c r="N3007" t="s">
        <v>25</v>
      </c>
      <c r="O3007" t="str">
        <f t="shared" si="460"/>
        <v>Low</v>
      </c>
      <c r="P3007" t="str">
        <f t="shared" si="461"/>
        <v>Low</v>
      </c>
      <c r="Q3007" t="str">
        <f t="shared" si="462"/>
        <v>Low</v>
      </c>
      <c r="R3007" t="s">
        <v>3317</v>
      </c>
      <c r="S3007" s="4">
        <f t="shared" ca="1" si="463"/>
        <v>743</v>
      </c>
      <c r="T3007">
        <f t="shared" si="464"/>
        <v>1</v>
      </c>
      <c r="U3007">
        <f t="shared" si="465"/>
        <v>1</v>
      </c>
      <c r="V3007">
        <f t="shared" si="466"/>
        <v>1</v>
      </c>
      <c r="W3007">
        <f t="shared" si="467"/>
        <v>1</v>
      </c>
      <c r="X3007">
        <f t="shared" si="468"/>
        <v>0.99999999999999989</v>
      </c>
      <c r="Y3007" t="str">
        <f t="shared" si="469"/>
        <v>Healthy</v>
      </c>
    </row>
    <row r="3008" spans="1:25" x14ac:dyDescent="0.35">
      <c r="A3008" t="s">
        <v>20</v>
      </c>
      <c r="B3008" t="s">
        <v>21</v>
      </c>
      <c r="C3008" t="s">
        <v>214</v>
      </c>
      <c r="D3008" t="s">
        <v>802</v>
      </c>
      <c r="E3008">
        <v>80851569</v>
      </c>
      <c r="F3008" t="s">
        <v>2103</v>
      </c>
      <c r="G3008" s="3">
        <v>47010</v>
      </c>
      <c r="H3008">
        <v>36</v>
      </c>
      <c r="I3008">
        <v>76</v>
      </c>
      <c r="J3008">
        <v>74</v>
      </c>
      <c r="K3008" s="4">
        <v>14740.06</v>
      </c>
      <c r="L3008" s="4">
        <v>1494.4285714285713</v>
      </c>
      <c r="M3008" s="4">
        <v>4.9517254564573177E-2</v>
      </c>
      <c r="N3008" t="s">
        <v>25</v>
      </c>
      <c r="O3008" t="str">
        <f t="shared" si="460"/>
        <v>Low</v>
      </c>
      <c r="P3008" t="str">
        <f t="shared" si="461"/>
        <v>Low</v>
      </c>
      <c r="Q3008" t="str">
        <f t="shared" si="462"/>
        <v>Low</v>
      </c>
      <c r="R3008" t="s">
        <v>3317</v>
      </c>
      <c r="S3008" s="4">
        <f t="shared" ca="1" si="463"/>
        <v>813</v>
      </c>
      <c r="T3008">
        <f t="shared" si="464"/>
        <v>1</v>
      </c>
      <c r="U3008">
        <f t="shared" si="465"/>
        <v>1</v>
      </c>
      <c r="V3008">
        <f t="shared" si="466"/>
        <v>1</v>
      </c>
      <c r="W3008">
        <f t="shared" si="467"/>
        <v>1</v>
      </c>
      <c r="X3008">
        <f t="shared" si="468"/>
        <v>0.99999999999999989</v>
      </c>
      <c r="Y3008" t="str">
        <f t="shared" si="469"/>
        <v>Healthy</v>
      </c>
    </row>
    <row r="3009" spans="1:25" x14ac:dyDescent="0.35">
      <c r="A3009" t="s">
        <v>210</v>
      </c>
      <c r="B3009" t="s">
        <v>439</v>
      </c>
      <c r="C3009" t="s">
        <v>440</v>
      </c>
      <c r="D3009" t="s">
        <v>2104</v>
      </c>
      <c r="E3009">
        <v>80849613</v>
      </c>
      <c r="F3009" t="s">
        <v>2105</v>
      </c>
      <c r="G3009" s="3">
        <v>47603</v>
      </c>
      <c r="H3009">
        <v>60</v>
      </c>
      <c r="I3009">
        <v>78</v>
      </c>
      <c r="J3009">
        <v>38</v>
      </c>
      <c r="K3009" s="4">
        <v>10644.56</v>
      </c>
      <c r="L3009" s="4">
        <v>38.285714285714285</v>
      </c>
      <c r="M3009" s="4">
        <v>0.9925373134328358</v>
      </c>
      <c r="N3009" t="s">
        <v>25</v>
      </c>
      <c r="O3009" t="str">
        <f t="shared" si="460"/>
        <v>Low</v>
      </c>
      <c r="P3009" t="str">
        <f t="shared" si="461"/>
        <v>Low</v>
      </c>
      <c r="Q3009" t="str">
        <f t="shared" si="462"/>
        <v>Low</v>
      </c>
      <c r="R3009" t="s">
        <v>3317</v>
      </c>
      <c r="S3009" s="4">
        <f t="shared" ca="1" si="463"/>
        <v>1406</v>
      </c>
      <c r="T3009">
        <f t="shared" si="464"/>
        <v>1</v>
      </c>
      <c r="U3009">
        <f t="shared" si="465"/>
        <v>1</v>
      </c>
      <c r="V3009">
        <f t="shared" si="466"/>
        <v>1</v>
      </c>
      <c r="W3009">
        <f t="shared" si="467"/>
        <v>1</v>
      </c>
      <c r="X3009">
        <f t="shared" si="468"/>
        <v>0.99999999999999989</v>
      </c>
      <c r="Y3009" t="str">
        <f t="shared" si="469"/>
        <v>Healthy</v>
      </c>
    </row>
    <row r="3010" spans="1:25" x14ac:dyDescent="0.35">
      <c r="A3010" t="s">
        <v>210</v>
      </c>
      <c r="B3010" t="s">
        <v>439</v>
      </c>
      <c r="C3010" t="s">
        <v>440</v>
      </c>
      <c r="D3010" t="s">
        <v>2104</v>
      </c>
      <c r="E3010">
        <v>80849613</v>
      </c>
      <c r="F3010" t="s">
        <v>2105</v>
      </c>
      <c r="G3010" s="3">
        <v>47528</v>
      </c>
      <c r="H3010">
        <v>60</v>
      </c>
      <c r="I3010">
        <v>74</v>
      </c>
      <c r="J3010">
        <v>15</v>
      </c>
      <c r="K3010" s="4">
        <v>4201.8</v>
      </c>
      <c r="L3010" s="4">
        <v>38.285714285714285</v>
      </c>
      <c r="M3010" s="4">
        <v>0.39179104477611942</v>
      </c>
      <c r="N3010" t="s">
        <v>25</v>
      </c>
      <c r="O3010" t="str">
        <f t="shared" si="460"/>
        <v>Low</v>
      </c>
      <c r="P3010" t="str">
        <f t="shared" si="461"/>
        <v>Low</v>
      </c>
      <c r="Q3010" t="str">
        <f t="shared" si="462"/>
        <v>Low</v>
      </c>
      <c r="R3010" t="s">
        <v>3317</v>
      </c>
      <c r="S3010" s="4">
        <f t="shared" ca="1" si="463"/>
        <v>1331</v>
      </c>
      <c r="T3010">
        <f t="shared" si="464"/>
        <v>1</v>
      </c>
      <c r="U3010">
        <f t="shared" si="465"/>
        <v>1</v>
      </c>
      <c r="V3010">
        <f t="shared" si="466"/>
        <v>1</v>
      </c>
      <c r="W3010">
        <f t="shared" si="467"/>
        <v>1</v>
      </c>
      <c r="X3010">
        <f t="shared" si="468"/>
        <v>0.99999999999999989</v>
      </c>
      <c r="Y3010" t="str">
        <f t="shared" si="469"/>
        <v>Healthy</v>
      </c>
    </row>
    <row r="3011" spans="1:25" x14ac:dyDescent="0.35">
      <c r="A3011" t="s">
        <v>210</v>
      </c>
      <c r="B3011" t="s">
        <v>439</v>
      </c>
      <c r="C3011" t="s">
        <v>440</v>
      </c>
      <c r="D3011" t="s">
        <v>2104</v>
      </c>
      <c r="E3011">
        <v>80849613</v>
      </c>
      <c r="F3011" t="s">
        <v>2105</v>
      </c>
      <c r="G3011" s="3">
        <v>47545</v>
      </c>
      <c r="H3011">
        <v>60</v>
      </c>
      <c r="I3011">
        <v>75</v>
      </c>
      <c r="J3011">
        <v>7</v>
      </c>
      <c r="K3011" s="4">
        <v>1960.84</v>
      </c>
      <c r="L3011" s="4">
        <v>38.285714285714285</v>
      </c>
      <c r="M3011" s="4">
        <v>0.18283582089552239</v>
      </c>
      <c r="N3011" t="s">
        <v>25</v>
      </c>
      <c r="O3011" t="str">
        <f t="shared" ref="O3011:O3074" si="470">IF(I3011&lt;20,"High",IF(I3011&lt;40,"Medium","Low"))</f>
        <v>Low</v>
      </c>
      <c r="P3011" t="str">
        <f t="shared" ref="P3011:P3074" si="471">IF(M3011&gt;8,"High",IF(M3011&gt;4,"Medium","Low"))</f>
        <v>Low</v>
      </c>
      <c r="Q3011" t="str">
        <f t="shared" ref="Q3011:Q3074" si="472">IF(L3011&lt;5,"High",IF(L3011&lt;15,"Medium","Low"))</f>
        <v>Low</v>
      </c>
      <c r="R3011" t="s">
        <v>3317</v>
      </c>
      <c r="S3011" s="4">
        <f t="shared" ref="S3011:S3074" ca="1" si="473">G3011-TODAY()</f>
        <v>1348</v>
      </c>
      <c r="T3011">
        <f t="shared" ref="T3011:T3074" si="474">IF(O3011="High",3,IF(O3011="Medium",2,1))</f>
        <v>1</v>
      </c>
      <c r="U3011">
        <f t="shared" ref="U3011:U3074" si="475">IF(P3011="High",3,IF(P3011="Medium",2,1))</f>
        <v>1</v>
      </c>
      <c r="V3011">
        <f t="shared" ref="V3011:V3074" si="476">IF(Q3011="High",3,IF(Q3011="Medium",2,1))</f>
        <v>1</v>
      </c>
      <c r="W3011">
        <f t="shared" ref="W3011:W3074" si="477">IF(R3011="High",3,IF(R3011="Medium",2,1))</f>
        <v>1</v>
      </c>
      <c r="X3011">
        <f t="shared" ref="X3011:X3074" si="478">(0.4*T3011)+(0.3*U3011)+(0.2*V3011)+(0.1*W3011)</f>
        <v>0.99999999999999989</v>
      </c>
      <c r="Y3011" t="str">
        <f t="shared" ref="Y3011:Y3074" si="479">IF(X3011&gt;=2.7,"Move Immediately",IF(X3011&gt;=2.2,"High Priority",IF(X3011&gt;=1.7,"Monitor","Healthy")))</f>
        <v>Healthy</v>
      </c>
    </row>
    <row r="3012" spans="1:25" x14ac:dyDescent="0.35">
      <c r="A3012" t="s">
        <v>179</v>
      </c>
      <c r="B3012" t="s">
        <v>195</v>
      </c>
      <c r="C3012" t="s">
        <v>199</v>
      </c>
      <c r="D3012" t="s">
        <v>2106</v>
      </c>
      <c r="E3012">
        <v>80725659</v>
      </c>
      <c r="F3012" t="s">
        <v>2107</v>
      </c>
      <c r="G3012" s="3">
        <v>46243</v>
      </c>
      <c r="H3012">
        <v>16</v>
      </c>
      <c r="I3012">
        <v>11</v>
      </c>
      <c r="J3012">
        <v>2</v>
      </c>
      <c r="K3012" s="4">
        <v>3020.36</v>
      </c>
      <c r="L3012" s="4">
        <f>0</f>
        <v>0</v>
      </c>
      <c r="M3012" s="4">
        <f>999</f>
        <v>999</v>
      </c>
      <c r="N3012" t="s">
        <v>19</v>
      </c>
      <c r="O3012" t="str">
        <f t="shared" si="470"/>
        <v>High</v>
      </c>
      <c r="P3012" t="str">
        <f t="shared" si="471"/>
        <v>High</v>
      </c>
      <c r="Q3012" t="str">
        <f t="shared" si="472"/>
        <v>High</v>
      </c>
      <c r="R3012" t="s">
        <v>3317</v>
      </c>
      <c r="S3012" s="4">
        <f t="shared" ca="1" si="473"/>
        <v>46</v>
      </c>
      <c r="T3012">
        <f t="shared" si="474"/>
        <v>3</v>
      </c>
      <c r="U3012">
        <f t="shared" si="475"/>
        <v>3</v>
      </c>
      <c r="V3012">
        <f t="shared" si="476"/>
        <v>3</v>
      </c>
      <c r="W3012">
        <f t="shared" si="477"/>
        <v>1</v>
      </c>
      <c r="X3012">
        <f t="shared" si="478"/>
        <v>2.8000000000000003</v>
      </c>
      <c r="Y3012" t="str">
        <f t="shared" si="479"/>
        <v>Move Immediately</v>
      </c>
    </row>
    <row r="3013" spans="1:25" x14ac:dyDescent="0.35">
      <c r="A3013" t="s">
        <v>210</v>
      </c>
      <c r="B3013" t="s">
        <v>439</v>
      </c>
      <c r="C3013" t="s">
        <v>440</v>
      </c>
      <c r="D3013" t="s">
        <v>2104</v>
      </c>
      <c r="E3013">
        <v>80849613</v>
      </c>
      <c r="F3013" t="s">
        <v>2105</v>
      </c>
      <c r="G3013" s="3">
        <v>47524</v>
      </c>
      <c r="H3013">
        <v>60</v>
      </c>
      <c r="I3013">
        <v>74</v>
      </c>
      <c r="J3013">
        <v>82</v>
      </c>
      <c r="K3013" s="4">
        <v>22969.84</v>
      </c>
      <c r="L3013" s="4">
        <v>38.285714285714285</v>
      </c>
      <c r="M3013" s="4">
        <v>2.1417910447761193</v>
      </c>
      <c r="N3013" t="s">
        <v>25</v>
      </c>
      <c r="O3013" t="str">
        <f t="shared" si="470"/>
        <v>Low</v>
      </c>
      <c r="P3013" t="str">
        <f t="shared" si="471"/>
        <v>Low</v>
      </c>
      <c r="Q3013" t="str">
        <f t="shared" si="472"/>
        <v>Low</v>
      </c>
      <c r="R3013" t="s">
        <v>3317</v>
      </c>
      <c r="S3013" s="4">
        <f t="shared" ca="1" si="473"/>
        <v>1327</v>
      </c>
      <c r="T3013">
        <f t="shared" si="474"/>
        <v>1</v>
      </c>
      <c r="U3013">
        <f t="shared" si="475"/>
        <v>1</v>
      </c>
      <c r="V3013">
        <f t="shared" si="476"/>
        <v>1</v>
      </c>
      <c r="W3013">
        <f t="shared" si="477"/>
        <v>1</v>
      </c>
      <c r="X3013">
        <f t="shared" si="478"/>
        <v>0.99999999999999989</v>
      </c>
      <c r="Y3013" t="str">
        <f t="shared" si="479"/>
        <v>Healthy</v>
      </c>
    </row>
    <row r="3014" spans="1:25" x14ac:dyDescent="0.35">
      <c r="A3014" t="s">
        <v>179</v>
      </c>
      <c r="B3014" t="s">
        <v>195</v>
      </c>
      <c r="C3014" t="s">
        <v>199</v>
      </c>
      <c r="D3014" t="s">
        <v>2106</v>
      </c>
      <c r="E3014">
        <v>80725659</v>
      </c>
      <c r="F3014" t="s">
        <v>2107</v>
      </c>
      <c r="G3014" s="3">
        <v>46242</v>
      </c>
      <c r="H3014">
        <v>16</v>
      </c>
      <c r="I3014">
        <v>10</v>
      </c>
      <c r="J3014">
        <v>1</v>
      </c>
      <c r="K3014" s="4">
        <v>1510.18</v>
      </c>
      <c r="L3014" s="4">
        <f>0</f>
        <v>0</v>
      </c>
      <c r="M3014" s="4">
        <f>999</f>
        <v>999</v>
      </c>
      <c r="N3014" t="s">
        <v>19</v>
      </c>
      <c r="O3014" t="str">
        <f t="shared" si="470"/>
        <v>High</v>
      </c>
      <c r="P3014" t="str">
        <f t="shared" si="471"/>
        <v>High</v>
      </c>
      <c r="Q3014" t="str">
        <f t="shared" si="472"/>
        <v>High</v>
      </c>
      <c r="R3014" t="s">
        <v>3317</v>
      </c>
      <c r="S3014" s="4">
        <f t="shared" ca="1" si="473"/>
        <v>45</v>
      </c>
      <c r="T3014">
        <f t="shared" si="474"/>
        <v>3</v>
      </c>
      <c r="U3014">
        <f t="shared" si="475"/>
        <v>3</v>
      </c>
      <c r="V3014">
        <f t="shared" si="476"/>
        <v>3</v>
      </c>
      <c r="W3014">
        <f t="shared" si="477"/>
        <v>1</v>
      </c>
      <c r="X3014">
        <f t="shared" si="478"/>
        <v>2.8000000000000003</v>
      </c>
      <c r="Y3014" t="str">
        <f t="shared" si="479"/>
        <v>Move Immediately</v>
      </c>
    </row>
    <row r="3015" spans="1:25" x14ac:dyDescent="0.35">
      <c r="A3015" t="s">
        <v>41</v>
      </c>
      <c r="B3015" t="s">
        <v>80</v>
      </c>
      <c r="C3015" t="s">
        <v>502</v>
      </c>
      <c r="D3015" t="s">
        <v>523</v>
      </c>
      <c r="E3015">
        <v>80731206</v>
      </c>
      <c r="F3015" t="s">
        <v>2108</v>
      </c>
      <c r="G3015" s="3">
        <v>46283</v>
      </c>
      <c r="H3015">
        <v>36</v>
      </c>
      <c r="I3015">
        <v>8</v>
      </c>
      <c r="J3015">
        <v>5</v>
      </c>
      <c r="K3015" s="4">
        <v>1359.95</v>
      </c>
      <c r="L3015" s="4">
        <f>0</f>
        <v>0</v>
      </c>
      <c r="M3015" s="4">
        <f>999</f>
        <v>999</v>
      </c>
      <c r="N3015" t="s">
        <v>19</v>
      </c>
      <c r="O3015" t="str">
        <f t="shared" si="470"/>
        <v>High</v>
      </c>
      <c r="P3015" t="str">
        <f t="shared" si="471"/>
        <v>High</v>
      </c>
      <c r="Q3015" t="str">
        <f t="shared" si="472"/>
        <v>High</v>
      </c>
      <c r="R3015" t="s">
        <v>3317</v>
      </c>
      <c r="S3015" s="4">
        <f t="shared" ca="1" si="473"/>
        <v>86</v>
      </c>
      <c r="T3015">
        <f t="shared" si="474"/>
        <v>3</v>
      </c>
      <c r="U3015">
        <f t="shared" si="475"/>
        <v>3</v>
      </c>
      <c r="V3015">
        <f t="shared" si="476"/>
        <v>3</v>
      </c>
      <c r="W3015">
        <f t="shared" si="477"/>
        <v>1</v>
      </c>
      <c r="X3015">
        <f t="shared" si="478"/>
        <v>2.8000000000000003</v>
      </c>
      <c r="Y3015" t="str">
        <f t="shared" si="479"/>
        <v>Move Immediately</v>
      </c>
    </row>
    <row r="3016" spans="1:25" x14ac:dyDescent="0.35">
      <c r="A3016" t="s">
        <v>90</v>
      </c>
      <c r="B3016" t="s">
        <v>91</v>
      </c>
      <c r="C3016" t="s">
        <v>92</v>
      </c>
      <c r="D3016" t="s">
        <v>2109</v>
      </c>
      <c r="E3016">
        <v>80851068</v>
      </c>
      <c r="F3016" t="s">
        <v>2110</v>
      </c>
      <c r="G3016" s="3">
        <v>46789</v>
      </c>
      <c r="H3016">
        <v>24</v>
      </c>
      <c r="I3016">
        <v>83</v>
      </c>
      <c r="J3016">
        <v>25</v>
      </c>
      <c r="K3016" s="4">
        <v>2054</v>
      </c>
      <c r="L3016" s="4">
        <v>10235.142857142857</v>
      </c>
      <c r="M3016" s="4">
        <v>2.4425648326494151E-3</v>
      </c>
      <c r="N3016" t="s">
        <v>25</v>
      </c>
      <c r="O3016" t="str">
        <f t="shared" si="470"/>
        <v>Low</v>
      </c>
      <c r="P3016" t="str">
        <f t="shared" si="471"/>
        <v>Low</v>
      </c>
      <c r="Q3016" t="str">
        <f t="shared" si="472"/>
        <v>Low</v>
      </c>
      <c r="R3016" t="s">
        <v>3317</v>
      </c>
      <c r="S3016" s="4">
        <f t="shared" ca="1" si="473"/>
        <v>592</v>
      </c>
      <c r="T3016">
        <f t="shared" si="474"/>
        <v>1</v>
      </c>
      <c r="U3016">
        <f t="shared" si="475"/>
        <v>1</v>
      </c>
      <c r="V3016">
        <f t="shared" si="476"/>
        <v>1</v>
      </c>
      <c r="W3016">
        <f t="shared" si="477"/>
        <v>1</v>
      </c>
      <c r="X3016">
        <f t="shared" si="478"/>
        <v>0.99999999999999989</v>
      </c>
      <c r="Y3016" t="str">
        <f t="shared" si="479"/>
        <v>Healthy</v>
      </c>
    </row>
    <row r="3017" spans="1:25" x14ac:dyDescent="0.35">
      <c r="A3017" t="s">
        <v>90</v>
      </c>
      <c r="B3017" t="s">
        <v>91</v>
      </c>
      <c r="C3017" t="s">
        <v>92</v>
      </c>
      <c r="D3017" t="s">
        <v>2109</v>
      </c>
      <c r="E3017">
        <v>80851068</v>
      </c>
      <c r="F3017" t="s">
        <v>2110</v>
      </c>
      <c r="G3017" s="3">
        <v>46726</v>
      </c>
      <c r="H3017">
        <v>24</v>
      </c>
      <c r="I3017">
        <v>74</v>
      </c>
      <c r="J3017">
        <v>1474</v>
      </c>
      <c r="K3017" s="4">
        <v>121103.84</v>
      </c>
      <c r="L3017" s="4">
        <v>10235.142857142857</v>
      </c>
      <c r="M3017" s="4">
        <v>0.14401362253300953</v>
      </c>
      <c r="N3017" t="s">
        <v>25</v>
      </c>
      <c r="O3017" t="str">
        <f t="shared" si="470"/>
        <v>Low</v>
      </c>
      <c r="P3017" t="str">
        <f t="shared" si="471"/>
        <v>Low</v>
      </c>
      <c r="Q3017" t="str">
        <f t="shared" si="472"/>
        <v>Low</v>
      </c>
      <c r="R3017" t="s">
        <v>3310</v>
      </c>
      <c r="S3017" s="4">
        <f t="shared" ca="1" si="473"/>
        <v>529</v>
      </c>
      <c r="T3017">
        <f t="shared" si="474"/>
        <v>1</v>
      </c>
      <c r="U3017">
        <f t="shared" si="475"/>
        <v>1</v>
      </c>
      <c r="V3017">
        <f t="shared" si="476"/>
        <v>1</v>
      </c>
      <c r="W3017">
        <f t="shared" si="477"/>
        <v>2</v>
      </c>
      <c r="X3017">
        <f t="shared" si="478"/>
        <v>1.0999999999999999</v>
      </c>
      <c r="Y3017" t="str">
        <f t="shared" si="479"/>
        <v>Healthy</v>
      </c>
    </row>
    <row r="3018" spans="1:25" x14ac:dyDescent="0.35">
      <c r="A3018" t="s">
        <v>90</v>
      </c>
      <c r="B3018" t="s">
        <v>91</v>
      </c>
      <c r="C3018" t="s">
        <v>92</v>
      </c>
      <c r="D3018" t="s">
        <v>2109</v>
      </c>
      <c r="E3018">
        <v>80851068</v>
      </c>
      <c r="F3018" t="s">
        <v>2110</v>
      </c>
      <c r="G3018" s="3">
        <v>46819</v>
      </c>
      <c r="H3018">
        <v>24</v>
      </c>
      <c r="I3018">
        <v>87</v>
      </c>
      <c r="J3018">
        <v>75</v>
      </c>
      <c r="K3018" s="4">
        <v>6162</v>
      </c>
      <c r="L3018" s="4">
        <v>10235.142857142857</v>
      </c>
      <c r="M3018" s="4">
        <v>7.3276944979482461E-3</v>
      </c>
      <c r="N3018" t="s">
        <v>25</v>
      </c>
      <c r="O3018" t="str">
        <f t="shared" si="470"/>
        <v>Low</v>
      </c>
      <c r="P3018" t="str">
        <f t="shared" si="471"/>
        <v>Low</v>
      </c>
      <c r="Q3018" t="str">
        <f t="shared" si="472"/>
        <v>Low</v>
      </c>
      <c r="R3018" t="s">
        <v>3317</v>
      </c>
      <c r="S3018" s="4">
        <f t="shared" ca="1" si="473"/>
        <v>622</v>
      </c>
      <c r="T3018">
        <f t="shared" si="474"/>
        <v>1</v>
      </c>
      <c r="U3018">
        <f t="shared" si="475"/>
        <v>1</v>
      </c>
      <c r="V3018">
        <f t="shared" si="476"/>
        <v>1</v>
      </c>
      <c r="W3018">
        <f t="shared" si="477"/>
        <v>1</v>
      </c>
      <c r="X3018">
        <f t="shared" si="478"/>
        <v>0.99999999999999989</v>
      </c>
      <c r="Y3018" t="str">
        <f t="shared" si="479"/>
        <v>Healthy</v>
      </c>
    </row>
    <row r="3019" spans="1:25" x14ac:dyDescent="0.35">
      <c r="A3019" t="s">
        <v>90</v>
      </c>
      <c r="B3019" t="s">
        <v>91</v>
      </c>
      <c r="C3019" t="s">
        <v>92</v>
      </c>
      <c r="D3019" t="s">
        <v>2109</v>
      </c>
      <c r="E3019">
        <v>80851068</v>
      </c>
      <c r="F3019" t="s">
        <v>2110</v>
      </c>
      <c r="G3019" s="3">
        <v>46778</v>
      </c>
      <c r="H3019">
        <v>24</v>
      </c>
      <c r="I3019">
        <v>81</v>
      </c>
      <c r="J3019">
        <v>40</v>
      </c>
      <c r="K3019" s="4">
        <v>3286.4</v>
      </c>
      <c r="L3019" s="4">
        <v>10235.142857142857</v>
      </c>
      <c r="M3019" s="4">
        <v>3.9081037322390641E-3</v>
      </c>
      <c r="N3019" t="s">
        <v>25</v>
      </c>
      <c r="O3019" t="str">
        <f t="shared" si="470"/>
        <v>Low</v>
      </c>
      <c r="P3019" t="str">
        <f t="shared" si="471"/>
        <v>Low</v>
      </c>
      <c r="Q3019" t="str">
        <f t="shared" si="472"/>
        <v>Low</v>
      </c>
      <c r="R3019" t="s">
        <v>3317</v>
      </c>
      <c r="S3019" s="4">
        <f t="shared" ca="1" si="473"/>
        <v>581</v>
      </c>
      <c r="T3019">
        <f t="shared" si="474"/>
        <v>1</v>
      </c>
      <c r="U3019">
        <f t="shared" si="475"/>
        <v>1</v>
      </c>
      <c r="V3019">
        <f t="shared" si="476"/>
        <v>1</v>
      </c>
      <c r="W3019">
        <f t="shared" si="477"/>
        <v>1</v>
      </c>
      <c r="X3019">
        <f t="shared" si="478"/>
        <v>0.99999999999999989</v>
      </c>
      <c r="Y3019" t="str">
        <f t="shared" si="479"/>
        <v>Healthy</v>
      </c>
    </row>
    <row r="3020" spans="1:25" x14ac:dyDescent="0.35">
      <c r="A3020" t="s">
        <v>90</v>
      </c>
      <c r="B3020" t="s">
        <v>91</v>
      </c>
      <c r="C3020" t="s">
        <v>92</v>
      </c>
      <c r="D3020" t="s">
        <v>2109</v>
      </c>
      <c r="E3020">
        <v>80851068</v>
      </c>
      <c r="F3020" t="s">
        <v>2110</v>
      </c>
      <c r="G3020" s="3">
        <v>46758</v>
      </c>
      <c r="H3020">
        <v>24</v>
      </c>
      <c r="I3020">
        <v>79</v>
      </c>
      <c r="J3020">
        <v>40</v>
      </c>
      <c r="K3020" s="4">
        <v>3286.4</v>
      </c>
      <c r="L3020" s="4">
        <v>10235.142857142857</v>
      </c>
      <c r="M3020" s="4">
        <v>3.9081037322390641E-3</v>
      </c>
      <c r="N3020" t="s">
        <v>25</v>
      </c>
      <c r="O3020" t="str">
        <f t="shared" si="470"/>
        <v>Low</v>
      </c>
      <c r="P3020" t="str">
        <f t="shared" si="471"/>
        <v>Low</v>
      </c>
      <c r="Q3020" t="str">
        <f t="shared" si="472"/>
        <v>Low</v>
      </c>
      <c r="R3020" t="s">
        <v>3317</v>
      </c>
      <c r="S3020" s="4">
        <f t="shared" ca="1" si="473"/>
        <v>561</v>
      </c>
      <c r="T3020">
        <f t="shared" si="474"/>
        <v>1</v>
      </c>
      <c r="U3020">
        <f t="shared" si="475"/>
        <v>1</v>
      </c>
      <c r="V3020">
        <f t="shared" si="476"/>
        <v>1</v>
      </c>
      <c r="W3020">
        <f t="shared" si="477"/>
        <v>1</v>
      </c>
      <c r="X3020">
        <f t="shared" si="478"/>
        <v>0.99999999999999989</v>
      </c>
      <c r="Y3020" t="str">
        <f t="shared" si="479"/>
        <v>Healthy</v>
      </c>
    </row>
    <row r="3021" spans="1:25" x14ac:dyDescent="0.35">
      <c r="A3021" t="s">
        <v>90</v>
      </c>
      <c r="B3021" t="s">
        <v>91</v>
      </c>
      <c r="C3021" t="s">
        <v>92</v>
      </c>
      <c r="D3021" t="s">
        <v>2109</v>
      </c>
      <c r="E3021">
        <v>80851068</v>
      </c>
      <c r="F3021" t="s">
        <v>2110</v>
      </c>
      <c r="G3021" s="3">
        <v>46759</v>
      </c>
      <c r="H3021">
        <v>24</v>
      </c>
      <c r="I3021">
        <v>79</v>
      </c>
      <c r="J3021">
        <v>19</v>
      </c>
      <c r="K3021" s="4">
        <v>1561.04</v>
      </c>
      <c r="L3021" s="4">
        <v>10235.142857142857</v>
      </c>
      <c r="M3021" s="4">
        <v>1.8563492728135556E-3</v>
      </c>
      <c r="N3021" t="s">
        <v>25</v>
      </c>
      <c r="O3021" t="str">
        <f t="shared" si="470"/>
        <v>Low</v>
      </c>
      <c r="P3021" t="str">
        <f t="shared" si="471"/>
        <v>Low</v>
      </c>
      <c r="Q3021" t="str">
        <f t="shared" si="472"/>
        <v>Low</v>
      </c>
      <c r="R3021" t="s">
        <v>3317</v>
      </c>
      <c r="S3021" s="4">
        <f t="shared" ca="1" si="473"/>
        <v>562</v>
      </c>
      <c r="T3021">
        <f t="shared" si="474"/>
        <v>1</v>
      </c>
      <c r="U3021">
        <f t="shared" si="475"/>
        <v>1</v>
      </c>
      <c r="V3021">
        <f t="shared" si="476"/>
        <v>1</v>
      </c>
      <c r="W3021">
        <f t="shared" si="477"/>
        <v>1</v>
      </c>
      <c r="X3021">
        <f t="shared" si="478"/>
        <v>0.99999999999999989</v>
      </c>
      <c r="Y3021" t="str">
        <f t="shared" si="479"/>
        <v>Healthy</v>
      </c>
    </row>
    <row r="3022" spans="1:25" x14ac:dyDescent="0.35">
      <c r="A3022" t="s">
        <v>90</v>
      </c>
      <c r="B3022" t="s">
        <v>91</v>
      </c>
      <c r="C3022" t="s">
        <v>92</v>
      </c>
      <c r="D3022" t="s">
        <v>2109</v>
      </c>
      <c r="E3022">
        <v>80851068</v>
      </c>
      <c r="F3022" t="s">
        <v>2110</v>
      </c>
      <c r="G3022" s="3">
        <v>46759</v>
      </c>
      <c r="H3022">
        <v>24</v>
      </c>
      <c r="I3022">
        <v>79</v>
      </c>
      <c r="J3022">
        <v>60</v>
      </c>
      <c r="K3022" s="4">
        <v>4929.6000000000004</v>
      </c>
      <c r="L3022" s="4">
        <v>10235.142857142857</v>
      </c>
      <c r="M3022" s="4">
        <v>5.8621555983585961E-3</v>
      </c>
      <c r="N3022" t="s">
        <v>25</v>
      </c>
      <c r="O3022" t="str">
        <f t="shared" si="470"/>
        <v>Low</v>
      </c>
      <c r="P3022" t="str">
        <f t="shared" si="471"/>
        <v>Low</v>
      </c>
      <c r="Q3022" t="str">
        <f t="shared" si="472"/>
        <v>Low</v>
      </c>
      <c r="R3022" t="s">
        <v>3317</v>
      </c>
      <c r="S3022" s="4">
        <f t="shared" ca="1" si="473"/>
        <v>562</v>
      </c>
      <c r="T3022">
        <f t="shared" si="474"/>
        <v>1</v>
      </c>
      <c r="U3022">
        <f t="shared" si="475"/>
        <v>1</v>
      </c>
      <c r="V3022">
        <f t="shared" si="476"/>
        <v>1</v>
      </c>
      <c r="W3022">
        <f t="shared" si="477"/>
        <v>1</v>
      </c>
      <c r="X3022">
        <f t="shared" si="478"/>
        <v>0.99999999999999989</v>
      </c>
      <c r="Y3022" t="str">
        <f t="shared" si="479"/>
        <v>Healthy</v>
      </c>
    </row>
    <row r="3023" spans="1:25" x14ac:dyDescent="0.35">
      <c r="A3023" t="s">
        <v>90</v>
      </c>
      <c r="B3023" t="s">
        <v>91</v>
      </c>
      <c r="C3023" t="s">
        <v>92</v>
      </c>
      <c r="D3023" t="s">
        <v>2109</v>
      </c>
      <c r="E3023">
        <v>80851068</v>
      </c>
      <c r="F3023" t="s">
        <v>2110</v>
      </c>
      <c r="G3023" s="3">
        <v>46779</v>
      </c>
      <c r="H3023">
        <v>24</v>
      </c>
      <c r="I3023">
        <v>82</v>
      </c>
      <c r="J3023">
        <v>42</v>
      </c>
      <c r="K3023" s="4">
        <v>3450.72</v>
      </c>
      <c r="L3023" s="4">
        <v>10235.142857142857</v>
      </c>
      <c r="M3023" s="4">
        <v>4.1035089188510175E-3</v>
      </c>
      <c r="N3023" t="s">
        <v>25</v>
      </c>
      <c r="O3023" t="str">
        <f t="shared" si="470"/>
        <v>Low</v>
      </c>
      <c r="P3023" t="str">
        <f t="shared" si="471"/>
        <v>Low</v>
      </c>
      <c r="Q3023" t="str">
        <f t="shared" si="472"/>
        <v>Low</v>
      </c>
      <c r="R3023" t="s">
        <v>3317</v>
      </c>
      <c r="S3023" s="4">
        <f t="shared" ca="1" si="473"/>
        <v>582</v>
      </c>
      <c r="T3023">
        <f t="shared" si="474"/>
        <v>1</v>
      </c>
      <c r="U3023">
        <f t="shared" si="475"/>
        <v>1</v>
      </c>
      <c r="V3023">
        <f t="shared" si="476"/>
        <v>1</v>
      </c>
      <c r="W3023">
        <f t="shared" si="477"/>
        <v>1</v>
      </c>
      <c r="X3023">
        <f t="shared" si="478"/>
        <v>0.99999999999999989</v>
      </c>
      <c r="Y3023" t="str">
        <f t="shared" si="479"/>
        <v>Healthy</v>
      </c>
    </row>
    <row r="3024" spans="1:25" x14ac:dyDescent="0.35">
      <c r="A3024" t="s">
        <v>104</v>
      </c>
      <c r="B3024" t="s">
        <v>105</v>
      </c>
      <c r="C3024" t="s">
        <v>697</v>
      </c>
      <c r="D3024" t="s">
        <v>2111</v>
      </c>
      <c r="E3024">
        <v>80730693</v>
      </c>
      <c r="F3024" t="s">
        <v>2112</v>
      </c>
      <c r="G3024" s="3">
        <v>45866</v>
      </c>
      <c r="H3024">
        <v>24</v>
      </c>
      <c r="I3024">
        <v>0</v>
      </c>
      <c r="J3024">
        <v>21</v>
      </c>
      <c r="K3024" s="4">
        <v>5229</v>
      </c>
      <c r="L3024" s="4">
        <f>0</f>
        <v>0</v>
      </c>
      <c r="M3024" s="4">
        <f>999</f>
        <v>999</v>
      </c>
      <c r="N3024" t="s">
        <v>19</v>
      </c>
      <c r="O3024" t="str">
        <f t="shared" si="470"/>
        <v>High</v>
      </c>
      <c r="P3024" t="str">
        <f t="shared" si="471"/>
        <v>High</v>
      </c>
      <c r="Q3024" t="str">
        <f t="shared" si="472"/>
        <v>High</v>
      </c>
      <c r="R3024" t="s">
        <v>3317</v>
      </c>
      <c r="S3024" s="4">
        <f t="shared" ca="1" si="473"/>
        <v>-331</v>
      </c>
      <c r="T3024">
        <f t="shared" si="474"/>
        <v>3</v>
      </c>
      <c r="U3024">
        <f t="shared" si="475"/>
        <v>3</v>
      </c>
      <c r="V3024">
        <f t="shared" si="476"/>
        <v>3</v>
      </c>
      <c r="W3024">
        <f t="shared" si="477"/>
        <v>1</v>
      </c>
      <c r="X3024">
        <f t="shared" si="478"/>
        <v>2.8000000000000003</v>
      </c>
      <c r="Y3024" t="str">
        <f t="shared" si="479"/>
        <v>Move Immediately</v>
      </c>
    </row>
    <row r="3025" spans="1:25" x14ac:dyDescent="0.35">
      <c r="A3025" t="s">
        <v>104</v>
      </c>
      <c r="B3025" t="s">
        <v>105</v>
      </c>
      <c r="C3025" t="s">
        <v>697</v>
      </c>
      <c r="D3025" t="s">
        <v>2111</v>
      </c>
      <c r="E3025">
        <v>80730693</v>
      </c>
      <c r="F3025" t="s">
        <v>2112</v>
      </c>
      <c r="G3025" s="3">
        <v>45821</v>
      </c>
      <c r="H3025">
        <v>24</v>
      </c>
      <c r="I3025">
        <v>0</v>
      </c>
      <c r="J3025">
        <v>51</v>
      </c>
      <c r="K3025" s="4">
        <v>12699</v>
      </c>
      <c r="L3025" s="4">
        <f>0</f>
        <v>0</v>
      </c>
      <c r="M3025" s="4">
        <f>999</f>
        <v>999</v>
      </c>
      <c r="N3025" t="s">
        <v>19</v>
      </c>
      <c r="O3025" t="str">
        <f t="shared" si="470"/>
        <v>High</v>
      </c>
      <c r="P3025" t="str">
        <f t="shared" si="471"/>
        <v>High</v>
      </c>
      <c r="Q3025" t="str">
        <f t="shared" si="472"/>
        <v>High</v>
      </c>
      <c r="R3025" t="s">
        <v>3317</v>
      </c>
      <c r="S3025" s="4">
        <f t="shared" ca="1" si="473"/>
        <v>-376</v>
      </c>
      <c r="T3025">
        <f t="shared" si="474"/>
        <v>3</v>
      </c>
      <c r="U3025">
        <f t="shared" si="475"/>
        <v>3</v>
      </c>
      <c r="V3025">
        <f t="shared" si="476"/>
        <v>3</v>
      </c>
      <c r="W3025">
        <f t="shared" si="477"/>
        <v>1</v>
      </c>
      <c r="X3025">
        <f t="shared" si="478"/>
        <v>2.8000000000000003</v>
      </c>
      <c r="Y3025" t="str">
        <f t="shared" si="479"/>
        <v>Move Immediately</v>
      </c>
    </row>
    <row r="3026" spans="1:25" x14ac:dyDescent="0.35">
      <c r="A3026" t="s">
        <v>104</v>
      </c>
      <c r="B3026" t="s">
        <v>105</v>
      </c>
      <c r="C3026" t="s">
        <v>697</v>
      </c>
      <c r="D3026" t="s">
        <v>2111</v>
      </c>
      <c r="E3026">
        <v>80730693</v>
      </c>
      <c r="F3026" t="s">
        <v>2112</v>
      </c>
      <c r="G3026" s="3">
        <v>46098</v>
      </c>
      <c r="H3026">
        <v>24</v>
      </c>
      <c r="I3026">
        <v>0</v>
      </c>
      <c r="J3026">
        <v>12</v>
      </c>
      <c r="K3026" s="4">
        <v>2988</v>
      </c>
      <c r="L3026" s="4">
        <f>0</f>
        <v>0</v>
      </c>
      <c r="M3026" s="4">
        <f>999</f>
        <v>999</v>
      </c>
      <c r="N3026" t="s">
        <v>19</v>
      </c>
      <c r="O3026" t="str">
        <f t="shared" si="470"/>
        <v>High</v>
      </c>
      <c r="P3026" t="str">
        <f t="shared" si="471"/>
        <v>High</v>
      </c>
      <c r="Q3026" t="str">
        <f t="shared" si="472"/>
        <v>High</v>
      </c>
      <c r="R3026" t="s">
        <v>3317</v>
      </c>
      <c r="S3026" s="4">
        <f t="shared" ca="1" si="473"/>
        <v>-99</v>
      </c>
      <c r="T3026">
        <f t="shared" si="474"/>
        <v>3</v>
      </c>
      <c r="U3026">
        <f t="shared" si="475"/>
        <v>3</v>
      </c>
      <c r="V3026">
        <f t="shared" si="476"/>
        <v>3</v>
      </c>
      <c r="W3026">
        <f t="shared" si="477"/>
        <v>1</v>
      </c>
      <c r="X3026">
        <f t="shared" si="478"/>
        <v>2.8000000000000003</v>
      </c>
      <c r="Y3026" t="str">
        <f t="shared" si="479"/>
        <v>Move Immediately</v>
      </c>
    </row>
    <row r="3027" spans="1:25" x14ac:dyDescent="0.35">
      <c r="A3027" t="s">
        <v>41</v>
      </c>
      <c r="B3027" t="s">
        <v>42</v>
      </c>
      <c r="C3027" t="s">
        <v>121</v>
      </c>
      <c r="D3027" t="s">
        <v>2113</v>
      </c>
      <c r="E3027">
        <v>80851522</v>
      </c>
      <c r="F3027" t="s">
        <v>2114</v>
      </c>
      <c r="G3027" s="3">
        <v>47199</v>
      </c>
      <c r="H3027">
        <v>36</v>
      </c>
      <c r="I3027">
        <v>93</v>
      </c>
      <c r="J3027">
        <v>9</v>
      </c>
      <c r="K3027" s="4">
        <v>788.85</v>
      </c>
      <c r="L3027" s="4">
        <v>408.42857142857144</v>
      </c>
      <c r="M3027" s="4">
        <v>2.203567681007345E-2</v>
      </c>
      <c r="N3027" t="s">
        <v>25</v>
      </c>
      <c r="O3027" t="str">
        <f t="shared" si="470"/>
        <v>Low</v>
      </c>
      <c r="P3027" t="str">
        <f t="shared" si="471"/>
        <v>Low</v>
      </c>
      <c r="Q3027" t="str">
        <f t="shared" si="472"/>
        <v>Low</v>
      </c>
      <c r="R3027" t="s">
        <v>3317</v>
      </c>
      <c r="S3027" s="4">
        <f t="shared" ca="1" si="473"/>
        <v>1002</v>
      </c>
      <c r="T3027">
        <f t="shared" si="474"/>
        <v>1</v>
      </c>
      <c r="U3027">
        <f t="shared" si="475"/>
        <v>1</v>
      </c>
      <c r="V3027">
        <f t="shared" si="476"/>
        <v>1</v>
      </c>
      <c r="W3027">
        <f t="shared" si="477"/>
        <v>1</v>
      </c>
      <c r="X3027">
        <f t="shared" si="478"/>
        <v>0.99999999999999989</v>
      </c>
      <c r="Y3027" t="str">
        <f t="shared" si="479"/>
        <v>Healthy</v>
      </c>
    </row>
    <row r="3028" spans="1:25" x14ac:dyDescent="0.35">
      <c r="A3028" t="s">
        <v>99</v>
      </c>
      <c r="B3028" t="s">
        <v>100</v>
      </c>
      <c r="C3028" t="s">
        <v>101</v>
      </c>
      <c r="D3028" t="s">
        <v>2115</v>
      </c>
      <c r="E3028">
        <v>80739419</v>
      </c>
      <c r="F3028" t="s">
        <v>2116</v>
      </c>
      <c r="G3028" s="3">
        <v>46400</v>
      </c>
      <c r="H3028">
        <v>18</v>
      </c>
      <c r="I3028">
        <v>39</v>
      </c>
      <c r="J3028">
        <v>75</v>
      </c>
      <c r="K3028" s="4">
        <v>18719.25</v>
      </c>
      <c r="L3028" s="4">
        <v>12.857142857142858</v>
      </c>
      <c r="M3028" s="4">
        <v>5.833333333333333</v>
      </c>
      <c r="N3028" t="s">
        <v>25</v>
      </c>
      <c r="O3028" t="str">
        <f t="shared" si="470"/>
        <v>Medium</v>
      </c>
      <c r="P3028" t="str">
        <f t="shared" si="471"/>
        <v>Medium</v>
      </c>
      <c r="Q3028" t="str">
        <f t="shared" si="472"/>
        <v>Medium</v>
      </c>
      <c r="R3028" t="s">
        <v>3317</v>
      </c>
      <c r="S3028" s="4">
        <f t="shared" ca="1" si="473"/>
        <v>203</v>
      </c>
      <c r="T3028">
        <f t="shared" si="474"/>
        <v>2</v>
      </c>
      <c r="U3028">
        <f t="shared" si="475"/>
        <v>2</v>
      </c>
      <c r="V3028">
        <f t="shared" si="476"/>
        <v>2</v>
      </c>
      <c r="W3028">
        <f t="shared" si="477"/>
        <v>1</v>
      </c>
      <c r="X3028">
        <f t="shared" si="478"/>
        <v>1.9</v>
      </c>
      <c r="Y3028" t="str">
        <f t="shared" si="479"/>
        <v>Monitor</v>
      </c>
    </row>
    <row r="3029" spans="1:25" x14ac:dyDescent="0.35">
      <c r="A3029" t="s">
        <v>99</v>
      </c>
      <c r="B3029" t="s">
        <v>100</v>
      </c>
      <c r="C3029" t="s">
        <v>101</v>
      </c>
      <c r="D3029" t="s">
        <v>2115</v>
      </c>
      <c r="E3029">
        <v>80739419</v>
      </c>
      <c r="F3029" t="s">
        <v>2116</v>
      </c>
      <c r="G3029" s="3">
        <v>46336</v>
      </c>
      <c r="H3029">
        <v>18</v>
      </c>
      <c r="I3029">
        <v>27</v>
      </c>
      <c r="J3029">
        <v>76</v>
      </c>
      <c r="K3029" s="4">
        <v>18968.84</v>
      </c>
      <c r="L3029" s="4">
        <v>12.857142857142858</v>
      </c>
      <c r="M3029" s="4">
        <v>5.9111111111111105</v>
      </c>
      <c r="N3029" t="s">
        <v>25</v>
      </c>
      <c r="O3029" t="str">
        <f t="shared" si="470"/>
        <v>Medium</v>
      </c>
      <c r="P3029" t="str">
        <f t="shared" si="471"/>
        <v>Medium</v>
      </c>
      <c r="Q3029" t="str">
        <f t="shared" si="472"/>
        <v>Medium</v>
      </c>
      <c r="R3029" t="s">
        <v>3317</v>
      </c>
      <c r="S3029" s="4">
        <f t="shared" ca="1" si="473"/>
        <v>139</v>
      </c>
      <c r="T3029">
        <f t="shared" si="474"/>
        <v>2</v>
      </c>
      <c r="U3029">
        <f t="shared" si="475"/>
        <v>2</v>
      </c>
      <c r="V3029">
        <f t="shared" si="476"/>
        <v>2</v>
      </c>
      <c r="W3029">
        <f t="shared" si="477"/>
        <v>1</v>
      </c>
      <c r="X3029">
        <f t="shared" si="478"/>
        <v>1.9</v>
      </c>
      <c r="Y3029" t="str">
        <f t="shared" si="479"/>
        <v>Monitor</v>
      </c>
    </row>
    <row r="3030" spans="1:25" x14ac:dyDescent="0.35">
      <c r="A3030" t="s">
        <v>41</v>
      </c>
      <c r="B3030" t="s">
        <v>42</v>
      </c>
      <c r="C3030" t="s">
        <v>121</v>
      </c>
      <c r="D3030" t="s">
        <v>2113</v>
      </c>
      <c r="E3030">
        <v>80851522</v>
      </c>
      <c r="F3030" t="s">
        <v>2114</v>
      </c>
      <c r="G3030" s="3">
        <v>47199</v>
      </c>
      <c r="H3030">
        <v>36</v>
      </c>
      <c r="I3030">
        <v>93</v>
      </c>
      <c r="J3030">
        <v>3</v>
      </c>
      <c r="K3030" s="4">
        <v>262.95</v>
      </c>
      <c r="L3030" s="4">
        <v>408.42857142857144</v>
      </c>
      <c r="M3030" s="4">
        <v>7.3452256033578172E-3</v>
      </c>
      <c r="N3030" t="s">
        <v>25</v>
      </c>
      <c r="O3030" t="str">
        <f t="shared" si="470"/>
        <v>Low</v>
      </c>
      <c r="P3030" t="str">
        <f t="shared" si="471"/>
        <v>Low</v>
      </c>
      <c r="Q3030" t="str">
        <f t="shared" si="472"/>
        <v>Low</v>
      </c>
      <c r="R3030" t="s">
        <v>3317</v>
      </c>
      <c r="S3030" s="4">
        <f t="shared" ca="1" si="473"/>
        <v>1002</v>
      </c>
      <c r="T3030">
        <f t="shared" si="474"/>
        <v>1</v>
      </c>
      <c r="U3030">
        <f t="shared" si="475"/>
        <v>1</v>
      </c>
      <c r="V3030">
        <f t="shared" si="476"/>
        <v>1</v>
      </c>
      <c r="W3030">
        <f t="shared" si="477"/>
        <v>1</v>
      </c>
      <c r="X3030">
        <f t="shared" si="478"/>
        <v>0.99999999999999989</v>
      </c>
      <c r="Y3030" t="str">
        <f t="shared" si="479"/>
        <v>Healthy</v>
      </c>
    </row>
    <row r="3031" spans="1:25" x14ac:dyDescent="0.35">
      <c r="A3031" t="s">
        <v>41</v>
      </c>
      <c r="B3031" t="s">
        <v>42</v>
      </c>
      <c r="C3031" t="s">
        <v>121</v>
      </c>
      <c r="D3031" t="s">
        <v>2113</v>
      </c>
      <c r="E3031">
        <v>80851522</v>
      </c>
      <c r="F3031" t="s">
        <v>2114</v>
      </c>
      <c r="G3031" s="3">
        <v>47263</v>
      </c>
      <c r="H3031">
        <v>36</v>
      </c>
      <c r="I3031">
        <v>99</v>
      </c>
      <c r="J3031">
        <v>30</v>
      </c>
      <c r="K3031" s="4">
        <v>2629.5</v>
      </c>
      <c r="L3031" s="4">
        <v>408.42857142857144</v>
      </c>
      <c r="M3031" s="4">
        <v>7.3452256033578175E-2</v>
      </c>
      <c r="N3031" t="s">
        <v>25</v>
      </c>
      <c r="O3031" t="str">
        <f t="shared" si="470"/>
        <v>Low</v>
      </c>
      <c r="P3031" t="str">
        <f t="shared" si="471"/>
        <v>Low</v>
      </c>
      <c r="Q3031" t="str">
        <f t="shared" si="472"/>
        <v>Low</v>
      </c>
      <c r="R3031" t="s">
        <v>3317</v>
      </c>
      <c r="S3031" s="4">
        <f t="shared" ca="1" si="473"/>
        <v>1066</v>
      </c>
      <c r="T3031">
        <f t="shared" si="474"/>
        <v>1</v>
      </c>
      <c r="U3031">
        <f t="shared" si="475"/>
        <v>1</v>
      </c>
      <c r="V3031">
        <f t="shared" si="476"/>
        <v>1</v>
      </c>
      <c r="W3031">
        <f t="shared" si="477"/>
        <v>1</v>
      </c>
      <c r="X3031">
        <f t="shared" si="478"/>
        <v>0.99999999999999989</v>
      </c>
      <c r="Y3031" t="str">
        <f t="shared" si="479"/>
        <v>Healthy</v>
      </c>
    </row>
    <row r="3032" spans="1:25" x14ac:dyDescent="0.35">
      <c r="A3032" t="s">
        <v>99</v>
      </c>
      <c r="B3032" t="s">
        <v>100</v>
      </c>
      <c r="C3032" t="s">
        <v>101</v>
      </c>
      <c r="D3032" t="s">
        <v>2115</v>
      </c>
      <c r="E3032">
        <v>80739419</v>
      </c>
      <c r="F3032" t="s">
        <v>2116</v>
      </c>
      <c r="G3032" s="3">
        <v>46335</v>
      </c>
      <c r="H3032">
        <v>18</v>
      </c>
      <c r="I3032">
        <v>26</v>
      </c>
      <c r="J3032">
        <v>74</v>
      </c>
      <c r="K3032" s="4">
        <v>18469.66</v>
      </c>
      <c r="L3032" s="4">
        <v>12.857142857142858</v>
      </c>
      <c r="M3032" s="4">
        <v>5.7555555555555555</v>
      </c>
      <c r="N3032" t="s">
        <v>25</v>
      </c>
      <c r="O3032" t="str">
        <f t="shared" si="470"/>
        <v>Medium</v>
      </c>
      <c r="P3032" t="str">
        <f t="shared" si="471"/>
        <v>Medium</v>
      </c>
      <c r="Q3032" t="str">
        <f t="shared" si="472"/>
        <v>Medium</v>
      </c>
      <c r="R3032" t="s">
        <v>3317</v>
      </c>
      <c r="S3032" s="4">
        <f t="shared" ca="1" si="473"/>
        <v>138</v>
      </c>
      <c r="T3032">
        <f t="shared" si="474"/>
        <v>2</v>
      </c>
      <c r="U3032">
        <f t="shared" si="475"/>
        <v>2</v>
      </c>
      <c r="V3032">
        <f t="shared" si="476"/>
        <v>2</v>
      </c>
      <c r="W3032">
        <f t="shared" si="477"/>
        <v>1</v>
      </c>
      <c r="X3032">
        <f t="shared" si="478"/>
        <v>1.9</v>
      </c>
      <c r="Y3032" t="str">
        <f t="shared" si="479"/>
        <v>Monitor</v>
      </c>
    </row>
    <row r="3033" spans="1:25" x14ac:dyDescent="0.35">
      <c r="A3033" t="s">
        <v>41</v>
      </c>
      <c r="B3033" t="s">
        <v>42</v>
      </c>
      <c r="C3033" t="s">
        <v>43</v>
      </c>
      <c r="D3033" t="s">
        <v>888</v>
      </c>
      <c r="E3033">
        <v>80847800</v>
      </c>
      <c r="F3033" t="s">
        <v>2117</v>
      </c>
      <c r="G3033" s="3">
        <v>46891</v>
      </c>
      <c r="H3033">
        <v>36</v>
      </c>
      <c r="I3033">
        <v>65</v>
      </c>
      <c r="J3033">
        <v>12</v>
      </c>
      <c r="K3033" s="4">
        <v>3487.32</v>
      </c>
      <c r="L3033" s="4">
        <v>57.428571428571431</v>
      </c>
      <c r="M3033" s="4">
        <v>0.20895522388059701</v>
      </c>
      <c r="N3033" t="s">
        <v>25</v>
      </c>
      <c r="O3033" t="str">
        <f t="shared" si="470"/>
        <v>Low</v>
      </c>
      <c r="P3033" t="str">
        <f t="shared" si="471"/>
        <v>Low</v>
      </c>
      <c r="Q3033" t="str">
        <f t="shared" si="472"/>
        <v>Low</v>
      </c>
      <c r="R3033" t="s">
        <v>3317</v>
      </c>
      <c r="S3033" s="4">
        <f t="shared" ca="1" si="473"/>
        <v>694</v>
      </c>
      <c r="T3033">
        <f t="shared" si="474"/>
        <v>1</v>
      </c>
      <c r="U3033">
        <f t="shared" si="475"/>
        <v>1</v>
      </c>
      <c r="V3033">
        <f t="shared" si="476"/>
        <v>1</v>
      </c>
      <c r="W3033">
        <f t="shared" si="477"/>
        <v>1</v>
      </c>
      <c r="X3033">
        <f t="shared" si="478"/>
        <v>0.99999999999999989</v>
      </c>
      <c r="Y3033" t="str">
        <f t="shared" si="479"/>
        <v>Healthy</v>
      </c>
    </row>
    <row r="3034" spans="1:25" x14ac:dyDescent="0.35">
      <c r="A3034" t="s">
        <v>41</v>
      </c>
      <c r="B3034" t="s">
        <v>54</v>
      </c>
      <c r="C3034" t="s">
        <v>55</v>
      </c>
      <c r="D3034" t="s">
        <v>445</v>
      </c>
      <c r="E3034">
        <v>80863614</v>
      </c>
      <c r="F3034" t="s">
        <v>2118</v>
      </c>
      <c r="G3034" s="3">
        <v>46902</v>
      </c>
      <c r="H3034">
        <v>36</v>
      </c>
      <c r="I3034">
        <v>66</v>
      </c>
      <c r="J3034">
        <v>8</v>
      </c>
      <c r="K3034" s="4">
        <v>8249.36</v>
      </c>
      <c r="L3034" s="4">
        <v>136.28571428571428</v>
      </c>
      <c r="M3034" s="4">
        <v>5.8700209643605873E-2</v>
      </c>
      <c r="N3034" t="s">
        <v>25</v>
      </c>
      <c r="O3034" t="str">
        <f t="shared" si="470"/>
        <v>Low</v>
      </c>
      <c r="P3034" t="str">
        <f t="shared" si="471"/>
        <v>Low</v>
      </c>
      <c r="Q3034" t="str">
        <f t="shared" si="472"/>
        <v>Low</v>
      </c>
      <c r="R3034" t="s">
        <v>3317</v>
      </c>
      <c r="S3034" s="4">
        <f t="shared" ca="1" si="473"/>
        <v>705</v>
      </c>
      <c r="T3034">
        <f t="shared" si="474"/>
        <v>1</v>
      </c>
      <c r="U3034">
        <f t="shared" si="475"/>
        <v>1</v>
      </c>
      <c r="V3034">
        <f t="shared" si="476"/>
        <v>1</v>
      </c>
      <c r="W3034">
        <f t="shared" si="477"/>
        <v>1</v>
      </c>
      <c r="X3034">
        <f t="shared" si="478"/>
        <v>0.99999999999999989</v>
      </c>
      <c r="Y3034" t="str">
        <f t="shared" si="479"/>
        <v>Healthy</v>
      </c>
    </row>
    <row r="3035" spans="1:25" x14ac:dyDescent="0.35">
      <c r="A3035" t="s">
        <v>179</v>
      </c>
      <c r="B3035" t="s">
        <v>195</v>
      </c>
      <c r="C3035" t="s">
        <v>199</v>
      </c>
      <c r="D3035" t="s">
        <v>2119</v>
      </c>
      <c r="E3035">
        <v>80746506</v>
      </c>
      <c r="F3035" t="s">
        <v>2120</v>
      </c>
      <c r="G3035" s="3">
        <v>46101</v>
      </c>
      <c r="H3035">
        <v>16</v>
      </c>
      <c r="I3035">
        <v>0</v>
      </c>
      <c r="J3035">
        <v>1</v>
      </c>
      <c r="K3035" s="4">
        <v>1332.4</v>
      </c>
      <c r="L3035" s="4">
        <f>0</f>
        <v>0</v>
      </c>
      <c r="M3035" s="4">
        <f>999</f>
        <v>999</v>
      </c>
      <c r="N3035" t="s">
        <v>19</v>
      </c>
      <c r="O3035" t="str">
        <f t="shared" si="470"/>
        <v>High</v>
      </c>
      <c r="P3035" t="str">
        <f t="shared" si="471"/>
        <v>High</v>
      </c>
      <c r="Q3035" t="str">
        <f t="shared" si="472"/>
        <v>High</v>
      </c>
      <c r="R3035" t="s">
        <v>3317</v>
      </c>
      <c r="S3035" s="4">
        <f t="shared" ca="1" si="473"/>
        <v>-96</v>
      </c>
      <c r="T3035">
        <f t="shared" si="474"/>
        <v>3</v>
      </c>
      <c r="U3035">
        <f t="shared" si="475"/>
        <v>3</v>
      </c>
      <c r="V3035">
        <f t="shared" si="476"/>
        <v>3</v>
      </c>
      <c r="W3035">
        <f t="shared" si="477"/>
        <v>1</v>
      </c>
      <c r="X3035">
        <f t="shared" si="478"/>
        <v>2.8000000000000003</v>
      </c>
      <c r="Y3035" t="str">
        <f t="shared" si="479"/>
        <v>Move Immediately</v>
      </c>
    </row>
    <row r="3036" spans="1:25" x14ac:dyDescent="0.35">
      <c r="A3036" t="s">
        <v>41</v>
      </c>
      <c r="B3036" t="s">
        <v>54</v>
      </c>
      <c r="C3036" t="s">
        <v>87</v>
      </c>
      <c r="D3036" t="s">
        <v>316</v>
      </c>
      <c r="E3036">
        <v>80859549</v>
      </c>
      <c r="F3036" t="s">
        <v>2121</v>
      </c>
      <c r="G3036" s="3">
        <v>46903</v>
      </c>
      <c r="H3036">
        <v>36</v>
      </c>
      <c r="I3036">
        <v>66</v>
      </c>
      <c r="J3036">
        <v>5</v>
      </c>
      <c r="K3036" s="4">
        <v>4799.8500000000004</v>
      </c>
      <c r="L3036" s="4">
        <f>0</f>
        <v>0</v>
      </c>
      <c r="M3036" s="4">
        <f>999</f>
        <v>999</v>
      </c>
      <c r="N3036" t="s">
        <v>19</v>
      </c>
      <c r="O3036" t="str">
        <f t="shared" si="470"/>
        <v>Low</v>
      </c>
      <c r="P3036" t="str">
        <f t="shared" si="471"/>
        <v>High</v>
      </c>
      <c r="Q3036" t="str">
        <f t="shared" si="472"/>
        <v>High</v>
      </c>
      <c r="R3036" t="s">
        <v>3317</v>
      </c>
      <c r="S3036" s="4">
        <f t="shared" ca="1" si="473"/>
        <v>706</v>
      </c>
      <c r="T3036">
        <f t="shared" si="474"/>
        <v>1</v>
      </c>
      <c r="U3036">
        <f t="shared" si="475"/>
        <v>3</v>
      </c>
      <c r="V3036">
        <f t="shared" si="476"/>
        <v>3</v>
      </c>
      <c r="W3036">
        <f t="shared" si="477"/>
        <v>1</v>
      </c>
      <c r="X3036">
        <f t="shared" si="478"/>
        <v>2</v>
      </c>
      <c r="Y3036" t="str">
        <f t="shared" si="479"/>
        <v>Monitor</v>
      </c>
    </row>
    <row r="3037" spans="1:25" x14ac:dyDescent="0.35">
      <c r="A3037" t="s">
        <v>41</v>
      </c>
      <c r="B3037" t="s">
        <v>54</v>
      </c>
      <c r="C3037" t="s">
        <v>87</v>
      </c>
      <c r="D3037" t="s">
        <v>88</v>
      </c>
      <c r="E3037">
        <v>80859550</v>
      </c>
      <c r="F3037" t="s">
        <v>2122</v>
      </c>
      <c r="G3037" s="3">
        <v>46934</v>
      </c>
      <c r="H3037">
        <v>36</v>
      </c>
      <c r="I3037">
        <v>69</v>
      </c>
      <c r="J3037">
        <v>12</v>
      </c>
      <c r="K3037" s="4">
        <v>11519.64</v>
      </c>
      <c r="L3037" s="4">
        <f>0</f>
        <v>0</v>
      </c>
      <c r="M3037" s="4">
        <f>999</f>
        <v>999</v>
      </c>
      <c r="N3037" t="s">
        <v>19</v>
      </c>
      <c r="O3037" t="str">
        <f t="shared" si="470"/>
        <v>Low</v>
      </c>
      <c r="P3037" t="str">
        <f t="shared" si="471"/>
        <v>High</v>
      </c>
      <c r="Q3037" t="str">
        <f t="shared" si="472"/>
        <v>High</v>
      </c>
      <c r="R3037" t="s">
        <v>3317</v>
      </c>
      <c r="S3037" s="4">
        <f t="shared" ca="1" si="473"/>
        <v>737</v>
      </c>
      <c r="T3037">
        <f t="shared" si="474"/>
        <v>1</v>
      </c>
      <c r="U3037">
        <f t="shared" si="475"/>
        <v>3</v>
      </c>
      <c r="V3037">
        <f t="shared" si="476"/>
        <v>3</v>
      </c>
      <c r="W3037">
        <f t="shared" si="477"/>
        <v>1</v>
      </c>
      <c r="X3037">
        <f t="shared" si="478"/>
        <v>2</v>
      </c>
      <c r="Y3037" t="str">
        <f t="shared" si="479"/>
        <v>Monitor</v>
      </c>
    </row>
    <row r="3038" spans="1:25" x14ac:dyDescent="0.35">
      <c r="A3038" t="s">
        <v>71</v>
      </c>
      <c r="B3038" t="s">
        <v>72</v>
      </c>
      <c r="C3038" t="s">
        <v>73</v>
      </c>
      <c r="D3038" t="s">
        <v>2123</v>
      </c>
      <c r="E3038">
        <v>80867157</v>
      </c>
      <c r="F3038" t="s">
        <v>2124</v>
      </c>
      <c r="G3038" s="3">
        <v>47121</v>
      </c>
      <c r="H3038">
        <v>36</v>
      </c>
      <c r="I3038">
        <v>86</v>
      </c>
      <c r="J3038">
        <v>5</v>
      </c>
      <c r="K3038" s="4">
        <v>2799.9</v>
      </c>
      <c r="L3038" s="4">
        <v>56.428571428571431</v>
      </c>
      <c r="M3038" s="4">
        <v>8.8607594936708861E-2</v>
      </c>
      <c r="N3038" t="s">
        <v>25</v>
      </c>
      <c r="O3038" t="str">
        <f t="shared" si="470"/>
        <v>Low</v>
      </c>
      <c r="P3038" t="str">
        <f t="shared" si="471"/>
        <v>Low</v>
      </c>
      <c r="Q3038" t="str">
        <f t="shared" si="472"/>
        <v>Low</v>
      </c>
      <c r="R3038" t="s">
        <v>3317</v>
      </c>
      <c r="S3038" s="4">
        <f t="shared" ca="1" si="473"/>
        <v>924</v>
      </c>
      <c r="T3038">
        <f t="shared" si="474"/>
        <v>1</v>
      </c>
      <c r="U3038">
        <f t="shared" si="475"/>
        <v>1</v>
      </c>
      <c r="V3038">
        <f t="shared" si="476"/>
        <v>1</v>
      </c>
      <c r="W3038">
        <f t="shared" si="477"/>
        <v>1</v>
      </c>
      <c r="X3038">
        <f t="shared" si="478"/>
        <v>0.99999999999999989</v>
      </c>
      <c r="Y3038" t="str">
        <f t="shared" si="479"/>
        <v>Healthy</v>
      </c>
    </row>
    <row r="3039" spans="1:25" x14ac:dyDescent="0.35">
      <c r="A3039" t="s">
        <v>71</v>
      </c>
      <c r="B3039" t="s">
        <v>72</v>
      </c>
      <c r="C3039" t="s">
        <v>73</v>
      </c>
      <c r="D3039" t="s">
        <v>2123</v>
      </c>
      <c r="E3039">
        <v>80867157</v>
      </c>
      <c r="F3039" t="s">
        <v>2124</v>
      </c>
      <c r="G3039" s="3">
        <v>47018</v>
      </c>
      <c r="H3039">
        <v>36</v>
      </c>
      <c r="I3039">
        <v>76</v>
      </c>
      <c r="J3039">
        <v>13</v>
      </c>
      <c r="K3039" s="4">
        <v>7279.74</v>
      </c>
      <c r="L3039" s="4">
        <v>56.428571428571431</v>
      </c>
      <c r="M3039" s="4">
        <v>0.23037974683544302</v>
      </c>
      <c r="N3039" t="s">
        <v>25</v>
      </c>
      <c r="O3039" t="str">
        <f t="shared" si="470"/>
        <v>Low</v>
      </c>
      <c r="P3039" t="str">
        <f t="shared" si="471"/>
        <v>Low</v>
      </c>
      <c r="Q3039" t="str">
        <f t="shared" si="472"/>
        <v>Low</v>
      </c>
      <c r="R3039" t="s">
        <v>3317</v>
      </c>
      <c r="S3039" s="4">
        <f t="shared" ca="1" si="473"/>
        <v>821</v>
      </c>
      <c r="T3039">
        <f t="shared" si="474"/>
        <v>1</v>
      </c>
      <c r="U3039">
        <f t="shared" si="475"/>
        <v>1</v>
      </c>
      <c r="V3039">
        <f t="shared" si="476"/>
        <v>1</v>
      </c>
      <c r="W3039">
        <f t="shared" si="477"/>
        <v>1</v>
      </c>
      <c r="X3039">
        <f t="shared" si="478"/>
        <v>0.99999999999999989</v>
      </c>
      <c r="Y3039" t="str">
        <f t="shared" si="479"/>
        <v>Healthy</v>
      </c>
    </row>
    <row r="3040" spans="1:25" x14ac:dyDescent="0.35">
      <c r="A3040" t="s">
        <v>71</v>
      </c>
      <c r="B3040" t="s">
        <v>72</v>
      </c>
      <c r="C3040" t="s">
        <v>73</v>
      </c>
      <c r="D3040" t="s">
        <v>2123</v>
      </c>
      <c r="E3040">
        <v>80867157</v>
      </c>
      <c r="F3040" t="s">
        <v>2124</v>
      </c>
      <c r="G3040" s="3">
        <v>47041</v>
      </c>
      <c r="H3040">
        <v>36</v>
      </c>
      <c r="I3040">
        <v>79</v>
      </c>
      <c r="J3040">
        <v>9</v>
      </c>
      <c r="K3040" s="4">
        <v>5039.82</v>
      </c>
      <c r="L3040" s="4">
        <v>56.428571428571431</v>
      </c>
      <c r="M3040" s="4">
        <v>0.15949367088607594</v>
      </c>
      <c r="N3040" t="s">
        <v>25</v>
      </c>
      <c r="O3040" t="str">
        <f t="shared" si="470"/>
        <v>Low</v>
      </c>
      <c r="P3040" t="str">
        <f t="shared" si="471"/>
        <v>Low</v>
      </c>
      <c r="Q3040" t="str">
        <f t="shared" si="472"/>
        <v>Low</v>
      </c>
      <c r="R3040" t="s">
        <v>3317</v>
      </c>
      <c r="S3040" s="4">
        <f t="shared" ca="1" si="473"/>
        <v>844</v>
      </c>
      <c r="T3040">
        <f t="shared" si="474"/>
        <v>1</v>
      </c>
      <c r="U3040">
        <f t="shared" si="475"/>
        <v>1</v>
      </c>
      <c r="V3040">
        <f t="shared" si="476"/>
        <v>1</v>
      </c>
      <c r="W3040">
        <f t="shared" si="477"/>
        <v>1</v>
      </c>
      <c r="X3040">
        <f t="shared" si="478"/>
        <v>0.99999999999999989</v>
      </c>
      <c r="Y3040" t="str">
        <f t="shared" si="479"/>
        <v>Healthy</v>
      </c>
    </row>
    <row r="3041" spans="1:25" x14ac:dyDescent="0.35">
      <c r="A3041" t="s">
        <v>71</v>
      </c>
      <c r="B3041" t="s">
        <v>72</v>
      </c>
      <c r="C3041" t="s">
        <v>73</v>
      </c>
      <c r="D3041" t="s">
        <v>2123</v>
      </c>
      <c r="E3041">
        <v>80867157</v>
      </c>
      <c r="F3041" t="s">
        <v>2124</v>
      </c>
      <c r="G3041" s="3">
        <v>47041</v>
      </c>
      <c r="H3041">
        <v>36</v>
      </c>
      <c r="I3041">
        <v>79</v>
      </c>
      <c r="J3041">
        <v>9</v>
      </c>
      <c r="K3041" s="4">
        <v>5039.82</v>
      </c>
      <c r="L3041" s="4">
        <v>56.428571428571431</v>
      </c>
      <c r="M3041" s="4">
        <v>0.15949367088607594</v>
      </c>
      <c r="N3041" t="s">
        <v>25</v>
      </c>
      <c r="O3041" t="str">
        <f t="shared" si="470"/>
        <v>Low</v>
      </c>
      <c r="P3041" t="str">
        <f t="shared" si="471"/>
        <v>Low</v>
      </c>
      <c r="Q3041" t="str">
        <f t="shared" si="472"/>
        <v>Low</v>
      </c>
      <c r="R3041" t="s">
        <v>3317</v>
      </c>
      <c r="S3041" s="4">
        <f t="shared" ca="1" si="473"/>
        <v>844</v>
      </c>
      <c r="T3041">
        <f t="shared" si="474"/>
        <v>1</v>
      </c>
      <c r="U3041">
        <f t="shared" si="475"/>
        <v>1</v>
      </c>
      <c r="V3041">
        <f t="shared" si="476"/>
        <v>1</v>
      </c>
      <c r="W3041">
        <f t="shared" si="477"/>
        <v>1</v>
      </c>
      <c r="X3041">
        <f t="shared" si="478"/>
        <v>0.99999999999999989</v>
      </c>
      <c r="Y3041" t="str">
        <f t="shared" si="479"/>
        <v>Healthy</v>
      </c>
    </row>
    <row r="3042" spans="1:25" x14ac:dyDescent="0.35">
      <c r="A3042" t="s">
        <v>71</v>
      </c>
      <c r="B3042" t="s">
        <v>72</v>
      </c>
      <c r="C3042" t="s">
        <v>150</v>
      </c>
      <c r="D3042" t="s">
        <v>955</v>
      </c>
      <c r="E3042">
        <v>80866581</v>
      </c>
      <c r="F3042" t="s">
        <v>2125</v>
      </c>
      <c r="G3042" s="3">
        <v>47019</v>
      </c>
      <c r="H3042">
        <v>36</v>
      </c>
      <c r="I3042">
        <v>77</v>
      </c>
      <c r="J3042">
        <v>150</v>
      </c>
      <c r="K3042" s="4">
        <v>3240</v>
      </c>
      <c r="L3042" s="4">
        <v>334.71428571428572</v>
      </c>
      <c r="M3042" s="4">
        <v>0.44814340588988477</v>
      </c>
      <c r="N3042" t="s">
        <v>25</v>
      </c>
      <c r="O3042" t="str">
        <f t="shared" si="470"/>
        <v>Low</v>
      </c>
      <c r="P3042" t="str">
        <f t="shared" si="471"/>
        <v>Low</v>
      </c>
      <c r="Q3042" t="str">
        <f t="shared" si="472"/>
        <v>Low</v>
      </c>
      <c r="R3042" t="s">
        <v>3317</v>
      </c>
      <c r="S3042" s="4">
        <f t="shared" ca="1" si="473"/>
        <v>822</v>
      </c>
      <c r="T3042">
        <f t="shared" si="474"/>
        <v>1</v>
      </c>
      <c r="U3042">
        <f t="shared" si="475"/>
        <v>1</v>
      </c>
      <c r="V3042">
        <f t="shared" si="476"/>
        <v>1</v>
      </c>
      <c r="W3042">
        <f t="shared" si="477"/>
        <v>1</v>
      </c>
      <c r="X3042">
        <f t="shared" si="478"/>
        <v>0.99999999999999989</v>
      </c>
      <c r="Y3042" t="str">
        <f t="shared" si="479"/>
        <v>Healthy</v>
      </c>
    </row>
    <row r="3043" spans="1:25" x14ac:dyDescent="0.35">
      <c r="A3043" t="s">
        <v>71</v>
      </c>
      <c r="B3043" t="s">
        <v>72</v>
      </c>
      <c r="C3043" t="s">
        <v>150</v>
      </c>
      <c r="D3043" t="s">
        <v>955</v>
      </c>
      <c r="E3043">
        <v>80866581</v>
      </c>
      <c r="F3043" t="s">
        <v>2125</v>
      </c>
      <c r="G3043" s="3">
        <v>46974</v>
      </c>
      <c r="H3043">
        <v>36</v>
      </c>
      <c r="I3043">
        <v>72</v>
      </c>
      <c r="J3043">
        <v>4</v>
      </c>
      <c r="K3043" s="4">
        <v>86.4</v>
      </c>
      <c r="L3043" s="4">
        <v>334.71428571428572</v>
      </c>
      <c r="M3043" s="4">
        <v>1.195049082373026E-2</v>
      </c>
      <c r="N3043" t="s">
        <v>25</v>
      </c>
      <c r="O3043" t="str">
        <f t="shared" si="470"/>
        <v>Low</v>
      </c>
      <c r="P3043" t="str">
        <f t="shared" si="471"/>
        <v>Low</v>
      </c>
      <c r="Q3043" t="str">
        <f t="shared" si="472"/>
        <v>Low</v>
      </c>
      <c r="R3043" t="s">
        <v>3317</v>
      </c>
      <c r="S3043" s="4">
        <f t="shared" ca="1" si="473"/>
        <v>777</v>
      </c>
      <c r="T3043">
        <f t="shared" si="474"/>
        <v>1</v>
      </c>
      <c r="U3043">
        <f t="shared" si="475"/>
        <v>1</v>
      </c>
      <c r="V3043">
        <f t="shared" si="476"/>
        <v>1</v>
      </c>
      <c r="W3043">
        <f t="shared" si="477"/>
        <v>1</v>
      </c>
      <c r="X3043">
        <f t="shared" si="478"/>
        <v>0.99999999999999989</v>
      </c>
      <c r="Y3043" t="str">
        <f t="shared" si="479"/>
        <v>Healthy</v>
      </c>
    </row>
    <row r="3044" spans="1:25" x14ac:dyDescent="0.35">
      <c r="A3044" t="s">
        <v>71</v>
      </c>
      <c r="B3044" t="s">
        <v>72</v>
      </c>
      <c r="C3044" t="s">
        <v>150</v>
      </c>
      <c r="D3044" t="s">
        <v>955</v>
      </c>
      <c r="E3044">
        <v>80866581</v>
      </c>
      <c r="F3044" t="s">
        <v>2125</v>
      </c>
      <c r="G3044" s="3">
        <v>46971</v>
      </c>
      <c r="H3044">
        <v>36</v>
      </c>
      <c r="I3044">
        <v>72</v>
      </c>
      <c r="J3044">
        <v>22</v>
      </c>
      <c r="K3044" s="4">
        <v>475.2</v>
      </c>
      <c r="L3044" s="4">
        <v>334.71428571428572</v>
      </c>
      <c r="M3044" s="4">
        <v>6.5727699530516437E-2</v>
      </c>
      <c r="N3044" t="s">
        <v>25</v>
      </c>
      <c r="O3044" t="str">
        <f t="shared" si="470"/>
        <v>Low</v>
      </c>
      <c r="P3044" t="str">
        <f t="shared" si="471"/>
        <v>Low</v>
      </c>
      <c r="Q3044" t="str">
        <f t="shared" si="472"/>
        <v>Low</v>
      </c>
      <c r="R3044" t="s">
        <v>3317</v>
      </c>
      <c r="S3044" s="4">
        <f t="shared" ca="1" si="473"/>
        <v>774</v>
      </c>
      <c r="T3044">
        <f t="shared" si="474"/>
        <v>1</v>
      </c>
      <c r="U3044">
        <f t="shared" si="475"/>
        <v>1</v>
      </c>
      <c r="V3044">
        <f t="shared" si="476"/>
        <v>1</v>
      </c>
      <c r="W3044">
        <f t="shared" si="477"/>
        <v>1</v>
      </c>
      <c r="X3044">
        <f t="shared" si="478"/>
        <v>0.99999999999999989</v>
      </c>
      <c r="Y3044" t="str">
        <f t="shared" si="479"/>
        <v>Healthy</v>
      </c>
    </row>
    <row r="3045" spans="1:25" x14ac:dyDescent="0.35">
      <c r="A3045" t="s">
        <v>71</v>
      </c>
      <c r="B3045" t="s">
        <v>72</v>
      </c>
      <c r="C3045" t="s">
        <v>150</v>
      </c>
      <c r="D3045" t="s">
        <v>955</v>
      </c>
      <c r="E3045">
        <v>80866581</v>
      </c>
      <c r="F3045" t="s">
        <v>2125</v>
      </c>
      <c r="G3045" s="3">
        <v>46952</v>
      </c>
      <c r="H3045">
        <v>36</v>
      </c>
      <c r="I3045">
        <v>70</v>
      </c>
      <c r="J3045">
        <v>172</v>
      </c>
      <c r="K3045" s="4">
        <v>3715.2</v>
      </c>
      <c r="L3045" s="4">
        <v>334.71428571428572</v>
      </c>
      <c r="M3045" s="4">
        <v>0.51387110542040115</v>
      </c>
      <c r="N3045" t="s">
        <v>25</v>
      </c>
      <c r="O3045" t="str">
        <f t="shared" si="470"/>
        <v>Low</v>
      </c>
      <c r="P3045" t="str">
        <f t="shared" si="471"/>
        <v>Low</v>
      </c>
      <c r="Q3045" t="str">
        <f t="shared" si="472"/>
        <v>Low</v>
      </c>
      <c r="R3045" t="s">
        <v>3317</v>
      </c>
      <c r="S3045" s="4">
        <f t="shared" ca="1" si="473"/>
        <v>755</v>
      </c>
      <c r="T3045">
        <f t="shared" si="474"/>
        <v>1</v>
      </c>
      <c r="U3045">
        <f t="shared" si="475"/>
        <v>1</v>
      </c>
      <c r="V3045">
        <f t="shared" si="476"/>
        <v>1</v>
      </c>
      <c r="W3045">
        <f t="shared" si="477"/>
        <v>1</v>
      </c>
      <c r="X3045">
        <f t="shared" si="478"/>
        <v>0.99999999999999989</v>
      </c>
      <c r="Y3045" t="str">
        <f t="shared" si="479"/>
        <v>Healthy</v>
      </c>
    </row>
    <row r="3046" spans="1:25" x14ac:dyDescent="0.35">
      <c r="A3046" t="s">
        <v>71</v>
      </c>
      <c r="B3046" t="s">
        <v>72</v>
      </c>
      <c r="C3046" t="s">
        <v>150</v>
      </c>
      <c r="D3046" t="s">
        <v>955</v>
      </c>
      <c r="E3046">
        <v>80866581</v>
      </c>
      <c r="F3046" t="s">
        <v>2125</v>
      </c>
      <c r="G3046" s="3">
        <v>46948</v>
      </c>
      <c r="H3046">
        <v>36</v>
      </c>
      <c r="I3046">
        <v>70</v>
      </c>
      <c r="J3046">
        <v>118</v>
      </c>
      <c r="K3046" s="4">
        <v>2548.8000000000002</v>
      </c>
      <c r="L3046" s="4">
        <v>334.71428571428572</v>
      </c>
      <c r="M3046" s="4">
        <v>0.35253947930004265</v>
      </c>
      <c r="N3046" t="s">
        <v>25</v>
      </c>
      <c r="O3046" t="str">
        <f t="shared" si="470"/>
        <v>Low</v>
      </c>
      <c r="P3046" t="str">
        <f t="shared" si="471"/>
        <v>Low</v>
      </c>
      <c r="Q3046" t="str">
        <f t="shared" si="472"/>
        <v>Low</v>
      </c>
      <c r="R3046" t="s">
        <v>3317</v>
      </c>
      <c r="S3046" s="4">
        <f t="shared" ca="1" si="473"/>
        <v>751</v>
      </c>
      <c r="T3046">
        <f t="shared" si="474"/>
        <v>1</v>
      </c>
      <c r="U3046">
        <f t="shared" si="475"/>
        <v>1</v>
      </c>
      <c r="V3046">
        <f t="shared" si="476"/>
        <v>1</v>
      </c>
      <c r="W3046">
        <f t="shared" si="477"/>
        <v>1</v>
      </c>
      <c r="X3046">
        <f t="shared" si="478"/>
        <v>0.99999999999999989</v>
      </c>
      <c r="Y3046" t="str">
        <f t="shared" si="479"/>
        <v>Healthy</v>
      </c>
    </row>
    <row r="3047" spans="1:25" x14ac:dyDescent="0.35">
      <c r="A3047" t="s">
        <v>71</v>
      </c>
      <c r="B3047" t="s">
        <v>72</v>
      </c>
      <c r="C3047" t="s">
        <v>150</v>
      </c>
      <c r="D3047" t="s">
        <v>955</v>
      </c>
      <c r="E3047">
        <v>80866581</v>
      </c>
      <c r="F3047" t="s">
        <v>2125</v>
      </c>
      <c r="G3047" s="3">
        <v>47008</v>
      </c>
      <c r="H3047">
        <v>36</v>
      </c>
      <c r="I3047">
        <v>76</v>
      </c>
      <c r="J3047">
        <v>190</v>
      </c>
      <c r="K3047" s="4">
        <v>4104</v>
      </c>
      <c r="L3047" s="4">
        <v>334.71428571428572</v>
      </c>
      <c r="M3047" s="4">
        <v>0.5676483141271873</v>
      </c>
      <c r="N3047" t="s">
        <v>25</v>
      </c>
      <c r="O3047" t="str">
        <f t="shared" si="470"/>
        <v>Low</v>
      </c>
      <c r="P3047" t="str">
        <f t="shared" si="471"/>
        <v>Low</v>
      </c>
      <c r="Q3047" t="str">
        <f t="shared" si="472"/>
        <v>Low</v>
      </c>
      <c r="R3047" t="s">
        <v>3317</v>
      </c>
      <c r="S3047" s="4">
        <f t="shared" ca="1" si="473"/>
        <v>811</v>
      </c>
      <c r="T3047">
        <f t="shared" si="474"/>
        <v>1</v>
      </c>
      <c r="U3047">
        <f t="shared" si="475"/>
        <v>1</v>
      </c>
      <c r="V3047">
        <f t="shared" si="476"/>
        <v>1</v>
      </c>
      <c r="W3047">
        <f t="shared" si="477"/>
        <v>1</v>
      </c>
      <c r="X3047">
        <f t="shared" si="478"/>
        <v>0.99999999999999989</v>
      </c>
      <c r="Y3047" t="str">
        <f t="shared" si="479"/>
        <v>Healthy</v>
      </c>
    </row>
    <row r="3048" spans="1:25" x14ac:dyDescent="0.35">
      <c r="A3048" t="s">
        <v>71</v>
      </c>
      <c r="B3048" t="s">
        <v>72</v>
      </c>
      <c r="C3048" t="s">
        <v>73</v>
      </c>
      <c r="D3048" t="s">
        <v>1979</v>
      </c>
      <c r="E3048">
        <v>80867163</v>
      </c>
      <c r="F3048" t="s">
        <v>2126</v>
      </c>
      <c r="G3048" s="3">
        <v>47029</v>
      </c>
      <c r="H3048">
        <v>36</v>
      </c>
      <c r="I3048">
        <v>78</v>
      </c>
      <c r="J3048">
        <v>5</v>
      </c>
      <c r="K3048" s="4">
        <v>2995.9</v>
      </c>
      <c r="L3048" s="4">
        <v>177.85714285714286</v>
      </c>
      <c r="M3048" s="4">
        <v>2.8112449799196786E-2</v>
      </c>
      <c r="N3048" t="s">
        <v>25</v>
      </c>
      <c r="O3048" t="str">
        <f t="shared" si="470"/>
        <v>Low</v>
      </c>
      <c r="P3048" t="str">
        <f t="shared" si="471"/>
        <v>Low</v>
      </c>
      <c r="Q3048" t="str">
        <f t="shared" si="472"/>
        <v>Low</v>
      </c>
      <c r="R3048" t="s">
        <v>3317</v>
      </c>
      <c r="S3048" s="4">
        <f t="shared" ca="1" si="473"/>
        <v>832</v>
      </c>
      <c r="T3048">
        <f t="shared" si="474"/>
        <v>1</v>
      </c>
      <c r="U3048">
        <f t="shared" si="475"/>
        <v>1</v>
      </c>
      <c r="V3048">
        <f t="shared" si="476"/>
        <v>1</v>
      </c>
      <c r="W3048">
        <f t="shared" si="477"/>
        <v>1</v>
      </c>
      <c r="X3048">
        <f t="shared" si="478"/>
        <v>0.99999999999999989</v>
      </c>
      <c r="Y3048" t="str">
        <f t="shared" si="479"/>
        <v>Healthy</v>
      </c>
    </row>
    <row r="3049" spans="1:25" x14ac:dyDescent="0.35">
      <c r="A3049" t="s">
        <v>90</v>
      </c>
      <c r="B3049" t="s">
        <v>217</v>
      </c>
      <c r="C3049" t="s">
        <v>218</v>
      </c>
      <c r="D3049" t="s">
        <v>2127</v>
      </c>
      <c r="E3049">
        <v>80869898</v>
      </c>
      <c r="F3049" t="s">
        <v>2128</v>
      </c>
      <c r="G3049" s="3">
        <v>46908</v>
      </c>
      <c r="H3049">
        <v>24</v>
      </c>
      <c r="I3049">
        <v>99</v>
      </c>
      <c r="J3049">
        <v>71</v>
      </c>
      <c r="K3049" s="4">
        <v>194531.48</v>
      </c>
      <c r="L3049" s="4">
        <v>449.42857142857144</v>
      </c>
      <c r="M3049" s="4">
        <v>0.15797838525111252</v>
      </c>
      <c r="N3049" t="s">
        <v>25</v>
      </c>
      <c r="O3049" t="str">
        <f t="shared" si="470"/>
        <v>Low</v>
      </c>
      <c r="P3049" t="str">
        <f t="shared" si="471"/>
        <v>Low</v>
      </c>
      <c r="Q3049" t="str">
        <f t="shared" si="472"/>
        <v>Low</v>
      </c>
      <c r="R3049" t="s">
        <v>3309</v>
      </c>
      <c r="S3049" s="4">
        <f t="shared" ca="1" si="473"/>
        <v>711</v>
      </c>
      <c r="T3049">
        <f t="shared" si="474"/>
        <v>1</v>
      </c>
      <c r="U3049">
        <f t="shared" si="475"/>
        <v>1</v>
      </c>
      <c r="V3049">
        <f t="shared" si="476"/>
        <v>1</v>
      </c>
      <c r="W3049">
        <f t="shared" si="477"/>
        <v>3</v>
      </c>
      <c r="X3049">
        <f t="shared" si="478"/>
        <v>1.2</v>
      </c>
      <c r="Y3049" t="str">
        <f t="shared" si="479"/>
        <v>Healthy</v>
      </c>
    </row>
    <row r="3050" spans="1:25" x14ac:dyDescent="0.35">
      <c r="A3050" t="s">
        <v>90</v>
      </c>
      <c r="B3050" t="s">
        <v>217</v>
      </c>
      <c r="C3050" t="s">
        <v>218</v>
      </c>
      <c r="D3050" t="s">
        <v>2127</v>
      </c>
      <c r="E3050">
        <v>80869898</v>
      </c>
      <c r="F3050" t="s">
        <v>2128</v>
      </c>
      <c r="G3050" s="3">
        <v>46887</v>
      </c>
      <c r="H3050">
        <v>24</v>
      </c>
      <c r="I3050">
        <v>97</v>
      </c>
      <c r="J3050">
        <v>61</v>
      </c>
      <c r="K3050" s="4">
        <v>167132.68</v>
      </c>
      <c r="L3050" s="4">
        <v>449.42857142857144</v>
      </c>
      <c r="M3050" s="4">
        <v>0.13572790845518118</v>
      </c>
      <c r="N3050" t="s">
        <v>25</v>
      </c>
      <c r="O3050" t="str">
        <f t="shared" si="470"/>
        <v>Low</v>
      </c>
      <c r="P3050" t="str">
        <f t="shared" si="471"/>
        <v>Low</v>
      </c>
      <c r="Q3050" t="str">
        <f t="shared" si="472"/>
        <v>Low</v>
      </c>
      <c r="R3050" t="s">
        <v>3309</v>
      </c>
      <c r="S3050" s="4">
        <f t="shared" ca="1" si="473"/>
        <v>690</v>
      </c>
      <c r="T3050">
        <f t="shared" si="474"/>
        <v>1</v>
      </c>
      <c r="U3050">
        <f t="shared" si="475"/>
        <v>1</v>
      </c>
      <c r="V3050">
        <f t="shared" si="476"/>
        <v>1</v>
      </c>
      <c r="W3050">
        <f t="shared" si="477"/>
        <v>3</v>
      </c>
      <c r="X3050">
        <f t="shared" si="478"/>
        <v>1.2</v>
      </c>
      <c r="Y3050" t="str">
        <f t="shared" si="479"/>
        <v>Healthy</v>
      </c>
    </row>
    <row r="3051" spans="1:25" x14ac:dyDescent="0.35">
      <c r="A3051" t="s">
        <v>29</v>
      </c>
      <c r="B3051" t="s">
        <v>30</v>
      </c>
      <c r="C3051" t="s">
        <v>449</v>
      </c>
      <c r="D3051" t="s">
        <v>536</v>
      </c>
      <c r="E3051">
        <v>80859865</v>
      </c>
      <c r="F3051" t="s">
        <v>2129</v>
      </c>
      <c r="G3051" s="3">
        <v>46949</v>
      </c>
      <c r="H3051">
        <v>36</v>
      </c>
      <c r="I3051">
        <v>70</v>
      </c>
      <c r="J3051">
        <v>18</v>
      </c>
      <c r="K3051" s="4">
        <v>24025.86</v>
      </c>
      <c r="L3051" s="4">
        <v>374.57142857142856</v>
      </c>
      <c r="M3051" s="4">
        <v>4.8054919908466824E-2</v>
      </c>
      <c r="N3051" t="s">
        <v>25</v>
      </c>
      <c r="O3051" t="str">
        <f t="shared" si="470"/>
        <v>Low</v>
      </c>
      <c r="P3051" t="str">
        <f t="shared" si="471"/>
        <v>Low</v>
      </c>
      <c r="Q3051" t="str">
        <f t="shared" si="472"/>
        <v>Low</v>
      </c>
      <c r="R3051" t="s">
        <v>3317</v>
      </c>
      <c r="S3051" s="4">
        <f t="shared" ca="1" si="473"/>
        <v>752</v>
      </c>
      <c r="T3051">
        <f t="shared" si="474"/>
        <v>1</v>
      </c>
      <c r="U3051">
        <f t="shared" si="475"/>
        <v>1</v>
      </c>
      <c r="V3051">
        <f t="shared" si="476"/>
        <v>1</v>
      </c>
      <c r="W3051">
        <f t="shared" si="477"/>
        <v>1</v>
      </c>
      <c r="X3051">
        <f t="shared" si="478"/>
        <v>0.99999999999999989</v>
      </c>
      <c r="Y3051" t="str">
        <f t="shared" si="479"/>
        <v>Healthy</v>
      </c>
    </row>
    <row r="3052" spans="1:25" x14ac:dyDescent="0.35">
      <c r="A3052" t="s">
        <v>41</v>
      </c>
      <c r="B3052" t="s">
        <v>54</v>
      </c>
      <c r="C3052" t="s">
        <v>87</v>
      </c>
      <c r="D3052" t="s">
        <v>2130</v>
      </c>
      <c r="E3052">
        <v>80872424</v>
      </c>
      <c r="F3052" t="s">
        <v>2131</v>
      </c>
      <c r="G3052" s="3">
        <v>46928</v>
      </c>
      <c r="H3052">
        <v>36</v>
      </c>
      <c r="I3052">
        <v>68</v>
      </c>
      <c r="J3052">
        <v>2</v>
      </c>
      <c r="K3052" s="4">
        <v>2417.52</v>
      </c>
      <c r="L3052" s="4">
        <v>1.1428571428571428</v>
      </c>
      <c r="M3052" s="4">
        <v>1.75</v>
      </c>
      <c r="N3052" t="s">
        <v>25</v>
      </c>
      <c r="O3052" t="str">
        <f t="shared" si="470"/>
        <v>Low</v>
      </c>
      <c r="P3052" t="str">
        <f t="shared" si="471"/>
        <v>Low</v>
      </c>
      <c r="Q3052" t="str">
        <f t="shared" si="472"/>
        <v>High</v>
      </c>
      <c r="R3052" t="s">
        <v>3317</v>
      </c>
      <c r="S3052" s="4">
        <f t="shared" ca="1" si="473"/>
        <v>731</v>
      </c>
      <c r="T3052">
        <f t="shared" si="474"/>
        <v>1</v>
      </c>
      <c r="U3052">
        <f t="shared" si="475"/>
        <v>1</v>
      </c>
      <c r="V3052">
        <f t="shared" si="476"/>
        <v>3</v>
      </c>
      <c r="W3052">
        <f t="shared" si="477"/>
        <v>1</v>
      </c>
      <c r="X3052">
        <f t="shared" si="478"/>
        <v>1.4000000000000001</v>
      </c>
      <c r="Y3052" t="str">
        <f t="shared" si="479"/>
        <v>Healthy</v>
      </c>
    </row>
    <row r="3053" spans="1:25" x14ac:dyDescent="0.35">
      <c r="A3053" t="s">
        <v>41</v>
      </c>
      <c r="B3053" t="s">
        <v>42</v>
      </c>
      <c r="C3053" t="s">
        <v>121</v>
      </c>
      <c r="D3053" t="s">
        <v>2132</v>
      </c>
      <c r="E3053">
        <v>80742579</v>
      </c>
      <c r="F3053" t="s">
        <v>2133</v>
      </c>
      <c r="G3053" s="3">
        <v>46503</v>
      </c>
      <c r="H3053">
        <v>36</v>
      </c>
      <c r="I3053">
        <v>29</v>
      </c>
      <c r="J3053">
        <v>2</v>
      </c>
      <c r="K3053" s="4">
        <v>348.92</v>
      </c>
      <c r="L3053" s="4">
        <f>0</f>
        <v>0</v>
      </c>
      <c r="M3053" s="4">
        <f>999</f>
        <v>999</v>
      </c>
      <c r="N3053" t="s">
        <v>19</v>
      </c>
      <c r="O3053" t="str">
        <f t="shared" si="470"/>
        <v>Medium</v>
      </c>
      <c r="P3053" t="str">
        <f t="shared" si="471"/>
        <v>High</v>
      </c>
      <c r="Q3053" t="str">
        <f t="shared" si="472"/>
        <v>High</v>
      </c>
      <c r="R3053" t="s">
        <v>3317</v>
      </c>
      <c r="S3053" s="4">
        <f t="shared" ca="1" si="473"/>
        <v>306</v>
      </c>
      <c r="T3053">
        <f t="shared" si="474"/>
        <v>2</v>
      </c>
      <c r="U3053">
        <f t="shared" si="475"/>
        <v>3</v>
      </c>
      <c r="V3053">
        <f t="shared" si="476"/>
        <v>3</v>
      </c>
      <c r="W3053">
        <f t="shared" si="477"/>
        <v>1</v>
      </c>
      <c r="X3053">
        <f t="shared" si="478"/>
        <v>2.4</v>
      </c>
      <c r="Y3053" t="str">
        <f t="shared" si="479"/>
        <v>High Priority</v>
      </c>
    </row>
    <row r="3054" spans="1:25" x14ac:dyDescent="0.35">
      <c r="A3054" t="s">
        <v>179</v>
      </c>
      <c r="B3054" t="s">
        <v>223</v>
      </c>
      <c r="C3054" t="s">
        <v>357</v>
      </c>
      <c r="D3054" t="s">
        <v>2134</v>
      </c>
      <c r="E3054">
        <v>80873152</v>
      </c>
      <c r="F3054" t="s">
        <v>2135</v>
      </c>
      <c r="G3054" s="3">
        <v>46471</v>
      </c>
      <c r="H3054">
        <v>18</v>
      </c>
      <c r="I3054">
        <v>52</v>
      </c>
      <c r="J3054">
        <v>1</v>
      </c>
      <c r="K3054" s="4">
        <v>2782.62</v>
      </c>
      <c r="L3054" s="4">
        <v>3</v>
      </c>
      <c r="M3054" s="4">
        <v>0.33333333333333331</v>
      </c>
      <c r="N3054" t="s">
        <v>25</v>
      </c>
      <c r="O3054" t="str">
        <f t="shared" si="470"/>
        <v>Low</v>
      </c>
      <c r="P3054" t="str">
        <f t="shared" si="471"/>
        <v>Low</v>
      </c>
      <c r="Q3054" t="str">
        <f t="shared" si="472"/>
        <v>High</v>
      </c>
      <c r="R3054" t="s">
        <v>3317</v>
      </c>
      <c r="S3054" s="4">
        <f t="shared" ca="1" si="473"/>
        <v>274</v>
      </c>
      <c r="T3054">
        <f t="shared" si="474"/>
        <v>1</v>
      </c>
      <c r="U3054">
        <f t="shared" si="475"/>
        <v>1</v>
      </c>
      <c r="V3054">
        <f t="shared" si="476"/>
        <v>3</v>
      </c>
      <c r="W3054">
        <f t="shared" si="477"/>
        <v>1</v>
      </c>
      <c r="X3054">
        <f t="shared" si="478"/>
        <v>1.4000000000000001</v>
      </c>
      <c r="Y3054" t="str">
        <f t="shared" si="479"/>
        <v>Healthy</v>
      </c>
    </row>
    <row r="3055" spans="1:25" x14ac:dyDescent="0.35">
      <c r="A3055" t="s">
        <v>179</v>
      </c>
      <c r="B3055" t="s">
        <v>180</v>
      </c>
      <c r="C3055" t="s">
        <v>181</v>
      </c>
      <c r="D3055" t="s">
        <v>2136</v>
      </c>
      <c r="E3055">
        <v>80880757</v>
      </c>
      <c r="F3055" t="s">
        <v>2137</v>
      </c>
      <c r="G3055" s="3">
        <v>46433</v>
      </c>
      <c r="H3055">
        <v>16</v>
      </c>
      <c r="I3055">
        <v>50</v>
      </c>
      <c r="J3055">
        <v>11</v>
      </c>
      <c r="K3055" s="4">
        <v>6345.57</v>
      </c>
      <c r="L3055" s="4">
        <v>4.2857142857142856</v>
      </c>
      <c r="M3055" s="4">
        <v>2.5666666666666669</v>
      </c>
      <c r="N3055" t="s">
        <v>25</v>
      </c>
      <c r="O3055" t="str">
        <f t="shared" si="470"/>
        <v>Low</v>
      </c>
      <c r="P3055" t="str">
        <f t="shared" si="471"/>
        <v>Low</v>
      </c>
      <c r="Q3055" t="str">
        <f t="shared" si="472"/>
        <v>High</v>
      </c>
      <c r="R3055" t="s">
        <v>3317</v>
      </c>
      <c r="S3055" s="4">
        <f t="shared" ca="1" si="473"/>
        <v>236</v>
      </c>
      <c r="T3055">
        <f t="shared" si="474"/>
        <v>1</v>
      </c>
      <c r="U3055">
        <f t="shared" si="475"/>
        <v>1</v>
      </c>
      <c r="V3055">
        <f t="shared" si="476"/>
        <v>3</v>
      </c>
      <c r="W3055">
        <f t="shared" si="477"/>
        <v>1</v>
      </c>
      <c r="X3055">
        <f t="shared" si="478"/>
        <v>1.4000000000000001</v>
      </c>
      <c r="Y3055" t="str">
        <f t="shared" si="479"/>
        <v>Healthy</v>
      </c>
    </row>
    <row r="3056" spans="1:25" x14ac:dyDescent="0.35">
      <c r="A3056" t="s">
        <v>41</v>
      </c>
      <c r="B3056" t="s">
        <v>42</v>
      </c>
      <c r="C3056" t="s">
        <v>43</v>
      </c>
      <c r="D3056" t="s">
        <v>221</v>
      </c>
      <c r="E3056">
        <v>80752244</v>
      </c>
      <c r="F3056" t="s">
        <v>2138</v>
      </c>
      <c r="G3056" s="3">
        <v>46343</v>
      </c>
      <c r="H3056">
        <v>36</v>
      </c>
      <c r="I3056">
        <v>14</v>
      </c>
      <c r="J3056">
        <v>1</v>
      </c>
      <c r="K3056" s="4">
        <v>590.54999999999995</v>
      </c>
      <c r="L3056" s="4">
        <f>0</f>
        <v>0</v>
      </c>
      <c r="M3056" s="4">
        <f>999</f>
        <v>999</v>
      </c>
      <c r="N3056" t="s">
        <v>19</v>
      </c>
      <c r="O3056" t="str">
        <f t="shared" si="470"/>
        <v>High</v>
      </c>
      <c r="P3056" t="str">
        <f t="shared" si="471"/>
        <v>High</v>
      </c>
      <c r="Q3056" t="str">
        <f t="shared" si="472"/>
        <v>High</v>
      </c>
      <c r="R3056" t="s">
        <v>3317</v>
      </c>
      <c r="S3056" s="4">
        <f t="shared" ca="1" si="473"/>
        <v>146</v>
      </c>
      <c r="T3056">
        <f t="shared" si="474"/>
        <v>3</v>
      </c>
      <c r="U3056">
        <f t="shared" si="475"/>
        <v>3</v>
      </c>
      <c r="V3056">
        <f t="shared" si="476"/>
        <v>3</v>
      </c>
      <c r="W3056">
        <f t="shared" si="477"/>
        <v>1</v>
      </c>
      <c r="X3056">
        <f t="shared" si="478"/>
        <v>2.8000000000000003</v>
      </c>
      <c r="Y3056" t="str">
        <f t="shared" si="479"/>
        <v>Move Immediately</v>
      </c>
    </row>
    <row r="3057" spans="1:25" x14ac:dyDescent="0.35">
      <c r="A3057" t="s">
        <v>179</v>
      </c>
      <c r="B3057" t="s">
        <v>180</v>
      </c>
      <c r="C3057" t="s">
        <v>181</v>
      </c>
      <c r="D3057" t="s">
        <v>2136</v>
      </c>
      <c r="E3057">
        <v>80880757</v>
      </c>
      <c r="F3057" t="s">
        <v>2137</v>
      </c>
      <c r="G3057" s="3">
        <v>46388</v>
      </c>
      <c r="H3057">
        <v>16</v>
      </c>
      <c r="I3057">
        <v>41</v>
      </c>
      <c r="J3057">
        <v>5</v>
      </c>
      <c r="K3057" s="4">
        <v>2884.35</v>
      </c>
      <c r="L3057" s="4">
        <v>4.2857142857142856</v>
      </c>
      <c r="M3057" s="4">
        <v>1.1666666666666667</v>
      </c>
      <c r="N3057" t="s">
        <v>25</v>
      </c>
      <c r="O3057" t="str">
        <f t="shared" si="470"/>
        <v>Low</v>
      </c>
      <c r="P3057" t="str">
        <f t="shared" si="471"/>
        <v>Low</v>
      </c>
      <c r="Q3057" t="str">
        <f t="shared" si="472"/>
        <v>High</v>
      </c>
      <c r="R3057" t="s">
        <v>3317</v>
      </c>
      <c r="S3057" s="4">
        <f t="shared" ca="1" si="473"/>
        <v>191</v>
      </c>
      <c r="T3057">
        <f t="shared" si="474"/>
        <v>1</v>
      </c>
      <c r="U3057">
        <f t="shared" si="475"/>
        <v>1</v>
      </c>
      <c r="V3057">
        <f t="shared" si="476"/>
        <v>3</v>
      </c>
      <c r="W3057">
        <f t="shared" si="477"/>
        <v>1</v>
      </c>
      <c r="X3057">
        <f t="shared" si="478"/>
        <v>1.4000000000000001</v>
      </c>
      <c r="Y3057" t="str">
        <f t="shared" si="479"/>
        <v>Healthy</v>
      </c>
    </row>
    <row r="3058" spans="1:25" x14ac:dyDescent="0.35">
      <c r="A3058" t="s">
        <v>41</v>
      </c>
      <c r="B3058" t="s">
        <v>42</v>
      </c>
      <c r="C3058" t="s">
        <v>43</v>
      </c>
      <c r="D3058" t="s">
        <v>221</v>
      </c>
      <c r="E3058">
        <v>80752244</v>
      </c>
      <c r="F3058" t="s">
        <v>2138</v>
      </c>
      <c r="G3058" s="3">
        <v>46241</v>
      </c>
      <c r="H3058">
        <v>36</v>
      </c>
      <c r="I3058">
        <v>5</v>
      </c>
      <c r="J3058">
        <v>5</v>
      </c>
      <c r="K3058" s="4">
        <v>2952.75</v>
      </c>
      <c r="L3058" s="4">
        <f>0</f>
        <v>0</v>
      </c>
      <c r="M3058" s="4">
        <f>999</f>
        <v>999</v>
      </c>
      <c r="N3058" t="s">
        <v>19</v>
      </c>
      <c r="O3058" t="str">
        <f t="shared" si="470"/>
        <v>High</v>
      </c>
      <c r="P3058" t="str">
        <f t="shared" si="471"/>
        <v>High</v>
      </c>
      <c r="Q3058" t="str">
        <f t="shared" si="472"/>
        <v>High</v>
      </c>
      <c r="R3058" t="s">
        <v>3317</v>
      </c>
      <c r="S3058" s="4">
        <f t="shared" ca="1" si="473"/>
        <v>44</v>
      </c>
      <c r="T3058">
        <f t="shared" si="474"/>
        <v>3</v>
      </c>
      <c r="U3058">
        <f t="shared" si="475"/>
        <v>3</v>
      </c>
      <c r="V3058">
        <f t="shared" si="476"/>
        <v>3</v>
      </c>
      <c r="W3058">
        <f t="shared" si="477"/>
        <v>1</v>
      </c>
      <c r="X3058">
        <f t="shared" si="478"/>
        <v>2.8000000000000003</v>
      </c>
      <c r="Y3058" t="str">
        <f t="shared" si="479"/>
        <v>Move Immediately</v>
      </c>
    </row>
    <row r="3059" spans="1:25" x14ac:dyDescent="0.35">
      <c r="A3059" t="s">
        <v>179</v>
      </c>
      <c r="B3059" t="s">
        <v>180</v>
      </c>
      <c r="C3059" t="s">
        <v>181</v>
      </c>
      <c r="D3059" t="s">
        <v>2136</v>
      </c>
      <c r="E3059">
        <v>80880757</v>
      </c>
      <c r="F3059" t="s">
        <v>2137</v>
      </c>
      <c r="G3059" s="3">
        <v>46397</v>
      </c>
      <c r="H3059">
        <v>16</v>
      </c>
      <c r="I3059">
        <v>43</v>
      </c>
      <c r="J3059">
        <v>3</v>
      </c>
      <c r="K3059" s="4">
        <v>1730.61</v>
      </c>
      <c r="L3059" s="4">
        <v>4.2857142857142856</v>
      </c>
      <c r="M3059" s="4">
        <v>0.70000000000000007</v>
      </c>
      <c r="N3059" t="s">
        <v>25</v>
      </c>
      <c r="O3059" t="str">
        <f t="shared" si="470"/>
        <v>Low</v>
      </c>
      <c r="P3059" t="str">
        <f t="shared" si="471"/>
        <v>Low</v>
      </c>
      <c r="Q3059" t="str">
        <f t="shared" si="472"/>
        <v>High</v>
      </c>
      <c r="R3059" t="s">
        <v>3317</v>
      </c>
      <c r="S3059" s="4">
        <f t="shared" ca="1" si="473"/>
        <v>200</v>
      </c>
      <c r="T3059">
        <f t="shared" si="474"/>
        <v>1</v>
      </c>
      <c r="U3059">
        <f t="shared" si="475"/>
        <v>1</v>
      </c>
      <c r="V3059">
        <f t="shared" si="476"/>
        <v>3</v>
      </c>
      <c r="W3059">
        <f t="shared" si="477"/>
        <v>1</v>
      </c>
      <c r="X3059">
        <f t="shared" si="478"/>
        <v>1.4000000000000001</v>
      </c>
      <c r="Y3059" t="str">
        <f t="shared" si="479"/>
        <v>Healthy</v>
      </c>
    </row>
    <row r="3060" spans="1:25" x14ac:dyDescent="0.35">
      <c r="A3060" t="s">
        <v>41</v>
      </c>
      <c r="B3060" t="s">
        <v>42</v>
      </c>
      <c r="C3060" t="s">
        <v>43</v>
      </c>
      <c r="D3060" t="s">
        <v>221</v>
      </c>
      <c r="E3060">
        <v>80752244</v>
      </c>
      <c r="F3060" t="s">
        <v>2138</v>
      </c>
      <c r="G3060" s="3">
        <v>46297</v>
      </c>
      <c r="H3060">
        <v>36</v>
      </c>
      <c r="I3060">
        <v>10</v>
      </c>
      <c r="J3060">
        <v>8</v>
      </c>
      <c r="K3060" s="4">
        <v>4724.3999999999996</v>
      </c>
      <c r="L3060" s="4">
        <f>0</f>
        <v>0</v>
      </c>
      <c r="M3060" s="4">
        <f>999</f>
        <v>999</v>
      </c>
      <c r="N3060" t="s">
        <v>19</v>
      </c>
      <c r="O3060" t="str">
        <f t="shared" si="470"/>
        <v>High</v>
      </c>
      <c r="P3060" t="str">
        <f t="shared" si="471"/>
        <v>High</v>
      </c>
      <c r="Q3060" t="str">
        <f t="shared" si="472"/>
        <v>High</v>
      </c>
      <c r="R3060" t="s">
        <v>3317</v>
      </c>
      <c r="S3060" s="4">
        <f t="shared" ca="1" si="473"/>
        <v>100</v>
      </c>
      <c r="T3060">
        <f t="shared" si="474"/>
        <v>3</v>
      </c>
      <c r="U3060">
        <f t="shared" si="475"/>
        <v>3</v>
      </c>
      <c r="V3060">
        <f t="shared" si="476"/>
        <v>3</v>
      </c>
      <c r="W3060">
        <f t="shared" si="477"/>
        <v>1</v>
      </c>
      <c r="X3060">
        <f t="shared" si="478"/>
        <v>2.8000000000000003</v>
      </c>
      <c r="Y3060" t="str">
        <f t="shared" si="479"/>
        <v>Move Immediately</v>
      </c>
    </row>
    <row r="3061" spans="1:25" x14ac:dyDescent="0.35">
      <c r="A3061" t="s">
        <v>41</v>
      </c>
      <c r="B3061" t="s">
        <v>42</v>
      </c>
      <c r="C3061" t="s">
        <v>43</v>
      </c>
      <c r="D3061" t="s">
        <v>221</v>
      </c>
      <c r="E3061">
        <v>80752244</v>
      </c>
      <c r="F3061" t="s">
        <v>2138</v>
      </c>
      <c r="G3061" s="3">
        <v>46246</v>
      </c>
      <c r="H3061">
        <v>36</v>
      </c>
      <c r="I3061">
        <v>5</v>
      </c>
      <c r="J3061">
        <v>2</v>
      </c>
      <c r="K3061" s="4">
        <v>1181.0999999999999</v>
      </c>
      <c r="L3061" s="4">
        <f>0</f>
        <v>0</v>
      </c>
      <c r="M3061" s="4">
        <f>999</f>
        <v>999</v>
      </c>
      <c r="N3061" t="s">
        <v>19</v>
      </c>
      <c r="O3061" t="str">
        <f t="shared" si="470"/>
        <v>High</v>
      </c>
      <c r="P3061" t="str">
        <f t="shared" si="471"/>
        <v>High</v>
      </c>
      <c r="Q3061" t="str">
        <f t="shared" si="472"/>
        <v>High</v>
      </c>
      <c r="R3061" t="s">
        <v>3317</v>
      </c>
      <c r="S3061" s="4">
        <f t="shared" ca="1" si="473"/>
        <v>49</v>
      </c>
      <c r="T3061">
        <f t="shared" si="474"/>
        <v>3</v>
      </c>
      <c r="U3061">
        <f t="shared" si="475"/>
        <v>3</v>
      </c>
      <c r="V3061">
        <f t="shared" si="476"/>
        <v>3</v>
      </c>
      <c r="W3061">
        <f t="shared" si="477"/>
        <v>1</v>
      </c>
      <c r="X3061">
        <f t="shared" si="478"/>
        <v>2.8000000000000003</v>
      </c>
      <c r="Y3061" t="str">
        <f t="shared" si="479"/>
        <v>Move Immediately</v>
      </c>
    </row>
    <row r="3062" spans="1:25" x14ac:dyDescent="0.35">
      <c r="A3062" t="s">
        <v>189</v>
      </c>
      <c r="B3062" t="s">
        <v>417</v>
      </c>
      <c r="C3062" t="s">
        <v>417</v>
      </c>
      <c r="D3062" t="s">
        <v>2139</v>
      </c>
      <c r="E3062">
        <v>80875189</v>
      </c>
      <c r="F3062" t="s">
        <v>2140</v>
      </c>
      <c r="G3062" s="3">
        <v>47422</v>
      </c>
      <c r="H3062">
        <v>18</v>
      </c>
      <c r="I3062">
        <v>100</v>
      </c>
      <c r="J3062">
        <v>2</v>
      </c>
      <c r="K3062" s="4">
        <v>344.54</v>
      </c>
      <c r="L3062" s="4">
        <v>5139.4285714285716</v>
      </c>
      <c r="M3062" s="4">
        <v>3.8914832110295751E-4</v>
      </c>
      <c r="N3062" t="s">
        <v>25</v>
      </c>
      <c r="O3062" t="str">
        <f t="shared" si="470"/>
        <v>Low</v>
      </c>
      <c r="P3062" t="str">
        <f t="shared" si="471"/>
        <v>Low</v>
      </c>
      <c r="Q3062" t="str">
        <f t="shared" si="472"/>
        <v>Low</v>
      </c>
      <c r="R3062" t="s">
        <v>3317</v>
      </c>
      <c r="S3062" s="4">
        <f t="shared" ca="1" si="473"/>
        <v>1225</v>
      </c>
      <c r="T3062">
        <f t="shared" si="474"/>
        <v>1</v>
      </c>
      <c r="U3062">
        <f t="shared" si="475"/>
        <v>1</v>
      </c>
      <c r="V3062">
        <f t="shared" si="476"/>
        <v>1</v>
      </c>
      <c r="W3062">
        <f t="shared" si="477"/>
        <v>1</v>
      </c>
      <c r="X3062">
        <f t="shared" si="478"/>
        <v>0.99999999999999989</v>
      </c>
      <c r="Y3062" t="str">
        <f t="shared" si="479"/>
        <v>Healthy</v>
      </c>
    </row>
    <row r="3063" spans="1:25" x14ac:dyDescent="0.35">
      <c r="A3063" t="s">
        <v>90</v>
      </c>
      <c r="B3063" t="s">
        <v>91</v>
      </c>
      <c r="C3063" t="s">
        <v>478</v>
      </c>
      <c r="D3063" t="s">
        <v>2141</v>
      </c>
      <c r="E3063">
        <v>80875096</v>
      </c>
      <c r="F3063" t="s">
        <v>2142</v>
      </c>
      <c r="G3063" s="3">
        <v>46546</v>
      </c>
      <c r="H3063">
        <v>24</v>
      </c>
      <c r="I3063">
        <v>49</v>
      </c>
      <c r="J3063">
        <v>217</v>
      </c>
      <c r="K3063" s="4">
        <v>14619.29</v>
      </c>
      <c r="L3063" s="4">
        <v>2175.2857142857142</v>
      </c>
      <c r="M3063" s="4">
        <v>9.9757010573323701E-2</v>
      </c>
      <c r="N3063" t="s">
        <v>25</v>
      </c>
      <c r="O3063" t="str">
        <f t="shared" si="470"/>
        <v>Low</v>
      </c>
      <c r="P3063" t="str">
        <f t="shared" si="471"/>
        <v>Low</v>
      </c>
      <c r="Q3063" t="str">
        <f t="shared" si="472"/>
        <v>Low</v>
      </c>
      <c r="R3063" t="s">
        <v>3317</v>
      </c>
      <c r="S3063" s="4">
        <f t="shared" ca="1" si="473"/>
        <v>349</v>
      </c>
      <c r="T3063">
        <f t="shared" si="474"/>
        <v>1</v>
      </c>
      <c r="U3063">
        <f t="shared" si="475"/>
        <v>1</v>
      </c>
      <c r="V3063">
        <f t="shared" si="476"/>
        <v>1</v>
      </c>
      <c r="W3063">
        <f t="shared" si="477"/>
        <v>1</v>
      </c>
      <c r="X3063">
        <f t="shared" si="478"/>
        <v>0.99999999999999989</v>
      </c>
      <c r="Y3063" t="str">
        <f t="shared" si="479"/>
        <v>Healthy</v>
      </c>
    </row>
    <row r="3064" spans="1:25" x14ac:dyDescent="0.35">
      <c r="A3064" t="s">
        <v>90</v>
      </c>
      <c r="B3064" t="s">
        <v>91</v>
      </c>
      <c r="C3064" t="s">
        <v>478</v>
      </c>
      <c r="D3064" t="s">
        <v>2141</v>
      </c>
      <c r="E3064">
        <v>80875096</v>
      </c>
      <c r="F3064" t="s">
        <v>2142</v>
      </c>
      <c r="G3064" s="3">
        <v>46513</v>
      </c>
      <c r="H3064">
        <v>24</v>
      </c>
      <c r="I3064">
        <v>45</v>
      </c>
      <c r="J3064">
        <v>55</v>
      </c>
      <c r="K3064" s="4">
        <v>3705.35</v>
      </c>
      <c r="L3064" s="4">
        <v>2175.2857142857142</v>
      </c>
      <c r="M3064" s="4">
        <v>2.5284034937939188E-2</v>
      </c>
      <c r="N3064" t="s">
        <v>25</v>
      </c>
      <c r="O3064" t="str">
        <f t="shared" si="470"/>
        <v>Low</v>
      </c>
      <c r="P3064" t="str">
        <f t="shared" si="471"/>
        <v>Low</v>
      </c>
      <c r="Q3064" t="str">
        <f t="shared" si="472"/>
        <v>Low</v>
      </c>
      <c r="R3064" t="s">
        <v>3317</v>
      </c>
      <c r="S3064" s="4">
        <f t="shared" ca="1" si="473"/>
        <v>316</v>
      </c>
      <c r="T3064">
        <f t="shared" si="474"/>
        <v>1</v>
      </c>
      <c r="U3064">
        <f t="shared" si="475"/>
        <v>1</v>
      </c>
      <c r="V3064">
        <f t="shared" si="476"/>
        <v>1</v>
      </c>
      <c r="W3064">
        <f t="shared" si="477"/>
        <v>1</v>
      </c>
      <c r="X3064">
        <f t="shared" si="478"/>
        <v>0.99999999999999989</v>
      </c>
      <c r="Y3064" t="str">
        <f t="shared" si="479"/>
        <v>Healthy</v>
      </c>
    </row>
    <row r="3065" spans="1:25" x14ac:dyDescent="0.35">
      <c r="A3065" t="s">
        <v>41</v>
      </c>
      <c r="B3065" t="s">
        <v>54</v>
      </c>
      <c r="C3065" t="s">
        <v>293</v>
      </c>
      <c r="D3065" t="s">
        <v>1206</v>
      </c>
      <c r="E3065">
        <v>80751564</v>
      </c>
      <c r="F3065" t="s">
        <v>2143</v>
      </c>
      <c r="G3065" s="3">
        <v>46470</v>
      </c>
      <c r="H3065">
        <v>18</v>
      </c>
      <c r="I3065">
        <v>51</v>
      </c>
      <c r="J3065">
        <v>8</v>
      </c>
      <c r="K3065" s="4">
        <v>963.2</v>
      </c>
      <c r="L3065" s="4">
        <f>0</f>
        <v>0</v>
      </c>
      <c r="M3065" s="4">
        <f>999</f>
        <v>999</v>
      </c>
      <c r="N3065" t="s">
        <v>19</v>
      </c>
      <c r="O3065" t="str">
        <f t="shared" si="470"/>
        <v>Low</v>
      </c>
      <c r="P3065" t="str">
        <f t="shared" si="471"/>
        <v>High</v>
      </c>
      <c r="Q3065" t="str">
        <f t="shared" si="472"/>
        <v>High</v>
      </c>
      <c r="R3065" t="s">
        <v>3317</v>
      </c>
      <c r="S3065" s="4">
        <f t="shared" ca="1" si="473"/>
        <v>273</v>
      </c>
      <c r="T3065">
        <f t="shared" si="474"/>
        <v>1</v>
      </c>
      <c r="U3065">
        <f t="shared" si="475"/>
        <v>3</v>
      </c>
      <c r="V3065">
        <f t="shared" si="476"/>
        <v>3</v>
      </c>
      <c r="W3065">
        <f t="shared" si="477"/>
        <v>1</v>
      </c>
      <c r="X3065">
        <f t="shared" si="478"/>
        <v>2</v>
      </c>
      <c r="Y3065" t="str">
        <f t="shared" si="479"/>
        <v>Monitor</v>
      </c>
    </row>
    <row r="3066" spans="1:25" x14ac:dyDescent="0.35">
      <c r="A3066" t="s">
        <v>29</v>
      </c>
      <c r="B3066" t="s">
        <v>30</v>
      </c>
      <c r="C3066" t="s">
        <v>147</v>
      </c>
      <c r="D3066" t="s">
        <v>1329</v>
      </c>
      <c r="E3066">
        <v>80851516</v>
      </c>
      <c r="F3066" t="s">
        <v>2144</v>
      </c>
      <c r="G3066" s="3">
        <v>46935</v>
      </c>
      <c r="H3066">
        <v>36</v>
      </c>
      <c r="I3066">
        <v>69</v>
      </c>
      <c r="J3066">
        <v>12</v>
      </c>
      <c r="K3066" s="4">
        <v>15349.92</v>
      </c>
      <c r="L3066" s="4">
        <v>34.428571428571431</v>
      </c>
      <c r="M3066" s="4">
        <v>0.34854771784232363</v>
      </c>
      <c r="N3066" t="s">
        <v>25</v>
      </c>
      <c r="O3066" t="str">
        <f t="shared" si="470"/>
        <v>Low</v>
      </c>
      <c r="P3066" t="str">
        <f t="shared" si="471"/>
        <v>Low</v>
      </c>
      <c r="Q3066" t="str">
        <f t="shared" si="472"/>
        <v>Low</v>
      </c>
      <c r="R3066" t="s">
        <v>3317</v>
      </c>
      <c r="S3066" s="4">
        <f t="shared" ca="1" si="473"/>
        <v>738</v>
      </c>
      <c r="T3066">
        <f t="shared" si="474"/>
        <v>1</v>
      </c>
      <c r="U3066">
        <f t="shared" si="475"/>
        <v>1</v>
      </c>
      <c r="V3066">
        <f t="shared" si="476"/>
        <v>1</v>
      </c>
      <c r="W3066">
        <f t="shared" si="477"/>
        <v>1</v>
      </c>
      <c r="X3066">
        <f t="shared" si="478"/>
        <v>0.99999999999999989</v>
      </c>
      <c r="Y3066" t="str">
        <f t="shared" si="479"/>
        <v>Healthy</v>
      </c>
    </row>
    <row r="3067" spans="1:25" x14ac:dyDescent="0.35">
      <c r="A3067" t="s">
        <v>104</v>
      </c>
      <c r="B3067" t="s">
        <v>105</v>
      </c>
      <c r="C3067" t="s">
        <v>697</v>
      </c>
      <c r="D3067" t="s">
        <v>2145</v>
      </c>
      <c r="E3067">
        <v>80726010</v>
      </c>
      <c r="F3067" t="s">
        <v>2146</v>
      </c>
      <c r="G3067" s="3">
        <v>46302</v>
      </c>
      <c r="H3067">
        <v>24</v>
      </c>
      <c r="I3067">
        <v>15</v>
      </c>
      <c r="J3067">
        <v>11</v>
      </c>
      <c r="K3067" s="4">
        <v>2631.09</v>
      </c>
      <c r="L3067" s="4">
        <f>0</f>
        <v>0</v>
      </c>
      <c r="M3067" s="4">
        <f>999</f>
        <v>999</v>
      </c>
      <c r="N3067" t="s">
        <v>19</v>
      </c>
      <c r="O3067" t="str">
        <f t="shared" si="470"/>
        <v>High</v>
      </c>
      <c r="P3067" t="str">
        <f t="shared" si="471"/>
        <v>High</v>
      </c>
      <c r="Q3067" t="str">
        <f t="shared" si="472"/>
        <v>High</v>
      </c>
      <c r="R3067" t="s">
        <v>3317</v>
      </c>
      <c r="S3067" s="4">
        <f t="shared" ca="1" si="473"/>
        <v>105</v>
      </c>
      <c r="T3067">
        <f t="shared" si="474"/>
        <v>3</v>
      </c>
      <c r="U3067">
        <f t="shared" si="475"/>
        <v>3</v>
      </c>
      <c r="V3067">
        <f t="shared" si="476"/>
        <v>3</v>
      </c>
      <c r="W3067">
        <f t="shared" si="477"/>
        <v>1</v>
      </c>
      <c r="X3067">
        <f t="shared" si="478"/>
        <v>2.8000000000000003</v>
      </c>
      <c r="Y3067" t="str">
        <f t="shared" si="479"/>
        <v>Move Immediately</v>
      </c>
    </row>
    <row r="3068" spans="1:25" x14ac:dyDescent="0.35">
      <c r="A3068" t="s">
        <v>29</v>
      </c>
      <c r="B3068" t="s">
        <v>30</v>
      </c>
      <c r="C3068" t="s">
        <v>147</v>
      </c>
      <c r="D3068" t="s">
        <v>1329</v>
      </c>
      <c r="E3068">
        <v>80851516</v>
      </c>
      <c r="F3068" t="s">
        <v>2144</v>
      </c>
      <c r="G3068" s="3">
        <v>46993</v>
      </c>
      <c r="H3068">
        <v>36</v>
      </c>
      <c r="I3068">
        <v>74</v>
      </c>
      <c r="J3068">
        <v>30</v>
      </c>
      <c r="K3068" s="4">
        <v>38374.800000000003</v>
      </c>
      <c r="L3068" s="4">
        <v>34.428571428571431</v>
      </c>
      <c r="M3068" s="4">
        <v>0.87136929460580903</v>
      </c>
      <c r="N3068" t="s">
        <v>25</v>
      </c>
      <c r="O3068" t="str">
        <f t="shared" si="470"/>
        <v>Low</v>
      </c>
      <c r="P3068" t="str">
        <f t="shared" si="471"/>
        <v>Low</v>
      </c>
      <c r="Q3068" t="str">
        <f t="shared" si="472"/>
        <v>Low</v>
      </c>
      <c r="R3068" t="s">
        <v>3317</v>
      </c>
      <c r="S3068" s="4">
        <f t="shared" ca="1" si="473"/>
        <v>796</v>
      </c>
      <c r="T3068">
        <f t="shared" si="474"/>
        <v>1</v>
      </c>
      <c r="U3068">
        <f t="shared" si="475"/>
        <v>1</v>
      </c>
      <c r="V3068">
        <f t="shared" si="476"/>
        <v>1</v>
      </c>
      <c r="W3068">
        <f t="shared" si="477"/>
        <v>1</v>
      </c>
      <c r="X3068">
        <f t="shared" si="478"/>
        <v>0.99999999999999989</v>
      </c>
      <c r="Y3068" t="str">
        <f t="shared" si="479"/>
        <v>Healthy</v>
      </c>
    </row>
    <row r="3069" spans="1:25" x14ac:dyDescent="0.35">
      <c r="A3069" t="s">
        <v>29</v>
      </c>
      <c r="B3069" t="s">
        <v>30</v>
      </c>
      <c r="C3069" t="s">
        <v>147</v>
      </c>
      <c r="D3069" t="s">
        <v>1329</v>
      </c>
      <c r="E3069">
        <v>80851516</v>
      </c>
      <c r="F3069" t="s">
        <v>2144</v>
      </c>
      <c r="G3069" s="3">
        <v>46854</v>
      </c>
      <c r="H3069">
        <v>36</v>
      </c>
      <c r="I3069">
        <v>61</v>
      </c>
      <c r="J3069">
        <v>7</v>
      </c>
      <c r="K3069" s="4">
        <v>8954.1200000000008</v>
      </c>
      <c r="L3069" s="4">
        <v>34.428571428571431</v>
      </c>
      <c r="M3069" s="4">
        <v>0.2033195020746888</v>
      </c>
      <c r="N3069" t="s">
        <v>25</v>
      </c>
      <c r="O3069" t="str">
        <f t="shared" si="470"/>
        <v>Low</v>
      </c>
      <c r="P3069" t="str">
        <f t="shared" si="471"/>
        <v>Low</v>
      </c>
      <c r="Q3069" t="str">
        <f t="shared" si="472"/>
        <v>Low</v>
      </c>
      <c r="R3069" t="s">
        <v>3317</v>
      </c>
      <c r="S3069" s="4">
        <f t="shared" ca="1" si="473"/>
        <v>657</v>
      </c>
      <c r="T3069">
        <f t="shared" si="474"/>
        <v>1</v>
      </c>
      <c r="U3069">
        <f t="shared" si="475"/>
        <v>1</v>
      </c>
      <c r="V3069">
        <f t="shared" si="476"/>
        <v>1</v>
      </c>
      <c r="W3069">
        <f t="shared" si="477"/>
        <v>1</v>
      </c>
      <c r="X3069">
        <f t="shared" si="478"/>
        <v>0.99999999999999989</v>
      </c>
      <c r="Y3069" t="str">
        <f t="shared" si="479"/>
        <v>Healthy</v>
      </c>
    </row>
    <row r="3070" spans="1:25" x14ac:dyDescent="0.35">
      <c r="A3070" t="s">
        <v>14</v>
      </c>
      <c r="B3070" t="s">
        <v>15</v>
      </c>
      <c r="C3070" t="s">
        <v>34</v>
      </c>
      <c r="D3070" t="s">
        <v>2147</v>
      </c>
      <c r="E3070">
        <v>80868104</v>
      </c>
      <c r="F3070" t="s">
        <v>2148</v>
      </c>
      <c r="G3070" s="3">
        <v>47944</v>
      </c>
      <c r="H3070">
        <v>60</v>
      </c>
      <c r="I3070">
        <v>97</v>
      </c>
      <c r="J3070">
        <v>1080</v>
      </c>
      <c r="K3070" s="4">
        <v>182520</v>
      </c>
      <c r="L3070" s="4">
        <v>1239.4285714285713</v>
      </c>
      <c r="M3070" s="4">
        <v>0.87136929460580925</v>
      </c>
      <c r="N3070" t="s">
        <v>25</v>
      </c>
      <c r="O3070" t="str">
        <f t="shared" si="470"/>
        <v>Low</v>
      </c>
      <c r="P3070" t="str">
        <f t="shared" si="471"/>
        <v>Low</v>
      </c>
      <c r="Q3070" t="str">
        <f t="shared" si="472"/>
        <v>Low</v>
      </c>
      <c r="R3070" t="s">
        <v>3309</v>
      </c>
      <c r="S3070" s="4">
        <f t="shared" ca="1" si="473"/>
        <v>1747</v>
      </c>
      <c r="T3070">
        <f t="shared" si="474"/>
        <v>1</v>
      </c>
      <c r="U3070">
        <f t="shared" si="475"/>
        <v>1</v>
      </c>
      <c r="V3070">
        <f t="shared" si="476"/>
        <v>1</v>
      </c>
      <c r="W3070">
        <f t="shared" si="477"/>
        <v>3</v>
      </c>
      <c r="X3070">
        <f t="shared" si="478"/>
        <v>1.2</v>
      </c>
      <c r="Y3070" t="str">
        <f t="shared" si="479"/>
        <v>Healthy</v>
      </c>
    </row>
    <row r="3071" spans="1:25" x14ac:dyDescent="0.35">
      <c r="A3071" t="s">
        <v>46</v>
      </c>
      <c r="B3071" t="s">
        <v>47</v>
      </c>
      <c r="C3071" t="s">
        <v>1602</v>
      </c>
      <c r="D3071" t="s">
        <v>2149</v>
      </c>
      <c r="E3071">
        <v>80865297</v>
      </c>
      <c r="F3071" t="s">
        <v>2150</v>
      </c>
      <c r="G3071" s="3">
        <v>47579</v>
      </c>
      <c r="H3071">
        <v>48</v>
      </c>
      <c r="I3071">
        <v>96</v>
      </c>
      <c r="J3071">
        <v>1</v>
      </c>
      <c r="K3071" s="4">
        <v>71.34</v>
      </c>
      <c r="L3071" s="4">
        <v>5929.4285714285716</v>
      </c>
      <c r="M3071" s="4">
        <v>1.6865031561701923E-4</v>
      </c>
      <c r="N3071" t="s">
        <v>25</v>
      </c>
      <c r="O3071" t="str">
        <f t="shared" si="470"/>
        <v>Low</v>
      </c>
      <c r="P3071" t="str">
        <f t="shared" si="471"/>
        <v>Low</v>
      </c>
      <c r="Q3071" t="str">
        <f t="shared" si="472"/>
        <v>Low</v>
      </c>
      <c r="R3071" t="s">
        <v>3317</v>
      </c>
      <c r="S3071" s="4">
        <f t="shared" ca="1" si="473"/>
        <v>1382</v>
      </c>
      <c r="T3071">
        <f t="shared" si="474"/>
        <v>1</v>
      </c>
      <c r="U3071">
        <f t="shared" si="475"/>
        <v>1</v>
      </c>
      <c r="V3071">
        <f t="shared" si="476"/>
        <v>1</v>
      </c>
      <c r="W3071">
        <f t="shared" si="477"/>
        <v>1</v>
      </c>
      <c r="X3071">
        <f t="shared" si="478"/>
        <v>0.99999999999999989</v>
      </c>
      <c r="Y3071" t="str">
        <f t="shared" si="479"/>
        <v>Healthy</v>
      </c>
    </row>
    <row r="3072" spans="1:25" x14ac:dyDescent="0.35">
      <c r="A3072" t="s">
        <v>99</v>
      </c>
      <c r="B3072" t="s">
        <v>100</v>
      </c>
      <c r="C3072" t="s">
        <v>101</v>
      </c>
      <c r="D3072" t="s">
        <v>2151</v>
      </c>
      <c r="E3072">
        <v>80740511</v>
      </c>
      <c r="F3072" t="s">
        <v>2152</v>
      </c>
      <c r="G3072" s="3">
        <v>46675</v>
      </c>
      <c r="H3072">
        <v>18</v>
      </c>
      <c r="I3072">
        <v>89</v>
      </c>
      <c r="J3072">
        <v>280</v>
      </c>
      <c r="K3072" s="4">
        <v>69885.2</v>
      </c>
      <c r="L3072" s="4">
        <v>361.71428571428572</v>
      </c>
      <c r="M3072" s="4">
        <v>0.77409162717219593</v>
      </c>
      <c r="N3072" t="s">
        <v>25</v>
      </c>
      <c r="O3072" t="str">
        <f t="shared" si="470"/>
        <v>Low</v>
      </c>
      <c r="P3072" t="str">
        <f t="shared" si="471"/>
        <v>Low</v>
      </c>
      <c r="Q3072" t="str">
        <f t="shared" si="472"/>
        <v>Low</v>
      </c>
      <c r="R3072" t="s">
        <v>3310</v>
      </c>
      <c r="S3072" s="4">
        <f t="shared" ca="1" si="473"/>
        <v>478</v>
      </c>
      <c r="T3072">
        <f t="shared" si="474"/>
        <v>1</v>
      </c>
      <c r="U3072">
        <f t="shared" si="475"/>
        <v>1</v>
      </c>
      <c r="V3072">
        <f t="shared" si="476"/>
        <v>1</v>
      </c>
      <c r="W3072">
        <f t="shared" si="477"/>
        <v>2</v>
      </c>
      <c r="X3072">
        <f t="shared" si="478"/>
        <v>1.0999999999999999</v>
      </c>
      <c r="Y3072" t="str">
        <f t="shared" si="479"/>
        <v>Healthy</v>
      </c>
    </row>
    <row r="3073" spans="1:25" x14ac:dyDescent="0.35">
      <c r="A3073" t="s">
        <v>46</v>
      </c>
      <c r="B3073" t="s">
        <v>47</v>
      </c>
      <c r="C3073" t="s">
        <v>1602</v>
      </c>
      <c r="D3073" t="s">
        <v>2149</v>
      </c>
      <c r="E3073">
        <v>80865297</v>
      </c>
      <c r="F3073" t="s">
        <v>2150</v>
      </c>
      <c r="G3073" s="3">
        <v>47499</v>
      </c>
      <c r="H3073">
        <v>48</v>
      </c>
      <c r="I3073">
        <v>91</v>
      </c>
      <c r="J3073">
        <v>1</v>
      </c>
      <c r="K3073" s="4">
        <v>71.34</v>
      </c>
      <c r="L3073" s="4">
        <v>5929.4285714285716</v>
      </c>
      <c r="M3073" s="4">
        <v>1.6865031561701923E-4</v>
      </c>
      <c r="N3073" t="s">
        <v>25</v>
      </c>
      <c r="O3073" t="str">
        <f t="shared" si="470"/>
        <v>Low</v>
      </c>
      <c r="P3073" t="str">
        <f t="shared" si="471"/>
        <v>Low</v>
      </c>
      <c r="Q3073" t="str">
        <f t="shared" si="472"/>
        <v>Low</v>
      </c>
      <c r="R3073" t="s">
        <v>3317</v>
      </c>
      <c r="S3073" s="4">
        <f t="shared" ca="1" si="473"/>
        <v>1302</v>
      </c>
      <c r="T3073">
        <f t="shared" si="474"/>
        <v>1</v>
      </c>
      <c r="U3073">
        <f t="shared" si="475"/>
        <v>1</v>
      </c>
      <c r="V3073">
        <f t="shared" si="476"/>
        <v>1</v>
      </c>
      <c r="W3073">
        <f t="shared" si="477"/>
        <v>1</v>
      </c>
      <c r="X3073">
        <f t="shared" si="478"/>
        <v>0.99999999999999989</v>
      </c>
      <c r="Y3073" t="str">
        <f t="shared" si="479"/>
        <v>Healthy</v>
      </c>
    </row>
    <row r="3074" spans="1:25" x14ac:dyDescent="0.35">
      <c r="A3074" t="s">
        <v>99</v>
      </c>
      <c r="B3074" t="s">
        <v>100</v>
      </c>
      <c r="C3074" t="s">
        <v>101</v>
      </c>
      <c r="D3074" t="s">
        <v>2151</v>
      </c>
      <c r="E3074">
        <v>80740511</v>
      </c>
      <c r="F3074" t="s">
        <v>2152</v>
      </c>
      <c r="G3074" s="3">
        <v>46673</v>
      </c>
      <c r="H3074">
        <v>18</v>
      </c>
      <c r="I3074">
        <v>89</v>
      </c>
      <c r="J3074">
        <v>88</v>
      </c>
      <c r="K3074" s="4">
        <v>21963.919999999998</v>
      </c>
      <c r="L3074" s="4">
        <v>361.71428571428572</v>
      </c>
      <c r="M3074" s="4">
        <v>0.24328593996840442</v>
      </c>
      <c r="N3074" t="s">
        <v>25</v>
      </c>
      <c r="O3074" t="str">
        <f t="shared" si="470"/>
        <v>Low</v>
      </c>
      <c r="P3074" t="str">
        <f t="shared" si="471"/>
        <v>Low</v>
      </c>
      <c r="Q3074" t="str">
        <f t="shared" si="472"/>
        <v>Low</v>
      </c>
      <c r="R3074" t="s">
        <v>3317</v>
      </c>
      <c r="S3074" s="4">
        <f t="shared" ca="1" si="473"/>
        <v>476</v>
      </c>
      <c r="T3074">
        <f t="shared" si="474"/>
        <v>1</v>
      </c>
      <c r="U3074">
        <f t="shared" si="475"/>
        <v>1</v>
      </c>
      <c r="V3074">
        <f t="shared" si="476"/>
        <v>1</v>
      </c>
      <c r="W3074">
        <f t="shared" si="477"/>
        <v>1</v>
      </c>
      <c r="X3074">
        <f t="shared" si="478"/>
        <v>0.99999999999999989</v>
      </c>
      <c r="Y3074" t="str">
        <f t="shared" si="479"/>
        <v>Healthy</v>
      </c>
    </row>
    <row r="3075" spans="1:25" x14ac:dyDescent="0.35">
      <c r="A3075" t="s">
        <v>99</v>
      </c>
      <c r="B3075" t="s">
        <v>100</v>
      </c>
      <c r="C3075" t="s">
        <v>101</v>
      </c>
      <c r="D3075" t="s">
        <v>2151</v>
      </c>
      <c r="E3075">
        <v>80740511</v>
      </c>
      <c r="F3075" t="s">
        <v>2152</v>
      </c>
      <c r="G3075" s="3">
        <v>46522</v>
      </c>
      <c r="H3075">
        <v>18</v>
      </c>
      <c r="I3075">
        <v>61</v>
      </c>
      <c r="J3075">
        <v>15</v>
      </c>
      <c r="K3075" s="4">
        <v>3743.85</v>
      </c>
      <c r="L3075" s="4">
        <v>361.71428571428572</v>
      </c>
      <c r="M3075" s="4">
        <v>4.1469194312796206E-2</v>
      </c>
      <c r="N3075" t="s">
        <v>25</v>
      </c>
      <c r="O3075" t="str">
        <f t="shared" ref="O3075:O3138" si="480">IF(I3075&lt;20,"High",IF(I3075&lt;40,"Medium","Low"))</f>
        <v>Low</v>
      </c>
      <c r="P3075" t="str">
        <f t="shared" ref="P3075:P3138" si="481">IF(M3075&gt;8,"High",IF(M3075&gt;4,"Medium","Low"))</f>
        <v>Low</v>
      </c>
      <c r="Q3075" t="str">
        <f t="shared" ref="Q3075:Q3138" si="482">IF(L3075&lt;5,"High",IF(L3075&lt;15,"Medium","Low"))</f>
        <v>Low</v>
      </c>
      <c r="R3075" t="s">
        <v>3317</v>
      </c>
      <c r="S3075" s="4">
        <f t="shared" ref="S3075:S3138" ca="1" si="483">G3075-TODAY()</f>
        <v>325</v>
      </c>
      <c r="T3075">
        <f t="shared" ref="T3075:T3138" si="484">IF(O3075="High",3,IF(O3075="Medium",2,1))</f>
        <v>1</v>
      </c>
      <c r="U3075">
        <f t="shared" ref="U3075:U3138" si="485">IF(P3075="High",3,IF(P3075="Medium",2,1))</f>
        <v>1</v>
      </c>
      <c r="V3075">
        <f t="shared" ref="V3075:V3138" si="486">IF(Q3075="High",3,IF(Q3075="Medium",2,1))</f>
        <v>1</v>
      </c>
      <c r="W3075">
        <f t="shared" ref="W3075:W3138" si="487">IF(R3075="High",3,IF(R3075="Medium",2,1))</f>
        <v>1</v>
      </c>
      <c r="X3075">
        <f t="shared" ref="X3075:X3138" si="488">(0.4*T3075)+(0.3*U3075)+(0.2*V3075)+(0.1*W3075)</f>
        <v>0.99999999999999989</v>
      </c>
      <c r="Y3075" t="str">
        <f t="shared" ref="Y3075:Y3138" si="489">IF(X3075&gt;=2.7,"Move Immediately",IF(X3075&gt;=2.2,"High Priority",IF(X3075&gt;=1.7,"Monitor","Healthy")))</f>
        <v>Healthy</v>
      </c>
    </row>
    <row r="3076" spans="1:25" x14ac:dyDescent="0.35">
      <c r="A3076" t="s">
        <v>99</v>
      </c>
      <c r="B3076" t="s">
        <v>100</v>
      </c>
      <c r="C3076" t="s">
        <v>101</v>
      </c>
      <c r="D3076" t="s">
        <v>2151</v>
      </c>
      <c r="E3076">
        <v>80740511</v>
      </c>
      <c r="F3076" t="s">
        <v>2152</v>
      </c>
      <c r="G3076" s="3">
        <v>46558</v>
      </c>
      <c r="H3076">
        <v>18</v>
      </c>
      <c r="I3076">
        <v>68</v>
      </c>
      <c r="J3076">
        <v>45</v>
      </c>
      <c r="K3076" s="4">
        <v>11231.55</v>
      </c>
      <c r="L3076" s="4">
        <v>361.71428571428572</v>
      </c>
      <c r="M3076" s="4">
        <v>0.12440758293838862</v>
      </c>
      <c r="N3076" t="s">
        <v>25</v>
      </c>
      <c r="O3076" t="str">
        <f t="shared" si="480"/>
        <v>Low</v>
      </c>
      <c r="P3076" t="str">
        <f t="shared" si="481"/>
        <v>Low</v>
      </c>
      <c r="Q3076" t="str">
        <f t="shared" si="482"/>
        <v>Low</v>
      </c>
      <c r="R3076" t="s">
        <v>3317</v>
      </c>
      <c r="S3076" s="4">
        <f t="shared" ca="1" si="483"/>
        <v>361</v>
      </c>
      <c r="T3076">
        <f t="shared" si="484"/>
        <v>1</v>
      </c>
      <c r="U3076">
        <f t="shared" si="485"/>
        <v>1</v>
      </c>
      <c r="V3076">
        <f t="shared" si="486"/>
        <v>1</v>
      </c>
      <c r="W3076">
        <f t="shared" si="487"/>
        <v>1</v>
      </c>
      <c r="X3076">
        <f t="shared" si="488"/>
        <v>0.99999999999999989</v>
      </c>
      <c r="Y3076" t="str">
        <f t="shared" si="489"/>
        <v>Healthy</v>
      </c>
    </row>
    <row r="3077" spans="1:25" x14ac:dyDescent="0.35">
      <c r="A3077" t="s">
        <v>99</v>
      </c>
      <c r="B3077" t="s">
        <v>100</v>
      </c>
      <c r="C3077" t="s">
        <v>101</v>
      </c>
      <c r="D3077" t="s">
        <v>2151</v>
      </c>
      <c r="E3077">
        <v>80740511</v>
      </c>
      <c r="F3077" t="s">
        <v>2152</v>
      </c>
      <c r="G3077" s="3">
        <v>46558</v>
      </c>
      <c r="H3077">
        <v>18</v>
      </c>
      <c r="I3077">
        <v>68</v>
      </c>
      <c r="J3077">
        <v>44</v>
      </c>
      <c r="K3077" s="4">
        <v>10981.96</v>
      </c>
      <c r="L3077" s="4">
        <v>361.71428571428572</v>
      </c>
      <c r="M3077" s="4">
        <v>0.12164296998420221</v>
      </c>
      <c r="N3077" t="s">
        <v>25</v>
      </c>
      <c r="O3077" t="str">
        <f t="shared" si="480"/>
        <v>Low</v>
      </c>
      <c r="P3077" t="str">
        <f t="shared" si="481"/>
        <v>Low</v>
      </c>
      <c r="Q3077" t="str">
        <f t="shared" si="482"/>
        <v>Low</v>
      </c>
      <c r="R3077" t="s">
        <v>3317</v>
      </c>
      <c r="S3077" s="4">
        <f t="shared" ca="1" si="483"/>
        <v>361</v>
      </c>
      <c r="T3077">
        <f t="shared" si="484"/>
        <v>1</v>
      </c>
      <c r="U3077">
        <f t="shared" si="485"/>
        <v>1</v>
      </c>
      <c r="V3077">
        <f t="shared" si="486"/>
        <v>1</v>
      </c>
      <c r="W3077">
        <f t="shared" si="487"/>
        <v>1</v>
      </c>
      <c r="X3077">
        <f t="shared" si="488"/>
        <v>0.99999999999999989</v>
      </c>
      <c r="Y3077" t="str">
        <f t="shared" si="489"/>
        <v>Healthy</v>
      </c>
    </row>
    <row r="3078" spans="1:25" x14ac:dyDescent="0.35">
      <c r="A3078" t="s">
        <v>99</v>
      </c>
      <c r="B3078" t="s">
        <v>100</v>
      </c>
      <c r="C3078" t="s">
        <v>101</v>
      </c>
      <c r="D3078" t="s">
        <v>2151</v>
      </c>
      <c r="E3078">
        <v>80740511</v>
      </c>
      <c r="F3078" t="s">
        <v>2152</v>
      </c>
      <c r="G3078" s="3">
        <v>46591</v>
      </c>
      <c r="H3078">
        <v>18</v>
      </c>
      <c r="I3078">
        <v>74</v>
      </c>
      <c r="J3078">
        <v>10</v>
      </c>
      <c r="K3078" s="4">
        <v>2495.9</v>
      </c>
      <c r="L3078" s="4">
        <v>361.71428571428572</v>
      </c>
      <c r="M3078" s="4">
        <v>2.7646129541864139E-2</v>
      </c>
      <c r="N3078" t="s">
        <v>25</v>
      </c>
      <c r="O3078" t="str">
        <f t="shared" si="480"/>
        <v>Low</v>
      </c>
      <c r="P3078" t="str">
        <f t="shared" si="481"/>
        <v>Low</v>
      </c>
      <c r="Q3078" t="str">
        <f t="shared" si="482"/>
        <v>Low</v>
      </c>
      <c r="R3078" t="s">
        <v>3317</v>
      </c>
      <c r="S3078" s="4">
        <f t="shared" ca="1" si="483"/>
        <v>394</v>
      </c>
      <c r="T3078">
        <f t="shared" si="484"/>
        <v>1</v>
      </c>
      <c r="U3078">
        <f t="shared" si="485"/>
        <v>1</v>
      </c>
      <c r="V3078">
        <f t="shared" si="486"/>
        <v>1</v>
      </c>
      <c r="W3078">
        <f t="shared" si="487"/>
        <v>1</v>
      </c>
      <c r="X3078">
        <f t="shared" si="488"/>
        <v>0.99999999999999989</v>
      </c>
      <c r="Y3078" t="str">
        <f t="shared" si="489"/>
        <v>Healthy</v>
      </c>
    </row>
    <row r="3079" spans="1:25" x14ac:dyDescent="0.35">
      <c r="A3079" t="s">
        <v>99</v>
      </c>
      <c r="B3079" t="s">
        <v>100</v>
      </c>
      <c r="C3079" t="s">
        <v>101</v>
      </c>
      <c r="D3079" t="s">
        <v>2151</v>
      </c>
      <c r="E3079">
        <v>80740511</v>
      </c>
      <c r="F3079" t="s">
        <v>2152</v>
      </c>
      <c r="G3079" s="3">
        <v>46462</v>
      </c>
      <c r="H3079">
        <v>18</v>
      </c>
      <c r="I3079">
        <v>50</v>
      </c>
      <c r="J3079">
        <v>5</v>
      </c>
      <c r="K3079" s="4">
        <v>1247.95</v>
      </c>
      <c r="L3079" s="4">
        <v>361.71428571428572</v>
      </c>
      <c r="M3079" s="4">
        <v>1.3823064770932069E-2</v>
      </c>
      <c r="N3079" t="s">
        <v>25</v>
      </c>
      <c r="O3079" t="str">
        <f t="shared" si="480"/>
        <v>Low</v>
      </c>
      <c r="P3079" t="str">
        <f t="shared" si="481"/>
        <v>Low</v>
      </c>
      <c r="Q3079" t="str">
        <f t="shared" si="482"/>
        <v>Low</v>
      </c>
      <c r="R3079" t="s">
        <v>3317</v>
      </c>
      <c r="S3079" s="4">
        <f t="shared" ca="1" si="483"/>
        <v>265</v>
      </c>
      <c r="T3079">
        <f t="shared" si="484"/>
        <v>1</v>
      </c>
      <c r="U3079">
        <f t="shared" si="485"/>
        <v>1</v>
      </c>
      <c r="V3079">
        <f t="shared" si="486"/>
        <v>1</v>
      </c>
      <c r="W3079">
        <f t="shared" si="487"/>
        <v>1</v>
      </c>
      <c r="X3079">
        <f t="shared" si="488"/>
        <v>0.99999999999999989</v>
      </c>
      <c r="Y3079" t="str">
        <f t="shared" si="489"/>
        <v>Healthy</v>
      </c>
    </row>
    <row r="3080" spans="1:25" x14ac:dyDescent="0.35">
      <c r="A3080" t="s">
        <v>46</v>
      </c>
      <c r="B3080" t="s">
        <v>129</v>
      </c>
      <c r="C3080" t="s">
        <v>1748</v>
      </c>
      <c r="D3080" t="s">
        <v>1749</v>
      </c>
      <c r="E3080">
        <v>80753174</v>
      </c>
      <c r="F3080" t="s">
        <v>2153</v>
      </c>
      <c r="G3080" s="3">
        <v>47081</v>
      </c>
      <c r="H3080">
        <v>36</v>
      </c>
      <c r="I3080">
        <v>82</v>
      </c>
      <c r="J3080">
        <v>39</v>
      </c>
      <c r="K3080" s="4">
        <v>14841.84</v>
      </c>
      <c r="L3080" s="4">
        <v>330.14285714285717</v>
      </c>
      <c r="M3080" s="4">
        <v>0.11813067935958459</v>
      </c>
      <c r="N3080" t="s">
        <v>25</v>
      </c>
      <c r="O3080" t="str">
        <f t="shared" si="480"/>
        <v>Low</v>
      </c>
      <c r="P3080" t="str">
        <f t="shared" si="481"/>
        <v>Low</v>
      </c>
      <c r="Q3080" t="str">
        <f t="shared" si="482"/>
        <v>Low</v>
      </c>
      <c r="R3080" t="s">
        <v>3317</v>
      </c>
      <c r="S3080" s="4">
        <f t="shared" ca="1" si="483"/>
        <v>884</v>
      </c>
      <c r="T3080">
        <f t="shared" si="484"/>
        <v>1</v>
      </c>
      <c r="U3080">
        <f t="shared" si="485"/>
        <v>1</v>
      </c>
      <c r="V3080">
        <f t="shared" si="486"/>
        <v>1</v>
      </c>
      <c r="W3080">
        <f t="shared" si="487"/>
        <v>1</v>
      </c>
      <c r="X3080">
        <f t="shared" si="488"/>
        <v>0.99999999999999989</v>
      </c>
      <c r="Y3080" t="str">
        <f t="shared" si="489"/>
        <v>Healthy</v>
      </c>
    </row>
    <row r="3081" spans="1:25" x14ac:dyDescent="0.35">
      <c r="A3081" t="s">
        <v>46</v>
      </c>
      <c r="B3081" t="s">
        <v>129</v>
      </c>
      <c r="C3081" t="s">
        <v>1748</v>
      </c>
      <c r="D3081" t="s">
        <v>1749</v>
      </c>
      <c r="E3081">
        <v>80753174</v>
      </c>
      <c r="F3081" t="s">
        <v>2153</v>
      </c>
      <c r="G3081" s="3">
        <v>47025</v>
      </c>
      <c r="H3081">
        <v>36</v>
      </c>
      <c r="I3081">
        <v>77</v>
      </c>
      <c r="J3081">
        <v>7</v>
      </c>
      <c r="K3081" s="4">
        <v>2663.92</v>
      </c>
      <c r="L3081" s="4">
        <v>330.14285714285717</v>
      </c>
      <c r="M3081" s="4">
        <v>2.1202942449156208E-2</v>
      </c>
      <c r="N3081" t="s">
        <v>25</v>
      </c>
      <c r="O3081" t="str">
        <f t="shared" si="480"/>
        <v>Low</v>
      </c>
      <c r="P3081" t="str">
        <f t="shared" si="481"/>
        <v>Low</v>
      </c>
      <c r="Q3081" t="str">
        <f t="shared" si="482"/>
        <v>Low</v>
      </c>
      <c r="R3081" t="s">
        <v>3317</v>
      </c>
      <c r="S3081" s="4">
        <f t="shared" ca="1" si="483"/>
        <v>828</v>
      </c>
      <c r="T3081">
        <f t="shared" si="484"/>
        <v>1</v>
      </c>
      <c r="U3081">
        <f t="shared" si="485"/>
        <v>1</v>
      </c>
      <c r="V3081">
        <f t="shared" si="486"/>
        <v>1</v>
      </c>
      <c r="W3081">
        <f t="shared" si="487"/>
        <v>1</v>
      </c>
      <c r="X3081">
        <f t="shared" si="488"/>
        <v>0.99999999999999989</v>
      </c>
      <c r="Y3081" t="str">
        <f t="shared" si="489"/>
        <v>Healthy</v>
      </c>
    </row>
    <row r="3082" spans="1:25" x14ac:dyDescent="0.35">
      <c r="A3082" t="s">
        <v>29</v>
      </c>
      <c r="B3082" t="s">
        <v>30</v>
      </c>
      <c r="C3082" t="s">
        <v>31</v>
      </c>
      <c r="D3082" t="s">
        <v>2154</v>
      </c>
      <c r="E3082">
        <v>80749191</v>
      </c>
      <c r="F3082" t="s">
        <v>2155</v>
      </c>
      <c r="G3082" s="3">
        <v>46333</v>
      </c>
      <c r="H3082">
        <v>36</v>
      </c>
      <c r="I3082">
        <v>13</v>
      </c>
      <c r="J3082">
        <v>1</v>
      </c>
      <c r="K3082" s="4">
        <v>750.45</v>
      </c>
      <c r="L3082" s="4">
        <f>0</f>
        <v>0</v>
      </c>
      <c r="M3082" s="4">
        <f>999</f>
        <v>999</v>
      </c>
      <c r="N3082" t="s">
        <v>19</v>
      </c>
      <c r="O3082" t="str">
        <f t="shared" si="480"/>
        <v>High</v>
      </c>
      <c r="P3082" t="str">
        <f t="shared" si="481"/>
        <v>High</v>
      </c>
      <c r="Q3082" t="str">
        <f t="shared" si="482"/>
        <v>High</v>
      </c>
      <c r="R3082" t="s">
        <v>3317</v>
      </c>
      <c r="S3082" s="4">
        <f t="shared" ca="1" si="483"/>
        <v>136</v>
      </c>
      <c r="T3082">
        <f t="shared" si="484"/>
        <v>3</v>
      </c>
      <c r="U3082">
        <f t="shared" si="485"/>
        <v>3</v>
      </c>
      <c r="V3082">
        <f t="shared" si="486"/>
        <v>3</v>
      </c>
      <c r="W3082">
        <f t="shared" si="487"/>
        <v>1</v>
      </c>
      <c r="X3082">
        <f t="shared" si="488"/>
        <v>2.8000000000000003</v>
      </c>
      <c r="Y3082" t="str">
        <f t="shared" si="489"/>
        <v>Move Immediately</v>
      </c>
    </row>
    <row r="3083" spans="1:25" x14ac:dyDescent="0.35">
      <c r="A3083" t="s">
        <v>104</v>
      </c>
      <c r="B3083" t="s">
        <v>105</v>
      </c>
      <c r="C3083" t="s">
        <v>731</v>
      </c>
      <c r="D3083" t="s">
        <v>2156</v>
      </c>
      <c r="E3083">
        <v>80753889</v>
      </c>
      <c r="F3083" t="s">
        <v>2157</v>
      </c>
      <c r="G3083" s="3">
        <v>46778</v>
      </c>
      <c r="H3083">
        <v>24</v>
      </c>
      <c r="I3083">
        <v>81</v>
      </c>
      <c r="J3083">
        <v>18</v>
      </c>
      <c r="K3083" s="4">
        <v>3585.42</v>
      </c>
      <c r="L3083" s="4">
        <v>58.571428571428569</v>
      </c>
      <c r="M3083" s="4">
        <v>0.3073170731707317</v>
      </c>
      <c r="N3083" t="s">
        <v>25</v>
      </c>
      <c r="O3083" t="str">
        <f t="shared" si="480"/>
        <v>Low</v>
      </c>
      <c r="P3083" t="str">
        <f t="shared" si="481"/>
        <v>Low</v>
      </c>
      <c r="Q3083" t="str">
        <f t="shared" si="482"/>
        <v>Low</v>
      </c>
      <c r="R3083" t="s">
        <v>3317</v>
      </c>
      <c r="S3083" s="4">
        <f t="shared" ca="1" si="483"/>
        <v>581</v>
      </c>
      <c r="T3083">
        <f t="shared" si="484"/>
        <v>1</v>
      </c>
      <c r="U3083">
        <f t="shared" si="485"/>
        <v>1</v>
      </c>
      <c r="V3083">
        <f t="shared" si="486"/>
        <v>1</v>
      </c>
      <c r="W3083">
        <f t="shared" si="487"/>
        <v>1</v>
      </c>
      <c r="X3083">
        <f t="shared" si="488"/>
        <v>0.99999999999999989</v>
      </c>
      <c r="Y3083" t="str">
        <f t="shared" si="489"/>
        <v>Healthy</v>
      </c>
    </row>
    <row r="3084" spans="1:25" x14ac:dyDescent="0.35">
      <c r="A3084" t="s">
        <v>104</v>
      </c>
      <c r="B3084" t="s">
        <v>105</v>
      </c>
      <c r="C3084" t="s">
        <v>731</v>
      </c>
      <c r="D3084" t="s">
        <v>2156</v>
      </c>
      <c r="E3084">
        <v>80753889</v>
      </c>
      <c r="F3084" t="s">
        <v>2157</v>
      </c>
      <c r="G3084" s="3">
        <v>46611</v>
      </c>
      <c r="H3084">
        <v>24</v>
      </c>
      <c r="I3084">
        <v>58</v>
      </c>
      <c r="J3084">
        <v>4</v>
      </c>
      <c r="K3084" s="4">
        <v>796.76</v>
      </c>
      <c r="L3084" s="4">
        <v>58.571428571428569</v>
      </c>
      <c r="M3084" s="4">
        <v>6.8292682926829273E-2</v>
      </c>
      <c r="N3084" t="s">
        <v>25</v>
      </c>
      <c r="O3084" t="str">
        <f t="shared" si="480"/>
        <v>Low</v>
      </c>
      <c r="P3084" t="str">
        <f t="shared" si="481"/>
        <v>Low</v>
      </c>
      <c r="Q3084" t="str">
        <f t="shared" si="482"/>
        <v>Low</v>
      </c>
      <c r="R3084" t="s">
        <v>3317</v>
      </c>
      <c r="S3084" s="4">
        <f t="shared" ca="1" si="483"/>
        <v>414</v>
      </c>
      <c r="T3084">
        <f t="shared" si="484"/>
        <v>1</v>
      </c>
      <c r="U3084">
        <f t="shared" si="485"/>
        <v>1</v>
      </c>
      <c r="V3084">
        <f t="shared" si="486"/>
        <v>1</v>
      </c>
      <c r="W3084">
        <f t="shared" si="487"/>
        <v>1</v>
      </c>
      <c r="X3084">
        <f t="shared" si="488"/>
        <v>0.99999999999999989</v>
      </c>
      <c r="Y3084" t="str">
        <f t="shared" si="489"/>
        <v>Healthy</v>
      </c>
    </row>
    <row r="3085" spans="1:25" x14ac:dyDescent="0.35">
      <c r="A3085" t="s">
        <v>104</v>
      </c>
      <c r="B3085" t="s">
        <v>105</v>
      </c>
      <c r="C3085" t="s">
        <v>731</v>
      </c>
      <c r="D3085" t="s">
        <v>2156</v>
      </c>
      <c r="E3085">
        <v>80753889</v>
      </c>
      <c r="F3085" t="s">
        <v>2157</v>
      </c>
      <c r="G3085" s="3">
        <v>46778</v>
      </c>
      <c r="H3085">
        <v>24</v>
      </c>
      <c r="I3085">
        <v>81</v>
      </c>
      <c r="J3085">
        <v>15</v>
      </c>
      <c r="K3085" s="4">
        <v>2987.85</v>
      </c>
      <c r="L3085" s="4">
        <v>58.571428571428569</v>
      </c>
      <c r="M3085" s="4">
        <v>0.25609756097560976</v>
      </c>
      <c r="N3085" t="s">
        <v>25</v>
      </c>
      <c r="O3085" t="str">
        <f t="shared" si="480"/>
        <v>Low</v>
      </c>
      <c r="P3085" t="str">
        <f t="shared" si="481"/>
        <v>Low</v>
      </c>
      <c r="Q3085" t="str">
        <f t="shared" si="482"/>
        <v>Low</v>
      </c>
      <c r="R3085" t="s">
        <v>3317</v>
      </c>
      <c r="S3085" s="4">
        <f t="shared" ca="1" si="483"/>
        <v>581</v>
      </c>
      <c r="T3085">
        <f t="shared" si="484"/>
        <v>1</v>
      </c>
      <c r="U3085">
        <f t="shared" si="485"/>
        <v>1</v>
      </c>
      <c r="V3085">
        <f t="shared" si="486"/>
        <v>1</v>
      </c>
      <c r="W3085">
        <f t="shared" si="487"/>
        <v>1</v>
      </c>
      <c r="X3085">
        <f t="shared" si="488"/>
        <v>0.99999999999999989</v>
      </c>
      <c r="Y3085" t="str">
        <f t="shared" si="489"/>
        <v>Healthy</v>
      </c>
    </row>
    <row r="3086" spans="1:25" x14ac:dyDescent="0.35">
      <c r="A3086" t="s">
        <v>104</v>
      </c>
      <c r="B3086" t="s">
        <v>105</v>
      </c>
      <c r="C3086" t="s">
        <v>731</v>
      </c>
      <c r="D3086" t="s">
        <v>2156</v>
      </c>
      <c r="E3086">
        <v>80753889</v>
      </c>
      <c r="F3086" t="s">
        <v>2157</v>
      </c>
      <c r="G3086" s="3">
        <v>46778</v>
      </c>
      <c r="H3086">
        <v>24</v>
      </c>
      <c r="I3086">
        <v>81</v>
      </c>
      <c r="J3086">
        <v>12</v>
      </c>
      <c r="K3086" s="4">
        <v>2390.2800000000002</v>
      </c>
      <c r="L3086" s="4">
        <v>58.571428571428569</v>
      </c>
      <c r="M3086" s="4">
        <v>0.20487804878048782</v>
      </c>
      <c r="N3086" t="s">
        <v>25</v>
      </c>
      <c r="O3086" t="str">
        <f t="shared" si="480"/>
        <v>Low</v>
      </c>
      <c r="P3086" t="str">
        <f t="shared" si="481"/>
        <v>Low</v>
      </c>
      <c r="Q3086" t="str">
        <f t="shared" si="482"/>
        <v>Low</v>
      </c>
      <c r="R3086" t="s">
        <v>3317</v>
      </c>
      <c r="S3086" s="4">
        <f t="shared" ca="1" si="483"/>
        <v>581</v>
      </c>
      <c r="T3086">
        <f t="shared" si="484"/>
        <v>1</v>
      </c>
      <c r="U3086">
        <f t="shared" si="485"/>
        <v>1</v>
      </c>
      <c r="V3086">
        <f t="shared" si="486"/>
        <v>1</v>
      </c>
      <c r="W3086">
        <f t="shared" si="487"/>
        <v>1</v>
      </c>
      <c r="X3086">
        <f t="shared" si="488"/>
        <v>0.99999999999999989</v>
      </c>
      <c r="Y3086" t="str">
        <f t="shared" si="489"/>
        <v>Healthy</v>
      </c>
    </row>
    <row r="3087" spans="1:25" x14ac:dyDescent="0.35">
      <c r="A3087" t="s">
        <v>104</v>
      </c>
      <c r="B3087" t="s">
        <v>105</v>
      </c>
      <c r="C3087" t="s">
        <v>731</v>
      </c>
      <c r="D3087" t="s">
        <v>2156</v>
      </c>
      <c r="E3087">
        <v>80753889</v>
      </c>
      <c r="F3087" t="s">
        <v>2157</v>
      </c>
      <c r="G3087" s="3">
        <v>46617</v>
      </c>
      <c r="H3087">
        <v>24</v>
      </c>
      <c r="I3087">
        <v>59</v>
      </c>
      <c r="J3087">
        <v>16</v>
      </c>
      <c r="K3087" s="4">
        <v>3187.04</v>
      </c>
      <c r="L3087" s="4">
        <v>58.571428571428569</v>
      </c>
      <c r="M3087" s="4">
        <v>0.27317073170731709</v>
      </c>
      <c r="N3087" t="s">
        <v>25</v>
      </c>
      <c r="O3087" t="str">
        <f t="shared" si="480"/>
        <v>Low</v>
      </c>
      <c r="P3087" t="str">
        <f t="shared" si="481"/>
        <v>Low</v>
      </c>
      <c r="Q3087" t="str">
        <f t="shared" si="482"/>
        <v>Low</v>
      </c>
      <c r="R3087" t="s">
        <v>3317</v>
      </c>
      <c r="S3087" s="4">
        <f t="shared" ca="1" si="483"/>
        <v>420</v>
      </c>
      <c r="T3087">
        <f t="shared" si="484"/>
        <v>1</v>
      </c>
      <c r="U3087">
        <f t="shared" si="485"/>
        <v>1</v>
      </c>
      <c r="V3087">
        <f t="shared" si="486"/>
        <v>1</v>
      </c>
      <c r="W3087">
        <f t="shared" si="487"/>
        <v>1</v>
      </c>
      <c r="X3087">
        <f t="shared" si="488"/>
        <v>0.99999999999999989</v>
      </c>
      <c r="Y3087" t="str">
        <f t="shared" si="489"/>
        <v>Healthy</v>
      </c>
    </row>
    <row r="3088" spans="1:25" x14ac:dyDescent="0.35">
      <c r="A3088" t="s">
        <v>104</v>
      </c>
      <c r="B3088" t="s">
        <v>105</v>
      </c>
      <c r="C3088" t="s">
        <v>731</v>
      </c>
      <c r="D3088" t="s">
        <v>2156</v>
      </c>
      <c r="E3088">
        <v>80753889</v>
      </c>
      <c r="F3088" t="s">
        <v>2157</v>
      </c>
      <c r="G3088" s="3">
        <v>46686</v>
      </c>
      <c r="H3088">
        <v>24</v>
      </c>
      <c r="I3088">
        <v>69</v>
      </c>
      <c r="J3088">
        <v>17</v>
      </c>
      <c r="K3088" s="4">
        <v>3386.23</v>
      </c>
      <c r="L3088" s="4">
        <v>58.571428571428569</v>
      </c>
      <c r="M3088" s="4">
        <v>0.29024390243902443</v>
      </c>
      <c r="N3088" t="s">
        <v>25</v>
      </c>
      <c r="O3088" t="str">
        <f t="shared" si="480"/>
        <v>Low</v>
      </c>
      <c r="P3088" t="str">
        <f t="shared" si="481"/>
        <v>Low</v>
      </c>
      <c r="Q3088" t="str">
        <f t="shared" si="482"/>
        <v>Low</v>
      </c>
      <c r="R3088" t="s">
        <v>3317</v>
      </c>
      <c r="S3088" s="4">
        <f t="shared" ca="1" si="483"/>
        <v>489</v>
      </c>
      <c r="T3088">
        <f t="shared" si="484"/>
        <v>1</v>
      </c>
      <c r="U3088">
        <f t="shared" si="485"/>
        <v>1</v>
      </c>
      <c r="V3088">
        <f t="shared" si="486"/>
        <v>1</v>
      </c>
      <c r="W3088">
        <f t="shared" si="487"/>
        <v>1</v>
      </c>
      <c r="X3088">
        <f t="shared" si="488"/>
        <v>0.99999999999999989</v>
      </c>
      <c r="Y3088" t="str">
        <f t="shared" si="489"/>
        <v>Healthy</v>
      </c>
    </row>
    <row r="3089" spans="1:25" x14ac:dyDescent="0.35">
      <c r="A3089" t="s">
        <v>104</v>
      </c>
      <c r="B3089" t="s">
        <v>105</v>
      </c>
      <c r="C3089" t="s">
        <v>731</v>
      </c>
      <c r="D3089" t="s">
        <v>2156</v>
      </c>
      <c r="E3089">
        <v>80753889</v>
      </c>
      <c r="F3089" t="s">
        <v>2157</v>
      </c>
      <c r="G3089" s="3">
        <v>46617</v>
      </c>
      <c r="H3089">
        <v>24</v>
      </c>
      <c r="I3089">
        <v>59</v>
      </c>
      <c r="J3089">
        <v>9</v>
      </c>
      <c r="K3089" s="4">
        <v>1792.71</v>
      </c>
      <c r="L3089" s="4">
        <v>58.571428571428569</v>
      </c>
      <c r="M3089" s="4">
        <v>0.15365853658536585</v>
      </c>
      <c r="N3089" t="s">
        <v>25</v>
      </c>
      <c r="O3089" t="str">
        <f t="shared" si="480"/>
        <v>Low</v>
      </c>
      <c r="P3089" t="str">
        <f t="shared" si="481"/>
        <v>Low</v>
      </c>
      <c r="Q3089" t="str">
        <f t="shared" si="482"/>
        <v>Low</v>
      </c>
      <c r="R3089" t="s">
        <v>3317</v>
      </c>
      <c r="S3089" s="4">
        <f t="shared" ca="1" si="483"/>
        <v>420</v>
      </c>
      <c r="T3089">
        <f t="shared" si="484"/>
        <v>1</v>
      </c>
      <c r="U3089">
        <f t="shared" si="485"/>
        <v>1</v>
      </c>
      <c r="V3089">
        <f t="shared" si="486"/>
        <v>1</v>
      </c>
      <c r="W3089">
        <f t="shared" si="487"/>
        <v>1</v>
      </c>
      <c r="X3089">
        <f t="shared" si="488"/>
        <v>0.99999999999999989</v>
      </c>
      <c r="Y3089" t="str">
        <f t="shared" si="489"/>
        <v>Healthy</v>
      </c>
    </row>
    <row r="3090" spans="1:25" x14ac:dyDescent="0.35">
      <c r="A3090" t="s">
        <v>104</v>
      </c>
      <c r="B3090" t="s">
        <v>105</v>
      </c>
      <c r="C3090" t="s">
        <v>731</v>
      </c>
      <c r="D3090" t="s">
        <v>2156</v>
      </c>
      <c r="E3090">
        <v>80753889</v>
      </c>
      <c r="F3090" t="s">
        <v>2157</v>
      </c>
      <c r="G3090" s="3">
        <v>45842</v>
      </c>
      <c r="H3090">
        <v>24</v>
      </c>
      <c r="I3090">
        <v>0</v>
      </c>
      <c r="J3090">
        <v>5</v>
      </c>
      <c r="K3090" s="4">
        <v>995.95</v>
      </c>
      <c r="L3090" s="4">
        <v>58.571428571428569</v>
      </c>
      <c r="M3090" s="4">
        <v>8.5365853658536592E-2</v>
      </c>
      <c r="N3090" t="s">
        <v>25</v>
      </c>
      <c r="O3090" t="str">
        <f t="shared" si="480"/>
        <v>High</v>
      </c>
      <c r="P3090" t="str">
        <f t="shared" si="481"/>
        <v>Low</v>
      </c>
      <c r="Q3090" t="str">
        <f t="shared" si="482"/>
        <v>Low</v>
      </c>
      <c r="R3090" t="s">
        <v>3317</v>
      </c>
      <c r="S3090" s="4">
        <f t="shared" ca="1" si="483"/>
        <v>-355</v>
      </c>
      <c r="T3090">
        <f t="shared" si="484"/>
        <v>3</v>
      </c>
      <c r="U3090">
        <f t="shared" si="485"/>
        <v>1</v>
      </c>
      <c r="V3090">
        <f t="shared" si="486"/>
        <v>1</v>
      </c>
      <c r="W3090">
        <f t="shared" si="487"/>
        <v>1</v>
      </c>
      <c r="X3090">
        <f t="shared" si="488"/>
        <v>1.8000000000000003</v>
      </c>
      <c r="Y3090" t="str">
        <f t="shared" si="489"/>
        <v>Monitor</v>
      </c>
    </row>
    <row r="3091" spans="1:25" x14ac:dyDescent="0.35">
      <c r="A3091" t="s">
        <v>29</v>
      </c>
      <c r="B3091" t="s">
        <v>30</v>
      </c>
      <c r="C3091" t="s">
        <v>2158</v>
      </c>
      <c r="D3091" t="s">
        <v>2159</v>
      </c>
      <c r="E3091">
        <v>82314481</v>
      </c>
      <c r="F3091" t="s">
        <v>2160</v>
      </c>
      <c r="G3091" s="3">
        <v>44838</v>
      </c>
      <c r="H3091">
        <v>36</v>
      </c>
      <c r="I3091">
        <v>0</v>
      </c>
      <c r="J3091">
        <v>2</v>
      </c>
      <c r="K3091" s="4">
        <v>311.77999999999997</v>
      </c>
      <c r="L3091" s="4">
        <f>0</f>
        <v>0</v>
      </c>
      <c r="M3091" s="4">
        <f>999</f>
        <v>999</v>
      </c>
      <c r="N3091" t="s">
        <v>19</v>
      </c>
      <c r="O3091" t="str">
        <f t="shared" si="480"/>
        <v>High</v>
      </c>
      <c r="P3091" t="str">
        <f t="shared" si="481"/>
        <v>High</v>
      </c>
      <c r="Q3091" t="str">
        <f t="shared" si="482"/>
        <v>High</v>
      </c>
      <c r="R3091" t="s">
        <v>3317</v>
      </c>
      <c r="S3091" s="4">
        <f t="shared" ca="1" si="483"/>
        <v>-1359</v>
      </c>
      <c r="T3091">
        <f t="shared" si="484"/>
        <v>3</v>
      </c>
      <c r="U3091">
        <f t="shared" si="485"/>
        <v>3</v>
      </c>
      <c r="V3091">
        <f t="shared" si="486"/>
        <v>3</v>
      </c>
      <c r="W3091">
        <f t="shared" si="487"/>
        <v>1</v>
      </c>
      <c r="X3091">
        <f t="shared" si="488"/>
        <v>2.8000000000000003</v>
      </c>
      <c r="Y3091" t="str">
        <f t="shared" si="489"/>
        <v>Move Immediately</v>
      </c>
    </row>
    <row r="3092" spans="1:25" x14ac:dyDescent="0.35">
      <c r="A3092" t="s">
        <v>29</v>
      </c>
      <c r="B3092" t="s">
        <v>30</v>
      </c>
      <c r="C3092" t="s">
        <v>391</v>
      </c>
      <c r="D3092" t="s">
        <v>882</v>
      </c>
      <c r="E3092">
        <v>80739175</v>
      </c>
      <c r="F3092" t="s">
        <v>2161</v>
      </c>
      <c r="G3092" s="3">
        <v>46355</v>
      </c>
      <c r="H3092">
        <v>36</v>
      </c>
      <c r="I3092">
        <v>15</v>
      </c>
      <c r="J3092">
        <v>18</v>
      </c>
      <c r="K3092" s="4">
        <v>6445.98</v>
      </c>
      <c r="L3092" s="4">
        <v>0.42857142857142855</v>
      </c>
      <c r="M3092" s="4">
        <v>42</v>
      </c>
      <c r="N3092" t="s">
        <v>19</v>
      </c>
      <c r="O3092" t="str">
        <f t="shared" si="480"/>
        <v>High</v>
      </c>
      <c r="P3092" t="str">
        <f t="shared" si="481"/>
        <v>High</v>
      </c>
      <c r="Q3092" t="str">
        <f t="shared" si="482"/>
        <v>High</v>
      </c>
      <c r="R3092" t="s">
        <v>3317</v>
      </c>
      <c r="S3092" s="4">
        <f t="shared" ca="1" si="483"/>
        <v>158</v>
      </c>
      <c r="T3092">
        <f t="shared" si="484"/>
        <v>3</v>
      </c>
      <c r="U3092">
        <f t="shared" si="485"/>
        <v>3</v>
      </c>
      <c r="V3092">
        <f t="shared" si="486"/>
        <v>3</v>
      </c>
      <c r="W3092">
        <f t="shared" si="487"/>
        <v>1</v>
      </c>
      <c r="X3092">
        <f t="shared" si="488"/>
        <v>2.8000000000000003</v>
      </c>
      <c r="Y3092" t="str">
        <f t="shared" si="489"/>
        <v>Move Immediately</v>
      </c>
    </row>
    <row r="3093" spans="1:25" x14ac:dyDescent="0.35">
      <c r="A3093" t="s">
        <v>29</v>
      </c>
      <c r="B3093" t="s">
        <v>30</v>
      </c>
      <c r="C3093" t="s">
        <v>391</v>
      </c>
      <c r="D3093" t="s">
        <v>882</v>
      </c>
      <c r="E3093">
        <v>80739175</v>
      </c>
      <c r="F3093" t="s">
        <v>2161</v>
      </c>
      <c r="G3093" s="3">
        <v>46139</v>
      </c>
      <c r="H3093">
        <v>36</v>
      </c>
      <c r="I3093">
        <v>0</v>
      </c>
      <c r="J3093">
        <v>1</v>
      </c>
      <c r="K3093" s="4">
        <v>358.11</v>
      </c>
      <c r="L3093" s="4">
        <v>0.42857142857142855</v>
      </c>
      <c r="M3093" s="4">
        <v>2.3333333333333335</v>
      </c>
      <c r="N3093" t="s">
        <v>25</v>
      </c>
      <c r="O3093" t="str">
        <f t="shared" si="480"/>
        <v>High</v>
      </c>
      <c r="P3093" t="str">
        <f t="shared" si="481"/>
        <v>Low</v>
      </c>
      <c r="Q3093" t="str">
        <f t="shared" si="482"/>
        <v>High</v>
      </c>
      <c r="R3093" t="s">
        <v>3317</v>
      </c>
      <c r="S3093" s="4">
        <f t="shared" ca="1" si="483"/>
        <v>-58</v>
      </c>
      <c r="T3093">
        <f t="shared" si="484"/>
        <v>3</v>
      </c>
      <c r="U3093">
        <f t="shared" si="485"/>
        <v>1</v>
      </c>
      <c r="V3093">
        <f t="shared" si="486"/>
        <v>3</v>
      </c>
      <c r="W3093">
        <f t="shared" si="487"/>
        <v>1</v>
      </c>
      <c r="X3093">
        <f t="shared" si="488"/>
        <v>2.2000000000000006</v>
      </c>
      <c r="Y3093" t="str">
        <f t="shared" si="489"/>
        <v>High Priority</v>
      </c>
    </row>
    <row r="3094" spans="1:25" x14ac:dyDescent="0.35">
      <c r="A3094" t="s">
        <v>29</v>
      </c>
      <c r="B3094" t="s">
        <v>30</v>
      </c>
      <c r="C3094" t="s">
        <v>391</v>
      </c>
      <c r="D3094" t="s">
        <v>882</v>
      </c>
      <c r="E3094">
        <v>80739175</v>
      </c>
      <c r="F3094" t="s">
        <v>2161</v>
      </c>
      <c r="G3094" s="3">
        <v>46327</v>
      </c>
      <c r="H3094">
        <v>36</v>
      </c>
      <c r="I3094">
        <v>13</v>
      </c>
      <c r="J3094">
        <v>12</v>
      </c>
      <c r="K3094" s="4">
        <v>4297.32</v>
      </c>
      <c r="L3094" s="4">
        <v>0.42857142857142855</v>
      </c>
      <c r="M3094" s="4">
        <v>28</v>
      </c>
      <c r="N3094" t="s">
        <v>19</v>
      </c>
      <c r="O3094" t="str">
        <f t="shared" si="480"/>
        <v>High</v>
      </c>
      <c r="P3094" t="str">
        <f t="shared" si="481"/>
        <v>High</v>
      </c>
      <c r="Q3094" t="str">
        <f t="shared" si="482"/>
        <v>High</v>
      </c>
      <c r="R3094" t="s">
        <v>3317</v>
      </c>
      <c r="S3094" s="4">
        <f t="shared" ca="1" si="483"/>
        <v>130</v>
      </c>
      <c r="T3094">
        <f t="shared" si="484"/>
        <v>3</v>
      </c>
      <c r="U3094">
        <f t="shared" si="485"/>
        <v>3</v>
      </c>
      <c r="V3094">
        <f t="shared" si="486"/>
        <v>3</v>
      </c>
      <c r="W3094">
        <f t="shared" si="487"/>
        <v>1</v>
      </c>
      <c r="X3094">
        <f t="shared" si="488"/>
        <v>2.8000000000000003</v>
      </c>
      <c r="Y3094" t="str">
        <f t="shared" si="489"/>
        <v>Move Immediately</v>
      </c>
    </row>
    <row r="3095" spans="1:25" x14ac:dyDescent="0.35">
      <c r="A3095" t="s">
        <v>41</v>
      </c>
      <c r="B3095" t="s">
        <v>54</v>
      </c>
      <c r="C3095" t="s">
        <v>55</v>
      </c>
      <c r="D3095" t="s">
        <v>2162</v>
      </c>
      <c r="E3095">
        <v>80765525</v>
      </c>
      <c r="F3095" t="s">
        <v>2163</v>
      </c>
      <c r="G3095" s="3">
        <v>46379</v>
      </c>
      <c r="H3095">
        <v>36</v>
      </c>
      <c r="I3095">
        <v>17</v>
      </c>
      <c r="J3095">
        <v>24</v>
      </c>
      <c r="K3095" s="4">
        <v>18102.240000000002</v>
      </c>
      <c r="L3095" s="4">
        <f>0</f>
        <v>0</v>
      </c>
      <c r="M3095" s="4">
        <f>999</f>
        <v>999</v>
      </c>
      <c r="N3095" t="s">
        <v>19</v>
      </c>
      <c r="O3095" t="str">
        <f t="shared" si="480"/>
        <v>High</v>
      </c>
      <c r="P3095" t="str">
        <f t="shared" si="481"/>
        <v>High</v>
      </c>
      <c r="Q3095" t="str">
        <f t="shared" si="482"/>
        <v>High</v>
      </c>
      <c r="R3095" t="s">
        <v>3317</v>
      </c>
      <c r="S3095" s="4">
        <f t="shared" ca="1" si="483"/>
        <v>182</v>
      </c>
      <c r="T3095">
        <f t="shared" si="484"/>
        <v>3</v>
      </c>
      <c r="U3095">
        <f t="shared" si="485"/>
        <v>3</v>
      </c>
      <c r="V3095">
        <f t="shared" si="486"/>
        <v>3</v>
      </c>
      <c r="W3095">
        <f t="shared" si="487"/>
        <v>1</v>
      </c>
      <c r="X3095">
        <f t="shared" si="488"/>
        <v>2.8000000000000003</v>
      </c>
      <c r="Y3095" t="str">
        <f t="shared" si="489"/>
        <v>Move Immediately</v>
      </c>
    </row>
    <row r="3096" spans="1:25" x14ac:dyDescent="0.35">
      <c r="A3096" t="s">
        <v>20</v>
      </c>
      <c r="B3096" t="s">
        <v>21</v>
      </c>
      <c r="C3096" t="s">
        <v>133</v>
      </c>
      <c r="D3096" t="s">
        <v>134</v>
      </c>
      <c r="E3096">
        <v>80739148</v>
      </c>
      <c r="F3096" t="s">
        <v>2164</v>
      </c>
      <c r="G3096" s="3">
        <v>46768</v>
      </c>
      <c r="H3096">
        <v>36</v>
      </c>
      <c r="I3096">
        <v>53</v>
      </c>
      <c r="J3096">
        <v>8</v>
      </c>
      <c r="K3096" s="4">
        <v>14558.4</v>
      </c>
      <c r="L3096" s="4">
        <v>29.428571428571427</v>
      </c>
      <c r="M3096" s="4">
        <v>0.27184466019417475</v>
      </c>
      <c r="N3096" t="s">
        <v>25</v>
      </c>
      <c r="O3096" t="str">
        <f t="shared" si="480"/>
        <v>Low</v>
      </c>
      <c r="P3096" t="str">
        <f t="shared" si="481"/>
        <v>Low</v>
      </c>
      <c r="Q3096" t="str">
        <f t="shared" si="482"/>
        <v>Low</v>
      </c>
      <c r="R3096" t="s">
        <v>3317</v>
      </c>
      <c r="S3096" s="4">
        <f t="shared" ca="1" si="483"/>
        <v>571</v>
      </c>
      <c r="T3096">
        <f t="shared" si="484"/>
        <v>1</v>
      </c>
      <c r="U3096">
        <f t="shared" si="485"/>
        <v>1</v>
      </c>
      <c r="V3096">
        <f t="shared" si="486"/>
        <v>1</v>
      </c>
      <c r="W3096">
        <f t="shared" si="487"/>
        <v>1</v>
      </c>
      <c r="X3096">
        <f t="shared" si="488"/>
        <v>0.99999999999999989</v>
      </c>
      <c r="Y3096" t="str">
        <f t="shared" si="489"/>
        <v>Healthy</v>
      </c>
    </row>
    <row r="3097" spans="1:25" x14ac:dyDescent="0.35">
      <c r="A3097" t="s">
        <v>20</v>
      </c>
      <c r="B3097" t="s">
        <v>21</v>
      </c>
      <c r="C3097" t="s">
        <v>133</v>
      </c>
      <c r="D3097" t="s">
        <v>134</v>
      </c>
      <c r="E3097">
        <v>80739148</v>
      </c>
      <c r="F3097" t="s">
        <v>2164</v>
      </c>
      <c r="G3097" s="3">
        <v>46957</v>
      </c>
      <c r="H3097">
        <v>36</v>
      </c>
      <c r="I3097">
        <v>71</v>
      </c>
      <c r="J3097">
        <v>14</v>
      </c>
      <c r="K3097" s="4">
        <v>25477.200000000001</v>
      </c>
      <c r="L3097" s="4">
        <v>29.428571428571427</v>
      </c>
      <c r="M3097" s="4">
        <v>0.47572815533980584</v>
      </c>
      <c r="N3097" t="s">
        <v>25</v>
      </c>
      <c r="O3097" t="str">
        <f t="shared" si="480"/>
        <v>Low</v>
      </c>
      <c r="P3097" t="str">
        <f t="shared" si="481"/>
        <v>Low</v>
      </c>
      <c r="Q3097" t="str">
        <f t="shared" si="482"/>
        <v>Low</v>
      </c>
      <c r="R3097" t="s">
        <v>3317</v>
      </c>
      <c r="S3097" s="4">
        <f t="shared" ca="1" si="483"/>
        <v>760</v>
      </c>
      <c r="T3097">
        <f t="shared" si="484"/>
        <v>1</v>
      </c>
      <c r="U3097">
        <f t="shared" si="485"/>
        <v>1</v>
      </c>
      <c r="V3097">
        <f t="shared" si="486"/>
        <v>1</v>
      </c>
      <c r="W3097">
        <f t="shared" si="487"/>
        <v>1</v>
      </c>
      <c r="X3097">
        <f t="shared" si="488"/>
        <v>0.99999999999999989</v>
      </c>
      <c r="Y3097" t="str">
        <f t="shared" si="489"/>
        <v>Healthy</v>
      </c>
    </row>
    <row r="3098" spans="1:25" x14ac:dyDescent="0.35">
      <c r="A3098" t="s">
        <v>14</v>
      </c>
      <c r="B3098" t="s">
        <v>115</v>
      </c>
      <c r="C3098" t="s">
        <v>469</v>
      </c>
      <c r="D3098" t="s">
        <v>1165</v>
      </c>
      <c r="E3098">
        <v>80778559</v>
      </c>
      <c r="F3098" t="s">
        <v>2165</v>
      </c>
      <c r="G3098" s="3">
        <v>47151</v>
      </c>
      <c r="H3098">
        <v>60</v>
      </c>
      <c r="I3098">
        <v>53</v>
      </c>
      <c r="J3098">
        <v>363</v>
      </c>
      <c r="K3098" s="4">
        <v>9372.66</v>
      </c>
      <c r="L3098" s="4">
        <f>0</f>
        <v>0</v>
      </c>
      <c r="M3098" s="4">
        <f>999</f>
        <v>999</v>
      </c>
      <c r="N3098" t="s">
        <v>19</v>
      </c>
      <c r="O3098" t="str">
        <f t="shared" si="480"/>
        <v>Low</v>
      </c>
      <c r="P3098" t="str">
        <f t="shared" si="481"/>
        <v>High</v>
      </c>
      <c r="Q3098" t="str">
        <f t="shared" si="482"/>
        <v>High</v>
      </c>
      <c r="R3098" t="s">
        <v>3317</v>
      </c>
      <c r="S3098" s="4">
        <f t="shared" ca="1" si="483"/>
        <v>954</v>
      </c>
      <c r="T3098">
        <f t="shared" si="484"/>
        <v>1</v>
      </c>
      <c r="U3098">
        <f t="shared" si="485"/>
        <v>3</v>
      </c>
      <c r="V3098">
        <f t="shared" si="486"/>
        <v>3</v>
      </c>
      <c r="W3098">
        <f t="shared" si="487"/>
        <v>1</v>
      </c>
      <c r="X3098">
        <f t="shared" si="488"/>
        <v>2</v>
      </c>
      <c r="Y3098" t="str">
        <f t="shared" si="489"/>
        <v>Monitor</v>
      </c>
    </row>
    <row r="3099" spans="1:25" x14ac:dyDescent="0.35">
      <c r="A3099" t="s">
        <v>14</v>
      </c>
      <c r="B3099" t="s">
        <v>115</v>
      </c>
      <c r="C3099" t="s">
        <v>469</v>
      </c>
      <c r="D3099" t="s">
        <v>1165</v>
      </c>
      <c r="E3099">
        <v>80778559</v>
      </c>
      <c r="F3099" t="s">
        <v>2165</v>
      </c>
      <c r="G3099" s="3">
        <v>47317</v>
      </c>
      <c r="H3099">
        <v>60</v>
      </c>
      <c r="I3099">
        <v>63</v>
      </c>
      <c r="J3099">
        <v>128</v>
      </c>
      <c r="K3099" s="4">
        <v>3304.96</v>
      </c>
      <c r="L3099" s="4">
        <f>0</f>
        <v>0</v>
      </c>
      <c r="M3099" s="4">
        <f>999</f>
        <v>999</v>
      </c>
      <c r="N3099" t="s">
        <v>19</v>
      </c>
      <c r="O3099" t="str">
        <f t="shared" si="480"/>
        <v>Low</v>
      </c>
      <c r="P3099" t="str">
        <f t="shared" si="481"/>
        <v>High</v>
      </c>
      <c r="Q3099" t="str">
        <f t="shared" si="482"/>
        <v>High</v>
      </c>
      <c r="R3099" t="s">
        <v>3317</v>
      </c>
      <c r="S3099" s="4">
        <f t="shared" ca="1" si="483"/>
        <v>1120</v>
      </c>
      <c r="T3099">
        <f t="shared" si="484"/>
        <v>1</v>
      </c>
      <c r="U3099">
        <f t="shared" si="485"/>
        <v>3</v>
      </c>
      <c r="V3099">
        <f t="shared" si="486"/>
        <v>3</v>
      </c>
      <c r="W3099">
        <f t="shared" si="487"/>
        <v>1</v>
      </c>
      <c r="X3099">
        <f t="shared" si="488"/>
        <v>2</v>
      </c>
      <c r="Y3099" t="str">
        <f t="shared" si="489"/>
        <v>Monitor</v>
      </c>
    </row>
    <row r="3100" spans="1:25" x14ac:dyDescent="0.35">
      <c r="A3100" t="s">
        <v>41</v>
      </c>
      <c r="B3100" t="s">
        <v>54</v>
      </c>
      <c r="C3100" t="s">
        <v>87</v>
      </c>
      <c r="D3100" t="s">
        <v>95</v>
      </c>
      <c r="E3100">
        <v>80687541</v>
      </c>
      <c r="F3100" t="s">
        <v>2166</v>
      </c>
      <c r="G3100" s="3">
        <v>47020</v>
      </c>
      <c r="H3100">
        <v>36</v>
      </c>
      <c r="I3100">
        <v>77</v>
      </c>
      <c r="J3100">
        <v>3</v>
      </c>
      <c r="K3100" s="4">
        <v>1887.36</v>
      </c>
      <c r="L3100" s="4">
        <f>0</f>
        <v>0</v>
      </c>
      <c r="M3100" s="4">
        <f>999</f>
        <v>999</v>
      </c>
      <c r="N3100" t="s">
        <v>19</v>
      </c>
      <c r="O3100" t="str">
        <f t="shared" si="480"/>
        <v>Low</v>
      </c>
      <c r="P3100" t="str">
        <f t="shared" si="481"/>
        <v>High</v>
      </c>
      <c r="Q3100" t="str">
        <f t="shared" si="482"/>
        <v>High</v>
      </c>
      <c r="R3100" t="s">
        <v>3317</v>
      </c>
      <c r="S3100" s="4">
        <f t="shared" ca="1" si="483"/>
        <v>823</v>
      </c>
      <c r="T3100">
        <f t="shared" si="484"/>
        <v>1</v>
      </c>
      <c r="U3100">
        <f t="shared" si="485"/>
        <v>3</v>
      </c>
      <c r="V3100">
        <f t="shared" si="486"/>
        <v>3</v>
      </c>
      <c r="W3100">
        <f t="shared" si="487"/>
        <v>1</v>
      </c>
      <c r="X3100">
        <f t="shared" si="488"/>
        <v>2</v>
      </c>
      <c r="Y3100" t="str">
        <f t="shared" si="489"/>
        <v>Monitor</v>
      </c>
    </row>
    <row r="3101" spans="1:25" x14ac:dyDescent="0.35">
      <c r="A3101" t="s">
        <v>99</v>
      </c>
      <c r="B3101" t="s">
        <v>100</v>
      </c>
      <c r="C3101" t="s">
        <v>101</v>
      </c>
      <c r="D3101" t="s">
        <v>2167</v>
      </c>
      <c r="E3101">
        <v>80762960</v>
      </c>
      <c r="F3101" t="s">
        <v>2168</v>
      </c>
      <c r="G3101" s="3">
        <v>46401</v>
      </c>
      <c r="H3101">
        <v>18</v>
      </c>
      <c r="I3101">
        <v>39</v>
      </c>
      <c r="J3101">
        <v>69</v>
      </c>
      <c r="K3101" s="4">
        <v>7096.65</v>
      </c>
      <c r="L3101" s="4">
        <v>111.28571428571429</v>
      </c>
      <c r="M3101" s="4">
        <v>0.62002567394094987</v>
      </c>
      <c r="N3101" t="s">
        <v>25</v>
      </c>
      <c r="O3101" t="str">
        <f t="shared" si="480"/>
        <v>Medium</v>
      </c>
      <c r="P3101" t="str">
        <f t="shared" si="481"/>
        <v>Low</v>
      </c>
      <c r="Q3101" t="str">
        <f t="shared" si="482"/>
        <v>Low</v>
      </c>
      <c r="R3101" t="s">
        <v>3317</v>
      </c>
      <c r="S3101" s="4">
        <f t="shared" ca="1" si="483"/>
        <v>204</v>
      </c>
      <c r="T3101">
        <f t="shared" si="484"/>
        <v>2</v>
      </c>
      <c r="U3101">
        <f t="shared" si="485"/>
        <v>1</v>
      </c>
      <c r="V3101">
        <f t="shared" si="486"/>
        <v>1</v>
      </c>
      <c r="W3101">
        <f t="shared" si="487"/>
        <v>1</v>
      </c>
      <c r="X3101">
        <f t="shared" si="488"/>
        <v>1.4000000000000001</v>
      </c>
      <c r="Y3101" t="str">
        <f t="shared" si="489"/>
        <v>Healthy</v>
      </c>
    </row>
    <row r="3102" spans="1:25" x14ac:dyDescent="0.35">
      <c r="A3102" t="s">
        <v>41</v>
      </c>
      <c r="B3102" t="s">
        <v>54</v>
      </c>
      <c r="C3102" t="s">
        <v>87</v>
      </c>
      <c r="D3102" t="s">
        <v>95</v>
      </c>
      <c r="E3102">
        <v>80687541</v>
      </c>
      <c r="F3102" t="s">
        <v>2166</v>
      </c>
      <c r="G3102" s="3">
        <v>47020</v>
      </c>
      <c r="H3102">
        <v>36</v>
      </c>
      <c r="I3102">
        <v>77</v>
      </c>
      <c r="J3102">
        <v>21</v>
      </c>
      <c r="K3102" s="4">
        <v>13211.52</v>
      </c>
      <c r="L3102" s="4">
        <f>0</f>
        <v>0</v>
      </c>
      <c r="M3102" s="4">
        <f>999</f>
        <v>999</v>
      </c>
      <c r="N3102" t="s">
        <v>19</v>
      </c>
      <c r="O3102" t="str">
        <f t="shared" si="480"/>
        <v>Low</v>
      </c>
      <c r="P3102" t="str">
        <f t="shared" si="481"/>
        <v>High</v>
      </c>
      <c r="Q3102" t="str">
        <f t="shared" si="482"/>
        <v>High</v>
      </c>
      <c r="R3102" t="s">
        <v>3317</v>
      </c>
      <c r="S3102" s="4">
        <f t="shared" ca="1" si="483"/>
        <v>823</v>
      </c>
      <c r="T3102">
        <f t="shared" si="484"/>
        <v>1</v>
      </c>
      <c r="U3102">
        <f t="shared" si="485"/>
        <v>3</v>
      </c>
      <c r="V3102">
        <f t="shared" si="486"/>
        <v>3</v>
      </c>
      <c r="W3102">
        <f t="shared" si="487"/>
        <v>1</v>
      </c>
      <c r="X3102">
        <f t="shared" si="488"/>
        <v>2</v>
      </c>
      <c r="Y3102" t="str">
        <f t="shared" si="489"/>
        <v>Monitor</v>
      </c>
    </row>
    <row r="3103" spans="1:25" x14ac:dyDescent="0.35">
      <c r="A3103" t="s">
        <v>99</v>
      </c>
      <c r="B3103" t="s">
        <v>100</v>
      </c>
      <c r="C3103" t="s">
        <v>101</v>
      </c>
      <c r="D3103" t="s">
        <v>2167</v>
      </c>
      <c r="E3103">
        <v>80762960</v>
      </c>
      <c r="F3103" t="s">
        <v>2168</v>
      </c>
      <c r="G3103" s="3">
        <v>46586</v>
      </c>
      <c r="H3103">
        <v>18</v>
      </c>
      <c r="I3103">
        <v>73</v>
      </c>
      <c r="J3103">
        <v>5351</v>
      </c>
      <c r="K3103" s="4">
        <v>550350.35</v>
      </c>
      <c r="L3103" s="4">
        <v>111.28571428571429</v>
      </c>
      <c r="M3103" s="4">
        <v>48.08344030808729</v>
      </c>
      <c r="N3103" t="s">
        <v>19</v>
      </c>
      <c r="O3103" t="str">
        <f t="shared" si="480"/>
        <v>Low</v>
      </c>
      <c r="P3103" t="str">
        <f t="shared" si="481"/>
        <v>High</v>
      </c>
      <c r="Q3103" t="str">
        <f t="shared" si="482"/>
        <v>Low</v>
      </c>
      <c r="R3103" t="s">
        <v>3309</v>
      </c>
      <c r="S3103" s="4">
        <f t="shared" ca="1" si="483"/>
        <v>389</v>
      </c>
      <c r="T3103">
        <f t="shared" si="484"/>
        <v>1</v>
      </c>
      <c r="U3103">
        <f t="shared" si="485"/>
        <v>3</v>
      </c>
      <c r="V3103">
        <f t="shared" si="486"/>
        <v>1</v>
      </c>
      <c r="W3103">
        <f t="shared" si="487"/>
        <v>3</v>
      </c>
      <c r="X3103">
        <f t="shared" si="488"/>
        <v>1.7999999999999998</v>
      </c>
      <c r="Y3103" t="str">
        <f t="shared" si="489"/>
        <v>Monitor</v>
      </c>
    </row>
    <row r="3104" spans="1:25" x14ac:dyDescent="0.35">
      <c r="A3104" t="s">
        <v>71</v>
      </c>
      <c r="B3104" t="s">
        <v>72</v>
      </c>
      <c r="C3104" t="s">
        <v>174</v>
      </c>
      <c r="D3104" t="s">
        <v>1639</v>
      </c>
      <c r="E3104">
        <v>80774677</v>
      </c>
      <c r="F3104" t="s">
        <v>2169</v>
      </c>
      <c r="G3104" s="3">
        <v>46572</v>
      </c>
      <c r="H3104">
        <v>36</v>
      </c>
      <c r="I3104">
        <v>35</v>
      </c>
      <c r="J3104">
        <v>14</v>
      </c>
      <c r="K3104" s="4">
        <v>3272.22</v>
      </c>
      <c r="L3104" s="4">
        <f>0</f>
        <v>0</v>
      </c>
      <c r="M3104" s="4">
        <f>999</f>
        <v>999</v>
      </c>
      <c r="N3104" t="s">
        <v>19</v>
      </c>
      <c r="O3104" t="str">
        <f t="shared" si="480"/>
        <v>Medium</v>
      </c>
      <c r="P3104" t="str">
        <f t="shared" si="481"/>
        <v>High</v>
      </c>
      <c r="Q3104" t="str">
        <f t="shared" si="482"/>
        <v>High</v>
      </c>
      <c r="R3104" t="s">
        <v>3317</v>
      </c>
      <c r="S3104" s="4">
        <f t="shared" ca="1" si="483"/>
        <v>375</v>
      </c>
      <c r="T3104">
        <f t="shared" si="484"/>
        <v>2</v>
      </c>
      <c r="U3104">
        <f t="shared" si="485"/>
        <v>3</v>
      </c>
      <c r="V3104">
        <f t="shared" si="486"/>
        <v>3</v>
      </c>
      <c r="W3104">
        <f t="shared" si="487"/>
        <v>1</v>
      </c>
      <c r="X3104">
        <f t="shared" si="488"/>
        <v>2.4</v>
      </c>
      <c r="Y3104" t="str">
        <f t="shared" si="489"/>
        <v>High Priority</v>
      </c>
    </row>
    <row r="3105" spans="1:25" x14ac:dyDescent="0.35">
      <c r="A3105" t="s">
        <v>41</v>
      </c>
      <c r="B3105" t="s">
        <v>42</v>
      </c>
      <c r="C3105" t="s">
        <v>365</v>
      </c>
      <c r="D3105" t="s">
        <v>867</v>
      </c>
      <c r="E3105">
        <v>80784512</v>
      </c>
      <c r="F3105" t="s">
        <v>2170</v>
      </c>
      <c r="G3105" s="3">
        <v>46388</v>
      </c>
      <c r="H3105">
        <v>36</v>
      </c>
      <c r="I3105">
        <v>18</v>
      </c>
      <c r="J3105">
        <v>7</v>
      </c>
      <c r="K3105" s="4">
        <v>5327.84</v>
      </c>
      <c r="L3105" s="4">
        <f>0</f>
        <v>0</v>
      </c>
      <c r="M3105" s="4">
        <f>999</f>
        <v>999</v>
      </c>
      <c r="N3105" t="s">
        <v>19</v>
      </c>
      <c r="O3105" t="str">
        <f t="shared" si="480"/>
        <v>High</v>
      </c>
      <c r="P3105" t="str">
        <f t="shared" si="481"/>
        <v>High</v>
      </c>
      <c r="Q3105" t="str">
        <f t="shared" si="482"/>
        <v>High</v>
      </c>
      <c r="R3105" t="s">
        <v>3317</v>
      </c>
      <c r="S3105" s="4">
        <f t="shared" ca="1" si="483"/>
        <v>191</v>
      </c>
      <c r="T3105">
        <f t="shared" si="484"/>
        <v>3</v>
      </c>
      <c r="U3105">
        <f t="shared" si="485"/>
        <v>3</v>
      </c>
      <c r="V3105">
        <f t="shared" si="486"/>
        <v>3</v>
      </c>
      <c r="W3105">
        <f t="shared" si="487"/>
        <v>1</v>
      </c>
      <c r="X3105">
        <f t="shared" si="488"/>
        <v>2.8000000000000003</v>
      </c>
      <c r="Y3105" t="str">
        <f t="shared" si="489"/>
        <v>Move Immediately</v>
      </c>
    </row>
    <row r="3106" spans="1:25" x14ac:dyDescent="0.35">
      <c r="A3106" t="s">
        <v>41</v>
      </c>
      <c r="B3106" t="s">
        <v>42</v>
      </c>
      <c r="C3106" t="s">
        <v>365</v>
      </c>
      <c r="D3106" t="s">
        <v>867</v>
      </c>
      <c r="E3106">
        <v>80784512</v>
      </c>
      <c r="F3106" t="s">
        <v>2170</v>
      </c>
      <c r="G3106" s="3">
        <v>46473</v>
      </c>
      <c r="H3106">
        <v>36</v>
      </c>
      <c r="I3106">
        <v>26</v>
      </c>
      <c r="J3106">
        <v>4</v>
      </c>
      <c r="K3106" s="4">
        <v>3044.48</v>
      </c>
      <c r="L3106" s="4">
        <f>0</f>
        <v>0</v>
      </c>
      <c r="M3106" s="4">
        <f>999</f>
        <v>999</v>
      </c>
      <c r="N3106" t="s">
        <v>19</v>
      </c>
      <c r="O3106" t="str">
        <f t="shared" si="480"/>
        <v>Medium</v>
      </c>
      <c r="P3106" t="str">
        <f t="shared" si="481"/>
        <v>High</v>
      </c>
      <c r="Q3106" t="str">
        <f t="shared" si="482"/>
        <v>High</v>
      </c>
      <c r="R3106" t="s">
        <v>3317</v>
      </c>
      <c r="S3106" s="4">
        <f t="shared" ca="1" si="483"/>
        <v>276</v>
      </c>
      <c r="T3106">
        <f t="shared" si="484"/>
        <v>2</v>
      </c>
      <c r="U3106">
        <f t="shared" si="485"/>
        <v>3</v>
      </c>
      <c r="V3106">
        <f t="shared" si="486"/>
        <v>3</v>
      </c>
      <c r="W3106">
        <f t="shared" si="487"/>
        <v>1</v>
      </c>
      <c r="X3106">
        <f t="shared" si="488"/>
        <v>2.4</v>
      </c>
      <c r="Y3106" t="str">
        <f t="shared" si="489"/>
        <v>High Priority</v>
      </c>
    </row>
    <row r="3107" spans="1:25" x14ac:dyDescent="0.35">
      <c r="A3107" t="s">
        <v>179</v>
      </c>
      <c r="B3107" t="s">
        <v>180</v>
      </c>
      <c r="C3107" t="s">
        <v>181</v>
      </c>
      <c r="D3107" t="s">
        <v>2171</v>
      </c>
      <c r="E3107">
        <v>80772369</v>
      </c>
      <c r="F3107" t="s">
        <v>2172</v>
      </c>
      <c r="G3107" s="3">
        <v>45997</v>
      </c>
      <c r="H3107">
        <v>16</v>
      </c>
      <c r="I3107">
        <v>0</v>
      </c>
      <c r="J3107">
        <v>1</v>
      </c>
      <c r="K3107" s="4">
        <v>443.54</v>
      </c>
      <c r="L3107" s="4">
        <f>0</f>
        <v>0</v>
      </c>
      <c r="M3107" s="4">
        <f>999</f>
        <v>999</v>
      </c>
      <c r="N3107" t="s">
        <v>19</v>
      </c>
      <c r="O3107" t="str">
        <f t="shared" si="480"/>
        <v>High</v>
      </c>
      <c r="P3107" t="str">
        <f t="shared" si="481"/>
        <v>High</v>
      </c>
      <c r="Q3107" t="str">
        <f t="shared" si="482"/>
        <v>High</v>
      </c>
      <c r="R3107" t="s">
        <v>3317</v>
      </c>
      <c r="S3107" s="4">
        <f t="shared" ca="1" si="483"/>
        <v>-200</v>
      </c>
      <c r="T3107">
        <f t="shared" si="484"/>
        <v>3</v>
      </c>
      <c r="U3107">
        <f t="shared" si="485"/>
        <v>3</v>
      </c>
      <c r="V3107">
        <f t="shared" si="486"/>
        <v>3</v>
      </c>
      <c r="W3107">
        <f t="shared" si="487"/>
        <v>1</v>
      </c>
      <c r="X3107">
        <f t="shared" si="488"/>
        <v>2.8000000000000003</v>
      </c>
      <c r="Y3107" t="str">
        <f t="shared" si="489"/>
        <v>Move Immediately</v>
      </c>
    </row>
    <row r="3108" spans="1:25" x14ac:dyDescent="0.35">
      <c r="A3108" t="s">
        <v>944</v>
      </c>
      <c r="B3108" t="s">
        <v>945</v>
      </c>
      <c r="C3108" t="s">
        <v>994</v>
      </c>
      <c r="D3108" t="s">
        <v>2173</v>
      </c>
      <c r="E3108">
        <v>80757886</v>
      </c>
      <c r="F3108" t="s">
        <v>2174</v>
      </c>
      <c r="G3108" s="3">
        <v>47319</v>
      </c>
      <c r="H3108">
        <v>60</v>
      </c>
      <c r="I3108">
        <v>63</v>
      </c>
      <c r="J3108">
        <v>6</v>
      </c>
      <c r="K3108" s="4">
        <v>13085.22</v>
      </c>
      <c r="L3108" s="4">
        <v>32.285714285714285</v>
      </c>
      <c r="M3108" s="4">
        <v>0.18584070796460178</v>
      </c>
      <c r="N3108" t="s">
        <v>25</v>
      </c>
      <c r="O3108" t="str">
        <f t="shared" si="480"/>
        <v>Low</v>
      </c>
      <c r="P3108" t="str">
        <f t="shared" si="481"/>
        <v>Low</v>
      </c>
      <c r="Q3108" t="str">
        <f t="shared" si="482"/>
        <v>Low</v>
      </c>
      <c r="R3108" t="s">
        <v>3317</v>
      </c>
      <c r="S3108" s="4">
        <f t="shared" ca="1" si="483"/>
        <v>1122</v>
      </c>
      <c r="T3108">
        <f t="shared" si="484"/>
        <v>1</v>
      </c>
      <c r="U3108">
        <f t="shared" si="485"/>
        <v>1</v>
      </c>
      <c r="V3108">
        <f t="shared" si="486"/>
        <v>1</v>
      </c>
      <c r="W3108">
        <f t="shared" si="487"/>
        <v>1</v>
      </c>
      <c r="X3108">
        <f t="shared" si="488"/>
        <v>0.99999999999999989</v>
      </c>
      <c r="Y3108" t="str">
        <f t="shared" si="489"/>
        <v>Healthy</v>
      </c>
    </row>
    <row r="3109" spans="1:25" x14ac:dyDescent="0.35">
      <c r="A3109" t="s">
        <v>944</v>
      </c>
      <c r="B3109" t="s">
        <v>945</v>
      </c>
      <c r="C3109" t="s">
        <v>994</v>
      </c>
      <c r="D3109" t="s">
        <v>2173</v>
      </c>
      <c r="E3109">
        <v>80757886</v>
      </c>
      <c r="F3109" t="s">
        <v>2174</v>
      </c>
      <c r="G3109" s="3">
        <v>47609</v>
      </c>
      <c r="H3109">
        <v>60</v>
      </c>
      <c r="I3109">
        <v>79</v>
      </c>
      <c r="J3109">
        <v>3</v>
      </c>
      <c r="K3109" s="4">
        <v>6542.61</v>
      </c>
      <c r="L3109" s="4">
        <v>32.285714285714285</v>
      </c>
      <c r="M3109" s="4">
        <v>9.2920353982300891E-2</v>
      </c>
      <c r="N3109" t="s">
        <v>25</v>
      </c>
      <c r="O3109" t="str">
        <f t="shared" si="480"/>
        <v>Low</v>
      </c>
      <c r="P3109" t="str">
        <f t="shared" si="481"/>
        <v>Low</v>
      </c>
      <c r="Q3109" t="str">
        <f t="shared" si="482"/>
        <v>Low</v>
      </c>
      <c r="R3109" t="s">
        <v>3317</v>
      </c>
      <c r="S3109" s="4">
        <f t="shared" ca="1" si="483"/>
        <v>1412</v>
      </c>
      <c r="T3109">
        <f t="shared" si="484"/>
        <v>1</v>
      </c>
      <c r="U3109">
        <f t="shared" si="485"/>
        <v>1</v>
      </c>
      <c r="V3109">
        <f t="shared" si="486"/>
        <v>1</v>
      </c>
      <c r="W3109">
        <f t="shared" si="487"/>
        <v>1</v>
      </c>
      <c r="X3109">
        <f t="shared" si="488"/>
        <v>0.99999999999999989</v>
      </c>
      <c r="Y3109" t="str">
        <f t="shared" si="489"/>
        <v>Healthy</v>
      </c>
    </row>
    <row r="3110" spans="1:25" x14ac:dyDescent="0.35">
      <c r="A3110" t="s">
        <v>41</v>
      </c>
      <c r="B3110" t="s">
        <v>54</v>
      </c>
      <c r="C3110" t="s">
        <v>87</v>
      </c>
      <c r="D3110" t="s">
        <v>452</v>
      </c>
      <c r="E3110">
        <v>80782735</v>
      </c>
      <c r="F3110" t="s">
        <v>2175</v>
      </c>
      <c r="G3110" s="3">
        <v>46494</v>
      </c>
      <c r="H3110">
        <v>36</v>
      </c>
      <c r="I3110">
        <v>28</v>
      </c>
      <c r="J3110">
        <v>12</v>
      </c>
      <c r="K3110" s="4">
        <v>890.16</v>
      </c>
      <c r="L3110" s="4">
        <v>10.142857142857142</v>
      </c>
      <c r="M3110" s="4">
        <v>1.1830985915492958</v>
      </c>
      <c r="N3110" t="s">
        <v>25</v>
      </c>
      <c r="O3110" t="str">
        <f t="shared" si="480"/>
        <v>Medium</v>
      </c>
      <c r="P3110" t="str">
        <f t="shared" si="481"/>
        <v>Low</v>
      </c>
      <c r="Q3110" t="str">
        <f t="shared" si="482"/>
        <v>Medium</v>
      </c>
      <c r="R3110" t="s">
        <v>3317</v>
      </c>
      <c r="S3110" s="4">
        <f t="shared" ca="1" si="483"/>
        <v>297</v>
      </c>
      <c r="T3110">
        <f t="shared" si="484"/>
        <v>2</v>
      </c>
      <c r="U3110">
        <f t="shared" si="485"/>
        <v>1</v>
      </c>
      <c r="V3110">
        <f t="shared" si="486"/>
        <v>2</v>
      </c>
      <c r="W3110">
        <f t="shared" si="487"/>
        <v>1</v>
      </c>
      <c r="X3110">
        <f t="shared" si="488"/>
        <v>1.6</v>
      </c>
      <c r="Y3110" t="str">
        <f t="shared" si="489"/>
        <v>Healthy</v>
      </c>
    </row>
    <row r="3111" spans="1:25" x14ac:dyDescent="0.35">
      <c r="A3111" t="s">
        <v>29</v>
      </c>
      <c r="B3111" t="s">
        <v>30</v>
      </c>
      <c r="C3111" t="s">
        <v>290</v>
      </c>
      <c r="D3111" t="s">
        <v>2176</v>
      </c>
      <c r="E3111">
        <v>82316913</v>
      </c>
      <c r="F3111" t="s">
        <v>2177</v>
      </c>
      <c r="G3111" s="3">
        <v>45696</v>
      </c>
      <c r="H3111">
        <v>36</v>
      </c>
      <c r="I3111">
        <v>0</v>
      </c>
      <c r="J3111">
        <v>8</v>
      </c>
      <c r="K3111" s="4">
        <v>12793.2</v>
      </c>
      <c r="L3111" s="4">
        <f>0</f>
        <v>0</v>
      </c>
      <c r="M3111" s="4">
        <f>999</f>
        <v>999</v>
      </c>
      <c r="N3111" t="s">
        <v>19</v>
      </c>
      <c r="O3111" t="str">
        <f t="shared" si="480"/>
        <v>High</v>
      </c>
      <c r="P3111" t="str">
        <f t="shared" si="481"/>
        <v>High</v>
      </c>
      <c r="Q3111" t="str">
        <f t="shared" si="482"/>
        <v>High</v>
      </c>
      <c r="R3111" t="s">
        <v>3317</v>
      </c>
      <c r="S3111" s="4">
        <f t="shared" ca="1" si="483"/>
        <v>-501</v>
      </c>
      <c r="T3111">
        <f t="shared" si="484"/>
        <v>3</v>
      </c>
      <c r="U3111">
        <f t="shared" si="485"/>
        <v>3</v>
      </c>
      <c r="V3111">
        <f t="shared" si="486"/>
        <v>3</v>
      </c>
      <c r="W3111">
        <f t="shared" si="487"/>
        <v>1</v>
      </c>
      <c r="X3111">
        <f t="shared" si="488"/>
        <v>2.8000000000000003</v>
      </c>
      <c r="Y3111" t="str">
        <f t="shared" si="489"/>
        <v>Move Immediately</v>
      </c>
    </row>
    <row r="3112" spans="1:25" x14ac:dyDescent="0.35">
      <c r="A3112" t="s">
        <v>189</v>
      </c>
      <c r="B3112" t="s">
        <v>190</v>
      </c>
      <c r="C3112" t="s">
        <v>190</v>
      </c>
      <c r="D3112" t="s">
        <v>2178</v>
      </c>
      <c r="E3112">
        <v>80786679</v>
      </c>
      <c r="F3112" t="s">
        <v>2179</v>
      </c>
      <c r="G3112" s="3">
        <v>46083</v>
      </c>
      <c r="H3112">
        <v>18</v>
      </c>
      <c r="I3112">
        <v>0</v>
      </c>
      <c r="J3112">
        <v>1</v>
      </c>
      <c r="K3112" s="4">
        <v>81.709999999999994</v>
      </c>
      <c r="L3112" s="4">
        <f>0</f>
        <v>0</v>
      </c>
      <c r="M3112" s="4">
        <f>999</f>
        <v>999</v>
      </c>
      <c r="N3112" t="s">
        <v>19</v>
      </c>
      <c r="O3112" t="str">
        <f t="shared" si="480"/>
        <v>High</v>
      </c>
      <c r="P3112" t="str">
        <f t="shared" si="481"/>
        <v>High</v>
      </c>
      <c r="Q3112" t="str">
        <f t="shared" si="482"/>
        <v>High</v>
      </c>
      <c r="R3112" t="s">
        <v>3317</v>
      </c>
      <c r="S3112" s="4">
        <f t="shared" ca="1" si="483"/>
        <v>-114</v>
      </c>
      <c r="T3112">
        <f t="shared" si="484"/>
        <v>3</v>
      </c>
      <c r="U3112">
        <f t="shared" si="485"/>
        <v>3</v>
      </c>
      <c r="V3112">
        <f t="shared" si="486"/>
        <v>3</v>
      </c>
      <c r="W3112">
        <f t="shared" si="487"/>
        <v>1</v>
      </c>
      <c r="X3112">
        <f t="shared" si="488"/>
        <v>2.8000000000000003</v>
      </c>
      <c r="Y3112" t="str">
        <f t="shared" si="489"/>
        <v>Move Immediately</v>
      </c>
    </row>
    <row r="3113" spans="1:25" x14ac:dyDescent="0.35">
      <c r="A3113" t="s">
        <v>189</v>
      </c>
      <c r="B3113" t="s">
        <v>190</v>
      </c>
      <c r="C3113" t="s">
        <v>190</v>
      </c>
      <c r="D3113" t="s">
        <v>1509</v>
      </c>
      <c r="E3113">
        <v>80787260</v>
      </c>
      <c r="F3113" t="s">
        <v>2180</v>
      </c>
      <c r="G3113" s="3">
        <v>46034</v>
      </c>
      <c r="H3113">
        <v>18</v>
      </c>
      <c r="I3113">
        <v>0</v>
      </c>
      <c r="J3113">
        <v>1</v>
      </c>
      <c r="K3113" s="4">
        <v>2037.85</v>
      </c>
      <c r="L3113" s="4">
        <f>0</f>
        <v>0</v>
      </c>
      <c r="M3113" s="4">
        <f>999</f>
        <v>999</v>
      </c>
      <c r="N3113" t="s">
        <v>19</v>
      </c>
      <c r="O3113" t="str">
        <f t="shared" si="480"/>
        <v>High</v>
      </c>
      <c r="P3113" t="str">
        <f t="shared" si="481"/>
        <v>High</v>
      </c>
      <c r="Q3113" t="str">
        <f t="shared" si="482"/>
        <v>High</v>
      </c>
      <c r="R3113" t="s">
        <v>3317</v>
      </c>
      <c r="S3113" s="4">
        <f t="shared" ca="1" si="483"/>
        <v>-163</v>
      </c>
      <c r="T3113">
        <f t="shared" si="484"/>
        <v>3</v>
      </c>
      <c r="U3113">
        <f t="shared" si="485"/>
        <v>3</v>
      </c>
      <c r="V3113">
        <f t="shared" si="486"/>
        <v>3</v>
      </c>
      <c r="W3113">
        <f t="shared" si="487"/>
        <v>1</v>
      </c>
      <c r="X3113">
        <f t="shared" si="488"/>
        <v>2.8000000000000003</v>
      </c>
      <c r="Y3113" t="str">
        <f t="shared" si="489"/>
        <v>Move Immediately</v>
      </c>
    </row>
    <row r="3114" spans="1:25" x14ac:dyDescent="0.35">
      <c r="A3114" t="s">
        <v>41</v>
      </c>
      <c r="B3114" t="s">
        <v>80</v>
      </c>
      <c r="C3114" t="s">
        <v>502</v>
      </c>
      <c r="D3114" t="s">
        <v>1152</v>
      </c>
      <c r="E3114">
        <v>80792064</v>
      </c>
      <c r="F3114" t="s">
        <v>2181</v>
      </c>
      <c r="G3114" s="3">
        <v>46723</v>
      </c>
      <c r="H3114">
        <v>36</v>
      </c>
      <c r="I3114">
        <v>49</v>
      </c>
      <c r="J3114">
        <v>6</v>
      </c>
      <c r="K3114" s="4">
        <v>2807.94</v>
      </c>
      <c r="L3114" s="4">
        <v>45.428571428571431</v>
      </c>
      <c r="M3114" s="4">
        <v>0.13207547169811321</v>
      </c>
      <c r="N3114" t="s">
        <v>25</v>
      </c>
      <c r="O3114" t="str">
        <f t="shared" si="480"/>
        <v>Low</v>
      </c>
      <c r="P3114" t="str">
        <f t="shared" si="481"/>
        <v>Low</v>
      </c>
      <c r="Q3114" t="str">
        <f t="shared" si="482"/>
        <v>Low</v>
      </c>
      <c r="R3114" t="s">
        <v>3317</v>
      </c>
      <c r="S3114" s="4">
        <f t="shared" ca="1" si="483"/>
        <v>526</v>
      </c>
      <c r="T3114">
        <f t="shared" si="484"/>
        <v>1</v>
      </c>
      <c r="U3114">
        <f t="shared" si="485"/>
        <v>1</v>
      </c>
      <c r="V3114">
        <f t="shared" si="486"/>
        <v>1</v>
      </c>
      <c r="W3114">
        <f t="shared" si="487"/>
        <v>1</v>
      </c>
      <c r="X3114">
        <f t="shared" si="488"/>
        <v>0.99999999999999989</v>
      </c>
      <c r="Y3114" t="str">
        <f t="shared" si="489"/>
        <v>Healthy</v>
      </c>
    </row>
    <row r="3115" spans="1:25" x14ac:dyDescent="0.35">
      <c r="A3115" t="s">
        <v>41</v>
      </c>
      <c r="B3115" t="s">
        <v>80</v>
      </c>
      <c r="C3115" t="s">
        <v>502</v>
      </c>
      <c r="D3115" t="s">
        <v>1152</v>
      </c>
      <c r="E3115">
        <v>80792064</v>
      </c>
      <c r="F3115" t="s">
        <v>2181</v>
      </c>
      <c r="G3115" s="3">
        <v>46533</v>
      </c>
      <c r="H3115">
        <v>36</v>
      </c>
      <c r="I3115">
        <v>32</v>
      </c>
      <c r="J3115">
        <v>18</v>
      </c>
      <c r="K3115" s="4">
        <v>8423.82</v>
      </c>
      <c r="L3115" s="4">
        <v>45.428571428571431</v>
      </c>
      <c r="M3115" s="4">
        <v>0.39622641509433959</v>
      </c>
      <c r="N3115" t="s">
        <v>25</v>
      </c>
      <c r="O3115" t="str">
        <f t="shared" si="480"/>
        <v>Medium</v>
      </c>
      <c r="P3115" t="str">
        <f t="shared" si="481"/>
        <v>Low</v>
      </c>
      <c r="Q3115" t="str">
        <f t="shared" si="482"/>
        <v>Low</v>
      </c>
      <c r="R3115" t="s">
        <v>3317</v>
      </c>
      <c r="S3115" s="4">
        <f t="shared" ca="1" si="483"/>
        <v>336</v>
      </c>
      <c r="T3115">
        <f t="shared" si="484"/>
        <v>2</v>
      </c>
      <c r="U3115">
        <f t="shared" si="485"/>
        <v>1</v>
      </c>
      <c r="V3115">
        <f t="shared" si="486"/>
        <v>1</v>
      </c>
      <c r="W3115">
        <f t="shared" si="487"/>
        <v>1</v>
      </c>
      <c r="X3115">
        <f t="shared" si="488"/>
        <v>1.4000000000000001</v>
      </c>
      <c r="Y3115" t="str">
        <f t="shared" si="489"/>
        <v>Healthy</v>
      </c>
    </row>
    <row r="3116" spans="1:25" x14ac:dyDescent="0.35">
      <c r="A3116" t="s">
        <v>41</v>
      </c>
      <c r="B3116" t="s">
        <v>80</v>
      </c>
      <c r="C3116" t="s">
        <v>502</v>
      </c>
      <c r="D3116" t="s">
        <v>1152</v>
      </c>
      <c r="E3116">
        <v>80792064</v>
      </c>
      <c r="F3116" t="s">
        <v>2181</v>
      </c>
      <c r="G3116" s="3">
        <v>46907</v>
      </c>
      <c r="H3116">
        <v>36</v>
      </c>
      <c r="I3116">
        <v>66</v>
      </c>
      <c r="J3116">
        <v>60</v>
      </c>
      <c r="K3116" s="4">
        <v>28079.4</v>
      </c>
      <c r="L3116" s="4">
        <v>45.428571428571431</v>
      </c>
      <c r="M3116" s="4">
        <v>1.320754716981132</v>
      </c>
      <c r="N3116" t="s">
        <v>25</v>
      </c>
      <c r="O3116" t="str">
        <f t="shared" si="480"/>
        <v>Low</v>
      </c>
      <c r="P3116" t="str">
        <f t="shared" si="481"/>
        <v>Low</v>
      </c>
      <c r="Q3116" t="str">
        <f t="shared" si="482"/>
        <v>Low</v>
      </c>
      <c r="R3116" t="s">
        <v>3317</v>
      </c>
      <c r="S3116" s="4">
        <f t="shared" ca="1" si="483"/>
        <v>710</v>
      </c>
      <c r="T3116">
        <f t="shared" si="484"/>
        <v>1</v>
      </c>
      <c r="U3116">
        <f t="shared" si="485"/>
        <v>1</v>
      </c>
      <c r="V3116">
        <f t="shared" si="486"/>
        <v>1</v>
      </c>
      <c r="W3116">
        <f t="shared" si="487"/>
        <v>1</v>
      </c>
      <c r="X3116">
        <f t="shared" si="488"/>
        <v>0.99999999999999989</v>
      </c>
      <c r="Y3116" t="str">
        <f t="shared" si="489"/>
        <v>Healthy</v>
      </c>
    </row>
    <row r="3117" spans="1:25" x14ac:dyDescent="0.35">
      <c r="A3117" t="s">
        <v>179</v>
      </c>
      <c r="B3117" t="s">
        <v>180</v>
      </c>
      <c r="C3117" t="s">
        <v>181</v>
      </c>
      <c r="D3117" t="s">
        <v>394</v>
      </c>
      <c r="E3117">
        <v>80796116</v>
      </c>
      <c r="F3117" t="s">
        <v>2182</v>
      </c>
      <c r="G3117" s="3">
        <v>45940</v>
      </c>
      <c r="H3117">
        <v>16</v>
      </c>
      <c r="I3117">
        <v>0</v>
      </c>
      <c r="J3117">
        <v>2</v>
      </c>
      <c r="K3117" s="4">
        <v>1775.94</v>
      </c>
      <c r="L3117" s="4">
        <f>0</f>
        <v>0</v>
      </c>
      <c r="M3117" s="4">
        <f>999</f>
        <v>999</v>
      </c>
      <c r="N3117" t="s">
        <v>19</v>
      </c>
      <c r="O3117" t="str">
        <f t="shared" si="480"/>
        <v>High</v>
      </c>
      <c r="P3117" t="str">
        <f t="shared" si="481"/>
        <v>High</v>
      </c>
      <c r="Q3117" t="str">
        <f t="shared" si="482"/>
        <v>High</v>
      </c>
      <c r="R3117" t="s">
        <v>3317</v>
      </c>
      <c r="S3117" s="4">
        <f t="shared" ca="1" si="483"/>
        <v>-257</v>
      </c>
      <c r="T3117">
        <f t="shared" si="484"/>
        <v>3</v>
      </c>
      <c r="U3117">
        <f t="shared" si="485"/>
        <v>3</v>
      </c>
      <c r="V3117">
        <f t="shared" si="486"/>
        <v>3</v>
      </c>
      <c r="W3117">
        <f t="shared" si="487"/>
        <v>1</v>
      </c>
      <c r="X3117">
        <f t="shared" si="488"/>
        <v>2.8000000000000003</v>
      </c>
      <c r="Y3117" t="str">
        <f t="shared" si="489"/>
        <v>Move Immediately</v>
      </c>
    </row>
    <row r="3118" spans="1:25" x14ac:dyDescent="0.35">
      <c r="A3118" t="s">
        <v>179</v>
      </c>
      <c r="B3118" t="s">
        <v>180</v>
      </c>
      <c r="C3118" t="s">
        <v>181</v>
      </c>
      <c r="D3118" t="s">
        <v>394</v>
      </c>
      <c r="E3118">
        <v>80796116</v>
      </c>
      <c r="F3118" t="s">
        <v>2182</v>
      </c>
      <c r="G3118" s="3">
        <v>45938</v>
      </c>
      <c r="H3118">
        <v>16</v>
      </c>
      <c r="I3118">
        <v>0</v>
      </c>
      <c r="J3118">
        <v>1</v>
      </c>
      <c r="K3118" s="4">
        <v>887.97</v>
      </c>
      <c r="L3118" s="4">
        <f>0</f>
        <v>0</v>
      </c>
      <c r="M3118" s="4">
        <f>999</f>
        <v>999</v>
      </c>
      <c r="N3118" t="s">
        <v>19</v>
      </c>
      <c r="O3118" t="str">
        <f t="shared" si="480"/>
        <v>High</v>
      </c>
      <c r="P3118" t="str">
        <f t="shared" si="481"/>
        <v>High</v>
      </c>
      <c r="Q3118" t="str">
        <f t="shared" si="482"/>
        <v>High</v>
      </c>
      <c r="R3118" t="s">
        <v>3317</v>
      </c>
      <c r="S3118" s="4">
        <f t="shared" ca="1" si="483"/>
        <v>-259</v>
      </c>
      <c r="T3118">
        <f t="shared" si="484"/>
        <v>3</v>
      </c>
      <c r="U3118">
        <f t="shared" si="485"/>
        <v>3</v>
      </c>
      <c r="V3118">
        <f t="shared" si="486"/>
        <v>3</v>
      </c>
      <c r="W3118">
        <f t="shared" si="487"/>
        <v>1</v>
      </c>
      <c r="X3118">
        <f t="shared" si="488"/>
        <v>2.8000000000000003</v>
      </c>
      <c r="Y3118" t="str">
        <f t="shared" si="489"/>
        <v>Move Immediately</v>
      </c>
    </row>
    <row r="3119" spans="1:25" x14ac:dyDescent="0.35">
      <c r="A3119" t="s">
        <v>179</v>
      </c>
      <c r="B3119" t="s">
        <v>180</v>
      </c>
      <c r="C3119" t="s">
        <v>181</v>
      </c>
      <c r="D3119" t="s">
        <v>394</v>
      </c>
      <c r="E3119">
        <v>80796116</v>
      </c>
      <c r="F3119" t="s">
        <v>2182</v>
      </c>
      <c r="G3119" s="3">
        <v>45902</v>
      </c>
      <c r="H3119">
        <v>16</v>
      </c>
      <c r="I3119">
        <v>0</v>
      </c>
      <c r="J3119">
        <v>3</v>
      </c>
      <c r="K3119" s="4">
        <v>2663.91</v>
      </c>
      <c r="L3119" s="4">
        <f>0</f>
        <v>0</v>
      </c>
      <c r="M3119" s="4">
        <f>999</f>
        <v>999</v>
      </c>
      <c r="N3119" t="s">
        <v>19</v>
      </c>
      <c r="O3119" t="str">
        <f t="shared" si="480"/>
        <v>High</v>
      </c>
      <c r="P3119" t="str">
        <f t="shared" si="481"/>
        <v>High</v>
      </c>
      <c r="Q3119" t="str">
        <f t="shared" si="482"/>
        <v>High</v>
      </c>
      <c r="R3119" t="s">
        <v>3317</v>
      </c>
      <c r="S3119" s="4">
        <f t="shared" ca="1" si="483"/>
        <v>-295</v>
      </c>
      <c r="T3119">
        <f t="shared" si="484"/>
        <v>3</v>
      </c>
      <c r="U3119">
        <f t="shared" si="485"/>
        <v>3</v>
      </c>
      <c r="V3119">
        <f t="shared" si="486"/>
        <v>3</v>
      </c>
      <c r="W3119">
        <f t="shared" si="487"/>
        <v>1</v>
      </c>
      <c r="X3119">
        <f t="shared" si="488"/>
        <v>2.8000000000000003</v>
      </c>
      <c r="Y3119" t="str">
        <f t="shared" si="489"/>
        <v>Move Immediately</v>
      </c>
    </row>
    <row r="3120" spans="1:25" x14ac:dyDescent="0.35">
      <c r="A3120" t="s">
        <v>71</v>
      </c>
      <c r="B3120" t="s">
        <v>72</v>
      </c>
      <c r="C3120" t="s">
        <v>174</v>
      </c>
      <c r="D3120" t="s">
        <v>765</v>
      </c>
      <c r="E3120">
        <v>80810553</v>
      </c>
      <c r="F3120" t="s">
        <v>2183</v>
      </c>
      <c r="G3120" s="3">
        <v>46658</v>
      </c>
      <c r="H3120">
        <v>36</v>
      </c>
      <c r="I3120">
        <v>43</v>
      </c>
      <c r="J3120">
        <v>2</v>
      </c>
      <c r="K3120" s="4">
        <v>8301.52</v>
      </c>
      <c r="L3120" s="4">
        <f>0</f>
        <v>0</v>
      </c>
      <c r="M3120" s="4">
        <f>999</f>
        <v>999</v>
      </c>
      <c r="N3120" t="s">
        <v>19</v>
      </c>
      <c r="O3120" t="str">
        <f t="shared" si="480"/>
        <v>Low</v>
      </c>
      <c r="P3120" t="str">
        <f t="shared" si="481"/>
        <v>High</v>
      </c>
      <c r="Q3120" t="str">
        <f t="shared" si="482"/>
        <v>High</v>
      </c>
      <c r="R3120" t="s">
        <v>3317</v>
      </c>
      <c r="S3120" s="4">
        <f t="shared" ca="1" si="483"/>
        <v>461</v>
      </c>
      <c r="T3120">
        <f t="shared" si="484"/>
        <v>1</v>
      </c>
      <c r="U3120">
        <f t="shared" si="485"/>
        <v>3</v>
      </c>
      <c r="V3120">
        <f t="shared" si="486"/>
        <v>3</v>
      </c>
      <c r="W3120">
        <f t="shared" si="487"/>
        <v>1</v>
      </c>
      <c r="X3120">
        <f t="shared" si="488"/>
        <v>2</v>
      </c>
      <c r="Y3120" t="str">
        <f t="shared" si="489"/>
        <v>Monitor</v>
      </c>
    </row>
    <row r="3121" spans="1:25" x14ac:dyDescent="0.35">
      <c r="A3121" t="s">
        <v>29</v>
      </c>
      <c r="B3121" t="s">
        <v>30</v>
      </c>
      <c r="C3121" t="s">
        <v>31</v>
      </c>
      <c r="D3121" t="s">
        <v>2154</v>
      </c>
      <c r="E3121">
        <v>80767029</v>
      </c>
      <c r="F3121" t="s">
        <v>2184</v>
      </c>
      <c r="G3121" s="3">
        <v>46575</v>
      </c>
      <c r="H3121">
        <v>36</v>
      </c>
      <c r="I3121">
        <v>35</v>
      </c>
      <c r="J3121">
        <v>11</v>
      </c>
      <c r="K3121" s="4">
        <v>17590.650000000001</v>
      </c>
      <c r="L3121" s="4">
        <v>14.285714285714286</v>
      </c>
      <c r="M3121" s="4">
        <v>0.76999999999999991</v>
      </c>
      <c r="N3121" t="s">
        <v>25</v>
      </c>
      <c r="O3121" t="str">
        <f t="shared" si="480"/>
        <v>Medium</v>
      </c>
      <c r="P3121" t="str">
        <f t="shared" si="481"/>
        <v>Low</v>
      </c>
      <c r="Q3121" t="str">
        <f t="shared" si="482"/>
        <v>Medium</v>
      </c>
      <c r="R3121" t="s">
        <v>3317</v>
      </c>
      <c r="S3121" s="4">
        <f t="shared" ca="1" si="483"/>
        <v>378</v>
      </c>
      <c r="T3121">
        <f t="shared" si="484"/>
        <v>2</v>
      </c>
      <c r="U3121">
        <f t="shared" si="485"/>
        <v>1</v>
      </c>
      <c r="V3121">
        <f t="shared" si="486"/>
        <v>2</v>
      </c>
      <c r="W3121">
        <f t="shared" si="487"/>
        <v>1</v>
      </c>
      <c r="X3121">
        <f t="shared" si="488"/>
        <v>1.6</v>
      </c>
      <c r="Y3121" t="str">
        <f t="shared" si="489"/>
        <v>Healthy</v>
      </c>
    </row>
    <row r="3122" spans="1:25" x14ac:dyDescent="0.35">
      <c r="A3122" t="s">
        <v>20</v>
      </c>
      <c r="B3122" t="s">
        <v>21</v>
      </c>
      <c r="C3122" t="s">
        <v>2185</v>
      </c>
      <c r="D3122" t="s">
        <v>2186</v>
      </c>
      <c r="E3122">
        <v>80708119</v>
      </c>
      <c r="F3122" t="s">
        <v>2187</v>
      </c>
      <c r="G3122" s="3">
        <v>46318</v>
      </c>
      <c r="H3122">
        <v>36</v>
      </c>
      <c r="I3122">
        <v>12</v>
      </c>
      <c r="J3122">
        <v>2</v>
      </c>
      <c r="K3122" s="4">
        <v>683.18</v>
      </c>
      <c r="L3122" s="4">
        <v>0.7142857142857143</v>
      </c>
      <c r="M3122" s="4">
        <v>2.8</v>
      </c>
      <c r="N3122" t="s">
        <v>25</v>
      </c>
      <c r="O3122" t="str">
        <f t="shared" si="480"/>
        <v>High</v>
      </c>
      <c r="P3122" t="str">
        <f t="shared" si="481"/>
        <v>Low</v>
      </c>
      <c r="Q3122" t="str">
        <f t="shared" si="482"/>
        <v>High</v>
      </c>
      <c r="R3122" t="s">
        <v>3317</v>
      </c>
      <c r="S3122" s="4">
        <f t="shared" ca="1" si="483"/>
        <v>121</v>
      </c>
      <c r="T3122">
        <f t="shared" si="484"/>
        <v>3</v>
      </c>
      <c r="U3122">
        <f t="shared" si="485"/>
        <v>1</v>
      </c>
      <c r="V3122">
        <f t="shared" si="486"/>
        <v>3</v>
      </c>
      <c r="W3122">
        <f t="shared" si="487"/>
        <v>1</v>
      </c>
      <c r="X3122">
        <f t="shared" si="488"/>
        <v>2.2000000000000006</v>
      </c>
      <c r="Y3122" t="str">
        <f t="shared" si="489"/>
        <v>High Priority</v>
      </c>
    </row>
    <row r="3123" spans="1:25" x14ac:dyDescent="0.35">
      <c r="A3123" t="s">
        <v>29</v>
      </c>
      <c r="B3123" t="s">
        <v>30</v>
      </c>
      <c r="C3123" t="s">
        <v>31</v>
      </c>
      <c r="D3123" t="s">
        <v>2154</v>
      </c>
      <c r="E3123">
        <v>80767029</v>
      </c>
      <c r="F3123" t="s">
        <v>2184</v>
      </c>
      <c r="G3123" s="3">
        <v>46893</v>
      </c>
      <c r="H3123">
        <v>36</v>
      </c>
      <c r="I3123">
        <v>65</v>
      </c>
      <c r="J3123">
        <v>9</v>
      </c>
      <c r="K3123" s="4">
        <v>14392.35</v>
      </c>
      <c r="L3123" s="4">
        <v>14.285714285714286</v>
      </c>
      <c r="M3123" s="4">
        <v>0.63</v>
      </c>
      <c r="N3123" t="s">
        <v>25</v>
      </c>
      <c r="O3123" t="str">
        <f t="shared" si="480"/>
        <v>Low</v>
      </c>
      <c r="P3123" t="str">
        <f t="shared" si="481"/>
        <v>Low</v>
      </c>
      <c r="Q3123" t="str">
        <f t="shared" si="482"/>
        <v>Medium</v>
      </c>
      <c r="R3123" t="s">
        <v>3317</v>
      </c>
      <c r="S3123" s="4">
        <f t="shared" ca="1" si="483"/>
        <v>696</v>
      </c>
      <c r="T3123">
        <f t="shared" si="484"/>
        <v>1</v>
      </c>
      <c r="U3123">
        <f t="shared" si="485"/>
        <v>1</v>
      </c>
      <c r="V3123">
        <f t="shared" si="486"/>
        <v>2</v>
      </c>
      <c r="W3123">
        <f t="shared" si="487"/>
        <v>1</v>
      </c>
      <c r="X3123">
        <f t="shared" si="488"/>
        <v>1.2000000000000002</v>
      </c>
      <c r="Y3123" t="str">
        <f t="shared" si="489"/>
        <v>Healthy</v>
      </c>
    </row>
    <row r="3124" spans="1:25" x14ac:dyDescent="0.35">
      <c r="A3124" t="s">
        <v>20</v>
      </c>
      <c r="B3124" t="s">
        <v>21</v>
      </c>
      <c r="C3124" t="s">
        <v>2185</v>
      </c>
      <c r="D3124" t="s">
        <v>2186</v>
      </c>
      <c r="E3124">
        <v>80708119</v>
      </c>
      <c r="F3124" t="s">
        <v>2187</v>
      </c>
      <c r="G3124" s="3">
        <v>46318</v>
      </c>
      <c r="H3124">
        <v>36</v>
      </c>
      <c r="I3124">
        <v>12</v>
      </c>
      <c r="J3124">
        <v>9</v>
      </c>
      <c r="K3124" s="4">
        <v>3074.31</v>
      </c>
      <c r="L3124" s="4">
        <v>0.7142857142857143</v>
      </c>
      <c r="M3124" s="4">
        <v>12.6</v>
      </c>
      <c r="N3124" t="s">
        <v>19</v>
      </c>
      <c r="O3124" t="str">
        <f t="shared" si="480"/>
        <v>High</v>
      </c>
      <c r="P3124" t="str">
        <f t="shared" si="481"/>
        <v>High</v>
      </c>
      <c r="Q3124" t="str">
        <f t="shared" si="482"/>
        <v>High</v>
      </c>
      <c r="R3124" t="s">
        <v>3317</v>
      </c>
      <c r="S3124" s="4">
        <f t="shared" ca="1" si="483"/>
        <v>121</v>
      </c>
      <c r="T3124">
        <f t="shared" si="484"/>
        <v>3</v>
      </c>
      <c r="U3124">
        <f t="shared" si="485"/>
        <v>3</v>
      </c>
      <c r="V3124">
        <f t="shared" si="486"/>
        <v>3</v>
      </c>
      <c r="W3124">
        <f t="shared" si="487"/>
        <v>1</v>
      </c>
      <c r="X3124">
        <f t="shared" si="488"/>
        <v>2.8000000000000003</v>
      </c>
      <c r="Y3124" t="str">
        <f t="shared" si="489"/>
        <v>Move Immediately</v>
      </c>
    </row>
    <row r="3125" spans="1:25" x14ac:dyDescent="0.35">
      <c r="A3125" t="s">
        <v>29</v>
      </c>
      <c r="B3125" t="s">
        <v>30</v>
      </c>
      <c r="C3125" t="s">
        <v>31</v>
      </c>
      <c r="D3125" t="s">
        <v>2154</v>
      </c>
      <c r="E3125">
        <v>80767029</v>
      </c>
      <c r="F3125" t="s">
        <v>2184</v>
      </c>
      <c r="G3125" s="3">
        <v>46817</v>
      </c>
      <c r="H3125">
        <v>36</v>
      </c>
      <c r="I3125">
        <v>58</v>
      </c>
      <c r="J3125">
        <v>15</v>
      </c>
      <c r="K3125" s="4">
        <v>23987.25</v>
      </c>
      <c r="L3125" s="4">
        <v>14.285714285714286</v>
      </c>
      <c r="M3125" s="4">
        <v>1.05</v>
      </c>
      <c r="N3125" t="s">
        <v>25</v>
      </c>
      <c r="O3125" t="str">
        <f t="shared" si="480"/>
        <v>Low</v>
      </c>
      <c r="P3125" t="str">
        <f t="shared" si="481"/>
        <v>Low</v>
      </c>
      <c r="Q3125" t="str">
        <f t="shared" si="482"/>
        <v>Medium</v>
      </c>
      <c r="R3125" t="s">
        <v>3317</v>
      </c>
      <c r="S3125" s="4">
        <f t="shared" ca="1" si="483"/>
        <v>620</v>
      </c>
      <c r="T3125">
        <f t="shared" si="484"/>
        <v>1</v>
      </c>
      <c r="U3125">
        <f t="shared" si="485"/>
        <v>1</v>
      </c>
      <c r="V3125">
        <f t="shared" si="486"/>
        <v>2</v>
      </c>
      <c r="W3125">
        <f t="shared" si="487"/>
        <v>1</v>
      </c>
      <c r="X3125">
        <f t="shared" si="488"/>
        <v>1.2000000000000002</v>
      </c>
      <c r="Y3125" t="str">
        <f t="shared" si="489"/>
        <v>Healthy</v>
      </c>
    </row>
    <row r="3126" spans="1:25" x14ac:dyDescent="0.35">
      <c r="A3126" t="s">
        <v>20</v>
      </c>
      <c r="B3126" t="s">
        <v>21</v>
      </c>
      <c r="C3126" t="s">
        <v>2185</v>
      </c>
      <c r="D3126" t="s">
        <v>2186</v>
      </c>
      <c r="E3126">
        <v>80708119</v>
      </c>
      <c r="F3126" t="s">
        <v>2187</v>
      </c>
      <c r="G3126" s="3">
        <v>46102</v>
      </c>
      <c r="H3126">
        <v>36</v>
      </c>
      <c r="I3126">
        <v>0</v>
      </c>
      <c r="J3126">
        <v>6</v>
      </c>
      <c r="K3126" s="4">
        <v>2049.54</v>
      </c>
      <c r="L3126" s="4">
        <v>0.7142857142857143</v>
      </c>
      <c r="M3126" s="4">
        <v>8.4</v>
      </c>
      <c r="N3126" t="s">
        <v>19</v>
      </c>
      <c r="O3126" t="str">
        <f t="shared" si="480"/>
        <v>High</v>
      </c>
      <c r="P3126" t="str">
        <f t="shared" si="481"/>
        <v>High</v>
      </c>
      <c r="Q3126" t="str">
        <f t="shared" si="482"/>
        <v>High</v>
      </c>
      <c r="R3126" t="s">
        <v>3317</v>
      </c>
      <c r="S3126" s="4">
        <f t="shared" ca="1" si="483"/>
        <v>-95</v>
      </c>
      <c r="T3126">
        <f t="shared" si="484"/>
        <v>3</v>
      </c>
      <c r="U3126">
        <f t="shared" si="485"/>
        <v>3</v>
      </c>
      <c r="V3126">
        <f t="shared" si="486"/>
        <v>3</v>
      </c>
      <c r="W3126">
        <f t="shared" si="487"/>
        <v>1</v>
      </c>
      <c r="X3126">
        <f t="shared" si="488"/>
        <v>2.8000000000000003</v>
      </c>
      <c r="Y3126" t="str">
        <f t="shared" si="489"/>
        <v>Move Immediately</v>
      </c>
    </row>
    <row r="3127" spans="1:25" x14ac:dyDescent="0.35">
      <c r="A3127" t="s">
        <v>14</v>
      </c>
      <c r="B3127" t="s">
        <v>960</v>
      </c>
      <c r="C3127" t="s">
        <v>961</v>
      </c>
      <c r="D3127" t="s">
        <v>2188</v>
      </c>
      <c r="E3127">
        <v>80716972</v>
      </c>
      <c r="F3127" t="s">
        <v>2189</v>
      </c>
      <c r="G3127" s="3">
        <v>44996</v>
      </c>
      <c r="H3127">
        <v>60</v>
      </c>
      <c r="I3127">
        <v>0</v>
      </c>
      <c r="J3127">
        <v>452</v>
      </c>
      <c r="K3127" s="4">
        <v>8244.48</v>
      </c>
      <c r="L3127" s="4">
        <f>0</f>
        <v>0</v>
      </c>
      <c r="M3127" s="4">
        <f>999</f>
        <v>999</v>
      </c>
      <c r="N3127" t="s">
        <v>19</v>
      </c>
      <c r="O3127" t="str">
        <f t="shared" si="480"/>
        <v>High</v>
      </c>
      <c r="P3127" t="str">
        <f t="shared" si="481"/>
        <v>High</v>
      </c>
      <c r="Q3127" t="str">
        <f t="shared" si="482"/>
        <v>High</v>
      </c>
      <c r="R3127" t="s">
        <v>3317</v>
      </c>
      <c r="S3127" s="4">
        <f t="shared" ca="1" si="483"/>
        <v>-1201</v>
      </c>
      <c r="T3127">
        <f t="shared" si="484"/>
        <v>3</v>
      </c>
      <c r="U3127">
        <f t="shared" si="485"/>
        <v>3</v>
      </c>
      <c r="V3127">
        <f t="shared" si="486"/>
        <v>3</v>
      </c>
      <c r="W3127">
        <f t="shared" si="487"/>
        <v>1</v>
      </c>
      <c r="X3127">
        <f t="shared" si="488"/>
        <v>2.8000000000000003</v>
      </c>
      <c r="Y3127" t="str">
        <f t="shared" si="489"/>
        <v>Move Immediately</v>
      </c>
    </row>
    <row r="3128" spans="1:25" x14ac:dyDescent="0.35">
      <c r="A3128" t="s">
        <v>71</v>
      </c>
      <c r="B3128" t="s">
        <v>72</v>
      </c>
      <c r="C3128" t="s">
        <v>386</v>
      </c>
      <c r="D3128" t="s">
        <v>614</v>
      </c>
      <c r="E3128">
        <v>80815765</v>
      </c>
      <c r="F3128" t="s">
        <v>2190</v>
      </c>
      <c r="G3128" s="3">
        <v>46912</v>
      </c>
      <c r="H3128">
        <v>36</v>
      </c>
      <c r="I3128">
        <v>67</v>
      </c>
      <c r="J3128">
        <v>12</v>
      </c>
      <c r="K3128" s="4">
        <v>3926.28</v>
      </c>
      <c r="L3128" s="4">
        <v>22.714285714285715</v>
      </c>
      <c r="M3128" s="4">
        <v>0.52830188679245282</v>
      </c>
      <c r="N3128" t="s">
        <v>25</v>
      </c>
      <c r="O3128" t="str">
        <f t="shared" si="480"/>
        <v>Low</v>
      </c>
      <c r="P3128" t="str">
        <f t="shared" si="481"/>
        <v>Low</v>
      </c>
      <c r="Q3128" t="str">
        <f t="shared" si="482"/>
        <v>Low</v>
      </c>
      <c r="R3128" t="s">
        <v>3317</v>
      </c>
      <c r="S3128" s="4">
        <f t="shared" ca="1" si="483"/>
        <v>715</v>
      </c>
      <c r="T3128">
        <f t="shared" si="484"/>
        <v>1</v>
      </c>
      <c r="U3128">
        <f t="shared" si="485"/>
        <v>1</v>
      </c>
      <c r="V3128">
        <f t="shared" si="486"/>
        <v>1</v>
      </c>
      <c r="W3128">
        <f t="shared" si="487"/>
        <v>1</v>
      </c>
      <c r="X3128">
        <f t="shared" si="488"/>
        <v>0.99999999999999989</v>
      </c>
      <c r="Y3128" t="str">
        <f t="shared" si="489"/>
        <v>Healthy</v>
      </c>
    </row>
    <row r="3129" spans="1:25" x14ac:dyDescent="0.35">
      <c r="A3129" t="s">
        <v>71</v>
      </c>
      <c r="B3129" t="s">
        <v>72</v>
      </c>
      <c r="C3129" t="s">
        <v>73</v>
      </c>
      <c r="D3129" t="s">
        <v>1920</v>
      </c>
      <c r="E3129">
        <v>80817796</v>
      </c>
      <c r="F3129" t="s">
        <v>2191</v>
      </c>
      <c r="G3129" s="3">
        <v>46554</v>
      </c>
      <c r="H3129">
        <v>36</v>
      </c>
      <c r="I3129">
        <v>34</v>
      </c>
      <c r="J3129">
        <v>2</v>
      </c>
      <c r="K3129" s="4">
        <v>2154.7800000000002</v>
      </c>
      <c r="L3129" s="4">
        <v>18.857142857142858</v>
      </c>
      <c r="M3129" s="4">
        <v>0.10606060606060606</v>
      </c>
      <c r="N3129" t="s">
        <v>25</v>
      </c>
      <c r="O3129" t="str">
        <f t="shared" si="480"/>
        <v>Medium</v>
      </c>
      <c r="P3129" t="str">
        <f t="shared" si="481"/>
        <v>Low</v>
      </c>
      <c r="Q3129" t="str">
        <f t="shared" si="482"/>
        <v>Low</v>
      </c>
      <c r="R3129" t="s">
        <v>3317</v>
      </c>
      <c r="S3129" s="4">
        <f t="shared" ca="1" si="483"/>
        <v>357</v>
      </c>
      <c r="T3129">
        <f t="shared" si="484"/>
        <v>2</v>
      </c>
      <c r="U3129">
        <f t="shared" si="485"/>
        <v>1</v>
      </c>
      <c r="V3129">
        <f t="shared" si="486"/>
        <v>1</v>
      </c>
      <c r="W3129">
        <f t="shared" si="487"/>
        <v>1</v>
      </c>
      <c r="X3129">
        <f t="shared" si="488"/>
        <v>1.4000000000000001</v>
      </c>
      <c r="Y3129" t="str">
        <f t="shared" si="489"/>
        <v>Healthy</v>
      </c>
    </row>
    <row r="3130" spans="1:25" x14ac:dyDescent="0.35">
      <c r="A3130" t="s">
        <v>71</v>
      </c>
      <c r="B3130" t="s">
        <v>72</v>
      </c>
      <c r="C3130" t="s">
        <v>73</v>
      </c>
      <c r="D3130" t="s">
        <v>1920</v>
      </c>
      <c r="E3130">
        <v>80817796</v>
      </c>
      <c r="F3130" t="s">
        <v>2191</v>
      </c>
      <c r="G3130" s="3">
        <v>46815</v>
      </c>
      <c r="H3130">
        <v>36</v>
      </c>
      <c r="I3130">
        <v>58</v>
      </c>
      <c r="J3130">
        <v>3</v>
      </c>
      <c r="K3130" s="4">
        <v>3232.17</v>
      </c>
      <c r="L3130" s="4">
        <v>18.857142857142858</v>
      </c>
      <c r="M3130" s="4">
        <v>0.15909090909090909</v>
      </c>
      <c r="N3130" t="s">
        <v>25</v>
      </c>
      <c r="O3130" t="str">
        <f t="shared" si="480"/>
        <v>Low</v>
      </c>
      <c r="P3130" t="str">
        <f t="shared" si="481"/>
        <v>Low</v>
      </c>
      <c r="Q3130" t="str">
        <f t="shared" si="482"/>
        <v>Low</v>
      </c>
      <c r="R3130" t="s">
        <v>3317</v>
      </c>
      <c r="S3130" s="4">
        <f t="shared" ca="1" si="483"/>
        <v>618</v>
      </c>
      <c r="T3130">
        <f t="shared" si="484"/>
        <v>1</v>
      </c>
      <c r="U3130">
        <f t="shared" si="485"/>
        <v>1</v>
      </c>
      <c r="V3130">
        <f t="shared" si="486"/>
        <v>1</v>
      </c>
      <c r="W3130">
        <f t="shared" si="487"/>
        <v>1</v>
      </c>
      <c r="X3130">
        <f t="shared" si="488"/>
        <v>0.99999999999999989</v>
      </c>
      <c r="Y3130" t="str">
        <f t="shared" si="489"/>
        <v>Healthy</v>
      </c>
    </row>
    <row r="3131" spans="1:25" x14ac:dyDescent="0.35">
      <c r="A3131" t="s">
        <v>71</v>
      </c>
      <c r="B3131" t="s">
        <v>72</v>
      </c>
      <c r="C3131" t="s">
        <v>73</v>
      </c>
      <c r="D3131" t="s">
        <v>1920</v>
      </c>
      <c r="E3131">
        <v>80817796</v>
      </c>
      <c r="F3131" t="s">
        <v>2191</v>
      </c>
      <c r="G3131" s="3">
        <v>46861</v>
      </c>
      <c r="H3131">
        <v>36</v>
      </c>
      <c r="I3131">
        <v>62</v>
      </c>
      <c r="J3131">
        <v>4</v>
      </c>
      <c r="K3131" s="4">
        <v>4309.5600000000004</v>
      </c>
      <c r="L3131" s="4">
        <v>18.857142857142858</v>
      </c>
      <c r="M3131" s="4">
        <v>0.21212121212121213</v>
      </c>
      <c r="N3131" t="s">
        <v>25</v>
      </c>
      <c r="O3131" t="str">
        <f t="shared" si="480"/>
        <v>Low</v>
      </c>
      <c r="P3131" t="str">
        <f t="shared" si="481"/>
        <v>Low</v>
      </c>
      <c r="Q3131" t="str">
        <f t="shared" si="482"/>
        <v>Low</v>
      </c>
      <c r="R3131" t="s">
        <v>3317</v>
      </c>
      <c r="S3131" s="4">
        <f t="shared" ca="1" si="483"/>
        <v>664</v>
      </c>
      <c r="T3131">
        <f t="shared" si="484"/>
        <v>1</v>
      </c>
      <c r="U3131">
        <f t="shared" si="485"/>
        <v>1</v>
      </c>
      <c r="V3131">
        <f t="shared" si="486"/>
        <v>1</v>
      </c>
      <c r="W3131">
        <f t="shared" si="487"/>
        <v>1</v>
      </c>
      <c r="X3131">
        <f t="shared" si="488"/>
        <v>0.99999999999999989</v>
      </c>
      <c r="Y3131" t="str">
        <f t="shared" si="489"/>
        <v>Healthy</v>
      </c>
    </row>
    <row r="3132" spans="1:25" x14ac:dyDescent="0.35">
      <c r="A3132" t="s">
        <v>90</v>
      </c>
      <c r="B3132" t="s">
        <v>91</v>
      </c>
      <c r="C3132" t="s">
        <v>155</v>
      </c>
      <c r="D3132" t="s">
        <v>1394</v>
      </c>
      <c r="E3132">
        <v>80725148</v>
      </c>
      <c r="F3132" t="s">
        <v>2192</v>
      </c>
      <c r="G3132" s="3">
        <v>45374</v>
      </c>
      <c r="H3132">
        <v>24</v>
      </c>
      <c r="I3132">
        <v>0</v>
      </c>
      <c r="J3132">
        <v>13</v>
      </c>
      <c r="K3132" s="4">
        <v>5323.5</v>
      </c>
      <c r="L3132" s="4">
        <f>0</f>
        <v>0</v>
      </c>
      <c r="M3132" s="4">
        <f>999</f>
        <v>999</v>
      </c>
      <c r="N3132" t="s">
        <v>19</v>
      </c>
      <c r="O3132" t="str">
        <f t="shared" si="480"/>
        <v>High</v>
      </c>
      <c r="P3132" t="str">
        <f t="shared" si="481"/>
        <v>High</v>
      </c>
      <c r="Q3132" t="str">
        <f t="shared" si="482"/>
        <v>High</v>
      </c>
      <c r="R3132" t="s">
        <v>3317</v>
      </c>
      <c r="S3132" s="4">
        <f t="shared" ca="1" si="483"/>
        <v>-823</v>
      </c>
      <c r="T3132">
        <f t="shared" si="484"/>
        <v>3</v>
      </c>
      <c r="U3132">
        <f t="shared" si="485"/>
        <v>3</v>
      </c>
      <c r="V3132">
        <f t="shared" si="486"/>
        <v>3</v>
      </c>
      <c r="W3132">
        <f t="shared" si="487"/>
        <v>1</v>
      </c>
      <c r="X3132">
        <f t="shared" si="488"/>
        <v>2.8000000000000003</v>
      </c>
      <c r="Y3132" t="str">
        <f t="shared" si="489"/>
        <v>Move Immediately</v>
      </c>
    </row>
    <row r="3133" spans="1:25" x14ac:dyDescent="0.35">
      <c r="A3133" t="s">
        <v>90</v>
      </c>
      <c r="B3133" t="s">
        <v>91</v>
      </c>
      <c r="C3133" t="s">
        <v>155</v>
      </c>
      <c r="D3133" t="s">
        <v>1394</v>
      </c>
      <c r="E3133">
        <v>80725148</v>
      </c>
      <c r="F3133" t="s">
        <v>2192</v>
      </c>
      <c r="G3133" s="3">
        <v>45661</v>
      </c>
      <c r="H3133">
        <v>24</v>
      </c>
      <c r="I3133">
        <v>0</v>
      </c>
      <c r="J3133">
        <v>11</v>
      </c>
      <c r="K3133" s="4">
        <v>5085.3</v>
      </c>
      <c r="L3133" s="4">
        <f>0</f>
        <v>0</v>
      </c>
      <c r="M3133" s="4">
        <f>999</f>
        <v>999</v>
      </c>
      <c r="N3133" t="s">
        <v>19</v>
      </c>
      <c r="O3133" t="str">
        <f t="shared" si="480"/>
        <v>High</v>
      </c>
      <c r="P3133" t="str">
        <f t="shared" si="481"/>
        <v>High</v>
      </c>
      <c r="Q3133" t="str">
        <f t="shared" si="482"/>
        <v>High</v>
      </c>
      <c r="R3133" t="s">
        <v>3317</v>
      </c>
      <c r="S3133" s="4">
        <f t="shared" ca="1" si="483"/>
        <v>-536</v>
      </c>
      <c r="T3133">
        <f t="shared" si="484"/>
        <v>3</v>
      </c>
      <c r="U3133">
        <f t="shared" si="485"/>
        <v>3</v>
      </c>
      <c r="V3133">
        <f t="shared" si="486"/>
        <v>3</v>
      </c>
      <c r="W3133">
        <f t="shared" si="487"/>
        <v>1</v>
      </c>
      <c r="X3133">
        <f t="shared" si="488"/>
        <v>2.8000000000000003</v>
      </c>
      <c r="Y3133" t="str">
        <f t="shared" si="489"/>
        <v>Move Immediately</v>
      </c>
    </row>
    <row r="3134" spans="1:25" x14ac:dyDescent="0.35">
      <c r="A3134" t="s">
        <v>29</v>
      </c>
      <c r="B3134" t="s">
        <v>30</v>
      </c>
      <c r="C3134" t="s">
        <v>2022</v>
      </c>
      <c r="D3134" t="s">
        <v>2193</v>
      </c>
      <c r="E3134">
        <v>80788672</v>
      </c>
      <c r="F3134" t="s">
        <v>2194</v>
      </c>
      <c r="G3134" s="3">
        <v>47026</v>
      </c>
      <c r="H3134">
        <v>36</v>
      </c>
      <c r="I3134">
        <v>77</v>
      </c>
      <c r="J3134">
        <v>6</v>
      </c>
      <c r="K3134" s="4">
        <v>1497.54</v>
      </c>
      <c r="L3134" s="4">
        <v>217.14285714285714</v>
      </c>
      <c r="M3134" s="4">
        <v>2.763157894736842E-2</v>
      </c>
      <c r="N3134" t="s">
        <v>25</v>
      </c>
      <c r="O3134" t="str">
        <f t="shared" si="480"/>
        <v>Low</v>
      </c>
      <c r="P3134" t="str">
        <f t="shared" si="481"/>
        <v>Low</v>
      </c>
      <c r="Q3134" t="str">
        <f t="shared" si="482"/>
        <v>Low</v>
      </c>
      <c r="R3134" t="s">
        <v>3317</v>
      </c>
      <c r="S3134" s="4">
        <f t="shared" ca="1" si="483"/>
        <v>829</v>
      </c>
      <c r="T3134">
        <f t="shared" si="484"/>
        <v>1</v>
      </c>
      <c r="U3134">
        <f t="shared" si="485"/>
        <v>1</v>
      </c>
      <c r="V3134">
        <f t="shared" si="486"/>
        <v>1</v>
      </c>
      <c r="W3134">
        <f t="shared" si="487"/>
        <v>1</v>
      </c>
      <c r="X3134">
        <f t="shared" si="488"/>
        <v>0.99999999999999989</v>
      </c>
      <c r="Y3134" t="str">
        <f t="shared" si="489"/>
        <v>Healthy</v>
      </c>
    </row>
    <row r="3135" spans="1:25" x14ac:dyDescent="0.35">
      <c r="A3135" t="s">
        <v>29</v>
      </c>
      <c r="B3135" t="s">
        <v>30</v>
      </c>
      <c r="C3135" t="s">
        <v>2022</v>
      </c>
      <c r="D3135" t="s">
        <v>2193</v>
      </c>
      <c r="E3135">
        <v>80788672</v>
      </c>
      <c r="F3135" t="s">
        <v>2194</v>
      </c>
      <c r="G3135" s="3">
        <v>47077</v>
      </c>
      <c r="H3135">
        <v>36</v>
      </c>
      <c r="I3135">
        <v>82</v>
      </c>
      <c r="J3135">
        <v>36</v>
      </c>
      <c r="K3135" s="4">
        <v>8985.24</v>
      </c>
      <c r="L3135" s="4">
        <v>217.14285714285714</v>
      </c>
      <c r="M3135" s="4">
        <v>0.16578947368421054</v>
      </c>
      <c r="N3135" t="s">
        <v>25</v>
      </c>
      <c r="O3135" t="str">
        <f t="shared" si="480"/>
        <v>Low</v>
      </c>
      <c r="P3135" t="str">
        <f t="shared" si="481"/>
        <v>Low</v>
      </c>
      <c r="Q3135" t="str">
        <f t="shared" si="482"/>
        <v>Low</v>
      </c>
      <c r="R3135" t="s">
        <v>3317</v>
      </c>
      <c r="S3135" s="4">
        <f t="shared" ca="1" si="483"/>
        <v>880</v>
      </c>
      <c r="T3135">
        <f t="shared" si="484"/>
        <v>1</v>
      </c>
      <c r="U3135">
        <f t="shared" si="485"/>
        <v>1</v>
      </c>
      <c r="V3135">
        <f t="shared" si="486"/>
        <v>1</v>
      </c>
      <c r="W3135">
        <f t="shared" si="487"/>
        <v>1</v>
      </c>
      <c r="X3135">
        <f t="shared" si="488"/>
        <v>0.99999999999999989</v>
      </c>
      <c r="Y3135" t="str">
        <f t="shared" si="489"/>
        <v>Healthy</v>
      </c>
    </row>
    <row r="3136" spans="1:25" x14ac:dyDescent="0.35">
      <c r="A3136" t="s">
        <v>29</v>
      </c>
      <c r="B3136" t="s">
        <v>30</v>
      </c>
      <c r="C3136" t="s">
        <v>2022</v>
      </c>
      <c r="D3136" t="s">
        <v>2193</v>
      </c>
      <c r="E3136">
        <v>80788672</v>
      </c>
      <c r="F3136" t="s">
        <v>2194</v>
      </c>
      <c r="G3136" s="3">
        <v>47026</v>
      </c>
      <c r="H3136">
        <v>36</v>
      </c>
      <c r="I3136">
        <v>77</v>
      </c>
      <c r="J3136">
        <v>52</v>
      </c>
      <c r="K3136" s="4">
        <v>12978.68</v>
      </c>
      <c r="L3136" s="4">
        <v>217.14285714285714</v>
      </c>
      <c r="M3136" s="4">
        <v>0.23947368421052631</v>
      </c>
      <c r="N3136" t="s">
        <v>25</v>
      </c>
      <c r="O3136" t="str">
        <f t="shared" si="480"/>
        <v>Low</v>
      </c>
      <c r="P3136" t="str">
        <f t="shared" si="481"/>
        <v>Low</v>
      </c>
      <c r="Q3136" t="str">
        <f t="shared" si="482"/>
        <v>Low</v>
      </c>
      <c r="R3136" t="s">
        <v>3317</v>
      </c>
      <c r="S3136" s="4">
        <f t="shared" ca="1" si="483"/>
        <v>829</v>
      </c>
      <c r="T3136">
        <f t="shared" si="484"/>
        <v>1</v>
      </c>
      <c r="U3136">
        <f t="shared" si="485"/>
        <v>1</v>
      </c>
      <c r="V3136">
        <f t="shared" si="486"/>
        <v>1</v>
      </c>
      <c r="W3136">
        <f t="shared" si="487"/>
        <v>1</v>
      </c>
      <c r="X3136">
        <f t="shared" si="488"/>
        <v>0.99999999999999989</v>
      </c>
      <c r="Y3136" t="str">
        <f t="shared" si="489"/>
        <v>Healthy</v>
      </c>
    </row>
    <row r="3137" spans="1:25" x14ac:dyDescent="0.35">
      <c r="A3137" t="s">
        <v>29</v>
      </c>
      <c r="B3137" t="s">
        <v>30</v>
      </c>
      <c r="C3137" t="s">
        <v>2022</v>
      </c>
      <c r="D3137" t="s">
        <v>2193</v>
      </c>
      <c r="E3137">
        <v>80788672</v>
      </c>
      <c r="F3137" t="s">
        <v>2194</v>
      </c>
      <c r="G3137" s="3">
        <v>47207</v>
      </c>
      <c r="H3137">
        <v>36</v>
      </c>
      <c r="I3137">
        <v>94</v>
      </c>
      <c r="J3137">
        <v>177</v>
      </c>
      <c r="K3137" s="4">
        <v>44177.43</v>
      </c>
      <c r="L3137" s="4">
        <v>217.14285714285714</v>
      </c>
      <c r="M3137" s="4">
        <v>0.81513157894736843</v>
      </c>
      <c r="N3137" t="s">
        <v>25</v>
      </c>
      <c r="O3137" t="str">
        <f t="shared" si="480"/>
        <v>Low</v>
      </c>
      <c r="P3137" t="str">
        <f t="shared" si="481"/>
        <v>Low</v>
      </c>
      <c r="Q3137" t="str">
        <f t="shared" si="482"/>
        <v>Low</v>
      </c>
      <c r="R3137" t="s">
        <v>3317</v>
      </c>
      <c r="S3137" s="4">
        <f t="shared" ca="1" si="483"/>
        <v>1010</v>
      </c>
      <c r="T3137">
        <f t="shared" si="484"/>
        <v>1</v>
      </c>
      <c r="U3137">
        <f t="shared" si="485"/>
        <v>1</v>
      </c>
      <c r="V3137">
        <f t="shared" si="486"/>
        <v>1</v>
      </c>
      <c r="W3137">
        <f t="shared" si="487"/>
        <v>1</v>
      </c>
      <c r="X3137">
        <f t="shared" si="488"/>
        <v>0.99999999999999989</v>
      </c>
      <c r="Y3137" t="str">
        <f t="shared" si="489"/>
        <v>Healthy</v>
      </c>
    </row>
    <row r="3138" spans="1:25" x14ac:dyDescent="0.35">
      <c r="A3138" t="s">
        <v>29</v>
      </c>
      <c r="B3138" t="s">
        <v>30</v>
      </c>
      <c r="C3138" t="s">
        <v>2022</v>
      </c>
      <c r="D3138" t="s">
        <v>2193</v>
      </c>
      <c r="E3138">
        <v>80788672</v>
      </c>
      <c r="F3138" t="s">
        <v>2194</v>
      </c>
      <c r="G3138" s="3">
        <v>47026</v>
      </c>
      <c r="H3138">
        <v>36</v>
      </c>
      <c r="I3138">
        <v>77</v>
      </c>
      <c r="J3138">
        <v>22</v>
      </c>
      <c r="K3138" s="4">
        <v>5490.98</v>
      </c>
      <c r="L3138" s="4">
        <v>217.14285714285714</v>
      </c>
      <c r="M3138" s="4">
        <v>0.10131578947368421</v>
      </c>
      <c r="N3138" t="s">
        <v>25</v>
      </c>
      <c r="O3138" t="str">
        <f t="shared" si="480"/>
        <v>Low</v>
      </c>
      <c r="P3138" t="str">
        <f t="shared" si="481"/>
        <v>Low</v>
      </c>
      <c r="Q3138" t="str">
        <f t="shared" si="482"/>
        <v>Low</v>
      </c>
      <c r="R3138" t="s">
        <v>3317</v>
      </c>
      <c r="S3138" s="4">
        <f t="shared" ca="1" si="483"/>
        <v>829</v>
      </c>
      <c r="T3138">
        <f t="shared" si="484"/>
        <v>1</v>
      </c>
      <c r="U3138">
        <f t="shared" si="485"/>
        <v>1</v>
      </c>
      <c r="V3138">
        <f t="shared" si="486"/>
        <v>1</v>
      </c>
      <c r="W3138">
        <f t="shared" si="487"/>
        <v>1</v>
      </c>
      <c r="X3138">
        <f t="shared" si="488"/>
        <v>0.99999999999999989</v>
      </c>
      <c r="Y3138" t="str">
        <f t="shared" si="489"/>
        <v>Healthy</v>
      </c>
    </row>
    <row r="3139" spans="1:25" x14ac:dyDescent="0.35">
      <c r="A3139" t="s">
        <v>29</v>
      </c>
      <c r="B3139" t="s">
        <v>30</v>
      </c>
      <c r="C3139" t="s">
        <v>2022</v>
      </c>
      <c r="D3139" t="s">
        <v>2193</v>
      </c>
      <c r="E3139">
        <v>80788672</v>
      </c>
      <c r="F3139" t="s">
        <v>2194</v>
      </c>
      <c r="G3139" s="3">
        <v>47026</v>
      </c>
      <c r="H3139">
        <v>36</v>
      </c>
      <c r="I3139">
        <v>77</v>
      </c>
      <c r="J3139">
        <v>12</v>
      </c>
      <c r="K3139" s="4">
        <v>2995.08</v>
      </c>
      <c r="L3139" s="4">
        <v>217.14285714285714</v>
      </c>
      <c r="M3139" s="4">
        <v>5.526315789473684E-2</v>
      </c>
      <c r="N3139" t="s">
        <v>25</v>
      </c>
      <c r="O3139" t="str">
        <f t="shared" ref="O3139:O3202" si="490">IF(I3139&lt;20,"High",IF(I3139&lt;40,"Medium","Low"))</f>
        <v>Low</v>
      </c>
      <c r="P3139" t="str">
        <f t="shared" ref="P3139:P3202" si="491">IF(M3139&gt;8,"High",IF(M3139&gt;4,"Medium","Low"))</f>
        <v>Low</v>
      </c>
      <c r="Q3139" t="str">
        <f t="shared" ref="Q3139:Q3202" si="492">IF(L3139&lt;5,"High",IF(L3139&lt;15,"Medium","Low"))</f>
        <v>Low</v>
      </c>
      <c r="R3139" t="s">
        <v>3317</v>
      </c>
      <c r="S3139" s="4">
        <f t="shared" ref="S3139:S3202" ca="1" si="493">G3139-TODAY()</f>
        <v>829</v>
      </c>
      <c r="T3139">
        <f t="shared" ref="T3139:T3202" si="494">IF(O3139="High",3,IF(O3139="Medium",2,1))</f>
        <v>1</v>
      </c>
      <c r="U3139">
        <f t="shared" ref="U3139:U3202" si="495">IF(P3139="High",3,IF(P3139="Medium",2,1))</f>
        <v>1</v>
      </c>
      <c r="V3139">
        <f t="shared" ref="V3139:V3202" si="496">IF(Q3139="High",3,IF(Q3139="Medium",2,1))</f>
        <v>1</v>
      </c>
      <c r="W3139">
        <f t="shared" ref="W3139:W3202" si="497">IF(R3139="High",3,IF(R3139="Medium",2,1))</f>
        <v>1</v>
      </c>
      <c r="X3139">
        <f t="shared" ref="X3139:X3202" si="498">(0.4*T3139)+(0.3*U3139)+(0.2*V3139)+(0.1*W3139)</f>
        <v>0.99999999999999989</v>
      </c>
      <c r="Y3139" t="str">
        <f t="shared" ref="Y3139:Y3202" si="499">IF(X3139&gt;=2.7,"Move Immediately",IF(X3139&gt;=2.2,"High Priority",IF(X3139&gt;=1.7,"Monitor","Healthy")))</f>
        <v>Healthy</v>
      </c>
    </row>
    <row r="3140" spans="1:25" x14ac:dyDescent="0.35">
      <c r="A3140" t="s">
        <v>41</v>
      </c>
      <c r="B3140" t="s">
        <v>54</v>
      </c>
      <c r="C3140" t="s">
        <v>293</v>
      </c>
      <c r="D3140" t="s">
        <v>1740</v>
      </c>
      <c r="E3140">
        <v>80821395</v>
      </c>
      <c r="F3140" t="s">
        <v>2195</v>
      </c>
      <c r="G3140" s="3">
        <v>46372</v>
      </c>
      <c r="H3140">
        <v>18</v>
      </c>
      <c r="I3140">
        <v>33</v>
      </c>
      <c r="J3140">
        <v>32</v>
      </c>
      <c r="K3140" s="4">
        <v>6579.2</v>
      </c>
      <c r="L3140" s="4">
        <v>232.71428571428572</v>
      </c>
      <c r="M3140" s="4">
        <v>0.13750767341927561</v>
      </c>
      <c r="N3140" t="s">
        <v>25</v>
      </c>
      <c r="O3140" t="str">
        <f t="shared" si="490"/>
        <v>Medium</v>
      </c>
      <c r="P3140" t="str">
        <f t="shared" si="491"/>
        <v>Low</v>
      </c>
      <c r="Q3140" t="str">
        <f t="shared" si="492"/>
        <v>Low</v>
      </c>
      <c r="R3140" t="s">
        <v>3317</v>
      </c>
      <c r="S3140" s="4">
        <f t="shared" ca="1" si="493"/>
        <v>175</v>
      </c>
      <c r="T3140">
        <f t="shared" si="494"/>
        <v>2</v>
      </c>
      <c r="U3140">
        <f t="shared" si="495"/>
        <v>1</v>
      </c>
      <c r="V3140">
        <f t="shared" si="496"/>
        <v>1</v>
      </c>
      <c r="W3140">
        <f t="shared" si="497"/>
        <v>1</v>
      </c>
      <c r="X3140">
        <f t="shared" si="498"/>
        <v>1.4000000000000001</v>
      </c>
      <c r="Y3140" t="str">
        <f t="shared" si="499"/>
        <v>Healthy</v>
      </c>
    </row>
    <row r="3141" spans="1:25" x14ac:dyDescent="0.35">
      <c r="A3141" t="s">
        <v>41</v>
      </c>
      <c r="B3141" t="s">
        <v>54</v>
      </c>
      <c r="C3141" t="s">
        <v>293</v>
      </c>
      <c r="D3141" t="s">
        <v>1740</v>
      </c>
      <c r="E3141">
        <v>80821395</v>
      </c>
      <c r="F3141" t="s">
        <v>2195</v>
      </c>
      <c r="G3141" s="3">
        <v>46435</v>
      </c>
      <c r="H3141">
        <v>18</v>
      </c>
      <c r="I3141">
        <v>45</v>
      </c>
      <c r="J3141">
        <v>16</v>
      </c>
      <c r="K3141" s="4">
        <v>3289.6</v>
      </c>
      <c r="L3141" s="4">
        <v>232.71428571428572</v>
      </c>
      <c r="M3141" s="4">
        <v>6.8753836709637806E-2</v>
      </c>
      <c r="N3141" t="s">
        <v>25</v>
      </c>
      <c r="O3141" t="str">
        <f t="shared" si="490"/>
        <v>Low</v>
      </c>
      <c r="P3141" t="str">
        <f t="shared" si="491"/>
        <v>Low</v>
      </c>
      <c r="Q3141" t="str">
        <f t="shared" si="492"/>
        <v>Low</v>
      </c>
      <c r="R3141" t="s">
        <v>3317</v>
      </c>
      <c r="S3141" s="4">
        <f t="shared" ca="1" si="493"/>
        <v>238</v>
      </c>
      <c r="T3141">
        <f t="shared" si="494"/>
        <v>1</v>
      </c>
      <c r="U3141">
        <f t="shared" si="495"/>
        <v>1</v>
      </c>
      <c r="V3141">
        <f t="shared" si="496"/>
        <v>1</v>
      </c>
      <c r="W3141">
        <f t="shared" si="497"/>
        <v>1</v>
      </c>
      <c r="X3141">
        <f t="shared" si="498"/>
        <v>0.99999999999999989</v>
      </c>
      <c r="Y3141" t="str">
        <f t="shared" si="499"/>
        <v>Healthy</v>
      </c>
    </row>
    <row r="3142" spans="1:25" x14ac:dyDescent="0.35">
      <c r="A3142" t="s">
        <v>41</v>
      </c>
      <c r="B3142" t="s">
        <v>54</v>
      </c>
      <c r="C3142" t="s">
        <v>293</v>
      </c>
      <c r="D3142" t="s">
        <v>1740</v>
      </c>
      <c r="E3142">
        <v>80821395</v>
      </c>
      <c r="F3142" t="s">
        <v>2195</v>
      </c>
      <c r="G3142" s="3">
        <v>46474</v>
      </c>
      <c r="H3142">
        <v>18</v>
      </c>
      <c r="I3142">
        <v>52</v>
      </c>
      <c r="J3142">
        <v>26</v>
      </c>
      <c r="K3142" s="4">
        <v>5345.6</v>
      </c>
      <c r="L3142" s="4">
        <v>232.71428571428572</v>
      </c>
      <c r="M3142" s="4">
        <v>0.11172498465316144</v>
      </c>
      <c r="N3142" t="s">
        <v>25</v>
      </c>
      <c r="O3142" t="str">
        <f t="shared" si="490"/>
        <v>Low</v>
      </c>
      <c r="P3142" t="str">
        <f t="shared" si="491"/>
        <v>Low</v>
      </c>
      <c r="Q3142" t="str">
        <f t="shared" si="492"/>
        <v>Low</v>
      </c>
      <c r="R3142" t="s">
        <v>3317</v>
      </c>
      <c r="S3142" s="4">
        <f t="shared" ca="1" si="493"/>
        <v>277</v>
      </c>
      <c r="T3142">
        <f t="shared" si="494"/>
        <v>1</v>
      </c>
      <c r="U3142">
        <f t="shared" si="495"/>
        <v>1</v>
      </c>
      <c r="V3142">
        <f t="shared" si="496"/>
        <v>1</v>
      </c>
      <c r="W3142">
        <f t="shared" si="497"/>
        <v>1</v>
      </c>
      <c r="X3142">
        <f t="shared" si="498"/>
        <v>0.99999999999999989</v>
      </c>
      <c r="Y3142" t="str">
        <f t="shared" si="499"/>
        <v>Healthy</v>
      </c>
    </row>
    <row r="3143" spans="1:25" x14ac:dyDescent="0.35">
      <c r="A3143" t="s">
        <v>41</v>
      </c>
      <c r="B3143" t="s">
        <v>54</v>
      </c>
      <c r="C3143" t="s">
        <v>293</v>
      </c>
      <c r="D3143" t="s">
        <v>1740</v>
      </c>
      <c r="E3143">
        <v>80821395</v>
      </c>
      <c r="F3143" t="s">
        <v>2195</v>
      </c>
      <c r="G3143" s="3">
        <v>46451</v>
      </c>
      <c r="H3143">
        <v>18</v>
      </c>
      <c r="I3143">
        <v>48</v>
      </c>
      <c r="J3143">
        <v>10</v>
      </c>
      <c r="K3143" s="4">
        <v>2056</v>
      </c>
      <c r="L3143" s="4">
        <v>232.71428571428572</v>
      </c>
      <c r="M3143" s="4">
        <v>4.2971147943523635E-2</v>
      </c>
      <c r="N3143" t="s">
        <v>25</v>
      </c>
      <c r="O3143" t="str">
        <f t="shared" si="490"/>
        <v>Low</v>
      </c>
      <c r="P3143" t="str">
        <f t="shared" si="491"/>
        <v>Low</v>
      </c>
      <c r="Q3143" t="str">
        <f t="shared" si="492"/>
        <v>Low</v>
      </c>
      <c r="R3143" t="s">
        <v>3317</v>
      </c>
      <c r="S3143" s="4">
        <f t="shared" ca="1" si="493"/>
        <v>254</v>
      </c>
      <c r="T3143">
        <f t="shared" si="494"/>
        <v>1</v>
      </c>
      <c r="U3143">
        <f t="shared" si="495"/>
        <v>1</v>
      </c>
      <c r="V3143">
        <f t="shared" si="496"/>
        <v>1</v>
      </c>
      <c r="W3143">
        <f t="shared" si="497"/>
        <v>1</v>
      </c>
      <c r="X3143">
        <f t="shared" si="498"/>
        <v>0.99999999999999989</v>
      </c>
      <c r="Y3143" t="str">
        <f t="shared" si="499"/>
        <v>Healthy</v>
      </c>
    </row>
    <row r="3144" spans="1:25" x14ac:dyDescent="0.35">
      <c r="A3144" t="s">
        <v>104</v>
      </c>
      <c r="B3144" t="s">
        <v>105</v>
      </c>
      <c r="C3144" t="s">
        <v>279</v>
      </c>
      <c r="D3144" t="s">
        <v>1415</v>
      </c>
      <c r="E3144">
        <v>80780341</v>
      </c>
      <c r="F3144" t="s">
        <v>2196</v>
      </c>
      <c r="G3144" s="3">
        <v>46851</v>
      </c>
      <c r="H3144">
        <v>24</v>
      </c>
      <c r="I3144">
        <v>92</v>
      </c>
      <c r="J3144">
        <v>30</v>
      </c>
      <c r="K3144" s="4">
        <v>7175.7</v>
      </c>
      <c r="L3144" s="4">
        <v>212.71428571428572</v>
      </c>
      <c r="M3144" s="4">
        <v>0.14103425117528542</v>
      </c>
      <c r="N3144" t="s">
        <v>25</v>
      </c>
      <c r="O3144" t="str">
        <f t="shared" si="490"/>
        <v>Low</v>
      </c>
      <c r="P3144" t="str">
        <f t="shared" si="491"/>
        <v>Low</v>
      </c>
      <c r="Q3144" t="str">
        <f t="shared" si="492"/>
        <v>Low</v>
      </c>
      <c r="R3144" t="s">
        <v>3317</v>
      </c>
      <c r="S3144" s="4">
        <f t="shared" ca="1" si="493"/>
        <v>654</v>
      </c>
      <c r="T3144">
        <f t="shared" si="494"/>
        <v>1</v>
      </c>
      <c r="U3144">
        <f t="shared" si="495"/>
        <v>1</v>
      </c>
      <c r="V3144">
        <f t="shared" si="496"/>
        <v>1</v>
      </c>
      <c r="W3144">
        <f t="shared" si="497"/>
        <v>1</v>
      </c>
      <c r="X3144">
        <f t="shared" si="498"/>
        <v>0.99999999999999989</v>
      </c>
      <c r="Y3144" t="str">
        <f t="shared" si="499"/>
        <v>Healthy</v>
      </c>
    </row>
    <row r="3145" spans="1:25" x14ac:dyDescent="0.35">
      <c r="A3145" t="s">
        <v>104</v>
      </c>
      <c r="B3145" t="s">
        <v>105</v>
      </c>
      <c r="C3145" t="s">
        <v>279</v>
      </c>
      <c r="D3145" t="s">
        <v>1415</v>
      </c>
      <c r="E3145">
        <v>80780341</v>
      </c>
      <c r="F3145" t="s">
        <v>2196</v>
      </c>
      <c r="G3145" s="3">
        <v>46781</v>
      </c>
      <c r="H3145">
        <v>24</v>
      </c>
      <c r="I3145">
        <v>82</v>
      </c>
      <c r="J3145">
        <v>68</v>
      </c>
      <c r="K3145" s="4">
        <v>16264.92</v>
      </c>
      <c r="L3145" s="4">
        <v>212.71428571428572</v>
      </c>
      <c r="M3145" s="4">
        <v>0.31967763599731364</v>
      </c>
      <c r="N3145" t="s">
        <v>25</v>
      </c>
      <c r="O3145" t="str">
        <f t="shared" si="490"/>
        <v>Low</v>
      </c>
      <c r="P3145" t="str">
        <f t="shared" si="491"/>
        <v>Low</v>
      </c>
      <c r="Q3145" t="str">
        <f t="shared" si="492"/>
        <v>Low</v>
      </c>
      <c r="R3145" t="s">
        <v>3317</v>
      </c>
      <c r="S3145" s="4">
        <f t="shared" ca="1" si="493"/>
        <v>584</v>
      </c>
      <c r="T3145">
        <f t="shared" si="494"/>
        <v>1</v>
      </c>
      <c r="U3145">
        <f t="shared" si="495"/>
        <v>1</v>
      </c>
      <c r="V3145">
        <f t="shared" si="496"/>
        <v>1</v>
      </c>
      <c r="W3145">
        <f t="shared" si="497"/>
        <v>1</v>
      </c>
      <c r="X3145">
        <f t="shared" si="498"/>
        <v>0.99999999999999989</v>
      </c>
      <c r="Y3145" t="str">
        <f t="shared" si="499"/>
        <v>Healthy</v>
      </c>
    </row>
    <row r="3146" spans="1:25" x14ac:dyDescent="0.35">
      <c r="A3146" t="s">
        <v>104</v>
      </c>
      <c r="B3146" t="s">
        <v>105</v>
      </c>
      <c r="C3146" t="s">
        <v>279</v>
      </c>
      <c r="D3146" t="s">
        <v>1415</v>
      </c>
      <c r="E3146">
        <v>80780341</v>
      </c>
      <c r="F3146" t="s">
        <v>2196</v>
      </c>
      <c r="G3146" s="3">
        <v>46562</v>
      </c>
      <c r="H3146">
        <v>24</v>
      </c>
      <c r="I3146">
        <v>51</v>
      </c>
      <c r="J3146">
        <v>9</v>
      </c>
      <c r="K3146" s="4">
        <v>2152.71</v>
      </c>
      <c r="L3146" s="4">
        <v>212.71428571428572</v>
      </c>
      <c r="M3146" s="4">
        <v>4.2310275352585629E-2</v>
      </c>
      <c r="N3146" t="s">
        <v>25</v>
      </c>
      <c r="O3146" t="str">
        <f t="shared" si="490"/>
        <v>Low</v>
      </c>
      <c r="P3146" t="str">
        <f t="shared" si="491"/>
        <v>Low</v>
      </c>
      <c r="Q3146" t="str">
        <f t="shared" si="492"/>
        <v>Low</v>
      </c>
      <c r="R3146" t="s">
        <v>3317</v>
      </c>
      <c r="S3146" s="4">
        <f t="shared" ca="1" si="493"/>
        <v>365</v>
      </c>
      <c r="T3146">
        <f t="shared" si="494"/>
        <v>1</v>
      </c>
      <c r="U3146">
        <f t="shared" si="495"/>
        <v>1</v>
      </c>
      <c r="V3146">
        <f t="shared" si="496"/>
        <v>1</v>
      </c>
      <c r="W3146">
        <f t="shared" si="497"/>
        <v>1</v>
      </c>
      <c r="X3146">
        <f t="shared" si="498"/>
        <v>0.99999999999999989</v>
      </c>
      <c r="Y3146" t="str">
        <f t="shared" si="499"/>
        <v>Healthy</v>
      </c>
    </row>
    <row r="3147" spans="1:25" x14ac:dyDescent="0.35">
      <c r="A3147" t="s">
        <v>41</v>
      </c>
      <c r="B3147" t="s">
        <v>54</v>
      </c>
      <c r="C3147" t="s">
        <v>87</v>
      </c>
      <c r="D3147" t="s">
        <v>124</v>
      </c>
      <c r="E3147">
        <v>80728681</v>
      </c>
      <c r="F3147" t="s">
        <v>2197</v>
      </c>
      <c r="G3147" s="3">
        <v>45956</v>
      </c>
      <c r="H3147">
        <v>36</v>
      </c>
      <c r="I3147">
        <v>0</v>
      </c>
      <c r="J3147">
        <v>2</v>
      </c>
      <c r="K3147" s="4">
        <v>720.84</v>
      </c>
      <c r="L3147" s="4">
        <f>0</f>
        <v>0</v>
      </c>
      <c r="M3147" s="4">
        <f>999</f>
        <v>999</v>
      </c>
      <c r="N3147" t="s">
        <v>19</v>
      </c>
      <c r="O3147" t="str">
        <f t="shared" si="490"/>
        <v>High</v>
      </c>
      <c r="P3147" t="str">
        <f t="shared" si="491"/>
        <v>High</v>
      </c>
      <c r="Q3147" t="str">
        <f t="shared" si="492"/>
        <v>High</v>
      </c>
      <c r="R3147" t="s">
        <v>3317</v>
      </c>
      <c r="S3147" s="4">
        <f t="shared" ca="1" si="493"/>
        <v>-241</v>
      </c>
      <c r="T3147">
        <f t="shared" si="494"/>
        <v>3</v>
      </c>
      <c r="U3147">
        <f t="shared" si="495"/>
        <v>3</v>
      </c>
      <c r="V3147">
        <f t="shared" si="496"/>
        <v>3</v>
      </c>
      <c r="W3147">
        <f t="shared" si="497"/>
        <v>1</v>
      </c>
      <c r="X3147">
        <f t="shared" si="498"/>
        <v>2.8000000000000003</v>
      </c>
      <c r="Y3147" t="str">
        <f t="shared" si="499"/>
        <v>Move Immediately</v>
      </c>
    </row>
    <row r="3148" spans="1:25" x14ac:dyDescent="0.35">
      <c r="A3148" t="s">
        <v>104</v>
      </c>
      <c r="B3148" t="s">
        <v>105</v>
      </c>
      <c r="C3148" t="s">
        <v>279</v>
      </c>
      <c r="D3148" t="s">
        <v>1415</v>
      </c>
      <c r="E3148">
        <v>80780341</v>
      </c>
      <c r="F3148" t="s">
        <v>2196</v>
      </c>
      <c r="G3148" s="3">
        <v>46604</v>
      </c>
      <c r="H3148">
        <v>24</v>
      </c>
      <c r="I3148">
        <v>57</v>
      </c>
      <c r="J3148">
        <v>7</v>
      </c>
      <c r="K3148" s="4">
        <v>1674.33</v>
      </c>
      <c r="L3148" s="4">
        <v>212.71428571428572</v>
      </c>
      <c r="M3148" s="4">
        <v>3.2907991940899932E-2</v>
      </c>
      <c r="N3148" t="s">
        <v>25</v>
      </c>
      <c r="O3148" t="str">
        <f t="shared" si="490"/>
        <v>Low</v>
      </c>
      <c r="P3148" t="str">
        <f t="shared" si="491"/>
        <v>Low</v>
      </c>
      <c r="Q3148" t="str">
        <f t="shared" si="492"/>
        <v>Low</v>
      </c>
      <c r="R3148" t="s">
        <v>3317</v>
      </c>
      <c r="S3148" s="4">
        <f t="shared" ca="1" si="493"/>
        <v>407</v>
      </c>
      <c r="T3148">
        <f t="shared" si="494"/>
        <v>1</v>
      </c>
      <c r="U3148">
        <f t="shared" si="495"/>
        <v>1</v>
      </c>
      <c r="V3148">
        <f t="shared" si="496"/>
        <v>1</v>
      </c>
      <c r="W3148">
        <f t="shared" si="497"/>
        <v>1</v>
      </c>
      <c r="X3148">
        <f t="shared" si="498"/>
        <v>0.99999999999999989</v>
      </c>
      <c r="Y3148" t="str">
        <f t="shared" si="499"/>
        <v>Healthy</v>
      </c>
    </row>
    <row r="3149" spans="1:25" x14ac:dyDescent="0.35">
      <c r="A3149" t="s">
        <v>104</v>
      </c>
      <c r="B3149" t="s">
        <v>105</v>
      </c>
      <c r="C3149" t="s">
        <v>279</v>
      </c>
      <c r="D3149" t="s">
        <v>1415</v>
      </c>
      <c r="E3149">
        <v>80780341</v>
      </c>
      <c r="F3149" t="s">
        <v>2196</v>
      </c>
      <c r="G3149" s="3">
        <v>46603</v>
      </c>
      <c r="H3149">
        <v>24</v>
      </c>
      <c r="I3149">
        <v>57</v>
      </c>
      <c r="J3149">
        <v>14</v>
      </c>
      <c r="K3149" s="4">
        <v>3348.66</v>
      </c>
      <c r="L3149" s="4">
        <v>212.71428571428572</v>
      </c>
      <c r="M3149" s="4">
        <v>6.5815983881799864E-2</v>
      </c>
      <c r="N3149" t="s">
        <v>25</v>
      </c>
      <c r="O3149" t="str">
        <f t="shared" si="490"/>
        <v>Low</v>
      </c>
      <c r="P3149" t="str">
        <f t="shared" si="491"/>
        <v>Low</v>
      </c>
      <c r="Q3149" t="str">
        <f t="shared" si="492"/>
        <v>Low</v>
      </c>
      <c r="R3149" t="s">
        <v>3317</v>
      </c>
      <c r="S3149" s="4">
        <f t="shared" ca="1" si="493"/>
        <v>406</v>
      </c>
      <c r="T3149">
        <f t="shared" si="494"/>
        <v>1</v>
      </c>
      <c r="U3149">
        <f t="shared" si="495"/>
        <v>1</v>
      </c>
      <c r="V3149">
        <f t="shared" si="496"/>
        <v>1</v>
      </c>
      <c r="W3149">
        <f t="shared" si="497"/>
        <v>1</v>
      </c>
      <c r="X3149">
        <f t="shared" si="498"/>
        <v>0.99999999999999989</v>
      </c>
      <c r="Y3149" t="str">
        <f t="shared" si="499"/>
        <v>Healthy</v>
      </c>
    </row>
    <row r="3150" spans="1:25" x14ac:dyDescent="0.35">
      <c r="A3150" t="s">
        <v>71</v>
      </c>
      <c r="B3150" t="s">
        <v>72</v>
      </c>
      <c r="C3150" t="s">
        <v>73</v>
      </c>
      <c r="D3150" t="s">
        <v>2198</v>
      </c>
      <c r="E3150">
        <v>80817245</v>
      </c>
      <c r="F3150" t="s">
        <v>2199</v>
      </c>
      <c r="G3150" s="3">
        <v>46698</v>
      </c>
      <c r="H3150">
        <v>36</v>
      </c>
      <c r="I3150">
        <v>47</v>
      </c>
      <c r="J3150">
        <v>10</v>
      </c>
      <c r="K3150" s="4">
        <v>7487.8</v>
      </c>
      <c r="L3150" s="4">
        <v>25.142857142857142</v>
      </c>
      <c r="M3150" s="4">
        <v>0.39772727272727276</v>
      </c>
      <c r="N3150" t="s">
        <v>25</v>
      </c>
      <c r="O3150" t="str">
        <f t="shared" si="490"/>
        <v>Low</v>
      </c>
      <c r="P3150" t="str">
        <f t="shared" si="491"/>
        <v>Low</v>
      </c>
      <c r="Q3150" t="str">
        <f t="shared" si="492"/>
        <v>Low</v>
      </c>
      <c r="R3150" t="s">
        <v>3317</v>
      </c>
      <c r="S3150" s="4">
        <f t="shared" ca="1" si="493"/>
        <v>501</v>
      </c>
      <c r="T3150">
        <f t="shared" si="494"/>
        <v>1</v>
      </c>
      <c r="U3150">
        <f t="shared" si="495"/>
        <v>1</v>
      </c>
      <c r="V3150">
        <f t="shared" si="496"/>
        <v>1</v>
      </c>
      <c r="W3150">
        <f t="shared" si="497"/>
        <v>1</v>
      </c>
      <c r="X3150">
        <f t="shared" si="498"/>
        <v>0.99999999999999989</v>
      </c>
      <c r="Y3150" t="str">
        <f t="shared" si="499"/>
        <v>Healthy</v>
      </c>
    </row>
    <row r="3151" spans="1:25" x14ac:dyDescent="0.35">
      <c r="A3151" t="s">
        <v>41</v>
      </c>
      <c r="B3151" t="s">
        <v>54</v>
      </c>
      <c r="C3151" t="s">
        <v>87</v>
      </c>
      <c r="D3151" t="s">
        <v>124</v>
      </c>
      <c r="E3151">
        <v>80728681</v>
      </c>
      <c r="F3151" t="s">
        <v>2197</v>
      </c>
      <c r="G3151" s="3">
        <v>46013</v>
      </c>
      <c r="H3151">
        <v>36</v>
      </c>
      <c r="I3151">
        <v>0</v>
      </c>
      <c r="J3151">
        <v>1</v>
      </c>
      <c r="K3151" s="4">
        <v>360.42</v>
      </c>
      <c r="L3151" s="4">
        <f>0</f>
        <v>0</v>
      </c>
      <c r="M3151" s="4">
        <f>999</f>
        <v>999</v>
      </c>
      <c r="N3151" t="s">
        <v>19</v>
      </c>
      <c r="O3151" t="str">
        <f t="shared" si="490"/>
        <v>High</v>
      </c>
      <c r="P3151" t="str">
        <f t="shared" si="491"/>
        <v>High</v>
      </c>
      <c r="Q3151" t="str">
        <f t="shared" si="492"/>
        <v>High</v>
      </c>
      <c r="R3151" t="s">
        <v>3317</v>
      </c>
      <c r="S3151" s="4">
        <f t="shared" ca="1" si="493"/>
        <v>-184</v>
      </c>
      <c r="T3151">
        <f t="shared" si="494"/>
        <v>3</v>
      </c>
      <c r="U3151">
        <f t="shared" si="495"/>
        <v>3</v>
      </c>
      <c r="V3151">
        <f t="shared" si="496"/>
        <v>3</v>
      </c>
      <c r="W3151">
        <f t="shared" si="497"/>
        <v>1</v>
      </c>
      <c r="X3151">
        <f t="shared" si="498"/>
        <v>2.8000000000000003</v>
      </c>
      <c r="Y3151" t="str">
        <f t="shared" si="499"/>
        <v>Move Immediately</v>
      </c>
    </row>
    <row r="3152" spans="1:25" x14ac:dyDescent="0.35">
      <c r="A3152" t="s">
        <v>71</v>
      </c>
      <c r="B3152" t="s">
        <v>72</v>
      </c>
      <c r="C3152" t="s">
        <v>73</v>
      </c>
      <c r="D3152" t="s">
        <v>2198</v>
      </c>
      <c r="E3152">
        <v>80817245</v>
      </c>
      <c r="F3152" t="s">
        <v>2199</v>
      </c>
      <c r="G3152" s="3">
        <v>46619</v>
      </c>
      <c r="H3152">
        <v>36</v>
      </c>
      <c r="I3152">
        <v>40</v>
      </c>
      <c r="J3152">
        <v>8</v>
      </c>
      <c r="K3152" s="4">
        <v>5990.24</v>
      </c>
      <c r="L3152" s="4">
        <v>25.142857142857142</v>
      </c>
      <c r="M3152" s="4">
        <v>0.31818181818181818</v>
      </c>
      <c r="N3152" t="s">
        <v>25</v>
      </c>
      <c r="O3152" t="str">
        <f t="shared" si="490"/>
        <v>Low</v>
      </c>
      <c r="P3152" t="str">
        <f t="shared" si="491"/>
        <v>Low</v>
      </c>
      <c r="Q3152" t="str">
        <f t="shared" si="492"/>
        <v>Low</v>
      </c>
      <c r="R3152" t="s">
        <v>3317</v>
      </c>
      <c r="S3152" s="4">
        <f t="shared" ca="1" si="493"/>
        <v>422</v>
      </c>
      <c r="T3152">
        <f t="shared" si="494"/>
        <v>1</v>
      </c>
      <c r="U3152">
        <f t="shared" si="495"/>
        <v>1</v>
      </c>
      <c r="V3152">
        <f t="shared" si="496"/>
        <v>1</v>
      </c>
      <c r="W3152">
        <f t="shared" si="497"/>
        <v>1</v>
      </c>
      <c r="X3152">
        <f t="shared" si="498"/>
        <v>0.99999999999999989</v>
      </c>
      <c r="Y3152" t="str">
        <f t="shared" si="499"/>
        <v>Healthy</v>
      </c>
    </row>
    <row r="3153" spans="1:25" x14ac:dyDescent="0.35">
      <c r="A3153" t="s">
        <v>71</v>
      </c>
      <c r="B3153" t="s">
        <v>72</v>
      </c>
      <c r="C3153" t="s">
        <v>73</v>
      </c>
      <c r="D3153" t="s">
        <v>2198</v>
      </c>
      <c r="E3153">
        <v>80817245</v>
      </c>
      <c r="F3153" t="s">
        <v>2199</v>
      </c>
      <c r="G3153" s="3">
        <v>46585</v>
      </c>
      <c r="H3153">
        <v>36</v>
      </c>
      <c r="I3153">
        <v>36</v>
      </c>
      <c r="J3153">
        <v>32</v>
      </c>
      <c r="K3153" s="4">
        <v>23960.959999999999</v>
      </c>
      <c r="L3153" s="4">
        <v>25.142857142857142</v>
      </c>
      <c r="M3153" s="4">
        <v>1.2727272727272727</v>
      </c>
      <c r="N3153" t="s">
        <v>25</v>
      </c>
      <c r="O3153" t="str">
        <f t="shared" si="490"/>
        <v>Medium</v>
      </c>
      <c r="P3153" t="str">
        <f t="shared" si="491"/>
        <v>Low</v>
      </c>
      <c r="Q3153" t="str">
        <f t="shared" si="492"/>
        <v>Low</v>
      </c>
      <c r="R3153" t="s">
        <v>3317</v>
      </c>
      <c r="S3153" s="4">
        <f t="shared" ca="1" si="493"/>
        <v>388</v>
      </c>
      <c r="T3153">
        <f t="shared" si="494"/>
        <v>2</v>
      </c>
      <c r="U3153">
        <f t="shared" si="495"/>
        <v>1</v>
      </c>
      <c r="V3153">
        <f t="shared" si="496"/>
        <v>1</v>
      </c>
      <c r="W3153">
        <f t="shared" si="497"/>
        <v>1</v>
      </c>
      <c r="X3153">
        <f t="shared" si="498"/>
        <v>1.4000000000000001</v>
      </c>
      <c r="Y3153" t="str">
        <f t="shared" si="499"/>
        <v>Healthy</v>
      </c>
    </row>
    <row r="3154" spans="1:25" x14ac:dyDescent="0.35">
      <c r="A3154" t="s">
        <v>71</v>
      </c>
      <c r="B3154" t="s">
        <v>72</v>
      </c>
      <c r="C3154" t="s">
        <v>73</v>
      </c>
      <c r="D3154" t="s">
        <v>2198</v>
      </c>
      <c r="E3154">
        <v>80817245</v>
      </c>
      <c r="F3154" t="s">
        <v>2199</v>
      </c>
      <c r="G3154" s="3">
        <v>46745</v>
      </c>
      <c r="H3154">
        <v>36</v>
      </c>
      <c r="I3154">
        <v>51</v>
      </c>
      <c r="J3154">
        <v>7</v>
      </c>
      <c r="K3154" s="4">
        <v>5241.46</v>
      </c>
      <c r="L3154" s="4">
        <v>25.142857142857142</v>
      </c>
      <c r="M3154" s="4">
        <v>0.27840909090909094</v>
      </c>
      <c r="N3154" t="s">
        <v>25</v>
      </c>
      <c r="O3154" t="str">
        <f t="shared" si="490"/>
        <v>Low</v>
      </c>
      <c r="P3154" t="str">
        <f t="shared" si="491"/>
        <v>Low</v>
      </c>
      <c r="Q3154" t="str">
        <f t="shared" si="492"/>
        <v>Low</v>
      </c>
      <c r="R3154" t="s">
        <v>3317</v>
      </c>
      <c r="S3154" s="4">
        <f t="shared" ca="1" si="493"/>
        <v>548</v>
      </c>
      <c r="T3154">
        <f t="shared" si="494"/>
        <v>1</v>
      </c>
      <c r="U3154">
        <f t="shared" si="495"/>
        <v>1</v>
      </c>
      <c r="V3154">
        <f t="shared" si="496"/>
        <v>1</v>
      </c>
      <c r="W3154">
        <f t="shared" si="497"/>
        <v>1</v>
      </c>
      <c r="X3154">
        <f t="shared" si="498"/>
        <v>0.99999999999999989</v>
      </c>
      <c r="Y3154" t="str">
        <f t="shared" si="499"/>
        <v>Healthy</v>
      </c>
    </row>
    <row r="3155" spans="1:25" x14ac:dyDescent="0.35">
      <c r="A3155" t="s">
        <v>71</v>
      </c>
      <c r="B3155" t="s">
        <v>72</v>
      </c>
      <c r="C3155" t="s">
        <v>73</v>
      </c>
      <c r="D3155" t="s">
        <v>2198</v>
      </c>
      <c r="E3155">
        <v>80817245</v>
      </c>
      <c r="F3155" t="s">
        <v>2199</v>
      </c>
      <c r="G3155" s="3">
        <v>46868</v>
      </c>
      <c r="H3155">
        <v>36</v>
      </c>
      <c r="I3155">
        <v>63</v>
      </c>
      <c r="J3155">
        <v>32</v>
      </c>
      <c r="K3155" s="4">
        <v>23960.959999999999</v>
      </c>
      <c r="L3155" s="4">
        <v>25.142857142857142</v>
      </c>
      <c r="M3155" s="4">
        <v>1.2727272727272727</v>
      </c>
      <c r="N3155" t="s">
        <v>25</v>
      </c>
      <c r="O3155" t="str">
        <f t="shared" si="490"/>
        <v>Low</v>
      </c>
      <c r="P3155" t="str">
        <f t="shared" si="491"/>
        <v>Low</v>
      </c>
      <c r="Q3155" t="str">
        <f t="shared" si="492"/>
        <v>Low</v>
      </c>
      <c r="R3155" t="s">
        <v>3317</v>
      </c>
      <c r="S3155" s="4">
        <f t="shared" ca="1" si="493"/>
        <v>671</v>
      </c>
      <c r="T3155">
        <f t="shared" si="494"/>
        <v>1</v>
      </c>
      <c r="U3155">
        <f t="shared" si="495"/>
        <v>1</v>
      </c>
      <c r="V3155">
        <f t="shared" si="496"/>
        <v>1</v>
      </c>
      <c r="W3155">
        <f t="shared" si="497"/>
        <v>1</v>
      </c>
      <c r="X3155">
        <f t="shared" si="498"/>
        <v>0.99999999999999989</v>
      </c>
      <c r="Y3155" t="str">
        <f t="shared" si="499"/>
        <v>Healthy</v>
      </c>
    </row>
    <row r="3156" spans="1:25" x14ac:dyDescent="0.35">
      <c r="A3156" t="s">
        <v>71</v>
      </c>
      <c r="B3156" t="s">
        <v>72</v>
      </c>
      <c r="C3156" t="s">
        <v>73</v>
      </c>
      <c r="D3156" t="s">
        <v>2198</v>
      </c>
      <c r="E3156">
        <v>80817245</v>
      </c>
      <c r="F3156" t="s">
        <v>2199</v>
      </c>
      <c r="G3156" s="3">
        <v>46881</v>
      </c>
      <c r="H3156">
        <v>36</v>
      </c>
      <c r="I3156">
        <v>64</v>
      </c>
      <c r="J3156">
        <v>27</v>
      </c>
      <c r="K3156" s="4">
        <v>20217.060000000001</v>
      </c>
      <c r="L3156" s="4">
        <v>25.142857142857142</v>
      </c>
      <c r="M3156" s="4">
        <v>1.0738636363636365</v>
      </c>
      <c r="N3156" t="s">
        <v>25</v>
      </c>
      <c r="O3156" t="str">
        <f t="shared" si="490"/>
        <v>Low</v>
      </c>
      <c r="P3156" t="str">
        <f t="shared" si="491"/>
        <v>Low</v>
      </c>
      <c r="Q3156" t="str">
        <f t="shared" si="492"/>
        <v>Low</v>
      </c>
      <c r="R3156" t="s">
        <v>3317</v>
      </c>
      <c r="S3156" s="4">
        <f t="shared" ca="1" si="493"/>
        <v>684</v>
      </c>
      <c r="T3156">
        <f t="shared" si="494"/>
        <v>1</v>
      </c>
      <c r="U3156">
        <f t="shared" si="495"/>
        <v>1</v>
      </c>
      <c r="V3156">
        <f t="shared" si="496"/>
        <v>1</v>
      </c>
      <c r="W3156">
        <f t="shared" si="497"/>
        <v>1</v>
      </c>
      <c r="X3156">
        <f t="shared" si="498"/>
        <v>0.99999999999999989</v>
      </c>
      <c r="Y3156" t="str">
        <f t="shared" si="499"/>
        <v>Healthy</v>
      </c>
    </row>
    <row r="3157" spans="1:25" x14ac:dyDescent="0.35">
      <c r="A3157" t="s">
        <v>41</v>
      </c>
      <c r="B3157" t="s">
        <v>42</v>
      </c>
      <c r="C3157" t="s">
        <v>43</v>
      </c>
      <c r="D3157" t="s">
        <v>221</v>
      </c>
      <c r="E3157">
        <v>80833383</v>
      </c>
      <c r="F3157" t="s">
        <v>2200</v>
      </c>
      <c r="G3157" s="3">
        <v>46648</v>
      </c>
      <c r="H3157">
        <v>36</v>
      </c>
      <c r="I3157">
        <v>42</v>
      </c>
      <c r="J3157">
        <v>7</v>
      </c>
      <c r="K3157" s="4">
        <v>4481.8900000000003</v>
      </c>
      <c r="L3157" s="4">
        <v>1.7142857142857142</v>
      </c>
      <c r="M3157" s="4">
        <v>4.0833333333333339</v>
      </c>
      <c r="N3157" t="s">
        <v>25</v>
      </c>
      <c r="O3157" t="str">
        <f t="shared" si="490"/>
        <v>Low</v>
      </c>
      <c r="P3157" t="str">
        <f t="shared" si="491"/>
        <v>Medium</v>
      </c>
      <c r="Q3157" t="str">
        <f t="shared" si="492"/>
        <v>High</v>
      </c>
      <c r="R3157" t="s">
        <v>3317</v>
      </c>
      <c r="S3157" s="4">
        <f t="shared" ca="1" si="493"/>
        <v>451</v>
      </c>
      <c r="T3157">
        <f t="shared" si="494"/>
        <v>1</v>
      </c>
      <c r="U3157">
        <f t="shared" si="495"/>
        <v>2</v>
      </c>
      <c r="V3157">
        <f t="shared" si="496"/>
        <v>3</v>
      </c>
      <c r="W3157">
        <f t="shared" si="497"/>
        <v>1</v>
      </c>
      <c r="X3157">
        <f t="shared" si="498"/>
        <v>1.7000000000000002</v>
      </c>
      <c r="Y3157" t="str">
        <f t="shared" si="499"/>
        <v>Monitor</v>
      </c>
    </row>
    <row r="3158" spans="1:25" x14ac:dyDescent="0.35">
      <c r="A3158" t="s">
        <v>41</v>
      </c>
      <c r="B3158" t="s">
        <v>42</v>
      </c>
      <c r="C3158" t="s">
        <v>43</v>
      </c>
      <c r="D3158" t="s">
        <v>221</v>
      </c>
      <c r="E3158">
        <v>80833383</v>
      </c>
      <c r="F3158" t="s">
        <v>2200</v>
      </c>
      <c r="G3158" s="3">
        <v>46639</v>
      </c>
      <c r="H3158">
        <v>36</v>
      </c>
      <c r="I3158">
        <v>41</v>
      </c>
      <c r="J3158">
        <v>3</v>
      </c>
      <c r="K3158" s="4">
        <v>1920.81</v>
      </c>
      <c r="L3158" s="4">
        <v>1.7142857142857142</v>
      </c>
      <c r="M3158" s="4">
        <v>1.75</v>
      </c>
      <c r="N3158" t="s">
        <v>25</v>
      </c>
      <c r="O3158" t="str">
        <f t="shared" si="490"/>
        <v>Low</v>
      </c>
      <c r="P3158" t="str">
        <f t="shared" si="491"/>
        <v>Low</v>
      </c>
      <c r="Q3158" t="str">
        <f t="shared" si="492"/>
        <v>High</v>
      </c>
      <c r="R3158" t="s">
        <v>3317</v>
      </c>
      <c r="S3158" s="4">
        <f t="shared" ca="1" si="493"/>
        <v>442</v>
      </c>
      <c r="T3158">
        <f t="shared" si="494"/>
        <v>1</v>
      </c>
      <c r="U3158">
        <f t="shared" si="495"/>
        <v>1</v>
      </c>
      <c r="V3158">
        <f t="shared" si="496"/>
        <v>3</v>
      </c>
      <c r="W3158">
        <f t="shared" si="497"/>
        <v>1</v>
      </c>
      <c r="X3158">
        <f t="shared" si="498"/>
        <v>1.4000000000000001</v>
      </c>
      <c r="Y3158" t="str">
        <f t="shared" si="499"/>
        <v>Healthy</v>
      </c>
    </row>
    <row r="3159" spans="1:25" x14ac:dyDescent="0.35">
      <c r="A3159" t="s">
        <v>41</v>
      </c>
      <c r="B3159" t="s">
        <v>42</v>
      </c>
      <c r="C3159" t="s">
        <v>43</v>
      </c>
      <c r="D3159" t="s">
        <v>221</v>
      </c>
      <c r="E3159">
        <v>80833383</v>
      </c>
      <c r="F3159" t="s">
        <v>2200</v>
      </c>
      <c r="G3159" s="3">
        <v>46622</v>
      </c>
      <c r="H3159">
        <v>36</v>
      </c>
      <c r="I3159">
        <v>40</v>
      </c>
      <c r="J3159">
        <v>5</v>
      </c>
      <c r="K3159" s="4">
        <v>3201.35</v>
      </c>
      <c r="L3159" s="4">
        <v>1.7142857142857142</v>
      </c>
      <c r="M3159" s="4">
        <v>2.916666666666667</v>
      </c>
      <c r="N3159" t="s">
        <v>25</v>
      </c>
      <c r="O3159" t="str">
        <f t="shared" si="490"/>
        <v>Low</v>
      </c>
      <c r="P3159" t="str">
        <f t="shared" si="491"/>
        <v>Low</v>
      </c>
      <c r="Q3159" t="str">
        <f t="shared" si="492"/>
        <v>High</v>
      </c>
      <c r="R3159" t="s">
        <v>3317</v>
      </c>
      <c r="S3159" s="4">
        <f t="shared" ca="1" si="493"/>
        <v>425</v>
      </c>
      <c r="T3159">
        <f t="shared" si="494"/>
        <v>1</v>
      </c>
      <c r="U3159">
        <f t="shared" si="495"/>
        <v>1</v>
      </c>
      <c r="V3159">
        <f t="shared" si="496"/>
        <v>3</v>
      </c>
      <c r="W3159">
        <f t="shared" si="497"/>
        <v>1</v>
      </c>
      <c r="X3159">
        <f t="shared" si="498"/>
        <v>1.4000000000000001</v>
      </c>
      <c r="Y3159" t="str">
        <f t="shared" si="499"/>
        <v>Healthy</v>
      </c>
    </row>
    <row r="3160" spans="1:25" x14ac:dyDescent="0.35">
      <c r="A3160" t="s">
        <v>41</v>
      </c>
      <c r="B3160" t="s">
        <v>80</v>
      </c>
      <c r="C3160" t="s">
        <v>81</v>
      </c>
      <c r="D3160" t="s">
        <v>1066</v>
      </c>
      <c r="E3160">
        <v>80731204</v>
      </c>
      <c r="F3160" t="s">
        <v>2201</v>
      </c>
      <c r="G3160" s="3">
        <v>46010</v>
      </c>
      <c r="H3160">
        <v>36</v>
      </c>
      <c r="I3160">
        <v>0</v>
      </c>
      <c r="J3160">
        <v>4</v>
      </c>
      <c r="K3160" s="4">
        <v>2236.7199999999998</v>
      </c>
      <c r="L3160" s="4">
        <f>0</f>
        <v>0</v>
      </c>
      <c r="M3160" s="4">
        <f>999</f>
        <v>999</v>
      </c>
      <c r="N3160" t="s">
        <v>19</v>
      </c>
      <c r="O3160" t="str">
        <f t="shared" si="490"/>
        <v>High</v>
      </c>
      <c r="P3160" t="str">
        <f t="shared" si="491"/>
        <v>High</v>
      </c>
      <c r="Q3160" t="str">
        <f t="shared" si="492"/>
        <v>High</v>
      </c>
      <c r="R3160" t="s">
        <v>3317</v>
      </c>
      <c r="S3160" s="4">
        <f t="shared" ca="1" si="493"/>
        <v>-187</v>
      </c>
      <c r="T3160">
        <f t="shared" si="494"/>
        <v>3</v>
      </c>
      <c r="U3160">
        <f t="shared" si="495"/>
        <v>3</v>
      </c>
      <c r="V3160">
        <f t="shared" si="496"/>
        <v>3</v>
      </c>
      <c r="W3160">
        <f t="shared" si="497"/>
        <v>1</v>
      </c>
      <c r="X3160">
        <f t="shared" si="498"/>
        <v>2.8000000000000003</v>
      </c>
      <c r="Y3160" t="str">
        <f t="shared" si="499"/>
        <v>Move Immediately</v>
      </c>
    </row>
    <row r="3161" spans="1:25" x14ac:dyDescent="0.35">
      <c r="A3161" t="s">
        <v>41</v>
      </c>
      <c r="B3161" t="s">
        <v>80</v>
      </c>
      <c r="C3161" t="s">
        <v>81</v>
      </c>
      <c r="D3161" t="s">
        <v>1066</v>
      </c>
      <c r="E3161">
        <v>80731204</v>
      </c>
      <c r="F3161" t="s">
        <v>2201</v>
      </c>
      <c r="G3161" s="3">
        <v>46305</v>
      </c>
      <c r="H3161">
        <v>36</v>
      </c>
      <c r="I3161">
        <v>10</v>
      </c>
      <c r="J3161">
        <v>4</v>
      </c>
      <c r="K3161" s="4">
        <v>2236.7199999999998</v>
      </c>
      <c r="L3161" s="4">
        <f>0</f>
        <v>0</v>
      </c>
      <c r="M3161" s="4">
        <f>999</f>
        <v>999</v>
      </c>
      <c r="N3161" t="s">
        <v>19</v>
      </c>
      <c r="O3161" t="str">
        <f t="shared" si="490"/>
        <v>High</v>
      </c>
      <c r="P3161" t="str">
        <f t="shared" si="491"/>
        <v>High</v>
      </c>
      <c r="Q3161" t="str">
        <f t="shared" si="492"/>
        <v>High</v>
      </c>
      <c r="R3161" t="s">
        <v>3317</v>
      </c>
      <c r="S3161" s="4">
        <f t="shared" ca="1" si="493"/>
        <v>108</v>
      </c>
      <c r="T3161">
        <f t="shared" si="494"/>
        <v>3</v>
      </c>
      <c r="U3161">
        <f t="shared" si="495"/>
        <v>3</v>
      </c>
      <c r="V3161">
        <f t="shared" si="496"/>
        <v>3</v>
      </c>
      <c r="W3161">
        <f t="shared" si="497"/>
        <v>1</v>
      </c>
      <c r="X3161">
        <f t="shared" si="498"/>
        <v>2.8000000000000003</v>
      </c>
      <c r="Y3161" t="str">
        <f t="shared" si="499"/>
        <v>Move Immediately</v>
      </c>
    </row>
    <row r="3162" spans="1:25" x14ac:dyDescent="0.35">
      <c r="A3162" t="s">
        <v>189</v>
      </c>
      <c r="B3162" t="s">
        <v>190</v>
      </c>
      <c r="C3162" t="s">
        <v>190</v>
      </c>
      <c r="D3162" t="s">
        <v>974</v>
      </c>
      <c r="E3162">
        <v>80839936</v>
      </c>
      <c r="F3162" t="s">
        <v>2202</v>
      </c>
      <c r="G3162" s="3">
        <v>46161</v>
      </c>
      <c r="H3162">
        <v>18</v>
      </c>
      <c r="I3162">
        <v>0</v>
      </c>
      <c r="J3162">
        <v>2</v>
      </c>
      <c r="K3162" s="4">
        <v>4171.82</v>
      </c>
      <c r="L3162" s="4">
        <f>0</f>
        <v>0</v>
      </c>
      <c r="M3162" s="4">
        <f>999</f>
        <v>999</v>
      </c>
      <c r="N3162" t="s">
        <v>19</v>
      </c>
      <c r="O3162" t="str">
        <f t="shared" si="490"/>
        <v>High</v>
      </c>
      <c r="P3162" t="str">
        <f t="shared" si="491"/>
        <v>High</v>
      </c>
      <c r="Q3162" t="str">
        <f t="shared" si="492"/>
        <v>High</v>
      </c>
      <c r="R3162" t="s">
        <v>3317</v>
      </c>
      <c r="S3162" s="4">
        <f t="shared" ca="1" si="493"/>
        <v>-36</v>
      </c>
      <c r="T3162">
        <f t="shared" si="494"/>
        <v>3</v>
      </c>
      <c r="U3162">
        <f t="shared" si="495"/>
        <v>3</v>
      </c>
      <c r="V3162">
        <f t="shared" si="496"/>
        <v>3</v>
      </c>
      <c r="W3162">
        <f t="shared" si="497"/>
        <v>1</v>
      </c>
      <c r="X3162">
        <f t="shared" si="498"/>
        <v>2.8000000000000003</v>
      </c>
      <c r="Y3162" t="str">
        <f t="shared" si="499"/>
        <v>Move Immediately</v>
      </c>
    </row>
    <row r="3163" spans="1:25" x14ac:dyDescent="0.35">
      <c r="A3163" t="s">
        <v>189</v>
      </c>
      <c r="B3163" t="s">
        <v>190</v>
      </c>
      <c r="C3163" t="s">
        <v>190</v>
      </c>
      <c r="D3163" t="s">
        <v>974</v>
      </c>
      <c r="E3163">
        <v>80839936</v>
      </c>
      <c r="F3163" t="s">
        <v>2202</v>
      </c>
      <c r="G3163" s="3">
        <v>46125</v>
      </c>
      <c r="H3163">
        <v>18</v>
      </c>
      <c r="I3163">
        <v>0</v>
      </c>
      <c r="J3163">
        <v>3</v>
      </c>
      <c r="K3163" s="4">
        <v>6257.73</v>
      </c>
      <c r="L3163" s="4">
        <f>0</f>
        <v>0</v>
      </c>
      <c r="M3163" s="4">
        <f>999</f>
        <v>999</v>
      </c>
      <c r="N3163" t="s">
        <v>19</v>
      </c>
      <c r="O3163" t="str">
        <f t="shared" si="490"/>
        <v>High</v>
      </c>
      <c r="P3163" t="str">
        <f t="shared" si="491"/>
        <v>High</v>
      </c>
      <c r="Q3163" t="str">
        <f t="shared" si="492"/>
        <v>High</v>
      </c>
      <c r="R3163" t="s">
        <v>3317</v>
      </c>
      <c r="S3163" s="4">
        <f t="shared" ca="1" si="493"/>
        <v>-72</v>
      </c>
      <c r="T3163">
        <f t="shared" si="494"/>
        <v>3</v>
      </c>
      <c r="U3163">
        <f t="shared" si="495"/>
        <v>3</v>
      </c>
      <c r="V3163">
        <f t="shared" si="496"/>
        <v>3</v>
      </c>
      <c r="W3163">
        <f t="shared" si="497"/>
        <v>1</v>
      </c>
      <c r="X3163">
        <f t="shared" si="498"/>
        <v>2.8000000000000003</v>
      </c>
      <c r="Y3163" t="str">
        <f t="shared" si="499"/>
        <v>Move Immediately</v>
      </c>
    </row>
    <row r="3164" spans="1:25" x14ac:dyDescent="0.35">
      <c r="A3164" t="s">
        <v>179</v>
      </c>
      <c r="B3164" t="s">
        <v>180</v>
      </c>
      <c r="C3164" t="s">
        <v>181</v>
      </c>
      <c r="D3164" t="s">
        <v>296</v>
      </c>
      <c r="E3164">
        <v>80829759</v>
      </c>
      <c r="F3164" t="s">
        <v>2203</v>
      </c>
      <c r="G3164" s="3">
        <v>47397</v>
      </c>
      <c r="H3164">
        <v>16</v>
      </c>
      <c r="I3164">
        <v>100</v>
      </c>
      <c r="J3164">
        <v>72</v>
      </c>
      <c r="K3164" s="4">
        <v>12226.32</v>
      </c>
      <c r="L3164" s="4">
        <f>0</f>
        <v>0</v>
      </c>
      <c r="M3164" s="4">
        <f>999</f>
        <v>999</v>
      </c>
      <c r="N3164" t="s">
        <v>19</v>
      </c>
      <c r="O3164" t="str">
        <f t="shared" si="490"/>
        <v>Low</v>
      </c>
      <c r="P3164" t="str">
        <f t="shared" si="491"/>
        <v>High</v>
      </c>
      <c r="Q3164" t="str">
        <f t="shared" si="492"/>
        <v>High</v>
      </c>
      <c r="R3164" t="s">
        <v>3317</v>
      </c>
      <c r="S3164" s="4">
        <f t="shared" ca="1" si="493"/>
        <v>1200</v>
      </c>
      <c r="T3164">
        <f t="shared" si="494"/>
        <v>1</v>
      </c>
      <c r="U3164">
        <f t="shared" si="495"/>
        <v>3</v>
      </c>
      <c r="V3164">
        <f t="shared" si="496"/>
        <v>3</v>
      </c>
      <c r="W3164">
        <f t="shared" si="497"/>
        <v>1</v>
      </c>
      <c r="X3164">
        <f t="shared" si="498"/>
        <v>2</v>
      </c>
      <c r="Y3164" t="str">
        <f t="shared" si="499"/>
        <v>Monitor</v>
      </c>
    </row>
    <row r="3165" spans="1:25" x14ac:dyDescent="0.35">
      <c r="A3165" t="s">
        <v>71</v>
      </c>
      <c r="B3165" t="s">
        <v>72</v>
      </c>
      <c r="C3165" t="s">
        <v>174</v>
      </c>
      <c r="D3165" t="s">
        <v>2033</v>
      </c>
      <c r="E3165">
        <v>80829166</v>
      </c>
      <c r="F3165" t="s">
        <v>2204</v>
      </c>
      <c r="G3165" s="3">
        <v>47035</v>
      </c>
      <c r="H3165">
        <v>36</v>
      </c>
      <c r="I3165">
        <v>78</v>
      </c>
      <c r="J3165">
        <v>55</v>
      </c>
      <c r="K3165" s="4">
        <v>36958.9</v>
      </c>
      <c r="L3165" s="4">
        <v>102.71428571428571</v>
      </c>
      <c r="M3165" s="4">
        <v>0.53546592489568845</v>
      </c>
      <c r="N3165" t="s">
        <v>25</v>
      </c>
      <c r="O3165" t="str">
        <f t="shared" si="490"/>
        <v>Low</v>
      </c>
      <c r="P3165" t="str">
        <f t="shared" si="491"/>
        <v>Low</v>
      </c>
      <c r="Q3165" t="str">
        <f t="shared" si="492"/>
        <v>Low</v>
      </c>
      <c r="R3165" t="s">
        <v>3317</v>
      </c>
      <c r="S3165" s="4">
        <f t="shared" ca="1" si="493"/>
        <v>838</v>
      </c>
      <c r="T3165">
        <f t="shared" si="494"/>
        <v>1</v>
      </c>
      <c r="U3165">
        <f t="shared" si="495"/>
        <v>1</v>
      </c>
      <c r="V3165">
        <f t="shared" si="496"/>
        <v>1</v>
      </c>
      <c r="W3165">
        <f t="shared" si="497"/>
        <v>1</v>
      </c>
      <c r="X3165">
        <f t="shared" si="498"/>
        <v>0.99999999999999989</v>
      </c>
      <c r="Y3165" t="str">
        <f t="shared" si="499"/>
        <v>Healthy</v>
      </c>
    </row>
    <row r="3166" spans="1:25" x14ac:dyDescent="0.35">
      <c r="A3166" t="s">
        <v>71</v>
      </c>
      <c r="B3166" t="s">
        <v>72</v>
      </c>
      <c r="C3166" t="s">
        <v>174</v>
      </c>
      <c r="D3166" t="s">
        <v>2033</v>
      </c>
      <c r="E3166">
        <v>80829166</v>
      </c>
      <c r="F3166" t="s">
        <v>2204</v>
      </c>
      <c r="G3166" s="3">
        <v>47080</v>
      </c>
      <c r="H3166">
        <v>36</v>
      </c>
      <c r="I3166">
        <v>82</v>
      </c>
      <c r="J3166">
        <v>109</v>
      </c>
      <c r="K3166" s="4">
        <v>73245.820000000007</v>
      </c>
      <c r="L3166" s="4">
        <v>102.71428571428571</v>
      </c>
      <c r="M3166" s="4">
        <v>1.0611961057023644</v>
      </c>
      <c r="N3166" t="s">
        <v>25</v>
      </c>
      <c r="O3166" t="str">
        <f t="shared" si="490"/>
        <v>Low</v>
      </c>
      <c r="P3166" t="str">
        <f t="shared" si="491"/>
        <v>Low</v>
      </c>
      <c r="Q3166" t="str">
        <f t="shared" si="492"/>
        <v>Low</v>
      </c>
      <c r="R3166" t="s">
        <v>3310</v>
      </c>
      <c r="S3166" s="4">
        <f t="shared" ca="1" si="493"/>
        <v>883</v>
      </c>
      <c r="T3166">
        <f t="shared" si="494"/>
        <v>1</v>
      </c>
      <c r="U3166">
        <f t="shared" si="495"/>
        <v>1</v>
      </c>
      <c r="V3166">
        <f t="shared" si="496"/>
        <v>1</v>
      </c>
      <c r="W3166">
        <f t="shared" si="497"/>
        <v>2</v>
      </c>
      <c r="X3166">
        <f t="shared" si="498"/>
        <v>1.0999999999999999</v>
      </c>
      <c r="Y3166" t="str">
        <f t="shared" si="499"/>
        <v>Healthy</v>
      </c>
    </row>
    <row r="3167" spans="1:25" x14ac:dyDescent="0.35">
      <c r="A3167" t="s">
        <v>71</v>
      </c>
      <c r="B3167" t="s">
        <v>72</v>
      </c>
      <c r="C3167" t="s">
        <v>174</v>
      </c>
      <c r="D3167" t="s">
        <v>2033</v>
      </c>
      <c r="E3167">
        <v>80829166</v>
      </c>
      <c r="F3167" t="s">
        <v>2204</v>
      </c>
      <c r="G3167" s="3">
        <v>46702</v>
      </c>
      <c r="H3167">
        <v>36</v>
      </c>
      <c r="I3167">
        <v>47</v>
      </c>
      <c r="J3167">
        <v>1</v>
      </c>
      <c r="K3167" s="4">
        <v>671.98</v>
      </c>
      <c r="L3167" s="4">
        <v>102.71428571428571</v>
      </c>
      <c r="M3167" s="4">
        <v>9.7357440890125171E-3</v>
      </c>
      <c r="N3167" t="s">
        <v>25</v>
      </c>
      <c r="O3167" t="str">
        <f t="shared" si="490"/>
        <v>Low</v>
      </c>
      <c r="P3167" t="str">
        <f t="shared" si="491"/>
        <v>Low</v>
      </c>
      <c r="Q3167" t="str">
        <f t="shared" si="492"/>
        <v>Low</v>
      </c>
      <c r="R3167" t="s">
        <v>3317</v>
      </c>
      <c r="S3167" s="4">
        <f t="shared" ca="1" si="493"/>
        <v>505</v>
      </c>
      <c r="T3167">
        <f t="shared" si="494"/>
        <v>1</v>
      </c>
      <c r="U3167">
        <f t="shared" si="495"/>
        <v>1</v>
      </c>
      <c r="V3167">
        <f t="shared" si="496"/>
        <v>1</v>
      </c>
      <c r="W3167">
        <f t="shared" si="497"/>
        <v>1</v>
      </c>
      <c r="X3167">
        <f t="shared" si="498"/>
        <v>0.99999999999999989</v>
      </c>
      <c r="Y3167" t="str">
        <f t="shared" si="499"/>
        <v>Healthy</v>
      </c>
    </row>
    <row r="3168" spans="1:25" x14ac:dyDescent="0.35">
      <c r="A3168" t="s">
        <v>71</v>
      </c>
      <c r="B3168" t="s">
        <v>72</v>
      </c>
      <c r="C3168" t="s">
        <v>174</v>
      </c>
      <c r="D3168" t="s">
        <v>551</v>
      </c>
      <c r="E3168">
        <v>80829176</v>
      </c>
      <c r="F3168" t="s">
        <v>2205</v>
      </c>
      <c r="G3168" s="3">
        <v>46816</v>
      </c>
      <c r="H3168">
        <v>36</v>
      </c>
      <c r="I3168">
        <v>58</v>
      </c>
      <c r="J3168">
        <v>2</v>
      </c>
      <c r="K3168" s="4">
        <v>8300.0400000000009</v>
      </c>
      <c r="L3168" s="4">
        <v>128.57142857142858</v>
      </c>
      <c r="M3168" s="4">
        <v>1.5555555555555553E-2</v>
      </c>
      <c r="N3168" t="s">
        <v>25</v>
      </c>
      <c r="O3168" t="str">
        <f t="shared" si="490"/>
        <v>Low</v>
      </c>
      <c r="P3168" t="str">
        <f t="shared" si="491"/>
        <v>Low</v>
      </c>
      <c r="Q3168" t="str">
        <f t="shared" si="492"/>
        <v>Low</v>
      </c>
      <c r="R3168" t="s">
        <v>3317</v>
      </c>
      <c r="S3168" s="4">
        <f t="shared" ca="1" si="493"/>
        <v>619</v>
      </c>
      <c r="T3168">
        <f t="shared" si="494"/>
        <v>1</v>
      </c>
      <c r="U3168">
        <f t="shared" si="495"/>
        <v>1</v>
      </c>
      <c r="V3168">
        <f t="shared" si="496"/>
        <v>1</v>
      </c>
      <c r="W3168">
        <f t="shared" si="497"/>
        <v>1</v>
      </c>
      <c r="X3168">
        <f t="shared" si="498"/>
        <v>0.99999999999999989</v>
      </c>
      <c r="Y3168" t="str">
        <f t="shared" si="499"/>
        <v>Healthy</v>
      </c>
    </row>
    <row r="3169" spans="1:25" x14ac:dyDescent="0.35">
      <c r="A3169" t="s">
        <v>41</v>
      </c>
      <c r="B3169" t="s">
        <v>54</v>
      </c>
      <c r="C3169" t="s">
        <v>55</v>
      </c>
      <c r="D3169" t="s">
        <v>56</v>
      </c>
      <c r="E3169">
        <v>80839414</v>
      </c>
      <c r="F3169" t="s">
        <v>2206</v>
      </c>
      <c r="G3169" s="3">
        <v>46824</v>
      </c>
      <c r="H3169">
        <v>36</v>
      </c>
      <c r="I3169">
        <v>59</v>
      </c>
      <c r="J3169">
        <v>2</v>
      </c>
      <c r="K3169" s="4">
        <v>1508.52</v>
      </c>
      <c r="L3169" s="4">
        <v>5.1428571428571432</v>
      </c>
      <c r="M3169" s="4">
        <v>0.38888888888888884</v>
      </c>
      <c r="N3169" t="s">
        <v>25</v>
      </c>
      <c r="O3169" t="str">
        <f t="shared" si="490"/>
        <v>Low</v>
      </c>
      <c r="P3169" t="str">
        <f t="shared" si="491"/>
        <v>Low</v>
      </c>
      <c r="Q3169" t="str">
        <f t="shared" si="492"/>
        <v>Medium</v>
      </c>
      <c r="R3169" t="s">
        <v>3317</v>
      </c>
      <c r="S3169" s="4">
        <f t="shared" ca="1" si="493"/>
        <v>627</v>
      </c>
      <c r="T3169">
        <f t="shared" si="494"/>
        <v>1</v>
      </c>
      <c r="U3169">
        <f t="shared" si="495"/>
        <v>1</v>
      </c>
      <c r="V3169">
        <f t="shared" si="496"/>
        <v>2</v>
      </c>
      <c r="W3169">
        <f t="shared" si="497"/>
        <v>1</v>
      </c>
      <c r="X3169">
        <f t="shared" si="498"/>
        <v>1.2000000000000002</v>
      </c>
      <c r="Y3169" t="str">
        <f t="shared" si="499"/>
        <v>Healthy</v>
      </c>
    </row>
    <row r="3170" spans="1:25" x14ac:dyDescent="0.35">
      <c r="A3170" t="s">
        <v>41</v>
      </c>
      <c r="B3170" t="s">
        <v>54</v>
      </c>
      <c r="C3170" t="s">
        <v>55</v>
      </c>
      <c r="D3170" t="s">
        <v>56</v>
      </c>
      <c r="E3170">
        <v>80839414</v>
      </c>
      <c r="F3170" t="s">
        <v>2206</v>
      </c>
      <c r="G3170" s="3">
        <v>46874</v>
      </c>
      <c r="H3170">
        <v>36</v>
      </c>
      <c r="I3170">
        <v>63</v>
      </c>
      <c r="J3170">
        <v>1</v>
      </c>
      <c r="K3170" s="4">
        <v>754.26</v>
      </c>
      <c r="L3170" s="4">
        <v>5.1428571428571432</v>
      </c>
      <c r="M3170" s="4">
        <v>0.19444444444444442</v>
      </c>
      <c r="N3170" t="s">
        <v>25</v>
      </c>
      <c r="O3170" t="str">
        <f t="shared" si="490"/>
        <v>Low</v>
      </c>
      <c r="P3170" t="str">
        <f t="shared" si="491"/>
        <v>Low</v>
      </c>
      <c r="Q3170" t="str">
        <f t="shared" si="492"/>
        <v>Medium</v>
      </c>
      <c r="R3170" t="s">
        <v>3317</v>
      </c>
      <c r="S3170" s="4">
        <f t="shared" ca="1" si="493"/>
        <v>677</v>
      </c>
      <c r="T3170">
        <f t="shared" si="494"/>
        <v>1</v>
      </c>
      <c r="U3170">
        <f t="shared" si="495"/>
        <v>1</v>
      </c>
      <c r="V3170">
        <f t="shared" si="496"/>
        <v>2</v>
      </c>
      <c r="W3170">
        <f t="shared" si="497"/>
        <v>1</v>
      </c>
      <c r="X3170">
        <f t="shared" si="498"/>
        <v>1.2000000000000002</v>
      </c>
      <c r="Y3170" t="str">
        <f t="shared" si="499"/>
        <v>Healthy</v>
      </c>
    </row>
    <row r="3171" spans="1:25" x14ac:dyDescent="0.35">
      <c r="A3171" t="s">
        <v>41</v>
      </c>
      <c r="B3171" t="s">
        <v>42</v>
      </c>
      <c r="C3171" t="s">
        <v>43</v>
      </c>
      <c r="D3171" t="s">
        <v>44</v>
      </c>
      <c r="E3171">
        <v>80738975</v>
      </c>
      <c r="F3171" t="s">
        <v>2207</v>
      </c>
      <c r="G3171" s="3">
        <v>46836</v>
      </c>
      <c r="H3171">
        <v>30</v>
      </c>
      <c r="I3171">
        <v>72</v>
      </c>
      <c r="J3171">
        <v>51</v>
      </c>
      <c r="K3171" s="4">
        <v>6675.9</v>
      </c>
      <c r="L3171" s="4">
        <f>0</f>
        <v>0</v>
      </c>
      <c r="M3171" s="4">
        <f>999</f>
        <v>999</v>
      </c>
      <c r="N3171" t="s">
        <v>19</v>
      </c>
      <c r="O3171" t="str">
        <f t="shared" si="490"/>
        <v>Low</v>
      </c>
      <c r="P3171" t="str">
        <f t="shared" si="491"/>
        <v>High</v>
      </c>
      <c r="Q3171" t="str">
        <f t="shared" si="492"/>
        <v>High</v>
      </c>
      <c r="R3171" t="s">
        <v>3317</v>
      </c>
      <c r="S3171" s="4">
        <f t="shared" ca="1" si="493"/>
        <v>639</v>
      </c>
      <c r="T3171">
        <f t="shared" si="494"/>
        <v>1</v>
      </c>
      <c r="U3171">
        <f t="shared" si="495"/>
        <v>3</v>
      </c>
      <c r="V3171">
        <f t="shared" si="496"/>
        <v>3</v>
      </c>
      <c r="W3171">
        <f t="shared" si="497"/>
        <v>1</v>
      </c>
      <c r="X3171">
        <f t="shared" si="498"/>
        <v>2</v>
      </c>
      <c r="Y3171" t="str">
        <f t="shared" si="499"/>
        <v>Monitor</v>
      </c>
    </row>
    <row r="3172" spans="1:25" x14ac:dyDescent="0.35">
      <c r="A3172" t="s">
        <v>41</v>
      </c>
      <c r="B3172" t="s">
        <v>42</v>
      </c>
      <c r="C3172" t="s">
        <v>43</v>
      </c>
      <c r="D3172" t="s">
        <v>44</v>
      </c>
      <c r="E3172">
        <v>80738975</v>
      </c>
      <c r="F3172" t="s">
        <v>2207</v>
      </c>
      <c r="G3172" s="3">
        <v>46836</v>
      </c>
      <c r="H3172">
        <v>30</v>
      </c>
      <c r="I3172">
        <v>72</v>
      </c>
      <c r="J3172">
        <v>5</v>
      </c>
      <c r="K3172" s="4">
        <v>654.5</v>
      </c>
      <c r="L3172" s="4">
        <f>0</f>
        <v>0</v>
      </c>
      <c r="M3172" s="4">
        <f>999</f>
        <v>999</v>
      </c>
      <c r="N3172" t="s">
        <v>19</v>
      </c>
      <c r="O3172" t="str">
        <f t="shared" si="490"/>
        <v>Low</v>
      </c>
      <c r="P3172" t="str">
        <f t="shared" si="491"/>
        <v>High</v>
      </c>
      <c r="Q3172" t="str">
        <f t="shared" si="492"/>
        <v>High</v>
      </c>
      <c r="R3172" t="s">
        <v>3317</v>
      </c>
      <c r="S3172" s="4">
        <f t="shared" ca="1" si="493"/>
        <v>639</v>
      </c>
      <c r="T3172">
        <f t="shared" si="494"/>
        <v>1</v>
      </c>
      <c r="U3172">
        <f t="shared" si="495"/>
        <v>3</v>
      </c>
      <c r="V3172">
        <f t="shared" si="496"/>
        <v>3</v>
      </c>
      <c r="W3172">
        <f t="shared" si="497"/>
        <v>1</v>
      </c>
      <c r="X3172">
        <f t="shared" si="498"/>
        <v>2</v>
      </c>
      <c r="Y3172" t="str">
        <f t="shared" si="499"/>
        <v>Monitor</v>
      </c>
    </row>
    <row r="3173" spans="1:25" x14ac:dyDescent="0.35">
      <c r="A3173" t="s">
        <v>41</v>
      </c>
      <c r="B3173" t="s">
        <v>42</v>
      </c>
      <c r="C3173" t="s">
        <v>43</v>
      </c>
      <c r="D3173" t="s">
        <v>1455</v>
      </c>
      <c r="E3173">
        <v>80840117</v>
      </c>
      <c r="F3173" t="s">
        <v>2208</v>
      </c>
      <c r="G3173" s="3">
        <v>46730</v>
      </c>
      <c r="H3173">
        <v>36</v>
      </c>
      <c r="I3173">
        <v>50</v>
      </c>
      <c r="J3173">
        <v>7</v>
      </c>
      <c r="K3173" s="4">
        <v>5969.39</v>
      </c>
      <c r="L3173" s="4">
        <f>0</f>
        <v>0</v>
      </c>
      <c r="M3173" s="4">
        <f>999</f>
        <v>999</v>
      </c>
      <c r="N3173" t="s">
        <v>19</v>
      </c>
      <c r="O3173" t="str">
        <f t="shared" si="490"/>
        <v>Low</v>
      </c>
      <c r="P3173" t="str">
        <f t="shared" si="491"/>
        <v>High</v>
      </c>
      <c r="Q3173" t="str">
        <f t="shared" si="492"/>
        <v>High</v>
      </c>
      <c r="R3173" t="s">
        <v>3317</v>
      </c>
      <c r="S3173" s="4">
        <f t="shared" ca="1" si="493"/>
        <v>533</v>
      </c>
      <c r="T3173">
        <f t="shared" si="494"/>
        <v>1</v>
      </c>
      <c r="U3173">
        <f t="shared" si="495"/>
        <v>3</v>
      </c>
      <c r="V3173">
        <f t="shared" si="496"/>
        <v>3</v>
      </c>
      <c r="W3173">
        <f t="shared" si="497"/>
        <v>1</v>
      </c>
      <c r="X3173">
        <f t="shared" si="498"/>
        <v>2</v>
      </c>
      <c r="Y3173" t="str">
        <f t="shared" si="499"/>
        <v>Monitor</v>
      </c>
    </row>
    <row r="3174" spans="1:25" x14ac:dyDescent="0.35">
      <c r="A3174" t="s">
        <v>41</v>
      </c>
      <c r="B3174" t="s">
        <v>42</v>
      </c>
      <c r="C3174" t="s">
        <v>365</v>
      </c>
      <c r="D3174" t="s">
        <v>508</v>
      </c>
      <c r="E3174">
        <v>80839859</v>
      </c>
      <c r="F3174" t="s">
        <v>2209</v>
      </c>
      <c r="G3174" s="3">
        <v>46707</v>
      </c>
      <c r="H3174">
        <v>36</v>
      </c>
      <c r="I3174">
        <v>48</v>
      </c>
      <c r="J3174">
        <v>11</v>
      </c>
      <c r="K3174" s="4">
        <v>4003.12</v>
      </c>
      <c r="L3174" s="4">
        <f>0</f>
        <v>0</v>
      </c>
      <c r="M3174" s="4">
        <f>999</f>
        <v>999</v>
      </c>
      <c r="N3174" t="s">
        <v>19</v>
      </c>
      <c r="O3174" t="str">
        <f t="shared" si="490"/>
        <v>Low</v>
      </c>
      <c r="P3174" t="str">
        <f t="shared" si="491"/>
        <v>High</v>
      </c>
      <c r="Q3174" t="str">
        <f t="shared" si="492"/>
        <v>High</v>
      </c>
      <c r="R3174" t="s">
        <v>3317</v>
      </c>
      <c r="S3174" s="4">
        <f t="shared" ca="1" si="493"/>
        <v>510</v>
      </c>
      <c r="T3174">
        <f t="shared" si="494"/>
        <v>1</v>
      </c>
      <c r="U3174">
        <f t="shared" si="495"/>
        <v>3</v>
      </c>
      <c r="V3174">
        <f t="shared" si="496"/>
        <v>3</v>
      </c>
      <c r="W3174">
        <f t="shared" si="497"/>
        <v>1</v>
      </c>
      <c r="X3174">
        <f t="shared" si="498"/>
        <v>2</v>
      </c>
      <c r="Y3174" t="str">
        <f t="shared" si="499"/>
        <v>Monitor</v>
      </c>
    </row>
    <row r="3175" spans="1:25" x14ac:dyDescent="0.35">
      <c r="A3175" t="s">
        <v>71</v>
      </c>
      <c r="B3175" t="s">
        <v>72</v>
      </c>
      <c r="C3175" t="s">
        <v>174</v>
      </c>
      <c r="D3175" t="s">
        <v>748</v>
      </c>
      <c r="E3175">
        <v>80829188</v>
      </c>
      <c r="F3175" t="s">
        <v>2210</v>
      </c>
      <c r="G3175" s="3">
        <v>46942</v>
      </c>
      <c r="H3175">
        <v>36</v>
      </c>
      <c r="I3175">
        <v>69</v>
      </c>
      <c r="J3175">
        <v>18</v>
      </c>
      <c r="K3175" s="4">
        <v>5258.88</v>
      </c>
      <c r="L3175" s="4">
        <v>97.571428571428569</v>
      </c>
      <c r="M3175" s="4">
        <v>0.18448023426061494</v>
      </c>
      <c r="N3175" t="s">
        <v>25</v>
      </c>
      <c r="O3175" t="str">
        <f t="shared" si="490"/>
        <v>Low</v>
      </c>
      <c r="P3175" t="str">
        <f t="shared" si="491"/>
        <v>Low</v>
      </c>
      <c r="Q3175" t="str">
        <f t="shared" si="492"/>
        <v>Low</v>
      </c>
      <c r="R3175" t="s">
        <v>3317</v>
      </c>
      <c r="S3175" s="4">
        <f t="shared" ca="1" si="493"/>
        <v>745</v>
      </c>
      <c r="T3175">
        <f t="shared" si="494"/>
        <v>1</v>
      </c>
      <c r="U3175">
        <f t="shared" si="495"/>
        <v>1</v>
      </c>
      <c r="V3175">
        <f t="shared" si="496"/>
        <v>1</v>
      </c>
      <c r="W3175">
        <f t="shared" si="497"/>
        <v>1</v>
      </c>
      <c r="X3175">
        <f t="shared" si="498"/>
        <v>0.99999999999999989</v>
      </c>
      <c r="Y3175" t="str">
        <f t="shared" si="499"/>
        <v>Healthy</v>
      </c>
    </row>
    <row r="3176" spans="1:25" x14ac:dyDescent="0.35">
      <c r="A3176" t="s">
        <v>71</v>
      </c>
      <c r="B3176" t="s">
        <v>72</v>
      </c>
      <c r="C3176" t="s">
        <v>174</v>
      </c>
      <c r="D3176" t="s">
        <v>748</v>
      </c>
      <c r="E3176">
        <v>80829188</v>
      </c>
      <c r="F3176" t="s">
        <v>2210</v>
      </c>
      <c r="G3176" s="3">
        <v>46715</v>
      </c>
      <c r="H3176">
        <v>36</v>
      </c>
      <c r="I3176">
        <v>48</v>
      </c>
      <c r="J3176">
        <v>1</v>
      </c>
      <c r="K3176" s="4">
        <v>292.16000000000003</v>
      </c>
      <c r="L3176" s="4">
        <v>97.571428571428569</v>
      </c>
      <c r="M3176" s="4">
        <v>1.0248901903367497E-2</v>
      </c>
      <c r="N3176" t="s">
        <v>25</v>
      </c>
      <c r="O3176" t="str">
        <f t="shared" si="490"/>
        <v>Low</v>
      </c>
      <c r="P3176" t="str">
        <f t="shared" si="491"/>
        <v>Low</v>
      </c>
      <c r="Q3176" t="str">
        <f t="shared" si="492"/>
        <v>Low</v>
      </c>
      <c r="R3176" t="s">
        <v>3317</v>
      </c>
      <c r="S3176" s="4">
        <f t="shared" ca="1" si="493"/>
        <v>518</v>
      </c>
      <c r="T3176">
        <f t="shared" si="494"/>
        <v>1</v>
      </c>
      <c r="U3176">
        <f t="shared" si="495"/>
        <v>1</v>
      </c>
      <c r="V3176">
        <f t="shared" si="496"/>
        <v>1</v>
      </c>
      <c r="W3176">
        <f t="shared" si="497"/>
        <v>1</v>
      </c>
      <c r="X3176">
        <f t="shared" si="498"/>
        <v>0.99999999999999989</v>
      </c>
      <c r="Y3176" t="str">
        <f t="shared" si="499"/>
        <v>Healthy</v>
      </c>
    </row>
    <row r="3177" spans="1:25" x14ac:dyDescent="0.35">
      <c r="A3177" t="s">
        <v>179</v>
      </c>
      <c r="B3177" t="s">
        <v>180</v>
      </c>
      <c r="C3177" t="s">
        <v>181</v>
      </c>
      <c r="D3177" t="s">
        <v>394</v>
      </c>
      <c r="E3177">
        <v>80829765</v>
      </c>
      <c r="F3177" t="s">
        <v>2211</v>
      </c>
      <c r="G3177" s="3">
        <v>46130</v>
      </c>
      <c r="H3177">
        <v>16</v>
      </c>
      <c r="I3177">
        <v>0</v>
      </c>
      <c r="J3177">
        <v>6</v>
      </c>
      <c r="K3177" s="4">
        <v>4687.8599999999997</v>
      </c>
      <c r="L3177" s="4">
        <v>8.5714285714285712</v>
      </c>
      <c r="M3177" s="4">
        <v>0.70000000000000007</v>
      </c>
      <c r="N3177" t="s">
        <v>25</v>
      </c>
      <c r="O3177" t="str">
        <f t="shared" si="490"/>
        <v>High</v>
      </c>
      <c r="P3177" t="str">
        <f t="shared" si="491"/>
        <v>Low</v>
      </c>
      <c r="Q3177" t="str">
        <f t="shared" si="492"/>
        <v>Medium</v>
      </c>
      <c r="R3177" t="s">
        <v>3317</v>
      </c>
      <c r="S3177" s="4">
        <f t="shared" ca="1" si="493"/>
        <v>-67</v>
      </c>
      <c r="T3177">
        <f t="shared" si="494"/>
        <v>3</v>
      </c>
      <c r="U3177">
        <f t="shared" si="495"/>
        <v>1</v>
      </c>
      <c r="V3177">
        <f t="shared" si="496"/>
        <v>2</v>
      </c>
      <c r="W3177">
        <f t="shared" si="497"/>
        <v>1</v>
      </c>
      <c r="X3177">
        <f t="shared" si="498"/>
        <v>2.0000000000000004</v>
      </c>
      <c r="Y3177" t="str">
        <f t="shared" si="499"/>
        <v>Monitor</v>
      </c>
    </row>
    <row r="3178" spans="1:25" x14ac:dyDescent="0.35">
      <c r="A3178" t="s">
        <v>41</v>
      </c>
      <c r="B3178" t="s">
        <v>54</v>
      </c>
      <c r="C3178" t="s">
        <v>293</v>
      </c>
      <c r="D3178" t="s">
        <v>1163</v>
      </c>
      <c r="E3178">
        <v>80737596</v>
      </c>
      <c r="F3178" t="s">
        <v>2212</v>
      </c>
      <c r="G3178" s="3">
        <v>46470</v>
      </c>
      <c r="H3178">
        <v>18</v>
      </c>
      <c r="I3178">
        <v>51</v>
      </c>
      <c r="J3178">
        <v>71</v>
      </c>
      <c r="K3178" s="4">
        <v>4158.47</v>
      </c>
      <c r="L3178" s="4">
        <f>0</f>
        <v>0</v>
      </c>
      <c r="M3178" s="4">
        <f>999</f>
        <v>999</v>
      </c>
      <c r="N3178" t="s">
        <v>19</v>
      </c>
      <c r="O3178" t="str">
        <f t="shared" si="490"/>
        <v>Low</v>
      </c>
      <c r="P3178" t="str">
        <f t="shared" si="491"/>
        <v>High</v>
      </c>
      <c r="Q3178" t="str">
        <f t="shared" si="492"/>
        <v>High</v>
      </c>
      <c r="R3178" t="s">
        <v>3317</v>
      </c>
      <c r="S3178" s="4">
        <f t="shared" ca="1" si="493"/>
        <v>273</v>
      </c>
      <c r="T3178">
        <f t="shared" si="494"/>
        <v>1</v>
      </c>
      <c r="U3178">
        <f t="shared" si="495"/>
        <v>3</v>
      </c>
      <c r="V3178">
        <f t="shared" si="496"/>
        <v>3</v>
      </c>
      <c r="W3178">
        <f t="shared" si="497"/>
        <v>1</v>
      </c>
      <c r="X3178">
        <f t="shared" si="498"/>
        <v>2</v>
      </c>
      <c r="Y3178" t="str">
        <f t="shared" si="499"/>
        <v>Monitor</v>
      </c>
    </row>
    <row r="3179" spans="1:25" x14ac:dyDescent="0.35">
      <c r="A3179" t="s">
        <v>179</v>
      </c>
      <c r="B3179" t="s">
        <v>180</v>
      </c>
      <c r="C3179" t="s">
        <v>181</v>
      </c>
      <c r="D3179" t="s">
        <v>394</v>
      </c>
      <c r="E3179">
        <v>80829765</v>
      </c>
      <c r="F3179" t="s">
        <v>2211</v>
      </c>
      <c r="G3179" s="3">
        <v>46063</v>
      </c>
      <c r="H3179">
        <v>16</v>
      </c>
      <c r="I3179">
        <v>0</v>
      </c>
      <c r="J3179">
        <v>18</v>
      </c>
      <c r="K3179" s="4">
        <v>14063.58</v>
      </c>
      <c r="L3179" s="4">
        <v>8.5714285714285712</v>
      </c>
      <c r="M3179" s="4">
        <v>2.1</v>
      </c>
      <c r="N3179" t="s">
        <v>25</v>
      </c>
      <c r="O3179" t="str">
        <f t="shared" si="490"/>
        <v>High</v>
      </c>
      <c r="P3179" t="str">
        <f t="shared" si="491"/>
        <v>Low</v>
      </c>
      <c r="Q3179" t="str">
        <f t="shared" si="492"/>
        <v>Medium</v>
      </c>
      <c r="R3179" t="s">
        <v>3317</v>
      </c>
      <c r="S3179" s="4">
        <f t="shared" ca="1" si="493"/>
        <v>-134</v>
      </c>
      <c r="T3179">
        <f t="shared" si="494"/>
        <v>3</v>
      </c>
      <c r="U3179">
        <f t="shared" si="495"/>
        <v>1</v>
      </c>
      <c r="V3179">
        <f t="shared" si="496"/>
        <v>2</v>
      </c>
      <c r="W3179">
        <f t="shared" si="497"/>
        <v>1</v>
      </c>
      <c r="X3179">
        <f t="shared" si="498"/>
        <v>2.0000000000000004</v>
      </c>
      <c r="Y3179" t="str">
        <f t="shared" si="499"/>
        <v>Monitor</v>
      </c>
    </row>
    <row r="3180" spans="1:25" x14ac:dyDescent="0.35">
      <c r="A3180" t="s">
        <v>20</v>
      </c>
      <c r="B3180" t="s">
        <v>21</v>
      </c>
      <c r="C3180" t="s">
        <v>171</v>
      </c>
      <c r="D3180" t="s">
        <v>2213</v>
      </c>
      <c r="E3180">
        <v>80837893</v>
      </c>
      <c r="F3180" t="s">
        <v>2214</v>
      </c>
      <c r="G3180" s="3">
        <v>46992</v>
      </c>
      <c r="H3180">
        <v>36</v>
      </c>
      <c r="I3180">
        <v>74</v>
      </c>
      <c r="J3180">
        <v>72</v>
      </c>
      <c r="K3180" s="4">
        <v>7776</v>
      </c>
      <c r="L3180" s="4">
        <f>0</f>
        <v>0</v>
      </c>
      <c r="M3180" s="4">
        <f>999</f>
        <v>999</v>
      </c>
      <c r="N3180" t="s">
        <v>19</v>
      </c>
      <c r="O3180" t="str">
        <f t="shared" si="490"/>
        <v>Low</v>
      </c>
      <c r="P3180" t="str">
        <f t="shared" si="491"/>
        <v>High</v>
      </c>
      <c r="Q3180" t="str">
        <f t="shared" si="492"/>
        <v>High</v>
      </c>
      <c r="R3180" t="s">
        <v>3317</v>
      </c>
      <c r="S3180" s="4">
        <f t="shared" ca="1" si="493"/>
        <v>795</v>
      </c>
      <c r="T3180">
        <f t="shared" si="494"/>
        <v>1</v>
      </c>
      <c r="U3180">
        <f t="shared" si="495"/>
        <v>3</v>
      </c>
      <c r="V3180">
        <f t="shared" si="496"/>
        <v>3</v>
      </c>
      <c r="W3180">
        <f t="shared" si="497"/>
        <v>1</v>
      </c>
      <c r="X3180">
        <f t="shared" si="498"/>
        <v>2</v>
      </c>
      <c r="Y3180" t="str">
        <f t="shared" si="499"/>
        <v>Monitor</v>
      </c>
    </row>
    <row r="3181" spans="1:25" x14ac:dyDescent="0.35">
      <c r="A3181" t="s">
        <v>41</v>
      </c>
      <c r="B3181" t="s">
        <v>54</v>
      </c>
      <c r="C3181" t="s">
        <v>293</v>
      </c>
      <c r="D3181" t="s">
        <v>1163</v>
      </c>
      <c r="E3181">
        <v>80737596</v>
      </c>
      <c r="F3181" t="s">
        <v>2212</v>
      </c>
      <c r="G3181" s="3">
        <v>46470</v>
      </c>
      <c r="H3181">
        <v>18</v>
      </c>
      <c r="I3181">
        <v>51</v>
      </c>
      <c r="J3181">
        <v>9</v>
      </c>
      <c r="K3181" s="4">
        <v>527.13</v>
      </c>
      <c r="L3181" s="4">
        <f>0</f>
        <v>0</v>
      </c>
      <c r="M3181" s="4">
        <f>999</f>
        <v>999</v>
      </c>
      <c r="N3181" t="s">
        <v>19</v>
      </c>
      <c r="O3181" t="str">
        <f t="shared" si="490"/>
        <v>Low</v>
      </c>
      <c r="P3181" t="str">
        <f t="shared" si="491"/>
        <v>High</v>
      </c>
      <c r="Q3181" t="str">
        <f t="shared" si="492"/>
        <v>High</v>
      </c>
      <c r="R3181" t="s">
        <v>3317</v>
      </c>
      <c r="S3181" s="4">
        <f t="shared" ca="1" si="493"/>
        <v>273</v>
      </c>
      <c r="T3181">
        <f t="shared" si="494"/>
        <v>1</v>
      </c>
      <c r="U3181">
        <f t="shared" si="495"/>
        <v>3</v>
      </c>
      <c r="V3181">
        <f t="shared" si="496"/>
        <v>3</v>
      </c>
      <c r="W3181">
        <f t="shared" si="497"/>
        <v>1</v>
      </c>
      <c r="X3181">
        <f t="shared" si="498"/>
        <v>2</v>
      </c>
      <c r="Y3181" t="str">
        <f t="shared" si="499"/>
        <v>Monitor</v>
      </c>
    </row>
    <row r="3182" spans="1:25" x14ac:dyDescent="0.35">
      <c r="A3182" t="s">
        <v>14</v>
      </c>
      <c r="B3182" t="s">
        <v>15</v>
      </c>
      <c r="C3182" t="s">
        <v>34</v>
      </c>
      <c r="D3182" t="s">
        <v>1413</v>
      </c>
      <c r="E3182">
        <v>80803710</v>
      </c>
      <c r="F3182" t="s">
        <v>2215</v>
      </c>
      <c r="G3182" s="3">
        <v>48003</v>
      </c>
      <c r="H3182">
        <v>60</v>
      </c>
      <c r="I3182">
        <v>100</v>
      </c>
      <c r="J3182">
        <v>36</v>
      </c>
      <c r="K3182" s="4">
        <v>10768.68</v>
      </c>
      <c r="L3182" s="4">
        <v>849.28571428571433</v>
      </c>
      <c r="M3182" s="4">
        <v>4.2388561816652646E-2</v>
      </c>
      <c r="N3182" t="s">
        <v>25</v>
      </c>
      <c r="O3182" t="str">
        <f t="shared" si="490"/>
        <v>Low</v>
      </c>
      <c r="P3182" t="str">
        <f t="shared" si="491"/>
        <v>Low</v>
      </c>
      <c r="Q3182" t="str">
        <f t="shared" si="492"/>
        <v>Low</v>
      </c>
      <c r="R3182" t="s">
        <v>3317</v>
      </c>
      <c r="S3182" s="4">
        <f t="shared" ca="1" si="493"/>
        <v>1806</v>
      </c>
      <c r="T3182">
        <f t="shared" si="494"/>
        <v>1</v>
      </c>
      <c r="U3182">
        <f t="shared" si="495"/>
        <v>1</v>
      </c>
      <c r="V3182">
        <f t="shared" si="496"/>
        <v>1</v>
      </c>
      <c r="W3182">
        <f t="shared" si="497"/>
        <v>1</v>
      </c>
      <c r="X3182">
        <f t="shared" si="498"/>
        <v>0.99999999999999989</v>
      </c>
      <c r="Y3182" t="str">
        <f t="shared" si="499"/>
        <v>Healthy</v>
      </c>
    </row>
    <row r="3183" spans="1:25" x14ac:dyDescent="0.35">
      <c r="A3183" t="s">
        <v>14</v>
      </c>
      <c r="B3183" t="s">
        <v>15</v>
      </c>
      <c r="C3183" t="s">
        <v>34</v>
      </c>
      <c r="D3183" t="s">
        <v>1413</v>
      </c>
      <c r="E3183">
        <v>80803710</v>
      </c>
      <c r="F3183" t="s">
        <v>2215</v>
      </c>
      <c r="G3183" s="3">
        <v>47937</v>
      </c>
      <c r="H3183">
        <v>60</v>
      </c>
      <c r="I3183">
        <v>97</v>
      </c>
      <c r="J3183">
        <v>133</v>
      </c>
      <c r="K3183" s="4">
        <v>39784.29</v>
      </c>
      <c r="L3183" s="4">
        <v>849.28571428571433</v>
      </c>
      <c r="M3183" s="4">
        <v>0.15660218671152229</v>
      </c>
      <c r="N3183" t="s">
        <v>25</v>
      </c>
      <c r="O3183" t="str">
        <f t="shared" si="490"/>
        <v>Low</v>
      </c>
      <c r="P3183" t="str">
        <f t="shared" si="491"/>
        <v>Low</v>
      </c>
      <c r="Q3183" t="str">
        <f t="shared" si="492"/>
        <v>Low</v>
      </c>
      <c r="R3183" t="s">
        <v>3317</v>
      </c>
      <c r="S3183" s="4">
        <f t="shared" ca="1" si="493"/>
        <v>1740</v>
      </c>
      <c r="T3183">
        <f t="shared" si="494"/>
        <v>1</v>
      </c>
      <c r="U3183">
        <f t="shared" si="495"/>
        <v>1</v>
      </c>
      <c r="V3183">
        <f t="shared" si="496"/>
        <v>1</v>
      </c>
      <c r="W3183">
        <f t="shared" si="497"/>
        <v>1</v>
      </c>
      <c r="X3183">
        <f t="shared" si="498"/>
        <v>0.99999999999999989</v>
      </c>
      <c r="Y3183" t="str">
        <f t="shared" si="499"/>
        <v>Healthy</v>
      </c>
    </row>
    <row r="3184" spans="1:25" x14ac:dyDescent="0.35">
      <c r="A3184" t="s">
        <v>14</v>
      </c>
      <c r="B3184" t="s">
        <v>15</v>
      </c>
      <c r="C3184" t="s">
        <v>34</v>
      </c>
      <c r="D3184" t="s">
        <v>1413</v>
      </c>
      <c r="E3184">
        <v>80803710</v>
      </c>
      <c r="F3184" t="s">
        <v>2215</v>
      </c>
      <c r="G3184" s="3">
        <v>47912</v>
      </c>
      <c r="H3184">
        <v>60</v>
      </c>
      <c r="I3184">
        <v>96</v>
      </c>
      <c r="J3184">
        <v>27</v>
      </c>
      <c r="K3184" s="4">
        <v>8076.51</v>
      </c>
      <c r="L3184" s="4">
        <v>849.28571428571433</v>
      </c>
      <c r="M3184" s="4">
        <v>3.1791421362489483E-2</v>
      </c>
      <c r="N3184" t="s">
        <v>25</v>
      </c>
      <c r="O3184" t="str">
        <f t="shared" si="490"/>
        <v>Low</v>
      </c>
      <c r="P3184" t="str">
        <f t="shared" si="491"/>
        <v>Low</v>
      </c>
      <c r="Q3184" t="str">
        <f t="shared" si="492"/>
        <v>Low</v>
      </c>
      <c r="R3184" t="s">
        <v>3317</v>
      </c>
      <c r="S3184" s="4">
        <f t="shared" ca="1" si="493"/>
        <v>1715</v>
      </c>
      <c r="T3184">
        <f t="shared" si="494"/>
        <v>1</v>
      </c>
      <c r="U3184">
        <f t="shared" si="495"/>
        <v>1</v>
      </c>
      <c r="V3184">
        <f t="shared" si="496"/>
        <v>1</v>
      </c>
      <c r="W3184">
        <f t="shared" si="497"/>
        <v>1</v>
      </c>
      <c r="X3184">
        <f t="shared" si="498"/>
        <v>0.99999999999999989</v>
      </c>
      <c r="Y3184" t="str">
        <f t="shared" si="499"/>
        <v>Healthy</v>
      </c>
    </row>
    <row r="3185" spans="1:25" x14ac:dyDescent="0.35">
      <c r="A3185" t="s">
        <v>189</v>
      </c>
      <c r="B3185" t="s">
        <v>417</v>
      </c>
      <c r="C3185" t="s">
        <v>417</v>
      </c>
      <c r="D3185" t="s">
        <v>992</v>
      </c>
      <c r="E3185">
        <v>80833584</v>
      </c>
      <c r="F3185" t="s">
        <v>2216</v>
      </c>
      <c r="G3185" s="3">
        <v>46493</v>
      </c>
      <c r="H3185">
        <v>18</v>
      </c>
      <c r="I3185">
        <v>56</v>
      </c>
      <c r="J3185">
        <v>4</v>
      </c>
      <c r="K3185" s="4">
        <v>359.48</v>
      </c>
      <c r="L3185" s="4">
        <v>1996.1428571428571</v>
      </c>
      <c r="M3185" s="4">
        <v>2.0038645960065841E-3</v>
      </c>
      <c r="N3185" t="s">
        <v>25</v>
      </c>
      <c r="O3185" t="str">
        <f t="shared" si="490"/>
        <v>Low</v>
      </c>
      <c r="P3185" t="str">
        <f t="shared" si="491"/>
        <v>Low</v>
      </c>
      <c r="Q3185" t="str">
        <f t="shared" si="492"/>
        <v>Low</v>
      </c>
      <c r="R3185" t="s">
        <v>3317</v>
      </c>
      <c r="S3185" s="4">
        <f t="shared" ca="1" si="493"/>
        <v>296</v>
      </c>
      <c r="T3185">
        <f t="shared" si="494"/>
        <v>1</v>
      </c>
      <c r="U3185">
        <f t="shared" si="495"/>
        <v>1</v>
      </c>
      <c r="V3185">
        <f t="shared" si="496"/>
        <v>1</v>
      </c>
      <c r="W3185">
        <f t="shared" si="497"/>
        <v>1</v>
      </c>
      <c r="X3185">
        <f t="shared" si="498"/>
        <v>0.99999999999999989</v>
      </c>
      <c r="Y3185" t="str">
        <f t="shared" si="499"/>
        <v>Healthy</v>
      </c>
    </row>
    <row r="3186" spans="1:25" x14ac:dyDescent="0.35">
      <c r="A3186" t="s">
        <v>179</v>
      </c>
      <c r="B3186" t="s">
        <v>180</v>
      </c>
      <c r="C3186" t="s">
        <v>181</v>
      </c>
      <c r="D3186" t="s">
        <v>637</v>
      </c>
      <c r="E3186">
        <v>80849886</v>
      </c>
      <c r="F3186" t="s">
        <v>2217</v>
      </c>
      <c r="G3186" s="3">
        <v>47402</v>
      </c>
      <c r="H3186">
        <v>16</v>
      </c>
      <c r="I3186">
        <v>100</v>
      </c>
      <c r="J3186">
        <v>12</v>
      </c>
      <c r="K3186" s="4">
        <v>2344.92</v>
      </c>
      <c r="L3186" s="4">
        <v>1.5714285714285714</v>
      </c>
      <c r="M3186" s="4">
        <v>7.6363636363636367</v>
      </c>
      <c r="N3186" t="s">
        <v>19</v>
      </c>
      <c r="O3186" t="str">
        <f t="shared" si="490"/>
        <v>Low</v>
      </c>
      <c r="P3186" t="str">
        <f t="shared" si="491"/>
        <v>Medium</v>
      </c>
      <c r="Q3186" t="str">
        <f t="shared" si="492"/>
        <v>High</v>
      </c>
      <c r="R3186" t="s">
        <v>3317</v>
      </c>
      <c r="S3186" s="4">
        <f t="shared" ca="1" si="493"/>
        <v>1205</v>
      </c>
      <c r="T3186">
        <f t="shared" si="494"/>
        <v>1</v>
      </c>
      <c r="U3186">
        <f t="shared" si="495"/>
        <v>2</v>
      </c>
      <c r="V3186">
        <f t="shared" si="496"/>
        <v>3</v>
      </c>
      <c r="W3186">
        <f t="shared" si="497"/>
        <v>1</v>
      </c>
      <c r="X3186">
        <f t="shared" si="498"/>
        <v>1.7000000000000002</v>
      </c>
      <c r="Y3186" t="str">
        <f t="shared" si="499"/>
        <v>Monitor</v>
      </c>
    </row>
    <row r="3187" spans="1:25" x14ac:dyDescent="0.35">
      <c r="A3187" t="s">
        <v>179</v>
      </c>
      <c r="B3187" t="s">
        <v>180</v>
      </c>
      <c r="C3187" t="s">
        <v>181</v>
      </c>
      <c r="D3187" t="s">
        <v>637</v>
      </c>
      <c r="E3187">
        <v>80849886</v>
      </c>
      <c r="F3187" t="s">
        <v>2217</v>
      </c>
      <c r="G3187" s="3">
        <v>45967</v>
      </c>
      <c r="H3187">
        <v>16</v>
      </c>
      <c r="I3187">
        <v>0</v>
      </c>
      <c r="J3187">
        <v>12</v>
      </c>
      <c r="K3187" s="4">
        <v>2442.6</v>
      </c>
      <c r="L3187" s="4">
        <v>1.5714285714285714</v>
      </c>
      <c r="M3187" s="4">
        <v>7.6363636363636367</v>
      </c>
      <c r="N3187" t="s">
        <v>19</v>
      </c>
      <c r="O3187" t="str">
        <f t="shared" si="490"/>
        <v>High</v>
      </c>
      <c r="P3187" t="str">
        <f t="shared" si="491"/>
        <v>Medium</v>
      </c>
      <c r="Q3187" t="str">
        <f t="shared" si="492"/>
        <v>High</v>
      </c>
      <c r="R3187" t="s">
        <v>3317</v>
      </c>
      <c r="S3187" s="4">
        <f t="shared" ca="1" si="493"/>
        <v>-230</v>
      </c>
      <c r="T3187">
        <f t="shared" si="494"/>
        <v>3</v>
      </c>
      <c r="U3187">
        <f t="shared" si="495"/>
        <v>2</v>
      </c>
      <c r="V3187">
        <f t="shared" si="496"/>
        <v>3</v>
      </c>
      <c r="W3187">
        <f t="shared" si="497"/>
        <v>1</v>
      </c>
      <c r="X3187">
        <f t="shared" si="498"/>
        <v>2.5000000000000004</v>
      </c>
      <c r="Y3187" t="str">
        <f t="shared" si="499"/>
        <v>High Priority</v>
      </c>
    </row>
    <row r="3188" spans="1:25" x14ac:dyDescent="0.35">
      <c r="A3188" t="s">
        <v>104</v>
      </c>
      <c r="B3188" t="s">
        <v>105</v>
      </c>
      <c r="C3188" t="s">
        <v>106</v>
      </c>
      <c r="D3188" t="s">
        <v>2218</v>
      </c>
      <c r="E3188">
        <v>80728961</v>
      </c>
      <c r="F3188" t="s">
        <v>2219</v>
      </c>
      <c r="G3188" s="3">
        <v>46411</v>
      </c>
      <c r="H3188">
        <v>24</v>
      </c>
      <c r="I3188">
        <v>30</v>
      </c>
      <c r="J3188">
        <v>2</v>
      </c>
      <c r="K3188" s="4">
        <v>558.38</v>
      </c>
      <c r="L3188" s="4">
        <f>0</f>
        <v>0</v>
      </c>
      <c r="M3188" s="4">
        <f>999</f>
        <v>999</v>
      </c>
      <c r="N3188" t="s">
        <v>19</v>
      </c>
      <c r="O3188" t="str">
        <f t="shared" si="490"/>
        <v>Medium</v>
      </c>
      <c r="P3188" t="str">
        <f t="shared" si="491"/>
        <v>High</v>
      </c>
      <c r="Q3188" t="str">
        <f t="shared" si="492"/>
        <v>High</v>
      </c>
      <c r="R3188" t="s">
        <v>3317</v>
      </c>
      <c r="S3188" s="4">
        <f t="shared" ca="1" si="493"/>
        <v>214</v>
      </c>
      <c r="T3188">
        <f t="shared" si="494"/>
        <v>2</v>
      </c>
      <c r="U3188">
        <f t="shared" si="495"/>
        <v>3</v>
      </c>
      <c r="V3188">
        <f t="shared" si="496"/>
        <v>3</v>
      </c>
      <c r="W3188">
        <f t="shared" si="497"/>
        <v>1</v>
      </c>
      <c r="X3188">
        <f t="shared" si="498"/>
        <v>2.4</v>
      </c>
      <c r="Y3188" t="str">
        <f t="shared" si="499"/>
        <v>High Priority</v>
      </c>
    </row>
    <row r="3189" spans="1:25" x14ac:dyDescent="0.35">
      <c r="A3189" t="s">
        <v>104</v>
      </c>
      <c r="B3189" t="s">
        <v>105</v>
      </c>
      <c r="C3189" t="s">
        <v>106</v>
      </c>
      <c r="D3189" t="s">
        <v>2218</v>
      </c>
      <c r="E3189">
        <v>80728961</v>
      </c>
      <c r="F3189" t="s">
        <v>2219</v>
      </c>
      <c r="G3189" s="3">
        <v>45983</v>
      </c>
      <c r="H3189">
        <v>24</v>
      </c>
      <c r="I3189">
        <v>0</v>
      </c>
      <c r="J3189">
        <v>2</v>
      </c>
      <c r="K3189" s="4">
        <v>558.38</v>
      </c>
      <c r="L3189" s="4">
        <f>0</f>
        <v>0</v>
      </c>
      <c r="M3189" s="4">
        <f>999</f>
        <v>999</v>
      </c>
      <c r="N3189" t="s">
        <v>19</v>
      </c>
      <c r="O3189" t="str">
        <f t="shared" si="490"/>
        <v>High</v>
      </c>
      <c r="P3189" t="str">
        <f t="shared" si="491"/>
        <v>High</v>
      </c>
      <c r="Q3189" t="str">
        <f t="shared" si="492"/>
        <v>High</v>
      </c>
      <c r="R3189" t="s">
        <v>3317</v>
      </c>
      <c r="S3189" s="4">
        <f t="shared" ca="1" si="493"/>
        <v>-214</v>
      </c>
      <c r="T3189">
        <f t="shared" si="494"/>
        <v>3</v>
      </c>
      <c r="U3189">
        <f t="shared" si="495"/>
        <v>3</v>
      </c>
      <c r="V3189">
        <f t="shared" si="496"/>
        <v>3</v>
      </c>
      <c r="W3189">
        <f t="shared" si="497"/>
        <v>1</v>
      </c>
      <c r="X3189">
        <f t="shared" si="498"/>
        <v>2.8000000000000003</v>
      </c>
      <c r="Y3189" t="str">
        <f t="shared" si="499"/>
        <v>Move Immediately</v>
      </c>
    </row>
    <row r="3190" spans="1:25" x14ac:dyDescent="0.35">
      <c r="A3190" t="s">
        <v>99</v>
      </c>
      <c r="B3190" t="s">
        <v>100</v>
      </c>
      <c r="C3190" t="s">
        <v>362</v>
      </c>
      <c r="D3190" t="s">
        <v>2220</v>
      </c>
      <c r="E3190">
        <v>80818345</v>
      </c>
      <c r="F3190" t="s">
        <v>2221</v>
      </c>
      <c r="G3190" s="3">
        <v>46701</v>
      </c>
      <c r="H3190">
        <v>36</v>
      </c>
      <c r="I3190">
        <v>47</v>
      </c>
      <c r="J3190">
        <v>2422</v>
      </c>
      <c r="K3190" s="4">
        <v>83026.16</v>
      </c>
      <c r="L3190" s="4">
        <v>4328.2857142857147</v>
      </c>
      <c r="M3190" s="4">
        <v>0.55957488943164557</v>
      </c>
      <c r="N3190" t="s">
        <v>25</v>
      </c>
      <c r="O3190" t="str">
        <f t="shared" si="490"/>
        <v>Low</v>
      </c>
      <c r="P3190" t="str">
        <f t="shared" si="491"/>
        <v>Low</v>
      </c>
      <c r="Q3190" t="str">
        <f t="shared" si="492"/>
        <v>Low</v>
      </c>
      <c r="R3190" t="s">
        <v>3310</v>
      </c>
      <c r="S3190" s="4">
        <f t="shared" ca="1" si="493"/>
        <v>504</v>
      </c>
      <c r="T3190">
        <f t="shared" si="494"/>
        <v>1</v>
      </c>
      <c r="U3190">
        <f t="shared" si="495"/>
        <v>1</v>
      </c>
      <c r="V3190">
        <f t="shared" si="496"/>
        <v>1</v>
      </c>
      <c r="W3190">
        <f t="shared" si="497"/>
        <v>2</v>
      </c>
      <c r="X3190">
        <f t="shared" si="498"/>
        <v>1.0999999999999999</v>
      </c>
      <c r="Y3190" t="str">
        <f t="shared" si="499"/>
        <v>Healthy</v>
      </c>
    </row>
    <row r="3191" spans="1:25" x14ac:dyDescent="0.35">
      <c r="A3191" t="s">
        <v>99</v>
      </c>
      <c r="B3191" t="s">
        <v>100</v>
      </c>
      <c r="C3191" t="s">
        <v>362</v>
      </c>
      <c r="D3191" t="s">
        <v>2220</v>
      </c>
      <c r="E3191">
        <v>80818345</v>
      </c>
      <c r="F3191" t="s">
        <v>2221</v>
      </c>
      <c r="G3191" s="3">
        <v>47150</v>
      </c>
      <c r="H3191">
        <v>36</v>
      </c>
      <c r="I3191">
        <v>89</v>
      </c>
      <c r="J3191">
        <v>47</v>
      </c>
      <c r="K3191" s="4">
        <v>1611.16</v>
      </c>
      <c r="L3191" s="4">
        <v>4328.2857142857147</v>
      </c>
      <c r="M3191" s="4">
        <v>1.0858802561225163E-2</v>
      </c>
      <c r="N3191" t="s">
        <v>25</v>
      </c>
      <c r="O3191" t="str">
        <f t="shared" si="490"/>
        <v>Low</v>
      </c>
      <c r="P3191" t="str">
        <f t="shared" si="491"/>
        <v>Low</v>
      </c>
      <c r="Q3191" t="str">
        <f t="shared" si="492"/>
        <v>Low</v>
      </c>
      <c r="R3191" t="s">
        <v>3317</v>
      </c>
      <c r="S3191" s="4">
        <f t="shared" ca="1" si="493"/>
        <v>953</v>
      </c>
      <c r="T3191">
        <f t="shared" si="494"/>
        <v>1</v>
      </c>
      <c r="U3191">
        <f t="shared" si="495"/>
        <v>1</v>
      </c>
      <c r="V3191">
        <f t="shared" si="496"/>
        <v>1</v>
      </c>
      <c r="W3191">
        <f t="shared" si="497"/>
        <v>1</v>
      </c>
      <c r="X3191">
        <f t="shared" si="498"/>
        <v>0.99999999999999989</v>
      </c>
      <c r="Y3191" t="str">
        <f t="shared" si="499"/>
        <v>Healthy</v>
      </c>
    </row>
    <row r="3192" spans="1:25" x14ac:dyDescent="0.35">
      <c r="A3192" t="s">
        <v>99</v>
      </c>
      <c r="B3192" t="s">
        <v>100</v>
      </c>
      <c r="C3192" t="s">
        <v>136</v>
      </c>
      <c r="D3192" t="s">
        <v>160</v>
      </c>
      <c r="E3192">
        <v>80830420</v>
      </c>
      <c r="F3192" t="s">
        <v>2222</v>
      </c>
      <c r="G3192" s="3">
        <v>47025</v>
      </c>
      <c r="H3192">
        <v>36</v>
      </c>
      <c r="I3192">
        <v>77</v>
      </c>
      <c r="J3192">
        <v>10</v>
      </c>
      <c r="K3192" s="4">
        <v>2014.2</v>
      </c>
      <c r="L3192" s="4">
        <v>260.42857142857144</v>
      </c>
      <c r="M3192" s="4">
        <v>3.8398244651673061E-2</v>
      </c>
      <c r="N3192" t="s">
        <v>25</v>
      </c>
      <c r="O3192" t="str">
        <f t="shared" si="490"/>
        <v>Low</v>
      </c>
      <c r="P3192" t="str">
        <f t="shared" si="491"/>
        <v>Low</v>
      </c>
      <c r="Q3192" t="str">
        <f t="shared" si="492"/>
        <v>Low</v>
      </c>
      <c r="R3192" t="s">
        <v>3317</v>
      </c>
      <c r="S3192" s="4">
        <f t="shared" ca="1" si="493"/>
        <v>828</v>
      </c>
      <c r="T3192">
        <f t="shared" si="494"/>
        <v>1</v>
      </c>
      <c r="U3192">
        <f t="shared" si="495"/>
        <v>1</v>
      </c>
      <c r="V3192">
        <f t="shared" si="496"/>
        <v>1</v>
      </c>
      <c r="W3192">
        <f t="shared" si="497"/>
        <v>1</v>
      </c>
      <c r="X3192">
        <f t="shared" si="498"/>
        <v>0.99999999999999989</v>
      </c>
      <c r="Y3192" t="str">
        <f t="shared" si="499"/>
        <v>Healthy</v>
      </c>
    </row>
    <row r="3193" spans="1:25" x14ac:dyDescent="0.35">
      <c r="A3193" t="s">
        <v>99</v>
      </c>
      <c r="B3193" t="s">
        <v>100</v>
      </c>
      <c r="C3193" t="s">
        <v>136</v>
      </c>
      <c r="D3193" t="s">
        <v>160</v>
      </c>
      <c r="E3193">
        <v>80830420</v>
      </c>
      <c r="F3193" t="s">
        <v>2222</v>
      </c>
      <c r="G3193" s="3">
        <v>47220</v>
      </c>
      <c r="H3193">
        <v>36</v>
      </c>
      <c r="I3193">
        <v>95</v>
      </c>
      <c r="J3193">
        <v>250</v>
      </c>
      <c r="K3193" s="4">
        <v>50355</v>
      </c>
      <c r="L3193" s="4">
        <v>260.42857142857144</v>
      </c>
      <c r="M3193" s="4">
        <v>0.95995611629182664</v>
      </c>
      <c r="N3193" t="s">
        <v>25</v>
      </c>
      <c r="O3193" t="str">
        <f t="shared" si="490"/>
        <v>Low</v>
      </c>
      <c r="P3193" t="str">
        <f t="shared" si="491"/>
        <v>Low</v>
      </c>
      <c r="Q3193" t="str">
        <f t="shared" si="492"/>
        <v>Low</v>
      </c>
      <c r="R3193" t="s">
        <v>3317</v>
      </c>
      <c r="S3193" s="4">
        <f t="shared" ca="1" si="493"/>
        <v>1023</v>
      </c>
      <c r="T3193">
        <f t="shared" si="494"/>
        <v>1</v>
      </c>
      <c r="U3193">
        <f t="shared" si="495"/>
        <v>1</v>
      </c>
      <c r="V3193">
        <f t="shared" si="496"/>
        <v>1</v>
      </c>
      <c r="W3193">
        <f t="shared" si="497"/>
        <v>1</v>
      </c>
      <c r="X3193">
        <f t="shared" si="498"/>
        <v>0.99999999999999989</v>
      </c>
      <c r="Y3193" t="str">
        <f t="shared" si="499"/>
        <v>Healthy</v>
      </c>
    </row>
    <row r="3194" spans="1:25" x14ac:dyDescent="0.35">
      <c r="A3194" t="s">
        <v>99</v>
      </c>
      <c r="B3194" t="s">
        <v>100</v>
      </c>
      <c r="C3194" t="s">
        <v>136</v>
      </c>
      <c r="D3194" t="s">
        <v>160</v>
      </c>
      <c r="E3194">
        <v>80830420</v>
      </c>
      <c r="F3194" t="s">
        <v>2222</v>
      </c>
      <c r="G3194" s="3">
        <v>47169</v>
      </c>
      <c r="H3194">
        <v>36</v>
      </c>
      <c r="I3194">
        <v>90</v>
      </c>
      <c r="J3194">
        <v>6</v>
      </c>
      <c r="K3194" s="4">
        <v>1208.52</v>
      </c>
      <c r="L3194" s="4">
        <v>260.42857142857144</v>
      </c>
      <c r="M3194" s="4">
        <v>2.303894679100384E-2</v>
      </c>
      <c r="N3194" t="s">
        <v>25</v>
      </c>
      <c r="O3194" t="str">
        <f t="shared" si="490"/>
        <v>Low</v>
      </c>
      <c r="P3194" t="str">
        <f t="shared" si="491"/>
        <v>Low</v>
      </c>
      <c r="Q3194" t="str">
        <f t="shared" si="492"/>
        <v>Low</v>
      </c>
      <c r="R3194" t="s">
        <v>3317</v>
      </c>
      <c r="S3194" s="4">
        <f t="shared" ca="1" si="493"/>
        <v>972</v>
      </c>
      <c r="T3194">
        <f t="shared" si="494"/>
        <v>1</v>
      </c>
      <c r="U3194">
        <f t="shared" si="495"/>
        <v>1</v>
      </c>
      <c r="V3194">
        <f t="shared" si="496"/>
        <v>1</v>
      </c>
      <c r="W3194">
        <f t="shared" si="497"/>
        <v>1</v>
      </c>
      <c r="X3194">
        <f t="shared" si="498"/>
        <v>0.99999999999999989</v>
      </c>
      <c r="Y3194" t="str">
        <f t="shared" si="499"/>
        <v>Healthy</v>
      </c>
    </row>
    <row r="3195" spans="1:25" x14ac:dyDescent="0.35">
      <c r="A3195" t="s">
        <v>99</v>
      </c>
      <c r="B3195" t="s">
        <v>100</v>
      </c>
      <c r="C3195" t="s">
        <v>101</v>
      </c>
      <c r="D3195" t="s">
        <v>892</v>
      </c>
      <c r="E3195">
        <v>80739415</v>
      </c>
      <c r="F3195" t="s">
        <v>2223</v>
      </c>
      <c r="G3195" s="3">
        <v>46510</v>
      </c>
      <c r="H3195">
        <v>18</v>
      </c>
      <c r="I3195">
        <v>59</v>
      </c>
      <c r="J3195">
        <v>48</v>
      </c>
      <c r="K3195" s="4">
        <v>11980.32</v>
      </c>
      <c r="L3195" s="4">
        <v>1.1428571428571428</v>
      </c>
      <c r="M3195" s="4">
        <v>42</v>
      </c>
      <c r="N3195" t="s">
        <v>19</v>
      </c>
      <c r="O3195" t="str">
        <f t="shared" si="490"/>
        <v>Low</v>
      </c>
      <c r="P3195" t="str">
        <f t="shared" si="491"/>
        <v>High</v>
      </c>
      <c r="Q3195" t="str">
        <f t="shared" si="492"/>
        <v>High</v>
      </c>
      <c r="R3195" t="s">
        <v>3317</v>
      </c>
      <c r="S3195" s="4">
        <f t="shared" ca="1" si="493"/>
        <v>313</v>
      </c>
      <c r="T3195">
        <f t="shared" si="494"/>
        <v>1</v>
      </c>
      <c r="U3195">
        <f t="shared" si="495"/>
        <v>3</v>
      </c>
      <c r="V3195">
        <f t="shared" si="496"/>
        <v>3</v>
      </c>
      <c r="W3195">
        <f t="shared" si="497"/>
        <v>1</v>
      </c>
      <c r="X3195">
        <f t="shared" si="498"/>
        <v>2</v>
      </c>
      <c r="Y3195" t="str">
        <f t="shared" si="499"/>
        <v>Monitor</v>
      </c>
    </row>
    <row r="3196" spans="1:25" x14ac:dyDescent="0.35">
      <c r="A3196" t="s">
        <v>99</v>
      </c>
      <c r="B3196" t="s">
        <v>100</v>
      </c>
      <c r="C3196" t="s">
        <v>136</v>
      </c>
      <c r="D3196" t="s">
        <v>160</v>
      </c>
      <c r="E3196">
        <v>80830420</v>
      </c>
      <c r="F3196" t="s">
        <v>2222</v>
      </c>
      <c r="G3196" s="3">
        <v>47246</v>
      </c>
      <c r="H3196">
        <v>36</v>
      </c>
      <c r="I3196">
        <v>98</v>
      </c>
      <c r="J3196">
        <v>134</v>
      </c>
      <c r="K3196" s="4">
        <v>26990.28</v>
      </c>
      <c r="L3196" s="4">
        <v>260.42857142857144</v>
      </c>
      <c r="M3196" s="4">
        <v>0.51453647833241911</v>
      </c>
      <c r="N3196" t="s">
        <v>25</v>
      </c>
      <c r="O3196" t="str">
        <f t="shared" si="490"/>
        <v>Low</v>
      </c>
      <c r="P3196" t="str">
        <f t="shared" si="491"/>
        <v>Low</v>
      </c>
      <c r="Q3196" t="str">
        <f t="shared" si="492"/>
        <v>Low</v>
      </c>
      <c r="R3196" t="s">
        <v>3317</v>
      </c>
      <c r="S3196" s="4">
        <f t="shared" ca="1" si="493"/>
        <v>1049</v>
      </c>
      <c r="T3196">
        <f t="shared" si="494"/>
        <v>1</v>
      </c>
      <c r="U3196">
        <f t="shared" si="495"/>
        <v>1</v>
      </c>
      <c r="V3196">
        <f t="shared" si="496"/>
        <v>1</v>
      </c>
      <c r="W3196">
        <f t="shared" si="497"/>
        <v>1</v>
      </c>
      <c r="X3196">
        <f t="shared" si="498"/>
        <v>0.99999999999999989</v>
      </c>
      <c r="Y3196" t="str">
        <f t="shared" si="499"/>
        <v>Healthy</v>
      </c>
    </row>
    <row r="3197" spans="1:25" x14ac:dyDescent="0.35">
      <c r="A3197" t="s">
        <v>99</v>
      </c>
      <c r="B3197" t="s">
        <v>100</v>
      </c>
      <c r="C3197" t="s">
        <v>101</v>
      </c>
      <c r="D3197" t="s">
        <v>892</v>
      </c>
      <c r="E3197">
        <v>80739415</v>
      </c>
      <c r="F3197" t="s">
        <v>2223</v>
      </c>
      <c r="G3197" s="3">
        <v>46332</v>
      </c>
      <c r="H3197">
        <v>18</v>
      </c>
      <c r="I3197">
        <v>26</v>
      </c>
      <c r="J3197">
        <v>47</v>
      </c>
      <c r="K3197" s="4">
        <v>11730.73</v>
      </c>
      <c r="L3197" s="4">
        <v>1.1428571428571428</v>
      </c>
      <c r="M3197" s="4">
        <v>41.125</v>
      </c>
      <c r="N3197" t="s">
        <v>19</v>
      </c>
      <c r="O3197" t="str">
        <f t="shared" si="490"/>
        <v>Medium</v>
      </c>
      <c r="P3197" t="str">
        <f t="shared" si="491"/>
        <v>High</v>
      </c>
      <c r="Q3197" t="str">
        <f t="shared" si="492"/>
        <v>High</v>
      </c>
      <c r="R3197" t="s">
        <v>3317</v>
      </c>
      <c r="S3197" s="4">
        <f t="shared" ca="1" si="493"/>
        <v>135</v>
      </c>
      <c r="T3197">
        <f t="shared" si="494"/>
        <v>2</v>
      </c>
      <c r="U3197">
        <f t="shared" si="495"/>
        <v>3</v>
      </c>
      <c r="V3197">
        <f t="shared" si="496"/>
        <v>3</v>
      </c>
      <c r="W3197">
        <f t="shared" si="497"/>
        <v>1</v>
      </c>
      <c r="X3197">
        <f t="shared" si="498"/>
        <v>2.4</v>
      </c>
      <c r="Y3197" t="str">
        <f t="shared" si="499"/>
        <v>High Priority</v>
      </c>
    </row>
    <row r="3198" spans="1:25" x14ac:dyDescent="0.35">
      <c r="A3198" t="s">
        <v>99</v>
      </c>
      <c r="B3198" t="s">
        <v>100</v>
      </c>
      <c r="C3198" t="s">
        <v>101</v>
      </c>
      <c r="D3198" t="s">
        <v>892</v>
      </c>
      <c r="E3198">
        <v>80739415</v>
      </c>
      <c r="F3198" t="s">
        <v>2223</v>
      </c>
      <c r="G3198" s="3">
        <v>46434</v>
      </c>
      <c r="H3198">
        <v>18</v>
      </c>
      <c r="I3198">
        <v>45</v>
      </c>
      <c r="J3198">
        <v>82</v>
      </c>
      <c r="K3198" s="4">
        <v>20466.38</v>
      </c>
      <c r="L3198" s="4">
        <v>1.1428571428571428</v>
      </c>
      <c r="M3198" s="4">
        <v>71.75</v>
      </c>
      <c r="N3198" t="s">
        <v>19</v>
      </c>
      <c r="O3198" t="str">
        <f t="shared" si="490"/>
        <v>Low</v>
      </c>
      <c r="P3198" t="str">
        <f t="shared" si="491"/>
        <v>High</v>
      </c>
      <c r="Q3198" t="str">
        <f t="shared" si="492"/>
        <v>High</v>
      </c>
      <c r="R3198" t="s">
        <v>3317</v>
      </c>
      <c r="S3198" s="4">
        <f t="shared" ca="1" si="493"/>
        <v>237</v>
      </c>
      <c r="T3198">
        <f t="shared" si="494"/>
        <v>1</v>
      </c>
      <c r="U3198">
        <f t="shared" si="495"/>
        <v>3</v>
      </c>
      <c r="V3198">
        <f t="shared" si="496"/>
        <v>3</v>
      </c>
      <c r="W3198">
        <f t="shared" si="497"/>
        <v>1</v>
      </c>
      <c r="X3198">
        <f t="shared" si="498"/>
        <v>2</v>
      </c>
      <c r="Y3198" t="str">
        <f t="shared" si="499"/>
        <v>Monitor</v>
      </c>
    </row>
    <row r="3199" spans="1:25" x14ac:dyDescent="0.35">
      <c r="A3199" t="s">
        <v>99</v>
      </c>
      <c r="B3199" t="s">
        <v>100</v>
      </c>
      <c r="C3199" t="s">
        <v>136</v>
      </c>
      <c r="D3199" t="s">
        <v>160</v>
      </c>
      <c r="E3199">
        <v>80830420</v>
      </c>
      <c r="F3199" t="s">
        <v>2222</v>
      </c>
      <c r="G3199" s="3">
        <v>47062</v>
      </c>
      <c r="H3199">
        <v>36</v>
      </c>
      <c r="I3199">
        <v>81</v>
      </c>
      <c r="J3199">
        <v>3</v>
      </c>
      <c r="K3199" s="4">
        <v>604.26</v>
      </c>
      <c r="L3199" s="4">
        <v>260.42857142857144</v>
      </c>
      <c r="M3199" s="4">
        <v>1.151947339550192E-2</v>
      </c>
      <c r="N3199" t="s">
        <v>25</v>
      </c>
      <c r="O3199" t="str">
        <f t="shared" si="490"/>
        <v>Low</v>
      </c>
      <c r="P3199" t="str">
        <f t="shared" si="491"/>
        <v>Low</v>
      </c>
      <c r="Q3199" t="str">
        <f t="shared" si="492"/>
        <v>Low</v>
      </c>
      <c r="R3199" t="s">
        <v>3317</v>
      </c>
      <c r="S3199" s="4">
        <f t="shared" ca="1" si="493"/>
        <v>865</v>
      </c>
      <c r="T3199">
        <f t="shared" si="494"/>
        <v>1</v>
      </c>
      <c r="U3199">
        <f t="shared" si="495"/>
        <v>1</v>
      </c>
      <c r="V3199">
        <f t="shared" si="496"/>
        <v>1</v>
      </c>
      <c r="W3199">
        <f t="shared" si="497"/>
        <v>1</v>
      </c>
      <c r="X3199">
        <f t="shared" si="498"/>
        <v>0.99999999999999989</v>
      </c>
      <c r="Y3199" t="str">
        <f t="shared" si="499"/>
        <v>Healthy</v>
      </c>
    </row>
    <row r="3200" spans="1:25" x14ac:dyDescent="0.35">
      <c r="A3200" t="s">
        <v>99</v>
      </c>
      <c r="B3200" t="s">
        <v>100</v>
      </c>
      <c r="C3200" t="s">
        <v>101</v>
      </c>
      <c r="D3200" t="s">
        <v>892</v>
      </c>
      <c r="E3200">
        <v>80739415</v>
      </c>
      <c r="F3200" t="s">
        <v>2223</v>
      </c>
      <c r="G3200" s="3">
        <v>46355</v>
      </c>
      <c r="H3200">
        <v>18</v>
      </c>
      <c r="I3200">
        <v>30</v>
      </c>
      <c r="J3200">
        <v>45</v>
      </c>
      <c r="K3200" s="4">
        <v>11231.55</v>
      </c>
      <c r="L3200" s="4">
        <v>1.1428571428571428</v>
      </c>
      <c r="M3200" s="4">
        <v>39.375</v>
      </c>
      <c r="N3200" t="s">
        <v>19</v>
      </c>
      <c r="O3200" t="str">
        <f t="shared" si="490"/>
        <v>Medium</v>
      </c>
      <c r="P3200" t="str">
        <f t="shared" si="491"/>
        <v>High</v>
      </c>
      <c r="Q3200" t="str">
        <f t="shared" si="492"/>
        <v>High</v>
      </c>
      <c r="R3200" t="s">
        <v>3317</v>
      </c>
      <c r="S3200" s="4">
        <f t="shared" ca="1" si="493"/>
        <v>158</v>
      </c>
      <c r="T3200">
        <f t="shared" si="494"/>
        <v>2</v>
      </c>
      <c r="U3200">
        <f t="shared" si="495"/>
        <v>3</v>
      </c>
      <c r="V3200">
        <f t="shared" si="496"/>
        <v>3</v>
      </c>
      <c r="W3200">
        <f t="shared" si="497"/>
        <v>1</v>
      </c>
      <c r="X3200">
        <f t="shared" si="498"/>
        <v>2.4</v>
      </c>
      <c r="Y3200" t="str">
        <f t="shared" si="499"/>
        <v>High Priority</v>
      </c>
    </row>
    <row r="3201" spans="1:25" x14ac:dyDescent="0.35">
      <c r="A3201" t="s">
        <v>99</v>
      </c>
      <c r="B3201" t="s">
        <v>100</v>
      </c>
      <c r="C3201" t="s">
        <v>136</v>
      </c>
      <c r="D3201" t="s">
        <v>160</v>
      </c>
      <c r="E3201">
        <v>80830420</v>
      </c>
      <c r="F3201" t="s">
        <v>2222</v>
      </c>
      <c r="G3201" s="3">
        <v>47025</v>
      </c>
      <c r="H3201">
        <v>36</v>
      </c>
      <c r="I3201">
        <v>77</v>
      </c>
      <c r="J3201">
        <v>4</v>
      </c>
      <c r="K3201" s="4">
        <v>805.68</v>
      </c>
      <c r="L3201" s="4">
        <v>260.42857142857144</v>
      </c>
      <c r="M3201" s="4">
        <v>1.5359297860669226E-2</v>
      </c>
      <c r="N3201" t="s">
        <v>25</v>
      </c>
      <c r="O3201" t="str">
        <f t="shared" si="490"/>
        <v>Low</v>
      </c>
      <c r="P3201" t="str">
        <f t="shared" si="491"/>
        <v>Low</v>
      </c>
      <c r="Q3201" t="str">
        <f t="shared" si="492"/>
        <v>Low</v>
      </c>
      <c r="R3201" t="s">
        <v>3317</v>
      </c>
      <c r="S3201" s="4">
        <f t="shared" ca="1" si="493"/>
        <v>828</v>
      </c>
      <c r="T3201">
        <f t="shared" si="494"/>
        <v>1</v>
      </c>
      <c r="U3201">
        <f t="shared" si="495"/>
        <v>1</v>
      </c>
      <c r="V3201">
        <f t="shared" si="496"/>
        <v>1</v>
      </c>
      <c r="W3201">
        <f t="shared" si="497"/>
        <v>1</v>
      </c>
      <c r="X3201">
        <f t="shared" si="498"/>
        <v>0.99999999999999989</v>
      </c>
      <c r="Y3201" t="str">
        <f t="shared" si="499"/>
        <v>Healthy</v>
      </c>
    </row>
    <row r="3202" spans="1:25" x14ac:dyDescent="0.35">
      <c r="A3202" t="s">
        <v>99</v>
      </c>
      <c r="B3202" t="s">
        <v>100</v>
      </c>
      <c r="C3202" t="s">
        <v>101</v>
      </c>
      <c r="D3202" t="s">
        <v>892</v>
      </c>
      <c r="E3202">
        <v>80739415</v>
      </c>
      <c r="F3202" t="s">
        <v>2223</v>
      </c>
      <c r="G3202" s="3">
        <v>46332</v>
      </c>
      <c r="H3202">
        <v>18</v>
      </c>
      <c r="I3202">
        <v>26</v>
      </c>
      <c r="J3202">
        <v>33</v>
      </c>
      <c r="K3202" s="4">
        <v>8236.4699999999993</v>
      </c>
      <c r="L3202" s="4">
        <v>1.1428571428571428</v>
      </c>
      <c r="M3202" s="4">
        <v>28.875</v>
      </c>
      <c r="N3202" t="s">
        <v>19</v>
      </c>
      <c r="O3202" t="str">
        <f t="shared" si="490"/>
        <v>Medium</v>
      </c>
      <c r="P3202" t="str">
        <f t="shared" si="491"/>
        <v>High</v>
      </c>
      <c r="Q3202" t="str">
        <f t="shared" si="492"/>
        <v>High</v>
      </c>
      <c r="R3202" t="s">
        <v>3317</v>
      </c>
      <c r="S3202" s="4">
        <f t="shared" ca="1" si="493"/>
        <v>135</v>
      </c>
      <c r="T3202">
        <f t="shared" si="494"/>
        <v>2</v>
      </c>
      <c r="U3202">
        <f t="shared" si="495"/>
        <v>3</v>
      </c>
      <c r="V3202">
        <f t="shared" si="496"/>
        <v>3</v>
      </c>
      <c r="W3202">
        <f t="shared" si="497"/>
        <v>1</v>
      </c>
      <c r="X3202">
        <f t="shared" si="498"/>
        <v>2.4</v>
      </c>
      <c r="Y3202" t="str">
        <f t="shared" si="499"/>
        <v>High Priority</v>
      </c>
    </row>
    <row r="3203" spans="1:25" x14ac:dyDescent="0.35">
      <c r="A3203" t="s">
        <v>99</v>
      </c>
      <c r="B3203" t="s">
        <v>100</v>
      </c>
      <c r="C3203" t="s">
        <v>136</v>
      </c>
      <c r="D3203" t="s">
        <v>160</v>
      </c>
      <c r="E3203">
        <v>80830420</v>
      </c>
      <c r="F3203" t="s">
        <v>2222</v>
      </c>
      <c r="G3203" s="3">
        <v>47094</v>
      </c>
      <c r="H3203">
        <v>36</v>
      </c>
      <c r="I3203">
        <v>84</v>
      </c>
      <c r="J3203">
        <v>6</v>
      </c>
      <c r="K3203" s="4">
        <v>1208.52</v>
      </c>
      <c r="L3203" s="4">
        <v>260.42857142857144</v>
      </c>
      <c r="M3203" s="4">
        <v>2.303894679100384E-2</v>
      </c>
      <c r="N3203" t="s">
        <v>25</v>
      </c>
      <c r="O3203" t="str">
        <f t="shared" ref="O3203:O3266" si="500">IF(I3203&lt;20,"High",IF(I3203&lt;40,"Medium","Low"))</f>
        <v>Low</v>
      </c>
      <c r="P3203" t="str">
        <f t="shared" ref="P3203:P3266" si="501">IF(M3203&gt;8,"High",IF(M3203&gt;4,"Medium","Low"))</f>
        <v>Low</v>
      </c>
      <c r="Q3203" t="str">
        <f t="shared" ref="Q3203:Q3266" si="502">IF(L3203&lt;5,"High",IF(L3203&lt;15,"Medium","Low"))</f>
        <v>Low</v>
      </c>
      <c r="R3203" t="s">
        <v>3317</v>
      </c>
      <c r="S3203" s="4">
        <f t="shared" ref="S3203:S3266" ca="1" si="503">G3203-TODAY()</f>
        <v>897</v>
      </c>
      <c r="T3203">
        <f t="shared" ref="T3203:T3266" si="504">IF(O3203="High",3,IF(O3203="Medium",2,1))</f>
        <v>1</v>
      </c>
      <c r="U3203">
        <f t="shared" ref="U3203:U3266" si="505">IF(P3203="High",3,IF(P3203="Medium",2,1))</f>
        <v>1</v>
      </c>
      <c r="V3203">
        <f t="shared" ref="V3203:V3266" si="506">IF(Q3203="High",3,IF(Q3203="Medium",2,1))</f>
        <v>1</v>
      </c>
      <c r="W3203">
        <f t="shared" ref="W3203:W3266" si="507">IF(R3203="High",3,IF(R3203="Medium",2,1))</f>
        <v>1</v>
      </c>
      <c r="X3203">
        <f t="shared" ref="X3203:X3266" si="508">(0.4*T3203)+(0.3*U3203)+(0.2*V3203)+(0.1*W3203)</f>
        <v>0.99999999999999989</v>
      </c>
      <c r="Y3203" t="str">
        <f t="shared" ref="Y3203:Y3266" si="509">IF(X3203&gt;=2.7,"Move Immediately",IF(X3203&gt;=2.2,"High Priority",IF(X3203&gt;=1.7,"Monitor","Healthy")))</f>
        <v>Healthy</v>
      </c>
    </row>
    <row r="3204" spans="1:25" x14ac:dyDescent="0.35">
      <c r="A3204" t="s">
        <v>41</v>
      </c>
      <c r="B3204" t="s">
        <v>54</v>
      </c>
      <c r="C3204" t="s">
        <v>87</v>
      </c>
      <c r="D3204" t="s">
        <v>351</v>
      </c>
      <c r="E3204">
        <v>80844159</v>
      </c>
      <c r="F3204" t="s">
        <v>2224</v>
      </c>
      <c r="G3204" s="3">
        <v>46867</v>
      </c>
      <c r="H3204">
        <v>36</v>
      </c>
      <c r="I3204">
        <v>63</v>
      </c>
      <c r="J3204">
        <v>11</v>
      </c>
      <c r="K3204" s="4">
        <v>4598.22</v>
      </c>
      <c r="L3204" s="4">
        <f>0</f>
        <v>0</v>
      </c>
      <c r="M3204" s="4">
        <f>999</f>
        <v>999</v>
      </c>
      <c r="N3204" t="s">
        <v>19</v>
      </c>
      <c r="O3204" t="str">
        <f t="shared" si="500"/>
        <v>Low</v>
      </c>
      <c r="P3204" t="str">
        <f t="shared" si="501"/>
        <v>High</v>
      </c>
      <c r="Q3204" t="str">
        <f t="shared" si="502"/>
        <v>High</v>
      </c>
      <c r="R3204" t="s">
        <v>3317</v>
      </c>
      <c r="S3204" s="4">
        <f t="shared" ca="1" si="503"/>
        <v>670</v>
      </c>
      <c r="T3204">
        <f t="shared" si="504"/>
        <v>1</v>
      </c>
      <c r="U3204">
        <f t="shared" si="505"/>
        <v>3</v>
      </c>
      <c r="V3204">
        <f t="shared" si="506"/>
        <v>3</v>
      </c>
      <c r="W3204">
        <f t="shared" si="507"/>
        <v>1</v>
      </c>
      <c r="X3204">
        <f t="shared" si="508"/>
        <v>2</v>
      </c>
      <c r="Y3204" t="str">
        <f t="shared" si="509"/>
        <v>Monitor</v>
      </c>
    </row>
    <row r="3205" spans="1:25" x14ac:dyDescent="0.35">
      <c r="A3205" t="s">
        <v>41</v>
      </c>
      <c r="B3205" t="s">
        <v>54</v>
      </c>
      <c r="C3205" t="s">
        <v>87</v>
      </c>
      <c r="D3205" t="s">
        <v>351</v>
      </c>
      <c r="E3205">
        <v>80844159</v>
      </c>
      <c r="F3205" t="s">
        <v>2224</v>
      </c>
      <c r="G3205" s="3">
        <v>46823</v>
      </c>
      <c r="H3205">
        <v>36</v>
      </c>
      <c r="I3205">
        <v>58</v>
      </c>
      <c r="J3205">
        <v>6</v>
      </c>
      <c r="K3205" s="4">
        <v>2508.12</v>
      </c>
      <c r="L3205" s="4">
        <f>0</f>
        <v>0</v>
      </c>
      <c r="M3205" s="4">
        <f>999</f>
        <v>999</v>
      </c>
      <c r="N3205" t="s">
        <v>19</v>
      </c>
      <c r="O3205" t="str">
        <f t="shared" si="500"/>
        <v>Low</v>
      </c>
      <c r="P3205" t="str">
        <f t="shared" si="501"/>
        <v>High</v>
      </c>
      <c r="Q3205" t="str">
        <f t="shared" si="502"/>
        <v>High</v>
      </c>
      <c r="R3205" t="s">
        <v>3317</v>
      </c>
      <c r="S3205" s="4">
        <f t="shared" ca="1" si="503"/>
        <v>626</v>
      </c>
      <c r="T3205">
        <f t="shared" si="504"/>
        <v>1</v>
      </c>
      <c r="U3205">
        <f t="shared" si="505"/>
        <v>3</v>
      </c>
      <c r="V3205">
        <f t="shared" si="506"/>
        <v>3</v>
      </c>
      <c r="W3205">
        <f t="shared" si="507"/>
        <v>1</v>
      </c>
      <c r="X3205">
        <f t="shared" si="508"/>
        <v>2</v>
      </c>
      <c r="Y3205" t="str">
        <f t="shared" si="509"/>
        <v>Monitor</v>
      </c>
    </row>
    <row r="3206" spans="1:25" x14ac:dyDescent="0.35">
      <c r="A3206" t="s">
        <v>41</v>
      </c>
      <c r="B3206" t="s">
        <v>42</v>
      </c>
      <c r="C3206" t="s">
        <v>365</v>
      </c>
      <c r="D3206" t="s">
        <v>396</v>
      </c>
      <c r="E3206">
        <v>80850122</v>
      </c>
      <c r="F3206" t="s">
        <v>2225</v>
      </c>
      <c r="G3206" s="3">
        <v>46930</v>
      </c>
      <c r="H3206">
        <v>36</v>
      </c>
      <c r="I3206">
        <v>68</v>
      </c>
      <c r="J3206">
        <v>8</v>
      </c>
      <c r="K3206" s="4">
        <v>6994.08</v>
      </c>
      <c r="L3206" s="4">
        <f>0</f>
        <v>0</v>
      </c>
      <c r="M3206" s="4">
        <f>999</f>
        <v>999</v>
      </c>
      <c r="N3206" t="s">
        <v>19</v>
      </c>
      <c r="O3206" t="str">
        <f t="shared" si="500"/>
        <v>Low</v>
      </c>
      <c r="P3206" t="str">
        <f t="shared" si="501"/>
        <v>High</v>
      </c>
      <c r="Q3206" t="str">
        <f t="shared" si="502"/>
        <v>High</v>
      </c>
      <c r="R3206" t="s">
        <v>3317</v>
      </c>
      <c r="S3206" s="4">
        <f t="shared" ca="1" si="503"/>
        <v>733</v>
      </c>
      <c r="T3206">
        <f t="shared" si="504"/>
        <v>1</v>
      </c>
      <c r="U3206">
        <f t="shared" si="505"/>
        <v>3</v>
      </c>
      <c r="V3206">
        <f t="shared" si="506"/>
        <v>3</v>
      </c>
      <c r="W3206">
        <f t="shared" si="507"/>
        <v>1</v>
      </c>
      <c r="X3206">
        <f t="shared" si="508"/>
        <v>2</v>
      </c>
      <c r="Y3206" t="str">
        <f t="shared" si="509"/>
        <v>Monitor</v>
      </c>
    </row>
    <row r="3207" spans="1:25" x14ac:dyDescent="0.35">
      <c r="A3207" t="s">
        <v>189</v>
      </c>
      <c r="B3207" t="s">
        <v>417</v>
      </c>
      <c r="C3207" t="s">
        <v>417</v>
      </c>
      <c r="D3207" t="s">
        <v>2226</v>
      </c>
      <c r="E3207">
        <v>80850953</v>
      </c>
      <c r="F3207" t="s">
        <v>2227</v>
      </c>
      <c r="G3207" s="3">
        <v>46332</v>
      </c>
      <c r="H3207">
        <v>18</v>
      </c>
      <c r="I3207">
        <v>26</v>
      </c>
      <c r="J3207">
        <v>47</v>
      </c>
      <c r="K3207" s="4">
        <v>9152.31</v>
      </c>
      <c r="L3207" s="4">
        <v>2</v>
      </c>
      <c r="M3207" s="4">
        <v>23.5</v>
      </c>
      <c r="N3207" t="s">
        <v>19</v>
      </c>
      <c r="O3207" t="str">
        <f t="shared" si="500"/>
        <v>Medium</v>
      </c>
      <c r="P3207" t="str">
        <f t="shared" si="501"/>
        <v>High</v>
      </c>
      <c r="Q3207" t="str">
        <f t="shared" si="502"/>
        <v>High</v>
      </c>
      <c r="R3207" t="s">
        <v>3317</v>
      </c>
      <c r="S3207" s="4">
        <f t="shared" ca="1" si="503"/>
        <v>135</v>
      </c>
      <c r="T3207">
        <f t="shared" si="504"/>
        <v>2</v>
      </c>
      <c r="U3207">
        <f t="shared" si="505"/>
        <v>3</v>
      </c>
      <c r="V3207">
        <f t="shared" si="506"/>
        <v>3</v>
      </c>
      <c r="W3207">
        <f t="shared" si="507"/>
        <v>1</v>
      </c>
      <c r="X3207">
        <f t="shared" si="508"/>
        <v>2.4</v>
      </c>
      <c r="Y3207" t="str">
        <f t="shared" si="509"/>
        <v>High Priority</v>
      </c>
    </row>
    <row r="3208" spans="1:25" x14ac:dyDescent="0.35">
      <c r="A3208" t="s">
        <v>179</v>
      </c>
      <c r="B3208" t="s">
        <v>180</v>
      </c>
      <c r="C3208" t="s">
        <v>181</v>
      </c>
      <c r="D3208" t="s">
        <v>2228</v>
      </c>
      <c r="E3208">
        <v>80850108</v>
      </c>
      <c r="F3208" t="s">
        <v>2229</v>
      </c>
      <c r="G3208" s="3">
        <v>46363</v>
      </c>
      <c r="H3208">
        <v>16</v>
      </c>
      <c r="I3208">
        <v>36</v>
      </c>
      <c r="J3208">
        <v>3</v>
      </c>
      <c r="K3208" s="4">
        <v>3090.57</v>
      </c>
      <c r="L3208" s="4">
        <v>29</v>
      </c>
      <c r="M3208" s="4">
        <v>0.10344827586206896</v>
      </c>
      <c r="N3208" t="s">
        <v>25</v>
      </c>
      <c r="O3208" t="str">
        <f t="shared" si="500"/>
        <v>Medium</v>
      </c>
      <c r="P3208" t="str">
        <f t="shared" si="501"/>
        <v>Low</v>
      </c>
      <c r="Q3208" t="str">
        <f t="shared" si="502"/>
        <v>Low</v>
      </c>
      <c r="R3208" t="s">
        <v>3317</v>
      </c>
      <c r="S3208" s="4">
        <f t="shared" ca="1" si="503"/>
        <v>166</v>
      </c>
      <c r="T3208">
        <f t="shared" si="504"/>
        <v>2</v>
      </c>
      <c r="U3208">
        <f t="shared" si="505"/>
        <v>1</v>
      </c>
      <c r="V3208">
        <f t="shared" si="506"/>
        <v>1</v>
      </c>
      <c r="W3208">
        <f t="shared" si="507"/>
        <v>1</v>
      </c>
      <c r="X3208">
        <f t="shared" si="508"/>
        <v>1.4000000000000001</v>
      </c>
      <c r="Y3208" t="str">
        <f t="shared" si="509"/>
        <v>Healthy</v>
      </c>
    </row>
    <row r="3209" spans="1:25" x14ac:dyDescent="0.35">
      <c r="A3209" t="s">
        <v>179</v>
      </c>
      <c r="B3209" t="s">
        <v>180</v>
      </c>
      <c r="C3209" t="s">
        <v>181</v>
      </c>
      <c r="D3209" t="s">
        <v>2228</v>
      </c>
      <c r="E3209">
        <v>80850108</v>
      </c>
      <c r="F3209" t="s">
        <v>2229</v>
      </c>
      <c r="G3209" s="3">
        <v>46366</v>
      </c>
      <c r="H3209">
        <v>16</v>
      </c>
      <c r="I3209">
        <v>36</v>
      </c>
      <c r="J3209">
        <v>24</v>
      </c>
      <c r="K3209" s="4">
        <v>24724.560000000001</v>
      </c>
      <c r="L3209" s="4">
        <v>29</v>
      </c>
      <c r="M3209" s="4">
        <v>0.82758620689655171</v>
      </c>
      <c r="N3209" t="s">
        <v>25</v>
      </c>
      <c r="O3209" t="str">
        <f t="shared" si="500"/>
        <v>Medium</v>
      </c>
      <c r="P3209" t="str">
        <f t="shared" si="501"/>
        <v>Low</v>
      </c>
      <c r="Q3209" t="str">
        <f t="shared" si="502"/>
        <v>Low</v>
      </c>
      <c r="R3209" t="s">
        <v>3317</v>
      </c>
      <c r="S3209" s="4">
        <f t="shared" ca="1" si="503"/>
        <v>169</v>
      </c>
      <c r="T3209">
        <f t="shared" si="504"/>
        <v>2</v>
      </c>
      <c r="U3209">
        <f t="shared" si="505"/>
        <v>1</v>
      </c>
      <c r="V3209">
        <f t="shared" si="506"/>
        <v>1</v>
      </c>
      <c r="W3209">
        <f t="shared" si="507"/>
        <v>1</v>
      </c>
      <c r="X3209">
        <f t="shared" si="508"/>
        <v>1.4000000000000001</v>
      </c>
      <c r="Y3209" t="str">
        <f t="shared" si="509"/>
        <v>Healthy</v>
      </c>
    </row>
    <row r="3210" spans="1:25" x14ac:dyDescent="0.35">
      <c r="A3210" t="s">
        <v>20</v>
      </c>
      <c r="B3210" t="s">
        <v>21</v>
      </c>
      <c r="C3210" t="s">
        <v>313</v>
      </c>
      <c r="D3210" t="s">
        <v>2230</v>
      </c>
      <c r="E3210">
        <v>80740043</v>
      </c>
      <c r="F3210" t="s">
        <v>2231</v>
      </c>
      <c r="G3210" s="3">
        <v>46002</v>
      </c>
      <c r="H3210">
        <v>36</v>
      </c>
      <c r="I3210">
        <v>0</v>
      </c>
      <c r="J3210">
        <v>20</v>
      </c>
      <c r="K3210" s="4">
        <v>4255.8</v>
      </c>
      <c r="L3210" s="4">
        <v>5.7142857142857144</v>
      </c>
      <c r="M3210" s="4">
        <v>3.5</v>
      </c>
      <c r="N3210" t="s">
        <v>25</v>
      </c>
      <c r="O3210" t="str">
        <f t="shared" si="500"/>
        <v>High</v>
      </c>
      <c r="P3210" t="str">
        <f t="shared" si="501"/>
        <v>Low</v>
      </c>
      <c r="Q3210" t="str">
        <f t="shared" si="502"/>
        <v>Medium</v>
      </c>
      <c r="R3210" t="s">
        <v>3317</v>
      </c>
      <c r="S3210" s="4">
        <f t="shared" ca="1" si="503"/>
        <v>-195</v>
      </c>
      <c r="T3210">
        <f t="shared" si="504"/>
        <v>3</v>
      </c>
      <c r="U3210">
        <f t="shared" si="505"/>
        <v>1</v>
      </c>
      <c r="V3210">
        <f t="shared" si="506"/>
        <v>2</v>
      </c>
      <c r="W3210">
        <f t="shared" si="507"/>
        <v>1</v>
      </c>
      <c r="X3210">
        <f t="shared" si="508"/>
        <v>2.0000000000000004</v>
      </c>
      <c r="Y3210" t="str">
        <f t="shared" si="509"/>
        <v>Monitor</v>
      </c>
    </row>
    <row r="3211" spans="1:25" x14ac:dyDescent="0.35">
      <c r="A3211" t="s">
        <v>90</v>
      </c>
      <c r="B3211" t="s">
        <v>217</v>
      </c>
      <c r="C3211" t="s">
        <v>239</v>
      </c>
      <c r="D3211" t="s">
        <v>677</v>
      </c>
      <c r="E3211">
        <v>80845910</v>
      </c>
      <c r="F3211" t="s">
        <v>2232</v>
      </c>
      <c r="G3211" s="3">
        <v>46845</v>
      </c>
      <c r="H3211">
        <v>24</v>
      </c>
      <c r="I3211">
        <v>91</v>
      </c>
      <c r="J3211">
        <v>15</v>
      </c>
      <c r="K3211" s="4">
        <v>1491.9</v>
      </c>
      <c r="L3211" s="4">
        <v>12071.571428571429</v>
      </c>
      <c r="M3211" s="4">
        <v>1.2425888451024247E-3</v>
      </c>
      <c r="N3211" t="s">
        <v>25</v>
      </c>
      <c r="O3211" t="str">
        <f t="shared" si="500"/>
        <v>Low</v>
      </c>
      <c r="P3211" t="str">
        <f t="shared" si="501"/>
        <v>Low</v>
      </c>
      <c r="Q3211" t="str">
        <f t="shared" si="502"/>
        <v>Low</v>
      </c>
      <c r="R3211" t="s">
        <v>3317</v>
      </c>
      <c r="S3211" s="4">
        <f t="shared" ca="1" si="503"/>
        <v>648</v>
      </c>
      <c r="T3211">
        <f t="shared" si="504"/>
        <v>1</v>
      </c>
      <c r="U3211">
        <f t="shared" si="505"/>
        <v>1</v>
      </c>
      <c r="V3211">
        <f t="shared" si="506"/>
        <v>1</v>
      </c>
      <c r="W3211">
        <f t="shared" si="507"/>
        <v>1</v>
      </c>
      <c r="X3211">
        <f t="shared" si="508"/>
        <v>0.99999999999999989</v>
      </c>
      <c r="Y3211" t="str">
        <f t="shared" si="509"/>
        <v>Healthy</v>
      </c>
    </row>
    <row r="3212" spans="1:25" x14ac:dyDescent="0.35">
      <c r="A3212" t="s">
        <v>20</v>
      </c>
      <c r="B3212" t="s">
        <v>21</v>
      </c>
      <c r="C3212" t="s">
        <v>133</v>
      </c>
      <c r="D3212" t="s">
        <v>2233</v>
      </c>
      <c r="E3212">
        <v>80718656</v>
      </c>
      <c r="F3212" t="s">
        <v>2234</v>
      </c>
      <c r="G3212" s="3">
        <v>46937</v>
      </c>
      <c r="H3212">
        <v>36</v>
      </c>
      <c r="I3212">
        <v>69</v>
      </c>
      <c r="J3212">
        <v>7</v>
      </c>
      <c r="K3212" s="4">
        <v>13607.58</v>
      </c>
      <c r="L3212" s="4">
        <v>13.428571428571429</v>
      </c>
      <c r="M3212" s="4">
        <v>0.52127659574468088</v>
      </c>
      <c r="N3212" t="s">
        <v>25</v>
      </c>
      <c r="O3212" t="str">
        <f t="shared" si="500"/>
        <v>Low</v>
      </c>
      <c r="P3212" t="str">
        <f t="shared" si="501"/>
        <v>Low</v>
      </c>
      <c r="Q3212" t="str">
        <f t="shared" si="502"/>
        <v>Medium</v>
      </c>
      <c r="R3212" t="s">
        <v>3317</v>
      </c>
      <c r="S3212" s="4">
        <f t="shared" ca="1" si="503"/>
        <v>740</v>
      </c>
      <c r="T3212">
        <f t="shared" si="504"/>
        <v>1</v>
      </c>
      <c r="U3212">
        <f t="shared" si="505"/>
        <v>1</v>
      </c>
      <c r="V3212">
        <f t="shared" si="506"/>
        <v>2</v>
      </c>
      <c r="W3212">
        <f t="shared" si="507"/>
        <v>1</v>
      </c>
      <c r="X3212">
        <f t="shared" si="508"/>
        <v>1.2000000000000002</v>
      </c>
      <c r="Y3212" t="str">
        <f t="shared" si="509"/>
        <v>Healthy</v>
      </c>
    </row>
    <row r="3213" spans="1:25" x14ac:dyDescent="0.35">
      <c r="A3213" t="s">
        <v>90</v>
      </c>
      <c r="B3213" t="s">
        <v>217</v>
      </c>
      <c r="C3213" t="s">
        <v>239</v>
      </c>
      <c r="D3213" t="s">
        <v>677</v>
      </c>
      <c r="E3213">
        <v>80845910</v>
      </c>
      <c r="F3213" t="s">
        <v>2232</v>
      </c>
      <c r="G3213" s="3">
        <v>46870</v>
      </c>
      <c r="H3213">
        <v>24</v>
      </c>
      <c r="I3213">
        <v>94</v>
      </c>
      <c r="J3213">
        <v>15</v>
      </c>
      <c r="K3213" s="4">
        <v>1491.9</v>
      </c>
      <c r="L3213" s="4">
        <v>12071.571428571429</v>
      </c>
      <c r="M3213" s="4">
        <v>1.2425888451024247E-3</v>
      </c>
      <c r="N3213" t="s">
        <v>25</v>
      </c>
      <c r="O3213" t="str">
        <f t="shared" si="500"/>
        <v>Low</v>
      </c>
      <c r="P3213" t="str">
        <f t="shared" si="501"/>
        <v>Low</v>
      </c>
      <c r="Q3213" t="str">
        <f t="shared" si="502"/>
        <v>Low</v>
      </c>
      <c r="R3213" t="s">
        <v>3317</v>
      </c>
      <c r="S3213" s="4">
        <f t="shared" ca="1" si="503"/>
        <v>673</v>
      </c>
      <c r="T3213">
        <f t="shared" si="504"/>
        <v>1</v>
      </c>
      <c r="U3213">
        <f t="shared" si="505"/>
        <v>1</v>
      </c>
      <c r="V3213">
        <f t="shared" si="506"/>
        <v>1</v>
      </c>
      <c r="W3213">
        <f t="shared" si="507"/>
        <v>1</v>
      </c>
      <c r="X3213">
        <f t="shared" si="508"/>
        <v>0.99999999999999989</v>
      </c>
      <c r="Y3213" t="str">
        <f t="shared" si="509"/>
        <v>Healthy</v>
      </c>
    </row>
    <row r="3214" spans="1:25" x14ac:dyDescent="0.35">
      <c r="A3214" t="s">
        <v>210</v>
      </c>
      <c r="B3214" t="s">
        <v>439</v>
      </c>
      <c r="C3214" t="s">
        <v>440</v>
      </c>
      <c r="D3214" t="s">
        <v>2235</v>
      </c>
      <c r="E3214">
        <v>80832397</v>
      </c>
      <c r="F3214" t="s">
        <v>2236</v>
      </c>
      <c r="G3214" s="3">
        <v>47632</v>
      </c>
      <c r="H3214">
        <v>60</v>
      </c>
      <c r="I3214">
        <v>80</v>
      </c>
      <c r="J3214">
        <v>10</v>
      </c>
      <c r="K3214" s="4">
        <v>3359.9</v>
      </c>
      <c r="L3214" s="4">
        <f>0</f>
        <v>0</v>
      </c>
      <c r="M3214" s="4">
        <f>999</f>
        <v>999</v>
      </c>
      <c r="N3214" t="s">
        <v>19</v>
      </c>
      <c r="O3214" t="str">
        <f t="shared" si="500"/>
        <v>Low</v>
      </c>
      <c r="P3214" t="str">
        <f t="shared" si="501"/>
        <v>High</v>
      </c>
      <c r="Q3214" t="str">
        <f t="shared" si="502"/>
        <v>High</v>
      </c>
      <c r="R3214" t="s">
        <v>3317</v>
      </c>
      <c r="S3214" s="4">
        <f t="shared" ca="1" si="503"/>
        <v>1435</v>
      </c>
      <c r="T3214">
        <f t="shared" si="504"/>
        <v>1</v>
      </c>
      <c r="U3214">
        <f t="shared" si="505"/>
        <v>3</v>
      </c>
      <c r="V3214">
        <f t="shared" si="506"/>
        <v>3</v>
      </c>
      <c r="W3214">
        <f t="shared" si="507"/>
        <v>1</v>
      </c>
      <c r="X3214">
        <f t="shared" si="508"/>
        <v>2</v>
      </c>
      <c r="Y3214" t="str">
        <f t="shared" si="509"/>
        <v>Monitor</v>
      </c>
    </row>
    <row r="3215" spans="1:25" x14ac:dyDescent="0.35">
      <c r="A3215" t="s">
        <v>210</v>
      </c>
      <c r="B3215" t="s">
        <v>439</v>
      </c>
      <c r="C3215" t="s">
        <v>440</v>
      </c>
      <c r="D3215" t="s">
        <v>2235</v>
      </c>
      <c r="E3215">
        <v>80832397</v>
      </c>
      <c r="F3215" t="s">
        <v>2236</v>
      </c>
      <c r="G3215" s="3">
        <v>47628</v>
      </c>
      <c r="H3215">
        <v>60</v>
      </c>
      <c r="I3215">
        <v>80</v>
      </c>
      <c r="J3215">
        <v>1</v>
      </c>
      <c r="K3215" s="4">
        <v>335.99</v>
      </c>
      <c r="L3215" s="4">
        <f>0</f>
        <v>0</v>
      </c>
      <c r="M3215" s="4">
        <f>999</f>
        <v>999</v>
      </c>
      <c r="N3215" t="s">
        <v>19</v>
      </c>
      <c r="O3215" t="str">
        <f t="shared" si="500"/>
        <v>Low</v>
      </c>
      <c r="P3215" t="str">
        <f t="shared" si="501"/>
        <v>High</v>
      </c>
      <c r="Q3215" t="str">
        <f t="shared" si="502"/>
        <v>High</v>
      </c>
      <c r="R3215" t="s">
        <v>3317</v>
      </c>
      <c r="S3215" s="4">
        <f t="shared" ca="1" si="503"/>
        <v>1431</v>
      </c>
      <c r="T3215">
        <f t="shared" si="504"/>
        <v>1</v>
      </c>
      <c r="U3215">
        <f t="shared" si="505"/>
        <v>3</v>
      </c>
      <c r="V3215">
        <f t="shared" si="506"/>
        <v>3</v>
      </c>
      <c r="W3215">
        <f t="shared" si="507"/>
        <v>1</v>
      </c>
      <c r="X3215">
        <f t="shared" si="508"/>
        <v>2</v>
      </c>
      <c r="Y3215" t="str">
        <f t="shared" si="509"/>
        <v>Monitor</v>
      </c>
    </row>
    <row r="3216" spans="1:25" x14ac:dyDescent="0.35">
      <c r="A3216" t="s">
        <v>20</v>
      </c>
      <c r="B3216" t="s">
        <v>21</v>
      </c>
      <c r="C3216" t="s">
        <v>1155</v>
      </c>
      <c r="D3216" t="s">
        <v>1948</v>
      </c>
      <c r="E3216">
        <v>80843635</v>
      </c>
      <c r="F3216" t="s">
        <v>2237</v>
      </c>
      <c r="G3216" s="3">
        <v>48417</v>
      </c>
      <c r="H3216">
        <v>79</v>
      </c>
      <c r="I3216">
        <v>94</v>
      </c>
      <c r="J3216">
        <v>4</v>
      </c>
      <c r="K3216" s="4">
        <v>2076.7199999999998</v>
      </c>
      <c r="L3216" s="4">
        <v>769</v>
      </c>
      <c r="M3216" s="4">
        <v>5.2015604681404422E-3</v>
      </c>
      <c r="N3216" t="s">
        <v>25</v>
      </c>
      <c r="O3216" t="str">
        <f t="shared" si="500"/>
        <v>Low</v>
      </c>
      <c r="P3216" t="str">
        <f t="shared" si="501"/>
        <v>Low</v>
      </c>
      <c r="Q3216" t="str">
        <f t="shared" si="502"/>
        <v>Low</v>
      </c>
      <c r="R3216" t="s">
        <v>3317</v>
      </c>
      <c r="S3216" s="4">
        <f t="shared" ca="1" si="503"/>
        <v>2220</v>
      </c>
      <c r="T3216">
        <f t="shared" si="504"/>
        <v>1</v>
      </c>
      <c r="U3216">
        <f t="shared" si="505"/>
        <v>1</v>
      </c>
      <c r="V3216">
        <f t="shared" si="506"/>
        <v>1</v>
      </c>
      <c r="W3216">
        <f t="shared" si="507"/>
        <v>1</v>
      </c>
      <c r="X3216">
        <f t="shared" si="508"/>
        <v>0.99999999999999989</v>
      </c>
      <c r="Y3216" t="str">
        <f t="shared" si="509"/>
        <v>Healthy</v>
      </c>
    </row>
    <row r="3217" spans="1:25" x14ac:dyDescent="0.35">
      <c r="A3217" t="s">
        <v>46</v>
      </c>
      <c r="B3217" t="s">
        <v>47</v>
      </c>
      <c r="C3217" t="s">
        <v>48</v>
      </c>
      <c r="D3217" t="s">
        <v>2238</v>
      </c>
      <c r="E3217">
        <v>80731894</v>
      </c>
      <c r="F3217" t="s">
        <v>2239</v>
      </c>
      <c r="G3217" s="3">
        <v>46820</v>
      </c>
      <c r="H3217">
        <v>36</v>
      </c>
      <c r="I3217">
        <v>58</v>
      </c>
      <c r="J3217">
        <v>13</v>
      </c>
      <c r="K3217" s="4">
        <v>2774.46</v>
      </c>
      <c r="L3217" s="4">
        <v>76.857142857142861</v>
      </c>
      <c r="M3217" s="4">
        <v>0.16914498141263939</v>
      </c>
      <c r="N3217" t="s">
        <v>25</v>
      </c>
      <c r="O3217" t="str">
        <f t="shared" si="500"/>
        <v>Low</v>
      </c>
      <c r="P3217" t="str">
        <f t="shared" si="501"/>
        <v>Low</v>
      </c>
      <c r="Q3217" t="str">
        <f t="shared" si="502"/>
        <v>Low</v>
      </c>
      <c r="R3217" t="s">
        <v>3317</v>
      </c>
      <c r="S3217" s="4">
        <f t="shared" ca="1" si="503"/>
        <v>623</v>
      </c>
      <c r="T3217">
        <f t="shared" si="504"/>
        <v>1</v>
      </c>
      <c r="U3217">
        <f t="shared" si="505"/>
        <v>1</v>
      </c>
      <c r="V3217">
        <f t="shared" si="506"/>
        <v>1</v>
      </c>
      <c r="W3217">
        <f t="shared" si="507"/>
        <v>1</v>
      </c>
      <c r="X3217">
        <f t="shared" si="508"/>
        <v>0.99999999999999989</v>
      </c>
      <c r="Y3217" t="str">
        <f t="shared" si="509"/>
        <v>Healthy</v>
      </c>
    </row>
    <row r="3218" spans="1:25" x14ac:dyDescent="0.35">
      <c r="A3218" t="s">
        <v>179</v>
      </c>
      <c r="B3218" t="s">
        <v>223</v>
      </c>
      <c r="C3218" t="s">
        <v>1084</v>
      </c>
      <c r="D3218" t="s">
        <v>2240</v>
      </c>
      <c r="E3218">
        <v>80839546</v>
      </c>
      <c r="F3218" t="s">
        <v>2241</v>
      </c>
      <c r="G3218" s="3">
        <v>46519</v>
      </c>
      <c r="H3218">
        <v>18</v>
      </c>
      <c r="I3218">
        <v>61</v>
      </c>
      <c r="J3218">
        <v>10</v>
      </c>
      <c r="K3218" s="4">
        <v>266.7</v>
      </c>
      <c r="L3218" s="4">
        <v>1211.4285714285713</v>
      </c>
      <c r="M3218" s="4">
        <v>8.2547169811320754E-3</v>
      </c>
      <c r="N3218" t="s">
        <v>25</v>
      </c>
      <c r="O3218" t="str">
        <f t="shared" si="500"/>
        <v>Low</v>
      </c>
      <c r="P3218" t="str">
        <f t="shared" si="501"/>
        <v>Low</v>
      </c>
      <c r="Q3218" t="str">
        <f t="shared" si="502"/>
        <v>Low</v>
      </c>
      <c r="R3218" t="s">
        <v>3317</v>
      </c>
      <c r="S3218" s="4">
        <f t="shared" ca="1" si="503"/>
        <v>322</v>
      </c>
      <c r="T3218">
        <f t="shared" si="504"/>
        <v>1</v>
      </c>
      <c r="U3218">
        <f t="shared" si="505"/>
        <v>1</v>
      </c>
      <c r="V3218">
        <f t="shared" si="506"/>
        <v>1</v>
      </c>
      <c r="W3218">
        <f t="shared" si="507"/>
        <v>1</v>
      </c>
      <c r="X3218">
        <f t="shared" si="508"/>
        <v>0.99999999999999989</v>
      </c>
      <c r="Y3218" t="str">
        <f t="shared" si="509"/>
        <v>Healthy</v>
      </c>
    </row>
    <row r="3219" spans="1:25" x14ac:dyDescent="0.35">
      <c r="A3219" t="s">
        <v>179</v>
      </c>
      <c r="B3219" t="s">
        <v>195</v>
      </c>
      <c r="C3219" t="s">
        <v>199</v>
      </c>
      <c r="D3219" t="s">
        <v>2242</v>
      </c>
      <c r="E3219">
        <v>80854263</v>
      </c>
      <c r="F3219" t="s">
        <v>2243</v>
      </c>
      <c r="G3219" s="3">
        <v>46522</v>
      </c>
      <c r="H3219">
        <v>16</v>
      </c>
      <c r="I3219">
        <v>69</v>
      </c>
      <c r="J3219">
        <v>35</v>
      </c>
      <c r="K3219" s="4">
        <v>53664.800000000003</v>
      </c>
      <c r="L3219" s="4">
        <v>331</v>
      </c>
      <c r="M3219" s="4">
        <v>0.10574018126888217</v>
      </c>
      <c r="N3219" t="s">
        <v>25</v>
      </c>
      <c r="O3219" t="str">
        <f t="shared" si="500"/>
        <v>Low</v>
      </c>
      <c r="P3219" t="str">
        <f t="shared" si="501"/>
        <v>Low</v>
      </c>
      <c r="Q3219" t="str">
        <f t="shared" si="502"/>
        <v>Low</v>
      </c>
      <c r="R3219" t="s">
        <v>3317</v>
      </c>
      <c r="S3219" s="4">
        <f t="shared" ca="1" si="503"/>
        <v>325</v>
      </c>
      <c r="T3219">
        <f t="shared" si="504"/>
        <v>1</v>
      </c>
      <c r="U3219">
        <f t="shared" si="505"/>
        <v>1</v>
      </c>
      <c r="V3219">
        <f t="shared" si="506"/>
        <v>1</v>
      </c>
      <c r="W3219">
        <f t="shared" si="507"/>
        <v>1</v>
      </c>
      <c r="X3219">
        <f t="shared" si="508"/>
        <v>0.99999999999999989</v>
      </c>
      <c r="Y3219" t="str">
        <f t="shared" si="509"/>
        <v>Healthy</v>
      </c>
    </row>
    <row r="3220" spans="1:25" x14ac:dyDescent="0.35">
      <c r="A3220" t="s">
        <v>179</v>
      </c>
      <c r="B3220" t="s">
        <v>195</v>
      </c>
      <c r="C3220" t="s">
        <v>199</v>
      </c>
      <c r="D3220" t="s">
        <v>2242</v>
      </c>
      <c r="E3220">
        <v>80854263</v>
      </c>
      <c r="F3220" t="s">
        <v>2243</v>
      </c>
      <c r="G3220" s="3">
        <v>46421</v>
      </c>
      <c r="H3220">
        <v>16</v>
      </c>
      <c r="I3220">
        <v>48</v>
      </c>
      <c r="J3220">
        <v>2</v>
      </c>
      <c r="K3220" s="4">
        <v>3066.56</v>
      </c>
      <c r="L3220" s="4">
        <v>331</v>
      </c>
      <c r="M3220" s="4">
        <v>6.0422960725075529E-3</v>
      </c>
      <c r="N3220" t="s">
        <v>25</v>
      </c>
      <c r="O3220" t="str">
        <f t="shared" si="500"/>
        <v>Low</v>
      </c>
      <c r="P3220" t="str">
        <f t="shared" si="501"/>
        <v>Low</v>
      </c>
      <c r="Q3220" t="str">
        <f t="shared" si="502"/>
        <v>Low</v>
      </c>
      <c r="R3220" t="s">
        <v>3317</v>
      </c>
      <c r="S3220" s="4">
        <f t="shared" ca="1" si="503"/>
        <v>224</v>
      </c>
      <c r="T3220">
        <f t="shared" si="504"/>
        <v>1</v>
      </c>
      <c r="U3220">
        <f t="shared" si="505"/>
        <v>1</v>
      </c>
      <c r="V3220">
        <f t="shared" si="506"/>
        <v>1</v>
      </c>
      <c r="W3220">
        <f t="shared" si="507"/>
        <v>1</v>
      </c>
      <c r="X3220">
        <f t="shared" si="508"/>
        <v>0.99999999999999989</v>
      </c>
      <c r="Y3220" t="str">
        <f t="shared" si="509"/>
        <v>Healthy</v>
      </c>
    </row>
    <row r="3221" spans="1:25" x14ac:dyDescent="0.35">
      <c r="A3221" t="s">
        <v>41</v>
      </c>
      <c r="B3221" t="s">
        <v>54</v>
      </c>
      <c r="C3221" t="s">
        <v>55</v>
      </c>
      <c r="D3221" t="s">
        <v>2244</v>
      </c>
      <c r="E3221">
        <v>80846217</v>
      </c>
      <c r="F3221" t="s">
        <v>2245</v>
      </c>
      <c r="G3221" s="3">
        <v>46920</v>
      </c>
      <c r="H3221">
        <v>36</v>
      </c>
      <c r="I3221">
        <v>67</v>
      </c>
      <c r="J3221">
        <v>2</v>
      </c>
      <c r="K3221" s="4">
        <v>1638.84</v>
      </c>
      <c r="L3221" s="4">
        <v>45.714285714285715</v>
      </c>
      <c r="M3221" s="4">
        <v>4.3749999999999997E-2</v>
      </c>
      <c r="N3221" t="s">
        <v>25</v>
      </c>
      <c r="O3221" t="str">
        <f t="shared" si="500"/>
        <v>Low</v>
      </c>
      <c r="P3221" t="str">
        <f t="shared" si="501"/>
        <v>Low</v>
      </c>
      <c r="Q3221" t="str">
        <f t="shared" si="502"/>
        <v>Low</v>
      </c>
      <c r="R3221" t="s">
        <v>3317</v>
      </c>
      <c r="S3221" s="4">
        <f t="shared" ca="1" si="503"/>
        <v>723</v>
      </c>
      <c r="T3221">
        <f t="shared" si="504"/>
        <v>1</v>
      </c>
      <c r="U3221">
        <f t="shared" si="505"/>
        <v>1</v>
      </c>
      <c r="V3221">
        <f t="shared" si="506"/>
        <v>1</v>
      </c>
      <c r="W3221">
        <f t="shared" si="507"/>
        <v>1</v>
      </c>
      <c r="X3221">
        <f t="shared" si="508"/>
        <v>0.99999999999999989</v>
      </c>
      <c r="Y3221" t="str">
        <f t="shared" si="509"/>
        <v>Healthy</v>
      </c>
    </row>
    <row r="3222" spans="1:25" x14ac:dyDescent="0.35">
      <c r="A3222" t="s">
        <v>179</v>
      </c>
      <c r="B3222" t="s">
        <v>195</v>
      </c>
      <c r="C3222" t="s">
        <v>199</v>
      </c>
      <c r="D3222" t="s">
        <v>237</v>
      </c>
      <c r="E3222">
        <v>80831134</v>
      </c>
      <c r="F3222" t="s">
        <v>2246</v>
      </c>
      <c r="G3222" s="3">
        <v>46488</v>
      </c>
      <c r="H3222">
        <v>16</v>
      </c>
      <c r="I3222">
        <v>62</v>
      </c>
      <c r="J3222">
        <v>6</v>
      </c>
      <c r="K3222" s="4">
        <v>7994.4</v>
      </c>
      <c r="L3222" s="4">
        <f>0</f>
        <v>0</v>
      </c>
      <c r="M3222" s="4">
        <f>999</f>
        <v>999</v>
      </c>
      <c r="N3222" t="s">
        <v>19</v>
      </c>
      <c r="O3222" t="str">
        <f t="shared" si="500"/>
        <v>Low</v>
      </c>
      <c r="P3222" t="str">
        <f t="shared" si="501"/>
        <v>High</v>
      </c>
      <c r="Q3222" t="str">
        <f t="shared" si="502"/>
        <v>High</v>
      </c>
      <c r="R3222" t="s">
        <v>3317</v>
      </c>
      <c r="S3222" s="4">
        <f t="shared" ca="1" si="503"/>
        <v>291</v>
      </c>
      <c r="T3222">
        <f t="shared" si="504"/>
        <v>1</v>
      </c>
      <c r="U3222">
        <f t="shared" si="505"/>
        <v>3</v>
      </c>
      <c r="V3222">
        <f t="shared" si="506"/>
        <v>3</v>
      </c>
      <c r="W3222">
        <f t="shared" si="507"/>
        <v>1</v>
      </c>
      <c r="X3222">
        <f t="shared" si="508"/>
        <v>2</v>
      </c>
      <c r="Y3222" t="str">
        <f t="shared" si="509"/>
        <v>Monitor</v>
      </c>
    </row>
    <row r="3223" spans="1:25" x14ac:dyDescent="0.35">
      <c r="A3223" t="s">
        <v>41</v>
      </c>
      <c r="B3223" t="s">
        <v>54</v>
      </c>
      <c r="C3223" t="s">
        <v>293</v>
      </c>
      <c r="D3223" t="s">
        <v>2247</v>
      </c>
      <c r="E3223">
        <v>80700355</v>
      </c>
      <c r="F3223" t="s">
        <v>2248</v>
      </c>
      <c r="G3223" s="3">
        <v>46470</v>
      </c>
      <c r="H3223">
        <v>18</v>
      </c>
      <c r="I3223">
        <v>51</v>
      </c>
      <c r="J3223">
        <v>23</v>
      </c>
      <c r="K3223" s="4">
        <v>598.46</v>
      </c>
      <c r="L3223" s="4">
        <v>32.428571428571431</v>
      </c>
      <c r="M3223" s="4">
        <v>0.70925110132158586</v>
      </c>
      <c r="N3223" t="s">
        <v>25</v>
      </c>
      <c r="O3223" t="str">
        <f t="shared" si="500"/>
        <v>Low</v>
      </c>
      <c r="P3223" t="str">
        <f t="shared" si="501"/>
        <v>Low</v>
      </c>
      <c r="Q3223" t="str">
        <f t="shared" si="502"/>
        <v>Low</v>
      </c>
      <c r="R3223" t="s">
        <v>3317</v>
      </c>
      <c r="S3223" s="4">
        <f t="shared" ca="1" si="503"/>
        <v>273</v>
      </c>
      <c r="T3223">
        <f t="shared" si="504"/>
        <v>1</v>
      </c>
      <c r="U3223">
        <f t="shared" si="505"/>
        <v>1</v>
      </c>
      <c r="V3223">
        <f t="shared" si="506"/>
        <v>1</v>
      </c>
      <c r="W3223">
        <f t="shared" si="507"/>
        <v>1</v>
      </c>
      <c r="X3223">
        <f t="shared" si="508"/>
        <v>0.99999999999999989</v>
      </c>
      <c r="Y3223" t="str">
        <f t="shared" si="509"/>
        <v>Healthy</v>
      </c>
    </row>
    <row r="3224" spans="1:25" x14ac:dyDescent="0.35">
      <c r="A3224" t="s">
        <v>41</v>
      </c>
      <c r="B3224" t="s">
        <v>54</v>
      </c>
      <c r="C3224" t="s">
        <v>55</v>
      </c>
      <c r="D3224" t="s">
        <v>1069</v>
      </c>
      <c r="E3224">
        <v>80859545</v>
      </c>
      <c r="F3224" t="s">
        <v>2249</v>
      </c>
      <c r="G3224" s="3">
        <v>46916</v>
      </c>
      <c r="H3224">
        <v>36</v>
      </c>
      <c r="I3224">
        <v>67</v>
      </c>
      <c r="J3224">
        <v>60</v>
      </c>
      <c r="K3224" s="4">
        <v>12981.6</v>
      </c>
      <c r="L3224" s="4">
        <f>0</f>
        <v>0</v>
      </c>
      <c r="M3224" s="4">
        <f>999</f>
        <v>999</v>
      </c>
      <c r="N3224" t="s">
        <v>19</v>
      </c>
      <c r="O3224" t="str">
        <f t="shared" si="500"/>
        <v>Low</v>
      </c>
      <c r="P3224" t="str">
        <f t="shared" si="501"/>
        <v>High</v>
      </c>
      <c r="Q3224" t="str">
        <f t="shared" si="502"/>
        <v>High</v>
      </c>
      <c r="R3224" t="s">
        <v>3317</v>
      </c>
      <c r="S3224" s="4">
        <f t="shared" ca="1" si="503"/>
        <v>719</v>
      </c>
      <c r="T3224">
        <f t="shared" si="504"/>
        <v>1</v>
      </c>
      <c r="U3224">
        <f t="shared" si="505"/>
        <v>3</v>
      </c>
      <c r="V3224">
        <f t="shared" si="506"/>
        <v>3</v>
      </c>
      <c r="W3224">
        <f t="shared" si="507"/>
        <v>1</v>
      </c>
      <c r="X3224">
        <f t="shared" si="508"/>
        <v>2</v>
      </c>
      <c r="Y3224" t="str">
        <f t="shared" si="509"/>
        <v>Monitor</v>
      </c>
    </row>
    <row r="3225" spans="1:25" x14ac:dyDescent="0.35">
      <c r="A3225" t="s">
        <v>41</v>
      </c>
      <c r="B3225" t="s">
        <v>54</v>
      </c>
      <c r="C3225" t="s">
        <v>293</v>
      </c>
      <c r="D3225" t="s">
        <v>2247</v>
      </c>
      <c r="E3225">
        <v>80700355</v>
      </c>
      <c r="F3225" t="s">
        <v>2248</v>
      </c>
      <c r="G3225" s="3">
        <v>46470</v>
      </c>
      <c r="H3225">
        <v>18</v>
      </c>
      <c r="I3225">
        <v>51</v>
      </c>
      <c r="J3225">
        <v>4</v>
      </c>
      <c r="K3225" s="4">
        <v>104.08</v>
      </c>
      <c r="L3225" s="4">
        <v>32.428571428571431</v>
      </c>
      <c r="M3225" s="4">
        <v>0.12334801762114536</v>
      </c>
      <c r="N3225" t="s">
        <v>25</v>
      </c>
      <c r="O3225" t="str">
        <f t="shared" si="500"/>
        <v>Low</v>
      </c>
      <c r="P3225" t="str">
        <f t="shared" si="501"/>
        <v>Low</v>
      </c>
      <c r="Q3225" t="str">
        <f t="shared" si="502"/>
        <v>Low</v>
      </c>
      <c r="R3225" t="s">
        <v>3317</v>
      </c>
      <c r="S3225" s="4">
        <f t="shared" ca="1" si="503"/>
        <v>273</v>
      </c>
      <c r="T3225">
        <f t="shared" si="504"/>
        <v>1</v>
      </c>
      <c r="U3225">
        <f t="shared" si="505"/>
        <v>1</v>
      </c>
      <c r="V3225">
        <f t="shared" si="506"/>
        <v>1</v>
      </c>
      <c r="W3225">
        <f t="shared" si="507"/>
        <v>1</v>
      </c>
      <c r="X3225">
        <f t="shared" si="508"/>
        <v>0.99999999999999989</v>
      </c>
      <c r="Y3225" t="str">
        <f t="shared" si="509"/>
        <v>Healthy</v>
      </c>
    </row>
    <row r="3226" spans="1:25" x14ac:dyDescent="0.35">
      <c r="A3226" t="s">
        <v>41</v>
      </c>
      <c r="B3226" t="s">
        <v>54</v>
      </c>
      <c r="C3226" t="s">
        <v>293</v>
      </c>
      <c r="D3226" t="s">
        <v>2247</v>
      </c>
      <c r="E3226">
        <v>80700355</v>
      </c>
      <c r="F3226" t="s">
        <v>2248</v>
      </c>
      <c r="G3226" s="3">
        <v>46470</v>
      </c>
      <c r="H3226">
        <v>18</v>
      </c>
      <c r="I3226">
        <v>51</v>
      </c>
      <c r="J3226">
        <v>20</v>
      </c>
      <c r="K3226" s="4">
        <v>520.4</v>
      </c>
      <c r="L3226" s="4">
        <v>32.428571428571431</v>
      </c>
      <c r="M3226" s="4">
        <v>0.61674008810572678</v>
      </c>
      <c r="N3226" t="s">
        <v>25</v>
      </c>
      <c r="O3226" t="str">
        <f t="shared" si="500"/>
        <v>Low</v>
      </c>
      <c r="P3226" t="str">
        <f t="shared" si="501"/>
        <v>Low</v>
      </c>
      <c r="Q3226" t="str">
        <f t="shared" si="502"/>
        <v>Low</v>
      </c>
      <c r="R3226" t="s">
        <v>3317</v>
      </c>
      <c r="S3226" s="4">
        <f t="shared" ca="1" si="503"/>
        <v>273</v>
      </c>
      <c r="T3226">
        <f t="shared" si="504"/>
        <v>1</v>
      </c>
      <c r="U3226">
        <f t="shared" si="505"/>
        <v>1</v>
      </c>
      <c r="V3226">
        <f t="shared" si="506"/>
        <v>1</v>
      </c>
      <c r="W3226">
        <f t="shared" si="507"/>
        <v>1</v>
      </c>
      <c r="X3226">
        <f t="shared" si="508"/>
        <v>0.99999999999999989</v>
      </c>
      <c r="Y3226" t="str">
        <f t="shared" si="509"/>
        <v>Healthy</v>
      </c>
    </row>
    <row r="3227" spans="1:25" x14ac:dyDescent="0.35">
      <c r="A3227" t="s">
        <v>14</v>
      </c>
      <c r="B3227" t="s">
        <v>37</v>
      </c>
      <c r="C3227" t="s">
        <v>38</v>
      </c>
      <c r="D3227" t="s">
        <v>242</v>
      </c>
      <c r="E3227">
        <v>80824336</v>
      </c>
      <c r="F3227" t="s">
        <v>2250</v>
      </c>
      <c r="G3227" s="3">
        <v>47948</v>
      </c>
      <c r="H3227">
        <v>60</v>
      </c>
      <c r="I3227">
        <v>98</v>
      </c>
      <c r="J3227">
        <v>30886</v>
      </c>
      <c r="K3227" s="4">
        <v>1950450.9</v>
      </c>
      <c r="L3227" s="4">
        <v>49613.571428571428</v>
      </c>
      <c r="M3227" s="4">
        <v>0.62253127744424774</v>
      </c>
      <c r="N3227" t="s">
        <v>25</v>
      </c>
      <c r="O3227" t="str">
        <f t="shared" si="500"/>
        <v>Low</v>
      </c>
      <c r="P3227" t="str">
        <f t="shared" si="501"/>
        <v>Low</v>
      </c>
      <c r="Q3227" t="str">
        <f t="shared" si="502"/>
        <v>Low</v>
      </c>
      <c r="R3227" t="s">
        <v>3309</v>
      </c>
      <c r="S3227" s="4">
        <f t="shared" ca="1" si="503"/>
        <v>1751</v>
      </c>
      <c r="T3227">
        <f t="shared" si="504"/>
        <v>1</v>
      </c>
      <c r="U3227">
        <f t="shared" si="505"/>
        <v>1</v>
      </c>
      <c r="V3227">
        <f t="shared" si="506"/>
        <v>1</v>
      </c>
      <c r="W3227">
        <f t="shared" si="507"/>
        <v>3</v>
      </c>
      <c r="X3227">
        <f t="shared" si="508"/>
        <v>1.2</v>
      </c>
      <c r="Y3227" t="str">
        <f t="shared" si="509"/>
        <v>Healthy</v>
      </c>
    </row>
    <row r="3228" spans="1:25" x14ac:dyDescent="0.35">
      <c r="A3228" t="s">
        <v>29</v>
      </c>
      <c r="B3228" t="s">
        <v>30</v>
      </c>
      <c r="C3228" t="s">
        <v>147</v>
      </c>
      <c r="D3228" t="s">
        <v>1329</v>
      </c>
      <c r="E3228">
        <v>80741153</v>
      </c>
      <c r="F3228" t="s">
        <v>2251</v>
      </c>
      <c r="G3228" s="3">
        <v>46473</v>
      </c>
      <c r="H3228">
        <v>36</v>
      </c>
      <c r="I3228">
        <v>26</v>
      </c>
      <c r="J3228">
        <v>3</v>
      </c>
      <c r="K3228" s="4">
        <v>3597.48</v>
      </c>
      <c r="L3228" s="4">
        <f>0</f>
        <v>0</v>
      </c>
      <c r="M3228" s="4">
        <f>999</f>
        <v>999</v>
      </c>
      <c r="N3228" t="s">
        <v>19</v>
      </c>
      <c r="O3228" t="str">
        <f t="shared" si="500"/>
        <v>Medium</v>
      </c>
      <c r="P3228" t="str">
        <f t="shared" si="501"/>
        <v>High</v>
      </c>
      <c r="Q3228" t="str">
        <f t="shared" si="502"/>
        <v>High</v>
      </c>
      <c r="R3228" t="s">
        <v>3317</v>
      </c>
      <c r="S3228" s="4">
        <f t="shared" ca="1" si="503"/>
        <v>276</v>
      </c>
      <c r="T3228">
        <f t="shared" si="504"/>
        <v>2</v>
      </c>
      <c r="U3228">
        <f t="shared" si="505"/>
        <v>3</v>
      </c>
      <c r="V3228">
        <f t="shared" si="506"/>
        <v>3</v>
      </c>
      <c r="W3228">
        <f t="shared" si="507"/>
        <v>1</v>
      </c>
      <c r="X3228">
        <f t="shared" si="508"/>
        <v>2.4</v>
      </c>
      <c r="Y3228" t="str">
        <f t="shared" si="509"/>
        <v>High Priority</v>
      </c>
    </row>
    <row r="3229" spans="1:25" x14ac:dyDescent="0.35">
      <c r="A3229" t="s">
        <v>104</v>
      </c>
      <c r="B3229" t="s">
        <v>105</v>
      </c>
      <c r="C3229" t="s">
        <v>731</v>
      </c>
      <c r="D3229" t="s">
        <v>2252</v>
      </c>
      <c r="E3229">
        <v>80753887</v>
      </c>
      <c r="F3229" t="s">
        <v>2253</v>
      </c>
      <c r="G3229" s="3">
        <v>46780</v>
      </c>
      <c r="H3229">
        <v>24</v>
      </c>
      <c r="I3229">
        <v>82</v>
      </c>
      <c r="J3229">
        <v>6</v>
      </c>
      <c r="K3229" s="4">
        <v>1195.1400000000001</v>
      </c>
      <c r="L3229" s="4">
        <v>131.42857142857142</v>
      </c>
      <c r="M3229" s="4">
        <v>4.5652173913043485E-2</v>
      </c>
      <c r="N3229" t="s">
        <v>25</v>
      </c>
      <c r="O3229" t="str">
        <f t="shared" si="500"/>
        <v>Low</v>
      </c>
      <c r="P3229" t="str">
        <f t="shared" si="501"/>
        <v>Low</v>
      </c>
      <c r="Q3229" t="str">
        <f t="shared" si="502"/>
        <v>Low</v>
      </c>
      <c r="R3229" t="s">
        <v>3317</v>
      </c>
      <c r="S3229" s="4">
        <f t="shared" ca="1" si="503"/>
        <v>583</v>
      </c>
      <c r="T3229">
        <f t="shared" si="504"/>
        <v>1</v>
      </c>
      <c r="U3229">
        <f t="shared" si="505"/>
        <v>1</v>
      </c>
      <c r="V3229">
        <f t="shared" si="506"/>
        <v>1</v>
      </c>
      <c r="W3229">
        <f t="shared" si="507"/>
        <v>1</v>
      </c>
      <c r="X3229">
        <f t="shared" si="508"/>
        <v>0.99999999999999989</v>
      </c>
      <c r="Y3229" t="str">
        <f t="shared" si="509"/>
        <v>Healthy</v>
      </c>
    </row>
    <row r="3230" spans="1:25" x14ac:dyDescent="0.35">
      <c r="A3230" t="s">
        <v>104</v>
      </c>
      <c r="B3230" t="s">
        <v>105</v>
      </c>
      <c r="C3230" t="s">
        <v>731</v>
      </c>
      <c r="D3230" t="s">
        <v>2252</v>
      </c>
      <c r="E3230">
        <v>80753887</v>
      </c>
      <c r="F3230" t="s">
        <v>2253</v>
      </c>
      <c r="G3230" s="3">
        <v>46828</v>
      </c>
      <c r="H3230">
        <v>24</v>
      </c>
      <c r="I3230">
        <v>88</v>
      </c>
      <c r="J3230">
        <v>12</v>
      </c>
      <c r="K3230" s="4">
        <v>2390.2800000000002</v>
      </c>
      <c r="L3230" s="4">
        <v>131.42857142857142</v>
      </c>
      <c r="M3230" s="4">
        <v>9.1304347826086971E-2</v>
      </c>
      <c r="N3230" t="s">
        <v>25</v>
      </c>
      <c r="O3230" t="str">
        <f t="shared" si="500"/>
        <v>Low</v>
      </c>
      <c r="P3230" t="str">
        <f t="shared" si="501"/>
        <v>Low</v>
      </c>
      <c r="Q3230" t="str">
        <f t="shared" si="502"/>
        <v>Low</v>
      </c>
      <c r="R3230" t="s">
        <v>3317</v>
      </c>
      <c r="S3230" s="4">
        <f t="shared" ca="1" si="503"/>
        <v>631</v>
      </c>
      <c r="T3230">
        <f t="shared" si="504"/>
        <v>1</v>
      </c>
      <c r="U3230">
        <f t="shared" si="505"/>
        <v>1</v>
      </c>
      <c r="V3230">
        <f t="shared" si="506"/>
        <v>1</v>
      </c>
      <c r="W3230">
        <f t="shared" si="507"/>
        <v>1</v>
      </c>
      <c r="X3230">
        <f t="shared" si="508"/>
        <v>0.99999999999999989</v>
      </c>
      <c r="Y3230" t="str">
        <f t="shared" si="509"/>
        <v>Healthy</v>
      </c>
    </row>
    <row r="3231" spans="1:25" x14ac:dyDescent="0.35">
      <c r="A3231" t="s">
        <v>179</v>
      </c>
      <c r="B3231" t="s">
        <v>180</v>
      </c>
      <c r="C3231" t="s">
        <v>181</v>
      </c>
      <c r="D3231" t="s">
        <v>2254</v>
      </c>
      <c r="E3231">
        <v>80866356</v>
      </c>
      <c r="F3231" t="s">
        <v>2255</v>
      </c>
      <c r="G3231" s="3">
        <v>46424</v>
      </c>
      <c r="H3231">
        <v>16</v>
      </c>
      <c r="I3231">
        <v>48</v>
      </c>
      <c r="J3231">
        <v>4</v>
      </c>
      <c r="K3231" s="4">
        <v>1880.84</v>
      </c>
      <c r="L3231" s="4">
        <v>1.1428571428571428</v>
      </c>
      <c r="M3231" s="4">
        <v>3.5</v>
      </c>
      <c r="N3231" t="s">
        <v>25</v>
      </c>
      <c r="O3231" t="str">
        <f t="shared" si="500"/>
        <v>Low</v>
      </c>
      <c r="P3231" t="str">
        <f t="shared" si="501"/>
        <v>Low</v>
      </c>
      <c r="Q3231" t="str">
        <f t="shared" si="502"/>
        <v>High</v>
      </c>
      <c r="R3231" t="s">
        <v>3317</v>
      </c>
      <c r="S3231" s="4">
        <f t="shared" ca="1" si="503"/>
        <v>227</v>
      </c>
      <c r="T3231">
        <f t="shared" si="504"/>
        <v>1</v>
      </c>
      <c r="U3231">
        <f t="shared" si="505"/>
        <v>1</v>
      </c>
      <c r="V3231">
        <f t="shared" si="506"/>
        <v>3</v>
      </c>
      <c r="W3231">
        <f t="shared" si="507"/>
        <v>1</v>
      </c>
      <c r="X3231">
        <f t="shared" si="508"/>
        <v>1.4000000000000001</v>
      </c>
      <c r="Y3231" t="str">
        <f t="shared" si="509"/>
        <v>Healthy</v>
      </c>
    </row>
    <row r="3232" spans="1:25" x14ac:dyDescent="0.35">
      <c r="A3232" t="s">
        <v>104</v>
      </c>
      <c r="B3232" t="s">
        <v>105</v>
      </c>
      <c r="C3232" t="s">
        <v>731</v>
      </c>
      <c r="D3232" t="s">
        <v>2252</v>
      </c>
      <c r="E3232">
        <v>80753887</v>
      </c>
      <c r="F3232" t="s">
        <v>2253</v>
      </c>
      <c r="G3232" s="3">
        <v>46644</v>
      </c>
      <c r="H3232">
        <v>24</v>
      </c>
      <c r="I3232">
        <v>63</v>
      </c>
      <c r="J3232">
        <v>8</v>
      </c>
      <c r="K3232" s="4">
        <v>1593.52</v>
      </c>
      <c r="L3232" s="4">
        <v>131.42857142857142</v>
      </c>
      <c r="M3232" s="4">
        <v>6.0869565217391307E-2</v>
      </c>
      <c r="N3232" t="s">
        <v>25</v>
      </c>
      <c r="O3232" t="str">
        <f t="shared" si="500"/>
        <v>Low</v>
      </c>
      <c r="P3232" t="str">
        <f t="shared" si="501"/>
        <v>Low</v>
      </c>
      <c r="Q3232" t="str">
        <f t="shared" si="502"/>
        <v>Low</v>
      </c>
      <c r="R3232" t="s">
        <v>3317</v>
      </c>
      <c r="S3232" s="4">
        <f t="shared" ca="1" si="503"/>
        <v>447</v>
      </c>
      <c r="T3232">
        <f t="shared" si="504"/>
        <v>1</v>
      </c>
      <c r="U3232">
        <f t="shared" si="505"/>
        <v>1</v>
      </c>
      <c r="V3232">
        <f t="shared" si="506"/>
        <v>1</v>
      </c>
      <c r="W3232">
        <f t="shared" si="507"/>
        <v>1</v>
      </c>
      <c r="X3232">
        <f t="shared" si="508"/>
        <v>0.99999999999999989</v>
      </c>
      <c r="Y3232" t="str">
        <f t="shared" si="509"/>
        <v>Healthy</v>
      </c>
    </row>
    <row r="3233" spans="1:25" x14ac:dyDescent="0.35">
      <c r="A3233" t="s">
        <v>179</v>
      </c>
      <c r="B3233" t="s">
        <v>223</v>
      </c>
      <c r="C3233" t="s">
        <v>357</v>
      </c>
      <c r="D3233" t="s">
        <v>1764</v>
      </c>
      <c r="E3233">
        <v>80869532</v>
      </c>
      <c r="F3233" t="s">
        <v>2256</v>
      </c>
      <c r="G3233" s="3">
        <v>46391</v>
      </c>
      <c r="H3233">
        <v>18</v>
      </c>
      <c r="I3233">
        <v>37</v>
      </c>
      <c r="J3233">
        <v>20</v>
      </c>
      <c r="K3233" s="4">
        <v>4799.8</v>
      </c>
      <c r="L3233" s="4">
        <v>9.7142857142857135</v>
      </c>
      <c r="M3233" s="4">
        <v>2.0588235294117649</v>
      </c>
      <c r="N3233" t="s">
        <v>25</v>
      </c>
      <c r="O3233" t="str">
        <f t="shared" si="500"/>
        <v>Medium</v>
      </c>
      <c r="P3233" t="str">
        <f t="shared" si="501"/>
        <v>Low</v>
      </c>
      <c r="Q3233" t="str">
        <f t="shared" si="502"/>
        <v>Medium</v>
      </c>
      <c r="R3233" t="s">
        <v>3317</v>
      </c>
      <c r="S3233" s="4">
        <f t="shared" ca="1" si="503"/>
        <v>194</v>
      </c>
      <c r="T3233">
        <f t="shared" si="504"/>
        <v>2</v>
      </c>
      <c r="U3233">
        <f t="shared" si="505"/>
        <v>1</v>
      </c>
      <c r="V3233">
        <f t="shared" si="506"/>
        <v>2</v>
      </c>
      <c r="W3233">
        <f t="shared" si="507"/>
        <v>1</v>
      </c>
      <c r="X3233">
        <f t="shared" si="508"/>
        <v>1.6</v>
      </c>
      <c r="Y3233" t="str">
        <f t="shared" si="509"/>
        <v>Healthy</v>
      </c>
    </row>
    <row r="3234" spans="1:25" x14ac:dyDescent="0.35">
      <c r="A3234" t="s">
        <v>104</v>
      </c>
      <c r="B3234" t="s">
        <v>105</v>
      </c>
      <c r="C3234" t="s">
        <v>731</v>
      </c>
      <c r="D3234" t="s">
        <v>2252</v>
      </c>
      <c r="E3234">
        <v>80753887</v>
      </c>
      <c r="F3234" t="s">
        <v>2253</v>
      </c>
      <c r="G3234" s="3">
        <v>46799</v>
      </c>
      <c r="H3234">
        <v>24</v>
      </c>
      <c r="I3234">
        <v>84</v>
      </c>
      <c r="J3234">
        <v>2</v>
      </c>
      <c r="K3234" s="4">
        <v>398.38</v>
      </c>
      <c r="L3234" s="4">
        <v>131.42857142857142</v>
      </c>
      <c r="M3234" s="4">
        <v>1.5217391304347827E-2</v>
      </c>
      <c r="N3234" t="s">
        <v>25</v>
      </c>
      <c r="O3234" t="str">
        <f t="shared" si="500"/>
        <v>Low</v>
      </c>
      <c r="P3234" t="str">
        <f t="shared" si="501"/>
        <v>Low</v>
      </c>
      <c r="Q3234" t="str">
        <f t="shared" si="502"/>
        <v>Low</v>
      </c>
      <c r="R3234" t="s">
        <v>3317</v>
      </c>
      <c r="S3234" s="4">
        <f t="shared" ca="1" si="503"/>
        <v>602</v>
      </c>
      <c r="T3234">
        <f t="shared" si="504"/>
        <v>1</v>
      </c>
      <c r="U3234">
        <f t="shared" si="505"/>
        <v>1</v>
      </c>
      <c r="V3234">
        <f t="shared" si="506"/>
        <v>1</v>
      </c>
      <c r="W3234">
        <f t="shared" si="507"/>
        <v>1</v>
      </c>
      <c r="X3234">
        <f t="shared" si="508"/>
        <v>0.99999999999999989</v>
      </c>
      <c r="Y3234" t="str">
        <f t="shared" si="509"/>
        <v>Healthy</v>
      </c>
    </row>
    <row r="3235" spans="1:25" x14ac:dyDescent="0.35">
      <c r="A3235" t="s">
        <v>104</v>
      </c>
      <c r="B3235" t="s">
        <v>105</v>
      </c>
      <c r="C3235" t="s">
        <v>731</v>
      </c>
      <c r="D3235" t="s">
        <v>2252</v>
      </c>
      <c r="E3235">
        <v>80753887</v>
      </c>
      <c r="F3235" t="s">
        <v>2253</v>
      </c>
      <c r="G3235" s="3">
        <v>46828</v>
      </c>
      <c r="H3235">
        <v>24</v>
      </c>
      <c r="I3235">
        <v>88</v>
      </c>
      <c r="J3235">
        <v>12</v>
      </c>
      <c r="K3235" s="4">
        <v>2390.2800000000002</v>
      </c>
      <c r="L3235" s="4">
        <v>131.42857142857142</v>
      </c>
      <c r="M3235" s="4">
        <v>9.1304347826086971E-2</v>
      </c>
      <c r="N3235" t="s">
        <v>25</v>
      </c>
      <c r="O3235" t="str">
        <f t="shared" si="500"/>
        <v>Low</v>
      </c>
      <c r="P3235" t="str">
        <f t="shared" si="501"/>
        <v>Low</v>
      </c>
      <c r="Q3235" t="str">
        <f t="shared" si="502"/>
        <v>Low</v>
      </c>
      <c r="R3235" t="s">
        <v>3317</v>
      </c>
      <c r="S3235" s="4">
        <f t="shared" ca="1" si="503"/>
        <v>631</v>
      </c>
      <c r="T3235">
        <f t="shared" si="504"/>
        <v>1</v>
      </c>
      <c r="U3235">
        <f t="shared" si="505"/>
        <v>1</v>
      </c>
      <c r="V3235">
        <f t="shared" si="506"/>
        <v>1</v>
      </c>
      <c r="W3235">
        <f t="shared" si="507"/>
        <v>1</v>
      </c>
      <c r="X3235">
        <f t="shared" si="508"/>
        <v>0.99999999999999989</v>
      </c>
      <c r="Y3235" t="str">
        <f t="shared" si="509"/>
        <v>Healthy</v>
      </c>
    </row>
    <row r="3236" spans="1:25" x14ac:dyDescent="0.35">
      <c r="A3236" t="s">
        <v>41</v>
      </c>
      <c r="B3236" t="s">
        <v>42</v>
      </c>
      <c r="C3236" t="s">
        <v>43</v>
      </c>
      <c r="D3236" t="s">
        <v>2257</v>
      </c>
      <c r="E3236">
        <v>80871615</v>
      </c>
      <c r="F3236" t="s">
        <v>2258</v>
      </c>
      <c r="G3236" s="3">
        <v>47000</v>
      </c>
      <c r="H3236">
        <v>36</v>
      </c>
      <c r="I3236">
        <v>75</v>
      </c>
      <c r="J3236">
        <v>3</v>
      </c>
      <c r="K3236" s="4">
        <v>458.16</v>
      </c>
      <c r="L3236" s="4">
        <v>92.857142857142861</v>
      </c>
      <c r="M3236" s="4">
        <v>3.2307692307692308E-2</v>
      </c>
      <c r="N3236" t="s">
        <v>25</v>
      </c>
      <c r="O3236" t="str">
        <f t="shared" si="500"/>
        <v>Low</v>
      </c>
      <c r="P3236" t="str">
        <f t="shared" si="501"/>
        <v>Low</v>
      </c>
      <c r="Q3236" t="str">
        <f t="shared" si="502"/>
        <v>Low</v>
      </c>
      <c r="R3236" t="s">
        <v>3317</v>
      </c>
      <c r="S3236" s="4">
        <f t="shared" ca="1" si="503"/>
        <v>803</v>
      </c>
      <c r="T3236">
        <f t="shared" si="504"/>
        <v>1</v>
      </c>
      <c r="U3236">
        <f t="shared" si="505"/>
        <v>1</v>
      </c>
      <c r="V3236">
        <f t="shared" si="506"/>
        <v>1</v>
      </c>
      <c r="W3236">
        <f t="shared" si="507"/>
        <v>1</v>
      </c>
      <c r="X3236">
        <f t="shared" si="508"/>
        <v>0.99999999999999989</v>
      </c>
      <c r="Y3236" t="str">
        <f t="shared" si="509"/>
        <v>Healthy</v>
      </c>
    </row>
    <row r="3237" spans="1:25" x14ac:dyDescent="0.35">
      <c r="A3237" t="s">
        <v>41</v>
      </c>
      <c r="B3237" t="s">
        <v>54</v>
      </c>
      <c r="C3237" t="s">
        <v>55</v>
      </c>
      <c r="D3237" t="s">
        <v>1335</v>
      </c>
      <c r="E3237">
        <v>80875119</v>
      </c>
      <c r="F3237" t="s">
        <v>2259</v>
      </c>
      <c r="G3237" s="3">
        <v>46950</v>
      </c>
      <c r="H3237">
        <v>36</v>
      </c>
      <c r="I3237">
        <v>70</v>
      </c>
      <c r="J3237">
        <v>7</v>
      </c>
      <c r="K3237" s="4">
        <v>5993.82</v>
      </c>
      <c r="L3237" s="4">
        <v>5.1428571428571432</v>
      </c>
      <c r="M3237" s="4">
        <v>1.3611111111111109</v>
      </c>
      <c r="N3237" t="s">
        <v>25</v>
      </c>
      <c r="O3237" t="str">
        <f t="shared" si="500"/>
        <v>Low</v>
      </c>
      <c r="P3237" t="str">
        <f t="shared" si="501"/>
        <v>Low</v>
      </c>
      <c r="Q3237" t="str">
        <f t="shared" si="502"/>
        <v>Medium</v>
      </c>
      <c r="R3237" t="s">
        <v>3317</v>
      </c>
      <c r="S3237" s="4">
        <f t="shared" ca="1" si="503"/>
        <v>753</v>
      </c>
      <c r="T3237">
        <f t="shared" si="504"/>
        <v>1</v>
      </c>
      <c r="U3237">
        <f t="shared" si="505"/>
        <v>1</v>
      </c>
      <c r="V3237">
        <f t="shared" si="506"/>
        <v>2</v>
      </c>
      <c r="W3237">
        <f t="shared" si="507"/>
        <v>1</v>
      </c>
      <c r="X3237">
        <f t="shared" si="508"/>
        <v>1.2000000000000002</v>
      </c>
      <c r="Y3237" t="str">
        <f t="shared" si="509"/>
        <v>Healthy</v>
      </c>
    </row>
    <row r="3238" spans="1:25" x14ac:dyDescent="0.35">
      <c r="A3238" t="s">
        <v>944</v>
      </c>
      <c r="B3238" t="s">
        <v>945</v>
      </c>
      <c r="C3238" t="s">
        <v>1214</v>
      </c>
      <c r="D3238" t="s">
        <v>2260</v>
      </c>
      <c r="E3238">
        <v>80715392</v>
      </c>
      <c r="F3238" t="s">
        <v>2261</v>
      </c>
      <c r="G3238" s="3">
        <v>47462</v>
      </c>
      <c r="H3238">
        <v>60</v>
      </c>
      <c r="I3238">
        <v>71</v>
      </c>
      <c r="J3238">
        <v>2</v>
      </c>
      <c r="K3238" s="4">
        <v>15706.84</v>
      </c>
      <c r="L3238" s="4">
        <v>0.5714285714285714</v>
      </c>
      <c r="M3238" s="4">
        <v>3.5</v>
      </c>
      <c r="N3238" t="s">
        <v>25</v>
      </c>
      <c r="O3238" t="str">
        <f t="shared" si="500"/>
        <v>Low</v>
      </c>
      <c r="P3238" t="str">
        <f t="shared" si="501"/>
        <v>Low</v>
      </c>
      <c r="Q3238" t="str">
        <f t="shared" si="502"/>
        <v>High</v>
      </c>
      <c r="R3238" t="s">
        <v>3317</v>
      </c>
      <c r="S3238" s="4">
        <f t="shared" ca="1" si="503"/>
        <v>1265</v>
      </c>
      <c r="T3238">
        <f t="shared" si="504"/>
        <v>1</v>
      </c>
      <c r="U3238">
        <f t="shared" si="505"/>
        <v>1</v>
      </c>
      <c r="V3238">
        <f t="shared" si="506"/>
        <v>3</v>
      </c>
      <c r="W3238">
        <f t="shared" si="507"/>
        <v>1</v>
      </c>
      <c r="X3238">
        <f t="shared" si="508"/>
        <v>1.4000000000000001</v>
      </c>
      <c r="Y3238" t="str">
        <f t="shared" si="509"/>
        <v>Healthy</v>
      </c>
    </row>
    <row r="3239" spans="1:25" x14ac:dyDescent="0.35">
      <c r="A3239" t="s">
        <v>41</v>
      </c>
      <c r="B3239" t="s">
        <v>54</v>
      </c>
      <c r="C3239" t="s">
        <v>55</v>
      </c>
      <c r="D3239" t="s">
        <v>1335</v>
      </c>
      <c r="E3239">
        <v>80875119</v>
      </c>
      <c r="F3239" t="s">
        <v>2259</v>
      </c>
      <c r="G3239" s="3">
        <v>46976</v>
      </c>
      <c r="H3239">
        <v>36</v>
      </c>
      <c r="I3239">
        <v>73</v>
      </c>
      <c r="J3239">
        <v>9</v>
      </c>
      <c r="K3239" s="4">
        <v>7706.34</v>
      </c>
      <c r="L3239" s="4">
        <v>5.1428571428571432</v>
      </c>
      <c r="M3239" s="4">
        <v>1.7499999999999998</v>
      </c>
      <c r="N3239" t="s">
        <v>25</v>
      </c>
      <c r="O3239" t="str">
        <f t="shared" si="500"/>
        <v>Low</v>
      </c>
      <c r="P3239" t="str">
        <f t="shared" si="501"/>
        <v>Low</v>
      </c>
      <c r="Q3239" t="str">
        <f t="shared" si="502"/>
        <v>Medium</v>
      </c>
      <c r="R3239" t="s">
        <v>3317</v>
      </c>
      <c r="S3239" s="4">
        <f t="shared" ca="1" si="503"/>
        <v>779</v>
      </c>
      <c r="T3239">
        <f t="shared" si="504"/>
        <v>1</v>
      </c>
      <c r="U3239">
        <f t="shared" si="505"/>
        <v>1</v>
      </c>
      <c r="V3239">
        <f t="shared" si="506"/>
        <v>2</v>
      </c>
      <c r="W3239">
        <f t="shared" si="507"/>
        <v>1</v>
      </c>
      <c r="X3239">
        <f t="shared" si="508"/>
        <v>1.2000000000000002</v>
      </c>
      <c r="Y3239" t="str">
        <f t="shared" si="509"/>
        <v>Healthy</v>
      </c>
    </row>
    <row r="3240" spans="1:25" x14ac:dyDescent="0.35">
      <c r="A3240" t="s">
        <v>41</v>
      </c>
      <c r="B3240" t="s">
        <v>54</v>
      </c>
      <c r="C3240" t="s">
        <v>55</v>
      </c>
      <c r="D3240" t="s">
        <v>1335</v>
      </c>
      <c r="E3240">
        <v>80875119</v>
      </c>
      <c r="F3240" t="s">
        <v>2259</v>
      </c>
      <c r="G3240" s="3">
        <v>47011</v>
      </c>
      <c r="H3240">
        <v>36</v>
      </c>
      <c r="I3240">
        <v>76</v>
      </c>
      <c r="J3240">
        <v>4</v>
      </c>
      <c r="K3240" s="4">
        <v>3425.04</v>
      </c>
      <c r="L3240" s="4">
        <v>5.1428571428571432</v>
      </c>
      <c r="M3240" s="4">
        <v>0.77777777777777768</v>
      </c>
      <c r="N3240" t="s">
        <v>25</v>
      </c>
      <c r="O3240" t="str">
        <f t="shared" si="500"/>
        <v>Low</v>
      </c>
      <c r="P3240" t="str">
        <f t="shared" si="501"/>
        <v>Low</v>
      </c>
      <c r="Q3240" t="str">
        <f t="shared" si="502"/>
        <v>Medium</v>
      </c>
      <c r="R3240" t="s">
        <v>3317</v>
      </c>
      <c r="S3240" s="4">
        <f t="shared" ca="1" si="503"/>
        <v>814</v>
      </c>
      <c r="T3240">
        <f t="shared" si="504"/>
        <v>1</v>
      </c>
      <c r="U3240">
        <f t="shared" si="505"/>
        <v>1</v>
      </c>
      <c r="V3240">
        <f t="shared" si="506"/>
        <v>2</v>
      </c>
      <c r="W3240">
        <f t="shared" si="507"/>
        <v>1</v>
      </c>
      <c r="X3240">
        <f t="shared" si="508"/>
        <v>1.2000000000000002</v>
      </c>
      <c r="Y3240" t="str">
        <f t="shared" si="509"/>
        <v>Healthy</v>
      </c>
    </row>
    <row r="3241" spans="1:25" x14ac:dyDescent="0.35">
      <c r="A3241" t="s">
        <v>41</v>
      </c>
      <c r="B3241" t="s">
        <v>54</v>
      </c>
      <c r="C3241" t="s">
        <v>55</v>
      </c>
      <c r="D3241" t="s">
        <v>1335</v>
      </c>
      <c r="E3241">
        <v>80875119</v>
      </c>
      <c r="F3241" t="s">
        <v>2259</v>
      </c>
      <c r="G3241" s="3">
        <v>46948</v>
      </c>
      <c r="H3241">
        <v>36</v>
      </c>
      <c r="I3241">
        <v>70</v>
      </c>
      <c r="J3241">
        <v>16</v>
      </c>
      <c r="K3241" s="4">
        <v>13700.16</v>
      </c>
      <c r="L3241" s="4">
        <v>5.1428571428571432</v>
      </c>
      <c r="M3241" s="4">
        <v>3.1111111111111107</v>
      </c>
      <c r="N3241" t="s">
        <v>25</v>
      </c>
      <c r="O3241" t="str">
        <f t="shared" si="500"/>
        <v>Low</v>
      </c>
      <c r="P3241" t="str">
        <f t="shared" si="501"/>
        <v>Low</v>
      </c>
      <c r="Q3241" t="str">
        <f t="shared" si="502"/>
        <v>Medium</v>
      </c>
      <c r="R3241" t="s">
        <v>3317</v>
      </c>
      <c r="S3241" s="4">
        <f t="shared" ca="1" si="503"/>
        <v>751</v>
      </c>
      <c r="T3241">
        <f t="shared" si="504"/>
        <v>1</v>
      </c>
      <c r="U3241">
        <f t="shared" si="505"/>
        <v>1</v>
      </c>
      <c r="V3241">
        <f t="shared" si="506"/>
        <v>2</v>
      </c>
      <c r="W3241">
        <f t="shared" si="507"/>
        <v>1</v>
      </c>
      <c r="X3241">
        <f t="shared" si="508"/>
        <v>1.2000000000000002</v>
      </c>
      <c r="Y3241" t="str">
        <f t="shared" si="509"/>
        <v>Healthy</v>
      </c>
    </row>
    <row r="3242" spans="1:25" x14ac:dyDescent="0.35">
      <c r="A3242" t="s">
        <v>41</v>
      </c>
      <c r="B3242" t="s">
        <v>54</v>
      </c>
      <c r="C3242" t="s">
        <v>87</v>
      </c>
      <c r="D3242" t="s">
        <v>2262</v>
      </c>
      <c r="E3242">
        <v>80773356</v>
      </c>
      <c r="F3242" t="s">
        <v>2263</v>
      </c>
      <c r="G3242" s="3">
        <v>46344</v>
      </c>
      <c r="H3242">
        <v>36</v>
      </c>
      <c r="I3242">
        <v>14</v>
      </c>
      <c r="J3242">
        <v>49</v>
      </c>
      <c r="K3242" s="4">
        <v>9835.2800000000007</v>
      </c>
      <c r="L3242" s="4">
        <v>16</v>
      </c>
      <c r="M3242" s="4">
        <v>3.0625</v>
      </c>
      <c r="N3242" t="s">
        <v>25</v>
      </c>
      <c r="O3242" t="str">
        <f t="shared" si="500"/>
        <v>High</v>
      </c>
      <c r="P3242" t="str">
        <f t="shared" si="501"/>
        <v>Low</v>
      </c>
      <c r="Q3242" t="str">
        <f t="shared" si="502"/>
        <v>Low</v>
      </c>
      <c r="R3242" t="s">
        <v>3317</v>
      </c>
      <c r="S3242" s="4">
        <f t="shared" ca="1" si="503"/>
        <v>147</v>
      </c>
      <c r="T3242">
        <f t="shared" si="504"/>
        <v>3</v>
      </c>
      <c r="U3242">
        <f t="shared" si="505"/>
        <v>1</v>
      </c>
      <c r="V3242">
        <f t="shared" si="506"/>
        <v>1</v>
      </c>
      <c r="W3242">
        <f t="shared" si="507"/>
        <v>1</v>
      </c>
      <c r="X3242">
        <f t="shared" si="508"/>
        <v>1.8000000000000003</v>
      </c>
      <c r="Y3242" t="str">
        <f t="shared" si="509"/>
        <v>Monitor</v>
      </c>
    </row>
    <row r="3243" spans="1:25" x14ac:dyDescent="0.35">
      <c r="A3243" t="s">
        <v>71</v>
      </c>
      <c r="B3243" t="s">
        <v>72</v>
      </c>
      <c r="C3243" t="s">
        <v>73</v>
      </c>
      <c r="D3243" t="s">
        <v>1993</v>
      </c>
      <c r="E3243">
        <v>80866552</v>
      </c>
      <c r="F3243" t="s">
        <v>2264</v>
      </c>
      <c r="G3243" s="3">
        <v>47065</v>
      </c>
      <c r="H3243">
        <v>36</v>
      </c>
      <c r="I3243">
        <v>81</v>
      </c>
      <c r="J3243">
        <v>6</v>
      </c>
      <c r="K3243" s="4">
        <v>4031.88</v>
      </c>
      <c r="L3243" s="4">
        <v>47.857142857142854</v>
      </c>
      <c r="M3243" s="4">
        <v>0.12537313432835823</v>
      </c>
      <c r="N3243" t="s">
        <v>25</v>
      </c>
      <c r="O3243" t="str">
        <f t="shared" si="500"/>
        <v>Low</v>
      </c>
      <c r="P3243" t="str">
        <f t="shared" si="501"/>
        <v>Low</v>
      </c>
      <c r="Q3243" t="str">
        <f t="shared" si="502"/>
        <v>Low</v>
      </c>
      <c r="R3243" t="s">
        <v>3317</v>
      </c>
      <c r="S3243" s="4">
        <f t="shared" ca="1" si="503"/>
        <v>868</v>
      </c>
      <c r="T3243">
        <f t="shared" si="504"/>
        <v>1</v>
      </c>
      <c r="U3243">
        <f t="shared" si="505"/>
        <v>1</v>
      </c>
      <c r="V3243">
        <f t="shared" si="506"/>
        <v>1</v>
      </c>
      <c r="W3243">
        <f t="shared" si="507"/>
        <v>1</v>
      </c>
      <c r="X3243">
        <f t="shared" si="508"/>
        <v>0.99999999999999989</v>
      </c>
      <c r="Y3243" t="str">
        <f t="shared" si="509"/>
        <v>Healthy</v>
      </c>
    </row>
    <row r="3244" spans="1:25" x14ac:dyDescent="0.35">
      <c r="A3244" t="s">
        <v>71</v>
      </c>
      <c r="B3244" t="s">
        <v>72</v>
      </c>
      <c r="C3244" t="s">
        <v>73</v>
      </c>
      <c r="D3244" t="s">
        <v>2265</v>
      </c>
      <c r="E3244">
        <v>80867175</v>
      </c>
      <c r="F3244" t="s">
        <v>2266</v>
      </c>
      <c r="G3244" s="3">
        <v>46966</v>
      </c>
      <c r="H3244">
        <v>36</v>
      </c>
      <c r="I3244">
        <v>72</v>
      </c>
      <c r="J3244">
        <v>1</v>
      </c>
      <c r="K3244" s="4">
        <v>786.37</v>
      </c>
      <c r="L3244" s="4">
        <v>30</v>
      </c>
      <c r="M3244" s="4">
        <v>3.3333333333333333E-2</v>
      </c>
      <c r="N3244" t="s">
        <v>25</v>
      </c>
      <c r="O3244" t="str">
        <f t="shared" si="500"/>
        <v>Low</v>
      </c>
      <c r="P3244" t="str">
        <f t="shared" si="501"/>
        <v>Low</v>
      </c>
      <c r="Q3244" t="str">
        <f t="shared" si="502"/>
        <v>Low</v>
      </c>
      <c r="R3244" t="s">
        <v>3317</v>
      </c>
      <c r="S3244" s="4">
        <f t="shared" ca="1" si="503"/>
        <v>769</v>
      </c>
      <c r="T3244">
        <f t="shared" si="504"/>
        <v>1</v>
      </c>
      <c r="U3244">
        <f t="shared" si="505"/>
        <v>1</v>
      </c>
      <c r="V3244">
        <f t="shared" si="506"/>
        <v>1</v>
      </c>
      <c r="W3244">
        <f t="shared" si="507"/>
        <v>1</v>
      </c>
      <c r="X3244">
        <f t="shared" si="508"/>
        <v>0.99999999999999989</v>
      </c>
      <c r="Y3244" t="str">
        <f t="shared" si="509"/>
        <v>Healthy</v>
      </c>
    </row>
    <row r="3245" spans="1:25" x14ac:dyDescent="0.35">
      <c r="A3245" t="s">
        <v>29</v>
      </c>
      <c r="B3245" t="s">
        <v>30</v>
      </c>
      <c r="C3245" t="s">
        <v>449</v>
      </c>
      <c r="D3245" t="s">
        <v>2267</v>
      </c>
      <c r="E3245">
        <v>80851503</v>
      </c>
      <c r="F3245" t="s">
        <v>2268</v>
      </c>
      <c r="G3245" s="3">
        <v>47129</v>
      </c>
      <c r="H3245">
        <v>36</v>
      </c>
      <c r="I3245">
        <v>87</v>
      </c>
      <c r="J3245">
        <v>132</v>
      </c>
      <c r="K3245" s="4">
        <v>110077.44</v>
      </c>
      <c r="L3245" s="4">
        <v>410.28571428571428</v>
      </c>
      <c r="M3245" s="4">
        <v>0.32172701949860727</v>
      </c>
      <c r="N3245" t="s">
        <v>25</v>
      </c>
      <c r="O3245" t="str">
        <f t="shared" si="500"/>
        <v>Low</v>
      </c>
      <c r="P3245" t="str">
        <f t="shared" si="501"/>
        <v>Low</v>
      </c>
      <c r="Q3245" t="str">
        <f t="shared" si="502"/>
        <v>Low</v>
      </c>
      <c r="R3245" t="s">
        <v>3310</v>
      </c>
      <c r="S3245" s="4">
        <f t="shared" ca="1" si="503"/>
        <v>932</v>
      </c>
      <c r="T3245">
        <f t="shared" si="504"/>
        <v>1</v>
      </c>
      <c r="U3245">
        <f t="shared" si="505"/>
        <v>1</v>
      </c>
      <c r="V3245">
        <f t="shared" si="506"/>
        <v>1</v>
      </c>
      <c r="W3245">
        <f t="shared" si="507"/>
        <v>2</v>
      </c>
      <c r="X3245">
        <f t="shared" si="508"/>
        <v>1.0999999999999999</v>
      </c>
      <c r="Y3245" t="str">
        <f t="shared" si="509"/>
        <v>Healthy</v>
      </c>
    </row>
    <row r="3246" spans="1:25" x14ac:dyDescent="0.35">
      <c r="A3246" t="s">
        <v>29</v>
      </c>
      <c r="B3246" t="s">
        <v>30</v>
      </c>
      <c r="C3246" t="s">
        <v>449</v>
      </c>
      <c r="D3246" t="s">
        <v>2267</v>
      </c>
      <c r="E3246">
        <v>80851503</v>
      </c>
      <c r="F3246" t="s">
        <v>2268</v>
      </c>
      <c r="G3246" s="3">
        <v>47157</v>
      </c>
      <c r="H3246">
        <v>36</v>
      </c>
      <c r="I3246">
        <v>89</v>
      </c>
      <c r="J3246">
        <v>450</v>
      </c>
      <c r="K3246" s="4">
        <v>375264</v>
      </c>
      <c r="L3246" s="4">
        <v>410.28571428571428</v>
      </c>
      <c r="M3246" s="4">
        <v>1.0967966573816157</v>
      </c>
      <c r="N3246" t="s">
        <v>25</v>
      </c>
      <c r="O3246" t="str">
        <f t="shared" si="500"/>
        <v>Low</v>
      </c>
      <c r="P3246" t="str">
        <f t="shared" si="501"/>
        <v>Low</v>
      </c>
      <c r="Q3246" t="str">
        <f t="shared" si="502"/>
        <v>Low</v>
      </c>
      <c r="R3246" t="s">
        <v>3309</v>
      </c>
      <c r="S3246" s="4">
        <f t="shared" ca="1" si="503"/>
        <v>960</v>
      </c>
      <c r="T3246">
        <f t="shared" si="504"/>
        <v>1</v>
      </c>
      <c r="U3246">
        <f t="shared" si="505"/>
        <v>1</v>
      </c>
      <c r="V3246">
        <f t="shared" si="506"/>
        <v>1</v>
      </c>
      <c r="W3246">
        <f t="shared" si="507"/>
        <v>3</v>
      </c>
      <c r="X3246">
        <f t="shared" si="508"/>
        <v>1.2</v>
      </c>
      <c r="Y3246" t="str">
        <f t="shared" si="509"/>
        <v>Healthy</v>
      </c>
    </row>
    <row r="3247" spans="1:25" x14ac:dyDescent="0.35">
      <c r="A3247" t="s">
        <v>71</v>
      </c>
      <c r="B3247" t="s">
        <v>72</v>
      </c>
      <c r="C3247" t="s">
        <v>150</v>
      </c>
      <c r="D3247" t="s">
        <v>1306</v>
      </c>
      <c r="E3247">
        <v>80766225</v>
      </c>
      <c r="F3247" t="s">
        <v>2269</v>
      </c>
      <c r="G3247" s="3">
        <v>46210</v>
      </c>
      <c r="H3247">
        <v>36</v>
      </c>
      <c r="I3247">
        <v>2</v>
      </c>
      <c r="J3247">
        <v>55</v>
      </c>
      <c r="K3247" s="4">
        <v>1714.9</v>
      </c>
      <c r="L3247" s="4">
        <v>17.714285714285715</v>
      </c>
      <c r="M3247" s="4">
        <v>3.104838709677419</v>
      </c>
      <c r="N3247" t="s">
        <v>25</v>
      </c>
      <c r="O3247" t="str">
        <f t="shared" si="500"/>
        <v>High</v>
      </c>
      <c r="P3247" t="str">
        <f t="shared" si="501"/>
        <v>Low</v>
      </c>
      <c r="Q3247" t="str">
        <f t="shared" si="502"/>
        <v>Low</v>
      </c>
      <c r="R3247" t="s">
        <v>3317</v>
      </c>
      <c r="S3247" s="4">
        <f t="shared" ca="1" si="503"/>
        <v>13</v>
      </c>
      <c r="T3247">
        <f t="shared" si="504"/>
        <v>3</v>
      </c>
      <c r="U3247">
        <f t="shared" si="505"/>
        <v>1</v>
      </c>
      <c r="V3247">
        <f t="shared" si="506"/>
        <v>1</v>
      </c>
      <c r="W3247">
        <f t="shared" si="507"/>
        <v>1</v>
      </c>
      <c r="X3247">
        <f t="shared" si="508"/>
        <v>1.8000000000000003</v>
      </c>
      <c r="Y3247" t="str">
        <f t="shared" si="509"/>
        <v>Monitor</v>
      </c>
    </row>
    <row r="3248" spans="1:25" x14ac:dyDescent="0.35">
      <c r="A3248" t="s">
        <v>29</v>
      </c>
      <c r="B3248" t="s">
        <v>30</v>
      </c>
      <c r="C3248" t="s">
        <v>449</v>
      </c>
      <c r="D3248" t="s">
        <v>2267</v>
      </c>
      <c r="E3248">
        <v>80851503</v>
      </c>
      <c r="F3248" t="s">
        <v>2268</v>
      </c>
      <c r="G3248" s="3">
        <v>47151</v>
      </c>
      <c r="H3248">
        <v>36</v>
      </c>
      <c r="I3248">
        <v>89</v>
      </c>
      <c r="J3248">
        <v>60</v>
      </c>
      <c r="K3248" s="4">
        <v>50035.199999999997</v>
      </c>
      <c r="L3248" s="4">
        <v>410.28571428571428</v>
      </c>
      <c r="M3248" s="4">
        <v>0.14623955431754876</v>
      </c>
      <c r="N3248" t="s">
        <v>25</v>
      </c>
      <c r="O3248" t="str">
        <f t="shared" si="500"/>
        <v>Low</v>
      </c>
      <c r="P3248" t="str">
        <f t="shared" si="501"/>
        <v>Low</v>
      </c>
      <c r="Q3248" t="str">
        <f t="shared" si="502"/>
        <v>Low</v>
      </c>
      <c r="R3248" t="s">
        <v>3317</v>
      </c>
      <c r="S3248" s="4">
        <f t="shared" ca="1" si="503"/>
        <v>954</v>
      </c>
      <c r="T3248">
        <f t="shared" si="504"/>
        <v>1</v>
      </c>
      <c r="U3248">
        <f t="shared" si="505"/>
        <v>1</v>
      </c>
      <c r="V3248">
        <f t="shared" si="506"/>
        <v>1</v>
      </c>
      <c r="W3248">
        <f t="shared" si="507"/>
        <v>1</v>
      </c>
      <c r="X3248">
        <f t="shared" si="508"/>
        <v>0.99999999999999989</v>
      </c>
      <c r="Y3248" t="str">
        <f t="shared" si="509"/>
        <v>Healthy</v>
      </c>
    </row>
    <row r="3249" spans="1:25" x14ac:dyDescent="0.35">
      <c r="A3249" t="s">
        <v>71</v>
      </c>
      <c r="B3249" t="s">
        <v>72</v>
      </c>
      <c r="C3249" t="s">
        <v>150</v>
      </c>
      <c r="D3249" t="s">
        <v>1306</v>
      </c>
      <c r="E3249">
        <v>80766225</v>
      </c>
      <c r="F3249" t="s">
        <v>2269</v>
      </c>
      <c r="G3249" s="3">
        <v>47020</v>
      </c>
      <c r="H3249">
        <v>36</v>
      </c>
      <c r="I3249">
        <v>77</v>
      </c>
      <c r="J3249">
        <v>35</v>
      </c>
      <c r="K3249" s="4">
        <v>980</v>
      </c>
      <c r="L3249" s="4">
        <v>17.714285714285715</v>
      </c>
      <c r="M3249" s="4">
        <v>1.975806451612903</v>
      </c>
      <c r="N3249" t="s">
        <v>25</v>
      </c>
      <c r="O3249" t="str">
        <f t="shared" si="500"/>
        <v>Low</v>
      </c>
      <c r="P3249" t="str">
        <f t="shared" si="501"/>
        <v>Low</v>
      </c>
      <c r="Q3249" t="str">
        <f t="shared" si="502"/>
        <v>Low</v>
      </c>
      <c r="R3249" t="s">
        <v>3317</v>
      </c>
      <c r="S3249" s="4">
        <f t="shared" ca="1" si="503"/>
        <v>823</v>
      </c>
      <c r="T3249">
        <f t="shared" si="504"/>
        <v>1</v>
      </c>
      <c r="U3249">
        <f t="shared" si="505"/>
        <v>1</v>
      </c>
      <c r="V3249">
        <f t="shared" si="506"/>
        <v>1</v>
      </c>
      <c r="W3249">
        <f t="shared" si="507"/>
        <v>1</v>
      </c>
      <c r="X3249">
        <f t="shared" si="508"/>
        <v>0.99999999999999989</v>
      </c>
      <c r="Y3249" t="str">
        <f t="shared" si="509"/>
        <v>Healthy</v>
      </c>
    </row>
    <row r="3250" spans="1:25" x14ac:dyDescent="0.35">
      <c r="A3250" t="s">
        <v>29</v>
      </c>
      <c r="B3250" t="s">
        <v>30</v>
      </c>
      <c r="C3250" t="s">
        <v>449</v>
      </c>
      <c r="D3250" t="s">
        <v>2267</v>
      </c>
      <c r="E3250">
        <v>80851503</v>
      </c>
      <c r="F3250" t="s">
        <v>2268</v>
      </c>
      <c r="G3250" s="3">
        <v>47169</v>
      </c>
      <c r="H3250">
        <v>36</v>
      </c>
      <c r="I3250">
        <v>90</v>
      </c>
      <c r="J3250">
        <v>60</v>
      </c>
      <c r="K3250" s="4">
        <v>50035.199999999997</v>
      </c>
      <c r="L3250" s="4">
        <v>410.28571428571428</v>
      </c>
      <c r="M3250" s="4">
        <v>0.14623955431754876</v>
      </c>
      <c r="N3250" t="s">
        <v>25</v>
      </c>
      <c r="O3250" t="str">
        <f t="shared" si="500"/>
        <v>Low</v>
      </c>
      <c r="P3250" t="str">
        <f t="shared" si="501"/>
        <v>Low</v>
      </c>
      <c r="Q3250" t="str">
        <f t="shared" si="502"/>
        <v>Low</v>
      </c>
      <c r="R3250" t="s">
        <v>3317</v>
      </c>
      <c r="S3250" s="4">
        <f t="shared" ca="1" si="503"/>
        <v>972</v>
      </c>
      <c r="T3250">
        <f t="shared" si="504"/>
        <v>1</v>
      </c>
      <c r="U3250">
        <f t="shared" si="505"/>
        <v>1</v>
      </c>
      <c r="V3250">
        <f t="shared" si="506"/>
        <v>1</v>
      </c>
      <c r="W3250">
        <f t="shared" si="507"/>
        <v>1</v>
      </c>
      <c r="X3250">
        <f t="shared" si="508"/>
        <v>0.99999999999999989</v>
      </c>
      <c r="Y3250" t="str">
        <f t="shared" si="509"/>
        <v>Healthy</v>
      </c>
    </row>
    <row r="3251" spans="1:25" x14ac:dyDescent="0.35">
      <c r="A3251" t="s">
        <v>29</v>
      </c>
      <c r="B3251" t="s">
        <v>30</v>
      </c>
      <c r="C3251" t="s">
        <v>449</v>
      </c>
      <c r="D3251" t="s">
        <v>2267</v>
      </c>
      <c r="E3251">
        <v>80851503</v>
      </c>
      <c r="F3251" t="s">
        <v>2268</v>
      </c>
      <c r="G3251" s="3">
        <v>47152</v>
      </c>
      <c r="H3251">
        <v>36</v>
      </c>
      <c r="I3251">
        <v>89</v>
      </c>
      <c r="J3251">
        <v>62</v>
      </c>
      <c r="K3251" s="4">
        <v>51703.040000000001</v>
      </c>
      <c r="L3251" s="4">
        <v>410.28571428571428</v>
      </c>
      <c r="M3251" s="4">
        <v>0.1511142061281337</v>
      </c>
      <c r="N3251" t="s">
        <v>25</v>
      </c>
      <c r="O3251" t="str">
        <f t="shared" si="500"/>
        <v>Low</v>
      </c>
      <c r="P3251" t="str">
        <f t="shared" si="501"/>
        <v>Low</v>
      </c>
      <c r="Q3251" t="str">
        <f t="shared" si="502"/>
        <v>Low</v>
      </c>
      <c r="R3251" t="s">
        <v>3317</v>
      </c>
      <c r="S3251" s="4">
        <f t="shared" ca="1" si="503"/>
        <v>955</v>
      </c>
      <c r="T3251">
        <f t="shared" si="504"/>
        <v>1</v>
      </c>
      <c r="U3251">
        <f t="shared" si="505"/>
        <v>1</v>
      </c>
      <c r="V3251">
        <f t="shared" si="506"/>
        <v>1</v>
      </c>
      <c r="W3251">
        <f t="shared" si="507"/>
        <v>1</v>
      </c>
      <c r="X3251">
        <f t="shared" si="508"/>
        <v>0.99999999999999989</v>
      </c>
      <c r="Y3251" t="str">
        <f t="shared" si="509"/>
        <v>Healthy</v>
      </c>
    </row>
    <row r="3252" spans="1:25" x14ac:dyDescent="0.35">
      <c r="A3252" t="s">
        <v>71</v>
      </c>
      <c r="B3252" t="s">
        <v>72</v>
      </c>
      <c r="C3252" t="s">
        <v>150</v>
      </c>
      <c r="D3252" t="s">
        <v>1306</v>
      </c>
      <c r="E3252">
        <v>80766225</v>
      </c>
      <c r="F3252" t="s">
        <v>2269</v>
      </c>
      <c r="G3252" s="3">
        <v>47020</v>
      </c>
      <c r="H3252">
        <v>36</v>
      </c>
      <c r="I3252">
        <v>77</v>
      </c>
      <c r="J3252">
        <v>267</v>
      </c>
      <c r="K3252" s="4">
        <v>7476</v>
      </c>
      <c r="L3252" s="4">
        <v>17.714285714285715</v>
      </c>
      <c r="M3252" s="4">
        <v>15.07258064516129</v>
      </c>
      <c r="N3252" t="s">
        <v>19</v>
      </c>
      <c r="O3252" t="str">
        <f t="shared" si="500"/>
        <v>Low</v>
      </c>
      <c r="P3252" t="str">
        <f t="shared" si="501"/>
        <v>High</v>
      </c>
      <c r="Q3252" t="str">
        <f t="shared" si="502"/>
        <v>Low</v>
      </c>
      <c r="R3252" t="s">
        <v>3317</v>
      </c>
      <c r="S3252" s="4">
        <f t="shared" ca="1" si="503"/>
        <v>823</v>
      </c>
      <c r="T3252">
        <f t="shared" si="504"/>
        <v>1</v>
      </c>
      <c r="U3252">
        <f t="shared" si="505"/>
        <v>3</v>
      </c>
      <c r="V3252">
        <f t="shared" si="506"/>
        <v>1</v>
      </c>
      <c r="W3252">
        <f t="shared" si="507"/>
        <v>1</v>
      </c>
      <c r="X3252">
        <f t="shared" si="508"/>
        <v>1.5999999999999999</v>
      </c>
      <c r="Y3252" t="str">
        <f t="shared" si="509"/>
        <v>Healthy</v>
      </c>
    </row>
    <row r="3253" spans="1:25" x14ac:dyDescent="0.35">
      <c r="A3253" t="s">
        <v>29</v>
      </c>
      <c r="B3253" t="s">
        <v>30</v>
      </c>
      <c r="C3253" t="s">
        <v>449</v>
      </c>
      <c r="D3253" t="s">
        <v>2267</v>
      </c>
      <c r="E3253">
        <v>80851503</v>
      </c>
      <c r="F3253" t="s">
        <v>2268</v>
      </c>
      <c r="G3253" s="3">
        <v>47157</v>
      </c>
      <c r="H3253">
        <v>36</v>
      </c>
      <c r="I3253">
        <v>89</v>
      </c>
      <c r="J3253">
        <v>120</v>
      </c>
      <c r="K3253" s="4">
        <v>100070.39999999999</v>
      </c>
      <c r="L3253" s="4">
        <v>410.28571428571428</v>
      </c>
      <c r="M3253" s="4">
        <v>0.29247910863509752</v>
      </c>
      <c r="N3253" t="s">
        <v>25</v>
      </c>
      <c r="O3253" t="str">
        <f t="shared" si="500"/>
        <v>Low</v>
      </c>
      <c r="P3253" t="str">
        <f t="shared" si="501"/>
        <v>Low</v>
      </c>
      <c r="Q3253" t="str">
        <f t="shared" si="502"/>
        <v>Low</v>
      </c>
      <c r="R3253" t="s">
        <v>3310</v>
      </c>
      <c r="S3253" s="4">
        <f t="shared" ca="1" si="503"/>
        <v>960</v>
      </c>
      <c r="T3253">
        <f t="shared" si="504"/>
        <v>1</v>
      </c>
      <c r="U3253">
        <f t="shared" si="505"/>
        <v>1</v>
      </c>
      <c r="V3253">
        <f t="shared" si="506"/>
        <v>1</v>
      </c>
      <c r="W3253">
        <f t="shared" si="507"/>
        <v>2</v>
      </c>
      <c r="X3253">
        <f t="shared" si="508"/>
        <v>1.0999999999999999</v>
      </c>
      <c r="Y3253" t="str">
        <f t="shared" si="509"/>
        <v>Healthy</v>
      </c>
    </row>
    <row r="3254" spans="1:25" x14ac:dyDescent="0.35">
      <c r="A3254" t="s">
        <v>41</v>
      </c>
      <c r="B3254" t="s">
        <v>54</v>
      </c>
      <c r="C3254" t="s">
        <v>459</v>
      </c>
      <c r="D3254" t="s">
        <v>968</v>
      </c>
      <c r="E3254">
        <v>80878138</v>
      </c>
      <c r="F3254" t="s">
        <v>2270</v>
      </c>
      <c r="G3254" s="3">
        <v>47004</v>
      </c>
      <c r="H3254">
        <v>36</v>
      </c>
      <c r="I3254">
        <v>75</v>
      </c>
      <c r="J3254">
        <v>89</v>
      </c>
      <c r="K3254" s="4">
        <v>37203.78</v>
      </c>
      <c r="L3254" s="4">
        <v>203.57142857142858</v>
      </c>
      <c r="M3254" s="4">
        <v>0.4371929824561403</v>
      </c>
      <c r="N3254" t="s">
        <v>25</v>
      </c>
      <c r="O3254" t="str">
        <f t="shared" si="500"/>
        <v>Low</v>
      </c>
      <c r="P3254" t="str">
        <f t="shared" si="501"/>
        <v>Low</v>
      </c>
      <c r="Q3254" t="str">
        <f t="shared" si="502"/>
        <v>Low</v>
      </c>
      <c r="R3254" t="s">
        <v>3317</v>
      </c>
      <c r="S3254" s="4">
        <f t="shared" ca="1" si="503"/>
        <v>807</v>
      </c>
      <c r="T3254">
        <f t="shared" si="504"/>
        <v>1</v>
      </c>
      <c r="U3254">
        <f t="shared" si="505"/>
        <v>1</v>
      </c>
      <c r="V3254">
        <f t="shared" si="506"/>
        <v>1</v>
      </c>
      <c r="W3254">
        <f t="shared" si="507"/>
        <v>1</v>
      </c>
      <c r="X3254">
        <f t="shared" si="508"/>
        <v>0.99999999999999989</v>
      </c>
      <c r="Y3254" t="str">
        <f t="shared" si="509"/>
        <v>Healthy</v>
      </c>
    </row>
    <row r="3255" spans="1:25" x14ac:dyDescent="0.35">
      <c r="A3255" t="s">
        <v>179</v>
      </c>
      <c r="B3255" t="s">
        <v>180</v>
      </c>
      <c r="C3255" t="s">
        <v>181</v>
      </c>
      <c r="D3255" t="s">
        <v>2271</v>
      </c>
      <c r="E3255">
        <v>80857516</v>
      </c>
      <c r="F3255" t="s">
        <v>2272</v>
      </c>
      <c r="G3255" s="3">
        <v>46361</v>
      </c>
      <c r="H3255">
        <v>16</v>
      </c>
      <c r="I3255">
        <v>35</v>
      </c>
      <c r="J3255">
        <v>625</v>
      </c>
      <c r="K3255" s="4">
        <v>58331.25</v>
      </c>
      <c r="L3255" s="4">
        <v>1016.2857142857143</v>
      </c>
      <c r="M3255" s="4">
        <v>0.61498453753162774</v>
      </c>
      <c r="N3255" t="s">
        <v>25</v>
      </c>
      <c r="O3255" t="str">
        <f t="shared" si="500"/>
        <v>Medium</v>
      </c>
      <c r="P3255" t="str">
        <f t="shared" si="501"/>
        <v>Low</v>
      </c>
      <c r="Q3255" t="str">
        <f t="shared" si="502"/>
        <v>Low</v>
      </c>
      <c r="R3255" t="s">
        <v>3317</v>
      </c>
      <c r="S3255" s="4">
        <f t="shared" ca="1" si="503"/>
        <v>164</v>
      </c>
      <c r="T3255">
        <f t="shared" si="504"/>
        <v>2</v>
      </c>
      <c r="U3255">
        <f t="shared" si="505"/>
        <v>1</v>
      </c>
      <c r="V3255">
        <f t="shared" si="506"/>
        <v>1</v>
      </c>
      <c r="W3255">
        <f t="shared" si="507"/>
        <v>1</v>
      </c>
      <c r="X3255">
        <f t="shared" si="508"/>
        <v>1.4000000000000001</v>
      </c>
      <c r="Y3255" t="str">
        <f t="shared" si="509"/>
        <v>Healthy</v>
      </c>
    </row>
    <row r="3256" spans="1:25" x14ac:dyDescent="0.35">
      <c r="A3256" t="s">
        <v>20</v>
      </c>
      <c r="B3256" t="s">
        <v>21</v>
      </c>
      <c r="C3256" t="s">
        <v>126</v>
      </c>
      <c r="D3256" t="s">
        <v>2273</v>
      </c>
      <c r="E3256">
        <v>80779627</v>
      </c>
      <c r="F3256" t="s">
        <v>2274</v>
      </c>
      <c r="G3256" s="3">
        <v>46072</v>
      </c>
      <c r="H3256">
        <v>36</v>
      </c>
      <c r="I3256">
        <v>0</v>
      </c>
      <c r="J3256">
        <v>5</v>
      </c>
      <c r="K3256" s="4">
        <v>3674.35</v>
      </c>
      <c r="L3256" s="4">
        <v>3.4285714285714284</v>
      </c>
      <c r="M3256" s="4">
        <v>1.4583333333333335</v>
      </c>
      <c r="N3256" t="s">
        <v>25</v>
      </c>
      <c r="O3256" t="str">
        <f t="shared" si="500"/>
        <v>High</v>
      </c>
      <c r="P3256" t="str">
        <f t="shared" si="501"/>
        <v>Low</v>
      </c>
      <c r="Q3256" t="str">
        <f t="shared" si="502"/>
        <v>High</v>
      </c>
      <c r="R3256" t="s">
        <v>3317</v>
      </c>
      <c r="S3256" s="4">
        <f t="shared" ca="1" si="503"/>
        <v>-125</v>
      </c>
      <c r="T3256">
        <f t="shared" si="504"/>
        <v>3</v>
      </c>
      <c r="U3256">
        <f t="shared" si="505"/>
        <v>1</v>
      </c>
      <c r="V3256">
        <f t="shared" si="506"/>
        <v>3</v>
      </c>
      <c r="W3256">
        <f t="shared" si="507"/>
        <v>1</v>
      </c>
      <c r="X3256">
        <f t="shared" si="508"/>
        <v>2.2000000000000006</v>
      </c>
      <c r="Y3256" t="str">
        <f t="shared" si="509"/>
        <v>High Priority</v>
      </c>
    </row>
    <row r="3257" spans="1:25" x14ac:dyDescent="0.35">
      <c r="A3257" t="s">
        <v>179</v>
      </c>
      <c r="B3257" t="s">
        <v>180</v>
      </c>
      <c r="C3257" t="s">
        <v>181</v>
      </c>
      <c r="D3257" t="s">
        <v>2271</v>
      </c>
      <c r="E3257">
        <v>80857516</v>
      </c>
      <c r="F3257" t="s">
        <v>2272</v>
      </c>
      <c r="G3257" s="3">
        <v>46362</v>
      </c>
      <c r="H3257">
        <v>16</v>
      </c>
      <c r="I3257">
        <v>35</v>
      </c>
      <c r="J3257">
        <v>4519</v>
      </c>
      <c r="K3257" s="4">
        <v>421758.27</v>
      </c>
      <c r="L3257" s="4">
        <v>1016.2857142857143</v>
      </c>
      <c r="M3257" s="4">
        <v>4.4465842001686813</v>
      </c>
      <c r="N3257" t="s">
        <v>25</v>
      </c>
      <c r="O3257" t="str">
        <f t="shared" si="500"/>
        <v>Medium</v>
      </c>
      <c r="P3257" t="str">
        <f t="shared" si="501"/>
        <v>Medium</v>
      </c>
      <c r="Q3257" t="str">
        <f t="shared" si="502"/>
        <v>Low</v>
      </c>
      <c r="R3257" t="s">
        <v>3309</v>
      </c>
      <c r="S3257" s="4">
        <f t="shared" ca="1" si="503"/>
        <v>165</v>
      </c>
      <c r="T3257">
        <f t="shared" si="504"/>
        <v>2</v>
      </c>
      <c r="U3257">
        <f t="shared" si="505"/>
        <v>2</v>
      </c>
      <c r="V3257">
        <f t="shared" si="506"/>
        <v>1</v>
      </c>
      <c r="W3257">
        <f t="shared" si="507"/>
        <v>3</v>
      </c>
      <c r="X3257">
        <f t="shared" si="508"/>
        <v>1.9</v>
      </c>
      <c r="Y3257" t="str">
        <f t="shared" si="509"/>
        <v>Monitor</v>
      </c>
    </row>
    <row r="3258" spans="1:25" x14ac:dyDescent="0.35">
      <c r="A3258" t="s">
        <v>14</v>
      </c>
      <c r="B3258" t="s">
        <v>37</v>
      </c>
      <c r="C3258" t="s">
        <v>2275</v>
      </c>
      <c r="D3258" t="s">
        <v>2276</v>
      </c>
      <c r="E3258">
        <v>80864295</v>
      </c>
      <c r="F3258" t="s">
        <v>2277</v>
      </c>
      <c r="G3258" s="3">
        <v>47955</v>
      </c>
      <c r="H3258">
        <v>60</v>
      </c>
      <c r="I3258">
        <v>98</v>
      </c>
      <c r="J3258">
        <v>100</v>
      </c>
      <c r="K3258" s="4">
        <v>18113</v>
      </c>
      <c r="L3258" s="4">
        <v>5236.7142857142853</v>
      </c>
      <c r="M3258" s="4">
        <v>1.9095943476007314E-2</v>
      </c>
      <c r="N3258" t="s">
        <v>25</v>
      </c>
      <c r="O3258" t="str">
        <f t="shared" si="500"/>
        <v>Low</v>
      </c>
      <c r="P3258" t="str">
        <f t="shared" si="501"/>
        <v>Low</v>
      </c>
      <c r="Q3258" t="str">
        <f t="shared" si="502"/>
        <v>Low</v>
      </c>
      <c r="R3258" t="s">
        <v>3317</v>
      </c>
      <c r="S3258" s="4">
        <f t="shared" ca="1" si="503"/>
        <v>1758</v>
      </c>
      <c r="T3258">
        <f t="shared" si="504"/>
        <v>1</v>
      </c>
      <c r="U3258">
        <f t="shared" si="505"/>
        <v>1</v>
      </c>
      <c r="V3258">
        <f t="shared" si="506"/>
        <v>1</v>
      </c>
      <c r="W3258">
        <f t="shared" si="507"/>
        <v>1</v>
      </c>
      <c r="X3258">
        <f t="shared" si="508"/>
        <v>0.99999999999999989</v>
      </c>
      <c r="Y3258" t="str">
        <f t="shared" si="509"/>
        <v>Healthy</v>
      </c>
    </row>
    <row r="3259" spans="1:25" x14ac:dyDescent="0.35">
      <c r="A3259" t="s">
        <v>14</v>
      </c>
      <c r="B3259" t="s">
        <v>37</v>
      </c>
      <c r="C3259" t="s">
        <v>2275</v>
      </c>
      <c r="D3259" t="s">
        <v>2276</v>
      </c>
      <c r="E3259">
        <v>80864295</v>
      </c>
      <c r="F3259" t="s">
        <v>2277</v>
      </c>
      <c r="G3259" s="3">
        <v>47947</v>
      </c>
      <c r="H3259">
        <v>60</v>
      </c>
      <c r="I3259">
        <v>98</v>
      </c>
      <c r="J3259">
        <v>131</v>
      </c>
      <c r="K3259" s="4">
        <v>23728.03</v>
      </c>
      <c r="L3259" s="4">
        <v>5236.7142857142853</v>
      </c>
      <c r="M3259" s="4">
        <v>2.501568595356958E-2</v>
      </c>
      <c r="N3259" t="s">
        <v>25</v>
      </c>
      <c r="O3259" t="str">
        <f t="shared" si="500"/>
        <v>Low</v>
      </c>
      <c r="P3259" t="str">
        <f t="shared" si="501"/>
        <v>Low</v>
      </c>
      <c r="Q3259" t="str">
        <f t="shared" si="502"/>
        <v>Low</v>
      </c>
      <c r="R3259" t="s">
        <v>3317</v>
      </c>
      <c r="S3259" s="4">
        <f t="shared" ca="1" si="503"/>
        <v>1750</v>
      </c>
      <c r="T3259">
        <f t="shared" si="504"/>
        <v>1</v>
      </c>
      <c r="U3259">
        <f t="shared" si="505"/>
        <v>1</v>
      </c>
      <c r="V3259">
        <f t="shared" si="506"/>
        <v>1</v>
      </c>
      <c r="W3259">
        <f t="shared" si="507"/>
        <v>1</v>
      </c>
      <c r="X3259">
        <f t="shared" si="508"/>
        <v>0.99999999999999989</v>
      </c>
      <c r="Y3259" t="str">
        <f t="shared" si="509"/>
        <v>Healthy</v>
      </c>
    </row>
    <row r="3260" spans="1:25" x14ac:dyDescent="0.35">
      <c r="A3260" t="s">
        <v>14</v>
      </c>
      <c r="B3260" t="s">
        <v>37</v>
      </c>
      <c r="C3260" t="s">
        <v>2275</v>
      </c>
      <c r="D3260" t="s">
        <v>2276</v>
      </c>
      <c r="E3260">
        <v>80864295</v>
      </c>
      <c r="F3260" t="s">
        <v>2277</v>
      </c>
      <c r="G3260" s="3">
        <v>47897</v>
      </c>
      <c r="H3260">
        <v>60</v>
      </c>
      <c r="I3260">
        <v>95</v>
      </c>
      <c r="J3260">
        <v>18</v>
      </c>
      <c r="K3260" s="4">
        <v>3260.34</v>
      </c>
      <c r="L3260" s="4">
        <v>5236.7142857142853</v>
      </c>
      <c r="M3260" s="4">
        <v>3.437269825681316E-3</v>
      </c>
      <c r="N3260" t="s">
        <v>25</v>
      </c>
      <c r="O3260" t="str">
        <f t="shared" si="500"/>
        <v>Low</v>
      </c>
      <c r="P3260" t="str">
        <f t="shared" si="501"/>
        <v>Low</v>
      </c>
      <c r="Q3260" t="str">
        <f t="shared" si="502"/>
        <v>Low</v>
      </c>
      <c r="R3260" t="s">
        <v>3317</v>
      </c>
      <c r="S3260" s="4">
        <f t="shared" ca="1" si="503"/>
        <v>1700</v>
      </c>
      <c r="T3260">
        <f t="shared" si="504"/>
        <v>1</v>
      </c>
      <c r="U3260">
        <f t="shared" si="505"/>
        <v>1</v>
      </c>
      <c r="V3260">
        <f t="shared" si="506"/>
        <v>1</v>
      </c>
      <c r="W3260">
        <f t="shared" si="507"/>
        <v>1</v>
      </c>
      <c r="X3260">
        <f t="shared" si="508"/>
        <v>0.99999999999999989</v>
      </c>
      <c r="Y3260" t="str">
        <f t="shared" si="509"/>
        <v>Healthy</v>
      </c>
    </row>
    <row r="3261" spans="1:25" x14ac:dyDescent="0.35">
      <c r="A3261" t="s">
        <v>14</v>
      </c>
      <c r="B3261" t="s">
        <v>15</v>
      </c>
      <c r="C3261" t="s">
        <v>16</v>
      </c>
      <c r="D3261" t="s">
        <v>62</v>
      </c>
      <c r="E3261">
        <v>80753935</v>
      </c>
      <c r="F3261" t="s">
        <v>2278</v>
      </c>
      <c r="G3261" s="3">
        <v>47182</v>
      </c>
      <c r="H3261">
        <v>60</v>
      </c>
      <c r="I3261">
        <v>55</v>
      </c>
      <c r="J3261">
        <v>5</v>
      </c>
      <c r="K3261" s="4">
        <v>2464.1999999999998</v>
      </c>
      <c r="L3261" s="4">
        <f>0</f>
        <v>0</v>
      </c>
      <c r="M3261" s="4">
        <f>999</f>
        <v>999</v>
      </c>
      <c r="N3261" t="s">
        <v>19</v>
      </c>
      <c r="O3261" t="str">
        <f t="shared" si="500"/>
        <v>Low</v>
      </c>
      <c r="P3261" t="str">
        <f t="shared" si="501"/>
        <v>High</v>
      </c>
      <c r="Q3261" t="str">
        <f t="shared" si="502"/>
        <v>High</v>
      </c>
      <c r="R3261" t="s">
        <v>3317</v>
      </c>
      <c r="S3261" s="4">
        <f t="shared" ca="1" si="503"/>
        <v>985</v>
      </c>
      <c r="T3261">
        <f t="shared" si="504"/>
        <v>1</v>
      </c>
      <c r="U3261">
        <f t="shared" si="505"/>
        <v>3</v>
      </c>
      <c r="V3261">
        <f t="shared" si="506"/>
        <v>3</v>
      </c>
      <c r="W3261">
        <f t="shared" si="507"/>
        <v>1</v>
      </c>
      <c r="X3261">
        <f t="shared" si="508"/>
        <v>2</v>
      </c>
      <c r="Y3261" t="str">
        <f t="shared" si="509"/>
        <v>Monitor</v>
      </c>
    </row>
    <row r="3262" spans="1:25" x14ac:dyDescent="0.35">
      <c r="A3262" t="s">
        <v>14</v>
      </c>
      <c r="B3262" t="s">
        <v>37</v>
      </c>
      <c r="C3262" t="s">
        <v>2275</v>
      </c>
      <c r="D3262" t="s">
        <v>2276</v>
      </c>
      <c r="E3262">
        <v>80864295</v>
      </c>
      <c r="F3262" t="s">
        <v>2277</v>
      </c>
      <c r="G3262" s="3">
        <v>47975</v>
      </c>
      <c r="H3262">
        <v>60</v>
      </c>
      <c r="I3262">
        <v>99</v>
      </c>
      <c r="J3262">
        <v>25</v>
      </c>
      <c r="K3262" s="4">
        <v>4528.25</v>
      </c>
      <c r="L3262" s="4">
        <v>5236.7142857142853</v>
      </c>
      <c r="M3262" s="4">
        <v>4.7739858690018285E-3</v>
      </c>
      <c r="N3262" t="s">
        <v>25</v>
      </c>
      <c r="O3262" t="str">
        <f t="shared" si="500"/>
        <v>Low</v>
      </c>
      <c r="P3262" t="str">
        <f t="shared" si="501"/>
        <v>Low</v>
      </c>
      <c r="Q3262" t="str">
        <f t="shared" si="502"/>
        <v>Low</v>
      </c>
      <c r="R3262" t="s">
        <v>3317</v>
      </c>
      <c r="S3262" s="4">
        <f t="shared" ca="1" si="503"/>
        <v>1778</v>
      </c>
      <c r="T3262">
        <f t="shared" si="504"/>
        <v>1</v>
      </c>
      <c r="U3262">
        <f t="shared" si="505"/>
        <v>1</v>
      </c>
      <c r="V3262">
        <f t="shared" si="506"/>
        <v>1</v>
      </c>
      <c r="W3262">
        <f t="shared" si="507"/>
        <v>1</v>
      </c>
      <c r="X3262">
        <f t="shared" si="508"/>
        <v>0.99999999999999989</v>
      </c>
      <c r="Y3262" t="str">
        <f t="shared" si="509"/>
        <v>Healthy</v>
      </c>
    </row>
    <row r="3263" spans="1:25" x14ac:dyDescent="0.35">
      <c r="A3263" t="s">
        <v>14</v>
      </c>
      <c r="B3263" t="s">
        <v>37</v>
      </c>
      <c r="C3263" t="s">
        <v>2275</v>
      </c>
      <c r="D3263" t="s">
        <v>2276</v>
      </c>
      <c r="E3263">
        <v>80864295</v>
      </c>
      <c r="F3263" t="s">
        <v>2277</v>
      </c>
      <c r="G3263" s="3">
        <v>47948</v>
      </c>
      <c r="H3263">
        <v>60</v>
      </c>
      <c r="I3263">
        <v>98</v>
      </c>
      <c r="J3263">
        <v>192</v>
      </c>
      <c r="K3263" s="4">
        <v>34776.959999999999</v>
      </c>
      <c r="L3263" s="4">
        <v>5236.7142857142853</v>
      </c>
      <c r="M3263" s="4">
        <v>3.666421147393404E-2</v>
      </c>
      <c r="N3263" t="s">
        <v>25</v>
      </c>
      <c r="O3263" t="str">
        <f t="shared" si="500"/>
        <v>Low</v>
      </c>
      <c r="P3263" t="str">
        <f t="shared" si="501"/>
        <v>Low</v>
      </c>
      <c r="Q3263" t="str">
        <f t="shared" si="502"/>
        <v>Low</v>
      </c>
      <c r="R3263" t="s">
        <v>3317</v>
      </c>
      <c r="S3263" s="4">
        <f t="shared" ca="1" si="503"/>
        <v>1751</v>
      </c>
      <c r="T3263">
        <f t="shared" si="504"/>
        <v>1</v>
      </c>
      <c r="U3263">
        <f t="shared" si="505"/>
        <v>1</v>
      </c>
      <c r="V3263">
        <f t="shared" si="506"/>
        <v>1</v>
      </c>
      <c r="W3263">
        <f t="shared" si="507"/>
        <v>1</v>
      </c>
      <c r="X3263">
        <f t="shared" si="508"/>
        <v>0.99999999999999989</v>
      </c>
      <c r="Y3263" t="str">
        <f t="shared" si="509"/>
        <v>Healthy</v>
      </c>
    </row>
    <row r="3264" spans="1:25" x14ac:dyDescent="0.35">
      <c r="A3264" t="s">
        <v>14</v>
      </c>
      <c r="B3264" t="s">
        <v>15</v>
      </c>
      <c r="C3264" t="s">
        <v>16</v>
      </c>
      <c r="D3264" t="s">
        <v>62</v>
      </c>
      <c r="E3264">
        <v>80753935</v>
      </c>
      <c r="F3264" t="s">
        <v>2278</v>
      </c>
      <c r="G3264" s="3">
        <v>47412</v>
      </c>
      <c r="H3264">
        <v>60</v>
      </c>
      <c r="I3264">
        <v>68</v>
      </c>
      <c r="J3264">
        <v>8</v>
      </c>
      <c r="K3264" s="4">
        <v>3942.72</v>
      </c>
      <c r="L3264" s="4">
        <f>0</f>
        <v>0</v>
      </c>
      <c r="M3264" s="4">
        <f>999</f>
        <v>999</v>
      </c>
      <c r="N3264" t="s">
        <v>19</v>
      </c>
      <c r="O3264" t="str">
        <f t="shared" si="500"/>
        <v>Low</v>
      </c>
      <c r="P3264" t="str">
        <f t="shared" si="501"/>
        <v>High</v>
      </c>
      <c r="Q3264" t="str">
        <f t="shared" si="502"/>
        <v>High</v>
      </c>
      <c r="R3264" t="s">
        <v>3317</v>
      </c>
      <c r="S3264" s="4">
        <f t="shared" ca="1" si="503"/>
        <v>1215</v>
      </c>
      <c r="T3264">
        <f t="shared" si="504"/>
        <v>1</v>
      </c>
      <c r="U3264">
        <f t="shared" si="505"/>
        <v>3</v>
      </c>
      <c r="V3264">
        <f t="shared" si="506"/>
        <v>3</v>
      </c>
      <c r="W3264">
        <f t="shared" si="507"/>
        <v>1</v>
      </c>
      <c r="X3264">
        <f t="shared" si="508"/>
        <v>2</v>
      </c>
      <c r="Y3264" t="str">
        <f t="shared" si="509"/>
        <v>Monitor</v>
      </c>
    </row>
    <row r="3265" spans="1:25" x14ac:dyDescent="0.35">
      <c r="A3265" t="s">
        <v>14</v>
      </c>
      <c r="B3265" t="s">
        <v>37</v>
      </c>
      <c r="C3265" t="s">
        <v>2275</v>
      </c>
      <c r="D3265" t="s">
        <v>2276</v>
      </c>
      <c r="E3265">
        <v>80864295</v>
      </c>
      <c r="F3265" t="s">
        <v>2277</v>
      </c>
      <c r="G3265" s="3">
        <v>47990</v>
      </c>
      <c r="H3265">
        <v>60</v>
      </c>
      <c r="I3265">
        <v>100</v>
      </c>
      <c r="J3265">
        <v>21</v>
      </c>
      <c r="K3265" s="4">
        <v>3803.73</v>
      </c>
      <c r="L3265" s="4">
        <v>5236.7142857142853</v>
      </c>
      <c r="M3265" s="4">
        <v>4.0101481299615353E-3</v>
      </c>
      <c r="N3265" t="s">
        <v>25</v>
      </c>
      <c r="O3265" t="str">
        <f t="shared" si="500"/>
        <v>Low</v>
      </c>
      <c r="P3265" t="str">
        <f t="shared" si="501"/>
        <v>Low</v>
      </c>
      <c r="Q3265" t="str">
        <f t="shared" si="502"/>
        <v>Low</v>
      </c>
      <c r="R3265" t="s">
        <v>3317</v>
      </c>
      <c r="S3265" s="4">
        <f t="shared" ca="1" si="503"/>
        <v>1793</v>
      </c>
      <c r="T3265">
        <f t="shared" si="504"/>
        <v>1</v>
      </c>
      <c r="U3265">
        <f t="shared" si="505"/>
        <v>1</v>
      </c>
      <c r="V3265">
        <f t="shared" si="506"/>
        <v>1</v>
      </c>
      <c r="W3265">
        <f t="shared" si="507"/>
        <v>1</v>
      </c>
      <c r="X3265">
        <f t="shared" si="508"/>
        <v>0.99999999999999989</v>
      </c>
      <c r="Y3265" t="str">
        <f t="shared" si="509"/>
        <v>Healthy</v>
      </c>
    </row>
    <row r="3266" spans="1:25" x14ac:dyDescent="0.35">
      <c r="A3266" t="s">
        <v>14</v>
      </c>
      <c r="B3266" t="s">
        <v>15</v>
      </c>
      <c r="C3266" t="s">
        <v>16</v>
      </c>
      <c r="D3266" t="s">
        <v>62</v>
      </c>
      <c r="E3266">
        <v>80753935</v>
      </c>
      <c r="F3266" t="s">
        <v>2278</v>
      </c>
      <c r="G3266" s="3">
        <v>47454</v>
      </c>
      <c r="H3266">
        <v>60</v>
      </c>
      <c r="I3266">
        <v>70</v>
      </c>
      <c r="J3266">
        <v>5</v>
      </c>
      <c r="K3266" s="4">
        <v>2464.1999999999998</v>
      </c>
      <c r="L3266" s="4">
        <f>0</f>
        <v>0</v>
      </c>
      <c r="M3266" s="4">
        <f>999</f>
        <v>999</v>
      </c>
      <c r="N3266" t="s">
        <v>19</v>
      </c>
      <c r="O3266" t="str">
        <f t="shared" si="500"/>
        <v>Low</v>
      </c>
      <c r="P3266" t="str">
        <f t="shared" si="501"/>
        <v>High</v>
      </c>
      <c r="Q3266" t="str">
        <f t="shared" si="502"/>
        <v>High</v>
      </c>
      <c r="R3266" t="s">
        <v>3317</v>
      </c>
      <c r="S3266" s="4">
        <f t="shared" ca="1" si="503"/>
        <v>1257</v>
      </c>
      <c r="T3266">
        <f t="shared" si="504"/>
        <v>1</v>
      </c>
      <c r="U3266">
        <f t="shared" si="505"/>
        <v>3</v>
      </c>
      <c r="V3266">
        <f t="shared" si="506"/>
        <v>3</v>
      </c>
      <c r="W3266">
        <f t="shared" si="507"/>
        <v>1</v>
      </c>
      <c r="X3266">
        <f t="shared" si="508"/>
        <v>2</v>
      </c>
      <c r="Y3266" t="str">
        <f t="shared" si="509"/>
        <v>Monitor</v>
      </c>
    </row>
    <row r="3267" spans="1:25" x14ac:dyDescent="0.35">
      <c r="A3267" t="s">
        <v>14</v>
      </c>
      <c r="B3267" t="s">
        <v>37</v>
      </c>
      <c r="C3267" t="s">
        <v>2275</v>
      </c>
      <c r="D3267" t="s">
        <v>2276</v>
      </c>
      <c r="E3267">
        <v>80864295</v>
      </c>
      <c r="F3267" t="s">
        <v>2277</v>
      </c>
      <c r="G3267" s="3">
        <v>48002</v>
      </c>
      <c r="H3267">
        <v>60</v>
      </c>
      <c r="I3267">
        <v>100</v>
      </c>
      <c r="J3267">
        <v>1668</v>
      </c>
      <c r="K3267" s="4">
        <v>302124.84000000003</v>
      </c>
      <c r="L3267" s="4">
        <v>5236.7142857142853</v>
      </c>
      <c r="M3267" s="4">
        <v>0.31852033717980199</v>
      </c>
      <c r="N3267" t="s">
        <v>25</v>
      </c>
      <c r="O3267" t="str">
        <f t="shared" ref="O3267:O3330" si="510">IF(I3267&lt;20,"High",IF(I3267&lt;40,"Medium","Low"))</f>
        <v>Low</v>
      </c>
      <c r="P3267" t="str">
        <f t="shared" ref="P3267:P3330" si="511">IF(M3267&gt;8,"High",IF(M3267&gt;4,"Medium","Low"))</f>
        <v>Low</v>
      </c>
      <c r="Q3267" t="str">
        <f t="shared" ref="Q3267:Q3330" si="512">IF(L3267&lt;5,"High",IF(L3267&lt;15,"Medium","Low"))</f>
        <v>Low</v>
      </c>
      <c r="R3267" t="s">
        <v>3309</v>
      </c>
      <c r="S3267" s="4">
        <f t="shared" ref="S3267:S3330" ca="1" si="513">G3267-TODAY()</f>
        <v>1805</v>
      </c>
      <c r="T3267">
        <f t="shared" ref="T3267:T3330" si="514">IF(O3267="High",3,IF(O3267="Medium",2,1))</f>
        <v>1</v>
      </c>
      <c r="U3267">
        <f t="shared" ref="U3267:U3330" si="515">IF(P3267="High",3,IF(P3267="Medium",2,1))</f>
        <v>1</v>
      </c>
      <c r="V3267">
        <f t="shared" ref="V3267:V3330" si="516">IF(Q3267="High",3,IF(Q3267="Medium",2,1))</f>
        <v>1</v>
      </c>
      <c r="W3267">
        <f t="shared" ref="W3267:W3330" si="517">IF(R3267="High",3,IF(R3267="Medium",2,1))</f>
        <v>3</v>
      </c>
      <c r="X3267">
        <f t="shared" ref="X3267:X3330" si="518">(0.4*T3267)+(0.3*U3267)+(0.2*V3267)+(0.1*W3267)</f>
        <v>1.2</v>
      </c>
      <c r="Y3267" t="str">
        <f t="shared" ref="Y3267:Y3330" si="519">IF(X3267&gt;=2.7,"Move Immediately",IF(X3267&gt;=2.2,"High Priority",IF(X3267&gt;=1.7,"Monitor","Healthy")))</f>
        <v>Healthy</v>
      </c>
    </row>
    <row r="3268" spans="1:25" x14ac:dyDescent="0.35">
      <c r="A3268" t="s">
        <v>179</v>
      </c>
      <c r="B3268" t="s">
        <v>223</v>
      </c>
      <c r="C3268" t="s">
        <v>357</v>
      </c>
      <c r="D3268" t="s">
        <v>1760</v>
      </c>
      <c r="E3268">
        <v>80882442</v>
      </c>
      <c r="F3268" t="s">
        <v>2279</v>
      </c>
      <c r="G3268" s="3">
        <v>46532</v>
      </c>
      <c r="H3268">
        <v>18</v>
      </c>
      <c r="I3268">
        <v>63</v>
      </c>
      <c r="J3268">
        <v>4</v>
      </c>
      <c r="K3268" s="4">
        <v>2840.8</v>
      </c>
      <c r="L3268" s="4">
        <v>142.28571428571428</v>
      </c>
      <c r="M3268" s="4">
        <v>2.811244979919679E-2</v>
      </c>
      <c r="N3268" t="s">
        <v>25</v>
      </c>
      <c r="O3268" t="str">
        <f t="shared" si="510"/>
        <v>Low</v>
      </c>
      <c r="P3268" t="str">
        <f t="shared" si="511"/>
        <v>Low</v>
      </c>
      <c r="Q3268" t="str">
        <f t="shared" si="512"/>
        <v>Low</v>
      </c>
      <c r="R3268" t="s">
        <v>3317</v>
      </c>
      <c r="S3268" s="4">
        <f t="shared" ca="1" si="513"/>
        <v>335</v>
      </c>
      <c r="T3268">
        <f t="shared" si="514"/>
        <v>1</v>
      </c>
      <c r="U3268">
        <f t="shared" si="515"/>
        <v>1</v>
      </c>
      <c r="V3268">
        <f t="shared" si="516"/>
        <v>1</v>
      </c>
      <c r="W3268">
        <f t="shared" si="517"/>
        <v>1</v>
      </c>
      <c r="X3268">
        <f t="shared" si="518"/>
        <v>0.99999999999999989</v>
      </c>
      <c r="Y3268" t="str">
        <f t="shared" si="519"/>
        <v>Healthy</v>
      </c>
    </row>
    <row r="3269" spans="1:25" x14ac:dyDescent="0.35">
      <c r="A3269" t="s">
        <v>90</v>
      </c>
      <c r="B3269" t="s">
        <v>91</v>
      </c>
      <c r="C3269" t="s">
        <v>92</v>
      </c>
      <c r="D3269" t="s">
        <v>2280</v>
      </c>
      <c r="E3269">
        <v>80870002</v>
      </c>
      <c r="F3269" t="s">
        <v>2281</v>
      </c>
      <c r="G3269" s="3">
        <v>47919</v>
      </c>
      <c r="H3269">
        <v>24</v>
      </c>
      <c r="I3269">
        <v>100</v>
      </c>
      <c r="J3269">
        <v>1056</v>
      </c>
      <c r="K3269" s="4">
        <v>1025386.56</v>
      </c>
      <c r="L3269" s="4">
        <v>67.285714285714292</v>
      </c>
      <c r="M3269" s="4">
        <v>15.694267515923565</v>
      </c>
      <c r="N3269" t="s">
        <v>19</v>
      </c>
      <c r="O3269" t="str">
        <f t="shared" si="510"/>
        <v>Low</v>
      </c>
      <c r="P3269" t="str">
        <f t="shared" si="511"/>
        <v>High</v>
      </c>
      <c r="Q3269" t="str">
        <f t="shared" si="512"/>
        <v>Low</v>
      </c>
      <c r="R3269" t="s">
        <v>3309</v>
      </c>
      <c r="S3269" s="4">
        <f t="shared" ca="1" si="513"/>
        <v>1722</v>
      </c>
      <c r="T3269">
        <f t="shared" si="514"/>
        <v>1</v>
      </c>
      <c r="U3269">
        <f t="shared" si="515"/>
        <v>3</v>
      </c>
      <c r="V3269">
        <f t="shared" si="516"/>
        <v>1</v>
      </c>
      <c r="W3269">
        <f t="shared" si="517"/>
        <v>3</v>
      </c>
      <c r="X3269">
        <f t="shared" si="518"/>
        <v>1.7999999999999998</v>
      </c>
      <c r="Y3269" t="str">
        <f t="shared" si="519"/>
        <v>Monitor</v>
      </c>
    </row>
    <row r="3270" spans="1:25" x14ac:dyDescent="0.35">
      <c r="A3270" t="s">
        <v>71</v>
      </c>
      <c r="B3270" t="s">
        <v>72</v>
      </c>
      <c r="C3270" t="s">
        <v>572</v>
      </c>
      <c r="D3270" t="s">
        <v>2282</v>
      </c>
      <c r="E3270">
        <v>80871358</v>
      </c>
      <c r="F3270" t="s">
        <v>2283</v>
      </c>
      <c r="G3270" s="3">
        <v>46962</v>
      </c>
      <c r="H3270">
        <v>36</v>
      </c>
      <c r="I3270">
        <v>71</v>
      </c>
      <c r="J3270">
        <v>36</v>
      </c>
      <c r="K3270" s="4">
        <v>3225.6</v>
      </c>
      <c r="L3270" s="4">
        <v>1163.4285714285713</v>
      </c>
      <c r="M3270" s="4">
        <v>3.0943025540275053E-2</v>
      </c>
      <c r="N3270" t="s">
        <v>25</v>
      </c>
      <c r="O3270" t="str">
        <f t="shared" si="510"/>
        <v>Low</v>
      </c>
      <c r="P3270" t="str">
        <f t="shared" si="511"/>
        <v>Low</v>
      </c>
      <c r="Q3270" t="str">
        <f t="shared" si="512"/>
        <v>Low</v>
      </c>
      <c r="R3270" t="s">
        <v>3317</v>
      </c>
      <c r="S3270" s="4">
        <f t="shared" ca="1" si="513"/>
        <v>765</v>
      </c>
      <c r="T3270">
        <f t="shared" si="514"/>
        <v>1</v>
      </c>
      <c r="U3270">
        <f t="shared" si="515"/>
        <v>1</v>
      </c>
      <c r="V3270">
        <f t="shared" si="516"/>
        <v>1</v>
      </c>
      <c r="W3270">
        <f t="shared" si="517"/>
        <v>1</v>
      </c>
      <c r="X3270">
        <f t="shared" si="518"/>
        <v>0.99999999999999989</v>
      </c>
      <c r="Y3270" t="str">
        <f t="shared" si="519"/>
        <v>Healthy</v>
      </c>
    </row>
    <row r="3271" spans="1:25" x14ac:dyDescent="0.35">
      <c r="A3271" t="s">
        <v>179</v>
      </c>
      <c r="B3271" t="s">
        <v>223</v>
      </c>
      <c r="C3271" t="s">
        <v>357</v>
      </c>
      <c r="D3271" t="s">
        <v>1784</v>
      </c>
      <c r="E3271">
        <v>80868353</v>
      </c>
      <c r="F3271" t="s">
        <v>2284</v>
      </c>
      <c r="G3271" s="3">
        <v>46504</v>
      </c>
      <c r="H3271">
        <v>18</v>
      </c>
      <c r="I3271">
        <v>58</v>
      </c>
      <c r="J3271">
        <v>1</v>
      </c>
      <c r="K3271" s="4">
        <v>888.86</v>
      </c>
      <c r="L3271" s="4">
        <v>305.85714285714283</v>
      </c>
      <c r="M3271" s="4">
        <v>3.2695002335357314E-3</v>
      </c>
      <c r="N3271" t="s">
        <v>25</v>
      </c>
      <c r="O3271" t="str">
        <f t="shared" si="510"/>
        <v>Low</v>
      </c>
      <c r="P3271" t="str">
        <f t="shared" si="511"/>
        <v>Low</v>
      </c>
      <c r="Q3271" t="str">
        <f t="shared" si="512"/>
        <v>Low</v>
      </c>
      <c r="R3271" t="s">
        <v>3317</v>
      </c>
      <c r="S3271" s="4">
        <f t="shared" ca="1" si="513"/>
        <v>307</v>
      </c>
      <c r="T3271">
        <f t="shared" si="514"/>
        <v>1</v>
      </c>
      <c r="U3271">
        <f t="shared" si="515"/>
        <v>1</v>
      </c>
      <c r="V3271">
        <f t="shared" si="516"/>
        <v>1</v>
      </c>
      <c r="W3271">
        <f t="shared" si="517"/>
        <v>1</v>
      </c>
      <c r="X3271">
        <f t="shared" si="518"/>
        <v>0.99999999999999989</v>
      </c>
      <c r="Y3271" t="str">
        <f t="shared" si="519"/>
        <v>Healthy</v>
      </c>
    </row>
    <row r="3272" spans="1:25" x14ac:dyDescent="0.35">
      <c r="A3272" t="s">
        <v>71</v>
      </c>
      <c r="B3272" t="s">
        <v>72</v>
      </c>
      <c r="C3272" t="s">
        <v>174</v>
      </c>
      <c r="D3272" t="s">
        <v>328</v>
      </c>
      <c r="E3272">
        <v>80774641</v>
      </c>
      <c r="F3272" t="s">
        <v>2285</v>
      </c>
      <c r="G3272" s="3">
        <v>46574</v>
      </c>
      <c r="H3272">
        <v>36</v>
      </c>
      <c r="I3272">
        <v>35</v>
      </c>
      <c r="J3272">
        <v>1</v>
      </c>
      <c r="K3272" s="4">
        <v>1011.17</v>
      </c>
      <c r="L3272" s="4">
        <f>0</f>
        <v>0</v>
      </c>
      <c r="M3272" s="4">
        <f>999</f>
        <v>999</v>
      </c>
      <c r="N3272" t="s">
        <v>19</v>
      </c>
      <c r="O3272" t="str">
        <f t="shared" si="510"/>
        <v>Medium</v>
      </c>
      <c r="P3272" t="str">
        <f t="shared" si="511"/>
        <v>High</v>
      </c>
      <c r="Q3272" t="str">
        <f t="shared" si="512"/>
        <v>High</v>
      </c>
      <c r="R3272" t="s">
        <v>3317</v>
      </c>
      <c r="S3272" s="4">
        <f t="shared" ca="1" si="513"/>
        <v>377</v>
      </c>
      <c r="T3272">
        <f t="shared" si="514"/>
        <v>2</v>
      </c>
      <c r="U3272">
        <f t="shared" si="515"/>
        <v>3</v>
      </c>
      <c r="V3272">
        <f t="shared" si="516"/>
        <v>3</v>
      </c>
      <c r="W3272">
        <f t="shared" si="517"/>
        <v>1</v>
      </c>
      <c r="X3272">
        <f t="shared" si="518"/>
        <v>2.4</v>
      </c>
      <c r="Y3272" t="str">
        <f t="shared" si="519"/>
        <v>High Priority</v>
      </c>
    </row>
    <row r="3273" spans="1:25" x14ac:dyDescent="0.35">
      <c r="A3273" t="s">
        <v>179</v>
      </c>
      <c r="B3273" t="s">
        <v>223</v>
      </c>
      <c r="C3273" t="s">
        <v>357</v>
      </c>
      <c r="D3273" t="s">
        <v>1784</v>
      </c>
      <c r="E3273">
        <v>80868353</v>
      </c>
      <c r="F3273" t="s">
        <v>2284</v>
      </c>
      <c r="G3273" s="3">
        <v>46509</v>
      </c>
      <c r="H3273">
        <v>18</v>
      </c>
      <c r="I3273">
        <v>59</v>
      </c>
      <c r="J3273">
        <v>15</v>
      </c>
      <c r="K3273" s="4">
        <v>13332.9</v>
      </c>
      <c r="L3273" s="4">
        <v>305.85714285714283</v>
      </c>
      <c r="M3273" s="4">
        <v>4.9042503503035968E-2</v>
      </c>
      <c r="N3273" t="s">
        <v>25</v>
      </c>
      <c r="O3273" t="str">
        <f t="shared" si="510"/>
        <v>Low</v>
      </c>
      <c r="P3273" t="str">
        <f t="shared" si="511"/>
        <v>Low</v>
      </c>
      <c r="Q3273" t="str">
        <f t="shared" si="512"/>
        <v>Low</v>
      </c>
      <c r="R3273" t="s">
        <v>3317</v>
      </c>
      <c r="S3273" s="4">
        <f t="shared" ca="1" si="513"/>
        <v>312</v>
      </c>
      <c r="T3273">
        <f t="shared" si="514"/>
        <v>1</v>
      </c>
      <c r="U3273">
        <f t="shared" si="515"/>
        <v>1</v>
      </c>
      <c r="V3273">
        <f t="shared" si="516"/>
        <v>1</v>
      </c>
      <c r="W3273">
        <f t="shared" si="517"/>
        <v>1</v>
      </c>
      <c r="X3273">
        <f t="shared" si="518"/>
        <v>0.99999999999999989</v>
      </c>
      <c r="Y3273" t="str">
        <f t="shared" si="519"/>
        <v>Healthy</v>
      </c>
    </row>
    <row r="3274" spans="1:25" x14ac:dyDescent="0.35">
      <c r="A3274" t="s">
        <v>71</v>
      </c>
      <c r="B3274" t="s">
        <v>72</v>
      </c>
      <c r="C3274" t="s">
        <v>174</v>
      </c>
      <c r="D3274" t="s">
        <v>328</v>
      </c>
      <c r="E3274">
        <v>80774641</v>
      </c>
      <c r="F3274" t="s">
        <v>2285</v>
      </c>
      <c r="G3274" s="3">
        <v>46562</v>
      </c>
      <c r="H3274">
        <v>36</v>
      </c>
      <c r="I3274">
        <v>34</v>
      </c>
      <c r="J3274">
        <v>3</v>
      </c>
      <c r="K3274" s="4">
        <v>3033.51</v>
      </c>
      <c r="L3274" s="4">
        <f>0</f>
        <v>0</v>
      </c>
      <c r="M3274" s="4">
        <f>999</f>
        <v>999</v>
      </c>
      <c r="N3274" t="s">
        <v>19</v>
      </c>
      <c r="O3274" t="str">
        <f t="shared" si="510"/>
        <v>Medium</v>
      </c>
      <c r="P3274" t="str">
        <f t="shared" si="511"/>
        <v>High</v>
      </c>
      <c r="Q3274" t="str">
        <f t="shared" si="512"/>
        <v>High</v>
      </c>
      <c r="R3274" t="s">
        <v>3317</v>
      </c>
      <c r="S3274" s="4">
        <f t="shared" ca="1" si="513"/>
        <v>365</v>
      </c>
      <c r="T3274">
        <f t="shared" si="514"/>
        <v>2</v>
      </c>
      <c r="U3274">
        <f t="shared" si="515"/>
        <v>3</v>
      </c>
      <c r="V3274">
        <f t="shared" si="516"/>
        <v>3</v>
      </c>
      <c r="W3274">
        <f t="shared" si="517"/>
        <v>1</v>
      </c>
      <c r="X3274">
        <f t="shared" si="518"/>
        <v>2.4</v>
      </c>
      <c r="Y3274" t="str">
        <f t="shared" si="519"/>
        <v>High Priority</v>
      </c>
    </row>
    <row r="3275" spans="1:25" x14ac:dyDescent="0.35">
      <c r="A3275" t="s">
        <v>41</v>
      </c>
      <c r="B3275" t="s">
        <v>54</v>
      </c>
      <c r="C3275" t="s">
        <v>55</v>
      </c>
      <c r="D3275" t="s">
        <v>500</v>
      </c>
      <c r="E3275">
        <v>80872411</v>
      </c>
      <c r="F3275" t="s">
        <v>2286</v>
      </c>
      <c r="G3275" s="3">
        <v>46949</v>
      </c>
      <c r="H3275">
        <v>36</v>
      </c>
      <c r="I3275">
        <v>70</v>
      </c>
      <c r="J3275">
        <v>72</v>
      </c>
      <c r="K3275" s="4">
        <v>25133.759999999998</v>
      </c>
      <c r="L3275" s="4">
        <v>15.428571428571429</v>
      </c>
      <c r="M3275" s="4">
        <v>4.666666666666667</v>
      </c>
      <c r="N3275" t="s">
        <v>25</v>
      </c>
      <c r="O3275" t="str">
        <f t="shared" si="510"/>
        <v>Low</v>
      </c>
      <c r="P3275" t="str">
        <f t="shared" si="511"/>
        <v>Medium</v>
      </c>
      <c r="Q3275" t="str">
        <f t="shared" si="512"/>
        <v>Low</v>
      </c>
      <c r="R3275" t="s">
        <v>3317</v>
      </c>
      <c r="S3275" s="4">
        <f t="shared" ca="1" si="513"/>
        <v>752</v>
      </c>
      <c r="T3275">
        <f t="shared" si="514"/>
        <v>1</v>
      </c>
      <c r="U3275">
        <f t="shared" si="515"/>
        <v>2</v>
      </c>
      <c r="V3275">
        <f t="shared" si="516"/>
        <v>1</v>
      </c>
      <c r="W3275">
        <f t="shared" si="517"/>
        <v>1</v>
      </c>
      <c r="X3275">
        <f t="shared" si="518"/>
        <v>1.3</v>
      </c>
      <c r="Y3275" t="str">
        <f t="shared" si="519"/>
        <v>Healthy</v>
      </c>
    </row>
    <row r="3276" spans="1:25" x14ac:dyDescent="0.35">
      <c r="A3276" t="s">
        <v>41</v>
      </c>
      <c r="B3276" t="s">
        <v>54</v>
      </c>
      <c r="C3276" t="s">
        <v>55</v>
      </c>
      <c r="D3276" t="s">
        <v>500</v>
      </c>
      <c r="E3276">
        <v>80872411</v>
      </c>
      <c r="F3276" t="s">
        <v>2286</v>
      </c>
      <c r="G3276" s="3">
        <v>46941</v>
      </c>
      <c r="H3276">
        <v>36</v>
      </c>
      <c r="I3276">
        <v>69</v>
      </c>
      <c r="J3276">
        <v>32</v>
      </c>
      <c r="K3276" s="4">
        <v>11170.56</v>
      </c>
      <c r="L3276" s="4">
        <v>15.428571428571429</v>
      </c>
      <c r="M3276" s="4">
        <v>2.074074074074074</v>
      </c>
      <c r="N3276" t="s">
        <v>25</v>
      </c>
      <c r="O3276" t="str">
        <f t="shared" si="510"/>
        <v>Low</v>
      </c>
      <c r="P3276" t="str">
        <f t="shared" si="511"/>
        <v>Low</v>
      </c>
      <c r="Q3276" t="str">
        <f t="shared" si="512"/>
        <v>Low</v>
      </c>
      <c r="R3276" t="s">
        <v>3317</v>
      </c>
      <c r="S3276" s="4">
        <f t="shared" ca="1" si="513"/>
        <v>744</v>
      </c>
      <c r="T3276">
        <f t="shared" si="514"/>
        <v>1</v>
      </c>
      <c r="U3276">
        <f t="shared" si="515"/>
        <v>1</v>
      </c>
      <c r="V3276">
        <f t="shared" si="516"/>
        <v>1</v>
      </c>
      <c r="W3276">
        <f t="shared" si="517"/>
        <v>1</v>
      </c>
      <c r="X3276">
        <f t="shared" si="518"/>
        <v>0.99999999999999989</v>
      </c>
      <c r="Y3276" t="str">
        <f t="shared" si="519"/>
        <v>Healthy</v>
      </c>
    </row>
    <row r="3277" spans="1:25" x14ac:dyDescent="0.35">
      <c r="A3277" t="s">
        <v>41</v>
      </c>
      <c r="B3277" t="s">
        <v>54</v>
      </c>
      <c r="C3277" t="s">
        <v>55</v>
      </c>
      <c r="D3277" t="s">
        <v>1625</v>
      </c>
      <c r="E3277">
        <v>80884387</v>
      </c>
      <c r="F3277" t="s">
        <v>2287</v>
      </c>
      <c r="G3277" s="3">
        <v>46943</v>
      </c>
      <c r="H3277">
        <v>36</v>
      </c>
      <c r="I3277">
        <v>70</v>
      </c>
      <c r="J3277">
        <v>60</v>
      </c>
      <c r="K3277" s="4">
        <v>26227.8</v>
      </c>
      <c r="L3277" s="4">
        <v>17.142857142857142</v>
      </c>
      <c r="M3277" s="4">
        <v>3.5</v>
      </c>
      <c r="N3277" t="s">
        <v>25</v>
      </c>
      <c r="O3277" t="str">
        <f t="shared" si="510"/>
        <v>Low</v>
      </c>
      <c r="P3277" t="str">
        <f t="shared" si="511"/>
        <v>Low</v>
      </c>
      <c r="Q3277" t="str">
        <f t="shared" si="512"/>
        <v>Low</v>
      </c>
      <c r="R3277" t="s">
        <v>3317</v>
      </c>
      <c r="S3277" s="4">
        <f t="shared" ca="1" si="513"/>
        <v>746</v>
      </c>
      <c r="T3277">
        <f t="shared" si="514"/>
        <v>1</v>
      </c>
      <c r="U3277">
        <f t="shared" si="515"/>
        <v>1</v>
      </c>
      <c r="V3277">
        <f t="shared" si="516"/>
        <v>1</v>
      </c>
      <c r="W3277">
        <f t="shared" si="517"/>
        <v>1</v>
      </c>
      <c r="X3277">
        <f t="shared" si="518"/>
        <v>0.99999999999999989</v>
      </c>
      <c r="Y3277" t="str">
        <f t="shared" si="519"/>
        <v>Healthy</v>
      </c>
    </row>
    <row r="3278" spans="1:25" x14ac:dyDescent="0.35">
      <c r="A3278" t="s">
        <v>14</v>
      </c>
      <c r="B3278" t="s">
        <v>15</v>
      </c>
      <c r="C3278" t="s">
        <v>1502</v>
      </c>
      <c r="D3278" t="s">
        <v>1502</v>
      </c>
      <c r="E3278">
        <v>80769613</v>
      </c>
      <c r="F3278" t="s">
        <v>2288</v>
      </c>
      <c r="G3278" s="3">
        <v>47230</v>
      </c>
      <c r="H3278">
        <v>60</v>
      </c>
      <c r="I3278">
        <v>58</v>
      </c>
      <c r="J3278">
        <v>1</v>
      </c>
      <c r="K3278" s="4">
        <v>364.27</v>
      </c>
      <c r="L3278" s="4">
        <f>0</f>
        <v>0</v>
      </c>
      <c r="M3278" s="4">
        <f>999</f>
        <v>999</v>
      </c>
      <c r="N3278" t="s">
        <v>19</v>
      </c>
      <c r="O3278" t="str">
        <f t="shared" si="510"/>
        <v>Low</v>
      </c>
      <c r="P3278" t="str">
        <f t="shared" si="511"/>
        <v>High</v>
      </c>
      <c r="Q3278" t="str">
        <f t="shared" si="512"/>
        <v>High</v>
      </c>
      <c r="R3278" t="s">
        <v>3317</v>
      </c>
      <c r="S3278" s="4">
        <f t="shared" ca="1" si="513"/>
        <v>1033</v>
      </c>
      <c r="T3278">
        <f t="shared" si="514"/>
        <v>1</v>
      </c>
      <c r="U3278">
        <f t="shared" si="515"/>
        <v>3</v>
      </c>
      <c r="V3278">
        <f t="shared" si="516"/>
        <v>3</v>
      </c>
      <c r="W3278">
        <f t="shared" si="517"/>
        <v>1</v>
      </c>
      <c r="X3278">
        <f t="shared" si="518"/>
        <v>2</v>
      </c>
      <c r="Y3278" t="str">
        <f t="shared" si="519"/>
        <v>Monitor</v>
      </c>
    </row>
    <row r="3279" spans="1:25" x14ac:dyDescent="0.35">
      <c r="A3279" t="s">
        <v>41</v>
      </c>
      <c r="B3279" t="s">
        <v>54</v>
      </c>
      <c r="C3279" t="s">
        <v>55</v>
      </c>
      <c r="D3279" t="s">
        <v>1625</v>
      </c>
      <c r="E3279">
        <v>80884387</v>
      </c>
      <c r="F3279" t="s">
        <v>2287</v>
      </c>
      <c r="G3279" s="3">
        <v>46943</v>
      </c>
      <c r="H3279">
        <v>36</v>
      </c>
      <c r="I3279">
        <v>70</v>
      </c>
      <c r="J3279">
        <v>60</v>
      </c>
      <c r="K3279" s="4">
        <v>26227.8</v>
      </c>
      <c r="L3279" s="4">
        <v>17.142857142857142</v>
      </c>
      <c r="M3279" s="4">
        <v>3.5</v>
      </c>
      <c r="N3279" t="s">
        <v>25</v>
      </c>
      <c r="O3279" t="str">
        <f t="shared" si="510"/>
        <v>Low</v>
      </c>
      <c r="P3279" t="str">
        <f t="shared" si="511"/>
        <v>Low</v>
      </c>
      <c r="Q3279" t="str">
        <f t="shared" si="512"/>
        <v>Low</v>
      </c>
      <c r="R3279" t="s">
        <v>3317</v>
      </c>
      <c r="S3279" s="4">
        <f t="shared" ca="1" si="513"/>
        <v>746</v>
      </c>
      <c r="T3279">
        <f t="shared" si="514"/>
        <v>1</v>
      </c>
      <c r="U3279">
        <f t="shared" si="515"/>
        <v>1</v>
      </c>
      <c r="V3279">
        <f t="shared" si="516"/>
        <v>1</v>
      </c>
      <c r="W3279">
        <f t="shared" si="517"/>
        <v>1</v>
      </c>
      <c r="X3279">
        <f t="shared" si="518"/>
        <v>0.99999999999999989</v>
      </c>
      <c r="Y3279" t="str">
        <f t="shared" si="519"/>
        <v>Healthy</v>
      </c>
    </row>
    <row r="3280" spans="1:25" x14ac:dyDescent="0.35">
      <c r="A3280" t="s">
        <v>14</v>
      </c>
      <c r="B3280" t="s">
        <v>15</v>
      </c>
      <c r="C3280" t="s">
        <v>1502</v>
      </c>
      <c r="D3280" t="s">
        <v>1502</v>
      </c>
      <c r="E3280">
        <v>80769613</v>
      </c>
      <c r="F3280" t="s">
        <v>2288</v>
      </c>
      <c r="G3280" s="3">
        <v>47486</v>
      </c>
      <c r="H3280">
        <v>60</v>
      </c>
      <c r="I3280">
        <v>72</v>
      </c>
      <c r="J3280">
        <v>9</v>
      </c>
      <c r="K3280" s="4">
        <v>3278.43</v>
      </c>
      <c r="L3280" s="4">
        <f>0</f>
        <v>0</v>
      </c>
      <c r="M3280" s="4">
        <f>999</f>
        <v>999</v>
      </c>
      <c r="N3280" t="s">
        <v>19</v>
      </c>
      <c r="O3280" t="str">
        <f t="shared" si="510"/>
        <v>Low</v>
      </c>
      <c r="P3280" t="str">
        <f t="shared" si="511"/>
        <v>High</v>
      </c>
      <c r="Q3280" t="str">
        <f t="shared" si="512"/>
        <v>High</v>
      </c>
      <c r="R3280" t="s">
        <v>3317</v>
      </c>
      <c r="S3280" s="4">
        <f t="shared" ca="1" si="513"/>
        <v>1289</v>
      </c>
      <c r="T3280">
        <f t="shared" si="514"/>
        <v>1</v>
      </c>
      <c r="U3280">
        <f t="shared" si="515"/>
        <v>3</v>
      </c>
      <c r="V3280">
        <f t="shared" si="516"/>
        <v>3</v>
      </c>
      <c r="W3280">
        <f t="shared" si="517"/>
        <v>1</v>
      </c>
      <c r="X3280">
        <f t="shared" si="518"/>
        <v>2</v>
      </c>
      <c r="Y3280" t="str">
        <f t="shared" si="519"/>
        <v>Monitor</v>
      </c>
    </row>
    <row r="3281" spans="1:25" x14ac:dyDescent="0.35">
      <c r="A3281" t="s">
        <v>179</v>
      </c>
      <c r="B3281" t="s">
        <v>223</v>
      </c>
      <c r="C3281" t="s">
        <v>357</v>
      </c>
      <c r="D3281" t="s">
        <v>2289</v>
      </c>
      <c r="E3281">
        <v>80886364</v>
      </c>
      <c r="F3281" t="s">
        <v>2290</v>
      </c>
      <c r="G3281" s="3">
        <v>46667</v>
      </c>
      <c r="H3281">
        <v>18</v>
      </c>
      <c r="I3281">
        <v>88</v>
      </c>
      <c r="J3281">
        <v>5</v>
      </c>
      <c r="K3281" s="4">
        <v>489.8</v>
      </c>
      <c r="L3281" s="4">
        <v>157.28571428571428</v>
      </c>
      <c r="M3281" s="4">
        <v>3.1789282470481385E-2</v>
      </c>
      <c r="N3281" t="s">
        <v>25</v>
      </c>
      <c r="O3281" t="str">
        <f t="shared" si="510"/>
        <v>Low</v>
      </c>
      <c r="P3281" t="str">
        <f t="shared" si="511"/>
        <v>Low</v>
      </c>
      <c r="Q3281" t="str">
        <f t="shared" si="512"/>
        <v>Low</v>
      </c>
      <c r="R3281" t="s">
        <v>3317</v>
      </c>
      <c r="S3281" s="4">
        <f t="shared" ca="1" si="513"/>
        <v>470</v>
      </c>
      <c r="T3281">
        <f t="shared" si="514"/>
        <v>1</v>
      </c>
      <c r="U3281">
        <f t="shared" si="515"/>
        <v>1</v>
      </c>
      <c r="V3281">
        <f t="shared" si="516"/>
        <v>1</v>
      </c>
      <c r="W3281">
        <f t="shared" si="517"/>
        <v>1</v>
      </c>
      <c r="X3281">
        <f t="shared" si="518"/>
        <v>0.99999999999999989</v>
      </c>
      <c r="Y3281" t="str">
        <f t="shared" si="519"/>
        <v>Healthy</v>
      </c>
    </row>
    <row r="3282" spans="1:25" x14ac:dyDescent="0.35">
      <c r="A3282" t="s">
        <v>179</v>
      </c>
      <c r="B3282" t="s">
        <v>223</v>
      </c>
      <c r="C3282" t="s">
        <v>357</v>
      </c>
      <c r="D3282" t="s">
        <v>2289</v>
      </c>
      <c r="E3282">
        <v>80886364</v>
      </c>
      <c r="F3282" t="s">
        <v>2290</v>
      </c>
      <c r="G3282" s="3">
        <v>46676</v>
      </c>
      <c r="H3282">
        <v>18</v>
      </c>
      <c r="I3282">
        <v>90</v>
      </c>
      <c r="J3282">
        <v>10</v>
      </c>
      <c r="K3282" s="4">
        <v>979.6</v>
      </c>
      <c r="L3282" s="4">
        <v>157.28571428571428</v>
      </c>
      <c r="M3282" s="4">
        <v>6.357856494096277E-2</v>
      </c>
      <c r="N3282" t="s">
        <v>25</v>
      </c>
      <c r="O3282" t="str">
        <f t="shared" si="510"/>
        <v>Low</v>
      </c>
      <c r="P3282" t="str">
        <f t="shared" si="511"/>
        <v>Low</v>
      </c>
      <c r="Q3282" t="str">
        <f t="shared" si="512"/>
        <v>Low</v>
      </c>
      <c r="R3282" t="s">
        <v>3317</v>
      </c>
      <c r="S3282" s="4">
        <f t="shared" ca="1" si="513"/>
        <v>479</v>
      </c>
      <c r="T3282">
        <f t="shared" si="514"/>
        <v>1</v>
      </c>
      <c r="U3282">
        <f t="shared" si="515"/>
        <v>1</v>
      </c>
      <c r="V3282">
        <f t="shared" si="516"/>
        <v>1</v>
      </c>
      <c r="W3282">
        <f t="shared" si="517"/>
        <v>1</v>
      </c>
      <c r="X3282">
        <f t="shared" si="518"/>
        <v>0.99999999999999989</v>
      </c>
      <c r="Y3282" t="str">
        <f t="shared" si="519"/>
        <v>Healthy</v>
      </c>
    </row>
    <row r="3283" spans="1:25" x14ac:dyDescent="0.35">
      <c r="A3283" t="s">
        <v>179</v>
      </c>
      <c r="B3283" t="s">
        <v>223</v>
      </c>
      <c r="C3283" t="s">
        <v>357</v>
      </c>
      <c r="D3283" t="s">
        <v>2289</v>
      </c>
      <c r="E3283">
        <v>80886364</v>
      </c>
      <c r="F3283" t="s">
        <v>2290</v>
      </c>
      <c r="G3283" s="3">
        <v>46676</v>
      </c>
      <c r="H3283">
        <v>18</v>
      </c>
      <c r="I3283">
        <v>90</v>
      </c>
      <c r="J3283">
        <v>5</v>
      </c>
      <c r="K3283" s="4">
        <v>489.8</v>
      </c>
      <c r="L3283" s="4">
        <v>157.28571428571428</v>
      </c>
      <c r="M3283" s="4">
        <v>3.1789282470481385E-2</v>
      </c>
      <c r="N3283" t="s">
        <v>25</v>
      </c>
      <c r="O3283" t="str">
        <f t="shared" si="510"/>
        <v>Low</v>
      </c>
      <c r="P3283" t="str">
        <f t="shared" si="511"/>
        <v>Low</v>
      </c>
      <c r="Q3283" t="str">
        <f t="shared" si="512"/>
        <v>Low</v>
      </c>
      <c r="R3283" t="s">
        <v>3317</v>
      </c>
      <c r="S3283" s="4">
        <f t="shared" ca="1" si="513"/>
        <v>479</v>
      </c>
      <c r="T3283">
        <f t="shared" si="514"/>
        <v>1</v>
      </c>
      <c r="U3283">
        <f t="shared" si="515"/>
        <v>1</v>
      </c>
      <c r="V3283">
        <f t="shared" si="516"/>
        <v>1</v>
      </c>
      <c r="W3283">
        <f t="shared" si="517"/>
        <v>1</v>
      </c>
      <c r="X3283">
        <f t="shared" si="518"/>
        <v>0.99999999999999989</v>
      </c>
      <c r="Y3283" t="str">
        <f t="shared" si="519"/>
        <v>Healthy</v>
      </c>
    </row>
    <row r="3284" spans="1:25" x14ac:dyDescent="0.35">
      <c r="A3284" t="s">
        <v>41</v>
      </c>
      <c r="B3284" t="s">
        <v>42</v>
      </c>
      <c r="C3284" t="s">
        <v>365</v>
      </c>
      <c r="D3284" t="s">
        <v>396</v>
      </c>
      <c r="E3284">
        <v>80784510</v>
      </c>
      <c r="F3284" t="s">
        <v>2291</v>
      </c>
      <c r="G3284" s="3">
        <v>46327</v>
      </c>
      <c r="H3284">
        <v>36</v>
      </c>
      <c r="I3284">
        <v>13</v>
      </c>
      <c r="J3284">
        <v>4</v>
      </c>
      <c r="K3284" s="4">
        <v>3044.48</v>
      </c>
      <c r="L3284" s="4">
        <f>0</f>
        <v>0</v>
      </c>
      <c r="M3284" s="4">
        <f>999</f>
        <v>999</v>
      </c>
      <c r="N3284" t="s">
        <v>19</v>
      </c>
      <c r="O3284" t="str">
        <f t="shared" si="510"/>
        <v>High</v>
      </c>
      <c r="P3284" t="str">
        <f t="shared" si="511"/>
        <v>High</v>
      </c>
      <c r="Q3284" t="str">
        <f t="shared" si="512"/>
        <v>High</v>
      </c>
      <c r="R3284" t="s">
        <v>3317</v>
      </c>
      <c r="S3284" s="4">
        <f t="shared" ca="1" si="513"/>
        <v>130</v>
      </c>
      <c r="T3284">
        <f t="shared" si="514"/>
        <v>3</v>
      </c>
      <c r="U3284">
        <f t="shared" si="515"/>
        <v>3</v>
      </c>
      <c r="V3284">
        <f t="shared" si="516"/>
        <v>3</v>
      </c>
      <c r="W3284">
        <f t="shared" si="517"/>
        <v>1</v>
      </c>
      <c r="X3284">
        <f t="shared" si="518"/>
        <v>2.8000000000000003</v>
      </c>
      <c r="Y3284" t="str">
        <f t="shared" si="519"/>
        <v>Move Immediately</v>
      </c>
    </row>
    <row r="3285" spans="1:25" x14ac:dyDescent="0.35">
      <c r="A3285" t="s">
        <v>71</v>
      </c>
      <c r="B3285" t="s">
        <v>72</v>
      </c>
      <c r="C3285" t="s">
        <v>386</v>
      </c>
      <c r="D3285" t="s">
        <v>614</v>
      </c>
      <c r="E3285">
        <v>80895524</v>
      </c>
      <c r="F3285" t="s">
        <v>2292</v>
      </c>
      <c r="G3285" s="3">
        <v>47127</v>
      </c>
      <c r="H3285">
        <v>36</v>
      </c>
      <c r="I3285">
        <v>87</v>
      </c>
      <c r="J3285">
        <v>1</v>
      </c>
      <c r="K3285" s="4">
        <v>303.99</v>
      </c>
      <c r="L3285" s="4">
        <v>30.571428571428573</v>
      </c>
      <c r="M3285" s="4">
        <v>3.2710280373831772E-2</v>
      </c>
      <c r="N3285" t="s">
        <v>25</v>
      </c>
      <c r="O3285" t="str">
        <f t="shared" si="510"/>
        <v>Low</v>
      </c>
      <c r="P3285" t="str">
        <f t="shared" si="511"/>
        <v>Low</v>
      </c>
      <c r="Q3285" t="str">
        <f t="shared" si="512"/>
        <v>Low</v>
      </c>
      <c r="R3285" t="s">
        <v>3317</v>
      </c>
      <c r="S3285" s="4">
        <f t="shared" ca="1" si="513"/>
        <v>930</v>
      </c>
      <c r="T3285">
        <f t="shared" si="514"/>
        <v>1</v>
      </c>
      <c r="U3285">
        <f t="shared" si="515"/>
        <v>1</v>
      </c>
      <c r="V3285">
        <f t="shared" si="516"/>
        <v>1</v>
      </c>
      <c r="W3285">
        <f t="shared" si="517"/>
        <v>1</v>
      </c>
      <c r="X3285">
        <f t="shared" si="518"/>
        <v>0.99999999999999989</v>
      </c>
      <c r="Y3285" t="str">
        <f t="shared" si="519"/>
        <v>Healthy</v>
      </c>
    </row>
    <row r="3286" spans="1:25" x14ac:dyDescent="0.35">
      <c r="A3286" t="s">
        <v>71</v>
      </c>
      <c r="B3286" t="s">
        <v>72</v>
      </c>
      <c r="C3286" t="s">
        <v>386</v>
      </c>
      <c r="D3286" t="s">
        <v>614</v>
      </c>
      <c r="E3286">
        <v>80895524</v>
      </c>
      <c r="F3286" t="s">
        <v>2292</v>
      </c>
      <c r="G3286" s="3">
        <v>47126</v>
      </c>
      <c r="H3286">
        <v>36</v>
      </c>
      <c r="I3286">
        <v>86</v>
      </c>
      <c r="J3286">
        <v>11</v>
      </c>
      <c r="K3286" s="4">
        <v>3343.89</v>
      </c>
      <c r="L3286" s="4">
        <v>30.571428571428573</v>
      </c>
      <c r="M3286" s="4">
        <v>0.35981308411214952</v>
      </c>
      <c r="N3286" t="s">
        <v>25</v>
      </c>
      <c r="O3286" t="str">
        <f t="shared" si="510"/>
        <v>Low</v>
      </c>
      <c r="P3286" t="str">
        <f t="shared" si="511"/>
        <v>Low</v>
      </c>
      <c r="Q3286" t="str">
        <f t="shared" si="512"/>
        <v>Low</v>
      </c>
      <c r="R3286" t="s">
        <v>3317</v>
      </c>
      <c r="S3286" s="4">
        <f t="shared" ca="1" si="513"/>
        <v>929</v>
      </c>
      <c r="T3286">
        <f t="shared" si="514"/>
        <v>1</v>
      </c>
      <c r="U3286">
        <f t="shared" si="515"/>
        <v>1</v>
      </c>
      <c r="V3286">
        <f t="shared" si="516"/>
        <v>1</v>
      </c>
      <c r="W3286">
        <f t="shared" si="517"/>
        <v>1</v>
      </c>
      <c r="X3286">
        <f t="shared" si="518"/>
        <v>0.99999999999999989</v>
      </c>
      <c r="Y3286" t="str">
        <f t="shared" si="519"/>
        <v>Healthy</v>
      </c>
    </row>
    <row r="3287" spans="1:25" x14ac:dyDescent="0.35">
      <c r="A3287" t="s">
        <v>71</v>
      </c>
      <c r="B3287" t="s">
        <v>72</v>
      </c>
      <c r="C3287" t="s">
        <v>572</v>
      </c>
      <c r="D3287" t="s">
        <v>1285</v>
      </c>
      <c r="E3287">
        <v>80895499</v>
      </c>
      <c r="F3287" t="s">
        <v>2293</v>
      </c>
      <c r="G3287" s="3">
        <v>47231</v>
      </c>
      <c r="H3287">
        <v>36</v>
      </c>
      <c r="I3287">
        <v>96</v>
      </c>
      <c r="J3287">
        <v>259</v>
      </c>
      <c r="K3287" s="4">
        <v>40608.61</v>
      </c>
      <c r="L3287" s="4">
        <v>278.71428571428572</v>
      </c>
      <c r="M3287" s="4">
        <v>0.92926704254228598</v>
      </c>
      <c r="N3287" t="s">
        <v>25</v>
      </c>
      <c r="O3287" t="str">
        <f t="shared" si="510"/>
        <v>Low</v>
      </c>
      <c r="P3287" t="str">
        <f t="shared" si="511"/>
        <v>Low</v>
      </c>
      <c r="Q3287" t="str">
        <f t="shared" si="512"/>
        <v>Low</v>
      </c>
      <c r="R3287" t="s">
        <v>3317</v>
      </c>
      <c r="S3287" s="4">
        <f t="shared" ca="1" si="513"/>
        <v>1034</v>
      </c>
      <c r="T3287">
        <f t="shared" si="514"/>
        <v>1</v>
      </c>
      <c r="U3287">
        <f t="shared" si="515"/>
        <v>1</v>
      </c>
      <c r="V3287">
        <f t="shared" si="516"/>
        <v>1</v>
      </c>
      <c r="W3287">
        <f t="shared" si="517"/>
        <v>1</v>
      </c>
      <c r="X3287">
        <f t="shared" si="518"/>
        <v>0.99999999999999989</v>
      </c>
      <c r="Y3287" t="str">
        <f t="shared" si="519"/>
        <v>Healthy</v>
      </c>
    </row>
    <row r="3288" spans="1:25" x14ac:dyDescent="0.35">
      <c r="A3288" t="s">
        <v>71</v>
      </c>
      <c r="B3288" t="s">
        <v>72</v>
      </c>
      <c r="C3288" t="s">
        <v>572</v>
      </c>
      <c r="D3288" t="s">
        <v>1285</v>
      </c>
      <c r="E3288">
        <v>80895499</v>
      </c>
      <c r="F3288" t="s">
        <v>2293</v>
      </c>
      <c r="G3288" s="3">
        <v>47230</v>
      </c>
      <c r="H3288">
        <v>36</v>
      </c>
      <c r="I3288">
        <v>96</v>
      </c>
      <c r="J3288">
        <v>23</v>
      </c>
      <c r="K3288" s="4">
        <v>3606.17</v>
      </c>
      <c r="L3288" s="4">
        <v>278.71428571428572</v>
      </c>
      <c r="M3288" s="4">
        <v>8.2521783700666318E-2</v>
      </c>
      <c r="N3288" t="s">
        <v>25</v>
      </c>
      <c r="O3288" t="str">
        <f t="shared" si="510"/>
        <v>Low</v>
      </c>
      <c r="P3288" t="str">
        <f t="shared" si="511"/>
        <v>Low</v>
      </c>
      <c r="Q3288" t="str">
        <f t="shared" si="512"/>
        <v>Low</v>
      </c>
      <c r="R3288" t="s">
        <v>3317</v>
      </c>
      <c r="S3288" s="4">
        <f t="shared" ca="1" si="513"/>
        <v>1033</v>
      </c>
      <c r="T3288">
        <f t="shared" si="514"/>
        <v>1</v>
      </c>
      <c r="U3288">
        <f t="shared" si="515"/>
        <v>1</v>
      </c>
      <c r="V3288">
        <f t="shared" si="516"/>
        <v>1</v>
      </c>
      <c r="W3288">
        <f t="shared" si="517"/>
        <v>1</v>
      </c>
      <c r="X3288">
        <f t="shared" si="518"/>
        <v>0.99999999999999989</v>
      </c>
      <c r="Y3288" t="str">
        <f t="shared" si="519"/>
        <v>Healthy</v>
      </c>
    </row>
    <row r="3289" spans="1:25" x14ac:dyDescent="0.35">
      <c r="A3289" t="s">
        <v>71</v>
      </c>
      <c r="B3289" t="s">
        <v>72</v>
      </c>
      <c r="C3289" t="s">
        <v>386</v>
      </c>
      <c r="D3289" t="s">
        <v>1101</v>
      </c>
      <c r="E3289">
        <v>80895500</v>
      </c>
      <c r="F3289" t="s">
        <v>2294</v>
      </c>
      <c r="G3289" s="3">
        <v>47265</v>
      </c>
      <c r="H3289">
        <v>36</v>
      </c>
      <c r="I3289">
        <v>99</v>
      </c>
      <c r="J3289">
        <v>2761</v>
      </c>
      <c r="K3289" s="4">
        <v>205418.4</v>
      </c>
      <c r="L3289" s="4">
        <v>5201.8571428571431</v>
      </c>
      <c r="M3289" s="4">
        <v>0.53077197704116663</v>
      </c>
      <c r="N3289" t="s">
        <v>25</v>
      </c>
      <c r="O3289" t="str">
        <f t="shared" si="510"/>
        <v>Low</v>
      </c>
      <c r="P3289" t="str">
        <f t="shared" si="511"/>
        <v>Low</v>
      </c>
      <c r="Q3289" t="str">
        <f t="shared" si="512"/>
        <v>Low</v>
      </c>
      <c r="R3289" t="s">
        <v>3309</v>
      </c>
      <c r="S3289" s="4">
        <f t="shared" ca="1" si="513"/>
        <v>1068</v>
      </c>
      <c r="T3289">
        <f t="shared" si="514"/>
        <v>1</v>
      </c>
      <c r="U3289">
        <f t="shared" si="515"/>
        <v>1</v>
      </c>
      <c r="V3289">
        <f t="shared" si="516"/>
        <v>1</v>
      </c>
      <c r="W3289">
        <f t="shared" si="517"/>
        <v>3</v>
      </c>
      <c r="X3289">
        <f t="shared" si="518"/>
        <v>1.2</v>
      </c>
      <c r="Y3289" t="str">
        <f t="shared" si="519"/>
        <v>Healthy</v>
      </c>
    </row>
    <row r="3290" spans="1:25" x14ac:dyDescent="0.35">
      <c r="A3290" t="s">
        <v>71</v>
      </c>
      <c r="B3290" t="s">
        <v>72</v>
      </c>
      <c r="C3290" t="s">
        <v>386</v>
      </c>
      <c r="D3290" t="s">
        <v>1101</v>
      </c>
      <c r="E3290">
        <v>80895500</v>
      </c>
      <c r="F3290" t="s">
        <v>2294</v>
      </c>
      <c r="G3290" s="3">
        <v>47188</v>
      </c>
      <c r="H3290">
        <v>36</v>
      </c>
      <c r="I3290">
        <v>92</v>
      </c>
      <c r="J3290">
        <v>534</v>
      </c>
      <c r="K3290" s="4">
        <v>39729.599999999999</v>
      </c>
      <c r="L3290" s="4">
        <v>5201.8571428571431</v>
      </c>
      <c r="M3290" s="4">
        <v>0.10265564496196412</v>
      </c>
      <c r="N3290" t="s">
        <v>25</v>
      </c>
      <c r="O3290" t="str">
        <f t="shared" si="510"/>
        <v>Low</v>
      </c>
      <c r="P3290" t="str">
        <f t="shared" si="511"/>
        <v>Low</v>
      </c>
      <c r="Q3290" t="str">
        <f t="shared" si="512"/>
        <v>Low</v>
      </c>
      <c r="R3290" t="s">
        <v>3317</v>
      </c>
      <c r="S3290" s="4">
        <f t="shared" ca="1" si="513"/>
        <v>991</v>
      </c>
      <c r="T3290">
        <f t="shared" si="514"/>
        <v>1</v>
      </c>
      <c r="U3290">
        <f t="shared" si="515"/>
        <v>1</v>
      </c>
      <c r="V3290">
        <f t="shared" si="516"/>
        <v>1</v>
      </c>
      <c r="W3290">
        <f t="shared" si="517"/>
        <v>1</v>
      </c>
      <c r="X3290">
        <f t="shared" si="518"/>
        <v>0.99999999999999989</v>
      </c>
      <c r="Y3290" t="str">
        <f t="shared" si="519"/>
        <v>Healthy</v>
      </c>
    </row>
    <row r="3291" spans="1:25" x14ac:dyDescent="0.35">
      <c r="A3291" t="s">
        <v>71</v>
      </c>
      <c r="B3291" t="s">
        <v>72</v>
      </c>
      <c r="C3291" t="s">
        <v>386</v>
      </c>
      <c r="D3291" t="s">
        <v>1101</v>
      </c>
      <c r="E3291">
        <v>80895500</v>
      </c>
      <c r="F3291" t="s">
        <v>2294</v>
      </c>
      <c r="G3291" s="3">
        <v>47170</v>
      </c>
      <c r="H3291">
        <v>36</v>
      </c>
      <c r="I3291">
        <v>91</v>
      </c>
      <c r="J3291">
        <v>160</v>
      </c>
      <c r="K3291" s="4">
        <v>14880</v>
      </c>
      <c r="L3291" s="4">
        <v>5201.8571428571431</v>
      </c>
      <c r="M3291" s="4">
        <v>3.075824568148738E-2</v>
      </c>
      <c r="N3291" t="s">
        <v>25</v>
      </c>
      <c r="O3291" t="str">
        <f t="shared" si="510"/>
        <v>Low</v>
      </c>
      <c r="P3291" t="str">
        <f t="shared" si="511"/>
        <v>Low</v>
      </c>
      <c r="Q3291" t="str">
        <f t="shared" si="512"/>
        <v>Low</v>
      </c>
      <c r="R3291" t="s">
        <v>3317</v>
      </c>
      <c r="S3291" s="4">
        <f t="shared" ca="1" si="513"/>
        <v>973</v>
      </c>
      <c r="T3291">
        <f t="shared" si="514"/>
        <v>1</v>
      </c>
      <c r="U3291">
        <f t="shared" si="515"/>
        <v>1</v>
      </c>
      <c r="V3291">
        <f t="shared" si="516"/>
        <v>1</v>
      </c>
      <c r="W3291">
        <f t="shared" si="517"/>
        <v>1</v>
      </c>
      <c r="X3291">
        <f t="shared" si="518"/>
        <v>0.99999999999999989</v>
      </c>
      <c r="Y3291" t="str">
        <f t="shared" si="519"/>
        <v>Healthy</v>
      </c>
    </row>
    <row r="3292" spans="1:25" x14ac:dyDescent="0.35">
      <c r="A3292" t="s">
        <v>71</v>
      </c>
      <c r="B3292" t="s">
        <v>72</v>
      </c>
      <c r="C3292" t="s">
        <v>386</v>
      </c>
      <c r="D3292" t="s">
        <v>1101</v>
      </c>
      <c r="E3292">
        <v>80895500</v>
      </c>
      <c r="F3292" t="s">
        <v>2294</v>
      </c>
      <c r="G3292" s="3">
        <v>47162</v>
      </c>
      <c r="H3292">
        <v>36</v>
      </c>
      <c r="I3292">
        <v>90</v>
      </c>
      <c r="J3292">
        <v>460</v>
      </c>
      <c r="K3292" s="4">
        <v>34224</v>
      </c>
      <c r="L3292" s="4">
        <v>5201.8571428571431</v>
      </c>
      <c r="M3292" s="4">
        <v>8.8429956334276222E-2</v>
      </c>
      <c r="N3292" t="s">
        <v>25</v>
      </c>
      <c r="O3292" t="str">
        <f t="shared" si="510"/>
        <v>Low</v>
      </c>
      <c r="P3292" t="str">
        <f t="shared" si="511"/>
        <v>Low</v>
      </c>
      <c r="Q3292" t="str">
        <f t="shared" si="512"/>
        <v>Low</v>
      </c>
      <c r="R3292" t="s">
        <v>3317</v>
      </c>
      <c r="S3292" s="4">
        <f t="shared" ca="1" si="513"/>
        <v>965</v>
      </c>
      <c r="T3292">
        <f t="shared" si="514"/>
        <v>1</v>
      </c>
      <c r="U3292">
        <f t="shared" si="515"/>
        <v>1</v>
      </c>
      <c r="V3292">
        <f t="shared" si="516"/>
        <v>1</v>
      </c>
      <c r="W3292">
        <f t="shared" si="517"/>
        <v>1</v>
      </c>
      <c r="X3292">
        <f t="shared" si="518"/>
        <v>0.99999999999999989</v>
      </c>
      <c r="Y3292" t="str">
        <f t="shared" si="519"/>
        <v>Healthy</v>
      </c>
    </row>
    <row r="3293" spans="1:25" x14ac:dyDescent="0.35">
      <c r="A3293" t="s">
        <v>71</v>
      </c>
      <c r="B3293" t="s">
        <v>72</v>
      </c>
      <c r="C3293" t="s">
        <v>386</v>
      </c>
      <c r="D3293" t="s">
        <v>1101</v>
      </c>
      <c r="E3293">
        <v>80895500</v>
      </c>
      <c r="F3293" t="s">
        <v>2294</v>
      </c>
      <c r="G3293" s="3">
        <v>47257</v>
      </c>
      <c r="H3293">
        <v>36</v>
      </c>
      <c r="I3293">
        <v>99</v>
      </c>
      <c r="J3293">
        <v>1600</v>
      </c>
      <c r="K3293" s="4">
        <v>119040</v>
      </c>
      <c r="L3293" s="4">
        <v>5201.8571428571431</v>
      </c>
      <c r="M3293" s="4">
        <v>0.30758245681487378</v>
      </c>
      <c r="N3293" t="s">
        <v>25</v>
      </c>
      <c r="O3293" t="str">
        <f t="shared" si="510"/>
        <v>Low</v>
      </c>
      <c r="P3293" t="str">
        <f t="shared" si="511"/>
        <v>Low</v>
      </c>
      <c r="Q3293" t="str">
        <f t="shared" si="512"/>
        <v>Low</v>
      </c>
      <c r="R3293" t="s">
        <v>3310</v>
      </c>
      <c r="S3293" s="4">
        <f t="shared" ca="1" si="513"/>
        <v>1060</v>
      </c>
      <c r="T3293">
        <f t="shared" si="514"/>
        <v>1</v>
      </c>
      <c r="U3293">
        <f t="shared" si="515"/>
        <v>1</v>
      </c>
      <c r="V3293">
        <f t="shared" si="516"/>
        <v>1</v>
      </c>
      <c r="W3293">
        <f t="shared" si="517"/>
        <v>2</v>
      </c>
      <c r="X3293">
        <f t="shared" si="518"/>
        <v>1.0999999999999999</v>
      </c>
      <c r="Y3293" t="str">
        <f t="shared" si="519"/>
        <v>Healthy</v>
      </c>
    </row>
    <row r="3294" spans="1:25" x14ac:dyDescent="0.35">
      <c r="A3294" t="s">
        <v>71</v>
      </c>
      <c r="B3294" t="s">
        <v>72</v>
      </c>
      <c r="C3294" t="s">
        <v>386</v>
      </c>
      <c r="D3294" t="s">
        <v>1101</v>
      </c>
      <c r="E3294">
        <v>80895500</v>
      </c>
      <c r="F3294" t="s">
        <v>2294</v>
      </c>
      <c r="G3294" s="3">
        <v>47228</v>
      </c>
      <c r="H3294">
        <v>36</v>
      </c>
      <c r="I3294">
        <v>96</v>
      </c>
      <c r="J3294">
        <v>2004</v>
      </c>
      <c r="K3294" s="4">
        <v>149097.60000000001</v>
      </c>
      <c r="L3294" s="4">
        <v>5201.8571428571431</v>
      </c>
      <c r="M3294" s="4">
        <v>0.38524702716062942</v>
      </c>
      <c r="N3294" t="s">
        <v>25</v>
      </c>
      <c r="O3294" t="str">
        <f t="shared" si="510"/>
        <v>Low</v>
      </c>
      <c r="P3294" t="str">
        <f t="shared" si="511"/>
        <v>Low</v>
      </c>
      <c r="Q3294" t="str">
        <f t="shared" si="512"/>
        <v>Low</v>
      </c>
      <c r="R3294" t="s">
        <v>3309</v>
      </c>
      <c r="S3294" s="4">
        <f t="shared" ca="1" si="513"/>
        <v>1031</v>
      </c>
      <c r="T3294">
        <f t="shared" si="514"/>
        <v>1</v>
      </c>
      <c r="U3294">
        <f t="shared" si="515"/>
        <v>1</v>
      </c>
      <c r="V3294">
        <f t="shared" si="516"/>
        <v>1</v>
      </c>
      <c r="W3294">
        <f t="shared" si="517"/>
        <v>3</v>
      </c>
      <c r="X3294">
        <f t="shared" si="518"/>
        <v>1.2</v>
      </c>
      <c r="Y3294" t="str">
        <f t="shared" si="519"/>
        <v>Healthy</v>
      </c>
    </row>
    <row r="3295" spans="1:25" x14ac:dyDescent="0.35">
      <c r="A3295" t="s">
        <v>71</v>
      </c>
      <c r="B3295" t="s">
        <v>72</v>
      </c>
      <c r="C3295" t="s">
        <v>572</v>
      </c>
      <c r="D3295" t="s">
        <v>1556</v>
      </c>
      <c r="E3295">
        <v>80895526</v>
      </c>
      <c r="F3295" t="s">
        <v>2295</v>
      </c>
      <c r="G3295" s="3">
        <v>47274</v>
      </c>
      <c r="H3295">
        <v>36</v>
      </c>
      <c r="I3295">
        <v>100</v>
      </c>
      <c r="J3295">
        <v>760</v>
      </c>
      <c r="K3295" s="4">
        <v>56544</v>
      </c>
      <c r="L3295" s="4">
        <v>11139.571428571429</v>
      </c>
      <c r="M3295" s="4">
        <v>6.8225245905844029E-2</v>
      </c>
      <c r="N3295" t="s">
        <v>25</v>
      </c>
      <c r="O3295" t="str">
        <f t="shared" si="510"/>
        <v>Low</v>
      </c>
      <c r="P3295" t="str">
        <f t="shared" si="511"/>
        <v>Low</v>
      </c>
      <c r="Q3295" t="str">
        <f t="shared" si="512"/>
        <v>Low</v>
      </c>
      <c r="R3295" t="s">
        <v>3317</v>
      </c>
      <c r="S3295" s="4">
        <f t="shared" ca="1" si="513"/>
        <v>1077</v>
      </c>
      <c r="T3295">
        <f t="shared" si="514"/>
        <v>1</v>
      </c>
      <c r="U3295">
        <f t="shared" si="515"/>
        <v>1</v>
      </c>
      <c r="V3295">
        <f t="shared" si="516"/>
        <v>1</v>
      </c>
      <c r="W3295">
        <f t="shared" si="517"/>
        <v>1</v>
      </c>
      <c r="X3295">
        <f t="shared" si="518"/>
        <v>0.99999999999999989</v>
      </c>
      <c r="Y3295" t="str">
        <f t="shared" si="519"/>
        <v>Healthy</v>
      </c>
    </row>
    <row r="3296" spans="1:25" x14ac:dyDescent="0.35">
      <c r="A3296" t="s">
        <v>46</v>
      </c>
      <c r="B3296" t="s">
        <v>47</v>
      </c>
      <c r="C3296" t="s">
        <v>1712</v>
      </c>
      <c r="D3296" t="s">
        <v>1713</v>
      </c>
      <c r="E3296">
        <v>80782844</v>
      </c>
      <c r="F3296" t="s">
        <v>2296</v>
      </c>
      <c r="G3296" s="3">
        <v>46200</v>
      </c>
      <c r="H3296">
        <v>18</v>
      </c>
      <c r="I3296">
        <v>1</v>
      </c>
      <c r="J3296">
        <v>10</v>
      </c>
      <c r="K3296" s="4">
        <v>407</v>
      </c>
      <c r="L3296" s="4">
        <f>0</f>
        <v>0</v>
      </c>
      <c r="M3296" s="4">
        <f>999</f>
        <v>999</v>
      </c>
      <c r="N3296" t="s">
        <v>19</v>
      </c>
      <c r="O3296" t="str">
        <f t="shared" si="510"/>
        <v>High</v>
      </c>
      <c r="P3296" t="str">
        <f t="shared" si="511"/>
        <v>High</v>
      </c>
      <c r="Q3296" t="str">
        <f t="shared" si="512"/>
        <v>High</v>
      </c>
      <c r="R3296" t="s">
        <v>3317</v>
      </c>
      <c r="S3296" s="4">
        <f t="shared" ca="1" si="513"/>
        <v>3</v>
      </c>
      <c r="T3296">
        <f t="shared" si="514"/>
        <v>3</v>
      </c>
      <c r="U3296">
        <f t="shared" si="515"/>
        <v>3</v>
      </c>
      <c r="V3296">
        <f t="shared" si="516"/>
        <v>3</v>
      </c>
      <c r="W3296">
        <f t="shared" si="517"/>
        <v>1</v>
      </c>
      <c r="X3296">
        <f t="shared" si="518"/>
        <v>2.8000000000000003</v>
      </c>
      <c r="Y3296" t="str">
        <f t="shared" si="519"/>
        <v>Move Immediately</v>
      </c>
    </row>
    <row r="3297" spans="1:25" x14ac:dyDescent="0.35">
      <c r="A3297" t="s">
        <v>71</v>
      </c>
      <c r="B3297" t="s">
        <v>72</v>
      </c>
      <c r="C3297" t="s">
        <v>572</v>
      </c>
      <c r="D3297" t="s">
        <v>1556</v>
      </c>
      <c r="E3297">
        <v>80895526</v>
      </c>
      <c r="F3297" t="s">
        <v>2295</v>
      </c>
      <c r="G3297" s="3">
        <v>47243</v>
      </c>
      <c r="H3297">
        <v>36</v>
      </c>
      <c r="I3297">
        <v>97</v>
      </c>
      <c r="J3297">
        <v>555</v>
      </c>
      <c r="K3297" s="4">
        <v>41292</v>
      </c>
      <c r="L3297" s="4">
        <v>11139.571428571429</v>
      </c>
      <c r="M3297" s="4">
        <v>4.9822383523346628E-2</v>
      </c>
      <c r="N3297" t="s">
        <v>25</v>
      </c>
      <c r="O3297" t="str">
        <f t="shared" si="510"/>
        <v>Low</v>
      </c>
      <c r="P3297" t="str">
        <f t="shared" si="511"/>
        <v>Low</v>
      </c>
      <c r="Q3297" t="str">
        <f t="shared" si="512"/>
        <v>Low</v>
      </c>
      <c r="R3297" t="s">
        <v>3317</v>
      </c>
      <c r="S3297" s="4">
        <f t="shared" ca="1" si="513"/>
        <v>1046</v>
      </c>
      <c r="T3297">
        <f t="shared" si="514"/>
        <v>1</v>
      </c>
      <c r="U3297">
        <f t="shared" si="515"/>
        <v>1</v>
      </c>
      <c r="V3297">
        <f t="shared" si="516"/>
        <v>1</v>
      </c>
      <c r="W3297">
        <f t="shared" si="517"/>
        <v>1</v>
      </c>
      <c r="X3297">
        <f t="shared" si="518"/>
        <v>0.99999999999999989</v>
      </c>
      <c r="Y3297" t="str">
        <f t="shared" si="519"/>
        <v>Healthy</v>
      </c>
    </row>
    <row r="3298" spans="1:25" x14ac:dyDescent="0.35">
      <c r="A3298" t="s">
        <v>71</v>
      </c>
      <c r="B3298" t="s">
        <v>72</v>
      </c>
      <c r="C3298" t="s">
        <v>572</v>
      </c>
      <c r="D3298" t="s">
        <v>1556</v>
      </c>
      <c r="E3298">
        <v>80895526</v>
      </c>
      <c r="F3298" t="s">
        <v>2295</v>
      </c>
      <c r="G3298" s="3">
        <v>47236</v>
      </c>
      <c r="H3298">
        <v>36</v>
      </c>
      <c r="I3298">
        <v>97</v>
      </c>
      <c r="J3298">
        <v>274</v>
      </c>
      <c r="K3298" s="4">
        <v>20385.599999999999</v>
      </c>
      <c r="L3298" s="4">
        <v>11139.571428571429</v>
      </c>
      <c r="M3298" s="4">
        <v>2.4596996550264819E-2</v>
      </c>
      <c r="N3298" t="s">
        <v>25</v>
      </c>
      <c r="O3298" t="str">
        <f t="shared" si="510"/>
        <v>Low</v>
      </c>
      <c r="P3298" t="str">
        <f t="shared" si="511"/>
        <v>Low</v>
      </c>
      <c r="Q3298" t="str">
        <f t="shared" si="512"/>
        <v>Low</v>
      </c>
      <c r="R3298" t="s">
        <v>3317</v>
      </c>
      <c r="S3298" s="4">
        <f t="shared" ca="1" si="513"/>
        <v>1039</v>
      </c>
      <c r="T3298">
        <f t="shared" si="514"/>
        <v>1</v>
      </c>
      <c r="U3298">
        <f t="shared" si="515"/>
        <v>1</v>
      </c>
      <c r="V3298">
        <f t="shared" si="516"/>
        <v>1</v>
      </c>
      <c r="W3298">
        <f t="shared" si="517"/>
        <v>1</v>
      </c>
      <c r="X3298">
        <f t="shared" si="518"/>
        <v>0.99999999999999989</v>
      </c>
      <c r="Y3298" t="str">
        <f t="shared" si="519"/>
        <v>Healthy</v>
      </c>
    </row>
    <row r="3299" spans="1:25" x14ac:dyDescent="0.35">
      <c r="A3299" t="s">
        <v>71</v>
      </c>
      <c r="B3299" t="s">
        <v>72</v>
      </c>
      <c r="C3299" t="s">
        <v>572</v>
      </c>
      <c r="D3299" t="s">
        <v>1556</v>
      </c>
      <c r="E3299">
        <v>80895526</v>
      </c>
      <c r="F3299" t="s">
        <v>2295</v>
      </c>
      <c r="G3299" s="3">
        <v>47244</v>
      </c>
      <c r="H3299">
        <v>36</v>
      </c>
      <c r="I3299">
        <v>97</v>
      </c>
      <c r="J3299">
        <v>1354</v>
      </c>
      <c r="K3299" s="4">
        <v>100737.60000000001</v>
      </c>
      <c r="L3299" s="4">
        <v>11139.571428571429</v>
      </c>
      <c r="M3299" s="4">
        <v>0.12154866178488528</v>
      </c>
      <c r="N3299" t="s">
        <v>25</v>
      </c>
      <c r="O3299" t="str">
        <f t="shared" si="510"/>
        <v>Low</v>
      </c>
      <c r="P3299" t="str">
        <f t="shared" si="511"/>
        <v>Low</v>
      </c>
      <c r="Q3299" t="str">
        <f t="shared" si="512"/>
        <v>Low</v>
      </c>
      <c r="R3299" t="s">
        <v>3310</v>
      </c>
      <c r="S3299" s="4">
        <f t="shared" ca="1" si="513"/>
        <v>1047</v>
      </c>
      <c r="T3299">
        <f t="shared" si="514"/>
        <v>1</v>
      </c>
      <c r="U3299">
        <f t="shared" si="515"/>
        <v>1</v>
      </c>
      <c r="V3299">
        <f t="shared" si="516"/>
        <v>1</v>
      </c>
      <c r="W3299">
        <f t="shared" si="517"/>
        <v>2</v>
      </c>
      <c r="X3299">
        <f t="shared" si="518"/>
        <v>1.0999999999999999</v>
      </c>
      <c r="Y3299" t="str">
        <f t="shared" si="519"/>
        <v>Healthy</v>
      </c>
    </row>
    <row r="3300" spans="1:25" x14ac:dyDescent="0.35">
      <c r="A3300" t="s">
        <v>71</v>
      </c>
      <c r="B3300" t="s">
        <v>72</v>
      </c>
      <c r="C3300" t="s">
        <v>572</v>
      </c>
      <c r="D3300" t="s">
        <v>1556</v>
      </c>
      <c r="E3300">
        <v>80895526</v>
      </c>
      <c r="F3300" t="s">
        <v>2295</v>
      </c>
      <c r="G3300" s="3">
        <v>47229</v>
      </c>
      <c r="H3300">
        <v>36</v>
      </c>
      <c r="I3300">
        <v>96</v>
      </c>
      <c r="J3300">
        <v>6</v>
      </c>
      <c r="K3300" s="4">
        <v>446.4</v>
      </c>
      <c r="L3300" s="4">
        <v>11139.571428571429</v>
      </c>
      <c r="M3300" s="4">
        <v>5.3862036241455807E-4</v>
      </c>
      <c r="N3300" t="s">
        <v>25</v>
      </c>
      <c r="O3300" t="str">
        <f t="shared" si="510"/>
        <v>Low</v>
      </c>
      <c r="P3300" t="str">
        <f t="shared" si="511"/>
        <v>Low</v>
      </c>
      <c r="Q3300" t="str">
        <f t="shared" si="512"/>
        <v>Low</v>
      </c>
      <c r="R3300" t="s">
        <v>3317</v>
      </c>
      <c r="S3300" s="4">
        <f t="shared" ca="1" si="513"/>
        <v>1032</v>
      </c>
      <c r="T3300">
        <f t="shared" si="514"/>
        <v>1</v>
      </c>
      <c r="U3300">
        <f t="shared" si="515"/>
        <v>1</v>
      </c>
      <c r="V3300">
        <f t="shared" si="516"/>
        <v>1</v>
      </c>
      <c r="W3300">
        <f t="shared" si="517"/>
        <v>1</v>
      </c>
      <c r="X3300">
        <f t="shared" si="518"/>
        <v>0.99999999999999989</v>
      </c>
      <c r="Y3300" t="str">
        <f t="shared" si="519"/>
        <v>Healthy</v>
      </c>
    </row>
    <row r="3301" spans="1:25" x14ac:dyDescent="0.35">
      <c r="A3301" t="s">
        <v>71</v>
      </c>
      <c r="B3301" t="s">
        <v>72</v>
      </c>
      <c r="C3301" t="s">
        <v>386</v>
      </c>
      <c r="D3301" t="s">
        <v>2297</v>
      </c>
      <c r="E3301">
        <v>80895501</v>
      </c>
      <c r="F3301" t="s">
        <v>2298</v>
      </c>
      <c r="G3301" s="3">
        <v>47187</v>
      </c>
      <c r="H3301">
        <v>36</v>
      </c>
      <c r="I3301">
        <v>92</v>
      </c>
      <c r="J3301">
        <v>787</v>
      </c>
      <c r="K3301" s="4">
        <v>58552.800000000003</v>
      </c>
      <c r="L3301" s="4">
        <v>1458.7142857142858</v>
      </c>
      <c r="M3301" s="4">
        <v>0.53951620801096856</v>
      </c>
      <c r="N3301" t="s">
        <v>25</v>
      </c>
      <c r="O3301" t="str">
        <f t="shared" si="510"/>
        <v>Low</v>
      </c>
      <c r="P3301" t="str">
        <f t="shared" si="511"/>
        <v>Low</v>
      </c>
      <c r="Q3301" t="str">
        <f t="shared" si="512"/>
        <v>Low</v>
      </c>
      <c r="R3301" t="s">
        <v>3317</v>
      </c>
      <c r="S3301" s="4">
        <f t="shared" ca="1" si="513"/>
        <v>990</v>
      </c>
      <c r="T3301">
        <f t="shared" si="514"/>
        <v>1</v>
      </c>
      <c r="U3301">
        <f t="shared" si="515"/>
        <v>1</v>
      </c>
      <c r="V3301">
        <f t="shared" si="516"/>
        <v>1</v>
      </c>
      <c r="W3301">
        <f t="shared" si="517"/>
        <v>1</v>
      </c>
      <c r="X3301">
        <f t="shared" si="518"/>
        <v>0.99999999999999989</v>
      </c>
      <c r="Y3301" t="str">
        <f t="shared" si="519"/>
        <v>Healthy</v>
      </c>
    </row>
    <row r="3302" spans="1:25" x14ac:dyDescent="0.35">
      <c r="A3302" t="s">
        <v>71</v>
      </c>
      <c r="B3302" t="s">
        <v>72</v>
      </c>
      <c r="C3302" t="s">
        <v>386</v>
      </c>
      <c r="D3302" t="s">
        <v>2297</v>
      </c>
      <c r="E3302">
        <v>80895501</v>
      </c>
      <c r="F3302" t="s">
        <v>2298</v>
      </c>
      <c r="G3302" s="3">
        <v>47167</v>
      </c>
      <c r="H3302">
        <v>36</v>
      </c>
      <c r="I3302">
        <v>90</v>
      </c>
      <c r="J3302">
        <v>779</v>
      </c>
      <c r="K3302" s="4">
        <v>57957.599999999999</v>
      </c>
      <c r="L3302" s="4">
        <v>1458.7142857142858</v>
      </c>
      <c r="M3302" s="4">
        <v>0.53403192635393204</v>
      </c>
      <c r="N3302" t="s">
        <v>25</v>
      </c>
      <c r="O3302" t="str">
        <f t="shared" si="510"/>
        <v>Low</v>
      </c>
      <c r="P3302" t="str">
        <f t="shared" si="511"/>
        <v>Low</v>
      </c>
      <c r="Q3302" t="str">
        <f t="shared" si="512"/>
        <v>Low</v>
      </c>
      <c r="R3302" t="s">
        <v>3317</v>
      </c>
      <c r="S3302" s="4">
        <f t="shared" ca="1" si="513"/>
        <v>970</v>
      </c>
      <c r="T3302">
        <f t="shared" si="514"/>
        <v>1</v>
      </c>
      <c r="U3302">
        <f t="shared" si="515"/>
        <v>1</v>
      </c>
      <c r="V3302">
        <f t="shared" si="516"/>
        <v>1</v>
      </c>
      <c r="W3302">
        <f t="shared" si="517"/>
        <v>1</v>
      </c>
      <c r="X3302">
        <f t="shared" si="518"/>
        <v>0.99999999999999989</v>
      </c>
      <c r="Y3302" t="str">
        <f t="shared" si="519"/>
        <v>Healthy</v>
      </c>
    </row>
    <row r="3303" spans="1:25" x14ac:dyDescent="0.35">
      <c r="A3303" t="s">
        <v>71</v>
      </c>
      <c r="B3303" t="s">
        <v>72</v>
      </c>
      <c r="C3303" t="s">
        <v>386</v>
      </c>
      <c r="D3303" t="s">
        <v>2297</v>
      </c>
      <c r="E3303">
        <v>80895501</v>
      </c>
      <c r="F3303" t="s">
        <v>2298</v>
      </c>
      <c r="G3303" s="3">
        <v>47166</v>
      </c>
      <c r="H3303">
        <v>36</v>
      </c>
      <c r="I3303">
        <v>90</v>
      </c>
      <c r="J3303">
        <v>69</v>
      </c>
      <c r="K3303" s="4">
        <v>5133.6000000000004</v>
      </c>
      <c r="L3303" s="4">
        <v>1458.7142857142858</v>
      </c>
      <c r="M3303" s="4">
        <v>4.7301929291940062E-2</v>
      </c>
      <c r="N3303" t="s">
        <v>25</v>
      </c>
      <c r="O3303" t="str">
        <f t="shared" si="510"/>
        <v>Low</v>
      </c>
      <c r="P3303" t="str">
        <f t="shared" si="511"/>
        <v>Low</v>
      </c>
      <c r="Q3303" t="str">
        <f t="shared" si="512"/>
        <v>Low</v>
      </c>
      <c r="R3303" t="s">
        <v>3317</v>
      </c>
      <c r="S3303" s="4">
        <f t="shared" ca="1" si="513"/>
        <v>969</v>
      </c>
      <c r="T3303">
        <f t="shared" si="514"/>
        <v>1</v>
      </c>
      <c r="U3303">
        <f t="shared" si="515"/>
        <v>1</v>
      </c>
      <c r="V3303">
        <f t="shared" si="516"/>
        <v>1</v>
      </c>
      <c r="W3303">
        <f t="shared" si="517"/>
        <v>1</v>
      </c>
      <c r="X3303">
        <f t="shared" si="518"/>
        <v>0.99999999999999989</v>
      </c>
      <c r="Y3303" t="str">
        <f t="shared" si="519"/>
        <v>Healthy</v>
      </c>
    </row>
    <row r="3304" spans="1:25" x14ac:dyDescent="0.35">
      <c r="A3304" t="s">
        <v>71</v>
      </c>
      <c r="B3304" t="s">
        <v>72</v>
      </c>
      <c r="C3304" t="s">
        <v>386</v>
      </c>
      <c r="D3304" t="s">
        <v>2297</v>
      </c>
      <c r="E3304">
        <v>80895501</v>
      </c>
      <c r="F3304" t="s">
        <v>2298</v>
      </c>
      <c r="G3304" s="3">
        <v>47141</v>
      </c>
      <c r="H3304">
        <v>36</v>
      </c>
      <c r="I3304">
        <v>88</v>
      </c>
      <c r="J3304">
        <v>751</v>
      </c>
      <c r="K3304" s="4">
        <v>55874.400000000001</v>
      </c>
      <c r="L3304" s="4">
        <v>1458.7142857142858</v>
      </c>
      <c r="M3304" s="4">
        <v>0.51483694055430418</v>
      </c>
      <c r="N3304" t="s">
        <v>25</v>
      </c>
      <c r="O3304" t="str">
        <f t="shared" si="510"/>
        <v>Low</v>
      </c>
      <c r="P3304" t="str">
        <f t="shared" si="511"/>
        <v>Low</v>
      </c>
      <c r="Q3304" t="str">
        <f t="shared" si="512"/>
        <v>Low</v>
      </c>
      <c r="R3304" t="s">
        <v>3317</v>
      </c>
      <c r="S3304" s="4">
        <f t="shared" ca="1" si="513"/>
        <v>944</v>
      </c>
      <c r="T3304">
        <f t="shared" si="514"/>
        <v>1</v>
      </c>
      <c r="U3304">
        <f t="shared" si="515"/>
        <v>1</v>
      </c>
      <c r="V3304">
        <f t="shared" si="516"/>
        <v>1</v>
      </c>
      <c r="W3304">
        <f t="shared" si="517"/>
        <v>1</v>
      </c>
      <c r="X3304">
        <f t="shared" si="518"/>
        <v>0.99999999999999989</v>
      </c>
      <c r="Y3304" t="str">
        <f t="shared" si="519"/>
        <v>Healthy</v>
      </c>
    </row>
    <row r="3305" spans="1:25" x14ac:dyDescent="0.35">
      <c r="A3305" t="s">
        <v>71</v>
      </c>
      <c r="B3305" t="s">
        <v>72</v>
      </c>
      <c r="C3305" t="s">
        <v>150</v>
      </c>
      <c r="D3305" t="s">
        <v>1306</v>
      </c>
      <c r="E3305">
        <v>80895527</v>
      </c>
      <c r="F3305" t="s">
        <v>2299</v>
      </c>
      <c r="G3305" s="3">
        <v>47232</v>
      </c>
      <c r="H3305">
        <v>36</v>
      </c>
      <c r="I3305">
        <v>96</v>
      </c>
      <c r="J3305">
        <v>192</v>
      </c>
      <c r="K3305" s="4">
        <v>5683.2</v>
      </c>
      <c r="L3305" s="4">
        <v>715.42857142857144</v>
      </c>
      <c r="M3305" s="4">
        <v>0.26837060702875398</v>
      </c>
      <c r="N3305" t="s">
        <v>25</v>
      </c>
      <c r="O3305" t="str">
        <f t="shared" si="510"/>
        <v>Low</v>
      </c>
      <c r="P3305" t="str">
        <f t="shared" si="511"/>
        <v>Low</v>
      </c>
      <c r="Q3305" t="str">
        <f t="shared" si="512"/>
        <v>Low</v>
      </c>
      <c r="R3305" t="s">
        <v>3317</v>
      </c>
      <c r="S3305" s="4">
        <f t="shared" ca="1" si="513"/>
        <v>1035</v>
      </c>
      <c r="T3305">
        <f t="shared" si="514"/>
        <v>1</v>
      </c>
      <c r="U3305">
        <f t="shared" si="515"/>
        <v>1</v>
      </c>
      <c r="V3305">
        <f t="shared" si="516"/>
        <v>1</v>
      </c>
      <c r="W3305">
        <f t="shared" si="517"/>
        <v>1</v>
      </c>
      <c r="X3305">
        <f t="shared" si="518"/>
        <v>0.99999999999999989</v>
      </c>
      <c r="Y3305" t="str">
        <f t="shared" si="519"/>
        <v>Healthy</v>
      </c>
    </row>
    <row r="3306" spans="1:25" x14ac:dyDescent="0.35">
      <c r="A3306" t="s">
        <v>71</v>
      </c>
      <c r="B3306" t="s">
        <v>72</v>
      </c>
      <c r="C3306" t="s">
        <v>150</v>
      </c>
      <c r="D3306" t="s">
        <v>1306</v>
      </c>
      <c r="E3306">
        <v>80895527</v>
      </c>
      <c r="F3306" t="s">
        <v>2299</v>
      </c>
      <c r="G3306" s="3">
        <v>47154</v>
      </c>
      <c r="H3306">
        <v>36</v>
      </c>
      <c r="I3306">
        <v>89</v>
      </c>
      <c r="J3306">
        <v>143</v>
      </c>
      <c r="K3306" s="4">
        <v>4232.8</v>
      </c>
      <c r="L3306" s="4">
        <v>715.42857142857144</v>
      </c>
      <c r="M3306" s="4">
        <v>0.19988019169329074</v>
      </c>
      <c r="N3306" t="s">
        <v>25</v>
      </c>
      <c r="O3306" t="str">
        <f t="shared" si="510"/>
        <v>Low</v>
      </c>
      <c r="P3306" t="str">
        <f t="shared" si="511"/>
        <v>Low</v>
      </c>
      <c r="Q3306" t="str">
        <f t="shared" si="512"/>
        <v>Low</v>
      </c>
      <c r="R3306" t="s">
        <v>3317</v>
      </c>
      <c r="S3306" s="4">
        <f t="shared" ca="1" si="513"/>
        <v>957</v>
      </c>
      <c r="T3306">
        <f t="shared" si="514"/>
        <v>1</v>
      </c>
      <c r="U3306">
        <f t="shared" si="515"/>
        <v>1</v>
      </c>
      <c r="V3306">
        <f t="shared" si="516"/>
        <v>1</v>
      </c>
      <c r="W3306">
        <f t="shared" si="517"/>
        <v>1</v>
      </c>
      <c r="X3306">
        <f t="shared" si="518"/>
        <v>0.99999999999999989</v>
      </c>
      <c r="Y3306" t="str">
        <f t="shared" si="519"/>
        <v>Healthy</v>
      </c>
    </row>
    <row r="3307" spans="1:25" x14ac:dyDescent="0.35">
      <c r="A3307" t="s">
        <v>71</v>
      </c>
      <c r="B3307" t="s">
        <v>72</v>
      </c>
      <c r="C3307" t="s">
        <v>150</v>
      </c>
      <c r="D3307" t="s">
        <v>1306</v>
      </c>
      <c r="E3307">
        <v>80895527</v>
      </c>
      <c r="F3307" t="s">
        <v>2299</v>
      </c>
      <c r="G3307" s="3">
        <v>47180</v>
      </c>
      <c r="H3307">
        <v>36</v>
      </c>
      <c r="I3307">
        <v>91</v>
      </c>
      <c r="J3307">
        <v>156</v>
      </c>
      <c r="K3307" s="4">
        <v>4617.6000000000004</v>
      </c>
      <c r="L3307" s="4">
        <v>715.42857142857144</v>
      </c>
      <c r="M3307" s="4">
        <v>0.21805111821086262</v>
      </c>
      <c r="N3307" t="s">
        <v>25</v>
      </c>
      <c r="O3307" t="str">
        <f t="shared" si="510"/>
        <v>Low</v>
      </c>
      <c r="P3307" t="str">
        <f t="shared" si="511"/>
        <v>Low</v>
      </c>
      <c r="Q3307" t="str">
        <f t="shared" si="512"/>
        <v>Low</v>
      </c>
      <c r="R3307" t="s">
        <v>3317</v>
      </c>
      <c r="S3307" s="4">
        <f t="shared" ca="1" si="513"/>
        <v>983</v>
      </c>
      <c r="T3307">
        <f t="shared" si="514"/>
        <v>1</v>
      </c>
      <c r="U3307">
        <f t="shared" si="515"/>
        <v>1</v>
      </c>
      <c r="V3307">
        <f t="shared" si="516"/>
        <v>1</v>
      </c>
      <c r="W3307">
        <f t="shared" si="517"/>
        <v>1</v>
      </c>
      <c r="X3307">
        <f t="shared" si="518"/>
        <v>0.99999999999999989</v>
      </c>
      <c r="Y3307" t="str">
        <f t="shared" si="519"/>
        <v>Healthy</v>
      </c>
    </row>
    <row r="3308" spans="1:25" x14ac:dyDescent="0.35">
      <c r="A3308" t="s">
        <v>71</v>
      </c>
      <c r="B3308" t="s">
        <v>72</v>
      </c>
      <c r="C3308" t="s">
        <v>150</v>
      </c>
      <c r="D3308" t="s">
        <v>1306</v>
      </c>
      <c r="E3308">
        <v>80895527</v>
      </c>
      <c r="F3308" t="s">
        <v>2299</v>
      </c>
      <c r="G3308" s="3">
        <v>47111</v>
      </c>
      <c r="H3308">
        <v>36</v>
      </c>
      <c r="I3308">
        <v>85</v>
      </c>
      <c r="J3308">
        <v>210</v>
      </c>
      <c r="K3308" s="4">
        <v>6216</v>
      </c>
      <c r="L3308" s="4">
        <v>715.42857142857144</v>
      </c>
      <c r="M3308" s="4">
        <v>0.29353035143769968</v>
      </c>
      <c r="N3308" t="s">
        <v>25</v>
      </c>
      <c r="O3308" t="str">
        <f t="shared" si="510"/>
        <v>Low</v>
      </c>
      <c r="P3308" t="str">
        <f t="shared" si="511"/>
        <v>Low</v>
      </c>
      <c r="Q3308" t="str">
        <f t="shared" si="512"/>
        <v>Low</v>
      </c>
      <c r="R3308" t="s">
        <v>3317</v>
      </c>
      <c r="S3308" s="4">
        <f t="shared" ca="1" si="513"/>
        <v>914</v>
      </c>
      <c r="T3308">
        <f t="shared" si="514"/>
        <v>1</v>
      </c>
      <c r="U3308">
        <f t="shared" si="515"/>
        <v>1</v>
      </c>
      <c r="V3308">
        <f t="shared" si="516"/>
        <v>1</v>
      </c>
      <c r="W3308">
        <f t="shared" si="517"/>
        <v>1</v>
      </c>
      <c r="X3308">
        <f t="shared" si="518"/>
        <v>0.99999999999999989</v>
      </c>
      <c r="Y3308" t="str">
        <f t="shared" si="519"/>
        <v>Healthy</v>
      </c>
    </row>
    <row r="3309" spans="1:25" x14ac:dyDescent="0.35">
      <c r="A3309" t="s">
        <v>71</v>
      </c>
      <c r="B3309" t="s">
        <v>72</v>
      </c>
      <c r="C3309" t="s">
        <v>150</v>
      </c>
      <c r="D3309" t="s">
        <v>1306</v>
      </c>
      <c r="E3309">
        <v>80895527</v>
      </c>
      <c r="F3309" t="s">
        <v>2299</v>
      </c>
      <c r="G3309" s="3">
        <v>47231</v>
      </c>
      <c r="H3309">
        <v>36</v>
      </c>
      <c r="I3309">
        <v>96</v>
      </c>
      <c r="J3309">
        <v>208</v>
      </c>
      <c r="K3309" s="4">
        <v>6156.8</v>
      </c>
      <c r="L3309" s="4">
        <v>715.42857142857144</v>
      </c>
      <c r="M3309" s="4">
        <v>0.29073482428115016</v>
      </c>
      <c r="N3309" t="s">
        <v>25</v>
      </c>
      <c r="O3309" t="str">
        <f t="shared" si="510"/>
        <v>Low</v>
      </c>
      <c r="P3309" t="str">
        <f t="shared" si="511"/>
        <v>Low</v>
      </c>
      <c r="Q3309" t="str">
        <f t="shared" si="512"/>
        <v>Low</v>
      </c>
      <c r="R3309" t="s">
        <v>3317</v>
      </c>
      <c r="S3309" s="4">
        <f t="shared" ca="1" si="513"/>
        <v>1034</v>
      </c>
      <c r="T3309">
        <f t="shared" si="514"/>
        <v>1</v>
      </c>
      <c r="U3309">
        <f t="shared" si="515"/>
        <v>1</v>
      </c>
      <c r="V3309">
        <f t="shared" si="516"/>
        <v>1</v>
      </c>
      <c r="W3309">
        <f t="shared" si="517"/>
        <v>1</v>
      </c>
      <c r="X3309">
        <f t="shared" si="518"/>
        <v>0.99999999999999989</v>
      </c>
      <c r="Y3309" t="str">
        <f t="shared" si="519"/>
        <v>Healthy</v>
      </c>
    </row>
    <row r="3310" spans="1:25" x14ac:dyDescent="0.35">
      <c r="A3310" t="s">
        <v>71</v>
      </c>
      <c r="B3310" t="s">
        <v>72</v>
      </c>
      <c r="C3310" t="s">
        <v>150</v>
      </c>
      <c r="D3310" t="s">
        <v>1306</v>
      </c>
      <c r="E3310">
        <v>80895527</v>
      </c>
      <c r="F3310" t="s">
        <v>2299</v>
      </c>
      <c r="G3310" s="3">
        <v>47108</v>
      </c>
      <c r="H3310">
        <v>36</v>
      </c>
      <c r="I3310">
        <v>85</v>
      </c>
      <c r="J3310">
        <v>126</v>
      </c>
      <c r="K3310" s="4">
        <v>3729.6</v>
      </c>
      <c r="L3310" s="4">
        <v>715.42857142857144</v>
      </c>
      <c r="M3310" s="4">
        <v>0.17611821086261981</v>
      </c>
      <c r="N3310" t="s">
        <v>25</v>
      </c>
      <c r="O3310" t="str">
        <f t="shared" si="510"/>
        <v>Low</v>
      </c>
      <c r="P3310" t="str">
        <f t="shared" si="511"/>
        <v>Low</v>
      </c>
      <c r="Q3310" t="str">
        <f t="shared" si="512"/>
        <v>Low</v>
      </c>
      <c r="R3310" t="s">
        <v>3317</v>
      </c>
      <c r="S3310" s="4">
        <f t="shared" ca="1" si="513"/>
        <v>911</v>
      </c>
      <c r="T3310">
        <f t="shared" si="514"/>
        <v>1</v>
      </c>
      <c r="U3310">
        <f t="shared" si="515"/>
        <v>1</v>
      </c>
      <c r="V3310">
        <f t="shared" si="516"/>
        <v>1</v>
      </c>
      <c r="W3310">
        <f t="shared" si="517"/>
        <v>1</v>
      </c>
      <c r="X3310">
        <f t="shared" si="518"/>
        <v>0.99999999999999989</v>
      </c>
      <c r="Y3310" t="str">
        <f t="shared" si="519"/>
        <v>Healthy</v>
      </c>
    </row>
    <row r="3311" spans="1:25" x14ac:dyDescent="0.35">
      <c r="A3311" t="s">
        <v>179</v>
      </c>
      <c r="B3311" t="s">
        <v>195</v>
      </c>
      <c r="C3311" t="s">
        <v>199</v>
      </c>
      <c r="D3311" t="s">
        <v>2300</v>
      </c>
      <c r="E3311">
        <v>80785969</v>
      </c>
      <c r="F3311" t="s">
        <v>2301</v>
      </c>
      <c r="G3311" s="3">
        <v>46666</v>
      </c>
      <c r="H3311">
        <v>18</v>
      </c>
      <c r="I3311">
        <v>88</v>
      </c>
      <c r="J3311">
        <v>59</v>
      </c>
      <c r="K3311" s="4">
        <v>23241.279999999999</v>
      </c>
      <c r="L3311" s="4">
        <v>4065.1428571428573</v>
      </c>
      <c r="M3311" s="4">
        <v>1.4513635085746416E-2</v>
      </c>
      <c r="N3311" t="s">
        <v>25</v>
      </c>
      <c r="O3311" t="str">
        <f t="shared" si="510"/>
        <v>Low</v>
      </c>
      <c r="P3311" t="str">
        <f t="shared" si="511"/>
        <v>Low</v>
      </c>
      <c r="Q3311" t="str">
        <f t="shared" si="512"/>
        <v>Low</v>
      </c>
      <c r="R3311" t="s">
        <v>3317</v>
      </c>
      <c r="S3311" s="4">
        <f t="shared" ca="1" si="513"/>
        <v>469</v>
      </c>
      <c r="T3311">
        <f t="shared" si="514"/>
        <v>1</v>
      </c>
      <c r="U3311">
        <f t="shared" si="515"/>
        <v>1</v>
      </c>
      <c r="V3311">
        <f t="shared" si="516"/>
        <v>1</v>
      </c>
      <c r="W3311">
        <f t="shared" si="517"/>
        <v>1</v>
      </c>
      <c r="X3311">
        <f t="shared" si="518"/>
        <v>0.99999999999999989</v>
      </c>
      <c r="Y3311" t="str">
        <f t="shared" si="519"/>
        <v>Healthy</v>
      </c>
    </row>
    <row r="3312" spans="1:25" x14ac:dyDescent="0.35">
      <c r="A3312" t="s">
        <v>71</v>
      </c>
      <c r="B3312" t="s">
        <v>72</v>
      </c>
      <c r="C3312" t="s">
        <v>386</v>
      </c>
      <c r="D3312" t="s">
        <v>2302</v>
      </c>
      <c r="E3312">
        <v>80895502</v>
      </c>
      <c r="F3312" t="s">
        <v>2303</v>
      </c>
      <c r="G3312" s="3">
        <v>47264</v>
      </c>
      <c r="H3312">
        <v>36</v>
      </c>
      <c r="I3312">
        <v>99</v>
      </c>
      <c r="J3312">
        <v>68</v>
      </c>
      <c r="K3312" s="4">
        <v>5331.2</v>
      </c>
      <c r="L3312" s="4">
        <v>2639.4285714285716</v>
      </c>
      <c r="M3312" s="4">
        <v>2.5763152197445332E-2</v>
      </c>
      <c r="N3312" t="s">
        <v>25</v>
      </c>
      <c r="O3312" t="str">
        <f t="shared" si="510"/>
        <v>Low</v>
      </c>
      <c r="P3312" t="str">
        <f t="shared" si="511"/>
        <v>Low</v>
      </c>
      <c r="Q3312" t="str">
        <f t="shared" si="512"/>
        <v>Low</v>
      </c>
      <c r="R3312" t="s">
        <v>3317</v>
      </c>
      <c r="S3312" s="4">
        <f t="shared" ca="1" si="513"/>
        <v>1067</v>
      </c>
      <c r="T3312">
        <f t="shared" si="514"/>
        <v>1</v>
      </c>
      <c r="U3312">
        <f t="shared" si="515"/>
        <v>1</v>
      </c>
      <c r="V3312">
        <f t="shared" si="516"/>
        <v>1</v>
      </c>
      <c r="W3312">
        <f t="shared" si="517"/>
        <v>1</v>
      </c>
      <c r="X3312">
        <f t="shared" si="518"/>
        <v>0.99999999999999989</v>
      </c>
      <c r="Y3312" t="str">
        <f t="shared" si="519"/>
        <v>Healthy</v>
      </c>
    </row>
    <row r="3313" spans="1:25" x14ac:dyDescent="0.35">
      <c r="A3313" t="s">
        <v>179</v>
      </c>
      <c r="B3313" t="s">
        <v>195</v>
      </c>
      <c r="C3313" t="s">
        <v>199</v>
      </c>
      <c r="D3313" t="s">
        <v>2300</v>
      </c>
      <c r="E3313">
        <v>80785969</v>
      </c>
      <c r="F3313" t="s">
        <v>2301</v>
      </c>
      <c r="G3313" s="3">
        <v>46668</v>
      </c>
      <c r="H3313">
        <v>18</v>
      </c>
      <c r="I3313">
        <v>88</v>
      </c>
      <c r="J3313">
        <v>48</v>
      </c>
      <c r="K3313" s="4">
        <v>18908.16</v>
      </c>
      <c r="L3313" s="4">
        <v>4065.1428571428573</v>
      </c>
      <c r="M3313" s="4">
        <v>1.1807703120607253E-2</v>
      </c>
      <c r="N3313" t="s">
        <v>25</v>
      </c>
      <c r="O3313" t="str">
        <f t="shared" si="510"/>
        <v>Low</v>
      </c>
      <c r="P3313" t="str">
        <f t="shared" si="511"/>
        <v>Low</v>
      </c>
      <c r="Q3313" t="str">
        <f t="shared" si="512"/>
        <v>Low</v>
      </c>
      <c r="R3313" t="s">
        <v>3317</v>
      </c>
      <c r="S3313" s="4">
        <f t="shared" ca="1" si="513"/>
        <v>471</v>
      </c>
      <c r="T3313">
        <f t="shared" si="514"/>
        <v>1</v>
      </c>
      <c r="U3313">
        <f t="shared" si="515"/>
        <v>1</v>
      </c>
      <c r="V3313">
        <f t="shared" si="516"/>
        <v>1</v>
      </c>
      <c r="W3313">
        <f t="shared" si="517"/>
        <v>1</v>
      </c>
      <c r="X3313">
        <f t="shared" si="518"/>
        <v>0.99999999999999989</v>
      </c>
      <c r="Y3313" t="str">
        <f t="shared" si="519"/>
        <v>Healthy</v>
      </c>
    </row>
    <row r="3314" spans="1:25" x14ac:dyDescent="0.35">
      <c r="A3314" t="s">
        <v>179</v>
      </c>
      <c r="B3314" t="s">
        <v>195</v>
      </c>
      <c r="C3314" t="s">
        <v>199</v>
      </c>
      <c r="D3314" t="s">
        <v>2300</v>
      </c>
      <c r="E3314">
        <v>80785969</v>
      </c>
      <c r="F3314" t="s">
        <v>2301</v>
      </c>
      <c r="G3314" s="3">
        <v>46712</v>
      </c>
      <c r="H3314">
        <v>18</v>
      </c>
      <c r="I3314">
        <v>96</v>
      </c>
      <c r="J3314">
        <v>53</v>
      </c>
      <c r="K3314" s="4">
        <v>20877.759999999998</v>
      </c>
      <c r="L3314" s="4">
        <v>4065.1428571428573</v>
      </c>
      <c r="M3314" s="4">
        <v>1.3037672195670508E-2</v>
      </c>
      <c r="N3314" t="s">
        <v>25</v>
      </c>
      <c r="O3314" t="str">
        <f t="shared" si="510"/>
        <v>Low</v>
      </c>
      <c r="P3314" t="str">
        <f t="shared" si="511"/>
        <v>Low</v>
      </c>
      <c r="Q3314" t="str">
        <f t="shared" si="512"/>
        <v>Low</v>
      </c>
      <c r="R3314" t="s">
        <v>3317</v>
      </c>
      <c r="S3314" s="4">
        <f t="shared" ca="1" si="513"/>
        <v>515</v>
      </c>
      <c r="T3314">
        <f t="shared" si="514"/>
        <v>1</v>
      </c>
      <c r="U3314">
        <f t="shared" si="515"/>
        <v>1</v>
      </c>
      <c r="V3314">
        <f t="shared" si="516"/>
        <v>1</v>
      </c>
      <c r="W3314">
        <f t="shared" si="517"/>
        <v>1</v>
      </c>
      <c r="X3314">
        <f t="shared" si="518"/>
        <v>0.99999999999999989</v>
      </c>
      <c r="Y3314" t="str">
        <f t="shared" si="519"/>
        <v>Healthy</v>
      </c>
    </row>
    <row r="3315" spans="1:25" x14ac:dyDescent="0.35">
      <c r="A3315" t="s">
        <v>179</v>
      </c>
      <c r="B3315" t="s">
        <v>195</v>
      </c>
      <c r="C3315" t="s">
        <v>199</v>
      </c>
      <c r="D3315" t="s">
        <v>2300</v>
      </c>
      <c r="E3315">
        <v>80785969</v>
      </c>
      <c r="F3315" t="s">
        <v>2301</v>
      </c>
      <c r="G3315" s="3">
        <v>46688</v>
      </c>
      <c r="H3315">
        <v>18</v>
      </c>
      <c r="I3315">
        <v>92</v>
      </c>
      <c r="J3315">
        <v>33</v>
      </c>
      <c r="K3315" s="4">
        <v>12999.36</v>
      </c>
      <c r="L3315" s="4">
        <v>4065.1428571428573</v>
      </c>
      <c r="M3315" s="4">
        <v>8.1177958954174855E-3</v>
      </c>
      <c r="N3315" t="s">
        <v>25</v>
      </c>
      <c r="O3315" t="str">
        <f t="shared" si="510"/>
        <v>Low</v>
      </c>
      <c r="P3315" t="str">
        <f t="shared" si="511"/>
        <v>Low</v>
      </c>
      <c r="Q3315" t="str">
        <f t="shared" si="512"/>
        <v>Low</v>
      </c>
      <c r="R3315" t="s">
        <v>3317</v>
      </c>
      <c r="S3315" s="4">
        <f t="shared" ca="1" si="513"/>
        <v>491</v>
      </c>
      <c r="T3315">
        <f t="shared" si="514"/>
        <v>1</v>
      </c>
      <c r="U3315">
        <f t="shared" si="515"/>
        <v>1</v>
      </c>
      <c r="V3315">
        <f t="shared" si="516"/>
        <v>1</v>
      </c>
      <c r="W3315">
        <f t="shared" si="517"/>
        <v>1</v>
      </c>
      <c r="X3315">
        <f t="shared" si="518"/>
        <v>0.99999999999999989</v>
      </c>
      <c r="Y3315" t="str">
        <f t="shared" si="519"/>
        <v>Healthy</v>
      </c>
    </row>
    <row r="3316" spans="1:25" x14ac:dyDescent="0.35">
      <c r="A3316" t="s">
        <v>71</v>
      </c>
      <c r="B3316" t="s">
        <v>72</v>
      </c>
      <c r="C3316" t="s">
        <v>386</v>
      </c>
      <c r="D3316" t="s">
        <v>2302</v>
      </c>
      <c r="E3316">
        <v>80895502</v>
      </c>
      <c r="F3316" t="s">
        <v>2303</v>
      </c>
      <c r="G3316" s="3">
        <v>47258</v>
      </c>
      <c r="H3316">
        <v>36</v>
      </c>
      <c r="I3316">
        <v>99</v>
      </c>
      <c r="J3316">
        <v>33</v>
      </c>
      <c r="K3316" s="4">
        <v>2587.1999999999998</v>
      </c>
      <c r="L3316" s="4">
        <v>2639.4285714285716</v>
      </c>
      <c r="M3316" s="4">
        <v>1.2502706213466117E-2</v>
      </c>
      <c r="N3316" t="s">
        <v>25</v>
      </c>
      <c r="O3316" t="str">
        <f t="shared" si="510"/>
        <v>Low</v>
      </c>
      <c r="P3316" t="str">
        <f t="shared" si="511"/>
        <v>Low</v>
      </c>
      <c r="Q3316" t="str">
        <f t="shared" si="512"/>
        <v>Low</v>
      </c>
      <c r="R3316" t="s">
        <v>3317</v>
      </c>
      <c r="S3316" s="4">
        <f t="shared" ca="1" si="513"/>
        <v>1061</v>
      </c>
      <c r="T3316">
        <f t="shared" si="514"/>
        <v>1</v>
      </c>
      <c r="U3316">
        <f t="shared" si="515"/>
        <v>1</v>
      </c>
      <c r="V3316">
        <f t="shared" si="516"/>
        <v>1</v>
      </c>
      <c r="W3316">
        <f t="shared" si="517"/>
        <v>1</v>
      </c>
      <c r="X3316">
        <f t="shared" si="518"/>
        <v>0.99999999999999989</v>
      </c>
      <c r="Y3316" t="str">
        <f t="shared" si="519"/>
        <v>Healthy</v>
      </c>
    </row>
    <row r="3317" spans="1:25" x14ac:dyDescent="0.35">
      <c r="A3317" t="s">
        <v>179</v>
      </c>
      <c r="B3317" t="s">
        <v>195</v>
      </c>
      <c r="C3317" t="s">
        <v>199</v>
      </c>
      <c r="D3317" t="s">
        <v>2300</v>
      </c>
      <c r="E3317">
        <v>80785969</v>
      </c>
      <c r="F3317" t="s">
        <v>2301</v>
      </c>
      <c r="G3317" s="3">
        <v>46703</v>
      </c>
      <c r="H3317">
        <v>18</v>
      </c>
      <c r="I3317">
        <v>95</v>
      </c>
      <c r="J3317">
        <v>13</v>
      </c>
      <c r="K3317" s="4">
        <v>5120.96</v>
      </c>
      <c r="L3317" s="4">
        <v>4065.1428571428573</v>
      </c>
      <c r="M3317" s="4">
        <v>3.1979195951644642E-3</v>
      </c>
      <c r="N3317" t="s">
        <v>25</v>
      </c>
      <c r="O3317" t="str">
        <f t="shared" si="510"/>
        <v>Low</v>
      </c>
      <c r="P3317" t="str">
        <f t="shared" si="511"/>
        <v>Low</v>
      </c>
      <c r="Q3317" t="str">
        <f t="shared" si="512"/>
        <v>Low</v>
      </c>
      <c r="R3317" t="s">
        <v>3317</v>
      </c>
      <c r="S3317" s="4">
        <f t="shared" ca="1" si="513"/>
        <v>506</v>
      </c>
      <c r="T3317">
        <f t="shared" si="514"/>
        <v>1</v>
      </c>
      <c r="U3317">
        <f t="shared" si="515"/>
        <v>1</v>
      </c>
      <c r="V3317">
        <f t="shared" si="516"/>
        <v>1</v>
      </c>
      <c r="W3317">
        <f t="shared" si="517"/>
        <v>1</v>
      </c>
      <c r="X3317">
        <f t="shared" si="518"/>
        <v>0.99999999999999989</v>
      </c>
      <c r="Y3317" t="str">
        <f t="shared" si="519"/>
        <v>Healthy</v>
      </c>
    </row>
    <row r="3318" spans="1:25" x14ac:dyDescent="0.35">
      <c r="A3318" t="s">
        <v>71</v>
      </c>
      <c r="B3318" t="s">
        <v>72</v>
      </c>
      <c r="C3318" t="s">
        <v>386</v>
      </c>
      <c r="D3318" t="s">
        <v>1475</v>
      </c>
      <c r="E3318">
        <v>80895503</v>
      </c>
      <c r="F3318" t="s">
        <v>2304</v>
      </c>
      <c r="G3318" s="3">
        <v>47164</v>
      </c>
      <c r="H3318">
        <v>36</v>
      </c>
      <c r="I3318">
        <v>90</v>
      </c>
      <c r="J3318">
        <v>159</v>
      </c>
      <c r="K3318" s="4">
        <v>12465.6</v>
      </c>
      <c r="L3318" s="4">
        <v>1403.1428571428571</v>
      </c>
      <c r="M3318" s="4">
        <v>0.11331704337202199</v>
      </c>
      <c r="N3318" t="s">
        <v>25</v>
      </c>
      <c r="O3318" t="str">
        <f t="shared" si="510"/>
        <v>Low</v>
      </c>
      <c r="P3318" t="str">
        <f t="shared" si="511"/>
        <v>Low</v>
      </c>
      <c r="Q3318" t="str">
        <f t="shared" si="512"/>
        <v>Low</v>
      </c>
      <c r="R3318" t="s">
        <v>3317</v>
      </c>
      <c r="S3318" s="4">
        <f t="shared" ca="1" si="513"/>
        <v>967</v>
      </c>
      <c r="T3318">
        <f t="shared" si="514"/>
        <v>1</v>
      </c>
      <c r="U3318">
        <f t="shared" si="515"/>
        <v>1</v>
      </c>
      <c r="V3318">
        <f t="shared" si="516"/>
        <v>1</v>
      </c>
      <c r="W3318">
        <f t="shared" si="517"/>
        <v>1</v>
      </c>
      <c r="X3318">
        <f t="shared" si="518"/>
        <v>0.99999999999999989</v>
      </c>
      <c r="Y3318" t="str">
        <f t="shared" si="519"/>
        <v>Healthy</v>
      </c>
    </row>
    <row r="3319" spans="1:25" x14ac:dyDescent="0.35">
      <c r="A3319" t="s">
        <v>179</v>
      </c>
      <c r="B3319" t="s">
        <v>195</v>
      </c>
      <c r="C3319" t="s">
        <v>199</v>
      </c>
      <c r="D3319" t="s">
        <v>2300</v>
      </c>
      <c r="E3319">
        <v>80785969</v>
      </c>
      <c r="F3319" t="s">
        <v>2301</v>
      </c>
      <c r="G3319" s="3">
        <v>46712</v>
      </c>
      <c r="H3319">
        <v>18</v>
      </c>
      <c r="I3319">
        <v>96</v>
      </c>
      <c r="J3319">
        <v>12</v>
      </c>
      <c r="K3319" s="4">
        <v>4727.04</v>
      </c>
      <c r="L3319" s="4">
        <v>4065.1428571428573</v>
      </c>
      <c r="M3319" s="4">
        <v>2.9519257801518132E-3</v>
      </c>
      <c r="N3319" t="s">
        <v>25</v>
      </c>
      <c r="O3319" t="str">
        <f t="shared" si="510"/>
        <v>Low</v>
      </c>
      <c r="P3319" t="str">
        <f t="shared" si="511"/>
        <v>Low</v>
      </c>
      <c r="Q3319" t="str">
        <f t="shared" si="512"/>
        <v>Low</v>
      </c>
      <c r="R3319" t="s">
        <v>3317</v>
      </c>
      <c r="S3319" s="4">
        <f t="shared" ca="1" si="513"/>
        <v>515</v>
      </c>
      <c r="T3319">
        <f t="shared" si="514"/>
        <v>1</v>
      </c>
      <c r="U3319">
        <f t="shared" si="515"/>
        <v>1</v>
      </c>
      <c r="V3319">
        <f t="shared" si="516"/>
        <v>1</v>
      </c>
      <c r="W3319">
        <f t="shared" si="517"/>
        <v>1</v>
      </c>
      <c r="X3319">
        <f t="shared" si="518"/>
        <v>0.99999999999999989</v>
      </c>
      <c r="Y3319" t="str">
        <f t="shared" si="519"/>
        <v>Healthy</v>
      </c>
    </row>
    <row r="3320" spans="1:25" x14ac:dyDescent="0.35">
      <c r="A3320" t="s">
        <v>71</v>
      </c>
      <c r="B3320" t="s">
        <v>72</v>
      </c>
      <c r="C3320" t="s">
        <v>386</v>
      </c>
      <c r="D3320" t="s">
        <v>1475</v>
      </c>
      <c r="E3320">
        <v>80895503</v>
      </c>
      <c r="F3320" t="s">
        <v>2304</v>
      </c>
      <c r="G3320" s="3">
        <v>47194</v>
      </c>
      <c r="H3320">
        <v>36</v>
      </c>
      <c r="I3320">
        <v>93</v>
      </c>
      <c r="J3320">
        <v>159</v>
      </c>
      <c r="K3320" s="4">
        <v>12465.6</v>
      </c>
      <c r="L3320" s="4">
        <v>1403.1428571428571</v>
      </c>
      <c r="M3320" s="4">
        <v>0.11331704337202199</v>
      </c>
      <c r="N3320" t="s">
        <v>25</v>
      </c>
      <c r="O3320" t="str">
        <f t="shared" si="510"/>
        <v>Low</v>
      </c>
      <c r="P3320" t="str">
        <f t="shared" si="511"/>
        <v>Low</v>
      </c>
      <c r="Q3320" t="str">
        <f t="shared" si="512"/>
        <v>Low</v>
      </c>
      <c r="R3320" t="s">
        <v>3317</v>
      </c>
      <c r="S3320" s="4">
        <f t="shared" ca="1" si="513"/>
        <v>997</v>
      </c>
      <c r="T3320">
        <f t="shared" si="514"/>
        <v>1</v>
      </c>
      <c r="U3320">
        <f t="shared" si="515"/>
        <v>1</v>
      </c>
      <c r="V3320">
        <f t="shared" si="516"/>
        <v>1</v>
      </c>
      <c r="W3320">
        <f t="shared" si="517"/>
        <v>1</v>
      </c>
      <c r="X3320">
        <f t="shared" si="518"/>
        <v>0.99999999999999989</v>
      </c>
      <c r="Y3320" t="str">
        <f t="shared" si="519"/>
        <v>Healthy</v>
      </c>
    </row>
    <row r="3321" spans="1:25" x14ac:dyDescent="0.35">
      <c r="A3321" t="s">
        <v>179</v>
      </c>
      <c r="B3321" t="s">
        <v>195</v>
      </c>
      <c r="C3321" t="s">
        <v>199</v>
      </c>
      <c r="D3321" t="s">
        <v>2300</v>
      </c>
      <c r="E3321">
        <v>80785969</v>
      </c>
      <c r="F3321" t="s">
        <v>2301</v>
      </c>
      <c r="G3321" s="3">
        <v>46703</v>
      </c>
      <c r="H3321">
        <v>18</v>
      </c>
      <c r="I3321">
        <v>95</v>
      </c>
      <c r="J3321">
        <v>12</v>
      </c>
      <c r="K3321" s="4">
        <v>4727.04</v>
      </c>
      <c r="L3321" s="4">
        <v>4065.1428571428573</v>
      </c>
      <c r="M3321" s="4">
        <v>2.9519257801518132E-3</v>
      </c>
      <c r="N3321" t="s">
        <v>25</v>
      </c>
      <c r="O3321" t="str">
        <f t="shared" si="510"/>
        <v>Low</v>
      </c>
      <c r="P3321" t="str">
        <f t="shared" si="511"/>
        <v>Low</v>
      </c>
      <c r="Q3321" t="str">
        <f t="shared" si="512"/>
        <v>Low</v>
      </c>
      <c r="R3321" t="s">
        <v>3317</v>
      </c>
      <c r="S3321" s="4">
        <f t="shared" ca="1" si="513"/>
        <v>506</v>
      </c>
      <c r="T3321">
        <f t="shared" si="514"/>
        <v>1</v>
      </c>
      <c r="U3321">
        <f t="shared" si="515"/>
        <v>1</v>
      </c>
      <c r="V3321">
        <f t="shared" si="516"/>
        <v>1</v>
      </c>
      <c r="W3321">
        <f t="shared" si="517"/>
        <v>1</v>
      </c>
      <c r="X3321">
        <f t="shared" si="518"/>
        <v>0.99999999999999989</v>
      </c>
      <c r="Y3321" t="str">
        <f t="shared" si="519"/>
        <v>Healthy</v>
      </c>
    </row>
    <row r="3322" spans="1:25" x14ac:dyDescent="0.35">
      <c r="A3322" t="s">
        <v>71</v>
      </c>
      <c r="B3322" t="s">
        <v>72</v>
      </c>
      <c r="C3322" t="s">
        <v>386</v>
      </c>
      <c r="D3322" t="s">
        <v>1475</v>
      </c>
      <c r="E3322">
        <v>80895503</v>
      </c>
      <c r="F3322" t="s">
        <v>2304</v>
      </c>
      <c r="G3322" s="3">
        <v>47141</v>
      </c>
      <c r="H3322">
        <v>36</v>
      </c>
      <c r="I3322">
        <v>88</v>
      </c>
      <c r="J3322">
        <v>157</v>
      </c>
      <c r="K3322" s="4">
        <v>12308.8</v>
      </c>
      <c r="L3322" s="4">
        <v>1403.1428571428571</v>
      </c>
      <c r="M3322" s="4">
        <v>0.11189167175727958</v>
      </c>
      <c r="N3322" t="s">
        <v>25</v>
      </c>
      <c r="O3322" t="str">
        <f t="shared" si="510"/>
        <v>Low</v>
      </c>
      <c r="P3322" t="str">
        <f t="shared" si="511"/>
        <v>Low</v>
      </c>
      <c r="Q3322" t="str">
        <f t="shared" si="512"/>
        <v>Low</v>
      </c>
      <c r="R3322" t="s">
        <v>3317</v>
      </c>
      <c r="S3322" s="4">
        <f t="shared" ca="1" si="513"/>
        <v>944</v>
      </c>
      <c r="T3322">
        <f t="shared" si="514"/>
        <v>1</v>
      </c>
      <c r="U3322">
        <f t="shared" si="515"/>
        <v>1</v>
      </c>
      <c r="V3322">
        <f t="shared" si="516"/>
        <v>1</v>
      </c>
      <c r="W3322">
        <f t="shared" si="517"/>
        <v>1</v>
      </c>
      <c r="X3322">
        <f t="shared" si="518"/>
        <v>0.99999999999999989</v>
      </c>
      <c r="Y3322" t="str">
        <f t="shared" si="519"/>
        <v>Healthy</v>
      </c>
    </row>
    <row r="3323" spans="1:25" x14ac:dyDescent="0.35">
      <c r="A3323" t="s">
        <v>179</v>
      </c>
      <c r="B3323" t="s">
        <v>195</v>
      </c>
      <c r="C3323" t="s">
        <v>199</v>
      </c>
      <c r="D3323" t="s">
        <v>2300</v>
      </c>
      <c r="E3323">
        <v>80785969</v>
      </c>
      <c r="F3323" t="s">
        <v>2301</v>
      </c>
      <c r="G3323" s="3">
        <v>46731</v>
      </c>
      <c r="H3323">
        <v>18</v>
      </c>
      <c r="I3323">
        <v>100</v>
      </c>
      <c r="J3323">
        <v>2112</v>
      </c>
      <c r="K3323" s="4">
        <v>831959.04000000004</v>
      </c>
      <c r="L3323" s="4">
        <v>4065.1428571428573</v>
      </c>
      <c r="M3323" s="4">
        <v>0.51953893730671907</v>
      </c>
      <c r="N3323" t="s">
        <v>25</v>
      </c>
      <c r="O3323" t="str">
        <f t="shared" si="510"/>
        <v>Low</v>
      </c>
      <c r="P3323" t="str">
        <f t="shared" si="511"/>
        <v>Low</v>
      </c>
      <c r="Q3323" t="str">
        <f t="shared" si="512"/>
        <v>Low</v>
      </c>
      <c r="R3323" t="s">
        <v>3309</v>
      </c>
      <c r="S3323" s="4">
        <f t="shared" ca="1" si="513"/>
        <v>534</v>
      </c>
      <c r="T3323">
        <f t="shared" si="514"/>
        <v>1</v>
      </c>
      <c r="U3323">
        <f t="shared" si="515"/>
        <v>1</v>
      </c>
      <c r="V3323">
        <f t="shared" si="516"/>
        <v>1</v>
      </c>
      <c r="W3323">
        <f t="shared" si="517"/>
        <v>3</v>
      </c>
      <c r="X3323">
        <f t="shared" si="518"/>
        <v>1.2</v>
      </c>
      <c r="Y3323" t="str">
        <f t="shared" si="519"/>
        <v>Healthy</v>
      </c>
    </row>
    <row r="3324" spans="1:25" x14ac:dyDescent="0.35">
      <c r="A3324" t="s">
        <v>71</v>
      </c>
      <c r="B3324" t="s">
        <v>72</v>
      </c>
      <c r="C3324" t="s">
        <v>386</v>
      </c>
      <c r="D3324" t="s">
        <v>1475</v>
      </c>
      <c r="E3324">
        <v>80895503</v>
      </c>
      <c r="F3324" t="s">
        <v>2304</v>
      </c>
      <c r="G3324" s="3">
        <v>47127</v>
      </c>
      <c r="H3324">
        <v>36</v>
      </c>
      <c r="I3324">
        <v>87</v>
      </c>
      <c r="J3324">
        <v>152</v>
      </c>
      <c r="K3324" s="4">
        <v>11916.8</v>
      </c>
      <c r="L3324" s="4">
        <v>1403.1428571428571</v>
      </c>
      <c r="M3324" s="4">
        <v>0.10832824272042355</v>
      </c>
      <c r="N3324" t="s">
        <v>25</v>
      </c>
      <c r="O3324" t="str">
        <f t="shared" si="510"/>
        <v>Low</v>
      </c>
      <c r="P3324" t="str">
        <f t="shared" si="511"/>
        <v>Low</v>
      </c>
      <c r="Q3324" t="str">
        <f t="shared" si="512"/>
        <v>Low</v>
      </c>
      <c r="R3324" t="s">
        <v>3317</v>
      </c>
      <c r="S3324" s="4">
        <f t="shared" ca="1" si="513"/>
        <v>930</v>
      </c>
      <c r="T3324">
        <f t="shared" si="514"/>
        <v>1</v>
      </c>
      <c r="U3324">
        <f t="shared" si="515"/>
        <v>1</v>
      </c>
      <c r="V3324">
        <f t="shared" si="516"/>
        <v>1</v>
      </c>
      <c r="W3324">
        <f t="shared" si="517"/>
        <v>1</v>
      </c>
      <c r="X3324">
        <f t="shared" si="518"/>
        <v>0.99999999999999989</v>
      </c>
      <c r="Y3324" t="str">
        <f t="shared" si="519"/>
        <v>Healthy</v>
      </c>
    </row>
    <row r="3325" spans="1:25" x14ac:dyDescent="0.35">
      <c r="A3325" t="s">
        <v>179</v>
      </c>
      <c r="B3325" t="s">
        <v>195</v>
      </c>
      <c r="C3325" t="s">
        <v>199</v>
      </c>
      <c r="D3325" t="s">
        <v>2300</v>
      </c>
      <c r="E3325">
        <v>80785969</v>
      </c>
      <c r="F3325" t="s">
        <v>2301</v>
      </c>
      <c r="G3325" s="3">
        <v>46687</v>
      </c>
      <c r="H3325">
        <v>18</v>
      </c>
      <c r="I3325">
        <v>92</v>
      </c>
      <c r="J3325">
        <v>24</v>
      </c>
      <c r="K3325" s="4">
        <v>9454.08</v>
      </c>
      <c r="L3325" s="4">
        <v>4065.1428571428573</v>
      </c>
      <c r="M3325" s="4">
        <v>5.9038515603036263E-3</v>
      </c>
      <c r="N3325" t="s">
        <v>25</v>
      </c>
      <c r="O3325" t="str">
        <f t="shared" si="510"/>
        <v>Low</v>
      </c>
      <c r="P3325" t="str">
        <f t="shared" si="511"/>
        <v>Low</v>
      </c>
      <c r="Q3325" t="str">
        <f t="shared" si="512"/>
        <v>Low</v>
      </c>
      <c r="R3325" t="s">
        <v>3317</v>
      </c>
      <c r="S3325" s="4">
        <f t="shared" ca="1" si="513"/>
        <v>490</v>
      </c>
      <c r="T3325">
        <f t="shared" si="514"/>
        <v>1</v>
      </c>
      <c r="U3325">
        <f t="shared" si="515"/>
        <v>1</v>
      </c>
      <c r="V3325">
        <f t="shared" si="516"/>
        <v>1</v>
      </c>
      <c r="W3325">
        <f t="shared" si="517"/>
        <v>1</v>
      </c>
      <c r="X3325">
        <f t="shared" si="518"/>
        <v>0.99999999999999989</v>
      </c>
      <c r="Y3325" t="str">
        <f t="shared" si="519"/>
        <v>Healthy</v>
      </c>
    </row>
    <row r="3326" spans="1:25" x14ac:dyDescent="0.35">
      <c r="A3326" t="s">
        <v>71</v>
      </c>
      <c r="B3326" t="s">
        <v>72</v>
      </c>
      <c r="C3326" t="s">
        <v>386</v>
      </c>
      <c r="D3326" t="s">
        <v>1475</v>
      </c>
      <c r="E3326">
        <v>80895503</v>
      </c>
      <c r="F3326" t="s">
        <v>2304</v>
      </c>
      <c r="G3326" s="3">
        <v>47117</v>
      </c>
      <c r="H3326">
        <v>36</v>
      </c>
      <c r="I3326">
        <v>86</v>
      </c>
      <c r="J3326">
        <v>146</v>
      </c>
      <c r="K3326" s="4">
        <v>11446.4</v>
      </c>
      <c r="L3326" s="4">
        <v>1403.1428571428571</v>
      </c>
      <c r="M3326" s="4">
        <v>0.10405212787619629</v>
      </c>
      <c r="N3326" t="s">
        <v>25</v>
      </c>
      <c r="O3326" t="str">
        <f t="shared" si="510"/>
        <v>Low</v>
      </c>
      <c r="P3326" t="str">
        <f t="shared" si="511"/>
        <v>Low</v>
      </c>
      <c r="Q3326" t="str">
        <f t="shared" si="512"/>
        <v>Low</v>
      </c>
      <c r="R3326" t="s">
        <v>3317</v>
      </c>
      <c r="S3326" s="4">
        <f t="shared" ca="1" si="513"/>
        <v>920</v>
      </c>
      <c r="T3326">
        <f t="shared" si="514"/>
        <v>1</v>
      </c>
      <c r="U3326">
        <f t="shared" si="515"/>
        <v>1</v>
      </c>
      <c r="V3326">
        <f t="shared" si="516"/>
        <v>1</v>
      </c>
      <c r="W3326">
        <f t="shared" si="517"/>
        <v>1</v>
      </c>
      <c r="X3326">
        <f t="shared" si="518"/>
        <v>0.99999999999999989</v>
      </c>
      <c r="Y3326" t="str">
        <f t="shared" si="519"/>
        <v>Healthy</v>
      </c>
    </row>
    <row r="3327" spans="1:25" x14ac:dyDescent="0.35">
      <c r="A3327" t="s">
        <v>179</v>
      </c>
      <c r="B3327" t="s">
        <v>195</v>
      </c>
      <c r="C3327" t="s">
        <v>199</v>
      </c>
      <c r="D3327" t="s">
        <v>2300</v>
      </c>
      <c r="E3327">
        <v>80785969</v>
      </c>
      <c r="F3327" t="s">
        <v>2301</v>
      </c>
      <c r="G3327" s="3">
        <v>46702</v>
      </c>
      <c r="H3327">
        <v>18</v>
      </c>
      <c r="I3327">
        <v>94</v>
      </c>
      <c r="J3327">
        <v>10</v>
      </c>
      <c r="K3327" s="4">
        <v>3939.2</v>
      </c>
      <c r="L3327" s="4">
        <v>4065.1428571428573</v>
      </c>
      <c r="M3327" s="4">
        <v>2.4599381501265111E-3</v>
      </c>
      <c r="N3327" t="s">
        <v>25</v>
      </c>
      <c r="O3327" t="str">
        <f t="shared" si="510"/>
        <v>Low</v>
      </c>
      <c r="P3327" t="str">
        <f t="shared" si="511"/>
        <v>Low</v>
      </c>
      <c r="Q3327" t="str">
        <f t="shared" si="512"/>
        <v>Low</v>
      </c>
      <c r="R3327" t="s">
        <v>3317</v>
      </c>
      <c r="S3327" s="4">
        <f t="shared" ca="1" si="513"/>
        <v>505</v>
      </c>
      <c r="T3327">
        <f t="shared" si="514"/>
        <v>1</v>
      </c>
      <c r="U3327">
        <f t="shared" si="515"/>
        <v>1</v>
      </c>
      <c r="V3327">
        <f t="shared" si="516"/>
        <v>1</v>
      </c>
      <c r="W3327">
        <f t="shared" si="517"/>
        <v>1</v>
      </c>
      <c r="X3327">
        <f t="shared" si="518"/>
        <v>0.99999999999999989</v>
      </c>
      <c r="Y3327" t="str">
        <f t="shared" si="519"/>
        <v>Healthy</v>
      </c>
    </row>
    <row r="3328" spans="1:25" x14ac:dyDescent="0.35">
      <c r="A3328" t="s">
        <v>71</v>
      </c>
      <c r="B3328" t="s">
        <v>72</v>
      </c>
      <c r="C3328" t="s">
        <v>386</v>
      </c>
      <c r="D3328" t="s">
        <v>1475</v>
      </c>
      <c r="E3328">
        <v>80895503</v>
      </c>
      <c r="F3328" t="s">
        <v>2304</v>
      </c>
      <c r="G3328" s="3">
        <v>47166</v>
      </c>
      <c r="H3328">
        <v>36</v>
      </c>
      <c r="I3328">
        <v>90</v>
      </c>
      <c r="J3328">
        <v>40</v>
      </c>
      <c r="K3328" s="4">
        <v>3136</v>
      </c>
      <c r="L3328" s="4">
        <v>1403.1428571428571</v>
      </c>
      <c r="M3328" s="4">
        <v>2.8507432294848301E-2</v>
      </c>
      <c r="N3328" t="s">
        <v>25</v>
      </c>
      <c r="O3328" t="str">
        <f t="shared" si="510"/>
        <v>Low</v>
      </c>
      <c r="P3328" t="str">
        <f t="shared" si="511"/>
        <v>Low</v>
      </c>
      <c r="Q3328" t="str">
        <f t="shared" si="512"/>
        <v>Low</v>
      </c>
      <c r="R3328" t="s">
        <v>3317</v>
      </c>
      <c r="S3328" s="4">
        <f t="shared" ca="1" si="513"/>
        <v>969</v>
      </c>
      <c r="T3328">
        <f t="shared" si="514"/>
        <v>1</v>
      </c>
      <c r="U3328">
        <f t="shared" si="515"/>
        <v>1</v>
      </c>
      <c r="V3328">
        <f t="shared" si="516"/>
        <v>1</v>
      </c>
      <c r="W3328">
        <f t="shared" si="517"/>
        <v>1</v>
      </c>
      <c r="X3328">
        <f t="shared" si="518"/>
        <v>0.99999999999999989</v>
      </c>
      <c r="Y3328" t="str">
        <f t="shared" si="519"/>
        <v>Healthy</v>
      </c>
    </row>
    <row r="3329" spans="1:25" x14ac:dyDescent="0.35">
      <c r="A3329" t="s">
        <v>179</v>
      </c>
      <c r="B3329" t="s">
        <v>195</v>
      </c>
      <c r="C3329" t="s">
        <v>199</v>
      </c>
      <c r="D3329" t="s">
        <v>2300</v>
      </c>
      <c r="E3329">
        <v>80785969</v>
      </c>
      <c r="F3329" t="s">
        <v>2301</v>
      </c>
      <c r="G3329" s="3">
        <v>46725</v>
      </c>
      <c r="H3329">
        <v>18</v>
      </c>
      <c r="I3329">
        <v>99</v>
      </c>
      <c r="J3329">
        <v>36</v>
      </c>
      <c r="K3329" s="4">
        <v>14181.12</v>
      </c>
      <c r="L3329" s="4">
        <v>4065.1428571428573</v>
      </c>
      <c r="M3329" s="4">
        <v>8.8557773404554403E-3</v>
      </c>
      <c r="N3329" t="s">
        <v>25</v>
      </c>
      <c r="O3329" t="str">
        <f t="shared" si="510"/>
        <v>Low</v>
      </c>
      <c r="P3329" t="str">
        <f t="shared" si="511"/>
        <v>Low</v>
      </c>
      <c r="Q3329" t="str">
        <f t="shared" si="512"/>
        <v>Low</v>
      </c>
      <c r="R3329" t="s">
        <v>3317</v>
      </c>
      <c r="S3329" s="4">
        <f t="shared" ca="1" si="513"/>
        <v>528</v>
      </c>
      <c r="T3329">
        <f t="shared" si="514"/>
        <v>1</v>
      </c>
      <c r="U3329">
        <f t="shared" si="515"/>
        <v>1</v>
      </c>
      <c r="V3329">
        <f t="shared" si="516"/>
        <v>1</v>
      </c>
      <c r="W3329">
        <f t="shared" si="517"/>
        <v>1</v>
      </c>
      <c r="X3329">
        <f t="shared" si="518"/>
        <v>0.99999999999999989</v>
      </c>
      <c r="Y3329" t="str">
        <f t="shared" si="519"/>
        <v>Healthy</v>
      </c>
    </row>
    <row r="3330" spans="1:25" x14ac:dyDescent="0.35">
      <c r="A3330" t="s">
        <v>71</v>
      </c>
      <c r="B3330" t="s">
        <v>72</v>
      </c>
      <c r="C3330" t="s">
        <v>386</v>
      </c>
      <c r="D3330" t="s">
        <v>1475</v>
      </c>
      <c r="E3330">
        <v>80895503</v>
      </c>
      <c r="F3330" t="s">
        <v>2304</v>
      </c>
      <c r="G3330" s="3">
        <v>47127</v>
      </c>
      <c r="H3330">
        <v>36</v>
      </c>
      <c r="I3330">
        <v>87</v>
      </c>
      <c r="J3330">
        <v>147</v>
      </c>
      <c r="K3330" s="4">
        <v>11524.8</v>
      </c>
      <c r="L3330" s="4">
        <v>1403.1428571428571</v>
      </c>
      <c r="M3330" s="4">
        <v>0.10476481368356751</v>
      </c>
      <c r="N3330" t="s">
        <v>25</v>
      </c>
      <c r="O3330" t="str">
        <f t="shared" si="510"/>
        <v>Low</v>
      </c>
      <c r="P3330" t="str">
        <f t="shared" si="511"/>
        <v>Low</v>
      </c>
      <c r="Q3330" t="str">
        <f t="shared" si="512"/>
        <v>Low</v>
      </c>
      <c r="R3330" t="s">
        <v>3317</v>
      </c>
      <c r="S3330" s="4">
        <f t="shared" ca="1" si="513"/>
        <v>930</v>
      </c>
      <c r="T3330">
        <f t="shared" si="514"/>
        <v>1</v>
      </c>
      <c r="U3330">
        <f t="shared" si="515"/>
        <v>1</v>
      </c>
      <c r="V3330">
        <f t="shared" si="516"/>
        <v>1</v>
      </c>
      <c r="W3330">
        <f t="shared" si="517"/>
        <v>1</v>
      </c>
      <c r="X3330">
        <f t="shared" si="518"/>
        <v>0.99999999999999989</v>
      </c>
      <c r="Y3330" t="str">
        <f t="shared" si="519"/>
        <v>Healthy</v>
      </c>
    </row>
    <row r="3331" spans="1:25" x14ac:dyDescent="0.35">
      <c r="A3331" t="s">
        <v>71</v>
      </c>
      <c r="B3331" t="s">
        <v>72</v>
      </c>
      <c r="C3331" t="s">
        <v>386</v>
      </c>
      <c r="D3331" t="s">
        <v>2305</v>
      </c>
      <c r="E3331">
        <v>80895504</v>
      </c>
      <c r="F3331" t="s">
        <v>2306</v>
      </c>
      <c r="G3331" s="3">
        <v>47249</v>
      </c>
      <c r="H3331">
        <v>36</v>
      </c>
      <c r="I3331">
        <v>98</v>
      </c>
      <c r="J3331">
        <v>16</v>
      </c>
      <c r="K3331" s="4">
        <v>1907.2</v>
      </c>
      <c r="L3331" s="4">
        <v>2518.4285714285716</v>
      </c>
      <c r="M3331" s="4">
        <v>6.3531680753304209E-3</v>
      </c>
      <c r="N3331" t="s">
        <v>25</v>
      </c>
      <c r="O3331" t="str">
        <f t="shared" ref="O3331:O3394" si="520">IF(I3331&lt;20,"High",IF(I3331&lt;40,"Medium","Low"))</f>
        <v>Low</v>
      </c>
      <c r="P3331" t="str">
        <f t="shared" ref="P3331:P3394" si="521">IF(M3331&gt;8,"High",IF(M3331&gt;4,"Medium","Low"))</f>
        <v>Low</v>
      </c>
      <c r="Q3331" t="str">
        <f t="shared" ref="Q3331:Q3394" si="522">IF(L3331&lt;5,"High",IF(L3331&lt;15,"Medium","Low"))</f>
        <v>Low</v>
      </c>
      <c r="R3331" t="s">
        <v>3317</v>
      </c>
      <c r="S3331" s="4">
        <f t="shared" ref="S3331:S3394" ca="1" si="523">G3331-TODAY()</f>
        <v>1052</v>
      </c>
      <c r="T3331">
        <f t="shared" ref="T3331:T3394" si="524">IF(O3331="High",3,IF(O3331="Medium",2,1))</f>
        <v>1</v>
      </c>
      <c r="U3331">
        <f t="shared" ref="U3331:U3394" si="525">IF(P3331="High",3,IF(P3331="Medium",2,1))</f>
        <v>1</v>
      </c>
      <c r="V3331">
        <f t="shared" ref="V3331:V3394" si="526">IF(Q3331="High",3,IF(Q3331="Medium",2,1))</f>
        <v>1</v>
      </c>
      <c r="W3331">
        <f t="shared" ref="W3331:W3394" si="527">IF(R3331="High",3,IF(R3331="Medium",2,1))</f>
        <v>1</v>
      </c>
      <c r="X3331">
        <f t="shared" ref="X3331:X3394" si="528">(0.4*T3331)+(0.3*U3331)+(0.2*V3331)+(0.1*W3331)</f>
        <v>0.99999999999999989</v>
      </c>
      <c r="Y3331" t="str">
        <f t="shared" ref="Y3331:Y3394" si="529">IF(X3331&gt;=2.7,"Move Immediately",IF(X3331&gt;=2.2,"High Priority",IF(X3331&gt;=1.7,"Monitor","Healthy")))</f>
        <v>Healthy</v>
      </c>
    </row>
    <row r="3332" spans="1:25" x14ac:dyDescent="0.35">
      <c r="A3332" t="s">
        <v>71</v>
      </c>
      <c r="B3332" t="s">
        <v>72</v>
      </c>
      <c r="C3332" t="s">
        <v>386</v>
      </c>
      <c r="D3332" t="s">
        <v>2305</v>
      </c>
      <c r="E3332">
        <v>80895504</v>
      </c>
      <c r="F3332" t="s">
        <v>2306</v>
      </c>
      <c r="G3332" s="3">
        <v>47232</v>
      </c>
      <c r="H3332">
        <v>36</v>
      </c>
      <c r="I3332">
        <v>96</v>
      </c>
      <c r="J3332">
        <v>2</v>
      </c>
      <c r="K3332" s="4">
        <v>238.4</v>
      </c>
      <c r="L3332" s="4">
        <v>2518.4285714285716</v>
      </c>
      <c r="M3332" s="4">
        <v>7.9414600941630261E-4</v>
      </c>
      <c r="N3332" t="s">
        <v>25</v>
      </c>
      <c r="O3332" t="str">
        <f t="shared" si="520"/>
        <v>Low</v>
      </c>
      <c r="P3332" t="str">
        <f t="shared" si="521"/>
        <v>Low</v>
      </c>
      <c r="Q3332" t="str">
        <f t="shared" si="522"/>
        <v>Low</v>
      </c>
      <c r="R3332" t="s">
        <v>3317</v>
      </c>
      <c r="S3332" s="4">
        <f t="shared" ca="1" si="523"/>
        <v>1035</v>
      </c>
      <c r="T3332">
        <f t="shared" si="524"/>
        <v>1</v>
      </c>
      <c r="U3332">
        <f t="shared" si="525"/>
        <v>1</v>
      </c>
      <c r="V3332">
        <f t="shared" si="526"/>
        <v>1</v>
      </c>
      <c r="W3332">
        <f t="shared" si="527"/>
        <v>1</v>
      </c>
      <c r="X3332">
        <f t="shared" si="528"/>
        <v>0.99999999999999989</v>
      </c>
      <c r="Y3332" t="str">
        <f t="shared" si="529"/>
        <v>Healthy</v>
      </c>
    </row>
    <row r="3333" spans="1:25" x14ac:dyDescent="0.35">
      <c r="A3333" t="s">
        <v>179</v>
      </c>
      <c r="B3333" t="s">
        <v>195</v>
      </c>
      <c r="C3333" t="s">
        <v>199</v>
      </c>
      <c r="D3333" t="s">
        <v>2300</v>
      </c>
      <c r="E3333">
        <v>80785969</v>
      </c>
      <c r="F3333" t="s">
        <v>2301</v>
      </c>
      <c r="G3333" s="3">
        <v>46699</v>
      </c>
      <c r="H3333">
        <v>18</v>
      </c>
      <c r="I3333">
        <v>94</v>
      </c>
      <c r="J3333">
        <v>47</v>
      </c>
      <c r="K3333" s="4">
        <v>18514.240000000002</v>
      </c>
      <c r="L3333" s="4">
        <v>4065.1428571428573</v>
      </c>
      <c r="M3333" s="4">
        <v>1.1561709305594602E-2</v>
      </c>
      <c r="N3333" t="s">
        <v>25</v>
      </c>
      <c r="O3333" t="str">
        <f t="shared" si="520"/>
        <v>Low</v>
      </c>
      <c r="P3333" t="str">
        <f t="shared" si="521"/>
        <v>Low</v>
      </c>
      <c r="Q3333" t="str">
        <f t="shared" si="522"/>
        <v>Low</v>
      </c>
      <c r="R3333" t="s">
        <v>3317</v>
      </c>
      <c r="S3333" s="4">
        <f t="shared" ca="1" si="523"/>
        <v>502</v>
      </c>
      <c r="T3333">
        <f t="shared" si="524"/>
        <v>1</v>
      </c>
      <c r="U3333">
        <f t="shared" si="525"/>
        <v>1</v>
      </c>
      <c r="V3333">
        <f t="shared" si="526"/>
        <v>1</v>
      </c>
      <c r="W3333">
        <f t="shared" si="527"/>
        <v>1</v>
      </c>
      <c r="X3333">
        <f t="shared" si="528"/>
        <v>0.99999999999999989</v>
      </c>
      <c r="Y3333" t="str">
        <f t="shared" si="529"/>
        <v>Healthy</v>
      </c>
    </row>
    <row r="3334" spans="1:25" x14ac:dyDescent="0.35">
      <c r="A3334" t="s">
        <v>71</v>
      </c>
      <c r="B3334" t="s">
        <v>72</v>
      </c>
      <c r="C3334" t="s">
        <v>386</v>
      </c>
      <c r="D3334" t="s">
        <v>2305</v>
      </c>
      <c r="E3334">
        <v>80895504</v>
      </c>
      <c r="F3334" t="s">
        <v>2306</v>
      </c>
      <c r="G3334" s="3">
        <v>47230</v>
      </c>
      <c r="H3334">
        <v>36</v>
      </c>
      <c r="I3334">
        <v>96</v>
      </c>
      <c r="J3334">
        <v>216</v>
      </c>
      <c r="K3334" s="4">
        <v>25747.200000000001</v>
      </c>
      <c r="L3334" s="4">
        <v>2518.4285714285716</v>
      </c>
      <c r="M3334" s="4">
        <v>8.576776901696069E-2</v>
      </c>
      <c r="N3334" t="s">
        <v>25</v>
      </c>
      <c r="O3334" t="str">
        <f t="shared" si="520"/>
        <v>Low</v>
      </c>
      <c r="P3334" t="str">
        <f t="shared" si="521"/>
        <v>Low</v>
      </c>
      <c r="Q3334" t="str">
        <f t="shared" si="522"/>
        <v>Low</v>
      </c>
      <c r="R3334" t="s">
        <v>3317</v>
      </c>
      <c r="S3334" s="4">
        <f t="shared" ca="1" si="523"/>
        <v>1033</v>
      </c>
      <c r="T3334">
        <f t="shared" si="524"/>
        <v>1</v>
      </c>
      <c r="U3334">
        <f t="shared" si="525"/>
        <v>1</v>
      </c>
      <c r="V3334">
        <f t="shared" si="526"/>
        <v>1</v>
      </c>
      <c r="W3334">
        <f t="shared" si="527"/>
        <v>1</v>
      </c>
      <c r="X3334">
        <f t="shared" si="528"/>
        <v>0.99999999999999989</v>
      </c>
      <c r="Y3334" t="str">
        <f t="shared" si="529"/>
        <v>Healthy</v>
      </c>
    </row>
    <row r="3335" spans="1:25" x14ac:dyDescent="0.35">
      <c r="A3335" t="s">
        <v>179</v>
      </c>
      <c r="B3335" t="s">
        <v>195</v>
      </c>
      <c r="C3335" t="s">
        <v>199</v>
      </c>
      <c r="D3335" t="s">
        <v>2300</v>
      </c>
      <c r="E3335">
        <v>80785969</v>
      </c>
      <c r="F3335" t="s">
        <v>2301</v>
      </c>
      <c r="G3335" s="3">
        <v>46725</v>
      </c>
      <c r="H3335">
        <v>18</v>
      </c>
      <c r="I3335">
        <v>99</v>
      </c>
      <c r="J3335">
        <v>12</v>
      </c>
      <c r="K3335" s="4">
        <v>4727.04</v>
      </c>
      <c r="L3335" s="4">
        <v>4065.1428571428573</v>
      </c>
      <c r="M3335" s="4">
        <v>2.9519257801518132E-3</v>
      </c>
      <c r="N3335" t="s">
        <v>25</v>
      </c>
      <c r="O3335" t="str">
        <f t="shared" si="520"/>
        <v>Low</v>
      </c>
      <c r="P3335" t="str">
        <f t="shared" si="521"/>
        <v>Low</v>
      </c>
      <c r="Q3335" t="str">
        <f t="shared" si="522"/>
        <v>Low</v>
      </c>
      <c r="R3335" t="s">
        <v>3317</v>
      </c>
      <c r="S3335" s="4">
        <f t="shared" ca="1" si="523"/>
        <v>528</v>
      </c>
      <c r="T3335">
        <f t="shared" si="524"/>
        <v>1</v>
      </c>
      <c r="U3335">
        <f t="shared" si="525"/>
        <v>1</v>
      </c>
      <c r="V3335">
        <f t="shared" si="526"/>
        <v>1</v>
      </c>
      <c r="W3335">
        <f t="shared" si="527"/>
        <v>1</v>
      </c>
      <c r="X3335">
        <f t="shared" si="528"/>
        <v>0.99999999999999989</v>
      </c>
      <c r="Y3335" t="str">
        <f t="shared" si="529"/>
        <v>Healthy</v>
      </c>
    </row>
    <row r="3336" spans="1:25" x14ac:dyDescent="0.35">
      <c r="A3336" t="s">
        <v>71</v>
      </c>
      <c r="B3336" t="s">
        <v>72</v>
      </c>
      <c r="C3336" t="s">
        <v>386</v>
      </c>
      <c r="D3336" t="s">
        <v>2305</v>
      </c>
      <c r="E3336">
        <v>80895504</v>
      </c>
      <c r="F3336" t="s">
        <v>2306</v>
      </c>
      <c r="G3336" s="3">
        <v>47194</v>
      </c>
      <c r="H3336">
        <v>36</v>
      </c>
      <c r="I3336">
        <v>93</v>
      </c>
      <c r="J3336">
        <v>7</v>
      </c>
      <c r="K3336" s="4">
        <v>834.4</v>
      </c>
      <c r="L3336" s="4">
        <v>2518.4285714285716</v>
      </c>
      <c r="M3336" s="4">
        <v>2.7795110329570591E-3</v>
      </c>
      <c r="N3336" t="s">
        <v>25</v>
      </c>
      <c r="O3336" t="str">
        <f t="shared" si="520"/>
        <v>Low</v>
      </c>
      <c r="P3336" t="str">
        <f t="shared" si="521"/>
        <v>Low</v>
      </c>
      <c r="Q3336" t="str">
        <f t="shared" si="522"/>
        <v>Low</v>
      </c>
      <c r="R3336" t="s">
        <v>3317</v>
      </c>
      <c r="S3336" s="4">
        <f t="shared" ca="1" si="523"/>
        <v>997</v>
      </c>
      <c r="T3336">
        <f t="shared" si="524"/>
        <v>1</v>
      </c>
      <c r="U3336">
        <f t="shared" si="525"/>
        <v>1</v>
      </c>
      <c r="V3336">
        <f t="shared" si="526"/>
        <v>1</v>
      </c>
      <c r="W3336">
        <f t="shared" si="527"/>
        <v>1</v>
      </c>
      <c r="X3336">
        <f t="shared" si="528"/>
        <v>0.99999999999999989</v>
      </c>
      <c r="Y3336" t="str">
        <f t="shared" si="529"/>
        <v>Healthy</v>
      </c>
    </row>
    <row r="3337" spans="1:25" x14ac:dyDescent="0.35">
      <c r="A3337" t="s">
        <v>71</v>
      </c>
      <c r="B3337" t="s">
        <v>72</v>
      </c>
      <c r="C3337" t="s">
        <v>386</v>
      </c>
      <c r="D3337" t="s">
        <v>2305</v>
      </c>
      <c r="E3337">
        <v>80895504</v>
      </c>
      <c r="F3337" t="s">
        <v>2306</v>
      </c>
      <c r="G3337" s="3">
        <v>47180</v>
      </c>
      <c r="H3337">
        <v>36</v>
      </c>
      <c r="I3337">
        <v>91</v>
      </c>
      <c r="J3337">
        <v>2</v>
      </c>
      <c r="K3337" s="4">
        <v>238.4</v>
      </c>
      <c r="L3337" s="4">
        <v>2518.4285714285716</v>
      </c>
      <c r="M3337" s="4">
        <v>7.9414600941630261E-4</v>
      </c>
      <c r="N3337" t="s">
        <v>25</v>
      </c>
      <c r="O3337" t="str">
        <f t="shared" si="520"/>
        <v>Low</v>
      </c>
      <c r="P3337" t="str">
        <f t="shared" si="521"/>
        <v>Low</v>
      </c>
      <c r="Q3337" t="str">
        <f t="shared" si="522"/>
        <v>Low</v>
      </c>
      <c r="R3337" t="s">
        <v>3317</v>
      </c>
      <c r="S3337" s="4">
        <f t="shared" ca="1" si="523"/>
        <v>983</v>
      </c>
      <c r="T3337">
        <f t="shared" si="524"/>
        <v>1</v>
      </c>
      <c r="U3337">
        <f t="shared" si="525"/>
        <v>1</v>
      </c>
      <c r="V3337">
        <f t="shared" si="526"/>
        <v>1</v>
      </c>
      <c r="W3337">
        <f t="shared" si="527"/>
        <v>1</v>
      </c>
      <c r="X3337">
        <f t="shared" si="528"/>
        <v>0.99999999999999989</v>
      </c>
      <c r="Y3337" t="str">
        <f t="shared" si="529"/>
        <v>Healthy</v>
      </c>
    </row>
    <row r="3338" spans="1:25" x14ac:dyDescent="0.35">
      <c r="A3338" t="s">
        <v>179</v>
      </c>
      <c r="B3338" t="s">
        <v>195</v>
      </c>
      <c r="C3338" t="s">
        <v>199</v>
      </c>
      <c r="D3338" t="s">
        <v>2300</v>
      </c>
      <c r="E3338">
        <v>80785969</v>
      </c>
      <c r="F3338" t="s">
        <v>2301</v>
      </c>
      <c r="G3338" s="3">
        <v>46655</v>
      </c>
      <c r="H3338">
        <v>18</v>
      </c>
      <c r="I3338">
        <v>86</v>
      </c>
      <c r="J3338">
        <v>29</v>
      </c>
      <c r="K3338" s="4">
        <v>11423.68</v>
      </c>
      <c r="L3338" s="4">
        <v>4065.1428571428573</v>
      </c>
      <c r="M3338" s="4">
        <v>7.1338206353668823E-3</v>
      </c>
      <c r="N3338" t="s">
        <v>25</v>
      </c>
      <c r="O3338" t="str">
        <f t="shared" si="520"/>
        <v>Low</v>
      </c>
      <c r="P3338" t="str">
        <f t="shared" si="521"/>
        <v>Low</v>
      </c>
      <c r="Q3338" t="str">
        <f t="shared" si="522"/>
        <v>Low</v>
      </c>
      <c r="R3338" t="s">
        <v>3317</v>
      </c>
      <c r="S3338" s="4">
        <f t="shared" ca="1" si="523"/>
        <v>458</v>
      </c>
      <c r="T3338">
        <f t="shared" si="524"/>
        <v>1</v>
      </c>
      <c r="U3338">
        <f t="shared" si="525"/>
        <v>1</v>
      </c>
      <c r="V3338">
        <f t="shared" si="526"/>
        <v>1</v>
      </c>
      <c r="W3338">
        <f t="shared" si="527"/>
        <v>1</v>
      </c>
      <c r="X3338">
        <f t="shared" si="528"/>
        <v>0.99999999999999989</v>
      </c>
      <c r="Y3338" t="str">
        <f t="shared" si="529"/>
        <v>Healthy</v>
      </c>
    </row>
    <row r="3339" spans="1:25" x14ac:dyDescent="0.35">
      <c r="A3339" t="s">
        <v>71</v>
      </c>
      <c r="B3339" t="s">
        <v>72</v>
      </c>
      <c r="C3339" t="s">
        <v>150</v>
      </c>
      <c r="D3339" t="s">
        <v>2307</v>
      </c>
      <c r="E3339">
        <v>80895530</v>
      </c>
      <c r="F3339" t="s">
        <v>2308</v>
      </c>
      <c r="G3339" s="3">
        <v>47270</v>
      </c>
      <c r="H3339">
        <v>36</v>
      </c>
      <c r="I3339">
        <v>100</v>
      </c>
      <c r="J3339">
        <v>520</v>
      </c>
      <c r="K3339" s="4">
        <v>17056</v>
      </c>
      <c r="L3339" s="4">
        <v>33.428571428571431</v>
      </c>
      <c r="M3339" s="4">
        <v>15.555555555555555</v>
      </c>
      <c r="N3339" t="s">
        <v>19</v>
      </c>
      <c r="O3339" t="str">
        <f t="shared" si="520"/>
        <v>Low</v>
      </c>
      <c r="P3339" t="str">
        <f t="shared" si="521"/>
        <v>High</v>
      </c>
      <c r="Q3339" t="str">
        <f t="shared" si="522"/>
        <v>Low</v>
      </c>
      <c r="R3339" t="s">
        <v>3317</v>
      </c>
      <c r="S3339" s="4">
        <f t="shared" ca="1" si="523"/>
        <v>1073</v>
      </c>
      <c r="T3339">
        <f t="shared" si="524"/>
        <v>1</v>
      </c>
      <c r="U3339">
        <f t="shared" si="525"/>
        <v>3</v>
      </c>
      <c r="V3339">
        <f t="shared" si="526"/>
        <v>1</v>
      </c>
      <c r="W3339">
        <f t="shared" si="527"/>
        <v>1</v>
      </c>
      <c r="X3339">
        <f t="shared" si="528"/>
        <v>1.5999999999999999</v>
      </c>
      <c r="Y3339" t="str">
        <f t="shared" si="529"/>
        <v>Healthy</v>
      </c>
    </row>
    <row r="3340" spans="1:25" x14ac:dyDescent="0.35">
      <c r="A3340" t="s">
        <v>71</v>
      </c>
      <c r="B3340" t="s">
        <v>72</v>
      </c>
      <c r="C3340" t="s">
        <v>150</v>
      </c>
      <c r="D3340" t="s">
        <v>2307</v>
      </c>
      <c r="E3340">
        <v>80895530</v>
      </c>
      <c r="F3340" t="s">
        <v>2308</v>
      </c>
      <c r="G3340" s="3">
        <v>47176</v>
      </c>
      <c r="H3340">
        <v>36</v>
      </c>
      <c r="I3340">
        <v>91</v>
      </c>
      <c r="J3340">
        <v>165</v>
      </c>
      <c r="K3340" s="4">
        <v>5412</v>
      </c>
      <c r="L3340" s="4">
        <v>33.428571428571431</v>
      </c>
      <c r="M3340" s="4">
        <v>4.9358974358974352</v>
      </c>
      <c r="N3340" t="s">
        <v>25</v>
      </c>
      <c r="O3340" t="str">
        <f t="shared" si="520"/>
        <v>Low</v>
      </c>
      <c r="P3340" t="str">
        <f t="shared" si="521"/>
        <v>Medium</v>
      </c>
      <c r="Q3340" t="str">
        <f t="shared" si="522"/>
        <v>Low</v>
      </c>
      <c r="R3340" t="s">
        <v>3317</v>
      </c>
      <c r="S3340" s="4">
        <f t="shared" ca="1" si="523"/>
        <v>979</v>
      </c>
      <c r="T3340">
        <f t="shared" si="524"/>
        <v>1</v>
      </c>
      <c r="U3340">
        <f t="shared" si="525"/>
        <v>2</v>
      </c>
      <c r="V3340">
        <f t="shared" si="526"/>
        <v>1</v>
      </c>
      <c r="W3340">
        <f t="shared" si="527"/>
        <v>1</v>
      </c>
      <c r="X3340">
        <f t="shared" si="528"/>
        <v>1.3</v>
      </c>
      <c r="Y3340" t="str">
        <f t="shared" si="529"/>
        <v>Healthy</v>
      </c>
    </row>
    <row r="3341" spans="1:25" x14ac:dyDescent="0.35">
      <c r="A3341" t="s">
        <v>71</v>
      </c>
      <c r="B3341" t="s">
        <v>72</v>
      </c>
      <c r="C3341" t="s">
        <v>150</v>
      </c>
      <c r="D3341" t="s">
        <v>2307</v>
      </c>
      <c r="E3341">
        <v>80895530</v>
      </c>
      <c r="F3341" t="s">
        <v>2308</v>
      </c>
      <c r="G3341" s="3">
        <v>47228</v>
      </c>
      <c r="H3341">
        <v>36</v>
      </c>
      <c r="I3341">
        <v>96</v>
      </c>
      <c r="J3341">
        <v>168</v>
      </c>
      <c r="K3341" s="4">
        <v>5510.4</v>
      </c>
      <c r="L3341" s="4">
        <v>33.428571428571431</v>
      </c>
      <c r="M3341" s="4">
        <v>5.0256410256410255</v>
      </c>
      <c r="N3341" t="s">
        <v>25</v>
      </c>
      <c r="O3341" t="str">
        <f t="shared" si="520"/>
        <v>Low</v>
      </c>
      <c r="P3341" t="str">
        <f t="shared" si="521"/>
        <v>Medium</v>
      </c>
      <c r="Q3341" t="str">
        <f t="shared" si="522"/>
        <v>Low</v>
      </c>
      <c r="R3341" t="s">
        <v>3317</v>
      </c>
      <c r="S3341" s="4">
        <f t="shared" ca="1" si="523"/>
        <v>1031</v>
      </c>
      <c r="T3341">
        <f t="shared" si="524"/>
        <v>1</v>
      </c>
      <c r="U3341">
        <f t="shared" si="525"/>
        <v>2</v>
      </c>
      <c r="V3341">
        <f t="shared" si="526"/>
        <v>1</v>
      </c>
      <c r="W3341">
        <f t="shared" si="527"/>
        <v>1</v>
      </c>
      <c r="X3341">
        <f t="shared" si="528"/>
        <v>1.3</v>
      </c>
      <c r="Y3341" t="str">
        <f t="shared" si="529"/>
        <v>Healthy</v>
      </c>
    </row>
    <row r="3342" spans="1:25" x14ac:dyDescent="0.35">
      <c r="A3342" t="s">
        <v>41</v>
      </c>
      <c r="B3342" t="s">
        <v>80</v>
      </c>
      <c r="C3342" t="s">
        <v>81</v>
      </c>
      <c r="D3342" t="s">
        <v>1066</v>
      </c>
      <c r="E3342">
        <v>80792062</v>
      </c>
      <c r="F3342" t="s">
        <v>2309</v>
      </c>
      <c r="G3342" s="3">
        <v>46556</v>
      </c>
      <c r="H3342">
        <v>36</v>
      </c>
      <c r="I3342">
        <v>34</v>
      </c>
      <c r="J3342">
        <v>3</v>
      </c>
      <c r="K3342" s="4">
        <v>1677.54</v>
      </c>
      <c r="L3342" s="4">
        <f>0</f>
        <v>0</v>
      </c>
      <c r="M3342" s="4">
        <f>999</f>
        <v>999</v>
      </c>
      <c r="N3342" t="s">
        <v>19</v>
      </c>
      <c r="O3342" t="str">
        <f t="shared" si="520"/>
        <v>Medium</v>
      </c>
      <c r="P3342" t="str">
        <f t="shared" si="521"/>
        <v>High</v>
      </c>
      <c r="Q3342" t="str">
        <f t="shared" si="522"/>
        <v>High</v>
      </c>
      <c r="R3342" t="s">
        <v>3317</v>
      </c>
      <c r="S3342" s="4">
        <f t="shared" ca="1" si="523"/>
        <v>359</v>
      </c>
      <c r="T3342">
        <f t="shared" si="524"/>
        <v>2</v>
      </c>
      <c r="U3342">
        <f t="shared" si="525"/>
        <v>3</v>
      </c>
      <c r="V3342">
        <f t="shared" si="526"/>
        <v>3</v>
      </c>
      <c r="W3342">
        <f t="shared" si="527"/>
        <v>1</v>
      </c>
      <c r="X3342">
        <f t="shared" si="528"/>
        <v>2.4</v>
      </c>
      <c r="Y3342" t="str">
        <f t="shared" si="529"/>
        <v>High Priority</v>
      </c>
    </row>
    <row r="3343" spans="1:25" x14ac:dyDescent="0.35">
      <c r="A3343" t="s">
        <v>71</v>
      </c>
      <c r="B3343" t="s">
        <v>72</v>
      </c>
      <c r="C3343" t="s">
        <v>386</v>
      </c>
      <c r="D3343" t="s">
        <v>2310</v>
      </c>
      <c r="E3343">
        <v>80895505</v>
      </c>
      <c r="F3343" t="s">
        <v>2311</v>
      </c>
      <c r="G3343" s="3">
        <v>47211</v>
      </c>
      <c r="H3343">
        <v>36</v>
      </c>
      <c r="I3343">
        <v>94</v>
      </c>
      <c r="J3343">
        <v>9</v>
      </c>
      <c r="K3343" s="4">
        <v>1411.11</v>
      </c>
      <c r="L3343" s="4">
        <v>1097.8571428571429</v>
      </c>
      <c r="M3343" s="4">
        <v>8.1977878985035786E-3</v>
      </c>
      <c r="N3343" t="s">
        <v>25</v>
      </c>
      <c r="O3343" t="str">
        <f t="shared" si="520"/>
        <v>Low</v>
      </c>
      <c r="P3343" t="str">
        <f t="shared" si="521"/>
        <v>Low</v>
      </c>
      <c r="Q3343" t="str">
        <f t="shared" si="522"/>
        <v>Low</v>
      </c>
      <c r="R3343" t="s">
        <v>3317</v>
      </c>
      <c r="S3343" s="4">
        <f t="shared" ca="1" si="523"/>
        <v>1014</v>
      </c>
      <c r="T3343">
        <f t="shared" si="524"/>
        <v>1</v>
      </c>
      <c r="U3343">
        <f t="shared" si="525"/>
        <v>1</v>
      </c>
      <c r="V3343">
        <f t="shared" si="526"/>
        <v>1</v>
      </c>
      <c r="W3343">
        <f t="shared" si="527"/>
        <v>1</v>
      </c>
      <c r="X3343">
        <f t="shared" si="528"/>
        <v>0.99999999999999989</v>
      </c>
      <c r="Y3343" t="str">
        <f t="shared" si="529"/>
        <v>Healthy</v>
      </c>
    </row>
    <row r="3344" spans="1:25" x14ac:dyDescent="0.35">
      <c r="A3344" t="s">
        <v>71</v>
      </c>
      <c r="B3344" t="s">
        <v>72</v>
      </c>
      <c r="C3344" t="s">
        <v>386</v>
      </c>
      <c r="D3344" t="s">
        <v>2310</v>
      </c>
      <c r="E3344">
        <v>80895505</v>
      </c>
      <c r="F3344" t="s">
        <v>2311</v>
      </c>
      <c r="G3344" s="3">
        <v>47229</v>
      </c>
      <c r="H3344">
        <v>36</v>
      </c>
      <c r="I3344">
        <v>96</v>
      </c>
      <c r="J3344">
        <v>74</v>
      </c>
      <c r="K3344" s="4">
        <v>11602.46</v>
      </c>
      <c r="L3344" s="4">
        <v>1097.8571428571429</v>
      </c>
      <c r="M3344" s="4">
        <v>6.7404033832140525E-2</v>
      </c>
      <c r="N3344" t="s">
        <v>25</v>
      </c>
      <c r="O3344" t="str">
        <f t="shared" si="520"/>
        <v>Low</v>
      </c>
      <c r="P3344" t="str">
        <f t="shared" si="521"/>
        <v>Low</v>
      </c>
      <c r="Q3344" t="str">
        <f t="shared" si="522"/>
        <v>Low</v>
      </c>
      <c r="R3344" t="s">
        <v>3317</v>
      </c>
      <c r="S3344" s="4">
        <f t="shared" ca="1" si="523"/>
        <v>1032</v>
      </c>
      <c r="T3344">
        <f t="shared" si="524"/>
        <v>1</v>
      </c>
      <c r="U3344">
        <f t="shared" si="525"/>
        <v>1</v>
      </c>
      <c r="V3344">
        <f t="shared" si="526"/>
        <v>1</v>
      </c>
      <c r="W3344">
        <f t="shared" si="527"/>
        <v>1</v>
      </c>
      <c r="X3344">
        <f t="shared" si="528"/>
        <v>0.99999999999999989</v>
      </c>
      <c r="Y3344" t="str">
        <f t="shared" si="529"/>
        <v>Healthy</v>
      </c>
    </row>
    <row r="3345" spans="1:25" x14ac:dyDescent="0.35">
      <c r="A3345" t="s">
        <v>71</v>
      </c>
      <c r="B3345" t="s">
        <v>72</v>
      </c>
      <c r="C3345" t="s">
        <v>386</v>
      </c>
      <c r="D3345" t="s">
        <v>2310</v>
      </c>
      <c r="E3345">
        <v>80895505</v>
      </c>
      <c r="F3345" t="s">
        <v>2311</v>
      </c>
      <c r="G3345" s="3">
        <v>47187</v>
      </c>
      <c r="H3345">
        <v>36</v>
      </c>
      <c r="I3345">
        <v>92</v>
      </c>
      <c r="J3345">
        <v>84</v>
      </c>
      <c r="K3345" s="4">
        <v>13170.36</v>
      </c>
      <c r="L3345" s="4">
        <v>1097.8571428571429</v>
      </c>
      <c r="M3345" s="4">
        <v>7.6512687052700062E-2</v>
      </c>
      <c r="N3345" t="s">
        <v>25</v>
      </c>
      <c r="O3345" t="str">
        <f t="shared" si="520"/>
        <v>Low</v>
      </c>
      <c r="P3345" t="str">
        <f t="shared" si="521"/>
        <v>Low</v>
      </c>
      <c r="Q3345" t="str">
        <f t="shared" si="522"/>
        <v>Low</v>
      </c>
      <c r="R3345" t="s">
        <v>3317</v>
      </c>
      <c r="S3345" s="4">
        <f t="shared" ca="1" si="523"/>
        <v>990</v>
      </c>
      <c r="T3345">
        <f t="shared" si="524"/>
        <v>1</v>
      </c>
      <c r="U3345">
        <f t="shared" si="525"/>
        <v>1</v>
      </c>
      <c r="V3345">
        <f t="shared" si="526"/>
        <v>1</v>
      </c>
      <c r="W3345">
        <f t="shared" si="527"/>
        <v>1</v>
      </c>
      <c r="X3345">
        <f t="shared" si="528"/>
        <v>0.99999999999999989</v>
      </c>
      <c r="Y3345" t="str">
        <f t="shared" si="529"/>
        <v>Healthy</v>
      </c>
    </row>
    <row r="3346" spans="1:25" x14ac:dyDescent="0.35">
      <c r="A3346" t="s">
        <v>71</v>
      </c>
      <c r="B3346" t="s">
        <v>72</v>
      </c>
      <c r="C3346" t="s">
        <v>386</v>
      </c>
      <c r="D3346" t="s">
        <v>2310</v>
      </c>
      <c r="E3346">
        <v>80895505</v>
      </c>
      <c r="F3346" t="s">
        <v>2311</v>
      </c>
      <c r="G3346" s="3">
        <v>47167</v>
      </c>
      <c r="H3346">
        <v>36</v>
      </c>
      <c r="I3346">
        <v>90</v>
      </c>
      <c r="J3346">
        <v>2</v>
      </c>
      <c r="K3346" s="4">
        <v>313.58</v>
      </c>
      <c r="L3346" s="4">
        <v>1097.8571428571429</v>
      </c>
      <c r="M3346" s="4">
        <v>1.8217306441119063E-3</v>
      </c>
      <c r="N3346" t="s">
        <v>25</v>
      </c>
      <c r="O3346" t="str">
        <f t="shared" si="520"/>
        <v>Low</v>
      </c>
      <c r="P3346" t="str">
        <f t="shared" si="521"/>
        <v>Low</v>
      </c>
      <c r="Q3346" t="str">
        <f t="shared" si="522"/>
        <v>Low</v>
      </c>
      <c r="R3346" t="s">
        <v>3317</v>
      </c>
      <c r="S3346" s="4">
        <f t="shared" ca="1" si="523"/>
        <v>970</v>
      </c>
      <c r="T3346">
        <f t="shared" si="524"/>
        <v>1</v>
      </c>
      <c r="U3346">
        <f t="shared" si="525"/>
        <v>1</v>
      </c>
      <c r="V3346">
        <f t="shared" si="526"/>
        <v>1</v>
      </c>
      <c r="W3346">
        <f t="shared" si="527"/>
        <v>1</v>
      </c>
      <c r="X3346">
        <f t="shared" si="528"/>
        <v>0.99999999999999989</v>
      </c>
      <c r="Y3346" t="str">
        <f t="shared" si="529"/>
        <v>Healthy</v>
      </c>
    </row>
    <row r="3347" spans="1:25" x14ac:dyDescent="0.35">
      <c r="A3347" t="s">
        <v>71</v>
      </c>
      <c r="B3347" t="s">
        <v>72</v>
      </c>
      <c r="C3347" t="s">
        <v>386</v>
      </c>
      <c r="D3347" t="s">
        <v>2310</v>
      </c>
      <c r="E3347">
        <v>80895505</v>
      </c>
      <c r="F3347" t="s">
        <v>2311</v>
      </c>
      <c r="G3347" s="3">
        <v>47242</v>
      </c>
      <c r="H3347">
        <v>36</v>
      </c>
      <c r="I3347">
        <v>97</v>
      </c>
      <c r="J3347">
        <v>48</v>
      </c>
      <c r="K3347" s="4">
        <v>7525.92</v>
      </c>
      <c r="L3347" s="4">
        <v>1097.8571428571429</v>
      </c>
      <c r="M3347" s="4">
        <v>4.3721535458685748E-2</v>
      </c>
      <c r="N3347" t="s">
        <v>25</v>
      </c>
      <c r="O3347" t="str">
        <f t="shared" si="520"/>
        <v>Low</v>
      </c>
      <c r="P3347" t="str">
        <f t="shared" si="521"/>
        <v>Low</v>
      </c>
      <c r="Q3347" t="str">
        <f t="shared" si="522"/>
        <v>Low</v>
      </c>
      <c r="R3347" t="s">
        <v>3317</v>
      </c>
      <c r="S3347" s="4">
        <f t="shared" ca="1" si="523"/>
        <v>1045</v>
      </c>
      <c r="T3347">
        <f t="shared" si="524"/>
        <v>1</v>
      </c>
      <c r="U3347">
        <f t="shared" si="525"/>
        <v>1</v>
      </c>
      <c r="V3347">
        <f t="shared" si="526"/>
        <v>1</v>
      </c>
      <c r="W3347">
        <f t="shared" si="527"/>
        <v>1</v>
      </c>
      <c r="X3347">
        <f t="shared" si="528"/>
        <v>0.99999999999999989</v>
      </c>
      <c r="Y3347" t="str">
        <f t="shared" si="529"/>
        <v>Healthy</v>
      </c>
    </row>
    <row r="3348" spans="1:25" x14ac:dyDescent="0.35">
      <c r="A3348" t="s">
        <v>71</v>
      </c>
      <c r="B3348" t="s">
        <v>72</v>
      </c>
      <c r="C3348" t="s">
        <v>386</v>
      </c>
      <c r="D3348" t="s">
        <v>2310</v>
      </c>
      <c r="E3348">
        <v>80895505</v>
      </c>
      <c r="F3348" t="s">
        <v>2311</v>
      </c>
      <c r="G3348" s="3">
        <v>47158</v>
      </c>
      <c r="H3348">
        <v>36</v>
      </c>
      <c r="I3348">
        <v>89</v>
      </c>
      <c r="J3348">
        <v>30</v>
      </c>
      <c r="K3348" s="4">
        <v>4703.7</v>
      </c>
      <c r="L3348" s="4">
        <v>1097.8571428571429</v>
      </c>
      <c r="M3348" s="4">
        <v>2.7325959661678594E-2</v>
      </c>
      <c r="N3348" t="s">
        <v>25</v>
      </c>
      <c r="O3348" t="str">
        <f t="shared" si="520"/>
        <v>Low</v>
      </c>
      <c r="P3348" t="str">
        <f t="shared" si="521"/>
        <v>Low</v>
      </c>
      <c r="Q3348" t="str">
        <f t="shared" si="522"/>
        <v>Low</v>
      </c>
      <c r="R3348" t="s">
        <v>3317</v>
      </c>
      <c r="S3348" s="4">
        <f t="shared" ca="1" si="523"/>
        <v>961</v>
      </c>
      <c r="T3348">
        <f t="shared" si="524"/>
        <v>1</v>
      </c>
      <c r="U3348">
        <f t="shared" si="525"/>
        <v>1</v>
      </c>
      <c r="V3348">
        <f t="shared" si="526"/>
        <v>1</v>
      </c>
      <c r="W3348">
        <f t="shared" si="527"/>
        <v>1</v>
      </c>
      <c r="X3348">
        <f t="shared" si="528"/>
        <v>0.99999999999999989</v>
      </c>
      <c r="Y3348" t="str">
        <f t="shared" si="529"/>
        <v>Healthy</v>
      </c>
    </row>
    <row r="3349" spans="1:25" x14ac:dyDescent="0.35">
      <c r="A3349" t="s">
        <v>71</v>
      </c>
      <c r="B3349" t="s">
        <v>72</v>
      </c>
      <c r="C3349" t="s">
        <v>386</v>
      </c>
      <c r="D3349" t="s">
        <v>2310</v>
      </c>
      <c r="E3349">
        <v>80895505</v>
      </c>
      <c r="F3349" t="s">
        <v>2311</v>
      </c>
      <c r="G3349" s="3">
        <v>47223</v>
      </c>
      <c r="H3349">
        <v>36</v>
      </c>
      <c r="I3349">
        <v>95</v>
      </c>
      <c r="J3349">
        <v>48</v>
      </c>
      <c r="K3349" s="4">
        <v>7525.92</v>
      </c>
      <c r="L3349" s="4">
        <v>1097.8571428571429</v>
      </c>
      <c r="M3349" s="4">
        <v>4.3721535458685748E-2</v>
      </c>
      <c r="N3349" t="s">
        <v>25</v>
      </c>
      <c r="O3349" t="str">
        <f t="shared" si="520"/>
        <v>Low</v>
      </c>
      <c r="P3349" t="str">
        <f t="shared" si="521"/>
        <v>Low</v>
      </c>
      <c r="Q3349" t="str">
        <f t="shared" si="522"/>
        <v>Low</v>
      </c>
      <c r="R3349" t="s">
        <v>3317</v>
      </c>
      <c r="S3349" s="4">
        <f t="shared" ca="1" si="523"/>
        <v>1026</v>
      </c>
      <c r="T3349">
        <f t="shared" si="524"/>
        <v>1</v>
      </c>
      <c r="U3349">
        <f t="shared" si="525"/>
        <v>1</v>
      </c>
      <c r="V3349">
        <f t="shared" si="526"/>
        <v>1</v>
      </c>
      <c r="W3349">
        <f t="shared" si="527"/>
        <v>1</v>
      </c>
      <c r="X3349">
        <f t="shared" si="528"/>
        <v>0.99999999999999989</v>
      </c>
      <c r="Y3349" t="str">
        <f t="shared" si="529"/>
        <v>Healthy</v>
      </c>
    </row>
    <row r="3350" spans="1:25" x14ac:dyDescent="0.35">
      <c r="A3350" t="s">
        <v>14</v>
      </c>
      <c r="B3350" t="s">
        <v>115</v>
      </c>
      <c r="C3350" t="s">
        <v>469</v>
      </c>
      <c r="D3350" t="s">
        <v>2312</v>
      </c>
      <c r="E3350">
        <v>80794257</v>
      </c>
      <c r="F3350" t="s">
        <v>2313</v>
      </c>
      <c r="G3350" s="3">
        <v>47292</v>
      </c>
      <c r="H3350">
        <v>60</v>
      </c>
      <c r="I3350">
        <v>61</v>
      </c>
      <c r="J3350">
        <v>1382</v>
      </c>
      <c r="K3350" s="4">
        <v>12742.04</v>
      </c>
      <c r="L3350" s="4">
        <f>0</f>
        <v>0</v>
      </c>
      <c r="M3350" s="4">
        <f>999</f>
        <v>999</v>
      </c>
      <c r="N3350" t="s">
        <v>19</v>
      </c>
      <c r="O3350" t="str">
        <f t="shared" si="520"/>
        <v>Low</v>
      </c>
      <c r="P3350" t="str">
        <f t="shared" si="521"/>
        <v>High</v>
      </c>
      <c r="Q3350" t="str">
        <f t="shared" si="522"/>
        <v>High</v>
      </c>
      <c r="R3350" t="s">
        <v>3317</v>
      </c>
      <c r="S3350" s="4">
        <f t="shared" ca="1" si="523"/>
        <v>1095</v>
      </c>
      <c r="T3350">
        <f t="shared" si="524"/>
        <v>1</v>
      </c>
      <c r="U3350">
        <f t="shared" si="525"/>
        <v>3</v>
      </c>
      <c r="V3350">
        <f t="shared" si="526"/>
        <v>3</v>
      </c>
      <c r="W3350">
        <f t="shared" si="527"/>
        <v>1</v>
      </c>
      <c r="X3350">
        <f t="shared" si="528"/>
        <v>2</v>
      </c>
      <c r="Y3350" t="str">
        <f t="shared" si="529"/>
        <v>Monitor</v>
      </c>
    </row>
    <row r="3351" spans="1:25" x14ac:dyDescent="0.35">
      <c r="A3351" t="s">
        <v>71</v>
      </c>
      <c r="B3351" t="s">
        <v>72</v>
      </c>
      <c r="C3351" t="s">
        <v>386</v>
      </c>
      <c r="D3351" t="s">
        <v>2310</v>
      </c>
      <c r="E3351">
        <v>80895505</v>
      </c>
      <c r="F3351" t="s">
        <v>2311</v>
      </c>
      <c r="G3351" s="3">
        <v>47199</v>
      </c>
      <c r="H3351">
        <v>36</v>
      </c>
      <c r="I3351">
        <v>93</v>
      </c>
      <c r="J3351">
        <v>1</v>
      </c>
      <c r="K3351" s="4">
        <v>156.79</v>
      </c>
      <c r="L3351" s="4">
        <v>1097.8571428571429</v>
      </c>
      <c r="M3351" s="4">
        <v>9.1086532205595316E-4</v>
      </c>
      <c r="N3351" t="s">
        <v>25</v>
      </c>
      <c r="O3351" t="str">
        <f t="shared" si="520"/>
        <v>Low</v>
      </c>
      <c r="P3351" t="str">
        <f t="shared" si="521"/>
        <v>Low</v>
      </c>
      <c r="Q3351" t="str">
        <f t="shared" si="522"/>
        <v>Low</v>
      </c>
      <c r="R3351" t="s">
        <v>3317</v>
      </c>
      <c r="S3351" s="4">
        <f t="shared" ca="1" si="523"/>
        <v>1002</v>
      </c>
      <c r="T3351">
        <f t="shared" si="524"/>
        <v>1</v>
      </c>
      <c r="U3351">
        <f t="shared" si="525"/>
        <v>1</v>
      </c>
      <c r="V3351">
        <f t="shared" si="526"/>
        <v>1</v>
      </c>
      <c r="W3351">
        <f t="shared" si="527"/>
        <v>1</v>
      </c>
      <c r="X3351">
        <f t="shared" si="528"/>
        <v>0.99999999999999989</v>
      </c>
      <c r="Y3351" t="str">
        <f t="shared" si="529"/>
        <v>Healthy</v>
      </c>
    </row>
    <row r="3352" spans="1:25" x14ac:dyDescent="0.35">
      <c r="A3352" t="s">
        <v>71</v>
      </c>
      <c r="B3352" t="s">
        <v>72</v>
      </c>
      <c r="C3352" t="s">
        <v>386</v>
      </c>
      <c r="D3352" t="s">
        <v>2310</v>
      </c>
      <c r="E3352">
        <v>80895505</v>
      </c>
      <c r="F3352" t="s">
        <v>2311</v>
      </c>
      <c r="G3352" s="3">
        <v>47228</v>
      </c>
      <c r="H3352">
        <v>36</v>
      </c>
      <c r="I3352">
        <v>96</v>
      </c>
      <c r="J3352">
        <v>18</v>
      </c>
      <c r="K3352" s="4">
        <v>2822.22</v>
      </c>
      <c r="L3352" s="4">
        <v>1097.8571428571429</v>
      </c>
      <c r="M3352" s="4">
        <v>1.6395575797007157E-2</v>
      </c>
      <c r="N3352" t="s">
        <v>25</v>
      </c>
      <c r="O3352" t="str">
        <f t="shared" si="520"/>
        <v>Low</v>
      </c>
      <c r="P3352" t="str">
        <f t="shared" si="521"/>
        <v>Low</v>
      </c>
      <c r="Q3352" t="str">
        <f t="shared" si="522"/>
        <v>Low</v>
      </c>
      <c r="R3352" t="s">
        <v>3317</v>
      </c>
      <c r="S3352" s="4">
        <f t="shared" ca="1" si="523"/>
        <v>1031</v>
      </c>
      <c r="T3352">
        <f t="shared" si="524"/>
        <v>1</v>
      </c>
      <c r="U3352">
        <f t="shared" si="525"/>
        <v>1</v>
      </c>
      <c r="V3352">
        <f t="shared" si="526"/>
        <v>1</v>
      </c>
      <c r="W3352">
        <f t="shared" si="527"/>
        <v>1</v>
      </c>
      <c r="X3352">
        <f t="shared" si="528"/>
        <v>0.99999999999999989</v>
      </c>
      <c r="Y3352" t="str">
        <f t="shared" si="529"/>
        <v>Healthy</v>
      </c>
    </row>
    <row r="3353" spans="1:25" x14ac:dyDescent="0.35">
      <c r="A3353" t="s">
        <v>14</v>
      </c>
      <c r="B3353" t="s">
        <v>115</v>
      </c>
      <c r="C3353" t="s">
        <v>469</v>
      </c>
      <c r="D3353" t="s">
        <v>2312</v>
      </c>
      <c r="E3353">
        <v>80794257</v>
      </c>
      <c r="F3353" t="s">
        <v>2313</v>
      </c>
      <c r="G3353" s="3">
        <v>47288</v>
      </c>
      <c r="H3353">
        <v>60</v>
      </c>
      <c r="I3353">
        <v>61</v>
      </c>
      <c r="J3353">
        <v>758</v>
      </c>
      <c r="K3353" s="4">
        <v>37838.879999999997</v>
      </c>
      <c r="L3353" s="4">
        <f>0</f>
        <v>0</v>
      </c>
      <c r="M3353" s="4">
        <f>999</f>
        <v>999</v>
      </c>
      <c r="N3353" t="s">
        <v>19</v>
      </c>
      <c r="O3353" t="str">
        <f t="shared" si="520"/>
        <v>Low</v>
      </c>
      <c r="P3353" t="str">
        <f t="shared" si="521"/>
        <v>High</v>
      </c>
      <c r="Q3353" t="str">
        <f t="shared" si="522"/>
        <v>High</v>
      </c>
      <c r="R3353" t="s">
        <v>3317</v>
      </c>
      <c r="S3353" s="4">
        <f t="shared" ca="1" si="523"/>
        <v>1091</v>
      </c>
      <c r="T3353">
        <f t="shared" si="524"/>
        <v>1</v>
      </c>
      <c r="U3353">
        <f t="shared" si="525"/>
        <v>3</v>
      </c>
      <c r="V3353">
        <f t="shared" si="526"/>
        <v>3</v>
      </c>
      <c r="W3353">
        <f t="shared" si="527"/>
        <v>1</v>
      </c>
      <c r="X3353">
        <f t="shared" si="528"/>
        <v>2</v>
      </c>
      <c r="Y3353" t="str">
        <f t="shared" si="529"/>
        <v>Monitor</v>
      </c>
    </row>
    <row r="3354" spans="1:25" x14ac:dyDescent="0.35">
      <c r="A3354" t="s">
        <v>71</v>
      </c>
      <c r="B3354" t="s">
        <v>72</v>
      </c>
      <c r="C3354" t="s">
        <v>386</v>
      </c>
      <c r="D3354" t="s">
        <v>2310</v>
      </c>
      <c r="E3354">
        <v>80895505</v>
      </c>
      <c r="F3354" t="s">
        <v>2311</v>
      </c>
      <c r="G3354" s="3">
        <v>47217</v>
      </c>
      <c r="H3354">
        <v>36</v>
      </c>
      <c r="I3354">
        <v>95</v>
      </c>
      <c r="J3354">
        <v>36</v>
      </c>
      <c r="K3354" s="4">
        <v>5644.44</v>
      </c>
      <c r="L3354" s="4">
        <v>1097.8571428571429</v>
      </c>
      <c r="M3354" s="4">
        <v>3.2791151594014314E-2</v>
      </c>
      <c r="N3354" t="s">
        <v>25</v>
      </c>
      <c r="O3354" t="str">
        <f t="shared" si="520"/>
        <v>Low</v>
      </c>
      <c r="P3354" t="str">
        <f t="shared" si="521"/>
        <v>Low</v>
      </c>
      <c r="Q3354" t="str">
        <f t="shared" si="522"/>
        <v>Low</v>
      </c>
      <c r="R3354" t="s">
        <v>3317</v>
      </c>
      <c r="S3354" s="4">
        <f t="shared" ca="1" si="523"/>
        <v>1020</v>
      </c>
      <c r="T3354">
        <f t="shared" si="524"/>
        <v>1</v>
      </c>
      <c r="U3354">
        <f t="shared" si="525"/>
        <v>1</v>
      </c>
      <c r="V3354">
        <f t="shared" si="526"/>
        <v>1</v>
      </c>
      <c r="W3354">
        <f t="shared" si="527"/>
        <v>1</v>
      </c>
      <c r="X3354">
        <f t="shared" si="528"/>
        <v>0.99999999999999989</v>
      </c>
      <c r="Y3354" t="str">
        <f t="shared" si="529"/>
        <v>Healthy</v>
      </c>
    </row>
    <row r="3355" spans="1:25" x14ac:dyDescent="0.35">
      <c r="A3355" t="s">
        <v>71</v>
      </c>
      <c r="B3355" t="s">
        <v>72</v>
      </c>
      <c r="C3355" t="s">
        <v>150</v>
      </c>
      <c r="D3355" t="s">
        <v>355</v>
      </c>
      <c r="E3355">
        <v>80895533</v>
      </c>
      <c r="F3355" t="s">
        <v>2314</v>
      </c>
      <c r="G3355" s="3">
        <v>47182</v>
      </c>
      <c r="H3355">
        <v>36</v>
      </c>
      <c r="I3355">
        <v>92</v>
      </c>
      <c r="J3355">
        <v>943</v>
      </c>
      <c r="K3355" s="4">
        <v>13579.2</v>
      </c>
      <c r="L3355" s="4">
        <v>4.7142857142857144</v>
      </c>
      <c r="M3355" s="4">
        <v>200.03030303030303</v>
      </c>
      <c r="N3355" t="s">
        <v>19</v>
      </c>
      <c r="O3355" t="str">
        <f t="shared" si="520"/>
        <v>Low</v>
      </c>
      <c r="P3355" t="str">
        <f t="shared" si="521"/>
        <v>High</v>
      </c>
      <c r="Q3355" t="str">
        <f t="shared" si="522"/>
        <v>High</v>
      </c>
      <c r="R3355" t="s">
        <v>3317</v>
      </c>
      <c r="S3355" s="4">
        <f t="shared" ca="1" si="523"/>
        <v>985</v>
      </c>
      <c r="T3355">
        <f t="shared" si="524"/>
        <v>1</v>
      </c>
      <c r="U3355">
        <f t="shared" si="525"/>
        <v>3</v>
      </c>
      <c r="V3355">
        <f t="shared" si="526"/>
        <v>3</v>
      </c>
      <c r="W3355">
        <f t="shared" si="527"/>
        <v>1</v>
      </c>
      <c r="X3355">
        <f t="shared" si="528"/>
        <v>2</v>
      </c>
      <c r="Y3355" t="str">
        <f t="shared" si="529"/>
        <v>Monitor</v>
      </c>
    </row>
    <row r="3356" spans="1:25" x14ac:dyDescent="0.35">
      <c r="A3356" t="s">
        <v>71</v>
      </c>
      <c r="B3356" t="s">
        <v>72</v>
      </c>
      <c r="C3356" t="s">
        <v>150</v>
      </c>
      <c r="D3356" t="s">
        <v>355</v>
      </c>
      <c r="E3356">
        <v>80895533</v>
      </c>
      <c r="F3356" t="s">
        <v>2314</v>
      </c>
      <c r="G3356" s="3">
        <v>47169</v>
      </c>
      <c r="H3356">
        <v>36</v>
      </c>
      <c r="I3356">
        <v>90</v>
      </c>
      <c r="J3356">
        <v>945</v>
      </c>
      <c r="K3356" s="4">
        <v>13608</v>
      </c>
      <c r="L3356" s="4">
        <v>4.7142857142857144</v>
      </c>
      <c r="M3356" s="4">
        <v>200.45454545454544</v>
      </c>
      <c r="N3356" t="s">
        <v>19</v>
      </c>
      <c r="O3356" t="str">
        <f t="shared" si="520"/>
        <v>Low</v>
      </c>
      <c r="P3356" t="str">
        <f t="shared" si="521"/>
        <v>High</v>
      </c>
      <c r="Q3356" t="str">
        <f t="shared" si="522"/>
        <v>High</v>
      </c>
      <c r="R3356" t="s">
        <v>3317</v>
      </c>
      <c r="S3356" s="4">
        <f t="shared" ca="1" si="523"/>
        <v>972</v>
      </c>
      <c r="T3356">
        <f t="shared" si="524"/>
        <v>1</v>
      </c>
      <c r="U3356">
        <f t="shared" si="525"/>
        <v>3</v>
      </c>
      <c r="V3356">
        <f t="shared" si="526"/>
        <v>3</v>
      </c>
      <c r="W3356">
        <f t="shared" si="527"/>
        <v>1</v>
      </c>
      <c r="X3356">
        <f t="shared" si="528"/>
        <v>2</v>
      </c>
      <c r="Y3356" t="str">
        <f t="shared" si="529"/>
        <v>Monitor</v>
      </c>
    </row>
    <row r="3357" spans="1:25" x14ac:dyDescent="0.35">
      <c r="A3357" t="s">
        <v>71</v>
      </c>
      <c r="B3357" t="s">
        <v>72</v>
      </c>
      <c r="C3357" t="s">
        <v>150</v>
      </c>
      <c r="D3357" t="s">
        <v>976</v>
      </c>
      <c r="E3357">
        <v>80895534</v>
      </c>
      <c r="F3357" t="s">
        <v>2315</v>
      </c>
      <c r="G3357" s="3">
        <v>47093</v>
      </c>
      <c r="H3357">
        <v>36</v>
      </c>
      <c r="I3357">
        <v>83</v>
      </c>
      <c r="J3357">
        <v>62</v>
      </c>
      <c r="K3357" s="4">
        <v>3323.2</v>
      </c>
      <c r="L3357" s="4">
        <v>350</v>
      </c>
      <c r="M3357" s="4">
        <v>0.17714285714285713</v>
      </c>
      <c r="N3357" t="s">
        <v>25</v>
      </c>
      <c r="O3357" t="str">
        <f t="shared" si="520"/>
        <v>Low</v>
      </c>
      <c r="P3357" t="str">
        <f t="shared" si="521"/>
        <v>Low</v>
      </c>
      <c r="Q3357" t="str">
        <f t="shared" si="522"/>
        <v>Low</v>
      </c>
      <c r="R3357" t="s">
        <v>3317</v>
      </c>
      <c r="S3357" s="4">
        <f t="shared" ca="1" si="523"/>
        <v>896</v>
      </c>
      <c r="T3357">
        <f t="shared" si="524"/>
        <v>1</v>
      </c>
      <c r="U3357">
        <f t="shared" si="525"/>
        <v>1</v>
      </c>
      <c r="V3357">
        <f t="shared" si="526"/>
        <v>1</v>
      </c>
      <c r="W3357">
        <f t="shared" si="527"/>
        <v>1</v>
      </c>
      <c r="X3357">
        <f t="shared" si="528"/>
        <v>0.99999999999999989</v>
      </c>
      <c r="Y3357" t="str">
        <f t="shared" si="529"/>
        <v>Healthy</v>
      </c>
    </row>
    <row r="3358" spans="1:25" x14ac:dyDescent="0.35">
      <c r="A3358" t="s">
        <v>71</v>
      </c>
      <c r="B3358" t="s">
        <v>72</v>
      </c>
      <c r="C3358" t="s">
        <v>150</v>
      </c>
      <c r="D3358" t="s">
        <v>976</v>
      </c>
      <c r="E3358">
        <v>80895534</v>
      </c>
      <c r="F3358" t="s">
        <v>2315</v>
      </c>
      <c r="G3358" s="3">
        <v>47199</v>
      </c>
      <c r="H3358">
        <v>36</v>
      </c>
      <c r="I3358">
        <v>93</v>
      </c>
      <c r="J3358">
        <v>36</v>
      </c>
      <c r="K3358" s="4">
        <v>1929.6</v>
      </c>
      <c r="L3358" s="4">
        <v>350</v>
      </c>
      <c r="M3358" s="4">
        <v>0.10285714285714286</v>
      </c>
      <c r="N3358" t="s">
        <v>25</v>
      </c>
      <c r="O3358" t="str">
        <f t="shared" si="520"/>
        <v>Low</v>
      </c>
      <c r="P3358" t="str">
        <f t="shared" si="521"/>
        <v>Low</v>
      </c>
      <c r="Q3358" t="str">
        <f t="shared" si="522"/>
        <v>Low</v>
      </c>
      <c r="R3358" t="s">
        <v>3317</v>
      </c>
      <c r="S3358" s="4">
        <f t="shared" ca="1" si="523"/>
        <v>1002</v>
      </c>
      <c r="T3358">
        <f t="shared" si="524"/>
        <v>1</v>
      </c>
      <c r="U3358">
        <f t="shared" si="525"/>
        <v>1</v>
      </c>
      <c r="V3358">
        <f t="shared" si="526"/>
        <v>1</v>
      </c>
      <c r="W3358">
        <f t="shared" si="527"/>
        <v>1</v>
      </c>
      <c r="X3358">
        <f t="shared" si="528"/>
        <v>0.99999999999999989</v>
      </c>
      <c r="Y3358" t="str">
        <f t="shared" si="529"/>
        <v>Healthy</v>
      </c>
    </row>
    <row r="3359" spans="1:25" x14ac:dyDescent="0.35">
      <c r="A3359" t="s">
        <v>71</v>
      </c>
      <c r="B3359" t="s">
        <v>72</v>
      </c>
      <c r="C3359" t="s">
        <v>150</v>
      </c>
      <c r="D3359" t="s">
        <v>976</v>
      </c>
      <c r="E3359">
        <v>80895534</v>
      </c>
      <c r="F3359" t="s">
        <v>2315</v>
      </c>
      <c r="G3359" s="3">
        <v>47222</v>
      </c>
      <c r="H3359">
        <v>36</v>
      </c>
      <c r="I3359">
        <v>95</v>
      </c>
      <c r="J3359">
        <v>57</v>
      </c>
      <c r="K3359" s="4">
        <v>3055.2</v>
      </c>
      <c r="L3359" s="4">
        <v>350</v>
      </c>
      <c r="M3359" s="4">
        <v>0.16285714285714287</v>
      </c>
      <c r="N3359" t="s">
        <v>25</v>
      </c>
      <c r="O3359" t="str">
        <f t="shared" si="520"/>
        <v>Low</v>
      </c>
      <c r="P3359" t="str">
        <f t="shared" si="521"/>
        <v>Low</v>
      </c>
      <c r="Q3359" t="str">
        <f t="shared" si="522"/>
        <v>Low</v>
      </c>
      <c r="R3359" t="s">
        <v>3317</v>
      </c>
      <c r="S3359" s="4">
        <f t="shared" ca="1" si="523"/>
        <v>1025</v>
      </c>
      <c r="T3359">
        <f t="shared" si="524"/>
        <v>1</v>
      </c>
      <c r="U3359">
        <f t="shared" si="525"/>
        <v>1</v>
      </c>
      <c r="V3359">
        <f t="shared" si="526"/>
        <v>1</v>
      </c>
      <c r="W3359">
        <f t="shared" si="527"/>
        <v>1</v>
      </c>
      <c r="X3359">
        <f t="shared" si="528"/>
        <v>0.99999999999999989</v>
      </c>
      <c r="Y3359" t="str">
        <f t="shared" si="529"/>
        <v>Healthy</v>
      </c>
    </row>
    <row r="3360" spans="1:25" x14ac:dyDescent="0.35">
      <c r="A3360" t="s">
        <v>71</v>
      </c>
      <c r="B3360" t="s">
        <v>72</v>
      </c>
      <c r="C3360" t="s">
        <v>150</v>
      </c>
      <c r="D3360" t="s">
        <v>976</v>
      </c>
      <c r="E3360">
        <v>80895534</v>
      </c>
      <c r="F3360" t="s">
        <v>2315</v>
      </c>
      <c r="G3360" s="3">
        <v>47124</v>
      </c>
      <c r="H3360">
        <v>36</v>
      </c>
      <c r="I3360">
        <v>86</v>
      </c>
      <c r="J3360">
        <v>19</v>
      </c>
      <c r="K3360" s="4">
        <v>1018.4</v>
      </c>
      <c r="L3360" s="4">
        <v>350</v>
      </c>
      <c r="M3360" s="4">
        <v>5.4285714285714284E-2</v>
      </c>
      <c r="N3360" t="s">
        <v>25</v>
      </c>
      <c r="O3360" t="str">
        <f t="shared" si="520"/>
        <v>Low</v>
      </c>
      <c r="P3360" t="str">
        <f t="shared" si="521"/>
        <v>Low</v>
      </c>
      <c r="Q3360" t="str">
        <f t="shared" si="522"/>
        <v>Low</v>
      </c>
      <c r="R3360" t="s">
        <v>3317</v>
      </c>
      <c r="S3360" s="4">
        <f t="shared" ca="1" si="523"/>
        <v>927</v>
      </c>
      <c r="T3360">
        <f t="shared" si="524"/>
        <v>1</v>
      </c>
      <c r="U3360">
        <f t="shared" si="525"/>
        <v>1</v>
      </c>
      <c r="V3360">
        <f t="shared" si="526"/>
        <v>1</v>
      </c>
      <c r="W3360">
        <f t="shared" si="527"/>
        <v>1</v>
      </c>
      <c r="X3360">
        <f t="shared" si="528"/>
        <v>0.99999999999999989</v>
      </c>
      <c r="Y3360" t="str">
        <f t="shared" si="529"/>
        <v>Healthy</v>
      </c>
    </row>
    <row r="3361" spans="1:25" x14ac:dyDescent="0.35">
      <c r="A3361" t="s">
        <v>71</v>
      </c>
      <c r="B3361" t="s">
        <v>72</v>
      </c>
      <c r="C3361" t="s">
        <v>572</v>
      </c>
      <c r="D3361" t="s">
        <v>1590</v>
      </c>
      <c r="E3361">
        <v>80895508</v>
      </c>
      <c r="F3361" t="s">
        <v>2316</v>
      </c>
      <c r="G3361" s="3">
        <v>47147</v>
      </c>
      <c r="H3361">
        <v>36</v>
      </c>
      <c r="I3361">
        <v>88</v>
      </c>
      <c r="J3361">
        <v>24</v>
      </c>
      <c r="K3361" s="4">
        <v>3762.96</v>
      </c>
      <c r="L3361" s="4">
        <v>321.14285714285717</v>
      </c>
      <c r="M3361" s="4">
        <v>7.4733096085409248E-2</v>
      </c>
      <c r="N3361" t="s">
        <v>25</v>
      </c>
      <c r="O3361" t="str">
        <f t="shared" si="520"/>
        <v>Low</v>
      </c>
      <c r="P3361" t="str">
        <f t="shared" si="521"/>
        <v>Low</v>
      </c>
      <c r="Q3361" t="str">
        <f t="shared" si="522"/>
        <v>Low</v>
      </c>
      <c r="R3361" t="s">
        <v>3317</v>
      </c>
      <c r="S3361" s="4">
        <f t="shared" ca="1" si="523"/>
        <v>950</v>
      </c>
      <c r="T3361">
        <f t="shared" si="524"/>
        <v>1</v>
      </c>
      <c r="U3361">
        <f t="shared" si="525"/>
        <v>1</v>
      </c>
      <c r="V3361">
        <f t="shared" si="526"/>
        <v>1</v>
      </c>
      <c r="W3361">
        <f t="shared" si="527"/>
        <v>1</v>
      </c>
      <c r="X3361">
        <f t="shared" si="528"/>
        <v>0.99999999999999989</v>
      </c>
      <c r="Y3361" t="str">
        <f t="shared" si="529"/>
        <v>Healthy</v>
      </c>
    </row>
    <row r="3362" spans="1:25" x14ac:dyDescent="0.35">
      <c r="A3362" t="s">
        <v>71</v>
      </c>
      <c r="B3362" t="s">
        <v>72</v>
      </c>
      <c r="C3362" t="s">
        <v>150</v>
      </c>
      <c r="D3362" t="s">
        <v>2317</v>
      </c>
      <c r="E3362">
        <v>80895535</v>
      </c>
      <c r="F3362" t="s">
        <v>2318</v>
      </c>
      <c r="G3362" s="3">
        <v>47211</v>
      </c>
      <c r="H3362">
        <v>36</v>
      </c>
      <c r="I3362">
        <v>94</v>
      </c>
      <c r="J3362">
        <v>108</v>
      </c>
      <c r="K3362" s="4">
        <v>3715.2</v>
      </c>
      <c r="L3362" s="4">
        <v>225.57142857142858</v>
      </c>
      <c r="M3362" s="4">
        <v>0.47878404053198226</v>
      </c>
      <c r="N3362" t="s">
        <v>25</v>
      </c>
      <c r="O3362" t="str">
        <f t="shared" si="520"/>
        <v>Low</v>
      </c>
      <c r="P3362" t="str">
        <f t="shared" si="521"/>
        <v>Low</v>
      </c>
      <c r="Q3362" t="str">
        <f t="shared" si="522"/>
        <v>Low</v>
      </c>
      <c r="R3362" t="s">
        <v>3317</v>
      </c>
      <c r="S3362" s="4">
        <f t="shared" ca="1" si="523"/>
        <v>1014</v>
      </c>
      <c r="T3362">
        <f t="shared" si="524"/>
        <v>1</v>
      </c>
      <c r="U3362">
        <f t="shared" si="525"/>
        <v>1</v>
      </c>
      <c r="V3362">
        <f t="shared" si="526"/>
        <v>1</v>
      </c>
      <c r="W3362">
        <f t="shared" si="527"/>
        <v>1</v>
      </c>
      <c r="X3362">
        <f t="shared" si="528"/>
        <v>0.99999999999999989</v>
      </c>
      <c r="Y3362" t="str">
        <f t="shared" si="529"/>
        <v>Healthy</v>
      </c>
    </row>
    <row r="3363" spans="1:25" x14ac:dyDescent="0.35">
      <c r="A3363" t="s">
        <v>71</v>
      </c>
      <c r="B3363" t="s">
        <v>72</v>
      </c>
      <c r="C3363" t="s">
        <v>150</v>
      </c>
      <c r="D3363" t="s">
        <v>2317</v>
      </c>
      <c r="E3363">
        <v>80895535</v>
      </c>
      <c r="F3363" t="s">
        <v>2318</v>
      </c>
      <c r="G3363" s="3">
        <v>47157</v>
      </c>
      <c r="H3363">
        <v>36</v>
      </c>
      <c r="I3363">
        <v>89</v>
      </c>
      <c r="J3363">
        <v>76</v>
      </c>
      <c r="K3363" s="4">
        <v>2614.4</v>
      </c>
      <c r="L3363" s="4">
        <v>225.57142857142858</v>
      </c>
      <c r="M3363" s="4">
        <v>0.33692210259658012</v>
      </c>
      <c r="N3363" t="s">
        <v>25</v>
      </c>
      <c r="O3363" t="str">
        <f t="shared" si="520"/>
        <v>Low</v>
      </c>
      <c r="P3363" t="str">
        <f t="shared" si="521"/>
        <v>Low</v>
      </c>
      <c r="Q3363" t="str">
        <f t="shared" si="522"/>
        <v>Low</v>
      </c>
      <c r="R3363" t="s">
        <v>3317</v>
      </c>
      <c r="S3363" s="4">
        <f t="shared" ca="1" si="523"/>
        <v>960</v>
      </c>
      <c r="T3363">
        <f t="shared" si="524"/>
        <v>1</v>
      </c>
      <c r="U3363">
        <f t="shared" si="525"/>
        <v>1</v>
      </c>
      <c r="V3363">
        <f t="shared" si="526"/>
        <v>1</v>
      </c>
      <c r="W3363">
        <f t="shared" si="527"/>
        <v>1</v>
      </c>
      <c r="X3363">
        <f t="shared" si="528"/>
        <v>0.99999999999999989</v>
      </c>
      <c r="Y3363" t="str">
        <f t="shared" si="529"/>
        <v>Healthy</v>
      </c>
    </row>
    <row r="3364" spans="1:25" x14ac:dyDescent="0.35">
      <c r="A3364" t="s">
        <v>41</v>
      </c>
      <c r="B3364" t="s">
        <v>54</v>
      </c>
      <c r="C3364" t="s">
        <v>87</v>
      </c>
      <c r="D3364" t="s">
        <v>351</v>
      </c>
      <c r="E3364">
        <v>80791902</v>
      </c>
      <c r="F3364" t="s">
        <v>2319</v>
      </c>
      <c r="G3364" s="3">
        <v>46539</v>
      </c>
      <c r="H3364">
        <v>36</v>
      </c>
      <c r="I3364">
        <v>32</v>
      </c>
      <c r="J3364">
        <v>6</v>
      </c>
      <c r="K3364" s="4">
        <v>2398.1999999999998</v>
      </c>
      <c r="L3364" s="4">
        <f>0</f>
        <v>0</v>
      </c>
      <c r="M3364" s="4">
        <f>999</f>
        <v>999</v>
      </c>
      <c r="N3364" t="s">
        <v>19</v>
      </c>
      <c r="O3364" t="str">
        <f t="shared" si="520"/>
        <v>Medium</v>
      </c>
      <c r="P3364" t="str">
        <f t="shared" si="521"/>
        <v>High</v>
      </c>
      <c r="Q3364" t="str">
        <f t="shared" si="522"/>
        <v>High</v>
      </c>
      <c r="R3364" t="s">
        <v>3317</v>
      </c>
      <c r="S3364" s="4">
        <f t="shared" ca="1" si="523"/>
        <v>342</v>
      </c>
      <c r="T3364">
        <f t="shared" si="524"/>
        <v>2</v>
      </c>
      <c r="U3364">
        <f t="shared" si="525"/>
        <v>3</v>
      </c>
      <c r="V3364">
        <f t="shared" si="526"/>
        <v>3</v>
      </c>
      <c r="W3364">
        <f t="shared" si="527"/>
        <v>1</v>
      </c>
      <c r="X3364">
        <f t="shared" si="528"/>
        <v>2.4</v>
      </c>
      <c r="Y3364" t="str">
        <f t="shared" si="529"/>
        <v>High Priority</v>
      </c>
    </row>
    <row r="3365" spans="1:25" x14ac:dyDescent="0.35">
      <c r="A3365" t="s">
        <v>71</v>
      </c>
      <c r="B3365" t="s">
        <v>72</v>
      </c>
      <c r="C3365" t="s">
        <v>150</v>
      </c>
      <c r="D3365" t="s">
        <v>2317</v>
      </c>
      <c r="E3365">
        <v>80895535</v>
      </c>
      <c r="F3365" t="s">
        <v>2318</v>
      </c>
      <c r="G3365" s="3">
        <v>47098</v>
      </c>
      <c r="H3365">
        <v>36</v>
      </c>
      <c r="I3365">
        <v>84</v>
      </c>
      <c r="J3365">
        <v>23</v>
      </c>
      <c r="K3365" s="4">
        <v>791.2</v>
      </c>
      <c r="L3365" s="4">
        <v>225.57142857142858</v>
      </c>
      <c r="M3365" s="4">
        <v>0.1019632678910703</v>
      </c>
      <c r="N3365" t="s">
        <v>25</v>
      </c>
      <c r="O3365" t="str">
        <f t="shared" si="520"/>
        <v>Low</v>
      </c>
      <c r="P3365" t="str">
        <f t="shared" si="521"/>
        <v>Low</v>
      </c>
      <c r="Q3365" t="str">
        <f t="shared" si="522"/>
        <v>Low</v>
      </c>
      <c r="R3365" t="s">
        <v>3317</v>
      </c>
      <c r="S3365" s="4">
        <f t="shared" ca="1" si="523"/>
        <v>901</v>
      </c>
      <c r="T3365">
        <f t="shared" si="524"/>
        <v>1</v>
      </c>
      <c r="U3365">
        <f t="shared" si="525"/>
        <v>1</v>
      </c>
      <c r="V3365">
        <f t="shared" si="526"/>
        <v>1</v>
      </c>
      <c r="W3365">
        <f t="shared" si="527"/>
        <v>1</v>
      </c>
      <c r="X3365">
        <f t="shared" si="528"/>
        <v>0.99999999999999989</v>
      </c>
      <c r="Y3365" t="str">
        <f t="shared" si="529"/>
        <v>Healthy</v>
      </c>
    </row>
    <row r="3366" spans="1:25" x14ac:dyDescent="0.35">
      <c r="A3366" t="s">
        <v>71</v>
      </c>
      <c r="B3366" t="s">
        <v>72</v>
      </c>
      <c r="C3366" t="s">
        <v>150</v>
      </c>
      <c r="D3366" t="s">
        <v>2317</v>
      </c>
      <c r="E3366">
        <v>80895535</v>
      </c>
      <c r="F3366" t="s">
        <v>2318</v>
      </c>
      <c r="G3366" s="3">
        <v>47141</v>
      </c>
      <c r="H3366">
        <v>36</v>
      </c>
      <c r="I3366">
        <v>88</v>
      </c>
      <c r="J3366">
        <v>113</v>
      </c>
      <c r="K3366" s="4">
        <v>3887.2</v>
      </c>
      <c r="L3366" s="4">
        <v>225.57142857142858</v>
      </c>
      <c r="M3366" s="4">
        <v>0.50094996833438887</v>
      </c>
      <c r="N3366" t="s">
        <v>25</v>
      </c>
      <c r="O3366" t="str">
        <f t="shared" si="520"/>
        <v>Low</v>
      </c>
      <c r="P3366" t="str">
        <f t="shared" si="521"/>
        <v>Low</v>
      </c>
      <c r="Q3366" t="str">
        <f t="shared" si="522"/>
        <v>Low</v>
      </c>
      <c r="R3366" t="s">
        <v>3317</v>
      </c>
      <c r="S3366" s="4">
        <f t="shared" ca="1" si="523"/>
        <v>944</v>
      </c>
      <c r="T3366">
        <f t="shared" si="524"/>
        <v>1</v>
      </c>
      <c r="U3366">
        <f t="shared" si="525"/>
        <v>1</v>
      </c>
      <c r="V3366">
        <f t="shared" si="526"/>
        <v>1</v>
      </c>
      <c r="W3366">
        <f t="shared" si="527"/>
        <v>1</v>
      </c>
      <c r="X3366">
        <f t="shared" si="528"/>
        <v>0.99999999999999989</v>
      </c>
      <c r="Y3366" t="str">
        <f t="shared" si="529"/>
        <v>Healthy</v>
      </c>
    </row>
    <row r="3367" spans="1:25" x14ac:dyDescent="0.35">
      <c r="A3367" t="s">
        <v>71</v>
      </c>
      <c r="B3367" t="s">
        <v>72</v>
      </c>
      <c r="C3367" t="s">
        <v>174</v>
      </c>
      <c r="D3367" t="s">
        <v>761</v>
      </c>
      <c r="E3367">
        <v>80808832</v>
      </c>
      <c r="F3367" t="s">
        <v>2320</v>
      </c>
      <c r="G3367" s="3">
        <v>46633</v>
      </c>
      <c r="H3367">
        <v>36</v>
      </c>
      <c r="I3367">
        <v>41</v>
      </c>
      <c r="J3367">
        <v>10</v>
      </c>
      <c r="K3367" s="4">
        <v>22138.400000000001</v>
      </c>
      <c r="L3367" s="4">
        <v>32.142857142857146</v>
      </c>
      <c r="M3367" s="4">
        <v>0.31111111111111106</v>
      </c>
      <c r="N3367" t="s">
        <v>25</v>
      </c>
      <c r="O3367" t="str">
        <f t="shared" si="520"/>
        <v>Low</v>
      </c>
      <c r="P3367" t="str">
        <f t="shared" si="521"/>
        <v>Low</v>
      </c>
      <c r="Q3367" t="str">
        <f t="shared" si="522"/>
        <v>Low</v>
      </c>
      <c r="R3367" t="s">
        <v>3317</v>
      </c>
      <c r="S3367" s="4">
        <f t="shared" ca="1" si="523"/>
        <v>436</v>
      </c>
      <c r="T3367">
        <f t="shared" si="524"/>
        <v>1</v>
      </c>
      <c r="U3367">
        <f t="shared" si="525"/>
        <v>1</v>
      </c>
      <c r="V3367">
        <f t="shared" si="526"/>
        <v>1</v>
      </c>
      <c r="W3367">
        <f t="shared" si="527"/>
        <v>1</v>
      </c>
      <c r="X3367">
        <f t="shared" si="528"/>
        <v>0.99999999999999989</v>
      </c>
      <c r="Y3367" t="str">
        <f t="shared" si="529"/>
        <v>Healthy</v>
      </c>
    </row>
    <row r="3368" spans="1:25" x14ac:dyDescent="0.35">
      <c r="A3368" t="s">
        <v>71</v>
      </c>
      <c r="B3368" t="s">
        <v>72</v>
      </c>
      <c r="C3368" t="s">
        <v>73</v>
      </c>
      <c r="D3368" t="s">
        <v>936</v>
      </c>
      <c r="E3368">
        <v>80895509</v>
      </c>
      <c r="F3368" t="s">
        <v>2321</v>
      </c>
      <c r="G3368" s="3">
        <v>47228</v>
      </c>
      <c r="H3368">
        <v>36</v>
      </c>
      <c r="I3368">
        <v>96</v>
      </c>
      <c r="J3368">
        <v>42</v>
      </c>
      <c r="K3368" s="4">
        <v>23519.16</v>
      </c>
      <c r="L3368" s="4">
        <f>0</f>
        <v>0</v>
      </c>
      <c r="M3368" s="4">
        <f>999</f>
        <v>999</v>
      </c>
      <c r="N3368" t="s">
        <v>19</v>
      </c>
      <c r="O3368" t="str">
        <f t="shared" si="520"/>
        <v>Low</v>
      </c>
      <c r="P3368" t="str">
        <f t="shared" si="521"/>
        <v>High</v>
      </c>
      <c r="Q3368" t="str">
        <f t="shared" si="522"/>
        <v>High</v>
      </c>
      <c r="R3368" t="s">
        <v>3317</v>
      </c>
      <c r="S3368" s="4">
        <f t="shared" ca="1" si="523"/>
        <v>1031</v>
      </c>
      <c r="T3368">
        <f t="shared" si="524"/>
        <v>1</v>
      </c>
      <c r="U3368">
        <f t="shared" si="525"/>
        <v>3</v>
      </c>
      <c r="V3368">
        <f t="shared" si="526"/>
        <v>3</v>
      </c>
      <c r="W3368">
        <f t="shared" si="527"/>
        <v>1</v>
      </c>
      <c r="X3368">
        <f t="shared" si="528"/>
        <v>2</v>
      </c>
      <c r="Y3368" t="str">
        <f t="shared" si="529"/>
        <v>Monitor</v>
      </c>
    </row>
    <row r="3369" spans="1:25" x14ac:dyDescent="0.35">
      <c r="A3369" t="s">
        <v>41</v>
      </c>
      <c r="B3369" t="s">
        <v>54</v>
      </c>
      <c r="C3369" t="s">
        <v>55</v>
      </c>
      <c r="D3369" t="s">
        <v>1335</v>
      </c>
      <c r="E3369">
        <v>80798419</v>
      </c>
      <c r="F3369" t="s">
        <v>2322</v>
      </c>
      <c r="G3369" s="3">
        <v>46628</v>
      </c>
      <c r="H3369">
        <v>36</v>
      </c>
      <c r="I3369">
        <v>40</v>
      </c>
      <c r="J3369">
        <v>3</v>
      </c>
      <c r="K3369" s="4">
        <v>2126.4899999999998</v>
      </c>
      <c r="L3369" s="4">
        <f>0</f>
        <v>0</v>
      </c>
      <c r="M3369" s="4">
        <f>999</f>
        <v>999</v>
      </c>
      <c r="N3369" t="s">
        <v>19</v>
      </c>
      <c r="O3369" t="str">
        <f t="shared" si="520"/>
        <v>Low</v>
      </c>
      <c r="P3369" t="str">
        <f t="shared" si="521"/>
        <v>High</v>
      </c>
      <c r="Q3369" t="str">
        <f t="shared" si="522"/>
        <v>High</v>
      </c>
      <c r="R3369" t="s">
        <v>3317</v>
      </c>
      <c r="S3369" s="4">
        <f t="shared" ca="1" si="523"/>
        <v>431</v>
      </c>
      <c r="T3369">
        <f t="shared" si="524"/>
        <v>1</v>
      </c>
      <c r="U3369">
        <f t="shared" si="525"/>
        <v>3</v>
      </c>
      <c r="V3369">
        <f t="shared" si="526"/>
        <v>3</v>
      </c>
      <c r="W3369">
        <f t="shared" si="527"/>
        <v>1</v>
      </c>
      <c r="X3369">
        <f t="shared" si="528"/>
        <v>2</v>
      </c>
      <c r="Y3369" t="str">
        <f t="shared" si="529"/>
        <v>Monitor</v>
      </c>
    </row>
    <row r="3370" spans="1:25" x14ac:dyDescent="0.35">
      <c r="A3370" t="s">
        <v>71</v>
      </c>
      <c r="B3370" t="s">
        <v>72</v>
      </c>
      <c r="C3370" t="s">
        <v>150</v>
      </c>
      <c r="D3370" t="s">
        <v>2323</v>
      </c>
      <c r="E3370">
        <v>80895536</v>
      </c>
      <c r="F3370" t="s">
        <v>2324</v>
      </c>
      <c r="G3370" s="3">
        <v>47217</v>
      </c>
      <c r="H3370">
        <v>36</v>
      </c>
      <c r="I3370">
        <v>95</v>
      </c>
      <c r="J3370">
        <v>14</v>
      </c>
      <c r="K3370" s="4">
        <v>604.79999999999995</v>
      </c>
      <c r="L3370" s="4">
        <v>23.428571428571427</v>
      </c>
      <c r="M3370" s="4">
        <v>0.59756097560975618</v>
      </c>
      <c r="N3370" t="s">
        <v>25</v>
      </c>
      <c r="O3370" t="str">
        <f t="shared" si="520"/>
        <v>Low</v>
      </c>
      <c r="P3370" t="str">
        <f t="shared" si="521"/>
        <v>Low</v>
      </c>
      <c r="Q3370" t="str">
        <f t="shared" si="522"/>
        <v>Low</v>
      </c>
      <c r="R3370" t="s">
        <v>3317</v>
      </c>
      <c r="S3370" s="4">
        <f t="shared" ca="1" si="523"/>
        <v>1020</v>
      </c>
      <c r="T3370">
        <f t="shared" si="524"/>
        <v>1</v>
      </c>
      <c r="U3370">
        <f t="shared" si="525"/>
        <v>1</v>
      </c>
      <c r="V3370">
        <f t="shared" si="526"/>
        <v>1</v>
      </c>
      <c r="W3370">
        <f t="shared" si="527"/>
        <v>1</v>
      </c>
      <c r="X3370">
        <f t="shared" si="528"/>
        <v>0.99999999999999989</v>
      </c>
      <c r="Y3370" t="str">
        <f t="shared" si="529"/>
        <v>Healthy</v>
      </c>
    </row>
    <row r="3371" spans="1:25" x14ac:dyDescent="0.35">
      <c r="A3371" t="s">
        <v>71</v>
      </c>
      <c r="B3371" t="s">
        <v>72</v>
      </c>
      <c r="C3371" t="s">
        <v>386</v>
      </c>
      <c r="D3371" t="s">
        <v>599</v>
      </c>
      <c r="E3371">
        <v>80815815</v>
      </c>
      <c r="F3371" t="s">
        <v>2325</v>
      </c>
      <c r="G3371" s="3">
        <v>46788</v>
      </c>
      <c r="H3371">
        <v>36</v>
      </c>
      <c r="I3371">
        <v>55</v>
      </c>
      <c r="J3371">
        <v>9</v>
      </c>
      <c r="K3371" s="4">
        <v>2692.71</v>
      </c>
      <c r="L3371" s="4">
        <v>2.4285714285714284</v>
      </c>
      <c r="M3371" s="4">
        <v>3.7058823529411766</v>
      </c>
      <c r="N3371" t="s">
        <v>25</v>
      </c>
      <c r="O3371" t="str">
        <f t="shared" si="520"/>
        <v>Low</v>
      </c>
      <c r="P3371" t="str">
        <f t="shared" si="521"/>
        <v>Low</v>
      </c>
      <c r="Q3371" t="str">
        <f t="shared" si="522"/>
        <v>High</v>
      </c>
      <c r="R3371" t="s">
        <v>3317</v>
      </c>
      <c r="S3371" s="4">
        <f t="shared" ca="1" si="523"/>
        <v>591</v>
      </c>
      <c r="T3371">
        <f t="shared" si="524"/>
        <v>1</v>
      </c>
      <c r="U3371">
        <f t="shared" si="525"/>
        <v>1</v>
      </c>
      <c r="V3371">
        <f t="shared" si="526"/>
        <v>3</v>
      </c>
      <c r="W3371">
        <f t="shared" si="527"/>
        <v>1</v>
      </c>
      <c r="X3371">
        <f t="shared" si="528"/>
        <v>1.4000000000000001</v>
      </c>
      <c r="Y3371" t="str">
        <f t="shared" si="529"/>
        <v>Healthy</v>
      </c>
    </row>
    <row r="3372" spans="1:25" x14ac:dyDescent="0.35">
      <c r="A3372" t="s">
        <v>71</v>
      </c>
      <c r="B3372" t="s">
        <v>72</v>
      </c>
      <c r="C3372" t="s">
        <v>386</v>
      </c>
      <c r="D3372" t="s">
        <v>599</v>
      </c>
      <c r="E3372">
        <v>80815815</v>
      </c>
      <c r="F3372" t="s">
        <v>2325</v>
      </c>
      <c r="G3372" s="3">
        <v>46571</v>
      </c>
      <c r="H3372">
        <v>36</v>
      </c>
      <c r="I3372">
        <v>35</v>
      </c>
      <c r="J3372">
        <v>3</v>
      </c>
      <c r="K3372" s="4">
        <v>897.57</v>
      </c>
      <c r="L3372" s="4">
        <v>2.4285714285714284</v>
      </c>
      <c r="M3372" s="4">
        <v>1.2352941176470589</v>
      </c>
      <c r="N3372" t="s">
        <v>25</v>
      </c>
      <c r="O3372" t="str">
        <f t="shared" si="520"/>
        <v>Medium</v>
      </c>
      <c r="P3372" t="str">
        <f t="shared" si="521"/>
        <v>Low</v>
      </c>
      <c r="Q3372" t="str">
        <f t="shared" si="522"/>
        <v>High</v>
      </c>
      <c r="R3372" t="s">
        <v>3317</v>
      </c>
      <c r="S3372" s="4">
        <f t="shared" ca="1" si="523"/>
        <v>374</v>
      </c>
      <c r="T3372">
        <f t="shared" si="524"/>
        <v>2</v>
      </c>
      <c r="U3372">
        <f t="shared" si="525"/>
        <v>1</v>
      </c>
      <c r="V3372">
        <f t="shared" si="526"/>
        <v>3</v>
      </c>
      <c r="W3372">
        <f t="shared" si="527"/>
        <v>1</v>
      </c>
      <c r="X3372">
        <f t="shared" si="528"/>
        <v>1.8000000000000003</v>
      </c>
      <c r="Y3372" t="str">
        <f t="shared" si="529"/>
        <v>Monitor</v>
      </c>
    </row>
    <row r="3373" spans="1:25" x14ac:dyDescent="0.35">
      <c r="A3373" t="s">
        <v>71</v>
      </c>
      <c r="B3373" t="s">
        <v>72</v>
      </c>
      <c r="C3373" t="s">
        <v>320</v>
      </c>
      <c r="D3373" t="s">
        <v>620</v>
      </c>
      <c r="E3373">
        <v>80895547</v>
      </c>
      <c r="F3373" t="s">
        <v>2326</v>
      </c>
      <c r="G3373" s="3">
        <v>47245</v>
      </c>
      <c r="H3373">
        <v>36</v>
      </c>
      <c r="I3373">
        <v>98</v>
      </c>
      <c r="J3373">
        <v>768</v>
      </c>
      <c r="K3373" s="4">
        <v>14131.2</v>
      </c>
      <c r="L3373" s="4">
        <v>362252.71428571426</v>
      </c>
      <c r="M3373" s="4">
        <v>2.1200669303867979E-3</v>
      </c>
      <c r="N3373" t="s">
        <v>25</v>
      </c>
      <c r="O3373" t="str">
        <f t="shared" si="520"/>
        <v>Low</v>
      </c>
      <c r="P3373" t="str">
        <f t="shared" si="521"/>
        <v>Low</v>
      </c>
      <c r="Q3373" t="str">
        <f t="shared" si="522"/>
        <v>Low</v>
      </c>
      <c r="R3373" t="s">
        <v>3317</v>
      </c>
      <c r="S3373" s="4">
        <f t="shared" ca="1" si="523"/>
        <v>1048</v>
      </c>
      <c r="T3373">
        <f t="shared" si="524"/>
        <v>1</v>
      </c>
      <c r="U3373">
        <f t="shared" si="525"/>
        <v>1</v>
      </c>
      <c r="V3373">
        <f t="shared" si="526"/>
        <v>1</v>
      </c>
      <c r="W3373">
        <f t="shared" si="527"/>
        <v>1</v>
      </c>
      <c r="X3373">
        <f t="shared" si="528"/>
        <v>0.99999999999999989</v>
      </c>
      <c r="Y3373" t="str">
        <f t="shared" si="529"/>
        <v>Healthy</v>
      </c>
    </row>
    <row r="3374" spans="1:25" x14ac:dyDescent="0.35">
      <c r="A3374" t="s">
        <v>71</v>
      </c>
      <c r="B3374" t="s">
        <v>72</v>
      </c>
      <c r="C3374" t="s">
        <v>320</v>
      </c>
      <c r="D3374" t="s">
        <v>620</v>
      </c>
      <c r="E3374">
        <v>80895547</v>
      </c>
      <c r="F3374" t="s">
        <v>2326</v>
      </c>
      <c r="G3374" s="3">
        <v>47226</v>
      </c>
      <c r="H3374">
        <v>36</v>
      </c>
      <c r="I3374">
        <v>96</v>
      </c>
      <c r="J3374">
        <v>1152</v>
      </c>
      <c r="K3374" s="4">
        <v>21196.799999999999</v>
      </c>
      <c r="L3374" s="4">
        <v>362252.71428571426</v>
      </c>
      <c r="M3374" s="4">
        <v>3.180100395580197E-3</v>
      </c>
      <c r="N3374" t="s">
        <v>25</v>
      </c>
      <c r="O3374" t="str">
        <f t="shared" si="520"/>
        <v>Low</v>
      </c>
      <c r="P3374" t="str">
        <f t="shared" si="521"/>
        <v>Low</v>
      </c>
      <c r="Q3374" t="str">
        <f t="shared" si="522"/>
        <v>Low</v>
      </c>
      <c r="R3374" t="s">
        <v>3317</v>
      </c>
      <c r="S3374" s="4">
        <f t="shared" ca="1" si="523"/>
        <v>1029</v>
      </c>
      <c r="T3374">
        <f t="shared" si="524"/>
        <v>1</v>
      </c>
      <c r="U3374">
        <f t="shared" si="525"/>
        <v>1</v>
      </c>
      <c r="V3374">
        <f t="shared" si="526"/>
        <v>1</v>
      </c>
      <c r="W3374">
        <f t="shared" si="527"/>
        <v>1</v>
      </c>
      <c r="X3374">
        <f t="shared" si="528"/>
        <v>0.99999999999999989</v>
      </c>
      <c r="Y3374" t="str">
        <f t="shared" si="529"/>
        <v>Healthy</v>
      </c>
    </row>
    <row r="3375" spans="1:25" x14ac:dyDescent="0.35">
      <c r="A3375" t="s">
        <v>41</v>
      </c>
      <c r="B3375" t="s">
        <v>54</v>
      </c>
      <c r="C3375" t="s">
        <v>293</v>
      </c>
      <c r="D3375" t="s">
        <v>1742</v>
      </c>
      <c r="E3375">
        <v>80821393</v>
      </c>
      <c r="F3375" t="s">
        <v>2327</v>
      </c>
      <c r="G3375" s="3">
        <v>46346</v>
      </c>
      <c r="H3375">
        <v>18</v>
      </c>
      <c r="I3375">
        <v>29</v>
      </c>
      <c r="J3375">
        <v>32</v>
      </c>
      <c r="K3375" s="4">
        <v>6579.2</v>
      </c>
      <c r="L3375" s="4">
        <v>21.714285714285715</v>
      </c>
      <c r="M3375" s="4">
        <v>1.4736842105263157</v>
      </c>
      <c r="N3375" t="s">
        <v>25</v>
      </c>
      <c r="O3375" t="str">
        <f t="shared" si="520"/>
        <v>Medium</v>
      </c>
      <c r="P3375" t="str">
        <f t="shared" si="521"/>
        <v>Low</v>
      </c>
      <c r="Q3375" t="str">
        <f t="shared" si="522"/>
        <v>Low</v>
      </c>
      <c r="R3375" t="s">
        <v>3317</v>
      </c>
      <c r="S3375" s="4">
        <f t="shared" ca="1" si="523"/>
        <v>149</v>
      </c>
      <c r="T3375">
        <f t="shared" si="524"/>
        <v>2</v>
      </c>
      <c r="U3375">
        <f t="shared" si="525"/>
        <v>1</v>
      </c>
      <c r="V3375">
        <f t="shared" si="526"/>
        <v>1</v>
      </c>
      <c r="W3375">
        <f t="shared" si="527"/>
        <v>1</v>
      </c>
      <c r="X3375">
        <f t="shared" si="528"/>
        <v>1.4000000000000001</v>
      </c>
      <c r="Y3375" t="str">
        <f t="shared" si="529"/>
        <v>Healthy</v>
      </c>
    </row>
    <row r="3376" spans="1:25" x14ac:dyDescent="0.35">
      <c r="A3376" t="s">
        <v>41</v>
      </c>
      <c r="B3376" t="s">
        <v>54</v>
      </c>
      <c r="C3376" t="s">
        <v>293</v>
      </c>
      <c r="D3376" t="s">
        <v>1742</v>
      </c>
      <c r="E3376">
        <v>80821393</v>
      </c>
      <c r="F3376" t="s">
        <v>2327</v>
      </c>
      <c r="G3376" s="3">
        <v>46429</v>
      </c>
      <c r="H3376">
        <v>18</v>
      </c>
      <c r="I3376">
        <v>44</v>
      </c>
      <c r="J3376">
        <v>13</v>
      </c>
      <c r="K3376" s="4">
        <v>2672.8</v>
      </c>
      <c r="L3376" s="4">
        <v>21.714285714285715</v>
      </c>
      <c r="M3376" s="4">
        <v>0.59868421052631571</v>
      </c>
      <c r="N3376" t="s">
        <v>25</v>
      </c>
      <c r="O3376" t="str">
        <f t="shared" si="520"/>
        <v>Low</v>
      </c>
      <c r="P3376" t="str">
        <f t="shared" si="521"/>
        <v>Low</v>
      </c>
      <c r="Q3376" t="str">
        <f t="shared" si="522"/>
        <v>Low</v>
      </c>
      <c r="R3376" t="s">
        <v>3317</v>
      </c>
      <c r="S3376" s="4">
        <f t="shared" ca="1" si="523"/>
        <v>232</v>
      </c>
      <c r="T3376">
        <f t="shared" si="524"/>
        <v>1</v>
      </c>
      <c r="U3376">
        <f t="shared" si="525"/>
        <v>1</v>
      </c>
      <c r="V3376">
        <f t="shared" si="526"/>
        <v>1</v>
      </c>
      <c r="W3376">
        <f t="shared" si="527"/>
        <v>1</v>
      </c>
      <c r="X3376">
        <f t="shared" si="528"/>
        <v>0.99999999999999989</v>
      </c>
      <c r="Y3376" t="str">
        <f t="shared" si="529"/>
        <v>Healthy</v>
      </c>
    </row>
    <row r="3377" spans="1:25" x14ac:dyDescent="0.35">
      <c r="A3377" t="s">
        <v>71</v>
      </c>
      <c r="B3377" t="s">
        <v>72</v>
      </c>
      <c r="C3377" t="s">
        <v>320</v>
      </c>
      <c r="D3377" t="s">
        <v>620</v>
      </c>
      <c r="E3377">
        <v>80895547</v>
      </c>
      <c r="F3377" t="s">
        <v>2326</v>
      </c>
      <c r="G3377" s="3">
        <v>47218</v>
      </c>
      <c r="H3377">
        <v>36</v>
      </c>
      <c r="I3377">
        <v>95</v>
      </c>
      <c r="J3377">
        <v>249</v>
      </c>
      <c r="K3377" s="4">
        <v>4581.6000000000004</v>
      </c>
      <c r="L3377" s="4">
        <v>362252.71428571426</v>
      </c>
      <c r="M3377" s="4">
        <v>6.8736545008634472E-4</v>
      </c>
      <c r="N3377" t="s">
        <v>25</v>
      </c>
      <c r="O3377" t="str">
        <f t="shared" si="520"/>
        <v>Low</v>
      </c>
      <c r="P3377" t="str">
        <f t="shared" si="521"/>
        <v>Low</v>
      </c>
      <c r="Q3377" t="str">
        <f t="shared" si="522"/>
        <v>Low</v>
      </c>
      <c r="R3377" t="s">
        <v>3317</v>
      </c>
      <c r="S3377" s="4">
        <f t="shared" ca="1" si="523"/>
        <v>1021</v>
      </c>
      <c r="T3377">
        <f t="shared" si="524"/>
        <v>1</v>
      </c>
      <c r="U3377">
        <f t="shared" si="525"/>
        <v>1</v>
      </c>
      <c r="V3377">
        <f t="shared" si="526"/>
        <v>1</v>
      </c>
      <c r="W3377">
        <f t="shared" si="527"/>
        <v>1</v>
      </c>
      <c r="X3377">
        <f t="shared" si="528"/>
        <v>0.99999999999999989</v>
      </c>
      <c r="Y3377" t="str">
        <f t="shared" si="529"/>
        <v>Healthy</v>
      </c>
    </row>
    <row r="3378" spans="1:25" x14ac:dyDescent="0.35">
      <c r="A3378" t="s">
        <v>29</v>
      </c>
      <c r="B3378" t="s">
        <v>30</v>
      </c>
      <c r="C3378" t="s">
        <v>31</v>
      </c>
      <c r="D3378" t="s">
        <v>2328</v>
      </c>
      <c r="E3378">
        <v>80750996</v>
      </c>
      <c r="F3378" t="s">
        <v>2329</v>
      </c>
      <c r="G3378" s="3">
        <v>47000</v>
      </c>
      <c r="H3378">
        <v>36</v>
      </c>
      <c r="I3378">
        <v>75</v>
      </c>
      <c r="J3378">
        <v>61</v>
      </c>
      <c r="K3378" s="4">
        <v>19470.59</v>
      </c>
      <c r="L3378" s="4">
        <v>213</v>
      </c>
      <c r="M3378" s="4">
        <v>0.28638497652582162</v>
      </c>
      <c r="N3378" t="s">
        <v>25</v>
      </c>
      <c r="O3378" t="str">
        <f t="shared" si="520"/>
        <v>Low</v>
      </c>
      <c r="P3378" t="str">
        <f t="shared" si="521"/>
        <v>Low</v>
      </c>
      <c r="Q3378" t="str">
        <f t="shared" si="522"/>
        <v>Low</v>
      </c>
      <c r="R3378" t="s">
        <v>3317</v>
      </c>
      <c r="S3378" s="4">
        <f t="shared" ca="1" si="523"/>
        <v>803</v>
      </c>
      <c r="T3378">
        <f t="shared" si="524"/>
        <v>1</v>
      </c>
      <c r="U3378">
        <f t="shared" si="525"/>
        <v>1</v>
      </c>
      <c r="V3378">
        <f t="shared" si="526"/>
        <v>1</v>
      </c>
      <c r="W3378">
        <f t="shared" si="527"/>
        <v>1</v>
      </c>
      <c r="X3378">
        <f t="shared" si="528"/>
        <v>0.99999999999999989</v>
      </c>
      <c r="Y3378" t="str">
        <f t="shared" si="529"/>
        <v>Healthy</v>
      </c>
    </row>
    <row r="3379" spans="1:25" x14ac:dyDescent="0.35">
      <c r="A3379" t="s">
        <v>29</v>
      </c>
      <c r="B3379" t="s">
        <v>30</v>
      </c>
      <c r="C3379" t="s">
        <v>31</v>
      </c>
      <c r="D3379" t="s">
        <v>2328</v>
      </c>
      <c r="E3379">
        <v>80750996</v>
      </c>
      <c r="F3379" t="s">
        <v>2329</v>
      </c>
      <c r="G3379" s="3">
        <v>46993</v>
      </c>
      <c r="H3379">
        <v>36</v>
      </c>
      <c r="I3379">
        <v>74</v>
      </c>
      <c r="J3379">
        <v>12</v>
      </c>
      <c r="K3379" s="4">
        <v>3830.28</v>
      </c>
      <c r="L3379" s="4">
        <v>213</v>
      </c>
      <c r="M3379" s="4">
        <v>5.6338028169014086E-2</v>
      </c>
      <c r="N3379" t="s">
        <v>25</v>
      </c>
      <c r="O3379" t="str">
        <f t="shared" si="520"/>
        <v>Low</v>
      </c>
      <c r="P3379" t="str">
        <f t="shared" si="521"/>
        <v>Low</v>
      </c>
      <c r="Q3379" t="str">
        <f t="shared" si="522"/>
        <v>Low</v>
      </c>
      <c r="R3379" t="s">
        <v>3317</v>
      </c>
      <c r="S3379" s="4">
        <f t="shared" ca="1" si="523"/>
        <v>796</v>
      </c>
      <c r="T3379">
        <f t="shared" si="524"/>
        <v>1</v>
      </c>
      <c r="U3379">
        <f t="shared" si="525"/>
        <v>1</v>
      </c>
      <c r="V3379">
        <f t="shared" si="526"/>
        <v>1</v>
      </c>
      <c r="W3379">
        <f t="shared" si="527"/>
        <v>1</v>
      </c>
      <c r="X3379">
        <f t="shared" si="528"/>
        <v>0.99999999999999989</v>
      </c>
      <c r="Y3379" t="str">
        <f t="shared" si="529"/>
        <v>Healthy</v>
      </c>
    </row>
    <row r="3380" spans="1:25" x14ac:dyDescent="0.35">
      <c r="A3380" t="s">
        <v>29</v>
      </c>
      <c r="B3380" t="s">
        <v>30</v>
      </c>
      <c r="C3380" t="s">
        <v>31</v>
      </c>
      <c r="D3380" t="s">
        <v>2328</v>
      </c>
      <c r="E3380">
        <v>80750996</v>
      </c>
      <c r="F3380" t="s">
        <v>2329</v>
      </c>
      <c r="G3380" s="3">
        <v>47174</v>
      </c>
      <c r="H3380">
        <v>36</v>
      </c>
      <c r="I3380">
        <v>91</v>
      </c>
      <c r="J3380">
        <v>142</v>
      </c>
      <c r="K3380" s="4">
        <v>45324.98</v>
      </c>
      <c r="L3380" s="4">
        <v>213</v>
      </c>
      <c r="M3380" s="4">
        <v>0.66666666666666663</v>
      </c>
      <c r="N3380" t="s">
        <v>25</v>
      </c>
      <c r="O3380" t="str">
        <f t="shared" si="520"/>
        <v>Low</v>
      </c>
      <c r="P3380" t="str">
        <f t="shared" si="521"/>
        <v>Low</v>
      </c>
      <c r="Q3380" t="str">
        <f t="shared" si="522"/>
        <v>Low</v>
      </c>
      <c r="R3380" t="s">
        <v>3317</v>
      </c>
      <c r="S3380" s="4">
        <f t="shared" ca="1" si="523"/>
        <v>977</v>
      </c>
      <c r="T3380">
        <f t="shared" si="524"/>
        <v>1</v>
      </c>
      <c r="U3380">
        <f t="shared" si="525"/>
        <v>1</v>
      </c>
      <c r="V3380">
        <f t="shared" si="526"/>
        <v>1</v>
      </c>
      <c r="W3380">
        <f t="shared" si="527"/>
        <v>1</v>
      </c>
      <c r="X3380">
        <f t="shared" si="528"/>
        <v>0.99999999999999989</v>
      </c>
      <c r="Y3380" t="str">
        <f t="shared" si="529"/>
        <v>Healthy</v>
      </c>
    </row>
    <row r="3381" spans="1:25" x14ac:dyDescent="0.35">
      <c r="A3381" t="s">
        <v>29</v>
      </c>
      <c r="B3381" t="s">
        <v>30</v>
      </c>
      <c r="C3381" t="s">
        <v>31</v>
      </c>
      <c r="D3381" t="s">
        <v>2328</v>
      </c>
      <c r="E3381">
        <v>80750996</v>
      </c>
      <c r="F3381" t="s">
        <v>2329</v>
      </c>
      <c r="G3381" s="3">
        <v>46993</v>
      </c>
      <c r="H3381">
        <v>36</v>
      </c>
      <c r="I3381">
        <v>74</v>
      </c>
      <c r="J3381">
        <v>12</v>
      </c>
      <c r="K3381" s="4">
        <v>3830.28</v>
      </c>
      <c r="L3381" s="4">
        <v>213</v>
      </c>
      <c r="M3381" s="4">
        <v>5.6338028169014086E-2</v>
      </c>
      <c r="N3381" t="s">
        <v>25</v>
      </c>
      <c r="O3381" t="str">
        <f t="shared" si="520"/>
        <v>Low</v>
      </c>
      <c r="P3381" t="str">
        <f t="shared" si="521"/>
        <v>Low</v>
      </c>
      <c r="Q3381" t="str">
        <f t="shared" si="522"/>
        <v>Low</v>
      </c>
      <c r="R3381" t="s">
        <v>3317</v>
      </c>
      <c r="S3381" s="4">
        <f t="shared" ca="1" si="523"/>
        <v>796</v>
      </c>
      <c r="T3381">
        <f t="shared" si="524"/>
        <v>1</v>
      </c>
      <c r="U3381">
        <f t="shared" si="525"/>
        <v>1</v>
      </c>
      <c r="V3381">
        <f t="shared" si="526"/>
        <v>1</v>
      </c>
      <c r="W3381">
        <f t="shared" si="527"/>
        <v>1</v>
      </c>
      <c r="X3381">
        <f t="shared" si="528"/>
        <v>0.99999999999999989</v>
      </c>
      <c r="Y3381" t="str">
        <f t="shared" si="529"/>
        <v>Healthy</v>
      </c>
    </row>
    <row r="3382" spans="1:25" x14ac:dyDescent="0.35">
      <c r="A3382" t="s">
        <v>179</v>
      </c>
      <c r="B3382" t="s">
        <v>180</v>
      </c>
      <c r="C3382" t="s">
        <v>181</v>
      </c>
      <c r="D3382" t="s">
        <v>1490</v>
      </c>
      <c r="E3382">
        <v>80822313</v>
      </c>
      <c r="F3382" t="s">
        <v>2330</v>
      </c>
      <c r="G3382" s="3">
        <v>46387</v>
      </c>
      <c r="H3382">
        <v>16</v>
      </c>
      <c r="I3382">
        <v>41</v>
      </c>
      <c r="J3382">
        <v>18</v>
      </c>
      <c r="K3382" s="4">
        <v>6863.76</v>
      </c>
      <c r="L3382" s="4">
        <v>62.857142857142854</v>
      </c>
      <c r="M3382" s="4">
        <v>0.28636363636363638</v>
      </c>
      <c r="N3382" t="s">
        <v>25</v>
      </c>
      <c r="O3382" t="str">
        <f t="shared" si="520"/>
        <v>Low</v>
      </c>
      <c r="P3382" t="str">
        <f t="shared" si="521"/>
        <v>Low</v>
      </c>
      <c r="Q3382" t="str">
        <f t="shared" si="522"/>
        <v>Low</v>
      </c>
      <c r="R3382" t="s">
        <v>3317</v>
      </c>
      <c r="S3382" s="4">
        <f t="shared" ca="1" si="523"/>
        <v>190</v>
      </c>
      <c r="T3382">
        <f t="shared" si="524"/>
        <v>1</v>
      </c>
      <c r="U3382">
        <f t="shared" si="525"/>
        <v>1</v>
      </c>
      <c r="V3382">
        <f t="shared" si="526"/>
        <v>1</v>
      </c>
      <c r="W3382">
        <f t="shared" si="527"/>
        <v>1</v>
      </c>
      <c r="X3382">
        <f t="shared" si="528"/>
        <v>0.99999999999999989</v>
      </c>
      <c r="Y3382" t="str">
        <f t="shared" si="529"/>
        <v>Healthy</v>
      </c>
    </row>
    <row r="3383" spans="1:25" x14ac:dyDescent="0.35">
      <c r="A3383" t="s">
        <v>179</v>
      </c>
      <c r="B3383" t="s">
        <v>180</v>
      </c>
      <c r="C3383" t="s">
        <v>181</v>
      </c>
      <c r="D3383" t="s">
        <v>1490</v>
      </c>
      <c r="E3383">
        <v>80822313</v>
      </c>
      <c r="F3383" t="s">
        <v>2330</v>
      </c>
      <c r="G3383" s="3">
        <v>46157</v>
      </c>
      <c r="H3383">
        <v>16</v>
      </c>
      <c r="I3383">
        <v>0</v>
      </c>
      <c r="J3383">
        <v>88</v>
      </c>
      <c r="K3383" s="4">
        <v>33556.160000000003</v>
      </c>
      <c r="L3383" s="4">
        <v>62.857142857142854</v>
      </c>
      <c r="M3383" s="4">
        <v>1.4000000000000001</v>
      </c>
      <c r="N3383" t="s">
        <v>25</v>
      </c>
      <c r="O3383" t="str">
        <f t="shared" si="520"/>
        <v>High</v>
      </c>
      <c r="P3383" t="str">
        <f t="shared" si="521"/>
        <v>Low</v>
      </c>
      <c r="Q3383" t="str">
        <f t="shared" si="522"/>
        <v>Low</v>
      </c>
      <c r="R3383" t="s">
        <v>3317</v>
      </c>
      <c r="S3383" s="4">
        <f t="shared" ca="1" si="523"/>
        <v>-40</v>
      </c>
      <c r="T3383">
        <f t="shared" si="524"/>
        <v>3</v>
      </c>
      <c r="U3383">
        <f t="shared" si="525"/>
        <v>1</v>
      </c>
      <c r="V3383">
        <f t="shared" si="526"/>
        <v>1</v>
      </c>
      <c r="W3383">
        <f t="shared" si="527"/>
        <v>1</v>
      </c>
      <c r="X3383">
        <f t="shared" si="528"/>
        <v>1.8000000000000003</v>
      </c>
      <c r="Y3383" t="str">
        <f t="shared" si="529"/>
        <v>Monitor</v>
      </c>
    </row>
    <row r="3384" spans="1:25" x14ac:dyDescent="0.35">
      <c r="A3384" t="s">
        <v>179</v>
      </c>
      <c r="B3384" t="s">
        <v>180</v>
      </c>
      <c r="C3384" t="s">
        <v>181</v>
      </c>
      <c r="D3384" t="s">
        <v>1490</v>
      </c>
      <c r="E3384">
        <v>80822313</v>
      </c>
      <c r="F3384" t="s">
        <v>2330</v>
      </c>
      <c r="G3384" s="3">
        <v>46157</v>
      </c>
      <c r="H3384">
        <v>16</v>
      </c>
      <c r="I3384">
        <v>0</v>
      </c>
      <c r="J3384">
        <v>2</v>
      </c>
      <c r="K3384" s="4">
        <v>762.64</v>
      </c>
      <c r="L3384" s="4">
        <v>62.857142857142854</v>
      </c>
      <c r="M3384" s="4">
        <v>3.1818181818181822E-2</v>
      </c>
      <c r="N3384" t="s">
        <v>25</v>
      </c>
      <c r="O3384" t="str">
        <f t="shared" si="520"/>
        <v>High</v>
      </c>
      <c r="P3384" t="str">
        <f t="shared" si="521"/>
        <v>Low</v>
      </c>
      <c r="Q3384" t="str">
        <f t="shared" si="522"/>
        <v>Low</v>
      </c>
      <c r="R3384" t="s">
        <v>3317</v>
      </c>
      <c r="S3384" s="4">
        <f t="shared" ca="1" si="523"/>
        <v>-40</v>
      </c>
      <c r="T3384">
        <f t="shared" si="524"/>
        <v>3</v>
      </c>
      <c r="U3384">
        <f t="shared" si="525"/>
        <v>1</v>
      </c>
      <c r="V3384">
        <f t="shared" si="526"/>
        <v>1</v>
      </c>
      <c r="W3384">
        <f t="shared" si="527"/>
        <v>1</v>
      </c>
      <c r="X3384">
        <f t="shared" si="528"/>
        <v>1.8000000000000003</v>
      </c>
      <c r="Y3384" t="str">
        <f t="shared" si="529"/>
        <v>Monitor</v>
      </c>
    </row>
    <row r="3385" spans="1:25" x14ac:dyDescent="0.35">
      <c r="A3385" t="s">
        <v>71</v>
      </c>
      <c r="B3385" t="s">
        <v>72</v>
      </c>
      <c r="C3385" t="s">
        <v>320</v>
      </c>
      <c r="D3385" t="s">
        <v>624</v>
      </c>
      <c r="E3385">
        <v>80895548</v>
      </c>
      <c r="F3385" t="s">
        <v>2331</v>
      </c>
      <c r="G3385" s="3">
        <v>47225</v>
      </c>
      <c r="H3385">
        <v>36</v>
      </c>
      <c r="I3385">
        <v>96</v>
      </c>
      <c r="J3385">
        <v>1920</v>
      </c>
      <c r="K3385" s="4">
        <v>27648</v>
      </c>
      <c r="L3385" s="4">
        <v>387519.85714285716</v>
      </c>
      <c r="M3385" s="4">
        <v>4.9545848157458473E-3</v>
      </c>
      <c r="N3385" t="s">
        <v>25</v>
      </c>
      <c r="O3385" t="str">
        <f t="shared" si="520"/>
        <v>Low</v>
      </c>
      <c r="P3385" t="str">
        <f t="shared" si="521"/>
        <v>Low</v>
      </c>
      <c r="Q3385" t="str">
        <f t="shared" si="522"/>
        <v>Low</v>
      </c>
      <c r="R3385" t="s">
        <v>3317</v>
      </c>
      <c r="S3385" s="4">
        <f t="shared" ca="1" si="523"/>
        <v>1028</v>
      </c>
      <c r="T3385">
        <f t="shared" si="524"/>
        <v>1</v>
      </c>
      <c r="U3385">
        <f t="shared" si="525"/>
        <v>1</v>
      </c>
      <c r="V3385">
        <f t="shared" si="526"/>
        <v>1</v>
      </c>
      <c r="W3385">
        <f t="shared" si="527"/>
        <v>1</v>
      </c>
      <c r="X3385">
        <f t="shared" si="528"/>
        <v>0.99999999999999989</v>
      </c>
      <c r="Y3385" t="str">
        <f t="shared" si="529"/>
        <v>Healthy</v>
      </c>
    </row>
    <row r="3386" spans="1:25" x14ac:dyDescent="0.35">
      <c r="A3386" t="s">
        <v>71</v>
      </c>
      <c r="B3386" t="s">
        <v>72</v>
      </c>
      <c r="C3386" t="s">
        <v>320</v>
      </c>
      <c r="D3386" t="s">
        <v>624</v>
      </c>
      <c r="E3386">
        <v>80895548</v>
      </c>
      <c r="F3386" t="s">
        <v>2331</v>
      </c>
      <c r="G3386" s="3">
        <v>47222</v>
      </c>
      <c r="H3386">
        <v>36</v>
      </c>
      <c r="I3386">
        <v>95</v>
      </c>
      <c r="J3386">
        <v>797</v>
      </c>
      <c r="K3386" s="4">
        <v>11476.8</v>
      </c>
      <c r="L3386" s="4">
        <v>387519.85714285716</v>
      </c>
      <c r="M3386" s="4">
        <v>2.0566688011194999E-3</v>
      </c>
      <c r="N3386" t="s">
        <v>25</v>
      </c>
      <c r="O3386" t="str">
        <f t="shared" si="520"/>
        <v>Low</v>
      </c>
      <c r="P3386" t="str">
        <f t="shared" si="521"/>
        <v>Low</v>
      </c>
      <c r="Q3386" t="str">
        <f t="shared" si="522"/>
        <v>Low</v>
      </c>
      <c r="R3386" t="s">
        <v>3317</v>
      </c>
      <c r="S3386" s="4">
        <f t="shared" ca="1" si="523"/>
        <v>1025</v>
      </c>
      <c r="T3386">
        <f t="shared" si="524"/>
        <v>1</v>
      </c>
      <c r="U3386">
        <f t="shared" si="525"/>
        <v>1</v>
      </c>
      <c r="V3386">
        <f t="shared" si="526"/>
        <v>1</v>
      </c>
      <c r="W3386">
        <f t="shared" si="527"/>
        <v>1</v>
      </c>
      <c r="X3386">
        <f t="shared" si="528"/>
        <v>0.99999999999999989</v>
      </c>
      <c r="Y3386" t="str">
        <f t="shared" si="529"/>
        <v>Healthy</v>
      </c>
    </row>
    <row r="3387" spans="1:25" x14ac:dyDescent="0.35">
      <c r="A3387" t="s">
        <v>71</v>
      </c>
      <c r="B3387" t="s">
        <v>72</v>
      </c>
      <c r="C3387" t="s">
        <v>320</v>
      </c>
      <c r="D3387" t="s">
        <v>624</v>
      </c>
      <c r="E3387">
        <v>80895548</v>
      </c>
      <c r="F3387" t="s">
        <v>2331</v>
      </c>
      <c r="G3387" s="3">
        <v>47214</v>
      </c>
      <c r="H3387">
        <v>36</v>
      </c>
      <c r="I3387">
        <v>95</v>
      </c>
      <c r="J3387">
        <v>385</v>
      </c>
      <c r="K3387" s="4">
        <v>5544</v>
      </c>
      <c r="L3387" s="4">
        <v>387519.85714285716</v>
      </c>
      <c r="M3387" s="4">
        <v>9.9349747607403705E-4</v>
      </c>
      <c r="N3387" t="s">
        <v>25</v>
      </c>
      <c r="O3387" t="str">
        <f t="shared" si="520"/>
        <v>Low</v>
      </c>
      <c r="P3387" t="str">
        <f t="shared" si="521"/>
        <v>Low</v>
      </c>
      <c r="Q3387" t="str">
        <f t="shared" si="522"/>
        <v>Low</v>
      </c>
      <c r="R3387" t="s">
        <v>3317</v>
      </c>
      <c r="S3387" s="4">
        <f t="shared" ca="1" si="523"/>
        <v>1017</v>
      </c>
      <c r="T3387">
        <f t="shared" si="524"/>
        <v>1</v>
      </c>
      <c r="U3387">
        <f t="shared" si="525"/>
        <v>1</v>
      </c>
      <c r="V3387">
        <f t="shared" si="526"/>
        <v>1</v>
      </c>
      <c r="W3387">
        <f t="shared" si="527"/>
        <v>1</v>
      </c>
      <c r="X3387">
        <f t="shared" si="528"/>
        <v>0.99999999999999989</v>
      </c>
      <c r="Y3387" t="str">
        <f t="shared" si="529"/>
        <v>Healthy</v>
      </c>
    </row>
    <row r="3388" spans="1:25" x14ac:dyDescent="0.35">
      <c r="A3388" t="s">
        <v>14</v>
      </c>
      <c r="B3388" t="s">
        <v>115</v>
      </c>
      <c r="C3388" t="s">
        <v>469</v>
      </c>
      <c r="D3388" t="s">
        <v>2332</v>
      </c>
      <c r="E3388">
        <v>80816854</v>
      </c>
      <c r="F3388" t="s">
        <v>2333</v>
      </c>
      <c r="G3388" s="3">
        <v>47736</v>
      </c>
      <c r="H3388">
        <v>60</v>
      </c>
      <c r="I3388">
        <v>86</v>
      </c>
      <c r="J3388">
        <v>69</v>
      </c>
      <c r="K3388" s="4">
        <v>7418.88</v>
      </c>
      <c r="L3388" s="4">
        <v>12245.428571428571</v>
      </c>
      <c r="M3388" s="4">
        <v>5.6347558272474866E-3</v>
      </c>
      <c r="N3388" t="s">
        <v>25</v>
      </c>
      <c r="O3388" t="str">
        <f t="shared" si="520"/>
        <v>Low</v>
      </c>
      <c r="P3388" t="str">
        <f t="shared" si="521"/>
        <v>Low</v>
      </c>
      <c r="Q3388" t="str">
        <f t="shared" si="522"/>
        <v>Low</v>
      </c>
      <c r="R3388" t="s">
        <v>3317</v>
      </c>
      <c r="S3388" s="4">
        <f t="shared" ca="1" si="523"/>
        <v>1539</v>
      </c>
      <c r="T3388">
        <f t="shared" si="524"/>
        <v>1</v>
      </c>
      <c r="U3388">
        <f t="shared" si="525"/>
        <v>1</v>
      </c>
      <c r="V3388">
        <f t="shared" si="526"/>
        <v>1</v>
      </c>
      <c r="W3388">
        <f t="shared" si="527"/>
        <v>1</v>
      </c>
      <c r="X3388">
        <f t="shared" si="528"/>
        <v>0.99999999999999989</v>
      </c>
      <c r="Y3388" t="str">
        <f t="shared" si="529"/>
        <v>Healthy</v>
      </c>
    </row>
    <row r="3389" spans="1:25" x14ac:dyDescent="0.35">
      <c r="A3389" t="s">
        <v>14</v>
      </c>
      <c r="B3389" t="s">
        <v>115</v>
      </c>
      <c r="C3389" t="s">
        <v>469</v>
      </c>
      <c r="D3389" t="s">
        <v>2332</v>
      </c>
      <c r="E3389">
        <v>80816854</v>
      </c>
      <c r="F3389" t="s">
        <v>2333</v>
      </c>
      <c r="G3389" s="3">
        <v>47731</v>
      </c>
      <c r="H3389">
        <v>60</v>
      </c>
      <c r="I3389">
        <v>86</v>
      </c>
      <c r="J3389">
        <v>5</v>
      </c>
      <c r="K3389" s="4">
        <v>537.6</v>
      </c>
      <c r="L3389" s="4">
        <v>12245.428571428571</v>
      </c>
      <c r="M3389" s="4">
        <v>4.0831563965561496E-4</v>
      </c>
      <c r="N3389" t="s">
        <v>25</v>
      </c>
      <c r="O3389" t="str">
        <f t="shared" si="520"/>
        <v>Low</v>
      </c>
      <c r="P3389" t="str">
        <f t="shared" si="521"/>
        <v>Low</v>
      </c>
      <c r="Q3389" t="str">
        <f t="shared" si="522"/>
        <v>Low</v>
      </c>
      <c r="R3389" t="s">
        <v>3317</v>
      </c>
      <c r="S3389" s="4">
        <f t="shared" ca="1" si="523"/>
        <v>1534</v>
      </c>
      <c r="T3389">
        <f t="shared" si="524"/>
        <v>1</v>
      </c>
      <c r="U3389">
        <f t="shared" si="525"/>
        <v>1</v>
      </c>
      <c r="V3389">
        <f t="shared" si="526"/>
        <v>1</v>
      </c>
      <c r="W3389">
        <f t="shared" si="527"/>
        <v>1</v>
      </c>
      <c r="X3389">
        <f t="shared" si="528"/>
        <v>0.99999999999999989</v>
      </c>
      <c r="Y3389" t="str">
        <f t="shared" si="529"/>
        <v>Healthy</v>
      </c>
    </row>
    <row r="3390" spans="1:25" x14ac:dyDescent="0.35">
      <c r="A3390" t="s">
        <v>71</v>
      </c>
      <c r="B3390" t="s">
        <v>72</v>
      </c>
      <c r="C3390" t="s">
        <v>320</v>
      </c>
      <c r="D3390" t="s">
        <v>624</v>
      </c>
      <c r="E3390">
        <v>80895548</v>
      </c>
      <c r="F3390" t="s">
        <v>2331</v>
      </c>
      <c r="G3390" s="3">
        <v>47221</v>
      </c>
      <c r="H3390">
        <v>36</v>
      </c>
      <c r="I3390">
        <v>95</v>
      </c>
      <c r="J3390">
        <v>2133</v>
      </c>
      <c r="K3390" s="4">
        <v>30715.200000000001</v>
      </c>
      <c r="L3390" s="4">
        <v>387519.85714285716</v>
      </c>
      <c r="M3390" s="4">
        <v>5.5042340687426524E-3</v>
      </c>
      <c r="N3390" t="s">
        <v>25</v>
      </c>
      <c r="O3390" t="str">
        <f t="shared" si="520"/>
        <v>Low</v>
      </c>
      <c r="P3390" t="str">
        <f t="shared" si="521"/>
        <v>Low</v>
      </c>
      <c r="Q3390" t="str">
        <f t="shared" si="522"/>
        <v>Low</v>
      </c>
      <c r="R3390" t="s">
        <v>3317</v>
      </c>
      <c r="S3390" s="4">
        <f t="shared" ca="1" si="523"/>
        <v>1024</v>
      </c>
      <c r="T3390">
        <f t="shared" si="524"/>
        <v>1</v>
      </c>
      <c r="U3390">
        <f t="shared" si="525"/>
        <v>1</v>
      </c>
      <c r="V3390">
        <f t="shared" si="526"/>
        <v>1</v>
      </c>
      <c r="W3390">
        <f t="shared" si="527"/>
        <v>1</v>
      </c>
      <c r="X3390">
        <f t="shared" si="528"/>
        <v>0.99999999999999989</v>
      </c>
      <c r="Y3390" t="str">
        <f t="shared" si="529"/>
        <v>Healthy</v>
      </c>
    </row>
    <row r="3391" spans="1:25" x14ac:dyDescent="0.35">
      <c r="A3391" t="s">
        <v>14</v>
      </c>
      <c r="B3391" t="s">
        <v>1548</v>
      </c>
      <c r="C3391" t="s">
        <v>2334</v>
      </c>
      <c r="D3391" t="s">
        <v>2335</v>
      </c>
      <c r="E3391">
        <v>80818341</v>
      </c>
      <c r="F3391" t="s">
        <v>2336</v>
      </c>
      <c r="G3391" s="3">
        <v>47983</v>
      </c>
      <c r="H3391">
        <v>60</v>
      </c>
      <c r="I3391">
        <v>100</v>
      </c>
      <c r="J3391">
        <v>30</v>
      </c>
      <c r="K3391" s="4">
        <v>4500</v>
      </c>
      <c r="L3391" s="4">
        <v>2146.4285714285716</v>
      </c>
      <c r="M3391" s="4">
        <v>1.3976705490848585E-2</v>
      </c>
      <c r="N3391" t="s">
        <v>25</v>
      </c>
      <c r="O3391" t="str">
        <f t="shared" si="520"/>
        <v>Low</v>
      </c>
      <c r="P3391" t="str">
        <f t="shared" si="521"/>
        <v>Low</v>
      </c>
      <c r="Q3391" t="str">
        <f t="shared" si="522"/>
        <v>Low</v>
      </c>
      <c r="R3391" t="s">
        <v>3317</v>
      </c>
      <c r="S3391" s="4">
        <f t="shared" ca="1" si="523"/>
        <v>1786</v>
      </c>
      <c r="T3391">
        <f t="shared" si="524"/>
        <v>1</v>
      </c>
      <c r="U3391">
        <f t="shared" si="525"/>
        <v>1</v>
      </c>
      <c r="V3391">
        <f t="shared" si="526"/>
        <v>1</v>
      </c>
      <c r="W3391">
        <f t="shared" si="527"/>
        <v>1</v>
      </c>
      <c r="X3391">
        <f t="shared" si="528"/>
        <v>0.99999999999999989</v>
      </c>
      <c r="Y3391" t="str">
        <f t="shared" si="529"/>
        <v>Healthy</v>
      </c>
    </row>
    <row r="3392" spans="1:25" x14ac:dyDescent="0.35">
      <c r="A3392" t="s">
        <v>71</v>
      </c>
      <c r="B3392" t="s">
        <v>72</v>
      </c>
      <c r="C3392" t="s">
        <v>320</v>
      </c>
      <c r="D3392" t="s">
        <v>624</v>
      </c>
      <c r="E3392">
        <v>80895548</v>
      </c>
      <c r="F3392" t="s">
        <v>2331</v>
      </c>
      <c r="G3392" s="3">
        <v>47219</v>
      </c>
      <c r="H3392">
        <v>36</v>
      </c>
      <c r="I3392">
        <v>95</v>
      </c>
      <c r="J3392">
        <v>1344</v>
      </c>
      <c r="K3392" s="4">
        <v>19353.599999999999</v>
      </c>
      <c r="L3392" s="4">
        <v>387519.85714285716</v>
      </c>
      <c r="M3392" s="4">
        <v>3.4682093710220931E-3</v>
      </c>
      <c r="N3392" t="s">
        <v>25</v>
      </c>
      <c r="O3392" t="str">
        <f t="shared" si="520"/>
        <v>Low</v>
      </c>
      <c r="P3392" t="str">
        <f t="shared" si="521"/>
        <v>Low</v>
      </c>
      <c r="Q3392" t="str">
        <f t="shared" si="522"/>
        <v>Low</v>
      </c>
      <c r="R3392" t="s">
        <v>3317</v>
      </c>
      <c r="S3392" s="4">
        <f t="shared" ca="1" si="523"/>
        <v>1022</v>
      </c>
      <c r="T3392">
        <f t="shared" si="524"/>
        <v>1</v>
      </c>
      <c r="U3392">
        <f t="shared" si="525"/>
        <v>1</v>
      </c>
      <c r="V3392">
        <f t="shared" si="526"/>
        <v>1</v>
      </c>
      <c r="W3392">
        <f t="shared" si="527"/>
        <v>1</v>
      </c>
      <c r="X3392">
        <f t="shared" si="528"/>
        <v>0.99999999999999989</v>
      </c>
      <c r="Y3392" t="str">
        <f t="shared" si="529"/>
        <v>Healthy</v>
      </c>
    </row>
    <row r="3393" spans="1:25" x14ac:dyDescent="0.35">
      <c r="A3393" t="s">
        <v>14</v>
      </c>
      <c r="B3393" t="s">
        <v>1548</v>
      </c>
      <c r="C3393" t="s">
        <v>2334</v>
      </c>
      <c r="D3393" t="s">
        <v>2335</v>
      </c>
      <c r="E3393">
        <v>80818341</v>
      </c>
      <c r="F3393" t="s">
        <v>2336</v>
      </c>
      <c r="G3393" s="3">
        <v>47649</v>
      </c>
      <c r="H3393">
        <v>60</v>
      </c>
      <c r="I3393">
        <v>81</v>
      </c>
      <c r="J3393">
        <v>237</v>
      </c>
      <c r="K3393" s="4">
        <v>35550</v>
      </c>
      <c r="L3393" s="4">
        <v>2146.4285714285716</v>
      </c>
      <c r="M3393" s="4">
        <v>0.11041597337770383</v>
      </c>
      <c r="N3393" t="s">
        <v>25</v>
      </c>
      <c r="O3393" t="str">
        <f t="shared" si="520"/>
        <v>Low</v>
      </c>
      <c r="P3393" t="str">
        <f t="shared" si="521"/>
        <v>Low</v>
      </c>
      <c r="Q3393" t="str">
        <f t="shared" si="522"/>
        <v>Low</v>
      </c>
      <c r="R3393" t="s">
        <v>3317</v>
      </c>
      <c r="S3393" s="4">
        <f t="shared" ca="1" si="523"/>
        <v>1452</v>
      </c>
      <c r="T3393">
        <f t="shared" si="524"/>
        <v>1</v>
      </c>
      <c r="U3393">
        <f t="shared" si="525"/>
        <v>1</v>
      </c>
      <c r="V3393">
        <f t="shared" si="526"/>
        <v>1</v>
      </c>
      <c r="W3393">
        <f t="shared" si="527"/>
        <v>1</v>
      </c>
      <c r="X3393">
        <f t="shared" si="528"/>
        <v>0.99999999999999989</v>
      </c>
      <c r="Y3393" t="str">
        <f t="shared" si="529"/>
        <v>Healthy</v>
      </c>
    </row>
    <row r="3394" spans="1:25" x14ac:dyDescent="0.35">
      <c r="A3394" t="s">
        <v>71</v>
      </c>
      <c r="B3394" t="s">
        <v>72</v>
      </c>
      <c r="C3394" t="s">
        <v>320</v>
      </c>
      <c r="D3394" t="s">
        <v>624</v>
      </c>
      <c r="E3394">
        <v>80895548</v>
      </c>
      <c r="F3394" t="s">
        <v>2331</v>
      </c>
      <c r="G3394" s="3">
        <v>47242</v>
      </c>
      <c r="H3394">
        <v>36</v>
      </c>
      <c r="I3394">
        <v>97</v>
      </c>
      <c r="J3394">
        <v>1152</v>
      </c>
      <c r="K3394" s="4">
        <v>16588.8</v>
      </c>
      <c r="L3394" s="4">
        <v>387519.85714285716</v>
      </c>
      <c r="M3394" s="4">
        <v>2.9727508894475084E-3</v>
      </c>
      <c r="N3394" t="s">
        <v>25</v>
      </c>
      <c r="O3394" t="str">
        <f t="shared" si="520"/>
        <v>Low</v>
      </c>
      <c r="P3394" t="str">
        <f t="shared" si="521"/>
        <v>Low</v>
      </c>
      <c r="Q3394" t="str">
        <f t="shared" si="522"/>
        <v>Low</v>
      </c>
      <c r="R3394" t="s">
        <v>3317</v>
      </c>
      <c r="S3394" s="4">
        <f t="shared" ca="1" si="523"/>
        <v>1045</v>
      </c>
      <c r="T3394">
        <f t="shared" si="524"/>
        <v>1</v>
      </c>
      <c r="U3394">
        <f t="shared" si="525"/>
        <v>1</v>
      </c>
      <c r="V3394">
        <f t="shared" si="526"/>
        <v>1</v>
      </c>
      <c r="W3394">
        <f t="shared" si="527"/>
        <v>1</v>
      </c>
      <c r="X3394">
        <f t="shared" si="528"/>
        <v>0.99999999999999989</v>
      </c>
      <c r="Y3394" t="str">
        <f t="shared" si="529"/>
        <v>Healthy</v>
      </c>
    </row>
    <row r="3395" spans="1:25" x14ac:dyDescent="0.35">
      <c r="A3395" t="s">
        <v>14</v>
      </c>
      <c r="B3395" t="s">
        <v>1548</v>
      </c>
      <c r="C3395" t="s">
        <v>2334</v>
      </c>
      <c r="D3395" t="s">
        <v>2335</v>
      </c>
      <c r="E3395">
        <v>80818341</v>
      </c>
      <c r="F3395" t="s">
        <v>2336</v>
      </c>
      <c r="G3395" s="3">
        <v>47990</v>
      </c>
      <c r="H3395">
        <v>60</v>
      </c>
      <c r="I3395">
        <v>100</v>
      </c>
      <c r="J3395">
        <v>54</v>
      </c>
      <c r="K3395" s="4">
        <v>8100</v>
      </c>
      <c r="L3395" s="4">
        <v>2146.4285714285716</v>
      </c>
      <c r="M3395" s="4">
        <v>2.5158069883527454E-2</v>
      </c>
      <c r="N3395" t="s">
        <v>25</v>
      </c>
      <c r="O3395" t="str">
        <f t="shared" ref="O3395:O3458" si="530">IF(I3395&lt;20,"High",IF(I3395&lt;40,"Medium","Low"))</f>
        <v>Low</v>
      </c>
      <c r="P3395" t="str">
        <f t="shared" ref="P3395:P3458" si="531">IF(M3395&gt;8,"High",IF(M3395&gt;4,"Medium","Low"))</f>
        <v>Low</v>
      </c>
      <c r="Q3395" t="str">
        <f t="shared" ref="Q3395:Q3458" si="532">IF(L3395&lt;5,"High",IF(L3395&lt;15,"Medium","Low"))</f>
        <v>Low</v>
      </c>
      <c r="R3395" t="s">
        <v>3317</v>
      </c>
      <c r="S3395" s="4">
        <f t="shared" ref="S3395:S3458" ca="1" si="533">G3395-TODAY()</f>
        <v>1793</v>
      </c>
      <c r="T3395">
        <f t="shared" ref="T3395:T3458" si="534">IF(O3395="High",3,IF(O3395="Medium",2,1))</f>
        <v>1</v>
      </c>
      <c r="U3395">
        <f t="shared" ref="U3395:U3458" si="535">IF(P3395="High",3,IF(P3395="Medium",2,1))</f>
        <v>1</v>
      </c>
      <c r="V3395">
        <f t="shared" ref="V3395:V3458" si="536">IF(Q3395="High",3,IF(Q3395="Medium",2,1))</f>
        <v>1</v>
      </c>
      <c r="W3395">
        <f t="shared" ref="W3395:W3458" si="537">IF(R3395="High",3,IF(R3395="Medium",2,1))</f>
        <v>1</v>
      </c>
      <c r="X3395">
        <f t="shared" ref="X3395:X3458" si="538">(0.4*T3395)+(0.3*U3395)+(0.2*V3395)+(0.1*W3395)</f>
        <v>0.99999999999999989</v>
      </c>
      <c r="Y3395" t="str">
        <f t="shared" ref="Y3395:Y3458" si="539">IF(X3395&gt;=2.7,"Move Immediately",IF(X3395&gt;=2.2,"High Priority",IF(X3395&gt;=1.7,"Monitor","Healthy")))</f>
        <v>Healthy</v>
      </c>
    </row>
    <row r="3396" spans="1:25" x14ac:dyDescent="0.35">
      <c r="A3396" t="s">
        <v>71</v>
      </c>
      <c r="B3396" t="s">
        <v>72</v>
      </c>
      <c r="C3396" t="s">
        <v>320</v>
      </c>
      <c r="D3396" t="s">
        <v>624</v>
      </c>
      <c r="E3396">
        <v>80895548</v>
      </c>
      <c r="F3396" t="s">
        <v>2331</v>
      </c>
      <c r="G3396" s="3">
        <v>47216</v>
      </c>
      <c r="H3396">
        <v>36</v>
      </c>
      <c r="I3396">
        <v>95</v>
      </c>
      <c r="J3396">
        <v>2112</v>
      </c>
      <c r="K3396" s="4">
        <v>30412.799999999999</v>
      </c>
      <c r="L3396" s="4">
        <v>387519.85714285716</v>
      </c>
      <c r="M3396" s="4">
        <v>5.4500432973204321E-3</v>
      </c>
      <c r="N3396" t="s">
        <v>25</v>
      </c>
      <c r="O3396" t="str">
        <f t="shared" si="530"/>
        <v>Low</v>
      </c>
      <c r="P3396" t="str">
        <f t="shared" si="531"/>
        <v>Low</v>
      </c>
      <c r="Q3396" t="str">
        <f t="shared" si="532"/>
        <v>Low</v>
      </c>
      <c r="R3396" t="s">
        <v>3317</v>
      </c>
      <c r="S3396" s="4">
        <f t="shared" ca="1" si="533"/>
        <v>1019</v>
      </c>
      <c r="T3396">
        <f t="shared" si="534"/>
        <v>1</v>
      </c>
      <c r="U3396">
        <f t="shared" si="535"/>
        <v>1</v>
      </c>
      <c r="V3396">
        <f t="shared" si="536"/>
        <v>1</v>
      </c>
      <c r="W3396">
        <f t="shared" si="537"/>
        <v>1</v>
      </c>
      <c r="X3396">
        <f t="shared" si="538"/>
        <v>0.99999999999999989</v>
      </c>
      <c r="Y3396" t="str">
        <f t="shared" si="539"/>
        <v>Healthy</v>
      </c>
    </row>
    <row r="3397" spans="1:25" x14ac:dyDescent="0.35">
      <c r="A3397" t="s">
        <v>71</v>
      </c>
      <c r="B3397" t="s">
        <v>72</v>
      </c>
      <c r="C3397" t="s">
        <v>73</v>
      </c>
      <c r="D3397" t="s">
        <v>389</v>
      </c>
      <c r="E3397">
        <v>80817229</v>
      </c>
      <c r="F3397" t="s">
        <v>2337</v>
      </c>
      <c r="G3397" s="3">
        <v>46883</v>
      </c>
      <c r="H3397">
        <v>36</v>
      </c>
      <c r="I3397">
        <v>64</v>
      </c>
      <c r="J3397">
        <v>4</v>
      </c>
      <c r="K3397" s="4">
        <v>2995.12</v>
      </c>
      <c r="L3397" s="4">
        <v>4</v>
      </c>
      <c r="M3397" s="4">
        <v>1</v>
      </c>
      <c r="N3397" t="s">
        <v>25</v>
      </c>
      <c r="O3397" t="str">
        <f t="shared" si="530"/>
        <v>Low</v>
      </c>
      <c r="P3397" t="str">
        <f t="shared" si="531"/>
        <v>Low</v>
      </c>
      <c r="Q3397" t="str">
        <f t="shared" si="532"/>
        <v>High</v>
      </c>
      <c r="R3397" t="s">
        <v>3317</v>
      </c>
      <c r="S3397" s="4">
        <f t="shared" ca="1" si="533"/>
        <v>686</v>
      </c>
      <c r="T3397">
        <f t="shared" si="534"/>
        <v>1</v>
      </c>
      <c r="U3397">
        <f t="shared" si="535"/>
        <v>1</v>
      </c>
      <c r="V3397">
        <f t="shared" si="536"/>
        <v>3</v>
      </c>
      <c r="W3397">
        <f t="shared" si="537"/>
        <v>1</v>
      </c>
      <c r="X3397">
        <f t="shared" si="538"/>
        <v>1.4000000000000001</v>
      </c>
      <c r="Y3397" t="str">
        <f t="shared" si="539"/>
        <v>Healthy</v>
      </c>
    </row>
    <row r="3398" spans="1:25" x14ac:dyDescent="0.35">
      <c r="A3398" t="s">
        <v>71</v>
      </c>
      <c r="B3398" t="s">
        <v>72</v>
      </c>
      <c r="C3398" t="s">
        <v>73</v>
      </c>
      <c r="D3398" t="s">
        <v>389</v>
      </c>
      <c r="E3398">
        <v>80817229</v>
      </c>
      <c r="F3398" t="s">
        <v>2337</v>
      </c>
      <c r="G3398" s="3">
        <v>46893</v>
      </c>
      <c r="H3398">
        <v>36</v>
      </c>
      <c r="I3398">
        <v>65</v>
      </c>
      <c r="J3398">
        <v>8</v>
      </c>
      <c r="K3398" s="4">
        <v>5990.24</v>
      </c>
      <c r="L3398" s="4">
        <v>4</v>
      </c>
      <c r="M3398" s="4">
        <v>2</v>
      </c>
      <c r="N3398" t="s">
        <v>25</v>
      </c>
      <c r="O3398" t="str">
        <f t="shared" si="530"/>
        <v>Low</v>
      </c>
      <c r="P3398" t="str">
        <f t="shared" si="531"/>
        <v>Low</v>
      </c>
      <c r="Q3398" t="str">
        <f t="shared" si="532"/>
        <v>High</v>
      </c>
      <c r="R3398" t="s">
        <v>3317</v>
      </c>
      <c r="S3398" s="4">
        <f t="shared" ca="1" si="533"/>
        <v>696</v>
      </c>
      <c r="T3398">
        <f t="shared" si="534"/>
        <v>1</v>
      </c>
      <c r="U3398">
        <f t="shared" si="535"/>
        <v>1</v>
      </c>
      <c r="V3398">
        <f t="shared" si="536"/>
        <v>3</v>
      </c>
      <c r="W3398">
        <f t="shared" si="537"/>
        <v>1</v>
      </c>
      <c r="X3398">
        <f t="shared" si="538"/>
        <v>1.4000000000000001</v>
      </c>
      <c r="Y3398" t="str">
        <f t="shared" si="539"/>
        <v>Healthy</v>
      </c>
    </row>
    <row r="3399" spans="1:25" x14ac:dyDescent="0.35">
      <c r="A3399" t="s">
        <v>71</v>
      </c>
      <c r="B3399" t="s">
        <v>72</v>
      </c>
      <c r="C3399" t="s">
        <v>320</v>
      </c>
      <c r="D3399" t="s">
        <v>624</v>
      </c>
      <c r="E3399">
        <v>80895548</v>
      </c>
      <c r="F3399" t="s">
        <v>2331</v>
      </c>
      <c r="G3399" s="3">
        <v>47230</v>
      </c>
      <c r="H3399">
        <v>36</v>
      </c>
      <c r="I3399">
        <v>96</v>
      </c>
      <c r="J3399">
        <v>1728</v>
      </c>
      <c r="K3399" s="4">
        <v>24883.200000000001</v>
      </c>
      <c r="L3399" s="4">
        <v>387519.85714285716</v>
      </c>
      <c r="M3399" s="4">
        <v>4.4591263341712626E-3</v>
      </c>
      <c r="N3399" t="s">
        <v>25</v>
      </c>
      <c r="O3399" t="str">
        <f t="shared" si="530"/>
        <v>Low</v>
      </c>
      <c r="P3399" t="str">
        <f t="shared" si="531"/>
        <v>Low</v>
      </c>
      <c r="Q3399" t="str">
        <f t="shared" si="532"/>
        <v>Low</v>
      </c>
      <c r="R3399" t="s">
        <v>3317</v>
      </c>
      <c r="S3399" s="4">
        <f t="shared" ca="1" si="533"/>
        <v>1033</v>
      </c>
      <c r="T3399">
        <f t="shared" si="534"/>
        <v>1</v>
      </c>
      <c r="U3399">
        <f t="shared" si="535"/>
        <v>1</v>
      </c>
      <c r="V3399">
        <f t="shared" si="536"/>
        <v>1</v>
      </c>
      <c r="W3399">
        <f t="shared" si="537"/>
        <v>1</v>
      </c>
      <c r="X3399">
        <f t="shared" si="538"/>
        <v>0.99999999999999989</v>
      </c>
      <c r="Y3399" t="str">
        <f t="shared" si="539"/>
        <v>Healthy</v>
      </c>
    </row>
    <row r="3400" spans="1:25" x14ac:dyDescent="0.35">
      <c r="A3400" t="s">
        <v>71</v>
      </c>
      <c r="B3400" t="s">
        <v>72</v>
      </c>
      <c r="C3400" t="s">
        <v>174</v>
      </c>
      <c r="D3400" t="s">
        <v>759</v>
      </c>
      <c r="E3400">
        <v>80829210</v>
      </c>
      <c r="F3400" t="s">
        <v>2338</v>
      </c>
      <c r="G3400" s="3">
        <v>46982</v>
      </c>
      <c r="H3400">
        <v>36</v>
      </c>
      <c r="I3400">
        <v>73</v>
      </c>
      <c r="J3400">
        <v>36</v>
      </c>
      <c r="K3400" s="4">
        <v>40289.760000000002</v>
      </c>
      <c r="L3400" s="4">
        <v>218.28571428571428</v>
      </c>
      <c r="M3400" s="4">
        <v>0.16492146596858639</v>
      </c>
      <c r="N3400" t="s">
        <v>25</v>
      </c>
      <c r="O3400" t="str">
        <f t="shared" si="530"/>
        <v>Low</v>
      </c>
      <c r="P3400" t="str">
        <f t="shared" si="531"/>
        <v>Low</v>
      </c>
      <c r="Q3400" t="str">
        <f t="shared" si="532"/>
        <v>Low</v>
      </c>
      <c r="R3400" t="s">
        <v>3317</v>
      </c>
      <c r="S3400" s="4">
        <f t="shared" ca="1" si="533"/>
        <v>785</v>
      </c>
      <c r="T3400">
        <f t="shared" si="534"/>
        <v>1</v>
      </c>
      <c r="U3400">
        <f t="shared" si="535"/>
        <v>1</v>
      </c>
      <c r="V3400">
        <f t="shared" si="536"/>
        <v>1</v>
      </c>
      <c r="W3400">
        <f t="shared" si="537"/>
        <v>1</v>
      </c>
      <c r="X3400">
        <f t="shared" si="538"/>
        <v>0.99999999999999989</v>
      </c>
      <c r="Y3400" t="str">
        <f t="shared" si="539"/>
        <v>Healthy</v>
      </c>
    </row>
    <row r="3401" spans="1:25" x14ac:dyDescent="0.35">
      <c r="A3401" t="s">
        <v>71</v>
      </c>
      <c r="B3401" t="s">
        <v>72</v>
      </c>
      <c r="C3401" t="s">
        <v>320</v>
      </c>
      <c r="D3401" t="s">
        <v>624</v>
      </c>
      <c r="E3401">
        <v>80895548</v>
      </c>
      <c r="F3401" t="s">
        <v>2331</v>
      </c>
      <c r="G3401" s="3">
        <v>47214</v>
      </c>
      <c r="H3401">
        <v>36</v>
      </c>
      <c r="I3401">
        <v>95</v>
      </c>
      <c r="J3401">
        <v>717</v>
      </c>
      <c r="K3401" s="4">
        <v>10324.799999999999</v>
      </c>
      <c r="L3401" s="4">
        <v>387519.85714285716</v>
      </c>
      <c r="M3401" s="4">
        <v>1.8502277671300898E-3</v>
      </c>
      <c r="N3401" t="s">
        <v>25</v>
      </c>
      <c r="O3401" t="str">
        <f t="shared" si="530"/>
        <v>Low</v>
      </c>
      <c r="P3401" t="str">
        <f t="shared" si="531"/>
        <v>Low</v>
      </c>
      <c r="Q3401" t="str">
        <f t="shared" si="532"/>
        <v>Low</v>
      </c>
      <c r="R3401" t="s">
        <v>3317</v>
      </c>
      <c r="S3401" s="4">
        <f t="shared" ca="1" si="533"/>
        <v>1017</v>
      </c>
      <c r="T3401">
        <f t="shared" si="534"/>
        <v>1</v>
      </c>
      <c r="U3401">
        <f t="shared" si="535"/>
        <v>1</v>
      </c>
      <c r="V3401">
        <f t="shared" si="536"/>
        <v>1</v>
      </c>
      <c r="W3401">
        <f t="shared" si="537"/>
        <v>1</v>
      </c>
      <c r="X3401">
        <f t="shared" si="538"/>
        <v>0.99999999999999989</v>
      </c>
      <c r="Y3401" t="str">
        <f t="shared" si="539"/>
        <v>Healthy</v>
      </c>
    </row>
    <row r="3402" spans="1:25" x14ac:dyDescent="0.35">
      <c r="A3402" t="s">
        <v>71</v>
      </c>
      <c r="B3402" t="s">
        <v>72</v>
      </c>
      <c r="C3402" t="s">
        <v>572</v>
      </c>
      <c r="D3402" t="s">
        <v>1590</v>
      </c>
      <c r="E3402">
        <v>80827430</v>
      </c>
      <c r="F3402" t="s">
        <v>2339</v>
      </c>
      <c r="G3402" s="3">
        <v>46823</v>
      </c>
      <c r="H3402">
        <v>36</v>
      </c>
      <c r="I3402">
        <v>58</v>
      </c>
      <c r="J3402">
        <v>13</v>
      </c>
      <c r="K3402" s="4">
        <v>1934.4</v>
      </c>
      <c r="L3402" s="4">
        <f>0</f>
        <v>0</v>
      </c>
      <c r="M3402" s="4">
        <f>999</f>
        <v>999</v>
      </c>
      <c r="N3402" t="s">
        <v>19</v>
      </c>
      <c r="O3402" t="str">
        <f t="shared" si="530"/>
        <v>Low</v>
      </c>
      <c r="P3402" t="str">
        <f t="shared" si="531"/>
        <v>High</v>
      </c>
      <c r="Q3402" t="str">
        <f t="shared" si="532"/>
        <v>High</v>
      </c>
      <c r="R3402" t="s">
        <v>3317</v>
      </c>
      <c r="S3402" s="4">
        <f t="shared" ca="1" si="533"/>
        <v>626</v>
      </c>
      <c r="T3402">
        <f t="shared" si="534"/>
        <v>1</v>
      </c>
      <c r="U3402">
        <f t="shared" si="535"/>
        <v>3</v>
      </c>
      <c r="V3402">
        <f t="shared" si="536"/>
        <v>3</v>
      </c>
      <c r="W3402">
        <f t="shared" si="537"/>
        <v>1</v>
      </c>
      <c r="X3402">
        <f t="shared" si="538"/>
        <v>2</v>
      </c>
      <c r="Y3402" t="str">
        <f t="shared" si="539"/>
        <v>Monitor</v>
      </c>
    </row>
    <row r="3403" spans="1:25" x14ac:dyDescent="0.35">
      <c r="A3403" t="s">
        <v>71</v>
      </c>
      <c r="B3403" t="s">
        <v>72</v>
      </c>
      <c r="C3403" t="s">
        <v>572</v>
      </c>
      <c r="D3403" t="s">
        <v>1590</v>
      </c>
      <c r="E3403">
        <v>80827430</v>
      </c>
      <c r="F3403" t="s">
        <v>2339</v>
      </c>
      <c r="G3403" s="3">
        <v>46800</v>
      </c>
      <c r="H3403">
        <v>36</v>
      </c>
      <c r="I3403">
        <v>56</v>
      </c>
      <c r="J3403">
        <v>1</v>
      </c>
      <c r="K3403" s="4">
        <v>148.80000000000001</v>
      </c>
      <c r="L3403" s="4">
        <f>0</f>
        <v>0</v>
      </c>
      <c r="M3403" s="4">
        <f>999</f>
        <v>999</v>
      </c>
      <c r="N3403" t="s">
        <v>19</v>
      </c>
      <c r="O3403" t="str">
        <f t="shared" si="530"/>
        <v>Low</v>
      </c>
      <c r="P3403" t="str">
        <f t="shared" si="531"/>
        <v>High</v>
      </c>
      <c r="Q3403" t="str">
        <f t="shared" si="532"/>
        <v>High</v>
      </c>
      <c r="R3403" t="s">
        <v>3317</v>
      </c>
      <c r="S3403" s="4">
        <f t="shared" ca="1" si="533"/>
        <v>603</v>
      </c>
      <c r="T3403">
        <f t="shared" si="534"/>
        <v>1</v>
      </c>
      <c r="U3403">
        <f t="shared" si="535"/>
        <v>3</v>
      </c>
      <c r="V3403">
        <f t="shared" si="536"/>
        <v>3</v>
      </c>
      <c r="W3403">
        <f t="shared" si="537"/>
        <v>1</v>
      </c>
      <c r="X3403">
        <f t="shared" si="538"/>
        <v>2</v>
      </c>
      <c r="Y3403" t="str">
        <f t="shared" si="539"/>
        <v>Monitor</v>
      </c>
    </row>
    <row r="3404" spans="1:25" x14ac:dyDescent="0.35">
      <c r="A3404" t="s">
        <v>71</v>
      </c>
      <c r="B3404" t="s">
        <v>72</v>
      </c>
      <c r="C3404" t="s">
        <v>572</v>
      </c>
      <c r="D3404" t="s">
        <v>1590</v>
      </c>
      <c r="E3404">
        <v>80827430</v>
      </c>
      <c r="F3404" t="s">
        <v>2339</v>
      </c>
      <c r="G3404" s="3">
        <v>46815</v>
      </c>
      <c r="H3404">
        <v>36</v>
      </c>
      <c r="I3404">
        <v>58</v>
      </c>
      <c r="J3404">
        <v>10</v>
      </c>
      <c r="K3404" s="4">
        <v>1488</v>
      </c>
      <c r="L3404" s="4">
        <f>0</f>
        <v>0</v>
      </c>
      <c r="M3404" s="4">
        <f>999</f>
        <v>999</v>
      </c>
      <c r="N3404" t="s">
        <v>19</v>
      </c>
      <c r="O3404" t="str">
        <f t="shared" si="530"/>
        <v>Low</v>
      </c>
      <c r="P3404" t="str">
        <f t="shared" si="531"/>
        <v>High</v>
      </c>
      <c r="Q3404" t="str">
        <f t="shared" si="532"/>
        <v>High</v>
      </c>
      <c r="R3404" t="s">
        <v>3317</v>
      </c>
      <c r="S3404" s="4">
        <f t="shared" ca="1" si="533"/>
        <v>618</v>
      </c>
      <c r="T3404">
        <f t="shared" si="534"/>
        <v>1</v>
      </c>
      <c r="U3404">
        <f t="shared" si="535"/>
        <v>3</v>
      </c>
      <c r="V3404">
        <f t="shared" si="536"/>
        <v>3</v>
      </c>
      <c r="W3404">
        <f t="shared" si="537"/>
        <v>1</v>
      </c>
      <c r="X3404">
        <f t="shared" si="538"/>
        <v>2</v>
      </c>
      <c r="Y3404" t="str">
        <f t="shared" si="539"/>
        <v>Monitor</v>
      </c>
    </row>
    <row r="3405" spans="1:25" x14ac:dyDescent="0.35">
      <c r="A3405" t="s">
        <v>71</v>
      </c>
      <c r="B3405" t="s">
        <v>72</v>
      </c>
      <c r="C3405" t="s">
        <v>73</v>
      </c>
      <c r="D3405" t="s">
        <v>2123</v>
      </c>
      <c r="E3405">
        <v>80895512</v>
      </c>
      <c r="F3405" t="s">
        <v>2340</v>
      </c>
      <c r="G3405" s="3">
        <v>47172</v>
      </c>
      <c r="H3405">
        <v>36</v>
      </c>
      <c r="I3405">
        <v>91</v>
      </c>
      <c r="J3405">
        <v>13</v>
      </c>
      <c r="K3405" s="4">
        <v>7279.74</v>
      </c>
      <c r="L3405" s="4">
        <v>36</v>
      </c>
      <c r="M3405" s="4">
        <v>0.3611111111111111</v>
      </c>
      <c r="N3405" t="s">
        <v>25</v>
      </c>
      <c r="O3405" t="str">
        <f t="shared" si="530"/>
        <v>Low</v>
      </c>
      <c r="P3405" t="str">
        <f t="shared" si="531"/>
        <v>Low</v>
      </c>
      <c r="Q3405" t="str">
        <f t="shared" si="532"/>
        <v>Low</v>
      </c>
      <c r="R3405" t="s">
        <v>3317</v>
      </c>
      <c r="S3405" s="4">
        <f t="shared" ca="1" si="533"/>
        <v>975</v>
      </c>
      <c r="T3405">
        <f t="shared" si="534"/>
        <v>1</v>
      </c>
      <c r="U3405">
        <f t="shared" si="535"/>
        <v>1</v>
      </c>
      <c r="V3405">
        <f t="shared" si="536"/>
        <v>1</v>
      </c>
      <c r="W3405">
        <f t="shared" si="537"/>
        <v>1</v>
      </c>
      <c r="X3405">
        <f t="shared" si="538"/>
        <v>0.99999999999999989</v>
      </c>
      <c r="Y3405" t="str">
        <f t="shared" si="539"/>
        <v>Healthy</v>
      </c>
    </row>
    <row r="3406" spans="1:25" x14ac:dyDescent="0.35">
      <c r="A3406" t="s">
        <v>71</v>
      </c>
      <c r="B3406" t="s">
        <v>72</v>
      </c>
      <c r="C3406" t="s">
        <v>73</v>
      </c>
      <c r="D3406" t="s">
        <v>2123</v>
      </c>
      <c r="E3406">
        <v>80895512</v>
      </c>
      <c r="F3406" t="s">
        <v>2340</v>
      </c>
      <c r="G3406" s="3">
        <v>47225</v>
      </c>
      <c r="H3406">
        <v>36</v>
      </c>
      <c r="I3406">
        <v>96</v>
      </c>
      <c r="J3406">
        <v>31</v>
      </c>
      <c r="K3406" s="4">
        <v>17359.38</v>
      </c>
      <c r="L3406" s="4">
        <v>36</v>
      </c>
      <c r="M3406" s="4">
        <v>0.86111111111111116</v>
      </c>
      <c r="N3406" t="s">
        <v>25</v>
      </c>
      <c r="O3406" t="str">
        <f t="shared" si="530"/>
        <v>Low</v>
      </c>
      <c r="P3406" t="str">
        <f t="shared" si="531"/>
        <v>Low</v>
      </c>
      <c r="Q3406" t="str">
        <f t="shared" si="532"/>
        <v>Low</v>
      </c>
      <c r="R3406" t="s">
        <v>3317</v>
      </c>
      <c r="S3406" s="4">
        <f t="shared" ca="1" si="533"/>
        <v>1028</v>
      </c>
      <c r="T3406">
        <f t="shared" si="534"/>
        <v>1</v>
      </c>
      <c r="U3406">
        <f t="shared" si="535"/>
        <v>1</v>
      </c>
      <c r="V3406">
        <f t="shared" si="536"/>
        <v>1</v>
      </c>
      <c r="W3406">
        <f t="shared" si="537"/>
        <v>1</v>
      </c>
      <c r="X3406">
        <f t="shared" si="538"/>
        <v>0.99999999999999989</v>
      </c>
      <c r="Y3406" t="str">
        <f t="shared" si="539"/>
        <v>Healthy</v>
      </c>
    </row>
    <row r="3407" spans="1:25" x14ac:dyDescent="0.35">
      <c r="A3407" t="s">
        <v>71</v>
      </c>
      <c r="B3407" t="s">
        <v>72</v>
      </c>
      <c r="C3407" t="s">
        <v>73</v>
      </c>
      <c r="D3407" t="s">
        <v>2123</v>
      </c>
      <c r="E3407">
        <v>80895512</v>
      </c>
      <c r="F3407" t="s">
        <v>2340</v>
      </c>
      <c r="G3407" s="3">
        <v>47112</v>
      </c>
      <c r="H3407">
        <v>36</v>
      </c>
      <c r="I3407">
        <v>85</v>
      </c>
      <c r="J3407">
        <v>14</v>
      </c>
      <c r="K3407" s="4">
        <v>7839.72</v>
      </c>
      <c r="L3407" s="4">
        <v>36</v>
      </c>
      <c r="M3407" s="4">
        <v>0.3888888888888889</v>
      </c>
      <c r="N3407" t="s">
        <v>25</v>
      </c>
      <c r="O3407" t="str">
        <f t="shared" si="530"/>
        <v>Low</v>
      </c>
      <c r="P3407" t="str">
        <f t="shared" si="531"/>
        <v>Low</v>
      </c>
      <c r="Q3407" t="str">
        <f t="shared" si="532"/>
        <v>Low</v>
      </c>
      <c r="R3407" t="s">
        <v>3317</v>
      </c>
      <c r="S3407" s="4">
        <f t="shared" ca="1" si="533"/>
        <v>915</v>
      </c>
      <c r="T3407">
        <f t="shared" si="534"/>
        <v>1</v>
      </c>
      <c r="U3407">
        <f t="shared" si="535"/>
        <v>1</v>
      </c>
      <c r="V3407">
        <f t="shared" si="536"/>
        <v>1</v>
      </c>
      <c r="W3407">
        <f t="shared" si="537"/>
        <v>1</v>
      </c>
      <c r="X3407">
        <f t="shared" si="538"/>
        <v>0.99999999999999989</v>
      </c>
      <c r="Y3407" t="str">
        <f t="shared" si="539"/>
        <v>Healthy</v>
      </c>
    </row>
    <row r="3408" spans="1:25" x14ac:dyDescent="0.35">
      <c r="A3408" t="s">
        <v>41</v>
      </c>
      <c r="B3408" t="s">
        <v>54</v>
      </c>
      <c r="C3408" t="s">
        <v>55</v>
      </c>
      <c r="D3408" t="s">
        <v>153</v>
      </c>
      <c r="E3408">
        <v>80839412</v>
      </c>
      <c r="F3408" t="s">
        <v>2341</v>
      </c>
      <c r="G3408" s="3">
        <v>46878</v>
      </c>
      <c r="H3408">
        <v>36</v>
      </c>
      <c r="I3408">
        <v>64</v>
      </c>
      <c r="J3408">
        <v>4</v>
      </c>
      <c r="K3408" s="4">
        <v>3017.04</v>
      </c>
      <c r="L3408" s="4">
        <v>3.4285714285714284</v>
      </c>
      <c r="M3408" s="4">
        <v>1.1666666666666667</v>
      </c>
      <c r="N3408" t="s">
        <v>25</v>
      </c>
      <c r="O3408" t="str">
        <f t="shared" si="530"/>
        <v>Low</v>
      </c>
      <c r="P3408" t="str">
        <f t="shared" si="531"/>
        <v>Low</v>
      </c>
      <c r="Q3408" t="str">
        <f t="shared" si="532"/>
        <v>High</v>
      </c>
      <c r="R3408" t="s">
        <v>3317</v>
      </c>
      <c r="S3408" s="4">
        <f t="shared" ca="1" si="533"/>
        <v>681</v>
      </c>
      <c r="T3408">
        <f t="shared" si="534"/>
        <v>1</v>
      </c>
      <c r="U3408">
        <f t="shared" si="535"/>
        <v>1</v>
      </c>
      <c r="V3408">
        <f t="shared" si="536"/>
        <v>3</v>
      </c>
      <c r="W3408">
        <f t="shared" si="537"/>
        <v>1</v>
      </c>
      <c r="X3408">
        <f t="shared" si="538"/>
        <v>1.4000000000000001</v>
      </c>
      <c r="Y3408" t="str">
        <f t="shared" si="539"/>
        <v>Healthy</v>
      </c>
    </row>
    <row r="3409" spans="1:25" x14ac:dyDescent="0.35">
      <c r="A3409" t="s">
        <v>71</v>
      </c>
      <c r="B3409" t="s">
        <v>72</v>
      </c>
      <c r="C3409" t="s">
        <v>73</v>
      </c>
      <c r="D3409" t="s">
        <v>2123</v>
      </c>
      <c r="E3409">
        <v>80895512</v>
      </c>
      <c r="F3409" t="s">
        <v>2340</v>
      </c>
      <c r="G3409" s="3">
        <v>47110</v>
      </c>
      <c r="H3409">
        <v>36</v>
      </c>
      <c r="I3409">
        <v>85</v>
      </c>
      <c r="J3409">
        <v>11</v>
      </c>
      <c r="K3409" s="4">
        <v>6159.78</v>
      </c>
      <c r="L3409" s="4">
        <v>36</v>
      </c>
      <c r="M3409" s="4">
        <v>0.30555555555555558</v>
      </c>
      <c r="N3409" t="s">
        <v>25</v>
      </c>
      <c r="O3409" t="str">
        <f t="shared" si="530"/>
        <v>Low</v>
      </c>
      <c r="P3409" t="str">
        <f t="shared" si="531"/>
        <v>Low</v>
      </c>
      <c r="Q3409" t="str">
        <f t="shared" si="532"/>
        <v>Low</v>
      </c>
      <c r="R3409" t="s">
        <v>3317</v>
      </c>
      <c r="S3409" s="4">
        <f t="shared" ca="1" si="533"/>
        <v>913</v>
      </c>
      <c r="T3409">
        <f t="shared" si="534"/>
        <v>1</v>
      </c>
      <c r="U3409">
        <f t="shared" si="535"/>
        <v>1</v>
      </c>
      <c r="V3409">
        <f t="shared" si="536"/>
        <v>1</v>
      </c>
      <c r="W3409">
        <f t="shared" si="537"/>
        <v>1</v>
      </c>
      <c r="X3409">
        <f t="shared" si="538"/>
        <v>0.99999999999999989</v>
      </c>
      <c r="Y3409" t="str">
        <f t="shared" si="539"/>
        <v>Healthy</v>
      </c>
    </row>
    <row r="3410" spans="1:25" x14ac:dyDescent="0.35">
      <c r="A3410" t="s">
        <v>41</v>
      </c>
      <c r="B3410" t="s">
        <v>54</v>
      </c>
      <c r="C3410" t="s">
        <v>55</v>
      </c>
      <c r="D3410" t="s">
        <v>153</v>
      </c>
      <c r="E3410">
        <v>80839412</v>
      </c>
      <c r="F3410" t="s">
        <v>2341</v>
      </c>
      <c r="G3410" s="3">
        <v>46817</v>
      </c>
      <c r="H3410">
        <v>36</v>
      </c>
      <c r="I3410">
        <v>58</v>
      </c>
      <c r="J3410">
        <v>3</v>
      </c>
      <c r="K3410" s="4">
        <v>2262.7800000000002</v>
      </c>
      <c r="L3410" s="4">
        <v>3.4285714285714284</v>
      </c>
      <c r="M3410" s="4">
        <v>0.875</v>
      </c>
      <c r="N3410" t="s">
        <v>25</v>
      </c>
      <c r="O3410" t="str">
        <f t="shared" si="530"/>
        <v>Low</v>
      </c>
      <c r="P3410" t="str">
        <f t="shared" si="531"/>
        <v>Low</v>
      </c>
      <c r="Q3410" t="str">
        <f t="shared" si="532"/>
        <v>High</v>
      </c>
      <c r="R3410" t="s">
        <v>3317</v>
      </c>
      <c r="S3410" s="4">
        <f t="shared" ca="1" si="533"/>
        <v>620</v>
      </c>
      <c r="T3410">
        <f t="shared" si="534"/>
        <v>1</v>
      </c>
      <c r="U3410">
        <f t="shared" si="535"/>
        <v>1</v>
      </c>
      <c r="V3410">
        <f t="shared" si="536"/>
        <v>3</v>
      </c>
      <c r="W3410">
        <f t="shared" si="537"/>
        <v>1</v>
      </c>
      <c r="X3410">
        <f t="shared" si="538"/>
        <v>1.4000000000000001</v>
      </c>
      <c r="Y3410" t="str">
        <f t="shared" si="539"/>
        <v>Healthy</v>
      </c>
    </row>
    <row r="3411" spans="1:25" x14ac:dyDescent="0.35">
      <c r="A3411" t="s">
        <v>71</v>
      </c>
      <c r="B3411" t="s">
        <v>72</v>
      </c>
      <c r="C3411" t="s">
        <v>320</v>
      </c>
      <c r="D3411" t="s">
        <v>347</v>
      </c>
      <c r="E3411">
        <v>80895549</v>
      </c>
      <c r="F3411" t="s">
        <v>2342</v>
      </c>
      <c r="G3411" s="3">
        <v>47270</v>
      </c>
      <c r="H3411">
        <v>36</v>
      </c>
      <c r="I3411">
        <v>100</v>
      </c>
      <c r="J3411">
        <v>2036</v>
      </c>
      <c r="K3411" s="4">
        <v>29318.400000000001</v>
      </c>
      <c r="L3411" s="4">
        <v>23846.428571428572</v>
      </c>
      <c r="M3411" s="4">
        <v>8.5379661524636816E-2</v>
      </c>
      <c r="N3411" t="s">
        <v>25</v>
      </c>
      <c r="O3411" t="str">
        <f t="shared" si="530"/>
        <v>Low</v>
      </c>
      <c r="P3411" t="str">
        <f t="shared" si="531"/>
        <v>Low</v>
      </c>
      <c r="Q3411" t="str">
        <f t="shared" si="532"/>
        <v>Low</v>
      </c>
      <c r="R3411" t="s">
        <v>3317</v>
      </c>
      <c r="S3411" s="4">
        <f t="shared" ca="1" si="533"/>
        <v>1073</v>
      </c>
      <c r="T3411">
        <f t="shared" si="534"/>
        <v>1</v>
      </c>
      <c r="U3411">
        <f t="shared" si="535"/>
        <v>1</v>
      </c>
      <c r="V3411">
        <f t="shared" si="536"/>
        <v>1</v>
      </c>
      <c r="W3411">
        <f t="shared" si="537"/>
        <v>1</v>
      </c>
      <c r="X3411">
        <f t="shared" si="538"/>
        <v>0.99999999999999989</v>
      </c>
      <c r="Y3411" t="str">
        <f t="shared" si="539"/>
        <v>Healthy</v>
      </c>
    </row>
    <row r="3412" spans="1:25" x14ac:dyDescent="0.35">
      <c r="A3412" t="s">
        <v>41</v>
      </c>
      <c r="B3412" t="s">
        <v>42</v>
      </c>
      <c r="C3412" t="s">
        <v>365</v>
      </c>
      <c r="D3412" t="s">
        <v>366</v>
      </c>
      <c r="E3412">
        <v>80839857</v>
      </c>
      <c r="F3412" t="s">
        <v>2343</v>
      </c>
      <c r="G3412" s="3">
        <v>46761</v>
      </c>
      <c r="H3412">
        <v>36</v>
      </c>
      <c r="I3412">
        <v>53</v>
      </c>
      <c r="J3412">
        <v>6</v>
      </c>
      <c r="K3412" s="4">
        <v>2183.52</v>
      </c>
      <c r="L3412" s="4">
        <f>0</f>
        <v>0</v>
      </c>
      <c r="M3412" s="4">
        <f>999</f>
        <v>999</v>
      </c>
      <c r="N3412" t="s">
        <v>19</v>
      </c>
      <c r="O3412" t="str">
        <f t="shared" si="530"/>
        <v>Low</v>
      </c>
      <c r="P3412" t="str">
        <f t="shared" si="531"/>
        <v>High</v>
      </c>
      <c r="Q3412" t="str">
        <f t="shared" si="532"/>
        <v>High</v>
      </c>
      <c r="R3412" t="s">
        <v>3317</v>
      </c>
      <c r="S3412" s="4">
        <f t="shared" ca="1" si="533"/>
        <v>564</v>
      </c>
      <c r="T3412">
        <f t="shared" si="534"/>
        <v>1</v>
      </c>
      <c r="U3412">
        <f t="shared" si="535"/>
        <v>3</v>
      </c>
      <c r="V3412">
        <f t="shared" si="536"/>
        <v>3</v>
      </c>
      <c r="W3412">
        <f t="shared" si="537"/>
        <v>1</v>
      </c>
      <c r="X3412">
        <f t="shared" si="538"/>
        <v>2</v>
      </c>
      <c r="Y3412" t="str">
        <f t="shared" si="539"/>
        <v>Monitor</v>
      </c>
    </row>
    <row r="3413" spans="1:25" x14ac:dyDescent="0.35">
      <c r="A3413" t="s">
        <v>41</v>
      </c>
      <c r="B3413" t="s">
        <v>42</v>
      </c>
      <c r="C3413" t="s">
        <v>365</v>
      </c>
      <c r="D3413" t="s">
        <v>366</v>
      </c>
      <c r="E3413">
        <v>80839857</v>
      </c>
      <c r="F3413" t="s">
        <v>2343</v>
      </c>
      <c r="G3413" s="3">
        <v>46709</v>
      </c>
      <c r="H3413">
        <v>36</v>
      </c>
      <c r="I3413">
        <v>48</v>
      </c>
      <c r="J3413">
        <v>3</v>
      </c>
      <c r="K3413" s="4">
        <v>1091.76</v>
      </c>
      <c r="L3413" s="4">
        <f>0</f>
        <v>0</v>
      </c>
      <c r="M3413" s="4">
        <f>999</f>
        <v>999</v>
      </c>
      <c r="N3413" t="s">
        <v>19</v>
      </c>
      <c r="O3413" t="str">
        <f t="shared" si="530"/>
        <v>Low</v>
      </c>
      <c r="P3413" t="str">
        <f t="shared" si="531"/>
        <v>High</v>
      </c>
      <c r="Q3413" t="str">
        <f t="shared" si="532"/>
        <v>High</v>
      </c>
      <c r="R3413" t="s">
        <v>3317</v>
      </c>
      <c r="S3413" s="4">
        <f t="shared" ca="1" si="533"/>
        <v>512</v>
      </c>
      <c r="T3413">
        <f t="shared" si="534"/>
        <v>1</v>
      </c>
      <c r="U3413">
        <f t="shared" si="535"/>
        <v>3</v>
      </c>
      <c r="V3413">
        <f t="shared" si="536"/>
        <v>3</v>
      </c>
      <c r="W3413">
        <f t="shared" si="537"/>
        <v>1</v>
      </c>
      <c r="X3413">
        <f t="shared" si="538"/>
        <v>2</v>
      </c>
      <c r="Y3413" t="str">
        <f t="shared" si="539"/>
        <v>Monitor</v>
      </c>
    </row>
    <row r="3414" spans="1:25" x14ac:dyDescent="0.35">
      <c r="A3414" t="s">
        <v>71</v>
      </c>
      <c r="B3414" t="s">
        <v>72</v>
      </c>
      <c r="C3414" t="s">
        <v>73</v>
      </c>
      <c r="D3414" t="s">
        <v>284</v>
      </c>
      <c r="E3414">
        <v>80895513</v>
      </c>
      <c r="F3414" t="s">
        <v>2344</v>
      </c>
      <c r="G3414" s="3">
        <v>47141</v>
      </c>
      <c r="H3414">
        <v>36</v>
      </c>
      <c r="I3414">
        <v>88</v>
      </c>
      <c r="J3414">
        <v>95</v>
      </c>
      <c r="K3414" s="4">
        <v>53198.1</v>
      </c>
      <c r="L3414" s="4">
        <v>27.571428571428573</v>
      </c>
      <c r="M3414" s="4">
        <v>3.4455958549222796</v>
      </c>
      <c r="N3414" t="s">
        <v>25</v>
      </c>
      <c r="O3414" t="str">
        <f t="shared" si="530"/>
        <v>Low</v>
      </c>
      <c r="P3414" t="str">
        <f t="shared" si="531"/>
        <v>Low</v>
      </c>
      <c r="Q3414" t="str">
        <f t="shared" si="532"/>
        <v>Low</v>
      </c>
      <c r="R3414" t="s">
        <v>3317</v>
      </c>
      <c r="S3414" s="4">
        <f t="shared" ca="1" si="533"/>
        <v>944</v>
      </c>
      <c r="T3414">
        <f t="shared" si="534"/>
        <v>1</v>
      </c>
      <c r="U3414">
        <f t="shared" si="535"/>
        <v>1</v>
      </c>
      <c r="V3414">
        <f t="shared" si="536"/>
        <v>1</v>
      </c>
      <c r="W3414">
        <f t="shared" si="537"/>
        <v>1</v>
      </c>
      <c r="X3414">
        <f t="shared" si="538"/>
        <v>0.99999999999999989</v>
      </c>
      <c r="Y3414" t="str">
        <f t="shared" si="539"/>
        <v>Healthy</v>
      </c>
    </row>
    <row r="3415" spans="1:25" x14ac:dyDescent="0.35">
      <c r="A3415" t="s">
        <v>71</v>
      </c>
      <c r="B3415" t="s">
        <v>72</v>
      </c>
      <c r="C3415" t="s">
        <v>73</v>
      </c>
      <c r="D3415" t="s">
        <v>284</v>
      </c>
      <c r="E3415">
        <v>80895513</v>
      </c>
      <c r="F3415" t="s">
        <v>2344</v>
      </c>
      <c r="G3415" s="3">
        <v>47189</v>
      </c>
      <c r="H3415">
        <v>36</v>
      </c>
      <c r="I3415">
        <v>92</v>
      </c>
      <c r="J3415">
        <v>95</v>
      </c>
      <c r="K3415" s="4">
        <v>53198.1</v>
      </c>
      <c r="L3415" s="4">
        <v>27.571428571428573</v>
      </c>
      <c r="M3415" s="4">
        <v>3.4455958549222796</v>
      </c>
      <c r="N3415" t="s">
        <v>25</v>
      </c>
      <c r="O3415" t="str">
        <f t="shared" si="530"/>
        <v>Low</v>
      </c>
      <c r="P3415" t="str">
        <f t="shared" si="531"/>
        <v>Low</v>
      </c>
      <c r="Q3415" t="str">
        <f t="shared" si="532"/>
        <v>Low</v>
      </c>
      <c r="R3415" t="s">
        <v>3317</v>
      </c>
      <c r="S3415" s="4">
        <f t="shared" ca="1" si="533"/>
        <v>992</v>
      </c>
      <c r="T3415">
        <f t="shared" si="534"/>
        <v>1</v>
      </c>
      <c r="U3415">
        <f t="shared" si="535"/>
        <v>1</v>
      </c>
      <c r="V3415">
        <f t="shared" si="536"/>
        <v>1</v>
      </c>
      <c r="W3415">
        <f t="shared" si="537"/>
        <v>1</v>
      </c>
      <c r="X3415">
        <f t="shared" si="538"/>
        <v>0.99999999999999989</v>
      </c>
      <c r="Y3415" t="str">
        <f t="shared" si="539"/>
        <v>Healthy</v>
      </c>
    </row>
    <row r="3416" spans="1:25" x14ac:dyDescent="0.35">
      <c r="A3416" t="s">
        <v>71</v>
      </c>
      <c r="B3416" t="s">
        <v>72</v>
      </c>
      <c r="C3416" t="s">
        <v>73</v>
      </c>
      <c r="D3416" t="s">
        <v>2345</v>
      </c>
      <c r="E3416">
        <v>80895514</v>
      </c>
      <c r="F3416" t="s">
        <v>2346</v>
      </c>
      <c r="G3416" s="3">
        <v>47138</v>
      </c>
      <c r="H3416">
        <v>36</v>
      </c>
      <c r="I3416">
        <v>88</v>
      </c>
      <c r="J3416">
        <v>3</v>
      </c>
      <c r="K3416" s="4">
        <v>1679.94</v>
      </c>
      <c r="L3416" s="4">
        <v>75.285714285714292</v>
      </c>
      <c r="M3416" s="4">
        <v>3.9848197343453511E-2</v>
      </c>
      <c r="N3416" t="s">
        <v>25</v>
      </c>
      <c r="O3416" t="str">
        <f t="shared" si="530"/>
        <v>Low</v>
      </c>
      <c r="P3416" t="str">
        <f t="shared" si="531"/>
        <v>Low</v>
      </c>
      <c r="Q3416" t="str">
        <f t="shared" si="532"/>
        <v>Low</v>
      </c>
      <c r="R3416" t="s">
        <v>3317</v>
      </c>
      <c r="S3416" s="4">
        <f t="shared" ca="1" si="533"/>
        <v>941</v>
      </c>
      <c r="T3416">
        <f t="shared" si="534"/>
        <v>1</v>
      </c>
      <c r="U3416">
        <f t="shared" si="535"/>
        <v>1</v>
      </c>
      <c r="V3416">
        <f t="shared" si="536"/>
        <v>1</v>
      </c>
      <c r="W3416">
        <f t="shared" si="537"/>
        <v>1</v>
      </c>
      <c r="X3416">
        <f t="shared" si="538"/>
        <v>0.99999999999999989</v>
      </c>
      <c r="Y3416" t="str">
        <f t="shared" si="539"/>
        <v>Healthy</v>
      </c>
    </row>
    <row r="3417" spans="1:25" x14ac:dyDescent="0.35">
      <c r="A3417" t="s">
        <v>14</v>
      </c>
      <c r="B3417" t="s">
        <v>58</v>
      </c>
      <c r="C3417" t="s">
        <v>59</v>
      </c>
      <c r="D3417" t="s">
        <v>60</v>
      </c>
      <c r="E3417">
        <v>80821556</v>
      </c>
      <c r="F3417" t="s">
        <v>2347</v>
      </c>
      <c r="G3417" s="3">
        <v>47749</v>
      </c>
      <c r="H3417">
        <v>60</v>
      </c>
      <c r="I3417">
        <v>87</v>
      </c>
      <c r="J3417">
        <v>11</v>
      </c>
      <c r="K3417" s="4">
        <v>16235.45</v>
      </c>
      <c r="L3417" s="4">
        <v>164.85714285714286</v>
      </c>
      <c r="M3417" s="4">
        <v>6.6724436741767756E-2</v>
      </c>
      <c r="N3417" t="s">
        <v>25</v>
      </c>
      <c r="O3417" t="str">
        <f t="shared" si="530"/>
        <v>Low</v>
      </c>
      <c r="P3417" t="str">
        <f t="shared" si="531"/>
        <v>Low</v>
      </c>
      <c r="Q3417" t="str">
        <f t="shared" si="532"/>
        <v>Low</v>
      </c>
      <c r="R3417" t="s">
        <v>3317</v>
      </c>
      <c r="S3417" s="4">
        <f t="shared" ca="1" si="533"/>
        <v>1552</v>
      </c>
      <c r="T3417">
        <f t="shared" si="534"/>
        <v>1</v>
      </c>
      <c r="U3417">
        <f t="shared" si="535"/>
        <v>1</v>
      </c>
      <c r="V3417">
        <f t="shared" si="536"/>
        <v>1</v>
      </c>
      <c r="W3417">
        <f t="shared" si="537"/>
        <v>1</v>
      </c>
      <c r="X3417">
        <f t="shared" si="538"/>
        <v>0.99999999999999989</v>
      </c>
      <c r="Y3417" t="str">
        <f t="shared" si="539"/>
        <v>Healthy</v>
      </c>
    </row>
    <row r="3418" spans="1:25" x14ac:dyDescent="0.35">
      <c r="A3418" t="s">
        <v>71</v>
      </c>
      <c r="B3418" t="s">
        <v>72</v>
      </c>
      <c r="C3418" t="s">
        <v>73</v>
      </c>
      <c r="D3418" t="s">
        <v>2345</v>
      </c>
      <c r="E3418">
        <v>80895514</v>
      </c>
      <c r="F3418" t="s">
        <v>2346</v>
      </c>
      <c r="G3418" s="3">
        <v>47248</v>
      </c>
      <c r="H3418">
        <v>36</v>
      </c>
      <c r="I3418">
        <v>98</v>
      </c>
      <c r="J3418">
        <v>72</v>
      </c>
      <c r="K3418" s="4">
        <v>40318.559999999998</v>
      </c>
      <c r="L3418" s="4">
        <v>75.285714285714292</v>
      </c>
      <c r="M3418" s="4">
        <v>0.9563567362428842</v>
      </c>
      <c r="N3418" t="s">
        <v>25</v>
      </c>
      <c r="O3418" t="str">
        <f t="shared" si="530"/>
        <v>Low</v>
      </c>
      <c r="P3418" t="str">
        <f t="shared" si="531"/>
        <v>Low</v>
      </c>
      <c r="Q3418" t="str">
        <f t="shared" si="532"/>
        <v>Low</v>
      </c>
      <c r="R3418" t="s">
        <v>3317</v>
      </c>
      <c r="S3418" s="4">
        <f t="shared" ca="1" si="533"/>
        <v>1051</v>
      </c>
      <c r="T3418">
        <f t="shared" si="534"/>
        <v>1</v>
      </c>
      <c r="U3418">
        <f t="shared" si="535"/>
        <v>1</v>
      </c>
      <c r="V3418">
        <f t="shared" si="536"/>
        <v>1</v>
      </c>
      <c r="W3418">
        <f t="shared" si="537"/>
        <v>1</v>
      </c>
      <c r="X3418">
        <f t="shared" si="538"/>
        <v>0.99999999999999989</v>
      </c>
      <c r="Y3418" t="str">
        <f t="shared" si="539"/>
        <v>Healthy</v>
      </c>
    </row>
    <row r="3419" spans="1:25" x14ac:dyDescent="0.35">
      <c r="A3419" t="s">
        <v>71</v>
      </c>
      <c r="B3419" t="s">
        <v>72</v>
      </c>
      <c r="C3419" t="s">
        <v>73</v>
      </c>
      <c r="D3419" t="s">
        <v>2345</v>
      </c>
      <c r="E3419">
        <v>80895514</v>
      </c>
      <c r="F3419" t="s">
        <v>2346</v>
      </c>
      <c r="G3419" s="3">
        <v>47216</v>
      </c>
      <c r="H3419">
        <v>36</v>
      </c>
      <c r="I3419">
        <v>95</v>
      </c>
      <c r="J3419">
        <v>7</v>
      </c>
      <c r="K3419" s="4">
        <v>3919.86</v>
      </c>
      <c r="L3419" s="4">
        <v>75.285714285714292</v>
      </c>
      <c r="M3419" s="4">
        <v>9.2979127134724851E-2</v>
      </c>
      <c r="N3419" t="s">
        <v>25</v>
      </c>
      <c r="O3419" t="str">
        <f t="shared" si="530"/>
        <v>Low</v>
      </c>
      <c r="P3419" t="str">
        <f t="shared" si="531"/>
        <v>Low</v>
      </c>
      <c r="Q3419" t="str">
        <f t="shared" si="532"/>
        <v>Low</v>
      </c>
      <c r="R3419" t="s">
        <v>3317</v>
      </c>
      <c r="S3419" s="4">
        <f t="shared" ca="1" si="533"/>
        <v>1019</v>
      </c>
      <c r="T3419">
        <f t="shared" si="534"/>
        <v>1</v>
      </c>
      <c r="U3419">
        <f t="shared" si="535"/>
        <v>1</v>
      </c>
      <c r="V3419">
        <f t="shared" si="536"/>
        <v>1</v>
      </c>
      <c r="W3419">
        <f t="shared" si="537"/>
        <v>1</v>
      </c>
      <c r="X3419">
        <f t="shared" si="538"/>
        <v>0.99999999999999989</v>
      </c>
      <c r="Y3419" t="str">
        <f t="shared" si="539"/>
        <v>Healthy</v>
      </c>
    </row>
    <row r="3420" spans="1:25" x14ac:dyDescent="0.35">
      <c r="A3420" t="s">
        <v>20</v>
      </c>
      <c r="B3420" t="s">
        <v>21</v>
      </c>
      <c r="C3420" t="s">
        <v>227</v>
      </c>
      <c r="D3420" t="s">
        <v>800</v>
      </c>
      <c r="E3420">
        <v>80895600</v>
      </c>
      <c r="F3420" t="s">
        <v>2348</v>
      </c>
      <c r="G3420" s="3">
        <v>47220</v>
      </c>
      <c r="H3420">
        <v>36</v>
      </c>
      <c r="I3420">
        <v>95</v>
      </c>
      <c r="J3420">
        <v>62</v>
      </c>
      <c r="K3420" s="4">
        <v>5208</v>
      </c>
      <c r="L3420" s="4">
        <v>2205</v>
      </c>
      <c r="M3420" s="4">
        <v>2.8117913832199547E-2</v>
      </c>
      <c r="N3420" t="s">
        <v>25</v>
      </c>
      <c r="O3420" t="str">
        <f t="shared" si="530"/>
        <v>Low</v>
      </c>
      <c r="P3420" t="str">
        <f t="shared" si="531"/>
        <v>Low</v>
      </c>
      <c r="Q3420" t="str">
        <f t="shared" si="532"/>
        <v>Low</v>
      </c>
      <c r="R3420" t="s">
        <v>3317</v>
      </c>
      <c r="S3420" s="4">
        <f t="shared" ca="1" si="533"/>
        <v>1023</v>
      </c>
      <c r="T3420">
        <f t="shared" si="534"/>
        <v>1</v>
      </c>
      <c r="U3420">
        <f t="shared" si="535"/>
        <v>1</v>
      </c>
      <c r="V3420">
        <f t="shared" si="536"/>
        <v>1</v>
      </c>
      <c r="W3420">
        <f t="shared" si="537"/>
        <v>1</v>
      </c>
      <c r="X3420">
        <f t="shared" si="538"/>
        <v>0.99999999999999989</v>
      </c>
      <c r="Y3420" t="str">
        <f t="shared" si="539"/>
        <v>Healthy</v>
      </c>
    </row>
    <row r="3421" spans="1:25" x14ac:dyDescent="0.35">
      <c r="A3421" t="s">
        <v>71</v>
      </c>
      <c r="B3421" t="s">
        <v>72</v>
      </c>
      <c r="C3421" t="s">
        <v>386</v>
      </c>
      <c r="D3421" t="s">
        <v>1520</v>
      </c>
      <c r="E3421">
        <v>80895515</v>
      </c>
      <c r="F3421" t="s">
        <v>2349</v>
      </c>
      <c r="G3421" s="3">
        <v>47238</v>
      </c>
      <c r="H3421">
        <v>36</v>
      </c>
      <c r="I3421">
        <v>97</v>
      </c>
      <c r="J3421">
        <v>31</v>
      </c>
      <c r="K3421" s="4">
        <v>4860.49</v>
      </c>
      <c r="L3421" s="4">
        <v>1155.7142857142858</v>
      </c>
      <c r="M3421" s="4">
        <v>2.6823238566131023E-2</v>
      </c>
      <c r="N3421" t="s">
        <v>25</v>
      </c>
      <c r="O3421" t="str">
        <f t="shared" si="530"/>
        <v>Low</v>
      </c>
      <c r="P3421" t="str">
        <f t="shared" si="531"/>
        <v>Low</v>
      </c>
      <c r="Q3421" t="str">
        <f t="shared" si="532"/>
        <v>Low</v>
      </c>
      <c r="R3421" t="s">
        <v>3317</v>
      </c>
      <c r="S3421" s="4">
        <f t="shared" ca="1" si="533"/>
        <v>1041</v>
      </c>
      <c r="T3421">
        <f t="shared" si="534"/>
        <v>1</v>
      </c>
      <c r="U3421">
        <f t="shared" si="535"/>
        <v>1</v>
      </c>
      <c r="V3421">
        <f t="shared" si="536"/>
        <v>1</v>
      </c>
      <c r="W3421">
        <f t="shared" si="537"/>
        <v>1</v>
      </c>
      <c r="X3421">
        <f t="shared" si="538"/>
        <v>0.99999999999999989</v>
      </c>
      <c r="Y3421" t="str">
        <f t="shared" si="539"/>
        <v>Healthy</v>
      </c>
    </row>
    <row r="3422" spans="1:25" x14ac:dyDescent="0.35">
      <c r="A3422" t="s">
        <v>71</v>
      </c>
      <c r="B3422" t="s">
        <v>72</v>
      </c>
      <c r="C3422" t="s">
        <v>386</v>
      </c>
      <c r="D3422" t="s">
        <v>1520</v>
      </c>
      <c r="E3422">
        <v>80895515</v>
      </c>
      <c r="F3422" t="s">
        <v>2349</v>
      </c>
      <c r="G3422" s="3">
        <v>47183</v>
      </c>
      <c r="H3422">
        <v>36</v>
      </c>
      <c r="I3422">
        <v>92</v>
      </c>
      <c r="J3422">
        <v>22</v>
      </c>
      <c r="K3422" s="4">
        <v>3449.38</v>
      </c>
      <c r="L3422" s="4">
        <v>1155.7142857142858</v>
      </c>
      <c r="M3422" s="4">
        <v>1.903584672435105E-2</v>
      </c>
      <c r="N3422" t="s">
        <v>25</v>
      </c>
      <c r="O3422" t="str">
        <f t="shared" si="530"/>
        <v>Low</v>
      </c>
      <c r="P3422" t="str">
        <f t="shared" si="531"/>
        <v>Low</v>
      </c>
      <c r="Q3422" t="str">
        <f t="shared" si="532"/>
        <v>Low</v>
      </c>
      <c r="R3422" t="s">
        <v>3317</v>
      </c>
      <c r="S3422" s="4">
        <f t="shared" ca="1" si="533"/>
        <v>986</v>
      </c>
      <c r="T3422">
        <f t="shared" si="534"/>
        <v>1</v>
      </c>
      <c r="U3422">
        <f t="shared" si="535"/>
        <v>1</v>
      </c>
      <c r="V3422">
        <f t="shared" si="536"/>
        <v>1</v>
      </c>
      <c r="W3422">
        <f t="shared" si="537"/>
        <v>1</v>
      </c>
      <c r="X3422">
        <f t="shared" si="538"/>
        <v>0.99999999999999989</v>
      </c>
      <c r="Y3422" t="str">
        <f t="shared" si="539"/>
        <v>Healthy</v>
      </c>
    </row>
    <row r="3423" spans="1:25" x14ac:dyDescent="0.35">
      <c r="A3423" t="s">
        <v>71</v>
      </c>
      <c r="B3423" t="s">
        <v>72</v>
      </c>
      <c r="C3423" t="s">
        <v>386</v>
      </c>
      <c r="D3423" t="s">
        <v>1520</v>
      </c>
      <c r="E3423">
        <v>80895515</v>
      </c>
      <c r="F3423" t="s">
        <v>2349</v>
      </c>
      <c r="G3423" s="3">
        <v>47224</v>
      </c>
      <c r="H3423">
        <v>36</v>
      </c>
      <c r="I3423">
        <v>96</v>
      </c>
      <c r="J3423">
        <v>101</v>
      </c>
      <c r="K3423" s="4">
        <v>15835.79</v>
      </c>
      <c r="L3423" s="4">
        <v>1155.7142857142858</v>
      </c>
      <c r="M3423" s="4">
        <v>8.7391841779975277E-2</v>
      </c>
      <c r="N3423" t="s">
        <v>25</v>
      </c>
      <c r="O3423" t="str">
        <f t="shared" si="530"/>
        <v>Low</v>
      </c>
      <c r="P3423" t="str">
        <f t="shared" si="531"/>
        <v>Low</v>
      </c>
      <c r="Q3423" t="str">
        <f t="shared" si="532"/>
        <v>Low</v>
      </c>
      <c r="R3423" t="s">
        <v>3317</v>
      </c>
      <c r="S3423" s="4">
        <f t="shared" ca="1" si="533"/>
        <v>1027</v>
      </c>
      <c r="T3423">
        <f t="shared" si="534"/>
        <v>1</v>
      </c>
      <c r="U3423">
        <f t="shared" si="535"/>
        <v>1</v>
      </c>
      <c r="V3423">
        <f t="shared" si="536"/>
        <v>1</v>
      </c>
      <c r="W3423">
        <f t="shared" si="537"/>
        <v>1</v>
      </c>
      <c r="X3423">
        <f t="shared" si="538"/>
        <v>0.99999999999999989</v>
      </c>
      <c r="Y3423" t="str">
        <f t="shared" si="539"/>
        <v>Healthy</v>
      </c>
    </row>
    <row r="3424" spans="1:25" x14ac:dyDescent="0.35">
      <c r="A3424" t="s">
        <v>71</v>
      </c>
      <c r="B3424" t="s">
        <v>72</v>
      </c>
      <c r="C3424" t="s">
        <v>386</v>
      </c>
      <c r="D3424" t="s">
        <v>1520</v>
      </c>
      <c r="E3424">
        <v>80895515</v>
      </c>
      <c r="F3424" t="s">
        <v>2349</v>
      </c>
      <c r="G3424" s="3">
        <v>47239</v>
      </c>
      <c r="H3424">
        <v>36</v>
      </c>
      <c r="I3424">
        <v>97</v>
      </c>
      <c r="J3424">
        <v>14</v>
      </c>
      <c r="K3424" s="4">
        <v>2195.06</v>
      </c>
      <c r="L3424" s="4">
        <v>1155.7142857142858</v>
      </c>
      <c r="M3424" s="4">
        <v>1.211372064276885E-2</v>
      </c>
      <c r="N3424" t="s">
        <v>25</v>
      </c>
      <c r="O3424" t="str">
        <f t="shared" si="530"/>
        <v>Low</v>
      </c>
      <c r="P3424" t="str">
        <f t="shared" si="531"/>
        <v>Low</v>
      </c>
      <c r="Q3424" t="str">
        <f t="shared" si="532"/>
        <v>Low</v>
      </c>
      <c r="R3424" t="s">
        <v>3317</v>
      </c>
      <c r="S3424" s="4">
        <f t="shared" ca="1" si="533"/>
        <v>1042</v>
      </c>
      <c r="T3424">
        <f t="shared" si="534"/>
        <v>1</v>
      </c>
      <c r="U3424">
        <f t="shared" si="535"/>
        <v>1</v>
      </c>
      <c r="V3424">
        <f t="shared" si="536"/>
        <v>1</v>
      </c>
      <c r="W3424">
        <f t="shared" si="537"/>
        <v>1</v>
      </c>
      <c r="X3424">
        <f t="shared" si="538"/>
        <v>0.99999999999999989</v>
      </c>
      <c r="Y3424" t="str">
        <f t="shared" si="539"/>
        <v>Healthy</v>
      </c>
    </row>
    <row r="3425" spans="1:25" x14ac:dyDescent="0.35">
      <c r="A3425" t="s">
        <v>71</v>
      </c>
      <c r="B3425" t="s">
        <v>72</v>
      </c>
      <c r="C3425" t="s">
        <v>386</v>
      </c>
      <c r="D3425" t="s">
        <v>1520</v>
      </c>
      <c r="E3425">
        <v>80895515</v>
      </c>
      <c r="F3425" t="s">
        <v>2349</v>
      </c>
      <c r="G3425" s="3">
        <v>47248</v>
      </c>
      <c r="H3425">
        <v>36</v>
      </c>
      <c r="I3425">
        <v>98</v>
      </c>
      <c r="J3425">
        <v>17</v>
      </c>
      <c r="K3425" s="4">
        <v>2665.43</v>
      </c>
      <c r="L3425" s="4">
        <v>1155.7142857142858</v>
      </c>
      <c r="M3425" s="4">
        <v>1.4709517923362175E-2</v>
      </c>
      <c r="N3425" t="s">
        <v>25</v>
      </c>
      <c r="O3425" t="str">
        <f t="shared" si="530"/>
        <v>Low</v>
      </c>
      <c r="P3425" t="str">
        <f t="shared" si="531"/>
        <v>Low</v>
      </c>
      <c r="Q3425" t="str">
        <f t="shared" si="532"/>
        <v>Low</v>
      </c>
      <c r="R3425" t="s">
        <v>3317</v>
      </c>
      <c r="S3425" s="4">
        <f t="shared" ca="1" si="533"/>
        <v>1051</v>
      </c>
      <c r="T3425">
        <f t="shared" si="534"/>
        <v>1</v>
      </c>
      <c r="U3425">
        <f t="shared" si="535"/>
        <v>1</v>
      </c>
      <c r="V3425">
        <f t="shared" si="536"/>
        <v>1</v>
      </c>
      <c r="W3425">
        <f t="shared" si="537"/>
        <v>1</v>
      </c>
      <c r="X3425">
        <f t="shared" si="538"/>
        <v>0.99999999999999989</v>
      </c>
      <c r="Y3425" t="str">
        <f t="shared" si="539"/>
        <v>Healthy</v>
      </c>
    </row>
    <row r="3426" spans="1:25" x14ac:dyDescent="0.35">
      <c r="A3426" t="s">
        <v>189</v>
      </c>
      <c r="B3426" t="s">
        <v>417</v>
      </c>
      <c r="C3426" t="s">
        <v>417</v>
      </c>
      <c r="D3426" t="s">
        <v>521</v>
      </c>
      <c r="E3426">
        <v>80833456</v>
      </c>
      <c r="F3426" t="s">
        <v>2350</v>
      </c>
      <c r="G3426" s="3">
        <v>46490</v>
      </c>
      <c r="H3426">
        <v>18</v>
      </c>
      <c r="I3426">
        <v>55</v>
      </c>
      <c r="J3426">
        <v>4</v>
      </c>
      <c r="K3426" s="4">
        <v>149.80000000000001</v>
      </c>
      <c r="L3426" s="4">
        <v>3979.1428571428573</v>
      </c>
      <c r="M3426" s="4">
        <v>1.0052416170029438E-3</v>
      </c>
      <c r="N3426" t="s">
        <v>25</v>
      </c>
      <c r="O3426" t="str">
        <f t="shared" si="530"/>
        <v>Low</v>
      </c>
      <c r="P3426" t="str">
        <f t="shared" si="531"/>
        <v>Low</v>
      </c>
      <c r="Q3426" t="str">
        <f t="shared" si="532"/>
        <v>Low</v>
      </c>
      <c r="R3426" t="s">
        <v>3317</v>
      </c>
      <c r="S3426" s="4">
        <f t="shared" ca="1" si="533"/>
        <v>293</v>
      </c>
      <c r="T3426">
        <f t="shared" si="534"/>
        <v>1</v>
      </c>
      <c r="U3426">
        <f t="shared" si="535"/>
        <v>1</v>
      </c>
      <c r="V3426">
        <f t="shared" si="536"/>
        <v>1</v>
      </c>
      <c r="W3426">
        <f t="shared" si="537"/>
        <v>1</v>
      </c>
      <c r="X3426">
        <f t="shared" si="538"/>
        <v>0.99999999999999989</v>
      </c>
      <c r="Y3426" t="str">
        <f t="shared" si="539"/>
        <v>Healthy</v>
      </c>
    </row>
    <row r="3427" spans="1:25" x14ac:dyDescent="0.35">
      <c r="A3427" t="s">
        <v>71</v>
      </c>
      <c r="B3427" t="s">
        <v>72</v>
      </c>
      <c r="C3427" t="s">
        <v>386</v>
      </c>
      <c r="D3427" t="s">
        <v>1520</v>
      </c>
      <c r="E3427">
        <v>80895515</v>
      </c>
      <c r="F3427" t="s">
        <v>2349</v>
      </c>
      <c r="G3427" s="3">
        <v>47272</v>
      </c>
      <c r="H3427">
        <v>36</v>
      </c>
      <c r="I3427">
        <v>100</v>
      </c>
      <c r="J3427">
        <v>84</v>
      </c>
      <c r="K3427" s="4">
        <v>13170.36</v>
      </c>
      <c r="L3427" s="4">
        <v>1155.7142857142858</v>
      </c>
      <c r="M3427" s="4">
        <v>7.2682323856613093E-2</v>
      </c>
      <c r="N3427" t="s">
        <v>25</v>
      </c>
      <c r="O3427" t="str">
        <f t="shared" si="530"/>
        <v>Low</v>
      </c>
      <c r="P3427" t="str">
        <f t="shared" si="531"/>
        <v>Low</v>
      </c>
      <c r="Q3427" t="str">
        <f t="shared" si="532"/>
        <v>Low</v>
      </c>
      <c r="R3427" t="s">
        <v>3317</v>
      </c>
      <c r="S3427" s="4">
        <f t="shared" ca="1" si="533"/>
        <v>1075</v>
      </c>
      <c r="T3427">
        <f t="shared" si="534"/>
        <v>1</v>
      </c>
      <c r="U3427">
        <f t="shared" si="535"/>
        <v>1</v>
      </c>
      <c r="V3427">
        <f t="shared" si="536"/>
        <v>1</v>
      </c>
      <c r="W3427">
        <f t="shared" si="537"/>
        <v>1</v>
      </c>
      <c r="X3427">
        <f t="shared" si="538"/>
        <v>0.99999999999999989</v>
      </c>
      <c r="Y3427" t="str">
        <f t="shared" si="539"/>
        <v>Healthy</v>
      </c>
    </row>
    <row r="3428" spans="1:25" x14ac:dyDescent="0.35">
      <c r="A3428" t="s">
        <v>189</v>
      </c>
      <c r="B3428" t="s">
        <v>417</v>
      </c>
      <c r="C3428" t="s">
        <v>417</v>
      </c>
      <c r="D3428" t="s">
        <v>521</v>
      </c>
      <c r="E3428">
        <v>80833456</v>
      </c>
      <c r="F3428" t="s">
        <v>2350</v>
      </c>
      <c r="G3428" s="3">
        <v>46388</v>
      </c>
      <c r="H3428">
        <v>18</v>
      </c>
      <c r="I3428">
        <v>36</v>
      </c>
      <c r="J3428">
        <v>6</v>
      </c>
      <c r="K3428" s="4">
        <v>224.7</v>
      </c>
      <c r="L3428" s="4">
        <v>3979.1428571428573</v>
      </c>
      <c r="M3428" s="4">
        <v>1.5078624255044158E-3</v>
      </c>
      <c r="N3428" t="s">
        <v>25</v>
      </c>
      <c r="O3428" t="str">
        <f t="shared" si="530"/>
        <v>Medium</v>
      </c>
      <c r="P3428" t="str">
        <f t="shared" si="531"/>
        <v>Low</v>
      </c>
      <c r="Q3428" t="str">
        <f t="shared" si="532"/>
        <v>Low</v>
      </c>
      <c r="R3428" t="s">
        <v>3317</v>
      </c>
      <c r="S3428" s="4">
        <f t="shared" ca="1" si="533"/>
        <v>191</v>
      </c>
      <c r="T3428">
        <f t="shared" si="534"/>
        <v>2</v>
      </c>
      <c r="U3428">
        <f t="shared" si="535"/>
        <v>1</v>
      </c>
      <c r="V3428">
        <f t="shared" si="536"/>
        <v>1</v>
      </c>
      <c r="W3428">
        <f t="shared" si="537"/>
        <v>1</v>
      </c>
      <c r="X3428">
        <f t="shared" si="538"/>
        <v>1.4000000000000001</v>
      </c>
      <c r="Y3428" t="str">
        <f t="shared" si="539"/>
        <v>Healthy</v>
      </c>
    </row>
    <row r="3429" spans="1:25" x14ac:dyDescent="0.35">
      <c r="A3429" t="s">
        <v>71</v>
      </c>
      <c r="B3429" t="s">
        <v>72</v>
      </c>
      <c r="C3429" t="s">
        <v>386</v>
      </c>
      <c r="D3429" t="s">
        <v>1520</v>
      </c>
      <c r="E3429">
        <v>80895515</v>
      </c>
      <c r="F3429" t="s">
        <v>2349</v>
      </c>
      <c r="G3429" s="3">
        <v>47145</v>
      </c>
      <c r="H3429">
        <v>36</v>
      </c>
      <c r="I3429">
        <v>88</v>
      </c>
      <c r="J3429">
        <v>24</v>
      </c>
      <c r="K3429" s="4">
        <v>3762.96</v>
      </c>
      <c r="L3429" s="4">
        <v>1155.7142857142858</v>
      </c>
      <c r="M3429" s="4">
        <v>2.07663782447466E-2</v>
      </c>
      <c r="N3429" t="s">
        <v>25</v>
      </c>
      <c r="O3429" t="str">
        <f t="shared" si="530"/>
        <v>Low</v>
      </c>
      <c r="P3429" t="str">
        <f t="shared" si="531"/>
        <v>Low</v>
      </c>
      <c r="Q3429" t="str">
        <f t="shared" si="532"/>
        <v>Low</v>
      </c>
      <c r="R3429" t="s">
        <v>3317</v>
      </c>
      <c r="S3429" s="4">
        <f t="shared" ca="1" si="533"/>
        <v>948</v>
      </c>
      <c r="T3429">
        <f t="shared" si="534"/>
        <v>1</v>
      </c>
      <c r="U3429">
        <f t="shared" si="535"/>
        <v>1</v>
      </c>
      <c r="V3429">
        <f t="shared" si="536"/>
        <v>1</v>
      </c>
      <c r="W3429">
        <f t="shared" si="537"/>
        <v>1</v>
      </c>
      <c r="X3429">
        <f t="shared" si="538"/>
        <v>0.99999999999999989</v>
      </c>
      <c r="Y3429" t="str">
        <f t="shared" si="539"/>
        <v>Healthy</v>
      </c>
    </row>
    <row r="3430" spans="1:25" x14ac:dyDescent="0.35">
      <c r="A3430" t="s">
        <v>14</v>
      </c>
      <c r="B3430" t="s">
        <v>115</v>
      </c>
      <c r="C3430" t="s">
        <v>116</v>
      </c>
      <c r="D3430" t="s">
        <v>2351</v>
      </c>
      <c r="E3430">
        <v>80832648</v>
      </c>
      <c r="F3430" t="s">
        <v>2352</v>
      </c>
      <c r="G3430" s="3">
        <v>47446</v>
      </c>
      <c r="H3430">
        <v>60</v>
      </c>
      <c r="I3430">
        <v>70</v>
      </c>
      <c r="J3430">
        <v>6</v>
      </c>
      <c r="K3430" s="4">
        <v>576</v>
      </c>
      <c r="L3430" s="4">
        <f>0</f>
        <v>0</v>
      </c>
      <c r="M3430" s="4">
        <f>999</f>
        <v>999</v>
      </c>
      <c r="N3430" t="s">
        <v>19</v>
      </c>
      <c r="O3430" t="str">
        <f t="shared" si="530"/>
        <v>Low</v>
      </c>
      <c r="P3430" t="str">
        <f t="shared" si="531"/>
        <v>High</v>
      </c>
      <c r="Q3430" t="str">
        <f t="shared" si="532"/>
        <v>High</v>
      </c>
      <c r="R3430" t="s">
        <v>3317</v>
      </c>
      <c r="S3430" s="4">
        <f t="shared" ca="1" si="533"/>
        <v>1249</v>
      </c>
      <c r="T3430">
        <f t="shared" si="534"/>
        <v>1</v>
      </c>
      <c r="U3430">
        <f t="shared" si="535"/>
        <v>3</v>
      </c>
      <c r="V3430">
        <f t="shared" si="536"/>
        <v>3</v>
      </c>
      <c r="W3430">
        <f t="shared" si="537"/>
        <v>1</v>
      </c>
      <c r="X3430">
        <f t="shared" si="538"/>
        <v>2</v>
      </c>
      <c r="Y3430" t="str">
        <f t="shared" si="539"/>
        <v>Monitor</v>
      </c>
    </row>
    <row r="3431" spans="1:25" x14ac:dyDescent="0.35">
      <c r="A3431" t="s">
        <v>71</v>
      </c>
      <c r="B3431" t="s">
        <v>72</v>
      </c>
      <c r="C3431" t="s">
        <v>386</v>
      </c>
      <c r="D3431" t="s">
        <v>2353</v>
      </c>
      <c r="E3431">
        <v>80895516</v>
      </c>
      <c r="F3431" t="s">
        <v>2354</v>
      </c>
      <c r="G3431" s="3">
        <v>47267</v>
      </c>
      <c r="H3431">
        <v>36</v>
      </c>
      <c r="I3431">
        <v>100</v>
      </c>
      <c r="J3431">
        <v>131</v>
      </c>
      <c r="K3431" s="4">
        <v>20539.490000000002</v>
      </c>
      <c r="L3431" s="4">
        <v>1281.5714285714287</v>
      </c>
      <c r="M3431" s="4">
        <v>0.10221825883402072</v>
      </c>
      <c r="N3431" t="s">
        <v>25</v>
      </c>
      <c r="O3431" t="str">
        <f t="shared" si="530"/>
        <v>Low</v>
      </c>
      <c r="P3431" t="str">
        <f t="shared" si="531"/>
        <v>Low</v>
      </c>
      <c r="Q3431" t="str">
        <f t="shared" si="532"/>
        <v>Low</v>
      </c>
      <c r="R3431" t="s">
        <v>3317</v>
      </c>
      <c r="S3431" s="4">
        <f t="shared" ca="1" si="533"/>
        <v>1070</v>
      </c>
      <c r="T3431">
        <f t="shared" si="534"/>
        <v>1</v>
      </c>
      <c r="U3431">
        <f t="shared" si="535"/>
        <v>1</v>
      </c>
      <c r="V3431">
        <f t="shared" si="536"/>
        <v>1</v>
      </c>
      <c r="W3431">
        <f t="shared" si="537"/>
        <v>1</v>
      </c>
      <c r="X3431">
        <f t="shared" si="538"/>
        <v>0.99999999999999989</v>
      </c>
      <c r="Y3431" t="str">
        <f t="shared" si="539"/>
        <v>Healthy</v>
      </c>
    </row>
    <row r="3432" spans="1:25" x14ac:dyDescent="0.35">
      <c r="A3432" t="s">
        <v>29</v>
      </c>
      <c r="B3432" t="s">
        <v>30</v>
      </c>
      <c r="C3432" t="s">
        <v>276</v>
      </c>
      <c r="D3432" t="s">
        <v>1128</v>
      </c>
      <c r="E3432">
        <v>80794642</v>
      </c>
      <c r="F3432" t="s">
        <v>2355</v>
      </c>
      <c r="G3432" s="3">
        <v>46704</v>
      </c>
      <c r="H3432">
        <v>36</v>
      </c>
      <c r="I3432">
        <v>47</v>
      </c>
      <c r="J3432">
        <v>34</v>
      </c>
      <c r="K3432" s="4">
        <v>54371.1</v>
      </c>
      <c r="L3432" s="4">
        <v>18.714285714285715</v>
      </c>
      <c r="M3432" s="4">
        <v>1.8167938931297709</v>
      </c>
      <c r="N3432" t="s">
        <v>25</v>
      </c>
      <c r="O3432" t="str">
        <f t="shared" si="530"/>
        <v>Low</v>
      </c>
      <c r="P3432" t="str">
        <f t="shared" si="531"/>
        <v>Low</v>
      </c>
      <c r="Q3432" t="str">
        <f t="shared" si="532"/>
        <v>Low</v>
      </c>
      <c r="R3432" t="s">
        <v>3317</v>
      </c>
      <c r="S3432" s="4">
        <f t="shared" ca="1" si="533"/>
        <v>507</v>
      </c>
      <c r="T3432">
        <f t="shared" si="534"/>
        <v>1</v>
      </c>
      <c r="U3432">
        <f t="shared" si="535"/>
        <v>1</v>
      </c>
      <c r="V3432">
        <f t="shared" si="536"/>
        <v>1</v>
      </c>
      <c r="W3432">
        <f t="shared" si="537"/>
        <v>1</v>
      </c>
      <c r="X3432">
        <f t="shared" si="538"/>
        <v>0.99999999999999989</v>
      </c>
      <c r="Y3432" t="str">
        <f t="shared" si="539"/>
        <v>Healthy</v>
      </c>
    </row>
    <row r="3433" spans="1:25" x14ac:dyDescent="0.35">
      <c r="A3433" t="s">
        <v>71</v>
      </c>
      <c r="B3433" t="s">
        <v>72</v>
      </c>
      <c r="C3433" t="s">
        <v>386</v>
      </c>
      <c r="D3433" t="s">
        <v>2353</v>
      </c>
      <c r="E3433">
        <v>80895516</v>
      </c>
      <c r="F3433" t="s">
        <v>2354</v>
      </c>
      <c r="G3433" s="3">
        <v>47251</v>
      </c>
      <c r="H3433">
        <v>36</v>
      </c>
      <c r="I3433">
        <v>98</v>
      </c>
      <c r="J3433">
        <v>122</v>
      </c>
      <c r="K3433" s="4">
        <v>19128.38</v>
      </c>
      <c r="L3433" s="4">
        <v>1281.5714285714287</v>
      </c>
      <c r="M3433" s="4">
        <v>9.5195630364507858E-2</v>
      </c>
      <c r="N3433" t="s">
        <v>25</v>
      </c>
      <c r="O3433" t="str">
        <f t="shared" si="530"/>
        <v>Low</v>
      </c>
      <c r="P3433" t="str">
        <f t="shared" si="531"/>
        <v>Low</v>
      </c>
      <c r="Q3433" t="str">
        <f t="shared" si="532"/>
        <v>Low</v>
      </c>
      <c r="R3433" t="s">
        <v>3317</v>
      </c>
      <c r="S3433" s="4">
        <f t="shared" ca="1" si="533"/>
        <v>1054</v>
      </c>
      <c r="T3433">
        <f t="shared" si="534"/>
        <v>1</v>
      </c>
      <c r="U3433">
        <f t="shared" si="535"/>
        <v>1</v>
      </c>
      <c r="V3433">
        <f t="shared" si="536"/>
        <v>1</v>
      </c>
      <c r="W3433">
        <f t="shared" si="537"/>
        <v>1</v>
      </c>
      <c r="X3433">
        <f t="shared" si="538"/>
        <v>0.99999999999999989</v>
      </c>
      <c r="Y3433" t="str">
        <f t="shared" si="539"/>
        <v>Healthy</v>
      </c>
    </row>
    <row r="3434" spans="1:25" x14ac:dyDescent="0.35">
      <c r="A3434" t="s">
        <v>71</v>
      </c>
      <c r="B3434" t="s">
        <v>72</v>
      </c>
      <c r="C3434" t="s">
        <v>386</v>
      </c>
      <c r="D3434" t="s">
        <v>2353</v>
      </c>
      <c r="E3434">
        <v>80895516</v>
      </c>
      <c r="F3434" t="s">
        <v>2354</v>
      </c>
      <c r="G3434" s="3">
        <v>47256</v>
      </c>
      <c r="H3434">
        <v>36</v>
      </c>
      <c r="I3434">
        <v>99</v>
      </c>
      <c r="J3434">
        <v>269</v>
      </c>
      <c r="K3434" s="4">
        <v>42176.51</v>
      </c>
      <c r="L3434" s="4">
        <v>1281.5714285714287</v>
      </c>
      <c r="M3434" s="4">
        <v>0.20989856203321813</v>
      </c>
      <c r="N3434" t="s">
        <v>25</v>
      </c>
      <c r="O3434" t="str">
        <f t="shared" si="530"/>
        <v>Low</v>
      </c>
      <c r="P3434" t="str">
        <f t="shared" si="531"/>
        <v>Low</v>
      </c>
      <c r="Q3434" t="str">
        <f t="shared" si="532"/>
        <v>Low</v>
      </c>
      <c r="R3434" t="s">
        <v>3317</v>
      </c>
      <c r="S3434" s="4">
        <f t="shared" ca="1" si="533"/>
        <v>1059</v>
      </c>
      <c r="T3434">
        <f t="shared" si="534"/>
        <v>1</v>
      </c>
      <c r="U3434">
        <f t="shared" si="535"/>
        <v>1</v>
      </c>
      <c r="V3434">
        <f t="shared" si="536"/>
        <v>1</v>
      </c>
      <c r="W3434">
        <f t="shared" si="537"/>
        <v>1</v>
      </c>
      <c r="X3434">
        <f t="shared" si="538"/>
        <v>0.99999999999999989</v>
      </c>
      <c r="Y3434" t="str">
        <f t="shared" si="539"/>
        <v>Healthy</v>
      </c>
    </row>
    <row r="3435" spans="1:25" x14ac:dyDescent="0.35">
      <c r="A3435" t="s">
        <v>29</v>
      </c>
      <c r="B3435" t="s">
        <v>30</v>
      </c>
      <c r="C3435" t="s">
        <v>276</v>
      </c>
      <c r="D3435" t="s">
        <v>1128</v>
      </c>
      <c r="E3435">
        <v>80794642</v>
      </c>
      <c r="F3435" t="s">
        <v>2355</v>
      </c>
      <c r="G3435" s="3">
        <v>46669</v>
      </c>
      <c r="H3435">
        <v>36</v>
      </c>
      <c r="I3435">
        <v>44</v>
      </c>
      <c r="J3435">
        <v>27</v>
      </c>
      <c r="K3435" s="4">
        <v>43177.05</v>
      </c>
      <c r="L3435" s="4">
        <v>18.714285714285715</v>
      </c>
      <c r="M3435" s="4">
        <v>1.4427480916030533</v>
      </c>
      <c r="N3435" t="s">
        <v>25</v>
      </c>
      <c r="O3435" t="str">
        <f t="shared" si="530"/>
        <v>Low</v>
      </c>
      <c r="P3435" t="str">
        <f t="shared" si="531"/>
        <v>Low</v>
      </c>
      <c r="Q3435" t="str">
        <f t="shared" si="532"/>
        <v>Low</v>
      </c>
      <c r="R3435" t="s">
        <v>3317</v>
      </c>
      <c r="S3435" s="4">
        <f t="shared" ca="1" si="533"/>
        <v>472</v>
      </c>
      <c r="T3435">
        <f t="shared" si="534"/>
        <v>1</v>
      </c>
      <c r="U3435">
        <f t="shared" si="535"/>
        <v>1</v>
      </c>
      <c r="V3435">
        <f t="shared" si="536"/>
        <v>1</v>
      </c>
      <c r="W3435">
        <f t="shared" si="537"/>
        <v>1</v>
      </c>
      <c r="X3435">
        <f t="shared" si="538"/>
        <v>0.99999999999999989</v>
      </c>
      <c r="Y3435" t="str">
        <f t="shared" si="539"/>
        <v>Healthy</v>
      </c>
    </row>
    <row r="3436" spans="1:25" x14ac:dyDescent="0.35">
      <c r="A3436" t="s">
        <v>41</v>
      </c>
      <c r="B3436" t="s">
        <v>54</v>
      </c>
      <c r="C3436" t="s">
        <v>459</v>
      </c>
      <c r="D3436" t="s">
        <v>460</v>
      </c>
      <c r="E3436">
        <v>80842747</v>
      </c>
      <c r="F3436" t="s">
        <v>2356</v>
      </c>
      <c r="G3436" s="3">
        <v>46873</v>
      </c>
      <c r="H3436">
        <v>36</v>
      </c>
      <c r="I3436">
        <v>63</v>
      </c>
      <c r="J3436">
        <v>6</v>
      </c>
      <c r="K3436" s="4">
        <v>5482.14</v>
      </c>
      <c r="L3436" s="4">
        <v>2</v>
      </c>
      <c r="M3436" s="4">
        <v>3</v>
      </c>
      <c r="N3436" t="s">
        <v>25</v>
      </c>
      <c r="O3436" t="str">
        <f t="shared" si="530"/>
        <v>Low</v>
      </c>
      <c r="P3436" t="str">
        <f t="shared" si="531"/>
        <v>Low</v>
      </c>
      <c r="Q3436" t="str">
        <f t="shared" si="532"/>
        <v>High</v>
      </c>
      <c r="R3436" t="s">
        <v>3317</v>
      </c>
      <c r="S3436" s="4">
        <f t="shared" ca="1" si="533"/>
        <v>676</v>
      </c>
      <c r="T3436">
        <f t="shared" si="534"/>
        <v>1</v>
      </c>
      <c r="U3436">
        <f t="shared" si="535"/>
        <v>1</v>
      </c>
      <c r="V3436">
        <f t="shared" si="536"/>
        <v>3</v>
      </c>
      <c r="W3436">
        <f t="shared" si="537"/>
        <v>1</v>
      </c>
      <c r="X3436">
        <f t="shared" si="538"/>
        <v>1.4000000000000001</v>
      </c>
      <c r="Y3436" t="str">
        <f t="shared" si="539"/>
        <v>Healthy</v>
      </c>
    </row>
    <row r="3437" spans="1:25" x14ac:dyDescent="0.35">
      <c r="A3437" t="s">
        <v>20</v>
      </c>
      <c r="B3437" t="s">
        <v>21</v>
      </c>
      <c r="C3437" t="s">
        <v>684</v>
      </c>
      <c r="D3437" t="s">
        <v>2357</v>
      </c>
      <c r="E3437">
        <v>80895602</v>
      </c>
      <c r="F3437" t="s">
        <v>2358</v>
      </c>
      <c r="G3437" s="3">
        <v>47273</v>
      </c>
      <c r="H3437">
        <v>36</v>
      </c>
      <c r="I3437">
        <v>100</v>
      </c>
      <c r="J3437">
        <v>722</v>
      </c>
      <c r="K3437" s="4">
        <v>28880</v>
      </c>
      <c r="L3437" s="4">
        <v>13349</v>
      </c>
      <c r="M3437" s="4">
        <v>5.4086448423102854E-2</v>
      </c>
      <c r="N3437" t="s">
        <v>25</v>
      </c>
      <c r="O3437" t="str">
        <f t="shared" si="530"/>
        <v>Low</v>
      </c>
      <c r="P3437" t="str">
        <f t="shared" si="531"/>
        <v>Low</v>
      </c>
      <c r="Q3437" t="str">
        <f t="shared" si="532"/>
        <v>Low</v>
      </c>
      <c r="R3437" t="s">
        <v>3317</v>
      </c>
      <c r="S3437" s="4">
        <f t="shared" ca="1" si="533"/>
        <v>1076</v>
      </c>
      <c r="T3437">
        <f t="shared" si="534"/>
        <v>1</v>
      </c>
      <c r="U3437">
        <f t="shared" si="535"/>
        <v>1</v>
      </c>
      <c r="V3437">
        <f t="shared" si="536"/>
        <v>1</v>
      </c>
      <c r="W3437">
        <f t="shared" si="537"/>
        <v>1</v>
      </c>
      <c r="X3437">
        <f t="shared" si="538"/>
        <v>0.99999999999999989</v>
      </c>
      <c r="Y3437" t="str">
        <f t="shared" si="539"/>
        <v>Healthy</v>
      </c>
    </row>
    <row r="3438" spans="1:25" x14ac:dyDescent="0.35">
      <c r="A3438" t="s">
        <v>20</v>
      </c>
      <c r="B3438" t="s">
        <v>21</v>
      </c>
      <c r="C3438" t="s">
        <v>684</v>
      </c>
      <c r="D3438" t="s">
        <v>2357</v>
      </c>
      <c r="E3438">
        <v>80895602</v>
      </c>
      <c r="F3438" t="s">
        <v>2358</v>
      </c>
      <c r="G3438" s="3">
        <v>47227</v>
      </c>
      <c r="H3438">
        <v>36</v>
      </c>
      <c r="I3438">
        <v>96</v>
      </c>
      <c r="J3438">
        <v>100</v>
      </c>
      <c r="K3438" s="4">
        <v>4000</v>
      </c>
      <c r="L3438" s="4">
        <v>13349</v>
      </c>
      <c r="M3438" s="4">
        <v>7.4911978425350216E-3</v>
      </c>
      <c r="N3438" t="s">
        <v>25</v>
      </c>
      <c r="O3438" t="str">
        <f t="shared" si="530"/>
        <v>Low</v>
      </c>
      <c r="P3438" t="str">
        <f t="shared" si="531"/>
        <v>Low</v>
      </c>
      <c r="Q3438" t="str">
        <f t="shared" si="532"/>
        <v>Low</v>
      </c>
      <c r="R3438" t="s">
        <v>3317</v>
      </c>
      <c r="S3438" s="4">
        <f t="shared" ca="1" si="533"/>
        <v>1030</v>
      </c>
      <c r="T3438">
        <f t="shared" si="534"/>
        <v>1</v>
      </c>
      <c r="U3438">
        <f t="shared" si="535"/>
        <v>1</v>
      </c>
      <c r="V3438">
        <f t="shared" si="536"/>
        <v>1</v>
      </c>
      <c r="W3438">
        <f t="shared" si="537"/>
        <v>1</v>
      </c>
      <c r="X3438">
        <f t="shared" si="538"/>
        <v>0.99999999999999989</v>
      </c>
      <c r="Y3438" t="str">
        <f t="shared" si="539"/>
        <v>Healthy</v>
      </c>
    </row>
    <row r="3439" spans="1:25" x14ac:dyDescent="0.35">
      <c r="A3439" t="s">
        <v>179</v>
      </c>
      <c r="B3439" t="s">
        <v>180</v>
      </c>
      <c r="C3439" t="s">
        <v>181</v>
      </c>
      <c r="D3439" t="s">
        <v>326</v>
      </c>
      <c r="E3439">
        <v>80849884</v>
      </c>
      <c r="F3439" t="s">
        <v>2359</v>
      </c>
      <c r="G3439" s="3">
        <v>46230</v>
      </c>
      <c r="H3439">
        <v>16</v>
      </c>
      <c r="I3439">
        <v>8</v>
      </c>
      <c r="J3439">
        <v>2</v>
      </c>
      <c r="K3439" s="4">
        <v>1438.18</v>
      </c>
      <c r="L3439" s="4">
        <v>78.714285714285708</v>
      </c>
      <c r="M3439" s="4">
        <v>2.5408348457350273E-2</v>
      </c>
      <c r="N3439" t="s">
        <v>25</v>
      </c>
      <c r="O3439" t="str">
        <f t="shared" si="530"/>
        <v>High</v>
      </c>
      <c r="P3439" t="str">
        <f t="shared" si="531"/>
        <v>Low</v>
      </c>
      <c r="Q3439" t="str">
        <f t="shared" si="532"/>
        <v>Low</v>
      </c>
      <c r="R3439" t="s">
        <v>3317</v>
      </c>
      <c r="S3439" s="4">
        <f t="shared" ca="1" si="533"/>
        <v>33</v>
      </c>
      <c r="T3439">
        <f t="shared" si="534"/>
        <v>3</v>
      </c>
      <c r="U3439">
        <f t="shared" si="535"/>
        <v>1</v>
      </c>
      <c r="V3439">
        <f t="shared" si="536"/>
        <v>1</v>
      </c>
      <c r="W3439">
        <f t="shared" si="537"/>
        <v>1</v>
      </c>
      <c r="X3439">
        <f t="shared" si="538"/>
        <v>1.8000000000000003</v>
      </c>
      <c r="Y3439" t="str">
        <f t="shared" si="539"/>
        <v>Monitor</v>
      </c>
    </row>
    <row r="3440" spans="1:25" x14ac:dyDescent="0.35">
      <c r="A3440" t="s">
        <v>20</v>
      </c>
      <c r="B3440" t="s">
        <v>21</v>
      </c>
      <c r="C3440" t="s">
        <v>684</v>
      </c>
      <c r="D3440" t="s">
        <v>2357</v>
      </c>
      <c r="E3440">
        <v>80895602</v>
      </c>
      <c r="F3440" t="s">
        <v>2358</v>
      </c>
      <c r="G3440" s="3">
        <v>47249</v>
      </c>
      <c r="H3440">
        <v>36</v>
      </c>
      <c r="I3440">
        <v>98</v>
      </c>
      <c r="J3440">
        <v>706</v>
      </c>
      <c r="K3440" s="4">
        <v>28240</v>
      </c>
      <c r="L3440" s="4">
        <v>13349</v>
      </c>
      <c r="M3440" s="4">
        <v>5.2887856768297249E-2</v>
      </c>
      <c r="N3440" t="s">
        <v>25</v>
      </c>
      <c r="O3440" t="str">
        <f t="shared" si="530"/>
        <v>Low</v>
      </c>
      <c r="P3440" t="str">
        <f t="shared" si="531"/>
        <v>Low</v>
      </c>
      <c r="Q3440" t="str">
        <f t="shared" si="532"/>
        <v>Low</v>
      </c>
      <c r="R3440" t="s">
        <v>3317</v>
      </c>
      <c r="S3440" s="4">
        <f t="shared" ca="1" si="533"/>
        <v>1052</v>
      </c>
      <c r="T3440">
        <f t="shared" si="534"/>
        <v>1</v>
      </c>
      <c r="U3440">
        <f t="shared" si="535"/>
        <v>1</v>
      </c>
      <c r="V3440">
        <f t="shared" si="536"/>
        <v>1</v>
      </c>
      <c r="W3440">
        <f t="shared" si="537"/>
        <v>1</v>
      </c>
      <c r="X3440">
        <f t="shared" si="538"/>
        <v>0.99999999999999989</v>
      </c>
      <c r="Y3440" t="str">
        <f t="shared" si="539"/>
        <v>Healthy</v>
      </c>
    </row>
    <row r="3441" spans="1:25" x14ac:dyDescent="0.35">
      <c r="A3441" t="s">
        <v>179</v>
      </c>
      <c r="B3441" t="s">
        <v>180</v>
      </c>
      <c r="C3441" t="s">
        <v>181</v>
      </c>
      <c r="D3441" t="s">
        <v>326</v>
      </c>
      <c r="E3441">
        <v>80849884</v>
      </c>
      <c r="F3441" t="s">
        <v>2359</v>
      </c>
      <c r="G3441" s="3">
        <v>46294</v>
      </c>
      <c r="H3441">
        <v>16</v>
      </c>
      <c r="I3441">
        <v>21</v>
      </c>
      <c r="J3441">
        <v>2</v>
      </c>
      <c r="K3441" s="4">
        <v>1438.18</v>
      </c>
      <c r="L3441" s="4">
        <v>78.714285714285708</v>
      </c>
      <c r="M3441" s="4">
        <v>2.5408348457350273E-2</v>
      </c>
      <c r="N3441" t="s">
        <v>25</v>
      </c>
      <c r="O3441" t="str">
        <f t="shared" si="530"/>
        <v>Medium</v>
      </c>
      <c r="P3441" t="str">
        <f t="shared" si="531"/>
        <v>Low</v>
      </c>
      <c r="Q3441" t="str">
        <f t="shared" si="532"/>
        <v>Low</v>
      </c>
      <c r="R3441" t="s">
        <v>3317</v>
      </c>
      <c r="S3441" s="4">
        <f t="shared" ca="1" si="533"/>
        <v>97</v>
      </c>
      <c r="T3441">
        <f t="shared" si="534"/>
        <v>2</v>
      </c>
      <c r="U3441">
        <f t="shared" si="535"/>
        <v>1</v>
      </c>
      <c r="V3441">
        <f t="shared" si="536"/>
        <v>1</v>
      </c>
      <c r="W3441">
        <f t="shared" si="537"/>
        <v>1</v>
      </c>
      <c r="X3441">
        <f t="shared" si="538"/>
        <v>1.4000000000000001</v>
      </c>
      <c r="Y3441" t="str">
        <f t="shared" si="539"/>
        <v>Healthy</v>
      </c>
    </row>
    <row r="3442" spans="1:25" x14ac:dyDescent="0.35">
      <c r="A3442" t="s">
        <v>20</v>
      </c>
      <c r="B3442" t="s">
        <v>21</v>
      </c>
      <c r="C3442" t="s">
        <v>684</v>
      </c>
      <c r="D3442" t="s">
        <v>2357</v>
      </c>
      <c r="E3442">
        <v>80895602</v>
      </c>
      <c r="F3442" t="s">
        <v>2358</v>
      </c>
      <c r="G3442" s="3">
        <v>47232</v>
      </c>
      <c r="H3442">
        <v>36</v>
      </c>
      <c r="I3442">
        <v>96</v>
      </c>
      <c r="J3442">
        <v>487</v>
      </c>
      <c r="K3442" s="4">
        <v>19480</v>
      </c>
      <c r="L3442" s="4">
        <v>13349</v>
      </c>
      <c r="M3442" s="4">
        <v>3.6482133493145552E-2</v>
      </c>
      <c r="N3442" t="s">
        <v>25</v>
      </c>
      <c r="O3442" t="str">
        <f t="shared" si="530"/>
        <v>Low</v>
      </c>
      <c r="P3442" t="str">
        <f t="shared" si="531"/>
        <v>Low</v>
      </c>
      <c r="Q3442" t="str">
        <f t="shared" si="532"/>
        <v>Low</v>
      </c>
      <c r="R3442" t="s">
        <v>3317</v>
      </c>
      <c r="S3442" s="4">
        <f t="shared" ca="1" si="533"/>
        <v>1035</v>
      </c>
      <c r="T3442">
        <f t="shared" si="534"/>
        <v>1</v>
      </c>
      <c r="U3442">
        <f t="shared" si="535"/>
        <v>1</v>
      </c>
      <c r="V3442">
        <f t="shared" si="536"/>
        <v>1</v>
      </c>
      <c r="W3442">
        <f t="shared" si="537"/>
        <v>1</v>
      </c>
      <c r="X3442">
        <f t="shared" si="538"/>
        <v>0.99999999999999989</v>
      </c>
      <c r="Y3442" t="str">
        <f t="shared" si="539"/>
        <v>Healthy</v>
      </c>
    </row>
    <row r="3443" spans="1:25" x14ac:dyDescent="0.35">
      <c r="A3443" t="s">
        <v>179</v>
      </c>
      <c r="B3443" t="s">
        <v>180</v>
      </c>
      <c r="C3443" t="s">
        <v>181</v>
      </c>
      <c r="D3443" t="s">
        <v>326</v>
      </c>
      <c r="E3443">
        <v>80849884</v>
      </c>
      <c r="F3443" t="s">
        <v>2359</v>
      </c>
      <c r="G3443" s="3">
        <v>46312</v>
      </c>
      <c r="H3443">
        <v>16</v>
      </c>
      <c r="I3443">
        <v>25</v>
      </c>
      <c r="J3443">
        <v>24</v>
      </c>
      <c r="K3443" s="4">
        <v>17258.16</v>
      </c>
      <c r="L3443" s="4">
        <v>78.714285714285708</v>
      </c>
      <c r="M3443" s="4">
        <v>0.3049001814882033</v>
      </c>
      <c r="N3443" t="s">
        <v>25</v>
      </c>
      <c r="O3443" t="str">
        <f t="shared" si="530"/>
        <v>Medium</v>
      </c>
      <c r="P3443" t="str">
        <f t="shared" si="531"/>
        <v>Low</v>
      </c>
      <c r="Q3443" t="str">
        <f t="shared" si="532"/>
        <v>Low</v>
      </c>
      <c r="R3443" t="s">
        <v>3317</v>
      </c>
      <c r="S3443" s="4">
        <f t="shared" ca="1" si="533"/>
        <v>115</v>
      </c>
      <c r="T3443">
        <f t="shared" si="534"/>
        <v>2</v>
      </c>
      <c r="U3443">
        <f t="shared" si="535"/>
        <v>1</v>
      </c>
      <c r="V3443">
        <f t="shared" si="536"/>
        <v>1</v>
      </c>
      <c r="W3443">
        <f t="shared" si="537"/>
        <v>1</v>
      </c>
      <c r="X3443">
        <f t="shared" si="538"/>
        <v>1.4000000000000001</v>
      </c>
      <c r="Y3443" t="str">
        <f t="shared" si="539"/>
        <v>Healthy</v>
      </c>
    </row>
    <row r="3444" spans="1:25" x14ac:dyDescent="0.35">
      <c r="A3444" t="s">
        <v>20</v>
      </c>
      <c r="B3444" t="s">
        <v>21</v>
      </c>
      <c r="C3444" t="s">
        <v>684</v>
      </c>
      <c r="D3444" t="s">
        <v>2357</v>
      </c>
      <c r="E3444">
        <v>80895602</v>
      </c>
      <c r="F3444" t="s">
        <v>2358</v>
      </c>
      <c r="G3444" s="3">
        <v>47255</v>
      </c>
      <c r="H3444">
        <v>36</v>
      </c>
      <c r="I3444">
        <v>98</v>
      </c>
      <c r="J3444">
        <v>623</v>
      </c>
      <c r="K3444" s="4">
        <v>24920</v>
      </c>
      <c r="L3444" s="4">
        <v>13349</v>
      </c>
      <c r="M3444" s="4">
        <v>4.6670162558993186E-2</v>
      </c>
      <c r="N3444" t="s">
        <v>25</v>
      </c>
      <c r="O3444" t="str">
        <f t="shared" si="530"/>
        <v>Low</v>
      </c>
      <c r="P3444" t="str">
        <f t="shared" si="531"/>
        <v>Low</v>
      </c>
      <c r="Q3444" t="str">
        <f t="shared" si="532"/>
        <v>Low</v>
      </c>
      <c r="R3444" t="s">
        <v>3317</v>
      </c>
      <c r="S3444" s="4">
        <f t="shared" ca="1" si="533"/>
        <v>1058</v>
      </c>
      <c r="T3444">
        <f t="shared" si="534"/>
        <v>1</v>
      </c>
      <c r="U3444">
        <f t="shared" si="535"/>
        <v>1</v>
      </c>
      <c r="V3444">
        <f t="shared" si="536"/>
        <v>1</v>
      </c>
      <c r="W3444">
        <f t="shared" si="537"/>
        <v>1</v>
      </c>
      <c r="X3444">
        <f t="shared" si="538"/>
        <v>0.99999999999999989</v>
      </c>
      <c r="Y3444" t="str">
        <f t="shared" si="539"/>
        <v>Healthy</v>
      </c>
    </row>
    <row r="3445" spans="1:25" x14ac:dyDescent="0.35">
      <c r="A3445" t="s">
        <v>179</v>
      </c>
      <c r="B3445" t="s">
        <v>180</v>
      </c>
      <c r="C3445" t="s">
        <v>181</v>
      </c>
      <c r="D3445" t="s">
        <v>326</v>
      </c>
      <c r="E3445">
        <v>80849884</v>
      </c>
      <c r="F3445" t="s">
        <v>2359</v>
      </c>
      <c r="G3445" s="3">
        <v>46304</v>
      </c>
      <c r="H3445">
        <v>16</v>
      </c>
      <c r="I3445">
        <v>23</v>
      </c>
      <c r="J3445">
        <v>6</v>
      </c>
      <c r="K3445" s="4">
        <v>4314.54</v>
      </c>
      <c r="L3445" s="4">
        <v>78.714285714285708</v>
      </c>
      <c r="M3445" s="4">
        <v>7.6225045372050826E-2</v>
      </c>
      <c r="N3445" t="s">
        <v>25</v>
      </c>
      <c r="O3445" t="str">
        <f t="shared" si="530"/>
        <v>Medium</v>
      </c>
      <c r="P3445" t="str">
        <f t="shared" si="531"/>
        <v>Low</v>
      </c>
      <c r="Q3445" t="str">
        <f t="shared" si="532"/>
        <v>Low</v>
      </c>
      <c r="R3445" t="s">
        <v>3317</v>
      </c>
      <c r="S3445" s="4">
        <f t="shared" ca="1" si="533"/>
        <v>107</v>
      </c>
      <c r="T3445">
        <f t="shared" si="534"/>
        <v>2</v>
      </c>
      <c r="U3445">
        <f t="shared" si="535"/>
        <v>1</v>
      </c>
      <c r="V3445">
        <f t="shared" si="536"/>
        <v>1</v>
      </c>
      <c r="W3445">
        <f t="shared" si="537"/>
        <v>1</v>
      </c>
      <c r="X3445">
        <f t="shared" si="538"/>
        <v>1.4000000000000001</v>
      </c>
      <c r="Y3445" t="str">
        <f t="shared" si="539"/>
        <v>Healthy</v>
      </c>
    </row>
    <row r="3446" spans="1:25" x14ac:dyDescent="0.35">
      <c r="A3446" t="s">
        <v>20</v>
      </c>
      <c r="B3446" t="s">
        <v>21</v>
      </c>
      <c r="C3446" t="s">
        <v>684</v>
      </c>
      <c r="D3446" t="s">
        <v>2357</v>
      </c>
      <c r="E3446">
        <v>80895602</v>
      </c>
      <c r="F3446" t="s">
        <v>2358</v>
      </c>
      <c r="G3446" s="3">
        <v>47263</v>
      </c>
      <c r="H3446">
        <v>36</v>
      </c>
      <c r="I3446">
        <v>99</v>
      </c>
      <c r="J3446">
        <v>623</v>
      </c>
      <c r="K3446" s="4">
        <v>24920</v>
      </c>
      <c r="L3446" s="4">
        <v>13349</v>
      </c>
      <c r="M3446" s="4">
        <v>4.6670162558993186E-2</v>
      </c>
      <c r="N3446" t="s">
        <v>25</v>
      </c>
      <c r="O3446" t="str">
        <f t="shared" si="530"/>
        <v>Low</v>
      </c>
      <c r="P3446" t="str">
        <f t="shared" si="531"/>
        <v>Low</v>
      </c>
      <c r="Q3446" t="str">
        <f t="shared" si="532"/>
        <v>Low</v>
      </c>
      <c r="R3446" t="s">
        <v>3317</v>
      </c>
      <c r="S3446" s="4">
        <f t="shared" ca="1" si="533"/>
        <v>1066</v>
      </c>
      <c r="T3446">
        <f t="shared" si="534"/>
        <v>1</v>
      </c>
      <c r="U3446">
        <f t="shared" si="535"/>
        <v>1</v>
      </c>
      <c r="V3446">
        <f t="shared" si="536"/>
        <v>1</v>
      </c>
      <c r="W3446">
        <f t="shared" si="537"/>
        <v>1</v>
      </c>
      <c r="X3446">
        <f t="shared" si="538"/>
        <v>0.99999999999999989</v>
      </c>
      <c r="Y3446" t="str">
        <f t="shared" si="539"/>
        <v>Healthy</v>
      </c>
    </row>
    <row r="3447" spans="1:25" x14ac:dyDescent="0.35">
      <c r="A3447" t="s">
        <v>20</v>
      </c>
      <c r="B3447" t="s">
        <v>21</v>
      </c>
      <c r="C3447" t="s">
        <v>684</v>
      </c>
      <c r="D3447" t="s">
        <v>2357</v>
      </c>
      <c r="E3447">
        <v>80895602</v>
      </c>
      <c r="F3447" t="s">
        <v>2358</v>
      </c>
      <c r="G3447" s="3">
        <v>47267</v>
      </c>
      <c r="H3447">
        <v>36</v>
      </c>
      <c r="I3447">
        <v>100</v>
      </c>
      <c r="J3447">
        <v>663</v>
      </c>
      <c r="K3447" s="4">
        <v>26520</v>
      </c>
      <c r="L3447" s="4">
        <v>13349</v>
      </c>
      <c r="M3447" s="4">
        <v>4.9666641696007194E-2</v>
      </c>
      <c r="N3447" t="s">
        <v>25</v>
      </c>
      <c r="O3447" t="str">
        <f t="shared" si="530"/>
        <v>Low</v>
      </c>
      <c r="P3447" t="str">
        <f t="shared" si="531"/>
        <v>Low</v>
      </c>
      <c r="Q3447" t="str">
        <f t="shared" si="532"/>
        <v>Low</v>
      </c>
      <c r="R3447" t="s">
        <v>3317</v>
      </c>
      <c r="S3447" s="4">
        <f t="shared" ca="1" si="533"/>
        <v>1070</v>
      </c>
      <c r="T3447">
        <f t="shared" si="534"/>
        <v>1</v>
      </c>
      <c r="U3447">
        <f t="shared" si="535"/>
        <v>1</v>
      </c>
      <c r="V3447">
        <f t="shared" si="536"/>
        <v>1</v>
      </c>
      <c r="W3447">
        <f t="shared" si="537"/>
        <v>1</v>
      </c>
      <c r="X3447">
        <f t="shared" si="538"/>
        <v>0.99999999999999989</v>
      </c>
      <c r="Y3447" t="str">
        <f t="shared" si="539"/>
        <v>Healthy</v>
      </c>
    </row>
    <row r="3448" spans="1:25" x14ac:dyDescent="0.35">
      <c r="A3448" t="s">
        <v>179</v>
      </c>
      <c r="B3448" t="s">
        <v>180</v>
      </c>
      <c r="C3448" t="s">
        <v>181</v>
      </c>
      <c r="D3448" t="s">
        <v>326</v>
      </c>
      <c r="E3448">
        <v>80849884</v>
      </c>
      <c r="F3448" t="s">
        <v>2359</v>
      </c>
      <c r="G3448" s="3">
        <v>46300</v>
      </c>
      <c r="H3448">
        <v>16</v>
      </c>
      <c r="I3448">
        <v>23</v>
      </c>
      <c r="J3448">
        <v>3</v>
      </c>
      <c r="K3448" s="4">
        <v>2157.27</v>
      </c>
      <c r="L3448" s="4">
        <v>78.714285714285708</v>
      </c>
      <c r="M3448" s="4">
        <v>3.8112522686025413E-2</v>
      </c>
      <c r="N3448" t="s">
        <v>25</v>
      </c>
      <c r="O3448" t="str">
        <f t="shared" si="530"/>
        <v>Medium</v>
      </c>
      <c r="P3448" t="str">
        <f t="shared" si="531"/>
        <v>Low</v>
      </c>
      <c r="Q3448" t="str">
        <f t="shared" si="532"/>
        <v>Low</v>
      </c>
      <c r="R3448" t="s">
        <v>3317</v>
      </c>
      <c r="S3448" s="4">
        <f t="shared" ca="1" si="533"/>
        <v>103</v>
      </c>
      <c r="T3448">
        <f t="shared" si="534"/>
        <v>2</v>
      </c>
      <c r="U3448">
        <f t="shared" si="535"/>
        <v>1</v>
      </c>
      <c r="V3448">
        <f t="shared" si="536"/>
        <v>1</v>
      </c>
      <c r="W3448">
        <f t="shared" si="537"/>
        <v>1</v>
      </c>
      <c r="X3448">
        <f t="shared" si="538"/>
        <v>1.4000000000000001</v>
      </c>
      <c r="Y3448" t="str">
        <f t="shared" si="539"/>
        <v>Healthy</v>
      </c>
    </row>
    <row r="3449" spans="1:25" x14ac:dyDescent="0.35">
      <c r="A3449" t="s">
        <v>20</v>
      </c>
      <c r="B3449" t="s">
        <v>21</v>
      </c>
      <c r="C3449" t="s">
        <v>684</v>
      </c>
      <c r="D3449" t="s">
        <v>2357</v>
      </c>
      <c r="E3449">
        <v>80895602</v>
      </c>
      <c r="F3449" t="s">
        <v>2358</v>
      </c>
      <c r="G3449" s="3">
        <v>47235</v>
      </c>
      <c r="H3449">
        <v>36</v>
      </c>
      <c r="I3449">
        <v>97</v>
      </c>
      <c r="J3449">
        <v>533</v>
      </c>
      <c r="K3449" s="4">
        <v>21320</v>
      </c>
      <c r="L3449" s="4">
        <v>13349</v>
      </c>
      <c r="M3449" s="4">
        <v>3.9928084500711662E-2</v>
      </c>
      <c r="N3449" t="s">
        <v>25</v>
      </c>
      <c r="O3449" t="str">
        <f t="shared" si="530"/>
        <v>Low</v>
      </c>
      <c r="P3449" t="str">
        <f t="shared" si="531"/>
        <v>Low</v>
      </c>
      <c r="Q3449" t="str">
        <f t="shared" si="532"/>
        <v>Low</v>
      </c>
      <c r="R3449" t="s">
        <v>3317</v>
      </c>
      <c r="S3449" s="4">
        <f t="shared" ca="1" si="533"/>
        <v>1038</v>
      </c>
      <c r="T3449">
        <f t="shared" si="534"/>
        <v>1</v>
      </c>
      <c r="U3449">
        <f t="shared" si="535"/>
        <v>1</v>
      </c>
      <c r="V3449">
        <f t="shared" si="536"/>
        <v>1</v>
      </c>
      <c r="W3449">
        <f t="shared" si="537"/>
        <v>1</v>
      </c>
      <c r="X3449">
        <f t="shared" si="538"/>
        <v>0.99999999999999989</v>
      </c>
      <c r="Y3449" t="str">
        <f t="shared" si="539"/>
        <v>Healthy</v>
      </c>
    </row>
    <row r="3450" spans="1:25" x14ac:dyDescent="0.35">
      <c r="A3450" t="s">
        <v>179</v>
      </c>
      <c r="B3450" t="s">
        <v>180</v>
      </c>
      <c r="C3450" t="s">
        <v>181</v>
      </c>
      <c r="D3450" t="s">
        <v>326</v>
      </c>
      <c r="E3450">
        <v>80849884</v>
      </c>
      <c r="F3450" t="s">
        <v>2359</v>
      </c>
      <c r="G3450" s="3">
        <v>46433</v>
      </c>
      <c r="H3450">
        <v>16</v>
      </c>
      <c r="I3450">
        <v>50</v>
      </c>
      <c r="J3450">
        <v>6</v>
      </c>
      <c r="K3450" s="4">
        <v>5033.63</v>
      </c>
      <c r="L3450" s="4">
        <v>78.714285714285708</v>
      </c>
      <c r="M3450" s="4">
        <v>7.6225045372050826E-2</v>
      </c>
      <c r="N3450" t="s">
        <v>25</v>
      </c>
      <c r="O3450" t="str">
        <f t="shared" si="530"/>
        <v>Low</v>
      </c>
      <c r="P3450" t="str">
        <f t="shared" si="531"/>
        <v>Low</v>
      </c>
      <c r="Q3450" t="str">
        <f t="shared" si="532"/>
        <v>Low</v>
      </c>
      <c r="R3450" t="s">
        <v>3317</v>
      </c>
      <c r="S3450" s="4">
        <f t="shared" ca="1" si="533"/>
        <v>236</v>
      </c>
      <c r="T3450">
        <f t="shared" si="534"/>
        <v>1</v>
      </c>
      <c r="U3450">
        <f t="shared" si="535"/>
        <v>1</v>
      </c>
      <c r="V3450">
        <f t="shared" si="536"/>
        <v>1</v>
      </c>
      <c r="W3450">
        <f t="shared" si="537"/>
        <v>1</v>
      </c>
      <c r="X3450">
        <f t="shared" si="538"/>
        <v>0.99999999999999989</v>
      </c>
      <c r="Y3450" t="str">
        <f t="shared" si="539"/>
        <v>Healthy</v>
      </c>
    </row>
    <row r="3451" spans="1:25" x14ac:dyDescent="0.35">
      <c r="A3451" t="s">
        <v>71</v>
      </c>
      <c r="B3451" t="s">
        <v>72</v>
      </c>
      <c r="C3451" t="s">
        <v>572</v>
      </c>
      <c r="D3451" t="s">
        <v>1505</v>
      </c>
      <c r="E3451">
        <v>80895517</v>
      </c>
      <c r="F3451" t="s">
        <v>2360</v>
      </c>
      <c r="G3451" s="3">
        <v>47228</v>
      </c>
      <c r="H3451">
        <v>36</v>
      </c>
      <c r="I3451">
        <v>96</v>
      </c>
      <c r="J3451">
        <v>320</v>
      </c>
      <c r="K3451" s="4">
        <v>29952</v>
      </c>
      <c r="L3451" s="4">
        <v>3319.4285714285716</v>
      </c>
      <c r="M3451" s="4">
        <v>9.6402134618695123E-2</v>
      </c>
      <c r="N3451" t="s">
        <v>25</v>
      </c>
      <c r="O3451" t="str">
        <f t="shared" si="530"/>
        <v>Low</v>
      </c>
      <c r="P3451" t="str">
        <f t="shared" si="531"/>
        <v>Low</v>
      </c>
      <c r="Q3451" t="str">
        <f t="shared" si="532"/>
        <v>Low</v>
      </c>
      <c r="R3451" t="s">
        <v>3317</v>
      </c>
      <c r="S3451" s="4">
        <f t="shared" ca="1" si="533"/>
        <v>1031</v>
      </c>
      <c r="T3451">
        <f t="shared" si="534"/>
        <v>1</v>
      </c>
      <c r="U3451">
        <f t="shared" si="535"/>
        <v>1</v>
      </c>
      <c r="V3451">
        <f t="shared" si="536"/>
        <v>1</v>
      </c>
      <c r="W3451">
        <f t="shared" si="537"/>
        <v>1</v>
      </c>
      <c r="X3451">
        <f t="shared" si="538"/>
        <v>0.99999999999999989</v>
      </c>
      <c r="Y3451" t="str">
        <f t="shared" si="539"/>
        <v>Healthy</v>
      </c>
    </row>
    <row r="3452" spans="1:25" x14ac:dyDescent="0.35">
      <c r="A3452" t="s">
        <v>179</v>
      </c>
      <c r="B3452" t="s">
        <v>223</v>
      </c>
      <c r="C3452" t="s">
        <v>2361</v>
      </c>
      <c r="D3452" t="s">
        <v>2362</v>
      </c>
      <c r="E3452">
        <v>80810318</v>
      </c>
      <c r="F3452" t="s">
        <v>2363</v>
      </c>
      <c r="G3452" s="3">
        <v>46483</v>
      </c>
      <c r="H3452">
        <v>18</v>
      </c>
      <c r="I3452">
        <v>54</v>
      </c>
      <c r="J3452">
        <v>12</v>
      </c>
      <c r="K3452" s="4">
        <v>8799.7199999999993</v>
      </c>
      <c r="L3452" s="4">
        <v>10.285714285714286</v>
      </c>
      <c r="M3452" s="4">
        <v>1.1666666666666665</v>
      </c>
      <c r="N3452" t="s">
        <v>25</v>
      </c>
      <c r="O3452" t="str">
        <f t="shared" si="530"/>
        <v>Low</v>
      </c>
      <c r="P3452" t="str">
        <f t="shared" si="531"/>
        <v>Low</v>
      </c>
      <c r="Q3452" t="str">
        <f t="shared" si="532"/>
        <v>Medium</v>
      </c>
      <c r="R3452" t="s">
        <v>3317</v>
      </c>
      <c r="S3452" s="4">
        <f t="shared" ca="1" si="533"/>
        <v>286</v>
      </c>
      <c r="T3452">
        <f t="shared" si="534"/>
        <v>1</v>
      </c>
      <c r="U3452">
        <f t="shared" si="535"/>
        <v>1</v>
      </c>
      <c r="V3452">
        <f t="shared" si="536"/>
        <v>2</v>
      </c>
      <c r="W3452">
        <f t="shared" si="537"/>
        <v>1</v>
      </c>
      <c r="X3452">
        <f t="shared" si="538"/>
        <v>1.2000000000000002</v>
      </c>
      <c r="Y3452" t="str">
        <f t="shared" si="539"/>
        <v>Healthy</v>
      </c>
    </row>
    <row r="3453" spans="1:25" x14ac:dyDescent="0.35">
      <c r="A3453" t="s">
        <v>179</v>
      </c>
      <c r="B3453" t="s">
        <v>223</v>
      </c>
      <c r="C3453" t="s">
        <v>2361</v>
      </c>
      <c r="D3453" t="s">
        <v>2362</v>
      </c>
      <c r="E3453">
        <v>80810318</v>
      </c>
      <c r="F3453" t="s">
        <v>2363</v>
      </c>
      <c r="G3453" s="3">
        <v>46483</v>
      </c>
      <c r="H3453">
        <v>18</v>
      </c>
      <c r="I3453">
        <v>54</v>
      </c>
      <c r="J3453">
        <v>12</v>
      </c>
      <c r="K3453" s="4">
        <v>8799.7199999999993</v>
      </c>
      <c r="L3453" s="4">
        <v>10.285714285714286</v>
      </c>
      <c r="M3453" s="4">
        <v>1.1666666666666665</v>
      </c>
      <c r="N3453" t="s">
        <v>25</v>
      </c>
      <c r="O3453" t="str">
        <f t="shared" si="530"/>
        <v>Low</v>
      </c>
      <c r="P3453" t="str">
        <f t="shared" si="531"/>
        <v>Low</v>
      </c>
      <c r="Q3453" t="str">
        <f t="shared" si="532"/>
        <v>Medium</v>
      </c>
      <c r="R3453" t="s">
        <v>3317</v>
      </c>
      <c r="S3453" s="4">
        <f t="shared" ca="1" si="533"/>
        <v>286</v>
      </c>
      <c r="T3453">
        <f t="shared" si="534"/>
        <v>1</v>
      </c>
      <c r="U3453">
        <f t="shared" si="535"/>
        <v>1</v>
      </c>
      <c r="V3453">
        <f t="shared" si="536"/>
        <v>2</v>
      </c>
      <c r="W3453">
        <f t="shared" si="537"/>
        <v>1</v>
      </c>
      <c r="X3453">
        <f t="shared" si="538"/>
        <v>1.2000000000000002</v>
      </c>
      <c r="Y3453" t="str">
        <f t="shared" si="539"/>
        <v>Healthy</v>
      </c>
    </row>
    <row r="3454" spans="1:25" x14ac:dyDescent="0.35">
      <c r="A3454" t="s">
        <v>179</v>
      </c>
      <c r="B3454" t="s">
        <v>223</v>
      </c>
      <c r="C3454" t="s">
        <v>2361</v>
      </c>
      <c r="D3454" t="s">
        <v>2362</v>
      </c>
      <c r="E3454">
        <v>80810318</v>
      </c>
      <c r="F3454" t="s">
        <v>2363</v>
      </c>
      <c r="G3454" s="3">
        <v>46483</v>
      </c>
      <c r="H3454">
        <v>18</v>
      </c>
      <c r="I3454">
        <v>54</v>
      </c>
      <c r="J3454">
        <v>12</v>
      </c>
      <c r="K3454" s="4">
        <v>8799.7199999999993</v>
      </c>
      <c r="L3454" s="4">
        <v>10.285714285714286</v>
      </c>
      <c r="M3454" s="4">
        <v>1.1666666666666665</v>
      </c>
      <c r="N3454" t="s">
        <v>25</v>
      </c>
      <c r="O3454" t="str">
        <f t="shared" si="530"/>
        <v>Low</v>
      </c>
      <c r="P3454" t="str">
        <f t="shared" si="531"/>
        <v>Low</v>
      </c>
      <c r="Q3454" t="str">
        <f t="shared" si="532"/>
        <v>Medium</v>
      </c>
      <c r="R3454" t="s">
        <v>3317</v>
      </c>
      <c r="S3454" s="4">
        <f t="shared" ca="1" si="533"/>
        <v>286</v>
      </c>
      <c r="T3454">
        <f t="shared" si="534"/>
        <v>1</v>
      </c>
      <c r="U3454">
        <f t="shared" si="535"/>
        <v>1</v>
      </c>
      <c r="V3454">
        <f t="shared" si="536"/>
        <v>2</v>
      </c>
      <c r="W3454">
        <f t="shared" si="537"/>
        <v>1</v>
      </c>
      <c r="X3454">
        <f t="shared" si="538"/>
        <v>1.2000000000000002</v>
      </c>
      <c r="Y3454" t="str">
        <f t="shared" si="539"/>
        <v>Healthy</v>
      </c>
    </row>
    <row r="3455" spans="1:25" x14ac:dyDescent="0.35">
      <c r="A3455" t="s">
        <v>20</v>
      </c>
      <c r="B3455" t="s">
        <v>21</v>
      </c>
      <c r="C3455" t="s">
        <v>227</v>
      </c>
      <c r="D3455" t="s">
        <v>2039</v>
      </c>
      <c r="E3455">
        <v>80895603</v>
      </c>
      <c r="F3455" t="s">
        <v>2364</v>
      </c>
      <c r="G3455" s="3">
        <v>47255</v>
      </c>
      <c r="H3455">
        <v>36</v>
      </c>
      <c r="I3455">
        <v>98</v>
      </c>
      <c r="J3455">
        <v>25</v>
      </c>
      <c r="K3455" s="4">
        <v>2120</v>
      </c>
      <c r="L3455" s="4">
        <v>1136.5714285714287</v>
      </c>
      <c r="M3455" s="4">
        <v>2.1995977878330818E-2</v>
      </c>
      <c r="N3455" t="s">
        <v>25</v>
      </c>
      <c r="O3455" t="str">
        <f t="shared" si="530"/>
        <v>Low</v>
      </c>
      <c r="P3455" t="str">
        <f t="shared" si="531"/>
        <v>Low</v>
      </c>
      <c r="Q3455" t="str">
        <f t="shared" si="532"/>
        <v>Low</v>
      </c>
      <c r="R3455" t="s">
        <v>3317</v>
      </c>
      <c r="S3455" s="4">
        <f t="shared" ca="1" si="533"/>
        <v>1058</v>
      </c>
      <c r="T3455">
        <f t="shared" si="534"/>
        <v>1</v>
      </c>
      <c r="U3455">
        <f t="shared" si="535"/>
        <v>1</v>
      </c>
      <c r="V3455">
        <f t="shared" si="536"/>
        <v>1</v>
      </c>
      <c r="W3455">
        <f t="shared" si="537"/>
        <v>1</v>
      </c>
      <c r="X3455">
        <f t="shared" si="538"/>
        <v>0.99999999999999989</v>
      </c>
      <c r="Y3455" t="str">
        <f t="shared" si="539"/>
        <v>Healthy</v>
      </c>
    </row>
    <row r="3456" spans="1:25" x14ac:dyDescent="0.35">
      <c r="A3456" t="s">
        <v>20</v>
      </c>
      <c r="B3456" t="s">
        <v>21</v>
      </c>
      <c r="C3456" t="s">
        <v>684</v>
      </c>
      <c r="D3456" t="s">
        <v>685</v>
      </c>
      <c r="E3456">
        <v>80895604</v>
      </c>
      <c r="F3456" t="s">
        <v>2365</v>
      </c>
      <c r="G3456" s="3">
        <v>47127</v>
      </c>
      <c r="H3456">
        <v>36</v>
      </c>
      <c r="I3456">
        <v>87</v>
      </c>
      <c r="J3456">
        <v>1</v>
      </c>
      <c r="K3456" s="4">
        <v>35.200000000000003</v>
      </c>
      <c r="L3456" s="4">
        <v>3287.1428571428573</v>
      </c>
      <c r="M3456" s="4">
        <v>3.0421555845284656E-4</v>
      </c>
      <c r="N3456" t="s">
        <v>25</v>
      </c>
      <c r="O3456" t="str">
        <f t="shared" si="530"/>
        <v>Low</v>
      </c>
      <c r="P3456" t="str">
        <f t="shared" si="531"/>
        <v>Low</v>
      </c>
      <c r="Q3456" t="str">
        <f t="shared" si="532"/>
        <v>Low</v>
      </c>
      <c r="R3456" t="s">
        <v>3317</v>
      </c>
      <c r="S3456" s="4">
        <f t="shared" ca="1" si="533"/>
        <v>930</v>
      </c>
      <c r="T3456">
        <f t="shared" si="534"/>
        <v>1</v>
      </c>
      <c r="U3456">
        <f t="shared" si="535"/>
        <v>1</v>
      </c>
      <c r="V3456">
        <f t="shared" si="536"/>
        <v>1</v>
      </c>
      <c r="W3456">
        <f t="shared" si="537"/>
        <v>1</v>
      </c>
      <c r="X3456">
        <f t="shared" si="538"/>
        <v>0.99999999999999989</v>
      </c>
      <c r="Y3456" t="str">
        <f t="shared" si="539"/>
        <v>Healthy</v>
      </c>
    </row>
    <row r="3457" spans="1:25" x14ac:dyDescent="0.35">
      <c r="A3457" t="s">
        <v>71</v>
      </c>
      <c r="B3457" t="s">
        <v>72</v>
      </c>
      <c r="C3457" t="s">
        <v>73</v>
      </c>
      <c r="D3457" t="s">
        <v>78</v>
      </c>
      <c r="E3457">
        <v>80895519</v>
      </c>
      <c r="F3457" t="s">
        <v>2366</v>
      </c>
      <c r="G3457" s="3">
        <v>47227</v>
      </c>
      <c r="H3457">
        <v>36</v>
      </c>
      <c r="I3457">
        <v>96</v>
      </c>
      <c r="J3457">
        <v>10</v>
      </c>
      <c r="K3457" s="4">
        <v>5991.8</v>
      </c>
      <c r="L3457" s="4">
        <v>1070.8571428571429</v>
      </c>
      <c r="M3457" s="4">
        <v>9.3383137673425827E-3</v>
      </c>
      <c r="N3457" t="s">
        <v>25</v>
      </c>
      <c r="O3457" t="str">
        <f t="shared" si="530"/>
        <v>Low</v>
      </c>
      <c r="P3457" t="str">
        <f t="shared" si="531"/>
        <v>Low</v>
      </c>
      <c r="Q3457" t="str">
        <f t="shared" si="532"/>
        <v>Low</v>
      </c>
      <c r="R3457" t="s">
        <v>3317</v>
      </c>
      <c r="S3457" s="4">
        <f t="shared" ca="1" si="533"/>
        <v>1030</v>
      </c>
      <c r="T3457">
        <f t="shared" si="534"/>
        <v>1</v>
      </c>
      <c r="U3457">
        <f t="shared" si="535"/>
        <v>1</v>
      </c>
      <c r="V3457">
        <f t="shared" si="536"/>
        <v>1</v>
      </c>
      <c r="W3457">
        <f t="shared" si="537"/>
        <v>1</v>
      </c>
      <c r="X3457">
        <f t="shared" si="538"/>
        <v>0.99999999999999989</v>
      </c>
      <c r="Y3457" t="str">
        <f t="shared" si="539"/>
        <v>Healthy</v>
      </c>
    </row>
    <row r="3458" spans="1:25" x14ac:dyDescent="0.35">
      <c r="A3458" t="s">
        <v>71</v>
      </c>
      <c r="B3458" t="s">
        <v>72</v>
      </c>
      <c r="C3458" t="s">
        <v>73</v>
      </c>
      <c r="D3458" t="s">
        <v>78</v>
      </c>
      <c r="E3458">
        <v>80895519</v>
      </c>
      <c r="F3458" t="s">
        <v>2366</v>
      </c>
      <c r="G3458" s="3">
        <v>47279</v>
      </c>
      <c r="H3458">
        <v>36</v>
      </c>
      <c r="I3458">
        <v>100</v>
      </c>
      <c r="J3458">
        <v>282</v>
      </c>
      <c r="K3458" s="4">
        <v>168968.76</v>
      </c>
      <c r="L3458" s="4">
        <v>1070.8571428571429</v>
      </c>
      <c r="M3458" s="4">
        <v>0.26334044823906083</v>
      </c>
      <c r="N3458" t="s">
        <v>25</v>
      </c>
      <c r="O3458" t="str">
        <f t="shared" si="530"/>
        <v>Low</v>
      </c>
      <c r="P3458" t="str">
        <f t="shared" si="531"/>
        <v>Low</v>
      </c>
      <c r="Q3458" t="str">
        <f t="shared" si="532"/>
        <v>Low</v>
      </c>
      <c r="R3458" t="s">
        <v>3309</v>
      </c>
      <c r="S3458" s="4">
        <f t="shared" ca="1" si="533"/>
        <v>1082</v>
      </c>
      <c r="T3458">
        <f t="shared" si="534"/>
        <v>1</v>
      </c>
      <c r="U3458">
        <f t="shared" si="535"/>
        <v>1</v>
      </c>
      <c r="V3458">
        <f t="shared" si="536"/>
        <v>1</v>
      </c>
      <c r="W3458">
        <f t="shared" si="537"/>
        <v>3</v>
      </c>
      <c r="X3458">
        <f t="shared" si="538"/>
        <v>1.2</v>
      </c>
      <c r="Y3458" t="str">
        <f t="shared" si="539"/>
        <v>Healthy</v>
      </c>
    </row>
    <row r="3459" spans="1:25" x14ac:dyDescent="0.35">
      <c r="A3459" t="s">
        <v>99</v>
      </c>
      <c r="B3459" t="s">
        <v>100</v>
      </c>
      <c r="C3459" t="s">
        <v>136</v>
      </c>
      <c r="D3459" t="s">
        <v>2367</v>
      </c>
      <c r="E3459">
        <v>80830417</v>
      </c>
      <c r="F3459" t="s">
        <v>2368</v>
      </c>
      <c r="G3459" s="3">
        <v>47267</v>
      </c>
      <c r="H3459">
        <v>36</v>
      </c>
      <c r="I3459">
        <v>100</v>
      </c>
      <c r="J3459">
        <v>1376</v>
      </c>
      <c r="K3459" s="4">
        <v>277153.91999999998</v>
      </c>
      <c r="L3459" s="4">
        <v>1996.5714285714287</v>
      </c>
      <c r="M3459" s="4">
        <v>0.68918145392100738</v>
      </c>
      <c r="N3459" t="s">
        <v>25</v>
      </c>
      <c r="O3459" t="str">
        <f t="shared" ref="O3459:O3522" si="540">IF(I3459&lt;20,"High",IF(I3459&lt;40,"Medium","Low"))</f>
        <v>Low</v>
      </c>
      <c r="P3459" t="str">
        <f t="shared" ref="P3459:P3522" si="541">IF(M3459&gt;8,"High",IF(M3459&gt;4,"Medium","Low"))</f>
        <v>Low</v>
      </c>
      <c r="Q3459" t="str">
        <f t="shared" ref="Q3459:Q3522" si="542">IF(L3459&lt;5,"High",IF(L3459&lt;15,"Medium","Low"))</f>
        <v>Low</v>
      </c>
      <c r="R3459" t="s">
        <v>3309</v>
      </c>
      <c r="S3459" s="4">
        <f t="shared" ref="S3459:S3522" ca="1" si="543">G3459-TODAY()</f>
        <v>1070</v>
      </c>
      <c r="T3459">
        <f t="shared" ref="T3459:T3522" si="544">IF(O3459="High",3,IF(O3459="Medium",2,1))</f>
        <v>1</v>
      </c>
      <c r="U3459">
        <f t="shared" ref="U3459:U3522" si="545">IF(P3459="High",3,IF(P3459="Medium",2,1))</f>
        <v>1</v>
      </c>
      <c r="V3459">
        <f t="shared" ref="V3459:V3522" si="546">IF(Q3459="High",3,IF(Q3459="Medium",2,1))</f>
        <v>1</v>
      </c>
      <c r="W3459">
        <f t="shared" ref="W3459:W3522" si="547">IF(R3459="High",3,IF(R3459="Medium",2,1))</f>
        <v>3</v>
      </c>
      <c r="X3459">
        <f t="shared" ref="X3459:X3522" si="548">(0.4*T3459)+(0.3*U3459)+(0.2*V3459)+(0.1*W3459)</f>
        <v>1.2</v>
      </c>
      <c r="Y3459" t="str">
        <f t="shared" ref="Y3459:Y3522" si="549">IF(X3459&gt;=2.7,"Move Immediately",IF(X3459&gt;=2.2,"High Priority",IF(X3459&gt;=1.7,"Monitor","Healthy")))</f>
        <v>Healthy</v>
      </c>
    </row>
    <row r="3460" spans="1:25" x14ac:dyDescent="0.35">
      <c r="A3460" t="s">
        <v>41</v>
      </c>
      <c r="B3460" t="s">
        <v>54</v>
      </c>
      <c r="C3460" t="s">
        <v>87</v>
      </c>
      <c r="D3460" t="s">
        <v>124</v>
      </c>
      <c r="E3460">
        <v>80844154</v>
      </c>
      <c r="F3460" t="s">
        <v>2369</v>
      </c>
      <c r="G3460" s="3">
        <v>46854</v>
      </c>
      <c r="H3460">
        <v>36</v>
      </c>
      <c r="I3460">
        <v>61</v>
      </c>
      <c r="J3460">
        <v>1</v>
      </c>
      <c r="K3460" s="4">
        <v>418.02</v>
      </c>
      <c r="L3460" s="4">
        <v>8.7142857142857135</v>
      </c>
      <c r="M3460" s="4">
        <v>0.11475409836065575</v>
      </c>
      <c r="N3460" t="s">
        <v>25</v>
      </c>
      <c r="O3460" t="str">
        <f t="shared" si="540"/>
        <v>Low</v>
      </c>
      <c r="P3460" t="str">
        <f t="shared" si="541"/>
        <v>Low</v>
      </c>
      <c r="Q3460" t="str">
        <f t="shared" si="542"/>
        <v>Medium</v>
      </c>
      <c r="R3460" t="s">
        <v>3317</v>
      </c>
      <c r="S3460" s="4">
        <f t="shared" ca="1" si="543"/>
        <v>657</v>
      </c>
      <c r="T3460">
        <f t="shared" si="544"/>
        <v>1</v>
      </c>
      <c r="U3460">
        <f t="shared" si="545"/>
        <v>1</v>
      </c>
      <c r="V3460">
        <f t="shared" si="546"/>
        <v>2</v>
      </c>
      <c r="W3460">
        <f t="shared" si="547"/>
        <v>1</v>
      </c>
      <c r="X3460">
        <f t="shared" si="548"/>
        <v>1.2000000000000002</v>
      </c>
      <c r="Y3460" t="str">
        <f t="shared" si="549"/>
        <v>Healthy</v>
      </c>
    </row>
    <row r="3461" spans="1:25" x14ac:dyDescent="0.35">
      <c r="A3461" t="s">
        <v>41</v>
      </c>
      <c r="B3461" t="s">
        <v>42</v>
      </c>
      <c r="C3461" t="s">
        <v>365</v>
      </c>
      <c r="D3461" t="s">
        <v>867</v>
      </c>
      <c r="E3461">
        <v>80850133</v>
      </c>
      <c r="F3461" t="s">
        <v>2370</v>
      </c>
      <c r="G3461" s="3">
        <v>46889</v>
      </c>
      <c r="H3461">
        <v>36</v>
      </c>
      <c r="I3461">
        <v>65</v>
      </c>
      <c r="J3461">
        <v>7</v>
      </c>
      <c r="K3461" s="4">
        <v>6119.82</v>
      </c>
      <c r="L3461" s="4">
        <f>0</f>
        <v>0</v>
      </c>
      <c r="M3461" s="4">
        <f>999</f>
        <v>999</v>
      </c>
      <c r="N3461" t="s">
        <v>19</v>
      </c>
      <c r="O3461" t="str">
        <f t="shared" si="540"/>
        <v>Low</v>
      </c>
      <c r="P3461" t="str">
        <f t="shared" si="541"/>
        <v>High</v>
      </c>
      <c r="Q3461" t="str">
        <f t="shared" si="542"/>
        <v>High</v>
      </c>
      <c r="R3461" t="s">
        <v>3317</v>
      </c>
      <c r="S3461" s="4">
        <f t="shared" ca="1" si="543"/>
        <v>692</v>
      </c>
      <c r="T3461">
        <f t="shared" si="544"/>
        <v>1</v>
      </c>
      <c r="U3461">
        <f t="shared" si="545"/>
        <v>3</v>
      </c>
      <c r="V3461">
        <f t="shared" si="546"/>
        <v>3</v>
      </c>
      <c r="W3461">
        <f t="shared" si="547"/>
        <v>1</v>
      </c>
      <c r="X3461">
        <f t="shared" si="548"/>
        <v>2</v>
      </c>
      <c r="Y3461" t="str">
        <f t="shared" si="549"/>
        <v>Monitor</v>
      </c>
    </row>
    <row r="3462" spans="1:25" x14ac:dyDescent="0.35">
      <c r="A3462" t="s">
        <v>20</v>
      </c>
      <c r="B3462" t="s">
        <v>21</v>
      </c>
      <c r="C3462" t="s">
        <v>795</v>
      </c>
      <c r="D3462" t="s">
        <v>796</v>
      </c>
      <c r="E3462">
        <v>80895605</v>
      </c>
      <c r="F3462" t="s">
        <v>2371</v>
      </c>
      <c r="G3462" s="3">
        <v>47190</v>
      </c>
      <c r="H3462">
        <v>36</v>
      </c>
      <c r="I3462">
        <v>92</v>
      </c>
      <c r="J3462">
        <v>3</v>
      </c>
      <c r="K3462" s="4">
        <v>168</v>
      </c>
      <c r="L3462" s="4">
        <v>4458</v>
      </c>
      <c r="M3462" s="4">
        <v>6.7294751009421266E-4</v>
      </c>
      <c r="N3462" t="s">
        <v>25</v>
      </c>
      <c r="O3462" t="str">
        <f t="shared" si="540"/>
        <v>Low</v>
      </c>
      <c r="P3462" t="str">
        <f t="shared" si="541"/>
        <v>Low</v>
      </c>
      <c r="Q3462" t="str">
        <f t="shared" si="542"/>
        <v>Low</v>
      </c>
      <c r="R3462" t="s">
        <v>3317</v>
      </c>
      <c r="S3462" s="4">
        <f t="shared" ca="1" si="543"/>
        <v>993</v>
      </c>
      <c r="T3462">
        <f t="shared" si="544"/>
        <v>1</v>
      </c>
      <c r="U3462">
        <f t="shared" si="545"/>
        <v>1</v>
      </c>
      <c r="V3462">
        <f t="shared" si="546"/>
        <v>1</v>
      </c>
      <c r="W3462">
        <f t="shared" si="547"/>
        <v>1</v>
      </c>
      <c r="X3462">
        <f t="shared" si="548"/>
        <v>0.99999999999999989</v>
      </c>
      <c r="Y3462" t="str">
        <f t="shared" si="549"/>
        <v>Healthy</v>
      </c>
    </row>
    <row r="3463" spans="1:25" x14ac:dyDescent="0.35">
      <c r="A3463" t="s">
        <v>20</v>
      </c>
      <c r="B3463" t="s">
        <v>21</v>
      </c>
      <c r="C3463" t="s">
        <v>214</v>
      </c>
      <c r="D3463" t="s">
        <v>809</v>
      </c>
      <c r="E3463">
        <v>80895606</v>
      </c>
      <c r="F3463" t="s">
        <v>2372</v>
      </c>
      <c r="G3463" s="3">
        <v>47102</v>
      </c>
      <c r="H3463">
        <v>36</v>
      </c>
      <c r="I3463">
        <v>84</v>
      </c>
      <c r="J3463">
        <v>45</v>
      </c>
      <c r="K3463" s="4">
        <v>4680</v>
      </c>
      <c r="L3463" s="4">
        <v>21</v>
      </c>
      <c r="M3463" s="4">
        <v>2.1428571428571428</v>
      </c>
      <c r="N3463" t="s">
        <v>25</v>
      </c>
      <c r="O3463" t="str">
        <f t="shared" si="540"/>
        <v>Low</v>
      </c>
      <c r="P3463" t="str">
        <f t="shared" si="541"/>
        <v>Low</v>
      </c>
      <c r="Q3463" t="str">
        <f t="shared" si="542"/>
        <v>Low</v>
      </c>
      <c r="R3463" t="s">
        <v>3317</v>
      </c>
      <c r="S3463" s="4">
        <f t="shared" ca="1" si="543"/>
        <v>905</v>
      </c>
      <c r="T3463">
        <f t="shared" si="544"/>
        <v>1</v>
      </c>
      <c r="U3463">
        <f t="shared" si="545"/>
        <v>1</v>
      </c>
      <c r="V3463">
        <f t="shared" si="546"/>
        <v>1</v>
      </c>
      <c r="W3463">
        <f t="shared" si="547"/>
        <v>1</v>
      </c>
      <c r="X3463">
        <f t="shared" si="548"/>
        <v>0.99999999999999989</v>
      </c>
      <c r="Y3463" t="str">
        <f t="shared" si="549"/>
        <v>Healthy</v>
      </c>
    </row>
    <row r="3464" spans="1:25" x14ac:dyDescent="0.35">
      <c r="A3464" t="s">
        <v>179</v>
      </c>
      <c r="B3464" t="s">
        <v>195</v>
      </c>
      <c r="C3464" t="s">
        <v>199</v>
      </c>
      <c r="D3464" t="s">
        <v>896</v>
      </c>
      <c r="E3464">
        <v>80831143</v>
      </c>
      <c r="F3464" t="s">
        <v>2373</v>
      </c>
      <c r="G3464" s="3">
        <v>46614</v>
      </c>
      <c r="H3464">
        <v>16</v>
      </c>
      <c r="I3464">
        <v>88</v>
      </c>
      <c r="J3464">
        <v>290</v>
      </c>
      <c r="K3464" s="4">
        <v>354432.2</v>
      </c>
      <c r="L3464" s="4">
        <v>3.7142857142857144</v>
      </c>
      <c r="M3464" s="4">
        <v>78.07692307692308</v>
      </c>
      <c r="N3464" t="s">
        <v>19</v>
      </c>
      <c r="O3464" t="str">
        <f t="shared" si="540"/>
        <v>Low</v>
      </c>
      <c r="P3464" t="str">
        <f t="shared" si="541"/>
        <v>High</v>
      </c>
      <c r="Q3464" t="str">
        <f t="shared" si="542"/>
        <v>High</v>
      </c>
      <c r="R3464" t="s">
        <v>3309</v>
      </c>
      <c r="S3464" s="4">
        <f t="shared" ca="1" si="543"/>
        <v>417</v>
      </c>
      <c r="T3464">
        <f t="shared" si="544"/>
        <v>1</v>
      </c>
      <c r="U3464">
        <f t="shared" si="545"/>
        <v>3</v>
      </c>
      <c r="V3464">
        <f t="shared" si="546"/>
        <v>3</v>
      </c>
      <c r="W3464">
        <f t="shared" si="547"/>
        <v>3</v>
      </c>
      <c r="X3464">
        <f t="shared" si="548"/>
        <v>2.2000000000000002</v>
      </c>
      <c r="Y3464" t="str">
        <f t="shared" si="549"/>
        <v>High Priority</v>
      </c>
    </row>
    <row r="3465" spans="1:25" x14ac:dyDescent="0.35">
      <c r="A3465" t="s">
        <v>20</v>
      </c>
      <c r="B3465" t="s">
        <v>21</v>
      </c>
      <c r="C3465" t="s">
        <v>227</v>
      </c>
      <c r="D3465" t="s">
        <v>2374</v>
      </c>
      <c r="E3465">
        <v>80895607</v>
      </c>
      <c r="F3465" t="s">
        <v>2375</v>
      </c>
      <c r="G3465" s="3">
        <v>47040</v>
      </c>
      <c r="H3465">
        <v>36</v>
      </c>
      <c r="I3465">
        <v>79</v>
      </c>
      <c r="J3465">
        <v>10</v>
      </c>
      <c r="K3465" s="4">
        <v>704</v>
      </c>
      <c r="L3465" s="4">
        <v>801.28571428571433</v>
      </c>
      <c r="M3465" s="4">
        <v>1.2479942948832232E-2</v>
      </c>
      <c r="N3465" t="s">
        <v>25</v>
      </c>
      <c r="O3465" t="str">
        <f t="shared" si="540"/>
        <v>Low</v>
      </c>
      <c r="P3465" t="str">
        <f t="shared" si="541"/>
        <v>Low</v>
      </c>
      <c r="Q3465" t="str">
        <f t="shared" si="542"/>
        <v>Low</v>
      </c>
      <c r="R3465" t="s">
        <v>3317</v>
      </c>
      <c r="S3465" s="4">
        <f t="shared" ca="1" si="543"/>
        <v>843</v>
      </c>
      <c r="T3465">
        <f t="shared" si="544"/>
        <v>1</v>
      </c>
      <c r="U3465">
        <f t="shared" si="545"/>
        <v>1</v>
      </c>
      <c r="V3465">
        <f t="shared" si="546"/>
        <v>1</v>
      </c>
      <c r="W3465">
        <f t="shared" si="547"/>
        <v>1</v>
      </c>
      <c r="X3465">
        <f t="shared" si="548"/>
        <v>0.99999999999999989</v>
      </c>
      <c r="Y3465" t="str">
        <f t="shared" si="549"/>
        <v>Healthy</v>
      </c>
    </row>
    <row r="3466" spans="1:25" x14ac:dyDescent="0.35">
      <c r="A3466" t="s">
        <v>179</v>
      </c>
      <c r="B3466" t="s">
        <v>195</v>
      </c>
      <c r="C3466" t="s">
        <v>199</v>
      </c>
      <c r="D3466" t="s">
        <v>896</v>
      </c>
      <c r="E3466">
        <v>80831143</v>
      </c>
      <c r="F3466" t="s">
        <v>2373</v>
      </c>
      <c r="G3466" s="3">
        <v>46627</v>
      </c>
      <c r="H3466">
        <v>16</v>
      </c>
      <c r="I3466">
        <v>91</v>
      </c>
      <c r="J3466">
        <v>18</v>
      </c>
      <c r="K3466" s="4">
        <v>21999.24</v>
      </c>
      <c r="L3466" s="4">
        <v>3.7142857142857144</v>
      </c>
      <c r="M3466" s="4">
        <v>4.8461538461538458</v>
      </c>
      <c r="N3466" t="s">
        <v>25</v>
      </c>
      <c r="O3466" t="str">
        <f t="shared" si="540"/>
        <v>Low</v>
      </c>
      <c r="P3466" t="str">
        <f t="shared" si="541"/>
        <v>Medium</v>
      </c>
      <c r="Q3466" t="str">
        <f t="shared" si="542"/>
        <v>High</v>
      </c>
      <c r="R3466" t="s">
        <v>3317</v>
      </c>
      <c r="S3466" s="4">
        <f t="shared" ca="1" si="543"/>
        <v>430</v>
      </c>
      <c r="T3466">
        <f t="shared" si="544"/>
        <v>1</v>
      </c>
      <c r="U3466">
        <f t="shared" si="545"/>
        <v>2</v>
      </c>
      <c r="V3466">
        <f t="shared" si="546"/>
        <v>3</v>
      </c>
      <c r="W3466">
        <f t="shared" si="547"/>
        <v>1</v>
      </c>
      <c r="X3466">
        <f t="shared" si="548"/>
        <v>1.7000000000000002</v>
      </c>
      <c r="Y3466" t="str">
        <f t="shared" si="549"/>
        <v>Monitor</v>
      </c>
    </row>
    <row r="3467" spans="1:25" x14ac:dyDescent="0.35">
      <c r="A3467" t="s">
        <v>20</v>
      </c>
      <c r="B3467" t="s">
        <v>21</v>
      </c>
      <c r="C3467" t="s">
        <v>227</v>
      </c>
      <c r="D3467" t="s">
        <v>2374</v>
      </c>
      <c r="E3467">
        <v>80895607</v>
      </c>
      <c r="F3467" t="s">
        <v>2375</v>
      </c>
      <c r="G3467" s="3">
        <v>47090</v>
      </c>
      <c r="H3467">
        <v>36</v>
      </c>
      <c r="I3467">
        <v>83</v>
      </c>
      <c r="J3467">
        <v>27</v>
      </c>
      <c r="K3467" s="4">
        <v>1900.8</v>
      </c>
      <c r="L3467" s="4">
        <v>801.28571428571433</v>
      </c>
      <c r="M3467" s="4">
        <v>3.3695845961847028E-2</v>
      </c>
      <c r="N3467" t="s">
        <v>25</v>
      </c>
      <c r="O3467" t="str">
        <f t="shared" si="540"/>
        <v>Low</v>
      </c>
      <c r="P3467" t="str">
        <f t="shared" si="541"/>
        <v>Low</v>
      </c>
      <c r="Q3467" t="str">
        <f t="shared" si="542"/>
        <v>Low</v>
      </c>
      <c r="R3467" t="s">
        <v>3317</v>
      </c>
      <c r="S3467" s="4">
        <f t="shared" ca="1" si="543"/>
        <v>893</v>
      </c>
      <c r="T3467">
        <f t="shared" si="544"/>
        <v>1</v>
      </c>
      <c r="U3467">
        <f t="shared" si="545"/>
        <v>1</v>
      </c>
      <c r="V3467">
        <f t="shared" si="546"/>
        <v>1</v>
      </c>
      <c r="W3467">
        <f t="shared" si="547"/>
        <v>1</v>
      </c>
      <c r="X3467">
        <f t="shared" si="548"/>
        <v>0.99999999999999989</v>
      </c>
      <c r="Y3467" t="str">
        <f t="shared" si="549"/>
        <v>Healthy</v>
      </c>
    </row>
    <row r="3468" spans="1:25" x14ac:dyDescent="0.35">
      <c r="A3468" t="s">
        <v>179</v>
      </c>
      <c r="B3468" t="s">
        <v>180</v>
      </c>
      <c r="C3468" t="s">
        <v>181</v>
      </c>
      <c r="D3468" t="s">
        <v>1094</v>
      </c>
      <c r="E3468">
        <v>80850093</v>
      </c>
      <c r="F3468" t="s">
        <v>2376</v>
      </c>
      <c r="G3468" s="3">
        <v>46228</v>
      </c>
      <c r="H3468">
        <v>16</v>
      </c>
      <c r="I3468">
        <v>8</v>
      </c>
      <c r="J3468">
        <v>11</v>
      </c>
      <c r="K3468" s="4">
        <v>11332.09</v>
      </c>
      <c r="L3468" s="4">
        <v>11.285714285714286</v>
      </c>
      <c r="M3468" s="4">
        <v>0.97468354430379744</v>
      </c>
      <c r="N3468" t="s">
        <v>25</v>
      </c>
      <c r="O3468" t="str">
        <f t="shared" si="540"/>
        <v>High</v>
      </c>
      <c r="P3468" t="str">
        <f t="shared" si="541"/>
        <v>Low</v>
      </c>
      <c r="Q3468" t="str">
        <f t="shared" si="542"/>
        <v>Medium</v>
      </c>
      <c r="R3468" t="s">
        <v>3317</v>
      </c>
      <c r="S3468" s="4">
        <f t="shared" ca="1" si="543"/>
        <v>31</v>
      </c>
      <c r="T3468">
        <f t="shared" si="544"/>
        <v>3</v>
      </c>
      <c r="U3468">
        <f t="shared" si="545"/>
        <v>1</v>
      </c>
      <c r="V3468">
        <f t="shared" si="546"/>
        <v>2</v>
      </c>
      <c r="W3468">
        <f t="shared" si="547"/>
        <v>1</v>
      </c>
      <c r="X3468">
        <f t="shared" si="548"/>
        <v>2.0000000000000004</v>
      </c>
      <c r="Y3468" t="str">
        <f t="shared" si="549"/>
        <v>Monitor</v>
      </c>
    </row>
    <row r="3469" spans="1:25" x14ac:dyDescent="0.35">
      <c r="A3469" t="s">
        <v>179</v>
      </c>
      <c r="B3469" t="s">
        <v>180</v>
      </c>
      <c r="C3469" t="s">
        <v>181</v>
      </c>
      <c r="D3469" t="s">
        <v>1094</v>
      </c>
      <c r="E3469">
        <v>80850093</v>
      </c>
      <c r="F3469" t="s">
        <v>2376</v>
      </c>
      <c r="G3469" s="3">
        <v>46222</v>
      </c>
      <c r="H3469">
        <v>16</v>
      </c>
      <c r="I3469">
        <v>6</v>
      </c>
      <c r="J3469">
        <v>1</v>
      </c>
      <c r="K3469" s="4">
        <v>1030.19</v>
      </c>
      <c r="L3469" s="4">
        <v>11.285714285714286</v>
      </c>
      <c r="M3469" s="4">
        <v>8.8607594936708861E-2</v>
      </c>
      <c r="N3469" t="s">
        <v>25</v>
      </c>
      <c r="O3469" t="str">
        <f t="shared" si="540"/>
        <v>High</v>
      </c>
      <c r="P3469" t="str">
        <f t="shared" si="541"/>
        <v>Low</v>
      </c>
      <c r="Q3469" t="str">
        <f t="shared" si="542"/>
        <v>Medium</v>
      </c>
      <c r="R3469" t="s">
        <v>3317</v>
      </c>
      <c r="S3469" s="4">
        <f t="shared" ca="1" si="543"/>
        <v>25</v>
      </c>
      <c r="T3469">
        <f t="shared" si="544"/>
        <v>3</v>
      </c>
      <c r="U3469">
        <f t="shared" si="545"/>
        <v>1</v>
      </c>
      <c r="V3469">
        <f t="shared" si="546"/>
        <v>2</v>
      </c>
      <c r="W3469">
        <f t="shared" si="547"/>
        <v>1</v>
      </c>
      <c r="X3469">
        <f t="shared" si="548"/>
        <v>2.0000000000000004</v>
      </c>
      <c r="Y3469" t="str">
        <f t="shared" si="549"/>
        <v>Monitor</v>
      </c>
    </row>
    <row r="3470" spans="1:25" x14ac:dyDescent="0.35">
      <c r="A3470" t="s">
        <v>71</v>
      </c>
      <c r="B3470" t="s">
        <v>72</v>
      </c>
      <c r="C3470" t="s">
        <v>310</v>
      </c>
      <c r="D3470" t="s">
        <v>2377</v>
      </c>
      <c r="E3470">
        <v>80895498</v>
      </c>
      <c r="F3470" t="s">
        <v>2378</v>
      </c>
      <c r="G3470" s="3">
        <v>47206</v>
      </c>
      <c r="H3470">
        <v>36</v>
      </c>
      <c r="I3470">
        <v>94</v>
      </c>
      <c r="J3470">
        <v>1</v>
      </c>
      <c r="K3470" s="4">
        <v>1752.99</v>
      </c>
      <c r="L3470" s="4">
        <v>195.42857142857142</v>
      </c>
      <c r="M3470" s="4">
        <v>5.116959064327486E-3</v>
      </c>
      <c r="N3470" t="s">
        <v>25</v>
      </c>
      <c r="O3470" t="str">
        <f t="shared" si="540"/>
        <v>Low</v>
      </c>
      <c r="P3470" t="str">
        <f t="shared" si="541"/>
        <v>Low</v>
      </c>
      <c r="Q3470" t="str">
        <f t="shared" si="542"/>
        <v>Low</v>
      </c>
      <c r="R3470" t="s">
        <v>3317</v>
      </c>
      <c r="S3470" s="4">
        <f t="shared" ca="1" si="543"/>
        <v>1009</v>
      </c>
      <c r="T3470">
        <f t="shared" si="544"/>
        <v>1</v>
      </c>
      <c r="U3470">
        <f t="shared" si="545"/>
        <v>1</v>
      </c>
      <c r="V3470">
        <f t="shared" si="546"/>
        <v>1</v>
      </c>
      <c r="W3470">
        <f t="shared" si="547"/>
        <v>1</v>
      </c>
      <c r="X3470">
        <f t="shared" si="548"/>
        <v>0.99999999999999989</v>
      </c>
      <c r="Y3470" t="str">
        <f t="shared" si="549"/>
        <v>Healthy</v>
      </c>
    </row>
    <row r="3471" spans="1:25" x14ac:dyDescent="0.35">
      <c r="A3471" t="s">
        <v>71</v>
      </c>
      <c r="B3471" t="s">
        <v>72</v>
      </c>
      <c r="C3471" t="s">
        <v>310</v>
      </c>
      <c r="D3471" t="s">
        <v>2377</v>
      </c>
      <c r="E3471">
        <v>80895498</v>
      </c>
      <c r="F3471" t="s">
        <v>2378</v>
      </c>
      <c r="G3471" s="3">
        <v>47260</v>
      </c>
      <c r="H3471">
        <v>36</v>
      </c>
      <c r="I3471">
        <v>99</v>
      </c>
      <c r="J3471">
        <v>20</v>
      </c>
      <c r="K3471" s="4">
        <v>35059.800000000003</v>
      </c>
      <c r="L3471" s="4">
        <v>195.42857142857142</v>
      </c>
      <c r="M3471" s="4">
        <v>0.10233918128654972</v>
      </c>
      <c r="N3471" t="s">
        <v>25</v>
      </c>
      <c r="O3471" t="str">
        <f t="shared" si="540"/>
        <v>Low</v>
      </c>
      <c r="P3471" t="str">
        <f t="shared" si="541"/>
        <v>Low</v>
      </c>
      <c r="Q3471" t="str">
        <f t="shared" si="542"/>
        <v>Low</v>
      </c>
      <c r="R3471" t="s">
        <v>3317</v>
      </c>
      <c r="S3471" s="4">
        <f t="shared" ca="1" si="543"/>
        <v>1063</v>
      </c>
      <c r="T3471">
        <f t="shared" si="544"/>
        <v>1</v>
      </c>
      <c r="U3471">
        <f t="shared" si="545"/>
        <v>1</v>
      </c>
      <c r="V3471">
        <f t="shared" si="546"/>
        <v>1</v>
      </c>
      <c r="W3471">
        <f t="shared" si="547"/>
        <v>1</v>
      </c>
      <c r="X3471">
        <f t="shared" si="548"/>
        <v>0.99999999999999989</v>
      </c>
      <c r="Y3471" t="str">
        <f t="shared" si="549"/>
        <v>Healthy</v>
      </c>
    </row>
    <row r="3472" spans="1:25" x14ac:dyDescent="0.35">
      <c r="A3472" t="s">
        <v>71</v>
      </c>
      <c r="B3472" t="s">
        <v>72</v>
      </c>
      <c r="C3472" t="s">
        <v>310</v>
      </c>
      <c r="D3472" t="s">
        <v>2377</v>
      </c>
      <c r="E3472">
        <v>80895498</v>
      </c>
      <c r="F3472" t="s">
        <v>2378</v>
      </c>
      <c r="G3472" s="3">
        <v>47217</v>
      </c>
      <c r="H3472">
        <v>36</v>
      </c>
      <c r="I3472">
        <v>95</v>
      </c>
      <c r="J3472">
        <v>22</v>
      </c>
      <c r="K3472" s="4">
        <v>38565.78</v>
      </c>
      <c r="L3472" s="4">
        <v>195.42857142857142</v>
      </c>
      <c r="M3472" s="4">
        <v>0.11257309941520469</v>
      </c>
      <c r="N3472" t="s">
        <v>25</v>
      </c>
      <c r="O3472" t="str">
        <f t="shared" si="540"/>
        <v>Low</v>
      </c>
      <c r="P3472" t="str">
        <f t="shared" si="541"/>
        <v>Low</v>
      </c>
      <c r="Q3472" t="str">
        <f t="shared" si="542"/>
        <v>Low</v>
      </c>
      <c r="R3472" t="s">
        <v>3317</v>
      </c>
      <c r="S3472" s="4">
        <f t="shared" ca="1" si="543"/>
        <v>1020</v>
      </c>
      <c r="T3472">
        <f t="shared" si="544"/>
        <v>1</v>
      </c>
      <c r="U3472">
        <f t="shared" si="545"/>
        <v>1</v>
      </c>
      <c r="V3472">
        <f t="shared" si="546"/>
        <v>1</v>
      </c>
      <c r="W3472">
        <f t="shared" si="547"/>
        <v>1</v>
      </c>
      <c r="X3472">
        <f t="shared" si="548"/>
        <v>0.99999999999999989</v>
      </c>
      <c r="Y3472" t="str">
        <f t="shared" si="549"/>
        <v>Healthy</v>
      </c>
    </row>
    <row r="3473" spans="1:25" x14ac:dyDescent="0.35">
      <c r="A3473" t="s">
        <v>71</v>
      </c>
      <c r="B3473" t="s">
        <v>72</v>
      </c>
      <c r="C3473" t="s">
        <v>310</v>
      </c>
      <c r="D3473" t="s">
        <v>2377</v>
      </c>
      <c r="E3473">
        <v>80895498</v>
      </c>
      <c r="F3473" t="s">
        <v>2378</v>
      </c>
      <c r="G3473" s="3">
        <v>47248</v>
      </c>
      <c r="H3473">
        <v>36</v>
      </c>
      <c r="I3473">
        <v>98</v>
      </c>
      <c r="J3473">
        <v>29</v>
      </c>
      <c r="K3473" s="4">
        <v>50836.71</v>
      </c>
      <c r="L3473" s="4">
        <v>195.42857142857142</v>
      </c>
      <c r="M3473" s="4">
        <v>0.14839181286549707</v>
      </c>
      <c r="N3473" t="s">
        <v>25</v>
      </c>
      <c r="O3473" t="str">
        <f t="shared" si="540"/>
        <v>Low</v>
      </c>
      <c r="P3473" t="str">
        <f t="shared" si="541"/>
        <v>Low</v>
      </c>
      <c r="Q3473" t="str">
        <f t="shared" si="542"/>
        <v>Low</v>
      </c>
      <c r="R3473" t="s">
        <v>3317</v>
      </c>
      <c r="S3473" s="4">
        <f t="shared" ca="1" si="543"/>
        <v>1051</v>
      </c>
      <c r="T3473">
        <f t="shared" si="544"/>
        <v>1</v>
      </c>
      <c r="U3473">
        <f t="shared" si="545"/>
        <v>1</v>
      </c>
      <c r="V3473">
        <f t="shared" si="546"/>
        <v>1</v>
      </c>
      <c r="W3473">
        <f t="shared" si="547"/>
        <v>1</v>
      </c>
      <c r="X3473">
        <f t="shared" si="548"/>
        <v>0.99999999999999989</v>
      </c>
      <c r="Y3473" t="str">
        <f t="shared" si="549"/>
        <v>Healthy</v>
      </c>
    </row>
    <row r="3474" spans="1:25" x14ac:dyDescent="0.35">
      <c r="A3474" t="s">
        <v>20</v>
      </c>
      <c r="B3474" t="s">
        <v>21</v>
      </c>
      <c r="C3474" t="s">
        <v>1155</v>
      </c>
      <c r="D3474" t="s">
        <v>2379</v>
      </c>
      <c r="E3474">
        <v>80877001</v>
      </c>
      <c r="F3474" t="s">
        <v>2380</v>
      </c>
      <c r="G3474" s="3">
        <v>48295</v>
      </c>
      <c r="H3474">
        <v>79</v>
      </c>
      <c r="I3474">
        <v>89</v>
      </c>
      <c r="J3474">
        <v>26</v>
      </c>
      <c r="K3474" s="4">
        <v>16618.68</v>
      </c>
      <c r="L3474" s="4">
        <v>244.71428571428572</v>
      </c>
      <c r="M3474" s="4">
        <v>0.10624635143023935</v>
      </c>
      <c r="N3474" t="s">
        <v>25</v>
      </c>
      <c r="O3474" t="str">
        <f t="shared" si="540"/>
        <v>Low</v>
      </c>
      <c r="P3474" t="str">
        <f t="shared" si="541"/>
        <v>Low</v>
      </c>
      <c r="Q3474" t="str">
        <f t="shared" si="542"/>
        <v>Low</v>
      </c>
      <c r="R3474" t="s">
        <v>3317</v>
      </c>
      <c r="S3474" s="4">
        <f t="shared" ca="1" si="543"/>
        <v>2098</v>
      </c>
      <c r="T3474">
        <f t="shared" si="544"/>
        <v>1</v>
      </c>
      <c r="U3474">
        <f t="shared" si="545"/>
        <v>1</v>
      </c>
      <c r="V3474">
        <f t="shared" si="546"/>
        <v>1</v>
      </c>
      <c r="W3474">
        <f t="shared" si="547"/>
        <v>1</v>
      </c>
      <c r="X3474">
        <f t="shared" si="548"/>
        <v>0.99999999999999989</v>
      </c>
      <c r="Y3474" t="str">
        <f t="shared" si="549"/>
        <v>Healthy</v>
      </c>
    </row>
    <row r="3475" spans="1:25" x14ac:dyDescent="0.35">
      <c r="A3475" t="s">
        <v>20</v>
      </c>
      <c r="B3475" t="s">
        <v>21</v>
      </c>
      <c r="C3475" t="s">
        <v>1155</v>
      </c>
      <c r="D3475" t="s">
        <v>2379</v>
      </c>
      <c r="E3475">
        <v>80877001</v>
      </c>
      <c r="F3475" t="s">
        <v>2380</v>
      </c>
      <c r="G3475" s="3">
        <v>48324</v>
      </c>
      <c r="H3475">
        <v>79</v>
      </c>
      <c r="I3475">
        <v>90</v>
      </c>
      <c r="J3475">
        <v>23</v>
      </c>
      <c r="K3475" s="4">
        <v>14701.14</v>
      </c>
      <c r="L3475" s="4">
        <v>244.71428571428572</v>
      </c>
      <c r="M3475" s="4">
        <v>9.3987157034442492E-2</v>
      </c>
      <c r="N3475" t="s">
        <v>25</v>
      </c>
      <c r="O3475" t="str">
        <f t="shared" si="540"/>
        <v>Low</v>
      </c>
      <c r="P3475" t="str">
        <f t="shared" si="541"/>
        <v>Low</v>
      </c>
      <c r="Q3475" t="str">
        <f t="shared" si="542"/>
        <v>Low</v>
      </c>
      <c r="R3475" t="s">
        <v>3317</v>
      </c>
      <c r="S3475" s="4">
        <f t="shared" ca="1" si="543"/>
        <v>2127</v>
      </c>
      <c r="T3475">
        <f t="shared" si="544"/>
        <v>1</v>
      </c>
      <c r="U3475">
        <f t="shared" si="545"/>
        <v>1</v>
      </c>
      <c r="V3475">
        <f t="shared" si="546"/>
        <v>1</v>
      </c>
      <c r="W3475">
        <f t="shared" si="547"/>
        <v>1</v>
      </c>
      <c r="X3475">
        <f t="shared" si="548"/>
        <v>0.99999999999999989</v>
      </c>
      <c r="Y3475" t="str">
        <f t="shared" si="549"/>
        <v>Healthy</v>
      </c>
    </row>
    <row r="3476" spans="1:25" x14ac:dyDescent="0.35">
      <c r="A3476" t="s">
        <v>20</v>
      </c>
      <c r="B3476" t="s">
        <v>21</v>
      </c>
      <c r="C3476" t="s">
        <v>1155</v>
      </c>
      <c r="D3476" t="s">
        <v>2379</v>
      </c>
      <c r="E3476">
        <v>80877001</v>
      </c>
      <c r="F3476" t="s">
        <v>2380</v>
      </c>
      <c r="G3476" s="3">
        <v>48502</v>
      </c>
      <c r="H3476">
        <v>79</v>
      </c>
      <c r="I3476">
        <v>97</v>
      </c>
      <c r="J3476">
        <v>24</v>
      </c>
      <c r="K3476" s="4">
        <v>15340.32</v>
      </c>
      <c r="L3476" s="4">
        <v>244.71428571428572</v>
      </c>
      <c r="M3476" s="4">
        <v>9.8073555166374782E-2</v>
      </c>
      <c r="N3476" t="s">
        <v>25</v>
      </c>
      <c r="O3476" t="str">
        <f t="shared" si="540"/>
        <v>Low</v>
      </c>
      <c r="P3476" t="str">
        <f t="shared" si="541"/>
        <v>Low</v>
      </c>
      <c r="Q3476" t="str">
        <f t="shared" si="542"/>
        <v>Low</v>
      </c>
      <c r="R3476" t="s">
        <v>3317</v>
      </c>
      <c r="S3476" s="4">
        <f t="shared" ca="1" si="543"/>
        <v>2305</v>
      </c>
      <c r="T3476">
        <f t="shared" si="544"/>
        <v>1</v>
      </c>
      <c r="U3476">
        <f t="shared" si="545"/>
        <v>1</v>
      </c>
      <c r="V3476">
        <f t="shared" si="546"/>
        <v>1</v>
      </c>
      <c r="W3476">
        <f t="shared" si="547"/>
        <v>1</v>
      </c>
      <c r="X3476">
        <f t="shared" si="548"/>
        <v>0.99999999999999989</v>
      </c>
      <c r="Y3476" t="str">
        <f t="shared" si="549"/>
        <v>Healthy</v>
      </c>
    </row>
    <row r="3477" spans="1:25" x14ac:dyDescent="0.35">
      <c r="A3477" t="s">
        <v>20</v>
      </c>
      <c r="B3477" t="s">
        <v>21</v>
      </c>
      <c r="C3477" t="s">
        <v>1155</v>
      </c>
      <c r="D3477" t="s">
        <v>2379</v>
      </c>
      <c r="E3477">
        <v>80877001</v>
      </c>
      <c r="F3477" t="s">
        <v>2380</v>
      </c>
      <c r="G3477" s="3">
        <v>48428</v>
      </c>
      <c r="H3477">
        <v>79</v>
      </c>
      <c r="I3477">
        <v>94</v>
      </c>
      <c r="J3477">
        <v>16</v>
      </c>
      <c r="K3477" s="4">
        <v>10226.879999999999</v>
      </c>
      <c r="L3477" s="4">
        <v>244.71428571428572</v>
      </c>
      <c r="M3477" s="4">
        <v>6.5382370110916521E-2</v>
      </c>
      <c r="N3477" t="s">
        <v>25</v>
      </c>
      <c r="O3477" t="str">
        <f t="shared" si="540"/>
        <v>Low</v>
      </c>
      <c r="P3477" t="str">
        <f t="shared" si="541"/>
        <v>Low</v>
      </c>
      <c r="Q3477" t="str">
        <f t="shared" si="542"/>
        <v>Low</v>
      </c>
      <c r="R3477" t="s">
        <v>3317</v>
      </c>
      <c r="S3477" s="4">
        <f t="shared" ca="1" si="543"/>
        <v>2231</v>
      </c>
      <c r="T3477">
        <f t="shared" si="544"/>
        <v>1</v>
      </c>
      <c r="U3477">
        <f t="shared" si="545"/>
        <v>1</v>
      </c>
      <c r="V3477">
        <f t="shared" si="546"/>
        <v>1</v>
      </c>
      <c r="W3477">
        <f t="shared" si="547"/>
        <v>1</v>
      </c>
      <c r="X3477">
        <f t="shared" si="548"/>
        <v>0.99999999999999989</v>
      </c>
      <c r="Y3477" t="str">
        <f t="shared" si="549"/>
        <v>Healthy</v>
      </c>
    </row>
    <row r="3478" spans="1:25" x14ac:dyDescent="0.35">
      <c r="A3478" t="s">
        <v>20</v>
      </c>
      <c r="B3478" t="s">
        <v>21</v>
      </c>
      <c r="C3478" t="s">
        <v>1155</v>
      </c>
      <c r="D3478" t="s">
        <v>2379</v>
      </c>
      <c r="E3478">
        <v>80877001</v>
      </c>
      <c r="F3478" t="s">
        <v>2380</v>
      </c>
      <c r="G3478" s="3">
        <v>48427</v>
      </c>
      <c r="H3478">
        <v>79</v>
      </c>
      <c r="I3478">
        <v>94</v>
      </c>
      <c r="J3478">
        <v>24</v>
      </c>
      <c r="K3478" s="4">
        <v>15340.32</v>
      </c>
      <c r="L3478" s="4">
        <v>244.71428571428572</v>
      </c>
      <c r="M3478" s="4">
        <v>9.8073555166374782E-2</v>
      </c>
      <c r="N3478" t="s">
        <v>25</v>
      </c>
      <c r="O3478" t="str">
        <f t="shared" si="540"/>
        <v>Low</v>
      </c>
      <c r="P3478" t="str">
        <f t="shared" si="541"/>
        <v>Low</v>
      </c>
      <c r="Q3478" t="str">
        <f t="shared" si="542"/>
        <v>Low</v>
      </c>
      <c r="R3478" t="s">
        <v>3317</v>
      </c>
      <c r="S3478" s="4">
        <f t="shared" ca="1" si="543"/>
        <v>2230</v>
      </c>
      <c r="T3478">
        <f t="shared" si="544"/>
        <v>1</v>
      </c>
      <c r="U3478">
        <f t="shared" si="545"/>
        <v>1</v>
      </c>
      <c r="V3478">
        <f t="shared" si="546"/>
        <v>1</v>
      </c>
      <c r="W3478">
        <f t="shared" si="547"/>
        <v>1</v>
      </c>
      <c r="X3478">
        <f t="shared" si="548"/>
        <v>0.99999999999999989</v>
      </c>
      <c r="Y3478" t="str">
        <f t="shared" si="549"/>
        <v>Healthy</v>
      </c>
    </row>
    <row r="3479" spans="1:25" x14ac:dyDescent="0.35">
      <c r="A3479" t="s">
        <v>20</v>
      </c>
      <c r="B3479" t="s">
        <v>21</v>
      </c>
      <c r="C3479" t="s">
        <v>1155</v>
      </c>
      <c r="D3479" t="s">
        <v>2379</v>
      </c>
      <c r="E3479">
        <v>80877001</v>
      </c>
      <c r="F3479" t="s">
        <v>2380</v>
      </c>
      <c r="G3479" s="3">
        <v>48349</v>
      </c>
      <c r="H3479">
        <v>79</v>
      </c>
      <c r="I3479">
        <v>91</v>
      </c>
      <c r="J3479">
        <v>24</v>
      </c>
      <c r="K3479" s="4">
        <v>15340.32</v>
      </c>
      <c r="L3479" s="4">
        <v>244.71428571428572</v>
      </c>
      <c r="M3479" s="4">
        <v>9.8073555166374782E-2</v>
      </c>
      <c r="N3479" t="s">
        <v>25</v>
      </c>
      <c r="O3479" t="str">
        <f t="shared" si="540"/>
        <v>Low</v>
      </c>
      <c r="P3479" t="str">
        <f t="shared" si="541"/>
        <v>Low</v>
      </c>
      <c r="Q3479" t="str">
        <f t="shared" si="542"/>
        <v>Low</v>
      </c>
      <c r="R3479" t="s">
        <v>3317</v>
      </c>
      <c r="S3479" s="4">
        <f t="shared" ca="1" si="543"/>
        <v>2152</v>
      </c>
      <c r="T3479">
        <f t="shared" si="544"/>
        <v>1</v>
      </c>
      <c r="U3479">
        <f t="shared" si="545"/>
        <v>1</v>
      </c>
      <c r="V3479">
        <f t="shared" si="546"/>
        <v>1</v>
      </c>
      <c r="W3479">
        <f t="shared" si="547"/>
        <v>1</v>
      </c>
      <c r="X3479">
        <f t="shared" si="548"/>
        <v>0.99999999999999989</v>
      </c>
      <c r="Y3479" t="str">
        <f t="shared" si="549"/>
        <v>Healthy</v>
      </c>
    </row>
    <row r="3480" spans="1:25" x14ac:dyDescent="0.35">
      <c r="A3480" t="s">
        <v>20</v>
      </c>
      <c r="B3480" t="s">
        <v>21</v>
      </c>
      <c r="C3480" t="s">
        <v>1155</v>
      </c>
      <c r="D3480" t="s">
        <v>2381</v>
      </c>
      <c r="E3480">
        <v>80877002</v>
      </c>
      <c r="F3480" t="s">
        <v>2382</v>
      </c>
      <c r="G3480" s="3">
        <v>48298</v>
      </c>
      <c r="H3480">
        <v>79</v>
      </c>
      <c r="I3480">
        <v>89</v>
      </c>
      <c r="J3480">
        <v>22</v>
      </c>
      <c r="K3480" s="4">
        <v>14061.96</v>
      </c>
      <c r="L3480" s="4">
        <v>171.14285714285714</v>
      </c>
      <c r="M3480" s="4">
        <v>0.1285475792988314</v>
      </c>
      <c r="N3480" t="s">
        <v>25</v>
      </c>
      <c r="O3480" t="str">
        <f t="shared" si="540"/>
        <v>Low</v>
      </c>
      <c r="P3480" t="str">
        <f t="shared" si="541"/>
        <v>Low</v>
      </c>
      <c r="Q3480" t="str">
        <f t="shared" si="542"/>
        <v>Low</v>
      </c>
      <c r="R3480" t="s">
        <v>3317</v>
      </c>
      <c r="S3480" s="4">
        <f t="shared" ca="1" si="543"/>
        <v>2101</v>
      </c>
      <c r="T3480">
        <f t="shared" si="544"/>
        <v>1</v>
      </c>
      <c r="U3480">
        <f t="shared" si="545"/>
        <v>1</v>
      </c>
      <c r="V3480">
        <f t="shared" si="546"/>
        <v>1</v>
      </c>
      <c r="W3480">
        <f t="shared" si="547"/>
        <v>1</v>
      </c>
      <c r="X3480">
        <f t="shared" si="548"/>
        <v>0.99999999999999989</v>
      </c>
      <c r="Y3480" t="str">
        <f t="shared" si="549"/>
        <v>Healthy</v>
      </c>
    </row>
    <row r="3481" spans="1:25" x14ac:dyDescent="0.35">
      <c r="A3481" t="s">
        <v>20</v>
      </c>
      <c r="B3481" t="s">
        <v>21</v>
      </c>
      <c r="C3481" t="s">
        <v>1155</v>
      </c>
      <c r="D3481" t="s">
        <v>2381</v>
      </c>
      <c r="E3481">
        <v>80877002</v>
      </c>
      <c r="F3481" t="s">
        <v>2382</v>
      </c>
      <c r="G3481" s="3">
        <v>48325</v>
      </c>
      <c r="H3481">
        <v>79</v>
      </c>
      <c r="I3481">
        <v>90</v>
      </c>
      <c r="J3481">
        <v>24</v>
      </c>
      <c r="K3481" s="4">
        <v>15340.32</v>
      </c>
      <c r="L3481" s="4">
        <v>171.14285714285714</v>
      </c>
      <c r="M3481" s="4">
        <v>0.14023372287145242</v>
      </c>
      <c r="N3481" t="s">
        <v>25</v>
      </c>
      <c r="O3481" t="str">
        <f t="shared" si="540"/>
        <v>Low</v>
      </c>
      <c r="P3481" t="str">
        <f t="shared" si="541"/>
        <v>Low</v>
      </c>
      <c r="Q3481" t="str">
        <f t="shared" si="542"/>
        <v>Low</v>
      </c>
      <c r="R3481" t="s">
        <v>3317</v>
      </c>
      <c r="S3481" s="4">
        <f t="shared" ca="1" si="543"/>
        <v>2128</v>
      </c>
      <c r="T3481">
        <f t="shared" si="544"/>
        <v>1</v>
      </c>
      <c r="U3481">
        <f t="shared" si="545"/>
        <v>1</v>
      </c>
      <c r="V3481">
        <f t="shared" si="546"/>
        <v>1</v>
      </c>
      <c r="W3481">
        <f t="shared" si="547"/>
        <v>1</v>
      </c>
      <c r="X3481">
        <f t="shared" si="548"/>
        <v>0.99999999999999989</v>
      </c>
      <c r="Y3481" t="str">
        <f t="shared" si="549"/>
        <v>Healthy</v>
      </c>
    </row>
    <row r="3482" spans="1:25" x14ac:dyDescent="0.35">
      <c r="A3482" t="s">
        <v>20</v>
      </c>
      <c r="B3482" t="s">
        <v>21</v>
      </c>
      <c r="C3482" t="s">
        <v>1155</v>
      </c>
      <c r="D3482" t="s">
        <v>2381</v>
      </c>
      <c r="E3482">
        <v>80877002</v>
      </c>
      <c r="F3482" t="s">
        <v>2382</v>
      </c>
      <c r="G3482" s="3">
        <v>48455</v>
      </c>
      <c r="H3482">
        <v>79</v>
      </c>
      <c r="I3482">
        <v>95</v>
      </c>
      <c r="J3482">
        <v>82</v>
      </c>
      <c r="K3482" s="4">
        <v>52412.76</v>
      </c>
      <c r="L3482" s="4">
        <v>171.14285714285714</v>
      </c>
      <c r="M3482" s="4">
        <v>0.47913188647746247</v>
      </c>
      <c r="N3482" t="s">
        <v>25</v>
      </c>
      <c r="O3482" t="str">
        <f t="shared" si="540"/>
        <v>Low</v>
      </c>
      <c r="P3482" t="str">
        <f t="shared" si="541"/>
        <v>Low</v>
      </c>
      <c r="Q3482" t="str">
        <f t="shared" si="542"/>
        <v>Low</v>
      </c>
      <c r="R3482" t="s">
        <v>3317</v>
      </c>
      <c r="S3482" s="4">
        <f t="shared" ca="1" si="543"/>
        <v>2258</v>
      </c>
      <c r="T3482">
        <f t="shared" si="544"/>
        <v>1</v>
      </c>
      <c r="U3482">
        <f t="shared" si="545"/>
        <v>1</v>
      </c>
      <c r="V3482">
        <f t="shared" si="546"/>
        <v>1</v>
      </c>
      <c r="W3482">
        <f t="shared" si="547"/>
        <v>1</v>
      </c>
      <c r="X3482">
        <f t="shared" si="548"/>
        <v>0.99999999999999989</v>
      </c>
      <c r="Y3482" t="str">
        <f t="shared" si="549"/>
        <v>Healthy</v>
      </c>
    </row>
    <row r="3483" spans="1:25" x14ac:dyDescent="0.35">
      <c r="A3483" t="s">
        <v>90</v>
      </c>
      <c r="B3483" t="s">
        <v>217</v>
      </c>
      <c r="C3483" t="s">
        <v>239</v>
      </c>
      <c r="D3483" t="s">
        <v>679</v>
      </c>
      <c r="E3483">
        <v>80845904</v>
      </c>
      <c r="F3483" t="s">
        <v>2383</v>
      </c>
      <c r="G3483" s="3">
        <v>46750</v>
      </c>
      <c r="H3483">
        <v>24</v>
      </c>
      <c r="I3483">
        <v>78</v>
      </c>
      <c r="J3483">
        <v>120</v>
      </c>
      <c r="K3483" s="4">
        <v>3840</v>
      </c>
      <c r="L3483" s="4">
        <v>72772.857142857145</v>
      </c>
      <c r="M3483" s="4">
        <v>1.6489664513849355E-3</v>
      </c>
      <c r="N3483" t="s">
        <v>25</v>
      </c>
      <c r="O3483" t="str">
        <f t="shared" si="540"/>
        <v>Low</v>
      </c>
      <c r="P3483" t="str">
        <f t="shared" si="541"/>
        <v>Low</v>
      </c>
      <c r="Q3483" t="str">
        <f t="shared" si="542"/>
        <v>Low</v>
      </c>
      <c r="R3483" t="s">
        <v>3317</v>
      </c>
      <c r="S3483" s="4">
        <f t="shared" ca="1" si="543"/>
        <v>553</v>
      </c>
      <c r="T3483">
        <f t="shared" si="544"/>
        <v>1</v>
      </c>
      <c r="U3483">
        <f t="shared" si="545"/>
        <v>1</v>
      </c>
      <c r="V3483">
        <f t="shared" si="546"/>
        <v>1</v>
      </c>
      <c r="W3483">
        <f t="shared" si="547"/>
        <v>1</v>
      </c>
      <c r="X3483">
        <f t="shared" si="548"/>
        <v>0.99999999999999989</v>
      </c>
      <c r="Y3483" t="str">
        <f t="shared" si="549"/>
        <v>Healthy</v>
      </c>
    </row>
    <row r="3484" spans="1:25" x14ac:dyDescent="0.35">
      <c r="A3484" t="s">
        <v>20</v>
      </c>
      <c r="B3484" t="s">
        <v>21</v>
      </c>
      <c r="C3484" t="s">
        <v>1155</v>
      </c>
      <c r="D3484" t="s">
        <v>2381</v>
      </c>
      <c r="E3484">
        <v>80877002</v>
      </c>
      <c r="F3484" t="s">
        <v>2382</v>
      </c>
      <c r="G3484" s="3">
        <v>48428</v>
      </c>
      <c r="H3484">
        <v>79</v>
      </c>
      <c r="I3484">
        <v>94</v>
      </c>
      <c r="J3484">
        <v>37</v>
      </c>
      <c r="K3484" s="4">
        <v>23649.66</v>
      </c>
      <c r="L3484" s="4">
        <v>171.14285714285714</v>
      </c>
      <c r="M3484" s="4">
        <v>0.21619365609348914</v>
      </c>
      <c r="N3484" t="s">
        <v>25</v>
      </c>
      <c r="O3484" t="str">
        <f t="shared" si="540"/>
        <v>Low</v>
      </c>
      <c r="P3484" t="str">
        <f t="shared" si="541"/>
        <v>Low</v>
      </c>
      <c r="Q3484" t="str">
        <f t="shared" si="542"/>
        <v>Low</v>
      </c>
      <c r="R3484" t="s">
        <v>3317</v>
      </c>
      <c r="S3484" s="4">
        <f t="shared" ca="1" si="543"/>
        <v>2231</v>
      </c>
      <c r="T3484">
        <f t="shared" si="544"/>
        <v>1</v>
      </c>
      <c r="U3484">
        <f t="shared" si="545"/>
        <v>1</v>
      </c>
      <c r="V3484">
        <f t="shared" si="546"/>
        <v>1</v>
      </c>
      <c r="W3484">
        <f t="shared" si="547"/>
        <v>1</v>
      </c>
      <c r="X3484">
        <f t="shared" si="548"/>
        <v>0.99999999999999989</v>
      </c>
      <c r="Y3484" t="str">
        <f t="shared" si="549"/>
        <v>Healthy</v>
      </c>
    </row>
    <row r="3485" spans="1:25" x14ac:dyDescent="0.35">
      <c r="A3485" t="s">
        <v>20</v>
      </c>
      <c r="B3485" t="s">
        <v>21</v>
      </c>
      <c r="C3485" t="s">
        <v>1155</v>
      </c>
      <c r="D3485" t="s">
        <v>2381</v>
      </c>
      <c r="E3485">
        <v>80877002</v>
      </c>
      <c r="F3485" t="s">
        <v>2382</v>
      </c>
      <c r="G3485" s="3">
        <v>48328</v>
      </c>
      <c r="H3485">
        <v>79</v>
      </c>
      <c r="I3485">
        <v>90</v>
      </c>
      <c r="J3485">
        <v>23</v>
      </c>
      <c r="K3485" s="4">
        <v>14701.14</v>
      </c>
      <c r="L3485" s="4">
        <v>171.14285714285714</v>
      </c>
      <c r="M3485" s="4">
        <v>0.13439065108514189</v>
      </c>
      <c r="N3485" t="s">
        <v>25</v>
      </c>
      <c r="O3485" t="str">
        <f t="shared" si="540"/>
        <v>Low</v>
      </c>
      <c r="P3485" t="str">
        <f t="shared" si="541"/>
        <v>Low</v>
      </c>
      <c r="Q3485" t="str">
        <f t="shared" si="542"/>
        <v>Low</v>
      </c>
      <c r="R3485" t="s">
        <v>3317</v>
      </c>
      <c r="S3485" s="4">
        <f t="shared" ca="1" si="543"/>
        <v>2131</v>
      </c>
      <c r="T3485">
        <f t="shared" si="544"/>
        <v>1</v>
      </c>
      <c r="U3485">
        <f t="shared" si="545"/>
        <v>1</v>
      </c>
      <c r="V3485">
        <f t="shared" si="546"/>
        <v>1</v>
      </c>
      <c r="W3485">
        <f t="shared" si="547"/>
        <v>1</v>
      </c>
      <c r="X3485">
        <f t="shared" si="548"/>
        <v>0.99999999999999989</v>
      </c>
      <c r="Y3485" t="str">
        <f t="shared" si="549"/>
        <v>Healthy</v>
      </c>
    </row>
    <row r="3486" spans="1:25" x14ac:dyDescent="0.35">
      <c r="A3486" t="s">
        <v>71</v>
      </c>
      <c r="B3486" t="s">
        <v>72</v>
      </c>
      <c r="C3486" t="s">
        <v>386</v>
      </c>
      <c r="D3486" t="s">
        <v>2384</v>
      </c>
      <c r="E3486">
        <v>80887756</v>
      </c>
      <c r="F3486" t="s">
        <v>2385</v>
      </c>
      <c r="G3486" s="3">
        <v>47083</v>
      </c>
      <c r="H3486">
        <v>36</v>
      </c>
      <c r="I3486">
        <v>83</v>
      </c>
      <c r="J3486">
        <v>22</v>
      </c>
      <c r="K3486" s="4">
        <v>7479.78</v>
      </c>
      <c r="L3486" s="4">
        <v>233.42857142857142</v>
      </c>
      <c r="M3486" s="4">
        <v>9.4247246022031828E-2</v>
      </c>
      <c r="N3486" t="s">
        <v>25</v>
      </c>
      <c r="O3486" t="str">
        <f t="shared" si="540"/>
        <v>Low</v>
      </c>
      <c r="P3486" t="str">
        <f t="shared" si="541"/>
        <v>Low</v>
      </c>
      <c r="Q3486" t="str">
        <f t="shared" si="542"/>
        <v>Low</v>
      </c>
      <c r="R3486" t="s">
        <v>3317</v>
      </c>
      <c r="S3486" s="4">
        <f t="shared" ca="1" si="543"/>
        <v>886</v>
      </c>
      <c r="T3486">
        <f t="shared" si="544"/>
        <v>1</v>
      </c>
      <c r="U3486">
        <f t="shared" si="545"/>
        <v>1</v>
      </c>
      <c r="V3486">
        <f t="shared" si="546"/>
        <v>1</v>
      </c>
      <c r="W3486">
        <f t="shared" si="547"/>
        <v>1</v>
      </c>
      <c r="X3486">
        <f t="shared" si="548"/>
        <v>0.99999999999999989</v>
      </c>
      <c r="Y3486" t="str">
        <f t="shared" si="549"/>
        <v>Healthy</v>
      </c>
    </row>
    <row r="3487" spans="1:25" x14ac:dyDescent="0.35">
      <c r="A3487" t="s">
        <v>71</v>
      </c>
      <c r="B3487" t="s">
        <v>72</v>
      </c>
      <c r="C3487" t="s">
        <v>386</v>
      </c>
      <c r="D3487" t="s">
        <v>2384</v>
      </c>
      <c r="E3487">
        <v>80887756</v>
      </c>
      <c r="F3487" t="s">
        <v>2385</v>
      </c>
      <c r="G3487" s="3">
        <v>47130</v>
      </c>
      <c r="H3487">
        <v>36</v>
      </c>
      <c r="I3487">
        <v>87</v>
      </c>
      <c r="J3487">
        <v>164</v>
      </c>
      <c r="K3487" s="4">
        <v>55758.36</v>
      </c>
      <c r="L3487" s="4">
        <v>233.42857142857142</v>
      </c>
      <c r="M3487" s="4">
        <v>0.70257037943696454</v>
      </c>
      <c r="N3487" t="s">
        <v>25</v>
      </c>
      <c r="O3487" t="str">
        <f t="shared" si="540"/>
        <v>Low</v>
      </c>
      <c r="P3487" t="str">
        <f t="shared" si="541"/>
        <v>Low</v>
      </c>
      <c r="Q3487" t="str">
        <f t="shared" si="542"/>
        <v>Low</v>
      </c>
      <c r="R3487" t="s">
        <v>3317</v>
      </c>
      <c r="S3487" s="4">
        <f t="shared" ca="1" si="543"/>
        <v>933</v>
      </c>
      <c r="T3487">
        <f t="shared" si="544"/>
        <v>1</v>
      </c>
      <c r="U3487">
        <f t="shared" si="545"/>
        <v>1</v>
      </c>
      <c r="V3487">
        <f t="shared" si="546"/>
        <v>1</v>
      </c>
      <c r="W3487">
        <f t="shared" si="547"/>
        <v>1</v>
      </c>
      <c r="X3487">
        <f t="shared" si="548"/>
        <v>0.99999999999999989</v>
      </c>
      <c r="Y3487" t="str">
        <f t="shared" si="549"/>
        <v>Healthy</v>
      </c>
    </row>
    <row r="3488" spans="1:25" x14ac:dyDescent="0.35">
      <c r="A3488" t="s">
        <v>179</v>
      </c>
      <c r="B3488" t="s">
        <v>195</v>
      </c>
      <c r="C3488" t="s">
        <v>422</v>
      </c>
      <c r="D3488" t="s">
        <v>1057</v>
      </c>
      <c r="E3488">
        <v>80891799</v>
      </c>
      <c r="F3488" t="s">
        <v>2386</v>
      </c>
      <c r="G3488" s="3">
        <v>46623</v>
      </c>
      <c r="H3488">
        <v>16</v>
      </c>
      <c r="I3488">
        <v>90</v>
      </c>
      <c r="J3488">
        <v>1215</v>
      </c>
      <c r="K3488" s="4">
        <v>119021.4</v>
      </c>
      <c r="L3488" s="4">
        <v>136798.28571428571</v>
      </c>
      <c r="M3488" s="4">
        <v>8.8816902467449468E-3</v>
      </c>
      <c r="N3488" t="s">
        <v>25</v>
      </c>
      <c r="O3488" t="str">
        <f t="shared" si="540"/>
        <v>Low</v>
      </c>
      <c r="P3488" t="str">
        <f t="shared" si="541"/>
        <v>Low</v>
      </c>
      <c r="Q3488" t="str">
        <f t="shared" si="542"/>
        <v>Low</v>
      </c>
      <c r="R3488" t="s">
        <v>3310</v>
      </c>
      <c r="S3488" s="4">
        <f t="shared" ca="1" si="543"/>
        <v>426</v>
      </c>
      <c r="T3488">
        <f t="shared" si="544"/>
        <v>1</v>
      </c>
      <c r="U3488">
        <f t="shared" si="545"/>
        <v>1</v>
      </c>
      <c r="V3488">
        <f t="shared" si="546"/>
        <v>1</v>
      </c>
      <c r="W3488">
        <f t="shared" si="547"/>
        <v>2</v>
      </c>
      <c r="X3488">
        <f t="shared" si="548"/>
        <v>1.0999999999999999</v>
      </c>
      <c r="Y3488" t="str">
        <f t="shared" si="549"/>
        <v>Healthy</v>
      </c>
    </row>
    <row r="3489" spans="1:25" x14ac:dyDescent="0.35">
      <c r="A3489" t="s">
        <v>29</v>
      </c>
      <c r="B3489" t="s">
        <v>30</v>
      </c>
      <c r="C3489" t="s">
        <v>230</v>
      </c>
      <c r="D3489" t="s">
        <v>2387</v>
      </c>
      <c r="E3489">
        <v>80834798</v>
      </c>
      <c r="F3489" t="s">
        <v>2388</v>
      </c>
      <c r="G3489" s="3">
        <v>46824</v>
      </c>
      <c r="H3489">
        <v>36</v>
      </c>
      <c r="I3489">
        <v>59</v>
      </c>
      <c r="J3489">
        <v>8</v>
      </c>
      <c r="K3489" s="4">
        <v>12793.2</v>
      </c>
      <c r="L3489" s="4">
        <v>13.285714285714286</v>
      </c>
      <c r="M3489" s="4">
        <v>0.60215053763440862</v>
      </c>
      <c r="N3489" t="s">
        <v>25</v>
      </c>
      <c r="O3489" t="str">
        <f t="shared" si="540"/>
        <v>Low</v>
      </c>
      <c r="P3489" t="str">
        <f t="shared" si="541"/>
        <v>Low</v>
      </c>
      <c r="Q3489" t="str">
        <f t="shared" si="542"/>
        <v>Medium</v>
      </c>
      <c r="R3489" t="s">
        <v>3317</v>
      </c>
      <c r="S3489" s="4">
        <f t="shared" ca="1" si="543"/>
        <v>627</v>
      </c>
      <c r="T3489">
        <f t="shared" si="544"/>
        <v>1</v>
      </c>
      <c r="U3489">
        <f t="shared" si="545"/>
        <v>1</v>
      </c>
      <c r="V3489">
        <f t="shared" si="546"/>
        <v>2</v>
      </c>
      <c r="W3489">
        <f t="shared" si="547"/>
        <v>1</v>
      </c>
      <c r="X3489">
        <f t="shared" si="548"/>
        <v>1.2000000000000002</v>
      </c>
      <c r="Y3489" t="str">
        <f t="shared" si="549"/>
        <v>Healthy</v>
      </c>
    </row>
    <row r="3490" spans="1:25" x14ac:dyDescent="0.35">
      <c r="A3490" t="s">
        <v>41</v>
      </c>
      <c r="B3490" t="s">
        <v>42</v>
      </c>
      <c r="C3490" t="s">
        <v>43</v>
      </c>
      <c r="D3490" t="s">
        <v>1455</v>
      </c>
      <c r="E3490">
        <v>80863252</v>
      </c>
      <c r="F3490" t="s">
        <v>2389</v>
      </c>
      <c r="G3490" s="3">
        <v>46907</v>
      </c>
      <c r="H3490">
        <v>36</v>
      </c>
      <c r="I3490">
        <v>66</v>
      </c>
      <c r="J3490">
        <v>4</v>
      </c>
      <c r="K3490" s="4">
        <v>3734.28</v>
      </c>
      <c r="L3490" s="4">
        <f>0</f>
        <v>0</v>
      </c>
      <c r="M3490" s="4">
        <f>999</f>
        <v>999</v>
      </c>
      <c r="N3490" t="s">
        <v>19</v>
      </c>
      <c r="O3490" t="str">
        <f t="shared" si="540"/>
        <v>Low</v>
      </c>
      <c r="P3490" t="str">
        <f t="shared" si="541"/>
        <v>High</v>
      </c>
      <c r="Q3490" t="str">
        <f t="shared" si="542"/>
        <v>High</v>
      </c>
      <c r="R3490" t="s">
        <v>3317</v>
      </c>
      <c r="S3490" s="4">
        <f t="shared" ca="1" si="543"/>
        <v>710</v>
      </c>
      <c r="T3490">
        <f t="shared" si="544"/>
        <v>1</v>
      </c>
      <c r="U3490">
        <f t="shared" si="545"/>
        <v>3</v>
      </c>
      <c r="V3490">
        <f t="shared" si="546"/>
        <v>3</v>
      </c>
      <c r="W3490">
        <f t="shared" si="547"/>
        <v>1</v>
      </c>
      <c r="X3490">
        <f t="shared" si="548"/>
        <v>2</v>
      </c>
      <c r="Y3490" t="str">
        <f t="shared" si="549"/>
        <v>Monitor</v>
      </c>
    </row>
    <row r="3491" spans="1:25" x14ac:dyDescent="0.35">
      <c r="A3491" t="s">
        <v>41</v>
      </c>
      <c r="B3491" t="s">
        <v>54</v>
      </c>
      <c r="C3491" t="s">
        <v>87</v>
      </c>
      <c r="D3491" t="s">
        <v>124</v>
      </c>
      <c r="E3491">
        <v>80860037</v>
      </c>
      <c r="F3491" t="s">
        <v>2390</v>
      </c>
      <c r="G3491" s="3">
        <v>46917</v>
      </c>
      <c r="H3491">
        <v>36</v>
      </c>
      <c r="I3491">
        <v>67</v>
      </c>
      <c r="J3491">
        <v>1</v>
      </c>
      <c r="K3491" s="4">
        <v>418.02</v>
      </c>
      <c r="L3491" s="4">
        <v>38.428571428571431</v>
      </c>
      <c r="M3491" s="4">
        <v>2.6022304832713752E-2</v>
      </c>
      <c r="N3491" t="s">
        <v>25</v>
      </c>
      <c r="O3491" t="str">
        <f t="shared" si="540"/>
        <v>Low</v>
      </c>
      <c r="P3491" t="str">
        <f t="shared" si="541"/>
        <v>Low</v>
      </c>
      <c r="Q3491" t="str">
        <f t="shared" si="542"/>
        <v>Low</v>
      </c>
      <c r="R3491" t="s">
        <v>3317</v>
      </c>
      <c r="S3491" s="4">
        <f t="shared" ca="1" si="543"/>
        <v>720</v>
      </c>
      <c r="T3491">
        <f t="shared" si="544"/>
        <v>1</v>
      </c>
      <c r="U3491">
        <f t="shared" si="545"/>
        <v>1</v>
      </c>
      <c r="V3491">
        <f t="shared" si="546"/>
        <v>1</v>
      </c>
      <c r="W3491">
        <f t="shared" si="547"/>
        <v>1</v>
      </c>
      <c r="X3491">
        <f t="shared" si="548"/>
        <v>0.99999999999999989</v>
      </c>
      <c r="Y3491" t="str">
        <f t="shared" si="549"/>
        <v>Healthy</v>
      </c>
    </row>
    <row r="3492" spans="1:25" x14ac:dyDescent="0.35">
      <c r="A3492" t="s">
        <v>179</v>
      </c>
      <c r="B3492" t="s">
        <v>195</v>
      </c>
      <c r="C3492" t="s">
        <v>422</v>
      </c>
      <c r="D3492" t="s">
        <v>1057</v>
      </c>
      <c r="E3492">
        <v>80891799</v>
      </c>
      <c r="F3492" t="s">
        <v>2386</v>
      </c>
      <c r="G3492" s="3">
        <v>46659</v>
      </c>
      <c r="H3492">
        <v>16</v>
      </c>
      <c r="I3492">
        <v>97</v>
      </c>
      <c r="J3492">
        <v>1865</v>
      </c>
      <c r="K3492" s="4">
        <v>182695.4</v>
      </c>
      <c r="L3492" s="4">
        <v>136798.28571428571</v>
      </c>
      <c r="M3492" s="4">
        <v>1.3633211777925371E-2</v>
      </c>
      <c r="N3492" t="s">
        <v>25</v>
      </c>
      <c r="O3492" t="str">
        <f t="shared" si="540"/>
        <v>Low</v>
      </c>
      <c r="P3492" t="str">
        <f t="shared" si="541"/>
        <v>Low</v>
      </c>
      <c r="Q3492" t="str">
        <f t="shared" si="542"/>
        <v>Low</v>
      </c>
      <c r="R3492" t="s">
        <v>3309</v>
      </c>
      <c r="S3492" s="4">
        <f t="shared" ca="1" si="543"/>
        <v>462</v>
      </c>
      <c r="T3492">
        <f t="shared" si="544"/>
        <v>1</v>
      </c>
      <c r="U3492">
        <f t="shared" si="545"/>
        <v>1</v>
      </c>
      <c r="V3492">
        <f t="shared" si="546"/>
        <v>1</v>
      </c>
      <c r="W3492">
        <f t="shared" si="547"/>
        <v>3</v>
      </c>
      <c r="X3492">
        <f t="shared" si="548"/>
        <v>1.2</v>
      </c>
      <c r="Y3492" t="str">
        <f t="shared" si="549"/>
        <v>Healthy</v>
      </c>
    </row>
    <row r="3493" spans="1:25" x14ac:dyDescent="0.35">
      <c r="A3493" t="s">
        <v>179</v>
      </c>
      <c r="B3493" t="s">
        <v>195</v>
      </c>
      <c r="C3493" t="s">
        <v>422</v>
      </c>
      <c r="D3493" t="s">
        <v>1057</v>
      </c>
      <c r="E3493">
        <v>80891799</v>
      </c>
      <c r="F3493" t="s">
        <v>2386</v>
      </c>
      <c r="G3493" s="3">
        <v>46627</v>
      </c>
      <c r="H3493">
        <v>16</v>
      </c>
      <c r="I3493">
        <v>91</v>
      </c>
      <c r="J3493">
        <v>3920</v>
      </c>
      <c r="K3493" s="4">
        <v>384003.2</v>
      </c>
      <c r="L3493" s="4">
        <v>136798.28571428571</v>
      </c>
      <c r="M3493" s="4">
        <v>2.8655329849580406E-2</v>
      </c>
      <c r="N3493" t="s">
        <v>25</v>
      </c>
      <c r="O3493" t="str">
        <f t="shared" si="540"/>
        <v>Low</v>
      </c>
      <c r="P3493" t="str">
        <f t="shared" si="541"/>
        <v>Low</v>
      </c>
      <c r="Q3493" t="str">
        <f t="shared" si="542"/>
        <v>Low</v>
      </c>
      <c r="R3493" t="s">
        <v>3309</v>
      </c>
      <c r="S3493" s="4">
        <f t="shared" ca="1" si="543"/>
        <v>430</v>
      </c>
      <c r="T3493">
        <f t="shared" si="544"/>
        <v>1</v>
      </c>
      <c r="U3493">
        <f t="shared" si="545"/>
        <v>1</v>
      </c>
      <c r="V3493">
        <f t="shared" si="546"/>
        <v>1</v>
      </c>
      <c r="W3493">
        <f t="shared" si="547"/>
        <v>3</v>
      </c>
      <c r="X3493">
        <f t="shared" si="548"/>
        <v>1.2</v>
      </c>
      <c r="Y3493" t="str">
        <f t="shared" si="549"/>
        <v>Healthy</v>
      </c>
    </row>
    <row r="3494" spans="1:25" x14ac:dyDescent="0.35">
      <c r="A3494" t="s">
        <v>179</v>
      </c>
      <c r="B3494" t="s">
        <v>223</v>
      </c>
      <c r="C3494" t="s">
        <v>357</v>
      </c>
      <c r="D3494" t="s">
        <v>2391</v>
      </c>
      <c r="E3494">
        <v>80869525</v>
      </c>
      <c r="F3494" t="s">
        <v>2392</v>
      </c>
      <c r="G3494" s="3">
        <v>46410</v>
      </c>
      <c r="H3494">
        <v>18</v>
      </c>
      <c r="I3494">
        <v>40</v>
      </c>
      <c r="J3494">
        <v>7</v>
      </c>
      <c r="K3494" s="4">
        <v>1742.16</v>
      </c>
      <c r="L3494" s="4">
        <v>270.85714285714283</v>
      </c>
      <c r="M3494" s="4">
        <v>2.5843881856540088E-2</v>
      </c>
      <c r="N3494" t="s">
        <v>25</v>
      </c>
      <c r="O3494" t="str">
        <f t="shared" si="540"/>
        <v>Low</v>
      </c>
      <c r="P3494" t="str">
        <f t="shared" si="541"/>
        <v>Low</v>
      </c>
      <c r="Q3494" t="str">
        <f t="shared" si="542"/>
        <v>Low</v>
      </c>
      <c r="R3494" t="s">
        <v>3317</v>
      </c>
      <c r="S3494" s="4">
        <f t="shared" ca="1" si="543"/>
        <v>213</v>
      </c>
      <c r="T3494">
        <f t="shared" si="544"/>
        <v>1</v>
      </c>
      <c r="U3494">
        <f t="shared" si="545"/>
        <v>1</v>
      </c>
      <c r="V3494">
        <f t="shared" si="546"/>
        <v>1</v>
      </c>
      <c r="W3494">
        <f t="shared" si="547"/>
        <v>1</v>
      </c>
      <c r="X3494">
        <f t="shared" si="548"/>
        <v>0.99999999999999989</v>
      </c>
      <c r="Y3494" t="str">
        <f t="shared" si="549"/>
        <v>Healthy</v>
      </c>
    </row>
    <row r="3495" spans="1:25" x14ac:dyDescent="0.35">
      <c r="A3495" t="s">
        <v>179</v>
      </c>
      <c r="B3495" t="s">
        <v>195</v>
      </c>
      <c r="C3495" t="s">
        <v>422</v>
      </c>
      <c r="D3495" t="s">
        <v>1057</v>
      </c>
      <c r="E3495">
        <v>80891799</v>
      </c>
      <c r="F3495" t="s">
        <v>2386</v>
      </c>
      <c r="G3495" s="3">
        <v>46664</v>
      </c>
      <c r="H3495">
        <v>16</v>
      </c>
      <c r="I3495">
        <v>98</v>
      </c>
      <c r="J3495">
        <v>4504</v>
      </c>
      <c r="K3495" s="4">
        <v>441211.84</v>
      </c>
      <c r="L3495" s="4">
        <v>136798.28571428571</v>
      </c>
      <c r="M3495" s="4">
        <v>3.2924389194517893E-2</v>
      </c>
      <c r="N3495" t="s">
        <v>25</v>
      </c>
      <c r="O3495" t="str">
        <f t="shared" si="540"/>
        <v>Low</v>
      </c>
      <c r="P3495" t="str">
        <f t="shared" si="541"/>
        <v>Low</v>
      </c>
      <c r="Q3495" t="str">
        <f t="shared" si="542"/>
        <v>Low</v>
      </c>
      <c r="R3495" t="s">
        <v>3309</v>
      </c>
      <c r="S3495" s="4">
        <f t="shared" ca="1" si="543"/>
        <v>467</v>
      </c>
      <c r="T3495">
        <f t="shared" si="544"/>
        <v>1</v>
      </c>
      <c r="U3495">
        <f t="shared" si="545"/>
        <v>1</v>
      </c>
      <c r="V3495">
        <f t="shared" si="546"/>
        <v>1</v>
      </c>
      <c r="W3495">
        <f t="shared" si="547"/>
        <v>3</v>
      </c>
      <c r="X3495">
        <f t="shared" si="548"/>
        <v>1.2</v>
      </c>
      <c r="Y3495" t="str">
        <f t="shared" si="549"/>
        <v>Healthy</v>
      </c>
    </row>
    <row r="3496" spans="1:25" x14ac:dyDescent="0.35">
      <c r="A3496" t="s">
        <v>179</v>
      </c>
      <c r="B3496" t="s">
        <v>195</v>
      </c>
      <c r="C3496" t="s">
        <v>422</v>
      </c>
      <c r="D3496" t="s">
        <v>1057</v>
      </c>
      <c r="E3496">
        <v>80891799</v>
      </c>
      <c r="F3496" t="s">
        <v>2386</v>
      </c>
      <c r="G3496" s="3">
        <v>46643</v>
      </c>
      <c r="H3496">
        <v>16</v>
      </c>
      <c r="I3496">
        <v>94</v>
      </c>
      <c r="J3496">
        <v>1755</v>
      </c>
      <c r="K3496" s="4">
        <v>171919.8</v>
      </c>
      <c r="L3496" s="4">
        <v>136798.28571428571</v>
      </c>
      <c r="M3496" s="4">
        <v>1.2829108134187146E-2</v>
      </c>
      <c r="N3496" t="s">
        <v>25</v>
      </c>
      <c r="O3496" t="str">
        <f t="shared" si="540"/>
        <v>Low</v>
      </c>
      <c r="P3496" t="str">
        <f t="shared" si="541"/>
        <v>Low</v>
      </c>
      <c r="Q3496" t="str">
        <f t="shared" si="542"/>
        <v>Low</v>
      </c>
      <c r="R3496" t="s">
        <v>3309</v>
      </c>
      <c r="S3496" s="4">
        <f t="shared" ca="1" si="543"/>
        <v>446</v>
      </c>
      <c r="T3496">
        <f t="shared" si="544"/>
        <v>1</v>
      </c>
      <c r="U3496">
        <f t="shared" si="545"/>
        <v>1</v>
      </c>
      <c r="V3496">
        <f t="shared" si="546"/>
        <v>1</v>
      </c>
      <c r="W3496">
        <f t="shared" si="547"/>
        <v>3</v>
      </c>
      <c r="X3496">
        <f t="shared" si="548"/>
        <v>1.2</v>
      </c>
      <c r="Y3496" t="str">
        <f t="shared" si="549"/>
        <v>Healthy</v>
      </c>
    </row>
    <row r="3497" spans="1:25" x14ac:dyDescent="0.35">
      <c r="A3497" t="s">
        <v>179</v>
      </c>
      <c r="B3497" t="s">
        <v>223</v>
      </c>
      <c r="C3497" t="s">
        <v>357</v>
      </c>
      <c r="D3497" t="s">
        <v>2391</v>
      </c>
      <c r="E3497">
        <v>80869525</v>
      </c>
      <c r="F3497" t="s">
        <v>2392</v>
      </c>
      <c r="G3497" s="3">
        <v>46481</v>
      </c>
      <c r="H3497">
        <v>18</v>
      </c>
      <c r="I3497">
        <v>54</v>
      </c>
      <c r="J3497">
        <v>39</v>
      </c>
      <c r="K3497" s="4">
        <v>9706.32</v>
      </c>
      <c r="L3497" s="4">
        <v>270.85714285714283</v>
      </c>
      <c r="M3497" s="4">
        <v>0.14398734177215192</v>
      </c>
      <c r="N3497" t="s">
        <v>25</v>
      </c>
      <c r="O3497" t="str">
        <f t="shared" si="540"/>
        <v>Low</v>
      </c>
      <c r="P3497" t="str">
        <f t="shared" si="541"/>
        <v>Low</v>
      </c>
      <c r="Q3497" t="str">
        <f t="shared" si="542"/>
        <v>Low</v>
      </c>
      <c r="R3497" t="s">
        <v>3317</v>
      </c>
      <c r="S3497" s="4">
        <f t="shared" ca="1" si="543"/>
        <v>284</v>
      </c>
      <c r="T3497">
        <f t="shared" si="544"/>
        <v>1</v>
      </c>
      <c r="U3497">
        <f t="shared" si="545"/>
        <v>1</v>
      </c>
      <c r="V3497">
        <f t="shared" si="546"/>
        <v>1</v>
      </c>
      <c r="W3497">
        <f t="shared" si="547"/>
        <v>1</v>
      </c>
      <c r="X3497">
        <f t="shared" si="548"/>
        <v>0.99999999999999989</v>
      </c>
      <c r="Y3497" t="str">
        <f t="shared" si="549"/>
        <v>Healthy</v>
      </c>
    </row>
    <row r="3498" spans="1:25" x14ac:dyDescent="0.35">
      <c r="A3498" t="s">
        <v>179</v>
      </c>
      <c r="B3498" t="s">
        <v>195</v>
      </c>
      <c r="C3498" t="s">
        <v>422</v>
      </c>
      <c r="D3498" t="s">
        <v>1057</v>
      </c>
      <c r="E3498">
        <v>80891799</v>
      </c>
      <c r="F3498" t="s">
        <v>2386</v>
      </c>
      <c r="G3498" s="3">
        <v>46616</v>
      </c>
      <c r="H3498">
        <v>16</v>
      </c>
      <c r="I3498">
        <v>88</v>
      </c>
      <c r="J3498">
        <v>1720</v>
      </c>
      <c r="K3498" s="4">
        <v>168491.2</v>
      </c>
      <c r="L3498" s="4">
        <v>136798.28571428571</v>
      </c>
      <c r="M3498" s="4">
        <v>1.2573256974815893E-2</v>
      </c>
      <c r="N3498" t="s">
        <v>25</v>
      </c>
      <c r="O3498" t="str">
        <f t="shared" si="540"/>
        <v>Low</v>
      </c>
      <c r="P3498" t="str">
        <f t="shared" si="541"/>
        <v>Low</v>
      </c>
      <c r="Q3498" t="str">
        <f t="shared" si="542"/>
        <v>Low</v>
      </c>
      <c r="R3498" t="s">
        <v>3309</v>
      </c>
      <c r="S3498" s="4">
        <f t="shared" ca="1" si="543"/>
        <v>419</v>
      </c>
      <c r="T3498">
        <f t="shared" si="544"/>
        <v>1</v>
      </c>
      <c r="U3498">
        <f t="shared" si="545"/>
        <v>1</v>
      </c>
      <c r="V3498">
        <f t="shared" si="546"/>
        <v>1</v>
      </c>
      <c r="W3498">
        <f t="shared" si="547"/>
        <v>3</v>
      </c>
      <c r="X3498">
        <f t="shared" si="548"/>
        <v>1.2</v>
      </c>
      <c r="Y3498" t="str">
        <f t="shared" si="549"/>
        <v>Healthy</v>
      </c>
    </row>
    <row r="3499" spans="1:25" x14ac:dyDescent="0.35">
      <c r="A3499" t="s">
        <v>179</v>
      </c>
      <c r="B3499" t="s">
        <v>195</v>
      </c>
      <c r="C3499" t="s">
        <v>422</v>
      </c>
      <c r="D3499" t="s">
        <v>1057</v>
      </c>
      <c r="E3499">
        <v>80891799</v>
      </c>
      <c r="F3499" t="s">
        <v>2386</v>
      </c>
      <c r="G3499" s="3">
        <v>46613</v>
      </c>
      <c r="H3499">
        <v>16</v>
      </c>
      <c r="I3499">
        <v>88</v>
      </c>
      <c r="J3499">
        <v>850</v>
      </c>
      <c r="K3499" s="4">
        <v>83266</v>
      </c>
      <c r="L3499" s="4">
        <v>136798.28571428571</v>
      </c>
      <c r="M3499" s="4">
        <v>6.2135281561590166E-3</v>
      </c>
      <c r="N3499" t="s">
        <v>25</v>
      </c>
      <c r="O3499" t="str">
        <f t="shared" si="540"/>
        <v>Low</v>
      </c>
      <c r="P3499" t="str">
        <f t="shared" si="541"/>
        <v>Low</v>
      </c>
      <c r="Q3499" t="str">
        <f t="shared" si="542"/>
        <v>Low</v>
      </c>
      <c r="R3499" t="s">
        <v>3310</v>
      </c>
      <c r="S3499" s="4">
        <f t="shared" ca="1" si="543"/>
        <v>416</v>
      </c>
      <c r="T3499">
        <f t="shared" si="544"/>
        <v>1</v>
      </c>
      <c r="U3499">
        <f t="shared" si="545"/>
        <v>1</v>
      </c>
      <c r="V3499">
        <f t="shared" si="546"/>
        <v>1</v>
      </c>
      <c r="W3499">
        <f t="shared" si="547"/>
        <v>2</v>
      </c>
      <c r="X3499">
        <f t="shared" si="548"/>
        <v>1.0999999999999999</v>
      </c>
      <c r="Y3499" t="str">
        <f t="shared" si="549"/>
        <v>Healthy</v>
      </c>
    </row>
    <row r="3500" spans="1:25" x14ac:dyDescent="0.35">
      <c r="A3500" t="s">
        <v>179</v>
      </c>
      <c r="B3500" t="s">
        <v>195</v>
      </c>
      <c r="C3500" t="s">
        <v>422</v>
      </c>
      <c r="D3500" t="s">
        <v>1057</v>
      </c>
      <c r="E3500">
        <v>80891799</v>
      </c>
      <c r="F3500" t="s">
        <v>2386</v>
      </c>
      <c r="G3500" s="3">
        <v>46622</v>
      </c>
      <c r="H3500">
        <v>16</v>
      </c>
      <c r="I3500">
        <v>90</v>
      </c>
      <c r="J3500">
        <v>1630</v>
      </c>
      <c r="K3500" s="4">
        <v>159674.79999999999</v>
      </c>
      <c r="L3500" s="4">
        <v>136798.28571428571</v>
      </c>
      <c r="M3500" s="4">
        <v>1.1915353993575526E-2</v>
      </c>
      <c r="N3500" t="s">
        <v>25</v>
      </c>
      <c r="O3500" t="str">
        <f t="shared" si="540"/>
        <v>Low</v>
      </c>
      <c r="P3500" t="str">
        <f t="shared" si="541"/>
        <v>Low</v>
      </c>
      <c r="Q3500" t="str">
        <f t="shared" si="542"/>
        <v>Low</v>
      </c>
      <c r="R3500" t="s">
        <v>3309</v>
      </c>
      <c r="S3500" s="4">
        <f t="shared" ca="1" si="543"/>
        <v>425</v>
      </c>
      <c r="T3500">
        <f t="shared" si="544"/>
        <v>1</v>
      </c>
      <c r="U3500">
        <f t="shared" si="545"/>
        <v>1</v>
      </c>
      <c r="V3500">
        <f t="shared" si="546"/>
        <v>1</v>
      </c>
      <c r="W3500">
        <f t="shared" si="547"/>
        <v>3</v>
      </c>
      <c r="X3500">
        <f t="shared" si="548"/>
        <v>1.2</v>
      </c>
      <c r="Y3500" t="str">
        <f t="shared" si="549"/>
        <v>Healthy</v>
      </c>
    </row>
    <row r="3501" spans="1:25" x14ac:dyDescent="0.35">
      <c r="A3501" t="s">
        <v>179</v>
      </c>
      <c r="B3501" t="s">
        <v>195</v>
      </c>
      <c r="C3501" t="s">
        <v>422</v>
      </c>
      <c r="D3501" t="s">
        <v>1057</v>
      </c>
      <c r="E3501">
        <v>80891799</v>
      </c>
      <c r="F3501" t="s">
        <v>2386</v>
      </c>
      <c r="G3501" s="3">
        <v>46663</v>
      </c>
      <c r="H3501">
        <v>16</v>
      </c>
      <c r="I3501">
        <v>98</v>
      </c>
      <c r="J3501">
        <v>3725</v>
      </c>
      <c r="K3501" s="4">
        <v>364901</v>
      </c>
      <c r="L3501" s="4">
        <v>136798.28571428571</v>
      </c>
      <c r="M3501" s="4">
        <v>2.7229873390226277E-2</v>
      </c>
      <c r="N3501" t="s">
        <v>25</v>
      </c>
      <c r="O3501" t="str">
        <f t="shared" si="540"/>
        <v>Low</v>
      </c>
      <c r="P3501" t="str">
        <f t="shared" si="541"/>
        <v>Low</v>
      </c>
      <c r="Q3501" t="str">
        <f t="shared" si="542"/>
        <v>Low</v>
      </c>
      <c r="R3501" t="s">
        <v>3309</v>
      </c>
      <c r="S3501" s="4">
        <f t="shared" ca="1" si="543"/>
        <v>466</v>
      </c>
      <c r="T3501">
        <f t="shared" si="544"/>
        <v>1</v>
      </c>
      <c r="U3501">
        <f t="shared" si="545"/>
        <v>1</v>
      </c>
      <c r="V3501">
        <f t="shared" si="546"/>
        <v>1</v>
      </c>
      <c r="W3501">
        <f t="shared" si="547"/>
        <v>3</v>
      </c>
      <c r="X3501">
        <f t="shared" si="548"/>
        <v>1.2</v>
      </c>
      <c r="Y3501" t="str">
        <f t="shared" si="549"/>
        <v>Healthy</v>
      </c>
    </row>
    <row r="3502" spans="1:25" x14ac:dyDescent="0.35">
      <c r="A3502" t="s">
        <v>179</v>
      </c>
      <c r="B3502" t="s">
        <v>195</v>
      </c>
      <c r="C3502" t="s">
        <v>422</v>
      </c>
      <c r="D3502" t="s">
        <v>1057</v>
      </c>
      <c r="E3502">
        <v>80891799</v>
      </c>
      <c r="F3502" t="s">
        <v>2386</v>
      </c>
      <c r="G3502" s="3">
        <v>46610</v>
      </c>
      <c r="H3502">
        <v>16</v>
      </c>
      <c r="I3502">
        <v>87</v>
      </c>
      <c r="J3502">
        <v>1035</v>
      </c>
      <c r="K3502" s="4">
        <v>101388.6</v>
      </c>
      <c r="L3502" s="4">
        <v>136798.28571428571</v>
      </c>
      <c r="M3502" s="4">
        <v>7.5658842842642139E-3</v>
      </c>
      <c r="N3502" t="s">
        <v>25</v>
      </c>
      <c r="O3502" t="str">
        <f t="shared" si="540"/>
        <v>Low</v>
      </c>
      <c r="P3502" t="str">
        <f t="shared" si="541"/>
        <v>Low</v>
      </c>
      <c r="Q3502" t="str">
        <f t="shared" si="542"/>
        <v>Low</v>
      </c>
      <c r="R3502" t="s">
        <v>3310</v>
      </c>
      <c r="S3502" s="4">
        <f t="shared" ca="1" si="543"/>
        <v>413</v>
      </c>
      <c r="T3502">
        <f t="shared" si="544"/>
        <v>1</v>
      </c>
      <c r="U3502">
        <f t="shared" si="545"/>
        <v>1</v>
      </c>
      <c r="V3502">
        <f t="shared" si="546"/>
        <v>1</v>
      </c>
      <c r="W3502">
        <f t="shared" si="547"/>
        <v>2</v>
      </c>
      <c r="X3502">
        <f t="shared" si="548"/>
        <v>1.0999999999999999</v>
      </c>
      <c r="Y3502" t="str">
        <f t="shared" si="549"/>
        <v>Healthy</v>
      </c>
    </row>
    <row r="3503" spans="1:25" x14ac:dyDescent="0.35">
      <c r="A3503" t="s">
        <v>179</v>
      </c>
      <c r="B3503" t="s">
        <v>195</v>
      </c>
      <c r="C3503" t="s">
        <v>422</v>
      </c>
      <c r="D3503" t="s">
        <v>1057</v>
      </c>
      <c r="E3503">
        <v>80891799</v>
      </c>
      <c r="F3503" t="s">
        <v>2386</v>
      </c>
      <c r="G3503" s="3">
        <v>46650</v>
      </c>
      <c r="H3503">
        <v>16</v>
      </c>
      <c r="I3503">
        <v>95</v>
      </c>
      <c r="J3503">
        <v>1900</v>
      </c>
      <c r="K3503" s="4">
        <v>186124</v>
      </c>
      <c r="L3503" s="4">
        <v>136798.28571428571</v>
      </c>
      <c r="M3503" s="4">
        <v>1.3889062937296625E-2</v>
      </c>
      <c r="N3503" t="s">
        <v>25</v>
      </c>
      <c r="O3503" t="str">
        <f t="shared" si="540"/>
        <v>Low</v>
      </c>
      <c r="P3503" t="str">
        <f t="shared" si="541"/>
        <v>Low</v>
      </c>
      <c r="Q3503" t="str">
        <f t="shared" si="542"/>
        <v>Low</v>
      </c>
      <c r="R3503" t="s">
        <v>3309</v>
      </c>
      <c r="S3503" s="4">
        <f t="shared" ca="1" si="543"/>
        <v>453</v>
      </c>
      <c r="T3503">
        <f t="shared" si="544"/>
        <v>1</v>
      </c>
      <c r="U3503">
        <f t="shared" si="545"/>
        <v>1</v>
      </c>
      <c r="V3503">
        <f t="shared" si="546"/>
        <v>1</v>
      </c>
      <c r="W3503">
        <f t="shared" si="547"/>
        <v>3</v>
      </c>
      <c r="X3503">
        <f t="shared" si="548"/>
        <v>1.2</v>
      </c>
      <c r="Y3503" t="str">
        <f t="shared" si="549"/>
        <v>Healthy</v>
      </c>
    </row>
    <row r="3504" spans="1:25" x14ac:dyDescent="0.35">
      <c r="A3504" t="s">
        <v>179</v>
      </c>
      <c r="B3504" t="s">
        <v>195</v>
      </c>
      <c r="C3504" t="s">
        <v>422</v>
      </c>
      <c r="D3504" t="s">
        <v>1057</v>
      </c>
      <c r="E3504">
        <v>80891799</v>
      </c>
      <c r="F3504" t="s">
        <v>2386</v>
      </c>
      <c r="G3504" s="3">
        <v>46627</v>
      </c>
      <c r="H3504">
        <v>16</v>
      </c>
      <c r="I3504">
        <v>91</v>
      </c>
      <c r="J3504">
        <v>1825</v>
      </c>
      <c r="K3504" s="4">
        <v>178777</v>
      </c>
      <c r="L3504" s="4">
        <v>136798.28571428571</v>
      </c>
      <c r="M3504" s="4">
        <v>1.3340810452929654E-2</v>
      </c>
      <c r="N3504" t="s">
        <v>25</v>
      </c>
      <c r="O3504" t="str">
        <f t="shared" si="540"/>
        <v>Low</v>
      </c>
      <c r="P3504" t="str">
        <f t="shared" si="541"/>
        <v>Low</v>
      </c>
      <c r="Q3504" t="str">
        <f t="shared" si="542"/>
        <v>Low</v>
      </c>
      <c r="R3504" t="s">
        <v>3309</v>
      </c>
      <c r="S3504" s="4">
        <f t="shared" ca="1" si="543"/>
        <v>430</v>
      </c>
      <c r="T3504">
        <f t="shared" si="544"/>
        <v>1</v>
      </c>
      <c r="U3504">
        <f t="shared" si="545"/>
        <v>1</v>
      </c>
      <c r="V3504">
        <f t="shared" si="546"/>
        <v>1</v>
      </c>
      <c r="W3504">
        <f t="shared" si="547"/>
        <v>3</v>
      </c>
      <c r="X3504">
        <f t="shared" si="548"/>
        <v>1.2</v>
      </c>
      <c r="Y3504" t="str">
        <f t="shared" si="549"/>
        <v>Healthy</v>
      </c>
    </row>
    <row r="3505" spans="1:25" x14ac:dyDescent="0.35">
      <c r="A3505" t="s">
        <v>71</v>
      </c>
      <c r="B3505" t="s">
        <v>72</v>
      </c>
      <c r="C3505" t="s">
        <v>73</v>
      </c>
      <c r="D3505" t="s">
        <v>757</v>
      </c>
      <c r="E3505">
        <v>80867206</v>
      </c>
      <c r="F3505" t="s">
        <v>2393</v>
      </c>
      <c r="G3505" s="3">
        <v>46817</v>
      </c>
      <c r="H3505">
        <v>36</v>
      </c>
      <c r="I3505">
        <v>58</v>
      </c>
      <c r="J3505">
        <v>4</v>
      </c>
      <c r="K3505" s="4">
        <v>11398.96</v>
      </c>
      <c r="L3505" s="4">
        <v>114</v>
      </c>
      <c r="M3505" s="4">
        <v>3.5087719298245612E-2</v>
      </c>
      <c r="N3505" t="s">
        <v>25</v>
      </c>
      <c r="O3505" t="str">
        <f t="shared" si="540"/>
        <v>Low</v>
      </c>
      <c r="P3505" t="str">
        <f t="shared" si="541"/>
        <v>Low</v>
      </c>
      <c r="Q3505" t="str">
        <f t="shared" si="542"/>
        <v>Low</v>
      </c>
      <c r="R3505" t="s">
        <v>3317</v>
      </c>
      <c r="S3505" s="4">
        <f t="shared" ca="1" si="543"/>
        <v>620</v>
      </c>
      <c r="T3505">
        <f t="shared" si="544"/>
        <v>1</v>
      </c>
      <c r="U3505">
        <f t="shared" si="545"/>
        <v>1</v>
      </c>
      <c r="V3505">
        <f t="shared" si="546"/>
        <v>1</v>
      </c>
      <c r="W3505">
        <f t="shared" si="547"/>
        <v>1</v>
      </c>
      <c r="X3505">
        <f t="shared" si="548"/>
        <v>0.99999999999999989</v>
      </c>
      <c r="Y3505" t="str">
        <f t="shared" si="549"/>
        <v>Healthy</v>
      </c>
    </row>
    <row r="3506" spans="1:25" x14ac:dyDescent="0.35">
      <c r="A3506" t="s">
        <v>179</v>
      </c>
      <c r="B3506" t="s">
        <v>195</v>
      </c>
      <c r="C3506" t="s">
        <v>422</v>
      </c>
      <c r="D3506" t="s">
        <v>1057</v>
      </c>
      <c r="E3506">
        <v>80891799</v>
      </c>
      <c r="F3506" t="s">
        <v>2386</v>
      </c>
      <c r="G3506" s="3">
        <v>46621</v>
      </c>
      <c r="H3506">
        <v>16</v>
      </c>
      <c r="I3506">
        <v>89</v>
      </c>
      <c r="J3506">
        <v>1985</v>
      </c>
      <c r="K3506" s="4">
        <v>194450.6</v>
      </c>
      <c r="L3506" s="4">
        <v>136798.28571428571</v>
      </c>
      <c r="M3506" s="4">
        <v>1.4510415752912526E-2</v>
      </c>
      <c r="N3506" t="s">
        <v>25</v>
      </c>
      <c r="O3506" t="str">
        <f t="shared" si="540"/>
        <v>Low</v>
      </c>
      <c r="P3506" t="str">
        <f t="shared" si="541"/>
        <v>Low</v>
      </c>
      <c r="Q3506" t="str">
        <f t="shared" si="542"/>
        <v>Low</v>
      </c>
      <c r="R3506" t="s">
        <v>3309</v>
      </c>
      <c r="S3506" s="4">
        <f t="shared" ca="1" si="543"/>
        <v>424</v>
      </c>
      <c r="T3506">
        <f t="shared" si="544"/>
        <v>1</v>
      </c>
      <c r="U3506">
        <f t="shared" si="545"/>
        <v>1</v>
      </c>
      <c r="V3506">
        <f t="shared" si="546"/>
        <v>1</v>
      </c>
      <c r="W3506">
        <f t="shared" si="547"/>
        <v>3</v>
      </c>
      <c r="X3506">
        <f t="shared" si="548"/>
        <v>1.2</v>
      </c>
      <c r="Y3506" t="str">
        <f t="shared" si="549"/>
        <v>Healthy</v>
      </c>
    </row>
    <row r="3507" spans="1:25" x14ac:dyDescent="0.35">
      <c r="A3507" t="s">
        <v>71</v>
      </c>
      <c r="B3507" t="s">
        <v>72</v>
      </c>
      <c r="C3507" t="s">
        <v>73</v>
      </c>
      <c r="D3507" t="s">
        <v>757</v>
      </c>
      <c r="E3507">
        <v>80867206</v>
      </c>
      <c r="F3507" t="s">
        <v>2393</v>
      </c>
      <c r="G3507" s="3">
        <v>47141</v>
      </c>
      <c r="H3507">
        <v>36</v>
      </c>
      <c r="I3507">
        <v>88</v>
      </c>
      <c r="J3507">
        <v>3</v>
      </c>
      <c r="K3507" s="4">
        <v>8549.2199999999993</v>
      </c>
      <c r="L3507" s="4">
        <v>114</v>
      </c>
      <c r="M3507" s="4">
        <v>2.6315789473684209E-2</v>
      </c>
      <c r="N3507" t="s">
        <v>25</v>
      </c>
      <c r="O3507" t="str">
        <f t="shared" si="540"/>
        <v>Low</v>
      </c>
      <c r="P3507" t="str">
        <f t="shared" si="541"/>
        <v>Low</v>
      </c>
      <c r="Q3507" t="str">
        <f t="shared" si="542"/>
        <v>Low</v>
      </c>
      <c r="R3507" t="s">
        <v>3317</v>
      </c>
      <c r="S3507" s="4">
        <f t="shared" ca="1" si="543"/>
        <v>944</v>
      </c>
      <c r="T3507">
        <f t="shared" si="544"/>
        <v>1</v>
      </c>
      <c r="U3507">
        <f t="shared" si="545"/>
        <v>1</v>
      </c>
      <c r="V3507">
        <f t="shared" si="546"/>
        <v>1</v>
      </c>
      <c r="W3507">
        <f t="shared" si="547"/>
        <v>1</v>
      </c>
      <c r="X3507">
        <f t="shared" si="548"/>
        <v>0.99999999999999989</v>
      </c>
      <c r="Y3507" t="str">
        <f t="shared" si="549"/>
        <v>Healthy</v>
      </c>
    </row>
    <row r="3508" spans="1:25" x14ac:dyDescent="0.35">
      <c r="A3508" t="s">
        <v>179</v>
      </c>
      <c r="B3508" t="s">
        <v>195</v>
      </c>
      <c r="C3508" t="s">
        <v>422</v>
      </c>
      <c r="D3508" t="s">
        <v>1057</v>
      </c>
      <c r="E3508">
        <v>80891799</v>
      </c>
      <c r="F3508" t="s">
        <v>2386</v>
      </c>
      <c r="G3508" s="3">
        <v>46622</v>
      </c>
      <c r="H3508">
        <v>16</v>
      </c>
      <c r="I3508">
        <v>90</v>
      </c>
      <c r="J3508">
        <v>1975</v>
      </c>
      <c r="K3508" s="4">
        <v>193471</v>
      </c>
      <c r="L3508" s="4">
        <v>136798.28571428571</v>
      </c>
      <c r="M3508" s="4">
        <v>1.4437315421663597E-2</v>
      </c>
      <c r="N3508" t="s">
        <v>25</v>
      </c>
      <c r="O3508" t="str">
        <f t="shared" si="540"/>
        <v>Low</v>
      </c>
      <c r="P3508" t="str">
        <f t="shared" si="541"/>
        <v>Low</v>
      </c>
      <c r="Q3508" t="str">
        <f t="shared" si="542"/>
        <v>Low</v>
      </c>
      <c r="R3508" t="s">
        <v>3309</v>
      </c>
      <c r="S3508" s="4">
        <f t="shared" ca="1" si="543"/>
        <v>425</v>
      </c>
      <c r="T3508">
        <f t="shared" si="544"/>
        <v>1</v>
      </c>
      <c r="U3508">
        <f t="shared" si="545"/>
        <v>1</v>
      </c>
      <c r="V3508">
        <f t="shared" si="546"/>
        <v>1</v>
      </c>
      <c r="W3508">
        <f t="shared" si="547"/>
        <v>3</v>
      </c>
      <c r="X3508">
        <f t="shared" si="548"/>
        <v>1.2</v>
      </c>
      <c r="Y3508" t="str">
        <f t="shared" si="549"/>
        <v>Healthy</v>
      </c>
    </row>
    <row r="3509" spans="1:25" x14ac:dyDescent="0.35">
      <c r="A3509" t="s">
        <v>71</v>
      </c>
      <c r="B3509" t="s">
        <v>72</v>
      </c>
      <c r="C3509" t="s">
        <v>73</v>
      </c>
      <c r="D3509" t="s">
        <v>757</v>
      </c>
      <c r="E3509">
        <v>80867206</v>
      </c>
      <c r="F3509" t="s">
        <v>2393</v>
      </c>
      <c r="G3509" s="3">
        <v>46929</v>
      </c>
      <c r="H3509">
        <v>36</v>
      </c>
      <c r="I3509">
        <v>68</v>
      </c>
      <c r="J3509">
        <v>4</v>
      </c>
      <c r="K3509" s="4">
        <v>11398.96</v>
      </c>
      <c r="L3509" s="4">
        <v>114</v>
      </c>
      <c r="M3509" s="4">
        <v>3.5087719298245612E-2</v>
      </c>
      <c r="N3509" t="s">
        <v>25</v>
      </c>
      <c r="O3509" t="str">
        <f t="shared" si="540"/>
        <v>Low</v>
      </c>
      <c r="P3509" t="str">
        <f t="shared" si="541"/>
        <v>Low</v>
      </c>
      <c r="Q3509" t="str">
        <f t="shared" si="542"/>
        <v>Low</v>
      </c>
      <c r="R3509" t="s">
        <v>3317</v>
      </c>
      <c r="S3509" s="4">
        <f t="shared" ca="1" si="543"/>
        <v>732</v>
      </c>
      <c r="T3509">
        <f t="shared" si="544"/>
        <v>1</v>
      </c>
      <c r="U3509">
        <f t="shared" si="545"/>
        <v>1</v>
      </c>
      <c r="V3509">
        <f t="shared" si="546"/>
        <v>1</v>
      </c>
      <c r="W3509">
        <f t="shared" si="547"/>
        <v>1</v>
      </c>
      <c r="X3509">
        <f t="shared" si="548"/>
        <v>0.99999999999999989</v>
      </c>
      <c r="Y3509" t="str">
        <f t="shared" si="549"/>
        <v>Healthy</v>
      </c>
    </row>
    <row r="3510" spans="1:25" x14ac:dyDescent="0.35">
      <c r="A3510" t="s">
        <v>71</v>
      </c>
      <c r="B3510" t="s">
        <v>72</v>
      </c>
      <c r="C3510" t="s">
        <v>73</v>
      </c>
      <c r="D3510" t="s">
        <v>233</v>
      </c>
      <c r="E3510">
        <v>80867201</v>
      </c>
      <c r="F3510" t="s">
        <v>2394</v>
      </c>
      <c r="G3510" s="3">
        <v>46952</v>
      </c>
      <c r="H3510">
        <v>36</v>
      </c>
      <c r="I3510">
        <v>70</v>
      </c>
      <c r="J3510">
        <v>4</v>
      </c>
      <c r="K3510" s="4">
        <v>4297.6000000000004</v>
      </c>
      <c r="L3510" s="4">
        <v>12.571428571428571</v>
      </c>
      <c r="M3510" s="4">
        <v>0.31818181818181818</v>
      </c>
      <c r="N3510" t="s">
        <v>25</v>
      </c>
      <c r="O3510" t="str">
        <f t="shared" si="540"/>
        <v>Low</v>
      </c>
      <c r="P3510" t="str">
        <f t="shared" si="541"/>
        <v>Low</v>
      </c>
      <c r="Q3510" t="str">
        <f t="shared" si="542"/>
        <v>Medium</v>
      </c>
      <c r="R3510" t="s">
        <v>3317</v>
      </c>
      <c r="S3510" s="4">
        <f t="shared" ca="1" si="543"/>
        <v>755</v>
      </c>
      <c r="T3510">
        <f t="shared" si="544"/>
        <v>1</v>
      </c>
      <c r="U3510">
        <f t="shared" si="545"/>
        <v>1</v>
      </c>
      <c r="V3510">
        <f t="shared" si="546"/>
        <v>2</v>
      </c>
      <c r="W3510">
        <f t="shared" si="547"/>
        <v>1</v>
      </c>
      <c r="X3510">
        <f t="shared" si="548"/>
        <v>1.2000000000000002</v>
      </c>
      <c r="Y3510" t="str">
        <f t="shared" si="549"/>
        <v>Healthy</v>
      </c>
    </row>
    <row r="3511" spans="1:25" x14ac:dyDescent="0.35">
      <c r="A3511" t="s">
        <v>71</v>
      </c>
      <c r="B3511" t="s">
        <v>72</v>
      </c>
      <c r="C3511" t="s">
        <v>73</v>
      </c>
      <c r="D3511" t="s">
        <v>233</v>
      </c>
      <c r="E3511">
        <v>80867201</v>
      </c>
      <c r="F3511" t="s">
        <v>2394</v>
      </c>
      <c r="G3511" s="3">
        <v>47020</v>
      </c>
      <c r="H3511">
        <v>36</v>
      </c>
      <c r="I3511">
        <v>77</v>
      </c>
      <c r="J3511">
        <v>6</v>
      </c>
      <c r="K3511" s="4">
        <v>6446.4</v>
      </c>
      <c r="L3511" s="4">
        <v>12.571428571428571</v>
      </c>
      <c r="M3511" s="4">
        <v>0.47727272727272729</v>
      </c>
      <c r="N3511" t="s">
        <v>25</v>
      </c>
      <c r="O3511" t="str">
        <f t="shared" si="540"/>
        <v>Low</v>
      </c>
      <c r="P3511" t="str">
        <f t="shared" si="541"/>
        <v>Low</v>
      </c>
      <c r="Q3511" t="str">
        <f t="shared" si="542"/>
        <v>Medium</v>
      </c>
      <c r="R3511" t="s">
        <v>3317</v>
      </c>
      <c r="S3511" s="4">
        <f t="shared" ca="1" si="543"/>
        <v>823</v>
      </c>
      <c r="T3511">
        <f t="shared" si="544"/>
        <v>1</v>
      </c>
      <c r="U3511">
        <f t="shared" si="545"/>
        <v>1</v>
      </c>
      <c r="V3511">
        <f t="shared" si="546"/>
        <v>2</v>
      </c>
      <c r="W3511">
        <f t="shared" si="547"/>
        <v>1</v>
      </c>
      <c r="X3511">
        <f t="shared" si="548"/>
        <v>1.2000000000000002</v>
      </c>
      <c r="Y3511" t="str">
        <f t="shared" si="549"/>
        <v>Healthy</v>
      </c>
    </row>
    <row r="3512" spans="1:25" x14ac:dyDescent="0.35">
      <c r="A3512" t="s">
        <v>179</v>
      </c>
      <c r="B3512" t="s">
        <v>195</v>
      </c>
      <c r="C3512" t="s">
        <v>422</v>
      </c>
      <c r="D3512" t="s">
        <v>1057</v>
      </c>
      <c r="E3512">
        <v>80891799</v>
      </c>
      <c r="F3512" t="s">
        <v>2386</v>
      </c>
      <c r="G3512" s="3">
        <v>46657</v>
      </c>
      <c r="H3512">
        <v>16</v>
      </c>
      <c r="I3512">
        <v>97</v>
      </c>
      <c r="J3512">
        <v>670</v>
      </c>
      <c r="K3512" s="4">
        <v>65633.2</v>
      </c>
      <c r="L3512" s="4">
        <v>136798.28571428571</v>
      </c>
      <c r="M3512" s="4">
        <v>4.8977221936782837E-3</v>
      </c>
      <c r="N3512" t="s">
        <v>25</v>
      </c>
      <c r="O3512" t="str">
        <f t="shared" si="540"/>
        <v>Low</v>
      </c>
      <c r="P3512" t="str">
        <f t="shared" si="541"/>
        <v>Low</v>
      </c>
      <c r="Q3512" t="str">
        <f t="shared" si="542"/>
        <v>Low</v>
      </c>
      <c r="R3512" t="s">
        <v>3317</v>
      </c>
      <c r="S3512" s="4">
        <f t="shared" ca="1" si="543"/>
        <v>460</v>
      </c>
      <c r="T3512">
        <f t="shared" si="544"/>
        <v>1</v>
      </c>
      <c r="U3512">
        <f t="shared" si="545"/>
        <v>1</v>
      </c>
      <c r="V3512">
        <f t="shared" si="546"/>
        <v>1</v>
      </c>
      <c r="W3512">
        <f t="shared" si="547"/>
        <v>1</v>
      </c>
      <c r="X3512">
        <f t="shared" si="548"/>
        <v>0.99999999999999989</v>
      </c>
      <c r="Y3512" t="str">
        <f t="shared" si="549"/>
        <v>Healthy</v>
      </c>
    </row>
    <row r="3513" spans="1:25" x14ac:dyDescent="0.35">
      <c r="A3513" t="s">
        <v>71</v>
      </c>
      <c r="B3513" t="s">
        <v>72</v>
      </c>
      <c r="C3513" t="s">
        <v>73</v>
      </c>
      <c r="D3513" t="s">
        <v>233</v>
      </c>
      <c r="E3513">
        <v>80867201</v>
      </c>
      <c r="F3513" t="s">
        <v>2394</v>
      </c>
      <c r="G3513" s="3">
        <v>47004</v>
      </c>
      <c r="H3513">
        <v>36</v>
      </c>
      <c r="I3513">
        <v>75</v>
      </c>
      <c r="J3513">
        <v>3</v>
      </c>
      <c r="K3513" s="4">
        <v>3223.2</v>
      </c>
      <c r="L3513" s="4">
        <v>12.571428571428571</v>
      </c>
      <c r="M3513" s="4">
        <v>0.23863636363636365</v>
      </c>
      <c r="N3513" t="s">
        <v>25</v>
      </c>
      <c r="O3513" t="str">
        <f t="shared" si="540"/>
        <v>Low</v>
      </c>
      <c r="P3513" t="str">
        <f t="shared" si="541"/>
        <v>Low</v>
      </c>
      <c r="Q3513" t="str">
        <f t="shared" si="542"/>
        <v>Medium</v>
      </c>
      <c r="R3513" t="s">
        <v>3317</v>
      </c>
      <c r="S3513" s="4">
        <f t="shared" ca="1" si="543"/>
        <v>807</v>
      </c>
      <c r="T3513">
        <f t="shared" si="544"/>
        <v>1</v>
      </c>
      <c r="U3513">
        <f t="shared" si="545"/>
        <v>1</v>
      </c>
      <c r="V3513">
        <f t="shared" si="546"/>
        <v>2</v>
      </c>
      <c r="W3513">
        <f t="shared" si="547"/>
        <v>1</v>
      </c>
      <c r="X3513">
        <f t="shared" si="548"/>
        <v>1.2000000000000002</v>
      </c>
      <c r="Y3513" t="str">
        <f t="shared" si="549"/>
        <v>Healthy</v>
      </c>
    </row>
    <row r="3514" spans="1:25" x14ac:dyDescent="0.35">
      <c r="A3514" t="s">
        <v>179</v>
      </c>
      <c r="B3514" t="s">
        <v>195</v>
      </c>
      <c r="C3514" t="s">
        <v>422</v>
      </c>
      <c r="D3514" t="s">
        <v>1057</v>
      </c>
      <c r="E3514">
        <v>80891799</v>
      </c>
      <c r="F3514" t="s">
        <v>2386</v>
      </c>
      <c r="G3514" s="3">
        <v>46675</v>
      </c>
      <c r="H3514">
        <v>16</v>
      </c>
      <c r="I3514">
        <v>100</v>
      </c>
      <c r="J3514">
        <v>6240</v>
      </c>
      <c r="K3514" s="4">
        <v>611270.40000000002</v>
      </c>
      <c r="L3514" s="4">
        <v>136798.28571428571</v>
      </c>
      <c r="M3514" s="4">
        <v>4.5614606699332073E-2</v>
      </c>
      <c r="N3514" t="s">
        <v>25</v>
      </c>
      <c r="O3514" t="str">
        <f t="shared" si="540"/>
        <v>Low</v>
      </c>
      <c r="P3514" t="str">
        <f t="shared" si="541"/>
        <v>Low</v>
      </c>
      <c r="Q3514" t="str">
        <f t="shared" si="542"/>
        <v>Low</v>
      </c>
      <c r="R3514" t="s">
        <v>3309</v>
      </c>
      <c r="S3514" s="4">
        <f t="shared" ca="1" si="543"/>
        <v>478</v>
      </c>
      <c r="T3514">
        <f t="shared" si="544"/>
        <v>1</v>
      </c>
      <c r="U3514">
        <f t="shared" si="545"/>
        <v>1</v>
      </c>
      <c r="V3514">
        <f t="shared" si="546"/>
        <v>1</v>
      </c>
      <c r="W3514">
        <f t="shared" si="547"/>
        <v>3</v>
      </c>
      <c r="X3514">
        <f t="shared" si="548"/>
        <v>1.2</v>
      </c>
      <c r="Y3514" t="str">
        <f t="shared" si="549"/>
        <v>Healthy</v>
      </c>
    </row>
    <row r="3515" spans="1:25" x14ac:dyDescent="0.35">
      <c r="A3515" t="s">
        <v>71</v>
      </c>
      <c r="B3515" t="s">
        <v>72</v>
      </c>
      <c r="C3515" t="s">
        <v>73</v>
      </c>
      <c r="D3515" t="s">
        <v>233</v>
      </c>
      <c r="E3515">
        <v>80867201</v>
      </c>
      <c r="F3515" t="s">
        <v>2394</v>
      </c>
      <c r="G3515" s="3">
        <v>46992</v>
      </c>
      <c r="H3515">
        <v>36</v>
      </c>
      <c r="I3515">
        <v>74</v>
      </c>
      <c r="J3515">
        <v>1</v>
      </c>
      <c r="K3515" s="4">
        <v>1074.4000000000001</v>
      </c>
      <c r="L3515" s="4">
        <v>12.571428571428571</v>
      </c>
      <c r="M3515" s="4">
        <v>7.9545454545454544E-2</v>
      </c>
      <c r="N3515" t="s">
        <v>25</v>
      </c>
      <c r="O3515" t="str">
        <f t="shared" si="540"/>
        <v>Low</v>
      </c>
      <c r="P3515" t="str">
        <f t="shared" si="541"/>
        <v>Low</v>
      </c>
      <c r="Q3515" t="str">
        <f t="shared" si="542"/>
        <v>Medium</v>
      </c>
      <c r="R3515" t="s">
        <v>3317</v>
      </c>
      <c r="S3515" s="4">
        <f t="shared" ca="1" si="543"/>
        <v>795</v>
      </c>
      <c r="T3515">
        <f t="shared" si="544"/>
        <v>1</v>
      </c>
      <c r="U3515">
        <f t="shared" si="545"/>
        <v>1</v>
      </c>
      <c r="V3515">
        <f t="shared" si="546"/>
        <v>2</v>
      </c>
      <c r="W3515">
        <f t="shared" si="547"/>
        <v>1</v>
      </c>
      <c r="X3515">
        <f t="shared" si="548"/>
        <v>1.2000000000000002</v>
      </c>
      <c r="Y3515" t="str">
        <f t="shared" si="549"/>
        <v>Healthy</v>
      </c>
    </row>
    <row r="3516" spans="1:25" x14ac:dyDescent="0.35">
      <c r="A3516" t="s">
        <v>179</v>
      </c>
      <c r="B3516" t="s">
        <v>195</v>
      </c>
      <c r="C3516" t="s">
        <v>422</v>
      </c>
      <c r="D3516" t="s">
        <v>1057</v>
      </c>
      <c r="E3516">
        <v>80891799</v>
      </c>
      <c r="F3516" t="s">
        <v>2386</v>
      </c>
      <c r="G3516" s="3">
        <v>46649</v>
      </c>
      <c r="H3516">
        <v>16</v>
      </c>
      <c r="I3516">
        <v>95</v>
      </c>
      <c r="J3516">
        <v>4215</v>
      </c>
      <c r="K3516" s="4">
        <v>412901.4</v>
      </c>
      <c r="L3516" s="4">
        <v>136798.28571428571</v>
      </c>
      <c r="M3516" s="4">
        <v>3.0811789621423828E-2</v>
      </c>
      <c r="N3516" t="s">
        <v>25</v>
      </c>
      <c r="O3516" t="str">
        <f t="shared" si="540"/>
        <v>Low</v>
      </c>
      <c r="P3516" t="str">
        <f t="shared" si="541"/>
        <v>Low</v>
      </c>
      <c r="Q3516" t="str">
        <f t="shared" si="542"/>
        <v>Low</v>
      </c>
      <c r="R3516" t="s">
        <v>3309</v>
      </c>
      <c r="S3516" s="4">
        <f t="shared" ca="1" si="543"/>
        <v>452</v>
      </c>
      <c r="T3516">
        <f t="shared" si="544"/>
        <v>1</v>
      </c>
      <c r="U3516">
        <f t="shared" si="545"/>
        <v>1</v>
      </c>
      <c r="V3516">
        <f t="shared" si="546"/>
        <v>1</v>
      </c>
      <c r="W3516">
        <f t="shared" si="547"/>
        <v>3</v>
      </c>
      <c r="X3516">
        <f t="shared" si="548"/>
        <v>1.2</v>
      </c>
      <c r="Y3516" t="str">
        <f t="shared" si="549"/>
        <v>Healthy</v>
      </c>
    </row>
    <row r="3517" spans="1:25" x14ac:dyDescent="0.35">
      <c r="A3517" t="s">
        <v>71</v>
      </c>
      <c r="B3517" t="s">
        <v>72</v>
      </c>
      <c r="C3517" t="s">
        <v>73</v>
      </c>
      <c r="D3517" t="s">
        <v>233</v>
      </c>
      <c r="E3517">
        <v>80867201</v>
      </c>
      <c r="F3517" t="s">
        <v>2394</v>
      </c>
      <c r="G3517" s="3">
        <v>46929</v>
      </c>
      <c r="H3517">
        <v>36</v>
      </c>
      <c r="I3517">
        <v>68</v>
      </c>
      <c r="J3517">
        <v>4</v>
      </c>
      <c r="K3517" s="4">
        <v>4297.6000000000004</v>
      </c>
      <c r="L3517" s="4">
        <v>12.571428571428571</v>
      </c>
      <c r="M3517" s="4">
        <v>0.31818181818181818</v>
      </c>
      <c r="N3517" t="s">
        <v>25</v>
      </c>
      <c r="O3517" t="str">
        <f t="shared" si="540"/>
        <v>Low</v>
      </c>
      <c r="P3517" t="str">
        <f t="shared" si="541"/>
        <v>Low</v>
      </c>
      <c r="Q3517" t="str">
        <f t="shared" si="542"/>
        <v>Medium</v>
      </c>
      <c r="R3517" t="s">
        <v>3317</v>
      </c>
      <c r="S3517" s="4">
        <f t="shared" ca="1" si="543"/>
        <v>732</v>
      </c>
      <c r="T3517">
        <f t="shared" si="544"/>
        <v>1</v>
      </c>
      <c r="U3517">
        <f t="shared" si="545"/>
        <v>1</v>
      </c>
      <c r="V3517">
        <f t="shared" si="546"/>
        <v>2</v>
      </c>
      <c r="W3517">
        <f t="shared" si="547"/>
        <v>1</v>
      </c>
      <c r="X3517">
        <f t="shared" si="548"/>
        <v>1.2000000000000002</v>
      </c>
      <c r="Y3517" t="str">
        <f t="shared" si="549"/>
        <v>Healthy</v>
      </c>
    </row>
    <row r="3518" spans="1:25" x14ac:dyDescent="0.35">
      <c r="A3518" t="s">
        <v>71</v>
      </c>
      <c r="B3518" t="s">
        <v>72</v>
      </c>
      <c r="C3518" t="s">
        <v>73</v>
      </c>
      <c r="D3518" t="s">
        <v>233</v>
      </c>
      <c r="E3518">
        <v>80867201</v>
      </c>
      <c r="F3518" t="s">
        <v>2394</v>
      </c>
      <c r="G3518" s="3">
        <v>46920</v>
      </c>
      <c r="H3518">
        <v>36</v>
      </c>
      <c r="I3518">
        <v>67</v>
      </c>
      <c r="J3518">
        <v>2</v>
      </c>
      <c r="K3518" s="4">
        <v>2148.8000000000002</v>
      </c>
      <c r="L3518" s="4">
        <v>12.571428571428571</v>
      </c>
      <c r="M3518" s="4">
        <v>0.15909090909090909</v>
      </c>
      <c r="N3518" t="s">
        <v>25</v>
      </c>
      <c r="O3518" t="str">
        <f t="shared" si="540"/>
        <v>Low</v>
      </c>
      <c r="P3518" t="str">
        <f t="shared" si="541"/>
        <v>Low</v>
      </c>
      <c r="Q3518" t="str">
        <f t="shared" si="542"/>
        <v>Medium</v>
      </c>
      <c r="R3518" t="s">
        <v>3317</v>
      </c>
      <c r="S3518" s="4">
        <f t="shared" ca="1" si="543"/>
        <v>723</v>
      </c>
      <c r="T3518">
        <f t="shared" si="544"/>
        <v>1</v>
      </c>
      <c r="U3518">
        <f t="shared" si="545"/>
        <v>1</v>
      </c>
      <c r="V3518">
        <f t="shared" si="546"/>
        <v>2</v>
      </c>
      <c r="W3518">
        <f t="shared" si="547"/>
        <v>1</v>
      </c>
      <c r="X3518">
        <f t="shared" si="548"/>
        <v>1.2000000000000002</v>
      </c>
      <c r="Y3518" t="str">
        <f t="shared" si="549"/>
        <v>Healthy</v>
      </c>
    </row>
    <row r="3519" spans="1:25" x14ac:dyDescent="0.35">
      <c r="A3519" t="s">
        <v>71</v>
      </c>
      <c r="B3519" t="s">
        <v>72</v>
      </c>
      <c r="C3519" t="s">
        <v>73</v>
      </c>
      <c r="D3519" t="s">
        <v>233</v>
      </c>
      <c r="E3519">
        <v>80867201</v>
      </c>
      <c r="F3519" t="s">
        <v>2394</v>
      </c>
      <c r="G3519" s="3">
        <v>47004</v>
      </c>
      <c r="H3519">
        <v>36</v>
      </c>
      <c r="I3519">
        <v>75</v>
      </c>
      <c r="J3519">
        <v>4</v>
      </c>
      <c r="K3519" s="4">
        <v>4297.6000000000004</v>
      </c>
      <c r="L3519" s="4">
        <v>12.571428571428571</v>
      </c>
      <c r="M3519" s="4">
        <v>0.31818181818181818</v>
      </c>
      <c r="N3519" t="s">
        <v>25</v>
      </c>
      <c r="O3519" t="str">
        <f t="shared" si="540"/>
        <v>Low</v>
      </c>
      <c r="P3519" t="str">
        <f t="shared" si="541"/>
        <v>Low</v>
      </c>
      <c r="Q3519" t="str">
        <f t="shared" si="542"/>
        <v>Medium</v>
      </c>
      <c r="R3519" t="s">
        <v>3317</v>
      </c>
      <c r="S3519" s="4">
        <f t="shared" ca="1" si="543"/>
        <v>807</v>
      </c>
      <c r="T3519">
        <f t="shared" si="544"/>
        <v>1</v>
      </c>
      <c r="U3519">
        <f t="shared" si="545"/>
        <v>1</v>
      </c>
      <c r="V3519">
        <f t="shared" si="546"/>
        <v>2</v>
      </c>
      <c r="W3519">
        <f t="shared" si="547"/>
        <v>1</v>
      </c>
      <c r="X3519">
        <f t="shared" si="548"/>
        <v>1.2000000000000002</v>
      </c>
      <c r="Y3519" t="str">
        <f t="shared" si="549"/>
        <v>Healthy</v>
      </c>
    </row>
    <row r="3520" spans="1:25" x14ac:dyDescent="0.35">
      <c r="A3520" t="s">
        <v>179</v>
      </c>
      <c r="B3520" t="s">
        <v>195</v>
      </c>
      <c r="C3520" t="s">
        <v>422</v>
      </c>
      <c r="D3520" t="s">
        <v>1057</v>
      </c>
      <c r="E3520">
        <v>80891799</v>
      </c>
      <c r="F3520" t="s">
        <v>2386</v>
      </c>
      <c r="G3520" s="3">
        <v>46642</v>
      </c>
      <c r="H3520">
        <v>16</v>
      </c>
      <c r="I3520">
        <v>94</v>
      </c>
      <c r="J3520">
        <v>5</v>
      </c>
      <c r="K3520" s="4">
        <v>489.8</v>
      </c>
      <c r="L3520" s="4">
        <v>136798.28571428571</v>
      </c>
      <c r="M3520" s="4">
        <v>3.65501656244648E-5</v>
      </c>
      <c r="N3520" t="s">
        <v>25</v>
      </c>
      <c r="O3520" t="str">
        <f t="shared" si="540"/>
        <v>Low</v>
      </c>
      <c r="P3520" t="str">
        <f t="shared" si="541"/>
        <v>Low</v>
      </c>
      <c r="Q3520" t="str">
        <f t="shared" si="542"/>
        <v>Low</v>
      </c>
      <c r="R3520" t="s">
        <v>3317</v>
      </c>
      <c r="S3520" s="4">
        <f t="shared" ca="1" si="543"/>
        <v>445</v>
      </c>
      <c r="T3520">
        <f t="shared" si="544"/>
        <v>1</v>
      </c>
      <c r="U3520">
        <f t="shared" si="545"/>
        <v>1</v>
      </c>
      <c r="V3520">
        <f t="shared" si="546"/>
        <v>1</v>
      </c>
      <c r="W3520">
        <f t="shared" si="547"/>
        <v>1</v>
      </c>
      <c r="X3520">
        <f t="shared" si="548"/>
        <v>0.99999999999999989</v>
      </c>
      <c r="Y3520" t="str">
        <f t="shared" si="549"/>
        <v>Healthy</v>
      </c>
    </row>
    <row r="3521" spans="1:25" x14ac:dyDescent="0.35">
      <c r="A3521" t="s">
        <v>179</v>
      </c>
      <c r="B3521" t="s">
        <v>195</v>
      </c>
      <c r="C3521" t="s">
        <v>422</v>
      </c>
      <c r="D3521" t="s">
        <v>1057</v>
      </c>
      <c r="E3521">
        <v>80891799</v>
      </c>
      <c r="F3521" t="s">
        <v>2386</v>
      </c>
      <c r="G3521" s="3">
        <v>46632</v>
      </c>
      <c r="H3521">
        <v>16</v>
      </c>
      <c r="I3521">
        <v>92</v>
      </c>
      <c r="J3521">
        <v>2045</v>
      </c>
      <c r="K3521" s="4">
        <v>200328.2</v>
      </c>
      <c r="L3521" s="4">
        <v>136798.28571428571</v>
      </c>
      <c r="M3521" s="4">
        <v>1.4949017740406105E-2</v>
      </c>
      <c r="N3521" t="s">
        <v>25</v>
      </c>
      <c r="O3521" t="str">
        <f t="shared" si="540"/>
        <v>Low</v>
      </c>
      <c r="P3521" t="str">
        <f t="shared" si="541"/>
        <v>Low</v>
      </c>
      <c r="Q3521" t="str">
        <f t="shared" si="542"/>
        <v>Low</v>
      </c>
      <c r="R3521" t="s">
        <v>3309</v>
      </c>
      <c r="S3521" s="4">
        <f t="shared" ca="1" si="543"/>
        <v>435</v>
      </c>
      <c r="T3521">
        <f t="shared" si="544"/>
        <v>1</v>
      </c>
      <c r="U3521">
        <f t="shared" si="545"/>
        <v>1</v>
      </c>
      <c r="V3521">
        <f t="shared" si="546"/>
        <v>1</v>
      </c>
      <c r="W3521">
        <f t="shared" si="547"/>
        <v>3</v>
      </c>
      <c r="X3521">
        <f t="shared" si="548"/>
        <v>1.2</v>
      </c>
      <c r="Y3521" t="str">
        <f t="shared" si="549"/>
        <v>Healthy</v>
      </c>
    </row>
    <row r="3522" spans="1:25" x14ac:dyDescent="0.35">
      <c r="A3522" t="s">
        <v>179</v>
      </c>
      <c r="B3522" t="s">
        <v>195</v>
      </c>
      <c r="C3522" t="s">
        <v>422</v>
      </c>
      <c r="D3522" t="s">
        <v>1057</v>
      </c>
      <c r="E3522">
        <v>80891799</v>
      </c>
      <c r="F3522" t="s">
        <v>2386</v>
      </c>
      <c r="G3522" s="3">
        <v>46644</v>
      </c>
      <c r="H3522">
        <v>16</v>
      </c>
      <c r="I3522">
        <v>94</v>
      </c>
      <c r="J3522">
        <v>1770</v>
      </c>
      <c r="K3522" s="4">
        <v>173389.2</v>
      </c>
      <c r="L3522" s="4">
        <v>136798.28571428571</v>
      </c>
      <c r="M3522" s="4">
        <v>1.293875863106054E-2</v>
      </c>
      <c r="N3522" t="s">
        <v>25</v>
      </c>
      <c r="O3522" t="str">
        <f t="shared" si="540"/>
        <v>Low</v>
      </c>
      <c r="P3522" t="str">
        <f t="shared" si="541"/>
        <v>Low</v>
      </c>
      <c r="Q3522" t="str">
        <f t="shared" si="542"/>
        <v>Low</v>
      </c>
      <c r="R3522" t="s">
        <v>3309</v>
      </c>
      <c r="S3522" s="4">
        <f t="shared" ca="1" si="543"/>
        <v>447</v>
      </c>
      <c r="T3522">
        <f t="shared" si="544"/>
        <v>1</v>
      </c>
      <c r="U3522">
        <f t="shared" si="545"/>
        <v>1</v>
      </c>
      <c r="V3522">
        <f t="shared" si="546"/>
        <v>1</v>
      </c>
      <c r="W3522">
        <f t="shared" si="547"/>
        <v>3</v>
      </c>
      <c r="X3522">
        <f t="shared" si="548"/>
        <v>1.2</v>
      </c>
      <c r="Y3522" t="str">
        <f t="shared" si="549"/>
        <v>Healthy</v>
      </c>
    </row>
    <row r="3523" spans="1:25" x14ac:dyDescent="0.35">
      <c r="A3523" t="s">
        <v>179</v>
      </c>
      <c r="B3523" t="s">
        <v>195</v>
      </c>
      <c r="C3523" t="s">
        <v>422</v>
      </c>
      <c r="D3523" t="s">
        <v>1057</v>
      </c>
      <c r="E3523">
        <v>80891799</v>
      </c>
      <c r="F3523" t="s">
        <v>2386</v>
      </c>
      <c r="G3523" s="3">
        <v>46621</v>
      </c>
      <c r="H3523">
        <v>16</v>
      </c>
      <c r="I3523">
        <v>89</v>
      </c>
      <c r="J3523">
        <v>1885</v>
      </c>
      <c r="K3523" s="4">
        <v>184654.6</v>
      </c>
      <c r="L3523" s="4">
        <v>136798.28571428571</v>
      </c>
      <c r="M3523" s="4">
        <v>1.377941244042323E-2</v>
      </c>
      <c r="N3523" t="s">
        <v>25</v>
      </c>
      <c r="O3523" t="str">
        <f t="shared" ref="O3523:O3586" si="550">IF(I3523&lt;20,"High",IF(I3523&lt;40,"Medium","Low"))</f>
        <v>Low</v>
      </c>
      <c r="P3523" t="str">
        <f t="shared" ref="P3523:P3586" si="551">IF(M3523&gt;8,"High",IF(M3523&gt;4,"Medium","Low"))</f>
        <v>Low</v>
      </c>
      <c r="Q3523" t="str">
        <f t="shared" ref="Q3523:Q3586" si="552">IF(L3523&lt;5,"High",IF(L3523&lt;15,"Medium","Low"))</f>
        <v>Low</v>
      </c>
      <c r="R3523" t="s">
        <v>3309</v>
      </c>
      <c r="S3523" s="4">
        <f t="shared" ref="S3523:S3586" ca="1" si="553">G3523-TODAY()</f>
        <v>424</v>
      </c>
      <c r="T3523">
        <f t="shared" ref="T3523:T3586" si="554">IF(O3523="High",3,IF(O3523="Medium",2,1))</f>
        <v>1</v>
      </c>
      <c r="U3523">
        <f t="shared" ref="U3523:U3586" si="555">IF(P3523="High",3,IF(P3523="Medium",2,1))</f>
        <v>1</v>
      </c>
      <c r="V3523">
        <f t="shared" ref="V3523:V3586" si="556">IF(Q3523="High",3,IF(Q3523="Medium",2,1))</f>
        <v>1</v>
      </c>
      <c r="W3523">
        <f t="shared" ref="W3523:W3586" si="557">IF(R3523="High",3,IF(R3523="Medium",2,1))</f>
        <v>3</v>
      </c>
      <c r="X3523">
        <f t="shared" ref="X3523:X3586" si="558">(0.4*T3523)+(0.3*U3523)+(0.2*V3523)+(0.1*W3523)</f>
        <v>1.2</v>
      </c>
      <c r="Y3523" t="str">
        <f t="shared" ref="Y3523:Y3586" si="559">IF(X3523&gt;=2.7,"Move Immediately",IF(X3523&gt;=2.2,"High Priority",IF(X3523&gt;=1.7,"Monitor","Healthy")))</f>
        <v>Healthy</v>
      </c>
    </row>
    <row r="3524" spans="1:25" x14ac:dyDescent="0.35">
      <c r="A3524" t="s">
        <v>179</v>
      </c>
      <c r="B3524" t="s">
        <v>195</v>
      </c>
      <c r="C3524" t="s">
        <v>422</v>
      </c>
      <c r="D3524" t="s">
        <v>1057</v>
      </c>
      <c r="E3524">
        <v>80891799</v>
      </c>
      <c r="F3524" t="s">
        <v>2386</v>
      </c>
      <c r="G3524" s="3">
        <v>46620</v>
      </c>
      <c r="H3524">
        <v>16</v>
      </c>
      <c r="I3524">
        <v>89</v>
      </c>
      <c r="J3524">
        <v>1970</v>
      </c>
      <c r="K3524" s="4">
        <v>192981.2</v>
      </c>
      <c r="L3524" s="4">
        <v>136798.28571428571</v>
      </c>
      <c r="M3524" s="4">
        <v>1.4400765256039132E-2</v>
      </c>
      <c r="N3524" t="s">
        <v>25</v>
      </c>
      <c r="O3524" t="str">
        <f t="shared" si="550"/>
        <v>Low</v>
      </c>
      <c r="P3524" t="str">
        <f t="shared" si="551"/>
        <v>Low</v>
      </c>
      <c r="Q3524" t="str">
        <f t="shared" si="552"/>
        <v>Low</v>
      </c>
      <c r="R3524" t="s">
        <v>3309</v>
      </c>
      <c r="S3524" s="4">
        <f t="shared" ca="1" si="553"/>
        <v>423</v>
      </c>
      <c r="T3524">
        <f t="shared" si="554"/>
        <v>1</v>
      </c>
      <c r="U3524">
        <f t="shared" si="555"/>
        <v>1</v>
      </c>
      <c r="V3524">
        <f t="shared" si="556"/>
        <v>1</v>
      </c>
      <c r="W3524">
        <f t="shared" si="557"/>
        <v>3</v>
      </c>
      <c r="X3524">
        <f t="shared" si="558"/>
        <v>1.2</v>
      </c>
      <c r="Y3524" t="str">
        <f t="shared" si="559"/>
        <v>Healthy</v>
      </c>
    </row>
    <row r="3525" spans="1:25" x14ac:dyDescent="0.35">
      <c r="A3525" t="s">
        <v>179</v>
      </c>
      <c r="B3525" t="s">
        <v>195</v>
      </c>
      <c r="C3525" t="s">
        <v>422</v>
      </c>
      <c r="D3525" t="s">
        <v>1057</v>
      </c>
      <c r="E3525">
        <v>80891799</v>
      </c>
      <c r="F3525" t="s">
        <v>2386</v>
      </c>
      <c r="G3525" s="3">
        <v>46618</v>
      </c>
      <c r="H3525">
        <v>16</v>
      </c>
      <c r="I3525">
        <v>89</v>
      </c>
      <c r="J3525">
        <v>1170</v>
      </c>
      <c r="K3525" s="4">
        <v>114613.2</v>
      </c>
      <c r="L3525" s="4">
        <v>136798.28571428571</v>
      </c>
      <c r="M3525" s="4">
        <v>8.5527387561247642E-3</v>
      </c>
      <c r="N3525" t="s">
        <v>25</v>
      </c>
      <c r="O3525" t="str">
        <f t="shared" si="550"/>
        <v>Low</v>
      </c>
      <c r="P3525" t="str">
        <f t="shared" si="551"/>
        <v>Low</v>
      </c>
      <c r="Q3525" t="str">
        <f t="shared" si="552"/>
        <v>Low</v>
      </c>
      <c r="R3525" t="s">
        <v>3310</v>
      </c>
      <c r="S3525" s="4">
        <f t="shared" ca="1" si="553"/>
        <v>421</v>
      </c>
      <c r="T3525">
        <f t="shared" si="554"/>
        <v>1</v>
      </c>
      <c r="U3525">
        <f t="shared" si="555"/>
        <v>1</v>
      </c>
      <c r="V3525">
        <f t="shared" si="556"/>
        <v>1</v>
      </c>
      <c r="W3525">
        <f t="shared" si="557"/>
        <v>2</v>
      </c>
      <c r="X3525">
        <f t="shared" si="558"/>
        <v>1.0999999999999999</v>
      </c>
      <c r="Y3525" t="str">
        <f t="shared" si="559"/>
        <v>Healthy</v>
      </c>
    </row>
    <row r="3526" spans="1:25" x14ac:dyDescent="0.35">
      <c r="A3526" t="s">
        <v>179</v>
      </c>
      <c r="B3526" t="s">
        <v>195</v>
      </c>
      <c r="C3526" t="s">
        <v>422</v>
      </c>
      <c r="D3526" t="s">
        <v>1057</v>
      </c>
      <c r="E3526">
        <v>80891799</v>
      </c>
      <c r="F3526" t="s">
        <v>2386</v>
      </c>
      <c r="G3526" s="3">
        <v>46649</v>
      </c>
      <c r="H3526">
        <v>16</v>
      </c>
      <c r="I3526">
        <v>95</v>
      </c>
      <c r="J3526">
        <v>1885</v>
      </c>
      <c r="K3526" s="4">
        <v>184654.6</v>
      </c>
      <c r="L3526" s="4">
        <v>136798.28571428571</v>
      </c>
      <c r="M3526" s="4">
        <v>1.377941244042323E-2</v>
      </c>
      <c r="N3526" t="s">
        <v>25</v>
      </c>
      <c r="O3526" t="str">
        <f t="shared" si="550"/>
        <v>Low</v>
      </c>
      <c r="P3526" t="str">
        <f t="shared" si="551"/>
        <v>Low</v>
      </c>
      <c r="Q3526" t="str">
        <f t="shared" si="552"/>
        <v>Low</v>
      </c>
      <c r="R3526" t="s">
        <v>3309</v>
      </c>
      <c r="S3526" s="4">
        <f t="shared" ca="1" si="553"/>
        <v>452</v>
      </c>
      <c r="T3526">
        <f t="shared" si="554"/>
        <v>1</v>
      </c>
      <c r="U3526">
        <f t="shared" si="555"/>
        <v>1</v>
      </c>
      <c r="V3526">
        <f t="shared" si="556"/>
        <v>1</v>
      </c>
      <c r="W3526">
        <f t="shared" si="557"/>
        <v>3</v>
      </c>
      <c r="X3526">
        <f t="shared" si="558"/>
        <v>1.2</v>
      </c>
      <c r="Y3526" t="str">
        <f t="shared" si="559"/>
        <v>Healthy</v>
      </c>
    </row>
    <row r="3527" spans="1:25" x14ac:dyDescent="0.35">
      <c r="A3527" t="s">
        <v>29</v>
      </c>
      <c r="B3527" t="s">
        <v>30</v>
      </c>
      <c r="C3527" t="s">
        <v>31</v>
      </c>
      <c r="D3527" t="s">
        <v>1429</v>
      </c>
      <c r="E3527">
        <v>80839579</v>
      </c>
      <c r="F3527" t="s">
        <v>2395</v>
      </c>
      <c r="G3527" s="3">
        <v>47146</v>
      </c>
      <c r="H3527">
        <v>36</v>
      </c>
      <c r="I3527">
        <v>88</v>
      </c>
      <c r="J3527">
        <v>24</v>
      </c>
      <c r="K3527" s="4">
        <v>38379.599999999999</v>
      </c>
      <c r="L3527" s="4">
        <v>16.571428571428573</v>
      </c>
      <c r="M3527" s="4">
        <v>1.4482758620689653</v>
      </c>
      <c r="N3527" t="s">
        <v>25</v>
      </c>
      <c r="O3527" t="str">
        <f t="shared" si="550"/>
        <v>Low</v>
      </c>
      <c r="P3527" t="str">
        <f t="shared" si="551"/>
        <v>Low</v>
      </c>
      <c r="Q3527" t="str">
        <f t="shared" si="552"/>
        <v>Low</v>
      </c>
      <c r="R3527" t="s">
        <v>3317</v>
      </c>
      <c r="S3527" s="4">
        <f t="shared" ca="1" si="553"/>
        <v>949</v>
      </c>
      <c r="T3527">
        <f t="shared" si="554"/>
        <v>1</v>
      </c>
      <c r="U3527">
        <f t="shared" si="555"/>
        <v>1</v>
      </c>
      <c r="V3527">
        <f t="shared" si="556"/>
        <v>1</v>
      </c>
      <c r="W3527">
        <f t="shared" si="557"/>
        <v>1</v>
      </c>
      <c r="X3527">
        <f t="shared" si="558"/>
        <v>0.99999999999999989</v>
      </c>
      <c r="Y3527" t="str">
        <f t="shared" si="559"/>
        <v>Healthy</v>
      </c>
    </row>
    <row r="3528" spans="1:25" x14ac:dyDescent="0.35">
      <c r="A3528" t="s">
        <v>29</v>
      </c>
      <c r="B3528" t="s">
        <v>30</v>
      </c>
      <c r="C3528" t="s">
        <v>31</v>
      </c>
      <c r="D3528" t="s">
        <v>1429</v>
      </c>
      <c r="E3528">
        <v>80839579</v>
      </c>
      <c r="F3528" t="s">
        <v>2395</v>
      </c>
      <c r="G3528" s="3">
        <v>46874</v>
      </c>
      <c r="H3528">
        <v>36</v>
      </c>
      <c r="I3528">
        <v>63</v>
      </c>
      <c r="J3528">
        <v>2</v>
      </c>
      <c r="K3528" s="4">
        <v>3198.3</v>
      </c>
      <c r="L3528" s="4">
        <v>16.571428571428573</v>
      </c>
      <c r="M3528" s="4">
        <v>0.12068965517241378</v>
      </c>
      <c r="N3528" t="s">
        <v>25</v>
      </c>
      <c r="O3528" t="str">
        <f t="shared" si="550"/>
        <v>Low</v>
      </c>
      <c r="P3528" t="str">
        <f t="shared" si="551"/>
        <v>Low</v>
      </c>
      <c r="Q3528" t="str">
        <f t="shared" si="552"/>
        <v>Low</v>
      </c>
      <c r="R3528" t="s">
        <v>3317</v>
      </c>
      <c r="S3528" s="4">
        <f t="shared" ca="1" si="553"/>
        <v>677</v>
      </c>
      <c r="T3528">
        <f t="shared" si="554"/>
        <v>1</v>
      </c>
      <c r="U3528">
        <f t="shared" si="555"/>
        <v>1</v>
      </c>
      <c r="V3528">
        <f t="shared" si="556"/>
        <v>1</v>
      </c>
      <c r="W3528">
        <f t="shared" si="557"/>
        <v>1</v>
      </c>
      <c r="X3528">
        <f t="shared" si="558"/>
        <v>0.99999999999999989</v>
      </c>
      <c r="Y3528" t="str">
        <f t="shared" si="559"/>
        <v>Healthy</v>
      </c>
    </row>
    <row r="3529" spans="1:25" x14ac:dyDescent="0.35">
      <c r="A3529" t="s">
        <v>179</v>
      </c>
      <c r="B3529" t="s">
        <v>195</v>
      </c>
      <c r="C3529" t="s">
        <v>422</v>
      </c>
      <c r="D3529" t="s">
        <v>1057</v>
      </c>
      <c r="E3529">
        <v>80891799</v>
      </c>
      <c r="F3529" t="s">
        <v>2386</v>
      </c>
      <c r="G3529" s="3">
        <v>46646</v>
      </c>
      <c r="H3529">
        <v>16</v>
      </c>
      <c r="I3529">
        <v>95</v>
      </c>
      <c r="J3529">
        <v>2035</v>
      </c>
      <c r="K3529" s="4">
        <v>199348.6</v>
      </c>
      <c r="L3529" s="4">
        <v>136798.28571428571</v>
      </c>
      <c r="M3529" s="4">
        <v>1.4875917409157174E-2</v>
      </c>
      <c r="N3529" t="s">
        <v>25</v>
      </c>
      <c r="O3529" t="str">
        <f t="shared" si="550"/>
        <v>Low</v>
      </c>
      <c r="P3529" t="str">
        <f t="shared" si="551"/>
        <v>Low</v>
      </c>
      <c r="Q3529" t="str">
        <f t="shared" si="552"/>
        <v>Low</v>
      </c>
      <c r="R3529" t="s">
        <v>3309</v>
      </c>
      <c r="S3529" s="4">
        <f t="shared" ca="1" si="553"/>
        <v>449</v>
      </c>
      <c r="T3529">
        <f t="shared" si="554"/>
        <v>1</v>
      </c>
      <c r="U3529">
        <f t="shared" si="555"/>
        <v>1</v>
      </c>
      <c r="V3529">
        <f t="shared" si="556"/>
        <v>1</v>
      </c>
      <c r="W3529">
        <f t="shared" si="557"/>
        <v>3</v>
      </c>
      <c r="X3529">
        <f t="shared" si="558"/>
        <v>1.2</v>
      </c>
      <c r="Y3529" t="str">
        <f t="shared" si="559"/>
        <v>Healthy</v>
      </c>
    </row>
    <row r="3530" spans="1:25" x14ac:dyDescent="0.35">
      <c r="A3530" t="s">
        <v>29</v>
      </c>
      <c r="B3530" t="s">
        <v>30</v>
      </c>
      <c r="C3530" t="s">
        <v>31</v>
      </c>
      <c r="D3530" t="s">
        <v>1429</v>
      </c>
      <c r="E3530">
        <v>80839579</v>
      </c>
      <c r="F3530" t="s">
        <v>2395</v>
      </c>
      <c r="G3530" s="3">
        <v>46957</v>
      </c>
      <c r="H3530">
        <v>36</v>
      </c>
      <c r="I3530">
        <v>71</v>
      </c>
      <c r="J3530">
        <v>42</v>
      </c>
      <c r="K3530" s="4">
        <v>67164.3</v>
      </c>
      <c r="L3530" s="4">
        <v>16.571428571428573</v>
      </c>
      <c r="M3530" s="4">
        <v>2.5344827586206895</v>
      </c>
      <c r="N3530" t="s">
        <v>25</v>
      </c>
      <c r="O3530" t="str">
        <f t="shared" si="550"/>
        <v>Low</v>
      </c>
      <c r="P3530" t="str">
        <f t="shared" si="551"/>
        <v>Low</v>
      </c>
      <c r="Q3530" t="str">
        <f t="shared" si="552"/>
        <v>Low</v>
      </c>
      <c r="R3530" t="s">
        <v>3310</v>
      </c>
      <c r="S3530" s="4">
        <f t="shared" ca="1" si="553"/>
        <v>760</v>
      </c>
      <c r="T3530">
        <f t="shared" si="554"/>
        <v>1</v>
      </c>
      <c r="U3530">
        <f t="shared" si="555"/>
        <v>1</v>
      </c>
      <c r="V3530">
        <f t="shared" si="556"/>
        <v>1</v>
      </c>
      <c r="W3530">
        <f t="shared" si="557"/>
        <v>2</v>
      </c>
      <c r="X3530">
        <f t="shared" si="558"/>
        <v>1.0999999999999999</v>
      </c>
      <c r="Y3530" t="str">
        <f t="shared" si="559"/>
        <v>Healthy</v>
      </c>
    </row>
    <row r="3531" spans="1:25" x14ac:dyDescent="0.35">
      <c r="A3531" t="s">
        <v>179</v>
      </c>
      <c r="B3531" t="s">
        <v>195</v>
      </c>
      <c r="C3531" t="s">
        <v>422</v>
      </c>
      <c r="D3531" t="s">
        <v>1057</v>
      </c>
      <c r="E3531">
        <v>80891799</v>
      </c>
      <c r="F3531" t="s">
        <v>2386</v>
      </c>
      <c r="G3531" s="3">
        <v>46609</v>
      </c>
      <c r="H3531">
        <v>16</v>
      </c>
      <c r="I3531">
        <v>87</v>
      </c>
      <c r="J3531">
        <v>15</v>
      </c>
      <c r="K3531" s="4">
        <v>1469.4</v>
      </c>
      <c r="L3531" s="4">
        <v>136798.28571428571</v>
      </c>
      <c r="M3531" s="4">
        <v>1.0965049687339441E-4</v>
      </c>
      <c r="N3531" t="s">
        <v>25</v>
      </c>
      <c r="O3531" t="str">
        <f t="shared" si="550"/>
        <v>Low</v>
      </c>
      <c r="P3531" t="str">
        <f t="shared" si="551"/>
        <v>Low</v>
      </c>
      <c r="Q3531" t="str">
        <f t="shared" si="552"/>
        <v>Low</v>
      </c>
      <c r="R3531" t="s">
        <v>3317</v>
      </c>
      <c r="S3531" s="4">
        <f t="shared" ca="1" si="553"/>
        <v>412</v>
      </c>
      <c r="T3531">
        <f t="shared" si="554"/>
        <v>1</v>
      </c>
      <c r="U3531">
        <f t="shared" si="555"/>
        <v>1</v>
      </c>
      <c r="V3531">
        <f t="shared" si="556"/>
        <v>1</v>
      </c>
      <c r="W3531">
        <f t="shared" si="557"/>
        <v>1</v>
      </c>
      <c r="X3531">
        <f t="shared" si="558"/>
        <v>0.99999999999999989</v>
      </c>
      <c r="Y3531" t="str">
        <f t="shared" si="559"/>
        <v>Healthy</v>
      </c>
    </row>
    <row r="3532" spans="1:25" x14ac:dyDescent="0.35">
      <c r="A3532" t="s">
        <v>179</v>
      </c>
      <c r="B3532" t="s">
        <v>195</v>
      </c>
      <c r="C3532" t="s">
        <v>422</v>
      </c>
      <c r="D3532" t="s">
        <v>1057</v>
      </c>
      <c r="E3532">
        <v>80891799</v>
      </c>
      <c r="F3532" t="s">
        <v>2386</v>
      </c>
      <c r="G3532" s="3">
        <v>46667</v>
      </c>
      <c r="H3532">
        <v>16</v>
      </c>
      <c r="I3532">
        <v>99</v>
      </c>
      <c r="J3532">
        <v>3817</v>
      </c>
      <c r="K3532" s="4">
        <v>373913.32</v>
      </c>
      <c r="L3532" s="4">
        <v>136798.28571428571</v>
      </c>
      <c r="M3532" s="4">
        <v>2.7902396437716429E-2</v>
      </c>
      <c r="N3532" t="s">
        <v>25</v>
      </c>
      <c r="O3532" t="str">
        <f t="shared" si="550"/>
        <v>Low</v>
      </c>
      <c r="P3532" t="str">
        <f t="shared" si="551"/>
        <v>Low</v>
      </c>
      <c r="Q3532" t="str">
        <f t="shared" si="552"/>
        <v>Low</v>
      </c>
      <c r="R3532" t="s">
        <v>3309</v>
      </c>
      <c r="S3532" s="4">
        <f t="shared" ca="1" si="553"/>
        <v>470</v>
      </c>
      <c r="T3532">
        <f t="shared" si="554"/>
        <v>1</v>
      </c>
      <c r="U3532">
        <f t="shared" si="555"/>
        <v>1</v>
      </c>
      <c r="V3532">
        <f t="shared" si="556"/>
        <v>1</v>
      </c>
      <c r="W3532">
        <f t="shared" si="557"/>
        <v>3</v>
      </c>
      <c r="X3532">
        <f t="shared" si="558"/>
        <v>1.2</v>
      </c>
      <c r="Y3532" t="str">
        <f t="shared" si="559"/>
        <v>Healthy</v>
      </c>
    </row>
    <row r="3533" spans="1:25" x14ac:dyDescent="0.35">
      <c r="A3533" t="s">
        <v>41</v>
      </c>
      <c r="B3533" t="s">
        <v>54</v>
      </c>
      <c r="C3533" t="s">
        <v>87</v>
      </c>
      <c r="D3533" t="s">
        <v>316</v>
      </c>
      <c r="E3533">
        <v>80876626</v>
      </c>
      <c r="F3533" t="s">
        <v>2396</v>
      </c>
      <c r="G3533" s="3">
        <v>46965</v>
      </c>
      <c r="H3533">
        <v>36</v>
      </c>
      <c r="I3533">
        <v>72</v>
      </c>
      <c r="J3533">
        <v>14</v>
      </c>
      <c r="K3533" s="4">
        <v>13859.58</v>
      </c>
      <c r="L3533" s="4">
        <v>82</v>
      </c>
      <c r="M3533" s="4">
        <v>0.17073170731707318</v>
      </c>
      <c r="N3533" t="s">
        <v>25</v>
      </c>
      <c r="O3533" t="str">
        <f t="shared" si="550"/>
        <v>Low</v>
      </c>
      <c r="P3533" t="str">
        <f t="shared" si="551"/>
        <v>Low</v>
      </c>
      <c r="Q3533" t="str">
        <f t="shared" si="552"/>
        <v>Low</v>
      </c>
      <c r="R3533" t="s">
        <v>3317</v>
      </c>
      <c r="S3533" s="4">
        <f t="shared" ca="1" si="553"/>
        <v>768</v>
      </c>
      <c r="T3533">
        <f t="shared" si="554"/>
        <v>1</v>
      </c>
      <c r="U3533">
        <f t="shared" si="555"/>
        <v>1</v>
      </c>
      <c r="V3533">
        <f t="shared" si="556"/>
        <v>1</v>
      </c>
      <c r="W3533">
        <f t="shared" si="557"/>
        <v>1</v>
      </c>
      <c r="X3533">
        <f t="shared" si="558"/>
        <v>0.99999999999999989</v>
      </c>
      <c r="Y3533" t="str">
        <f t="shared" si="559"/>
        <v>Healthy</v>
      </c>
    </row>
    <row r="3534" spans="1:25" x14ac:dyDescent="0.35">
      <c r="A3534" t="s">
        <v>179</v>
      </c>
      <c r="B3534" t="s">
        <v>195</v>
      </c>
      <c r="C3534" t="s">
        <v>422</v>
      </c>
      <c r="D3534" t="s">
        <v>1057</v>
      </c>
      <c r="E3534">
        <v>80891799</v>
      </c>
      <c r="F3534" t="s">
        <v>2386</v>
      </c>
      <c r="G3534" s="3">
        <v>46643</v>
      </c>
      <c r="H3534">
        <v>16</v>
      </c>
      <c r="I3534">
        <v>94</v>
      </c>
      <c r="J3534">
        <v>775</v>
      </c>
      <c r="K3534" s="4">
        <v>75919</v>
      </c>
      <c r="L3534" s="4">
        <v>136798.28571428571</v>
      </c>
      <c r="M3534" s="4">
        <v>5.6652756717920447E-3</v>
      </c>
      <c r="N3534" t="s">
        <v>25</v>
      </c>
      <c r="O3534" t="str">
        <f t="shared" si="550"/>
        <v>Low</v>
      </c>
      <c r="P3534" t="str">
        <f t="shared" si="551"/>
        <v>Low</v>
      </c>
      <c r="Q3534" t="str">
        <f t="shared" si="552"/>
        <v>Low</v>
      </c>
      <c r="R3534" t="s">
        <v>3310</v>
      </c>
      <c r="S3534" s="4">
        <f t="shared" ca="1" si="553"/>
        <v>446</v>
      </c>
      <c r="T3534">
        <f t="shared" si="554"/>
        <v>1</v>
      </c>
      <c r="U3534">
        <f t="shared" si="555"/>
        <v>1</v>
      </c>
      <c r="V3534">
        <f t="shared" si="556"/>
        <v>1</v>
      </c>
      <c r="W3534">
        <f t="shared" si="557"/>
        <v>2</v>
      </c>
      <c r="X3534">
        <f t="shared" si="558"/>
        <v>1.0999999999999999</v>
      </c>
      <c r="Y3534" t="str">
        <f t="shared" si="559"/>
        <v>Healthy</v>
      </c>
    </row>
    <row r="3535" spans="1:25" x14ac:dyDescent="0.35">
      <c r="A3535" t="s">
        <v>71</v>
      </c>
      <c r="B3535" t="s">
        <v>72</v>
      </c>
      <c r="C3535" t="s">
        <v>174</v>
      </c>
      <c r="D3535" t="s">
        <v>2397</v>
      </c>
      <c r="E3535">
        <v>80875299</v>
      </c>
      <c r="F3535" t="s">
        <v>2398</v>
      </c>
      <c r="G3535" s="3">
        <v>47402</v>
      </c>
      <c r="H3535">
        <v>36</v>
      </c>
      <c r="I3535">
        <v>100</v>
      </c>
      <c r="J3535">
        <v>68</v>
      </c>
      <c r="K3535" s="4">
        <v>5004.8</v>
      </c>
      <c r="L3535" s="4">
        <v>9.7142857142857135</v>
      </c>
      <c r="M3535" s="4">
        <v>7.0000000000000009</v>
      </c>
      <c r="N3535" t="s">
        <v>19</v>
      </c>
      <c r="O3535" t="str">
        <f t="shared" si="550"/>
        <v>Low</v>
      </c>
      <c r="P3535" t="str">
        <f t="shared" si="551"/>
        <v>Medium</v>
      </c>
      <c r="Q3535" t="str">
        <f t="shared" si="552"/>
        <v>Medium</v>
      </c>
      <c r="R3535" t="s">
        <v>3317</v>
      </c>
      <c r="S3535" s="4">
        <f t="shared" ca="1" si="553"/>
        <v>1205</v>
      </c>
      <c r="T3535">
        <f t="shared" si="554"/>
        <v>1</v>
      </c>
      <c r="U3535">
        <f t="shared" si="555"/>
        <v>2</v>
      </c>
      <c r="V3535">
        <f t="shared" si="556"/>
        <v>2</v>
      </c>
      <c r="W3535">
        <f t="shared" si="557"/>
        <v>1</v>
      </c>
      <c r="X3535">
        <f t="shared" si="558"/>
        <v>1.5</v>
      </c>
      <c r="Y3535" t="str">
        <f t="shared" si="559"/>
        <v>Healthy</v>
      </c>
    </row>
    <row r="3536" spans="1:25" x14ac:dyDescent="0.35">
      <c r="A3536" t="s">
        <v>179</v>
      </c>
      <c r="B3536" t="s">
        <v>195</v>
      </c>
      <c r="C3536" t="s">
        <v>422</v>
      </c>
      <c r="D3536" t="s">
        <v>1057</v>
      </c>
      <c r="E3536">
        <v>80891799</v>
      </c>
      <c r="F3536" t="s">
        <v>2386</v>
      </c>
      <c r="G3536" s="3">
        <v>46652</v>
      </c>
      <c r="H3536">
        <v>16</v>
      </c>
      <c r="I3536">
        <v>96</v>
      </c>
      <c r="J3536">
        <v>1660</v>
      </c>
      <c r="K3536" s="4">
        <v>162613.6</v>
      </c>
      <c r="L3536" s="4">
        <v>136798.28571428571</v>
      </c>
      <c r="M3536" s="4">
        <v>1.2134654987322314E-2</v>
      </c>
      <c r="N3536" t="s">
        <v>25</v>
      </c>
      <c r="O3536" t="str">
        <f t="shared" si="550"/>
        <v>Low</v>
      </c>
      <c r="P3536" t="str">
        <f t="shared" si="551"/>
        <v>Low</v>
      </c>
      <c r="Q3536" t="str">
        <f t="shared" si="552"/>
        <v>Low</v>
      </c>
      <c r="R3536" t="s">
        <v>3309</v>
      </c>
      <c r="S3536" s="4">
        <f t="shared" ca="1" si="553"/>
        <v>455</v>
      </c>
      <c r="T3536">
        <f t="shared" si="554"/>
        <v>1</v>
      </c>
      <c r="U3536">
        <f t="shared" si="555"/>
        <v>1</v>
      </c>
      <c r="V3536">
        <f t="shared" si="556"/>
        <v>1</v>
      </c>
      <c r="W3536">
        <f t="shared" si="557"/>
        <v>3</v>
      </c>
      <c r="X3536">
        <f t="shared" si="558"/>
        <v>1.2</v>
      </c>
      <c r="Y3536" t="str">
        <f t="shared" si="559"/>
        <v>Healthy</v>
      </c>
    </row>
    <row r="3537" spans="1:25" x14ac:dyDescent="0.35">
      <c r="A3537" t="s">
        <v>46</v>
      </c>
      <c r="B3537" t="s">
        <v>47</v>
      </c>
      <c r="C3537" t="s">
        <v>84</v>
      </c>
      <c r="D3537" t="s">
        <v>2399</v>
      </c>
      <c r="E3537">
        <v>80862827</v>
      </c>
      <c r="F3537" t="s">
        <v>2400</v>
      </c>
      <c r="G3537" s="3">
        <v>47210</v>
      </c>
      <c r="H3537">
        <v>36</v>
      </c>
      <c r="I3537">
        <v>94</v>
      </c>
      <c r="J3537">
        <v>47</v>
      </c>
      <c r="K3537" s="4">
        <v>1611.16</v>
      </c>
      <c r="L3537" s="4">
        <v>4402.1428571428569</v>
      </c>
      <c r="M3537" s="4">
        <v>1.067661852993672E-2</v>
      </c>
      <c r="N3537" t="s">
        <v>25</v>
      </c>
      <c r="O3537" t="str">
        <f t="shared" si="550"/>
        <v>Low</v>
      </c>
      <c r="P3537" t="str">
        <f t="shared" si="551"/>
        <v>Low</v>
      </c>
      <c r="Q3537" t="str">
        <f t="shared" si="552"/>
        <v>Low</v>
      </c>
      <c r="R3537" t="s">
        <v>3317</v>
      </c>
      <c r="S3537" s="4">
        <f t="shared" ca="1" si="553"/>
        <v>1013</v>
      </c>
      <c r="T3537">
        <f t="shared" si="554"/>
        <v>1</v>
      </c>
      <c r="U3537">
        <f t="shared" si="555"/>
        <v>1</v>
      </c>
      <c r="V3537">
        <f t="shared" si="556"/>
        <v>1</v>
      </c>
      <c r="W3537">
        <f t="shared" si="557"/>
        <v>1</v>
      </c>
      <c r="X3537">
        <f t="shared" si="558"/>
        <v>0.99999999999999989</v>
      </c>
      <c r="Y3537" t="str">
        <f t="shared" si="559"/>
        <v>Healthy</v>
      </c>
    </row>
    <row r="3538" spans="1:25" x14ac:dyDescent="0.35">
      <c r="A3538" t="s">
        <v>179</v>
      </c>
      <c r="B3538" t="s">
        <v>195</v>
      </c>
      <c r="C3538" t="s">
        <v>422</v>
      </c>
      <c r="D3538" t="s">
        <v>1057</v>
      </c>
      <c r="E3538">
        <v>80891799</v>
      </c>
      <c r="F3538" t="s">
        <v>2386</v>
      </c>
      <c r="G3538" s="3">
        <v>46637</v>
      </c>
      <c r="H3538">
        <v>16</v>
      </c>
      <c r="I3538">
        <v>93</v>
      </c>
      <c r="J3538">
        <v>1635</v>
      </c>
      <c r="K3538" s="4">
        <v>160164.6</v>
      </c>
      <c r="L3538" s="4">
        <v>136798.28571428571</v>
      </c>
      <c r="M3538" s="4">
        <v>1.1951904159199991E-2</v>
      </c>
      <c r="N3538" t="s">
        <v>25</v>
      </c>
      <c r="O3538" t="str">
        <f t="shared" si="550"/>
        <v>Low</v>
      </c>
      <c r="P3538" t="str">
        <f t="shared" si="551"/>
        <v>Low</v>
      </c>
      <c r="Q3538" t="str">
        <f t="shared" si="552"/>
        <v>Low</v>
      </c>
      <c r="R3538" t="s">
        <v>3309</v>
      </c>
      <c r="S3538" s="4">
        <f t="shared" ca="1" si="553"/>
        <v>440</v>
      </c>
      <c r="T3538">
        <f t="shared" si="554"/>
        <v>1</v>
      </c>
      <c r="U3538">
        <f t="shared" si="555"/>
        <v>1</v>
      </c>
      <c r="V3538">
        <f t="shared" si="556"/>
        <v>1</v>
      </c>
      <c r="W3538">
        <f t="shared" si="557"/>
        <v>3</v>
      </c>
      <c r="X3538">
        <f t="shared" si="558"/>
        <v>1.2</v>
      </c>
      <c r="Y3538" t="str">
        <f t="shared" si="559"/>
        <v>Healthy</v>
      </c>
    </row>
    <row r="3539" spans="1:25" x14ac:dyDescent="0.35">
      <c r="A3539" t="s">
        <v>46</v>
      </c>
      <c r="B3539" t="s">
        <v>47</v>
      </c>
      <c r="C3539" t="s">
        <v>84</v>
      </c>
      <c r="D3539" t="s">
        <v>2399</v>
      </c>
      <c r="E3539">
        <v>80862827</v>
      </c>
      <c r="F3539" t="s">
        <v>2400</v>
      </c>
      <c r="G3539" s="3">
        <v>47222</v>
      </c>
      <c r="H3539">
        <v>36</v>
      </c>
      <c r="I3539">
        <v>95</v>
      </c>
      <c r="J3539">
        <v>47</v>
      </c>
      <c r="K3539" s="4">
        <v>1611.16</v>
      </c>
      <c r="L3539" s="4">
        <v>4402.1428571428569</v>
      </c>
      <c r="M3539" s="4">
        <v>1.067661852993672E-2</v>
      </c>
      <c r="N3539" t="s">
        <v>25</v>
      </c>
      <c r="O3539" t="str">
        <f t="shared" si="550"/>
        <v>Low</v>
      </c>
      <c r="P3539" t="str">
        <f t="shared" si="551"/>
        <v>Low</v>
      </c>
      <c r="Q3539" t="str">
        <f t="shared" si="552"/>
        <v>Low</v>
      </c>
      <c r="R3539" t="s">
        <v>3317</v>
      </c>
      <c r="S3539" s="4">
        <f t="shared" ca="1" si="553"/>
        <v>1025</v>
      </c>
      <c r="T3539">
        <f t="shared" si="554"/>
        <v>1</v>
      </c>
      <c r="U3539">
        <f t="shared" si="555"/>
        <v>1</v>
      </c>
      <c r="V3539">
        <f t="shared" si="556"/>
        <v>1</v>
      </c>
      <c r="W3539">
        <f t="shared" si="557"/>
        <v>1</v>
      </c>
      <c r="X3539">
        <f t="shared" si="558"/>
        <v>0.99999999999999989</v>
      </c>
      <c r="Y3539" t="str">
        <f t="shared" si="559"/>
        <v>Healthy</v>
      </c>
    </row>
    <row r="3540" spans="1:25" x14ac:dyDescent="0.35">
      <c r="A3540" t="s">
        <v>179</v>
      </c>
      <c r="B3540" t="s">
        <v>195</v>
      </c>
      <c r="C3540" t="s">
        <v>422</v>
      </c>
      <c r="D3540" t="s">
        <v>1057</v>
      </c>
      <c r="E3540">
        <v>80891799</v>
      </c>
      <c r="F3540" t="s">
        <v>2386</v>
      </c>
      <c r="G3540" s="3">
        <v>46631</v>
      </c>
      <c r="H3540">
        <v>16</v>
      </c>
      <c r="I3540">
        <v>91</v>
      </c>
      <c r="J3540">
        <v>5</v>
      </c>
      <c r="K3540" s="4">
        <v>489.8</v>
      </c>
      <c r="L3540" s="4">
        <v>136798.28571428571</v>
      </c>
      <c r="M3540" s="4">
        <v>3.65501656244648E-5</v>
      </c>
      <c r="N3540" t="s">
        <v>25</v>
      </c>
      <c r="O3540" t="str">
        <f t="shared" si="550"/>
        <v>Low</v>
      </c>
      <c r="P3540" t="str">
        <f t="shared" si="551"/>
        <v>Low</v>
      </c>
      <c r="Q3540" t="str">
        <f t="shared" si="552"/>
        <v>Low</v>
      </c>
      <c r="R3540" t="s">
        <v>3317</v>
      </c>
      <c r="S3540" s="4">
        <f t="shared" ca="1" si="553"/>
        <v>434</v>
      </c>
      <c r="T3540">
        <f t="shared" si="554"/>
        <v>1</v>
      </c>
      <c r="U3540">
        <f t="shared" si="555"/>
        <v>1</v>
      </c>
      <c r="V3540">
        <f t="shared" si="556"/>
        <v>1</v>
      </c>
      <c r="W3540">
        <f t="shared" si="557"/>
        <v>1</v>
      </c>
      <c r="X3540">
        <f t="shared" si="558"/>
        <v>0.99999999999999989</v>
      </c>
      <c r="Y3540" t="str">
        <f t="shared" si="559"/>
        <v>Healthy</v>
      </c>
    </row>
    <row r="3541" spans="1:25" x14ac:dyDescent="0.35">
      <c r="A3541" t="s">
        <v>179</v>
      </c>
      <c r="B3541" t="s">
        <v>195</v>
      </c>
      <c r="C3541" t="s">
        <v>422</v>
      </c>
      <c r="D3541" t="s">
        <v>1057</v>
      </c>
      <c r="E3541">
        <v>80891799</v>
      </c>
      <c r="F3541" t="s">
        <v>2386</v>
      </c>
      <c r="G3541" s="3">
        <v>46630</v>
      </c>
      <c r="H3541">
        <v>16</v>
      </c>
      <c r="I3541">
        <v>91</v>
      </c>
      <c r="J3541">
        <v>1890</v>
      </c>
      <c r="K3541" s="4">
        <v>185144.4</v>
      </c>
      <c r="L3541" s="4">
        <v>136798.28571428571</v>
      </c>
      <c r="M3541" s="4">
        <v>1.3815962606047696E-2</v>
      </c>
      <c r="N3541" t="s">
        <v>25</v>
      </c>
      <c r="O3541" t="str">
        <f t="shared" si="550"/>
        <v>Low</v>
      </c>
      <c r="P3541" t="str">
        <f t="shared" si="551"/>
        <v>Low</v>
      </c>
      <c r="Q3541" t="str">
        <f t="shared" si="552"/>
        <v>Low</v>
      </c>
      <c r="R3541" t="s">
        <v>3309</v>
      </c>
      <c r="S3541" s="4">
        <f t="shared" ca="1" si="553"/>
        <v>433</v>
      </c>
      <c r="T3541">
        <f t="shared" si="554"/>
        <v>1</v>
      </c>
      <c r="U3541">
        <f t="shared" si="555"/>
        <v>1</v>
      </c>
      <c r="V3541">
        <f t="shared" si="556"/>
        <v>1</v>
      </c>
      <c r="W3541">
        <f t="shared" si="557"/>
        <v>3</v>
      </c>
      <c r="X3541">
        <f t="shared" si="558"/>
        <v>1.2</v>
      </c>
      <c r="Y3541" t="str">
        <f t="shared" si="559"/>
        <v>Healthy</v>
      </c>
    </row>
    <row r="3542" spans="1:25" x14ac:dyDescent="0.35">
      <c r="A3542" t="s">
        <v>179</v>
      </c>
      <c r="B3542" t="s">
        <v>195</v>
      </c>
      <c r="C3542" t="s">
        <v>422</v>
      </c>
      <c r="D3542" t="s">
        <v>1057</v>
      </c>
      <c r="E3542">
        <v>80891799</v>
      </c>
      <c r="F3542" t="s">
        <v>2386</v>
      </c>
      <c r="G3542" s="3">
        <v>46669</v>
      </c>
      <c r="H3542">
        <v>16</v>
      </c>
      <c r="I3542">
        <v>99</v>
      </c>
      <c r="J3542">
        <v>4458</v>
      </c>
      <c r="K3542" s="4">
        <v>436705.68</v>
      </c>
      <c r="L3542" s="4">
        <v>136798.28571428571</v>
      </c>
      <c r="M3542" s="4">
        <v>3.2588127670772821E-2</v>
      </c>
      <c r="N3542" t="s">
        <v>25</v>
      </c>
      <c r="O3542" t="str">
        <f t="shared" si="550"/>
        <v>Low</v>
      </c>
      <c r="P3542" t="str">
        <f t="shared" si="551"/>
        <v>Low</v>
      </c>
      <c r="Q3542" t="str">
        <f t="shared" si="552"/>
        <v>Low</v>
      </c>
      <c r="R3542" t="s">
        <v>3309</v>
      </c>
      <c r="S3542" s="4">
        <f t="shared" ca="1" si="553"/>
        <v>472</v>
      </c>
      <c r="T3542">
        <f t="shared" si="554"/>
        <v>1</v>
      </c>
      <c r="U3542">
        <f t="shared" si="555"/>
        <v>1</v>
      </c>
      <c r="V3542">
        <f t="shared" si="556"/>
        <v>1</v>
      </c>
      <c r="W3542">
        <f t="shared" si="557"/>
        <v>3</v>
      </c>
      <c r="X3542">
        <f t="shared" si="558"/>
        <v>1.2</v>
      </c>
      <c r="Y3542" t="str">
        <f t="shared" si="559"/>
        <v>Healthy</v>
      </c>
    </row>
    <row r="3543" spans="1:25" x14ac:dyDescent="0.35">
      <c r="A3543" t="s">
        <v>179</v>
      </c>
      <c r="B3543" t="s">
        <v>223</v>
      </c>
      <c r="C3543" t="s">
        <v>357</v>
      </c>
      <c r="D3543" t="s">
        <v>1753</v>
      </c>
      <c r="E3543">
        <v>80882440</v>
      </c>
      <c r="F3543" t="s">
        <v>2401</v>
      </c>
      <c r="G3543" s="3">
        <v>46504</v>
      </c>
      <c r="H3543">
        <v>18</v>
      </c>
      <c r="I3543">
        <v>58</v>
      </c>
      <c r="J3543">
        <v>51</v>
      </c>
      <c r="K3543" s="4">
        <v>31732.2</v>
      </c>
      <c r="L3543" s="4">
        <v>488</v>
      </c>
      <c r="M3543" s="4">
        <v>0.10450819672131148</v>
      </c>
      <c r="N3543" t="s">
        <v>25</v>
      </c>
      <c r="O3543" t="str">
        <f t="shared" si="550"/>
        <v>Low</v>
      </c>
      <c r="P3543" t="str">
        <f t="shared" si="551"/>
        <v>Low</v>
      </c>
      <c r="Q3543" t="str">
        <f t="shared" si="552"/>
        <v>Low</v>
      </c>
      <c r="R3543" t="s">
        <v>3317</v>
      </c>
      <c r="S3543" s="4">
        <f t="shared" ca="1" si="553"/>
        <v>307</v>
      </c>
      <c r="T3543">
        <f t="shared" si="554"/>
        <v>1</v>
      </c>
      <c r="U3543">
        <f t="shared" si="555"/>
        <v>1</v>
      </c>
      <c r="V3543">
        <f t="shared" si="556"/>
        <v>1</v>
      </c>
      <c r="W3543">
        <f t="shared" si="557"/>
        <v>1</v>
      </c>
      <c r="X3543">
        <f t="shared" si="558"/>
        <v>0.99999999999999989</v>
      </c>
      <c r="Y3543" t="str">
        <f t="shared" si="559"/>
        <v>Healthy</v>
      </c>
    </row>
    <row r="3544" spans="1:25" x14ac:dyDescent="0.35">
      <c r="A3544" t="s">
        <v>179</v>
      </c>
      <c r="B3544" t="s">
        <v>195</v>
      </c>
      <c r="C3544" t="s">
        <v>422</v>
      </c>
      <c r="D3544" t="s">
        <v>1057</v>
      </c>
      <c r="E3544">
        <v>80891799</v>
      </c>
      <c r="F3544" t="s">
        <v>2386</v>
      </c>
      <c r="G3544" s="3">
        <v>46623</v>
      </c>
      <c r="H3544">
        <v>16</v>
      </c>
      <c r="I3544">
        <v>90</v>
      </c>
      <c r="J3544">
        <v>1985</v>
      </c>
      <c r="K3544" s="4">
        <v>194450.6</v>
      </c>
      <c r="L3544" s="4">
        <v>136798.28571428571</v>
      </c>
      <c r="M3544" s="4">
        <v>1.4510415752912526E-2</v>
      </c>
      <c r="N3544" t="s">
        <v>25</v>
      </c>
      <c r="O3544" t="str">
        <f t="shared" si="550"/>
        <v>Low</v>
      </c>
      <c r="P3544" t="str">
        <f t="shared" si="551"/>
        <v>Low</v>
      </c>
      <c r="Q3544" t="str">
        <f t="shared" si="552"/>
        <v>Low</v>
      </c>
      <c r="R3544" t="s">
        <v>3309</v>
      </c>
      <c r="S3544" s="4">
        <f t="shared" ca="1" si="553"/>
        <v>426</v>
      </c>
      <c r="T3544">
        <f t="shared" si="554"/>
        <v>1</v>
      </c>
      <c r="U3544">
        <f t="shared" si="555"/>
        <v>1</v>
      </c>
      <c r="V3544">
        <f t="shared" si="556"/>
        <v>1</v>
      </c>
      <c r="W3544">
        <f t="shared" si="557"/>
        <v>3</v>
      </c>
      <c r="X3544">
        <f t="shared" si="558"/>
        <v>1.2</v>
      </c>
      <c r="Y3544" t="str">
        <f t="shared" si="559"/>
        <v>Healthy</v>
      </c>
    </row>
    <row r="3545" spans="1:25" x14ac:dyDescent="0.35">
      <c r="A3545" t="s">
        <v>14</v>
      </c>
      <c r="B3545" t="s">
        <v>58</v>
      </c>
      <c r="C3545" t="s">
        <v>64</v>
      </c>
      <c r="D3545" t="s">
        <v>2402</v>
      </c>
      <c r="E3545">
        <v>80869543</v>
      </c>
      <c r="F3545" t="s">
        <v>2403</v>
      </c>
      <c r="G3545" s="3">
        <v>47876</v>
      </c>
      <c r="H3545">
        <v>60</v>
      </c>
      <c r="I3545">
        <v>94</v>
      </c>
      <c r="J3545">
        <v>1</v>
      </c>
      <c r="K3545" s="4">
        <v>364.27</v>
      </c>
      <c r="L3545" s="4">
        <v>622.57142857142856</v>
      </c>
      <c r="M3545" s="4">
        <v>1.6062413951353832E-3</v>
      </c>
      <c r="N3545" t="s">
        <v>25</v>
      </c>
      <c r="O3545" t="str">
        <f t="shared" si="550"/>
        <v>Low</v>
      </c>
      <c r="P3545" t="str">
        <f t="shared" si="551"/>
        <v>Low</v>
      </c>
      <c r="Q3545" t="str">
        <f t="shared" si="552"/>
        <v>Low</v>
      </c>
      <c r="R3545" t="s">
        <v>3317</v>
      </c>
      <c r="S3545" s="4">
        <f t="shared" ca="1" si="553"/>
        <v>1679</v>
      </c>
      <c r="T3545">
        <f t="shared" si="554"/>
        <v>1</v>
      </c>
      <c r="U3545">
        <f t="shared" si="555"/>
        <v>1</v>
      </c>
      <c r="V3545">
        <f t="shared" si="556"/>
        <v>1</v>
      </c>
      <c r="W3545">
        <f t="shared" si="557"/>
        <v>1</v>
      </c>
      <c r="X3545">
        <f t="shared" si="558"/>
        <v>0.99999999999999989</v>
      </c>
      <c r="Y3545" t="str">
        <f t="shared" si="559"/>
        <v>Healthy</v>
      </c>
    </row>
    <row r="3546" spans="1:25" x14ac:dyDescent="0.35">
      <c r="A3546" t="s">
        <v>179</v>
      </c>
      <c r="B3546" t="s">
        <v>195</v>
      </c>
      <c r="C3546" t="s">
        <v>422</v>
      </c>
      <c r="D3546" t="s">
        <v>1057</v>
      </c>
      <c r="E3546">
        <v>80891799</v>
      </c>
      <c r="F3546" t="s">
        <v>2386</v>
      </c>
      <c r="G3546" s="3">
        <v>46624</v>
      </c>
      <c r="H3546">
        <v>16</v>
      </c>
      <c r="I3546">
        <v>90</v>
      </c>
      <c r="J3546">
        <v>1475</v>
      </c>
      <c r="K3546" s="4">
        <v>144491</v>
      </c>
      <c r="L3546" s="4">
        <v>136798.28571428571</v>
      </c>
      <c r="M3546" s="4">
        <v>1.0782298859217117E-2</v>
      </c>
      <c r="N3546" t="s">
        <v>25</v>
      </c>
      <c r="O3546" t="str">
        <f t="shared" si="550"/>
        <v>Low</v>
      </c>
      <c r="P3546" t="str">
        <f t="shared" si="551"/>
        <v>Low</v>
      </c>
      <c r="Q3546" t="str">
        <f t="shared" si="552"/>
        <v>Low</v>
      </c>
      <c r="R3546" t="s">
        <v>3309</v>
      </c>
      <c r="S3546" s="4">
        <f t="shared" ca="1" si="553"/>
        <v>427</v>
      </c>
      <c r="T3546">
        <f t="shared" si="554"/>
        <v>1</v>
      </c>
      <c r="U3546">
        <f t="shared" si="555"/>
        <v>1</v>
      </c>
      <c r="V3546">
        <f t="shared" si="556"/>
        <v>1</v>
      </c>
      <c r="W3546">
        <f t="shared" si="557"/>
        <v>3</v>
      </c>
      <c r="X3546">
        <f t="shared" si="558"/>
        <v>1.2</v>
      </c>
      <c r="Y3546" t="str">
        <f t="shared" si="559"/>
        <v>Healthy</v>
      </c>
    </row>
    <row r="3547" spans="1:25" x14ac:dyDescent="0.35">
      <c r="A3547" t="s">
        <v>179</v>
      </c>
      <c r="B3547" t="s">
        <v>223</v>
      </c>
      <c r="C3547" t="s">
        <v>357</v>
      </c>
      <c r="D3547" t="s">
        <v>2404</v>
      </c>
      <c r="E3547">
        <v>80868342</v>
      </c>
      <c r="F3547" t="s">
        <v>2405</v>
      </c>
      <c r="G3547" s="3">
        <v>46372</v>
      </c>
      <c r="H3547">
        <v>18</v>
      </c>
      <c r="I3547">
        <v>33</v>
      </c>
      <c r="J3547">
        <v>3</v>
      </c>
      <c r="K3547" s="4">
        <v>2613.2399999999998</v>
      </c>
      <c r="L3547" s="4">
        <v>60</v>
      </c>
      <c r="M3547" s="4">
        <v>0.05</v>
      </c>
      <c r="N3547" t="s">
        <v>25</v>
      </c>
      <c r="O3547" t="str">
        <f t="shared" si="550"/>
        <v>Medium</v>
      </c>
      <c r="P3547" t="str">
        <f t="shared" si="551"/>
        <v>Low</v>
      </c>
      <c r="Q3547" t="str">
        <f t="shared" si="552"/>
        <v>Low</v>
      </c>
      <c r="R3547" t="s">
        <v>3317</v>
      </c>
      <c r="S3547" s="4">
        <f t="shared" ca="1" si="553"/>
        <v>175</v>
      </c>
      <c r="T3547">
        <f t="shared" si="554"/>
        <v>2</v>
      </c>
      <c r="U3547">
        <f t="shared" si="555"/>
        <v>1</v>
      </c>
      <c r="V3547">
        <f t="shared" si="556"/>
        <v>1</v>
      </c>
      <c r="W3547">
        <f t="shared" si="557"/>
        <v>1</v>
      </c>
      <c r="X3547">
        <f t="shared" si="558"/>
        <v>1.4000000000000001</v>
      </c>
      <c r="Y3547" t="str">
        <f t="shared" si="559"/>
        <v>Healthy</v>
      </c>
    </row>
    <row r="3548" spans="1:25" x14ac:dyDescent="0.35">
      <c r="A3548" t="s">
        <v>179</v>
      </c>
      <c r="B3548" t="s">
        <v>195</v>
      </c>
      <c r="C3548" t="s">
        <v>422</v>
      </c>
      <c r="D3548" t="s">
        <v>1057</v>
      </c>
      <c r="E3548">
        <v>80891799</v>
      </c>
      <c r="F3548" t="s">
        <v>2386</v>
      </c>
      <c r="G3548" s="3">
        <v>46621</v>
      </c>
      <c r="H3548">
        <v>16</v>
      </c>
      <c r="I3548">
        <v>89</v>
      </c>
      <c r="J3548">
        <v>2015</v>
      </c>
      <c r="K3548" s="4">
        <v>197389.4</v>
      </c>
      <c r="L3548" s="4">
        <v>136798.28571428571</v>
      </c>
      <c r="M3548" s="4">
        <v>1.4729716746659315E-2</v>
      </c>
      <c r="N3548" t="s">
        <v>25</v>
      </c>
      <c r="O3548" t="str">
        <f t="shared" si="550"/>
        <v>Low</v>
      </c>
      <c r="P3548" t="str">
        <f t="shared" si="551"/>
        <v>Low</v>
      </c>
      <c r="Q3548" t="str">
        <f t="shared" si="552"/>
        <v>Low</v>
      </c>
      <c r="R3548" t="s">
        <v>3309</v>
      </c>
      <c r="S3548" s="4">
        <f t="shared" ca="1" si="553"/>
        <v>424</v>
      </c>
      <c r="T3548">
        <f t="shared" si="554"/>
        <v>1</v>
      </c>
      <c r="U3548">
        <f t="shared" si="555"/>
        <v>1</v>
      </c>
      <c r="V3548">
        <f t="shared" si="556"/>
        <v>1</v>
      </c>
      <c r="W3548">
        <f t="shared" si="557"/>
        <v>3</v>
      </c>
      <c r="X3548">
        <f t="shared" si="558"/>
        <v>1.2</v>
      </c>
      <c r="Y3548" t="str">
        <f t="shared" si="559"/>
        <v>Healthy</v>
      </c>
    </row>
    <row r="3549" spans="1:25" x14ac:dyDescent="0.35">
      <c r="A3549" t="s">
        <v>179</v>
      </c>
      <c r="B3549" t="s">
        <v>223</v>
      </c>
      <c r="C3549" t="s">
        <v>357</v>
      </c>
      <c r="D3549" t="s">
        <v>2404</v>
      </c>
      <c r="E3549">
        <v>80868342</v>
      </c>
      <c r="F3549" t="s">
        <v>2405</v>
      </c>
      <c r="G3549" s="3">
        <v>46450</v>
      </c>
      <c r="H3549">
        <v>18</v>
      </c>
      <c r="I3549">
        <v>48</v>
      </c>
      <c r="J3549">
        <v>17</v>
      </c>
      <c r="K3549" s="4">
        <v>14808.36</v>
      </c>
      <c r="L3549" s="4">
        <v>60</v>
      </c>
      <c r="M3549" s="4">
        <v>0.28333333333333333</v>
      </c>
      <c r="N3549" t="s">
        <v>25</v>
      </c>
      <c r="O3549" t="str">
        <f t="shared" si="550"/>
        <v>Low</v>
      </c>
      <c r="P3549" t="str">
        <f t="shared" si="551"/>
        <v>Low</v>
      </c>
      <c r="Q3549" t="str">
        <f t="shared" si="552"/>
        <v>Low</v>
      </c>
      <c r="R3549" t="s">
        <v>3317</v>
      </c>
      <c r="S3549" s="4">
        <f t="shared" ca="1" si="553"/>
        <v>253</v>
      </c>
      <c r="T3549">
        <f t="shared" si="554"/>
        <v>1</v>
      </c>
      <c r="U3549">
        <f t="shared" si="555"/>
        <v>1</v>
      </c>
      <c r="V3549">
        <f t="shared" si="556"/>
        <v>1</v>
      </c>
      <c r="W3549">
        <f t="shared" si="557"/>
        <v>1</v>
      </c>
      <c r="X3549">
        <f t="shared" si="558"/>
        <v>0.99999999999999989</v>
      </c>
      <c r="Y3549" t="str">
        <f t="shared" si="559"/>
        <v>Healthy</v>
      </c>
    </row>
    <row r="3550" spans="1:25" x14ac:dyDescent="0.35">
      <c r="A3550" t="s">
        <v>189</v>
      </c>
      <c r="B3550" t="s">
        <v>262</v>
      </c>
      <c r="C3550" t="s">
        <v>262</v>
      </c>
      <c r="D3550" t="s">
        <v>263</v>
      </c>
      <c r="E3550">
        <v>80862568</v>
      </c>
      <c r="F3550" t="s">
        <v>2406</v>
      </c>
      <c r="G3550" s="3">
        <v>46575</v>
      </c>
      <c r="H3550">
        <v>18</v>
      </c>
      <c r="I3550">
        <v>71</v>
      </c>
      <c r="J3550">
        <v>413</v>
      </c>
      <c r="K3550" s="4">
        <v>63519.4</v>
      </c>
      <c r="L3550" s="4">
        <v>574.42857142857144</v>
      </c>
      <c r="M3550" s="4">
        <v>0.71897537925889077</v>
      </c>
      <c r="N3550" t="s">
        <v>25</v>
      </c>
      <c r="O3550" t="str">
        <f t="shared" si="550"/>
        <v>Low</v>
      </c>
      <c r="P3550" t="str">
        <f t="shared" si="551"/>
        <v>Low</v>
      </c>
      <c r="Q3550" t="str">
        <f t="shared" si="552"/>
        <v>Low</v>
      </c>
      <c r="R3550" t="s">
        <v>3317</v>
      </c>
      <c r="S3550" s="4">
        <f t="shared" ca="1" si="553"/>
        <v>378</v>
      </c>
      <c r="T3550">
        <f t="shared" si="554"/>
        <v>1</v>
      </c>
      <c r="U3550">
        <f t="shared" si="555"/>
        <v>1</v>
      </c>
      <c r="V3550">
        <f t="shared" si="556"/>
        <v>1</v>
      </c>
      <c r="W3550">
        <f t="shared" si="557"/>
        <v>1</v>
      </c>
      <c r="X3550">
        <f t="shared" si="558"/>
        <v>0.99999999999999989</v>
      </c>
      <c r="Y3550" t="str">
        <f t="shared" si="559"/>
        <v>Healthy</v>
      </c>
    </row>
    <row r="3551" spans="1:25" x14ac:dyDescent="0.35">
      <c r="A3551" t="s">
        <v>189</v>
      </c>
      <c r="B3551" t="s">
        <v>262</v>
      </c>
      <c r="C3551" t="s">
        <v>262</v>
      </c>
      <c r="D3551" t="s">
        <v>263</v>
      </c>
      <c r="E3551">
        <v>80862568</v>
      </c>
      <c r="F3551" t="s">
        <v>2406</v>
      </c>
      <c r="G3551" s="3">
        <v>46553</v>
      </c>
      <c r="H3551">
        <v>18</v>
      </c>
      <c r="I3551">
        <v>67</v>
      </c>
      <c r="J3551">
        <v>122</v>
      </c>
      <c r="K3551" s="4">
        <v>18763.599999999999</v>
      </c>
      <c r="L3551" s="4">
        <v>574.42857142857144</v>
      </c>
      <c r="M3551" s="4">
        <v>0.21238497886097985</v>
      </c>
      <c r="N3551" t="s">
        <v>25</v>
      </c>
      <c r="O3551" t="str">
        <f t="shared" si="550"/>
        <v>Low</v>
      </c>
      <c r="P3551" t="str">
        <f t="shared" si="551"/>
        <v>Low</v>
      </c>
      <c r="Q3551" t="str">
        <f t="shared" si="552"/>
        <v>Low</v>
      </c>
      <c r="R3551" t="s">
        <v>3317</v>
      </c>
      <c r="S3551" s="4">
        <f t="shared" ca="1" si="553"/>
        <v>356</v>
      </c>
      <c r="T3551">
        <f t="shared" si="554"/>
        <v>1</v>
      </c>
      <c r="U3551">
        <f t="shared" si="555"/>
        <v>1</v>
      </c>
      <c r="V3551">
        <f t="shared" si="556"/>
        <v>1</v>
      </c>
      <c r="W3551">
        <f t="shared" si="557"/>
        <v>1</v>
      </c>
      <c r="X3551">
        <f t="shared" si="558"/>
        <v>0.99999999999999989</v>
      </c>
      <c r="Y3551" t="str">
        <f t="shared" si="559"/>
        <v>Healthy</v>
      </c>
    </row>
    <row r="3552" spans="1:25" x14ac:dyDescent="0.35">
      <c r="A3552" t="s">
        <v>179</v>
      </c>
      <c r="B3552" t="s">
        <v>195</v>
      </c>
      <c r="C3552" t="s">
        <v>199</v>
      </c>
      <c r="D3552" t="s">
        <v>2407</v>
      </c>
      <c r="E3552">
        <v>80891226</v>
      </c>
      <c r="F3552" t="s">
        <v>2408</v>
      </c>
      <c r="G3552" s="3">
        <v>46605</v>
      </c>
      <c r="H3552">
        <v>16</v>
      </c>
      <c r="I3552">
        <v>86</v>
      </c>
      <c r="J3552">
        <v>17</v>
      </c>
      <c r="K3552" s="4">
        <v>23043.67</v>
      </c>
      <c r="L3552" s="4">
        <v>549.14285714285711</v>
      </c>
      <c r="M3552" s="4">
        <v>3.0957336108220605E-2</v>
      </c>
      <c r="N3552" t="s">
        <v>25</v>
      </c>
      <c r="O3552" t="str">
        <f t="shared" si="550"/>
        <v>Low</v>
      </c>
      <c r="P3552" t="str">
        <f t="shared" si="551"/>
        <v>Low</v>
      </c>
      <c r="Q3552" t="str">
        <f t="shared" si="552"/>
        <v>Low</v>
      </c>
      <c r="R3552" t="s">
        <v>3317</v>
      </c>
      <c r="S3552" s="4">
        <f t="shared" ca="1" si="553"/>
        <v>408</v>
      </c>
      <c r="T3552">
        <f t="shared" si="554"/>
        <v>1</v>
      </c>
      <c r="U3552">
        <f t="shared" si="555"/>
        <v>1</v>
      </c>
      <c r="V3552">
        <f t="shared" si="556"/>
        <v>1</v>
      </c>
      <c r="W3552">
        <f t="shared" si="557"/>
        <v>1</v>
      </c>
      <c r="X3552">
        <f t="shared" si="558"/>
        <v>0.99999999999999989</v>
      </c>
      <c r="Y3552" t="str">
        <f t="shared" si="559"/>
        <v>Healthy</v>
      </c>
    </row>
    <row r="3553" spans="1:25" x14ac:dyDescent="0.35">
      <c r="A3553" t="s">
        <v>179</v>
      </c>
      <c r="B3553" t="s">
        <v>195</v>
      </c>
      <c r="C3553" t="s">
        <v>199</v>
      </c>
      <c r="D3553" t="s">
        <v>2407</v>
      </c>
      <c r="E3553">
        <v>80891226</v>
      </c>
      <c r="F3553" t="s">
        <v>2408</v>
      </c>
      <c r="G3553" s="3">
        <v>46605</v>
      </c>
      <c r="H3553">
        <v>16</v>
      </c>
      <c r="I3553">
        <v>86</v>
      </c>
      <c r="J3553">
        <v>419</v>
      </c>
      <c r="K3553" s="4">
        <v>567958.68999999994</v>
      </c>
      <c r="L3553" s="4">
        <v>549.14285714285711</v>
      </c>
      <c r="M3553" s="4">
        <v>0.76300728407908436</v>
      </c>
      <c r="N3553" t="s">
        <v>25</v>
      </c>
      <c r="O3553" t="str">
        <f t="shared" si="550"/>
        <v>Low</v>
      </c>
      <c r="P3553" t="str">
        <f t="shared" si="551"/>
        <v>Low</v>
      </c>
      <c r="Q3553" t="str">
        <f t="shared" si="552"/>
        <v>Low</v>
      </c>
      <c r="R3553" t="s">
        <v>3309</v>
      </c>
      <c r="S3553" s="4">
        <f t="shared" ca="1" si="553"/>
        <v>408</v>
      </c>
      <c r="T3553">
        <f t="shared" si="554"/>
        <v>1</v>
      </c>
      <c r="U3553">
        <f t="shared" si="555"/>
        <v>1</v>
      </c>
      <c r="V3553">
        <f t="shared" si="556"/>
        <v>1</v>
      </c>
      <c r="W3553">
        <f t="shared" si="557"/>
        <v>3</v>
      </c>
      <c r="X3553">
        <f t="shared" si="558"/>
        <v>1.2</v>
      </c>
      <c r="Y3553" t="str">
        <f t="shared" si="559"/>
        <v>Healthy</v>
      </c>
    </row>
    <row r="3554" spans="1:25" x14ac:dyDescent="0.35">
      <c r="A3554" t="s">
        <v>179</v>
      </c>
      <c r="B3554" t="s">
        <v>195</v>
      </c>
      <c r="C3554" t="s">
        <v>199</v>
      </c>
      <c r="D3554" t="s">
        <v>2407</v>
      </c>
      <c r="E3554">
        <v>80891226</v>
      </c>
      <c r="F3554" t="s">
        <v>2408</v>
      </c>
      <c r="G3554" s="3">
        <v>46631</v>
      </c>
      <c r="H3554">
        <v>16</v>
      </c>
      <c r="I3554">
        <v>91</v>
      </c>
      <c r="J3554">
        <v>80</v>
      </c>
      <c r="K3554" s="4">
        <v>108440.8</v>
      </c>
      <c r="L3554" s="4">
        <v>549.14285714285711</v>
      </c>
      <c r="M3554" s="4">
        <v>0.14568158168574402</v>
      </c>
      <c r="N3554" t="s">
        <v>25</v>
      </c>
      <c r="O3554" t="str">
        <f t="shared" si="550"/>
        <v>Low</v>
      </c>
      <c r="P3554" t="str">
        <f t="shared" si="551"/>
        <v>Low</v>
      </c>
      <c r="Q3554" t="str">
        <f t="shared" si="552"/>
        <v>Low</v>
      </c>
      <c r="R3554" t="s">
        <v>3310</v>
      </c>
      <c r="S3554" s="4">
        <f t="shared" ca="1" si="553"/>
        <v>434</v>
      </c>
      <c r="T3554">
        <f t="shared" si="554"/>
        <v>1</v>
      </c>
      <c r="U3554">
        <f t="shared" si="555"/>
        <v>1</v>
      </c>
      <c r="V3554">
        <f t="shared" si="556"/>
        <v>1</v>
      </c>
      <c r="W3554">
        <f t="shared" si="557"/>
        <v>2</v>
      </c>
      <c r="X3554">
        <f t="shared" si="558"/>
        <v>1.0999999999999999</v>
      </c>
      <c r="Y3554" t="str">
        <f t="shared" si="559"/>
        <v>Healthy</v>
      </c>
    </row>
    <row r="3555" spans="1:25" x14ac:dyDescent="0.35">
      <c r="A3555" t="s">
        <v>179</v>
      </c>
      <c r="B3555" t="s">
        <v>223</v>
      </c>
      <c r="C3555" t="s">
        <v>357</v>
      </c>
      <c r="D3555" t="s">
        <v>2404</v>
      </c>
      <c r="E3555">
        <v>80868342</v>
      </c>
      <c r="F3555" t="s">
        <v>2405</v>
      </c>
      <c r="G3555" s="3">
        <v>46450</v>
      </c>
      <c r="H3555">
        <v>18</v>
      </c>
      <c r="I3555">
        <v>48</v>
      </c>
      <c r="J3555">
        <v>13</v>
      </c>
      <c r="K3555" s="4">
        <v>11324.04</v>
      </c>
      <c r="L3555" s="4">
        <v>60</v>
      </c>
      <c r="M3555" s="4">
        <v>0.21666666666666667</v>
      </c>
      <c r="N3555" t="s">
        <v>25</v>
      </c>
      <c r="O3555" t="str">
        <f t="shared" si="550"/>
        <v>Low</v>
      </c>
      <c r="P3555" t="str">
        <f t="shared" si="551"/>
        <v>Low</v>
      </c>
      <c r="Q3555" t="str">
        <f t="shared" si="552"/>
        <v>Low</v>
      </c>
      <c r="R3555" t="s">
        <v>3317</v>
      </c>
      <c r="S3555" s="4">
        <f t="shared" ca="1" si="553"/>
        <v>253</v>
      </c>
      <c r="T3555">
        <f t="shared" si="554"/>
        <v>1</v>
      </c>
      <c r="U3555">
        <f t="shared" si="555"/>
        <v>1</v>
      </c>
      <c r="V3555">
        <f t="shared" si="556"/>
        <v>1</v>
      </c>
      <c r="W3555">
        <f t="shared" si="557"/>
        <v>1</v>
      </c>
      <c r="X3555">
        <f t="shared" si="558"/>
        <v>0.99999999999999989</v>
      </c>
      <c r="Y3555" t="str">
        <f t="shared" si="559"/>
        <v>Healthy</v>
      </c>
    </row>
    <row r="3556" spans="1:25" x14ac:dyDescent="0.35">
      <c r="A3556" t="s">
        <v>179</v>
      </c>
      <c r="B3556" t="s">
        <v>195</v>
      </c>
      <c r="C3556" t="s">
        <v>199</v>
      </c>
      <c r="D3556" t="s">
        <v>2407</v>
      </c>
      <c r="E3556">
        <v>80891226</v>
      </c>
      <c r="F3556" t="s">
        <v>2408</v>
      </c>
      <c r="G3556" s="3">
        <v>46605</v>
      </c>
      <c r="H3556">
        <v>16</v>
      </c>
      <c r="I3556">
        <v>86</v>
      </c>
      <c r="J3556">
        <v>358</v>
      </c>
      <c r="K3556" s="4">
        <v>485272.58</v>
      </c>
      <c r="L3556" s="4">
        <v>549.14285714285711</v>
      </c>
      <c r="M3556" s="4">
        <v>0.65192507804370448</v>
      </c>
      <c r="N3556" t="s">
        <v>25</v>
      </c>
      <c r="O3556" t="str">
        <f t="shared" si="550"/>
        <v>Low</v>
      </c>
      <c r="P3556" t="str">
        <f t="shared" si="551"/>
        <v>Low</v>
      </c>
      <c r="Q3556" t="str">
        <f t="shared" si="552"/>
        <v>Low</v>
      </c>
      <c r="R3556" t="s">
        <v>3309</v>
      </c>
      <c r="S3556" s="4">
        <f t="shared" ca="1" si="553"/>
        <v>408</v>
      </c>
      <c r="T3556">
        <f t="shared" si="554"/>
        <v>1</v>
      </c>
      <c r="U3556">
        <f t="shared" si="555"/>
        <v>1</v>
      </c>
      <c r="V3556">
        <f t="shared" si="556"/>
        <v>1</v>
      </c>
      <c r="W3556">
        <f t="shared" si="557"/>
        <v>3</v>
      </c>
      <c r="X3556">
        <f t="shared" si="558"/>
        <v>1.2</v>
      </c>
      <c r="Y3556" t="str">
        <f t="shared" si="559"/>
        <v>Healthy</v>
      </c>
    </row>
    <row r="3557" spans="1:25" x14ac:dyDescent="0.35">
      <c r="A3557" t="s">
        <v>179</v>
      </c>
      <c r="B3557" t="s">
        <v>195</v>
      </c>
      <c r="C3557" t="s">
        <v>199</v>
      </c>
      <c r="D3557" t="s">
        <v>2407</v>
      </c>
      <c r="E3557">
        <v>80891226</v>
      </c>
      <c r="F3557" t="s">
        <v>2408</v>
      </c>
      <c r="G3557" s="3">
        <v>46563</v>
      </c>
      <c r="H3557">
        <v>16</v>
      </c>
      <c r="I3557">
        <v>77</v>
      </c>
      <c r="J3557">
        <v>112</v>
      </c>
      <c r="K3557" s="4">
        <v>151817.12</v>
      </c>
      <c r="L3557" s="4">
        <v>549.14285714285711</v>
      </c>
      <c r="M3557" s="4">
        <v>0.20395421436004163</v>
      </c>
      <c r="N3557" t="s">
        <v>25</v>
      </c>
      <c r="O3557" t="str">
        <f t="shared" si="550"/>
        <v>Low</v>
      </c>
      <c r="P3557" t="str">
        <f t="shared" si="551"/>
        <v>Low</v>
      </c>
      <c r="Q3557" t="str">
        <f t="shared" si="552"/>
        <v>Low</v>
      </c>
      <c r="R3557" t="s">
        <v>3309</v>
      </c>
      <c r="S3557" s="4">
        <f t="shared" ca="1" si="553"/>
        <v>366</v>
      </c>
      <c r="T3557">
        <f t="shared" si="554"/>
        <v>1</v>
      </c>
      <c r="U3557">
        <f t="shared" si="555"/>
        <v>1</v>
      </c>
      <c r="V3557">
        <f t="shared" si="556"/>
        <v>1</v>
      </c>
      <c r="W3557">
        <f t="shared" si="557"/>
        <v>3</v>
      </c>
      <c r="X3557">
        <f t="shared" si="558"/>
        <v>1.2</v>
      </c>
      <c r="Y3557" t="str">
        <f t="shared" si="559"/>
        <v>Healthy</v>
      </c>
    </row>
    <row r="3558" spans="1:25" x14ac:dyDescent="0.35">
      <c r="A3558" t="s">
        <v>179</v>
      </c>
      <c r="B3558" t="s">
        <v>195</v>
      </c>
      <c r="C3558" t="s">
        <v>199</v>
      </c>
      <c r="D3558" t="s">
        <v>2407</v>
      </c>
      <c r="E3558">
        <v>80891226</v>
      </c>
      <c r="F3558" t="s">
        <v>2408</v>
      </c>
      <c r="G3558" s="3">
        <v>46614</v>
      </c>
      <c r="H3558">
        <v>16</v>
      </c>
      <c r="I3558">
        <v>88</v>
      </c>
      <c r="J3558">
        <v>117</v>
      </c>
      <c r="K3558" s="4">
        <v>158594.67000000001</v>
      </c>
      <c r="L3558" s="4">
        <v>549.14285714285711</v>
      </c>
      <c r="M3558" s="4">
        <v>0.21305931321540064</v>
      </c>
      <c r="N3558" t="s">
        <v>25</v>
      </c>
      <c r="O3558" t="str">
        <f t="shared" si="550"/>
        <v>Low</v>
      </c>
      <c r="P3558" t="str">
        <f t="shared" si="551"/>
        <v>Low</v>
      </c>
      <c r="Q3558" t="str">
        <f t="shared" si="552"/>
        <v>Low</v>
      </c>
      <c r="R3558" t="s">
        <v>3309</v>
      </c>
      <c r="S3558" s="4">
        <f t="shared" ca="1" si="553"/>
        <v>417</v>
      </c>
      <c r="T3558">
        <f t="shared" si="554"/>
        <v>1</v>
      </c>
      <c r="U3558">
        <f t="shared" si="555"/>
        <v>1</v>
      </c>
      <c r="V3558">
        <f t="shared" si="556"/>
        <v>1</v>
      </c>
      <c r="W3558">
        <f t="shared" si="557"/>
        <v>3</v>
      </c>
      <c r="X3558">
        <f t="shared" si="558"/>
        <v>1.2</v>
      </c>
      <c r="Y3558" t="str">
        <f t="shared" si="559"/>
        <v>Healthy</v>
      </c>
    </row>
    <row r="3559" spans="1:25" x14ac:dyDescent="0.35">
      <c r="A3559" t="s">
        <v>29</v>
      </c>
      <c r="B3559" t="s">
        <v>30</v>
      </c>
      <c r="C3559" t="s">
        <v>144</v>
      </c>
      <c r="D3559" t="s">
        <v>145</v>
      </c>
      <c r="E3559">
        <v>80823583</v>
      </c>
      <c r="F3559" t="s">
        <v>2409</v>
      </c>
      <c r="G3559" s="3">
        <v>46906</v>
      </c>
      <c r="H3559">
        <v>36</v>
      </c>
      <c r="I3559">
        <v>66</v>
      </c>
      <c r="J3559">
        <v>92</v>
      </c>
      <c r="K3559" s="4">
        <v>28798.76</v>
      </c>
      <c r="L3559" s="4">
        <v>151</v>
      </c>
      <c r="M3559" s="4">
        <v>0.60927152317880795</v>
      </c>
      <c r="N3559" t="s">
        <v>25</v>
      </c>
      <c r="O3559" t="str">
        <f t="shared" si="550"/>
        <v>Low</v>
      </c>
      <c r="P3559" t="str">
        <f t="shared" si="551"/>
        <v>Low</v>
      </c>
      <c r="Q3559" t="str">
        <f t="shared" si="552"/>
        <v>Low</v>
      </c>
      <c r="R3559" t="s">
        <v>3317</v>
      </c>
      <c r="S3559" s="4">
        <f t="shared" ca="1" si="553"/>
        <v>709</v>
      </c>
      <c r="T3559">
        <f t="shared" si="554"/>
        <v>1</v>
      </c>
      <c r="U3559">
        <f t="shared" si="555"/>
        <v>1</v>
      </c>
      <c r="V3559">
        <f t="shared" si="556"/>
        <v>1</v>
      </c>
      <c r="W3559">
        <f t="shared" si="557"/>
        <v>1</v>
      </c>
      <c r="X3559">
        <f t="shared" si="558"/>
        <v>0.99999999999999989</v>
      </c>
      <c r="Y3559" t="str">
        <f t="shared" si="559"/>
        <v>Healthy</v>
      </c>
    </row>
    <row r="3560" spans="1:25" x14ac:dyDescent="0.35">
      <c r="A3560" t="s">
        <v>41</v>
      </c>
      <c r="B3560" t="s">
        <v>80</v>
      </c>
      <c r="C3560" t="s">
        <v>502</v>
      </c>
      <c r="D3560" t="s">
        <v>2410</v>
      </c>
      <c r="E3560">
        <v>80896355</v>
      </c>
      <c r="F3560" t="s">
        <v>2411</v>
      </c>
      <c r="G3560" s="3">
        <v>47026</v>
      </c>
      <c r="H3560">
        <v>36</v>
      </c>
      <c r="I3560">
        <v>77</v>
      </c>
      <c r="J3560">
        <v>17</v>
      </c>
      <c r="K3560" s="4">
        <v>7955.83</v>
      </c>
      <c r="L3560" s="4">
        <v>28.428571428571427</v>
      </c>
      <c r="M3560" s="4">
        <v>0.59798994974874375</v>
      </c>
      <c r="N3560" t="s">
        <v>25</v>
      </c>
      <c r="O3560" t="str">
        <f t="shared" si="550"/>
        <v>Low</v>
      </c>
      <c r="P3560" t="str">
        <f t="shared" si="551"/>
        <v>Low</v>
      </c>
      <c r="Q3560" t="str">
        <f t="shared" si="552"/>
        <v>Low</v>
      </c>
      <c r="R3560" t="s">
        <v>3317</v>
      </c>
      <c r="S3560" s="4">
        <f t="shared" ca="1" si="553"/>
        <v>829</v>
      </c>
      <c r="T3560">
        <f t="shared" si="554"/>
        <v>1</v>
      </c>
      <c r="U3560">
        <f t="shared" si="555"/>
        <v>1</v>
      </c>
      <c r="V3560">
        <f t="shared" si="556"/>
        <v>1</v>
      </c>
      <c r="W3560">
        <f t="shared" si="557"/>
        <v>1</v>
      </c>
      <c r="X3560">
        <f t="shared" si="558"/>
        <v>0.99999999999999989</v>
      </c>
      <c r="Y3560" t="str">
        <f t="shared" si="559"/>
        <v>Healthy</v>
      </c>
    </row>
    <row r="3561" spans="1:25" x14ac:dyDescent="0.35">
      <c r="A3561" t="s">
        <v>29</v>
      </c>
      <c r="B3561" t="s">
        <v>30</v>
      </c>
      <c r="C3561" t="s">
        <v>144</v>
      </c>
      <c r="D3561" t="s">
        <v>145</v>
      </c>
      <c r="E3561">
        <v>80823583</v>
      </c>
      <c r="F3561" t="s">
        <v>2409</v>
      </c>
      <c r="G3561" s="3">
        <v>47133</v>
      </c>
      <c r="H3561">
        <v>36</v>
      </c>
      <c r="I3561">
        <v>87</v>
      </c>
      <c r="J3561">
        <v>68</v>
      </c>
      <c r="K3561" s="4">
        <v>21286.04</v>
      </c>
      <c r="L3561" s="4">
        <v>151</v>
      </c>
      <c r="M3561" s="4">
        <v>0.45033112582781459</v>
      </c>
      <c r="N3561" t="s">
        <v>25</v>
      </c>
      <c r="O3561" t="str">
        <f t="shared" si="550"/>
        <v>Low</v>
      </c>
      <c r="P3561" t="str">
        <f t="shared" si="551"/>
        <v>Low</v>
      </c>
      <c r="Q3561" t="str">
        <f t="shared" si="552"/>
        <v>Low</v>
      </c>
      <c r="R3561" t="s">
        <v>3317</v>
      </c>
      <c r="S3561" s="4">
        <f t="shared" ca="1" si="553"/>
        <v>936</v>
      </c>
      <c r="T3561">
        <f t="shared" si="554"/>
        <v>1</v>
      </c>
      <c r="U3561">
        <f t="shared" si="555"/>
        <v>1</v>
      </c>
      <c r="V3561">
        <f t="shared" si="556"/>
        <v>1</v>
      </c>
      <c r="W3561">
        <f t="shared" si="557"/>
        <v>1</v>
      </c>
      <c r="X3561">
        <f t="shared" si="558"/>
        <v>0.99999999999999989</v>
      </c>
      <c r="Y3561" t="str">
        <f t="shared" si="559"/>
        <v>Healthy</v>
      </c>
    </row>
    <row r="3562" spans="1:25" x14ac:dyDescent="0.35">
      <c r="A3562" t="s">
        <v>41</v>
      </c>
      <c r="B3562" t="s">
        <v>80</v>
      </c>
      <c r="C3562" t="s">
        <v>502</v>
      </c>
      <c r="D3562" t="s">
        <v>2410</v>
      </c>
      <c r="E3562">
        <v>80896355</v>
      </c>
      <c r="F3562" t="s">
        <v>2411</v>
      </c>
      <c r="G3562" s="3">
        <v>47056</v>
      </c>
      <c r="H3562">
        <v>36</v>
      </c>
      <c r="I3562">
        <v>80</v>
      </c>
      <c r="J3562">
        <v>12</v>
      </c>
      <c r="K3562" s="4">
        <v>5615.88</v>
      </c>
      <c r="L3562" s="4">
        <v>28.428571428571427</v>
      </c>
      <c r="M3562" s="4">
        <v>0.42211055276381909</v>
      </c>
      <c r="N3562" t="s">
        <v>25</v>
      </c>
      <c r="O3562" t="str">
        <f t="shared" si="550"/>
        <v>Low</v>
      </c>
      <c r="P3562" t="str">
        <f t="shared" si="551"/>
        <v>Low</v>
      </c>
      <c r="Q3562" t="str">
        <f t="shared" si="552"/>
        <v>Low</v>
      </c>
      <c r="R3562" t="s">
        <v>3317</v>
      </c>
      <c r="S3562" s="4">
        <f t="shared" ca="1" si="553"/>
        <v>859</v>
      </c>
      <c r="T3562">
        <f t="shared" si="554"/>
        <v>1</v>
      </c>
      <c r="U3562">
        <f t="shared" si="555"/>
        <v>1</v>
      </c>
      <c r="V3562">
        <f t="shared" si="556"/>
        <v>1</v>
      </c>
      <c r="W3562">
        <f t="shared" si="557"/>
        <v>1</v>
      </c>
      <c r="X3562">
        <f t="shared" si="558"/>
        <v>0.99999999999999989</v>
      </c>
      <c r="Y3562" t="str">
        <f t="shared" si="559"/>
        <v>Healthy</v>
      </c>
    </row>
    <row r="3563" spans="1:25" x14ac:dyDescent="0.35">
      <c r="A3563" t="s">
        <v>29</v>
      </c>
      <c r="B3563" t="s">
        <v>30</v>
      </c>
      <c r="C3563" t="s">
        <v>144</v>
      </c>
      <c r="D3563" t="s">
        <v>145</v>
      </c>
      <c r="E3563">
        <v>80823583</v>
      </c>
      <c r="F3563" t="s">
        <v>2409</v>
      </c>
      <c r="G3563" s="3">
        <v>47034</v>
      </c>
      <c r="H3563">
        <v>36</v>
      </c>
      <c r="I3563">
        <v>78</v>
      </c>
      <c r="J3563">
        <v>29</v>
      </c>
      <c r="K3563" s="4">
        <v>9077.8700000000008</v>
      </c>
      <c r="L3563" s="4">
        <v>151</v>
      </c>
      <c r="M3563" s="4">
        <v>0.19205298013245034</v>
      </c>
      <c r="N3563" t="s">
        <v>25</v>
      </c>
      <c r="O3563" t="str">
        <f t="shared" si="550"/>
        <v>Low</v>
      </c>
      <c r="P3563" t="str">
        <f t="shared" si="551"/>
        <v>Low</v>
      </c>
      <c r="Q3563" t="str">
        <f t="shared" si="552"/>
        <v>Low</v>
      </c>
      <c r="R3563" t="s">
        <v>3317</v>
      </c>
      <c r="S3563" s="4">
        <f t="shared" ca="1" si="553"/>
        <v>837</v>
      </c>
      <c r="T3563">
        <f t="shared" si="554"/>
        <v>1</v>
      </c>
      <c r="U3563">
        <f t="shared" si="555"/>
        <v>1</v>
      </c>
      <c r="V3563">
        <f t="shared" si="556"/>
        <v>1</v>
      </c>
      <c r="W3563">
        <f t="shared" si="557"/>
        <v>1</v>
      </c>
      <c r="X3563">
        <f t="shared" si="558"/>
        <v>0.99999999999999989</v>
      </c>
      <c r="Y3563" t="str">
        <f t="shared" si="559"/>
        <v>Healthy</v>
      </c>
    </row>
    <row r="3564" spans="1:25" x14ac:dyDescent="0.35">
      <c r="A3564" t="s">
        <v>29</v>
      </c>
      <c r="B3564" t="s">
        <v>30</v>
      </c>
      <c r="C3564" t="s">
        <v>230</v>
      </c>
      <c r="D3564" t="s">
        <v>2412</v>
      </c>
      <c r="E3564">
        <v>80887021</v>
      </c>
      <c r="F3564" t="s">
        <v>2413</v>
      </c>
      <c r="G3564" s="3">
        <v>47067</v>
      </c>
      <c r="H3564">
        <v>36</v>
      </c>
      <c r="I3564">
        <v>81</v>
      </c>
      <c r="J3564">
        <v>18</v>
      </c>
      <c r="K3564" s="4">
        <v>18705.060000000001</v>
      </c>
      <c r="L3564" s="4">
        <f>0</f>
        <v>0</v>
      </c>
      <c r="M3564" s="4">
        <f>999</f>
        <v>999</v>
      </c>
      <c r="N3564" t="s">
        <v>19</v>
      </c>
      <c r="O3564" t="str">
        <f t="shared" si="550"/>
        <v>Low</v>
      </c>
      <c r="P3564" t="str">
        <f t="shared" si="551"/>
        <v>High</v>
      </c>
      <c r="Q3564" t="str">
        <f t="shared" si="552"/>
        <v>High</v>
      </c>
      <c r="R3564" t="s">
        <v>3317</v>
      </c>
      <c r="S3564" s="4">
        <f t="shared" ca="1" si="553"/>
        <v>870</v>
      </c>
      <c r="T3564">
        <f t="shared" si="554"/>
        <v>1</v>
      </c>
      <c r="U3564">
        <f t="shared" si="555"/>
        <v>3</v>
      </c>
      <c r="V3564">
        <f t="shared" si="556"/>
        <v>3</v>
      </c>
      <c r="W3564">
        <f t="shared" si="557"/>
        <v>1</v>
      </c>
      <c r="X3564">
        <f t="shared" si="558"/>
        <v>2</v>
      </c>
      <c r="Y3564" t="str">
        <f t="shared" si="559"/>
        <v>Monitor</v>
      </c>
    </row>
    <row r="3565" spans="1:25" x14ac:dyDescent="0.35">
      <c r="A3565" t="s">
        <v>29</v>
      </c>
      <c r="B3565" t="s">
        <v>30</v>
      </c>
      <c r="C3565" t="s">
        <v>144</v>
      </c>
      <c r="D3565" t="s">
        <v>145</v>
      </c>
      <c r="E3565">
        <v>80823583</v>
      </c>
      <c r="F3565" t="s">
        <v>2409</v>
      </c>
      <c r="G3565" s="3">
        <v>46930</v>
      </c>
      <c r="H3565">
        <v>36</v>
      </c>
      <c r="I3565">
        <v>68</v>
      </c>
      <c r="J3565">
        <v>124</v>
      </c>
      <c r="K3565" s="4">
        <v>38815.72</v>
      </c>
      <c r="L3565" s="4">
        <v>151</v>
      </c>
      <c r="M3565" s="4">
        <v>0.82119205298013243</v>
      </c>
      <c r="N3565" t="s">
        <v>25</v>
      </c>
      <c r="O3565" t="str">
        <f t="shared" si="550"/>
        <v>Low</v>
      </c>
      <c r="P3565" t="str">
        <f t="shared" si="551"/>
        <v>Low</v>
      </c>
      <c r="Q3565" t="str">
        <f t="shared" si="552"/>
        <v>Low</v>
      </c>
      <c r="R3565" t="s">
        <v>3317</v>
      </c>
      <c r="S3565" s="4">
        <f t="shared" ca="1" si="553"/>
        <v>733</v>
      </c>
      <c r="T3565">
        <f t="shared" si="554"/>
        <v>1</v>
      </c>
      <c r="U3565">
        <f t="shared" si="555"/>
        <v>1</v>
      </c>
      <c r="V3565">
        <f t="shared" si="556"/>
        <v>1</v>
      </c>
      <c r="W3565">
        <f t="shared" si="557"/>
        <v>1</v>
      </c>
      <c r="X3565">
        <f t="shared" si="558"/>
        <v>0.99999999999999989</v>
      </c>
      <c r="Y3565" t="str">
        <f t="shared" si="559"/>
        <v>Healthy</v>
      </c>
    </row>
    <row r="3566" spans="1:25" x14ac:dyDescent="0.35">
      <c r="A3566" t="s">
        <v>41</v>
      </c>
      <c r="B3566" t="s">
        <v>54</v>
      </c>
      <c r="C3566" t="s">
        <v>55</v>
      </c>
      <c r="D3566" t="s">
        <v>1349</v>
      </c>
      <c r="E3566">
        <v>83905919</v>
      </c>
      <c r="F3566" t="s">
        <v>2414</v>
      </c>
      <c r="G3566" s="3">
        <v>47207</v>
      </c>
      <c r="H3566">
        <v>36</v>
      </c>
      <c r="I3566">
        <v>94</v>
      </c>
      <c r="J3566">
        <v>12</v>
      </c>
      <c r="K3566" s="4">
        <v>5245.56</v>
      </c>
      <c r="L3566" s="4">
        <f>0</f>
        <v>0</v>
      </c>
      <c r="M3566" s="4">
        <f>999</f>
        <v>999</v>
      </c>
      <c r="N3566" t="s">
        <v>19</v>
      </c>
      <c r="O3566" t="str">
        <f t="shared" si="550"/>
        <v>Low</v>
      </c>
      <c r="P3566" t="str">
        <f t="shared" si="551"/>
        <v>High</v>
      </c>
      <c r="Q3566" t="str">
        <f t="shared" si="552"/>
        <v>High</v>
      </c>
      <c r="R3566" t="s">
        <v>3317</v>
      </c>
      <c r="S3566" s="4">
        <f t="shared" ca="1" si="553"/>
        <v>1010</v>
      </c>
      <c r="T3566">
        <f t="shared" si="554"/>
        <v>1</v>
      </c>
      <c r="U3566">
        <f t="shared" si="555"/>
        <v>3</v>
      </c>
      <c r="V3566">
        <f t="shared" si="556"/>
        <v>3</v>
      </c>
      <c r="W3566">
        <f t="shared" si="557"/>
        <v>1</v>
      </c>
      <c r="X3566">
        <f t="shared" si="558"/>
        <v>2</v>
      </c>
      <c r="Y3566" t="str">
        <f t="shared" si="559"/>
        <v>Monitor</v>
      </c>
    </row>
    <row r="3567" spans="1:25" x14ac:dyDescent="0.35">
      <c r="A3567" t="s">
        <v>41</v>
      </c>
      <c r="B3567" t="s">
        <v>54</v>
      </c>
      <c r="C3567" t="s">
        <v>55</v>
      </c>
      <c r="D3567" t="s">
        <v>1349</v>
      </c>
      <c r="E3567">
        <v>80884385</v>
      </c>
      <c r="F3567" t="s">
        <v>2415</v>
      </c>
      <c r="G3567" s="3">
        <v>46943</v>
      </c>
      <c r="H3567">
        <v>36</v>
      </c>
      <c r="I3567">
        <v>70</v>
      </c>
      <c r="J3567">
        <v>60</v>
      </c>
      <c r="K3567" s="4">
        <v>26227.8</v>
      </c>
      <c r="L3567" s="4">
        <f>0</f>
        <v>0</v>
      </c>
      <c r="M3567" s="4">
        <f>999</f>
        <v>999</v>
      </c>
      <c r="N3567" t="s">
        <v>19</v>
      </c>
      <c r="O3567" t="str">
        <f t="shared" si="550"/>
        <v>Low</v>
      </c>
      <c r="P3567" t="str">
        <f t="shared" si="551"/>
        <v>High</v>
      </c>
      <c r="Q3567" t="str">
        <f t="shared" si="552"/>
        <v>High</v>
      </c>
      <c r="R3567" t="s">
        <v>3317</v>
      </c>
      <c r="S3567" s="4">
        <f t="shared" ca="1" si="553"/>
        <v>746</v>
      </c>
      <c r="T3567">
        <f t="shared" si="554"/>
        <v>1</v>
      </c>
      <c r="U3567">
        <f t="shared" si="555"/>
        <v>3</v>
      </c>
      <c r="V3567">
        <f t="shared" si="556"/>
        <v>3</v>
      </c>
      <c r="W3567">
        <f t="shared" si="557"/>
        <v>1</v>
      </c>
      <c r="X3567">
        <f t="shared" si="558"/>
        <v>2</v>
      </c>
      <c r="Y3567" t="str">
        <f t="shared" si="559"/>
        <v>Monitor</v>
      </c>
    </row>
    <row r="3568" spans="1:25" x14ac:dyDescent="0.35">
      <c r="A3568" t="s">
        <v>41</v>
      </c>
      <c r="B3568" t="s">
        <v>54</v>
      </c>
      <c r="C3568" t="s">
        <v>55</v>
      </c>
      <c r="D3568" t="s">
        <v>1349</v>
      </c>
      <c r="E3568">
        <v>83905919</v>
      </c>
      <c r="F3568" t="s">
        <v>2414</v>
      </c>
      <c r="G3568" s="3">
        <v>47210</v>
      </c>
      <c r="H3568">
        <v>36</v>
      </c>
      <c r="I3568">
        <v>94</v>
      </c>
      <c r="J3568">
        <v>2160</v>
      </c>
      <c r="K3568" s="4">
        <v>944200.8</v>
      </c>
      <c r="L3568" s="4">
        <f>0</f>
        <v>0</v>
      </c>
      <c r="M3568" s="4">
        <f>999</f>
        <v>999</v>
      </c>
      <c r="N3568" t="s">
        <v>19</v>
      </c>
      <c r="O3568" t="str">
        <f t="shared" si="550"/>
        <v>Low</v>
      </c>
      <c r="P3568" t="str">
        <f t="shared" si="551"/>
        <v>High</v>
      </c>
      <c r="Q3568" t="str">
        <f t="shared" si="552"/>
        <v>High</v>
      </c>
      <c r="R3568" t="s">
        <v>3309</v>
      </c>
      <c r="S3568" s="4">
        <f t="shared" ca="1" si="553"/>
        <v>1013</v>
      </c>
      <c r="T3568">
        <f t="shared" si="554"/>
        <v>1</v>
      </c>
      <c r="U3568">
        <f t="shared" si="555"/>
        <v>3</v>
      </c>
      <c r="V3568">
        <f t="shared" si="556"/>
        <v>3</v>
      </c>
      <c r="W3568">
        <f t="shared" si="557"/>
        <v>3</v>
      </c>
      <c r="X3568">
        <f t="shared" si="558"/>
        <v>2.2000000000000002</v>
      </c>
      <c r="Y3568" t="str">
        <f t="shared" si="559"/>
        <v>High Priority</v>
      </c>
    </row>
    <row r="3569" spans="1:25" x14ac:dyDescent="0.35">
      <c r="A3569" t="s">
        <v>41</v>
      </c>
      <c r="B3569" t="s">
        <v>42</v>
      </c>
      <c r="C3569" t="s">
        <v>365</v>
      </c>
      <c r="D3569" t="s">
        <v>396</v>
      </c>
      <c r="E3569">
        <v>80889637</v>
      </c>
      <c r="F3569" t="s">
        <v>2416</v>
      </c>
      <c r="G3569" s="3">
        <v>47119</v>
      </c>
      <c r="H3569">
        <v>36</v>
      </c>
      <c r="I3569">
        <v>86</v>
      </c>
      <c r="J3569">
        <v>1</v>
      </c>
      <c r="K3569" s="4">
        <v>874.26</v>
      </c>
      <c r="L3569" s="4">
        <v>206.14285714285714</v>
      </c>
      <c r="M3569" s="4">
        <v>4.8510048510048507E-3</v>
      </c>
      <c r="N3569" t="s">
        <v>25</v>
      </c>
      <c r="O3569" t="str">
        <f t="shared" si="550"/>
        <v>Low</v>
      </c>
      <c r="P3569" t="str">
        <f t="shared" si="551"/>
        <v>Low</v>
      </c>
      <c r="Q3569" t="str">
        <f t="shared" si="552"/>
        <v>Low</v>
      </c>
      <c r="R3569" t="s">
        <v>3317</v>
      </c>
      <c r="S3569" s="4">
        <f t="shared" ca="1" si="553"/>
        <v>922</v>
      </c>
      <c r="T3569">
        <f t="shared" si="554"/>
        <v>1</v>
      </c>
      <c r="U3569">
        <f t="shared" si="555"/>
        <v>1</v>
      </c>
      <c r="V3569">
        <f t="shared" si="556"/>
        <v>1</v>
      </c>
      <c r="W3569">
        <f t="shared" si="557"/>
        <v>1</v>
      </c>
      <c r="X3569">
        <f t="shared" si="558"/>
        <v>0.99999999999999989</v>
      </c>
      <c r="Y3569" t="str">
        <f t="shared" si="559"/>
        <v>Healthy</v>
      </c>
    </row>
    <row r="3570" spans="1:25" x14ac:dyDescent="0.35">
      <c r="A3570" t="s">
        <v>41</v>
      </c>
      <c r="B3570" t="s">
        <v>42</v>
      </c>
      <c r="C3570" t="s">
        <v>365</v>
      </c>
      <c r="D3570" t="s">
        <v>396</v>
      </c>
      <c r="E3570">
        <v>80889637</v>
      </c>
      <c r="F3570" t="s">
        <v>2416</v>
      </c>
      <c r="G3570" s="3">
        <v>47184</v>
      </c>
      <c r="H3570">
        <v>36</v>
      </c>
      <c r="I3570">
        <v>92</v>
      </c>
      <c r="J3570">
        <v>58</v>
      </c>
      <c r="K3570" s="4">
        <v>50707.08</v>
      </c>
      <c r="L3570" s="4">
        <v>206.14285714285714</v>
      </c>
      <c r="M3570" s="4">
        <v>0.28135828135828134</v>
      </c>
      <c r="N3570" t="s">
        <v>25</v>
      </c>
      <c r="O3570" t="str">
        <f t="shared" si="550"/>
        <v>Low</v>
      </c>
      <c r="P3570" t="str">
        <f t="shared" si="551"/>
        <v>Low</v>
      </c>
      <c r="Q3570" t="str">
        <f t="shared" si="552"/>
        <v>Low</v>
      </c>
      <c r="R3570" t="s">
        <v>3317</v>
      </c>
      <c r="S3570" s="4">
        <f t="shared" ca="1" si="553"/>
        <v>987</v>
      </c>
      <c r="T3570">
        <f t="shared" si="554"/>
        <v>1</v>
      </c>
      <c r="U3570">
        <f t="shared" si="555"/>
        <v>1</v>
      </c>
      <c r="V3570">
        <f t="shared" si="556"/>
        <v>1</v>
      </c>
      <c r="W3570">
        <f t="shared" si="557"/>
        <v>1</v>
      </c>
      <c r="X3570">
        <f t="shared" si="558"/>
        <v>0.99999999999999989</v>
      </c>
      <c r="Y3570" t="str">
        <f t="shared" si="559"/>
        <v>Healthy</v>
      </c>
    </row>
    <row r="3571" spans="1:25" x14ac:dyDescent="0.35">
      <c r="A3571" t="s">
        <v>41</v>
      </c>
      <c r="B3571" t="s">
        <v>54</v>
      </c>
      <c r="C3571" t="s">
        <v>55</v>
      </c>
      <c r="D3571" t="s">
        <v>1351</v>
      </c>
      <c r="E3571">
        <v>83905920</v>
      </c>
      <c r="F3571" t="s">
        <v>2417</v>
      </c>
      <c r="G3571" s="3">
        <v>47210</v>
      </c>
      <c r="H3571">
        <v>36</v>
      </c>
      <c r="I3571">
        <v>94</v>
      </c>
      <c r="J3571">
        <v>60</v>
      </c>
      <c r="K3571" s="4">
        <v>31473.360000000001</v>
      </c>
      <c r="L3571" s="4">
        <v>262.28571428571428</v>
      </c>
      <c r="M3571" s="4">
        <v>0.22875816993464054</v>
      </c>
      <c r="N3571" t="s">
        <v>25</v>
      </c>
      <c r="O3571" t="str">
        <f t="shared" si="550"/>
        <v>Low</v>
      </c>
      <c r="P3571" t="str">
        <f t="shared" si="551"/>
        <v>Low</v>
      </c>
      <c r="Q3571" t="str">
        <f t="shared" si="552"/>
        <v>Low</v>
      </c>
      <c r="R3571" t="s">
        <v>3317</v>
      </c>
      <c r="S3571" s="4">
        <f t="shared" ca="1" si="553"/>
        <v>1013</v>
      </c>
      <c r="T3571">
        <f t="shared" si="554"/>
        <v>1</v>
      </c>
      <c r="U3571">
        <f t="shared" si="555"/>
        <v>1</v>
      </c>
      <c r="V3571">
        <f t="shared" si="556"/>
        <v>1</v>
      </c>
      <c r="W3571">
        <f t="shared" si="557"/>
        <v>1</v>
      </c>
      <c r="X3571">
        <f t="shared" si="558"/>
        <v>0.99999999999999989</v>
      </c>
      <c r="Y3571" t="str">
        <f t="shared" si="559"/>
        <v>Healthy</v>
      </c>
    </row>
    <row r="3572" spans="1:25" x14ac:dyDescent="0.35">
      <c r="A3572" t="s">
        <v>71</v>
      </c>
      <c r="B3572" t="s">
        <v>72</v>
      </c>
      <c r="C3572" t="s">
        <v>174</v>
      </c>
      <c r="D3572" t="s">
        <v>555</v>
      </c>
      <c r="E3572">
        <v>80887732</v>
      </c>
      <c r="F3572" t="s">
        <v>2418</v>
      </c>
      <c r="G3572" s="3">
        <v>47218</v>
      </c>
      <c r="H3572">
        <v>36</v>
      </c>
      <c r="I3572">
        <v>95</v>
      </c>
      <c r="J3572">
        <v>19</v>
      </c>
      <c r="K3572" s="4">
        <v>58857.25</v>
      </c>
      <c r="L3572" s="4">
        <v>555.42857142857144</v>
      </c>
      <c r="M3572" s="4">
        <v>3.4207818930041149E-2</v>
      </c>
      <c r="N3572" t="s">
        <v>25</v>
      </c>
      <c r="O3572" t="str">
        <f t="shared" si="550"/>
        <v>Low</v>
      </c>
      <c r="P3572" t="str">
        <f t="shared" si="551"/>
        <v>Low</v>
      </c>
      <c r="Q3572" t="str">
        <f t="shared" si="552"/>
        <v>Low</v>
      </c>
      <c r="R3572" t="s">
        <v>3317</v>
      </c>
      <c r="S3572" s="4">
        <f t="shared" ca="1" si="553"/>
        <v>1021</v>
      </c>
      <c r="T3572">
        <f t="shared" si="554"/>
        <v>1</v>
      </c>
      <c r="U3572">
        <f t="shared" si="555"/>
        <v>1</v>
      </c>
      <c r="V3572">
        <f t="shared" si="556"/>
        <v>1</v>
      </c>
      <c r="W3572">
        <f t="shared" si="557"/>
        <v>1</v>
      </c>
      <c r="X3572">
        <f t="shared" si="558"/>
        <v>0.99999999999999989</v>
      </c>
      <c r="Y3572" t="str">
        <f t="shared" si="559"/>
        <v>Healthy</v>
      </c>
    </row>
    <row r="3573" spans="1:25" x14ac:dyDescent="0.35">
      <c r="A3573" t="s">
        <v>71</v>
      </c>
      <c r="B3573" t="s">
        <v>72</v>
      </c>
      <c r="C3573" t="s">
        <v>174</v>
      </c>
      <c r="D3573" t="s">
        <v>555</v>
      </c>
      <c r="E3573">
        <v>80887732</v>
      </c>
      <c r="F3573" t="s">
        <v>2418</v>
      </c>
      <c r="G3573" s="3">
        <v>47218</v>
      </c>
      <c r="H3573">
        <v>36</v>
      </c>
      <c r="I3573">
        <v>95</v>
      </c>
      <c r="J3573">
        <v>1</v>
      </c>
      <c r="K3573" s="4">
        <v>3097.75</v>
      </c>
      <c r="L3573" s="4">
        <v>555.42857142857144</v>
      </c>
      <c r="M3573" s="4">
        <v>1.8004115226337449E-3</v>
      </c>
      <c r="N3573" t="s">
        <v>25</v>
      </c>
      <c r="O3573" t="str">
        <f t="shared" si="550"/>
        <v>Low</v>
      </c>
      <c r="P3573" t="str">
        <f t="shared" si="551"/>
        <v>Low</v>
      </c>
      <c r="Q3573" t="str">
        <f t="shared" si="552"/>
        <v>Low</v>
      </c>
      <c r="R3573" t="s">
        <v>3317</v>
      </c>
      <c r="S3573" s="4">
        <f t="shared" ca="1" si="553"/>
        <v>1021</v>
      </c>
      <c r="T3573">
        <f t="shared" si="554"/>
        <v>1</v>
      </c>
      <c r="U3573">
        <f t="shared" si="555"/>
        <v>1</v>
      </c>
      <c r="V3573">
        <f t="shared" si="556"/>
        <v>1</v>
      </c>
      <c r="W3573">
        <f t="shared" si="557"/>
        <v>1</v>
      </c>
      <c r="X3573">
        <f t="shared" si="558"/>
        <v>0.99999999999999989</v>
      </c>
      <c r="Y3573" t="str">
        <f t="shared" si="559"/>
        <v>Healthy</v>
      </c>
    </row>
    <row r="3574" spans="1:25" x14ac:dyDescent="0.35">
      <c r="A3574" t="s">
        <v>41</v>
      </c>
      <c r="B3574" t="s">
        <v>54</v>
      </c>
      <c r="C3574" t="s">
        <v>55</v>
      </c>
      <c r="D3574" t="s">
        <v>1623</v>
      </c>
      <c r="E3574">
        <v>83905922</v>
      </c>
      <c r="F3574" t="s">
        <v>2419</v>
      </c>
      <c r="G3574" s="3">
        <v>47215</v>
      </c>
      <c r="H3574">
        <v>36</v>
      </c>
      <c r="I3574">
        <v>95</v>
      </c>
      <c r="J3574">
        <v>168</v>
      </c>
      <c r="K3574" s="4">
        <v>73437.84</v>
      </c>
      <c r="L3574" s="4">
        <v>721.71428571428567</v>
      </c>
      <c r="M3574" s="4">
        <v>0.23277909738717342</v>
      </c>
      <c r="N3574" t="s">
        <v>25</v>
      </c>
      <c r="O3574" t="str">
        <f t="shared" si="550"/>
        <v>Low</v>
      </c>
      <c r="P3574" t="str">
        <f t="shared" si="551"/>
        <v>Low</v>
      </c>
      <c r="Q3574" t="str">
        <f t="shared" si="552"/>
        <v>Low</v>
      </c>
      <c r="R3574" t="s">
        <v>3310</v>
      </c>
      <c r="S3574" s="4">
        <f t="shared" ca="1" si="553"/>
        <v>1018</v>
      </c>
      <c r="T3574">
        <f t="shared" si="554"/>
        <v>1</v>
      </c>
      <c r="U3574">
        <f t="shared" si="555"/>
        <v>1</v>
      </c>
      <c r="V3574">
        <f t="shared" si="556"/>
        <v>1</v>
      </c>
      <c r="W3574">
        <f t="shared" si="557"/>
        <v>2</v>
      </c>
      <c r="X3574">
        <f t="shared" si="558"/>
        <v>1.0999999999999999</v>
      </c>
      <c r="Y3574" t="str">
        <f t="shared" si="559"/>
        <v>Healthy</v>
      </c>
    </row>
    <row r="3575" spans="1:25" x14ac:dyDescent="0.35">
      <c r="A3575" t="s">
        <v>71</v>
      </c>
      <c r="B3575" t="s">
        <v>72</v>
      </c>
      <c r="C3575" t="s">
        <v>174</v>
      </c>
      <c r="D3575" t="s">
        <v>1081</v>
      </c>
      <c r="E3575">
        <v>80887734</v>
      </c>
      <c r="F3575" t="s">
        <v>2420</v>
      </c>
      <c r="G3575" s="3">
        <v>47250</v>
      </c>
      <c r="H3575">
        <v>36</v>
      </c>
      <c r="I3575">
        <v>98</v>
      </c>
      <c r="J3575">
        <v>12</v>
      </c>
      <c r="K3575" s="4">
        <v>9887.64</v>
      </c>
      <c r="L3575" s="4">
        <v>169.14285714285714</v>
      </c>
      <c r="M3575" s="4">
        <v>7.0945945945945943E-2</v>
      </c>
      <c r="N3575" t="s">
        <v>25</v>
      </c>
      <c r="O3575" t="str">
        <f t="shared" si="550"/>
        <v>Low</v>
      </c>
      <c r="P3575" t="str">
        <f t="shared" si="551"/>
        <v>Low</v>
      </c>
      <c r="Q3575" t="str">
        <f t="shared" si="552"/>
        <v>Low</v>
      </c>
      <c r="R3575" t="s">
        <v>3317</v>
      </c>
      <c r="S3575" s="4">
        <f t="shared" ca="1" si="553"/>
        <v>1053</v>
      </c>
      <c r="T3575">
        <f t="shared" si="554"/>
        <v>1</v>
      </c>
      <c r="U3575">
        <f t="shared" si="555"/>
        <v>1</v>
      </c>
      <c r="V3575">
        <f t="shared" si="556"/>
        <v>1</v>
      </c>
      <c r="W3575">
        <f t="shared" si="557"/>
        <v>1</v>
      </c>
      <c r="X3575">
        <f t="shared" si="558"/>
        <v>0.99999999999999989</v>
      </c>
      <c r="Y3575" t="str">
        <f t="shared" si="559"/>
        <v>Healthy</v>
      </c>
    </row>
    <row r="3576" spans="1:25" x14ac:dyDescent="0.35">
      <c r="A3576" t="s">
        <v>41</v>
      </c>
      <c r="B3576" t="s">
        <v>54</v>
      </c>
      <c r="C3576" t="s">
        <v>55</v>
      </c>
      <c r="D3576" t="s">
        <v>1623</v>
      </c>
      <c r="E3576">
        <v>83905922</v>
      </c>
      <c r="F3576" t="s">
        <v>2419</v>
      </c>
      <c r="G3576" s="3">
        <v>47227</v>
      </c>
      <c r="H3576">
        <v>36</v>
      </c>
      <c r="I3576">
        <v>96</v>
      </c>
      <c r="J3576">
        <v>456</v>
      </c>
      <c r="K3576" s="4">
        <v>199331.28</v>
      </c>
      <c r="L3576" s="4">
        <v>721.71428571428567</v>
      </c>
      <c r="M3576" s="4">
        <v>0.63182897862232779</v>
      </c>
      <c r="N3576" t="s">
        <v>25</v>
      </c>
      <c r="O3576" t="str">
        <f t="shared" si="550"/>
        <v>Low</v>
      </c>
      <c r="P3576" t="str">
        <f t="shared" si="551"/>
        <v>Low</v>
      </c>
      <c r="Q3576" t="str">
        <f t="shared" si="552"/>
        <v>Low</v>
      </c>
      <c r="R3576" t="s">
        <v>3309</v>
      </c>
      <c r="S3576" s="4">
        <f t="shared" ca="1" si="553"/>
        <v>1030</v>
      </c>
      <c r="T3576">
        <f t="shared" si="554"/>
        <v>1</v>
      </c>
      <c r="U3576">
        <f t="shared" si="555"/>
        <v>1</v>
      </c>
      <c r="V3576">
        <f t="shared" si="556"/>
        <v>1</v>
      </c>
      <c r="W3576">
        <f t="shared" si="557"/>
        <v>3</v>
      </c>
      <c r="X3576">
        <f t="shared" si="558"/>
        <v>1.2</v>
      </c>
      <c r="Y3576" t="str">
        <f t="shared" si="559"/>
        <v>Healthy</v>
      </c>
    </row>
    <row r="3577" spans="1:25" x14ac:dyDescent="0.35">
      <c r="A3577" t="s">
        <v>71</v>
      </c>
      <c r="B3577" t="s">
        <v>72</v>
      </c>
      <c r="C3577" t="s">
        <v>174</v>
      </c>
      <c r="D3577" t="s">
        <v>755</v>
      </c>
      <c r="E3577">
        <v>80887736</v>
      </c>
      <c r="F3577" t="s">
        <v>2421</v>
      </c>
      <c r="G3577" s="3">
        <v>47246</v>
      </c>
      <c r="H3577">
        <v>36</v>
      </c>
      <c r="I3577">
        <v>98</v>
      </c>
      <c r="J3577">
        <v>23</v>
      </c>
      <c r="K3577" s="4">
        <v>18951.310000000001</v>
      </c>
      <c r="L3577" s="4">
        <v>379.57142857142856</v>
      </c>
      <c r="M3577" s="4">
        <v>6.05946556266466E-2</v>
      </c>
      <c r="N3577" t="s">
        <v>25</v>
      </c>
      <c r="O3577" t="str">
        <f t="shared" si="550"/>
        <v>Low</v>
      </c>
      <c r="P3577" t="str">
        <f t="shared" si="551"/>
        <v>Low</v>
      </c>
      <c r="Q3577" t="str">
        <f t="shared" si="552"/>
        <v>Low</v>
      </c>
      <c r="R3577" t="s">
        <v>3317</v>
      </c>
      <c r="S3577" s="4">
        <f t="shared" ca="1" si="553"/>
        <v>1049</v>
      </c>
      <c r="T3577">
        <f t="shared" si="554"/>
        <v>1</v>
      </c>
      <c r="U3577">
        <f t="shared" si="555"/>
        <v>1</v>
      </c>
      <c r="V3577">
        <f t="shared" si="556"/>
        <v>1</v>
      </c>
      <c r="W3577">
        <f t="shared" si="557"/>
        <v>1</v>
      </c>
      <c r="X3577">
        <f t="shared" si="558"/>
        <v>0.99999999999999989</v>
      </c>
      <c r="Y3577" t="str">
        <f t="shared" si="559"/>
        <v>Healthy</v>
      </c>
    </row>
    <row r="3578" spans="1:25" x14ac:dyDescent="0.35">
      <c r="A3578" t="s">
        <v>41</v>
      </c>
      <c r="B3578" t="s">
        <v>54</v>
      </c>
      <c r="C3578" t="s">
        <v>55</v>
      </c>
      <c r="D3578" t="s">
        <v>1623</v>
      </c>
      <c r="E3578">
        <v>83905922</v>
      </c>
      <c r="F3578" t="s">
        <v>2419</v>
      </c>
      <c r="G3578" s="3">
        <v>47240</v>
      </c>
      <c r="H3578">
        <v>36</v>
      </c>
      <c r="I3578">
        <v>97</v>
      </c>
      <c r="J3578">
        <v>660</v>
      </c>
      <c r="K3578" s="4">
        <v>288505.8</v>
      </c>
      <c r="L3578" s="4">
        <v>721.71428571428567</v>
      </c>
      <c r="M3578" s="4">
        <v>0.91448931116389554</v>
      </c>
      <c r="N3578" t="s">
        <v>25</v>
      </c>
      <c r="O3578" t="str">
        <f t="shared" si="550"/>
        <v>Low</v>
      </c>
      <c r="P3578" t="str">
        <f t="shared" si="551"/>
        <v>Low</v>
      </c>
      <c r="Q3578" t="str">
        <f t="shared" si="552"/>
        <v>Low</v>
      </c>
      <c r="R3578" t="s">
        <v>3309</v>
      </c>
      <c r="S3578" s="4">
        <f t="shared" ca="1" si="553"/>
        <v>1043</v>
      </c>
      <c r="T3578">
        <f t="shared" si="554"/>
        <v>1</v>
      </c>
      <c r="U3578">
        <f t="shared" si="555"/>
        <v>1</v>
      </c>
      <c r="V3578">
        <f t="shared" si="556"/>
        <v>1</v>
      </c>
      <c r="W3578">
        <f t="shared" si="557"/>
        <v>3</v>
      </c>
      <c r="X3578">
        <f t="shared" si="558"/>
        <v>1.2</v>
      </c>
      <c r="Y3578" t="str">
        <f t="shared" si="559"/>
        <v>Healthy</v>
      </c>
    </row>
    <row r="3579" spans="1:25" x14ac:dyDescent="0.35">
      <c r="A3579" t="s">
        <v>71</v>
      </c>
      <c r="B3579" t="s">
        <v>72</v>
      </c>
      <c r="C3579" t="s">
        <v>174</v>
      </c>
      <c r="D3579" t="s">
        <v>755</v>
      </c>
      <c r="E3579">
        <v>80887736</v>
      </c>
      <c r="F3579" t="s">
        <v>2421</v>
      </c>
      <c r="G3579" s="3">
        <v>47224</v>
      </c>
      <c r="H3579">
        <v>36</v>
      </c>
      <c r="I3579">
        <v>96</v>
      </c>
      <c r="J3579">
        <v>1</v>
      </c>
      <c r="K3579" s="4">
        <v>823.97</v>
      </c>
      <c r="L3579" s="4">
        <v>379.57142857142856</v>
      </c>
      <c r="M3579" s="4">
        <v>2.6345502446368085E-3</v>
      </c>
      <c r="N3579" t="s">
        <v>25</v>
      </c>
      <c r="O3579" t="str">
        <f t="shared" si="550"/>
        <v>Low</v>
      </c>
      <c r="P3579" t="str">
        <f t="shared" si="551"/>
        <v>Low</v>
      </c>
      <c r="Q3579" t="str">
        <f t="shared" si="552"/>
        <v>Low</v>
      </c>
      <c r="R3579" t="s">
        <v>3317</v>
      </c>
      <c r="S3579" s="4">
        <f t="shared" ca="1" si="553"/>
        <v>1027</v>
      </c>
      <c r="T3579">
        <f t="shared" si="554"/>
        <v>1</v>
      </c>
      <c r="U3579">
        <f t="shared" si="555"/>
        <v>1</v>
      </c>
      <c r="V3579">
        <f t="shared" si="556"/>
        <v>1</v>
      </c>
      <c r="W3579">
        <f t="shared" si="557"/>
        <v>1</v>
      </c>
      <c r="X3579">
        <f t="shared" si="558"/>
        <v>0.99999999999999989</v>
      </c>
      <c r="Y3579" t="str">
        <f t="shared" si="559"/>
        <v>Healthy</v>
      </c>
    </row>
    <row r="3580" spans="1:25" x14ac:dyDescent="0.35">
      <c r="A3580" t="s">
        <v>41</v>
      </c>
      <c r="B3580" t="s">
        <v>54</v>
      </c>
      <c r="C3580" t="s">
        <v>55</v>
      </c>
      <c r="D3580" t="s">
        <v>1069</v>
      </c>
      <c r="E3580">
        <v>80892898</v>
      </c>
      <c r="F3580" t="s">
        <v>2422</v>
      </c>
      <c r="G3580" s="3">
        <v>47158</v>
      </c>
      <c r="H3580">
        <v>36</v>
      </c>
      <c r="I3580">
        <v>89</v>
      </c>
      <c r="J3580">
        <v>30</v>
      </c>
      <c r="K3580" s="4">
        <v>7089</v>
      </c>
      <c r="L3580" s="4">
        <v>810.85714285714289</v>
      </c>
      <c r="M3580" s="4">
        <v>3.6997885835095133E-2</v>
      </c>
      <c r="N3580" t="s">
        <v>25</v>
      </c>
      <c r="O3580" t="str">
        <f t="shared" si="550"/>
        <v>Low</v>
      </c>
      <c r="P3580" t="str">
        <f t="shared" si="551"/>
        <v>Low</v>
      </c>
      <c r="Q3580" t="str">
        <f t="shared" si="552"/>
        <v>Low</v>
      </c>
      <c r="R3580" t="s">
        <v>3317</v>
      </c>
      <c r="S3580" s="4">
        <f t="shared" ca="1" si="553"/>
        <v>961</v>
      </c>
      <c r="T3580">
        <f t="shared" si="554"/>
        <v>1</v>
      </c>
      <c r="U3580">
        <f t="shared" si="555"/>
        <v>1</v>
      </c>
      <c r="V3580">
        <f t="shared" si="556"/>
        <v>1</v>
      </c>
      <c r="W3580">
        <f t="shared" si="557"/>
        <v>1</v>
      </c>
      <c r="X3580">
        <f t="shared" si="558"/>
        <v>0.99999999999999989</v>
      </c>
      <c r="Y3580" t="str">
        <f t="shared" si="559"/>
        <v>Healthy</v>
      </c>
    </row>
    <row r="3581" spans="1:25" x14ac:dyDescent="0.35">
      <c r="A3581" t="s">
        <v>71</v>
      </c>
      <c r="B3581" t="s">
        <v>72</v>
      </c>
      <c r="C3581" t="s">
        <v>174</v>
      </c>
      <c r="D3581" t="s">
        <v>763</v>
      </c>
      <c r="E3581">
        <v>80887738</v>
      </c>
      <c r="F3581" t="s">
        <v>2423</v>
      </c>
      <c r="G3581" s="3">
        <v>47243</v>
      </c>
      <c r="H3581">
        <v>36</v>
      </c>
      <c r="I3581">
        <v>97</v>
      </c>
      <c r="J3581">
        <v>1</v>
      </c>
      <c r="K3581" s="4">
        <v>823.97</v>
      </c>
      <c r="L3581" s="4">
        <v>159.42857142857142</v>
      </c>
      <c r="M3581" s="4">
        <v>6.2724014336917565E-3</v>
      </c>
      <c r="N3581" t="s">
        <v>25</v>
      </c>
      <c r="O3581" t="str">
        <f t="shared" si="550"/>
        <v>Low</v>
      </c>
      <c r="P3581" t="str">
        <f t="shared" si="551"/>
        <v>Low</v>
      </c>
      <c r="Q3581" t="str">
        <f t="shared" si="552"/>
        <v>Low</v>
      </c>
      <c r="R3581" t="s">
        <v>3317</v>
      </c>
      <c r="S3581" s="4">
        <f t="shared" ca="1" si="553"/>
        <v>1046</v>
      </c>
      <c r="T3581">
        <f t="shared" si="554"/>
        <v>1</v>
      </c>
      <c r="U3581">
        <f t="shared" si="555"/>
        <v>1</v>
      </c>
      <c r="V3581">
        <f t="shared" si="556"/>
        <v>1</v>
      </c>
      <c r="W3581">
        <f t="shared" si="557"/>
        <v>1</v>
      </c>
      <c r="X3581">
        <f t="shared" si="558"/>
        <v>0.99999999999999989</v>
      </c>
      <c r="Y3581" t="str">
        <f t="shared" si="559"/>
        <v>Healthy</v>
      </c>
    </row>
    <row r="3582" spans="1:25" x14ac:dyDescent="0.35">
      <c r="A3582" t="s">
        <v>20</v>
      </c>
      <c r="B3582" t="s">
        <v>21</v>
      </c>
      <c r="C3582" t="s">
        <v>214</v>
      </c>
      <c r="D3582" t="s">
        <v>802</v>
      </c>
      <c r="E3582">
        <v>80895269</v>
      </c>
      <c r="F3582" t="s">
        <v>2424</v>
      </c>
      <c r="G3582" s="3">
        <v>47200</v>
      </c>
      <c r="H3582">
        <v>36</v>
      </c>
      <c r="I3582">
        <v>93</v>
      </c>
      <c r="J3582">
        <v>164</v>
      </c>
      <c r="K3582" s="4">
        <v>32667.16</v>
      </c>
      <c r="L3582" s="4">
        <v>1720</v>
      </c>
      <c r="M3582" s="4">
        <v>9.5348837209302331E-2</v>
      </c>
      <c r="N3582" t="s">
        <v>25</v>
      </c>
      <c r="O3582" t="str">
        <f t="shared" si="550"/>
        <v>Low</v>
      </c>
      <c r="P3582" t="str">
        <f t="shared" si="551"/>
        <v>Low</v>
      </c>
      <c r="Q3582" t="str">
        <f t="shared" si="552"/>
        <v>Low</v>
      </c>
      <c r="R3582" t="s">
        <v>3317</v>
      </c>
      <c r="S3582" s="4">
        <f t="shared" ca="1" si="553"/>
        <v>1003</v>
      </c>
      <c r="T3582">
        <f t="shared" si="554"/>
        <v>1</v>
      </c>
      <c r="U3582">
        <f t="shared" si="555"/>
        <v>1</v>
      </c>
      <c r="V3582">
        <f t="shared" si="556"/>
        <v>1</v>
      </c>
      <c r="W3582">
        <f t="shared" si="557"/>
        <v>1</v>
      </c>
      <c r="X3582">
        <f t="shared" si="558"/>
        <v>0.99999999999999989</v>
      </c>
      <c r="Y3582" t="str">
        <f t="shared" si="559"/>
        <v>Healthy</v>
      </c>
    </row>
    <row r="3583" spans="1:25" x14ac:dyDescent="0.35">
      <c r="A3583" t="s">
        <v>41</v>
      </c>
      <c r="B3583" t="s">
        <v>54</v>
      </c>
      <c r="C3583" t="s">
        <v>55</v>
      </c>
      <c r="D3583" t="s">
        <v>153</v>
      </c>
      <c r="E3583">
        <v>80892899</v>
      </c>
      <c r="F3583" t="s">
        <v>2425</v>
      </c>
      <c r="G3583" s="3">
        <v>47207</v>
      </c>
      <c r="H3583">
        <v>36</v>
      </c>
      <c r="I3583">
        <v>94</v>
      </c>
      <c r="J3583">
        <v>6</v>
      </c>
      <c r="K3583" s="4">
        <v>5137.5600000000004</v>
      </c>
      <c r="L3583" s="4">
        <v>343.42857142857144</v>
      </c>
      <c r="M3583" s="4">
        <v>1.747088186356073E-2</v>
      </c>
      <c r="N3583" t="s">
        <v>25</v>
      </c>
      <c r="O3583" t="str">
        <f t="shared" si="550"/>
        <v>Low</v>
      </c>
      <c r="P3583" t="str">
        <f t="shared" si="551"/>
        <v>Low</v>
      </c>
      <c r="Q3583" t="str">
        <f t="shared" si="552"/>
        <v>Low</v>
      </c>
      <c r="R3583" t="s">
        <v>3317</v>
      </c>
      <c r="S3583" s="4">
        <f t="shared" ca="1" si="553"/>
        <v>1010</v>
      </c>
      <c r="T3583">
        <f t="shared" si="554"/>
        <v>1</v>
      </c>
      <c r="U3583">
        <f t="shared" si="555"/>
        <v>1</v>
      </c>
      <c r="V3583">
        <f t="shared" si="556"/>
        <v>1</v>
      </c>
      <c r="W3583">
        <f t="shared" si="557"/>
        <v>1</v>
      </c>
      <c r="X3583">
        <f t="shared" si="558"/>
        <v>0.99999999999999989</v>
      </c>
      <c r="Y3583" t="str">
        <f t="shared" si="559"/>
        <v>Healthy</v>
      </c>
    </row>
    <row r="3584" spans="1:25" x14ac:dyDescent="0.35">
      <c r="A3584" t="s">
        <v>20</v>
      </c>
      <c r="B3584" t="s">
        <v>21</v>
      </c>
      <c r="C3584" t="s">
        <v>214</v>
      </c>
      <c r="D3584" t="s">
        <v>2426</v>
      </c>
      <c r="E3584">
        <v>80895271</v>
      </c>
      <c r="F3584" t="s">
        <v>2427</v>
      </c>
      <c r="G3584" s="3">
        <v>47213</v>
      </c>
      <c r="H3584">
        <v>36</v>
      </c>
      <c r="I3584">
        <v>95</v>
      </c>
      <c r="J3584">
        <v>2703</v>
      </c>
      <c r="K3584" s="4">
        <v>216240</v>
      </c>
      <c r="L3584" s="4">
        <v>191.71428571428572</v>
      </c>
      <c r="M3584" s="4">
        <v>14.099105812220566</v>
      </c>
      <c r="N3584" t="s">
        <v>19</v>
      </c>
      <c r="O3584" t="str">
        <f t="shared" si="550"/>
        <v>Low</v>
      </c>
      <c r="P3584" t="str">
        <f t="shared" si="551"/>
        <v>High</v>
      </c>
      <c r="Q3584" t="str">
        <f t="shared" si="552"/>
        <v>Low</v>
      </c>
      <c r="R3584" t="s">
        <v>3309</v>
      </c>
      <c r="S3584" s="4">
        <f t="shared" ca="1" si="553"/>
        <v>1016</v>
      </c>
      <c r="T3584">
        <f t="shared" si="554"/>
        <v>1</v>
      </c>
      <c r="U3584">
        <f t="shared" si="555"/>
        <v>3</v>
      </c>
      <c r="V3584">
        <f t="shared" si="556"/>
        <v>1</v>
      </c>
      <c r="W3584">
        <f t="shared" si="557"/>
        <v>3</v>
      </c>
      <c r="X3584">
        <f t="shared" si="558"/>
        <v>1.7999999999999998</v>
      </c>
      <c r="Y3584" t="str">
        <f t="shared" si="559"/>
        <v>Monitor</v>
      </c>
    </row>
    <row r="3585" spans="1:25" x14ac:dyDescent="0.35">
      <c r="A3585" t="s">
        <v>41</v>
      </c>
      <c r="B3585" t="s">
        <v>54</v>
      </c>
      <c r="C3585" t="s">
        <v>55</v>
      </c>
      <c r="D3585" t="s">
        <v>610</v>
      </c>
      <c r="E3585">
        <v>80892900</v>
      </c>
      <c r="F3585" t="s">
        <v>2428</v>
      </c>
      <c r="G3585" s="3">
        <v>47176</v>
      </c>
      <c r="H3585">
        <v>36</v>
      </c>
      <c r="I3585">
        <v>91</v>
      </c>
      <c r="J3585">
        <v>1</v>
      </c>
      <c r="K3585" s="4">
        <v>173.67</v>
      </c>
      <c r="L3585" s="4">
        <v>497.85714285714283</v>
      </c>
      <c r="M3585" s="4">
        <v>2.0086083213773317E-3</v>
      </c>
      <c r="N3585" t="s">
        <v>25</v>
      </c>
      <c r="O3585" t="str">
        <f t="shared" si="550"/>
        <v>Low</v>
      </c>
      <c r="P3585" t="str">
        <f t="shared" si="551"/>
        <v>Low</v>
      </c>
      <c r="Q3585" t="str">
        <f t="shared" si="552"/>
        <v>Low</v>
      </c>
      <c r="R3585" t="s">
        <v>3317</v>
      </c>
      <c r="S3585" s="4">
        <f t="shared" ca="1" si="553"/>
        <v>979</v>
      </c>
      <c r="T3585">
        <f t="shared" si="554"/>
        <v>1</v>
      </c>
      <c r="U3585">
        <f t="shared" si="555"/>
        <v>1</v>
      </c>
      <c r="V3585">
        <f t="shared" si="556"/>
        <v>1</v>
      </c>
      <c r="W3585">
        <f t="shared" si="557"/>
        <v>1</v>
      </c>
      <c r="X3585">
        <f t="shared" si="558"/>
        <v>0.99999999999999989</v>
      </c>
      <c r="Y3585" t="str">
        <f t="shared" si="559"/>
        <v>Healthy</v>
      </c>
    </row>
    <row r="3586" spans="1:25" x14ac:dyDescent="0.35">
      <c r="A3586" t="s">
        <v>20</v>
      </c>
      <c r="B3586" t="s">
        <v>21</v>
      </c>
      <c r="C3586" t="s">
        <v>214</v>
      </c>
      <c r="D3586" t="s">
        <v>2426</v>
      </c>
      <c r="E3586">
        <v>80895271</v>
      </c>
      <c r="F3586" t="s">
        <v>2427</v>
      </c>
      <c r="G3586" s="3">
        <v>47249</v>
      </c>
      <c r="H3586">
        <v>36</v>
      </c>
      <c r="I3586">
        <v>98</v>
      </c>
      <c r="J3586">
        <v>768</v>
      </c>
      <c r="K3586" s="4">
        <v>61440</v>
      </c>
      <c r="L3586" s="4">
        <v>191.71428571428572</v>
      </c>
      <c r="M3586" s="4">
        <v>4.0059612518628906</v>
      </c>
      <c r="N3586" t="s">
        <v>25</v>
      </c>
      <c r="O3586" t="str">
        <f t="shared" si="550"/>
        <v>Low</v>
      </c>
      <c r="P3586" t="str">
        <f t="shared" si="551"/>
        <v>Medium</v>
      </c>
      <c r="Q3586" t="str">
        <f t="shared" si="552"/>
        <v>Low</v>
      </c>
      <c r="R3586" t="s">
        <v>3317</v>
      </c>
      <c r="S3586" s="4">
        <f t="shared" ca="1" si="553"/>
        <v>1052</v>
      </c>
      <c r="T3586">
        <f t="shared" si="554"/>
        <v>1</v>
      </c>
      <c r="U3586">
        <f t="shared" si="555"/>
        <v>2</v>
      </c>
      <c r="V3586">
        <f t="shared" si="556"/>
        <v>1</v>
      </c>
      <c r="W3586">
        <f t="shared" si="557"/>
        <v>1</v>
      </c>
      <c r="X3586">
        <f t="shared" si="558"/>
        <v>1.3</v>
      </c>
      <c r="Y3586" t="str">
        <f t="shared" si="559"/>
        <v>Healthy</v>
      </c>
    </row>
    <row r="3587" spans="1:25" x14ac:dyDescent="0.35">
      <c r="A3587" t="s">
        <v>41</v>
      </c>
      <c r="B3587" t="s">
        <v>54</v>
      </c>
      <c r="C3587" t="s">
        <v>55</v>
      </c>
      <c r="D3587" t="s">
        <v>610</v>
      </c>
      <c r="E3587">
        <v>80892900</v>
      </c>
      <c r="F3587" t="s">
        <v>2428</v>
      </c>
      <c r="G3587" s="3">
        <v>47195</v>
      </c>
      <c r="H3587">
        <v>36</v>
      </c>
      <c r="I3587">
        <v>93</v>
      </c>
      <c r="J3587">
        <v>13</v>
      </c>
      <c r="K3587" s="4">
        <v>2257.71</v>
      </c>
      <c r="L3587" s="4">
        <v>497.85714285714283</v>
      </c>
      <c r="M3587" s="4">
        <v>2.6111908177905308E-2</v>
      </c>
      <c r="N3587" t="s">
        <v>25</v>
      </c>
      <c r="O3587" t="str">
        <f t="shared" ref="O3587:O3650" si="560">IF(I3587&lt;20,"High",IF(I3587&lt;40,"Medium","Low"))</f>
        <v>Low</v>
      </c>
      <c r="P3587" t="str">
        <f t="shared" ref="P3587:P3650" si="561">IF(M3587&gt;8,"High",IF(M3587&gt;4,"Medium","Low"))</f>
        <v>Low</v>
      </c>
      <c r="Q3587" t="str">
        <f t="shared" ref="Q3587:Q3650" si="562">IF(L3587&lt;5,"High",IF(L3587&lt;15,"Medium","Low"))</f>
        <v>Low</v>
      </c>
      <c r="R3587" t="s">
        <v>3317</v>
      </c>
      <c r="S3587" s="4">
        <f t="shared" ref="S3587:S3650" ca="1" si="563">G3587-TODAY()</f>
        <v>998</v>
      </c>
      <c r="T3587">
        <f t="shared" ref="T3587:T3650" si="564">IF(O3587="High",3,IF(O3587="Medium",2,1))</f>
        <v>1</v>
      </c>
      <c r="U3587">
        <f t="shared" ref="U3587:U3650" si="565">IF(P3587="High",3,IF(P3587="Medium",2,1))</f>
        <v>1</v>
      </c>
      <c r="V3587">
        <f t="shared" ref="V3587:V3650" si="566">IF(Q3587="High",3,IF(Q3587="Medium",2,1))</f>
        <v>1</v>
      </c>
      <c r="W3587">
        <f t="shared" ref="W3587:W3650" si="567">IF(R3587="High",3,IF(R3587="Medium",2,1))</f>
        <v>1</v>
      </c>
      <c r="X3587">
        <f t="shared" ref="X3587:X3650" si="568">(0.4*T3587)+(0.3*U3587)+(0.2*V3587)+(0.1*W3587)</f>
        <v>0.99999999999999989</v>
      </c>
      <c r="Y3587" t="str">
        <f t="shared" ref="Y3587:Y3650" si="569">IF(X3587&gt;=2.7,"Move Immediately",IF(X3587&gt;=2.2,"High Priority",IF(X3587&gt;=1.7,"Monitor","Healthy")))</f>
        <v>Healthy</v>
      </c>
    </row>
    <row r="3588" spans="1:25" x14ac:dyDescent="0.35">
      <c r="A3588" t="s">
        <v>20</v>
      </c>
      <c r="B3588" t="s">
        <v>21</v>
      </c>
      <c r="C3588" t="s">
        <v>214</v>
      </c>
      <c r="D3588" t="s">
        <v>790</v>
      </c>
      <c r="E3588">
        <v>80895272</v>
      </c>
      <c r="F3588" t="s">
        <v>2429</v>
      </c>
      <c r="G3588" s="3">
        <v>47228</v>
      </c>
      <c r="H3588">
        <v>36</v>
      </c>
      <c r="I3588">
        <v>96</v>
      </c>
      <c r="J3588">
        <v>720</v>
      </c>
      <c r="K3588" s="4">
        <v>132472.79999999999</v>
      </c>
      <c r="L3588" s="4">
        <v>5312.2857142857147</v>
      </c>
      <c r="M3588" s="4">
        <v>0.13553487871779701</v>
      </c>
      <c r="N3588" t="s">
        <v>25</v>
      </c>
      <c r="O3588" t="str">
        <f t="shared" si="560"/>
        <v>Low</v>
      </c>
      <c r="P3588" t="str">
        <f t="shared" si="561"/>
        <v>Low</v>
      </c>
      <c r="Q3588" t="str">
        <f t="shared" si="562"/>
        <v>Low</v>
      </c>
      <c r="R3588" t="s">
        <v>3309</v>
      </c>
      <c r="S3588" s="4">
        <f t="shared" ca="1" si="563"/>
        <v>1031</v>
      </c>
      <c r="T3588">
        <f t="shared" si="564"/>
        <v>1</v>
      </c>
      <c r="U3588">
        <f t="shared" si="565"/>
        <v>1</v>
      </c>
      <c r="V3588">
        <f t="shared" si="566"/>
        <v>1</v>
      </c>
      <c r="W3588">
        <f t="shared" si="567"/>
        <v>3</v>
      </c>
      <c r="X3588">
        <f t="shared" si="568"/>
        <v>1.2</v>
      </c>
      <c r="Y3588" t="str">
        <f t="shared" si="569"/>
        <v>Healthy</v>
      </c>
    </row>
    <row r="3589" spans="1:25" x14ac:dyDescent="0.35">
      <c r="A3589" t="s">
        <v>20</v>
      </c>
      <c r="B3589" t="s">
        <v>21</v>
      </c>
      <c r="C3589" t="s">
        <v>214</v>
      </c>
      <c r="D3589" t="s">
        <v>790</v>
      </c>
      <c r="E3589">
        <v>80895272</v>
      </c>
      <c r="F3589" t="s">
        <v>2429</v>
      </c>
      <c r="G3589" s="3">
        <v>47231</v>
      </c>
      <c r="H3589">
        <v>36</v>
      </c>
      <c r="I3589">
        <v>96</v>
      </c>
      <c r="J3589">
        <v>47</v>
      </c>
      <c r="K3589" s="4">
        <v>8647.5300000000007</v>
      </c>
      <c r="L3589" s="4">
        <v>5312.2857142857147</v>
      </c>
      <c r="M3589" s="4">
        <v>8.8474156940784154E-3</v>
      </c>
      <c r="N3589" t="s">
        <v>25</v>
      </c>
      <c r="O3589" t="str">
        <f t="shared" si="560"/>
        <v>Low</v>
      </c>
      <c r="P3589" t="str">
        <f t="shared" si="561"/>
        <v>Low</v>
      </c>
      <c r="Q3589" t="str">
        <f t="shared" si="562"/>
        <v>Low</v>
      </c>
      <c r="R3589" t="s">
        <v>3317</v>
      </c>
      <c r="S3589" s="4">
        <f t="shared" ca="1" si="563"/>
        <v>1034</v>
      </c>
      <c r="T3589">
        <f t="shared" si="564"/>
        <v>1</v>
      </c>
      <c r="U3589">
        <f t="shared" si="565"/>
        <v>1</v>
      </c>
      <c r="V3589">
        <f t="shared" si="566"/>
        <v>1</v>
      </c>
      <c r="W3589">
        <f t="shared" si="567"/>
        <v>1</v>
      </c>
      <c r="X3589">
        <f t="shared" si="568"/>
        <v>0.99999999999999989</v>
      </c>
      <c r="Y3589" t="str">
        <f t="shared" si="569"/>
        <v>Healthy</v>
      </c>
    </row>
    <row r="3590" spans="1:25" x14ac:dyDescent="0.35">
      <c r="A3590" t="s">
        <v>71</v>
      </c>
      <c r="B3590" t="s">
        <v>72</v>
      </c>
      <c r="C3590" t="s">
        <v>174</v>
      </c>
      <c r="D3590" t="s">
        <v>761</v>
      </c>
      <c r="E3590">
        <v>80887750</v>
      </c>
      <c r="F3590" t="s">
        <v>2430</v>
      </c>
      <c r="G3590" s="3">
        <v>47086</v>
      </c>
      <c r="H3590">
        <v>36</v>
      </c>
      <c r="I3590">
        <v>83</v>
      </c>
      <c r="J3590">
        <v>1</v>
      </c>
      <c r="K3590" s="4">
        <v>1926.8</v>
      </c>
      <c r="L3590" s="4">
        <v>4026.4285714285716</v>
      </c>
      <c r="M3590" s="4">
        <v>2.4835905623558631E-4</v>
      </c>
      <c r="N3590" t="s">
        <v>25</v>
      </c>
      <c r="O3590" t="str">
        <f t="shared" si="560"/>
        <v>Low</v>
      </c>
      <c r="P3590" t="str">
        <f t="shared" si="561"/>
        <v>Low</v>
      </c>
      <c r="Q3590" t="str">
        <f t="shared" si="562"/>
        <v>Low</v>
      </c>
      <c r="R3590" t="s">
        <v>3317</v>
      </c>
      <c r="S3590" s="4">
        <f t="shared" ca="1" si="563"/>
        <v>889</v>
      </c>
      <c r="T3590">
        <f t="shared" si="564"/>
        <v>1</v>
      </c>
      <c r="U3590">
        <f t="shared" si="565"/>
        <v>1</v>
      </c>
      <c r="V3590">
        <f t="shared" si="566"/>
        <v>1</v>
      </c>
      <c r="W3590">
        <f t="shared" si="567"/>
        <v>1</v>
      </c>
      <c r="X3590">
        <f t="shared" si="568"/>
        <v>0.99999999999999989</v>
      </c>
      <c r="Y3590" t="str">
        <f t="shared" si="569"/>
        <v>Healthy</v>
      </c>
    </row>
    <row r="3591" spans="1:25" x14ac:dyDescent="0.35">
      <c r="A3591" t="s">
        <v>71</v>
      </c>
      <c r="B3591" t="s">
        <v>72</v>
      </c>
      <c r="C3591" t="s">
        <v>174</v>
      </c>
      <c r="D3591" t="s">
        <v>761</v>
      </c>
      <c r="E3591">
        <v>80887750</v>
      </c>
      <c r="F3591" t="s">
        <v>2430</v>
      </c>
      <c r="G3591" s="3">
        <v>47195</v>
      </c>
      <c r="H3591">
        <v>36</v>
      </c>
      <c r="I3591">
        <v>93</v>
      </c>
      <c r="J3591">
        <v>29</v>
      </c>
      <c r="K3591" s="4">
        <v>55877.2</v>
      </c>
      <c r="L3591" s="4">
        <v>4026.4285714285716</v>
      </c>
      <c r="M3591" s="4">
        <v>7.202412630832003E-3</v>
      </c>
      <c r="N3591" t="s">
        <v>25</v>
      </c>
      <c r="O3591" t="str">
        <f t="shared" si="560"/>
        <v>Low</v>
      </c>
      <c r="P3591" t="str">
        <f t="shared" si="561"/>
        <v>Low</v>
      </c>
      <c r="Q3591" t="str">
        <f t="shared" si="562"/>
        <v>Low</v>
      </c>
      <c r="R3591" t="s">
        <v>3317</v>
      </c>
      <c r="S3591" s="4">
        <f t="shared" ca="1" si="563"/>
        <v>998</v>
      </c>
      <c r="T3591">
        <f t="shared" si="564"/>
        <v>1</v>
      </c>
      <c r="U3591">
        <f t="shared" si="565"/>
        <v>1</v>
      </c>
      <c r="V3591">
        <f t="shared" si="566"/>
        <v>1</v>
      </c>
      <c r="W3591">
        <f t="shared" si="567"/>
        <v>1</v>
      </c>
      <c r="X3591">
        <f t="shared" si="568"/>
        <v>0.99999999999999989</v>
      </c>
      <c r="Y3591" t="str">
        <f t="shared" si="569"/>
        <v>Healthy</v>
      </c>
    </row>
    <row r="3592" spans="1:25" x14ac:dyDescent="0.35">
      <c r="A3592" t="s">
        <v>71</v>
      </c>
      <c r="B3592" t="s">
        <v>72</v>
      </c>
      <c r="C3592" t="s">
        <v>174</v>
      </c>
      <c r="D3592" t="s">
        <v>761</v>
      </c>
      <c r="E3592">
        <v>80887750</v>
      </c>
      <c r="F3592" t="s">
        <v>2430</v>
      </c>
      <c r="G3592" s="3">
        <v>47161</v>
      </c>
      <c r="H3592">
        <v>36</v>
      </c>
      <c r="I3592">
        <v>90</v>
      </c>
      <c r="J3592">
        <v>18</v>
      </c>
      <c r="K3592" s="4">
        <v>34682.400000000001</v>
      </c>
      <c r="L3592" s="4">
        <v>4026.4285714285716</v>
      </c>
      <c r="M3592" s="4">
        <v>4.4704630122405532E-3</v>
      </c>
      <c r="N3592" t="s">
        <v>25</v>
      </c>
      <c r="O3592" t="str">
        <f t="shared" si="560"/>
        <v>Low</v>
      </c>
      <c r="P3592" t="str">
        <f t="shared" si="561"/>
        <v>Low</v>
      </c>
      <c r="Q3592" t="str">
        <f t="shared" si="562"/>
        <v>Low</v>
      </c>
      <c r="R3592" t="s">
        <v>3317</v>
      </c>
      <c r="S3592" s="4">
        <f t="shared" ca="1" si="563"/>
        <v>964</v>
      </c>
      <c r="T3592">
        <f t="shared" si="564"/>
        <v>1</v>
      </c>
      <c r="U3592">
        <f t="shared" si="565"/>
        <v>1</v>
      </c>
      <c r="V3592">
        <f t="shared" si="566"/>
        <v>1</v>
      </c>
      <c r="W3592">
        <f t="shared" si="567"/>
        <v>1</v>
      </c>
      <c r="X3592">
        <f t="shared" si="568"/>
        <v>0.99999999999999989</v>
      </c>
      <c r="Y3592" t="str">
        <f t="shared" si="569"/>
        <v>Healthy</v>
      </c>
    </row>
    <row r="3593" spans="1:25" x14ac:dyDescent="0.35">
      <c r="A3593" t="s">
        <v>71</v>
      </c>
      <c r="B3593" t="s">
        <v>72</v>
      </c>
      <c r="C3593" t="s">
        <v>174</v>
      </c>
      <c r="D3593" t="s">
        <v>761</v>
      </c>
      <c r="E3593">
        <v>80887750</v>
      </c>
      <c r="F3593" t="s">
        <v>2430</v>
      </c>
      <c r="G3593" s="3">
        <v>47253</v>
      </c>
      <c r="H3593">
        <v>36</v>
      </c>
      <c r="I3593">
        <v>98</v>
      </c>
      <c r="J3593">
        <v>20</v>
      </c>
      <c r="K3593" s="4">
        <v>38536</v>
      </c>
      <c r="L3593" s="4">
        <v>4026.4285714285716</v>
      </c>
      <c r="M3593" s="4">
        <v>4.9671811247117255E-3</v>
      </c>
      <c r="N3593" t="s">
        <v>25</v>
      </c>
      <c r="O3593" t="str">
        <f t="shared" si="560"/>
        <v>Low</v>
      </c>
      <c r="P3593" t="str">
        <f t="shared" si="561"/>
        <v>Low</v>
      </c>
      <c r="Q3593" t="str">
        <f t="shared" si="562"/>
        <v>Low</v>
      </c>
      <c r="R3593" t="s">
        <v>3317</v>
      </c>
      <c r="S3593" s="4">
        <f t="shared" ca="1" si="563"/>
        <v>1056</v>
      </c>
      <c r="T3593">
        <f t="shared" si="564"/>
        <v>1</v>
      </c>
      <c r="U3593">
        <f t="shared" si="565"/>
        <v>1</v>
      </c>
      <c r="V3593">
        <f t="shared" si="566"/>
        <v>1</v>
      </c>
      <c r="W3593">
        <f t="shared" si="567"/>
        <v>1</v>
      </c>
      <c r="X3593">
        <f t="shared" si="568"/>
        <v>0.99999999999999989</v>
      </c>
      <c r="Y3593" t="str">
        <f t="shared" si="569"/>
        <v>Healthy</v>
      </c>
    </row>
    <row r="3594" spans="1:25" x14ac:dyDescent="0.35">
      <c r="A3594" t="s">
        <v>41</v>
      </c>
      <c r="B3594" t="s">
        <v>54</v>
      </c>
      <c r="C3594" t="s">
        <v>55</v>
      </c>
      <c r="D3594" t="s">
        <v>2431</v>
      </c>
      <c r="E3594">
        <v>83911270</v>
      </c>
      <c r="F3594" t="s">
        <v>2432</v>
      </c>
      <c r="G3594" s="3">
        <v>47262</v>
      </c>
      <c r="H3594">
        <v>36</v>
      </c>
      <c r="I3594">
        <v>99</v>
      </c>
      <c r="J3594">
        <v>1837</v>
      </c>
      <c r="K3594" s="4">
        <v>126642.78</v>
      </c>
      <c r="L3594" s="4">
        <v>1913</v>
      </c>
      <c r="M3594" s="4">
        <v>0.96027182435964453</v>
      </c>
      <c r="N3594" t="s">
        <v>25</v>
      </c>
      <c r="O3594" t="str">
        <f t="shared" si="560"/>
        <v>Low</v>
      </c>
      <c r="P3594" t="str">
        <f t="shared" si="561"/>
        <v>Low</v>
      </c>
      <c r="Q3594" t="str">
        <f t="shared" si="562"/>
        <v>Low</v>
      </c>
      <c r="R3594" t="s">
        <v>3310</v>
      </c>
      <c r="S3594" s="4">
        <f t="shared" ca="1" si="563"/>
        <v>1065</v>
      </c>
      <c r="T3594">
        <f t="shared" si="564"/>
        <v>1</v>
      </c>
      <c r="U3594">
        <f t="shared" si="565"/>
        <v>1</v>
      </c>
      <c r="V3594">
        <f t="shared" si="566"/>
        <v>1</v>
      </c>
      <c r="W3594">
        <f t="shared" si="567"/>
        <v>2</v>
      </c>
      <c r="X3594">
        <f t="shared" si="568"/>
        <v>1.0999999999999999</v>
      </c>
      <c r="Y3594" t="str">
        <f t="shared" si="569"/>
        <v>Healthy</v>
      </c>
    </row>
    <row r="3595" spans="1:25" x14ac:dyDescent="0.35">
      <c r="A3595" t="s">
        <v>71</v>
      </c>
      <c r="B3595" t="s">
        <v>72</v>
      </c>
      <c r="C3595" t="s">
        <v>174</v>
      </c>
      <c r="D3595" t="s">
        <v>761</v>
      </c>
      <c r="E3595">
        <v>80887750</v>
      </c>
      <c r="F3595" t="s">
        <v>2430</v>
      </c>
      <c r="G3595" s="3">
        <v>47224</v>
      </c>
      <c r="H3595">
        <v>36</v>
      </c>
      <c r="I3595">
        <v>96</v>
      </c>
      <c r="J3595">
        <v>29</v>
      </c>
      <c r="K3595" s="4">
        <v>55877.2</v>
      </c>
      <c r="L3595" s="4">
        <v>4026.4285714285716</v>
      </c>
      <c r="M3595" s="4">
        <v>7.202412630832003E-3</v>
      </c>
      <c r="N3595" t="s">
        <v>25</v>
      </c>
      <c r="O3595" t="str">
        <f t="shared" si="560"/>
        <v>Low</v>
      </c>
      <c r="P3595" t="str">
        <f t="shared" si="561"/>
        <v>Low</v>
      </c>
      <c r="Q3595" t="str">
        <f t="shared" si="562"/>
        <v>Low</v>
      </c>
      <c r="R3595" t="s">
        <v>3317</v>
      </c>
      <c r="S3595" s="4">
        <f t="shared" ca="1" si="563"/>
        <v>1027</v>
      </c>
      <c r="T3595">
        <f t="shared" si="564"/>
        <v>1</v>
      </c>
      <c r="U3595">
        <f t="shared" si="565"/>
        <v>1</v>
      </c>
      <c r="V3595">
        <f t="shared" si="566"/>
        <v>1</v>
      </c>
      <c r="W3595">
        <f t="shared" si="567"/>
        <v>1</v>
      </c>
      <c r="X3595">
        <f t="shared" si="568"/>
        <v>0.99999999999999989</v>
      </c>
      <c r="Y3595" t="str">
        <f t="shared" si="569"/>
        <v>Healthy</v>
      </c>
    </row>
    <row r="3596" spans="1:25" x14ac:dyDescent="0.35">
      <c r="A3596" t="s">
        <v>41</v>
      </c>
      <c r="B3596" t="s">
        <v>54</v>
      </c>
      <c r="C3596" t="s">
        <v>55</v>
      </c>
      <c r="D3596" t="s">
        <v>2433</v>
      </c>
      <c r="E3596">
        <v>80892903</v>
      </c>
      <c r="F3596" t="s">
        <v>2434</v>
      </c>
      <c r="G3596" s="3">
        <v>47248</v>
      </c>
      <c r="H3596">
        <v>36</v>
      </c>
      <c r="I3596">
        <v>98</v>
      </c>
      <c r="J3596">
        <v>28</v>
      </c>
      <c r="K3596" s="4">
        <v>1930.32</v>
      </c>
      <c r="L3596" s="4">
        <v>366.85714285714283</v>
      </c>
      <c r="M3596" s="4">
        <v>7.6323987538940818E-2</v>
      </c>
      <c r="N3596" t="s">
        <v>25</v>
      </c>
      <c r="O3596" t="str">
        <f t="shared" si="560"/>
        <v>Low</v>
      </c>
      <c r="P3596" t="str">
        <f t="shared" si="561"/>
        <v>Low</v>
      </c>
      <c r="Q3596" t="str">
        <f t="shared" si="562"/>
        <v>Low</v>
      </c>
      <c r="R3596" t="s">
        <v>3317</v>
      </c>
      <c r="S3596" s="4">
        <f t="shared" ca="1" si="563"/>
        <v>1051</v>
      </c>
      <c r="T3596">
        <f t="shared" si="564"/>
        <v>1</v>
      </c>
      <c r="U3596">
        <f t="shared" si="565"/>
        <v>1</v>
      </c>
      <c r="V3596">
        <f t="shared" si="566"/>
        <v>1</v>
      </c>
      <c r="W3596">
        <f t="shared" si="567"/>
        <v>1</v>
      </c>
      <c r="X3596">
        <f t="shared" si="568"/>
        <v>0.99999999999999989</v>
      </c>
      <c r="Y3596" t="str">
        <f t="shared" si="569"/>
        <v>Healthy</v>
      </c>
    </row>
    <row r="3597" spans="1:25" x14ac:dyDescent="0.35">
      <c r="A3597" t="s">
        <v>71</v>
      </c>
      <c r="B3597" t="s">
        <v>72</v>
      </c>
      <c r="C3597" t="s">
        <v>174</v>
      </c>
      <c r="D3597" t="s">
        <v>761</v>
      </c>
      <c r="E3597">
        <v>80887750</v>
      </c>
      <c r="F3597" t="s">
        <v>2430</v>
      </c>
      <c r="G3597" s="3">
        <v>47160</v>
      </c>
      <c r="H3597">
        <v>36</v>
      </c>
      <c r="I3597">
        <v>90</v>
      </c>
      <c r="J3597">
        <v>8</v>
      </c>
      <c r="K3597" s="4">
        <v>15414.4</v>
      </c>
      <c r="L3597" s="4">
        <v>4026.4285714285716</v>
      </c>
      <c r="M3597" s="4">
        <v>1.9868724498846905E-3</v>
      </c>
      <c r="N3597" t="s">
        <v>25</v>
      </c>
      <c r="O3597" t="str">
        <f t="shared" si="560"/>
        <v>Low</v>
      </c>
      <c r="P3597" t="str">
        <f t="shared" si="561"/>
        <v>Low</v>
      </c>
      <c r="Q3597" t="str">
        <f t="shared" si="562"/>
        <v>Low</v>
      </c>
      <c r="R3597" t="s">
        <v>3317</v>
      </c>
      <c r="S3597" s="4">
        <f t="shared" ca="1" si="563"/>
        <v>963</v>
      </c>
      <c r="T3597">
        <f t="shared" si="564"/>
        <v>1</v>
      </c>
      <c r="U3597">
        <f t="shared" si="565"/>
        <v>1</v>
      </c>
      <c r="V3597">
        <f t="shared" si="566"/>
        <v>1</v>
      </c>
      <c r="W3597">
        <f t="shared" si="567"/>
        <v>1</v>
      </c>
      <c r="X3597">
        <f t="shared" si="568"/>
        <v>0.99999999999999989</v>
      </c>
      <c r="Y3597" t="str">
        <f t="shared" si="569"/>
        <v>Healthy</v>
      </c>
    </row>
    <row r="3598" spans="1:25" x14ac:dyDescent="0.35">
      <c r="A3598" t="s">
        <v>41</v>
      </c>
      <c r="B3598" t="s">
        <v>54</v>
      </c>
      <c r="C3598" t="s">
        <v>55</v>
      </c>
      <c r="D3598" t="s">
        <v>2435</v>
      </c>
      <c r="E3598">
        <v>80892904</v>
      </c>
      <c r="F3598" t="s">
        <v>2436</v>
      </c>
      <c r="G3598" s="3">
        <v>47270</v>
      </c>
      <c r="H3598">
        <v>36</v>
      </c>
      <c r="I3598">
        <v>100</v>
      </c>
      <c r="J3598">
        <v>2744</v>
      </c>
      <c r="K3598" s="4">
        <v>189171.36</v>
      </c>
      <c r="L3598" s="4">
        <v>3142.7142857142858</v>
      </c>
      <c r="M3598" s="4">
        <v>0.87313059684531114</v>
      </c>
      <c r="N3598" t="s">
        <v>25</v>
      </c>
      <c r="O3598" t="str">
        <f t="shared" si="560"/>
        <v>Low</v>
      </c>
      <c r="P3598" t="str">
        <f t="shared" si="561"/>
        <v>Low</v>
      </c>
      <c r="Q3598" t="str">
        <f t="shared" si="562"/>
        <v>Low</v>
      </c>
      <c r="R3598" t="s">
        <v>3309</v>
      </c>
      <c r="S3598" s="4">
        <f t="shared" ca="1" si="563"/>
        <v>1073</v>
      </c>
      <c r="T3598">
        <f t="shared" si="564"/>
        <v>1</v>
      </c>
      <c r="U3598">
        <f t="shared" si="565"/>
        <v>1</v>
      </c>
      <c r="V3598">
        <f t="shared" si="566"/>
        <v>1</v>
      </c>
      <c r="W3598">
        <f t="shared" si="567"/>
        <v>3</v>
      </c>
      <c r="X3598">
        <f t="shared" si="568"/>
        <v>1.2</v>
      </c>
      <c r="Y3598" t="str">
        <f t="shared" si="569"/>
        <v>Healthy</v>
      </c>
    </row>
    <row r="3599" spans="1:25" x14ac:dyDescent="0.35">
      <c r="A3599" t="s">
        <v>71</v>
      </c>
      <c r="B3599" t="s">
        <v>72</v>
      </c>
      <c r="C3599" t="s">
        <v>174</v>
      </c>
      <c r="D3599" t="s">
        <v>761</v>
      </c>
      <c r="E3599">
        <v>80887750</v>
      </c>
      <c r="F3599" t="s">
        <v>2430</v>
      </c>
      <c r="G3599" s="3">
        <v>47194</v>
      </c>
      <c r="H3599">
        <v>36</v>
      </c>
      <c r="I3599">
        <v>93</v>
      </c>
      <c r="J3599">
        <v>21</v>
      </c>
      <c r="K3599" s="4">
        <v>40462.800000000003</v>
      </c>
      <c r="L3599" s="4">
        <v>4026.4285714285716</v>
      </c>
      <c r="M3599" s="4">
        <v>5.2155401809473121E-3</v>
      </c>
      <c r="N3599" t="s">
        <v>25</v>
      </c>
      <c r="O3599" t="str">
        <f t="shared" si="560"/>
        <v>Low</v>
      </c>
      <c r="P3599" t="str">
        <f t="shared" si="561"/>
        <v>Low</v>
      </c>
      <c r="Q3599" t="str">
        <f t="shared" si="562"/>
        <v>Low</v>
      </c>
      <c r="R3599" t="s">
        <v>3317</v>
      </c>
      <c r="S3599" s="4">
        <f t="shared" ca="1" si="563"/>
        <v>997</v>
      </c>
      <c r="T3599">
        <f t="shared" si="564"/>
        <v>1</v>
      </c>
      <c r="U3599">
        <f t="shared" si="565"/>
        <v>1</v>
      </c>
      <c r="V3599">
        <f t="shared" si="566"/>
        <v>1</v>
      </c>
      <c r="W3599">
        <f t="shared" si="567"/>
        <v>1</v>
      </c>
      <c r="X3599">
        <f t="shared" si="568"/>
        <v>0.99999999999999989</v>
      </c>
      <c r="Y3599" t="str">
        <f t="shared" si="569"/>
        <v>Healthy</v>
      </c>
    </row>
    <row r="3600" spans="1:25" x14ac:dyDescent="0.35">
      <c r="A3600" t="s">
        <v>41</v>
      </c>
      <c r="B3600" t="s">
        <v>54</v>
      </c>
      <c r="C3600" t="s">
        <v>459</v>
      </c>
      <c r="D3600" t="s">
        <v>2437</v>
      </c>
      <c r="E3600">
        <v>83911276</v>
      </c>
      <c r="F3600" t="s">
        <v>2438</v>
      </c>
      <c r="G3600" s="3">
        <v>47242</v>
      </c>
      <c r="H3600">
        <v>36</v>
      </c>
      <c r="I3600">
        <v>97</v>
      </c>
      <c r="J3600">
        <v>12</v>
      </c>
      <c r="K3600" s="4">
        <v>827.28</v>
      </c>
      <c r="L3600" s="4">
        <f>0</f>
        <v>0</v>
      </c>
      <c r="M3600" s="4">
        <f>999</f>
        <v>999</v>
      </c>
      <c r="N3600" t="s">
        <v>19</v>
      </c>
      <c r="O3600" t="str">
        <f t="shared" si="560"/>
        <v>Low</v>
      </c>
      <c r="P3600" t="str">
        <f t="shared" si="561"/>
        <v>High</v>
      </c>
      <c r="Q3600" t="str">
        <f t="shared" si="562"/>
        <v>High</v>
      </c>
      <c r="R3600" t="s">
        <v>3317</v>
      </c>
      <c r="S3600" s="4">
        <f t="shared" ca="1" si="563"/>
        <v>1045</v>
      </c>
      <c r="T3600">
        <f t="shared" si="564"/>
        <v>1</v>
      </c>
      <c r="U3600">
        <f t="shared" si="565"/>
        <v>3</v>
      </c>
      <c r="V3600">
        <f t="shared" si="566"/>
        <v>3</v>
      </c>
      <c r="W3600">
        <f t="shared" si="567"/>
        <v>1</v>
      </c>
      <c r="X3600">
        <f t="shared" si="568"/>
        <v>2</v>
      </c>
      <c r="Y3600" t="str">
        <f t="shared" si="569"/>
        <v>Monitor</v>
      </c>
    </row>
    <row r="3601" spans="1:25" x14ac:dyDescent="0.35">
      <c r="A3601" t="s">
        <v>71</v>
      </c>
      <c r="B3601" t="s">
        <v>72</v>
      </c>
      <c r="C3601" t="s">
        <v>174</v>
      </c>
      <c r="D3601" t="s">
        <v>761</v>
      </c>
      <c r="E3601">
        <v>80887750</v>
      </c>
      <c r="F3601" t="s">
        <v>2430</v>
      </c>
      <c r="G3601" s="3">
        <v>47156</v>
      </c>
      <c r="H3601">
        <v>36</v>
      </c>
      <c r="I3601">
        <v>89</v>
      </c>
      <c r="J3601">
        <v>20</v>
      </c>
      <c r="K3601" s="4">
        <v>38536</v>
      </c>
      <c r="L3601" s="4">
        <v>4026.4285714285716</v>
      </c>
      <c r="M3601" s="4">
        <v>4.9671811247117255E-3</v>
      </c>
      <c r="N3601" t="s">
        <v>25</v>
      </c>
      <c r="O3601" t="str">
        <f t="shared" si="560"/>
        <v>Low</v>
      </c>
      <c r="P3601" t="str">
        <f t="shared" si="561"/>
        <v>Low</v>
      </c>
      <c r="Q3601" t="str">
        <f t="shared" si="562"/>
        <v>Low</v>
      </c>
      <c r="R3601" t="s">
        <v>3317</v>
      </c>
      <c r="S3601" s="4">
        <f t="shared" ca="1" si="563"/>
        <v>959</v>
      </c>
      <c r="T3601">
        <f t="shared" si="564"/>
        <v>1</v>
      </c>
      <c r="U3601">
        <f t="shared" si="565"/>
        <v>1</v>
      </c>
      <c r="V3601">
        <f t="shared" si="566"/>
        <v>1</v>
      </c>
      <c r="W3601">
        <f t="shared" si="567"/>
        <v>1</v>
      </c>
      <c r="X3601">
        <f t="shared" si="568"/>
        <v>0.99999999999999989</v>
      </c>
      <c r="Y3601" t="str">
        <f t="shared" si="569"/>
        <v>Healthy</v>
      </c>
    </row>
    <row r="3602" spans="1:25" x14ac:dyDescent="0.35">
      <c r="A3602" t="s">
        <v>71</v>
      </c>
      <c r="B3602" t="s">
        <v>72</v>
      </c>
      <c r="C3602" t="s">
        <v>174</v>
      </c>
      <c r="D3602" t="s">
        <v>761</v>
      </c>
      <c r="E3602">
        <v>80887750</v>
      </c>
      <c r="F3602" t="s">
        <v>2430</v>
      </c>
      <c r="G3602" s="3">
        <v>47136</v>
      </c>
      <c r="H3602">
        <v>36</v>
      </c>
      <c r="I3602">
        <v>87</v>
      </c>
      <c r="J3602">
        <v>28</v>
      </c>
      <c r="K3602" s="4">
        <v>53950.400000000001</v>
      </c>
      <c r="L3602" s="4">
        <v>4026.4285714285716</v>
      </c>
      <c r="M3602" s="4">
        <v>6.9540535745964164E-3</v>
      </c>
      <c r="N3602" t="s">
        <v>25</v>
      </c>
      <c r="O3602" t="str">
        <f t="shared" si="560"/>
        <v>Low</v>
      </c>
      <c r="P3602" t="str">
        <f t="shared" si="561"/>
        <v>Low</v>
      </c>
      <c r="Q3602" t="str">
        <f t="shared" si="562"/>
        <v>Low</v>
      </c>
      <c r="R3602" t="s">
        <v>3317</v>
      </c>
      <c r="S3602" s="4">
        <f t="shared" ca="1" si="563"/>
        <v>939</v>
      </c>
      <c r="T3602">
        <f t="shared" si="564"/>
        <v>1</v>
      </c>
      <c r="U3602">
        <f t="shared" si="565"/>
        <v>1</v>
      </c>
      <c r="V3602">
        <f t="shared" si="566"/>
        <v>1</v>
      </c>
      <c r="W3602">
        <f t="shared" si="567"/>
        <v>1</v>
      </c>
      <c r="X3602">
        <f t="shared" si="568"/>
        <v>0.99999999999999989</v>
      </c>
      <c r="Y3602" t="str">
        <f t="shared" si="569"/>
        <v>Healthy</v>
      </c>
    </row>
    <row r="3603" spans="1:25" x14ac:dyDescent="0.35">
      <c r="A3603" t="s">
        <v>41</v>
      </c>
      <c r="B3603" t="s">
        <v>54</v>
      </c>
      <c r="C3603" t="s">
        <v>87</v>
      </c>
      <c r="D3603" t="s">
        <v>330</v>
      </c>
      <c r="E3603">
        <v>80892907</v>
      </c>
      <c r="F3603" t="s">
        <v>2439</v>
      </c>
      <c r="G3603" s="3">
        <v>47201</v>
      </c>
      <c r="H3603">
        <v>36</v>
      </c>
      <c r="I3603">
        <v>93</v>
      </c>
      <c r="J3603">
        <v>67</v>
      </c>
      <c r="K3603" s="4">
        <v>64317.99</v>
      </c>
      <c r="L3603" s="4">
        <v>19.857142857142858</v>
      </c>
      <c r="M3603" s="4">
        <v>3.3741007194244603</v>
      </c>
      <c r="N3603" t="s">
        <v>25</v>
      </c>
      <c r="O3603" t="str">
        <f t="shared" si="560"/>
        <v>Low</v>
      </c>
      <c r="P3603" t="str">
        <f t="shared" si="561"/>
        <v>Low</v>
      </c>
      <c r="Q3603" t="str">
        <f t="shared" si="562"/>
        <v>Low</v>
      </c>
      <c r="R3603" t="s">
        <v>3317</v>
      </c>
      <c r="S3603" s="4">
        <f t="shared" ca="1" si="563"/>
        <v>1004</v>
      </c>
      <c r="T3603">
        <f t="shared" si="564"/>
        <v>1</v>
      </c>
      <c r="U3603">
        <f t="shared" si="565"/>
        <v>1</v>
      </c>
      <c r="V3603">
        <f t="shared" si="566"/>
        <v>1</v>
      </c>
      <c r="W3603">
        <f t="shared" si="567"/>
        <v>1</v>
      </c>
      <c r="X3603">
        <f t="shared" si="568"/>
        <v>0.99999999999999989</v>
      </c>
      <c r="Y3603" t="str">
        <f t="shared" si="569"/>
        <v>Healthy</v>
      </c>
    </row>
    <row r="3604" spans="1:25" x14ac:dyDescent="0.35">
      <c r="A3604" t="s">
        <v>71</v>
      </c>
      <c r="B3604" t="s">
        <v>72</v>
      </c>
      <c r="C3604" t="s">
        <v>174</v>
      </c>
      <c r="D3604" t="s">
        <v>761</v>
      </c>
      <c r="E3604">
        <v>80887750</v>
      </c>
      <c r="F3604" t="s">
        <v>2430</v>
      </c>
      <c r="G3604" s="3">
        <v>47222</v>
      </c>
      <c r="H3604">
        <v>36</v>
      </c>
      <c r="I3604">
        <v>95</v>
      </c>
      <c r="J3604">
        <v>5</v>
      </c>
      <c r="K3604" s="4">
        <v>9634</v>
      </c>
      <c r="L3604" s="4">
        <v>4026.4285714285716</v>
      </c>
      <c r="M3604" s="4">
        <v>1.2417952811779314E-3</v>
      </c>
      <c r="N3604" t="s">
        <v>25</v>
      </c>
      <c r="O3604" t="str">
        <f t="shared" si="560"/>
        <v>Low</v>
      </c>
      <c r="P3604" t="str">
        <f t="shared" si="561"/>
        <v>Low</v>
      </c>
      <c r="Q3604" t="str">
        <f t="shared" si="562"/>
        <v>Low</v>
      </c>
      <c r="R3604" t="s">
        <v>3317</v>
      </c>
      <c r="S3604" s="4">
        <f t="shared" ca="1" si="563"/>
        <v>1025</v>
      </c>
      <c r="T3604">
        <f t="shared" si="564"/>
        <v>1</v>
      </c>
      <c r="U3604">
        <f t="shared" si="565"/>
        <v>1</v>
      </c>
      <c r="V3604">
        <f t="shared" si="566"/>
        <v>1</v>
      </c>
      <c r="W3604">
        <f t="shared" si="567"/>
        <v>1</v>
      </c>
      <c r="X3604">
        <f t="shared" si="568"/>
        <v>0.99999999999999989</v>
      </c>
      <c r="Y3604" t="str">
        <f t="shared" si="569"/>
        <v>Healthy</v>
      </c>
    </row>
    <row r="3605" spans="1:25" x14ac:dyDescent="0.35">
      <c r="A3605" t="s">
        <v>41</v>
      </c>
      <c r="B3605" t="s">
        <v>54</v>
      </c>
      <c r="C3605" t="s">
        <v>55</v>
      </c>
      <c r="D3605" t="s">
        <v>2440</v>
      </c>
      <c r="E3605">
        <v>83911280</v>
      </c>
      <c r="F3605" t="s">
        <v>2441</v>
      </c>
      <c r="G3605" s="3">
        <v>47270</v>
      </c>
      <c r="H3605">
        <v>36</v>
      </c>
      <c r="I3605">
        <v>100</v>
      </c>
      <c r="J3605">
        <v>1327</v>
      </c>
      <c r="K3605" s="4">
        <v>91483.38</v>
      </c>
      <c r="L3605" s="4">
        <v>1888.2857142857142</v>
      </c>
      <c r="M3605" s="4">
        <v>0.70275382054773794</v>
      </c>
      <c r="N3605" t="s">
        <v>25</v>
      </c>
      <c r="O3605" t="str">
        <f t="shared" si="560"/>
        <v>Low</v>
      </c>
      <c r="P3605" t="str">
        <f t="shared" si="561"/>
        <v>Low</v>
      </c>
      <c r="Q3605" t="str">
        <f t="shared" si="562"/>
        <v>Low</v>
      </c>
      <c r="R3605" t="s">
        <v>3310</v>
      </c>
      <c r="S3605" s="4">
        <f t="shared" ca="1" si="563"/>
        <v>1073</v>
      </c>
      <c r="T3605">
        <f t="shared" si="564"/>
        <v>1</v>
      </c>
      <c r="U3605">
        <f t="shared" si="565"/>
        <v>1</v>
      </c>
      <c r="V3605">
        <f t="shared" si="566"/>
        <v>1</v>
      </c>
      <c r="W3605">
        <f t="shared" si="567"/>
        <v>2</v>
      </c>
      <c r="X3605">
        <f t="shared" si="568"/>
        <v>1.0999999999999999</v>
      </c>
      <c r="Y3605" t="str">
        <f t="shared" si="569"/>
        <v>Healthy</v>
      </c>
    </row>
    <row r="3606" spans="1:25" x14ac:dyDescent="0.35">
      <c r="A3606" t="s">
        <v>71</v>
      </c>
      <c r="B3606" t="s">
        <v>72</v>
      </c>
      <c r="C3606" t="s">
        <v>174</v>
      </c>
      <c r="D3606" t="s">
        <v>761</v>
      </c>
      <c r="E3606">
        <v>80887750</v>
      </c>
      <c r="F3606" t="s">
        <v>2430</v>
      </c>
      <c r="G3606" s="3">
        <v>47138</v>
      </c>
      <c r="H3606">
        <v>36</v>
      </c>
      <c r="I3606">
        <v>88</v>
      </c>
      <c r="J3606">
        <v>21</v>
      </c>
      <c r="K3606" s="4">
        <v>40462.800000000003</v>
      </c>
      <c r="L3606" s="4">
        <v>4026.4285714285716</v>
      </c>
      <c r="M3606" s="4">
        <v>5.2155401809473121E-3</v>
      </c>
      <c r="N3606" t="s">
        <v>25</v>
      </c>
      <c r="O3606" t="str">
        <f t="shared" si="560"/>
        <v>Low</v>
      </c>
      <c r="P3606" t="str">
        <f t="shared" si="561"/>
        <v>Low</v>
      </c>
      <c r="Q3606" t="str">
        <f t="shared" si="562"/>
        <v>Low</v>
      </c>
      <c r="R3606" t="s">
        <v>3317</v>
      </c>
      <c r="S3606" s="4">
        <f t="shared" ca="1" si="563"/>
        <v>941</v>
      </c>
      <c r="T3606">
        <f t="shared" si="564"/>
        <v>1</v>
      </c>
      <c r="U3606">
        <f t="shared" si="565"/>
        <v>1</v>
      </c>
      <c r="V3606">
        <f t="shared" si="566"/>
        <v>1</v>
      </c>
      <c r="W3606">
        <f t="shared" si="567"/>
        <v>1</v>
      </c>
      <c r="X3606">
        <f t="shared" si="568"/>
        <v>0.99999999999999989</v>
      </c>
      <c r="Y3606" t="str">
        <f t="shared" si="569"/>
        <v>Healthy</v>
      </c>
    </row>
    <row r="3607" spans="1:25" x14ac:dyDescent="0.35">
      <c r="A3607" t="s">
        <v>20</v>
      </c>
      <c r="B3607" t="s">
        <v>21</v>
      </c>
      <c r="C3607" t="s">
        <v>1524</v>
      </c>
      <c r="D3607" t="s">
        <v>1525</v>
      </c>
      <c r="E3607">
        <v>80895273</v>
      </c>
      <c r="F3607" t="s">
        <v>2442</v>
      </c>
      <c r="G3607" s="3">
        <v>49592</v>
      </c>
      <c r="H3607">
        <v>120</v>
      </c>
      <c r="I3607">
        <v>94</v>
      </c>
      <c r="J3607">
        <v>158</v>
      </c>
      <c r="K3607" s="4">
        <v>27806.42</v>
      </c>
      <c r="L3607" s="4">
        <v>963.42857142857144</v>
      </c>
      <c r="M3607" s="4">
        <v>0.16399762752075919</v>
      </c>
      <c r="N3607" t="s">
        <v>25</v>
      </c>
      <c r="O3607" t="str">
        <f t="shared" si="560"/>
        <v>Low</v>
      </c>
      <c r="P3607" t="str">
        <f t="shared" si="561"/>
        <v>Low</v>
      </c>
      <c r="Q3607" t="str">
        <f t="shared" si="562"/>
        <v>Low</v>
      </c>
      <c r="R3607" t="s">
        <v>3317</v>
      </c>
      <c r="S3607" s="4">
        <f t="shared" ca="1" si="563"/>
        <v>3395</v>
      </c>
      <c r="T3607">
        <f t="shared" si="564"/>
        <v>1</v>
      </c>
      <c r="U3607">
        <f t="shared" si="565"/>
        <v>1</v>
      </c>
      <c r="V3607">
        <f t="shared" si="566"/>
        <v>1</v>
      </c>
      <c r="W3607">
        <f t="shared" si="567"/>
        <v>1</v>
      </c>
      <c r="X3607">
        <f t="shared" si="568"/>
        <v>0.99999999999999989</v>
      </c>
      <c r="Y3607" t="str">
        <f t="shared" si="569"/>
        <v>Healthy</v>
      </c>
    </row>
    <row r="3608" spans="1:25" x14ac:dyDescent="0.35">
      <c r="A3608" t="s">
        <v>41</v>
      </c>
      <c r="B3608" t="s">
        <v>54</v>
      </c>
      <c r="C3608" t="s">
        <v>55</v>
      </c>
      <c r="D3608" t="s">
        <v>2443</v>
      </c>
      <c r="E3608">
        <v>83911281</v>
      </c>
      <c r="F3608" t="s">
        <v>2444</v>
      </c>
      <c r="G3608" s="3">
        <v>47217</v>
      </c>
      <c r="H3608">
        <v>36</v>
      </c>
      <c r="I3608">
        <v>95</v>
      </c>
      <c r="J3608">
        <v>1223</v>
      </c>
      <c r="K3608" s="4">
        <v>84313.62</v>
      </c>
      <c r="L3608" s="4">
        <v>2508.4285714285716</v>
      </c>
      <c r="M3608" s="4">
        <v>0.48755623896577249</v>
      </c>
      <c r="N3608" t="s">
        <v>25</v>
      </c>
      <c r="O3608" t="str">
        <f t="shared" si="560"/>
        <v>Low</v>
      </c>
      <c r="P3608" t="str">
        <f t="shared" si="561"/>
        <v>Low</v>
      </c>
      <c r="Q3608" t="str">
        <f t="shared" si="562"/>
        <v>Low</v>
      </c>
      <c r="R3608" t="s">
        <v>3310</v>
      </c>
      <c r="S3608" s="4">
        <f t="shared" ca="1" si="563"/>
        <v>1020</v>
      </c>
      <c r="T3608">
        <f t="shared" si="564"/>
        <v>1</v>
      </c>
      <c r="U3608">
        <f t="shared" si="565"/>
        <v>1</v>
      </c>
      <c r="V3608">
        <f t="shared" si="566"/>
        <v>1</v>
      </c>
      <c r="W3608">
        <f t="shared" si="567"/>
        <v>2</v>
      </c>
      <c r="X3608">
        <f t="shared" si="568"/>
        <v>1.0999999999999999</v>
      </c>
      <c r="Y3608" t="str">
        <f t="shared" si="569"/>
        <v>Healthy</v>
      </c>
    </row>
    <row r="3609" spans="1:25" x14ac:dyDescent="0.35">
      <c r="A3609" t="s">
        <v>41</v>
      </c>
      <c r="B3609" t="s">
        <v>54</v>
      </c>
      <c r="C3609" t="s">
        <v>55</v>
      </c>
      <c r="D3609" t="s">
        <v>2443</v>
      </c>
      <c r="E3609">
        <v>83911281</v>
      </c>
      <c r="F3609" t="s">
        <v>2444</v>
      </c>
      <c r="G3609" s="3">
        <v>47204</v>
      </c>
      <c r="H3609">
        <v>36</v>
      </c>
      <c r="I3609">
        <v>94</v>
      </c>
      <c r="J3609">
        <v>1269</v>
      </c>
      <c r="K3609" s="4">
        <v>87484.86</v>
      </c>
      <c r="L3609" s="4">
        <v>2508.4285714285716</v>
      </c>
      <c r="M3609" s="4">
        <v>0.50589441312147609</v>
      </c>
      <c r="N3609" t="s">
        <v>25</v>
      </c>
      <c r="O3609" t="str">
        <f t="shared" si="560"/>
        <v>Low</v>
      </c>
      <c r="P3609" t="str">
        <f t="shared" si="561"/>
        <v>Low</v>
      </c>
      <c r="Q3609" t="str">
        <f t="shared" si="562"/>
        <v>Low</v>
      </c>
      <c r="R3609" t="s">
        <v>3310</v>
      </c>
      <c r="S3609" s="4">
        <f t="shared" ca="1" si="563"/>
        <v>1007</v>
      </c>
      <c r="T3609">
        <f t="shared" si="564"/>
        <v>1</v>
      </c>
      <c r="U3609">
        <f t="shared" si="565"/>
        <v>1</v>
      </c>
      <c r="V3609">
        <f t="shared" si="566"/>
        <v>1</v>
      </c>
      <c r="W3609">
        <f t="shared" si="567"/>
        <v>2</v>
      </c>
      <c r="X3609">
        <f t="shared" si="568"/>
        <v>1.0999999999999999</v>
      </c>
      <c r="Y3609" t="str">
        <f t="shared" si="569"/>
        <v>Healthy</v>
      </c>
    </row>
    <row r="3610" spans="1:25" x14ac:dyDescent="0.35">
      <c r="A3610" t="s">
        <v>20</v>
      </c>
      <c r="B3610" t="s">
        <v>21</v>
      </c>
      <c r="C3610" t="s">
        <v>1524</v>
      </c>
      <c r="D3610" t="s">
        <v>1525</v>
      </c>
      <c r="E3610">
        <v>80895273</v>
      </c>
      <c r="F3610" t="s">
        <v>2442</v>
      </c>
      <c r="G3610" s="3">
        <v>49679</v>
      </c>
      <c r="H3610">
        <v>120</v>
      </c>
      <c r="I3610">
        <v>97</v>
      </c>
      <c r="J3610">
        <v>24</v>
      </c>
      <c r="K3610" s="4">
        <v>4223.76</v>
      </c>
      <c r="L3610" s="4">
        <v>963.42857142857144</v>
      </c>
      <c r="M3610" s="4">
        <v>2.491103202846975E-2</v>
      </c>
      <c r="N3610" t="s">
        <v>25</v>
      </c>
      <c r="O3610" t="str">
        <f t="shared" si="560"/>
        <v>Low</v>
      </c>
      <c r="P3610" t="str">
        <f t="shared" si="561"/>
        <v>Low</v>
      </c>
      <c r="Q3610" t="str">
        <f t="shared" si="562"/>
        <v>Low</v>
      </c>
      <c r="R3610" t="s">
        <v>3317</v>
      </c>
      <c r="S3610" s="4">
        <f t="shared" ca="1" si="563"/>
        <v>3482</v>
      </c>
      <c r="T3610">
        <f t="shared" si="564"/>
        <v>1</v>
      </c>
      <c r="U3610">
        <f t="shared" si="565"/>
        <v>1</v>
      </c>
      <c r="V3610">
        <f t="shared" si="566"/>
        <v>1</v>
      </c>
      <c r="W3610">
        <f t="shared" si="567"/>
        <v>1</v>
      </c>
      <c r="X3610">
        <f t="shared" si="568"/>
        <v>0.99999999999999989</v>
      </c>
      <c r="Y3610" t="str">
        <f t="shared" si="569"/>
        <v>Healthy</v>
      </c>
    </row>
    <row r="3611" spans="1:25" x14ac:dyDescent="0.35">
      <c r="A3611" t="s">
        <v>41</v>
      </c>
      <c r="B3611" t="s">
        <v>54</v>
      </c>
      <c r="C3611" t="s">
        <v>55</v>
      </c>
      <c r="D3611" t="s">
        <v>2443</v>
      </c>
      <c r="E3611">
        <v>83911281</v>
      </c>
      <c r="F3611" t="s">
        <v>2444</v>
      </c>
      <c r="G3611" s="3">
        <v>47222</v>
      </c>
      <c r="H3611">
        <v>36</v>
      </c>
      <c r="I3611">
        <v>95</v>
      </c>
      <c r="J3611">
        <v>240</v>
      </c>
      <c r="K3611" s="4">
        <v>16545.599999999999</v>
      </c>
      <c r="L3611" s="4">
        <v>2508.4285714285716</v>
      </c>
      <c r="M3611" s="4">
        <v>9.5677430377584138E-2</v>
      </c>
      <c r="N3611" t="s">
        <v>25</v>
      </c>
      <c r="O3611" t="str">
        <f t="shared" si="560"/>
        <v>Low</v>
      </c>
      <c r="P3611" t="str">
        <f t="shared" si="561"/>
        <v>Low</v>
      </c>
      <c r="Q3611" t="str">
        <f t="shared" si="562"/>
        <v>Low</v>
      </c>
      <c r="R3611" t="s">
        <v>3317</v>
      </c>
      <c r="S3611" s="4">
        <f t="shared" ca="1" si="563"/>
        <v>1025</v>
      </c>
      <c r="T3611">
        <f t="shared" si="564"/>
        <v>1</v>
      </c>
      <c r="U3611">
        <f t="shared" si="565"/>
        <v>1</v>
      </c>
      <c r="V3611">
        <f t="shared" si="566"/>
        <v>1</v>
      </c>
      <c r="W3611">
        <f t="shared" si="567"/>
        <v>1</v>
      </c>
      <c r="X3611">
        <f t="shared" si="568"/>
        <v>0.99999999999999989</v>
      </c>
      <c r="Y3611" t="str">
        <f t="shared" si="569"/>
        <v>Healthy</v>
      </c>
    </row>
    <row r="3612" spans="1:25" x14ac:dyDescent="0.35">
      <c r="A3612" t="s">
        <v>20</v>
      </c>
      <c r="B3612" t="s">
        <v>21</v>
      </c>
      <c r="C3612" t="s">
        <v>1524</v>
      </c>
      <c r="D3612" t="s">
        <v>1525</v>
      </c>
      <c r="E3612">
        <v>80895273</v>
      </c>
      <c r="F3612" t="s">
        <v>2442</v>
      </c>
      <c r="G3612" s="3">
        <v>49622</v>
      </c>
      <c r="H3612">
        <v>120</v>
      </c>
      <c r="I3612">
        <v>95</v>
      </c>
      <c r="J3612">
        <v>22</v>
      </c>
      <c r="K3612" s="4">
        <v>3871.78</v>
      </c>
      <c r="L3612" s="4">
        <v>963.42857142857144</v>
      </c>
      <c r="M3612" s="4">
        <v>2.2835112692763938E-2</v>
      </c>
      <c r="N3612" t="s">
        <v>25</v>
      </c>
      <c r="O3612" t="str">
        <f t="shared" si="560"/>
        <v>Low</v>
      </c>
      <c r="P3612" t="str">
        <f t="shared" si="561"/>
        <v>Low</v>
      </c>
      <c r="Q3612" t="str">
        <f t="shared" si="562"/>
        <v>Low</v>
      </c>
      <c r="R3612" t="s">
        <v>3317</v>
      </c>
      <c r="S3612" s="4">
        <f t="shared" ca="1" si="563"/>
        <v>3425</v>
      </c>
      <c r="T3612">
        <f t="shared" si="564"/>
        <v>1</v>
      </c>
      <c r="U3612">
        <f t="shared" si="565"/>
        <v>1</v>
      </c>
      <c r="V3612">
        <f t="shared" si="566"/>
        <v>1</v>
      </c>
      <c r="W3612">
        <f t="shared" si="567"/>
        <v>1</v>
      </c>
      <c r="X3612">
        <f t="shared" si="568"/>
        <v>0.99999999999999989</v>
      </c>
      <c r="Y3612" t="str">
        <f t="shared" si="569"/>
        <v>Healthy</v>
      </c>
    </row>
    <row r="3613" spans="1:25" x14ac:dyDescent="0.35">
      <c r="A3613" t="s">
        <v>41</v>
      </c>
      <c r="B3613" t="s">
        <v>54</v>
      </c>
      <c r="C3613" t="s">
        <v>55</v>
      </c>
      <c r="D3613" t="s">
        <v>2443</v>
      </c>
      <c r="E3613">
        <v>83911281</v>
      </c>
      <c r="F3613" t="s">
        <v>2444</v>
      </c>
      <c r="G3613" s="3">
        <v>47245</v>
      </c>
      <c r="H3613">
        <v>36</v>
      </c>
      <c r="I3613">
        <v>98</v>
      </c>
      <c r="J3613">
        <v>1296</v>
      </c>
      <c r="K3613" s="4">
        <v>89346.240000000005</v>
      </c>
      <c r="L3613" s="4">
        <v>2508.4285714285716</v>
      </c>
      <c r="M3613" s="4">
        <v>0.51665812403895439</v>
      </c>
      <c r="N3613" t="s">
        <v>25</v>
      </c>
      <c r="O3613" t="str">
        <f t="shared" si="560"/>
        <v>Low</v>
      </c>
      <c r="P3613" t="str">
        <f t="shared" si="561"/>
        <v>Low</v>
      </c>
      <c r="Q3613" t="str">
        <f t="shared" si="562"/>
        <v>Low</v>
      </c>
      <c r="R3613" t="s">
        <v>3310</v>
      </c>
      <c r="S3613" s="4">
        <f t="shared" ca="1" si="563"/>
        <v>1048</v>
      </c>
      <c r="T3613">
        <f t="shared" si="564"/>
        <v>1</v>
      </c>
      <c r="U3613">
        <f t="shared" si="565"/>
        <v>1</v>
      </c>
      <c r="V3613">
        <f t="shared" si="566"/>
        <v>1</v>
      </c>
      <c r="W3613">
        <f t="shared" si="567"/>
        <v>2</v>
      </c>
      <c r="X3613">
        <f t="shared" si="568"/>
        <v>1.0999999999999999</v>
      </c>
      <c r="Y3613" t="str">
        <f t="shared" si="569"/>
        <v>Healthy</v>
      </c>
    </row>
    <row r="3614" spans="1:25" x14ac:dyDescent="0.35">
      <c r="A3614" t="s">
        <v>71</v>
      </c>
      <c r="B3614" t="s">
        <v>72</v>
      </c>
      <c r="C3614" t="s">
        <v>1228</v>
      </c>
      <c r="D3614" t="s">
        <v>2445</v>
      </c>
      <c r="E3614">
        <v>80887983</v>
      </c>
      <c r="F3614" t="s">
        <v>2446</v>
      </c>
      <c r="G3614" s="3">
        <v>47266</v>
      </c>
      <c r="H3614">
        <v>36</v>
      </c>
      <c r="I3614">
        <v>99</v>
      </c>
      <c r="J3614">
        <v>300</v>
      </c>
      <c r="K3614" s="4">
        <v>134397</v>
      </c>
      <c r="L3614" s="4">
        <v>5636.5714285714284</v>
      </c>
      <c r="M3614" s="4">
        <v>5.3223844282238447E-2</v>
      </c>
      <c r="N3614" t="s">
        <v>25</v>
      </c>
      <c r="O3614" t="str">
        <f t="shared" si="560"/>
        <v>Low</v>
      </c>
      <c r="P3614" t="str">
        <f t="shared" si="561"/>
        <v>Low</v>
      </c>
      <c r="Q3614" t="str">
        <f t="shared" si="562"/>
        <v>Low</v>
      </c>
      <c r="R3614" t="s">
        <v>3309</v>
      </c>
      <c r="S3614" s="4">
        <f t="shared" ca="1" si="563"/>
        <v>1069</v>
      </c>
      <c r="T3614">
        <f t="shared" si="564"/>
        <v>1</v>
      </c>
      <c r="U3614">
        <f t="shared" si="565"/>
        <v>1</v>
      </c>
      <c r="V3614">
        <f t="shared" si="566"/>
        <v>1</v>
      </c>
      <c r="W3614">
        <f t="shared" si="567"/>
        <v>3</v>
      </c>
      <c r="X3614">
        <f t="shared" si="568"/>
        <v>1.2</v>
      </c>
      <c r="Y3614" t="str">
        <f t="shared" si="569"/>
        <v>Healthy</v>
      </c>
    </row>
    <row r="3615" spans="1:25" x14ac:dyDescent="0.35">
      <c r="A3615" t="s">
        <v>41</v>
      </c>
      <c r="B3615" t="s">
        <v>54</v>
      </c>
      <c r="C3615" t="s">
        <v>55</v>
      </c>
      <c r="D3615" t="s">
        <v>2443</v>
      </c>
      <c r="E3615">
        <v>83911281</v>
      </c>
      <c r="F3615" t="s">
        <v>2444</v>
      </c>
      <c r="G3615" s="3">
        <v>47199</v>
      </c>
      <c r="H3615">
        <v>36</v>
      </c>
      <c r="I3615">
        <v>93</v>
      </c>
      <c r="J3615">
        <v>1307</v>
      </c>
      <c r="K3615" s="4">
        <v>90104.58</v>
      </c>
      <c r="L3615" s="4">
        <v>2508.4285714285716</v>
      </c>
      <c r="M3615" s="4">
        <v>0.52104333959792692</v>
      </c>
      <c r="N3615" t="s">
        <v>25</v>
      </c>
      <c r="O3615" t="str">
        <f t="shared" si="560"/>
        <v>Low</v>
      </c>
      <c r="P3615" t="str">
        <f t="shared" si="561"/>
        <v>Low</v>
      </c>
      <c r="Q3615" t="str">
        <f t="shared" si="562"/>
        <v>Low</v>
      </c>
      <c r="R3615" t="s">
        <v>3310</v>
      </c>
      <c r="S3615" s="4">
        <f t="shared" ca="1" si="563"/>
        <v>1002</v>
      </c>
      <c r="T3615">
        <f t="shared" si="564"/>
        <v>1</v>
      </c>
      <c r="U3615">
        <f t="shared" si="565"/>
        <v>1</v>
      </c>
      <c r="V3615">
        <f t="shared" si="566"/>
        <v>1</v>
      </c>
      <c r="W3615">
        <f t="shared" si="567"/>
        <v>2</v>
      </c>
      <c r="X3615">
        <f t="shared" si="568"/>
        <v>1.0999999999999999</v>
      </c>
      <c r="Y3615" t="str">
        <f t="shared" si="569"/>
        <v>Healthy</v>
      </c>
    </row>
    <row r="3616" spans="1:25" x14ac:dyDescent="0.35">
      <c r="A3616" t="s">
        <v>71</v>
      </c>
      <c r="B3616" t="s">
        <v>72</v>
      </c>
      <c r="C3616" t="s">
        <v>1228</v>
      </c>
      <c r="D3616" t="s">
        <v>2445</v>
      </c>
      <c r="E3616">
        <v>80887983</v>
      </c>
      <c r="F3616" t="s">
        <v>2446</v>
      </c>
      <c r="G3616" s="3">
        <v>47252</v>
      </c>
      <c r="H3616">
        <v>36</v>
      </c>
      <c r="I3616">
        <v>98</v>
      </c>
      <c r="J3616">
        <v>128</v>
      </c>
      <c r="K3616" s="4">
        <v>57342.720000000001</v>
      </c>
      <c r="L3616" s="4">
        <v>5636.5714285714284</v>
      </c>
      <c r="M3616" s="4">
        <v>2.2708840227088401E-2</v>
      </c>
      <c r="N3616" t="s">
        <v>25</v>
      </c>
      <c r="O3616" t="str">
        <f t="shared" si="560"/>
        <v>Low</v>
      </c>
      <c r="P3616" t="str">
        <f t="shared" si="561"/>
        <v>Low</v>
      </c>
      <c r="Q3616" t="str">
        <f t="shared" si="562"/>
        <v>Low</v>
      </c>
      <c r="R3616" t="s">
        <v>3317</v>
      </c>
      <c r="S3616" s="4">
        <f t="shared" ca="1" si="563"/>
        <v>1055</v>
      </c>
      <c r="T3616">
        <f t="shared" si="564"/>
        <v>1</v>
      </c>
      <c r="U3616">
        <f t="shared" si="565"/>
        <v>1</v>
      </c>
      <c r="V3616">
        <f t="shared" si="566"/>
        <v>1</v>
      </c>
      <c r="W3616">
        <f t="shared" si="567"/>
        <v>1</v>
      </c>
      <c r="X3616">
        <f t="shared" si="568"/>
        <v>0.99999999999999989</v>
      </c>
      <c r="Y3616" t="str">
        <f t="shared" si="569"/>
        <v>Healthy</v>
      </c>
    </row>
    <row r="3617" spans="1:25" x14ac:dyDescent="0.35">
      <c r="A3617" t="s">
        <v>41</v>
      </c>
      <c r="B3617" t="s">
        <v>54</v>
      </c>
      <c r="C3617" t="s">
        <v>55</v>
      </c>
      <c r="D3617" t="s">
        <v>2443</v>
      </c>
      <c r="E3617">
        <v>83911281</v>
      </c>
      <c r="F3617" t="s">
        <v>2444</v>
      </c>
      <c r="G3617" s="3">
        <v>47188</v>
      </c>
      <c r="H3617">
        <v>36</v>
      </c>
      <c r="I3617">
        <v>92</v>
      </c>
      <c r="J3617">
        <v>1277</v>
      </c>
      <c r="K3617" s="4">
        <v>88036.38</v>
      </c>
      <c r="L3617" s="4">
        <v>2508.4285714285716</v>
      </c>
      <c r="M3617" s="4">
        <v>0.50908366080072898</v>
      </c>
      <c r="N3617" t="s">
        <v>25</v>
      </c>
      <c r="O3617" t="str">
        <f t="shared" si="560"/>
        <v>Low</v>
      </c>
      <c r="P3617" t="str">
        <f t="shared" si="561"/>
        <v>Low</v>
      </c>
      <c r="Q3617" t="str">
        <f t="shared" si="562"/>
        <v>Low</v>
      </c>
      <c r="R3617" t="s">
        <v>3310</v>
      </c>
      <c r="S3617" s="4">
        <f t="shared" ca="1" si="563"/>
        <v>991</v>
      </c>
      <c r="T3617">
        <f t="shared" si="564"/>
        <v>1</v>
      </c>
      <c r="U3617">
        <f t="shared" si="565"/>
        <v>1</v>
      </c>
      <c r="V3617">
        <f t="shared" si="566"/>
        <v>1</v>
      </c>
      <c r="W3617">
        <f t="shared" si="567"/>
        <v>2</v>
      </c>
      <c r="X3617">
        <f t="shared" si="568"/>
        <v>1.0999999999999999</v>
      </c>
      <c r="Y3617" t="str">
        <f t="shared" si="569"/>
        <v>Healthy</v>
      </c>
    </row>
    <row r="3618" spans="1:25" x14ac:dyDescent="0.35">
      <c r="A3618" t="s">
        <v>71</v>
      </c>
      <c r="B3618" t="s">
        <v>72</v>
      </c>
      <c r="C3618" t="s">
        <v>1228</v>
      </c>
      <c r="D3618" t="s">
        <v>2445</v>
      </c>
      <c r="E3618">
        <v>80887983</v>
      </c>
      <c r="F3618" t="s">
        <v>2446</v>
      </c>
      <c r="G3618" s="3">
        <v>47225</v>
      </c>
      <c r="H3618">
        <v>36</v>
      </c>
      <c r="I3618">
        <v>96</v>
      </c>
      <c r="J3618">
        <v>78</v>
      </c>
      <c r="K3618" s="4">
        <v>34943.22</v>
      </c>
      <c r="L3618" s="4">
        <v>5636.5714285714284</v>
      </c>
      <c r="M3618" s="4">
        <v>1.3838199513381996E-2</v>
      </c>
      <c r="N3618" t="s">
        <v>25</v>
      </c>
      <c r="O3618" t="str">
        <f t="shared" si="560"/>
        <v>Low</v>
      </c>
      <c r="P3618" t="str">
        <f t="shared" si="561"/>
        <v>Low</v>
      </c>
      <c r="Q3618" t="str">
        <f t="shared" si="562"/>
        <v>Low</v>
      </c>
      <c r="R3618" t="s">
        <v>3317</v>
      </c>
      <c r="S3618" s="4">
        <f t="shared" ca="1" si="563"/>
        <v>1028</v>
      </c>
      <c r="T3618">
        <f t="shared" si="564"/>
        <v>1</v>
      </c>
      <c r="U3618">
        <f t="shared" si="565"/>
        <v>1</v>
      </c>
      <c r="V3618">
        <f t="shared" si="566"/>
        <v>1</v>
      </c>
      <c r="W3618">
        <f t="shared" si="567"/>
        <v>1</v>
      </c>
      <c r="X3618">
        <f t="shared" si="568"/>
        <v>0.99999999999999989</v>
      </c>
      <c r="Y3618" t="str">
        <f t="shared" si="569"/>
        <v>Healthy</v>
      </c>
    </row>
    <row r="3619" spans="1:25" x14ac:dyDescent="0.35">
      <c r="A3619" t="s">
        <v>41</v>
      </c>
      <c r="B3619" t="s">
        <v>54</v>
      </c>
      <c r="C3619" t="s">
        <v>55</v>
      </c>
      <c r="D3619" t="s">
        <v>2443</v>
      </c>
      <c r="E3619">
        <v>83911281</v>
      </c>
      <c r="F3619" t="s">
        <v>2444</v>
      </c>
      <c r="G3619" s="3">
        <v>47199</v>
      </c>
      <c r="H3619">
        <v>36</v>
      </c>
      <c r="I3619">
        <v>93</v>
      </c>
      <c r="J3619">
        <v>96</v>
      </c>
      <c r="K3619" s="4">
        <v>6618.24</v>
      </c>
      <c r="L3619" s="4">
        <v>2508.4285714285716</v>
      </c>
      <c r="M3619" s="4">
        <v>3.8270972151033658E-2</v>
      </c>
      <c r="N3619" t="s">
        <v>25</v>
      </c>
      <c r="O3619" t="str">
        <f t="shared" si="560"/>
        <v>Low</v>
      </c>
      <c r="P3619" t="str">
        <f t="shared" si="561"/>
        <v>Low</v>
      </c>
      <c r="Q3619" t="str">
        <f t="shared" si="562"/>
        <v>Low</v>
      </c>
      <c r="R3619" t="s">
        <v>3317</v>
      </c>
      <c r="S3619" s="4">
        <f t="shared" ca="1" si="563"/>
        <v>1002</v>
      </c>
      <c r="T3619">
        <f t="shared" si="564"/>
        <v>1</v>
      </c>
      <c r="U3619">
        <f t="shared" si="565"/>
        <v>1</v>
      </c>
      <c r="V3619">
        <f t="shared" si="566"/>
        <v>1</v>
      </c>
      <c r="W3619">
        <f t="shared" si="567"/>
        <v>1</v>
      </c>
      <c r="X3619">
        <f t="shared" si="568"/>
        <v>0.99999999999999989</v>
      </c>
      <c r="Y3619" t="str">
        <f t="shared" si="569"/>
        <v>Healthy</v>
      </c>
    </row>
    <row r="3620" spans="1:25" x14ac:dyDescent="0.35">
      <c r="A3620" t="s">
        <v>41</v>
      </c>
      <c r="B3620" t="s">
        <v>54</v>
      </c>
      <c r="C3620" t="s">
        <v>87</v>
      </c>
      <c r="D3620" t="s">
        <v>447</v>
      </c>
      <c r="E3620">
        <v>83911283</v>
      </c>
      <c r="F3620" t="s">
        <v>2447</v>
      </c>
      <c r="G3620" s="3">
        <v>47175</v>
      </c>
      <c r="H3620">
        <v>36</v>
      </c>
      <c r="I3620">
        <v>91</v>
      </c>
      <c r="J3620">
        <v>139</v>
      </c>
      <c r="K3620" s="4">
        <v>10311.02</v>
      </c>
      <c r="L3620" s="4">
        <v>24.142857142857142</v>
      </c>
      <c r="M3620" s="4">
        <v>5.7573964497041423</v>
      </c>
      <c r="N3620" t="s">
        <v>25</v>
      </c>
      <c r="O3620" t="str">
        <f t="shared" si="560"/>
        <v>Low</v>
      </c>
      <c r="P3620" t="str">
        <f t="shared" si="561"/>
        <v>Medium</v>
      </c>
      <c r="Q3620" t="str">
        <f t="shared" si="562"/>
        <v>Low</v>
      </c>
      <c r="R3620" t="s">
        <v>3317</v>
      </c>
      <c r="S3620" s="4">
        <f t="shared" ca="1" si="563"/>
        <v>978</v>
      </c>
      <c r="T3620">
        <f t="shared" si="564"/>
        <v>1</v>
      </c>
      <c r="U3620">
        <f t="shared" si="565"/>
        <v>2</v>
      </c>
      <c r="V3620">
        <f t="shared" si="566"/>
        <v>1</v>
      </c>
      <c r="W3620">
        <f t="shared" si="567"/>
        <v>1</v>
      </c>
      <c r="X3620">
        <f t="shared" si="568"/>
        <v>1.3</v>
      </c>
      <c r="Y3620" t="str">
        <f t="shared" si="569"/>
        <v>Healthy</v>
      </c>
    </row>
    <row r="3621" spans="1:25" x14ac:dyDescent="0.35">
      <c r="A3621" t="s">
        <v>71</v>
      </c>
      <c r="B3621" t="s">
        <v>72</v>
      </c>
      <c r="C3621" t="s">
        <v>1228</v>
      </c>
      <c r="D3621" t="s">
        <v>2445</v>
      </c>
      <c r="E3621">
        <v>80887983</v>
      </c>
      <c r="F3621" t="s">
        <v>2446</v>
      </c>
      <c r="G3621" s="3">
        <v>47242</v>
      </c>
      <c r="H3621">
        <v>36</v>
      </c>
      <c r="I3621">
        <v>97</v>
      </c>
      <c r="J3621">
        <v>119</v>
      </c>
      <c r="K3621" s="4">
        <v>53310.81</v>
      </c>
      <c r="L3621" s="4">
        <v>5636.5714285714284</v>
      </c>
      <c r="M3621" s="4">
        <v>2.111212489862125E-2</v>
      </c>
      <c r="N3621" t="s">
        <v>25</v>
      </c>
      <c r="O3621" t="str">
        <f t="shared" si="560"/>
        <v>Low</v>
      </c>
      <c r="P3621" t="str">
        <f t="shared" si="561"/>
        <v>Low</v>
      </c>
      <c r="Q3621" t="str">
        <f t="shared" si="562"/>
        <v>Low</v>
      </c>
      <c r="R3621" t="s">
        <v>3317</v>
      </c>
      <c r="S3621" s="4">
        <f t="shared" ca="1" si="563"/>
        <v>1045</v>
      </c>
      <c r="T3621">
        <f t="shared" si="564"/>
        <v>1</v>
      </c>
      <c r="U3621">
        <f t="shared" si="565"/>
        <v>1</v>
      </c>
      <c r="V3621">
        <f t="shared" si="566"/>
        <v>1</v>
      </c>
      <c r="W3621">
        <f t="shared" si="567"/>
        <v>1</v>
      </c>
      <c r="X3621">
        <f t="shared" si="568"/>
        <v>0.99999999999999989</v>
      </c>
      <c r="Y3621" t="str">
        <f t="shared" si="569"/>
        <v>Healthy</v>
      </c>
    </row>
    <row r="3622" spans="1:25" x14ac:dyDescent="0.35">
      <c r="A3622" t="s">
        <v>41</v>
      </c>
      <c r="B3622" t="s">
        <v>54</v>
      </c>
      <c r="C3622" t="s">
        <v>55</v>
      </c>
      <c r="D3622" t="s">
        <v>1625</v>
      </c>
      <c r="E3622">
        <v>80892912</v>
      </c>
      <c r="F3622" t="s">
        <v>2448</v>
      </c>
      <c r="G3622" s="3">
        <v>47261</v>
      </c>
      <c r="H3622">
        <v>36</v>
      </c>
      <c r="I3622">
        <v>99</v>
      </c>
      <c r="J3622">
        <v>48</v>
      </c>
      <c r="K3622" s="4">
        <v>20982.240000000002</v>
      </c>
      <c r="L3622" s="4">
        <v>1087.1428571428571</v>
      </c>
      <c r="M3622" s="4">
        <v>4.4152431011826546E-2</v>
      </c>
      <c r="N3622" t="s">
        <v>25</v>
      </c>
      <c r="O3622" t="str">
        <f t="shared" si="560"/>
        <v>Low</v>
      </c>
      <c r="P3622" t="str">
        <f t="shared" si="561"/>
        <v>Low</v>
      </c>
      <c r="Q3622" t="str">
        <f t="shared" si="562"/>
        <v>Low</v>
      </c>
      <c r="R3622" t="s">
        <v>3317</v>
      </c>
      <c r="S3622" s="4">
        <f t="shared" ca="1" si="563"/>
        <v>1064</v>
      </c>
      <c r="T3622">
        <f t="shared" si="564"/>
        <v>1</v>
      </c>
      <c r="U3622">
        <f t="shared" si="565"/>
        <v>1</v>
      </c>
      <c r="V3622">
        <f t="shared" si="566"/>
        <v>1</v>
      </c>
      <c r="W3622">
        <f t="shared" si="567"/>
        <v>1</v>
      </c>
      <c r="X3622">
        <f t="shared" si="568"/>
        <v>0.99999999999999989</v>
      </c>
      <c r="Y3622" t="str">
        <f t="shared" si="569"/>
        <v>Healthy</v>
      </c>
    </row>
    <row r="3623" spans="1:25" x14ac:dyDescent="0.35">
      <c r="A3623" t="s">
        <v>71</v>
      </c>
      <c r="B3623" t="s">
        <v>72</v>
      </c>
      <c r="C3623" t="s">
        <v>1228</v>
      </c>
      <c r="D3623" t="s">
        <v>2445</v>
      </c>
      <c r="E3623">
        <v>80887983</v>
      </c>
      <c r="F3623" t="s">
        <v>2446</v>
      </c>
      <c r="G3623" s="3">
        <v>47265</v>
      </c>
      <c r="H3623">
        <v>36</v>
      </c>
      <c r="I3623">
        <v>99</v>
      </c>
      <c r="J3623">
        <v>929</v>
      </c>
      <c r="K3623" s="4">
        <v>416182.71</v>
      </c>
      <c r="L3623" s="4">
        <v>5636.5714285714284</v>
      </c>
      <c r="M3623" s="4">
        <v>0.16481650446066504</v>
      </c>
      <c r="N3623" t="s">
        <v>25</v>
      </c>
      <c r="O3623" t="str">
        <f t="shared" si="560"/>
        <v>Low</v>
      </c>
      <c r="P3623" t="str">
        <f t="shared" si="561"/>
        <v>Low</v>
      </c>
      <c r="Q3623" t="str">
        <f t="shared" si="562"/>
        <v>Low</v>
      </c>
      <c r="R3623" t="s">
        <v>3309</v>
      </c>
      <c r="S3623" s="4">
        <f t="shared" ca="1" si="563"/>
        <v>1068</v>
      </c>
      <c r="T3623">
        <f t="shared" si="564"/>
        <v>1</v>
      </c>
      <c r="U3623">
        <f t="shared" si="565"/>
        <v>1</v>
      </c>
      <c r="V3623">
        <f t="shared" si="566"/>
        <v>1</v>
      </c>
      <c r="W3623">
        <f t="shared" si="567"/>
        <v>3</v>
      </c>
      <c r="X3623">
        <f t="shared" si="568"/>
        <v>1.2</v>
      </c>
      <c r="Y3623" t="str">
        <f t="shared" si="569"/>
        <v>Healthy</v>
      </c>
    </row>
    <row r="3624" spans="1:25" x14ac:dyDescent="0.35">
      <c r="A3624" t="s">
        <v>41</v>
      </c>
      <c r="B3624" t="s">
        <v>54</v>
      </c>
      <c r="C3624" t="s">
        <v>55</v>
      </c>
      <c r="D3624" t="s">
        <v>1625</v>
      </c>
      <c r="E3624">
        <v>80892912</v>
      </c>
      <c r="F3624" t="s">
        <v>2448</v>
      </c>
      <c r="G3624" s="3">
        <v>47243</v>
      </c>
      <c r="H3624">
        <v>36</v>
      </c>
      <c r="I3624">
        <v>97</v>
      </c>
      <c r="J3624">
        <v>576</v>
      </c>
      <c r="K3624" s="4">
        <v>251786.88</v>
      </c>
      <c r="L3624" s="4">
        <v>1087.1428571428571</v>
      </c>
      <c r="M3624" s="4">
        <v>0.52982917214191849</v>
      </c>
      <c r="N3624" t="s">
        <v>25</v>
      </c>
      <c r="O3624" t="str">
        <f t="shared" si="560"/>
        <v>Low</v>
      </c>
      <c r="P3624" t="str">
        <f t="shared" si="561"/>
        <v>Low</v>
      </c>
      <c r="Q3624" t="str">
        <f t="shared" si="562"/>
        <v>Low</v>
      </c>
      <c r="R3624" t="s">
        <v>3309</v>
      </c>
      <c r="S3624" s="4">
        <f t="shared" ca="1" si="563"/>
        <v>1046</v>
      </c>
      <c r="T3624">
        <f t="shared" si="564"/>
        <v>1</v>
      </c>
      <c r="U3624">
        <f t="shared" si="565"/>
        <v>1</v>
      </c>
      <c r="V3624">
        <f t="shared" si="566"/>
        <v>1</v>
      </c>
      <c r="W3624">
        <f t="shared" si="567"/>
        <v>3</v>
      </c>
      <c r="X3624">
        <f t="shared" si="568"/>
        <v>1.2</v>
      </c>
      <c r="Y3624" t="str">
        <f t="shared" si="569"/>
        <v>Healthy</v>
      </c>
    </row>
    <row r="3625" spans="1:25" x14ac:dyDescent="0.35">
      <c r="A3625" t="s">
        <v>71</v>
      </c>
      <c r="B3625" t="s">
        <v>72</v>
      </c>
      <c r="C3625" t="s">
        <v>1228</v>
      </c>
      <c r="D3625" t="s">
        <v>2445</v>
      </c>
      <c r="E3625">
        <v>80887983</v>
      </c>
      <c r="F3625" t="s">
        <v>2446</v>
      </c>
      <c r="G3625" s="3">
        <v>47275</v>
      </c>
      <c r="H3625">
        <v>36</v>
      </c>
      <c r="I3625">
        <v>100</v>
      </c>
      <c r="J3625">
        <v>222</v>
      </c>
      <c r="K3625" s="4">
        <v>99453.78</v>
      </c>
      <c r="L3625" s="4">
        <v>5636.5714285714284</v>
      </c>
      <c r="M3625" s="4">
        <v>3.9385644768856448E-2</v>
      </c>
      <c r="N3625" t="s">
        <v>25</v>
      </c>
      <c r="O3625" t="str">
        <f t="shared" si="560"/>
        <v>Low</v>
      </c>
      <c r="P3625" t="str">
        <f t="shared" si="561"/>
        <v>Low</v>
      </c>
      <c r="Q3625" t="str">
        <f t="shared" si="562"/>
        <v>Low</v>
      </c>
      <c r="R3625" t="s">
        <v>3310</v>
      </c>
      <c r="S3625" s="4">
        <f t="shared" ca="1" si="563"/>
        <v>1078</v>
      </c>
      <c r="T3625">
        <f t="shared" si="564"/>
        <v>1</v>
      </c>
      <c r="U3625">
        <f t="shared" si="565"/>
        <v>1</v>
      </c>
      <c r="V3625">
        <f t="shared" si="566"/>
        <v>1</v>
      </c>
      <c r="W3625">
        <f t="shared" si="567"/>
        <v>2</v>
      </c>
      <c r="X3625">
        <f t="shared" si="568"/>
        <v>1.0999999999999999</v>
      </c>
      <c r="Y3625" t="str">
        <f t="shared" si="569"/>
        <v>Healthy</v>
      </c>
    </row>
    <row r="3626" spans="1:25" x14ac:dyDescent="0.35">
      <c r="A3626" t="s">
        <v>41</v>
      </c>
      <c r="B3626" t="s">
        <v>54</v>
      </c>
      <c r="C3626" t="s">
        <v>55</v>
      </c>
      <c r="D3626" t="s">
        <v>1625</v>
      </c>
      <c r="E3626">
        <v>80892912</v>
      </c>
      <c r="F3626" t="s">
        <v>2448</v>
      </c>
      <c r="G3626" s="3">
        <v>47210</v>
      </c>
      <c r="H3626">
        <v>36</v>
      </c>
      <c r="I3626">
        <v>94</v>
      </c>
      <c r="J3626">
        <v>981</v>
      </c>
      <c r="K3626" s="4">
        <v>439315.65</v>
      </c>
      <c r="L3626" s="4">
        <v>1087.1428571428571</v>
      </c>
      <c r="M3626" s="4">
        <v>0.90236530880420507</v>
      </c>
      <c r="N3626" t="s">
        <v>25</v>
      </c>
      <c r="O3626" t="str">
        <f t="shared" si="560"/>
        <v>Low</v>
      </c>
      <c r="P3626" t="str">
        <f t="shared" si="561"/>
        <v>Low</v>
      </c>
      <c r="Q3626" t="str">
        <f t="shared" si="562"/>
        <v>Low</v>
      </c>
      <c r="R3626" t="s">
        <v>3309</v>
      </c>
      <c r="S3626" s="4">
        <f t="shared" ca="1" si="563"/>
        <v>1013</v>
      </c>
      <c r="T3626">
        <f t="shared" si="564"/>
        <v>1</v>
      </c>
      <c r="U3626">
        <f t="shared" si="565"/>
        <v>1</v>
      </c>
      <c r="V3626">
        <f t="shared" si="566"/>
        <v>1</v>
      </c>
      <c r="W3626">
        <f t="shared" si="567"/>
        <v>3</v>
      </c>
      <c r="X3626">
        <f t="shared" si="568"/>
        <v>1.2</v>
      </c>
      <c r="Y3626" t="str">
        <f t="shared" si="569"/>
        <v>Healthy</v>
      </c>
    </row>
    <row r="3627" spans="1:25" x14ac:dyDescent="0.35">
      <c r="A3627" t="s">
        <v>71</v>
      </c>
      <c r="B3627" t="s">
        <v>72</v>
      </c>
      <c r="C3627" t="s">
        <v>1228</v>
      </c>
      <c r="D3627" t="s">
        <v>2445</v>
      </c>
      <c r="E3627">
        <v>80887983</v>
      </c>
      <c r="F3627" t="s">
        <v>2446</v>
      </c>
      <c r="G3627" s="3">
        <v>47225</v>
      </c>
      <c r="H3627">
        <v>36</v>
      </c>
      <c r="I3627">
        <v>96</v>
      </c>
      <c r="J3627">
        <v>114</v>
      </c>
      <c r="K3627" s="4">
        <v>51070.86</v>
      </c>
      <c r="L3627" s="4">
        <v>5636.5714285714284</v>
      </c>
      <c r="M3627" s="4">
        <v>2.0225060827250608E-2</v>
      </c>
      <c r="N3627" t="s">
        <v>25</v>
      </c>
      <c r="O3627" t="str">
        <f t="shared" si="560"/>
        <v>Low</v>
      </c>
      <c r="P3627" t="str">
        <f t="shared" si="561"/>
        <v>Low</v>
      </c>
      <c r="Q3627" t="str">
        <f t="shared" si="562"/>
        <v>Low</v>
      </c>
      <c r="R3627" t="s">
        <v>3317</v>
      </c>
      <c r="S3627" s="4">
        <f t="shared" ca="1" si="563"/>
        <v>1028</v>
      </c>
      <c r="T3627">
        <f t="shared" si="564"/>
        <v>1</v>
      </c>
      <c r="U3627">
        <f t="shared" si="565"/>
        <v>1</v>
      </c>
      <c r="V3627">
        <f t="shared" si="566"/>
        <v>1</v>
      </c>
      <c r="W3627">
        <f t="shared" si="567"/>
        <v>1</v>
      </c>
      <c r="X3627">
        <f t="shared" si="568"/>
        <v>0.99999999999999989</v>
      </c>
      <c r="Y3627" t="str">
        <f t="shared" si="569"/>
        <v>Healthy</v>
      </c>
    </row>
    <row r="3628" spans="1:25" x14ac:dyDescent="0.35">
      <c r="A3628" t="s">
        <v>41</v>
      </c>
      <c r="B3628" t="s">
        <v>54</v>
      </c>
      <c r="C3628" t="s">
        <v>55</v>
      </c>
      <c r="D3628" t="s">
        <v>498</v>
      </c>
      <c r="E3628">
        <v>80892895</v>
      </c>
      <c r="F3628" t="s">
        <v>2449</v>
      </c>
      <c r="G3628" s="3">
        <v>47264</v>
      </c>
      <c r="H3628">
        <v>36</v>
      </c>
      <c r="I3628">
        <v>99</v>
      </c>
      <c r="J3628">
        <v>23</v>
      </c>
      <c r="K3628" s="4">
        <v>8028.84</v>
      </c>
      <c r="L3628" s="4">
        <f>0</f>
        <v>0</v>
      </c>
      <c r="M3628" s="4">
        <f>999</f>
        <v>999</v>
      </c>
      <c r="N3628" t="s">
        <v>19</v>
      </c>
      <c r="O3628" t="str">
        <f t="shared" si="560"/>
        <v>Low</v>
      </c>
      <c r="P3628" t="str">
        <f t="shared" si="561"/>
        <v>High</v>
      </c>
      <c r="Q3628" t="str">
        <f t="shared" si="562"/>
        <v>High</v>
      </c>
      <c r="R3628" t="s">
        <v>3317</v>
      </c>
      <c r="S3628" s="4">
        <f t="shared" ca="1" si="563"/>
        <v>1067</v>
      </c>
      <c r="T3628">
        <f t="shared" si="564"/>
        <v>1</v>
      </c>
      <c r="U3628">
        <f t="shared" si="565"/>
        <v>3</v>
      </c>
      <c r="V3628">
        <f t="shared" si="566"/>
        <v>3</v>
      </c>
      <c r="W3628">
        <f t="shared" si="567"/>
        <v>1</v>
      </c>
      <c r="X3628">
        <f t="shared" si="568"/>
        <v>2</v>
      </c>
      <c r="Y3628" t="str">
        <f t="shared" si="569"/>
        <v>Monitor</v>
      </c>
    </row>
    <row r="3629" spans="1:25" x14ac:dyDescent="0.35">
      <c r="A3629" t="s">
        <v>71</v>
      </c>
      <c r="B3629" t="s">
        <v>72</v>
      </c>
      <c r="C3629" t="s">
        <v>1228</v>
      </c>
      <c r="D3629" t="s">
        <v>2445</v>
      </c>
      <c r="E3629">
        <v>80887983</v>
      </c>
      <c r="F3629" t="s">
        <v>2446</v>
      </c>
      <c r="G3629" s="3">
        <v>47214</v>
      </c>
      <c r="H3629">
        <v>36</v>
      </c>
      <c r="I3629">
        <v>95</v>
      </c>
      <c r="J3629">
        <v>47</v>
      </c>
      <c r="K3629" s="4">
        <v>21055.53</v>
      </c>
      <c r="L3629" s="4">
        <v>5636.5714285714284</v>
      </c>
      <c r="M3629" s="4">
        <v>8.3384022708840235E-3</v>
      </c>
      <c r="N3629" t="s">
        <v>25</v>
      </c>
      <c r="O3629" t="str">
        <f t="shared" si="560"/>
        <v>Low</v>
      </c>
      <c r="P3629" t="str">
        <f t="shared" si="561"/>
        <v>Low</v>
      </c>
      <c r="Q3629" t="str">
        <f t="shared" si="562"/>
        <v>Low</v>
      </c>
      <c r="R3629" t="s">
        <v>3317</v>
      </c>
      <c r="S3629" s="4">
        <f t="shared" ca="1" si="563"/>
        <v>1017</v>
      </c>
      <c r="T3629">
        <f t="shared" si="564"/>
        <v>1</v>
      </c>
      <c r="U3629">
        <f t="shared" si="565"/>
        <v>1</v>
      </c>
      <c r="V3629">
        <f t="shared" si="566"/>
        <v>1</v>
      </c>
      <c r="W3629">
        <f t="shared" si="567"/>
        <v>1</v>
      </c>
      <c r="X3629">
        <f t="shared" si="568"/>
        <v>0.99999999999999989</v>
      </c>
      <c r="Y3629" t="str">
        <f t="shared" si="569"/>
        <v>Healthy</v>
      </c>
    </row>
    <row r="3630" spans="1:25" x14ac:dyDescent="0.35">
      <c r="A3630" t="s">
        <v>179</v>
      </c>
      <c r="B3630" t="s">
        <v>223</v>
      </c>
      <c r="C3630" t="s">
        <v>357</v>
      </c>
      <c r="D3630" t="s">
        <v>2450</v>
      </c>
      <c r="E3630">
        <v>83907703</v>
      </c>
      <c r="F3630" t="s">
        <v>2451</v>
      </c>
      <c r="G3630" s="3">
        <v>46721</v>
      </c>
      <c r="H3630">
        <v>18</v>
      </c>
      <c r="I3630">
        <v>98</v>
      </c>
      <c r="J3630">
        <v>749</v>
      </c>
      <c r="K3630" s="4">
        <v>199061.73</v>
      </c>
      <c r="L3630" s="4">
        <v>4204.5714285714284</v>
      </c>
      <c r="M3630" s="4">
        <v>0.17813944006523513</v>
      </c>
      <c r="N3630" t="s">
        <v>25</v>
      </c>
      <c r="O3630" t="str">
        <f t="shared" si="560"/>
        <v>Low</v>
      </c>
      <c r="P3630" t="str">
        <f t="shared" si="561"/>
        <v>Low</v>
      </c>
      <c r="Q3630" t="str">
        <f t="shared" si="562"/>
        <v>Low</v>
      </c>
      <c r="R3630" t="s">
        <v>3309</v>
      </c>
      <c r="S3630" s="4">
        <f t="shared" ca="1" si="563"/>
        <v>524</v>
      </c>
      <c r="T3630">
        <f t="shared" si="564"/>
        <v>1</v>
      </c>
      <c r="U3630">
        <f t="shared" si="565"/>
        <v>1</v>
      </c>
      <c r="V3630">
        <f t="shared" si="566"/>
        <v>1</v>
      </c>
      <c r="W3630">
        <f t="shared" si="567"/>
        <v>3</v>
      </c>
      <c r="X3630">
        <f t="shared" si="568"/>
        <v>1.2</v>
      </c>
      <c r="Y3630" t="str">
        <f t="shared" si="569"/>
        <v>Healthy</v>
      </c>
    </row>
    <row r="3631" spans="1:25" x14ac:dyDescent="0.35">
      <c r="A3631" t="s">
        <v>71</v>
      </c>
      <c r="B3631" t="s">
        <v>72</v>
      </c>
      <c r="C3631" t="s">
        <v>1228</v>
      </c>
      <c r="D3631" t="s">
        <v>2445</v>
      </c>
      <c r="E3631">
        <v>80887983</v>
      </c>
      <c r="F3631" t="s">
        <v>2446</v>
      </c>
      <c r="G3631" s="3">
        <v>47266</v>
      </c>
      <c r="H3631">
        <v>36</v>
      </c>
      <c r="I3631">
        <v>99</v>
      </c>
      <c r="J3631">
        <v>84</v>
      </c>
      <c r="K3631" s="4">
        <v>37631.160000000003</v>
      </c>
      <c r="L3631" s="4">
        <v>5636.5714285714284</v>
      </c>
      <c r="M3631" s="4">
        <v>1.4902676399026765E-2</v>
      </c>
      <c r="N3631" t="s">
        <v>25</v>
      </c>
      <c r="O3631" t="str">
        <f t="shared" si="560"/>
        <v>Low</v>
      </c>
      <c r="P3631" t="str">
        <f t="shared" si="561"/>
        <v>Low</v>
      </c>
      <c r="Q3631" t="str">
        <f t="shared" si="562"/>
        <v>Low</v>
      </c>
      <c r="R3631" t="s">
        <v>3317</v>
      </c>
      <c r="S3631" s="4">
        <f t="shared" ca="1" si="563"/>
        <v>1069</v>
      </c>
      <c r="T3631">
        <f t="shared" si="564"/>
        <v>1</v>
      </c>
      <c r="U3631">
        <f t="shared" si="565"/>
        <v>1</v>
      </c>
      <c r="V3631">
        <f t="shared" si="566"/>
        <v>1</v>
      </c>
      <c r="W3631">
        <f t="shared" si="567"/>
        <v>1</v>
      </c>
      <c r="X3631">
        <f t="shared" si="568"/>
        <v>0.99999999999999989</v>
      </c>
      <c r="Y3631" t="str">
        <f t="shared" si="569"/>
        <v>Healthy</v>
      </c>
    </row>
    <row r="3632" spans="1:25" x14ac:dyDescent="0.35">
      <c r="A3632" t="s">
        <v>71</v>
      </c>
      <c r="B3632" t="s">
        <v>72</v>
      </c>
      <c r="C3632" t="s">
        <v>1228</v>
      </c>
      <c r="D3632" t="s">
        <v>2445</v>
      </c>
      <c r="E3632">
        <v>80887983</v>
      </c>
      <c r="F3632" t="s">
        <v>2446</v>
      </c>
      <c r="G3632" s="3">
        <v>47265</v>
      </c>
      <c r="H3632">
        <v>36</v>
      </c>
      <c r="I3632">
        <v>99</v>
      </c>
      <c r="J3632">
        <v>1002</v>
      </c>
      <c r="K3632" s="4">
        <v>448885.98</v>
      </c>
      <c r="L3632" s="4">
        <v>5636.5714285714284</v>
      </c>
      <c r="M3632" s="4">
        <v>0.17776763990267641</v>
      </c>
      <c r="N3632" t="s">
        <v>25</v>
      </c>
      <c r="O3632" t="str">
        <f t="shared" si="560"/>
        <v>Low</v>
      </c>
      <c r="P3632" t="str">
        <f t="shared" si="561"/>
        <v>Low</v>
      </c>
      <c r="Q3632" t="str">
        <f t="shared" si="562"/>
        <v>Low</v>
      </c>
      <c r="R3632" t="s">
        <v>3309</v>
      </c>
      <c r="S3632" s="4">
        <f t="shared" ca="1" si="563"/>
        <v>1068</v>
      </c>
      <c r="T3632">
        <f t="shared" si="564"/>
        <v>1</v>
      </c>
      <c r="U3632">
        <f t="shared" si="565"/>
        <v>1</v>
      </c>
      <c r="V3632">
        <f t="shared" si="566"/>
        <v>1</v>
      </c>
      <c r="W3632">
        <f t="shared" si="567"/>
        <v>3</v>
      </c>
      <c r="X3632">
        <f t="shared" si="568"/>
        <v>1.2</v>
      </c>
      <c r="Y3632" t="str">
        <f t="shared" si="569"/>
        <v>Healthy</v>
      </c>
    </row>
    <row r="3633" spans="1:25" x14ac:dyDescent="0.35">
      <c r="A3633" t="s">
        <v>20</v>
      </c>
      <c r="B3633" t="s">
        <v>21</v>
      </c>
      <c r="C3633" t="s">
        <v>51</v>
      </c>
      <c r="D3633" t="s">
        <v>2452</v>
      </c>
      <c r="E3633">
        <v>80895276</v>
      </c>
      <c r="F3633" t="s">
        <v>2453</v>
      </c>
      <c r="G3633" s="3">
        <v>47212</v>
      </c>
      <c r="H3633">
        <v>36</v>
      </c>
      <c r="I3633">
        <v>94</v>
      </c>
      <c r="J3633">
        <v>13</v>
      </c>
      <c r="K3633" s="4">
        <v>2495.87</v>
      </c>
      <c r="L3633" s="4">
        <v>86.857142857142861</v>
      </c>
      <c r="M3633" s="4">
        <v>0.14967105263157893</v>
      </c>
      <c r="N3633" t="s">
        <v>25</v>
      </c>
      <c r="O3633" t="str">
        <f t="shared" si="560"/>
        <v>Low</v>
      </c>
      <c r="P3633" t="str">
        <f t="shared" si="561"/>
        <v>Low</v>
      </c>
      <c r="Q3633" t="str">
        <f t="shared" si="562"/>
        <v>Low</v>
      </c>
      <c r="R3633" t="s">
        <v>3317</v>
      </c>
      <c r="S3633" s="4">
        <f t="shared" ca="1" si="563"/>
        <v>1015</v>
      </c>
      <c r="T3633">
        <f t="shared" si="564"/>
        <v>1</v>
      </c>
      <c r="U3633">
        <f t="shared" si="565"/>
        <v>1</v>
      </c>
      <c r="V3633">
        <f t="shared" si="566"/>
        <v>1</v>
      </c>
      <c r="W3633">
        <f t="shared" si="567"/>
        <v>1</v>
      </c>
      <c r="X3633">
        <f t="shared" si="568"/>
        <v>0.99999999999999989</v>
      </c>
      <c r="Y3633" t="str">
        <f t="shared" si="569"/>
        <v>Healthy</v>
      </c>
    </row>
    <row r="3634" spans="1:25" x14ac:dyDescent="0.35">
      <c r="A3634" t="s">
        <v>20</v>
      </c>
      <c r="B3634" t="s">
        <v>21</v>
      </c>
      <c r="C3634" t="s">
        <v>51</v>
      </c>
      <c r="D3634" t="s">
        <v>2452</v>
      </c>
      <c r="E3634">
        <v>80895276</v>
      </c>
      <c r="F3634" t="s">
        <v>2453</v>
      </c>
      <c r="G3634" s="3">
        <v>47220</v>
      </c>
      <c r="H3634">
        <v>36</v>
      </c>
      <c r="I3634">
        <v>95</v>
      </c>
      <c r="J3634">
        <v>65</v>
      </c>
      <c r="K3634" s="4">
        <v>12479.35</v>
      </c>
      <c r="L3634" s="4">
        <v>86.857142857142861</v>
      </c>
      <c r="M3634" s="4">
        <v>0.74835526315789469</v>
      </c>
      <c r="N3634" t="s">
        <v>25</v>
      </c>
      <c r="O3634" t="str">
        <f t="shared" si="560"/>
        <v>Low</v>
      </c>
      <c r="P3634" t="str">
        <f t="shared" si="561"/>
        <v>Low</v>
      </c>
      <c r="Q3634" t="str">
        <f t="shared" si="562"/>
        <v>Low</v>
      </c>
      <c r="R3634" t="s">
        <v>3317</v>
      </c>
      <c r="S3634" s="4">
        <f t="shared" ca="1" si="563"/>
        <v>1023</v>
      </c>
      <c r="T3634">
        <f t="shared" si="564"/>
        <v>1</v>
      </c>
      <c r="U3634">
        <f t="shared" si="565"/>
        <v>1</v>
      </c>
      <c r="V3634">
        <f t="shared" si="566"/>
        <v>1</v>
      </c>
      <c r="W3634">
        <f t="shared" si="567"/>
        <v>1</v>
      </c>
      <c r="X3634">
        <f t="shared" si="568"/>
        <v>0.99999999999999989</v>
      </c>
      <c r="Y3634" t="str">
        <f t="shared" si="569"/>
        <v>Healthy</v>
      </c>
    </row>
    <row r="3635" spans="1:25" x14ac:dyDescent="0.35">
      <c r="A3635" t="s">
        <v>20</v>
      </c>
      <c r="B3635" t="s">
        <v>21</v>
      </c>
      <c r="C3635" t="s">
        <v>51</v>
      </c>
      <c r="D3635" t="s">
        <v>2452</v>
      </c>
      <c r="E3635">
        <v>80895276</v>
      </c>
      <c r="F3635" t="s">
        <v>2453</v>
      </c>
      <c r="G3635" s="3">
        <v>47211</v>
      </c>
      <c r="H3635">
        <v>36</v>
      </c>
      <c r="I3635">
        <v>94</v>
      </c>
      <c r="J3635">
        <v>2</v>
      </c>
      <c r="K3635" s="4">
        <v>383.98</v>
      </c>
      <c r="L3635" s="4">
        <v>86.857142857142861</v>
      </c>
      <c r="M3635" s="4">
        <v>2.3026315789473683E-2</v>
      </c>
      <c r="N3635" t="s">
        <v>25</v>
      </c>
      <c r="O3635" t="str">
        <f t="shared" si="560"/>
        <v>Low</v>
      </c>
      <c r="P3635" t="str">
        <f t="shared" si="561"/>
        <v>Low</v>
      </c>
      <c r="Q3635" t="str">
        <f t="shared" si="562"/>
        <v>Low</v>
      </c>
      <c r="R3635" t="s">
        <v>3317</v>
      </c>
      <c r="S3635" s="4">
        <f t="shared" ca="1" si="563"/>
        <v>1014</v>
      </c>
      <c r="T3635">
        <f t="shared" si="564"/>
        <v>1</v>
      </c>
      <c r="U3635">
        <f t="shared" si="565"/>
        <v>1</v>
      </c>
      <c r="V3635">
        <f t="shared" si="566"/>
        <v>1</v>
      </c>
      <c r="W3635">
        <f t="shared" si="567"/>
        <v>1</v>
      </c>
      <c r="X3635">
        <f t="shared" si="568"/>
        <v>0.99999999999999989</v>
      </c>
      <c r="Y3635" t="str">
        <f t="shared" si="569"/>
        <v>Healthy</v>
      </c>
    </row>
    <row r="3636" spans="1:25" x14ac:dyDescent="0.35">
      <c r="A3636" t="s">
        <v>71</v>
      </c>
      <c r="B3636" t="s">
        <v>72</v>
      </c>
      <c r="C3636" t="s">
        <v>1228</v>
      </c>
      <c r="D3636" t="s">
        <v>1229</v>
      </c>
      <c r="E3636">
        <v>80887985</v>
      </c>
      <c r="F3636" t="s">
        <v>2454</v>
      </c>
      <c r="G3636" s="3">
        <v>47245</v>
      </c>
      <c r="H3636">
        <v>36</v>
      </c>
      <c r="I3636">
        <v>98</v>
      </c>
      <c r="J3636">
        <v>132</v>
      </c>
      <c r="K3636" s="4">
        <v>61822.62</v>
      </c>
      <c r="L3636" s="4">
        <v>6197.1428571428569</v>
      </c>
      <c r="M3636" s="4">
        <v>2.1300138312586446E-2</v>
      </c>
      <c r="N3636" t="s">
        <v>25</v>
      </c>
      <c r="O3636" t="str">
        <f t="shared" si="560"/>
        <v>Low</v>
      </c>
      <c r="P3636" t="str">
        <f t="shared" si="561"/>
        <v>Low</v>
      </c>
      <c r="Q3636" t="str">
        <f t="shared" si="562"/>
        <v>Low</v>
      </c>
      <c r="R3636" t="s">
        <v>3317</v>
      </c>
      <c r="S3636" s="4">
        <f t="shared" ca="1" si="563"/>
        <v>1048</v>
      </c>
      <c r="T3636">
        <f t="shared" si="564"/>
        <v>1</v>
      </c>
      <c r="U3636">
        <f t="shared" si="565"/>
        <v>1</v>
      </c>
      <c r="V3636">
        <f t="shared" si="566"/>
        <v>1</v>
      </c>
      <c r="W3636">
        <f t="shared" si="567"/>
        <v>1</v>
      </c>
      <c r="X3636">
        <f t="shared" si="568"/>
        <v>0.99999999999999989</v>
      </c>
      <c r="Y3636" t="str">
        <f t="shared" si="569"/>
        <v>Healthy</v>
      </c>
    </row>
    <row r="3637" spans="1:25" x14ac:dyDescent="0.35">
      <c r="A3637" t="s">
        <v>71</v>
      </c>
      <c r="B3637" t="s">
        <v>72</v>
      </c>
      <c r="C3637" t="s">
        <v>1228</v>
      </c>
      <c r="D3637" t="s">
        <v>1229</v>
      </c>
      <c r="E3637">
        <v>80887985</v>
      </c>
      <c r="F3637" t="s">
        <v>2454</v>
      </c>
      <c r="G3637" s="3">
        <v>47222</v>
      </c>
      <c r="H3637">
        <v>36</v>
      </c>
      <c r="I3637">
        <v>95</v>
      </c>
      <c r="J3637">
        <v>42</v>
      </c>
      <c r="K3637" s="4">
        <v>18815.580000000002</v>
      </c>
      <c r="L3637" s="4">
        <v>6197.1428571428569</v>
      </c>
      <c r="M3637" s="4">
        <v>6.7773167358229601E-3</v>
      </c>
      <c r="N3637" t="s">
        <v>25</v>
      </c>
      <c r="O3637" t="str">
        <f t="shared" si="560"/>
        <v>Low</v>
      </c>
      <c r="P3637" t="str">
        <f t="shared" si="561"/>
        <v>Low</v>
      </c>
      <c r="Q3637" t="str">
        <f t="shared" si="562"/>
        <v>Low</v>
      </c>
      <c r="R3637" t="s">
        <v>3317</v>
      </c>
      <c r="S3637" s="4">
        <f t="shared" ca="1" si="563"/>
        <v>1025</v>
      </c>
      <c r="T3637">
        <f t="shared" si="564"/>
        <v>1</v>
      </c>
      <c r="U3637">
        <f t="shared" si="565"/>
        <v>1</v>
      </c>
      <c r="V3637">
        <f t="shared" si="566"/>
        <v>1</v>
      </c>
      <c r="W3637">
        <f t="shared" si="567"/>
        <v>1</v>
      </c>
      <c r="X3637">
        <f t="shared" si="568"/>
        <v>0.99999999999999989</v>
      </c>
      <c r="Y3637" t="str">
        <f t="shared" si="569"/>
        <v>Healthy</v>
      </c>
    </row>
    <row r="3638" spans="1:25" x14ac:dyDescent="0.35">
      <c r="A3638" t="s">
        <v>179</v>
      </c>
      <c r="B3638" t="s">
        <v>223</v>
      </c>
      <c r="C3638" t="s">
        <v>357</v>
      </c>
      <c r="D3638" t="s">
        <v>2450</v>
      </c>
      <c r="E3638">
        <v>83907703</v>
      </c>
      <c r="F3638" t="s">
        <v>2451</v>
      </c>
      <c r="G3638" s="3">
        <v>46703</v>
      </c>
      <c r="H3638">
        <v>18</v>
      </c>
      <c r="I3638">
        <v>95</v>
      </c>
      <c r="J3638">
        <v>528</v>
      </c>
      <c r="K3638" s="4">
        <v>140326.56</v>
      </c>
      <c r="L3638" s="4">
        <v>4204.5714285714284</v>
      </c>
      <c r="M3638" s="4">
        <v>0.12557760260940473</v>
      </c>
      <c r="N3638" t="s">
        <v>25</v>
      </c>
      <c r="O3638" t="str">
        <f t="shared" si="560"/>
        <v>Low</v>
      </c>
      <c r="P3638" t="str">
        <f t="shared" si="561"/>
        <v>Low</v>
      </c>
      <c r="Q3638" t="str">
        <f t="shared" si="562"/>
        <v>Low</v>
      </c>
      <c r="R3638" t="s">
        <v>3309</v>
      </c>
      <c r="S3638" s="4">
        <f t="shared" ca="1" si="563"/>
        <v>506</v>
      </c>
      <c r="T3638">
        <f t="shared" si="564"/>
        <v>1</v>
      </c>
      <c r="U3638">
        <f t="shared" si="565"/>
        <v>1</v>
      </c>
      <c r="V3638">
        <f t="shared" si="566"/>
        <v>1</v>
      </c>
      <c r="W3638">
        <f t="shared" si="567"/>
        <v>3</v>
      </c>
      <c r="X3638">
        <f t="shared" si="568"/>
        <v>1.2</v>
      </c>
      <c r="Y3638" t="str">
        <f t="shared" si="569"/>
        <v>Healthy</v>
      </c>
    </row>
    <row r="3639" spans="1:25" x14ac:dyDescent="0.35">
      <c r="A3639" t="s">
        <v>71</v>
      </c>
      <c r="B3639" t="s">
        <v>72</v>
      </c>
      <c r="C3639" t="s">
        <v>1228</v>
      </c>
      <c r="D3639" t="s">
        <v>1229</v>
      </c>
      <c r="E3639">
        <v>80887985</v>
      </c>
      <c r="F3639" t="s">
        <v>2454</v>
      </c>
      <c r="G3639" s="3">
        <v>47250</v>
      </c>
      <c r="H3639">
        <v>36</v>
      </c>
      <c r="I3639">
        <v>98</v>
      </c>
      <c r="J3639">
        <v>222</v>
      </c>
      <c r="K3639" s="4">
        <v>99453.78</v>
      </c>
      <c r="L3639" s="4">
        <v>6197.1428571428569</v>
      </c>
      <c r="M3639" s="4">
        <v>3.5822959889349935E-2</v>
      </c>
      <c r="N3639" t="s">
        <v>25</v>
      </c>
      <c r="O3639" t="str">
        <f t="shared" si="560"/>
        <v>Low</v>
      </c>
      <c r="P3639" t="str">
        <f t="shared" si="561"/>
        <v>Low</v>
      </c>
      <c r="Q3639" t="str">
        <f t="shared" si="562"/>
        <v>Low</v>
      </c>
      <c r="R3639" t="s">
        <v>3310</v>
      </c>
      <c r="S3639" s="4">
        <f t="shared" ca="1" si="563"/>
        <v>1053</v>
      </c>
      <c r="T3639">
        <f t="shared" si="564"/>
        <v>1</v>
      </c>
      <c r="U3639">
        <f t="shared" si="565"/>
        <v>1</v>
      </c>
      <c r="V3639">
        <f t="shared" si="566"/>
        <v>1</v>
      </c>
      <c r="W3639">
        <f t="shared" si="567"/>
        <v>2</v>
      </c>
      <c r="X3639">
        <f t="shared" si="568"/>
        <v>1.0999999999999999</v>
      </c>
      <c r="Y3639" t="str">
        <f t="shared" si="569"/>
        <v>Healthy</v>
      </c>
    </row>
    <row r="3640" spans="1:25" x14ac:dyDescent="0.35">
      <c r="A3640" t="s">
        <v>71</v>
      </c>
      <c r="B3640" t="s">
        <v>72</v>
      </c>
      <c r="C3640" t="s">
        <v>1228</v>
      </c>
      <c r="D3640" t="s">
        <v>1229</v>
      </c>
      <c r="E3640">
        <v>80887985</v>
      </c>
      <c r="F3640" t="s">
        <v>2454</v>
      </c>
      <c r="G3640" s="3">
        <v>47275</v>
      </c>
      <c r="H3640">
        <v>36</v>
      </c>
      <c r="I3640">
        <v>100</v>
      </c>
      <c r="J3640">
        <v>186</v>
      </c>
      <c r="K3640" s="4">
        <v>83326.14</v>
      </c>
      <c r="L3640" s="4">
        <v>6197.1428571428569</v>
      </c>
      <c r="M3640" s="4">
        <v>3.0013831258644538E-2</v>
      </c>
      <c r="N3640" t="s">
        <v>25</v>
      </c>
      <c r="O3640" t="str">
        <f t="shared" si="560"/>
        <v>Low</v>
      </c>
      <c r="P3640" t="str">
        <f t="shared" si="561"/>
        <v>Low</v>
      </c>
      <c r="Q3640" t="str">
        <f t="shared" si="562"/>
        <v>Low</v>
      </c>
      <c r="R3640" t="s">
        <v>3310</v>
      </c>
      <c r="S3640" s="4">
        <f t="shared" ca="1" si="563"/>
        <v>1078</v>
      </c>
      <c r="T3640">
        <f t="shared" si="564"/>
        <v>1</v>
      </c>
      <c r="U3640">
        <f t="shared" si="565"/>
        <v>1</v>
      </c>
      <c r="V3640">
        <f t="shared" si="566"/>
        <v>1</v>
      </c>
      <c r="W3640">
        <f t="shared" si="567"/>
        <v>2</v>
      </c>
      <c r="X3640">
        <f t="shared" si="568"/>
        <v>1.0999999999999999</v>
      </c>
      <c r="Y3640" t="str">
        <f t="shared" si="569"/>
        <v>Healthy</v>
      </c>
    </row>
    <row r="3641" spans="1:25" x14ac:dyDescent="0.35">
      <c r="A3641" t="s">
        <v>71</v>
      </c>
      <c r="B3641" t="s">
        <v>72</v>
      </c>
      <c r="C3641" t="s">
        <v>1228</v>
      </c>
      <c r="D3641" t="s">
        <v>1229</v>
      </c>
      <c r="E3641">
        <v>80887985</v>
      </c>
      <c r="F3641" t="s">
        <v>2454</v>
      </c>
      <c r="G3641" s="3">
        <v>47217</v>
      </c>
      <c r="H3641">
        <v>36</v>
      </c>
      <c r="I3641">
        <v>95</v>
      </c>
      <c r="J3641">
        <v>30</v>
      </c>
      <c r="K3641" s="4">
        <v>13439.7</v>
      </c>
      <c r="L3641" s="4">
        <v>6197.1428571428569</v>
      </c>
      <c r="M3641" s="4">
        <v>4.8409405255878286E-3</v>
      </c>
      <c r="N3641" t="s">
        <v>25</v>
      </c>
      <c r="O3641" t="str">
        <f t="shared" si="560"/>
        <v>Low</v>
      </c>
      <c r="P3641" t="str">
        <f t="shared" si="561"/>
        <v>Low</v>
      </c>
      <c r="Q3641" t="str">
        <f t="shared" si="562"/>
        <v>Low</v>
      </c>
      <c r="R3641" t="s">
        <v>3317</v>
      </c>
      <c r="S3641" s="4">
        <f t="shared" ca="1" si="563"/>
        <v>1020</v>
      </c>
      <c r="T3641">
        <f t="shared" si="564"/>
        <v>1</v>
      </c>
      <c r="U3641">
        <f t="shared" si="565"/>
        <v>1</v>
      </c>
      <c r="V3641">
        <f t="shared" si="566"/>
        <v>1</v>
      </c>
      <c r="W3641">
        <f t="shared" si="567"/>
        <v>1</v>
      </c>
      <c r="X3641">
        <f t="shared" si="568"/>
        <v>0.99999999999999989</v>
      </c>
      <c r="Y3641" t="str">
        <f t="shared" si="569"/>
        <v>Healthy</v>
      </c>
    </row>
    <row r="3642" spans="1:25" x14ac:dyDescent="0.35">
      <c r="A3642" t="s">
        <v>14</v>
      </c>
      <c r="B3642" t="s">
        <v>343</v>
      </c>
      <c r="C3642" t="s">
        <v>344</v>
      </c>
      <c r="D3642" t="s">
        <v>345</v>
      </c>
      <c r="E3642">
        <v>80875775</v>
      </c>
      <c r="F3642" t="s">
        <v>2455</v>
      </c>
      <c r="G3642" s="3">
        <v>47952</v>
      </c>
      <c r="H3642">
        <v>60</v>
      </c>
      <c r="I3642">
        <v>98</v>
      </c>
      <c r="J3642">
        <v>4</v>
      </c>
      <c r="K3642" s="4">
        <v>5119.84</v>
      </c>
      <c r="L3642" s="4">
        <v>137.28571428571428</v>
      </c>
      <c r="M3642" s="4">
        <v>2.9136316337148804E-2</v>
      </c>
      <c r="N3642" t="s">
        <v>25</v>
      </c>
      <c r="O3642" t="str">
        <f t="shared" si="560"/>
        <v>Low</v>
      </c>
      <c r="P3642" t="str">
        <f t="shared" si="561"/>
        <v>Low</v>
      </c>
      <c r="Q3642" t="str">
        <f t="shared" si="562"/>
        <v>Low</v>
      </c>
      <c r="R3642" t="s">
        <v>3317</v>
      </c>
      <c r="S3642" s="4">
        <f t="shared" ca="1" si="563"/>
        <v>1755</v>
      </c>
      <c r="T3642">
        <f t="shared" si="564"/>
        <v>1</v>
      </c>
      <c r="U3642">
        <f t="shared" si="565"/>
        <v>1</v>
      </c>
      <c r="V3642">
        <f t="shared" si="566"/>
        <v>1</v>
      </c>
      <c r="W3642">
        <f t="shared" si="567"/>
        <v>1</v>
      </c>
      <c r="X3642">
        <f t="shared" si="568"/>
        <v>0.99999999999999989</v>
      </c>
      <c r="Y3642" t="str">
        <f t="shared" si="569"/>
        <v>Healthy</v>
      </c>
    </row>
    <row r="3643" spans="1:25" x14ac:dyDescent="0.35">
      <c r="A3643" t="s">
        <v>71</v>
      </c>
      <c r="B3643" t="s">
        <v>72</v>
      </c>
      <c r="C3643" t="s">
        <v>1228</v>
      </c>
      <c r="D3643" t="s">
        <v>1229</v>
      </c>
      <c r="E3643">
        <v>80887985</v>
      </c>
      <c r="F3643" t="s">
        <v>2454</v>
      </c>
      <c r="G3643" s="3">
        <v>47271</v>
      </c>
      <c r="H3643">
        <v>36</v>
      </c>
      <c r="I3643">
        <v>100</v>
      </c>
      <c r="J3643">
        <v>246</v>
      </c>
      <c r="K3643" s="4">
        <v>110205.54</v>
      </c>
      <c r="L3643" s="4">
        <v>6197.1428571428569</v>
      </c>
      <c r="M3643" s="4">
        <v>3.9695712309820198E-2</v>
      </c>
      <c r="N3643" t="s">
        <v>25</v>
      </c>
      <c r="O3643" t="str">
        <f t="shared" si="560"/>
        <v>Low</v>
      </c>
      <c r="P3643" t="str">
        <f t="shared" si="561"/>
        <v>Low</v>
      </c>
      <c r="Q3643" t="str">
        <f t="shared" si="562"/>
        <v>Low</v>
      </c>
      <c r="R3643" t="s">
        <v>3310</v>
      </c>
      <c r="S3643" s="4">
        <f t="shared" ca="1" si="563"/>
        <v>1074</v>
      </c>
      <c r="T3643">
        <f t="shared" si="564"/>
        <v>1</v>
      </c>
      <c r="U3643">
        <f t="shared" si="565"/>
        <v>1</v>
      </c>
      <c r="V3643">
        <f t="shared" si="566"/>
        <v>1</v>
      </c>
      <c r="W3643">
        <f t="shared" si="567"/>
        <v>2</v>
      </c>
      <c r="X3643">
        <f t="shared" si="568"/>
        <v>1.0999999999999999</v>
      </c>
      <c r="Y3643" t="str">
        <f t="shared" si="569"/>
        <v>Healthy</v>
      </c>
    </row>
    <row r="3644" spans="1:25" x14ac:dyDescent="0.35">
      <c r="A3644" t="s">
        <v>14</v>
      </c>
      <c r="B3644" t="s">
        <v>343</v>
      </c>
      <c r="C3644" t="s">
        <v>344</v>
      </c>
      <c r="D3644" t="s">
        <v>345</v>
      </c>
      <c r="E3644">
        <v>80875775</v>
      </c>
      <c r="F3644" t="s">
        <v>2455</v>
      </c>
      <c r="G3644" s="3">
        <v>47929</v>
      </c>
      <c r="H3644">
        <v>60</v>
      </c>
      <c r="I3644">
        <v>97</v>
      </c>
      <c r="J3644">
        <v>1047</v>
      </c>
      <c r="K3644" s="4">
        <v>1340118.1200000001</v>
      </c>
      <c r="L3644" s="4">
        <v>137.28571428571428</v>
      </c>
      <c r="M3644" s="4">
        <v>7.6264308012486994</v>
      </c>
      <c r="N3644" t="s">
        <v>19</v>
      </c>
      <c r="O3644" t="str">
        <f t="shared" si="560"/>
        <v>Low</v>
      </c>
      <c r="P3644" t="str">
        <f t="shared" si="561"/>
        <v>Medium</v>
      </c>
      <c r="Q3644" t="str">
        <f t="shared" si="562"/>
        <v>Low</v>
      </c>
      <c r="R3644" t="s">
        <v>3309</v>
      </c>
      <c r="S3644" s="4">
        <f t="shared" ca="1" si="563"/>
        <v>1732</v>
      </c>
      <c r="T3644">
        <f t="shared" si="564"/>
        <v>1</v>
      </c>
      <c r="U3644">
        <f t="shared" si="565"/>
        <v>2</v>
      </c>
      <c r="V3644">
        <f t="shared" si="566"/>
        <v>1</v>
      </c>
      <c r="W3644">
        <f t="shared" si="567"/>
        <v>3</v>
      </c>
      <c r="X3644">
        <f t="shared" si="568"/>
        <v>1.5</v>
      </c>
      <c r="Y3644" t="str">
        <f t="shared" si="569"/>
        <v>Healthy</v>
      </c>
    </row>
    <row r="3645" spans="1:25" x14ac:dyDescent="0.35">
      <c r="A3645" t="s">
        <v>71</v>
      </c>
      <c r="B3645" t="s">
        <v>72</v>
      </c>
      <c r="C3645" t="s">
        <v>1228</v>
      </c>
      <c r="D3645" t="s">
        <v>1229</v>
      </c>
      <c r="E3645">
        <v>80887985</v>
      </c>
      <c r="F3645" t="s">
        <v>2454</v>
      </c>
      <c r="G3645" s="3">
        <v>47278</v>
      </c>
      <c r="H3645">
        <v>36</v>
      </c>
      <c r="I3645">
        <v>100</v>
      </c>
      <c r="J3645">
        <v>180</v>
      </c>
      <c r="K3645" s="4">
        <v>80638.2</v>
      </c>
      <c r="L3645" s="4">
        <v>6197.1428571428569</v>
      </c>
      <c r="M3645" s="4">
        <v>2.9045643153526972E-2</v>
      </c>
      <c r="N3645" t="s">
        <v>25</v>
      </c>
      <c r="O3645" t="str">
        <f t="shared" si="560"/>
        <v>Low</v>
      </c>
      <c r="P3645" t="str">
        <f t="shared" si="561"/>
        <v>Low</v>
      </c>
      <c r="Q3645" t="str">
        <f t="shared" si="562"/>
        <v>Low</v>
      </c>
      <c r="R3645" t="s">
        <v>3310</v>
      </c>
      <c r="S3645" s="4">
        <f t="shared" ca="1" si="563"/>
        <v>1081</v>
      </c>
      <c r="T3645">
        <f t="shared" si="564"/>
        <v>1</v>
      </c>
      <c r="U3645">
        <f t="shared" si="565"/>
        <v>1</v>
      </c>
      <c r="V3645">
        <f t="shared" si="566"/>
        <v>1</v>
      </c>
      <c r="W3645">
        <f t="shared" si="567"/>
        <v>2</v>
      </c>
      <c r="X3645">
        <f t="shared" si="568"/>
        <v>1.0999999999999999</v>
      </c>
      <c r="Y3645" t="str">
        <f t="shared" si="569"/>
        <v>Healthy</v>
      </c>
    </row>
    <row r="3646" spans="1:25" x14ac:dyDescent="0.35">
      <c r="A3646" t="s">
        <v>90</v>
      </c>
      <c r="B3646" t="s">
        <v>217</v>
      </c>
      <c r="C3646" t="s">
        <v>542</v>
      </c>
      <c r="D3646" t="s">
        <v>2456</v>
      </c>
      <c r="E3646">
        <v>80888577</v>
      </c>
      <c r="F3646" t="s">
        <v>2457</v>
      </c>
      <c r="G3646" s="3">
        <v>46889</v>
      </c>
      <c r="H3646">
        <v>24</v>
      </c>
      <c r="I3646">
        <v>97</v>
      </c>
      <c r="J3646">
        <v>49</v>
      </c>
      <c r="K3646" s="4">
        <v>6780.13</v>
      </c>
      <c r="L3646" s="4">
        <v>6451.2857142857147</v>
      </c>
      <c r="M3646" s="4">
        <v>7.5953851945348653E-3</v>
      </c>
      <c r="N3646" t="s">
        <v>25</v>
      </c>
      <c r="O3646" t="str">
        <f t="shared" si="560"/>
        <v>Low</v>
      </c>
      <c r="P3646" t="str">
        <f t="shared" si="561"/>
        <v>Low</v>
      </c>
      <c r="Q3646" t="str">
        <f t="shared" si="562"/>
        <v>Low</v>
      </c>
      <c r="R3646" t="s">
        <v>3317</v>
      </c>
      <c r="S3646" s="4">
        <f t="shared" ca="1" si="563"/>
        <v>692</v>
      </c>
      <c r="T3646">
        <f t="shared" si="564"/>
        <v>1</v>
      </c>
      <c r="U3646">
        <f t="shared" si="565"/>
        <v>1</v>
      </c>
      <c r="V3646">
        <f t="shared" si="566"/>
        <v>1</v>
      </c>
      <c r="W3646">
        <f t="shared" si="567"/>
        <v>1</v>
      </c>
      <c r="X3646">
        <f t="shared" si="568"/>
        <v>0.99999999999999989</v>
      </c>
      <c r="Y3646" t="str">
        <f t="shared" si="569"/>
        <v>Healthy</v>
      </c>
    </row>
    <row r="3647" spans="1:25" x14ac:dyDescent="0.35">
      <c r="A3647" t="s">
        <v>71</v>
      </c>
      <c r="B3647" t="s">
        <v>72</v>
      </c>
      <c r="C3647" t="s">
        <v>1228</v>
      </c>
      <c r="D3647" t="s">
        <v>1229</v>
      </c>
      <c r="E3647">
        <v>80887985</v>
      </c>
      <c r="F3647" t="s">
        <v>2454</v>
      </c>
      <c r="G3647" s="3">
        <v>47243</v>
      </c>
      <c r="H3647">
        <v>36</v>
      </c>
      <c r="I3647">
        <v>97</v>
      </c>
      <c r="J3647">
        <v>222</v>
      </c>
      <c r="K3647" s="4">
        <v>99453.78</v>
      </c>
      <c r="L3647" s="4">
        <v>6197.1428571428569</v>
      </c>
      <c r="M3647" s="4">
        <v>3.5822959889349935E-2</v>
      </c>
      <c r="N3647" t="s">
        <v>25</v>
      </c>
      <c r="O3647" t="str">
        <f t="shared" si="560"/>
        <v>Low</v>
      </c>
      <c r="P3647" t="str">
        <f t="shared" si="561"/>
        <v>Low</v>
      </c>
      <c r="Q3647" t="str">
        <f t="shared" si="562"/>
        <v>Low</v>
      </c>
      <c r="R3647" t="s">
        <v>3310</v>
      </c>
      <c r="S3647" s="4">
        <f t="shared" ca="1" si="563"/>
        <v>1046</v>
      </c>
      <c r="T3647">
        <f t="shared" si="564"/>
        <v>1</v>
      </c>
      <c r="U3647">
        <f t="shared" si="565"/>
        <v>1</v>
      </c>
      <c r="V3647">
        <f t="shared" si="566"/>
        <v>1</v>
      </c>
      <c r="W3647">
        <f t="shared" si="567"/>
        <v>2</v>
      </c>
      <c r="X3647">
        <f t="shared" si="568"/>
        <v>1.0999999999999999</v>
      </c>
      <c r="Y3647" t="str">
        <f t="shared" si="569"/>
        <v>Healthy</v>
      </c>
    </row>
    <row r="3648" spans="1:25" x14ac:dyDescent="0.35">
      <c r="A3648" t="s">
        <v>90</v>
      </c>
      <c r="B3648" t="s">
        <v>217</v>
      </c>
      <c r="C3648" t="s">
        <v>542</v>
      </c>
      <c r="D3648" t="s">
        <v>2456</v>
      </c>
      <c r="E3648">
        <v>80888577</v>
      </c>
      <c r="F3648" t="s">
        <v>2457</v>
      </c>
      <c r="G3648" s="3">
        <v>46901</v>
      </c>
      <c r="H3648">
        <v>24</v>
      </c>
      <c r="I3648">
        <v>98</v>
      </c>
      <c r="J3648">
        <v>423</v>
      </c>
      <c r="K3648" s="4">
        <v>58530.51</v>
      </c>
      <c r="L3648" s="4">
        <v>6451.2857142857147</v>
      </c>
      <c r="M3648" s="4">
        <v>6.5568325250780574E-2</v>
      </c>
      <c r="N3648" t="s">
        <v>25</v>
      </c>
      <c r="O3648" t="str">
        <f t="shared" si="560"/>
        <v>Low</v>
      </c>
      <c r="P3648" t="str">
        <f t="shared" si="561"/>
        <v>Low</v>
      </c>
      <c r="Q3648" t="str">
        <f t="shared" si="562"/>
        <v>Low</v>
      </c>
      <c r="R3648" t="s">
        <v>3317</v>
      </c>
      <c r="S3648" s="4">
        <f t="shared" ca="1" si="563"/>
        <v>704</v>
      </c>
      <c r="T3648">
        <f t="shared" si="564"/>
        <v>1</v>
      </c>
      <c r="U3648">
        <f t="shared" si="565"/>
        <v>1</v>
      </c>
      <c r="V3648">
        <f t="shared" si="566"/>
        <v>1</v>
      </c>
      <c r="W3648">
        <f t="shared" si="567"/>
        <v>1</v>
      </c>
      <c r="X3648">
        <f t="shared" si="568"/>
        <v>0.99999999999999989</v>
      </c>
      <c r="Y3648" t="str">
        <f t="shared" si="569"/>
        <v>Healthy</v>
      </c>
    </row>
    <row r="3649" spans="1:25" x14ac:dyDescent="0.35">
      <c r="A3649" t="s">
        <v>71</v>
      </c>
      <c r="B3649" t="s">
        <v>72</v>
      </c>
      <c r="C3649" t="s">
        <v>1228</v>
      </c>
      <c r="D3649" t="s">
        <v>1229</v>
      </c>
      <c r="E3649">
        <v>80887985</v>
      </c>
      <c r="F3649" t="s">
        <v>2454</v>
      </c>
      <c r="G3649" s="3">
        <v>47211</v>
      </c>
      <c r="H3649">
        <v>36</v>
      </c>
      <c r="I3649">
        <v>94</v>
      </c>
      <c r="J3649">
        <v>6</v>
      </c>
      <c r="K3649" s="4">
        <v>2687.94</v>
      </c>
      <c r="L3649" s="4">
        <v>6197.1428571428569</v>
      </c>
      <c r="M3649" s="4">
        <v>9.6818810511756573E-4</v>
      </c>
      <c r="N3649" t="s">
        <v>25</v>
      </c>
      <c r="O3649" t="str">
        <f t="shared" si="560"/>
        <v>Low</v>
      </c>
      <c r="P3649" t="str">
        <f t="shared" si="561"/>
        <v>Low</v>
      </c>
      <c r="Q3649" t="str">
        <f t="shared" si="562"/>
        <v>Low</v>
      </c>
      <c r="R3649" t="s">
        <v>3317</v>
      </c>
      <c r="S3649" s="4">
        <f t="shared" ca="1" si="563"/>
        <v>1014</v>
      </c>
      <c r="T3649">
        <f t="shared" si="564"/>
        <v>1</v>
      </c>
      <c r="U3649">
        <f t="shared" si="565"/>
        <v>1</v>
      </c>
      <c r="V3649">
        <f t="shared" si="566"/>
        <v>1</v>
      </c>
      <c r="W3649">
        <f t="shared" si="567"/>
        <v>1</v>
      </c>
      <c r="X3649">
        <f t="shared" si="568"/>
        <v>0.99999999999999989</v>
      </c>
      <c r="Y3649" t="str">
        <f t="shared" si="569"/>
        <v>Healthy</v>
      </c>
    </row>
    <row r="3650" spans="1:25" x14ac:dyDescent="0.35">
      <c r="A3650" t="s">
        <v>90</v>
      </c>
      <c r="B3650" t="s">
        <v>217</v>
      </c>
      <c r="C3650" t="s">
        <v>542</v>
      </c>
      <c r="D3650" t="s">
        <v>2456</v>
      </c>
      <c r="E3650">
        <v>80888577</v>
      </c>
      <c r="F3650" t="s">
        <v>2457</v>
      </c>
      <c r="G3650" s="3">
        <v>46902</v>
      </c>
      <c r="H3650">
        <v>24</v>
      </c>
      <c r="I3650">
        <v>99</v>
      </c>
      <c r="J3650">
        <v>2612</v>
      </c>
      <c r="K3650" s="4">
        <v>361422.44</v>
      </c>
      <c r="L3650" s="4">
        <v>6451.2857142857147</v>
      </c>
      <c r="M3650" s="4">
        <v>0.40488053322704221</v>
      </c>
      <c r="N3650" t="s">
        <v>25</v>
      </c>
      <c r="O3650" t="str">
        <f t="shared" si="560"/>
        <v>Low</v>
      </c>
      <c r="P3650" t="str">
        <f t="shared" si="561"/>
        <v>Low</v>
      </c>
      <c r="Q3650" t="str">
        <f t="shared" si="562"/>
        <v>Low</v>
      </c>
      <c r="R3650" t="s">
        <v>3309</v>
      </c>
      <c r="S3650" s="4">
        <f t="shared" ca="1" si="563"/>
        <v>705</v>
      </c>
      <c r="T3650">
        <f t="shared" si="564"/>
        <v>1</v>
      </c>
      <c r="U3650">
        <f t="shared" si="565"/>
        <v>1</v>
      </c>
      <c r="V3650">
        <f t="shared" si="566"/>
        <v>1</v>
      </c>
      <c r="W3650">
        <f t="shared" si="567"/>
        <v>3</v>
      </c>
      <c r="X3650">
        <f t="shared" si="568"/>
        <v>1.2</v>
      </c>
      <c r="Y3650" t="str">
        <f t="shared" si="569"/>
        <v>Healthy</v>
      </c>
    </row>
    <row r="3651" spans="1:25" x14ac:dyDescent="0.35">
      <c r="A3651" t="s">
        <v>71</v>
      </c>
      <c r="B3651" t="s">
        <v>72</v>
      </c>
      <c r="C3651" t="s">
        <v>1228</v>
      </c>
      <c r="D3651" t="s">
        <v>1229</v>
      </c>
      <c r="E3651">
        <v>80887985</v>
      </c>
      <c r="F3651" t="s">
        <v>2454</v>
      </c>
      <c r="G3651" s="3">
        <v>47256</v>
      </c>
      <c r="H3651">
        <v>36</v>
      </c>
      <c r="I3651">
        <v>99</v>
      </c>
      <c r="J3651">
        <v>240</v>
      </c>
      <c r="K3651" s="4">
        <v>107517.6</v>
      </c>
      <c r="L3651" s="4">
        <v>6197.1428571428569</v>
      </c>
      <c r="M3651" s="4">
        <v>3.8727524204702629E-2</v>
      </c>
      <c r="N3651" t="s">
        <v>25</v>
      </c>
      <c r="O3651" t="str">
        <f t="shared" ref="O3651:O3714" si="570">IF(I3651&lt;20,"High",IF(I3651&lt;40,"Medium","Low"))</f>
        <v>Low</v>
      </c>
      <c r="P3651" t="str">
        <f t="shared" ref="P3651:P3714" si="571">IF(M3651&gt;8,"High",IF(M3651&gt;4,"Medium","Low"))</f>
        <v>Low</v>
      </c>
      <c r="Q3651" t="str">
        <f t="shared" ref="Q3651:Q3714" si="572">IF(L3651&lt;5,"High",IF(L3651&lt;15,"Medium","Low"))</f>
        <v>Low</v>
      </c>
      <c r="R3651" t="s">
        <v>3310</v>
      </c>
      <c r="S3651" s="4">
        <f t="shared" ref="S3651:S3714" ca="1" si="573">G3651-TODAY()</f>
        <v>1059</v>
      </c>
      <c r="T3651">
        <f t="shared" ref="T3651:T3714" si="574">IF(O3651="High",3,IF(O3651="Medium",2,1))</f>
        <v>1</v>
      </c>
      <c r="U3651">
        <f t="shared" ref="U3651:U3714" si="575">IF(P3651="High",3,IF(P3651="Medium",2,1))</f>
        <v>1</v>
      </c>
      <c r="V3651">
        <f t="shared" ref="V3651:V3714" si="576">IF(Q3651="High",3,IF(Q3651="Medium",2,1))</f>
        <v>1</v>
      </c>
      <c r="W3651">
        <f t="shared" ref="W3651:W3714" si="577">IF(R3651="High",3,IF(R3651="Medium",2,1))</f>
        <v>2</v>
      </c>
      <c r="X3651">
        <f t="shared" ref="X3651:X3714" si="578">(0.4*T3651)+(0.3*U3651)+(0.2*V3651)+(0.1*W3651)</f>
        <v>1.0999999999999999</v>
      </c>
      <c r="Y3651" t="str">
        <f t="shared" ref="Y3651:Y3714" si="579">IF(X3651&gt;=2.7,"Move Immediately",IF(X3651&gt;=2.2,"High Priority",IF(X3651&gt;=1.7,"Monitor","Healthy")))</f>
        <v>Healthy</v>
      </c>
    </row>
    <row r="3652" spans="1:25" x14ac:dyDescent="0.35">
      <c r="A3652" t="s">
        <v>90</v>
      </c>
      <c r="B3652" t="s">
        <v>217</v>
      </c>
      <c r="C3652" t="s">
        <v>542</v>
      </c>
      <c r="D3652" t="s">
        <v>2456</v>
      </c>
      <c r="E3652">
        <v>80888577</v>
      </c>
      <c r="F3652" t="s">
        <v>2457</v>
      </c>
      <c r="G3652" s="3">
        <v>46907</v>
      </c>
      <c r="H3652">
        <v>24</v>
      </c>
      <c r="I3652">
        <v>99</v>
      </c>
      <c r="J3652">
        <v>572</v>
      </c>
      <c r="K3652" s="4">
        <v>79147.64</v>
      </c>
      <c r="L3652" s="4">
        <v>6451.2857142857147</v>
      </c>
      <c r="M3652" s="4">
        <v>8.8664496556611086E-2</v>
      </c>
      <c r="N3652" t="s">
        <v>25</v>
      </c>
      <c r="O3652" t="str">
        <f t="shared" si="570"/>
        <v>Low</v>
      </c>
      <c r="P3652" t="str">
        <f t="shared" si="571"/>
        <v>Low</v>
      </c>
      <c r="Q3652" t="str">
        <f t="shared" si="572"/>
        <v>Low</v>
      </c>
      <c r="R3652" t="s">
        <v>3310</v>
      </c>
      <c r="S3652" s="4">
        <f t="shared" ca="1" si="573"/>
        <v>710</v>
      </c>
      <c r="T3652">
        <f t="shared" si="574"/>
        <v>1</v>
      </c>
      <c r="U3652">
        <f t="shared" si="575"/>
        <v>1</v>
      </c>
      <c r="V3652">
        <f t="shared" si="576"/>
        <v>1</v>
      </c>
      <c r="W3652">
        <f t="shared" si="577"/>
        <v>2</v>
      </c>
      <c r="X3652">
        <f t="shared" si="578"/>
        <v>1.0999999999999999</v>
      </c>
      <c r="Y3652" t="str">
        <f t="shared" si="579"/>
        <v>Healthy</v>
      </c>
    </row>
    <row r="3653" spans="1:25" x14ac:dyDescent="0.35">
      <c r="A3653" t="s">
        <v>71</v>
      </c>
      <c r="B3653" t="s">
        <v>72</v>
      </c>
      <c r="C3653" t="s">
        <v>1228</v>
      </c>
      <c r="D3653" t="s">
        <v>1229</v>
      </c>
      <c r="E3653">
        <v>80887985</v>
      </c>
      <c r="F3653" t="s">
        <v>2454</v>
      </c>
      <c r="G3653" s="3">
        <v>47239</v>
      </c>
      <c r="H3653">
        <v>36</v>
      </c>
      <c r="I3653">
        <v>97</v>
      </c>
      <c r="J3653">
        <v>138</v>
      </c>
      <c r="K3653" s="4">
        <v>61822.62</v>
      </c>
      <c r="L3653" s="4">
        <v>6197.1428571428569</v>
      </c>
      <c r="M3653" s="4">
        <v>2.2268326417704012E-2</v>
      </c>
      <c r="N3653" t="s">
        <v>25</v>
      </c>
      <c r="O3653" t="str">
        <f t="shared" si="570"/>
        <v>Low</v>
      </c>
      <c r="P3653" t="str">
        <f t="shared" si="571"/>
        <v>Low</v>
      </c>
      <c r="Q3653" t="str">
        <f t="shared" si="572"/>
        <v>Low</v>
      </c>
      <c r="R3653" t="s">
        <v>3317</v>
      </c>
      <c r="S3653" s="4">
        <f t="shared" ca="1" si="573"/>
        <v>1042</v>
      </c>
      <c r="T3653">
        <f t="shared" si="574"/>
        <v>1</v>
      </c>
      <c r="U3653">
        <f t="shared" si="575"/>
        <v>1</v>
      </c>
      <c r="V3653">
        <f t="shared" si="576"/>
        <v>1</v>
      </c>
      <c r="W3653">
        <f t="shared" si="577"/>
        <v>1</v>
      </c>
      <c r="X3653">
        <f t="shared" si="578"/>
        <v>0.99999999999999989</v>
      </c>
      <c r="Y3653" t="str">
        <f t="shared" si="579"/>
        <v>Healthy</v>
      </c>
    </row>
    <row r="3654" spans="1:25" x14ac:dyDescent="0.35">
      <c r="A3654" t="s">
        <v>90</v>
      </c>
      <c r="B3654" t="s">
        <v>217</v>
      </c>
      <c r="C3654" t="s">
        <v>542</v>
      </c>
      <c r="D3654" t="s">
        <v>2456</v>
      </c>
      <c r="E3654">
        <v>80888577</v>
      </c>
      <c r="F3654" t="s">
        <v>2457</v>
      </c>
      <c r="G3654" s="3">
        <v>46906</v>
      </c>
      <c r="H3654">
        <v>24</v>
      </c>
      <c r="I3654">
        <v>99</v>
      </c>
      <c r="J3654">
        <v>417</v>
      </c>
      <c r="K3654" s="4">
        <v>57700.29</v>
      </c>
      <c r="L3654" s="4">
        <v>6451.2857142857147</v>
      </c>
      <c r="M3654" s="4">
        <v>6.4638278084102829E-2</v>
      </c>
      <c r="N3654" t="s">
        <v>25</v>
      </c>
      <c r="O3654" t="str">
        <f t="shared" si="570"/>
        <v>Low</v>
      </c>
      <c r="P3654" t="str">
        <f t="shared" si="571"/>
        <v>Low</v>
      </c>
      <c r="Q3654" t="str">
        <f t="shared" si="572"/>
        <v>Low</v>
      </c>
      <c r="R3654" t="s">
        <v>3317</v>
      </c>
      <c r="S3654" s="4">
        <f t="shared" ca="1" si="573"/>
        <v>709</v>
      </c>
      <c r="T3654">
        <f t="shared" si="574"/>
        <v>1</v>
      </c>
      <c r="U3654">
        <f t="shared" si="575"/>
        <v>1</v>
      </c>
      <c r="V3654">
        <f t="shared" si="576"/>
        <v>1</v>
      </c>
      <c r="W3654">
        <f t="shared" si="577"/>
        <v>1</v>
      </c>
      <c r="X3654">
        <f t="shared" si="578"/>
        <v>0.99999999999999989</v>
      </c>
      <c r="Y3654" t="str">
        <f t="shared" si="579"/>
        <v>Healthy</v>
      </c>
    </row>
    <row r="3655" spans="1:25" x14ac:dyDescent="0.35">
      <c r="A3655" t="s">
        <v>20</v>
      </c>
      <c r="B3655" t="s">
        <v>21</v>
      </c>
      <c r="C3655" t="s">
        <v>51</v>
      </c>
      <c r="D3655" t="s">
        <v>2458</v>
      </c>
      <c r="E3655">
        <v>80895277</v>
      </c>
      <c r="F3655" t="s">
        <v>2459</v>
      </c>
      <c r="G3655" s="3">
        <v>47250</v>
      </c>
      <c r="H3655">
        <v>36</v>
      </c>
      <c r="I3655">
        <v>98</v>
      </c>
      <c r="J3655">
        <v>60</v>
      </c>
      <c r="K3655" s="4">
        <v>13564.8</v>
      </c>
      <c r="L3655" s="4">
        <v>1533.5714285714287</v>
      </c>
      <c r="M3655" s="4">
        <v>3.9124359571495106E-2</v>
      </c>
      <c r="N3655" t="s">
        <v>25</v>
      </c>
      <c r="O3655" t="str">
        <f t="shared" si="570"/>
        <v>Low</v>
      </c>
      <c r="P3655" t="str">
        <f t="shared" si="571"/>
        <v>Low</v>
      </c>
      <c r="Q3655" t="str">
        <f t="shared" si="572"/>
        <v>Low</v>
      </c>
      <c r="R3655" t="s">
        <v>3317</v>
      </c>
      <c r="S3655" s="4">
        <f t="shared" ca="1" si="573"/>
        <v>1053</v>
      </c>
      <c r="T3655">
        <f t="shared" si="574"/>
        <v>1</v>
      </c>
      <c r="U3655">
        <f t="shared" si="575"/>
        <v>1</v>
      </c>
      <c r="V3655">
        <f t="shared" si="576"/>
        <v>1</v>
      </c>
      <c r="W3655">
        <f t="shared" si="577"/>
        <v>1</v>
      </c>
      <c r="X3655">
        <f t="shared" si="578"/>
        <v>0.99999999999999989</v>
      </c>
      <c r="Y3655" t="str">
        <f t="shared" si="579"/>
        <v>Healthy</v>
      </c>
    </row>
    <row r="3656" spans="1:25" x14ac:dyDescent="0.35">
      <c r="A3656" t="s">
        <v>90</v>
      </c>
      <c r="B3656" t="s">
        <v>217</v>
      </c>
      <c r="C3656" t="s">
        <v>542</v>
      </c>
      <c r="D3656" t="s">
        <v>2456</v>
      </c>
      <c r="E3656">
        <v>80888577</v>
      </c>
      <c r="F3656" t="s">
        <v>2457</v>
      </c>
      <c r="G3656" s="3">
        <v>46901</v>
      </c>
      <c r="H3656">
        <v>24</v>
      </c>
      <c r="I3656">
        <v>98</v>
      </c>
      <c r="J3656">
        <v>306</v>
      </c>
      <c r="K3656" s="4">
        <v>42341.22</v>
      </c>
      <c r="L3656" s="4">
        <v>6451.2857142857147</v>
      </c>
      <c r="M3656" s="4">
        <v>4.743240550056467E-2</v>
      </c>
      <c r="N3656" t="s">
        <v>25</v>
      </c>
      <c r="O3656" t="str">
        <f t="shared" si="570"/>
        <v>Low</v>
      </c>
      <c r="P3656" t="str">
        <f t="shared" si="571"/>
        <v>Low</v>
      </c>
      <c r="Q3656" t="str">
        <f t="shared" si="572"/>
        <v>Low</v>
      </c>
      <c r="R3656" t="s">
        <v>3317</v>
      </c>
      <c r="S3656" s="4">
        <f t="shared" ca="1" si="573"/>
        <v>704</v>
      </c>
      <c r="T3656">
        <f t="shared" si="574"/>
        <v>1</v>
      </c>
      <c r="U3656">
        <f t="shared" si="575"/>
        <v>1</v>
      </c>
      <c r="V3656">
        <f t="shared" si="576"/>
        <v>1</v>
      </c>
      <c r="W3656">
        <f t="shared" si="577"/>
        <v>1</v>
      </c>
      <c r="X3656">
        <f t="shared" si="578"/>
        <v>0.99999999999999989</v>
      </c>
      <c r="Y3656" t="str">
        <f t="shared" si="579"/>
        <v>Healthy</v>
      </c>
    </row>
    <row r="3657" spans="1:25" x14ac:dyDescent="0.35">
      <c r="A3657" t="s">
        <v>20</v>
      </c>
      <c r="B3657" t="s">
        <v>21</v>
      </c>
      <c r="C3657" t="s">
        <v>51</v>
      </c>
      <c r="D3657" t="s">
        <v>2458</v>
      </c>
      <c r="E3657">
        <v>80895277</v>
      </c>
      <c r="F3657" t="s">
        <v>2459</v>
      </c>
      <c r="G3657" s="3">
        <v>47251</v>
      </c>
      <c r="H3657">
        <v>36</v>
      </c>
      <c r="I3657">
        <v>98</v>
      </c>
      <c r="J3657">
        <v>260</v>
      </c>
      <c r="K3657" s="4">
        <v>58780.800000000003</v>
      </c>
      <c r="L3657" s="4">
        <v>1533.5714285714287</v>
      </c>
      <c r="M3657" s="4">
        <v>0.1695388914764788</v>
      </c>
      <c r="N3657" t="s">
        <v>25</v>
      </c>
      <c r="O3657" t="str">
        <f t="shared" si="570"/>
        <v>Low</v>
      </c>
      <c r="P3657" t="str">
        <f t="shared" si="571"/>
        <v>Low</v>
      </c>
      <c r="Q3657" t="str">
        <f t="shared" si="572"/>
        <v>Low</v>
      </c>
      <c r="R3657" t="s">
        <v>3317</v>
      </c>
      <c r="S3657" s="4">
        <f t="shared" ca="1" si="573"/>
        <v>1054</v>
      </c>
      <c r="T3657">
        <f t="shared" si="574"/>
        <v>1</v>
      </c>
      <c r="U3657">
        <f t="shared" si="575"/>
        <v>1</v>
      </c>
      <c r="V3657">
        <f t="shared" si="576"/>
        <v>1</v>
      </c>
      <c r="W3657">
        <f t="shared" si="577"/>
        <v>1</v>
      </c>
      <c r="X3657">
        <f t="shared" si="578"/>
        <v>0.99999999999999989</v>
      </c>
      <c r="Y3657" t="str">
        <f t="shared" si="579"/>
        <v>Healthy</v>
      </c>
    </row>
    <row r="3658" spans="1:25" x14ac:dyDescent="0.35">
      <c r="A3658" t="s">
        <v>90</v>
      </c>
      <c r="B3658" t="s">
        <v>217</v>
      </c>
      <c r="C3658" t="s">
        <v>542</v>
      </c>
      <c r="D3658" t="s">
        <v>2456</v>
      </c>
      <c r="E3658">
        <v>80888577</v>
      </c>
      <c r="F3658" t="s">
        <v>2457</v>
      </c>
      <c r="G3658" s="3">
        <v>46902</v>
      </c>
      <c r="H3658">
        <v>24</v>
      </c>
      <c r="I3658">
        <v>99</v>
      </c>
      <c r="J3658">
        <v>90</v>
      </c>
      <c r="K3658" s="4">
        <v>12453.3</v>
      </c>
      <c r="L3658" s="4">
        <v>6451.2857142857147</v>
      </c>
      <c r="M3658" s="4">
        <v>1.3950707500166078E-2</v>
      </c>
      <c r="N3658" t="s">
        <v>25</v>
      </c>
      <c r="O3658" t="str">
        <f t="shared" si="570"/>
        <v>Low</v>
      </c>
      <c r="P3658" t="str">
        <f t="shared" si="571"/>
        <v>Low</v>
      </c>
      <c r="Q3658" t="str">
        <f t="shared" si="572"/>
        <v>Low</v>
      </c>
      <c r="R3658" t="s">
        <v>3317</v>
      </c>
      <c r="S3658" s="4">
        <f t="shared" ca="1" si="573"/>
        <v>705</v>
      </c>
      <c r="T3658">
        <f t="shared" si="574"/>
        <v>1</v>
      </c>
      <c r="U3658">
        <f t="shared" si="575"/>
        <v>1</v>
      </c>
      <c r="V3658">
        <f t="shared" si="576"/>
        <v>1</v>
      </c>
      <c r="W3658">
        <f t="shared" si="577"/>
        <v>1</v>
      </c>
      <c r="X3658">
        <f t="shared" si="578"/>
        <v>0.99999999999999989</v>
      </c>
      <c r="Y3658" t="str">
        <f t="shared" si="579"/>
        <v>Healthy</v>
      </c>
    </row>
    <row r="3659" spans="1:25" x14ac:dyDescent="0.35">
      <c r="A3659" t="s">
        <v>90</v>
      </c>
      <c r="B3659" t="s">
        <v>217</v>
      </c>
      <c r="C3659" t="s">
        <v>542</v>
      </c>
      <c r="D3659" t="s">
        <v>2456</v>
      </c>
      <c r="E3659">
        <v>80888577</v>
      </c>
      <c r="F3659" t="s">
        <v>2457</v>
      </c>
      <c r="G3659" s="3">
        <v>46913</v>
      </c>
      <c r="H3659">
        <v>24</v>
      </c>
      <c r="I3659">
        <v>100</v>
      </c>
      <c r="J3659">
        <v>2405</v>
      </c>
      <c r="K3659" s="4">
        <v>332779.84999999998</v>
      </c>
      <c r="L3659" s="4">
        <v>6451.2857142857147</v>
      </c>
      <c r="M3659" s="4">
        <v>0.37279390597666023</v>
      </c>
      <c r="N3659" t="s">
        <v>25</v>
      </c>
      <c r="O3659" t="str">
        <f t="shared" si="570"/>
        <v>Low</v>
      </c>
      <c r="P3659" t="str">
        <f t="shared" si="571"/>
        <v>Low</v>
      </c>
      <c r="Q3659" t="str">
        <f t="shared" si="572"/>
        <v>Low</v>
      </c>
      <c r="R3659" t="s">
        <v>3309</v>
      </c>
      <c r="S3659" s="4">
        <f t="shared" ca="1" si="573"/>
        <v>716</v>
      </c>
      <c r="T3659">
        <f t="shared" si="574"/>
        <v>1</v>
      </c>
      <c r="U3659">
        <f t="shared" si="575"/>
        <v>1</v>
      </c>
      <c r="V3659">
        <f t="shared" si="576"/>
        <v>1</v>
      </c>
      <c r="W3659">
        <f t="shared" si="577"/>
        <v>3</v>
      </c>
      <c r="X3659">
        <f t="shared" si="578"/>
        <v>1.2</v>
      </c>
      <c r="Y3659" t="str">
        <f t="shared" si="579"/>
        <v>Healthy</v>
      </c>
    </row>
    <row r="3660" spans="1:25" x14ac:dyDescent="0.35">
      <c r="A3660" t="s">
        <v>99</v>
      </c>
      <c r="B3660" t="s">
        <v>100</v>
      </c>
      <c r="C3660" t="s">
        <v>101</v>
      </c>
      <c r="D3660" t="s">
        <v>2460</v>
      </c>
      <c r="E3660">
        <v>83916492</v>
      </c>
      <c r="F3660" t="s">
        <v>2461</v>
      </c>
      <c r="G3660" s="3">
        <v>46637</v>
      </c>
      <c r="H3660">
        <v>18</v>
      </c>
      <c r="I3660">
        <v>82</v>
      </c>
      <c r="J3660">
        <v>96</v>
      </c>
      <c r="K3660" s="4">
        <v>47921.279999999999</v>
      </c>
      <c r="L3660" s="4">
        <f>0</f>
        <v>0</v>
      </c>
      <c r="M3660" s="4">
        <f>999</f>
        <v>999</v>
      </c>
      <c r="N3660" t="s">
        <v>19</v>
      </c>
      <c r="O3660" t="str">
        <f t="shared" si="570"/>
        <v>Low</v>
      </c>
      <c r="P3660" t="str">
        <f t="shared" si="571"/>
        <v>High</v>
      </c>
      <c r="Q3660" t="str">
        <f t="shared" si="572"/>
        <v>High</v>
      </c>
      <c r="R3660" t="s">
        <v>3317</v>
      </c>
      <c r="S3660" s="4">
        <f t="shared" ca="1" si="573"/>
        <v>440</v>
      </c>
      <c r="T3660">
        <f t="shared" si="574"/>
        <v>1</v>
      </c>
      <c r="U3660">
        <f t="shared" si="575"/>
        <v>3</v>
      </c>
      <c r="V3660">
        <f t="shared" si="576"/>
        <v>3</v>
      </c>
      <c r="W3660">
        <f t="shared" si="577"/>
        <v>1</v>
      </c>
      <c r="X3660">
        <f t="shared" si="578"/>
        <v>2</v>
      </c>
      <c r="Y3660" t="str">
        <f t="shared" si="579"/>
        <v>Monitor</v>
      </c>
    </row>
    <row r="3661" spans="1:25" x14ac:dyDescent="0.35">
      <c r="A3661" t="s">
        <v>20</v>
      </c>
      <c r="B3661" t="s">
        <v>21</v>
      </c>
      <c r="C3661" t="s">
        <v>51</v>
      </c>
      <c r="D3661" t="s">
        <v>2458</v>
      </c>
      <c r="E3661">
        <v>80895277</v>
      </c>
      <c r="F3661" t="s">
        <v>2459</v>
      </c>
      <c r="G3661" s="3">
        <v>47224</v>
      </c>
      <c r="H3661">
        <v>36</v>
      </c>
      <c r="I3661">
        <v>96</v>
      </c>
      <c r="J3661">
        <v>97</v>
      </c>
      <c r="K3661" s="4">
        <v>21929.759999999998</v>
      </c>
      <c r="L3661" s="4">
        <v>1533.5714285714287</v>
      </c>
      <c r="M3661" s="4">
        <v>6.3251047973917091E-2</v>
      </c>
      <c r="N3661" t="s">
        <v>25</v>
      </c>
      <c r="O3661" t="str">
        <f t="shared" si="570"/>
        <v>Low</v>
      </c>
      <c r="P3661" t="str">
        <f t="shared" si="571"/>
        <v>Low</v>
      </c>
      <c r="Q3661" t="str">
        <f t="shared" si="572"/>
        <v>Low</v>
      </c>
      <c r="R3661" t="s">
        <v>3317</v>
      </c>
      <c r="S3661" s="4">
        <f t="shared" ca="1" si="573"/>
        <v>1027</v>
      </c>
      <c r="T3661">
        <f t="shared" si="574"/>
        <v>1</v>
      </c>
      <c r="U3661">
        <f t="shared" si="575"/>
        <v>1</v>
      </c>
      <c r="V3661">
        <f t="shared" si="576"/>
        <v>1</v>
      </c>
      <c r="W3661">
        <f t="shared" si="577"/>
        <v>1</v>
      </c>
      <c r="X3661">
        <f t="shared" si="578"/>
        <v>0.99999999999999989</v>
      </c>
      <c r="Y3661" t="str">
        <f t="shared" si="579"/>
        <v>Healthy</v>
      </c>
    </row>
    <row r="3662" spans="1:25" x14ac:dyDescent="0.35">
      <c r="A3662" t="s">
        <v>99</v>
      </c>
      <c r="B3662" t="s">
        <v>100</v>
      </c>
      <c r="C3662" t="s">
        <v>101</v>
      </c>
      <c r="D3662" t="s">
        <v>2462</v>
      </c>
      <c r="E3662">
        <v>83916494</v>
      </c>
      <c r="F3662" t="s">
        <v>2463</v>
      </c>
      <c r="G3662" s="3">
        <v>46639</v>
      </c>
      <c r="H3662">
        <v>18</v>
      </c>
      <c r="I3662">
        <v>83</v>
      </c>
      <c r="J3662">
        <v>96</v>
      </c>
      <c r="K3662" s="4">
        <v>71882.880000000005</v>
      </c>
      <c r="L3662" s="4">
        <f>0</f>
        <v>0</v>
      </c>
      <c r="M3662" s="4">
        <f>999</f>
        <v>999</v>
      </c>
      <c r="N3662" t="s">
        <v>19</v>
      </c>
      <c r="O3662" t="str">
        <f t="shared" si="570"/>
        <v>Low</v>
      </c>
      <c r="P3662" t="str">
        <f t="shared" si="571"/>
        <v>High</v>
      </c>
      <c r="Q3662" t="str">
        <f t="shared" si="572"/>
        <v>High</v>
      </c>
      <c r="R3662" t="s">
        <v>3310</v>
      </c>
      <c r="S3662" s="4">
        <f t="shared" ca="1" si="573"/>
        <v>442</v>
      </c>
      <c r="T3662">
        <f t="shared" si="574"/>
        <v>1</v>
      </c>
      <c r="U3662">
        <f t="shared" si="575"/>
        <v>3</v>
      </c>
      <c r="V3662">
        <f t="shared" si="576"/>
        <v>3</v>
      </c>
      <c r="W3662">
        <f t="shared" si="577"/>
        <v>2</v>
      </c>
      <c r="X3662">
        <f t="shared" si="578"/>
        <v>2.1</v>
      </c>
      <c r="Y3662" t="str">
        <f t="shared" si="579"/>
        <v>Monitor</v>
      </c>
    </row>
    <row r="3663" spans="1:25" x14ac:dyDescent="0.35">
      <c r="A3663" t="s">
        <v>20</v>
      </c>
      <c r="B3663" t="s">
        <v>21</v>
      </c>
      <c r="C3663" t="s">
        <v>51</v>
      </c>
      <c r="D3663" t="s">
        <v>2458</v>
      </c>
      <c r="E3663">
        <v>80895277</v>
      </c>
      <c r="F3663" t="s">
        <v>2459</v>
      </c>
      <c r="G3663" s="3">
        <v>47212</v>
      </c>
      <c r="H3663">
        <v>36</v>
      </c>
      <c r="I3663">
        <v>94</v>
      </c>
      <c r="J3663">
        <v>36</v>
      </c>
      <c r="K3663" s="4">
        <v>8138.88</v>
      </c>
      <c r="L3663" s="4">
        <v>1533.5714285714287</v>
      </c>
      <c r="M3663" s="4">
        <v>2.3474615742897064E-2</v>
      </c>
      <c r="N3663" t="s">
        <v>25</v>
      </c>
      <c r="O3663" t="str">
        <f t="shared" si="570"/>
        <v>Low</v>
      </c>
      <c r="P3663" t="str">
        <f t="shared" si="571"/>
        <v>Low</v>
      </c>
      <c r="Q3663" t="str">
        <f t="shared" si="572"/>
        <v>Low</v>
      </c>
      <c r="R3663" t="s">
        <v>3317</v>
      </c>
      <c r="S3663" s="4">
        <f t="shared" ca="1" si="573"/>
        <v>1015</v>
      </c>
      <c r="T3663">
        <f t="shared" si="574"/>
        <v>1</v>
      </c>
      <c r="U3663">
        <f t="shared" si="575"/>
        <v>1</v>
      </c>
      <c r="V3663">
        <f t="shared" si="576"/>
        <v>1</v>
      </c>
      <c r="W3663">
        <f t="shared" si="577"/>
        <v>1</v>
      </c>
      <c r="X3663">
        <f t="shared" si="578"/>
        <v>0.99999999999999989</v>
      </c>
      <c r="Y3663" t="str">
        <f t="shared" si="579"/>
        <v>Healthy</v>
      </c>
    </row>
    <row r="3664" spans="1:25" x14ac:dyDescent="0.35">
      <c r="A3664" t="s">
        <v>99</v>
      </c>
      <c r="B3664" t="s">
        <v>100</v>
      </c>
      <c r="C3664" t="s">
        <v>101</v>
      </c>
      <c r="D3664" t="s">
        <v>2464</v>
      </c>
      <c r="E3664">
        <v>83916496</v>
      </c>
      <c r="F3664" t="s">
        <v>2465</v>
      </c>
      <c r="G3664" s="3">
        <v>46646</v>
      </c>
      <c r="H3664">
        <v>18</v>
      </c>
      <c r="I3664">
        <v>84</v>
      </c>
      <c r="J3664">
        <v>96</v>
      </c>
      <c r="K3664" s="4">
        <v>47921.279999999999</v>
      </c>
      <c r="L3664" s="4">
        <f>0</f>
        <v>0</v>
      </c>
      <c r="M3664" s="4">
        <f>999</f>
        <v>999</v>
      </c>
      <c r="N3664" t="s">
        <v>19</v>
      </c>
      <c r="O3664" t="str">
        <f t="shared" si="570"/>
        <v>Low</v>
      </c>
      <c r="P3664" t="str">
        <f t="shared" si="571"/>
        <v>High</v>
      </c>
      <c r="Q3664" t="str">
        <f t="shared" si="572"/>
        <v>High</v>
      </c>
      <c r="R3664" t="s">
        <v>3317</v>
      </c>
      <c r="S3664" s="4">
        <f t="shared" ca="1" si="573"/>
        <v>449</v>
      </c>
      <c r="T3664">
        <f t="shared" si="574"/>
        <v>1</v>
      </c>
      <c r="U3664">
        <f t="shared" si="575"/>
        <v>3</v>
      </c>
      <c r="V3664">
        <f t="shared" si="576"/>
        <v>3</v>
      </c>
      <c r="W3664">
        <f t="shared" si="577"/>
        <v>1</v>
      </c>
      <c r="X3664">
        <f t="shared" si="578"/>
        <v>2</v>
      </c>
      <c r="Y3664" t="str">
        <f t="shared" si="579"/>
        <v>Monitor</v>
      </c>
    </row>
    <row r="3665" spans="1:25" x14ac:dyDescent="0.35">
      <c r="A3665" t="s">
        <v>99</v>
      </c>
      <c r="B3665" t="s">
        <v>100</v>
      </c>
      <c r="C3665" t="s">
        <v>101</v>
      </c>
      <c r="D3665" t="s">
        <v>2466</v>
      </c>
      <c r="E3665">
        <v>83916498</v>
      </c>
      <c r="F3665" t="s">
        <v>2467</v>
      </c>
      <c r="G3665" s="3">
        <v>46646</v>
      </c>
      <c r="H3665">
        <v>18</v>
      </c>
      <c r="I3665">
        <v>84</v>
      </c>
      <c r="J3665">
        <v>80</v>
      </c>
      <c r="K3665" s="4">
        <v>59902.400000000001</v>
      </c>
      <c r="L3665" s="4">
        <f>0</f>
        <v>0</v>
      </c>
      <c r="M3665" s="4">
        <f>999</f>
        <v>999</v>
      </c>
      <c r="N3665" t="s">
        <v>19</v>
      </c>
      <c r="O3665" t="str">
        <f t="shared" si="570"/>
        <v>Low</v>
      </c>
      <c r="P3665" t="str">
        <f t="shared" si="571"/>
        <v>High</v>
      </c>
      <c r="Q3665" t="str">
        <f t="shared" si="572"/>
        <v>High</v>
      </c>
      <c r="R3665" t="s">
        <v>3317</v>
      </c>
      <c r="S3665" s="4">
        <f t="shared" ca="1" si="573"/>
        <v>449</v>
      </c>
      <c r="T3665">
        <f t="shared" si="574"/>
        <v>1</v>
      </c>
      <c r="U3665">
        <f t="shared" si="575"/>
        <v>3</v>
      </c>
      <c r="V3665">
        <f t="shared" si="576"/>
        <v>3</v>
      </c>
      <c r="W3665">
        <f t="shared" si="577"/>
        <v>1</v>
      </c>
      <c r="X3665">
        <f t="shared" si="578"/>
        <v>2</v>
      </c>
      <c r="Y3665" t="str">
        <f t="shared" si="579"/>
        <v>Monitor</v>
      </c>
    </row>
    <row r="3666" spans="1:25" x14ac:dyDescent="0.35">
      <c r="A3666" t="s">
        <v>20</v>
      </c>
      <c r="B3666" t="s">
        <v>21</v>
      </c>
      <c r="C3666" t="s">
        <v>51</v>
      </c>
      <c r="D3666" t="s">
        <v>2458</v>
      </c>
      <c r="E3666">
        <v>80895277</v>
      </c>
      <c r="F3666" t="s">
        <v>2459</v>
      </c>
      <c r="G3666" s="3">
        <v>47213</v>
      </c>
      <c r="H3666">
        <v>36</v>
      </c>
      <c r="I3666">
        <v>95</v>
      </c>
      <c r="J3666">
        <v>96</v>
      </c>
      <c r="K3666" s="4">
        <v>21703.68</v>
      </c>
      <c r="L3666" s="4">
        <v>1533.5714285714287</v>
      </c>
      <c r="M3666" s="4">
        <v>6.2598975314392166E-2</v>
      </c>
      <c r="N3666" t="s">
        <v>25</v>
      </c>
      <c r="O3666" t="str">
        <f t="shared" si="570"/>
        <v>Low</v>
      </c>
      <c r="P3666" t="str">
        <f t="shared" si="571"/>
        <v>Low</v>
      </c>
      <c r="Q3666" t="str">
        <f t="shared" si="572"/>
        <v>Low</v>
      </c>
      <c r="R3666" t="s">
        <v>3317</v>
      </c>
      <c r="S3666" s="4">
        <f t="shared" ca="1" si="573"/>
        <v>1016</v>
      </c>
      <c r="T3666">
        <f t="shared" si="574"/>
        <v>1</v>
      </c>
      <c r="U3666">
        <f t="shared" si="575"/>
        <v>1</v>
      </c>
      <c r="V3666">
        <f t="shared" si="576"/>
        <v>1</v>
      </c>
      <c r="W3666">
        <f t="shared" si="577"/>
        <v>1</v>
      </c>
      <c r="X3666">
        <f t="shared" si="578"/>
        <v>0.99999999999999989</v>
      </c>
      <c r="Y3666" t="str">
        <f t="shared" si="579"/>
        <v>Healthy</v>
      </c>
    </row>
    <row r="3667" spans="1:25" x14ac:dyDescent="0.35">
      <c r="A3667" t="s">
        <v>99</v>
      </c>
      <c r="B3667" t="s">
        <v>100</v>
      </c>
      <c r="C3667" t="s">
        <v>101</v>
      </c>
      <c r="D3667" t="s">
        <v>2466</v>
      </c>
      <c r="E3667">
        <v>83916498</v>
      </c>
      <c r="F3667" t="s">
        <v>2467</v>
      </c>
      <c r="G3667" s="3">
        <v>46636</v>
      </c>
      <c r="H3667">
        <v>18</v>
      </c>
      <c r="I3667">
        <v>82</v>
      </c>
      <c r="J3667">
        <v>16</v>
      </c>
      <c r="K3667" s="4">
        <v>11980.48</v>
      </c>
      <c r="L3667" s="4">
        <f>0</f>
        <v>0</v>
      </c>
      <c r="M3667" s="4">
        <f>999</f>
        <v>999</v>
      </c>
      <c r="N3667" t="s">
        <v>19</v>
      </c>
      <c r="O3667" t="str">
        <f t="shared" si="570"/>
        <v>Low</v>
      </c>
      <c r="P3667" t="str">
        <f t="shared" si="571"/>
        <v>High</v>
      </c>
      <c r="Q3667" t="str">
        <f t="shared" si="572"/>
        <v>High</v>
      </c>
      <c r="R3667" t="s">
        <v>3317</v>
      </c>
      <c r="S3667" s="4">
        <f t="shared" ca="1" si="573"/>
        <v>439</v>
      </c>
      <c r="T3667">
        <f t="shared" si="574"/>
        <v>1</v>
      </c>
      <c r="U3667">
        <f t="shared" si="575"/>
        <v>3</v>
      </c>
      <c r="V3667">
        <f t="shared" si="576"/>
        <v>3</v>
      </c>
      <c r="W3667">
        <f t="shared" si="577"/>
        <v>1</v>
      </c>
      <c r="X3667">
        <f t="shared" si="578"/>
        <v>2</v>
      </c>
      <c r="Y3667" t="str">
        <f t="shared" si="579"/>
        <v>Monitor</v>
      </c>
    </row>
    <row r="3668" spans="1:25" x14ac:dyDescent="0.35">
      <c r="A3668" t="s">
        <v>20</v>
      </c>
      <c r="B3668" t="s">
        <v>21</v>
      </c>
      <c r="C3668" t="s">
        <v>51</v>
      </c>
      <c r="D3668" t="s">
        <v>2458</v>
      </c>
      <c r="E3668">
        <v>80895277</v>
      </c>
      <c r="F3668" t="s">
        <v>2459</v>
      </c>
      <c r="G3668" s="3">
        <v>47226</v>
      </c>
      <c r="H3668">
        <v>36</v>
      </c>
      <c r="I3668">
        <v>96</v>
      </c>
      <c r="J3668">
        <v>91</v>
      </c>
      <c r="K3668" s="4">
        <v>20573.28</v>
      </c>
      <c r="L3668" s="4">
        <v>1533.5714285714287</v>
      </c>
      <c r="M3668" s="4">
        <v>5.9338612016767579E-2</v>
      </c>
      <c r="N3668" t="s">
        <v>25</v>
      </c>
      <c r="O3668" t="str">
        <f t="shared" si="570"/>
        <v>Low</v>
      </c>
      <c r="P3668" t="str">
        <f t="shared" si="571"/>
        <v>Low</v>
      </c>
      <c r="Q3668" t="str">
        <f t="shared" si="572"/>
        <v>Low</v>
      </c>
      <c r="R3668" t="s">
        <v>3317</v>
      </c>
      <c r="S3668" s="4">
        <f t="shared" ca="1" si="573"/>
        <v>1029</v>
      </c>
      <c r="T3668">
        <f t="shared" si="574"/>
        <v>1</v>
      </c>
      <c r="U3668">
        <f t="shared" si="575"/>
        <v>1</v>
      </c>
      <c r="V3668">
        <f t="shared" si="576"/>
        <v>1</v>
      </c>
      <c r="W3668">
        <f t="shared" si="577"/>
        <v>1</v>
      </c>
      <c r="X3668">
        <f t="shared" si="578"/>
        <v>0.99999999999999989</v>
      </c>
      <c r="Y3668" t="str">
        <f t="shared" si="579"/>
        <v>Healthy</v>
      </c>
    </row>
    <row r="3669" spans="1:25" x14ac:dyDescent="0.35">
      <c r="A3669" t="s">
        <v>189</v>
      </c>
      <c r="B3669" t="s">
        <v>190</v>
      </c>
      <c r="C3669" t="s">
        <v>190</v>
      </c>
      <c r="D3669" t="s">
        <v>2468</v>
      </c>
      <c r="E3669">
        <v>83916224</v>
      </c>
      <c r="F3669" t="s">
        <v>2469</v>
      </c>
      <c r="G3669" s="3">
        <v>46669</v>
      </c>
      <c r="H3669">
        <v>18</v>
      </c>
      <c r="I3669">
        <v>88</v>
      </c>
      <c r="J3669">
        <v>56</v>
      </c>
      <c r="K3669" s="4">
        <v>15655.36</v>
      </c>
      <c r="L3669" s="4">
        <v>24</v>
      </c>
      <c r="M3669" s="4">
        <v>2.3333333333333335</v>
      </c>
      <c r="N3669" t="s">
        <v>25</v>
      </c>
      <c r="O3669" t="str">
        <f t="shared" si="570"/>
        <v>Low</v>
      </c>
      <c r="P3669" t="str">
        <f t="shared" si="571"/>
        <v>Low</v>
      </c>
      <c r="Q3669" t="str">
        <f t="shared" si="572"/>
        <v>Low</v>
      </c>
      <c r="R3669" t="s">
        <v>3317</v>
      </c>
      <c r="S3669" s="4">
        <f t="shared" ca="1" si="573"/>
        <v>472</v>
      </c>
      <c r="T3669">
        <f t="shared" si="574"/>
        <v>1</v>
      </c>
      <c r="U3669">
        <f t="shared" si="575"/>
        <v>1</v>
      </c>
      <c r="V3669">
        <f t="shared" si="576"/>
        <v>1</v>
      </c>
      <c r="W3669">
        <f t="shared" si="577"/>
        <v>1</v>
      </c>
      <c r="X3669">
        <f t="shared" si="578"/>
        <v>0.99999999999999989</v>
      </c>
      <c r="Y3669" t="str">
        <f t="shared" si="579"/>
        <v>Healthy</v>
      </c>
    </row>
    <row r="3670" spans="1:25" x14ac:dyDescent="0.35">
      <c r="A3670" t="s">
        <v>20</v>
      </c>
      <c r="B3670" t="s">
        <v>21</v>
      </c>
      <c r="C3670" t="s">
        <v>51</v>
      </c>
      <c r="D3670" t="s">
        <v>2458</v>
      </c>
      <c r="E3670">
        <v>80895277</v>
      </c>
      <c r="F3670" t="s">
        <v>2459</v>
      </c>
      <c r="G3670" s="3">
        <v>47222</v>
      </c>
      <c r="H3670">
        <v>36</v>
      </c>
      <c r="I3670">
        <v>95</v>
      </c>
      <c r="J3670">
        <v>100</v>
      </c>
      <c r="K3670" s="4">
        <v>22608</v>
      </c>
      <c r="L3670" s="4">
        <v>1533.5714285714287</v>
      </c>
      <c r="M3670" s="4">
        <v>6.520726595249185E-2</v>
      </c>
      <c r="N3670" t="s">
        <v>25</v>
      </c>
      <c r="O3670" t="str">
        <f t="shared" si="570"/>
        <v>Low</v>
      </c>
      <c r="P3670" t="str">
        <f t="shared" si="571"/>
        <v>Low</v>
      </c>
      <c r="Q3670" t="str">
        <f t="shared" si="572"/>
        <v>Low</v>
      </c>
      <c r="R3670" t="s">
        <v>3317</v>
      </c>
      <c r="S3670" s="4">
        <f t="shared" ca="1" si="573"/>
        <v>1025</v>
      </c>
      <c r="T3670">
        <f t="shared" si="574"/>
        <v>1</v>
      </c>
      <c r="U3670">
        <f t="shared" si="575"/>
        <v>1</v>
      </c>
      <c r="V3670">
        <f t="shared" si="576"/>
        <v>1</v>
      </c>
      <c r="W3670">
        <f t="shared" si="577"/>
        <v>1</v>
      </c>
      <c r="X3670">
        <f t="shared" si="578"/>
        <v>0.99999999999999989</v>
      </c>
      <c r="Y3670" t="str">
        <f t="shared" si="579"/>
        <v>Healthy</v>
      </c>
    </row>
    <row r="3671" spans="1:25" x14ac:dyDescent="0.35">
      <c r="A3671" t="s">
        <v>189</v>
      </c>
      <c r="B3671" t="s">
        <v>262</v>
      </c>
      <c r="C3671" t="s">
        <v>262</v>
      </c>
      <c r="D3671" t="s">
        <v>1451</v>
      </c>
      <c r="E3671">
        <v>83916230</v>
      </c>
      <c r="F3671" t="s">
        <v>2470</v>
      </c>
      <c r="G3671" s="3">
        <v>46718</v>
      </c>
      <c r="H3671">
        <v>18</v>
      </c>
      <c r="I3671">
        <v>97</v>
      </c>
      <c r="J3671">
        <v>518</v>
      </c>
      <c r="K3671" s="4">
        <v>95021.92</v>
      </c>
      <c r="L3671" s="4">
        <f>0</f>
        <v>0</v>
      </c>
      <c r="M3671" s="4">
        <f>999</f>
        <v>999</v>
      </c>
      <c r="N3671" t="s">
        <v>19</v>
      </c>
      <c r="O3671" t="str">
        <f t="shared" si="570"/>
        <v>Low</v>
      </c>
      <c r="P3671" t="str">
        <f t="shared" si="571"/>
        <v>High</v>
      </c>
      <c r="Q3671" t="str">
        <f t="shared" si="572"/>
        <v>High</v>
      </c>
      <c r="R3671" t="s">
        <v>3310</v>
      </c>
      <c r="S3671" s="4">
        <f t="shared" ca="1" si="573"/>
        <v>521</v>
      </c>
      <c r="T3671">
        <f t="shared" si="574"/>
        <v>1</v>
      </c>
      <c r="U3671">
        <f t="shared" si="575"/>
        <v>3</v>
      </c>
      <c r="V3671">
        <f t="shared" si="576"/>
        <v>3</v>
      </c>
      <c r="W3671">
        <f t="shared" si="577"/>
        <v>2</v>
      </c>
      <c r="X3671">
        <f t="shared" si="578"/>
        <v>2.1</v>
      </c>
      <c r="Y3671" t="str">
        <f t="shared" si="579"/>
        <v>Monitor</v>
      </c>
    </row>
    <row r="3672" spans="1:25" x14ac:dyDescent="0.35">
      <c r="A3672" t="s">
        <v>20</v>
      </c>
      <c r="B3672" t="s">
        <v>21</v>
      </c>
      <c r="C3672" t="s">
        <v>51</v>
      </c>
      <c r="D3672" t="s">
        <v>2458</v>
      </c>
      <c r="E3672">
        <v>80895277</v>
      </c>
      <c r="F3672" t="s">
        <v>2459</v>
      </c>
      <c r="G3672" s="3">
        <v>47249</v>
      </c>
      <c r="H3672">
        <v>36</v>
      </c>
      <c r="I3672">
        <v>98</v>
      </c>
      <c r="J3672">
        <v>80</v>
      </c>
      <c r="K3672" s="4">
        <v>18086.400000000001</v>
      </c>
      <c r="L3672" s="4">
        <v>1533.5714285714287</v>
      </c>
      <c r="M3672" s="4">
        <v>5.2165812761993474E-2</v>
      </c>
      <c r="N3672" t="s">
        <v>25</v>
      </c>
      <c r="O3672" t="str">
        <f t="shared" si="570"/>
        <v>Low</v>
      </c>
      <c r="P3672" t="str">
        <f t="shared" si="571"/>
        <v>Low</v>
      </c>
      <c r="Q3672" t="str">
        <f t="shared" si="572"/>
        <v>Low</v>
      </c>
      <c r="R3672" t="s">
        <v>3317</v>
      </c>
      <c r="S3672" s="4">
        <f t="shared" ca="1" si="573"/>
        <v>1052</v>
      </c>
      <c r="T3672">
        <f t="shared" si="574"/>
        <v>1</v>
      </c>
      <c r="U3672">
        <f t="shared" si="575"/>
        <v>1</v>
      </c>
      <c r="V3672">
        <f t="shared" si="576"/>
        <v>1</v>
      </c>
      <c r="W3672">
        <f t="shared" si="577"/>
        <v>1</v>
      </c>
      <c r="X3672">
        <f t="shared" si="578"/>
        <v>0.99999999999999989</v>
      </c>
      <c r="Y3672" t="str">
        <f t="shared" si="579"/>
        <v>Healthy</v>
      </c>
    </row>
    <row r="3673" spans="1:25" x14ac:dyDescent="0.35">
      <c r="A3673" t="s">
        <v>189</v>
      </c>
      <c r="B3673" t="s">
        <v>190</v>
      </c>
      <c r="C3673" t="s">
        <v>190</v>
      </c>
      <c r="D3673" t="s">
        <v>2471</v>
      </c>
      <c r="E3673">
        <v>83916220</v>
      </c>
      <c r="F3673" t="s">
        <v>2472</v>
      </c>
      <c r="G3673" s="3">
        <v>46703</v>
      </c>
      <c r="H3673">
        <v>18</v>
      </c>
      <c r="I3673">
        <v>95</v>
      </c>
      <c r="J3673">
        <v>76</v>
      </c>
      <c r="K3673" s="4">
        <v>145993.72</v>
      </c>
      <c r="L3673" s="4">
        <v>23.857142857142858</v>
      </c>
      <c r="M3673" s="4">
        <v>3.1856287425149699</v>
      </c>
      <c r="N3673" t="s">
        <v>25</v>
      </c>
      <c r="O3673" t="str">
        <f t="shared" si="570"/>
        <v>Low</v>
      </c>
      <c r="P3673" t="str">
        <f t="shared" si="571"/>
        <v>Low</v>
      </c>
      <c r="Q3673" t="str">
        <f t="shared" si="572"/>
        <v>Low</v>
      </c>
      <c r="R3673" t="s">
        <v>3309</v>
      </c>
      <c r="S3673" s="4">
        <f t="shared" ca="1" si="573"/>
        <v>506</v>
      </c>
      <c r="T3673">
        <f t="shared" si="574"/>
        <v>1</v>
      </c>
      <c r="U3673">
        <f t="shared" si="575"/>
        <v>1</v>
      </c>
      <c r="V3673">
        <f t="shared" si="576"/>
        <v>1</v>
      </c>
      <c r="W3673">
        <f t="shared" si="577"/>
        <v>3</v>
      </c>
      <c r="X3673">
        <f t="shared" si="578"/>
        <v>1.2</v>
      </c>
      <c r="Y3673" t="str">
        <f t="shared" si="579"/>
        <v>Healthy</v>
      </c>
    </row>
    <row r="3674" spans="1:25" x14ac:dyDescent="0.35">
      <c r="A3674" t="s">
        <v>71</v>
      </c>
      <c r="B3674" t="s">
        <v>72</v>
      </c>
      <c r="C3674" t="s">
        <v>1228</v>
      </c>
      <c r="D3674" t="s">
        <v>2473</v>
      </c>
      <c r="E3674">
        <v>80887987</v>
      </c>
      <c r="F3674" t="s">
        <v>2474</v>
      </c>
      <c r="G3674" s="3">
        <v>47218</v>
      </c>
      <c r="H3674">
        <v>36</v>
      </c>
      <c r="I3674">
        <v>95</v>
      </c>
      <c r="J3674">
        <v>72</v>
      </c>
      <c r="K3674" s="4">
        <v>32255.279999999999</v>
      </c>
      <c r="L3674" s="4">
        <v>4459.4285714285716</v>
      </c>
      <c r="M3674" s="4">
        <v>1.6145566376217325E-2</v>
      </c>
      <c r="N3674" t="s">
        <v>25</v>
      </c>
      <c r="O3674" t="str">
        <f t="shared" si="570"/>
        <v>Low</v>
      </c>
      <c r="P3674" t="str">
        <f t="shared" si="571"/>
        <v>Low</v>
      </c>
      <c r="Q3674" t="str">
        <f t="shared" si="572"/>
        <v>Low</v>
      </c>
      <c r="R3674" t="s">
        <v>3317</v>
      </c>
      <c r="S3674" s="4">
        <f t="shared" ca="1" si="573"/>
        <v>1021</v>
      </c>
      <c r="T3674">
        <f t="shared" si="574"/>
        <v>1</v>
      </c>
      <c r="U3674">
        <f t="shared" si="575"/>
        <v>1</v>
      </c>
      <c r="V3674">
        <f t="shared" si="576"/>
        <v>1</v>
      </c>
      <c r="W3674">
        <f t="shared" si="577"/>
        <v>1</v>
      </c>
      <c r="X3674">
        <f t="shared" si="578"/>
        <v>0.99999999999999989</v>
      </c>
      <c r="Y3674" t="str">
        <f t="shared" si="579"/>
        <v>Healthy</v>
      </c>
    </row>
    <row r="3675" spans="1:25" x14ac:dyDescent="0.35">
      <c r="A3675" t="s">
        <v>189</v>
      </c>
      <c r="B3675" t="s">
        <v>190</v>
      </c>
      <c r="C3675" t="s">
        <v>190</v>
      </c>
      <c r="D3675" t="s">
        <v>2475</v>
      </c>
      <c r="E3675">
        <v>83916221</v>
      </c>
      <c r="F3675" t="s">
        <v>2476</v>
      </c>
      <c r="G3675" s="3">
        <v>46692</v>
      </c>
      <c r="H3675">
        <v>18</v>
      </c>
      <c r="I3675">
        <v>93</v>
      </c>
      <c r="J3675">
        <v>23</v>
      </c>
      <c r="K3675" s="4">
        <v>51329.1</v>
      </c>
      <c r="L3675" s="4">
        <v>0.42857142857142855</v>
      </c>
      <c r="M3675" s="4">
        <v>53.666666666666671</v>
      </c>
      <c r="N3675" t="s">
        <v>19</v>
      </c>
      <c r="O3675" t="str">
        <f t="shared" si="570"/>
        <v>Low</v>
      </c>
      <c r="P3675" t="str">
        <f t="shared" si="571"/>
        <v>High</v>
      </c>
      <c r="Q3675" t="str">
        <f t="shared" si="572"/>
        <v>High</v>
      </c>
      <c r="R3675" t="s">
        <v>3317</v>
      </c>
      <c r="S3675" s="4">
        <f t="shared" ca="1" si="573"/>
        <v>495</v>
      </c>
      <c r="T3675">
        <f t="shared" si="574"/>
        <v>1</v>
      </c>
      <c r="U3675">
        <f t="shared" si="575"/>
        <v>3</v>
      </c>
      <c r="V3675">
        <f t="shared" si="576"/>
        <v>3</v>
      </c>
      <c r="W3675">
        <f t="shared" si="577"/>
        <v>1</v>
      </c>
      <c r="X3675">
        <f t="shared" si="578"/>
        <v>2</v>
      </c>
      <c r="Y3675" t="str">
        <f t="shared" si="579"/>
        <v>Monitor</v>
      </c>
    </row>
    <row r="3676" spans="1:25" x14ac:dyDescent="0.35">
      <c r="A3676" t="s">
        <v>71</v>
      </c>
      <c r="B3676" t="s">
        <v>72</v>
      </c>
      <c r="C3676" t="s">
        <v>1228</v>
      </c>
      <c r="D3676" t="s">
        <v>2473</v>
      </c>
      <c r="E3676">
        <v>80887987</v>
      </c>
      <c r="F3676" t="s">
        <v>2474</v>
      </c>
      <c r="G3676" s="3">
        <v>47247</v>
      </c>
      <c r="H3676">
        <v>36</v>
      </c>
      <c r="I3676">
        <v>98</v>
      </c>
      <c r="J3676">
        <v>81</v>
      </c>
      <c r="K3676" s="4">
        <v>36287.19</v>
      </c>
      <c r="L3676" s="4">
        <v>4459.4285714285716</v>
      </c>
      <c r="M3676" s="4">
        <v>1.8163762173244488E-2</v>
      </c>
      <c r="N3676" t="s">
        <v>25</v>
      </c>
      <c r="O3676" t="str">
        <f t="shared" si="570"/>
        <v>Low</v>
      </c>
      <c r="P3676" t="str">
        <f t="shared" si="571"/>
        <v>Low</v>
      </c>
      <c r="Q3676" t="str">
        <f t="shared" si="572"/>
        <v>Low</v>
      </c>
      <c r="R3676" t="s">
        <v>3317</v>
      </c>
      <c r="S3676" s="4">
        <f t="shared" ca="1" si="573"/>
        <v>1050</v>
      </c>
      <c r="T3676">
        <f t="shared" si="574"/>
        <v>1</v>
      </c>
      <c r="U3676">
        <f t="shared" si="575"/>
        <v>1</v>
      </c>
      <c r="V3676">
        <f t="shared" si="576"/>
        <v>1</v>
      </c>
      <c r="W3676">
        <f t="shared" si="577"/>
        <v>1</v>
      </c>
      <c r="X3676">
        <f t="shared" si="578"/>
        <v>0.99999999999999989</v>
      </c>
      <c r="Y3676" t="str">
        <f t="shared" si="579"/>
        <v>Healthy</v>
      </c>
    </row>
    <row r="3677" spans="1:25" x14ac:dyDescent="0.35">
      <c r="A3677" t="s">
        <v>189</v>
      </c>
      <c r="B3677" t="s">
        <v>190</v>
      </c>
      <c r="C3677" t="s">
        <v>190</v>
      </c>
      <c r="D3677" t="s">
        <v>249</v>
      </c>
      <c r="E3677">
        <v>83916222</v>
      </c>
      <c r="F3677" t="s">
        <v>2477</v>
      </c>
      <c r="G3677" s="3">
        <v>46683</v>
      </c>
      <c r="H3677">
        <v>18</v>
      </c>
      <c r="I3677">
        <v>91</v>
      </c>
      <c r="J3677">
        <v>713</v>
      </c>
      <c r="K3677" s="4">
        <v>113659.33</v>
      </c>
      <c r="L3677" s="4">
        <f>0</f>
        <v>0</v>
      </c>
      <c r="M3677" s="4">
        <f>999</f>
        <v>999</v>
      </c>
      <c r="N3677" t="s">
        <v>19</v>
      </c>
      <c r="O3677" t="str">
        <f t="shared" si="570"/>
        <v>Low</v>
      </c>
      <c r="P3677" t="str">
        <f t="shared" si="571"/>
        <v>High</v>
      </c>
      <c r="Q3677" t="str">
        <f t="shared" si="572"/>
        <v>High</v>
      </c>
      <c r="R3677" t="s">
        <v>3310</v>
      </c>
      <c r="S3677" s="4">
        <f t="shared" ca="1" si="573"/>
        <v>486</v>
      </c>
      <c r="T3677">
        <f t="shared" si="574"/>
        <v>1</v>
      </c>
      <c r="U3677">
        <f t="shared" si="575"/>
        <v>3</v>
      </c>
      <c r="V3677">
        <f t="shared" si="576"/>
        <v>3</v>
      </c>
      <c r="W3677">
        <f t="shared" si="577"/>
        <v>2</v>
      </c>
      <c r="X3677">
        <f t="shared" si="578"/>
        <v>2.1</v>
      </c>
      <c r="Y3677" t="str">
        <f t="shared" si="579"/>
        <v>Monitor</v>
      </c>
    </row>
    <row r="3678" spans="1:25" x14ac:dyDescent="0.35">
      <c r="A3678" t="s">
        <v>71</v>
      </c>
      <c r="B3678" t="s">
        <v>72</v>
      </c>
      <c r="C3678" t="s">
        <v>1228</v>
      </c>
      <c r="D3678" t="s">
        <v>2473</v>
      </c>
      <c r="E3678">
        <v>80887987</v>
      </c>
      <c r="F3678" t="s">
        <v>2474</v>
      </c>
      <c r="G3678" s="3">
        <v>47265</v>
      </c>
      <c r="H3678">
        <v>36</v>
      </c>
      <c r="I3678">
        <v>99</v>
      </c>
      <c r="J3678">
        <v>282</v>
      </c>
      <c r="K3678" s="4">
        <v>126333.18</v>
      </c>
      <c r="L3678" s="4">
        <v>4459.4285714285716</v>
      </c>
      <c r="M3678" s="4">
        <v>6.3236801640184526E-2</v>
      </c>
      <c r="N3678" t="s">
        <v>25</v>
      </c>
      <c r="O3678" t="str">
        <f t="shared" si="570"/>
        <v>Low</v>
      </c>
      <c r="P3678" t="str">
        <f t="shared" si="571"/>
        <v>Low</v>
      </c>
      <c r="Q3678" t="str">
        <f t="shared" si="572"/>
        <v>Low</v>
      </c>
      <c r="R3678" t="s">
        <v>3310</v>
      </c>
      <c r="S3678" s="4">
        <f t="shared" ca="1" si="573"/>
        <v>1068</v>
      </c>
      <c r="T3678">
        <f t="shared" si="574"/>
        <v>1</v>
      </c>
      <c r="U3678">
        <f t="shared" si="575"/>
        <v>1</v>
      </c>
      <c r="V3678">
        <f t="shared" si="576"/>
        <v>1</v>
      </c>
      <c r="W3678">
        <f t="shared" si="577"/>
        <v>2</v>
      </c>
      <c r="X3678">
        <f t="shared" si="578"/>
        <v>1.0999999999999999</v>
      </c>
      <c r="Y3678" t="str">
        <f t="shared" si="579"/>
        <v>Healthy</v>
      </c>
    </row>
    <row r="3679" spans="1:25" x14ac:dyDescent="0.35">
      <c r="A3679" t="s">
        <v>189</v>
      </c>
      <c r="B3679" t="s">
        <v>190</v>
      </c>
      <c r="C3679" t="s">
        <v>190</v>
      </c>
      <c r="D3679" t="s">
        <v>249</v>
      </c>
      <c r="E3679">
        <v>83916222</v>
      </c>
      <c r="F3679" t="s">
        <v>2477</v>
      </c>
      <c r="G3679" s="3">
        <v>46695</v>
      </c>
      <c r="H3679">
        <v>18</v>
      </c>
      <c r="I3679">
        <v>93</v>
      </c>
      <c r="J3679">
        <v>557</v>
      </c>
      <c r="K3679" s="4">
        <v>88791.37</v>
      </c>
      <c r="L3679" s="4">
        <f>0</f>
        <v>0</v>
      </c>
      <c r="M3679" s="4">
        <f>999</f>
        <v>999</v>
      </c>
      <c r="N3679" t="s">
        <v>19</v>
      </c>
      <c r="O3679" t="str">
        <f t="shared" si="570"/>
        <v>Low</v>
      </c>
      <c r="P3679" t="str">
        <f t="shared" si="571"/>
        <v>High</v>
      </c>
      <c r="Q3679" t="str">
        <f t="shared" si="572"/>
        <v>High</v>
      </c>
      <c r="R3679" t="s">
        <v>3310</v>
      </c>
      <c r="S3679" s="4">
        <f t="shared" ca="1" si="573"/>
        <v>498</v>
      </c>
      <c r="T3679">
        <f t="shared" si="574"/>
        <v>1</v>
      </c>
      <c r="U3679">
        <f t="shared" si="575"/>
        <v>3</v>
      </c>
      <c r="V3679">
        <f t="shared" si="576"/>
        <v>3</v>
      </c>
      <c r="W3679">
        <f t="shared" si="577"/>
        <v>2</v>
      </c>
      <c r="X3679">
        <f t="shared" si="578"/>
        <v>2.1</v>
      </c>
      <c r="Y3679" t="str">
        <f t="shared" si="579"/>
        <v>Monitor</v>
      </c>
    </row>
    <row r="3680" spans="1:25" x14ac:dyDescent="0.35">
      <c r="A3680" t="s">
        <v>71</v>
      </c>
      <c r="B3680" t="s">
        <v>72</v>
      </c>
      <c r="C3680" t="s">
        <v>1228</v>
      </c>
      <c r="D3680" t="s">
        <v>2473</v>
      </c>
      <c r="E3680">
        <v>80887987</v>
      </c>
      <c r="F3680" t="s">
        <v>2474</v>
      </c>
      <c r="G3680" s="3">
        <v>47249</v>
      </c>
      <c r="H3680">
        <v>36</v>
      </c>
      <c r="I3680">
        <v>98</v>
      </c>
      <c r="J3680">
        <v>72</v>
      </c>
      <c r="K3680" s="4">
        <v>32255.279999999999</v>
      </c>
      <c r="L3680" s="4">
        <v>4459.4285714285716</v>
      </c>
      <c r="M3680" s="4">
        <v>1.6145566376217325E-2</v>
      </c>
      <c r="N3680" t="s">
        <v>25</v>
      </c>
      <c r="O3680" t="str">
        <f t="shared" si="570"/>
        <v>Low</v>
      </c>
      <c r="P3680" t="str">
        <f t="shared" si="571"/>
        <v>Low</v>
      </c>
      <c r="Q3680" t="str">
        <f t="shared" si="572"/>
        <v>Low</v>
      </c>
      <c r="R3680" t="s">
        <v>3317</v>
      </c>
      <c r="S3680" s="4">
        <f t="shared" ca="1" si="573"/>
        <v>1052</v>
      </c>
      <c r="T3680">
        <f t="shared" si="574"/>
        <v>1</v>
      </c>
      <c r="U3680">
        <f t="shared" si="575"/>
        <v>1</v>
      </c>
      <c r="V3680">
        <f t="shared" si="576"/>
        <v>1</v>
      </c>
      <c r="W3680">
        <f t="shared" si="577"/>
        <v>1</v>
      </c>
      <c r="X3680">
        <f t="shared" si="578"/>
        <v>0.99999999999999989</v>
      </c>
      <c r="Y3680" t="str">
        <f t="shared" si="579"/>
        <v>Healthy</v>
      </c>
    </row>
    <row r="3681" spans="1:25" x14ac:dyDescent="0.35">
      <c r="A3681" t="s">
        <v>90</v>
      </c>
      <c r="B3681" t="s">
        <v>91</v>
      </c>
      <c r="C3681" t="s">
        <v>155</v>
      </c>
      <c r="D3681" t="s">
        <v>2478</v>
      </c>
      <c r="E3681">
        <v>83914218</v>
      </c>
      <c r="F3681" t="s">
        <v>2479</v>
      </c>
      <c r="G3681" s="3">
        <v>46870</v>
      </c>
      <c r="H3681">
        <v>24</v>
      </c>
      <c r="I3681">
        <v>94</v>
      </c>
      <c r="J3681">
        <v>195</v>
      </c>
      <c r="K3681" s="4">
        <v>32884.800000000003</v>
      </c>
      <c r="L3681" s="4">
        <v>332</v>
      </c>
      <c r="M3681" s="4">
        <v>0.58734939759036142</v>
      </c>
      <c r="N3681" t="s">
        <v>25</v>
      </c>
      <c r="O3681" t="str">
        <f t="shared" si="570"/>
        <v>Low</v>
      </c>
      <c r="P3681" t="str">
        <f t="shared" si="571"/>
        <v>Low</v>
      </c>
      <c r="Q3681" t="str">
        <f t="shared" si="572"/>
        <v>Low</v>
      </c>
      <c r="R3681" t="s">
        <v>3317</v>
      </c>
      <c r="S3681" s="4">
        <f t="shared" ca="1" si="573"/>
        <v>673</v>
      </c>
      <c r="T3681">
        <f t="shared" si="574"/>
        <v>1</v>
      </c>
      <c r="U3681">
        <f t="shared" si="575"/>
        <v>1</v>
      </c>
      <c r="V3681">
        <f t="shared" si="576"/>
        <v>1</v>
      </c>
      <c r="W3681">
        <f t="shared" si="577"/>
        <v>1</v>
      </c>
      <c r="X3681">
        <f t="shared" si="578"/>
        <v>0.99999999999999989</v>
      </c>
      <c r="Y3681" t="str">
        <f t="shared" si="579"/>
        <v>Healthy</v>
      </c>
    </row>
    <row r="3682" spans="1:25" x14ac:dyDescent="0.35">
      <c r="A3682" t="s">
        <v>90</v>
      </c>
      <c r="B3682" t="s">
        <v>91</v>
      </c>
      <c r="C3682" t="s">
        <v>155</v>
      </c>
      <c r="D3682" t="s">
        <v>2478</v>
      </c>
      <c r="E3682">
        <v>83914218</v>
      </c>
      <c r="F3682" t="s">
        <v>2479</v>
      </c>
      <c r="G3682" s="3">
        <v>46912</v>
      </c>
      <c r="H3682">
        <v>24</v>
      </c>
      <c r="I3682">
        <v>100</v>
      </c>
      <c r="J3682">
        <v>252</v>
      </c>
      <c r="K3682" s="4">
        <v>42497.279999999999</v>
      </c>
      <c r="L3682" s="4">
        <v>332</v>
      </c>
      <c r="M3682" s="4">
        <v>0.75903614457831325</v>
      </c>
      <c r="N3682" t="s">
        <v>25</v>
      </c>
      <c r="O3682" t="str">
        <f t="shared" si="570"/>
        <v>Low</v>
      </c>
      <c r="P3682" t="str">
        <f t="shared" si="571"/>
        <v>Low</v>
      </c>
      <c r="Q3682" t="str">
        <f t="shared" si="572"/>
        <v>Low</v>
      </c>
      <c r="R3682" t="s">
        <v>3317</v>
      </c>
      <c r="S3682" s="4">
        <f t="shared" ca="1" si="573"/>
        <v>715</v>
      </c>
      <c r="T3682">
        <f t="shared" si="574"/>
        <v>1</v>
      </c>
      <c r="U3682">
        <f t="shared" si="575"/>
        <v>1</v>
      </c>
      <c r="V3682">
        <f t="shared" si="576"/>
        <v>1</v>
      </c>
      <c r="W3682">
        <f t="shared" si="577"/>
        <v>1</v>
      </c>
      <c r="X3682">
        <f t="shared" si="578"/>
        <v>0.99999999999999989</v>
      </c>
      <c r="Y3682" t="str">
        <f t="shared" si="579"/>
        <v>Healthy</v>
      </c>
    </row>
    <row r="3683" spans="1:25" x14ac:dyDescent="0.35">
      <c r="A3683" t="s">
        <v>71</v>
      </c>
      <c r="B3683" t="s">
        <v>72</v>
      </c>
      <c r="C3683" t="s">
        <v>1228</v>
      </c>
      <c r="D3683" t="s">
        <v>2473</v>
      </c>
      <c r="E3683">
        <v>80887987</v>
      </c>
      <c r="F3683" t="s">
        <v>2474</v>
      </c>
      <c r="G3683" s="3">
        <v>47242</v>
      </c>
      <c r="H3683">
        <v>36</v>
      </c>
      <c r="I3683">
        <v>97</v>
      </c>
      <c r="J3683">
        <v>42</v>
      </c>
      <c r="K3683" s="4">
        <v>18815.580000000002</v>
      </c>
      <c r="L3683" s="4">
        <v>4459.4285714285716</v>
      </c>
      <c r="M3683" s="4">
        <v>9.4182470527934391E-3</v>
      </c>
      <c r="N3683" t="s">
        <v>25</v>
      </c>
      <c r="O3683" t="str">
        <f t="shared" si="570"/>
        <v>Low</v>
      </c>
      <c r="P3683" t="str">
        <f t="shared" si="571"/>
        <v>Low</v>
      </c>
      <c r="Q3683" t="str">
        <f t="shared" si="572"/>
        <v>Low</v>
      </c>
      <c r="R3683" t="s">
        <v>3317</v>
      </c>
      <c r="S3683" s="4">
        <f t="shared" ca="1" si="573"/>
        <v>1045</v>
      </c>
      <c r="T3683">
        <f t="shared" si="574"/>
        <v>1</v>
      </c>
      <c r="U3683">
        <f t="shared" si="575"/>
        <v>1</v>
      </c>
      <c r="V3683">
        <f t="shared" si="576"/>
        <v>1</v>
      </c>
      <c r="W3683">
        <f t="shared" si="577"/>
        <v>1</v>
      </c>
      <c r="X3683">
        <f t="shared" si="578"/>
        <v>0.99999999999999989</v>
      </c>
      <c r="Y3683" t="str">
        <f t="shared" si="579"/>
        <v>Healthy</v>
      </c>
    </row>
    <row r="3684" spans="1:25" x14ac:dyDescent="0.35">
      <c r="A3684" t="s">
        <v>90</v>
      </c>
      <c r="B3684" t="s">
        <v>91</v>
      </c>
      <c r="C3684" t="s">
        <v>155</v>
      </c>
      <c r="D3684" t="s">
        <v>2478</v>
      </c>
      <c r="E3684">
        <v>83914218</v>
      </c>
      <c r="F3684" t="s">
        <v>2479</v>
      </c>
      <c r="G3684" s="3">
        <v>46880</v>
      </c>
      <c r="H3684">
        <v>24</v>
      </c>
      <c r="I3684">
        <v>96</v>
      </c>
      <c r="J3684">
        <v>188</v>
      </c>
      <c r="K3684" s="4">
        <v>31704.32</v>
      </c>
      <c r="L3684" s="4">
        <v>332</v>
      </c>
      <c r="M3684" s="4">
        <v>0.5662650602409639</v>
      </c>
      <c r="N3684" t="s">
        <v>25</v>
      </c>
      <c r="O3684" t="str">
        <f t="shared" si="570"/>
        <v>Low</v>
      </c>
      <c r="P3684" t="str">
        <f t="shared" si="571"/>
        <v>Low</v>
      </c>
      <c r="Q3684" t="str">
        <f t="shared" si="572"/>
        <v>Low</v>
      </c>
      <c r="R3684" t="s">
        <v>3317</v>
      </c>
      <c r="S3684" s="4">
        <f t="shared" ca="1" si="573"/>
        <v>683</v>
      </c>
      <c r="T3684">
        <f t="shared" si="574"/>
        <v>1</v>
      </c>
      <c r="U3684">
        <f t="shared" si="575"/>
        <v>1</v>
      </c>
      <c r="V3684">
        <f t="shared" si="576"/>
        <v>1</v>
      </c>
      <c r="W3684">
        <f t="shared" si="577"/>
        <v>1</v>
      </c>
      <c r="X3684">
        <f t="shared" si="578"/>
        <v>0.99999999999999989</v>
      </c>
      <c r="Y3684" t="str">
        <f t="shared" si="579"/>
        <v>Healthy</v>
      </c>
    </row>
    <row r="3685" spans="1:25" x14ac:dyDescent="0.35">
      <c r="A3685" t="s">
        <v>71</v>
      </c>
      <c r="B3685" t="s">
        <v>72</v>
      </c>
      <c r="C3685" t="s">
        <v>1228</v>
      </c>
      <c r="D3685" t="s">
        <v>2473</v>
      </c>
      <c r="E3685">
        <v>80887987</v>
      </c>
      <c r="F3685" t="s">
        <v>2474</v>
      </c>
      <c r="G3685" s="3">
        <v>47264</v>
      </c>
      <c r="H3685">
        <v>36</v>
      </c>
      <c r="I3685">
        <v>99</v>
      </c>
      <c r="J3685">
        <v>522</v>
      </c>
      <c r="K3685" s="4">
        <v>233850.78</v>
      </c>
      <c r="L3685" s="4">
        <v>4459.4285714285716</v>
      </c>
      <c r="M3685" s="4">
        <v>0.1170553562275756</v>
      </c>
      <c r="N3685" t="s">
        <v>25</v>
      </c>
      <c r="O3685" t="str">
        <f t="shared" si="570"/>
        <v>Low</v>
      </c>
      <c r="P3685" t="str">
        <f t="shared" si="571"/>
        <v>Low</v>
      </c>
      <c r="Q3685" t="str">
        <f t="shared" si="572"/>
        <v>Low</v>
      </c>
      <c r="R3685" t="s">
        <v>3309</v>
      </c>
      <c r="S3685" s="4">
        <f t="shared" ca="1" si="573"/>
        <v>1067</v>
      </c>
      <c r="T3685">
        <f t="shared" si="574"/>
        <v>1</v>
      </c>
      <c r="U3685">
        <f t="shared" si="575"/>
        <v>1</v>
      </c>
      <c r="V3685">
        <f t="shared" si="576"/>
        <v>1</v>
      </c>
      <c r="W3685">
        <f t="shared" si="577"/>
        <v>3</v>
      </c>
      <c r="X3685">
        <f t="shared" si="578"/>
        <v>1.2</v>
      </c>
      <c r="Y3685" t="str">
        <f t="shared" si="579"/>
        <v>Healthy</v>
      </c>
    </row>
    <row r="3686" spans="1:25" x14ac:dyDescent="0.35">
      <c r="A3686" t="s">
        <v>90</v>
      </c>
      <c r="B3686" t="s">
        <v>91</v>
      </c>
      <c r="C3686" t="s">
        <v>155</v>
      </c>
      <c r="D3686" t="s">
        <v>2478</v>
      </c>
      <c r="E3686">
        <v>83914218</v>
      </c>
      <c r="F3686" t="s">
        <v>2479</v>
      </c>
      <c r="G3686" s="3">
        <v>46890</v>
      </c>
      <c r="H3686">
        <v>24</v>
      </c>
      <c r="I3686">
        <v>97</v>
      </c>
      <c r="J3686">
        <v>244</v>
      </c>
      <c r="K3686" s="4">
        <v>41148.160000000003</v>
      </c>
      <c r="L3686" s="4">
        <v>332</v>
      </c>
      <c r="M3686" s="4">
        <v>0.73493975903614461</v>
      </c>
      <c r="N3686" t="s">
        <v>25</v>
      </c>
      <c r="O3686" t="str">
        <f t="shared" si="570"/>
        <v>Low</v>
      </c>
      <c r="P3686" t="str">
        <f t="shared" si="571"/>
        <v>Low</v>
      </c>
      <c r="Q3686" t="str">
        <f t="shared" si="572"/>
        <v>Low</v>
      </c>
      <c r="R3686" t="s">
        <v>3317</v>
      </c>
      <c r="S3686" s="4">
        <f t="shared" ca="1" si="573"/>
        <v>693</v>
      </c>
      <c r="T3686">
        <f t="shared" si="574"/>
        <v>1</v>
      </c>
      <c r="U3686">
        <f t="shared" si="575"/>
        <v>1</v>
      </c>
      <c r="V3686">
        <f t="shared" si="576"/>
        <v>1</v>
      </c>
      <c r="W3686">
        <f t="shared" si="577"/>
        <v>1</v>
      </c>
      <c r="X3686">
        <f t="shared" si="578"/>
        <v>0.99999999999999989</v>
      </c>
      <c r="Y3686" t="str">
        <f t="shared" si="579"/>
        <v>Healthy</v>
      </c>
    </row>
    <row r="3687" spans="1:25" x14ac:dyDescent="0.35">
      <c r="A3687" t="s">
        <v>71</v>
      </c>
      <c r="B3687" t="s">
        <v>72</v>
      </c>
      <c r="C3687" t="s">
        <v>1228</v>
      </c>
      <c r="D3687" t="s">
        <v>2473</v>
      </c>
      <c r="E3687">
        <v>80887987</v>
      </c>
      <c r="F3687" t="s">
        <v>2474</v>
      </c>
      <c r="G3687" s="3">
        <v>47231</v>
      </c>
      <c r="H3687">
        <v>36</v>
      </c>
      <c r="I3687">
        <v>96</v>
      </c>
      <c r="J3687">
        <v>66</v>
      </c>
      <c r="K3687" s="4">
        <v>29567.34</v>
      </c>
      <c r="L3687" s="4">
        <v>4459.4285714285716</v>
      </c>
      <c r="M3687" s="4">
        <v>1.4800102511532546E-2</v>
      </c>
      <c r="N3687" t="s">
        <v>25</v>
      </c>
      <c r="O3687" t="str">
        <f t="shared" si="570"/>
        <v>Low</v>
      </c>
      <c r="P3687" t="str">
        <f t="shared" si="571"/>
        <v>Low</v>
      </c>
      <c r="Q3687" t="str">
        <f t="shared" si="572"/>
        <v>Low</v>
      </c>
      <c r="R3687" t="s">
        <v>3317</v>
      </c>
      <c r="S3687" s="4">
        <f t="shared" ca="1" si="573"/>
        <v>1034</v>
      </c>
      <c r="T3687">
        <f t="shared" si="574"/>
        <v>1</v>
      </c>
      <c r="U3687">
        <f t="shared" si="575"/>
        <v>1</v>
      </c>
      <c r="V3687">
        <f t="shared" si="576"/>
        <v>1</v>
      </c>
      <c r="W3687">
        <f t="shared" si="577"/>
        <v>1</v>
      </c>
      <c r="X3687">
        <f t="shared" si="578"/>
        <v>0.99999999999999989</v>
      </c>
      <c r="Y3687" t="str">
        <f t="shared" si="579"/>
        <v>Healthy</v>
      </c>
    </row>
    <row r="3688" spans="1:25" x14ac:dyDescent="0.35">
      <c r="A3688" t="s">
        <v>90</v>
      </c>
      <c r="B3688" t="s">
        <v>91</v>
      </c>
      <c r="C3688" t="s">
        <v>155</v>
      </c>
      <c r="D3688" t="s">
        <v>2478</v>
      </c>
      <c r="E3688">
        <v>83914218</v>
      </c>
      <c r="F3688" t="s">
        <v>2479</v>
      </c>
      <c r="G3688" s="3">
        <v>46888</v>
      </c>
      <c r="H3688">
        <v>24</v>
      </c>
      <c r="I3688">
        <v>97</v>
      </c>
      <c r="J3688">
        <v>157</v>
      </c>
      <c r="K3688" s="4">
        <v>26476.48</v>
      </c>
      <c r="L3688" s="4">
        <v>332</v>
      </c>
      <c r="M3688" s="4">
        <v>0.47289156626506024</v>
      </c>
      <c r="N3688" t="s">
        <v>25</v>
      </c>
      <c r="O3688" t="str">
        <f t="shared" si="570"/>
        <v>Low</v>
      </c>
      <c r="P3688" t="str">
        <f t="shared" si="571"/>
        <v>Low</v>
      </c>
      <c r="Q3688" t="str">
        <f t="shared" si="572"/>
        <v>Low</v>
      </c>
      <c r="R3688" t="s">
        <v>3317</v>
      </c>
      <c r="S3688" s="4">
        <f t="shared" ca="1" si="573"/>
        <v>691</v>
      </c>
      <c r="T3688">
        <f t="shared" si="574"/>
        <v>1</v>
      </c>
      <c r="U3688">
        <f t="shared" si="575"/>
        <v>1</v>
      </c>
      <c r="V3688">
        <f t="shared" si="576"/>
        <v>1</v>
      </c>
      <c r="W3688">
        <f t="shared" si="577"/>
        <v>1</v>
      </c>
      <c r="X3688">
        <f t="shared" si="578"/>
        <v>0.99999999999999989</v>
      </c>
      <c r="Y3688" t="str">
        <f t="shared" si="579"/>
        <v>Healthy</v>
      </c>
    </row>
    <row r="3689" spans="1:25" x14ac:dyDescent="0.35">
      <c r="A3689" t="s">
        <v>71</v>
      </c>
      <c r="B3689" t="s">
        <v>72</v>
      </c>
      <c r="C3689" t="s">
        <v>1228</v>
      </c>
      <c r="D3689" t="s">
        <v>2473</v>
      </c>
      <c r="E3689">
        <v>80887987</v>
      </c>
      <c r="F3689" t="s">
        <v>2474</v>
      </c>
      <c r="G3689" s="3">
        <v>47241</v>
      </c>
      <c r="H3689">
        <v>36</v>
      </c>
      <c r="I3689">
        <v>97</v>
      </c>
      <c r="J3689">
        <v>75</v>
      </c>
      <c r="K3689" s="4">
        <v>33599.25</v>
      </c>
      <c r="L3689" s="4">
        <v>4459.4285714285716</v>
      </c>
      <c r="M3689" s="4">
        <v>1.6818298308559711E-2</v>
      </c>
      <c r="N3689" t="s">
        <v>25</v>
      </c>
      <c r="O3689" t="str">
        <f t="shared" si="570"/>
        <v>Low</v>
      </c>
      <c r="P3689" t="str">
        <f t="shared" si="571"/>
        <v>Low</v>
      </c>
      <c r="Q3689" t="str">
        <f t="shared" si="572"/>
        <v>Low</v>
      </c>
      <c r="R3689" t="s">
        <v>3317</v>
      </c>
      <c r="S3689" s="4">
        <f t="shared" ca="1" si="573"/>
        <v>1044</v>
      </c>
      <c r="T3689">
        <f t="shared" si="574"/>
        <v>1</v>
      </c>
      <c r="U3689">
        <f t="shared" si="575"/>
        <v>1</v>
      </c>
      <c r="V3689">
        <f t="shared" si="576"/>
        <v>1</v>
      </c>
      <c r="W3689">
        <f t="shared" si="577"/>
        <v>1</v>
      </c>
      <c r="X3689">
        <f t="shared" si="578"/>
        <v>0.99999999999999989</v>
      </c>
      <c r="Y3689" t="str">
        <f t="shared" si="579"/>
        <v>Healthy</v>
      </c>
    </row>
    <row r="3690" spans="1:25" x14ac:dyDescent="0.35">
      <c r="A3690" t="s">
        <v>90</v>
      </c>
      <c r="B3690" t="s">
        <v>91</v>
      </c>
      <c r="C3690" t="s">
        <v>155</v>
      </c>
      <c r="D3690" t="s">
        <v>2478</v>
      </c>
      <c r="E3690">
        <v>83914218</v>
      </c>
      <c r="F3690" t="s">
        <v>2479</v>
      </c>
      <c r="G3690" s="3">
        <v>46866</v>
      </c>
      <c r="H3690">
        <v>24</v>
      </c>
      <c r="I3690">
        <v>94</v>
      </c>
      <c r="J3690">
        <v>64</v>
      </c>
      <c r="K3690" s="4">
        <v>10792.96</v>
      </c>
      <c r="L3690" s="4">
        <v>332</v>
      </c>
      <c r="M3690" s="4">
        <v>0.19277108433734941</v>
      </c>
      <c r="N3690" t="s">
        <v>25</v>
      </c>
      <c r="O3690" t="str">
        <f t="shared" si="570"/>
        <v>Low</v>
      </c>
      <c r="P3690" t="str">
        <f t="shared" si="571"/>
        <v>Low</v>
      </c>
      <c r="Q3690" t="str">
        <f t="shared" si="572"/>
        <v>Low</v>
      </c>
      <c r="R3690" t="s">
        <v>3317</v>
      </c>
      <c r="S3690" s="4">
        <f t="shared" ca="1" si="573"/>
        <v>669</v>
      </c>
      <c r="T3690">
        <f t="shared" si="574"/>
        <v>1</v>
      </c>
      <c r="U3690">
        <f t="shared" si="575"/>
        <v>1</v>
      </c>
      <c r="V3690">
        <f t="shared" si="576"/>
        <v>1</v>
      </c>
      <c r="W3690">
        <f t="shared" si="577"/>
        <v>1</v>
      </c>
      <c r="X3690">
        <f t="shared" si="578"/>
        <v>0.99999999999999989</v>
      </c>
      <c r="Y3690" t="str">
        <f t="shared" si="579"/>
        <v>Healthy</v>
      </c>
    </row>
    <row r="3691" spans="1:25" x14ac:dyDescent="0.35">
      <c r="A3691" t="s">
        <v>71</v>
      </c>
      <c r="B3691" t="s">
        <v>72</v>
      </c>
      <c r="C3691" t="s">
        <v>1228</v>
      </c>
      <c r="D3691" t="s">
        <v>2473</v>
      </c>
      <c r="E3691">
        <v>80887987</v>
      </c>
      <c r="F3691" t="s">
        <v>2474</v>
      </c>
      <c r="G3691" s="3">
        <v>47229</v>
      </c>
      <c r="H3691">
        <v>36</v>
      </c>
      <c r="I3691">
        <v>96</v>
      </c>
      <c r="J3691">
        <v>54</v>
      </c>
      <c r="K3691" s="4">
        <v>24191.46</v>
      </c>
      <c r="L3691" s="4">
        <v>4459.4285714285716</v>
      </c>
      <c r="M3691" s="4">
        <v>1.2109174782162993E-2</v>
      </c>
      <c r="N3691" t="s">
        <v>25</v>
      </c>
      <c r="O3691" t="str">
        <f t="shared" si="570"/>
        <v>Low</v>
      </c>
      <c r="P3691" t="str">
        <f t="shared" si="571"/>
        <v>Low</v>
      </c>
      <c r="Q3691" t="str">
        <f t="shared" si="572"/>
        <v>Low</v>
      </c>
      <c r="R3691" t="s">
        <v>3317</v>
      </c>
      <c r="S3691" s="4">
        <f t="shared" ca="1" si="573"/>
        <v>1032</v>
      </c>
      <c r="T3691">
        <f t="shared" si="574"/>
        <v>1</v>
      </c>
      <c r="U3691">
        <f t="shared" si="575"/>
        <v>1</v>
      </c>
      <c r="V3691">
        <f t="shared" si="576"/>
        <v>1</v>
      </c>
      <c r="W3691">
        <f t="shared" si="577"/>
        <v>1</v>
      </c>
      <c r="X3691">
        <f t="shared" si="578"/>
        <v>0.99999999999999989</v>
      </c>
      <c r="Y3691" t="str">
        <f t="shared" si="579"/>
        <v>Healthy</v>
      </c>
    </row>
    <row r="3692" spans="1:25" x14ac:dyDescent="0.35">
      <c r="A3692" t="s">
        <v>90</v>
      </c>
      <c r="B3692" t="s">
        <v>91</v>
      </c>
      <c r="C3692" t="s">
        <v>155</v>
      </c>
      <c r="D3692" t="s">
        <v>2478</v>
      </c>
      <c r="E3692">
        <v>83914218</v>
      </c>
      <c r="F3692" t="s">
        <v>2479</v>
      </c>
      <c r="G3692" s="3">
        <v>46903</v>
      </c>
      <c r="H3692">
        <v>24</v>
      </c>
      <c r="I3692">
        <v>99</v>
      </c>
      <c r="J3692">
        <v>360</v>
      </c>
      <c r="K3692" s="4">
        <v>60710.400000000001</v>
      </c>
      <c r="L3692" s="4">
        <v>332</v>
      </c>
      <c r="M3692" s="4">
        <v>1.0843373493975903</v>
      </c>
      <c r="N3692" t="s">
        <v>25</v>
      </c>
      <c r="O3692" t="str">
        <f t="shared" si="570"/>
        <v>Low</v>
      </c>
      <c r="P3692" t="str">
        <f t="shared" si="571"/>
        <v>Low</v>
      </c>
      <c r="Q3692" t="str">
        <f t="shared" si="572"/>
        <v>Low</v>
      </c>
      <c r="R3692" t="s">
        <v>3317</v>
      </c>
      <c r="S3692" s="4">
        <f t="shared" ca="1" si="573"/>
        <v>706</v>
      </c>
      <c r="T3692">
        <f t="shared" si="574"/>
        <v>1</v>
      </c>
      <c r="U3692">
        <f t="shared" si="575"/>
        <v>1</v>
      </c>
      <c r="V3692">
        <f t="shared" si="576"/>
        <v>1</v>
      </c>
      <c r="W3692">
        <f t="shared" si="577"/>
        <v>1</v>
      </c>
      <c r="X3692">
        <f t="shared" si="578"/>
        <v>0.99999999999999989</v>
      </c>
      <c r="Y3692" t="str">
        <f t="shared" si="579"/>
        <v>Healthy</v>
      </c>
    </row>
    <row r="3693" spans="1:25" x14ac:dyDescent="0.35">
      <c r="A3693" t="s">
        <v>71</v>
      </c>
      <c r="B3693" t="s">
        <v>72</v>
      </c>
      <c r="C3693" t="s">
        <v>1228</v>
      </c>
      <c r="D3693" t="s">
        <v>2473</v>
      </c>
      <c r="E3693">
        <v>80887987</v>
      </c>
      <c r="F3693" t="s">
        <v>2474</v>
      </c>
      <c r="G3693" s="3">
        <v>47241</v>
      </c>
      <c r="H3693">
        <v>36</v>
      </c>
      <c r="I3693">
        <v>97</v>
      </c>
      <c r="J3693">
        <v>42</v>
      </c>
      <c r="K3693" s="4">
        <v>18815.580000000002</v>
      </c>
      <c r="L3693" s="4">
        <v>4459.4285714285716</v>
      </c>
      <c r="M3693" s="4">
        <v>9.4182470527934391E-3</v>
      </c>
      <c r="N3693" t="s">
        <v>25</v>
      </c>
      <c r="O3693" t="str">
        <f t="shared" si="570"/>
        <v>Low</v>
      </c>
      <c r="P3693" t="str">
        <f t="shared" si="571"/>
        <v>Low</v>
      </c>
      <c r="Q3693" t="str">
        <f t="shared" si="572"/>
        <v>Low</v>
      </c>
      <c r="R3693" t="s">
        <v>3317</v>
      </c>
      <c r="S3693" s="4">
        <f t="shared" ca="1" si="573"/>
        <v>1044</v>
      </c>
      <c r="T3693">
        <f t="shared" si="574"/>
        <v>1</v>
      </c>
      <c r="U3693">
        <f t="shared" si="575"/>
        <v>1</v>
      </c>
      <c r="V3693">
        <f t="shared" si="576"/>
        <v>1</v>
      </c>
      <c r="W3693">
        <f t="shared" si="577"/>
        <v>1</v>
      </c>
      <c r="X3693">
        <f t="shared" si="578"/>
        <v>0.99999999999999989</v>
      </c>
      <c r="Y3693" t="str">
        <f t="shared" si="579"/>
        <v>Healthy</v>
      </c>
    </row>
    <row r="3694" spans="1:25" x14ac:dyDescent="0.35">
      <c r="A3694" t="s">
        <v>71</v>
      </c>
      <c r="B3694" t="s">
        <v>72</v>
      </c>
      <c r="C3694" t="s">
        <v>1228</v>
      </c>
      <c r="D3694" t="s">
        <v>2473</v>
      </c>
      <c r="E3694">
        <v>80887987</v>
      </c>
      <c r="F3694" t="s">
        <v>2474</v>
      </c>
      <c r="G3694" s="3">
        <v>47214</v>
      </c>
      <c r="H3694">
        <v>36</v>
      </c>
      <c r="I3694">
        <v>95</v>
      </c>
      <c r="J3694">
        <v>6</v>
      </c>
      <c r="K3694" s="4">
        <v>2687.94</v>
      </c>
      <c r="L3694" s="4">
        <v>4459.4285714285716</v>
      </c>
      <c r="M3694" s="4">
        <v>1.345463864684777E-3</v>
      </c>
      <c r="N3694" t="s">
        <v>25</v>
      </c>
      <c r="O3694" t="str">
        <f t="shared" si="570"/>
        <v>Low</v>
      </c>
      <c r="P3694" t="str">
        <f t="shared" si="571"/>
        <v>Low</v>
      </c>
      <c r="Q3694" t="str">
        <f t="shared" si="572"/>
        <v>Low</v>
      </c>
      <c r="R3694" t="s">
        <v>3317</v>
      </c>
      <c r="S3694" s="4">
        <f t="shared" ca="1" si="573"/>
        <v>1017</v>
      </c>
      <c r="T3694">
        <f t="shared" si="574"/>
        <v>1</v>
      </c>
      <c r="U3694">
        <f t="shared" si="575"/>
        <v>1</v>
      </c>
      <c r="V3694">
        <f t="shared" si="576"/>
        <v>1</v>
      </c>
      <c r="W3694">
        <f t="shared" si="577"/>
        <v>1</v>
      </c>
      <c r="X3694">
        <f t="shared" si="578"/>
        <v>0.99999999999999989</v>
      </c>
      <c r="Y3694" t="str">
        <f t="shared" si="579"/>
        <v>Healthy</v>
      </c>
    </row>
    <row r="3695" spans="1:25" x14ac:dyDescent="0.35">
      <c r="A3695" t="s">
        <v>46</v>
      </c>
      <c r="B3695" t="s">
        <v>129</v>
      </c>
      <c r="C3695" t="s">
        <v>665</v>
      </c>
      <c r="D3695" t="s">
        <v>2480</v>
      </c>
      <c r="E3695">
        <v>82314498</v>
      </c>
      <c r="F3695" t="s">
        <v>2481</v>
      </c>
      <c r="G3695" s="3">
        <v>45665</v>
      </c>
      <c r="H3695">
        <v>36</v>
      </c>
      <c r="I3695">
        <v>0</v>
      </c>
      <c r="J3695">
        <v>1</v>
      </c>
      <c r="K3695" s="4">
        <v>71.34</v>
      </c>
      <c r="L3695" s="4">
        <f>0</f>
        <v>0</v>
      </c>
      <c r="M3695" s="4">
        <f>999</f>
        <v>999</v>
      </c>
      <c r="N3695" t="s">
        <v>19</v>
      </c>
      <c r="O3695" t="str">
        <f t="shared" si="570"/>
        <v>High</v>
      </c>
      <c r="P3695" t="str">
        <f t="shared" si="571"/>
        <v>High</v>
      </c>
      <c r="Q3695" t="str">
        <f t="shared" si="572"/>
        <v>High</v>
      </c>
      <c r="R3695" t="s">
        <v>3317</v>
      </c>
      <c r="S3695" s="4">
        <f t="shared" ca="1" si="573"/>
        <v>-532</v>
      </c>
      <c r="T3695">
        <f t="shared" si="574"/>
        <v>3</v>
      </c>
      <c r="U3695">
        <f t="shared" si="575"/>
        <v>3</v>
      </c>
      <c r="V3695">
        <f t="shared" si="576"/>
        <v>3</v>
      </c>
      <c r="W3695">
        <f t="shared" si="577"/>
        <v>1</v>
      </c>
      <c r="X3695">
        <f t="shared" si="578"/>
        <v>2.8000000000000003</v>
      </c>
      <c r="Y3695" t="str">
        <f t="shared" si="579"/>
        <v>Move Immediately</v>
      </c>
    </row>
    <row r="3696" spans="1:25" x14ac:dyDescent="0.35">
      <c r="A3696" t="s">
        <v>71</v>
      </c>
      <c r="B3696" t="s">
        <v>72</v>
      </c>
      <c r="C3696" t="s">
        <v>1228</v>
      </c>
      <c r="D3696" t="s">
        <v>2473</v>
      </c>
      <c r="E3696">
        <v>80887987</v>
      </c>
      <c r="F3696" t="s">
        <v>2474</v>
      </c>
      <c r="G3696" s="3">
        <v>47244</v>
      </c>
      <c r="H3696">
        <v>36</v>
      </c>
      <c r="I3696">
        <v>97</v>
      </c>
      <c r="J3696">
        <v>72</v>
      </c>
      <c r="K3696" s="4">
        <v>32255.279999999999</v>
      </c>
      <c r="L3696" s="4">
        <v>4459.4285714285716</v>
      </c>
      <c r="M3696" s="4">
        <v>1.6145566376217325E-2</v>
      </c>
      <c r="N3696" t="s">
        <v>25</v>
      </c>
      <c r="O3696" t="str">
        <f t="shared" si="570"/>
        <v>Low</v>
      </c>
      <c r="P3696" t="str">
        <f t="shared" si="571"/>
        <v>Low</v>
      </c>
      <c r="Q3696" t="str">
        <f t="shared" si="572"/>
        <v>Low</v>
      </c>
      <c r="R3696" t="s">
        <v>3317</v>
      </c>
      <c r="S3696" s="4">
        <f t="shared" ca="1" si="573"/>
        <v>1047</v>
      </c>
      <c r="T3696">
        <f t="shared" si="574"/>
        <v>1</v>
      </c>
      <c r="U3696">
        <f t="shared" si="575"/>
        <v>1</v>
      </c>
      <c r="V3696">
        <f t="shared" si="576"/>
        <v>1</v>
      </c>
      <c r="W3696">
        <f t="shared" si="577"/>
        <v>1</v>
      </c>
      <c r="X3696">
        <f t="shared" si="578"/>
        <v>0.99999999999999989</v>
      </c>
      <c r="Y3696" t="str">
        <f t="shared" si="579"/>
        <v>Healthy</v>
      </c>
    </row>
    <row r="3697" spans="1:25" x14ac:dyDescent="0.35">
      <c r="A3697" t="s">
        <v>71</v>
      </c>
      <c r="B3697" t="s">
        <v>72</v>
      </c>
      <c r="C3697" t="s">
        <v>1228</v>
      </c>
      <c r="D3697" t="s">
        <v>2473</v>
      </c>
      <c r="E3697">
        <v>80887987</v>
      </c>
      <c r="F3697" t="s">
        <v>2474</v>
      </c>
      <c r="G3697" s="3">
        <v>47273</v>
      </c>
      <c r="H3697">
        <v>36</v>
      </c>
      <c r="I3697">
        <v>100</v>
      </c>
      <c r="J3697">
        <v>78</v>
      </c>
      <c r="K3697" s="4">
        <v>34943.22</v>
      </c>
      <c r="L3697" s="4">
        <v>4459.4285714285716</v>
      </c>
      <c r="M3697" s="4">
        <v>1.7491030240902102E-2</v>
      </c>
      <c r="N3697" t="s">
        <v>25</v>
      </c>
      <c r="O3697" t="str">
        <f t="shared" si="570"/>
        <v>Low</v>
      </c>
      <c r="P3697" t="str">
        <f t="shared" si="571"/>
        <v>Low</v>
      </c>
      <c r="Q3697" t="str">
        <f t="shared" si="572"/>
        <v>Low</v>
      </c>
      <c r="R3697" t="s">
        <v>3317</v>
      </c>
      <c r="S3697" s="4">
        <f t="shared" ca="1" si="573"/>
        <v>1076</v>
      </c>
      <c r="T3697">
        <f t="shared" si="574"/>
        <v>1</v>
      </c>
      <c r="U3697">
        <f t="shared" si="575"/>
        <v>1</v>
      </c>
      <c r="V3697">
        <f t="shared" si="576"/>
        <v>1</v>
      </c>
      <c r="W3697">
        <f t="shared" si="577"/>
        <v>1</v>
      </c>
      <c r="X3697">
        <f t="shared" si="578"/>
        <v>0.99999999999999989</v>
      </c>
      <c r="Y3697" t="str">
        <f t="shared" si="579"/>
        <v>Healthy</v>
      </c>
    </row>
    <row r="3698" spans="1:25" x14ac:dyDescent="0.35">
      <c r="A3698" t="s">
        <v>71</v>
      </c>
      <c r="B3698" t="s">
        <v>72</v>
      </c>
      <c r="C3698" t="s">
        <v>1228</v>
      </c>
      <c r="D3698" t="s">
        <v>2473</v>
      </c>
      <c r="E3698">
        <v>80887987</v>
      </c>
      <c r="F3698" t="s">
        <v>2474</v>
      </c>
      <c r="G3698" s="3">
        <v>47221</v>
      </c>
      <c r="H3698">
        <v>36</v>
      </c>
      <c r="I3698">
        <v>95</v>
      </c>
      <c r="J3698">
        <v>36</v>
      </c>
      <c r="K3698" s="4">
        <v>16127.64</v>
      </c>
      <c r="L3698" s="4">
        <v>4459.4285714285716</v>
      </c>
      <c r="M3698" s="4">
        <v>8.0727831881086624E-3</v>
      </c>
      <c r="N3698" t="s">
        <v>25</v>
      </c>
      <c r="O3698" t="str">
        <f t="shared" si="570"/>
        <v>Low</v>
      </c>
      <c r="P3698" t="str">
        <f t="shared" si="571"/>
        <v>Low</v>
      </c>
      <c r="Q3698" t="str">
        <f t="shared" si="572"/>
        <v>Low</v>
      </c>
      <c r="R3698" t="s">
        <v>3317</v>
      </c>
      <c r="S3698" s="4">
        <f t="shared" ca="1" si="573"/>
        <v>1024</v>
      </c>
      <c r="T3698">
        <f t="shared" si="574"/>
        <v>1</v>
      </c>
      <c r="U3698">
        <f t="shared" si="575"/>
        <v>1</v>
      </c>
      <c r="V3698">
        <f t="shared" si="576"/>
        <v>1</v>
      </c>
      <c r="W3698">
        <f t="shared" si="577"/>
        <v>1</v>
      </c>
      <c r="X3698">
        <f t="shared" si="578"/>
        <v>0.99999999999999989</v>
      </c>
      <c r="Y3698" t="str">
        <f t="shared" si="579"/>
        <v>Healthy</v>
      </c>
    </row>
    <row r="3699" spans="1:25" x14ac:dyDescent="0.35">
      <c r="A3699" t="s">
        <v>71</v>
      </c>
      <c r="B3699" t="s">
        <v>72</v>
      </c>
      <c r="C3699" t="s">
        <v>1228</v>
      </c>
      <c r="D3699" t="s">
        <v>2473</v>
      </c>
      <c r="E3699">
        <v>80887987</v>
      </c>
      <c r="F3699" t="s">
        <v>2474</v>
      </c>
      <c r="G3699" s="3">
        <v>47222</v>
      </c>
      <c r="H3699">
        <v>36</v>
      </c>
      <c r="I3699">
        <v>95</v>
      </c>
      <c r="J3699">
        <v>12</v>
      </c>
      <c r="K3699" s="4">
        <v>5375.88</v>
      </c>
      <c r="L3699" s="4">
        <v>4459.4285714285716</v>
      </c>
      <c r="M3699" s="4">
        <v>2.690927729369554E-3</v>
      </c>
      <c r="N3699" t="s">
        <v>25</v>
      </c>
      <c r="O3699" t="str">
        <f t="shared" si="570"/>
        <v>Low</v>
      </c>
      <c r="P3699" t="str">
        <f t="shared" si="571"/>
        <v>Low</v>
      </c>
      <c r="Q3699" t="str">
        <f t="shared" si="572"/>
        <v>Low</v>
      </c>
      <c r="R3699" t="s">
        <v>3317</v>
      </c>
      <c r="S3699" s="4">
        <f t="shared" ca="1" si="573"/>
        <v>1025</v>
      </c>
      <c r="T3699">
        <f t="shared" si="574"/>
        <v>1</v>
      </c>
      <c r="U3699">
        <f t="shared" si="575"/>
        <v>1</v>
      </c>
      <c r="V3699">
        <f t="shared" si="576"/>
        <v>1</v>
      </c>
      <c r="W3699">
        <f t="shared" si="577"/>
        <v>1</v>
      </c>
      <c r="X3699">
        <f t="shared" si="578"/>
        <v>0.99999999999999989</v>
      </c>
      <c r="Y3699" t="str">
        <f t="shared" si="579"/>
        <v>Healthy</v>
      </c>
    </row>
    <row r="3700" spans="1:25" x14ac:dyDescent="0.35">
      <c r="A3700" t="s">
        <v>71</v>
      </c>
      <c r="B3700" t="s">
        <v>72</v>
      </c>
      <c r="C3700" t="s">
        <v>1228</v>
      </c>
      <c r="D3700" t="s">
        <v>1828</v>
      </c>
      <c r="E3700">
        <v>80887989</v>
      </c>
      <c r="F3700" t="s">
        <v>2482</v>
      </c>
      <c r="G3700" s="3">
        <v>47240</v>
      </c>
      <c r="H3700">
        <v>36</v>
      </c>
      <c r="I3700">
        <v>97</v>
      </c>
      <c r="J3700">
        <v>104</v>
      </c>
      <c r="K3700" s="4">
        <v>48670.96</v>
      </c>
      <c r="L3700" s="4">
        <v>4180.2857142857147</v>
      </c>
      <c r="M3700" s="4">
        <v>2.4878682250017086E-2</v>
      </c>
      <c r="N3700" t="s">
        <v>25</v>
      </c>
      <c r="O3700" t="str">
        <f t="shared" si="570"/>
        <v>Low</v>
      </c>
      <c r="P3700" t="str">
        <f t="shared" si="571"/>
        <v>Low</v>
      </c>
      <c r="Q3700" t="str">
        <f t="shared" si="572"/>
        <v>Low</v>
      </c>
      <c r="R3700" t="s">
        <v>3317</v>
      </c>
      <c r="S3700" s="4">
        <f t="shared" ca="1" si="573"/>
        <v>1043</v>
      </c>
      <c r="T3700">
        <f t="shared" si="574"/>
        <v>1</v>
      </c>
      <c r="U3700">
        <f t="shared" si="575"/>
        <v>1</v>
      </c>
      <c r="V3700">
        <f t="shared" si="576"/>
        <v>1</v>
      </c>
      <c r="W3700">
        <f t="shared" si="577"/>
        <v>1</v>
      </c>
      <c r="X3700">
        <f t="shared" si="578"/>
        <v>0.99999999999999989</v>
      </c>
      <c r="Y3700" t="str">
        <f t="shared" si="579"/>
        <v>Healthy</v>
      </c>
    </row>
    <row r="3701" spans="1:25" x14ac:dyDescent="0.35">
      <c r="A3701" t="s">
        <v>71</v>
      </c>
      <c r="B3701" t="s">
        <v>72</v>
      </c>
      <c r="C3701" t="s">
        <v>1228</v>
      </c>
      <c r="D3701" t="s">
        <v>1828</v>
      </c>
      <c r="E3701">
        <v>80887989</v>
      </c>
      <c r="F3701" t="s">
        <v>2482</v>
      </c>
      <c r="G3701" s="3">
        <v>47251</v>
      </c>
      <c r="H3701">
        <v>36</v>
      </c>
      <c r="I3701">
        <v>98</v>
      </c>
      <c r="J3701">
        <v>18</v>
      </c>
      <c r="K3701" s="4">
        <v>8423.82</v>
      </c>
      <c r="L3701" s="4">
        <v>4180.2857142857147</v>
      </c>
      <c r="M3701" s="4">
        <v>4.3059257740414181E-3</v>
      </c>
      <c r="N3701" t="s">
        <v>25</v>
      </c>
      <c r="O3701" t="str">
        <f t="shared" si="570"/>
        <v>Low</v>
      </c>
      <c r="P3701" t="str">
        <f t="shared" si="571"/>
        <v>Low</v>
      </c>
      <c r="Q3701" t="str">
        <f t="shared" si="572"/>
        <v>Low</v>
      </c>
      <c r="R3701" t="s">
        <v>3317</v>
      </c>
      <c r="S3701" s="4">
        <f t="shared" ca="1" si="573"/>
        <v>1054</v>
      </c>
      <c r="T3701">
        <f t="shared" si="574"/>
        <v>1</v>
      </c>
      <c r="U3701">
        <f t="shared" si="575"/>
        <v>1</v>
      </c>
      <c r="V3701">
        <f t="shared" si="576"/>
        <v>1</v>
      </c>
      <c r="W3701">
        <f t="shared" si="577"/>
        <v>1</v>
      </c>
      <c r="X3701">
        <f t="shared" si="578"/>
        <v>0.99999999999999989</v>
      </c>
      <c r="Y3701" t="str">
        <f t="shared" si="579"/>
        <v>Healthy</v>
      </c>
    </row>
    <row r="3702" spans="1:25" x14ac:dyDescent="0.35">
      <c r="A3702" t="s">
        <v>71</v>
      </c>
      <c r="B3702" t="s">
        <v>72</v>
      </c>
      <c r="C3702" t="s">
        <v>1228</v>
      </c>
      <c r="D3702" t="s">
        <v>1828</v>
      </c>
      <c r="E3702">
        <v>80887989</v>
      </c>
      <c r="F3702" t="s">
        <v>2482</v>
      </c>
      <c r="G3702" s="3">
        <v>47230</v>
      </c>
      <c r="H3702">
        <v>36</v>
      </c>
      <c r="I3702">
        <v>96</v>
      </c>
      <c r="J3702">
        <v>39</v>
      </c>
      <c r="K3702" s="4">
        <v>18251.61</v>
      </c>
      <c r="L3702" s="4">
        <v>4180.2857142857147</v>
      </c>
      <c r="M3702" s="4">
        <v>9.3295058437564068E-3</v>
      </c>
      <c r="N3702" t="s">
        <v>25</v>
      </c>
      <c r="O3702" t="str">
        <f t="shared" si="570"/>
        <v>Low</v>
      </c>
      <c r="P3702" t="str">
        <f t="shared" si="571"/>
        <v>Low</v>
      </c>
      <c r="Q3702" t="str">
        <f t="shared" si="572"/>
        <v>Low</v>
      </c>
      <c r="R3702" t="s">
        <v>3317</v>
      </c>
      <c r="S3702" s="4">
        <f t="shared" ca="1" si="573"/>
        <v>1033</v>
      </c>
      <c r="T3702">
        <f t="shared" si="574"/>
        <v>1</v>
      </c>
      <c r="U3702">
        <f t="shared" si="575"/>
        <v>1</v>
      </c>
      <c r="V3702">
        <f t="shared" si="576"/>
        <v>1</v>
      </c>
      <c r="W3702">
        <f t="shared" si="577"/>
        <v>1</v>
      </c>
      <c r="X3702">
        <f t="shared" si="578"/>
        <v>0.99999999999999989</v>
      </c>
      <c r="Y3702" t="str">
        <f t="shared" si="579"/>
        <v>Healthy</v>
      </c>
    </row>
    <row r="3703" spans="1:25" x14ac:dyDescent="0.35">
      <c r="A3703" t="s">
        <v>71</v>
      </c>
      <c r="B3703" t="s">
        <v>72</v>
      </c>
      <c r="C3703" t="s">
        <v>1228</v>
      </c>
      <c r="D3703" t="s">
        <v>1828</v>
      </c>
      <c r="E3703">
        <v>80887989</v>
      </c>
      <c r="F3703" t="s">
        <v>2482</v>
      </c>
      <c r="G3703" s="3">
        <v>47280</v>
      </c>
      <c r="H3703">
        <v>36</v>
      </c>
      <c r="I3703">
        <v>100</v>
      </c>
      <c r="J3703">
        <v>570</v>
      </c>
      <c r="K3703" s="4">
        <v>266754.3</v>
      </c>
      <c r="L3703" s="4">
        <v>4180.2857142857147</v>
      </c>
      <c r="M3703" s="4">
        <v>0.13635431617797825</v>
      </c>
      <c r="N3703" t="s">
        <v>25</v>
      </c>
      <c r="O3703" t="str">
        <f t="shared" si="570"/>
        <v>Low</v>
      </c>
      <c r="P3703" t="str">
        <f t="shared" si="571"/>
        <v>Low</v>
      </c>
      <c r="Q3703" t="str">
        <f t="shared" si="572"/>
        <v>Low</v>
      </c>
      <c r="R3703" t="s">
        <v>3309</v>
      </c>
      <c r="S3703" s="4">
        <f t="shared" ca="1" si="573"/>
        <v>1083</v>
      </c>
      <c r="T3703">
        <f t="shared" si="574"/>
        <v>1</v>
      </c>
      <c r="U3703">
        <f t="shared" si="575"/>
        <v>1</v>
      </c>
      <c r="V3703">
        <f t="shared" si="576"/>
        <v>1</v>
      </c>
      <c r="W3703">
        <f t="shared" si="577"/>
        <v>3</v>
      </c>
      <c r="X3703">
        <f t="shared" si="578"/>
        <v>1.2</v>
      </c>
      <c r="Y3703" t="str">
        <f t="shared" si="579"/>
        <v>Healthy</v>
      </c>
    </row>
    <row r="3704" spans="1:25" x14ac:dyDescent="0.35">
      <c r="A3704" t="s">
        <v>20</v>
      </c>
      <c r="B3704" t="s">
        <v>21</v>
      </c>
      <c r="C3704" t="s">
        <v>770</v>
      </c>
      <c r="D3704" t="s">
        <v>2483</v>
      </c>
      <c r="E3704">
        <v>80895279</v>
      </c>
      <c r="F3704" t="s">
        <v>2484</v>
      </c>
      <c r="G3704" s="3">
        <v>47126</v>
      </c>
      <c r="H3704">
        <v>36</v>
      </c>
      <c r="I3704">
        <v>86</v>
      </c>
      <c r="J3704">
        <v>14</v>
      </c>
      <c r="K3704" s="4">
        <v>3079.86</v>
      </c>
      <c r="L3704" s="4">
        <v>218.14285714285714</v>
      </c>
      <c r="M3704" s="4">
        <v>6.4178127046496405E-2</v>
      </c>
      <c r="N3704" t="s">
        <v>25</v>
      </c>
      <c r="O3704" t="str">
        <f t="shared" si="570"/>
        <v>Low</v>
      </c>
      <c r="P3704" t="str">
        <f t="shared" si="571"/>
        <v>Low</v>
      </c>
      <c r="Q3704" t="str">
        <f t="shared" si="572"/>
        <v>Low</v>
      </c>
      <c r="R3704" t="s">
        <v>3317</v>
      </c>
      <c r="S3704" s="4">
        <f t="shared" ca="1" si="573"/>
        <v>929</v>
      </c>
      <c r="T3704">
        <f t="shared" si="574"/>
        <v>1</v>
      </c>
      <c r="U3704">
        <f t="shared" si="575"/>
        <v>1</v>
      </c>
      <c r="V3704">
        <f t="shared" si="576"/>
        <v>1</v>
      </c>
      <c r="W3704">
        <f t="shared" si="577"/>
        <v>1</v>
      </c>
      <c r="X3704">
        <f t="shared" si="578"/>
        <v>0.99999999999999989</v>
      </c>
      <c r="Y3704" t="str">
        <f t="shared" si="579"/>
        <v>Healthy</v>
      </c>
    </row>
    <row r="3705" spans="1:25" x14ac:dyDescent="0.35">
      <c r="A3705" t="s">
        <v>20</v>
      </c>
      <c r="B3705" t="s">
        <v>21</v>
      </c>
      <c r="C3705" t="s">
        <v>770</v>
      </c>
      <c r="D3705" t="s">
        <v>2483</v>
      </c>
      <c r="E3705">
        <v>80895279</v>
      </c>
      <c r="F3705" t="s">
        <v>2484</v>
      </c>
      <c r="G3705" s="3">
        <v>47254</v>
      </c>
      <c r="H3705">
        <v>36</v>
      </c>
      <c r="I3705">
        <v>98</v>
      </c>
      <c r="J3705">
        <v>14</v>
      </c>
      <c r="K3705" s="4">
        <v>3079.86</v>
      </c>
      <c r="L3705" s="4">
        <v>218.14285714285714</v>
      </c>
      <c r="M3705" s="4">
        <v>6.4178127046496405E-2</v>
      </c>
      <c r="N3705" t="s">
        <v>25</v>
      </c>
      <c r="O3705" t="str">
        <f t="shared" si="570"/>
        <v>Low</v>
      </c>
      <c r="P3705" t="str">
        <f t="shared" si="571"/>
        <v>Low</v>
      </c>
      <c r="Q3705" t="str">
        <f t="shared" si="572"/>
        <v>Low</v>
      </c>
      <c r="R3705" t="s">
        <v>3317</v>
      </c>
      <c r="S3705" s="4">
        <f t="shared" ca="1" si="573"/>
        <v>1057</v>
      </c>
      <c r="T3705">
        <f t="shared" si="574"/>
        <v>1</v>
      </c>
      <c r="U3705">
        <f t="shared" si="575"/>
        <v>1</v>
      </c>
      <c r="V3705">
        <f t="shared" si="576"/>
        <v>1</v>
      </c>
      <c r="W3705">
        <f t="shared" si="577"/>
        <v>1</v>
      </c>
      <c r="X3705">
        <f t="shared" si="578"/>
        <v>0.99999999999999989</v>
      </c>
      <c r="Y3705" t="str">
        <f t="shared" si="579"/>
        <v>Healthy</v>
      </c>
    </row>
    <row r="3706" spans="1:25" x14ac:dyDescent="0.35">
      <c r="A3706" t="s">
        <v>20</v>
      </c>
      <c r="B3706" t="s">
        <v>21</v>
      </c>
      <c r="C3706" t="s">
        <v>770</v>
      </c>
      <c r="D3706" t="s">
        <v>2483</v>
      </c>
      <c r="E3706">
        <v>80895279</v>
      </c>
      <c r="F3706" t="s">
        <v>2484</v>
      </c>
      <c r="G3706" s="3">
        <v>47224</v>
      </c>
      <c r="H3706">
        <v>36</v>
      </c>
      <c r="I3706">
        <v>96</v>
      </c>
      <c r="J3706">
        <v>18</v>
      </c>
      <c r="K3706" s="4">
        <v>3959.82</v>
      </c>
      <c r="L3706" s="4">
        <v>218.14285714285714</v>
      </c>
      <c r="M3706" s="4">
        <v>8.2514734774066803E-2</v>
      </c>
      <c r="N3706" t="s">
        <v>25</v>
      </c>
      <c r="O3706" t="str">
        <f t="shared" si="570"/>
        <v>Low</v>
      </c>
      <c r="P3706" t="str">
        <f t="shared" si="571"/>
        <v>Low</v>
      </c>
      <c r="Q3706" t="str">
        <f t="shared" si="572"/>
        <v>Low</v>
      </c>
      <c r="R3706" t="s">
        <v>3317</v>
      </c>
      <c r="S3706" s="4">
        <f t="shared" ca="1" si="573"/>
        <v>1027</v>
      </c>
      <c r="T3706">
        <f t="shared" si="574"/>
        <v>1</v>
      </c>
      <c r="U3706">
        <f t="shared" si="575"/>
        <v>1</v>
      </c>
      <c r="V3706">
        <f t="shared" si="576"/>
        <v>1</v>
      </c>
      <c r="W3706">
        <f t="shared" si="577"/>
        <v>1</v>
      </c>
      <c r="X3706">
        <f t="shared" si="578"/>
        <v>0.99999999999999989</v>
      </c>
      <c r="Y3706" t="str">
        <f t="shared" si="579"/>
        <v>Healthy</v>
      </c>
    </row>
    <row r="3707" spans="1:25" x14ac:dyDescent="0.35">
      <c r="A3707" t="s">
        <v>20</v>
      </c>
      <c r="B3707" t="s">
        <v>21</v>
      </c>
      <c r="C3707" t="s">
        <v>770</v>
      </c>
      <c r="D3707" t="s">
        <v>2483</v>
      </c>
      <c r="E3707">
        <v>80895279</v>
      </c>
      <c r="F3707" t="s">
        <v>2484</v>
      </c>
      <c r="G3707" s="3">
        <v>47176</v>
      </c>
      <c r="H3707">
        <v>36</v>
      </c>
      <c r="I3707">
        <v>91</v>
      </c>
      <c r="J3707">
        <v>11</v>
      </c>
      <c r="K3707" s="4">
        <v>2419.89</v>
      </c>
      <c r="L3707" s="4">
        <v>218.14285714285714</v>
      </c>
      <c r="M3707" s="4">
        <v>5.04256712508186E-2</v>
      </c>
      <c r="N3707" t="s">
        <v>25</v>
      </c>
      <c r="O3707" t="str">
        <f t="shared" si="570"/>
        <v>Low</v>
      </c>
      <c r="P3707" t="str">
        <f t="shared" si="571"/>
        <v>Low</v>
      </c>
      <c r="Q3707" t="str">
        <f t="shared" si="572"/>
        <v>Low</v>
      </c>
      <c r="R3707" t="s">
        <v>3317</v>
      </c>
      <c r="S3707" s="4">
        <f t="shared" ca="1" si="573"/>
        <v>979</v>
      </c>
      <c r="T3707">
        <f t="shared" si="574"/>
        <v>1</v>
      </c>
      <c r="U3707">
        <f t="shared" si="575"/>
        <v>1</v>
      </c>
      <c r="V3707">
        <f t="shared" si="576"/>
        <v>1</v>
      </c>
      <c r="W3707">
        <f t="shared" si="577"/>
        <v>1</v>
      </c>
      <c r="X3707">
        <f t="shared" si="578"/>
        <v>0.99999999999999989</v>
      </c>
      <c r="Y3707" t="str">
        <f t="shared" si="579"/>
        <v>Healthy</v>
      </c>
    </row>
    <row r="3708" spans="1:25" x14ac:dyDescent="0.35">
      <c r="A3708" t="s">
        <v>20</v>
      </c>
      <c r="B3708" t="s">
        <v>21</v>
      </c>
      <c r="C3708" t="s">
        <v>770</v>
      </c>
      <c r="D3708" t="s">
        <v>2483</v>
      </c>
      <c r="E3708">
        <v>80895279</v>
      </c>
      <c r="F3708" t="s">
        <v>2484</v>
      </c>
      <c r="G3708" s="3">
        <v>47257</v>
      </c>
      <c r="H3708">
        <v>36</v>
      </c>
      <c r="I3708">
        <v>99</v>
      </c>
      <c r="J3708">
        <v>108</v>
      </c>
      <c r="K3708" s="4">
        <v>23758.92</v>
      </c>
      <c r="L3708" s="4">
        <v>218.14285714285714</v>
      </c>
      <c r="M3708" s="4">
        <v>0.49508840864440079</v>
      </c>
      <c r="N3708" t="s">
        <v>25</v>
      </c>
      <c r="O3708" t="str">
        <f t="shared" si="570"/>
        <v>Low</v>
      </c>
      <c r="P3708" t="str">
        <f t="shared" si="571"/>
        <v>Low</v>
      </c>
      <c r="Q3708" t="str">
        <f t="shared" si="572"/>
        <v>Low</v>
      </c>
      <c r="R3708" t="s">
        <v>3317</v>
      </c>
      <c r="S3708" s="4">
        <f t="shared" ca="1" si="573"/>
        <v>1060</v>
      </c>
      <c r="T3708">
        <f t="shared" si="574"/>
        <v>1</v>
      </c>
      <c r="U3708">
        <f t="shared" si="575"/>
        <v>1</v>
      </c>
      <c r="V3708">
        <f t="shared" si="576"/>
        <v>1</v>
      </c>
      <c r="W3708">
        <f t="shared" si="577"/>
        <v>1</v>
      </c>
      <c r="X3708">
        <f t="shared" si="578"/>
        <v>0.99999999999999989</v>
      </c>
      <c r="Y3708" t="str">
        <f t="shared" si="579"/>
        <v>Healthy</v>
      </c>
    </row>
    <row r="3709" spans="1:25" x14ac:dyDescent="0.35">
      <c r="A3709" t="s">
        <v>20</v>
      </c>
      <c r="B3709" t="s">
        <v>21</v>
      </c>
      <c r="C3709" t="s">
        <v>770</v>
      </c>
      <c r="D3709" t="s">
        <v>2483</v>
      </c>
      <c r="E3709">
        <v>80895279</v>
      </c>
      <c r="F3709" t="s">
        <v>2484</v>
      </c>
      <c r="G3709" s="3">
        <v>47111</v>
      </c>
      <c r="H3709">
        <v>36</v>
      </c>
      <c r="I3709">
        <v>85</v>
      </c>
      <c r="J3709">
        <v>2</v>
      </c>
      <c r="K3709" s="4">
        <v>439.98</v>
      </c>
      <c r="L3709" s="4">
        <v>218.14285714285714</v>
      </c>
      <c r="M3709" s="4">
        <v>9.1683038637852005E-3</v>
      </c>
      <c r="N3709" t="s">
        <v>25</v>
      </c>
      <c r="O3709" t="str">
        <f t="shared" si="570"/>
        <v>Low</v>
      </c>
      <c r="P3709" t="str">
        <f t="shared" si="571"/>
        <v>Low</v>
      </c>
      <c r="Q3709" t="str">
        <f t="shared" si="572"/>
        <v>Low</v>
      </c>
      <c r="R3709" t="s">
        <v>3317</v>
      </c>
      <c r="S3709" s="4">
        <f t="shared" ca="1" si="573"/>
        <v>914</v>
      </c>
      <c r="T3709">
        <f t="shared" si="574"/>
        <v>1</v>
      </c>
      <c r="U3709">
        <f t="shared" si="575"/>
        <v>1</v>
      </c>
      <c r="V3709">
        <f t="shared" si="576"/>
        <v>1</v>
      </c>
      <c r="W3709">
        <f t="shared" si="577"/>
        <v>1</v>
      </c>
      <c r="X3709">
        <f t="shared" si="578"/>
        <v>0.99999999999999989</v>
      </c>
      <c r="Y3709" t="str">
        <f t="shared" si="579"/>
        <v>Healthy</v>
      </c>
    </row>
    <row r="3710" spans="1:25" x14ac:dyDescent="0.35">
      <c r="A3710" t="s">
        <v>71</v>
      </c>
      <c r="B3710" t="s">
        <v>72</v>
      </c>
      <c r="C3710" t="s">
        <v>73</v>
      </c>
      <c r="D3710" t="s">
        <v>2485</v>
      </c>
      <c r="E3710">
        <v>80887991</v>
      </c>
      <c r="F3710" t="s">
        <v>2486</v>
      </c>
      <c r="G3710" s="3">
        <v>47224</v>
      </c>
      <c r="H3710">
        <v>36</v>
      </c>
      <c r="I3710">
        <v>96</v>
      </c>
      <c r="J3710">
        <v>4</v>
      </c>
      <c r="K3710" s="4">
        <v>3145.48</v>
      </c>
      <c r="L3710" s="4">
        <v>388.85714285714283</v>
      </c>
      <c r="M3710" s="4">
        <v>1.0286554004408524E-2</v>
      </c>
      <c r="N3710" t="s">
        <v>25</v>
      </c>
      <c r="O3710" t="str">
        <f t="shared" si="570"/>
        <v>Low</v>
      </c>
      <c r="P3710" t="str">
        <f t="shared" si="571"/>
        <v>Low</v>
      </c>
      <c r="Q3710" t="str">
        <f t="shared" si="572"/>
        <v>Low</v>
      </c>
      <c r="R3710" t="s">
        <v>3317</v>
      </c>
      <c r="S3710" s="4">
        <f t="shared" ca="1" si="573"/>
        <v>1027</v>
      </c>
      <c r="T3710">
        <f t="shared" si="574"/>
        <v>1</v>
      </c>
      <c r="U3710">
        <f t="shared" si="575"/>
        <v>1</v>
      </c>
      <c r="V3710">
        <f t="shared" si="576"/>
        <v>1</v>
      </c>
      <c r="W3710">
        <f t="shared" si="577"/>
        <v>1</v>
      </c>
      <c r="X3710">
        <f t="shared" si="578"/>
        <v>0.99999999999999989</v>
      </c>
      <c r="Y3710" t="str">
        <f t="shared" si="579"/>
        <v>Healthy</v>
      </c>
    </row>
    <row r="3711" spans="1:25" x14ac:dyDescent="0.35">
      <c r="A3711" t="s">
        <v>71</v>
      </c>
      <c r="B3711" t="s">
        <v>72</v>
      </c>
      <c r="C3711" t="s">
        <v>73</v>
      </c>
      <c r="D3711" t="s">
        <v>2485</v>
      </c>
      <c r="E3711">
        <v>80887991</v>
      </c>
      <c r="F3711" t="s">
        <v>2486</v>
      </c>
      <c r="G3711" s="3">
        <v>47280</v>
      </c>
      <c r="H3711">
        <v>36</v>
      </c>
      <c r="I3711">
        <v>100</v>
      </c>
      <c r="J3711">
        <v>212</v>
      </c>
      <c r="K3711" s="4">
        <v>166710.44</v>
      </c>
      <c r="L3711" s="4">
        <v>388.85714285714283</v>
      </c>
      <c r="M3711" s="4">
        <v>0.54518736223365172</v>
      </c>
      <c r="N3711" t="s">
        <v>25</v>
      </c>
      <c r="O3711" t="str">
        <f t="shared" si="570"/>
        <v>Low</v>
      </c>
      <c r="P3711" t="str">
        <f t="shared" si="571"/>
        <v>Low</v>
      </c>
      <c r="Q3711" t="str">
        <f t="shared" si="572"/>
        <v>Low</v>
      </c>
      <c r="R3711" t="s">
        <v>3309</v>
      </c>
      <c r="S3711" s="4">
        <f t="shared" ca="1" si="573"/>
        <v>1083</v>
      </c>
      <c r="T3711">
        <f t="shared" si="574"/>
        <v>1</v>
      </c>
      <c r="U3711">
        <f t="shared" si="575"/>
        <v>1</v>
      </c>
      <c r="V3711">
        <f t="shared" si="576"/>
        <v>1</v>
      </c>
      <c r="W3711">
        <f t="shared" si="577"/>
        <v>3</v>
      </c>
      <c r="X3711">
        <f t="shared" si="578"/>
        <v>1.2</v>
      </c>
      <c r="Y3711" t="str">
        <f t="shared" si="579"/>
        <v>Healthy</v>
      </c>
    </row>
    <row r="3712" spans="1:25" x14ac:dyDescent="0.35">
      <c r="A3712" t="s">
        <v>71</v>
      </c>
      <c r="B3712" t="s">
        <v>72</v>
      </c>
      <c r="C3712" t="s">
        <v>73</v>
      </c>
      <c r="D3712" t="s">
        <v>2485</v>
      </c>
      <c r="E3712">
        <v>80887991</v>
      </c>
      <c r="F3712" t="s">
        <v>2486</v>
      </c>
      <c r="G3712" s="3">
        <v>47270</v>
      </c>
      <c r="H3712">
        <v>36</v>
      </c>
      <c r="I3712">
        <v>100</v>
      </c>
      <c r="J3712">
        <v>135</v>
      </c>
      <c r="K3712" s="4">
        <v>106159.95</v>
      </c>
      <c r="L3712" s="4">
        <v>388.85714285714283</v>
      </c>
      <c r="M3712" s="4">
        <v>0.34717119764878768</v>
      </c>
      <c r="N3712" t="s">
        <v>25</v>
      </c>
      <c r="O3712" t="str">
        <f t="shared" si="570"/>
        <v>Low</v>
      </c>
      <c r="P3712" t="str">
        <f t="shared" si="571"/>
        <v>Low</v>
      </c>
      <c r="Q3712" t="str">
        <f t="shared" si="572"/>
        <v>Low</v>
      </c>
      <c r="R3712" t="s">
        <v>3310</v>
      </c>
      <c r="S3712" s="4">
        <f t="shared" ca="1" si="573"/>
        <v>1073</v>
      </c>
      <c r="T3712">
        <f t="shared" si="574"/>
        <v>1</v>
      </c>
      <c r="U3712">
        <f t="shared" si="575"/>
        <v>1</v>
      </c>
      <c r="V3712">
        <f t="shared" si="576"/>
        <v>1</v>
      </c>
      <c r="W3712">
        <f t="shared" si="577"/>
        <v>2</v>
      </c>
      <c r="X3712">
        <f t="shared" si="578"/>
        <v>1.0999999999999999</v>
      </c>
      <c r="Y3712" t="str">
        <f t="shared" si="579"/>
        <v>Healthy</v>
      </c>
    </row>
    <row r="3713" spans="1:25" x14ac:dyDescent="0.35">
      <c r="A3713" t="s">
        <v>20</v>
      </c>
      <c r="B3713" t="s">
        <v>21</v>
      </c>
      <c r="C3713" t="s">
        <v>2487</v>
      </c>
      <c r="D3713" t="s">
        <v>2488</v>
      </c>
      <c r="E3713">
        <v>80895280</v>
      </c>
      <c r="F3713" t="s">
        <v>2489</v>
      </c>
      <c r="G3713" s="3">
        <v>49817</v>
      </c>
      <c r="H3713">
        <v>120</v>
      </c>
      <c r="I3713">
        <v>100</v>
      </c>
      <c r="J3713">
        <v>380</v>
      </c>
      <c r="K3713" s="4">
        <v>57323</v>
      </c>
      <c r="L3713" s="4">
        <v>3858.2857142857142</v>
      </c>
      <c r="M3713" s="4">
        <v>9.8489336492891003E-2</v>
      </c>
      <c r="N3713" t="s">
        <v>25</v>
      </c>
      <c r="O3713" t="str">
        <f t="shared" si="570"/>
        <v>Low</v>
      </c>
      <c r="P3713" t="str">
        <f t="shared" si="571"/>
        <v>Low</v>
      </c>
      <c r="Q3713" t="str">
        <f t="shared" si="572"/>
        <v>Low</v>
      </c>
      <c r="R3713" t="s">
        <v>3317</v>
      </c>
      <c r="S3713" s="4">
        <f t="shared" ca="1" si="573"/>
        <v>3620</v>
      </c>
      <c r="T3713">
        <f t="shared" si="574"/>
        <v>1</v>
      </c>
      <c r="U3713">
        <f t="shared" si="575"/>
        <v>1</v>
      </c>
      <c r="V3713">
        <f t="shared" si="576"/>
        <v>1</v>
      </c>
      <c r="W3713">
        <f t="shared" si="577"/>
        <v>1</v>
      </c>
      <c r="X3713">
        <f t="shared" si="578"/>
        <v>0.99999999999999989</v>
      </c>
      <c r="Y3713" t="str">
        <f t="shared" si="579"/>
        <v>Healthy</v>
      </c>
    </row>
    <row r="3714" spans="1:25" x14ac:dyDescent="0.35">
      <c r="A3714" t="s">
        <v>20</v>
      </c>
      <c r="B3714" t="s">
        <v>21</v>
      </c>
      <c r="C3714" t="s">
        <v>2487</v>
      </c>
      <c r="D3714" t="s">
        <v>2488</v>
      </c>
      <c r="E3714">
        <v>80895280</v>
      </c>
      <c r="F3714" t="s">
        <v>2489</v>
      </c>
      <c r="G3714" s="3">
        <v>49826</v>
      </c>
      <c r="H3714">
        <v>120</v>
      </c>
      <c r="I3714">
        <v>100</v>
      </c>
      <c r="J3714">
        <v>25</v>
      </c>
      <c r="K3714" s="4">
        <v>3771.25</v>
      </c>
      <c r="L3714" s="4">
        <v>3858.2857142857142</v>
      </c>
      <c r="M3714" s="4">
        <v>6.4795616113744077E-3</v>
      </c>
      <c r="N3714" t="s">
        <v>25</v>
      </c>
      <c r="O3714" t="str">
        <f t="shared" si="570"/>
        <v>Low</v>
      </c>
      <c r="P3714" t="str">
        <f t="shared" si="571"/>
        <v>Low</v>
      </c>
      <c r="Q3714" t="str">
        <f t="shared" si="572"/>
        <v>Low</v>
      </c>
      <c r="R3714" t="s">
        <v>3317</v>
      </c>
      <c r="S3714" s="4">
        <f t="shared" ca="1" si="573"/>
        <v>3629</v>
      </c>
      <c r="T3714">
        <f t="shared" si="574"/>
        <v>1</v>
      </c>
      <c r="U3714">
        <f t="shared" si="575"/>
        <v>1</v>
      </c>
      <c r="V3714">
        <f t="shared" si="576"/>
        <v>1</v>
      </c>
      <c r="W3714">
        <f t="shared" si="577"/>
        <v>1</v>
      </c>
      <c r="X3714">
        <f t="shared" si="578"/>
        <v>0.99999999999999989</v>
      </c>
      <c r="Y3714" t="str">
        <f t="shared" si="579"/>
        <v>Healthy</v>
      </c>
    </row>
    <row r="3715" spans="1:25" x14ac:dyDescent="0.35">
      <c r="A3715" t="s">
        <v>71</v>
      </c>
      <c r="B3715" t="s">
        <v>72</v>
      </c>
      <c r="C3715" t="s">
        <v>73</v>
      </c>
      <c r="D3715" t="s">
        <v>389</v>
      </c>
      <c r="E3715">
        <v>80887993</v>
      </c>
      <c r="F3715" t="s">
        <v>2490</v>
      </c>
      <c r="G3715" s="3">
        <v>47273</v>
      </c>
      <c r="H3715">
        <v>36</v>
      </c>
      <c r="I3715">
        <v>100</v>
      </c>
      <c r="J3715">
        <v>56</v>
      </c>
      <c r="K3715" s="4">
        <v>44036.72</v>
      </c>
      <c r="L3715" s="4">
        <v>215.28571428571428</v>
      </c>
      <c r="M3715" s="4">
        <v>0.26011944260119446</v>
      </c>
      <c r="N3715" t="s">
        <v>25</v>
      </c>
      <c r="O3715" t="str">
        <f t="shared" ref="O3715:O3778" si="580">IF(I3715&lt;20,"High",IF(I3715&lt;40,"Medium","Low"))</f>
        <v>Low</v>
      </c>
      <c r="P3715" t="str">
        <f t="shared" ref="P3715:P3778" si="581">IF(M3715&gt;8,"High",IF(M3715&gt;4,"Medium","Low"))</f>
        <v>Low</v>
      </c>
      <c r="Q3715" t="str">
        <f t="shared" ref="Q3715:Q3778" si="582">IF(L3715&lt;5,"High",IF(L3715&lt;15,"Medium","Low"))</f>
        <v>Low</v>
      </c>
      <c r="R3715" t="s">
        <v>3317</v>
      </c>
      <c r="S3715" s="4">
        <f t="shared" ref="S3715:S3778" ca="1" si="583">G3715-TODAY()</f>
        <v>1076</v>
      </c>
      <c r="T3715">
        <f t="shared" ref="T3715:T3778" si="584">IF(O3715="High",3,IF(O3715="Medium",2,1))</f>
        <v>1</v>
      </c>
      <c r="U3715">
        <f t="shared" ref="U3715:U3778" si="585">IF(P3715="High",3,IF(P3715="Medium",2,1))</f>
        <v>1</v>
      </c>
      <c r="V3715">
        <f t="shared" ref="V3715:V3778" si="586">IF(Q3715="High",3,IF(Q3715="Medium",2,1))</f>
        <v>1</v>
      </c>
      <c r="W3715">
        <f t="shared" ref="W3715:W3778" si="587">IF(R3715="High",3,IF(R3715="Medium",2,1))</f>
        <v>1</v>
      </c>
      <c r="X3715">
        <f t="shared" ref="X3715:X3778" si="588">(0.4*T3715)+(0.3*U3715)+(0.2*V3715)+(0.1*W3715)</f>
        <v>0.99999999999999989</v>
      </c>
      <c r="Y3715" t="str">
        <f t="shared" ref="Y3715:Y3778" si="589">IF(X3715&gt;=2.7,"Move Immediately",IF(X3715&gt;=2.2,"High Priority",IF(X3715&gt;=1.7,"Monitor","Healthy")))</f>
        <v>Healthy</v>
      </c>
    </row>
    <row r="3716" spans="1:25" x14ac:dyDescent="0.35">
      <c r="A3716" t="s">
        <v>71</v>
      </c>
      <c r="B3716" t="s">
        <v>72</v>
      </c>
      <c r="C3716" t="s">
        <v>73</v>
      </c>
      <c r="D3716" t="s">
        <v>389</v>
      </c>
      <c r="E3716">
        <v>80887993</v>
      </c>
      <c r="F3716" t="s">
        <v>2490</v>
      </c>
      <c r="G3716" s="3">
        <v>47050</v>
      </c>
      <c r="H3716">
        <v>36</v>
      </c>
      <c r="I3716">
        <v>79</v>
      </c>
      <c r="J3716">
        <v>12</v>
      </c>
      <c r="K3716" s="4">
        <v>9436.44</v>
      </c>
      <c r="L3716" s="4">
        <v>215.28571428571428</v>
      </c>
      <c r="M3716" s="4">
        <v>5.5739880557398806E-2</v>
      </c>
      <c r="N3716" t="s">
        <v>25</v>
      </c>
      <c r="O3716" t="str">
        <f t="shared" si="580"/>
        <v>Low</v>
      </c>
      <c r="P3716" t="str">
        <f t="shared" si="581"/>
        <v>Low</v>
      </c>
      <c r="Q3716" t="str">
        <f t="shared" si="582"/>
        <v>Low</v>
      </c>
      <c r="R3716" t="s">
        <v>3317</v>
      </c>
      <c r="S3716" s="4">
        <f t="shared" ca="1" si="583"/>
        <v>853</v>
      </c>
      <c r="T3716">
        <f t="shared" si="584"/>
        <v>1</v>
      </c>
      <c r="U3716">
        <f t="shared" si="585"/>
        <v>1</v>
      </c>
      <c r="V3716">
        <f t="shared" si="586"/>
        <v>1</v>
      </c>
      <c r="W3716">
        <f t="shared" si="587"/>
        <v>1</v>
      </c>
      <c r="X3716">
        <f t="shared" si="588"/>
        <v>0.99999999999999989</v>
      </c>
      <c r="Y3716" t="str">
        <f t="shared" si="589"/>
        <v>Healthy</v>
      </c>
    </row>
    <row r="3717" spans="1:25" x14ac:dyDescent="0.35">
      <c r="A3717" t="s">
        <v>71</v>
      </c>
      <c r="B3717" t="s">
        <v>72</v>
      </c>
      <c r="C3717" t="s">
        <v>73</v>
      </c>
      <c r="D3717" t="s">
        <v>389</v>
      </c>
      <c r="E3717">
        <v>80887993</v>
      </c>
      <c r="F3717" t="s">
        <v>2490</v>
      </c>
      <c r="G3717" s="3">
        <v>47100</v>
      </c>
      <c r="H3717">
        <v>36</v>
      </c>
      <c r="I3717">
        <v>84</v>
      </c>
      <c r="J3717">
        <v>4</v>
      </c>
      <c r="K3717" s="4">
        <v>3145.48</v>
      </c>
      <c r="L3717" s="4">
        <v>215.28571428571428</v>
      </c>
      <c r="M3717" s="4">
        <v>1.8579960185799601E-2</v>
      </c>
      <c r="N3717" t="s">
        <v>25</v>
      </c>
      <c r="O3717" t="str">
        <f t="shared" si="580"/>
        <v>Low</v>
      </c>
      <c r="P3717" t="str">
        <f t="shared" si="581"/>
        <v>Low</v>
      </c>
      <c r="Q3717" t="str">
        <f t="shared" si="582"/>
        <v>Low</v>
      </c>
      <c r="R3717" t="s">
        <v>3317</v>
      </c>
      <c r="S3717" s="4">
        <f t="shared" ca="1" si="583"/>
        <v>903</v>
      </c>
      <c r="T3717">
        <f t="shared" si="584"/>
        <v>1</v>
      </c>
      <c r="U3717">
        <f t="shared" si="585"/>
        <v>1</v>
      </c>
      <c r="V3717">
        <f t="shared" si="586"/>
        <v>1</v>
      </c>
      <c r="W3717">
        <f t="shared" si="587"/>
        <v>1</v>
      </c>
      <c r="X3717">
        <f t="shared" si="588"/>
        <v>0.99999999999999989</v>
      </c>
      <c r="Y3717" t="str">
        <f t="shared" si="589"/>
        <v>Healthy</v>
      </c>
    </row>
    <row r="3718" spans="1:25" x14ac:dyDescent="0.35">
      <c r="A3718" t="s">
        <v>71</v>
      </c>
      <c r="B3718" t="s">
        <v>72</v>
      </c>
      <c r="C3718" t="s">
        <v>73</v>
      </c>
      <c r="D3718" t="s">
        <v>389</v>
      </c>
      <c r="E3718">
        <v>80887993</v>
      </c>
      <c r="F3718" t="s">
        <v>2490</v>
      </c>
      <c r="G3718" s="3">
        <v>47081</v>
      </c>
      <c r="H3718">
        <v>36</v>
      </c>
      <c r="I3718">
        <v>82</v>
      </c>
      <c r="J3718">
        <v>12</v>
      </c>
      <c r="K3718" s="4">
        <v>9436.44</v>
      </c>
      <c r="L3718" s="4">
        <v>215.28571428571428</v>
      </c>
      <c r="M3718" s="4">
        <v>5.5739880557398806E-2</v>
      </c>
      <c r="N3718" t="s">
        <v>25</v>
      </c>
      <c r="O3718" t="str">
        <f t="shared" si="580"/>
        <v>Low</v>
      </c>
      <c r="P3718" t="str">
        <f t="shared" si="581"/>
        <v>Low</v>
      </c>
      <c r="Q3718" t="str">
        <f t="shared" si="582"/>
        <v>Low</v>
      </c>
      <c r="R3718" t="s">
        <v>3317</v>
      </c>
      <c r="S3718" s="4">
        <f t="shared" ca="1" si="583"/>
        <v>884</v>
      </c>
      <c r="T3718">
        <f t="shared" si="584"/>
        <v>1</v>
      </c>
      <c r="U3718">
        <f t="shared" si="585"/>
        <v>1</v>
      </c>
      <c r="V3718">
        <f t="shared" si="586"/>
        <v>1</v>
      </c>
      <c r="W3718">
        <f t="shared" si="587"/>
        <v>1</v>
      </c>
      <c r="X3718">
        <f t="shared" si="588"/>
        <v>0.99999999999999989</v>
      </c>
      <c r="Y3718" t="str">
        <f t="shared" si="589"/>
        <v>Healthy</v>
      </c>
    </row>
    <row r="3719" spans="1:25" x14ac:dyDescent="0.35">
      <c r="A3719" t="s">
        <v>71</v>
      </c>
      <c r="B3719" t="s">
        <v>72</v>
      </c>
      <c r="C3719" t="s">
        <v>73</v>
      </c>
      <c r="D3719" t="s">
        <v>389</v>
      </c>
      <c r="E3719">
        <v>80887993</v>
      </c>
      <c r="F3719" t="s">
        <v>2490</v>
      </c>
      <c r="G3719" s="3">
        <v>47058</v>
      </c>
      <c r="H3719">
        <v>36</v>
      </c>
      <c r="I3719">
        <v>80</v>
      </c>
      <c r="J3719">
        <v>8</v>
      </c>
      <c r="K3719" s="4">
        <v>6290.96</v>
      </c>
      <c r="L3719" s="4">
        <v>215.28571428571428</v>
      </c>
      <c r="M3719" s="4">
        <v>3.7159920371599202E-2</v>
      </c>
      <c r="N3719" t="s">
        <v>25</v>
      </c>
      <c r="O3719" t="str">
        <f t="shared" si="580"/>
        <v>Low</v>
      </c>
      <c r="P3719" t="str">
        <f t="shared" si="581"/>
        <v>Low</v>
      </c>
      <c r="Q3719" t="str">
        <f t="shared" si="582"/>
        <v>Low</v>
      </c>
      <c r="R3719" t="s">
        <v>3317</v>
      </c>
      <c r="S3719" s="4">
        <f t="shared" ca="1" si="583"/>
        <v>861</v>
      </c>
      <c r="T3719">
        <f t="shared" si="584"/>
        <v>1</v>
      </c>
      <c r="U3719">
        <f t="shared" si="585"/>
        <v>1</v>
      </c>
      <c r="V3719">
        <f t="shared" si="586"/>
        <v>1</v>
      </c>
      <c r="W3719">
        <f t="shared" si="587"/>
        <v>1</v>
      </c>
      <c r="X3719">
        <f t="shared" si="588"/>
        <v>0.99999999999999989</v>
      </c>
      <c r="Y3719" t="str">
        <f t="shared" si="589"/>
        <v>Healthy</v>
      </c>
    </row>
    <row r="3720" spans="1:25" x14ac:dyDescent="0.35">
      <c r="A3720" t="s">
        <v>71</v>
      </c>
      <c r="B3720" t="s">
        <v>72</v>
      </c>
      <c r="C3720" t="s">
        <v>310</v>
      </c>
      <c r="D3720" t="s">
        <v>2491</v>
      </c>
      <c r="E3720">
        <v>80895438</v>
      </c>
      <c r="F3720" t="s">
        <v>2492</v>
      </c>
      <c r="G3720" s="3">
        <v>47256</v>
      </c>
      <c r="H3720">
        <v>36</v>
      </c>
      <c r="I3720">
        <v>99</v>
      </c>
      <c r="J3720">
        <v>4</v>
      </c>
      <c r="K3720" s="4">
        <v>4063.6</v>
      </c>
      <c r="L3720" s="4">
        <v>1742.7142857142858</v>
      </c>
      <c r="M3720" s="4">
        <v>2.295270104106894E-3</v>
      </c>
      <c r="N3720" t="s">
        <v>25</v>
      </c>
      <c r="O3720" t="str">
        <f t="shared" si="580"/>
        <v>Low</v>
      </c>
      <c r="P3720" t="str">
        <f t="shared" si="581"/>
        <v>Low</v>
      </c>
      <c r="Q3720" t="str">
        <f t="shared" si="582"/>
        <v>Low</v>
      </c>
      <c r="R3720" t="s">
        <v>3317</v>
      </c>
      <c r="S3720" s="4">
        <f t="shared" ca="1" si="583"/>
        <v>1059</v>
      </c>
      <c r="T3720">
        <f t="shared" si="584"/>
        <v>1</v>
      </c>
      <c r="U3720">
        <f t="shared" si="585"/>
        <v>1</v>
      </c>
      <c r="V3720">
        <f t="shared" si="586"/>
        <v>1</v>
      </c>
      <c r="W3720">
        <f t="shared" si="587"/>
        <v>1</v>
      </c>
      <c r="X3720">
        <f t="shared" si="588"/>
        <v>0.99999999999999989</v>
      </c>
      <c r="Y3720" t="str">
        <f t="shared" si="589"/>
        <v>Healthy</v>
      </c>
    </row>
    <row r="3721" spans="1:25" x14ac:dyDescent="0.35">
      <c r="A3721" t="s">
        <v>71</v>
      </c>
      <c r="B3721" t="s">
        <v>72</v>
      </c>
      <c r="C3721" t="s">
        <v>310</v>
      </c>
      <c r="D3721" t="s">
        <v>2491</v>
      </c>
      <c r="E3721">
        <v>80895438</v>
      </c>
      <c r="F3721" t="s">
        <v>2492</v>
      </c>
      <c r="G3721" s="3">
        <v>47277</v>
      </c>
      <c r="H3721">
        <v>36</v>
      </c>
      <c r="I3721">
        <v>100</v>
      </c>
      <c r="J3721">
        <v>606</v>
      </c>
      <c r="K3721" s="4">
        <v>615635.4</v>
      </c>
      <c r="L3721" s="4">
        <v>1742.7142857142858</v>
      </c>
      <c r="M3721" s="4">
        <v>0.34773342077219443</v>
      </c>
      <c r="N3721" t="s">
        <v>25</v>
      </c>
      <c r="O3721" t="str">
        <f t="shared" si="580"/>
        <v>Low</v>
      </c>
      <c r="P3721" t="str">
        <f t="shared" si="581"/>
        <v>Low</v>
      </c>
      <c r="Q3721" t="str">
        <f t="shared" si="582"/>
        <v>Low</v>
      </c>
      <c r="R3721" t="s">
        <v>3309</v>
      </c>
      <c r="S3721" s="4">
        <f t="shared" ca="1" si="583"/>
        <v>1080</v>
      </c>
      <c r="T3721">
        <f t="shared" si="584"/>
        <v>1</v>
      </c>
      <c r="U3721">
        <f t="shared" si="585"/>
        <v>1</v>
      </c>
      <c r="V3721">
        <f t="shared" si="586"/>
        <v>1</v>
      </c>
      <c r="W3721">
        <f t="shared" si="587"/>
        <v>3</v>
      </c>
      <c r="X3721">
        <f t="shared" si="588"/>
        <v>1.2</v>
      </c>
      <c r="Y3721" t="str">
        <f t="shared" si="589"/>
        <v>Healthy</v>
      </c>
    </row>
    <row r="3722" spans="1:25" x14ac:dyDescent="0.35">
      <c r="A3722" t="s">
        <v>71</v>
      </c>
      <c r="B3722" t="s">
        <v>72</v>
      </c>
      <c r="C3722" t="s">
        <v>73</v>
      </c>
      <c r="D3722" t="s">
        <v>2198</v>
      </c>
      <c r="E3722">
        <v>80887995</v>
      </c>
      <c r="F3722" t="s">
        <v>2493</v>
      </c>
      <c r="G3722" s="3">
        <v>47196</v>
      </c>
      <c r="H3722">
        <v>36</v>
      </c>
      <c r="I3722">
        <v>93</v>
      </c>
      <c r="J3722">
        <v>124</v>
      </c>
      <c r="K3722" s="4">
        <v>97509.88</v>
      </c>
      <c r="L3722" s="4">
        <v>4.8571428571428568</v>
      </c>
      <c r="M3722" s="4">
        <v>25.529411764705884</v>
      </c>
      <c r="N3722" t="s">
        <v>19</v>
      </c>
      <c r="O3722" t="str">
        <f t="shared" si="580"/>
        <v>Low</v>
      </c>
      <c r="P3722" t="str">
        <f t="shared" si="581"/>
        <v>High</v>
      </c>
      <c r="Q3722" t="str">
        <f t="shared" si="582"/>
        <v>High</v>
      </c>
      <c r="R3722" t="s">
        <v>3310</v>
      </c>
      <c r="S3722" s="4">
        <f t="shared" ca="1" si="583"/>
        <v>999</v>
      </c>
      <c r="T3722">
        <f t="shared" si="584"/>
        <v>1</v>
      </c>
      <c r="U3722">
        <f t="shared" si="585"/>
        <v>3</v>
      </c>
      <c r="V3722">
        <f t="shared" si="586"/>
        <v>3</v>
      </c>
      <c r="W3722">
        <f t="shared" si="587"/>
        <v>2</v>
      </c>
      <c r="X3722">
        <f t="shared" si="588"/>
        <v>2.1</v>
      </c>
      <c r="Y3722" t="str">
        <f t="shared" si="589"/>
        <v>Monitor</v>
      </c>
    </row>
    <row r="3723" spans="1:25" x14ac:dyDescent="0.35">
      <c r="A3723" t="s">
        <v>71</v>
      </c>
      <c r="B3723" t="s">
        <v>72</v>
      </c>
      <c r="C3723" t="s">
        <v>310</v>
      </c>
      <c r="D3723" t="s">
        <v>2494</v>
      </c>
      <c r="E3723">
        <v>80895439</v>
      </c>
      <c r="F3723" t="s">
        <v>2495</v>
      </c>
      <c r="G3723" s="3">
        <v>47209</v>
      </c>
      <c r="H3723">
        <v>36</v>
      </c>
      <c r="I3723">
        <v>94</v>
      </c>
      <c r="J3723">
        <v>95</v>
      </c>
      <c r="K3723" s="4">
        <v>88818.35</v>
      </c>
      <c r="L3723" s="4">
        <v>5363</v>
      </c>
      <c r="M3723" s="4">
        <v>1.7713966063770278E-2</v>
      </c>
      <c r="N3723" t="s">
        <v>25</v>
      </c>
      <c r="O3723" t="str">
        <f t="shared" si="580"/>
        <v>Low</v>
      </c>
      <c r="P3723" t="str">
        <f t="shared" si="581"/>
        <v>Low</v>
      </c>
      <c r="Q3723" t="str">
        <f t="shared" si="582"/>
        <v>Low</v>
      </c>
      <c r="R3723" t="s">
        <v>3310</v>
      </c>
      <c r="S3723" s="4">
        <f t="shared" ca="1" si="583"/>
        <v>1012</v>
      </c>
      <c r="T3723">
        <f t="shared" si="584"/>
        <v>1</v>
      </c>
      <c r="U3723">
        <f t="shared" si="585"/>
        <v>1</v>
      </c>
      <c r="V3723">
        <f t="shared" si="586"/>
        <v>1</v>
      </c>
      <c r="W3723">
        <f t="shared" si="587"/>
        <v>2</v>
      </c>
      <c r="X3723">
        <f t="shared" si="588"/>
        <v>1.0999999999999999</v>
      </c>
      <c r="Y3723" t="str">
        <f t="shared" si="589"/>
        <v>Healthy</v>
      </c>
    </row>
    <row r="3724" spans="1:25" x14ac:dyDescent="0.35">
      <c r="A3724" t="s">
        <v>71</v>
      </c>
      <c r="B3724" t="s">
        <v>72</v>
      </c>
      <c r="C3724" t="s">
        <v>310</v>
      </c>
      <c r="D3724" t="s">
        <v>2494</v>
      </c>
      <c r="E3724">
        <v>80895439</v>
      </c>
      <c r="F3724" t="s">
        <v>2495</v>
      </c>
      <c r="G3724" s="3">
        <v>47241</v>
      </c>
      <c r="H3724">
        <v>36</v>
      </c>
      <c r="I3724">
        <v>97</v>
      </c>
      <c r="J3724">
        <v>376</v>
      </c>
      <c r="K3724" s="4">
        <v>351533.68</v>
      </c>
      <c r="L3724" s="4">
        <v>5363</v>
      </c>
      <c r="M3724" s="4">
        <v>7.0110013052396045E-2</v>
      </c>
      <c r="N3724" t="s">
        <v>25</v>
      </c>
      <c r="O3724" t="str">
        <f t="shared" si="580"/>
        <v>Low</v>
      </c>
      <c r="P3724" t="str">
        <f t="shared" si="581"/>
        <v>Low</v>
      </c>
      <c r="Q3724" t="str">
        <f t="shared" si="582"/>
        <v>Low</v>
      </c>
      <c r="R3724" t="s">
        <v>3309</v>
      </c>
      <c r="S3724" s="4">
        <f t="shared" ca="1" si="583"/>
        <v>1044</v>
      </c>
      <c r="T3724">
        <f t="shared" si="584"/>
        <v>1</v>
      </c>
      <c r="U3724">
        <f t="shared" si="585"/>
        <v>1</v>
      </c>
      <c r="V3724">
        <f t="shared" si="586"/>
        <v>1</v>
      </c>
      <c r="W3724">
        <f t="shared" si="587"/>
        <v>3</v>
      </c>
      <c r="X3724">
        <f t="shared" si="588"/>
        <v>1.2</v>
      </c>
      <c r="Y3724" t="str">
        <f t="shared" si="589"/>
        <v>Healthy</v>
      </c>
    </row>
    <row r="3725" spans="1:25" x14ac:dyDescent="0.35">
      <c r="A3725" t="s">
        <v>71</v>
      </c>
      <c r="B3725" t="s">
        <v>72</v>
      </c>
      <c r="C3725" t="s">
        <v>310</v>
      </c>
      <c r="D3725" t="s">
        <v>2494</v>
      </c>
      <c r="E3725">
        <v>80895439</v>
      </c>
      <c r="F3725" t="s">
        <v>2495</v>
      </c>
      <c r="G3725" s="3">
        <v>47170</v>
      </c>
      <c r="H3725">
        <v>36</v>
      </c>
      <c r="I3725">
        <v>91</v>
      </c>
      <c r="J3725">
        <v>12</v>
      </c>
      <c r="K3725" s="4">
        <v>11219.16</v>
      </c>
      <c r="L3725" s="4">
        <v>5363</v>
      </c>
      <c r="M3725" s="4">
        <v>2.2375536080551932E-3</v>
      </c>
      <c r="N3725" t="s">
        <v>25</v>
      </c>
      <c r="O3725" t="str">
        <f t="shared" si="580"/>
        <v>Low</v>
      </c>
      <c r="P3725" t="str">
        <f t="shared" si="581"/>
        <v>Low</v>
      </c>
      <c r="Q3725" t="str">
        <f t="shared" si="582"/>
        <v>Low</v>
      </c>
      <c r="R3725" t="s">
        <v>3317</v>
      </c>
      <c r="S3725" s="4">
        <f t="shared" ca="1" si="583"/>
        <v>973</v>
      </c>
      <c r="T3725">
        <f t="shared" si="584"/>
        <v>1</v>
      </c>
      <c r="U3725">
        <f t="shared" si="585"/>
        <v>1</v>
      </c>
      <c r="V3725">
        <f t="shared" si="586"/>
        <v>1</v>
      </c>
      <c r="W3725">
        <f t="shared" si="587"/>
        <v>1</v>
      </c>
      <c r="X3725">
        <f t="shared" si="588"/>
        <v>0.99999999999999989</v>
      </c>
      <c r="Y3725" t="str">
        <f t="shared" si="589"/>
        <v>Healthy</v>
      </c>
    </row>
    <row r="3726" spans="1:25" x14ac:dyDescent="0.35">
      <c r="A3726" t="s">
        <v>71</v>
      </c>
      <c r="B3726" t="s">
        <v>72</v>
      </c>
      <c r="C3726" t="s">
        <v>310</v>
      </c>
      <c r="D3726" t="s">
        <v>2494</v>
      </c>
      <c r="E3726">
        <v>80895439</v>
      </c>
      <c r="F3726" t="s">
        <v>2495</v>
      </c>
      <c r="G3726" s="3">
        <v>47223</v>
      </c>
      <c r="H3726">
        <v>36</v>
      </c>
      <c r="I3726">
        <v>95</v>
      </c>
      <c r="J3726">
        <v>44</v>
      </c>
      <c r="K3726" s="4">
        <v>41136.92</v>
      </c>
      <c r="L3726" s="4">
        <v>5363</v>
      </c>
      <c r="M3726" s="4">
        <v>8.2043632295357074E-3</v>
      </c>
      <c r="N3726" t="s">
        <v>25</v>
      </c>
      <c r="O3726" t="str">
        <f t="shared" si="580"/>
        <v>Low</v>
      </c>
      <c r="P3726" t="str">
        <f t="shared" si="581"/>
        <v>Low</v>
      </c>
      <c r="Q3726" t="str">
        <f t="shared" si="582"/>
        <v>Low</v>
      </c>
      <c r="R3726" t="s">
        <v>3317</v>
      </c>
      <c r="S3726" s="4">
        <f t="shared" ca="1" si="583"/>
        <v>1026</v>
      </c>
      <c r="T3726">
        <f t="shared" si="584"/>
        <v>1</v>
      </c>
      <c r="U3726">
        <f t="shared" si="585"/>
        <v>1</v>
      </c>
      <c r="V3726">
        <f t="shared" si="586"/>
        <v>1</v>
      </c>
      <c r="W3726">
        <f t="shared" si="587"/>
        <v>1</v>
      </c>
      <c r="X3726">
        <f t="shared" si="588"/>
        <v>0.99999999999999989</v>
      </c>
      <c r="Y3726" t="str">
        <f t="shared" si="589"/>
        <v>Healthy</v>
      </c>
    </row>
    <row r="3727" spans="1:25" x14ac:dyDescent="0.35">
      <c r="A3727" t="s">
        <v>71</v>
      </c>
      <c r="B3727" t="s">
        <v>72</v>
      </c>
      <c r="C3727" t="s">
        <v>310</v>
      </c>
      <c r="D3727" t="s">
        <v>2494</v>
      </c>
      <c r="E3727">
        <v>80895439</v>
      </c>
      <c r="F3727" t="s">
        <v>2495</v>
      </c>
      <c r="G3727" s="3">
        <v>47252</v>
      </c>
      <c r="H3727">
        <v>36</v>
      </c>
      <c r="I3727">
        <v>98</v>
      </c>
      <c r="J3727">
        <v>68</v>
      </c>
      <c r="K3727" s="4">
        <v>63575.24</v>
      </c>
      <c r="L3727" s="4">
        <v>5363</v>
      </c>
      <c r="M3727" s="4">
        <v>1.2679470445646093E-2</v>
      </c>
      <c r="N3727" t="s">
        <v>25</v>
      </c>
      <c r="O3727" t="str">
        <f t="shared" si="580"/>
        <v>Low</v>
      </c>
      <c r="P3727" t="str">
        <f t="shared" si="581"/>
        <v>Low</v>
      </c>
      <c r="Q3727" t="str">
        <f t="shared" si="582"/>
        <v>Low</v>
      </c>
      <c r="R3727" t="s">
        <v>3317</v>
      </c>
      <c r="S3727" s="4">
        <f t="shared" ca="1" si="583"/>
        <v>1055</v>
      </c>
      <c r="T3727">
        <f t="shared" si="584"/>
        <v>1</v>
      </c>
      <c r="U3727">
        <f t="shared" si="585"/>
        <v>1</v>
      </c>
      <c r="V3727">
        <f t="shared" si="586"/>
        <v>1</v>
      </c>
      <c r="W3727">
        <f t="shared" si="587"/>
        <v>1</v>
      </c>
      <c r="X3727">
        <f t="shared" si="588"/>
        <v>0.99999999999999989</v>
      </c>
      <c r="Y3727" t="str">
        <f t="shared" si="589"/>
        <v>Healthy</v>
      </c>
    </row>
    <row r="3728" spans="1:25" x14ac:dyDescent="0.35">
      <c r="A3728" t="s">
        <v>71</v>
      </c>
      <c r="B3728" t="s">
        <v>72</v>
      </c>
      <c r="C3728" t="s">
        <v>310</v>
      </c>
      <c r="D3728" t="s">
        <v>2494</v>
      </c>
      <c r="E3728">
        <v>80895439</v>
      </c>
      <c r="F3728" t="s">
        <v>2495</v>
      </c>
      <c r="G3728" s="3">
        <v>47240</v>
      </c>
      <c r="H3728">
        <v>36</v>
      </c>
      <c r="I3728">
        <v>97</v>
      </c>
      <c r="J3728">
        <v>260</v>
      </c>
      <c r="K3728" s="4">
        <v>243081.8</v>
      </c>
      <c r="L3728" s="4">
        <v>5363</v>
      </c>
      <c r="M3728" s="4">
        <v>4.8480328174529179E-2</v>
      </c>
      <c r="N3728" t="s">
        <v>25</v>
      </c>
      <c r="O3728" t="str">
        <f t="shared" si="580"/>
        <v>Low</v>
      </c>
      <c r="P3728" t="str">
        <f t="shared" si="581"/>
        <v>Low</v>
      </c>
      <c r="Q3728" t="str">
        <f t="shared" si="582"/>
        <v>Low</v>
      </c>
      <c r="R3728" t="s">
        <v>3309</v>
      </c>
      <c r="S3728" s="4">
        <f t="shared" ca="1" si="583"/>
        <v>1043</v>
      </c>
      <c r="T3728">
        <f t="shared" si="584"/>
        <v>1</v>
      </c>
      <c r="U3728">
        <f t="shared" si="585"/>
        <v>1</v>
      </c>
      <c r="V3728">
        <f t="shared" si="586"/>
        <v>1</v>
      </c>
      <c r="W3728">
        <f t="shared" si="587"/>
        <v>3</v>
      </c>
      <c r="X3728">
        <f t="shared" si="588"/>
        <v>1.2</v>
      </c>
      <c r="Y3728" t="str">
        <f t="shared" si="589"/>
        <v>Healthy</v>
      </c>
    </row>
    <row r="3729" spans="1:25" x14ac:dyDescent="0.35">
      <c r="A3729" t="s">
        <v>71</v>
      </c>
      <c r="B3729" t="s">
        <v>72</v>
      </c>
      <c r="C3729" t="s">
        <v>310</v>
      </c>
      <c r="D3729" t="s">
        <v>2494</v>
      </c>
      <c r="E3729">
        <v>80895439</v>
      </c>
      <c r="F3729" t="s">
        <v>2495</v>
      </c>
      <c r="G3729" s="3">
        <v>47164</v>
      </c>
      <c r="H3729">
        <v>36</v>
      </c>
      <c r="I3729">
        <v>90</v>
      </c>
      <c r="J3729">
        <v>16</v>
      </c>
      <c r="K3729" s="4">
        <v>14958.88</v>
      </c>
      <c r="L3729" s="4">
        <v>5363</v>
      </c>
      <c r="M3729" s="4">
        <v>2.9834048107402573E-3</v>
      </c>
      <c r="N3729" t="s">
        <v>25</v>
      </c>
      <c r="O3729" t="str">
        <f t="shared" si="580"/>
        <v>Low</v>
      </c>
      <c r="P3729" t="str">
        <f t="shared" si="581"/>
        <v>Low</v>
      </c>
      <c r="Q3729" t="str">
        <f t="shared" si="582"/>
        <v>Low</v>
      </c>
      <c r="R3729" t="s">
        <v>3317</v>
      </c>
      <c r="S3729" s="4">
        <f t="shared" ca="1" si="583"/>
        <v>967</v>
      </c>
      <c r="T3729">
        <f t="shared" si="584"/>
        <v>1</v>
      </c>
      <c r="U3729">
        <f t="shared" si="585"/>
        <v>1</v>
      </c>
      <c r="V3729">
        <f t="shared" si="586"/>
        <v>1</v>
      </c>
      <c r="W3729">
        <f t="shared" si="587"/>
        <v>1</v>
      </c>
      <c r="X3729">
        <f t="shared" si="588"/>
        <v>0.99999999999999989</v>
      </c>
      <c r="Y3729" t="str">
        <f t="shared" si="589"/>
        <v>Healthy</v>
      </c>
    </row>
    <row r="3730" spans="1:25" x14ac:dyDescent="0.35">
      <c r="A3730" t="s">
        <v>71</v>
      </c>
      <c r="B3730" t="s">
        <v>72</v>
      </c>
      <c r="C3730" t="s">
        <v>310</v>
      </c>
      <c r="D3730" t="s">
        <v>2494</v>
      </c>
      <c r="E3730">
        <v>80895439</v>
      </c>
      <c r="F3730" t="s">
        <v>2495</v>
      </c>
      <c r="G3730" s="3">
        <v>47220</v>
      </c>
      <c r="H3730">
        <v>36</v>
      </c>
      <c r="I3730">
        <v>95</v>
      </c>
      <c r="J3730">
        <v>36</v>
      </c>
      <c r="K3730" s="4">
        <v>33657.480000000003</v>
      </c>
      <c r="L3730" s="4">
        <v>5363</v>
      </c>
      <c r="M3730" s="4">
        <v>6.7126608241655792E-3</v>
      </c>
      <c r="N3730" t="s">
        <v>25</v>
      </c>
      <c r="O3730" t="str">
        <f t="shared" si="580"/>
        <v>Low</v>
      </c>
      <c r="P3730" t="str">
        <f t="shared" si="581"/>
        <v>Low</v>
      </c>
      <c r="Q3730" t="str">
        <f t="shared" si="582"/>
        <v>Low</v>
      </c>
      <c r="R3730" t="s">
        <v>3317</v>
      </c>
      <c r="S3730" s="4">
        <f t="shared" ca="1" si="583"/>
        <v>1023</v>
      </c>
      <c r="T3730">
        <f t="shared" si="584"/>
        <v>1</v>
      </c>
      <c r="U3730">
        <f t="shared" si="585"/>
        <v>1</v>
      </c>
      <c r="V3730">
        <f t="shared" si="586"/>
        <v>1</v>
      </c>
      <c r="W3730">
        <f t="shared" si="587"/>
        <v>1</v>
      </c>
      <c r="X3730">
        <f t="shared" si="588"/>
        <v>0.99999999999999989</v>
      </c>
      <c r="Y3730" t="str">
        <f t="shared" si="589"/>
        <v>Healthy</v>
      </c>
    </row>
    <row r="3731" spans="1:25" x14ac:dyDescent="0.35">
      <c r="A3731" t="s">
        <v>71</v>
      </c>
      <c r="B3731" t="s">
        <v>72</v>
      </c>
      <c r="C3731" t="s">
        <v>310</v>
      </c>
      <c r="D3731" t="s">
        <v>2494</v>
      </c>
      <c r="E3731">
        <v>80895439</v>
      </c>
      <c r="F3731" t="s">
        <v>2495</v>
      </c>
      <c r="G3731" s="3">
        <v>47254</v>
      </c>
      <c r="H3731">
        <v>36</v>
      </c>
      <c r="I3731">
        <v>98</v>
      </c>
      <c r="J3731">
        <v>284</v>
      </c>
      <c r="K3731" s="4">
        <v>265520.12</v>
      </c>
      <c r="L3731" s="4">
        <v>5363</v>
      </c>
      <c r="M3731" s="4">
        <v>5.2955435390639564E-2</v>
      </c>
      <c r="N3731" t="s">
        <v>25</v>
      </c>
      <c r="O3731" t="str">
        <f t="shared" si="580"/>
        <v>Low</v>
      </c>
      <c r="P3731" t="str">
        <f t="shared" si="581"/>
        <v>Low</v>
      </c>
      <c r="Q3731" t="str">
        <f t="shared" si="582"/>
        <v>Low</v>
      </c>
      <c r="R3731" t="s">
        <v>3309</v>
      </c>
      <c r="S3731" s="4">
        <f t="shared" ca="1" si="583"/>
        <v>1057</v>
      </c>
      <c r="T3731">
        <f t="shared" si="584"/>
        <v>1</v>
      </c>
      <c r="U3731">
        <f t="shared" si="585"/>
        <v>1</v>
      </c>
      <c r="V3731">
        <f t="shared" si="586"/>
        <v>1</v>
      </c>
      <c r="W3731">
        <f t="shared" si="587"/>
        <v>3</v>
      </c>
      <c r="X3731">
        <f t="shared" si="588"/>
        <v>1.2</v>
      </c>
      <c r="Y3731" t="str">
        <f t="shared" si="589"/>
        <v>Healthy</v>
      </c>
    </row>
    <row r="3732" spans="1:25" x14ac:dyDescent="0.35">
      <c r="A3732" t="s">
        <v>71</v>
      </c>
      <c r="B3732" t="s">
        <v>72</v>
      </c>
      <c r="C3732" t="s">
        <v>310</v>
      </c>
      <c r="D3732" t="s">
        <v>2494</v>
      </c>
      <c r="E3732">
        <v>80895439</v>
      </c>
      <c r="F3732" t="s">
        <v>2495</v>
      </c>
      <c r="G3732" s="3">
        <v>47211</v>
      </c>
      <c r="H3732">
        <v>36</v>
      </c>
      <c r="I3732">
        <v>94</v>
      </c>
      <c r="J3732">
        <v>40</v>
      </c>
      <c r="K3732" s="4">
        <v>37397.199999999997</v>
      </c>
      <c r="L3732" s="4">
        <v>5363</v>
      </c>
      <c r="M3732" s="4">
        <v>7.4585120268506437E-3</v>
      </c>
      <c r="N3732" t="s">
        <v>25</v>
      </c>
      <c r="O3732" t="str">
        <f t="shared" si="580"/>
        <v>Low</v>
      </c>
      <c r="P3732" t="str">
        <f t="shared" si="581"/>
        <v>Low</v>
      </c>
      <c r="Q3732" t="str">
        <f t="shared" si="582"/>
        <v>Low</v>
      </c>
      <c r="R3732" t="s">
        <v>3317</v>
      </c>
      <c r="S3732" s="4">
        <f t="shared" ca="1" si="583"/>
        <v>1014</v>
      </c>
      <c r="T3732">
        <f t="shared" si="584"/>
        <v>1</v>
      </c>
      <c r="U3732">
        <f t="shared" si="585"/>
        <v>1</v>
      </c>
      <c r="V3732">
        <f t="shared" si="586"/>
        <v>1</v>
      </c>
      <c r="W3732">
        <f t="shared" si="587"/>
        <v>1</v>
      </c>
      <c r="X3732">
        <f t="shared" si="588"/>
        <v>0.99999999999999989</v>
      </c>
      <c r="Y3732" t="str">
        <f t="shared" si="589"/>
        <v>Healthy</v>
      </c>
    </row>
    <row r="3733" spans="1:25" x14ac:dyDescent="0.35">
      <c r="A3733" t="s">
        <v>71</v>
      </c>
      <c r="B3733" t="s">
        <v>72</v>
      </c>
      <c r="C3733" t="s">
        <v>310</v>
      </c>
      <c r="D3733" t="s">
        <v>2494</v>
      </c>
      <c r="E3733">
        <v>80895439</v>
      </c>
      <c r="F3733" t="s">
        <v>2495</v>
      </c>
      <c r="G3733" s="3">
        <v>47269</v>
      </c>
      <c r="H3733">
        <v>36</v>
      </c>
      <c r="I3733">
        <v>100</v>
      </c>
      <c r="J3733">
        <v>52</v>
      </c>
      <c r="K3733" s="4">
        <v>48616.36</v>
      </c>
      <c r="L3733" s="4">
        <v>5363</v>
      </c>
      <c r="M3733" s="4">
        <v>9.6960656349058365E-3</v>
      </c>
      <c r="N3733" t="s">
        <v>25</v>
      </c>
      <c r="O3733" t="str">
        <f t="shared" si="580"/>
        <v>Low</v>
      </c>
      <c r="P3733" t="str">
        <f t="shared" si="581"/>
        <v>Low</v>
      </c>
      <c r="Q3733" t="str">
        <f t="shared" si="582"/>
        <v>Low</v>
      </c>
      <c r="R3733" t="s">
        <v>3317</v>
      </c>
      <c r="S3733" s="4">
        <f t="shared" ca="1" si="583"/>
        <v>1072</v>
      </c>
      <c r="T3733">
        <f t="shared" si="584"/>
        <v>1</v>
      </c>
      <c r="U3733">
        <f t="shared" si="585"/>
        <v>1</v>
      </c>
      <c r="V3733">
        <f t="shared" si="586"/>
        <v>1</v>
      </c>
      <c r="W3733">
        <f t="shared" si="587"/>
        <v>1</v>
      </c>
      <c r="X3733">
        <f t="shared" si="588"/>
        <v>0.99999999999999989</v>
      </c>
      <c r="Y3733" t="str">
        <f t="shared" si="589"/>
        <v>Healthy</v>
      </c>
    </row>
    <row r="3734" spans="1:25" x14ac:dyDescent="0.35">
      <c r="A3734" t="s">
        <v>71</v>
      </c>
      <c r="B3734" t="s">
        <v>72</v>
      </c>
      <c r="C3734" t="s">
        <v>310</v>
      </c>
      <c r="D3734" t="s">
        <v>2494</v>
      </c>
      <c r="E3734">
        <v>80895439</v>
      </c>
      <c r="F3734" t="s">
        <v>2495</v>
      </c>
      <c r="G3734" s="3">
        <v>47200</v>
      </c>
      <c r="H3734">
        <v>36</v>
      </c>
      <c r="I3734">
        <v>93</v>
      </c>
      <c r="J3734">
        <v>12</v>
      </c>
      <c r="K3734" s="4">
        <v>11219.16</v>
      </c>
      <c r="L3734" s="4">
        <v>5363</v>
      </c>
      <c r="M3734" s="4">
        <v>2.2375536080551932E-3</v>
      </c>
      <c r="N3734" t="s">
        <v>25</v>
      </c>
      <c r="O3734" t="str">
        <f t="shared" si="580"/>
        <v>Low</v>
      </c>
      <c r="P3734" t="str">
        <f t="shared" si="581"/>
        <v>Low</v>
      </c>
      <c r="Q3734" t="str">
        <f t="shared" si="582"/>
        <v>Low</v>
      </c>
      <c r="R3734" t="s">
        <v>3317</v>
      </c>
      <c r="S3734" s="4">
        <f t="shared" ca="1" si="583"/>
        <v>1003</v>
      </c>
      <c r="T3734">
        <f t="shared" si="584"/>
        <v>1</v>
      </c>
      <c r="U3734">
        <f t="shared" si="585"/>
        <v>1</v>
      </c>
      <c r="V3734">
        <f t="shared" si="586"/>
        <v>1</v>
      </c>
      <c r="W3734">
        <f t="shared" si="587"/>
        <v>1</v>
      </c>
      <c r="X3734">
        <f t="shared" si="588"/>
        <v>0.99999999999999989</v>
      </c>
      <c r="Y3734" t="str">
        <f t="shared" si="589"/>
        <v>Healthy</v>
      </c>
    </row>
    <row r="3735" spans="1:25" x14ac:dyDescent="0.35">
      <c r="A3735" t="s">
        <v>71</v>
      </c>
      <c r="B3735" t="s">
        <v>72</v>
      </c>
      <c r="C3735" t="s">
        <v>310</v>
      </c>
      <c r="D3735" t="s">
        <v>2494</v>
      </c>
      <c r="E3735">
        <v>80895439</v>
      </c>
      <c r="F3735" t="s">
        <v>2495</v>
      </c>
      <c r="G3735" s="3">
        <v>47240</v>
      </c>
      <c r="H3735">
        <v>36</v>
      </c>
      <c r="I3735">
        <v>97</v>
      </c>
      <c r="J3735">
        <v>28</v>
      </c>
      <c r="K3735" s="4">
        <v>26178.04</v>
      </c>
      <c r="L3735" s="4">
        <v>5363</v>
      </c>
      <c r="M3735" s="4">
        <v>5.2209584187954501E-3</v>
      </c>
      <c r="N3735" t="s">
        <v>25</v>
      </c>
      <c r="O3735" t="str">
        <f t="shared" si="580"/>
        <v>Low</v>
      </c>
      <c r="P3735" t="str">
        <f t="shared" si="581"/>
        <v>Low</v>
      </c>
      <c r="Q3735" t="str">
        <f t="shared" si="582"/>
        <v>Low</v>
      </c>
      <c r="R3735" t="s">
        <v>3317</v>
      </c>
      <c r="S3735" s="4">
        <f t="shared" ca="1" si="583"/>
        <v>1043</v>
      </c>
      <c r="T3735">
        <f t="shared" si="584"/>
        <v>1</v>
      </c>
      <c r="U3735">
        <f t="shared" si="585"/>
        <v>1</v>
      </c>
      <c r="V3735">
        <f t="shared" si="586"/>
        <v>1</v>
      </c>
      <c r="W3735">
        <f t="shared" si="587"/>
        <v>1</v>
      </c>
      <c r="X3735">
        <f t="shared" si="588"/>
        <v>0.99999999999999989</v>
      </c>
      <c r="Y3735" t="str">
        <f t="shared" si="589"/>
        <v>Healthy</v>
      </c>
    </row>
    <row r="3736" spans="1:25" x14ac:dyDescent="0.35">
      <c r="A3736" t="s">
        <v>71</v>
      </c>
      <c r="B3736" t="s">
        <v>72</v>
      </c>
      <c r="C3736" t="s">
        <v>310</v>
      </c>
      <c r="D3736" t="s">
        <v>2494</v>
      </c>
      <c r="E3736">
        <v>80895439</v>
      </c>
      <c r="F3736" t="s">
        <v>2495</v>
      </c>
      <c r="G3736" s="3">
        <v>47254</v>
      </c>
      <c r="H3736">
        <v>36</v>
      </c>
      <c r="I3736">
        <v>98</v>
      </c>
      <c r="J3736">
        <v>100</v>
      </c>
      <c r="K3736" s="4">
        <v>93493</v>
      </c>
      <c r="L3736" s="4">
        <v>5363</v>
      </c>
      <c r="M3736" s="4">
        <v>1.8646280067126608E-2</v>
      </c>
      <c r="N3736" t="s">
        <v>25</v>
      </c>
      <c r="O3736" t="str">
        <f t="shared" si="580"/>
        <v>Low</v>
      </c>
      <c r="P3736" t="str">
        <f t="shared" si="581"/>
        <v>Low</v>
      </c>
      <c r="Q3736" t="str">
        <f t="shared" si="582"/>
        <v>Low</v>
      </c>
      <c r="R3736" t="s">
        <v>3310</v>
      </c>
      <c r="S3736" s="4">
        <f t="shared" ca="1" si="583"/>
        <v>1057</v>
      </c>
      <c r="T3736">
        <f t="shared" si="584"/>
        <v>1</v>
      </c>
      <c r="U3736">
        <f t="shared" si="585"/>
        <v>1</v>
      </c>
      <c r="V3736">
        <f t="shared" si="586"/>
        <v>1</v>
      </c>
      <c r="W3736">
        <f t="shared" si="587"/>
        <v>2</v>
      </c>
      <c r="X3736">
        <f t="shared" si="588"/>
        <v>1.0999999999999999</v>
      </c>
      <c r="Y3736" t="str">
        <f t="shared" si="589"/>
        <v>Healthy</v>
      </c>
    </row>
    <row r="3737" spans="1:25" x14ac:dyDescent="0.35">
      <c r="A3737" t="s">
        <v>71</v>
      </c>
      <c r="B3737" t="s">
        <v>72</v>
      </c>
      <c r="C3737" t="s">
        <v>310</v>
      </c>
      <c r="D3737" t="s">
        <v>2494</v>
      </c>
      <c r="E3737">
        <v>80895439</v>
      </c>
      <c r="F3737" t="s">
        <v>2495</v>
      </c>
      <c r="G3737" s="3">
        <v>47181</v>
      </c>
      <c r="H3737">
        <v>36</v>
      </c>
      <c r="I3737">
        <v>92</v>
      </c>
      <c r="J3737">
        <v>21</v>
      </c>
      <c r="K3737" s="4">
        <v>19633.53</v>
      </c>
      <c r="L3737" s="4">
        <v>5363</v>
      </c>
      <c r="M3737" s="4">
        <v>3.9157188140965873E-3</v>
      </c>
      <c r="N3737" t="s">
        <v>25</v>
      </c>
      <c r="O3737" t="str">
        <f t="shared" si="580"/>
        <v>Low</v>
      </c>
      <c r="P3737" t="str">
        <f t="shared" si="581"/>
        <v>Low</v>
      </c>
      <c r="Q3737" t="str">
        <f t="shared" si="582"/>
        <v>Low</v>
      </c>
      <c r="R3737" t="s">
        <v>3317</v>
      </c>
      <c r="S3737" s="4">
        <f t="shared" ca="1" si="583"/>
        <v>984</v>
      </c>
      <c r="T3737">
        <f t="shared" si="584"/>
        <v>1</v>
      </c>
      <c r="U3737">
        <f t="shared" si="585"/>
        <v>1</v>
      </c>
      <c r="V3737">
        <f t="shared" si="586"/>
        <v>1</v>
      </c>
      <c r="W3737">
        <f t="shared" si="587"/>
        <v>1</v>
      </c>
      <c r="X3737">
        <f t="shared" si="588"/>
        <v>0.99999999999999989</v>
      </c>
      <c r="Y3737" t="str">
        <f t="shared" si="589"/>
        <v>Healthy</v>
      </c>
    </row>
    <row r="3738" spans="1:25" x14ac:dyDescent="0.35">
      <c r="A3738" t="s">
        <v>71</v>
      </c>
      <c r="B3738" t="s">
        <v>72</v>
      </c>
      <c r="C3738" t="s">
        <v>310</v>
      </c>
      <c r="D3738" t="s">
        <v>2494</v>
      </c>
      <c r="E3738">
        <v>80895439</v>
      </c>
      <c r="F3738" t="s">
        <v>2495</v>
      </c>
      <c r="G3738" s="3">
        <v>47255</v>
      </c>
      <c r="H3738">
        <v>36</v>
      </c>
      <c r="I3738">
        <v>98</v>
      </c>
      <c r="J3738">
        <v>240</v>
      </c>
      <c r="K3738" s="4">
        <v>224383.2</v>
      </c>
      <c r="L3738" s="4">
        <v>5363</v>
      </c>
      <c r="M3738" s="4">
        <v>4.4751072161103862E-2</v>
      </c>
      <c r="N3738" t="s">
        <v>25</v>
      </c>
      <c r="O3738" t="str">
        <f t="shared" si="580"/>
        <v>Low</v>
      </c>
      <c r="P3738" t="str">
        <f t="shared" si="581"/>
        <v>Low</v>
      </c>
      <c r="Q3738" t="str">
        <f t="shared" si="582"/>
        <v>Low</v>
      </c>
      <c r="R3738" t="s">
        <v>3309</v>
      </c>
      <c r="S3738" s="4">
        <f t="shared" ca="1" si="583"/>
        <v>1058</v>
      </c>
      <c r="T3738">
        <f t="shared" si="584"/>
        <v>1</v>
      </c>
      <c r="U3738">
        <f t="shared" si="585"/>
        <v>1</v>
      </c>
      <c r="V3738">
        <f t="shared" si="586"/>
        <v>1</v>
      </c>
      <c r="W3738">
        <f t="shared" si="587"/>
        <v>3</v>
      </c>
      <c r="X3738">
        <f t="shared" si="588"/>
        <v>1.2</v>
      </c>
      <c r="Y3738" t="str">
        <f t="shared" si="589"/>
        <v>Healthy</v>
      </c>
    </row>
    <row r="3739" spans="1:25" x14ac:dyDescent="0.35">
      <c r="A3739" t="s">
        <v>71</v>
      </c>
      <c r="B3739" t="s">
        <v>72</v>
      </c>
      <c r="C3739" t="s">
        <v>310</v>
      </c>
      <c r="D3739" t="s">
        <v>2494</v>
      </c>
      <c r="E3739">
        <v>80895439</v>
      </c>
      <c r="F3739" t="s">
        <v>2495</v>
      </c>
      <c r="G3739" s="3">
        <v>47182</v>
      </c>
      <c r="H3739">
        <v>36</v>
      </c>
      <c r="I3739">
        <v>92</v>
      </c>
      <c r="J3739">
        <v>28</v>
      </c>
      <c r="K3739" s="4">
        <v>26178.04</v>
      </c>
      <c r="L3739" s="4">
        <v>5363</v>
      </c>
      <c r="M3739" s="4">
        <v>5.2209584187954501E-3</v>
      </c>
      <c r="N3739" t="s">
        <v>25</v>
      </c>
      <c r="O3739" t="str">
        <f t="shared" si="580"/>
        <v>Low</v>
      </c>
      <c r="P3739" t="str">
        <f t="shared" si="581"/>
        <v>Low</v>
      </c>
      <c r="Q3739" t="str">
        <f t="shared" si="582"/>
        <v>Low</v>
      </c>
      <c r="R3739" t="s">
        <v>3317</v>
      </c>
      <c r="S3739" s="4">
        <f t="shared" ca="1" si="583"/>
        <v>985</v>
      </c>
      <c r="T3739">
        <f t="shared" si="584"/>
        <v>1</v>
      </c>
      <c r="U3739">
        <f t="shared" si="585"/>
        <v>1</v>
      </c>
      <c r="V3739">
        <f t="shared" si="586"/>
        <v>1</v>
      </c>
      <c r="W3739">
        <f t="shared" si="587"/>
        <v>1</v>
      </c>
      <c r="X3739">
        <f t="shared" si="588"/>
        <v>0.99999999999999989</v>
      </c>
      <c r="Y3739" t="str">
        <f t="shared" si="589"/>
        <v>Healthy</v>
      </c>
    </row>
    <row r="3740" spans="1:25" x14ac:dyDescent="0.35">
      <c r="A3740" t="s">
        <v>71</v>
      </c>
      <c r="B3740" t="s">
        <v>72</v>
      </c>
      <c r="C3740" t="s">
        <v>310</v>
      </c>
      <c r="D3740" t="s">
        <v>2494</v>
      </c>
      <c r="E3740">
        <v>80895439</v>
      </c>
      <c r="F3740" t="s">
        <v>2495</v>
      </c>
      <c r="G3740" s="3">
        <v>47222</v>
      </c>
      <c r="H3740">
        <v>36</v>
      </c>
      <c r="I3740">
        <v>95</v>
      </c>
      <c r="J3740">
        <v>16</v>
      </c>
      <c r="K3740" s="4">
        <v>14958.88</v>
      </c>
      <c r="L3740" s="4">
        <v>5363</v>
      </c>
      <c r="M3740" s="4">
        <v>2.9834048107402573E-3</v>
      </c>
      <c r="N3740" t="s">
        <v>25</v>
      </c>
      <c r="O3740" t="str">
        <f t="shared" si="580"/>
        <v>Low</v>
      </c>
      <c r="P3740" t="str">
        <f t="shared" si="581"/>
        <v>Low</v>
      </c>
      <c r="Q3740" t="str">
        <f t="shared" si="582"/>
        <v>Low</v>
      </c>
      <c r="R3740" t="s">
        <v>3317</v>
      </c>
      <c r="S3740" s="4">
        <f t="shared" ca="1" si="583"/>
        <v>1025</v>
      </c>
      <c r="T3740">
        <f t="shared" si="584"/>
        <v>1</v>
      </c>
      <c r="U3740">
        <f t="shared" si="585"/>
        <v>1</v>
      </c>
      <c r="V3740">
        <f t="shared" si="586"/>
        <v>1</v>
      </c>
      <c r="W3740">
        <f t="shared" si="587"/>
        <v>1</v>
      </c>
      <c r="X3740">
        <f t="shared" si="588"/>
        <v>0.99999999999999989</v>
      </c>
      <c r="Y3740" t="str">
        <f t="shared" si="589"/>
        <v>Healthy</v>
      </c>
    </row>
    <row r="3741" spans="1:25" x14ac:dyDescent="0.35">
      <c r="A3741" t="s">
        <v>71</v>
      </c>
      <c r="B3741" t="s">
        <v>72</v>
      </c>
      <c r="C3741" t="s">
        <v>310</v>
      </c>
      <c r="D3741" t="s">
        <v>2494</v>
      </c>
      <c r="E3741">
        <v>80895439</v>
      </c>
      <c r="F3741" t="s">
        <v>2495</v>
      </c>
      <c r="G3741" s="3">
        <v>47221</v>
      </c>
      <c r="H3741">
        <v>36</v>
      </c>
      <c r="I3741">
        <v>95</v>
      </c>
      <c r="J3741">
        <v>16</v>
      </c>
      <c r="K3741" s="4">
        <v>14958.88</v>
      </c>
      <c r="L3741" s="4">
        <v>5363</v>
      </c>
      <c r="M3741" s="4">
        <v>2.9834048107402573E-3</v>
      </c>
      <c r="N3741" t="s">
        <v>25</v>
      </c>
      <c r="O3741" t="str">
        <f t="shared" si="580"/>
        <v>Low</v>
      </c>
      <c r="P3741" t="str">
        <f t="shared" si="581"/>
        <v>Low</v>
      </c>
      <c r="Q3741" t="str">
        <f t="shared" si="582"/>
        <v>Low</v>
      </c>
      <c r="R3741" t="s">
        <v>3317</v>
      </c>
      <c r="S3741" s="4">
        <f t="shared" ca="1" si="583"/>
        <v>1024</v>
      </c>
      <c r="T3741">
        <f t="shared" si="584"/>
        <v>1</v>
      </c>
      <c r="U3741">
        <f t="shared" si="585"/>
        <v>1</v>
      </c>
      <c r="V3741">
        <f t="shared" si="586"/>
        <v>1</v>
      </c>
      <c r="W3741">
        <f t="shared" si="587"/>
        <v>1</v>
      </c>
      <c r="X3741">
        <f t="shared" si="588"/>
        <v>0.99999999999999989</v>
      </c>
      <c r="Y3741" t="str">
        <f t="shared" si="589"/>
        <v>Healthy</v>
      </c>
    </row>
    <row r="3742" spans="1:25" x14ac:dyDescent="0.35">
      <c r="A3742" t="s">
        <v>71</v>
      </c>
      <c r="B3742" t="s">
        <v>72</v>
      </c>
      <c r="C3742" t="s">
        <v>310</v>
      </c>
      <c r="D3742" t="s">
        <v>2494</v>
      </c>
      <c r="E3742">
        <v>80895439</v>
      </c>
      <c r="F3742" t="s">
        <v>2495</v>
      </c>
      <c r="G3742" s="3">
        <v>47242</v>
      </c>
      <c r="H3742">
        <v>36</v>
      </c>
      <c r="I3742">
        <v>97</v>
      </c>
      <c r="J3742">
        <v>96</v>
      </c>
      <c r="K3742" s="4">
        <v>89753.279999999999</v>
      </c>
      <c r="L3742" s="4">
        <v>5363</v>
      </c>
      <c r="M3742" s="4">
        <v>1.7900428864441546E-2</v>
      </c>
      <c r="N3742" t="s">
        <v>25</v>
      </c>
      <c r="O3742" t="str">
        <f t="shared" si="580"/>
        <v>Low</v>
      </c>
      <c r="P3742" t="str">
        <f t="shared" si="581"/>
        <v>Low</v>
      </c>
      <c r="Q3742" t="str">
        <f t="shared" si="582"/>
        <v>Low</v>
      </c>
      <c r="R3742" t="s">
        <v>3310</v>
      </c>
      <c r="S3742" s="4">
        <f t="shared" ca="1" si="583"/>
        <v>1045</v>
      </c>
      <c r="T3742">
        <f t="shared" si="584"/>
        <v>1</v>
      </c>
      <c r="U3742">
        <f t="shared" si="585"/>
        <v>1</v>
      </c>
      <c r="V3742">
        <f t="shared" si="586"/>
        <v>1</v>
      </c>
      <c r="W3742">
        <f t="shared" si="587"/>
        <v>2</v>
      </c>
      <c r="X3742">
        <f t="shared" si="588"/>
        <v>1.0999999999999999</v>
      </c>
      <c r="Y3742" t="str">
        <f t="shared" si="589"/>
        <v>Healthy</v>
      </c>
    </row>
    <row r="3743" spans="1:25" x14ac:dyDescent="0.35">
      <c r="A3743" t="s">
        <v>71</v>
      </c>
      <c r="B3743" t="s">
        <v>72</v>
      </c>
      <c r="C3743" t="s">
        <v>73</v>
      </c>
      <c r="D3743" t="s">
        <v>2496</v>
      </c>
      <c r="E3743">
        <v>80887997</v>
      </c>
      <c r="F3743" t="s">
        <v>2497</v>
      </c>
      <c r="G3743" s="3">
        <v>47202</v>
      </c>
      <c r="H3743">
        <v>36</v>
      </c>
      <c r="I3743">
        <v>94</v>
      </c>
      <c r="J3743">
        <v>20</v>
      </c>
      <c r="K3743" s="4">
        <v>15727.4</v>
      </c>
      <c r="L3743" s="4">
        <v>427.14285714285717</v>
      </c>
      <c r="M3743" s="4">
        <v>4.6822742474916385E-2</v>
      </c>
      <c r="N3743" t="s">
        <v>25</v>
      </c>
      <c r="O3743" t="str">
        <f t="shared" si="580"/>
        <v>Low</v>
      </c>
      <c r="P3743" t="str">
        <f t="shared" si="581"/>
        <v>Low</v>
      </c>
      <c r="Q3743" t="str">
        <f t="shared" si="582"/>
        <v>Low</v>
      </c>
      <c r="R3743" t="s">
        <v>3317</v>
      </c>
      <c r="S3743" s="4">
        <f t="shared" ca="1" si="583"/>
        <v>1005</v>
      </c>
      <c r="T3743">
        <f t="shared" si="584"/>
        <v>1</v>
      </c>
      <c r="U3743">
        <f t="shared" si="585"/>
        <v>1</v>
      </c>
      <c r="V3743">
        <f t="shared" si="586"/>
        <v>1</v>
      </c>
      <c r="W3743">
        <f t="shared" si="587"/>
        <v>1</v>
      </c>
      <c r="X3743">
        <f t="shared" si="588"/>
        <v>0.99999999999999989</v>
      </c>
      <c r="Y3743" t="str">
        <f t="shared" si="589"/>
        <v>Healthy</v>
      </c>
    </row>
    <row r="3744" spans="1:25" x14ac:dyDescent="0.35">
      <c r="A3744" t="s">
        <v>71</v>
      </c>
      <c r="B3744" t="s">
        <v>72</v>
      </c>
      <c r="C3744" t="s">
        <v>73</v>
      </c>
      <c r="D3744" t="s">
        <v>2496</v>
      </c>
      <c r="E3744">
        <v>80887997</v>
      </c>
      <c r="F3744" t="s">
        <v>2497</v>
      </c>
      <c r="G3744" s="3">
        <v>47259</v>
      </c>
      <c r="H3744">
        <v>36</v>
      </c>
      <c r="I3744">
        <v>99</v>
      </c>
      <c r="J3744">
        <v>57</v>
      </c>
      <c r="K3744" s="4">
        <v>44823.09</v>
      </c>
      <c r="L3744" s="4">
        <v>427.14285714285717</v>
      </c>
      <c r="M3744" s="4">
        <v>0.13344481605351169</v>
      </c>
      <c r="N3744" t="s">
        <v>25</v>
      </c>
      <c r="O3744" t="str">
        <f t="shared" si="580"/>
        <v>Low</v>
      </c>
      <c r="P3744" t="str">
        <f t="shared" si="581"/>
        <v>Low</v>
      </c>
      <c r="Q3744" t="str">
        <f t="shared" si="582"/>
        <v>Low</v>
      </c>
      <c r="R3744" t="s">
        <v>3317</v>
      </c>
      <c r="S3744" s="4">
        <f t="shared" ca="1" si="583"/>
        <v>1062</v>
      </c>
      <c r="T3744">
        <f t="shared" si="584"/>
        <v>1</v>
      </c>
      <c r="U3744">
        <f t="shared" si="585"/>
        <v>1</v>
      </c>
      <c r="V3744">
        <f t="shared" si="586"/>
        <v>1</v>
      </c>
      <c r="W3744">
        <f t="shared" si="587"/>
        <v>1</v>
      </c>
      <c r="X3744">
        <f t="shared" si="588"/>
        <v>0.99999999999999989</v>
      </c>
      <c r="Y3744" t="str">
        <f t="shared" si="589"/>
        <v>Healthy</v>
      </c>
    </row>
    <row r="3745" spans="1:25" x14ac:dyDescent="0.35">
      <c r="A3745" t="s">
        <v>71</v>
      </c>
      <c r="B3745" t="s">
        <v>72</v>
      </c>
      <c r="C3745" t="s">
        <v>73</v>
      </c>
      <c r="D3745" t="s">
        <v>2496</v>
      </c>
      <c r="E3745">
        <v>80887997</v>
      </c>
      <c r="F3745" t="s">
        <v>2497</v>
      </c>
      <c r="G3745" s="3">
        <v>47264</v>
      </c>
      <c r="H3745">
        <v>36</v>
      </c>
      <c r="I3745">
        <v>99</v>
      </c>
      <c r="J3745">
        <v>68</v>
      </c>
      <c r="K3745" s="4">
        <v>53473.16</v>
      </c>
      <c r="L3745" s="4">
        <v>427.14285714285717</v>
      </c>
      <c r="M3745" s="4">
        <v>0.15919732441471571</v>
      </c>
      <c r="N3745" t="s">
        <v>25</v>
      </c>
      <c r="O3745" t="str">
        <f t="shared" si="580"/>
        <v>Low</v>
      </c>
      <c r="P3745" t="str">
        <f t="shared" si="581"/>
        <v>Low</v>
      </c>
      <c r="Q3745" t="str">
        <f t="shared" si="582"/>
        <v>Low</v>
      </c>
      <c r="R3745" t="s">
        <v>3317</v>
      </c>
      <c r="S3745" s="4">
        <f t="shared" ca="1" si="583"/>
        <v>1067</v>
      </c>
      <c r="T3745">
        <f t="shared" si="584"/>
        <v>1</v>
      </c>
      <c r="U3745">
        <f t="shared" si="585"/>
        <v>1</v>
      </c>
      <c r="V3745">
        <f t="shared" si="586"/>
        <v>1</v>
      </c>
      <c r="W3745">
        <f t="shared" si="587"/>
        <v>1</v>
      </c>
      <c r="X3745">
        <f t="shared" si="588"/>
        <v>0.99999999999999989</v>
      </c>
      <c r="Y3745" t="str">
        <f t="shared" si="589"/>
        <v>Healthy</v>
      </c>
    </row>
    <row r="3746" spans="1:25" x14ac:dyDescent="0.35">
      <c r="A3746" t="s">
        <v>71</v>
      </c>
      <c r="B3746" t="s">
        <v>72</v>
      </c>
      <c r="C3746" t="s">
        <v>73</v>
      </c>
      <c r="D3746" t="s">
        <v>2496</v>
      </c>
      <c r="E3746">
        <v>80887997</v>
      </c>
      <c r="F3746" t="s">
        <v>2497</v>
      </c>
      <c r="G3746" s="3">
        <v>47273</v>
      </c>
      <c r="H3746">
        <v>36</v>
      </c>
      <c r="I3746">
        <v>100</v>
      </c>
      <c r="J3746">
        <v>12</v>
      </c>
      <c r="K3746" s="4">
        <v>9436.44</v>
      </c>
      <c r="L3746" s="4">
        <v>427.14285714285717</v>
      </c>
      <c r="M3746" s="4">
        <v>2.8093645484949831E-2</v>
      </c>
      <c r="N3746" t="s">
        <v>25</v>
      </c>
      <c r="O3746" t="str">
        <f t="shared" si="580"/>
        <v>Low</v>
      </c>
      <c r="P3746" t="str">
        <f t="shared" si="581"/>
        <v>Low</v>
      </c>
      <c r="Q3746" t="str">
        <f t="shared" si="582"/>
        <v>Low</v>
      </c>
      <c r="R3746" t="s">
        <v>3317</v>
      </c>
      <c r="S3746" s="4">
        <f t="shared" ca="1" si="583"/>
        <v>1076</v>
      </c>
      <c r="T3746">
        <f t="shared" si="584"/>
        <v>1</v>
      </c>
      <c r="U3746">
        <f t="shared" si="585"/>
        <v>1</v>
      </c>
      <c r="V3746">
        <f t="shared" si="586"/>
        <v>1</v>
      </c>
      <c r="W3746">
        <f t="shared" si="587"/>
        <v>1</v>
      </c>
      <c r="X3746">
        <f t="shared" si="588"/>
        <v>0.99999999999999989</v>
      </c>
      <c r="Y3746" t="str">
        <f t="shared" si="589"/>
        <v>Healthy</v>
      </c>
    </row>
    <row r="3747" spans="1:25" x14ac:dyDescent="0.35">
      <c r="A3747" t="s">
        <v>71</v>
      </c>
      <c r="B3747" t="s">
        <v>72</v>
      </c>
      <c r="C3747" t="s">
        <v>73</v>
      </c>
      <c r="D3747" t="s">
        <v>2496</v>
      </c>
      <c r="E3747">
        <v>80887997</v>
      </c>
      <c r="F3747" t="s">
        <v>2497</v>
      </c>
      <c r="G3747" s="3">
        <v>47216</v>
      </c>
      <c r="H3747">
        <v>36</v>
      </c>
      <c r="I3747">
        <v>95</v>
      </c>
      <c r="J3747">
        <v>22</v>
      </c>
      <c r="K3747" s="4">
        <v>17300.14</v>
      </c>
      <c r="L3747" s="4">
        <v>427.14285714285717</v>
      </c>
      <c r="M3747" s="4">
        <v>5.1505016722408023E-2</v>
      </c>
      <c r="N3747" t="s">
        <v>25</v>
      </c>
      <c r="O3747" t="str">
        <f t="shared" si="580"/>
        <v>Low</v>
      </c>
      <c r="P3747" t="str">
        <f t="shared" si="581"/>
        <v>Low</v>
      </c>
      <c r="Q3747" t="str">
        <f t="shared" si="582"/>
        <v>Low</v>
      </c>
      <c r="R3747" t="s">
        <v>3317</v>
      </c>
      <c r="S3747" s="4">
        <f t="shared" ca="1" si="583"/>
        <v>1019</v>
      </c>
      <c r="T3747">
        <f t="shared" si="584"/>
        <v>1</v>
      </c>
      <c r="U3747">
        <f t="shared" si="585"/>
        <v>1</v>
      </c>
      <c r="V3747">
        <f t="shared" si="586"/>
        <v>1</v>
      </c>
      <c r="W3747">
        <f t="shared" si="587"/>
        <v>1</v>
      </c>
      <c r="X3747">
        <f t="shared" si="588"/>
        <v>0.99999999999999989</v>
      </c>
      <c r="Y3747" t="str">
        <f t="shared" si="589"/>
        <v>Healthy</v>
      </c>
    </row>
    <row r="3748" spans="1:25" x14ac:dyDescent="0.35">
      <c r="A3748" t="s">
        <v>71</v>
      </c>
      <c r="B3748" t="s">
        <v>72</v>
      </c>
      <c r="C3748" t="s">
        <v>310</v>
      </c>
      <c r="D3748" t="s">
        <v>990</v>
      </c>
      <c r="E3748">
        <v>80895440</v>
      </c>
      <c r="F3748" t="s">
        <v>2498</v>
      </c>
      <c r="G3748" s="3">
        <v>47231</v>
      </c>
      <c r="H3748">
        <v>36</v>
      </c>
      <c r="I3748">
        <v>96</v>
      </c>
      <c r="J3748">
        <v>352</v>
      </c>
      <c r="K3748" s="4">
        <v>508333.76</v>
      </c>
      <c r="L3748" s="4">
        <v>2937.8571428571427</v>
      </c>
      <c r="M3748" s="4">
        <v>0.11981522003403842</v>
      </c>
      <c r="N3748" t="s">
        <v>25</v>
      </c>
      <c r="O3748" t="str">
        <f t="shared" si="580"/>
        <v>Low</v>
      </c>
      <c r="P3748" t="str">
        <f t="shared" si="581"/>
        <v>Low</v>
      </c>
      <c r="Q3748" t="str">
        <f t="shared" si="582"/>
        <v>Low</v>
      </c>
      <c r="R3748" t="s">
        <v>3309</v>
      </c>
      <c r="S3748" s="4">
        <f t="shared" ca="1" si="583"/>
        <v>1034</v>
      </c>
      <c r="T3748">
        <f t="shared" si="584"/>
        <v>1</v>
      </c>
      <c r="U3748">
        <f t="shared" si="585"/>
        <v>1</v>
      </c>
      <c r="V3748">
        <f t="shared" si="586"/>
        <v>1</v>
      </c>
      <c r="W3748">
        <f t="shared" si="587"/>
        <v>3</v>
      </c>
      <c r="X3748">
        <f t="shared" si="588"/>
        <v>1.2</v>
      </c>
      <c r="Y3748" t="str">
        <f t="shared" si="589"/>
        <v>Healthy</v>
      </c>
    </row>
    <row r="3749" spans="1:25" x14ac:dyDescent="0.35">
      <c r="A3749" t="s">
        <v>71</v>
      </c>
      <c r="B3749" t="s">
        <v>72</v>
      </c>
      <c r="C3749" t="s">
        <v>310</v>
      </c>
      <c r="D3749" t="s">
        <v>990</v>
      </c>
      <c r="E3749">
        <v>80895440</v>
      </c>
      <c r="F3749" t="s">
        <v>2498</v>
      </c>
      <c r="G3749" s="3">
        <v>47202</v>
      </c>
      <c r="H3749">
        <v>36</v>
      </c>
      <c r="I3749">
        <v>94</v>
      </c>
      <c r="J3749">
        <v>4</v>
      </c>
      <c r="K3749" s="4">
        <v>5776.52</v>
      </c>
      <c r="L3749" s="4">
        <v>2937.8571428571427</v>
      </c>
      <c r="M3749" s="4">
        <v>1.3615365912958912E-3</v>
      </c>
      <c r="N3749" t="s">
        <v>25</v>
      </c>
      <c r="O3749" t="str">
        <f t="shared" si="580"/>
        <v>Low</v>
      </c>
      <c r="P3749" t="str">
        <f t="shared" si="581"/>
        <v>Low</v>
      </c>
      <c r="Q3749" t="str">
        <f t="shared" si="582"/>
        <v>Low</v>
      </c>
      <c r="R3749" t="s">
        <v>3317</v>
      </c>
      <c r="S3749" s="4">
        <f t="shared" ca="1" si="583"/>
        <v>1005</v>
      </c>
      <c r="T3749">
        <f t="shared" si="584"/>
        <v>1</v>
      </c>
      <c r="U3749">
        <f t="shared" si="585"/>
        <v>1</v>
      </c>
      <c r="V3749">
        <f t="shared" si="586"/>
        <v>1</v>
      </c>
      <c r="W3749">
        <f t="shared" si="587"/>
        <v>1</v>
      </c>
      <c r="X3749">
        <f t="shared" si="588"/>
        <v>0.99999999999999989</v>
      </c>
      <c r="Y3749" t="str">
        <f t="shared" si="589"/>
        <v>Healthy</v>
      </c>
    </row>
    <row r="3750" spans="1:25" x14ac:dyDescent="0.35">
      <c r="A3750" t="s">
        <v>71</v>
      </c>
      <c r="B3750" t="s">
        <v>72</v>
      </c>
      <c r="C3750" t="s">
        <v>310</v>
      </c>
      <c r="D3750" t="s">
        <v>990</v>
      </c>
      <c r="E3750">
        <v>80895440</v>
      </c>
      <c r="F3750" t="s">
        <v>2498</v>
      </c>
      <c r="G3750" s="3">
        <v>47189</v>
      </c>
      <c r="H3750">
        <v>36</v>
      </c>
      <c r="I3750">
        <v>92</v>
      </c>
      <c r="J3750">
        <v>54</v>
      </c>
      <c r="K3750" s="4">
        <v>77983.02</v>
      </c>
      <c r="L3750" s="4">
        <v>2937.8571428571427</v>
      </c>
      <c r="M3750" s="4">
        <v>1.8380743982494532E-2</v>
      </c>
      <c r="N3750" t="s">
        <v>25</v>
      </c>
      <c r="O3750" t="str">
        <f t="shared" si="580"/>
        <v>Low</v>
      </c>
      <c r="P3750" t="str">
        <f t="shared" si="581"/>
        <v>Low</v>
      </c>
      <c r="Q3750" t="str">
        <f t="shared" si="582"/>
        <v>Low</v>
      </c>
      <c r="R3750" t="s">
        <v>3310</v>
      </c>
      <c r="S3750" s="4">
        <f t="shared" ca="1" si="583"/>
        <v>992</v>
      </c>
      <c r="T3750">
        <f t="shared" si="584"/>
        <v>1</v>
      </c>
      <c r="U3750">
        <f t="shared" si="585"/>
        <v>1</v>
      </c>
      <c r="V3750">
        <f t="shared" si="586"/>
        <v>1</v>
      </c>
      <c r="W3750">
        <f t="shared" si="587"/>
        <v>2</v>
      </c>
      <c r="X3750">
        <f t="shared" si="588"/>
        <v>1.0999999999999999</v>
      </c>
      <c r="Y3750" t="str">
        <f t="shared" si="589"/>
        <v>Healthy</v>
      </c>
    </row>
    <row r="3751" spans="1:25" x14ac:dyDescent="0.35">
      <c r="A3751" t="s">
        <v>71</v>
      </c>
      <c r="B3751" t="s">
        <v>72</v>
      </c>
      <c r="C3751" t="s">
        <v>310</v>
      </c>
      <c r="D3751" t="s">
        <v>990</v>
      </c>
      <c r="E3751">
        <v>80895440</v>
      </c>
      <c r="F3751" t="s">
        <v>2498</v>
      </c>
      <c r="G3751" s="3">
        <v>47247</v>
      </c>
      <c r="H3751">
        <v>36</v>
      </c>
      <c r="I3751">
        <v>98</v>
      </c>
      <c r="J3751">
        <v>324</v>
      </c>
      <c r="K3751" s="4">
        <v>467898.12</v>
      </c>
      <c r="L3751" s="4">
        <v>2937.8571428571427</v>
      </c>
      <c r="M3751" s="4">
        <v>0.11028446389496718</v>
      </c>
      <c r="N3751" t="s">
        <v>25</v>
      </c>
      <c r="O3751" t="str">
        <f t="shared" si="580"/>
        <v>Low</v>
      </c>
      <c r="P3751" t="str">
        <f t="shared" si="581"/>
        <v>Low</v>
      </c>
      <c r="Q3751" t="str">
        <f t="shared" si="582"/>
        <v>Low</v>
      </c>
      <c r="R3751" t="s">
        <v>3309</v>
      </c>
      <c r="S3751" s="4">
        <f t="shared" ca="1" si="583"/>
        <v>1050</v>
      </c>
      <c r="T3751">
        <f t="shared" si="584"/>
        <v>1</v>
      </c>
      <c r="U3751">
        <f t="shared" si="585"/>
        <v>1</v>
      </c>
      <c r="V3751">
        <f t="shared" si="586"/>
        <v>1</v>
      </c>
      <c r="W3751">
        <f t="shared" si="587"/>
        <v>3</v>
      </c>
      <c r="X3751">
        <f t="shared" si="588"/>
        <v>1.2</v>
      </c>
      <c r="Y3751" t="str">
        <f t="shared" si="589"/>
        <v>Healthy</v>
      </c>
    </row>
    <row r="3752" spans="1:25" x14ac:dyDescent="0.35">
      <c r="A3752" t="s">
        <v>71</v>
      </c>
      <c r="B3752" t="s">
        <v>72</v>
      </c>
      <c r="C3752" t="s">
        <v>310</v>
      </c>
      <c r="D3752" t="s">
        <v>990</v>
      </c>
      <c r="E3752">
        <v>80895440</v>
      </c>
      <c r="F3752" t="s">
        <v>2498</v>
      </c>
      <c r="G3752" s="3">
        <v>47216</v>
      </c>
      <c r="H3752">
        <v>36</v>
      </c>
      <c r="I3752">
        <v>95</v>
      </c>
      <c r="J3752">
        <v>12</v>
      </c>
      <c r="K3752" s="4">
        <v>17329.560000000001</v>
      </c>
      <c r="L3752" s="4">
        <v>2937.8571428571427</v>
      </c>
      <c r="M3752" s="4">
        <v>4.0846097738876739E-3</v>
      </c>
      <c r="N3752" t="s">
        <v>25</v>
      </c>
      <c r="O3752" t="str">
        <f t="shared" si="580"/>
        <v>Low</v>
      </c>
      <c r="P3752" t="str">
        <f t="shared" si="581"/>
        <v>Low</v>
      </c>
      <c r="Q3752" t="str">
        <f t="shared" si="582"/>
        <v>Low</v>
      </c>
      <c r="R3752" t="s">
        <v>3317</v>
      </c>
      <c r="S3752" s="4">
        <f t="shared" ca="1" si="583"/>
        <v>1019</v>
      </c>
      <c r="T3752">
        <f t="shared" si="584"/>
        <v>1</v>
      </c>
      <c r="U3752">
        <f t="shared" si="585"/>
        <v>1</v>
      </c>
      <c r="V3752">
        <f t="shared" si="586"/>
        <v>1</v>
      </c>
      <c r="W3752">
        <f t="shared" si="587"/>
        <v>1</v>
      </c>
      <c r="X3752">
        <f t="shared" si="588"/>
        <v>0.99999999999999989</v>
      </c>
      <c r="Y3752" t="str">
        <f t="shared" si="589"/>
        <v>Healthy</v>
      </c>
    </row>
    <row r="3753" spans="1:25" x14ac:dyDescent="0.35">
      <c r="A3753" t="s">
        <v>71</v>
      </c>
      <c r="B3753" t="s">
        <v>72</v>
      </c>
      <c r="C3753" t="s">
        <v>310</v>
      </c>
      <c r="D3753" t="s">
        <v>990</v>
      </c>
      <c r="E3753">
        <v>80895440</v>
      </c>
      <c r="F3753" t="s">
        <v>2498</v>
      </c>
      <c r="G3753" s="3">
        <v>47258</v>
      </c>
      <c r="H3753">
        <v>36</v>
      </c>
      <c r="I3753">
        <v>99</v>
      </c>
      <c r="J3753">
        <v>12</v>
      </c>
      <c r="K3753" s="4">
        <v>17329.560000000001</v>
      </c>
      <c r="L3753" s="4">
        <v>2937.8571428571427</v>
      </c>
      <c r="M3753" s="4">
        <v>4.0846097738876739E-3</v>
      </c>
      <c r="N3753" t="s">
        <v>25</v>
      </c>
      <c r="O3753" t="str">
        <f t="shared" si="580"/>
        <v>Low</v>
      </c>
      <c r="P3753" t="str">
        <f t="shared" si="581"/>
        <v>Low</v>
      </c>
      <c r="Q3753" t="str">
        <f t="shared" si="582"/>
        <v>Low</v>
      </c>
      <c r="R3753" t="s">
        <v>3317</v>
      </c>
      <c r="S3753" s="4">
        <f t="shared" ca="1" si="583"/>
        <v>1061</v>
      </c>
      <c r="T3753">
        <f t="shared" si="584"/>
        <v>1</v>
      </c>
      <c r="U3753">
        <f t="shared" si="585"/>
        <v>1</v>
      </c>
      <c r="V3753">
        <f t="shared" si="586"/>
        <v>1</v>
      </c>
      <c r="W3753">
        <f t="shared" si="587"/>
        <v>1</v>
      </c>
      <c r="X3753">
        <f t="shared" si="588"/>
        <v>0.99999999999999989</v>
      </c>
      <c r="Y3753" t="str">
        <f t="shared" si="589"/>
        <v>Healthy</v>
      </c>
    </row>
    <row r="3754" spans="1:25" x14ac:dyDescent="0.35">
      <c r="A3754" t="s">
        <v>71</v>
      </c>
      <c r="B3754" t="s">
        <v>72</v>
      </c>
      <c r="C3754" t="s">
        <v>310</v>
      </c>
      <c r="D3754" t="s">
        <v>990</v>
      </c>
      <c r="E3754">
        <v>80895440</v>
      </c>
      <c r="F3754" t="s">
        <v>2498</v>
      </c>
      <c r="G3754" s="3">
        <v>47246</v>
      </c>
      <c r="H3754">
        <v>36</v>
      </c>
      <c r="I3754">
        <v>98</v>
      </c>
      <c r="J3754">
        <v>44</v>
      </c>
      <c r="K3754" s="4">
        <v>63541.72</v>
      </c>
      <c r="L3754" s="4">
        <v>2937.8571428571427</v>
      </c>
      <c r="M3754" s="4">
        <v>1.4976902504254803E-2</v>
      </c>
      <c r="N3754" t="s">
        <v>25</v>
      </c>
      <c r="O3754" t="str">
        <f t="shared" si="580"/>
        <v>Low</v>
      </c>
      <c r="P3754" t="str">
        <f t="shared" si="581"/>
        <v>Low</v>
      </c>
      <c r="Q3754" t="str">
        <f t="shared" si="582"/>
        <v>Low</v>
      </c>
      <c r="R3754" t="s">
        <v>3317</v>
      </c>
      <c r="S3754" s="4">
        <f t="shared" ca="1" si="583"/>
        <v>1049</v>
      </c>
      <c r="T3754">
        <f t="shared" si="584"/>
        <v>1</v>
      </c>
      <c r="U3754">
        <f t="shared" si="585"/>
        <v>1</v>
      </c>
      <c r="V3754">
        <f t="shared" si="586"/>
        <v>1</v>
      </c>
      <c r="W3754">
        <f t="shared" si="587"/>
        <v>1</v>
      </c>
      <c r="X3754">
        <f t="shared" si="588"/>
        <v>0.99999999999999989</v>
      </c>
      <c r="Y3754" t="str">
        <f t="shared" si="589"/>
        <v>Healthy</v>
      </c>
    </row>
    <row r="3755" spans="1:25" x14ac:dyDescent="0.35">
      <c r="A3755" t="s">
        <v>99</v>
      </c>
      <c r="B3755" t="s">
        <v>100</v>
      </c>
      <c r="C3755" t="s">
        <v>101</v>
      </c>
      <c r="D3755" t="s">
        <v>2115</v>
      </c>
      <c r="E3755">
        <v>82308607</v>
      </c>
      <c r="F3755" t="s">
        <v>2499</v>
      </c>
      <c r="G3755" s="3">
        <v>46637</v>
      </c>
      <c r="H3755">
        <v>18</v>
      </c>
      <c r="I3755">
        <v>82</v>
      </c>
      <c r="J3755">
        <v>48</v>
      </c>
      <c r="K3755" s="4">
        <v>9976.7999999999993</v>
      </c>
      <c r="L3755" s="4">
        <f>0</f>
        <v>0</v>
      </c>
      <c r="M3755" s="4">
        <f>999</f>
        <v>999</v>
      </c>
      <c r="N3755" t="s">
        <v>19</v>
      </c>
      <c r="O3755" t="str">
        <f t="shared" si="580"/>
        <v>Low</v>
      </c>
      <c r="P3755" t="str">
        <f t="shared" si="581"/>
        <v>High</v>
      </c>
      <c r="Q3755" t="str">
        <f t="shared" si="582"/>
        <v>High</v>
      </c>
      <c r="R3755" t="s">
        <v>3317</v>
      </c>
      <c r="S3755" s="4">
        <f t="shared" ca="1" si="583"/>
        <v>440</v>
      </c>
      <c r="T3755">
        <f t="shared" si="584"/>
        <v>1</v>
      </c>
      <c r="U3755">
        <f t="shared" si="585"/>
        <v>3</v>
      </c>
      <c r="V3755">
        <f t="shared" si="586"/>
        <v>3</v>
      </c>
      <c r="W3755">
        <f t="shared" si="587"/>
        <v>1</v>
      </c>
      <c r="X3755">
        <f t="shared" si="588"/>
        <v>2</v>
      </c>
      <c r="Y3755" t="str">
        <f t="shared" si="589"/>
        <v>Monitor</v>
      </c>
    </row>
    <row r="3756" spans="1:25" x14ac:dyDescent="0.35">
      <c r="A3756" t="s">
        <v>71</v>
      </c>
      <c r="B3756" t="s">
        <v>72</v>
      </c>
      <c r="C3756" t="s">
        <v>310</v>
      </c>
      <c r="D3756" t="s">
        <v>990</v>
      </c>
      <c r="E3756">
        <v>80895440</v>
      </c>
      <c r="F3756" t="s">
        <v>2498</v>
      </c>
      <c r="G3756" s="3">
        <v>47278</v>
      </c>
      <c r="H3756">
        <v>36</v>
      </c>
      <c r="I3756">
        <v>100</v>
      </c>
      <c r="J3756">
        <v>4</v>
      </c>
      <c r="K3756" s="4">
        <v>5776.52</v>
      </c>
      <c r="L3756" s="4">
        <v>2937.8571428571427</v>
      </c>
      <c r="M3756" s="4">
        <v>1.3615365912958912E-3</v>
      </c>
      <c r="N3756" t="s">
        <v>25</v>
      </c>
      <c r="O3756" t="str">
        <f t="shared" si="580"/>
        <v>Low</v>
      </c>
      <c r="P3756" t="str">
        <f t="shared" si="581"/>
        <v>Low</v>
      </c>
      <c r="Q3756" t="str">
        <f t="shared" si="582"/>
        <v>Low</v>
      </c>
      <c r="R3756" t="s">
        <v>3317</v>
      </c>
      <c r="S3756" s="4">
        <f t="shared" ca="1" si="583"/>
        <v>1081</v>
      </c>
      <c r="T3756">
        <f t="shared" si="584"/>
        <v>1</v>
      </c>
      <c r="U3756">
        <f t="shared" si="585"/>
        <v>1</v>
      </c>
      <c r="V3756">
        <f t="shared" si="586"/>
        <v>1</v>
      </c>
      <c r="W3756">
        <f t="shared" si="587"/>
        <v>1</v>
      </c>
      <c r="X3756">
        <f t="shared" si="588"/>
        <v>0.99999999999999989</v>
      </c>
      <c r="Y3756" t="str">
        <f t="shared" si="589"/>
        <v>Healthy</v>
      </c>
    </row>
    <row r="3757" spans="1:25" x14ac:dyDescent="0.35">
      <c r="A3757" t="s">
        <v>71</v>
      </c>
      <c r="B3757" t="s">
        <v>72</v>
      </c>
      <c r="C3757" t="s">
        <v>310</v>
      </c>
      <c r="D3757" t="s">
        <v>990</v>
      </c>
      <c r="E3757">
        <v>80895440</v>
      </c>
      <c r="F3757" t="s">
        <v>2498</v>
      </c>
      <c r="G3757" s="3">
        <v>47248</v>
      </c>
      <c r="H3757">
        <v>36</v>
      </c>
      <c r="I3757">
        <v>98</v>
      </c>
      <c r="J3757">
        <v>46</v>
      </c>
      <c r="K3757" s="4">
        <v>66429.98</v>
      </c>
      <c r="L3757" s="4">
        <v>2937.8571428571427</v>
      </c>
      <c r="M3757" s="4">
        <v>1.5657670799902747E-2</v>
      </c>
      <c r="N3757" t="s">
        <v>25</v>
      </c>
      <c r="O3757" t="str">
        <f t="shared" si="580"/>
        <v>Low</v>
      </c>
      <c r="P3757" t="str">
        <f t="shared" si="581"/>
        <v>Low</v>
      </c>
      <c r="Q3757" t="str">
        <f t="shared" si="582"/>
        <v>Low</v>
      </c>
      <c r="R3757" t="s">
        <v>3310</v>
      </c>
      <c r="S3757" s="4">
        <f t="shared" ca="1" si="583"/>
        <v>1051</v>
      </c>
      <c r="T3757">
        <f t="shared" si="584"/>
        <v>1</v>
      </c>
      <c r="U3757">
        <f t="shared" si="585"/>
        <v>1</v>
      </c>
      <c r="V3757">
        <f t="shared" si="586"/>
        <v>1</v>
      </c>
      <c r="W3757">
        <f t="shared" si="587"/>
        <v>2</v>
      </c>
      <c r="X3757">
        <f t="shared" si="588"/>
        <v>1.0999999999999999</v>
      </c>
      <c r="Y3757" t="str">
        <f t="shared" si="589"/>
        <v>Healthy</v>
      </c>
    </row>
    <row r="3758" spans="1:25" x14ac:dyDescent="0.35">
      <c r="A3758" t="s">
        <v>71</v>
      </c>
      <c r="B3758" t="s">
        <v>72</v>
      </c>
      <c r="C3758" t="s">
        <v>310</v>
      </c>
      <c r="D3758" t="s">
        <v>990</v>
      </c>
      <c r="E3758">
        <v>80895440</v>
      </c>
      <c r="F3758" t="s">
        <v>2498</v>
      </c>
      <c r="G3758" s="3">
        <v>47228</v>
      </c>
      <c r="H3758">
        <v>36</v>
      </c>
      <c r="I3758">
        <v>96</v>
      </c>
      <c r="J3758">
        <v>60</v>
      </c>
      <c r="K3758" s="4">
        <v>86647.8</v>
      </c>
      <c r="L3758" s="4">
        <v>2937.8571428571427</v>
      </c>
      <c r="M3758" s="4">
        <v>2.0423048869438368E-2</v>
      </c>
      <c r="N3758" t="s">
        <v>25</v>
      </c>
      <c r="O3758" t="str">
        <f t="shared" si="580"/>
        <v>Low</v>
      </c>
      <c r="P3758" t="str">
        <f t="shared" si="581"/>
        <v>Low</v>
      </c>
      <c r="Q3758" t="str">
        <f t="shared" si="582"/>
        <v>Low</v>
      </c>
      <c r="R3758" t="s">
        <v>3310</v>
      </c>
      <c r="S3758" s="4">
        <f t="shared" ca="1" si="583"/>
        <v>1031</v>
      </c>
      <c r="T3758">
        <f t="shared" si="584"/>
        <v>1</v>
      </c>
      <c r="U3758">
        <f t="shared" si="585"/>
        <v>1</v>
      </c>
      <c r="V3758">
        <f t="shared" si="586"/>
        <v>1</v>
      </c>
      <c r="W3758">
        <f t="shared" si="587"/>
        <v>2</v>
      </c>
      <c r="X3758">
        <f t="shared" si="588"/>
        <v>1.0999999999999999</v>
      </c>
      <c r="Y3758" t="str">
        <f t="shared" si="589"/>
        <v>Healthy</v>
      </c>
    </row>
    <row r="3759" spans="1:25" x14ac:dyDescent="0.35">
      <c r="A3759" t="s">
        <v>71</v>
      </c>
      <c r="B3759" t="s">
        <v>72</v>
      </c>
      <c r="C3759" t="s">
        <v>310</v>
      </c>
      <c r="D3759" t="s">
        <v>990</v>
      </c>
      <c r="E3759">
        <v>80895440</v>
      </c>
      <c r="F3759" t="s">
        <v>2498</v>
      </c>
      <c r="G3759" s="3">
        <v>47215</v>
      </c>
      <c r="H3759">
        <v>36</v>
      </c>
      <c r="I3759">
        <v>95</v>
      </c>
      <c r="J3759">
        <v>60</v>
      </c>
      <c r="K3759" s="4">
        <v>86647.8</v>
      </c>
      <c r="L3759" s="4">
        <v>2937.8571428571427</v>
      </c>
      <c r="M3759" s="4">
        <v>2.0423048869438368E-2</v>
      </c>
      <c r="N3759" t="s">
        <v>25</v>
      </c>
      <c r="O3759" t="str">
        <f t="shared" si="580"/>
        <v>Low</v>
      </c>
      <c r="P3759" t="str">
        <f t="shared" si="581"/>
        <v>Low</v>
      </c>
      <c r="Q3759" t="str">
        <f t="shared" si="582"/>
        <v>Low</v>
      </c>
      <c r="R3759" t="s">
        <v>3310</v>
      </c>
      <c r="S3759" s="4">
        <f t="shared" ca="1" si="583"/>
        <v>1018</v>
      </c>
      <c r="T3759">
        <f t="shared" si="584"/>
        <v>1</v>
      </c>
      <c r="U3759">
        <f t="shared" si="585"/>
        <v>1</v>
      </c>
      <c r="V3759">
        <f t="shared" si="586"/>
        <v>1</v>
      </c>
      <c r="W3759">
        <f t="shared" si="587"/>
        <v>2</v>
      </c>
      <c r="X3759">
        <f t="shared" si="588"/>
        <v>1.0999999999999999</v>
      </c>
      <c r="Y3759" t="str">
        <f t="shared" si="589"/>
        <v>Healthy</v>
      </c>
    </row>
    <row r="3760" spans="1:25" x14ac:dyDescent="0.35">
      <c r="A3760" t="s">
        <v>71</v>
      </c>
      <c r="B3760" t="s">
        <v>72</v>
      </c>
      <c r="C3760" t="s">
        <v>73</v>
      </c>
      <c r="D3760" t="s">
        <v>2265</v>
      </c>
      <c r="E3760">
        <v>80887999</v>
      </c>
      <c r="F3760" t="s">
        <v>2500</v>
      </c>
      <c r="G3760" s="3">
        <v>47050</v>
      </c>
      <c r="H3760">
        <v>36</v>
      </c>
      <c r="I3760">
        <v>79</v>
      </c>
      <c r="J3760">
        <v>4</v>
      </c>
      <c r="K3760" s="4">
        <v>3145.48</v>
      </c>
      <c r="L3760" s="4">
        <v>28.428571428571427</v>
      </c>
      <c r="M3760" s="4">
        <v>0.1407035175879397</v>
      </c>
      <c r="N3760" t="s">
        <v>25</v>
      </c>
      <c r="O3760" t="str">
        <f t="shared" si="580"/>
        <v>Low</v>
      </c>
      <c r="P3760" t="str">
        <f t="shared" si="581"/>
        <v>Low</v>
      </c>
      <c r="Q3760" t="str">
        <f t="shared" si="582"/>
        <v>Low</v>
      </c>
      <c r="R3760" t="s">
        <v>3317</v>
      </c>
      <c r="S3760" s="4">
        <f t="shared" ca="1" si="583"/>
        <v>853</v>
      </c>
      <c r="T3760">
        <f t="shared" si="584"/>
        <v>1</v>
      </c>
      <c r="U3760">
        <f t="shared" si="585"/>
        <v>1</v>
      </c>
      <c r="V3760">
        <f t="shared" si="586"/>
        <v>1</v>
      </c>
      <c r="W3760">
        <f t="shared" si="587"/>
        <v>1</v>
      </c>
      <c r="X3760">
        <f t="shared" si="588"/>
        <v>0.99999999999999989</v>
      </c>
      <c r="Y3760" t="str">
        <f t="shared" si="589"/>
        <v>Healthy</v>
      </c>
    </row>
    <row r="3761" spans="1:25" x14ac:dyDescent="0.35">
      <c r="A3761" t="s">
        <v>71</v>
      </c>
      <c r="B3761" t="s">
        <v>72</v>
      </c>
      <c r="C3761" t="s">
        <v>73</v>
      </c>
      <c r="D3761" t="s">
        <v>2265</v>
      </c>
      <c r="E3761">
        <v>80887999</v>
      </c>
      <c r="F3761" t="s">
        <v>2500</v>
      </c>
      <c r="G3761" s="3">
        <v>47144</v>
      </c>
      <c r="H3761">
        <v>36</v>
      </c>
      <c r="I3761">
        <v>88</v>
      </c>
      <c r="J3761">
        <v>32</v>
      </c>
      <c r="K3761" s="4">
        <v>25163.84</v>
      </c>
      <c r="L3761" s="4">
        <v>28.428571428571427</v>
      </c>
      <c r="M3761" s="4">
        <v>1.1256281407035176</v>
      </c>
      <c r="N3761" t="s">
        <v>25</v>
      </c>
      <c r="O3761" t="str">
        <f t="shared" si="580"/>
        <v>Low</v>
      </c>
      <c r="P3761" t="str">
        <f t="shared" si="581"/>
        <v>Low</v>
      </c>
      <c r="Q3761" t="str">
        <f t="shared" si="582"/>
        <v>Low</v>
      </c>
      <c r="R3761" t="s">
        <v>3317</v>
      </c>
      <c r="S3761" s="4">
        <f t="shared" ca="1" si="583"/>
        <v>947</v>
      </c>
      <c r="T3761">
        <f t="shared" si="584"/>
        <v>1</v>
      </c>
      <c r="U3761">
        <f t="shared" si="585"/>
        <v>1</v>
      </c>
      <c r="V3761">
        <f t="shared" si="586"/>
        <v>1</v>
      </c>
      <c r="W3761">
        <f t="shared" si="587"/>
        <v>1</v>
      </c>
      <c r="X3761">
        <f t="shared" si="588"/>
        <v>0.99999999999999989</v>
      </c>
      <c r="Y3761" t="str">
        <f t="shared" si="589"/>
        <v>Healthy</v>
      </c>
    </row>
    <row r="3762" spans="1:25" x14ac:dyDescent="0.35">
      <c r="A3762" t="s">
        <v>71</v>
      </c>
      <c r="B3762" t="s">
        <v>72</v>
      </c>
      <c r="C3762" t="s">
        <v>310</v>
      </c>
      <c r="D3762" t="s">
        <v>2501</v>
      </c>
      <c r="E3762">
        <v>80895441</v>
      </c>
      <c r="F3762" t="s">
        <v>2502</v>
      </c>
      <c r="G3762" s="3">
        <v>47245</v>
      </c>
      <c r="H3762">
        <v>36</v>
      </c>
      <c r="I3762">
        <v>98</v>
      </c>
      <c r="J3762">
        <v>88</v>
      </c>
      <c r="K3762" s="4">
        <v>114228.4</v>
      </c>
      <c r="L3762" s="4">
        <v>2954.7142857142858</v>
      </c>
      <c r="M3762" s="4">
        <v>2.9782913503843735E-2</v>
      </c>
      <c r="N3762" t="s">
        <v>25</v>
      </c>
      <c r="O3762" t="str">
        <f t="shared" si="580"/>
        <v>Low</v>
      </c>
      <c r="P3762" t="str">
        <f t="shared" si="581"/>
        <v>Low</v>
      </c>
      <c r="Q3762" t="str">
        <f t="shared" si="582"/>
        <v>Low</v>
      </c>
      <c r="R3762" t="s">
        <v>3310</v>
      </c>
      <c r="S3762" s="4">
        <f t="shared" ca="1" si="583"/>
        <v>1048</v>
      </c>
      <c r="T3762">
        <f t="shared" si="584"/>
        <v>1</v>
      </c>
      <c r="U3762">
        <f t="shared" si="585"/>
        <v>1</v>
      </c>
      <c r="V3762">
        <f t="shared" si="586"/>
        <v>1</v>
      </c>
      <c r="W3762">
        <f t="shared" si="587"/>
        <v>2</v>
      </c>
      <c r="X3762">
        <f t="shared" si="588"/>
        <v>1.0999999999999999</v>
      </c>
      <c r="Y3762" t="str">
        <f t="shared" si="589"/>
        <v>Healthy</v>
      </c>
    </row>
    <row r="3763" spans="1:25" x14ac:dyDescent="0.35">
      <c r="A3763" t="s">
        <v>71</v>
      </c>
      <c r="B3763" t="s">
        <v>72</v>
      </c>
      <c r="C3763" t="s">
        <v>310</v>
      </c>
      <c r="D3763" t="s">
        <v>2501</v>
      </c>
      <c r="E3763">
        <v>80895441</v>
      </c>
      <c r="F3763" t="s">
        <v>2502</v>
      </c>
      <c r="G3763" s="3">
        <v>47269</v>
      </c>
      <c r="H3763">
        <v>36</v>
      </c>
      <c r="I3763">
        <v>100</v>
      </c>
      <c r="J3763">
        <v>292</v>
      </c>
      <c r="K3763" s="4">
        <v>379030.6</v>
      </c>
      <c r="L3763" s="4">
        <v>2954.7142857142858</v>
      </c>
      <c r="M3763" s="4">
        <v>9.8825122080936037E-2</v>
      </c>
      <c r="N3763" t="s">
        <v>25</v>
      </c>
      <c r="O3763" t="str">
        <f t="shared" si="580"/>
        <v>Low</v>
      </c>
      <c r="P3763" t="str">
        <f t="shared" si="581"/>
        <v>Low</v>
      </c>
      <c r="Q3763" t="str">
        <f t="shared" si="582"/>
        <v>Low</v>
      </c>
      <c r="R3763" t="s">
        <v>3309</v>
      </c>
      <c r="S3763" s="4">
        <f t="shared" ca="1" si="583"/>
        <v>1072</v>
      </c>
      <c r="T3763">
        <f t="shared" si="584"/>
        <v>1</v>
      </c>
      <c r="U3763">
        <f t="shared" si="585"/>
        <v>1</v>
      </c>
      <c r="V3763">
        <f t="shared" si="586"/>
        <v>1</v>
      </c>
      <c r="W3763">
        <f t="shared" si="587"/>
        <v>3</v>
      </c>
      <c r="X3763">
        <f t="shared" si="588"/>
        <v>1.2</v>
      </c>
      <c r="Y3763" t="str">
        <f t="shared" si="589"/>
        <v>Healthy</v>
      </c>
    </row>
    <row r="3764" spans="1:25" x14ac:dyDescent="0.35">
      <c r="A3764" t="s">
        <v>71</v>
      </c>
      <c r="B3764" t="s">
        <v>72</v>
      </c>
      <c r="C3764" t="s">
        <v>310</v>
      </c>
      <c r="D3764" t="s">
        <v>2501</v>
      </c>
      <c r="E3764">
        <v>80895441</v>
      </c>
      <c r="F3764" t="s">
        <v>2502</v>
      </c>
      <c r="G3764" s="3">
        <v>47225</v>
      </c>
      <c r="H3764">
        <v>36</v>
      </c>
      <c r="I3764">
        <v>96</v>
      </c>
      <c r="J3764">
        <v>280</v>
      </c>
      <c r="K3764" s="4">
        <v>363454</v>
      </c>
      <c r="L3764" s="4">
        <v>2954.7142857142858</v>
      </c>
      <c r="M3764" s="4">
        <v>9.4763815694048251E-2</v>
      </c>
      <c r="N3764" t="s">
        <v>25</v>
      </c>
      <c r="O3764" t="str">
        <f t="shared" si="580"/>
        <v>Low</v>
      </c>
      <c r="P3764" t="str">
        <f t="shared" si="581"/>
        <v>Low</v>
      </c>
      <c r="Q3764" t="str">
        <f t="shared" si="582"/>
        <v>Low</v>
      </c>
      <c r="R3764" t="s">
        <v>3309</v>
      </c>
      <c r="S3764" s="4">
        <f t="shared" ca="1" si="583"/>
        <v>1028</v>
      </c>
      <c r="T3764">
        <f t="shared" si="584"/>
        <v>1</v>
      </c>
      <c r="U3764">
        <f t="shared" si="585"/>
        <v>1</v>
      </c>
      <c r="V3764">
        <f t="shared" si="586"/>
        <v>1</v>
      </c>
      <c r="W3764">
        <f t="shared" si="587"/>
        <v>3</v>
      </c>
      <c r="X3764">
        <f t="shared" si="588"/>
        <v>1.2</v>
      </c>
      <c r="Y3764" t="str">
        <f t="shared" si="589"/>
        <v>Healthy</v>
      </c>
    </row>
    <row r="3765" spans="1:25" x14ac:dyDescent="0.35">
      <c r="A3765" t="s">
        <v>71</v>
      </c>
      <c r="B3765" t="s">
        <v>72</v>
      </c>
      <c r="C3765" t="s">
        <v>310</v>
      </c>
      <c r="D3765" t="s">
        <v>2501</v>
      </c>
      <c r="E3765">
        <v>80895441</v>
      </c>
      <c r="F3765" t="s">
        <v>2502</v>
      </c>
      <c r="G3765" s="3">
        <v>47214</v>
      </c>
      <c r="H3765">
        <v>36</v>
      </c>
      <c r="I3765">
        <v>95</v>
      </c>
      <c r="J3765">
        <v>44</v>
      </c>
      <c r="K3765" s="4">
        <v>57114.2</v>
      </c>
      <c r="L3765" s="4">
        <v>2954.7142857142858</v>
      </c>
      <c r="M3765" s="4">
        <v>1.4891456751921868E-2</v>
      </c>
      <c r="N3765" t="s">
        <v>25</v>
      </c>
      <c r="O3765" t="str">
        <f t="shared" si="580"/>
        <v>Low</v>
      </c>
      <c r="P3765" t="str">
        <f t="shared" si="581"/>
        <v>Low</v>
      </c>
      <c r="Q3765" t="str">
        <f t="shared" si="582"/>
        <v>Low</v>
      </c>
      <c r="R3765" t="s">
        <v>3317</v>
      </c>
      <c r="S3765" s="4">
        <f t="shared" ca="1" si="583"/>
        <v>1017</v>
      </c>
      <c r="T3765">
        <f t="shared" si="584"/>
        <v>1</v>
      </c>
      <c r="U3765">
        <f t="shared" si="585"/>
        <v>1</v>
      </c>
      <c r="V3765">
        <f t="shared" si="586"/>
        <v>1</v>
      </c>
      <c r="W3765">
        <f t="shared" si="587"/>
        <v>1</v>
      </c>
      <c r="X3765">
        <f t="shared" si="588"/>
        <v>0.99999999999999989</v>
      </c>
      <c r="Y3765" t="str">
        <f t="shared" si="589"/>
        <v>Healthy</v>
      </c>
    </row>
    <row r="3766" spans="1:25" x14ac:dyDescent="0.35">
      <c r="A3766" t="s">
        <v>71</v>
      </c>
      <c r="B3766" t="s">
        <v>72</v>
      </c>
      <c r="C3766" t="s">
        <v>310</v>
      </c>
      <c r="D3766" t="s">
        <v>2501</v>
      </c>
      <c r="E3766">
        <v>80895441</v>
      </c>
      <c r="F3766" t="s">
        <v>2502</v>
      </c>
      <c r="G3766" s="3">
        <v>47265</v>
      </c>
      <c r="H3766">
        <v>36</v>
      </c>
      <c r="I3766">
        <v>99</v>
      </c>
      <c r="J3766">
        <v>256</v>
      </c>
      <c r="K3766" s="4">
        <v>332300.79999999999</v>
      </c>
      <c r="L3766" s="4">
        <v>2954.7142857142858</v>
      </c>
      <c r="M3766" s="4">
        <v>8.6641202920272692E-2</v>
      </c>
      <c r="N3766" t="s">
        <v>25</v>
      </c>
      <c r="O3766" t="str">
        <f t="shared" si="580"/>
        <v>Low</v>
      </c>
      <c r="P3766" t="str">
        <f t="shared" si="581"/>
        <v>Low</v>
      </c>
      <c r="Q3766" t="str">
        <f t="shared" si="582"/>
        <v>Low</v>
      </c>
      <c r="R3766" t="s">
        <v>3309</v>
      </c>
      <c r="S3766" s="4">
        <f t="shared" ca="1" si="583"/>
        <v>1068</v>
      </c>
      <c r="T3766">
        <f t="shared" si="584"/>
        <v>1</v>
      </c>
      <c r="U3766">
        <f t="shared" si="585"/>
        <v>1</v>
      </c>
      <c r="V3766">
        <f t="shared" si="586"/>
        <v>1</v>
      </c>
      <c r="W3766">
        <f t="shared" si="587"/>
        <v>3</v>
      </c>
      <c r="X3766">
        <f t="shared" si="588"/>
        <v>1.2</v>
      </c>
      <c r="Y3766" t="str">
        <f t="shared" si="589"/>
        <v>Healthy</v>
      </c>
    </row>
    <row r="3767" spans="1:25" x14ac:dyDescent="0.35">
      <c r="A3767" t="s">
        <v>71</v>
      </c>
      <c r="B3767" t="s">
        <v>72</v>
      </c>
      <c r="C3767" t="s">
        <v>310</v>
      </c>
      <c r="D3767" t="s">
        <v>2501</v>
      </c>
      <c r="E3767">
        <v>80895441</v>
      </c>
      <c r="F3767" t="s">
        <v>2502</v>
      </c>
      <c r="G3767" s="3">
        <v>47244</v>
      </c>
      <c r="H3767">
        <v>36</v>
      </c>
      <c r="I3767">
        <v>97</v>
      </c>
      <c r="J3767">
        <v>81</v>
      </c>
      <c r="K3767" s="4">
        <v>105142.05</v>
      </c>
      <c r="L3767" s="4">
        <v>2954.7142857142858</v>
      </c>
      <c r="M3767" s="4">
        <v>2.741381811149253E-2</v>
      </c>
      <c r="N3767" t="s">
        <v>25</v>
      </c>
      <c r="O3767" t="str">
        <f t="shared" si="580"/>
        <v>Low</v>
      </c>
      <c r="P3767" t="str">
        <f t="shared" si="581"/>
        <v>Low</v>
      </c>
      <c r="Q3767" t="str">
        <f t="shared" si="582"/>
        <v>Low</v>
      </c>
      <c r="R3767" t="s">
        <v>3310</v>
      </c>
      <c r="S3767" s="4">
        <f t="shared" ca="1" si="583"/>
        <v>1047</v>
      </c>
      <c r="T3767">
        <f t="shared" si="584"/>
        <v>1</v>
      </c>
      <c r="U3767">
        <f t="shared" si="585"/>
        <v>1</v>
      </c>
      <c r="V3767">
        <f t="shared" si="586"/>
        <v>1</v>
      </c>
      <c r="W3767">
        <f t="shared" si="587"/>
        <v>2</v>
      </c>
      <c r="X3767">
        <f t="shared" si="588"/>
        <v>1.0999999999999999</v>
      </c>
      <c r="Y3767" t="str">
        <f t="shared" si="589"/>
        <v>Healthy</v>
      </c>
    </row>
    <row r="3768" spans="1:25" x14ac:dyDescent="0.35">
      <c r="A3768" t="s">
        <v>71</v>
      </c>
      <c r="B3768" t="s">
        <v>72</v>
      </c>
      <c r="C3768" t="s">
        <v>73</v>
      </c>
      <c r="D3768" t="s">
        <v>2503</v>
      </c>
      <c r="E3768">
        <v>80888001</v>
      </c>
      <c r="F3768" t="s">
        <v>2504</v>
      </c>
      <c r="G3768" s="3">
        <v>47244</v>
      </c>
      <c r="H3768">
        <v>36</v>
      </c>
      <c r="I3768">
        <v>97</v>
      </c>
      <c r="J3768">
        <v>39</v>
      </c>
      <c r="K3768" s="4">
        <v>30668.43</v>
      </c>
      <c r="L3768" s="4">
        <v>141.71428571428572</v>
      </c>
      <c r="M3768" s="4">
        <v>0.27520161290322581</v>
      </c>
      <c r="N3768" t="s">
        <v>25</v>
      </c>
      <c r="O3768" t="str">
        <f t="shared" si="580"/>
        <v>Low</v>
      </c>
      <c r="P3768" t="str">
        <f t="shared" si="581"/>
        <v>Low</v>
      </c>
      <c r="Q3768" t="str">
        <f t="shared" si="582"/>
        <v>Low</v>
      </c>
      <c r="R3768" t="s">
        <v>3317</v>
      </c>
      <c r="S3768" s="4">
        <f t="shared" ca="1" si="583"/>
        <v>1047</v>
      </c>
      <c r="T3768">
        <f t="shared" si="584"/>
        <v>1</v>
      </c>
      <c r="U3768">
        <f t="shared" si="585"/>
        <v>1</v>
      </c>
      <c r="V3768">
        <f t="shared" si="586"/>
        <v>1</v>
      </c>
      <c r="W3768">
        <f t="shared" si="587"/>
        <v>1</v>
      </c>
      <c r="X3768">
        <f t="shared" si="588"/>
        <v>0.99999999999999989</v>
      </c>
      <c r="Y3768" t="str">
        <f t="shared" si="589"/>
        <v>Healthy</v>
      </c>
    </row>
    <row r="3769" spans="1:25" x14ac:dyDescent="0.35">
      <c r="A3769" t="s">
        <v>71</v>
      </c>
      <c r="B3769" t="s">
        <v>72</v>
      </c>
      <c r="C3769" t="s">
        <v>310</v>
      </c>
      <c r="D3769" t="s">
        <v>2505</v>
      </c>
      <c r="E3769">
        <v>80895442</v>
      </c>
      <c r="F3769" t="s">
        <v>2506</v>
      </c>
      <c r="G3769" s="3">
        <v>47259</v>
      </c>
      <c r="H3769">
        <v>36</v>
      </c>
      <c r="I3769">
        <v>99</v>
      </c>
      <c r="J3769">
        <v>228</v>
      </c>
      <c r="K3769" s="4">
        <v>329261.64</v>
      </c>
      <c r="L3769" s="4">
        <v>3119.1428571428573</v>
      </c>
      <c r="M3769" s="4">
        <v>7.3097004671613078E-2</v>
      </c>
      <c r="N3769" t="s">
        <v>25</v>
      </c>
      <c r="O3769" t="str">
        <f t="shared" si="580"/>
        <v>Low</v>
      </c>
      <c r="P3769" t="str">
        <f t="shared" si="581"/>
        <v>Low</v>
      </c>
      <c r="Q3769" t="str">
        <f t="shared" si="582"/>
        <v>Low</v>
      </c>
      <c r="R3769" t="s">
        <v>3309</v>
      </c>
      <c r="S3769" s="4">
        <f t="shared" ca="1" si="583"/>
        <v>1062</v>
      </c>
      <c r="T3769">
        <f t="shared" si="584"/>
        <v>1</v>
      </c>
      <c r="U3769">
        <f t="shared" si="585"/>
        <v>1</v>
      </c>
      <c r="V3769">
        <f t="shared" si="586"/>
        <v>1</v>
      </c>
      <c r="W3769">
        <f t="shared" si="587"/>
        <v>3</v>
      </c>
      <c r="X3769">
        <f t="shared" si="588"/>
        <v>1.2</v>
      </c>
      <c r="Y3769" t="str">
        <f t="shared" si="589"/>
        <v>Healthy</v>
      </c>
    </row>
    <row r="3770" spans="1:25" x14ac:dyDescent="0.35">
      <c r="A3770" t="s">
        <v>71</v>
      </c>
      <c r="B3770" t="s">
        <v>72</v>
      </c>
      <c r="C3770" t="s">
        <v>310</v>
      </c>
      <c r="D3770" t="s">
        <v>2505</v>
      </c>
      <c r="E3770">
        <v>80895442</v>
      </c>
      <c r="F3770" t="s">
        <v>2506</v>
      </c>
      <c r="G3770" s="3">
        <v>47250</v>
      </c>
      <c r="H3770">
        <v>36</v>
      </c>
      <c r="I3770">
        <v>98</v>
      </c>
      <c r="J3770">
        <v>204</v>
      </c>
      <c r="K3770" s="4">
        <v>294602.52</v>
      </c>
      <c r="L3770" s="4">
        <v>3119.1428571428573</v>
      </c>
      <c r="M3770" s="4">
        <v>6.5402583127232752E-2</v>
      </c>
      <c r="N3770" t="s">
        <v>25</v>
      </c>
      <c r="O3770" t="str">
        <f t="shared" si="580"/>
        <v>Low</v>
      </c>
      <c r="P3770" t="str">
        <f t="shared" si="581"/>
        <v>Low</v>
      </c>
      <c r="Q3770" t="str">
        <f t="shared" si="582"/>
        <v>Low</v>
      </c>
      <c r="R3770" t="s">
        <v>3309</v>
      </c>
      <c r="S3770" s="4">
        <f t="shared" ca="1" si="583"/>
        <v>1053</v>
      </c>
      <c r="T3770">
        <f t="shared" si="584"/>
        <v>1</v>
      </c>
      <c r="U3770">
        <f t="shared" si="585"/>
        <v>1</v>
      </c>
      <c r="V3770">
        <f t="shared" si="586"/>
        <v>1</v>
      </c>
      <c r="W3770">
        <f t="shared" si="587"/>
        <v>3</v>
      </c>
      <c r="X3770">
        <f t="shared" si="588"/>
        <v>1.2</v>
      </c>
      <c r="Y3770" t="str">
        <f t="shared" si="589"/>
        <v>Healthy</v>
      </c>
    </row>
    <row r="3771" spans="1:25" x14ac:dyDescent="0.35">
      <c r="A3771" t="s">
        <v>71</v>
      </c>
      <c r="B3771" t="s">
        <v>72</v>
      </c>
      <c r="C3771" t="s">
        <v>310</v>
      </c>
      <c r="D3771" t="s">
        <v>2505</v>
      </c>
      <c r="E3771">
        <v>80895442</v>
      </c>
      <c r="F3771" t="s">
        <v>2506</v>
      </c>
      <c r="G3771" s="3">
        <v>47249</v>
      </c>
      <c r="H3771">
        <v>36</v>
      </c>
      <c r="I3771">
        <v>98</v>
      </c>
      <c r="J3771">
        <v>172</v>
      </c>
      <c r="K3771" s="4">
        <v>248390.36</v>
      </c>
      <c r="L3771" s="4">
        <v>3119.1428571428573</v>
      </c>
      <c r="M3771" s="4">
        <v>5.5143354401392321E-2</v>
      </c>
      <c r="N3771" t="s">
        <v>25</v>
      </c>
      <c r="O3771" t="str">
        <f t="shared" si="580"/>
        <v>Low</v>
      </c>
      <c r="P3771" t="str">
        <f t="shared" si="581"/>
        <v>Low</v>
      </c>
      <c r="Q3771" t="str">
        <f t="shared" si="582"/>
        <v>Low</v>
      </c>
      <c r="R3771" t="s">
        <v>3309</v>
      </c>
      <c r="S3771" s="4">
        <f t="shared" ca="1" si="583"/>
        <v>1052</v>
      </c>
      <c r="T3771">
        <f t="shared" si="584"/>
        <v>1</v>
      </c>
      <c r="U3771">
        <f t="shared" si="585"/>
        <v>1</v>
      </c>
      <c r="V3771">
        <f t="shared" si="586"/>
        <v>1</v>
      </c>
      <c r="W3771">
        <f t="shared" si="587"/>
        <v>3</v>
      </c>
      <c r="X3771">
        <f t="shared" si="588"/>
        <v>1.2</v>
      </c>
      <c r="Y3771" t="str">
        <f t="shared" si="589"/>
        <v>Healthy</v>
      </c>
    </row>
    <row r="3772" spans="1:25" x14ac:dyDescent="0.35">
      <c r="A3772" t="s">
        <v>71</v>
      </c>
      <c r="B3772" t="s">
        <v>72</v>
      </c>
      <c r="C3772" t="s">
        <v>310</v>
      </c>
      <c r="D3772" t="s">
        <v>2505</v>
      </c>
      <c r="E3772">
        <v>80895442</v>
      </c>
      <c r="F3772" t="s">
        <v>2506</v>
      </c>
      <c r="G3772" s="3">
        <v>47259</v>
      </c>
      <c r="H3772">
        <v>36</v>
      </c>
      <c r="I3772">
        <v>99</v>
      </c>
      <c r="J3772">
        <v>64</v>
      </c>
      <c r="K3772" s="4">
        <v>92424.320000000007</v>
      </c>
      <c r="L3772" s="4">
        <v>3119.1428571428573</v>
      </c>
      <c r="M3772" s="4">
        <v>2.0518457451680863E-2</v>
      </c>
      <c r="N3772" t="s">
        <v>25</v>
      </c>
      <c r="O3772" t="str">
        <f t="shared" si="580"/>
        <v>Low</v>
      </c>
      <c r="P3772" t="str">
        <f t="shared" si="581"/>
        <v>Low</v>
      </c>
      <c r="Q3772" t="str">
        <f t="shared" si="582"/>
        <v>Low</v>
      </c>
      <c r="R3772" t="s">
        <v>3310</v>
      </c>
      <c r="S3772" s="4">
        <f t="shared" ca="1" si="583"/>
        <v>1062</v>
      </c>
      <c r="T3772">
        <f t="shared" si="584"/>
        <v>1</v>
      </c>
      <c r="U3772">
        <f t="shared" si="585"/>
        <v>1</v>
      </c>
      <c r="V3772">
        <f t="shared" si="586"/>
        <v>1</v>
      </c>
      <c r="W3772">
        <f t="shared" si="587"/>
        <v>2</v>
      </c>
      <c r="X3772">
        <f t="shared" si="588"/>
        <v>1.0999999999999999</v>
      </c>
      <c r="Y3772" t="str">
        <f t="shared" si="589"/>
        <v>Healthy</v>
      </c>
    </row>
    <row r="3773" spans="1:25" x14ac:dyDescent="0.35">
      <c r="A3773" t="s">
        <v>189</v>
      </c>
      <c r="B3773" t="s">
        <v>190</v>
      </c>
      <c r="C3773" t="s">
        <v>190</v>
      </c>
      <c r="D3773" t="s">
        <v>1509</v>
      </c>
      <c r="E3773">
        <v>80888307</v>
      </c>
      <c r="F3773" t="s">
        <v>2507</v>
      </c>
      <c r="G3773" s="3">
        <v>46586</v>
      </c>
      <c r="H3773">
        <v>18</v>
      </c>
      <c r="I3773">
        <v>73</v>
      </c>
      <c r="J3773">
        <v>6</v>
      </c>
      <c r="K3773" s="4">
        <v>12227.1</v>
      </c>
      <c r="L3773" s="4">
        <v>26.714285714285715</v>
      </c>
      <c r="M3773" s="4">
        <v>0.2245989304812834</v>
      </c>
      <c r="N3773" t="s">
        <v>25</v>
      </c>
      <c r="O3773" t="str">
        <f t="shared" si="580"/>
        <v>Low</v>
      </c>
      <c r="P3773" t="str">
        <f t="shared" si="581"/>
        <v>Low</v>
      </c>
      <c r="Q3773" t="str">
        <f t="shared" si="582"/>
        <v>Low</v>
      </c>
      <c r="R3773" t="s">
        <v>3317</v>
      </c>
      <c r="S3773" s="4">
        <f t="shared" ca="1" si="583"/>
        <v>389</v>
      </c>
      <c r="T3773">
        <f t="shared" si="584"/>
        <v>1</v>
      </c>
      <c r="U3773">
        <f t="shared" si="585"/>
        <v>1</v>
      </c>
      <c r="V3773">
        <f t="shared" si="586"/>
        <v>1</v>
      </c>
      <c r="W3773">
        <f t="shared" si="587"/>
        <v>1</v>
      </c>
      <c r="X3773">
        <f t="shared" si="588"/>
        <v>0.99999999999999989</v>
      </c>
      <c r="Y3773" t="str">
        <f t="shared" si="589"/>
        <v>Healthy</v>
      </c>
    </row>
    <row r="3774" spans="1:25" x14ac:dyDescent="0.35">
      <c r="A3774" t="s">
        <v>71</v>
      </c>
      <c r="B3774" t="s">
        <v>72</v>
      </c>
      <c r="C3774" t="s">
        <v>73</v>
      </c>
      <c r="D3774" t="s">
        <v>233</v>
      </c>
      <c r="E3774">
        <v>80895443</v>
      </c>
      <c r="F3774" t="s">
        <v>2508</v>
      </c>
      <c r="G3774" s="3">
        <v>47270</v>
      </c>
      <c r="H3774">
        <v>36</v>
      </c>
      <c r="I3774">
        <v>100</v>
      </c>
      <c r="J3774">
        <v>665</v>
      </c>
      <c r="K3774" s="4">
        <v>714476</v>
      </c>
      <c r="L3774" s="4">
        <v>8281.5714285714294</v>
      </c>
      <c r="M3774" s="4">
        <v>8.0298770074692508E-2</v>
      </c>
      <c r="N3774" t="s">
        <v>25</v>
      </c>
      <c r="O3774" t="str">
        <f t="shared" si="580"/>
        <v>Low</v>
      </c>
      <c r="P3774" t="str">
        <f t="shared" si="581"/>
        <v>Low</v>
      </c>
      <c r="Q3774" t="str">
        <f t="shared" si="582"/>
        <v>Low</v>
      </c>
      <c r="R3774" t="s">
        <v>3309</v>
      </c>
      <c r="S3774" s="4">
        <f t="shared" ca="1" si="583"/>
        <v>1073</v>
      </c>
      <c r="T3774">
        <f t="shared" si="584"/>
        <v>1</v>
      </c>
      <c r="U3774">
        <f t="shared" si="585"/>
        <v>1</v>
      </c>
      <c r="V3774">
        <f t="shared" si="586"/>
        <v>1</v>
      </c>
      <c r="W3774">
        <f t="shared" si="587"/>
        <v>3</v>
      </c>
      <c r="X3774">
        <f t="shared" si="588"/>
        <v>1.2</v>
      </c>
      <c r="Y3774" t="str">
        <f t="shared" si="589"/>
        <v>Healthy</v>
      </c>
    </row>
    <row r="3775" spans="1:25" x14ac:dyDescent="0.35">
      <c r="A3775" t="s">
        <v>71</v>
      </c>
      <c r="B3775" t="s">
        <v>72</v>
      </c>
      <c r="C3775" t="s">
        <v>73</v>
      </c>
      <c r="D3775" t="s">
        <v>233</v>
      </c>
      <c r="E3775">
        <v>80895443</v>
      </c>
      <c r="F3775" t="s">
        <v>2508</v>
      </c>
      <c r="G3775" s="3">
        <v>47202</v>
      </c>
      <c r="H3775">
        <v>36</v>
      </c>
      <c r="I3775">
        <v>94</v>
      </c>
      <c r="J3775">
        <v>102</v>
      </c>
      <c r="K3775" s="4">
        <v>109588.8</v>
      </c>
      <c r="L3775" s="4">
        <v>8281.5714285714294</v>
      </c>
      <c r="M3775" s="4">
        <v>1.2316503079125768E-2</v>
      </c>
      <c r="N3775" t="s">
        <v>25</v>
      </c>
      <c r="O3775" t="str">
        <f t="shared" si="580"/>
        <v>Low</v>
      </c>
      <c r="P3775" t="str">
        <f t="shared" si="581"/>
        <v>Low</v>
      </c>
      <c r="Q3775" t="str">
        <f t="shared" si="582"/>
        <v>Low</v>
      </c>
      <c r="R3775" t="s">
        <v>3310</v>
      </c>
      <c r="S3775" s="4">
        <f t="shared" ca="1" si="583"/>
        <v>1005</v>
      </c>
      <c r="T3775">
        <f t="shared" si="584"/>
        <v>1</v>
      </c>
      <c r="U3775">
        <f t="shared" si="585"/>
        <v>1</v>
      </c>
      <c r="V3775">
        <f t="shared" si="586"/>
        <v>1</v>
      </c>
      <c r="W3775">
        <f t="shared" si="587"/>
        <v>2</v>
      </c>
      <c r="X3775">
        <f t="shared" si="588"/>
        <v>1.0999999999999999</v>
      </c>
      <c r="Y3775" t="str">
        <f t="shared" si="589"/>
        <v>Healthy</v>
      </c>
    </row>
    <row r="3776" spans="1:25" x14ac:dyDescent="0.35">
      <c r="A3776" t="s">
        <v>41</v>
      </c>
      <c r="B3776" t="s">
        <v>42</v>
      </c>
      <c r="C3776" t="s">
        <v>43</v>
      </c>
      <c r="D3776" t="s">
        <v>2509</v>
      </c>
      <c r="E3776">
        <v>80681390</v>
      </c>
      <c r="F3776" t="s">
        <v>2510</v>
      </c>
      <c r="G3776" s="3">
        <v>47020</v>
      </c>
      <c r="H3776">
        <v>36</v>
      </c>
      <c r="I3776">
        <v>77</v>
      </c>
      <c r="J3776">
        <v>156</v>
      </c>
      <c r="K3776" s="4">
        <v>65384.28</v>
      </c>
      <c r="L3776" s="4">
        <f>0</f>
        <v>0</v>
      </c>
      <c r="M3776" s="4">
        <f>999</f>
        <v>999</v>
      </c>
      <c r="N3776" t="s">
        <v>19</v>
      </c>
      <c r="O3776" t="str">
        <f t="shared" si="580"/>
        <v>Low</v>
      </c>
      <c r="P3776" t="str">
        <f t="shared" si="581"/>
        <v>High</v>
      </c>
      <c r="Q3776" t="str">
        <f t="shared" si="582"/>
        <v>High</v>
      </c>
      <c r="R3776" t="s">
        <v>3317</v>
      </c>
      <c r="S3776" s="4">
        <f t="shared" ca="1" si="583"/>
        <v>823</v>
      </c>
      <c r="T3776">
        <f t="shared" si="584"/>
        <v>1</v>
      </c>
      <c r="U3776">
        <f t="shared" si="585"/>
        <v>3</v>
      </c>
      <c r="V3776">
        <f t="shared" si="586"/>
        <v>3</v>
      </c>
      <c r="W3776">
        <f t="shared" si="587"/>
        <v>1</v>
      </c>
      <c r="X3776">
        <f t="shared" si="588"/>
        <v>2</v>
      </c>
      <c r="Y3776" t="str">
        <f t="shared" si="589"/>
        <v>Monitor</v>
      </c>
    </row>
    <row r="3777" spans="1:25" x14ac:dyDescent="0.35">
      <c r="A3777" t="s">
        <v>71</v>
      </c>
      <c r="B3777" t="s">
        <v>72</v>
      </c>
      <c r="C3777" t="s">
        <v>73</v>
      </c>
      <c r="D3777" t="s">
        <v>233</v>
      </c>
      <c r="E3777">
        <v>80895443</v>
      </c>
      <c r="F3777" t="s">
        <v>2508</v>
      </c>
      <c r="G3777" s="3">
        <v>47230</v>
      </c>
      <c r="H3777">
        <v>36</v>
      </c>
      <c r="I3777">
        <v>96</v>
      </c>
      <c r="J3777">
        <v>26</v>
      </c>
      <c r="K3777" s="4">
        <v>27934.400000000001</v>
      </c>
      <c r="L3777" s="4">
        <v>8281.5714285714294</v>
      </c>
      <c r="M3777" s="4">
        <v>3.139500784875196E-3</v>
      </c>
      <c r="N3777" t="s">
        <v>25</v>
      </c>
      <c r="O3777" t="str">
        <f t="shared" si="580"/>
        <v>Low</v>
      </c>
      <c r="P3777" t="str">
        <f t="shared" si="581"/>
        <v>Low</v>
      </c>
      <c r="Q3777" t="str">
        <f t="shared" si="582"/>
        <v>Low</v>
      </c>
      <c r="R3777" t="s">
        <v>3317</v>
      </c>
      <c r="S3777" s="4">
        <f t="shared" ca="1" si="583"/>
        <v>1033</v>
      </c>
      <c r="T3777">
        <f t="shared" si="584"/>
        <v>1</v>
      </c>
      <c r="U3777">
        <f t="shared" si="585"/>
        <v>1</v>
      </c>
      <c r="V3777">
        <f t="shared" si="586"/>
        <v>1</v>
      </c>
      <c r="W3777">
        <f t="shared" si="587"/>
        <v>1</v>
      </c>
      <c r="X3777">
        <f t="shared" si="588"/>
        <v>0.99999999999999989</v>
      </c>
      <c r="Y3777" t="str">
        <f t="shared" si="589"/>
        <v>Healthy</v>
      </c>
    </row>
    <row r="3778" spans="1:25" x14ac:dyDescent="0.35">
      <c r="A3778" t="s">
        <v>71</v>
      </c>
      <c r="B3778" t="s">
        <v>72</v>
      </c>
      <c r="C3778" t="s">
        <v>73</v>
      </c>
      <c r="D3778" t="s">
        <v>233</v>
      </c>
      <c r="E3778">
        <v>80895443</v>
      </c>
      <c r="F3778" t="s">
        <v>2508</v>
      </c>
      <c r="G3778" s="3">
        <v>47216</v>
      </c>
      <c r="H3778">
        <v>36</v>
      </c>
      <c r="I3778">
        <v>95</v>
      </c>
      <c r="J3778">
        <v>112</v>
      </c>
      <c r="K3778" s="4">
        <v>120332.8</v>
      </c>
      <c r="L3778" s="4">
        <v>8281.5714285714294</v>
      </c>
      <c r="M3778" s="4">
        <v>1.3524003381000843E-2</v>
      </c>
      <c r="N3778" t="s">
        <v>25</v>
      </c>
      <c r="O3778" t="str">
        <f t="shared" si="580"/>
        <v>Low</v>
      </c>
      <c r="P3778" t="str">
        <f t="shared" si="581"/>
        <v>Low</v>
      </c>
      <c r="Q3778" t="str">
        <f t="shared" si="582"/>
        <v>Low</v>
      </c>
      <c r="R3778" t="s">
        <v>3310</v>
      </c>
      <c r="S3778" s="4">
        <f t="shared" ca="1" si="583"/>
        <v>1019</v>
      </c>
      <c r="T3778">
        <f t="shared" si="584"/>
        <v>1</v>
      </c>
      <c r="U3778">
        <f t="shared" si="585"/>
        <v>1</v>
      </c>
      <c r="V3778">
        <f t="shared" si="586"/>
        <v>1</v>
      </c>
      <c r="W3778">
        <f t="shared" si="587"/>
        <v>2</v>
      </c>
      <c r="X3778">
        <f t="shared" si="588"/>
        <v>1.0999999999999999</v>
      </c>
      <c r="Y3778" t="str">
        <f t="shared" si="589"/>
        <v>Healthy</v>
      </c>
    </row>
    <row r="3779" spans="1:25" x14ac:dyDescent="0.35">
      <c r="A3779" t="s">
        <v>71</v>
      </c>
      <c r="B3779" t="s">
        <v>72</v>
      </c>
      <c r="C3779" t="s">
        <v>73</v>
      </c>
      <c r="D3779" t="s">
        <v>233</v>
      </c>
      <c r="E3779">
        <v>80895443</v>
      </c>
      <c r="F3779" t="s">
        <v>2508</v>
      </c>
      <c r="G3779" s="3">
        <v>47245</v>
      </c>
      <c r="H3779">
        <v>36</v>
      </c>
      <c r="I3779">
        <v>98</v>
      </c>
      <c r="J3779">
        <v>314</v>
      </c>
      <c r="K3779" s="4">
        <v>337361.6</v>
      </c>
      <c r="L3779" s="4">
        <v>8281.5714285714294</v>
      </c>
      <c r="M3779" s="4">
        <v>3.7915509478877368E-2</v>
      </c>
      <c r="N3779" t="s">
        <v>25</v>
      </c>
      <c r="O3779" t="str">
        <f t="shared" ref="O3779:O3842" si="590">IF(I3779&lt;20,"High",IF(I3779&lt;40,"Medium","Low"))</f>
        <v>Low</v>
      </c>
      <c r="P3779" t="str">
        <f t="shared" ref="P3779:P3842" si="591">IF(M3779&gt;8,"High",IF(M3779&gt;4,"Medium","Low"))</f>
        <v>Low</v>
      </c>
      <c r="Q3779" t="str">
        <f t="shared" ref="Q3779:Q3842" si="592">IF(L3779&lt;5,"High",IF(L3779&lt;15,"Medium","Low"))</f>
        <v>Low</v>
      </c>
      <c r="R3779" t="s">
        <v>3309</v>
      </c>
      <c r="S3779" s="4">
        <f t="shared" ref="S3779:S3842" ca="1" si="593">G3779-TODAY()</f>
        <v>1048</v>
      </c>
      <c r="T3779">
        <f t="shared" ref="T3779:T3842" si="594">IF(O3779="High",3,IF(O3779="Medium",2,1))</f>
        <v>1</v>
      </c>
      <c r="U3779">
        <f t="shared" ref="U3779:U3842" si="595">IF(P3779="High",3,IF(P3779="Medium",2,1))</f>
        <v>1</v>
      </c>
      <c r="V3779">
        <f t="shared" ref="V3779:V3842" si="596">IF(Q3779="High",3,IF(Q3779="Medium",2,1))</f>
        <v>1</v>
      </c>
      <c r="W3779">
        <f t="shared" ref="W3779:W3842" si="597">IF(R3779="High",3,IF(R3779="Medium",2,1))</f>
        <v>3</v>
      </c>
      <c r="X3779">
        <f t="shared" ref="X3779:X3842" si="598">(0.4*T3779)+(0.3*U3779)+(0.2*V3779)+(0.1*W3779)</f>
        <v>1.2</v>
      </c>
      <c r="Y3779" t="str">
        <f t="shared" ref="Y3779:Y3842" si="599">IF(X3779&gt;=2.7,"Move Immediately",IF(X3779&gt;=2.2,"High Priority",IF(X3779&gt;=1.7,"Monitor","Healthy")))</f>
        <v>Healthy</v>
      </c>
    </row>
    <row r="3780" spans="1:25" x14ac:dyDescent="0.35">
      <c r="A3780" t="s">
        <v>71</v>
      </c>
      <c r="B3780" t="s">
        <v>72</v>
      </c>
      <c r="C3780" t="s">
        <v>73</v>
      </c>
      <c r="D3780" t="s">
        <v>233</v>
      </c>
      <c r="E3780">
        <v>80895443</v>
      </c>
      <c r="F3780" t="s">
        <v>2508</v>
      </c>
      <c r="G3780" s="3">
        <v>47217</v>
      </c>
      <c r="H3780">
        <v>36</v>
      </c>
      <c r="I3780">
        <v>95</v>
      </c>
      <c r="J3780">
        <v>40</v>
      </c>
      <c r="K3780" s="4">
        <v>42976</v>
      </c>
      <c r="L3780" s="4">
        <v>8281.5714285714294</v>
      </c>
      <c r="M3780" s="4">
        <v>4.8300012075003012E-3</v>
      </c>
      <c r="N3780" t="s">
        <v>25</v>
      </c>
      <c r="O3780" t="str">
        <f t="shared" si="590"/>
        <v>Low</v>
      </c>
      <c r="P3780" t="str">
        <f t="shared" si="591"/>
        <v>Low</v>
      </c>
      <c r="Q3780" t="str">
        <f t="shared" si="592"/>
        <v>Low</v>
      </c>
      <c r="R3780" t="s">
        <v>3317</v>
      </c>
      <c r="S3780" s="4">
        <f t="shared" ca="1" si="593"/>
        <v>1020</v>
      </c>
      <c r="T3780">
        <f t="shared" si="594"/>
        <v>1</v>
      </c>
      <c r="U3780">
        <f t="shared" si="595"/>
        <v>1</v>
      </c>
      <c r="V3780">
        <f t="shared" si="596"/>
        <v>1</v>
      </c>
      <c r="W3780">
        <f t="shared" si="597"/>
        <v>1</v>
      </c>
      <c r="X3780">
        <f t="shared" si="598"/>
        <v>0.99999999999999989</v>
      </c>
      <c r="Y3780" t="str">
        <f t="shared" si="599"/>
        <v>Healthy</v>
      </c>
    </row>
    <row r="3781" spans="1:25" x14ac:dyDescent="0.35">
      <c r="A3781" t="s">
        <v>71</v>
      </c>
      <c r="B3781" t="s">
        <v>72</v>
      </c>
      <c r="C3781" t="s">
        <v>73</v>
      </c>
      <c r="D3781" t="s">
        <v>233</v>
      </c>
      <c r="E3781">
        <v>80895443</v>
      </c>
      <c r="F3781" t="s">
        <v>2508</v>
      </c>
      <c r="G3781" s="3">
        <v>47259</v>
      </c>
      <c r="H3781">
        <v>36</v>
      </c>
      <c r="I3781">
        <v>99</v>
      </c>
      <c r="J3781">
        <v>824</v>
      </c>
      <c r="K3781" s="4">
        <v>885305.6</v>
      </c>
      <c r="L3781" s="4">
        <v>8281.5714285714294</v>
      </c>
      <c r="M3781" s="4">
        <v>9.9498024874506208E-2</v>
      </c>
      <c r="N3781" t="s">
        <v>25</v>
      </c>
      <c r="O3781" t="str">
        <f t="shared" si="590"/>
        <v>Low</v>
      </c>
      <c r="P3781" t="str">
        <f t="shared" si="591"/>
        <v>Low</v>
      </c>
      <c r="Q3781" t="str">
        <f t="shared" si="592"/>
        <v>Low</v>
      </c>
      <c r="R3781" t="s">
        <v>3309</v>
      </c>
      <c r="S3781" s="4">
        <f t="shared" ca="1" si="593"/>
        <v>1062</v>
      </c>
      <c r="T3781">
        <f t="shared" si="594"/>
        <v>1</v>
      </c>
      <c r="U3781">
        <f t="shared" si="595"/>
        <v>1</v>
      </c>
      <c r="V3781">
        <f t="shared" si="596"/>
        <v>1</v>
      </c>
      <c r="W3781">
        <f t="shared" si="597"/>
        <v>3</v>
      </c>
      <c r="X3781">
        <f t="shared" si="598"/>
        <v>1.2</v>
      </c>
      <c r="Y3781" t="str">
        <f t="shared" si="599"/>
        <v>Healthy</v>
      </c>
    </row>
    <row r="3782" spans="1:25" x14ac:dyDescent="0.35">
      <c r="A3782" t="s">
        <v>71</v>
      </c>
      <c r="B3782" t="s">
        <v>72</v>
      </c>
      <c r="C3782" t="s">
        <v>73</v>
      </c>
      <c r="D3782" t="s">
        <v>233</v>
      </c>
      <c r="E3782">
        <v>80895443</v>
      </c>
      <c r="F3782" t="s">
        <v>2508</v>
      </c>
      <c r="G3782" s="3">
        <v>47246</v>
      </c>
      <c r="H3782">
        <v>36</v>
      </c>
      <c r="I3782">
        <v>98</v>
      </c>
      <c r="J3782">
        <v>245</v>
      </c>
      <c r="K3782" s="4">
        <v>263228</v>
      </c>
      <c r="L3782" s="4">
        <v>8281.5714285714294</v>
      </c>
      <c r="M3782" s="4">
        <v>2.9583757395939346E-2</v>
      </c>
      <c r="N3782" t="s">
        <v>25</v>
      </c>
      <c r="O3782" t="str">
        <f t="shared" si="590"/>
        <v>Low</v>
      </c>
      <c r="P3782" t="str">
        <f t="shared" si="591"/>
        <v>Low</v>
      </c>
      <c r="Q3782" t="str">
        <f t="shared" si="592"/>
        <v>Low</v>
      </c>
      <c r="R3782" t="s">
        <v>3309</v>
      </c>
      <c r="S3782" s="4">
        <f t="shared" ca="1" si="593"/>
        <v>1049</v>
      </c>
      <c r="T3782">
        <f t="shared" si="594"/>
        <v>1</v>
      </c>
      <c r="U3782">
        <f t="shared" si="595"/>
        <v>1</v>
      </c>
      <c r="V3782">
        <f t="shared" si="596"/>
        <v>1</v>
      </c>
      <c r="W3782">
        <f t="shared" si="597"/>
        <v>3</v>
      </c>
      <c r="X3782">
        <f t="shared" si="598"/>
        <v>1.2</v>
      </c>
      <c r="Y3782" t="str">
        <f t="shared" si="599"/>
        <v>Healthy</v>
      </c>
    </row>
    <row r="3783" spans="1:25" x14ac:dyDescent="0.35">
      <c r="A3783" t="s">
        <v>71</v>
      </c>
      <c r="B3783" t="s">
        <v>72</v>
      </c>
      <c r="C3783" t="s">
        <v>73</v>
      </c>
      <c r="D3783" t="s">
        <v>233</v>
      </c>
      <c r="E3783">
        <v>80895443</v>
      </c>
      <c r="F3783" t="s">
        <v>2508</v>
      </c>
      <c r="G3783" s="3">
        <v>47211</v>
      </c>
      <c r="H3783">
        <v>36</v>
      </c>
      <c r="I3783">
        <v>94</v>
      </c>
      <c r="J3783">
        <v>76</v>
      </c>
      <c r="K3783" s="4">
        <v>81654.399999999994</v>
      </c>
      <c r="L3783" s="4">
        <v>8281.5714285714294</v>
      </c>
      <c r="M3783" s="4">
        <v>9.1770022942505719E-3</v>
      </c>
      <c r="N3783" t="s">
        <v>25</v>
      </c>
      <c r="O3783" t="str">
        <f t="shared" si="590"/>
        <v>Low</v>
      </c>
      <c r="P3783" t="str">
        <f t="shared" si="591"/>
        <v>Low</v>
      </c>
      <c r="Q3783" t="str">
        <f t="shared" si="592"/>
        <v>Low</v>
      </c>
      <c r="R3783" t="s">
        <v>3310</v>
      </c>
      <c r="S3783" s="4">
        <f t="shared" ca="1" si="593"/>
        <v>1014</v>
      </c>
      <c r="T3783">
        <f t="shared" si="594"/>
        <v>1</v>
      </c>
      <c r="U3783">
        <f t="shared" si="595"/>
        <v>1</v>
      </c>
      <c r="V3783">
        <f t="shared" si="596"/>
        <v>1</v>
      </c>
      <c r="W3783">
        <f t="shared" si="597"/>
        <v>2</v>
      </c>
      <c r="X3783">
        <f t="shared" si="598"/>
        <v>1.0999999999999999</v>
      </c>
      <c r="Y3783" t="str">
        <f t="shared" si="599"/>
        <v>Healthy</v>
      </c>
    </row>
    <row r="3784" spans="1:25" x14ac:dyDescent="0.35">
      <c r="A3784" t="s">
        <v>71</v>
      </c>
      <c r="B3784" t="s">
        <v>72</v>
      </c>
      <c r="C3784" t="s">
        <v>73</v>
      </c>
      <c r="D3784" t="s">
        <v>233</v>
      </c>
      <c r="E3784">
        <v>80895443</v>
      </c>
      <c r="F3784" t="s">
        <v>2508</v>
      </c>
      <c r="G3784" s="3">
        <v>47248</v>
      </c>
      <c r="H3784">
        <v>36</v>
      </c>
      <c r="I3784">
        <v>98</v>
      </c>
      <c r="J3784">
        <v>420</v>
      </c>
      <c r="K3784" s="4">
        <v>451248</v>
      </c>
      <c r="L3784" s="4">
        <v>8281.5714285714294</v>
      </c>
      <c r="M3784" s="4">
        <v>5.0715012678753162E-2</v>
      </c>
      <c r="N3784" t="s">
        <v>25</v>
      </c>
      <c r="O3784" t="str">
        <f t="shared" si="590"/>
        <v>Low</v>
      </c>
      <c r="P3784" t="str">
        <f t="shared" si="591"/>
        <v>Low</v>
      </c>
      <c r="Q3784" t="str">
        <f t="shared" si="592"/>
        <v>Low</v>
      </c>
      <c r="R3784" t="s">
        <v>3309</v>
      </c>
      <c r="S3784" s="4">
        <f t="shared" ca="1" si="593"/>
        <v>1051</v>
      </c>
      <c r="T3784">
        <f t="shared" si="594"/>
        <v>1</v>
      </c>
      <c r="U3784">
        <f t="shared" si="595"/>
        <v>1</v>
      </c>
      <c r="V3784">
        <f t="shared" si="596"/>
        <v>1</v>
      </c>
      <c r="W3784">
        <f t="shared" si="597"/>
        <v>3</v>
      </c>
      <c r="X3784">
        <f t="shared" si="598"/>
        <v>1.2</v>
      </c>
      <c r="Y3784" t="str">
        <f t="shared" si="599"/>
        <v>Healthy</v>
      </c>
    </row>
    <row r="3785" spans="1:25" x14ac:dyDescent="0.35">
      <c r="A3785" t="s">
        <v>71</v>
      </c>
      <c r="B3785" t="s">
        <v>72</v>
      </c>
      <c r="C3785" t="s">
        <v>73</v>
      </c>
      <c r="D3785" t="s">
        <v>233</v>
      </c>
      <c r="E3785">
        <v>80895443</v>
      </c>
      <c r="F3785" t="s">
        <v>2508</v>
      </c>
      <c r="G3785" s="3">
        <v>47263</v>
      </c>
      <c r="H3785">
        <v>36</v>
      </c>
      <c r="I3785">
        <v>99</v>
      </c>
      <c r="J3785">
        <v>656</v>
      </c>
      <c r="K3785" s="4">
        <v>704806.40000000002</v>
      </c>
      <c r="L3785" s="4">
        <v>8281.5714285714294</v>
      </c>
      <c r="M3785" s="4">
        <v>7.9212019803004949E-2</v>
      </c>
      <c r="N3785" t="s">
        <v>25</v>
      </c>
      <c r="O3785" t="str">
        <f t="shared" si="590"/>
        <v>Low</v>
      </c>
      <c r="P3785" t="str">
        <f t="shared" si="591"/>
        <v>Low</v>
      </c>
      <c r="Q3785" t="str">
        <f t="shared" si="592"/>
        <v>Low</v>
      </c>
      <c r="R3785" t="s">
        <v>3309</v>
      </c>
      <c r="S3785" s="4">
        <f t="shared" ca="1" si="593"/>
        <v>1066</v>
      </c>
      <c r="T3785">
        <f t="shared" si="594"/>
        <v>1</v>
      </c>
      <c r="U3785">
        <f t="shared" si="595"/>
        <v>1</v>
      </c>
      <c r="V3785">
        <f t="shared" si="596"/>
        <v>1</v>
      </c>
      <c r="W3785">
        <f t="shared" si="597"/>
        <v>3</v>
      </c>
      <c r="X3785">
        <f t="shared" si="598"/>
        <v>1.2</v>
      </c>
      <c r="Y3785" t="str">
        <f t="shared" si="599"/>
        <v>Healthy</v>
      </c>
    </row>
    <row r="3786" spans="1:25" x14ac:dyDescent="0.35">
      <c r="A3786" t="s">
        <v>71</v>
      </c>
      <c r="B3786" t="s">
        <v>72</v>
      </c>
      <c r="C3786" t="s">
        <v>73</v>
      </c>
      <c r="D3786" t="s">
        <v>233</v>
      </c>
      <c r="E3786">
        <v>80895443</v>
      </c>
      <c r="F3786" t="s">
        <v>2508</v>
      </c>
      <c r="G3786" s="3">
        <v>47249</v>
      </c>
      <c r="H3786">
        <v>36</v>
      </c>
      <c r="I3786">
        <v>98</v>
      </c>
      <c r="J3786">
        <v>477</v>
      </c>
      <c r="K3786" s="4">
        <v>512488.8</v>
      </c>
      <c r="L3786" s="4">
        <v>8281.5714285714294</v>
      </c>
      <c r="M3786" s="4">
        <v>5.7597764399441094E-2</v>
      </c>
      <c r="N3786" t="s">
        <v>25</v>
      </c>
      <c r="O3786" t="str">
        <f t="shared" si="590"/>
        <v>Low</v>
      </c>
      <c r="P3786" t="str">
        <f t="shared" si="591"/>
        <v>Low</v>
      </c>
      <c r="Q3786" t="str">
        <f t="shared" si="592"/>
        <v>Low</v>
      </c>
      <c r="R3786" t="s">
        <v>3309</v>
      </c>
      <c r="S3786" s="4">
        <f t="shared" ca="1" si="593"/>
        <v>1052</v>
      </c>
      <c r="T3786">
        <f t="shared" si="594"/>
        <v>1</v>
      </c>
      <c r="U3786">
        <f t="shared" si="595"/>
        <v>1</v>
      </c>
      <c r="V3786">
        <f t="shared" si="596"/>
        <v>1</v>
      </c>
      <c r="W3786">
        <f t="shared" si="597"/>
        <v>3</v>
      </c>
      <c r="X3786">
        <f t="shared" si="598"/>
        <v>1.2</v>
      </c>
      <c r="Y3786" t="str">
        <f t="shared" si="599"/>
        <v>Healthy</v>
      </c>
    </row>
    <row r="3787" spans="1:25" x14ac:dyDescent="0.35">
      <c r="A3787" t="s">
        <v>71</v>
      </c>
      <c r="B3787" t="s">
        <v>72</v>
      </c>
      <c r="C3787" t="s">
        <v>73</v>
      </c>
      <c r="D3787" t="s">
        <v>233</v>
      </c>
      <c r="E3787">
        <v>80895443</v>
      </c>
      <c r="F3787" t="s">
        <v>2508</v>
      </c>
      <c r="G3787" s="3">
        <v>47270</v>
      </c>
      <c r="H3787">
        <v>36</v>
      </c>
      <c r="I3787">
        <v>100</v>
      </c>
      <c r="J3787">
        <v>586</v>
      </c>
      <c r="K3787" s="4">
        <v>629598.4</v>
      </c>
      <c r="L3787" s="4">
        <v>8281.5714285714294</v>
      </c>
      <c r="M3787" s="4">
        <v>7.0759517689879411E-2</v>
      </c>
      <c r="N3787" t="s">
        <v>25</v>
      </c>
      <c r="O3787" t="str">
        <f t="shared" si="590"/>
        <v>Low</v>
      </c>
      <c r="P3787" t="str">
        <f t="shared" si="591"/>
        <v>Low</v>
      </c>
      <c r="Q3787" t="str">
        <f t="shared" si="592"/>
        <v>Low</v>
      </c>
      <c r="R3787" t="s">
        <v>3309</v>
      </c>
      <c r="S3787" s="4">
        <f t="shared" ca="1" si="593"/>
        <v>1073</v>
      </c>
      <c r="T3787">
        <f t="shared" si="594"/>
        <v>1</v>
      </c>
      <c r="U3787">
        <f t="shared" si="595"/>
        <v>1</v>
      </c>
      <c r="V3787">
        <f t="shared" si="596"/>
        <v>1</v>
      </c>
      <c r="W3787">
        <f t="shared" si="597"/>
        <v>3</v>
      </c>
      <c r="X3787">
        <f t="shared" si="598"/>
        <v>1.2</v>
      </c>
      <c r="Y3787" t="str">
        <f t="shared" si="599"/>
        <v>Healthy</v>
      </c>
    </row>
    <row r="3788" spans="1:25" x14ac:dyDescent="0.35">
      <c r="A3788" t="s">
        <v>71</v>
      </c>
      <c r="B3788" t="s">
        <v>72</v>
      </c>
      <c r="C3788" t="s">
        <v>73</v>
      </c>
      <c r="D3788" t="s">
        <v>233</v>
      </c>
      <c r="E3788">
        <v>80895443</v>
      </c>
      <c r="F3788" t="s">
        <v>2508</v>
      </c>
      <c r="G3788" s="3">
        <v>47258</v>
      </c>
      <c r="H3788">
        <v>36</v>
      </c>
      <c r="I3788">
        <v>99</v>
      </c>
      <c r="J3788">
        <v>265</v>
      </c>
      <c r="K3788" s="4">
        <v>284716</v>
      </c>
      <c r="L3788" s="4">
        <v>8281.5714285714294</v>
      </c>
      <c r="M3788" s="4">
        <v>3.1998757999689494E-2</v>
      </c>
      <c r="N3788" t="s">
        <v>25</v>
      </c>
      <c r="O3788" t="str">
        <f t="shared" si="590"/>
        <v>Low</v>
      </c>
      <c r="P3788" t="str">
        <f t="shared" si="591"/>
        <v>Low</v>
      </c>
      <c r="Q3788" t="str">
        <f t="shared" si="592"/>
        <v>Low</v>
      </c>
      <c r="R3788" t="s">
        <v>3309</v>
      </c>
      <c r="S3788" s="4">
        <f t="shared" ca="1" si="593"/>
        <v>1061</v>
      </c>
      <c r="T3788">
        <f t="shared" si="594"/>
        <v>1</v>
      </c>
      <c r="U3788">
        <f t="shared" si="595"/>
        <v>1</v>
      </c>
      <c r="V3788">
        <f t="shared" si="596"/>
        <v>1</v>
      </c>
      <c r="W3788">
        <f t="shared" si="597"/>
        <v>3</v>
      </c>
      <c r="X3788">
        <f t="shared" si="598"/>
        <v>1.2</v>
      </c>
      <c r="Y3788" t="str">
        <f t="shared" si="599"/>
        <v>Healthy</v>
      </c>
    </row>
    <row r="3789" spans="1:25" x14ac:dyDescent="0.35">
      <c r="A3789" t="s">
        <v>14</v>
      </c>
      <c r="B3789" t="s">
        <v>115</v>
      </c>
      <c r="C3789" t="s">
        <v>116</v>
      </c>
      <c r="D3789" t="s">
        <v>117</v>
      </c>
      <c r="E3789">
        <v>82332602</v>
      </c>
      <c r="F3789" t="s">
        <v>2511</v>
      </c>
      <c r="G3789" s="3">
        <v>46732</v>
      </c>
      <c r="H3789">
        <v>60</v>
      </c>
      <c r="I3789">
        <v>30</v>
      </c>
      <c r="J3789">
        <v>1</v>
      </c>
      <c r="K3789" s="4">
        <v>95.45</v>
      </c>
      <c r="L3789" s="4">
        <f>0</f>
        <v>0</v>
      </c>
      <c r="M3789" s="4">
        <f>999</f>
        <v>999</v>
      </c>
      <c r="N3789" t="s">
        <v>19</v>
      </c>
      <c r="O3789" t="str">
        <f t="shared" si="590"/>
        <v>Medium</v>
      </c>
      <c r="P3789" t="str">
        <f t="shared" si="591"/>
        <v>High</v>
      </c>
      <c r="Q3789" t="str">
        <f t="shared" si="592"/>
        <v>High</v>
      </c>
      <c r="R3789" t="s">
        <v>3317</v>
      </c>
      <c r="S3789" s="4">
        <f t="shared" ca="1" si="593"/>
        <v>535</v>
      </c>
      <c r="T3789">
        <f t="shared" si="594"/>
        <v>2</v>
      </c>
      <c r="U3789">
        <f t="shared" si="595"/>
        <v>3</v>
      </c>
      <c r="V3789">
        <f t="shared" si="596"/>
        <v>3</v>
      </c>
      <c r="W3789">
        <f t="shared" si="597"/>
        <v>1</v>
      </c>
      <c r="X3789">
        <f t="shared" si="598"/>
        <v>2.4</v>
      </c>
      <c r="Y3789" t="str">
        <f t="shared" si="599"/>
        <v>High Priority</v>
      </c>
    </row>
    <row r="3790" spans="1:25" x14ac:dyDescent="0.35">
      <c r="A3790" t="s">
        <v>71</v>
      </c>
      <c r="B3790" t="s">
        <v>72</v>
      </c>
      <c r="C3790" t="s">
        <v>73</v>
      </c>
      <c r="D3790" t="s">
        <v>233</v>
      </c>
      <c r="E3790">
        <v>80895443</v>
      </c>
      <c r="F3790" t="s">
        <v>2508</v>
      </c>
      <c r="G3790" s="3">
        <v>47245</v>
      </c>
      <c r="H3790">
        <v>36</v>
      </c>
      <c r="I3790">
        <v>98</v>
      </c>
      <c r="J3790">
        <v>418</v>
      </c>
      <c r="K3790" s="4">
        <v>449099.2</v>
      </c>
      <c r="L3790" s="4">
        <v>8281.5714285714294</v>
      </c>
      <c r="M3790" s="4">
        <v>5.0473512618378152E-2</v>
      </c>
      <c r="N3790" t="s">
        <v>25</v>
      </c>
      <c r="O3790" t="str">
        <f t="shared" si="590"/>
        <v>Low</v>
      </c>
      <c r="P3790" t="str">
        <f t="shared" si="591"/>
        <v>Low</v>
      </c>
      <c r="Q3790" t="str">
        <f t="shared" si="592"/>
        <v>Low</v>
      </c>
      <c r="R3790" t="s">
        <v>3309</v>
      </c>
      <c r="S3790" s="4">
        <f t="shared" ca="1" si="593"/>
        <v>1048</v>
      </c>
      <c r="T3790">
        <f t="shared" si="594"/>
        <v>1</v>
      </c>
      <c r="U3790">
        <f t="shared" si="595"/>
        <v>1</v>
      </c>
      <c r="V3790">
        <f t="shared" si="596"/>
        <v>1</v>
      </c>
      <c r="W3790">
        <f t="shared" si="597"/>
        <v>3</v>
      </c>
      <c r="X3790">
        <f t="shared" si="598"/>
        <v>1.2</v>
      </c>
      <c r="Y3790" t="str">
        <f t="shared" si="599"/>
        <v>Healthy</v>
      </c>
    </row>
    <row r="3791" spans="1:25" x14ac:dyDescent="0.35">
      <c r="A3791" t="s">
        <v>14</v>
      </c>
      <c r="B3791" t="s">
        <v>115</v>
      </c>
      <c r="C3791" t="s">
        <v>116</v>
      </c>
      <c r="D3791" t="s">
        <v>117</v>
      </c>
      <c r="E3791">
        <v>82332602</v>
      </c>
      <c r="F3791" t="s">
        <v>2511</v>
      </c>
      <c r="G3791" s="3">
        <v>46686</v>
      </c>
      <c r="H3791">
        <v>60</v>
      </c>
      <c r="I3791">
        <v>27</v>
      </c>
      <c r="J3791">
        <v>2</v>
      </c>
      <c r="K3791" s="4">
        <v>190.9</v>
      </c>
      <c r="L3791" s="4">
        <f>0</f>
        <v>0</v>
      </c>
      <c r="M3791" s="4">
        <f>999</f>
        <v>999</v>
      </c>
      <c r="N3791" t="s">
        <v>19</v>
      </c>
      <c r="O3791" t="str">
        <f t="shared" si="590"/>
        <v>Medium</v>
      </c>
      <c r="P3791" t="str">
        <f t="shared" si="591"/>
        <v>High</v>
      </c>
      <c r="Q3791" t="str">
        <f t="shared" si="592"/>
        <v>High</v>
      </c>
      <c r="R3791" t="s">
        <v>3317</v>
      </c>
      <c r="S3791" s="4">
        <f t="shared" ca="1" si="593"/>
        <v>489</v>
      </c>
      <c r="T3791">
        <f t="shared" si="594"/>
        <v>2</v>
      </c>
      <c r="U3791">
        <f t="shared" si="595"/>
        <v>3</v>
      </c>
      <c r="V3791">
        <f t="shared" si="596"/>
        <v>3</v>
      </c>
      <c r="W3791">
        <f t="shared" si="597"/>
        <v>1</v>
      </c>
      <c r="X3791">
        <f t="shared" si="598"/>
        <v>2.4</v>
      </c>
      <c r="Y3791" t="str">
        <f t="shared" si="599"/>
        <v>High Priority</v>
      </c>
    </row>
    <row r="3792" spans="1:25" x14ac:dyDescent="0.35">
      <c r="A3792" t="s">
        <v>14</v>
      </c>
      <c r="B3792" t="s">
        <v>115</v>
      </c>
      <c r="C3792" t="s">
        <v>116</v>
      </c>
      <c r="D3792" t="s">
        <v>117</v>
      </c>
      <c r="E3792">
        <v>82332602</v>
      </c>
      <c r="F3792" t="s">
        <v>2511</v>
      </c>
      <c r="G3792" s="3">
        <v>46732</v>
      </c>
      <c r="H3792">
        <v>60</v>
      </c>
      <c r="I3792">
        <v>30</v>
      </c>
      <c r="J3792">
        <v>5</v>
      </c>
      <c r="K3792" s="4">
        <v>477.25</v>
      </c>
      <c r="L3792" s="4">
        <f>0</f>
        <v>0</v>
      </c>
      <c r="M3792" s="4">
        <f>999</f>
        <v>999</v>
      </c>
      <c r="N3792" t="s">
        <v>19</v>
      </c>
      <c r="O3792" t="str">
        <f t="shared" si="590"/>
        <v>Medium</v>
      </c>
      <c r="P3792" t="str">
        <f t="shared" si="591"/>
        <v>High</v>
      </c>
      <c r="Q3792" t="str">
        <f t="shared" si="592"/>
        <v>High</v>
      </c>
      <c r="R3792" t="s">
        <v>3317</v>
      </c>
      <c r="S3792" s="4">
        <f t="shared" ca="1" si="593"/>
        <v>535</v>
      </c>
      <c r="T3792">
        <f t="shared" si="594"/>
        <v>2</v>
      </c>
      <c r="U3792">
        <f t="shared" si="595"/>
        <v>3</v>
      </c>
      <c r="V3792">
        <f t="shared" si="596"/>
        <v>3</v>
      </c>
      <c r="W3792">
        <f t="shared" si="597"/>
        <v>1</v>
      </c>
      <c r="X3792">
        <f t="shared" si="598"/>
        <v>2.4</v>
      </c>
      <c r="Y3792" t="str">
        <f t="shared" si="599"/>
        <v>High Priority</v>
      </c>
    </row>
    <row r="3793" spans="1:25" x14ac:dyDescent="0.35">
      <c r="A3793" t="s">
        <v>71</v>
      </c>
      <c r="B3793" t="s">
        <v>72</v>
      </c>
      <c r="C3793" t="s">
        <v>73</v>
      </c>
      <c r="D3793" t="s">
        <v>233</v>
      </c>
      <c r="E3793">
        <v>80895443</v>
      </c>
      <c r="F3793" t="s">
        <v>2508</v>
      </c>
      <c r="G3793" s="3">
        <v>47275</v>
      </c>
      <c r="H3793">
        <v>36</v>
      </c>
      <c r="I3793">
        <v>100</v>
      </c>
      <c r="J3793">
        <v>444</v>
      </c>
      <c r="K3793" s="4">
        <v>477033.6</v>
      </c>
      <c r="L3793" s="4">
        <v>8281.5714285714294</v>
      </c>
      <c r="M3793" s="4">
        <v>5.3613013403253348E-2</v>
      </c>
      <c r="N3793" t="s">
        <v>25</v>
      </c>
      <c r="O3793" t="str">
        <f t="shared" si="590"/>
        <v>Low</v>
      </c>
      <c r="P3793" t="str">
        <f t="shared" si="591"/>
        <v>Low</v>
      </c>
      <c r="Q3793" t="str">
        <f t="shared" si="592"/>
        <v>Low</v>
      </c>
      <c r="R3793" t="s">
        <v>3309</v>
      </c>
      <c r="S3793" s="4">
        <f t="shared" ca="1" si="593"/>
        <v>1078</v>
      </c>
      <c r="T3793">
        <f t="shared" si="594"/>
        <v>1</v>
      </c>
      <c r="U3793">
        <f t="shared" si="595"/>
        <v>1</v>
      </c>
      <c r="V3793">
        <f t="shared" si="596"/>
        <v>1</v>
      </c>
      <c r="W3793">
        <f t="shared" si="597"/>
        <v>3</v>
      </c>
      <c r="X3793">
        <f t="shared" si="598"/>
        <v>1.2</v>
      </c>
      <c r="Y3793" t="str">
        <f t="shared" si="599"/>
        <v>Healthy</v>
      </c>
    </row>
    <row r="3794" spans="1:25" x14ac:dyDescent="0.35">
      <c r="A3794" t="s">
        <v>71</v>
      </c>
      <c r="B3794" t="s">
        <v>72</v>
      </c>
      <c r="C3794" t="s">
        <v>73</v>
      </c>
      <c r="D3794" t="s">
        <v>233</v>
      </c>
      <c r="E3794">
        <v>80895443</v>
      </c>
      <c r="F3794" t="s">
        <v>2508</v>
      </c>
      <c r="G3794" s="3">
        <v>47264</v>
      </c>
      <c r="H3794">
        <v>36</v>
      </c>
      <c r="I3794">
        <v>99</v>
      </c>
      <c r="J3794">
        <v>485</v>
      </c>
      <c r="K3794" s="4">
        <v>521084</v>
      </c>
      <c r="L3794" s="4">
        <v>8281.5714285714294</v>
      </c>
      <c r="M3794" s="4">
        <v>5.8563764640941152E-2</v>
      </c>
      <c r="N3794" t="s">
        <v>25</v>
      </c>
      <c r="O3794" t="str">
        <f t="shared" si="590"/>
        <v>Low</v>
      </c>
      <c r="P3794" t="str">
        <f t="shared" si="591"/>
        <v>Low</v>
      </c>
      <c r="Q3794" t="str">
        <f t="shared" si="592"/>
        <v>Low</v>
      </c>
      <c r="R3794" t="s">
        <v>3309</v>
      </c>
      <c r="S3794" s="4">
        <f t="shared" ca="1" si="593"/>
        <v>1067</v>
      </c>
      <c r="T3794">
        <f t="shared" si="594"/>
        <v>1</v>
      </c>
      <c r="U3794">
        <f t="shared" si="595"/>
        <v>1</v>
      </c>
      <c r="V3794">
        <f t="shared" si="596"/>
        <v>1</v>
      </c>
      <c r="W3794">
        <f t="shared" si="597"/>
        <v>3</v>
      </c>
      <c r="X3794">
        <f t="shared" si="598"/>
        <v>1.2</v>
      </c>
      <c r="Y3794" t="str">
        <f t="shared" si="599"/>
        <v>Healthy</v>
      </c>
    </row>
    <row r="3795" spans="1:25" x14ac:dyDescent="0.35">
      <c r="A3795" t="s">
        <v>189</v>
      </c>
      <c r="B3795" t="s">
        <v>190</v>
      </c>
      <c r="C3795" t="s">
        <v>190</v>
      </c>
      <c r="D3795" t="s">
        <v>2475</v>
      </c>
      <c r="E3795">
        <v>80888308</v>
      </c>
      <c r="F3795" t="s">
        <v>2512</v>
      </c>
      <c r="G3795" s="3">
        <v>46484</v>
      </c>
      <c r="H3795">
        <v>18</v>
      </c>
      <c r="I3795">
        <v>54</v>
      </c>
      <c r="J3795">
        <v>3</v>
      </c>
      <c r="K3795" s="4">
        <v>6257.73</v>
      </c>
      <c r="L3795" s="4">
        <v>23</v>
      </c>
      <c r="M3795" s="4">
        <v>0.13043478260869565</v>
      </c>
      <c r="N3795" t="s">
        <v>25</v>
      </c>
      <c r="O3795" t="str">
        <f t="shared" si="590"/>
        <v>Low</v>
      </c>
      <c r="P3795" t="str">
        <f t="shared" si="591"/>
        <v>Low</v>
      </c>
      <c r="Q3795" t="str">
        <f t="shared" si="592"/>
        <v>Low</v>
      </c>
      <c r="R3795" t="s">
        <v>3317</v>
      </c>
      <c r="S3795" s="4">
        <f t="shared" ca="1" si="593"/>
        <v>287</v>
      </c>
      <c r="T3795">
        <f t="shared" si="594"/>
        <v>1</v>
      </c>
      <c r="U3795">
        <f t="shared" si="595"/>
        <v>1</v>
      </c>
      <c r="V3795">
        <f t="shared" si="596"/>
        <v>1</v>
      </c>
      <c r="W3795">
        <f t="shared" si="597"/>
        <v>1</v>
      </c>
      <c r="X3795">
        <f t="shared" si="598"/>
        <v>0.99999999999999989</v>
      </c>
      <c r="Y3795" t="str">
        <f t="shared" si="599"/>
        <v>Healthy</v>
      </c>
    </row>
    <row r="3796" spans="1:25" x14ac:dyDescent="0.35">
      <c r="A3796" t="s">
        <v>189</v>
      </c>
      <c r="B3796" t="s">
        <v>190</v>
      </c>
      <c r="C3796" t="s">
        <v>190</v>
      </c>
      <c r="D3796" t="s">
        <v>2475</v>
      </c>
      <c r="E3796">
        <v>80888308</v>
      </c>
      <c r="F3796" t="s">
        <v>2512</v>
      </c>
      <c r="G3796" s="3">
        <v>46516</v>
      </c>
      <c r="H3796">
        <v>18</v>
      </c>
      <c r="I3796">
        <v>60</v>
      </c>
      <c r="J3796">
        <v>6</v>
      </c>
      <c r="K3796" s="4">
        <v>12515.46</v>
      </c>
      <c r="L3796" s="4">
        <v>23</v>
      </c>
      <c r="M3796" s="4">
        <v>0.2608695652173913</v>
      </c>
      <c r="N3796" t="s">
        <v>25</v>
      </c>
      <c r="O3796" t="str">
        <f t="shared" si="590"/>
        <v>Low</v>
      </c>
      <c r="P3796" t="str">
        <f t="shared" si="591"/>
        <v>Low</v>
      </c>
      <c r="Q3796" t="str">
        <f t="shared" si="592"/>
        <v>Low</v>
      </c>
      <c r="R3796" t="s">
        <v>3317</v>
      </c>
      <c r="S3796" s="4">
        <f t="shared" ca="1" si="593"/>
        <v>319</v>
      </c>
      <c r="T3796">
        <f t="shared" si="594"/>
        <v>1</v>
      </c>
      <c r="U3796">
        <f t="shared" si="595"/>
        <v>1</v>
      </c>
      <c r="V3796">
        <f t="shared" si="596"/>
        <v>1</v>
      </c>
      <c r="W3796">
        <f t="shared" si="597"/>
        <v>1</v>
      </c>
      <c r="X3796">
        <f t="shared" si="598"/>
        <v>0.99999999999999989</v>
      </c>
      <c r="Y3796" t="str">
        <f t="shared" si="599"/>
        <v>Healthy</v>
      </c>
    </row>
    <row r="3797" spans="1:25" x14ac:dyDescent="0.35">
      <c r="A3797" t="s">
        <v>71</v>
      </c>
      <c r="B3797" t="s">
        <v>72</v>
      </c>
      <c r="C3797" t="s">
        <v>73</v>
      </c>
      <c r="D3797" t="s">
        <v>876</v>
      </c>
      <c r="E3797">
        <v>80895444</v>
      </c>
      <c r="F3797" t="s">
        <v>2513</v>
      </c>
      <c r="G3797" s="3">
        <v>47225</v>
      </c>
      <c r="H3797">
        <v>36</v>
      </c>
      <c r="I3797">
        <v>96</v>
      </c>
      <c r="J3797">
        <v>136</v>
      </c>
      <c r="K3797" s="4">
        <v>146118.39999999999</v>
      </c>
      <c r="L3797" s="4">
        <v>4732.8571428571431</v>
      </c>
      <c r="M3797" s="4">
        <v>2.8735285239963777E-2</v>
      </c>
      <c r="N3797" t="s">
        <v>25</v>
      </c>
      <c r="O3797" t="str">
        <f t="shared" si="590"/>
        <v>Low</v>
      </c>
      <c r="P3797" t="str">
        <f t="shared" si="591"/>
        <v>Low</v>
      </c>
      <c r="Q3797" t="str">
        <f t="shared" si="592"/>
        <v>Low</v>
      </c>
      <c r="R3797" t="s">
        <v>3309</v>
      </c>
      <c r="S3797" s="4">
        <f t="shared" ca="1" si="593"/>
        <v>1028</v>
      </c>
      <c r="T3797">
        <f t="shared" si="594"/>
        <v>1</v>
      </c>
      <c r="U3797">
        <f t="shared" si="595"/>
        <v>1</v>
      </c>
      <c r="V3797">
        <f t="shared" si="596"/>
        <v>1</v>
      </c>
      <c r="W3797">
        <f t="shared" si="597"/>
        <v>3</v>
      </c>
      <c r="X3797">
        <f t="shared" si="598"/>
        <v>1.2</v>
      </c>
      <c r="Y3797" t="str">
        <f t="shared" si="599"/>
        <v>Healthy</v>
      </c>
    </row>
    <row r="3798" spans="1:25" x14ac:dyDescent="0.35">
      <c r="A3798" t="s">
        <v>71</v>
      </c>
      <c r="B3798" t="s">
        <v>72</v>
      </c>
      <c r="C3798" t="s">
        <v>73</v>
      </c>
      <c r="D3798" t="s">
        <v>876</v>
      </c>
      <c r="E3798">
        <v>80895444</v>
      </c>
      <c r="F3798" t="s">
        <v>2513</v>
      </c>
      <c r="G3798" s="3">
        <v>47250</v>
      </c>
      <c r="H3798">
        <v>36</v>
      </c>
      <c r="I3798">
        <v>98</v>
      </c>
      <c r="J3798">
        <v>4</v>
      </c>
      <c r="K3798" s="4">
        <v>4297.6000000000004</v>
      </c>
      <c r="L3798" s="4">
        <v>4732.8571428571431</v>
      </c>
      <c r="M3798" s="4">
        <v>8.451554482342287E-4</v>
      </c>
      <c r="N3798" t="s">
        <v>25</v>
      </c>
      <c r="O3798" t="str">
        <f t="shared" si="590"/>
        <v>Low</v>
      </c>
      <c r="P3798" t="str">
        <f t="shared" si="591"/>
        <v>Low</v>
      </c>
      <c r="Q3798" t="str">
        <f t="shared" si="592"/>
        <v>Low</v>
      </c>
      <c r="R3798" t="s">
        <v>3317</v>
      </c>
      <c r="S3798" s="4">
        <f t="shared" ca="1" si="593"/>
        <v>1053</v>
      </c>
      <c r="T3798">
        <f t="shared" si="594"/>
        <v>1</v>
      </c>
      <c r="U3798">
        <f t="shared" si="595"/>
        <v>1</v>
      </c>
      <c r="V3798">
        <f t="shared" si="596"/>
        <v>1</v>
      </c>
      <c r="W3798">
        <f t="shared" si="597"/>
        <v>1</v>
      </c>
      <c r="X3798">
        <f t="shared" si="598"/>
        <v>0.99999999999999989</v>
      </c>
      <c r="Y3798" t="str">
        <f t="shared" si="599"/>
        <v>Healthy</v>
      </c>
    </row>
    <row r="3799" spans="1:25" x14ac:dyDescent="0.35">
      <c r="A3799" t="s">
        <v>71</v>
      </c>
      <c r="B3799" t="s">
        <v>72</v>
      </c>
      <c r="C3799" t="s">
        <v>73</v>
      </c>
      <c r="D3799" t="s">
        <v>876</v>
      </c>
      <c r="E3799">
        <v>80895444</v>
      </c>
      <c r="F3799" t="s">
        <v>2513</v>
      </c>
      <c r="G3799" s="3">
        <v>47223</v>
      </c>
      <c r="H3799">
        <v>36</v>
      </c>
      <c r="I3799">
        <v>95</v>
      </c>
      <c r="J3799">
        <v>96</v>
      </c>
      <c r="K3799" s="4">
        <v>103142.39999999999</v>
      </c>
      <c r="L3799" s="4">
        <v>4732.8571428571431</v>
      </c>
      <c r="M3799" s="4">
        <v>2.028373075762149E-2</v>
      </c>
      <c r="N3799" t="s">
        <v>25</v>
      </c>
      <c r="O3799" t="str">
        <f t="shared" si="590"/>
        <v>Low</v>
      </c>
      <c r="P3799" t="str">
        <f t="shared" si="591"/>
        <v>Low</v>
      </c>
      <c r="Q3799" t="str">
        <f t="shared" si="592"/>
        <v>Low</v>
      </c>
      <c r="R3799" t="s">
        <v>3310</v>
      </c>
      <c r="S3799" s="4">
        <f t="shared" ca="1" si="593"/>
        <v>1026</v>
      </c>
      <c r="T3799">
        <f t="shared" si="594"/>
        <v>1</v>
      </c>
      <c r="U3799">
        <f t="shared" si="595"/>
        <v>1</v>
      </c>
      <c r="V3799">
        <f t="shared" si="596"/>
        <v>1</v>
      </c>
      <c r="W3799">
        <f t="shared" si="597"/>
        <v>2</v>
      </c>
      <c r="X3799">
        <f t="shared" si="598"/>
        <v>1.0999999999999999</v>
      </c>
      <c r="Y3799" t="str">
        <f t="shared" si="599"/>
        <v>Healthy</v>
      </c>
    </row>
    <row r="3800" spans="1:25" x14ac:dyDescent="0.35">
      <c r="A3800" t="s">
        <v>41</v>
      </c>
      <c r="B3800" t="s">
        <v>42</v>
      </c>
      <c r="C3800" t="s">
        <v>365</v>
      </c>
      <c r="D3800" t="s">
        <v>867</v>
      </c>
      <c r="E3800">
        <v>80706979</v>
      </c>
      <c r="F3800" t="s">
        <v>2514</v>
      </c>
      <c r="G3800" s="3">
        <v>47020</v>
      </c>
      <c r="H3800">
        <v>36</v>
      </c>
      <c r="I3800">
        <v>77</v>
      </c>
      <c r="J3800">
        <v>12</v>
      </c>
      <c r="K3800" s="4">
        <v>7364.28</v>
      </c>
      <c r="L3800" s="4">
        <f>0</f>
        <v>0</v>
      </c>
      <c r="M3800" s="4">
        <f>999</f>
        <v>999</v>
      </c>
      <c r="N3800" t="s">
        <v>19</v>
      </c>
      <c r="O3800" t="str">
        <f t="shared" si="590"/>
        <v>Low</v>
      </c>
      <c r="P3800" t="str">
        <f t="shared" si="591"/>
        <v>High</v>
      </c>
      <c r="Q3800" t="str">
        <f t="shared" si="592"/>
        <v>High</v>
      </c>
      <c r="R3800" t="s">
        <v>3317</v>
      </c>
      <c r="S3800" s="4">
        <f t="shared" ca="1" si="593"/>
        <v>823</v>
      </c>
      <c r="T3800">
        <f t="shared" si="594"/>
        <v>1</v>
      </c>
      <c r="U3800">
        <f t="shared" si="595"/>
        <v>3</v>
      </c>
      <c r="V3800">
        <f t="shared" si="596"/>
        <v>3</v>
      </c>
      <c r="W3800">
        <f t="shared" si="597"/>
        <v>1</v>
      </c>
      <c r="X3800">
        <f t="shared" si="598"/>
        <v>2</v>
      </c>
      <c r="Y3800" t="str">
        <f t="shared" si="599"/>
        <v>Monitor</v>
      </c>
    </row>
    <row r="3801" spans="1:25" x14ac:dyDescent="0.35">
      <c r="A3801" t="s">
        <v>71</v>
      </c>
      <c r="B3801" t="s">
        <v>72</v>
      </c>
      <c r="C3801" t="s">
        <v>73</v>
      </c>
      <c r="D3801" t="s">
        <v>876</v>
      </c>
      <c r="E3801">
        <v>80895444</v>
      </c>
      <c r="F3801" t="s">
        <v>2513</v>
      </c>
      <c r="G3801" s="3">
        <v>47230</v>
      </c>
      <c r="H3801">
        <v>36</v>
      </c>
      <c r="I3801">
        <v>96</v>
      </c>
      <c r="J3801">
        <v>80</v>
      </c>
      <c r="K3801" s="4">
        <v>85952</v>
      </c>
      <c r="L3801" s="4">
        <v>4732.8571428571431</v>
      </c>
      <c r="M3801" s="4">
        <v>1.6903108964684575E-2</v>
      </c>
      <c r="N3801" t="s">
        <v>25</v>
      </c>
      <c r="O3801" t="str">
        <f t="shared" si="590"/>
        <v>Low</v>
      </c>
      <c r="P3801" t="str">
        <f t="shared" si="591"/>
        <v>Low</v>
      </c>
      <c r="Q3801" t="str">
        <f t="shared" si="592"/>
        <v>Low</v>
      </c>
      <c r="R3801" t="s">
        <v>3310</v>
      </c>
      <c r="S3801" s="4">
        <f t="shared" ca="1" si="593"/>
        <v>1033</v>
      </c>
      <c r="T3801">
        <f t="shared" si="594"/>
        <v>1</v>
      </c>
      <c r="U3801">
        <f t="shared" si="595"/>
        <v>1</v>
      </c>
      <c r="V3801">
        <f t="shared" si="596"/>
        <v>1</v>
      </c>
      <c r="W3801">
        <f t="shared" si="597"/>
        <v>2</v>
      </c>
      <c r="X3801">
        <f t="shared" si="598"/>
        <v>1.0999999999999999</v>
      </c>
      <c r="Y3801" t="str">
        <f t="shared" si="599"/>
        <v>Healthy</v>
      </c>
    </row>
    <row r="3802" spans="1:25" x14ac:dyDescent="0.35">
      <c r="A3802" t="s">
        <v>41</v>
      </c>
      <c r="B3802" t="s">
        <v>42</v>
      </c>
      <c r="C3802" t="s">
        <v>365</v>
      </c>
      <c r="D3802" t="s">
        <v>867</v>
      </c>
      <c r="E3802">
        <v>80706979</v>
      </c>
      <c r="F3802" t="s">
        <v>2514</v>
      </c>
      <c r="G3802" s="3">
        <v>47020</v>
      </c>
      <c r="H3802">
        <v>36</v>
      </c>
      <c r="I3802">
        <v>77</v>
      </c>
      <c r="J3802">
        <v>8</v>
      </c>
      <c r="K3802" s="4">
        <v>4909.5200000000004</v>
      </c>
      <c r="L3802" s="4">
        <f>0</f>
        <v>0</v>
      </c>
      <c r="M3802" s="4">
        <f>999</f>
        <v>999</v>
      </c>
      <c r="N3802" t="s">
        <v>19</v>
      </c>
      <c r="O3802" t="str">
        <f t="shared" si="590"/>
        <v>Low</v>
      </c>
      <c r="P3802" t="str">
        <f t="shared" si="591"/>
        <v>High</v>
      </c>
      <c r="Q3802" t="str">
        <f t="shared" si="592"/>
        <v>High</v>
      </c>
      <c r="R3802" t="s">
        <v>3317</v>
      </c>
      <c r="S3802" s="4">
        <f t="shared" ca="1" si="593"/>
        <v>823</v>
      </c>
      <c r="T3802">
        <f t="shared" si="594"/>
        <v>1</v>
      </c>
      <c r="U3802">
        <f t="shared" si="595"/>
        <v>3</v>
      </c>
      <c r="V3802">
        <f t="shared" si="596"/>
        <v>3</v>
      </c>
      <c r="W3802">
        <f t="shared" si="597"/>
        <v>1</v>
      </c>
      <c r="X3802">
        <f t="shared" si="598"/>
        <v>2</v>
      </c>
      <c r="Y3802" t="str">
        <f t="shared" si="599"/>
        <v>Monitor</v>
      </c>
    </row>
    <row r="3803" spans="1:25" x14ac:dyDescent="0.35">
      <c r="A3803" t="s">
        <v>71</v>
      </c>
      <c r="B3803" t="s">
        <v>72</v>
      </c>
      <c r="C3803" t="s">
        <v>73</v>
      </c>
      <c r="D3803" t="s">
        <v>876</v>
      </c>
      <c r="E3803">
        <v>80895444</v>
      </c>
      <c r="F3803" t="s">
        <v>2513</v>
      </c>
      <c r="G3803" s="3">
        <v>47218</v>
      </c>
      <c r="H3803">
        <v>36</v>
      </c>
      <c r="I3803">
        <v>95</v>
      </c>
      <c r="J3803">
        <v>132</v>
      </c>
      <c r="K3803" s="4">
        <v>141820.79999999999</v>
      </c>
      <c r="L3803" s="4">
        <v>4732.8571428571431</v>
      </c>
      <c r="M3803" s="4">
        <v>2.789012979172955E-2</v>
      </c>
      <c r="N3803" t="s">
        <v>25</v>
      </c>
      <c r="O3803" t="str">
        <f t="shared" si="590"/>
        <v>Low</v>
      </c>
      <c r="P3803" t="str">
        <f t="shared" si="591"/>
        <v>Low</v>
      </c>
      <c r="Q3803" t="str">
        <f t="shared" si="592"/>
        <v>Low</v>
      </c>
      <c r="R3803" t="s">
        <v>3309</v>
      </c>
      <c r="S3803" s="4">
        <f t="shared" ca="1" si="593"/>
        <v>1021</v>
      </c>
      <c r="T3803">
        <f t="shared" si="594"/>
        <v>1</v>
      </c>
      <c r="U3803">
        <f t="shared" si="595"/>
        <v>1</v>
      </c>
      <c r="V3803">
        <f t="shared" si="596"/>
        <v>1</v>
      </c>
      <c r="W3803">
        <f t="shared" si="597"/>
        <v>3</v>
      </c>
      <c r="X3803">
        <f t="shared" si="598"/>
        <v>1.2</v>
      </c>
      <c r="Y3803" t="str">
        <f t="shared" si="599"/>
        <v>Healthy</v>
      </c>
    </row>
    <row r="3804" spans="1:25" x14ac:dyDescent="0.35">
      <c r="A3804" t="s">
        <v>41</v>
      </c>
      <c r="B3804" t="s">
        <v>42</v>
      </c>
      <c r="C3804" t="s">
        <v>365</v>
      </c>
      <c r="D3804" t="s">
        <v>867</v>
      </c>
      <c r="E3804">
        <v>80706979</v>
      </c>
      <c r="F3804" t="s">
        <v>2514</v>
      </c>
      <c r="G3804" s="3">
        <v>47020</v>
      </c>
      <c r="H3804">
        <v>36</v>
      </c>
      <c r="I3804">
        <v>77</v>
      </c>
      <c r="J3804">
        <v>4</v>
      </c>
      <c r="K3804" s="4">
        <v>2454.7600000000002</v>
      </c>
      <c r="L3804" s="4">
        <f>0</f>
        <v>0</v>
      </c>
      <c r="M3804" s="4">
        <f>999</f>
        <v>999</v>
      </c>
      <c r="N3804" t="s">
        <v>19</v>
      </c>
      <c r="O3804" t="str">
        <f t="shared" si="590"/>
        <v>Low</v>
      </c>
      <c r="P3804" t="str">
        <f t="shared" si="591"/>
        <v>High</v>
      </c>
      <c r="Q3804" t="str">
        <f t="shared" si="592"/>
        <v>High</v>
      </c>
      <c r="R3804" t="s">
        <v>3317</v>
      </c>
      <c r="S3804" s="4">
        <f t="shared" ca="1" si="593"/>
        <v>823</v>
      </c>
      <c r="T3804">
        <f t="shared" si="594"/>
        <v>1</v>
      </c>
      <c r="U3804">
        <f t="shared" si="595"/>
        <v>3</v>
      </c>
      <c r="V3804">
        <f t="shared" si="596"/>
        <v>3</v>
      </c>
      <c r="W3804">
        <f t="shared" si="597"/>
        <v>1</v>
      </c>
      <c r="X3804">
        <f t="shared" si="598"/>
        <v>2</v>
      </c>
      <c r="Y3804" t="str">
        <f t="shared" si="599"/>
        <v>Monitor</v>
      </c>
    </row>
    <row r="3805" spans="1:25" x14ac:dyDescent="0.35">
      <c r="A3805" t="s">
        <v>71</v>
      </c>
      <c r="B3805" t="s">
        <v>72</v>
      </c>
      <c r="C3805" t="s">
        <v>73</v>
      </c>
      <c r="D3805" t="s">
        <v>876</v>
      </c>
      <c r="E3805">
        <v>80895444</v>
      </c>
      <c r="F3805" t="s">
        <v>2513</v>
      </c>
      <c r="G3805" s="3">
        <v>47228</v>
      </c>
      <c r="H3805">
        <v>36</v>
      </c>
      <c r="I3805">
        <v>96</v>
      </c>
      <c r="J3805">
        <v>100</v>
      </c>
      <c r="K3805" s="4">
        <v>107440</v>
      </c>
      <c r="L3805" s="4">
        <v>4732.8571428571431</v>
      </c>
      <c r="M3805" s="4">
        <v>2.1128886205855717E-2</v>
      </c>
      <c r="N3805" t="s">
        <v>25</v>
      </c>
      <c r="O3805" t="str">
        <f t="shared" si="590"/>
        <v>Low</v>
      </c>
      <c r="P3805" t="str">
        <f t="shared" si="591"/>
        <v>Low</v>
      </c>
      <c r="Q3805" t="str">
        <f t="shared" si="592"/>
        <v>Low</v>
      </c>
      <c r="R3805" t="s">
        <v>3310</v>
      </c>
      <c r="S3805" s="4">
        <f t="shared" ca="1" si="593"/>
        <v>1031</v>
      </c>
      <c r="T3805">
        <f t="shared" si="594"/>
        <v>1</v>
      </c>
      <c r="U3805">
        <f t="shared" si="595"/>
        <v>1</v>
      </c>
      <c r="V3805">
        <f t="shared" si="596"/>
        <v>1</v>
      </c>
      <c r="W3805">
        <f t="shared" si="597"/>
        <v>2</v>
      </c>
      <c r="X3805">
        <f t="shared" si="598"/>
        <v>1.0999999999999999</v>
      </c>
      <c r="Y3805" t="str">
        <f t="shared" si="599"/>
        <v>Healthy</v>
      </c>
    </row>
    <row r="3806" spans="1:25" x14ac:dyDescent="0.35">
      <c r="A3806" t="s">
        <v>71</v>
      </c>
      <c r="B3806" t="s">
        <v>72</v>
      </c>
      <c r="C3806" t="s">
        <v>73</v>
      </c>
      <c r="D3806" t="s">
        <v>876</v>
      </c>
      <c r="E3806">
        <v>80895444</v>
      </c>
      <c r="F3806" t="s">
        <v>2513</v>
      </c>
      <c r="G3806" s="3">
        <v>47245</v>
      </c>
      <c r="H3806">
        <v>36</v>
      </c>
      <c r="I3806">
        <v>98</v>
      </c>
      <c r="J3806">
        <v>124</v>
      </c>
      <c r="K3806" s="4">
        <v>133225.60000000001</v>
      </c>
      <c r="L3806" s="4">
        <v>4732.8571428571431</v>
      </c>
      <c r="M3806" s="4">
        <v>2.6199818895261091E-2</v>
      </c>
      <c r="N3806" t="s">
        <v>25</v>
      </c>
      <c r="O3806" t="str">
        <f t="shared" si="590"/>
        <v>Low</v>
      </c>
      <c r="P3806" t="str">
        <f t="shared" si="591"/>
        <v>Low</v>
      </c>
      <c r="Q3806" t="str">
        <f t="shared" si="592"/>
        <v>Low</v>
      </c>
      <c r="R3806" t="s">
        <v>3309</v>
      </c>
      <c r="S3806" s="4">
        <f t="shared" ca="1" si="593"/>
        <v>1048</v>
      </c>
      <c r="T3806">
        <f t="shared" si="594"/>
        <v>1</v>
      </c>
      <c r="U3806">
        <f t="shared" si="595"/>
        <v>1</v>
      </c>
      <c r="V3806">
        <f t="shared" si="596"/>
        <v>1</v>
      </c>
      <c r="W3806">
        <f t="shared" si="597"/>
        <v>3</v>
      </c>
      <c r="X3806">
        <f t="shared" si="598"/>
        <v>1.2</v>
      </c>
      <c r="Y3806" t="str">
        <f t="shared" si="599"/>
        <v>Healthy</v>
      </c>
    </row>
    <row r="3807" spans="1:25" x14ac:dyDescent="0.35">
      <c r="A3807" t="s">
        <v>71</v>
      </c>
      <c r="B3807" t="s">
        <v>72</v>
      </c>
      <c r="C3807" t="s">
        <v>73</v>
      </c>
      <c r="D3807" t="s">
        <v>876</v>
      </c>
      <c r="E3807">
        <v>80895444</v>
      </c>
      <c r="F3807" t="s">
        <v>2513</v>
      </c>
      <c r="G3807" s="3">
        <v>47224</v>
      </c>
      <c r="H3807">
        <v>36</v>
      </c>
      <c r="I3807">
        <v>96</v>
      </c>
      <c r="J3807">
        <v>114</v>
      </c>
      <c r="K3807" s="4">
        <v>122481.60000000001</v>
      </c>
      <c r="L3807" s="4">
        <v>4732.8571428571431</v>
      </c>
      <c r="M3807" s="4">
        <v>2.4086930274675518E-2</v>
      </c>
      <c r="N3807" t="s">
        <v>25</v>
      </c>
      <c r="O3807" t="str">
        <f t="shared" si="590"/>
        <v>Low</v>
      </c>
      <c r="P3807" t="str">
        <f t="shared" si="591"/>
        <v>Low</v>
      </c>
      <c r="Q3807" t="str">
        <f t="shared" si="592"/>
        <v>Low</v>
      </c>
      <c r="R3807" t="s">
        <v>3310</v>
      </c>
      <c r="S3807" s="4">
        <f t="shared" ca="1" si="593"/>
        <v>1027</v>
      </c>
      <c r="T3807">
        <f t="shared" si="594"/>
        <v>1</v>
      </c>
      <c r="U3807">
        <f t="shared" si="595"/>
        <v>1</v>
      </c>
      <c r="V3807">
        <f t="shared" si="596"/>
        <v>1</v>
      </c>
      <c r="W3807">
        <f t="shared" si="597"/>
        <v>2</v>
      </c>
      <c r="X3807">
        <f t="shared" si="598"/>
        <v>1.0999999999999999</v>
      </c>
      <c r="Y3807" t="str">
        <f t="shared" si="599"/>
        <v>Healthy</v>
      </c>
    </row>
    <row r="3808" spans="1:25" x14ac:dyDescent="0.35">
      <c r="A3808" t="s">
        <v>71</v>
      </c>
      <c r="B3808" t="s">
        <v>72</v>
      </c>
      <c r="C3808" t="s">
        <v>73</v>
      </c>
      <c r="D3808" t="s">
        <v>876</v>
      </c>
      <c r="E3808">
        <v>80895444</v>
      </c>
      <c r="F3808" t="s">
        <v>2513</v>
      </c>
      <c r="G3808" s="3">
        <v>47228</v>
      </c>
      <c r="H3808">
        <v>36</v>
      </c>
      <c r="I3808">
        <v>96</v>
      </c>
      <c r="J3808">
        <v>96</v>
      </c>
      <c r="K3808" s="4">
        <v>103142.39999999999</v>
      </c>
      <c r="L3808" s="4">
        <v>4732.8571428571431</v>
      </c>
      <c r="M3808" s="4">
        <v>2.028373075762149E-2</v>
      </c>
      <c r="N3808" t="s">
        <v>25</v>
      </c>
      <c r="O3808" t="str">
        <f t="shared" si="590"/>
        <v>Low</v>
      </c>
      <c r="P3808" t="str">
        <f t="shared" si="591"/>
        <v>Low</v>
      </c>
      <c r="Q3808" t="str">
        <f t="shared" si="592"/>
        <v>Low</v>
      </c>
      <c r="R3808" t="s">
        <v>3310</v>
      </c>
      <c r="S3808" s="4">
        <f t="shared" ca="1" si="593"/>
        <v>1031</v>
      </c>
      <c r="T3808">
        <f t="shared" si="594"/>
        <v>1</v>
      </c>
      <c r="U3808">
        <f t="shared" si="595"/>
        <v>1</v>
      </c>
      <c r="V3808">
        <f t="shared" si="596"/>
        <v>1</v>
      </c>
      <c r="W3808">
        <f t="shared" si="597"/>
        <v>2</v>
      </c>
      <c r="X3808">
        <f t="shared" si="598"/>
        <v>1.0999999999999999</v>
      </c>
      <c r="Y3808" t="str">
        <f t="shared" si="599"/>
        <v>Healthy</v>
      </c>
    </row>
    <row r="3809" spans="1:25" x14ac:dyDescent="0.35">
      <c r="A3809" t="s">
        <v>71</v>
      </c>
      <c r="B3809" t="s">
        <v>72</v>
      </c>
      <c r="C3809" t="s">
        <v>73</v>
      </c>
      <c r="D3809" t="s">
        <v>876</v>
      </c>
      <c r="E3809">
        <v>80895444</v>
      </c>
      <c r="F3809" t="s">
        <v>2513</v>
      </c>
      <c r="G3809" s="3">
        <v>47250</v>
      </c>
      <c r="H3809">
        <v>36</v>
      </c>
      <c r="I3809">
        <v>98</v>
      </c>
      <c r="J3809">
        <v>60</v>
      </c>
      <c r="K3809" s="4">
        <v>64464</v>
      </c>
      <c r="L3809" s="4">
        <v>4732.8571428571431</v>
      </c>
      <c r="M3809" s="4">
        <v>1.2677331723513431E-2</v>
      </c>
      <c r="N3809" t="s">
        <v>25</v>
      </c>
      <c r="O3809" t="str">
        <f t="shared" si="590"/>
        <v>Low</v>
      </c>
      <c r="P3809" t="str">
        <f t="shared" si="591"/>
        <v>Low</v>
      </c>
      <c r="Q3809" t="str">
        <f t="shared" si="592"/>
        <v>Low</v>
      </c>
      <c r="R3809" t="s">
        <v>3317</v>
      </c>
      <c r="S3809" s="4">
        <f t="shared" ca="1" si="593"/>
        <v>1053</v>
      </c>
      <c r="T3809">
        <f t="shared" si="594"/>
        <v>1</v>
      </c>
      <c r="U3809">
        <f t="shared" si="595"/>
        <v>1</v>
      </c>
      <c r="V3809">
        <f t="shared" si="596"/>
        <v>1</v>
      </c>
      <c r="W3809">
        <f t="shared" si="597"/>
        <v>1</v>
      </c>
      <c r="X3809">
        <f t="shared" si="598"/>
        <v>0.99999999999999989</v>
      </c>
      <c r="Y3809" t="str">
        <f t="shared" si="599"/>
        <v>Healthy</v>
      </c>
    </row>
    <row r="3810" spans="1:25" x14ac:dyDescent="0.35">
      <c r="A3810" t="s">
        <v>46</v>
      </c>
      <c r="B3810" t="s">
        <v>47</v>
      </c>
      <c r="C3810" t="s">
        <v>48</v>
      </c>
      <c r="D3810" t="s">
        <v>2515</v>
      </c>
      <c r="E3810">
        <v>82321693</v>
      </c>
      <c r="F3810" t="s">
        <v>2516</v>
      </c>
      <c r="G3810" s="3">
        <v>46654</v>
      </c>
      <c r="H3810">
        <v>36</v>
      </c>
      <c r="I3810">
        <v>43</v>
      </c>
      <c r="J3810">
        <v>11</v>
      </c>
      <c r="K3810" s="4">
        <v>1876.27</v>
      </c>
      <c r="L3810" s="4">
        <f>0</f>
        <v>0</v>
      </c>
      <c r="M3810" s="4">
        <f>999</f>
        <v>999</v>
      </c>
      <c r="N3810" t="s">
        <v>19</v>
      </c>
      <c r="O3810" t="str">
        <f t="shared" si="590"/>
        <v>Low</v>
      </c>
      <c r="P3810" t="str">
        <f t="shared" si="591"/>
        <v>High</v>
      </c>
      <c r="Q3810" t="str">
        <f t="shared" si="592"/>
        <v>High</v>
      </c>
      <c r="R3810" t="s">
        <v>3317</v>
      </c>
      <c r="S3810" s="4">
        <f t="shared" ca="1" si="593"/>
        <v>457</v>
      </c>
      <c r="T3810">
        <f t="shared" si="594"/>
        <v>1</v>
      </c>
      <c r="U3810">
        <f t="shared" si="595"/>
        <v>3</v>
      </c>
      <c r="V3810">
        <f t="shared" si="596"/>
        <v>3</v>
      </c>
      <c r="W3810">
        <f t="shared" si="597"/>
        <v>1</v>
      </c>
      <c r="X3810">
        <f t="shared" si="598"/>
        <v>2</v>
      </c>
      <c r="Y3810" t="str">
        <f t="shared" si="599"/>
        <v>Monitor</v>
      </c>
    </row>
    <row r="3811" spans="1:25" x14ac:dyDescent="0.35">
      <c r="A3811" t="s">
        <v>71</v>
      </c>
      <c r="B3811" t="s">
        <v>72</v>
      </c>
      <c r="C3811" t="s">
        <v>73</v>
      </c>
      <c r="D3811" t="s">
        <v>876</v>
      </c>
      <c r="E3811">
        <v>80895444</v>
      </c>
      <c r="F3811" t="s">
        <v>2513</v>
      </c>
      <c r="G3811" s="3">
        <v>47264</v>
      </c>
      <c r="H3811">
        <v>36</v>
      </c>
      <c r="I3811">
        <v>99</v>
      </c>
      <c r="J3811">
        <v>385</v>
      </c>
      <c r="K3811" s="4">
        <v>413644</v>
      </c>
      <c r="L3811" s="4">
        <v>4732.8571428571431</v>
      </c>
      <c r="M3811" s="4">
        <v>8.1346211892544512E-2</v>
      </c>
      <c r="N3811" t="s">
        <v>25</v>
      </c>
      <c r="O3811" t="str">
        <f t="shared" si="590"/>
        <v>Low</v>
      </c>
      <c r="P3811" t="str">
        <f t="shared" si="591"/>
        <v>Low</v>
      </c>
      <c r="Q3811" t="str">
        <f t="shared" si="592"/>
        <v>Low</v>
      </c>
      <c r="R3811" t="s">
        <v>3309</v>
      </c>
      <c r="S3811" s="4">
        <f t="shared" ca="1" si="593"/>
        <v>1067</v>
      </c>
      <c r="T3811">
        <f t="shared" si="594"/>
        <v>1</v>
      </c>
      <c r="U3811">
        <f t="shared" si="595"/>
        <v>1</v>
      </c>
      <c r="V3811">
        <f t="shared" si="596"/>
        <v>1</v>
      </c>
      <c r="W3811">
        <f t="shared" si="597"/>
        <v>3</v>
      </c>
      <c r="X3811">
        <f t="shared" si="598"/>
        <v>1.2</v>
      </c>
      <c r="Y3811" t="str">
        <f t="shared" si="599"/>
        <v>Healthy</v>
      </c>
    </row>
    <row r="3812" spans="1:25" x14ac:dyDescent="0.35">
      <c r="A3812" t="s">
        <v>46</v>
      </c>
      <c r="B3812" t="s">
        <v>47</v>
      </c>
      <c r="C3812" t="s">
        <v>48</v>
      </c>
      <c r="D3812" t="s">
        <v>2515</v>
      </c>
      <c r="E3812">
        <v>82321693</v>
      </c>
      <c r="F3812" t="s">
        <v>2516</v>
      </c>
      <c r="G3812" s="3">
        <v>47053</v>
      </c>
      <c r="H3812">
        <v>36</v>
      </c>
      <c r="I3812">
        <v>80</v>
      </c>
      <c r="J3812">
        <v>1</v>
      </c>
      <c r="K3812" s="4">
        <v>140.30000000000001</v>
      </c>
      <c r="L3812" s="4">
        <f>0</f>
        <v>0</v>
      </c>
      <c r="M3812" s="4">
        <f>999</f>
        <v>999</v>
      </c>
      <c r="N3812" t="s">
        <v>19</v>
      </c>
      <c r="O3812" t="str">
        <f t="shared" si="590"/>
        <v>Low</v>
      </c>
      <c r="P3812" t="str">
        <f t="shared" si="591"/>
        <v>High</v>
      </c>
      <c r="Q3812" t="str">
        <f t="shared" si="592"/>
        <v>High</v>
      </c>
      <c r="R3812" t="s">
        <v>3317</v>
      </c>
      <c r="S3812" s="4">
        <f t="shared" ca="1" si="593"/>
        <v>856</v>
      </c>
      <c r="T3812">
        <f t="shared" si="594"/>
        <v>1</v>
      </c>
      <c r="U3812">
        <f t="shared" si="595"/>
        <v>3</v>
      </c>
      <c r="V3812">
        <f t="shared" si="596"/>
        <v>3</v>
      </c>
      <c r="W3812">
        <f t="shared" si="597"/>
        <v>1</v>
      </c>
      <c r="X3812">
        <f t="shared" si="598"/>
        <v>2</v>
      </c>
      <c r="Y3812" t="str">
        <f t="shared" si="599"/>
        <v>Monitor</v>
      </c>
    </row>
    <row r="3813" spans="1:25" x14ac:dyDescent="0.35">
      <c r="A3813" t="s">
        <v>71</v>
      </c>
      <c r="B3813" t="s">
        <v>72</v>
      </c>
      <c r="C3813" t="s">
        <v>73</v>
      </c>
      <c r="D3813" t="s">
        <v>876</v>
      </c>
      <c r="E3813">
        <v>80895444</v>
      </c>
      <c r="F3813" t="s">
        <v>2513</v>
      </c>
      <c r="G3813" s="3">
        <v>47238</v>
      </c>
      <c r="H3813">
        <v>36</v>
      </c>
      <c r="I3813">
        <v>97</v>
      </c>
      <c r="J3813">
        <v>54</v>
      </c>
      <c r="K3813" s="4">
        <v>58017.599999999999</v>
      </c>
      <c r="L3813" s="4">
        <v>4732.8571428571431</v>
      </c>
      <c r="M3813" s="4">
        <v>1.1409598551162088E-2</v>
      </c>
      <c r="N3813" t="s">
        <v>25</v>
      </c>
      <c r="O3813" t="str">
        <f t="shared" si="590"/>
        <v>Low</v>
      </c>
      <c r="P3813" t="str">
        <f t="shared" si="591"/>
        <v>Low</v>
      </c>
      <c r="Q3813" t="str">
        <f t="shared" si="592"/>
        <v>Low</v>
      </c>
      <c r="R3813" t="s">
        <v>3317</v>
      </c>
      <c r="S3813" s="4">
        <f t="shared" ca="1" si="593"/>
        <v>1041</v>
      </c>
      <c r="T3813">
        <f t="shared" si="594"/>
        <v>1</v>
      </c>
      <c r="U3813">
        <f t="shared" si="595"/>
        <v>1</v>
      </c>
      <c r="V3813">
        <f t="shared" si="596"/>
        <v>1</v>
      </c>
      <c r="W3813">
        <f t="shared" si="597"/>
        <v>1</v>
      </c>
      <c r="X3813">
        <f t="shared" si="598"/>
        <v>0.99999999999999989</v>
      </c>
      <c r="Y3813" t="str">
        <f t="shared" si="599"/>
        <v>Healthy</v>
      </c>
    </row>
    <row r="3814" spans="1:25" x14ac:dyDescent="0.35">
      <c r="A3814" t="s">
        <v>71</v>
      </c>
      <c r="B3814" t="s">
        <v>72</v>
      </c>
      <c r="C3814" t="s">
        <v>73</v>
      </c>
      <c r="D3814" t="s">
        <v>876</v>
      </c>
      <c r="E3814">
        <v>80895444</v>
      </c>
      <c r="F3814" t="s">
        <v>2513</v>
      </c>
      <c r="G3814" s="3">
        <v>47249</v>
      </c>
      <c r="H3814">
        <v>36</v>
      </c>
      <c r="I3814">
        <v>98</v>
      </c>
      <c r="J3814">
        <v>128</v>
      </c>
      <c r="K3814" s="4">
        <v>137523.20000000001</v>
      </c>
      <c r="L3814" s="4">
        <v>4732.8571428571431</v>
      </c>
      <c r="M3814" s="4">
        <v>2.7044974343495318E-2</v>
      </c>
      <c r="N3814" t="s">
        <v>25</v>
      </c>
      <c r="O3814" t="str">
        <f t="shared" si="590"/>
        <v>Low</v>
      </c>
      <c r="P3814" t="str">
        <f t="shared" si="591"/>
        <v>Low</v>
      </c>
      <c r="Q3814" t="str">
        <f t="shared" si="592"/>
        <v>Low</v>
      </c>
      <c r="R3814" t="s">
        <v>3309</v>
      </c>
      <c r="S3814" s="4">
        <f t="shared" ca="1" si="593"/>
        <v>1052</v>
      </c>
      <c r="T3814">
        <f t="shared" si="594"/>
        <v>1</v>
      </c>
      <c r="U3814">
        <f t="shared" si="595"/>
        <v>1</v>
      </c>
      <c r="V3814">
        <f t="shared" si="596"/>
        <v>1</v>
      </c>
      <c r="W3814">
        <f t="shared" si="597"/>
        <v>3</v>
      </c>
      <c r="X3814">
        <f t="shared" si="598"/>
        <v>1.2</v>
      </c>
      <c r="Y3814" t="str">
        <f t="shared" si="599"/>
        <v>Healthy</v>
      </c>
    </row>
    <row r="3815" spans="1:25" x14ac:dyDescent="0.35">
      <c r="A3815" t="s">
        <v>46</v>
      </c>
      <c r="B3815" t="s">
        <v>47</v>
      </c>
      <c r="C3815" t="s">
        <v>48</v>
      </c>
      <c r="D3815" t="s">
        <v>2515</v>
      </c>
      <c r="E3815">
        <v>82321693</v>
      </c>
      <c r="F3815" t="s">
        <v>2516</v>
      </c>
      <c r="G3815" s="3">
        <v>44863</v>
      </c>
      <c r="H3815">
        <v>36</v>
      </c>
      <c r="I3815">
        <v>0</v>
      </c>
      <c r="J3815">
        <v>1</v>
      </c>
      <c r="K3815" s="4">
        <v>170.57</v>
      </c>
      <c r="L3815" s="4">
        <f>0</f>
        <v>0</v>
      </c>
      <c r="M3815" s="4">
        <f>999</f>
        <v>999</v>
      </c>
      <c r="N3815" t="s">
        <v>19</v>
      </c>
      <c r="O3815" t="str">
        <f t="shared" si="590"/>
        <v>High</v>
      </c>
      <c r="P3815" t="str">
        <f t="shared" si="591"/>
        <v>High</v>
      </c>
      <c r="Q3815" t="str">
        <f t="shared" si="592"/>
        <v>High</v>
      </c>
      <c r="R3815" t="s">
        <v>3317</v>
      </c>
      <c r="S3815" s="4">
        <f t="shared" ca="1" si="593"/>
        <v>-1334</v>
      </c>
      <c r="T3815">
        <f t="shared" si="594"/>
        <v>3</v>
      </c>
      <c r="U3815">
        <f t="shared" si="595"/>
        <v>3</v>
      </c>
      <c r="V3815">
        <f t="shared" si="596"/>
        <v>3</v>
      </c>
      <c r="W3815">
        <f t="shared" si="597"/>
        <v>1</v>
      </c>
      <c r="X3815">
        <f t="shared" si="598"/>
        <v>2.8000000000000003</v>
      </c>
      <c r="Y3815" t="str">
        <f t="shared" si="599"/>
        <v>Move Immediately</v>
      </c>
    </row>
    <row r="3816" spans="1:25" x14ac:dyDescent="0.35">
      <c r="A3816" t="s">
        <v>71</v>
      </c>
      <c r="B3816" t="s">
        <v>72</v>
      </c>
      <c r="C3816" t="s">
        <v>73</v>
      </c>
      <c r="D3816" t="s">
        <v>876</v>
      </c>
      <c r="E3816">
        <v>80895444</v>
      </c>
      <c r="F3816" t="s">
        <v>2513</v>
      </c>
      <c r="G3816" s="3">
        <v>47230</v>
      </c>
      <c r="H3816">
        <v>36</v>
      </c>
      <c r="I3816">
        <v>96</v>
      </c>
      <c r="J3816">
        <v>8</v>
      </c>
      <c r="K3816" s="4">
        <v>8595.2000000000007</v>
      </c>
      <c r="L3816" s="4">
        <v>4732.8571428571431</v>
      </c>
      <c r="M3816" s="4">
        <v>1.6903108964684574E-3</v>
      </c>
      <c r="N3816" t="s">
        <v>25</v>
      </c>
      <c r="O3816" t="str">
        <f t="shared" si="590"/>
        <v>Low</v>
      </c>
      <c r="P3816" t="str">
        <f t="shared" si="591"/>
        <v>Low</v>
      </c>
      <c r="Q3816" t="str">
        <f t="shared" si="592"/>
        <v>Low</v>
      </c>
      <c r="R3816" t="s">
        <v>3317</v>
      </c>
      <c r="S3816" s="4">
        <f t="shared" ca="1" si="593"/>
        <v>1033</v>
      </c>
      <c r="T3816">
        <f t="shared" si="594"/>
        <v>1</v>
      </c>
      <c r="U3816">
        <f t="shared" si="595"/>
        <v>1</v>
      </c>
      <c r="V3816">
        <f t="shared" si="596"/>
        <v>1</v>
      </c>
      <c r="W3816">
        <f t="shared" si="597"/>
        <v>1</v>
      </c>
      <c r="X3816">
        <f t="shared" si="598"/>
        <v>0.99999999999999989</v>
      </c>
      <c r="Y3816" t="str">
        <f t="shared" si="599"/>
        <v>Healthy</v>
      </c>
    </row>
    <row r="3817" spans="1:25" x14ac:dyDescent="0.35">
      <c r="A3817" t="s">
        <v>71</v>
      </c>
      <c r="B3817" t="s">
        <v>72</v>
      </c>
      <c r="C3817" t="s">
        <v>73</v>
      </c>
      <c r="D3817" t="s">
        <v>876</v>
      </c>
      <c r="E3817">
        <v>80895444</v>
      </c>
      <c r="F3817" t="s">
        <v>2513</v>
      </c>
      <c r="G3817" s="3">
        <v>47202</v>
      </c>
      <c r="H3817">
        <v>36</v>
      </c>
      <c r="I3817">
        <v>94</v>
      </c>
      <c r="J3817">
        <v>12</v>
      </c>
      <c r="K3817" s="4">
        <v>12892.8</v>
      </c>
      <c r="L3817" s="4">
        <v>4732.8571428571431</v>
      </c>
      <c r="M3817" s="4">
        <v>2.5354663447026862E-3</v>
      </c>
      <c r="N3817" t="s">
        <v>25</v>
      </c>
      <c r="O3817" t="str">
        <f t="shared" si="590"/>
        <v>Low</v>
      </c>
      <c r="P3817" t="str">
        <f t="shared" si="591"/>
        <v>Low</v>
      </c>
      <c r="Q3817" t="str">
        <f t="shared" si="592"/>
        <v>Low</v>
      </c>
      <c r="R3817" t="s">
        <v>3317</v>
      </c>
      <c r="S3817" s="4">
        <f t="shared" ca="1" si="593"/>
        <v>1005</v>
      </c>
      <c r="T3817">
        <f t="shared" si="594"/>
        <v>1</v>
      </c>
      <c r="U3817">
        <f t="shared" si="595"/>
        <v>1</v>
      </c>
      <c r="V3817">
        <f t="shared" si="596"/>
        <v>1</v>
      </c>
      <c r="W3817">
        <f t="shared" si="597"/>
        <v>1</v>
      </c>
      <c r="X3817">
        <f t="shared" si="598"/>
        <v>0.99999999999999989</v>
      </c>
      <c r="Y3817" t="str">
        <f t="shared" si="599"/>
        <v>Healthy</v>
      </c>
    </row>
    <row r="3818" spans="1:25" x14ac:dyDescent="0.35">
      <c r="A3818" t="s">
        <v>71</v>
      </c>
      <c r="B3818" t="s">
        <v>72</v>
      </c>
      <c r="C3818" t="s">
        <v>73</v>
      </c>
      <c r="D3818" t="s">
        <v>876</v>
      </c>
      <c r="E3818">
        <v>80895444</v>
      </c>
      <c r="F3818" t="s">
        <v>2513</v>
      </c>
      <c r="G3818" s="3">
        <v>47195</v>
      </c>
      <c r="H3818">
        <v>36</v>
      </c>
      <c r="I3818">
        <v>93</v>
      </c>
      <c r="J3818">
        <v>21</v>
      </c>
      <c r="K3818" s="4">
        <v>22562.400000000001</v>
      </c>
      <c r="L3818" s="4">
        <v>4732.8571428571431</v>
      </c>
      <c r="M3818" s="4">
        <v>4.4370661032297008E-3</v>
      </c>
      <c r="N3818" t="s">
        <v>25</v>
      </c>
      <c r="O3818" t="str">
        <f t="shared" si="590"/>
        <v>Low</v>
      </c>
      <c r="P3818" t="str">
        <f t="shared" si="591"/>
        <v>Low</v>
      </c>
      <c r="Q3818" t="str">
        <f t="shared" si="592"/>
        <v>Low</v>
      </c>
      <c r="R3818" t="s">
        <v>3317</v>
      </c>
      <c r="S3818" s="4">
        <f t="shared" ca="1" si="593"/>
        <v>998</v>
      </c>
      <c r="T3818">
        <f t="shared" si="594"/>
        <v>1</v>
      </c>
      <c r="U3818">
        <f t="shared" si="595"/>
        <v>1</v>
      </c>
      <c r="V3818">
        <f t="shared" si="596"/>
        <v>1</v>
      </c>
      <c r="W3818">
        <f t="shared" si="597"/>
        <v>1</v>
      </c>
      <c r="X3818">
        <f t="shared" si="598"/>
        <v>0.99999999999999989</v>
      </c>
      <c r="Y3818" t="str">
        <f t="shared" si="599"/>
        <v>Healthy</v>
      </c>
    </row>
    <row r="3819" spans="1:25" x14ac:dyDescent="0.35">
      <c r="A3819" t="s">
        <v>189</v>
      </c>
      <c r="B3819" t="s">
        <v>190</v>
      </c>
      <c r="C3819" t="s">
        <v>190</v>
      </c>
      <c r="D3819" t="s">
        <v>2468</v>
      </c>
      <c r="E3819">
        <v>80888309</v>
      </c>
      <c r="F3819" t="s">
        <v>2517</v>
      </c>
      <c r="G3819" s="3">
        <v>46568</v>
      </c>
      <c r="H3819">
        <v>18</v>
      </c>
      <c r="I3819">
        <v>70</v>
      </c>
      <c r="J3819">
        <v>88</v>
      </c>
      <c r="K3819" s="4">
        <v>22416.240000000002</v>
      </c>
      <c r="L3819" s="4">
        <v>4190.5714285714284</v>
      </c>
      <c r="M3819" s="4">
        <v>2.0999522738119589E-2</v>
      </c>
      <c r="N3819" t="s">
        <v>25</v>
      </c>
      <c r="O3819" t="str">
        <f t="shared" si="590"/>
        <v>Low</v>
      </c>
      <c r="P3819" t="str">
        <f t="shared" si="591"/>
        <v>Low</v>
      </c>
      <c r="Q3819" t="str">
        <f t="shared" si="592"/>
        <v>Low</v>
      </c>
      <c r="R3819" t="s">
        <v>3317</v>
      </c>
      <c r="S3819" s="4">
        <f t="shared" ca="1" si="593"/>
        <v>371</v>
      </c>
      <c r="T3819">
        <f t="shared" si="594"/>
        <v>1</v>
      </c>
      <c r="U3819">
        <f t="shared" si="595"/>
        <v>1</v>
      </c>
      <c r="V3819">
        <f t="shared" si="596"/>
        <v>1</v>
      </c>
      <c r="W3819">
        <f t="shared" si="597"/>
        <v>1</v>
      </c>
      <c r="X3819">
        <f t="shared" si="598"/>
        <v>0.99999999999999989</v>
      </c>
      <c r="Y3819" t="str">
        <f t="shared" si="599"/>
        <v>Healthy</v>
      </c>
    </row>
    <row r="3820" spans="1:25" x14ac:dyDescent="0.35">
      <c r="A3820" t="s">
        <v>189</v>
      </c>
      <c r="B3820" t="s">
        <v>190</v>
      </c>
      <c r="C3820" t="s">
        <v>190</v>
      </c>
      <c r="D3820" t="s">
        <v>2468</v>
      </c>
      <c r="E3820">
        <v>80888309</v>
      </c>
      <c r="F3820" t="s">
        <v>2517</v>
      </c>
      <c r="G3820" s="3">
        <v>46546</v>
      </c>
      <c r="H3820">
        <v>18</v>
      </c>
      <c r="I3820">
        <v>66</v>
      </c>
      <c r="J3820">
        <v>40</v>
      </c>
      <c r="K3820" s="4">
        <v>10189.200000000001</v>
      </c>
      <c r="L3820" s="4">
        <v>4190.5714285714284</v>
      </c>
      <c r="M3820" s="4">
        <v>9.5452376082361765E-3</v>
      </c>
      <c r="N3820" t="s">
        <v>25</v>
      </c>
      <c r="O3820" t="str">
        <f t="shared" si="590"/>
        <v>Low</v>
      </c>
      <c r="P3820" t="str">
        <f t="shared" si="591"/>
        <v>Low</v>
      </c>
      <c r="Q3820" t="str">
        <f t="shared" si="592"/>
        <v>Low</v>
      </c>
      <c r="R3820" t="s">
        <v>3317</v>
      </c>
      <c r="S3820" s="4">
        <f t="shared" ca="1" si="593"/>
        <v>349</v>
      </c>
      <c r="T3820">
        <f t="shared" si="594"/>
        <v>1</v>
      </c>
      <c r="U3820">
        <f t="shared" si="595"/>
        <v>1</v>
      </c>
      <c r="V3820">
        <f t="shared" si="596"/>
        <v>1</v>
      </c>
      <c r="W3820">
        <f t="shared" si="597"/>
        <v>1</v>
      </c>
      <c r="X3820">
        <f t="shared" si="598"/>
        <v>0.99999999999999989</v>
      </c>
      <c r="Y3820" t="str">
        <f t="shared" si="599"/>
        <v>Healthy</v>
      </c>
    </row>
    <row r="3821" spans="1:25" x14ac:dyDescent="0.35">
      <c r="A3821" t="s">
        <v>189</v>
      </c>
      <c r="B3821" t="s">
        <v>190</v>
      </c>
      <c r="C3821" t="s">
        <v>190</v>
      </c>
      <c r="D3821" t="s">
        <v>2468</v>
      </c>
      <c r="E3821">
        <v>80888309</v>
      </c>
      <c r="F3821" t="s">
        <v>2517</v>
      </c>
      <c r="G3821" s="3">
        <v>46546</v>
      </c>
      <c r="H3821">
        <v>18</v>
      </c>
      <c r="I3821">
        <v>66</v>
      </c>
      <c r="J3821">
        <v>34</v>
      </c>
      <c r="K3821" s="4">
        <v>8660.82</v>
      </c>
      <c r="L3821" s="4">
        <v>4190.5714285714284</v>
      </c>
      <c r="M3821" s="4">
        <v>8.113451967000751E-3</v>
      </c>
      <c r="N3821" t="s">
        <v>25</v>
      </c>
      <c r="O3821" t="str">
        <f t="shared" si="590"/>
        <v>Low</v>
      </c>
      <c r="P3821" t="str">
        <f t="shared" si="591"/>
        <v>Low</v>
      </c>
      <c r="Q3821" t="str">
        <f t="shared" si="592"/>
        <v>Low</v>
      </c>
      <c r="R3821" t="s">
        <v>3317</v>
      </c>
      <c r="S3821" s="4">
        <f t="shared" ca="1" si="593"/>
        <v>349</v>
      </c>
      <c r="T3821">
        <f t="shared" si="594"/>
        <v>1</v>
      </c>
      <c r="U3821">
        <f t="shared" si="595"/>
        <v>1</v>
      </c>
      <c r="V3821">
        <f t="shared" si="596"/>
        <v>1</v>
      </c>
      <c r="W3821">
        <f t="shared" si="597"/>
        <v>1</v>
      </c>
      <c r="X3821">
        <f t="shared" si="598"/>
        <v>0.99999999999999989</v>
      </c>
      <c r="Y3821" t="str">
        <f t="shared" si="599"/>
        <v>Healthy</v>
      </c>
    </row>
    <row r="3822" spans="1:25" x14ac:dyDescent="0.35">
      <c r="A3822" t="s">
        <v>189</v>
      </c>
      <c r="B3822" t="s">
        <v>190</v>
      </c>
      <c r="C3822" t="s">
        <v>190</v>
      </c>
      <c r="D3822" t="s">
        <v>2468</v>
      </c>
      <c r="E3822">
        <v>80888309</v>
      </c>
      <c r="F3822" t="s">
        <v>2517</v>
      </c>
      <c r="G3822" s="3">
        <v>46567</v>
      </c>
      <c r="H3822">
        <v>18</v>
      </c>
      <c r="I3822">
        <v>69</v>
      </c>
      <c r="J3822">
        <v>67</v>
      </c>
      <c r="K3822" s="4">
        <v>17066.91</v>
      </c>
      <c r="L3822" s="4">
        <v>4190.5714285714284</v>
      </c>
      <c r="M3822" s="4">
        <v>1.5988272993795596E-2</v>
      </c>
      <c r="N3822" t="s">
        <v>25</v>
      </c>
      <c r="O3822" t="str">
        <f t="shared" si="590"/>
        <v>Low</v>
      </c>
      <c r="P3822" t="str">
        <f t="shared" si="591"/>
        <v>Low</v>
      </c>
      <c r="Q3822" t="str">
        <f t="shared" si="592"/>
        <v>Low</v>
      </c>
      <c r="R3822" t="s">
        <v>3317</v>
      </c>
      <c r="S3822" s="4">
        <f t="shared" ca="1" si="593"/>
        <v>370</v>
      </c>
      <c r="T3822">
        <f t="shared" si="594"/>
        <v>1</v>
      </c>
      <c r="U3822">
        <f t="shared" si="595"/>
        <v>1</v>
      </c>
      <c r="V3822">
        <f t="shared" si="596"/>
        <v>1</v>
      </c>
      <c r="W3822">
        <f t="shared" si="597"/>
        <v>1</v>
      </c>
      <c r="X3822">
        <f t="shared" si="598"/>
        <v>0.99999999999999989</v>
      </c>
      <c r="Y3822" t="str">
        <f t="shared" si="599"/>
        <v>Healthy</v>
      </c>
    </row>
    <row r="3823" spans="1:25" x14ac:dyDescent="0.35">
      <c r="A3823" t="s">
        <v>71</v>
      </c>
      <c r="B3823" t="s">
        <v>72</v>
      </c>
      <c r="C3823" t="s">
        <v>73</v>
      </c>
      <c r="D3823" t="s">
        <v>298</v>
      </c>
      <c r="E3823">
        <v>80895445</v>
      </c>
      <c r="F3823" t="s">
        <v>2518</v>
      </c>
      <c r="G3823" s="3">
        <v>47241</v>
      </c>
      <c r="H3823">
        <v>36</v>
      </c>
      <c r="I3823">
        <v>97</v>
      </c>
      <c r="J3823">
        <v>200</v>
      </c>
      <c r="K3823" s="4">
        <v>214880</v>
      </c>
      <c r="L3823" s="4">
        <v>5837.2857142857147</v>
      </c>
      <c r="M3823" s="4">
        <v>3.4262499694084819E-2</v>
      </c>
      <c r="N3823" t="s">
        <v>25</v>
      </c>
      <c r="O3823" t="str">
        <f t="shared" si="590"/>
        <v>Low</v>
      </c>
      <c r="P3823" t="str">
        <f t="shared" si="591"/>
        <v>Low</v>
      </c>
      <c r="Q3823" t="str">
        <f t="shared" si="592"/>
        <v>Low</v>
      </c>
      <c r="R3823" t="s">
        <v>3309</v>
      </c>
      <c r="S3823" s="4">
        <f t="shared" ca="1" si="593"/>
        <v>1044</v>
      </c>
      <c r="T3823">
        <f t="shared" si="594"/>
        <v>1</v>
      </c>
      <c r="U3823">
        <f t="shared" si="595"/>
        <v>1</v>
      </c>
      <c r="V3823">
        <f t="shared" si="596"/>
        <v>1</v>
      </c>
      <c r="W3823">
        <f t="shared" si="597"/>
        <v>3</v>
      </c>
      <c r="X3823">
        <f t="shared" si="598"/>
        <v>1.2</v>
      </c>
      <c r="Y3823" t="str">
        <f t="shared" si="599"/>
        <v>Healthy</v>
      </c>
    </row>
    <row r="3824" spans="1:25" x14ac:dyDescent="0.35">
      <c r="A3824" t="s">
        <v>71</v>
      </c>
      <c r="B3824" t="s">
        <v>72</v>
      </c>
      <c r="C3824" t="s">
        <v>73</v>
      </c>
      <c r="D3824" t="s">
        <v>298</v>
      </c>
      <c r="E3824">
        <v>80895445</v>
      </c>
      <c r="F3824" t="s">
        <v>2518</v>
      </c>
      <c r="G3824" s="3">
        <v>47257</v>
      </c>
      <c r="H3824">
        <v>36</v>
      </c>
      <c r="I3824">
        <v>99</v>
      </c>
      <c r="J3824">
        <v>505</v>
      </c>
      <c r="K3824" s="4">
        <v>542572</v>
      </c>
      <c r="L3824" s="4">
        <v>5837.2857142857147</v>
      </c>
      <c r="M3824" s="4">
        <v>8.6512811727564171E-2</v>
      </c>
      <c r="N3824" t="s">
        <v>25</v>
      </c>
      <c r="O3824" t="str">
        <f t="shared" si="590"/>
        <v>Low</v>
      </c>
      <c r="P3824" t="str">
        <f t="shared" si="591"/>
        <v>Low</v>
      </c>
      <c r="Q3824" t="str">
        <f t="shared" si="592"/>
        <v>Low</v>
      </c>
      <c r="R3824" t="s">
        <v>3309</v>
      </c>
      <c r="S3824" s="4">
        <f t="shared" ca="1" si="593"/>
        <v>1060</v>
      </c>
      <c r="T3824">
        <f t="shared" si="594"/>
        <v>1</v>
      </c>
      <c r="U3824">
        <f t="shared" si="595"/>
        <v>1</v>
      </c>
      <c r="V3824">
        <f t="shared" si="596"/>
        <v>1</v>
      </c>
      <c r="W3824">
        <f t="shared" si="597"/>
        <v>3</v>
      </c>
      <c r="X3824">
        <f t="shared" si="598"/>
        <v>1.2</v>
      </c>
      <c r="Y3824" t="str">
        <f t="shared" si="599"/>
        <v>Healthy</v>
      </c>
    </row>
    <row r="3825" spans="1:25" x14ac:dyDescent="0.35">
      <c r="A3825" t="s">
        <v>71</v>
      </c>
      <c r="B3825" t="s">
        <v>72</v>
      </c>
      <c r="C3825" t="s">
        <v>73</v>
      </c>
      <c r="D3825" t="s">
        <v>298</v>
      </c>
      <c r="E3825">
        <v>80895445</v>
      </c>
      <c r="F3825" t="s">
        <v>2518</v>
      </c>
      <c r="G3825" s="3">
        <v>47235</v>
      </c>
      <c r="H3825">
        <v>36</v>
      </c>
      <c r="I3825">
        <v>97</v>
      </c>
      <c r="J3825">
        <v>148</v>
      </c>
      <c r="K3825" s="4">
        <v>159011.20000000001</v>
      </c>
      <c r="L3825" s="4">
        <v>5837.2857142857147</v>
      </c>
      <c r="M3825" s="4">
        <v>2.5354249773622769E-2</v>
      </c>
      <c r="N3825" t="s">
        <v>25</v>
      </c>
      <c r="O3825" t="str">
        <f t="shared" si="590"/>
        <v>Low</v>
      </c>
      <c r="P3825" t="str">
        <f t="shared" si="591"/>
        <v>Low</v>
      </c>
      <c r="Q3825" t="str">
        <f t="shared" si="592"/>
        <v>Low</v>
      </c>
      <c r="R3825" t="s">
        <v>3309</v>
      </c>
      <c r="S3825" s="4">
        <f t="shared" ca="1" si="593"/>
        <v>1038</v>
      </c>
      <c r="T3825">
        <f t="shared" si="594"/>
        <v>1</v>
      </c>
      <c r="U3825">
        <f t="shared" si="595"/>
        <v>1</v>
      </c>
      <c r="V3825">
        <f t="shared" si="596"/>
        <v>1</v>
      </c>
      <c r="W3825">
        <f t="shared" si="597"/>
        <v>3</v>
      </c>
      <c r="X3825">
        <f t="shared" si="598"/>
        <v>1.2</v>
      </c>
      <c r="Y3825" t="str">
        <f t="shared" si="599"/>
        <v>Healthy</v>
      </c>
    </row>
    <row r="3826" spans="1:25" x14ac:dyDescent="0.35">
      <c r="A3826" t="s">
        <v>71</v>
      </c>
      <c r="B3826" t="s">
        <v>72</v>
      </c>
      <c r="C3826" t="s">
        <v>73</v>
      </c>
      <c r="D3826" t="s">
        <v>298</v>
      </c>
      <c r="E3826">
        <v>80895445</v>
      </c>
      <c r="F3826" t="s">
        <v>2518</v>
      </c>
      <c r="G3826" s="3">
        <v>47257</v>
      </c>
      <c r="H3826">
        <v>36</v>
      </c>
      <c r="I3826">
        <v>99</v>
      </c>
      <c r="J3826">
        <v>632</v>
      </c>
      <c r="K3826" s="4">
        <v>679020.8</v>
      </c>
      <c r="L3826" s="4">
        <v>5837.2857142857147</v>
      </c>
      <c r="M3826" s="4">
        <v>0.10826949903330804</v>
      </c>
      <c r="N3826" t="s">
        <v>25</v>
      </c>
      <c r="O3826" t="str">
        <f t="shared" si="590"/>
        <v>Low</v>
      </c>
      <c r="P3826" t="str">
        <f t="shared" si="591"/>
        <v>Low</v>
      </c>
      <c r="Q3826" t="str">
        <f t="shared" si="592"/>
        <v>Low</v>
      </c>
      <c r="R3826" t="s">
        <v>3309</v>
      </c>
      <c r="S3826" s="4">
        <f t="shared" ca="1" si="593"/>
        <v>1060</v>
      </c>
      <c r="T3826">
        <f t="shared" si="594"/>
        <v>1</v>
      </c>
      <c r="U3826">
        <f t="shared" si="595"/>
        <v>1</v>
      </c>
      <c r="V3826">
        <f t="shared" si="596"/>
        <v>1</v>
      </c>
      <c r="W3826">
        <f t="shared" si="597"/>
        <v>3</v>
      </c>
      <c r="X3826">
        <f t="shared" si="598"/>
        <v>1.2</v>
      </c>
      <c r="Y3826" t="str">
        <f t="shared" si="599"/>
        <v>Healthy</v>
      </c>
    </row>
    <row r="3827" spans="1:25" x14ac:dyDescent="0.35">
      <c r="A3827" t="s">
        <v>71</v>
      </c>
      <c r="B3827" t="s">
        <v>72</v>
      </c>
      <c r="C3827" t="s">
        <v>73</v>
      </c>
      <c r="D3827" t="s">
        <v>298</v>
      </c>
      <c r="E3827">
        <v>80895445</v>
      </c>
      <c r="F3827" t="s">
        <v>2518</v>
      </c>
      <c r="G3827" s="3">
        <v>47256</v>
      </c>
      <c r="H3827">
        <v>36</v>
      </c>
      <c r="I3827">
        <v>99</v>
      </c>
      <c r="J3827">
        <v>312</v>
      </c>
      <c r="K3827" s="4">
        <v>335212.79999999999</v>
      </c>
      <c r="L3827" s="4">
        <v>5837.2857142857147</v>
      </c>
      <c r="M3827" s="4">
        <v>5.3449499522772323E-2</v>
      </c>
      <c r="N3827" t="s">
        <v>25</v>
      </c>
      <c r="O3827" t="str">
        <f t="shared" si="590"/>
        <v>Low</v>
      </c>
      <c r="P3827" t="str">
        <f t="shared" si="591"/>
        <v>Low</v>
      </c>
      <c r="Q3827" t="str">
        <f t="shared" si="592"/>
        <v>Low</v>
      </c>
      <c r="R3827" t="s">
        <v>3309</v>
      </c>
      <c r="S3827" s="4">
        <f t="shared" ca="1" si="593"/>
        <v>1059</v>
      </c>
      <c r="T3827">
        <f t="shared" si="594"/>
        <v>1</v>
      </c>
      <c r="U3827">
        <f t="shared" si="595"/>
        <v>1</v>
      </c>
      <c r="V3827">
        <f t="shared" si="596"/>
        <v>1</v>
      </c>
      <c r="W3827">
        <f t="shared" si="597"/>
        <v>3</v>
      </c>
      <c r="X3827">
        <f t="shared" si="598"/>
        <v>1.2</v>
      </c>
      <c r="Y3827" t="str">
        <f t="shared" si="599"/>
        <v>Healthy</v>
      </c>
    </row>
    <row r="3828" spans="1:25" x14ac:dyDescent="0.35">
      <c r="A3828" t="s">
        <v>71</v>
      </c>
      <c r="B3828" t="s">
        <v>72</v>
      </c>
      <c r="C3828" t="s">
        <v>73</v>
      </c>
      <c r="D3828" t="s">
        <v>298</v>
      </c>
      <c r="E3828">
        <v>80895445</v>
      </c>
      <c r="F3828" t="s">
        <v>2518</v>
      </c>
      <c r="G3828" s="3">
        <v>47232</v>
      </c>
      <c r="H3828">
        <v>36</v>
      </c>
      <c r="I3828">
        <v>96</v>
      </c>
      <c r="J3828">
        <v>4</v>
      </c>
      <c r="K3828" s="4">
        <v>4297.6000000000004</v>
      </c>
      <c r="L3828" s="4">
        <v>5837.2857142857147</v>
      </c>
      <c r="M3828" s="4">
        <v>6.8524999388169642E-4</v>
      </c>
      <c r="N3828" t="s">
        <v>25</v>
      </c>
      <c r="O3828" t="str">
        <f t="shared" si="590"/>
        <v>Low</v>
      </c>
      <c r="P3828" t="str">
        <f t="shared" si="591"/>
        <v>Low</v>
      </c>
      <c r="Q3828" t="str">
        <f t="shared" si="592"/>
        <v>Low</v>
      </c>
      <c r="R3828" t="s">
        <v>3317</v>
      </c>
      <c r="S3828" s="4">
        <f t="shared" ca="1" si="593"/>
        <v>1035</v>
      </c>
      <c r="T3828">
        <f t="shared" si="594"/>
        <v>1</v>
      </c>
      <c r="U3828">
        <f t="shared" si="595"/>
        <v>1</v>
      </c>
      <c r="V3828">
        <f t="shared" si="596"/>
        <v>1</v>
      </c>
      <c r="W3828">
        <f t="shared" si="597"/>
        <v>1</v>
      </c>
      <c r="X3828">
        <f t="shared" si="598"/>
        <v>0.99999999999999989</v>
      </c>
      <c r="Y3828" t="str">
        <f t="shared" si="599"/>
        <v>Healthy</v>
      </c>
    </row>
    <row r="3829" spans="1:25" x14ac:dyDescent="0.35">
      <c r="A3829" t="s">
        <v>71</v>
      </c>
      <c r="B3829" t="s">
        <v>72</v>
      </c>
      <c r="C3829" t="s">
        <v>73</v>
      </c>
      <c r="D3829" t="s">
        <v>298</v>
      </c>
      <c r="E3829">
        <v>80895445</v>
      </c>
      <c r="F3829" t="s">
        <v>2518</v>
      </c>
      <c r="G3829" s="3">
        <v>47223</v>
      </c>
      <c r="H3829">
        <v>36</v>
      </c>
      <c r="I3829">
        <v>95</v>
      </c>
      <c r="J3829">
        <v>34</v>
      </c>
      <c r="K3829" s="4">
        <v>36529.599999999999</v>
      </c>
      <c r="L3829" s="4">
        <v>5837.2857142857147</v>
      </c>
      <c r="M3829" s="4">
        <v>5.8246249479944195E-3</v>
      </c>
      <c r="N3829" t="s">
        <v>25</v>
      </c>
      <c r="O3829" t="str">
        <f t="shared" si="590"/>
        <v>Low</v>
      </c>
      <c r="P3829" t="str">
        <f t="shared" si="591"/>
        <v>Low</v>
      </c>
      <c r="Q3829" t="str">
        <f t="shared" si="592"/>
        <v>Low</v>
      </c>
      <c r="R3829" t="s">
        <v>3317</v>
      </c>
      <c r="S3829" s="4">
        <f t="shared" ca="1" si="593"/>
        <v>1026</v>
      </c>
      <c r="T3829">
        <f t="shared" si="594"/>
        <v>1</v>
      </c>
      <c r="U3829">
        <f t="shared" si="595"/>
        <v>1</v>
      </c>
      <c r="V3829">
        <f t="shared" si="596"/>
        <v>1</v>
      </c>
      <c r="W3829">
        <f t="shared" si="597"/>
        <v>1</v>
      </c>
      <c r="X3829">
        <f t="shared" si="598"/>
        <v>0.99999999999999989</v>
      </c>
      <c r="Y3829" t="str">
        <f t="shared" si="599"/>
        <v>Healthy</v>
      </c>
    </row>
    <row r="3830" spans="1:25" x14ac:dyDescent="0.35">
      <c r="A3830" t="s">
        <v>71</v>
      </c>
      <c r="B3830" t="s">
        <v>72</v>
      </c>
      <c r="C3830" t="s">
        <v>73</v>
      </c>
      <c r="D3830" t="s">
        <v>298</v>
      </c>
      <c r="E3830">
        <v>80895445</v>
      </c>
      <c r="F3830" t="s">
        <v>2518</v>
      </c>
      <c r="G3830" s="3">
        <v>47236</v>
      </c>
      <c r="H3830">
        <v>36</v>
      </c>
      <c r="I3830">
        <v>97</v>
      </c>
      <c r="J3830">
        <v>216</v>
      </c>
      <c r="K3830" s="4">
        <v>232070.39999999999</v>
      </c>
      <c r="L3830" s="4">
        <v>5837.2857142857147</v>
      </c>
      <c r="M3830" s="4">
        <v>3.7003499669611604E-2</v>
      </c>
      <c r="N3830" t="s">
        <v>25</v>
      </c>
      <c r="O3830" t="str">
        <f t="shared" si="590"/>
        <v>Low</v>
      </c>
      <c r="P3830" t="str">
        <f t="shared" si="591"/>
        <v>Low</v>
      </c>
      <c r="Q3830" t="str">
        <f t="shared" si="592"/>
        <v>Low</v>
      </c>
      <c r="R3830" t="s">
        <v>3309</v>
      </c>
      <c r="S3830" s="4">
        <f t="shared" ca="1" si="593"/>
        <v>1039</v>
      </c>
      <c r="T3830">
        <f t="shared" si="594"/>
        <v>1</v>
      </c>
      <c r="U3830">
        <f t="shared" si="595"/>
        <v>1</v>
      </c>
      <c r="V3830">
        <f t="shared" si="596"/>
        <v>1</v>
      </c>
      <c r="W3830">
        <f t="shared" si="597"/>
        <v>3</v>
      </c>
      <c r="X3830">
        <f t="shared" si="598"/>
        <v>1.2</v>
      </c>
      <c r="Y3830" t="str">
        <f t="shared" si="599"/>
        <v>Healthy</v>
      </c>
    </row>
    <row r="3831" spans="1:25" x14ac:dyDescent="0.35">
      <c r="A3831" t="s">
        <v>71</v>
      </c>
      <c r="B3831" t="s">
        <v>72</v>
      </c>
      <c r="C3831" t="s">
        <v>73</v>
      </c>
      <c r="D3831" t="s">
        <v>298</v>
      </c>
      <c r="E3831">
        <v>80895445</v>
      </c>
      <c r="F3831" t="s">
        <v>2518</v>
      </c>
      <c r="G3831" s="3">
        <v>47225</v>
      </c>
      <c r="H3831">
        <v>36</v>
      </c>
      <c r="I3831">
        <v>96</v>
      </c>
      <c r="J3831">
        <v>60</v>
      </c>
      <c r="K3831" s="4">
        <v>64464</v>
      </c>
      <c r="L3831" s="4">
        <v>5837.2857142857147</v>
      </c>
      <c r="M3831" s="4">
        <v>1.0278749908225446E-2</v>
      </c>
      <c r="N3831" t="s">
        <v>25</v>
      </c>
      <c r="O3831" t="str">
        <f t="shared" si="590"/>
        <v>Low</v>
      </c>
      <c r="P3831" t="str">
        <f t="shared" si="591"/>
        <v>Low</v>
      </c>
      <c r="Q3831" t="str">
        <f t="shared" si="592"/>
        <v>Low</v>
      </c>
      <c r="R3831" t="s">
        <v>3317</v>
      </c>
      <c r="S3831" s="4">
        <f t="shared" ca="1" si="593"/>
        <v>1028</v>
      </c>
      <c r="T3831">
        <f t="shared" si="594"/>
        <v>1</v>
      </c>
      <c r="U3831">
        <f t="shared" si="595"/>
        <v>1</v>
      </c>
      <c r="V3831">
        <f t="shared" si="596"/>
        <v>1</v>
      </c>
      <c r="W3831">
        <f t="shared" si="597"/>
        <v>1</v>
      </c>
      <c r="X3831">
        <f t="shared" si="598"/>
        <v>0.99999999999999989</v>
      </c>
      <c r="Y3831" t="str">
        <f t="shared" si="599"/>
        <v>Healthy</v>
      </c>
    </row>
    <row r="3832" spans="1:25" x14ac:dyDescent="0.35">
      <c r="A3832" t="s">
        <v>71</v>
      </c>
      <c r="B3832" t="s">
        <v>72</v>
      </c>
      <c r="C3832" t="s">
        <v>73</v>
      </c>
      <c r="D3832" t="s">
        <v>298</v>
      </c>
      <c r="E3832">
        <v>80895445</v>
      </c>
      <c r="F3832" t="s">
        <v>2518</v>
      </c>
      <c r="G3832" s="3">
        <v>47257</v>
      </c>
      <c r="H3832">
        <v>36</v>
      </c>
      <c r="I3832">
        <v>99</v>
      </c>
      <c r="J3832">
        <v>206</v>
      </c>
      <c r="K3832" s="4">
        <v>221326.4</v>
      </c>
      <c r="L3832" s="4">
        <v>5837.2857142857147</v>
      </c>
      <c r="M3832" s="4">
        <v>3.5290374684907366E-2</v>
      </c>
      <c r="N3832" t="s">
        <v>25</v>
      </c>
      <c r="O3832" t="str">
        <f t="shared" si="590"/>
        <v>Low</v>
      </c>
      <c r="P3832" t="str">
        <f t="shared" si="591"/>
        <v>Low</v>
      </c>
      <c r="Q3832" t="str">
        <f t="shared" si="592"/>
        <v>Low</v>
      </c>
      <c r="R3832" t="s">
        <v>3309</v>
      </c>
      <c r="S3832" s="4">
        <f t="shared" ca="1" si="593"/>
        <v>1060</v>
      </c>
      <c r="T3832">
        <f t="shared" si="594"/>
        <v>1</v>
      </c>
      <c r="U3832">
        <f t="shared" si="595"/>
        <v>1</v>
      </c>
      <c r="V3832">
        <f t="shared" si="596"/>
        <v>1</v>
      </c>
      <c r="W3832">
        <f t="shared" si="597"/>
        <v>3</v>
      </c>
      <c r="X3832">
        <f t="shared" si="598"/>
        <v>1.2</v>
      </c>
      <c r="Y3832" t="str">
        <f t="shared" si="599"/>
        <v>Healthy</v>
      </c>
    </row>
    <row r="3833" spans="1:25" x14ac:dyDescent="0.35">
      <c r="A3833" t="s">
        <v>71</v>
      </c>
      <c r="B3833" t="s">
        <v>72</v>
      </c>
      <c r="C3833" t="s">
        <v>73</v>
      </c>
      <c r="D3833" t="s">
        <v>298</v>
      </c>
      <c r="E3833">
        <v>80895445</v>
      </c>
      <c r="F3833" t="s">
        <v>2518</v>
      </c>
      <c r="G3833" s="3">
        <v>47236</v>
      </c>
      <c r="H3833">
        <v>36</v>
      </c>
      <c r="I3833">
        <v>97</v>
      </c>
      <c r="J3833">
        <v>241</v>
      </c>
      <c r="K3833" s="4">
        <v>258930.4</v>
      </c>
      <c r="L3833" s="4">
        <v>5837.2857142857147</v>
      </c>
      <c r="M3833" s="4">
        <v>4.128631213137221E-2</v>
      </c>
      <c r="N3833" t="s">
        <v>25</v>
      </c>
      <c r="O3833" t="str">
        <f t="shared" si="590"/>
        <v>Low</v>
      </c>
      <c r="P3833" t="str">
        <f t="shared" si="591"/>
        <v>Low</v>
      </c>
      <c r="Q3833" t="str">
        <f t="shared" si="592"/>
        <v>Low</v>
      </c>
      <c r="R3833" t="s">
        <v>3309</v>
      </c>
      <c r="S3833" s="4">
        <f t="shared" ca="1" si="593"/>
        <v>1039</v>
      </c>
      <c r="T3833">
        <f t="shared" si="594"/>
        <v>1</v>
      </c>
      <c r="U3833">
        <f t="shared" si="595"/>
        <v>1</v>
      </c>
      <c r="V3833">
        <f t="shared" si="596"/>
        <v>1</v>
      </c>
      <c r="W3833">
        <f t="shared" si="597"/>
        <v>3</v>
      </c>
      <c r="X3833">
        <f t="shared" si="598"/>
        <v>1.2</v>
      </c>
      <c r="Y3833" t="str">
        <f t="shared" si="599"/>
        <v>Healthy</v>
      </c>
    </row>
    <row r="3834" spans="1:25" x14ac:dyDescent="0.35">
      <c r="A3834" t="s">
        <v>71</v>
      </c>
      <c r="B3834" t="s">
        <v>72</v>
      </c>
      <c r="C3834" t="s">
        <v>73</v>
      </c>
      <c r="D3834" t="s">
        <v>298</v>
      </c>
      <c r="E3834">
        <v>80895445</v>
      </c>
      <c r="F3834" t="s">
        <v>2518</v>
      </c>
      <c r="G3834" s="3">
        <v>47237</v>
      </c>
      <c r="H3834">
        <v>36</v>
      </c>
      <c r="I3834">
        <v>97</v>
      </c>
      <c r="J3834">
        <v>100</v>
      </c>
      <c r="K3834" s="4">
        <v>107440</v>
      </c>
      <c r="L3834" s="4">
        <v>5837.2857142857147</v>
      </c>
      <c r="M3834" s="4">
        <v>1.713124984704241E-2</v>
      </c>
      <c r="N3834" t="s">
        <v>25</v>
      </c>
      <c r="O3834" t="str">
        <f t="shared" si="590"/>
        <v>Low</v>
      </c>
      <c r="P3834" t="str">
        <f t="shared" si="591"/>
        <v>Low</v>
      </c>
      <c r="Q3834" t="str">
        <f t="shared" si="592"/>
        <v>Low</v>
      </c>
      <c r="R3834" t="s">
        <v>3310</v>
      </c>
      <c r="S3834" s="4">
        <f t="shared" ca="1" si="593"/>
        <v>1040</v>
      </c>
      <c r="T3834">
        <f t="shared" si="594"/>
        <v>1</v>
      </c>
      <c r="U3834">
        <f t="shared" si="595"/>
        <v>1</v>
      </c>
      <c r="V3834">
        <f t="shared" si="596"/>
        <v>1</v>
      </c>
      <c r="W3834">
        <f t="shared" si="597"/>
        <v>2</v>
      </c>
      <c r="X3834">
        <f t="shared" si="598"/>
        <v>1.0999999999999999</v>
      </c>
      <c r="Y3834" t="str">
        <f t="shared" si="599"/>
        <v>Healthy</v>
      </c>
    </row>
    <row r="3835" spans="1:25" x14ac:dyDescent="0.35">
      <c r="A3835" t="s">
        <v>71</v>
      </c>
      <c r="B3835" t="s">
        <v>72</v>
      </c>
      <c r="C3835" t="s">
        <v>73</v>
      </c>
      <c r="D3835" t="s">
        <v>298</v>
      </c>
      <c r="E3835">
        <v>80895445</v>
      </c>
      <c r="F3835" t="s">
        <v>2518</v>
      </c>
      <c r="G3835" s="3">
        <v>47267</v>
      </c>
      <c r="H3835">
        <v>36</v>
      </c>
      <c r="I3835">
        <v>100</v>
      </c>
      <c r="J3835">
        <v>360</v>
      </c>
      <c r="K3835" s="4">
        <v>386784</v>
      </c>
      <c r="L3835" s="4">
        <v>5837.2857142857147</v>
      </c>
      <c r="M3835" s="4">
        <v>6.1672499449352679E-2</v>
      </c>
      <c r="N3835" t="s">
        <v>25</v>
      </c>
      <c r="O3835" t="str">
        <f t="shared" si="590"/>
        <v>Low</v>
      </c>
      <c r="P3835" t="str">
        <f t="shared" si="591"/>
        <v>Low</v>
      </c>
      <c r="Q3835" t="str">
        <f t="shared" si="592"/>
        <v>Low</v>
      </c>
      <c r="R3835" t="s">
        <v>3309</v>
      </c>
      <c r="S3835" s="4">
        <f t="shared" ca="1" si="593"/>
        <v>1070</v>
      </c>
      <c r="T3835">
        <f t="shared" si="594"/>
        <v>1</v>
      </c>
      <c r="U3835">
        <f t="shared" si="595"/>
        <v>1</v>
      </c>
      <c r="V3835">
        <f t="shared" si="596"/>
        <v>1</v>
      </c>
      <c r="W3835">
        <f t="shared" si="597"/>
        <v>3</v>
      </c>
      <c r="X3835">
        <f t="shared" si="598"/>
        <v>1.2</v>
      </c>
      <c r="Y3835" t="str">
        <f t="shared" si="599"/>
        <v>Healthy</v>
      </c>
    </row>
    <row r="3836" spans="1:25" x14ac:dyDescent="0.35">
      <c r="A3836" t="s">
        <v>71</v>
      </c>
      <c r="B3836" t="s">
        <v>72</v>
      </c>
      <c r="C3836" t="s">
        <v>73</v>
      </c>
      <c r="D3836" t="s">
        <v>298</v>
      </c>
      <c r="E3836">
        <v>80895445</v>
      </c>
      <c r="F3836" t="s">
        <v>2518</v>
      </c>
      <c r="G3836" s="3">
        <v>47234</v>
      </c>
      <c r="H3836">
        <v>36</v>
      </c>
      <c r="I3836">
        <v>96</v>
      </c>
      <c r="J3836">
        <v>76</v>
      </c>
      <c r="K3836" s="4">
        <v>81654.399999999994</v>
      </c>
      <c r="L3836" s="4">
        <v>5837.2857142857147</v>
      </c>
      <c r="M3836" s="4">
        <v>1.3019749883752232E-2</v>
      </c>
      <c r="N3836" t="s">
        <v>25</v>
      </c>
      <c r="O3836" t="str">
        <f t="shared" si="590"/>
        <v>Low</v>
      </c>
      <c r="P3836" t="str">
        <f t="shared" si="591"/>
        <v>Low</v>
      </c>
      <c r="Q3836" t="str">
        <f t="shared" si="592"/>
        <v>Low</v>
      </c>
      <c r="R3836" t="s">
        <v>3310</v>
      </c>
      <c r="S3836" s="4">
        <f t="shared" ca="1" si="593"/>
        <v>1037</v>
      </c>
      <c r="T3836">
        <f t="shared" si="594"/>
        <v>1</v>
      </c>
      <c r="U3836">
        <f t="shared" si="595"/>
        <v>1</v>
      </c>
      <c r="V3836">
        <f t="shared" si="596"/>
        <v>1</v>
      </c>
      <c r="W3836">
        <f t="shared" si="597"/>
        <v>2</v>
      </c>
      <c r="X3836">
        <f t="shared" si="598"/>
        <v>1.0999999999999999</v>
      </c>
      <c r="Y3836" t="str">
        <f t="shared" si="599"/>
        <v>Healthy</v>
      </c>
    </row>
    <row r="3837" spans="1:25" x14ac:dyDescent="0.35">
      <c r="A3837" t="s">
        <v>189</v>
      </c>
      <c r="B3837" t="s">
        <v>190</v>
      </c>
      <c r="C3837" t="s">
        <v>190</v>
      </c>
      <c r="D3837" t="s">
        <v>249</v>
      </c>
      <c r="E3837">
        <v>80888310</v>
      </c>
      <c r="F3837" t="s">
        <v>2519</v>
      </c>
      <c r="G3837" s="3">
        <v>46636</v>
      </c>
      <c r="H3837">
        <v>18</v>
      </c>
      <c r="I3837">
        <v>82</v>
      </c>
      <c r="J3837">
        <v>8</v>
      </c>
      <c r="K3837" s="4">
        <v>1191.92</v>
      </c>
      <c r="L3837" s="4">
        <v>14008.428571428571</v>
      </c>
      <c r="M3837" s="4">
        <v>5.7108475509642161E-4</v>
      </c>
      <c r="N3837" t="s">
        <v>25</v>
      </c>
      <c r="O3837" t="str">
        <f t="shared" si="590"/>
        <v>Low</v>
      </c>
      <c r="P3837" t="str">
        <f t="shared" si="591"/>
        <v>Low</v>
      </c>
      <c r="Q3837" t="str">
        <f t="shared" si="592"/>
        <v>Low</v>
      </c>
      <c r="R3837" t="s">
        <v>3317</v>
      </c>
      <c r="S3837" s="4">
        <f t="shared" ca="1" si="593"/>
        <v>439</v>
      </c>
      <c r="T3837">
        <f t="shared" si="594"/>
        <v>1</v>
      </c>
      <c r="U3837">
        <f t="shared" si="595"/>
        <v>1</v>
      </c>
      <c r="V3837">
        <f t="shared" si="596"/>
        <v>1</v>
      </c>
      <c r="W3837">
        <f t="shared" si="597"/>
        <v>1</v>
      </c>
      <c r="X3837">
        <f t="shared" si="598"/>
        <v>0.99999999999999989</v>
      </c>
      <c r="Y3837" t="str">
        <f t="shared" si="599"/>
        <v>Healthy</v>
      </c>
    </row>
    <row r="3838" spans="1:25" x14ac:dyDescent="0.35">
      <c r="A3838" t="s">
        <v>71</v>
      </c>
      <c r="B3838" t="s">
        <v>72</v>
      </c>
      <c r="C3838" t="s">
        <v>310</v>
      </c>
      <c r="D3838" t="s">
        <v>2520</v>
      </c>
      <c r="E3838">
        <v>80895446</v>
      </c>
      <c r="F3838" t="s">
        <v>2521</v>
      </c>
      <c r="G3838" s="3">
        <v>47253</v>
      </c>
      <c r="H3838">
        <v>36</v>
      </c>
      <c r="I3838">
        <v>98</v>
      </c>
      <c r="J3838">
        <v>100</v>
      </c>
      <c r="K3838" s="4">
        <v>31220</v>
      </c>
      <c r="L3838" s="4">
        <v>3916.8571428571427</v>
      </c>
      <c r="M3838" s="4">
        <v>2.5530673280326793E-2</v>
      </c>
      <c r="N3838" t="s">
        <v>25</v>
      </c>
      <c r="O3838" t="str">
        <f t="shared" si="590"/>
        <v>Low</v>
      </c>
      <c r="P3838" t="str">
        <f t="shared" si="591"/>
        <v>Low</v>
      </c>
      <c r="Q3838" t="str">
        <f t="shared" si="592"/>
        <v>Low</v>
      </c>
      <c r="R3838" t="s">
        <v>3317</v>
      </c>
      <c r="S3838" s="4">
        <f t="shared" ca="1" si="593"/>
        <v>1056</v>
      </c>
      <c r="T3838">
        <f t="shared" si="594"/>
        <v>1</v>
      </c>
      <c r="U3838">
        <f t="shared" si="595"/>
        <v>1</v>
      </c>
      <c r="V3838">
        <f t="shared" si="596"/>
        <v>1</v>
      </c>
      <c r="W3838">
        <f t="shared" si="597"/>
        <v>1</v>
      </c>
      <c r="X3838">
        <f t="shared" si="598"/>
        <v>0.99999999999999989</v>
      </c>
      <c r="Y3838" t="str">
        <f t="shared" si="599"/>
        <v>Healthy</v>
      </c>
    </row>
    <row r="3839" spans="1:25" x14ac:dyDescent="0.35">
      <c r="A3839" t="s">
        <v>71</v>
      </c>
      <c r="B3839" t="s">
        <v>72</v>
      </c>
      <c r="C3839" t="s">
        <v>310</v>
      </c>
      <c r="D3839" t="s">
        <v>2520</v>
      </c>
      <c r="E3839">
        <v>80895446</v>
      </c>
      <c r="F3839" t="s">
        <v>2521</v>
      </c>
      <c r="G3839" s="3">
        <v>47239</v>
      </c>
      <c r="H3839">
        <v>36</v>
      </c>
      <c r="I3839">
        <v>97</v>
      </c>
      <c r="J3839">
        <v>87</v>
      </c>
      <c r="K3839" s="4">
        <v>27161.4</v>
      </c>
      <c r="L3839" s="4">
        <v>3916.8571428571427</v>
      </c>
      <c r="M3839" s="4">
        <v>2.2211685753884311E-2</v>
      </c>
      <c r="N3839" t="s">
        <v>25</v>
      </c>
      <c r="O3839" t="str">
        <f t="shared" si="590"/>
        <v>Low</v>
      </c>
      <c r="P3839" t="str">
        <f t="shared" si="591"/>
        <v>Low</v>
      </c>
      <c r="Q3839" t="str">
        <f t="shared" si="592"/>
        <v>Low</v>
      </c>
      <c r="R3839" t="s">
        <v>3317</v>
      </c>
      <c r="S3839" s="4">
        <f t="shared" ca="1" si="593"/>
        <v>1042</v>
      </c>
      <c r="T3839">
        <f t="shared" si="594"/>
        <v>1</v>
      </c>
      <c r="U3839">
        <f t="shared" si="595"/>
        <v>1</v>
      </c>
      <c r="V3839">
        <f t="shared" si="596"/>
        <v>1</v>
      </c>
      <c r="W3839">
        <f t="shared" si="597"/>
        <v>1</v>
      </c>
      <c r="X3839">
        <f t="shared" si="598"/>
        <v>0.99999999999999989</v>
      </c>
      <c r="Y3839" t="str">
        <f t="shared" si="599"/>
        <v>Healthy</v>
      </c>
    </row>
    <row r="3840" spans="1:25" x14ac:dyDescent="0.35">
      <c r="A3840" t="s">
        <v>71</v>
      </c>
      <c r="B3840" t="s">
        <v>72</v>
      </c>
      <c r="C3840" t="s">
        <v>310</v>
      </c>
      <c r="D3840" t="s">
        <v>2520</v>
      </c>
      <c r="E3840">
        <v>80895446</v>
      </c>
      <c r="F3840" t="s">
        <v>2521</v>
      </c>
      <c r="G3840" s="3">
        <v>47210</v>
      </c>
      <c r="H3840">
        <v>36</v>
      </c>
      <c r="I3840">
        <v>94</v>
      </c>
      <c r="J3840">
        <v>18</v>
      </c>
      <c r="K3840" s="4">
        <v>5619.6</v>
      </c>
      <c r="L3840" s="4">
        <v>3916.8571428571427</v>
      </c>
      <c r="M3840" s="4">
        <v>4.5955211904588232E-3</v>
      </c>
      <c r="N3840" t="s">
        <v>25</v>
      </c>
      <c r="O3840" t="str">
        <f t="shared" si="590"/>
        <v>Low</v>
      </c>
      <c r="P3840" t="str">
        <f t="shared" si="591"/>
        <v>Low</v>
      </c>
      <c r="Q3840" t="str">
        <f t="shared" si="592"/>
        <v>Low</v>
      </c>
      <c r="R3840" t="s">
        <v>3317</v>
      </c>
      <c r="S3840" s="4">
        <f t="shared" ca="1" si="593"/>
        <v>1013</v>
      </c>
      <c r="T3840">
        <f t="shared" si="594"/>
        <v>1</v>
      </c>
      <c r="U3840">
        <f t="shared" si="595"/>
        <v>1</v>
      </c>
      <c r="V3840">
        <f t="shared" si="596"/>
        <v>1</v>
      </c>
      <c r="W3840">
        <f t="shared" si="597"/>
        <v>1</v>
      </c>
      <c r="X3840">
        <f t="shared" si="598"/>
        <v>0.99999999999999989</v>
      </c>
      <c r="Y3840" t="str">
        <f t="shared" si="599"/>
        <v>Healthy</v>
      </c>
    </row>
    <row r="3841" spans="1:25" x14ac:dyDescent="0.35">
      <c r="A3841" t="s">
        <v>71</v>
      </c>
      <c r="B3841" t="s">
        <v>72</v>
      </c>
      <c r="C3841" t="s">
        <v>310</v>
      </c>
      <c r="D3841" t="s">
        <v>2520</v>
      </c>
      <c r="E3841">
        <v>80895446</v>
      </c>
      <c r="F3841" t="s">
        <v>2521</v>
      </c>
      <c r="G3841" s="3">
        <v>47272</v>
      </c>
      <c r="H3841">
        <v>36</v>
      </c>
      <c r="I3841">
        <v>100</v>
      </c>
      <c r="J3841">
        <v>690</v>
      </c>
      <c r="K3841" s="4">
        <v>215418</v>
      </c>
      <c r="L3841" s="4">
        <v>3916.8571428571427</v>
      </c>
      <c r="M3841" s="4">
        <v>0.17616164563425488</v>
      </c>
      <c r="N3841" t="s">
        <v>25</v>
      </c>
      <c r="O3841" t="str">
        <f t="shared" si="590"/>
        <v>Low</v>
      </c>
      <c r="P3841" t="str">
        <f t="shared" si="591"/>
        <v>Low</v>
      </c>
      <c r="Q3841" t="str">
        <f t="shared" si="592"/>
        <v>Low</v>
      </c>
      <c r="R3841" t="s">
        <v>3309</v>
      </c>
      <c r="S3841" s="4">
        <f t="shared" ca="1" si="593"/>
        <v>1075</v>
      </c>
      <c r="T3841">
        <f t="shared" si="594"/>
        <v>1</v>
      </c>
      <c r="U3841">
        <f t="shared" si="595"/>
        <v>1</v>
      </c>
      <c r="V3841">
        <f t="shared" si="596"/>
        <v>1</v>
      </c>
      <c r="W3841">
        <f t="shared" si="597"/>
        <v>3</v>
      </c>
      <c r="X3841">
        <f t="shared" si="598"/>
        <v>1.2</v>
      </c>
      <c r="Y3841" t="str">
        <f t="shared" si="599"/>
        <v>Healthy</v>
      </c>
    </row>
    <row r="3842" spans="1:25" x14ac:dyDescent="0.35">
      <c r="A3842" t="s">
        <v>71</v>
      </c>
      <c r="B3842" t="s">
        <v>72</v>
      </c>
      <c r="C3842" t="s">
        <v>310</v>
      </c>
      <c r="D3842" t="s">
        <v>2520</v>
      </c>
      <c r="E3842">
        <v>80895446</v>
      </c>
      <c r="F3842" t="s">
        <v>2521</v>
      </c>
      <c r="G3842" s="3">
        <v>47252</v>
      </c>
      <c r="H3842">
        <v>36</v>
      </c>
      <c r="I3842">
        <v>98</v>
      </c>
      <c r="J3842">
        <v>99</v>
      </c>
      <c r="K3842" s="4">
        <v>30907.8</v>
      </c>
      <c r="L3842" s="4">
        <v>3916.8571428571427</v>
      </c>
      <c r="M3842" s="4">
        <v>2.5275366547523527E-2</v>
      </c>
      <c r="N3842" t="s">
        <v>25</v>
      </c>
      <c r="O3842" t="str">
        <f t="shared" si="590"/>
        <v>Low</v>
      </c>
      <c r="P3842" t="str">
        <f t="shared" si="591"/>
        <v>Low</v>
      </c>
      <c r="Q3842" t="str">
        <f t="shared" si="592"/>
        <v>Low</v>
      </c>
      <c r="R3842" t="s">
        <v>3317</v>
      </c>
      <c r="S3842" s="4">
        <f t="shared" ca="1" si="593"/>
        <v>1055</v>
      </c>
      <c r="T3842">
        <f t="shared" si="594"/>
        <v>1</v>
      </c>
      <c r="U3842">
        <f t="shared" si="595"/>
        <v>1</v>
      </c>
      <c r="V3842">
        <f t="shared" si="596"/>
        <v>1</v>
      </c>
      <c r="W3842">
        <f t="shared" si="597"/>
        <v>1</v>
      </c>
      <c r="X3842">
        <f t="shared" si="598"/>
        <v>0.99999999999999989</v>
      </c>
      <c r="Y3842" t="str">
        <f t="shared" si="599"/>
        <v>Healthy</v>
      </c>
    </row>
    <row r="3843" spans="1:25" x14ac:dyDescent="0.35">
      <c r="A3843" t="s">
        <v>71</v>
      </c>
      <c r="B3843" t="s">
        <v>72</v>
      </c>
      <c r="C3843" t="s">
        <v>310</v>
      </c>
      <c r="D3843" t="s">
        <v>2520</v>
      </c>
      <c r="E3843">
        <v>80895446</v>
      </c>
      <c r="F3843" t="s">
        <v>2521</v>
      </c>
      <c r="G3843" s="3">
        <v>47275</v>
      </c>
      <c r="H3843">
        <v>36</v>
      </c>
      <c r="I3843">
        <v>100</v>
      </c>
      <c r="J3843">
        <v>110</v>
      </c>
      <c r="K3843" s="4">
        <v>34342</v>
      </c>
      <c r="L3843" s="4">
        <v>3916.8571428571427</v>
      </c>
      <c r="M3843" s="4">
        <v>2.8083740608359473E-2</v>
      </c>
      <c r="N3843" t="s">
        <v>25</v>
      </c>
      <c r="O3843" t="str">
        <f t="shared" ref="O3843:O3906" si="600">IF(I3843&lt;20,"High",IF(I3843&lt;40,"Medium","Low"))</f>
        <v>Low</v>
      </c>
      <c r="P3843" t="str">
        <f t="shared" ref="P3843:P3906" si="601">IF(M3843&gt;8,"High",IF(M3843&gt;4,"Medium","Low"))</f>
        <v>Low</v>
      </c>
      <c r="Q3843" t="str">
        <f t="shared" ref="Q3843:Q3906" si="602">IF(L3843&lt;5,"High",IF(L3843&lt;15,"Medium","Low"))</f>
        <v>Low</v>
      </c>
      <c r="R3843" t="s">
        <v>3317</v>
      </c>
      <c r="S3843" s="4">
        <f t="shared" ref="S3843:S3906" ca="1" si="603">G3843-TODAY()</f>
        <v>1078</v>
      </c>
      <c r="T3843">
        <f t="shared" ref="T3843:T3906" si="604">IF(O3843="High",3,IF(O3843="Medium",2,1))</f>
        <v>1</v>
      </c>
      <c r="U3843">
        <f t="shared" ref="U3843:U3906" si="605">IF(P3843="High",3,IF(P3843="Medium",2,1))</f>
        <v>1</v>
      </c>
      <c r="V3843">
        <f t="shared" ref="V3843:V3906" si="606">IF(Q3843="High",3,IF(Q3843="Medium",2,1))</f>
        <v>1</v>
      </c>
      <c r="W3843">
        <f t="shared" ref="W3843:W3906" si="607">IF(R3843="High",3,IF(R3843="Medium",2,1))</f>
        <v>1</v>
      </c>
      <c r="X3843">
        <f t="shared" ref="X3843:X3906" si="608">(0.4*T3843)+(0.3*U3843)+(0.2*V3843)+(0.1*W3843)</f>
        <v>0.99999999999999989</v>
      </c>
      <c r="Y3843" t="str">
        <f t="shared" ref="Y3843:Y3906" si="609">IF(X3843&gt;=2.7,"Move Immediately",IF(X3843&gt;=2.2,"High Priority",IF(X3843&gt;=1.7,"Monitor","Healthy")))</f>
        <v>Healthy</v>
      </c>
    </row>
    <row r="3844" spans="1:25" x14ac:dyDescent="0.35">
      <c r="A3844" t="s">
        <v>71</v>
      </c>
      <c r="B3844" t="s">
        <v>72</v>
      </c>
      <c r="C3844" t="s">
        <v>310</v>
      </c>
      <c r="D3844" t="s">
        <v>2520</v>
      </c>
      <c r="E3844">
        <v>80895446</v>
      </c>
      <c r="F3844" t="s">
        <v>2521</v>
      </c>
      <c r="G3844" s="3">
        <v>47256</v>
      </c>
      <c r="H3844">
        <v>36</v>
      </c>
      <c r="I3844">
        <v>99</v>
      </c>
      <c r="J3844">
        <v>66</v>
      </c>
      <c r="K3844" s="4">
        <v>20605.2</v>
      </c>
      <c r="L3844" s="4">
        <v>3916.8571428571427</v>
      </c>
      <c r="M3844" s="4">
        <v>1.6850244365015685E-2</v>
      </c>
      <c r="N3844" t="s">
        <v>25</v>
      </c>
      <c r="O3844" t="str">
        <f t="shared" si="600"/>
        <v>Low</v>
      </c>
      <c r="P3844" t="str">
        <f t="shared" si="601"/>
        <v>Low</v>
      </c>
      <c r="Q3844" t="str">
        <f t="shared" si="602"/>
        <v>Low</v>
      </c>
      <c r="R3844" t="s">
        <v>3317</v>
      </c>
      <c r="S3844" s="4">
        <f t="shared" ca="1" si="603"/>
        <v>1059</v>
      </c>
      <c r="T3844">
        <f t="shared" si="604"/>
        <v>1</v>
      </c>
      <c r="U3844">
        <f t="shared" si="605"/>
        <v>1</v>
      </c>
      <c r="V3844">
        <f t="shared" si="606"/>
        <v>1</v>
      </c>
      <c r="W3844">
        <f t="shared" si="607"/>
        <v>1</v>
      </c>
      <c r="X3844">
        <f t="shared" si="608"/>
        <v>0.99999999999999989</v>
      </c>
      <c r="Y3844" t="str">
        <f t="shared" si="609"/>
        <v>Healthy</v>
      </c>
    </row>
    <row r="3845" spans="1:25" x14ac:dyDescent="0.35">
      <c r="A3845" t="s">
        <v>71</v>
      </c>
      <c r="B3845" t="s">
        <v>72</v>
      </c>
      <c r="C3845" t="s">
        <v>73</v>
      </c>
      <c r="D3845" t="s">
        <v>911</v>
      </c>
      <c r="E3845">
        <v>80895447</v>
      </c>
      <c r="F3845" t="s">
        <v>2522</v>
      </c>
      <c r="G3845" s="3">
        <v>47229</v>
      </c>
      <c r="H3845">
        <v>36</v>
      </c>
      <c r="I3845">
        <v>96</v>
      </c>
      <c r="J3845">
        <v>12</v>
      </c>
      <c r="K3845" s="4">
        <v>12892.8</v>
      </c>
      <c r="L3845" s="4">
        <v>8173.7142857142853</v>
      </c>
      <c r="M3845" s="4">
        <v>1.4681208053691276E-3</v>
      </c>
      <c r="N3845" t="s">
        <v>25</v>
      </c>
      <c r="O3845" t="str">
        <f t="shared" si="600"/>
        <v>Low</v>
      </c>
      <c r="P3845" t="str">
        <f t="shared" si="601"/>
        <v>Low</v>
      </c>
      <c r="Q3845" t="str">
        <f t="shared" si="602"/>
        <v>Low</v>
      </c>
      <c r="R3845" t="s">
        <v>3317</v>
      </c>
      <c r="S3845" s="4">
        <f t="shared" ca="1" si="603"/>
        <v>1032</v>
      </c>
      <c r="T3845">
        <f t="shared" si="604"/>
        <v>1</v>
      </c>
      <c r="U3845">
        <f t="shared" si="605"/>
        <v>1</v>
      </c>
      <c r="V3845">
        <f t="shared" si="606"/>
        <v>1</v>
      </c>
      <c r="W3845">
        <f t="shared" si="607"/>
        <v>1</v>
      </c>
      <c r="X3845">
        <f t="shared" si="608"/>
        <v>0.99999999999999989</v>
      </c>
      <c r="Y3845" t="str">
        <f t="shared" si="609"/>
        <v>Healthy</v>
      </c>
    </row>
    <row r="3846" spans="1:25" x14ac:dyDescent="0.35">
      <c r="A3846" t="s">
        <v>71</v>
      </c>
      <c r="B3846" t="s">
        <v>72</v>
      </c>
      <c r="C3846" t="s">
        <v>73</v>
      </c>
      <c r="D3846" t="s">
        <v>911</v>
      </c>
      <c r="E3846">
        <v>80895447</v>
      </c>
      <c r="F3846" t="s">
        <v>2522</v>
      </c>
      <c r="G3846" s="3">
        <v>47269</v>
      </c>
      <c r="H3846">
        <v>36</v>
      </c>
      <c r="I3846">
        <v>100</v>
      </c>
      <c r="J3846">
        <v>32</v>
      </c>
      <c r="K3846" s="4">
        <v>34380.800000000003</v>
      </c>
      <c r="L3846" s="4">
        <v>8173.7142857142853</v>
      </c>
      <c r="M3846" s="4">
        <v>3.9149888143176735E-3</v>
      </c>
      <c r="N3846" t="s">
        <v>25</v>
      </c>
      <c r="O3846" t="str">
        <f t="shared" si="600"/>
        <v>Low</v>
      </c>
      <c r="P3846" t="str">
        <f t="shared" si="601"/>
        <v>Low</v>
      </c>
      <c r="Q3846" t="str">
        <f t="shared" si="602"/>
        <v>Low</v>
      </c>
      <c r="R3846" t="s">
        <v>3317</v>
      </c>
      <c r="S3846" s="4">
        <f t="shared" ca="1" si="603"/>
        <v>1072</v>
      </c>
      <c r="T3846">
        <f t="shared" si="604"/>
        <v>1</v>
      </c>
      <c r="U3846">
        <f t="shared" si="605"/>
        <v>1</v>
      </c>
      <c r="V3846">
        <f t="shared" si="606"/>
        <v>1</v>
      </c>
      <c r="W3846">
        <f t="shared" si="607"/>
        <v>1</v>
      </c>
      <c r="X3846">
        <f t="shared" si="608"/>
        <v>0.99999999999999989</v>
      </c>
      <c r="Y3846" t="str">
        <f t="shared" si="609"/>
        <v>Healthy</v>
      </c>
    </row>
    <row r="3847" spans="1:25" x14ac:dyDescent="0.35">
      <c r="A3847" t="s">
        <v>14</v>
      </c>
      <c r="B3847" t="s">
        <v>37</v>
      </c>
      <c r="C3847" t="s">
        <v>38</v>
      </c>
      <c r="D3847" t="s">
        <v>2523</v>
      </c>
      <c r="E3847">
        <v>80712324</v>
      </c>
      <c r="F3847" t="s">
        <v>2524</v>
      </c>
      <c r="G3847" s="3">
        <v>47170</v>
      </c>
      <c r="H3847">
        <v>60</v>
      </c>
      <c r="I3847">
        <v>54</v>
      </c>
      <c r="J3847">
        <v>2</v>
      </c>
      <c r="K3847" s="4">
        <v>241.5</v>
      </c>
      <c r="L3847" s="4">
        <f>0</f>
        <v>0</v>
      </c>
      <c r="M3847" s="4">
        <f>999</f>
        <v>999</v>
      </c>
      <c r="N3847" t="s">
        <v>19</v>
      </c>
      <c r="O3847" t="str">
        <f t="shared" si="600"/>
        <v>Low</v>
      </c>
      <c r="P3847" t="str">
        <f t="shared" si="601"/>
        <v>High</v>
      </c>
      <c r="Q3847" t="str">
        <f t="shared" si="602"/>
        <v>High</v>
      </c>
      <c r="R3847" t="s">
        <v>3317</v>
      </c>
      <c r="S3847" s="4">
        <f t="shared" ca="1" si="603"/>
        <v>973</v>
      </c>
      <c r="T3847">
        <f t="shared" si="604"/>
        <v>1</v>
      </c>
      <c r="U3847">
        <f t="shared" si="605"/>
        <v>3</v>
      </c>
      <c r="V3847">
        <f t="shared" si="606"/>
        <v>3</v>
      </c>
      <c r="W3847">
        <f t="shared" si="607"/>
        <v>1</v>
      </c>
      <c r="X3847">
        <f t="shared" si="608"/>
        <v>2</v>
      </c>
      <c r="Y3847" t="str">
        <f t="shared" si="609"/>
        <v>Monitor</v>
      </c>
    </row>
    <row r="3848" spans="1:25" x14ac:dyDescent="0.35">
      <c r="A3848" t="s">
        <v>71</v>
      </c>
      <c r="B3848" t="s">
        <v>72</v>
      </c>
      <c r="C3848" t="s">
        <v>73</v>
      </c>
      <c r="D3848" t="s">
        <v>911</v>
      </c>
      <c r="E3848">
        <v>80895447</v>
      </c>
      <c r="F3848" t="s">
        <v>2522</v>
      </c>
      <c r="G3848" s="3">
        <v>47246</v>
      </c>
      <c r="H3848">
        <v>36</v>
      </c>
      <c r="I3848">
        <v>98</v>
      </c>
      <c r="J3848">
        <v>32</v>
      </c>
      <c r="K3848" s="4">
        <v>34380.800000000003</v>
      </c>
      <c r="L3848" s="4">
        <v>8173.7142857142853</v>
      </c>
      <c r="M3848" s="4">
        <v>3.9149888143176735E-3</v>
      </c>
      <c r="N3848" t="s">
        <v>25</v>
      </c>
      <c r="O3848" t="str">
        <f t="shared" si="600"/>
        <v>Low</v>
      </c>
      <c r="P3848" t="str">
        <f t="shared" si="601"/>
        <v>Low</v>
      </c>
      <c r="Q3848" t="str">
        <f t="shared" si="602"/>
        <v>Low</v>
      </c>
      <c r="R3848" t="s">
        <v>3317</v>
      </c>
      <c r="S3848" s="4">
        <f t="shared" ca="1" si="603"/>
        <v>1049</v>
      </c>
      <c r="T3848">
        <f t="shared" si="604"/>
        <v>1</v>
      </c>
      <c r="U3848">
        <f t="shared" si="605"/>
        <v>1</v>
      </c>
      <c r="V3848">
        <f t="shared" si="606"/>
        <v>1</v>
      </c>
      <c r="W3848">
        <f t="shared" si="607"/>
        <v>1</v>
      </c>
      <c r="X3848">
        <f t="shared" si="608"/>
        <v>0.99999999999999989</v>
      </c>
      <c r="Y3848" t="str">
        <f t="shared" si="609"/>
        <v>Healthy</v>
      </c>
    </row>
    <row r="3849" spans="1:25" x14ac:dyDescent="0.35">
      <c r="A3849" t="s">
        <v>71</v>
      </c>
      <c r="B3849" t="s">
        <v>72</v>
      </c>
      <c r="C3849" t="s">
        <v>73</v>
      </c>
      <c r="D3849" t="s">
        <v>911</v>
      </c>
      <c r="E3849">
        <v>80895447</v>
      </c>
      <c r="F3849" t="s">
        <v>2522</v>
      </c>
      <c r="G3849" s="3">
        <v>47230</v>
      </c>
      <c r="H3849">
        <v>36</v>
      </c>
      <c r="I3849">
        <v>96</v>
      </c>
      <c r="J3849">
        <v>30</v>
      </c>
      <c r="K3849" s="4">
        <v>32232</v>
      </c>
      <c r="L3849" s="4">
        <v>8173.7142857142853</v>
      </c>
      <c r="M3849" s="4">
        <v>3.6703020134228191E-3</v>
      </c>
      <c r="N3849" t="s">
        <v>25</v>
      </c>
      <c r="O3849" t="str">
        <f t="shared" si="600"/>
        <v>Low</v>
      </c>
      <c r="P3849" t="str">
        <f t="shared" si="601"/>
        <v>Low</v>
      </c>
      <c r="Q3849" t="str">
        <f t="shared" si="602"/>
        <v>Low</v>
      </c>
      <c r="R3849" t="s">
        <v>3317</v>
      </c>
      <c r="S3849" s="4">
        <f t="shared" ca="1" si="603"/>
        <v>1033</v>
      </c>
      <c r="T3849">
        <f t="shared" si="604"/>
        <v>1</v>
      </c>
      <c r="U3849">
        <f t="shared" si="605"/>
        <v>1</v>
      </c>
      <c r="V3849">
        <f t="shared" si="606"/>
        <v>1</v>
      </c>
      <c r="W3849">
        <f t="shared" si="607"/>
        <v>1</v>
      </c>
      <c r="X3849">
        <f t="shared" si="608"/>
        <v>0.99999999999999989</v>
      </c>
      <c r="Y3849" t="str">
        <f t="shared" si="609"/>
        <v>Healthy</v>
      </c>
    </row>
    <row r="3850" spans="1:25" x14ac:dyDescent="0.35">
      <c r="A3850" t="s">
        <v>71</v>
      </c>
      <c r="B3850" t="s">
        <v>72</v>
      </c>
      <c r="C3850" t="s">
        <v>73</v>
      </c>
      <c r="D3850" t="s">
        <v>911</v>
      </c>
      <c r="E3850">
        <v>80895447</v>
      </c>
      <c r="F3850" t="s">
        <v>2522</v>
      </c>
      <c r="G3850" s="3">
        <v>47246</v>
      </c>
      <c r="H3850">
        <v>36</v>
      </c>
      <c r="I3850">
        <v>98</v>
      </c>
      <c r="J3850">
        <v>36</v>
      </c>
      <c r="K3850" s="4">
        <v>38678.400000000001</v>
      </c>
      <c r="L3850" s="4">
        <v>8173.7142857142853</v>
      </c>
      <c r="M3850" s="4">
        <v>4.4043624161073831E-3</v>
      </c>
      <c r="N3850" t="s">
        <v>25</v>
      </c>
      <c r="O3850" t="str">
        <f t="shared" si="600"/>
        <v>Low</v>
      </c>
      <c r="P3850" t="str">
        <f t="shared" si="601"/>
        <v>Low</v>
      </c>
      <c r="Q3850" t="str">
        <f t="shared" si="602"/>
        <v>Low</v>
      </c>
      <c r="R3850" t="s">
        <v>3317</v>
      </c>
      <c r="S3850" s="4">
        <f t="shared" ca="1" si="603"/>
        <v>1049</v>
      </c>
      <c r="T3850">
        <f t="shared" si="604"/>
        <v>1</v>
      </c>
      <c r="U3850">
        <f t="shared" si="605"/>
        <v>1</v>
      </c>
      <c r="V3850">
        <f t="shared" si="606"/>
        <v>1</v>
      </c>
      <c r="W3850">
        <f t="shared" si="607"/>
        <v>1</v>
      </c>
      <c r="X3850">
        <f t="shared" si="608"/>
        <v>0.99999999999999989</v>
      </c>
      <c r="Y3850" t="str">
        <f t="shared" si="609"/>
        <v>Healthy</v>
      </c>
    </row>
    <row r="3851" spans="1:25" x14ac:dyDescent="0.35">
      <c r="A3851" t="s">
        <v>71</v>
      </c>
      <c r="B3851" t="s">
        <v>72</v>
      </c>
      <c r="C3851" t="s">
        <v>73</v>
      </c>
      <c r="D3851" t="s">
        <v>911</v>
      </c>
      <c r="E3851">
        <v>80895447</v>
      </c>
      <c r="F3851" t="s">
        <v>2522</v>
      </c>
      <c r="G3851" s="3">
        <v>47245</v>
      </c>
      <c r="H3851">
        <v>36</v>
      </c>
      <c r="I3851">
        <v>98</v>
      </c>
      <c r="J3851">
        <v>60</v>
      </c>
      <c r="K3851" s="4">
        <v>64464</v>
      </c>
      <c r="L3851" s="4">
        <v>8173.7142857142853</v>
      </c>
      <c r="M3851" s="4">
        <v>7.3406040268456383E-3</v>
      </c>
      <c r="N3851" t="s">
        <v>25</v>
      </c>
      <c r="O3851" t="str">
        <f t="shared" si="600"/>
        <v>Low</v>
      </c>
      <c r="P3851" t="str">
        <f t="shared" si="601"/>
        <v>Low</v>
      </c>
      <c r="Q3851" t="str">
        <f t="shared" si="602"/>
        <v>Low</v>
      </c>
      <c r="R3851" t="s">
        <v>3317</v>
      </c>
      <c r="S3851" s="4">
        <f t="shared" ca="1" si="603"/>
        <v>1048</v>
      </c>
      <c r="T3851">
        <f t="shared" si="604"/>
        <v>1</v>
      </c>
      <c r="U3851">
        <f t="shared" si="605"/>
        <v>1</v>
      </c>
      <c r="V3851">
        <f t="shared" si="606"/>
        <v>1</v>
      </c>
      <c r="W3851">
        <f t="shared" si="607"/>
        <v>1</v>
      </c>
      <c r="X3851">
        <f t="shared" si="608"/>
        <v>0.99999999999999989</v>
      </c>
      <c r="Y3851" t="str">
        <f t="shared" si="609"/>
        <v>Healthy</v>
      </c>
    </row>
    <row r="3852" spans="1:25" x14ac:dyDescent="0.35">
      <c r="A3852" t="s">
        <v>71</v>
      </c>
      <c r="B3852" t="s">
        <v>72</v>
      </c>
      <c r="C3852" t="s">
        <v>73</v>
      </c>
      <c r="D3852" t="s">
        <v>911</v>
      </c>
      <c r="E3852">
        <v>80895447</v>
      </c>
      <c r="F3852" t="s">
        <v>2522</v>
      </c>
      <c r="G3852" s="3">
        <v>47270</v>
      </c>
      <c r="H3852">
        <v>36</v>
      </c>
      <c r="I3852">
        <v>100</v>
      </c>
      <c r="J3852">
        <v>792</v>
      </c>
      <c r="K3852" s="4">
        <v>850924.8</v>
      </c>
      <c r="L3852" s="4">
        <v>8173.7142857142853</v>
      </c>
      <c r="M3852" s="4">
        <v>9.6895973154362422E-2</v>
      </c>
      <c r="N3852" t="s">
        <v>25</v>
      </c>
      <c r="O3852" t="str">
        <f t="shared" si="600"/>
        <v>Low</v>
      </c>
      <c r="P3852" t="str">
        <f t="shared" si="601"/>
        <v>Low</v>
      </c>
      <c r="Q3852" t="str">
        <f t="shared" si="602"/>
        <v>Low</v>
      </c>
      <c r="R3852" t="s">
        <v>3309</v>
      </c>
      <c r="S3852" s="4">
        <f t="shared" ca="1" si="603"/>
        <v>1073</v>
      </c>
      <c r="T3852">
        <f t="shared" si="604"/>
        <v>1</v>
      </c>
      <c r="U3852">
        <f t="shared" si="605"/>
        <v>1</v>
      </c>
      <c r="V3852">
        <f t="shared" si="606"/>
        <v>1</v>
      </c>
      <c r="W3852">
        <f t="shared" si="607"/>
        <v>3</v>
      </c>
      <c r="X3852">
        <f t="shared" si="608"/>
        <v>1.2</v>
      </c>
      <c r="Y3852" t="str">
        <f t="shared" si="609"/>
        <v>Healthy</v>
      </c>
    </row>
    <row r="3853" spans="1:25" x14ac:dyDescent="0.35">
      <c r="A3853" t="s">
        <v>41</v>
      </c>
      <c r="B3853" t="s">
        <v>42</v>
      </c>
      <c r="C3853" t="s">
        <v>365</v>
      </c>
      <c r="D3853" t="s">
        <v>378</v>
      </c>
      <c r="E3853">
        <v>80889636</v>
      </c>
      <c r="F3853" t="s">
        <v>2525</v>
      </c>
      <c r="G3853" s="3">
        <v>47184</v>
      </c>
      <c r="H3853">
        <v>36</v>
      </c>
      <c r="I3853">
        <v>92</v>
      </c>
      <c r="J3853">
        <v>10</v>
      </c>
      <c r="K3853" s="4">
        <v>1832.7</v>
      </c>
      <c r="L3853" s="4">
        <v>345.14285714285717</v>
      </c>
      <c r="M3853" s="4">
        <v>2.8973509933774833E-2</v>
      </c>
      <c r="N3853" t="s">
        <v>25</v>
      </c>
      <c r="O3853" t="str">
        <f t="shared" si="600"/>
        <v>Low</v>
      </c>
      <c r="P3853" t="str">
        <f t="shared" si="601"/>
        <v>Low</v>
      </c>
      <c r="Q3853" t="str">
        <f t="shared" si="602"/>
        <v>Low</v>
      </c>
      <c r="R3853" t="s">
        <v>3317</v>
      </c>
      <c r="S3853" s="4">
        <f t="shared" ca="1" si="603"/>
        <v>987</v>
      </c>
      <c r="T3853">
        <f t="shared" si="604"/>
        <v>1</v>
      </c>
      <c r="U3853">
        <f t="shared" si="605"/>
        <v>1</v>
      </c>
      <c r="V3853">
        <f t="shared" si="606"/>
        <v>1</v>
      </c>
      <c r="W3853">
        <f t="shared" si="607"/>
        <v>1</v>
      </c>
      <c r="X3853">
        <f t="shared" si="608"/>
        <v>0.99999999999999989</v>
      </c>
      <c r="Y3853" t="str">
        <f t="shared" si="609"/>
        <v>Healthy</v>
      </c>
    </row>
    <row r="3854" spans="1:25" x14ac:dyDescent="0.35">
      <c r="A3854" t="s">
        <v>71</v>
      </c>
      <c r="B3854" t="s">
        <v>72</v>
      </c>
      <c r="C3854" t="s">
        <v>174</v>
      </c>
      <c r="D3854" t="s">
        <v>547</v>
      </c>
      <c r="E3854">
        <v>80887730</v>
      </c>
      <c r="F3854" t="s">
        <v>2526</v>
      </c>
      <c r="G3854" s="3">
        <v>47225</v>
      </c>
      <c r="H3854">
        <v>36</v>
      </c>
      <c r="I3854">
        <v>96</v>
      </c>
      <c r="J3854">
        <v>96</v>
      </c>
      <c r="K3854" s="4">
        <v>398401.92</v>
      </c>
      <c r="L3854" s="4">
        <v>44.857142857142854</v>
      </c>
      <c r="M3854" s="4">
        <v>2.1401273885350318</v>
      </c>
      <c r="N3854" t="s">
        <v>25</v>
      </c>
      <c r="O3854" t="str">
        <f t="shared" si="600"/>
        <v>Low</v>
      </c>
      <c r="P3854" t="str">
        <f t="shared" si="601"/>
        <v>Low</v>
      </c>
      <c r="Q3854" t="str">
        <f t="shared" si="602"/>
        <v>Low</v>
      </c>
      <c r="R3854" t="s">
        <v>3309</v>
      </c>
      <c r="S3854" s="4">
        <f t="shared" ca="1" si="603"/>
        <v>1028</v>
      </c>
      <c r="T3854">
        <f t="shared" si="604"/>
        <v>1</v>
      </c>
      <c r="U3854">
        <f t="shared" si="605"/>
        <v>1</v>
      </c>
      <c r="V3854">
        <f t="shared" si="606"/>
        <v>1</v>
      </c>
      <c r="W3854">
        <f t="shared" si="607"/>
        <v>3</v>
      </c>
      <c r="X3854">
        <f t="shared" si="608"/>
        <v>1.2</v>
      </c>
      <c r="Y3854" t="str">
        <f t="shared" si="609"/>
        <v>Healthy</v>
      </c>
    </row>
    <row r="3855" spans="1:25" x14ac:dyDescent="0.35">
      <c r="A3855" t="s">
        <v>71</v>
      </c>
      <c r="B3855" t="s">
        <v>72</v>
      </c>
      <c r="C3855" t="s">
        <v>174</v>
      </c>
      <c r="D3855" t="s">
        <v>547</v>
      </c>
      <c r="E3855">
        <v>80887730</v>
      </c>
      <c r="F3855" t="s">
        <v>2526</v>
      </c>
      <c r="G3855" s="3">
        <v>47257</v>
      </c>
      <c r="H3855">
        <v>36</v>
      </c>
      <c r="I3855">
        <v>99</v>
      </c>
      <c r="J3855">
        <v>51</v>
      </c>
      <c r="K3855" s="4">
        <v>211651.02</v>
      </c>
      <c r="L3855" s="4">
        <v>44.857142857142854</v>
      </c>
      <c r="M3855" s="4">
        <v>1.1369426751592357</v>
      </c>
      <c r="N3855" t="s">
        <v>25</v>
      </c>
      <c r="O3855" t="str">
        <f t="shared" si="600"/>
        <v>Low</v>
      </c>
      <c r="P3855" t="str">
        <f t="shared" si="601"/>
        <v>Low</v>
      </c>
      <c r="Q3855" t="str">
        <f t="shared" si="602"/>
        <v>Low</v>
      </c>
      <c r="R3855" t="s">
        <v>3309</v>
      </c>
      <c r="S3855" s="4">
        <f t="shared" ca="1" si="603"/>
        <v>1060</v>
      </c>
      <c r="T3855">
        <f t="shared" si="604"/>
        <v>1</v>
      </c>
      <c r="U3855">
        <f t="shared" si="605"/>
        <v>1</v>
      </c>
      <c r="V3855">
        <f t="shared" si="606"/>
        <v>1</v>
      </c>
      <c r="W3855">
        <f t="shared" si="607"/>
        <v>3</v>
      </c>
      <c r="X3855">
        <f t="shared" si="608"/>
        <v>1.2</v>
      </c>
      <c r="Y3855" t="str">
        <f t="shared" si="609"/>
        <v>Healthy</v>
      </c>
    </row>
    <row r="3856" spans="1:25" x14ac:dyDescent="0.35">
      <c r="A3856" t="s">
        <v>189</v>
      </c>
      <c r="B3856" t="s">
        <v>639</v>
      </c>
      <c r="C3856" t="s">
        <v>639</v>
      </c>
      <c r="D3856" t="s">
        <v>2527</v>
      </c>
      <c r="E3856">
        <v>80866095</v>
      </c>
      <c r="F3856" t="s">
        <v>2528</v>
      </c>
      <c r="G3856" s="3">
        <v>46546</v>
      </c>
      <c r="H3856">
        <v>18</v>
      </c>
      <c r="I3856">
        <v>66</v>
      </c>
      <c r="J3856">
        <v>6</v>
      </c>
      <c r="K3856" s="4">
        <v>2980.02</v>
      </c>
      <c r="L3856" s="4">
        <v>679</v>
      </c>
      <c r="M3856" s="4">
        <v>8.836524300441826E-3</v>
      </c>
      <c r="N3856" t="s">
        <v>25</v>
      </c>
      <c r="O3856" t="str">
        <f t="shared" si="600"/>
        <v>Low</v>
      </c>
      <c r="P3856" t="str">
        <f t="shared" si="601"/>
        <v>Low</v>
      </c>
      <c r="Q3856" t="str">
        <f t="shared" si="602"/>
        <v>Low</v>
      </c>
      <c r="R3856" t="s">
        <v>3317</v>
      </c>
      <c r="S3856" s="4">
        <f t="shared" ca="1" si="603"/>
        <v>349</v>
      </c>
      <c r="T3856">
        <f t="shared" si="604"/>
        <v>1</v>
      </c>
      <c r="U3856">
        <f t="shared" si="605"/>
        <v>1</v>
      </c>
      <c r="V3856">
        <f t="shared" si="606"/>
        <v>1</v>
      </c>
      <c r="W3856">
        <f t="shared" si="607"/>
        <v>1</v>
      </c>
      <c r="X3856">
        <f t="shared" si="608"/>
        <v>0.99999999999999989</v>
      </c>
      <c r="Y3856" t="str">
        <f t="shared" si="609"/>
        <v>Healthy</v>
      </c>
    </row>
    <row r="3857" spans="1:25" x14ac:dyDescent="0.35">
      <c r="A3857" t="s">
        <v>189</v>
      </c>
      <c r="B3857" t="s">
        <v>639</v>
      </c>
      <c r="C3857" t="s">
        <v>639</v>
      </c>
      <c r="D3857" t="s">
        <v>2527</v>
      </c>
      <c r="E3857">
        <v>80866095</v>
      </c>
      <c r="F3857" t="s">
        <v>2528</v>
      </c>
      <c r="G3857" s="3">
        <v>46538</v>
      </c>
      <c r="H3857">
        <v>18</v>
      </c>
      <c r="I3857">
        <v>64</v>
      </c>
      <c r="J3857">
        <v>223</v>
      </c>
      <c r="K3857" s="4">
        <v>110757.41</v>
      </c>
      <c r="L3857" s="4">
        <v>679</v>
      </c>
      <c r="M3857" s="4">
        <v>0.32842415316642121</v>
      </c>
      <c r="N3857" t="s">
        <v>25</v>
      </c>
      <c r="O3857" t="str">
        <f t="shared" si="600"/>
        <v>Low</v>
      </c>
      <c r="P3857" t="str">
        <f t="shared" si="601"/>
        <v>Low</v>
      </c>
      <c r="Q3857" t="str">
        <f t="shared" si="602"/>
        <v>Low</v>
      </c>
      <c r="R3857" t="s">
        <v>3310</v>
      </c>
      <c r="S3857" s="4">
        <f t="shared" ca="1" si="603"/>
        <v>341</v>
      </c>
      <c r="T3857">
        <f t="shared" si="604"/>
        <v>1</v>
      </c>
      <c r="U3857">
        <f t="shared" si="605"/>
        <v>1</v>
      </c>
      <c r="V3857">
        <f t="shared" si="606"/>
        <v>1</v>
      </c>
      <c r="W3857">
        <f t="shared" si="607"/>
        <v>2</v>
      </c>
      <c r="X3857">
        <f t="shared" si="608"/>
        <v>1.0999999999999999</v>
      </c>
      <c r="Y3857" t="str">
        <f t="shared" si="609"/>
        <v>Healthy</v>
      </c>
    </row>
    <row r="3858" spans="1:25" x14ac:dyDescent="0.35">
      <c r="A3858" t="s">
        <v>41</v>
      </c>
      <c r="B3858" t="s">
        <v>54</v>
      </c>
      <c r="C3858" t="s">
        <v>293</v>
      </c>
      <c r="D3858" t="s">
        <v>1738</v>
      </c>
      <c r="E3858">
        <v>80896304</v>
      </c>
      <c r="F3858" t="s">
        <v>2529</v>
      </c>
      <c r="G3858" s="3">
        <v>46521</v>
      </c>
      <c r="H3858">
        <v>18</v>
      </c>
      <c r="I3858">
        <v>61</v>
      </c>
      <c r="J3858">
        <v>40</v>
      </c>
      <c r="K3858" s="4">
        <v>1158.4000000000001</v>
      </c>
      <c r="L3858" s="4">
        <v>47215.142857142855</v>
      </c>
      <c r="M3858" s="4">
        <v>8.4718583021185703E-4</v>
      </c>
      <c r="N3858" t="s">
        <v>25</v>
      </c>
      <c r="O3858" t="str">
        <f t="shared" si="600"/>
        <v>Low</v>
      </c>
      <c r="P3858" t="str">
        <f t="shared" si="601"/>
        <v>Low</v>
      </c>
      <c r="Q3858" t="str">
        <f t="shared" si="602"/>
        <v>Low</v>
      </c>
      <c r="R3858" t="s">
        <v>3317</v>
      </c>
      <c r="S3858" s="4">
        <f t="shared" ca="1" si="603"/>
        <v>324</v>
      </c>
      <c r="T3858">
        <f t="shared" si="604"/>
        <v>1</v>
      </c>
      <c r="U3858">
        <f t="shared" si="605"/>
        <v>1</v>
      </c>
      <c r="V3858">
        <f t="shared" si="606"/>
        <v>1</v>
      </c>
      <c r="W3858">
        <f t="shared" si="607"/>
        <v>1</v>
      </c>
      <c r="X3858">
        <f t="shared" si="608"/>
        <v>0.99999999999999989</v>
      </c>
      <c r="Y3858" t="str">
        <f t="shared" si="609"/>
        <v>Healthy</v>
      </c>
    </row>
    <row r="3859" spans="1:25" x14ac:dyDescent="0.35">
      <c r="A3859" t="s">
        <v>41</v>
      </c>
      <c r="B3859" t="s">
        <v>54</v>
      </c>
      <c r="C3859" t="s">
        <v>293</v>
      </c>
      <c r="D3859" t="s">
        <v>1738</v>
      </c>
      <c r="E3859">
        <v>80896304</v>
      </c>
      <c r="F3859" t="s">
        <v>2529</v>
      </c>
      <c r="G3859" s="3">
        <v>46492</v>
      </c>
      <c r="H3859">
        <v>18</v>
      </c>
      <c r="I3859">
        <v>56</v>
      </c>
      <c r="J3859">
        <v>20</v>
      </c>
      <c r="K3859" s="4">
        <v>579.20000000000005</v>
      </c>
      <c r="L3859" s="4">
        <v>47215.142857142855</v>
      </c>
      <c r="M3859" s="4">
        <v>4.2359291510592851E-4</v>
      </c>
      <c r="N3859" t="s">
        <v>25</v>
      </c>
      <c r="O3859" t="str">
        <f t="shared" si="600"/>
        <v>Low</v>
      </c>
      <c r="P3859" t="str">
        <f t="shared" si="601"/>
        <v>Low</v>
      </c>
      <c r="Q3859" t="str">
        <f t="shared" si="602"/>
        <v>Low</v>
      </c>
      <c r="R3859" t="s">
        <v>3317</v>
      </c>
      <c r="S3859" s="4">
        <f t="shared" ca="1" si="603"/>
        <v>295</v>
      </c>
      <c r="T3859">
        <f t="shared" si="604"/>
        <v>1</v>
      </c>
      <c r="U3859">
        <f t="shared" si="605"/>
        <v>1</v>
      </c>
      <c r="V3859">
        <f t="shared" si="606"/>
        <v>1</v>
      </c>
      <c r="W3859">
        <f t="shared" si="607"/>
        <v>1</v>
      </c>
      <c r="X3859">
        <f t="shared" si="608"/>
        <v>0.99999999999999989</v>
      </c>
      <c r="Y3859" t="str">
        <f t="shared" si="609"/>
        <v>Healthy</v>
      </c>
    </row>
    <row r="3860" spans="1:25" x14ac:dyDescent="0.35">
      <c r="A3860" t="s">
        <v>41</v>
      </c>
      <c r="B3860" t="s">
        <v>54</v>
      </c>
      <c r="C3860" t="s">
        <v>293</v>
      </c>
      <c r="D3860" t="s">
        <v>1730</v>
      </c>
      <c r="E3860">
        <v>80896308</v>
      </c>
      <c r="F3860" t="s">
        <v>2530</v>
      </c>
      <c r="G3860" s="3">
        <v>46538</v>
      </c>
      <c r="H3860">
        <v>18</v>
      </c>
      <c r="I3860">
        <v>64</v>
      </c>
      <c r="J3860">
        <v>2</v>
      </c>
      <c r="K3860" s="4">
        <v>57.92</v>
      </c>
      <c r="L3860" s="4">
        <v>7297.4285714285716</v>
      </c>
      <c r="M3860" s="4">
        <v>2.7406914372968949E-4</v>
      </c>
      <c r="N3860" t="s">
        <v>25</v>
      </c>
      <c r="O3860" t="str">
        <f t="shared" si="600"/>
        <v>Low</v>
      </c>
      <c r="P3860" t="str">
        <f t="shared" si="601"/>
        <v>Low</v>
      </c>
      <c r="Q3860" t="str">
        <f t="shared" si="602"/>
        <v>Low</v>
      </c>
      <c r="R3860" t="s">
        <v>3317</v>
      </c>
      <c r="S3860" s="4">
        <f t="shared" ca="1" si="603"/>
        <v>341</v>
      </c>
      <c r="T3860">
        <f t="shared" si="604"/>
        <v>1</v>
      </c>
      <c r="U3860">
        <f t="shared" si="605"/>
        <v>1</v>
      </c>
      <c r="V3860">
        <f t="shared" si="606"/>
        <v>1</v>
      </c>
      <c r="W3860">
        <f t="shared" si="607"/>
        <v>1</v>
      </c>
      <c r="X3860">
        <f t="shared" si="608"/>
        <v>0.99999999999999989</v>
      </c>
      <c r="Y3860" t="str">
        <f t="shared" si="609"/>
        <v>Healthy</v>
      </c>
    </row>
    <row r="3861" spans="1:25" x14ac:dyDescent="0.35">
      <c r="A3861" t="s">
        <v>41</v>
      </c>
      <c r="B3861" t="s">
        <v>54</v>
      </c>
      <c r="C3861" t="s">
        <v>293</v>
      </c>
      <c r="D3861" t="s">
        <v>1163</v>
      </c>
      <c r="E3861">
        <v>80896310</v>
      </c>
      <c r="F3861" t="s">
        <v>2531</v>
      </c>
      <c r="G3861" s="3">
        <v>46513</v>
      </c>
      <c r="H3861">
        <v>18</v>
      </c>
      <c r="I3861">
        <v>59</v>
      </c>
      <c r="J3861">
        <v>200</v>
      </c>
      <c r="K3861" s="4">
        <v>13200</v>
      </c>
      <c r="L3861" s="4">
        <v>195.28571428571428</v>
      </c>
      <c r="M3861" s="4">
        <v>1.0241404535479153</v>
      </c>
      <c r="N3861" t="s">
        <v>25</v>
      </c>
      <c r="O3861" t="str">
        <f t="shared" si="600"/>
        <v>Low</v>
      </c>
      <c r="P3861" t="str">
        <f t="shared" si="601"/>
        <v>Low</v>
      </c>
      <c r="Q3861" t="str">
        <f t="shared" si="602"/>
        <v>Low</v>
      </c>
      <c r="R3861" t="s">
        <v>3317</v>
      </c>
      <c r="S3861" s="4">
        <f t="shared" ca="1" si="603"/>
        <v>316</v>
      </c>
      <c r="T3861">
        <f t="shared" si="604"/>
        <v>1</v>
      </c>
      <c r="U3861">
        <f t="shared" si="605"/>
        <v>1</v>
      </c>
      <c r="V3861">
        <f t="shared" si="606"/>
        <v>1</v>
      </c>
      <c r="W3861">
        <f t="shared" si="607"/>
        <v>1</v>
      </c>
      <c r="X3861">
        <f t="shared" si="608"/>
        <v>0.99999999999999989</v>
      </c>
      <c r="Y3861" t="str">
        <f t="shared" si="609"/>
        <v>Healthy</v>
      </c>
    </row>
    <row r="3862" spans="1:25" x14ac:dyDescent="0.35">
      <c r="A3862" t="s">
        <v>41</v>
      </c>
      <c r="B3862" t="s">
        <v>54</v>
      </c>
      <c r="C3862" t="s">
        <v>293</v>
      </c>
      <c r="D3862" t="s">
        <v>1744</v>
      </c>
      <c r="E3862">
        <v>80896311</v>
      </c>
      <c r="F3862" t="s">
        <v>2532</v>
      </c>
      <c r="G3862" s="3">
        <v>46625</v>
      </c>
      <c r="H3862">
        <v>18</v>
      </c>
      <c r="I3862">
        <v>80</v>
      </c>
      <c r="J3862">
        <v>40</v>
      </c>
      <c r="K3862" s="4">
        <v>2640</v>
      </c>
      <c r="L3862" s="4">
        <v>145.57142857142858</v>
      </c>
      <c r="M3862" s="4">
        <v>0.27477919528949951</v>
      </c>
      <c r="N3862" t="s">
        <v>25</v>
      </c>
      <c r="O3862" t="str">
        <f t="shared" si="600"/>
        <v>Low</v>
      </c>
      <c r="P3862" t="str">
        <f t="shared" si="601"/>
        <v>Low</v>
      </c>
      <c r="Q3862" t="str">
        <f t="shared" si="602"/>
        <v>Low</v>
      </c>
      <c r="R3862" t="s">
        <v>3317</v>
      </c>
      <c r="S3862" s="4">
        <f t="shared" ca="1" si="603"/>
        <v>428</v>
      </c>
      <c r="T3862">
        <f t="shared" si="604"/>
        <v>1</v>
      </c>
      <c r="U3862">
        <f t="shared" si="605"/>
        <v>1</v>
      </c>
      <c r="V3862">
        <f t="shared" si="606"/>
        <v>1</v>
      </c>
      <c r="W3862">
        <f t="shared" si="607"/>
        <v>1</v>
      </c>
      <c r="X3862">
        <f t="shared" si="608"/>
        <v>0.99999999999999989</v>
      </c>
      <c r="Y3862" t="str">
        <f t="shared" si="609"/>
        <v>Healthy</v>
      </c>
    </row>
    <row r="3863" spans="1:25" x14ac:dyDescent="0.35">
      <c r="A3863" t="s">
        <v>41</v>
      </c>
      <c r="B3863" t="s">
        <v>54</v>
      </c>
      <c r="C3863" t="s">
        <v>293</v>
      </c>
      <c r="D3863" t="s">
        <v>1744</v>
      </c>
      <c r="E3863">
        <v>80896311</v>
      </c>
      <c r="F3863" t="s">
        <v>2532</v>
      </c>
      <c r="G3863" s="3">
        <v>46669</v>
      </c>
      <c r="H3863">
        <v>18</v>
      </c>
      <c r="I3863">
        <v>88</v>
      </c>
      <c r="J3863">
        <v>318</v>
      </c>
      <c r="K3863" s="4">
        <v>20988</v>
      </c>
      <c r="L3863" s="4">
        <v>145.57142857142858</v>
      </c>
      <c r="M3863" s="4">
        <v>2.1844946025515211</v>
      </c>
      <c r="N3863" t="s">
        <v>25</v>
      </c>
      <c r="O3863" t="str">
        <f t="shared" si="600"/>
        <v>Low</v>
      </c>
      <c r="P3863" t="str">
        <f t="shared" si="601"/>
        <v>Low</v>
      </c>
      <c r="Q3863" t="str">
        <f t="shared" si="602"/>
        <v>Low</v>
      </c>
      <c r="R3863" t="s">
        <v>3317</v>
      </c>
      <c r="S3863" s="4">
        <f t="shared" ca="1" si="603"/>
        <v>472</v>
      </c>
      <c r="T3863">
        <f t="shared" si="604"/>
        <v>1</v>
      </c>
      <c r="U3863">
        <f t="shared" si="605"/>
        <v>1</v>
      </c>
      <c r="V3863">
        <f t="shared" si="606"/>
        <v>1</v>
      </c>
      <c r="W3863">
        <f t="shared" si="607"/>
        <v>1</v>
      </c>
      <c r="X3863">
        <f t="shared" si="608"/>
        <v>0.99999999999999989</v>
      </c>
      <c r="Y3863" t="str">
        <f t="shared" si="609"/>
        <v>Healthy</v>
      </c>
    </row>
    <row r="3864" spans="1:25" x14ac:dyDescent="0.35">
      <c r="A3864" t="s">
        <v>179</v>
      </c>
      <c r="B3864" t="s">
        <v>223</v>
      </c>
      <c r="C3864" t="s">
        <v>357</v>
      </c>
      <c r="D3864" t="s">
        <v>2533</v>
      </c>
      <c r="E3864">
        <v>80877372</v>
      </c>
      <c r="F3864" t="s">
        <v>2534</v>
      </c>
      <c r="G3864" s="3">
        <v>46724</v>
      </c>
      <c r="H3864">
        <v>18</v>
      </c>
      <c r="I3864">
        <v>99</v>
      </c>
      <c r="J3864">
        <v>1344</v>
      </c>
      <c r="K3864" s="4">
        <v>82481.279999999999</v>
      </c>
      <c r="L3864" s="4">
        <v>18918.285714285714</v>
      </c>
      <c r="M3864" s="4">
        <v>7.1042377744887794E-2</v>
      </c>
      <c r="N3864" t="s">
        <v>25</v>
      </c>
      <c r="O3864" t="str">
        <f t="shared" si="600"/>
        <v>Low</v>
      </c>
      <c r="P3864" t="str">
        <f t="shared" si="601"/>
        <v>Low</v>
      </c>
      <c r="Q3864" t="str">
        <f t="shared" si="602"/>
        <v>Low</v>
      </c>
      <c r="R3864" t="s">
        <v>3310</v>
      </c>
      <c r="S3864" s="4">
        <f t="shared" ca="1" si="603"/>
        <v>527</v>
      </c>
      <c r="T3864">
        <f t="shared" si="604"/>
        <v>1</v>
      </c>
      <c r="U3864">
        <f t="shared" si="605"/>
        <v>1</v>
      </c>
      <c r="V3864">
        <f t="shared" si="606"/>
        <v>1</v>
      </c>
      <c r="W3864">
        <f t="shared" si="607"/>
        <v>2</v>
      </c>
      <c r="X3864">
        <f t="shared" si="608"/>
        <v>1.0999999999999999</v>
      </c>
      <c r="Y3864" t="str">
        <f t="shared" si="609"/>
        <v>Healthy</v>
      </c>
    </row>
    <row r="3865" spans="1:25" x14ac:dyDescent="0.35">
      <c r="A3865" t="s">
        <v>179</v>
      </c>
      <c r="B3865" t="s">
        <v>223</v>
      </c>
      <c r="C3865" t="s">
        <v>357</v>
      </c>
      <c r="D3865" t="s">
        <v>2533</v>
      </c>
      <c r="E3865">
        <v>80877372</v>
      </c>
      <c r="F3865" t="s">
        <v>2534</v>
      </c>
      <c r="G3865" s="3">
        <v>46658</v>
      </c>
      <c r="H3865">
        <v>18</v>
      </c>
      <c r="I3865">
        <v>86</v>
      </c>
      <c r="J3865">
        <v>627</v>
      </c>
      <c r="K3865" s="4">
        <v>38478.99</v>
      </c>
      <c r="L3865" s="4">
        <v>18918.285714285714</v>
      </c>
      <c r="M3865" s="4">
        <v>3.3142537831878455E-2</v>
      </c>
      <c r="N3865" t="s">
        <v>25</v>
      </c>
      <c r="O3865" t="str">
        <f t="shared" si="600"/>
        <v>Low</v>
      </c>
      <c r="P3865" t="str">
        <f t="shared" si="601"/>
        <v>Low</v>
      </c>
      <c r="Q3865" t="str">
        <f t="shared" si="602"/>
        <v>Low</v>
      </c>
      <c r="R3865" t="s">
        <v>3317</v>
      </c>
      <c r="S3865" s="4">
        <f t="shared" ca="1" si="603"/>
        <v>461</v>
      </c>
      <c r="T3865">
        <f t="shared" si="604"/>
        <v>1</v>
      </c>
      <c r="U3865">
        <f t="shared" si="605"/>
        <v>1</v>
      </c>
      <c r="V3865">
        <f t="shared" si="606"/>
        <v>1</v>
      </c>
      <c r="W3865">
        <f t="shared" si="607"/>
        <v>1</v>
      </c>
      <c r="X3865">
        <f t="shared" si="608"/>
        <v>0.99999999999999989</v>
      </c>
      <c r="Y3865" t="str">
        <f t="shared" si="609"/>
        <v>Healthy</v>
      </c>
    </row>
    <row r="3866" spans="1:25" x14ac:dyDescent="0.35">
      <c r="A3866" t="s">
        <v>179</v>
      </c>
      <c r="B3866" t="s">
        <v>223</v>
      </c>
      <c r="C3866" t="s">
        <v>357</v>
      </c>
      <c r="D3866" t="s">
        <v>2533</v>
      </c>
      <c r="E3866">
        <v>80877372</v>
      </c>
      <c r="F3866" t="s">
        <v>2534</v>
      </c>
      <c r="G3866" s="3">
        <v>46722</v>
      </c>
      <c r="H3866">
        <v>18</v>
      </c>
      <c r="I3866">
        <v>98</v>
      </c>
      <c r="J3866">
        <v>5232</v>
      </c>
      <c r="K3866" s="4">
        <v>321087.84000000003</v>
      </c>
      <c r="L3866" s="4">
        <v>18918.285714285714</v>
      </c>
      <c r="M3866" s="4">
        <v>0.27655782764974174</v>
      </c>
      <c r="N3866" t="s">
        <v>25</v>
      </c>
      <c r="O3866" t="str">
        <f t="shared" si="600"/>
        <v>Low</v>
      </c>
      <c r="P3866" t="str">
        <f t="shared" si="601"/>
        <v>Low</v>
      </c>
      <c r="Q3866" t="str">
        <f t="shared" si="602"/>
        <v>Low</v>
      </c>
      <c r="R3866" t="s">
        <v>3309</v>
      </c>
      <c r="S3866" s="4">
        <f t="shared" ca="1" si="603"/>
        <v>525</v>
      </c>
      <c r="T3866">
        <f t="shared" si="604"/>
        <v>1</v>
      </c>
      <c r="U3866">
        <f t="shared" si="605"/>
        <v>1</v>
      </c>
      <c r="V3866">
        <f t="shared" si="606"/>
        <v>1</v>
      </c>
      <c r="W3866">
        <f t="shared" si="607"/>
        <v>3</v>
      </c>
      <c r="X3866">
        <f t="shared" si="608"/>
        <v>1.2</v>
      </c>
      <c r="Y3866" t="str">
        <f t="shared" si="609"/>
        <v>Healthy</v>
      </c>
    </row>
    <row r="3867" spans="1:25" x14ac:dyDescent="0.35">
      <c r="A3867" t="s">
        <v>179</v>
      </c>
      <c r="B3867" t="s">
        <v>223</v>
      </c>
      <c r="C3867" t="s">
        <v>357</v>
      </c>
      <c r="D3867" t="s">
        <v>2533</v>
      </c>
      <c r="E3867">
        <v>80877372</v>
      </c>
      <c r="F3867" t="s">
        <v>2534</v>
      </c>
      <c r="G3867" s="3">
        <v>46676</v>
      </c>
      <c r="H3867">
        <v>18</v>
      </c>
      <c r="I3867">
        <v>90</v>
      </c>
      <c r="J3867">
        <v>864</v>
      </c>
      <c r="K3867" s="4">
        <v>53023.68</v>
      </c>
      <c r="L3867" s="4">
        <v>18918.285714285714</v>
      </c>
      <c r="M3867" s="4">
        <v>4.5670099978856439E-2</v>
      </c>
      <c r="N3867" t="s">
        <v>25</v>
      </c>
      <c r="O3867" t="str">
        <f t="shared" si="600"/>
        <v>Low</v>
      </c>
      <c r="P3867" t="str">
        <f t="shared" si="601"/>
        <v>Low</v>
      </c>
      <c r="Q3867" t="str">
        <f t="shared" si="602"/>
        <v>Low</v>
      </c>
      <c r="R3867" t="s">
        <v>3317</v>
      </c>
      <c r="S3867" s="4">
        <f t="shared" ca="1" si="603"/>
        <v>479</v>
      </c>
      <c r="T3867">
        <f t="shared" si="604"/>
        <v>1</v>
      </c>
      <c r="U3867">
        <f t="shared" si="605"/>
        <v>1</v>
      </c>
      <c r="V3867">
        <f t="shared" si="606"/>
        <v>1</v>
      </c>
      <c r="W3867">
        <f t="shared" si="607"/>
        <v>1</v>
      </c>
      <c r="X3867">
        <f t="shared" si="608"/>
        <v>0.99999999999999989</v>
      </c>
      <c r="Y3867" t="str">
        <f t="shared" si="609"/>
        <v>Healthy</v>
      </c>
    </row>
    <row r="3868" spans="1:25" x14ac:dyDescent="0.35">
      <c r="A3868" t="s">
        <v>179</v>
      </c>
      <c r="B3868" t="s">
        <v>223</v>
      </c>
      <c r="C3868" t="s">
        <v>357</v>
      </c>
      <c r="D3868" t="s">
        <v>2533</v>
      </c>
      <c r="E3868">
        <v>80877372</v>
      </c>
      <c r="F3868" t="s">
        <v>2534</v>
      </c>
      <c r="G3868" s="3">
        <v>46674</v>
      </c>
      <c r="H3868">
        <v>18</v>
      </c>
      <c r="I3868">
        <v>89</v>
      </c>
      <c r="J3868">
        <v>528</v>
      </c>
      <c r="K3868" s="4">
        <v>32403.360000000001</v>
      </c>
      <c r="L3868" s="4">
        <v>18918.285714285714</v>
      </c>
      <c r="M3868" s="4">
        <v>2.7909505542634491E-2</v>
      </c>
      <c r="N3868" t="s">
        <v>25</v>
      </c>
      <c r="O3868" t="str">
        <f t="shared" si="600"/>
        <v>Low</v>
      </c>
      <c r="P3868" t="str">
        <f t="shared" si="601"/>
        <v>Low</v>
      </c>
      <c r="Q3868" t="str">
        <f t="shared" si="602"/>
        <v>Low</v>
      </c>
      <c r="R3868" t="s">
        <v>3317</v>
      </c>
      <c r="S3868" s="4">
        <f t="shared" ca="1" si="603"/>
        <v>477</v>
      </c>
      <c r="T3868">
        <f t="shared" si="604"/>
        <v>1</v>
      </c>
      <c r="U3868">
        <f t="shared" si="605"/>
        <v>1</v>
      </c>
      <c r="V3868">
        <f t="shared" si="606"/>
        <v>1</v>
      </c>
      <c r="W3868">
        <f t="shared" si="607"/>
        <v>1</v>
      </c>
      <c r="X3868">
        <f t="shared" si="608"/>
        <v>0.99999999999999989</v>
      </c>
      <c r="Y3868" t="str">
        <f t="shared" si="609"/>
        <v>Healthy</v>
      </c>
    </row>
    <row r="3869" spans="1:25" x14ac:dyDescent="0.35">
      <c r="A3869" t="s">
        <v>41</v>
      </c>
      <c r="B3869" t="s">
        <v>54</v>
      </c>
      <c r="C3869" t="s">
        <v>55</v>
      </c>
      <c r="D3869" t="s">
        <v>445</v>
      </c>
      <c r="E3869">
        <v>80739004</v>
      </c>
      <c r="F3869" t="s">
        <v>2535</v>
      </c>
      <c r="G3869" s="3">
        <v>46035</v>
      </c>
      <c r="H3869">
        <v>36</v>
      </c>
      <c r="I3869">
        <v>0</v>
      </c>
      <c r="J3869">
        <v>6</v>
      </c>
      <c r="K3869" s="4">
        <v>4651.08</v>
      </c>
      <c r="L3869" s="4">
        <v>0.14285714285714285</v>
      </c>
      <c r="M3869" s="4">
        <v>42</v>
      </c>
      <c r="N3869" t="s">
        <v>19</v>
      </c>
      <c r="O3869" t="str">
        <f t="shared" si="600"/>
        <v>High</v>
      </c>
      <c r="P3869" t="str">
        <f t="shared" si="601"/>
        <v>High</v>
      </c>
      <c r="Q3869" t="str">
        <f t="shared" si="602"/>
        <v>High</v>
      </c>
      <c r="R3869" t="s">
        <v>3317</v>
      </c>
      <c r="S3869" s="4">
        <f t="shared" ca="1" si="603"/>
        <v>-162</v>
      </c>
      <c r="T3869">
        <f t="shared" si="604"/>
        <v>3</v>
      </c>
      <c r="U3869">
        <f t="shared" si="605"/>
        <v>3</v>
      </c>
      <c r="V3869">
        <f t="shared" si="606"/>
        <v>3</v>
      </c>
      <c r="W3869">
        <f t="shared" si="607"/>
        <v>1</v>
      </c>
      <c r="X3869">
        <f t="shared" si="608"/>
        <v>2.8000000000000003</v>
      </c>
      <c r="Y3869" t="str">
        <f t="shared" si="609"/>
        <v>Move Immediately</v>
      </c>
    </row>
    <row r="3870" spans="1:25" x14ac:dyDescent="0.35">
      <c r="A3870" t="s">
        <v>179</v>
      </c>
      <c r="B3870" t="s">
        <v>223</v>
      </c>
      <c r="C3870" t="s">
        <v>357</v>
      </c>
      <c r="D3870" t="s">
        <v>2533</v>
      </c>
      <c r="E3870">
        <v>80877372</v>
      </c>
      <c r="F3870" t="s">
        <v>2534</v>
      </c>
      <c r="G3870" s="3">
        <v>46646</v>
      </c>
      <c r="H3870">
        <v>18</v>
      </c>
      <c r="I3870">
        <v>84</v>
      </c>
      <c r="J3870">
        <v>961</v>
      </c>
      <c r="K3870" s="4">
        <v>58976.57</v>
      </c>
      <c r="L3870" s="4">
        <v>18918.285714285714</v>
      </c>
      <c r="M3870" s="4">
        <v>5.0797414444075276E-2</v>
      </c>
      <c r="N3870" t="s">
        <v>25</v>
      </c>
      <c r="O3870" t="str">
        <f t="shared" si="600"/>
        <v>Low</v>
      </c>
      <c r="P3870" t="str">
        <f t="shared" si="601"/>
        <v>Low</v>
      </c>
      <c r="Q3870" t="str">
        <f t="shared" si="602"/>
        <v>Low</v>
      </c>
      <c r="R3870" t="s">
        <v>3317</v>
      </c>
      <c r="S3870" s="4">
        <f t="shared" ca="1" si="603"/>
        <v>449</v>
      </c>
      <c r="T3870">
        <f t="shared" si="604"/>
        <v>1</v>
      </c>
      <c r="U3870">
        <f t="shared" si="605"/>
        <v>1</v>
      </c>
      <c r="V3870">
        <f t="shared" si="606"/>
        <v>1</v>
      </c>
      <c r="W3870">
        <f t="shared" si="607"/>
        <v>1</v>
      </c>
      <c r="X3870">
        <f t="shared" si="608"/>
        <v>0.99999999999999989</v>
      </c>
      <c r="Y3870" t="str">
        <f t="shared" si="609"/>
        <v>Healthy</v>
      </c>
    </row>
    <row r="3871" spans="1:25" x14ac:dyDescent="0.35">
      <c r="A3871" t="s">
        <v>179</v>
      </c>
      <c r="B3871" t="s">
        <v>223</v>
      </c>
      <c r="C3871" t="s">
        <v>357</v>
      </c>
      <c r="D3871" t="s">
        <v>2533</v>
      </c>
      <c r="E3871">
        <v>80877372</v>
      </c>
      <c r="F3871" t="s">
        <v>2534</v>
      </c>
      <c r="G3871" s="3">
        <v>46666</v>
      </c>
      <c r="H3871">
        <v>18</v>
      </c>
      <c r="I3871">
        <v>88</v>
      </c>
      <c r="J3871">
        <v>816</v>
      </c>
      <c r="K3871" s="4">
        <v>50077.919999999998</v>
      </c>
      <c r="L3871" s="4">
        <v>18918.285714285714</v>
      </c>
      <c r="M3871" s="4">
        <v>4.31328722022533E-2</v>
      </c>
      <c r="N3871" t="s">
        <v>25</v>
      </c>
      <c r="O3871" t="str">
        <f t="shared" si="600"/>
        <v>Low</v>
      </c>
      <c r="P3871" t="str">
        <f t="shared" si="601"/>
        <v>Low</v>
      </c>
      <c r="Q3871" t="str">
        <f t="shared" si="602"/>
        <v>Low</v>
      </c>
      <c r="R3871" t="s">
        <v>3317</v>
      </c>
      <c r="S3871" s="4">
        <f t="shared" ca="1" si="603"/>
        <v>469</v>
      </c>
      <c r="T3871">
        <f t="shared" si="604"/>
        <v>1</v>
      </c>
      <c r="U3871">
        <f t="shared" si="605"/>
        <v>1</v>
      </c>
      <c r="V3871">
        <f t="shared" si="606"/>
        <v>1</v>
      </c>
      <c r="W3871">
        <f t="shared" si="607"/>
        <v>1</v>
      </c>
      <c r="X3871">
        <f t="shared" si="608"/>
        <v>0.99999999999999989</v>
      </c>
      <c r="Y3871" t="str">
        <f t="shared" si="609"/>
        <v>Healthy</v>
      </c>
    </row>
    <row r="3872" spans="1:25" x14ac:dyDescent="0.35">
      <c r="A3872" t="s">
        <v>179</v>
      </c>
      <c r="B3872" t="s">
        <v>223</v>
      </c>
      <c r="C3872" t="s">
        <v>357</v>
      </c>
      <c r="D3872" t="s">
        <v>2533</v>
      </c>
      <c r="E3872">
        <v>80877372</v>
      </c>
      <c r="F3872" t="s">
        <v>2534</v>
      </c>
      <c r="G3872" s="3">
        <v>46646</v>
      </c>
      <c r="H3872">
        <v>18</v>
      </c>
      <c r="I3872">
        <v>84</v>
      </c>
      <c r="J3872">
        <v>824</v>
      </c>
      <c r="K3872" s="4">
        <v>50568.88</v>
      </c>
      <c r="L3872" s="4">
        <v>18918.285714285714</v>
      </c>
      <c r="M3872" s="4">
        <v>4.3555743498353824E-2</v>
      </c>
      <c r="N3872" t="s">
        <v>25</v>
      </c>
      <c r="O3872" t="str">
        <f t="shared" si="600"/>
        <v>Low</v>
      </c>
      <c r="P3872" t="str">
        <f t="shared" si="601"/>
        <v>Low</v>
      </c>
      <c r="Q3872" t="str">
        <f t="shared" si="602"/>
        <v>Low</v>
      </c>
      <c r="R3872" t="s">
        <v>3317</v>
      </c>
      <c r="S3872" s="4">
        <f t="shared" ca="1" si="603"/>
        <v>449</v>
      </c>
      <c r="T3872">
        <f t="shared" si="604"/>
        <v>1</v>
      </c>
      <c r="U3872">
        <f t="shared" si="605"/>
        <v>1</v>
      </c>
      <c r="V3872">
        <f t="shared" si="606"/>
        <v>1</v>
      </c>
      <c r="W3872">
        <f t="shared" si="607"/>
        <v>1</v>
      </c>
      <c r="X3872">
        <f t="shared" si="608"/>
        <v>0.99999999999999989</v>
      </c>
      <c r="Y3872" t="str">
        <f t="shared" si="609"/>
        <v>Healthy</v>
      </c>
    </row>
    <row r="3873" spans="1:25" x14ac:dyDescent="0.35">
      <c r="A3873" t="s">
        <v>179</v>
      </c>
      <c r="B3873" t="s">
        <v>223</v>
      </c>
      <c r="C3873" t="s">
        <v>357</v>
      </c>
      <c r="D3873" t="s">
        <v>2533</v>
      </c>
      <c r="E3873">
        <v>80877372</v>
      </c>
      <c r="F3873" t="s">
        <v>2534</v>
      </c>
      <c r="G3873" s="3">
        <v>46667</v>
      </c>
      <c r="H3873">
        <v>18</v>
      </c>
      <c r="I3873">
        <v>88</v>
      </c>
      <c r="J3873">
        <v>30</v>
      </c>
      <c r="K3873" s="4">
        <v>1841.1</v>
      </c>
      <c r="L3873" s="4">
        <v>18918.285714285714</v>
      </c>
      <c r="M3873" s="4">
        <v>1.5857673603769597E-3</v>
      </c>
      <c r="N3873" t="s">
        <v>25</v>
      </c>
      <c r="O3873" t="str">
        <f t="shared" si="600"/>
        <v>Low</v>
      </c>
      <c r="P3873" t="str">
        <f t="shared" si="601"/>
        <v>Low</v>
      </c>
      <c r="Q3873" t="str">
        <f t="shared" si="602"/>
        <v>Low</v>
      </c>
      <c r="R3873" t="s">
        <v>3317</v>
      </c>
      <c r="S3873" s="4">
        <f t="shared" ca="1" si="603"/>
        <v>470</v>
      </c>
      <c r="T3873">
        <f t="shared" si="604"/>
        <v>1</v>
      </c>
      <c r="U3873">
        <f t="shared" si="605"/>
        <v>1</v>
      </c>
      <c r="V3873">
        <f t="shared" si="606"/>
        <v>1</v>
      </c>
      <c r="W3873">
        <f t="shared" si="607"/>
        <v>1</v>
      </c>
      <c r="X3873">
        <f t="shared" si="608"/>
        <v>0.99999999999999989</v>
      </c>
      <c r="Y3873" t="str">
        <f t="shared" si="609"/>
        <v>Healthy</v>
      </c>
    </row>
    <row r="3874" spans="1:25" x14ac:dyDescent="0.35">
      <c r="A3874" t="s">
        <v>179</v>
      </c>
      <c r="B3874" t="s">
        <v>223</v>
      </c>
      <c r="C3874" t="s">
        <v>357</v>
      </c>
      <c r="D3874" t="s">
        <v>2533</v>
      </c>
      <c r="E3874">
        <v>80877372</v>
      </c>
      <c r="F3874" t="s">
        <v>2534</v>
      </c>
      <c r="G3874" s="3">
        <v>46673</v>
      </c>
      <c r="H3874">
        <v>18</v>
      </c>
      <c r="I3874">
        <v>89</v>
      </c>
      <c r="J3874">
        <v>154</v>
      </c>
      <c r="K3874" s="4">
        <v>9450.98</v>
      </c>
      <c r="L3874" s="4">
        <v>18918.285714285714</v>
      </c>
      <c r="M3874" s="4">
        <v>8.1402724499350584E-3</v>
      </c>
      <c r="N3874" t="s">
        <v>25</v>
      </c>
      <c r="O3874" t="str">
        <f t="shared" si="600"/>
        <v>Low</v>
      </c>
      <c r="P3874" t="str">
        <f t="shared" si="601"/>
        <v>Low</v>
      </c>
      <c r="Q3874" t="str">
        <f t="shared" si="602"/>
        <v>Low</v>
      </c>
      <c r="R3874" t="s">
        <v>3317</v>
      </c>
      <c r="S3874" s="4">
        <f t="shared" ca="1" si="603"/>
        <v>476</v>
      </c>
      <c r="T3874">
        <f t="shared" si="604"/>
        <v>1</v>
      </c>
      <c r="U3874">
        <f t="shared" si="605"/>
        <v>1</v>
      </c>
      <c r="V3874">
        <f t="shared" si="606"/>
        <v>1</v>
      </c>
      <c r="W3874">
        <f t="shared" si="607"/>
        <v>1</v>
      </c>
      <c r="X3874">
        <f t="shared" si="608"/>
        <v>0.99999999999999989</v>
      </c>
      <c r="Y3874" t="str">
        <f t="shared" si="609"/>
        <v>Healthy</v>
      </c>
    </row>
    <row r="3875" spans="1:25" x14ac:dyDescent="0.35">
      <c r="A3875" t="s">
        <v>179</v>
      </c>
      <c r="B3875" t="s">
        <v>223</v>
      </c>
      <c r="C3875" t="s">
        <v>357</v>
      </c>
      <c r="D3875" t="s">
        <v>2533</v>
      </c>
      <c r="E3875">
        <v>80877372</v>
      </c>
      <c r="F3875" t="s">
        <v>2534</v>
      </c>
      <c r="G3875" s="3">
        <v>46673</v>
      </c>
      <c r="H3875">
        <v>18</v>
      </c>
      <c r="I3875">
        <v>89</v>
      </c>
      <c r="J3875">
        <v>778</v>
      </c>
      <c r="K3875" s="4">
        <v>47745.86</v>
      </c>
      <c r="L3875" s="4">
        <v>18918.285714285714</v>
      </c>
      <c r="M3875" s="4">
        <v>4.1124233545775817E-2</v>
      </c>
      <c r="N3875" t="s">
        <v>25</v>
      </c>
      <c r="O3875" t="str">
        <f t="shared" si="600"/>
        <v>Low</v>
      </c>
      <c r="P3875" t="str">
        <f t="shared" si="601"/>
        <v>Low</v>
      </c>
      <c r="Q3875" t="str">
        <f t="shared" si="602"/>
        <v>Low</v>
      </c>
      <c r="R3875" t="s">
        <v>3317</v>
      </c>
      <c r="S3875" s="4">
        <f t="shared" ca="1" si="603"/>
        <v>476</v>
      </c>
      <c r="T3875">
        <f t="shared" si="604"/>
        <v>1</v>
      </c>
      <c r="U3875">
        <f t="shared" si="605"/>
        <v>1</v>
      </c>
      <c r="V3875">
        <f t="shared" si="606"/>
        <v>1</v>
      </c>
      <c r="W3875">
        <f t="shared" si="607"/>
        <v>1</v>
      </c>
      <c r="X3875">
        <f t="shared" si="608"/>
        <v>0.99999999999999989</v>
      </c>
      <c r="Y3875" t="str">
        <f t="shared" si="609"/>
        <v>Healthy</v>
      </c>
    </row>
    <row r="3876" spans="1:25" x14ac:dyDescent="0.35">
      <c r="A3876" t="s">
        <v>179</v>
      </c>
      <c r="B3876" t="s">
        <v>223</v>
      </c>
      <c r="C3876" t="s">
        <v>357</v>
      </c>
      <c r="D3876" t="s">
        <v>2533</v>
      </c>
      <c r="E3876">
        <v>80877372</v>
      </c>
      <c r="F3876" t="s">
        <v>2534</v>
      </c>
      <c r="G3876" s="3">
        <v>46675</v>
      </c>
      <c r="H3876">
        <v>18</v>
      </c>
      <c r="I3876">
        <v>89</v>
      </c>
      <c r="J3876">
        <v>586</v>
      </c>
      <c r="K3876" s="4">
        <v>35962.82</v>
      </c>
      <c r="L3876" s="4">
        <v>18918.285714285714</v>
      </c>
      <c r="M3876" s="4">
        <v>3.0975322439363278E-2</v>
      </c>
      <c r="N3876" t="s">
        <v>25</v>
      </c>
      <c r="O3876" t="str">
        <f t="shared" si="600"/>
        <v>Low</v>
      </c>
      <c r="P3876" t="str">
        <f t="shared" si="601"/>
        <v>Low</v>
      </c>
      <c r="Q3876" t="str">
        <f t="shared" si="602"/>
        <v>Low</v>
      </c>
      <c r="R3876" t="s">
        <v>3317</v>
      </c>
      <c r="S3876" s="4">
        <f t="shared" ca="1" si="603"/>
        <v>478</v>
      </c>
      <c r="T3876">
        <f t="shared" si="604"/>
        <v>1</v>
      </c>
      <c r="U3876">
        <f t="shared" si="605"/>
        <v>1</v>
      </c>
      <c r="V3876">
        <f t="shared" si="606"/>
        <v>1</v>
      </c>
      <c r="W3876">
        <f t="shared" si="607"/>
        <v>1</v>
      </c>
      <c r="X3876">
        <f t="shared" si="608"/>
        <v>0.99999999999999989</v>
      </c>
      <c r="Y3876" t="str">
        <f t="shared" si="609"/>
        <v>Healthy</v>
      </c>
    </row>
    <row r="3877" spans="1:25" x14ac:dyDescent="0.35">
      <c r="A3877" t="s">
        <v>179</v>
      </c>
      <c r="B3877" t="s">
        <v>223</v>
      </c>
      <c r="C3877" t="s">
        <v>357</v>
      </c>
      <c r="D3877" t="s">
        <v>2536</v>
      </c>
      <c r="E3877">
        <v>80877400</v>
      </c>
      <c r="F3877" t="s">
        <v>2537</v>
      </c>
      <c r="G3877" s="3">
        <v>46653</v>
      </c>
      <c r="H3877">
        <v>18</v>
      </c>
      <c r="I3877">
        <v>85</v>
      </c>
      <c r="J3877">
        <v>467</v>
      </c>
      <c r="K3877" s="4">
        <v>165626.22</v>
      </c>
      <c r="L3877" s="4">
        <v>1615</v>
      </c>
      <c r="M3877" s="4">
        <v>0.28916408668730648</v>
      </c>
      <c r="N3877" t="s">
        <v>25</v>
      </c>
      <c r="O3877" t="str">
        <f t="shared" si="600"/>
        <v>Low</v>
      </c>
      <c r="P3877" t="str">
        <f t="shared" si="601"/>
        <v>Low</v>
      </c>
      <c r="Q3877" t="str">
        <f t="shared" si="602"/>
        <v>Low</v>
      </c>
      <c r="R3877" t="s">
        <v>3309</v>
      </c>
      <c r="S3877" s="4">
        <f t="shared" ca="1" si="603"/>
        <v>456</v>
      </c>
      <c r="T3877">
        <f t="shared" si="604"/>
        <v>1</v>
      </c>
      <c r="U3877">
        <f t="shared" si="605"/>
        <v>1</v>
      </c>
      <c r="V3877">
        <f t="shared" si="606"/>
        <v>1</v>
      </c>
      <c r="W3877">
        <f t="shared" si="607"/>
        <v>3</v>
      </c>
      <c r="X3877">
        <f t="shared" si="608"/>
        <v>1.2</v>
      </c>
      <c r="Y3877" t="str">
        <f t="shared" si="609"/>
        <v>Healthy</v>
      </c>
    </row>
    <row r="3878" spans="1:25" x14ac:dyDescent="0.35">
      <c r="A3878" t="s">
        <v>179</v>
      </c>
      <c r="B3878" t="s">
        <v>223</v>
      </c>
      <c r="C3878" t="s">
        <v>357</v>
      </c>
      <c r="D3878" t="s">
        <v>2536</v>
      </c>
      <c r="E3878">
        <v>80877400</v>
      </c>
      <c r="F3878" t="s">
        <v>2537</v>
      </c>
      <c r="G3878" s="3">
        <v>46726</v>
      </c>
      <c r="H3878">
        <v>18</v>
      </c>
      <c r="I3878">
        <v>99</v>
      </c>
      <c r="J3878">
        <v>184</v>
      </c>
      <c r="K3878" s="4">
        <v>65257.440000000002</v>
      </c>
      <c r="L3878" s="4">
        <v>1615</v>
      </c>
      <c r="M3878" s="4">
        <v>0.11393188854489164</v>
      </c>
      <c r="N3878" t="s">
        <v>25</v>
      </c>
      <c r="O3878" t="str">
        <f t="shared" si="600"/>
        <v>Low</v>
      </c>
      <c r="P3878" t="str">
        <f t="shared" si="601"/>
        <v>Low</v>
      </c>
      <c r="Q3878" t="str">
        <f t="shared" si="602"/>
        <v>Low</v>
      </c>
      <c r="R3878" t="s">
        <v>3317</v>
      </c>
      <c r="S3878" s="4">
        <f t="shared" ca="1" si="603"/>
        <v>529</v>
      </c>
      <c r="T3878">
        <f t="shared" si="604"/>
        <v>1</v>
      </c>
      <c r="U3878">
        <f t="shared" si="605"/>
        <v>1</v>
      </c>
      <c r="V3878">
        <f t="shared" si="606"/>
        <v>1</v>
      </c>
      <c r="W3878">
        <f t="shared" si="607"/>
        <v>1</v>
      </c>
      <c r="X3878">
        <f t="shared" si="608"/>
        <v>0.99999999999999989</v>
      </c>
      <c r="Y3878" t="str">
        <f t="shared" si="609"/>
        <v>Healthy</v>
      </c>
    </row>
    <row r="3879" spans="1:25" x14ac:dyDescent="0.35">
      <c r="A3879" t="s">
        <v>179</v>
      </c>
      <c r="B3879" t="s">
        <v>223</v>
      </c>
      <c r="C3879" t="s">
        <v>357</v>
      </c>
      <c r="D3879" t="s">
        <v>2536</v>
      </c>
      <c r="E3879">
        <v>80877400</v>
      </c>
      <c r="F3879" t="s">
        <v>2537</v>
      </c>
      <c r="G3879" s="3">
        <v>46706</v>
      </c>
      <c r="H3879">
        <v>18</v>
      </c>
      <c r="I3879">
        <v>95</v>
      </c>
      <c r="J3879">
        <v>176</v>
      </c>
      <c r="K3879" s="4">
        <v>62420.160000000003</v>
      </c>
      <c r="L3879" s="4">
        <v>1615</v>
      </c>
      <c r="M3879" s="4">
        <v>0.10897832817337462</v>
      </c>
      <c r="N3879" t="s">
        <v>25</v>
      </c>
      <c r="O3879" t="str">
        <f t="shared" si="600"/>
        <v>Low</v>
      </c>
      <c r="P3879" t="str">
        <f t="shared" si="601"/>
        <v>Low</v>
      </c>
      <c r="Q3879" t="str">
        <f t="shared" si="602"/>
        <v>Low</v>
      </c>
      <c r="R3879" t="s">
        <v>3317</v>
      </c>
      <c r="S3879" s="4">
        <f t="shared" ca="1" si="603"/>
        <v>509</v>
      </c>
      <c r="T3879">
        <f t="shared" si="604"/>
        <v>1</v>
      </c>
      <c r="U3879">
        <f t="shared" si="605"/>
        <v>1</v>
      </c>
      <c r="V3879">
        <f t="shared" si="606"/>
        <v>1</v>
      </c>
      <c r="W3879">
        <f t="shared" si="607"/>
        <v>1</v>
      </c>
      <c r="X3879">
        <f t="shared" si="608"/>
        <v>0.99999999999999989</v>
      </c>
      <c r="Y3879" t="str">
        <f t="shared" si="609"/>
        <v>Healthy</v>
      </c>
    </row>
    <row r="3880" spans="1:25" x14ac:dyDescent="0.35">
      <c r="A3880" t="s">
        <v>179</v>
      </c>
      <c r="B3880" t="s">
        <v>223</v>
      </c>
      <c r="C3880" t="s">
        <v>357</v>
      </c>
      <c r="D3880" t="s">
        <v>2536</v>
      </c>
      <c r="E3880">
        <v>80877400</v>
      </c>
      <c r="F3880" t="s">
        <v>2537</v>
      </c>
      <c r="G3880" s="3">
        <v>46653</v>
      </c>
      <c r="H3880">
        <v>18</v>
      </c>
      <c r="I3880">
        <v>85</v>
      </c>
      <c r="J3880">
        <v>221</v>
      </c>
      <c r="K3880" s="4">
        <v>78379.86</v>
      </c>
      <c r="L3880" s="4">
        <v>1615</v>
      </c>
      <c r="M3880" s="4">
        <v>0.1368421052631579</v>
      </c>
      <c r="N3880" t="s">
        <v>25</v>
      </c>
      <c r="O3880" t="str">
        <f t="shared" si="600"/>
        <v>Low</v>
      </c>
      <c r="P3880" t="str">
        <f t="shared" si="601"/>
        <v>Low</v>
      </c>
      <c r="Q3880" t="str">
        <f t="shared" si="602"/>
        <v>Low</v>
      </c>
      <c r="R3880" t="s">
        <v>3310</v>
      </c>
      <c r="S3880" s="4">
        <f t="shared" ca="1" si="603"/>
        <v>456</v>
      </c>
      <c r="T3880">
        <f t="shared" si="604"/>
        <v>1</v>
      </c>
      <c r="U3880">
        <f t="shared" si="605"/>
        <v>1</v>
      </c>
      <c r="V3880">
        <f t="shared" si="606"/>
        <v>1</v>
      </c>
      <c r="W3880">
        <f t="shared" si="607"/>
        <v>2</v>
      </c>
      <c r="X3880">
        <f t="shared" si="608"/>
        <v>1.0999999999999999</v>
      </c>
      <c r="Y3880" t="str">
        <f t="shared" si="609"/>
        <v>Healthy</v>
      </c>
    </row>
    <row r="3881" spans="1:25" x14ac:dyDescent="0.35">
      <c r="A3881" t="s">
        <v>179</v>
      </c>
      <c r="B3881" t="s">
        <v>223</v>
      </c>
      <c r="C3881" t="s">
        <v>357</v>
      </c>
      <c r="D3881" t="s">
        <v>2536</v>
      </c>
      <c r="E3881">
        <v>80877400</v>
      </c>
      <c r="F3881" t="s">
        <v>2537</v>
      </c>
      <c r="G3881" s="3">
        <v>46705</v>
      </c>
      <c r="H3881">
        <v>18</v>
      </c>
      <c r="I3881">
        <v>95</v>
      </c>
      <c r="J3881">
        <v>320</v>
      </c>
      <c r="K3881" s="4">
        <v>113491.2</v>
      </c>
      <c r="L3881" s="4">
        <v>1615</v>
      </c>
      <c r="M3881" s="4">
        <v>0.19814241486068113</v>
      </c>
      <c r="N3881" t="s">
        <v>25</v>
      </c>
      <c r="O3881" t="str">
        <f t="shared" si="600"/>
        <v>Low</v>
      </c>
      <c r="P3881" t="str">
        <f t="shared" si="601"/>
        <v>Low</v>
      </c>
      <c r="Q3881" t="str">
        <f t="shared" si="602"/>
        <v>Low</v>
      </c>
      <c r="R3881" t="s">
        <v>3310</v>
      </c>
      <c r="S3881" s="4">
        <f t="shared" ca="1" si="603"/>
        <v>508</v>
      </c>
      <c r="T3881">
        <f t="shared" si="604"/>
        <v>1</v>
      </c>
      <c r="U3881">
        <f t="shared" si="605"/>
        <v>1</v>
      </c>
      <c r="V3881">
        <f t="shared" si="606"/>
        <v>1</v>
      </c>
      <c r="W3881">
        <f t="shared" si="607"/>
        <v>2</v>
      </c>
      <c r="X3881">
        <f t="shared" si="608"/>
        <v>1.0999999999999999</v>
      </c>
      <c r="Y3881" t="str">
        <f t="shared" si="609"/>
        <v>Healthy</v>
      </c>
    </row>
    <row r="3882" spans="1:25" x14ac:dyDescent="0.35">
      <c r="A3882" t="s">
        <v>179</v>
      </c>
      <c r="B3882" t="s">
        <v>223</v>
      </c>
      <c r="C3882" t="s">
        <v>357</v>
      </c>
      <c r="D3882" t="s">
        <v>2536</v>
      </c>
      <c r="E3882">
        <v>80877400</v>
      </c>
      <c r="F3882" t="s">
        <v>2537</v>
      </c>
      <c r="G3882" s="3">
        <v>46633</v>
      </c>
      <c r="H3882">
        <v>18</v>
      </c>
      <c r="I3882">
        <v>82</v>
      </c>
      <c r="J3882">
        <v>151</v>
      </c>
      <c r="K3882" s="4">
        <v>53553.66</v>
      </c>
      <c r="L3882" s="4">
        <v>1615</v>
      </c>
      <c r="M3882" s="4">
        <v>9.3498452012383895E-2</v>
      </c>
      <c r="N3882" t="s">
        <v>25</v>
      </c>
      <c r="O3882" t="str">
        <f t="shared" si="600"/>
        <v>Low</v>
      </c>
      <c r="P3882" t="str">
        <f t="shared" si="601"/>
        <v>Low</v>
      </c>
      <c r="Q3882" t="str">
        <f t="shared" si="602"/>
        <v>Low</v>
      </c>
      <c r="R3882" t="s">
        <v>3317</v>
      </c>
      <c r="S3882" s="4">
        <f t="shared" ca="1" si="603"/>
        <v>436</v>
      </c>
      <c r="T3882">
        <f t="shared" si="604"/>
        <v>1</v>
      </c>
      <c r="U3882">
        <f t="shared" si="605"/>
        <v>1</v>
      </c>
      <c r="V3882">
        <f t="shared" si="606"/>
        <v>1</v>
      </c>
      <c r="W3882">
        <f t="shared" si="607"/>
        <v>1</v>
      </c>
      <c r="X3882">
        <f t="shared" si="608"/>
        <v>0.99999999999999989</v>
      </c>
      <c r="Y3882" t="str">
        <f t="shared" si="609"/>
        <v>Healthy</v>
      </c>
    </row>
    <row r="3883" spans="1:25" x14ac:dyDescent="0.35">
      <c r="A3883" t="s">
        <v>179</v>
      </c>
      <c r="B3883" t="s">
        <v>223</v>
      </c>
      <c r="C3883" t="s">
        <v>357</v>
      </c>
      <c r="D3883" t="s">
        <v>2536</v>
      </c>
      <c r="E3883">
        <v>80877400</v>
      </c>
      <c r="F3883" t="s">
        <v>2537</v>
      </c>
      <c r="G3883" s="3">
        <v>46670</v>
      </c>
      <c r="H3883">
        <v>18</v>
      </c>
      <c r="I3883">
        <v>89</v>
      </c>
      <c r="J3883">
        <v>516</v>
      </c>
      <c r="K3883" s="4">
        <v>183004.56</v>
      </c>
      <c r="L3883" s="4">
        <v>1615</v>
      </c>
      <c r="M3883" s="4">
        <v>0.31950464396284828</v>
      </c>
      <c r="N3883" t="s">
        <v>25</v>
      </c>
      <c r="O3883" t="str">
        <f t="shared" si="600"/>
        <v>Low</v>
      </c>
      <c r="P3883" t="str">
        <f t="shared" si="601"/>
        <v>Low</v>
      </c>
      <c r="Q3883" t="str">
        <f t="shared" si="602"/>
        <v>Low</v>
      </c>
      <c r="R3883" t="s">
        <v>3309</v>
      </c>
      <c r="S3883" s="4">
        <f t="shared" ca="1" si="603"/>
        <v>473</v>
      </c>
      <c r="T3883">
        <f t="shared" si="604"/>
        <v>1</v>
      </c>
      <c r="U3883">
        <f t="shared" si="605"/>
        <v>1</v>
      </c>
      <c r="V3883">
        <f t="shared" si="606"/>
        <v>1</v>
      </c>
      <c r="W3883">
        <f t="shared" si="607"/>
        <v>3</v>
      </c>
      <c r="X3883">
        <f t="shared" si="608"/>
        <v>1.2</v>
      </c>
      <c r="Y3883" t="str">
        <f t="shared" si="609"/>
        <v>Healthy</v>
      </c>
    </row>
    <row r="3884" spans="1:25" x14ac:dyDescent="0.35">
      <c r="A3884" t="s">
        <v>179</v>
      </c>
      <c r="B3884" t="s">
        <v>223</v>
      </c>
      <c r="C3884" t="s">
        <v>357</v>
      </c>
      <c r="D3884" t="s">
        <v>2536</v>
      </c>
      <c r="E3884">
        <v>80877400</v>
      </c>
      <c r="F3884" t="s">
        <v>2537</v>
      </c>
      <c r="G3884" s="3">
        <v>46705</v>
      </c>
      <c r="H3884">
        <v>18</v>
      </c>
      <c r="I3884">
        <v>95</v>
      </c>
      <c r="J3884">
        <v>104</v>
      </c>
      <c r="K3884" s="4">
        <v>36884.639999999999</v>
      </c>
      <c r="L3884" s="4">
        <v>1615</v>
      </c>
      <c r="M3884" s="4">
        <v>6.4396284829721359E-2</v>
      </c>
      <c r="N3884" t="s">
        <v>25</v>
      </c>
      <c r="O3884" t="str">
        <f t="shared" si="600"/>
        <v>Low</v>
      </c>
      <c r="P3884" t="str">
        <f t="shared" si="601"/>
        <v>Low</v>
      </c>
      <c r="Q3884" t="str">
        <f t="shared" si="602"/>
        <v>Low</v>
      </c>
      <c r="R3884" t="s">
        <v>3317</v>
      </c>
      <c r="S3884" s="4">
        <f t="shared" ca="1" si="603"/>
        <v>508</v>
      </c>
      <c r="T3884">
        <f t="shared" si="604"/>
        <v>1</v>
      </c>
      <c r="U3884">
        <f t="shared" si="605"/>
        <v>1</v>
      </c>
      <c r="V3884">
        <f t="shared" si="606"/>
        <v>1</v>
      </c>
      <c r="W3884">
        <f t="shared" si="607"/>
        <v>1</v>
      </c>
      <c r="X3884">
        <f t="shared" si="608"/>
        <v>0.99999999999999989</v>
      </c>
      <c r="Y3884" t="str">
        <f t="shared" si="609"/>
        <v>Healthy</v>
      </c>
    </row>
    <row r="3885" spans="1:25" x14ac:dyDescent="0.35">
      <c r="A3885" t="s">
        <v>179</v>
      </c>
      <c r="B3885" t="s">
        <v>223</v>
      </c>
      <c r="C3885" t="s">
        <v>357</v>
      </c>
      <c r="D3885" t="s">
        <v>2536</v>
      </c>
      <c r="E3885">
        <v>80877400</v>
      </c>
      <c r="F3885" t="s">
        <v>2537</v>
      </c>
      <c r="G3885" s="3">
        <v>46647</v>
      </c>
      <c r="H3885">
        <v>18</v>
      </c>
      <c r="I3885">
        <v>84</v>
      </c>
      <c r="J3885">
        <v>424</v>
      </c>
      <c r="K3885" s="4">
        <v>150375.84</v>
      </c>
      <c r="L3885" s="4">
        <v>1615</v>
      </c>
      <c r="M3885" s="4">
        <v>0.2625386996904025</v>
      </c>
      <c r="N3885" t="s">
        <v>25</v>
      </c>
      <c r="O3885" t="str">
        <f t="shared" si="600"/>
        <v>Low</v>
      </c>
      <c r="P3885" t="str">
        <f t="shared" si="601"/>
        <v>Low</v>
      </c>
      <c r="Q3885" t="str">
        <f t="shared" si="602"/>
        <v>Low</v>
      </c>
      <c r="R3885" t="s">
        <v>3309</v>
      </c>
      <c r="S3885" s="4">
        <f t="shared" ca="1" si="603"/>
        <v>450</v>
      </c>
      <c r="T3885">
        <f t="shared" si="604"/>
        <v>1</v>
      </c>
      <c r="U3885">
        <f t="shared" si="605"/>
        <v>1</v>
      </c>
      <c r="V3885">
        <f t="shared" si="606"/>
        <v>1</v>
      </c>
      <c r="W3885">
        <f t="shared" si="607"/>
        <v>3</v>
      </c>
      <c r="X3885">
        <f t="shared" si="608"/>
        <v>1.2</v>
      </c>
      <c r="Y3885" t="str">
        <f t="shared" si="609"/>
        <v>Healthy</v>
      </c>
    </row>
    <row r="3886" spans="1:25" x14ac:dyDescent="0.35">
      <c r="A3886" t="s">
        <v>104</v>
      </c>
      <c r="B3886" t="s">
        <v>105</v>
      </c>
      <c r="C3886" t="s">
        <v>106</v>
      </c>
      <c r="D3886" t="s">
        <v>2538</v>
      </c>
      <c r="E3886">
        <v>80728959</v>
      </c>
      <c r="F3886" t="s">
        <v>2539</v>
      </c>
      <c r="G3886" s="3">
        <v>46707</v>
      </c>
      <c r="H3886">
        <v>24</v>
      </c>
      <c r="I3886">
        <v>72</v>
      </c>
      <c r="J3886">
        <v>3</v>
      </c>
      <c r="K3886" s="4">
        <v>837.57</v>
      </c>
      <c r="L3886" s="4">
        <v>156.71428571428572</v>
      </c>
      <c r="M3886" s="4">
        <v>1.9143117593436645E-2</v>
      </c>
      <c r="N3886" t="s">
        <v>25</v>
      </c>
      <c r="O3886" t="str">
        <f t="shared" si="600"/>
        <v>Low</v>
      </c>
      <c r="P3886" t="str">
        <f t="shared" si="601"/>
        <v>Low</v>
      </c>
      <c r="Q3886" t="str">
        <f t="shared" si="602"/>
        <v>Low</v>
      </c>
      <c r="R3886" t="s">
        <v>3317</v>
      </c>
      <c r="S3886" s="4">
        <f t="shared" ca="1" si="603"/>
        <v>510</v>
      </c>
      <c r="T3886">
        <f t="shared" si="604"/>
        <v>1</v>
      </c>
      <c r="U3886">
        <f t="shared" si="605"/>
        <v>1</v>
      </c>
      <c r="V3886">
        <f t="shared" si="606"/>
        <v>1</v>
      </c>
      <c r="W3886">
        <f t="shared" si="607"/>
        <v>1</v>
      </c>
      <c r="X3886">
        <f t="shared" si="608"/>
        <v>0.99999999999999989</v>
      </c>
      <c r="Y3886" t="str">
        <f t="shared" si="609"/>
        <v>Healthy</v>
      </c>
    </row>
    <row r="3887" spans="1:25" x14ac:dyDescent="0.35">
      <c r="A3887" t="s">
        <v>104</v>
      </c>
      <c r="B3887" t="s">
        <v>105</v>
      </c>
      <c r="C3887" t="s">
        <v>106</v>
      </c>
      <c r="D3887" t="s">
        <v>2538</v>
      </c>
      <c r="E3887">
        <v>80728959</v>
      </c>
      <c r="F3887" t="s">
        <v>2539</v>
      </c>
      <c r="G3887" s="3">
        <v>46644</v>
      </c>
      <c r="H3887">
        <v>24</v>
      </c>
      <c r="I3887">
        <v>63</v>
      </c>
      <c r="J3887">
        <v>2</v>
      </c>
      <c r="K3887" s="4">
        <v>558.38</v>
      </c>
      <c r="L3887" s="4">
        <v>156.71428571428572</v>
      </c>
      <c r="M3887" s="4">
        <v>1.276207839562443E-2</v>
      </c>
      <c r="N3887" t="s">
        <v>25</v>
      </c>
      <c r="O3887" t="str">
        <f t="shared" si="600"/>
        <v>Low</v>
      </c>
      <c r="P3887" t="str">
        <f t="shared" si="601"/>
        <v>Low</v>
      </c>
      <c r="Q3887" t="str">
        <f t="shared" si="602"/>
        <v>Low</v>
      </c>
      <c r="R3887" t="s">
        <v>3317</v>
      </c>
      <c r="S3887" s="4">
        <f t="shared" ca="1" si="603"/>
        <v>447</v>
      </c>
      <c r="T3887">
        <f t="shared" si="604"/>
        <v>1</v>
      </c>
      <c r="U3887">
        <f t="shared" si="605"/>
        <v>1</v>
      </c>
      <c r="V3887">
        <f t="shared" si="606"/>
        <v>1</v>
      </c>
      <c r="W3887">
        <f t="shared" si="607"/>
        <v>1</v>
      </c>
      <c r="X3887">
        <f t="shared" si="608"/>
        <v>0.99999999999999989</v>
      </c>
      <c r="Y3887" t="str">
        <f t="shared" si="609"/>
        <v>Healthy</v>
      </c>
    </row>
    <row r="3888" spans="1:25" x14ac:dyDescent="0.35">
      <c r="A3888" t="s">
        <v>179</v>
      </c>
      <c r="B3888" t="s">
        <v>223</v>
      </c>
      <c r="C3888" t="s">
        <v>357</v>
      </c>
      <c r="D3888" t="s">
        <v>2540</v>
      </c>
      <c r="E3888">
        <v>80877409</v>
      </c>
      <c r="F3888" t="s">
        <v>2541</v>
      </c>
      <c r="G3888" s="3">
        <v>46678</v>
      </c>
      <c r="H3888">
        <v>18</v>
      </c>
      <c r="I3888">
        <v>90</v>
      </c>
      <c r="J3888">
        <v>102</v>
      </c>
      <c r="K3888" s="4">
        <v>12519.48</v>
      </c>
      <c r="L3888" s="4">
        <v>42976.857142857145</v>
      </c>
      <c r="M3888" s="4">
        <v>2.3733703853901435E-3</v>
      </c>
      <c r="N3888" t="s">
        <v>25</v>
      </c>
      <c r="O3888" t="str">
        <f t="shared" si="600"/>
        <v>Low</v>
      </c>
      <c r="P3888" t="str">
        <f t="shared" si="601"/>
        <v>Low</v>
      </c>
      <c r="Q3888" t="str">
        <f t="shared" si="602"/>
        <v>Low</v>
      </c>
      <c r="R3888" t="s">
        <v>3317</v>
      </c>
      <c r="S3888" s="4">
        <f t="shared" ca="1" si="603"/>
        <v>481</v>
      </c>
      <c r="T3888">
        <f t="shared" si="604"/>
        <v>1</v>
      </c>
      <c r="U3888">
        <f t="shared" si="605"/>
        <v>1</v>
      </c>
      <c r="V3888">
        <f t="shared" si="606"/>
        <v>1</v>
      </c>
      <c r="W3888">
        <f t="shared" si="607"/>
        <v>1</v>
      </c>
      <c r="X3888">
        <f t="shared" si="608"/>
        <v>0.99999999999999989</v>
      </c>
      <c r="Y3888" t="str">
        <f t="shared" si="609"/>
        <v>Healthy</v>
      </c>
    </row>
    <row r="3889" spans="1:25" x14ac:dyDescent="0.35">
      <c r="A3889" t="s">
        <v>104</v>
      </c>
      <c r="B3889" t="s">
        <v>105</v>
      </c>
      <c r="C3889" t="s">
        <v>106</v>
      </c>
      <c r="D3889" t="s">
        <v>2538</v>
      </c>
      <c r="E3889">
        <v>80728959</v>
      </c>
      <c r="F3889" t="s">
        <v>2539</v>
      </c>
      <c r="G3889" s="3">
        <v>46799</v>
      </c>
      <c r="H3889">
        <v>24</v>
      </c>
      <c r="I3889">
        <v>84</v>
      </c>
      <c r="J3889">
        <v>1</v>
      </c>
      <c r="K3889" s="4">
        <v>279.19</v>
      </c>
      <c r="L3889" s="4">
        <v>156.71428571428572</v>
      </c>
      <c r="M3889" s="4">
        <v>6.3810391978122152E-3</v>
      </c>
      <c r="N3889" t="s">
        <v>25</v>
      </c>
      <c r="O3889" t="str">
        <f t="shared" si="600"/>
        <v>Low</v>
      </c>
      <c r="P3889" t="str">
        <f t="shared" si="601"/>
        <v>Low</v>
      </c>
      <c r="Q3889" t="str">
        <f t="shared" si="602"/>
        <v>Low</v>
      </c>
      <c r="R3889" t="s">
        <v>3317</v>
      </c>
      <c r="S3889" s="4">
        <f t="shared" ca="1" si="603"/>
        <v>602</v>
      </c>
      <c r="T3889">
        <f t="shared" si="604"/>
        <v>1</v>
      </c>
      <c r="U3889">
        <f t="shared" si="605"/>
        <v>1</v>
      </c>
      <c r="V3889">
        <f t="shared" si="606"/>
        <v>1</v>
      </c>
      <c r="W3889">
        <f t="shared" si="607"/>
        <v>1</v>
      </c>
      <c r="X3889">
        <f t="shared" si="608"/>
        <v>0.99999999999999989</v>
      </c>
      <c r="Y3889" t="str">
        <f t="shared" si="609"/>
        <v>Healthy</v>
      </c>
    </row>
    <row r="3890" spans="1:25" x14ac:dyDescent="0.35">
      <c r="A3890" t="s">
        <v>179</v>
      </c>
      <c r="B3890" t="s">
        <v>223</v>
      </c>
      <c r="C3890" t="s">
        <v>357</v>
      </c>
      <c r="D3890" t="s">
        <v>2540</v>
      </c>
      <c r="E3890">
        <v>80877409</v>
      </c>
      <c r="F3890" t="s">
        <v>2541</v>
      </c>
      <c r="G3890" s="3">
        <v>46677</v>
      </c>
      <c r="H3890">
        <v>18</v>
      </c>
      <c r="I3890">
        <v>90</v>
      </c>
      <c r="J3890">
        <v>50</v>
      </c>
      <c r="K3890" s="4">
        <v>6137</v>
      </c>
      <c r="L3890" s="4">
        <v>42976.857142857145</v>
      </c>
      <c r="M3890" s="4">
        <v>1.1634168555834036E-3</v>
      </c>
      <c r="N3890" t="s">
        <v>25</v>
      </c>
      <c r="O3890" t="str">
        <f t="shared" si="600"/>
        <v>Low</v>
      </c>
      <c r="P3890" t="str">
        <f t="shared" si="601"/>
        <v>Low</v>
      </c>
      <c r="Q3890" t="str">
        <f t="shared" si="602"/>
        <v>Low</v>
      </c>
      <c r="R3890" t="s">
        <v>3317</v>
      </c>
      <c r="S3890" s="4">
        <f t="shared" ca="1" si="603"/>
        <v>480</v>
      </c>
      <c r="T3890">
        <f t="shared" si="604"/>
        <v>1</v>
      </c>
      <c r="U3890">
        <f t="shared" si="605"/>
        <v>1</v>
      </c>
      <c r="V3890">
        <f t="shared" si="606"/>
        <v>1</v>
      </c>
      <c r="W3890">
        <f t="shared" si="607"/>
        <v>1</v>
      </c>
      <c r="X3890">
        <f t="shared" si="608"/>
        <v>0.99999999999999989</v>
      </c>
      <c r="Y3890" t="str">
        <f t="shared" si="609"/>
        <v>Healthy</v>
      </c>
    </row>
    <row r="3891" spans="1:25" x14ac:dyDescent="0.35">
      <c r="A3891" t="s">
        <v>104</v>
      </c>
      <c r="B3891" t="s">
        <v>105</v>
      </c>
      <c r="C3891" t="s">
        <v>106</v>
      </c>
      <c r="D3891" t="s">
        <v>2538</v>
      </c>
      <c r="E3891">
        <v>80728959</v>
      </c>
      <c r="F3891" t="s">
        <v>2539</v>
      </c>
      <c r="G3891" s="3">
        <v>46707</v>
      </c>
      <c r="H3891">
        <v>24</v>
      </c>
      <c r="I3891">
        <v>72</v>
      </c>
      <c r="J3891">
        <v>3</v>
      </c>
      <c r="K3891" s="4">
        <v>837.57</v>
      </c>
      <c r="L3891" s="4">
        <v>156.71428571428572</v>
      </c>
      <c r="M3891" s="4">
        <v>1.9143117593436645E-2</v>
      </c>
      <c r="N3891" t="s">
        <v>25</v>
      </c>
      <c r="O3891" t="str">
        <f t="shared" si="600"/>
        <v>Low</v>
      </c>
      <c r="P3891" t="str">
        <f t="shared" si="601"/>
        <v>Low</v>
      </c>
      <c r="Q3891" t="str">
        <f t="shared" si="602"/>
        <v>Low</v>
      </c>
      <c r="R3891" t="s">
        <v>3317</v>
      </c>
      <c r="S3891" s="4">
        <f t="shared" ca="1" si="603"/>
        <v>510</v>
      </c>
      <c r="T3891">
        <f t="shared" si="604"/>
        <v>1</v>
      </c>
      <c r="U3891">
        <f t="shared" si="605"/>
        <v>1</v>
      </c>
      <c r="V3891">
        <f t="shared" si="606"/>
        <v>1</v>
      </c>
      <c r="W3891">
        <f t="shared" si="607"/>
        <v>1</v>
      </c>
      <c r="X3891">
        <f t="shared" si="608"/>
        <v>0.99999999999999989</v>
      </c>
      <c r="Y3891" t="str">
        <f t="shared" si="609"/>
        <v>Healthy</v>
      </c>
    </row>
    <row r="3892" spans="1:25" x14ac:dyDescent="0.35">
      <c r="A3892" t="s">
        <v>179</v>
      </c>
      <c r="B3892" t="s">
        <v>223</v>
      </c>
      <c r="C3892" t="s">
        <v>357</v>
      </c>
      <c r="D3892" t="s">
        <v>2540</v>
      </c>
      <c r="E3892">
        <v>80877409</v>
      </c>
      <c r="F3892" t="s">
        <v>2541</v>
      </c>
      <c r="G3892" s="3">
        <v>46689</v>
      </c>
      <c r="H3892">
        <v>18</v>
      </c>
      <c r="I3892">
        <v>92</v>
      </c>
      <c r="J3892">
        <v>288</v>
      </c>
      <c r="K3892" s="4">
        <v>35349.120000000003</v>
      </c>
      <c r="L3892" s="4">
        <v>42976.857142857145</v>
      </c>
      <c r="M3892" s="4">
        <v>6.7012810881604051E-3</v>
      </c>
      <c r="N3892" t="s">
        <v>25</v>
      </c>
      <c r="O3892" t="str">
        <f t="shared" si="600"/>
        <v>Low</v>
      </c>
      <c r="P3892" t="str">
        <f t="shared" si="601"/>
        <v>Low</v>
      </c>
      <c r="Q3892" t="str">
        <f t="shared" si="602"/>
        <v>Low</v>
      </c>
      <c r="R3892" t="s">
        <v>3317</v>
      </c>
      <c r="S3892" s="4">
        <f t="shared" ca="1" si="603"/>
        <v>492</v>
      </c>
      <c r="T3892">
        <f t="shared" si="604"/>
        <v>1</v>
      </c>
      <c r="U3892">
        <f t="shared" si="605"/>
        <v>1</v>
      </c>
      <c r="V3892">
        <f t="shared" si="606"/>
        <v>1</v>
      </c>
      <c r="W3892">
        <f t="shared" si="607"/>
        <v>1</v>
      </c>
      <c r="X3892">
        <f t="shared" si="608"/>
        <v>0.99999999999999989</v>
      </c>
      <c r="Y3892" t="str">
        <f t="shared" si="609"/>
        <v>Healthy</v>
      </c>
    </row>
    <row r="3893" spans="1:25" x14ac:dyDescent="0.35">
      <c r="A3893" t="s">
        <v>99</v>
      </c>
      <c r="B3893" t="s">
        <v>100</v>
      </c>
      <c r="C3893" t="s">
        <v>101</v>
      </c>
      <c r="D3893" t="s">
        <v>1135</v>
      </c>
      <c r="E3893">
        <v>80739413</v>
      </c>
      <c r="F3893" t="s">
        <v>2542</v>
      </c>
      <c r="G3893" s="3">
        <v>46358</v>
      </c>
      <c r="H3893">
        <v>18</v>
      </c>
      <c r="I3893">
        <v>31</v>
      </c>
      <c r="J3893">
        <v>3</v>
      </c>
      <c r="K3893" s="4">
        <v>748.77</v>
      </c>
      <c r="L3893" s="4">
        <v>72.857142857142861</v>
      </c>
      <c r="M3893" s="4">
        <v>4.1176470588235294E-2</v>
      </c>
      <c r="N3893" t="s">
        <v>25</v>
      </c>
      <c r="O3893" t="str">
        <f t="shared" si="600"/>
        <v>Medium</v>
      </c>
      <c r="P3893" t="str">
        <f t="shared" si="601"/>
        <v>Low</v>
      </c>
      <c r="Q3893" t="str">
        <f t="shared" si="602"/>
        <v>Low</v>
      </c>
      <c r="R3893" t="s">
        <v>3317</v>
      </c>
      <c r="S3893" s="4">
        <f t="shared" ca="1" si="603"/>
        <v>161</v>
      </c>
      <c r="T3893">
        <f t="shared" si="604"/>
        <v>2</v>
      </c>
      <c r="U3893">
        <f t="shared" si="605"/>
        <v>1</v>
      </c>
      <c r="V3893">
        <f t="shared" si="606"/>
        <v>1</v>
      </c>
      <c r="W3893">
        <f t="shared" si="607"/>
        <v>1</v>
      </c>
      <c r="X3893">
        <f t="shared" si="608"/>
        <v>1.4000000000000001</v>
      </c>
      <c r="Y3893" t="str">
        <f t="shared" si="609"/>
        <v>Healthy</v>
      </c>
    </row>
    <row r="3894" spans="1:25" x14ac:dyDescent="0.35">
      <c r="A3894" t="s">
        <v>99</v>
      </c>
      <c r="B3894" t="s">
        <v>100</v>
      </c>
      <c r="C3894" t="s">
        <v>101</v>
      </c>
      <c r="D3894" t="s">
        <v>1135</v>
      </c>
      <c r="E3894">
        <v>80739413</v>
      </c>
      <c r="F3894" t="s">
        <v>2542</v>
      </c>
      <c r="G3894" s="3">
        <v>46302</v>
      </c>
      <c r="H3894">
        <v>18</v>
      </c>
      <c r="I3894">
        <v>20</v>
      </c>
      <c r="J3894">
        <v>12</v>
      </c>
      <c r="K3894" s="4">
        <v>2995.08</v>
      </c>
      <c r="L3894" s="4">
        <v>72.857142857142861</v>
      </c>
      <c r="M3894" s="4">
        <v>0.16470588235294117</v>
      </c>
      <c r="N3894" t="s">
        <v>25</v>
      </c>
      <c r="O3894" t="str">
        <f t="shared" si="600"/>
        <v>Medium</v>
      </c>
      <c r="P3894" t="str">
        <f t="shared" si="601"/>
        <v>Low</v>
      </c>
      <c r="Q3894" t="str">
        <f t="shared" si="602"/>
        <v>Low</v>
      </c>
      <c r="R3894" t="s">
        <v>3317</v>
      </c>
      <c r="S3894" s="4">
        <f t="shared" ca="1" si="603"/>
        <v>105</v>
      </c>
      <c r="T3894">
        <f t="shared" si="604"/>
        <v>2</v>
      </c>
      <c r="U3894">
        <f t="shared" si="605"/>
        <v>1</v>
      </c>
      <c r="V3894">
        <f t="shared" si="606"/>
        <v>1</v>
      </c>
      <c r="W3894">
        <f t="shared" si="607"/>
        <v>1</v>
      </c>
      <c r="X3894">
        <f t="shared" si="608"/>
        <v>1.4000000000000001</v>
      </c>
      <c r="Y3894" t="str">
        <f t="shared" si="609"/>
        <v>Healthy</v>
      </c>
    </row>
    <row r="3895" spans="1:25" x14ac:dyDescent="0.35">
      <c r="A3895" t="s">
        <v>179</v>
      </c>
      <c r="B3895" t="s">
        <v>223</v>
      </c>
      <c r="C3895" t="s">
        <v>357</v>
      </c>
      <c r="D3895" t="s">
        <v>2540</v>
      </c>
      <c r="E3895">
        <v>80877409</v>
      </c>
      <c r="F3895" t="s">
        <v>2541</v>
      </c>
      <c r="G3895" s="3">
        <v>46685</v>
      </c>
      <c r="H3895">
        <v>18</v>
      </c>
      <c r="I3895">
        <v>91</v>
      </c>
      <c r="J3895">
        <v>193</v>
      </c>
      <c r="K3895" s="4">
        <v>23688.82</v>
      </c>
      <c r="L3895" s="4">
        <v>42976.857142857145</v>
      </c>
      <c r="M3895" s="4">
        <v>4.4907890625519378E-3</v>
      </c>
      <c r="N3895" t="s">
        <v>25</v>
      </c>
      <c r="O3895" t="str">
        <f t="shared" si="600"/>
        <v>Low</v>
      </c>
      <c r="P3895" t="str">
        <f t="shared" si="601"/>
        <v>Low</v>
      </c>
      <c r="Q3895" t="str">
        <f t="shared" si="602"/>
        <v>Low</v>
      </c>
      <c r="R3895" t="s">
        <v>3317</v>
      </c>
      <c r="S3895" s="4">
        <f t="shared" ca="1" si="603"/>
        <v>488</v>
      </c>
      <c r="T3895">
        <f t="shared" si="604"/>
        <v>1</v>
      </c>
      <c r="U3895">
        <f t="shared" si="605"/>
        <v>1</v>
      </c>
      <c r="V3895">
        <f t="shared" si="606"/>
        <v>1</v>
      </c>
      <c r="W3895">
        <f t="shared" si="607"/>
        <v>1</v>
      </c>
      <c r="X3895">
        <f t="shared" si="608"/>
        <v>0.99999999999999989</v>
      </c>
      <c r="Y3895" t="str">
        <f t="shared" si="609"/>
        <v>Healthy</v>
      </c>
    </row>
    <row r="3896" spans="1:25" x14ac:dyDescent="0.35">
      <c r="A3896" t="s">
        <v>99</v>
      </c>
      <c r="B3896" t="s">
        <v>100</v>
      </c>
      <c r="C3896" t="s">
        <v>101</v>
      </c>
      <c r="D3896" t="s">
        <v>1135</v>
      </c>
      <c r="E3896">
        <v>80739413</v>
      </c>
      <c r="F3896" t="s">
        <v>2542</v>
      </c>
      <c r="G3896" s="3">
        <v>46519</v>
      </c>
      <c r="H3896">
        <v>18</v>
      </c>
      <c r="I3896">
        <v>61</v>
      </c>
      <c r="J3896">
        <v>40</v>
      </c>
      <c r="K3896" s="4">
        <v>9983.6</v>
      </c>
      <c r="L3896" s="4">
        <v>72.857142857142861</v>
      </c>
      <c r="M3896" s="4">
        <v>0.54901960784313719</v>
      </c>
      <c r="N3896" t="s">
        <v>25</v>
      </c>
      <c r="O3896" t="str">
        <f t="shared" si="600"/>
        <v>Low</v>
      </c>
      <c r="P3896" t="str">
        <f t="shared" si="601"/>
        <v>Low</v>
      </c>
      <c r="Q3896" t="str">
        <f t="shared" si="602"/>
        <v>Low</v>
      </c>
      <c r="R3896" t="s">
        <v>3317</v>
      </c>
      <c r="S3896" s="4">
        <f t="shared" ca="1" si="603"/>
        <v>322</v>
      </c>
      <c r="T3896">
        <f t="shared" si="604"/>
        <v>1</v>
      </c>
      <c r="U3896">
        <f t="shared" si="605"/>
        <v>1</v>
      </c>
      <c r="V3896">
        <f t="shared" si="606"/>
        <v>1</v>
      </c>
      <c r="W3896">
        <f t="shared" si="607"/>
        <v>1</v>
      </c>
      <c r="X3896">
        <f t="shared" si="608"/>
        <v>0.99999999999999989</v>
      </c>
      <c r="Y3896" t="str">
        <f t="shared" si="609"/>
        <v>Healthy</v>
      </c>
    </row>
    <row r="3897" spans="1:25" x14ac:dyDescent="0.35">
      <c r="A3897" t="s">
        <v>179</v>
      </c>
      <c r="B3897" t="s">
        <v>223</v>
      </c>
      <c r="C3897" t="s">
        <v>357</v>
      </c>
      <c r="D3897" t="s">
        <v>2540</v>
      </c>
      <c r="E3897">
        <v>80877409</v>
      </c>
      <c r="F3897" t="s">
        <v>2541</v>
      </c>
      <c r="G3897" s="3">
        <v>46709</v>
      </c>
      <c r="H3897">
        <v>18</v>
      </c>
      <c r="I3897">
        <v>96</v>
      </c>
      <c r="J3897">
        <v>25</v>
      </c>
      <c r="K3897" s="4">
        <v>3068.5</v>
      </c>
      <c r="L3897" s="4">
        <v>42976.857142857145</v>
      </c>
      <c r="M3897" s="4">
        <v>5.8170842779170181E-4</v>
      </c>
      <c r="N3897" t="s">
        <v>25</v>
      </c>
      <c r="O3897" t="str">
        <f t="shared" si="600"/>
        <v>Low</v>
      </c>
      <c r="P3897" t="str">
        <f t="shared" si="601"/>
        <v>Low</v>
      </c>
      <c r="Q3897" t="str">
        <f t="shared" si="602"/>
        <v>Low</v>
      </c>
      <c r="R3897" t="s">
        <v>3317</v>
      </c>
      <c r="S3897" s="4">
        <f t="shared" ca="1" si="603"/>
        <v>512</v>
      </c>
      <c r="T3897">
        <f t="shared" si="604"/>
        <v>1</v>
      </c>
      <c r="U3897">
        <f t="shared" si="605"/>
        <v>1</v>
      </c>
      <c r="V3897">
        <f t="shared" si="606"/>
        <v>1</v>
      </c>
      <c r="W3897">
        <f t="shared" si="607"/>
        <v>1</v>
      </c>
      <c r="X3897">
        <f t="shared" si="608"/>
        <v>0.99999999999999989</v>
      </c>
      <c r="Y3897" t="str">
        <f t="shared" si="609"/>
        <v>Healthy</v>
      </c>
    </row>
    <row r="3898" spans="1:25" x14ac:dyDescent="0.35">
      <c r="A3898" t="s">
        <v>179</v>
      </c>
      <c r="B3898" t="s">
        <v>223</v>
      </c>
      <c r="C3898" t="s">
        <v>357</v>
      </c>
      <c r="D3898" t="s">
        <v>2540</v>
      </c>
      <c r="E3898">
        <v>80877409</v>
      </c>
      <c r="F3898" t="s">
        <v>2541</v>
      </c>
      <c r="G3898" s="3">
        <v>46704</v>
      </c>
      <c r="H3898">
        <v>18</v>
      </c>
      <c r="I3898">
        <v>95</v>
      </c>
      <c r="J3898">
        <v>36</v>
      </c>
      <c r="K3898" s="4">
        <v>4418.6400000000003</v>
      </c>
      <c r="L3898" s="4">
        <v>42976.857142857145</v>
      </c>
      <c r="M3898" s="4">
        <v>8.3766013602005064E-4</v>
      </c>
      <c r="N3898" t="s">
        <v>25</v>
      </c>
      <c r="O3898" t="str">
        <f t="shared" si="600"/>
        <v>Low</v>
      </c>
      <c r="P3898" t="str">
        <f t="shared" si="601"/>
        <v>Low</v>
      </c>
      <c r="Q3898" t="str">
        <f t="shared" si="602"/>
        <v>Low</v>
      </c>
      <c r="R3898" t="s">
        <v>3317</v>
      </c>
      <c r="S3898" s="4">
        <f t="shared" ca="1" si="603"/>
        <v>507</v>
      </c>
      <c r="T3898">
        <f t="shared" si="604"/>
        <v>1</v>
      </c>
      <c r="U3898">
        <f t="shared" si="605"/>
        <v>1</v>
      </c>
      <c r="V3898">
        <f t="shared" si="606"/>
        <v>1</v>
      </c>
      <c r="W3898">
        <f t="shared" si="607"/>
        <v>1</v>
      </c>
      <c r="X3898">
        <f t="shared" si="608"/>
        <v>0.99999999999999989</v>
      </c>
      <c r="Y3898" t="str">
        <f t="shared" si="609"/>
        <v>Healthy</v>
      </c>
    </row>
    <row r="3899" spans="1:25" x14ac:dyDescent="0.35">
      <c r="A3899" t="s">
        <v>179</v>
      </c>
      <c r="B3899" t="s">
        <v>223</v>
      </c>
      <c r="C3899" t="s">
        <v>357</v>
      </c>
      <c r="D3899" t="s">
        <v>2540</v>
      </c>
      <c r="E3899">
        <v>80877409</v>
      </c>
      <c r="F3899" t="s">
        <v>2541</v>
      </c>
      <c r="G3899" s="3">
        <v>46702</v>
      </c>
      <c r="H3899">
        <v>18</v>
      </c>
      <c r="I3899">
        <v>94</v>
      </c>
      <c r="J3899">
        <v>456</v>
      </c>
      <c r="K3899" s="4">
        <v>55969.440000000002</v>
      </c>
      <c r="L3899" s="4">
        <v>42976.857142857145</v>
      </c>
      <c r="M3899" s="4">
        <v>1.061036172292064E-2</v>
      </c>
      <c r="N3899" t="s">
        <v>25</v>
      </c>
      <c r="O3899" t="str">
        <f t="shared" si="600"/>
        <v>Low</v>
      </c>
      <c r="P3899" t="str">
        <f t="shared" si="601"/>
        <v>Low</v>
      </c>
      <c r="Q3899" t="str">
        <f t="shared" si="602"/>
        <v>Low</v>
      </c>
      <c r="R3899" t="s">
        <v>3317</v>
      </c>
      <c r="S3899" s="4">
        <f t="shared" ca="1" si="603"/>
        <v>505</v>
      </c>
      <c r="T3899">
        <f t="shared" si="604"/>
        <v>1</v>
      </c>
      <c r="U3899">
        <f t="shared" si="605"/>
        <v>1</v>
      </c>
      <c r="V3899">
        <f t="shared" si="606"/>
        <v>1</v>
      </c>
      <c r="W3899">
        <f t="shared" si="607"/>
        <v>1</v>
      </c>
      <c r="X3899">
        <f t="shared" si="608"/>
        <v>0.99999999999999989</v>
      </c>
      <c r="Y3899" t="str">
        <f t="shared" si="609"/>
        <v>Healthy</v>
      </c>
    </row>
    <row r="3900" spans="1:25" x14ac:dyDescent="0.35">
      <c r="A3900" t="s">
        <v>99</v>
      </c>
      <c r="B3900" t="s">
        <v>100</v>
      </c>
      <c r="C3900" t="s">
        <v>101</v>
      </c>
      <c r="D3900" t="s">
        <v>1135</v>
      </c>
      <c r="E3900">
        <v>80739413</v>
      </c>
      <c r="F3900" t="s">
        <v>2542</v>
      </c>
      <c r="G3900" s="3">
        <v>46682</v>
      </c>
      <c r="H3900">
        <v>18</v>
      </c>
      <c r="I3900">
        <v>91</v>
      </c>
      <c r="J3900">
        <v>45</v>
      </c>
      <c r="K3900" s="4">
        <v>11231.55</v>
      </c>
      <c r="L3900" s="4">
        <v>72.857142857142861</v>
      </c>
      <c r="M3900" s="4">
        <v>0.61764705882352933</v>
      </c>
      <c r="N3900" t="s">
        <v>25</v>
      </c>
      <c r="O3900" t="str">
        <f t="shared" si="600"/>
        <v>Low</v>
      </c>
      <c r="P3900" t="str">
        <f t="shared" si="601"/>
        <v>Low</v>
      </c>
      <c r="Q3900" t="str">
        <f t="shared" si="602"/>
        <v>Low</v>
      </c>
      <c r="R3900" t="s">
        <v>3317</v>
      </c>
      <c r="S3900" s="4">
        <f t="shared" ca="1" si="603"/>
        <v>485</v>
      </c>
      <c r="T3900">
        <f t="shared" si="604"/>
        <v>1</v>
      </c>
      <c r="U3900">
        <f t="shared" si="605"/>
        <v>1</v>
      </c>
      <c r="V3900">
        <f t="shared" si="606"/>
        <v>1</v>
      </c>
      <c r="W3900">
        <f t="shared" si="607"/>
        <v>1</v>
      </c>
      <c r="X3900">
        <f t="shared" si="608"/>
        <v>0.99999999999999989</v>
      </c>
      <c r="Y3900" t="str">
        <f t="shared" si="609"/>
        <v>Healthy</v>
      </c>
    </row>
    <row r="3901" spans="1:25" x14ac:dyDescent="0.35">
      <c r="A3901" t="s">
        <v>179</v>
      </c>
      <c r="B3901" t="s">
        <v>223</v>
      </c>
      <c r="C3901" t="s">
        <v>357</v>
      </c>
      <c r="D3901" t="s">
        <v>2540</v>
      </c>
      <c r="E3901">
        <v>80877409</v>
      </c>
      <c r="F3901" t="s">
        <v>2541</v>
      </c>
      <c r="G3901" s="3">
        <v>46677</v>
      </c>
      <c r="H3901">
        <v>18</v>
      </c>
      <c r="I3901">
        <v>90</v>
      </c>
      <c r="J3901">
        <v>168</v>
      </c>
      <c r="K3901" s="4">
        <v>20620.32</v>
      </c>
      <c r="L3901" s="4">
        <v>42976.857142857145</v>
      </c>
      <c r="M3901" s="4">
        <v>3.9090806347602362E-3</v>
      </c>
      <c r="N3901" t="s">
        <v>25</v>
      </c>
      <c r="O3901" t="str">
        <f t="shared" si="600"/>
        <v>Low</v>
      </c>
      <c r="P3901" t="str">
        <f t="shared" si="601"/>
        <v>Low</v>
      </c>
      <c r="Q3901" t="str">
        <f t="shared" si="602"/>
        <v>Low</v>
      </c>
      <c r="R3901" t="s">
        <v>3317</v>
      </c>
      <c r="S3901" s="4">
        <f t="shared" ca="1" si="603"/>
        <v>480</v>
      </c>
      <c r="T3901">
        <f t="shared" si="604"/>
        <v>1</v>
      </c>
      <c r="U3901">
        <f t="shared" si="605"/>
        <v>1</v>
      </c>
      <c r="V3901">
        <f t="shared" si="606"/>
        <v>1</v>
      </c>
      <c r="W3901">
        <f t="shared" si="607"/>
        <v>1</v>
      </c>
      <c r="X3901">
        <f t="shared" si="608"/>
        <v>0.99999999999999989</v>
      </c>
      <c r="Y3901" t="str">
        <f t="shared" si="609"/>
        <v>Healthy</v>
      </c>
    </row>
    <row r="3902" spans="1:25" x14ac:dyDescent="0.35">
      <c r="A3902" t="s">
        <v>99</v>
      </c>
      <c r="B3902" t="s">
        <v>100</v>
      </c>
      <c r="C3902" t="s">
        <v>101</v>
      </c>
      <c r="D3902" t="s">
        <v>1135</v>
      </c>
      <c r="E3902">
        <v>80739413</v>
      </c>
      <c r="F3902" t="s">
        <v>2542</v>
      </c>
      <c r="G3902" s="3">
        <v>45408</v>
      </c>
      <c r="H3902">
        <v>18</v>
      </c>
      <c r="I3902">
        <v>0</v>
      </c>
      <c r="J3902">
        <v>32</v>
      </c>
      <c r="K3902" s="4">
        <v>7986.88</v>
      </c>
      <c r="L3902" s="4">
        <v>72.857142857142861</v>
      </c>
      <c r="M3902" s="4">
        <v>0.4392156862745098</v>
      </c>
      <c r="N3902" t="s">
        <v>25</v>
      </c>
      <c r="O3902" t="str">
        <f t="shared" si="600"/>
        <v>High</v>
      </c>
      <c r="P3902" t="str">
        <f t="shared" si="601"/>
        <v>Low</v>
      </c>
      <c r="Q3902" t="str">
        <f t="shared" si="602"/>
        <v>Low</v>
      </c>
      <c r="R3902" t="s">
        <v>3317</v>
      </c>
      <c r="S3902" s="4">
        <f t="shared" ca="1" si="603"/>
        <v>-789</v>
      </c>
      <c r="T3902">
        <f t="shared" si="604"/>
        <v>3</v>
      </c>
      <c r="U3902">
        <f t="shared" si="605"/>
        <v>1</v>
      </c>
      <c r="V3902">
        <f t="shared" si="606"/>
        <v>1</v>
      </c>
      <c r="W3902">
        <f t="shared" si="607"/>
        <v>1</v>
      </c>
      <c r="X3902">
        <f t="shared" si="608"/>
        <v>1.8000000000000003</v>
      </c>
      <c r="Y3902" t="str">
        <f t="shared" si="609"/>
        <v>Monitor</v>
      </c>
    </row>
    <row r="3903" spans="1:25" x14ac:dyDescent="0.35">
      <c r="A3903" t="s">
        <v>179</v>
      </c>
      <c r="B3903" t="s">
        <v>223</v>
      </c>
      <c r="C3903" t="s">
        <v>357</v>
      </c>
      <c r="D3903" t="s">
        <v>2540</v>
      </c>
      <c r="E3903">
        <v>80877409</v>
      </c>
      <c r="F3903" t="s">
        <v>2541</v>
      </c>
      <c r="G3903" s="3">
        <v>46668</v>
      </c>
      <c r="H3903">
        <v>18</v>
      </c>
      <c r="I3903">
        <v>88</v>
      </c>
      <c r="J3903">
        <v>48</v>
      </c>
      <c r="K3903" s="4">
        <v>5891.52</v>
      </c>
      <c r="L3903" s="4">
        <v>42976.857142857145</v>
      </c>
      <c r="M3903" s="4">
        <v>1.1168801813600676E-3</v>
      </c>
      <c r="N3903" t="s">
        <v>25</v>
      </c>
      <c r="O3903" t="str">
        <f t="shared" si="600"/>
        <v>Low</v>
      </c>
      <c r="P3903" t="str">
        <f t="shared" si="601"/>
        <v>Low</v>
      </c>
      <c r="Q3903" t="str">
        <f t="shared" si="602"/>
        <v>Low</v>
      </c>
      <c r="R3903" t="s">
        <v>3317</v>
      </c>
      <c r="S3903" s="4">
        <f t="shared" ca="1" si="603"/>
        <v>471</v>
      </c>
      <c r="T3903">
        <f t="shared" si="604"/>
        <v>1</v>
      </c>
      <c r="U3903">
        <f t="shared" si="605"/>
        <v>1</v>
      </c>
      <c r="V3903">
        <f t="shared" si="606"/>
        <v>1</v>
      </c>
      <c r="W3903">
        <f t="shared" si="607"/>
        <v>1</v>
      </c>
      <c r="X3903">
        <f t="shared" si="608"/>
        <v>0.99999999999999989</v>
      </c>
      <c r="Y3903" t="str">
        <f t="shared" si="609"/>
        <v>Healthy</v>
      </c>
    </row>
    <row r="3904" spans="1:25" x14ac:dyDescent="0.35">
      <c r="A3904" t="s">
        <v>99</v>
      </c>
      <c r="B3904" t="s">
        <v>100</v>
      </c>
      <c r="C3904" t="s">
        <v>101</v>
      </c>
      <c r="D3904" t="s">
        <v>1135</v>
      </c>
      <c r="E3904">
        <v>80739413</v>
      </c>
      <c r="F3904" t="s">
        <v>2542</v>
      </c>
      <c r="G3904" s="3">
        <v>46554</v>
      </c>
      <c r="H3904">
        <v>18</v>
      </c>
      <c r="I3904">
        <v>67</v>
      </c>
      <c r="J3904">
        <v>48</v>
      </c>
      <c r="K3904" s="4">
        <v>11980.32</v>
      </c>
      <c r="L3904" s="4">
        <v>72.857142857142861</v>
      </c>
      <c r="M3904" s="4">
        <v>0.6588235294117647</v>
      </c>
      <c r="N3904" t="s">
        <v>25</v>
      </c>
      <c r="O3904" t="str">
        <f t="shared" si="600"/>
        <v>Low</v>
      </c>
      <c r="P3904" t="str">
        <f t="shared" si="601"/>
        <v>Low</v>
      </c>
      <c r="Q3904" t="str">
        <f t="shared" si="602"/>
        <v>Low</v>
      </c>
      <c r="R3904" t="s">
        <v>3317</v>
      </c>
      <c r="S3904" s="4">
        <f t="shared" ca="1" si="603"/>
        <v>357</v>
      </c>
      <c r="T3904">
        <f t="shared" si="604"/>
        <v>1</v>
      </c>
      <c r="U3904">
        <f t="shared" si="605"/>
        <v>1</v>
      </c>
      <c r="V3904">
        <f t="shared" si="606"/>
        <v>1</v>
      </c>
      <c r="W3904">
        <f t="shared" si="607"/>
        <v>1</v>
      </c>
      <c r="X3904">
        <f t="shared" si="608"/>
        <v>0.99999999999999989</v>
      </c>
      <c r="Y3904" t="str">
        <f t="shared" si="609"/>
        <v>Healthy</v>
      </c>
    </row>
    <row r="3905" spans="1:25" x14ac:dyDescent="0.35">
      <c r="A3905" t="s">
        <v>179</v>
      </c>
      <c r="B3905" t="s">
        <v>223</v>
      </c>
      <c r="C3905" t="s">
        <v>357</v>
      </c>
      <c r="D3905" t="s">
        <v>2540</v>
      </c>
      <c r="E3905">
        <v>80877409</v>
      </c>
      <c r="F3905" t="s">
        <v>2541</v>
      </c>
      <c r="G3905" s="3">
        <v>46644</v>
      </c>
      <c r="H3905">
        <v>18</v>
      </c>
      <c r="I3905">
        <v>84</v>
      </c>
      <c r="J3905">
        <v>4</v>
      </c>
      <c r="K3905" s="4">
        <v>490.96</v>
      </c>
      <c r="L3905" s="4">
        <v>42976.857142857145</v>
      </c>
      <c r="M3905" s="4">
        <v>9.3073348446672295E-5</v>
      </c>
      <c r="N3905" t="s">
        <v>25</v>
      </c>
      <c r="O3905" t="str">
        <f t="shared" si="600"/>
        <v>Low</v>
      </c>
      <c r="P3905" t="str">
        <f t="shared" si="601"/>
        <v>Low</v>
      </c>
      <c r="Q3905" t="str">
        <f t="shared" si="602"/>
        <v>Low</v>
      </c>
      <c r="R3905" t="s">
        <v>3317</v>
      </c>
      <c r="S3905" s="4">
        <f t="shared" ca="1" si="603"/>
        <v>447</v>
      </c>
      <c r="T3905">
        <f t="shared" si="604"/>
        <v>1</v>
      </c>
      <c r="U3905">
        <f t="shared" si="605"/>
        <v>1</v>
      </c>
      <c r="V3905">
        <f t="shared" si="606"/>
        <v>1</v>
      </c>
      <c r="W3905">
        <f t="shared" si="607"/>
        <v>1</v>
      </c>
      <c r="X3905">
        <f t="shared" si="608"/>
        <v>0.99999999999999989</v>
      </c>
      <c r="Y3905" t="str">
        <f t="shared" si="609"/>
        <v>Healthy</v>
      </c>
    </row>
    <row r="3906" spans="1:25" x14ac:dyDescent="0.35">
      <c r="A3906" t="s">
        <v>99</v>
      </c>
      <c r="B3906" t="s">
        <v>100</v>
      </c>
      <c r="C3906" t="s">
        <v>101</v>
      </c>
      <c r="D3906" t="s">
        <v>1135</v>
      </c>
      <c r="E3906">
        <v>80739413</v>
      </c>
      <c r="F3906" t="s">
        <v>2542</v>
      </c>
      <c r="G3906" s="3">
        <v>46428</v>
      </c>
      <c r="H3906">
        <v>18</v>
      </c>
      <c r="I3906">
        <v>44</v>
      </c>
      <c r="J3906">
        <v>34</v>
      </c>
      <c r="K3906" s="4">
        <v>8486.06</v>
      </c>
      <c r="L3906" s="4">
        <v>72.857142857142861</v>
      </c>
      <c r="M3906" s="4">
        <v>0.46666666666666662</v>
      </c>
      <c r="N3906" t="s">
        <v>25</v>
      </c>
      <c r="O3906" t="str">
        <f t="shared" si="600"/>
        <v>Low</v>
      </c>
      <c r="P3906" t="str">
        <f t="shared" si="601"/>
        <v>Low</v>
      </c>
      <c r="Q3906" t="str">
        <f t="shared" si="602"/>
        <v>Low</v>
      </c>
      <c r="R3906" t="s">
        <v>3317</v>
      </c>
      <c r="S3906" s="4">
        <f t="shared" ca="1" si="603"/>
        <v>231</v>
      </c>
      <c r="T3906">
        <f t="shared" si="604"/>
        <v>1</v>
      </c>
      <c r="U3906">
        <f t="shared" si="605"/>
        <v>1</v>
      </c>
      <c r="V3906">
        <f t="shared" si="606"/>
        <v>1</v>
      </c>
      <c r="W3906">
        <f t="shared" si="607"/>
        <v>1</v>
      </c>
      <c r="X3906">
        <f t="shared" si="608"/>
        <v>0.99999999999999989</v>
      </c>
      <c r="Y3906" t="str">
        <f t="shared" si="609"/>
        <v>Healthy</v>
      </c>
    </row>
    <row r="3907" spans="1:25" x14ac:dyDescent="0.35">
      <c r="A3907" t="s">
        <v>179</v>
      </c>
      <c r="B3907" t="s">
        <v>223</v>
      </c>
      <c r="C3907" t="s">
        <v>357</v>
      </c>
      <c r="D3907" t="s">
        <v>2540</v>
      </c>
      <c r="E3907">
        <v>80877409</v>
      </c>
      <c r="F3907" t="s">
        <v>2541</v>
      </c>
      <c r="G3907" s="3">
        <v>46692</v>
      </c>
      <c r="H3907">
        <v>18</v>
      </c>
      <c r="I3907">
        <v>93</v>
      </c>
      <c r="J3907">
        <v>360</v>
      </c>
      <c r="K3907" s="4">
        <v>44186.400000000001</v>
      </c>
      <c r="L3907" s="4">
        <v>42976.857142857145</v>
      </c>
      <c r="M3907" s="4">
        <v>8.3766013602005057E-3</v>
      </c>
      <c r="N3907" t="s">
        <v>25</v>
      </c>
      <c r="O3907" t="str">
        <f t="shared" ref="O3907:O3970" si="610">IF(I3907&lt;20,"High",IF(I3907&lt;40,"Medium","Low"))</f>
        <v>Low</v>
      </c>
      <c r="P3907" t="str">
        <f t="shared" ref="P3907:P3970" si="611">IF(M3907&gt;8,"High",IF(M3907&gt;4,"Medium","Low"))</f>
        <v>Low</v>
      </c>
      <c r="Q3907" t="str">
        <f t="shared" ref="Q3907:Q3970" si="612">IF(L3907&lt;5,"High",IF(L3907&lt;15,"Medium","Low"))</f>
        <v>Low</v>
      </c>
      <c r="R3907" t="s">
        <v>3317</v>
      </c>
      <c r="S3907" s="4">
        <f t="shared" ref="S3907:S3970" ca="1" si="613">G3907-TODAY()</f>
        <v>495</v>
      </c>
      <c r="T3907">
        <f t="shared" ref="T3907:T3970" si="614">IF(O3907="High",3,IF(O3907="Medium",2,1))</f>
        <v>1</v>
      </c>
      <c r="U3907">
        <f t="shared" ref="U3907:U3970" si="615">IF(P3907="High",3,IF(P3907="Medium",2,1))</f>
        <v>1</v>
      </c>
      <c r="V3907">
        <f t="shared" ref="V3907:V3970" si="616">IF(Q3907="High",3,IF(Q3907="Medium",2,1))</f>
        <v>1</v>
      </c>
      <c r="W3907">
        <f t="shared" ref="W3907:W3970" si="617">IF(R3907="High",3,IF(R3907="Medium",2,1))</f>
        <v>1</v>
      </c>
      <c r="X3907">
        <f t="shared" ref="X3907:X3970" si="618">(0.4*T3907)+(0.3*U3907)+(0.2*V3907)+(0.1*W3907)</f>
        <v>0.99999999999999989</v>
      </c>
      <c r="Y3907" t="str">
        <f t="shared" ref="Y3907:Y3970" si="619">IF(X3907&gt;=2.7,"Move Immediately",IF(X3907&gt;=2.2,"High Priority",IF(X3907&gt;=1.7,"Monitor","Healthy")))</f>
        <v>Healthy</v>
      </c>
    </row>
    <row r="3908" spans="1:25" x14ac:dyDescent="0.35">
      <c r="A3908" t="s">
        <v>179</v>
      </c>
      <c r="B3908" t="s">
        <v>223</v>
      </c>
      <c r="C3908" t="s">
        <v>357</v>
      </c>
      <c r="D3908" t="s">
        <v>2540</v>
      </c>
      <c r="E3908">
        <v>80877409</v>
      </c>
      <c r="F3908" t="s">
        <v>2541</v>
      </c>
      <c r="G3908" s="3">
        <v>46687</v>
      </c>
      <c r="H3908">
        <v>18</v>
      </c>
      <c r="I3908">
        <v>92</v>
      </c>
      <c r="J3908">
        <v>48</v>
      </c>
      <c r="K3908" s="4">
        <v>5891.52</v>
      </c>
      <c r="L3908" s="4">
        <v>42976.857142857145</v>
      </c>
      <c r="M3908" s="4">
        <v>1.1168801813600676E-3</v>
      </c>
      <c r="N3908" t="s">
        <v>25</v>
      </c>
      <c r="O3908" t="str">
        <f t="shared" si="610"/>
        <v>Low</v>
      </c>
      <c r="P3908" t="str">
        <f t="shared" si="611"/>
        <v>Low</v>
      </c>
      <c r="Q3908" t="str">
        <f t="shared" si="612"/>
        <v>Low</v>
      </c>
      <c r="R3908" t="s">
        <v>3317</v>
      </c>
      <c r="S3908" s="4">
        <f t="shared" ca="1" si="613"/>
        <v>490</v>
      </c>
      <c r="T3908">
        <f t="shared" si="614"/>
        <v>1</v>
      </c>
      <c r="U3908">
        <f t="shared" si="615"/>
        <v>1</v>
      </c>
      <c r="V3908">
        <f t="shared" si="616"/>
        <v>1</v>
      </c>
      <c r="W3908">
        <f t="shared" si="617"/>
        <v>1</v>
      </c>
      <c r="X3908">
        <f t="shared" si="618"/>
        <v>0.99999999999999989</v>
      </c>
      <c r="Y3908" t="str">
        <f t="shared" si="619"/>
        <v>Healthy</v>
      </c>
    </row>
    <row r="3909" spans="1:25" x14ac:dyDescent="0.35">
      <c r="A3909" t="s">
        <v>179</v>
      </c>
      <c r="B3909" t="s">
        <v>223</v>
      </c>
      <c r="C3909" t="s">
        <v>357</v>
      </c>
      <c r="D3909" t="s">
        <v>2540</v>
      </c>
      <c r="E3909">
        <v>80877409</v>
      </c>
      <c r="F3909" t="s">
        <v>2541</v>
      </c>
      <c r="G3909" s="3">
        <v>46702</v>
      </c>
      <c r="H3909">
        <v>18</v>
      </c>
      <c r="I3909">
        <v>94</v>
      </c>
      <c r="J3909">
        <v>4</v>
      </c>
      <c r="K3909" s="4">
        <v>490.96</v>
      </c>
      <c r="L3909" s="4">
        <v>42976.857142857145</v>
      </c>
      <c r="M3909" s="4">
        <v>9.3073348446672295E-5</v>
      </c>
      <c r="N3909" t="s">
        <v>25</v>
      </c>
      <c r="O3909" t="str">
        <f t="shared" si="610"/>
        <v>Low</v>
      </c>
      <c r="P3909" t="str">
        <f t="shared" si="611"/>
        <v>Low</v>
      </c>
      <c r="Q3909" t="str">
        <f t="shared" si="612"/>
        <v>Low</v>
      </c>
      <c r="R3909" t="s">
        <v>3317</v>
      </c>
      <c r="S3909" s="4">
        <f t="shared" ca="1" si="613"/>
        <v>505</v>
      </c>
      <c r="T3909">
        <f t="shared" si="614"/>
        <v>1</v>
      </c>
      <c r="U3909">
        <f t="shared" si="615"/>
        <v>1</v>
      </c>
      <c r="V3909">
        <f t="shared" si="616"/>
        <v>1</v>
      </c>
      <c r="W3909">
        <f t="shared" si="617"/>
        <v>1</v>
      </c>
      <c r="X3909">
        <f t="shared" si="618"/>
        <v>0.99999999999999989</v>
      </c>
      <c r="Y3909" t="str">
        <f t="shared" si="619"/>
        <v>Healthy</v>
      </c>
    </row>
    <row r="3910" spans="1:25" x14ac:dyDescent="0.35">
      <c r="A3910" t="s">
        <v>179</v>
      </c>
      <c r="B3910" t="s">
        <v>223</v>
      </c>
      <c r="C3910" t="s">
        <v>357</v>
      </c>
      <c r="D3910" t="s">
        <v>2540</v>
      </c>
      <c r="E3910">
        <v>80877409</v>
      </c>
      <c r="F3910" t="s">
        <v>2541</v>
      </c>
      <c r="G3910" s="3">
        <v>46709</v>
      </c>
      <c r="H3910">
        <v>18</v>
      </c>
      <c r="I3910">
        <v>96</v>
      </c>
      <c r="J3910">
        <v>120</v>
      </c>
      <c r="K3910" s="4">
        <v>14728.8</v>
      </c>
      <c r="L3910" s="4">
        <v>42976.857142857145</v>
      </c>
      <c r="M3910" s="4">
        <v>2.7922004534001689E-3</v>
      </c>
      <c r="N3910" t="s">
        <v>25</v>
      </c>
      <c r="O3910" t="str">
        <f t="shared" si="610"/>
        <v>Low</v>
      </c>
      <c r="P3910" t="str">
        <f t="shared" si="611"/>
        <v>Low</v>
      </c>
      <c r="Q3910" t="str">
        <f t="shared" si="612"/>
        <v>Low</v>
      </c>
      <c r="R3910" t="s">
        <v>3317</v>
      </c>
      <c r="S3910" s="4">
        <f t="shared" ca="1" si="613"/>
        <v>512</v>
      </c>
      <c r="T3910">
        <f t="shared" si="614"/>
        <v>1</v>
      </c>
      <c r="U3910">
        <f t="shared" si="615"/>
        <v>1</v>
      </c>
      <c r="V3910">
        <f t="shared" si="616"/>
        <v>1</v>
      </c>
      <c r="W3910">
        <f t="shared" si="617"/>
        <v>1</v>
      </c>
      <c r="X3910">
        <f t="shared" si="618"/>
        <v>0.99999999999999989</v>
      </c>
      <c r="Y3910" t="str">
        <f t="shared" si="619"/>
        <v>Healthy</v>
      </c>
    </row>
    <row r="3911" spans="1:25" x14ac:dyDescent="0.35">
      <c r="A3911" t="s">
        <v>179</v>
      </c>
      <c r="B3911" t="s">
        <v>223</v>
      </c>
      <c r="C3911" t="s">
        <v>357</v>
      </c>
      <c r="D3911" t="s">
        <v>2540</v>
      </c>
      <c r="E3911">
        <v>80877409</v>
      </c>
      <c r="F3911" t="s">
        <v>2541</v>
      </c>
      <c r="G3911" s="3">
        <v>46666</v>
      </c>
      <c r="H3911">
        <v>18</v>
      </c>
      <c r="I3911">
        <v>88</v>
      </c>
      <c r="J3911">
        <v>360</v>
      </c>
      <c r="K3911" s="4">
        <v>44186.400000000001</v>
      </c>
      <c r="L3911" s="4">
        <v>42976.857142857145</v>
      </c>
      <c r="M3911" s="4">
        <v>8.3766013602005057E-3</v>
      </c>
      <c r="N3911" t="s">
        <v>25</v>
      </c>
      <c r="O3911" t="str">
        <f t="shared" si="610"/>
        <v>Low</v>
      </c>
      <c r="P3911" t="str">
        <f t="shared" si="611"/>
        <v>Low</v>
      </c>
      <c r="Q3911" t="str">
        <f t="shared" si="612"/>
        <v>Low</v>
      </c>
      <c r="R3911" t="s">
        <v>3317</v>
      </c>
      <c r="S3911" s="4">
        <f t="shared" ca="1" si="613"/>
        <v>469</v>
      </c>
      <c r="T3911">
        <f t="shared" si="614"/>
        <v>1</v>
      </c>
      <c r="U3911">
        <f t="shared" si="615"/>
        <v>1</v>
      </c>
      <c r="V3911">
        <f t="shared" si="616"/>
        <v>1</v>
      </c>
      <c r="W3911">
        <f t="shared" si="617"/>
        <v>1</v>
      </c>
      <c r="X3911">
        <f t="shared" si="618"/>
        <v>0.99999999999999989</v>
      </c>
      <c r="Y3911" t="str">
        <f t="shared" si="619"/>
        <v>Healthy</v>
      </c>
    </row>
    <row r="3912" spans="1:25" x14ac:dyDescent="0.35">
      <c r="A3912" t="s">
        <v>210</v>
      </c>
      <c r="B3912" t="s">
        <v>211</v>
      </c>
      <c r="C3912" t="s">
        <v>273</v>
      </c>
      <c r="D3912" t="s">
        <v>1532</v>
      </c>
      <c r="E3912">
        <v>80741061</v>
      </c>
      <c r="F3912" t="s">
        <v>2543</v>
      </c>
      <c r="G3912" s="3">
        <v>46321</v>
      </c>
      <c r="H3912">
        <v>60</v>
      </c>
      <c r="I3912">
        <v>7</v>
      </c>
      <c r="J3912">
        <v>10</v>
      </c>
      <c r="K3912" s="4">
        <v>2938.9</v>
      </c>
      <c r="L3912" s="4">
        <v>0.2857142857142857</v>
      </c>
      <c r="M3912" s="4">
        <v>35</v>
      </c>
      <c r="N3912" t="s">
        <v>19</v>
      </c>
      <c r="O3912" t="str">
        <f t="shared" si="610"/>
        <v>High</v>
      </c>
      <c r="P3912" t="str">
        <f t="shared" si="611"/>
        <v>High</v>
      </c>
      <c r="Q3912" t="str">
        <f t="shared" si="612"/>
        <v>High</v>
      </c>
      <c r="R3912" t="s">
        <v>3317</v>
      </c>
      <c r="S3912" s="4">
        <f t="shared" ca="1" si="613"/>
        <v>124</v>
      </c>
      <c r="T3912">
        <f t="shared" si="614"/>
        <v>3</v>
      </c>
      <c r="U3912">
        <f t="shared" si="615"/>
        <v>3</v>
      </c>
      <c r="V3912">
        <f t="shared" si="616"/>
        <v>3</v>
      </c>
      <c r="W3912">
        <f t="shared" si="617"/>
        <v>1</v>
      </c>
      <c r="X3912">
        <f t="shared" si="618"/>
        <v>2.8000000000000003</v>
      </c>
      <c r="Y3912" t="str">
        <f t="shared" si="619"/>
        <v>Move Immediately</v>
      </c>
    </row>
    <row r="3913" spans="1:25" x14ac:dyDescent="0.35">
      <c r="A3913" t="s">
        <v>179</v>
      </c>
      <c r="B3913" t="s">
        <v>223</v>
      </c>
      <c r="C3913" t="s">
        <v>357</v>
      </c>
      <c r="D3913" t="s">
        <v>1753</v>
      </c>
      <c r="E3913">
        <v>80877378</v>
      </c>
      <c r="F3913" t="s">
        <v>2544</v>
      </c>
      <c r="G3913" s="3">
        <v>46521</v>
      </c>
      <c r="H3913">
        <v>18</v>
      </c>
      <c r="I3913">
        <v>61</v>
      </c>
      <c r="J3913">
        <v>12</v>
      </c>
      <c r="K3913" s="4">
        <v>7466.4</v>
      </c>
      <c r="L3913" s="4">
        <v>342.28571428571428</v>
      </c>
      <c r="M3913" s="4">
        <v>3.5058430717863104E-2</v>
      </c>
      <c r="N3913" t="s">
        <v>25</v>
      </c>
      <c r="O3913" t="str">
        <f t="shared" si="610"/>
        <v>Low</v>
      </c>
      <c r="P3913" t="str">
        <f t="shared" si="611"/>
        <v>Low</v>
      </c>
      <c r="Q3913" t="str">
        <f t="shared" si="612"/>
        <v>Low</v>
      </c>
      <c r="R3913" t="s">
        <v>3317</v>
      </c>
      <c r="S3913" s="4">
        <f t="shared" ca="1" si="613"/>
        <v>324</v>
      </c>
      <c r="T3913">
        <f t="shared" si="614"/>
        <v>1</v>
      </c>
      <c r="U3913">
        <f t="shared" si="615"/>
        <v>1</v>
      </c>
      <c r="V3913">
        <f t="shared" si="616"/>
        <v>1</v>
      </c>
      <c r="W3913">
        <f t="shared" si="617"/>
        <v>1</v>
      </c>
      <c r="X3913">
        <f t="shared" si="618"/>
        <v>0.99999999999999989</v>
      </c>
      <c r="Y3913" t="str">
        <f t="shared" si="619"/>
        <v>Healthy</v>
      </c>
    </row>
    <row r="3914" spans="1:25" x14ac:dyDescent="0.35">
      <c r="A3914" t="s">
        <v>179</v>
      </c>
      <c r="B3914" t="s">
        <v>223</v>
      </c>
      <c r="C3914" t="s">
        <v>357</v>
      </c>
      <c r="D3914" t="s">
        <v>1770</v>
      </c>
      <c r="E3914">
        <v>80877384</v>
      </c>
      <c r="F3914" t="s">
        <v>2545</v>
      </c>
      <c r="G3914" s="3">
        <v>46525</v>
      </c>
      <c r="H3914">
        <v>18</v>
      </c>
      <c r="I3914">
        <v>62</v>
      </c>
      <c r="J3914">
        <v>12</v>
      </c>
      <c r="K3914" s="4">
        <v>8522.4</v>
      </c>
      <c r="L3914" s="4">
        <v>174.28571428571428</v>
      </c>
      <c r="M3914" s="4">
        <v>6.8852459016393447E-2</v>
      </c>
      <c r="N3914" t="s">
        <v>25</v>
      </c>
      <c r="O3914" t="str">
        <f t="shared" si="610"/>
        <v>Low</v>
      </c>
      <c r="P3914" t="str">
        <f t="shared" si="611"/>
        <v>Low</v>
      </c>
      <c r="Q3914" t="str">
        <f t="shared" si="612"/>
        <v>Low</v>
      </c>
      <c r="R3914" t="s">
        <v>3317</v>
      </c>
      <c r="S3914" s="4">
        <f t="shared" ca="1" si="613"/>
        <v>328</v>
      </c>
      <c r="T3914">
        <f t="shared" si="614"/>
        <v>1</v>
      </c>
      <c r="U3914">
        <f t="shared" si="615"/>
        <v>1</v>
      </c>
      <c r="V3914">
        <f t="shared" si="616"/>
        <v>1</v>
      </c>
      <c r="W3914">
        <f t="shared" si="617"/>
        <v>1</v>
      </c>
      <c r="X3914">
        <f t="shared" si="618"/>
        <v>0.99999999999999989</v>
      </c>
      <c r="Y3914" t="str">
        <f t="shared" si="619"/>
        <v>Healthy</v>
      </c>
    </row>
    <row r="3915" spans="1:25" x14ac:dyDescent="0.35">
      <c r="A3915" t="s">
        <v>210</v>
      </c>
      <c r="B3915" t="s">
        <v>211</v>
      </c>
      <c r="C3915" t="s">
        <v>273</v>
      </c>
      <c r="D3915" t="s">
        <v>1532</v>
      </c>
      <c r="E3915">
        <v>80741061</v>
      </c>
      <c r="F3915" t="s">
        <v>2543</v>
      </c>
      <c r="G3915" s="3">
        <v>47304</v>
      </c>
      <c r="H3915">
        <v>60</v>
      </c>
      <c r="I3915">
        <v>62</v>
      </c>
      <c r="J3915">
        <v>7</v>
      </c>
      <c r="K3915" s="4">
        <v>2093.91</v>
      </c>
      <c r="L3915" s="4">
        <v>0.2857142857142857</v>
      </c>
      <c r="M3915" s="4">
        <v>24.5</v>
      </c>
      <c r="N3915" t="s">
        <v>19</v>
      </c>
      <c r="O3915" t="str">
        <f t="shared" si="610"/>
        <v>Low</v>
      </c>
      <c r="P3915" t="str">
        <f t="shared" si="611"/>
        <v>High</v>
      </c>
      <c r="Q3915" t="str">
        <f t="shared" si="612"/>
        <v>High</v>
      </c>
      <c r="R3915" t="s">
        <v>3317</v>
      </c>
      <c r="S3915" s="4">
        <f t="shared" ca="1" si="613"/>
        <v>1107</v>
      </c>
      <c r="T3915">
        <f t="shared" si="614"/>
        <v>1</v>
      </c>
      <c r="U3915">
        <f t="shared" si="615"/>
        <v>3</v>
      </c>
      <c r="V3915">
        <f t="shared" si="616"/>
        <v>3</v>
      </c>
      <c r="W3915">
        <f t="shared" si="617"/>
        <v>1</v>
      </c>
      <c r="X3915">
        <f t="shared" si="618"/>
        <v>2</v>
      </c>
      <c r="Y3915" t="str">
        <f t="shared" si="619"/>
        <v>Monitor</v>
      </c>
    </row>
    <row r="3916" spans="1:25" x14ac:dyDescent="0.35">
      <c r="A3916" t="s">
        <v>179</v>
      </c>
      <c r="B3916" t="s">
        <v>223</v>
      </c>
      <c r="C3916" t="s">
        <v>357</v>
      </c>
      <c r="D3916" t="s">
        <v>1050</v>
      </c>
      <c r="E3916">
        <v>80877423</v>
      </c>
      <c r="F3916" t="s">
        <v>2546</v>
      </c>
      <c r="G3916" s="3">
        <v>46542</v>
      </c>
      <c r="H3916">
        <v>18</v>
      </c>
      <c r="I3916">
        <v>65</v>
      </c>
      <c r="J3916">
        <v>36</v>
      </c>
      <c r="K3916" s="4">
        <v>35678.879999999997</v>
      </c>
      <c r="L3916" s="4">
        <v>2741.4285714285716</v>
      </c>
      <c r="M3916" s="4">
        <v>1.3131839499739447E-2</v>
      </c>
      <c r="N3916" t="s">
        <v>25</v>
      </c>
      <c r="O3916" t="str">
        <f t="shared" si="610"/>
        <v>Low</v>
      </c>
      <c r="P3916" t="str">
        <f t="shared" si="611"/>
        <v>Low</v>
      </c>
      <c r="Q3916" t="str">
        <f t="shared" si="612"/>
        <v>Low</v>
      </c>
      <c r="R3916" t="s">
        <v>3317</v>
      </c>
      <c r="S3916" s="4">
        <f t="shared" ca="1" si="613"/>
        <v>345</v>
      </c>
      <c r="T3916">
        <f t="shared" si="614"/>
        <v>1</v>
      </c>
      <c r="U3916">
        <f t="shared" si="615"/>
        <v>1</v>
      </c>
      <c r="V3916">
        <f t="shared" si="616"/>
        <v>1</v>
      </c>
      <c r="W3916">
        <f t="shared" si="617"/>
        <v>1</v>
      </c>
      <c r="X3916">
        <f t="shared" si="618"/>
        <v>0.99999999999999989</v>
      </c>
      <c r="Y3916" t="str">
        <f t="shared" si="619"/>
        <v>Healthy</v>
      </c>
    </row>
    <row r="3917" spans="1:25" x14ac:dyDescent="0.35">
      <c r="A3917" t="s">
        <v>179</v>
      </c>
      <c r="B3917" t="s">
        <v>223</v>
      </c>
      <c r="C3917" t="s">
        <v>357</v>
      </c>
      <c r="D3917" t="s">
        <v>1050</v>
      </c>
      <c r="E3917">
        <v>80877423</v>
      </c>
      <c r="F3917" t="s">
        <v>2546</v>
      </c>
      <c r="G3917" s="3">
        <v>46539</v>
      </c>
      <c r="H3917">
        <v>18</v>
      </c>
      <c r="I3917">
        <v>64</v>
      </c>
      <c r="J3917">
        <v>8</v>
      </c>
      <c r="K3917" s="4">
        <v>7928.64</v>
      </c>
      <c r="L3917" s="4">
        <v>2741.4285714285716</v>
      </c>
      <c r="M3917" s="4">
        <v>2.9181865554976549E-3</v>
      </c>
      <c r="N3917" t="s">
        <v>25</v>
      </c>
      <c r="O3917" t="str">
        <f t="shared" si="610"/>
        <v>Low</v>
      </c>
      <c r="P3917" t="str">
        <f t="shared" si="611"/>
        <v>Low</v>
      </c>
      <c r="Q3917" t="str">
        <f t="shared" si="612"/>
        <v>Low</v>
      </c>
      <c r="R3917" t="s">
        <v>3317</v>
      </c>
      <c r="S3917" s="4">
        <f t="shared" ca="1" si="613"/>
        <v>342</v>
      </c>
      <c r="T3917">
        <f t="shared" si="614"/>
        <v>1</v>
      </c>
      <c r="U3917">
        <f t="shared" si="615"/>
        <v>1</v>
      </c>
      <c r="V3917">
        <f t="shared" si="616"/>
        <v>1</v>
      </c>
      <c r="W3917">
        <f t="shared" si="617"/>
        <v>1</v>
      </c>
      <c r="X3917">
        <f t="shared" si="618"/>
        <v>0.99999999999999989</v>
      </c>
      <c r="Y3917" t="str">
        <f t="shared" si="619"/>
        <v>Healthy</v>
      </c>
    </row>
    <row r="3918" spans="1:25" x14ac:dyDescent="0.35">
      <c r="A3918" t="s">
        <v>179</v>
      </c>
      <c r="B3918" t="s">
        <v>223</v>
      </c>
      <c r="C3918" t="s">
        <v>357</v>
      </c>
      <c r="D3918" t="s">
        <v>2547</v>
      </c>
      <c r="E3918">
        <v>80877435</v>
      </c>
      <c r="F3918" t="s">
        <v>2548</v>
      </c>
      <c r="G3918" s="3">
        <v>46723</v>
      </c>
      <c r="H3918">
        <v>18</v>
      </c>
      <c r="I3918">
        <v>98</v>
      </c>
      <c r="J3918">
        <v>294</v>
      </c>
      <c r="K3918" s="4">
        <v>308103.18</v>
      </c>
      <c r="L3918" s="4">
        <v>209.71428571428572</v>
      </c>
      <c r="M3918" s="4">
        <v>1.4019073569482288</v>
      </c>
      <c r="N3918" t="s">
        <v>25</v>
      </c>
      <c r="O3918" t="str">
        <f t="shared" si="610"/>
        <v>Low</v>
      </c>
      <c r="P3918" t="str">
        <f t="shared" si="611"/>
        <v>Low</v>
      </c>
      <c r="Q3918" t="str">
        <f t="shared" si="612"/>
        <v>Low</v>
      </c>
      <c r="R3918" t="s">
        <v>3309</v>
      </c>
      <c r="S3918" s="4">
        <f t="shared" ca="1" si="613"/>
        <v>526</v>
      </c>
      <c r="T3918">
        <f t="shared" si="614"/>
        <v>1</v>
      </c>
      <c r="U3918">
        <f t="shared" si="615"/>
        <v>1</v>
      </c>
      <c r="V3918">
        <f t="shared" si="616"/>
        <v>1</v>
      </c>
      <c r="W3918">
        <f t="shared" si="617"/>
        <v>3</v>
      </c>
      <c r="X3918">
        <f t="shared" si="618"/>
        <v>1.2</v>
      </c>
      <c r="Y3918" t="str">
        <f t="shared" si="619"/>
        <v>Healthy</v>
      </c>
    </row>
    <row r="3919" spans="1:25" x14ac:dyDescent="0.35">
      <c r="A3919" t="s">
        <v>179</v>
      </c>
      <c r="B3919" t="s">
        <v>223</v>
      </c>
      <c r="C3919" t="s">
        <v>357</v>
      </c>
      <c r="D3919" t="s">
        <v>2549</v>
      </c>
      <c r="E3919">
        <v>80877391</v>
      </c>
      <c r="F3919" t="s">
        <v>2550</v>
      </c>
      <c r="G3919" s="3">
        <v>46723</v>
      </c>
      <c r="H3919">
        <v>18</v>
      </c>
      <c r="I3919">
        <v>98</v>
      </c>
      <c r="J3919">
        <v>860</v>
      </c>
      <c r="K3919" s="4">
        <v>105556.4</v>
      </c>
      <c r="L3919" s="4">
        <v>117621</v>
      </c>
      <c r="M3919" s="4">
        <v>7.3116195237245048E-3</v>
      </c>
      <c r="N3919" t="s">
        <v>25</v>
      </c>
      <c r="O3919" t="str">
        <f t="shared" si="610"/>
        <v>Low</v>
      </c>
      <c r="P3919" t="str">
        <f t="shared" si="611"/>
        <v>Low</v>
      </c>
      <c r="Q3919" t="str">
        <f t="shared" si="612"/>
        <v>Low</v>
      </c>
      <c r="R3919" t="s">
        <v>3310</v>
      </c>
      <c r="S3919" s="4">
        <f t="shared" ca="1" si="613"/>
        <v>526</v>
      </c>
      <c r="T3919">
        <f t="shared" si="614"/>
        <v>1</v>
      </c>
      <c r="U3919">
        <f t="shared" si="615"/>
        <v>1</v>
      </c>
      <c r="V3919">
        <f t="shared" si="616"/>
        <v>1</v>
      </c>
      <c r="W3919">
        <f t="shared" si="617"/>
        <v>2</v>
      </c>
      <c r="X3919">
        <f t="shared" si="618"/>
        <v>1.0999999999999999</v>
      </c>
      <c r="Y3919" t="str">
        <f t="shared" si="619"/>
        <v>Healthy</v>
      </c>
    </row>
    <row r="3920" spans="1:25" x14ac:dyDescent="0.35">
      <c r="A3920" t="s">
        <v>179</v>
      </c>
      <c r="B3920" t="s">
        <v>223</v>
      </c>
      <c r="C3920" t="s">
        <v>357</v>
      </c>
      <c r="D3920" t="s">
        <v>2549</v>
      </c>
      <c r="E3920">
        <v>80877391</v>
      </c>
      <c r="F3920" t="s">
        <v>2550</v>
      </c>
      <c r="G3920" s="3">
        <v>46722</v>
      </c>
      <c r="H3920">
        <v>18</v>
      </c>
      <c r="I3920">
        <v>98</v>
      </c>
      <c r="J3920">
        <v>72</v>
      </c>
      <c r="K3920" s="4">
        <v>8837.2800000000007</v>
      </c>
      <c r="L3920" s="4">
        <v>117621</v>
      </c>
      <c r="M3920" s="4">
        <v>6.1213558803274921E-4</v>
      </c>
      <c r="N3920" t="s">
        <v>25</v>
      </c>
      <c r="O3920" t="str">
        <f t="shared" si="610"/>
        <v>Low</v>
      </c>
      <c r="P3920" t="str">
        <f t="shared" si="611"/>
        <v>Low</v>
      </c>
      <c r="Q3920" t="str">
        <f t="shared" si="612"/>
        <v>Low</v>
      </c>
      <c r="R3920" t="s">
        <v>3317</v>
      </c>
      <c r="S3920" s="4">
        <f t="shared" ca="1" si="613"/>
        <v>525</v>
      </c>
      <c r="T3920">
        <f t="shared" si="614"/>
        <v>1</v>
      </c>
      <c r="U3920">
        <f t="shared" si="615"/>
        <v>1</v>
      </c>
      <c r="V3920">
        <f t="shared" si="616"/>
        <v>1</v>
      </c>
      <c r="W3920">
        <f t="shared" si="617"/>
        <v>1</v>
      </c>
      <c r="X3920">
        <f t="shared" si="618"/>
        <v>0.99999999999999989</v>
      </c>
      <c r="Y3920" t="str">
        <f t="shared" si="619"/>
        <v>Healthy</v>
      </c>
    </row>
    <row r="3921" spans="1:25" x14ac:dyDescent="0.35">
      <c r="A3921" t="s">
        <v>20</v>
      </c>
      <c r="B3921" t="s">
        <v>21</v>
      </c>
      <c r="C3921" t="s">
        <v>133</v>
      </c>
      <c r="D3921" t="s">
        <v>2551</v>
      </c>
      <c r="E3921">
        <v>80718621</v>
      </c>
      <c r="F3921" t="s">
        <v>2552</v>
      </c>
      <c r="G3921" s="3">
        <v>45943</v>
      </c>
      <c r="H3921">
        <v>36</v>
      </c>
      <c r="I3921">
        <v>0</v>
      </c>
      <c r="J3921">
        <v>80</v>
      </c>
      <c r="K3921" s="4">
        <v>231584</v>
      </c>
      <c r="L3921" s="4">
        <f>0</f>
        <v>0</v>
      </c>
      <c r="M3921" s="4">
        <f>999</f>
        <v>999</v>
      </c>
      <c r="N3921" t="s">
        <v>19</v>
      </c>
      <c r="O3921" t="str">
        <f t="shared" si="610"/>
        <v>High</v>
      </c>
      <c r="P3921" t="str">
        <f t="shared" si="611"/>
        <v>High</v>
      </c>
      <c r="Q3921" t="str">
        <f t="shared" si="612"/>
        <v>High</v>
      </c>
      <c r="R3921" t="s">
        <v>3309</v>
      </c>
      <c r="S3921" s="4">
        <f t="shared" ca="1" si="613"/>
        <v>-254</v>
      </c>
      <c r="T3921">
        <f t="shared" si="614"/>
        <v>3</v>
      </c>
      <c r="U3921">
        <f t="shared" si="615"/>
        <v>3</v>
      </c>
      <c r="V3921">
        <f t="shared" si="616"/>
        <v>3</v>
      </c>
      <c r="W3921">
        <f t="shared" si="617"/>
        <v>3</v>
      </c>
      <c r="X3921">
        <f t="shared" si="618"/>
        <v>3</v>
      </c>
      <c r="Y3921" t="str">
        <f t="shared" si="619"/>
        <v>Move Immediately</v>
      </c>
    </row>
    <row r="3922" spans="1:25" x14ac:dyDescent="0.35">
      <c r="A3922" t="s">
        <v>41</v>
      </c>
      <c r="B3922" t="s">
        <v>54</v>
      </c>
      <c r="C3922" t="s">
        <v>55</v>
      </c>
      <c r="D3922" t="s">
        <v>153</v>
      </c>
      <c r="E3922">
        <v>80751137</v>
      </c>
      <c r="F3922" t="s">
        <v>2553</v>
      </c>
      <c r="G3922" s="3">
        <v>46110</v>
      </c>
      <c r="H3922">
        <v>36</v>
      </c>
      <c r="I3922">
        <v>0</v>
      </c>
      <c r="J3922">
        <v>1</v>
      </c>
      <c r="K3922" s="4">
        <v>655.69</v>
      </c>
      <c r="L3922" s="4">
        <f>0</f>
        <v>0</v>
      </c>
      <c r="M3922" s="4">
        <f>999</f>
        <v>999</v>
      </c>
      <c r="N3922" t="s">
        <v>19</v>
      </c>
      <c r="O3922" t="str">
        <f t="shared" si="610"/>
        <v>High</v>
      </c>
      <c r="P3922" t="str">
        <f t="shared" si="611"/>
        <v>High</v>
      </c>
      <c r="Q3922" t="str">
        <f t="shared" si="612"/>
        <v>High</v>
      </c>
      <c r="R3922" t="s">
        <v>3317</v>
      </c>
      <c r="S3922" s="4">
        <f t="shared" ca="1" si="613"/>
        <v>-87</v>
      </c>
      <c r="T3922">
        <f t="shared" si="614"/>
        <v>3</v>
      </c>
      <c r="U3922">
        <f t="shared" si="615"/>
        <v>3</v>
      </c>
      <c r="V3922">
        <f t="shared" si="616"/>
        <v>3</v>
      </c>
      <c r="W3922">
        <f t="shared" si="617"/>
        <v>1</v>
      </c>
      <c r="X3922">
        <f t="shared" si="618"/>
        <v>2.8000000000000003</v>
      </c>
      <c r="Y3922" t="str">
        <f t="shared" si="619"/>
        <v>Move Immediately</v>
      </c>
    </row>
    <row r="3923" spans="1:25" x14ac:dyDescent="0.35">
      <c r="A3923" t="s">
        <v>41</v>
      </c>
      <c r="B3923" t="s">
        <v>54</v>
      </c>
      <c r="C3923" t="s">
        <v>55</v>
      </c>
      <c r="D3923" t="s">
        <v>153</v>
      </c>
      <c r="E3923">
        <v>80751137</v>
      </c>
      <c r="F3923" t="s">
        <v>2553</v>
      </c>
      <c r="G3923" s="3">
        <v>46130</v>
      </c>
      <c r="H3923">
        <v>36</v>
      </c>
      <c r="I3923">
        <v>0</v>
      </c>
      <c r="J3923">
        <v>1</v>
      </c>
      <c r="K3923" s="4">
        <v>655.69</v>
      </c>
      <c r="L3923" s="4">
        <f>0</f>
        <v>0</v>
      </c>
      <c r="M3923" s="4">
        <f>999</f>
        <v>999</v>
      </c>
      <c r="N3923" t="s">
        <v>19</v>
      </c>
      <c r="O3923" t="str">
        <f t="shared" si="610"/>
        <v>High</v>
      </c>
      <c r="P3923" t="str">
        <f t="shared" si="611"/>
        <v>High</v>
      </c>
      <c r="Q3923" t="str">
        <f t="shared" si="612"/>
        <v>High</v>
      </c>
      <c r="R3923" t="s">
        <v>3317</v>
      </c>
      <c r="S3923" s="4">
        <f t="shared" ca="1" si="613"/>
        <v>-67</v>
      </c>
      <c r="T3923">
        <f t="shared" si="614"/>
        <v>3</v>
      </c>
      <c r="U3923">
        <f t="shared" si="615"/>
        <v>3</v>
      </c>
      <c r="V3923">
        <f t="shared" si="616"/>
        <v>3</v>
      </c>
      <c r="W3923">
        <f t="shared" si="617"/>
        <v>1</v>
      </c>
      <c r="X3923">
        <f t="shared" si="618"/>
        <v>2.8000000000000003</v>
      </c>
      <c r="Y3923" t="str">
        <f t="shared" si="619"/>
        <v>Move Immediately</v>
      </c>
    </row>
    <row r="3924" spans="1:25" x14ac:dyDescent="0.35">
      <c r="A3924" t="s">
        <v>179</v>
      </c>
      <c r="B3924" t="s">
        <v>223</v>
      </c>
      <c r="C3924" t="s">
        <v>357</v>
      </c>
      <c r="D3924" t="s">
        <v>2549</v>
      </c>
      <c r="E3924">
        <v>80877391</v>
      </c>
      <c r="F3924" t="s">
        <v>2550</v>
      </c>
      <c r="G3924" s="3">
        <v>46732</v>
      </c>
      <c r="H3924">
        <v>18</v>
      </c>
      <c r="I3924">
        <v>100</v>
      </c>
      <c r="J3924">
        <v>5784</v>
      </c>
      <c r="K3924" s="4">
        <v>709928.16</v>
      </c>
      <c r="L3924" s="4">
        <v>117621</v>
      </c>
      <c r="M3924" s="4">
        <v>4.9174892238630856E-2</v>
      </c>
      <c r="N3924" t="s">
        <v>25</v>
      </c>
      <c r="O3924" t="str">
        <f t="shared" si="610"/>
        <v>Low</v>
      </c>
      <c r="P3924" t="str">
        <f t="shared" si="611"/>
        <v>Low</v>
      </c>
      <c r="Q3924" t="str">
        <f t="shared" si="612"/>
        <v>Low</v>
      </c>
      <c r="R3924" t="s">
        <v>3309</v>
      </c>
      <c r="S3924" s="4">
        <f t="shared" ca="1" si="613"/>
        <v>535</v>
      </c>
      <c r="T3924">
        <f t="shared" si="614"/>
        <v>1</v>
      </c>
      <c r="U3924">
        <f t="shared" si="615"/>
        <v>1</v>
      </c>
      <c r="V3924">
        <f t="shared" si="616"/>
        <v>1</v>
      </c>
      <c r="W3924">
        <f t="shared" si="617"/>
        <v>3</v>
      </c>
      <c r="X3924">
        <f t="shared" si="618"/>
        <v>1.2</v>
      </c>
      <c r="Y3924" t="str">
        <f t="shared" si="619"/>
        <v>Healthy</v>
      </c>
    </row>
    <row r="3925" spans="1:25" x14ac:dyDescent="0.35">
      <c r="A3925" t="s">
        <v>41</v>
      </c>
      <c r="B3925" t="s">
        <v>54</v>
      </c>
      <c r="C3925" t="s">
        <v>55</v>
      </c>
      <c r="D3925" t="s">
        <v>153</v>
      </c>
      <c r="E3925">
        <v>80751137</v>
      </c>
      <c r="F3925" t="s">
        <v>2553</v>
      </c>
      <c r="G3925" s="3">
        <v>46122</v>
      </c>
      <c r="H3925">
        <v>36</v>
      </c>
      <c r="I3925">
        <v>0</v>
      </c>
      <c r="J3925">
        <v>1</v>
      </c>
      <c r="K3925" s="4">
        <v>655.69</v>
      </c>
      <c r="L3925" s="4">
        <f>0</f>
        <v>0</v>
      </c>
      <c r="M3925" s="4">
        <f>999</f>
        <v>999</v>
      </c>
      <c r="N3925" t="s">
        <v>19</v>
      </c>
      <c r="O3925" t="str">
        <f t="shared" si="610"/>
        <v>High</v>
      </c>
      <c r="P3925" t="str">
        <f t="shared" si="611"/>
        <v>High</v>
      </c>
      <c r="Q3925" t="str">
        <f t="shared" si="612"/>
        <v>High</v>
      </c>
      <c r="R3925" t="s">
        <v>3317</v>
      </c>
      <c r="S3925" s="4">
        <f t="shared" ca="1" si="613"/>
        <v>-75</v>
      </c>
      <c r="T3925">
        <f t="shared" si="614"/>
        <v>3</v>
      </c>
      <c r="U3925">
        <f t="shared" si="615"/>
        <v>3</v>
      </c>
      <c r="V3925">
        <f t="shared" si="616"/>
        <v>3</v>
      </c>
      <c r="W3925">
        <f t="shared" si="617"/>
        <v>1</v>
      </c>
      <c r="X3925">
        <f t="shared" si="618"/>
        <v>2.8000000000000003</v>
      </c>
      <c r="Y3925" t="str">
        <f t="shared" si="619"/>
        <v>Move Immediately</v>
      </c>
    </row>
    <row r="3926" spans="1:25" x14ac:dyDescent="0.35">
      <c r="A3926" t="s">
        <v>41</v>
      </c>
      <c r="B3926" t="s">
        <v>54</v>
      </c>
      <c r="C3926" t="s">
        <v>55</v>
      </c>
      <c r="D3926" t="s">
        <v>153</v>
      </c>
      <c r="E3926">
        <v>80751137</v>
      </c>
      <c r="F3926" t="s">
        <v>2553</v>
      </c>
      <c r="G3926" s="3">
        <v>46110</v>
      </c>
      <c r="H3926">
        <v>36</v>
      </c>
      <c r="I3926">
        <v>0</v>
      </c>
      <c r="J3926">
        <v>9</v>
      </c>
      <c r="K3926" s="4">
        <v>5901.21</v>
      </c>
      <c r="L3926" s="4">
        <f>0</f>
        <v>0</v>
      </c>
      <c r="M3926" s="4">
        <f>999</f>
        <v>999</v>
      </c>
      <c r="N3926" t="s">
        <v>19</v>
      </c>
      <c r="O3926" t="str">
        <f t="shared" si="610"/>
        <v>High</v>
      </c>
      <c r="P3926" t="str">
        <f t="shared" si="611"/>
        <v>High</v>
      </c>
      <c r="Q3926" t="str">
        <f t="shared" si="612"/>
        <v>High</v>
      </c>
      <c r="R3926" t="s">
        <v>3317</v>
      </c>
      <c r="S3926" s="4">
        <f t="shared" ca="1" si="613"/>
        <v>-87</v>
      </c>
      <c r="T3926">
        <f t="shared" si="614"/>
        <v>3</v>
      </c>
      <c r="U3926">
        <f t="shared" si="615"/>
        <v>3</v>
      </c>
      <c r="V3926">
        <f t="shared" si="616"/>
        <v>3</v>
      </c>
      <c r="W3926">
        <f t="shared" si="617"/>
        <v>1</v>
      </c>
      <c r="X3926">
        <f t="shared" si="618"/>
        <v>2.8000000000000003</v>
      </c>
      <c r="Y3926" t="str">
        <f t="shared" si="619"/>
        <v>Move Immediately</v>
      </c>
    </row>
    <row r="3927" spans="1:25" x14ac:dyDescent="0.35">
      <c r="A3927" t="s">
        <v>179</v>
      </c>
      <c r="B3927" t="s">
        <v>223</v>
      </c>
      <c r="C3927" t="s">
        <v>357</v>
      </c>
      <c r="D3927" t="s">
        <v>2549</v>
      </c>
      <c r="E3927">
        <v>80877391</v>
      </c>
      <c r="F3927" t="s">
        <v>2550</v>
      </c>
      <c r="G3927" s="3">
        <v>46721</v>
      </c>
      <c r="H3927">
        <v>18</v>
      </c>
      <c r="I3927">
        <v>98</v>
      </c>
      <c r="J3927">
        <v>50</v>
      </c>
      <c r="K3927" s="4">
        <v>6137</v>
      </c>
      <c r="L3927" s="4">
        <v>117621</v>
      </c>
      <c r="M3927" s="4">
        <v>4.2509415835607586E-4</v>
      </c>
      <c r="N3927" t="s">
        <v>25</v>
      </c>
      <c r="O3927" t="str">
        <f t="shared" si="610"/>
        <v>Low</v>
      </c>
      <c r="P3927" t="str">
        <f t="shared" si="611"/>
        <v>Low</v>
      </c>
      <c r="Q3927" t="str">
        <f t="shared" si="612"/>
        <v>Low</v>
      </c>
      <c r="R3927" t="s">
        <v>3317</v>
      </c>
      <c r="S3927" s="4">
        <f t="shared" ca="1" si="613"/>
        <v>524</v>
      </c>
      <c r="T3927">
        <f t="shared" si="614"/>
        <v>1</v>
      </c>
      <c r="U3927">
        <f t="shared" si="615"/>
        <v>1</v>
      </c>
      <c r="V3927">
        <f t="shared" si="616"/>
        <v>1</v>
      </c>
      <c r="W3927">
        <f t="shared" si="617"/>
        <v>1</v>
      </c>
      <c r="X3927">
        <f t="shared" si="618"/>
        <v>0.99999999999999989</v>
      </c>
      <c r="Y3927" t="str">
        <f t="shared" si="619"/>
        <v>Healthy</v>
      </c>
    </row>
    <row r="3928" spans="1:25" x14ac:dyDescent="0.35">
      <c r="A3928" t="s">
        <v>41</v>
      </c>
      <c r="B3928" t="s">
        <v>42</v>
      </c>
      <c r="C3928" t="s">
        <v>43</v>
      </c>
      <c r="D3928" t="s">
        <v>384</v>
      </c>
      <c r="E3928">
        <v>80752241</v>
      </c>
      <c r="F3928" t="s">
        <v>2554</v>
      </c>
      <c r="G3928" s="3">
        <v>46284</v>
      </c>
      <c r="H3928">
        <v>36</v>
      </c>
      <c r="I3928">
        <v>9</v>
      </c>
      <c r="J3928">
        <v>5</v>
      </c>
      <c r="K3928" s="4">
        <v>2952.75</v>
      </c>
      <c r="L3928" s="4">
        <f>0</f>
        <v>0</v>
      </c>
      <c r="M3928" s="4">
        <f>999</f>
        <v>999</v>
      </c>
      <c r="N3928" t="s">
        <v>19</v>
      </c>
      <c r="O3928" t="str">
        <f t="shared" si="610"/>
        <v>High</v>
      </c>
      <c r="P3928" t="str">
        <f t="shared" si="611"/>
        <v>High</v>
      </c>
      <c r="Q3928" t="str">
        <f t="shared" si="612"/>
        <v>High</v>
      </c>
      <c r="R3928" t="s">
        <v>3317</v>
      </c>
      <c r="S3928" s="4">
        <f t="shared" ca="1" si="613"/>
        <v>87</v>
      </c>
      <c r="T3928">
        <f t="shared" si="614"/>
        <v>3</v>
      </c>
      <c r="U3928">
        <f t="shared" si="615"/>
        <v>3</v>
      </c>
      <c r="V3928">
        <f t="shared" si="616"/>
        <v>3</v>
      </c>
      <c r="W3928">
        <f t="shared" si="617"/>
        <v>1</v>
      </c>
      <c r="X3928">
        <f t="shared" si="618"/>
        <v>2.8000000000000003</v>
      </c>
      <c r="Y3928" t="str">
        <f t="shared" si="619"/>
        <v>Move Immediately</v>
      </c>
    </row>
    <row r="3929" spans="1:25" x14ac:dyDescent="0.35">
      <c r="A3929" t="s">
        <v>179</v>
      </c>
      <c r="B3929" t="s">
        <v>223</v>
      </c>
      <c r="C3929" t="s">
        <v>357</v>
      </c>
      <c r="D3929" t="s">
        <v>2549</v>
      </c>
      <c r="E3929">
        <v>80877391</v>
      </c>
      <c r="F3929" t="s">
        <v>2550</v>
      </c>
      <c r="G3929" s="3">
        <v>46711</v>
      </c>
      <c r="H3929">
        <v>18</v>
      </c>
      <c r="I3929">
        <v>96</v>
      </c>
      <c r="J3929">
        <v>197</v>
      </c>
      <c r="K3929" s="4">
        <v>24179.78</v>
      </c>
      <c r="L3929" s="4">
        <v>117621</v>
      </c>
      <c r="M3929" s="4">
        <v>1.674870983922939E-3</v>
      </c>
      <c r="N3929" t="s">
        <v>25</v>
      </c>
      <c r="O3929" t="str">
        <f t="shared" si="610"/>
        <v>Low</v>
      </c>
      <c r="P3929" t="str">
        <f t="shared" si="611"/>
        <v>Low</v>
      </c>
      <c r="Q3929" t="str">
        <f t="shared" si="612"/>
        <v>Low</v>
      </c>
      <c r="R3929" t="s">
        <v>3317</v>
      </c>
      <c r="S3929" s="4">
        <f t="shared" ca="1" si="613"/>
        <v>514</v>
      </c>
      <c r="T3929">
        <f t="shared" si="614"/>
        <v>1</v>
      </c>
      <c r="U3929">
        <f t="shared" si="615"/>
        <v>1</v>
      </c>
      <c r="V3929">
        <f t="shared" si="616"/>
        <v>1</v>
      </c>
      <c r="W3929">
        <f t="shared" si="617"/>
        <v>1</v>
      </c>
      <c r="X3929">
        <f t="shared" si="618"/>
        <v>0.99999999999999989</v>
      </c>
      <c r="Y3929" t="str">
        <f t="shared" si="619"/>
        <v>Healthy</v>
      </c>
    </row>
    <row r="3930" spans="1:25" x14ac:dyDescent="0.35">
      <c r="A3930" t="s">
        <v>179</v>
      </c>
      <c r="B3930" t="s">
        <v>223</v>
      </c>
      <c r="C3930" t="s">
        <v>357</v>
      </c>
      <c r="D3930" t="s">
        <v>2549</v>
      </c>
      <c r="E3930">
        <v>80877391</v>
      </c>
      <c r="F3930" t="s">
        <v>2550</v>
      </c>
      <c r="G3930" s="3">
        <v>46830</v>
      </c>
      <c r="H3930">
        <v>18</v>
      </c>
      <c r="I3930">
        <v>100</v>
      </c>
      <c r="J3930">
        <v>6000</v>
      </c>
      <c r="K3930" s="4">
        <v>736440</v>
      </c>
      <c r="L3930" s="4">
        <v>117621</v>
      </c>
      <c r="M3930" s="4">
        <v>5.1011299002729105E-2</v>
      </c>
      <c r="N3930" t="s">
        <v>25</v>
      </c>
      <c r="O3930" t="str">
        <f t="shared" si="610"/>
        <v>Low</v>
      </c>
      <c r="P3930" t="str">
        <f t="shared" si="611"/>
        <v>Low</v>
      </c>
      <c r="Q3930" t="str">
        <f t="shared" si="612"/>
        <v>Low</v>
      </c>
      <c r="R3930" t="s">
        <v>3309</v>
      </c>
      <c r="S3930" s="4">
        <f t="shared" ca="1" si="613"/>
        <v>633</v>
      </c>
      <c r="T3930">
        <f t="shared" si="614"/>
        <v>1</v>
      </c>
      <c r="U3930">
        <f t="shared" si="615"/>
        <v>1</v>
      </c>
      <c r="V3930">
        <f t="shared" si="616"/>
        <v>1</v>
      </c>
      <c r="W3930">
        <f t="shared" si="617"/>
        <v>3</v>
      </c>
      <c r="X3930">
        <f t="shared" si="618"/>
        <v>1.2</v>
      </c>
      <c r="Y3930" t="str">
        <f t="shared" si="619"/>
        <v>Healthy</v>
      </c>
    </row>
    <row r="3931" spans="1:25" x14ac:dyDescent="0.35">
      <c r="A3931" t="s">
        <v>29</v>
      </c>
      <c r="B3931" t="s">
        <v>30</v>
      </c>
      <c r="C3931" t="s">
        <v>147</v>
      </c>
      <c r="D3931" t="s">
        <v>2555</v>
      </c>
      <c r="E3931">
        <v>80741152</v>
      </c>
      <c r="F3931" t="s">
        <v>2556</v>
      </c>
      <c r="G3931" s="3">
        <v>46411</v>
      </c>
      <c r="H3931">
        <v>36</v>
      </c>
      <c r="I3931">
        <v>20</v>
      </c>
      <c r="J3931">
        <v>5</v>
      </c>
      <c r="K3931" s="4">
        <v>7195.75</v>
      </c>
      <c r="L3931" s="4">
        <f>0</f>
        <v>0</v>
      </c>
      <c r="M3931" s="4">
        <f>999</f>
        <v>999</v>
      </c>
      <c r="N3931" t="s">
        <v>19</v>
      </c>
      <c r="O3931" t="str">
        <f t="shared" si="610"/>
        <v>Medium</v>
      </c>
      <c r="P3931" t="str">
        <f t="shared" si="611"/>
        <v>High</v>
      </c>
      <c r="Q3931" t="str">
        <f t="shared" si="612"/>
        <v>High</v>
      </c>
      <c r="R3931" t="s">
        <v>3317</v>
      </c>
      <c r="S3931" s="4">
        <f t="shared" ca="1" si="613"/>
        <v>214</v>
      </c>
      <c r="T3931">
        <f t="shared" si="614"/>
        <v>2</v>
      </c>
      <c r="U3931">
        <f t="shared" si="615"/>
        <v>3</v>
      </c>
      <c r="V3931">
        <f t="shared" si="616"/>
        <v>3</v>
      </c>
      <c r="W3931">
        <f t="shared" si="617"/>
        <v>1</v>
      </c>
      <c r="X3931">
        <f t="shared" si="618"/>
        <v>2.4</v>
      </c>
      <c r="Y3931" t="str">
        <f t="shared" si="619"/>
        <v>High Priority</v>
      </c>
    </row>
    <row r="3932" spans="1:25" x14ac:dyDescent="0.35">
      <c r="A3932" t="s">
        <v>179</v>
      </c>
      <c r="B3932" t="s">
        <v>223</v>
      </c>
      <c r="C3932" t="s">
        <v>357</v>
      </c>
      <c r="D3932" t="s">
        <v>2549</v>
      </c>
      <c r="E3932">
        <v>80877391</v>
      </c>
      <c r="F3932" t="s">
        <v>2550</v>
      </c>
      <c r="G3932" s="3">
        <v>46712</v>
      </c>
      <c r="H3932">
        <v>18</v>
      </c>
      <c r="I3932">
        <v>96</v>
      </c>
      <c r="J3932">
        <v>1005</v>
      </c>
      <c r="K3932" s="4">
        <v>123353.7</v>
      </c>
      <c r="L3932" s="4">
        <v>117621</v>
      </c>
      <c r="M3932" s="4">
        <v>8.5443925829571249E-3</v>
      </c>
      <c r="N3932" t="s">
        <v>25</v>
      </c>
      <c r="O3932" t="str">
        <f t="shared" si="610"/>
        <v>Low</v>
      </c>
      <c r="P3932" t="str">
        <f t="shared" si="611"/>
        <v>Low</v>
      </c>
      <c r="Q3932" t="str">
        <f t="shared" si="612"/>
        <v>Low</v>
      </c>
      <c r="R3932" t="s">
        <v>3310</v>
      </c>
      <c r="S3932" s="4">
        <f t="shared" ca="1" si="613"/>
        <v>515</v>
      </c>
      <c r="T3932">
        <f t="shared" si="614"/>
        <v>1</v>
      </c>
      <c r="U3932">
        <f t="shared" si="615"/>
        <v>1</v>
      </c>
      <c r="V3932">
        <f t="shared" si="616"/>
        <v>1</v>
      </c>
      <c r="W3932">
        <f t="shared" si="617"/>
        <v>2</v>
      </c>
      <c r="X3932">
        <f t="shared" si="618"/>
        <v>1.0999999999999999</v>
      </c>
      <c r="Y3932" t="str">
        <f t="shared" si="619"/>
        <v>Healthy</v>
      </c>
    </row>
    <row r="3933" spans="1:25" x14ac:dyDescent="0.35">
      <c r="A3933" t="s">
        <v>104</v>
      </c>
      <c r="B3933" t="s">
        <v>105</v>
      </c>
      <c r="C3933" t="s">
        <v>731</v>
      </c>
      <c r="D3933" t="s">
        <v>2557</v>
      </c>
      <c r="E3933">
        <v>80753886</v>
      </c>
      <c r="F3933" t="s">
        <v>2558</v>
      </c>
      <c r="G3933" s="3">
        <v>46823</v>
      </c>
      <c r="H3933">
        <v>24</v>
      </c>
      <c r="I3933">
        <v>88</v>
      </c>
      <c r="J3933">
        <v>54</v>
      </c>
      <c r="K3933" s="4">
        <v>10756.26</v>
      </c>
      <c r="L3933" s="4">
        <v>186.14285714285714</v>
      </c>
      <c r="M3933" s="4">
        <v>0.29009976976208751</v>
      </c>
      <c r="N3933" t="s">
        <v>25</v>
      </c>
      <c r="O3933" t="str">
        <f t="shared" si="610"/>
        <v>Low</v>
      </c>
      <c r="P3933" t="str">
        <f t="shared" si="611"/>
        <v>Low</v>
      </c>
      <c r="Q3933" t="str">
        <f t="shared" si="612"/>
        <v>Low</v>
      </c>
      <c r="R3933" t="s">
        <v>3317</v>
      </c>
      <c r="S3933" s="4">
        <f t="shared" ca="1" si="613"/>
        <v>626</v>
      </c>
      <c r="T3933">
        <f t="shared" si="614"/>
        <v>1</v>
      </c>
      <c r="U3933">
        <f t="shared" si="615"/>
        <v>1</v>
      </c>
      <c r="V3933">
        <f t="shared" si="616"/>
        <v>1</v>
      </c>
      <c r="W3933">
        <f t="shared" si="617"/>
        <v>1</v>
      </c>
      <c r="X3933">
        <f t="shared" si="618"/>
        <v>0.99999999999999989</v>
      </c>
      <c r="Y3933" t="str">
        <f t="shared" si="619"/>
        <v>Healthy</v>
      </c>
    </row>
    <row r="3934" spans="1:25" x14ac:dyDescent="0.35">
      <c r="A3934" t="s">
        <v>104</v>
      </c>
      <c r="B3934" t="s">
        <v>105</v>
      </c>
      <c r="C3934" t="s">
        <v>731</v>
      </c>
      <c r="D3934" t="s">
        <v>2557</v>
      </c>
      <c r="E3934">
        <v>80753886</v>
      </c>
      <c r="F3934" t="s">
        <v>2558</v>
      </c>
      <c r="G3934" s="3">
        <v>46846</v>
      </c>
      <c r="H3934">
        <v>24</v>
      </c>
      <c r="I3934">
        <v>91</v>
      </c>
      <c r="J3934">
        <v>6</v>
      </c>
      <c r="K3934" s="4">
        <v>1195.1400000000001</v>
      </c>
      <c r="L3934" s="4">
        <v>186.14285714285714</v>
      </c>
      <c r="M3934" s="4">
        <v>3.2233307751343053E-2</v>
      </c>
      <c r="N3934" t="s">
        <v>25</v>
      </c>
      <c r="O3934" t="str">
        <f t="shared" si="610"/>
        <v>Low</v>
      </c>
      <c r="P3934" t="str">
        <f t="shared" si="611"/>
        <v>Low</v>
      </c>
      <c r="Q3934" t="str">
        <f t="shared" si="612"/>
        <v>Low</v>
      </c>
      <c r="R3934" t="s">
        <v>3317</v>
      </c>
      <c r="S3934" s="4">
        <f t="shared" ca="1" si="613"/>
        <v>649</v>
      </c>
      <c r="T3934">
        <f t="shared" si="614"/>
        <v>1</v>
      </c>
      <c r="U3934">
        <f t="shared" si="615"/>
        <v>1</v>
      </c>
      <c r="V3934">
        <f t="shared" si="616"/>
        <v>1</v>
      </c>
      <c r="W3934">
        <f t="shared" si="617"/>
        <v>1</v>
      </c>
      <c r="X3934">
        <f t="shared" si="618"/>
        <v>0.99999999999999989</v>
      </c>
      <c r="Y3934" t="str">
        <f t="shared" si="619"/>
        <v>Healthy</v>
      </c>
    </row>
    <row r="3935" spans="1:25" x14ac:dyDescent="0.35">
      <c r="A3935" t="s">
        <v>104</v>
      </c>
      <c r="B3935" t="s">
        <v>105</v>
      </c>
      <c r="C3935" t="s">
        <v>731</v>
      </c>
      <c r="D3935" t="s">
        <v>2557</v>
      </c>
      <c r="E3935">
        <v>80753886</v>
      </c>
      <c r="F3935" t="s">
        <v>2558</v>
      </c>
      <c r="G3935" s="3">
        <v>46823</v>
      </c>
      <c r="H3935">
        <v>24</v>
      </c>
      <c r="I3935">
        <v>88</v>
      </c>
      <c r="J3935">
        <v>11</v>
      </c>
      <c r="K3935" s="4">
        <v>2191.09</v>
      </c>
      <c r="L3935" s="4">
        <v>186.14285714285714</v>
      </c>
      <c r="M3935" s="4">
        <v>5.9094397544128936E-2</v>
      </c>
      <c r="N3935" t="s">
        <v>25</v>
      </c>
      <c r="O3935" t="str">
        <f t="shared" si="610"/>
        <v>Low</v>
      </c>
      <c r="P3935" t="str">
        <f t="shared" si="611"/>
        <v>Low</v>
      </c>
      <c r="Q3935" t="str">
        <f t="shared" si="612"/>
        <v>Low</v>
      </c>
      <c r="R3935" t="s">
        <v>3317</v>
      </c>
      <c r="S3935" s="4">
        <f t="shared" ca="1" si="613"/>
        <v>626</v>
      </c>
      <c r="T3935">
        <f t="shared" si="614"/>
        <v>1</v>
      </c>
      <c r="U3935">
        <f t="shared" si="615"/>
        <v>1</v>
      </c>
      <c r="V3935">
        <f t="shared" si="616"/>
        <v>1</v>
      </c>
      <c r="W3935">
        <f t="shared" si="617"/>
        <v>1</v>
      </c>
      <c r="X3935">
        <f t="shared" si="618"/>
        <v>0.99999999999999989</v>
      </c>
      <c r="Y3935" t="str">
        <f t="shared" si="619"/>
        <v>Healthy</v>
      </c>
    </row>
    <row r="3936" spans="1:25" x14ac:dyDescent="0.35">
      <c r="A3936" t="s">
        <v>104</v>
      </c>
      <c r="B3936" t="s">
        <v>105</v>
      </c>
      <c r="C3936" t="s">
        <v>731</v>
      </c>
      <c r="D3936" t="s">
        <v>2557</v>
      </c>
      <c r="E3936">
        <v>80753886</v>
      </c>
      <c r="F3936" t="s">
        <v>2558</v>
      </c>
      <c r="G3936" s="3">
        <v>46683</v>
      </c>
      <c r="H3936">
        <v>24</v>
      </c>
      <c r="I3936">
        <v>68</v>
      </c>
      <c r="J3936">
        <v>14</v>
      </c>
      <c r="K3936" s="4">
        <v>2788.66</v>
      </c>
      <c r="L3936" s="4">
        <v>186.14285714285714</v>
      </c>
      <c r="M3936" s="4">
        <v>7.5211051419800459E-2</v>
      </c>
      <c r="N3936" t="s">
        <v>25</v>
      </c>
      <c r="O3936" t="str">
        <f t="shared" si="610"/>
        <v>Low</v>
      </c>
      <c r="P3936" t="str">
        <f t="shared" si="611"/>
        <v>Low</v>
      </c>
      <c r="Q3936" t="str">
        <f t="shared" si="612"/>
        <v>Low</v>
      </c>
      <c r="R3936" t="s">
        <v>3317</v>
      </c>
      <c r="S3936" s="4">
        <f t="shared" ca="1" si="613"/>
        <v>486</v>
      </c>
      <c r="T3936">
        <f t="shared" si="614"/>
        <v>1</v>
      </c>
      <c r="U3936">
        <f t="shared" si="615"/>
        <v>1</v>
      </c>
      <c r="V3936">
        <f t="shared" si="616"/>
        <v>1</v>
      </c>
      <c r="W3936">
        <f t="shared" si="617"/>
        <v>1</v>
      </c>
      <c r="X3936">
        <f t="shared" si="618"/>
        <v>0.99999999999999989</v>
      </c>
      <c r="Y3936" t="str">
        <f t="shared" si="619"/>
        <v>Healthy</v>
      </c>
    </row>
    <row r="3937" spans="1:25" x14ac:dyDescent="0.35">
      <c r="A3937" t="s">
        <v>104</v>
      </c>
      <c r="B3937" t="s">
        <v>105</v>
      </c>
      <c r="C3937" t="s">
        <v>731</v>
      </c>
      <c r="D3937" t="s">
        <v>2557</v>
      </c>
      <c r="E3937">
        <v>80753886</v>
      </c>
      <c r="F3937" t="s">
        <v>2558</v>
      </c>
      <c r="G3937" s="3">
        <v>46823</v>
      </c>
      <c r="H3937">
        <v>24</v>
      </c>
      <c r="I3937">
        <v>88</v>
      </c>
      <c r="J3937">
        <v>13</v>
      </c>
      <c r="K3937" s="4">
        <v>2589.4699999999998</v>
      </c>
      <c r="L3937" s="4">
        <v>186.14285714285714</v>
      </c>
      <c r="M3937" s="4">
        <v>6.9838833461243283E-2</v>
      </c>
      <c r="N3937" t="s">
        <v>25</v>
      </c>
      <c r="O3937" t="str">
        <f t="shared" si="610"/>
        <v>Low</v>
      </c>
      <c r="P3937" t="str">
        <f t="shared" si="611"/>
        <v>Low</v>
      </c>
      <c r="Q3937" t="str">
        <f t="shared" si="612"/>
        <v>Low</v>
      </c>
      <c r="R3937" t="s">
        <v>3317</v>
      </c>
      <c r="S3937" s="4">
        <f t="shared" ca="1" si="613"/>
        <v>626</v>
      </c>
      <c r="T3937">
        <f t="shared" si="614"/>
        <v>1</v>
      </c>
      <c r="U3937">
        <f t="shared" si="615"/>
        <v>1</v>
      </c>
      <c r="V3937">
        <f t="shared" si="616"/>
        <v>1</v>
      </c>
      <c r="W3937">
        <f t="shared" si="617"/>
        <v>1</v>
      </c>
      <c r="X3937">
        <f t="shared" si="618"/>
        <v>0.99999999999999989</v>
      </c>
      <c r="Y3937" t="str">
        <f t="shared" si="619"/>
        <v>Healthy</v>
      </c>
    </row>
    <row r="3938" spans="1:25" x14ac:dyDescent="0.35">
      <c r="A3938" t="s">
        <v>41</v>
      </c>
      <c r="B3938" t="s">
        <v>54</v>
      </c>
      <c r="C3938" t="s">
        <v>87</v>
      </c>
      <c r="D3938" t="s">
        <v>316</v>
      </c>
      <c r="E3938">
        <v>80765756</v>
      </c>
      <c r="F3938" t="s">
        <v>2559</v>
      </c>
      <c r="G3938" s="3">
        <v>46468</v>
      </c>
      <c r="H3938">
        <v>36</v>
      </c>
      <c r="I3938">
        <v>26</v>
      </c>
      <c r="J3938">
        <v>2</v>
      </c>
      <c r="K3938" s="4">
        <v>1782.8</v>
      </c>
      <c r="L3938" s="4">
        <f>0</f>
        <v>0</v>
      </c>
      <c r="M3938" s="4">
        <f>999</f>
        <v>999</v>
      </c>
      <c r="N3938" t="s">
        <v>19</v>
      </c>
      <c r="O3938" t="str">
        <f t="shared" si="610"/>
        <v>Medium</v>
      </c>
      <c r="P3938" t="str">
        <f t="shared" si="611"/>
        <v>High</v>
      </c>
      <c r="Q3938" t="str">
        <f t="shared" si="612"/>
        <v>High</v>
      </c>
      <c r="R3938" t="s">
        <v>3317</v>
      </c>
      <c r="S3938" s="4">
        <f t="shared" ca="1" si="613"/>
        <v>271</v>
      </c>
      <c r="T3938">
        <f t="shared" si="614"/>
        <v>2</v>
      </c>
      <c r="U3938">
        <f t="shared" si="615"/>
        <v>3</v>
      </c>
      <c r="V3938">
        <f t="shared" si="616"/>
        <v>3</v>
      </c>
      <c r="W3938">
        <f t="shared" si="617"/>
        <v>1</v>
      </c>
      <c r="X3938">
        <f t="shared" si="618"/>
        <v>2.4</v>
      </c>
      <c r="Y3938" t="str">
        <f t="shared" si="619"/>
        <v>High Priority</v>
      </c>
    </row>
    <row r="3939" spans="1:25" x14ac:dyDescent="0.35">
      <c r="A3939" t="s">
        <v>41</v>
      </c>
      <c r="B3939" t="s">
        <v>54</v>
      </c>
      <c r="C3939" t="s">
        <v>87</v>
      </c>
      <c r="D3939" t="s">
        <v>316</v>
      </c>
      <c r="E3939">
        <v>80765756</v>
      </c>
      <c r="F3939" t="s">
        <v>2559</v>
      </c>
      <c r="G3939" s="3">
        <v>46223</v>
      </c>
      <c r="H3939">
        <v>36</v>
      </c>
      <c r="I3939">
        <v>3</v>
      </c>
      <c r="J3939">
        <v>3</v>
      </c>
      <c r="K3939" s="4">
        <v>2674.2</v>
      </c>
      <c r="L3939" s="4">
        <f>0</f>
        <v>0</v>
      </c>
      <c r="M3939" s="4">
        <f>999</f>
        <v>999</v>
      </c>
      <c r="N3939" t="s">
        <v>19</v>
      </c>
      <c r="O3939" t="str">
        <f t="shared" si="610"/>
        <v>High</v>
      </c>
      <c r="P3939" t="str">
        <f t="shared" si="611"/>
        <v>High</v>
      </c>
      <c r="Q3939" t="str">
        <f t="shared" si="612"/>
        <v>High</v>
      </c>
      <c r="R3939" t="s">
        <v>3317</v>
      </c>
      <c r="S3939" s="4">
        <f t="shared" ca="1" si="613"/>
        <v>26</v>
      </c>
      <c r="T3939">
        <f t="shared" si="614"/>
        <v>3</v>
      </c>
      <c r="U3939">
        <f t="shared" si="615"/>
        <v>3</v>
      </c>
      <c r="V3939">
        <f t="shared" si="616"/>
        <v>3</v>
      </c>
      <c r="W3939">
        <f t="shared" si="617"/>
        <v>1</v>
      </c>
      <c r="X3939">
        <f t="shared" si="618"/>
        <v>2.8000000000000003</v>
      </c>
      <c r="Y3939" t="str">
        <f t="shared" si="619"/>
        <v>Move Immediately</v>
      </c>
    </row>
    <row r="3940" spans="1:25" x14ac:dyDescent="0.35">
      <c r="A3940" t="s">
        <v>41</v>
      </c>
      <c r="B3940" t="s">
        <v>54</v>
      </c>
      <c r="C3940" t="s">
        <v>87</v>
      </c>
      <c r="D3940" t="s">
        <v>316</v>
      </c>
      <c r="E3940">
        <v>80765756</v>
      </c>
      <c r="F3940" t="s">
        <v>2559</v>
      </c>
      <c r="G3940" s="3">
        <v>46492</v>
      </c>
      <c r="H3940">
        <v>36</v>
      </c>
      <c r="I3940">
        <v>28</v>
      </c>
      <c r="J3940">
        <v>5</v>
      </c>
      <c r="K3940" s="4">
        <v>4457</v>
      </c>
      <c r="L3940" s="4">
        <f>0</f>
        <v>0</v>
      </c>
      <c r="M3940" s="4">
        <f>999</f>
        <v>999</v>
      </c>
      <c r="N3940" t="s">
        <v>19</v>
      </c>
      <c r="O3940" t="str">
        <f t="shared" si="610"/>
        <v>Medium</v>
      </c>
      <c r="P3940" t="str">
        <f t="shared" si="611"/>
        <v>High</v>
      </c>
      <c r="Q3940" t="str">
        <f t="shared" si="612"/>
        <v>High</v>
      </c>
      <c r="R3940" t="s">
        <v>3317</v>
      </c>
      <c r="S3940" s="4">
        <f t="shared" ca="1" si="613"/>
        <v>295</v>
      </c>
      <c r="T3940">
        <f t="shared" si="614"/>
        <v>2</v>
      </c>
      <c r="U3940">
        <f t="shared" si="615"/>
        <v>3</v>
      </c>
      <c r="V3940">
        <f t="shared" si="616"/>
        <v>3</v>
      </c>
      <c r="W3940">
        <f t="shared" si="617"/>
        <v>1</v>
      </c>
      <c r="X3940">
        <f t="shared" si="618"/>
        <v>2.4</v>
      </c>
      <c r="Y3940" t="str">
        <f t="shared" si="619"/>
        <v>High Priority</v>
      </c>
    </row>
    <row r="3941" spans="1:25" x14ac:dyDescent="0.35">
      <c r="A3941" t="s">
        <v>71</v>
      </c>
      <c r="B3941" t="s">
        <v>72</v>
      </c>
      <c r="C3941" t="s">
        <v>73</v>
      </c>
      <c r="D3941" t="s">
        <v>2014</v>
      </c>
      <c r="E3941">
        <v>80763146</v>
      </c>
      <c r="F3941" t="s">
        <v>2560</v>
      </c>
      <c r="G3941" s="3">
        <v>46501</v>
      </c>
      <c r="H3941">
        <v>36</v>
      </c>
      <c r="I3941">
        <v>29</v>
      </c>
      <c r="J3941">
        <v>2</v>
      </c>
      <c r="K3941" s="4">
        <v>5536.8</v>
      </c>
      <c r="L3941" s="4">
        <f>0</f>
        <v>0</v>
      </c>
      <c r="M3941" s="4">
        <f>999</f>
        <v>999</v>
      </c>
      <c r="N3941" t="s">
        <v>19</v>
      </c>
      <c r="O3941" t="str">
        <f t="shared" si="610"/>
        <v>Medium</v>
      </c>
      <c r="P3941" t="str">
        <f t="shared" si="611"/>
        <v>High</v>
      </c>
      <c r="Q3941" t="str">
        <f t="shared" si="612"/>
        <v>High</v>
      </c>
      <c r="R3941" t="s">
        <v>3317</v>
      </c>
      <c r="S3941" s="4">
        <f t="shared" ca="1" si="613"/>
        <v>304</v>
      </c>
      <c r="T3941">
        <f t="shared" si="614"/>
        <v>2</v>
      </c>
      <c r="U3941">
        <f t="shared" si="615"/>
        <v>3</v>
      </c>
      <c r="V3941">
        <f t="shared" si="616"/>
        <v>3</v>
      </c>
      <c r="W3941">
        <f t="shared" si="617"/>
        <v>1</v>
      </c>
      <c r="X3941">
        <f t="shared" si="618"/>
        <v>2.4</v>
      </c>
      <c r="Y3941" t="str">
        <f t="shared" si="619"/>
        <v>High Priority</v>
      </c>
    </row>
    <row r="3942" spans="1:25" x14ac:dyDescent="0.35">
      <c r="A3942" t="s">
        <v>179</v>
      </c>
      <c r="B3942" t="s">
        <v>223</v>
      </c>
      <c r="C3942" t="s">
        <v>357</v>
      </c>
      <c r="D3942" t="s">
        <v>2549</v>
      </c>
      <c r="E3942">
        <v>80877391</v>
      </c>
      <c r="F3942" t="s">
        <v>2550</v>
      </c>
      <c r="G3942" s="3">
        <v>46732</v>
      </c>
      <c r="H3942">
        <v>18</v>
      </c>
      <c r="I3942">
        <v>100</v>
      </c>
      <c r="J3942">
        <v>5904</v>
      </c>
      <c r="K3942" s="4">
        <v>724656.96</v>
      </c>
      <c r="L3942" s="4">
        <v>117621</v>
      </c>
      <c r="M3942" s="4">
        <v>5.0195118218685442E-2</v>
      </c>
      <c r="N3942" t="s">
        <v>25</v>
      </c>
      <c r="O3942" t="str">
        <f t="shared" si="610"/>
        <v>Low</v>
      </c>
      <c r="P3942" t="str">
        <f t="shared" si="611"/>
        <v>Low</v>
      </c>
      <c r="Q3942" t="str">
        <f t="shared" si="612"/>
        <v>Low</v>
      </c>
      <c r="R3942" t="s">
        <v>3309</v>
      </c>
      <c r="S3942" s="4">
        <f t="shared" ca="1" si="613"/>
        <v>535</v>
      </c>
      <c r="T3942">
        <f t="shared" si="614"/>
        <v>1</v>
      </c>
      <c r="U3942">
        <f t="shared" si="615"/>
        <v>1</v>
      </c>
      <c r="V3942">
        <f t="shared" si="616"/>
        <v>1</v>
      </c>
      <c r="W3942">
        <f t="shared" si="617"/>
        <v>3</v>
      </c>
      <c r="X3942">
        <f t="shared" si="618"/>
        <v>1.2</v>
      </c>
      <c r="Y3942" t="str">
        <f t="shared" si="619"/>
        <v>Healthy</v>
      </c>
    </row>
    <row r="3943" spans="1:25" x14ac:dyDescent="0.35">
      <c r="A3943" t="s">
        <v>71</v>
      </c>
      <c r="B3943" t="s">
        <v>872</v>
      </c>
      <c r="C3943" t="s">
        <v>873</v>
      </c>
      <c r="D3943" t="s">
        <v>2561</v>
      </c>
      <c r="E3943">
        <v>80756049</v>
      </c>
      <c r="F3943" t="s">
        <v>2562</v>
      </c>
      <c r="G3943" s="3">
        <v>46998</v>
      </c>
      <c r="H3943">
        <v>36</v>
      </c>
      <c r="I3943">
        <v>75</v>
      </c>
      <c r="J3943">
        <v>48</v>
      </c>
      <c r="K3943" s="4">
        <v>11481.12</v>
      </c>
      <c r="L3943" s="4">
        <v>1094.2857142857142</v>
      </c>
      <c r="M3943" s="4">
        <v>4.3864229765013057E-2</v>
      </c>
      <c r="N3943" t="s">
        <v>25</v>
      </c>
      <c r="O3943" t="str">
        <f t="shared" si="610"/>
        <v>Low</v>
      </c>
      <c r="P3943" t="str">
        <f t="shared" si="611"/>
        <v>Low</v>
      </c>
      <c r="Q3943" t="str">
        <f t="shared" si="612"/>
        <v>Low</v>
      </c>
      <c r="R3943" t="s">
        <v>3317</v>
      </c>
      <c r="S3943" s="4">
        <f t="shared" ca="1" si="613"/>
        <v>801</v>
      </c>
      <c r="T3943">
        <f t="shared" si="614"/>
        <v>1</v>
      </c>
      <c r="U3943">
        <f t="shared" si="615"/>
        <v>1</v>
      </c>
      <c r="V3943">
        <f t="shared" si="616"/>
        <v>1</v>
      </c>
      <c r="W3943">
        <f t="shared" si="617"/>
        <v>1</v>
      </c>
      <c r="X3943">
        <f t="shared" si="618"/>
        <v>0.99999999999999989</v>
      </c>
      <c r="Y3943" t="str">
        <f t="shared" si="619"/>
        <v>Healthy</v>
      </c>
    </row>
    <row r="3944" spans="1:25" x14ac:dyDescent="0.35">
      <c r="A3944" t="s">
        <v>179</v>
      </c>
      <c r="B3944" t="s">
        <v>223</v>
      </c>
      <c r="C3944" t="s">
        <v>357</v>
      </c>
      <c r="D3944" t="s">
        <v>1304</v>
      </c>
      <c r="E3944">
        <v>80877393</v>
      </c>
      <c r="F3944" t="s">
        <v>2563</v>
      </c>
      <c r="G3944" s="3">
        <v>46729</v>
      </c>
      <c r="H3944">
        <v>18</v>
      </c>
      <c r="I3944">
        <v>99</v>
      </c>
      <c r="J3944">
        <v>69</v>
      </c>
      <c r="K3944" s="4">
        <v>44158.62</v>
      </c>
      <c r="L3944" s="4">
        <v>7.2857142857142856</v>
      </c>
      <c r="M3944" s="4">
        <v>9.4705882352941178</v>
      </c>
      <c r="N3944" t="s">
        <v>19</v>
      </c>
      <c r="O3944" t="str">
        <f t="shared" si="610"/>
        <v>Low</v>
      </c>
      <c r="P3944" t="str">
        <f t="shared" si="611"/>
        <v>High</v>
      </c>
      <c r="Q3944" t="str">
        <f t="shared" si="612"/>
        <v>Medium</v>
      </c>
      <c r="R3944" t="s">
        <v>3317</v>
      </c>
      <c r="S3944" s="4">
        <f t="shared" ca="1" si="613"/>
        <v>532</v>
      </c>
      <c r="T3944">
        <f t="shared" si="614"/>
        <v>1</v>
      </c>
      <c r="U3944">
        <f t="shared" si="615"/>
        <v>3</v>
      </c>
      <c r="V3944">
        <f t="shared" si="616"/>
        <v>2</v>
      </c>
      <c r="W3944">
        <f t="shared" si="617"/>
        <v>1</v>
      </c>
      <c r="X3944">
        <f t="shared" si="618"/>
        <v>1.7999999999999998</v>
      </c>
      <c r="Y3944" t="str">
        <f t="shared" si="619"/>
        <v>Monitor</v>
      </c>
    </row>
    <row r="3945" spans="1:25" x14ac:dyDescent="0.35">
      <c r="A3945" t="s">
        <v>71</v>
      </c>
      <c r="B3945" t="s">
        <v>872</v>
      </c>
      <c r="C3945" t="s">
        <v>873</v>
      </c>
      <c r="D3945" t="s">
        <v>2561</v>
      </c>
      <c r="E3945">
        <v>80756049</v>
      </c>
      <c r="F3945" t="s">
        <v>2562</v>
      </c>
      <c r="G3945" s="3">
        <v>46998</v>
      </c>
      <c r="H3945">
        <v>36</v>
      </c>
      <c r="I3945">
        <v>75</v>
      </c>
      <c r="J3945">
        <v>170</v>
      </c>
      <c r="K3945" s="4">
        <v>40662.300000000003</v>
      </c>
      <c r="L3945" s="4">
        <v>1094.2857142857142</v>
      </c>
      <c r="M3945" s="4">
        <v>0.15535248041775457</v>
      </c>
      <c r="N3945" t="s">
        <v>25</v>
      </c>
      <c r="O3945" t="str">
        <f t="shared" si="610"/>
        <v>Low</v>
      </c>
      <c r="P3945" t="str">
        <f t="shared" si="611"/>
        <v>Low</v>
      </c>
      <c r="Q3945" t="str">
        <f t="shared" si="612"/>
        <v>Low</v>
      </c>
      <c r="R3945" t="s">
        <v>3317</v>
      </c>
      <c r="S3945" s="4">
        <f t="shared" ca="1" si="613"/>
        <v>801</v>
      </c>
      <c r="T3945">
        <f t="shared" si="614"/>
        <v>1</v>
      </c>
      <c r="U3945">
        <f t="shared" si="615"/>
        <v>1</v>
      </c>
      <c r="V3945">
        <f t="shared" si="616"/>
        <v>1</v>
      </c>
      <c r="W3945">
        <f t="shared" si="617"/>
        <v>1</v>
      </c>
      <c r="X3945">
        <f t="shared" si="618"/>
        <v>0.99999999999999989</v>
      </c>
      <c r="Y3945" t="str">
        <f t="shared" si="619"/>
        <v>Healthy</v>
      </c>
    </row>
    <row r="3946" spans="1:25" x14ac:dyDescent="0.35">
      <c r="A3946" t="s">
        <v>179</v>
      </c>
      <c r="B3946" t="s">
        <v>223</v>
      </c>
      <c r="C3946" t="s">
        <v>357</v>
      </c>
      <c r="D3946" t="s">
        <v>1304</v>
      </c>
      <c r="E3946">
        <v>80877393</v>
      </c>
      <c r="F3946" t="s">
        <v>2563</v>
      </c>
      <c r="G3946" s="3">
        <v>46714</v>
      </c>
      <c r="H3946">
        <v>18</v>
      </c>
      <c r="I3946">
        <v>97</v>
      </c>
      <c r="J3946">
        <v>60</v>
      </c>
      <c r="K3946" s="4">
        <v>38398.800000000003</v>
      </c>
      <c r="L3946" s="4">
        <v>7.2857142857142856</v>
      </c>
      <c r="M3946" s="4">
        <v>8.2352941176470598</v>
      </c>
      <c r="N3946" t="s">
        <v>19</v>
      </c>
      <c r="O3946" t="str">
        <f t="shared" si="610"/>
        <v>Low</v>
      </c>
      <c r="P3946" t="str">
        <f t="shared" si="611"/>
        <v>High</v>
      </c>
      <c r="Q3946" t="str">
        <f t="shared" si="612"/>
        <v>Medium</v>
      </c>
      <c r="R3946" t="s">
        <v>3317</v>
      </c>
      <c r="S3946" s="4">
        <f t="shared" ca="1" si="613"/>
        <v>517</v>
      </c>
      <c r="T3946">
        <f t="shared" si="614"/>
        <v>1</v>
      </c>
      <c r="U3946">
        <f t="shared" si="615"/>
        <v>3</v>
      </c>
      <c r="V3946">
        <f t="shared" si="616"/>
        <v>2</v>
      </c>
      <c r="W3946">
        <f t="shared" si="617"/>
        <v>1</v>
      </c>
      <c r="X3946">
        <f t="shared" si="618"/>
        <v>1.7999999999999998</v>
      </c>
      <c r="Y3946" t="str">
        <f t="shared" si="619"/>
        <v>Monitor</v>
      </c>
    </row>
    <row r="3947" spans="1:25" x14ac:dyDescent="0.35">
      <c r="A3947" t="s">
        <v>71</v>
      </c>
      <c r="B3947" t="s">
        <v>872</v>
      </c>
      <c r="C3947" t="s">
        <v>873</v>
      </c>
      <c r="D3947" t="s">
        <v>2561</v>
      </c>
      <c r="E3947">
        <v>80756049</v>
      </c>
      <c r="F3947" t="s">
        <v>2562</v>
      </c>
      <c r="G3947" s="3">
        <v>47076</v>
      </c>
      <c r="H3947">
        <v>36</v>
      </c>
      <c r="I3947">
        <v>82</v>
      </c>
      <c r="J3947">
        <v>24</v>
      </c>
      <c r="K3947" s="4">
        <v>5740.56</v>
      </c>
      <c r="L3947" s="4">
        <v>1094.2857142857142</v>
      </c>
      <c r="M3947" s="4">
        <v>2.1932114882506529E-2</v>
      </c>
      <c r="N3947" t="s">
        <v>25</v>
      </c>
      <c r="O3947" t="str">
        <f t="shared" si="610"/>
        <v>Low</v>
      </c>
      <c r="P3947" t="str">
        <f t="shared" si="611"/>
        <v>Low</v>
      </c>
      <c r="Q3947" t="str">
        <f t="shared" si="612"/>
        <v>Low</v>
      </c>
      <c r="R3947" t="s">
        <v>3317</v>
      </c>
      <c r="S3947" s="4">
        <f t="shared" ca="1" si="613"/>
        <v>879</v>
      </c>
      <c r="T3947">
        <f t="shared" si="614"/>
        <v>1</v>
      </c>
      <c r="U3947">
        <f t="shared" si="615"/>
        <v>1</v>
      </c>
      <c r="V3947">
        <f t="shared" si="616"/>
        <v>1</v>
      </c>
      <c r="W3947">
        <f t="shared" si="617"/>
        <v>1</v>
      </c>
      <c r="X3947">
        <f t="shared" si="618"/>
        <v>0.99999999999999989</v>
      </c>
      <c r="Y3947" t="str">
        <f t="shared" si="619"/>
        <v>Healthy</v>
      </c>
    </row>
    <row r="3948" spans="1:25" x14ac:dyDescent="0.35">
      <c r="A3948" t="s">
        <v>179</v>
      </c>
      <c r="B3948" t="s">
        <v>223</v>
      </c>
      <c r="C3948" t="s">
        <v>357</v>
      </c>
      <c r="D3948" t="s">
        <v>476</v>
      </c>
      <c r="E3948">
        <v>80877395</v>
      </c>
      <c r="F3948" t="s">
        <v>2564</v>
      </c>
      <c r="G3948" s="3">
        <v>46656</v>
      </c>
      <c r="H3948">
        <v>18</v>
      </c>
      <c r="I3948">
        <v>86</v>
      </c>
      <c r="J3948">
        <v>1</v>
      </c>
      <c r="K3948" s="4">
        <v>1182.18</v>
      </c>
      <c r="L3948" s="4">
        <v>278.28571428571428</v>
      </c>
      <c r="M3948" s="4">
        <v>3.5934291581108829E-3</v>
      </c>
      <c r="N3948" t="s">
        <v>25</v>
      </c>
      <c r="O3948" t="str">
        <f t="shared" si="610"/>
        <v>Low</v>
      </c>
      <c r="P3948" t="str">
        <f t="shared" si="611"/>
        <v>Low</v>
      </c>
      <c r="Q3948" t="str">
        <f t="shared" si="612"/>
        <v>Low</v>
      </c>
      <c r="R3948" t="s">
        <v>3317</v>
      </c>
      <c r="S3948" s="4">
        <f t="shared" ca="1" si="613"/>
        <v>459</v>
      </c>
      <c r="T3948">
        <f t="shared" si="614"/>
        <v>1</v>
      </c>
      <c r="U3948">
        <f t="shared" si="615"/>
        <v>1</v>
      </c>
      <c r="V3948">
        <f t="shared" si="616"/>
        <v>1</v>
      </c>
      <c r="W3948">
        <f t="shared" si="617"/>
        <v>1</v>
      </c>
      <c r="X3948">
        <f t="shared" si="618"/>
        <v>0.99999999999999989</v>
      </c>
      <c r="Y3948" t="str">
        <f t="shared" si="619"/>
        <v>Healthy</v>
      </c>
    </row>
    <row r="3949" spans="1:25" x14ac:dyDescent="0.35">
      <c r="A3949" t="s">
        <v>71</v>
      </c>
      <c r="B3949" t="s">
        <v>872</v>
      </c>
      <c r="C3949" t="s">
        <v>873</v>
      </c>
      <c r="D3949" t="s">
        <v>2561</v>
      </c>
      <c r="E3949">
        <v>80756049</v>
      </c>
      <c r="F3949" t="s">
        <v>2562</v>
      </c>
      <c r="G3949" s="3">
        <v>46962</v>
      </c>
      <c r="H3949">
        <v>36</v>
      </c>
      <c r="I3949">
        <v>71</v>
      </c>
      <c r="J3949">
        <v>84</v>
      </c>
      <c r="K3949" s="4">
        <v>20091.96</v>
      </c>
      <c r="L3949" s="4">
        <v>1094.2857142857142</v>
      </c>
      <c r="M3949" s="4">
        <v>7.6762402088772844E-2</v>
      </c>
      <c r="N3949" t="s">
        <v>25</v>
      </c>
      <c r="O3949" t="str">
        <f t="shared" si="610"/>
        <v>Low</v>
      </c>
      <c r="P3949" t="str">
        <f t="shared" si="611"/>
        <v>Low</v>
      </c>
      <c r="Q3949" t="str">
        <f t="shared" si="612"/>
        <v>Low</v>
      </c>
      <c r="R3949" t="s">
        <v>3317</v>
      </c>
      <c r="S3949" s="4">
        <f t="shared" ca="1" si="613"/>
        <v>765</v>
      </c>
      <c r="T3949">
        <f t="shared" si="614"/>
        <v>1</v>
      </c>
      <c r="U3949">
        <f t="shared" si="615"/>
        <v>1</v>
      </c>
      <c r="V3949">
        <f t="shared" si="616"/>
        <v>1</v>
      </c>
      <c r="W3949">
        <f t="shared" si="617"/>
        <v>1</v>
      </c>
      <c r="X3949">
        <f t="shared" si="618"/>
        <v>0.99999999999999989</v>
      </c>
      <c r="Y3949" t="str">
        <f t="shared" si="619"/>
        <v>Healthy</v>
      </c>
    </row>
    <row r="3950" spans="1:25" x14ac:dyDescent="0.35">
      <c r="A3950" t="s">
        <v>179</v>
      </c>
      <c r="B3950" t="s">
        <v>223</v>
      </c>
      <c r="C3950" t="s">
        <v>357</v>
      </c>
      <c r="D3950" t="s">
        <v>476</v>
      </c>
      <c r="E3950">
        <v>80877395</v>
      </c>
      <c r="F3950" t="s">
        <v>2564</v>
      </c>
      <c r="G3950" s="3">
        <v>46654</v>
      </c>
      <c r="H3950">
        <v>18</v>
      </c>
      <c r="I3950">
        <v>86</v>
      </c>
      <c r="J3950">
        <v>1</v>
      </c>
      <c r="K3950" s="4">
        <v>1182.18</v>
      </c>
      <c r="L3950" s="4">
        <v>278.28571428571428</v>
      </c>
      <c r="M3950" s="4">
        <v>3.5934291581108829E-3</v>
      </c>
      <c r="N3950" t="s">
        <v>25</v>
      </c>
      <c r="O3950" t="str">
        <f t="shared" si="610"/>
        <v>Low</v>
      </c>
      <c r="P3950" t="str">
        <f t="shared" si="611"/>
        <v>Low</v>
      </c>
      <c r="Q3950" t="str">
        <f t="shared" si="612"/>
        <v>Low</v>
      </c>
      <c r="R3950" t="s">
        <v>3317</v>
      </c>
      <c r="S3950" s="4">
        <f t="shared" ca="1" si="613"/>
        <v>457</v>
      </c>
      <c r="T3950">
        <f t="shared" si="614"/>
        <v>1</v>
      </c>
      <c r="U3950">
        <f t="shared" si="615"/>
        <v>1</v>
      </c>
      <c r="V3950">
        <f t="shared" si="616"/>
        <v>1</v>
      </c>
      <c r="W3950">
        <f t="shared" si="617"/>
        <v>1</v>
      </c>
      <c r="X3950">
        <f t="shared" si="618"/>
        <v>0.99999999999999989</v>
      </c>
      <c r="Y3950" t="str">
        <f t="shared" si="619"/>
        <v>Healthy</v>
      </c>
    </row>
    <row r="3951" spans="1:25" x14ac:dyDescent="0.35">
      <c r="A3951" t="s">
        <v>71</v>
      </c>
      <c r="B3951" t="s">
        <v>872</v>
      </c>
      <c r="C3951" t="s">
        <v>873</v>
      </c>
      <c r="D3951" t="s">
        <v>2561</v>
      </c>
      <c r="E3951">
        <v>80756049</v>
      </c>
      <c r="F3951" t="s">
        <v>2562</v>
      </c>
      <c r="G3951" s="3">
        <v>46198</v>
      </c>
      <c r="H3951">
        <v>36</v>
      </c>
      <c r="I3951">
        <v>1</v>
      </c>
      <c r="J3951">
        <v>5</v>
      </c>
      <c r="K3951" s="4">
        <v>1195.95</v>
      </c>
      <c r="L3951" s="4">
        <v>1094.2857142857142</v>
      </c>
      <c r="M3951" s="4">
        <v>4.5691906005221935E-3</v>
      </c>
      <c r="N3951" t="s">
        <v>25</v>
      </c>
      <c r="O3951" t="str">
        <f t="shared" si="610"/>
        <v>High</v>
      </c>
      <c r="P3951" t="str">
        <f t="shared" si="611"/>
        <v>Low</v>
      </c>
      <c r="Q3951" t="str">
        <f t="shared" si="612"/>
        <v>Low</v>
      </c>
      <c r="R3951" t="s">
        <v>3317</v>
      </c>
      <c r="S3951" s="4">
        <f t="shared" ca="1" si="613"/>
        <v>1</v>
      </c>
      <c r="T3951">
        <f t="shared" si="614"/>
        <v>3</v>
      </c>
      <c r="U3951">
        <f t="shared" si="615"/>
        <v>1</v>
      </c>
      <c r="V3951">
        <f t="shared" si="616"/>
        <v>1</v>
      </c>
      <c r="W3951">
        <f t="shared" si="617"/>
        <v>1</v>
      </c>
      <c r="X3951">
        <f t="shared" si="618"/>
        <v>1.8000000000000003</v>
      </c>
      <c r="Y3951" t="str">
        <f t="shared" si="619"/>
        <v>Monitor</v>
      </c>
    </row>
    <row r="3952" spans="1:25" x14ac:dyDescent="0.35">
      <c r="A3952" t="s">
        <v>71</v>
      </c>
      <c r="B3952" t="s">
        <v>872</v>
      </c>
      <c r="C3952" t="s">
        <v>873</v>
      </c>
      <c r="D3952" t="s">
        <v>2561</v>
      </c>
      <c r="E3952">
        <v>80756049</v>
      </c>
      <c r="F3952" t="s">
        <v>2562</v>
      </c>
      <c r="G3952" s="3">
        <v>46894</v>
      </c>
      <c r="H3952">
        <v>36</v>
      </c>
      <c r="I3952">
        <v>65</v>
      </c>
      <c r="J3952">
        <v>1</v>
      </c>
      <c r="K3952" s="4">
        <v>239.19</v>
      </c>
      <c r="L3952" s="4">
        <v>1094.2857142857142</v>
      </c>
      <c r="M3952" s="4">
        <v>9.138381201044387E-4</v>
      </c>
      <c r="N3952" t="s">
        <v>25</v>
      </c>
      <c r="O3952" t="str">
        <f t="shared" si="610"/>
        <v>Low</v>
      </c>
      <c r="P3952" t="str">
        <f t="shared" si="611"/>
        <v>Low</v>
      </c>
      <c r="Q3952" t="str">
        <f t="shared" si="612"/>
        <v>Low</v>
      </c>
      <c r="R3952" t="s">
        <v>3317</v>
      </c>
      <c r="S3952" s="4">
        <f t="shared" ca="1" si="613"/>
        <v>697</v>
      </c>
      <c r="T3952">
        <f t="shared" si="614"/>
        <v>1</v>
      </c>
      <c r="U3952">
        <f t="shared" si="615"/>
        <v>1</v>
      </c>
      <c r="V3952">
        <f t="shared" si="616"/>
        <v>1</v>
      </c>
      <c r="W3952">
        <f t="shared" si="617"/>
        <v>1</v>
      </c>
      <c r="X3952">
        <f t="shared" si="618"/>
        <v>0.99999999999999989</v>
      </c>
      <c r="Y3952" t="str">
        <f t="shared" si="619"/>
        <v>Healthy</v>
      </c>
    </row>
    <row r="3953" spans="1:25" x14ac:dyDescent="0.35">
      <c r="A3953" t="s">
        <v>179</v>
      </c>
      <c r="B3953" t="s">
        <v>223</v>
      </c>
      <c r="C3953" t="s">
        <v>357</v>
      </c>
      <c r="D3953" t="s">
        <v>2565</v>
      </c>
      <c r="E3953">
        <v>80877371</v>
      </c>
      <c r="F3953" t="s">
        <v>2566</v>
      </c>
      <c r="G3953" s="3">
        <v>46710</v>
      </c>
      <c r="H3953">
        <v>18</v>
      </c>
      <c r="I3953">
        <v>96</v>
      </c>
      <c r="J3953">
        <v>11977</v>
      </c>
      <c r="K3953" s="4">
        <v>735028.49</v>
      </c>
      <c r="L3953" s="4">
        <v>239827.42857142858</v>
      </c>
      <c r="M3953" s="4">
        <v>4.9940075959380312E-2</v>
      </c>
      <c r="N3953" t="s">
        <v>25</v>
      </c>
      <c r="O3953" t="str">
        <f t="shared" si="610"/>
        <v>Low</v>
      </c>
      <c r="P3953" t="str">
        <f t="shared" si="611"/>
        <v>Low</v>
      </c>
      <c r="Q3953" t="str">
        <f t="shared" si="612"/>
        <v>Low</v>
      </c>
      <c r="R3953" t="s">
        <v>3309</v>
      </c>
      <c r="S3953" s="4">
        <f t="shared" ca="1" si="613"/>
        <v>513</v>
      </c>
      <c r="T3953">
        <f t="shared" si="614"/>
        <v>1</v>
      </c>
      <c r="U3953">
        <f t="shared" si="615"/>
        <v>1</v>
      </c>
      <c r="V3953">
        <f t="shared" si="616"/>
        <v>1</v>
      </c>
      <c r="W3953">
        <f t="shared" si="617"/>
        <v>3</v>
      </c>
      <c r="X3953">
        <f t="shared" si="618"/>
        <v>1.2</v>
      </c>
      <c r="Y3953" t="str">
        <f t="shared" si="619"/>
        <v>Healthy</v>
      </c>
    </row>
    <row r="3954" spans="1:25" x14ac:dyDescent="0.35">
      <c r="A3954" t="s">
        <v>179</v>
      </c>
      <c r="B3954" t="s">
        <v>223</v>
      </c>
      <c r="C3954" t="s">
        <v>357</v>
      </c>
      <c r="D3954" t="s">
        <v>2565</v>
      </c>
      <c r="E3954">
        <v>80877371</v>
      </c>
      <c r="F3954" t="s">
        <v>2566</v>
      </c>
      <c r="G3954" s="3">
        <v>46725</v>
      </c>
      <c r="H3954">
        <v>18</v>
      </c>
      <c r="I3954">
        <v>99</v>
      </c>
      <c r="J3954">
        <v>12864</v>
      </c>
      <c r="K3954" s="4">
        <v>789463.68</v>
      </c>
      <c r="L3954" s="4">
        <v>239827.42857142858</v>
      </c>
      <c r="M3954" s="4">
        <v>5.3638568685102146E-2</v>
      </c>
      <c r="N3954" t="s">
        <v>25</v>
      </c>
      <c r="O3954" t="str">
        <f t="shared" si="610"/>
        <v>Low</v>
      </c>
      <c r="P3954" t="str">
        <f t="shared" si="611"/>
        <v>Low</v>
      </c>
      <c r="Q3954" t="str">
        <f t="shared" si="612"/>
        <v>Low</v>
      </c>
      <c r="R3954" t="s">
        <v>3309</v>
      </c>
      <c r="S3954" s="4">
        <f t="shared" ca="1" si="613"/>
        <v>528</v>
      </c>
      <c r="T3954">
        <f t="shared" si="614"/>
        <v>1</v>
      </c>
      <c r="U3954">
        <f t="shared" si="615"/>
        <v>1</v>
      </c>
      <c r="V3954">
        <f t="shared" si="616"/>
        <v>1</v>
      </c>
      <c r="W3954">
        <f t="shared" si="617"/>
        <v>3</v>
      </c>
      <c r="X3954">
        <f t="shared" si="618"/>
        <v>1.2</v>
      </c>
      <c r="Y3954" t="str">
        <f t="shared" si="619"/>
        <v>Healthy</v>
      </c>
    </row>
    <row r="3955" spans="1:25" x14ac:dyDescent="0.35">
      <c r="A3955" t="s">
        <v>71</v>
      </c>
      <c r="B3955" t="s">
        <v>872</v>
      </c>
      <c r="C3955" t="s">
        <v>873</v>
      </c>
      <c r="D3955" t="s">
        <v>2561</v>
      </c>
      <c r="E3955">
        <v>80756049</v>
      </c>
      <c r="F3955" t="s">
        <v>2562</v>
      </c>
      <c r="G3955" s="3">
        <v>47075</v>
      </c>
      <c r="H3955">
        <v>36</v>
      </c>
      <c r="I3955">
        <v>82</v>
      </c>
      <c r="J3955">
        <v>311</v>
      </c>
      <c r="K3955" s="4">
        <v>74388.09</v>
      </c>
      <c r="L3955" s="4">
        <v>1094.2857142857142</v>
      </c>
      <c r="M3955" s="4">
        <v>0.28420365535248043</v>
      </c>
      <c r="N3955" t="s">
        <v>25</v>
      </c>
      <c r="O3955" t="str">
        <f t="shared" si="610"/>
        <v>Low</v>
      </c>
      <c r="P3955" t="str">
        <f t="shared" si="611"/>
        <v>Low</v>
      </c>
      <c r="Q3955" t="str">
        <f t="shared" si="612"/>
        <v>Low</v>
      </c>
      <c r="R3955" t="s">
        <v>3310</v>
      </c>
      <c r="S3955" s="4">
        <f t="shared" ca="1" si="613"/>
        <v>878</v>
      </c>
      <c r="T3955">
        <f t="shared" si="614"/>
        <v>1</v>
      </c>
      <c r="U3955">
        <f t="shared" si="615"/>
        <v>1</v>
      </c>
      <c r="V3955">
        <f t="shared" si="616"/>
        <v>1</v>
      </c>
      <c r="W3955">
        <f t="shared" si="617"/>
        <v>2</v>
      </c>
      <c r="X3955">
        <f t="shared" si="618"/>
        <v>1.0999999999999999</v>
      </c>
      <c r="Y3955" t="str">
        <f t="shared" si="619"/>
        <v>Healthy</v>
      </c>
    </row>
    <row r="3956" spans="1:25" x14ac:dyDescent="0.35">
      <c r="A3956" t="s">
        <v>179</v>
      </c>
      <c r="B3956" t="s">
        <v>223</v>
      </c>
      <c r="C3956" t="s">
        <v>357</v>
      </c>
      <c r="D3956" t="s">
        <v>2565</v>
      </c>
      <c r="E3956">
        <v>80877371</v>
      </c>
      <c r="F3956" t="s">
        <v>2566</v>
      </c>
      <c r="G3956" s="3">
        <v>46717</v>
      </c>
      <c r="H3956">
        <v>18</v>
      </c>
      <c r="I3956">
        <v>97</v>
      </c>
      <c r="J3956">
        <v>7680</v>
      </c>
      <c r="K3956" s="4">
        <v>471321.59999999998</v>
      </c>
      <c r="L3956" s="4">
        <v>239827.42857142858</v>
      </c>
      <c r="M3956" s="4">
        <v>3.2023026080657997E-2</v>
      </c>
      <c r="N3956" t="s">
        <v>25</v>
      </c>
      <c r="O3956" t="str">
        <f t="shared" si="610"/>
        <v>Low</v>
      </c>
      <c r="P3956" t="str">
        <f t="shared" si="611"/>
        <v>Low</v>
      </c>
      <c r="Q3956" t="str">
        <f t="shared" si="612"/>
        <v>Low</v>
      </c>
      <c r="R3956" t="s">
        <v>3309</v>
      </c>
      <c r="S3956" s="4">
        <f t="shared" ca="1" si="613"/>
        <v>520</v>
      </c>
      <c r="T3956">
        <f t="shared" si="614"/>
        <v>1</v>
      </c>
      <c r="U3956">
        <f t="shared" si="615"/>
        <v>1</v>
      </c>
      <c r="V3956">
        <f t="shared" si="616"/>
        <v>1</v>
      </c>
      <c r="W3956">
        <f t="shared" si="617"/>
        <v>3</v>
      </c>
      <c r="X3956">
        <f t="shared" si="618"/>
        <v>1.2</v>
      </c>
      <c r="Y3956" t="str">
        <f t="shared" si="619"/>
        <v>Healthy</v>
      </c>
    </row>
    <row r="3957" spans="1:25" x14ac:dyDescent="0.35">
      <c r="A3957" t="s">
        <v>71</v>
      </c>
      <c r="B3957" t="s">
        <v>872</v>
      </c>
      <c r="C3957" t="s">
        <v>873</v>
      </c>
      <c r="D3957" t="s">
        <v>2561</v>
      </c>
      <c r="E3957">
        <v>80756049</v>
      </c>
      <c r="F3957" t="s">
        <v>2562</v>
      </c>
      <c r="G3957" s="3">
        <v>46883</v>
      </c>
      <c r="H3957">
        <v>36</v>
      </c>
      <c r="I3957">
        <v>64</v>
      </c>
      <c r="J3957">
        <v>12</v>
      </c>
      <c r="K3957" s="4">
        <v>2870.28</v>
      </c>
      <c r="L3957" s="4">
        <v>1094.2857142857142</v>
      </c>
      <c r="M3957" s="4">
        <v>1.0966057441253264E-2</v>
      </c>
      <c r="N3957" t="s">
        <v>25</v>
      </c>
      <c r="O3957" t="str">
        <f t="shared" si="610"/>
        <v>Low</v>
      </c>
      <c r="P3957" t="str">
        <f t="shared" si="611"/>
        <v>Low</v>
      </c>
      <c r="Q3957" t="str">
        <f t="shared" si="612"/>
        <v>Low</v>
      </c>
      <c r="R3957" t="s">
        <v>3317</v>
      </c>
      <c r="S3957" s="4">
        <f t="shared" ca="1" si="613"/>
        <v>686</v>
      </c>
      <c r="T3957">
        <f t="shared" si="614"/>
        <v>1</v>
      </c>
      <c r="U3957">
        <f t="shared" si="615"/>
        <v>1</v>
      </c>
      <c r="V3957">
        <f t="shared" si="616"/>
        <v>1</v>
      </c>
      <c r="W3957">
        <f t="shared" si="617"/>
        <v>1</v>
      </c>
      <c r="X3957">
        <f t="shared" si="618"/>
        <v>0.99999999999999989</v>
      </c>
      <c r="Y3957" t="str">
        <f t="shared" si="619"/>
        <v>Healthy</v>
      </c>
    </row>
    <row r="3958" spans="1:25" x14ac:dyDescent="0.35">
      <c r="A3958" t="s">
        <v>179</v>
      </c>
      <c r="B3958" t="s">
        <v>223</v>
      </c>
      <c r="C3958" t="s">
        <v>357</v>
      </c>
      <c r="D3958" t="s">
        <v>2565</v>
      </c>
      <c r="E3958">
        <v>80877371</v>
      </c>
      <c r="F3958" t="s">
        <v>2566</v>
      </c>
      <c r="G3958" s="3">
        <v>46720</v>
      </c>
      <c r="H3958">
        <v>18</v>
      </c>
      <c r="I3958">
        <v>98</v>
      </c>
      <c r="J3958">
        <v>16144</v>
      </c>
      <c r="K3958" s="4">
        <v>990757.28</v>
      </c>
      <c r="L3958" s="4">
        <v>239827.42857142858</v>
      </c>
      <c r="M3958" s="4">
        <v>6.731506940704983E-2</v>
      </c>
      <c r="N3958" t="s">
        <v>25</v>
      </c>
      <c r="O3958" t="str">
        <f t="shared" si="610"/>
        <v>Low</v>
      </c>
      <c r="P3958" t="str">
        <f t="shared" si="611"/>
        <v>Low</v>
      </c>
      <c r="Q3958" t="str">
        <f t="shared" si="612"/>
        <v>Low</v>
      </c>
      <c r="R3958" t="s">
        <v>3309</v>
      </c>
      <c r="S3958" s="4">
        <f t="shared" ca="1" si="613"/>
        <v>523</v>
      </c>
      <c r="T3958">
        <f t="shared" si="614"/>
        <v>1</v>
      </c>
      <c r="U3958">
        <f t="shared" si="615"/>
        <v>1</v>
      </c>
      <c r="V3958">
        <f t="shared" si="616"/>
        <v>1</v>
      </c>
      <c r="W3958">
        <f t="shared" si="617"/>
        <v>3</v>
      </c>
      <c r="X3958">
        <f t="shared" si="618"/>
        <v>1.2</v>
      </c>
      <c r="Y3958" t="str">
        <f t="shared" si="619"/>
        <v>Healthy</v>
      </c>
    </row>
    <row r="3959" spans="1:25" x14ac:dyDescent="0.35">
      <c r="A3959" t="s">
        <v>71</v>
      </c>
      <c r="B3959" t="s">
        <v>72</v>
      </c>
      <c r="C3959" t="s">
        <v>150</v>
      </c>
      <c r="D3959" t="s">
        <v>1544</v>
      </c>
      <c r="E3959">
        <v>80766203</v>
      </c>
      <c r="F3959" t="s">
        <v>2567</v>
      </c>
      <c r="G3959" s="3">
        <v>47020</v>
      </c>
      <c r="H3959">
        <v>36</v>
      </c>
      <c r="I3959">
        <v>77</v>
      </c>
      <c r="J3959">
        <v>15</v>
      </c>
      <c r="K3959" s="4">
        <v>240</v>
      </c>
      <c r="L3959" s="4">
        <v>20.571428571428573</v>
      </c>
      <c r="M3959" s="4">
        <v>0.72916666666666663</v>
      </c>
      <c r="N3959" t="s">
        <v>25</v>
      </c>
      <c r="O3959" t="str">
        <f t="shared" si="610"/>
        <v>Low</v>
      </c>
      <c r="P3959" t="str">
        <f t="shared" si="611"/>
        <v>Low</v>
      </c>
      <c r="Q3959" t="str">
        <f t="shared" si="612"/>
        <v>Low</v>
      </c>
      <c r="R3959" t="s">
        <v>3317</v>
      </c>
      <c r="S3959" s="4">
        <f t="shared" ca="1" si="613"/>
        <v>823</v>
      </c>
      <c r="T3959">
        <f t="shared" si="614"/>
        <v>1</v>
      </c>
      <c r="U3959">
        <f t="shared" si="615"/>
        <v>1</v>
      </c>
      <c r="V3959">
        <f t="shared" si="616"/>
        <v>1</v>
      </c>
      <c r="W3959">
        <f t="shared" si="617"/>
        <v>1</v>
      </c>
      <c r="X3959">
        <f t="shared" si="618"/>
        <v>0.99999999999999989</v>
      </c>
      <c r="Y3959" t="str">
        <f t="shared" si="619"/>
        <v>Healthy</v>
      </c>
    </row>
    <row r="3960" spans="1:25" x14ac:dyDescent="0.35">
      <c r="A3960" t="s">
        <v>179</v>
      </c>
      <c r="B3960" t="s">
        <v>223</v>
      </c>
      <c r="C3960" t="s">
        <v>357</v>
      </c>
      <c r="D3960" t="s">
        <v>2565</v>
      </c>
      <c r="E3960">
        <v>80877371</v>
      </c>
      <c r="F3960" t="s">
        <v>2566</v>
      </c>
      <c r="G3960" s="3">
        <v>46730</v>
      </c>
      <c r="H3960">
        <v>18</v>
      </c>
      <c r="I3960">
        <v>100</v>
      </c>
      <c r="J3960">
        <v>7152</v>
      </c>
      <c r="K3960" s="4">
        <v>438918.24</v>
      </c>
      <c r="L3960" s="4">
        <v>239827.42857142858</v>
      </c>
      <c r="M3960" s="4">
        <v>2.982144303761276E-2</v>
      </c>
      <c r="N3960" t="s">
        <v>25</v>
      </c>
      <c r="O3960" t="str">
        <f t="shared" si="610"/>
        <v>Low</v>
      </c>
      <c r="P3960" t="str">
        <f t="shared" si="611"/>
        <v>Low</v>
      </c>
      <c r="Q3960" t="str">
        <f t="shared" si="612"/>
        <v>Low</v>
      </c>
      <c r="R3960" t="s">
        <v>3309</v>
      </c>
      <c r="S3960" s="4">
        <f t="shared" ca="1" si="613"/>
        <v>533</v>
      </c>
      <c r="T3960">
        <f t="shared" si="614"/>
        <v>1</v>
      </c>
      <c r="U3960">
        <f t="shared" si="615"/>
        <v>1</v>
      </c>
      <c r="V3960">
        <f t="shared" si="616"/>
        <v>1</v>
      </c>
      <c r="W3960">
        <f t="shared" si="617"/>
        <v>3</v>
      </c>
      <c r="X3960">
        <f t="shared" si="618"/>
        <v>1.2</v>
      </c>
      <c r="Y3960" t="str">
        <f t="shared" si="619"/>
        <v>Healthy</v>
      </c>
    </row>
    <row r="3961" spans="1:25" x14ac:dyDescent="0.35">
      <c r="A3961" t="s">
        <v>179</v>
      </c>
      <c r="B3961" t="s">
        <v>223</v>
      </c>
      <c r="C3961" t="s">
        <v>357</v>
      </c>
      <c r="D3961" t="s">
        <v>2565</v>
      </c>
      <c r="E3961">
        <v>80877371</v>
      </c>
      <c r="F3961" t="s">
        <v>2566</v>
      </c>
      <c r="G3961" s="3">
        <v>46717</v>
      </c>
      <c r="H3961">
        <v>18</v>
      </c>
      <c r="I3961">
        <v>97</v>
      </c>
      <c r="J3961">
        <v>15946</v>
      </c>
      <c r="K3961" s="4">
        <v>978606.02</v>
      </c>
      <c r="L3961" s="4">
        <v>239827.42857142858</v>
      </c>
      <c r="M3961" s="4">
        <v>6.6489475765907871E-2</v>
      </c>
      <c r="N3961" t="s">
        <v>25</v>
      </c>
      <c r="O3961" t="str">
        <f t="shared" si="610"/>
        <v>Low</v>
      </c>
      <c r="P3961" t="str">
        <f t="shared" si="611"/>
        <v>Low</v>
      </c>
      <c r="Q3961" t="str">
        <f t="shared" si="612"/>
        <v>Low</v>
      </c>
      <c r="R3961" t="s">
        <v>3309</v>
      </c>
      <c r="S3961" s="4">
        <f t="shared" ca="1" si="613"/>
        <v>520</v>
      </c>
      <c r="T3961">
        <f t="shared" si="614"/>
        <v>1</v>
      </c>
      <c r="U3961">
        <f t="shared" si="615"/>
        <v>1</v>
      </c>
      <c r="V3961">
        <f t="shared" si="616"/>
        <v>1</v>
      </c>
      <c r="W3961">
        <f t="shared" si="617"/>
        <v>3</v>
      </c>
      <c r="X3961">
        <f t="shared" si="618"/>
        <v>1.2</v>
      </c>
      <c r="Y3961" t="str">
        <f t="shared" si="619"/>
        <v>Healthy</v>
      </c>
    </row>
    <row r="3962" spans="1:25" x14ac:dyDescent="0.35">
      <c r="A3962" t="s">
        <v>179</v>
      </c>
      <c r="B3962" t="s">
        <v>223</v>
      </c>
      <c r="C3962" t="s">
        <v>357</v>
      </c>
      <c r="D3962" t="s">
        <v>2565</v>
      </c>
      <c r="E3962">
        <v>80877371</v>
      </c>
      <c r="F3962" t="s">
        <v>2566</v>
      </c>
      <c r="G3962" s="3">
        <v>46724</v>
      </c>
      <c r="H3962">
        <v>18</v>
      </c>
      <c r="I3962">
        <v>99</v>
      </c>
      <c r="J3962">
        <v>16320</v>
      </c>
      <c r="K3962" s="4">
        <v>1001558.4</v>
      </c>
      <c r="L3962" s="4">
        <v>239827.42857142858</v>
      </c>
      <c r="M3962" s="4">
        <v>6.8048930421398243E-2</v>
      </c>
      <c r="N3962" t="s">
        <v>25</v>
      </c>
      <c r="O3962" t="str">
        <f t="shared" si="610"/>
        <v>Low</v>
      </c>
      <c r="P3962" t="str">
        <f t="shared" si="611"/>
        <v>Low</v>
      </c>
      <c r="Q3962" t="str">
        <f t="shared" si="612"/>
        <v>Low</v>
      </c>
      <c r="R3962" t="s">
        <v>3309</v>
      </c>
      <c r="S3962" s="4">
        <f t="shared" ca="1" si="613"/>
        <v>527</v>
      </c>
      <c r="T3962">
        <f t="shared" si="614"/>
        <v>1</v>
      </c>
      <c r="U3962">
        <f t="shared" si="615"/>
        <v>1</v>
      </c>
      <c r="V3962">
        <f t="shared" si="616"/>
        <v>1</v>
      </c>
      <c r="W3962">
        <f t="shared" si="617"/>
        <v>3</v>
      </c>
      <c r="X3962">
        <f t="shared" si="618"/>
        <v>1.2</v>
      </c>
      <c r="Y3962" t="str">
        <f t="shared" si="619"/>
        <v>Healthy</v>
      </c>
    </row>
    <row r="3963" spans="1:25" x14ac:dyDescent="0.35">
      <c r="A3963" t="s">
        <v>20</v>
      </c>
      <c r="B3963" t="s">
        <v>21</v>
      </c>
      <c r="C3963" t="s">
        <v>133</v>
      </c>
      <c r="D3963" t="s">
        <v>1406</v>
      </c>
      <c r="E3963">
        <v>80739153</v>
      </c>
      <c r="F3963" t="s">
        <v>2568</v>
      </c>
      <c r="G3963" s="3">
        <v>47091</v>
      </c>
      <c r="H3963">
        <v>36</v>
      </c>
      <c r="I3963">
        <v>83</v>
      </c>
      <c r="J3963">
        <v>6</v>
      </c>
      <c r="K3963" s="4">
        <v>9925.74</v>
      </c>
      <c r="L3963" s="4">
        <v>12.857142857142858</v>
      </c>
      <c r="M3963" s="4">
        <v>0.46666666666666667</v>
      </c>
      <c r="N3963" t="s">
        <v>25</v>
      </c>
      <c r="O3963" t="str">
        <f t="shared" si="610"/>
        <v>Low</v>
      </c>
      <c r="P3963" t="str">
        <f t="shared" si="611"/>
        <v>Low</v>
      </c>
      <c r="Q3963" t="str">
        <f t="shared" si="612"/>
        <v>Medium</v>
      </c>
      <c r="R3963" t="s">
        <v>3317</v>
      </c>
      <c r="S3963" s="4">
        <f t="shared" ca="1" si="613"/>
        <v>894</v>
      </c>
      <c r="T3963">
        <f t="shared" si="614"/>
        <v>1</v>
      </c>
      <c r="U3963">
        <f t="shared" si="615"/>
        <v>1</v>
      </c>
      <c r="V3963">
        <f t="shared" si="616"/>
        <v>2</v>
      </c>
      <c r="W3963">
        <f t="shared" si="617"/>
        <v>1</v>
      </c>
      <c r="X3963">
        <f t="shared" si="618"/>
        <v>1.2000000000000002</v>
      </c>
      <c r="Y3963" t="str">
        <f t="shared" si="619"/>
        <v>Healthy</v>
      </c>
    </row>
    <row r="3964" spans="1:25" x14ac:dyDescent="0.35">
      <c r="A3964" t="s">
        <v>20</v>
      </c>
      <c r="B3964" t="s">
        <v>21</v>
      </c>
      <c r="C3964" t="s">
        <v>133</v>
      </c>
      <c r="D3964" t="s">
        <v>1406</v>
      </c>
      <c r="E3964">
        <v>80739153</v>
      </c>
      <c r="F3964" t="s">
        <v>2568</v>
      </c>
      <c r="G3964" s="3">
        <v>47089</v>
      </c>
      <c r="H3964">
        <v>36</v>
      </c>
      <c r="I3964">
        <v>83</v>
      </c>
      <c r="J3964">
        <v>12</v>
      </c>
      <c r="K3964" s="4">
        <v>19851.48</v>
      </c>
      <c r="L3964" s="4">
        <v>12.857142857142858</v>
      </c>
      <c r="M3964" s="4">
        <v>0.93333333333333335</v>
      </c>
      <c r="N3964" t="s">
        <v>25</v>
      </c>
      <c r="O3964" t="str">
        <f t="shared" si="610"/>
        <v>Low</v>
      </c>
      <c r="P3964" t="str">
        <f t="shared" si="611"/>
        <v>Low</v>
      </c>
      <c r="Q3964" t="str">
        <f t="shared" si="612"/>
        <v>Medium</v>
      </c>
      <c r="R3964" t="s">
        <v>3317</v>
      </c>
      <c r="S3964" s="4">
        <f t="shared" ca="1" si="613"/>
        <v>892</v>
      </c>
      <c r="T3964">
        <f t="shared" si="614"/>
        <v>1</v>
      </c>
      <c r="U3964">
        <f t="shared" si="615"/>
        <v>1</v>
      </c>
      <c r="V3964">
        <f t="shared" si="616"/>
        <v>2</v>
      </c>
      <c r="W3964">
        <f t="shared" si="617"/>
        <v>1</v>
      </c>
      <c r="X3964">
        <f t="shared" si="618"/>
        <v>1.2000000000000002</v>
      </c>
      <c r="Y3964" t="str">
        <f t="shared" si="619"/>
        <v>Healthy</v>
      </c>
    </row>
    <row r="3965" spans="1:25" x14ac:dyDescent="0.35">
      <c r="A3965" t="s">
        <v>20</v>
      </c>
      <c r="B3965" t="s">
        <v>21</v>
      </c>
      <c r="C3965" t="s">
        <v>133</v>
      </c>
      <c r="D3965" t="s">
        <v>1406</v>
      </c>
      <c r="E3965">
        <v>80739153</v>
      </c>
      <c r="F3965" t="s">
        <v>2568</v>
      </c>
      <c r="G3965" s="3">
        <v>46761</v>
      </c>
      <c r="H3965">
        <v>36</v>
      </c>
      <c r="I3965">
        <v>53</v>
      </c>
      <c r="J3965">
        <v>6</v>
      </c>
      <c r="K3965" s="4">
        <v>9925.74</v>
      </c>
      <c r="L3965" s="4">
        <v>12.857142857142858</v>
      </c>
      <c r="M3965" s="4">
        <v>0.46666666666666667</v>
      </c>
      <c r="N3965" t="s">
        <v>25</v>
      </c>
      <c r="O3965" t="str">
        <f t="shared" si="610"/>
        <v>Low</v>
      </c>
      <c r="P3965" t="str">
        <f t="shared" si="611"/>
        <v>Low</v>
      </c>
      <c r="Q3965" t="str">
        <f t="shared" si="612"/>
        <v>Medium</v>
      </c>
      <c r="R3965" t="s">
        <v>3317</v>
      </c>
      <c r="S3965" s="4">
        <f t="shared" ca="1" si="613"/>
        <v>564</v>
      </c>
      <c r="T3965">
        <f t="shared" si="614"/>
        <v>1</v>
      </c>
      <c r="U3965">
        <f t="shared" si="615"/>
        <v>1</v>
      </c>
      <c r="V3965">
        <f t="shared" si="616"/>
        <v>2</v>
      </c>
      <c r="W3965">
        <f t="shared" si="617"/>
        <v>1</v>
      </c>
      <c r="X3965">
        <f t="shared" si="618"/>
        <v>1.2000000000000002</v>
      </c>
      <c r="Y3965" t="str">
        <f t="shared" si="619"/>
        <v>Healthy</v>
      </c>
    </row>
    <row r="3966" spans="1:25" x14ac:dyDescent="0.35">
      <c r="A3966" t="s">
        <v>20</v>
      </c>
      <c r="B3966" t="s">
        <v>21</v>
      </c>
      <c r="C3966" t="s">
        <v>133</v>
      </c>
      <c r="D3966" t="s">
        <v>1406</v>
      </c>
      <c r="E3966">
        <v>80739153</v>
      </c>
      <c r="F3966" t="s">
        <v>2568</v>
      </c>
      <c r="G3966" s="3">
        <v>46765</v>
      </c>
      <c r="H3966">
        <v>36</v>
      </c>
      <c r="I3966">
        <v>53</v>
      </c>
      <c r="J3966">
        <v>6</v>
      </c>
      <c r="K3966" s="4">
        <v>9925.74</v>
      </c>
      <c r="L3966" s="4">
        <v>12.857142857142858</v>
      </c>
      <c r="M3966" s="4">
        <v>0.46666666666666667</v>
      </c>
      <c r="N3966" t="s">
        <v>25</v>
      </c>
      <c r="O3966" t="str">
        <f t="shared" si="610"/>
        <v>Low</v>
      </c>
      <c r="P3966" t="str">
        <f t="shared" si="611"/>
        <v>Low</v>
      </c>
      <c r="Q3966" t="str">
        <f t="shared" si="612"/>
        <v>Medium</v>
      </c>
      <c r="R3966" t="s">
        <v>3317</v>
      </c>
      <c r="S3966" s="4">
        <f t="shared" ca="1" si="613"/>
        <v>568</v>
      </c>
      <c r="T3966">
        <f t="shared" si="614"/>
        <v>1</v>
      </c>
      <c r="U3966">
        <f t="shared" si="615"/>
        <v>1</v>
      </c>
      <c r="V3966">
        <f t="shared" si="616"/>
        <v>2</v>
      </c>
      <c r="W3966">
        <f t="shared" si="617"/>
        <v>1</v>
      </c>
      <c r="X3966">
        <f t="shared" si="618"/>
        <v>1.2000000000000002</v>
      </c>
      <c r="Y3966" t="str">
        <f t="shared" si="619"/>
        <v>Healthy</v>
      </c>
    </row>
    <row r="3967" spans="1:25" x14ac:dyDescent="0.35">
      <c r="A3967" t="s">
        <v>14</v>
      </c>
      <c r="B3967" t="s">
        <v>15</v>
      </c>
      <c r="C3967" t="s">
        <v>16</v>
      </c>
      <c r="D3967" t="s">
        <v>1044</v>
      </c>
      <c r="E3967">
        <v>80753903</v>
      </c>
      <c r="F3967" t="s">
        <v>2569</v>
      </c>
      <c r="G3967" s="3">
        <v>47397</v>
      </c>
      <c r="H3967">
        <v>60</v>
      </c>
      <c r="I3967">
        <v>67</v>
      </c>
      <c r="J3967">
        <v>1</v>
      </c>
      <c r="K3967" s="4">
        <v>556.27</v>
      </c>
      <c r="L3967" s="4">
        <f>0</f>
        <v>0</v>
      </c>
      <c r="M3967" s="4">
        <f>999</f>
        <v>999</v>
      </c>
      <c r="N3967" t="s">
        <v>19</v>
      </c>
      <c r="O3967" t="str">
        <f t="shared" si="610"/>
        <v>Low</v>
      </c>
      <c r="P3967" t="str">
        <f t="shared" si="611"/>
        <v>High</v>
      </c>
      <c r="Q3967" t="str">
        <f t="shared" si="612"/>
        <v>High</v>
      </c>
      <c r="R3967" t="s">
        <v>3317</v>
      </c>
      <c r="S3967" s="4">
        <f t="shared" ca="1" si="613"/>
        <v>1200</v>
      </c>
      <c r="T3967">
        <f t="shared" si="614"/>
        <v>1</v>
      </c>
      <c r="U3967">
        <f t="shared" si="615"/>
        <v>3</v>
      </c>
      <c r="V3967">
        <f t="shared" si="616"/>
        <v>3</v>
      </c>
      <c r="W3967">
        <f t="shared" si="617"/>
        <v>1</v>
      </c>
      <c r="X3967">
        <f t="shared" si="618"/>
        <v>2</v>
      </c>
      <c r="Y3967" t="str">
        <f t="shared" si="619"/>
        <v>Monitor</v>
      </c>
    </row>
    <row r="3968" spans="1:25" x14ac:dyDescent="0.35">
      <c r="A3968" t="s">
        <v>71</v>
      </c>
      <c r="B3968" t="s">
        <v>72</v>
      </c>
      <c r="C3968" t="s">
        <v>174</v>
      </c>
      <c r="D3968" t="s">
        <v>555</v>
      </c>
      <c r="E3968">
        <v>80774687</v>
      </c>
      <c r="F3968" t="s">
        <v>2570</v>
      </c>
      <c r="G3968" s="3">
        <v>46398</v>
      </c>
      <c r="H3968">
        <v>36</v>
      </c>
      <c r="I3968">
        <v>19</v>
      </c>
      <c r="J3968">
        <v>1</v>
      </c>
      <c r="K3968" s="4">
        <v>2905.01</v>
      </c>
      <c r="L3968" s="4">
        <f>0</f>
        <v>0</v>
      </c>
      <c r="M3968" s="4">
        <f>999</f>
        <v>999</v>
      </c>
      <c r="N3968" t="s">
        <v>19</v>
      </c>
      <c r="O3968" t="str">
        <f t="shared" si="610"/>
        <v>High</v>
      </c>
      <c r="P3968" t="str">
        <f t="shared" si="611"/>
        <v>High</v>
      </c>
      <c r="Q3968" t="str">
        <f t="shared" si="612"/>
        <v>High</v>
      </c>
      <c r="R3968" t="s">
        <v>3317</v>
      </c>
      <c r="S3968" s="4">
        <f t="shared" ca="1" si="613"/>
        <v>201</v>
      </c>
      <c r="T3968">
        <f t="shared" si="614"/>
        <v>3</v>
      </c>
      <c r="U3968">
        <f t="shared" si="615"/>
        <v>3</v>
      </c>
      <c r="V3968">
        <f t="shared" si="616"/>
        <v>3</v>
      </c>
      <c r="W3968">
        <f t="shared" si="617"/>
        <v>1</v>
      </c>
      <c r="X3968">
        <f t="shared" si="618"/>
        <v>2.8000000000000003</v>
      </c>
      <c r="Y3968" t="str">
        <f t="shared" si="619"/>
        <v>Move Immediately</v>
      </c>
    </row>
    <row r="3969" spans="1:25" x14ac:dyDescent="0.35">
      <c r="A3969" t="s">
        <v>71</v>
      </c>
      <c r="B3969" t="s">
        <v>72</v>
      </c>
      <c r="C3969" t="s">
        <v>174</v>
      </c>
      <c r="D3969" t="s">
        <v>555</v>
      </c>
      <c r="E3969">
        <v>80774687</v>
      </c>
      <c r="F3969" t="s">
        <v>2570</v>
      </c>
      <c r="G3969" s="3">
        <v>46367</v>
      </c>
      <c r="H3969">
        <v>36</v>
      </c>
      <c r="I3969">
        <v>16</v>
      </c>
      <c r="J3969">
        <v>1</v>
      </c>
      <c r="K3969" s="4">
        <v>2905.01</v>
      </c>
      <c r="L3969" s="4">
        <f>0</f>
        <v>0</v>
      </c>
      <c r="M3969" s="4">
        <f>999</f>
        <v>999</v>
      </c>
      <c r="N3969" t="s">
        <v>19</v>
      </c>
      <c r="O3969" t="str">
        <f t="shared" si="610"/>
        <v>High</v>
      </c>
      <c r="P3969" t="str">
        <f t="shared" si="611"/>
        <v>High</v>
      </c>
      <c r="Q3969" t="str">
        <f t="shared" si="612"/>
        <v>High</v>
      </c>
      <c r="R3969" t="s">
        <v>3317</v>
      </c>
      <c r="S3969" s="4">
        <f t="shared" ca="1" si="613"/>
        <v>170</v>
      </c>
      <c r="T3969">
        <f t="shared" si="614"/>
        <v>3</v>
      </c>
      <c r="U3969">
        <f t="shared" si="615"/>
        <v>3</v>
      </c>
      <c r="V3969">
        <f t="shared" si="616"/>
        <v>3</v>
      </c>
      <c r="W3969">
        <f t="shared" si="617"/>
        <v>1</v>
      </c>
      <c r="X3969">
        <f t="shared" si="618"/>
        <v>2.8000000000000003</v>
      </c>
      <c r="Y3969" t="str">
        <f t="shared" si="619"/>
        <v>Move Immediately</v>
      </c>
    </row>
    <row r="3970" spans="1:25" x14ac:dyDescent="0.35">
      <c r="A3970" t="s">
        <v>14</v>
      </c>
      <c r="B3970" t="s">
        <v>15</v>
      </c>
      <c r="C3970" t="s">
        <v>34</v>
      </c>
      <c r="D3970" t="s">
        <v>35</v>
      </c>
      <c r="E3970">
        <v>80769610</v>
      </c>
      <c r="F3970" t="s">
        <v>2571</v>
      </c>
      <c r="G3970" s="3">
        <v>47320</v>
      </c>
      <c r="H3970">
        <v>60</v>
      </c>
      <c r="I3970">
        <v>63</v>
      </c>
      <c r="J3970">
        <v>1</v>
      </c>
      <c r="K3970" s="4">
        <v>427.7</v>
      </c>
      <c r="L3970" s="4">
        <f>0</f>
        <v>0</v>
      </c>
      <c r="M3970" s="4">
        <f>999</f>
        <v>999</v>
      </c>
      <c r="N3970" t="s">
        <v>19</v>
      </c>
      <c r="O3970" t="str">
        <f t="shared" si="610"/>
        <v>Low</v>
      </c>
      <c r="P3970" t="str">
        <f t="shared" si="611"/>
        <v>High</v>
      </c>
      <c r="Q3970" t="str">
        <f t="shared" si="612"/>
        <v>High</v>
      </c>
      <c r="R3970" t="s">
        <v>3317</v>
      </c>
      <c r="S3970" s="4">
        <f t="shared" ca="1" si="613"/>
        <v>1123</v>
      </c>
      <c r="T3970">
        <f t="shared" si="614"/>
        <v>1</v>
      </c>
      <c r="U3970">
        <f t="shared" si="615"/>
        <v>3</v>
      </c>
      <c r="V3970">
        <f t="shared" si="616"/>
        <v>3</v>
      </c>
      <c r="W3970">
        <f t="shared" si="617"/>
        <v>1</v>
      </c>
      <c r="X3970">
        <f t="shared" si="618"/>
        <v>2</v>
      </c>
      <c r="Y3970" t="str">
        <f t="shared" si="619"/>
        <v>Monitor</v>
      </c>
    </row>
    <row r="3971" spans="1:25" x14ac:dyDescent="0.35">
      <c r="A3971" t="s">
        <v>179</v>
      </c>
      <c r="B3971" t="s">
        <v>223</v>
      </c>
      <c r="C3971" t="s">
        <v>357</v>
      </c>
      <c r="D3971" t="s">
        <v>2565</v>
      </c>
      <c r="E3971">
        <v>80877371</v>
      </c>
      <c r="F3971" t="s">
        <v>2566</v>
      </c>
      <c r="G3971" s="3">
        <v>46966</v>
      </c>
      <c r="H3971">
        <v>18</v>
      </c>
      <c r="I3971">
        <v>100</v>
      </c>
      <c r="J3971">
        <v>14016</v>
      </c>
      <c r="K3971" s="4">
        <v>860161.92</v>
      </c>
      <c r="L3971" s="4">
        <v>239827.42857142858</v>
      </c>
      <c r="M3971" s="4">
        <v>5.8442022597200841E-2</v>
      </c>
      <c r="N3971" t="s">
        <v>25</v>
      </c>
      <c r="O3971" t="str">
        <f t="shared" ref="O3971:O4034" si="620">IF(I3971&lt;20,"High",IF(I3971&lt;40,"Medium","Low"))</f>
        <v>Low</v>
      </c>
      <c r="P3971" t="str">
        <f t="shared" ref="P3971:P4034" si="621">IF(M3971&gt;8,"High",IF(M3971&gt;4,"Medium","Low"))</f>
        <v>Low</v>
      </c>
      <c r="Q3971" t="str">
        <f t="shared" ref="Q3971:Q4034" si="622">IF(L3971&lt;5,"High",IF(L3971&lt;15,"Medium","Low"))</f>
        <v>Low</v>
      </c>
      <c r="R3971" t="s">
        <v>3309</v>
      </c>
      <c r="S3971" s="4">
        <f t="shared" ref="S3971:S4034" ca="1" si="623">G3971-TODAY()</f>
        <v>769</v>
      </c>
      <c r="T3971">
        <f t="shared" ref="T3971:T4034" si="624">IF(O3971="High",3,IF(O3971="Medium",2,1))</f>
        <v>1</v>
      </c>
      <c r="U3971">
        <f t="shared" ref="U3971:U4034" si="625">IF(P3971="High",3,IF(P3971="Medium",2,1))</f>
        <v>1</v>
      </c>
      <c r="V3971">
        <f t="shared" ref="V3971:V4034" si="626">IF(Q3971="High",3,IF(Q3971="Medium",2,1))</f>
        <v>1</v>
      </c>
      <c r="W3971">
        <f t="shared" ref="W3971:W4034" si="627">IF(R3971="High",3,IF(R3971="Medium",2,1))</f>
        <v>3</v>
      </c>
      <c r="X3971">
        <f t="shared" ref="X3971:X4034" si="628">(0.4*T3971)+(0.3*U3971)+(0.2*V3971)+(0.1*W3971)</f>
        <v>1.2</v>
      </c>
      <c r="Y3971" t="str">
        <f t="shared" ref="Y3971:Y4034" si="629">IF(X3971&gt;=2.7,"Move Immediately",IF(X3971&gt;=2.2,"High Priority",IF(X3971&gt;=1.7,"Monitor","Healthy")))</f>
        <v>Healthy</v>
      </c>
    </row>
    <row r="3972" spans="1:25" x14ac:dyDescent="0.35">
      <c r="A3972" t="s">
        <v>41</v>
      </c>
      <c r="B3972" t="s">
        <v>42</v>
      </c>
      <c r="C3972" t="s">
        <v>365</v>
      </c>
      <c r="D3972" t="s">
        <v>366</v>
      </c>
      <c r="E3972">
        <v>80784517</v>
      </c>
      <c r="F3972" t="s">
        <v>2572</v>
      </c>
      <c r="G3972" s="3">
        <v>46459</v>
      </c>
      <c r="H3972">
        <v>36</v>
      </c>
      <c r="I3972">
        <v>25</v>
      </c>
      <c r="J3972">
        <v>8</v>
      </c>
      <c r="K3972" s="4">
        <v>2848.48</v>
      </c>
      <c r="L3972" s="4">
        <f>0</f>
        <v>0</v>
      </c>
      <c r="M3972" s="4">
        <f>999</f>
        <v>999</v>
      </c>
      <c r="N3972" t="s">
        <v>19</v>
      </c>
      <c r="O3972" t="str">
        <f t="shared" si="620"/>
        <v>Medium</v>
      </c>
      <c r="P3972" t="str">
        <f t="shared" si="621"/>
        <v>High</v>
      </c>
      <c r="Q3972" t="str">
        <f t="shared" si="622"/>
        <v>High</v>
      </c>
      <c r="R3972" t="s">
        <v>3317</v>
      </c>
      <c r="S3972" s="4">
        <f t="shared" ca="1" si="623"/>
        <v>262</v>
      </c>
      <c r="T3972">
        <f t="shared" si="624"/>
        <v>2</v>
      </c>
      <c r="U3972">
        <f t="shared" si="625"/>
        <v>3</v>
      </c>
      <c r="V3972">
        <f t="shared" si="626"/>
        <v>3</v>
      </c>
      <c r="W3972">
        <f t="shared" si="627"/>
        <v>1</v>
      </c>
      <c r="X3972">
        <f t="shared" si="628"/>
        <v>2.4</v>
      </c>
      <c r="Y3972" t="str">
        <f t="shared" si="629"/>
        <v>High Priority</v>
      </c>
    </row>
    <row r="3973" spans="1:25" x14ac:dyDescent="0.35">
      <c r="A3973" t="s">
        <v>41</v>
      </c>
      <c r="B3973" t="s">
        <v>42</v>
      </c>
      <c r="C3973" t="s">
        <v>365</v>
      </c>
      <c r="D3973" t="s">
        <v>366</v>
      </c>
      <c r="E3973">
        <v>80784517</v>
      </c>
      <c r="F3973" t="s">
        <v>2572</v>
      </c>
      <c r="G3973" s="3">
        <v>46551</v>
      </c>
      <c r="H3973">
        <v>36</v>
      </c>
      <c r="I3973">
        <v>33</v>
      </c>
      <c r="J3973">
        <v>5</v>
      </c>
      <c r="K3973" s="4">
        <v>1780.3</v>
      </c>
      <c r="L3973" s="4">
        <f>0</f>
        <v>0</v>
      </c>
      <c r="M3973" s="4">
        <f>999</f>
        <v>999</v>
      </c>
      <c r="N3973" t="s">
        <v>19</v>
      </c>
      <c r="O3973" t="str">
        <f t="shared" si="620"/>
        <v>Medium</v>
      </c>
      <c r="P3973" t="str">
        <f t="shared" si="621"/>
        <v>High</v>
      </c>
      <c r="Q3973" t="str">
        <f t="shared" si="622"/>
        <v>High</v>
      </c>
      <c r="R3973" t="s">
        <v>3317</v>
      </c>
      <c r="S3973" s="4">
        <f t="shared" ca="1" si="623"/>
        <v>354</v>
      </c>
      <c r="T3973">
        <f t="shared" si="624"/>
        <v>2</v>
      </c>
      <c r="U3973">
        <f t="shared" si="625"/>
        <v>3</v>
      </c>
      <c r="V3973">
        <f t="shared" si="626"/>
        <v>3</v>
      </c>
      <c r="W3973">
        <f t="shared" si="627"/>
        <v>1</v>
      </c>
      <c r="X3973">
        <f t="shared" si="628"/>
        <v>2.4</v>
      </c>
      <c r="Y3973" t="str">
        <f t="shared" si="629"/>
        <v>High Priority</v>
      </c>
    </row>
    <row r="3974" spans="1:25" x14ac:dyDescent="0.35">
      <c r="A3974" t="s">
        <v>179</v>
      </c>
      <c r="B3974" t="s">
        <v>223</v>
      </c>
      <c r="C3974" t="s">
        <v>357</v>
      </c>
      <c r="D3974" t="s">
        <v>2573</v>
      </c>
      <c r="E3974">
        <v>80877426</v>
      </c>
      <c r="F3974" t="s">
        <v>2574</v>
      </c>
      <c r="G3974" s="3">
        <v>46650</v>
      </c>
      <c r="H3974">
        <v>18</v>
      </c>
      <c r="I3974">
        <v>85</v>
      </c>
      <c r="J3974">
        <v>48</v>
      </c>
      <c r="K3974" s="4">
        <v>12756.96</v>
      </c>
      <c r="L3974" s="4">
        <v>42.857142857142854</v>
      </c>
      <c r="M3974" s="4">
        <v>1.1200000000000001</v>
      </c>
      <c r="N3974" t="s">
        <v>25</v>
      </c>
      <c r="O3974" t="str">
        <f t="shared" si="620"/>
        <v>Low</v>
      </c>
      <c r="P3974" t="str">
        <f t="shared" si="621"/>
        <v>Low</v>
      </c>
      <c r="Q3974" t="str">
        <f t="shared" si="622"/>
        <v>Low</v>
      </c>
      <c r="R3974" t="s">
        <v>3317</v>
      </c>
      <c r="S3974" s="4">
        <f t="shared" ca="1" si="623"/>
        <v>453</v>
      </c>
      <c r="T3974">
        <f t="shared" si="624"/>
        <v>1</v>
      </c>
      <c r="U3974">
        <f t="shared" si="625"/>
        <v>1</v>
      </c>
      <c r="V3974">
        <f t="shared" si="626"/>
        <v>1</v>
      </c>
      <c r="W3974">
        <f t="shared" si="627"/>
        <v>1</v>
      </c>
      <c r="X3974">
        <f t="shared" si="628"/>
        <v>0.99999999999999989</v>
      </c>
      <c r="Y3974" t="str">
        <f t="shared" si="629"/>
        <v>Healthy</v>
      </c>
    </row>
    <row r="3975" spans="1:25" x14ac:dyDescent="0.35">
      <c r="A3975" t="s">
        <v>179</v>
      </c>
      <c r="B3975" t="s">
        <v>223</v>
      </c>
      <c r="C3975" t="s">
        <v>357</v>
      </c>
      <c r="D3975" t="s">
        <v>2573</v>
      </c>
      <c r="E3975">
        <v>80877426</v>
      </c>
      <c r="F3975" t="s">
        <v>2574</v>
      </c>
      <c r="G3975" s="3">
        <v>46617</v>
      </c>
      <c r="H3975">
        <v>18</v>
      </c>
      <c r="I3975">
        <v>79</v>
      </c>
      <c r="J3975">
        <v>12</v>
      </c>
      <c r="K3975" s="4">
        <v>3189.24</v>
      </c>
      <c r="L3975" s="4">
        <v>42.857142857142854</v>
      </c>
      <c r="M3975" s="4">
        <v>0.28000000000000003</v>
      </c>
      <c r="N3975" t="s">
        <v>25</v>
      </c>
      <c r="O3975" t="str">
        <f t="shared" si="620"/>
        <v>Low</v>
      </c>
      <c r="P3975" t="str">
        <f t="shared" si="621"/>
        <v>Low</v>
      </c>
      <c r="Q3975" t="str">
        <f t="shared" si="622"/>
        <v>Low</v>
      </c>
      <c r="R3975" t="s">
        <v>3317</v>
      </c>
      <c r="S3975" s="4">
        <f t="shared" ca="1" si="623"/>
        <v>420</v>
      </c>
      <c r="T3975">
        <f t="shared" si="624"/>
        <v>1</v>
      </c>
      <c r="U3975">
        <f t="shared" si="625"/>
        <v>1</v>
      </c>
      <c r="V3975">
        <f t="shared" si="626"/>
        <v>1</v>
      </c>
      <c r="W3975">
        <f t="shared" si="627"/>
        <v>1</v>
      </c>
      <c r="X3975">
        <f t="shared" si="628"/>
        <v>0.99999999999999989</v>
      </c>
      <c r="Y3975" t="str">
        <f t="shared" si="629"/>
        <v>Healthy</v>
      </c>
    </row>
    <row r="3976" spans="1:25" x14ac:dyDescent="0.35">
      <c r="A3976" t="s">
        <v>179</v>
      </c>
      <c r="B3976" t="s">
        <v>223</v>
      </c>
      <c r="C3976" t="s">
        <v>357</v>
      </c>
      <c r="D3976" t="s">
        <v>2573</v>
      </c>
      <c r="E3976">
        <v>80877426</v>
      </c>
      <c r="F3976" t="s">
        <v>2574</v>
      </c>
      <c r="G3976" s="3">
        <v>46580</v>
      </c>
      <c r="H3976">
        <v>18</v>
      </c>
      <c r="I3976">
        <v>72</v>
      </c>
      <c r="J3976">
        <v>180</v>
      </c>
      <c r="K3976" s="4">
        <v>47838.6</v>
      </c>
      <c r="L3976" s="4">
        <v>42.857142857142854</v>
      </c>
      <c r="M3976" s="4">
        <v>4.2</v>
      </c>
      <c r="N3976" t="s">
        <v>25</v>
      </c>
      <c r="O3976" t="str">
        <f t="shared" si="620"/>
        <v>Low</v>
      </c>
      <c r="P3976" t="str">
        <f t="shared" si="621"/>
        <v>Medium</v>
      </c>
      <c r="Q3976" t="str">
        <f t="shared" si="622"/>
        <v>Low</v>
      </c>
      <c r="R3976" t="s">
        <v>3317</v>
      </c>
      <c r="S3976" s="4">
        <f t="shared" ca="1" si="623"/>
        <v>383</v>
      </c>
      <c r="T3976">
        <f t="shared" si="624"/>
        <v>1</v>
      </c>
      <c r="U3976">
        <f t="shared" si="625"/>
        <v>2</v>
      </c>
      <c r="V3976">
        <f t="shared" si="626"/>
        <v>1</v>
      </c>
      <c r="W3976">
        <f t="shared" si="627"/>
        <v>1</v>
      </c>
      <c r="X3976">
        <f t="shared" si="628"/>
        <v>1.3</v>
      </c>
      <c r="Y3976" t="str">
        <f t="shared" si="629"/>
        <v>Healthy</v>
      </c>
    </row>
    <row r="3977" spans="1:25" x14ac:dyDescent="0.35">
      <c r="A3977" t="s">
        <v>179</v>
      </c>
      <c r="B3977" t="s">
        <v>223</v>
      </c>
      <c r="C3977" t="s">
        <v>357</v>
      </c>
      <c r="D3977" t="s">
        <v>2573</v>
      </c>
      <c r="E3977">
        <v>80877426</v>
      </c>
      <c r="F3977" t="s">
        <v>2574</v>
      </c>
      <c r="G3977" s="3">
        <v>46558</v>
      </c>
      <c r="H3977">
        <v>18</v>
      </c>
      <c r="I3977">
        <v>68</v>
      </c>
      <c r="J3977">
        <v>144</v>
      </c>
      <c r="K3977" s="4">
        <v>38270.879999999997</v>
      </c>
      <c r="L3977" s="4">
        <v>42.857142857142854</v>
      </c>
      <c r="M3977" s="4">
        <v>3.3600000000000003</v>
      </c>
      <c r="N3977" t="s">
        <v>25</v>
      </c>
      <c r="O3977" t="str">
        <f t="shared" si="620"/>
        <v>Low</v>
      </c>
      <c r="P3977" t="str">
        <f t="shared" si="621"/>
        <v>Low</v>
      </c>
      <c r="Q3977" t="str">
        <f t="shared" si="622"/>
        <v>Low</v>
      </c>
      <c r="R3977" t="s">
        <v>3317</v>
      </c>
      <c r="S3977" s="4">
        <f t="shared" ca="1" si="623"/>
        <v>361</v>
      </c>
      <c r="T3977">
        <f t="shared" si="624"/>
        <v>1</v>
      </c>
      <c r="U3977">
        <f t="shared" si="625"/>
        <v>1</v>
      </c>
      <c r="V3977">
        <f t="shared" si="626"/>
        <v>1</v>
      </c>
      <c r="W3977">
        <f t="shared" si="627"/>
        <v>1</v>
      </c>
      <c r="X3977">
        <f t="shared" si="628"/>
        <v>0.99999999999999989</v>
      </c>
      <c r="Y3977" t="str">
        <f t="shared" si="629"/>
        <v>Healthy</v>
      </c>
    </row>
    <row r="3978" spans="1:25" x14ac:dyDescent="0.35">
      <c r="A3978" t="s">
        <v>179</v>
      </c>
      <c r="B3978" t="s">
        <v>223</v>
      </c>
      <c r="C3978" t="s">
        <v>357</v>
      </c>
      <c r="D3978" t="s">
        <v>2575</v>
      </c>
      <c r="E3978">
        <v>80878653</v>
      </c>
      <c r="F3978" t="s">
        <v>2576</v>
      </c>
      <c r="G3978" s="3">
        <v>46713</v>
      </c>
      <c r="H3978">
        <v>18</v>
      </c>
      <c r="I3978">
        <v>96</v>
      </c>
      <c r="J3978">
        <v>75</v>
      </c>
      <c r="K3978" s="4">
        <v>46598.25</v>
      </c>
      <c r="L3978" s="4">
        <v>1492.5714285714287</v>
      </c>
      <c r="M3978" s="4">
        <v>5.0248851454823884E-2</v>
      </c>
      <c r="N3978" t="s">
        <v>25</v>
      </c>
      <c r="O3978" t="str">
        <f t="shared" si="620"/>
        <v>Low</v>
      </c>
      <c r="P3978" t="str">
        <f t="shared" si="621"/>
        <v>Low</v>
      </c>
      <c r="Q3978" t="str">
        <f t="shared" si="622"/>
        <v>Low</v>
      </c>
      <c r="R3978" t="s">
        <v>3317</v>
      </c>
      <c r="S3978" s="4">
        <f t="shared" ca="1" si="623"/>
        <v>516</v>
      </c>
      <c r="T3978">
        <f t="shared" si="624"/>
        <v>1</v>
      </c>
      <c r="U3978">
        <f t="shared" si="625"/>
        <v>1</v>
      </c>
      <c r="V3978">
        <f t="shared" si="626"/>
        <v>1</v>
      </c>
      <c r="W3978">
        <f t="shared" si="627"/>
        <v>1</v>
      </c>
      <c r="X3978">
        <f t="shared" si="628"/>
        <v>0.99999999999999989</v>
      </c>
      <c r="Y3978" t="str">
        <f t="shared" si="629"/>
        <v>Healthy</v>
      </c>
    </row>
    <row r="3979" spans="1:25" x14ac:dyDescent="0.35">
      <c r="A3979" t="s">
        <v>179</v>
      </c>
      <c r="B3979" t="s">
        <v>223</v>
      </c>
      <c r="C3979" t="s">
        <v>357</v>
      </c>
      <c r="D3979" t="s">
        <v>2575</v>
      </c>
      <c r="E3979">
        <v>80878653</v>
      </c>
      <c r="F3979" t="s">
        <v>2576</v>
      </c>
      <c r="G3979" s="3">
        <v>46675</v>
      </c>
      <c r="H3979">
        <v>18</v>
      </c>
      <c r="I3979">
        <v>89</v>
      </c>
      <c r="J3979">
        <v>2</v>
      </c>
      <c r="K3979" s="4">
        <v>1242.6199999999999</v>
      </c>
      <c r="L3979" s="4">
        <v>1492.5714285714287</v>
      </c>
      <c r="M3979" s="4">
        <v>1.339969372128637E-3</v>
      </c>
      <c r="N3979" t="s">
        <v>25</v>
      </c>
      <c r="O3979" t="str">
        <f t="shared" si="620"/>
        <v>Low</v>
      </c>
      <c r="P3979" t="str">
        <f t="shared" si="621"/>
        <v>Low</v>
      </c>
      <c r="Q3979" t="str">
        <f t="shared" si="622"/>
        <v>Low</v>
      </c>
      <c r="R3979" t="s">
        <v>3317</v>
      </c>
      <c r="S3979" s="4">
        <f t="shared" ca="1" si="623"/>
        <v>478</v>
      </c>
      <c r="T3979">
        <f t="shared" si="624"/>
        <v>1</v>
      </c>
      <c r="U3979">
        <f t="shared" si="625"/>
        <v>1</v>
      </c>
      <c r="V3979">
        <f t="shared" si="626"/>
        <v>1</v>
      </c>
      <c r="W3979">
        <f t="shared" si="627"/>
        <v>1</v>
      </c>
      <c r="X3979">
        <f t="shared" si="628"/>
        <v>0.99999999999999989</v>
      </c>
      <c r="Y3979" t="str">
        <f t="shared" si="629"/>
        <v>Healthy</v>
      </c>
    </row>
    <row r="3980" spans="1:25" x14ac:dyDescent="0.35">
      <c r="A3980" t="s">
        <v>179</v>
      </c>
      <c r="B3980" t="s">
        <v>223</v>
      </c>
      <c r="C3980" t="s">
        <v>357</v>
      </c>
      <c r="D3980" t="s">
        <v>2575</v>
      </c>
      <c r="E3980">
        <v>80878653</v>
      </c>
      <c r="F3980" t="s">
        <v>2576</v>
      </c>
      <c r="G3980" s="3">
        <v>46696</v>
      </c>
      <c r="H3980">
        <v>18</v>
      </c>
      <c r="I3980">
        <v>93</v>
      </c>
      <c r="J3980">
        <v>2</v>
      </c>
      <c r="K3980" s="4">
        <v>1242.6199999999999</v>
      </c>
      <c r="L3980" s="4">
        <v>1492.5714285714287</v>
      </c>
      <c r="M3980" s="4">
        <v>1.339969372128637E-3</v>
      </c>
      <c r="N3980" t="s">
        <v>25</v>
      </c>
      <c r="O3980" t="str">
        <f t="shared" si="620"/>
        <v>Low</v>
      </c>
      <c r="P3980" t="str">
        <f t="shared" si="621"/>
        <v>Low</v>
      </c>
      <c r="Q3980" t="str">
        <f t="shared" si="622"/>
        <v>Low</v>
      </c>
      <c r="R3980" t="s">
        <v>3317</v>
      </c>
      <c r="S3980" s="4">
        <f t="shared" ca="1" si="623"/>
        <v>499</v>
      </c>
      <c r="T3980">
        <f t="shared" si="624"/>
        <v>1</v>
      </c>
      <c r="U3980">
        <f t="shared" si="625"/>
        <v>1</v>
      </c>
      <c r="V3980">
        <f t="shared" si="626"/>
        <v>1</v>
      </c>
      <c r="W3980">
        <f t="shared" si="627"/>
        <v>1</v>
      </c>
      <c r="X3980">
        <f t="shared" si="628"/>
        <v>0.99999999999999989</v>
      </c>
      <c r="Y3980" t="str">
        <f t="shared" si="629"/>
        <v>Healthy</v>
      </c>
    </row>
    <row r="3981" spans="1:25" x14ac:dyDescent="0.35">
      <c r="A3981" t="s">
        <v>179</v>
      </c>
      <c r="B3981" t="s">
        <v>223</v>
      </c>
      <c r="C3981" t="s">
        <v>357</v>
      </c>
      <c r="D3981" t="s">
        <v>2575</v>
      </c>
      <c r="E3981">
        <v>80878653</v>
      </c>
      <c r="F3981" t="s">
        <v>2576</v>
      </c>
      <c r="G3981" s="3">
        <v>46729</v>
      </c>
      <c r="H3981">
        <v>18</v>
      </c>
      <c r="I3981">
        <v>99</v>
      </c>
      <c r="J3981">
        <v>180</v>
      </c>
      <c r="K3981" s="4">
        <v>111835.8</v>
      </c>
      <c r="L3981" s="4">
        <v>1492.5714285714287</v>
      </c>
      <c r="M3981" s="4">
        <v>0.12059724349157733</v>
      </c>
      <c r="N3981" t="s">
        <v>25</v>
      </c>
      <c r="O3981" t="str">
        <f t="shared" si="620"/>
        <v>Low</v>
      </c>
      <c r="P3981" t="str">
        <f t="shared" si="621"/>
        <v>Low</v>
      </c>
      <c r="Q3981" t="str">
        <f t="shared" si="622"/>
        <v>Low</v>
      </c>
      <c r="R3981" t="s">
        <v>3310</v>
      </c>
      <c r="S3981" s="4">
        <f t="shared" ca="1" si="623"/>
        <v>532</v>
      </c>
      <c r="T3981">
        <f t="shared" si="624"/>
        <v>1</v>
      </c>
      <c r="U3981">
        <f t="shared" si="625"/>
        <v>1</v>
      </c>
      <c r="V3981">
        <f t="shared" si="626"/>
        <v>1</v>
      </c>
      <c r="W3981">
        <f t="shared" si="627"/>
        <v>2</v>
      </c>
      <c r="X3981">
        <f t="shared" si="628"/>
        <v>1.0999999999999999</v>
      </c>
      <c r="Y3981" t="str">
        <f t="shared" si="629"/>
        <v>Healthy</v>
      </c>
    </row>
    <row r="3982" spans="1:25" x14ac:dyDescent="0.35">
      <c r="A3982" t="s">
        <v>41</v>
      </c>
      <c r="B3982" t="s">
        <v>42</v>
      </c>
      <c r="C3982" t="s">
        <v>43</v>
      </c>
      <c r="D3982" t="s">
        <v>2577</v>
      </c>
      <c r="E3982">
        <v>80789079</v>
      </c>
      <c r="F3982" t="s">
        <v>2578</v>
      </c>
      <c r="G3982" s="3">
        <v>46363</v>
      </c>
      <c r="H3982">
        <v>36</v>
      </c>
      <c r="I3982">
        <v>16</v>
      </c>
      <c r="J3982">
        <v>5</v>
      </c>
      <c r="K3982" s="4">
        <v>1566.5</v>
      </c>
      <c r="L3982" s="4">
        <f>0</f>
        <v>0</v>
      </c>
      <c r="M3982" s="4">
        <f>999</f>
        <v>999</v>
      </c>
      <c r="N3982" t="s">
        <v>19</v>
      </c>
      <c r="O3982" t="str">
        <f t="shared" si="620"/>
        <v>High</v>
      </c>
      <c r="P3982" t="str">
        <f t="shared" si="621"/>
        <v>High</v>
      </c>
      <c r="Q3982" t="str">
        <f t="shared" si="622"/>
        <v>High</v>
      </c>
      <c r="R3982" t="s">
        <v>3317</v>
      </c>
      <c r="S3982" s="4">
        <f t="shared" ca="1" si="623"/>
        <v>166</v>
      </c>
      <c r="T3982">
        <f t="shared" si="624"/>
        <v>3</v>
      </c>
      <c r="U3982">
        <f t="shared" si="625"/>
        <v>3</v>
      </c>
      <c r="V3982">
        <f t="shared" si="626"/>
        <v>3</v>
      </c>
      <c r="W3982">
        <f t="shared" si="627"/>
        <v>1</v>
      </c>
      <c r="X3982">
        <f t="shared" si="628"/>
        <v>2.8000000000000003</v>
      </c>
      <c r="Y3982" t="str">
        <f t="shared" si="629"/>
        <v>Move Immediately</v>
      </c>
    </row>
    <row r="3983" spans="1:25" x14ac:dyDescent="0.35">
      <c r="A3983" t="s">
        <v>179</v>
      </c>
      <c r="B3983" t="s">
        <v>223</v>
      </c>
      <c r="C3983" t="s">
        <v>357</v>
      </c>
      <c r="D3983" t="s">
        <v>2575</v>
      </c>
      <c r="E3983">
        <v>80878653</v>
      </c>
      <c r="F3983" t="s">
        <v>2576</v>
      </c>
      <c r="G3983" s="3">
        <v>46695</v>
      </c>
      <c r="H3983">
        <v>18</v>
      </c>
      <c r="I3983">
        <v>93</v>
      </c>
      <c r="J3983">
        <v>25</v>
      </c>
      <c r="K3983" s="4">
        <v>15532.75</v>
      </c>
      <c r="L3983" s="4">
        <v>1492.5714285714287</v>
      </c>
      <c r="M3983" s="4">
        <v>1.6749617151607964E-2</v>
      </c>
      <c r="N3983" t="s">
        <v>25</v>
      </c>
      <c r="O3983" t="str">
        <f t="shared" si="620"/>
        <v>Low</v>
      </c>
      <c r="P3983" t="str">
        <f t="shared" si="621"/>
        <v>Low</v>
      </c>
      <c r="Q3983" t="str">
        <f t="shared" si="622"/>
        <v>Low</v>
      </c>
      <c r="R3983" t="s">
        <v>3317</v>
      </c>
      <c r="S3983" s="4">
        <f t="shared" ca="1" si="623"/>
        <v>498</v>
      </c>
      <c r="T3983">
        <f t="shared" si="624"/>
        <v>1</v>
      </c>
      <c r="U3983">
        <f t="shared" si="625"/>
        <v>1</v>
      </c>
      <c r="V3983">
        <f t="shared" si="626"/>
        <v>1</v>
      </c>
      <c r="W3983">
        <f t="shared" si="627"/>
        <v>1</v>
      </c>
      <c r="X3983">
        <f t="shared" si="628"/>
        <v>0.99999999999999989</v>
      </c>
      <c r="Y3983" t="str">
        <f t="shared" si="629"/>
        <v>Healthy</v>
      </c>
    </row>
    <row r="3984" spans="1:25" x14ac:dyDescent="0.35">
      <c r="A3984" t="s">
        <v>41</v>
      </c>
      <c r="B3984" t="s">
        <v>42</v>
      </c>
      <c r="C3984" t="s">
        <v>43</v>
      </c>
      <c r="D3984" t="s">
        <v>2577</v>
      </c>
      <c r="E3984">
        <v>80789079</v>
      </c>
      <c r="F3984" t="s">
        <v>2578</v>
      </c>
      <c r="G3984" s="3">
        <v>46363</v>
      </c>
      <c r="H3984">
        <v>36</v>
      </c>
      <c r="I3984">
        <v>16</v>
      </c>
      <c r="J3984">
        <v>7</v>
      </c>
      <c r="K3984" s="4">
        <v>1948.73</v>
      </c>
      <c r="L3984" s="4">
        <f>0</f>
        <v>0</v>
      </c>
      <c r="M3984" s="4">
        <f>999</f>
        <v>999</v>
      </c>
      <c r="N3984" t="s">
        <v>19</v>
      </c>
      <c r="O3984" t="str">
        <f t="shared" si="620"/>
        <v>High</v>
      </c>
      <c r="P3984" t="str">
        <f t="shared" si="621"/>
        <v>High</v>
      </c>
      <c r="Q3984" t="str">
        <f t="shared" si="622"/>
        <v>High</v>
      </c>
      <c r="R3984" t="s">
        <v>3317</v>
      </c>
      <c r="S3984" s="4">
        <f t="shared" ca="1" si="623"/>
        <v>166</v>
      </c>
      <c r="T3984">
        <f t="shared" si="624"/>
        <v>3</v>
      </c>
      <c r="U3984">
        <f t="shared" si="625"/>
        <v>3</v>
      </c>
      <c r="V3984">
        <f t="shared" si="626"/>
        <v>3</v>
      </c>
      <c r="W3984">
        <f t="shared" si="627"/>
        <v>1</v>
      </c>
      <c r="X3984">
        <f t="shared" si="628"/>
        <v>2.8000000000000003</v>
      </c>
      <c r="Y3984" t="str">
        <f t="shared" si="629"/>
        <v>Move Immediately</v>
      </c>
    </row>
    <row r="3985" spans="1:25" x14ac:dyDescent="0.35">
      <c r="A3985" t="s">
        <v>179</v>
      </c>
      <c r="B3985" t="s">
        <v>223</v>
      </c>
      <c r="C3985" t="s">
        <v>357</v>
      </c>
      <c r="D3985" t="s">
        <v>2575</v>
      </c>
      <c r="E3985">
        <v>80878653</v>
      </c>
      <c r="F3985" t="s">
        <v>2576</v>
      </c>
      <c r="G3985" s="3">
        <v>46682</v>
      </c>
      <c r="H3985">
        <v>18</v>
      </c>
      <c r="I3985">
        <v>91</v>
      </c>
      <c r="J3985">
        <v>9</v>
      </c>
      <c r="K3985" s="4">
        <v>5591.79</v>
      </c>
      <c r="L3985" s="4">
        <v>1492.5714285714287</v>
      </c>
      <c r="M3985" s="4">
        <v>6.0298621745788665E-3</v>
      </c>
      <c r="N3985" t="s">
        <v>25</v>
      </c>
      <c r="O3985" t="str">
        <f t="shared" si="620"/>
        <v>Low</v>
      </c>
      <c r="P3985" t="str">
        <f t="shared" si="621"/>
        <v>Low</v>
      </c>
      <c r="Q3985" t="str">
        <f t="shared" si="622"/>
        <v>Low</v>
      </c>
      <c r="R3985" t="s">
        <v>3317</v>
      </c>
      <c r="S3985" s="4">
        <f t="shared" ca="1" si="623"/>
        <v>485</v>
      </c>
      <c r="T3985">
        <f t="shared" si="624"/>
        <v>1</v>
      </c>
      <c r="U3985">
        <f t="shared" si="625"/>
        <v>1</v>
      </c>
      <c r="V3985">
        <f t="shared" si="626"/>
        <v>1</v>
      </c>
      <c r="W3985">
        <f t="shared" si="627"/>
        <v>1</v>
      </c>
      <c r="X3985">
        <f t="shared" si="628"/>
        <v>0.99999999999999989</v>
      </c>
      <c r="Y3985" t="str">
        <f t="shared" si="629"/>
        <v>Healthy</v>
      </c>
    </row>
    <row r="3986" spans="1:25" x14ac:dyDescent="0.35">
      <c r="A3986" t="s">
        <v>41</v>
      </c>
      <c r="B3986" t="s">
        <v>42</v>
      </c>
      <c r="C3986" t="s">
        <v>43</v>
      </c>
      <c r="D3986" t="s">
        <v>2577</v>
      </c>
      <c r="E3986">
        <v>80789079</v>
      </c>
      <c r="F3986" t="s">
        <v>2578</v>
      </c>
      <c r="G3986" s="3">
        <v>46383</v>
      </c>
      <c r="H3986">
        <v>36</v>
      </c>
      <c r="I3986">
        <v>18</v>
      </c>
      <c r="J3986">
        <v>2</v>
      </c>
      <c r="K3986" s="4">
        <v>556.78</v>
      </c>
      <c r="L3986" s="4">
        <f>0</f>
        <v>0</v>
      </c>
      <c r="M3986" s="4">
        <f>999</f>
        <v>999</v>
      </c>
      <c r="N3986" t="s">
        <v>19</v>
      </c>
      <c r="O3986" t="str">
        <f t="shared" si="620"/>
        <v>High</v>
      </c>
      <c r="P3986" t="str">
        <f t="shared" si="621"/>
        <v>High</v>
      </c>
      <c r="Q3986" t="str">
        <f t="shared" si="622"/>
        <v>High</v>
      </c>
      <c r="R3986" t="s">
        <v>3317</v>
      </c>
      <c r="S3986" s="4">
        <f t="shared" ca="1" si="623"/>
        <v>186</v>
      </c>
      <c r="T3986">
        <f t="shared" si="624"/>
        <v>3</v>
      </c>
      <c r="U3986">
        <f t="shared" si="625"/>
        <v>3</v>
      </c>
      <c r="V3986">
        <f t="shared" si="626"/>
        <v>3</v>
      </c>
      <c r="W3986">
        <f t="shared" si="627"/>
        <v>1</v>
      </c>
      <c r="X3986">
        <f t="shared" si="628"/>
        <v>2.8000000000000003</v>
      </c>
      <c r="Y3986" t="str">
        <f t="shared" si="629"/>
        <v>Move Immediately</v>
      </c>
    </row>
    <row r="3987" spans="1:25" x14ac:dyDescent="0.35">
      <c r="A3987" t="s">
        <v>20</v>
      </c>
      <c r="B3987" t="s">
        <v>21</v>
      </c>
      <c r="C3987" t="s">
        <v>51</v>
      </c>
      <c r="D3987" t="s">
        <v>793</v>
      </c>
      <c r="E3987">
        <v>80782924</v>
      </c>
      <c r="F3987" t="s">
        <v>2579</v>
      </c>
      <c r="G3987" s="3">
        <v>46893</v>
      </c>
      <c r="H3987">
        <v>36</v>
      </c>
      <c r="I3987">
        <v>65</v>
      </c>
      <c r="J3987">
        <v>1</v>
      </c>
      <c r="K3987" s="4">
        <v>112</v>
      </c>
      <c r="L3987" s="4">
        <v>1.8571428571428572</v>
      </c>
      <c r="M3987" s="4">
        <v>0.53846153846153844</v>
      </c>
      <c r="N3987" t="s">
        <v>25</v>
      </c>
      <c r="O3987" t="str">
        <f t="shared" si="620"/>
        <v>Low</v>
      </c>
      <c r="P3987" t="str">
        <f t="shared" si="621"/>
        <v>Low</v>
      </c>
      <c r="Q3987" t="str">
        <f t="shared" si="622"/>
        <v>High</v>
      </c>
      <c r="R3987" t="s">
        <v>3317</v>
      </c>
      <c r="S3987" s="4">
        <f t="shared" ca="1" si="623"/>
        <v>696</v>
      </c>
      <c r="T3987">
        <f t="shared" si="624"/>
        <v>1</v>
      </c>
      <c r="U3987">
        <f t="shared" si="625"/>
        <v>1</v>
      </c>
      <c r="V3987">
        <f t="shared" si="626"/>
        <v>3</v>
      </c>
      <c r="W3987">
        <f t="shared" si="627"/>
        <v>1</v>
      </c>
      <c r="X3987">
        <f t="shared" si="628"/>
        <v>1.4000000000000001</v>
      </c>
      <c r="Y3987" t="str">
        <f t="shared" si="629"/>
        <v>Healthy</v>
      </c>
    </row>
    <row r="3988" spans="1:25" x14ac:dyDescent="0.35">
      <c r="A3988" t="s">
        <v>179</v>
      </c>
      <c r="B3988" t="s">
        <v>223</v>
      </c>
      <c r="C3988" t="s">
        <v>357</v>
      </c>
      <c r="D3988" t="s">
        <v>2575</v>
      </c>
      <c r="E3988">
        <v>80878653</v>
      </c>
      <c r="F3988" t="s">
        <v>2576</v>
      </c>
      <c r="G3988" s="3">
        <v>46702</v>
      </c>
      <c r="H3988">
        <v>18</v>
      </c>
      <c r="I3988">
        <v>94</v>
      </c>
      <c r="J3988">
        <v>9</v>
      </c>
      <c r="K3988" s="4">
        <v>5591.79</v>
      </c>
      <c r="L3988" s="4">
        <v>1492.5714285714287</v>
      </c>
      <c r="M3988" s="4">
        <v>6.0298621745788665E-3</v>
      </c>
      <c r="N3988" t="s">
        <v>25</v>
      </c>
      <c r="O3988" t="str">
        <f t="shared" si="620"/>
        <v>Low</v>
      </c>
      <c r="P3988" t="str">
        <f t="shared" si="621"/>
        <v>Low</v>
      </c>
      <c r="Q3988" t="str">
        <f t="shared" si="622"/>
        <v>Low</v>
      </c>
      <c r="R3988" t="s">
        <v>3317</v>
      </c>
      <c r="S3988" s="4">
        <f t="shared" ca="1" si="623"/>
        <v>505</v>
      </c>
      <c r="T3988">
        <f t="shared" si="624"/>
        <v>1</v>
      </c>
      <c r="U3988">
        <f t="shared" si="625"/>
        <v>1</v>
      </c>
      <c r="V3988">
        <f t="shared" si="626"/>
        <v>1</v>
      </c>
      <c r="W3988">
        <f t="shared" si="627"/>
        <v>1</v>
      </c>
      <c r="X3988">
        <f t="shared" si="628"/>
        <v>0.99999999999999989</v>
      </c>
      <c r="Y3988" t="str">
        <f t="shared" si="629"/>
        <v>Healthy</v>
      </c>
    </row>
    <row r="3989" spans="1:25" x14ac:dyDescent="0.35">
      <c r="A3989" t="s">
        <v>20</v>
      </c>
      <c r="B3989" t="s">
        <v>21</v>
      </c>
      <c r="C3989" t="s">
        <v>51</v>
      </c>
      <c r="D3989" t="s">
        <v>793</v>
      </c>
      <c r="E3989">
        <v>80782924</v>
      </c>
      <c r="F3989" t="s">
        <v>2579</v>
      </c>
      <c r="G3989" s="3">
        <v>46860</v>
      </c>
      <c r="H3989">
        <v>36</v>
      </c>
      <c r="I3989">
        <v>62</v>
      </c>
      <c r="J3989">
        <v>23</v>
      </c>
      <c r="K3989" s="4">
        <v>2576</v>
      </c>
      <c r="L3989" s="4">
        <v>1.8571428571428572</v>
      </c>
      <c r="M3989" s="4">
        <v>12.384615384615385</v>
      </c>
      <c r="N3989" t="s">
        <v>19</v>
      </c>
      <c r="O3989" t="str">
        <f t="shared" si="620"/>
        <v>Low</v>
      </c>
      <c r="P3989" t="str">
        <f t="shared" si="621"/>
        <v>High</v>
      </c>
      <c r="Q3989" t="str">
        <f t="shared" si="622"/>
        <v>High</v>
      </c>
      <c r="R3989" t="s">
        <v>3317</v>
      </c>
      <c r="S3989" s="4">
        <f t="shared" ca="1" si="623"/>
        <v>663</v>
      </c>
      <c r="T3989">
        <f t="shared" si="624"/>
        <v>1</v>
      </c>
      <c r="U3989">
        <f t="shared" si="625"/>
        <v>3</v>
      </c>
      <c r="V3989">
        <f t="shared" si="626"/>
        <v>3</v>
      </c>
      <c r="W3989">
        <f t="shared" si="627"/>
        <v>1</v>
      </c>
      <c r="X3989">
        <f t="shared" si="628"/>
        <v>2</v>
      </c>
      <c r="Y3989" t="str">
        <f t="shared" si="629"/>
        <v>Monitor</v>
      </c>
    </row>
    <row r="3990" spans="1:25" x14ac:dyDescent="0.35">
      <c r="A3990" t="s">
        <v>179</v>
      </c>
      <c r="B3990" t="s">
        <v>223</v>
      </c>
      <c r="C3990" t="s">
        <v>357</v>
      </c>
      <c r="D3990" t="s">
        <v>2575</v>
      </c>
      <c r="E3990">
        <v>80878653</v>
      </c>
      <c r="F3990" t="s">
        <v>2576</v>
      </c>
      <c r="G3990" s="3">
        <v>46713</v>
      </c>
      <c r="H3990">
        <v>18</v>
      </c>
      <c r="I3990">
        <v>96</v>
      </c>
      <c r="J3990">
        <v>45</v>
      </c>
      <c r="K3990" s="4">
        <v>27958.95</v>
      </c>
      <c r="L3990" s="4">
        <v>1492.5714285714287</v>
      </c>
      <c r="M3990" s="4">
        <v>3.0149310872894332E-2</v>
      </c>
      <c r="N3990" t="s">
        <v>25</v>
      </c>
      <c r="O3990" t="str">
        <f t="shared" si="620"/>
        <v>Low</v>
      </c>
      <c r="P3990" t="str">
        <f t="shared" si="621"/>
        <v>Low</v>
      </c>
      <c r="Q3990" t="str">
        <f t="shared" si="622"/>
        <v>Low</v>
      </c>
      <c r="R3990" t="s">
        <v>3317</v>
      </c>
      <c r="S3990" s="4">
        <f t="shared" ca="1" si="623"/>
        <v>516</v>
      </c>
      <c r="T3990">
        <f t="shared" si="624"/>
        <v>1</v>
      </c>
      <c r="U3990">
        <f t="shared" si="625"/>
        <v>1</v>
      </c>
      <c r="V3990">
        <f t="shared" si="626"/>
        <v>1</v>
      </c>
      <c r="W3990">
        <f t="shared" si="627"/>
        <v>1</v>
      </c>
      <c r="X3990">
        <f t="shared" si="628"/>
        <v>0.99999999999999989</v>
      </c>
      <c r="Y3990" t="str">
        <f t="shared" si="629"/>
        <v>Healthy</v>
      </c>
    </row>
    <row r="3991" spans="1:25" x14ac:dyDescent="0.35">
      <c r="A3991" t="s">
        <v>179</v>
      </c>
      <c r="B3991" t="s">
        <v>223</v>
      </c>
      <c r="C3991" t="s">
        <v>357</v>
      </c>
      <c r="D3991" t="s">
        <v>2575</v>
      </c>
      <c r="E3991">
        <v>80878653</v>
      </c>
      <c r="F3991" t="s">
        <v>2576</v>
      </c>
      <c r="G3991" s="3">
        <v>46680</v>
      </c>
      <c r="H3991">
        <v>18</v>
      </c>
      <c r="I3991">
        <v>90</v>
      </c>
      <c r="J3991">
        <v>12</v>
      </c>
      <c r="K3991" s="4">
        <v>7455.72</v>
      </c>
      <c r="L3991" s="4">
        <v>1492.5714285714287</v>
      </c>
      <c r="M3991" s="4">
        <v>8.0398162327718226E-3</v>
      </c>
      <c r="N3991" t="s">
        <v>25</v>
      </c>
      <c r="O3991" t="str">
        <f t="shared" si="620"/>
        <v>Low</v>
      </c>
      <c r="P3991" t="str">
        <f t="shared" si="621"/>
        <v>Low</v>
      </c>
      <c r="Q3991" t="str">
        <f t="shared" si="622"/>
        <v>Low</v>
      </c>
      <c r="R3991" t="s">
        <v>3317</v>
      </c>
      <c r="S3991" s="4">
        <f t="shared" ca="1" si="623"/>
        <v>483</v>
      </c>
      <c r="T3991">
        <f t="shared" si="624"/>
        <v>1</v>
      </c>
      <c r="U3991">
        <f t="shared" si="625"/>
        <v>1</v>
      </c>
      <c r="V3991">
        <f t="shared" si="626"/>
        <v>1</v>
      </c>
      <c r="W3991">
        <f t="shared" si="627"/>
        <v>1</v>
      </c>
      <c r="X3991">
        <f t="shared" si="628"/>
        <v>0.99999999999999989</v>
      </c>
      <c r="Y3991" t="str">
        <f t="shared" si="629"/>
        <v>Healthy</v>
      </c>
    </row>
    <row r="3992" spans="1:25" x14ac:dyDescent="0.35">
      <c r="A3992" t="s">
        <v>179</v>
      </c>
      <c r="B3992" t="s">
        <v>223</v>
      </c>
      <c r="C3992" t="s">
        <v>357</v>
      </c>
      <c r="D3992" t="s">
        <v>2575</v>
      </c>
      <c r="E3992">
        <v>80878653</v>
      </c>
      <c r="F3992" t="s">
        <v>2576</v>
      </c>
      <c r="G3992" s="3">
        <v>46721</v>
      </c>
      <c r="H3992">
        <v>18</v>
      </c>
      <c r="I3992">
        <v>98</v>
      </c>
      <c r="J3992">
        <v>70</v>
      </c>
      <c r="K3992" s="4">
        <v>43491.7</v>
      </c>
      <c r="L3992" s="4">
        <v>1492.5714285714287</v>
      </c>
      <c r="M3992" s="4">
        <v>4.6898928024502295E-2</v>
      </c>
      <c r="N3992" t="s">
        <v>25</v>
      </c>
      <c r="O3992" t="str">
        <f t="shared" si="620"/>
        <v>Low</v>
      </c>
      <c r="P3992" t="str">
        <f t="shared" si="621"/>
        <v>Low</v>
      </c>
      <c r="Q3992" t="str">
        <f t="shared" si="622"/>
        <v>Low</v>
      </c>
      <c r="R3992" t="s">
        <v>3317</v>
      </c>
      <c r="S3992" s="4">
        <f t="shared" ca="1" si="623"/>
        <v>524</v>
      </c>
      <c r="T3992">
        <f t="shared" si="624"/>
        <v>1</v>
      </c>
      <c r="U3992">
        <f t="shared" si="625"/>
        <v>1</v>
      </c>
      <c r="V3992">
        <f t="shared" si="626"/>
        <v>1</v>
      </c>
      <c r="W3992">
        <f t="shared" si="627"/>
        <v>1</v>
      </c>
      <c r="X3992">
        <f t="shared" si="628"/>
        <v>0.99999999999999989</v>
      </c>
      <c r="Y3992" t="str">
        <f t="shared" si="629"/>
        <v>Healthy</v>
      </c>
    </row>
    <row r="3993" spans="1:25" x14ac:dyDescent="0.35">
      <c r="A3993" t="s">
        <v>179</v>
      </c>
      <c r="B3993" t="s">
        <v>223</v>
      </c>
      <c r="C3993" t="s">
        <v>357</v>
      </c>
      <c r="D3993" t="s">
        <v>2575</v>
      </c>
      <c r="E3993">
        <v>80878653</v>
      </c>
      <c r="F3993" t="s">
        <v>2576</v>
      </c>
      <c r="G3993" s="3">
        <v>46697</v>
      </c>
      <c r="H3993">
        <v>18</v>
      </c>
      <c r="I3993">
        <v>94</v>
      </c>
      <c r="J3993">
        <v>5</v>
      </c>
      <c r="K3993" s="4">
        <v>3106.55</v>
      </c>
      <c r="L3993" s="4">
        <v>1492.5714285714287</v>
      </c>
      <c r="M3993" s="4">
        <v>3.3499234303215925E-3</v>
      </c>
      <c r="N3993" t="s">
        <v>25</v>
      </c>
      <c r="O3993" t="str">
        <f t="shared" si="620"/>
        <v>Low</v>
      </c>
      <c r="P3993" t="str">
        <f t="shared" si="621"/>
        <v>Low</v>
      </c>
      <c r="Q3993" t="str">
        <f t="shared" si="622"/>
        <v>Low</v>
      </c>
      <c r="R3993" t="s">
        <v>3317</v>
      </c>
      <c r="S3993" s="4">
        <f t="shared" ca="1" si="623"/>
        <v>500</v>
      </c>
      <c r="T3993">
        <f t="shared" si="624"/>
        <v>1</v>
      </c>
      <c r="U3993">
        <f t="shared" si="625"/>
        <v>1</v>
      </c>
      <c r="V3993">
        <f t="shared" si="626"/>
        <v>1</v>
      </c>
      <c r="W3993">
        <f t="shared" si="627"/>
        <v>1</v>
      </c>
      <c r="X3993">
        <f t="shared" si="628"/>
        <v>0.99999999999999989</v>
      </c>
      <c r="Y3993" t="str">
        <f t="shared" si="629"/>
        <v>Healthy</v>
      </c>
    </row>
    <row r="3994" spans="1:25" x14ac:dyDescent="0.35">
      <c r="A3994" t="s">
        <v>179</v>
      </c>
      <c r="B3994" t="s">
        <v>223</v>
      </c>
      <c r="C3994" t="s">
        <v>357</v>
      </c>
      <c r="D3994" t="s">
        <v>2575</v>
      </c>
      <c r="E3994">
        <v>80878653</v>
      </c>
      <c r="F3994" t="s">
        <v>2576</v>
      </c>
      <c r="G3994" s="3">
        <v>46721</v>
      </c>
      <c r="H3994">
        <v>18</v>
      </c>
      <c r="I3994">
        <v>98</v>
      </c>
      <c r="J3994">
        <v>78</v>
      </c>
      <c r="K3994" s="4">
        <v>48462.18</v>
      </c>
      <c r="L3994" s="4">
        <v>1492.5714285714287</v>
      </c>
      <c r="M3994" s="4">
        <v>5.2258805513016843E-2</v>
      </c>
      <c r="N3994" t="s">
        <v>25</v>
      </c>
      <c r="O3994" t="str">
        <f t="shared" si="620"/>
        <v>Low</v>
      </c>
      <c r="P3994" t="str">
        <f t="shared" si="621"/>
        <v>Low</v>
      </c>
      <c r="Q3994" t="str">
        <f t="shared" si="622"/>
        <v>Low</v>
      </c>
      <c r="R3994" t="s">
        <v>3317</v>
      </c>
      <c r="S3994" s="4">
        <f t="shared" ca="1" si="623"/>
        <v>524</v>
      </c>
      <c r="T3994">
        <f t="shared" si="624"/>
        <v>1</v>
      </c>
      <c r="U3994">
        <f t="shared" si="625"/>
        <v>1</v>
      </c>
      <c r="V3994">
        <f t="shared" si="626"/>
        <v>1</v>
      </c>
      <c r="W3994">
        <f t="shared" si="627"/>
        <v>1</v>
      </c>
      <c r="X3994">
        <f t="shared" si="628"/>
        <v>0.99999999999999989</v>
      </c>
      <c r="Y3994" t="str">
        <f t="shared" si="629"/>
        <v>Healthy</v>
      </c>
    </row>
    <row r="3995" spans="1:25" x14ac:dyDescent="0.35">
      <c r="A3995" t="s">
        <v>179</v>
      </c>
      <c r="B3995" t="s">
        <v>223</v>
      </c>
      <c r="C3995" t="s">
        <v>357</v>
      </c>
      <c r="D3995" t="s">
        <v>2580</v>
      </c>
      <c r="E3995">
        <v>80878654</v>
      </c>
      <c r="F3995" t="s">
        <v>2581</v>
      </c>
      <c r="G3995" s="3">
        <v>46726</v>
      </c>
      <c r="H3995">
        <v>18</v>
      </c>
      <c r="I3995">
        <v>99</v>
      </c>
      <c r="J3995">
        <v>250</v>
      </c>
      <c r="K3995" s="4">
        <v>155327.5</v>
      </c>
      <c r="L3995" s="4">
        <v>4190.1428571428569</v>
      </c>
      <c r="M3995" s="4">
        <v>5.9663836896116741E-2</v>
      </c>
      <c r="N3995" t="s">
        <v>25</v>
      </c>
      <c r="O3995" t="str">
        <f t="shared" si="620"/>
        <v>Low</v>
      </c>
      <c r="P3995" t="str">
        <f t="shared" si="621"/>
        <v>Low</v>
      </c>
      <c r="Q3995" t="str">
        <f t="shared" si="622"/>
        <v>Low</v>
      </c>
      <c r="R3995" t="s">
        <v>3309</v>
      </c>
      <c r="S3995" s="4">
        <f t="shared" ca="1" si="623"/>
        <v>529</v>
      </c>
      <c r="T3995">
        <f t="shared" si="624"/>
        <v>1</v>
      </c>
      <c r="U3995">
        <f t="shared" si="625"/>
        <v>1</v>
      </c>
      <c r="V3995">
        <f t="shared" si="626"/>
        <v>1</v>
      </c>
      <c r="W3995">
        <f t="shared" si="627"/>
        <v>3</v>
      </c>
      <c r="X3995">
        <f t="shared" si="628"/>
        <v>1.2</v>
      </c>
      <c r="Y3995" t="str">
        <f t="shared" si="629"/>
        <v>Healthy</v>
      </c>
    </row>
    <row r="3996" spans="1:25" x14ac:dyDescent="0.35">
      <c r="A3996" t="s">
        <v>189</v>
      </c>
      <c r="B3996" t="s">
        <v>1219</v>
      </c>
      <c r="C3996" t="s">
        <v>1219</v>
      </c>
      <c r="D3996" t="s">
        <v>1466</v>
      </c>
      <c r="E3996">
        <v>80719807</v>
      </c>
      <c r="F3996" t="s">
        <v>2582</v>
      </c>
      <c r="G3996" s="3">
        <v>46675</v>
      </c>
      <c r="H3996">
        <v>24</v>
      </c>
      <c r="I3996">
        <v>67</v>
      </c>
      <c r="J3996">
        <v>51</v>
      </c>
      <c r="K3996" s="4">
        <v>160254.54999999999</v>
      </c>
      <c r="L3996" s="4">
        <v>1376.7142857142858</v>
      </c>
      <c r="M3996" s="4">
        <v>3.7044723461658192E-2</v>
      </c>
      <c r="N3996" t="s">
        <v>25</v>
      </c>
      <c r="O3996" t="str">
        <f t="shared" si="620"/>
        <v>Low</v>
      </c>
      <c r="P3996" t="str">
        <f t="shared" si="621"/>
        <v>Low</v>
      </c>
      <c r="Q3996" t="str">
        <f t="shared" si="622"/>
        <v>Low</v>
      </c>
      <c r="R3996" t="s">
        <v>3309</v>
      </c>
      <c r="S3996" s="4">
        <f t="shared" ca="1" si="623"/>
        <v>478</v>
      </c>
      <c r="T3996">
        <f t="shared" si="624"/>
        <v>1</v>
      </c>
      <c r="U3996">
        <f t="shared" si="625"/>
        <v>1</v>
      </c>
      <c r="V3996">
        <f t="shared" si="626"/>
        <v>1</v>
      </c>
      <c r="W3996">
        <f t="shared" si="627"/>
        <v>3</v>
      </c>
      <c r="X3996">
        <f t="shared" si="628"/>
        <v>1.2</v>
      </c>
      <c r="Y3996" t="str">
        <f t="shared" si="629"/>
        <v>Healthy</v>
      </c>
    </row>
    <row r="3997" spans="1:25" x14ac:dyDescent="0.35">
      <c r="A3997" t="s">
        <v>179</v>
      </c>
      <c r="B3997" t="s">
        <v>223</v>
      </c>
      <c r="C3997" t="s">
        <v>357</v>
      </c>
      <c r="D3997" t="s">
        <v>2580</v>
      </c>
      <c r="E3997">
        <v>80878654</v>
      </c>
      <c r="F3997" t="s">
        <v>2581</v>
      </c>
      <c r="G3997" s="3">
        <v>46726</v>
      </c>
      <c r="H3997">
        <v>18</v>
      </c>
      <c r="I3997">
        <v>99</v>
      </c>
      <c r="J3997">
        <v>355</v>
      </c>
      <c r="K3997" s="4">
        <v>220565.05</v>
      </c>
      <c r="L3997" s="4">
        <v>4190.1428571428569</v>
      </c>
      <c r="M3997" s="4">
        <v>8.4722648392485778E-2</v>
      </c>
      <c r="N3997" t="s">
        <v>25</v>
      </c>
      <c r="O3997" t="str">
        <f t="shared" si="620"/>
        <v>Low</v>
      </c>
      <c r="P3997" t="str">
        <f t="shared" si="621"/>
        <v>Low</v>
      </c>
      <c r="Q3997" t="str">
        <f t="shared" si="622"/>
        <v>Low</v>
      </c>
      <c r="R3997" t="s">
        <v>3309</v>
      </c>
      <c r="S3997" s="4">
        <f t="shared" ca="1" si="623"/>
        <v>529</v>
      </c>
      <c r="T3997">
        <f t="shared" si="624"/>
        <v>1</v>
      </c>
      <c r="U3997">
        <f t="shared" si="625"/>
        <v>1</v>
      </c>
      <c r="V3997">
        <f t="shared" si="626"/>
        <v>1</v>
      </c>
      <c r="W3997">
        <f t="shared" si="627"/>
        <v>3</v>
      </c>
      <c r="X3997">
        <f t="shared" si="628"/>
        <v>1.2</v>
      </c>
      <c r="Y3997" t="str">
        <f t="shared" si="629"/>
        <v>Healthy</v>
      </c>
    </row>
    <row r="3998" spans="1:25" x14ac:dyDescent="0.35">
      <c r="A3998" t="s">
        <v>179</v>
      </c>
      <c r="B3998" t="s">
        <v>223</v>
      </c>
      <c r="C3998" t="s">
        <v>357</v>
      </c>
      <c r="D3998" t="s">
        <v>2580</v>
      </c>
      <c r="E3998">
        <v>80878654</v>
      </c>
      <c r="F3998" t="s">
        <v>2581</v>
      </c>
      <c r="G3998" s="3">
        <v>46709</v>
      </c>
      <c r="H3998">
        <v>18</v>
      </c>
      <c r="I3998">
        <v>96</v>
      </c>
      <c r="J3998">
        <v>147</v>
      </c>
      <c r="K3998" s="4">
        <v>91332.57</v>
      </c>
      <c r="L3998" s="4">
        <v>4190.1428571428569</v>
      </c>
      <c r="M3998" s="4">
        <v>3.5082336094916643E-2</v>
      </c>
      <c r="N3998" t="s">
        <v>25</v>
      </c>
      <c r="O3998" t="str">
        <f t="shared" si="620"/>
        <v>Low</v>
      </c>
      <c r="P3998" t="str">
        <f t="shared" si="621"/>
        <v>Low</v>
      </c>
      <c r="Q3998" t="str">
        <f t="shared" si="622"/>
        <v>Low</v>
      </c>
      <c r="R3998" t="s">
        <v>3310</v>
      </c>
      <c r="S3998" s="4">
        <f t="shared" ca="1" si="623"/>
        <v>512</v>
      </c>
      <c r="T3998">
        <f t="shared" si="624"/>
        <v>1</v>
      </c>
      <c r="U3998">
        <f t="shared" si="625"/>
        <v>1</v>
      </c>
      <c r="V3998">
        <f t="shared" si="626"/>
        <v>1</v>
      </c>
      <c r="W3998">
        <f t="shared" si="627"/>
        <v>2</v>
      </c>
      <c r="X3998">
        <f t="shared" si="628"/>
        <v>1.0999999999999999</v>
      </c>
      <c r="Y3998" t="str">
        <f t="shared" si="629"/>
        <v>Healthy</v>
      </c>
    </row>
    <row r="3999" spans="1:25" x14ac:dyDescent="0.35">
      <c r="A3999" t="s">
        <v>189</v>
      </c>
      <c r="B3999" t="s">
        <v>1219</v>
      </c>
      <c r="C3999" t="s">
        <v>1219</v>
      </c>
      <c r="D3999" t="s">
        <v>1466</v>
      </c>
      <c r="E3999">
        <v>80719807</v>
      </c>
      <c r="F3999" t="s">
        <v>2582</v>
      </c>
      <c r="G3999" s="3">
        <v>46644</v>
      </c>
      <c r="H3999">
        <v>24</v>
      </c>
      <c r="I3999">
        <v>63</v>
      </c>
      <c r="J3999">
        <v>436</v>
      </c>
      <c r="K3999" s="4">
        <v>96528.55</v>
      </c>
      <c r="L3999" s="4">
        <v>1376.7142857142858</v>
      </c>
      <c r="M3999" s="4">
        <v>0.31669606724084259</v>
      </c>
      <c r="N3999" t="s">
        <v>25</v>
      </c>
      <c r="O3999" t="str">
        <f t="shared" si="620"/>
        <v>Low</v>
      </c>
      <c r="P3999" t="str">
        <f t="shared" si="621"/>
        <v>Low</v>
      </c>
      <c r="Q3999" t="str">
        <f t="shared" si="622"/>
        <v>Low</v>
      </c>
      <c r="R3999" t="s">
        <v>3310</v>
      </c>
      <c r="S3999" s="4">
        <f t="shared" ca="1" si="623"/>
        <v>447</v>
      </c>
      <c r="T3999">
        <f t="shared" si="624"/>
        <v>1</v>
      </c>
      <c r="U3999">
        <f t="shared" si="625"/>
        <v>1</v>
      </c>
      <c r="V3999">
        <f t="shared" si="626"/>
        <v>1</v>
      </c>
      <c r="W3999">
        <f t="shared" si="627"/>
        <v>2</v>
      </c>
      <c r="X3999">
        <f t="shared" si="628"/>
        <v>1.0999999999999999</v>
      </c>
      <c r="Y3999" t="str">
        <f t="shared" si="629"/>
        <v>Healthy</v>
      </c>
    </row>
    <row r="4000" spans="1:25" x14ac:dyDescent="0.35">
      <c r="A4000" t="s">
        <v>179</v>
      </c>
      <c r="B4000" t="s">
        <v>223</v>
      </c>
      <c r="C4000" t="s">
        <v>357</v>
      </c>
      <c r="D4000" t="s">
        <v>2580</v>
      </c>
      <c r="E4000">
        <v>80878654</v>
      </c>
      <c r="F4000" t="s">
        <v>2581</v>
      </c>
      <c r="G4000" s="3">
        <v>46726</v>
      </c>
      <c r="H4000">
        <v>18</v>
      </c>
      <c r="I4000">
        <v>99</v>
      </c>
      <c r="J4000">
        <v>350</v>
      </c>
      <c r="K4000" s="4">
        <v>217458.5</v>
      </c>
      <c r="L4000" s="4">
        <v>4190.1428571428569</v>
      </c>
      <c r="M4000" s="4">
        <v>8.3529371654563436E-2</v>
      </c>
      <c r="N4000" t="s">
        <v>25</v>
      </c>
      <c r="O4000" t="str">
        <f t="shared" si="620"/>
        <v>Low</v>
      </c>
      <c r="P4000" t="str">
        <f t="shared" si="621"/>
        <v>Low</v>
      </c>
      <c r="Q4000" t="str">
        <f t="shared" si="622"/>
        <v>Low</v>
      </c>
      <c r="R4000" t="s">
        <v>3309</v>
      </c>
      <c r="S4000" s="4">
        <f t="shared" ca="1" si="623"/>
        <v>529</v>
      </c>
      <c r="T4000">
        <f t="shared" si="624"/>
        <v>1</v>
      </c>
      <c r="U4000">
        <f t="shared" si="625"/>
        <v>1</v>
      </c>
      <c r="V4000">
        <f t="shared" si="626"/>
        <v>1</v>
      </c>
      <c r="W4000">
        <f t="shared" si="627"/>
        <v>3</v>
      </c>
      <c r="X4000">
        <f t="shared" si="628"/>
        <v>1.2</v>
      </c>
      <c r="Y4000" t="str">
        <f t="shared" si="629"/>
        <v>Healthy</v>
      </c>
    </row>
    <row r="4001" spans="1:25" x14ac:dyDescent="0.35">
      <c r="A4001" t="s">
        <v>179</v>
      </c>
      <c r="B4001" t="s">
        <v>223</v>
      </c>
      <c r="C4001" t="s">
        <v>357</v>
      </c>
      <c r="D4001" t="s">
        <v>2580</v>
      </c>
      <c r="E4001">
        <v>80878654</v>
      </c>
      <c r="F4001" t="s">
        <v>2581</v>
      </c>
      <c r="G4001" s="3">
        <v>46725</v>
      </c>
      <c r="H4001">
        <v>18</v>
      </c>
      <c r="I4001">
        <v>99</v>
      </c>
      <c r="J4001">
        <v>345</v>
      </c>
      <c r="K4001" s="4">
        <v>214351.95</v>
      </c>
      <c r="L4001" s="4">
        <v>4190.1428571428569</v>
      </c>
      <c r="M4001" s="4">
        <v>8.2336094916641095E-2</v>
      </c>
      <c r="N4001" t="s">
        <v>25</v>
      </c>
      <c r="O4001" t="str">
        <f t="shared" si="620"/>
        <v>Low</v>
      </c>
      <c r="P4001" t="str">
        <f t="shared" si="621"/>
        <v>Low</v>
      </c>
      <c r="Q4001" t="str">
        <f t="shared" si="622"/>
        <v>Low</v>
      </c>
      <c r="R4001" t="s">
        <v>3309</v>
      </c>
      <c r="S4001" s="4">
        <f t="shared" ca="1" si="623"/>
        <v>528</v>
      </c>
      <c r="T4001">
        <f t="shared" si="624"/>
        <v>1</v>
      </c>
      <c r="U4001">
        <f t="shared" si="625"/>
        <v>1</v>
      </c>
      <c r="V4001">
        <f t="shared" si="626"/>
        <v>1</v>
      </c>
      <c r="W4001">
        <f t="shared" si="627"/>
        <v>3</v>
      </c>
      <c r="X4001">
        <f t="shared" si="628"/>
        <v>1.2</v>
      </c>
      <c r="Y4001" t="str">
        <f t="shared" si="629"/>
        <v>Healthy</v>
      </c>
    </row>
    <row r="4002" spans="1:25" x14ac:dyDescent="0.35">
      <c r="A4002" t="s">
        <v>179</v>
      </c>
      <c r="B4002" t="s">
        <v>223</v>
      </c>
      <c r="C4002" t="s">
        <v>357</v>
      </c>
      <c r="D4002" t="s">
        <v>2580</v>
      </c>
      <c r="E4002">
        <v>80878654</v>
      </c>
      <c r="F4002" t="s">
        <v>2581</v>
      </c>
      <c r="G4002" s="3">
        <v>46709</v>
      </c>
      <c r="H4002">
        <v>18</v>
      </c>
      <c r="I4002">
        <v>96</v>
      </c>
      <c r="J4002">
        <v>353</v>
      </c>
      <c r="K4002" s="4">
        <v>219322.43</v>
      </c>
      <c r="L4002" s="4">
        <v>4190.1428571428569</v>
      </c>
      <c r="M4002" s="4">
        <v>8.4245337697316833E-2</v>
      </c>
      <c r="N4002" t="s">
        <v>25</v>
      </c>
      <c r="O4002" t="str">
        <f t="shared" si="620"/>
        <v>Low</v>
      </c>
      <c r="P4002" t="str">
        <f t="shared" si="621"/>
        <v>Low</v>
      </c>
      <c r="Q4002" t="str">
        <f t="shared" si="622"/>
        <v>Low</v>
      </c>
      <c r="R4002" t="s">
        <v>3309</v>
      </c>
      <c r="S4002" s="4">
        <f t="shared" ca="1" si="623"/>
        <v>512</v>
      </c>
      <c r="T4002">
        <f t="shared" si="624"/>
        <v>1</v>
      </c>
      <c r="U4002">
        <f t="shared" si="625"/>
        <v>1</v>
      </c>
      <c r="V4002">
        <f t="shared" si="626"/>
        <v>1</v>
      </c>
      <c r="W4002">
        <f t="shared" si="627"/>
        <v>3</v>
      </c>
      <c r="X4002">
        <f t="shared" si="628"/>
        <v>1.2</v>
      </c>
      <c r="Y4002" t="str">
        <f t="shared" si="629"/>
        <v>Healthy</v>
      </c>
    </row>
    <row r="4003" spans="1:25" x14ac:dyDescent="0.35">
      <c r="A4003" t="s">
        <v>14</v>
      </c>
      <c r="B4003" t="s">
        <v>251</v>
      </c>
      <c r="C4003" t="s">
        <v>2583</v>
      </c>
      <c r="D4003" t="s">
        <v>2584</v>
      </c>
      <c r="E4003">
        <v>80772061</v>
      </c>
      <c r="F4003" t="s">
        <v>2585</v>
      </c>
      <c r="G4003" s="3">
        <v>47688</v>
      </c>
      <c r="H4003">
        <v>60</v>
      </c>
      <c r="I4003">
        <v>83</v>
      </c>
      <c r="J4003">
        <v>53</v>
      </c>
      <c r="K4003" s="4">
        <v>68095.460000000006</v>
      </c>
      <c r="L4003" s="4">
        <v>24.285714285714285</v>
      </c>
      <c r="M4003" s="4">
        <v>2.1823529411764708</v>
      </c>
      <c r="N4003" t="s">
        <v>25</v>
      </c>
      <c r="O4003" t="str">
        <f t="shared" si="620"/>
        <v>Low</v>
      </c>
      <c r="P4003" t="str">
        <f t="shared" si="621"/>
        <v>Low</v>
      </c>
      <c r="Q4003" t="str">
        <f t="shared" si="622"/>
        <v>Low</v>
      </c>
      <c r="R4003" t="s">
        <v>3310</v>
      </c>
      <c r="S4003" s="4">
        <f t="shared" ca="1" si="623"/>
        <v>1491</v>
      </c>
      <c r="T4003">
        <f t="shared" si="624"/>
        <v>1</v>
      </c>
      <c r="U4003">
        <f t="shared" si="625"/>
        <v>1</v>
      </c>
      <c r="V4003">
        <f t="shared" si="626"/>
        <v>1</v>
      </c>
      <c r="W4003">
        <f t="shared" si="627"/>
        <v>2</v>
      </c>
      <c r="X4003">
        <f t="shared" si="628"/>
        <v>1.0999999999999999</v>
      </c>
      <c r="Y4003" t="str">
        <f t="shared" si="629"/>
        <v>Healthy</v>
      </c>
    </row>
    <row r="4004" spans="1:25" x14ac:dyDescent="0.35">
      <c r="A4004" t="s">
        <v>179</v>
      </c>
      <c r="B4004" t="s">
        <v>223</v>
      </c>
      <c r="C4004" t="s">
        <v>357</v>
      </c>
      <c r="D4004" t="s">
        <v>1606</v>
      </c>
      <c r="E4004">
        <v>80877410</v>
      </c>
      <c r="F4004" t="s">
        <v>2586</v>
      </c>
      <c r="G4004" s="3">
        <v>46724</v>
      </c>
      <c r="H4004">
        <v>18</v>
      </c>
      <c r="I4004">
        <v>99</v>
      </c>
      <c r="J4004">
        <v>36</v>
      </c>
      <c r="K4004" s="4">
        <v>9567.7199999999993</v>
      </c>
      <c r="L4004" s="4">
        <v>8584.8571428571431</v>
      </c>
      <c r="M4004" s="4">
        <v>4.1934302925416842E-3</v>
      </c>
      <c r="N4004" t="s">
        <v>25</v>
      </c>
      <c r="O4004" t="str">
        <f t="shared" si="620"/>
        <v>Low</v>
      </c>
      <c r="P4004" t="str">
        <f t="shared" si="621"/>
        <v>Low</v>
      </c>
      <c r="Q4004" t="str">
        <f t="shared" si="622"/>
        <v>Low</v>
      </c>
      <c r="R4004" t="s">
        <v>3317</v>
      </c>
      <c r="S4004" s="4">
        <f t="shared" ca="1" si="623"/>
        <v>527</v>
      </c>
      <c r="T4004">
        <f t="shared" si="624"/>
        <v>1</v>
      </c>
      <c r="U4004">
        <f t="shared" si="625"/>
        <v>1</v>
      </c>
      <c r="V4004">
        <f t="shared" si="626"/>
        <v>1</v>
      </c>
      <c r="W4004">
        <f t="shared" si="627"/>
        <v>1</v>
      </c>
      <c r="X4004">
        <f t="shared" si="628"/>
        <v>0.99999999999999989</v>
      </c>
      <c r="Y4004" t="str">
        <f t="shared" si="629"/>
        <v>Healthy</v>
      </c>
    </row>
    <row r="4005" spans="1:25" x14ac:dyDescent="0.35">
      <c r="A4005" t="s">
        <v>14</v>
      </c>
      <c r="B4005" t="s">
        <v>251</v>
      </c>
      <c r="C4005" t="s">
        <v>2583</v>
      </c>
      <c r="D4005" t="s">
        <v>2584</v>
      </c>
      <c r="E4005">
        <v>80772061</v>
      </c>
      <c r="F4005" t="s">
        <v>2585</v>
      </c>
      <c r="G4005" s="3">
        <v>47758</v>
      </c>
      <c r="H4005">
        <v>60</v>
      </c>
      <c r="I4005">
        <v>87</v>
      </c>
      <c r="J4005">
        <v>48</v>
      </c>
      <c r="K4005" s="4">
        <v>61671.360000000001</v>
      </c>
      <c r="L4005" s="4">
        <v>24.285714285714285</v>
      </c>
      <c r="M4005" s="4">
        <v>1.9764705882352942</v>
      </c>
      <c r="N4005" t="s">
        <v>25</v>
      </c>
      <c r="O4005" t="str">
        <f t="shared" si="620"/>
        <v>Low</v>
      </c>
      <c r="P4005" t="str">
        <f t="shared" si="621"/>
        <v>Low</v>
      </c>
      <c r="Q4005" t="str">
        <f t="shared" si="622"/>
        <v>Low</v>
      </c>
      <c r="R4005" t="s">
        <v>3317</v>
      </c>
      <c r="S4005" s="4">
        <f t="shared" ca="1" si="623"/>
        <v>1561</v>
      </c>
      <c r="T4005">
        <f t="shared" si="624"/>
        <v>1</v>
      </c>
      <c r="U4005">
        <f t="shared" si="625"/>
        <v>1</v>
      </c>
      <c r="V4005">
        <f t="shared" si="626"/>
        <v>1</v>
      </c>
      <c r="W4005">
        <f t="shared" si="627"/>
        <v>1</v>
      </c>
      <c r="X4005">
        <f t="shared" si="628"/>
        <v>0.99999999999999989</v>
      </c>
      <c r="Y4005" t="str">
        <f t="shared" si="629"/>
        <v>Healthy</v>
      </c>
    </row>
    <row r="4006" spans="1:25" x14ac:dyDescent="0.35">
      <c r="A4006" t="s">
        <v>179</v>
      </c>
      <c r="B4006" t="s">
        <v>223</v>
      </c>
      <c r="C4006" t="s">
        <v>357</v>
      </c>
      <c r="D4006" t="s">
        <v>1606</v>
      </c>
      <c r="E4006">
        <v>80877410</v>
      </c>
      <c r="F4006" t="s">
        <v>2586</v>
      </c>
      <c r="G4006" s="3">
        <v>46617</v>
      </c>
      <c r="H4006">
        <v>18</v>
      </c>
      <c r="I4006">
        <v>79</v>
      </c>
      <c r="J4006">
        <v>13</v>
      </c>
      <c r="K4006" s="4">
        <v>3455.01</v>
      </c>
      <c r="L4006" s="4">
        <v>8584.8571428571431</v>
      </c>
      <c r="M4006" s="4">
        <v>1.5142942723067195E-3</v>
      </c>
      <c r="N4006" t="s">
        <v>25</v>
      </c>
      <c r="O4006" t="str">
        <f t="shared" si="620"/>
        <v>Low</v>
      </c>
      <c r="P4006" t="str">
        <f t="shared" si="621"/>
        <v>Low</v>
      </c>
      <c r="Q4006" t="str">
        <f t="shared" si="622"/>
        <v>Low</v>
      </c>
      <c r="R4006" t="s">
        <v>3317</v>
      </c>
      <c r="S4006" s="4">
        <f t="shared" ca="1" si="623"/>
        <v>420</v>
      </c>
      <c r="T4006">
        <f t="shared" si="624"/>
        <v>1</v>
      </c>
      <c r="U4006">
        <f t="shared" si="625"/>
        <v>1</v>
      </c>
      <c r="V4006">
        <f t="shared" si="626"/>
        <v>1</v>
      </c>
      <c r="W4006">
        <f t="shared" si="627"/>
        <v>1</v>
      </c>
      <c r="X4006">
        <f t="shared" si="628"/>
        <v>0.99999999999999989</v>
      </c>
      <c r="Y4006" t="str">
        <f t="shared" si="629"/>
        <v>Healthy</v>
      </c>
    </row>
    <row r="4007" spans="1:25" x14ac:dyDescent="0.35">
      <c r="A4007" t="s">
        <v>179</v>
      </c>
      <c r="B4007" t="s">
        <v>223</v>
      </c>
      <c r="C4007" t="s">
        <v>357</v>
      </c>
      <c r="D4007" t="s">
        <v>1606</v>
      </c>
      <c r="E4007">
        <v>80877410</v>
      </c>
      <c r="F4007" t="s">
        <v>2586</v>
      </c>
      <c r="G4007" s="3">
        <v>46625</v>
      </c>
      <c r="H4007">
        <v>18</v>
      </c>
      <c r="I4007">
        <v>80</v>
      </c>
      <c r="J4007">
        <v>12</v>
      </c>
      <c r="K4007" s="4">
        <v>3189.24</v>
      </c>
      <c r="L4007" s="4">
        <v>8584.8571428571431</v>
      </c>
      <c r="M4007" s="4">
        <v>1.3978100975138949E-3</v>
      </c>
      <c r="N4007" t="s">
        <v>25</v>
      </c>
      <c r="O4007" t="str">
        <f t="shared" si="620"/>
        <v>Low</v>
      </c>
      <c r="P4007" t="str">
        <f t="shared" si="621"/>
        <v>Low</v>
      </c>
      <c r="Q4007" t="str">
        <f t="shared" si="622"/>
        <v>Low</v>
      </c>
      <c r="R4007" t="s">
        <v>3317</v>
      </c>
      <c r="S4007" s="4">
        <f t="shared" ca="1" si="623"/>
        <v>428</v>
      </c>
      <c r="T4007">
        <f t="shared" si="624"/>
        <v>1</v>
      </c>
      <c r="U4007">
        <f t="shared" si="625"/>
        <v>1</v>
      </c>
      <c r="V4007">
        <f t="shared" si="626"/>
        <v>1</v>
      </c>
      <c r="W4007">
        <f t="shared" si="627"/>
        <v>1</v>
      </c>
      <c r="X4007">
        <f t="shared" si="628"/>
        <v>0.99999999999999989</v>
      </c>
      <c r="Y4007" t="str">
        <f t="shared" si="629"/>
        <v>Healthy</v>
      </c>
    </row>
    <row r="4008" spans="1:25" x14ac:dyDescent="0.35">
      <c r="A4008" t="s">
        <v>179</v>
      </c>
      <c r="B4008" t="s">
        <v>223</v>
      </c>
      <c r="C4008" t="s">
        <v>357</v>
      </c>
      <c r="D4008" t="s">
        <v>1606</v>
      </c>
      <c r="E4008">
        <v>80877410</v>
      </c>
      <c r="F4008" t="s">
        <v>2586</v>
      </c>
      <c r="G4008" s="3">
        <v>46724</v>
      </c>
      <c r="H4008">
        <v>18</v>
      </c>
      <c r="I4008">
        <v>99</v>
      </c>
      <c r="J4008">
        <v>1962</v>
      </c>
      <c r="K4008" s="4">
        <v>521440.74</v>
      </c>
      <c r="L4008" s="4">
        <v>8584.8571428571431</v>
      </c>
      <c r="M4008" s="4">
        <v>0.22854195094352181</v>
      </c>
      <c r="N4008" t="s">
        <v>25</v>
      </c>
      <c r="O4008" t="str">
        <f t="shared" si="620"/>
        <v>Low</v>
      </c>
      <c r="P4008" t="str">
        <f t="shared" si="621"/>
        <v>Low</v>
      </c>
      <c r="Q4008" t="str">
        <f t="shared" si="622"/>
        <v>Low</v>
      </c>
      <c r="R4008" t="s">
        <v>3309</v>
      </c>
      <c r="S4008" s="4">
        <f t="shared" ca="1" si="623"/>
        <v>527</v>
      </c>
      <c r="T4008">
        <f t="shared" si="624"/>
        <v>1</v>
      </c>
      <c r="U4008">
        <f t="shared" si="625"/>
        <v>1</v>
      </c>
      <c r="V4008">
        <f t="shared" si="626"/>
        <v>1</v>
      </c>
      <c r="W4008">
        <f t="shared" si="627"/>
        <v>3</v>
      </c>
      <c r="X4008">
        <f t="shared" si="628"/>
        <v>1.2</v>
      </c>
      <c r="Y4008" t="str">
        <f t="shared" si="629"/>
        <v>Healthy</v>
      </c>
    </row>
    <row r="4009" spans="1:25" x14ac:dyDescent="0.35">
      <c r="A4009" t="s">
        <v>179</v>
      </c>
      <c r="B4009" t="s">
        <v>223</v>
      </c>
      <c r="C4009" t="s">
        <v>357</v>
      </c>
      <c r="D4009" t="s">
        <v>1606</v>
      </c>
      <c r="E4009">
        <v>80877410</v>
      </c>
      <c r="F4009" t="s">
        <v>2586</v>
      </c>
      <c r="G4009" s="3">
        <v>46664</v>
      </c>
      <c r="H4009">
        <v>18</v>
      </c>
      <c r="I4009">
        <v>87</v>
      </c>
      <c r="J4009">
        <v>685</v>
      </c>
      <c r="K4009" s="4">
        <v>182052.45</v>
      </c>
      <c r="L4009" s="4">
        <v>8584.8571428571431</v>
      </c>
      <c r="M4009" s="4">
        <v>7.979165973308483E-2</v>
      </c>
      <c r="N4009" t="s">
        <v>25</v>
      </c>
      <c r="O4009" t="str">
        <f t="shared" si="620"/>
        <v>Low</v>
      </c>
      <c r="P4009" t="str">
        <f t="shared" si="621"/>
        <v>Low</v>
      </c>
      <c r="Q4009" t="str">
        <f t="shared" si="622"/>
        <v>Low</v>
      </c>
      <c r="R4009" t="s">
        <v>3309</v>
      </c>
      <c r="S4009" s="4">
        <f t="shared" ca="1" si="623"/>
        <v>467</v>
      </c>
      <c r="T4009">
        <f t="shared" si="624"/>
        <v>1</v>
      </c>
      <c r="U4009">
        <f t="shared" si="625"/>
        <v>1</v>
      </c>
      <c r="V4009">
        <f t="shared" si="626"/>
        <v>1</v>
      </c>
      <c r="W4009">
        <f t="shared" si="627"/>
        <v>3</v>
      </c>
      <c r="X4009">
        <f t="shared" si="628"/>
        <v>1.2</v>
      </c>
      <c r="Y4009" t="str">
        <f t="shared" si="629"/>
        <v>Healthy</v>
      </c>
    </row>
    <row r="4010" spans="1:25" x14ac:dyDescent="0.35">
      <c r="A4010" t="s">
        <v>179</v>
      </c>
      <c r="B4010" t="s">
        <v>195</v>
      </c>
      <c r="C4010" t="s">
        <v>199</v>
      </c>
      <c r="D4010" t="s">
        <v>2587</v>
      </c>
      <c r="E4010">
        <v>80785968</v>
      </c>
      <c r="F4010" t="s">
        <v>2588</v>
      </c>
      <c r="G4010" s="3">
        <v>46699</v>
      </c>
      <c r="H4010">
        <v>18</v>
      </c>
      <c r="I4010">
        <v>94</v>
      </c>
      <c r="J4010">
        <v>72</v>
      </c>
      <c r="K4010" s="4">
        <v>31460.400000000001</v>
      </c>
      <c r="L4010" s="4">
        <v>5536.4285714285716</v>
      </c>
      <c r="M4010" s="4">
        <v>1.300477357760289E-2</v>
      </c>
      <c r="N4010" t="s">
        <v>25</v>
      </c>
      <c r="O4010" t="str">
        <f t="shared" si="620"/>
        <v>Low</v>
      </c>
      <c r="P4010" t="str">
        <f t="shared" si="621"/>
        <v>Low</v>
      </c>
      <c r="Q4010" t="str">
        <f t="shared" si="622"/>
        <v>Low</v>
      </c>
      <c r="R4010" t="s">
        <v>3317</v>
      </c>
      <c r="S4010" s="4">
        <f t="shared" ca="1" si="623"/>
        <v>502</v>
      </c>
      <c r="T4010">
        <f t="shared" si="624"/>
        <v>1</v>
      </c>
      <c r="U4010">
        <f t="shared" si="625"/>
        <v>1</v>
      </c>
      <c r="V4010">
        <f t="shared" si="626"/>
        <v>1</v>
      </c>
      <c r="W4010">
        <f t="shared" si="627"/>
        <v>1</v>
      </c>
      <c r="X4010">
        <f t="shared" si="628"/>
        <v>0.99999999999999989</v>
      </c>
      <c r="Y4010" t="str">
        <f t="shared" si="629"/>
        <v>Healthy</v>
      </c>
    </row>
    <row r="4011" spans="1:25" x14ac:dyDescent="0.35">
      <c r="A4011" t="s">
        <v>179</v>
      </c>
      <c r="B4011" t="s">
        <v>223</v>
      </c>
      <c r="C4011" t="s">
        <v>357</v>
      </c>
      <c r="D4011" t="s">
        <v>1606</v>
      </c>
      <c r="E4011">
        <v>80877410</v>
      </c>
      <c r="F4011" t="s">
        <v>2586</v>
      </c>
      <c r="G4011" s="3">
        <v>46705</v>
      </c>
      <c r="H4011">
        <v>18</v>
      </c>
      <c r="I4011">
        <v>95</v>
      </c>
      <c r="J4011">
        <v>228</v>
      </c>
      <c r="K4011" s="4">
        <v>60595.56</v>
      </c>
      <c r="L4011" s="4">
        <v>8584.8571428571431</v>
      </c>
      <c r="M4011" s="4">
        <v>2.6558391852764002E-2</v>
      </c>
      <c r="N4011" t="s">
        <v>25</v>
      </c>
      <c r="O4011" t="str">
        <f t="shared" si="620"/>
        <v>Low</v>
      </c>
      <c r="P4011" t="str">
        <f t="shared" si="621"/>
        <v>Low</v>
      </c>
      <c r="Q4011" t="str">
        <f t="shared" si="622"/>
        <v>Low</v>
      </c>
      <c r="R4011" t="s">
        <v>3317</v>
      </c>
      <c r="S4011" s="4">
        <f t="shared" ca="1" si="623"/>
        <v>508</v>
      </c>
      <c r="T4011">
        <f t="shared" si="624"/>
        <v>1</v>
      </c>
      <c r="U4011">
        <f t="shared" si="625"/>
        <v>1</v>
      </c>
      <c r="V4011">
        <f t="shared" si="626"/>
        <v>1</v>
      </c>
      <c r="W4011">
        <f t="shared" si="627"/>
        <v>1</v>
      </c>
      <c r="X4011">
        <f t="shared" si="628"/>
        <v>0.99999999999999989</v>
      </c>
      <c r="Y4011" t="str">
        <f t="shared" si="629"/>
        <v>Healthy</v>
      </c>
    </row>
    <row r="4012" spans="1:25" x14ac:dyDescent="0.35">
      <c r="A4012" t="s">
        <v>179</v>
      </c>
      <c r="B4012" t="s">
        <v>195</v>
      </c>
      <c r="C4012" t="s">
        <v>199</v>
      </c>
      <c r="D4012" t="s">
        <v>2587</v>
      </c>
      <c r="E4012">
        <v>80785968</v>
      </c>
      <c r="F4012" t="s">
        <v>2588</v>
      </c>
      <c r="G4012" s="3">
        <v>46724</v>
      </c>
      <c r="H4012">
        <v>18</v>
      </c>
      <c r="I4012">
        <v>99</v>
      </c>
      <c r="J4012">
        <v>30</v>
      </c>
      <c r="K4012" s="4">
        <v>13108.5</v>
      </c>
      <c r="L4012" s="4">
        <v>5536.4285714285716</v>
      </c>
      <c r="M4012" s="4">
        <v>5.4186556573345371E-3</v>
      </c>
      <c r="N4012" t="s">
        <v>25</v>
      </c>
      <c r="O4012" t="str">
        <f t="shared" si="620"/>
        <v>Low</v>
      </c>
      <c r="P4012" t="str">
        <f t="shared" si="621"/>
        <v>Low</v>
      </c>
      <c r="Q4012" t="str">
        <f t="shared" si="622"/>
        <v>Low</v>
      </c>
      <c r="R4012" t="s">
        <v>3317</v>
      </c>
      <c r="S4012" s="4">
        <f t="shared" ca="1" si="623"/>
        <v>527</v>
      </c>
      <c r="T4012">
        <f t="shared" si="624"/>
        <v>1</v>
      </c>
      <c r="U4012">
        <f t="shared" si="625"/>
        <v>1</v>
      </c>
      <c r="V4012">
        <f t="shared" si="626"/>
        <v>1</v>
      </c>
      <c r="W4012">
        <f t="shared" si="627"/>
        <v>1</v>
      </c>
      <c r="X4012">
        <f t="shared" si="628"/>
        <v>0.99999999999999989</v>
      </c>
      <c r="Y4012" t="str">
        <f t="shared" si="629"/>
        <v>Healthy</v>
      </c>
    </row>
    <row r="4013" spans="1:25" x14ac:dyDescent="0.35">
      <c r="A4013" t="s">
        <v>179</v>
      </c>
      <c r="B4013" t="s">
        <v>223</v>
      </c>
      <c r="C4013" t="s">
        <v>357</v>
      </c>
      <c r="D4013" t="s">
        <v>1606</v>
      </c>
      <c r="E4013">
        <v>80877410</v>
      </c>
      <c r="F4013" t="s">
        <v>2586</v>
      </c>
      <c r="G4013" s="3">
        <v>46697</v>
      </c>
      <c r="H4013">
        <v>18</v>
      </c>
      <c r="I4013">
        <v>94</v>
      </c>
      <c r="J4013">
        <v>1150</v>
      </c>
      <c r="K4013" s="4">
        <v>305635.5</v>
      </c>
      <c r="L4013" s="4">
        <v>8584.8571428571431</v>
      </c>
      <c r="M4013" s="4">
        <v>0.13395680101174826</v>
      </c>
      <c r="N4013" t="s">
        <v>25</v>
      </c>
      <c r="O4013" t="str">
        <f t="shared" si="620"/>
        <v>Low</v>
      </c>
      <c r="P4013" t="str">
        <f t="shared" si="621"/>
        <v>Low</v>
      </c>
      <c r="Q4013" t="str">
        <f t="shared" si="622"/>
        <v>Low</v>
      </c>
      <c r="R4013" t="s">
        <v>3309</v>
      </c>
      <c r="S4013" s="4">
        <f t="shared" ca="1" si="623"/>
        <v>500</v>
      </c>
      <c r="T4013">
        <f t="shared" si="624"/>
        <v>1</v>
      </c>
      <c r="U4013">
        <f t="shared" si="625"/>
        <v>1</v>
      </c>
      <c r="V4013">
        <f t="shared" si="626"/>
        <v>1</v>
      </c>
      <c r="W4013">
        <f t="shared" si="627"/>
        <v>3</v>
      </c>
      <c r="X4013">
        <f t="shared" si="628"/>
        <v>1.2</v>
      </c>
      <c r="Y4013" t="str">
        <f t="shared" si="629"/>
        <v>Healthy</v>
      </c>
    </row>
    <row r="4014" spans="1:25" x14ac:dyDescent="0.35">
      <c r="A4014" t="s">
        <v>179</v>
      </c>
      <c r="B4014" t="s">
        <v>223</v>
      </c>
      <c r="C4014" t="s">
        <v>357</v>
      </c>
      <c r="D4014" t="s">
        <v>1606</v>
      </c>
      <c r="E4014">
        <v>80877410</v>
      </c>
      <c r="F4014" t="s">
        <v>2586</v>
      </c>
      <c r="G4014" s="3">
        <v>46647</v>
      </c>
      <c r="H4014">
        <v>18</v>
      </c>
      <c r="I4014">
        <v>84</v>
      </c>
      <c r="J4014">
        <v>204</v>
      </c>
      <c r="K4014" s="4">
        <v>54217.08</v>
      </c>
      <c r="L4014" s="4">
        <v>8584.8571428571431</v>
      </c>
      <c r="M4014" s="4">
        <v>2.3762771657736211E-2</v>
      </c>
      <c r="N4014" t="s">
        <v>25</v>
      </c>
      <c r="O4014" t="str">
        <f t="shared" si="620"/>
        <v>Low</v>
      </c>
      <c r="P4014" t="str">
        <f t="shared" si="621"/>
        <v>Low</v>
      </c>
      <c r="Q4014" t="str">
        <f t="shared" si="622"/>
        <v>Low</v>
      </c>
      <c r="R4014" t="s">
        <v>3317</v>
      </c>
      <c r="S4014" s="4">
        <f t="shared" ca="1" si="623"/>
        <v>450</v>
      </c>
      <c r="T4014">
        <f t="shared" si="624"/>
        <v>1</v>
      </c>
      <c r="U4014">
        <f t="shared" si="625"/>
        <v>1</v>
      </c>
      <c r="V4014">
        <f t="shared" si="626"/>
        <v>1</v>
      </c>
      <c r="W4014">
        <f t="shared" si="627"/>
        <v>1</v>
      </c>
      <c r="X4014">
        <f t="shared" si="628"/>
        <v>0.99999999999999989</v>
      </c>
      <c r="Y4014" t="str">
        <f t="shared" si="629"/>
        <v>Healthy</v>
      </c>
    </row>
    <row r="4015" spans="1:25" x14ac:dyDescent="0.35">
      <c r="A4015" t="s">
        <v>179</v>
      </c>
      <c r="B4015" t="s">
        <v>195</v>
      </c>
      <c r="C4015" t="s">
        <v>199</v>
      </c>
      <c r="D4015" t="s">
        <v>2587</v>
      </c>
      <c r="E4015">
        <v>80785968</v>
      </c>
      <c r="F4015" t="s">
        <v>2588</v>
      </c>
      <c r="G4015" s="3">
        <v>46702</v>
      </c>
      <c r="H4015">
        <v>18</v>
      </c>
      <c r="I4015">
        <v>94</v>
      </c>
      <c r="J4015">
        <v>84</v>
      </c>
      <c r="K4015" s="4">
        <v>36703.800000000003</v>
      </c>
      <c r="L4015" s="4">
        <v>5536.4285714285716</v>
      </c>
      <c r="M4015" s="4">
        <v>1.5172235840536705E-2</v>
      </c>
      <c r="N4015" t="s">
        <v>25</v>
      </c>
      <c r="O4015" t="str">
        <f t="shared" si="620"/>
        <v>Low</v>
      </c>
      <c r="P4015" t="str">
        <f t="shared" si="621"/>
        <v>Low</v>
      </c>
      <c r="Q4015" t="str">
        <f t="shared" si="622"/>
        <v>Low</v>
      </c>
      <c r="R4015" t="s">
        <v>3317</v>
      </c>
      <c r="S4015" s="4">
        <f t="shared" ca="1" si="623"/>
        <v>505</v>
      </c>
      <c r="T4015">
        <f t="shared" si="624"/>
        <v>1</v>
      </c>
      <c r="U4015">
        <f t="shared" si="625"/>
        <v>1</v>
      </c>
      <c r="V4015">
        <f t="shared" si="626"/>
        <v>1</v>
      </c>
      <c r="W4015">
        <f t="shared" si="627"/>
        <v>1</v>
      </c>
      <c r="X4015">
        <f t="shared" si="628"/>
        <v>0.99999999999999989</v>
      </c>
      <c r="Y4015" t="str">
        <f t="shared" si="629"/>
        <v>Healthy</v>
      </c>
    </row>
    <row r="4016" spans="1:25" x14ac:dyDescent="0.35">
      <c r="A4016" t="s">
        <v>179</v>
      </c>
      <c r="B4016" t="s">
        <v>195</v>
      </c>
      <c r="C4016" t="s">
        <v>199</v>
      </c>
      <c r="D4016" t="s">
        <v>2587</v>
      </c>
      <c r="E4016">
        <v>80785968</v>
      </c>
      <c r="F4016" t="s">
        <v>2588</v>
      </c>
      <c r="G4016" s="3">
        <v>46713</v>
      </c>
      <c r="H4016">
        <v>18</v>
      </c>
      <c r="I4016">
        <v>96</v>
      </c>
      <c r="J4016">
        <v>12</v>
      </c>
      <c r="K4016" s="4">
        <v>5243.4</v>
      </c>
      <c r="L4016" s="4">
        <v>5536.4285714285716</v>
      </c>
      <c r="M4016" s="4">
        <v>2.1674622629338151E-3</v>
      </c>
      <c r="N4016" t="s">
        <v>25</v>
      </c>
      <c r="O4016" t="str">
        <f t="shared" si="620"/>
        <v>Low</v>
      </c>
      <c r="P4016" t="str">
        <f t="shared" si="621"/>
        <v>Low</v>
      </c>
      <c r="Q4016" t="str">
        <f t="shared" si="622"/>
        <v>Low</v>
      </c>
      <c r="R4016" t="s">
        <v>3317</v>
      </c>
      <c r="S4016" s="4">
        <f t="shared" ca="1" si="623"/>
        <v>516</v>
      </c>
      <c r="T4016">
        <f t="shared" si="624"/>
        <v>1</v>
      </c>
      <c r="U4016">
        <f t="shared" si="625"/>
        <v>1</v>
      </c>
      <c r="V4016">
        <f t="shared" si="626"/>
        <v>1</v>
      </c>
      <c r="W4016">
        <f t="shared" si="627"/>
        <v>1</v>
      </c>
      <c r="X4016">
        <f t="shared" si="628"/>
        <v>0.99999999999999989</v>
      </c>
      <c r="Y4016" t="str">
        <f t="shared" si="629"/>
        <v>Healthy</v>
      </c>
    </row>
    <row r="4017" spans="1:25" x14ac:dyDescent="0.35">
      <c r="A4017" t="s">
        <v>179</v>
      </c>
      <c r="B4017" t="s">
        <v>195</v>
      </c>
      <c r="C4017" t="s">
        <v>199</v>
      </c>
      <c r="D4017" t="s">
        <v>2587</v>
      </c>
      <c r="E4017">
        <v>80785968</v>
      </c>
      <c r="F4017" t="s">
        <v>2588</v>
      </c>
      <c r="G4017" s="3">
        <v>46702</v>
      </c>
      <c r="H4017">
        <v>18</v>
      </c>
      <c r="I4017">
        <v>94</v>
      </c>
      <c r="J4017">
        <v>90</v>
      </c>
      <c r="K4017" s="4">
        <v>39325.5</v>
      </c>
      <c r="L4017" s="4">
        <v>5536.4285714285716</v>
      </c>
      <c r="M4017" s="4">
        <v>1.6255966972003613E-2</v>
      </c>
      <c r="N4017" t="s">
        <v>25</v>
      </c>
      <c r="O4017" t="str">
        <f t="shared" si="620"/>
        <v>Low</v>
      </c>
      <c r="P4017" t="str">
        <f t="shared" si="621"/>
        <v>Low</v>
      </c>
      <c r="Q4017" t="str">
        <f t="shared" si="622"/>
        <v>Low</v>
      </c>
      <c r="R4017" t="s">
        <v>3317</v>
      </c>
      <c r="S4017" s="4">
        <f t="shared" ca="1" si="623"/>
        <v>505</v>
      </c>
      <c r="T4017">
        <f t="shared" si="624"/>
        <v>1</v>
      </c>
      <c r="U4017">
        <f t="shared" si="625"/>
        <v>1</v>
      </c>
      <c r="V4017">
        <f t="shared" si="626"/>
        <v>1</v>
      </c>
      <c r="W4017">
        <f t="shared" si="627"/>
        <v>1</v>
      </c>
      <c r="X4017">
        <f t="shared" si="628"/>
        <v>0.99999999999999989</v>
      </c>
      <c r="Y4017" t="str">
        <f t="shared" si="629"/>
        <v>Healthy</v>
      </c>
    </row>
    <row r="4018" spans="1:25" x14ac:dyDescent="0.35">
      <c r="A4018" t="s">
        <v>179</v>
      </c>
      <c r="B4018" t="s">
        <v>223</v>
      </c>
      <c r="C4018" t="s">
        <v>357</v>
      </c>
      <c r="D4018" t="s">
        <v>1606</v>
      </c>
      <c r="E4018">
        <v>80877410</v>
      </c>
      <c r="F4018" t="s">
        <v>2586</v>
      </c>
      <c r="G4018" s="3">
        <v>46688</v>
      </c>
      <c r="H4018">
        <v>18</v>
      </c>
      <c r="I4018">
        <v>92</v>
      </c>
      <c r="J4018">
        <v>1764</v>
      </c>
      <c r="K4018" s="4">
        <v>468818.28</v>
      </c>
      <c r="L4018" s="4">
        <v>8584.8571428571431</v>
      </c>
      <c r="M4018" s="4">
        <v>0.20547808433454254</v>
      </c>
      <c r="N4018" t="s">
        <v>25</v>
      </c>
      <c r="O4018" t="str">
        <f t="shared" si="620"/>
        <v>Low</v>
      </c>
      <c r="P4018" t="str">
        <f t="shared" si="621"/>
        <v>Low</v>
      </c>
      <c r="Q4018" t="str">
        <f t="shared" si="622"/>
        <v>Low</v>
      </c>
      <c r="R4018" t="s">
        <v>3309</v>
      </c>
      <c r="S4018" s="4">
        <f t="shared" ca="1" si="623"/>
        <v>491</v>
      </c>
      <c r="T4018">
        <f t="shared" si="624"/>
        <v>1</v>
      </c>
      <c r="U4018">
        <f t="shared" si="625"/>
        <v>1</v>
      </c>
      <c r="V4018">
        <f t="shared" si="626"/>
        <v>1</v>
      </c>
      <c r="W4018">
        <f t="shared" si="627"/>
        <v>3</v>
      </c>
      <c r="X4018">
        <f t="shared" si="628"/>
        <v>1.2</v>
      </c>
      <c r="Y4018" t="str">
        <f t="shared" si="629"/>
        <v>Healthy</v>
      </c>
    </row>
    <row r="4019" spans="1:25" x14ac:dyDescent="0.35">
      <c r="A4019" t="s">
        <v>179</v>
      </c>
      <c r="B4019" t="s">
        <v>195</v>
      </c>
      <c r="C4019" t="s">
        <v>199</v>
      </c>
      <c r="D4019" t="s">
        <v>2587</v>
      </c>
      <c r="E4019">
        <v>80785968</v>
      </c>
      <c r="F4019" t="s">
        <v>2588</v>
      </c>
      <c r="G4019" s="3">
        <v>46723</v>
      </c>
      <c r="H4019">
        <v>18</v>
      </c>
      <c r="I4019">
        <v>98</v>
      </c>
      <c r="J4019">
        <v>636</v>
      </c>
      <c r="K4019" s="4">
        <v>277900.2</v>
      </c>
      <c r="L4019" s="4">
        <v>5536.4285714285716</v>
      </c>
      <c r="M4019" s="4">
        <v>0.11487549993549219</v>
      </c>
      <c r="N4019" t="s">
        <v>25</v>
      </c>
      <c r="O4019" t="str">
        <f t="shared" si="620"/>
        <v>Low</v>
      </c>
      <c r="P4019" t="str">
        <f t="shared" si="621"/>
        <v>Low</v>
      </c>
      <c r="Q4019" t="str">
        <f t="shared" si="622"/>
        <v>Low</v>
      </c>
      <c r="R4019" t="s">
        <v>3309</v>
      </c>
      <c r="S4019" s="4">
        <f t="shared" ca="1" si="623"/>
        <v>526</v>
      </c>
      <c r="T4019">
        <f t="shared" si="624"/>
        <v>1</v>
      </c>
      <c r="U4019">
        <f t="shared" si="625"/>
        <v>1</v>
      </c>
      <c r="V4019">
        <f t="shared" si="626"/>
        <v>1</v>
      </c>
      <c r="W4019">
        <f t="shared" si="627"/>
        <v>3</v>
      </c>
      <c r="X4019">
        <f t="shared" si="628"/>
        <v>1.2</v>
      </c>
      <c r="Y4019" t="str">
        <f t="shared" si="629"/>
        <v>Healthy</v>
      </c>
    </row>
    <row r="4020" spans="1:25" x14ac:dyDescent="0.35">
      <c r="A4020" t="s">
        <v>179</v>
      </c>
      <c r="B4020" t="s">
        <v>223</v>
      </c>
      <c r="C4020" t="s">
        <v>357</v>
      </c>
      <c r="D4020" t="s">
        <v>1606</v>
      </c>
      <c r="E4020">
        <v>80877410</v>
      </c>
      <c r="F4020" t="s">
        <v>2586</v>
      </c>
      <c r="G4020" s="3">
        <v>46666</v>
      </c>
      <c r="H4020">
        <v>18</v>
      </c>
      <c r="I4020">
        <v>88</v>
      </c>
      <c r="J4020">
        <v>396</v>
      </c>
      <c r="K4020" s="4">
        <v>105244.92</v>
      </c>
      <c r="L4020" s="4">
        <v>8584.8571428571431</v>
      </c>
      <c r="M4020" s="4">
        <v>4.612773321795853E-2</v>
      </c>
      <c r="N4020" t="s">
        <v>25</v>
      </c>
      <c r="O4020" t="str">
        <f t="shared" si="620"/>
        <v>Low</v>
      </c>
      <c r="P4020" t="str">
        <f t="shared" si="621"/>
        <v>Low</v>
      </c>
      <c r="Q4020" t="str">
        <f t="shared" si="622"/>
        <v>Low</v>
      </c>
      <c r="R4020" t="s">
        <v>3310</v>
      </c>
      <c r="S4020" s="4">
        <f t="shared" ca="1" si="623"/>
        <v>469</v>
      </c>
      <c r="T4020">
        <f t="shared" si="624"/>
        <v>1</v>
      </c>
      <c r="U4020">
        <f t="shared" si="625"/>
        <v>1</v>
      </c>
      <c r="V4020">
        <f t="shared" si="626"/>
        <v>1</v>
      </c>
      <c r="W4020">
        <f t="shared" si="627"/>
        <v>2</v>
      </c>
      <c r="X4020">
        <f t="shared" si="628"/>
        <v>1.0999999999999999</v>
      </c>
      <c r="Y4020" t="str">
        <f t="shared" si="629"/>
        <v>Healthy</v>
      </c>
    </row>
    <row r="4021" spans="1:25" x14ac:dyDescent="0.35">
      <c r="A4021" t="s">
        <v>179</v>
      </c>
      <c r="B4021" t="s">
        <v>195</v>
      </c>
      <c r="C4021" t="s">
        <v>199</v>
      </c>
      <c r="D4021" t="s">
        <v>2587</v>
      </c>
      <c r="E4021">
        <v>80785968</v>
      </c>
      <c r="F4021" t="s">
        <v>2588</v>
      </c>
      <c r="G4021" s="3">
        <v>46723</v>
      </c>
      <c r="H4021">
        <v>18</v>
      </c>
      <c r="I4021">
        <v>98</v>
      </c>
      <c r="J4021">
        <v>84</v>
      </c>
      <c r="K4021" s="4">
        <v>36703.800000000003</v>
      </c>
      <c r="L4021" s="4">
        <v>5536.4285714285716</v>
      </c>
      <c r="M4021" s="4">
        <v>1.5172235840536705E-2</v>
      </c>
      <c r="N4021" t="s">
        <v>25</v>
      </c>
      <c r="O4021" t="str">
        <f t="shared" si="620"/>
        <v>Low</v>
      </c>
      <c r="P4021" t="str">
        <f t="shared" si="621"/>
        <v>Low</v>
      </c>
      <c r="Q4021" t="str">
        <f t="shared" si="622"/>
        <v>Low</v>
      </c>
      <c r="R4021" t="s">
        <v>3317</v>
      </c>
      <c r="S4021" s="4">
        <f t="shared" ca="1" si="623"/>
        <v>526</v>
      </c>
      <c r="T4021">
        <f t="shared" si="624"/>
        <v>1</v>
      </c>
      <c r="U4021">
        <f t="shared" si="625"/>
        <v>1</v>
      </c>
      <c r="V4021">
        <f t="shared" si="626"/>
        <v>1</v>
      </c>
      <c r="W4021">
        <f t="shared" si="627"/>
        <v>1</v>
      </c>
      <c r="X4021">
        <f t="shared" si="628"/>
        <v>0.99999999999999989</v>
      </c>
      <c r="Y4021" t="str">
        <f t="shared" si="629"/>
        <v>Healthy</v>
      </c>
    </row>
    <row r="4022" spans="1:25" x14ac:dyDescent="0.35">
      <c r="A4022" t="s">
        <v>179</v>
      </c>
      <c r="B4022" t="s">
        <v>223</v>
      </c>
      <c r="C4022" t="s">
        <v>357</v>
      </c>
      <c r="D4022" t="s">
        <v>1371</v>
      </c>
      <c r="E4022">
        <v>80878655</v>
      </c>
      <c r="F4022" t="s">
        <v>2589</v>
      </c>
      <c r="G4022" s="3">
        <v>46649</v>
      </c>
      <c r="H4022">
        <v>18</v>
      </c>
      <c r="I4022">
        <v>85</v>
      </c>
      <c r="J4022">
        <v>7</v>
      </c>
      <c r="K4022" s="4">
        <v>4349.17</v>
      </c>
      <c r="L4022" s="4">
        <v>106.42857142857143</v>
      </c>
      <c r="M4022" s="4">
        <v>6.5771812080536909E-2</v>
      </c>
      <c r="N4022" t="s">
        <v>25</v>
      </c>
      <c r="O4022" t="str">
        <f t="shared" si="620"/>
        <v>Low</v>
      </c>
      <c r="P4022" t="str">
        <f t="shared" si="621"/>
        <v>Low</v>
      </c>
      <c r="Q4022" t="str">
        <f t="shared" si="622"/>
        <v>Low</v>
      </c>
      <c r="R4022" t="s">
        <v>3317</v>
      </c>
      <c r="S4022" s="4">
        <f t="shared" ca="1" si="623"/>
        <v>452</v>
      </c>
      <c r="T4022">
        <f t="shared" si="624"/>
        <v>1</v>
      </c>
      <c r="U4022">
        <f t="shared" si="625"/>
        <v>1</v>
      </c>
      <c r="V4022">
        <f t="shared" si="626"/>
        <v>1</v>
      </c>
      <c r="W4022">
        <f t="shared" si="627"/>
        <v>1</v>
      </c>
      <c r="X4022">
        <f t="shared" si="628"/>
        <v>0.99999999999999989</v>
      </c>
      <c r="Y4022" t="str">
        <f t="shared" si="629"/>
        <v>Healthy</v>
      </c>
    </row>
    <row r="4023" spans="1:25" x14ac:dyDescent="0.35">
      <c r="A4023" t="s">
        <v>179</v>
      </c>
      <c r="B4023" t="s">
        <v>223</v>
      </c>
      <c r="C4023" t="s">
        <v>357</v>
      </c>
      <c r="D4023" t="s">
        <v>1371</v>
      </c>
      <c r="E4023">
        <v>80878655</v>
      </c>
      <c r="F4023" t="s">
        <v>2589</v>
      </c>
      <c r="G4023" s="3">
        <v>46665</v>
      </c>
      <c r="H4023">
        <v>18</v>
      </c>
      <c r="I4023">
        <v>88</v>
      </c>
      <c r="J4023">
        <v>7</v>
      </c>
      <c r="K4023" s="4">
        <v>4349.17</v>
      </c>
      <c r="L4023" s="4">
        <v>106.42857142857143</v>
      </c>
      <c r="M4023" s="4">
        <v>6.5771812080536909E-2</v>
      </c>
      <c r="N4023" t="s">
        <v>25</v>
      </c>
      <c r="O4023" t="str">
        <f t="shared" si="620"/>
        <v>Low</v>
      </c>
      <c r="P4023" t="str">
        <f t="shared" si="621"/>
        <v>Low</v>
      </c>
      <c r="Q4023" t="str">
        <f t="shared" si="622"/>
        <v>Low</v>
      </c>
      <c r="R4023" t="s">
        <v>3317</v>
      </c>
      <c r="S4023" s="4">
        <f t="shared" ca="1" si="623"/>
        <v>468</v>
      </c>
      <c r="T4023">
        <f t="shared" si="624"/>
        <v>1</v>
      </c>
      <c r="U4023">
        <f t="shared" si="625"/>
        <v>1</v>
      </c>
      <c r="V4023">
        <f t="shared" si="626"/>
        <v>1</v>
      </c>
      <c r="W4023">
        <f t="shared" si="627"/>
        <v>1</v>
      </c>
      <c r="X4023">
        <f t="shared" si="628"/>
        <v>0.99999999999999989</v>
      </c>
      <c r="Y4023" t="str">
        <f t="shared" si="629"/>
        <v>Healthy</v>
      </c>
    </row>
    <row r="4024" spans="1:25" x14ac:dyDescent="0.35">
      <c r="A4024" t="s">
        <v>179</v>
      </c>
      <c r="B4024" t="s">
        <v>223</v>
      </c>
      <c r="C4024" t="s">
        <v>357</v>
      </c>
      <c r="D4024" t="s">
        <v>1371</v>
      </c>
      <c r="E4024">
        <v>80878655</v>
      </c>
      <c r="F4024" t="s">
        <v>2589</v>
      </c>
      <c r="G4024" s="3">
        <v>46605</v>
      </c>
      <c r="H4024">
        <v>18</v>
      </c>
      <c r="I4024">
        <v>76</v>
      </c>
      <c r="J4024">
        <v>5</v>
      </c>
      <c r="K4024" s="4">
        <v>3106.55</v>
      </c>
      <c r="L4024" s="4">
        <v>106.42857142857143</v>
      </c>
      <c r="M4024" s="4">
        <v>4.6979865771812082E-2</v>
      </c>
      <c r="N4024" t="s">
        <v>25</v>
      </c>
      <c r="O4024" t="str">
        <f t="shared" si="620"/>
        <v>Low</v>
      </c>
      <c r="P4024" t="str">
        <f t="shared" si="621"/>
        <v>Low</v>
      </c>
      <c r="Q4024" t="str">
        <f t="shared" si="622"/>
        <v>Low</v>
      </c>
      <c r="R4024" t="s">
        <v>3317</v>
      </c>
      <c r="S4024" s="4">
        <f t="shared" ca="1" si="623"/>
        <v>408</v>
      </c>
      <c r="T4024">
        <f t="shared" si="624"/>
        <v>1</v>
      </c>
      <c r="U4024">
        <f t="shared" si="625"/>
        <v>1</v>
      </c>
      <c r="V4024">
        <f t="shared" si="626"/>
        <v>1</v>
      </c>
      <c r="W4024">
        <f t="shared" si="627"/>
        <v>1</v>
      </c>
      <c r="X4024">
        <f t="shared" si="628"/>
        <v>0.99999999999999989</v>
      </c>
      <c r="Y4024" t="str">
        <f t="shared" si="629"/>
        <v>Healthy</v>
      </c>
    </row>
    <row r="4025" spans="1:25" x14ac:dyDescent="0.35">
      <c r="A4025" t="s">
        <v>179</v>
      </c>
      <c r="B4025" t="s">
        <v>195</v>
      </c>
      <c r="C4025" t="s">
        <v>199</v>
      </c>
      <c r="D4025" t="s">
        <v>2587</v>
      </c>
      <c r="E4025">
        <v>80785968</v>
      </c>
      <c r="F4025" t="s">
        <v>2588</v>
      </c>
      <c r="G4025" s="3">
        <v>46702</v>
      </c>
      <c r="H4025">
        <v>18</v>
      </c>
      <c r="I4025">
        <v>94</v>
      </c>
      <c r="J4025">
        <v>84</v>
      </c>
      <c r="K4025" s="4">
        <v>36703.800000000003</v>
      </c>
      <c r="L4025" s="4">
        <v>5536.4285714285716</v>
      </c>
      <c r="M4025" s="4">
        <v>1.5172235840536705E-2</v>
      </c>
      <c r="N4025" t="s">
        <v>25</v>
      </c>
      <c r="O4025" t="str">
        <f t="shared" si="620"/>
        <v>Low</v>
      </c>
      <c r="P4025" t="str">
        <f t="shared" si="621"/>
        <v>Low</v>
      </c>
      <c r="Q4025" t="str">
        <f t="shared" si="622"/>
        <v>Low</v>
      </c>
      <c r="R4025" t="s">
        <v>3317</v>
      </c>
      <c r="S4025" s="4">
        <f t="shared" ca="1" si="623"/>
        <v>505</v>
      </c>
      <c r="T4025">
        <f t="shared" si="624"/>
        <v>1</v>
      </c>
      <c r="U4025">
        <f t="shared" si="625"/>
        <v>1</v>
      </c>
      <c r="V4025">
        <f t="shared" si="626"/>
        <v>1</v>
      </c>
      <c r="W4025">
        <f t="shared" si="627"/>
        <v>1</v>
      </c>
      <c r="X4025">
        <f t="shared" si="628"/>
        <v>0.99999999999999989</v>
      </c>
      <c r="Y4025" t="str">
        <f t="shared" si="629"/>
        <v>Healthy</v>
      </c>
    </row>
    <row r="4026" spans="1:25" x14ac:dyDescent="0.35">
      <c r="A4026" t="s">
        <v>179</v>
      </c>
      <c r="B4026" t="s">
        <v>223</v>
      </c>
      <c r="C4026" t="s">
        <v>357</v>
      </c>
      <c r="D4026" t="s">
        <v>1371</v>
      </c>
      <c r="E4026">
        <v>80878655</v>
      </c>
      <c r="F4026" t="s">
        <v>2589</v>
      </c>
      <c r="G4026" s="3">
        <v>46699</v>
      </c>
      <c r="H4026">
        <v>18</v>
      </c>
      <c r="I4026">
        <v>94</v>
      </c>
      <c r="J4026">
        <v>5</v>
      </c>
      <c r="K4026" s="4">
        <v>3106.55</v>
      </c>
      <c r="L4026" s="4">
        <v>106.42857142857143</v>
      </c>
      <c r="M4026" s="4">
        <v>4.6979865771812082E-2</v>
      </c>
      <c r="N4026" t="s">
        <v>25</v>
      </c>
      <c r="O4026" t="str">
        <f t="shared" si="620"/>
        <v>Low</v>
      </c>
      <c r="P4026" t="str">
        <f t="shared" si="621"/>
        <v>Low</v>
      </c>
      <c r="Q4026" t="str">
        <f t="shared" si="622"/>
        <v>Low</v>
      </c>
      <c r="R4026" t="s">
        <v>3317</v>
      </c>
      <c r="S4026" s="4">
        <f t="shared" ca="1" si="623"/>
        <v>502</v>
      </c>
      <c r="T4026">
        <f t="shared" si="624"/>
        <v>1</v>
      </c>
      <c r="U4026">
        <f t="shared" si="625"/>
        <v>1</v>
      </c>
      <c r="V4026">
        <f t="shared" si="626"/>
        <v>1</v>
      </c>
      <c r="W4026">
        <f t="shared" si="627"/>
        <v>1</v>
      </c>
      <c r="X4026">
        <f t="shared" si="628"/>
        <v>0.99999999999999989</v>
      </c>
      <c r="Y4026" t="str">
        <f t="shared" si="629"/>
        <v>Healthy</v>
      </c>
    </row>
    <row r="4027" spans="1:25" x14ac:dyDescent="0.35">
      <c r="A4027" t="s">
        <v>179</v>
      </c>
      <c r="B4027" t="s">
        <v>223</v>
      </c>
      <c r="C4027" t="s">
        <v>357</v>
      </c>
      <c r="D4027" t="s">
        <v>1371</v>
      </c>
      <c r="E4027">
        <v>80878655</v>
      </c>
      <c r="F4027" t="s">
        <v>2589</v>
      </c>
      <c r="G4027" s="3">
        <v>46604</v>
      </c>
      <c r="H4027">
        <v>18</v>
      </c>
      <c r="I4027">
        <v>76</v>
      </c>
      <c r="J4027">
        <v>6</v>
      </c>
      <c r="K4027" s="4">
        <v>3727.86</v>
      </c>
      <c r="L4027" s="4">
        <v>106.42857142857143</v>
      </c>
      <c r="M4027" s="4">
        <v>5.6375838926174496E-2</v>
      </c>
      <c r="N4027" t="s">
        <v>25</v>
      </c>
      <c r="O4027" t="str">
        <f t="shared" si="620"/>
        <v>Low</v>
      </c>
      <c r="P4027" t="str">
        <f t="shared" si="621"/>
        <v>Low</v>
      </c>
      <c r="Q4027" t="str">
        <f t="shared" si="622"/>
        <v>Low</v>
      </c>
      <c r="R4027" t="s">
        <v>3317</v>
      </c>
      <c r="S4027" s="4">
        <f t="shared" ca="1" si="623"/>
        <v>407</v>
      </c>
      <c r="T4027">
        <f t="shared" si="624"/>
        <v>1</v>
      </c>
      <c r="U4027">
        <f t="shared" si="625"/>
        <v>1</v>
      </c>
      <c r="V4027">
        <f t="shared" si="626"/>
        <v>1</v>
      </c>
      <c r="W4027">
        <f t="shared" si="627"/>
        <v>1</v>
      </c>
      <c r="X4027">
        <f t="shared" si="628"/>
        <v>0.99999999999999989</v>
      </c>
      <c r="Y4027" t="str">
        <f t="shared" si="629"/>
        <v>Healthy</v>
      </c>
    </row>
    <row r="4028" spans="1:25" x14ac:dyDescent="0.35">
      <c r="A4028" t="s">
        <v>179</v>
      </c>
      <c r="B4028" t="s">
        <v>223</v>
      </c>
      <c r="C4028" t="s">
        <v>357</v>
      </c>
      <c r="D4028" t="s">
        <v>2134</v>
      </c>
      <c r="E4028">
        <v>80877415</v>
      </c>
      <c r="F4028" t="s">
        <v>2590</v>
      </c>
      <c r="G4028" s="3">
        <v>46702</v>
      </c>
      <c r="H4028">
        <v>18</v>
      </c>
      <c r="I4028">
        <v>94</v>
      </c>
      <c r="J4028">
        <v>10</v>
      </c>
      <c r="K4028" s="4">
        <v>28229.4</v>
      </c>
      <c r="L4028" s="4">
        <v>3834</v>
      </c>
      <c r="M4028" s="4">
        <v>2.6082420448617634E-3</v>
      </c>
      <c r="N4028" t="s">
        <v>25</v>
      </c>
      <c r="O4028" t="str">
        <f t="shared" si="620"/>
        <v>Low</v>
      </c>
      <c r="P4028" t="str">
        <f t="shared" si="621"/>
        <v>Low</v>
      </c>
      <c r="Q4028" t="str">
        <f t="shared" si="622"/>
        <v>Low</v>
      </c>
      <c r="R4028" t="s">
        <v>3317</v>
      </c>
      <c r="S4028" s="4">
        <f t="shared" ca="1" si="623"/>
        <v>505</v>
      </c>
      <c r="T4028">
        <f t="shared" si="624"/>
        <v>1</v>
      </c>
      <c r="U4028">
        <f t="shared" si="625"/>
        <v>1</v>
      </c>
      <c r="V4028">
        <f t="shared" si="626"/>
        <v>1</v>
      </c>
      <c r="W4028">
        <f t="shared" si="627"/>
        <v>1</v>
      </c>
      <c r="X4028">
        <f t="shared" si="628"/>
        <v>0.99999999999999989</v>
      </c>
      <c r="Y4028" t="str">
        <f t="shared" si="629"/>
        <v>Healthy</v>
      </c>
    </row>
    <row r="4029" spans="1:25" x14ac:dyDescent="0.35">
      <c r="A4029" t="s">
        <v>179</v>
      </c>
      <c r="B4029" t="s">
        <v>223</v>
      </c>
      <c r="C4029" t="s">
        <v>357</v>
      </c>
      <c r="D4029" t="s">
        <v>2134</v>
      </c>
      <c r="E4029">
        <v>80877415</v>
      </c>
      <c r="F4029" t="s">
        <v>2590</v>
      </c>
      <c r="G4029" s="3">
        <v>46733</v>
      </c>
      <c r="H4029">
        <v>18</v>
      </c>
      <c r="I4029">
        <v>100</v>
      </c>
      <c r="J4029">
        <v>157</v>
      </c>
      <c r="K4029" s="4">
        <v>443201.58</v>
      </c>
      <c r="L4029" s="4">
        <v>3834</v>
      </c>
      <c r="M4029" s="4">
        <v>4.0949400104329681E-2</v>
      </c>
      <c r="N4029" t="s">
        <v>25</v>
      </c>
      <c r="O4029" t="str">
        <f t="shared" si="620"/>
        <v>Low</v>
      </c>
      <c r="P4029" t="str">
        <f t="shared" si="621"/>
        <v>Low</v>
      </c>
      <c r="Q4029" t="str">
        <f t="shared" si="622"/>
        <v>Low</v>
      </c>
      <c r="R4029" t="s">
        <v>3309</v>
      </c>
      <c r="S4029" s="4">
        <f t="shared" ca="1" si="623"/>
        <v>536</v>
      </c>
      <c r="T4029">
        <f t="shared" si="624"/>
        <v>1</v>
      </c>
      <c r="U4029">
        <f t="shared" si="625"/>
        <v>1</v>
      </c>
      <c r="V4029">
        <f t="shared" si="626"/>
        <v>1</v>
      </c>
      <c r="W4029">
        <f t="shared" si="627"/>
        <v>3</v>
      </c>
      <c r="X4029">
        <f t="shared" si="628"/>
        <v>1.2</v>
      </c>
      <c r="Y4029" t="str">
        <f t="shared" si="629"/>
        <v>Healthy</v>
      </c>
    </row>
    <row r="4030" spans="1:25" x14ac:dyDescent="0.35">
      <c r="A4030" t="s">
        <v>179</v>
      </c>
      <c r="B4030" t="s">
        <v>195</v>
      </c>
      <c r="C4030" t="s">
        <v>199</v>
      </c>
      <c r="D4030" t="s">
        <v>2587</v>
      </c>
      <c r="E4030">
        <v>80785968</v>
      </c>
      <c r="F4030" t="s">
        <v>2588</v>
      </c>
      <c r="G4030" s="3">
        <v>46726</v>
      </c>
      <c r="H4030">
        <v>18</v>
      </c>
      <c r="I4030">
        <v>99</v>
      </c>
      <c r="J4030">
        <v>96</v>
      </c>
      <c r="K4030" s="4">
        <v>41947.199999999997</v>
      </c>
      <c r="L4030" s="4">
        <v>5536.4285714285716</v>
      </c>
      <c r="M4030" s="4">
        <v>1.7339698103470521E-2</v>
      </c>
      <c r="N4030" t="s">
        <v>25</v>
      </c>
      <c r="O4030" t="str">
        <f t="shared" si="620"/>
        <v>Low</v>
      </c>
      <c r="P4030" t="str">
        <f t="shared" si="621"/>
        <v>Low</v>
      </c>
      <c r="Q4030" t="str">
        <f t="shared" si="622"/>
        <v>Low</v>
      </c>
      <c r="R4030" t="s">
        <v>3317</v>
      </c>
      <c r="S4030" s="4">
        <f t="shared" ca="1" si="623"/>
        <v>529</v>
      </c>
      <c r="T4030">
        <f t="shared" si="624"/>
        <v>1</v>
      </c>
      <c r="U4030">
        <f t="shared" si="625"/>
        <v>1</v>
      </c>
      <c r="V4030">
        <f t="shared" si="626"/>
        <v>1</v>
      </c>
      <c r="W4030">
        <f t="shared" si="627"/>
        <v>1</v>
      </c>
      <c r="X4030">
        <f t="shared" si="628"/>
        <v>0.99999999999999989</v>
      </c>
      <c r="Y4030" t="str">
        <f t="shared" si="629"/>
        <v>Healthy</v>
      </c>
    </row>
    <row r="4031" spans="1:25" x14ac:dyDescent="0.35">
      <c r="A4031" t="s">
        <v>179</v>
      </c>
      <c r="B4031" t="s">
        <v>223</v>
      </c>
      <c r="C4031" t="s">
        <v>357</v>
      </c>
      <c r="D4031" t="s">
        <v>2134</v>
      </c>
      <c r="E4031">
        <v>80877415</v>
      </c>
      <c r="F4031" t="s">
        <v>2590</v>
      </c>
      <c r="G4031" s="3">
        <v>46720</v>
      </c>
      <c r="H4031">
        <v>18</v>
      </c>
      <c r="I4031">
        <v>98</v>
      </c>
      <c r="J4031">
        <v>69</v>
      </c>
      <c r="K4031" s="4">
        <v>194782.86</v>
      </c>
      <c r="L4031" s="4">
        <v>3834</v>
      </c>
      <c r="M4031" s="4">
        <v>1.7996870109546165E-2</v>
      </c>
      <c r="N4031" t="s">
        <v>25</v>
      </c>
      <c r="O4031" t="str">
        <f t="shared" si="620"/>
        <v>Low</v>
      </c>
      <c r="P4031" t="str">
        <f t="shared" si="621"/>
        <v>Low</v>
      </c>
      <c r="Q4031" t="str">
        <f t="shared" si="622"/>
        <v>Low</v>
      </c>
      <c r="R4031" t="s">
        <v>3309</v>
      </c>
      <c r="S4031" s="4">
        <f t="shared" ca="1" si="623"/>
        <v>523</v>
      </c>
      <c r="T4031">
        <f t="shared" si="624"/>
        <v>1</v>
      </c>
      <c r="U4031">
        <f t="shared" si="625"/>
        <v>1</v>
      </c>
      <c r="V4031">
        <f t="shared" si="626"/>
        <v>1</v>
      </c>
      <c r="W4031">
        <f t="shared" si="627"/>
        <v>3</v>
      </c>
      <c r="X4031">
        <f t="shared" si="628"/>
        <v>1.2</v>
      </c>
      <c r="Y4031" t="str">
        <f t="shared" si="629"/>
        <v>Healthy</v>
      </c>
    </row>
    <row r="4032" spans="1:25" x14ac:dyDescent="0.35">
      <c r="A4032" t="s">
        <v>179</v>
      </c>
      <c r="B4032" t="s">
        <v>195</v>
      </c>
      <c r="C4032" t="s">
        <v>199</v>
      </c>
      <c r="D4032" t="s">
        <v>2587</v>
      </c>
      <c r="E4032">
        <v>80785968</v>
      </c>
      <c r="F4032" t="s">
        <v>2588</v>
      </c>
      <c r="G4032" s="3">
        <v>46713</v>
      </c>
      <c r="H4032">
        <v>18</v>
      </c>
      <c r="I4032">
        <v>96</v>
      </c>
      <c r="J4032">
        <v>60</v>
      </c>
      <c r="K4032" s="4">
        <v>26217</v>
      </c>
      <c r="L4032" s="4">
        <v>5536.4285714285716</v>
      </c>
      <c r="M4032" s="4">
        <v>1.0837311314669074E-2</v>
      </c>
      <c r="N4032" t="s">
        <v>25</v>
      </c>
      <c r="O4032" t="str">
        <f t="shared" si="620"/>
        <v>Low</v>
      </c>
      <c r="P4032" t="str">
        <f t="shared" si="621"/>
        <v>Low</v>
      </c>
      <c r="Q4032" t="str">
        <f t="shared" si="622"/>
        <v>Low</v>
      </c>
      <c r="R4032" t="s">
        <v>3317</v>
      </c>
      <c r="S4032" s="4">
        <f t="shared" ca="1" si="623"/>
        <v>516</v>
      </c>
      <c r="T4032">
        <f t="shared" si="624"/>
        <v>1</v>
      </c>
      <c r="U4032">
        <f t="shared" si="625"/>
        <v>1</v>
      </c>
      <c r="V4032">
        <f t="shared" si="626"/>
        <v>1</v>
      </c>
      <c r="W4032">
        <f t="shared" si="627"/>
        <v>1</v>
      </c>
      <c r="X4032">
        <f t="shared" si="628"/>
        <v>0.99999999999999989</v>
      </c>
      <c r="Y4032" t="str">
        <f t="shared" si="629"/>
        <v>Healthy</v>
      </c>
    </row>
    <row r="4033" spans="1:25" x14ac:dyDescent="0.35">
      <c r="A4033" t="s">
        <v>179</v>
      </c>
      <c r="B4033" t="s">
        <v>223</v>
      </c>
      <c r="C4033" t="s">
        <v>357</v>
      </c>
      <c r="D4033" t="s">
        <v>2134</v>
      </c>
      <c r="E4033">
        <v>80877415</v>
      </c>
      <c r="F4033" t="s">
        <v>2590</v>
      </c>
      <c r="G4033" s="3">
        <v>46718</v>
      </c>
      <c r="H4033">
        <v>18</v>
      </c>
      <c r="I4033">
        <v>97</v>
      </c>
      <c r="J4033">
        <v>88</v>
      </c>
      <c r="K4033" s="4">
        <v>248418.72</v>
      </c>
      <c r="L4033" s="4">
        <v>3834</v>
      </c>
      <c r="M4033" s="4">
        <v>2.2952529994783515E-2</v>
      </c>
      <c r="N4033" t="s">
        <v>25</v>
      </c>
      <c r="O4033" t="str">
        <f t="shared" si="620"/>
        <v>Low</v>
      </c>
      <c r="P4033" t="str">
        <f t="shared" si="621"/>
        <v>Low</v>
      </c>
      <c r="Q4033" t="str">
        <f t="shared" si="622"/>
        <v>Low</v>
      </c>
      <c r="R4033" t="s">
        <v>3309</v>
      </c>
      <c r="S4033" s="4">
        <f t="shared" ca="1" si="623"/>
        <v>521</v>
      </c>
      <c r="T4033">
        <f t="shared" si="624"/>
        <v>1</v>
      </c>
      <c r="U4033">
        <f t="shared" si="625"/>
        <v>1</v>
      </c>
      <c r="V4033">
        <f t="shared" si="626"/>
        <v>1</v>
      </c>
      <c r="W4033">
        <f t="shared" si="627"/>
        <v>3</v>
      </c>
      <c r="X4033">
        <f t="shared" si="628"/>
        <v>1.2</v>
      </c>
      <c r="Y4033" t="str">
        <f t="shared" si="629"/>
        <v>Healthy</v>
      </c>
    </row>
    <row r="4034" spans="1:25" x14ac:dyDescent="0.35">
      <c r="A4034" t="s">
        <v>179</v>
      </c>
      <c r="B4034" t="s">
        <v>195</v>
      </c>
      <c r="C4034" t="s">
        <v>199</v>
      </c>
      <c r="D4034" t="s">
        <v>2587</v>
      </c>
      <c r="E4034">
        <v>80785968</v>
      </c>
      <c r="F4034" t="s">
        <v>2588</v>
      </c>
      <c r="G4034" s="3">
        <v>46722</v>
      </c>
      <c r="H4034">
        <v>18</v>
      </c>
      <c r="I4034">
        <v>98</v>
      </c>
      <c r="J4034">
        <v>96</v>
      </c>
      <c r="K4034" s="4">
        <v>41947.199999999997</v>
      </c>
      <c r="L4034" s="4">
        <v>5536.4285714285716</v>
      </c>
      <c r="M4034" s="4">
        <v>1.7339698103470521E-2</v>
      </c>
      <c r="N4034" t="s">
        <v>25</v>
      </c>
      <c r="O4034" t="str">
        <f t="shared" si="620"/>
        <v>Low</v>
      </c>
      <c r="P4034" t="str">
        <f t="shared" si="621"/>
        <v>Low</v>
      </c>
      <c r="Q4034" t="str">
        <f t="shared" si="622"/>
        <v>Low</v>
      </c>
      <c r="R4034" t="s">
        <v>3317</v>
      </c>
      <c r="S4034" s="4">
        <f t="shared" ca="1" si="623"/>
        <v>525</v>
      </c>
      <c r="T4034">
        <f t="shared" si="624"/>
        <v>1</v>
      </c>
      <c r="U4034">
        <f t="shared" si="625"/>
        <v>1</v>
      </c>
      <c r="V4034">
        <f t="shared" si="626"/>
        <v>1</v>
      </c>
      <c r="W4034">
        <f t="shared" si="627"/>
        <v>1</v>
      </c>
      <c r="X4034">
        <f t="shared" si="628"/>
        <v>0.99999999999999989</v>
      </c>
      <c r="Y4034" t="str">
        <f t="shared" si="629"/>
        <v>Healthy</v>
      </c>
    </row>
    <row r="4035" spans="1:25" x14ac:dyDescent="0.35">
      <c r="A4035" t="s">
        <v>179</v>
      </c>
      <c r="B4035" t="s">
        <v>223</v>
      </c>
      <c r="C4035" t="s">
        <v>357</v>
      </c>
      <c r="D4035" t="s">
        <v>2134</v>
      </c>
      <c r="E4035">
        <v>80877415</v>
      </c>
      <c r="F4035" t="s">
        <v>2590</v>
      </c>
      <c r="G4035" s="3">
        <v>46702</v>
      </c>
      <c r="H4035">
        <v>18</v>
      </c>
      <c r="I4035">
        <v>94</v>
      </c>
      <c r="J4035">
        <v>8</v>
      </c>
      <c r="K4035" s="4">
        <v>22583.52</v>
      </c>
      <c r="L4035" s="4">
        <v>3834</v>
      </c>
      <c r="M4035" s="4">
        <v>2.0865936358894104E-3</v>
      </c>
      <c r="N4035" t="s">
        <v>25</v>
      </c>
      <c r="O4035" t="str">
        <f t="shared" ref="O4035:O4098" si="630">IF(I4035&lt;20,"High",IF(I4035&lt;40,"Medium","Low"))</f>
        <v>Low</v>
      </c>
      <c r="P4035" t="str">
        <f t="shared" ref="P4035:P4098" si="631">IF(M4035&gt;8,"High",IF(M4035&gt;4,"Medium","Low"))</f>
        <v>Low</v>
      </c>
      <c r="Q4035" t="str">
        <f t="shared" ref="Q4035:Q4098" si="632">IF(L4035&lt;5,"High",IF(L4035&lt;15,"Medium","Low"))</f>
        <v>Low</v>
      </c>
      <c r="R4035" t="s">
        <v>3317</v>
      </c>
      <c r="S4035" s="4">
        <f t="shared" ref="S4035:S4098" ca="1" si="633">G4035-TODAY()</f>
        <v>505</v>
      </c>
      <c r="T4035">
        <f t="shared" ref="T4035:T4098" si="634">IF(O4035="High",3,IF(O4035="Medium",2,1))</f>
        <v>1</v>
      </c>
      <c r="U4035">
        <f t="shared" ref="U4035:U4098" si="635">IF(P4035="High",3,IF(P4035="Medium",2,1))</f>
        <v>1</v>
      </c>
      <c r="V4035">
        <f t="shared" ref="V4035:V4098" si="636">IF(Q4035="High",3,IF(Q4035="Medium",2,1))</f>
        <v>1</v>
      </c>
      <c r="W4035">
        <f t="shared" ref="W4035:W4098" si="637">IF(R4035="High",3,IF(R4035="Medium",2,1))</f>
        <v>1</v>
      </c>
      <c r="X4035">
        <f t="shared" ref="X4035:X4098" si="638">(0.4*T4035)+(0.3*U4035)+(0.2*V4035)+(0.1*W4035)</f>
        <v>0.99999999999999989</v>
      </c>
      <c r="Y4035" t="str">
        <f t="shared" ref="Y4035:Y4098" si="639">IF(X4035&gt;=2.7,"Move Immediately",IF(X4035&gt;=2.2,"High Priority",IF(X4035&gt;=1.7,"Monitor","Healthy")))</f>
        <v>Healthy</v>
      </c>
    </row>
    <row r="4036" spans="1:25" x14ac:dyDescent="0.35">
      <c r="A4036" t="s">
        <v>179</v>
      </c>
      <c r="B4036" t="s">
        <v>223</v>
      </c>
      <c r="C4036" t="s">
        <v>357</v>
      </c>
      <c r="D4036" t="s">
        <v>2134</v>
      </c>
      <c r="E4036">
        <v>80877415</v>
      </c>
      <c r="F4036" t="s">
        <v>2590</v>
      </c>
      <c r="G4036" s="3">
        <v>46710</v>
      </c>
      <c r="H4036">
        <v>18</v>
      </c>
      <c r="I4036">
        <v>96</v>
      </c>
      <c r="J4036">
        <v>14</v>
      </c>
      <c r="K4036" s="4">
        <v>39521.160000000003</v>
      </c>
      <c r="L4036" s="4">
        <v>3834</v>
      </c>
      <c r="M4036" s="4">
        <v>3.6515388628064684E-3</v>
      </c>
      <c r="N4036" t="s">
        <v>25</v>
      </c>
      <c r="O4036" t="str">
        <f t="shared" si="630"/>
        <v>Low</v>
      </c>
      <c r="P4036" t="str">
        <f t="shared" si="631"/>
        <v>Low</v>
      </c>
      <c r="Q4036" t="str">
        <f t="shared" si="632"/>
        <v>Low</v>
      </c>
      <c r="R4036" t="s">
        <v>3317</v>
      </c>
      <c r="S4036" s="4">
        <f t="shared" ca="1" si="633"/>
        <v>513</v>
      </c>
      <c r="T4036">
        <f t="shared" si="634"/>
        <v>1</v>
      </c>
      <c r="U4036">
        <f t="shared" si="635"/>
        <v>1</v>
      </c>
      <c r="V4036">
        <f t="shared" si="636"/>
        <v>1</v>
      </c>
      <c r="W4036">
        <f t="shared" si="637"/>
        <v>1</v>
      </c>
      <c r="X4036">
        <f t="shared" si="638"/>
        <v>0.99999999999999989</v>
      </c>
      <c r="Y4036" t="str">
        <f t="shared" si="639"/>
        <v>Healthy</v>
      </c>
    </row>
    <row r="4037" spans="1:25" x14ac:dyDescent="0.35">
      <c r="A4037" t="s">
        <v>189</v>
      </c>
      <c r="B4037" t="s">
        <v>190</v>
      </c>
      <c r="C4037" t="s">
        <v>190</v>
      </c>
      <c r="D4037" t="s">
        <v>2591</v>
      </c>
      <c r="E4037">
        <v>80787266</v>
      </c>
      <c r="F4037" t="s">
        <v>2592</v>
      </c>
      <c r="G4037" s="3">
        <v>46248</v>
      </c>
      <c r="H4037">
        <v>18</v>
      </c>
      <c r="I4037">
        <v>10</v>
      </c>
      <c r="J4037">
        <v>5</v>
      </c>
      <c r="K4037" s="4">
        <v>2072.6999999999998</v>
      </c>
      <c r="L4037" s="4">
        <v>1.2857142857142858</v>
      </c>
      <c r="M4037" s="4">
        <v>3.8888888888888884</v>
      </c>
      <c r="N4037" t="s">
        <v>25</v>
      </c>
      <c r="O4037" t="str">
        <f t="shared" si="630"/>
        <v>High</v>
      </c>
      <c r="P4037" t="str">
        <f t="shared" si="631"/>
        <v>Low</v>
      </c>
      <c r="Q4037" t="str">
        <f t="shared" si="632"/>
        <v>High</v>
      </c>
      <c r="R4037" t="s">
        <v>3317</v>
      </c>
      <c r="S4037" s="4">
        <f t="shared" ca="1" si="633"/>
        <v>51</v>
      </c>
      <c r="T4037">
        <f t="shared" si="634"/>
        <v>3</v>
      </c>
      <c r="U4037">
        <f t="shared" si="635"/>
        <v>1</v>
      </c>
      <c r="V4037">
        <f t="shared" si="636"/>
        <v>3</v>
      </c>
      <c r="W4037">
        <f t="shared" si="637"/>
        <v>1</v>
      </c>
      <c r="X4037">
        <f t="shared" si="638"/>
        <v>2.2000000000000006</v>
      </c>
      <c r="Y4037" t="str">
        <f t="shared" si="639"/>
        <v>High Priority</v>
      </c>
    </row>
    <row r="4038" spans="1:25" x14ac:dyDescent="0.35">
      <c r="A4038" t="s">
        <v>189</v>
      </c>
      <c r="B4038" t="s">
        <v>190</v>
      </c>
      <c r="C4038" t="s">
        <v>190</v>
      </c>
      <c r="D4038" t="s">
        <v>2591</v>
      </c>
      <c r="E4038">
        <v>80787266</v>
      </c>
      <c r="F4038" t="s">
        <v>2592</v>
      </c>
      <c r="G4038" s="3">
        <v>46167</v>
      </c>
      <c r="H4038">
        <v>18</v>
      </c>
      <c r="I4038">
        <v>0</v>
      </c>
      <c r="J4038">
        <v>2</v>
      </c>
      <c r="K4038" s="4">
        <v>829.08</v>
      </c>
      <c r="L4038" s="4">
        <v>1.2857142857142858</v>
      </c>
      <c r="M4038" s="4">
        <v>1.5555555555555554</v>
      </c>
      <c r="N4038" t="s">
        <v>25</v>
      </c>
      <c r="O4038" t="str">
        <f t="shared" si="630"/>
        <v>High</v>
      </c>
      <c r="P4038" t="str">
        <f t="shared" si="631"/>
        <v>Low</v>
      </c>
      <c r="Q4038" t="str">
        <f t="shared" si="632"/>
        <v>High</v>
      </c>
      <c r="R4038" t="s">
        <v>3317</v>
      </c>
      <c r="S4038" s="4">
        <f t="shared" ca="1" si="633"/>
        <v>-30</v>
      </c>
      <c r="T4038">
        <f t="shared" si="634"/>
        <v>3</v>
      </c>
      <c r="U4038">
        <f t="shared" si="635"/>
        <v>1</v>
      </c>
      <c r="V4038">
        <f t="shared" si="636"/>
        <v>3</v>
      </c>
      <c r="W4038">
        <f t="shared" si="637"/>
        <v>1</v>
      </c>
      <c r="X4038">
        <f t="shared" si="638"/>
        <v>2.2000000000000006</v>
      </c>
      <c r="Y4038" t="str">
        <f t="shared" si="639"/>
        <v>High Priority</v>
      </c>
    </row>
    <row r="4039" spans="1:25" x14ac:dyDescent="0.35">
      <c r="A4039" t="s">
        <v>179</v>
      </c>
      <c r="B4039" t="s">
        <v>223</v>
      </c>
      <c r="C4039" t="s">
        <v>357</v>
      </c>
      <c r="D4039" t="s">
        <v>2134</v>
      </c>
      <c r="E4039">
        <v>80877415</v>
      </c>
      <c r="F4039" t="s">
        <v>2590</v>
      </c>
      <c r="G4039" s="3">
        <v>46661</v>
      </c>
      <c r="H4039">
        <v>18</v>
      </c>
      <c r="I4039">
        <v>87</v>
      </c>
      <c r="J4039">
        <v>164</v>
      </c>
      <c r="K4039" s="4">
        <v>462962.16</v>
      </c>
      <c r="L4039" s="4">
        <v>3834</v>
      </c>
      <c r="M4039" s="4">
        <v>4.2775169535732918E-2</v>
      </c>
      <c r="N4039" t="s">
        <v>25</v>
      </c>
      <c r="O4039" t="str">
        <f t="shared" si="630"/>
        <v>Low</v>
      </c>
      <c r="P4039" t="str">
        <f t="shared" si="631"/>
        <v>Low</v>
      </c>
      <c r="Q4039" t="str">
        <f t="shared" si="632"/>
        <v>Low</v>
      </c>
      <c r="R4039" t="s">
        <v>3309</v>
      </c>
      <c r="S4039" s="4">
        <f t="shared" ca="1" si="633"/>
        <v>464</v>
      </c>
      <c r="T4039">
        <f t="shared" si="634"/>
        <v>1</v>
      </c>
      <c r="U4039">
        <f t="shared" si="635"/>
        <v>1</v>
      </c>
      <c r="V4039">
        <f t="shared" si="636"/>
        <v>1</v>
      </c>
      <c r="W4039">
        <f t="shared" si="637"/>
        <v>3</v>
      </c>
      <c r="X4039">
        <f t="shared" si="638"/>
        <v>1.2</v>
      </c>
      <c r="Y4039" t="str">
        <f t="shared" si="639"/>
        <v>Healthy</v>
      </c>
    </row>
    <row r="4040" spans="1:25" x14ac:dyDescent="0.35">
      <c r="A4040" t="s">
        <v>41</v>
      </c>
      <c r="B4040" t="s">
        <v>80</v>
      </c>
      <c r="C4040" t="s">
        <v>81</v>
      </c>
      <c r="D4040" t="s">
        <v>1291</v>
      </c>
      <c r="E4040">
        <v>80792061</v>
      </c>
      <c r="F4040" t="s">
        <v>2593</v>
      </c>
      <c r="G4040" s="3">
        <v>46572</v>
      </c>
      <c r="H4040">
        <v>36</v>
      </c>
      <c r="I4040">
        <v>35</v>
      </c>
      <c r="J4040">
        <v>3</v>
      </c>
      <c r="K4040" s="4">
        <v>995.97</v>
      </c>
      <c r="L4040" s="4">
        <f>0</f>
        <v>0</v>
      </c>
      <c r="M4040" s="4">
        <f>999</f>
        <v>999</v>
      </c>
      <c r="N4040" t="s">
        <v>19</v>
      </c>
      <c r="O4040" t="str">
        <f t="shared" si="630"/>
        <v>Medium</v>
      </c>
      <c r="P4040" t="str">
        <f t="shared" si="631"/>
        <v>High</v>
      </c>
      <c r="Q4040" t="str">
        <f t="shared" si="632"/>
        <v>High</v>
      </c>
      <c r="R4040" t="s">
        <v>3317</v>
      </c>
      <c r="S4040" s="4">
        <f t="shared" ca="1" si="633"/>
        <v>375</v>
      </c>
      <c r="T4040">
        <f t="shared" si="634"/>
        <v>2</v>
      </c>
      <c r="U4040">
        <f t="shared" si="635"/>
        <v>3</v>
      </c>
      <c r="V4040">
        <f t="shared" si="636"/>
        <v>3</v>
      </c>
      <c r="W4040">
        <f t="shared" si="637"/>
        <v>1</v>
      </c>
      <c r="X4040">
        <f t="shared" si="638"/>
        <v>2.4</v>
      </c>
      <c r="Y4040" t="str">
        <f t="shared" si="639"/>
        <v>High Priority</v>
      </c>
    </row>
    <row r="4041" spans="1:25" x14ac:dyDescent="0.35">
      <c r="A4041" t="s">
        <v>179</v>
      </c>
      <c r="B4041" t="s">
        <v>223</v>
      </c>
      <c r="C4041" t="s">
        <v>357</v>
      </c>
      <c r="D4041" t="s">
        <v>2134</v>
      </c>
      <c r="E4041">
        <v>80877415</v>
      </c>
      <c r="F4041" t="s">
        <v>2590</v>
      </c>
      <c r="G4041" s="3">
        <v>46723</v>
      </c>
      <c r="H4041">
        <v>18</v>
      </c>
      <c r="I4041">
        <v>98</v>
      </c>
      <c r="J4041">
        <v>90</v>
      </c>
      <c r="K4041" s="4">
        <v>254064.6</v>
      </c>
      <c r="L4041" s="4">
        <v>3834</v>
      </c>
      <c r="M4041" s="4">
        <v>2.3474178403755867E-2</v>
      </c>
      <c r="N4041" t="s">
        <v>25</v>
      </c>
      <c r="O4041" t="str">
        <f t="shared" si="630"/>
        <v>Low</v>
      </c>
      <c r="P4041" t="str">
        <f t="shared" si="631"/>
        <v>Low</v>
      </c>
      <c r="Q4041" t="str">
        <f t="shared" si="632"/>
        <v>Low</v>
      </c>
      <c r="R4041" t="s">
        <v>3309</v>
      </c>
      <c r="S4041" s="4">
        <f t="shared" ca="1" si="633"/>
        <v>526</v>
      </c>
      <c r="T4041">
        <f t="shared" si="634"/>
        <v>1</v>
      </c>
      <c r="U4041">
        <f t="shared" si="635"/>
        <v>1</v>
      </c>
      <c r="V4041">
        <f t="shared" si="636"/>
        <v>1</v>
      </c>
      <c r="W4041">
        <f t="shared" si="637"/>
        <v>3</v>
      </c>
      <c r="X4041">
        <f t="shared" si="638"/>
        <v>1.2</v>
      </c>
      <c r="Y4041" t="str">
        <f t="shared" si="639"/>
        <v>Healthy</v>
      </c>
    </row>
    <row r="4042" spans="1:25" x14ac:dyDescent="0.35">
      <c r="A4042" t="s">
        <v>179</v>
      </c>
      <c r="B4042" t="s">
        <v>223</v>
      </c>
      <c r="C4042" t="s">
        <v>357</v>
      </c>
      <c r="D4042" t="s">
        <v>2391</v>
      </c>
      <c r="E4042">
        <v>80877420</v>
      </c>
      <c r="F4042" t="s">
        <v>2594</v>
      </c>
      <c r="G4042" s="3">
        <v>46703</v>
      </c>
      <c r="H4042">
        <v>18</v>
      </c>
      <c r="I4042">
        <v>95</v>
      </c>
      <c r="J4042">
        <v>72</v>
      </c>
      <c r="K4042" s="4">
        <v>19135.439999999999</v>
      </c>
      <c r="L4042" s="4">
        <v>7213.4285714285716</v>
      </c>
      <c r="M4042" s="4">
        <v>9.9813839268031845E-3</v>
      </c>
      <c r="N4042" t="s">
        <v>25</v>
      </c>
      <c r="O4042" t="str">
        <f t="shared" si="630"/>
        <v>Low</v>
      </c>
      <c r="P4042" t="str">
        <f t="shared" si="631"/>
        <v>Low</v>
      </c>
      <c r="Q4042" t="str">
        <f t="shared" si="632"/>
        <v>Low</v>
      </c>
      <c r="R4042" t="s">
        <v>3317</v>
      </c>
      <c r="S4042" s="4">
        <f t="shared" ca="1" si="633"/>
        <v>506</v>
      </c>
      <c r="T4042">
        <f t="shared" si="634"/>
        <v>1</v>
      </c>
      <c r="U4042">
        <f t="shared" si="635"/>
        <v>1</v>
      </c>
      <c r="V4042">
        <f t="shared" si="636"/>
        <v>1</v>
      </c>
      <c r="W4042">
        <f t="shared" si="637"/>
        <v>1</v>
      </c>
      <c r="X4042">
        <f t="shared" si="638"/>
        <v>0.99999999999999989</v>
      </c>
      <c r="Y4042" t="str">
        <f t="shared" si="639"/>
        <v>Healthy</v>
      </c>
    </row>
    <row r="4043" spans="1:25" x14ac:dyDescent="0.35">
      <c r="A4043" t="s">
        <v>179</v>
      </c>
      <c r="B4043" t="s">
        <v>223</v>
      </c>
      <c r="C4043" t="s">
        <v>357</v>
      </c>
      <c r="D4043" t="s">
        <v>2391</v>
      </c>
      <c r="E4043">
        <v>80877420</v>
      </c>
      <c r="F4043" t="s">
        <v>2594</v>
      </c>
      <c r="G4043" s="3">
        <v>46644</v>
      </c>
      <c r="H4043">
        <v>18</v>
      </c>
      <c r="I4043">
        <v>84</v>
      </c>
      <c r="J4043">
        <v>12</v>
      </c>
      <c r="K4043" s="4">
        <v>3189.24</v>
      </c>
      <c r="L4043" s="4">
        <v>7213.4285714285716</v>
      </c>
      <c r="M4043" s="4">
        <v>1.6635639878005307E-3</v>
      </c>
      <c r="N4043" t="s">
        <v>25</v>
      </c>
      <c r="O4043" t="str">
        <f t="shared" si="630"/>
        <v>Low</v>
      </c>
      <c r="P4043" t="str">
        <f t="shared" si="631"/>
        <v>Low</v>
      </c>
      <c r="Q4043" t="str">
        <f t="shared" si="632"/>
        <v>Low</v>
      </c>
      <c r="R4043" t="s">
        <v>3317</v>
      </c>
      <c r="S4043" s="4">
        <f t="shared" ca="1" si="633"/>
        <v>447</v>
      </c>
      <c r="T4043">
        <f t="shared" si="634"/>
        <v>1</v>
      </c>
      <c r="U4043">
        <f t="shared" si="635"/>
        <v>1</v>
      </c>
      <c r="V4043">
        <f t="shared" si="636"/>
        <v>1</v>
      </c>
      <c r="W4043">
        <f t="shared" si="637"/>
        <v>1</v>
      </c>
      <c r="X4043">
        <f t="shared" si="638"/>
        <v>0.99999999999999989</v>
      </c>
      <c r="Y4043" t="str">
        <f t="shared" si="639"/>
        <v>Healthy</v>
      </c>
    </row>
    <row r="4044" spans="1:25" x14ac:dyDescent="0.35">
      <c r="A4044" t="s">
        <v>90</v>
      </c>
      <c r="B4044" t="s">
        <v>91</v>
      </c>
      <c r="C4044" t="s">
        <v>478</v>
      </c>
      <c r="D4044" t="s">
        <v>514</v>
      </c>
      <c r="E4044">
        <v>80793031</v>
      </c>
      <c r="F4044" t="s">
        <v>2595</v>
      </c>
      <c r="G4044" s="3">
        <v>46163</v>
      </c>
      <c r="H4044">
        <v>24</v>
      </c>
      <c r="I4044">
        <v>0</v>
      </c>
      <c r="J4044">
        <v>6</v>
      </c>
      <c r="K4044" s="4">
        <v>3133.5</v>
      </c>
      <c r="L4044" s="4">
        <f>0</f>
        <v>0</v>
      </c>
      <c r="M4044" s="4">
        <f>999</f>
        <v>999</v>
      </c>
      <c r="N4044" t="s">
        <v>19</v>
      </c>
      <c r="O4044" t="str">
        <f t="shared" si="630"/>
        <v>High</v>
      </c>
      <c r="P4044" t="str">
        <f t="shared" si="631"/>
        <v>High</v>
      </c>
      <c r="Q4044" t="str">
        <f t="shared" si="632"/>
        <v>High</v>
      </c>
      <c r="R4044" t="s">
        <v>3317</v>
      </c>
      <c r="S4044" s="4">
        <f t="shared" ca="1" si="633"/>
        <v>-34</v>
      </c>
      <c r="T4044">
        <f t="shared" si="634"/>
        <v>3</v>
      </c>
      <c r="U4044">
        <f t="shared" si="635"/>
        <v>3</v>
      </c>
      <c r="V4044">
        <f t="shared" si="636"/>
        <v>3</v>
      </c>
      <c r="W4044">
        <f t="shared" si="637"/>
        <v>1</v>
      </c>
      <c r="X4044">
        <f t="shared" si="638"/>
        <v>2.8000000000000003</v>
      </c>
      <c r="Y4044" t="str">
        <f t="shared" si="639"/>
        <v>Move Immediately</v>
      </c>
    </row>
    <row r="4045" spans="1:25" x14ac:dyDescent="0.35">
      <c r="A4045" t="s">
        <v>179</v>
      </c>
      <c r="B4045" t="s">
        <v>223</v>
      </c>
      <c r="C4045" t="s">
        <v>357</v>
      </c>
      <c r="D4045" t="s">
        <v>2391</v>
      </c>
      <c r="E4045">
        <v>80877420</v>
      </c>
      <c r="F4045" t="s">
        <v>2594</v>
      </c>
      <c r="G4045" s="3">
        <v>46725</v>
      </c>
      <c r="H4045">
        <v>18</v>
      </c>
      <c r="I4045">
        <v>99</v>
      </c>
      <c r="J4045">
        <v>24</v>
      </c>
      <c r="K4045" s="4">
        <v>6378.48</v>
      </c>
      <c r="L4045" s="4">
        <v>7213.4285714285716</v>
      </c>
      <c r="M4045" s="4">
        <v>3.3271279756010613E-3</v>
      </c>
      <c r="N4045" t="s">
        <v>25</v>
      </c>
      <c r="O4045" t="str">
        <f t="shared" si="630"/>
        <v>Low</v>
      </c>
      <c r="P4045" t="str">
        <f t="shared" si="631"/>
        <v>Low</v>
      </c>
      <c r="Q4045" t="str">
        <f t="shared" si="632"/>
        <v>Low</v>
      </c>
      <c r="R4045" t="s">
        <v>3317</v>
      </c>
      <c r="S4045" s="4">
        <f t="shared" ca="1" si="633"/>
        <v>528</v>
      </c>
      <c r="T4045">
        <f t="shared" si="634"/>
        <v>1</v>
      </c>
      <c r="U4045">
        <f t="shared" si="635"/>
        <v>1</v>
      </c>
      <c r="V4045">
        <f t="shared" si="636"/>
        <v>1</v>
      </c>
      <c r="W4045">
        <f t="shared" si="637"/>
        <v>1</v>
      </c>
      <c r="X4045">
        <f t="shared" si="638"/>
        <v>0.99999999999999989</v>
      </c>
      <c r="Y4045" t="str">
        <f t="shared" si="639"/>
        <v>Healthy</v>
      </c>
    </row>
    <row r="4046" spans="1:25" x14ac:dyDescent="0.35">
      <c r="A4046" t="s">
        <v>179</v>
      </c>
      <c r="B4046" t="s">
        <v>223</v>
      </c>
      <c r="C4046" t="s">
        <v>357</v>
      </c>
      <c r="D4046" t="s">
        <v>2391</v>
      </c>
      <c r="E4046">
        <v>80877420</v>
      </c>
      <c r="F4046" t="s">
        <v>2594</v>
      </c>
      <c r="G4046" s="3">
        <v>46528</v>
      </c>
      <c r="H4046">
        <v>18</v>
      </c>
      <c r="I4046">
        <v>62</v>
      </c>
      <c r="J4046">
        <v>132</v>
      </c>
      <c r="K4046" s="4">
        <v>35081.64</v>
      </c>
      <c r="L4046" s="4">
        <v>7213.4285714285716</v>
      </c>
      <c r="M4046" s="4">
        <v>1.8299203865805837E-2</v>
      </c>
      <c r="N4046" t="s">
        <v>25</v>
      </c>
      <c r="O4046" t="str">
        <f t="shared" si="630"/>
        <v>Low</v>
      </c>
      <c r="P4046" t="str">
        <f t="shared" si="631"/>
        <v>Low</v>
      </c>
      <c r="Q4046" t="str">
        <f t="shared" si="632"/>
        <v>Low</v>
      </c>
      <c r="R4046" t="s">
        <v>3317</v>
      </c>
      <c r="S4046" s="4">
        <f t="shared" ca="1" si="633"/>
        <v>331</v>
      </c>
      <c r="T4046">
        <f t="shared" si="634"/>
        <v>1</v>
      </c>
      <c r="U4046">
        <f t="shared" si="635"/>
        <v>1</v>
      </c>
      <c r="V4046">
        <f t="shared" si="636"/>
        <v>1</v>
      </c>
      <c r="W4046">
        <f t="shared" si="637"/>
        <v>1</v>
      </c>
      <c r="X4046">
        <f t="shared" si="638"/>
        <v>0.99999999999999989</v>
      </c>
      <c r="Y4046" t="str">
        <f t="shared" si="639"/>
        <v>Healthy</v>
      </c>
    </row>
    <row r="4047" spans="1:25" x14ac:dyDescent="0.35">
      <c r="A4047" t="s">
        <v>179</v>
      </c>
      <c r="B4047" t="s">
        <v>223</v>
      </c>
      <c r="C4047" t="s">
        <v>357</v>
      </c>
      <c r="D4047" t="s">
        <v>2391</v>
      </c>
      <c r="E4047">
        <v>80877420</v>
      </c>
      <c r="F4047" t="s">
        <v>2594</v>
      </c>
      <c r="G4047" s="3">
        <v>46630</v>
      </c>
      <c r="H4047">
        <v>18</v>
      </c>
      <c r="I4047">
        <v>81</v>
      </c>
      <c r="J4047">
        <v>60</v>
      </c>
      <c r="K4047" s="4">
        <v>15946.2</v>
      </c>
      <c r="L4047" s="4">
        <v>7213.4285714285716</v>
      </c>
      <c r="M4047" s="4">
        <v>8.317819939002654E-3</v>
      </c>
      <c r="N4047" t="s">
        <v>25</v>
      </c>
      <c r="O4047" t="str">
        <f t="shared" si="630"/>
        <v>Low</v>
      </c>
      <c r="P4047" t="str">
        <f t="shared" si="631"/>
        <v>Low</v>
      </c>
      <c r="Q4047" t="str">
        <f t="shared" si="632"/>
        <v>Low</v>
      </c>
      <c r="R4047" t="s">
        <v>3317</v>
      </c>
      <c r="S4047" s="4">
        <f t="shared" ca="1" si="633"/>
        <v>433</v>
      </c>
      <c r="T4047">
        <f t="shared" si="634"/>
        <v>1</v>
      </c>
      <c r="U4047">
        <f t="shared" si="635"/>
        <v>1</v>
      </c>
      <c r="V4047">
        <f t="shared" si="636"/>
        <v>1</v>
      </c>
      <c r="W4047">
        <f t="shared" si="637"/>
        <v>1</v>
      </c>
      <c r="X4047">
        <f t="shared" si="638"/>
        <v>0.99999999999999989</v>
      </c>
      <c r="Y4047" t="str">
        <f t="shared" si="639"/>
        <v>Healthy</v>
      </c>
    </row>
    <row r="4048" spans="1:25" x14ac:dyDescent="0.35">
      <c r="A4048" t="s">
        <v>179</v>
      </c>
      <c r="B4048" t="s">
        <v>223</v>
      </c>
      <c r="C4048" t="s">
        <v>357</v>
      </c>
      <c r="D4048" t="s">
        <v>2391</v>
      </c>
      <c r="E4048">
        <v>80877420</v>
      </c>
      <c r="F4048" t="s">
        <v>2594</v>
      </c>
      <c r="G4048" s="3">
        <v>46725</v>
      </c>
      <c r="H4048">
        <v>18</v>
      </c>
      <c r="I4048">
        <v>99</v>
      </c>
      <c r="J4048">
        <v>84</v>
      </c>
      <c r="K4048" s="4">
        <v>22324.68</v>
      </c>
      <c r="L4048" s="4">
        <v>7213.4285714285716</v>
      </c>
      <c r="M4048" s="4">
        <v>1.1644947914603715E-2</v>
      </c>
      <c r="N4048" t="s">
        <v>25</v>
      </c>
      <c r="O4048" t="str">
        <f t="shared" si="630"/>
        <v>Low</v>
      </c>
      <c r="P4048" t="str">
        <f t="shared" si="631"/>
        <v>Low</v>
      </c>
      <c r="Q4048" t="str">
        <f t="shared" si="632"/>
        <v>Low</v>
      </c>
      <c r="R4048" t="s">
        <v>3317</v>
      </c>
      <c r="S4048" s="4">
        <f t="shared" ca="1" si="633"/>
        <v>528</v>
      </c>
      <c r="T4048">
        <f t="shared" si="634"/>
        <v>1</v>
      </c>
      <c r="U4048">
        <f t="shared" si="635"/>
        <v>1</v>
      </c>
      <c r="V4048">
        <f t="shared" si="636"/>
        <v>1</v>
      </c>
      <c r="W4048">
        <f t="shared" si="637"/>
        <v>1</v>
      </c>
      <c r="X4048">
        <f t="shared" si="638"/>
        <v>0.99999999999999989</v>
      </c>
      <c r="Y4048" t="str">
        <f t="shared" si="639"/>
        <v>Healthy</v>
      </c>
    </row>
    <row r="4049" spans="1:25" x14ac:dyDescent="0.35">
      <c r="A4049" t="s">
        <v>210</v>
      </c>
      <c r="B4049" t="s">
        <v>211</v>
      </c>
      <c r="C4049" t="s">
        <v>212</v>
      </c>
      <c r="D4049" t="s">
        <v>1583</v>
      </c>
      <c r="E4049">
        <v>80784067</v>
      </c>
      <c r="F4049" t="s">
        <v>2596</v>
      </c>
      <c r="G4049" s="3">
        <v>46551</v>
      </c>
      <c r="H4049">
        <v>24</v>
      </c>
      <c r="I4049">
        <v>50</v>
      </c>
      <c r="J4049">
        <v>3</v>
      </c>
      <c r="K4049" s="4">
        <v>1252.29</v>
      </c>
      <c r="L4049" s="4">
        <f>0</f>
        <v>0</v>
      </c>
      <c r="M4049" s="4">
        <f>999</f>
        <v>999</v>
      </c>
      <c r="N4049" t="s">
        <v>19</v>
      </c>
      <c r="O4049" t="str">
        <f t="shared" si="630"/>
        <v>Low</v>
      </c>
      <c r="P4049" t="str">
        <f t="shared" si="631"/>
        <v>High</v>
      </c>
      <c r="Q4049" t="str">
        <f t="shared" si="632"/>
        <v>High</v>
      </c>
      <c r="R4049" t="s">
        <v>3317</v>
      </c>
      <c r="S4049" s="4">
        <f t="shared" ca="1" si="633"/>
        <v>354</v>
      </c>
      <c r="T4049">
        <f t="shared" si="634"/>
        <v>1</v>
      </c>
      <c r="U4049">
        <f t="shared" si="635"/>
        <v>3</v>
      </c>
      <c r="V4049">
        <f t="shared" si="636"/>
        <v>3</v>
      </c>
      <c r="W4049">
        <f t="shared" si="637"/>
        <v>1</v>
      </c>
      <c r="X4049">
        <f t="shared" si="638"/>
        <v>2</v>
      </c>
      <c r="Y4049" t="str">
        <f t="shared" si="639"/>
        <v>Monitor</v>
      </c>
    </row>
    <row r="4050" spans="1:25" x14ac:dyDescent="0.35">
      <c r="A4050" t="s">
        <v>179</v>
      </c>
      <c r="B4050" t="s">
        <v>223</v>
      </c>
      <c r="C4050" t="s">
        <v>357</v>
      </c>
      <c r="D4050" t="s">
        <v>2391</v>
      </c>
      <c r="E4050">
        <v>80877420</v>
      </c>
      <c r="F4050" t="s">
        <v>2594</v>
      </c>
      <c r="G4050" s="3">
        <v>46702</v>
      </c>
      <c r="H4050">
        <v>18</v>
      </c>
      <c r="I4050">
        <v>94</v>
      </c>
      <c r="J4050">
        <v>72</v>
      </c>
      <c r="K4050" s="4">
        <v>19135.439999999999</v>
      </c>
      <c r="L4050" s="4">
        <v>7213.4285714285716</v>
      </c>
      <c r="M4050" s="4">
        <v>9.9813839268031845E-3</v>
      </c>
      <c r="N4050" t="s">
        <v>25</v>
      </c>
      <c r="O4050" t="str">
        <f t="shared" si="630"/>
        <v>Low</v>
      </c>
      <c r="P4050" t="str">
        <f t="shared" si="631"/>
        <v>Low</v>
      </c>
      <c r="Q4050" t="str">
        <f t="shared" si="632"/>
        <v>Low</v>
      </c>
      <c r="R4050" t="s">
        <v>3317</v>
      </c>
      <c r="S4050" s="4">
        <f t="shared" ca="1" si="633"/>
        <v>505</v>
      </c>
      <c r="T4050">
        <f t="shared" si="634"/>
        <v>1</v>
      </c>
      <c r="U4050">
        <f t="shared" si="635"/>
        <v>1</v>
      </c>
      <c r="V4050">
        <f t="shared" si="636"/>
        <v>1</v>
      </c>
      <c r="W4050">
        <f t="shared" si="637"/>
        <v>1</v>
      </c>
      <c r="X4050">
        <f t="shared" si="638"/>
        <v>0.99999999999999989</v>
      </c>
      <c r="Y4050" t="str">
        <f t="shared" si="639"/>
        <v>Healthy</v>
      </c>
    </row>
    <row r="4051" spans="1:25" x14ac:dyDescent="0.35">
      <c r="A4051" t="s">
        <v>210</v>
      </c>
      <c r="B4051" t="s">
        <v>211</v>
      </c>
      <c r="C4051" t="s">
        <v>212</v>
      </c>
      <c r="D4051" t="s">
        <v>1583</v>
      </c>
      <c r="E4051">
        <v>80784067</v>
      </c>
      <c r="F4051" t="s">
        <v>2596</v>
      </c>
      <c r="G4051" s="3">
        <v>46386</v>
      </c>
      <c r="H4051">
        <v>24</v>
      </c>
      <c r="I4051">
        <v>27</v>
      </c>
      <c r="J4051">
        <v>6</v>
      </c>
      <c r="K4051" s="4">
        <v>2504.58</v>
      </c>
      <c r="L4051" s="4">
        <f>0</f>
        <v>0</v>
      </c>
      <c r="M4051" s="4">
        <f>999</f>
        <v>999</v>
      </c>
      <c r="N4051" t="s">
        <v>19</v>
      </c>
      <c r="O4051" t="str">
        <f t="shared" si="630"/>
        <v>Medium</v>
      </c>
      <c r="P4051" t="str">
        <f t="shared" si="631"/>
        <v>High</v>
      </c>
      <c r="Q4051" t="str">
        <f t="shared" si="632"/>
        <v>High</v>
      </c>
      <c r="R4051" t="s">
        <v>3317</v>
      </c>
      <c r="S4051" s="4">
        <f t="shared" ca="1" si="633"/>
        <v>189</v>
      </c>
      <c r="T4051">
        <f t="shared" si="634"/>
        <v>2</v>
      </c>
      <c r="U4051">
        <f t="shared" si="635"/>
        <v>3</v>
      </c>
      <c r="V4051">
        <f t="shared" si="636"/>
        <v>3</v>
      </c>
      <c r="W4051">
        <f t="shared" si="637"/>
        <v>1</v>
      </c>
      <c r="X4051">
        <f t="shared" si="638"/>
        <v>2.4</v>
      </c>
      <c r="Y4051" t="str">
        <f t="shared" si="639"/>
        <v>High Priority</v>
      </c>
    </row>
    <row r="4052" spans="1:25" x14ac:dyDescent="0.35">
      <c r="A4052" t="s">
        <v>179</v>
      </c>
      <c r="B4052" t="s">
        <v>223</v>
      </c>
      <c r="C4052" t="s">
        <v>357</v>
      </c>
      <c r="D4052" t="s">
        <v>2391</v>
      </c>
      <c r="E4052">
        <v>80877420</v>
      </c>
      <c r="F4052" t="s">
        <v>2594</v>
      </c>
      <c r="G4052" s="3">
        <v>46694</v>
      </c>
      <c r="H4052">
        <v>18</v>
      </c>
      <c r="I4052">
        <v>93</v>
      </c>
      <c r="J4052">
        <v>36</v>
      </c>
      <c r="K4052" s="4">
        <v>9567.7199999999993</v>
      </c>
      <c r="L4052" s="4">
        <v>7213.4285714285716</v>
      </c>
      <c r="M4052" s="4">
        <v>4.9906919634015922E-3</v>
      </c>
      <c r="N4052" t="s">
        <v>25</v>
      </c>
      <c r="O4052" t="str">
        <f t="shared" si="630"/>
        <v>Low</v>
      </c>
      <c r="P4052" t="str">
        <f t="shared" si="631"/>
        <v>Low</v>
      </c>
      <c r="Q4052" t="str">
        <f t="shared" si="632"/>
        <v>Low</v>
      </c>
      <c r="R4052" t="s">
        <v>3317</v>
      </c>
      <c r="S4052" s="4">
        <f t="shared" ca="1" si="633"/>
        <v>497</v>
      </c>
      <c r="T4052">
        <f t="shared" si="634"/>
        <v>1</v>
      </c>
      <c r="U4052">
        <f t="shared" si="635"/>
        <v>1</v>
      </c>
      <c r="V4052">
        <f t="shared" si="636"/>
        <v>1</v>
      </c>
      <c r="W4052">
        <f t="shared" si="637"/>
        <v>1</v>
      </c>
      <c r="X4052">
        <f t="shared" si="638"/>
        <v>0.99999999999999989</v>
      </c>
      <c r="Y4052" t="str">
        <f t="shared" si="639"/>
        <v>Healthy</v>
      </c>
    </row>
    <row r="4053" spans="1:25" x14ac:dyDescent="0.35">
      <c r="A4053" t="s">
        <v>210</v>
      </c>
      <c r="B4053" t="s">
        <v>211</v>
      </c>
      <c r="C4053" t="s">
        <v>212</v>
      </c>
      <c r="D4053" t="s">
        <v>1583</v>
      </c>
      <c r="E4053">
        <v>80784067</v>
      </c>
      <c r="F4053" t="s">
        <v>2596</v>
      </c>
      <c r="G4053" s="3">
        <v>46379</v>
      </c>
      <c r="H4053">
        <v>24</v>
      </c>
      <c r="I4053">
        <v>26</v>
      </c>
      <c r="J4053">
        <v>11</v>
      </c>
      <c r="K4053" s="4">
        <v>4591.7299999999996</v>
      </c>
      <c r="L4053" s="4">
        <f>0</f>
        <v>0</v>
      </c>
      <c r="M4053" s="4">
        <f>999</f>
        <v>999</v>
      </c>
      <c r="N4053" t="s">
        <v>19</v>
      </c>
      <c r="O4053" t="str">
        <f t="shared" si="630"/>
        <v>Medium</v>
      </c>
      <c r="P4053" t="str">
        <f t="shared" si="631"/>
        <v>High</v>
      </c>
      <c r="Q4053" t="str">
        <f t="shared" si="632"/>
        <v>High</v>
      </c>
      <c r="R4053" t="s">
        <v>3317</v>
      </c>
      <c r="S4053" s="4">
        <f t="shared" ca="1" si="633"/>
        <v>182</v>
      </c>
      <c r="T4053">
        <f t="shared" si="634"/>
        <v>2</v>
      </c>
      <c r="U4053">
        <f t="shared" si="635"/>
        <v>3</v>
      </c>
      <c r="V4053">
        <f t="shared" si="636"/>
        <v>3</v>
      </c>
      <c r="W4053">
        <f t="shared" si="637"/>
        <v>1</v>
      </c>
      <c r="X4053">
        <f t="shared" si="638"/>
        <v>2.4</v>
      </c>
      <c r="Y4053" t="str">
        <f t="shared" si="639"/>
        <v>High Priority</v>
      </c>
    </row>
    <row r="4054" spans="1:25" x14ac:dyDescent="0.35">
      <c r="A4054" t="s">
        <v>179</v>
      </c>
      <c r="B4054" t="s">
        <v>223</v>
      </c>
      <c r="C4054" t="s">
        <v>357</v>
      </c>
      <c r="D4054" t="s">
        <v>2391</v>
      </c>
      <c r="E4054">
        <v>80877420</v>
      </c>
      <c r="F4054" t="s">
        <v>2594</v>
      </c>
      <c r="G4054" s="3">
        <v>46582</v>
      </c>
      <c r="H4054">
        <v>18</v>
      </c>
      <c r="I4054">
        <v>72</v>
      </c>
      <c r="J4054">
        <v>27</v>
      </c>
      <c r="K4054" s="4">
        <v>7175.79</v>
      </c>
      <c r="L4054" s="4">
        <v>7213.4285714285716</v>
      </c>
      <c r="M4054" s="4">
        <v>3.743018972551194E-3</v>
      </c>
      <c r="N4054" t="s">
        <v>25</v>
      </c>
      <c r="O4054" t="str">
        <f t="shared" si="630"/>
        <v>Low</v>
      </c>
      <c r="P4054" t="str">
        <f t="shared" si="631"/>
        <v>Low</v>
      </c>
      <c r="Q4054" t="str">
        <f t="shared" si="632"/>
        <v>Low</v>
      </c>
      <c r="R4054" t="s">
        <v>3317</v>
      </c>
      <c r="S4054" s="4">
        <f t="shared" ca="1" si="633"/>
        <v>385</v>
      </c>
      <c r="T4054">
        <f t="shared" si="634"/>
        <v>1</v>
      </c>
      <c r="U4054">
        <f t="shared" si="635"/>
        <v>1</v>
      </c>
      <c r="V4054">
        <f t="shared" si="636"/>
        <v>1</v>
      </c>
      <c r="W4054">
        <f t="shared" si="637"/>
        <v>1</v>
      </c>
      <c r="X4054">
        <f t="shared" si="638"/>
        <v>0.99999999999999989</v>
      </c>
      <c r="Y4054" t="str">
        <f t="shared" si="639"/>
        <v>Healthy</v>
      </c>
    </row>
    <row r="4055" spans="1:25" x14ac:dyDescent="0.35">
      <c r="A4055" t="s">
        <v>210</v>
      </c>
      <c r="B4055" t="s">
        <v>211</v>
      </c>
      <c r="C4055" t="s">
        <v>212</v>
      </c>
      <c r="D4055" t="s">
        <v>1583</v>
      </c>
      <c r="E4055">
        <v>80784067</v>
      </c>
      <c r="F4055" t="s">
        <v>2596</v>
      </c>
      <c r="G4055" s="3">
        <v>46355</v>
      </c>
      <c r="H4055">
        <v>24</v>
      </c>
      <c r="I4055">
        <v>23</v>
      </c>
      <c r="J4055">
        <v>5</v>
      </c>
      <c r="K4055" s="4">
        <v>2087.15</v>
      </c>
      <c r="L4055" s="4">
        <f>0</f>
        <v>0</v>
      </c>
      <c r="M4055" s="4">
        <f>999</f>
        <v>999</v>
      </c>
      <c r="N4055" t="s">
        <v>19</v>
      </c>
      <c r="O4055" t="str">
        <f t="shared" si="630"/>
        <v>Medium</v>
      </c>
      <c r="P4055" t="str">
        <f t="shared" si="631"/>
        <v>High</v>
      </c>
      <c r="Q4055" t="str">
        <f t="shared" si="632"/>
        <v>High</v>
      </c>
      <c r="R4055" t="s">
        <v>3317</v>
      </c>
      <c r="S4055" s="4">
        <f t="shared" ca="1" si="633"/>
        <v>158</v>
      </c>
      <c r="T4055">
        <f t="shared" si="634"/>
        <v>2</v>
      </c>
      <c r="U4055">
        <f t="shared" si="635"/>
        <v>3</v>
      </c>
      <c r="V4055">
        <f t="shared" si="636"/>
        <v>3</v>
      </c>
      <c r="W4055">
        <f t="shared" si="637"/>
        <v>1</v>
      </c>
      <c r="X4055">
        <f t="shared" si="638"/>
        <v>2.4</v>
      </c>
      <c r="Y4055" t="str">
        <f t="shared" si="639"/>
        <v>High Priority</v>
      </c>
    </row>
    <row r="4056" spans="1:25" x14ac:dyDescent="0.35">
      <c r="A4056" t="s">
        <v>179</v>
      </c>
      <c r="B4056" t="s">
        <v>223</v>
      </c>
      <c r="C4056" t="s">
        <v>357</v>
      </c>
      <c r="D4056" t="s">
        <v>2391</v>
      </c>
      <c r="E4056">
        <v>80877420</v>
      </c>
      <c r="F4056" t="s">
        <v>2594</v>
      </c>
      <c r="G4056" s="3">
        <v>46706</v>
      </c>
      <c r="H4056">
        <v>18</v>
      </c>
      <c r="I4056">
        <v>95</v>
      </c>
      <c r="J4056">
        <v>120</v>
      </c>
      <c r="K4056" s="4">
        <v>31892.400000000001</v>
      </c>
      <c r="L4056" s="4">
        <v>7213.4285714285716</v>
      </c>
      <c r="M4056" s="4">
        <v>1.6635639878005308E-2</v>
      </c>
      <c r="N4056" t="s">
        <v>25</v>
      </c>
      <c r="O4056" t="str">
        <f t="shared" si="630"/>
        <v>Low</v>
      </c>
      <c r="P4056" t="str">
        <f t="shared" si="631"/>
        <v>Low</v>
      </c>
      <c r="Q4056" t="str">
        <f t="shared" si="632"/>
        <v>Low</v>
      </c>
      <c r="R4056" t="s">
        <v>3317</v>
      </c>
      <c r="S4056" s="4">
        <f t="shared" ca="1" si="633"/>
        <v>509</v>
      </c>
      <c r="T4056">
        <f t="shared" si="634"/>
        <v>1</v>
      </c>
      <c r="U4056">
        <f t="shared" si="635"/>
        <v>1</v>
      </c>
      <c r="V4056">
        <f t="shared" si="636"/>
        <v>1</v>
      </c>
      <c r="W4056">
        <f t="shared" si="637"/>
        <v>1</v>
      </c>
      <c r="X4056">
        <f t="shared" si="638"/>
        <v>0.99999999999999989</v>
      </c>
      <c r="Y4056" t="str">
        <f t="shared" si="639"/>
        <v>Healthy</v>
      </c>
    </row>
    <row r="4057" spans="1:25" x14ac:dyDescent="0.35">
      <c r="A4057" t="s">
        <v>29</v>
      </c>
      <c r="B4057" t="s">
        <v>30</v>
      </c>
      <c r="C4057" t="s">
        <v>31</v>
      </c>
      <c r="D4057" t="s">
        <v>2154</v>
      </c>
      <c r="E4057">
        <v>80798458</v>
      </c>
      <c r="F4057" t="s">
        <v>2597</v>
      </c>
      <c r="G4057" s="3">
        <v>46363</v>
      </c>
      <c r="H4057">
        <v>36</v>
      </c>
      <c r="I4057">
        <v>16</v>
      </c>
      <c r="J4057">
        <v>3</v>
      </c>
      <c r="K4057" s="4">
        <v>4797.45</v>
      </c>
      <c r="L4057" s="4">
        <f>0</f>
        <v>0</v>
      </c>
      <c r="M4057" s="4">
        <f>999</f>
        <v>999</v>
      </c>
      <c r="N4057" t="s">
        <v>19</v>
      </c>
      <c r="O4057" t="str">
        <f t="shared" si="630"/>
        <v>High</v>
      </c>
      <c r="P4057" t="str">
        <f t="shared" si="631"/>
        <v>High</v>
      </c>
      <c r="Q4057" t="str">
        <f t="shared" si="632"/>
        <v>High</v>
      </c>
      <c r="R4057" t="s">
        <v>3317</v>
      </c>
      <c r="S4057" s="4">
        <f t="shared" ca="1" si="633"/>
        <v>166</v>
      </c>
      <c r="T4057">
        <f t="shared" si="634"/>
        <v>3</v>
      </c>
      <c r="U4057">
        <f t="shared" si="635"/>
        <v>3</v>
      </c>
      <c r="V4057">
        <f t="shared" si="636"/>
        <v>3</v>
      </c>
      <c r="W4057">
        <f t="shared" si="637"/>
        <v>1</v>
      </c>
      <c r="X4057">
        <f t="shared" si="638"/>
        <v>2.8000000000000003</v>
      </c>
      <c r="Y4057" t="str">
        <f t="shared" si="639"/>
        <v>Move Immediately</v>
      </c>
    </row>
    <row r="4058" spans="1:25" x14ac:dyDescent="0.35">
      <c r="A4058" t="s">
        <v>179</v>
      </c>
      <c r="B4058" t="s">
        <v>223</v>
      </c>
      <c r="C4058" t="s">
        <v>357</v>
      </c>
      <c r="D4058" t="s">
        <v>2391</v>
      </c>
      <c r="E4058">
        <v>80877420</v>
      </c>
      <c r="F4058" t="s">
        <v>2594</v>
      </c>
      <c r="G4058" s="3">
        <v>46725</v>
      </c>
      <c r="H4058">
        <v>18</v>
      </c>
      <c r="I4058">
        <v>99</v>
      </c>
      <c r="J4058">
        <v>96</v>
      </c>
      <c r="K4058" s="4">
        <v>25513.919999999998</v>
      </c>
      <c r="L4058" s="4">
        <v>7213.4285714285716</v>
      </c>
      <c r="M4058" s="4">
        <v>1.3308511902404245E-2</v>
      </c>
      <c r="N4058" t="s">
        <v>25</v>
      </c>
      <c r="O4058" t="str">
        <f t="shared" si="630"/>
        <v>Low</v>
      </c>
      <c r="P4058" t="str">
        <f t="shared" si="631"/>
        <v>Low</v>
      </c>
      <c r="Q4058" t="str">
        <f t="shared" si="632"/>
        <v>Low</v>
      </c>
      <c r="R4058" t="s">
        <v>3317</v>
      </c>
      <c r="S4058" s="4">
        <f t="shared" ca="1" si="633"/>
        <v>528</v>
      </c>
      <c r="T4058">
        <f t="shared" si="634"/>
        <v>1</v>
      </c>
      <c r="U4058">
        <f t="shared" si="635"/>
        <v>1</v>
      </c>
      <c r="V4058">
        <f t="shared" si="636"/>
        <v>1</v>
      </c>
      <c r="W4058">
        <f t="shared" si="637"/>
        <v>1</v>
      </c>
      <c r="X4058">
        <f t="shared" si="638"/>
        <v>0.99999999999999989</v>
      </c>
      <c r="Y4058" t="str">
        <f t="shared" si="639"/>
        <v>Healthy</v>
      </c>
    </row>
    <row r="4059" spans="1:25" x14ac:dyDescent="0.35">
      <c r="A4059" t="s">
        <v>29</v>
      </c>
      <c r="B4059" t="s">
        <v>30</v>
      </c>
      <c r="C4059" t="s">
        <v>290</v>
      </c>
      <c r="D4059" t="s">
        <v>2598</v>
      </c>
      <c r="E4059">
        <v>80773607</v>
      </c>
      <c r="F4059" t="s">
        <v>2599</v>
      </c>
      <c r="G4059" s="3">
        <v>46817</v>
      </c>
      <c r="H4059">
        <v>36</v>
      </c>
      <c r="I4059">
        <v>58</v>
      </c>
      <c r="J4059">
        <v>5</v>
      </c>
      <c r="K4059" s="4">
        <v>7995.75</v>
      </c>
      <c r="L4059" s="4">
        <v>5.1428571428571432</v>
      </c>
      <c r="M4059" s="4">
        <v>0.9722222222222221</v>
      </c>
      <c r="N4059" t="s">
        <v>25</v>
      </c>
      <c r="O4059" t="str">
        <f t="shared" si="630"/>
        <v>Low</v>
      </c>
      <c r="P4059" t="str">
        <f t="shared" si="631"/>
        <v>Low</v>
      </c>
      <c r="Q4059" t="str">
        <f t="shared" si="632"/>
        <v>Medium</v>
      </c>
      <c r="R4059" t="s">
        <v>3317</v>
      </c>
      <c r="S4059" s="4">
        <f t="shared" ca="1" si="633"/>
        <v>620</v>
      </c>
      <c r="T4059">
        <f t="shared" si="634"/>
        <v>1</v>
      </c>
      <c r="U4059">
        <f t="shared" si="635"/>
        <v>1</v>
      </c>
      <c r="V4059">
        <f t="shared" si="636"/>
        <v>2</v>
      </c>
      <c r="W4059">
        <f t="shared" si="637"/>
        <v>1</v>
      </c>
      <c r="X4059">
        <f t="shared" si="638"/>
        <v>1.2000000000000002</v>
      </c>
      <c r="Y4059" t="str">
        <f t="shared" si="639"/>
        <v>Healthy</v>
      </c>
    </row>
    <row r="4060" spans="1:25" x14ac:dyDescent="0.35">
      <c r="A4060" t="s">
        <v>179</v>
      </c>
      <c r="B4060" t="s">
        <v>223</v>
      </c>
      <c r="C4060" t="s">
        <v>357</v>
      </c>
      <c r="D4060" t="s">
        <v>2391</v>
      </c>
      <c r="E4060">
        <v>80877420</v>
      </c>
      <c r="F4060" t="s">
        <v>2594</v>
      </c>
      <c r="G4060" s="3">
        <v>46707</v>
      </c>
      <c r="H4060">
        <v>18</v>
      </c>
      <c r="I4060">
        <v>95</v>
      </c>
      <c r="J4060">
        <v>48</v>
      </c>
      <c r="K4060" s="4">
        <v>12756.96</v>
      </c>
      <c r="L4060" s="4">
        <v>7213.4285714285716</v>
      </c>
      <c r="M4060" s="4">
        <v>6.6542559512021227E-3</v>
      </c>
      <c r="N4060" t="s">
        <v>25</v>
      </c>
      <c r="O4060" t="str">
        <f t="shared" si="630"/>
        <v>Low</v>
      </c>
      <c r="P4060" t="str">
        <f t="shared" si="631"/>
        <v>Low</v>
      </c>
      <c r="Q4060" t="str">
        <f t="shared" si="632"/>
        <v>Low</v>
      </c>
      <c r="R4060" t="s">
        <v>3317</v>
      </c>
      <c r="S4060" s="4">
        <f t="shared" ca="1" si="633"/>
        <v>510</v>
      </c>
      <c r="T4060">
        <f t="shared" si="634"/>
        <v>1</v>
      </c>
      <c r="U4060">
        <f t="shared" si="635"/>
        <v>1</v>
      </c>
      <c r="V4060">
        <f t="shared" si="636"/>
        <v>1</v>
      </c>
      <c r="W4060">
        <f t="shared" si="637"/>
        <v>1</v>
      </c>
      <c r="X4060">
        <f t="shared" si="638"/>
        <v>0.99999999999999989</v>
      </c>
      <c r="Y4060" t="str">
        <f t="shared" si="639"/>
        <v>Healthy</v>
      </c>
    </row>
    <row r="4061" spans="1:25" x14ac:dyDescent="0.35">
      <c r="A4061" t="s">
        <v>29</v>
      </c>
      <c r="B4061" t="s">
        <v>30</v>
      </c>
      <c r="C4061" t="s">
        <v>290</v>
      </c>
      <c r="D4061" t="s">
        <v>2598</v>
      </c>
      <c r="E4061">
        <v>80773607</v>
      </c>
      <c r="F4061" t="s">
        <v>2599</v>
      </c>
      <c r="G4061" s="3">
        <v>46905</v>
      </c>
      <c r="H4061">
        <v>36</v>
      </c>
      <c r="I4061">
        <v>66</v>
      </c>
      <c r="J4061">
        <v>12</v>
      </c>
      <c r="K4061" s="4">
        <v>19189.8</v>
      </c>
      <c r="L4061" s="4">
        <v>5.1428571428571432</v>
      </c>
      <c r="M4061" s="4">
        <v>2.333333333333333</v>
      </c>
      <c r="N4061" t="s">
        <v>25</v>
      </c>
      <c r="O4061" t="str">
        <f t="shared" si="630"/>
        <v>Low</v>
      </c>
      <c r="P4061" t="str">
        <f t="shared" si="631"/>
        <v>Low</v>
      </c>
      <c r="Q4061" t="str">
        <f t="shared" si="632"/>
        <v>Medium</v>
      </c>
      <c r="R4061" t="s">
        <v>3317</v>
      </c>
      <c r="S4061" s="4">
        <f t="shared" ca="1" si="633"/>
        <v>708</v>
      </c>
      <c r="T4061">
        <f t="shared" si="634"/>
        <v>1</v>
      </c>
      <c r="U4061">
        <f t="shared" si="635"/>
        <v>1</v>
      </c>
      <c r="V4061">
        <f t="shared" si="636"/>
        <v>2</v>
      </c>
      <c r="W4061">
        <f t="shared" si="637"/>
        <v>1</v>
      </c>
      <c r="X4061">
        <f t="shared" si="638"/>
        <v>1.2000000000000002</v>
      </c>
      <c r="Y4061" t="str">
        <f t="shared" si="639"/>
        <v>Healthy</v>
      </c>
    </row>
    <row r="4062" spans="1:25" x14ac:dyDescent="0.35">
      <c r="A4062" t="s">
        <v>29</v>
      </c>
      <c r="B4062" t="s">
        <v>30</v>
      </c>
      <c r="C4062" t="s">
        <v>290</v>
      </c>
      <c r="D4062" t="s">
        <v>2598</v>
      </c>
      <c r="E4062">
        <v>80773607</v>
      </c>
      <c r="F4062" t="s">
        <v>2599</v>
      </c>
      <c r="G4062" s="3">
        <v>46356</v>
      </c>
      <c r="H4062">
        <v>36</v>
      </c>
      <c r="I4062">
        <v>15</v>
      </c>
      <c r="J4062">
        <v>1</v>
      </c>
      <c r="K4062" s="4">
        <v>1599.15</v>
      </c>
      <c r="L4062" s="4">
        <v>5.1428571428571432</v>
      </c>
      <c r="M4062" s="4">
        <v>0.19444444444444442</v>
      </c>
      <c r="N4062" t="s">
        <v>25</v>
      </c>
      <c r="O4062" t="str">
        <f t="shared" si="630"/>
        <v>High</v>
      </c>
      <c r="P4062" t="str">
        <f t="shared" si="631"/>
        <v>Low</v>
      </c>
      <c r="Q4062" t="str">
        <f t="shared" si="632"/>
        <v>Medium</v>
      </c>
      <c r="R4062" t="s">
        <v>3317</v>
      </c>
      <c r="S4062" s="4">
        <f t="shared" ca="1" si="633"/>
        <v>159</v>
      </c>
      <c r="T4062">
        <f t="shared" si="634"/>
        <v>3</v>
      </c>
      <c r="U4062">
        <f t="shared" si="635"/>
        <v>1</v>
      </c>
      <c r="V4062">
        <f t="shared" si="636"/>
        <v>2</v>
      </c>
      <c r="W4062">
        <f t="shared" si="637"/>
        <v>1</v>
      </c>
      <c r="X4062">
        <f t="shared" si="638"/>
        <v>2.0000000000000004</v>
      </c>
      <c r="Y4062" t="str">
        <f t="shared" si="639"/>
        <v>Monitor</v>
      </c>
    </row>
    <row r="4063" spans="1:25" x14ac:dyDescent="0.35">
      <c r="A4063" t="s">
        <v>46</v>
      </c>
      <c r="B4063" t="s">
        <v>47</v>
      </c>
      <c r="C4063" t="s">
        <v>48</v>
      </c>
      <c r="D4063" t="s">
        <v>2600</v>
      </c>
      <c r="E4063">
        <v>80866729</v>
      </c>
      <c r="F4063" t="s">
        <v>2601</v>
      </c>
      <c r="G4063" s="3">
        <v>47226</v>
      </c>
      <c r="H4063">
        <v>36</v>
      </c>
      <c r="I4063">
        <v>96</v>
      </c>
      <c r="J4063">
        <v>5</v>
      </c>
      <c r="K4063" s="4">
        <v>1242.8</v>
      </c>
      <c r="L4063" s="4">
        <v>5924.2857142857147</v>
      </c>
      <c r="M4063" s="4">
        <v>8.4398360260429218E-4</v>
      </c>
      <c r="N4063" t="s">
        <v>25</v>
      </c>
      <c r="O4063" t="str">
        <f t="shared" si="630"/>
        <v>Low</v>
      </c>
      <c r="P4063" t="str">
        <f t="shared" si="631"/>
        <v>Low</v>
      </c>
      <c r="Q4063" t="str">
        <f t="shared" si="632"/>
        <v>Low</v>
      </c>
      <c r="R4063" t="s">
        <v>3317</v>
      </c>
      <c r="S4063" s="4">
        <f t="shared" ca="1" si="633"/>
        <v>1029</v>
      </c>
      <c r="T4063">
        <f t="shared" si="634"/>
        <v>1</v>
      </c>
      <c r="U4063">
        <f t="shared" si="635"/>
        <v>1</v>
      </c>
      <c r="V4063">
        <f t="shared" si="636"/>
        <v>1</v>
      </c>
      <c r="W4063">
        <f t="shared" si="637"/>
        <v>1</v>
      </c>
      <c r="X4063">
        <f t="shared" si="638"/>
        <v>0.99999999999999989</v>
      </c>
      <c r="Y4063" t="str">
        <f t="shared" si="639"/>
        <v>Healthy</v>
      </c>
    </row>
    <row r="4064" spans="1:25" x14ac:dyDescent="0.35">
      <c r="A4064" t="s">
        <v>41</v>
      </c>
      <c r="B4064" t="s">
        <v>54</v>
      </c>
      <c r="C4064" t="s">
        <v>293</v>
      </c>
      <c r="D4064" t="s">
        <v>1011</v>
      </c>
      <c r="E4064">
        <v>80814159</v>
      </c>
      <c r="F4064" t="s">
        <v>2602</v>
      </c>
      <c r="G4064" s="3">
        <v>46470</v>
      </c>
      <c r="H4064">
        <v>18</v>
      </c>
      <c r="I4064">
        <v>51</v>
      </c>
      <c r="J4064">
        <v>12</v>
      </c>
      <c r="K4064" s="4">
        <v>2607.9299999999998</v>
      </c>
      <c r="L4064" s="4">
        <v>15.571428571428571</v>
      </c>
      <c r="M4064" s="4">
        <v>0.77064220183486243</v>
      </c>
      <c r="N4064" t="s">
        <v>25</v>
      </c>
      <c r="O4064" t="str">
        <f t="shared" si="630"/>
        <v>Low</v>
      </c>
      <c r="P4064" t="str">
        <f t="shared" si="631"/>
        <v>Low</v>
      </c>
      <c r="Q4064" t="str">
        <f t="shared" si="632"/>
        <v>Low</v>
      </c>
      <c r="R4064" t="s">
        <v>3317</v>
      </c>
      <c r="S4064" s="4">
        <f t="shared" ca="1" si="633"/>
        <v>273</v>
      </c>
      <c r="T4064">
        <f t="shared" si="634"/>
        <v>1</v>
      </c>
      <c r="U4064">
        <f t="shared" si="635"/>
        <v>1</v>
      </c>
      <c r="V4064">
        <f t="shared" si="636"/>
        <v>1</v>
      </c>
      <c r="W4064">
        <f t="shared" si="637"/>
        <v>1</v>
      </c>
      <c r="X4064">
        <f t="shared" si="638"/>
        <v>0.99999999999999989</v>
      </c>
      <c r="Y4064" t="str">
        <f t="shared" si="639"/>
        <v>Healthy</v>
      </c>
    </row>
    <row r="4065" spans="1:25" x14ac:dyDescent="0.35">
      <c r="A4065" t="s">
        <v>46</v>
      </c>
      <c r="B4065" t="s">
        <v>47</v>
      </c>
      <c r="C4065" t="s">
        <v>48</v>
      </c>
      <c r="D4065" t="s">
        <v>2600</v>
      </c>
      <c r="E4065">
        <v>80866729</v>
      </c>
      <c r="F4065" t="s">
        <v>2601</v>
      </c>
      <c r="G4065" s="3">
        <v>47228</v>
      </c>
      <c r="H4065">
        <v>36</v>
      </c>
      <c r="I4065">
        <v>96</v>
      </c>
      <c r="J4065">
        <v>19</v>
      </c>
      <c r="K4065" s="4">
        <v>4722.6400000000003</v>
      </c>
      <c r="L4065" s="4">
        <v>5924.2857142857147</v>
      </c>
      <c r="M4065" s="4">
        <v>3.2071376898963103E-3</v>
      </c>
      <c r="N4065" t="s">
        <v>25</v>
      </c>
      <c r="O4065" t="str">
        <f t="shared" si="630"/>
        <v>Low</v>
      </c>
      <c r="P4065" t="str">
        <f t="shared" si="631"/>
        <v>Low</v>
      </c>
      <c r="Q4065" t="str">
        <f t="shared" si="632"/>
        <v>Low</v>
      </c>
      <c r="R4065" t="s">
        <v>3317</v>
      </c>
      <c r="S4065" s="4">
        <f t="shared" ca="1" si="633"/>
        <v>1031</v>
      </c>
      <c r="T4065">
        <f t="shared" si="634"/>
        <v>1</v>
      </c>
      <c r="U4065">
        <f t="shared" si="635"/>
        <v>1</v>
      </c>
      <c r="V4065">
        <f t="shared" si="636"/>
        <v>1</v>
      </c>
      <c r="W4065">
        <f t="shared" si="637"/>
        <v>1</v>
      </c>
      <c r="X4065">
        <f t="shared" si="638"/>
        <v>0.99999999999999989</v>
      </c>
      <c r="Y4065" t="str">
        <f t="shared" si="639"/>
        <v>Healthy</v>
      </c>
    </row>
    <row r="4066" spans="1:25" x14ac:dyDescent="0.35">
      <c r="A4066" t="s">
        <v>46</v>
      </c>
      <c r="B4066" t="s">
        <v>47</v>
      </c>
      <c r="C4066" t="s">
        <v>48</v>
      </c>
      <c r="D4066" t="s">
        <v>2600</v>
      </c>
      <c r="E4066">
        <v>80866729</v>
      </c>
      <c r="F4066" t="s">
        <v>2601</v>
      </c>
      <c r="G4066" s="3">
        <v>47239</v>
      </c>
      <c r="H4066">
        <v>36</v>
      </c>
      <c r="I4066">
        <v>97</v>
      </c>
      <c r="J4066">
        <v>1692</v>
      </c>
      <c r="K4066" s="4">
        <v>420563.52</v>
      </c>
      <c r="L4066" s="4">
        <v>5924.2857142857147</v>
      </c>
      <c r="M4066" s="4">
        <v>0.2856040511212925</v>
      </c>
      <c r="N4066" t="s">
        <v>25</v>
      </c>
      <c r="O4066" t="str">
        <f t="shared" si="630"/>
        <v>Low</v>
      </c>
      <c r="P4066" t="str">
        <f t="shared" si="631"/>
        <v>Low</v>
      </c>
      <c r="Q4066" t="str">
        <f t="shared" si="632"/>
        <v>Low</v>
      </c>
      <c r="R4066" t="s">
        <v>3309</v>
      </c>
      <c r="S4066" s="4">
        <f t="shared" ca="1" si="633"/>
        <v>1042</v>
      </c>
      <c r="T4066">
        <f t="shared" si="634"/>
        <v>1</v>
      </c>
      <c r="U4066">
        <f t="shared" si="635"/>
        <v>1</v>
      </c>
      <c r="V4066">
        <f t="shared" si="636"/>
        <v>1</v>
      </c>
      <c r="W4066">
        <f t="shared" si="637"/>
        <v>3</v>
      </c>
      <c r="X4066">
        <f t="shared" si="638"/>
        <v>1.2</v>
      </c>
      <c r="Y4066" t="str">
        <f t="shared" si="639"/>
        <v>Healthy</v>
      </c>
    </row>
    <row r="4067" spans="1:25" x14ac:dyDescent="0.35">
      <c r="A4067" t="s">
        <v>41</v>
      </c>
      <c r="B4067" t="s">
        <v>54</v>
      </c>
      <c r="C4067" t="s">
        <v>87</v>
      </c>
      <c r="D4067" t="s">
        <v>316</v>
      </c>
      <c r="E4067">
        <v>80791901</v>
      </c>
      <c r="F4067" t="s">
        <v>2603</v>
      </c>
      <c r="G4067" s="3">
        <v>46545</v>
      </c>
      <c r="H4067">
        <v>36</v>
      </c>
      <c r="I4067">
        <v>33</v>
      </c>
      <c r="J4067">
        <v>3</v>
      </c>
      <c r="K4067" s="4">
        <v>2674.2</v>
      </c>
      <c r="L4067" s="4">
        <f>0</f>
        <v>0</v>
      </c>
      <c r="M4067" s="4">
        <f>999</f>
        <v>999</v>
      </c>
      <c r="N4067" t="s">
        <v>19</v>
      </c>
      <c r="O4067" t="str">
        <f t="shared" si="630"/>
        <v>Medium</v>
      </c>
      <c r="P4067" t="str">
        <f t="shared" si="631"/>
        <v>High</v>
      </c>
      <c r="Q4067" t="str">
        <f t="shared" si="632"/>
        <v>High</v>
      </c>
      <c r="R4067" t="s">
        <v>3317</v>
      </c>
      <c r="S4067" s="4">
        <f t="shared" ca="1" si="633"/>
        <v>348</v>
      </c>
      <c r="T4067">
        <f t="shared" si="634"/>
        <v>2</v>
      </c>
      <c r="U4067">
        <f t="shared" si="635"/>
        <v>3</v>
      </c>
      <c r="V4067">
        <f t="shared" si="636"/>
        <v>3</v>
      </c>
      <c r="W4067">
        <f t="shared" si="637"/>
        <v>1</v>
      </c>
      <c r="X4067">
        <f t="shared" si="638"/>
        <v>2.4</v>
      </c>
      <c r="Y4067" t="str">
        <f t="shared" si="639"/>
        <v>High Priority</v>
      </c>
    </row>
    <row r="4068" spans="1:25" x14ac:dyDescent="0.35">
      <c r="A4068" t="s">
        <v>179</v>
      </c>
      <c r="B4068" t="s">
        <v>180</v>
      </c>
      <c r="C4068" t="s">
        <v>181</v>
      </c>
      <c r="D4068" t="s">
        <v>2604</v>
      </c>
      <c r="E4068">
        <v>80797368</v>
      </c>
      <c r="F4068" t="s">
        <v>2605</v>
      </c>
      <c r="G4068" s="3">
        <v>46086</v>
      </c>
      <c r="H4068">
        <v>16</v>
      </c>
      <c r="I4068">
        <v>0</v>
      </c>
      <c r="J4068">
        <v>24</v>
      </c>
      <c r="K4068" s="4">
        <v>1221.1199999999999</v>
      </c>
      <c r="L4068" s="4">
        <f>0</f>
        <v>0</v>
      </c>
      <c r="M4068" s="4">
        <f>999</f>
        <v>999</v>
      </c>
      <c r="N4068" t="s">
        <v>19</v>
      </c>
      <c r="O4068" t="str">
        <f t="shared" si="630"/>
        <v>High</v>
      </c>
      <c r="P4068" t="str">
        <f t="shared" si="631"/>
        <v>High</v>
      </c>
      <c r="Q4068" t="str">
        <f t="shared" si="632"/>
        <v>High</v>
      </c>
      <c r="R4068" t="s">
        <v>3317</v>
      </c>
      <c r="S4068" s="4">
        <f t="shared" ca="1" si="633"/>
        <v>-111</v>
      </c>
      <c r="T4068">
        <f t="shared" si="634"/>
        <v>3</v>
      </c>
      <c r="U4068">
        <f t="shared" si="635"/>
        <v>3</v>
      </c>
      <c r="V4068">
        <f t="shared" si="636"/>
        <v>3</v>
      </c>
      <c r="W4068">
        <f t="shared" si="637"/>
        <v>1</v>
      </c>
      <c r="X4068">
        <f t="shared" si="638"/>
        <v>2.8000000000000003</v>
      </c>
      <c r="Y4068" t="str">
        <f t="shared" si="639"/>
        <v>Move Immediately</v>
      </c>
    </row>
    <row r="4069" spans="1:25" x14ac:dyDescent="0.35">
      <c r="A4069" t="s">
        <v>14</v>
      </c>
      <c r="B4069" t="s">
        <v>115</v>
      </c>
      <c r="C4069" t="s">
        <v>904</v>
      </c>
      <c r="D4069" t="s">
        <v>2606</v>
      </c>
      <c r="E4069">
        <v>80799271</v>
      </c>
      <c r="F4069" t="s">
        <v>2607</v>
      </c>
      <c r="G4069" s="3">
        <v>47683</v>
      </c>
      <c r="H4069">
        <v>60</v>
      </c>
      <c r="I4069">
        <v>83</v>
      </c>
      <c r="J4069">
        <v>19</v>
      </c>
      <c r="K4069" s="4">
        <v>5569.28</v>
      </c>
      <c r="L4069" s="4">
        <v>79.857142857142861</v>
      </c>
      <c r="M4069" s="4">
        <v>0.23792486583184255</v>
      </c>
      <c r="N4069" t="s">
        <v>25</v>
      </c>
      <c r="O4069" t="str">
        <f t="shared" si="630"/>
        <v>Low</v>
      </c>
      <c r="P4069" t="str">
        <f t="shared" si="631"/>
        <v>Low</v>
      </c>
      <c r="Q4069" t="str">
        <f t="shared" si="632"/>
        <v>Low</v>
      </c>
      <c r="R4069" t="s">
        <v>3317</v>
      </c>
      <c r="S4069" s="4">
        <f t="shared" ca="1" si="633"/>
        <v>1486</v>
      </c>
      <c r="T4069">
        <f t="shared" si="634"/>
        <v>1</v>
      </c>
      <c r="U4069">
        <f t="shared" si="635"/>
        <v>1</v>
      </c>
      <c r="V4069">
        <f t="shared" si="636"/>
        <v>1</v>
      </c>
      <c r="W4069">
        <f t="shared" si="637"/>
        <v>1</v>
      </c>
      <c r="X4069">
        <f t="shared" si="638"/>
        <v>0.99999999999999989</v>
      </c>
      <c r="Y4069" t="str">
        <f t="shared" si="639"/>
        <v>Healthy</v>
      </c>
    </row>
    <row r="4070" spans="1:25" x14ac:dyDescent="0.35">
      <c r="A4070" t="s">
        <v>90</v>
      </c>
      <c r="B4070" t="s">
        <v>91</v>
      </c>
      <c r="C4070" t="s">
        <v>92</v>
      </c>
      <c r="D4070" t="s">
        <v>2608</v>
      </c>
      <c r="E4070">
        <v>80811089</v>
      </c>
      <c r="F4070" t="s">
        <v>2609</v>
      </c>
      <c r="G4070" s="3">
        <v>46513</v>
      </c>
      <c r="H4070">
        <v>24</v>
      </c>
      <c r="I4070">
        <v>45</v>
      </c>
      <c r="J4070">
        <v>109</v>
      </c>
      <c r="K4070" s="4">
        <v>19513.18</v>
      </c>
      <c r="L4070" s="4">
        <v>62.857142857142854</v>
      </c>
      <c r="M4070" s="4">
        <v>1.7340909090909091</v>
      </c>
      <c r="N4070" t="s">
        <v>25</v>
      </c>
      <c r="O4070" t="str">
        <f t="shared" si="630"/>
        <v>Low</v>
      </c>
      <c r="P4070" t="str">
        <f t="shared" si="631"/>
        <v>Low</v>
      </c>
      <c r="Q4070" t="str">
        <f t="shared" si="632"/>
        <v>Low</v>
      </c>
      <c r="R4070" t="s">
        <v>3317</v>
      </c>
      <c r="S4070" s="4">
        <f t="shared" ca="1" si="633"/>
        <v>316</v>
      </c>
      <c r="T4070">
        <f t="shared" si="634"/>
        <v>1</v>
      </c>
      <c r="U4070">
        <f t="shared" si="635"/>
        <v>1</v>
      </c>
      <c r="V4070">
        <f t="shared" si="636"/>
        <v>1</v>
      </c>
      <c r="W4070">
        <f t="shared" si="637"/>
        <v>1</v>
      </c>
      <c r="X4070">
        <f t="shared" si="638"/>
        <v>0.99999999999999989</v>
      </c>
      <c r="Y4070" t="str">
        <f t="shared" si="639"/>
        <v>Healthy</v>
      </c>
    </row>
    <row r="4071" spans="1:25" x14ac:dyDescent="0.35">
      <c r="A4071" t="s">
        <v>179</v>
      </c>
      <c r="B4071" t="s">
        <v>195</v>
      </c>
      <c r="C4071" t="s">
        <v>196</v>
      </c>
      <c r="D4071" t="s">
        <v>727</v>
      </c>
      <c r="E4071">
        <v>80895746</v>
      </c>
      <c r="F4071" t="s">
        <v>2610</v>
      </c>
      <c r="G4071" s="3">
        <v>46510</v>
      </c>
      <c r="H4071">
        <v>16</v>
      </c>
      <c r="I4071">
        <v>66</v>
      </c>
      <c r="J4071">
        <v>533</v>
      </c>
      <c r="K4071" s="4">
        <v>50219.26</v>
      </c>
      <c r="L4071" s="4">
        <v>6805.2857142857147</v>
      </c>
      <c r="M4071" s="4">
        <v>7.8321472804752601E-2</v>
      </c>
      <c r="N4071" t="s">
        <v>25</v>
      </c>
      <c r="O4071" t="str">
        <f t="shared" si="630"/>
        <v>Low</v>
      </c>
      <c r="P4071" t="str">
        <f t="shared" si="631"/>
        <v>Low</v>
      </c>
      <c r="Q4071" t="str">
        <f t="shared" si="632"/>
        <v>Low</v>
      </c>
      <c r="R4071" t="s">
        <v>3317</v>
      </c>
      <c r="S4071" s="4">
        <f t="shared" ca="1" si="633"/>
        <v>313</v>
      </c>
      <c r="T4071">
        <f t="shared" si="634"/>
        <v>1</v>
      </c>
      <c r="U4071">
        <f t="shared" si="635"/>
        <v>1</v>
      </c>
      <c r="V4071">
        <f t="shared" si="636"/>
        <v>1</v>
      </c>
      <c r="W4071">
        <f t="shared" si="637"/>
        <v>1</v>
      </c>
      <c r="X4071">
        <f t="shared" si="638"/>
        <v>0.99999999999999989</v>
      </c>
      <c r="Y4071" t="str">
        <f t="shared" si="639"/>
        <v>Healthy</v>
      </c>
    </row>
    <row r="4072" spans="1:25" x14ac:dyDescent="0.35">
      <c r="A4072" t="s">
        <v>90</v>
      </c>
      <c r="B4072" t="s">
        <v>91</v>
      </c>
      <c r="C4072" t="s">
        <v>92</v>
      </c>
      <c r="D4072" t="s">
        <v>2608</v>
      </c>
      <c r="E4072">
        <v>80811089</v>
      </c>
      <c r="F4072" t="s">
        <v>2609</v>
      </c>
      <c r="G4072" s="3">
        <v>46147</v>
      </c>
      <c r="H4072">
        <v>24</v>
      </c>
      <c r="I4072">
        <v>0</v>
      </c>
      <c r="J4072">
        <v>191</v>
      </c>
      <c r="K4072" s="4">
        <v>34192.82</v>
      </c>
      <c r="L4072" s="4">
        <v>62.857142857142854</v>
      </c>
      <c r="M4072" s="4">
        <v>3.0386363636363636</v>
      </c>
      <c r="N4072" t="s">
        <v>25</v>
      </c>
      <c r="O4072" t="str">
        <f t="shared" si="630"/>
        <v>High</v>
      </c>
      <c r="P4072" t="str">
        <f t="shared" si="631"/>
        <v>Low</v>
      </c>
      <c r="Q4072" t="str">
        <f t="shared" si="632"/>
        <v>Low</v>
      </c>
      <c r="R4072" t="s">
        <v>3317</v>
      </c>
      <c r="S4072" s="4">
        <f t="shared" ca="1" si="633"/>
        <v>-50</v>
      </c>
      <c r="T4072">
        <f t="shared" si="634"/>
        <v>3</v>
      </c>
      <c r="U4072">
        <f t="shared" si="635"/>
        <v>1</v>
      </c>
      <c r="V4072">
        <f t="shared" si="636"/>
        <v>1</v>
      </c>
      <c r="W4072">
        <f t="shared" si="637"/>
        <v>1</v>
      </c>
      <c r="X4072">
        <f t="shared" si="638"/>
        <v>1.8000000000000003</v>
      </c>
      <c r="Y4072" t="str">
        <f t="shared" si="639"/>
        <v>Monitor</v>
      </c>
    </row>
    <row r="4073" spans="1:25" x14ac:dyDescent="0.35">
      <c r="A4073" t="s">
        <v>179</v>
      </c>
      <c r="B4073" t="s">
        <v>195</v>
      </c>
      <c r="C4073" t="s">
        <v>196</v>
      </c>
      <c r="D4073" t="s">
        <v>727</v>
      </c>
      <c r="E4073">
        <v>80895746</v>
      </c>
      <c r="F4073" t="s">
        <v>2610</v>
      </c>
      <c r="G4073" s="3">
        <v>46515</v>
      </c>
      <c r="H4073">
        <v>16</v>
      </c>
      <c r="I4073">
        <v>67</v>
      </c>
      <c r="J4073">
        <v>619</v>
      </c>
      <c r="K4073" s="4">
        <v>58322.18</v>
      </c>
      <c r="L4073" s="4">
        <v>6805.2857142857147</v>
      </c>
      <c r="M4073" s="4">
        <v>9.0958708566870286E-2</v>
      </c>
      <c r="N4073" t="s">
        <v>25</v>
      </c>
      <c r="O4073" t="str">
        <f t="shared" si="630"/>
        <v>Low</v>
      </c>
      <c r="P4073" t="str">
        <f t="shared" si="631"/>
        <v>Low</v>
      </c>
      <c r="Q4073" t="str">
        <f t="shared" si="632"/>
        <v>Low</v>
      </c>
      <c r="R4073" t="s">
        <v>3317</v>
      </c>
      <c r="S4073" s="4">
        <f t="shared" ca="1" si="633"/>
        <v>318</v>
      </c>
      <c r="T4073">
        <f t="shared" si="634"/>
        <v>1</v>
      </c>
      <c r="U4073">
        <f t="shared" si="635"/>
        <v>1</v>
      </c>
      <c r="V4073">
        <f t="shared" si="636"/>
        <v>1</v>
      </c>
      <c r="W4073">
        <f t="shared" si="637"/>
        <v>1</v>
      </c>
      <c r="X4073">
        <f t="shared" si="638"/>
        <v>0.99999999999999989</v>
      </c>
      <c r="Y4073" t="str">
        <f t="shared" si="639"/>
        <v>Healthy</v>
      </c>
    </row>
    <row r="4074" spans="1:25" x14ac:dyDescent="0.35">
      <c r="A4074" t="s">
        <v>71</v>
      </c>
      <c r="B4074" t="s">
        <v>72</v>
      </c>
      <c r="C4074" t="s">
        <v>174</v>
      </c>
      <c r="D4074" t="s">
        <v>547</v>
      </c>
      <c r="E4074">
        <v>80808831</v>
      </c>
      <c r="F4074" t="s">
        <v>2611</v>
      </c>
      <c r="G4074" s="3">
        <v>46644</v>
      </c>
      <c r="H4074">
        <v>36</v>
      </c>
      <c r="I4074">
        <v>42</v>
      </c>
      <c r="J4074">
        <v>1</v>
      </c>
      <c r="K4074" s="4">
        <v>4150.76</v>
      </c>
      <c r="L4074" s="4">
        <f>0</f>
        <v>0</v>
      </c>
      <c r="M4074" s="4">
        <f>999</f>
        <v>999</v>
      </c>
      <c r="N4074" t="s">
        <v>19</v>
      </c>
      <c r="O4074" t="str">
        <f t="shared" si="630"/>
        <v>Low</v>
      </c>
      <c r="P4074" t="str">
        <f t="shared" si="631"/>
        <v>High</v>
      </c>
      <c r="Q4074" t="str">
        <f t="shared" si="632"/>
        <v>High</v>
      </c>
      <c r="R4074" t="s">
        <v>3317</v>
      </c>
      <c r="S4074" s="4">
        <f t="shared" ca="1" si="633"/>
        <v>447</v>
      </c>
      <c r="T4074">
        <f t="shared" si="634"/>
        <v>1</v>
      </c>
      <c r="U4074">
        <f t="shared" si="635"/>
        <v>3</v>
      </c>
      <c r="V4074">
        <f t="shared" si="636"/>
        <v>3</v>
      </c>
      <c r="W4074">
        <f t="shared" si="637"/>
        <v>1</v>
      </c>
      <c r="X4074">
        <f t="shared" si="638"/>
        <v>2</v>
      </c>
      <c r="Y4074" t="str">
        <f t="shared" si="639"/>
        <v>Monitor</v>
      </c>
    </row>
    <row r="4075" spans="1:25" x14ac:dyDescent="0.35">
      <c r="A4075" t="s">
        <v>179</v>
      </c>
      <c r="B4075" t="s">
        <v>195</v>
      </c>
      <c r="C4075" t="s">
        <v>196</v>
      </c>
      <c r="D4075" t="s">
        <v>727</v>
      </c>
      <c r="E4075">
        <v>80895746</v>
      </c>
      <c r="F4075" t="s">
        <v>2610</v>
      </c>
      <c r="G4075" s="3">
        <v>46515</v>
      </c>
      <c r="H4075">
        <v>16</v>
      </c>
      <c r="I4075">
        <v>67</v>
      </c>
      <c r="J4075">
        <v>672</v>
      </c>
      <c r="K4075" s="4">
        <v>63315.839999999997</v>
      </c>
      <c r="L4075" s="4">
        <v>6805.2857142857147</v>
      </c>
      <c r="M4075" s="4">
        <v>9.8746772466780014E-2</v>
      </c>
      <c r="N4075" t="s">
        <v>25</v>
      </c>
      <c r="O4075" t="str">
        <f t="shared" si="630"/>
        <v>Low</v>
      </c>
      <c r="P4075" t="str">
        <f t="shared" si="631"/>
        <v>Low</v>
      </c>
      <c r="Q4075" t="str">
        <f t="shared" si="632"/>
        <v>Low</v>
      </c>
      <c r="R4075" t="s">
        <v>3317</v>
      </c>
      <c r="S4075" s="4">
        <f t="shared" ca="1" si="633"/>
        <v>318</v>
      </c>
      <c r="T4075">
        <f t="shared" si="634"/>
        <v>1</v>
      </c>
      <c r="U4075">
        <f t="shared" si="635"/>
        <v>1</v>
      </c>
      <c r="V4075">
        <f t="shared" si="636"/>
        <v>1</v>
      </c>
      <c r="W4075">
        <f t="shared" si="637"/>
        <v>1</v>
      </c>
      <c r="X4075">
        <f t="shared" si="638"/>
        <v>0.99999999999999989</v>
      </c>
      <c r="Y4075" t="str">
        <f t="shared" si="639"/>
        <v>Healthy</v>
      </c>
    </row>
    <row r="4076" spans="1:25" x14ac:dyDescent="0.35">
      <c r="A4076" t="s">
        <v>14</v>
      </c>
      <c r="B4076" t="s">
        <v>58</v>
      </c>
      <c r="C4076" t="s">
        <v>162</v>
      </c>
      <c r="D4076" t="s">
        <v>1788</v>
      </c>
      <c r="E4076">
        <v>80876074</v>
      </c>
      <c r="F4076" t="s">
        <v>2612</v>
      </c>
      <c r="G4076" s="3">
        <v>47853</v>
      </c>
      <c r="H4076">
        <v>60</v>
      </c>
      <c r="I4076">
        <v>92</v>
      </c>
      <c r="J4076">
        <v>5</v>
      </c>
      <c r="K4076" s="4">
        <v>5824.1</v>
      </c>
      <c r="L4076" s="4">
        <v>331</v>
      </c>
      <c r="M4076" s="4">
        <v>1.5105740181268883E-2</v>
      </c>
      <c r="N4076" t="s">
        <v>25</v>
      </c>
      <c r="O4076" t="str">
        <f t="shared" si="630"/>
        <v>Low</v>
      </c>
      <c r="P4076" t="str">
        <f t="shared" si="631"/>
        <v>Low</v>
      </c>
      <c r="Q4076" t="str">
        <f t="shared" si="632"/>
        <v>Low</v>
      </c>
      <c r="R4076" t="s">
        <v>3317</v>
      </c>
      <c r="S4076" s="4">
        <f t="shared" ca="1" si="633"/>
        <v>1656</v>
      </c>
      <c r="T4076">
        <f t="shared" si="634"/>
        <v>1</v>
      </c>
      <c r="U4076">
        <f t="shared" si="635"/>
        <v>1</v>
      </c>
      <c r="V4076">
        <f t="shared" si="636"/>
        <v>1</v>
      </c>
      <c r="W4076">
        <f t="shared" si="637"/>
        <v>1</v>
      </c>
      <c r="X4076">
        <f t="shared" si="638"/>
        <v>0.99999999999999989</v>
      </c>
      <c r="Y4076" t="str">
        <f t="shared" si="639"/>
        <v>Healthy</v>
      </c>
    </row>
    <row r="4077" spans="1:25" x14ac:dyDescent="0.35">
      <c r="A4077" t="s">
        <v>14</v>
      </c>
      <c r="B4077" t="s">
        <v>58</v>
      </c>
      <c r="C4077" t="s">
        <v>162</v>
      </c>
      <c r="D4077" t="s">
        <v>1788</v>
      </c>
      <c r="E4077">
        <v>80876074</v>
      </c>
      <c r="F4077" t="s">
        <v>2612</v>
      </c>
      <c r="G4077" s="3">
        <v>47792</v>
      </c>
      <c r="H4077">
        <v>60</v>
      </c>
      <c r="I4077">
        <v>89</v>
      </c>
      <c r="J4077">
        <v>48</v>
      </c>
      <c r="K4077" s="4">
        <v>51385.919999999998</v>
      </c>
      <c r="L4077" s="4">
        <v>331</v>
      </c>
      <c r="M4077" s="4">
        <v>0.14501510574018128</v>
      </c>
      <c r="N4077" t="s">
        <v>25</v>
      </c>
      <c r="O4077" t="str">
        <f t="shared" si="630"/>
        <v>Low</v>
      </c>
      <c r="P4077" t="str">
        <f t="shared" si="631"/>
        <v>Low</v>
      </c>
      <c r="Q4077" t="str">
        <f t="shared" si="632"/>
        <v>Low</v>
      </c>
      <c r="R4077" t="s">
        <v>3317</v>
      </c>
      <c r="S4077" s="4">
        <f t="shared" ca="1" si="633"/>
        <v>1595</v>
      </c>
      <c r="T4077">
        <f t="shared" si="634"/>
        <v>1</v>
      </c>
      <c r="U4077">
        <f t="shared" si="635"/>
        <v>1</v>
      </c>
      <c r="V4077">
        <f t="shared" si="636"/>
        <v>1</v>
      </c>
      <c r="W4077">
        <f t="shared" si="637"/>
        <v>1</v>
      </c>
      <c r="X4077">
        <f t="shared" si="638"/>
        <v>0.99999999999999989</v>
      </c>
      <c r="Y4077" t="str">
        <f t="shared" si="639"/>
        <v>Healthy</v>
      </c>
    </row>
    <row r="4078" spans="1:25" x14ac:dyDescent="0.35">
      <c r="A4078" t="s">
        <v>71</v>
      </c>
      <c r="B4078" t="s">
        <v>72</v>
      </c>
      <c r="C4078" t="s">
        <v>386</v>
      </c>
      <c r="D4078" t="s">
        <v>1101</v>
      </c>
      <c r="E4078">
        <v>80815795</v>
      </c>
      <c r="F4078" t="s">
        <v>2613</v>
      </c>
      <c r="G4078" s="3">
        <v>46579</v>
      </c>
      <c r="H4078">
        <v>36</v>
      </c>
      <c r="I4078">
        <v>36</v>
      </c>
      <c r="J4078">
        <v>2</v>
      </c>
      <c r="K4078" s="4">
        <v>147.19999999999999</v>
      </c>
      <c r="L4078" s="4">
        <f>0</f>
        <v>0</v>
      </c>
      <c r="M4078" s="4">
        <f>999</f>
        <v>999</v>
      </c>
      <c r="N4078" t="s">
        <v>19</v>
      </c>
      <c r="O4078" t="str">
        <f t="shared" si="630"/>
        <v>Medium</v>
      </c>
      <c r="P4078" t="str">
        <f t="shared" si="631"/>
        <v>High</v>
      </c>
      <c r="Q4078" t="str">
        <f t="shared" si="632"/>
        <v>High</v>
      </c>
      <c r="R4078" t="s">
        <v>3317</v>
      </c>
      <c r="S4078" s="4">
        <f t="shared" ca="1" si="633"/>
        <v>382</v>
      </c>
      <c r="T4078">
        <f t="shared" si="634"/>
        <v>2</v>
      </c>
      <c r="U4078">
        <f t="shared" si="635"/>
        <v>3</v>
      </c>
      <c r="V4078">
        <f t="shared" si="636"/>
        <v>3</v>
      </c>
      <c r="W4078">
        <f t="shared" si="637"/>
        <v>1</v>
      </c>
      <c r="X4078">
        <f t="shared" si="638"/>
        <v>2.4</v>
      </c>
      <c r="Y4078" t="str">
        <f t="shared" si="639"/>
        <v>High Priority</v>
      </c>
    </row>
    <row r="4079" spans="1:25" x14ac:dyDescent="0.35">
      <c r="A4079" t="s">
        <v>14</v>
      </c>
      <c r="B4079" t="s">
        <v>58</v>
      </c>
      <c r="C4079" t="s">
        <v>951</v>
      </c>
      <c r="D4079" t="s">
        <v>2614</v>
      </c>
      <c r="E4079">
        <v>80876076</v>
      </c>
      <c r="F4079" t="s">
        <v>2615</v>
      </c>
      <c r="G4079" s="3">
        <v>47944</v>
      </c>
      <c r="H4079">
        <v>60</v>
      </c>
      <c r="I4079">
        <v>97</v>
      </c>
      <c r="J4079">
        <v>97</v>
      </c>
      <c r="K4079" s="4">
        <v>112987.54</v>
      </c>
      <c r="L4079" s="4">
        <v>135.42857142857142</v>
      </c>
      <c r="M4079" s="4">
        <v>0.7162447257383967</v>
      </c>
      <c r="N4079" t="s">
        <v>25</v>
      </c>
      <c r="O4079" t="str">
        <f t="shared" si="630"/>
        <v>Low</v>
      </c>
      <c r="P4079" t="str">
        <f t="shared" si="631"/>
        <v>Low</v>
      </c>
      <c r="Q4079" t="str">
        <f t="shared" si="632"/>
        <v>Low</v>
      </c>
      <c r="R4079" t="s">
        <v>3310</v>
      </c>
      <c r="S4079" s="4">
        <f t="shared" ca="1" si="633"/>
        <v>1747</v>
      </c>
      <c r="T4079">
        <f t="shared" si="634"/>
        <v>1</v>
      </c>
      <c r="U4079">
        <f t="shared" si="635"/>
        <v>1</v>
      </c>
      <c r="V4079">
        <f t="shared" si="636"/>
        <v>1</v>
      </c>
      <c r="W4079">
        <f t="shared" si="637"/>
        <v>2</v>
      </c>
      <c r="X4079">
        <f t="shared" si="638"/>
        <v>1.0999999999999999</v>
      </c>
      <c r="Y4079" t="str">
        <f t="shared" si="639"/>
        <v>Healthy</v>
      </c>
    </row>
    <row r="4080" spans="1:25" x14ac:dyDescent="0.35">
      <c r="A4080" t="s">
        <v>14</v>
      </c>
      <c r="B4080" t="s">
        <v>58</v>
      </c>
      <c r="C4080" t="s">
        <v>951</v>
      </c>
      <c r="D4080" t="s">
        <v>2614</v>
      </c>
      <c r="E4080">
        <v>80876076</v>
      </c>
      <c r="F4080" t="s">
        <v>2615</v>
      </c>
      <c r="G4080" s="3">
        <v>47875</v>
      </c>
      <c r="H4080">
        <v>60</v>
      </c>
      <c r="I4080">
        <v>94</v>
      </c>
      <c r="J4080">
        <v>12</v>
      </c>
      <c r="K4080" s="4">
        <v>60125</v>
      </c>
      <c r="L4080" s="4">
        <v>135.42857142857142</v>
      </c>
      <c r="M4080" s="4">
        <v>8.8607594936708875E-2</v>
      </c>
      <c r="N4080" t="s">
        <v>25</v>
      </c>
      <c r="O4080" t="str">
        <f t="shared" si="630"/>
        <v>Low</v>
      </c>
      <c r="P4080" t="str">
        <f t="shared" si="631"/>
        <v>Low</v>
      </c>
      <c r="Q4080" t="str">
        <f t="shared" si="632"/>
        <v>Low</v>
      </c>
      <c r="R4080" t="s">
        <v>3317</v>
      </c>
      <c r="S4080" s="4">
        <f t="shared" ca="1" si="633"/>
        <v>1678</v>
      </c>
      <c r="T4080">
        <f t="shared" si="634"/>
        <v>1</v>
      </c>
      <c r="U4080">
        <f t="shared" si="635"/>
        <v>1</v>
      </c>
      <c r="V4080">
        <f t="shared" si="636"/>
        <v>1</v>
      </c>
      <c r="W4080">
        <f t="shared" si="637"/>
        <v>1</v>
      </c>
      <c r="X4080">
        <f t="shared" si="638"/>
        <v>0.99999999999999989</v>
      </c>
      <c r="Y4080" t="str">
        <f t="shared" si="639"/>
        <v>Healthy</v>
      </c>
    </row>
    <row r="4081" spans="1:25" x14ac:dyDescent="0.35">
      <c r="A4081" t="s">
        <v>14</v>
      </c>
      <c r="B4081" t="s">
        <v>58</v>
      </c>
      <c r="C4081" t="s">
        <v>951</v>
      </c>
      <c r="D4081" t="s">
        <v>2614</v>
      </c>
      <c r="E4081">
        <v>80876076</v>
      </c>
      <c r="F4081" t="s">
        <v>2615</v>
      </c>
      <c r="G4081" s="3">
        <v>47891</v>
      </c>
      <c r="H4081">
        <v>60</v>
      </c>
      <c r="I4081">
        <v>94</v>
      </c>
      <c r="J4081">
        <v>2</v>
      </c>
      <c r="K4081" s="4">
        <v>48562.5</v>
      </c>
      <c r="L4081" s="4">
        <v>135.42857142857142</v>
      </c>
      <c r="M4081" s="4">
        <v>1.4767932489451479E-2</v>
      </c>
      <c r="N4081" t="s">
        <v>25</v>
      </c>
      <c r="O4081" t="str">
        <f t="shared" si="630"/>
        <v>Low</v>
      </c>
      <c r="P4081" t="str">
        <f t="shared" si="631"/>
        <v>Low</v>
      </c>
      <c r="Q4081" t="str">
        <f t="shared" si="632"/>
        <v>Low</v>
      </c>
      <c r="R4081" t="s">
        <v>3317</v>
      </c>
      <c r="S4081" s="4">
        <f t="shared" ca="1" si="633"/>
        <v>1694</v>
      </c>
      <c r="T4081">
        <f t="shared" si="634"/>
        <v>1</v>
      </c>
      <c r="U4081">
        <f t="shared" si="635"/>
        <v>1</v>
      </c>
      <c r="V4081">
        <f t="shared" si="636"/>
        <v>1</v>
      </c>
      <c r="W4081">
        <f t="shared" si="637"/>
        <v>1</v>
      </c>
      <c r="X4081">
        <f t="shared" si="638"/>
        <v>0.99999999999999989</v>
      </c>
      <c r="Y4081" t="str">
        <f t="shared" si="639"/>
        <v>Healthy</v>
      </c>
    </row>
    <row r="4082" spans="1:25" x14ac:dyDescent="0.35">
      <c r="A4082" t="s">
        <v>14</v>
      </c>
      <c r="B4082" t="s">
        <v>58</v>
      </c>
      <c r="C4082" t="s">
        <v>951</v>
      </c>
      <c r="D4082" t="s">
        <v>2614</v>
      </c>
      <c r="E4082">
        <v>80876076</v>
      </c>
      <c r="F4082" t="s">
        <v>2615</v>
      </c>
      <c r="G4082" s="3">
        <v>47624</v>
      </c>
      <c r="H4082">
        <v>60</v>
      </c>
      <c r="I4082">
        <v>80</v>
      </c>
      <c r="J4082">
        <v>27</v>
      </c>
      <c r="K4082" s="4">
        <v>31450.14</v>
      </c>
      <c r="L4082" s="4">
        <v>135.42857142857142</v>
      </c>
      <c r="M4082" s="4">
        <v>0.19936708860759494</v>
      </c>
      <c r="N4082" t="s">
        <v>25</v>
      </c>
      <c r="O4082" t="str">
        <f t="shared" si="630"/>
        <v>Low</v>
      </c>
      <c r="P4082" t="str">
        <f t="shared" si="631"/>
        <v>Low</v>
      </c>
      <c r="Q4082" t="str">
        <f t="shared" si="632"/>
        <v>Low</v>
      </c>
      <c r="R4082" t="s">
        <v>3317</v>
      </c>
      <c r="S4082" s="4">
        <f t="shared" ca="1" si="633"/>
        <v>1427</v>
      </c>
      <c r="T4082">
        <f t="shared" si="634"/>
        <v>1</v>
      </c>
      <c r="U4082">
        <f t="shared" si="635"/>
        <v>1</v>
      </c>
      <c r="V4082">
        <f t="shared" si="636"/>
        <v>1</v>
      </c>
      <c r="W4082">
        <f t="shared" si="637"/>
        <v>1</v>
      </c>
      <c r="X4082">
        <f t="shared" si="638"/>
        <v>0.99999999999999989</v>
      </c>
      <c r="Y4082" t="str">
        <f t="shared" si="639"/>
        <v>Healthy</v>
      </c>
    </row>
    <row r="4083" spans="1:25" x14ac:dyDescent="0.35">
      <c r="A4083" t="s">
        <v>14</v>
      </c>
      <c r="B4083" t="s">
        <v>58</v>
      </c>
      <c r="C4083" t="s">
        <v>162</v>
      </c>
      <c r="D4083" t="s">
        <v>163</v>
      </c>
      <c r="E4083">
        <v>80876078</v>
      </c>
      <c r="F4083" t="s">
        <v>2616</v>
      </c>
      <c r="G4083" s="3">
        <v>47983</v>
      </c>
      <c r="H4083">
        <v>60</v>
      </c>
      <c r="I4083">
        <v>100</v>
      </c>
      <c r="J4083">
        <v>235</v>
      </c>
      <c r="K4083" s="4">
        <v>241504.8</v>
      </c>
      <c r="L4083" s="4">
        <v>745.42857142857144</v>
      </c>
      <c r="M4083" s="4">
        <v>0.3152548869298582</v>
      </c>
      <c r="N4083" t="s">
        <v>25</v>
      </c>
      <c r="O4083" t="str">
        <f t="shared" si="630"/>
        <v>Low</v>
      </c>
      <c r="P4083" t="str">
        <f t="shared" si="631"/>
        <v>Low</v>
      </c>
      <c r="Q4083" t="str">
        <f t="shared" si="632"/>
        <v>Low</v>
      </c>
      <c r="R4083" t="s">
        <v>3309</v>
      </c>
      <c r="S4083" s="4">
        <f t="shared" ca="1" si="633"/>
        <v>1786</v>
      </c>
      <c r="T4083">
        <f t="shared" si="634"/>
        <v>1</v>
      </c>
      <c r="U4083">
        <f t="shared" si="635"/>
        <v>1</v>
      </c>
      <c r="V4083">
        <f t="shared" si="636"/>
        <v>1</v>
      </c>
      <c r="W4083">
        <f t="shared" si="637"/>
        <v>3</v>
      </c>
      <c r="X4083">
        <f t="shared" si="638"/>
        <v>1.2</v>
      </c>
      <c r="Y4083" t="str">
        <f t="shared" si="639"/>
        <v>Healthy</v>
      </c>
    </row>
    <row r="4084" spans="1:25" x14ac:dyDescent="0.35">
      <c r="A4084" t="s">
        <v>46</v>
      </c>
      <c r="B4084" t="s">
        <v>47</v>
      </c>
      <c r="C4084" t="s">
        <v>48</v>
      </c>
      <c r="D4084" t="s">
        <v>2617</v>
      </c>
      <c r="E4084">
        <v>80866723</v>
      </c>
      <c r="F4084" t="s">
        <v>2618</v>
      </c>
      <c r="G4084" s="3">
        <v>47214</v>
      </c>
      <c r="H4084">
        <v>36</v>
      </c>
      <c r="I4084">
        <v>95</v>
      </c>
      <c r="J4084">
        <v>71</v>
      </c>
      <c r="K4084" s="4">
        <v>17647.759999999998</v>
      </c>
      <c r="L4084" s="4">
        <v>6013.4285714285716</v>
      </c>
      <c r="M4084" s="4">
        <v>1.1806908347983085E-2</v>
      </c>
      <c r="N4084" t="s">
        <v>25</v>
      </c>
      <c r="O4084" t="str">
        <f t="shared" si="630"/>
        <v>Low</v>
      </c>
      <c r="P4084" t="str">
        <f t="shared" si="631"/>
        <v>Low</v>
      </c>
      <c r="Q4084" t="str">
        <f t="shared" si="632"/>
        <v>Low</v>
      </c>
      <c r="R4084" t="s">
        <v>3317</v>
      </c>
      <c r="S4084" s="4">
        <f t="shared" ca="1" si="633"/>
        <v>1017</v>
      </c>
      <c r="T4084">
        <f t="shared" si="634"/>
        <v>1</v>
      </c>
      <c r="U4084">
        <f t="shared" si="635"/>
        <v>1</v>
      </c>
      <c r="V4084">
        <f t="shared" si="636"/>
        <v>1</v>
      </c>
      <c r="W4084">
        <f t="shared" si="637"/>
        <v>1</v>
      </c>
      <c r="X4084">
        <f t="shared" si="638"/>
        <v>0.99999999999999989</v>
      </c>
      <c r="Y4084" t="str">
        <f t="shared" si="639"/>
        <v>Healthy</v>
      </c>
    </row>
    <row r="4085" spans="1:25" x14ac:dyDescent="0.35">
      <c r="A4085" t="s">
        <v>46</v>
      </c>
      <c r="B4085" t="s">
        <v>47</v>
      </c>
      <c r="C4085" t="s">
        <v>48</v>
      </c>
      <c r="D4085" t="s">
        <v>2617</v>
      </c>
      <c r="E4085">
        <v>80866723</v>
      </c>
      <c r="F4085" t="s">
        <v>2618</v>
      </c>
      <c r="G4085" s="3">
        <v>47192</v>
      </c>
      <c r="H4085">
        <v>36</v>
      </c>
      <c r="I4085">
        <v>93</v>
      </c>
      <c r="J4085">
        <v>69</v>
      </c>
      <c r="K4085" s="4">
        <v>17150.64</v>
      </c>
      <c r="L4085" s="4">
        <v>6013.4285714285716</v>
      </c>
      <c r="M4085" s="4">
        <v>1.1474319380434266E-2</v>
      </c>
      <c r="N4085" t="s">
        <v>25</v>
      </c>
      <c r="O4085" t="str">
        <f t="shared" si="630"/>
        <v>Low</v>
      </c>
      <c r="P4085" t="str">
        <f t="shared" si="631"/>
        <v>Low</v>
      </c>
      <c r="Q4085" t="str">
        <f t="shared" si="632"/>
        <v>Low</v>
      </c>
      <c r="R4085" t="s">
        <v>3317</v>
      </c>
      <c r="S4085" s="4">
        <f t="shared" ca="1" si="633"/>
        <v>995</v>
      </c>
      <c r="T4085">
        <f t="shared" si="634"/>
        <v>1</v>
      </c>
      <c r="U4085">
        <f t="shared" si="635"/>
        <v>1</v>
      </c>
      <c r="V4085">
        <f t="shared" si="636"/>
        <v>1</v>
      </c>
      <c r="W4085">
        <f t="shared" si="637"/>
        <v>1</v>
      </c>
      <c r="X4085">
        <f t="shared" si="638"/>
        <v>0.99999999999999989</v>
      </c>
      <c r="Y4085" t="str">
        <f t="shared" si="639"/>
        <v>Healthy</v>
      </c>
    </row>
    <row r="4086" spans="1:25" x14ac:dyDescent="0.35">
      <c r="A4086" t="s">
        <v>46</v>
      </c>
      <c r="B4086" t="s">
        <v>47</v>
      </c>
      <c r="C4086" t="s">
        <v>48</v>
      </c>
      <c r="D4086" t="s">
        <v>2617</v>
      </c>
      <c r="E4086">
        <v>80866723</v>
      </c>
      <c r="F4086" t="s">
        <v>2618</v>
      </c>
      <c r="G4086" s="3">
        <v>47213</v>
      </c>
      <c r="H4086">
        <v>36</v>
      </c>
      <c r="I4086">
        <v>95</v>
      </c>
      <c r="J4086">
        <v>3</v>
      </c>
      <c r="K4086" s="4">
        <v>745.68</v>
      </c>
      <c r="L4086" s="4">
        <v>6013.4285714285716</v>
      </c>
      <c r="M4086" s="4">
        <v>4.9888345132322899E-4</v>
      </c>
      <c r="N4086" t="s">
        <v>25</v>
      </c>
      <c r="O4086" t="str">
        <f t="shared" si="630"/>
        <v>Low</v>
      </c>
      <c r="P4086" t="str">
        <f t="shared" si="631"/>
        <v>Low</v>
      </c>
      <c r="Q4086" t="str">
        <f t="shared" si="632"/>
        <v>Low</v>
      </c>
      <c r="R4086" t="s">
        <v>3317</v>
      </c>
      <c r="S4086" s="4">
        <f t="shared" ca="1" si="633"/>
        <v>1016</v>
      </c>
      <c r="T4086">
        <f t="shared" si="634"/>
        <v>1</v>
      </c>
      <c r="U4086">
        <f t="shared" si="635"/>
        <v>1</v>
      </c>
      <c r="V4086">
        <f t="shared" si="636"/>
        <v>1</v>
      </c>
      <c r="W4086">
        <f t="shared" si="637"/>
        <v>1</v>
      </c>
      <c r="X4086">
        <f t="shared" si="638"/>
        <v>0.99999999999999989</v>
      </c>
      <c r="Y4086" t="str">
        <f t="shared" si="639"/>
        <v>Healthy</v>
      </c>
    </row>
    <row r="4087" spans="1:25" x14ac:dyDescent="0.35">
      <c r="A4087" t="s">
        <v>46</v>
      </c>
      <c r="B4087" t="s">
        <v>47</v>
      </c>
      <c r="C4087" t="s">
        <v>48</v>
      </c>
      <c r="D4087" t="s">
        <v>2617</v>
      </c>
      <c r="E4087">
        <v>80866723</v>
      </c>
      <c r="F4087" t="s">
        <v>2618</v>
      </c>
      <c r="G4087" s="3">
        <v>47223</v>
      </c>
      <c r="H4087">
        <v>36</v>
      </c>
      <c r="I4087">
        <v>95</v>
      </c>
      <c r="J4087">
        <v>84</v>
      </c>
      <c r="K4087" s="4">
        <v>20879.04</v>
      </c>
      <c r="L4087" s="4">
        <v>6013.4285714285716</v>
      </c>
      <c r="M4087" s="4">
        <v>1.3968736637050411E-2</v>
      </c>
      <c r="N4087" t="s">
        <v>25</v>
      </c>
      <c r="O4087" t="str">
        <f t="shared" si="630"/>
        <v>Low</v>
      </c>
      <c r="P4087" t="str">
        <f t="shared" si="631"/>
        <v>Low</v>
      </c>
      <c r="Q4087" t="str">
        <f t="shared" si="632"/>
        <v>Low</v>
      </c>
      <c r="R4087" t="s">
        <v>3317</v>
      </c>
      <c r="S4087" s="4">
        <f t="shared" ca="1" si="633"/>
        <v>1026</v>
      </c>
      <c r="T4087">
        <f t="shared" si="634"/>
        <v>1</v>
      </c>
      <c r="U4087">
        <f t="shared" si="635"/>
        <v>1</v>
      </c>
      <c r="V4087">
        <f t="shared" si="636"/>
        <v>1</v>
      </c>
      <c r="W4087">
        <f t="shared" si="637"/>
        <v>1</v>
      </c>
      <c r="X4087">
        <f t="shared" si="638"/>
        <v>0.99999999999999989</v>
      </c>
      <c r="Y4087" t="str">
        <f t="shared" si="639"/>
        <v>Healthy</v>
      </c>
    </row>
    <row r="4088" spans="1:25" x14ac:dyDescent="0.35">
      <c r="A4088" t="s">
        <v>46</v>
      </c>
      <c r="B4088" t="s">
        <v>47</v>
      </c>
      <c r="C4088" t="s">
        <v>48</v>
      </c>
      <c r="D4088" t="s">
        <v>2617</v>
      </c>
      <c r="E4088">
        <v>80866723</v>
      </c>
      <c r="F4088" t="s">
        <v>2618</v>
      </c>
      <c r="G4088" s="3">
        <v>47204</v>
      </c>
      <c r="H4088">
        <v>36</v>
      </c>
      <c r="I4088">
        <v>94</v>
      </c>
      <c r="J4088">
        <v>4</v>
      </c>
      <c r="K4088" s="4">
        <v>994.24</v>
      </c>
      <c r="L4088" s="4">
        <v>6013.4285714285716</v>
      </c>
      <c r="M4088" s="4">
        <v>6.6517793509763862E-4</v>
      </c>
      <c r="N4088" t="s">
        <v>25</v>
      </c>
      <c r="O4088" t="str">
        <f t="shared" si="630"/>
        <v>Low</v>
      </c>
      <c r="P4088" t="str">
        <f t="shared" si="631"/>
        <v>Low</v>
      </c>
      <c r="Q4088" t="str">
        <f t="shared" si="632"/>
        <v>Low</v>
      </c>
      <c r="R4088" t="s">
        <v>3317</v>
      </c>
      <c r="S4088" s="4">
        <f t="shared" ca="1" si="633"/>
        <v>1007</v>
      </c>
      <c r="T4088">
        <f t="shared" si="634"/>
        <v>1</v>
      </c>
      <c r="U4088">
        <f t="shared" si="635"/>
        <v>1</v>
      </c>
      <c r="V4088">
        <f t="shared" si="636"/>
        <v>1</v>
      </c>
      <c r="W4088">
        <f t="shared" si="637"/>
        <v>1</v>
      </c>
      <c r="X4088">
        <f t="shared" si="638"/>
        <v>0.99999999999999989</v>
      </c>
      <c r="Y4088" t="str">
        <f t="shared" si="639"/>
        <v>Healthy</v>
      </c>
    </row>
    <row r="4089" spans="1:25" x14ac:dyDescent="0.35">
      <c r="A4089" t="s">
        <v>46</v>
      </c>
      <c r="B4089" t="s">
        <v>47</v>
      </c>
      <c r="C4089" t="s">
        <v>48</v>
      </c>
      <c r="D4089" t="s">
        <v>2617</v>
      </c>
      <c r="E4089">
        <v>80866723</v>
      </c>
      <c r="F4089" t="s">
        <v>2618</v>
      </c>
      <c r="G4089" s="3">
        <v>47215</v>
      </c>
      <c r="H4089">
        <v>36</v>
      </c>
      <c r="I4089">
        <v>95</v>
      </c>
      <c r="J4089">
        <v>1776</v>
      </c>
      <c r="K4089" s="4">
        <v>441442.56</v>
      </c>
      <c r="L4089" s="4">
        <v>6013.4285714285716</v>
      </c>
      <c r="M4089" s="4">
        <v>0.29533900318335155</v>
      </c>
      <c r="N4089" t="s">
        <v>25</v>
      </c>
      <c r="O4089" t="str">
        <f t="shared" si="630"/>
        <v>Low</v>
      </c>
      <c r="P4089" t="str">
        <f t="shared" si="631"/>
        <v>Low</v>
      </c>
      <c r="Q4089" t="str">
        <f t="shared" si="632"/>
        <v>Low</v>
      </c>
      <c r="R4089" t="s">
        <v>3309</v>
      </c>
      <c r="S4089" s="4">
        <f t="shared" ca="1" si="633"/>
        <v>1018</v>
      </c>
      <c r="T4089">
        <f t="shared" si="634"/>
        <v>1</v>
      </c>
      <c r="U4089">
        <f t="shared" si="635"/>
        <v>1</v>
      </c>
      <c r="V4089">
        <f t="shared" si="636"/>
        <v>1</v>
      </c>
      <c r="W4089">
        <f t="shared" si="637"/>
        <v>3</v>
      </c>
      <c r="X4089">
        <f t="shared" si="638"/>
        <v>1.2</v>
      </c>
      <c r="Y4089" t="str">
        <f t="shared" si="639"/>
        <v>Healthy</v>
      </c>
    </row>
    <row r="4090" spans="1:25" x14ac:dyDescent="0.35">
      <c r="A4090" t="s">
        <v>46</v>
      </c>
      <c r="B4090" t="s">
        <v>47</v>
      </c>
      <c r="C4090" t="s">
        <v>48</v>
      </c>
      <c r="D4090" t="s">
        <v>2617</v>
      </c>
      <c r="E4090">
        <v>80866723</v>
      </c>
      <c r="F4090" t="s">
        <v>2618</v>
      </c>
      <c r="G4090" s="3">
        <v>47225</v>
      </c>
      <c r="H4090">
        <v>36</v>
      </c>
      <c r="I4090">
        <v>96</v>
      </c>
      <c r="J4090">
        <v>76</v>
      </c>
      <c r="K4090" s="4">
        <v>18890.560000000001</v>
      </c>
      <c r="L4090" s="4">
        <v>6013.4285714285716</v>
      </c>
      <c r="M4090" s="4">
        <v>1.2638380766855133E-2</v>
      </c>
      <c r="N4090" t="s">
        <v>25</v>
      </c>
      <c r="O4090" t="str">
        <f t="shared" si="630"/>
        <v>Low</v>
      </c>
      <c r="P4090" t="str">
        <f t="shared" si="631"/>
        <v>Low</v>
      </c>
      <c r="Q4090" t="str">
        <f t="shared" si="632"/>
        <v>Low</v>
      </c>
      <c r="R4090" t="s">
        <v>3317</v>
      </c>
      <c r="S4090" s="4">
        <f t="shared" ca="1" si="633"/>
        <v>1028</v>
      </c>
      <c r="T4090">
        <f t="shared" si="634"/>
        <v>1</v>
      </c>
      <c r="U4090">
        <f t="shared" si="635"/>
        <v>1</v>
      </c>
      <c r="V4090">
        <f t="shared" si="636"/>
        <v>1</v>
      </c>
      <c r="W4090">
        <f t="shared" si="637"/>
        <v>1</v>
      </c>
      <c r="X4090">
        <f t="shared" si="638"/>
        <v>0.99999999999999989</v>
      </c>
      <c r="Y4090" t="str">
        <f t="shared" si="639"/>
        <v>Healthy</v>
      </c>
    </row>
    <row r="4091" spans="1:25" x14ac:dyDescent="0.35">
      <c r="A4091" t="s">
        <v>179</v>
      </c>
      <c r="B4091" t="s">
        <v>180</v>
      </c>
      <c r="C4091" t="s">
        <v>181</v>
      </c>
      <c r="D4091" t="s">
        <v>1907</v>
      </c>
      <c r="E4091">
        <v>80824992</v>
      </c>
      <c r="F4091" t="s">
        <v>2619</v>
      </c>
      <c r="G4091" s="3">
        <v>46012</v>
      </c>
      <c r="H4091">
        <v>16</v>
      </c>
      <c r="I4091">
        <v>0</v>
      </c>
      <c r="J4091">
        <v>2</v>
      </c>
      <c r="K4091" s="4">
        <v>2380.36</v>
      </c>
      <c r="L4091" s="4">
        <f>0</f>
        <v>0</v>
      </c>
      <c r="M4091" s="4">
        <f>999</f>
        <v>999</v>
      </c>
      <c r="N4091" t="s">
        <v>19</v>
      </c>
      <c r="O4091" t="str">
        <f t="shared" si="630"/>
        <v>High</v>
      </c>
      <c r="P4091" t="str">
        <f t="shared" si="631"/>
        <v>High</v>
      </c>
      <c r="Q4091" t="str">
        <f t="shared" si="632"/>
        <v>High</v>
      </c>
      <c r="R4091" t="s">
        <v>3317</v>
      </c>
      <c r="S4091" s="4">
        <f t="shared" ca="1" si="633"/>
        <v>-185</v>
      </c>
      <c r="T4091">
        <f t="shared" si="634"/>
        <v>3</v>
      </c>
      <c r="U4091">
        <f t="shared" si="635"/>
        <v>3</v>
      </c>
      <c r="V4091">
        <f t="shared" si="636"/>
        <v>3</v>
      </c>
      <c r="W4091">
        <f t="shared" si="637"/>
        <v>1</v>
      </c>
      <c r="X4091">
        <f t="shared" si="638"/>
        <v>2.8000000000000003</v>
      </c>
      <c r="Y4091" t="str">
        <f t="shared" si="639"/>
        <v>Move Immediately</v>
      </c>
    </row>
    <row r="4092" spans="1:25" x14ac:dyDescent="0.35">
      <c r="A4092" t="s">
        <v>46</v>
      </c>
      <c r="B4092" t="s">
        <v>47</v>
      </c>
      <c r="C4092" t="s">
        <v>48</v>
      </c>
      <c r="D4092" t="s">
        <v>2620</v>
      </c>
      <c r="E4092">
        <v>80866724</v>
      </c>
      <c r="F4092" t="s">
        <v>2621</v>
      </c>
      <c r="G4092" s="3">
        <v>47162</v>
      </c>
      <c r="H4092">
        <v>36</v>
      </c>
      <c r="I4092">
        <v>90</v>
      </c>
      <c r="J4092">
        <v>6</v>
      </c>
      <c r="K4092" s="4">
        <v>1280.52</v>
      </c>
      <c r="L4092" s="4">
        <v>3872.5714285714284</v>
      </c>
      <c r="M4092" s="4">
        <v>1.5493581230633024E-3</v>
      </c>
      <c r="N4092" t="s">
        <v>25</v>
      </c>
      <c r="O4092" t="str">
        <f t="shared" si="630"/>
        <v>Low</v>
      </c>
      <c r="P4092" t="str">
        <f t="shared" si="631"/>
        <v>Low</v>
      </c>
      <c r="Q4092" t="str">
        <f t="shared" si="632"/>
        <v>Low</v>
      </c>
      <c r="R4092" t="s">
        <v>3317</v>
      </c>
      <c r="S4092" s="4">
        <f t="shared" ca="1" si="633"/>
        <v>965</v>
      </c>
      <c r="T4092">
        <f t="shared" si="634"/>
        <v>1</v>
      </c>
      <c r="U4092">
        <f t="shared" si="635"/>
        <v>1</v>
      </c>
      <c r="V4092">
        <f t="shared" si="636"/>
        <v>1</v>
      </c>
      <c r="W4092">
        <f t="shared" si="637"/>
        <v>1</v>
      </c>
      <c r="X4092">
        <f t="shared" si="638"/>
        <v>0.99999999999999989</v>
      </c>
      <c r="Y4092" t="str">
        <f t="shared" si="639"/>
        <v>Healthy</v>
      </c>
    </row>
    <row r="4093" spans="1:25" x14ac:dyDescent="0.35">
      <c r="A4093" t="s">
        <v>46</v>
      </c>
      <c r="B4093" t="s">
        <v>47</v>
      </c>
      <c r="C4093" t="s">
        <v>48</v>
      </c>
      <c r="D4093" t="s">
        <v>2620</v>
      </c>
      <c r="E4093">
        <v>80866724</v>
      </c>
      <c r="F4093" t="s">
        <v>2621</v>
      </c>
      <c r="G4093" s="3">
        <v>47230</v>
      </c>
      <c r="H4093">
        <v>36</v>
      </c>
      <c r="I4093">
        <v>96</v>
      </c>
      <c r="J4093">
        <v>1</v>
      </c>
      <c r="K4093" s="4">
        <v>213.42</v>
      </c>
      <c r="L4093" s="4">
        <v>3872.5714285714284</v>
      </c>
      <c r="M4093" s="4">
        <v>2.5822635384388374E-4</v>
      </c>
      <c r="N4093" t="s">
        <v>25</v>
      </c>
      <c r="O4093" t="str">
        <f t="shared" si="630"/>
        <v>Low</v>
      </c>
      <c r="P4093" t="str">
        <f t="shared" si="631"/>
        <v>Low</v>
      </c>
      <c r="Q4093" t="str">
        <f t="shared" si="632"/>
        <v>Low</v>
      </c>
      <c r="R4093" t="s">
        <v>3317</v>
      </c>
      <c r="S4093" s="4">
        <f t="shared" ca="1" si="633"/>
        <v>1033</v>
      </c>
      <c r="T4093">
        <f t="shared" si="634"/>
        <v>1</v>
      </c>
      <c r="U4093">
        <f t="shared" si="635"/>
        <v>1</v>
      </c>
      <c r="V4093">
        <f t="shared" si="636"/>
        <v>1</v>
      </c>
      <c r="W4093">
        <f t="shared" si="637"/>
        <v>1</v>
      </c>
      <c r="X4093">
        <f t="shared" si="638"/>
        <v>0.99999999999999989</v>
      </c>
      <c r="Y4093" t="str">
        <f t="shared" si="639"/>
        <v>Healthy</v>
      </c>
    </row>
    <row r="4094" spans="1:25" x14ac:dyDescent="0.35">
      <c r="A4094" t="s">
        <v>46</v>
      </c>
      <c r="B4094" t="s">
        <v>47</v>
      </c>
      <c r="C4094" t="s">
        <v>48</v>
      </c>
      <c r="D4094" t="s">
        <v>2620</v>
      </c>
      <c r="E4094">
        <v>80866724</v>
      </c>
      <c r="F4094" t="s">
        <v>2621</v>
      </c>
      <c r="G4094" s="3">
        <v>47177</v>
      </c>
      <c r="H4094">
        <v>36</v>
      </c>
      <c r="I4094">
        <v>91</v>
      </c>
      <c r="J4094">
        <v>38</v>
      </c>
      <c r="K4094" s="4">
        <v>8109.96</v>
      </c>
      <c r="L4094" s="4">
        <v>3872.5714285714284</v>
      </c>
      <c r="M4094" s="4">
        <v>9.8126014460675811E-3</v>
      </c>
      <c r="N4094" t="s">
        <v>25</v>
      </c>
      <c r="O4094" t="str">
        <f t="shared" si="630"/>
        <v>Low</v>
      </c>
      <c r="P4094" t="str">
        <f t="shared" si="631"/>
        <v>Low</v>
      </c>
      <c r="Q4094" t="str">
        <f t="shared" si="632"/>
        <v>Low</v>
      </c>
      <c r="R4094" t="s">
        <v>3317</v>
      </c>
      <c r="S4094" s="4">
        <f t="shared" ca="1" si="633"/>
        <v>980</v>
      </c>
      <c r="T4094">
        <f t="shared" si="634"/>
        <v>1</v>
      </c>
      <c r="U4094">
        <f t="shared" si="635"/>
        <v>1</v>
      </c>
      <c r="V4094">
        <f t="shared" si="636"/>
        <v>1</v>
      </c>
      <c r="W4094">
        <f t="shared" si="637"/>
        <v>1</v>
      </c>
      <c r="X4094">
        <f t="shared" si="638"/>
        <v>0.99999999999999989</v>
      </c>
      <c r="Y4094" t="str">
        <f t="shared" si="639"/>
        <v>Healthy</v>
      </c>
    </row>
    <row r="4095" spans="1:25" x14ac:dyDescent="0.35">
      <c r="A4095" t="s">
        <v>46</v>
      </c>
      <c r="B4095" t="s">
        <v>47</v>
      </c>
      <c r="C4095" t="s">
        <v>48</v>
      </c>
      <c r="D4095" t="s">
        <v>2620</v>
      </c>
      <c r="E4095">
        <v>80866724</v>
      </c>
      <c r="F4095" t="s">
        <v>2621</v>
      </c>
      <c r="G4095" s="3">
        <v>47189</v>
      </c>
      <c r="H4095">
        <v>36</v>
      </c>
      <c r="I4095">
        <v>92</v>
      </c>
      <c r="J4095">
        <v>44</v>
      </c>
      <c r="K4095" s="4">
        <v>9390.48</v>
      </c>
      <c r="L4095" s="4">
        <v>3872.5714285714284</v>
      </c>
      <c r="M4095" s="4">
        <v>1.1361959569130884E-2</v>
      </c>
      <c r="N4095" t="s">
        <v>25</v>
      </c>
      <c r="O4095" t="str">
        <f t="shared" si="630"/>
        <v>Low</v>
      </c>
      <c r="P4095" t="str">
        <f t="shared" si="631"/>
        <v>Low</v>
      </c>
      <c r="Q4095" t="str">
        <f t="shared" si="632"/>
        <v>Low</v>
      </c>
      <c r="R4095" t="s">
        <v>3317</v>
      </c>
      <c r="S4095" s="4">
        <f t="shared" ca="1" si="633"/>
        <v>992</v>
      </c>
      <c r="T4095">
        <f t="shared" si="634"/>
        <v>1</v>
      </c>
      <c r="U4095">
        <f t="shared" si="635"/>
        <v>1</v>
      </c>
      <c r="V4095">
        <f t="shared" si="636"/>
        <v>1</v>
      </c>
      <c r="W4095">
        <f t="shared" si="637"/>
        <v>1</v>
      </c>
      <c r="X4095">
        <f t="shared" si="638"/>
        <v>0.99999999999999989</v>
      </c>
      <c r="Y4095" t="str">
        <f t="shared" si="639"/>
        <v>Healthy</v>
      </c>
    </row>
    <row r="4096" spans="1:25" x14ac:dyDescent="0.35">
      <c r="A4096" t="s">
        <v>46</v>
      </c>
      <c r="B4096" t="s">
        <v>47</v>
      </c>
      <c r="C4096" t="s">
        <v>48</v>
      </c>
      <c r="D4096" t="s">
        <v>2620</v>
      </c>
      <c r="E4096">
        <v>80866724</v>
      </c>
      <c r="F4096" t="s">
        <v>2621</v>
      </c>
      <c r="G4096" s="3">
        <v>47255</v>
      </c>
      <c r="H4096">
        <v>36</v>
      </c>
      <c r="I4096">
        <v>98</v>
      </c>
      <c r="J4096">
        <v>1560</v>
      </c>
      <c r="K4096" s="4">
        <v>332935.2</v>
      </c>
      <c r="L4096" s="4">
        <v>3872.5714285714284</v>
      </c>
      <c r="M4096" s="4">
        <v>0.4028331119964586</v>
      </c>
      <c r="N4096" t="s">
        <v>25</v>
      </c>
      <c r="O4096" t="str">
        <f t="shared" si="630"/>
        <v>Low</v>
      </c>
      <c r="P4096" t="str">
        <f t="shared" si="631"/>
        <v>Low</v>
      </c>
      <c r="Q4096" t="str">
        <f t="shared" si="632"/>
        <v>Low</v>
      </c>
      <c r="R4096" t="s">
        <v>3309</v>
      </c>
      <c r="S4096" s="4">
        <f t="shared" ca="1" si="633"/>
        <v>1058</v>
      </c>
      <c r="T4096">
        <f t="shared" si="634"/>
        <v>1</v>
      </c>
      <c r="U4096">
        <f t="shared" si="635"/>
        <v>1</v>
      </c>
      <c r="V4096">
        <f t="shared" si="636"/>
        <v>1</v>
      </c>
      <c r="W4096">
        <f t="shared" si="637"/>
        <v>3</v>
      </c>
      <c r="X4096">
        <f t="shared" si="638"/>
        <v>1.2</v>
      </c>
      <c r="Y4096" t="str">
        <f t="shared" si="639"/>
        <v>Healthy</v>
      </c>
    </row>
    <row r="4097" spans="1:25" x14ac:dyDescent="0.35">
      <c r="A4097" t="s">
        <v>944</v>
      </c>
      <c r="B4097" t="s">
        <v>945</v>
      </c>
      <c r="C4097" t="s">
        <v>946</v>
      </c>
      <c r="D4097" t="s">
        <v>2622</v>
      </c>
      <c r="E4097">
        <v>80832238</v>
      </c>
      <c r="F4097" t="s">
        <v>2623</v>
      </c>
      <c r="G4097" s="3">
        <v>47350</v>
      </c>
      <c r="H4097">
        <v>60</v>
      </c>
      <c r="I4097">
        <v>64</v>
      </c>
      <c r="J4097">
        <v>3</v>
      </c>
      <c r="K4097" s="4">
        <v>20942.16</v>
      </c>
      <c r="L4097" s="4">
        <v>13.428571428571429</v>
      </c>
      <c r="M4097" s="4">
        <v>0.22340425531914893</v>
      </c>
      <c r="N4097" t="s">
        <v>25</v>
      </c>
      <c r="O4097" t="str">
        <f t="shared" si="630"/>
        <v>Low</v>
      </c>
      <c r="P4097" t="str">
        <f t="shared" si="631"/>
        <v>Low</v>
      </c>
      <c r="Q4097" t="str">
        <f t="shared" si="632"/>
        <v>Medium</v>
      </c>
      <c r="R4097" t="s">
        <v>3317</v>
      </c>
      <c r="S4097" s="4">
        <f t="shared" ca="1" si="633"/>
        <v>1153</v>
      </c>
      <c r="T4097">
        <f t="shared" si="634"/>
        <v>1</v>
      </c>
      <c r="U4097">
        <f t="shared" si="635"/>
        <v>1</v>
      </c>
      <c r="V4097">
        <f t="shared" si="636"/>
        <v>2</v>
      </c>
      <c r="W4097">
        <f t="shared" si="637"/>
        <v>1</v>
      </c>
      <c r="X4097">
        <f t="shared" si="638"/>
        <v>1.2000000000000002</v>
      </c>
      <c r="Y4097" t="str">
        <f t="shared" si="639"/>
        <v>Healthy</v>
      </c>
    </row>
    <row r="4098" spans="1:25" x14ac:dyDescent="0.35">
      <c r="A4098" t="s">
        <v>189</v>
      </c>
      <c r="B4098" t="s">
        <v>190</v>
      </c>
      <c r="C4098" t="s">
        <v>190</v>
      </c>
      <c r="D4098" t="s">
        <v>2624</v>
      </c>
      <c r="E4098">
        <v>80839933</v>
      </c>
      <c r="F4098" t="s">
        <v>2625</v>
      </c>
      <c r="G4098" s="3">
        <v>47026</v>
      </c>
      <c r="H4098">
        <v>18</v>
      </c>
      <c r="I4098">
        <v>100</v>
      </c>
      <c r="J4098">
        <v>7</v>
      </c>
      <c r="K4098" s="4">
        <v>10866.73</v>
      </c>
      <c r="L4098" s="4">
        <f>0</f>
        <v>0</v>
      </c>
      <c r="M4098" s="4">
        <f>999</f>
        <v>999</v>
      </c>
      <c r="N4098" t="s">
        <v>19</v>
      </c>
      <c r="O4098" t="str">
        <f t="shared" si="630"/>
        <v>Low</v>
      </c>
      <c r="P4098" t="str">
        <f t="shared" si="631"/>
        <v>High</v>
      </c>
      <c r="Q4098" t="str">
        <f t="shared" si="632"/>
        <v>High</v>
      </c>
      <c r="R4098" t="s">
        <v>3317</v>
      </c>
      <c r="S4098" s="4">
        <f t="shared" ca="1" si="633"/>
        <v>829</v>
      </c>
      <c r="T4098">
        <f t="shared" si="634"/>
        <v>1</v>
      </c>
      <c r="U4098">
        <f t="shared" si="635"/>
        <v>3</v>
      </c>
      <c r="V4098">
        <f t="shared" si="636"/>
        <v>3</v>
      </c>
      <c r="W4098">
        <f t="shared" si="637"/>
        <v>1</v>
      </c>
      <c r="X4098">
        <f t="shared" si="638"/>
        <v>2</v>
      </c>
      <c r="Y4098" t="str">
        <f t="shared" si="639"/>
        <v>Monitor</v>
      </c>
    </row>
    <row r="4099" spans="1:25" x14ac:dyDescent="0.35">
      <c r="A4099" t="s">
        <v>46</v>
      </c>
      <c r="B4099" t="s">
        <v>47</v>
      </c>
      <c r="C4099" t="s">
        <v>48</v>
      </c>
      <c r="D4099" t="s">
        <v>49</v>
      </c>
      <c r="E4099">
        <v>80866725</v>
      </c>
      <c r="F4099" t="s">
        <v>2626</v>
      </c>
      <c r="G4099" s="3">
        <v>47242</v>
      </c>
      <c r="H4099">
        <v>36</v>
      </c>
      <c r="I4099">
        <v>97</v>
      </c>
      <c r="J4099">
        <v>4</v>
      </c>
      <c r="K4099" s="4">
        <v>925.68</v>
      </c>
      <c r="L4099" s="4">
        <v>1717</v>
      </c>
      <c r="M4099" s="4">
        <v>2.3296447291788003E-3</v>
      </c>
      <c r="N4099" t="s">
        <v>25</v>
      </c>
      <c r="O4099" t="str">
        <f t="shared" ref="O4099:O4162" si="640">IF(I4099&lt;20,"High",IF(I4099&lt;40,"Medium","Low"))</f>
        <v>Low</v>
      </c>
      <c r="P4099" t="str">
        <f t="shared" ref="P4099:P4162" si="641">IF(M4099&gt;8,"High",IF(M4099&gt;4,"Medium","Low"))</f>
        <v>Low</v>
      </c>
      <c r="Q4099" t="str">
        <f t="shared" ref="Q4099:Q4162" si="642">IF(L4099&lt;5,"High",IF(L4099&lt;15,"Medium","Low"))</f>
        <v>Low</v>
      </c>
      <c r="R4099" t="s">
        <v>3317</v>
      </c>
      <c r="S4099" s="4">
        <f t="shared" ref="S4099:S4162" ca="1" si="643">G4099-TODAY()</f>
        <v>1045</v>
      </c>
      <c r="T4099">
        <f t="shared" ref="T4099:T4162" si="644">IF(O4099="High",3,IF(O4099="Medium",2,1))</f>
        <v>1</v>
      </c>
      <c r="U4099">
        <f t="shared" ref="U4099:U4162" si="645">IF(P4099="High",3,IF(P4099="Medium",2,1))</f>
        <v>1</v>
      </c>
      <c r="V4099">
        <f t="shared" ref="V4099:V4162" si="646">IF(Q4099="High",3,IF(Q4099="Medium",2,1))</f>
        <v>1</v>
      </c>
      <c r="W4099">
        <f t="shared" ref="W4099:W4162" si="647">IF(R4099="High",3,IF(R4099="Medium",2,1))</f>
        <v>1</v>
      </c>
      <c r="X4099">
        <f t="shared" ref="X4099:X4162" si="648">(0.4*T4099)+(0.3*U4099)+(0.2*V4099)+(0.1*W4099)</f>
        <v>0.99999999999999989</v>
      </c>
      <c r="Y4099" t="str">
        <f t="shared" ref="Y4099:Y4162" si="649">IF(X4099&gt;=2.7,"Move Immediately",IF(X4099&gt;=2.2,"High Priority",IF(X4099&gt;=1.7,"Monitor","Healthy")))</f>
        <v>Healthy</v>
      </c>
    </row>
    <row r="4100" spans="1:25" x14ac:dyDescent="0.35">
      <c r="A4100" t="s">
        <v>189</v>
      </c>
      <c r="B4100" t="s">
        <v>190</v>
      </c>
      <c r="C4100" t="s">
        <v>190</v>
      </c>
      <c r="D4100" t="s">
        <v>2624</v>
      </c>
      <c r="E4100">
        <v>80839933</v>
      </c>
      <c r="F4100" t="s">
        <v>2625</v>
      </c>
      <c r="G4100" s="3">
        <v>46169</v>
      </c>
      <c r="H4100">
        <v>18</v>
      </c>
      <c r="I4100">
        <v>0</v>
      </c>
      <c r="J4100">
        <v>5</v>
      </c>
      <c r="K4100" s="4">
        <v>7761.95</v>
      </c>
      <c r="L4100" s="4">
        <f>0</f>
        <v>0</v>
      </c>
      <c r="M4100" s="4">
        <f>999</f>
        <v>999</v>
      </c>
      <c r="N4100" t="s">
        <v>19</v>
      </c>
      <c r="O4100" t="str">
        <f t="shared" si="640"/>
        <v>High</v>
      </c>
      <c r="P4100" t="str">
        <f t="shared" si="641"/>
        <v>High</v>
      </c>
      <c r="Q4100" t="str">
        <f t="shared" si="642"/>
        <v>High</v>
      </c>
      <c r="R4100" t="s">
        <v>3317</v>
      </c>
      <c r="S4100" s="4">
        <f t="shared" ca="1" si="643"/>
        <v>-28</v>
      </c>
      <c r="T4100">
        <f t="shared" si="644"/>
        <v>3</v>
      </c>
      <c r="U4100">
        <f t="shared" si="645"/>
        <v>3</v>
      </c>
      <c r="V4100">
        <f t="shared" si="646"/>
        <v>3</v>
      </c>
      <c r="W4100">
        <f t="shared" si="647"/>
        <v>1</v>
      </c>
      <c r="X4100">
        <f t="shared" si="648"/>
        <v>2.8000000000000003</v>
      </c>
      <c r="Y4100" t="str">
        <f t="shared" si="649"/>
        <v>Move Immediately</v>
      </c>
    </row>
    <row r="4101" spans="1:25" x14ac:dyDescent="0.35">
      <c r="A4101" t="s">
        <v>210</v>
      </c>
      <c r="B4101" t="s">
        <v>439</v>
      </c>
      <c r="C4101" t="s">
        <v>440</v>
      </c>
      <c r="D4101" t="s">
        <v>2235</v>
      </c>
      <c r="E4101">
        <v>80817957</v>
      </c>
      <c r="F4101" t="s">
        <v>2627</v>
      </c>
      <c r="G4101" s="3">
        <v>47504</v>
      </c>
      <c r="H4101">
        <v>60</v>
      </c>
      <c r="I4101">
        <v>73</v>
      </c>
      <c r="J4101">
        <v>6</v>
      </c>
      <c r="K4101" s="4">
        <v>2015.94</v>
      </c>
      <c r="L4101" s="4">
        <f>0</f>
        <v>0</v>
      </c>
      <c r="M4101" s="4">
        <f>999</f>
        <v>999</v>
      </c>
      <c r="N4101" t="s">
        <v>19</v>
      </c>
      <c r="O4101" t="str">
        <f t="shared" si="640"/>
        <v>Low</v>
      </c>
      <c r="P4101" t="str">
        <f t="shared" si="641"/>
        <v>High</v>
      </c>
      <c r="Q4101" t="str">
        <f t="shared" si="642"/>
        <v>High</v>
      </c>
      <c r="R4101" t="s">
        <v>3317</v>
      </c>
      <c r="S4101" s="4">
        <f t="shared" ca="1" si="643"/>
        <v>1307</v>
      </c>
      <c r="T4101">
        <f t="shared" si="644"/>
        <v>1</v>
      </c>
      <c r="U4101">
        <f t="shared" si="645"/>
        <v>3</v>
      </c>
      <c r="V4101">
        <f t="shared" si="646"/>
        <v>3</v>
      </c>
      <c r="W4101">
        <f t="shared" si="647"/>
        <v>1</v>
      </c>
      <c r="X4101">
        <f t="shared" si="648"/>
        <v>2</v>
      </c>
      <c r="Y4101" t="str">
        <f t="shared" si="649"/>
        <v>Monitor</v>
      </c>
    </row>
    <row r="4102" spans="1:25" x14ac:dyDescent="0.35">
      <c r="A4102" t="s">
        <v>210</v>
      </c>
      <c r="B4102" t="s">
        <v>439</v>
      </c>
      <c r="C4102" t="s">
        <v>440</v>
      </c>
      <c r="D4102" t="s">
        <v>2235</v>
      </c>
      <c r="E4102">
        <v>80817957</v>
      </c>
      <c r="F4102" t="s">
        <v>2627</v>
      </c>
      <c r="G4102" s="3">
        <v>47551</v>
      </c>
      <c r="H4102">
        <v>60</v>
      </c>
      <c r="I4102">
        <v>76</v>
      </c>
      <c r="J4102">
        <v>4</v>
      </c>
      <c r="K4102" s="4">
        <v>1343.96</v>
      </c>
      <c r="L4102" s="4">
        <f>0</f>
        <v>0</v>
      </c>
      <c r="M4102" s="4">
        <f>999</f>
        <v>999</v>
      </c>
      <c r="N4102" t="s">
        <v>19</v>
      </c>
      <c r="O4102" t="str">
        <f t="shared" si="640"/>
        <v>Low</v>
      </c>
      <c r="P4102" t="str">
        <f t="shared" si="641"/>
        <v>High</v>
      </c>
      <c r="Q4102" t="str">
        <f t="shared" si="642"/>
        <v>High</v>
      </c>
      <c r="R4102" t="s">
        <v>3317</v>
      </c>
      <c r="S4102" s="4">
        <f t="shared" ca="1" si="643"/>
        <v>1354</v>
      </c>
      <c r="T4102">
        <f t="shared" si="644"/>
        <v>1</v>
      </c>
      <c r="U4102">
        <f t="shared" si="645"/>
        <v>3</v>
      </c>
      <c r="V4102">
        <f t="shared" si="646"/>
        <v>3</v>
      </c>
      <c r="W4102">
        <f t="shared" si="647"/>
        <v>1</v>
      </c>
      <c r="X4102">
        <f t="shared" si="648"/>
        <v>2</v>
      </c>
      <c r="Y4102" t="str">
        <f t="shared" si="649"/>
        <v>Monitor</v>
      </c>
    </row>
    <row r="4103" spans="1:25" x14ac:dyDescent="0.35">
      <c r="A4103" t="s">
        <v>46</v>
      </c>
      <c r="B4103" t="s">
        <v>47</v>
      </c>
      <c r="C4103" t="s">
        <v>48</v>
      </c>
      <c r="D4103" t="s">
        <v>49</v>
      </c>
      <c r="E4103">
        <v>80866725</v>
      </c>
      <c r="F4103" t="s">
        <v>2626</v>
      </c>
      <c r="G4103" s="3">
        <v>47262</v>
      </c>
      <c r="H4103">
        <v>36</v>
      </c>
      <c r="I4103">
        <v>99</v>
      </c>
      <c r="J4103">
        <v>870</v>
      </c>
      <c r="K4103" s="4">
        <v>201335.4</v>
      </c>
      <c r="L4103" s="4">
        <v>1717</v>
      </c>
      <c r="M4103" s="4">
        <v>0.50669772859638906</v>
      </c>
      <c r="N4103" t="s">
        <v>25</v>
      </c>
      <c r="O4103" t="str">
        <f t="shared" si="640"/>
        <v>Low</v>
      </c>
      <c r="P4103" t="str">
        <f t="shared" si="641"/>
        <v>Low</v>
      </c>
      <c r="Q4103" t="str">
        <f t="shared" si="642"/>
        <v>Low</v>
      </c>
      <c r="R4103" t="s">
        <v>3309</v>
      </c>
      <c r="S4103" s="4">
        <f t="shared" ca="1" si="643"/>
        <v>1065</v>
      </c>
      <c r="T4103">
        <f t="shared" si="644"/>
        <v>1</v>
      </c>
      <c r="U4103">
        <f t="shared" si="645"/>
        <v>1</v>
      </c>
      <c r="V4103">
        <f t="shared" si="646"/>
        <v>1</v>
      </c>
      <c r="W4103">
        <f t="shared" si="647"/>
        <v>3</v>
      </c>
      <c r="X4103">
        <f t="shared" si="648"/>
        <v>1.2</v>
      </c>
      <c r="Y4103" t="str">
        <f t="shared" si="649"/>
        <v>Healthy</v>
      </c>
    </row>
    <row r="4104" spans="1:25" x14ac:dyDescent="0.35">
      <c r="A4104" t="s">
        <v>46</v>
      </c>
      <c r="B4104" t="s">
        <v>47</v>
      </c>
      <c r="C4104" t="s">
        <v>48</v>
      </c>
      <c r="D4104" t="s">
        <v>2628</v>
      </c>
      <c r="E4104">
        <v>80866726</v>
      </c>
      <c r="F4104" t="s">
        <v>2629</v>
      </c>
      <c r="G4104" s="3">
        <v>47240</v>
      </c>
      <c r="H4104">
        <v>36</v>
      </c>
      <c r="I4104">
        <v>97</v>
      </c>
      <c r="J4104">
        <v>11040</v>
      </c>
      <c r="K4104" s="4">
        <v>898987.2</v>
      </c>
      <c r="L4104" s="4">
        <v>17908.285714285714</v>
      </c>
      <c r="M4104" s="4">
        <v>0.61647441726894181</v>
      </c>
      <c r="N4104" t="s">
        <v>25</v>
      </c>
      <c r="O4104" t="str">
        <f t="shared" si="640"/>
        <v>Low</v>
      </c>
      <c r="P4104" t="str">
        <f t="shared" si="641"/>
        <v>Low</v>
      </c>
      <c r="Q4104" t="str">
        <f t="shared" si="642"/>
        <v>Low</v>
      </c>
      <c r="R4104" t="s">
        <v>3309</v>
      </c>
      <c r="S4104" s="4">
        <f t="shared" ca="1" si="643"/>
        <v>1043</v>
      </c>
      <c r="T4104">
        <f t="shared" si="644"/>
        <v>1</v>
      </c>
      <c r="U4104">
        <f t="shared" si="645"/>
        <v>1</v>
      </c>
      <c r="V4104">
        <f t="shared" si="646"/>
        <v>1</v>
      </c>
      <c r="W4104">
        <f t="shared" si="647"/>
        <v>3</v>
      </c>
      <c r="X4104">
        <f t="shared" si="648"/>
        <v>1.2</v>
      </c>
      <c r="Y4104" t="str">
        <f t="shared" si="649"/>
        <v>Healthy</v>
      </c>
    </row>
    <row r="4105" spans="1:25" x14ac:dyDescent="0.35">
      <c r="A4105" t="s">
        <v>46</v>
      </c>
      <c r="B4105" t="s">
        <v>47</v>
      </c>
      <c r="C4105" t="s">
        <v>48</v>
      </c>
      <c r="D4105" t="s">
        <v>2628</v>
      </c>
      <c r="E4105">
        <v>80866726</v>
      </c>
      <c r="F4105" t="s">
        <v>2629</v>
      </c>
      <c r="G4105" s="3">
        <v>47231</v>
      </c>
      <c r="H4105">
        <v>36</v>
      </c>
      <c r="I4105">
        <v>96</v>
      </c>
      <c r="J4105">
        <v>25</v>
      </c>
      <c r="K4105" s="4">
        <v>2035.75</v>
      </c>
      <c r="L4105" s="4">
        <v>17908.285714285714</v>
      </c>
      <c r="M4105" s="4">
        <v>1.3960018506995965E-3</v>
      </c>
      <c r="N4105" t="s">
        <v>25</v>
      </c>
      <c r="O4105" t="str">
        <f t="shared" si="640"/>
        <v>Low</v>
      </c>
      <c r="P4105" t="str">
        <f t="shared" si="641"/>
        <v>Low</v>
      </c>
      <c r="Q4105" t="str">
        <f t="shared" si="642"/>
        <v>Low</v>
      </c>
      <c r="R4105" t="s">
        <v>3317</v>
      </c>
      <c r="S4105" s="4">
        <f t="shared" ca="1" si="643"/>
        <v>1034</v>
      </c>
      <c r="T4105">
        <f t="shared" si="644"/>
        <v>1</v>
      </c>
      <c r="U4105">
        <f t="shared" si="645"/>
        <v>1</v>
      </c>
      <c r="V4105">
        <f t="shared" si="646"/>
        <v>1</v>
      </c>
      <c r="W4105">
        <f t="shared" si="647"/>
        <v>1</v>
      </c>
      <c r="X4105">
        <f t="shared" si="648"/>
        <v>0.99999999999999989</v>
      </c>
      <c r="Y4105" t="str">
        <f t="shared" si="649"/>
        <v>Healthy</v>
      </c>
    </row>
    <row r="4106" spans="1:25" x14ac:dyDescent="0.35">
      <c r="A4106" t="s">
        <v>71</v>
      </c>
      <c r="B4106" t="s">
        <v>72</v>
      </c>
      <c r="C4106" t="s">
        <v>174</v>
      </c>
      <c r="D4106" t="s">
        <v>2630</v>
      </c>
      <c r="E4106">
        <v>80829209</v>
      </c>
      <c r="F4106" t="s">
        <v>2631</v>
      </c>
      <c r="G4106" s="3">
        <v>47015</v>
      </c>
      <c r="H4106">
        <v>36</v>
      </c>
      <c r="I4106">
        <v>76</v>
      </c>
      <c r="J4106">
        <v>6</v>
      </c>
      <c r="K4106" s="4">
        <v>6714.96</v>
      </c>
      <c r="L4106" s="4">
        <v>435.42857142857144</v>
      </c>
      <c r="M4106" s="4">
        <v>1.3779527559055118E-2</v>
      </c>
      <c r="N4106" t="s">
        <v>25</v>
      </c>
      <c r="O4106" t="str">
        <f t="shared" si="640"/>
        <v>Low</v>
      </c>
      <c r="P4106" t="str">
        <f t="shared" si="641"/>
        <v>Low</v>
      </c>
      <c r="Q4106" t="str">
        <f t="shared" si="642"/>
        <v>Low</v>
      </c>
      <c r="R4106" t="s">
        <v>3317</v>
      </c>
      <c r="S4106" s="4">
        <f t="shared" ca="1" si="643"/>
        <v>818</v>
      </c>
      <c r="T4106">
        <f t="shared" si="644"/>
        <v>1</v>
      </c>
      <c r="U4106">
        <f t="shared" si="645"/>
        <v>1</v>
      </c>
      <c r="V4106">
        <f t="shared" si="646"/>
        <v>1</v>
      </c>
      <c r="W4106">
        <f t="shared" si="647"/>
        <v>1</v>
      </c>
      <c r="X4106">
        <f t="shared" si="648"/>
        <v>0.99999999999999989</v>
      </c>
      <c r="Y4106" t="str">
        <f t="shared" si="649"/>
        <v>Healthy</v>
      </c>
    </row>
    <row r="4107" spans="1:25" x14ac:dyDescent="0.35">
      <c r="A4107" t="s">
        <v>14</v>
      </c>
      <c r="B4107" t="s">
        <v>58</v>
      </c>
      <c r="C4107" t="s">
        <v>951</v>
      </c>
      <c r="D4107" t="s">
        <v>2614</v>
      </c>
      <c r="E4107">
        <v>80821559</v>
      </c>
      <c r="F4107" t="s">
        <v>2632</v>
      </c>
      <c r="G4107" s="3">
        <v>47780</v>
      </c>
      <c r="H4107">
        <v>60</v>
      </c>
      <c r="I4107">
        <v>88</v>
      </c>
      <c r="J4107">
        <v>1</v>
      </c>
      <c r="K4107" s="4">
        <v>1113.3900000000001</v>
      </c>
      <c r="L4107" s="4">
        <v>134.42857142857142</v>
      </c>
      <c r="M4107" s="4">
        <v>7.4388947927736459E-3</v>
      </c>
      <c r="N4107" t="s">
        <v>25</v>
      </c>
      <c r="O4107" t="str">
        <f t="shared" si="640"/>
        <v>Low</v>
      </c>
      <c r="P4107" t="str">
        <f t="shared" si="641"/>
        <v>Low</v>
      </c>
      <c r="Q4107" t="str">
        <f t="shared" si="642"/>
        <v>Low</v>
      </c>
      <c r="R4107" t="s">
        <v>3317</v>
      </c>
      <c r="S4107" s="4">
        <f t="shared" ca="1" si="643"/>
        <v>1583</v>
      </c>
      <c r="T4107">
        <f t="shared" si="644"/>
        <v>1</v>
      </c>
      <c r="U4107">
        <f t="shared" si="645"/>
        <v>1</v>
      </c>
      <c r="V4107">
        <f t="shared" si="646"/>
        <v>1</v>
      </c>
      <c r="W4107">
        <f t="shared" si="647"/>
        <v>1</v>
      </c>
      <c r="X4107">
        <f t="shared" si="648"/>
        <v>0.99999999999999989</v>
      </c>
      <c r="Y4107" t="str">
        <f t="shared" si="649"/>
        <v>Healthy</v>
      </c>
    </row>
    <row r="4108" spans="1:25" x14ac:dyDescent="0.35">
      <c r="A4108" t="s">
        <v>71</v>
      </c>
      <c r="B4108" t="s">
        <v>72</v>
      </c>
      <c r="C4108" t="s">
        <v>174</v>
      </c>
      <c r="D4108" t="s">
        <v>765</v>
      </c>
      <c r="E4108">
        <v>80829177</v>
      </c>
      <c r="F4108" t="s">
        <v>2633</v>
      </c>
      <c r="G4108" s="3">
        <v>47075</v>
      </c>
      <c r="H4108">
        <v>36</v>
      </c>
      <c r="I4108">
        <v>82</v>
      </c>
      <c r="J4108">
        <v>4</v>
      </c>
      <c r="K4108" s="4">
        <v>15347.68</v>
      </c>
      <c r="L4108" s="4">
        <v>30.714285714285715</v>
      </c>
      <c r="M4108" s="4">
        <v>0.13023255813953488</v>
      </c>
      <c r="N4108" t="s">
        <v>25</v>
      </c>
      <c r="O4108" t="str">
        <f t="shared" si="640"/>
        <v>Low</v>
      </c>
      <c r="P4108" t="str">
        <f t="shared" si="641"/>
        <v>Low</v>
      </c>
      <c r="Q4108" t="str">
        <f t="shared" si="642"/>
        <v>Low</v>
      </c>
      <c r="R4108" t="s">
        <v>3317</v>
      </c>
      <c r="S4108" s="4">
        <f t="shared" ca="1" si="643"/>
        <v>878</v>
      </c>
      <c r="T4108">
        <f t="shared" si="644"/>
        <v>1</v>
      </c>
      <c r="U4108">
        <f t="shared" si="645"/>
        <v>1</v>
      </c>
      <c r="V4108">
        <f t="shared" si="646"/>
        <v>1</v>
      </c>
      <c r="W4108">
        <f t="shared" si="647"/>
        <v>1</v>
      </c>
      <c r="X4108">
        <f t="shared" si="648"/>
        <v>0.99999999999999989</v>
      </c>
      <c r="Y4108" t="str">
        <f t="shared" si="649"/>
        <v>Healthy</v>
      </c>
    </row>
    <row r="4109" spans="1:25" x14ac:dyDescent="0.35">
      <c r="A4109" t="s">
        <v>41</v>
      </c>
      <c r="B4109" t="s">
        <v>54</v>
      </c>
      <c r="C4109" t="s">
        <v>55</v>
      </c>
      <c r="D4109" t="s">
        <v>1170</v>
      </c>
      <c r="E4109">
        <v>80838128</v>
      </c>
      <c r="F4109" t="s">
        <v>2634</v>
      </c>
      <c r="G4109" s="3">
        <v>46815</v>
      </c>
      <c r="H4109">
        <v>36</v>
      </c>
      <c r="I4109">
        <v>58</v>
      </c>
      <c r="J4109">
        <v>2</v>
      </c>
      <c r="K4109" s="4">
        <v>1919.94</v>
      </c>
      <c r="L4109" s="4">
        <f>0</f>
        <v>0</v>
      </c>
      <c r="M4109" s="4">
        <f>999</f>
        <v>999</v>
      </c>
      <c r="N4109" t="s">
        <v>19</v>
      </c>
      <c r="O4109" t="str">
        <f t="shared" si="640"/>
        <v>Low</v>
      </c>
      <c r="P4109" t="str">
        <f t="shared" si="641"/>
        <v>High</v>
      </c>
      <c r="Q4109" t="str">
        <f t="shared" si="642"/>
        <v>High</v>
      </c>
      <c r="R4109" t="s">
        <v>3317</v>
      </c>
      <c r="S4109" s="4">
        <f t="shared" ca="1" si="643"/>
        <v>618</v>
      </c>
      <c r="T4109">
        <f t="shared" si="644"/>
        <v>1</v>
      </c>
      <c r="U4109">
        <f t="shared" si="645"/>
        <v>3</v>
      </c>
      <c r="V4109">
        <f t="shared" si="646"/>
        <v>3</v>
      </c>
      <c r="W4109">
        <f t="shared" si="647"/>
        <v>1</v>
      </c>
      <c r="X4109">
        <f t="shared" si="648"/>
        <v>2</v>
      </c>
      <c r="Y4109" t="str">
        <f t="shared" si="649"/>
        <v>Monitor</v>
      </c>
    </row>
    <row r="4110" spans="1:25" x14ac:dyDescent="0.35">
      <c r="A4110" t="s">
        <v>46</v>
      </c>
      <c r="B4110" t="s">
        <v>47</v>
      </c>
      <c r="C4110" t="s">
        <v>48</v>
      </c>
      <c r="D4110" t="s">
        <v>2628</v>
      </c>
      <c r="E4110">
        <v>80866726</v>
      </c>
      <c r="F4110" t="s">
        <v>2629</v>
      </c>
      <c r="G4110" s="3">
        <v>47249</v>
      </c>
      <c r="H4110">
        <v>36</v>
      </c>
      <c r="I4110">
        <v>98</v>
      </c>
      <c r="J4110">
        <v>66</v>
      </c>
      <c r="K4110" s="4">
        <v>5374.38</v>
      </c>
      <c r="L4110" s="4">
        <v>17908.285714285714</v>
      </c>
      <c r="M4110" s="4">
        <v>3.6854448858469344E-3</v>
      </c>
      <c r="N4110" t="s">
        <v>25</v>
      </c>
      <c r="O4110" t="str">
        <f t="shared" si="640"/>
        <v>Low</v>
      </c>
      <c r="P4110" t="str">
        <f t="shared" si="641"/>
        <v>Low</v>
      </c>
      <c r="Q4110" t="str">
        <f t="shared" si="642"/>
        <v>Low</v>
      </c>
      <c r="R4110" t="s">
        <v>3317</v>
      </c>
      <c r="S4110" s="4">
        <f t="shared" ca="1" si="643"/>
        <v>1052</v>
      </c>
      <c r="T4110">
        <f t="shared" si="644"/>
        <v>1</v>
      </c>
      <c r="U4110">
        <f t="shared" si="645"/>
        <v>1</v>
      </c>
      <c r="V4110">
        <f t="shared" si="646"/>
        <v>1</v>
      </c>
      <c r="W4110">
        <f t="shared" si="647"/>
        <v>1</v>
      </c>
      <c r="X4110">
        <f t="shared" si="648"/>
        <v>0.99999999999999989</v>
      </c>
      <c r="Y4110" t="str">
        <f t="shared" si="649"/>
        <v>Healthy</v>
      </c>
    </row>
    <row r="4111" spans="1:25" x14ac:dyDescent="0.35">
      <c r="A4111" t="s">
        <v>41</v>
      </c>
      <c r="B4111" t="s">
        <v>42</v>
      </c>
      <c r="C4111" t="s">
        <v>365</v>
      </c>
      <c r="D4111" t="s">
        <v>867</v>
      </c>
      <c r="E4111">
        <v>80839854</v>
      </c>
      <c r="F4111" t="s">
        <v>2635</v>
      </c>
      <c r="G4111" s="3">
        <v>46707</v>
      </c>
      <c r="H4111">
        <v>36</v>
      </c>
      <c r="I4111">
        <v>48</v>
      </c>
      <c r="J4111">
        <v>5</v>
      </c>
      <c r="K4111" s="4">
        <v>4187</v>
      </c>
      <c r="L4111" s="4">
        <v>1.7142857142857142</v>
      </c>
      <c r="M4111" s="4">
        <v>2.916666666666667</v>
      </c>
      <c r="N4111" t="s">
        <v>25</v>
      </c>
      <c r="O4111" t="str">
        <f t="shared" si="640"/>
        <v>Low</v>
      </c>
      <c r="P4111" t="str">
        <f t="shared" si="641"/>
        <v>Low</v>
      </c>
      <c r="Q4111" t="str">
        <f t="shared" si="642"/>
        <v>High</v>
      </c>
      <c r="R4111" t="s">
        <v>3317</v>
      </c>
      <c r="S4111" s="4">
        <f t="shared" ca="1" si="643"/>
        <v>510</v>
      </c>
      <c r="T4111">
        <f t="shared" si="644"/>
        <v>1</v>
      </c>
      <c r="U4111">
        <f t="shared" si="645"/>
        <v>1</v>
      </c>
      <c r="V4111">
        <f t="shared" si="646"/>
        <v>3</v>
      </c>
      <c r="W4111">
        <f t="shared" si="647"/>
        <v>1</v>
      </c>
      <c r="X4111">
        <f t="shared" si="648"/>
        <v>1.4000000000000001</v>
      </c>
      <c r="Y4111" t="str">
        <f t="shared" si="649"/>
        <v>Healthy</v>
      </c>
    </row>
    <row r="4112" spans="1:25" x14ac:dyDescent="0.35">
      <c r="A4112" t="s">
        <v>41</v>
      </c>
      <c r="B4112" t="s">
        <v>42</v>
      </c>
      <c r="C4112" t="s">
        <v>365</v>
      </c>
      <c r="D4112" t="s">
        <v>867</v>
      </c>
      <c r="E4112">
        <v>80839854</v>
      </c>
      <c r="F4112" t="s">
        <v>2635</v>
      </c>
      <c r="G4112" s="3">
        <v>46741</v>
      </c>
      <c r="H4112">
        <v>36</v>
      </c>
      <c r="I4112">
        <v>51</v>
      </c>
      <c r="J4112">
        <v>2</v>
      </c>
      <c r="K4112" s="4">
        <v>1674.8</v>
      </c>
      <c r="L4112" s="4">
        <v>1.7142857142857142</v>
      </c>
      <c r="M4112" s="4">
        <v>1.1666666666666667</v>
      </c>
      <c r="N4112" t="s">
        <v>25</v>
      </c>
      <c r="O4112" t="str">
        <f t="shared" si="640"/>
        <v>Low</v>
      </c>
      <c r="P4112" t="str">
        <f t="shared" si="641"/>
        <v>Low</v>
      </c>
      <c r="Q4112" t="str">
        <f t="shared" si="642"/>
        <v>High</v>
      </c>
      <c r="R4112" t="s">
        <v>3317</v>
      </c>
      <c r="S4112" s="4">
        <f t="shared" ca="1" si="643"/>
        <v>544</v>
      </c>
      <c r="T4112">
        <f t="shared" si="644"/>
        <v>1</v>
      </c>
      <c r="U4112">
        <f t="shared" si="645"/>
        <v>1</v>
      </c>
      <c r="V4112">
        <f t="shared" si="646"/>
        <v>3</v>
      </c>
      <c r="W4112">
        <f t="shared" si="647"/>
        <v>1</v>
      </c>
      <c r="X4112">
        <f t="shared" si="648"/>
        <v>1.4000000000000001</v>
      </c>
      <c r="Y4112" t="str">
        <f t="shared" si="649"/>
        <v>Healthy</v>
      </c>
    </row>
    <row r="4113" spans="1:25" x14ac:dyDescent="0.35">
      <c r="A4113" t="s">
        <v>14</v>
      </c>
      <c r="B4113" t="s">
        <v>58</v>
      </c>
      <c r="C4113" t="s">
        <v>162</v>
      </c>
      <c r="D4113" t="s">
        <v>193</v>
      </c>
      <c r="E4113">
        <v>80821545</v>
      </c>
      <c r="F4113" t="s">
        <v>2636</v>
      </c>
      <c r="G4113" s="3">
        <v>47773</v>
      </c>
      <c r="H4113">
        <v>60</v>
      </c>
      <c r="I4113">
        <v>88</v>
      </c>
      <c r="J4113">
        <v>20</v>
      </c>
      <c r="K4113" s="4">
        <v>35570.199999999997</v>
      </c>
      <c r="L4113" s="4">
        <v>76.857142857142861</v>
      </c>
      <c r="M4113" s="4">
        <v>0.26022304832713755</v>
      </c>
      <c r="N4113" t="s">
        <v>25</v>
      </c>
      <c r="O4113" t="str">
        <f t="shared" si="640"/>
        <v>Low</v>
      </c>
      <c r="P4113" t="str">
        <f t="shared" si="641"/>
        <v>Low</v>
      </c>
      <c r="Q4113" t="str">
        <f t="shared" si="642"/>
        <v>Low</v>
      </c>
      <c r="R4113" t="s">
        <v>3317</v>
      </c>
      <c r="S4113" s="4">
        <f t="shared" ca="1" si="643"/>
        <v>1576</v>
      </c>
      <c r="T4113">
        <f t="shared" si="644"/>
        <v>1</v>
      </c>
      <c r="U4113">
        <f t="shared" si="645"/>
        <v>1</v>
      </c>
      <c r="V4113">
        <f t="shared" si="646"/>
        <v>1</v>
      </c>
      <c r="W4113">
        <f t="shared" si="647"/>
        <v>1</v>
      </c>
      <c r="X4113">
        <f t="shared" si="648"/>
        <v>0.99999999999999989</v>
      </c>
      <c r="Y4113" t="str">
        <f t="shared" si="649"/>
        <v>Healthy</v>
      </c>
    </row>
    <row r="4114" spans="1:25" x14ac:dyDescent="0.35">
      <c r="A4114" t="s">
        <v>46</v>
      </c>
      <c r="B4114" t="s">
        <v>47</v>
      </c>
      <c r="C4114" t="s">
        <v>48</v>
      </c>
      <c r="D4114" t="s">
        <v>2515</v>
      </c>
      <c r="E4114">
        <v>80866727</v>
      </c>
      <c r="F4114" t="s">
        <v>2637</v>
      </c>
      <c r="G4114" s="3">
        <v>47241</v>
      </c>
      <c r="H4114">
        <v>36</v>
      </c>
      <c r="I4114">
        <v>97</v>
      </c>
      <c r="J4114">
        <v>15</v>
      </c>
      <c r="K4114" s="4">
        <v>3471.3</v>
      </c>
      <c r="L4114" s="4">
        <v>1941.4285714285713</v>
      </c>
      <c r="M4114" s="4">
        <v>7.7262693156732896E-3</v>
      </c>
      <c r="N4114" t="s">
        <v>25</v>
      </c>
      <c r="O4114" t="str">
        <f t="shared" si="640"/>
        <v>Low</v>
      </c>
      <c r="P4114" t="str">
        <f t="shared" si="641"/>
        <v>Low</v>
      </c>
      <c r="Q4114" t="str">
        <f t="shared" si="642"/>
        <v>Low</v>
      </c>
      <c r="R4114" t="s">
        <v>3317</v>
      </c>
      <c r="S4114" s="4">
        <f t="shared" ca="1" si="643"/>
        <v>1044</v>
      </c>
      <c r="T4114">
        <f t="shared" si="644"/>
        <v>1</v>
      </c>
      <c r="U4114">
        <f t="shared" si="645"/>
        <v>1</v>
      </c>
      <c r="V4114">
        <f t="shared" si="646"/>
        <v>1</v>
      </c>
      <c r="W4114">
        <f t="shared" si="647"/>
        <v>1</v>
      </c>
      <c r="X4114">
        <f t="shared" si="648"/>
        <v>0.99999999999999989</v>
      </c>
      <c r="Y4114" t="str">
        <f t="shared" si="649"/>
        <v>Healthy</v>
      </c>
    </row>
    <row r="4115" spans="1:25" x14ac:dyDescent="0.35">
      <c r="A4115" t="s">
        <v>46</v>
      </c>
      <c r="B4115" t="s">
        <v>47</v>
      </c>
      <c r="C4115" t="s">
        <v>48</v>
      </c>
      <c r="D4115" t="s">
        <v>2515</v>
      </c>
      <c r="E4115">
        <v>80866727</v>
      </c>
      <c r="F4115" t="s">
        <v>2637</v>
      </c>
      <c r="G4115" s="3">
        <v>47240</v>
      </c>
      <c r="H4115">
        <v>36</v>
      </c>
      <c r="I4115">
        <v>97</v>
      </c>
      <c r="J4115">
        <v>7</v>
      </c>
      <c r="K4115" s="4">
        <v>1619.94</v>
      </c>
      <c r="L4115" s="4">
        <v>1941.4285714285713</v>
      </c>
      <c r="M4115" s="4">
        <v>3.6055923473142016E-3</v>
      </c>
      <c r="N4115" t="s">
        <v>25</v>
      </c>
      <c r="O4115" t="str">
        <f t="shared" si="640"/>
        <v>Low</v>
      </c>
      <c r="P4115" t="str">
        <f t="shared" si="641"/>
        <v>Low</v>
      </c>
      <c r="Q4115" t="str">
        <f t="shared" si="642"/>
        <v>Low</v>
      </c>
      <c r="R4115" t="s">
        <v>3317</v>
      </c>
      <c r="S4115" s="4">
        <f t="shared" ca="1" si="643"/>
        <v>1043</v>
      </c>
      <c r="T4115">
        <f t="shared" si="644"/>
        <v>1</v>
      </c>
      <c r="U4115">
        <f t="shared" si="645"/>
        <v>1</v>
      </c>
      <c r="V4115">
        <f t="shared" si="646"/>
        <v>1</v>
      </c>
      <c r="W4115">
        <f t="shared" si="647"/>
        <v>1</v>
      </c>
      <c r="X4115">
        <f t="shared" si="648"/>
        <v>0.99999999999999989</v>
      </c>
      <c r="Y4115" t="str">
        <f t="shared" si="649"/>
        <v>Healthy</v>
      </c>
    </row>
    <row r="4116" spans="1:25" x14ac:dyDescent="0.35">
      <c r="A4116" t="s">
        <v>90</v>
      </c>
      <c r="B4116" t="s">
        <v>91</v>
      </c>
      <c r="C4116" t="s">
        <v>92</v>
      </c>
      <c r="D4116" t="s">
        <v>1029</v>
      </c>
      <c r="E4116">
        <v>80839289</v>
      </c>
      <c r="F4116" t="s">
        <v>2638</v>
      </c>
      <c r="G4116" s="3">
        <v>47402</v>
      </c>
      <c r="H4116">
        <v>24</v>
      </c>
      <c r="I4116">
        <v>100</v>
      </c>
      <c r="J4116">
        <v>1</v>
      </c>
      <c r="K4116" s="4">
        <v>1152.3800000000001</v>
      </c>
      <c r="L4116" s="4">
        <f>0</f>
        <v>0</v>
      </c>
      <c r="M4116" s="4">
        <f>999</f>
        <v>999</v>
      </c>
      <c r="N4116" t="s">
        <v>19</v>
      </c>
      <c r="O4116" t="str">
        <f t="shared" si="640"/>
        <v>Low</v>
      </c>
      <c r="P4116" t="str">
        <f t="shared" si="641"/>
        <v>High</v>
      </c>
      <c r="Q4116" t="str">
        <f t="shared" si="642"/>
        <v>High</v>
      </c>
      <c r="R4116" t="s">
        <v>3317</v>
      </c>
      <c r="S4116" s="4">
        <f t="shared" ca="1" si="643"/>
        <v>1205</v>
      </c>
      <c r="T4116">
        <f t="shared" si="644"/>
        <v>1</v>
      </c>
      <c r="U4116">
        <f t="shared" si="645"/>
        <v>3</v>
      </c>
      <c r="V4116">
        <f t="shared" si="646"/>
        <v>3</v>
      </c>
      <c r="W4116">
        <f t="shared" si="647"/>
        <v>1</v>
      </c>
      <c r="X4116">
        <f t="shared" si="648"/>
        <v>2</v>
      </c>
      <c r="Y4116" t="str">
        <f t="shared" si="649"/>
        <v>Monitor</v>
      </c>
    </row>
    <row r="4117" spans="1:25" x14ac:dyDescent="0.35">
      <c r="A4117" t="s">
        <v>14</v>
      </c>
      <c r="B4117" t="s">
        <v>15</v>
      </c>
      <c r="C4117" t="s">
        <v>16</v>
      </c>
      <c r="D4117" t="s">
        <v>62</v>
      </c>
      <c r="E4117">
        <v>80831107</v>
      </c>
      <c r="F4117" t="s">
        <v>2639</v>
      </c>
      <c r="G4117" s="3">
        <v>47817</v>
      </c>
      <c r="H4117">
        <v>60</v>
      </c>
      <c r="I4117">
        <v>90</v>
      </c>
      <c r="J4117">
        <v>52</v>
      </c>
      <c r="K4117" s="4">
        <v>26697.32</v>
      </c>
      <c r="L4117" s="4">
        <v>918.57142857142856</v>
      </c>
      <c r="M4117" s="4">
        <v>5.6609642301710734E-2</v>
      </c>
      <c r="N4117" t="s">
        <v>25</v>
      </c>
      <c r="O4117" t="str">
        <f t="shared" si="640"/>
        <v>Low</v>
      </c>
      <c r="P4117" t="str">
        <f t="shared" si="641"/>
        <v>Low</v>
      </c>
      <c r="Q4117" t="str">
        <f t="shared" si="642"/>
        <v>Low</v>
      </c>
      <c r="R4117" t="s">
        <v>3317</v>
      </c>
      <c r="S4117" s="4">
        <f t="shared" ca="1" si="643"/>
        <v>1620</v>
      </c>
      <c r="T4117">
        <f t="shared" si="644"/>
        <v>1</v>
      </c>
      <c r="U4117">
        <f t="shared" si="645"/>
        <v>1</v>
      </c>
      <c r="V4117">
        <f t="shared" si="646"/>
        <v>1</v>
      </c>
      <c r="W4117">
        <f t="shared" si="647"/>
        <v>1</v>
      </c>
      <c r="X4117">
        <f t="shared" si="648"/>
        <v>0.99999999999999989</v>
      </c>
      <c r="Y4117" t="str">
        <f t="shared" si="649"/>
        <v>Healthy</v>
      </c>
    </row>
    <row r="4118" spans="1:25" x14ac:dyDescent="0.35">
      <c r="A4118" t="s">
        <v>46</v>
      </c>
      <c r="B4118" t="s">
        <v>47</v>
      </c>
      <c r="C4118" t="s">
        <v>48</v>
      </c>
      <c r="D4118" t="s">
        <v>2238</v>
      </c>
      <c r="E4118">
        <v>80866728</v>
      </c>
      <c r="F4118" t="s">
        <v>2640</v>
      </c>
      <c r="G4118" s="3">
        <v>47243</v>
      </c>
      <c r="H4118">
        <v>36</v>
      </c>
      <c r="I4118">
        <v>97</v>
      </c>
      <c r="J4118">
        <v>1</v>
      </c>
      <c r="K4118" s="4">
        <v>231.42</v>
      </c>
      <c r="L4118" s="4">
        <v>627</v>
      </c>
      <c r="M4118" s="4">
        <v>1.594896331738437E-3</v>
      </c>
      <c r="N4118" t="s">
        <v>25</v>
      </c>
      <c r="O4118" t="str">
        <f t="shared" si="640"/>
        <v>Low</v>
      </c>
      <c r="P4118" t="str">
        <f t="shared" si="641"/>
        <v>Low</v>
      </c>
      <c r="Q4118" t="str">
        <f t="shared" si="642"/>
        <v>Low</v>
      </c>
      <c r="R4118" t="s">
        <v>3317</v>
      </c>
      <c r="S4118" s="4">
        <f t="shared" ca="1" si="643"/>
        <v>1046</v>
      </c>
      <c r="T4118">
        <f t="shared" si="644"/>
        <v>1</v>
      </c>
      <c r="U4118">
        <f t="shared" si="645"/>
        <v>1</v>
      </c>
      <c r="V4118">
        <f t="shared" si="646"/>
        <v>1</v>
      </c>
      <c r="W4118">
        <f t="shared" si="647"/>
        <v>1</v>
      </c>
      <c r="X4118">
        <f t="shared" si="648"/>
        <v>0.99999999999999989</v>
      </c>
      <c r="Y4118" t="str">
        <f t="shared" si="649"/>
        <v>Healthy</v>
      </c>
    </row>
    <row r="4119" spans="1:25" x14ac:dyDescent="0.35">
      <c r="A4119" t="s">
        <v>46</v>
      </c>
      <c r="B4119" t="s">
        <v>47</v>
      </c>
      <c r="C4119" t="s">
        <v>48</v>
      </c>
      <c r="D4119" t="s">
        <v>2238</v>
      </c>
      <c r="E4119">
        <v>80866728</v>
      </c>
      <c r="F4119" t="s">
        <v>2640</v>
      </c>
      <c r="G4119" s="3">
        <v>47243</v>
      </c>
      <c r="H4119">
        <v>36</v>
      </c>
      <c r="I4119">
        <v>97</v>
      </c>
      <c r="J4119">
        <v>18</v>
      </c>
      <c r="K4119" s="4">
        <v>4165.5600000000004</v>
      </c>
      <c r="L4119" s="4">
        <v>627</v>
      </c>
      <c r="M4119" s="4">
        <v>2.8708133971291867E-2</v>
      </c>
      <c r="N4119" t="s">
        <v>25</v>
      </c>
      <c r="O4119" t="str">
        <f t="shared" si="640"/>
        <v>Low</v>
      </c>
      <c r="P4119" t="str">
        <f t="shared" si="641"/>
        <v>Low</v>
      </c>
      <c r="Q4119" t="str">
        <f t="shared" si="642"/>
        <v>Low</v>
      </c>
      <c r="R4119" t="s">
        <v>3317</v>
      </c>
      <c r="S4119" s="4">
        <f t="shared" ca="1" si="643"/>
        <v>1046</v>
      </c>
      <c r="T4119">
        <f t="shared" si="644"/>
        <v>1</v>
      </c>
      <c r="U4119">
        <f t="shared" si="645"/>
        <v>1</v>
      </c>
      <c r="V4119">
        <f t="shared" si="646"/>
        <v>1</v>
      </c>
      <c r="W4119">
        <f t="shared" si="647"/>
        <v>1</v>
      </c>
      <c r="X4119">
        <f t="shared" si="648"/>
        <v>0.99999999999999989</v>
      </c>
      <c r="Y4119" t="str">
        <f t="shared" si="649"/>
        <v>Healthy</v>
      </c>
    </row>
    <row r="4120" spans="1:25" x14ac:dyDescent="0.35">
      <c r="A4120" t="s">
        <v>41</v>
      </c>
      <c r="B4120" t="s">
        <v>54</v>
      </c>
      <c r="C4120" t="s">
        <v>87</v>
      </c>
      <c r="D4120" t="s">
        <v>2641</v>
      </c>
      <c r="E4120">
        <v>80896349</v>
      </c>
      <c r="F4120" t="s">
        <v>2642</v>
      </c>
      <c r="G4120" s="3">
        <v>47078</v>
      </c>
      <c r="H4120">
        <v>36</v>
      </c>
      <c r="I4120">
        <v>82</v>
      </c>
      <c r="J4120">
        <v>63</v>
      </c>
      <c r="K4120" s="4">
        <v>31210.83</v>
      </c>
      <c r="L4120" s="4">
        <v>111.85714285714286</v>
      </c>
      <c r="M4120" s="4">
        <v>0.56321839080459768</v>
      </c>
      <c r="N4120" t="s">
        <v>25</v>
      </c>
      <c r="O4120" t="str">
        <f t="shared" si="640"/>
        <v>Low</v>
      </c>
      <c r="P4120" t="str">
        <f t="shared" si="641"/>
        <v>Low</v>
      </c>
      <c r="Q4120" t="str">
        <f t="shared" si="642"/>
        <v>Low</v>
      </c>
      <c r="R4120" t="s">
        <v>3317</v>
      </c>
      <c r="S4120" s="4">
        <f t="shared" ca="1" si="643"/>
        <v>881</v>
      </c>
      <c r="T4120">
        <f t="shared" si="644"/>
        <v>1</v>
      </c>
      <c r="U4120">
        <f t="shared" si="645"/>
        <v>1</v>
      </c>
      <c r="V4120">
        <f t="shared" si="646"/>
        <v>1</v>
      </c>
      <c r="W4120">
        <f t="shared" si="647"/>
        <v>1</v>
      </c>
      <c r="X4120">
        <f t="shared" si="648"/>
        <v>0.99999999999999989</v>
      </c>
      <c r="Y4120" t="str">
        <f t="shared" si="649"/>
        <v>Healthy</v>
      </c>
    </row>
    <row r="4121" spans="1:25" x14ac:dyDescent="0.35">
      <c r="A4121" t="s">
        <v>41</v>
      </c>
      <c r="B4121" t="s">
        <v>54</v>
      </c>
      <c r="C4121" t="s">
        <v>87</v>
      </c>
      <c r="D4121" t="s">
        <v>2641</v>
      </c>
      <c r="E4121">
        <v>80896349</v>
      </c>
      <c r="F4121" t="s">
        <v>2642</v>
      </c>
      <c r="G4121" s="3">
        <v>47045</v>
      </c>
      <c r="H4121">
        <v>36</v>
      </c>
      <c r="I4121">
        <v>79</v>
      </c>
      <c r="J4121">
        <v>16</v>
      </c>
      <c r="K4121" s="4">
        <v>7926.56</v>
      </c>
      <c r="L4121" s="4">
        <v>111.85714285714286</v>
      </c>
      <c r="M4121" s="4">
        <v>0.14303959131545338</v>
      </c>
      <c r="N4121" t="s">
        <v>25</v>
      </c>
      <c r="O4121" t="str">
        <f t="shared" si="640"/>
        <v>Low</v>
      </c>
      <c r="P4121" t="str">
        <f t="shared" si="641"/>
        <v>Low</v>
      </c>
      <c r="Q4121" t="str">
        <f t="shared" si="642"/>
        <v>Low</v>
      </c>
      <c r="R4121" t="s">
        <v>3317</v>
      </c>
      <c r="S4121" s="4">
        <f t="shared" ca="1" si="643"/>
        <v>848</v>
      </c>
      <c r="T4121">
        <f t="shared" si="644"/>
        <v>1</v>
      </c>
      <c r="U4121">
        <f t="shared" si="645"/>
        <v>1</v>
      </c>
      <c r="V4121">
        <f t="shared" si="646"/>
        <v>1</v>
      </c>
      <c r="W4121">
        <f t="shared" si="647"/>
        <v>1</v>
      </c>
      <c r="X4121">
        <f t="shared" si="648"/>
        <v>0.99999999999999989</v>
      </c>
      <c r="Y4121" t="str">
        <f t="shared" si="649"/>
        <v>Healthy</v>
      </c>
    </row>
    <row r="4122" spans="1:25" x14ac:dyDescent="0.35">
      <c r="A4122" t="s">
        <v>41</v>
      </c>
      <c r="B4122" t="s">
        <v>54</v>
      </c>
      <c r="C4122" t="s">
        <v>87</v>
      </c>
      <c r="D4122" t="s">
        <v>2641</v>
      </c>
      <c r="E4122">
        <v>80896349</v>
      </c>
      <c r="F4122" t="s">
        <v>2642</v>
      </c>
      <c r="G4122" s="3">
        <v>47071</v>
      </c>
      <c r="H4122">
        <v>36</v>
      </c>
      <c r="I4122">
        <v>81</v>
      </c>
      <c r="J4122">
        <v>46</v>
      </c>
      <c r="K4122" s="4">
        <v>22788.86</v>
      </c>
      <c r="L4122" s="4">
        <v>111.85714285714286</v>
      </c>
      <c r="M4122" s="4">
        <v>0.41123882503192849</v>
      </c>
      <c r="N4122" t="s">
        <v>25</v>
      </c>
      <c r="O4122" t="str">
        <f t="shared" si="640"/>
        <v>Low</v>
      </c>
      <c r="P4122" t="str">
        <f t="shared" si="641"/>
        <v>Low</v>
      </c>
      <c r="Q4122" t="str">
        <f t="shared" si="642"/>
        <v>Low</v>
      </c>
      <c r="R4122" t="s">
        <v>3317</v>
      </c>
      <c r="S4122" s="4">
        <f t="shared" ca="1" si="643"/>
        <v>874</v>
      </c>
      <c r="T4122">
        <f t="shared" si="644"/>
        <v>1</v>
      </c>
      <c r="U4122">
        <f t="shared" si="645"/>
        <v>1</v>
      </c>
      <c r="V4122">
        <f t="shared" si="646"/>
        <v>1</v>
      </c>
      <c r="W4122">
        <f t="shared" si="647"/>
        <v>1</v>
      </c>
      <c r="X4122">
        <f t="shared" si="648"/>
        <v>0.99999999999999989</v>
      </c>
      <c r="Y4122" t="str">
        <f t="shared" si="649"/>
        <v>Healthy</v>
      </c>
    </row>
    <row r="4123" spans="1:25" x14ac:dyDescent="0.35">
      <c r="A4123" t="s">
        <v>179</v>
      </c>
      <c r="B4123" t="s">
        <v>180</v>
      </c>
      <c r="C4123" t="s">
        <v>181</v>
      </c>
      <c r="D4123" t="s">
        <v>2643</v>
      </c>
      <c r="E4123">
        <v>80861883</v>
      </c>
      <c r="F4123" t="s">
        <v>2644</v>
      </c>
      <c r="G4123" s="3">
        <v>46635</v>
      </c>
      <c r="H4123">
        <v>16</v>
      </c>
      <c r="I4123">
        <v>92</v>
      </c>
      <c r="J4123">
        <v>57</v>
      </c>
      <c r="K4123" s="4">
        <v>10165.379999999999</v>
      </c>
      <c r="L4123" s="4">
        <v>38161</v>
      </c>
      <c r="M4123" s="4">
        <v>1.4936715494876969E-3</v>
      </c>
      <c r="N4123" t="s">
        <v>25</v>
      </c>
      <c r="O4123" t="str">
        <f t="shared" si="640"/>
        <v>Low</v>
      </c>
      <c r="P4123" t="str">
        <f t="shared" si="641"/>
        <v>Low</v>
      </c>
      <c r="Q4123" t="str">
        <f t="shared" si="642"/>
        <v>Low</v>
      </c>
      <c r="R4123" t="s">
        <v>3317</v>
      </c>
      <c r="S4123" s="4">
        <f t="shared" ca="1" si="643"/>
        <v>438</v>
      </c>
      <c r="T4123">
        <f t="shared" si="644"/>
        <v>1</v>
      </c>
      <c r="U4123">
        <f t="shared" si="645"/>
        <v>1</v>
      </c>
      <c r="V4123">
        <f t="shared" si="646"/>
        <v>1</v>
      </c>
      <c r="W4123">
        <f t="shared" si="647"/>
        <v>1</v>
      </c>
      <c r="X4123">
        <f t="shared" si="648"/>
        <v>0.99999999999999989</v>
      </c>
      <c r="Y4123" t="str">
        <f t="shared" si="649"/>
        <v>Healthy</v>
      </c>
    </row>
    <row r="4124" spans="1:25" x14ac:dyDescent="0.35">
      <c r="A4124" t="s">
        <v>29</v>
      </c>
      <c r="B4124" t="s">
        <v>30</v>
      </c>
      <c r="C4124" t="s">
        <v>290</v>
      </c>
      <c r="D4124" t="s">
        <v>2645</v>
      </c>
      <c r="E4124">
        <v>80773919</v>
      </c>
      <c r="F4124" t="s">
        <v>2646</v>
      </c>
      <c r="G4124" s="3">
        <v>46821</v>
      </c>
      <c r="H4124">
        <v>36</v>
      </c>
      <c r="I4124">
        <v>58</v>
      </c>
      <c r="J4124">
        <v>12</v>
      </c>
      <c r="K4124" s="4">
        <v>10007.040000000001</v>
      </c>
      <c r="L4124" s="4">
        <v>24.571428571428573</v>
      </c>
      <c r="M4124" s="4">
        <v>0.48837209302325579</v>
      </c>
      <c r="N4124" t="s">
        <v>25</v>
      </c>
      <c r="O4124" t="str">
        <f t="shared" si="640"/>
        <v>Low</v>
      </c>
      <c r="P4124" t="str">
        <f t="shared" si="641"/>
        <v>Low</v>
      </c>
      <c r="Q4124" t="str">
        <f t="shared" si="642"/>
        <v>Low</v>
      </c>
      <c r="R4124" t="s">
        <v>3317</v>
      </c>
      <c r="S4124" s="4">
        <f t="shared" ca="1" si="643"/>
        <v>624</v>
      </c>
      <c r="T4124">
        <f t="shared" si="644"/>
        <v>1</v>
      </c>
      <c r="U4124">
        <f t="shared" si="645"/>
        <v>1</v>
      </c>
      <c r="V4124">
        <f t="shared" si="646"/>
        <v>1</v>
      </c>
      <c r="W4124">
        <f t="shared" si="647"/>
        <v>1</v>
      </c>
      <c r="X4124">
        <f t="shared" si="648"/>
        <v>0.99999999999999989</v>
      </c>
      <c r="Y4124" t="str">
        <f t="shared" si="649"/>
        <v>Healthy</v>
      </c>
    </row>
    <row r="4125" spans="1:25" x14ac:dyDescent="0.35">
      <c r="A4125" t="s">
        <v>29</v>
      </c>
      <c r="B4125" t="s">
        <v>30</v>
      </c>
      <c r="C4125" t="s">
        <v>290</v>
      </c>
      <c r="D4125" t="s">
        <v>2645</v>
      </c>
      <c r="E4125">
        <v>80773919</v>
      </c>
      <c r="F4125" t="s">
        <v>2646</v>
      </c>
      <c r="G4125" s="3">
        <v>46821</v>
      </c>
      <c r="H4125">
        <v>36</v>
      </c>
      <c r="I4125">
        <v>58</v>
      </c>
      <c r="J4125">
        <v>2</v>
      </c>
      <c r="K4125" s="4">
        <v>1667.84</v>
      </c>
      <c r="L4125" s="4">
        <v>24.571428571428573</v>
      </c>
      <c r="M4125" s="4">
        <v>8.1395348837209294E-2</v>
      </c>
      <c r="N4125" t="s">
        <v>25</v>
      </c>
      <c r="O4125" t="str">
        <f t="shared" si="640"/>
        <v>Low</v>
      </c>
      <c r="P4125" t="str">
        <f t="shared" si="641"/>
        <v>Low</v>
      </c>
      <c r="Q4125" t="str">
        <f t="shared" si="642"/>
        <v>Low</v>
      </c>
      <c r="R4125" t="s">
        <v>3317</v>
      </c>
      <c r="S4125" s="4">
        <f t="shared" ca="1" si="643"/>
        <v>624</v>
      </c>
      <c r="T4125">
        <f t="shared" si="644"/>
        <v>1</v>
      </c>
      <c r="U4125">
        <f t="shared" si="645"/>
        <v>1</v>
      </c>
      <c r="V4125">
        <f t="shared" si="646"/>
        <v>1</v>
      </c>
      <c r="W4125">
        <f t="shared" si="647"/>
        <v>1</v>
      </c>
      <c r="X4125">
        <f t="shared" si="648"/>
        <v>0.99999999999999989</v>
      </c>
      <c r="Y4125" t="str">
        <f t="shared" si="649"/>
        <v>Healthy</v>
      </c>
    </row>
    <row r="4126" spans="1:25" x14ac:dyDescent="0.35">
      <c r="A4126" t="s">
        <v>179</v>
      </c>
      <c r="B4126" t="s">
        <v>223</v>
      </c>
      <c r="C4126" t="s">
        <v>357</v>
      </c>
      <c r="D4126" t="s">
        <v>2647</v>
      </c>
      <c r="E4126">
        <v>80846591</v>
      </c>
      <c r="F4126" t="s">
        <v>2648</v>
      </c>
      <c r="G4126" s="3">
        <v>46311</v>
      </c>
      <c r="H4126">
        <v>18</v>
      </c>
      <c r="I4126">
        <v>22</v>
      </c>
      <c r="J4126">
        <v>8</v>
      </c>
      <c r="K4126" s="4">
        <v>2773.28</v>
      </c>
      <c r="L4126" s="4">
        <v>2.7142857142857144</v>
      </c>
      <c r="M4126" s="4">
        <v>2.9473684210526314</v>
      </c>
      <c r="N4126" t="s">
        <v>25</v>
      </c>
      <c r="O4126" t="str">
        <f t="shared" si="640"/>
        <v>Medium</v>
      </c>
      <c r="P4126" t="str">
        <f t="shared" si="641"/>
        <v>Low</v>
      </c>
      <c r="Q4126" t="str">
        <f t="shared" si="642"/>
        <v>High</v>
      </c>
      <c r="R4126" t="s">
        <v>3317</v>
      </c>
      <c r="S4126" s="4">
        <f t="shared" ca="1" si="643"/>
        <v>114</v>
      </c>
      <c r="T4126">
        <f t="shared" si="644"/>
        <v>2</v>
      </c>
      <c r="U4126">
        <f t="shared" si="645"/>
        <v>1</v>
      </c>
      <c r="V4126">
        <f t="shared" si="646"/>
        <v>3</v>
      </c>
      <c r="W4126">
        <f t="shared" si="647"/>
        <v>1</v>
      </c>
      <c r="X4126">
        <f t="shared" si="648"/>
        <v>1.8000000000000003</v>
      </c>
      <c r="Y4126" t="str">
        <f t="shared" si="649"/>
        <v>Monitor</v>
      </c>
    </row>
    <row r="4127" spans="1:25" x14ac:dyDescent="0.35">
      <c r="A4127" t="s">
        <v>179</v>
      </c>
      <c r="B4127" t="s">
        <v>180</v>
      </c>
      <c r="C4127" t="s">
        <v>181</v>
      </c>
      <c r="D4127" t="s">
        <v>2643</v>
      </c>
      <c r="E4127">
        <v>80861883</v>
      </c>
      <c r="F4127" t="s">
        <v>2644</v>
      </c>
      <c r="G4127" s="3">
        <v>46626</v>
      </c>
      <c r="H4127">
        <v>16</v>
      </c>
      <c r="I4127">
        <v>90</v>
      </c>
      <c r="J4127">
        <v>12</v>
      </c>
      <c r="K4127" s="4">
        <v>2140.08</v>
      </c>
      <c r="L4127" s="4">
        <v>38161</v>
      </c>
      <c r="M4127" s="4">
        <v>3.1445716831319934E-4</v>
      </c>
      <c r="N4127" t="s">
        <v>25</v>
      </c>
      <c r="O4127" t="str">
        <f t="shared" si="640"/>
        <v>Low</v>
      </c>
      <c r="P4127" t="str">
        <f t="shared" si="641"/>
        <v>Low</v>
      </c>
      <c r="Q4127" t="str">
        <f t="shared" si="642"/>
        <v>Low</v>
      </c>
      <c r="R4127" t="s">
        <v>3317</v>
      </c>
      <c r="S4127" s="4">
        <f t="shared" ca="1" si="643"/>
        <v>429</v>
      </c>
      <c r="T4127">
        <f t="shared" si="644"/>
        <v>1</v>
      </c>
      <c r="U4127">
        <f t="shared" si="645"/>
        <v>1</v>
      </c>
      <c r="V4127">
        <f t="shared" si="646"/>
        <v>1</v>
      </c>
      <c r="W4127">
        <f t="shared" si="647"/>
        <v>1</v>
      </c>
      <c r="X4127">
        <f t="shared" si="648"/>
        <v>0.99999999999999989</v>
      </c>
      <c r="Y4127" t="str">
        <f t="shared" si="649"/>
        <v>Healthy</v>
      </c>
    </row>
    <row r="4128" spans="1:25" x14ac:dyDescent="0.35">
      <c r="A4128" t="s">
        <v>41</v>
      </c>
      <c r="B4128" t="s">
        <v>54</v>
      </c>
      <c r="C4128" t="s">
        <v>459</v>
      </c>
      <c r="D4128" t="s">
        <v>2649</v>
      </c>
      <c r="E4128">
        <v>80842744</v>
      </c>
      <c r="F4128" t="s">
        <v>2650</v>
      </c>
      <c r="G4128" s="3">
        <v>46770</v>
      </c>
      <c r="H4128">
        <v>36</v>
      </c>
      <c r="I4128">
        <v>54</v>
      </c>
      <c r="J4128">
        <v>9</v>
      </c>
      <c r="K4128" s="4">
        <v>10238.040000000001</v>
      </c>
      <c r="L4128" s="4">
        <f>0</f>
        <v>0</v>
      </c>
      <c r="M4128" s="4">
        <f>999</f>
        <v>999</v>
      </c>
      <c r="N4128" t="s">
        <v>19</v>
      </c>
      <c r="O4128" t="str">
        <f t="shared" si="640"/>
        <v>Low</v>
      </c>
      <c r="P4128" t="str">
        <f t="shared" si="641"/>
        <v>High</v>
      </c>
      <c r="Q4128" t="str">
        <f t="shared" si="642"/>
        <v>High</v>
      </c>
      <c r="R4128" t="s">
        <v>3317</v>
      </c>
      <c r="S4128" s="4">
        <f t="shared" ca="1" si="643"/>
        <v>573</v>
      </c>
      <c r="T4128">
        <f t="shared" si="644"/>
        <v>1</v>
      </c>
      <c r="U4128">
        <f t="shared" si="645"/>
        <v>3</v>
      </c>
      <c r="V4128">
        <f t="shared" si="646"/>
        <v>3</v>
      </c>
      <c r="W4128">
        <f t="shared" si="647"/>
        <v>1</v>
      </c>
      <c r="X4128">
        <f t="shared" si="648"/>
        <v>2</v>
      </c>
      <c r="Y4128" t="str">
        <f t="shared" si="649"/>
        <v>Monitor</v>
      </c>
    </row>
    <row r="4129" spans="1:25" x14ac:dyDescent="0.35">
      <c r="A4129" t="s">
        <v>41</v>
      </c>
      <c r="B4129" t="s">
        <v>54</v>
      </c>
      <c r="C4129" t="s">
        <v>459</v>
      </c>
      <c r="D4129" t="s">
        <v>2649</v>
      </c>
      <c r="E4129">
        <v>80842744</v>
      </c>
      <c r="F4129" t="s">
        <v>2650</v>
      </c>
      <c r="G4129" s="3">
        <v>46730</v>
      </c>
      <c r="H4129">
        <v>36</v>
      </c>
      <c r="I4129">
        <v>50</v>
      </c>
      <c r="J4129">
        <v>7</v>
      </c>
      <c r="K4129" s="4">
        <v>7962.92</v>
      </c>
      <c r="L4129" s="4">
        <f>0</f>
        <v>0</v>
      </c>
      <c r="M4129" s="4">
        <f>999</f>
        <v>999</v>
      </c>
      <c r="N4129" t="s">
        <v>19</v>
      </c>
      <c r="O4129" t="str">
        <f t="shared" si="640"/>
        <v>Low</v>
      </c>
      <c r="P4129" t="str">
        <f t="shared" si="641"/>
        <v>High</v>
      </c>
      <c r="Q4129" t="str">
        <f t="shared" si="642"/>
        <v>High</v>
      </c>
      <c r="R4129" t="s">
        <v>3317</v>
      </c>
      <c r="S4129" s="4">
        <f t="shared" ca="1" si="643"/>
        <v>533</v>
      </c>
      <c r="T4129">
        <f t="shared" si="644"/>
        <v>1</v>
      </c>
      <c r="U4129">
        <f t="shared" si="645"/>
        <v>3</v>
      </c>
      <c r="V4129">
        <f t="shared" si="646"/>
        <v>3</v>
      </c>
      <c r="W4129">
        <f t="shared" si="647"/>
        <v>1</v>
      </c>
      <c r="X4129">
        <f t="shared" si="648"/>
        <v>2</v>
      </c>
      <c r="Y4129" t="str">
        <f t="shared" si="649"/>
        <v>Monitor</v>
      </c>
    </row>
    <row r="4130" spans="1:25" x14ac:dyDescent="0.35">
      <c r="A4130" t="s">
        <v>41</v>
      </c>
      <c r="B4130" t="s">
        <v>54</v>
      </c>
      <c r="C4130" t="s">
        <v>55</v>
      </c>
      <c r="D4130" t="s">
        <v>608</v>
      </c>
      <c r="E4130">
        <v>80840743</v>
      </c>
      <c r="F4130" t="s">
        <v>2651</v>
      </c>
      <c r="G4130" s="3">
        <v>47020</v>
      </c>
      <c r="H4130">
        <v>36</v>
      </c>
      <c r="I4130">
        <v>77</v>
      </c>
      <c r="J4130">
        <v>210</v>
      </c>
      <c r="K4130" s="4">
        <v>45435.6</v>
      </c>
      <c r="L4130" s="4">
        <v>338.14285714285717</v>
      </c>
      <c r="M4130" s="4">
        <v>0.62103929024081106</v>
      </c>
      <c r="N4130" t="s">
        <v>25</v>
      </c>
      <c r="O4130" t="str">
        <f t="shared" si="640"/>
        <v>Low</v>
      </c>
      <c r="P4130" t="str">
        <f t="shared" si="641"/>
        <v>Low</v>
      </c>
      <c r="Q4130" t="str">
        <f t="shared" si="642"/>
        <v>Low</v>
      </c>
      <c r="R4130" t="s">
        <v>3317</v>
      </c>
      <c r="S4130" s="4">
        <f t="shared" ca="1" si="643"/>
        <v>823</v>
      </c>
      <c r="T4130">
        <f t="shared" si="644"/>
        <v>1</v>
      </c>
      <c r="U4130">
        <f t="shared" si="645"/>
        <v>1</v>
      </c>
      <c r="V4130">
        <f t="shared" si="646"/>
        <v>1</v>
      </c>
      <c r="W4130">
        <f t="shared" si="647"/>
        <v>1</v>
      </c>
      <c r="X4130">
        <f t="shared" si="648"/>
        <v>0.99999999999999989</v>
      </c>
      <c r="Y4130" t="str">
        <f t="shared" si="649"/>
        <v>Healthy</v>
      </c>
    </row>
    <row r="4131" spans="1:25" x14ac:dyDescent="0.35">
      <c r="A4131" t="s">
        <v>71</v>
      </c>
      <c r="B4131" t="s">
        <v>72</v>
      </c>
      <c r="C4131" t="s">
        <v>150</v>
      </c>
      <c r="D4131" t="s">
        <v>2323</v>
      </c>
      <c r="E4131">
        <v>80849917</v>
      </c>
      <c r="F4131" t="s">
        <v>2652</v>
      </c>
      <c r="G4131" s="3">
        <v>46753</v>
      </c>
      <c r="H4131">
        <v>36</v>
      </c>
      <c r="I4131">
        <v>52</v>
      </c>
      <c r="J4131">
        <v>2</v>
      </c>
      <c r="K4131" s="4">
        <v>83.2</v>
      </c>
      <c r="L4131" s="4">
        <v>33.285714285714285</v>
      </c>
      <c r="M4131" s="4">
        <v>6.0085836909871244E-2</v>
      </c>
      <c r="N4131" t="s">
        <v>25</v>
      </c>
      <c r="O4131" t="str">
        <f t="shared" si="640"/>
        <v>Low</v>
      </c>
      <c r="P4131" t="str">
        <f t="shared" si="641"/>
        <v>Low</v>
      </c>
      <c r="Q4131" t="str">
        <f t="shared" si="642"/>
        <v>Low</v>
      </c>
      <c r="R4131" t="s">
        <v>3317</v>
      </c>
      <c r="S4131" s="4">
        <f t="shared" ca="1" si="643"/>
        <v>556</v>
      </c>
      <c r="T4131">
        <f t="shared" si="644"/>
        <v>1</v>
      </c>
      <c r="U4131">
        <f t="shared" si="645"/>
        <v>1</v>
      </c>
      <c r="V4131">
        <f t="shared" si="646"/>
        <v>1</v>
      </c>
      <c r="W4131">
        <f t="shared" si="647"/>
        <v>1</v>
      </c>
      <c r="X4131">
        <f t="shared" si="648"/>
        <v>0.99999999999999989</v>
      </c>
      <c r="Y4131" t="str">
        <f t="shared" si="649"/>
        <v>Healthy</v>
      </c>
    </row>
    <row r="4132" spans="1:25" x14ac:dyDescent="0.35">
      <c r="A4132" t="s">
        <v>71</v>
      </c>
      <c r="B4132" t="s">
        <v>72</v>
      </c>
      <c r="C4132" t="s">
        <v>150</v>
      </c>
      <c r="D4132" t="s">
        <v>2323</v>
      </c>
      <c r="E4132">
        <v>80849917</v>
      </c>
      <c r="F4132" t="s">
        <v>2652</v>
      </c>
      <c r="G4132" s="3">
        <v>46754</v>
      </c>
      <c r="H4132">
        <v>36</v>
      </c>
      <c r="I4132">
        <v>52</v>
      </c>
      <c r="J4132">
        <v>60</v>
      </c>
      <c r="K4132" s="4">
        <v>2496</v>
      </c>
      <c r="L4132" s="4">
        <v>33.285714285714285</v>
      </c>
      <c r="M4132" s="4">
        <v>1.8025751072961373</v>
      </c>
      <c r="N4132" t="s">
        <v>25</v>
      </c>
      <c r="O4132" t="str">
        <f t="shared" si="640"/>
        <v>Low</v>
      </c>
      <c r="P4132" t="str">
        <f t="shared" si="641"/>
        <v>Low</v>
      </c>
      <c r="Q4132" t="str">
        <f t="shared" si="642"/>
        <v>Low</v>
      </c>
      <c r="R4132" t="s">
        <v>3317</v>
      </c>
      <c r="S4132" s="4">
        <f t="shared" ca="1" si="643"/>
        <v>557</v>
      </c>
      <c r="T4132">
        <f t="shared" si="644"/>
        <v>1</v>
      </c>
      <c r="U4132">
        <f t="shared" si="645"/>
        <v>1</v>
      </c>
      <c r="V4132">
        <f t="shared" si="646"/>
        <v>1</v>
      </c>
      <c r="W4132">
        <f t="shared" si="647"/>
        <v>1</v>
      </c>
      <c r="X4132">
        <f t="shared" si="648"/>
        <v>0.99999999999999989</v>
      </c>
      <c r="Y4132" t="str">
        <f t="shared" si="649"/>
        <v>Healthy</v>
      </c>
    </row>
    <row r="4133" spans="1:25" x14ac:dyDescent="0.35">
      <c r="A4133" t="s">
        <v>90</v>
      </c>
      <c r="B4133" t="s">
        <v>970</v>
      </c>
      <c r="C4133" t="s">
        <v>971</v>
      </c>
      <c r="D4133" t="s">
        <v>1224</v>
      </c>
      <c r="E4133">
        <v>80870016</v>
      </c>
      <c r="F4133" t="s">
        <v>2653</v>
      </c>
      <c r="G4133" s="3">
        <v>46728</v>
      </c>
      <c r="H4133">
        <v>24</v>
      </c>
      <c r="I4133">
        <v>74</v>
      </c>
      <c r="J4133">
        <v>88</v>
      </c>
      <c r="K4133" s="4">
        <v>25936.240000000002</v>
      </c>
      <c r="L4133" s="4">
        <v>361.14285714285717</v>
      </c>
      <c r="M4133" s="4">
        <v>0.24367088607594936</v>
      </c>
      <c r="N4133" t="s">
        <v>25</v>
      </c>
      <c r="O4133" t="str">
        <f t="shared" si="640"/>
        <v>Low</v>
      </c>
      <c r="P4133" t="str">
        <f t="shared" si="641"/>
        <v>Low</v>
      </c>
      <c r="Q4133" t="str">
        <f t="shared" si="642"/>
        <v>Low</v>
      </c>
      <c r="R4133" t="s">
        <v>3317</v>
      </c>
      <c r="S4133" s="4">
        <f t="shared" ca="1" si="643"/>
        <v>531</v>
      </c>
      <c r="T4133">
        <f t="shared" si="644"/>
        <v>1</v>
      </c>
      <c r="U4133">
        <f t="shared" si="645"/>
        <v>1</v>
      </c>
      <c r="V4133">
        <f t="shared" si="646"/>
        <v>1</v>
      </c>
      <c r="W4133">
        <f t="shared" si="647"/>
        <v>1</v>
      </c>
      <c r="X4133">
        <f t="shared" si="648"/>
        <v>0.99999999999999989</v>
      </c>
      <c r="Y4133" t="str">
        <f t="shared" si="649"/>
        <v>Healthy</v>
      </c>
    </row>
    <row r="4134" spans="1:25" x14ac:dyDescent="0.35">
      <c r="A4134" t="s">
        <v>90</v>
      </c>
      <c r="B4134" t="s">
        <v>970</v>
      </c>
      <c r="C4134" t="s">
        <v>971</v>
      </c>
      <c r="D4134" t="s">
        <v>1224</v>
      </c>
      <c r="E4134">
        <v>80870016</v>
      </c>
      <c r="F4134" t="s">
        <v>2653</v>
      </c>
      <c r="G4134" s="3">
        <v>46704</v>
      </c>
      <c r="H4134">
        <v>24</v>
      </c>
      <c r="I4134">
        <v>71</v>
      </c>
      <c r="J4134">
        <v>7</v>
      </c>
      <c r="K4134" s="4">
        <v>2063.11</v>
      </c>
      <c r="L4134" s="4">
        <v>361.14285714285717</v>
      </c>
      <c r="M4134" s="4">
        <v>1.9382911392405063E-2</v>
      </c>
      <c r="N4134" t="s">
        <v>25</v>
      </c>
      <c r="O4134" t="str">
        <f t="shared" si="640"/>
        <v>Low</v>
      </c>
      <c r="P4134" t="str">
        <f t="shared" si="641"/>
        <v>Low</v>
      </c>
      <c r="Q4134" t="str">
        <f t="shared" si="642"/>
        <v>Low</v>
      </c>
      <c r="R4134" t="s">
        <v>3317</v>
      </c>
      <c r="S4134" s="4">
        <f t="shared" ca="1" si="643"/>
        <v>507</v>
      </c>
      <c r="T4134">
        <f t="shared" si="644"/>
        <v>1</v>
      </c>
      <c r="U4134">
        <f t="shared" si="645"/>
        <v>1</v>
      </c>
      <c r="V4134">
        <f t="shared" si="646"/>
        <v>1</v>
      </c>
      <c r="W4134">
        <f t="shared" si="647"/>
        <v>1</v>
      </c>
      <c r="X4134">
        <f t="shared" si="648"/>
        <v>0.99999999999999989</v>
      </c>
      <c r="Y4134" t="str">
        <f t="shared" si="649"/>
        <v>Healthy</v>
      </c>
    </row>
    <row r="4135" spans="1:25" x14ac:dyDescent="0.35">
      <c r="A4135" t="s">
        <v>90</v>
      </c>
      <c r="B4135" t="s">
        <v>970</v>
      </c>
      <c r="C4135" t="s">
        <v>971</v>
      </c>
      <c r="D4135" t="s">
        <v>1224</v>
      </c>
      <c r="E4135">
        <v>80870016</v>
      </c>
      <c r="F4135" t="s">
        <v>2653</v>
      </c>
      <c r="G4135" s="3">
        <v>46706</v>
      </c>
      <c r="H4135">
        <v>24</v>
      </c>
      <c r="I4135">
        <v>71</v>
      </c>
      <c r="J4135">
        <v>106</v>
      </c>
      <c r="K4135" s="4">
        <v>31241.38</v>
      </c>
      <c r="L4135" s="4">
        <v>361.14285714285717</v>
      </c>
      <c r="M4135" s="4">
        <v>0.29351265822784806</v>
      </c>
      <c r="N4135" t="s">
        <v>25</v>
      </c>
      <c r="O4135" t="str">
        <f t="shared" si="640"/>
        <v>Low</v>
      </c>
      <c r="P4135" t="str">
        <f t="shared" si="641"/>
        <v>Low</v>
      </c>
      <c r="Q4135" t="str">
        <f t="shared" si="642"/>
        <v>Low</v>
      </c>
      <c r="R4135" t="s">
        <v>3317</v>
      </c>
      <c r="S4135" s="4">
        <f t="shared" ca="1" si="643"/>
        <v>509</v>
      </c>
      <c r="T4135">
        <f t="shared" si="644"/>
        <v>1</v>
      </c>
      <c r="U4135">
        <f t="shared" si="645"/>
        <v>1</v>
      </c>
      <c r="V4135">
        <f t="shared" si="646"/>
        <v>1</v>
      </c>
      <c r="W4135">
        <f t="shared" si="647"/>
        <v>1</v>
      </c>
      <c r="X4135">
        <f t="shared" si="648"/>
        <v>0.99999999999999989</v>
      </c>
      <c r="Y4135" t="str">
        <f t="shared" si="649"/>
        <v>Healthy</v>
      </c>
    </row>
    <row r="4136" spans="1:25" x14ac:dyDescent="0.35">
      <c r="A4136" t="s">
        <v>90</v>
      </c>
      <c r="B4136" t="s">
        <v>970</v>
      </c>
      <c r="C4136" t="s">
        <v>971</v>
      </c>
      <c r="D4136" t="s">
        <v>1224</v>
      </c>
      <c r="E4136">
        <v>80870016</v>
      </c>
      <c r="F4136" t="s">
        <v>2653</v>
      </c>
      <c r="G4136" s="3">
        <v>46648</v>
      </c>
      <c r="H4136">
        <v>24</v>
      </c>
      <c r="I4136">
        <v>63</v>
      </c>
      <c r="J4136">
        <v>18</v>
      </c>
      <c r="K4136" s="4">
        <v>5305.14</v>
      </c>
      <c r="L4136" s="4">
        <v>361.14285714285717</v>
      </c>
      <c r="M4136" s="4">
        <v>4.9841772151898729E-2</v>
      </c>
      <c r="N4136" t="s">
        <v>25</v>
      </c>
      <c r="O4136" t="str">
        <f t="shared" si="640"/>
        <v>Low</v>
      </c>
      <c r="P4136" t="str">
        <f t="shared" si="641"/>
        <v>Low</v>
      </c>
      <c r="Q4136" t="str">
        <f t="shared" si="642"/>
        <v>Low</v>
      </c>
      <c r="R4136" t="s">
        <v>3317</v>
      </c>
      <c r="S4136" s="4">
        <f t="shared" ca="1" si="643"/>
        <v>451</v>
      </c>
      <c r="T4136">
        <f t="shared" si="644"/>
        <v>1</v>
      </c>
      <c r="U4136">
        <f t="shared" si="645"/>
        <v>1</v>
      </c>
      <c r="V4136">
        <f t="shared" si="646"/>
        <v>1</v>
      </c>
      <c r="W4136">
        <f t="shared" si="647"/>
        <v>1</v>
      </c>
      <c r="X4136">
        <f t="shared" si="648"/>
        <v>0.99999999999999989</v>
      </c>
      <c r="Y4136" t="str">
        <f t="shared" si="649"/>
        <v>Healthy</v>
      </c>
    </row>
    <row r="4137" spans="1:25" x14ac:dyDescent="0.35">
      <c r="A4137" t="s">
        <v>99</v>
      </c>
      <c r="B4137" t="s">
        <v>100</v>
      </c>
      <c r="C4137" t="s">
        <v>136</v>
      </c>
      <c r="D4137" t="s">
        <v>2654</v>
      </c>
      <c r="E4137">
        <v>80830416</v>
      </c>
      <c r="F4137" t="s">
        <v>2655</v>
      </c>
      <c r="G4137" s="3">
        <v>47040</v>
      </c>
      <c r="H4137">
        <v>36</v>
      </c>
      <c r="I4137">
        <v>79</v>
      </c>
      <c r="J4137">
        <v>48</v>
      </c>
      <c r="K4137" s="4">
        <v>9668.16</v>
      </c>
      <c r="L4137" s="4">
        <v>5.1428571428571432</v>
      </c>
      <c r="M4137" s="4">
        <v>9.3333333333333321</v>
      </c>
      <c r="N4137" t="s">
        <v>19</v>
      </c>
      <c r="O4137" t="str">
        <f t="shared" si="640"/>
        <v>Low</v>
      </c>
      <c r="P4137" t="str">
        <f t="shared" si="641"/>
        <v>High</v>
      </c>
      <c r="Q4137" t="str">
        <f t="shared" si="642"/>
        <v>Medium</v>
      </c>
      <c r="R4137" t="s">
        <v>3317</v>
      </c>
      <c r="S4137" s="4">
        <f t="shared" ca="1" si="643"/>
        <v>843</v>
      </c>
      <c r="T4137">
        <f t="shared" si="644"/>
        <v>1</v>
      </c>
      <c r="U4137">
        <f t="shared" si="645"/>
        <v>3</v>
      </c>
      <c r="V4137">
        <f t="shared" si="646"/>
        <v>2</v>
      </c>
      <c r="W4137">
        <f t="shared" si="647"/>
        <v>1</v>
      </c>
      <c r="X4137">
        <f t="shared" si="648"/>
        <v>1.7999999999999998</v>
      </c>
      <c r="Y4137" t="str">
        <f t="shared" si="649"/>
        <v>Monitor</v>
      </c>
    </row>
    <row r="4138" spans="1:25" x14ac:dyDescent="0.35">
      <c r="A4138" t="s">
        <v>90</v>
      </c>
      <c r="B4138" t="s">
        <v>91</v>
      </c>
      <c r="C4138" t="s">
        <v>155</v>
      </c>
      <c r="D4138" t="s">
        <v>1815</v>
      </c>
      <c r="E4138">
        <v>80887280</v>
      </c>
      <c r="F4138" t="s">
        <v>2656</v>
      </c>
      <c r="G4138" s="3">
        <v>46848</v>
      </c>
      <c r="H4138">
        <v>24</v>
      </c>
      <c r="I4138">
        <v>91</v>
      </c>
      <c r="J4138">
        <v>79</v>
      </c>
      <c r="K4138" s="4">
        <v>24614.03</v>
      </c>
      <c r="L4138" s="4">
        <v>825.71428571428567</v>
      </c>
      <c r="M4138" s="4">
        <v>9.5674740484429074E-2</v>
      </c>
      <c r="N4138" t="s">
        <v>25</v>
      </c>
      <c r="O4138" t="str">
        <f t="shared" si="640"/>
        <v>Low</v>
      </c>
      <c r="P4138" t="str">
        <f t="shared" si="641"/>
        <v>Low</v>
      </c>
      <c r="Q4138" t="str">
        <f t="shared" si="642"/>
        <v>Low</v>
      </c>
      <c r="R4138" t="s">
        <v>3317</v>
      </c>
      <c r="S4138" s="4">
        <f t="shared" ca="1" si="643"/>
        <v>651</v>
      </c>
      <c r="T4138">
        <f t="shared" si="644"/>
        <v>1</v>
      </c>
      <c r="U4138">
        <f t="shared" si="645"/>
        <v>1</v>
      </c>
      <c r="V4138">
        <f t="shared" si="646"/>
        <v>1</v>
      </c>
      <c r="W4138">
        <f t="shared" si="647"/>
        <v>1</v>
      </c>
      <c r="X4138">
        <f t="shared" si="648"/>
        <v>0.99999999999999989</v>
      </c>
      <c r="Y4138" t="str">
        <f t="shared" si="649"/>
        <v>Healthy</v>
      </c>
    </row>
    <row r="4139" spans="1:25" x14ac:dyDescent="0.35">
      <c r="A4139" t="s">
        <v>41</v>
      </c>
      <c r="B4139" t="s">
        <v>42</v>
      </c>
      <c r="C4139" t="s">
        <v>121</v>
      </c>
      <c r="D4139" t="s">
        <v>2132</v>
      </c>
      <c r="E4139">
        <v>80841061</v>
      </c>
      <c r="F4139" t="s">
        <v>2657</v>
      </c>
      <c r="G4139" s="3">
        <v>47159</v>
      </c>
      <c r="H4139">
        <v>36</v>
      </c>
      <c r="I4139">
        <v>90</v>
      </c>
      <c r="J4139">
        <v>4</v>
      </c>
      <c r="K4139" s="4">
        <v>818.08</v>
      </c>
      <c r="L4139" s="4">
        <v>1229.5714285714287</v>
      </c>
      <c r="M4139" s="4">
        <v>3.2531660276519112E-3</v>
      </c>
      <c r="N4139" t="s">
        <v>25</v>
      </c>
      <c r="O4139" t="str">
        <f t="shared" si="640"/>
        <v>Low</v>
      </c>
      <c r="P4139" t="str">
        <f t="shared" si="641"/>
        <v>Low</v>
      </c>
      <c r="Q4139" t="str">
        <f t="shared" si="642"/>
        <v>Low</v>
      </c>
      <c r="R4139" t="s">
        <v>3317</v>
      </c>
      <c r="S4139" s="4">
        <f t="shared" ca="1" si="643"/>
        <v>962</v>
      </c>
      <c r="T4139">
        <f t="shared" si="644"/>
        <v>1</v>
      </c>
      <c r="U4139">
        <f t="shared" si="645"/>
        <v>1</v>
      </c>
      <c r="V4139">
        <f t="shared" si="646"/>
        <v>1</v>
      </c>
      <c r="W4139">
        <f t="shared" si="647"/>
        <v>1</v>
      </c>
      <c r="X4139">
        <f t="shared" si="648"/>
        <v>0.99999999999999989</v>
      </c>
      <c r="Y4139" t="str">
        <f t="shared" si="649"/>
        <v>Healthy</v>
      </c>
    </row>
    <row r="4140" spans="1:25" x14ac:dyDescent="0.35">
      <c r="A4140" t="s">
        <v>90</v>
      </c>
      <c r="B4140" t="s">
        <v>91</v>
      </c>
      <c r="C4140" t="s">
        <v>155</v>
      </c>
      <c r="D4140" t="s">
        <v>1815</v>
      </c>
      <c r="E4140">
        <v>80887280</v>
      </c>
      <c r="F4140" t="s">
        <v>2656</v>
      </c>
      <c r="G4140" s="3">
        <v>46878</v>
      </c>
      <c r="H4140">
        <v>24</v>
      </c>
      <c r="I4140">
        <v>95</v>
      </c>
      <c r="J4140">
        <v>71</v>
      </c>
      <c r="K4140" s="4">
        <v>22121.47</v>
      </c>
      <c r="L4140" s="4">
        <v>825.71428571428567</v>
      </c>
      <c r="M4140" s="4">
        <v>8.5986159169550172E-2</v>
      </c>
      <c r="N4140" t="s">
        <v>25</v>
      </c>
      <c r="O4140" t="str">
        <f t="shared" si="640"/>
        <v>Low</v>
      </c>
      <c r="P4140" t="str">
        <f t="shared" si="641"/>
        <v>Low</v>
      </c>
      <c r="Q4140" t="str">
        <f t="shared" si="642"/>
        <v>Low</v>
      </c>
      <c r="R4140" t="s">
        <v>3317</v>
      </c>
      <c r="S4140" s="4">
        <f t="shared" ca="1" si="643"/>
        <v>681</v>
      </c>
      <c r="T4140">
        <f t="shared" si="644"/>
        <v>1</v>
      </c>
      <c r="U4140">
        <f t="shared" si="645"/>
        <v>1</v>
      </c>
      <c r="V4140">
        <f t="shared" si="646"/>
        <v>1</v>
      </c>
      <c r="W4140">
        <f t="shared" si="647"/>
        <v>1</v>
      </c>
      <c r="X4140">
        <f t="shared" si="648"/>
        <v>0.99999999999999989</v>
      </c>
      <c r="Y4140" t="str">
        <f t="shared" si="649"/>
        <v>Healthy</v>
      </c>
    </row>
    <row r="4141" spans="1:25" x14ac:dyDescent="0.35">
      <c r="A4141" t="s">
        <v>90</v>
      </c>
      <c r="B4141" t="s">
        <v>91</v>
      </c>
      <c r="C4141" t="s">
        <v>155</v>
      </c>
      <c r="D4141" t="s">
        <v>1815</v>
      </c>
      <c r="E4141">
        <v>80887280</v>
      </c>
      <c r="F4141" t="s">
        <v>2656</v>
      </c>
      <c r="G4141" s="3">
        <v>46878</v>
      </c>
      <c r="H4141">
        <v>24</v>
      </c>
      <c r="I4141">
        <v>95</v>
      </c>
      <c r="J4141">
        <v>72</v>
      </c>
      <c r="K4141" s="4">
        <v>22433.040000000001</v>
      </c>
      <c r="L4141" s="4">
        <v>825.71428571428567</v>
      </c>
      <c r="M4141" s="4">
        <v>8.7197231833910038E-2</v>
      </c>
      <c r="N4141" t="s">
        <v>25</v>
      </c>
      <c r="O4141" t="str">
        <f t="shared" si="640"/>
        <v>Low</v>
      </c>
      <c r="P4141" t="str">
        <f t="shared" si="641"/>
        <v>Low</v>
      </c>
      <c r="Q4141" t="str">
        <f t="shared" si="642"/>
        <v>Low</v>
      </c>
      <c r="R4141" t="s">
        <v>3317</v>
      </c>
      <c r="S4141" s="4">
        <f t="shared" ca="1" si="643"/>
        <v>681</v>
      </c>
      <c r="T4141">
        <f t="shared" si="644"/>
        <v>1</v>
      </c>
      <c r="U4141">
        <f t="shared" si="645"/>
        <v>1</v>
      </c>
      <c r="V4141">
        <f t="shared" si="646"/>
        <v>1</v>
      </c>
      <c r="W4141">
        <f t="shared" si="647"/>
        <v>1</v>
      </c>
      <c r="X4141">
        <f t="shared" si="648"/>
        <v>0.99999999999999989</v>
      </c>
      <c r="Y4141" t="str">
        <f t="shared" si="649"/>
        <v>Healthy</v>
      </c>
    </row>
    <row r="4142" spans="1:25" x14ac:dyDescent="0.35">
      <c r="A4142" t="s">
        <v>90</v>
      </c>
      <c r="B4142" t="s">
        <v>91</v>
      </c>
      <c r="C4142" t="s">
        <v>155</v>
      </c>
      <c r="D4142" t="s">
        <v>1815</v>
      </c>
      <c r="E4142">
        <v>80887280</v>
      </c>
      <c r="F4142" t="s">
        <v>2656</v>
      </c>
      <c r="G4142" s="3">
        <v>46847</v>
      </c>
      <c r="H4142">
        <v>24</v>
      </c>
      <c r="I4142">
        <v>91</v>
      </c>
      <c r="J4142">
        <v>65</v>
      </c>
      <c r="K4142" s="4">
        <v>20252.05</v>
      </c>
      <c r="L4142" s="4">
        <v>825.71428571428567</v>
      </c>
      <c r="M4142" s="4">
        <v>7.8719723183391002E-2</v>
      </c>
      <c r="N4142" t="s">
        <v>25</v>
      </c>
      <c r="O4142" t="str">
        <f t="shared" si="640"/>
        <v>Low</v>
      </c>
      <c r="P4142" t="str">
        <f t="shared" si="641"/>
        <v>Low</v>
      </c>
      <c r="Q4142" t="str">
        <f t="shared" si="642"/>
        <v>Low</v>
      </c>
      <c r="R4142" t="s">
        <v>3317</v>
      </c>
      <c r="S4142" s="4">
        <f t="shared" ca="1" si="643"/>
        <v>650</v>
      </c>
      <c r="T4142">
        <f t="shared" si="644"/>
        <v>1</v>
      </c>
      <c r="U4142">
        <f t="shared" si="645"/>
        <v>1</v>
      </c>
      <c r="V4142">
        <f t="shared" si="646"/>
        <v>1</v>
      </c>
      <c r="W4142">
        <f t="shared" si="647"/>
        <v>1</v>
      </c>
      <c r="X4142">
        <f t="shared" si="648"/>
        <v>0.99999999999999989</v>
      </c>
      <c r="Y4142" t="str">
        <f t="shared" si="649"/>
        <v>Healthy</v>
      </c>
    </row>
    <row r="4143" spans="1:25" x14ac:dyDescent="0.35">
      <c r="A4143" t="s">
        <v>90</v>
      </c>
      <c r="B4143" t="s">
        <v>91</v>
      </c>
      <c r="C4143" t="s">
        <v>155</v>
      </c>
      <c r="D4143" t="s">
        <v>2478</v>
      </c>
      <c r="E4143">
        <v>80887281</v>
      </c>
      <c r="F4143" t="s">
        <v>2658</v>
      </c>
      <c r="G4143" s="3">
        <v>46785</v>
      </c>
      <c r="H4143">
        <v>24</v>
      </c>
      <c r="I4143">
        <v>82</v>
      </c>
      <c r="J4143">
        <v>80</v>
      </c>
      <c r="K4143" s="4">
        <v>12799.2</v>
      </c>
      <c r="L4143" s="4">
        <v>6050.1428571428569</v>
      </c>
      <c r="M4143" s="4">
        <v>1.3222828268517863E-2</v>
      </c>
      <c r="N4143" t="s">
        <v>25</v>
      </c>
      <c r="O4143" t="str">
        <f t="shared" si="640"/>
        <v>Low</v>
      </c>
      <c r="P4143" t="str">
        <f t="shared" si="641"/>
        <v>Low</v>
      </c>
      <c r="Q4143" t="str">
        <f t="shared" si="642"/>
        <v>Low</v>
      </c>
      <c r="R4143" t="s">
        <v>3317</v>
      </c>
      <c r="S4143" s="4">
        <f t="shared" ca="1" si="643"/>
        <v>588</v>
      </c>
      <c r="T4143">
        <f t="shared" si="644"/>
        <v>1</v>
      </c>
      <c r="U4143">
        <f t="shared" si="645"/>
        <v>1</v>
      </c>
      <c r="V4143">
        <f t="shared" si="646"/>
        <v>1</v>
      </c>
      <c r="W4143">
        <f t="shared" si="647"/>
        <v>1</v>
      </c>
      <c r="X4143">
        <f t="shared" si="648"/>
        <v>0.99999999999999989</v>
      </c>
      <c r="Y4143" t="str">
        <f t="shared" si="649"/>
        <v>Healthy</v>
      </c>
    </row>
    <row r="4144" spans="1:25" x14ac:dyDescent="0.35">
      <c r="A4144" t="s">
        <v>90</v>
      </c>
      <c r="B4144" t="s">
        <v>91</v>
      </c>
      <c r="C4144" t="s">
        <v>155</v>
      </c>
      <c r="D4144" t="s">
        <v>2478</v>
      </c>
      <c r="E4144">
        <v>80887281</v>
      </c>
      <c r="F4144" t="s">
        <v>2658</v>
      </c>
      <c r="G4144" s="3">
        <v>46881</v>
      </c>
      <c r="H4144">
        <v>24</v>
      </c>
      <c r="I4144">
        <v>96</v>
      </c>
      <c r="J4144">
        <v>153</v>
      </c>
      <c r="K4144" s="4">
        <v>24478.47</v>
      </c>
      <c r="L4144" s="4">
        <v>6050.1428571428569</v>
      </c>
      <c r="M4144" s="4">
        <v>2.5288659063540414E-2</v>
      </c>
      <c r="N4144" t="s">
        <v>25</v>
      </c>
      <c r="O4144" t="str">
        <f t="shared" si="640"/>
        <v>Low</v>
      </c>
      <c r="P4144" t="str">
        <f t="shared" si="641"/>
        <v>Low</v>
      </c>
      <c r="Q4144" t="str">
        <f t="shared" si="642"/>
        <v>Low</v>
      </c>
      <c r="R4144" t="s">
        <v>3317</v>
      </c>
      <c r="S4144" s="4">
        <f t="shared" ca="1" si="643"/>
        <v>684</v>
      </c>
      <c r="T4144">
        <f t="shared" si="644"/>
        <v>1</v>
      </c>
      <c r="U4144">
        <f t="shared" si="645"/>
        <v>1</v>
      </c>
      <c r="V4144">
        <f t="shared" si="646"/>
        <v>1</v>
      </c>
      <c r="W4144">
        <f t="shared" si="647"/>
        <v>1</v>
      </c>
      <c r="X4144">
        <f t="shared" si="648"/>
        <v>0.99999999999999989</v>
      </c>
      <c r="Y4144" t="str">
        <f t="shared" si="649"/>
        <v>Healthy</v>
      </c>
    </row>
    <row r="4145" spans="1:25" x14ac:dyDescent="0.35">
      <c r="A4145" t="s">
        <v>90</v>
      </c>
      <c r="B4145" t="s">
        <v>91</v>
      </c>
      <c r="C4145" t="s">
        <v>155</v>
      </c>
      <c r="D4145" t="s">
        <v>2478</v>
      </c>
      <c r="E4145">
        <v>80887281</v>
      </c>
      <c r="F4145" t="s">
        <v>2658</v>
      </c>
      <c r="G4145" s="3">
        <v>46818</v>
      </c>
      <c r="H4145">
        <v>24</v>
      </c>
      <c r="I4145">
        <v>87</v>
      </c>
      <c r="J4145">
        <v>129</v>
      </c>
      <c r="K4145" s="4">
        <v>20638.71</v>
      </c>
      <c r="L4145" s="4">
        <v>6050.1428571428569</v>
      </c>
      <c r="M4145" s="4">
        <v>2.1321810582985053E-2</v>
      </c>
      <c r="N4145" t="s">
        <v>25</v>
      </c>
      <c r="O4145" t="str">
        <f t="shared" si="640"/>
        <v>Low</v>
      </c>
      <c r="P4145" t="str">
        <f t="shared" si="641"/>
        <v>Low</v>
      </c>
      <c r="Q4145" t="str">
        <f t="shared" si="642"/>
        <v>Low</v>
      </c>
      <c r="R4145" t="s">
        <v>3317</v>
      </c>
      <c r="S4145" s="4">
        <f t="shared" ca="1" si="643"/>
        <v>621</v>
      </c>
      <c r="T4145">
        <f t="shared" si="644"/>
        <v>1</v>
      </c>
      <c r="U4145">
        <f t="shared" si="645"/>
        <v>1</v>
      </c>
      <c r="V4145">
        <f t="shared" si="646"/>
        <v>1</v>
      </c>
      <c r="W4145">
        <f t="shared" si="647"/>
        <v>1</v>
      </c>
      <c r="X4145">
        <f t="shared" si="648"/>
        <v>0.99999999999999989</v>
      </c>
      <c r="Y4145" t="str">
        <f t="shared" si="649"/>
        <v>Healthy</v>
      </c>
    </row>
    <row r="4146" spans="1:25" x14ac:dyDescent="0.35">
      <c r="A4146" t="s">
        <v>90</v>
      </c>
      <c r="B4146" t="s">
        <v>91</v>
      </c>
      <c r="C4146" t="s">
        <v>155</v>
      </c>
      <c r="D4146" t="s">
        <v>2478</v>
      </c>
      <c r="E4146">
        <v>80887281</v>
      </c>
      <c r="F4146" t="s">
        <v>2658</v>
      </c>
      <c r="G4146" s="3">
        <v>46848</v>
      </c>
      <c r="H4146">
        <v>24</v>
      </c>
      <c r="I4146">
        <v>91</v>
      </c>
      <c r="J4146">
        <v>72</v>
      </c>
      <c r="K4146" s="4">
        <v>11519.28</v>
      </c>
      <c r="L4146" s="4">
        <v>6050.1428571428569</v>
      </c>
      <c r="M4146" s="4">
        <v>1.1900545441666077E-2</v>
      </c>
      <c r="N4146" t="s">
        <v>25</v>
      </c>
      <c r="O4146" t="str">
        <f t="shared" si="640"/>
        <v>Low</v>
      </c>
      <c r="P4146" t="str">
        <f t="shared" si="641"/>
        <v>Low</v>
      </c>
      <c r="Q4146" t="str">
        <f t="shared" si="642"/>
        <v>Low</v>
      </c>
      <c r="R4146" t="s">
        <v>3317</v>
      </c>
      <c r="S4146" s="4">
        <f t="shared" ca="1" si="643"/>
        <v>651</v>
      </c>
      <c r="T4146">
        <f t="shared" si="644"/>
        <v>1</v>
      </c>
      <c r="U4146">
        <f t="shared" si="645"/>
        <v>1</v>
      </c>
      <c r="V4146">
        <f t="shared" si="646"/>
        <v>1</v>
      </c>
      <c r="W4146">
        <f t="shared" si="647"/>
        <v>1</v>
      </c>
      <c r="X4146">
        <f t="shared" si="648"/>
        <v>0.99999999999999989</v>
      </c>
      <c r="Y4146" t="str">
        <f t="shared" si="649"/>
        <v>Healthy</v>
      </c>
    </row>
    <row r="4147" spans="1:25" x14ac:dyDescent="0.35">
      <c r="A4147" t="s">
        <v>210</v>
      </c>
      <c r="B4147" t="s">
        <v>211</v>
      </c>
      <c r="C4147" t="s">
        <v>212</v>
      </c>
      <c r="D4147" t="s">
        <v>899</v>
      </c>
      <c r="E4147">
        <v>80840354</v>
      </c>
      <c r="F4147" t="s">
        <v>2659</v>
      </c>
      <c r="G4147" s="3">
        <v>46898</v>
      </c>
      <c r="H4147">
        <v>24</v>
      </c>
      <c r="I4147">
        <v>98</v>
      </c>
      <c r="J4147">
        <v>5</v>
      </c>
      <c r="K4147" s="4">
        <v>1578.9</v>
      </c>
      <c r="L4147" s="4">
        <v>6168.5714285714284</v>
      </c>
      <c r="M4147" s="4">
        <v>8.1056044465030105E-4</v>
      </c>
      <c r="N4147" t="s">
        <v>25</v>
      </c>
      <c r="O4147" t="str">
        <f t="shared" si="640"/>
        <v>Low</v>
      </c>
      <c r="P4147" t="str">
        <f t="shared" si="641"/>
        <v>Low</v>
      </c>
      <c r="Q4147" t="str">
        <f t="shared" si="642"/>
        <v>Low</v>
      </c>
      <c r="R4147" t="s">
        <v>3317</v>
      </c>
      <c r="S4147" s="4">
        <f t="shared" ca="1" si="643"/>
        <v>701</v>
      </c>
      <c r="T4147">
        <f t="shared" si="644"/>
        <v>1</v>
      </c>
      <c r="U4147">
        <f t="shared" si="645"/>
        <v>1</v>
      </c>
      <c r="V4147">
        <f t="shared" si="646"/>
        <v>1</v>
      </c>
      <c r="W4147">
        <f t="shared" si="647"/>
        <v>1</v>
      </c>
      <c r="X4147">
        <f t="shared" si="648"/>
        <v>0.99999999999999989</v>
      </c>
      <c r="Y4147" t="str">
        <f t="shared" si="649"/>
        <v>Healthy</v>
      </c>
    </row>
    <row r="4148" spans="1:25" x14ac:dyDescent="0.35">
      <c r="A4148" t="s">
        <v>90</v>
      </c>
      <c r="B4148" t="s">
        <v>91</v>
      </c>
      <c r="C4148" t="s">
        <v>155</v>
      </c>
      <c r="D4148" t="s">
        <v>2478</v>
      </c>
      <c r="E4148">
        <v>80887281</v>
      </c>
      <c r="F4148" t="s">
        <v>2658</v>
      </c>
      <c r="G4148" s="3">
        <v>46784</v>
      </c>
      <c r="H4148">
        <v>24</v>
      </c>
      <c r="I4148">
        <v>82</v>
      </c>
      <c r="J4148">
        <v>20</v>
      </c>
      <c r="K4148" s="4">
        <v>3199.8</v>
      </c>
      <c r="L4148" s="4">
        <v>6050.1428571428569</v>
      </c>
      <c r="M4148" s="4">
        <v>3.3057070671294658E-3</v>
      </c>
      <c r="N4148" t="s">
        <v>25</v>
      </c>
      <c r="O4148" t="str">
        <f t="shared" si="640"/>
        <v>Low</v>
      </c>
      <c r="P4148" t="str">
        <f t="shared" si="641"/>
        <v>Low</v>
      </c>
      <c r="Q4148" t="str">
        <f t="shared" si="642"/>
        <v>Low</v>
      </c>
      <c r="R4148" t="s">
        <v>3317</v>
      </c>
      <c r="S4148" s="4">
        <f t="shared" ca="1" si="643"/>
        <v>587</v>
      </c>
      <c r="T4148">
        <f t="shared" si="644"/>
        <v>1</v>
      </c>
      <c r="U4148">
        <f t="shared" si="645"/>
        <v>1</v>
      </c>
      <c r="V4148">
        <f t="shared" si="646"/>
        <v>1</v>
      </c>
      <c r="W4148">
        <f t="shared" si="647"/>
        <v>1</v>
      </c>
      <c r="X4148">
        <f t="shared" si="648"/>
        <v>0.99999999999999989</v>
      </c>
      <c r="Y4148" t="str">
        <f t="shared" si="649"/>
        <v>Healthy</v>
      </c>
    </row>
    <row r="4149" spans="1:25" x14ac:dyDescent="0.35">
      <c r="A4149" t="s">
        <v>90</v>
      </c>
      <c r="B4149" t="s">
        <v>91</v>
      </c>
      <c r="C4149" t="s">
        <v>155</v>
      </c>
      <c r="D4149" t="s">
        <v>2478</v>
      </c>
      <c r="E4149">
        <v>80887281</v>
      </c>
      <c r="F4149" t="s">
        <v>2658</v>
      </c>
      <c r="G4149" s="3">
        <v>46787</v>
      </c>
      <c r="H4149">
        <v>24</v>
      </c>
      <c r="I4149">
        <v>83</v>
      </c>
      <c r="J4149">
        <v>73</v>
      </c>
      <c r="K4149" s="4">
        <v>11679.27</v>
      </c>
      <c r="L4149" s="4">
        <v>6050.1428571428569</v>
      </c>
      <c r="M4149" s="4">
        <v>1.2065830795022551E-2</v>
      </c>
      <c r="N4149" t="s">
        <v>25</v>
      </c>
      <c r="O4149" t="str">
        <f t="shared" si="640"/>
        <v>Low</v>
      </c>
      <c r="P4149" t="str">
        <f t="shared" si="641"/>
        <v>Low</v>
      </c>
      <c r="Q4149" t="str">
        <f t="shared" si="642"/>
        <v>Low</v>
      </c>
      <c r="R4149" t="s">
        <v>3317</v>
      </c>
      <c r="S4149" s="4">
        <f t="shared" ca="1" si="643"/>
        <v>590</v>
      </c>
      <c r="T4149">
        <f t="shared" si="644"/>
        <v>1</v>
      </c>
      <c r="U4149">
        <f t="shared" si="645"/>
        <v>1</v>
      </c>
      <c r="V4149">
        <f t="shared" si="646"/>
        <v>1</v>
      </c>
      <c r="W4149">
        <f t="shared" si="647"/>
        <v>1</v>
      </c>
      <c r="X4149">
        <f t="shared" si="648"/>
        <v>0.99999999999999989</v>
      </c>
      <c r="Y4149" t="str">
        <f t="shared" si="649"/>
        <v>Healthy</v>
      </c>
    </row>
    <row r="4150" spans="1:25" x14ac:dyDescent="0.35">
      <c r="A4150" t="s">
        <v>90</v>
      </c>
      <c r="B4150" t="s">
        <v>91</v>
      </c>
      <c r="C4150" t="s">
        <v>155</v>
      </c>
      <c r="D4150" t="s">
        <v>2478</v>
      </c>
      <c r="E4150">
        <v>80887281</v>
      </c>
      <c r="F4150" t="s">
        <v>2658</v>
      </c>
      <c r="G4150" s="3">
        <v>46786</v>
      </c>
      <c r="H4150">
        <v>24</v>
      </c>
      <c r="I4150">
        <v>83</v>
      </c>
      <c r="J4150">
        <v>72</v>
      </c>
      <c r="K4150" s="4">
        <v>11519.28</v>
      </c>
      <c r="L4150" s="4">
        <v>6050.1428571428569</v>
      </c>
      <c r="M4150" s="4">
        <v>1.1900545441666077E-2</v>
      </c>
      <c r="N4150" t="s">
        <v>25</v>
      </c>
      <c r="O4150" t="str">
        <f t="shared" si="640"/>
        <v>Low</v>
      </c>
      <c r="P4150" t="str">
        <f t="shared" si="641"/>
        <v>Low</v>
      </c>
      <c r="Q4150" t="str">
        <f t="shared" si="642"/>
        <v>Low</v>
      </c>
      <c r="R4150" t="s">
        <v>3317</v>
      </c>
      <c r="S4150" s="4">
        <f t="shared" ca="1" si="643"/>
        <v>589</v>
      </c>
      <c r="T4150">
        <f t="shared" si="644"/>
        <v>1</v>
      </c>
      <c r="U4150">
        <f t="shared" si="645"/>
        <v>1</v>
      </c>
      <c r="V4150">
        <f t="shared" si="646"/>
        <v>1</v>
      </c>
      <c r="W4150">
        <f t="shared" si="647"/>
        <v>1</v>
      </c>
      <c r="X4150">
        <f t="shared" si="648"/>
        <v>0.99999999999999989</v>
      </c>
      <c r="Y4150" t="str">
        <f t="shared" si="649"/>
        <v>Healthy</v>
      </c>
    </row>
    <row r="4151" spans="1:25" x14ac:dyDescent="0.35">
      <c r="A4151" t="s">
        <v>210</v>
      </c>
      <c r="B4151" t="s">
        <v>211</v>
      </c>
      <c r="C4151" t="s">
        <v>212</v>
      </c>
      <c r="D4151" t="s">
        <v>899</v>
      </c>
      <c r="E4151">
        <v>80840354</v>
      </c>
      <c r="F4151" t="s">
        <v>2659</v>
      </c>
      <c r="G4151" s="3">
        <v>46873</v>
      </c>
      <c r="H4151">
        <v>24</v>
      </c>
      <c r="I4151">
        <v>95</v>
      </c>
      <c r="J4151">
        <v>24</v>
      </c>
      <c r="K4151" s="4">
        <v>7578.72</v>
      </c>
      <c r="L4151" s="4">
        <v>6168.5714285714284</v>
      </c>
      <c r="M4151" s="4">
        <v>3.8906901343214451E-3</v>
      </c>
      <c r="N4151" t="s">
        <v>25</v>
      </c>
      <c r="O4151" t="str">
        <f t="shared" si="640"/>
        <v>Low</v>
      </c>
      <c r="P4151" t="str">
        <f t="shared" si="641"/>
        <v>Low</v>
      </c>
      <c r="Q4151" t="str">
        <f t="shared" si="642"/>
        <v>Low</v>
      </c>
      <c r="R4151" t="s">
        <v>3317</v>
      </c>
      <c r="S4151" s="4">
        <f t="shared" ca="1" si="643"/>
        <v>676</v>
      </c>
      <c r="T4151">
        <f t="shared" si="644"/>
        <v>1</v>
      </c>
      <c r="U4151">
        <f t="shared" si="645"/>
        <v>1</v>
      </c>
      <c r="V4151">
        <f t="shared" si="646"/>
        <v>1</v>
      </c>
      <c r="W4151">
        <f t="shared" si="647"/>
        <v>1</v>
      </c>
      <c r="X4151">
        <f t="shared" si="648"/>
        <v>0.99999999999999989</v>
      </c>
      <c r="Y4151" t="str">
        <f t="shared" si="649"/>
        <v>Healthy</v>
      </c>
    </row>
    <row r="4152" spans="1:25" x14ac:dyDescent="0.35">
      <c r="A4152" t="s">
        <v>90</v>
      </c>
      <c r="B4152" t="s">
        <v>91</v>
      </c>
      <c r="C4152" t="s">
        <v>155</v>
      </c>
      <c r="D4152" t="s">
        <v>2478</v>
      </c>
      <c r="E4152">
        <v>80887281</v>
      </c>
      <c r="F4152" t="s">
        <v>2658</v>
      </c>
      <c r="G4152" s="3">
        <v>46878</v>
      </c>
      <c r="H4152">
        <v>24</v>
      </c>
      <c r="I4152">
        <v>95</v>
      </c>
      <c r="J4152">
        <v>144</v>
      </c>
      <c r="K4152" s="4">
        <v>23038.560000000001</v>
      </c>
      <c r="L4152" s="4">
        <v>6050.1428571428569</v>
      </c>
      <c r="M4152" s="4">
        <v>2.3801090883332154E-2</v>
      </c>
      <c r="N4152" t="s">
        <v>25</v>
      </c>
      <c r="O4152" t="str">
        <f t="shared" si="640"/>
        <v>Low</v>
      </c>
      <c r="P4152" t="str">
        <f t="shared" si="641"/>
        <v>Low</v>
      </c>
      <c r="Q4152" t="str">
        <f t="shared" si="642"/>
        <v>Low</v>
      </c>
      <c r="R4152" t="s">
        <v>3317</v>
      </c>
      <c r="S4152" s="4">
        <f t="shared" ca="1" si="643"/>
        <v>681</v>
      </c>
      <c r="T4152">
        <f t="shared" si="644"/>
        <v>1</v>
      </c>
      <c r="U4152">
        <f t="shared" si="645"/>
        <v>1</v>
      </c>
      <c r="V4152">
        <f t="shared" si="646"/>
        <v>1</v>
      </c>
      <c r="W4152">
        <f t="shared" si="647"/>
        <v>1</v>
      </c>
      <c r="X4152">
        <f t="shared" si="648"/>
        <v>0.99999999999999989</v>
      </c>
      <c r="Y4152" t="str">
        <f t="shared" si="649"/>
        <v>Healthy</v>
      </c>
    </row>
    <row r="4153" spans="1:25" x14ac:dyDescent="0.35">
      <c r="A4153" t="s">
        <v>90</v>
      </c>
      <c r="B4153" t="s">
        <v>91</v>
      </c>
      <c r="C4153" t="s">
        <v>155</v>
      </c>
      <c r="D4153" t="s">
        <v>2478</v>
      </c>
      <c r="E4153">
        <v>80887281</v>
      </c>
      <c r="F4153" t="s">
        <v>2658</v>
      </c>
      <c r="G4153" s="3">
        <v>46796</v>
      </c>
      <c r="H4153">
        <v>24</v>
      </c>
      <c r="I4153">
        <v>84</v>
      </c>
      <c r="J4153">
        <v>113</v>
      </c>
      <c r="K4153" s="4">
        <v>18078.87</v>
      </c>
      <c r="L4153" s="4">
        <v>6050.1428571428569</v>
      </c>
      <c r="M4153" s="4">
        <v>1.8677244929281481E-2</v>
      </c>
      <c r="N4153" t="s">
        <v>25</v>
      </c>
      <c r="O4153" t="str">
        <f t="shared" si="640"/>
        <v>Low</v>
      </c>
      <c r="P4153" t="str">
        <f t="shared" si="641"/>
        <v>Low</v>
      </c>
      <c r="Q4153" t="str">
        <f t="shared" si="642"/>
        <v>Low</v>
      </c>
      <c r="R4153" t="s">
        <v>3317</v>
      </c>
      <c r="S4153" s="4">
        <f t="shared" ca="1" si="643"/>
        <v>599</v>
      </c>
      <c r="T4153">
        <f t="shared" si="644"/>
        <v>1</v>
      </c>
      <c r="U4153">
        <f t="shared" si="645"/>
        <v>1</v>
      </c>
      <c r="V4153">
        <f t="shared" si="646"/>
        <v>1</v>
      </c>
      <c r="W4153">
        <f t="shared" si="647"/>
        <v>1</v>
      </c>
      <c r="X4153">
        <f t="shared" si="648"/>
        <v>0.99999999999999989</v>
      </c>
      <c r="Y4153" t="str">
        <f t="shared" si="649"/>
        <v>Healthy</v>
      </c>
    </row>
    <row r="4154" spans="1:25" x14ac:dyDescent="0.35">
      <c r="A4154" t="s">
        <v>210</v>
      </c>
      <c r="B4154" t="s">
        <v>211</v>
      </c>
      <c r="C4154" t="s">
        <v>212</v>
      </c>
      <c r="D4154" t="s">
        <v>899</v>
      </c>
      <c r="E4154">
        <v>80840354</v>
      </c>
      <c r="F4154" t="s">
        <v>2659</v>
      </c>
      <c r="G4154" s="3">
        <v>46883</v>
      </c>
      <c r="H4154">
        <v>24</v>
      </c>
      <c r="I4154">
        <v>96</v>
      </c>
      <c r="J4154">
        <v>1</v>
      </c>
      <c r="K4154" s="4">
        <v>315.77999999999997</v>
      </c>
      <c r="L4154" s="4">
        <v>6168.5714285714284</v>
      </c>
      <c r="M4154" s="4">
        <v>1.6211208893006021E-4</v>
      </c>
      <c r="N4154" t="s">
        <v>25</v>
      </c>
      <c r="O4154" t="str">
        <f t="shared" si="640"/>
        <v>Low</v>
      </c>
      <c r="P4154" t="str">
        <f t="shared" si="641"/>
        <v>Low</v>
      </c>
      <c r="Q4154" t="str">
        <f t="shared" si="642"/>
        <v>Low</v>
      </c>
      <c r="R4154" t="s">
        <v>3317</v>
      </c>
      <c r="S4154" s="4">
        <f t="shared" ca="1" si="643"/>
        <v>686</v>
      </c>
      <c r="T4154">
        <f t="shared" si="644"/>
        <v>1</v>
      </c>
      <c r="U4154">
        <f t="shared" si="645"/>
        <v>1</v>
      </c>
      <c r="V4154">
        <f t="shared" si="646"/>
        <v>1</v>
      </c>
      <c r="W4154">
        <f t="shared" si="647"/>
        <v>1</v>
      </c>
      <c r="X4154">
        <f t="shared" si="648"/>
        <v>0.99999999999999989</v>
      </c>
      <c r="Y4154" t="str">
        <f t="shared" si="649"/>
        <v>Healthy</v>
      </c>
    </row>
    <row r="4155" spans="1:25" x14ac:dyDescent="0.35">
      <c r="A4155" t="s">
        <v>90</v>
      </c>
      <c r="B4155" t="s">
        <v>91</v>
      </c>
      <c r="C4155" t="s">
        <v>155</v>
      </c>
      <c r="D4155" t="s">
        <v>2478</v>
      </c>
      <c r="E4155">
        <v>80887281</v>
      </c>
      <c r="F4155" t="s">
        <v>2658</v>
      </c>
      <c r="G4155" s="3">
        <v>46880</v>
      </c>
      <c r="H4155">
        <v>24</v>
      </c>
      <c r="I4155">
        <v>96</v>
      </c>
      <c r="J4155">
        <v>137</v>
      </c>
      <c r="K4155" s="4">
        <v>21918.63</v>
      </c>
      <c r="L4155" s="4">
        <v>6050.1428571428569</v>
      </c>
      <c r="M4155" s="4">
        <v>2.2644093409836842E-2</v>
      </c>
      <c r="N4155" t="s">
        <v>25</v>
      </c>
      <c r="O4155" t="str">
        <f t="shared" si="640"/>
        <v>Low</v>
      </c>
      <c r="P4155" t="str">
        <f t="shared" si="641"/>
        <v>Low</v>
      </c>
      <c r="Q4155" t="str">
        <f t="shared" si="642"/>
        <v>Low</v>
      </c>
      <c r="R4155" t="s">
        <v>3317</v>
      </c>
      <c r="S4155" s="4">
        <f t="shared" ca="1" si="643"/>
        <v>683</v>
      </c>
      <c r="T4155">
        <f t="shared" si="644"/>
        <v>1</v>
      </c>
      <c r="U4155">
        <f t="shared" si="645"/>
        <v>1</v>
      </c>
      <c r="V4155">
        <f t="shared" si="646"/>
        <v>1</v>
      </c>
      <c r="W4155">
        <f t="shared" si="647"/>
        <v>1</v>
      </c>
      <c r="X4155">
        <f t="shared" si="648"/>
        <v>0.99999999999999989</v>
      </c>
      <c r="Y4155" t="str">
        <f t="shared" si="649"/>
        <v>Healthy</v>
      </c>
    </row>
    <row r="4156" spans="1:25" x14ac:dyDescent="0.35">
      <c r="A4156" t="s">
        <v>90</v>
      </c>
      <c r="B4156" t="s">
        <v>91</v>
      </c>
      <c r="C4156" t="s">
        <v>155</v>
      </c>
      <c r="D4156" t="s">
        <v>2478</v>
      </c>
      <c r="E4156">
        <v>80887281</v>
      </c>
      <c r="F4156" t="s">
        <v>2658</v>
      </c>
      <c r="G4156" s="3">
        <v>46820</v>
      </c>
      <c r="H4156">
        <v>24</v>
      </c>
      <c r="I4156">
        <v>87</v>
      </c>
      <c r="J4156">
        <v>128</v>
      </c>
      <c r="K4156" s="4">
        <v>20478.72</v>
      </c>
      <c r="L4156" s="4">
        <v>6050.1428571428569</v>
      </c>
      <c r="M4156" s="4">
        <v>2.1156525229628582E-2</v>
      </c>
      <c r="N4156" t="s">
        <v>25</v>
      </c>
      <c r="O4156" t="str">
        <f t="shared" si="640"/>
        <v>Low</v>
      </c>
      <c r="P4156" t="str">
        <f t="shared" si="641"/>
        <v>Low</v>
      </c>
      <c r="Q4156" t="str">
        <f t="shared" si="642"/>
        <v>Low</v>
      </c>
      <c r="R4156" t="s">
        <v>3317</v>
      </c>
      <c r="S4156" s="4">
        <f t="shared" ca="1" si="643"/>
        <v>623</v>
      </c>
      <c r="T4156">
        <f t="shared" si="644"/>
        <v>1</v>
      </c>
      <c r="U4156">
        <f t="shared" si="645"/>
        <v>1</v>
      </c>
      <c r="V4156">
        <f t="shared" si="646"/>
        <v>1</v>
      </c>
      <c r="W4156">
        <f t="shared" si="647"/>
        <v>1</v>
      </c>
      <c r="X4156">
        <f t="shared" si="648"/>
        <v>0.99999999999999989</v>
      </c>
      <c r="Y4156" t="str">
        <f t="shared" si="649"/>
        <v>Healthy</v>
      </c>
    </row>
    <row r="4157" spans="1:25" x14ac:dyDescent="0.35">
      <c r="A4157" t="s">
        <v>90</v>
      </c>
      <c r="B4157" t="s">
        <v>91</v>
      </c>
      <c r="C4157" t="s">
        <v>155</v>
      </c>
      <c r="D4157" t="s">
        <v>2478</v>
      </c>
      <c r="E4157">
        <v>80887281</v>
      </c>
      <c r="F4157" t="s">
        <v>2658</v>
      </c>
      <c r="G4157" s="3">
        <v>46849</v>
      </c>
      <c r="H4157">
        <v>24</v>
      </c>
      <c r="I4157">
        <v>91</v>
      </c>
      <c r="J4157">
        <v>179</v>
      </c>
      <c r="K4157" s="4">
        <v>28638.21</v>
      </c>
      <c r="L4157" s="4">
        <v>6050.1428571428569</v>
      </c>
      <c r="M4157" s="4">
        <v>2.9586078250808719E-2</v>
      </c>
      <c r="N4157" t="s">
        <v>25</v>
      </c>
      <c r="O4157" t="str">
        <f t="shared" si="640"/>
        <v>Low</v>
      </c>
      <c r="P4157" t="str">
        <f t="shared" si="641"/>
        <v>Low</v>
      </c>
      <c r="Q4157" t="str">
        <f t="shared" si="642"/>
        <v>Low</v>
      </c>
      <c r="R4157" t="s">
        <v>3317</v>
      </c>
      <c r="S4157" s="4">
        <f t="shared" ca="1" si="643"/>
        <v>652</v>
      </c>
      <c r="T4157">
        <f t="shared" si="644"/>
        <v>1</v>
      </c>
      <c r="U4157">
        <f t="shared" si="645"/>
        <v>1</v>
      </c>
      <c r="V4157">
        <f t="shared" si="646"/>
        <v>1</v>
      </c>
      <c r="W4157">
        <f t="shared" si="647"/>
        <v>1</v>
      </c>
      <c r="X4157">
        <f t="shared" si="648"/>
        <v>0.99999999999999989</v>
      </c>
      <c r="Y4157" t="str">
        <f t="shared" si="649"/>
        <v>Healthy</v>
      </c>
    </row>
    <row r="4158" spans="1:25" x14ac:dyDescent="0.35">
      <c r="A4158" t="s">
        <v>210</v>
      </c>
      <c r="B4158" t="s">
        <v>211</v>
      </c>
      <c r="C4158" t="s">
        <v>273</v>
      </c>
      <c r="D4158" t="s">
        <v>274</v>
      </c>
      <c r="E4158">
        <v>80832387</v>
      </c>
      <c r="F4158" t="s">
        <v>2660</v>
      </c>
      <c r="G4158" s="3">
        <v>47828</v>
      </c>
      <c r="H4158">
        <v>60</v>
      </c>
      <c r="I4158">
        <v>91</v>
      </c>
      <c r="J4158">
        <v>138</v>
      </c>
      <c r="K4158" s="4">
        <v>69607.199999999997</v>
      </c>
      <c r="L4158" s="4">
        <v>82.285714285714292</v>
      </c>
      <c r="M4158" s="4">
        <v>1.6770833333333333</v>
      </c>
      <c r="N4158" t="s">
        <v>25</v>
      </c>
      <c r="O4158" t="str">
        <f t="shared" si="640"/>
        <v>Low</v>
      </c>
      <c r="P4158" t="str">
        <f t="shared" si="641"/>
        <v>Low</v>
      </c>
      <c r="Q4158" t="str">
        <f t="shared" si="642"/>
        <v>Low</v>
      </c>
      <c r="R4158" t="s">
        <v>3310</v>
      </c>
      <c r="S4158" s="4">
        <f t="shared" ca="1" si="643"/>
        <v>1631</v>
      </c>
      <c r="T4158">
        <f t="shared" si="644"/>
        <v>1</v>
      </c>
      <c r="U4158">
        <f t="shared" si="645"/>
        <v>1</v>
      </c>
      <c r="V4158">
        <f t="shared" si="646"/>
        <v>1</v>
      </c>
      <c r="W4158">
        <f t="shared" si="647"/>
        <v>2</v>
      </c>
      <c r="X4158">
        <f t="shared" si="648"/>
        <v>1.0999999999999999</v>
      </c>
      <c r="Y4158" t="str">
        <f t="shared" si="649"/>
        <v>Healthy</v>
      </c>
    </row>
    <row r="4159" spans="1:25" x14ac:dyDescent="0.35">
      <c r="A4159" t="s">
        <v>90</v>
      </c>
      <c r="B4159" t="s">
        <v>91</v>
      </c>
      <c r="C4159" t="s">
        <v>155</v>
      </c>
      <c r="D4159" t="s">
        <v>2478</v>
      </c>
      <c r="E4159">
        <v>80887281</v>
      </c>
      <c r="F4159" t="s">
        <v>2658</v>
      </c>
      <c r="G4159" s="3">
        <v>46879</v>
      </c>
      <c r="H4159">
        <v>24</v>
      </c>
      <c r="I4159">
        <v>95</v>
      </c>
      <c r="J4159">
        <v>160</v>
      </c>
      <c r="K4159" s="4">
        <v>25598.400000000001</v>
      </c>
      <c r="L4159" s="4">
        <v>6050.1428571428569</v>
      </c>
      <c r="M4159" s="4">
        <v>2.6445656537035726E-2</v>
      </c>
      <c r="N4159" t="s">
        <v>25</v>
      </c>
      <c r="O4159" t="str">
        <f t="shared" si="640"/>
        <v>Low</v>
      </c>
      <c r="P4159" t="str">
        <f t="shared" si="641"/>
        <v>Low</v>
      </c>
      <c r="Q4159" t="str">
        <f t="shared" si="642"/>
        <v>Low</v>
      </c>
      <c r="R4159" t="s">
        <v>3317</v>
      </c>
      <c r="S4159" s="4">
        <f t="shared" ca="1" si="643"/>
        <v>682</v>
      </c>
      <c r="T4159">
        <f t="shared" si="644"/>
        <v>1</v>
      </c>
      <c r="U4159">
        <f t="shared" si="645"/>
        <v>1</v>
      </c>
      <c r="V4159">
        <f t="shared" si="646"/>
        <v>1</v>
      </c>
      <c r="W4159">
        <f t="shared" si="647"/>
        <v>1</v>
      </c>
      <c r="X4159">
        <f t="shared" si="648"/>
        <v>0.99999999999999989</v>
      </c>
      <c r="Y4159" t="str">
        <f t="shared" si="649"/>
        <v>Healthy</v>
      </c>
    </row>
    <row r="4160" spans="1:25" x14ac:dyDescent="0.35">
      <c r="A4160" t="s">
        <v>210</v>
      </c>
      <c r="B4160" t="s">
        <v>211</v>
      </c>
      <c r="C4160" t="s">
        <v>273</v>
      </c>
      <c r="D4160" t="s">
        <v>274</v>
      </c>
      <c r="E4160">
        <v>80832387</v>
      </c>
      <c r="F4160" t="s">
        <v>2660</v>
      </c>
      <c r="G4160" s="3">
        <v>47753</v>
      </c>
      <c r="H4160">
        <v>60</v>
      </c>
      <c r="I4160">
        <v>87</v>
      </c>
      <c r="J4160">
        <v>8</v>
      </c>
      <c r="K4160" s="4">
        <v>4035.2</v>
      </c>
      <c r="L4160" s="4">
        <v>82.285714285714292</v>
      </c>
      <c r="M4160" s="4">
        <v>9.722222222222221E-2</v>
      </c>
      <c r="N4160" t="s">
        <v>25</v>
      </c>
      <c r="O4160" t="str">
        <f t="shared" si="640"/>
        <v>Low</v>
      </c>
      <c r="P4160" t="str">
        <f t="shared" si="641"/>
        <v>Low</v>
      </c>
      <c r="Q4160" t="str">
        <f t="shared" si="642"/>
        <v>Low</v>
      </c>
      <c r="R4160" t="s">
        <v>3317</v>
      </c>
      <c r="S4160" s="4">
        <f t="shared" ca="1" si="643"/>
        <v>1556</v>
      </c>
      <c r="T4160">
        <f t="shared" si="644"/>
        <v>1</v>
      </c>
      <c r="U4160">
        <f t="shared" si="645"/>
        <v>1</v>
      </c>
      <c r="V4160">
        <f t="shared" si="646"/>
        <v>1</v>
      </c>
      <c r="W4160">
        <f t="shared" si="647"/>
        <v>1</v>
      </c>
      <c r="X4160">
        <f t="shared" si="648"/>
        <v>0.99999999999999989</v>
      </c>
      <c r="Y4160" t="str">
        <f t="shared" si="649"/>
        <v>Healthy</v>
      </c>
    </row>
    <row r="4161" spans="1:25" x14ac:dyDescent="0.35">
      <c r="A4161" t="s">
        <v>90</v>
      </c>
      <c r="B4161" t="s">
        <v>91</v>
      </c>
      <c r="C4161" t="s">
        <v>155</v>
      </c>
      <c r="D4161" t="s">
        <v>2478</v>
      </c>
      <c r="E4161">
        <v>80887281</v>
      </c>
      <c r="F4161" t="s">
        <v>2658</v>
      </c>
      <c r="G4161" s="3">
        <v>46785</v>
      </c>
      <c r="H4161">
        <v>24</v>
      </c>
      <c r="I4161">
        <v>82</v>
      </c>
      <c r="J4161">
        <v>39</v>
      </c>
      <c r="K4161" s="4">
        <v>6239.61</v>
      </c>
      <c r="L4161" s="4">
        <v>6050.1428571428569</v>
      </c>
      <c r="M4161" s="4">
        <v>6.4461287809024579E-3</v>
      </c>
      <c r="N4161" t="s">
        <v>25</v>
      </c>
      <c r="O4161" t="str">
        <f t="shared" si="640"/>
        <v>Low</v>
      </c>
      <c r="P4161" t="str">
        <f t="shared" si="641"/>
        <v>Low</v>
      </c>
      <c r="Q4161" t="str">
        <f t="shared" si="642"/>
        <v>Low</v>
      </c>
      <c r="R4161" t="s">
        <v>3317</v>
      </c>
      <c r="S4161" s="4">
        <f t="shared" ca="1" si="643"/>
        <v>588</v>
      </c>
      <c r="T4161">
        <f t="shared" si="644"/>
        <v>1</v>
      </c>
      <c r="U4161">
        <f t="shared" si="645"/>
        <v>1</v>
      </c>
      <c r="V4161">
        <f t="shared" si="646"/>
        <v>1</v>
      </c>
      <c r="W4161">
        <f t="shared" si="647"/>
        <v>1</v>
      </c>
      <c r="X4161">
        <f t="shared" si="648"/>
        <v>0.99999999999999989</v>
      </c>
      <c r="Y4161" t="str">
        <f t="shared" si="649"/>
        <v>Healthy</v>
      </c>
    </row>
    <row r="4162" spans="1:25" x14ac:dyDescent="0.35">
      <c r="A4162" t="s">
        <v>210</v>
      </c>
      <c r="B4162" t="s">
        <v>211</v>
      </c>
      <c r="C4162" t="s">
        <v>273</v>
      </c>
      <c r="D4162" t="s">
        <v>274</v>
      </c>
      <c r="E4162">
        <v>80832387</v>
      </c>
      <c r="F4162" t="s">
        <v>2660</v>
      </c>
      <c r="G4162" s="3">
        <v>47736</v>
      </c>
      <c r="H4162">
        <v>60</v>
      </c>
      <c r="I4162">
        <v>86</v>
      </c>
      <c r="J4162">
        <v>18</v>
      </c>
      <c r="K4162" s="4">
        <v>9079.2000000000007</v>
      </c>
      <c r="L4162" s="4">
        <v>82.285714285714292</v>
      </c>
      <c r="M4162" s="4">
        <v>0.21874999999999997</v>
      </c>
      <c r="N4162" t="s">
        <v>25</v>
      </c>
      <c r="O4162" t="str">
        <f t="shared" si="640"/>
        <v>Low</v>
      </c>
      <c r="P4162" t="str">
        <f t="shared" si="641"/>
        <v>Low</v>
      </c>
      <c r="Q4162" t="str">
        <f t="shared" si="642"/>
        <v>Low</v>
      </c>
      <c r="R4162" t="s">
        <v>3317</v>
      </c>
      <c r="S4162" s="4">
        <f t="shared" ca="1" si="643"/>
        <v>1539</v>
      </c>
      <c r="T4162">
        <f t="shared" si="644"/>
        <v>1</v>
      </c>
      <c r="U4162">
        <f t="shared" si="645"/>
        <v>1</v>
      </c>
      <c r="V4162">
        <f t="shared" si="646"/>
        <v>1</v>
      </c>
      <c r="W4162">
        <f t="shared" si="647"/>
        <v>1</v>
      </c>
      <c r="X4162">
        <f t="shared" si="648"/>
        <v>0.99999999999999989</v>
      </c>
      <c r="Y4162" t="str">
        <f t="shared" si="649"/>
        <v>Healthy</v>
      </c>
    </row>
    <row r="4163" spans="1:25" x14ac:dyDescent="0.35">
      <c r="A4163" t="s">
        <v>90</v>
      </c>
      <c r="B4163" t="s">
        <v>91</v>
      </c>
      <c r="C4163" t="s">
        <v>155</v>
      </c>
      <c r="D4163" t="s">
        <v>2478</v>
      </c>
      <c r="E4163">
        <v>80887281</v>
      </c>
      <c r="F4163" t="s">
        <v>2658</v>
      </c>
      <c r="G4163" s="3">
        <v>46845</v>
      </c>
      <c r="H4163">
        <v>24</v>
      </c>
      <c r="I4163">
        <v>91</v>
      </c>
      <c r="J4163">
        <v>65</v>
      </c>
      <c r="K4163" s="4">
        <v>10399.35</v>
      </c>
      <c r="L4163" s="4">
        <v>6050.1428571428569</v>
      </c>
      <c r="M4163" s="4">
        <v>1.0743547968170763E-2</v>
      </c>
      <c r="N4163" t="s">
        <v>25</v>
      </c>
      <c r="O4163" t="str">
        <f t="shared" ref="O4163:O4226" si="650">IF(I4163&lt;20,"High",IF(I4163&lt;40,"Medium","Low"))</f>
        <v>Low</v>
      </c>
      <c r="P4163" t="str">
        <f t="shared" ref="P4163:P4226" si="651">IF(M4163&gt;8,"High",IF(M4163&gt;4,"Medium","Low"))</f>
        <v>Low</v>
      </c>
      <c r="Q4163" t="str">
        <f t="shared" ref="Q4163:Q4226" si="652">IF(L4163&lt;5,"High",IF(L4163&lt;15,"Medium","Low"))</f>
        <v>Low</v>
      </c>
      <c r="R4163" t="s">
        <v>3317</v>
      </c>
      <c r="S4163" s="4">
        <f t="shared" ref="S4163:S4226" ca="1" si="653">G4163-TODAY()</f>
        <v>648</v>
      </c>
      <c r="T4163">
        <f t="shared" ref="T4163:T4226" si="654">IF(O4163="High",3,IF(O4163="Medium",2,1))</f>
        <v>1</v>
      </c>
      <c r="U4163">
        <f t="shared" ref="U4163:U4226" si="655">IF(P4163="High",3,IF(P4163="Medium",2,1))</f>
        <v>1</v>
      </c>
      <c r="V4163">
        <f t="shared" ref="V4163:V4226" si="656">IF(Q4163="High",3,IF(Q4163="Medium",2,1))</f>
        <v>1</v>
      </c>
      <c r="W4163">
        <f t="shared" ref="W4163:W4226" si="657">IF(R4163="High",3,IF(R4163="Medium",2,1))</f>
        <v>1</v>
      </c>
      <c r="X4163">
        <f t="shared" ref="X4163:X4226" si="658">(0.4*T4163)+(0.3*U4163)+(0.2*V4163)+(0.1*W4163)</f>
        <v>0.99999999999999989</v>
      </c>
      <c r="Y4163" t="str">
        <f t="shared" ref="Y4163:Y4226" si="659">IF(X4163&gt;=2.7,"Move Immediately",IF(X4163&gt;=2.2,"High Priority",IF(X4163&gt;=1.7,"Monitor","Healthy")))</f>
        <v>Healthy</v>
      </c>
    </row>
    <row r="4164" spans="1:25" x14ac:dyDescent="0.35">
      <c r="A4164" t="s">
        <v>210</v>
      </c>
      <c r="B4164" t="s">
        <v>211</v>
      </c>
      <c r="C4164" t="s">
        <v>273</v>
      </c>
      <c r="D4164" t="s">
        <v>274</v>
      </c>
      <c r="E4164">
        <v>80832387</v>
      </c>
      <c r="F4164" t="s">
        <v>2660</v>
      </c>
      <c r="G4164" s="3">
        <v>47707</v>
      </c>
      <c r="H4164">
        <v>60</v>
      </c>
      <c r="I4164">
        <v>84</v>
      </c>
      <c r="J4164">
        <v>37</v>
      </c>
      <c r="K4164" s="4">
        <v>18662.8</v>
      </c>
      <c r="L4164" s="4">
        <v>82.285714285714292</v>
      </c>
      <c r="M4164" s="4">
        <v>0.44965277777777773</v>
      </c>
      <c r="N4164" t="s">
        <v>25</v>
      </c>
      <c r="O4164" t="str">
        <f t="shared" si="650"/>
        <v>Low</v>
      </c>
      <c r="P4164" t="str">
        <f t="shared" si="651"/>
        <v>Low</v>
      </c>
      <c r="Q4164" t="str">
        <f t="shared" si="652"/>
        <v>Low</v>
      </c>
      <c r="R4164" t="s">
        <v>3317</v>
      </c>
      <c r="S4164" s="4">
        <f t="shared" ca="1" si="653"/>
        <v>1510</v>
      </c>
      <c r="T4164">
        <f t="shared" si="654"/>
        <v>1</v>
      </c>
      <c r="U4164">
        <f t="shared" si="655"/>
        <v>1</v>
      </c>
      <c r="V4164">
        <f t="shared" si="656"/>
        <v>1</v>
      </c>
      <c r="W4164">
        <f t="shared" si="657"/>
        <v>1</v>
      </c>
      <c r="X4164">
        <f t="shared" si="658"/>
        <v>0.99999999999999989</v>
      </c>
      <c r="Y4164" t="str">
        <f t="shared" si="659"/>
        <v>Healthy</v>
      </c>
    </row>
    <row r="4165" spans="1:25" x14ac:dyDescent="0.35">
      <c r="A4165" t="s">
        <v>210</v>
      </c>
      <c r="B4165" t="s">
        <v>211</v>
      </c>
      <c r="C4165" t="s">
        <v>273</v>
      </c>
      <c r="D4165" t="s">
        <v>274</v>
      </c>
      <c r="E4165">
        <v>80832387</v>
      </c>
      <c r="F4165" t="s">
        <v>2660</v>
      </c>
      <c r="G4165" s="3">
        <v>47692</v>
      </c>
      <c r="H4165">
        <v>60</v>
      </c>
      <c r="I4165">
        <v>83</v>
      </c>
      <c r="J4165">
        <v>17</v>
      </c>
      <c r="K4165" s="4">
        <v>8574.7999999999993</v>
      </c>
      <c r="L4165" s="4">
        <v>82.285714285714292</v>
      </c>
      <c r="M4165" s="4">
        <v>0.20659722222222221</v>
      </c>
      <c r="N4165" t="s">
        <v>25</v>
      </c>
      <c r="O4165" t="str">
        <f t="shared" si="650"/>
        <v>Low</v>
      </c>
      <c r="P4165" t="str">
        <f t="shared" si="651"/>
        <v>Low</v>
      </c>
      <c r="Q4165" t="str">
        <f t="shared" si="652"/>
        <v>Low</v>
      </c>
      <c r="R4165" t="s">
        <v>3317</v>
      </c>
      <c r="S4165" s="4">
        <f t="shared" ca="1" si="653"/>
        <v>1495</v>
      </c>
      <c r="T4165">
        <f t="shared" si="654"/>
        <v>1</v>
      </c>
      <c r="U4165">
        <f t="shared" si="655"/>
        <v>1</v>
      </c>
      <c r="V4165">
        <f t="shared" si="656"/>
        <v>1</v>
      </c>
      <c r="W4165">
        <f t="shared" si="657"/>
        <v>1</v>
      </c>
      <c r="X4165">
        <f t="shared" si="658"/>
        <v>0.99999999999999989</v>
      </c>
      <c r="Y4165" t="str">
        <f t="shared" si="659"/>
        <v>Healthy</v>
      </c>
    </row>
    <row r="4166" spans="1:25" x14ac:dyDescent="0.35">
      <c r="A4166" t="s">
        <v>90</v>
      </c>
      <c r="B4166" t="s">
        <v>91</v>
      </c>
      <c r="C4166" t="s">
        <v>155</v>
      </c>
      <c r="D4166" t="s">
        <v>2478</v>
      </c>
      <c r="E4166">
        <v>80887281</v>
      </c>
      <c r="F4166" t="s">
        <v>2658</v>
      </c>
      <c r="G4166" s="3">
        <v>46819</v>
      </c>
      <c r="H4166">
        <v>24</v>
      </c>
      <c r="I4166">
        <v>87</v>
      </c>
      <c r="J4166">
        <v>133</v>
      </c>
      <c r="K4166" s="4">
        <v>21278.67</v>
      </c>
      <c r="L4166" s="4">
        <v>6050.1428571428569</v>
      </c>
      <c r="M4166" s="4">
        <v>2.1982951996410947E-2</v>
      </c>
      <c r="N4166" t="s">
        <v>25</v>
      </c>
      <c r="O4166" t="str">
        <f t="shared" si="650"/>
        <v>Low</v>
      </c>
      <c r="P4166" t="str">
        <f t="shared" si="651"/>
        <v>Low</v>
      </c>
      <c r="Q4166" t="str">
        <f t="shared" si="652"/>
        <v>Low</v>
      </c>
      <c r="R4166" t="s">
        <v>3317</v>
      </c>
      <c r="S4166" s="4">
        <f t="shared" ca="1" si="653"/>
        <v>622</v>
      </c>
      <c r="T4166">
        <f t="shared" si="654"/>
        <v>1</v>
      </c>
      <c r="U4166">
        <f t="shared" si="655"/>
        <v>1</v>
      </c>
      <c r="V4166">
        <f t="shared" si="656"/>
        <v>1</v>
      </c>
      <c r="W4166">
        <f t="shared" si="657"/>
        <v>1</v>
      </c>
      <c r="X4166">
        <f t="shared" si="658"/>
        <v>0.99999999999999989</v>
      </c>
      <c r="Y4166" t="str">
        <f t="shared" si="659"/>
        <v>Healthy</v>
      </c>
    </row>
    <row r="4167" spans="1:25" x14ac:dyDescent="0.35">
      <c r="A4167" t="s">
        <v>20</v>
      </c>
      <c r="B4167" t="s">
        <v>21</v>
      </c>
      <c r="C4167" t="s">
        <v>684</v>
      </c>
      <c r="D4167" t="s">
        <v>813</v>
      </c>
      <c r="E4167">
        <v>80838057</v>
      </c>
      <c r="F4167" t="s">
        <v>2661</v>
      </c>
      <c r="G4167" s="3">
        <v>46968</v>
      </c>
      <c r="H4167">
        <v>36</v>
      </c>
      <c r="I4167">
        <v>72</v>
      </c>
      <c r="J4167">
        <v>23</v>
      </c>
      <c r="K4167" s="4">
        <v>3220</v>
      </c>
      <c r="L4167" s="4">
        <v>232.85714285714286</v>
      </c>
      <c r="M4167" s="4">
        <v>9.8773006134969324E-2</v>
      </c>
      <c r="N4167" t="s">
        <v>25</v>
      </c>
      <c r="O4167" t="str">
        <f t="shared" si="650"/>
        <v>Low</v>
      </c>
      <c r="P4167" t="str">
        <f t="shared" si="651"/>
        <v>Low</v>
      </c>
      <c r="Q4167" t="str">
        <f t="shared" si="652"/>
        <v>Low</v>
      </c>
      <c r="R4167" t="s">
        <v>3317</v>
      </c>
      <c r="S4167" s="4">
        <f t="shared" ca="1" si="653"/>
        <v>771</v>
      </c>
      <c r="T4167">
        <f t="shared" si="654"/>
        <v>1</v>
      </c>
      <c r="U4167">
        <f t="shared" si="655"/>
        <v>1</v>
      </c>
      <c r="V4167">
        <f t="shared" si="656"/>
        <v>1</v>
      </c>
      <c r="W4167">
        <f t="shared" si="657"/>
        <v>1</v>
      </c>
      <c r="X4167">
        <f t="shared" si="658"/>
        <v>0.99999999999999989</v>
      </c>
      <c r="Y4167" t="str">
        <f t="shared" si="659"/>
        <v>Healthy</v>
      </c>
    </row>
    <row r="4168" spans="1:25" x14ac:dyDescent="0.35">
      <c r="A4168" t="s">
        <v>90</v>
      </c>
      <c r="B4168" t="s">
        <v>91</v>
      </c>
      <c r="C4168" t="s">
        <v>112</v>
      </c>
      <c r="D4168" t="s">
        <v>1886</v>
      </c>
      <c r="E4168">
        <v>80887528</v>
      </c>
      <c r="F4168" t="s">
        <v>2662</v>
      </c>
      <c r="G4168" s="3">
        <v>46865</v>
      </c>
      <c r="H4168">
        <v>24</v>
      </c>
      <c r="I4168">
        <v>93</v>
      </c>
      <c r="J4168">
        <v>338</v>
      </c>
      <c r="K4168" s="4">
        <v>66886.820000000007</v>
      </c>
      <c r="L4168" s="4">
        <v>6805.2857142857147</v>
      </c>
      <c r="M4168" s="4">
        <v>4.9667275437160187E-2</v>
      </c>
      <c r="N4168" t="s">
        <v>25</v>
      </c>
      <c r="O4168" t="str">
        <f t="shared" si="650"/>
        <v>Low</v>
      </c>
      <c r="P4168" t="str">
        <f t="shared" si="651"/>
        <v>Low</v>
      </c>
      <c r="Q4168" t="str">
        <f t="shared" si="652"/>
        <v>Low</v>
      </c>
      <c r="R4168" t="s">
        <v>3310</v>
      </c>
      <c r="S4168" s="4">
        <f t="shared" ca="1" si="653"/>
        <v>668</v>
      </c>
      <c r="T4168">
        <f t="shared" si="654"/>
        <v>1</v>
      </c>
      <c r="U4168">
        <f t="shared" si="655"/>
        <v>1</v>
      </c>
      <c r="V4168">
        <f t="shared" si="656"/>
        <v>1</v>
      </c>
      <c r="W4168">
        <f t="shared" si="657"/>
        <v>2</v>
      </c>
      <c r="X4168">
        <f t="shared" si="658"/>
        <v>1.0999999999999999</v>
      </c>
      <c r="Y4168" t="str">
        <f t="shared" si="659"/>
        <v>Healthy</v>
      </c>
    </row>
    <row r="4169" spans="1:25" x14ac:dyDescent="0.35">
      <c r="A4169" t="s">
        <v>20</v>
      </c>
      <c r="B4169" t="s">
        <v>21</v>
      </c>
      <c r="C4169" t="s">
        <v>684</v>
      </c>
      <c r="D4169" t="s">
        <v>813</v>
      </c>
      <c r="E4169">
        <v>80838057</v>
      </c>
      <c r="F4169" t="s">
        <v>2661</v>
      </c>
      <c r="G4169" s="3">
        <v>46969</v>
      </c>
      <c r="H4169">
        <v>36</v>
      </c>
      <c r="I4169">
        <v>72</v>
      </c>
      <c r="J4169">
        <v>47</v>
      </c>
      <c r="K4169" s="4">
        <v>6580</v>
      </c>
      <c r="L4169" s="4">
        <v>232.85714285714286</v>
      </c>
      <c r="M4169" s="4">
        <v>0.20184049079754601</v>
      </c>
      <c r="N4169" t="s">
        <v>25</v>
      </c>
      <c r="O4169" t="str">
        <f t="shared" si="650"/>
        <v>Low</v>
      </c>
      <c r="P4169" t="str">
        <f t="shared" si="651"/>
        <v>Low</v>
      </c>
      <c r="Q4169" t="str">
        <f t="shared" si="652"/>
        <v>Low</v>
      </c>
      <c r="R4169" t="s">
        <v>3317</v>
      </c>
      <c r="S4169" s="4">
        <f t="shared" ca="1" si="653"/>
        <v>772</v>
      </c>
      <c r="T4169">
        <f t="shared" si="654"/>
        <v>1</v>
      </c>
      <c r="U4169">
        <f t="shared" si="655"/>
        <v>1</v>
      </c>
      <c r="V4169">
        <f t="shared" si="656"/>
        <v>1</v>
      </c>
      <c r="W4169">
        <f t="shared" si="657"/>
        <v>1</v>
      </c>
      <c r="X4169">
        <f t="shared" si="658"/>
        <v>0.99999999999999989</v>
      </c>
      <c r="Y4169" t="str">
        <f t="shared" si="659"/>
        <v>Healthy</v>
      </c>
    </row>
    <row r="4170" spans="1:25" x14ac:dyDescent="0.35">
      <c r="A4170" t="s">
        <v>20</v>
      </c>
      <c r="B4170" t="s">
        <v>21</v>
      </c>
      <c r="C4170" t="s">
        <v>684</v>
      </c>
      <c r="D4170" t="s">
        <v>813</v>
      </c>
      <c r="E4170">
        <v>80838057</v>
      </c>
      <c r="F4170" t="s">
        <v>2661</v>
      </c>
      <c r="G4170" s="3">
        <v>46968</v>
      </c>
      <c r="H4170">
        <v>36</v>
      </c>
      <c r="I4170">
        <v>72</v>
      </c>
      <c r="J4170">
        <v>654</v>
      </c>
      <c r="K4170" s="4">
        <v>91560</v>
      </c>
      <c r="L4170" s="4">
        <v>232.85714285714286</v>
      </c>
      <c r="M4170" s="4">
        <v>2.8085889570552145</v>
      </c>
      <c r="N4170" t="s">
        <v>25</v>
      </c>
      <c r="O4170" t="str">
        <f t="shared" si="650"/>
        <v>Low</v>
      </c>
      <c r="P4170" t="str">
        <f t="shared" si="651"/>
        <v>Low</v>
      </c>
      <c r="Q4170" t="str">
        <f t="shared" si="652"/>
        <v>Low</v>
      </c>
      <c r="R4170" t="s">
        <v>3310</v>
      </c>
      <c r="S4170" s="4">
        <f t="shared" ca="1" si="653"/>
        <v>771</v>
      </c>
      <c r="T4170">
        <f t="shared" si="654"/>
        <v>1</v>
      </c>
      <c r="U4170">
        <f t="shared" si="655"/>
        <v>1</v>
      </c>
      <c r="V4170">
        <f t="shared" si="656"/>
        <v>1</v>
      </c>
      <c r="W4170">
        <f t="shared" si="657"/>
        <v>2</v>
      </c>
      <c r="X4170">
        <f t="shared" si="658"/>
        <v>1.0999999999999999</v>
      </c>
      <c r="Y4170" t="str">
        <f t="shared" si="659"/>
        <v>Healthy</v>
      </c>
    </row>
    <row r="4171" spans="1:25" x14ac:dyDescent="0.35">
      <c r="A4171" t="s">
        <v>90</v>
      </c>
      <c r="B4171" t="s">
        <v>91</v>
      </c>
      <c r="C4171" t="s">
        <v>112</v>
      </c>
      <c r="D4171" t="s">
        <v>1886</v>
      </c>
      <c r="E4171">
        <v>80887528</v>
      </c>
      <c r="F4171" t="s">
        <v>2662</v>
      </c>
      <c r="G4171" s="3">
        <v>46864</v>
      </c>
      <c r="H4171">
        <v>24</v>
      </c>
      <c r="I4171">
        <v>93</v>
      </c>
      <c r="J4171">
        <v>412</v>
      </c>
      <c r="K4171" s="4">
        <v>81530.679999999993</v>
      </c>
      <c r="L4171" s="4">
        <v>6805.2857142857147</v>
      </c>
      <c r="M4171" s="4">
        <v>6.05411759766568E-2</v>
      </c>
      <c r="N4171" t="s">
        <v>25</v>
      </c>
      <c r="O4171" t="str">
        <f t="shared" si="650"/>
        <v>Low</v>
      </c>
      <c r="P4171" t="str">
        <f t="shared" si="651"/>
        <v>Low</v>
      </c>
      <c r="Q4171" t="str">
        <f t="shared" si="652"/>
        <v>Low</v>
      </c>
      <c r="R4171" t="s">
        <v>3310</v>
      </c>
      <c r="S4171" s="4">
        <f t="shared" ca="1" si="653"/>
        <v>667</v>
      </c>
      <c r="T4171">
        <f t="shared" si="654"/>
        <v>1</v>
      </c>
      <c r="U4171">
        <f t="shared" si="655"/>
        <v>1</v>
      </c>
      <c r="V4171">
        <f t="shared" si="656"/>
        <v>1</v>
      </c>
      <c r="W4171">
        <f t="shared" si="657"/>
        <v>2</v>
      </c>
      <c r="X4171">
        <f t="shared" si="658"/>
        <v>1.0999999999999999</v>
      </c>
      <c r="Y4171" t="str">
        <f t="shared" si="659"/>
        <v>Healthy</v>
      </c>
    </row>
    <row r="4172" spans="1:25" x14ac:dyDescent="0.35">
      <c r="A4172" t="s">
        <v>90</v>
      </c>
      <c r="B4172" t="s">
        <v>91</v>
      </c>
      <c r="C4172" t="s">
        <v>112</v>
      </c>
      <c r="D4172" t="s">
        <v>1886</v>
      </c>
      <c r="E4172">
        <v>80887528</v>
      </c>
      <c r="F4172" t="s">
        <v>2662</v>
      </c>
      <c r="G4172" s="3">
        <v>46879</v>
      </c>
      <c r="H4172">
        <v>24</v>
      </c>
      <c r="I4172">
        <v>95</v>
      </c>
      <c r="J4172">
        <v>257</v>
      </c>
      <c r="K4172" s="4">
        <v>50857.73</v>
      </c>
      <c r="L4172" s="4">
        <v>6805.2857142857147</v>
      </c>
      <c r="M4172" s="4">
        <v>3.7764762684467955E-2</v>
      </c>
      <c r="N4172" t="s">
        <v>25</v>
      </c>
      <c r="O4172" t="str">
        <f t="shared" si="650"/>
        <v>Low</v>
      </c>
      <c r="P4172" t="str">
        <f t="shared" si="651"/>
        <v>Low</v>
      </c>
      <c r="Q4172" t="str">
        <f t="shared" si="652"/>
        <v>Low</v>
      </c>
      <c r="R4172" t="s">
        <v>3317</v>
      </c>
      <c r="S4172" s="4">
        <f t="shared" ca="1" si="653"/>
        <v>682</v>
      </c>
      <c r="T4172">
        <f t="shared" si="654"/>
        <v>1</v>
      </c>
      <c r="U4172">
        <f t="shared" si="655"/>
        <v>1</v>
      </c>
      <c r="V4172">
        <f t="shared" si="656"/>
        <v>1</v>
      </c>
      <c r="W4172">
        <f t="shared" si="657"/>
        <v>1</v>
      </c>
      <c r="X4172">
        <f t="shared" si="658"/>
        <v>0.99999999999999989</v>
      </c>
      <c r="Y4172" t="str">
        <f t="shared" si="659"/>
        <v>Healthy</v>
      </c>
    </row>
    <row r="4173" spans="1:25" x14ac:dyDescent="0.35">
      <c r="A4173" t="s">
        <v>90</v>
      </c>
      <c r="B4173" t="s">
        <v>91</v>
      </c>
      <c r="C4173" t="s">
        <v>112</v>
      </c>
      <c r="D4173" t="s">
        <v>1886</v>
      </c>
      <c r="E4173">
        <v>80887528</v>
      </c>
      <c r="F4173" t="s">
        <v>2662</v>
      </c>
      <c r="G4173" s="3">
        <v>46880</v>
      </c>
      <c r="H4173">
        <v>24</v>
      </c>
      <c r="I4173">
        <v>96</v>
      </c>
      <c r="J4173">
        <v>187</v>
      </c>
      <c r="K4173" s="4">
        <v>37005.43</v>
      </c>
      <c r="L4173" s="4">
        <v>6805.2857142857147</v>
      </c>
      <c r="M4173" s="4">
        <v>2.7478640552511702E-2</v>
      </c>
      <c r="N4173" t="s">
        <v>25</v>
      </c>
      <c r="O4173" t="str">
        <f t="shared" si="650"/>
        <v>Low</v>
      </c>
      <c r="P4173" t="str">
        <f t="shared" si="651"/>
        <v>Low</v>
      </c>
      <c r="Q4173" t="str">
        <f t="shared" si="652"/>
        <v>Low</v>
      </c>
      <c r="R4173" t="s">
        <v>3317</v>
      </c>
      <c r="S4173" s="4">
        <f t="shared" ca="1" si="653"/>
        <v>683</v>
      </c>
      <c r="T4173">
        <f t="shared" si="654"/>
        <v>1</v>
      </c>
      <c r="U4173">
        <f t="shared" si="655"/>
        <v>1</v>
      </c>
      <c r="V4173">
        <f t="shared" si="656"/>
        <v>1</v>
      </c>
      <c r="W4173">
        <f t="shared" si="657"/>
        <v>1</v>
      </c>
      <c r="X4173">
        <f t="shared" si="658"/>
        <v>0.99999999999999989</v>
      </c>
      <c r="Y4173" t="str">
        <f t="shared" si="659"/>
        <v>Healthy</v>
      </c>
    </row>
    <row r="4174" spans="1:25" x14ac:dyDescent="0.35">
      <c r="A4174" t="s">
        <v>90</v>
      </c>
      <c r="B4174" t="s">
        <v>91</v>
      </c>
      <c r="C4174" t="s">
        <v>478</v>
      </c>
      <c r="D4174" t="s">
        <v>725</v>
      </c>
      <c r="E4174">
        <v>80883940</v>
      </c>
      <c r="F4174" t="s">
        <v>2663</v>
      </c>
      <c r="G4174" s="3">
        <v>46829</v>
      </c>
      <c r="H4174">
        <v>24</v>
      </c>
      <c r="I4174">
        <v>88</v>
      </c>
      <c r="J4174">
        <v>493</v>
      </c>
      <c r="K4174" s="4">
        <v>153604.01</v>
      </c>
      <c r="L4174" s="4">
        <v>12589.142857142857</v>
      </c>
      <c r="M4174" s="4">
        <v>3.9160728064999317E-2</v>
      </c>
      <c r="N4174" t="s">
        <v>25</v>
      </c>
      <c r="O4174" t="str">
        <f t="shared" si="650"/>
        <v>Low</v>
      </c>
      <c r="P4174" t="str">
        <f t="shared" si="651"/>
        <v>Low</v>
      </c>
      <c r="Q4174" t="str">
        <f t="shared" si="652"/>
        <v>Low</v>
      </c>
      <c r="R4174" t="s">
        <v>3309</v>
      </c>
      <c r="S4174" s="4">
        <f t="shared" ca="1" si="653"/>
        <v>632</v>
      </c>
      <c r="T4174">
        <f t="shared" si="654"/>
        <v>1</v>
      </c>
      <c r="U4174">
        <f t="shared" si="655"/>
        <v>1</v>
      </c>
      <c r="V4174">
        <f t="shared" si="656"/>
        <v>1</v>
      </c>
      <c r="W4174">
        <f t="shared" si="657"/>
        <v>3</v>
      </c>
      <c r="X4174">
        <f t="shared" si="658"/>
        <v>1.2</v>
      </c>
      <c r="Y4174" t="str">
        <f t="shared" si="659"/>
        <v>Healthy</v>
      </c>
    </row>
    <row r="4175" spans="1:25" x14ac:dyDescent="0.35">
      <c r="A4175" t="s">
        <v>90</v>
      </c>
      <c r="B4175" t="s">
        <v>91</v>
      </c>
      <c r="C4175" t="s">
        <v>478</v>
      </c>
      <c r="D4175" t="s">
        <v>725</v>
      </c>
      <c r="E4175">
        <v>80883940</v>
      </c>
      <c r="F4175" t="s">
        <v>2663</v>
      </c>
      <c r="G4175" s="3">
        <v>46779</v>
      </c>
      <c r="H4175">
        <v>24</v>
      </c>
      <c r="I4175">
        <v>82</v>
      </c>
      <c r="J4175">
        <v>529</v>
      </c>
      <c r="K4175" s="4">
        <v>164820.53</v>
      </c>
      <c r="L4175" s="4">
        <v>12589.142857142857</v>
      </c>
      <c r="M4175" s="4">
        <v>4.2020334982524624E-2</v>
      </c>
      <c r="N4175" t="s">
        <v>25</v>
      </c>
      <c r="O4175" t="str">
        <f t="shared" si="650"/>
        <v>Low</v>
      </c>
      <c r="P4175" t="str">
        <f t="shared" si="651"/>
        <v>Low</v>
      </c>
      <c r="Q4175" t="str">
        <f t="shared" si="652"/>
        <v>Low</v>
      </c>
      <c r="R4175" t="s">
        <v>3309</v>
      </c>
      <c r="S4175" s="4">
        <f t="shared" ca="1" si="653"/>
        <v>582</v>
      </c>
      <c r="T4175">
        <f t="shared" si="654"/>
        <v>1</v>
      </c>
      <c r="U4175">
        <f t="shared" si="655"/>
        <v>1</v>
      </c>
      <c r="V4175">
        <f t="shared" si="656"/>
        <v>1</v>
      </c>
      <c r="W4175">
        <f t="shared" si="657"/>
        <v>3</v>
      </c>
      <c r="X4175">
        <f t="shared" si="658"/>
        <v>1.2</v>
      </c>
      <c r="Y4175" t="str">
        <f t="shared" si="659"/>
        <v>Healthy</v>
      </c>
    </row>
    <row r="4176" spans="1:25" x14ac:dyDescent="0.35">
      <c r="A4176" t="s">
        <v>90</v>
      </c>
      <c r="B4176" t="s">
        <v>91</v>
      </c>
      <c r="C4176" t="s">
        <v>478</v>
      </c>
      <c r="D4176" t="s">
        <v>725</v>
      </c>
      <c r="E4176">
        <v>80883940</v>
      </c>
      <c r="F4176" t="s">
        <v>2663</v>
      </c>
      <c r="G4176" s="3">
        <v>46830</v>
      </c>
      <c r="H4176">
        <v>24</v>
      </c>
      <c r="I4176">
        <v>89</v>
      </c>
      <c r="J4176">
        <v>573</v>
      </c>
      <c r="K4176" s="4">
        <v>178529.61</v>
      </c>
      <c r="L4176" s="4">
        <v>12589.142857142857</v>
      </c>
      <c r="M4176" s="4">
        <v>4.5515410103944443E-2</v>
      </c>
      <c r="N4176" t="s">
        <v>25</v>
      </c>
      <c r="O4176" t="str">
        <f t="shared" si="650"/>
        <v>Low</v>
      </c>
      <c r="P4176" t="str">
        <f t="shared" si="651"/>
        <v>Low</v>
      </c>
      <c r="Q4176" t="str">
        <f t="shared" si="652"/>
        <v>Low</v>
      </c>
      <c r="R4176" t="s">
        <v>3309</v>
      </c>
      <c r="S4176" s="4">
        <f t="shared" ca="1" si="653"/>
        <v>633</v>
      </c>
      <c r="T4176">
        <f t="shared" si="654"/>
        <v>1</v>
      </c>
      <c r="U4176">
        <f t="shared" si="655"/>
        <v>1</v>
      </c>
      <c r="V4176">
        <f t="shared" si="656"/>
        <v>1</v>
      </c>
      <c r="W4176">
        <f t="shared" si="657"/>
        <v>3</v>
      </c>
      <c r="X4176">
        <f t="shared" si="658"/>
        <v>1.2</v>
      </c>
      <c r="Y4176" t="str">
        <f t="shared" si="659"/>
        <v>Healthy</v>
      </c>
    </row>
    <row r="4177" spans="1:25" x14ac:dyDescent="0.35">
      <c r="A4177" t="s">
        <v>90</v>
      </c>
      <c r="B4177" t="s">
        <v>91</v>
      </c>
      <c r="C4177" t="s">
        <v>478</v>
      </c>
      <c r="D4177" t="s">
        <v>725</v>
      </c>
      <c r="E4177">
        <v>80883940</v>
      </c>
      <c r="F4177" t="s">
        <v>2663</v>
      </c>
      <c r="G4177" s="3">
        <v>46728</v>
      </c>
      <c r="H4177">
        <v>24</v>
      </c>
      <c r="I4177">
        <v>74</v>
      </c>
      <c r="J4177">
        <v>358</v>
      </c>
      <c r="K4177" s="4">
        <v>111542.06</v>
      </c>
      <c r="L4177" s="4">
        <v>12589.142857142857</v>
      </c>
      <c r="M4177" s="4">
        <v>2.8437202124279425E-2</v>
      </c>
      <c r="N4177" t="s">
        <v>25</v>
      </c>
      <c r="O4177" t="str">
        <f t="shared" si="650"/>
        <v>Low</v>
      </c>
      <c r="P4177" t="str">
        <f t="shared" si="651"/>
        <v>Low</v>
      </c>
      <c r="Q4177" t="str">
        <f t="shared" si="652"/>
        <v>Low</v>
      </c>
      <c r="R4177" t="s">
        <v>3310</v>
      </c>
      <c r="S4177" s="4">
        <f t="shared" ca="1" si="653"/>
        <v>531</v>
      </c>
      <c r="T4177">
        <f t="shared" si="654"/>
        <v>1</v>
      </c>
      <c r="U4177">
        <f t="shared" si="655"/>
        <v>1</v>
      </c>
      <c r="V4177">
        <f t="shared" si="656"/>
        <v>1</v>
      </c>
      <c r="W4177">
        <f t="shared" si="657"/>
        <v>2</v>
      </c>
      <c r="X4177">
        <f t="shared" si="658"/>
        <v>1.0999999999999999</v>
      </c>
      <c r="Y4177" t="str">
        <f t="shared" si="659"/>
        <v>Healthy</v>
      </c>
    </row>
    <row r="4178" spans="1:25" x14ac:dyDescent="0.35">
      <c r="A4178" t="s">
        <v>41</v>
      </c>
      <c r="B4178" t="s">
        <v>42</v>
      </c>
      <c r="C4178" t="s">
        <v>43</v>
      </c>
      <c r="D4178" t="s">
        <v>1859</v>
      </c>
      <c r="E4178">
        <v>80863259</v>
      </c>
      <c r="F4178" t="s">
        <v>2664</v>
      </c>
      <c r="G4178" s="3">
        <v>46909</v>
      </c>
      <c r="H4178">
        <v>36</v>
      </c>
      <c r="I4178">
        <v>66</v>
      </c>
      <c r="J4178">
        <v>1</v>
      </c>
      <c r="K4178" s="4">
        <v>708.83</v>
      </c>
      <c r="L4178" s="4">
        <v>3.4285714285714284</v>
      </c>
      <c r="M4178" s="4">
        <v>0.29166666666666669</v>
      </c>
      <c r="N4178" t="s">
        <v>25</v>
      </c>
      <c r="O4178" t="str">
        <f t="shared" si="650"/>
        <v>Low</v>
      </c>
      <c r="P4178" t="str">
        <f t="shared" si="651"/>
        <v>Low</v>
      </c>
      <c r="Q4178" t="str">
        <f t="shared" si="652"/>
        <v>High</v>
      </c>
      <c r="R4178" t="s">
        <v>3317</v>
      </c>
      <c r="S4178" s="4">
        <f t="shared" ca="1" si="653"/>
        <v>712</v>
      </c>
      <c r="T4178">
        <f t="shared" si="654"/>
        <v>1</v>
      </c>
      <c r="U4178">
        <f t="shared" si="655"/>
        <v>1</v>
      </c>
      <c r="V4178">
        <f t="shared" si="656"/>
        <v>3</v>
      </c>
      <c r="W4178">
        <f t="shared" si="657"/>
        <v>1</v>
      </c>
      <c r="X4178">
        <f t="shared" si="658"/>
        <v>1.4000000000000001</v>
      </c>
      <c r="Y4178" t="str">
        <f t="shared" si="659"/>
        <v>Healthy</v>
      </c>
    </row>
    <row r="4179" spans="1:25" x14ac:dyDescent="0.35">
      <c r="A4179" t="s">
        <v>90</v>
      </c>
      <c r="B4179" t="s">
        <v>91</v>
      </c>
      <c r="C4179" t="s">
        <v>478</v>
      </c>
      <c r="D4179" t="s">
        <v>725</v>
      </c>
      <c r="E4179">
        <v>80883940</v>
      </c>
      <c r="F4179" t="s">
        <v>2663</v>
      </c>
      <c r="G4179" s="3">
        <v>46709</v>
      </c>
      <c r="H4179">
        <v>24</v>
      </c>
      <c r="I4179">
        <v>72</v>
      </c>
      <c r="J4179">
        <v>453</v>
      </c>
      <c r="K4179" s="4">
        <v>141141.21</v>
      </c>
      <c r="L4179" s="4">
        <v>12589.142857142857</v>
      </c>
      <c r="M4179" s="4">
        <v>3.5983387045526762E-2</v>
      </c>
      <c r="N4179" t="s">
        <v>25</v>
      </c>
      <c r="O4179" t="str">
        <f t="shared" si="650"/>
        <v>Low</v>
      </c>
      <c r="P4179" t="str">
        <f t="shared" si="651"/>
        <v>Low</v>
      </c>
      <c r="Q4179" t="str">
        <f t="shared" si="652"/>
        <v>Low</v>
      </c>
      <c r="R4179" t="s">
        <v>3309</v>
      </c>
      <c r="S4179" s="4">
        <f t="shared" ca="1" si="653"/>
        <v>512</v>
      </c>
      <c r="T4179">
        <f t="shared" si="654"/>
        <v>1</v>
      </c>
      <c r="U4179">
        <f t="shared" si="655"/>
        <v>1</v>
      </c>
      <c r="V4179">
        <f t="shared" si="656"/>
        <v>1</v>
      </c>
      <c r="W4179">
        <f t="shared" si="657"/>
        <v>3</v>
      </c>
      <c r="X4179">
        <f t="shared" si="658"/>
        <v>1.2</v>
      </c>
      <c r="Y4179" t="str">
        <f t="shared" si="659"/>
        <v>Healthy</v>
      </c>
    </row>
    <row r="4180" spans="1:25" x14ac:dyDescent="0.35">
      <c r="A4180" t="s">
        <v>90</v>
      </c>
      <c r="B4180" t="s">
        <v>91</v>
      </c>
      <c r="C4180" t="s">
        <v>478</v>
      </c>
      <c r="D4180" t="s">
        <v>725</v>
      </c>
      <c r="E4180">
        <v>80883940</v>
      </c>
      <c r="F4180" t="s">
        <v>2663</v>
      </c>
      <c r="G4180" s="3">
        <v>46856</v>
      </c>
      <c r="H4180">
        <v>24</v>
      </c>
      <c r="I4180">
        <v>92</v>
      </c>
      <c r="J4180">
        <v>124</v>
      </c>
      <c r="K4180" s="4">
        <v>38634.68</v>
      </c>
      <c r="L4180" s="4">
        <v>12589.142857142857</v>
      </c>
      <c r="M4180" s="4">
        <v>9.8497571603649407E-3</v>
      </c>
      <c r="N4180" t="s">
        <v>25</v>
      </c>
      <c r="O4180" t="str">
        <f t="shared" si="650"/>
        <v>Low</v>
      </c>
      <c r="P4180" t="str">
        <f t="shared" si="651"/>
        <v>Low</v>
      </c>
      <c r="Q4180" t="str">
        <f t="shared" si="652"/>
        <v>Low</v>
      </c>
      <c r="R4180" t="s">
        <v>3317</v>
      </c>
      <c r="S4180" s="4">
        <f t="shared" ca="1" si="653"/>
        <v>659</v>
      </c>
      <c r="T4180">
        <f t="shared" si="654"/>
        <v>1</v>
      </c>
      <c r="U4180">
        <f t="shared" si="655"/>
        <v>1</v>
      </c>
      <c r="V4180">
        <f t="shared" si="656"/>
        <v>1</v>
      </c>
      <c r="W4180">
        <f t="shared" si="657"/>
        <v>1</v>
      </c>
      <c r="X4180">
        <f t="shared" si="658"/>
        <v>0.99999999999999989</v>
      </c>
      <c r="Y4180" t="str">
        <f t="shared" si="659"/>
        <v>Healthy</v>
      </c>
    </row>
    <row r="4181" spans="1:25" x14ac:dyDescent="0.35">
      <c r="A4181" t="s">
        <v>90</v>
      </c>
      <c r="B4181" t="s">
        <v>91</v>
      </c>
      <c r="C4181" t="s">
        <v>478</v>
      </c>
      <c r="D4181" t="s">
        <v>725</v>
      </c>
      <c r="E4181">
        <v>80883940</v>
      </c>
      <c r="F4181" t="s">
        <v>2663</v>
      </c>
      <c r="G4181" s="3">
        <v>46716</v>
      </c>
      <c r="H4181">
        <v>24</v>
      </c>
      <c r="I4181">
        <v>73</v>
      </c>
      <c r="J4181">
        <v>470</v>
      </c>
      <c r="K4181" s="4">
        <v>146437.9</v>
      </c>
      <c r="L4181" s="4">
        <v>12589.142857142857</v>
      </c>
      <c r="M4181" s="4">
        <v>3.7333756978802597E-2</v>
      </c>
      <c r="N4181" t="s">
        <v>25</v>
      </c>
      <c r="O4181" t="str">
        <f t="shared" si="650"/>
        <v>Low</v>
      </c>
      <c r="P4181" t="str">
        <f t="shared" si="651"/>
        <v>Low</v>
      </c>
      <c r="Q4181" t="str">
        <f t="shared" si="652"/>
        <v>Low</v>
      </c>
      <c r="R4181" t="s">
        <v>3309</v>
      </c>
      <c r="S4181" s="4">
        <f t="shared" ca="1" si="653"/>
        <v>519</v>
      </c>
      <c r="T4181">
        <f t="shared" si="654"/>
        <v>1</v>
      </c>
      <c r="U4181">
        <f t="shared" si="655"/>
        <v>1</v>
      </c>
      <c r="V4181">
        <f t="shared" si="656"/>
        <v>1</v>
      </c>
      <c r="W4181">
        <f t="shared" si="657"/>
        <v>3</v>
      </c>
      <c r="X4181">
        <f t="shared" si="658"/>
        <v>1.2</v>
      </c>
      <c r="Y4181" t="str">
        <f t="shared" si="659"/>
        <v>Healthy</v>
      </c>
    </row>
    <row r="4182" spans="1:25" x14ac:dyDescent="0.35">
      <c r="A4182" t="s">
        <v>90</v>
      </c>
      <c r="B4182" t="s">
        <v>91</v>
      </c>
      <c r="C4182" t="s">
        <v>478</v>
      </c>
      <c r="D4182" t="s">
        <v>725</v>
      </c>
      <c r="E4182">
        <v>80883940</v>
      </c>
      <c r="F4182" t="s">
        <v>2663</v>
      </c>
      <c r="G4182" s="3">
        <v>46858</v>
      </c>
      <c r="H4182">
        <v>24</v>
      </c>
      <c r="I4182">
        <v>93</v>
      </c>
      <c r="J4182">
        <v>508</v>
      </c>
      <c r="K4182" s="4">
        <v>158277.56</v>
      </c>
      <c r="L4182" s="4">
        <v>12589.142857142857</v>
      </c>
      <c r="M4182" s="4">
        <v>4.0352230947301532E-2</v>
      </c>
      <c r="N4182" t="s">
        <v>25</v>
      </c>
      <c r="O4182" t="str">
        <f t="shared" si="650"/>
        <v>Low</v>
      </c>
      <c r="P4182" t="str">
        <f t="shared" si="651"/>
        <v>Low</v>
      </c>
      <c r="Q4182" t="str">
        <f t="shared" si="652"/>
        <v>Low</v>
      </c>
      <c r="R4182" t="s">
        <v>3309</v>
      </c>
      <c r="S4182" s="4">
        <f t="shared" ca="1" si="653"/>
        <v>661</v>
      </c>
      <c r="T4182">
        <f t="shared" si="654"/>
        <v>1</v>
      </c>
      <c r="U4182">
        <f t="shared" si="655"/>
        <v>1</v>
      </c>
      <c r="V4182">
        <f t="shared" si="656"/>
        <v>1</v>
      </c>
      <c r="W4182">
        <f t="shared" si="657"/>
        <v>3</v>
      </c>
      <c r="X4182">
        <f t="shared" si="658"/>
        <v>1.2</v>
      </c>
      <c r="Y4182" t="str">
        <f t="shared" si="659"/>
        <v>Healthy</v>
      </c>
    </row>
    <row r="4183" spans="1:25" x14ac:dyDescent="0.35">
      <c r="A4183" t="s">
        <v>90</v>
      </c>
      <c r="B4183" t="s">
        <v>91</v>
      </c>
      <c r="C4183" t="s">
        <v>478</v>
      </c>
      <c r="D4183" t="s">
        <v>725</v>
      </c>
      <c r="E4183">
        <v>80883940</v>
      </c>
      <c r="F4183" t="s">
        <v>2663</v>
      </c>
      <c r="G4183" s="3">
        <v>46777</v>
      </c>
      <c r="H4183">
        <v>24</v>
      </c>
      <c r="I4183">
        <v>81</v>
      </c>
      <c r="J4183">
        <v>11</v>
      </c>
      <c r="K4183" s="4">
        <v>3427.27</v>
      </c>
      <c r="L4183" s="4">
        <v>12589.142857142857</v>
      </c>
      <c r="M4183" s="4">
        <v>8.737687803549544E-4</v>
      </c>
      <c r="N4183" t="s">
        <v>25</v>
      </c>
      <c r="O4183" t="str">
        <f t="shared" si="650"/>
        <v>Low</v>
      </c>
      <c r="P4183" t="str">
        <f t="shared" si="651"/>
        <v>Low</v>
      </c>
      <c r="Q4183" t="str">
        <f t="shared" si="652"/>
        <v>Low</v>
      </c>
      <c r="R4183" t="s">
        <v>3317</v>
      </c>
      <c r="S4183" s="4">
        <f t="shared" ca="1" si="653"/>
        <v>580</v>
      </c>
      <c r="T4183">
        <f t="shared" si="654"/>
        <v>1</v>
      </c>
      <c r="U4183">
        <f t="shared" si="655"/>
        <v>1</v>
      </c>
      <c r="V4183">
        <f t="shared" si="656"/>
        <v>1</v>
      </c>
      <c r="W4183">
        <f t="shared" si="657"/>
        <v>1</v>
      </c>
      <c r="X4183">
        <f t="shared" si="658"/>
        <v>0.99999999999999989</v>
      </c>
      <c r="Y4183" t="str">
        <f t="shared" si="659"/>
        <v>Healthy</v>
      </c>
    </row>
    <row r="4184" spans="1:25" x14ac:dyDescent="0.35">
      <c r="A4184" t="s">
        <v>41</v>
      </c>
      <c r="B4184" t="s">
        <v>42</v>
      </c>
      <c r="C4184" t="s">
        <v>365</v>
      </c>
      <c r="D4184" t="s">
        <v>1038</v>
      </c>
      <c r="E4184">
        <v>80851940</v>
      </c>
      <c r="F4184" t="s">
        <v>2665</v>
      </c>
      <c r="G4184" s="3">
        <v>47041</v>
      </c>
      <c r="H4184">
        <v>36</v>
      </c>
      <c r="I4184">
        <v>79</v>
      </c>
      <c r="J4184">
        <v>1</v>
      </c>
      <c r="K4184" s="4">
        <v>183.27</v>
      </c>
      <c r="L4184" s="4">
        <v>193.85714285714286</v>
      </c>
      <c r="M4184" s="4">
        <v>5.1584377302873984E-3</v>
      </c>
      <c r="N4184" t="s">
        <v>25</v>
      </c>
      <c r="O4184" t="str">
        <f t="shared" si="650"/>
        <v>Low</v>
      </c>
      <c r="P4184" t="str">
        <f t="shared" si="651"/>
        <v>Low</v>
      </c>
      <c r="Q4184" t="str">
        <f t="shared" si="652"/>
        <v>Low</v>
      </c>
      <c r="R4184" t="s">
        <v>3317</v>
      </c>
      <c r="S4184" s="4">
        <f t="shared" ca="1" si="653"/>
        <v>844</v>
      </c>
      <c r="T4184">
        <f t="shared" si="654"/>
        <v>1</v>
      </c>
      <c r="U4184">
        <f t="shared" si="655"/>
        <v>1</v>
      </c>
      <c r="V4184">
        <f t="shared" si="656"/>
        <v>1</v>
      </c>
      <c r="W4184">
        <f t="shared" si="657"/>
        <v>1</v>
      </c>
      <c r="X4184">
        <f t="shared" si="658"/>
        <v>0.99999999999999989</v>
      </c>
      <c r="Y4184" t="str">
        <f t="shared" si="659"/>
        <v>Healthy</v>
      </c>
    </row>
    <row r="4185" spans="1:25" x14ac:dyDescent="0.35">
      <c r="A4185" t="s">
        <v>90</v>
      </c>
      <c r="B4185" t="s">
        <v>91</v>
      </c>
      <c r="C4185" t="s">
        <v>478</v>
      </c>
      <c r="D4185" t="s">
        <v>725</v>
      </c>
      <c r="E4185">
        <v>80883940</v>
      </c>
      <c r="F4185" t="s">
        <v>2663</v>
      </c>
      <c r="G4185" s="3">
        <v>46887</v>
      </c>
      <c r="H4185">
        <v>24</v>
      </c>
      <c r="I4185">
        <v>97</v>
      </c>
      <c r="J4185">
        <v>612</v>
      </c>
      <c r="K4185" s="4">
        <v>190680.84</v>
      </c>
      <c r="L4185" s="4">
        <v>12589.142857142857</v>
      </c>
      <c r="M4185" s="4">
        <v>4.8613317597930188E-2</v>
      </c>
      <c r="N4185" t="s">
        <v>25</v>
      </c>
      <c r="O4185" t="str">
        <f t="shared" si="650"/>
        <v>Low</v>
      </c>
      <c r="P4185" t="str">
        <f t="shared" si="651"/>
        <v>Low</v>
      </c>
      <c r="Q4185" t="str">
        <f t="shared" si="652"/>
        <v>Low</v>
      </c>
      <c r="R4185" t="s">
        <v>3309</v>
      </c>
      <c r="S4185" s="4">
        <f t="shared" ca="1" si="653"/>
        <v>690</v>
      </c>
      <c r="T4185">
        <f t="shared" si="654"/>
        <v>1</v>
      </c>
      <c r="U4185">
        <f t="shared" si="655"/>
        <v>1</v>
      </c>
      <c r="V4185">
        <f t="shared" si="656"/>
        <v>1</v>
      </c>
      <c r="W4185">
        <f t="shared" si="657"/>
        <v>3</v>
      </c>
      <c r="X4185">
        <f t="shared" si="658"/>
        <v>1.2</v>
      </c>
      <c r="Y4185" t="str">
        <f t="shared" si="659"/>
        <v>Healthy</v>
      </c>
    </row>
    <row r="4186" spans="1:25" x14ac:dyDescent="0.35">
      <c r="A4186" t="s">
        <v>90</v>
      </c>
      <c r="B4186" t="s">
        <v>91</v>
      </c>
      <c r="C4186" t="s">
        <v>478</v>
      </c>
      <c r="D4186" t="s">
        <v>725</v>
      </c>
      <c r="E4186">
        <v>80883940</v>
      </c>
      <c r="F4186" t="s">
        <v>2663</v>
      </c>
      <c r="G4186" s="3">
        <v>46858</v>
      </c>
      <c r="H4186">
        <v>24</v>
      </c>
      <c r="I4186">
        <v>93</v>
      </c>
      <c r="J4186">
        <v>509</v>
      </c>
      <c r="K4186" s="4">
        <v>158589.13</v>
      </c>
      <c r="L4186" s="4">
        <v>12589.142857142857</v>
      </c>
      <c r="M4186" s="4">
        <v>4.0431664472788342E-2</v>
      </c>
      <c r="N4186" t="s">
        <v>25</v>
      </c>
      <c r="O4186" t="str">
        <f t="shared" si="650"/>
        <v>Low</v>
      </c>
      <c r="P4186" t="str">
        <f t="shared" si="651"/>
        <v>Low</v>
      </c>
      <c r="Q4186" t="str">
        <f t="shared" si="652"/>
        <v>Low</v>
      </c>
      <c r="R4186" t="s">
        <v>3309</v>
      </c>
      <c r="S4186" s="4">
        <f t="shared" ca="1" si="653"/>
        <v>661</v>
      </c>
      <c r="T4186">
        <f t="shared" si="654"/>
        <v>1</v>
      </c>
      <c r="U4186">
        <f t="shared" si="655"/>
        <v>1</v>
      </c>
      <c r="V4186">
        <f t="shared" si="656"/>
        <v>1</v>
      </c>
      <c r="W4186">
        <f t="shared" si="657"/>
        <v>3</v>
      </c>
      <c r="X4186">
        <f t="shared" si="658"/>
        <v>1.2</v>
      </c>
      <c r="Y4186" t="str">
        <f t="shared" si="659"/>
        <v>Healthy</v>
      </c>
    </row>
    <row r="4187" spans="1:25" x14ac:dyDescent="0.35">
      <c r="A4187" t="s">
        <v>41</v>
      </c>
      <c r="B4187" t="s">
        <v>54</v>
      </c>
      <c r="C4187" t="s">
        <v>459</v>
      </c>
      <c r="D4187" t="s">
        <v>1611</v>
      </c>
      <c r="E4187">
        <v>80859548</v>
      </c>
      <c r="F4187" t="s">
        <v>2666</v>
      </c>
      <c r="G4187" s="3">
        <v>46908</v>
      </c>
      <c r="H4187">
        <v>36</v>
      </c>
      <c r="I4187">
        <v>66</v>
      </c>
      <c r="J4187">
        <v>108</v>
      </c>
      <c r="K4187" s="4">
        <v>21300.84</v>
      </c>
      <c r="L4187" s="4">
        <v>779.42857142857144</v>
      </c>
      <c r="M4187" s="4">
        <v>0.13856304985337242</v>
      </c>
      <c r="N4187" t="s">
        <v>25</v>
      </c>
      <c r="O4187" t="str">
        <f t="shared" si="650"/>
        <v>Low</v>
      </c>
      <c r="P4187" t="str">
        <f t="shared" si="651"/>
        <v>Low</v>
      </c>
      <c r="Q4187" t="str">
        <f t="shared" si="652"/>
        <v>Low</v>
      </c>
      <c r="R4187" t="s">
        <v>3317</v>
      </c>
      <c r="S4187" s="4">
        <f t="shared" ca="1" si="653"/>
        <v>711</v>
      </c>
      <c r="T4187">
        <f t="shared" si="654"/>
        <v>1</v>
      </c>
      <c r="U4187">
        <f t="shared" si="655"/>
        <v>1</v>
      </c>
      <c r="V4187">
        <f t="shared" si="656"/>
        <v>1</v>
      </c>
      <c r="W4187">
        <f t="shared" si="657"/>
        <v>1</v>
      </c>
      <c r="X4187">
        <f t="shared" si="658"/>
        <v>0.99999999999999989</v>
      </c>
      <c r="Y4187" t="str">
        <f t="shared" si="659"/>
        <v>Healthy</v>
      </c>
    </row>
    <row r="4188" spans="1:25" x14ac:dyDescent="0.35">
      <c r="A4188" t="s">
        <v>90</v>
      </c>
      <c r="B4188" t="s">
        <v>91</v>
      </c>
      <c r="C4188" t="s">
        <v>478</v>
      </c>
      <c r="D4188" t="s">
        <v>725</v>
      </c>
      <c r="E4188">
        <v>80883940</v>
      </c>
      <c r="F4188" t="s">
        <v>2663</v>
      </c>
      <c r="G4188" s="3">
        <v>46794</v>
      </c>
      <c r="H4188">
        <v>24</v>
      </c>
      <c r="I4188">
        <v>84</v>
      </c>
      <c r="J4188">
        <v>9</v>
      </c>
      <c r="K4188" s="4">
        <v>2804.13</v>
      </c>
      <c r="L4188" s="4">
        <v>12589.142857142857</v>
      </c>
      <c r="M4188" s="4">
        <v>7.1490172938132638E-4</v>
      </c>
      <c r="N4188" t="s">
        <v>25</v>
      </c>
      <c r="O4188" t="str">
        <f t="shared" si="650"/>
        <v>Low</v>
      </c>
      <c r="P4188" t="str">
        <f t="shared" si="651"/>
        <v>Low</v>
      </c>
      <c r="Q4188" t="str">
        <f t="shared" si="652"/>
        <v>Low</v>
      </c>
      <c r="R4188" t="s">
        <v>3317</v>
      </c>
      <c r="S4188" s="4">
        <f t="shared" ca="1" si="653"/>
        <v>597</v>
      </c>
      <c r="T4188">
        <f t="shared" si="654"/>
        <v>1</v>
      </c>
      <c r="U4188">
        <f t="shared" si="655"/>
        <v>1</v>
      </c>
      <c r="V4188">
        <f t="shared" si="656"/>
        <v>1</v>
      </c>
      <c r="W4188">
        <f t="shared" si="657"/>
        <v>1</v>
      </c>
      <c r="X4188">
        <f t="shared" si="658"/>
        <v>0.99999999999999989</v>
      </c>
      <c r="Y4188" t="str">
        <f t="shared" si="659"/>
        <v>Healthy</v>
      </c>
    </row>
    <row r="4189" spans="1:25" x14ac:dyDescent="0.35">
      <c r="A4189" t="s">
        <v>90</v>
      </c>
      <c r="B4189" t="s">
        <v>91</v>
      </c>
      <c r="C4189" t="s">
        <v>478</v>
      </c>
      <c r="D4189" t="s">
        <v>725</v>
      </c>
      <c r="E4189">
        <v>80883940</v>
      </c>
      <c r="F4189" t="s">
        <v>2663</v>
      </c>
      <c r="G4189" s="3">
        <v>46855</v>
      </c>
      <c r="H4189">
        <v>24</v>
      </c>
      <c r="I4189">
        <v>92</v>
      </c>
      <c r="J4189">
        <v>600</v>
      </c>
      <c r="K4189" s="4">
        <v>186942</v>
      </c>
      <c r="L4189" s="4">
        <v>12589.142857142857</v>
      </c>
      <c r="M4189" s="4">
        <v>4.7660115292088419E-2</v>
      </c>
      <c r="N4189" t="s">
        <v>25</v>
      </c>
      <c r="O4189" t="str">
        <f t="shared" si="650"/>
        <v>Low</v>
      </c>
      <c r="P4189" t="str">
        <f t="shared" si="651"/>
        <v>Low</v>
      </c>
      <c r="Q4189" t="str">
        <f t="shared" si="652"/>
        <v>Low</v>
      </c>
      <c r="R4189" t="s">
        <v>3309</v>
      </c>
      <c r="S4189" s="4">
        <f t="shared" ca="1" si="653"/>
        <v>658</v>
      </c>
      <c r="T4189">
        <f t="shared" si="654"/>
        <v>1</v>
      </c>
      <c r="U4189">
        <f t="shared" si="655"/>
        <v>1</v>
      </c>
      <c r="V4189">
        <f t="shared" si="656"/>
        <v>1</v>
      </c>
      <c r="W4189">
        <f t="shared" si="657"/>
        <v>3</v>
      </c>
      <c r="X4189">
        <f t="shared" si="658"/>
        <v>1.2</v>
      </c>
      <c r="Y4189" t="str">
        <f t="shared" si="659"/>
        <v>Healthy</v>
      </c>
    </row>
    <row r="4190" spans="1:25" x14ac:dyDescent="0.35">
      <c r="A4190" t="s">
        <v>90</v>
      </c>
      <c r="B4190" t="s">
        <v>91</v>
      </c>
      <c r="C4190" t="s">
        <v>112</v>
      </c>
      <c r="D4190" t="s">
        <v>1853</v>
      </c>
      <c r="E4190">
        <v>80887529</v>
      </c>
      <c r="F4190" t="s">
        <v>2667</v>
      </c>
      <c r="G4190" s="3">
        <v>46866</v>
      </c>
      <c r="H4190">
        <v>24</v>
      </c>
      <c r="I4190">
        <v>94</v>
      </c>
      <c r="J4190">
        <v>18</v>
      </c>
      <c r="K4190" s="4">
        <v>7124.04</v>
      </c>
      <c r="L4190" s="4">
        <v>3389.4285714285716</v>
      </c>
      <c r="M4190" s="4">
        <v>5.3106296889488319E-3</v>
      </c>
      <c r="N4190" t="s">
        <v>25</v>
      </c>
      <c r="O4190" t="str">
        <f t="shared" si="650"/>
        <v>Low</v>
      </c>
      <c r="P4190" t="str">
        <f t="shared" si="651"/>
        <v>Low</v>
      </c>
      <c r="Q4190" t="str">
        <f t="shared" si="652"/>
        <v>Low</v>
      </c>
      <c r="R4190" t="s">
        <v>3317</v>
      </c>
      <c r="S4190" s="4">
        <f t="shared" ca="1" si="653"/>
        <v>669</v>
      </c>
      <c r="T4190">
        <f t="shared" si="654"/>
        <v>1</v>
      </c>
      <c r="U4190">
        <f t="shared" si="655"/>
        <v>1</v>
      </c>
      <c r="V4190">
        <f t="shared" si="656"/>
        <v>1</v>
      </c>
      <c r="W4190">
        <f t="shared" si="657"/>
        <v>1</v>
      </c>
      <c r="X4190">
        <f t="shared" si="658"/>
        <v>0.99999999999999989</v>
      </c>
      <c r="Y4190" t="str">
        <f t="shared" si="659"/>
        <v>Healthy</v>
      </c>
    </row>
    <row r="4191" spans="1:25" x14ac:dyDescent="0.35">
      <c r="A4191" t="s">
        <v>90</v>
      </c>
      <c r="B4191" t="s">
        <v>91</v>
      </c>
      <c r="C4191" t="s">
        <v>155</v>
      </c>
      <c r="D4191" t="s">
        <v>156</v>
      </c>
      <c r="E4191">
        <v>80887273</v>
      </c>
      <c r="F4191" t="s">
        <v>2668</v>
      </c>
      <c r="G4191" s="3">
        <v>46846</v>
      </c>
      <c r="H4191">
        <v>24</v>
      </c>
      <c r="I4191">
        <v>91</v>
      </c>
      <c r="J4191">
        <v>36</v>
      </c>
      <c r="K4191" s="4">
        <v>15188.4</v>
      </c>
      <c r="L4191" s="4">
        <v>1229.7142857142858</v>
      </c>
      <c r="M4191" s="4">
        <v>2.9275092936802971E-2</v>
      </c>
      <c r="N4191" t="s">
        <v>25</v>
      </c>
      <c r="O4191" t="str">
        <f t="shared" si="650"/>
        <v>Low</v>
      </c>
      <c r="P4191" t="str">
        <f t="shared" si="651"/>
        <v>Low</v>
      </c>
      <c r="Q4191" t="str">
        <f t="shared" si="652"/>
        <v>Low</v>
      </c>
      <c r="R4191" t="s">
        <v>3317</v>
      </c>
      <c r="S4191" s="4">
        <f t="shared" ca="1" si="653"/>
        <v>649</v>
      </c>
      <c r="T4191">
        <f t="shared" si="654"/>
        <v>1</v>
      </c>
      <c r="U4191">
        <f t="shared" si="655"/>
        <v>1</v>
      </c>
      <c r="V4191">
        <f t="shared" si="656"/>
        <v>1</v>
      </c>
      <c r="W4191">
        <f t="shared" si="657"/>
        <v>1</v>
      </c>
      <c r="X4191">
        <f t="shared" si="658"/>
        <v>0.99999999999999989</v>
      </c>
      <c r="Y4191" t="str">
        <f t="shared" si="659"/>
        <v>Healthy</v>
      </c>
    </row>
    <row r="4192" spans="1:25" x14ac:dyDescent="0.35">
      <c r="A4192" t="s">
        <v>90</v>
      </c>
      <c r="B4192" t="s">
        <v>91</v>
      </c>
      <c r="C4192" t="s">
        <v>155</v>
      </c>
      <c r="D4192" t="s">
        <v>156</v>
      </c>
      <c r="E4192">
        <v>80887273</v>
      </c>
      <c r="F4192" t="s">
        <v>2668</v>
      </c>
      <c r="G4192" s="3">
        <v>46817</v>
      </c>
      <c r="H4192">
        <v>24</v>
      </c>
      <c r="I4192">
        <v>87</v>
      </c>
      <c r="J4192">
        <v>24</v>
      </c>
      <c r="K4192" s="4">
        <v>10125.6</v>
      </c>
      <c r="L4192" s="4">
        <v>1229.7142857142858</v>
      </c>
      <c r="M4192" s="4">
        <v>1.9516728624535316E-2</v>
      </c>
      <c r="N4192" t="s">
        <v>25</v>
      </c>
      <c r="O4192" t="str">
        <f t="shared" si="650"/>
        <v>Low</v>
      </c>
      <c r="P4192" t="str">
        <f t="shared" si="651"/>
        <v>Low</v>
      </c>
      <c r="Q4192" t="str">
        <f t="shared" si="652"/>
        <v>Low</v>
      </c>
      <c r="R4192" t="s">
        <v>3317</v>
      </c>
      <c r="S4192" s="4">
        <f t="shared" ca="1" si="653"/>
        <v>620</v>
      </c>
      <c r="T4192">
        <f t="shared" si="654"/>
        <v>1</v>
      </c>
      <c r="U4192">
        <f t="shared" si="655"/>
        <v>1</v>
      </c>
      <c r="V4192">
        <f t="shared" si="656"/>
        <v>1</v>
      </c>
      <c r="W4192">
        <f t="shared" si="657"/>
        <v>1</v>
      </c>
      <c r="X4192">
        <f t="shared" si="658"/>
        <v>0.99999999999999989</v>
      </c>
      <c r="Y4192" t="str">
        <f t="shared" si="659"/>
        <v>Healthy</v>
      </c>
    </row>
    <row r="4193" spans="1:25" x14ac:dyDescent="0.35">
      <c r="A4193" t="s">
        <v>90</v>
      </c>
      <c r="B4193" t="s">
        <v>91</v>
      </c>
      <c r="C4193" t="s">
        <v>155</v>
      </c>
      <c r="D4193" t="s">
        <v>156</v>
      </c>
      <c r="E4193">
        <v>80887273</v>
      </c>
      <c r="F4193" t="s">
        <v>2668</v>
      </c>
      <c r="G4193" s="3">
        <v>46847</v>
      </c>
      <c r="H4193">
        <v>24</v>
      </c>
      <c r="I4193">
        <v>91</v>
      </c>
      <c r="J4193">
        <v>36</v>
      </c>
      <c r="K4193" s="4">
        <v>15188.4</v>
      </c>
      <c r="L4193" s="4">
        <v>1229.7142857142858</v>
      </c>
      <c r="M4193" s="4">
        <v>2.9275092936802971E-2</v>
      </c>
      <c r="N4193" t="s">
        <v>25</v>
      </c>
      <c r="O4193" t="str">
        <f t="shared" si="650"/>
        <v>Low</v>
      </c>
      <c r="P4193" t="str">
        <f t="shared" si="651"/>
        <v>Low</v>
      </c>
      <c r="Q4193" t="str">
        <f t="shared" si="652"/>
        <v>Low</v>
      </c>
      <c r="R4193" t="s">
        <v>3317</v>
      </c>
      <c r="S4193" s="4">
        <f t="shared" ca="1" si="653"/>
        <v>650</v>
      </c>
      <c r="T4193">
        <f t="shared" si="654"/>
        <v>1</v>
      </c>
      <c r="U4193">
        <f t="shared" si="655"/>
        <v>1</v>
      </c>
      <c r="V4193">
        <f t="shared" si="656"/>
        <v>1</v>
      </c>
      <c r="W4193">
        <f t="shared" si="657"/>
        <v>1</v>
      </c>
      <c r="X4193">
        <f t="shared" si="658"/>
        <v>0.99999999999999989</v>
      </c>
      <c r="Y4193" t="str">
        <f t="shared" si="659"/>
        <v>Healthy</v>
      </c>
    </row>
    <row r="4194" spans="1:25" x14ac:dyDescent="0.35">
      <c r="A4194" t="s">
        <v>179</v>
      </c>
      <c r="B4194" t="s">
        <v>223</v>
      </c>
      <c r="C4194" t="s">
        <v>357</v>
      </c>
      <c r="D4194" t="s">
        <v>2536</v>
      </c>
      <c r="E4194">
        <v>80869520</v>
      </c>
      <c r="F4194" t="s">
        <v>2669</v>
      </c>
      <c r="G4194" s="3">
        <v>46520</v>
      </c>
      <c r="H4194">
        <v>18</v>
      </c>
      <c r="I4194">
        <v>61</v>
      </c>
      <c r="J4194">
        <v>16</v>
      </c>
      <c r="K4194" s="4">
        <v>5674.56</v>
      </c>
      <c r="L4194" s="4">
        <v>305.42857142857144</v>
      </c>
      <c r="M4194" s="4">
        <v>5.2385406922357339E-2</v>
      </c>
      <c r="N4194" t="s">
        <v>25</v>
      </c>
      <c r="O4194" t="str">
        <f t="shared" si="650"/>
        <v>Low</v>
      </c>
      <c r="P4194" t="str">
        <f t="shared" si="651"/>
        <v>Low</v>
      </c>
      <c r="Q4194" t="str">
        <f t="shared" si="652"/>
        <v>Low</v>
      </c>
      <c r="R4194" t="s">
        <v>3317</v>
      </c>
      <c r="S4194" s="4">
        <f t="shared" ca="1" si="653"/>
        <v>323</v>
      </c>
      <c r="T4194">
        <f t="shared" si="654"/>
        <v>1</v>
      </c>
      <c r="U4194">
        <f t="shared" si="655"/>
        <v>1</v>
      </c>
      <c r="V4194">
        <f t="shared" si="656"/>
        <v>1</v>
      </c>
      <c r="W4194">
        <f t="shared" si="657"/>
        <v>1</v>
      </c>
      <c r="X4194">
        <f t="shared" si="658"/>
        <v>0.99999999999999989</v>
      </c>
      <c r="Y4194" t="str">
        <f t="shared" si="659"/>
        <v>Healthy</v>
      </c>
    </row>
    <row r="4195" spans="1:25" x14ac:dyDescent="0.35">
      <c r="A4195" t="s">
        <v>90</v>
      </c>
      <c r="B4195" t="s">
        <v>91</v>
      </c>
      <c r="C4195" t="s">
        <v>155</v>
      </c>
      <c r="D4195" t="s">
        <v>156</v>
      </c>
      <c r="E4195">
        <v>80887273</v>
      </c>
      <c r="F4195" t="s">
        <v>2668</v>
      </c>
      <c r="G4195" s="3">
        <v>46816</v>
      </c>
      <c r="H4195">
        <v>24</v>
      </c>
      <c r="I4195">
        <v>87</v>
      </c>
      <c r="J4195">
        <v>8</v>
      </c>
      <c r="K4195" s="4">
        <v>3375.2</v>
      </c>
      <c r="L4195" s="4">
        <v>1229.7142857142858</v>
      </c>
      <c r="M4195" s="4">
        <v>6.5055762081784379E-3</v>
      </c>
      <c r="N4195" t="s">
        <v>25</v>
      </c>
      <c r="O4195" t="str">
        <f t="shared" si="650"/>
        <v>Low</v>
      </c>
      <c r="P4195" t="str">
        <f t="shared" si="651"/>
        <v>Low</v>
      </c>
      <c r="Q4195" t="str">
        <f t="shared" si="652"/>
        <v>Low</v>
      </c>
      <c r="R4195" t="s">
        <v>3317</v>
      </c>
      <c r="S4195" s="4">
        <f t="shared" ca="1" si="653"/>
        <v>619</v>
      </c>
      <c r="T4195">
        <f t="shared" si="654"/>
        <v>1</v>
      </c>
      <c r="U4195">
        <f t="shared" si="655"/>
        <v>1</v>
      </c>
      <c r="V4195">
        <f t="shared" si="656"/>
        <v>1</v>
      </c>
      <c r="W4195">
        <f t="shared" si="657"/>
        <v>1</v>
      </c>
      <c r="X4195">
        <f t="shared" si="658"/>
        <v>0.99999999999999989</v>
      </c>
      <c r="Y4195" t="str">
        <f t="shared" si="659"/>
        <v>Healthy</v>
      </c>
    </row>
    <row r="4196" spans="1:25" x14ac:dyDescent="0.35">
      <c r="A4196" t="s">
        <v>90</v>
      </c>
      <c r="B4196" t="s">
        <v>91</v>
      </c>
      <c r="C4196" t="s">
        <v>112</v>
      </c>
      <c r="D4196" t="s">
        <v>2670</v>
      </c>
      <c r="E4196">
        <v>80887530</v>
      </c>
      <c r="F4196" t="s">
        <v>2671</v>
      </c>
      <c r="G4196" s="3">
        <v>46878</v>
      </c>
      <c r="H4196">
        <v>24</v>
      </c>
      <c r="I4196">
        <v>95</v>
      </c>
      <c r="J4196">
        <v>3114</v>
      </c>
      <c r="K4196" s="4">
        <v>1507456.26</v>
      </c>
      <c r="L4196" s="4">
        <v>11410.857142857143</v>
      </c>
      <c r="M4196" s="4">
        <v>0.27289799188742553</v>
      </c>
      <c r="N4196" t="s">
        <v>25</v>
      </c>
      <c r="O4196" t="str">
        <f t="shared" si="650"/>
        <v>Low</v>
      </c>
      <c r="P4196" t="str">
        <f t="shared" si="651"/>
        <v>Low</v>
      </c>
      <c r="Q4196" t="str">
        <f t="shared" si="652"/>
        <v>Low</v>
      </c>
      <c r="R4196" t="s">
        <v>3309</v>
      </c>
      <c r="S4196" s="4">
        <f t="shared" ca="1" si="653"/>
        <v>681</v>
      </c>
      <c r="T4196">
        <f t="shared" si="654"/>
        <v>1</v>
      </c>
      <c r="U4196">
        <f t="shared" si="655"/>
        <v>1</v>
      </c>
      <c r="V4196">
        <f t="shared" si="656"/>
        <v>1</v>
      </c>
      <c r="W4196">
        <f t="shared" si="657"/>
        <v>3</v>
      </c>
      <c r="X4196">
        <f t="shared" si="658"/>
        <v>1.2</v>
      </c>
      <c r="Y4196" t="str">
        <f t="shared" si="659"/>
        <v>Healthy</v>
      </c>
    </row>
    <row r="4197" spans="1:25" x14ac:dyDescent="0.35">
      <c r="A4197" t="s">
        <v>90</v>
      </c>
      <c r="B4197" t="s">
        <v>91</v>
      </c>
      <c r="C4197" t="s">
        <v>112</v>
      </c>
      <c r="D4197" t="s">
        <v>2670</v>
      </c>
      <c r="E4197">
        <v>80887530</v>
      </c>
      <c r="F4197" t="s">
        <v>2671</v>
      </c>
      <c r="G4197" s="3">
        <v>46873</v>
      </c>
      <c r="H4197">
        <v>24</v>
      </c>
      <c r="I4197">
        <v>95</v>
      </c>
      <c r="J4197">
        <v>4822</v>
      </c>
      <c r="K4197" s="4">
        <v>2334281.98</v>
      </c>
      <c r="L4197" s="4">
        <v>11410.857142857143</v>
      </c>
      <c r="M4197" s="4">
        <v>0.42257999899844756</v>
      </c>
      <c r="N4197" t="s">
        <v>25</v>
      </c>
      <c r="O4197" t="str">
        <f t="shared" si="650"/>
        <v>Low</v>
      </c>
      <c r="P4197" t="str">
        <f t="shared" si="651"/>
        <v>Low</v>
      </c>
      <c r="Q4197" t="str">
        <f t="shared" si="652"/>
        <v>Low</v>
      </c>
      <c r="R4197" t="s">
        <v>3309</v>
      </c>
      <c r="S4197" s="4">
        <f t="shared" ca="1" si="653"/>
        <v>676</v>
      </c>
      <c r="T4197">
        <f t="shared" si="654"/>
        <v>1</v>
      </c>
      <c r="U4197">
        <f t="shared" si="655"/>
        <v>1</v>
      </c>
      <c r="V4197">
        <f t="shared" si="656"/>
        <v>1</v>
      </c>
      <c r="W4197">
        <f t="shared" si="657"/>
        <v>3</v>
      </c>
      <c r="X4197">
        <f t="shared" si="658"/>
        <v>1.2</v>
      </c>
      <c r="Y4197" t="str">
        <f t="shared" si="659"/>
        <v>Healthy</v>
      </c>
    </row>
    <row r="4198" spans="1:25" x14ac:dyDescent="0.35">
      <c r="A4198" t="s">
        <v>90</v>
      </c>
      <c r="B4198" t="s">
        <v>404</v>
      </c>
      <c r="C4198" t="s">
        <v>405</v>
      </c>
      <c r="D4198" t="s">
        <v>2672</v>
      </c>
      <c r="E4198">
        <v>80870507</v>
      </c>
      <c r="F4198" t="s">
        <v>2673</v>
      </c>
      <c r="G4198" s="3">
        <v>46589</v>
      </c>
      <c r="H4198">
        <v>24</v>
      </c>
      <c r="I4198">
        <v>55</v>
      </c>
      <c r="J4198">
        <v>217</v>
      </c>
      <c r="K4198" s="4">
        <v>25334.75</v>
      </c>
      <c r="L4198" s="4">
        <v>926.85714285714289</v>
      </c>
      <c r="M4198" s="4">
        <v>0.23412453760789148</v>
      </c>
      <c r="N4198" t="s">
        <v>25</v>
      </c>
      <c r="O4198" t="str">
        <f t="shared" si="650"/>
        <v>Low</v>
      </c>
      <c r="P4198" t="str">
        <f t="shared" si="651"/>
        <v>Low</v>
      </c>
      <c r="Q4198" t="str">
        <f t="shared" si="652"/>
        <v>Low</v>
      </c>
      <c r="R4198" t="s">
        <v>3317</v>
      </c>
      <c r="S4198" s="4">
        <f t="shared" ca="1" si="653"/>
        <v>392</v>
      </c>
      <c r="T4198">
        <f t="shared" si="654"/>
        <v>1</v>
      </c>
      <c r="U4198">
        <f t="shared" si="655"/>
        <v>1</v>
      </c>
      <c r="V4198">
        <f t="shared" si="656"/>
        <v>1</v>
      </c>
      <c r="W4198">
        <f t="shared" si="657"/>
        <v>1</v>
      </c>
      <c r="X4198">
        <f t="shared" si="658"/>
        <v>0.99999999999999989</v>
      </c>
      <c r="Y4198" t="str">
        <f t="shared" si="659"/>
        <v>Healthy</v>
      </c>
    </row>
    <row r="4199" spans="1:25" x14ac:dyDescent="0.35">
      <c r="A4199" t="s">
        <v>90</v>
      </c>
      <c r="B4199" t="s">
        <v>404</v>
      </c>
      <c r="C4199" t="s">
        <v>405</v>
      </c>
      <c r="D4199" t="s">
        <v>2672</v>
      </c>
      <c r="E4199">
        <v>80870507</v>
      </c>
      <c r="F4199" t="s">
        <v>2673</v>
      </c>
      <c r="G4199" s="3">
        <v>46770</v>
      </c>
      <c r="H4199">
        <v>24</v>
      </c>
      <c r="I4199">
        <v>80</v>
      </c>
      <c r="J4199">
        <v>110</v>
      </c>
      <c r="K4199" s="4">
        <v>12842.5</v>
      </c>
      <c r="L4199" s="4">
        <v>926.85714285714289</v>
      </c>
      <c r="M4199" s="4">
        <v>0.11868064118372379</v>
      </c>
      <c r="N4199" t="s">
        <v>25</v>
      </c>
      <c r="O4199" t="str">
        <f t="shared" si="650"/>
        <v>Low</v>
      </c>
      <c r="P4199" t="str">
        <f t="shared" si="651"/>
        <v>Low</v>
      </c>
      <c r="Q4199" t="str">
        <f t="shared" si="652"/>
        <v>Low</v>
      </c>
      <c r="R4199" t="s">
        <v>3317</v>
      </c>
      <c r="S4199" s="4">
        <f t="shared" ca="1" si="653"/>
        <v>573</v>
      </c>
      <c r="T4199">
        <f t="shared" si="654"/>
        <v>1</v>
      </c>
      <c r="U4199">
        <f t="shared" si="655"/>
        <v>1</v>
      </c>
      <c r="V4199">
        <f t="shared" si="656"/>
        <v>1</v>
      </c>
      <c r="W4199">
        <f t="shared" si="657"/>
        <v>1</v>
      </c>
      <c r="X4199">
        <f t="shared" si="658"/>
        <v>0.99999999999999989</v>
      </c>
      <c r="Y4199" t="str">
        <f t="shared" si="659"/>
        <v>Healthy</v>
      </c>
    </row>
    <row r="4200" spans="1:25" x14ac:dyDescent="0.35">
      <c r="A4200" t="s">
        <v>90</v>
      </c>
      <c r="B4200" t="s">
        <v>91</v>
      </c>
      <c r="C4200" t="s">
        <v>112</v>
      </c>
      <c r="D4200" t="s">
        <v>2670</v>
      </c>
      <c r="E4200">
        <v>80887530</v>
      </c>
      <c r="F4200" t="s">
        <v>2671</v>
      </c>
      <c r="G4200" s="3">
        <v>46864</v>
      </c>
      <c r="H4200">
        <v>24</v>
      </c>
      <c r="I4200">
        <v>93</v>
      </c>
      <c r="J4200">
        <v>1460</v>
      </c>
      <c r="K4200" s="4">
        <v>706771.4</v>
      </c>
      <c r="L4200" s="4">
        <v>11410.857142857143</v>
      </c>
      <c r="M4200" s="4">
        <v>0.12794831989583855</v>
      </c>
      <c r="N4200" t="s">
        <v>25</v>
      </c>
      <c r="O4200" t="str">
        <f t="shared" si="650"/>
        <v>Low</v>
      </c>
      <c r="P4200" t="str">
        <f t="shared" si="651"/>
        <v>Low</v>
      </c>
      <c r="Q4200" t="str">
        <f t="shared" si="652"/>
        <v>Low</v>
      </c>
      <c r="R4200" t="s">
        <v>3309</v>
      </c>
      <c r="S4200" s="4">
        <f t="shared" ca="1" si="653"/>
        <v>667</v>
      </c>
      <c r="T4200">
        <f t="shared" si="654"/>
        <v>1</v>
      </c>
      <c r="U4200">
        <f t="shared" si="655"/>
        <v>1</v>
      </c>
      <c r="V4200">
        <f t="shared" si="656"/>
        <v>1</v>
      </c>
      <c r="W4200">
        <f t="shared" si="657"/>
        <v>3</v>
      </c>
      <c r="X4200">
        <f t="shared" si="658"/>
        <v>1.2</v>
      </c>
      <c r="Y4200" t="str">
        <f t="shared" si="659"/>
        <v>Healthy</v>
      </c>
    </row>
    <row r="4201" spans="1:25" x14ac:dyDescent="0.35">
      <c r="A4201" t="s">
        <v>90</v>
      </c>
      <c r="B4201" t="s">
        <v>91</v>
      </c>
      <c r="C4201" t="s">
        <v>112</v>
      </c>
      <c r="D4201" t="s">
        <v>2670</v>
      </c>
      <c r="E4201">
        <v>80887530</v>
      </c>
      <c r="F4201" t="s">
        <v>2671</v>
      </c>
      <c r="G4201" s="3">
        <v>46878</v>
      </c>
      <c r="H4201">
        <v>24</v>
      </c>
      <c r="I4201">
        <v>95</v>
      </c>
      <c r="J4201">
        <v>126</v>
      </c>
      <c r="K4201" s="4">
        <v>60995.34</v>
      </c>
      <c r="L4201" s="4">
        <v>11410.857142857143</v>
      </c>
      <c r="M4201" s="4">
        <v>1.1042115278681958E-2</v>
      </c>
      <c r="N4201" t="s">
        <v>25</v>
      </c>
      <c r="O4201" t="str">
        <f t="shared" si="650"/>
        <v>Low</v>
      </c>
      <c r="P4201" t="str">
        <f t="shared" si="651"/>
        <v>Low</v>
      </c>
      <c r="Q4201" t="str">
        <f t="shared" si="652"/>
        <v>Low</v>
      </c>
      <c r="R4201" t="s">
        <v>3317</v>
      </c>
      <c r="S4201" s="4">
        <f t="shared" ca="1" si="653"/>
        <v>681</v>
      </c>
      <c r="T4201">
        <f t="shared" si="654"/>
        <v>1</v>
      </c>
      <c r="U4201">
        <f t="shared" si="655"/>
        <v>1</v>
      </c>
      <c r="V4201">
        <f t="shared" si="656"/>
        <v>1</v>
      </c>
      <c r="W4201">
        <f t="shared" si="657"/>
        <v>1</v>
      </c>
      <c r="X4201">
        <f t="shared" si="658"/>
        <v>0.99999999999999989</v>
      </c>
      <c r="Y4201" t="str">
        <f t="shared" si="659"/>
        <v>Healthy</v>
      </c>
    </row>
    <row r="4202" spans="1:25" x14ac:dyDescent="0.35">
      <c r="A4202" t="s">
        <v>90</v>
      </c>
      <c r="B4202" t="s">
        <v>91</v>
      </c>
      <c r="C4202" t="s">
        <v>155</v>
      </c>
      <c r="D4202" t="s">
        <v>1893</v>
      </c>
      <c r="E4202">
        <v>80887274</v>
      </c>
      <c r="F4202" t="s">
        <v>2674</v>
      </c>
      <c r="G4202" s="3">
        <v>46823</v>
      </c>
      <c r="H4202">
        <v>24</v>
      </c>
      <c r="I4202">
        <v>88</v>
      </c>
      <c r="J4202">
        <v>25</v>
      </c>
      <c r="K4202" s="4">
        <v>8210.25</v>
      </c>
      <c r="L4202" s="4">
        <v>3901.5714285714284</v>
      </c>
      <c r="M4202" s="4">
        <v>6.4076745633627474E-3</v>
      </c>
      <c r="N4202" t="s">
        <v>25</v>
      </c>
      <c r="O4202" t="str">
        <f t="shared" si="650"/>
        <v>Low</v>
      </c>
      <c r="P4202" t="str">
        <f t="shared" si="651"/>
        <v>Low</v>
      </c>
      <c r="Q4202" t="str">
        <f t="shared" si="652"/>
        <v>Low</v>
      </c>
      <c r="R4202" t="s">
        <v>3317</v>
      </c>
      <c r="S4202" s="4">
        <f t="shared" ca="1" si="653"/>
        <v>626</v>
      </c>
      <c r="T4202">
        <f t="shared" si="654"/>
        <v>1</v>
      </c>
      <c r="U4202">
        <f t="shared" si="655"/>
        <v>1</v>
      </c>
      <c r="V4202">
        <f t="shared" si="656"/>
        <v>1</v>
      </c>
      <c r="W4202">
        <f t="shared" si="657"/>
        <v>1</v>
      </c>
      <c r="X4202">
        <f t="shared" si="658"/>
        <v>0.99999999999999989</v>
      </c>
      <c r="Y4202" t="str">
        <f t="shared" si="659"/>
        <v>Healthy</v>
      </c>
    </row>
    <row r="4203" spans="1:25" x14ac:dyDescent="0.35">
      <c r="A4203" t="s">
        <v>90</v>
      </c>
      <c r="B4203" t="s">
        <v>404</v>
      </c>
      <c r="C4203" t="s">
        <v>405</v>
      </c>
      <c r="D4203" t="s">
        <v>2672</v>
      </c>
      <c r="E4203">
        <v>80870507</v>
      </c>
      <c r="F4203" t="s">
        <v>2673</v>
      </c>
      <c r="G4203" s="3">
        <v>46771</v>
      </c>
      <c r="H4203">
        <v>24</v>
      </c>
      <c r="I4203">
        <v>80</v>
      </c>
      <c r="J4203">
        <v>216</v>
      </c>
      <c r="K4203" s="4">
        <v>25218</v>
      </c>
      <c r="L4203" s="4">
        <v>926.85714285714289</v>
      </c>
      <c r="M4203" s="4">
        <v>0.23304562268803944</v>
      </c>
      <c r="N4203" t="s">
        <v>25</v>
      </c>
      <c r="O4203" t="str">
        <f t="shared" si="650"/>
        <v>Low</v>
      </c>
      <c r="P4203" t="str">
        <f t="shared" si="651"/>
        <v>Low</v>
      </c>
      <c r="Q4203" t="str">
        <f t="shared" si="652"/>
        <v>Low</v>
      </c>
      <c r="R4203" t="s">
        <v>3317</v>
      </c>
      <c r="S4203" s="4">
        <f t="shared" ca="1" si="653"/>
        <v>574</v>
      </c>
      <c r="T4203">
        <f t="shared" si="654"/>
        <v>1</v>
      </c>
      <c r="U4203">
        <f t="shared" si="655"/>
        <v>1</v>
      </c>
      <c r="V4203">
        <f t="shared" si="656"/>
        <v>1</v>
      </c>
      <c r="W4203">
        <f t="shared" si="657"/>
        <v>1</v>
      </c>
      <c r="X4203">
        <f t="shared" si="658"/>
        <v>0.99999999999999989</v>
      </c>
      <c r="Y4203" t="str">
        <f t="shared" si="659"/>
        <v>Healthy</v>
      </c>
    </row>
    <row r="4204" spans="1:25" x14ac:dyDescent="0.35">
      <c r="A4204" t="s">
        <v>90</v>
      </c>
      <c r="B4204" t="s">
        <v>91</v>
      </c>
      <c r="C4204" t="s">
        <v>155</v>
      </c>
      <c r="D4204" t="s">
        <v>1893</v>
      </c>
      <c r="E4204">
        <v>80887274</v>
      </c>
      <c r="F4204" t="s">
        <v>2674</v>
      </c>
      <c r="G4204" s="3">
        <v>46843</v>
      </c>
      <c r="H4204">
        <v>24</v>
      </c>
      <c r="I4204">
        <v>90</v>
      </c>
      <c r="J4204">
        <v>11</v>
      </c>
      <c r="K4204" s="4">
        <v>3612.51</v>
      </c>
      <c r="L4204" s="4">
        <v>3901.5714285714284</v>
      </c>
      <c r="M4204" s="4">
        <v>2.8193768078796089E-3</v>
      </c>
      <c r="N4204" t="s">
        <v>25</v>
      </c>
      <c r="O4204" t="str">
        <f t="shared" si="650"/>
        <v>Low</v>
      </c>
      <c r="P4204" t="str">
        <f t="shared" si="651"/>
        <v>Low</v>
      </c>
      <c r="Q4204" t="str">
        <f t="shared" si="652"/>
        <v>Low</v>
      </c>
      <c r="R4204" t="s">
        <v>3317</v>
      </c>
      <c r="S4204" s="4">
        <f t="shared" ca="1" si="653"/>
        <v>646</v>
      </c>
      <c r="T4204">
        <f t="shared" si="654"/>
        <v>1</v>
      </c>
      <c r="U4204">
        <f t="shared" si="655"/>
        <v>1</v>
      </c>
      <c r="V4204">
        <f t="shared" si="656"/>
        <v>1</v>
      </c>
      <c r="W4204">
        <f t="shared" si="657"/>
        <v>1</v>
      </c>
      <c r="X4204">
        <f t="shared" si="658"/>
        <v>0.99999999999999989</v>
      </c>
      <c r="Y4204" t="str">
        <f t="shared" si="659"/>
        <v>Healthy</v>
      </c>
    </row>
    <row r="4205" spans="1:25" x14ac:dyDescent="0.35">
      <c r="A4205" t="s">
        <v>179</v>
      </c>
      <c r="B4205" t="s">
        <v>223</v>
      </c>
      <c r="C4205" t="s">
        <v>357</v>
      </c>
      <c r="D4205" t="s">
        <v>2573</v>
      </c>
      <c r="E4205">
        <v>80863499</v>
      </c>
      <c r="F4205" t="s">
        <v>2675</v>
      </c>
      <c r="G4205" s="3">
        <v>46397</v>
      </c>
      <c r="H4205">
        <v>18</v>
      </c>
      <c r="I4205">
        <v>38</v>
      </c>
      <c r="J4205">
        <v>180</v>
      </c>
      <c r="K4205" s="4">
        <v>44798.400000000001</v>
      </c>
      <c r="L4205" s="4">
        <v>150.85714285714286</v>
      </c>
      <c r="M4205" s="4">
        <v>1.1931818181818181</v>
      </c>
      <c r="N4205" t="s">
        <v>25</v>
      </c>
      <c r="O4205" t="str">
        <f t="shared" si="650"/>
        <v>Medium</v>
      </c>
      <c r="P4205" t="str">
        <f t="shared" si="651"/>
        <v>Low</v>
      </c>
      <c r="Q4205" t="str">
        <f t="shared" si="652"/>
        <v>Low</v>
      </c>
      <c r="R4205" t="s">
        <v>3317</v>
      </c>
      <c r="S4205" s="4">
        <f t="shared" ca="1" si="653"/>
        <v>200</v>
      </c>
      <c r="T4205">
        <f t="shared" si="654"/>
        <v>2</v>
      </c>
      <c r="U4205">
        <f t="shared" si="655"/>
        <v>1</v>
      </c>
      <c r="V4205">
        <f t="shared" si="656"/>
        <v>1</v>
      </c>
      <c r="W4205">
        <f t="shared" si="657"/>
        <v>1</v>
      </c>
      <c r="X4205">
        <f t="shared" si="658"/>
        <v>1.4000000000000001</v>
      </c>
      <c r="Y4205" t="str">
        <f t="shared" si="659"/>
        <v>Healthy</v>
      </c>
    </row>
    <row r="4206" spans="1:25" x14ac:dyDescent="0.35">
      <c r="A4206" t="s">
        <v>90</v>
      </c>
      <c r="B4206" t="s">
        <v>91</v>
      </c>
      <c r="C4206" t="s">
        <v>155</v>
      </c>
      <c r="D4206" t="s">
        <v>1893</v>
      </c>
      <c r="E4206">
        <v>80887274</v>
      </c>
      <c r="F4206" t="s">
        <v>2674</v>
      </c>
      <c r="G4206" s="3">
        <v>46843</v>
      </c>
      <c r="H4206">
        <v>24</v>
      </c>
      <c r="I4206">
        <v>90</v>
      </c>
      <c r="J4206">
        <v>22</v>
      </c>
      <c r="K4206" s="4">
        <v>7225.02</v>
      </c>
      <c r="L4206" s="4">
        <v>3901.5714285714284</v>
      </c>
      <c r="M4206" s="4">
        <v>5.6387536157592177E-3</v>
      </c>
      <c r="N4206" t="s">
        <v>25</v>
      </c>
      <c r="O4206" t="str">
        <f t="shared" si="650"/>
        <v>Low</v>
      </c>
      <c r="P4206" t="str">
        <f t="shared" si="651"/>
        <v>Low</v>
      </c>
      <c r="Q4206" t="str">
        <f t="shared" si="652"/>
        <v>Low</v>
      </c>
      <c r="R4206" t="s">
        <v>3317</v>
      </c>
      <c r="S4206" s="4">
        <f t="shared" ca="1" si="653"/>
        <v>646</v>
      </c>
      <c r="T4206">
        <f t="shared" si="654"/>
        <v>1</v>
      </c>
      <c r="U4206">
        <f t="shared" si="655"/>
        <v>1</v>
      </c>
      <c r="V4206">
        <f t="shared" si="656"/>
        <v>1</v>
      </c>
      <c r="W4206">
        <f t="shared" si="657"/>
        <v>1</v>
      </c>
      <c r="X4206">
        <f t="shared" si="658"/>
        <v>0.99999999999999989</v>
      </c>
      <c r="Y4206" t="str">
        <f t="shared" si="659"/>
        <v>Healthy</v>
      </c>
    </row>
    <row r="4207" spans="1:25" x14ac:dyDescent="0.35">
      <c r="A4207" t="s">
        <v>179</v>
      </c>
      <c r="B4207" t="s">
        <v>223</v>
      </c>
      <c r="C4207" t="s">
        <v>357</v>
      </c>
      <c r="D4207" t="s">
        <v>2573</v>
      </c>
      <c r="E4207">
        <v>80863499</v>
      </c>
      <c r="F4207" t="s">
        <v>2675</v>
      </c>
      <c r="G4207" s="3">
        <v>46450</v>
      </c>
      <c r="H4207">
        <v>18</v>
      </c>
      <c r="I4207">
        <v>48</v>
      </c>
      <c r="J4207">
        <v>168</v>
      </c>
      <c r="K4207" s="4">
        <v>41811.839999999997</v>
      </c>
      <c r="L4207" s="4">
        <v>150.85714285714286</v>
      </c>
      <c r="M4207" s="4">
        <v>1.1136363636363635</v>
      </c>
      <c r="N4207" t="s">
        <v>25</v>
      </c>
      <c r="O4207" t="str">
        <f t="shared" si="650"/>
        <v>Low</v>
      </c>
      <c r="P4207" t="str">
        <f t="shared" si="651"/>
        <v>Low</v>
      </c>
      <c r="Q4207" t="str">
        <f t="shared" si="652"/>
        <v>Low</v>
      </c>
      <c r="R4207" t="s">
        <v>3317</v>
      </c>
      <c r="S4207" s="4">
        <f t="shared" ca="1" si="653"/>
        <v>253</v>
      </c>
      <c r="T4207">
        <f t="shared" si="654"/>
        <v>1</v>
      </c>
      <c r="U4207">
        <f t="shared" si="655"/>
        <v>1</v>
      </c>
      <c r="V4207">
        <f t="shared" si="656"/>
        <v>1</v>
      </c>
      <c r="W4207">
        <f t="shared" si="657"/>
        <v>1</v>
      </c>
      <c r="X4207">
        <f t="shared" si="658"/>
        <v>0.99999999999999989</v>
      </c>
      <c r="Y4207" t="str">
        <f t="shared" si="659"/>
        <v>Healthy</v>
      </c>
    </row>
    <row r="4208" spans="1:25" x14ac:dyDescent="0.35">
      <c r="A4208" t="s">
        <v>90</v>
      </c>
      <c r="B4208" t="s">
        <v>91</v>
      </c>
      <c r="C4208" t="s">
        <v>155</v>
      </c>
      <c r="D4208" t="s">
        <v>1893</v>
      </c>
      <c r="E4208">
        <v>80887274</v>
      </c>
      <c r="F4208" t="s">
        <v>2674</v>
      </c>
      <c r="G4208" s="3">
        <v>46851</v>
      </c>
      <c r="H4208">
        <v>24</v>
      </c>
      <c r="I4208">
        <v>92</v>
      </c>
      <c r="J4208">
        <v>3</v>
      </c>
      <c r="K4208" s="4">
        <v>985.23</v>
      </c>
      <c r="L4208" s="4">
        <v>3901.5714285714284</v>
      </c>
      <c r="M4208" s="4">
        <v>7.6892094760352969E-4</v>
      </c>
      <c r="N4208" t="s">
        <v>25</v>
      </c>
      <c r="O4208" t="str">
        <f t="shared" si="650"/>
        <v>Low</v>
      </c>
      <c r="P4208" t="str">
        <f t="shared" si="651"/>
        <v>Low</v>
      </c>
      <c r="Q4208" t="str">
        <f t="shared" si="652"/>
        <v>Low</v>
      </c>
      <c r="R4208" t="s">
        <v>3317</v>
      </c>
      <c r="S4208" s="4">
        <f t="shared" ca="1" si="653"/>
        <v>654</v>
      </c>
      <c r="T4208">
        <f t="shared" si="654"/>
        <v>1</v>
      </c>
      <c r="U4208">
        <f t="shared" si="655"/>
        <v>1</v>
      </c>
      <c r="V4208">
        <f t="shared" si="656"/>
        <v>1</v>
      </c>
      <c r="W4208">
        <f t="shared" si="657"/>
        <v>1</v>
      </c>
      <c r="X4208">
        <f t="shared" si="658"/>
        <v>0.99999999999999989</v>
      </c>
      <c r="Y4208" t="str">
        <f t="shared" si="659"/>
        <v>Healthy</v>
      </c>
    </row>
    <row r="4209" spans="1:25" x14ac:dyDescent="0.35">
      <c r="A4209" t="s">
        <v>90</v>
      </c>
      <c r="B4209" t="s">
        <v>91</v>
      </c>
      <c r="C4209" t="s">
        <v>155</v>
      </c>
      <c r="D4209" t="s">
        <v>1893</v>
      </c>
      <c r="E4209">
        <v>80887274</v>
      </c>
      <c r="F4209" t="s">
        <v>2674</v>
      </c>
      <c r="G4209" s="3">
        <v>46850</v>
      </c>
      <c r="H4209">
        <v>24</v>
      </c>
      <c r="I4209">
        <v>91</v>
      </c>
      <c r="J4209">
        <v>10</v>
      </c>
      <c r="K4209" s="4">
        <v>3284.1</v>
      </c>
      <c r="L4209" s="4">
        <v>3901.5714285714284</v>
      </c>
      <c r="M4209" s="4">
        <v>2.563069825345099E-3</v>
      </c>
      <c r="N4209" t="s">
        <v>25</v>
      </c>
      <c r="O4209" t="str">
        <f t="shared" si="650"/>
        <v>Low</v>
      </c>
      <c r="P4209" t="str">
        <f t="shared" si="651"/>
        <v>Low</v>
      </c>
      <c r="Q4209" t="str">
        <f t="shared" si="652"/>
        <v>Low</v>
      </c>
      <c r="R4209" t="s">
        <v>3317</v>
      </c>
      <c r="S4209" s="4">
        <f t="shared" ca="1" si="653"/>
        <v>653</v>
      </c>
      <c r="T4209">
        <f t="shared" si="654"/>
        <v>1</v>
      </c>
      <c r="U4209">
        <f t="shared" si="655"/>
        <v>1</v>
      </c>
      <c r="V4209">
        <f t="shared" si="656"/>
        <v>1</v>
      </c>
      <c r="W4209">
        <f t="shared" si="657"/>
        <v>1</v>
      </c>
      <c r="X4209">
        <f t="shared" si="658"/>
        <v>0.99999999999999989</v>
      </c>
      <c r="Y4209" t="str">
        <f t="shared" si="659"/>
        <v>Healthy</v>
      </c>
    </row>
    <row r="4210" spans="1:25" x14ac:dyDescent="0.35">
      <c r="A4210" t="s">
        <v>90</v>
      </c>
      <c r="B4210" t="s">
        <v>91</v>
      </c>
      <c r="C4210" t="s">
        <v>155</v>
      </c>
      <c r="D4210" t="s">
        <v>1893</v>
      </c>
      <c r="E4210">
        <v>80887274</v>
      </c>
      <c r="F4210" t="s">
        <v>2674</v>
      </c>
      <c r="G4210" s="3">
        <v>46849</v>
      </c>
      <c r="H4210">
        <v>24</v>
      </c>
      <c r="I4210">
        <v>91</v>
      </c>
      <c r="J4210">
        <v>16</v>
      </c>
      <c r="K4210" s="4">
        <v>5254.56</v>
      </c>
      <c r="L4210" s="4">
        <v>3901.5714285714284</v>
      </c>
      <c r="M4210" s="4">
        <v>4.1009117205521584E-3</v>
      </c>
      <c r="N4210" t="s">
        <v>25</v>
      </c>
      <c r="O4210" t="str">
        <f t="shared" si="650"/>
        <v>Low</v>
      </c>
      <c r="P4210" t="str">
        <f t="shared" si="651"/>
        <v>Low</v>
      </c>
      <c r="Q4210" t="str">
        <f t="shared" si="652"/>
        <v>Low</v>
      </c>
      <c r="R4210" t="s">
        <v>3317</v>
      </c>
      <c r="S4210" s="4">
        <f t="shared" ca="1" si="653"/>
        <v>652</v>
      </c>
      <c r="T4210">
        <f t="shared" si="654"/>
        <v>1</v>
      </c>
      <c r="U4210">
        <f t="shared" si="655"/>
        <v>1</v>
      </c>
      <c r="V4210">
        <f t="shared" si="656"/>
        <v>1</v>
      </c>
      <c r="W4210">
        <f t="shared" si="657"/>
        <v>1</v>
      </c>
      <c r="X4210">
        <f t="shared" si="658"/>
        <v>0.99999999999999989</v>
      </c>
      <c r="Y4210" t="str">
        <f t="shared" si="659"/>
        <v>Healthy</v>
      </c>
    </row>
    <row r="4211" spans="1:25" x14ac:dyDescent="0.35">
      <c r="A4211" t="s">
        <v>41</v>
      </c>
      <c r="B4211" t="s">
        <v>54</v>
      </c>
      <c r="C4211" t="s">
        <v>55</v>
      </c>
      <c r="D4211" t="s">
        <v>498</v>
      </c>
      <c r="E4211">
        <v>80864943</v>
      </c>
      <c r="F4211" t="s">
        <v>2676</v>
      </c>
      <c r="G4211" s="3">
        <v>46823</v>
      </c>
      <c r="H4211">
        <v>36</v>
      </c>
      <c r="I4211">
        <v>58</v>
      </c>
      <c r="J4211">
        <v>6</v>
      </c>
      <c r="K4211" s="4">
        <v>2094.48</v>
      </c>
      <c r="L4211" s="4">
        <v>56.571428571428569</v>
      </c>
      <c r="M4211" s="4">
        <v>0.10606060606060606</v>
      </c>
      <c r="N4211" t="s">
        <v>25</v>
      </c>
      <c r="O4211" t="str">
        <f t="shared" si="650"/>
        <v>Low</v>
      </c>
      <c r="P4211" t="str">
        <f t="shared" si="651"/>
        <v>Low</v>
      </c>
      <c r="Q4211" t="str">
        <f t="shared" si="652"/>
        <v>Low</v>
      </c>
      <c r="R4211" t="s">
        <v>3317</v>
      </c>
      <c r="S4211" s="4">
        <f t="shared" ca="1" si="653"/>
        <v>626</v>
      </c>
      <c r="T4211">
        <f t="shared" si="654"/>
        <v>1</v>
      </c>
      <c r="U4211">
        <f t="shared" si="655"/>
        <v>1</v>
      </c>
      <c r="V4211">
        <f t="shared" si="656"/>
        <v>1</v>
      </c>
      <c r="W4211">
        <f t="shared" si="657"/>
        <v>1</v>
      </c>
      <c r="X4211">
        <f t="shared" si="658"/>
        <v>0.99999999999999989</v>
      </c>
      <c r="Y4211" t="str">
        <f t="shared" si="659"/>
        <v>Healthy</v>
      </c>
    </row>
    <row r="4212" spans="1:25" x14ac:dyDescent="0.35">
      <c r="A4212" t="s">
        <v>90</v>
      </c>
      <c r="B4212" t="s">
        <v>91</v>
      </c>
      <c r="C4212" t="s">
        <v>112</v>
      </c>
      <c r="D4212" t="s">
        <v>2677</v>
      </c>
      <c r="E4212">
        <v>80887532</v>
      </c>
      <c r="F4212" t="s">
        <v>2678</v>
      </c>
      <c r="G4212" s="3">
        <v>46873</v>
      </c>
      <c r="H4212">
        <v>24</v>
      </c>
      <c r="I4212">
        <v>95</v>
      </c>
      <c r="J4212">
        <v>23</v>
      </c>
      <c r="K4212" s="4">
        <v>2227.3200000000002</v>
      </c>
      <c r="L4212" s="4">
        <v>6271.5714285714284</v>
      </c>
      <c r="M4212" s="4">
        <v>3.6673424295574132E-3</v>
      </c>
      <c r="N4212" t="s">
        <v>25</v>
      </c>
      <c r="O4212" t="str">
        <f t="shared" si="650"/>
        <v>Low</v>
      </c>
      <c r="P4212" t="str">
        <f t="shared" si="651"/>
        <v>Low</v>
      </c>
      <c r="Q4212" t="str">
        <f t="shared" si="652"/>
        <v>Low</v>
      </c>
      <c r="R4212" t="s">
        <v>3317</v>
      </c>
      <c r="S4212" s="4">
        <f t="shared" ca="1" si="653"/>
        <v>676</v>
      </c>
      <c r="T4212">
        <f t="shared" si="654"/>
        <v>1</v>
      </c>
      <c r="U4212">
        <f t="shared" si="655"/>
        <v>1</v>
      </c>
      <c r="V4212">
        <f t="shared" si="656"/>
        <v>1</v>
      </c>
      <c r="W4212">
        <f t="shared" si="657"/>
        <v>1</v>
      </c>
      <c r="X4212">
        <f t="shared" si="658"/>
        <v>0.99999999999999989</v>
      </c>
      <c r="Y4212" t="str">
        <f t="shared" si="659"/>
        <v>Healthy</v>
      </c>
    </row>
    <row r="4213" spans="1:25" x14ac:dyDescent="0.35">
      <c r="A4213" t="s">
        <v>90</v>
      </c>
      <c r="B4213" t="s">
        <v>91</v>
      </c>
      <c r="C4213" t="s">
        <v>112</v>
      </c>
      <c r="D4213" t="s">
        <v>2677</v>
      </c>
      <c r="E4213">
        <v>80887532</v>
      </c>
      <c r="F4213" t="s">
        <v>2678</v>
      </c>
      <c r="G4213" s="3">
        <v>46865</v>
      </c>
      <c r="H4213">
        <v>24</v>
      </c>
      <c r="I4213">
        <v>93</v>
      </c>
      <c r="J4213">
        <v>120</v>
      </c>
      <c r="K4213" s="4">
        <v>11620.8</v>
      </c>
      <c r="L4213" s="4">
        <v>6271.5714285714284</v>
      </c>
      <c r="M4213" s="4">
        <v>1.913396050203868E-2</v>
      </c>
      <c r="N4213" t="s">
        <v>25</v>
      </c>
      <c r="O4213" t="str">
        <f t="shared" si="650"/>
        <v>Low</v>
      </c>
      <c r="P4213" t="str">
        <f t="shared" si="651"/>
        <v>Low</v>
      </c>
      <c r="Q4213" t="str">
        <f t="shared" si="652"/>
        <v>Low</v>
      </c>
      <c r="R4213" t="s">
        <v>3317</v>
      </c>
      <c r="S4213" s="4">
        <f t="shared" ca="1" si="653"/>
        <v>668</v>
      </c>
      <c r="T4213">
        <f t="shared" si="654"/>
        <v>1</v>
      </c>
      <c r="U4213">
        <f t="shared" si="655"/>
        <v>1</v>
      </c>
      <c r="V4213">
        <f t="shared" si="656"/>
        <v>1</v>
      </c>
      <c r="W4213">
        <f t="shared" si="657"/>
        <v>1</v>
      </c>
      <c r="X4213">
        <f t="shared" si="658"/>
        <v>0.99999999999999989</v>
      </c>
      <c r="Y4213" t="str">
        <f t="shared" si="659"/>
        <v>Healthy</v>
      </c>
    </row>
    <row r="4214" spans="1:25" x14ac:dyDescent="0.35">
      <c r="A4214" t="s">
        <v>90</v>
      </c>
      <c r="B4214" t="s">
        <v>91</v>
      </c>
      <c r="C4214" t="s">
        <v>112</v>
      </c>
      <c r="D4214" t="s">
        <v>2677</v>
      </c>
      <c r="E4214">
        <v>80887532</v>
      </c>
      <c r="F4214" t="s">
        <v>2678</v>
      </c>
      <c r="G4214" s="3">
        <v>46864</v>
      </c>
      <c r="H4214">
        <v>24</v>
      </c>
      <c r="I4214">
        <v>93</v>
      </c>
      <c r="J4214">
        <v>229</v>
      </c>
      <c r="K4214" s="4">
        <v>22176.36</v>
      </c>
      <c r="L4214" s="4">
        <v>6271.5714285714284</v>
      </c>
      <c r="M4214" s="4">
        <v>3.6513974624723812E-2</v>
      </c>
      <c r="N4214" t="s">
        <v>25</v>
      </c>
      <c r="O4214" t="str">
        <f t="shared" si="650"/>
        <v>Low</v>
      </c>
      <c r="P4214" t="str">
        <f t="shared" si="651"/>
        <v>Low</v>
      </c>
      <c r="Q4214" t="str">
        <f t="shared" si="652"/>
        <v>Low</v>
      </c>
      <c r="R4214" t="s">
        <v>3317</v>
      </c>
      <c r="S4214" s="4">
        <f t="shared" ca="1" si="653"/>
        <v>667</v>
      </c>
      <c r="T4214">
        <f t="shared" si="654"/>
        <v>1</v>
      </c>
      <c r="U4214">
        <f t="shared" si="655"/>
        <v>1</v>
      </c>
      <c r="V4214">
        <f t="shared" si="656"/>
        <v>1</v>
      </c>
      <c r="W4214">
        <f t="shared" si="657"/>
        <v>1</v>
      </c>
      <c r="X4214">
        <f t="shared" si="658"/>
        <v>0.99999999999999989</v>
      </c>
      <c r="Y4214" t="str">
        <f t="shared" si="659"/>
        <v>Healthy</v>
      </c>
    </row>
    <row r="4215" spans="1:25" x14ac:dyDescent="0.35">
      <c r="A4215" t="s">
        <v>41</v>
      </c>
      <c r="B4215" t="s">
        <v>54</v>
      </c>
      <c r="C4215" t="s">
        <v>55</v>
      </c>
      <c r="D4215" t="s">
        <v>498</v>
      </c>
      <c r="E4215">
        <v>80864943</v>
      </c>
      <c r="F4215" t="s">
        <v>2676</v>
      </c>
      <c r="G4215" s="3">
        <v>46941</v>
      </c>
      <c r="H4215">
        <v>36</v>
      </c>
      <c r="I4215">
        <v>69</v>
      </c>
      <c r="J4215">
        <v>26</v>
      </c>
      <c r="K4215" s="4">
        <v>9076.08</v>
      </c>
      <c r="L4215" s="4">
        <v>56.571428571428569</v>
      </c>
      <c r="M4215" s="4">
        <v>0.45959595959595961</v>
      </c>
      <c r="N4215" t="s">
        <v>25</v>
      </c>
      <c r="O4215" t="str">
        <f t="shared" si="650"/>
        <v>Low</v>
      </c>
      <c r="P4215" t="str">
        <f t="shared" si="651"/>
        <v>Low</v>
      </c>
      <c r="Q4215" t="str">
        <f t="shared" si="652"/>
        <v>Low</v>
      </c>
      <c r="R4215" t="s">
        <v>3317</v>
      </c>
      <c r="S4215" s="4">
        <f t="shared" ca="1" si="653"/>
        <v>744</v>
      </c>
      <c r="T4215">
        <f t="shared" si="654"/>
        <v>1</v>
      </c>
      <c r="U4215">
        <f t="shared" si="655"/>
        <v>1</v>
      </c>
      <c r="V4215">
        <f t="shared" si="656"/>
        <v>1</v>
      </c>
      <c r="W4215">
        <f t="shared" si="657"/>
        <v>1</v>
      </c>
      <c r="X4215">
        <f t="shared" si="658"/>
        <v>0.99999999999999989</v>
      </c>
      <c r="Y4215" t="str">
        <f t="shared" si="659"/>
        <v>Healthy</v>
      </c>
    </row>
    <row r="4216" spans="1:25" x14ac:dyDescent="0.35">
      <c r="A4216" t="s">
        <v>90</v>
      </c>
      <c r="B4216" t="s">
        <v>91</v>
      </c>
      <c r="C4216" t="s">
        <v>112</v>
      </c>
      <c r="D4216" t="s">
        <v>2677</v>
      </c>
      <c r="E4216">
        <v>80887532</v>
      </c>
      <c r="F4216" t="s">
        <v>2678</v>
      </c>
      <c r="G4216" s="3">
        <v>46862</v>
      </c>
      <c r="H4216">
        <v>24</v>
      </c>
      <c r="I4216">
        <v>93</v>
      </c>
      <c r="J4216">
        <v>228</v>
      </c>
      <c r="K4216" s="4">
        <v>22079.52</v>
      </c>
      <c r="L4216" s="4">
        <v>6271.5714285714284</v>
      </c>
      <c r="M4216" s="4">
        <v>3.6354524953873486E-2</v>
      </c>
      <c r="N4216" t="s">
        <v>25</v>
      </c>
      <c r="O4216" t="str">
        <f t="shared" si="650"/>
        <v>Low</v>
      </c>
      <c r="P4216" t="str">
        <f t="shared" si="651"/>
        <v>Low</v>
      </c>
      <c r="Q4216" t="str">
        <f t="shared" si="652"/>
        <v>Low</v>
      </c>
      <c r="R4216" t="s">
        <v>3317</v>
      </c>
      <c r="S4216" s="4">
        <f t="shared" ca="1" si="653"/>
        <v>665</v>
      </c>
      <c r="T4216">
        <f t="shared" si="654"/>
        <v>1</v>
      </c>
      <c r="U4216">
        <f t="shared" si="655"/>
        <v>1</v>
      </c>
      <c r="V4216">
        <f t="shared" si="656"/>
        <v>1</v>
      </c>
      <c r="W4216">
        <f t="shared" si="657"/>
        <v>1</v>
      </c>
      <c r="X4216">
        <f t="shared" si="658"/>
        <v>0.99999999999999989</v>
      </c>
      <c r="Y4216" t="str">
        <f t="shared" si="659"/>
        <v>Healthy</v>
      </c>
    </row>
    <row r="4217" spans="1:25" x14ac:dyDescent="0.35">
      <c r="A4217" t="s">
        <v>71</v>
      </c>
      <c r="B4217" t="s">
        <v>72</v>
      </c>
      <c r="C4217" t="s">
        <v>386</v>
      </c>
      <c r="D4217" t="s">
        <v>1475</v>
      </c>
      <c r="E4217">
        <v>80866586</v>
      </c>
      <c r="F4217" t="s">
        <v>2679</v>
      </c>
      <c r="G4217" s="3">
        <v>47209</v>
      </c>
      <c r="H4217">
        <v>36</v>
      </c>
      <c r="I4217">
        <v>94</v>
      </c>
      <c r="J4217">
        <v>567</v>
      </c>
      <c r="K4217" s="4">
        <v>44452.800000000003</v>
      </c>
      <c r="L4217" s="4">
        <v>1092.7142857142858</v>
      </c>
      <c r="M4217" s="4">
        <v>0.51889135834749633</v>
      </c>
      <c r="N4217" t="s">
        <v>25</v>
      </c>
      <c r="O4217" t="str">
        <f t="shared" si="650"/>
        <v>Low</v>
      </c>
      <c r="P4217" t="str">
        <f t="shared" si="651"/>
        <v>Low</v>
      </c>
      <c r="Q4217" t="str">
        <f t="shared" si="652"/>
        <v>Low</v>
      </c>
      <c r="R4217" t="s">
        <v>3317</v>
      </c>
      <c r="S4217" s="4">
        <f t="shared" ca="1" si="653"/>
        <v>1012</v>
      </c>
      <c r="T4217">
        <f t="shared" si="654"/>
        <v>1</v>
      </c>
      <c r="U4217">
        <f t="shared" si="655"/>
        <v>1</v>
      </c>
      <c r="V4217">
        <f t="shared" si="656"/>
        <v>1</v>
      </c>
      <c r="W4217">
        <f t="shared" si="657"/>
        <v>1</v>
      </c>
      <c r="X4217">
        <f t="shared" si="658"/>
        <v>0.99999999999999989</v>
      </c>
      <c r="Y4217" t="str">
        <f t="shared" si="659"/>
        <v>Healthy</v>
      </c>
    </row>
    <row r="4218" spans="1:25" x14ac:dyDescent="0.35">
      <c r="A4218" t="s">
        <v>90</v>
      </c>
      <c r="B4218" t="s">
        <v>91</v>
      </c>
      <c r="C4218" t="s">
        <v>155</v>
      </c>
      <c r="D4218" t="s">
        <v>1895</v>
      </c>
      <c r="E4218">
        <v>80887275</v>
      </c>
      <c r="F4218" t="s">
        <v>2680</v>
      </c>
      <c r="G4218" s="3">
        <v>46693</v>
      </c>
      <c r="H4218">
        <v>24</v>
      </c>
      <c r="I4218">
        <v>70</v>
      </c>
      <c r="J4218">
        <v>24</v>
      </c>
      <c r="K4218" s="4">
        <v>10722.96</v>
      </c>
      <c r="L4218" s="4">
        <v>382.28571428571428</v>
      </c>
      <c r="M4218" s="4">
        <v>6.2780269058295965E-2</v>
      </c>
      <c r="N4218" t="s">
        <v>25</v>
      </c>
      <c r="O4218" t="str">
        <f t="shared" si="650"/>
        <v>Low</v>
      </c>
      <c r="P4218" t="str">
        <f t="shared" si="651"/>
        <v>Low</v>
      </c>
      <c r="Q4218" t="str">
        <f t="shared" si="652"/>
        <v>Low</v>
      </c>
      <c r="R4218" t="s">
        <v>3317</v>
      </c>
      <c r="S4218" s="4">
        <f t="shared" ca="1" si="653"/>
        <v>496</v>
      </c>
      <c r="T4218">
        <f t="shared" si="654"/>
        <v>1</v>
      </c>
      <c r="U4218">
        <f t="shared" si="655"/>
        <v>1</v>
      </c>
      <c r="V4218">
        <f t="shared" si="656"/>
        <v>1</v>
      </c>
      <c r="W4218">
        <f t="shared" si="657"/>
        <v>1</v>
      </c>
      <c r="X4218">
        <f t="shared" si="658"/>
        <v>0.99999999999999989</v>
      </c>
      <c r="Y4218" t="str">
        <f t="shared" si="659"/>
        <v>Healthy</v>
      </c>
    </row>
    <row r="4219" spans="1:25" x14ac:dyDescent="0.35">
      <c r="A4219" t="s">
        <v>71</v>
      </c>
      <c r="B4219" t="s">
        <v>72</v>
      </c>
      <c r="C4219" t="s">
        <v>386</v>
      </c>
      <c r="D4219" t="s">
        <v>1475</v>
      </c>
      <c r="E4219">
        <v>80866586</v>
      </c>
      <c r="F4219" t="s">
        <v>2679</v>
      </c>
      <c r="G4219" s="3">
        <v>47199</v>
      </c>
      <c r="H4219">
        <v>36</v>
      </c>
      <c r="I4219">
        <v>93</v>
      </c>
      <c r="J4219">
        <v>342</v>
      </c>
      <c r="K4219" s="4">
        <v>26812.799999999999</v>
      </c>
      <c r="L4219" s="4">
        <v>1092.7142857142858</v>
      </c>
      <c r="M4219" s="4">
        <v>0.31298208916198195</v>
      </c>
      <c r="N4219" t="s">
        <v>25</v>
      </c>
      <c r="O4219" t="str">
        <f t="shared" si="650"/>
        <v>Low</v>
      </c>
      <c r="P4219" t="str">
        <f t="shared" si="651"/>
        <v>Low</v>
      </c>
      <c r="Q4219" t="str">
        <f t="shared" si="652"/>
        <v>Low</v>
      </c>
      <c r="R4219" t="s">
        <v>3317</v>
      </c>
      <c r="S4219" s="4">
        <f t="shared" ca="1" si="653"/>
        <v>1002</v>
      </c>
      <c r="T4219">
        <f t="shared" si="654"/>
        <v>1</v>
      </c>
      <c r="U4219">
        <f t="shared" si="655"/>
        <v>1</v>
      </c>
      <c r="V4219">
        <f t="shared" si="656"/>
        <v>1</v>
      </c>
      <c r="W4219">
        <f t="shared" si="657"/>
        <v>1</v>
      </c>
      <c r="X4219">
        <f t="shared" si="658"/>
        <v>0.99999999999999989</v>
      </c>
      <c r="Y4219" t="str">
        <f t="shared" si="659"/>
        <v>Healthy</v>
      </c>
    </row>
    <row r="4220" spans="1:25" x14ac:dyDescent="0.35">
      <c r="A4220" t="s">
        <v>90</v>
      </c>
      <c r="B4220" t="s">
        <v>91</v>
      </c>
      <c r="C4220" t="s">
        <v>155</v>
      </c>
      <c r="D4220" t="s">
        <v>1895</v>
      </c>
      <c r="E4220">
        <v>80887275</v>
      </c>
      <c r="F4220" t="s">
        <v>2680</v>
      </c>
      <c r="G4220" s="3">
        <v>46877</v>
      </c>
      <c r="H4220">
        <v>24</v>
      </c>
      <c r="I4220">
        <v>95</v>
      </c>
      <c r="J4220">
        <v>96</v>
      </c>
      <c r="K4220" s="4">
        <v>42891.839999999997</v>
      </c>
      <c r="L4220" s="4">
        <v>382.28571428571428</v>
      </c>
      <c r="M4220" s="4">
        <v>0.25112107623318386</v>
      </c>
      <c r="N4220" t="s">
        <v>25</v>
      </c>
      <c r="O4220" t="str">
        <f t="shared" si="650"/>
        <v>Low</v>
      </c>
      <c r="P4220" t="str">
        <f t="shared" si="651"/>
        <v>Low</v>
      </c>
      <c r="Q4220" t="str">
        <f t="shared" si="652"/>
        <v>Low</v>
      </c>
      <c r="R4220" t="s">
        <v>3317</v>
      </c>
      <c r="S4220" s="4">
        <f t="shared" ca="1" si="653"/>
        <v>680</v>
      </c>
      <c r="T4220">
        <f t="shared" si="654"/>
        <v>1</v>
      </c>
      <c r="U4220">
        <f t="shared" si="655"/>
        <v>1</v>
      </c>
      <c r="V4220">
        <f t="shared" si="656"/>
        <v>1</v>
      </c>
      <c r="W4220">
        <f t="shared" si="657"/>
        <v>1</v>
      </c>
      <c r="X4220">
        <f t="shared" si="658"/>
        <v>0.99999999999999989</v>
      </c>
      <c r="Y4220" t="str">
        <f t="shared" si="659"/>
        <v>Healthy</v>
      </c>
    </row>
    <row r="4221" spans="1:25" x14ac:dyDescent="0.35">
      <c r="A4221" t="s">
        <v>90</v>
      </c>
      <c r="B4221" t="s">
        <v>91</v>
      </c>
      <c r="C4221" t="s">
        <v>155</v>
      </c>
      <c r="D4221" t="s">
        <v>1895</v>
      </c>
      <c r="E4221">
        <v>80887275</v>
      </c>
      <c r="F4221" t="s">
        <v>2680</v>
      </c>
      <c r="G4221" s="3">
        <v>46880</v>
      </c>
      <c r="H4221">
        <v>24</v>
      </c>
      <c r="I4221">
        <v>96</v>
      </c>
      <c r="J4221">
        <v>228</v>
      </c>
      <c r="K4221" s="4">
        <v>101868.12</v>
      </c>
      <c r="L4221" s="4">
        <v>382.28571428571428</v>
      </c>
      <c r="M4221" s="4">
        <v>0.59641255605381172</v>
      </c>
      <c r="N4221" t="s">
        <v>25</v>
      </c>
      <c r="O4221" t="str">
        <f t="shared" si="650"/>
        <v>Low</v>
      </c>
      <c r="P4221" t="str">
        <f t="shared" si="651"/>
        <v>Low</v>
      </c>
      <c r="Q4221" t="str">
        <f t="shared" si="652"/>
        <v>Low</v>
      </c>
      <c r="R4221" t="s">
        <v>3310</v>
      </c>
      <c r="S4221" s="4">
        <f t="shared" ca="1" si="653"/>
        <v>683</v>
      </c>
      <c r="T4221">
        <f t="shared" si="654"/>
        <v>1</v>
      </c>
      <c r="U4221">
        <f t="shared" si="655"/>
        <v>1</v>
      </c>
      <c r="V4221">
        <f t="shared" si="656"/>
        <v>1</v>
      </c>
      <c r="W4221">
        <f t="shared" si="657"/>
        <v>2</v>
      </c>
      <c r="X4221">
        <f t="shared" si="658"/>
        <v>1.0999999999999999</v>
      </c>
      <c r="Y4221" t="str">
        <f t="shared" si="659"/>
        <v>Healthy</v>
      </c>
    </row>
    <row r="4222" spans="1:25" x14ac:dyDescent="0.35">
      <c r="A4222" t="s">
        <v>90</v>
      </c>
      <c r="B4222" t="s">
        <v>91</v>
      </c>
      <c r="C4222" t="s">
        <v>112</v>
      </c>
      <c r="D4222" t="s">
        <v>2681</v>
      </c>
      <c r="E4222">
        <v>80887534</v>
      </c>
      <c r="F4222" t="s">
        <v>2682</v>
      </c>
      <c r="G4222" s="3">
        <v>46879</v>
      </c>
      <c r="H4222">
        <v>24</v>
      </c>
      <c r="I4222">
        <v>95</v>
      </c>
      <c r="J4222">
        <v>373</v>
      </c>
      <c r="K4222" s="4">
        <v>180606.6</v>
      </c>
      <c r="L4222" s="4">
        <v>504.14285714285717</v>
      </c>
      <c r="M4222" s="4">
        <v>0.73986965145933692</v>
      </c>
      <c r="N4222" t="s">
        <v>25</v>
      </c>
      <c r="O4222" t="str">
        <f t="shared" si="650"/>
        <v>Low</v>
      </c>
      <c r="P4222" t="str">
        <f t="shared" si="651"/>
        <v>Low</v>
      </c>
      <c r="Q4222" t="str">
        <f t="shared" si="652"/>
        <v>Low</v>
      </c>
      <c r="R4222" t="s">
        <v>3309</v>
      </c>
      <c r="S4222" s="4">
        <f t="shared" ca="1" si="653"/>
        <v>682</v>
      </c>
      <c r="T4222">
        <f t="shared" si="654"/>
        <v>1</v>
      </c>
      <c r="U4222">
        <f t="shared" si="655"/>
        <v>1</v>
      </c>
      <c r="V4222">
        <f t="shared" si="656"/>
        <v>1</v>
      </c>
      <c r="W4222">
        <f t="shared" si="657"/>
        <v>3</v>
      </c>
      <c r="X4222">
        <f t="shared" si="658"/>
        <v>1.2</v>
      </c>
      <c r="Y4222" t="str">
        <f t="shared" si="659"/>
        <v>Healthy</v>
      </c>
    </row>
    <row r="4223" spans="1:25" x14ac:dyDescent="0.35">
      <c r="A4223" t="s">
        <v>71</v>
      </c>
      <c r="B4223" t="s">
        <v>72</v>
      </c>
      <c r="C4223" t="s">
        <v>73</v>
      </c>
      <c r="D4223" t="s">
        <v>1824</v>
      </c>
      <c r="E4223">
        <v>80867199</v>
      </c>
      <c r="F4223" t="s">
        <v>2683</v>
      </c>
      <c r="G4223" s="3">
        <v>47098</v>
      </c>
      <c r="H4223">
        <v>36</v>
      </c>
      <c r="I4223">
        <v>84</v>
      </c>
      <c r="J4223">
        <v>13</v>
      </c>
      <c r="K4223" s="4">
        <v>24700.65</v>
      </c>
      <c r="L4223" s="4">
        <v>134.14285714285714</v>
      </c>
      <c r="M4223" s="4">
        <v>9.6911608093716725E-2</v>
      </c>
      <c r="N4223" t="s">
        <v>25</v>
      </c>
      <c r="O4223" t="str">
        <f t="shared" si="650"/>
        <v>Low</v>
      </c>
      <c r="P4223" t="str">
        <f t="shared" si="651"/>
        <v>Low</v>
      </c>
      <c r="Q4223" t="str">
        <f t="shared" si="652"/>
        <v>Low</v>
      </c>
      <c r="R4223" t="s">
        <v>3317</v>
      </c>
      <c r="S4223" s="4">
        <f t="shared" ca="1" si="653"/>
        <v>901</v>
      </c>
      <c r="T4223">
        <f t="shared" si="654"/>
        <v>1</v>
      </c>
      <c r="U4223">
        <f t="shared" si="655"/>
        <v>1</v>
      </c>
      <c r="V4223">
        <f t="shared" si="656"/>
        <v>1</v>
      </c>
      <c r="W4223">
        <f t="shared" si="657"/>
        <v>1</v>
      </c>
      <c r="X4223">
        <f t="shared" si="658"/>
        <v>0.99999999999999989</v>
      </c>
      <c r="Y4223" t="str">
        <f t="shared" si="659"/>
        <v>Healthy</v>
      </c>
    </row>
    <row r="4224" spans="1:25" x14ac:dyDescent="0.35">
      <c r="A4224" t="s">
        <v>90</v>
      </c>
      <c r="B4224" t="s">
        <v>91</v>
      </c>
      <c r="C4224" t="s">
        <v>155</v>
      </c>
      <c r="D4224" t="s">
        <v>1880</v>
      </c>
      <c r="E4224">
        <v>80887276</v>
      </c>
      <c r="F4224" t="s">
        <v>2684</v>
      </c>
      <c r="G4224" s="3">
        <v>46818</v>
      </c>
      <c r="H4224">
        <v>24</v>
      </c>
      <c r="I4224">
        <v>87</v>
      </c>
      <c r="J4224">
        <v>9</v>
      </c>
      <c r="K4224" s="4">
        <v>583.74</v>
      </c>
      <c r="L4224" s="4">
        <v>1393.8571428571429</v>
      </c>
      <c r="M4224" s="4">
        <v>6.4569027364968735E-3</v>
      </c>
      <c r="N4224" t="s">
        <v>25</v>
      </c>
      <c r="O4224" t="str">
        <f t="shared" si="650"/>
        <v>Low</v>
      </c>
      <c r="P4224" t="str">
        <f t="shared" si="651"/>
        <v>Low</v>
      </c>
      <c r="Q4224" t="str">
        <f t="shared" si="652"/>
        <v>Low</v>
      </c>
      <c r="R4224" t="s">
        <v>3317</v>
      </c>
      <c r="S4224" s="4">
        <f t="shared" ca="1" si="653"/>
        <v>621</v>
      </c>
      <c r="T4224">
        <f t="shared" si="654"/>
        <v>1</v>
      </c>
      <c r="U4224">
        <f t="shared" si="655"/>
        <v>1</v>
      </c>
      <c r="V4224">
        <f t="shared" si="656"/>
        <v>1</v>
      </c>
      <c r="W4224">
        <f t="shared" si="657"/>
        <v>1</v>
      </c>
      <c r="X4224">
        <f t="shared" si="658"/>
        <v>0.99999999999999989</v>
      </c>
      <c r="Y4224" t="str">
        <f t="shared" si="659"/>
        <v>Healthy</v>
      </c>
    </row>
    <row r="4225" spans="1:25" x14ac:dyDescent="0.35">
      <c r="A4225" t="s">
        <v>71</v>
      </c>
      <c r="B4225" t="s">
        <v>72</v>
      </c>
      <c r="C4225" t="s">
        <v>73</v>
      </c>
      <c r="D4225" t="s">
        <v>158</v>
      </c>
      <c r="E4225">
        <v>80867190</v>
      </c>
      <c r="F4225" t="s">
        <v>2685</v>
      </c>
      <c r="G4225" s="3">
        <v>47070</v>
      </c>
      <c r="H4225">
        <v>36</v>
      </c>
      <c r="I4225">
        <v>81</v>
      </c>
      <c r="J4225">
        <v>6</v>
      </c>
      <c r="K4225" s="4">
        <v>5755.2</v>
      </c>
      <c r="L4225" s="4">
        <v>181.71428571428572</v>
      </c>
      <c r="M4225" s="4">
        <v>3.3018867924528301E-2</v>
      </c>
      <c r="N4225" t="s">
        <v>25</v>
      </c>
      <c r="O4225" t="str">
        <f t="shared" si="650"/>
        <v>Low</v>
      </c>
      <c r="P4225" t="str">
        <f t="shared" si="651"/>
        <v>Low</v>
      </c>
      <c r="Q4225" t="str">
        <f t="shared" si="652"/>
        <v>Low</v>
      </c>
      <c r="R4225" t="s">
        <v>3317</v>
      </c>
      <c r="S4225" s="4">
        <f t="shared" ca="1" si="653"/>
        <v>873</v>
      </c>
      <c r="T4225">
        <f t="shared" si="654"/>
        <v>1</v>
      </c>
      <c r="U4225">
        <f t="shared" si="655"/>
        <v>1</v>
      </c>
      <c r="V4225">
        <f t="shared" si="656"/>
        <v>1</v>
      </c>
      <c r="W4225">
        <f t="shared" si="657"/>
        <v>1</v>
      </c>
      <c r="X4225">
        <f t="shared" si="658"/>
        <v>0.99999999999999989</v>
      </c>
      <c r="Y4225" t="str">
        <f t="shared" si="659"/>
        <v>Healthy</v>
      </c>
    </row>
    <row r="4226" spans="1:25" x14ac:dyDescent="0.35">
      <c r="A4226" t="s">
        <v>90</v>
      </c>
      <c r="B4226" t="s">
        <v>91</v>
      </c>
      <c r="C4226" t="s">
        <v>155</v>
      </c>
      <c r="D4226" t="s">
        <v>1880</v>
      </c>
      <c r="E4226">
        <v>80887276</v>
      </c>
      <c r="F4226" t="s">
        <v>2684</v>
      </c>
      <c r="G4226" s="3">
        <v>46787</v>
      </c>
      <c r="H4226">
        <v>24</v>
      </c>
      <c r="I4226">
        <v>83</v>
      </c>
      <c r="J4226">
        <v>7</v>
      </c>
      <c r="K4226" s="4">
        <v>454.02</v>
      </c>
      <c r="L4226" s="4">
        <v>1393.8571428571429</v>
      </c>
      <c r="M4226" s="4">
        <v>5.0220354617197911E-3</v>
      </c>
      <c r="N4226" t="s">
        <v>25</v>
      </c>
      <c r="O4226" t="str">
        <f t="shared" si="650"/>
        <v>Low</v>
      </c>
      <c r="P4226" t="str">
        <f t="shared" si="651"/>
        <v>Low</v>
      </c>
      <c r="Q4226" t="str">
        <f t="shared" si="652"/>
        <v>Low</v>
      </c>
      <c r="R4226" t="s">
        <v>3317</v>
      </c>
      <c r="S4226" s="4">
        <f t="shared" ca="1" si="653"/>
        <v>590</v>
      </c>
      <c r="T4226">
        <f t="shared" si="654"/>
        <v>1</v>
      </c>
      <c r="U4226">
        <f t="shared" si="655"/>
        <v>1</v>
      </c>
      <c r="V4226">
        <f t="shared" si="656"/>
        <v>1</v>
      </c>
      <c r="W4226">
        <f t="shared" si="657"/>
        <v>1</v>
      </c>
      <c r="X4226">
        <f t="shared" si="658"/>
        <v>0.99999999999999989</v>
      </c>
      <c r="Y4226" t="str">
        <f t="shared" si="659"/>
        <v>Healthy</v>
      </c>
    </row>
    <row r="4227" spans="1:25" x14ac:dyDescent="0.35">
      <c r="A4227" t="s">
        <v>71</v>
      </c>
      <c r="B4227" t="s">
        <v>72</v>
      </c>
      <c r="C4227" t="s">
        <v>73</v>
      </c>
      <c r="D4227" t="s">
        <v>158</v>
      </c>
      <c r="E4227">
        <v>80867190</v>
      </c>
      <c r="F4227" t="s">
        <v>2685</v>
      </c>
      <c r="G4227" s="3">
        <v>46935</v>
      </c>
      <c r="H4227">
        <v>36</v>
      </c>
      <c r="I4227">
        <v>69</v>
      </c>
      <c r="J4227">
        <v>2</v>
      </c>
      <c r="K4227" s="4">
        <v>1918.4</v>
      </c>
      <c r="L4227" s="4">
        <v>181.71428571428572</v>
      </c>
      <c r="M4227" s="4">
        <v>1.10062893081761E-2</v>
      </c>
      <c r="N4227" t="s">
        <v>25</v>
      </c>
      <c r="O4227" t="str">
        <f t="shared" ref="O4227:O4290" si="660">IF(I4227&lt;20,"High",IF(I4227&lt;40,"Medium","Low"))</f>
        <v>Low</v>
      </c>
      <c r="P4227" t="str">
        <f t="shared" ref="P4227:P4290" si="661">IF(M4227&gt;8,"High",IF(M4227&gt;4,"Medium","Low"))</f>
        <v>Low</v>
      </c>
      <c r="Q4227" t="str">
        <f t="shared" ref="Q4227:Q4290" si="662">IF(L4227&lt;5,"High",IF(L4227&lt;15,"Medium","Low"))</f>
        <v>Low</v>
      </c>
      <c r="R4227" t="s">
        <v>3317</v>
      </c>
      <c r="S4227" s="4">
        <f t="shared" ref="S4227:S4290" ca="1" si="663">G4227-TODAY()</f>
        <v>738</v>
      </c>
      <c r="T4227">
        <f t="shared" ref="T4227:T4290" si="664">IF(O4227="High",3,IF(O4227="Medium",2,1))</f>
        <v>1</v>
      </c>
      <c r="U4227">
        <f t="shared" ref="U4227:U4290" si="665">IF(P4227="High",3,IF(P4227="Medium",2,1))</f>
        <v>1</v>
      </c>
      <c r="V4227">
        <f t="shared" ref="V4227:V4290" si="666">IF(Q4227="High",3,IF(Q4227="Medium",2,1))</f>
        <v>1</v>
      </c>
      <c r="W4227">
        <f t="shared" ref="W4227:W4290" si="667">IF(R4227="High",3,IF(R4227="Medium",2,1))</f>
        <v>1</v>
      </c>
      <c r="X4227">
        <f t="shared" ref="X4227:X4290" si="668">(0.4*T4227)+(0.3*U4227)+(0.2*V4227)+(0.1*W4227)</f>
        <v>0.99999999999999989</v>
      </c>
      <c r="Y4227" t="str">
        <f t="shared" ref="Y4227:Y4290" si="669">IF(X4227&gt;=2.7,"Move Immediately",IF(X4227&gt;=2.2,"High Priority",IF(X4227&gt;=1.7,"Monitor","Healthy")))</f>
        <v>Healthy</v>
      </c>
    </row>
    <row r="4228" spans="1:25" x14ac:dyDescent="0.35">
      <c r="A4228" t="s">
        <v>90</v>
      </c>
      <c r="B4228" t="s">
        <v>91</v>
      </c>
      <c r="C4228" t="s">
        <v>478</v>
      </c>
      <c r="D4228" t="s">
        <v>2686</v>
      </c>
      <c r="E4228">
        <v>80887674</v>
      </c>
      <c r="F4228" t="s">
        <v>2687</v>
      </c>
      <c r="G4228" s="3">
        <v>46837</v>
      </c>
      <c r="H4228">
        <v>24</v>
      </c>
      <c r="I4228">
        <v>90</v>
      </c>
      <c r="J4228">
        <v>144</v>
      </c>
      <c r="K4228" s="4">
        <v>18188.64</v>
      </c>
      <c r="L4228" s="4">
        <v>3645.8571428571427</v>
      </c>
      <c r="M4228" s="4">
        <v>3.9496884918302576E-2</v>
      </c>
      <c r="N4228" t="s">
        <v>25</v>
      </c>
      <c r="O4228" t="str">
        <f t="shared" si="660"/>
        <v>Low</v>
      </c>
      <c r="P4228" t="str">
        <f t="shared" si="661"/>
        <v>Low</v>
      </c>
      <c r="Q4228" t="str">
        <f t="shared" si="662"/>
        <v>Low</v>
      </c>
      <c r="R4228" t="s">
        <v>3317</v>
      </c>
      <c r="S4228" s="4">
        <f t="shared" ca="1" si="663"/>
        <v>640</v>
      </c>
      <c r="T4228">
        <f t="shared" si="664"/>
        <v>1</v>
      </c>
      <c r="U4228">
        <f t="shared" si="665"/>
        <v>1</v>
      </c>
      <c r="V4228">
        <f t="shared" si="666"/>
        <v>1</v>
      </c>
      <c r="W4228">
        <f t="shared" si="667"/>
        <v>1</v>
      </c>
      <c r="X4228">
        <f t="shared" si="668"/>
        <v>0.99999999999999989</v>
      </c>
      <c r="Y4228" t="str">
        <f t="shared" si="669"/>
        <v>Healthy</v>
      </c>
    </row>
    <row r="4229" spans="1:25" x14ac:dyDescent="0.35">
      <c r="A4229" t="s">
        <v>71</v>
      </c>
      <c r="B4229" t="s">
        <v>72</v>
      </c>
      <c r="C4229" t="s">
        <v>73</v>
      </c>
      <c r="D4229" t="s">
        <v>2014</v>
      </c>
      <c r="E4229">
        <v>80867208</v>
      </c>
      <c r="F4229" t="s">
        <v>2688</v>
      </c>
      <c r="G4229" s="3">
        <v>46979</v>
      </c>
      <c r="H4229">
        <v>36</v>
      </c>
      <c r="I4229">
        <v>73</v>
      </c>
      <c r="J4229">
        <v>1</v>
      </c>
      <c r="K4229" s="4">
        <v>2720.14</v>
      </c>
      <c r="L4229" s="4">
        <v>95.285714285714292</v>
      </c>
      <c r="M4229" s="4">
        <v>1.0494752623688154E-2</v>
      </c>
      <c r="N4229" t="s">
        <v>25</v>
      </c>
      <c r="O4229" t="str">
        <f t="shared" si="660"/>
        <v>Low</v>
      </c>
      <c r="P4229" t="str">
        <f t="shared" si="661"/>
        <v>Low</v>
      </c>
      <c r="Q4229" t="str">
        <f t="shared" si="662"/>
        <v>Low</v>
      </c>
      <c r="R4229" t="s">
        <v>3317</v>
      </c>
      <c r="S4229" s="4">
        <f t="shared" ca="1" si="663"/>
        <v>782</v>
      </c>
      <c r="T4229">
        <f t="shared" si="664"/>
        <v>1</v>
      </c>
      <c r="U4229">
        <f t="shared" si="665"/>
        <v>1</v>
      </c>
      <c r="V4229">
        <f t="shared" si="666"/>
        <v>1</v>
      </c>
      <c r="W4229">
        <f t="shared" si="667"/>
        <v>1</v>
      </c>
      <c r="X4229">
        <f t="shared" si="668"/>
        <v>0.99999999999999989</v>
      </c>
      <c r="Y4229" t="str">
        <f t="shared" si="669"/>
        <v>Healthy</v>
      </c>
    </row>
    <row r="4230" spans="1:25" x14ac:dyDescent="0.35">
      <c r="A4230" t="s">
        <v>71</v>
      </c>
      <c r="B4230" t="s">
        <v>72</v>
      </c>
      <c r="C4230" t="s">
        <v>73</v>
      </c>
      <c r="D4230" t="s">
        <v>2014</v>
      </c>
      <c r="E4230">
        <v>80867208</v>
      </c>
      <c r="F4230" t="s">
        <v>2688</v>
      </c>
      <c r="G4230" s="3">
        <v>46974</v>
      </c>
      <c r="H4230">
        <v>36</v>
      </c>
      <c r="I4230">
        <v>72</v>
      </c>
      <c r="J4230">
        <v>3</v>
      </c>
      <c r="K4230" s="4">
        <v>8160.42</v>
      </c>
      <c r="L4230" s="4">
        <v>95.285714285714292</v>
      </c>
      <c r="M4230" s="4">
        <v>3.1484257871064465E-2</v>
      </c>
      <c r="N4230" t="s">
        <v>25</v>
      </c>
      <c r="O4230" t="str">
        <f t="shared" si="660"/>
        <v>Low</v>
      </c>
      <c r="P4230" t="str">
        <f t="shared" si="661"/>
        <v>Low</v>
      </c>
      <c r="Q4230" t="str">
        <f t="shared" si="662"/>
        <v>Low</v>
      </c>
      <c r="R4230" t="s">
        <v>3317</v>
      </c>
      <c r="S4230" s="4">
        <f t="shared" ca="1" si="663"/>
        <v>777</v>
      </c>
      <c r="T4230">
        <f t="shared" si="664"/>
        <v>1</v>
      </c>
      <c r="U4230">
        <f t="shared" si="665"/>
        <v>1</v>
      </c>
      <c r="V4230">
        <f t="shared" si="666"/>
        <v>1</v>
      </c>
      <c r="W4230">
        <f t="shared" si="667"/>
        <v>1</v>
      </c>
      <c r="X4230">
        <f t="shared" si="668"/>
        <v>0.99999999999999989</v>
      </c>
      <c r="Y4230" t="str">
        <f t="shared" si="669"/>
        <v>Healthy</v>
      </c>
    </row>
    <row r="4231" spans="1:25" x14ac:dyDescent="0.35">
      <c r="A4231" t="s">
        <v>71</v>
      </c>
      <c r="B4231" t="s">
        <v>72</v>
      </c>
      <c r="C4231" t="s">
        <v>73</v>
      </c>
      <c r="D4231" t="s">
        <v>2014</v>
      </c>
      <c r="E4231">
        <v>80867208</v>
      </c>
      <c r="F4231" t="s">
        <v>2688</v>
      </c>
      <c r="G4231" s="3">
        <v>46993</v>
      </c>
      <c r="H4231">
        <v>36</v>
      </c>
      <c r="I4231">
        <v>74</v>
      </c>
      <c r="J4231">
        <v>2</v>
      </c>
      <c r="K4231" s="4">
        <v>5440.28</v>
      </c>
      <c r="L4231" s="4">
        <v>95.285714285714292</v>
      </c>
      <c r="M4231" s="4">
        <v>2.0989505247376309E-2</v>
      </c>
      <c r="N4231" t="s">
        <v>25</v>
      </c>
      <c r="O4231" t="str">
        <f t="shared" si="660"/>
        <v>Low</v>
      </c>
      <c r="P4231" t="str">
        <f t="shared" si="661"/>
        <v>Low</v>
      </c>
      <c r="Q4231" t="str">
        <f t="shared" si="662"/>
        <v>Low</v>
      </c>
      <c r="R4231" t="s">
        <v>3317</v>
      </c>
      <c r="S4231" s="4">
        <f t="shared" ca="1" si="663"/>
        <v>796</v>
      </c>
      <c r="T4231">
        <f t="shared" si="664"/>
        <v>1</v>
      </c>
      <c r="U4231">
        <f t="shared" si="665"/>
        <v>1</v>
      </c>
      <c r="V4231">
        <f t="shared" si="666"/>
        <v>1</v>
      </c>
      <c r="W4231">
        <f t="shared" si="667"/>
        <v>1</v>
      </c>
      <c r="X4231">
        <f t="shared" si="668"/>
        <v>0.99999999999999989</v>
      </c>
      <c r="Y4231" t="str">
        <f t="shared" si="669"/>
        <v>Healthy</v>
      </c>
    </row>
    <row r="4232" spans="1:25" x14ac:dyDescent="0.35">
      <c r="A4232" t="s">
        <v>90</v>
      </c>
      <c r="B4232" t="s">
        <v>91</v>
      </c>
      <c r="C4232" t="s">
        <v>478</v>
      </c>
      <c r="D4232" t="s">
        <v>2686</v>
      </c>
      <c r="E4232">
        <v>80887674</v>
      </c>
      <c r="F4232" t="s">
        <v>2687</v>
      </c>
      <c r="G4232" s="3">
        <v>46834</v>
      </c>
      <c r="H4232">
        <v>24</v>
      </c>
      <c r="I4232">
        <v>89</v>
      </c>
      <c r="J4232">
        <v>139</v>
      </c>
      <c r="K4232" s="4">
        <v>17557.09</v>
      </c>
      <c r="L4232" s="4">
        <v>3645.8571428571427</v>
      </c>
      <c r="M4232" s="4">
        <v>3.8125465303083736E-2</v>
      </c>
      <c r="N4232" t="s">
        <v>25</v>
      </c>
      <c r="O4232" t="str">
        <f t="shared" si="660"/>
        <v>Low</v>
      </c>
      <c r="P4232" t="str">
        <f t="shared" si="661"/>
        <v>Low</v>
      </c>
      <c r="Q4232" t="str">
        <f t="shared" si="662"/>
        <v>Low</v>
      </c>
      <c r="R4232" t="s">
        <v>3317</v>
      </c>
      <c r="S4232" s="4">
        <f t="shared" ca="1" si="663"/>
        <v>637</v>
      </c>
      <c r="T4232">
        <f t="shared" si="664"/>
        <v>1</v>
      </c>
      <c r="U4232">
        <f t="shared" si="665"/>
        <v>1</v>
      </c>
      <c r="V4232">
        <f t="shared" si="666"/>
        <v>1</v>
      </c>
      <c r="W4232">
        <f t="shared" si="667"/>
        <v>1</v>
      </c>
      <c r="X4232">
        <f t="shared" si="668"/>
        <v>0.99999999999999989</v>
      </c>
      <c r="Y4232" t="str">
        <f t="shared" si="669"/>
        <v>Healthy</v>
      </c>
    </row>
    <row r="4233" spans="1:25" x14ac:dyDescent="0.35">
      <c r="A4233" t="s">
        <v>90</v>
      </c>
      <c r="B4233" t="s">
        <v>91</v>
      </c>
      <c r="C4233" t="s">
        <v>155</v>
      </c>
      <c r="D4233" t="s">
        <v>2689</v>
      </c>
      <c r="E4233">
        <v>80887278</v>
      </c>
      <c r="F4233" t="s">
        <v>2690</v>
      </c>
      <c r="G4233" s="3">
        <v>46879</v>
      </c>
      <c r="H4233">
        <v>24</v>
      </c>
      <c r="I4233">
        <v>95</v>
      </c>
      <c r="J4233">
        <v>217</v>
      </c>
      <c r="K4233" s="4">
        <v>86797.83</v>
      </c>
      <c r="L4233" s="4">
        <v>379.71428571428572</v>
      </c>
      <c r="M4233" s="4">
        <v>0.57148231753197887</v>
      </c>
      <c r="N4233" t="s">
        <v>25</v>
      </c>
      <c r="O4233" t="str">
        <f t="shared" si="660"/>
        <v>Low</v>
      </c>
      <c r="P4233" t="str">
        <f t="shared" si="661"/>
        <v>Low</v>
      </c>
      <c r="Q4233" t="str">
        <f t="shared" si="662"/>
        <v>Low</v>
      </c>
      <c r="R4233" t="s">
        <v>3310</v>
      </c>
      <c r="S4233" s="4">
        <f t="shared" ca="1" si="663"/>
        <v>682</v>
      </c>
      <c r="T4233">
        <f t="shared" si="664"/>
        <v>1</v>
      </c>
      <c r="U4233">
        <f t="shared" si="665"/>
        <v>1</v>
      </c>
      <c r="V4233">
        <f t="shared" si="666"/>
        <v>1</v>
      </c>
      <c r="W4233">
        <f t="shared" si="667"/>
        <v>2</v>
      </c>
      <c r="X4233">
        <f t="shared" si="668"/>
        <v>1.0999999999999999</v>
      </c>
      <c r="Y4233" t="str">
        <f t="shared" si="669"/>
        <v>Healthy</v>
      </c>
    </row>
    <row r="4234" spans="1:25" x14ac:dyDescent="0.35">
      <c r="A4234" t="s">
        <v>90</v>
      </c>
      <c r="B4234" t="s">
        <v>91</v>
      </c>
      <c r="C4234" t="s">
        <v>155</v>
      </c>
      <c r="D4234" t="s">
        <v>2689</v>
      </c>
      <c r="E4234">
        <v>80887278</v>
      </c>
      <c r="F4234" t="s">
        <v>2690</v>
      </c>
      <c r="G4234" s="3">
        <v>46818</v>
      </c>
      <c r="H4234">
        <v>24</v>
      </c>
      <c r="I4234">
        <v>87</v>
      </c>
      <c r="J4234">
        <v>26</v>
      </c>
      <c r="K4234" s="4">
        <v>10399.74</v>
      </c>
      <c r="L4234" s="4">
        <v>379.71428571428572</v>
      </c>
      <c r="M4234" s="4">
        <v>6.847253574115876E-2</v>
      </c>
      <c r="N4234" t="s">
        <v>25</v>
      </c>
      <c r="O4234" t="str">
        <f t="shared" si="660"/>
        <v>Low</v>
      </c>
      <c r="P4234" t="str">
        <f t="shared" si="661"/>
        <v>Low</v>
      </c>
      <c r="Q4234" t="str">
        <f t="shared" si="662"/>
        <v>Low</v>
      </c>
      <c r="R4234" t="s">
        <v>3317</v>
      </c>
      <c r="S4234" s="4">
        <f t="shared" ca="1" si="663"/>
        <v>621</v>
      </c>
      <c r="T4234">
        <f t="shared" si="664"/>
        <v>1</v>
      </c>
      <c r="U4234">
        <f t="shared" si="665"/>
        <v>1</v>
      </c>
      <c r="V4234">
        <f t="shared" si="666"/>
        <v>1</v>
      </c>
      <c r="W4234">
        <f t="shared" si="667"/>
        <v>1</v>
      </c>
      <c r="X4234">
        <f t="shared" si="668"/>
        <v>0.99999999999999989</v>
      </c>
      <c r="Y4234" t="str">
        <f t="shared" si="669"/>
        <v>Healthy</v>
      </c>
    </row>
    <row r="4235" spans="1:25" x14ac:dyDescent="0.35">
      <c r="A4235" t="s">
        <v>90</v>
      </c>
      <c r="B4235" t="s">
        <v>91</v>
      </c>
      <c r="C4235" t="s">
        <v>155</v>
      </c>
      <c r="D4235" t="s">
        <v>2689</v>
      </c>
      <c r="E4235">
        <v>80887278</v>
      </c>
      <c r="F4235" t="s">
        <v>2690</v>
      </c>
      <c r="G4235" s="3">
        <v>46878</v>
      </c>
      <c r="H4235">
        <v>24</v>
      </c>
      <c r="I4235">
        <v>95</v>
      </c>
      <c r="J4235">
        <v>36</v>
      </c>
      <c r="K4235" s="4">
        <v>14399.64</v>
      </c>
      <c r="L4235" s="4">
        <v>379.71428571428572</v>
      </c>
      <c r="M4235" s="4">
        <v>9.4808126410835206E-2</v>
      </c>
      <c r="N4235" t="s">
        <v>25</v>
      </c>
      <c r="O4235" t="str">
        <f t="shared" si="660"/>
        <v>Low</v>
      </c>
      <c r="P4235" t="str">
        <f t="shared" si="661"/>
        <v>Low</v>
      </c>
      <c r="Q4235" t="str">
        <f t="shared" si="662"/>
        <v>Low</v>
      </c>
      <c r="R4235" t="s">
        <v>3317</v>
      </c>
      <c r="S4235" s="4">
        <f t="shared" ca="1" si="663"/>
        <v>681</v>
      </c>
      <c r="T4235">
        <f t="shared" si="664"/>
        <v>1</v>
      </c>
      <c r="U4235">
        <f t="shared" si="665"/>
        <v>1</v>
      </c>
      <c r="V4235">
        <f t="shared" si="666"/>
        <v>1</v>
      </c>
      <c r="W4235">
        <f t="shared" si="667"/>
        <v>1</v>
      </c>
      <c r="X4235">
        <f t="shared" si="668"/>
        <v>0.99999999999999989</v>
      </c>
      <c r="Y4235" t="str">
        <f t="shared" si="669"/>
        <v>Healthy</v>
      </c>
    </row>
    <row r="4236" spans="1:25" x14ac:dyDescent="0.35">
      <c r="A4236" t="s">
        <v>179</v>
      </c>
      <c r="B4236" t="s">
        <v>223</v>
      </c>
      <c r="C4236" t="s">
        <v>357</v>
      </c>
      <c r="D4236" t="s">
        <v>1820</v>
      </c>
      <c r="E4236">
        <v>80870250</v>
      </c>
      <c r="F4236" t="s">
        <v>2691</v>
      </c>
      <c r="G4236" s="3">
        <v>46513</v>
      </c>
      <c r="H4236">
        <v>18</v>
      </c>
      <c r="I4236">
        <v>59</v>
      </c>
      <c r="J4236">
        <v>977</v>
      </c>
      <c r="K4236" s="4">
        <v>29310</v>
      </c>
      <c r="L4236" s="4">
        <v>555.85714285714289</v>
      </c>
      <c r="M4236" s="4">
        <v>1.7576458493960421</v>
      </c>
      <c r="N4236" t="s">
        <v>25</v>
      </c>
      <c r="O4236" t="str">
        <f t="shared" si="660"/>
        <v>Low</v>
      </c>
      <c r="P4236" t="str">
        <f t="shared" si="661"/>
        <v>Low</v>
      </c>
      <c r="Q4236" t="str">
        <f t="shared" si="662"/>
        <v>Low</v>
      </c>
      <c r="R4236" t="s">
        <v>3317</v>
      </c>
      <c r="S4236" s="4">
        <f t="shared" ca="1" si="663"/>
        <v>316</v>
      </c>
      <c r="T4236">
        <f t="shared" si="664"/>
        <v>1</v>
      </c>
      <c r="U4236">
        <f t="shared" si="665"/>
        <v>1</v>
      </c>
      <c r="V4236">
        <f t="shared" si="666"/>
        <v>1</v>
      </c>
      <c r="W4236">
        <f t="shared" si="667"/>
        <v>1</v>
      </c>
      <c r="X4236">
        <f t="shared" si="668"/>
        <v>0.99999999999999989</v>
      </c>
      <c r="Y4236" t="str">
        <f t="shared" si="669"/>
        <v>Healthy</v>
      </c>
    </row>
    <row r="4237" spans="1:25" x14ac:dyDescent="0.35">
      <c r="A4237" t="s">
        <v>90</v>
      </c>
      <c r="B4237" t="s">
        <v>91</v>
      </c>
      <c r="C4237" t="s">
        <v>155</v>
      </c>
      <c r="D4237" t="s">
        <v>2689</v>
      </c>
      <c r="E4237">
        <v>80887278</v>
      </c>
      <c r="F4237" t="s">
        <v>2690</v>
      </c>
      <c r="G4237" s="3">
        <v>46818</v>
      </c>
      <c r="H4237">
        <v>24</v>
      </c>
      <c r="I4237">
        <v>87</v>
      </c>
      <c r="J4237">
        <v>16</v>
      </c>
      <c r="K4237" s="4">
        <v>6399.84</v>
      </c>
      <c r="L4237" s="4">
        <v>379.71428571428572</v>
      </c>
      <c r="M4237" s="4">
        <v>4.2136945071482315E-2</v>
      </c>
      <c r="N4237" t="s">
        <v>25</v>
      </c>
      <c r="O4237" t="str">
        <f t="shared" si="660"/>
        <v>Low</v>
      </c>
      <c r="P4237" t="str">
        <f t="shared" si="661"/>
        <v>Low</v>
      </c>
      <c r="Q4237" t="str">
        <f t="shared" si="662"/>
        <v>Low</v>
      </c>
      <c r="R4237" t="s">
        <v>3317</v>
      </c>
      <c r="S4237" s="4">
        <f t="shared" ca="1" si="663"/>
        <v>621</v>
      </c>
      <c r="T4237">
        <f t="shared" si="664"/>
        <v>1</v>
      </c>
      <c r="U4237">
        <f t="shared" si="665"/>
        <v>1</v>
      </c>
      <c r="V4237">
        <f t="shared" si="666"/>
        <v>1</v>
      </c>
      <c r="W4237">
        <f t="shared" si="667"/>
        <v>1</v>
      </c>
      <c r="X4237">
        <f t="shared" si="668"/>
        <v>0.99999999999999989</v>
      </c>
      <c r="Y4237" t="str">
        <f t="shared" si="669"/>
        <v>Healthy</v>
      </c>
    </row>
    <row r="4238" spans="1:25" x14ac:dyDescent="0.35">
      <c r="A4238" t="s">
        <v>29</v>
      </c>
      <c r="B4238" t="s">
        <v>30</v>
      </c>
      <c r="C4238" t="s">
        <v>1937</v>
      </c>
      <c r="D4238" t="s">
        <v>2692</v>
      </c>
      <c r="E4238">
        <v>80851511</v>
      </c>
      <c r="F4238" t="s">
        <v>2693</v>
      </c>
      <c r="G4238" s="3">
        <v>47208</v>
      </c>
      <c r="H4238">
        <v>36</v>
      </c>
      <c r="I4238">
        <v>94</v>
      </c>
      <c r="J4238">
        <v>177</v>
      </c>
      <c r="K4238" s="4">
        <v>33244.14</v>
      </c>
      <c r="L4238" s="4">
        <v>29.285714285714285</v>
      </c>
      <c r="M4238" s="4">
        <v>6.0439024390243903</v>
      </c>
      <c r="N4238" t="s">
        <v>19</v>
      </c>
      <c r="O4238" t="str">
        <f t="shared" si="660"/>
        <v>Low</v>
      </c>
      <c r="P4238" t="str">
        <f t="shared" si="661"/>
        <v>Medium</v>
      </c>
      <c r="Q4238" t="str">
        <f t="shared" si="662"/>
        <v>Low</v>
      </c>
      <c r="R4238" t="s">
        <v>3317</v>
      </c>
      <c r="S4238" s="4">
        <f t="shared" ca="1" si="663"/>
        <v>1011</v>
      </c>
      <c r="T4238">
        <f t="shared" si="664"/>
        <v>1</v>
      </c>
      <c r="U4238">
        <f t="shared" si="665"/>
        <v>2</v>
      </c>
      <c r="V4238">
        <f t="shared" si="666"/>
        <v>1</v>
      </c>
      <c r="W4238">
        <f t="shared" si="667"/>
        <v>1</v>
      </c>
      <c r="X4238">
        <f t="shared" si="668"/>
        <v>1.3</v>
      </c>
      <c r="Y4238" t="str">
        <f t="shared" si="669"/>
        <v>Healthy</v>
      </c>
    </row>
    <row r="4239" spans="1:25" x14ac:dyDescent="0.35">
      <c r="A4239" t="s">
        <v>29</v>
      </c>
      <c r="B4239" t="s">
        <v>30</v>
      </c>
      <c r="C4239" t="s">
        <v>1937</v>
      </c>
      <c r="D4239" t="s">
        <v>2692</v>
      </c>
      <c r="E4239">
        <v>80851511</v>
      </c>
      <c r="F4239" t="s">
        <v>2693</v>
      </c>
      <c r="G4239" s="3">
        <v>46878</v>
      </c>
      <c r="H4239">
        <v>36</v>
      </c>
      <c r="I4239">
        <v>64</v>
      </c>
      <c r="J4239">
        <v>40</v>
      </c>
      <c r="K4239" s="4">
        <v>7512.8</v>
      </c>
      <c r="L4239" s="4">
        <v>29.285714285714285</v>
      </c>
      <c r="M4239" s="4">
        <v>1.3658536585365855</v>
      </c>
      <c r="N4239" t="s">
        <v>25</v>
      </c>
      <c r="O4239" t="str">
        <f t="shared" si="660"/>
        <v>Low</v>
      </c>
      <c r="P4239" t="str">
        <f t="shared" si="661"/>
        <v>Low</v>
      </c>
      <c r="Q4239" t="str">
        <f t="shared" si="662"/>
        <v>Low</v>
      </c>
      <c r="R4239" t="s">
        <v>3317</v>
      </c>
      <c r="S4239" s="4">
        <f t="shared" ca="1" si="663"/>
        <v>681</v>
      </c>
      <c r="T4239">
        <f t="shared" si="664"/>
        <v>1</v>
      </c>
      <c r="U4239">
        <f t="shared" si="665"/>
        <v>1</v>
      </c>
      <c r="V4239">
        <f t="shared" si="666"/>
        <v>1</v>
      </c>
      <c r="W4239">
        <f t="shared" si="667"/>
        <v>1</v>
      </c>
      <c r="X4239">
        <f t="shared" si="668"/>
        <v>0.99999999999999989</v>
      </c>
      <c r="Y4239" t="str">
        <f t="shared" si="669"/>
        <v>Healthy</v>
      </c>
    </row>
    <row r="4240" spans="1:25" x14ac:dyDescent="0.35">
      <c r="A4240" t="s">
        <v>90</v>
      </c>
      <c r="B4240" t="s">
        <v>970</v>
      </c>
      <c r="C4240" t="s">
        <v>971</v>
      </c>
      <c r="D4240" t="s">
        <v>972</v>
      </c>
      <c r="E4240">
        <v>80870015</v>
      </c>
      <c r="F4240" t="s">
        <v>2694</v>
      </c>
      <c r="G4240" s="3">
        <v>46795</v>
      </c>
      <c r="H4240">
        <v>24</v>
      </c>
      <c r="I4240">
        <v>84</v>
      </c>
      <c r="J4240">
        <v>376</v>
      </c>
      <c r="K4240" s="4">
        <v>55407.360000000001</v>
      </c>
      <c r="L4240" s="4">
        <v>1094.7142857142858</v>
      </c>
      <c r="M4240" s="4">
        <v>0.34346861542476836</v>
      </c>
      <c r="N4240" t="s">
        <v>25</v>
      </c>
      <c r="O4240" t="str">
        <f t="shared" si="660"/>
        <v>Low</v>
      </c>
      <c r="P4240" t="str">
        <f t="shared" si="661"/>
        <v>Low</v>
      </c>
      <c r="Q4240" t="str">
        <f t="shared" si="662"/>
        <v>Low</v>
      </c>
      <c r="R4240" t="s">
        <v>3317</v>
      </c>
      <c r="S4240" s="4">
        <f t="shared" ca="1" si="663"/>
        <v>598</v>
      </c>
      <c r="T4240">
        <f t="shared" si="664"/>
        <v>1</v>
      </c>
      <c r="U4240">
        <f t="shared" si="665"/>
        <v>1</v>
      </c>
      <c r="V4240">
        <f t="shared" si="666"/>
        <v>1</v>
      </c>
      <c r="W4240">
        <f t="shared" si="667"/>
        <v>1</v>
      </c>
      <c r="X4240">
        <f t="shared" si="668"/>
        <v>0.99999999999999989</v>
      </c>
      <c r="Y4240" t="str">
        <f t="shared" si="669"/>
        <v>Healthy</v>
      </c>
    </row>
    <row r="4241" spans="1:25" x14ac:dyDescent="0.35">
      <c r="A4241" t="s">
        <v>41</v>
      </c>
      <c r="B4241" t="s">
        <v>54</v>
      </c>
      <c r="C4241" t="s">
        <v>87</v>
      </c>
      <c r="D4241" t="s">
        <v>88</v>
      </c>
      <c r="E4241">
        <v>80876625</v>
      </c>
      <c r="F4241" t="s">
        <v>2695</v>
      </c>
      <c r="G4241" s="3">
        <v>46960</v>
      </c>
      <c r="H4241">
        <v>36</v>
      </c>
      <c r="I4241">
        <v>71</v>
      </c>
      <c r="J4241">
        <v>12</v>
      </c>
      <c r="K4241" s="4">
        <v>11879.64</v>
      </c>
      <c r="L4241" s="4">
        <f>0</f>
        <v>0</v>
      </c>
      <c r="M4241" s="4">
        <f>999</f>
        <v>999</v>
      </c>
      <c r="N4241" t="s">
        <v>19</v>
      </c>
      <c r="O4241" t="str">
        <f t="shared" si="660"/>
        <v>Low</v>
      </c>
      <c r="P4241" t="str">
        <f t="shared" si="661"/>
        <v>High</v>
      </c>
      <c r="Q4241" t="str">
        <f t="shared" si="662"/>
        <v>High</v>
      </c>
      <c r="R4241" t="s">
        <v>3317</v>
      </c>
      <c r="S4241" s="4">
        <f t="shared" ca="1" si="663"/>
        <v>763</v>
      </c>
      <c r="T4241">
        <f t="shared" si="664"/>
        <v>1</v>
      </c>
      <c r="U4241">
        <f t="shared" si="665"/>
        <v>3</v>
      </c>
      <c r="V4241">
        <f t="shared" si="666"/>
        <v>3</v>
      </c>
      <c r="W4241">
        <f t="shared" si="667"/>
        <v>1</v>
      </c>
      <c r="X4241">
        <f t="shared" si="668"/>
        <v>2</v>
      </c>
      <c r="Y4241" t="str">
        <f t="shared" si="669"/>
        <v>Monitor</v>
      </c>
    </row>
    <row r="4242" spans="1:25" x14ac:dyDescent="0.35">
      <c r="A4242" t="s">
        <v>90</v>
      </c>
      <c r="B4242" t="s">
        <v>970</v>
      </c>
      <c r="C4242" t="s">
        <v>971</v>
      </c>
      <c r="D4242" t="s">
        <v>972</v>
      </c>
      <c r="E4242">
        <v>80870015</v>
      </c>
      <c r="F4242" t="s">
        <v>2694</v>
      </c>
      <c r="G4242" s="3">
        <v>46707</v>
      </c>
      <c r="H4242">
        <v>24</v>
      </c>
      <c r="I4242">
        <v>72</v>
      </c>
      <c r="J4242">
        <v>28</v>
      </c>
      <c r="K4242" s="4">
        <v>4126.08</v>
      </c>
      <c r="L4242" s="4">
        <v>1094.7142857142858</v>
      </c>
      <c r="M4242" s="4">
        <v>2.5577450084823174E-2</v>
      </c>
      <c r="N4242" t="s">
        <v>25</v>
      </c>
      <c r="O4242" t="str">
        <f t="shared" si="660"/>
        <v>Low</v>
      </c>
      <c r="P4242" t="str">
        <f t="shared" si="661"/>
        <v>Low</v>
      </c>
      <c r="Q4242" t="str">
        <f t="shared" si="662"/>
        <v>Low</v>
      </c>
      <c r="R4242" t="s">
        <v>3317</v>
      </c>
      <c r="S4242" s="4">
        <f t="shared" ca="1" si="663"/>
        <v>510</v>
      </c>
      <c r="T4242">
        <f t="shared" si="664"/>
        <v>1</v>
      </c>
      <c r="U4242">
        <f t="shared" si="665"/>
        <v>1</v>
      </c>
      <c r="V4242">
        <f t="shared" si="666"/>
        <v>1</v>
      </c>
      <c r="W4242">
        <f t="shared" si="667"/>
        <v>1</v>
      </c>
      <c r="X4242">
        <f t="shared" si="668"/>
        <v>0.99999999999999989</v>
      </c>
      <c r="Y4242" t="str">
        <f t="shared" si="669"/>
        <v>Healthy</v>
      </c>
    </row>
    <row r="4243" spans="1:25" x14ac:dyDescent="0.35">
      <c r="A4243" t="s">
        <v>46</v>
      </c>
      <c r="B4243" t="s">
        <v>47</v>
      </c>
      <c r="C4243" t="s">
        <v>84</v>
      </c>
      <c r="D4243" t="s">
        <v>2696</v>
      </c>
      <c r="E4243">
        <v>80862825</v>
      </c>
      <c r="F4243" t="s">
        <v>2697</v>
      </c>
      <c r="G4243" s="3">
        <v>47214</v>
      </c>
      <c r="H4243">
        <v>36</v>
      </c>
      <c r="I4243">
        <v>95</v>
      </c>
      <c r="J4243">
        <v>1287</v>
      </c>
      <c r="K4243" s="4">
        <v>44118.36</v>
      </c>
      <c r="L4243" s="4">
        <v>5296.2857142857147</v>
      </c>
      <c r="M4243" s="4">
        <v>0.24300048551545556</v>
      </c>
      <c r="N4243" t="s">
        <v>25</v>
      </c>
      <c r="O4243" t="str">
        <f t="shared" si="660"/>
        <v>Low</v>
      </c>
      <c r="P4243" t="str">
        <f t="shared" si="661"/>
        <v>Low</v>
      </c>
      <c r="Q4243" t="str">
        <f t="shared" si="662"/>
        <v>Low</v>
      </c>
      <c r="R4243" t="s">
        <v>3317</v>
      </c>
      <c r="S4243" s="4">
        <f t="shared" ca="1" si="663"/>
        <v>1017</v>
      </c>
      <c r="T4243">
        <f t="shared" si="664"/>
        <v>1</v>
      </c>
      <c r="U4243">
        <f t="shared" si="665"/>
        <v>1</v>
      </c>
      <c r="V4243">
        <f t="shared" si="666"/>
        <v>1</v>
      </c>
      <c r="W4243">
        <f t="shared" si="667"/>
        <v>1</v>
      </c>
      <c r="X4243">
        <f t="shared" si="668"/>
        <v>0.99999999999999989</v>
      </c>
      <c r="Y4243" t="str">
        <f t="shared" si="669"/>
        <v>Healthy</v>
      </c>
    </row>
    <row r="4244" spans="1:25" x14ac:dyDescent="0.35">
      <c r="A4244" t="s">
        <v>90</v>
      </c>
      <c r="B4244" t="s">
        <v>970</v>
      </c>
      <c r="C4244" t="s">
        <v>971</v>
      </c>
      <c r="D4244" t="s">
        <v>972</v>
      </c>
      <c r="E4244">
        <v>80870015</v>
      </c>
      <c r="F4244" t="s">
        <v>2694</v>
      </c>
      <c r="G4244" s="3">
        <v>46773</v>
      </c>
      <c r="H4244">
        <v>24</v>
      </c>
      <c r="I4244">
        <v>81</v>
      </c>
      <c r="J4244">
        <v>330</v>
      </c>
      <c r="K4244" s="4">
        <v>48628.800000000003</v>
      </c>
      <c r="L4244" s="4">
        <v>1094.7142857142858</v>
      </c>
      <c r="M4244" s="4">
        <v>0.30144851885684454</v>
      </c>
      <c r="N4244" t="s">
        <v>25</v>
      </c>
      <c r="O4244" t="str">
        <f t="shared" si="660"/>
        <v>Low</v>
      </c>
      <c r="P4244" t="str">
        <f t="shared" si="661"/>
        <v>Low</v>
      </c>
      <c r="Q4244" t="str">
        <f t="shared" si="662"/>
        <v>Low</v>
      </c>
      <c r="R4244" t="s">
        <v>3317</v>
      </c>
      <c r="S4244" s="4">
        <f t="shared" ca="1" si="663"/>
        <v>576</v>
      </c>
      <c r="T4244">
        <f t="shared" si="664"/>
        <v>1</v>
      </c>
      <c r="U4244">
        <f t="shared" si="665"/>
        <v>1</v>
      </c>
      <c r="V4244">
        <f t="shared" si="666"/>
        <v>1</v>
      </c>
      <c r="W4244">
        <f t="shared" si="667"/>
        <v>1</v>
      </c>
      <c r="X4244">
        <f t="shared" si="668"/>
        <v>0.99999999999999989</v>
      </c>
      <c r="Y4244" t="str">
        <f t="shared" si="669"/>
        <v>Healthy</v>
      </c>
    </row>
    <row r="4245" spans="1:25" x14ac:dyDescent="0.35">
      <c r="A4245" t="s">
        <v>90</v>
      </c>
      <c r="B4245" t="s">
        <v>970</v>
      </c>
      <c r="C4245" t="s">
        <v>971</v>
      </c>
      <c r="D4245" t="s">
        <v>972</v>
      </c>
      <c r="E4245">
        <v>80870015</v>
      </c>
      <c r="F4245" t="s">
        <v>2694</v>
      </c>
      <c r="G4245" s="3">
        <v>46728</v>
      </c>
      <c r="H4245">
        <v>24</v>
      </c>
      <c r="I4245">
        <v>74</v>
      </c>
      <c r="J4245">
        <v>10</v>
      </c>
      <c r="K4245" s="4">
        <v>1473.6</v>
      </c>
      <c r="L4245" s="4">
        <v>1094.7142857142858</v>
      </c>
      <c r="M4245" s="4">
        <v>9.1348036017225628E-3</v>
      </c>
      <c r="N4245" t="s">
        <v>25</v>
      </c>
      <c r="O4245" t="str">
        <f t="shared" si="660"/>
        <v>Low</v>
      </c>
      <c r="P4245" t="str">
        <f t="shared" si="661"/>
        <v>Low</v>
      </c>
      <c r="Q4245" t="str">
        <f t="shared" si="662"/>
        <v>Low</v>
      </c>
      <c r="R4245" t="s">
        <v>3317</v>
      </c>
      <c r="S4245" s="4">
        <f t="shared" ca="1" si="663"/>
        <v>531</v>
      </c>
      <c r="T4245">
        <f t="shared" si="664"/>
        <v>1</v>
      </c>
      <c r="U4245">
        <f t="shared" si="665"/>
        <v>1</v>
      </c>
      <c r="V4245">
        <f t="shared" si="666"/>
        <v>1</v>
      </c>
      <c r="W4245">
        <f t="shared" si="667"/>
        <v>1</v>
      </c>
      <c r="X4245">
        <f t="shared" si="668"/>
        <v>0.99999999999999989</v>
      </c>
      <c r="Y4245" t="str">
        <f t="shared" si="669"/>
        <v>Healthy</v>
      </c>
    </row>
    <row r="4246" spans="1:25" x14ac:dyDescent="0.35">
      <c r="A4246" t="s">
        <v>20</v>
      </c>
      <c r="B4246" t="s">
        <v>21</v>
      </c>
      <c r="C4246" t="s">
        <v>51</v>
      </c>
      <c r="D4246" t="s">
        <v>793</v>
      </c>
      <c r="E4246">
        <v>80866082</v>
      </c>
      <c r="F4246" t="s">
        <v>2698</v>
      </c>
      <c r="G4246" s="3">
        <v>46983</v>
      </c>
      <c r="H4246">
        <v>36</v>
      </c>
      <c r="I4246">
        <v>73</v>
      </c>
      <c r="J4246">
        <v>1</v>
      </c>
      <c r="K4246" s="4">
        <v>112</v>
      </c>
      <c r="L4246" s="4">
        <v>52.142857142857146</v>
      </c>
      <c r="M4246" s="4">
        <v>1.9178082191780819E-2</v>
      </c>
      <c r="N4246" t="s">
        <v>25</v>
      </c>
      <c r="O4246" t="str">
        <f t="shared" si="660"/>
        <v>Low</v>
      </c>
      <c r="P4246" t="str">
        <f t="shared" si="661"/>
        <v>Low</v>
      </c>
      <c r="Q4246" t="str">
        <f t="shared" si="662"/>
        <v>Low</v>
      </c>
      <c r="R4246" t="s">
        <v>3317</v>
      </c>
      <c r="S4246" s="4">
        <f t="shared" ca="1" si="663"/>
        <v>786</v>
      </c>
      <c r="T4246">
        <f t="shared" si="664"/>
        <v>1</v>
      </c>
      <c r="U4246">
        <f t="shared" si="665"/>
        <v>1</v>
      </c>
      <c r="V4246">
        <f t="shared" si="666"/>
        <v>1</v>
      </c>
      <c r="W4246">
        <f t="shared" si="667"/>
        <v>1</v>
      </c>
      <c r="X4246">
        <f t="shared" si="668"/>
        <v>0.99999999999999989</v>
      </c>
      <c r="Y4246" t="str">
        <f t="shared" si="669"/>
        <v>Healthy</v>
      </c>
    </row>
    <row r="4247" spans="1:25" x14ac:dyDescent="0.35">
      <c r="A4247" t="s">
        <v>189</v>
      </c>
      <c r="B4247" t="s">
        <v>190</v>
      </c>
      <c r="C4247" t="s">
        <v>190</v>
      </c>
      <c r="D4247" t="s">
        <v>2178</v>
      </c>
      <c r="E4247">
        <v>80866102</v>
      </c>
      <c r="F4247" t="s">
        <v>2699</v>
      </c>
      <c r="G4247" s="3">
        <v>46605</v>
      </c>
      <c r="H4247">
        <v>18</v>
      </c>
      <c r="I4247">
        <v>76</v>
      </c>
      <c r="J4247">
        <v>1472</v>
      </c>
      <c r="K4247" s="4">
        <v>120277.12</v>
      </c>
      <c r="L4247" s="4">
        <v>34043.285714285717</v>
      </c>
      <c r="M4247" s="4">
        <v>4.3239069587877613E-2</v>
      </c>
      <c r="N4247" t="s">
        <v>25</v>
      </c>
      <c r="O4247" t="str">
        <f t="shared" si="660"/>
        <v>Low</v>
      </c>
      <c r="P4247" t="str">
        <f t="shared" si="661"/>
        <v>Low</v>
      </c>
      <c r="Q4247" t="str">
        <f t="shared" si="662"/>
        <v>Low</v>
      </c>
      <c r="R4247" t="s">
        <v>3310</v>
      </c>
      <c r="S4247" s="4">
        <f t="shared" ca="1" si="663"/>
        <v>408</v>
      </c>
      <c r="T4247">
        <f t="shared" si="664"/>
        <v>1</v>
      </c>
      <c r="U4247">
        <f t="shared" si="665"/>
        <v>1</v>
      </c>
      <c r="V4247">
        <f t="shared" si="666"/>
        <v>1</v>
      </c>
      <c r="W4247">
        <f t="shared" si="667"/>
        <v>2</v>
      </c>
      <c r="X4247">
        <f t="shared" si="668"/>
        <v>1.0999999999999999</v>
      </c>
      <c r="Y4247" t="str">
        <f t="shared" si="669"/>
        <v>Healthy</v>
      </c>
    </row>
    <row r="4248" spans="1:25" x14ac:dyDescent="0.35">
      <c r="A4248" t="s">
        <v>20</v>
      </c>
      <c r="B4248" t="s">
        <v>21</v>
      </c>
      <c r="C4248" t="s">
        <v>51</v>
      </c>
      <c r="D4248" t="s">
        <v>793</v>
      </c>
      <c r="E4248">
        <v>80866082</v>
      </c>
      <c r="F4248" t="s">
        <v>2698</v>
      </c>
      <c r="G4248" s="3">
        <v>46574</v>
      </c>
      <c r="H4248">
        <v>36</v>
      </c>
      <c r="I4248">
        <v>35</v>
      </c>
      <c r="J4248">
        <v>33</v>
      </c>
      <c r="K4248" s="4">
        <v>3696</v>
      </c>
      <c r="L4248" s="4">
        <v>52.142857142857146</v>
      </c>
      <c r="M4248" s="4">
        <v>0.63287671232876708</v>
      </c>
      <c r="N4248" t="s">
        <v>25</v>
      </c>
      <c r="O4248" t="str">
        <f t="shared" si="660"/>
        <v>Medium</v>
      </c>
      <c r="P4248" t="str">
        <f t="shared" si="661"/>
        <v>Low</v>
      </c>
      <c r="Q4248" t="str">
        <f t="shared" si="662"/>
        <v>Low</v>
      </c>
      <c r="R4248" t="s">
        <v>3317</v>
      </c>
      <c r="S4248" s="4">
        <f t="shared" ca="1" si="663"/>
        <v>377</v>
      </c>
      <c r="T4248">
        <f t="shared" si="664"/>
        <v>2</v>
      </c>
      <c r="U4248">
        <f t="shared" si="665"/>
        <v>1</v>
      </c>
      <c r="V4248">
        <f t="shared" si="666"/>
        <v>1</v>
      </c>
      <c r="W4248">
        <f t="shared" si="667"/>
        <v>1</v>
      </c>
      <c r="X4248">
        <f t="shared" si="668"/>
        <v>1.4000000000000001</v>
      </c>
      <c r="Y4248" t="str">
        <f t="shared" si="669"/>
        <v>Healthy</v>
      </c>
    </row>
    <row r="4249" spans="1:25" x14ac:dyDescent="0.35">
      <c r="A4249" t="s">
        <v>20</v>
      </c>
      <c r="B4249" t="s">
        <v>21</v>
      </c>
      <c r="C4249" t="s">
        <v>51</v>
      </c>
      <c r="D4249" t="s">
        <v>793</v>
      </c>
      <c r="E4249">
        <v>80866082</v>
      </c>
      <c r="F4249" t="s">
        <v>2698</v>
      </c>
      <c r="G4249" s="3">
        <v>46987</v>
      </c>
      <c r="H4249">
        <v>36</v>
      </c>
      <c r="I4249">
        <v>74</v>
      </c>
      <c r="J4249">
        <v>2</v>
      </c>
      <c r="K4249" s="4">
        <v>224</v>
      </c>
      <c r="L4249" s="4">
        <v>52.142857142857146</v>
      </c>
      <c r="M4249" s="4">
        <v>3.8356164383561639E-2</v>
      </c>
      <c r="N4249" t="s">
        <v>25</v>
      </c>
      <c r="O4249" t="str">
        <f t="shared" si="660"/>
        <v>Low</v>
      </c>
      <c r="P4249" t="str">
        <f t="shared" si="661"/>
        <v>Low</v>
      </c>
      <c r="Q4249" t="str">
        <f t="shared" si="662"/>
        <v>Low</v>
      </c>
      <c r="R4249" t="s">
        <v>3317</v>
      </c>
      <c r="S4249" s="4">
        <f t="shared" ca="1" si="663"/>
        <v>790</v>
      </c>
      <c r="T4249">
        <f t="shared" si="664"/>
        <v>1</v>
      </c>
      <c r="U4249">
        <f t="shared" si="665"/>
        <v>1</v>
      </c>
      <c r="V4249">
        <f t="shared" si="666"/>
        <v>1</v>
      </c>
      <c r="W4249">
        <f t="shared" si="667"/>
        <v>1</v>
      </c>
      <c r="X4249">
        <f t="shared" si="668"/>
        <v>0.99999999999999989</v>
      </c>
      <c r="Y4249" t="str">
        <f t="shared" si="669"/>
        <v>Healthy</v>
      </c>
    </row>
    <row r="4250" spans="1:25" x14ac:dyDescent="0.35">
      <c r="A4250" t="s">
        <v>14</v>
      </c>
      <c r="B4250" t="s">
        <v>15</v>
      </c>
      <c r="C4250" t="s">
        <v>34</v>
      </c>
      <c r="D4250" t="s">
        <v>2700</v>
      </c>
      <c r="E4250">
        <v>80869124</v>
      </c>
      <c r="F4250" t="s">
        <v>2701</v>
      </c>
      <c r="G4250" s="3">
        <v>47680</v>
      </c>
      <c r="H4250">
        <v>60</v>
      </c>
      <c r="I4250">
        <v>83</v>
      </c>
      <c r="J4250">
        <v>265</v>
      </c>
      <c r="K4250" s="4">
        <v>89305.31</v>
      </c>
      <c r="L4250" s="4">
        <v>23.714285714285715</v>
      </c>
      <c r="M4250" s="4">
        <v>11.174698795180722</v>
      </c>
      <c r="N4250" t="s">
        <v>19</v>
      </c>
      <c r="O4250" t="str">
        <f t="shared" si="660"/>
        <v>Low</v>
      </c>
      <c r="P4250" t="str">
        <f t="shared" si="661"/>
        <v>High</v>
      </c>
      <c r="Q4250" t="str">
        <f t="shared" si="662"/>
        <v>Low</v>
      </c>
      <c r="R4250" t="s">
        <v>3310</v>
      </c>
      <c r="S4250" s="4">
        <f t="shared" ca="1" si="663"/>
        <v>1483</v>
      </c>
      <c r="T4250">
        <f t="shared" si="664"/>
        <v>1</v>
      </c>
      <c r="U4250">
        <f t="shared" si="665"/>
        <v>3</v>
      </c>
      <c r="V4250">
        <f t="shared" si="666"/>
        <v>1</v>
      </c>
      <c r="W4250">
        <f t="shared" si="667"/>
        <v>2</v>
      </c>
      <c r="X4250">
        <f t="shared" si="668"/>
        <v>1.6999999999999997</v>
      </c>
      <c r="Y4250" t="str">
        <f t="shared" si="669"/>
        <v>Monitor</v>
      </c>
    </row>
    <row r="4251" spans="1:25" x14ac:dyDescent="0.35">
      <c r="A4251" t="s">
        <v>14</v>
      </c>
      <c r="B4251" t="s">
        <v>15</v>
      </c>
      <c r="C4251" t="s">
        <v>34</v>
      </c>
      <c r="D4251" t="s">
        <v>2700</v>
      </c>
      <c r="E4251">
        <v>80869124</v>
      </c>
      <c r="F4251" t="s">
        <v>2701</v>
      </c>
      <c r="G4251" s="3">
        <v>47677</v>
      </c>
      <c r="H4251">
        <v>60</v>
      </c>
      <c r="I4251">
        <v>83</v>
      </c>
      <c r="J4251">
        <v>261</v>
      </c>
      <c r="K4251" s="4">
        <v>86649.39</v>
      </c>
      <c r="L4251" s="4">
        <v>23.714285714285715</v>
      </c>
      <c r="M4251" s="4">
        <v>11.006024096385541</v>
      </c>
      <c r="N4251" t="s">
        <v>19</v>
      </c>
      <c r="O4251" t="str">
        <f t="shared" si="660"/>
        <v>Low</v>
      </c>
      <c r="P4251" t="str">
        <f t="shared" si="661"/>
        <v>High</v>
      </c>
      <c r="Q4251" t="str">
        <f t="shared" si="662"/>
        <v>Low</v>
      </c>
      <c r="R4251" t="s">
        <v>3310</v>
      </c>
      <c r="S4251" s="4">
        <f t="shared" ca="1" si="663"/>
        <v>1480</v>
      </c>
      <c r="T4251">
        <f t="shared" si="664"/>
        <v>1</v>
      </c>
      <c r="U4251">
        <f t="shared" si="665"/>
        <v>3</v>
      </c>
      <c r="V4251">
        <f t="shared" si="666"/>
        <v>1</v>
      </c>
      <c r="W4251">
        <f t="shared" si="667"/>
        <v>2</v>
      </c>
      <c r="X4251">
        <f t="shared" si="668"/>
        <v>1.6999999999999997</v>
      </c>
      <c r="Y4251" t="str">
        <f t="shared" si="669"/>
        <v>Monitor</v>
      </c>
    </row>
    <row r="4252" spans="1:25" x14ac:dyDescent="0.35">
      <c r="A4252" t="s">
        <v>14</v>
      </c>
      <c r="B4252" t="s">
        <v>15</v>
      </c>
      <c r="C4252" t="s">
        <v>34</v>
      </c>
      <c r="D4252" t="s">
        <v>2700</v>
      </c>
      <c r="E4252">
        <v>80869124</v>
      </c>
      <c r="F4252" t="s">
        <v>2701</v>
      </c>
      <c r="G4252" s="3">
        <v>47666</v>
      </c>
      <c r="H4252">
        <v>60</v>
      </c>
      <c r="I4252">
        <v>82</v>
      </c>
      <c r="J4252">
        <v>11</v>
      </c>
      <c r="K4252" s="4">
        <v>3651.89</v>
      </c>
      <c r="L4252" s="4">
        <v>23.714285714285715</v>
      </c>
      <c r="M4252" s="4">
        <v>0.46385542168674698</v>
      </c>
      <c r="N4252" t="s">
        <v>25</v>
      </c>
      <c r="O4252" t="str">
        <f t="shared" si="660"/>
        <v>Low</v>
      </c>
      <c r="P4252" t="str">
        <f t="shared" si="661"/>
        <v>Low</v>
      </c>
      <c r="Q4252" t="str">
        <f t="shared" si="662"/>
        <v>Low</v>
      </c>
      <c r="R4252" t="s">
        <v>3317</v>
      </c>
      <c r="S4252" s="4">
        <f t="shared" ca="1" si="663"/>
        <v>1469</v>
      </c>
      <c r="T4252">
        <f t="shared" si="664"/>
        <v>1</v>
      </c>
      <c r="U4252">
        <f t="shared" si="665"/>
        <v>1</v>
      </c>
      <c r="V4252">
        <f t="shared" si="666"/>
        <v>1</v>
      </c>
      <c r="W4252">
        <f t="shared" si="667"/>
        <v>1</v>
      </c>
      <c r="X4252">
        <f t="shared" si="668"/>
        <v>0.99999999999999989</v>
      </c>
      <c r="Y4252" t="str">
        <f t="shared" si="669"/>
        <v>Healthy</v>
      </c>
    </row>
    <row r="4253" spans="1:25" x14ac:dyDescent="0.35">
      <c r="A4253" t="s">
        <v>179</v>
      </c>
      <c r="B4253" t="s">
        <v>180</v>
      </c>
      <c r="C4253" t="s">
        <v>181</v>
      </c>
      <c r="D4253" t="s">
        <v>2702</v>
      </c>
      <c r="E4253">
        <v>83901669</v>
      </c>
      <c r="F4253" t="s">
        <v>2703</v>
      </c>
      <c r="G4253" s="3">
        <v>46558</v>
      </c>
      <c r="H4253">
        <v>16</v>
      </c>
      <c r="I4253">
        <v>76</v>
      </c>
      <c r="J4253">
        <v>331</v>
      </c>
      <c r="K4253" s="4">
        <v>251553.38</v>
      </c>
      <c r="L4253" s="4">
        <v>33261.714285714283</v>
      </c>
      <c r="M4253" s="4">
        <v>9.951381253435955E-3</v>
      </c>
      <c r="N4253" t="s">
        <v>25</v>
      </c>
      <c r="O4253" t="str">
        <f t="shared" si="660"/>
        <v>Low</v>
      </c>
      <c r="P4253" t="str">
        <f t="shared" si="661"/>
        <v>Low</v>
      </c>
      <c r="Q4253" t="str">
        <f t="shared" si="662"/>
        <v>Low</v>
      </c>
      <c r="R4253" t="s">
        <v>3309</v>
      </c>
      <c r="S4253" s="4">
        <f t="shared" ca="1" si="663"/>
        <v>361</v>
      </c>
      <c r="T4253">
        <f t="shared" si="664"/>
        <v>1</v>
      </c>
      <c r="U4253">
        <f t="shared" si="665"/>
        <v>1</v>
      </c>
      <c r="V4253">
        <f t="shared" si="666"/>
        <v>1</v>
      </c>
      <c r="W4253">
        <f t="shared" si="667"/>
        <v>3</v>
      </c>
      <c r="X4253">
        <f t="shared" si="668"/>
        <v>1.2</v>
      </c>
      <c r="Y4253" t="str">
        <f t="shared" si="669"/>
        <v>Healthy</v>
      </c>
    </row>
    <row r="4254" spans="1:25" x14ac:dyDescent="0.35">
      <c r="A4254" t="s">
        <v>14</v>
      </c>
      <c r="B4254" t="s">
        <v>15</v>
      </c>
      <c r="C4254" t="s">
        <v>34</v>
      </c>
      <c r="D4254" t="s">
        <v>2700</v>
      </c>
      <c r="E4254">
        <v>80869124</v>
      </c>
      <c r="F4254" t="s">
        <v>2701</v>
      </c>
      <c r="G4254" s="3">
        <v>47683</v>
      </c>
      <c r="H4254">
        <v>60</v>
      </c>
      <c r="I4254">
        <v>83</v>
      </c>
      <c r="J4254">
        <v>16</v>
      </c>
      <c r="K4254" s="4">
        <v>5311.84</v>
      </c>
      <c r="L4254" s="4">
        <v>23.714285714285715</v>
      </c>
      <c r="M4254" s="4">
        <v>0.67469879518072284</v>
      </c>
      <c r="N4254" t="s">
        <v>25</v>
      </c>
      <c r="O4254" t="str">
        <f t="shared" si="660"/>
        <v>Low</v>
      </c>
      <c r="P4254" t="str">
        <f t="shared" si="661"/>
        <v>Low</v>
      </c>
      <c r="Q4254" t="str">
        <f t="shared" si="662"/>
        <v>Low</v>
      </c>
      <c r="R4254" t="s">
        <v>3317</v>
      </c>
      <c r="S4254" s="4">
        <f t="shared" ca="1" si="663"/>
        <v>1486</v>
      </c>
      <c r="T4254">
        <f t="shared" si="664"/>
        <v>1</v>
      </c>
      <c r="U4254">
        <f t="shared" si="665"/>
        <v>1</v>
      </c>
      <c r="V4254">
        <f t="shared" si="666"/>
        <v>1</v>
      </c>
      <c r="W4254">
        <f t="shared" si="667"/>
        <v>1</v>
      </c>
      <c r="X4254">
        <f t="shared" si="668"/>
        <v>0.99999999999999989</v>
      </c>
      <c r="Y4254" t="str">
        <f t="shared" si="669"/>
        <v>Healthy</v>
      </c>
    </row>
    <row r="4255" spans="1:25" x14ac:dyDescent="0.35">
      <c r="A4255" t="s">
        <v>179</v>
      </c>
      <c r="B4255" t="s">
        <v>180</v>
      </c>
      <c r="C4255" t="s">
        <v>181</v>
      </c>
      <c r="D4255" t="s">
        <v>2702</v>
      </c>
      <c r="E4255">
        <v>83901669</v>
      </c>
      <c r="F4255" t="s">
        <v>2703</v>
      </c>
      <c r="G4255" s="3">
        <v>46633</v>
      </c>
      <c r="H4255">
        <v>16</v>
      </c>
      <c r="I4255">
        <v>92</v>
      </c>
      <c r="J4255">
        <v>59</v>
      </c>
      <c r="K4255" s="4">
        <v>44838.82</v>
      </c>
      <c r="L4255" s="4">
        <v>33261.714285714283</v>
      </c>
      <c r="M4255" s="4">
        <v>1.7738111599780101E-3</v>
      </c>
      <c r="N4255" t="s">
        <v>25</v>
      </c>
      <c r="O4255" t="str">
        <f t="shared" si="660"/>
        <v>Low</v>
      </c>
      <c r="P4255" t="str">
        <f t="shared" si="661"/>
        <v>Low</v>
      </c>
      <c r="Q4255" t="str">
        <f t="shared" si="662"/>
        <v>Low</v>
      </c>
      <c r="R4255" t="s">
        <v>3317</v>
      </c>
      <c r="S4255" s="4">
        <f t="shared" ca="1" si="663"/>
        <v>436</v>
      </c>
      <c r="T4255">
        <f t="shared" si="664"/>
        <v>1</v>
      </c>
      <c r="U4255">
        <f t="shared" si="665"/>
        <v>1</v>
      </c>
      <c r="V4255">
        <f t="shared" si="666"/>
        <v>1</v>
      </c>
      <c r="W4255">
        <f t="shared" si="667"/>
        <v>1</v>
      </c>
      <c r="X4255">
        <f t="shared" si="668"/>
        <v>0.99999999999999989</v>
      </c>
      <c r="Y4255" t="str">
        <f t="shared" si="669"/>
        <v>Healthy</v>
      </c>
    </row>
    <row r="4256" spans="1:25" x14ac:dyDescent="0.35">
      <c r="A4256" t="s">
        <v>29</v>
      </c>
      <c r="B4256" t="s">
        <v>30</v>
      </c>
      <c r="C4256" t="s">
        <v>144</v>
      </c>
      <c r="D4256" t="s">
        <v>865</v>
      </c>
      <c r="E4256">
        <v>80823578</v>
      </c>
      <c r="F4256" t="s">
        <v>2704</v>
      </c>
      <c r="G4256" s="3">
        <v>47104</v>
      </c>
      <c r="H4256">
        <v>36</v>
      </c>
      <c r="I4256">
        <v>84</v>
      </c>
      <c r="J4256">
        <v>7</v>
      </c>
      <c r="K4256" s="4">
        <v>3652.04</v>
      </c>
      <c r="L4256" s="4">
        <v>179</v>
      </c>
      <c r="M4256" s="4">
        <v>3.9106145251396648E-2</v>
      </c>
      <c r="N4256" t="s">
        <v>25</v>
      </c>
      <c r="O4256" t="str">
        <f t="shared" si="660"/>
        <v>Low</v>
      </c>
      <c r="P4256" t="str">
        <f t="shared" si="661"/>
        <v>Low</v>
      </c>
      <c r="Q4256" t="str">
        <f t="shared" si="662"/>
        <v>Low</v>
      </c>
      <c r="R4256" t="s">
        <v>3317</v>
      </c>
      <c r="S4256" s="4">
        <f t="shared" ca="1" si="663"/>
        <v>907</v>
      </c>
      <c r="T4256">
        <f t="shared" si="664"/>
        <v>1</v>
      </c>
      <c r="U4256">
        <f t="shared" si="665"/>
        <v>1</v>
      </c>
      <c r="V4256">
        <f t="shared" si="666"/>
        <v>1</v>
      </c>
      <c r="W4256">
        <f t="shared" si="667"/>
        <v>1</v>
      </c>
      <c r="X4256">
        <f t="shared" si="668"/>
        <v>0.99999999999999989</v>
      </c>
      <c r="Y4256" t="str">
        <f t="shared" si="669"/>
        <v>Healthy</v>
      </c>
    </row>
    <row r="4257" spans="1:25" x14ac:dyDescent="0.35">
      <c r="A4257" t="s">
        <v>29</v>
      </c>
      <c r="B4257" t="s">
        <v>30</v>
      </c>
      <c r="C4257" t="s">
        <v>144</v>
      </c>
      <c r="D4257" t="s">
        <v>865</v>
      </c>
      <c r="E4257">
        <v>80823578</v>
      </c>
      <c r="F4257" t="s">
        <v>2704</v>
      </c>
      <c r="G4257" s="3">
        <v>47123</v>
      </c>
      <c r="H4257">
        <v>36</v>
      </c>
      <c r="I4257">
        <v>86</v>
      </c>
      <c r="J4257">
        <v>10</v>
      </c>
      <c r="K4257" s="4">
        <v>5217.2</v>
      </c>
      <c r="L4257" s="4">
        <v>179</v>
      </c>
      <c r="M4257" s="4">
        <v>5.5865921787709494E-2</v>
      </c>
      <c r="N4257" t="s">
        <v>25</v>
      </c>
      <c r="O4257" t="str">
        <f t="shared" si="660"/>
        <v>Low</v>
      </c>
      <c r="P4257" t="str">
        <f t="shared" si="661"/>
        <v>Low</v>
      </c>
      <c r="Q4257" t="str">
        <f t="shared" si="662"/>
        <v>Low</v>
      </c>
      <c r="R4257" t="s">
        <v>3317</v>
      </c>
      <c r="S4257" s="4">
        <f t="shared" ca="1" si="663"/>
        <v>926</v>
      </c>
      <c r="T4257">
        <f t="shared" si="664"/>
        <v>1</v>
      </c>
      <c r="U4257">
        <f t="shared" si="665"/>
        <v>1</v>
      </c>
      <c r="V4257">
        <f t="shared" si="666"/>
        <v>1</v>
      </c>
      <c r="W4257">
        <f t="shared" si="667"/>
        <v>1</v>
      </c>
      <c r="X4257">
        <f t="shared" si="668"/>
        <v>0.99999999999999989</v>
      </c>
      <c r="Y4257" t="str">
        <f t="shared" si="669"/>
        <v>Healthy</v>
      </c>
    </row>
    <row r="4258" spans="1:25" x14ac:dyDescent="0.35">
      <c r="A4258" t="s">
        <v>29</v>
      </c>
      <c r="B4258" t="s">
        <v>30</v>
      </c>
      <c r="C4258" t="s">
        <v>144</v>
      </c>
      <c r="D4258" t="s">
        <v>865</v>
      </c>
      <c r="E4258">
        <v>80823578</v>
      </c>
      <c r="F4258" t="s">
        <v>2704</v>
      </c>
      <c r="G4258" s="3">
        <v>46930</v>
      </c>
      <c r="H4258">
        <v>36</v>
      </c>
      <c r="I4258">
        <v>68</v>
      </c>
      <c r="J4258">
        <v>15</v>
      </c>
      <c r="K4258" s="4">
        <v>7825.8</v>
      </c>
      <c r="L4258" s="4">
        <v>179</v>
      </c>
      <c r="M4258" s="4">
        <v>8.3798882681564241E-2</v>
      </c>
      <c r="N4258" t="s">
        <v>25</v>
      </c>
      <c r="O4258" t="str">
        <f t="shared" si="660"/>
        <v>Low</v>
      </c>
      <c r="P4258" t="str">
        <f t="shared" si="661"/>
        <v>Low</v>
      </c>
      <c r="Q4258" t="str">
        <f t="shared" si="662"/>
        <v>Low</v>
      </c>
      <c r="R4258" t="s">
        <v>3317</v>
      </c>
      <c r="S4258" s="4">
        <f t="shared" ca="1" si="663"/>
        <v>733</v>
      </c>
      <c r="T4258">
        <f t="shared" si="664"/>
        <v>1</v>
      </c>
      <c r="U4258">
        <f t="shared" si="665"/>
        <v>1</v>
      </c>
      <c r="V4258">
        <f t="shared" si="666"/>
        <v>1</v>
      </c>
      <c r="W4258">
        <f t="shared" si="667"/>
        <v>1</v>
      </c>
      <c r="X4258">
        <f t="shared" si="668"/>
        <v>0.99999999999999989</v>
      </c>
      <c r="Y4258" t="str">
        <f t="shared" si="669"/>
        <v>Healthy</v>
      </c>
    </row>
    <row r="4259" spans="1:25" x14ac:dyDescent="0.35">
      <c r="A4259" t="s">
        <v>179</v>
      </c>
      <c r="B4259" t="s">
        <v>180</v>
      </c>
      <c r="C4259" t="s">
        <v>181</v>
      </c>
      <c r="D4259" t="s">
        <v>2702</v>
      </c>
      <c r="E4259">
        <v>83901669</v>
      </c>
      <c r="F4259" t="s">
        <v>2703</v>
      </c>
      <c r="G4259" s="3">
        <v>46574</v>
      </c>
      <c r="H4259">
        <v>16</v>
      </c>
      <c r="I4259">
        <v>80</v>
      </c>
      <c r="J4259">
        <v>32</v>
      </c>
      <c r="K4259" s="4">
        <v>24319.360000000001</v>
      </c>
      <c r="L4259" s="4">
        <v>33261.714285714283</v>
      </c>
      <c r="M4259" s="4">
        <v>9.6206706981858173E-4</v>
      </c>
      <c r="N4259" t="s">
        <v>25</v>
      </c>
      <c r="O4259" t="str">
        <f t="shared" si="660"/>
        <v>Low</v>
      </c>
      <c r="P4259" t="str">
        <f t="shared" si="661"/>
        <v>Low</v>
      </c>
      <c r="Q4259" t="str">
        <f t="shared" si="662"/>
        <v>Low</v>
      </c>
      <c r="R4259" t="s">
        <v>3317</v>
      </c>
      <c r="S4259" s="4">
        <f t="shared" ca="1" si="663"/>
        <v>377</v>
      </c>
      <c r="T4259">
        <f t="shared" si="664"/>
        <v>1</v>
      </c>
      <c r="U4259">
        <f t="shared" si="665"/>
        <v>1</v>
      </c>
      <c r="V4259">
        <f t="shared" si="666"/>
        <v>1</v>
      </c>
      <c r="W4259">
        <f t="shared" si="667"/>
        <v>1</v>
      </c>
      <c r="X4259">
        <f t="shared" si="668"/>
        <v>0.99999999999999989</v>
      </c>
      <c r="Y4259" t="str">
        <f t="shared" si="669"/>
        <v>Healthy</v>
      </c>
    </row>
    <row r="4260" spans="1:25" x14ac:dyDescent="0.35">
      <c r="A4260" t="s">
        <v>29</v>
      </c>
      <c r="B4260" t="s">
        <v>30</v>
      </c>
      <c r="C4260" t="s">
        <v>144</v>
      </c>
      <c r="D4260" t="s">
        <v>865</v>
      </c>
      <c r="E4260">
        <v>80823578</v>
      </c>
      <c r="F4260" t="s">
        <v>2704</v>
      </c>
      <c r="G4260" s="3">
        <v>47104</v>
      </c>
      <c r="H4260">
        <v>36</v>
      </c>
      <c r="I4260">
        <v>84</v>
      </c>
      <c r="J4260">
        <v>5</v>
      </c>
      <c r="K4260" s="4">
        <v>2608.6</v>
      </c>
      <c r="L4260" s="4">
        <v>179</v>
      </c>
      <c r="M4260" s="4">
        <v>2.7932960893854747E-2</v>
      </c>
      <c r="N4260" t="s">
        <v>25</v>
      </c>
      <c r="O4260" t="str">
        <f t="shared" si="660"/>
        <v>Low</v>
      </c>
      <c r="P4260" t="str">
        <f t="shared" si="661"/>
        <v>Low</v>
      </c>
      <c r="Q4260" t="str">
        <f t="shared" si="662"/>
        <v>Low</v>
      </c>
      <c r="R4260" t="s">
        <v>3317</v>
      </c>
      <c r="S4260" s="4">
        <f t="shared" ca="1" si="663"/>
        <v>907</v>
      </c>
      <c r="T4260">
        <f t="shared" si="664"/>
        <v>1</v>
      </c>
      <c r="U4260">
        <f t="shared" si="665"/>
        <v>1</v>
      </c>
      <c r="V4260">
        <f t="shared" si="666"/>
        <v>1</v>
      </c>
      <c r="W4260">
        <f t="shared" si="667"/>
        <v>1</v>
      </c>
      <c r="X4260">
        <f t="shared" si="668"/>
        <v>0.99999999999999989</v>
      </c>
      <c r="Y4260" t="str">
        <f t="shared" si="669"/>
        <v>Healthy</v>
      </c>
    </row>
    <row r="4261" spans="1:25" x14ac:dyDescent="0.35">
      <c r="A4261" t="s">
        <v>29</v>
      </c>
      <c r="B4261" t="s">
        <v>30</v>
      </c>
      <c r="C4261" t="s">
        <v>144</v>
      </c>
      <c r="D4261" t="s">
        <v>865</v>
      </c>
      <c r="E4261">
        <v>80823578</v>
      </c>
      <c r="F4261" t="s">
        <v>2704</v>
      </c>
      <c r="G4261" s="3">
        <v>47034</v>
      </c>
      <c r="H4261">
        <v>36</v>
      </c>
      <c r="I4261">
        <v>78</v>
      </c>
      <c r="J4261">
        <v>15</v>
      </c>
      <c r="K4261" s="4">
        <v>7825.8</v>
      </c>
      <c r="L4261" s="4">
        <v>179</v>
      </c>
      <c r="M4261" s="4">
        <v>8.3798882681564241E-2</v>
      </c>
      <c r="N4261" t="s">
        <v>25</v>
      </c>
      <c r="O4261" t="str">
        <f t="shared" si="660"/>
        <v>Low</v>
      </c>
      <c r="P4261" t="str">
        <f t="shared" si="661"/>
        <v>Low</v>
      </c>
      <c r="Q4261" t="str">
        <f t="shared" si="662"/>
        <v>Low</v>
      </c>
      <c r="R4261" t="s">
        <v>3317</v>
      </c>
      <c r="S4261" s="4">
        <f t="shared" ca="1" si="663"/>
        <v>837</v>
      </c>
      <c r="T4261">
        <f t="shared" si="664"/>
        <v>1</v>
      </c>
      <c r="U4261">
        <f t="shared" si="665"/>
        <v>1</v>
      </c>
      <c r="V4261">
        <f t="shared" si="666"/>
        <v>1</v>
      </c>
      <c r="W4261">
        <f t="shared" si="667"/>
        <v>1</v>
      </c>
      <c r="X4261">
        <f t="shared" si="668"/>
        <v>0.99999999999999989</v>
      </c>
      <c r="Y4261" t="str">
        <f t="shared" si="669"/>
        <v>Healthy</v>
      </c>
    </row>
    <row r="4262" spans="1:25" x14ac:dyDescent="0.35">
      <c r="A4262" t="s">
        <v>29</v>
      </c>
      <c r="B4262" t="s">
        <v>30</v>
      </c>
      <c r="C4262" t="s">
        <v>144</v>
      </c>
      <c r="D4262" t="s">
        <v>865</v>
      </c>
      <c r="E4262">
        <v>80823578</v>
      </c>
      <c r="F4262" t="s">
        <v>2704</v>
      </c>
      <c r="G4262" s="3">
        <v>47123</v>
      </c>
      <c r="H4262">
        <v>36</v>
      </c>
      <c r="I4262">
        <v>86</v>
      </c>
      <c r="J4262">
        <v>6</v>
      </c>
      <c r="K4262" s="4">
        <v>3130.32</v>
      </c>
      <c r="L4262" s="4">
        <v>179</v>
      </c>
      <c r="M4262" s="4">
        <v>3.3519553072625698E-2</v>
      </c>
      <c r="N4262" t="s">
        <v>25</v>
      </c>
      <c r="O4262" t="str">
        <f t="shared" si="660"/>
        <v>Low</v>
      </c>
      <c r="P4262" t="str">
        <f t="shared" si="661"/>
        <v>Low</v>
      </c>
      <c r="Q4262" t="str">
        <f t="shared" si="662"/>
        <v>Low</v>
      </c>
      <c r="R4262" t="s">
        <v>3317</v>
      </c>
      <c r="S4262" s="4">
        <f t="shared" ca="1" si="663"/>
        <v>926</v>
      </c>
      <c r="T4262">
        <f t="shared" si="664"/>
        <v>1</v>
      </c>
      <c r="U4262">
        <f t="shared" si="665"/>
        <v>1</v>
      </c>
      <c r="V4262">
        <f t="shared" si="666"/>
        <v>1</v>
      </c>
      <c r="W4262">
        <f t="shared" si="667"/>
        <v>1</v>
      </c>
      <c r="X4262">
        <f t="shared" si="668"/>
        <v>0.99999999999999989</v>
      </c>
      <c r="Y4262" t="str">
        <f t="shared" si="669"/>
        <v>Healthy</v>
      </c>
    </row>
    <row r="4263" spans="1:25" x14ac:dyDescent="0.35">
      <c r="A4263" t="s">
        <v>179</v>
      </c>
      <c r="B4263" t="s">
        <v>180</v>
      </c>
      <c r="C4263" t="s">
        <v>181</v>
      </c>
      <c r="D4263" t="s">
        <v>2702</v>
      </c>
      <c r="E4263">
        <v>83901669</v>
      </c>
      <c r="F4263" t="s">
        <v>2703</v>
      </c>
      <c r="G4263" s="3">
        <v>46620</v>
      </c>
      <c r="H4263">
        <v>16</v>
      </c>
      <c r="I4263">
        <v>89</v>
      </c>
      <c r="J4263">
        <v>428</v>
      </c>
      <c r="K4263" s="4">
        <v>325271.44</v>
      </c>
      <c r="L4263" s="4">
        <v>33261.714285714283</v>
      </c>
      <c r="M4263" s="4">
        <v>1.2867647058823531E-2</v>
      </c>
      <c r="N4263" t="s">
        <v>25</v>
      </c>
      <c r="O4263" t="str">
        <f t="shared" si="660"/>
        <v>Low</v>
      </c>
      <c r="P4263" t="str">
        <f t="shared" si="661"/>
        <v>Low</v>
      </c>
      <c r="Q4263" t="str">
        <f t="shared" si="662"/>
        <v>Low</v>
      </c>
      <c r="R4263" t="s">
        <v>3309</v>
      </c>
      <c r="S4263" s="4">
        <f t="shared" ca="1" si="663"/>
        <v>423</v>
      </c>
      <c r="T4263">
        <f t="shared" si="664"/>
        <v>1</v>
      </c>
      <c r="U4263">
        <f t="shared" si="665"/>
        <v>1</v>
      </c>
      <c r="V4263">
        <f t="shared" si="666"/>
        <v>1</v>
      </c>
      <c r="W4263">
        <f t="shared" si="667"/>
        <v>3</v>
      </c>
      <c r="X4263">
        <f t="shared" si="668"/>
        <v>1.2</v>
      </c>
      <c r="Y4263" t="str">
        <f t="shared" si="669"/>
        <v>Healthy</v>
      </c>
    </row>
    <row r="4264" spans="1:25" x14ac:dyDescent="0.35">
      <c r="A4264" t="s">
        <v>29</v>
      </c>
      <c r="B4264" t="s">
        <v>30</v>
      </c>
      <c r="C4264" t="s">
        <v>144</v>
      </c>
      <c r="D4264" t="s">
        <v>865</v>
      </c>
      <c r="E4264">
        <v>80823578</v>
      </c>
      <c r="F4264" t="s">
        <v>2704</v>
      </c>
      <c r="G4264" s="3">
        <v>46936</v>
      </c>
      <c r="H4264">
        <v>36</v>
      </c>
      <c r="I4264">
        <v>69</v>
      </c>
      <c r="J4264">
        <v>18</v>
      </c>
      <c r="K4264" s="4">
        <v>9390.9599999999991</v>
      </c>
      <c r="L4264" s="4">
        <v>179</v>
      </c>
      <c r="M4264" s="4">
        <v>0.1005586592178771</v>
      </c>
      <c r="N4264" t="s">
        <v>25</v>
      </c>
      <c r="O4264" t="str">
        <f t="shared" si="660"/>
        <v>Low</v>
      </c>
      <c r="P4264" t="str">
        <f t="shared" si="661"/>
        <v>Low</v>
      </c>
      <c r="Q4264" t="str">
        <f t="shared" si="662"/>
        <v>Low</v>
      </c>
      <c r="R4264" t="s">
        <v>3317</v>
      </c>
      <c r="S4264" s="4">
        <f t="shared" ca="1" si="663"/>
        <v>739</v>
      </c>
      <c r="T4264">
        <f t="shared" si="664"/>
        <v>1</v>
      </c>
      <c r="U4264">
        <f t="shared" si="665"/>
        <v>1</v>
      </c>
      <c r="V4264">
        <f t="shared" si="666"/>
        <v>1</v>
      </c>
      <c r="W4264">
        <f t="shared" si="667"/>
        <v>1</v>
      </c>
      <c r="X4264">
        <f t="shared" si="668"/>
        <v>0.99999999999999989</v>
      </c>
      <c r="Y4264" t="str">
        <f t="shared" si="669"/>
        <v>Healthy</v>
      </c>
    </row>
    <row r="4265" spans="1:25" x14ac:dyDescent="0.35">
      <c r="A4265" t="s">
        <v>179</v>
      </c>
      <c r="B4265" t="s">
        <v>180</v>
      </c>
      <c r="C4265" t="s">
        <v>181</v>
      </c>
      <c r="D4265" t="s">
        <v>2702</v>
      </c>
      <c r="E4265">
        <v>83901669</v>
      </c>
      <c r="F4265" t="s">
        <v>2703</v>
      </c>
      <c r="G4265" s="3">
        <v>46624</v>
      </c>
      <c r="H4265">
        <v>16</v>
      </c>
      <c r="I4265">
        <v>90</v>
      </c>
      <c r="J4265">
        <v>64</v>
      </c>
      <c r="K4265" s="4">
        <v>48638.720000000001</v>
      </c>
      <c r="L4265" s="4">
        <v>33261.714285714283</v>
      </c>
      <c r="M4265" s="4">
        <v>1.9241341396371635E-3</v>
      </c>
      <c r="N4265" t="s">
        <v>25</v>
      </c>
      <c r="O4265" t="str">
        <f t="shared" si="660"/>
        <v>Low</v>
      </c>
      <c r="P4265" t="str">
        <f t="shared" si="661"/>
        <v>Low</v>
      </c>
      <c r="Q4265" t="str">
        <f t="shared" si="662"/>
        <v>Low</v>
      </c>
      <c r="R4265" t="s">
        <v>3317</v>
      </c>
      <c r="S4265" s="4">
        <f t="shared" ca="1" si="663"/>
        <v>427</v>
      </c>
      <c r="T4265">
        <f t="shared" si="664"/>
        <v>1</v>
      </c>
      <c r="U4265">
        <f t="shared" si="665"/>
        <v>1</v>
      </c>
      <c r="V4265">
        <f t="shared" si="666"/>
        <v>1</v>
      </c>
      <c r="W4265">
        <f t="shared" si="667"/>
        <v>1</v>
      </c>
      <c r="X4265">
        <f t="shared" si="668"/>
        <v>0.99999999999999989</v>
      </c>
      <c r="Y4265" t="str">
        <f t="shared" si="669"/>
        <v>Healthy</v>
      </c>
    </row>
    <row r="4266" spans="1:25" x14ac:dyDescent="0.35">
      <c r="A4266" t="s">
        <v>29</v>
      </c>
      <c r="B4266" t="s">
        <v>30</v>
      </c>
      <c r="C4266" t="s">
        <v>144</v>
      </c>
      <c r="D4266" t="s">
        <v>865</v>
      </c>
      <c r="E4266">
        <v>80823578</v>
      </c>
      <c r="F4266" t="s">
        <v>2704</v>
      </c>
      <c r="G4266" s="3">
        <v>47150</v>
      </c>
      <c r="H4266">
        <v>36</v>
      </c>
      <c r="I4266">
        <v>89</v>
      </c>
      <c r="J4266">
        <v>149</v>
      </c>
      <c r="K4266" s="4">
        <v>77736.28</v>
      </c>
      <c r="L4266" s="4">
        <v>179</v>
      </c>
      <c r="M4266" s="4">
        <v>0.83240223463687146</v>
      </c>
      <c r="N4266" t="s">
        <v>25</v>
      </c>
      <c r="O4266" t="str">
        <f t="shared" si="660"/>
        <v>Low</v>
      </c>
      <c r="P4266" t="str">
        <f t="shared" si="661"/>
        <v>Low</v>
      </c>
      <c r="Q4266" t="str">
        <f t="shared" si="662"/>
        <v>Low</v>
      </c>
      <c r="R4266" t="s">
        <v>3310</v>
      </c>
      <c r="S4266" s="4">
        <f t="shared" ca="1" si="663"/>
        <v>953</v>
      </c>
      <c r="T4266">
        <f t="shared" si="664"/>
        <v>1</v>
      </c>
      <c r="U4266">
        <f t="shared" si="665"/>
        <v>1</v>
      </c>
      <c r="V4266">
        <f t="shared" si="666"/>
        <v>1</v>
      </c>
      <c r="W4266">
        <f t="shared" si="667"/>
        <v>2</v>
      </c>
      <c r="X4266">
        <f t="shared" si="668"/>
        <v>1.0999999999999999</v>
      </c>
      <c r="Y4266" t="str">
        <f t="shared" si="669"/>
        <v>Healthy</v>
      </c>
    </row>
    <row r="4267" spans="1:25" x14ac:dyDescent="0.35">
      <c r="A4267" t="s">
        <v>179</v>
      </c>
      <c r="B4267" t="s">
        <v>180</v>
      </c>
      <c r="C4267" t="s">
        <v>181</v>
      </c>
      <c r="D4267" t="s">
        <v>2702</v>
      </c>
      <c r="E4267">
        <v>83901669</v>
      </c>
      <c r="F4267" t="s">
        <v>2703</v>
      </c>
      <c r="G4267" s="3">
        <v>46608</v>
      </c>
      <c r="H4267">
        <v>16</v>
      </c>
      <c r="I4267">
        <v>87</v>
      </c>
      <c r="J4267">
        <v>460</v>
      </c>
      <c r="K4267" s="4">
        <v>349590.8</v>
      </c>
      <c r="L4267" s="4">
        <v>33261.714285714283</v>
      </c>
      <c r="M4267" s="4">
        <v>1.3829714128642112E-2</v>
      </c>
      <c r="N4267" t="s">
        <v>25</v>
      </c>
      <c r="O4267" t="str">
        <f t="shared" si="660"/>
        <v>Low</v>
      </c>
      <c r="P4267" t="str">
        <f t="shared" si="661"/>
        <v>Low</v>
      </c>
      <c r="Q4267" t="str">
        <f t="shared" si="662"/>
        <v>Low</v>
      </c>
      <c r="R4267" t="s">
        <v>3309</v>
      </c>
      <c r="S4267" s="4">
        <f t="shared" ca="1" si="663"/>
        <v>411</v>
      </c>
      <c r="T4267">
        <f t="shared" si="664"/>
        <v>1</v>
      </c>
      <c r="U4267">
        <f t="shared" si="665"/>
        <v>1</v>
      </c>
      <c r="V4267">
        <f t="shared" si="666"/>
        <v>1</v>
      </c>
      <c r="W4267">
        <f t="shared" si="667"/>
        <v>3</v>
      </c>
      <c r="X4267">
        <f t="shared" si="668"/>
        <v>1.2</v>
      </c>
      <c r="Y4267" t="str">
        <f t="shared" si="669"/>
        <v>Healthy</v>
      </c>
    </row>
    <row r="4268" spans="1:25" x14ac:dyDescent="0.35">
      <c r="A4268" t="s">
        <v>29</v>
      </c>
      <c r="B4268" t="s">
        <v>30</v>
      </c>
      <c r="C4268" t="s">
        <v>144</v>
      </c>
      <c r="D4268" t="s">
        <v>865</v>
      </c>
      <c r="E4268">
        <v>80823578</v>
      </c>
      <c r="F4268" t="s">
        <v>2704</v>
      </c>
      <c r="G4268" s="3">
        <v>46901</v>
      </c>
      <c r="H4268">
        <v>36</v>
      </c>
      <c r="I4268">
        <v>66</v>
      </c>
      <c r="J4268">
        <v>14</v>
      </c>
      <c r="K4268" s="4">
        <v>7304.08</v>
      </c>
      <c r="L4268" s="4">
        <v>179</v>
      </c>
      <c r="M4268" s="4">
        <v>7.8212290502793297E-2</v>
      </c>
      <c r="N4268" t="s">
        <v>25</v>
      </c>
      <c r="O4268" t="str">
        <f t="shared" si="660"/>
        <v>Low</v>
      </c>
      <c r="P4268" t="str">
        <f t="shared" si="661"/>
        <v>Low</v>
      </c>
      <c r="Q4268" t="str">
        <f t="shared" si="662"/>
        <v>Low</v>
      </c>
      <c r="R4268" t="s">
        <v>3317</v>
      </c>
      <c r="S4268" s="4">
        <f t="shared" ca="1" si="663"/>
        <v>704</v>
      </c>
      <c r="T4268">
        <f t="shared" si="664"/>
        <v>1</v>
      </c>
      <c r="U4268">
        <f t="shared" si="665"/>
        <v>1</v>
      </c>
      <c r="V4268">
        <f t="shared" si="666"/>
        <v>1</v>
      </c>
      <c r="W4268">
        <f t="shared" si="667"/>
        <v>1</v>
      </c>
      <c r="X4268">
        <f t="shared" si="668"/>
        <v>0.99999999999999989</v>
      </c>
      <c r="Y4268" t="str">
        <f t="shared" si="669"/>
        <v>Healthy</v>
      </c>
    </row>
    <row r="4269" spans="1:25" x14ac:dyDescent="0.35">
      <c r="A4269" t="s">
        <v>179</v>
      </c>
      <c r="B4269" t="s">
        <v>180</v>
      </c>
      <c r="C4269" t="s">
        <v>181</v>
      </c>
      <c r="D4269" t="s">
        <v>2702</v>
      </c>
      <c r="E4269">
        <v>83901669</v>
      </c>
      <c r="F4269" t="s">
        <v>2703</v>
      </c>
      <c r="G4269" s="3">
        <v>46671</v>
      </c>
      <c r="H4269">
        <v>16</v>
      </c>
      <c r="I4269">
        <v>100</v>
      </c>
      <c r="J4269">
        <v>1894</v>
      </c>
      <c r="K4269" s="4">
        <v>1439402.12</v>
      </c>
      <c r="L4269" s="4">
        <v>33261.714285714283</v>
      </c>
      <c r="M4269" s="4">
        <v>5.6942344694887306E-2</v>
      </c>
      <c r="N4269" t="s">
        <v>25</v>
      </c>
      <c r="O4269" t="str">
        <f t="shared" si="660"/>
        <v>Low</v>
      </c>
      <c r="P4269" t="str">
        <f t="shared" si="661"/>
        <v>Low</v>
      </c>
      <c r="Q4269" t="str">
        <f t="shared" si="662"/>
        <v>Low</v>
      </c>
      <c r="R4269" t="s">
        <v>3309</v>
      </c>
      <c r="S4269" s="4">
        <f t="shared" ca="1" si="663"/>
        <v>474</v>
      </c>
      <c r="T4269">
        <f t="shared" si="664"/>
        <v>1</v>
      </c>
      <c r="U4269">
        <f t="shared" si="665"/>
        <v>1</v>
      </c>
      <c r="V4269">
        <f t="shared" si="666"/>
        <v>1</v>
      </c>
      <c r="W4269">
        <f t="shared" si="667"/>
        <v>3</v>
      </c>
      <c r="X4269">
        <f t="shared" si="668"/>
        <v>1.2</v>
      </c>
      <c r="Y4269" t="str">
        <f t="shared" si="669"/>
        <v>Healthy</v>
      </c>
    </row>
    <row r="4270" spans="1:25" x14ac:dyDescent="0.35">
      <c r="A4270" t="s">
        <v>41</v>
      </c>
      <c r="B4270" t="s">
        <v>42</v>
      </c>
      <c r="C4270" t="s">
        <v>43</v>
      </c>
      <c r="D4270" t="s">
        <v>2705</v>
      </c>
      <c r="E4270">
        <v>80876607</v>
      </c>
      <c r="F4270" t="s">
        <v>2706</v>
      </c>
      <c r="G4270" s="3">
        <v>46928</v>
      </c>
      <c r="H4270">
        <v>36</v>
      </c>
      <c r="I4270">
        <v>68</v>
      </c>
      <c r="J4270">
        <v>30</v>
      </c>
      <c r="K4270" s="4">
        <v>13064.4</v>
      </c>
      <c r="L4270" s="4">
        <f>0</f>
        <v>0</v>
      </c>
      <c r="M4270" s="4">
        <f>999</f>
        <v>999</v>
      </c>
      <c r="N4270" t="s">
        <v>19</v>
      </c>
      <c r="O4270" t="str">
        <f t="shared" si="660"/>
        <v>Low</v>
      </c>
      <c r="P4270" t="str">
        <f t="shared" si="661"/>
        <v>High</v>
      </c>
      <c r="Q4270" t="str">
        <f t="shared" si="662"/>
        <v>High</v>
      </c>
      <c r="R4270" t="s">
        <v>3317</v>
      </c>
      <c r="S4270" s="4">
        <f t="shared" ca="1" si="663"/>
        <v>731</v>
      </c>
      <c r="T4270">
        <f t="shared" si="664"/>
        <v>1</v>
      </c>
      <c r="U4270">
        <f t="shared" si="665"/>
        <v>3</v>
      </c>
      <c r="V4270">
        <f t="shared" si="666"/>
        <v>3</v>
      </c>
      <c r="W4270">
        <f t="shared" si="667"/>
        <v>1</v>
      </c>
      <c r="X4270">
        <f t="shared" si="668"/>
        <v>2</v>
      </c>
      <c r="Y4270" t="str">
        <f t="shared" si="669"/>
        <v>Monitor</v>
      </c>
    </row>
    <row r="4271" spans="1:25" x14ac:dyDescent="0.35">
      <c r="A4271" t="s">
        <v>179</v>
      </c>
      <c r="B4271" t="s">
        <v>180</v>
      </c>
      <c r="C4271" t="s">
        <v>181</v>
      </c>
      <c r="D4271" t="s">
        <v>2702</v>
      </c>
      <c r="E4271">
        <v>83901669</v>
      </c>
      <c r="F4271" t="s">
        <v>2703</v>
      </c>
      <c r="G4271" s="3">
        <v>46634</v>
      </c>
      <c r="H4271">
        <v>16</v>
      </c>
      <c r="I4271">
        <v>92</v>
      </c>
      <c r="J4271">
        <v>344</v>
      </c>
      <c r="K4271" s="4">
        <v>261433.12</v>
      </c>
      <c r="L4271" s="4">
        <v>33261.714285714283</v>
      </c>
      <c r="M4271" s="4">
        <v>1.0342221000549753E-2</v>
      </c>
      <c r="N4271" t="s">
        <v>25</v>
      </c>
      <c r="O4271" t="str">
        <f t="shared" si="660"/>
        <v>Low</v>
      </c>
      <c r="P4271" t="str">
        <f t="shared" si="661"/>
        <v>Low</v>
      </c>
      <c r="Q4271" t="str">
        <f t="shared" si="662"/>
        <v>Low</v>
      </c>
      <c r="R4271" t="s">
        <v>3309</v>
      </c>
      <c r="S4271" s="4">
        <f t="shared" ca="1" si="663"/>
        <v>437</v>
      </c>
      <c r="T4271">
        <f t="shared" si="664"/>
        <v>1</v>
      </c>
      <c r="U4271">
        <f t="shared" si="665"/>
        <v>1</v>
      </c>
      <c r="V4271">
        <f t="shared" si="666"/>
        <v>1</v>
      </c>
      <c r="W4271">
        <f t="shared" si="667"/>
        <v>3</v>
      </c>
      <c r="X4271">
        <f t="shared" si="668"/>
        <v>1.2</v>
      </c>
      <c r="Y4271" t="str">
        <f t="shared" si="669"/>
        <v>Healthy</v>
      </c>
    </row>
    <row r="4272" spans="1:25" x14ac:dyDescent="0.35">
      <c r="A4272" t="s">
        <v>179</v>
      </c>
      <c r="B4272" t="s">
        <v>180</v>
      </c>
      <c r="C4272" t="s">
        <v>181</v>
      </c>
      <c r="D4272" t="s">
        <v>2702</v>
      </c>
      <c r="E4272">
        <v>83901669</v>
      </c>
      <c r="F4272" t="s">
        <v>2703</v>
      </c>
      <c r="G4272" s="3">
        <v>46651</v>
      </c>
      <c r="H4272">
        <v>16</v>
      </c>
      <c r="I4272">
        <v>96</v>
      </c>
      <c r="J4272">
        <v>32</v>
      </c>
      <c r="K4272" s="4">
        <v>24319.360000000001</v>
      </c>
      <c r="L4272" s="4">
        <v>33261.714285714283</v>
      </c>
      <c r="M4272" s="4">
        <v>9.6206706981858173E-4</v>
      </c>
      <c r="N4272" t="s">
        <v>25</v>
      </c>
      <c r="O4272" t="str">
        <f t="shared" si="660"/>
        <v>Low</v>
      </c>
      <c r="P4272" t="str">
        <f t="shared" si="661"/>
        <v>Low</v>
      </c>
      <c r="Q4272" t="str">
        <f t="shared" si="662"/>
        <v>Low</v>
      </c>
      <c r="R4272" t="s">
        <v>3317</v>
      </c>
      <c r="S4272" s="4">
        <f t="shared" ca="1" si="663"/>
        <v>454</v>
      </c>
      <c r="T4272">
        <f t="shared" si="664"/>
        <v>1</v>
      </c>
      <c r="U4272">
        <f t="shared" si="665"/>
        <v>1</v>
      </c>
      <c r="V4272">
        <f t="shared" si="666"/>
        <v>1</v>
      </c>
      <c r="W4272">
        <f t="shared" si="667"/>
        <v>1</v>
      </c>
      <c r="X4272">
        <f t="shared" si="668"/>
        <v>0.99999999999999989</v>
      </c>
      <c r="Y4272" t="str">
        <f t="shared" si="669"/>
        <v>Healthy</v>
      </c>
    </row>
    <row r="4273" spans="1:25" x14ac:dyDescent="0.35">
      <c r="A4273" t="s">
        <v>179</v>
      </c>
      <c r="B4273" t="s">
        <v>180</v>
      </c>
      <c r="C4273" t="s">
        <v>181</v>
      </c>
      <c r="D4273" t="s">
        <v>2702</v>
      </c>
      <c r="E4273">
        <v>83901669</v>
      </c>
      <c r="F4273" t="s">
        <v>2703</v>
      </c>
      <c r="G4273" s="3">
        <v>46651</v>
      </c>
      <c r="H4273">
        <v>16</v>
      </c>
      <c r="I4273">
        <v>96</v>
      </c>
      <c r="J4273">
        <v>4</v>
      </c>
      <c r="K4273" s="4">
        <v>3039.92</v>
      </c>
      <c r="L4273" s="4">
        <v>33261.714285714283</v>
      </c>
      <c r="M4273" s="4">
        <v>1.2025838372732272E-4</v>
      </c>
      <c r="N4273" t="s">
        <v>25</v>
      </c>
      <c r="O4273" t="str">
        <f t="shared" si="660"/>
        <v>Low</v>
      </c>
      <c r="P4273" t="str">
        <f t="shared" si="661"/>
        <v>Low</v>
      </c>
      <c r="Q4273" t="str">
        <f t="shared" si="662"/>
        <v>Low</v>
      </c>
      <c r="R4273" t="s">
        <v>3317</v>
      </c>
      <c r="S4273" s="4">
        <f t="shared" ca="1" si="663"/>
        <v>454</v>
      </c>
      <c r="T4273">
        <f t="shared" si="664"/>
        <v>1</v>
      </c>
      <c r="U4273">
        <f t="shared" si="665"/>
        <v>1</v>
      </c>
      <c r="V4273">
        <f t="shared" si="666"/>
        <v>1</v>
      </c>
      <c r="W4273">
        <f t="shared" si="667"/>
        <v>1</v>
      </c>
      <c r="X4273">
        <f t="shared" si="668"/>
        <v>0.99999999999999989</v>
      </c>
      <c r="Y4273" t="str">
        <f t="shared" si="669"/>
        <v>Healthy</v>
      </c>
    </row>
    <row r="4274" spans="1:25" x14ac:dyDescent="0.35">
      <c r="A4274" t="s">
        <v>179</v>
      </c>
      <c r="B4274" t="s">
        <v>180</v>
      </c>
      <c r="C4274" t="s">
        <v>181</v>
      </c>
      <c r="D4274" t="s">
        <v>2702</v>
      </c>
      <c r="E4274">
        <v>83901669</v>
      </c>
      <c r="F4274" t="s">
        <v>2703</v>
      </c>
      <c r="G4274" s="3">
        <v>46609</v>
      </c>
      <c r="H4274">
        <v>16</v>
      </c>
      <c r="I4274">
        <v>87</v>
      </c>
      <c r="J4274">
        <v>76</v>
      </c>
      <c r="K4274" s="4">
        <v>2945682.48</v>
      </c>
      <c r="L4274" s="4">
        <v>33261.714285714283</v>
      </c>
      <c r="M4274" s="4">
        <v>2.2849092908191317E-3</v>
      </c>
      <c r="N4274" t="s">
        <v>25</v>
      </c>
      <c r="O4274" t="str">
        <f t="shared" si="660"/>
        <v>Low</v>
      </c>
      <c r="P4274" t="str">
        <f t="shared" si="661"/>
        <v>Low</v>
      </c>
      <c r="Q4274" t="str">
        <f t="shared" si="662"/>
        <v>Low</v>
      </c>
      <c r="R4274" t="s">
        <v>3309</v>
      </c>
      <c r="S4274" s="4">
        <f t="shared" ca="1" si="663"/>
        <v>412</v>
      </c>
      <c r="T4274">
        <f t="shared" si="664"/>
        <v>1</v>
      </c>
      <c r="U4274">
        <f t="shared" si="665"/>
        <v>1</v>
      </c>
      <c r="V4274">
        <f t="shared" si="666"/>
        <v>1</v>
      </c>
      <c r="W4274">
        <f t="shared" si="667"/>
        <v>3</v>
      </c>
      <c r="X4274">
        <f t="shared" si="668"/>
        <v>1.2</v>
      </c>
      <c r="Y4274" t="str">
        <f t="shared" si="669"/>
        <v>Healthy</v>
      </c>
    </row>
    <row r="4275" spans="1:25" x14ac:dyDescent="0.35">
      <c r="A4275" t="s">
        <v>179</v>
      </c>
      <c r="B4275" t="s">
        <v>180</v>
      </c>
      <c r="C4275" t="s">
        <v>181</v>
      </c>
      <c r="D4275" t="s">
        <v>2702</v>
      </c>
      <c r="E4275">
        <v>83901669</v>
      </c>
      <c r="F4275" t="s">
        <v>2703</v>
      </c>
      <c r="G4275" s="3">
        <v>46616</v>
      </c>
      <c r="H4275">
        <v>16</v>
      </c>
      <c r="I4275">
        <v>88</v>
      </c>
      <c r="J4275">
        <v>1</v>
      </c>
      <c r="K4275" s="4">
        <v>759.98</v>
      </c>
      <c r="L4275" s="4">
        <v>33261.714285714283</v>
      </c>
      <c r="M4275" s="4">
        <v>3.0064595931830679E-5</v>
      </c>
      <c r="N4275" t="s">
        <v>25</v>
      </c>
      <c r="O4275" t="str">
        <f t="shared" si="660"/>
        <v>Low</v>
      </c>
      <c r="P4275" t="str">
        <f t="shared" si="661"/>
        <v>Low</v>
      </c>
      <c r="Q4275" t="str">
        <f t="shared" si="662"/>
        <v>Low</v>
      </c>
      <c r="R4275" t="s">
        <v>3317</v>
      </c>
      <c r="S4275" s="4">
        <f t="shared" ca="1" si="663"/>
        <v>419</v>
      </c>
      <c r="T4275">
        <f t="shared" si="664"/>
        <v>1</v>
      </c>
      <c r="U4275">
        <f t="shared" si="665"/>
        <v>1</v>
      </c>
      <c r="V4275">
        <f t="shared" si="666"/>
        <v>1</v>
      </c>
      <c r="W4275">
        <f t="shared" si="667"/>
        <v>1</v>
      </c>
      <c r="X4275">
        <f t="shared" si="668"/>
        <v>0.99999999999999989</v>
      </c>
      <c r="Y4275" t="str">
        <f t="shared" si="669"/>
        <v>Healthy</v>
      </c>
    </row>
    <row r="4276" spans="1:25" x14ac:dyDescent="0.35">
      <c r="A4276" t="s">
        <v>179</v>
      </c>
      <c r="B4276" t="s">
        <v>180</v>
      </c>
      <c r="C4276" t="s">
        <v>181</v>
      </c>
      <c r="D4276" t="s">
        <v>2702</v>
      </c>
      <c r="E4276">
        <v>83901669</v>
      </c>
      <c r="F4276" t="s">
        <v>2703</v>
      </c>
      <c r="G4276" s="3">
        <v>46601</v>
      </c>
      <c r="H4276">
        <v>16</v>
      </c>
      <c r="I4276">
        <v>85</v>
      </c>
      <c r="J4276">
        <v>1</v>
      </c>
      <c r="K4276" s="4">
        <v>759.98</v>
      </c>
      <c r="L4276" s="4">
        <v>33261.714285714283</v>
      </c>
      <c r="M4276" s="4">
        <v>3.0064595931830679E-5</v>
      </c>
      <c r="N4276" t="s">
        <v>25</v>
      </c>
      <c r="O4276" t="str">
        <f t="shared" si="660"/>
        <v>Low</v>
      </c>
      <c r="P4276" t="str">
        <f t="shared" si="661"/>
        <v>Low</v>
      </c>
      <c r="Q4276" t="str">
        <f t="shared" si="662"/>
        <v>Low</v>
      </c>
      <c r="R4276" t="s">
        <v>3317</v>
      </c>
      <c r="S4276" s="4">
        <f t="shared" ca="1" si="663"/>
        <v>404</v>
      </c>
      <c r="T4276">
        <f t="shared" si="664"/>
        <v>1</v>
      </c>
      <c r="U4276">
        <f t="shared" si="665"/>
        <v>1</v>
      </c>
      <c r="V4276">
        <f t="shared" si="666"/>
        <v>1</v>
      </c>
      <c r="W4276">
        <f t="shared" si="667"/>
        <v>1</v>
      </c>
      <c r="X4276">
        <f t="shared" si="668"/>
        <v>0.99999999999999989</v>
      </c>
      <c r="Y4276" t="str">
        <f t="shared" si="669"/>
        <v>Healthy</v>
      </c>
    </row>
    <row r="4277" spans="1:25" x14ac:dyDescent="0.35">
      <c r="A4277" t="s">
        <v>41</v>
      </c>
      <c r="B4277" t="s">
        <v>42</v>
      </c>
      <c r="C4277" t="s">
        <v>43</v>
      </c>
      <c r="D4277" t="s">
        <v>2707</v>
      </c>
      <c r="E4277">
        <v>80879279</v>
      </c>
      <c r="F4277" t="s">
        <v>2708</v>
      </c>
      <c r="G4277" s="3">
        <v>47169</v>
      </c>
      <c r="H4277">
        <v>36</v>
      </c>
      <c r="I4277">
        <v>90</v>
      </c>
      <c r="J4277">
        <v>103</v>
      </c>
      <c r="K4277" s="4">
        <v>15730.16</v>
      </c>
      <c r="L4277" s="4">
        <v>42</v>
      </c>
      <c r="M4277" s="4">
        <v>2.4523809523809526</v>
      </c>
      <c r="N4277" t="s">
        <v>25</v>
      </c>
      <c r="O4277" t="str">
        <f t="shared" si="660"/>
        <v>Low</v>
      </c>
      <c r="P4277" t="str">
        <f t="shared" si="661"/>
        <v>Low</v>
      </c>
      <c r="Q4277" t="str">
        <f t="shared" si="662"/>
        <v>Low</v>
      </c>
      <c r="R4277" t="s">
        <v>3317</v>
      </c>
      <c r="S4277" s="4">
        <f t="shared" ca="1" si="663"/>
        <v>972</v>
      </c>
      <c r="T4277">
        <f t="shared" si="664"/>
        <v>1</v>
      </c>
      <c r="U4277">
        <f t="shared" si="665"/>
        <v>1</v>
      </c>
      <c r="V4277">
        <f t="shared" si="666"/>
        <v>1</v>
      </c>
      <c r="W4277">
        <f t="shared" si="667"/>
        <v>1</v>
      </c>
      <c r="X4277">
        <f t="shared" si="668"/>
        <v>0.99999999999999989</v>
      </c>
      <c r="Y4277" t="str">
        <f t="shared" si="669"/>
        <v>Healthy</v>
      </c>
    </row>
    <row r="4278" spans="1:25" x14ac:dyDescent="0.35">
      <c r="A4278" t="s">
        <v>179</v>
      </c>
      <c r="B4278" t="s">
        <v>180</v>
      </c>
      <c r="C4278" t="s">
        <v>181</v>
      </c>
      <c r="D4278" t="s">
        <v>2702</v>
      </c>
      <c r="E4278">
        <v>83901669</v>
      </c>
      <c r="F4278" t="s">
        <v>2703</v>
      </c>
      <c r="G4278" s="3">
        <v>46606</v>
      </c>
      <c r="H4278">
        <v>16</v>
      </c>
      <c r="I4278">
        <v>86</v>
      </c>
      <c r="J4278">
        <v>2</v>
      </c>
      <c r="K4278" s="4">
        <v>1519.96</v>
      </c>
      <c r="L4278" s="4">
        <v>33261.714285714283</v>
      </c>
      <c r="M4278" s="4">
        <v>6.0129191863661358E-5</v>
      </c>
      <c r="N4278" t="s">
        <v>25</v>
      </c>
      <c r="O4278" t="str">
        <f t="shared" si="660"/>
        <v>Low</v>
      </c>
      <c r="P4278" t="str">
        <f t="shared" si="661"/>
        <v>Low</v>
      </c>
      <c r="Q4278" t="str">
        <f t="shared" si="662"/>
        <v>Low</v>
      </c>
      <c r="R4278" t="s">
        <v>3317</v>
      </c>
      <c r="S4278" s="4">
        <f t="shared" ca="1" si="663"/>
        <v>409</v>
      </c>
      <c r="T4278">
        <f t="shared" si="664"/>
        <v>1</v>
      </c>
      <c r="U4278">
        <f t="shared" si="665"/>
        <v>1</v>
      </c>
      <c r="V4278">
        <f t="shared" si="666"/>
        <v>1</v>
      </c>
      <c r="W4278">
        <f t="shared" si="667"/>
        <v>1</v>
      </c>
      <c r="X4278">
        <f t="shared" si="668"/>
        <v>0.99999999999999989</v>
      </c>
      <c r="Y4278" t="str">
        <f t="shared" si="669"/>
        <v>Healthy</v>
      </c>
    </row>
    <row r="4279" spans="1:25" x14ac:dyDescent="0.35">
      <c r="A4279" t="s">
        <v>41</v>
      </c>
      <c r="B4279" t="s">
        <v>42</v>
      </c>
      <c r="C4279" t="s">
        <v>43</v>
      </c>
      <c r="D4279" t="s">
        <v>2707</v>
      </c>
      <c r="E4279">
        <v>80879279</v>
      </c>
      <c r="F4279" t="s">
        <v>2708</v>
      </c>
      <c r="G4279" s="3">
        <v>47103</v>
      </c>
      <c r="H4279">
        <v>36</v>
      </c>
      <c r="I4279">
        <v>84</v>
      </c>
      <c r="J4279">
        <v>30</v>
      </c>
      <c r="K4279" s="4">
        <v>4581.6000000000004</v>
      </c>
      <c r="L4279" s="4">
        <v>42</v>
      </c>
      <c r="M4279" s="4">
        <v>0.7142857142857143</v>
      </c>
      <c r="N4279" t="s">
        <v>25</v>
      </c>
      <c r="O4279" t="str">
        <f t="shared" si="660"/>
        <v>Low</v>
      </c>
      <c r="P4279" t="str">
        <f t="shared" si="661"/>
        <v>Low</v>
      </c>
      <c r="Q4279" t="str">
        <f t="shared" si="662"/>
        <v>Low</v>
      </c>
      <c r="R4279" t="s">
        <v>3317</v>
      </c>
      <c r="S4279" s="4">
        <f t="shared" ca="1" si="663"/>
        <v>906</v>
      </c>
      <c r="T4279">
        <f t="shared" si="664"/>
        <v>1</v>
      </c>
      <c r="U4279">
        <f t="shared" si="665"/>
        <v>1</v>
      </c>
      <c r="V4279">
        <f t="shared" si="666"/>
        <v>1</v>
      </c>
      <c r="W4279">
        <f t="shared" si="667"/>
        <v>1</v>
      </c>
      <c r="X4279">
        <f t="shared" si="668"/>
        <v>0.99999999999999989</v>
      </c>
      <c r="Y4279" t="str">
        <f t="shared" si="669"/>
        <v>Healthy</v>
      </c>
    </row>
    <row r="4280" spans="1:25" x14ac:dyDescent="0.35">
      <c r="A4280" t="s">
        <v>179</v>
      </c>
      <c r="B4280" t="s">
        <v>180</v>
      </c>
      <c r="C4280" t="s">
        <v>181</v>
      </c>
      <c r="D4280" t="s">
        <v>2702</v>
      </c>
      <c r="E4280">
        <v>83901669</v>
      </c>
      <c r="F4280" t="s">
        <v>2703</v>
      </c>
      <c r="G4280" s="3">
        <v>46663</v>
      </c>
      <c r="H4280">
        <v>16</v>
      </c>
      <c r="I4280">
        <v>98</v>
      </c>
      <c r="J4280">
        <v>636</v>
      </c>
      <c r="K4280" s="4">
        <v>483347.28</v>
      </c>
      <c r="L4280" s="4">
        <v>33261.714285714283</v>
      </c>
      <c r="M4280" s="4">
        <v>1.9121083012644313E-2</v>
      </c>
      <c r="N4280" t="s">
        <v>25</v>
      </c>
      <c r="O4280" t="str">
        <f t="shared" si="660"/>
        <v>Low</v>
      </c>
      <c r="P4280" t="str">
        <f t="shared" si="661"/>
        <v>Low</v>
      </c>
      <c r="Q4280" t="str">
        <f t="shared" si="662"/>
        <v>Low</v>
      </c>
      <c r="R4280" t="s">
        <v>3309</v>
      </c>
      <c r="S4280" s="4">
        <f t="shared" ca="1" si="663"/>
        <v>466</v>
      </c>
      <c r="T4280">
        <f t="shared" si="664"/>
        <v>1</v>
      </c>
      <c r="U4280">
        <f t="shared" si="665"/>
        <v>1</v>
      </c>
      <c r="V4280">
        <f t="shared" si="666"/>
        <v>1</v>
      </c>
      <c r="W4280">
        <f t="shared" si="667"/>
        <v>3</v>
      </c>
      <c r="X4280">
        <f t="shared" si="668"/>
        <v>1.2</v>
      </c>
      <c r="Y4280" t="str">
        <f t="shared" si="669"/>
        <v>Healthy</v>
      </c>
    </row>
    <row r="4281" spans="1:25" x14ac:dyDescent="0.35">
      <c r="A4281" t="s">
        <v>14</v>
      </c>
      <c r="B4281" t="s">
        <v>58</v>
      </c>
      <c r="C4281" t="s">
        <v>162</v>
      </c>
      <c r="D4281" t="s">
        <v>349</v>
      </c>
      <c r="E4281">
        <v>80876079</v>
      </c>
      <c r="F4281" t="s">
        <v>2709</v>
      </c>
      <c r="G4281" s="3">
        <v>47993</v>
      </c>
      <c r="H4281">
        <v>60</v>
      </c>
      <c r="I4281">
        <v>100</v>
      </c>
      <c r="J4281">
        <v>801</v>
      </c>
      <c r="K4281" s="4">
        <v>445572.27</v>
      </c>
      <c r="L4281" s="4">
        <v>706.57142857142856</v>
      </c>
      <c r="M4281" s="4">
        <v>1.1336433481601293</v>
      </c>
      <c r="N4281" t="s">
        <v>25</v>
      </c>
      <c r="O4281" t="str">
        <f t="shared" si="660"/>
        <v>Low</v>
      </c>
      <c r="P4281" t="str">
        <f t="shared" si="661"/>
        <v>Low</v>
      </c>
      <c r="Q4281" t="str">
        <f t="shared" si="662"/>
        <v>Low</v>
      </c>
      <c r="R4281" t="s">
        <v>3309</v>
      </c>
      <c r="S4281" s="4">
        <f t="shared" ca="1" si="663"/>
        <v>1796</v>
      </c>
      <c r="T4281">
        <f t="shared" si="664"/>
        <v>1</v>
      </c>
      <c r="U4281">
        <f t="shared" si="665"/>
        <v>1</v>
      </c>
      <c r="V4281">
        <f t="shared" si="666"/>
        <v>1</v>
      </c>
      <c r="W4281">
        <f t="shared" si="667"/>
        <v>3</v>
      </c>
      <c r="X4281">
        <f t="shared" si="668"/>
        <v>1.2</v>
      </c>
      <c r="Y4281" t="str">
        <f t="shared" si="669"/>
        <v>Healthy</v>
      </c>
    </row>
    <row r="4282" spans="1:25" x14ac:dyDescent="0.35">
      <c r="A4282" t="s">
        <v>41</v>
      </c>
      <c r="B4282" t="s">
        <v>42</v>
      </c>
      <c r="C4282" t="s">
        <v>43</v>
      </c>
      <c r="D4282" t="s">
        <v>2035</v>
      </c>
      <c r="E4282">
        <v>80879281</v>
      </c>
      <c r="F4282" t="s">
        <v>2710</v>
      </c>
      <c r="G4282" s="3">
        <v>47202</v>
      </c>
      <c r="H4282">
        <v>36</v>
      </c>
      <c r="I4282">
        <v>94</v>
      </c>
      <c r="J4282">
        <v>2</v>
      </c>
      <c r="K4282" s="4">
        <v>305.44</v>
      </c>
      <c r="L4282" s="4">
        <v>1899</v>
      </c>
      <c r="M4282" s="4">
        <v>1.05318588730911E-3</v>
      </c>
      <c r="N4282" t="s">
        <v>25</v>
      </c>
      <c r="O4282" t="str">
        <f t="shared" si="660"/>
        <v>Low</v>
      </c>
      <c r="P4282" t="str">
        <f t="shared" si="661"/>
        <v>Low</v>
      </c>
      <c r="Q4282" t="str">
        <f t="shared" si="662"/>
        <v>Low</v>
      </c>
      <c r="R4282" t="s">
        <v>3317</v>
      </c>
      <c r="S4282" s="4">
        <f t="shared" ca="1" si="663"/>
        <v>1005</v>
      </c>
      <c r="T4282">
        <f t="shared" si="664"/>
        <v>1</v>
      </c>
      <c r="U4282">
        <f t="shared" si="665"/>
        <v>1</v>
      </c>
      <c r="V4282">
        <f t="shared" si="666"/>
        <v>1</v>
      </c>
      <c r="W4282">
        <f t="shared" si="667"/>
        <v>1</v>
      </c>
      <c r="X4282">
        <f t="shared" si="668"/>
        <v>0.99999999999999989</v>
      </c>
      <c r="Y4282" t="str">
        <f t="shared" si="669"/>
        <v>Healthy</v>
      </c>
    </row>
    <row r="4283" spans="1:25" x14ac:dyDescent="0.35">
      <c r="A4283" t="s">
        <v>14</v>
      </c>
      <c r="B4283" t="s">
        <v>58</v>
      </c>
      <c r="C4283" t="s">
        <v>162</v>
      </c>
      <c r="D4283" t="s">
        <v>349</v>
      </c>
      <c r="E4283">
        <v>80876079</v>
      </c>
      <c r="F4283" t="s">
        <v>2709</v>
      </c>
      <c r="G4283" s="3">
        <v>47937</v>
      </c>
      <c r="H4283">
        <v>60</v>
      </c>
      <c r="I4283">
        <v>97</v>
      </c>
      <c r="J4283">
        <v>375</v>
      </c>
      <c r="K4283" s="4">
        <v>208601.25</v>
      </c>
      <c r="L4283" s="4">
        <v>706.57142857142856</v>
      </c>
      <c r="M4283" s="4">
        <v>0.53073190456934893</v>
      </c>
      <c r="N4283" t="s">
        <v>25</v>
      </c>
      <c r="O4283" t="str">
        <f t="shared" si="660"/>
        <v>Low</v>
      </c>
      <c r="P4283" t="str">
        <f t="shared" si="661"/>
        <v>Low</v>
      </c>
      <c r="Q4283" t="str">
        <f t="shared" si="662"/>
        <v>Low</v>
      </c>
      <c r="R4283" t="s">
        <v>3309</v>
      </c>
      <c r="S4283" s="4">
        <f t="shared" ca="1" si="663"/>
        <v>1740</v>
      </c>
      <c r="T4283">
        <f t="shared" si="664"/>
        <v>1</v>
      </c>
      <c r="U4283">
        <f t="shared" si="665"/>
        <v>1</v>
      </c>
      <c r="V4283">
        <f t="shared" si="666"/>
        <v>1</v>
      </c>
      <c r="W4283">
        <f t="shared" si="667"/>
        <v>3</v>
      </c>
      <c r="X4283">
        <f t="shared" si="668"/>
        <v>1.2</v>
      </c>
      <c r="Y4283" t="str">
        <f t="shared" si="669"/>
        <v>Healthy</v>
      </c>
    </row>
    <row r="4284" spans="1:25" x14ac:dyDescent="0.35">
      <c r="A4284" t="s">
        <v>14</v>
      </c>
      <c r="B4284" t="s">
        <v>58</v>
      </c>
      <c r="C4284" t="s">
        <v>162</v>
      </c>
      <c r="D4284" t="s">
        <v>349</v>
      </c>
      <c r="E4284">
        <v>80876079</v>
      </c>
      <c r="F4284" t="s">
        <v>2709</v>
      </c>
      <c r="G4284" s="3">
        <v>47958</v>
      </c>
      <c r="H4284">
        <v>60</v>
      </c>
      <c r="I4284">
        <v>98</v>
      </c>
      <c r="J4284">
        <v>3</v>
      </c>
      <c r="K4284" s="4">
        <v>1668.81</v>
      </c>
      <c r="L4284" s="4">
        <v>706.57142857142856</v>
      </c>
      <c r="M4284" s="4">
        <v>4.245855236554792E-3</v>
      </c>
      <c r="N4284" t="s">
        <v>25</v>
      </c>
      <c r="O4284" t="str">
        <f t="shared" si="660"/>
        <v>Low</v>
      </c>
      <c r="P4284" t="str">
        <f t="shared" si="661"/>
        <v>Low</v>
      </c>
      <c r="Q4284" t="str">
        <f t="shared" si="662"/>
        <v>Low</v>
      </c>
      <c r="R4284" t="s">
        <v>3317</v>
      </c>
      <c r="S4284" s="4">
        <f t="shared" ca="1" si="663"/>
        <v>1761</v>
      </c>
      <c r="T4284">
        <f t="shared" si="664"/>
        <v>1</v>
      </c>
      <c r="U4284">
        <f t="shared" si="665"/>
        <v>1</v>
      </c>
      <c r="V4284">
        <f t="shared" si="666"/>
        <v>1</v>
      </c>
      <c r="W4284">
        <f t="shared" si="667"/>
        <v>1</v>
      </c>
      <c r="X4284">
        <f t="shared" si="668"/>
        <v>0.99999999999999989</v>
      </c>
      <c r="Y4284" t="str">
        <f t="shared" si="669"/>
        <v>Healthy</v>
      </c>
    </row>
    <row r="4285" spans="1:25" x14ac:dyDescent="0.35">
      <c r="A4285" t="s">
        <v>14</v>
      </c>
      <c r="B4285" t="s">
        <v>58</v>
      </c>
      <c r="C4285" t="s">
        <v>162</v>
      </c>
      <c r="D4285" t="s">
        <v>349</v>
      </c>
      <c r="E4285">
        <v>80876079</v>
      </c>
      <c r="F4285" t="s">
        <v>2709</v>
      </c>
      <c r="G4285" s="3">
        <v>47980</v>
      </c>
      <c r="H4285">
        <v>60</v>
      </c>
      <c r="I4285">
        <v>99</v>
      </c>
      <c r="J4285">
        <v>384</v>
      </c>
      <c r="K4285" s="4">
        <v>213607.67999999999</v>
      </c>
      <c r="L4285" s="4">
        <v>706.57142857142856</v>
      </c>
      <c r="M4285" s="4">
        <v>0.54346947027901338</v>
      </c>
      <c r="N4285" t="s">
        <v>25</v>
      </c>
      <c r="O4285" t="str">
        <f t="shared" si="660"/>
        <v>Low</v>
      </c>
      <c r="P4285" t="str">
        <f t="shared" si="661"/>
        <v>Low</v>
      </c>
      <c r="Q4285" t="str">
        <f t="shared" si="662"/>
        <v>Low</v>
      </c>
      <c r="R4285" t="s">
        <v>3309</v>
      </c>
      <c r="S4285" s="4">
        <f t="shared" ca="1" si="663"/>
        <v>1783</v>
      </c>
      <c r="T4285">
        <f t="shared" si="664"/>
        <v>1</v>
      </c>
      <c r="U4285">
        <f t="shared" si="665"/>
        <v>1</v>
      </c>
      <c r="V4285">
        <f t="shared" si="666"/>
        <v>1</v>
      </c>
      <c r="W4285">
        <f t="shared" si="667"/>
        <v>3</v>
      </c>
      <c r="X4285">
        <f t="shared" si="668"/>
        <v>1.2</v>
      </c>
      <c r="Y4285" t="str">
        <f t="shared" si="669"/>
        <v>Healthy</v>
      </c>
    </row>
    <row r="4286" spans="1:25" x14ac:dyDescent="0.35">
      <c r="A4286" t="s">
        <v>14</v>
      </c>
      <c r="B4286" t="s">
        <v>58</v>
      </c>
      <c r="C4286" t="s">
        <v>951</v>
      </c>
      <c r="D4286" t="s">
        <v>1546</v>
      </c>
      <c r="E4286">
        <v>80876084</v>
      </c>
      <c r="F4286" t="s">
        <v>2711</v>
      </c>
      <c r="G4286" s="3">
        <v>48003</v>
      </c>
      <c r="H4286">
        <v>60</v>
      </c>
      <c r="I4286">
        <v>100</v>
      </c>
      <c r="J4286">
        <v>84</v>
      </c>
      <c r="K4286" s="4">
        <v>52198.44</v>
      </c>
      <c r="L4286" s="4">
        <v>547.57142857142856</v>
      </c>
      <c r="M4286" s="4">
        <v>0.1534046438820767</v>
      </c>
      <c r="N4286" t="s">
        <v>25</v>
      </c>
      <c r="O4286" t="str">
        <f t="shared" si="660"/>
        <v>Low</v>
      </c>
      <c r="P4286" t="str">
        <f t="shared" si="661"/>
        <v>Low</v>
      </c>
      <c r="Q4286" t="str">
        <f t="shared" si="662"/>
        <v>Low</v>
      </c>
      <c r="R4286" t="s">
        <v>3317</v>
      </c>
      <c r="S4286" s="4">
        <f t="shared" ca="1" si="663"/>
        <v>1806</v>
      </c>
      <c r="T4286">
        <f t="shared" si="664"/>
        <v>1</v>
      </c>
      <c r="U4286">
        <f t="shared" si="665"/>
        <v>1</v>
      </c>
      <c r="V4286">
        <f t="shared" si="666"/>
        <v>1</v>
      </c>
      <c r="W4286">
        <f t="shared" si="667"/>
        <v>1</v>
      </c>
      <c r="X4286">
        <f t="shared" si="668"/>
        <v>0.99999999999999989</v>
      </c>
      <c r="Y4286" t="str">
        <f t="shared" si="669"/>
        <v>Healthy</v>
      </c>
    </row>
    <row r="4287" spans="1:25" x14ac:dyDescent="0.35">
      <c r="A4287" t="s">
        <v>14</v>
      </c>
      <c r="B4287" t="s">
        <v>58</v>
      </c>
      <c r="C4287" t="s">
        <v>951</v>
      </c>
      <c r="D4287" t="s">
        <v>1546</v>
      </c>
      <c r="E4287">
        <v>80876084</v>
      </c>
      <c r="F4287" t="s">
        <v>2711</v>
      </c>
      <c r="G4287" s="3">
        <v>48002</v>
      </c>
      <c r="H4287">
        <v>60</v>
      </c>
      <c r="I4287">
        <v>100</v>
      </c>
      <c r="J4287">
        <v>37</v>
      </c>
      <c r="K4287" s="4">
        <v>22992.17</v>
      </c>
      <c r="L4287" s="4">
        <v>547.57142857142856</v>
      </c>
      <c r="M4287" s="4">
        <v>6.7571093138533794E-2</v>
      </c>
      <c r="N4287" t="s">
        <v>25</v>
      </c>
      <c r="O4287" t="str">
        <f t="shared" si="660"/>
        <v>Low</v>
      </c>
      <c r="P4287" t="str">
        <f t="shared" si="661"/>
        <v>Low</v>
      </c>
      <c r="Q4287" t="str">
        <f t="shared" si="662"/>
        <v>Low</v>
      </c>
      <c r="R4287" t="s">
        <v>3317</v>
      </c>
      <c r="S4287" s="4">
        <f t="shared" ca="1" si="663"/>
        <v>1805</v>
      </c>
      <c r="T4287">
        <f t="shared" si="664"/>
        <v>1</v>
      </c>
      <c r="U4287">
        <f t="shared" si="665"/>
        <v>1</v>
      </c>
      <c r="V4287">
        <f t="shared" si="666"/>
        <v>1</v>
      </c>
      <c r="W4287">
        <f t="shared" si="667"/>
        <v>1</v>
      </c>
      <c r="X4287">
        <f t="shared" si="668"/>
        <v>0.99999999999999989</v>
      </c>
      <c r="Y4287" t="str">
        <f t="shared" si="669"/>
        <v>Healthy</v>
      </c>
    </row>
    <row r="4288" spans="1:25" x14ac:dyDescent="0.35">
      <c r="A4288" t="s">
        <v>14</v>
      </c>
      <c r="B4288" t="s">
        <v>58</v>
      </c>
      <c r="C4288" t="s">
        <v>951</v>
      </c>
      <c r="D4288" t="s">
        <v>1546</v>
      </c>
      <c r="E4288">
        <v>80876084</v>
      </c>
      <c r="F4288" t="s">
        <v>2711</v>
      </c>
      <c r="G4288" s="3">
        <v>47950</v>
      </c>
      <c r="H4288">
        <v>60</v>
      </c>
      <c r="I4288">
        <v>98</v>
      </c>
      <c r="J4288">
        <v>81</v>
      </c>
      <c r="K4288" s="4">
        <v>50334.21</v>
      </c>
      <c r="L4288" s="4">
        <v>547.57142857142856</v>
      </c>
      <c r="M4288" s="4">
        <v>0.14792590660057398</v>
      </c>
      <c r="N4288" t="s">
        <v>25</v>
      </c>
      <c r="O4288" t="str">
        <f t="shared" si="660"/>
        <v>Low</v>
      </c>
      <c r="P4288" t="str">
        <f t="shared" si="661"/>
        <v>Low</v>
      </c>
      <c r="Q4288" t="str">
        <f t="shared" si="662"/>
        <v>Low</v>
      </c>
      <c r="R4288" t="s">
        <v>3317</v>
      </c>
      <c r="S4288" s="4">
        <f t="shared" ca="1" si="663"/>
        <v>1753</v>
      </c>
      <c r="T4288">
        <f t="shared" si="664"/>
        <v>1</v>
      </c>
      <c r="U4288">
        <f t="shared" si="665"/>
        <v>1</v>
      </c>
      <c r="V4288">
        <f t="shared" si="666"/>
        <v>1</v>
      </c>
      <c r="W4288">
        <f t="shared" si="667"/>
        <v>1</v>
      </c>
      <c r="X4288">
        <f t="shared" si="668"/>
        <v>0.99999999999999989</v>
      </c>
      <c r="Y4288" t="str">
        <f t="shared" si="669"/>
        <v>Healthy</v>
      </c>
    </row>
    <row r="4289" spans="1:25" x14ac:dyDescent="0.35">
      <c r="A4289" t="s">
        <v>14</v>
      </c>
      <c r="B4289" t="s">
        <v>58</v>
      </c>
      <c r="C4289" t="s">
        <v>162</v>
      </c>
      <c r="D4289" t="s">
        <v>1126</v>
      </c>
      <c r="E4289">
        <v>80876087</v>
      </c>
      <c r="F4289" t="s">
        <v>2712</v>
      </c>
      <c r="G4289" s="3">
        <v>47917</v>
      </c>
      <c r="H4289">
        <v>60</v>
      </c>
      <c r="I4289">
        <v>96</v>
      </c>
      <c r="J4289">
        <v>59</v>
      </c>
      <c r="K4289" s="4">
        <v>36663.19</v>
      </c>
      <c r="L4289" s="4">
        <v>446.71428571428572</v>
      </c>
      <c r="M4289" s="4">
        <v>0.13207547169811321</v>
      </c>
      <c r="N4289" t="s">
        <v>25</v>
      </c>
      <c r="O4289" t="str">
        <f t="shared" si="660"/>
        <v>Low</v>
      </c>
      <c r="P4289" t="str">
        <f t="shared" si="661"/>
        <v>Low</v>
      </c>
      <c r="Q4289" t="str">
        <f t="shared" si="662"/>
        <v>Low</v>
      </c>
      <c r="R4289" t="s">
        <v>3317</v>
      </c>
      <c r="S4289" s="4">
        <f t="shared" ca="1" si="663"/>
        <v>1720</v>
      </c>
      <c r="T4289">
        <f t="shared" si="664"/>
        <v>1</v>
      </c>
      <c r="U4289">
        <f t="shared" si="665"/>
        <v>1</v>
      </c>
      <c r="V4289">
        <f t="shared" si="666"/>
        <v>1</v>
      </c>
      <c r="W4289">
        <f t="shared" si="667"/>
        <v>1</v>
      </c>
      <c r="X4289">
        <f t="shared" si="668"/>
        <v>0.99999999999999989</v>
      </c>
      <c r="Y4289" t="str">
        <f t="shared" si="669"/>
        <v>Healthy</v>
      </c>
    </row>
    <row r="4290" spans="1:25" x14ac:dyDescent="0.35">
      <c r="A4290" t="s">
        <v>14</v>
      </c>
      <c r="B4290" t="s">
        <v>58</v>
      </c>
      <c r="C4290" t="s">
        <v>162</v>
      </c>
      <c r="D4290" t="s">
        <v>1126</v>
      </c>
      <c r="E4290">
        <v>80876087</v>
      </c>
      <c r="F4290" t="s">
        <v>2712</v>
      </c>
      <c r="G4290" s="3">
        <v>47931</v>
      </c>
      <c r="H4290">
        <v>60</v>
      </c>
      <c r="I4290">
        <v>97</v>
      </c>
      <c r="J4290">
        <v>296</v>
      </c>
      <c r="K4290" s="4">
        <v>183937.36</v>
      </c>
      <c r="L4290" s="4">
        <v>446.71428571428572</v>
      </c>
      <c r="M4290" s="4">
        <v>0.66261592580748319</v>
      </c>
      <c r="N4290" t="s">
        <v>25</v>
      </c>
      <c r="O4290" t="str">
        <f t="shared" si="660"/>
        <v>Low</v>
      </c>
      <c r="P4290" t="str">
        <f t="shared" si="661"/>
        <v>Low</v>
      </c>
      <c r="Q4290" t="str">
        <f t="shared" si="662"/>
        <v>Low</v>
      </c>
      <c r="R4290" t="s">
        <v>3309</v>
      </c>
      <c r="S4290" s="4">
        <f t="shared" ca="1" si="663"/>
        <v>1734</v>
      </c>
      <c r="T4290">
        <f t="shared" si="664"/>
        <v>1</v>
      </c>
      <c r="U4290">
        <f t="shared" si="665"/>
        <v>1</v>
      </c>
      <c r="V4290">
        <f t="shared" si="666"/>
        <v>1</v>
      </c>
      <c r="W4290">
        <f t="shared" si="667"/>
        <v>3</v>
      </c>
      <c r="X4290">
        <f t="shared" si="668"/>
        <v>1.2</v>
      </c>
      <c r="Y4290" t="str">
        <f t="shared" si="669"/>
        <v>Healthy</v>
      </c>
    </row>
    <row r="4291" spans="1:25" x14ac:dyDescent="0.35">
      <c r="A4291" t="s">
        <v>14</v>
      </c>
      <c r="B4291" t="s">
        <v>58</v>
      </c>
      <c r="C4291" t="s">
        <v>162</v>
      </c>
      <c r="D4291" t="s">
        <v>1126</v>
      </c>
      <c r="E4291">
        <v>80876087</v>
      </c>
      <c r="F4291" t="s">
        <v>2712</v>
      </c>
      <c r="G4291" s="3">
        <v>47960</v>
      </c>
      <c r="H4291">
        <v>60</v>
      </c>
      <c r="I4291">
        <v>98</v>
      </c>
      <c r="J4291">
        <v>64</v>
      </c>
      <c r="K4291" s="4">
        <v>39770.239999999998</v>
      </c>
      <c r="L4291" s="4">
        <v>446.71428571428572</v>
      </c>
      <c r="M4291" s="4">
        <v>0.14326830828269907</v>
      </c>
      <c r="N4291" t="s">
        <v>25</v>
      </c>
      <c r="O4291" t="str">
        <f t="shared" ref="O4291:O4354" si="670">IF(I4291&lt;20,"High",IF(I4291&lt;40,"Medium","Low"))</f>
        <v>Low</v>
      </c>
      <c r="P4291" t="str">
        <f t="shared" ref="P4291:P4354" si="671">IF(M4291&gt;8,"High",IF(M4291&gt;4,"Medium","Low"))</f>
        <v>Low</v>
      </c>
      <c r="Q4291" t="str">
        <f t="shared" ref="Q4291:Q4354" si="672">IF(L4291&lt;5,"High",IF(L4291&lt;15,"Medium","Low"))</f>
        <v>Low</v>
      </c>
      <c r="R4291" t="s">
        <v>3317</v>
      </c>
      <c r="S4291" s="4">
        <f t="shared" ref="S4291:S4354" ca="1" si="673">G4291-TODAY()</f>
        <v>1763</v>
      </c>
      <c r="T4291">
        <f t="shared" ref="T4291:T4354" si="674">IF(O4291="High",3,IF(O4291="Medium",2,1))</f>
        <v>1</v>
      </c>
      <c r="U4291">
        <f t="shared" ref="U4291:U4354" si="675">IF(P4291="High",3,IF(P4291="Medium",2,1))</f>
        <v>1</v>
      </c>
      <c r="V4291">
        <f t="shared" ref="V4291:V4354" si="676">IF(Q4291="High",3,IF(Q4291="Medium",2,1))</f>
        <v>1</v>
      </c>
      <c r="W4291">
        <f t="shared" ref="W4291:W4354" si="677">IF(R4291="High",3,IF(R4291="Medium",2,1))</f>
        <v>1</v>
      </c>
      <c r="X4291">
        <f t="shared" ref="X4291:X4354" si="678">(0.4*T4291)+(0.3*U4291)+(0.2*V4291)+(0.1*W4291)</f>
        <v>0.99999999999999989</v>
      </c>
      <c r="Y4291" t="str">
        <f t="shared" ref="Y4291:Y4354" si="679">IF(X4291&gt;=2.7,"Move Immediately",IF(X4291&gt;=2.2,"High Priority",IF(X4291&gt;=1.7,"Monitor","Healthy")))</f>
        <v>Healthy</v>
      </c>
    </row>
    <row r="4292" spans="1:25" x14ac:dyDescent="0.35">
      <c r="A4292" t="s">
        <v>189</v>
      </c>
      <c r="B4292" t="s">
        <v>1219</v>
      </c>
      <c r="C4292" t="s">
        <v>1219</v>
      </c>
      <c r="D4292" t="s">
        <v>2066</v>
      </c>
      <c r="E4292">
        <v>80862181</v>
      </c>
      <c r="F4292" t="s">
        <v>2713</v>
      </c>
      <c r="G4292" s="3">
        <v>46722</v>
      </c>
      <c r="H4292">
        <v>24</v>
      </c>
      <c r="I4292">
        <v>74</v>
      </c>
      <c r="J4292">
        <v>17</v>
      </c>
      <c r="K4292" s="4">
        <v>2737.17</v>
      </c>
      <c r="L4292" s="4">
        <v>2351.2857142857142</v>
      </c>
      <c r="M4292" s="4">
        <v>7.2300868825566564E-3</v>
      </c>
      <c r="N4292" t="s">
        <v>25</v>
      </c>
      <c r="O4292" t="str">
        <f t="shared" si="670"/>
        <v>Low</v>
      </c>
      <c r="P4292" t="str">
        <f t="shared" si="671"/>
        <v>Low</v>
      </c>
      <c r="Q4292" t="str">
        <f t="shared" si="672"/>
        <v>Low</v>
      </c>
      <c r="R4292" t="s">
        <v>3317</v>
      </c>
      <c r="S4292" s="4">
        <f t="shared" ca="1" si="673"/>
        <v>525</v>
      </c>
      <c r="T4292">
        <f t="shared" si="674"/>
        <v>1</v>
      </c>
      <c r="U4292">
        <f t="shared" si="675"/>
        <v>1</v>
      </c>
      <c r="V4292">
        <f t="shared" si="676"/>
        <v>1</v>
      </c>
      <c r="W4292">
        <f t="shared" si="677"/>
        <v>1</v>
      </c>
      <c r="X4292">
        <f t="shared" si="678"/>
        <v>0.99999999999999989</v>
      </c>
      <c r="Y4292" t="str">
        <f t="shared" si="679"/>
        <v>Healthy</v>
      </c>
    </row>
    <row r="4293" spans="1:25" x14ac:dyDescent="0.35">
      <c r="A4293" t="s">
        <v>189</v>
      </c>
      <c r="B4293" t="s">
        <v>539</v>
      </c>
      <c r="C4293" t="s">
        <v>539</v>
      </c>
      <c r="D4293" t="s">
        <v>1933</v>
      </c>
      <c r="E4293">
        <v>80885891</v>
      </c>
      <c r="F4293" t="s">
        <v>2714</v>
      </c>
      <c r="G4293" s="3">
        <v>46829</v>
      </c>
      <c r="H4293">
        <v>24</v>
      </c>
      <c r="I4293">
        <v>88</v>
      </c>
      <c r="J4293">
        <v>2</v>
      </c>
      <c r="K4293" s="4">
        <v>192.26</v>
      </c>
      <c r="L4293" s="4">
        <v>1157.4285714285713</v>
      </c>
      <c r="M4293" s="4">
        <v>1.7279684028634907E-3</v>
      </c>
      <c r="N4293" t="s">
        <v>25</v>
      </c>
      <c r="O4293" t="str">
        <f t="shared" si="670"/>
        <v>Low</v>
      </c>
      <c r="P4293" t="str">
        <f t="shared" si="671"/>
        <v>Low</v>
      </c>
      <c r="Q4293" t="str">
        <f t="shared" si="672"/>
        <v>Low</v>
      </c>
      <c r="R4293" t="s">
        <v>3317</v>
      </c>
      <c r="S4293" s="4">
        <f t="shared" ca="1" si="673"/>
        <v>632</v>
      </c>
      <c r="T4293">
        <f t="shared" si="674"/>
        <v>1</v>
      </c>
      <c r="U4293">
        <f t="shared" si="675"/>
        <v>1</v>
      </c>
      <c r="V4293">
        <f t="shared" si="676"/>
        <v>1</v>
      </c>
      <c r="W4293">
        <f t="shared" si="677"/>
        <v>1</v>
      </c>
      <c r="X4293">
        <f t="shared" si="678"/>
        <v>0.99999999999999989</v>
      </c>
      <c r="Y4293" t="str">
        <f t="shared" si="679"/>
        <v>Healthy</v>
      </c>
    </row>
    <row r="4294" spans="1:25" x14ac:dyDescent="0.35">
      <c r="A4294" t="s">
        <v>189</v>
      </c>
      <c r="B4294" t="s">
        <v>539</v>
      </c>
      <c r="C4294" t="s">
        <v>539</v>
      </c>
      <c r="D4294" t="s">
        <v>1933</v>
      </c>
      <c r="E4294">
        <v>80885891</v>
      </c>
      <c r="F4294" t="s">
        <v>2714</v>
      </c>
      <c r="G4294" s="3">
        <v>46833</v>
      </c>
      <c r="H4294">
        <v>24</v>
      </c>
      <c r="I4294">
        <v>89</v>
      </c>
      <c r="J4294">
        <v>909</v>
      </c>
      <c r="K4294" s="4">
        <v>87382.17</v>
      </c>
      <c r="L4294" s="4">
        <v>1157.4285714285713</v>
      </c>
      <c r="M4294" s="4">
        <v>0.78536163910145651</v>
      </c>
      <c r="N4294" t="s">
        <v>25</v>
      </c>
      <c r="O4294" t="str">
        <f t="shared" si="670"/>
        <v>Low</v>
      </c>
      <c r="P4294" t="str">
        <f t="shared" si="671"/>
        <v>Low</v>
      </c>
      <c r="Q4294" t="str">
        <f t="shared" si="672"/>
        <v>Low</v>
      </c>
      <c r="R4294" t="s">
        <v>3310</v>
      </c>
      <c r="S4294" s="4">
        <f t="shared" ca="1" si="673"/>
        <v>636</v>
      </c>
      <c r="T4294">
        <f t="shared" si="674"/>
        <v>1</v>
      </c>
      <c r="U4294">
        <f t="shared" si="675"/>
        <v>1</v>
      </c>
      <c r="V4294">
        <f t="shared" si="676"/>
        <v>1</v>
      </c>
      <c r="W4294">
        <f t="shared" si="677"/>
        <v>2</v>
      </c>
      <c r="X4294">
        <f t="shared" si="678"/>
        <v>1.0999999999999999</v>
      </c>
      <c r="Y4294" t="str">
        <f t="shared" si="679"/>
        <v>Healthy</v>
      </c>
    </row>
    <row r="4295" spans="1:25" x14ac:dyDescent="0.35">
      <c r="A4295" t="s">
        <v>189</v>
      </c>
      <c r="B4295" t="s">
        <v>1219</v>
      </c>
      <c r="C4295" t="s">
        <v>1219</v>
      </c>
      <c r="D4295" t="s">
        <v>2066</v>
      </c>
      <c r="E4295">
        <v>80862181</v>
      </c>
      <c r="F4295" t="s">
        <v>2713</v>
      </c>
      <c r="G4295" s="3">
        <v>46721</v>
      </c>
      <c r="H4295">
        <v>24</v>
      </c>
      <c r="I4295">
        <v>73</v>
      </c>
      <c r="J4295">
        <v>1136</v>
      </c>
      <c r="K4295" s="4">
        <v>182907.36</v>
      </c>
      <c r="L4295" s="4">
        <v>2351.2857142857142</v>
      </c>
      <c r="M4295" s="4">
        <v>0.48313992344613893</v>
      </c>
      <c r="N4295" t="s">
        <v>25</v>
      </c>
      <c r="O4295" t="str">
        <f t="shared" si="670"/>
        <v>Low</v>
      </c>
      <c r="P4295" t="str">
        <f t="shared" si="671"/>
        <v>Low</v>
      </c>
      <c r="Q4295" t="str">
        <f t="shared" si="672"/>
        <v>Low</v>
      </c>
      <c r="R4295" t="s">
        <v>3309</v>
      </c>
      <c r="S4295" s="4">
        <f t="shared" ca="1" si="673"/>
        <v>524</v>
      </c>
      <c r="T4295">
        <f t="shared" si="674"/>
        <v>1</v>
      </c>
      <c r="U4295">
        <f t="shared" si="675"/>
        <v>1</v>
      </c>
      <c r="V4295">
        <f t="shared" si="676"/>
        <v>1</v>
      </c>
      <c r="W4295">
        <f t="shared" si="677"/>
        <v>3</v>
      </c>
      <c r="X4295">
        <f t="shared" si="678"/>
        <v>1.2</v>
      </c>
      <c r="Y4295" t="str">
        <f t="shared" si="679"/>
        <v>Healthy</v>
      </c>
    </row>
    <row r="4296" spans="1:25" x14ac:dyDescent="0.35">
      <c r="A4296" t="s">
        <v>14</v>
      </c>
      <c r="B4296" t="s">
        <v>115</v>
      </c>
      <c r="C4296" t="s">
        <v>469</v>
      </c>
      <c r="D4296" t="s">
        <v>2715</v>
      </c>
      <c r="E4296">
        <v>80885089</v>
      </c>
      <c r="F4296" t="s">
        <v>2716</v>
      </c>
      <c r="G4296" s="3">
        <v>47937</v>
      </c>
      <c r="H4296">
        <v>60</v>
      </c>
      <c r="I4296">
        <v>97</v>
      </c>
      <c r="J4296">
        <v>48</v>
      </c>
      <c r="K4296" s="4">
        <v>5529.6</v>
      </c>
      <c r="L4296" s="4">
        <v>41044.142857142855</v>
      </c>
      <c r="M4296" s="4">
        <v>1.1694725887459148E-3</v>
      </c>
      <c r="N4296" t="s">
        <v>25</v>
      </c>
      <c r="O4296" t="str">
        <f t="shared" si="670"/>
        <v>Low</v>
      </c>
      <c r="P4296" t="str">
        <f t="shared" si="671"/>
        <v>Low</v>
      </c>
      <c r="Q4296" t="str">
        <f t="shared" si="672"/>
        <v>Low</v>
      </c>
      <c r="R4296" t="s">
        <v>3317</v>
      </c>
      <c r="S4296" s="4">
        <f t="shared" ca="1" si="673"/>
        <v>1740</v>
      </c>
      <c r="T4296">
        <f t="shared" si="674"/>
        <v>1</v>
      </c>
      <c r="U4296">
        <f t="shared" si="675"/>
        <v>1</v>
      </c>
      <c r="V4296">
        <f t="shared" si="676"/>
        <v>1</v>
      </c>
      <c r="W4296">
        <f t="shared" si="677"/>
        <v>1</v>
      </c>
      <c r="X4296">
        <f t="shared" si="678"/>
        <v>0.99999999999999989</v>
      </c>
      <c r="Y4296" t="str">
        <f t="shared" si="679"/>
        <v>Healthy</v>
      </c>
    </row>
    <row r="4297" spans="1:25" x14ac:dyDescent="0.35">
      <c r="A4297" t="s">
        <v>41</v>
      </c>
      <c r="B4297" t="s">
        <v>42</v>
      </c>
      <c r="C4297" t="s">
        <v>43</v>
      </c>
      <c r="D4297" t="s">
        <v>2717</v>
      </c>
      <c r="E4297">
        <v>80879282</v>
      </c>
      <c r="F4297" t="s">
        <v>2718</v>
      </c>
      <c r="G4297" s="3">
        <v>47124</v>
      </c>
      <c r="H4297">
        <v>36</v>
      </c>
      <c r="I4297">
        <v>86</v>
      </c>
      <c r="J4297">
        <v>7</v>
      </c>
      <c r="K4297" s="4">
        <v>458.15</v>
      </c>
      <c r="L4297" s="4">
        <v>89.571428571428569</v>
      </c>
      <c r="M4297" s="4">
        <v>7.8149920255183414E-2</v>
      </c>
      <c r="N4297" t="s">
        <v>25</v>
      </c>
      <c r="O4297" t="str">
        <f t="shared" si="670"/>
        <v>Low</v>
      </c>
      <c r="P4297" t="str">
        <f t="shared" si="671"/>
        <v>Low</v>
      </c>
      <c r="Q4297" t="str">
        <f t="shared" si="672"/>
        <v>Low</v>
      </c>
      <c r="R4297" t="s">
        <v>3317</v>
      </c>
      <c r="S4297" s="4">
        <f t="shared" ca="1" si="673"/>
        <v>927</v>
      </c>
      <c r="T4297">
        <f t="shared" si="674"/>
        <v>1</v>
      </c>
      <c r="U4297">
        <f t="shared" si="675"/>
        <v>1</v>
      </c>
      <c r="V4297">
        <f t="shared" si="676"/>
        <v>1</v>
      </c>
      <c r="W4297">
        <f t="shared" si="677"/>
        <v>1</v>
      </c>
      <c r="X4297">
        <f t="shared" si="678"/>
        <v>0.99999999999999989</v>
      </c>
      <c r="Y4297" t="str">
        <f t="shared" si="679"/>
        <v>Healthy</v>
      </c>
    </row>
    <row r="4298" spans="1:25" x14ac:dyDescent="0.35">
      <c r="A4298" t="s">
        <v>189</v>
      </c>
      <c r="B4298" t="s">
        <v>1219</v>
      </c>
      <c r="C4298" t="s">
        <v>1219</v>
      </c>
      <c r="D4298" t="s">
        <v>1220</v>
      </c>
      <c r="E4298">
        <v>80862182</v>
      </c>
      <c r="F4298" t="s">
        <v>2719</v>
      </c>
      <c r="G4298" s="3">
        <v>46837</v>
      </c>
      <c r="H4298">
        <v>24</v>
      </c>
      <c r="I4298">
        <v>90</v>
      </c>
      <c r="J4298">
        <v>2977</v>
      </c>
      <c r="K4298" s="4">
        <v>279004.44</v>
      </c>
      <c r="L4298" s="4">
        <v>6310.1428571428569</v>
      </c>
      <c r="M4298" s="4">
        <v>0.47178012723279983</v>
      </c>
      <c r="N4298" t="s">
        <v>25</v>
      </c>
      <c r="O4298" t="str">
        <f t="shared" si="670"/>
        <v>Low</v>
      </c>
      <c r="P4298" t="str">
        <f t="shared" si="671"/>
        <v>Low</v>
      </c>
      <c r="Q4298" t="str">
        <f t="shared" si="672"/>
        <v>Low</v>
      </c>
      <c r="R4298" t="s">
        <v>3309</v>
      </c>
      <c r="S4298" s="4">
        <f t="shared" ca="1" si="673"/>
        <v>640</v>
      </c>
      <c r="T4298">
        <f t="shared" si="674"/>
        <v>1</v>
      </c>
      <c r="U4298">
        <f t="shared" si="675"/>
        <v>1</v>
      </c>
      <c r="V4298">
        <f t="shared" si="676"/>
        <v>1</v>
      </c>
      <c r="W4298">
        <f t="shared" si="677"/>
        <v>3</v>
      </c>
      <c r="X4298">
        <f t="shared" si="678"/>
        <v>1.2</v>
      </c>
      <c r="Y4298" t="str">
        <f t="shared" si="679"/>
        <v>Healthy</v>
      </c>
    </row>
    <row r="4299" spans="1:25" x14ac:dyDescent="0.35">
      <c r="A4299" t="s">
        <v>14</v>
      </c>
      <c r="B4299" t="s">
        <v>115</v>
      </c>
      <c r="C4299" t="s">
        <v>469</v>
      </c>
      <c r="D4299" t="s">
        <v>2715</v>
      </c>
      <c r="E4299">
        <v>80885089</v>
      </c>
      <c r="F4299" t="s">
        <v>2716</v>
      </c>
      <c r="G4299" s="3">
        <v>47969</v>
      </c>
      <c r="H4299">
        <v>60</v>
      </c>
      <c r="I4299">
        <v>99</v>
      </c>
      <c r="J4299">
        <v>112080</v>
      </c>
      <c r="K4299" s="4">
        <v>12911616</v>
      </c>
      <c r="L4299" s="4">
        <v>41044.142857142855</v>
      </c>
      <c r="M4299" s="4">
        <v>2.7307184947217111</v>
      </c>
      <c r="N4299" t="s">
        <v>25</v>
      </c>
      <c r="O4299" t="str">
        <f t="shared" si="670"/>
        <v>Low</v>
      </c>
      <c r="P4299" t="str">
        <f t="shared" si="671"/>
        <v>Low</v>
      </c>
      <c r="Q4299" t="str">
        <f t="shared" si="672"/>
        <v>Low</v>
      </c>
      <c r="R4299" t="s">
        <v>3309</v>
      </c>
      <c r="S4299" s="4">
        <f t="shared" ca="1" si="673"/>
        <v>1772</v>
      </c>
      <c r="T4299">
        <f t="shared" si="674"/>
        <v>1</v>
      </c>
      <c r="U4299">
        <f t="shared" si="675"/>
        <v>1</v>
      </c>
      <c r="V4299">
        <f t="shared" si="676"/>
        <v>1</v>
      </c>
      <c r="W4299">
        <f t="shared" si="677"/>
        <v>3</v>
      </c>
      <c r="X4299">
        <f t="shared" si="678"/>
        <v>1.2</v>
      </c>
      <c r="Y4299" t="str">
        <f t="shared" si="679"/>
        <v>Healthy</v>
      </c>
    </row>
    <row r="4300" spans="1:25" x14ac:dyDescent="0.35">
      <c r="A4300" t="s">
        <v>41</v>
      </c>
      <c r="B4300" t="s">
        <v>42</v>
      </c>
      <c r="C4300" t="s">
        <v>43</v>
      </c>
      <c r="D4300" t="s">
        <v>221</v>
      </c>
      <c r="E4300">
        <v>80879283</v>
      </c>
      <c r="F4300" t="s">
        <v>2720</v>
      </c>
      <c r="G4300" s="3">
        <v>47193</v>
      </c>
      <c r="H4300">
        <v>36</v>
      </c>
      <c r="I4300">
        <v>93</v>
      </c>
      <c r="J4300">
        <v>7</v>
      </c>
      <c r="K4300" s="4">
        <v>5393.85</v>
      </c>
      <c r="L4300" s="4">
        <v>1059.7142857142858</v>
      </c>
      <c r="M4300" s="4">
        <v>6.6055540576974922E-3</v>
      </c>
      <c r="N4300" t="s">
        <v>25</v>
      </c>
      <c r="O4300" t="str">
        <f t="shared" si="670"/>
        <v>Low</v>
      </c>
      <c r="P4300" t="str">
        <f t="shared" si="671"/>
        <v>Low</v>
      </c>
      <c r="Q4300" t="str">
        <f t="shared" si="672"/>
        <v>Low</v>
      </c>
      <c r="R4300" t="s">
        <v>3317</v>
      </c>
      <c r="S4300" s="4">
        <f t="shared" ca="1" si="673"/>
        <v>996</v>
      </c>
      <c r="T4300">
        <f t="shared" si="674"/>
        <v>1</v>
      </c>
      <c r="U4300">
        <f t="shared" si="675"/>
        <v>1</v>
      </c>
      <c r="V4300">
        <f t="shared" si="676"/>
        <v>1</v>
      </c>
      <c r="W4300">
        <f t="shared" si="677"/>
        <v>1</v>
      </c>
      <c r="X4300">
        <f t="shared" si="678"/>
        <v>0.99999999999999989</v>
      </c>
      <c r="Y4300" t="str">
        <f t="shared" si="679"/>
        <v>Healthy</v>
      </c>
    </row>
    <row r="4301" spans="1:25" x14ac:dyDescent="0.35">
      <c r="A4301" t="s">
        <v>189</v>
      </c>
      <c r="B4301" t="s">
        <v>417</v>
      </c>
      <c r="C4301" t="s">
        <v>417</v>
      </c>
      <c r="D4301" t="s">
        <v>2721</v>
      </c>
      <c r="E4301">
        <v>80895629</v>
      </c>
      <c r="F4301" t="s">
        <v>2722</v>
      </c>
      <c r="G4301" s="3">
        <v>46649</v>
      </c>
      <c r="H4301">
        <v>18</v>
      </c>
      <c r="I4301">
        <v>85</v>
      </c>
      <c r="J4301">
        <v>648</v>
      </c>
      <c r="K4301" s="4">
        <v>72673.2</v>
      </c>
      <c r="L4301" s="4">
        <v>5216.7142857142853</v>
      </c>
      <c r="M4301" s="4">
        <v>0.12421611852014132</v>
      </c>
      <c r="N4301" t="s">
        <v>25</v>
      </c>
      <c r="O4301" t="str">
        <f t="shared" si="670"/>
        <v>Low</v>
      </c>
      <c r="P4301" t="str">
        <f t="shared" si="671"/>
        <v>Low</v>
      </c>
      <c r="Q4301" t="str">
        <f t="shared" si="672"/>
        <v>Low</v>
      </c>
      <c r="R4301" t="s">
        <v>3310</v>
      </c>
      <c r="S4301" s="4">
        <f t="shared" ca="1" si="673"/>
        <v>452</v>
      </c>
      <c r="T4301">
        <f t="shared" si="674"/>
        <v>1</v>
      </c>
      <c r="U4301">
        <f t="shared" si="675"/>
        <v>1</v>
      </c>
      <c r="V4301">
        <f t="shared" si="676"/>
        <v>1</v>
      </c>
      <c r="W4301">
        <f t="shared" si="677"/>
        <v>2</v>
      </c>
      <c r="X4301">
        <f t="shared" si="678"/>
        <v>1.0999999999999999</v>
      </c>
      <c r="Y4301" t="str">
        <f t="shared" si="679"/>
        <v>Healthy</v>
      </c>
    </row>
    <row r="4302" spans="1:25" x14ac:dyDescent="0.35">
      <c r="A4302" t="s">
        <v>41</v>
      </c>
      <c r="B4302" t="s">
        <v>42</v>
      </c>
      <c r="C4302" t="s">
        <v>43</v>
      </c>
      <c r="D4302" t="s">
        <v>221</v>
      </c>
      <c r="E4302">
        <v>80879283</v>
      </c>
      <c r="F4302" t="s">
        <v>2720</v>
      </c>
      <c r="G4302" s="3">
        <v>47185</v>
      </c>
      <c r="H4302">
        <v>36</v>
      </c>
      <c r="I4302">
        <v>92</v>
      </c>
      <c r="J4302">
        <v>4</v>
      </c>
      <c r="K4302" s="4">
        <v>3082.2</v>
      </c>
      <c r="L4302" s="4">
        <v>1059.7142857142858</v>
      </c>
      <c r="M4302" s="4">
        <v>3.7746023186842814E-3</v>
      </c>
      <c r="N4302" t="s">
        <v>25</v>
      </c>
      <c r="O4302" t="str">
        <f t="shared" si="670"/>
        <v>Low</v>
      </c>
      <c r="P4302" t="str">
        <f t="shared" si="671"/>
        <v>Low</v>
      </c>
      <c r="Q4302" t="str">
        <f t="shared" si="672"/>
        <v>Low</v>
      </c>
      <c r="R4302" t="s">
        <v>3317</v>
      </c>
      <c r="S4302" s="4">
        <f t="shared" ca="1" si="673"/>
        <v>988</v>
      </c>
      <c r="T4302">
        <f t="shared" si="674"/>
        <v>1</v>
      </c>
      <c r="U4302">
        <f t="shared" si="675"/>
        <v>1</v>
      </c>
      <c r="V4302">
        <f t="shared" si="676"/>
        <v>1</v>
      </c>
      <c r="W4302">
        <f t="shared" si="677"/>
        <v>1</v>
      </c>
      <c r="X4302">
        <f t="shared" si="678"/>
        <v>0.99999999999999989</v>
      </c>
      <c r="Y4302" t="str">
        <f t="shared" si="679"/>
        <v>Healthy</v>
      </c>
    </row>
    <row r="4303" spans="1:25" x14ac:dyDescent="0.35">
      <c r="A4303" t="s">
        <v>41</v>
      </c>
      <c r="B4303" t="s">
        <v>42</v>
      </c>
      <c r="C4303" t="s">
        <v>43</v>
      </c>
      <c r="D4303" t="s">
        <v>221</v>
      </c>
      <c r="E4303">
        <v>80879283</v>
      </c>
      <c r="F4303" t="s">
        <v>2720</v>
      </c>
      <c r="G4303" s="3">
        <v>47160</v>
      </c>
      <c r="H4303">
        <v>36</v>
      </c>
      <c r="I4303">
        <v>90</v>
      </c>
      <c r="J4303">
        <v>8</v>
      </c>
      <c r="K4303" s="4">
        <v>6164.4</v>
      </c>
      <c r="L4303" s="4">
        <v>1059.7142857142858</v>
      </c>
      <c r="M4303" s="4">
        <v>7.5492046373685628E-3</v>
      </c>
      <c r="N4303" t="s">
        <v>25</v>
      </c>
      <c r="O4303" t="str">
        <f t="shared" si="670"/>
        <v>Low</v>
      </c>
      <c r="P4303" t="str">
        <f t="shared" si="671"/>
        <v>Low</v>
      </c>
      <c r="Q4303" t="str">
        <f t="shared" si="672"/>
        <v>Low</v>
      </c>
      <c r="R4303" t="s">
        <v>3317</v>
      </c>
      <c r="S4303" s="4">
        <f t="shared" ca="1" si="673"/>
        <v>963</v>
      </c>
      <c r="T4303">
        <f t="shared" si="674"/>
        <v>1</v>
      </c>
      <c r="U4303">
        <f t="shared" si="675"/>
        <v>1</v>
      </c>
      <c r="V4303">
        <f t="shared" si="676"/>
        <v>1</v>
      </c>
      <c r="W4303">
        <f t="shared" si="677"/>
        <v>1</v>
      </c>
      <c r="X4303">
        <f t="shared" si="678"/>
        <v>0.99999999999999989</v>
      </c>
      <c r="Y4303" t="str">
        <f t="shared" si="679"/>
        <v>Healthy</v>
      </c>
    </row>
    <row r="4304" spans="1:25" x14ac:dyDescent="0.35">
      <c r="A4304" t="s">
        <v>189</v>
      </c>
      <c r="B4304" t="s">
        <v>417</v>
      </c>
      <c r="C4304" t="s">
        <v>417</v>
      </c>
      <c r="D4304" t="s">
        <v>2721</v>
      </c>
      <c r="E4304">
        <v>80895629</v>
      </c>
      <c r="F4304" t="s">
        <v>2722</v>
      </c>
      <c r="G4304" s="3">
        <v>46666</v>
      </c>
      <c r="H4304">
        <v>18</v>
      </c>
      <c r="I4304">
        <v>88</v>
      </c>
      <c r="J4304">
        <v>1504</v>
      </c>
      <c r="K4304" s="4">
        <v>168673.6</v>
      </c>
      <c r="L4304" s="4">
        <v>5216.7142857142853</v>
      </c>
      <c r="M4304" s="4">
        <v>0.28830407755292059</v>
      </c>
      <c r="N4304" t="s">
        <v>25</v>
      </c>
      <c r="O4304" t="str">
        <f t="shared" si="670"/>
        <v>Low</v>
      </c>
      <c r="P4304" t="str">
        <f t="shared" si="671"/>
        <v>Low</v>
      </c>
      <c r="Q4304" t="str">
        <f t="shared" si="672"/>
        <v>Low</v>
      </c>
      <c r="R4304" t="s">
        <v>3309</v>
      </c>
      <c r="S4304" s="4">
        <f t="shared" ca="1" si="673"/>
        <v>469</v>
      </c>
      <c r="T4304">
        <f t="shared" si="674"/>
        <v>1</v>
      </c>
      <c r="U4304">
        <f t="shared" si="675"/>
        <v>1</v>
      </c>
      <c r="V4304">
        <f t="shared" si="676"/>
        <v>1</v>
      </c>
      <c r="W4304">
        <f t="shared" si="677"/>
        <v>3</v>
      </c>
      <c r="X4304">
        <f t="shared" si="678"/>
        <v>1.2</v>
      </c>
      <c r="Y4304" t="str">
        <f t="shared" si="679"/>
        <v>Healthy</v>
      </c>
    </row>
    <row r="4305" spans="1:25" x14ac:dyDescent="0.35">
      <c r="A4305" t="s">
        <v>41</v>
      </c>
      <c r="B4305" t="s">
        <v>42</v>
      </c>
      <c r="C4305" t="s">
        <v>43</v>
      </c>
      <c r="D4305" t="s">
        <v>221</v>
      </c>
      <c r="E4305">
        <v>80879283</v>
      </c>
      <c r="F4305" t="s">
        <v>2720</v>
      </c>
      <c r="G4305" s="3">
        <v>47160</v>
      </c>
      <c r="H4305">
        <v>36</v>
      </c>
      <c r="I4305">
        <v>90</v>
      </c>
      <c r="J4305">
        <v>42</v>
      </c>
      <c r="K4305" s="4">
        <v>32363.1</v>
      </c>
      <c r="L4305" s="4">
        <v>1059.7142857142858</v>
      </c>
      <c r="M4305" s="4">
        <v>3.9633324346184953E-2</v>
      </c>
      <c r="N4305" t="s">
        <v>25</v>
      </c>
      <c r="O4305" t="str">
        <f t="shared" si="670"/>
        <v>Low</v>
      </c>
      <c r="P4305" t="str">
        <f t="shared" si="671"/>
        <v>Low</v>
      </c>
      <c r="Q4305" t="str">
        <f t="shared" si="672"/>
        <v>Low</v>
      </c>
      <c r="R4305" t="s">
        <v>3317</v>
      </c>
      <c r="S4305" s="4">
        <f t="shared" ca="1" si="673"/>
        <v>963</v>
      </c>
      <c r="T4305">
        <f t="shared" si="674"/>
        <v>1</v>
      </c>
      <c r="U4305">
        <f t="shared" si="675"/>
        <v>1</v>
      </c>
      <c r="V4305">
        <f t="shared" si="676"/>
        <v>1</v>
      </c>
      <c r="W4305">
        <f t="shared" si="677"/>
        <v>1</v>
      </c>
      <c r="X4305">
        <f t="shared" si="678"/>
        <v>0.99999999999999989</v>
      </c>
      <c r="Y4305" t="str">
        <f t="shared" si="679"/>
        <v>Healthy</v>
      </c>
    </row>
    <row r="4306" spans="1:25" x14ac:dyDescent="0.35">
      <c r="A4306" t="s">
        <v>41</v>
      </c>
      <c r="B4306" t="s">
        <v>42</v>
      </c>
      <c r="C4306" t="s">
        <v>43</v>
      </c>
      <c r="D4306" t="s">
        <v>221</v>
      </c>
      <c r="E4306">
        <v>80879283</v>
      </c>
      <c r="F4306" t="s">
        <v>2720</v>
      </c>
      <c r="G4306" s="3">
        <v>47119</v>
      </c>
      <c r="H4306">
        <v>36</v>
      </c>
      <c r="I4306">
        <v>86</v>
      </c>
      <c r="J4306">
        <v>5</v>
      </c>
      <c r="K4306" s="4">
        <v>3852.75</v>
      </c>
      <c r="L4306" s="4">
        <v>1059.7142857142858</v>
      </c>
      <c r="M4306" s="4">
        <v>4.7182528983553519E-3</v>
      </c>
      <c r="N4306" t="s">
        <v>25</v>
      </c>
      <c r="O4306" t="str">
        <f t="shared" si="670"/>
        <v>Low</v>
      </c>
      <c r="P4306" t="str">
        <f t="shared" si="671"/>
        <v>Low</v>
      </c>
      <c r="Q4306" t="str">
        <f t="shared" si="672"/>
        <v>Low</v>
      </c>
      <c r="R4306" t="s">
        <v>3317</v>
      </c>
      <c r="S4306" s="4">
        <f t="shared" ca="1" si="673"/>
        <v>922</v>
      </c>
      <c r="T4306">
        <f t="shared" si="674"/>
        <v>1</v>
      </c>
      <c r="U4306">
        <f t="shared" si="675"/>
        <v>1</v>
      </c>
      <c r="V4306">
        <f t="shared" si="676"/>
        <v>1</v>
      </c>
      <c r="W4306">
        <f t="shared" si="677"/>
        <v>1</v>
      </c>
      <c r="X4306">
        <f t="shared" si="678"/>
        <v>0.99999999999999989</v>
      </c>
      <c r="Y4306" t="str">
        <f t="shared" si="679"/>
        <v>Healthy</v>
      </c>
    </row>
    <row r="4307" spans="1:25" x14ac:dyDescent="0.35">
      <c r="A4307" t="s">
        <v>189</v>
      </c>
      <c r="B4307" t="s">
        <v>1219</v>
      </c>
      <c r="C4307" t="s">
        <v>1219</v>
      </c>
      <c r="D4307" t="s">
        <v>1466</v>
      </c>
      <c r="E4307">
        <v>80862183</v>
      </c>
      <c r="F4307" t="s">
        <v>2723</v>
      </c>
      <c r="G4307" s="3">
        <v>46729</v>
      </c>
      <c r="H4307">
        <v>24</v>
      </c>
      <c r="I4307">
        <v>75</v>
      </c>
      <c r="J4307">
        <v>638</v>
      </c>
      <c r="K4307" s="4">
        <v>26062.3</v>
      </c>
      <c r="L4307" s="4">
        <v>548.28571428571433</v>
      </c>
      <c r="M4307" s="4">
        <v>1.1636268890046899</v>
      </c>
      <c r="N4307" t="s">
        <v>25</v>
      </c>
      <c r="O4307" t="str">
        <f t="shared" si="670"/>
        <v>Low</v>
      </c>
      <c r="P4307" t="str">
        <f t="shared" si="671"/>
        <v>Low</v>
      </c>
      <c r="Q4307" t="str">
        <f t="shared" si="672"/>
        <v>Low</v>
      </c>
      <c r="R4307" t="s">
        <v>3317</v>
      </c>
      <c r="S4307" s="4">
        <f t="shared" ca="1" si="673"/>
        <v>532</v>
      </c>
      <c r="T4307">
        <f t="shared" si="674"/>
        <v>1</v>
      </c>
      <c r="U4307">
        <f t="shared" si="675"/>
        <v>1</v>
      </c>
      <c r="V4307">
        <f t="shared" si="676"/>
        <v>1</v>
      </c>
      <c r="W4307">
        <f t="shared" si="677"/>
        <v>1</v>
      </c>
      <c r="X4307">
        <f t="shared" si="678"/>
        <v>0.99999999999999989</v>
      </c>
      <c r="Y4307" t="str">
        <f t="shared" si="679"/>
        <v>Healthy</v>
      </c>
    </row>
    <row r="4308" spans="1:25" x14ac:dyDescent="0.35">
      <c r="A4308" t="s">
        <v>41</v>
      </c>
      <c r="B4308" t="s">
        <v>42</v>
      </c>
      <c r="C4308" t="s">
        <v>43</v>
      </c>
      <c r="D4308" t="s">
        <v>302</v>
      </c>
      <c r="E4308">
        <v>80879284</v>
      </c>
      <c r="F4308" t="s">
        <v>2724</v>
      </c>
      <c r="G4308" s="3">
        <v>47119</v>
      </c>
      <c r="H4308">
        <v>36</v>
      </c>
      <c r="I4308">
        <v>86</v>
      </c>
      <c r="J4308">
        <v>14</v>
      </c>
      <c r="K4308" s="4">
        <v>4337.34</v>
      </c>
      <c r="L4308" s="4">
        <v>970.14285714285711</v>
      </c>
      <c r="M4308" s="4">
        <v>1.4430864379325578E-2</v>
      </c>
      <c r="N4308" t="s">
        <v>25</v>
      </c>
      <c r="O4308" t="str">
        <f t="shared" si="670"/>
        <v>Low</v>
      </c>
      <c r="P4308" t="str">
        <f t="shared" si="671"/>
        <v>Low</v>
      </c>
      <c r="Q4308" t="str">
        <f t="shared" si="672"/>
        <v>Low</v>
      </c>
      <c r="R4308" t="s">
        <v>3317</v>
      </c>
      <c r="S4308" s="4">
        <f t="shared" ca="1" si="673"/>
        <v>922</v>
      </c>
      <c r="T4308">
        <f t="shared" si="674"/>
        <v>1</v>
      </c>
      <c r="U4308">
        <f t="shared" si="675"/>
        <v>1</v>
      </c>
      <c r="V4308">
        <f t="shared" si="676"/>
        <v>1</v>
      </c>
      <c r="W4308">
        <f t="shared" si="677"/>
        <v>1</v>
      </c>
      <c r="X4308">
        <f t="shared" si="678"/>
        <v>0.99999999999999989</v>
      </c>
      <c r="Y4308" t="str">
        <f t="shared" si="679"/>
        <v>Healthy</v>
      </c>
    </row>
    <row r="4309" spans="1:25" x14ac:dyDescent="0.35">
      <c r="A4309" t="s">
        <v>14</v>
      </c>
      <c r="B4309" t="s">
        <v>15</v>
      </c>
      <c r="C4309" t="s">
        <v>16</v>
      </c>
      <c r="D4309" t="s">
        <v>1483</v>
      </c>
      <c r="E4309">
        <v>80876082</v>
      </c>
      <c r="F4309" t="s">
        <v>2725</v>
      </c>
      <c r="G4309" s="3">
        <v>47959</v>
      </c>
      <c r="H4309">
        <v>60</v>
      </c>
      <c r="I4309">
        <v>98</v>
      </c>
      <c r="J4309">
        <v>632</v>
      </c>
      <c r="K4309" s="4">
        <v>189050.16</v>
      </c>
      <c r="L4309" s="4">
        <v>6601.8571428571431</v>
      </c>
      <c r="M4309" s="4">
        <v>9.5730638564905976E-2</v>
      </c>
      <c r="N4309" t="s">
        <v>25</v>
      </c>
      <c r="O4309" t="str">
        <f t="shared" si="670"/>
        <v>Low</v>
      </c>
      <c r="P4309" t="str">
        <f t="shared" si="671"/>
        <v>Low</v>
      </c>
      <c r="Q4309" t="str">
        <f t="shared" si="672"/>
        <v>Low</v>
      </c>
      <c r="R4309" t="s">
        <v>3309</v>
      </c>
      <c r="S4309" s="4">
        <f t="shared" ca="1" si="673"/>
        <v>1762</v>
      </c>
      <c r="T4309">
        <f t="shared" si="674"/>
        <v>1</v>
      </c>
      <c r="U4309">
        <f t="shared" si="675"/>
        <v>1</v>
      </c>
      <c r="V4309">
        <f t="shared" si="676"/>
        <v>1</v>
      </c>
      <c r="W4309">
        <f t="shared" si="677"/>
        <v>3</v>
      </c>
      <c r="X4309">
        <f t="shared" si="678"/>
        <v>1.2</v>
      </c>
      <c r="Y4309" t="str">
        <f t="shared" si="679"/>
        <v>Healthy</v>
      </c>
    </row>
    <row r="4310" spans="1:25" x14ac:dyDescent="0.35">
      <c r="A4310" t="s">
        <v>41</v>
      </c>
      <c r="B4310" t="s">
        <v>42</v>
      </c>
      <c r="C4310" t="s">
        <v>43</v>
      </c>
      <c r="D4310" t="s">
        <v>302</v>
      </c>
      <c r="E4310">
        <v>80879284</v>
      </c>
      <c r="F4310" t="s">
        <v>2724</v>
      </c>
      <c r="G4310" s="3">
        <v>47154</v>
      </c>
      <c r="H4310">
        <v>36</v>
      </c>
      <c r="I4310">
        <v>89</v>
      </c>
      <c r="J4310">
        <v>21</v>
      </c>
      <c r="K4310" s="4">
        <v>6506.01</v>
      </c>
      <c r="L4310" s="4">
        <v>970.14285714285711</v>
      </c>
      <c r="M4310" s="4">
        <v>2.1646296568988369E-2</v>
      </c>
      <c r="N4310" t="s">
        <v>25</v>
      </c>
      <c r="O4310" t="str">
        <f t="shared" si="670"/>
        <v>Low</v>
      </c>
      <c r="P4310" t="str">
        <f t="shared" si="671"/>
        <v>Low</v>
      </c>
      <c r="Q4310" t="str">
        <f t="shared" si="672"/>
        <v>Low</v>
      </c>
      <c r="R4310" t="s">
        <v>3317</v>
      </c>
      <c r="S4310" s="4">
        <f t="shared" ca="1" si="673"/>
        <v>957</v>
      </c>
      <c r="T4310">
        <f t="shared" si="674"/>
        <v>1</v>
      </c>
      <c r="U4310">
        <f t="shared" si="675"/>
        <v>1</v>
      </c>
      <c r="V4310">
        <f t="shared" si="676"/>
        <v>1</v>
      </c>
      <c r="W4310">
        <f t="shared" si="677"/>
        <v>1</v>
      </c>
      <c r="X4310">
        <f t="shared" si="678"/>
        <v>0.99999999999999989</v>
      </c>
      <c r="Y4310" t="str">
        <f t="shared" si="679"/>
        <v>Healthy</v>
      </c>
    </row>
    <row r="4311" spans="1:25" x14ac:dyDescent="0.35">
      <c r="A4311" t="s">
        <v>14</v>
      </c>
      <c r="B4311" t="s">
        <v>15</v>
      </c>
      <c r="C4311" t="s">
        <v>16</v>
      </c>
      <c r="D4311" t="s">
        <v>1483</v>
      </c>
      <c r="E4311">
        <v>80876082</v>
      </c>
      <c r="F4311" t="s">
        <v>2725</v>
      </c>
      <c r="G4311" s="3">
        <v>47818</v>
      </c>
      <c r="H4311">
        <v>60</v>
      </c>
      <c r="I4311">
        <v>90</v>
      </c>
      <c r="J4311">
        <v>577</v>
      </c>
      <c r="K4311" s="4">
        <v>172598.01</v>
      </c>
      <c r="L4311" s="4">
        <v>6601.8571428571431</v>
      </c>
      <c r="M4311" s="4">
        <v>8.7399649449289157E-2</v>
      </c>
      <c r="N4311" t="s">
        <v>25</v>
      </c>
      <c r="O4311" t="str">
        <f t="shared" si="670"/>
        <v>Low</v>
      </c>
      <c r="P4311" t="str">
        <f t="shared" si="671"/>
        <v>Low</v>
      </c>
      <c r="Q4311" t="str">
        <f t="shared" si="672"/>
        <v>Low</v>
      </c>
      <c r="R4311" t="s">
        <v>3309</v>
      </c>
      <c r="S4311" s="4">
        <f t="shared" ca="1" si="673"/>
        <v>1621</v>
      </c>
      <c r="T4311">
        <f t="shared" si="674"/>
        <v>1</v>
      </c>
      <c r="U4311">
        <f t="shared" si="675"/>
        <v>1</v>
      </c>
      <c r="V4311">
        <f t="shared" si="676"/>
        <v>1</v>
      </c>
      <c r="W4311">
        <f t="shared" si="677"/>
        <v>3</v>
      </c>
      <c r="X4311">
        <f t="shared" si="678"/>
        <v>1.2</v>
      </c>
      <c r="Y4311" t="str">
        <f t="shared" si="679"/>
        <v>Healthy</v>
      </c>
    </row>
    <row r="4312" spans="1:25" x14ac:dyDescent="0.35">
      <c r="A4312" t="s">
        <v>14</v>
      </c>
      <c r="B4312" t="s">
        <v>15</v>
      </c>
      <c r="C4312" t="s">
        <v>16</v>
      </c>
      <c r="D4312" t="s">
        <v>1483</v>
      </c>
      <c r="E4312">
        <v>80876082</v>
      </c>
      <c r="F4312" t="s">
        <v>2725</v>
      </c>
      <c r="G4312" s="3">
        <v>47987</v>
      </c>
      <c r="H4312">
        <v>60</v>
      </c>
      <c r="I4312">
        <v>100</v>
      </c>
      <c r="J4312">
        <v>574</v>
      </c>
      <c r="K4312" s="4">
        <v>171700.62</v>
      </c>
      <c r="L4312" s="4">
        <v>6601.8571428571431</v>
      </c>
      <c r="M4312" s="4">
        <v>8.694523186116461E-2</v>
      </c>
      <c r="N4312" t="s">
        <v>25</v>
      </c>
      <c r="O4312" t="str">
        <f t="shared" si="670"/>
        <v>Low</v>
      </c>
      <c r="P4312" t="str">
        <f t="shared" si="671"/>
        <v>Low</v>
      </c>
      <c r="Q4312" t="str">
        <f t="shared" si="672"/>
        <v>Low</v>
      </c>
      <c r="R4312" t="s">
        <v>3309</v>
      </c>
      <c r="S4312" s="4">
        <f t="shared" ca="1" si="673"/>
        <v>1790</v>
      </c>
      <c r="T4312">
        <f t="shared" si="674"/>
        <v>1</v>
      </c>
      <c r="U4312">
        <f t="shared" si="675"/>
        <v>1</v>
      </c>
      <c r="V4312">
        <f t="shared" si="676"/>
        <v>1</v>
      </c>
      <c r="W4312">
        <f t="shared" si="677"/>
        <v>3</v>
      </c>
      <c r="X4312">
        <f t="shared" si="678"/>
        <v>1.2</v>
      </c>
      <c r="Y4312" t="str">
        <f t="shared" si="679"/>
        <v>Healthy</v>
      </c>
    </row>
    <row r="4313" spans="1:25" x14ac:dyDescent="0.35">
      <c r="A4313" t="s">
        <v>14</v>
      </c>
      <c r="B4313" t="s">
        <v>15</v>
      </c>
      <c r="C4313" t="s">
        <v>16</v>
      </c>
      <c r="D4313" t="s">
        <v>1483</v>
      </c>
      <c r="E4313">
        <v>80876082</v>
      </c>
      <c r="F4313" t="s">
        <v>2725</v>
      </c>
      <c r="G4313" s="3">
        <v>47988</v>
      </c>
      <c r="H4313">
        <v>60</v>
      </c>
      <c r="I4313">
        <v>100</v>
      </c>
      <c r="J4313">
        <v>565</v>
      </c>
      <c r="K4313" s="4">
        <v>169008.45</v>
      </c>
      <c r="L4313" s="4">
        <v>6601.8571428571431</v>
      </c>
      <c r="M4313" s="4">
        <v>8.5581979096790939E-2</v>
      </c>
      <c r="N4313" t="s">
        <v>25</v>
      </c>
      <c r="O4313" t="str">
        <f t="shared" si="670"/>
        <v>Low</v>
      </c>
      <c r="P4313" t="str">
        <f t="shared" si="671"/>
        <v>Low</v>
      </c>
      <c r="Q4313" t="str">
        <f t="shared" si="672"/>
        <v>Low</v>
      </c>
      <c r="R4313" t="s">
        <v>3309</v>
      </c>
      <c r="S4313" s="4">
        <f t="shared" ca="1" si="673"/>
        <v>1791</v>
      </c>
      <c r="T4313">
        <f t="shared" si="674"/>
        <v>1</v>
      </c>
      <c r="U4313">
        <f t="shared" si="675"/>
        <v>1</v>
      </c>
      <c r="V4313">
        <f t="shared" si="676"/>
        <v>1</v>
      </c>
      <c r="W4313">
        <f t="shared" si="677"/>
        <v>3</v>
      </c>
      <c r="X4313">
        <f t="shared" si="678"/>
        <v>1.2</v>
      </c>
      <c r="Y4313" t="str">
        <f t="shared" si="679"/>
        <v>Healthy</v>
      </c>
    </row>
    <row r="4314" spans="1:25" x14ac:dyDescent="0.35">
      <c r="A4314" t="s">
        <v>189</v>
      </c>
      <c r="B4314" t="s">
        <v>262</v>
      </c>
      <c r="C4314" t="s">
        <v>262</v>
      </c>
      <c r="D4314" t="s">
        <v>985</v>
      </c>
      <c r="E4314">
        <v>80862569</v>
      </c>
      <c r="F4314" t="s">
        <v>2726</v>
      </c>
      <c r="G4314" s="3">
        <v>46575</v>
      </c>
      <c r="H4314">
        <v>18</v>
      </c>
      <c r="I4314">
        <v>71</v>
      </c>
      <c r="J4314">
        <v>2593</v>
      </c>
      <c r="K4314" s="4">
        <v>105924.05</v>
      </c>
      <c r="L4314" s="4">
        <v>13812</v>
      </c>
      <c r="M4314" s="4">
        <v>0.18773530263538951</v>
      </c>
      <c r="N4314" t="s">
        <v>25</v>
      </c>
      <c r="O4314" t="str">
        <f t="shared" si="670"/>
        <v>Low</v>
      </c>
      <c r="P4314" t="str">
        <f t="shared" si="671"/>
        <v>Low</v>
      </c>
      <c r="Q4314" t="str">
        <f t="shared" si="672"/>
        <v>Low</v>
      </c>
      <c r="R4314" t="s">
        <v>3310</v>
      </c>
      <c r="S4314" s="4">
        <f t="shared" ca="1" si="673"/>
        <v>378</v>
      </c>
      <c r="T4314">
        <f t="shared" si="674"/>
        <v>1</v>
      </c>
      <c r="U4314">
        <f t="shared" si="675"/>
        <v>1</v>
      </c>
      <c r="V4314">
        <f t="shared" si="676"/>
        <v>1</v>
      </c>
      <c r="W4314">
        <f t="shared" si="677"/>
        <v>2</v>
      </c>
      <c r="X4314">
        <f t="shared" si="678"/>
        <v>1.0999999999999999</v>
      </c>
      <c r="Y4314" t="str">
        <f t="shared" si="679"/>
        <v>Healthy</v>
      </c>
    </row>
    <row r="4315" spans="1:25" x14ac:dyDescent="0.35">
      <c r="A4315" t="s">
        <v>14</v>
      </c>
      <c r="B4315" t="s">
        <v>15</v>
      </c>
      <c r="C4315" t="s">
        <v>16</v>
      </c>
      <c r="D4315" t="s">
        <v>1483</v>
      </c>
      <c r="E4315">
        <v>80876082</v>
      </c>
      <c r="F4315" t="s">
        <v>2725</v>
      </c>
      <c r="G4315" s="3">
        <v>47992</v>
      </c>
      <c r="H4315">
        <v>60</v>
      </c>
      <c r="I4315">
        <v>100</v>
      </c>
      <c r="J4315">
        <v>626</v>
      </c>
      <c r="K4315" s="4">
        <v>187255.38</v>
      </c>
      <c r="L4315" s="4">
        <v>6601.8571428571431</v>
      </c>
      <c r="M4315" s="4">
        <v>9.4821803388656867E-2</v>
      </c>
      <c r="N4315" t="s">
        <v>25</v>
      </c>
      <c r="O4315" t="str">
        <f t="shared" si="670"/>
        <v>Low</v>
      </c>
      <c r="P4315" t="str">
        <f t="shared" si="671"/>
        <v>Low</v>
      </c>
      <c r="Q4315" t="str">
        <f t="shared" si="672"/>
        <v>Low</v>
      </c>
      <c r="R4315" t="s">
        <v>3309</v>
      </c>
      <c r="S4315" s="4">
        <f t="shared" ca="1" si="673"/>
        <v>1795</v>
      </c>
      <c r="T4315">
        <f t="shared" si="674"/>
        <v>1</v>
      </c>
      <c r="U4315">
        <f t="shared" si="675"/>
        <v>1</v>
      </c>
      <c r="V4315">
        <f t="shared" si="676"/>
        <v>1</v>
      </c>
      <c r="W4315">
        <f t="shared" si="677"/>
        <v>3</v>
      </c>
      <c r="X4315">
        <f t="shared" si="678"/>
        <v>1.2</v>
      </c>
      <c r="Y4315" t="str">
        <f t="shared" si="679"/>
        <v>Healthy</v>
      </c>
    </row>
    <row r="4316" spans="1:25" x14ac:dyDescent="0.35">
      <c r="A4316" t="s">
        <v>41</v>
      </c>
      <c r="B4316" t="s">
        <v>42</v>
      </c>
      <c r="C4316" t="s">
        <v>43</v>
      </c>
      <c r="D4316" t="s">
        <v>2727</v>
      </c>
      <c r="E4316">
        <v>80879285</v>
      </c>
      <c r="F4316" t="s">
        <v>2728</v>
      </c>
      <c r="G4316" s="3">
        <v>47113</v>
      </c>
      <c r="H4316">
        <v>36</v>
      </c>
      <c r="I4316">
        <v>85</v>
      </c>
      <c r="J4316">
        <v>12</v>
      </c>
      <c r="K4316" s="4">
        <v>12220.44</v>
      </c>
      <c r="L4316" s="4">
        <v>170.85714285714286</v>
      </c>
      <c r="M4316" s="4">
        <v>7.0234113712374577E-2</v>
      </c>
      <c r="N4316" t="s">
        <v>25</v>
      </c>
      <c r="O4316" t="str">
        <f t="shared" si="670"/>
        <v>Low</v>
      </c>
      <c r="P4316" t="str">
        <f t="shared" si="671"/>
        <v>Low</v>
      </c>
      <c r="Q4316" t="str">
        <f t="shared" si="672"/>
        <v>Low</v>
      </c>
      <c r="R4316" t="s">
        <v>3317</v>
      </c>
      <c r="S4316" s="4">
        <f t="shared" ca="1" si="673"/>
        <v>916</v>
      </c>
      <c r="T4316">
        <f t="shared" si="674"/>
        <v>1</v>
      </c>
      <c r="U4316">
        <f t="shared" si="675"/>
        <v>1</v>
      </c>
      <c r="V4316">
        <f t="shared" si="676"/>
        <v>1</v>
      </c>
      <c r="W4316">
        <f t="shared" si="677"/>
        <v>1</v>
      </c>
      <c r="X4316">
        <f t="shared" si="678"/>
        <v>0.99999999999999989</v>
      </c>
      <c r="Y4316" t="str">
        <f t="shared" si="679"/>
        <v>Healthy</v>
      </c>
    </row>
    <row r="4317" spans="1:25" x14ac:dyDescent="0.35">
      <c r="A4317" t="s">
        <v>14</v>
      </c>
      <c r="B4317" t="s">
        <v>343</v>
      </c>
      <c r="C4317" t="s">
        <v>344</v>
      </c>
      <c r="D4317" t="s">
        <v>2729</v>
      </c>
      <c r="E4317">
        <v>80876073</v>
      </c>
      <c r="F4317" t="s">
        <v>2730</v>
      </c>
      <c r="G4317" s="3">
        <v>47932</v>
      </c>
      <c r="H4317">
        <v>60</v>
      </c>
      <c r="I4317">
        <v>97</v>
      </c>
      <c r="J4317">
        <v>53</v>
      </c>
      <c r="K4317" s="4">
        <v>37204.94</v>
      </c>
      <c r="L4317" s="4">
        <v>956.85714285714289</v>
      </c>
      <c r="M4317" s="4">
        <v>5.5389668557778438E-2</v>
      </c>
      <c r="N4317" t="s">
        <v>25</v>
      </c>
      <c r="O4317" t="str">
        <f t="shared" si="670"/>
        <v>Low</v>
      </c>
      <c r="P4317" t="str">
        <f t="shared" si="671"/>
        <v>Low</v>
      </c>
      <c r="Q4317" t="str">
        <f t="shared" si="672"/>
        <v>Low</v>
      </c>
      <c r="R4317" t="s">
        <v>3317</v>
      </c>
      <c r="S4317" s="4">
        <f t="shared" ca="1" si="673"/>
        <v>1735</v>
      </c>
      <c r="T4317">
        <f t="shared" si="674"/>
        <v>1</v>
      </c>
      <c r="U4317">
        <f t="shared" si="675"/>
        <v>1</v>
      </c>
      <c r="V4317">
        <f t="shared" si="676"/>
        <v>1</v>
      </c>
      <c r="W4317">
        <f t="shared" si="677"/>
        <v>1</v>
      </c>
      <c r="X4317">
        <f t="shared" si="678"/>
        <v>0.99999999999999989</v>
      </c>
      <c r="Y4317" t="str">
        <f t="shared" si="679"/>
        <v>Healthy</v>
      </c>
    </row>
    <row r="4318" spans="1:25" x14ac:dyDescent="0.35">
      <c r="A4318" t="s">
        <v>14</v>
      </c>
      <c r="B4318" t="s">
        <v>343</v>
      </c>
      <c r="C4318" t="s">
        <v>344</v>
      </c>
      <c r="D4318" t="s">
        <v>2729</v>
      </c>
      <c r="E4318">
        <v>80876073</v>
      </c>
      <c r="F4318" t="s">
        <v>2730</v>
      </c>
      <c r="G4318" s="3">
        <v>47924</v>
      </c>
      <c r="H4318">
        <v>60</v>
      </c>
      <c r="I4318">
        <v>96</v>
      </c>
      <c r="J4318">
        <v>168</v>
      </c>
      <c r="K4318" s="4">
        <v>117932.64</v>
      </c>
      <c r="L4318" s="4">
        <v>956.85714285714289</v>
      </c>
      <c r="M4318" s="4">
        <v>0.1755747984472977</v>
      </c>
      <c r="N4318" t="s">
        <v>25</v>
      </c>
      <c r="O4318" t="str">
        <f t="shared" si="670"/>
        <v>Low</v>
      </c>
      <c r="P4318" t="str">
        <f t="shared" si="671"/>
        <v>Low</v>
      </c>
      <c r="Q4318" t="str">
        <f t="shared" si="672"/>
        <v>Low</v>
      </c>
      <c r="R4318" t="s">
        <v>3310</v>
      </c>
      <c r="S4318" s="4">
        <f t="shared" ca="1" si="673"/>
        <v>1727</v>
      </c>
      <c r="T4318">
        <f t="shared" si="674"/>
        <v>1</v>
      </c>
      <c r="U4318">
        <f t="shared" si="675"/>
        <v>1</v>
      </c>
      <c r="V4318">
        <f t="shared" si="676"/>
        <v>1</v>
      </c>
      <c r="W4318">
        <f t="shared" si="677"/>
        <v>2</v>
      </c>
      <c r="X4318">
        <f t="shared" si="678"/>
        <v>1.0999999999999999</v>
      </c>
      <c r="Y4318" t="str">
        <f t="shared" si="679"/>
        <v>Healthy</v>
      </c>
    </row>
    <row r="4319" spans="1:25" x14ac:dyDescent="0.35">
      <c r="A4319" t="s">
        <v>14</v>
      </c>
      <c r="B4319" t="s">
        <v>343</v>
      </c>
      <c r="C4319" t="s">
        <v>344</v>
      </c>
      <c r="D4319" t="s">
        <v>2729</v>
      </c>
      <c r="E4319">
        <v>80876073</v>
      </c>
      <c r="F4319" t="s">
        <v>2730</v>
      </c>
      <c r="G4319" s="3">
        <v>47897</v>
      </c>
      <c r="H4319">
        <v>60</v>
      </c>
      <c r="I4319">
        <v>95</v>
      </c>
      <c r="J4319">
        <v>4</v>
      </c>
      <c r="K4319" s="4">
        <v>2807.92</v>
      </c>
      <c r="L4319" s="4">
        <v>956.85714285714289</v>
      </c>
      <c r="M4319" s="4">
        <v>4.1803523439832785E-3</v>
      </c>
      <c r="N4319" t="s">
        <v>25</v>
      </c>
      <c r="O4319" t="str">
        <f t="shared" si="670"/>
        <v>Low</v>
      </c>
      <c r="P4319" t="str">
        <f t="shared" si="671"/>
        <v>Low</v>
      </c>
      <c r="Q4319" t="str">
        <f t="shared" si="672"/>
        <v>Low</v>
      </c>
      <c r="R4319" t="s">
        <v>3317</v>
      </c>
      <c r="S4319" s="4">
        <f t="shared" ca="1" si="673"/>
        <v>1700</v>
      </c>
      <c r="T4319">
        <f t="shared" si="674"/>
        <v>1</v>
      </c>
      <c r="U4319">
        <f t="shared" si="675"/>
        <v>1</v>
      </c>
      <c r="V4319">
        <f t="shared" si="676"/>
        <v>1</v>
      </c>
      <c r="W4319">
        <f t="shared" si="677"/>
        <v>1</v>
      </c>
      <c r="X4319">
        <f t="shared" si="678"/>
        <v>0.99999999999999989</v>
      </c>
      <c r="Y4319" t="str">
        <f t="shared" si="679"/>
        <v>Healthy</v>
      </c>
    </row>
    <row r="4320" spans="1:25" x14ac:dyDescent="0.35">
      <c r="A4320" t="s">
        <v>189</v>
      </c>
      <c r="B4320" t="s">
        <v>262</v>
      </c>
      <c r="C4320" t="s">
        <v>262</v>
      </c>
      <c r="D4320" t="s">
        <v>2731</v>
      </c>
      <c r="E4320">
        <v>80862572</v>
      </c>
      <c r="F4320" t="s">
        <v>2732</v>
      </c>
      <c r="G4320" s="3">
        <v>46610</v>
      </c>
      <c r="H4320">
        <v>18</v>
      </c>
      <c r="I4320">
        <v>77</v>
      </c>
      <c r="J4320">
        <v>118</v>
      </c>
      <c r="K4320" s="4">
        <v>11058.96</v>
      </c>
      <c r="L4320" s="4">
        <v>21136.142857142859</v>
      </c>
      <c r="M4320" s="4">
        <v>5.5828540144505345E-3</v>
      </c>
      <c r="N4320" t="s">
        <v>25</v>
      </c>
      <c r="O4320" t="str">
        <f t="shared" si="670"/>
        <v>Low</v>
      </c>
      <c r="P4320" t="str">
        <f t="shared" si="671"/>
        <v>Low</v>
      </c>
      <c r="Q4320" t="str">
        <f t="shared" si="672"/>
        <v>Low</v>
      </c>
      <c r="R4320" t="s">
        <v>3317</v>
      </c>
      <c r="S4320" s="4">
        <f t="shared" ca="1" si="673"/>
        <v>413</v>
      </c>
      <c r="T4320">
        <f t="shared" si="674"/>
        <v>1</v>
      </c>
      <c r="U4320">
        <f t="shared" si="675"/>
        <v>1</v>
      </c>
      <c r="V4320">
        <f t="shared" si="676"/>
        <v>1</v>
      </c>
      <c r="W4320">
        <f t="shared" si="677"/>
        <v>1</v>
      </c>
      <c r="X4320">
        <f t="shared" si="678"/>
        <v>0.99999999999999989</v>
      </c>
      <c r="Y4320" t="str">
        <f t="shared" si="679"/>
        <v>Healthy</v>
      </c>
    </row>
    <row r="4321" spans="1:25" x14ac:dyDescent="0.35">
      <c r="A4321" t="s">
        <v>14</v>
      </c>
      <c r="B4321" t="s">
        <v>343</v>
      </c>
      <c r="C4321" t="s">
        <v>344</v>
      </c>
      <c r="D4321" t="s">
        <v>2729</v>
      </c>
      <c r="E4321">
        <v>80876073</v>
      </c>
      <c r="F4321" t="s">
        <v>2730</v>
      </c>
      <c r="G4321" s="3">
        <v>47997</v>
      </c>
      <c r="H4321">
        <v>60</v>
      </c>
      <c r="I4321">
        <v>100</v>
      </c>
      <c r="J4321">
        <v>335</v>
      </c>
      <c r="K4321" s="4">
        <v>235163.3</v>
      </c>
      <c r="L4321" s="4">
        <v>956.85714285714289</v>
      </c>
      <c r="M4321" s="4">
        <v>0.35010450880859956</v>
      </c>
      <c r="N4321" t="s">
        <v>25</v>
      </c>
      <c r="O4321" t="str">
        <f t="shared" si="670"/>
        <v>Low</v>
      </c>
      <c r="P4321" t="str">
        <f t="shared" si="671"/>
        <v>Low</v>
      </c>
      <c r="Q4321" t="str">
        <f t="shared" si="672"/>
        <v>Low</v>
      </c>
      <c r="R4321" t="s">
        <v>3309</v>
      </c>
      <c r="S4321" s="4">
        <f t="shared" ca="1" si="673"/>
        <v>1800</v>
      </c>
      <c r="T4321">
        <f t="shared" si="674"/>
        <v>1</v>
      </c>
      <c r="U4321">
        <f t="shared" si="675"/>
        <v>1</v>
      </c>
      <c r="V4321">
        <f t="shared" si="676"/>
        <v>1</v>
      </c>
      <c r="W4321">
        <f t="shared" si="677"/>
        <v>3</v>
      </c>
      <c r="X4321">
        <f t="shared" si="678"/>
        <v>1.2</v>
      </c>
      <c r="Y4321" t="str">
        <f t="shared" si="679"/>
        <v>Healthy</v>
      </c>
    </row>
    <row r="4322" spans="1:25" x14ac:dyDescent="0.35">
      <c r="A4322" t="s">
        <v>14</v>
      </c>
      <c r="B4322" t="s">
        <v>343</v>
      </c>
      <c r="C4322" t="s">
        <v>344</v>
      </c>
      <c r="D4322" t="s">
        <v>2729</v>
      </c>
      <c r="E4322">
        <v>80876073</v>
      </c>
      <c r="F4322" t="s">
        <v>2730</v>
      </c>
      <c r="G4322" s="3">
        <v>47916</v>
      </c>
      <c r="H4322">
        <v>60</v>
      </c>
      <c r="I4322">
        <v>96</v>
      </c>
      <c r="J4322">
        <v>3</v>
      </c>
      <c r="K4322" s="4">
        <v>2105.94</v>
      </c>
      <c r="L4322" s="4">
        <v>956.85714285714289</v>
      </c>
      <c r="M4322" s="4">
        <v>3.1352642579874587E-3</v>
      </c>
      <c r="N4322" t="s">
        <v>25</v>
      </c>
      <c r="O4322" t="str">
        <f t="shared" si="670"/>
        <v>Low</v>
      </c>
      <c r="P4322" t="str">
        <f t="shared" si="671"/>
        <v>Low</v>
      </c>
      <c r="Q4322" t="str">
        <f t="shared" si="672"/>
        <v>Low</v>
      </c>
      <c r="R4322" t="s">
        <v>3317</v>
      </c>
      <c r="S4322" s="4">
        <f t="shared" ca="1" si="673"/>
        <v>1719</v>
      </c>
      <c r="T4322">
        <f t="shared" si="674"/>
        <v>1</v>
      </c>
      <c r="U4322">
        <f t="shared" si="675"/>
        <v>1</v>
      </c>
      <c r="V4322">
        <f t="shared" si="676"/>
        <v>1</v>
      </c>
      <c r="W4322">
        <f t="shared" si="677"/>
        <v>1</v>
      </c>
      <c r="X4322">
        <f t="shared" si="678"/>
        <v>0.99999999999999989</v>
      </c>
      <c r="Y4322" t="str">
        <f t="shared" si="679"/>
        <v>Healthy</v>
      </c>
    </row>
    <row r="4323" spans="1:25" x14ac:dyDescent="0.35">
      <c r="A4323" t="s">
        <v>41</v>
      </c>
      <c r="B4323" t="s">
        <v>42</v>
      </c>
      <c r="C4323" t="s">
        <v>43</v>
      </c>
      <c r="D4323" t="s">
        <v>1859</v>
      </c>
      <c r="E4323">
        <v>80879287</v>
      </c>
      <c r="F4323" t="s">
        <v>2733</v>
      </c>
      <c r="G4323" s="3">
        <v>47021</v>
      </c>
      <c r="H4323">
        <v>36</v>
      </c>
      <c r="I4323">
        <v>77</v>
      </c>
      <c r="J4323">
        <v>6</v>
      </c>
      <c r="K4323" s="4">
        <v>4623.3</v>
      </c>
      <c r="L4323" s="4">
        <v>574.28571428571433</v>
      </c>
      <c r="M4323" s="4">
        <v>1.0447761194029849E-2</v>
      </c>
      <c r="N4323" t="s">
        <v>25</v>
      </c>
      <c r="O4323" t="str">
        <f t="shared" si="670"/>
        <v>Low</v>
      </c>
      <c r="P4323" t="str">
        <f t="shared" si="671"/>
        <v>Low</v>
      </c>
      <c r="Q4323" t="str">
        <f t="shared" si="672"/>
        <v>Low</v>
      </c>
      <c r="R4323" t="s">
        <v>3317</v>
      </c>
      <c r="S4323" s="4">
        <f t="shared" ca="1" si="673"/>
        <v>824</v>
      </c>
      <c r="T4323">
        <f t="shared" si="674"/>
        <v>1</v>
      </c>
      <c r="U4323">
        <f t="shared" si="675"/>
        <v>1</v>
      </c>
      <c r="V4323">
        <f t="shared" si="676"/>
        <v>1</v>
      </c>
      <c r="W4323">
        <f t="shared" si="677"/>
        <v>1</v>
      </c>
      <c r="X4323">
        <f t="shared" si="678"/>
        <v>0.99999999999999989</v>
      </c>
      <c r="Y4323" t="str">
        <f t="shared" si="679"/>
        <v>Healthy</v>
      </c>
    </row>
    <row r="4324" spans="1:25" x14ac:dyDescent="0.35">
      <c r="A4324" t="s">
        <v>14</v>
      </c>
      <c r="B4324" t="s">
        <v>343</v>
      </c>
      <c r="C4324" t="s">
        <v>344</v>
      </c>
      <c r="D4324" t="s">
        <v>2729</v>
      </c>
      <c r="E4324">
        <v>80876073</v>
      </c>
      <c r="F4324" t="s">
        <v>2730</v>
      </c>
      <c r="G4324" s="3">
        <v>47979</v>
      </c>
      <c r="H4324">
        <v>60</v>
      </c>
      <c r="I4324">
        <v>99</v>
      </c>
      <c r="J4324">
        <v>77</v>
      </c>
      <c r="K4324" s="4">
        <v>54052.46</v>
      </c>
      <c r="L4324" s="4">
        <v>956.85714285714289</v>
      </c>
      <c r="M4324" s="4">
        <v>8.0471782621678103E-2</v>
      </c>
      <c r="N4324" t="s">
        <v>25</v>
      </c>
      <c r="O4324" t="str">
        <f t="shared" si="670"/>
        <v>Low</v>
      </c>
      <c r="P4324" t="str">
        <f t="shared" si="671"/>
        <v>Low</v>
      </c>
      <c r="Q4324" t="str">
        <f t="shared" si="672"/>
        <v>Low</v>
      </c>
      <c r="R4324" t="s">
        <v>3317</v>
      </c>
      <c r="S4324" s="4">
        <f t="shared" ca="1" si="673"/>
        <v>1782</v>
      </c>
      <c r="T4324">
        <f t="shared" si="674"/>
        <v>1</v>
      </c>
      <c r="U4324">
        <f t="shared" si="675"/>
        <v>1</v>
      </c>
      <c r="V4324">
        <f t="shared" si="676"/>
        <v>1</v>
      </c>
      <c r="W4324">
        <f t="shared" si="677"/>
        <v>1</v>
      </c>
      <c r="X4324">
        <f t="shared" si="678"/>
        <v>0.99999999999999989</v>
      </c>
      <c r="Y4324" t="str">
        <f t="shared" si="679"/>
        <v>Healthy</v>
      </c>
    </row>
    <row r="4325" spans="1:25" x14ac:dyDescent="0.35">
      <c r="A4325" t="s">
        <v>14</v>
      </c>
      <c r="B4325" t="s">
        <v>15</v>
      </c>
      <c r="C4325" t="s">
        <v>16</v>
      </c>
      <c r="D4325" t="s">
        <v>62</v>
      </c>
      <c r="E4325">
        <v>80876085</v>
      </c>
      <c r="F4325" t="s">
        <v>2734</v>
      </c>
      <c r="G4325" s="3">
        <v>47982</v>
      </c>
      <c r="H4325">
        <v>60</v>
      </c>
      <c r="I4325">
        <v>99</v>
      </c>
      <c r="J4325">
        <v>258</v>
      </c>
      <c r="K4325" s="4">
        <v>145950.6</v>
      </c>
      <c r="L4325" s="4">
        <v>2670.1428571428573</v>
      </c>
      <c r="M4325" s="4">
        <v>9.6624043657375203E-2</v>
      </c>
      <c r="N4325" t="s">
        <v>25</v>
      </c>
      <c r="O4325" t="str">
        <f t="shared" si="670"/>
        <v>Low</v>
      </c>
      <c r="P4325" t="str">
        <f t="shared" si="671"/>
        <v>Low</v>
      </c>
      <c r="Q4325" t="str">
        <f t="shared" si="672"/>
        <v>Low</v>
      </c>
      <c r="R4325" t="s">
        <v>3309</v>
      </c>
      <c r="S4325" s="4">
        <f t="shared" ca="1" si="673"/>
        <v>1785</v>
      </c>
      <c r="T4325">
        <f t="shared" si="674"/>
        <v>1</v>
      </c>
      <c r="U4325">
        <f t="shared" si="675"/>
        <v>1</v>
      </c>
      <c r="V4325">
        <f t="shared" si="676"/>
        <v>1</v>
      </c>
      <c r="W4325">
        <f t="shared" si="677"/>
        <v>3</v>
      </c>
      <c r="X4325">
        <f t="shared" si="678"/>
        <v>1.2</v>
      </c>
      <c r="Y4325" t="str">
        <f t="shared" si="679"/>
        <v>Healthy</v>
      </c>
    </row>
    <row r="4326" spans="1:25" x14ac:dyDescent="0.35">
      <c r="A4326" t="s">
        <v>14</v>
      </c>
      <c r="B4326" t="s">
        <v>15</v>
      </c>
      <c r="C4326" t="s">
        <v>16</v>
      </c>
      <c r="D4326" t="s">
        <v>62</v>
      </c>
      <c r="E4326">
        <v>80876085</v>
      </c>
      <c r="F4326" t="s">
        <v>2734</v>
      </c>
      <c r="G4326" s="3">
        <v>47930</v>
      </c>
      <c r="H4326">
        <v>60</v>
      </c>
      <c r="I4326">
        <v>97</v>
      </c>
      <c r="J4326">
        <v>370</v>
      </c>
      <c r="K4326" s="4">
        <v>209309</v>
      </c>
      <c r="L4326" s="4">
        <v>2670.1428571428573</v>
      </c>
      <c r="M4326" s="4">
        <v>0.13856936493499544</v>
      </c>
      <c r="N4326" t="s">
        <v>25</v>
      </c>
      <c r="O4326" t="str">
        <f t="shared" si="670"/>
        <v>Low</v>
      </c>
      <c r="P4326" t="str">
        <f t="shared" si="671"/>
        <v>Low</v>
      </c>
      <c r="Q4326" t="str">
        <f t="shared" si="672"/>
        <v>Low</v>
      </c>
      <c r="R4326" t="s">
        <v>3309</v>
      </c>
      <c r="S4326" s="4">
        <f t="shared" ca="1" si="673"/>
        <v>1733</v>
      </c>
      <c r="T4326">
        <f t="shared" si="674"/>
        <v>1</v>
      </c>
      <c r="U4326">
        <f t="shared" si="675"/>
        <v>1</v>
      </c>
      <c r="V4326">
        <f t="shared" si="676"/>
        <v>1</v>
      </c>
      <c r="W4326">
        <f t="shared" si="677"/>
        <v>3</v>
      </c>
      <c r="X4326">
        <f t="shared" si="678"/>
        <v>1.2</v>
      </c>
      <c r="Y4326" t="str">
        <f t="shared" si="679"/>
        <v>Healthy</v>
      </c>
    </row>
    <row r="4327" spans="1:25" x14ac:dyDescent="0.35">
      <c r="A4327" t="s">
        <v>14</v>
      </c>
      <c r="B4327" t="s">
        <v>15</v>
      </c>
      <c r="C4327" t="s">
        <v>16</v>
      </c>
      <c r="D4327" t="s">
        <v>62</v>
      </c>
      <c r="E4327">
        <v>80876085</v>
      </c>
      <c r="F4327" t="s">
        <v>2734</v>
      </c>
      <c r="G4327" s="3">
        <v>47982</v>
      </c>
      <c r="H4327">
        <v>60</v>
      </c>
      <c r="I4327">
        <v>99</v>
      </c>
      <c r="J4327">
        <v>201</v>
      </c>
      <c r="K4327" s="4">
        <v>113705.7</v>
      </c>
      <c r="L4327" s="4">
        <v>2670.1428571428573</v>
      </c>
      <c r="M4327" s="4">
        <v>7.527687122144347E-2</v>
      </c>
      <c r="N4327" t="s">
        <v>25</v>
      </c>
      <c r="O4327" t="str">
        <f t="shared" si="670"/>
        <v>Low</v>
      </c>
      <c r="P4327" t="str">
        <f t="shared" si="671"/>
        <v>Low</v>
      </c>
      <c r="Q4327" t="str">
        <f t="shared" si="672"/>
        <v>Low</v>
      </c>
      <c r="R4327" t="s">
        <v>3310</v>
      </c>
      <c r="S4327" s="4">
        <f t="shared" ca="1" si="673"/>
        <v>1785</v>
      </c>
      <c r="T4327">
        <f t="shared" si="674"/>
        <v>1</v>
      </c>
      <c r="U4327">
        <f t="shared" si="675"/>
        <v>1</v>
      </c>
      <c r="V4327">
        <f t="shared" si="676"/>
        <v>1</v>
      </c>
      <c r="W4327">
        <f t="shared" si="677"/>
        <v>2</v>
      </c>
      <c r="X4327">
        <f t="shared" si="678"/>
        <v>1.0999999999999999</v>
      </c>
      <c r="Y4327" t="str">
        <f t="shared" si="679"/>
        <v>Healthy</v>
      </c>
    </row>
    <row r="4328" spans="1:25" x14ac:dyDescent="0.35">
      <c r="A4328" t="s">
        <v>14</v>
      </c>
      <c r="B4328" t="s">
        <v>15</v>
      </c>
      <c r="C4328" t="s">
        <v>16</v>
      </c>
      <c r="D4328" t="s">
        <v>62</v>
      </c>
      <c r="E4328">
        <v>80876085</v>
      </c>
      <c r="F4328" t="s">
        <v>2734</v>
      </c>
      <c r="G4328" s="3">
        <v>47980</v>
      </c>
      <c r="H4328">
        <v>60</v>
      </c>
      <c r="I4328">
        <v>99</v>
      </c>
      <c r="J4328">
        <v>513</v>
      </c>
      <c r="K4328" s="4">
        <v>290204.09999999998</v>
      </c>
      <c r="L4328" s="4">
        <v>2670.1428571428573</v>
      </c>
      <c r="M4328" s="4">
        <v>0.19212455192338557</v>
      </c>
      <c r="N4328" t="s">
        <v>25</v>
      </c>
      <c r="O4328" t="str">
        <f t="shared" si="670"/>
        <v>Low</v>
      </c>
      <c r="P4328" t="str">
        <f t="shared" si="671"/>
        <v>Low</v>
      </c>
      <c r="Q4328" t="str">
        <f t="shared" si="672"/>
        <v>Low</v>
      </c>
      <c r="R4328" t="s">
        <v>3309</v>
      </c>
      <c r="S4328" s="4">
        <f t="shared" ca="1" si="673"/>
        <v>1783</v>
      </c>
      <c r="T4328">
        <f t="shared" si="674"/>
        <v>1</v>
      </c>
      <c r="U4328">
        <f t="shared" si="675"/>
        <v>1</v>
      </c>
      <c r="V4328">
        <f t="shared" si="676"/>
        <v>1</v>
      </c>
      <c r="W4328">
        <f t="shared" si="677"/>
        <v>3</v>
      </c>
      <c r="X4328">
        <f t="shared" si="678"/>
        <v>1.2</v>
      </c>
      <c r="Y4328" t="str">
        <f t="shared" si="679"/>
        <v>Healthy</v>
      </c>
    </row>
    <row r="4329" spans="1:25" x14ac:dyDescent="0.35">
      <c r="A4329" t="s">
        <v>41</v>
      </c>
      <c r="B4329" t="s">
        <v>42</v>
      </c>
      <c r="C4329" t="s">
        <v>43</v>
      </c>
      <c r="D4329" t="s">
        <v>2257</v>
      </c>
      <c r="E4329">
        <v>80879288</v>
      </c>
      <c r="F4329" t="s">
        <v>2735</v>
      </c>
      <c r="G4329" s="3">
        <v>47178</v>
      </c>
      <c r="H4329">
        <v>36</v>
      </c>
      <c r="I4329">
        <v>91</v>
      </c>
      <c r="J4329">
        <v>8</v>
      </c>
      <c r="K4329" s="4">
        <v>1221.76</v>
      </c>
      <c r="L4329" s="4">
        <v>371.14285714285717</v>
      </c>
      <c r="M4329" s="4">
        <v>2.1555042340261739E-2</v>
      </c>
      <c r="N4329" t="s">
        <v>25</v>
      </c>
      <c r="O4329" t="str">
        <f t="shared" si="670"/>
        <v>Low</v>
      </c>
      <c r="P4329" t="str">
        <f t="shared" si="671"/>
        <v>Low</v>
      </c>
      <c r="Q4329" t="str">
        <f t="shared" si="672"/>
        <v>Low</v>
      </c>
      <c r="R4329" t="s">
        <v>3317</v>
      </c>
      <c r="S4329" s="4">
        <f t="shared" ca="1" si="673"/>
        <v>981</v>
      </c>
      <c r="T4329">
        <f t="shared" si="674"/>
        <v>1</v>
      </c>
      <c r="U4329">
        <f t="shared" si="675"/>
        <v>1</v>
      </c>
      <c r="V4329">
        <f t="shared" si="676"/>
        <v>1</v>
      </c>
      <c r="W4329">
        <f t="shared" si="677"/>
        <v>1</v>
      </c>
      <c r="X4329">
        <f t="shared" si="678"/>
        <v>0.99999999999999989</v>
      </c>
      <c r="Y4329" t="str">
        <f t="shared" si="679"/>
        <v>Healthy</v>
      </c>
    </row>
    <row r="4330" spans="1:25" x14ac:dyDescent="0.35">
      <c r="A4330" t="s">
        <v>14</v>
      </c>
      <c r="B4330" t="s">
        <v>15</v>
      </c>
      <c r="C4330" t="s">
        <v>16</v>
      </c>
      <c r="D4330" t="s">
        <v>62</v>
      </c>
      <c r="E4330">
        <v>80876085</v>
      </c>
      <c r="F4330" t="s">
        <v>2734</v>
      </c>
      <c r="G4330" s="3">
        <v>47964</v>
      </c>
      <c r="H4330">
        <v>60</v>
      </c>
      <c r="I4330">
        <v>98</v>
      </c>
      <c r="J4330">
        <v>297</v>
      </c>
      <c r="K4330" s="4">
        <v>168012.9</v>
      </c>
      <c r="L4330" s="4">
        <v>2670.1428571428573</v>
      </c>
      <c r="M4330" s="4">
        <v>0.11123000374511796</v>
      </c>
      <c r="N4330" t="s">
        <v>25</v>
      </c>
      <c r="O4330" t="str">
        <f t="shared" si="670"/>
        <v>Low</v>
      </c>
      <c r="P4330" t="str">
        <f t="shared" si="671"/>
        <v>Low</v>
      </c>
      <c r="Q4330" t="str">
        <f t="shared" si="672"/>
        <v>Low</v>
      </c>
      <c r="R4330" t="s">
        <v>3309</v>
      </c>
      <c r="S4330" s="4">
        <f t="shared" ca="1" si="673"/>
        <v>1767</v>
      </c>
      <c r="T4330">
        <f t="shared" si="674"/>
        <v>1</v>
      </c>
      <c r="U4330">
        <f t="shared" si="675"/>
        <v>1</v>
      </c>
      <c r="V4330">
        <f t="shared" si="676"/>
        <v>1</v>
      </c>
      <c r="W4330">
        <f t="shared" si="677"/>
        <v>3</v>
      </c>
      <c r="X4330">
        <f t="shared" si="678"/>
        <v>1.2</v>
      </c>
      <c r="Y4330" t="str">
        <f t="shared" si="679"/>
        <v>Healthy</v>
      </c>
    </row>
    <row r="4331" spans="1:25" x14ac:dyDescent="0.35">
      <c r="A4331" t="s">
        <v>41</v>
      </c>
      <c r="B4331" t="s">
        <v>42</v>
      </c>
      <c r="C4331" t="s">
        <v>43</v>
      </c>
      <c r="D4331" t="s">
        <v>2257</v>
      </c>
      <c r="E4331">
        <v>80879288</v>
      </c>
      <c r="F4331" t="s">
        <v>2735</v>
      </c>
      <c r="G4331" s="3">
        <v>47133</v>
      </c>
      <c r="H4331">
        <v>36</v>
      </c>
      <c r="I4331">
        <v>87</v>
      </c>
      <c r="J4331">
        <v>3</v>
      </c>
      <c r="K4331" s="4">
        <v>458.16</v>
      </c>
      <c r="L4331" s="4">
        <v>371.14285714285717</v>
      </c>
      <c r="M4331" s="4">
        <v>8.0831408775981512E-3</v>
      </c>
      <c r="N4331" t="s">
        <v>25</v>
      </c>
      <c r="O4331" t="str">
        <f t="shared" si="670"/>
        <v>Low</v>
      </c>
      <c r="P4331" t="str">
        <f t="shared" si="671"/>
        <v>Low</v>
      </c>
      <c r="Q4331" t="str">
        <f t="shared" si="672"/>
        <v>Low</v>
      </c>
      <c r="R4331" t="s">
        <v>3317</v>
      </c>
      <c r="S4331" s="4">
        <f t="shared" ca="1" si="673"/>
        <v>936</v>
      </c>
      <c r="T4331">
        <f t="shared" si="674"/>
        <v>1</v>
      </c>
      <c r="U4331">
        <f t="shared" si="675"/>
        <v>1</v>
      </c>
      <c r="V4331">
        <f t="shared" si="676"/>
        <v>1</v>
      </c>
      <c r="W4331">
        <f t="shared" si="677"/>
        <v>1</v>
      </c>
      <c r="X4331">
        <f t="shared" si="678"/>
        <v>0.99999999999999989</v>
      </c>
      <c r="Y4331" t="str">
        <f t="shared" si="679"/>
        <v>Healthy</v>
      </c>
    </row>
    <row r="4332" spans="1:25" x14ac:dyDescent="0.35">
      <c r="A4332" t="s">
        <v>14</v>
      </c>
      <c r="B4332" t="s">
        <v>15</v>
      </c>
      <c r="C4332" t="s">
        <v>16</v>
      </c>
      <c r="D4332" t="s">
        <v>62</v>
      </c>
      <c r="E4332">
        <v>80876085</v>
      </c>
      <c r="F4332" t="s">
        <v>2734</v>
      </c>
      <c r="G4332" s="3">
        <v>47931</v>
      </c>
      <c r="H4332">
        <v>60</v>
      </c>
      <c r="I4332">
        <v>97</v>
      </c>
      <c r="J4332">
        <v>3</v>
      </c>
      <c r="K4332" s="4">
        <v>1697.1</v>
      </c>
      <c r="L4332" s="4">
        <v>2670.1428571428573</v>
      </c>
      <c r="M4332" s="4">
        <v>1.1235353913648279E-3</v>
      </c>
      <c r="N4332" t="s">
        <v>25</v>
      </c>
      <c r="O4332" t="str">
        <f t="shared" si="670"/>
        <v>Low</v>
      </c>
      <c r="P4332" t="str">
        <f t="shared" si="671"/>
        <v>Low</v>
      </c>
      <c r="Q4332" t="str">
        <f t="shared" si="672"/>
        <v>Low</v>
      </c>
      <c r="R4332" t="s">
        <v>3317</v>
      </c>
      <c r="S4332" s="4">
        <f t="shared" ca="1" si="673"/>
        <v>1734</v>
      </c>
      <c r="T4332">
        <f t="shared" si="674"/>
        <v>1</v>
      </c>
      <c r="U4332">
        <f t="shared" si="675"/>
        <v>1</v>
      </c>
      <c r="V4332">
        <f t="shared" si="676"/>
        <v>1</v>
      </c>
      <c r="W4332">
        <f t="shared" si="677"/>
        <v>1</v>
      </c>
      <c r="X4332">
        <f t="shared" si="678"/>
        <v>0.99999999999999989</v>
      </c>
      <c r="Y4332" t="str">
        <f t="shared" si="679"/>
        <v>Healthy</v>
      </c>
    </row>
    <row r="4333" spans="1:25" x14ac:dyDescent="0.35">
      <c r="A4333" t="s">
        <v>41</v>
      </c>
      <c r="B4333" t="s">
        <v>42</v>
      </c>
      <c r="C4333" t="s">
        <v>43</v>
      </c>
      <c r="D4333" t="s">
        <v>2257</v>
      </c>
      <c r="E4333">
        <v>80879288</v>
      </c>
      <c r="F4333" t="s">
        <v>2735</v>
      </c>
      <c r="G4333" s="3">
        <v>47189</v>
      </c>
      <c r="H4333">
        <v>36</v>
      </c>
      <c r="I4333">
        <v>92</v>
      </c>
      <c r="J4333">
        <v>16</v>
      </c>
      <c r="K4333" s="4">
        <v>2443.52</v>
      </c>
      <c r="L4333" s="4">
        <v>371.14285714285717</v>
      </c>
      <c r="M4333" s="4">
        <v>4.3110084680523478E-2</v>
      </c>
      <c r="N4333" t="s">
        <v>25</v>
      </c>
      <c r="O4333" t="str">
        <f t="shared" si="670"/>
        <v>Low</v>
      </c>
      <c r="P4333" t="str">
        <f t="shared" si="671"/>
        <v>Low</v>
      </c>
      <c r="Q4333" t="str">
        <f t="shared" si="672"/>
        <v>Low</v>
      </c>
      <c r="R4333" t="s">
        <v>3317</v>
      </c>
      <c r="S4333" s="4">
        <f t="shared" ca="1" si="673"/>
        <v>992</v>
      </c>
      <c r="T4333">
        <f t="shared" si="674"/>
        <v>1</v>
      </c>
      <c r="U4333">
        <f t="shared" si="675"/>
        <v>1</v>
      </c>
      <c r="V4333">
        <f t="shared" si="676"/>
        <v>1</v>
      </c>
      <c r="W4333">
        <f t="shared" si="677"/>
        <v>1</v>
      </c>
      <c r="X4333">
        <f t="shared" si="678"/>
        <v>0.99999999999999989</v>
      </c>
      <c r="Y4333" t="str">
        <f t="shared" si="679"/>
        <v>Healthy</v>
      </c>
    </row>
    <row r="4334" spans="1:25" x14ac:dyDescent="0.35">
      <c r="A4334" t="s">
        <v>189</v>
      </c>
      <c r="B4334" t="s">
        <v>262</v>
      </c>
      <c r="C4334" t="s">
        <v>262</v>
      </c>
      <c r="D4334" t="s">
        <v>1451</v>
      </c>
      <c r="E4334">
        <v>80862574</v>
      </c>
      <c r="F4334" t="s">
        <v>2736</v>
      </c>
      <c r="G4334" s="3">
        <v>46576</v>
      </c>
      <c r="H4334">
        <v>18</v>
      </c>
      <c r="I4334">
        <v>71</v>
      </c>
      <c r="J4334">
        <v>30</v>
      </c>
      <c r="K4334" s="4">
        <v>4830.3</v>
      </c>
      <c r="L4334" s="4">
        <v>5191.1428571428569</v>
      </c>
      <c r="M4334" s="4">
        <v>5.779074247344378E-3</v>
      </c>
      <c r="N4334" t="s">
        <v>25</v>
      </c>
      <c r="O4334" t="str">
        <f t="shared" si="670"/>
        <v>Low</v>
      </c>
      <c r="P4334" t="str">
        <f t="shared" si="671"/>
        <v>Low</v>
      </c>
      <c r="Q4334" t="str">
        <f t="shared" si="672"/>
        <v>Low</v>
      </c>
      <c r="R4334" t="s">
        <v>3317</v>
      </c>
      <c r="S4334" s="4">
        <f t="shared" ca="1" si="673"/>
        <v>379</v>
      </c>
      <c r="T4334">
        <f t="shared" si="674"/>
        <v>1</v>
      </c>
      <c r="U4334">
        <f t="shared" si="675"/>
        <v>1</v>
      </c>
      <c r="V4334">
        <f t="shared" si="676"/>
        <v>1</v>
      </c>
      <c r="W4334">
        <f t="shared" si="677"/>
        <v>1</v>
      </c>
      <c r="X4334">
        <f t="shared" si="678"/>
        <v>0.99999999999999989</v>
      </c>
      <c r="Y4334" t="str">
        <f t="shared" si="679"/>
        <v>Healthy</v>
      </c>
    </row>
    <row r="4335" spans="1:25" x14ac:dyDescent="0.35">
      <c r="A4335" t="s">
        <v>14</v>
      </c>
      <c r="B4335" t="s">
        <v>15</v>
      </c>
      <c r="C4335" t="s">
        <v>16</v>
      </c>
      <c r="D4335" t="s">
        <v>62</v>
      </c>
      <c r="E4335">
        <v>80876085</v>
      </c>
      <c r="F4335" t="s">
        <v>2734</v>
      </c>
      <c r="G4335" s="3">
        <v>47981</v>
      </c>
      <c r="H4335">
        <v>60</v>
      </c>
      <c r="I4335">
        <v>99</v>
      </c>
      <c r="J4335">
        <v>15</v>
      </c>
      <c r="K4335" s="4">
        <v>8485.5</v>
      </c>
      <c r="L4335" s="4">
        <v>2670.1428571428573</v>
      </c>
      <c r="M4335" s="4">
        <v>5.6176769568241393E-3</v>
      </c>
      <c r="N4335" t="s">
        <v>25</v>
      </c>
      <c r="O4335" t="str">
        <f t="shared" si="670"/>
        <v>Low</v>
      </c>
      <c r="P4335" t="str">
        <f t="shared" si="671"/>
        <v>Low</v>
      </c>
      <c r="Q4335" t="str">
        <f t="shared" si="672"/>
        <v>Low</v>
      </c>
      <c r="R4335" t="s">
        <v>3317</v>
      </c>
      <c r="S4335" s="4">
        <f t="shared" ca="1" si="673"/>
        <v>1784</v>
      </c>
      <c r="T4335">
        <f t="shared" si="674"/>
        <v>1</v>
      </c>
      <c r="U4335">
        <f t="shared" si="675"/>
        <v>1</v>
      </c>
      <c r="V4335">
        <f t="shared" si="676"/>
        <v>1</v>
      </c>
      <c r="W4335">
        <f t="shared" si="677"/>
        <v>1</v>
      </c>
      <c r="X4335">
        <f t="shared" si="678"/>
        <v>0.99999999999999989</v>
      </c>
      <c r="Y4335" t="str">
        <f t="shared" si="679"/>
        <v>Healthy</v>
      </c>
    </row>
    <row r="4336" spans="1:25" x14ac:dyDescent="0.35">
      <c r="A4336" t="s">
        <v>90</v>
      </c>
      <c r="B4336" t="s">
        <v>91</v>
      </c>
      <c r="C4336" t="s">
        <v>92</v>
      </c>
      <c r="D4336" t="s">
        <v>825</v>
      </c>
      <c r="E4336">
        <v>83904901</v>
      </c>
      <c r="F4336" t="s">
        <v>2737</v>
      </c>
      <c r="G4336" s="3">
        <v>46879</v>
      </c>
      <c r="H4336">
        <v>24</v>
      </c>
      <c r="I4336">
        <v>95</v>
      </c>
      <c r="J4336">
        <v>87</v>
      </c>
      <c r="K4336" s="4">
        <v>35165.4</v>
      </c>
      <c r="L4336" s="4">
        <v>668.14285714285711</v>
      </c>
      <c r="M4336" s="4">
        <v>0.13021167415009621</v>
      </c>
      <c r="N4336" t="s">
        <v>25</v>
      </c>
      <c r="O4336" t="str">
        <f t="shared" si="670"/>
        <v>Low</v>
      </c>
      <c r="P4336" t="str">
        <f t="shared" si="671"/>
        <v>Low</v>
      </c>
      <c r="Q4336" t="str">
        <f t="shared" si="672"/>
        <v>Low</v>
      </c>
      <c r="R4336" t="s">
        <v>3317</v>
      </c>
      <c r="S4336" s="4">
        <f t="shared" ca="1" si="673"/>
        <v>682</v>
      </c>
      <c r="T4336">
        <f t="shared" si="674"/>
        <v>1</v>
      </c>
      <c r="U4336">
        <f t="shared" si="675"/>
        <v>1</v>
      </c>
      <c r="V4336">
        <f t="shared" si="676"/>
        <v>1</v>
      </c>
      <c r="W4336">
        <f t="shared" si="677"/>
        <v>1</v>
      </c>
      <c r="X4336">
        <f t="shared" si="678"/>
        <v>0.99999999999999989</v>
      </c>
      <c r="Y4336" t="str">
        <f t="shared" si="679"/>
        <v>Healthy</v>
      </c>
    </row>
    <row r="4337" spans="1:25" x14ac:dyDescent="0.35">
      <c r="A4337" t="s">
        <v>41</v>
      </c>
      <c r="B4337" t="s">
        <v>42</v>
      </c>
      <c r="C4337" t="s">
        <v>43</v>
      </c>
      <c r="D4337" t="s">
        <v>1455</v>
      </c>
      <c r="E4337">
        <v>80879289</v>
      </c>
      <c r="F4337" t="s">
        <v>2738</v>
      </c>
      <c r="G4337" s="3">
        <v>47193</v>
      </c>
      <c r="H4337">
        <v>36</v>
      </c>
      <c r="I4337">
        <v>93</v>
      </c>
      <c r="J4337">
        <v>1</v>
      </c>
      <c r="K4337" s="4">
        <v>1018.37</v>
      </c>
      <c r="L4337" s="4">
        <v>356.42857142857144</v>
      </c>
      <c r="M4337" s="4">
        <v>2.8056112224448897E-3</v>
      </c>
      <c r="N4337" t="s">
        <v>25</v>
      </c>
      <c r="O4337" t="str">
        <f t="shared" si="670"/>
        <v>Low</v>
      </c>
      <c r="P4337" t="str">
        <f t="shared" si="671"/>
        <v>Low</v>
      </c>
      <c r="Q4337" t="str">
        <f t="shared" si="672"/>
        <v>Low</v>
      </c>
      <c r="R4337" t="s">
        <v>3317</v>
      </c>
      <c r="S4337" s="4">
        <f t="shared" ca="1" si="673"/>
        <v>996</v>
      </c>
      <c r="T4337">
        <f t="shared" si="674"/>
        <v>1</v>
      </c>
      <c r="U4337">
        <f t="shared" si="675"/>
        <v>1</v>
      </c>
      <c r="V4337">
        <f t="shared" si="676"/>
        <v>1</v>
      </c>
      <c r="W4337">
        <f t="shared" si="677"/>
        <v>1</v>
      </c>
      <c r="X4337">
        <f t="shared" si="678"/>
        <v>0.99999999999999989</v>
      </c>
      <c r="Y4337" t="str">
        <f t="shared" si="679"/>
        <v>Healthy</v>
      </c>
    </row>
    <row r="4338" spans="1:25" x14ac:dyDescent="0.35">
      <c r="A4338" t="s">
        <v>90</v>
      </c>
      <c r="B4338" t="s">
        <v>91</v>
      </c>
      <c r="C4338" t="s">
        <v>92</v>
      </c>
      <c r="D4338" t="s">
        <v>825</v>
      </c>
      <c r="E4338">
        <v>83904901</v>
      </c>
      <c r="F4338" t="s">
        <v>2737</v>
      </c>
      <c r="G4338" s="3">
        <v>46878</v>
      </c>
      <c r="H4338">
        <v>24</v>
      </c>
      <c r="I4338">
        <v>95</v>
      </c>
      <c r="J4338">
        <v>68</v>
      </c>
      <c r="K4338" s="4">
        <v>27485.599999999999</v>
      </c>
      <c r="L4338" s="4">
        <v>668.14285714285711</v>
      </c>
      <c r="M4338" s="4">
        <v>0.10177464186444303</v>
      </c>
      <c r="N4338" t="s">
        <v>25</v>
      </c>
      <c r="O4338" t="str">
        <f t="shared" si="670"/>
        <v>Low</v>
      </c>
      <c r="P4338" t="str">
        <f t="shared" si="671"/>
        <v>Low</v>
      </c>
      <c r="Q4338" t="str">
        <f t="shared" si="672"/>
        <v>Low</v>
      </c>
      <c r="R4338" t="s">
        <v>3317</v>
      </c>
      <c r="S4338" s="4">
        <f t="shared" ca="1" si="673"/>
        <v>681</v>
      </c>
      <c r="T4338">
        <f t="shared" si="674"/>
        <v>1</v>
      </c>
      <c r="U4338">
        <f t="shared" si="675"/>
        <v>1</v>
      </c>
      <c r="V4338">
        <f t="shared" si="676"/>
        <v>1</v>
      </c>
      <c r="W4338">
        <f t="shared" si="677"/>
        <v>1</v>
      </c>
      <c r="X4338">
        <f t="shared" si="678"/>
        <v>0.99999999999999989</v>
      </c>
      <c r="Y4338" t="str">
        <f t="shared" si="679"/>
        <v>Healthy</v>
      </c>
    </row>
    <row r="4339" spans="1:25" x14ac:dyDescent="0.35">
      <c r="A4339" t="s">
        <v>46</v>
      </c>
      <c r="B4339" t="s">
        <v>129</v>
      </c>
      <c r="C4339" t="s">
        <v>1748</v>
      </c>
      <c r="D4339" t="s">
        <v>2739</v>
      </c>
      <c r="E4339">
        <v>80865298</v>
      </c>
      <c r="F4339" t="s">
        <v>2740</v>
      </c>
      <c r="G4339" s="3">
        <v>47188</v>
      </c>
      <c r="H4339">
        <v>36</v>
      </c>
      <c r="I4339">
        <v>92</v>
      </c>
      <c r="J4339">
        <v>255</v>
      </c>
      <c r="K4339" s="4">
        <v>63166.05</v>
      </c>
      <c r="L4339" s="4">
        <v>573.28571428571433</v>
      </c>
      <c r="M4339" s="4">
        <v>0.44480438574632442</v>
      </c>
      <c r="N4339" t="s">
        <v>25</v>
      </c>
      <c r="O4339" t="str">
        <f t="shared" si="670"/>
        <v>Low</v>
      </c>
      <c r="P4339" t="str">
        <f t="shared" si="671"/>
        <v>Low</v>
      </c>
      <c r="Q4339" t="str">
        <f t="shared" si="672"/>
        <v>Low</v>
      </c>
      <c r="R4339" t="s">
        <v>3317</v>
      </c>
      <c r="S4339" s="4">
        <f t="shared" ca="1" si="673"/>
        <v>991</v>
      </c>
      <c r="T4339">
        <f t="shared" si="674"/>
        <v>1</v>
      </c>
      <c r="U4339">
        <f t="shared" si="675"/>
        <v>1</v>
      </c>
      <c r="V4339">
        <f t="shared" si="676"/>
        <v>1</v>
      </c>
      <c r="W4339">
        <f t="shared" si="677"/>
        <v>1</v>
      </c>
      <c r="X4339">
        <f t="shared" si="678"/>
        <v>0.99999999999999989</v>
      </c>
      <c r="Y4339" t="str">
        <f t="shared" si="679"/>
        <v>Healthy</v>
      </c>
    </row>
    <row r="4340" spans="1:25" x14ac:dyDescent="0.35">
      <c r="A4340" t="s">
        <v>90</v>
      </c>
      <c r="B4340" t="s">
        <v>91</v>
      </c>
      <c r="C4340" t="s">
        <v>92</v>
      </c>
      <c r="D4340" t="s">
        <v>825</v>
      </c>
      <c r="E4340">
        <v>83904901</v>
      </c>
      <c r="F4340" t="s">
        <v>2737</v>
      </c>
      <c r="G4340" s="3">
        <v>46890</v>
      </c>
      <c r="H4340">
        <v>24</v>
      </c>
      <c r="I4340">
        <v>97</v>
      </c>
      <c r="J4340">
        <v>100</v>
      </c>
      <c r="K4340" s="4">
        <v>40420</v>
      </c>
      <c r="L4340" s="4">
        <v>668.14285714285711</v>
      </c>
      <c r="M4340" s="4">
        <v>0.1496685909771221</v>
      </c>
      <c r="N4340" t="s">
        <v>25</v>
      </c>
      <c r="O4340" t="str">
        <f t="shared" si="670"/>
        <v>Low</v>
      </c>
      <c r="P4340" t="str">
        <f t="shared" si="671"/>
        <v>Low</v>
      </c>
      <c r="Q4340" t="str">
        <f t="shared" si="672"/>
        <v>Low</v>
      </c>
      <c r="R4340" t="s">
        <v>3317</v>
      </c>
      <c r="S4340" s="4">
        <f t="shared" ca="1" si="673"/>
        <v>693</v>
      </c>
      <c r="T4340">
        <f t="shared" si="674"/>
        <v>1</v>
      </c>
      <c r="U4340">
        <f t="shared" si="675"/>
        <v>1</v>
      </c>
      <c r="V4340">
        <f t="shared" si="676"/>
        <v>1</v>
      </c>
      <c r="W4340">
        <f t="shared" si="677"/>
        <v>1</v>
      </c>
      <c r="X4340">
        <f t="shared" si="678"/>
        <v>0.99999999999999989</v>
      </c>
      <c r="Y4340" t="str">
        <f t="shared" si="679"/>
        <v>Healthy</v>
      </c>
    </row>
    <row r="4341" spans="1:25" x14ac:dyDescent="0.35">
      <c r="A4341" t="s">
        <v>46</v>
      </c>
      <c r="B4341" t="s">
        <v>129</v>
      </c>
      <c r="C4341" t="s">
        <v>1748</v>
      </c>
      <c r="D4341" t="s">
        <v>2739</v>
      </c>
      <c r="E4341">
        <v>80865298</v>
      </c>
      <c r="F4341" t="s">
        <v>2740</v>
      </c>
      <c r="G4341" s="3">
        <v>47128</v>
      </c>
      <c r="H4341">
        <v>36</v>
      </c>
      <c r="I4341">
        <v>87</v>
      </c>
      <c r="J4341">
        <v>20</v>
      </c>
      <c r="K4341" s="4">
        <v>4954.2</v>
      </c>
      <c r="L4341" s="4">
        <v>573.28571428571433</v>
      </c>
      <c r="M4341" s="4">
        <v>3.4886618489907796E-2</v>
      </c>
      <c r="N4341" t="s">
        <v>25</v>
      </c>
      <c r="O4341" t="str">
        <f t="shared" si="670"/>
        <v>Low</v>
      </c>
      <c r="P4341" t="str">
        <f t="shared" si="671"/>
        <v>Low</v>
      </c>
      <c r="Q4341" t="str">
        <f t="shared" si="672"/>
        <v>Low</v>
      </c>
      <c r="R4341" t="s">
        <v>3317</v>
      </c>
      <c r="S4341" s="4">
        <f t="shared" ca="1" si="673"/>
        <v>931</v>
      </c>
      <c r="T4341">
        <f t="shared" si="674"/>
        <v>1</v>
      </c>
      <c r="U4341">
        <f t="shared" si="675"/>
        <v>1</v>
      </c>
      <c r="V4341">
        <f t="shared" si="676"/>
        <v>1</v>
      </c>
      <c r="W4341">
        <f t="shared" si="677"/>
        <v>1</v>
      </c>
      <c r="X4341">
        <f t="shared" si="678"/>
        <v>0.99999999999999989</v>
      </c>
      <c r="Y4341" t="str">
        <f t="shared" si="679"/>
        <v>Healthy</v>
      </c>
    </row>
    <row r="4342" spans="1:25" x14ac:dyDescent="0.35">
      <c r="A4342" t="s">
        <v>46</v>
      </c>
      <c r="B4342" t="s">
        <v>129</v>
      </c>
      <c r="C4342" t="s">
        <v>1748</v>
      </c>
      <c r="D4342" t="s">
        <v>2741</v>
      </c>
      <c r="E4342">
        <v>80865300</v>
      </c>
      <c r="F4342" t="s">
        <v>2742</v>
      </c>
      <c r="G4342" s="3">
        <v>47207</v>
      </c>
      <c r="H4342">
        <v>36</v>
      </c>
      <c r="I4342">
        <v>94</v>
      </c>
      <c r="J4342">
        <v>7</v>
      </c>
      <c r="K4342" s="4">
        <v>1733.97</v>
      </c>
      <c r="L4342" s="4">
        <v>308.14285714285717</v>
      </c>
      <c r="M4342" s="4">
        <v>2.2716736207695872E-2</v>
      </c>
      <c r="N4342" t="s">
        <v>25</v>
      </c>
      <c r="O4342" t="str">
        <f t="shared" si="670"/>
        <v>Low</v>
      </c>
      <c r="P4342" t="str">
        <f t="shared" si="671"/>
        <v>Low</v>
      </c>
      <c r="Q4342" t="str">
        <f t="shared" si="672"/>
        <v>Low</v>
      </c>
      <c r="R4342" t="s">
        <v>3317</v>
      </c>
      <c r="S4342" s="4">
        <f t="shared" ca="1" si="673"/>
        <v>1010</v>
      </c>
      <c r="T4342">
        <f t="shared" si="674"/>
        <v>1</v>
      </c>
      <c r="U4342">
        <f t="shared" si="675"/>
        <v>1</v>
      </c>
      <c r="V4342">
        <f t="shared" si="676"/>
        <v>1</v>
      </c>
      <c r="W4342">
        <f t="shared" si="677"/>
        <v>1</v>
      </c>
      <c r="X4342">
        <f t="shared" si="678"/>
        <v>0.99999999999999989</v>
      </c>
      <c r="Y4342" t="str">
        <f t="shared" si="679"/>
        <v>Healthy</v>
      </c>
    </row>
    <row r="4343" spans="1:25" x14ac:dyDescent="0.35">
      <c r="A4343" t="s">
        <v>90</v>
      </c>
      <c r="B4343" t="s">
        <v>91</v>
      </c>
      <c r="C4343" t="s">
        <v>92</v>
      </c>
      <c r="D4343" t="s">
        <v>2109</v>
      </c>
      <c r="E4343">
        <v>83904906</v>
      </c>
      <c r="F4343" t="s">
        <v>2743</v>
      </c>
      <c r="G4343" s="3">
        <v>46895</v>
      </c>
      <c r="H4343">
        <v>24</v>
      </c>
      <c r="I4343">
        <v>98</v>
      </c>
      <c r="J4343">
        <v>15</v>
      </c>
      <c r="K4343" s="4">
        <v>1232.4000000000001</v>
      </c>
      <c r="L4343" s="4">
        <v>2947.7142857142858</v>
      </c>
      <c r="M4343" s="4">
        <v>5.088688572259378E-3</v>
      </c>
      <c r="N4343" t="s">
        <v>25</v>
      </c>
      <c r="O4343" t="str">
        <f t="shared" si="670"/>
        <v>Low</v>
      </c>
      <c r="P4343" t="str">
        <f t="shared" si="671"/>
        <v>Low</v>
      </c>
      <c r="Q4343" t="str">
        <f t="shared" si="672"/>
        <v>Low</v>
      </c>
      <c r="R4343" t="s">
        <v>3317</v>
      </c>
      <c r="S4343" s="4">
        <f t="shared" ca="1" si="673"/>
        <v>698</v>
      </c>
      <c r="T4343">
        <f t="shared" si="674"/>
        <v>1</v>
      </c>
      <c r="U4343">
        <f t="shared" si="675"/>
        <v>1</v>
      </c>
      <c r="V4343">
        <f t="shared" si="676"/>
        <v>1</v>
      </c>
      <c r="W4343">
        <f t="shared" si="677"/>
        <v>1</v>
      </c>
      <c r="X4343">
        <f t="shared" si="678"/>
        <v>0.99999999999999989</v>
      </c>
      <c r="Y4343" t="str">
        <f t="shared" si="679"/>
        <v>Healthy</v>
      </c>
    </row>
    <row r="4344" spans="1:25" x14ac:dyDescent="0.35">
      <c r="A4344" t="s">
        <v>41</v>
      </c>
      <c r="B4344" t="s">
        <v>42</v>
      </c>
      <c r="C4344" t="s">
        <v>43</v>
      </c>
      <c r="D4344" t="s">
        <v>1188</v>
      </c>
      <c r="E4344">
        <v>80879292</v>
      </c>
      <c r="F4344" t="s">
        <v>2744</v>
      </c>
      <c r="G4344" s="3">
        <v>47154</v>
      </c>
      <c r="H4344">
        <v>36</v>
      </c>
      <c r="I4344">
        <v>89</v>
      </c>
      <c r="J4344">
        <v>36</v>
      </c>
      <c r="K4344" s="4">
        <v>27739.8</v>
      </c>
      <c r="L4344" s="4">
        <v>282.85714285714283</v>
      </c>
      <c r="M4344" s="4">
        <v>0.12727272727272729</v>
      </c>
      <c r="N4344" t="s">
        <v>25</v>
      </c>
      <c r="O4344" t="str">
        <f t="shared" si="670"/>
        <v>Low</v>
      </c>
      <c r="P4344" t="str">
        <f t="shared" si="671"/>
        <v>Low</v>
      </c>
      <c r="Q4344" t="str">
        <f t="shared" si="672"/>
        <v>Low</v>
      </c>
      <c r="R4344" t="s">
        <v>3317</v>
      </c>
      <c r="S4344" s="4">
        <f t="shared" ca="1" si="673"/>
        <v>957</v>
      </c>
      <c r="T4344">
        <f t="shared" si="674"/>
        <v>1</v>
      </c>
      <c r="U4344">
        <f t="shared" si="675"/>
        <v>1</v>
      </c>
      <c r="V4344">
        <f t="shared" si="676"/>
        <v>1</v>
      </c>
      <c r="W4344">
        <f t="shared" si="677"/>
        <v>1</v>
      </c>
      <c r="X4344">
        <f t="shared" si="678"/>
        <v>0.99999999999999989</v>
      </c>
      <c r="Y4344" t="str">
        <f t="shared" si="679"/>
        <v>Healthy</v>
      </c>
    </row>
    <row r="4345" spans="1:25" x14ac:dyDescent="0.35">
      <c r="A4345" t="s">
        <v>90</v>
      </c>
      <c r="B4345" t="s">
        <v>91</v>
      </c>
      <c r="C4345" t="s">
        <v>92</v>
      </c>
      <c r="D4345" t="s">
        <v>2109</v>
      </c>
      <c r="E4345">
        <v>83904906</v>
      </c>
      <c r="F4345" t="s">
        <v>2743</v>
      </c>
      <c r="G4345" s="3">
        <v>46871</v>
      </c>
      <c r="H4345">
        <v>24</v>
      </c>
      <c r="I4345">
        <v>94</v>
      </c>
      <c r="J4345">
        <v>644</v>
      </c>
      <c r="K4345" s="4">
        <v>52911.040000000001</v>
      </c>
      <c r="L4345" s="4">
        <v>2947.7142857142858</v>
      </c>
      <c r="M4345" s="4">
        <v>0.21847436270233594</v>
      </c>
      <c r="N4345" t="s">
        <v>25</v>
      </c>
      <c r="O4345" t="str">
        <f t="shared" si="670"/>
        <v>Low</v>
      </c>
      <c r="P4345" t="str">
        <f t="shared" si="671"/>
        <v>Low</v>
      </c>
      <c r="Q4345" t="str">
        <f t="shared" si="672"/>
        <v>Low</v>
      </c>
      <c r="R4345" t="s">
        <v>3317</v>
      </c>
      <c r="S4345" s="4">
        <f t="shared" ca="1" si="673"/>
        <v>674</v>
      </c>
      <c r="T4345">
        <f t="shared" si="674"/>
        <v>1</v>
      </c>
      <c r="U4345">
        <f t="shared" si="675"/>
        <v>1</v>
      </c>
      <c r="V4345">
        <f t="shared" si="676"/>
        <v>1</v>
      </c>
      <c r="W4345">
        <f t="shared" si="677"/>
        <v>1</v>
      </c>
      <c r="X4345">
        <f t="shared" si="678"/>
        <v>0.99999999999999989</v>
      </c>
      <c r="Y4345" t="str">
        <f t="shared" si="679"/>
        <v>Healthy</v>
      </c>
    </row>
    <row r="4346" spans="1:25" x14ac:dyDescent="0.35">
      <c r="A4346" t="s">
        <v>41</v>
      </c>
      <c r="B4346" t="s">
        <v>42</v>
      </c>
      <c r="C4346" t="s">
        <v>43</v>
      </c>
      <c r="D4346" t="s">
        <v>1188</v>
      </c>
      <c r="E4346">
        <v>80879292</v>
      </c>
      <c r="F4346" t="s">
        <v>2744</v>
      </c>
      <c r="G4346" s="3">
        <v>47095</v>
      </c>
      <c r="H4346">
        <v>36</v>
      </c>
      <c r="I4346">
        <v>84</v>
      </c>
      <c r="J4346">
        <v>12</v>
      </c>
      <c r="K4346" s="4">
        <v>9246.6</v>
      </c>
      <c r="L4346" s="4">
        <v>282.85714285714283</v>
      </c>
      <c r="M4346" s="4">
        <v>4.2424242424242427E-2</v>
      </c>
      <c r="N4346" t="s">
        <v>25</v>
      </c>
      <c r="O4346" t="str">
        <f t="shared" si="670"/>
        <v>Low</v>
      </c>
      <c r="P4346" t="str">
        <f t="shared" si="671"/>
        <v>Low</v>
      </c>
      <c r="Q4346" t="str">
        <f t="shared" si="672"/>
        <v>Low</v>
      </c>
      <c r="R4346" t="s">
        <v>3317</v>
      </c>
      <c r="S4346" s="4">
        <f t="shared" ca="1" si="673"/>
        <v>898</v>
      </c>
      <c r="T4346">
        <f t="shared" si="674"/>
        <v>1</v>
      </c>
      <c r="U4346">
        <f t="shared" si="675"/>
        <v>1</v>
      </c>
      <c r="V4346">
        <f t="shared" si="676"/>
        <v>1</v>
      </c>
      <c r="W4346">
        <f t="shared" si="677"/>
        <v>1</v>
      </c>
      <c r="X4346">
        <f t="shared" si="678"/>
        <v>0.99999999999999989</v>
      </c>
      <c r="Y4346" t="str">
        <f t="shared" si="679"/>
        <v>Healthy</v>
      </c>
    </row>
    <row r="4347" spans="1:25" x14ac:dyDescent="0.35">
      <c r="A4347" t="s">
        <v>90</v>
      </c>
      <c r="B4347" t="s">
        <v>91</v>
      </c>
      <c r="C4347" t="s">
        <v>92</v>
      </c>
      <c r="D4347" t="s">
        <v>2109</v>
      </c>
      <c r="E4347">
        <v>83904906</v>
      </c>
      <c r="F4347" t="s">
        <v>2743</v>
      </c>
      <c r="G4347" s="3">
        <v>46901</v>
      </c>
      <c r="H4347">
        <v>24</v>
      </c>
      <c r="I4347">
        <v>98</v>
      </c>
      <c r="J4347">
        <v>656</v>
      </c>
      <c r="K4347" s="4">
        <v>53896.959999999999</v>
      </c>
      <c r="L4347" s="4">
        <v>2947.7142857142858</v>
      </c>
      <c r="M4347" s="4">
        <v>0.22254531356014345</v>
      </c>
      <c r="N4347" t="s">
        <v>25</v>
      </c>
      <c r="O4347" t="str">
        <f t="shared" si="670"/>
        <v>Low</v>
      </c>
      <c r="P4347" t="str">
        <f t="shared" si="671"/>
        <v>Low</v>
      </c>
      <c r="Q4347" t="str">
        <f t="shared" si="672"/>
        <v>Low</v>
      </c>
      <c r="R4347" t="s">
        <v>3317</v>
      </c>
      <c r="S4347" s="4">
        <f t="shared" ca="1" si="673"/>
        <v>704</v>
      </c>
      <c r="T4347">
        <f t="shared" si="674"/>
        <v>1</v>
      </c>
      <c r="U4347">
        <f t="shared" si="675"/>
        <v>1</v>
      </c>
      <c r="V4347">
        <f t="shared" si="676"/>
        <v>1</v>
      </c>
      <c r="W4347">
        <f t="shared" si="677"/>
        <v>1</v>
      </c>
      <c r="X4347">
        <f t="shared" si="678"/>
        <v>0.99999999999999989</v>
      </c>
      <c r="Y4347" t="str">
        <f t="shared" si="679"/>
        <v>Healthy</v>
      </c>
    </row>
    <row r="4348" spans="1:25" x14ac:dyDescent="0.35">
      <c r="A4348" t="s">
        <v>41</v>
      </c>
      <c r="B4348" t="s">
        <v>42</v>
      </c>
      <c r="C4348" t="s">
        <v>43</v>
      </c>
      <c r="D4348" t="s">
        <v>1188</v>
      </c>
      <c r="E4348">
        <v>80879292</v>
      </c>
      <c r="F4348" t="s">
        <v>2744</v>
      </c>
      <c r="G4348" s="3">
        <v>47097</v>
      </c>
      <c r="H4348">
        <v>36</v>
      </c>
      <c r="I4348">
        <v>84</v>
      </c>
      <c r="J4348">
        <v>12</v>
      </c>
      <c r="K4348" s="4">
        <v>9246.6</v>
      </c>
      <c r="L4348" s="4">
        <v>282.85714285714283</v>
      </c>
      <c r="M4348" s="4">
        <v>4.2424242424242427E-2</v>
      </c>
      <c r="N4348" t="s">
        <v>25</v>
      </c>
      <c r="O4348" t="str">
        <f t="shared" si="670"/>
        <v>Low</v>
      </c>
      <c r="P4348" t="str">
        <f t="shared" si="671"/>
        <v>Low</v>
      </c>
      <c r="Q4348" t="str">
        <f t="shared" si="672"/>
        <v>Low</v>
      </c>
      <c r="R4348" t="s">
        <v>3317</v>
      </c>
      <c r="S4348" s="4">
        <f t="shared" ca="1" si="673"/>
        <v>900</v>
      </c>
      <c r="T4348">
        <f t="shared" si="674"/>
        <v>1</v>
      </c>
      <c r="U4348">
        <f t="shared" si="675"/>
        <v>1</v>
      </c>
      <c r="V4348">
        <f t="shared" si="676"/>
        <v>1</v>
      </c>
      <c r="W4348">
        <f t="shared" si="677"/>
        <v>1</v>
      </c>
      <c r="X4348">
        <f t="shared" si="678"/>
        <v>0.99999999999999989</v>
      </c>
      <c r="Y4348" t="str">
        <f t="shared" si="679"/>
        <v>Healthy</v>
      </c>
    </row>
    <row r="4349" spans="1:25" x14ac:dyDescent="0.35">
      <c r="A4349" t="s">
        <v>90</v>
      </c>
      <c r="B4349" t="s">
        <v>91</v>
      </c>
      <c r="C4349" t="s">
        <v>92</v>
      </c>
      <c r="D4349" t="s">
        <v>2109</v>
      </c>
      <c r="E4349">
        <v>83904906</v>
      </c>
      <c r="F4349" t="s">
        <v>2743</v>
      </c>
      <c r="G4349" s="3">
        <v>46907</v>
      </c>
      <c r="H4349">
        <v>24</v>
      </c>
      <c r="I4349">
        <v>99</v>
      </c>
      <c r="J4349">
        <v>128</v>
      </c>
      <c r="K4349" s="4">
        <v>10516.48</v>
      </c>
      <c r="L4349" s="4">
        <v>2947.7142857142858</v>
      </c>
      <c r="M4349" s="4">
        <v>4.3423475816613356E-2</v>
      </c>
      <c r="N4349" t="s">
        <v>25</v>
      </c>
      <c r="O4349" t="str">
        <f t="shared" si="670"/>
        <v>Low</v>
      </c>
      <c r="P4349" t="str">
        <f t="shared" si="671"/>
        <v>Low</v>
      </c>
      <c r="Q4349" t="str">
        <f t="shared" si="672"/>
        <v>Low</v>
      </c>
      <c r="R4349" t="s">
        <v>3317</v>
      </c>
      <c r="S4349" s="4">
        <f t="shared" ca="1" si="673"/>
        <v>710</v>
      </c>
      <c r="T4349">
        <f t="shared" si="674"/>
        <v>1</v>
      </c>
      <c r="U4349">
        <f t="shared" si="675"/>
        <v>1</v>
      </c>
      <c r="V4349">
        <f t="shared" si="676"/>
        <v>1</v>
      </c>
      <c r="W4349">
        <f t="shared" si="677"/>
        <v>1</v>
      </c>
      <c r="X4349">
        <f t="shared" si="678"/>
        <v>0.99999999999999989</v>
      </c>
      <c r="Y4349" t="str">
        <f t="shared" si="679"/>
        <v>Healthy</v>
      </c>
    </row>
    <row r="4350" spans="1:25" x14ac:dyDescent="0.35">
      <c r="A4350" t="s">
        <v>41</v>
      </c>
      <c r="B4350" t="s">
        <v>42</v>
      </c>
      <c r="C4350" t="s">
        <v>43</v>
      </c>
      <c r="D4350" t="s">
        <v>2745</v>
      </c>
      <c r="E4350">
        <v>80879293</v>
      </c>
      <c r="F4350" t="s">
        <v>2746</v>
      </c>
      <c r="G4350" s="3">
        <v>47206</v>
      </c>
      <c r="H4350">
        <v>36</v>
      </c>
      <c r="I4350">
        <v>94</v>
      </c>
      <c r="J4350">
        <v>8</v>
      </c>
      <c r="K4350" s="4">
        <v>1221.76</v>
      </c>
      <c r="L4350" s="4">
        <v>1141.5714285714287</v>
      </c>
      <c r="M4350" s="4">
        <v>7.0078838693530213E-3</v>
      </c>
      <c r="N4350" t="s">
        <v>25</v>
      </c>
      <c r="O4350" t="str">
        <f t="shared" si="670"/>
        <v>Low</v>
      </c>
      <c r="P4350" t="str">
        <f t="shared" si="671"/>
        <v>Low</v>
      </c>
      <c r="Q4350" t="str">
        <f t="shared" si="672"/>
        <v>Low</v>
      </c>
      <c r="R4350" t="s">
        <v>3317</v>
      </c>
      <c r="S4350" s="4">
        <f t="shared" ca="1" si="673"/>
        <v>1009</v>
      </c>
      <c r="T4350">
        <f t="shared" si="674"/>
        <v>1</v>
      </c>
      <c r="U4350">
        <f t="shared" si="675"/>
        <v>1</v>
      </c>
      <c r="V4350">
        <f t="shared" si="676"/>
        <v>1</v>
      </c>
      <c r="W4350">
        <f t="shared" si="677"/>
        <v>1</v>
      </c>
      <c r="X4350">
        <f t="shared" si="678"/>
        <v>0.99999999999999989</v>
      </c>
      <c r="Y4350" t="str">
        <f t="shared" si="679"/>
        <v>Healthy</v>
      </c>
    </row>
    <row r="4351" spans="1:25" x14ac:dyDescent="0.35">
      <c r="A4351" t="s">
        <v>90</v>
      </c>
      <c r="B4351" t="s">
        <v>91</v>
      </c>
      <c r="C4351" t="s">
        <v>92</v>
      </c>
      <c r="D4351" t="s">
        <v>2109</v>
      </c>
      <c r="E4351">
        <v>83904906</v>
      </c>
      <c r="F4351" t="s">
        <v>2743</v>
      </c>
      <c r="G4351" s="3">
        <v>46897</v>
      </c>
      <c r="H4351">
        <v>24</v>
      </c>
      <c r="I4351">
        <v>98</v>
      </c>
      <c r="J4351">
        <v>128</v>
      </c>
      <c r="K4351" s="4">
        <v>10516.48</v>
      </c>
      <c r="L4351" s="4">
        <v>2947.7142857142858</v>
      </c>
      <c r="M4351" s="4">
        <v>4.3423475816613356E-2</v>
      </c>
      <c r="N4351" t="s">
        <v>25</v>
      </c>
      <c r="O4351" t="str">
        <f t="shared" si="670"/>
        <v>Low</v>
      </c>
      <c r="P4351" t="str">
        <f t="shared" si="671"/>
        <v>Low</v>
      </c>
      <c r="Q4351" t="str">
        <f t="shared" si="672"/>
        <v>Low</v>
      </c>
      <c r="R4351" t="s">
        <v>3317</v>
      </c>
      <c r="S4351" s="4">
        <f t="shared" ca="1" si="673"/>
        <v>700</v>
      </c>
      <c r="T4351">
        <f t="shared" si="674"/>
        <v>1</v>
      </c>
      <c r="U4351">
        <f t="shared" si="675"/>
        <v>1</v>
      </c>
      <c r="V4351">
        <f t="shared" si="676"/>
        <v>1</v>
      </c>
      <c r="W4351">
        <f t="shared" si="677"/>
        <v>1</v>
      </c>
      <c r="X4351">
        <f t="shared" si="678"/>
        <v>0.99999999999999989</v>
      </c>
      <c r="Y4351" t="str">
        <f t="shared" si="679"/>
        <v>Healthy</v>
      </c>
    </row>
    <row r="4352" spans="1:25" x14ac:dyDescent="0.35">
      <c r="A4352" t="s">
        <v>90</v>
      </c>
      <c r="B4352" t="s">
        <v>91</v>
      </c>
      <c r="C4352" t="s">
        <v>92</v>
      </c>
      <c r="D4352" t="s">
        <v>2109</v>
      </c>
      <c r="E4352">
        <v>83904906</v>
      </c>
      <c r="F4352" t="s">
        <v>2743</v>
      </c>
      <c r="G4352" s="3">
        <v>46894</v>
      </c>
      <c r="H4352">
        <v>24</v>
      </c>
      <c r="I4352">
        <v>98</v>
      </c>
      <c r="J4352">
        <v>559</v>
      </c>
      <c r="K4352" s="4">
        <v>45927.44</v>
      </c>
      <c r="L4352" s="4">
        <v>2947.7142857142858</v>
      </c>
      <c r="M4352" s="4">
        <v>0.18963846079286614</v>
      </c>
      <c r="N4352" t="s">
        <v>25</v>
      </c>
      <c r="O4352" t="str">
        <f t="shared" si="670"/>
        <v>Low</v>
      </c>
      <c r="P4352" t="str">
        <f t="shared" si="671"/>
        <v>Low</v>
      </c>
      <c r="Q4352" t="str">
        <f t="shared" si="672"/>
        <v>Low</v>
      </c>
      <c r="R4352" t="s">
        <v>3317</v>
      </c>
      <c r="S4352" s="4">
        <f t="shared" ca="1" si="673"/>
        <v>697</v>
      </c>
      <c r="T4352">
        <f t="shared" si="674"/>
        <v>1</v>
      </c>
      <c r="U4352">
        <f t="shared" si="675"/>
        <v>1</v>
      </c>
      <c r="V4352">
        <f t="shared" si="676"/>
        <v>1</v>
      </c>
      <c r="W4352">
        <f t="shared" si="677"/>
        <v>1</v>
      </c>
      <c r="X4352">
        <f t="shared" si="678"/>
        <v>0.99999999999999989</v>
      </c>
      <c r="Y4352" t="str">
        <f t="shared" si="679"/>
        <v>Healthy</v>
      </c>
    </row>
    <row r="4353" spans="1:25" x14ac:dyDescent="0.35">
      <c r="A4353" t="s">
        <v>41</v>
      </c>
      <c r="B4353" t="s">
        <v>42</v>
      </c>
      <c r="C4353" t="s">
        <v>43</v>
      </c>
      <c r="D4353" t="s">
        <v>2745</v>
      </c>
      <c r="E4353">
        <v>80879293</v>
      </c>
      <c r="F4353" t="s">
        <v>2746</v>
      </c>
      <c r="G4353" s="3">
        <v>47202</v>
      </c>
      <c r="H4353">
        <v>36</v>
      </c>
      <c r="I4353">
        <v>94</v>
      </c>
      <c r="J4353">
        <v>6</v>
      </c>
      <c r="K4353" s="4">
        <v>916.32</v>
      </c>
      <c r="L4353" s="4">
        <v>1141.5714285714287</v>
      </c>
      <c r="M4353" s="4">
        <v>5.2559129020147664E-3</v>
      </c>
      <c r="N4353" t="s">
        <v>25</v>
      </c>
      <c r="O4353" t="str">
        <f t="shared" si="670"/>
        <v>Low</v>
      </c>
      <c r="P4353" t="str">
        <f t="shared" si="671"/>
        <v>Low</v>
      </c>
      <c r="Q4353" t="str">
        <f t="shared" si="672"/>
        <v>Low</v>
      </c>
      <c r="R4353" t="s">
        <v>3317</v>
      </c>
      <c r="S4353" s="4">
        <f t="shared" ca="1" si="673"/>
        <v>1005</v>
      </c>
      <c r="T4353">
        <f t="shared" si="674"/>
        <v>1</v>
      </c>
      <c r="U4353">
        <f t="shared" si="675"/>
        <v>1</v>
      </c>
      <c r="V4353">
        <f t="shared" si="676"/>
        <v>1</v>
      </c>
      <c r="W4353">
        <f t="shared" si="677"/>
        <v>1</v>
      </c>
      <c r="X4353">
        <f t="shared" si="678"/>
        <v>0.99999999999999989</v>
      </c>
      <c r="Y4353" t="str">
        <f t="shared" si="679"/>
        <v>Healthy</v>
      </c>
    </row>
    <row r="4354" spans="1:25" x14ac:dyDescent="0.35">
      <c r="A4354" t="s">
        <v>179</v>
      </c>
      <c r="B4354" t="s">
        <v>223</v>
      </c>
      <c r="C4354" t="s">
        <v>357</v>
      </c>
      <c r="D4354" t="s">
        <v>2747</v>
      </c>
      <c r="E4354">
        <v>83908460</v>
      </c>
      <c r="F4354" t="s">
        <v>2748</v>
      </c>
      <c r="G4354" s="3">
        <v>46594</v>
      </c>
      <c r="H4354">
        <v>18</v>
      </c>
      <c r="I4354">
        <v>74</v>
      </c>
      <c r="J4354">
        <v>2736</v>
      </c>
      <c r="K4354" s="4">
        <v>335816.64</v>
      </c>
      <c r="L4354" s="4">
        <v>244.14285714285714</v>
      </c>
      <c r="M4354" s="4">
        <v>11.20655354008192</v>
      </c>
      <c r="N4354" t="s">
        <v>19</v>
      </c>
      <c r="O4354" t="str">
        <f t="shared" si="670"/>
        <v>Low</v>
      </c>
      <c r="P4354" t="str">
        <f t="shared" si="671"/>
        <v>High</v>
      </c>
      <c r="Q4354" t="str">
        <f t="shared" si="672"/>
        <v>Low</v>
      </c>
      <c r="R4354" t="s">
        <v>3309</v>
      </c>
      <c r="S4354" s="4">
        <f t="shared" ca="1" si="673"/>
        <v>397</v>
      </c>
      <c r="T4354">
        <f t="shared" si="674"/>
        <v>1</v>
      </c>
      <c r="U4354">
        <f t="shared" si="675"/>
        <v>3</v>
      </c>
      <c r="V4354">
        <f t="shared" si="676"/>
        <v>1</v>
      </c>
      <c r="W4354">
        <f t="shared" si="677"/>
        <v>3</v>
      </c>
      <c r="X4354">
        <f t="shared" si="678"/>
        <v>1.7999999999999998</v>
      </c>
      <c r="Y4354" t="str">
        <f t="shared" si="679"/>
        <v>Monitor</v>
      </c>
    </row>
    <row r="4355" spans="1:25" x14ac:dyDescent="0.35">
      <c r="A4355" t="s">
        <v>179</v>
      </c>
      <c r="B4355" t="s">
        <v>223</v>
      </c>
      <c r="C4355" t="s">
        <v>357</v>
      </c>
      <c r="D4355" t="s">
        <v>2749</v>
      </c>
      <c r="E4355">
        <v>83908461</v>
      </c>
      <c r="F4355" t="s">
        <v>2750</v>
      </c>
      <c r="G4355" s="3">
        <v>46594</v>
      </c>
      <c r="H4355">
        <v>18</v>
      </c>
      <c r="I4355">
        <v>74</v>
      </c>
      <c r="J4355">
        <v>288</v>
      </c>
      <c r="K4355" s="4">
        <v>17674.560000000001</v>
      </c>
      <c r="L4355" s="4">
        <v>1063.8571428571429</v>
      </c>
      <c r="M4355" s="4">
        <v>0.27071303880757353</v>
      </c>
      <c r="N4355" t="s">
        <v>25</v>
      </c>
      <c r="O4355" t="str">
        <f t="shared" ref="O4355:O4418" si="680">IF(I4355&lt;20,"High",IF(I4355&lt;40,"Medium","Low"))</f>
        <v>Low</v>
      </c>
      <c r="P4355" t="str">
        <f t="shared" ref="P4355:P4418" si="681">IF(M4355&gt;8,"High",IF(M4355&gt;4,"Medium","Low"))</f>
        <v>Low</v>
      </c>
      <c r="Q4355" t="str">
        <f t="shared" ref="Q4355:Q4418" si="682">IF(L4355&lt;5,"High",IF(L4355&lt;15,"Medium","Low"))</f>
        <v>Low</v>
      </c>
      <c r="R4355" t="s">
        <v>3317</v>
      </c>
      <c r="S4355" s="4">
        <f t="shared" ref="S4355:S4418" ca="1" si="683">G4355-TODAY()</f>
        <v>397</v>
      </c>
      <c r="T4355">
        <f t="shared" ref="T4355:T4418" si="684">IF(O4355="High",3,IF(O4355="Medium",2,1))</f>
        <v>1</v>
      </c>
      <c r="U4355">
        <f t="shared" ref="U4355:U4418" si="685">IF(P4355="High",3,IF(P4355="Medium",2,1))</f>
        <v>1</v>
      </c>
      <c r="V4355">
        <f t="shared" ref="V4355:V4418" si="686">IF(Q4355="High",3,IF(Q4355="Medium",2,1))</f>
        <v>1</v>
      </c>
      <c r="W4355">
        <f t="shared" ref="W4355:W4418" si="687">IF(R4355="High",3,IF(R4355="Medium",2,1))</f>
        <v>1</v>
      </c>
      <c r="X4355">
        <f t="shared" ref="X4355:X4418" si="688">(0.4*T4355)+(0.3*U4355)+(0.2*V4355)+(0.1*W4355)</f>
        <v>0.99999999999999989</v>
      </c>
      <c r="Y4355" t="str">
        <f t="shared" ref="Y4355:Y4418" si="689">IF(X4355&gt;=2.7,"Move Immediately",IF(X4355&gt;=2.2,"High Priority",IF(X4355&gt;=1.7,"Monitor","Healthy")))</f>
        <v>Healthy</v>
      </c>
    </row>
    <row r="4356" spans="1:25" x14ac:dyDescent="0.35">
      <c r="A4356" t="s">
        <v>41</v>
      </c>
      <c r="B4356" t="s">
        <v>42</v>
      </c>
      <c r="C4356" t="s">
        <v>43</v>
      </c>
      <c r="D4356" t="s">
        <v>1238</v>
      </c>
      <c r="E4356">
        <v>80879294</v>
      </c>
      <c r="F4356" t="s">
        <v>2751</v>
      </c>
      <c r="G4356" s="3">
        <v>47030</v>
      </c>
      <c r="H4356">
        <v>36</v>
      </c>
      <c r="I4356">
        <v>78</v>
      </c>
      <c r="J4356">
        <v>12</v>
      </c>
      <c r="K4356" s="4">
        <v>9246.6</v>
      </c>
      <c r="L4356" s="4">
        <f>0</f>
        <v>0</v>
      </c>
      <c r="M4356" s="4">
        <f>999</f>
        <v>999</v>
      </c>
      <c r="N4356" t="s">
        <v>19</v>
      </c>
      <c r="O4356" t="str">
        <f t="shared" si="680"/>
        <v>Low</v>
      </c>
      <c r="P4356" t="str">
        <f t="shared" si="681"/>
        <v>High</v>
      </c>
      <c r="Q4356" t="str">
        <f t="shared" si="682"/>
        <v>High</v>
      </c>
      <c r="R4356" t="s">
        <v>3317</v>
      </c>
      <c r="S4356" s="4">
        <f t="shared" ca="1" si="683"/>
        <v>833</v>
      </c>
      <c r="T4356">
        <f t="shared" si="684"/>
        <v>1</v>
      </c>
      <c r="U4356">
        <f t="shared" si="685"/>
        <v>3</v>
      </c>
      <c r="V4356">
        <f t="shared" si="686"/>
        <v>3</v>
      </c>
      <c r="W4356">
        <f t="shared" si="687"/>
        <v>1</v>
      </c>
      <c r="X4356">
        <f t="shared" si="688"/>
        <v>2</v>
      </c>
      <c r="Y4356" t="str">
        <f t="shared" si="689"/>
        <v>Monitor</v>
      </c>
    </row>
    <row r="4357" spans="1:25" x14ac:dyDescent="0.35">
      <c r="A4357" t="s">
        <v>41</v>
      </c>
      <c r="B4357" t="s">
        <v>42</v>
      </c>
      <c r="C4357" t="s">
        <v>43</v>
      </c>
      <c r="D4357" t="s">
        <v>177</v>
      </c>
      <c r="E4357">
        <v>80879268</v>
      </c>
      <c r="F4357" t="s">
        <v>2752</v>
      </c>
      <c r="G4357" s="3">
        <v>47059</v>
      </c>
      <c r="H4357">
        <v>36</v>
      </c>
      <c r="I4357">
        <v>80</v>
      </c>
      <c r="J4357">
        <v>30</v>
      </c>
      <c r="K4357" s="4">
        <v>9294.2999999999993</v>
      </c>
      <c r="L4357" s="4">
        <v>919.57142857142856</v>
      </c>
      <c r="M4357" s="4">
        <v>3.262389311791207E-2</v>
      </c>
      <c r="N4357" t="s">
        <v>25</v>
      </c>
      <c r="O4357" t="str">
        <f t="shared" si="680"/>
        <v>Low</v>
      </c>
      <c r="P4357" t="str">
        <f t="shared" si="681"/>
        <v>Low</v>
      </c>
      <c r="Q4357" t="str">
        <f t="shared" si="682"/>
        <v>Low</v>
      </c>
      <c r="R4357" t="s">
        <v>3317</v>
      </c>
      <c r="S4357" s="4">
        <f t="shared" ca="1" si="683"/>
        <v>862</v>
      </c>
      <c r="T4357">
        <f t="shared" si="684"/>
        <v>1</v>
      </c>
      <c r="U4357">
        <f t="shared" si="685"/>
        <v>1</v>
      </c>
      <c r="V4357">
        <f t="shared" si="686"/>
        <v>1</v>
      </c>
      <c r="W4357">
        <f t="shared" si="687"/>
        <v>1</v>
      </c>
      <c r="X4357">
        <f t="shared" si="688"/>
        <v>0.99999999999999989</v>
      </c>
      <c r="Y4357" t="str">
        <f t="shared" si="689"/>
        <v>Healthy</v>
      </c>
    </row>
    <row r="4358" spans="1:25" x14ac:dyDescent="0.35">
      <c r="A4358" t="s">
        <v>90</v>
      </c>
      <c r="B4358" t="s">
        <v>91</v>
      </c>
      <c r="C4358" t="s">
        <v>92</v>
      </c>
      <c r="D4358" t="s">
        <v>2051</v>
      </c>
      <c r="E4358">
        <v>83904898</v>
      </c>
      <c r="F4358" t="s">
        <v>2753</v>
      </c>
      <c r="G4358" s="3">
        <v>46895</v>
      </c>
      <c r="H4358">
        <v>24</v>
      </c>
      <c r="I4358">
        <v>98</v>
      </c>
      <c r="J4358">
        <v>576</v>
      </c>
      <c r="K4358" s="4">
        <v>32376.959999999999</v>
      </c>
      <c r="L4358" s="4">
        <v>3777.7142857142858</v>
      </c>
      <c r="M4358" s="4">
        <v>0.1524731508092573</v>
      </c>
      <c r="N4358" t="s">
        <v>25</v>
      </c>
      <c r="O4358" t="str">
        <f t="shared" si="680"/>
        <v>Low</v>
      </c>
      <c r="P4358" t="str">
        <f t="shared" si="681"/>
        <v>Low</v>
      </c>
      <c r="Q4358" t="str">
        <f t="shared" si="682"/>
        <v>Low</v>
      </c>
      <c r="R4358" t="s">
        <v>3317</v>
      </c>
      <c r="S4358" s="4">
        <f t="shared" ca="1" si="683"/>
        <v>698</v>
      </c>
      <c r="T4358">
        <f t="shared" si="684"/>
        <v>1</v>
      </c>
      <c r="U4358">
        <f t="shared" si="685"/>
        <v>1</v>
      </c>
      <c r="V4358">
        <f t="shared" si="686"/>
        <v>1</v>
      </c>
      <c r="W4358">
        <f t="shared" si="687"/>
        <v>1</v>
      </c>
      <c r="X4358">
        <f t="shared" si="688"/>
        <v>0.99999999999999989</v>
      </c>
      <c r="Y4358" t="str">
        <f t="shared" si="689"/>
        <v>Healthy</v>
      </c>
    </row>
    <row r="4359" spans="1:25" x14ac:dyDescent="0.35">
      <c r="A4359" t="s">
        <v>90</v>
      </c>
      <c r="B4359" t="s">
        <v>91</v>
      </c>
      <c r="C4359" t="s">
        <v>92</v>
      </c>
      <c r="D4359" t="s">
        <v>2051</v>
      </c>
      <c r="E4359">
        <v>83904898</v>
      </c>
      <c r="F4359" t="s">
        <v>2753</v>
      </c>
      <c r="G4359" s="3">
        <v>46891</v>
      </c>
      <c r="H4359">
        <v>24</v>
      </c>
      <c r="I4359">
        <v>97</v>
      </c>
      <c r="J4359">
        <v>718</v>
      </c>
      <c r="K4359" s="4">
        <v>40358.78</v>
      </c>
      <c r="L4359" s="4">
        <v>3777.7142857142858</v>
      </c>
      <c r="M4359" s="4">
        <v>0.19006201784903948</v>
      </c>
      <c r="N4359" t="s">
        <v>25</v>
      </c>
      <c r="O4359" t="str">
        <f t="shared" si="680"/>
        <v>Low</v>
      </c>
      <c r="P4359" t="str">
        <f t="shared" si="681"/>
        <v>Low</v>
      </c>
      <c r="Q4359" t="str">
        <f t="shared" si="682"/>
        <v>Low</v>
      </c>
      <c r="R4359" t="s">
        <v>3317</v>
      </c>
      <c r="S4359" s="4">
        <f t="shared" ca="1" si="683"/>
        <v>694</v>
      </c>
      <c r="T4359">
        <f t="shared" si="684"/>
        <v>1</v>
      </c>
      <c r="U4359">
        <f t="shared" si="685"/>
        <v>1</v>
      </c>
      <c r="V4359">
        <f t="shared" si="686"/>
        <v>1</v>
      </c>
      <c r="W4359">
        <f t="shared" si="687"/>
        <v>1</v>
      </c>
      <c r="X4359">
        <f t="shared" si="688"/>
        <v>0.99999999999999989</v>
      </c>
      <c r="Y4359" t="str">
        <f t="shared" si="689"/>
        <v>Healthy</v>
      </c>
    </row>
    <row r="4360" spans="1:25" x14ac:dyDescent="0.35">
      <c r="A4360" t="s">
        <v>41</v>
      </c>
      <c r="B4360" t="s">
        <v>42</v>
      </c>
      <c r="C4360" t="s">
        <v>43</v>
      </c>
      <c r="D4360" t="s">
        <v>2754</v>
      </c>
      <c r="E4360">
        <v>80879269</v>
      </c>
      <c r="F4360" t="s">
        <v>2755</v>
      </c>
      <c r="G4360" s="3">
        <v>47244</v>
      </c>
      <c r="H4360">
        <v>36</v>
      </c>
      <c r="I4360">
        <v>97</v>
      </c>
      <c r="J4360">
        <v>170</v>
      </c>
      <c r="K4360" s="4">
        <v>11126.5</v>
      </c>
      <c r="L4360" s="4">
        <v>1977.1428571428571</v>
      </c>
      <c r="M4360" s="4">
        <v>8.5982658959537578E-2</v>
      </c>
      <c r="N4360" t="s">
        <v>25</v>
      </c>
      <c r="O4360" t="str">
        <f t="shared" si="680"/>
        <v>Low</v>
      </c>
      <c r="P4360" t="str">
        <f t="shared" si="681"/>
        <v>Low</v>
      </c>
      <c r="Q4360" t="str">
        <f t="shared" si="682"/>
        <v>Low</v>
      </c>
      <c r="R4360" t="s">
        <v>3317</v>
      </c>
      <c r="S4360" s="4">
        <f t="shared" ca="1" si="683"/>
        <v>1047</v>
      </c>
      <c r="T4360">
        <f t="shared" si="684"/>
        <v>1</v>
      </c>
      <c r="U4360">
        <f t="shared" si="685"/>
        <v>1</v>
      </c>
      <c r="V4360">
        <f t="shared" si="686"/>
        <v>1</v>
      </c>
      <c r="W4360">
        <f t="shared" si="687"/>
        <v>1</v>
      </c>
      <c r="X4360">
        <f t="shared" si="688"/>
        <v>0.99999999999999989</v>
      </c>
      <c r="Y4360" t="str">
        <f t="shared" si="689"/>
        <v>Healthy</v>
      </c>
    </row>
    <row r="4361" spans="1:25" x14ac:dyDescent="0.35">
      <c r="A4361" t="s">
        <v>90</v>
      </c>
      <c r="B4361" t="s">
        <v>91</v>
      </c>
      <c r="C4361" t="s">
        <v>92</v>
      </c>
      <c r="D4361" t="s">
        <v>2051</v>
      </c>
      <c r="E4361">
        <v>83904898</v>
      </c>
      <c r="F4361" t="s">
        <v>2753</v>
      </c>
      <c r="G4361" s="3">
        <v>46893</v>
      </c>
      <c r="H4361">
        <v>24</v>
      </c>
      <c r="I4361">
        <v>97</v>
      </c>
      <c r="J4361">
        <v>1908</v>
      </c>
      <c r="K4361" s="4">
        <v>107248.68</v>
      </c>
      <c r="L4361" s="4">
        <v>3777.7142857142858</v>
      </c>
      <c r="M4361" s="4">
        <v>0.5050673120556648</v>
      </c>
      <c r="N4361" t="s">
        <v>25</v>
      </c>
      <c r="O4361" t="str">
        <f t="shared" si="680"/>
        <v>Low</v>
      </c>
      <c r="P4361" t="str">
        <f t="shared" si="681"/>
        <v>Low</v>
      </c>
      <c r="Q4361" t="str">
        <f t="shared" si="682"/>
        <v>Low</v>
      </c>
      <c r="R4361" t="s">
        <v>3310</v>
      </c>
      <c r="S4361" s="4">
        <f t="shared" ca="1" si="683"/>
        <v>696</v>
      </c>
      <c r="T4361">
        <f t="shared" si="684"/>
        <v>1</v>
      </c>
      <c r="U4361">
        <f t="shared" si="685"/>
        <v>1</v>
      </c>
      <c r="V4361">
        <f t="shared" si="686"/>
        <v>1</v>
      </c>
      <c r="W4361">
        <f t="shared" si="687"/>
        <v>2</v>
      </c>
      <c r="X4361">
        <f t="shared" si="688"/>
        <v>1.0999999999999999</v>
      </c>
      <c r="Y4361" t="str">
        <f t="shared" si="689"/>
        <v>Healthy</v>
      </c>
    </row>
    <row r="4362" spans="1:25" x14ac:dyDescent="0.35">
      <c r="A4362" t="s">
        <v>14</v>
      </c>
      <c r="B4362" t="s">
        <v>15</v>
      </c>
      <c r="C4362" t="s">
        <v>1502</v>
      </c>
      <c r="D4362" t="s">
        <v>1502</v>
      </c>
      <c r="E4362">
        <v>80875506</v>
      </c>
      <c r="F4362" t="s">
        <v>2756</v>
      </c>
      <c r="G4362" s="3">
        <v>47901</v>
      </c>
      <c r="H4362">
        <v>60</v>
      </c>
      <c r="I4362">
        <v>95</v>
      </c>
      <c r="J4362">
        <v>24</v>
      </c>
      <c r="K4362" s="4">
        <v>9750.48</v>
      </c>
      <c r="L4362" s="4">
        <v>903.71428571428567</v>
      </c>
      <c r="M4362" s="4">
        <v>2.6557066076509643E-2</v>
      </c>
      <c r="N4362" t="s">
        <v>25</v>
      </c>
      <c r="O4362" t="str">
        <f t="shared" si="680"/>
        <v>Low</v>
      </c>
      <c r="P4362" t="str">
        <f t="shared" si="681"/>
        <v>Low</v>
      </c>
      <c r="Q4362" t="str">
        <f t="shared" si="682"/>
        <v>Low</v>
      </c>
      <c r="R4362" t="s">
        <v>3317</v>
      </c>
      <c r="S4362" s="4">
        <f t="shared" ca="1" si="683"/>
        <v>1704</v>
      </c>
      <c r="T4362">
        <f t="shared" si="684"/>
        <v>1</v>
      </c>
      <c r="U4362">
        <f t="shared" si="685"/>
        <v>1</v>
      </c>
      <c r="V4362">
        <f t="shared" si="686"/>
        <v>1</v>
      </c>
      <c r="W4362">
        <f t="shared" si="687"/>
        <v>1</v>
      </c>
      <c r="X4362">
        <f t="shared" si="688"/>
        <v>0.99999999999999989</v>
      </c>
      <c r="Y4362" t="str">
        <f t="shared" si="689"/>
        <v>Healthy</v>
      </c>
    </row>
    <row r="4363" spans="1:25" x14ac:dyDescent="0.35">
      <c r="A4363" t="s">
        <v>14</v>
      </c>
      <c r="B4363" t="s">
        <v>15</v>
      </c>
      <c r="C4363" t="s">
        <v>1502</v>
      </c>
      <c r="D4363" t="s">
        <v>1502</v>
      </c>
      <c r="E4363">
        <v>80875506</v>
      </c>
      <c r="F4363" t="s">
        <v>2756</v>
      </c>
      <c r="G4363" s="3">
        <v>47997</v>
      </c>
      <c r="H4363">
        <v>60</v>
      </c>
      <c r="I4363">
        <v>100</v>
      </c>
      <c r="J4363">
        <v>24</v>
      </c>
      <c r="K4363" s="4">
        <v>9750.48</v>
      </c>
      <c r="L4363" s="4">
        <v>903.71428571428567</v>
      </c>
      <c r="M4363" s="4">
        <v>2.6557066076509643E-2</v>
      </c>
      <c r="N4363" t="s">
        <v>25</v>
      </c>
      <c r="O4363" t="str">
        <f t="shared" si="680"/>
        <v>Low</v>
      </c>
      <c r="P4363" t="str">
        <f t="shared" si="681"/>
        <v>Low</v>
      </c>
      <c r="Q4363" t="str">
        <f t="shared" si="682"/>
        <v>Low</v>
      </c>
      <c r="R4363" t="s">
        <v>3317</v>
      </c>
      <c r="S4363" s="4">
        <f t="shared" ca="1" si="683"/>
        <v>1800</v>
      </c>
      <c r="T4363">
        <f t="shared" si="684"/>
        <v>1</v>
      </c>
      <c r="U4363">
        <f t="shared" si="685"/>
        <v>1</v>
      </c>
      <c r="V4363">
        <f t="shared" si="686"/>
        <v>1</v>
      </c>
      <c r="W4363">
        <f t="shared" si="687"/>
        <v>1</v>
      </c>
      <c r="X4363">
        <f t="shared" si="688"/>
        <v>0.99999999999999989</v>
      </c>
      <c r="Y4363" t="str">
        <f t="shared" si="689"/>
        <v>Healthy</v>
      </c>
    </row>
    <row r="4364" spans="1:25" x14ac:dyDescent="0.35">
      <c r="A4364" t="s">
        <v>14</v>
      </c>
      <c r="B4364" t="s">
        <v>15</v>
      </c>
      <c r="C4364" t="s">
        <v>1502</v>
      </c>
      <c r="D4364" t="s">
        <v>1502</v>
      </c>
      <c r="E4364">
        <v>80875506</v>
      </c>
      <c r="F4364" t="s">
        <v>2756</v>
      </c>
      <c r="G4364" s="3">
        <v>47959</v>
      </c>
      <c r="H4364">
        <v>60</v>
      </c>
      <c r="I4364">
        <v>98</v>
      </c>
      <c r="J4364">
        <v>72</v>
      </c>
      <c r="K4364" s="4">
        <v>29251.439999999999</v>
      </c>
      <c r="L4364" s="4">
        <v>903.71428571428567</v>
      </c>
      <c r="M4364" s="4">
        <v>7.9671198229528936E-2</v>
      </c>
      <c r="N4364" t="s">
        <v>25</v>
      </c>
      <c r="O4364" t="str">
        <f t="shared" si="680"/>
        <v>Low</v>
      </c>
      <c r="P4364" t="str">
        <f t="shared" si="681"/>
        <v>Low</v>
      </c>
      <c r="Q4364" t="str">
        <f t="shared" si="682"/>
        <v>Low</v>
      </c>
      <c r="R4364" t="s">
        <v>3317</v>
      </c>
      <c r="S4364" s="4">
        <f t="shared" ca="1" si="683"/>
        <v>1762</v>
      </c>
      <c r="T4364">
        <f t="shared" si="684"/>
        <v>1</v>
      </c>
      <c r="U4364">
        <f t="shared" si="685"/>
        <v>1</v>
      </c>
      <c r="V4364">
        <f t="shared" si="686"/>
        <v>1</v>
      </c>
      <c r="W4364">
        <f t="shared" si="687"/>
        <v>1</v>
      </c>
      <c r="X4364">
        <f t="shared" si="688"/>
        <v>0.99999999999999989</v>
      </c>
      <c r="Y4364" t="str">
        <f t="shared" si="689"/>
        <v>Healthy</v>
      </c>
    </row>
    <row r="4365" spans="1:25" x14ac:dyDescent="0.35">
      <c r="A4365" t="s">
        <v>14</v>
      </c>
      <c r="B4365" t="s">
        <v>15</v>
      </c>
      <c r="C4365" t="s">
        <v>1502</v>
      </c>
      <c r="D4365" t="s">
        <v>1502</v>
      </c>
      <c r="E4365">
        <v>80875506</v>
      </c>
      <c r="F4365" t="s">
        <v>2756</v>
      </c>
      <c r="G4365" s="3">
        <v>47925</v>
      </c>
      <c r="H4365">
        <v>60</v>
      </c>
      <c r="I4365">
        <v>96</v>
      </c>
      <c r="J4365">
        <v>48</v>
      </c>
      <c r="K4365" s="4">
        <v>19500.96</v>
      </c>
      <c r="L4365" s="4">
        <v>903.71428571428567</v>
      </c>
      <c r="M4365" s="4">
        <v>5.3114132153019286E-2</v>
      </c>
      <c r="N4365" t="s">
        <v>25</v>
      </c>
      <c r="O4365" t="str">
        <f t="shared" si="680"/>
        <v>Low</v>
      </c>
      <c r="P4365" t="str">
        <f t="shared" si="681"/>
        <v>Low</v>
      </c>
      <c r="Q4365" t="str">
        <f t="shared" si="682"/>
        <v>Low</v>
      </c>
      <c r="R4365" t="s">
        <v>3317</v>
      </c>
      <c r="S4365" s="4">
        <f t="shared" ca="1" si="683"/>
        <v>1728</v>
      </c>
      <c r="T4365">
        <f t="shared" si="684"/>
        <v>1</v>
      </c>
      <c r="U4365">
        <f t="shared" si="685"/>
        <v>1</v>
      </c>
      <c r="V4365">
        <f t="shared" si="686"/>
        <v>1</v>
      </c>
      <c r="W4365">
        <f t="shared" si="687"/>
        <v>1</v>
      </c>
      <c r="X4365">
        <f t="shared" si="688"/>
        <v>0.99999999999999989</v>
      </c>
      <c r="Y4365" t="str">
        <f t="shared" si="689"/>
        <v>Healthy</v>
      </c>
    </row>
    <row r="4366" spans="1:25" x14ac:dyDescent="0.35">
      <c r="A4366" t="s">
        <v>14</v>
      </c>
      <c r="B4366" t="s">
        <v>15</v>
      </c>
      <c r="C4366" t="s">
        <v>1502</v>
      </c>
      <c r="D4366" t="s">
        <v>1502</v>
      </c>
      <c r="E4366">
        <v>80875506</v>
      </c>
      <c r="F4366" t="s">
        <v>2756</v>
      </c>
      <c r="G4366" s="3">
        <v>47925</v>
      </c>
      <c r="H4366">
        <v>60</v>
      </c>
      <c r="I4366">
        <v>96</v>
      </c>
      <c r="J4366">
        <v>72</v>
      </c>
      <c r="K4366" s="4">
        <v>29251.439999999999</v>
      </c>
      <c r="L4366" s="4">
        <v>903.71428571428567</v>
      </c>
      <c r="M4366" s="4">
        <v>7.9671198229528936E-2</v>
      </c>
      <c r="N4366" t="s">
        <v>25</v>
      </c>
      <c r="O4366" t="str">
        <f t="shared" si="680"/>
        <v>Low</v>
      </c>
      <c r="P4366" t="str">
        <f t="shared" si="681"/>
        <v>Low</v>
      </c>
      <c r="Q4366" t="str">
        <f t="shared" si="682"/>
        <v>Low</v>
      </c>
      <c r="R4366" t="s">
        <v>3317</v>
      </c>
      <c r="S4366" s="4">
        <f t="shared" ca="1" si="683"/>
        <v>1728</v>
      </c>
      <c r="T4366">
        <f t="shared" si="684"/>
        <v>1</v>
      </c>
      <c r="U4366">
        <f t="shared" si="685"/>
        <v>1</v>
      </c>
      <c r="V4366">
        <f t="shared" si="686"/>
        <v>1</v>
      </c>
      <c r="W4366">
        <f t="shared" si="687"/>
        <v>1</v>
      </c>
      <c r="X4366">
        <f t="shared" si="688"/>
        <v>0.99999999999999989</v>
      </c>
      <c r="Y4366" t="str">
        <f t="shared" si="689"/>
        <v>Healthy</v>
      </c>
    </row>
    <row r="4367" spans="1:25" x14ac:dyDescent="0.35">
      <c r="A4367" t="s">
        <v>41</v>
      </c>
      <c r="B4367" t="s">
        <v>42</v>
      </c>
      <c r="C4367" t="s">
        <v>43</v>
      </c>
      <c r="D4367" t="s">
        <v>1013</v>
      </c>
      <c r="E4367">
        <v>80879270</v>
      </c>
      <c r="F4367" t="s">
        <v>2757</v>
      </c>
      <c r="G4367" s="3">
        <v>47068</v>
      </c>
      <c r="H4367">
        <v>36</v>
      </c>
      <c r="I4367">
        <v>81</v>
      </c>
      <c r="J4367">
        <v>70</v>
      </c>
      <c r="K4367" s="4">
        <v>10690.4</v>
      </c>
      <c r="L4367" s="4">
        <v>1064.5714285714287</v>
      </c>
      <c r="M4367" s="4">
        <v>6.5754159957058508E-2</v>
      </c>
      <c r="N4367" t="s">
        <v>25</v>
      </c>
      <c r="O4367" t="str">
        <f t="shared" si="680"/>
        <v>Low</v>
      </c>
      <c r="P4367" t="str">
        <f t="shared" si="681"/>
        <v>Low</v>
      </c>
      <c r="Q4367" t="str">
        <f t="shared" si="682"/>
        <v>Low</v>
      </c>
      <c r="R4367" t="s">
        <v>3317</v>
      </c>
      <c r="S4367" s="4">
        <f t="shared" ca="1" si="683"/>
        <v>871</v>
      </c>
      <c r="T4367">
        <f t="shared" si="684"/>
        <v>1</v>
      </c>
      <c r="U4367">
        <f t="shared" si="685"/>
        <v>1</v>
      </c>
      <c r="V4367">
        <f t="shared" si="686"/>
        <v>1</v>
      </c>
      <c r="W4367">
        <f t="shared" si="687"/>
        <v>1</v>
      </c>
      <c r="X4367">
        <f t="shared" si="688"/>
        <v>0.99999999999999989</v>
      </c>
      <c r="Y4367" t="str">
        <f t="shared" si="689"/>
        <v>Healthy</v>
      </c>
    </row>
    <row r="4368" spans="1:25" x14ac:dyDescent="0.35">
      <c r="A4368" t="s">
        <v>14</v>
      </c>
      <c r="B4368" t="s">
        <v>15</v>
      </c>
      <c r="C4368" t="s">
        <v>1502</v>
      </c>
      <c r="D4368" t="s">
        <v>1502</v>
      </c>
      <c r="E4368">
        <v>80875506</v>
      </c>
      <c r="F4368" t="s">
        <v>2756</v>
      </c>
      <c r="G4368" s="3">
        <v>47992</v>
      </c>
      <c r="H4368">
        <v>60</v>
      </c>
      <c r="I4368">
        <v>100</v>
      </c>
      <c r="J4368">
        <v>192</v>
      </c>
      <c r="K4368" s="4">
        <v>78003.839999999997</v>
      </c>
      <c r="L4368" s="4">
        <v>903.71428571428567</v>
      </c>
      <c r="M4368" s="4">
        <v>0.21245652861207714</v>
      </c>
      <c r="N4368" t="s">
        <v>25</v>
      </c>
      <c r="O4368" t="str">
        <f t="shared" si="680"/>
        <v>Low</v>
      </c>
      <c r="P4368" t="str">
        <f t="shared" si="681"/>
        <v>Low</v>
      </c>
      <c r="Q4368" t="str">
        <f t="shared" si="682"/>
        <v>Low</v>
      </c>
      <c r="R4368" t="s">
        <v>3310</v>
      </c>
      <c r="S4368" s="4">
        <f t="shared" ca="1" si="683"/>
        <v>1795</v>
      </c>
      <c r="T4368">
        <f t="shared" si="684"/>
        <v>1</v>
      </c>
      <c r="U4368">
        <f t="shared" si="685"/>
        <v>1</v>
      </c>
      <c r="V4368">
        <f t="shared" si="686"/>
        <v>1</v>
      </c>
      <c r="W4368">
        <f t="shared" si="687"/>
        <v>2</v>
      </c>
      <c r="X4368">
        <f t="shared" si="688"/>
        <v>1.0999999999999999</v>
      </c>
      <c r="Y4368" t="str">
        <f t="shared" si="689"/>
        <v>Healthy</v>
      </c>
    </row>
    <row r="4369" spans="1:25" x14ac:dyDescent="0.35">
      <c r="A4369" t="s">
        <v>41</v>
      </c>
      <c r="B4369" t="s">
        <v>42</v>
      </c>
      <c r="C4369" t="s">
        <v>43</v>
      </c>
      <c r="D4369" t="s">
        <v>1013</v>
      </c>
      <c r="E4369">
        <v>80879270</v>
      </c>
      <c r="F4369" t="s">
        <v>2757</v>
      </c>
      <c r="G4369" s="3">
        <v>47027</v>
      </c>
      <c r="H4369">
        <v>36</v>
      </c>
      <c r="I4369">
        <v>77</v>
      </c>
      <c r="J4369">
        <v>42</v>
      </c>
      <c r="K4369" s="4">
        <v>6414.24</v>
      </c>
      <c r="L4369" s="4">
        <v>1064.5714285714287</v>
      </c>
      <c r="M4369" s="4">
        <v>3.9452495974235099E-2</v>
      </c>
      <c r="N4369" t="s">
        <v>25</v>
      </c>
      <c r="O4369" t="str">
        <f t="shared" si="680"/>
        <v>Low</v>
      </c>
      <c r="P4369" t="str">
        <f t="shared" si="681"/>
        <v>Low</v>
      </c>
      <c r="Q4369" t="str">
        <f t="shared" si="682"/>
        <v>Low</v>
      </c>
      <c r="R4369" t="s">
        <v>3317</v>
      </c>
      <c r="S4369" s="4">
        <f t="shared" ca="1" si="683"/>
        <v>830</v>
      </c>
      <c r="T4369">
        <f t="shared" si="684"/>
        <v>1</v>
      </c>
      <c r="U4369">
        <f t="shared" si="685"/>
        <v>1</v>
      </c>
      <c r="V4369">
        <f t="shared" si="686"/>
        <v>1</v>
      </c>
      <c r="W4369">
        <f t="shared" si="687"/>
        <v>1</v>
      </c>
      <c r="X4369">
        <f t="shared" si="688"/>
        <v>0.99999999999999989</v>
      </c>
      <c r="Y4369" t="str">
        <f t="shared" si="689"/>
        <v>Healthy</v>
      </c>
    </row>
    <row r="4370" spans="1:25" x14ac:dyDescent="0.35">
      <c r="A4370" t="s">
        <v>14</v>
      </c>
      <c r="B4370" t="s">
        <v>15</v>
      </c>
      <c r="C4370" t="s">
        <v>1502</v>
      </c>
      <c r="D4370" t="s">
        <v>1502</v>
      </c>
      <c r="E4370">
        <v>80875506</v>
      </c>
      <c r="F4370" t="s">
        <v>2756</v>
      </c>
      <c r="G4370" s="3">
        <v>47993</v>
      </c>
      <c r="H4370">
        <v>60</v>
      </c>
      <c r="I4370">
        <v>100</v>
      </c>
      <c r="J4370">
        <v>72</v>
      </c>
      <c r="K4370" s="4">
        <v>29251.439999999999</v>
      </c>
      <c r="L4370" s="4">
        <v>903.71428571428567</v>
      </c>
      <c r="M4370" s="4">
        <v>7.9671198229528936E-2</v>
      </c>
      <c r="N4370" t="s">
        <v>25</v>
      </c>
      <c r="O4370" t="str">
        <f t="shared" si="680"/>
        <v>Low</v>
      </c>
      <c r="P4370" t="str">
        <f t="shared" si="681"/>
        <v>Low</v>
      </c>
      <c r="Q4370" t="str">
        <f t="shared" si="682"/>
        <v>Low</v>
      </c>
      <c r="R4370" t="s">
        <v>3317</v>
      </c>
      <c r="S4370" s="4">
        <f t="shared" ca="1" si="683"/>
        <v>1796</v>
      </c>
      <c r="T4370">
        <f t="shared" si="684"/>
        <v>1</v>
      </c>
      <c r="U4370">
        <f t="shared" si="685"/>
        <v>1</v>
      </c>
      <c r="V4370">
        <f t="shared" si="686"/>
        <v>1</v>
      </c>
      <c r="W4370">
        <f t="shared" si="687"/>
        <v>1</v>
      </c>
      <c r="X4370">
        <f t="shared" si="688"/>
        <v>0.99999999999999989</v>
      </c>
      <c r="Y4370" t="str">
        <f t="shared" si="689"/>
        <v>Healthy</v>
      </c>
    </row>
    <row r="4371" spans="1:25" x14ac:dyDescent="0.35">
      <c r="A4371" t="s">
        <v>14</v>
      </c>
      <c r="B4371" t="s">
        <v>15</v>
      </c>
      <c r="C4371" t="s">
        <v>1502</v>
      </c>
      <c r="D4371" t="s">
        <v>1502</v>
      </c>
      <c r="E4371">
        <v>80875506</v>
      </c>
      <c r="F4371" t="s">
        <v>2756</v>
      </c>
      <c r="G4371" s="3">
        <v>47938</v>
      </c>
      <c r="H4371">
        <v>60</v>
      </c>
      <c r="I4371">
        <v>97</v>
      </c>
      <c r="J4371">
        <v>48</v>
      </c>
      <c r="K4371" s="4">
        <v>19500.96</v>
      </c>
      <c r="L4371" s="4">
        <v>903.71428571428567</v>
      </c>
      <c r="M4371" s="4">
        <v>5.3114132153019286E-2</v>
      </c>
      <c r="N4371" t="s">
        <v>25</v>
      </c>
      <c r="O4371" t="str">
        <f t="shared" si="680"/>
        <v>Low</v>
      </c>
      <c r="P4371" t="str">
        <f t="shared" si="681"/>
        <v>Low</v>
      </c>
      <c r="Q4371" t="str">
        <f t="shared" si="682"/>
        <v>Low</v>
      </c>
      <c r="R4371" t="s">
        <v>3317</v>
      </c>
      <c r="S4371" s="4">
        <f t="shared" ca="1" si="683"/>
        <v>1741</v>
      </c>
      <c r="T4371">
        <f t="shared" si="684"/>
        <v>1</v>
      </c>
      <c r="U4371">
        <f t="shared" si="685"/>
        <v>1</v>
      </c>
      <c r="V4371">
        <f t="shared" si="686"/>
        <v>1</v>
      </c>
      <c r="W4371">
        <f t="shared" si="687"/>
        <v>1</v>
      </c>
      <c r="X4371">
        <f t="shared" si="688"/>
        <v>0.99999999999999989</v>
      </c>
      <c r="Y4371" t="str">
        <f t="shared" si="689"/>
        <v>Healthy</v>
      </c>
    </row>
    <row r="4372" spans="1:25" x14ac:dyDescent="0.35">
      <c r="A4372" t="s">
        <v>14</v>
      </c>
      <c r="B4372" t="s">
        <v>15</v>
      </c>
      <c r="C4372" t="s">
        <v>1502</v>
      </c>
      <c r="D4372" t="s">
        <v>1502</v>
      </c>
      <c r="E4372">
        <v>80875506</v>
      </c>
      <c r="F4372" t="s">
        <v>2756</v>
      </c>
      <c r="G4372" s="3">
        <v>47993</v>
      </c>
      <c r="H4372">
        <v>60</v>
      </c>
      <c r="I4372">
        <v>100</v>
      </c>
      <c r="J4372">
        <v>72</v>
      </c>
      <c r="K4372" s="4">
        <v>29251.439999999999</v>
      </c>
      <c r="L4372" s="4">
        <v>903.71428571428567</v>
      </c>
      <c r="M4372" s="4">
        <v>7.9671198229528936E-2</v>
      </c>
      <c r="N4372" t="s">
        <v>25</v>
      </c>
      <c r="O4372" t="str">
        <f t="shared" si="680"/>
        <v>Low</v>
      </c>
      <c r="P4372" t="str">
        <f t="shared" si="681"/>
        <v>Low</v>
      </c>
      <c r="Q4372" t="str">
        <f t="shared" si="682"/>
        <v>Low</v>
      </c>
      <c r="R4372" t="s">
        <v>3317</v>
      </c>
      <c r="S4372" s="4">
        <f t="shared" ca="1" si="683"/>
        <v>1796</v>
      </c>
      <c r="T4372">
        <f t="shared" si="684"/>
        <v>1</v>
      </c>
      <c r="U4372">
        <f t="shared" si="685"/>
        <v>1</v>
      </c>
      <c r="V4372">
        <f t="shared" si="686"/>
        <v>1</v>
      </c>
      <c r="W4372">
        <f t="shared" si="687"/>
        <v>1</v>
      </c>
      <c r="X4372">
        <f t="shared" si="688"/>
        <v>0.99999999999999989</v>
      </c>
      <c r="Y4372" t="str">
        <f t="shared" si="689"/>
        <v>Healthy</v>
      </c>
    </row>
    <row r="4373" spans="1:25" x14ac:dyDescent="0.35">
      <c r="A4373" t="s">
        <v>14</v>
      </c>
      <c r="B4373" t="s">
        <v>15</v>
      </c>
      <c r="C4373" t="s">
        <v>1502</v>
      </c>
      <c r="D4373" t="s">
        <v>1502</v>
      </c>
      <c r="E4373">
        <v>80875506</v>
      </c>
      <c r="F4373" t="s">
        <v>2756</v>
      </c>
      <c r="G4373" s="3">
        <v>47941</v>
      </c>
      <c r="H4373">
        <v>60</v>
      </c>
      <c r="I4373">
        <v>97</v>
      </c>
      <c r="J4373">
        <v>72</v>
      </c>
      <c r="K4373" s="4">
        <v>29251.439999999999</v>
      </c>
      <c r="L4373" s="4">
        <v>903.71428571428567</v>
      </c>
      <c r="M4373" s="4">
        <v>7.9671198229528936E-2</v>
      </c>
      <c r="N4373" t="s">
        <v>25</v>
      </c>
      <c r="O4373" t="str">
        <f t="shared" si="680"/>
        <v>Low</v>
      </c>
      <c r="P4373" t="str">
        <f t="shared" si="681"/>
        <v>Low</v>
      </c>
      <c r="Q4373" t="str">
        <f t="shared" si="682"/>
        <v>Low</v>
      </c>
      <c r="R4373" t="s">
        <v>3317</v>
      </c>
      <c r="S4373" s="4">
        <f t="shared" ca="1" si="683"/>
        <v>1744</v>
      </c>
      <c r="T4373">
        <f t="shared" si="684"/>
        <v>1</v>
      </c>
      <c r="U4373">
        <f t="shared" si="685"/>
        <v>1</v>
      </c>
      <c r="V4373">
        <f t="shared" si="686"/>
        <v>1</v>
      </c>
      <c r="W4373">
        <f t="shared" si="687"/>
        <v>1</v>
      </c>
      <c r="X4373">
        <f t="shared" si="688"/>
        <v>0.99999999999999989</v>
      </c>
      <c r="Y4373" t="str">
        <f t="shared" si="689"/>
        <v>Healthy</v>
      </c>
    </row>
    <row r="4374" spans="1:25" x14ac:dyDescent="0.35">
      <c r="A4374" t="s">
        <v>14</v>
      </c>
      <c r="B4374" t="s">
        <v>15</v>
      </c>
      <c r="C4374" t="s">
        <v>1502</v>
      </c>
      <c r="D4374" t="s">
        <v>1502</v>
      </c>
      <c r="E4374">
        <v>80875506</v>
      </c>
      <c r="F4374" t="s">
        <v>2756</v>
      </c>
      <c r="G4374" s="3">
        <v>47849</v>
      </c>
      <c r="H4374">
        <v>60</v>
      </c>
      <c r="I4374">
        <v>92</v>
      </c>
      <c r="J4374">
        <v>24</v>
      </c>
      <c r="K4374" s="4">
        <v>9750.48</v>
      </c>
      <c r="L4374" s="4">
        <v>903.71428571428567</v>
      </c>
      <c r="M4374" s="4">
        <v>2.6557066076509643E-2</v>
      </c>
      <c r="N4374" t="s">
        <v>25</v>
      </c>
      <c r="O4374" t="str">
        <f t="shared" si="680"/>
        <v>Low</v>
      </c>
      <c r="P4374" t="str">
        <f t="shared" si="681"/>
        <v>Low</v>
      </c>
      <c r="Q4374" t="str">
        <f t="shared" si="682"/>
        <v>Low</v>
      </c>
      <c r="R4374" t="s">
        <v>3317</v>
      </c>
      <c r="S4374" s="4">
        <f t="shared" ca="1" si="683"/>
        <v>1652</v>
      </c>
      <c r="T4374">
        <f t="shared" si="684"/>
        <v>1</v>
      </c>
      <c r="U4374">
        <f t="shared" si="685"/>
        <v>1</v>
      </c>
      <c r="V4374">
        <f t="shared" si="686"/>
        <v>1</v>
      </c>
      <c r="W4374">
        <f t="shared" si="687"/>
        <v>1</v>
      </c>
      <c r="X4374">
        <f t="shared" si="688"/>
        <v>0.99999999999999989</v>
      </c>
      <c r="Y4374" t="str">
        <f t="shared" si="689"/>
        <v>Healthy</v>
      </c>
    </row>
    <row r="4375" spans="1:25" x14ac:dyDescent="0.35">
      <c r="A4375" t="s">
        <v>14</v>
      </c>
      <c r="B4375" t="s">
        <v>702</v>
      </c>
      <c r="C4375" t="s">
        <v>1803</v>
      </c>
      <c r="D4375" t="s">
        <v>1803</v>
      </c>
      <c r="E4375">
        <v>80867315</v>
      </c>
      <c r="F4375" t="s">
        <v>2758</v>
      </c>
      <c r="G4375" s="3">
        <v>47953</v>
      </c>
      <c r="H4375">
        <v>60</v>
      </c>
      <c r="I4375">
        <v>98</v>
      </c>
      <c r="J4375">
        <v>480</v>
      </c>
      <c r="K4375" s="4">
        <v>51427.199999999997</v>
      </c>
      <c r="L4375" s="4">
        <v>2654</v>
      </c>
      <c r="M4375" s="4">
        <v>0.18085908063300679</v>
      </c>
      <c r="N4375" t="s">
        <v>25</v>
      </c>
      <c r="O4375" t="str">
        <f t="shared" si="680"/>
        <v>Low</v>
      </c>
      <c r="P4375" t="str">
        <f t="shared" si="681"/>
        <v>Low</v>
      </c>
      <c r="Q4375" t="str">
        <f t="shared" si="682"/>
        <v>Low</v>
      </c>
      <c r="R4375" t="s">
        <v>3317</v>
      </c>
      <c r="S4375" s="4">
        <f t="shared" ca="1" si="683"/>
        <v>1756</v>
      </c>
      <c r="T4375">
        <f t="shared" si="684"/>
        <v>1</v>
      </c>
      <c r="U4375">
        <f t="shared" si="685"/>
        <v>1</v>
      </c>
      <c r="V4375">
        <f t="shared" si="686"/>
        <v>1</v>
      </c>
      <c r="W4375">
        <f t="shared" si="687"/>
        <v>1</v>
      </c>
      <c r="X4375">
        <f t="shared" si="688"/>
        <v>0.99999999999999989</v>
      </c>
      <c r="Y4375" t="str">
        <f t="shared" si="689"/>
        <v>Healthy</v>
      </c>
    </row>
    <row r="4376" spans="1:25" x14ac:dyDescent="0.35">
      <c r="A4376" t="s">
        <v>14</v>
      </c>
      <c r="B4376" t="s">
        <v>702</v>
      </c>
      <c r="C4376" t="s">
        <v>1803</v>
      </c>
      <c r="D4376" t="s">
        <v>1803</v>
      </c>
      <c r="E4376">
        <v>80867315</v>
      </c>
      <c r="F4376" t="s">
        <v>2758</v>
      </c>
      <c r="G4376" s="3">
        <v>47957</v>
      </c>
      <c r="H4376">
        <v>60</v>
      </c>
      <c r="I4376">
        <v>98</v>
      </c>
      <c r="J4376">
        <v>1983</v>
      </c>
      <c r="K4376" s="4">
        <v>212458.62</v>
      </c>
      <c r="L4376" s="4">
        <v>2654</v>
      </c>
      <c r="M4376" s="4">
        <v>0.74717407686510928</v>
      </c>
      <c r="N4376" t="s">
        <v>25</v>
      </c>
      <c r="O4376" t="str">
        <f t="shared" si="680"/>
        <v>Low</v>
      </c>
      <c r="P4376" t="str">
        <f t="shared" si="681"/>
        <v>Low</v>
      </c>
      <c r="Q4376" t="str">
        <f t="shared" si="682"/>
        <v>Low</v>
      </c>
      <c r="R4376" t="s">
        <v>3309</v>
      </c>
      <c r="S4376" s="4">
        <f t="shared" ca="1" si="683"/>
        <v>1760</v>
      </c>
      <c r="T4376">
        <f t="shared" si="684"/>
        <v>1</v>
      </c>
      <c r="U4376">
        <f t="shared" si="685"/>
        <v>1</v>
      </c>
      <c r="V4376">
        <f t="shared" si="686"/>
        <v>1</v>
      </c>
      <c r="W4376">
        <f t="shared" si="687"/>
        <v>3</v>
      </c>
      <c r="X4376">
        <f t="shared" si="688"/>
        <v>1.2</v>
      </c>
      <c r="Y4376" t="str">
        <f t="shared" si="689"/>
        <v>Healthy</v>
      </c>
    </row>
    <row r="4377" spans="1:25" x14ac:dyDescent="0.35">
      <c r="A4377" t="s">
        <v>41</v>
      </c>
      <c r="B4377" t="s">
        <v>42</v>
      </c>
      <c r="C4377" t="s">
        <v>43</v>
      </c>
      <c r="D4377" t="s">
        <v>1991</v>
      </c>
      <c r="E4377">
        <v>80879271</v>
      </c>
      <c r="F4377" t="s">
        <v>2759</v>
      </c>
      <c r="G4377" s="3">
        <v>47158</v>
      </c>
      <c r="H4377">
        <v>36</v>
      </c>
      <c r="I4377">
        <v>89</v>
      </c>
      <c r="J4377">
        <v>6</v>
      </c>
      <c r="K4377" s="4">
        <v>1858.86</v>
      </c>
      <c r="L4377" s="4">
        <v>789.85714285714289</v>
      </c>
      <c r="M4377" s="4">
        <v>7.5963103635377097E-3</v>
      </c>
      <c r="N4377" t="s">
        <v>25</v>
      </c>
      <c r="O4377" t="str">
        <f t="shared" si="680"/>
        <v>Low</v>
      </c>
      <c r="P4377" t="str">
        <f t="shared" si="681"/>
        <v>Low</v>
      </c>
      <c r="Q4377" t="str">
        <f t="shared" si="682"/>
        <v>Low</v>
      </c>
      <c r="R4377" t="s">
        <v>3317</v>
      </c>
      <c r="S4377" s="4">
        <f t="shared" ca="1" si="683"/>
        <v>961</v>
      </c>
      <c r="T4377">
        <f t="shared" si="684"/>
        <v>1</v>
      </c>
      <c r="U4377">
        <f t="shared" si="685"/>
        <v>1</v>
      </c>
      <c r="V4377">
        <f t="shared" si="686"/>
        <v>1</v>
      </c>
      <c r="W4377">
        <f t="shared" si="687"/>
        <v>1</v>
      </c>
      <c r="X4377">
        <f t="shared" si="688"/>
        <v>0.99999999999999989</v>
      </c>
      <c r="Y4377" t="str">
        <f t="shared" si="689"/>
        <v>Healthy</v>
      </c>
    </row>
    <row r="4378" spans="1:25" x14ac:dyDescent="0.35">
      <c r="A4378" t="s">
        <v>14</v>
      </c>
      <c r="B4378" t="s">
        <v>702</v>
      </c>
      <c r="C4378" t="s">
        <v>1803</v>
      </c>
      <c r="D4378" t="s">
        <v>1803</v>
      </c>
      <c r="E4378">
        <v>80867315</v>
      </c>
      <c r="F4378" t="s">
        <v>2758</v>
      </c>
      <c r="G4378" s="3">
        <v>47926</v>
      </c>
      <c r="H4378">
        <v>60</v>
      </c>
      <c r="I4378">
        <v>96</v>
      </c>
      <c r="J4378">
        <v>1076</v>
      </c>
      <c r="K4378" s="4">
        <v>115282.64</v>
      </c>
      <c r="L4378" s="4">
        <v>2654</v>
      </c>
      <c r="M4378" s="4">
        <v>0.40542577241899019</v>
      </c>
      <c r="N4378" t="s">
        <v>25</v>
      </c>
      <c r="O4378" t="str">
        <f t="shared" si="680"/>
        <v>Low</v>
      </c>
      <c r="P4378" t="str">
        <f t="shared" si="681"/>
        <v>Low</v>
      </c>
      <c r="Q4378" t="str">
        <f t="shared" si="682"/>
        <v>Low</v>
      </c>
      <c r="R4378" t="s">
        <v>3310</v>
      </c>
      <c r="S4378" s="4">
        <f t="shared" ca="1" si="683"/>
        <v>1729</v>
      </c>
      <c r="T4378">
        <f t="shared" si="684"/>
        <v>1</v>
      </c>
      <c r="U4378">
        <f t="shared" si="685"/>
        <v>1</v>
      </c>
      <c r="V4378">
        <f t="shared" si="686"/>
        <v>1</v>
      </c>
      <c r="W4378">
        <f t="shared" si="687"/>
        <v>2</v>
      </c>
      <c r="X4378">
        <f t="shared" si="688"/>
        <v>1.0999999999999999</v>
      </c>
      <c r="Y4378" t="str">
        <f t="shared" si="689"/>
        <v>Healthy</v>
      </c>
    </row>
    <row r="4379" spans="1:25" x14ac:dyDescent="0.35">
      <c r="A4379" t="s">
        <v>41</v>
      </c>
      <c r="B4379" t="s">
        <v>42</v>
      </c>
      <c r="C4379" t="s">
        <v>43</v>
      </c>
      <c r="D4379" t="s">
        <v>1991</v>
      </c>
      <c r="E4379">
        <v>80879271</v>
      </c>
      <c r="F4379" t="s">
        <v>2759</v>
      </c>
      <c r="G4379" s="3">
        <v>47112</v>
      </c>
      <c r="H4379">
        <v>36</v>
      </c>
      <c r="I4379">
        <v>85</v>
      </c>
      <c r="J4379">
        <v>6</v>
      </c>
      <c r="K4379" s="4">
        <v>1858.86</v>
      </c>
      <c r="L4379" s="4">
        <v>789.85714285714289</v>
      </c>
      <c r="M4379" s="4">
        <v>7.5963103635377097E-3</v>
      </c>
      <c r="N4379" t="s">
        <v>25</v>
      </c>
      <c r="O4379" t="str">
        <f t="shared" si="680"/>
        <v>Low</v>
      </c>
      <c r="P4379" t="str">
        <f t="shared" si="681"/>
        <v>Low</v>
      </c>
      <c r="Q4379" t="str">
        <f t="shared" si="682"/>
        <v>Low</v>
      </c>
      <c r="R4379" t="s">
        <v>3317</v>
      </c>
      <c r="S4379" s="4">
        <f t="shared" ca="1" si="683"/>
        <v>915</v>
      </c>
      <c r="T4379">
        <f t="shared" si="684"/>
        <v>1</v>
      </c>
      <c r="U4379">
        <f t="shared" si="685"/>
        <v>1</v>
      </c>
      <c r="V4379">
        <f t="shared" si="686"/>
        <v>1</v>
      </c>
      <c r="W4379">
        <f t="shared" si="687"/>
        <v>1</v>
      </c>
      <c r="X4379">
        <f t="shared" si="688"/>
        <v>0.99999999999999989</v>
      </c>
      <c r="Y4379" t="str">
        <f t="shared" si="689"/>
        <v>Healthy</v>
      </c>
    </row>
    <row r="4380" spans="1:25" x14ac:dyDescent="0.35">
      <c r="A4380" t="s">
        <v>14</v>
      </c>
      <c r="B4380" t="s">
        <v>702</v>
      </c>
      <c r="C4380" t="s">
        <v>1803</v>
      </c>
      <c r="D4380" t="s">
        <v>1803</v>
      </c>
      <c r="E4380">
        <v>80867315</v>
      </c>
      <c r="F4380" t="s">
        <v>2758</v>
      </c>
      <c r="G4380" s="3">
        <v>47948</v>
      </c>
      <c r="H4380">
        <v>60</v>
      </c>
      <c r="I4380">
        <v>98</v>
      </c>
      <c r="J4380">
        <v>1056</v>
      </c>
      <c r="K4380" s="4">
        <v>113139.84</v>
      </c>
      <c r="L4380" s="4">
        <v>2654</v>
      </c>
      <c r="M4380" s="4">
        <v>0.39788997739261495</v>
      </c>
      <c r="N4380" t="s">
        <v>25</v>
      </c>
      <c r="O4380" t="str">
        <f t="shared" si="680"/>
        <v>Low</v>
      </c>
      <c r="P4380" t="str">
        <f t="shared" si="681"/>
        <v>Low</v>
      </c>
      <c r="Q4380" t="str">
        <f t="shared" si="682"/>
        <v>Low</v>
      </c>
      <c r="R4380" t="s">
        <v>3310</v>
      </c>
      <c r="S4380" s="4">
        <f t="shared" ca="1" si="683"/>
        <v>1751</v>
      </c>
      <c r="T4380">
        <f t="shared" si="684"/>
        <v>1</v>
      </c>
      <c r="U4380">
        <f t="shared" si="685"/>
        <v>1</v>
      </c>
      <c r="V4380">
        <f t="shared" si="686"/>
        <v>1</v>
      </c>
      <c r="W4380">
        <f t="shared" si="687"/>
        <v>2</v>
      </c>
      <c r="X4380">
        <f t="shared" si="688"/>
        <v>1.0999999999999999</v>
      </c>
      <c r="Y4380" t="str">
        <f t="shared" si="689"/>
        <v>Healthy</v>
      </c>
    </row>
    <row r="4381" spans="1:25" x14ac:dyDescent="0.35">
      <c r="A4381" t="s">
        <v>14</v>
      </c>
      <c r="B4381" t="s">
        <v>702</v>
      </c>
      <c r="C4381" t="s">
        <v>1803</v>
      </c>
      <c r="D4381" t="s">
        <v>1803</v>
      </c>
      <c r="E4381">
        <v>80867315</v>
      </c>
      <c r="F4381" t="s">
        <v>2758</v>
      </c>
      <c r="G4381" s="3">
        <v>47901</v>
      </c>
      <c r="H4381">
        <v>60</v>
      </c>
      <c r="I4381">
        <v>95</v>
      </c>
      <c r="J4381">
        <v>96</v>
      </c>
      <c r="K4381" s="4">
        <v>10285.44</v>
      </c>
      <c r="L4381" s="4">
        <v>2654</v>
      </c>
      <c r="M4381" s="4">
        <v>3.6171816126601357E-2</v>
      </c>
      <c r="N4381" t="s">
        <v>25</v>
      </c>
      <c r="O4381" t="str">
        <f t="shared" si="680"/>
        <v>Low</v>
      </c>
      <c r="P4381" t="str">
        <f t="shared" si="681"/>
        <v>Low</v>
      </c>
      <c r="Q4381" t="str">
        <f t="shared" si="682"/>
        <v>Low</v>
      </c>
      <c r="R4381" t="s">
        <v>3317</v>
      </c>
      <c r="S4381" s="4">
        <f t="shared" ca="1" si="683"/>
        <v>1704</v>
      </c>
      <c r="T4381">
        <f t="shared" si="684"/>
        <v>1</v>
      </c>
      <c r="U4381">
        <f t="shared" si="685"/>
        <v>1</v>
      </c>
      <c r="V4381">
        <f t="shared" si="686"/>
        <v>1</v>
      </c>
      <c r="W4381">
        <f t="shared" si="687"/>
        <v>1</v>
      </c>
      <c r="X4381">
        <f t="shared" si="688"/>
        <v>0.99999999999999989</v>
      </c>
      <c r="Y4381" t="str">
        <f t="shared" si="689"/>
        <v>Healthy</v>
      </c>
    </row>
    <row r="4382" spans="1:25" x14ac:dyDescent="0.35">
      <c r="A4382" t="s">
        <v>210</v>
      </c>
      <c r="B4382" t="s">
        <v>211</v>
      </c>
      <c r="C4382" t="s">
        <v>212</v>
      </c>
      <c r="D4382" t="s">
        <v>2760</v>
      </c>
      <c r="E4382">
        <v>80886074</v>
      </c>
      <c r="F4382" t="s">
        <v>2761</v>
      </c>
      <c r="G4382" s="3">
        <v>46857</v>
      </c>
      <c r="H4382">
        <v>24</v>
      </c>
      <c r="I4382">
        <v>92</v>
      </c>
      <c r="J4382">
        <v>108</v>
      </c>
      <c r="K4382" s="4">
        <v>77211.360000000001</v>
      </c>
      <c r="L4382" s="4">
        <v>25.714285714285715</v>
      </c>
      <c r="M4382" s="4">
        <v>4.2</v>
      </c>
      <c r="N4382" t="s">
        <v>25</v>
      </c>
      <c r="O4382" t="str">
        <f t="shared" si="680"/>
        <v>Low</v>
      </c>
      <c r="P4382" t="str">
        <f t="shared" si="681"/>
        <v>Medium</v>
      </c>
      <c r="Q4382" t="str">
        <f t="shared" si="682"/>
        <v>Low</v>
      </c>
      <c r="R4382" t="s">
        <v>3310</v>
      </c>
      <c r="S4382" s="4">
        <f t="shared" ca="1" si="683"/>
        <v>660</v>
      </c>
      <c r="T4382">
        <f t="shared" si="684"/>
        <v>1</v>
      </c>
      <c r="U4382">
        <f t="shared" si="685"/>
        <v>2</v>
      </c>
      <c r="V4382">
        <f t="shared" si="686"/>
        <v>1</v>
      </c>
      <c r="W4382">
        <f t="shared" si="687"/>
        <v>2</v>
      </c>
      <c r="X4382">
        <f t="shared" si="688"/>
        <v>1.4</v>
      </c>
      <c r="Y4382" t="str">
        <f t="shared" si="689"/>
        <v>Healthy</v>
      </c>
    </row>
    <row r="4383" spans="1:25" x14ac:dyDescent="0.35">
      <c r="A4383" t="s">
        <v>179</v>
      </c>
      <c r="B4383" t="s">
        <v>223</v>
      </c>
      <c r="C4383" t="s">
        <v>357</v>
      </c>
      <c r="D4383" t="s">
        <v>1760</v>
      </c>
      <c r="E4383">
        <v>80877424</v>
      </c>
      <c r="F4383" t="s">
        <v>2762</v>
      </c>
      <c r="G4383" s="3">
        <v>46596</v>
      </c>
      <c r="H4383">
        <v>18</v>
      </c>
      <c r="I4383">
        <v>75</v>
      </c>
      <c r="J4383">
        <v>62</v>
      </c>
      <c r="K4383" s="4">
        <v>44914.04</v>
      </c>
      <c r="L4383" s="4">
        <v>116.71428571428571</v>
      </c>
      <c r="M4383" s="4">
        <v>0.53121175030599754</v>
      </c>
      <c r="N4383" t="s">
        <v>25</v>
      </c>
      <c r="O4383" t="str">
        <f t="shared" si="680"/>
        <v>Low</v>
      </c>
      <c r="P4383" t="str">
        <f t="shared" si="681"/>
        <v>Low</v>
      </c>
      <c r="Q4383" t="str">
        <f t="shared" si="682"/>
        <v>Low</v>
      </c>
      <c r="R4383" t="s">
        <v>3317</v>
      </c>
      <c r="S4383" s="4">
        <f t="shared" ca="1" si="683"/>
        <v>399</v>
      </c>
      <c r="T4383">
        <f t="shared" si="684"/>
        <v>1</v>
      </c>
      <c r="U4383">
        <f t="shared" si="685"/>
        <v>1</v>
      </c>
      <c r="V4383">
        <f t="shared" si="686"/>
        <v>1</v>
      </c>
      <c r="W4383">
        <f t="shared" si="687"/>
        <v>1</v>
      </c>
      <c r="X4383">
        <f t="shared" si="688"/>
        <v>0.99999999999999989</v>
      </c>
      <c r="Y4383" t="str">
        <f t="shared" si="689"/>
        <v>Healthy</v>
      </c>
    </row>
    <row r="4384" spans="1:25" x14ac:dyDescent="0.35">
      <c r="A4384" t="s">
        <v>41</v>
      </c>
      <c r="B4384" t="s">
        <v>54</v>
      </c>
      <c r="C4384" t="s">
        <v>55</v>
      </c>
      <c r="D4384" t="s">
        <v>2763</v>
      </c>
      <c r="E4384">
        <v>80880882</v>
      </c>
      <c r="F4384" t="s">
        <v>2764</v>
      </c>
      <c r="G4384" s="3">
        <v>47205</v>
      </c>
      <c r="H4384">
        <v>36</v>
      </c>
      <c r="I4384">
        <v>94</v>
      </c>
      <c r="J4384">
        <v>3</v>
      </c>
      <c r="K4384" s="4">
        <v>1034.1600000000001</v>
      </c>
      <c r="L4384" s="4">
        <v>447</v>
      </c>
      <c r="M4384" s="4">
        <v>6.7114093959731542E-3</v>
      </c>
      <c r="N4384" t="s">
        <v>25</v>
      </c>
      <c r="O4384" t="str">
        <f t="shared" si="680"/>
        <v>Low</v>
      </c>
      <c r="P4384" t="str">
        <f t="shared" si="681"/>
        <v>Low</v>
      </c>
      <c r="Q4384" t="str">
        <f t="shared" si="682"/>
        <v>Low</v>
      </c>
      <c r="R4384" t="s">
        <v>3317</v>
      </c>
      <c r="S4384" s="4">
        <f t="shared" ca="1" si="683"/>
        <v>1008</v>
      </c>
      <c r="T4384">
        <f t="shared" si="684"/>
        <v>1</v>
      </c>
      <c r="U4384">
        <f t="shared" si="685"/>
        <v>1</v>
      </c>
      <c r="V4384">
        <f t="shared" si="686"/>
        <v>1</v>
      </c>
      <c r="W4384">
        <f t="shared" si="687"/>
        <v>1</v>
      </c>
      <c r="X4384">
        <f t="shared" si="688"/>
        <v>0.99999999999999989</v>
      </c>
      <c r="Y4384" t="str">
        <f t="shared" si="689"/>
        <v>Healthy</v>
      </c>
    </row>
    <row r="4385" spans="1:25" x14ac:dyDescent="0.35">
      <c r="A4385" t="s">
        <v>179</v>
      </c>
      <c r="B4385" t="s">
        <v>223</v>
      </c>
      <c r="C4385" t="s">
        <v>357</v>
      </c>
      <c r="D4385" t="s">
        <v>1760</v>
      </c>
      <c r="E4385">
        <v>80877424</v>
      </c>
      <c r="F4385" t="s">
        <v>2762</v>
      </c>
      <c r="G4385" s="3">
        <v>46623</v>
      </c>
      <c r="H4385">
        <v>18</v>
      </c>
      <c r="I4385">
        <v>80</v>
      </c>
      <c r="J4385">
        <v>28</v>
      </c>
      <c r="K4385" s="4">
        <v>20283.759999999998</v>
      </c>
      <c r="L4385" s="4">
        <v>116.71428571428571</v>
      </c>
      <c r="M4385" s="4">
        <v>0.23990208078335373</v>
      </c>
      <c r="N4385" t="s">
        <v>25</v>
      </c>
      <c r="O4385" t="str">
        <f t="shared" si="680"/>
        <v>Low</v>
      </c>
      <c r="P4385" t="str">
        <f t="shared" si="681"/>
        <v>Low</v>
      </c>
      <c r="Q4385" t="str">
        <f t="shared" si="682"/>
        <v>Low</v>
      </c>
      <c r="R4385" t="s">
        <v>3317</v>
      </c>
      <c r="S4385" s="4">
        <f t="shared" ca="1" si="683"/>
        <v>426</v>
      </c>
      <c r="T4385">
        <f t="shared" si="684"/>
        <v>1</v>
      </c>
      <c r="U4385">
        <f t="shared" si="685"/>
        <v>1</v>
      </c>
      <c r="V4385">
        <f t="shared" si="686"/>
        <v>1</v>
      </c>
      <c r="W4385">
        <f t="shared" si="687"/>
        <v>1</v>
      </c>
      <c r="X4385">
        <f t="shared" si="688"/>
        <v>0.99999999999999989</v>
      </c>
      <c r="Y4385" t="str">
        <f t="shared" si="689"/>
        <v>Healthy</v>
      </c>
    </row>
    <row r="4386" spans="1:25" x14ac:dyDescent="0.35">
      <c r="A4386" t="s">
        <v>41</v>
      </c>
      <c r="B4386" t="s">
        <v>54</v>
      </c>
      <c r="C4386" t="s">
        <v>55</v>
      </c>
      <c r="D4386" t="s">
        <v>2763</v>
      </c>
      <c r="E4386">
        <v>80880882</v>
      </c>
      <c r="F4386" t="s">
        <v>2764</v>
      </c>
      <c r="G4386" s="3">
        <v>47152</v>
      </c>
      <c r="H4386">
        <v>36</v>
      </c>
      <c r="I4386">
        <v>89</v>
      </c>
      <c r="J4386">
        <v>1</v>
      </c>
      <c r="K4386" s="4">
        <v>344.72</v>
      </c>
      <c r="L4386" s="4">
        <v>447</v>
      </c>
      <c r="M4386" s="4">
        <v>2.2371364653243847E-3</v>
      </c>
      <c r="N4386" t="s">
        <v>25</v>
      </c>
      <c r="O4386" t="str">
        <f t="shared" si="680"/>
        <v>Low</v>
      </c>
      <c r="P4386" t="str">
        <f t="shared" si="681"/>
        <v>Low</v>
      </c>
      <c r="Q4386" t="str">
        <f t="shared" si="682"/>
        <v>Low</v>
      </c>
      <c r="R4386" t="s">
        <v>3317</v>
      </c>
      <c r="S4386" s="4">
        <f t="shared" ca="1" si="683"/>
        <v>955</v>
      </c>
      <c r="T4386">
        <f t="shared" si="684"/>
        <v>1</v>
      </c>
      <c r="U4386">
        <f t="shared" si="685"/>
        <v>1</v>
      </c>
      <c r="V4386">
        <f t="shared" si="686"/>
        <v>1</v>
      </c>
      <c r="W4386">
        <f t="shared" si="687"/>
        <v>1</v>
      </c>
      <c r="X4386">
        <f t="shared" si="688"/>
        <v>0.99999999999999989</v>
      </c>
      <c r="Y4386" t="str">
        <f t="shared" si="689"/>
        <v>Healthy</v>
      </c>
    </row>
    <row r="4387" spans="1:25" x14ac:dyDescent="0.35">
      <c r="A4387" t="s">
        <v>179</v>
      </c>
      <c r="B4387" t="s">
        <v>223</v>
      </c>
      <c r="C4387" t="s">
        <v>357</v>
      </c>
      <c r="D4387" t="s">
        <v>1760</v>
      </c>
      <c r="E4387">
        <v>80877424</v>
      </c>
      <c r="F4387" t="s">
        <v>2762</v>
      </c>
      <c r="G4387" s="3">
        <v>46689</v>
      </c>
      <c r="H4387">
        <v>18</v>
      </c>
      <c r="I4387">
        <v>92</v>
      </c>
      <c r="J4387">
        <v>28</v>
      </c>
      <c r="K4387" s="4">
        <v>20283.759999999998</v>
      </c>
      <c r="L4387" s="4">
        <v>116.71428571428571</v>
      </c>
      <c r="M4387" s="4">
        <v>0.23990208078335373</v>
      </c>
      <c r="N4387" t="s">
        <v>25</v>
      </c>
      <c r="O4387" t="str">
        <f t="shared" si="680"/>
        <v>Low</v>
      </c>
      <c r="P4387" t="str">
        <f t="shared" si="681"/>
        <v>Low</v>
      </c>
      <c r="Q4387" t="str">
        <f t="shared" si="682"/>
        <v>Low</v>
      </c>
      <c r="R4387" t="s">
        <v>3317</v>
      </c>
      <c r="S4387" s="4">
        <f t="shared" ca="1" si="683"/>
        <v>492</v>
      </c>
      <c r="T4387">
        <f t="shared" si="684"/>
        <v>1</v>
      </c>
      <c r="U4387">
        <f t="shared" si="685"/>
        <v>1</v>
      </c>
      <c r="V4387">
        <f t="shared" si="686"/>
        <v>1</v>
      </c>
      <c r="W4387">
        <f t="shared" si="687"/>
        <v>1</v>
      </c>
      <c r="X4387">
        <f t="shared" si="688"/>
        <v>0.99999999999999989</v>
      </c>
      <c r="Y4387" t="str">
        <f t="shared" si="689"/>
        <v>Healthy</v>
      </c>
    </row>
    <row r="4388" spans="1:25" x14ac:dyDescent="0.35">
      <c r="A4388" t="s">
        <v>41</v>
      </c>
      <c r="B4388" t="s">
        <v>42</v>
      </c>
      <c r="C4388" t="s">
        <v>43</v>
      </c>
      <c r="D4388" t="s">
        <v>2765</v>
      </c>
      <c r="E4388">
        <v>80879272</v>
      </c>
      <c r="F4388" t="s">
        <v>2766</v>
      </c>
      <c r="G4388" s="3">
        <v>47205</v>
      </c>
      <c r="H4388">
        <v>36</v>
      </c>
      <c r="I4388">
        <v>94</v>
      </c>
      <c r="J4388">
        <v>1</v>
      </c>
      <c r="K4388" s="4">
        <v>65.45</v>
      </c>
      <c r="L4388" s="4">
        <v>919.85714285714289</v>
      </c>
      <c r="M4388" s="4">
        <v>1.0871253300201893E-3</v>
      </c>
      <c r="N4388" t="s">
        <v>25</v>
      </c>
      <c r="O4388" t="str">
        <f t="shared" si="680"/>
        <v>Low</v>
      </c>
      <c r="P4388" t="str">
        <f t="shared" si="681"/>
        <v>Low</v>
      </c>
      <c r="Q4388" t="str">
        <f t="shared" si="682"/>
        <v>Low</v>
      </c>
      <c r="R4388" t="s">
        <v>3317</v>
      </c>
      <c r="S4388" s="4">
        <f t="shared" ca="1" si="683"/>
        <v>1008</v>
      </c>
      <c r="T4388">
        <f t="shared" si="684"/>
        <v>1</v>
      </c>
      <c r="U4388">
        <f t="shared" si="685"/>
        <v>1</v>
      </c>
      <c r="V4388">
        <f t="shared" si="686"/>
        <v>1</v>
      </c>
      <c r="W4388">
        <f t="shared" si="687"/>
        <v>1</v>
      </c>
      <c r="X4388">
        <f t="shared" si="688"/>
        <v>0.99999999999999989</v>
      </c>
      <c r="Y4388" t="str">
        <f t="shared" si="689"/>
        <v>Healthy</v>
      </c>
    </row>
    <row r="4389" spans="1:25" x14ac:dyDescent="0.35">
      <c r="A4389" t="s">
        <v>41</v>
      </c>
      <c r="B4389" t="s">
        <v>42</v>
      </c>
      <c r="C4389" t="s">
        <v>43</v>
      </c>
      <c r="D4389" t="s">
        <v>1188</v>
      </c>
      <c r="E4389">
        <v>80892767</v>
      </c>
      <c r="F4389" t="s">
        <v>2767</v>
      </c>
      <c r="G4389" s="3">
        <v>47222</v>
      </c>
      <c r="H4389">
        <v>36</v>
      </c>
      <c r="I4389">
        <v>95</v>
      </c>
      <c r="J4389">
        <v>36</v>
      </c>
      <c r="K4389" s="4">
        <v>30485.88</v>
      </c>
      <c r="L4389" s="4">
        <v>125.14285714285714</v>
      </c>
      <c r="M4389" s="4">
        <v>0.28767123287671231</v>
      </c>
      <c r="N4389" t="s">
        <v>25</v>
      </c>
      <c r="O4389" t="str">
        <f t="shared" si="680"/>
        <v>Low</v>
      </c>
      <c r="P4389" t="str">
        <f t="shared" si="681"/>
        <v>Low</v>
      </c>
      <c r="Q4389" t="str">
        <f t="shared" si="682"/>
        <v>Low</v>
      </c>
      <c r="R4389" t="s">
        <v>3317</v>
      </c>
      <c r="S4389" s="4">
        <f t="shared" ca="1" si="683"/>
        <v>1025</v>
      </c>
      <c r="T4389">
        <f t="shared" si="684"/>
        <v>1</v>
      </c>
      <c r="U4389">
        <f t="shared" si="685"/>
        <v>1</v>
      </c>
      <c r="V4389">
        <f t="shared" si="686"/>
        <v>1</v>
      </c>
      <c r="W4389">
        <f t="shared" si="687"/>
        <v>1</v>
      </c>
      <c r="X4389">
        <f t="shared" si="688"/>
        <v>0.99999999999999989</v>
      </c>
      <c r="Y4389" t="str">
        <f t="shared" si="689"/>
        <v>Healthy</v>
      </c>
    </row>
    <row r="4390" spans="1:25" x14ac:dyDescent="0.35">
      <c r="A4390" t="s">
        <v>41</v>
      </c>
      <c r="B4390" t="s">
        <v>42</v>
      </c>
      <c r="C4390" t="s">
        <v>43</v>
      </c>
      <c r="D4390" t="s">
        <v>221</v>
      </c>
      <c r="E4390">
        <v>80892769</v>
      </c>
      <c r="F4390" t="s">
        <v>2768</v>
      </c>
      <c r="G4390" s="3">
        <v>47214</v>
      </c>
      <c r="H4390">
        <v>36</v>
      </c>
      <c r="I4390">
        <v>95</v>
      </c>
      <c r="J4390">
        <v>17</v>
      </c>
      <c r="K4390" s="4">
        <v>14396.11</v>
      </c>
      <c r="L4390" s="4">
        <v>53.285714285714285</v>
      </c>
      <c r="M4390" s="4">
        <v>0.31903485254691688</v>
      </c>
      <c r="N4390" t="s">
        <v>25</v>
      </c>
      <c r="O4390" t="str">
        <f t="shared" si="680"/>
        <v>Low</v>
      </c>
      <c r="P4390" t="str">
        <f t="shared" si="681"/>
        <v>Low</v>
      </c>
      <c r="Q4390" t="str">
        <f t="shared" si="682"/>
        <v>Low</v>
      </c>
      <c r="R4390" t="s">
        <v>3317</v>
      </c>
      <c r="S4390" s="4">
        <f t="shared" ca="1" si="683"/>
        <v>1017</v>
      </c>
      <c r="T4390">
        <f t="shared" si="684"/>
        <v>1</v>
      </c>
      <c r="U4390">
        <f t="shared" si="685"/>
        <v>1</v>
      </c>
      <c r="V4390">
        <f t="shared" si="686"/>
        <v>1</v>
      </c>
      <c r="W4390">
        <f t="shared" si="687"/>
        <v>1</v>
      </c>
      <c r="X4390">
        <f t="shared" si="688"/>
        <v>0.99999999999999989</v>
      </c>
      <c r="Y4390" t="str">
        <f t="shared" si="689"/>
        <v>Healthy</v>
      </c>
    </row>
    <row r="4391" spans="1:25" x14ac:dyDescent="0.35">
      <c r="A4391" t="s">
        <v>41</v>
      </c>
      <c r="B4391" t="s">
        <v>42</v>
      </c>
      <c r="C4391" t="s">
        <v>43</v>
      </c>
      <c r="D4391" t="s">
        <v>221</v>
      </c>
      <c r="E4391">
        <v>80892769</v>
      </c>
      <c r="F4391" t="s">
        <v>2768</v>
      </c>
      <c r="G4391" s="3">
        <v>47259</v>
      </c>
      <c r="H4391">
        <v>36</v>
      </c>
      <c r="I4391">
        <v>99</v>
      </c>
      <c r="J4391">
        <v>36</v>
      </c>
      <c r="K4391" s="4">
        <v>30485.88</v>
      </c>
      <c r="L4391" s="4">
        <v>53.285714285714285</v>
      </c>
      <c r="M4391" s="4">
        <v>0.67560321715817695</v>
      </c>
      <c r="N4391" t="s">
        <v>25</v>
      </c>
      <c r="O4391" t="str">
        <f t="shared" si="680"/>
        <v>Low</v>
      </c>
      <c r="P4391" t="str">
        <f t="shared" si="681"/>
        <v>Low</v>
      </c>
      <c r="Q4391" t="str">
        <f t="shared" si="682"/>
        <v>Low</v>
      </c>
      <c r="R4391" t="s">
        <v>3317</v>
      </c>
      <c r="S4391" s="4">
        <f t="shared" ca="1" si="683"/>
        <v>1062</v>
      </c>
      <c r="T4391">
        <f t="shared" si="684"/>
        <v>1</v>
      </c>
      <c r="U4391">
        <f t="shared" si="685"/>
        <v>1</v>
      </c>
      <c r="V4391">
        <f t="shared" si="686"/>
        <v>1</v>
      </c>
      <c r="W4391">
        <f t="shared" si="687"/>
        <v>1</v>
      </c>
      <c r="X4391">
        <f t="shared" si="688"/>
        <v>0.99999999999999989</v>
      </c>
      <c r="Y4391" t="str">
        <f t="shared" si="689"/>
        <v>Healthy</v>
      </c>
    </row>
    <row r="4392" spans="1:25" x14ac:dyDescent="0.35">
      <c r="A4392" t="s">
        <v>41</v>
      </c>
      <c r="B4392" t="s">
        <v>42</v>
      </c>
      <c r="C4392" t="s">
        <v>43</v>
      </c>
      <c r="D4392" t="s">
        <v>221</v>
      </c>
      <c r="E4392">
        <v>80892769</v>
      </c>
      <c r="F4392" t="s">
        <v>2768</v>
      </c>
      <c r="G4392" s="3">
        <v>47220</v>
      </c>
      <c r="H4392">
        <v>36</v>
      </c>
      <c r="I4392">
        <v>95</v>
      </c>
      <c r="J4392">
        <v>26</v>
      </c>
      <c r="K4392" s="4">
        <v>22017.58</v>
      </c>
      <c r="L4392" s="4">
        <v>53.285714285714285</v>
      </c>
      <c r="M4392" s="4">
        <v>0.48793565683646112</v>
      </c>
      <c r="N4392" t="s">
        <v>25</v>
      </c>
      <c r="O4392" t="str">
        <f t="shared" si="680"/>
        <v>Low</v>
      </c>
      <c r="P4392" t="str">
        <f t="shared" si="681"/>
        <v>Low</v>
      </c>
      <c r="Q4392" t="str">
        <f t="shared" si="682"/>
        <v>Low</v>
      </c>
      <c r="R4392" t="s">
        <v>3317</v>
      </c>
      <c r="S4392" s="4">
        <f t="shared" ca="1" si="683"/>
        <v>1023</v>
      </c>
      <c r="T4392">
        <f t="shared" si="684"/>
        <v>1</v>
      </c>
      <c r="U4392">
        <f t="shared" si="685"/>
        <v>1</v>
      </c>
      <c r="V4392">
        <f t="shared" si="686"/>
        <v>1</v>
      </c>
      <c r="W4392">
        <f t="shared" si="687"/>
        <v>1</v>
      </c>
      <c r="X4392">
        <f t="shared" si="688"/>
        <v>0.99999999999999989</v>
      </c>
      <c r="Y4392" t="str">
        <f t="shared" si="689"/>
        <v>Healthy</v>
      </c>
    </row>
    <row r="4393" spans="1:25" x14ac:dyDescent="0.35">
      <c r="A4393" t="s">
        <v>41</v>
      </c>
      <c r="B4393" t="s">
        <v>42</v>
      </c>
      <c r="C4393" t="s">
        <v>43</v>
      </c>
      <c r="D4393" t="s">
        <v>221</v>
      </c>
      <c r="E4393">
        <v>80892769</v>
      </c>
      <c r="F4393" t="s">
        <v>2768</v>
      </c>
      <c r="G4393" s="3">
        <v>47220</v>
      </c>
      <c r="H4393">
        <v>36</v>
      </c>
      <c r="I4393">
        <v>95</v>
      </c>
      <c r="J4393">
        <v>24</v>
      </c>
      <c r="K4393" s="4">
        <v>20323.919999999998</v>
      </c>
      <c r="L4393" s="4">
        <v>53.285714285714285</v>
      </c>
      <c r="M4393" s="4">
        <v>0.45040214477211798</v>
      </c>
      <c r="N4393" t="s">
        <v>25</v>
      </c>
      <c r="O4393" t="str">
        <f t="shared" si="680"/>
        <v>Low</v>
      </c>
      <c r="P4393" t="str">
        <f t="shared" si="681"/>
        <v>Low</v>
      </c>
      <c r="Q4393" t="str">
        <f t="shared" si="682"/>
        <v>Low</v>
      </c>
      <c r="R4393" t="s">
        <v>3317</v>
      </c>
      <c r="S4393" s="4">
        <f t="shared" ca="1" si="683"/>
        <v>1023</v>
      </c>
      <c r="T4393">
        <f t="shared" si="684"/>
        <v>1</v>
      </c>
      <c r="U4393">
        <f t="shared" si="685"/>
        <v>1</v>
      </c>
      <c r="V4393">
        <f t="shared" si="686"/>
        <v>1</v>
      </c>
      <c r="W4393">
        <f t="shared" si="687"/>
        <v>1</v>
      </c>
      <c r="X4393">
        <f t="shared" si="688"/>
        <v>0.99999999999999989</v>
      </c>
      <c r="Y4393" t="str">
        <f t="shared" si="689"/>
        <v>Healthy</v>
      </c>
    </row>
    <row r="4394" spans="1:25" x14ac:dyDescent="0.35">
      <c r="A4394" t="s">
        <v>41</v>
      </c>
      <c r="B4394" t="s">
        <v>42</v>
      </c>
      <c r="C4394" t="s">
        <v>43</v>
      </c>
      <c r="D4394" t="s">
        <v>221</v>
      </c>
      <c r="E4394">
        <v>80892769</v>
      </c>
      <c r="F4394" t="s">
        <v>2768</v>
      </c>
      <c r="G4394" s="3">
        <v>47236</v>
      </c>
      <c r="H4394">
        <v>36</v>
      </c>
      <c r="I4394">
        <v>97</v>
      </c>
      <c r="J4394">
        <v>24</v>
      </c>
      <c r="K4394" s="4">
        <v>20323.919999999998</v>
      </c>
      <c r="L4394" s="4">
        <v>53.285714285714285</v>
      </c>
      <c r="M4394" s="4">
        <v>0.45040214477211798</v>
      </c>
      <c r="N4394" t="s">
        <v>25</v>
      </c>
      <c r="O4394" t="str">
        <f t="shared" si="680"/>
        <v>Low</v>
      </c>
      <c r="P4394" t="str">
        <f t="shared" si="681"/>
        <v>Low</v>
      </c>
      <c r="Q4394" t="str">
        <f t="shared" si="682"/>
        <v>Low</v>
      </c>
      <c r="R4394" t="s">
        <v>3317</v>
      </c>
      <c r="S4394" s="4">
        <f t="shared" ca="1" si="683"/>
        <v>1039</v>
      </c>
      <c r="T4394">
        <f t="shared" si="684"/>
        <v>1</v>
      </c>
      <c r="U4394">
        <f t="shared" si="685"/>
        <v>1</v>
      </c>
      <c r="V4394">
        <f t="shared" si="686"/>
        <v>1</v>
      </c>
      <c r="W4394">
        <f t="shared" si="687"/>
        <v>1</v>
      </c>
      <c r="X4394">
        <f t="shared" si="688"/>
        <v>0.99999999999999989</v>
      </c>
      <c r="Y4394" t="str">
        <f t="shared" si="689"/>
        <v>Healthy</v>
      </c>
    </row>
    <row r="4395" spans="1:25" x14ac:dyDescent="0.35">
      <c r="A4395" t="s">
        <v>41</v>
      </c>
      <c r="B4395" t="s">
        <v>42</v>
      </c>
      <c r="C4395" t="s">
        <v>365</v>
      </c>
      <c r="D4395" t="s">
        <v>396</v>
      </c>
      <c r="E4395">
        <v>80892773</v>
      </c>
      <c r="F4395" t="s">
        <v>2769</v>
      </c>
      <c r="G4395" s="3">
        <v>47221</v>
      </c>
      <c r="H4395">
        <v>36</v>
      </c>
      <c r="I4395">
        <v>95</v>
      </c>
      <c r="J4395">
        <v>49</v>
      </c>
      <c r="K4395" s="4">
        <v>47122.32</v>
      </c>
      <c r="L4395" s="4">
        <v>33.428571428571431</v>
      </c>
      <c r="M4395" s="4">
        <v>1.4658119658119657</v>
      </c>
      <c r="N4395" t="s">
        <v>25</v>
      </c>
      <c r="O4395" t="str">
        <f t="shared" si="680"/>
        <v>Low</v>
      </c>
      <c r="P4395" t="str">
        <f t="shared" si="681"/>
        <v>Low</v>
      </c>
      <c r="Q4395" t="str">
        <f t="shared" si="682"/>
        <v>Low</v>
      </c>
      <c r="R4395" t="s">
        <v>3317</v>
      </c>
      <c r="S4395" s="4">
        <f t="shared" ca="1" si="683"/>
        <v>1024</v>
      </c>
      <c r="T4395">
        <f t="shared" si="684"/>
        <v>1</v>
      </c>
      <c r="U4395">
        <f t="shared" si="685"/>
        <v>1</v>
      </c>
      <c r="V4395">
        <f t="shared" si="686"/>
        <v>1</v>
      </c>
      <c r="W4395">
        <f t="shared" si="687"/>
        <v>1</v>
      </c>
      <c r="X4395">
        <f t="shared" si="688"/>
        <v>0.99999999999999989</v>
      </c>
      <c r="Y4395" t="str">
        <f t="shared" si="689"/>
        <v>Healthy</v>
      </c>
    </row>
    <row r="4396" spans="1:25" x14ac:dyDescent="0.35">
      <c r="A4396" t="s">
        <v>179</v>
      </c>
      <c r="B4396" t="s">
        <v>180</v>
      </c>
      <c r="C4396" t="s">
        <v>181</v>
      </c>
      <c r="D4396" t="s">
        <v>2770</v>
      </c>
      <c r="E4396">
        <v>83923085</v>
      </c>
      <c r="F4396" t="s">
        <v>2771</v>
      </c>
      <c r="G4396" s="3">
        <v>46665</v>
      </c>
      <c r="H4396">
        <v>16</v>
      </c>
      <c r="I4396">
        <v>99</v>
      </c>
      <c r="J4396">
        <v>930</v>
      </c>
      <c r="K4396" s="4">
        <v>285193.8</v>
      </c>
      <c r="L4396" s="4">
        <v>5940</v>
      </c>
      <c r="M4396" s="4">
        <v>0.15656565656565657</v>
      </c>
      <c r="N4396" t="s">
        <v>25</v>
      </c>
      <c r="O4396" t="str">
        <f t="shared" si="680"/>
        <v>Low</v>
      </c>
      <c r="P4396" t="str">
        <f t="shared" si="681"/>
        <v>Low</v>
      </c>
      <c r="Q4396" t="str">
        <f t="shared" si="682"/>
        <v>Low</v>
      </c>
      <c r="R4396" t="s">
        <v>3309</v>
      </c>
      <c r="S4396" s="4">
        <f t="shared" ca="1" si="683"/>
        <v>468</v>
      </c>
      <c r="T4396">
        <f t="shared" si="684"/>
        <v>1</v>
      </c>
      <c r="U4396">
        <f t="shared" si="685"/>
        <v>1</v>
      </c>
      <c r="V4396">
        <f t="shared" si="686"/>
        <v>1</v>
      </c>
      <c r="W4396">
        <f t="shared" si="687"/>
        <v>3</v>
      </c>
      <c r="X4396">
        <f t="shared" si="688"/>
        <v>1.2</v>
      </c>
      <c r="Y4396" t="str">
        <f t="shared" si="689"/>
        <v>Healthy</v>
      </c>
    </row>
    <row r="4397" spans="1:25" x14ac:dyDescent="0.35">
      <c r="A4397" t="s">
        <v>179</v>
      </c>
      <c r="B4397" t="s">
        <v>180</v>
      </c>
      <c r="C4397" t="s">
        <v>181</v>
      </c>
      <c r="D4397" t="s">
        <v>2770</v>
      </c>
      <c r="E4397">
        <v>83923085</v>
      </c>
      <c r="F4397" t="s">
        <v>2771</v>
      </c>
      <c r="G4397" s="3">
        <v>46669</v>
      </c>
      <c r="H4397">
        <v>16</v>
      </c>
      <c r="I4397">
        <v>99</v>
      </c>
      <c r="J4397">
        <v>900</v>
      </c>
      <c r="K4397" s="4">
        <v>275994</v>
      </c>
      <c r="L4397" s="4">
        <v>5940</v>
      </c>
      <c r="M4397" s="4">
        <v>0.15151515151515152</v>
      </c>
      <c r="N4397" t="s">
        <v>25</v>
      </c>
      <c r="O4397" t="str">
        <f t="shared" si="680"/>
        <v>Low</v>
      </c>
      <c r="P4397" t="str">
        <f t="shared" si="681"/>
        <v>Low</v>
      </c>
      <c r="Q4397" t="str">
        <f t="shared" si="682"/>
        <v>Low</v>
      </c>
      <c r="R4397" t="s">
        <v>3309</v>
      </c>
      <c r="S4397" s="4">
        <f t="shared" ca="1" si="683"/>
        <v>472</v>
      </c>
      <c r="T4397">
        <f t="shared" si="684"/>
        <v>1</v>
      </c>
      <c r="U4397">
        <f t="shared" si="685"/>
        <v>1</v>
      </c>
      <c r="V4397">
        <f t="shared" si="686"/>
        <v>1</v>
      </c>
      <c r="W4397">
        <f t="shared" si="687"/>
        <v>3</v>
      </c>
      <c r="X4397">
        <f t="shared" si="688"/>
        <v>1.2</v>
      </c>
      <c r="Y4397" t="str">
        <f t="shared" si="689"/>
        <v>Healthy</v>
      </c>
    </row>
    <row r="4398" spans="1:25" x14ac:dyDescent="0.35">
      <c r="A4398" t="s">
        <v>179</v>
      </c>
      <c r="B4398" t="s">
        <v>180</v>
      </c>
      <c r="C4398" t="s">
        <v>181</v>
      </c>
      <c r="D4398" t="s">
        <v>2770</v>
      </c>
      <c r="E4398">
        <v>83923085</v>
      </c>
      <c r="F4398" t="s">
        <v>2771</v>
      </c>
      <c r="G4398" s="3">
        <v>46663</v>
      </c>
      <c r="H4398">
        <v>16</v>
      </c>
      <c r="I4398">
        <v>98</v>
      </c>
      <c r="J4398">
        <v>542</v>
      </c>
      <c r="K4398" s="4">
        <v>166209.72</v>
      </c>
      <c r="L4398" s="4">
        <v>5940</v>
      </c>
      <c r="M4398" s="4">
        <v>9.1245791245791241E-2</v>
      </c>
      <c r="N4398" t="s">
        <v>25</v>
      </c>
      <c r="O4398" t="str">
        <f t="shared" si="680"/>
        <v>Low</v>
      </c>
      <c r="P4398" t="str">
        <f t="shared" si="681"/>
        <v>Low</v>
      </c>
      <c r="Q4398" t="str">
        <f t="shared" si="682"/>
        <v>Low</v>
      </c>
      <c r="R4398" t="s">
        <v>3309</v>
      </c>
      <c r="S4398" s="4">
        <f t="shared" ca="1" si="683"/>
        <v>466</v>
      </c>
      <c r="T4398">
        <f t="shared" si="684"/>
        <v>1</v>
      </c>
      <c r="U4398">
        <f t="shared" si="685"/>
        <v>1</v>
      </c>
      <c r="V4398">
        <f t="shared" si="686"/>
        <v>1</v>
      </c>
      <c r="W4398">
        <f t="shared" si="687"/>
        <v>3</v>
      </c>
      <c r="X4398">
        <f t="shared" si="688"/>
        <v>1.2</v>
      </c>
      <c r="Y4398" t="str">
        <f t="shared" si="689"/>
        <v>Healthy</v>
      </c>
    </row>
    <row r="4399" spans="1:25" x14ac:dyDescent="0.35">
      <c r="A4399" t="s">
        <v>41</v>
      </c>
      <c r="B4399" t="s">
        <v>54</v>
      </c>
      <c r="C4399" t="s">
        <v>55</v>
      </c>
      <c r="D4399" t="s">
        <v>2772</v>
      </c>
      <c r="E4399">
        <v>80880884</v>
      </c>
      <c r="F4399" t="s">
        <v>2773</v>
      </c>
      <c r="G4399" s="3">
        <v>47152</v>
      </c>
      <c r="H4399">
        <v>36</v>
      </c>
      <c r="I4399">
        <v>89</v>
      </c>
      <c r="J4399">
        <v>4</v>
      </c>
      <c r="K4399" s="4">
        <v>4265.4799999999996</v>
      </c>
      <c r="L4399" s="4">
        <v>62.285714285714285</v>
      </c>
      <c r="M4399" s="4">
        <v>6.4220183486238536E-2</v>
      </c>
      <c r="N4399" t="s">
        <v>25</v>
      </c>
      <c r="O4399" t="str">
        <f t="shared" si="680"/>
        <v>Low</v>
      </c>
      <c r="P4399" t="str">
        <f t="shared" si="681"/>
        <v>Low</v>
      </c>
      <c r="Q4399" t="str">
        <f t="shared" si="682"/>
        <v>Low</v>
      </c>
      <c r="R4399" t="s">
        <v>3317</v>
      </c>
      <c r="S4399" s="4">
        <f t="shared" ca="1" si="683"/>
        <v>955</v>
      </c>
      <c r="T4399">
        <f t="shared" si="684"/>
        <v>1</v>
      </c>
      <c r="U4399">
        <f t="shared" si="685"/>
        <v>1</v>
      </c>
      <c r="V4399">
        <f t="shared" si="686"/>
        <v>1</v>
      </c>
      <c r="W4399">
        <f t="shared" si="687"/>
        <v>1</v>
      </c>
      <c r="X4399">
        <f t="shared" si="688"/>
        <v>0.99999999999999989</v>
      </c>
      <c r="Y4399" t="str">
        <f t="shared" si="689"/>
        <v>Healthy</v>
      </c>
    </row>
    <row r="4400" spans="1:25" x14ac:dyDescent="0.35">
      <c r="A4400" t="s">
        <v>179</v>
      </c>
      <c r="B4400" t="s">
        <v>180</v>
      </c>
      <c r="C4400" t="s">
        <v>181</v>
      </c>
      <c r="D4400" t="s">
        <v>2770</v>
      </c>
      <c r="E4400">
        <v>83923085</v>
      </c>
      <c r="F4400" t="s">
        <v>2771</v>
      </c>
      <c r="G4400" s="3">
        <v>46647</v>
      </c>
      <c r="H4400">
        <v>16</v>
      </c>
      <c r="I4400">
        <v>95</v>
      </c>
      <c r="J4400">
        <v>762</v>
      </c>
      <c r="K4400" s="4">
        <v>233674.92</v>
      </c>
      <c r="L4400" s="4">
        <v>5940</v>
      </c>
      <c r="M4400" s="4">
        <v>0.12828282828282828</v>
      </c>
      <c r="N4400" t="s">
        <v>25</v>
      </c>
      <c r="O4400" t="str">
        <f t="shared" si="680"/>
        <v>Low</v>
      </c>
      <c r="P4400" t="str">
        <f t="shared" si="681"/>
        <v>Low</v>
      </c>
      <c r="Q4400" t="str">
        <f t="shared" si="682"/>
        <v>Low</v>
      </c>
      <c r="R4400" t="s">
        <v>3309</v>
      </c>
      <c r="S4400" s="4">
        <f t="shared" ca="1" si="683"/>
        <v>450</v>
      </c>
      <c r="T4400">
        <f t="shared" si="684"/>
        <v>1</v>
      </c>
      <c r="U4400">
        <f t="shared" si="685"/>
        <v>1</v>
      </c>
      <c r="V4400">
        <f t="shared" si="686"/>
        <v>1</v>
      </c>
      <c r="W4400">
        <f t="shared" si="687"/>
        <v>3</v>
      </c>
      <c r="X4400">
        <f t="shared" si="688"/>
        <v>1.2</v>
      </c>
      <c r="Y4400" t="str">
        <f t="shared" si="689"/>
        <v>Healthy</v>
      </c>
    </row>
    <row r="4401" spans="1:25" x14ac:dyDescent="0.35">
      <c r="A4401" t="s">
        <v>41</v>
      </c>
      <c r="B4401" t="s">
        <v>42</v>
      </c>
      <c r="C4401" t="s">
        <v>43</v>
      </c>
      <c r="D4401" t="s">
        <v>1025</v>
      </c>
      <c r="E4401">
        <v>80879275</v>
      </c>
      <c r="F4401" t="s">
        <v>2774</v>
      </c>
      <c r="G4401" s="3">
        <v>47030</v>
      </c>
      <c r="H4401">
        <v>36</v>
      </c>
      <c r="I4401">
        <v>78</v>
      </c>
      <c r="J4401">
        <v>1</v>
      </c>
      <c r="K4401" s="4">
        <v>309.81</v>
      </c>
      <c r="L4401" s="4">
        <v>108.57142857142857</v>
      </c>
      <c r="M4401" s="4">
        <v>9.2105263157894746E-3</v>
      </c>
      <c r="N4401" t="s">
        <v>25</v>
      </c>
      <c r="O4401" t="str">
        <f t="shared" si="680"/>
        <v>Low</v>
      </c>
      <c r="P4401" t="str">
        <f t="shared" si="681"/>
        <v>Low</v>
      </c>
      <c r="Q4401" t="str">
        <f t="shared" si="682"/>
        <v>Low</v>
      </c>
      <c r="R4401" t="s">
        <v>3317</v>
      </c>
      <c r="S4401" s="4">
        <f t="shared" ca="1" si="683"/>
        <v>833</v>
      </c>
      <c r="T4401">
        <f t="shared" si="684"/>
        <v>1</v>
      </c>
      <c r="U4401">
        <f t="shared" si="685"/>
        <v>1</v>
      </c>
      <c r="V4401">
        <f t="shared" si="686"/>
        <v>1</v>
      </c>
      <c r="W4401">
        <f t="shared" si="687"/>
        <v>1</v>
      </c>
      <c r="X4401">
        <f t="shared" si="688"/>
        <v>0.99999999999999989</v>
      </c>
      <c r="Y4401" t="str">
        <f t="shared" si="689"/>
        <v>Healthy</v>
      </c>
    </row>
    <row r="4402" spans="1:25" x14ac:dyDescent="0.35">
      <c r="A4402" t="s">
        <v>179</v>
      </c>
      <c r="B4402" t="s">
        <v>180</v>
      </c>
      <c r="C4402" t="s">
        <v>181</v>
      </c>
      <c r="D4402" t="s">
        <v>2770</v>
      </c>
      <c r="E4402">
        <v>83923085</v>
      </c>
      <c r="F4402" t="s">
        <v>2771</v>
      </c>
      <c r="G4402" s="3">
        <v>46671</v>
      </c>
      <c r="H4402">
        <v>16</v>
      </c>
      <c r="I4402">
        <v>100</v>
      </c>
      <c r="J4402">
        <v>6</v>
      </c>
      <c r="K4402" s="4">
        <v>1839.96</v>
      </c>
      <c r="L4402" s="4">
        <v>5940</v>
      </c>
      <c r="M4402" s="4">
        <v>1.0101010101010101E-3</v>
      </c>
      <c r="N4402" t="s">
        <v>25</v>
      </c>
      <c r="O4402" t="str">
        <f t="shared" si="680"/>
        <v>Low</v>
      </c>
      <c r="P4402" t="str">
        <f t="shared" si="681"/>
        <v>Low</v>
      </c>
      <c r="Q4402" t="str">
        <f t="shared" si="682"/>
        <v>Low</v>
      </c>
      <c r="R4402" t="s">
        <v>3317</v>
      </c>
      <c r="S4402" s="4">
        <f t="shared" ca="1" si="683"/>
        <v>474</v>
      </c>
      <c r="T4402">
        <f t="shared" si="684"/>
        <v>1</v>
      </c>
      <c r="U4402">
        <f t="shared" si="685"/>
        <v>1</v>
      </c>
      <c r="V4402">
        <f t="shared" si="686"/>
        <v>1</v>
      </c>
      <c r="W4402">
        <f t="shared" si="687"/>
        <v>1</v>
      </c>
      <c r="X4402">
        <f t="shared" si="688"/>
        <v>0.99999999999999989</v>
      </c>
      <c r="Y4402" t="str">
        <f t="shared" si="689"/>
        <v>Healthy</v>
      </c>
    </row>
    <row r="4403" spans="1:25" x14ac:dyDescent="0.35">
      <c r="A4403" t="s">
        <v>179</v>
      </c>
      <c r="B4403" t="s">
        <v>180</v>
      </c>
      <c r="C4403" t="s">
        <v>181</v>
      </c>
      <c r="D4403" t="s">
        <v>2770</v>
      </c>
      <c r="E4403">
        <v>83923085</v>
      </c>
      <c r="F4403" t="s">
        <v>2771</v>
      </c>
      <c r="G4403" s="3">
        <v>46645</v>
      </c>
      <c r="H4403">
        <v>16</v>
      </c>
      <c r="I4403">
        <v>94</v>
      </c>
      <c r="J4403">
        <v>604</v>
      </c>
      <c r="K4403" s="4">
        <v>185222.64</v>
      </c>
      <c r="L4403" s="4">
        <v>5940</v>
      </c>
      <c r="M4403" s="4">
        <v>0.10168350168350168</v>
      </c>
      <c r="N4403" t="s">
        <v>25</v>
      </c>
      <c r="O4403" t="str">
        <f t="shared" si="680"/>
        <v>Low</v>
      </c>
      <c r="P4403" t="str">
        <f t="shared" si="681"/>
        <v>Low</v>
      </c>
      <c r="Q4403" t="str">
        <f t="shared" si="682"/>
        <v>Low</v>
      </c>
      <c r="R4403" t="s">
        <v>3309</v>
      </c>
      <c r="S4403" s="4">
        <f t="shared" ca="1" si="683"/>
        <v>448</v>
      </c>
      <c r="T4403">
        <f t="shared" si="684"/>
        <v>1</v>
      </c>
      <c r="U4403">
        <f t="shared" si="685"/>
        <v>1</v>
      </c>
      <c r="V4403">
        <f t="shared" si="686"/>
        <v>1</v>
      </c>
      <c r="W4403">
        <f t="shared" si="687"/>
        <v>3</v>
      </c>
      <c r="X4403">
        <f t="shared" si="688"/>
        <v>1.2</v>
      </c>
      <c r="Y4403" t="str">
        <f t="shared" si="689"/>
        <v>Healthy</v>
      </c>
    </row>
    <row r="4404" spans="1:25" x14ac:dyDescent="0.35">
      <c r="A4404" t="s">
        <v>179</v>
      </c>
      <c r="B4404" t="s">
        <v>180</v>
      </c>
      <c r="C4404" t="s">
        <v>181</v>
      </c>
      <c r="D4404" t="s">
        <v>2770</v>
      </c>
      <c r="E4404">
        <v>83923085</v>
      </c>
      <c r="F4404" t="s">
        <v>2771</v>
      </c>
      <c r="G4404" s="3">
        <v>46649</v>
      </c>
      <c r="H4404">
        <v>16</v>
      </c>
      <c r="I4404">
        <v>95</v>
      </c>
      <c r="J4404">
        <v>2892</v>
      </c>
      <c r="K4404" s="4">
        <v>886860.72</v>
      </c>
      <c r="L4404" s="4">
        <v>5940</v>
      </c>
      <c r="M4404" s="4">
        <v>0.4868686868686869</v>
      </c>
      <c r="N4404" t="s">
        <v>25</v>
      </c>
      <c r="O4404" t="str">
        <f t="shared" si="680"/>
        <v>Low</v>
      </c>
      <c r="P4404" t="str">
        <f t="shared" si="681"/>
        <v>Low</v>
      </c>
      <c r="Q4404" t="str">
        <f t="shared" si="682"/>
        <v>Low</v>
      </c>
      <c r="R4404" t="s">
        <v>3309</v>
      </c>
      <c r="S4404" s="4">
        <f t="shared" ca="1" si="683"/>
        <v>452</v>
      </c>
      <c r="T4404">
        <f t="shared" si="684"/>
        <v>1</v>
      </c>
      <c r="U4404">
        <f t="shared" si="685"/>
        <v>1</v>
      </c>
      <c r="V4404">
        <f t="shared" si="686"/>
        <v>1</v>
      </c>
      <c r="W4404">
        <f t="shared" si="687"/>
        <v>3</v>
      </c>
      <c r="X4404">
        <f t="shared" si="688"/>
        <v>1.2</v>
      </c>
      <c r="Y4404" t="str">
        <f t="shared" si="689"/>
        <v>Healthy</v>
      </c>
    </row>
    <row r="4405" spans="1:25" x14ac:dyDescent="0.35">
      <c r="A4405" t="s">
        <v>41</v>
      </c>
      <c r="B4405" t="s">
        <v>42</v>
      </c>
      <c r="C4405" t="s">
        <v>43</v>
      </c>
      <c r="D4405" t="s">
        <v>2037</v>
      </c>
      <c r="E4405">
        <v>80879276</v>
      </c>
      <c r="F4405" t="s">
        <v>2775</v>
      </c>
      <c r="G4405" s="3">
        <v>47103</v>
      </c>
      <c r="H4405">
        <v>36</v>
      </c>
      <c r="I4405">
        <v>84</v>
      </c>
      <c r="J4405">
        <v>23</v>
      </c>
      <c r="K4405" s="4">
        <v>7125.63</v>
      </c>
      <c r="L4405" s="4">
        <v>31.142857142857142</v>
      </c>
      <c r="M4405" s="4">
        <v>0.73853211009174313</v>
      </c>
      <c r="N4405" t="s">
        <v>25</v>
      </c>
      <c r="O4405" t="str">
        <f t="shared" si="680"/>
        <v>Low</v>
      </c>
      <c r="P4405" t="str">
        <f t="shared" si="681"/>
        <v>Low</v>
      </c>
      <c r="Q4405" t="str">
        <f t="shared" si="682"/>
        <v>Low</v>
      </c>
      <c r="R4405" t="s">
        <v>3317</v>
      </c>
      <c r="S4405" s="4">
        <f t="shared" ca="1" si="683"/>
        <v>906</v>
      </c>
      <c r="T4405">
        <f t="shared" si="684"/>
        <v>1</v>
      </c>
      <c r="U4405">
        <f t="shared" si="685"/>
        <v>1</v>
      </c>
      <c r="V4405">
        <f t="shared" si="686"/>
        <v>1</v>
      </c>
      <c r="W4405">
        <f t="shared" si="687"/>
        <v>1</v>
      </c>
      <c r="X4405">
        <f t="shared" si="688"/>
        <v>0.99999999999999989</v>
      </c>
      <c r="Y4405" t="str">
        <f t="shared" si="689"/>
        <v>Healthy</v>
      </c>
    </row>
    <row r="4406" spans="1:25" x14ac:dyDescent="0.35">
      <c r="A4406" t="s">
        <v>41</v>
      </c>
      <c r="B4406" t="s">
        <v>42</v>
      </c>
      <c r="C4406" t="s">
        <v>43</v>
      </c>
      <c r="D4406" t="s">
        <v>2037</v>
      </c>
      <c r="E4406">
        <v>80879276</v>
      </c>
      <c r="F4406" t="s">
        <v>2775</v>
      </c>
      <c r="G4406" s="3">
        <v>47030</v>
      </c>
      <c r="H4406">
        <v>36</v>
      </c>
      <c r="I4406">
        <v>78</v>
      </c>
      <c r="J4406">
        <v>23</v>
      </c>
      <c r="K4406" s="4">
        <v>7125.63</v>
      </c>
      <c r="L4406" s="4">
        <v>31.142857142857142</v>
      </c>
      <c r="M4406" s="4">
        <v>0.73853211009174313</v>
      </c>
      <c r="N4406" t="s">
        <v>25</v>
      </c>
      <c r="O4406" t="str">
        <f t="shared" si="680"/>
        <v>Low</v>
      </c>
      <c r="P4406" t="str">
        <f t="shared" si="681"/>
        <v>Low</v>
      </c>
      <c r="Q4406" t="str">
        <f t="shared" si="682"/>
        <v>Low</v>
      </c>
      <c r="R4406" t="s">
        <v>3317</v>
      </c>
      <c r="S4406" s="4">
        <f t="shared" ca="1" si="683"/>
        <v>833</v>
      </c>
      <c r="T4406">
        <f t="shared" si="684"/>
        <v>1</v>
      </c>
      <c r="U4406">
        <f t="shared" si="685"/>
        <v>1</v>
      </c>
      <c r="V4406">
        <f t="shared" si="686"/>
        <v>1</v>
      </c>
      <c r="W4406">
        <f t="shared" si="687"/>
        <v>1</v>
      </c>
      <c r="X4406">
        <f t="shared" si="688"/>
        <v>0.99999999999999989</v>
      </c>
      <c r="Y4406" t="str">
        <f t="shared" si="689"/>
        <v>Healthy</v>
      </c>
    </row>
    <row r="4407" spans="1:25" x14ac:dyDescent="0.35">
      <c r="A4407" t="s">
        <v>179</v>
      </c>
      <c r="B4407" t="s">
        <v>180</v>
      </c>
      <c r="C4407" t="s">
        <v>181</v>
      </c>
      <c r="D4407" t="s">
        <v>2770</v>
      </c>
      <c r="E4407">
        <v>83923085</v>
      </c>
      <c r="F4407" t="s">
        <v>2771</v>
      </c>
      <c r="G4407" s="3">
        <v>46642</v>
      </c>
      <c r="H4407">
        <v>16</v>
      </c>
      <c r="I4407">
        <v>94</v>
      </c>
      <c r="J4407">
        <v>70</v>
      </c>
      <c r="K4407" s="4">
        <v>21466.2</v>
      </c>
      <c r="L4407" s="4">
        <v>5940</v>
      </c>
      <c r="M4407" s="4">
        <v>1.1784511784511785E-2</v>
      </c>
      <c r="N4407" t="s">
        <v>25</v>
      </c>
      <c r="O4407" t="str">
        <f t="shared" si="680"/>
        <v>Low</v>
      </c>
      <c r="P4407" t="str">
        <f t="shared" si="681"/>
        <v>Low</v>
      </c>
      <c r="Q4407" t="str">
        <f t="shared" si="682"/>
        <v>Low</v>
      </c>
      <c r="R4407" t="s">
        <v>3317</v>
      </c>
      <c r="S4407" s="4">
        <f t="shared" ca="1" si="683"/>
        <v>445</v>
      </c>
      <c r="T4407">
        <f t="shared" si="684"/>
        <v>1</v>
      </c>
      <c r="U4407">
        <f t="shared" si="685"/>
        <v>1</v>
      </c>
      <c r="V4407">
        <f t="shared" si="686"/>
        <v>1</v>
      </c>
      <c r="W4407">
        <f t="shared" si="687"/>
        <v>1</v>
      </c>
      <c r="X4407">
        <f t="shared" si="688"/>
        <v>0.99999999999999989</v>
      </c>
      <c r="Y4407" t="str">
        <f t="shared" si="689"/>
        <v>Healthy</v>
      </c>
    </row>
    <row r="4408" spans="1:25" x14ac:dyDescent="0.35">
      <c r="A4408" t="s">
        <v>179</v>
      </c>
      <c r="B4408" t="s">
        <v>223</v>
      </c>
      <c r="C4408" t="s">
        <v>357</v>
      </c>
      <c r="D4408" t="s">
        <v>1046</v>
      </c>
      <c r="E4408">
        <v>80877433</v>
      </c>
      <c r="F4408" t="s">
        <v>2776</v>
      </c>
      <c r="G4408" s="3">
        <v>46559</v>
      </c>
      <c r="H4408">
        <v>18</v>
      </c>
      <c r="I4408">
        <v>68</v>
      </c>
      <c r="J4408">
        <v>9</v>
      </c>
      <c r="K4408" s="4">
        <v>8391.69</v>
      </c>
      <c r="L4408" s="4">
        <v>169</v>
      </c>
      <c r="M4408" s="4">
        <v>5.3254437869822487E-2</v>
      </c>
      <c r="N4408" t="s">
        <v>25</v>
      </c>
      <c r="O4408" t="str">
        <f t="shared" si="680"/>
        <v>Low</v>
      </c>
      <c r="P4408" t="str">
        <f t="shared" si="681"/>
        <v>Low</v>
      </c>
      <c r="Q4408" t="str">
        <f t="shared" si="682"/>
        <v>Low</v>
      </c>
      <c r="R4408" t="s">
        <v>3317</v>
      </c>
      <c r="S4408" s="4">
        <f t="shared" ca="1" si="683"/>
        <v>362</v>
      </c>
      <c r="T4408">
        <f t="shared" si="684"/>
        <v>1</v>
      </c>
      <c r="U4408">
        <f t="shared" si="685"/>
        <v>1</v>
      </c>
      <c r="V4408">
        <f t="shared" si="686"/>
        <v>1</v>
      </c>
      <c r="W4408">
        <f t="shared" si="687"/>
        <v>1</v>
      </c>
      <c r="X4408">
        <f t="shared" si="688"/>
        <v>0.99999999999999989</v>
      </c>
      <c r="Y4408" t="str">
        <f t="shared" si="689"/>
        <v>Healthy</v>
      </c>
    </row>
    <row r="4409" spans="1:25" x14ac:dyDescent="0.35">
      <c r="A4409" t="s">
        <v>179</v>
      </c>
      <c r="B4409" t="s">
        <v>180</v>
      </c>
      <c r="C4409" t="s">
        <v>181</v>
      </c>
      <c r="D4409" t="s">
        <v>2777</v>
      </c>
      <c r="E4409">
        <v>83923086</v>
      </c>
      <c r="F4409" t="s">
        <v>2778</v>
      </c>
      <c r="G4409" s="3">
        <v>46649</v>
      </c>
      <c r="H4409">
        <v>16</v>
      </c>
      <c r="I4409">
        <v>95</v>
      </c>
      <c r="J4409">
        <v>26</v>
      </c>
      <c r="K4409" s="4">
        <v>9128.6</v>
      </c>
      <c r="L4409" s="4">
        <v>8941</v>
      </c>
      <c r="M4409" s="4">
        <v>2.9079521306341572E-3</v>
      </c>
      <c r="N4409" t="s">
        <v>25</v>
      </c>
      <c r="O4409" t="str">
        <f t="shared" si="680"/>
        <v>Low</v>
      </c>
      <c r="P4409" t="str">
        <f t="shared" si="681"/>
        <v>Low</v>
      </c>
      <c r="Q4409" t="str">
        <f t="shared" si="682"/>
        <v>Low</v>
      </c>
      <c r="R4409" t="s">
        <v>3317</v>
      </c>
      <c r="S4409" s="4">
        <f t="shared" ca="1" si="683"/>
        <v>452</v>
      </c>
      <c r="T4409">
        <f t="shared" si="684"/>
        <v>1</v>
      </c>
      <c r="U4409">
        <f t="shared" si="685"/>
        <v>1</v>
      </c>
      <c r="V4409">
        <f t="shared" si="686"/>
        <v>1</v>
      </c>
      <c r="W4409">
        <f t="shared" si="687"/>
        <v>1</v>
      </c>
      <c r="X4409">
        <f t="shared" si="688"/>
        <v>0.99999999999999989</v>
      </c>
      <c r="Y4409" t="str">
        <f t="shared" si="689"/>
        <v>Healthy</v>
      </c>
    </row>
    <row r="4410" spans="1:25" x14ac:dyDescent="0.35">
      <c r="A4410" t="s">
        <v>179</v>
      </c>
      <c r="B4410" t="s">
        <v>223</v>
      </c>
      <c r="C4410" t="s">
        <v>357</v>
      </c>
      <c r="D4410" t="s">
        <v>1046</v>
      </c>
      <c r="E4410">
        <v>80877433</v>
      </c>
      <c r="F4410" t="s">
        <v>2776</v>
      </c>
      <c r="G4410" s="3">
        <v>46669</v>
      </c>
      <c r="H4410">
        <v>18</v>
      </c>
      <c r="I4410">
        <v>88</v>
      </c>
      <c r="J4410">
        <v>9</v>
      </c>
      <c r="K4410" s="4">
        <v>8391.69</v>
      </c>
      <c r="L4410" s="4">
        <v>169</v>
      </c>
      <c r="M4410" s="4">
        <v>5.3254437869822487E-2</v>
      </c>
      <c r="N4410" t="s">
        <v>25</v>
      </c>
      <c r="O4410" t="str">
        <f t="shared" si="680"/>
        <v>Low</v>
      </c>
      <c r="P4410" t="str">
        <f t="shared" si="681"/>
        <v>Low</v>
      </c>
      <c r="Q4410" t="str">
        <f t="shared" si="682"/>
        <v>Low</v>
      </c>
      <c r="R4410" t="s">
        <v>3317</v>
      </c>
      <c r="S4410" s="4">
        <f t="shared" ca="1" si="683"/>
        <v>472</v>
      </c>
      <c r="T4410">
        <f t="shared" si="684"/>
        <v>1</v>
      </c>
      <c r="U4410">
        <f t="shared" si="685"/>
        <v>1</v>
      </c>
      <c r="V4410">
        <f t="shared" si="686"/>
        <v>1</v>
      </c>
      <c r="W4410">
        <f t="shared" si="687"/>
        <v>1</v>
      </c>
      <c r="X4410">
        <f t="shared" si="688"/>
        <v>0.99999999999999989</v>
      </c>
      <c r="Y4410" t="str">
        <f t="shared" si="689"/>
        <v>Healthy</v>
      </c>
    </row>
    <row r="4411" spans="1:25" x14ac:dyDescent="0.35">
      <c r="A4411" t="s">
        <v>179</v>
      </c>
      <c r="B4411" t="s">
        <v>180</v>
      </c>
      <c r="C4411" t="s">
        <v>181</v>
      </c>
      <c r="D4411" t="s">
        <v>2777</v>
      </c>
      <c r="E4411">
        <v>83923086</v>
      </c>
      <c r="F4411" t="s">
        <v>2778</v>
      </c>
      <c r="G4411" s="3">
        <v>46669</v>
      </c>
      <c r="H4411">
        <v>16</v>
      </c>
      <c r="I4411">
        <v>99</v>
      </c>
      <c r="J4411">
        <v>1290</v>
      </c>
      <c r="K4411" s="4">
        <v>452919</v>
      </c>
      <c r="L4411" s="4">
        <v>8941</v>
      </c>
      <c r="M4411" s="4">
        <v>0.14427916340454089</v>
      </c>
      <c r="N4411" t="s">
        <v>25</v>
      </c>
      <c r="O4411" t="str">
        <f t="shared" si="680"/>
        <v>Low</v>
      </c>
      <c r="P4411" t="str">
        <f t="shared" si="681"/>
        <v>Low</v>
      </c>
      <c r="Q4411" t="str">
        <f t="shared" si="682"/>
        <v>Low</v>
      </c>
      <c r="R4411" t="s">
        <v>3309</v>
      </c>
      <c r="S4411" s="4">
        <f t="shared" ca="1" si="683"/>
        <v>472</v>
      </c>
      <c r="T4411">
        <f t="shared" si="684"/>
        <v>1</v>
      </c>
      <c r="U4411">
        <f t="shared" si="685"/>
        <v>1</v>
      </c>
      <c r="V4411">
        <f t="shared" si="686"/>
        <v>1</v>
      </c>
      <c r="W4411">
        <f t="shared" si="687"/>
        <v>3</v>
      </c>
      <c r="X4411">
        <f t="shared" si="688"/>
        <v>1.2</v>
      </c>
      <c r="Y4411" t="str">
        <f t="shared" si="689"/>
        <v>Healthy</v>
      </c>
    </row>
    <row r="4412" spans="1:25" x14ac:dyDescent="0.35">
      <c r="A4412" t="s">
        <v>179</v>
      </c>
      <c r="B4412" t="s">
        <v>223</v>
      </c>
      <c r="C4412" t="s">
        <v>357</v>
      </c>
      <c r="D4412" t="s">
        <v>1046</v>
      </c>
      <c r="E4412">
        <v>80877433</v>
      </c>
      <c r="F4412" t="s">
        <v>2776</v>
      </c>
      <c r="G4412" s="3">
        <v>46691</v>
      </c>
      <c r="H4412">
        <v>18</v>
      </c>
      <c r="I4412">
        <v>92</v>
      </c>
      <c r="J4412">
        <v>2</v>
      </c>
      <c r="K4412" s="4">
        <v>1864.82</v>
      </c>
      <c r="L4412" s="4">
        <v>169</v>
      </c>
      <c r="M4412" s="4">
        <v>1.1834319526627219E-2</v>
      </c>
      <c r="N4412" t="s">
        <v>25</v>
      </c>
      <c r="O4412" t="str">
        <f t="shared" si="680"/>
        <v>Low</v>
      </c>
      <c r="P4412" t="str">
        <f t="shared" si="681"/>
        <v>Low</v>
      </c>
      <c r="Q4412" t="str">
        <f t="shared" si="682"/>
        <v>Low</v>
      </c>
      <c r="R4412" t="s">
        <v>3317</v>
      </c>
      <c r="S4412" s="4">
        <f t="shared" ca="1" si="683"/>
        <v>494</v>
      </c>
      <c r="T4412">
        <f t="shared" si="684"/>
        <v>1</v>
      </c>
      <c r="U4412">
        <f t="shared" si="685"/>
        <v>1</v>
      </c>
      <c r="V4412">
        <f t="shared" si="686"/>
        <v>1</v>
      </c>
      <c r="W4412">
        <f t="shared" si="687"/>
        <v>1</v>
      </c>
      <c r="X4412">
        <f t="shared" si="688"/>
        <v>0.99999999999999989</v>
      </c>
      <c r="Y4412" t="str">
        <f t="shared" si="689"/>
        <v>Healthy</v>
      </c>
    </row>
    <row r="4413" spans="1:25" x14ac:dyDescent="0.35">
      <c r="A4413" t="s">
        <v>179</v>
      </c>
      <c r="B4413" t="s">
        <v>180</v>
      </c>
      <c r="C4413" t="s">
        <v>181</v>
      </c>
      <c r="D4413" t="s">
        <v>2777</v>
      </c>
      <c r="E4413">
        <v>83923086</v>
      </c>
      <c r="F4413" t="s">
        <v>2778</v>
      </c>
      <c r="G4413" s="3">
        <v>46649</v>
      </c>
      <c r="H4413">
        <v>16</v>
      </c>
      <c r="I4413">
        <v>95</v>
      </c>
      <c r="J4413">
        <v>13</v>
      </c>
      <c r="K4413" s="4">
        <v>4564.3</v>
      </c>
      <c r="L4413" s="4">
        <v>8941</v>
      </c>
      <c r="M4413" s="4">
        <v>1.4539760653170786E-3</v>
      </c>
      <c r="N4413" t="s">
        <v>25</v>
      </c>
      <c r="O4413" t="str">
        <f t="shared" si="680"/>
        <v>Low</v>
      </c>
      <c r="P4413" t="str">
        <f t="shared" si="681"/>
        <v>Low</v>
      </c>
      <c r="Q4413" t="str">
        <f t="shared" si="682"/>
        <v>Low</v>
      </c>
      <c r="R4413" t="s">
        <v>3317</v>
      </c>
      <c r="S4413" s="4">
        <f t="shared" ca="1" si="683"/>
        <v>452</v>
      </c>
      <c r="T4413">
        <f t="shared" si="684"/>
        <v>1</v>
      </c>
      <c r="U4413">
        <f t="shared" si="685"/>
        <v>1</v>
      </c>
      <c r="V4413">
        <f t="shared" si="686"/>
        <v>1</v>
      </c>
      <c r="W4413">
        <f t="shared" si="687"/>
        <v>1</v>
      </c>
      <c r="X4413">
        <f t="shared" si="688"/>
        <v>0.99999999999999989</v>
      </c>
      <c r="Y4413" t="str">
        <f t="shared" si="689"/>
        <v>Healthy</v>
      </c>
    </row>
    <row r="4414" spans="1:25" x14ac:dyDescent="0.35">
      <c r="A4414" t="s">
        <v>179</v>
      </c>
      <c r="B4414" t="s">
        <v>223</v>
      </c>
      <c r="C4414" t="s">
        <v>357</v>
      </c>
      <c r="D4414" t="s">
        <v>1046</v>
      </c>
      <c r="E4414">
        <v>80877433</v>
      </c>
      <c r="F4414" t="s">
        <v>2776</v>
      </c>
      <c r="G4414" s="3">
        <v>46712</v>
      </c>
      <c r="H4414">
        <v>18</v>
      </c>
      <c r="I4414">
        <v>96</v>
      </c>
      <c r="J4414">
        <v>9</v>
      </c>
      <c r="K4414" s="4">
        <v>8391.69</v>
      </c>
      <c r="L4414" s="4">
        <v>169</v>
      </c>
      <c r="M4414" s="4">
        <v>5.3254437869822487E-2</v>
      </c>
      <c r="N4414" t="s">
        <v>25</v>
      </c>
      <c r="O4414" t="str">
        <f t="shared" si="680"/>
        <v>Low</v>
      </c>
      <c r="P4414" t="str">
        <f t="shared" si="681"/>
        <v>Low</v>
      </c>
      <c r="Q4414" t="str">
        <f t="shared" si="682"/>
        <v>Low</v>
      </c>
      <c r="R4414" t="s">
        <v>3317</v>
      </c>
      <c r="S4414" s="4">
        <f t="shared" ca="1" si="683"/>
        <v>515</v>
      </c>
      <c r="T4414">
        <f t="shared" si="684"/>
        <v>1</v>
      </c>
      <c r="U4414">
        <f t="shared" si="685"/>
        <v>1</v>
      </c>
      <c r="V4414">
        <f t="shared" si="686"/>
        <v>1</v>
      </c>
      <c r="W4414">
        <f t="shared" si="687"/>
        <v>1</v>
      </c>
      <c r="X4414">
        <f t="shared" si="688"/>
        <v>0.99999999999999989</v>
      </c>
      <c r="Y4414" t="str">
        <f t="shared" si="689"/>
        <v>Healthy</v>
      </c>
    </row>
    <row r="4415" spans="1:25" x14ac:dyDescent="0.35">
      <c r="A4415" t="s">
        <v>179</v>
      </c>
      <c r="B4415" t="s">
        <v>180</v>
      </c>
      <c r="C4415" t="s">
        <v>181</v>
      </c>
      <c r="D4415" t="s">
        <v>2777</v>
      </c>
      <c r="E4415">
        <v>83923086</v>
      </c>
      <c r="F4415" t="s">
        <v>2778</v>
      </c>
      <c r="G4415" s="3">
        <v>46641</v>
      </c>
      <c r="H4415">
        <v>16</v>
      </c>
      <c r="I4415">
        <v>94</v>
      </c>
      <c r="J4415">
        <v>200</v>
      </c>
      <c r="K4415" s="4">
        <v>70220</v>
      </c>
      <c r="L4415" s="4">
        <v>8941</v>
      </c>
      <c r="M4415" s="4">
        <v>2.2368862543339672E-2</v>
      </c>
      <c r="N4415" t="s">
        <v>25</v>
      </c>
      <c r="O4415" t="str">
        <f t="shared" si="680"/>
        <v>Low</v>
      </c>
      <c r="P4415" t="str">
        <f t="shared" si="681"/>
        <v>Low</v>
      </c>
      <c r="Q4415" t="str">
        <f t="shared" si="682"/>
        <v>Low</v>
      </c>
      <c r="R4415" t="s">
        <v>3310</v>
      </c>
      <c r="S4415" s="4">
        <f t="shared" ca="1" si="683"/>
        <v>444</v>
      </c>
      <c r="T4415">
        <f t="shared" si="684"/>
        <v>1</v>
      </c>
      <c r="U4415">
        <f t="shared" si="685"/>
        <v>1</v>
      </c>
      <c r="V4415">
        <f t="shared" si="686"/>
        <v>1</v>
      </c>
      <c r="W4415">
        <f t="shared" si="687"/>
        <v>2</v>
      </c>
      <c r="X4415">
        <f t="shared" si="688"/>
        <v>1.0999999999999999</v>
      </c>
      <c r="Y4415" t="str">
        <f t="shared" si="689"/>
        <v>Healthy</v>
      </c>
    </row>
    <row r="4416" spans="1:25" x14ac:dyDescent="0.35">
      <c r="A4416" t="s">
        <v>179</v>
      </c>
      <c r="B4416" t="s">
        <v>223</v>
      </c>
      <c r="C4416" t="s">
        <v>357</v>
      </c>
      <c r="D4416" t="s">
        <v>1046</v>
      </c>
      <c r="E4416">
        <v>80877433</v>
      </c>
      <c r="F4416" t="s">
        <v>2776</v>
      </c>
      <c r="G4416" s="3">
        <v>46522</v>
      </c>
      <c r="H4416">
        <v>18</v>
      </c>
      <c r="I4416">
        <v>61</v>
      </c>
      <c r="J4416">
        <v>3</v>
      </c>
      <c r="K4416" s="4">
        <v>2797.23</v>
      </c>
      <c r="L4416" s="4">
        <v>169</v>
      </c>
      <c r="M4416" s="4">
        <v>1.7751479289940829E-2</v>
      </c>
      <c r="N4416" t="s">
        <v>25</v>
      </c>
      <c r="O4416" t="str">
        <f t="shared" si="680"/>
        <v>Low</v>
      </c>
      <c r="P4416" t="str">
        <f t="shared" si="681"/>
        <v>Low</v>
      </c>
      <c r="Q4416" t="str">
        <f t="shared" si="682"/>
        <v>Low</v>
      </c>
      <c r="R4416" t="s">
        <v>3317</v>
      </c>
      <c r="S4416" s="4">
        <f t="shared" ca="1" si="683"/>
        <v>325</v>
      </c>
      <c r="T4416">
        <f t="shared" si="684"/>
        <v>1</v>
      </c>
      <c r="U4416">
        <f t="shared" si="685"/>
        <v>1</v>
      </c>
      <c r="V4416">
        <f t="shared" si="686"/>
        <v>1</v>
      </c>
      <c r="W4416">
        <f t="shared" si="687"/>
        <v>1</v>
      </c>
      <c r="X4416">
        <f t="shared" si="688"/>
        <v>0.99999999999999989</v>
      </c>
      <c r="Y4416" t="str">
        <f t="shared" si="689"/>
        <v>Healthy</v>
      </c>
    </row>
    <row r="4417" spans="1:25" x14ac:dyDescent="0.35">
      <c r="A4417" t="s">
        <v>179</v>
      </c>
      <c r="B4417" t="s">
        <v>223</v>
      </c>
      <c r="C4417" t="s">
        <v>357</v>
      </c>
      <c r="D4417" t="s">
        <v>1046</v>
      </c>
      <c r="E4417">
        <v>80877433</v>
      </c>
      <c r="F4417" t="s">
        <v>2776</v>
      </c>
      <c r="G4417" s="3">
        <v>46668</v>
      </c>
      <c r="H4417">
        <v>18</v>
      </c>
      <c r="I4417">
        <v>88</v>
      </c>
      <c r="J4417">
        <v>15</v>
      </c>
      <c r="K4417" s="4">
        <v>13986.15</v>
      </c>
      <c r="L4417" s="4">
        <v>169</v>
      </c>
      <c r="M4417" s="4">
        <v>8.8757396449704137E-2</v>
      </c>
      <c r="N4417" t="s">
        <v>25</v>
      </c>
      <c r="O4417" t="str">
        <f t="shared" si="680"/>
        <v>Low</v>
      </c>
      <c r="P4417" t="str">
        <f t="shared" si="681"/>
        <v>Low</v>
      </c>
      <c r="Q4417" t="str">
        <f t="shared" si="682"/>
        <v>Low</v>
      </c>
      <c r="R4417" t="s">
        <v>3317</v>
      </c>
      <c r="S4417" s="4">
        <f t="shared" ca="1" si="683"/>
        <v>471</v>
      </c>
      <c r="T4417">
        <f t="shared" si="684"/>
        <v>1</v>
      </c>
      <c r="U4417">
        <f t="shared" si="685"/>
        <v>1</v>
      </c>
      <c r="V4417">
        <f t="shared" si="686"/>
        <v>1</v>
      </c>
      <c r="W4417">
        <f t="shared" si="687"/>
        <v>1</v>
      </c>
      <c r="X4417">
        <f t="shared" si="688"/>
        <v>0.99999999999999989</v>
      </c>
      <c r="Y4417" t="str">
        <f t="shared" si="689"/>
        <v>Healthy</v>
      </c>
    </row>
    <row r="4418" spans="1:25" x14ac:dyDescent="0.35">
      <c r="A4418" t="s">
        <v>179</v>
      </c>
      <c r="B4418" t="s">
        <v>180</v>
      </c>
      <c r="C4418" t="s">
        <v>181</v>
      </c>
      <c r="D4418" t="s">
        <v>2777</v>
      </c>
      <c r="E4418">
        <v>83923086</v>
      </c>
      <c r="F4418" t="s">
        <v>2778</v>
      </c>
      <c r="G4418" s="3">
        <v>46644</v>
      </c>
      <c r="H4418">
        <v>16</v>
      </c>
      <c r="I4418">
        <v>94</v>
      </c>
      <c r="J4418">
        <v>582</v>
      </c>
      <c r="K4418" s="4">
        <v>204340.2</v>
      </c>
      <c r="L4418" s="4">
        <v>8941</v>
      </c>
      <c r="M4418" s="4">
        <v>6.509339000111844E-2</v>
      </c>
      <c r="N4418" t="s">
        <v>25</v>
      </c>
      <c r="O4418" t="str">
        <f t="shared" si="680"/>
        <v>Low</v>
      </c>
      <c r="P4418" t="str">
        <f t="shared" si="681"/>
        <v>Low</v>
      </c>
      <c r="Q4418" t="str">
        <f t="shared" si="682"/>
        <v>Low</v>
      </c>
      <c r="R4418" t="s">
        <v>3309</v>
      </c>
      <c r="S4418" s="4">
        <f t="shared" ca="1" si="683"/>
        <v>447</v>
      </c>
      <c r="T4418">
        <f t="shared" si="684"/>
        <v>1</v>
      </c>
      <c r="U4418">
        <f t="shared" si="685"/>
        <v>1</v>
      </c>
      <c r="V4418">
        <f t="shared" si="686"/>
        <v>1</v>
      </c>
      <c r="W4418">
        <f t="shared" si="687"/>
        <v>3</v>
      </c>
      <c r="X4418">
        <f t="shared" si="688"/>
        <v>1.2</v>
      </c>
      <c r="Y4418" t="str">
        <f t="shared" si="689"/>
        <v>Healthy</v>
      </c>
    </row>
    <row r="4419" spans="1:25" x14ac:dyDescent="0.35">
      <c r="A4419" t="s">
        <v>179</v>
      </c>
      <c r="B4419" t="s">
        <v>223</v>
      </c>
      <c r="C4419" t="s">
        <v>357</v>
      </c>
      <c r="D4419" t="s">
        <v>1046</v>
      </c>
      <c r="E4419">
        <v>80877433</v>
      </c>
      <c r="F4419" t="s">
        <v>2776</v>
      </c>
      <c r="G4419" s="3">
        <v>46704</v>
      </c>
      <c r="H4419">
        <v>18</v>
      </c>
      <c r="I4419">
        <v>95</v>
      </c>
      <c r="J4419">
        <v>10</v>
      </c>
      <c r="K4419" s="4">
        <v>9324.1</v>
      </c>
      <c r="L4419" s="4">
        <v>169</v>
      </c>
      <c r="M4419" s="4">
        <v>5.9171597633136092E-2</v>
      </c>
      <c r="N4419" t="s">
        <v>25</v>
      </c>
      <c r="O4419" t="str">
        <f t="shared" ref="O4419:O4482" si="690">IF(I4419&lt;20,"High",IF(I4419&lt;40,"Medium","Low"))</f>
        <v>Low</v>
      </c>
      <c r="P4419" t="str">
        <f t="shared" ref="P4419:P4482" si="691">IF(M4419&gt;8,"High",IF(M4419&gt;4,"Medium","Low"))</f>
        <v>Low</v>
      </c>
      <c r="Q4419" t="str">
        <f t="shared" ref="Q4419:Q4482" si="692">IF(L4419&lt;5,"High",IF(L4419&lt;15,"Medium","Low"))</f>
        <v>Low</v>
      </c>
      <c r="R4419" t="s">
        <v>3317</v>
      </c>
      <c r="S4419" s="4">
        <f t="shared" ref="S4419:S4482" ca="1" si="693">G4419-TODAY()</f>
        <v>507</v>
      </c>
      <c r="T4419">
        <f t="shared" ref="T4419:T4482" si="694">IF(O4419="High",3,IF(O4419="Medium",2,1))</f>
        <v>1</v>
      </c>
      <c r="U4419">
        <f t="shared" ref="U4419:U4482" si="695">IF(P4419="High",3,IF(P4419="Medium",2,1))</f>
        <v>1</v>
      </c>
      <c r="V4419">
        <f t="shared" ref="V4419:V4482" si="696">IF(Q4419="High",3,IF(Q4419="Medium",2,1))</f>
        <v>1</v>
      </c>
      <c r="W4419">
        <f t="shared" ref="W4419:W4482" si="697">IF(R4419="High",3,IF(R4419="Medium",2,1))</f>
        <v>1</v>
      </c>
      <c r="X4419">
        <f t="shared" ref="X4419:X4482" si="698">(0.4*T4419)+(0.3*U4419)+(0.2*V4419)+(0.1*W4419)</f>
        <v>0.99999999999999989</v>
      </c>
      <c r="Y4419" t="str">
        <f t="shared" ref="Y4419:Y4482" si="699">IF(X4419&gt;=2.7,"Move Immediately",IF(X4419&gt;=2.2,"High Priority",IF(X4419&gt;=1.7,"Monitor","Healthy")))</f>
        <v>Healthy</v>
      </c>
    </row>
    <row r="4420" spans="1:25" x14ac:dyDescent="0.35">
      <c r="A4420" t="s">
        <v>179</v>
      </c>
      <c r="B4420" t="s">
        <v>223</v>
      </c>
      <c r="C4420" t="s">
        <v>357</v>
      </c>
      <c r="D4420" t="s">
        <v>1046</v>
      </c>
      <c r="E4420">
        <v>80877433</v>
      </c>
      <c r="F4420" t="s">
        <v>2776</v>
      </c>
      <c r="G4420" s="3">
        <v>46712</v>
      </c>
      <c r="H4420">
        <v>18</v>
      </c>
      <c r="I4420">
        <v>96</v>
      </c>
      <c r="J4420">
        <v>3</v>
      </c>
      <c r="K4420" s="4">
        <v>2797.23</v>
      </c>
      <c r="L4420" s="4">
        <v>169</v>
      </c>
      <c r="M4420" s="4">
        <v>1.7751479289940829E-2</v>
      </c>
      <c r="N4420" t="s">
        <v>25</v>
      </c>
      <c r="O4420" t="str">
        <f t="shared" si="690"/>
        <v>Low</v>
      </c>
      <c r="P4420" t="str">
        <f t="shared" si="691"/>
        <v>Low</v>
      </c>
      <c r="Q4420" t="str">
        <f t="shared" si="692"/>
        <v>Low</v>
      </c>
      <c r="R4420" t="s">
        <v>3317</v>
      </c>
      <c r="S4420" s="4">
        <f t="shared" ca="1" si="693"/>
        <v>515</v>
      </c>
      <c r="T4420">
        <f t="shared" si="694"/>
        <v>1</v>
      </c>
      <c r="U4420">
        <f t="shared" si="695"/>
        <v>1</v>
      </c>
      <c r="V4420">
        <f t="shared" si="696"/>
        <v>1</v>
      </c>
      <c r="W4420">
        <f t="shared" si="697"/>
        <v>1</v>
      </c>
      <c r="X4420">
        <f t="shared" si="698"/>
        <v>0.99999999999999989</v>
      </c>
      <c r="Y4420" t="str">
        <f t="shared" si="699"/>
        <v>Healthy</v>
      </c>
    </row>
    <row r="4421" spans="1:25" x14ac:dyDescent="0.35">
      <c r="A4421" t="s">
        <v>71</v>
      </c>
      <c r="B4421" t="s">
        <v>72</v>
      </c>
      <c r="C4421" t="s">
        <v>174</v>
      </c>
      <c r="D4421" t="s">
        <v>2779</v>
      </c>
      <c r="E4421">
        <v>80887678</v>
      </c>
      <c r="F4421" t="s">
        <v>2780</v>
      </c>
      <c r="G4421" s="3">
        <v>47192</v>
      </c>
      <c r="H4421">
        <v>36</v>
      </c>
      <c r="I4421">
        <v>93</v>
      </c>
      <c r="J4421">
        <v>96</v>
      </c>
      <c r="K4421" s="4">
        <v>107439.36</v>
      </c>
      <c r="L4421" s="4">
        <v>320.71428571428572</v>
      </c>
      <c r="M4421" s="4">
        <v>0.29933184855233852</v>
      </c>
      <c r="N4421" t="s">
        <v>25</v>
      </c>
      <c r="O4421" t="str">
        <f t="shared" si="690"/>
        <v>Low</v>
      </c>
      <c r="P4421" t="str">
        <f t="shared" si="691"/>
        <v>Low</v>
      </c>
      <c r="Q4421" t="str">
        <f t="shared" si="692"/>
        <v>Low</v>
      </c>
      <c r="R4421" t="s">
        <v>3310</v>
      </c>
      <c r="S4421" s="4">
        <f t="shared" ca="1" si="693"/>
        <v>995</v>
      </c>
      <c r="T4421">
        <f t="shared" si="694"/>
        <v>1</v>
      </c>
      <c r="U4421">
        <f t="shared" si="695"/>
        <v>1</v>
      </c>
      <c r="V4421">
        <f t="shared" si="696"/>
        <v>1</v>
      </c>
      <c r="W4421">
        <f t="shared" si="697"/>
        <v>2</v>
      </c>
      <c r="X4421">
        <f t="shared" si="698"/>
        <v>1.0999999999999999</v>
      </c>
      <c r="Y4421" t="str">
        <f t="shared" si="699"/>
        <v>Healthy</v>
      </c>
    </row>
    <row r="4422" spans="1:25" x14ac:dyDescent="0.35">
      <c r="A4422" t="s">
        <v>179</v>
      </c>
      <c r="B4422" t="s">
        <v>180</v>
      </c>
      <c r="C4422" t="s">
        <v>181</v>
      </c>
      <c r="D4422" t="s">
        <v>2777</v>
      </c>
      <c r="E4422">
        <v>83923086</v>
      </c>
      <c r="F4422" t="s">
        <v>2778</v>
      </c>
      <c r="G4422" s="3">
        <v>46668</v>
      </c>
      <c r="H4422">
        <v>16</v>
      </c>
      <c r="I4422">
        <v>99</v>
      </c>
      <c r="J4422">
        <v>2934</v>
      </c>
      <c r="K4422" s="4">
        <v>1030127.4</v>
      </c>
      <c r="L4422" s="4">
        <v>8941</v>
      </c>
      <c r="M4422" s="4">
        <v>0.32815121351079296</v>
      </c>
      <c r="N4422" t="s">
        <v>25</v>
      </c>
      <c r="O4422" t="str">
        <f t="shared" si="690"/>
        <v>Low</v>
      </c>
      <c r="P4422" t="str">
        <f t="shared" si="691"/>
        <v>Low</v>
      </c>
      <c r="Q4422" t="str">
        <f t="shared" si="692"/>
        <v>Low</v>
      </c>
      <c r="R4422" t="s">
        <v>3309</v>
      </c>
      <c r="S4422" s="4">
        <f t="shared" ca="1" si="693"/>
        <v>471</v>
      </c>
      <c r="T4422">
        <f t="shared" si="694"/>
        <v>1</v>
      </c>
      <c r="U4422">
        <f t="shared" si="695"/>
        <v>1</v>
      </c>
      <c r="V4422">
        <f t="shared" si="696"/>
        <v>1</v>
      </c>
      <c r="W4422">
        <f t="shared" si="697"/>
        <v>3</v>
      </c>
      <c r="X4422">
        <f t="shared" si="698"/>
        <v>1.2</v>
      </c>
      <c r="Y4422" t="str">
        <f t="shared" si="699"/>
        <v>Healthy</v>
      </c>
    </row>
    <row r="4423" spans="1:25" x14ac:dyDescent="0.35">
      <c r="A4423" t="s">
        <v>71</v>
      </c>
      <c r="B4423" t="s">
        <v>72</v>
      </c>
      <c r="C4423" t="s">
        <v>174</v>
      </c>
      <c r="D4423" t="s">
        <v>2779</v>
      </c>
      <c r="E4423">
        <v>80887678</v>
      </c>
      <c r="F4423" t="s">
        <v>2780</v>
      </c>
      <c r="G4423" s="3">
        <v>47206</v>
      </c>
      <c r="H4423">
        <v>36</v>
      </c>
      <c r="I4423">
        <v>94</v>
      </c>
      <c r="J4423">
        <v>15</v>
      </c>
      <c r="K4423" s="4">
        <v>16787.400000000001</v>
      </c>
      <c r="L4423" s="4">
        <v>320.71428571428572</v>
      </c>
      <c r="M4423" s="4">
        <v>4.6770601336302897E-2</v>
      </c>
      <c r="N4423" t="s">
        <v>25</v>
      </c>
      <c r="O4423" t="str">
        <f t="shared" si="690"/>
        <v>Low</v>
      </c>
      <c r="P4423" t="str">
        <f t="shared" si="691"/>
        <v>Low</v>
      </c>
      <c r="Q4423" t="str">
        <f t="shared" si="692"/>
        <v>Low</v>
      </c>
      <c r="R4423" t="s">
        <v>3317</v>
      </c>
      <c r="S4423" s="4">
        <f t="shared" ca="1" si="693"/>
        <v>1009</v>
      </c>
      <c r="T4423">
        <f t="shared" si="694"/>
        <v>1</v>
      </c>
      <c r="U4423">
        <f t="shared" si="695"/>
        <v>1</v>
      </c>
      <c r="V4423">
        <f t="shared" si="696"/>
        <v>1</v>
      </c>
      <c r="W4423">
        <f t="shared" si="697"/>
        <v>1</v>
      </c>
      <c r="X4423">
        <f t="shared" si="698"/>
        <v>0.99999999999999989</v>
      </c>
      <c r="Y4423" t="str">
        <f t="shared" si="699"/>
        <v>Healthy</v>
      </c>
    </row>
    <row r="4424" spans="1:25" x14ac:dyDescent="0.35">
      <c r="A4424" t="s">
        <v>179</v>
      </c>
      <c r="B4424" t="s">
        <v>180</v>
      </c>
      <c r="C4424" t="s">
        <v>181</v>
      </c>
      <c r="D4424" t="s">
        <v>2777</v>
      </c>
      <c r="E4424">
        <v>83923086</v>
      </c>
      <c r="F4424" t="s">
        <v>2778</v>
      </c>
      <c r="G4424" s="3">
        <v>46667</v>
      </c>
      <c r="H4424">
        <v>16</v>
      </c>
      <c r="I4424">
        <v>99</v>
      </c>
      <c r="J4424">
        <v>1458</v>
      </c>
      <c r="K4424" s="4">
        <v>511903.8</v>
      </c>
      <c r="L4424" s="4">
        <v>8941</v>
      </c>
      <c r="M4424" s="4">
        <v>0.1630690079409462</v>
      </c>
      <c r="N4424" t="s">
        <v>25</v>
      </c>
      <c r="O4424" t="str">
        <f t="shared" si="690"/>
        <v>Low</v>
      </c>
      <c r="P4424" t="str">
        <f t="shared" si="691"/>
        <v>Low</v>
      </c>
      <c r="Q4424" t="str">
        <f t="shared" si="692"/>
        <v>Low</v>
      </c>
      <c r="R4424" t="s">
        <v>3309</v>
      </c>
      <c r="S4424" s="4">
        <f t="shared" ca="1" si="693"/>
        <v>470</v>
      </c>
      <c r="T4424">
        <f t="shared" si="694"/>
        <v>1</v>
      </c>
      <c r="U4424">
        <f t="shared" si="695"/>
        <v>1</v>
      </c>
      <c r="V4424">
        <f t="shared" si="696"/>
        <v>1</v>
      </c>
      <c r="W4424">
        <f t="shared" si="697"/>
        <v>3</v>
      </c>
      <c r="X4424">
        <f t="shared" si="698"/>
        <v>1.2</v>
      </c>
      <c r="Y4424" t="str">
        <f t="shared" si="699"/>
        <v>Healthy</v>
      </c>
    </row>
    <row r="4425" spans="1:25" x14ac:dyDescent="0.35">
      <c r="A4425" t="s">
        <v>71</v>
      </c>
      <c r="B4425" t="s">
        <v>72</v>
      </c>
      <c r="C4425" t="s">
        <v>174</v>
      </c>
      <c r="D4425" t="s">
        <v>2779</v>
      </c>
      <c r="E4425">
        <v>80887678</v>
      </c>
      <c r="F4425" t="s">
        <v>2780</v>
      </c>
      <c r="G4425" s="3">
        <v>47189</v>
      </c>
      <c r="H4425">
        <v>36</v>
      </c>
      <c r="I4425">
        <v>92</v>
      </c>
      <c r="J4425">
        <v>115</v>
      </c>
      <c r="K4425" s="4">
        <v>128703.4</v>
      </c>
      <c r="L4425" s="4">
        <v>320.71428571428572</v>
      </c>
      <c r="M4425" s="4">
        <v>0.35857461024498888</v>
      </c>
      <c r="N4425" t="s">
        <v>25</v>
      </c>
      <c r="O4425" t="str">
        <f t="shared" si="690"/>
        <v>Low</v>
      </c>
      <c r="P4425" t="str">
        <f t="shared" si="691"/>
        <v>Low</v>
      </c>
      <c r="Q4425" t="str">
        <f t="shared" si="692"/>
        <v>Low</v>
      </c>
      <c r="R4425" t="s">
        <v>3310</v>
      </c>
      <c r="S4425" s="4">
        <f t="shared" ca="1" si="693"/>
        <v>992</v>
      </c>
      <c r="T4425">
        <f t="shared" si="694"/>
        <v>1</v>
      </c>
      <c r="U4425">
        <f t="shared" si="695"/>
        <v>1</v>
      </c>
      <c r="V4425">
        <f t="shared" si="696"/>
        <v>1</v>
      </c>
      <c r="W4425">
        <f t="shared" si="697"/>
        <v>2</v>
      </c>
      <c r="X4425">
        <f t="shared" si="698"/>
        <v>1.0999999999999999</v>
      </c>
      <c r="Y4425" t="str">
        <f t="shared" si="699"/>
        <v>Healthy</v>
      </c>
    </row>
    <row r="4426" spans="1:25" x14ac:dyDescent="0.35">
      <c r="A4426" t="s">
        <v>179</v>
      </c>
      <c r="B4426" t="s">
        <v>180</v>
      </c>
      <c r="C4426" t="s">
        <v>181</v>
      </c>
      <c r="D4426" t="s">
        <v>2777</v>
      </c>
      <c r="E4426">
        <v>83923086</v>
      </c>
      <c r="F4426" t="s">
        <v>2778</v>
      </c>
      <c r="G4426" s="3">
        <v>46662</v>
      </c>
      <c r="H4426">
        <v>16</v>
      </c>
      <c r="I4426">
        <v>98</v>
      </c>
      <c r="J4426">
        <v>138</v>
      </c>
      <c r="K4426" s="4">
        <v>48451.8</v>
      </c>
      <c r="L4426" s="4">
        <v>8941</v>
      </c>
      <c r="M4426" s="4">
        <v>1.5434515154904373E-2</v>
      </c>
      <c r="N4426" t="s">
        <v>25</v>
      </c>
      <c r="O4426" t="str">
        <f t="shared" si="690"/>
        <v>Low</v>
      </c>
      <c r="P4426" t="str">
        <f t="shared" si="691"/>
        <v>Low</v>
      </c>
      <c r="Q4426" t="str">
        <f t="shared" si="692"/>
        <v>Low</v>
      </c>
      <c r="R4426" t="s">
        <v>3317</v>
      </c>
      <c r="S4426" s="4">
        <f t="shared" ca="1" si="693"/>
        <v>465</v>
      </c>
      <c r="T4426">
        <f t="shared" si="694"/>
        <v>1</v>
      </c>
      <c r="U4426">
        <f t="shared" si="695"/>
        <v>1</v>
      </c>
      <c r="V4426">
        <f t="shared" si="696"/>
        <v>1</v>
      </c>
      <c r="W4426">
        <f t="shared" si="697"/>
        <v>1</v>
      </c>
      <c r="X4426">
        <f t="shared" si="698"/>
        <v>0.99999999999999989</v>
      </c>
      <c r="Y4426" t="str">
        <f t="shared" si="699"/>
        <v>Healthy</v>
      </c>
    </row>
    <row r="4427" spans="1:25" x14ac:dyDescent="0.35">
      <c r="A4427" t="s">
        <v>179</v>
      </c>
      <c r="B4427" t="s">
        <v>180</v>
      </c>
      <c r="C4427" t="s">
        <v>181</v>
      </c>
      <c r="D4427" t="s">
        <v>2777</v>
      </c>
      <c r="E4427">
        <v>83923086</v>
      </c>
      <c r="F4427" t="s">
        <v>2778</v>
      </c>
      <c r="G4427" s="3">
        <v>46642</v>
      </c>
      <c r="H4427">
        <v>16</v>
      </c>
      <c r="I4427">
        <v>94</v>
      </c>
      <c r="J4427">
        <v>480</v>
      </c>
      <c r="K4427" s="4">
        <v>168528</v>
      </c>
      <c r="L4427" s="4">
        <v>8941</v>
      </c>
      <c r="M4427" s="4">
        <v>5.3685270104015213E-2</v>
      </c>
      <c r="N4427" t="s">
        <v>25</v>
      </c>
      <c r="O4427" t="str">
        <f t="shared" si="690"/>
        <v>Low</v>
      </c>
      <c r="P4427" t="str">
        <f t="shared" si="691"/>
        <v>Low</v>
      </c>
      <c r="Q4427" t="str">
        <f t="shared" si="692"/>
        <v>Low</v>
      </c>
      <c r="R4427" t="s">
        <v>3309</v>
      </c>
      <c r="S4427" s="4">
        <f t="shared" ca="1" si="693"/>
        <v>445</v>
      </c>
      <c r="T4427">
        <f t="shared" si="694"/>
        <v>1</v>
      </c>
      <c r="U4427">
        <f t="shared" si="695"/>
        <v>1</v>
      </c>
      <c r="V4427">
        <f t="shared" si="696"/>
        <v>1</v>
      </c>
      <c r="W4427">
        <f t="shared" si="697"/>
        <v>3</v>
      </c>
      <c r="X4427">
        <f t="shared" si="698"/>
        <v>1.2</v>
      </c>
      <c r="Y4427" t="str">
        <f t="shared" si="699"/>
        <v>Healthy</v>
      </c>
    </row>
    <row r="4428" spans="1:25" x14ac:dyDescent="0.35">
      <c r="A4428" t="s">
        <v>189</v>
      </c>
      <c r="B4428" t="s">
        <v>2781</v>
      </c>
      <c r="C4428" t="s">
        <v>2782</v>
      </c>
      <c r="D4428" t="s">
        <v>2783</v>
      </c>
      <c r="E4428">
        <v>80870946</v>
      </c>
      <c r="F4428" t="s">
        <v>2784</v>
      </c>
      <c r="G4428" s="3">
        <v>46557</v>
      </c>
      <c r="H4428">
        <v>17</v>
      </c>
      <c r="I4428">
        <v>72</v>
      </c>
      <c r="J4428">
        <v>5</v>
      </c>
      <c r="K4428" s="4">
        <v>899.95</v>
      </c>
      <c r="L4428" s="4">
        <v>2490</v>
      </c>
      <c r="M4428" s="4">
        <v>2.008032128514056E-3</v>
      </c>
      <c r="N4428" t="s">
        <v>25</v>
      </c>
      <c r="O4428" t="str">
        <f t="shared" si="690"/>
        <v>Low</v>
      </c>
      <c r="P4428" t="str">
        <f t="shared" si="691"/>
        <v>Low</v>
      </c>
      <c r="Q4428" t="str">
        <f t="shared" si="692"/>
        <v>Low</v>
      </c>
      <c r="R4428" t="s">
        <v>3317</v>
      </c>
      <c r="S4428" s="4">
        <f t="shared" ca="1" si="693"/>
        <v>360</v>
      </c>
      <c r="T4428">
        <f t="shared" si="694"/>
        <v>1</v>
      </c>
      <c r="U4428">
        <f t="shared" si="695"/>
        <v>1</v>
      </c>
      <c r="V4428">
        <f t="shared" si="696"/>
        <v>1</v>
      </c>
      <c r="W4428">
        <f t="shared" si="697"/>
        <v>1</v>
      </c>
      <c r="X4428">
        <f t="shared" si="698"/>
        <v>0.99999999999999989</v>
      </c>
      <c r="Y4428" t="str">
        <f t="shared" si="699"/>
        <v>Healthy</v>
      </c>
    </row>
    <row r="4429" spans="1:25" x14ac:dyDescent="0.35">
      <c r="A4429" t="s">
        <v>179</v>
      </c>
      <c r="B4429" t="s">
        <v>180</v>
      </c>
      <c r="C4429" t="s">
        <v>181</v>
      </c>
      <c r="D4429" t="s">
        <v>2777</v>
      </c>
      <c r="E4429">
        <v>83923086</v>
      </c>
      <c r="F4429" t="s">
        <v>2778</v>
      </c>
      <c r="G4429" s="3">
        <v>46650</v>
      </c>
      <c r="H4429">
        <v>16</v>
      </c>
      <c r="I4429">
        <v>95</v>
      </c>
      <c r="J4429">
        <v>300</v>
      </c>
      <c r="K4429" s="4">
        <v>105330</v>
      </c>
      <c r="L4429" s="4">
        <v>8941</v>
      </c>
      <c r="M4429" s="4">
        <v>3.3553293815009509E-2</v>
      </c>
      <c r="N4429" t="s">
        <v>25</v>
      </c>
      <c r="O4429" t="str">
        <f t="shared" si="690"/>
        <v>Low</v>
      </c>
      <c r="P4429" t="str">
        <f t="shared" si="691"/>
        <v>Low</v>
      </c>
      <c r="Q4429" t="str">
        <f t="shared" si="692"/>
        <v>Low</v>
      </c>
      <c r="R4429" t="s">
        <v>3310</v>
      </c>
      <c r="S4429" s="4">
        <f t="shared" ca="1" si="693"/>
        <v>453</v>
      </c>
      <c r="T4429">
        <f t="shared" si="694"/>
        <v>1</v>
      </c>
      <c r="U4429">
        <f t="shared" si="695"/>
        <v>1</v>
      </c>
      <c r="V4429">
        <f t="shared" si="696"/>
        <v>1</v>
      </c>
      <c r="W4429">
        <f t="shared" si="697"/>
        <v>2</v>
      </c>
      <c r="X4429">
        <f t="shared" si="698"/>
        <v>1.0999999999999999</v>
      </c>
      <c r="Y4429" t="str">
        <f t="shared" si="699"/>
        <v>Healthy</v>
      </c>
    </row>
    <row r="4430" spans="1:25" x14ac:dyDescent="0.35">
      <c r="A4430" t="s">
        <v>189</v>
      </c>
      <c r="B4430" t="s">
        <v>2781</v>
      </c>
      <c r="C4430" t="s">
        <v>2782</v>
      </c>
      <c r="D4430" t="s">
        <v>2783</v>
      </c>
      <c r="E4430">
        <v>80870946</v>
      </c>
      <c r="F4430" t="s">
        <v>2784</v>
      </c>
      <c r="G4430" s="3">
        <v>46555</v>
      </c>
      <c r="H4430">
        <v>17</v>
      </c>
      <c r="I4430">
        <v>71</v>
      </c>
      <c r="J4430">
        <v>21</v>
      </c>
      <c r="K4430" s="4">
        <v>3779.79</v>
      </c>
      <c r="L4430" s="4">
        <v>2490</v>
      </c>
      <c r="M4430" s="4">
        <v>8.4337349397590362E-3</v>
      </c>
      <c r="N4430" t="s">
        <v>25</v>
      </c>
      <c r="O4430" t="str">
        <f t="shared" si="690"/>
        <v>Low</v>
      </c>
      <c r="P4430" t="str">
        <f t="shared" si="691"/>
        <v>Low</v>
      </c>
      <c r="Q4430" t="str">
        <f t="shared" si="692"/>
        <v>Low</v>
      </c>
      <c r="R4430" t="s">
        <v>3317</v>
      </c>
      <c r="S4430" s="4">
        <f t="shared" ca="1" si="693"/>
        <v>358</v>
      </c>
      <c r="T4430">
        <f t="shared" si="694"/>
        <v>1</v>
      </c>
      <c r="U4430">
        <f t="shared" si="695"/>
        <v>1</v>
      </c>
      <c r="V4430">
        <f t="shared" si="696"/>
        <v>1</v>
      </c>
      <c r="W4430">
        <f t="shared" si="697"/>
        <v>1</v>
      </c>
      <c r="X4430">
        <f t="shared" si="698"/>
        <v>0.99999999999999989</v>
      </c>
      <c r="Y4430" t="str">
        <f t="shared" si="699"/>
        <v>Healthy</v>
      </c>
    </row>
    <row r="4431" spans="1:25" x14ac:dyDescent="0.35">
      <c r="A4431" t="s">
        <v>179</v>
      </c>
      <c r="B4431" t="s">
        <v>180</v>
      </c>
      <c r="C4431" t="s">
        <v>181</v>
      </c>
      <c r="D4431" t="s">
        <v>2777</v>
      </c>
      <c r="E4431">
        <v>83923086</v>
      </c>
      <c r="F4431" t="s">
        <v>2778</v>
      </c>
      <c r="G4431" s="3">
        <v>46647</v>
      </c>
      <c r="H4431">
        <v>16</v>
      </c>
      <c r="I4431">
        <v>95</v>
      </c>
      <c r="J4431">
        <v>342</v>
      </c>
      <c r="K4431" s="4">
        <v>120076.2</v>
      </c>
      <c r="L4431" s="4">
        <v>8941</v>
      </c>
      <c r="M4431" s="4">
        <v>3.8250754949110836E-2</v>
      </c>
      <c r="N4431" t="s">
        <v>25</v>
      </c>
      <c r="O4431" t="str">
        <f t="shared" si="690"/>
        <v>Low</v>
      </c>
      <c r="P4431" t="str">
        <f t="shared" si="691"/>
        <v>Low</v>
      </c>
      <c r="Q4431" t="str">
        <f t="shared" si="692"/>
        <v>Low</v>
      </c>
      <c r="R4431" t="s">
        <v>3310</v>
      </c>
      <c r="S4431" s="4">
        <f t="shared" ca="1" si="693"/>
        <v>450</v>
      </c>
      <c r="T4431">
        <f t="shared" si="694"/>
        <v>1</v>
      </c>
      <c r="U4431">
        <f t="shared" si="695"/>
        <v>1</v>
      </c>
      <c r="V4431">
        <f t="shared" si="696"/>
        <v>1</v>
      </c>
      <c r="W4431">
        <f t="shared" si="697"/>
        <v>2</v>
      </c>
      <c r="X4431">
        <f t="shared" si="698"/>
        <v>1.0999999999999999</v>
      </c>
      <c r="Y4431" t="str">
        <f t="shared" si="699"/>
        <v>Healthy</v>
      </c>
    </row>
    <row r="4432" spans="1:25" x14ac:dyDescent="0.35">
      <c r="A4432" t="s">
        <v>189</v>
      </c>
      <c r="B4432" t="s">
        <v>2781</v>
      </c>
      <c r="C4432" t="s">
        <v>2782</v>
      </c>
      <c r="D4432" t="s">
        <v>2783</v>
      </c>
      <c r="E4432">
        <v>80870946</v>
      </c>
      <c r="F4432" t="s">
        <v>2784</v>
      </c>
      <c r="G4432" s="3">
        <v>46558</v>
      </c>
      <c r="H4432">
        <v>17</v>
      </c>
      <c r="I4432">
        <v>72</v>
      </c>
      <c r="J4432">
        <v>51</v>
      </c>
      <c r="K4432" s="4">
        <v>9179.49</v>
      </c>
      <c r="L4432" s="4">
        <v>2490</v>
      </c>
      <c r="M4432" s="4">
        <v>2.0481927710843374E-2</v>
      </c>
      <c r="N4432" t="s">
        <v>25</v>
      </c>
      <c r="O4432" t="str">
        <f t="shared" si="690"/>
        <v>Low</v>
      </c>
      <c r="P4432" t="str">
        <f t="shared" si="691"/>
        <v>Low</v>
      </c>
      <c r="Q4432" t="str">
        <f t="shared" si="692"/>
        <v>Low</v>
      </c>
      <c r="R4432" t="s">
        <v>3317</v>
      </c>
      <c r="S4432" s="4">
        <f t="shared" ca="1" si="693"/>
        <v>361</v>
      </c>
      <c r="T4432">
        <f t="shared" si="694"/>
        <v>1</v>
      </c>
      <c r="U4432">
        <f t="shared" si="695"/>
        <v>1</v>
      </c>
      <c r="V4432">
        <f t="shared" si="696"/>
        <v>1</v>
      </c>
      <c r="W4432">
        <f t="shared" si="697"/>
        <v>1</v>
      </c>
      <c r="X4432">
        <f t="shared" si="698"/>
        <v>0.99999999999999989</v>
      </c>
      <c r="Y4432" t="str">
        <f t="shared" si="699"/>
        <v>Healthy</v>
      </c>
    </row>
    <row r="4433" spans="1:25" x14ac:dyDescent="0.35">
      <c r="A4433" t="s">
        <v>179</v>
      </c>
      <c r="B4433" t="s">
        <v>180</v>
      </c>
      <c r="C4433" t="s">
        <v>181</v>
      </c>
      <c r="D4433" t="s">
        <v>2777</v>
      </c>
      <c r="E4433">
        <v>83923086</v>
      </c>
      <c r="F4433" t="s">
        <v>2778</v>
      </c>
      <c r="G4433" s="3">
        <v>46666</v>
      </c>
      <c r="H4433">
        <v>16</v>
      </c>
      <c r="I4433">
        <v>99</v>
      </c>
      <c r="J4433">
        <v>1692</v>
      </c>
      <c r="K4433" s="4">
        <v>594061.19999999995</v>
      </c>
      <c r="L4433" s="4">
        <v>8941</v>
      </c>
      <c r="M4433" s="4">
        <v>0.18924057711665362</v>
      </c>
      <c r="N4433" t="s">
        <v>25</v>
      </c>
      <c r="O4433" t="str">
        <f t="shared" si="690"/>
        <v>Low</v>
      </c>
      <c r="P4433" t="str">
        <f t="shared" si="691"/>
        <v>Low</v>
      </c>
      <c r="Q4433" t="str">
        <f t="shared" si="692"/>
        <v>Low</v>
      </c>
      <c r="R4433" t="s">
        <v>3309</v>
      </c>
      <c r="S4433" s="4">
        <f t="shared" ca="1" si="693"/>
        <v>469</v>
      </c>
      <c r="T4433">
        <f t="shared" si="694"/>
        <v>1</v>
      </c>
      <c r="U4433">
        <f t="shared" si="695"/>
        <v>1</v>
      </c>
      <c r="V4433">
        <f t="shared" si="696"/>
        <v>1</v>
      </c>
      <c r="W4433">
        <f t="shared" si="697"/>
        <v>3</v>
      </c>
      <c r="X4433">
        <f t="shared" si="698"/>
        <v>1.2</v>
      </c>
      <c r="Y4433" t="str">
        <f t="shared" si="699"/>
        <v>Healthy</v>
      </c>
    </row>
    <row r="4434" spans="1:25" x14ac:dyDescent="0.35">
      <c r="A4434" t="s">
        <v>189</v>
      </c>
      <c r="B4434" t="s">
        <v>2781</v>
      </c>
      <c r="C4434" t="s">
        <v>2782</v>
      </c>
      <c r="D4434" t="s">
        <v>2785</v>
      </c>
      <c r="E4434">
        <v>80870940</v>
      </c>
      <c r="F4434" t="s">
        <v>2786</v>
      </c>
      <c r="G4434" s="3">
        <v>46557</v>
      </c>
      <c r="H4434">
        <v>17</v>
      </c>
      <c r="I4434">
        <v>72</v>
      </c>
      <c r="J4434">
        <v>96</v>
      </c>
      <c r="K4434" s="4">
        <v>72881.279999999999</v>
      </c>
      <c r="L4434" s="4">
        <v>244.28571428571428</v>
      </c>
      <c r="M4434" s="4">
        <v>0.39298245614035088</v>
      </c>
      <c r="N4434" t="s">
        <v>25</v>
      </c>
      <c r="O4434" t="str">
        <f t="shared" si="690"/>
        <v>Low</v>
      </c>
      <c r="P4434" t="str">
        <f t="shared" si="691"/>
        <v>Low</v>
      </c>
      <c r="Q4434" t="str">
        <f t="shared" si="692"/>
        <v>Low</v>
      </c>
      <c r="R4434" t="s">
        <v>3310</v>
      </c>
      <c r="S4434" s="4">
        <f t="shared" ca="1" si="693"/>
        <v>360</v>
      </c>
      <c r="T4434">
        <f t="shared" si="694"/>
        <v>1</v>
      </c>
      <c r="U4434">
        <f t="shared" si="695"/>
        <v>1</v>
      </c>
      <c r="V4434">
        <f t="shared" si="696"/>
        <v>1</v>
      </c>
      <c r="W4434">
        <f t="shared" si="697"/>
        <v>2</v>
      </c>
      <c r="X4434">
        <f t="shared" si="698"/>
        <v>1.0999999999999999</v>
      </c>
      <c r="Y4434" t="str">
        <f t="shared" si="699"/>
        <v>Healthy</v>
      </c>
    </row>
    <row r="4435" spans="1:25" x14ac:dyDescent="0.35">
      <c r="A4435" t="s">
        <v>179</v>
      </c>
      <c r="B4435" t="s">
        <v>180</v>
      </c>
      <c r="C4435" t="s">
        <v>181</v>
      </c>
      <c r="D4435" t="s">
        <v>2777</v>
      </c>
      <c r="E4435">
        <v>83923086</v>
      </c>
      <c r="F4435" t="s">
        <v>2778</v>
      </c>
      <c r="G4435" s="3">
        <v>46667</v>
      </c>
      <c r="H4435">
        <v>16</v>
      </c>
      <c r="I4435">
        <v>99</v>
      </c>
      <c r="J4435">
        <v>816</v>
      </c>
      <c r="K4435" s="4">
        <v>286497.59999999998</v>
      </c>
      <c r="L4435" s="4">
        <v>8941</v>
      </c>
      <c r="M4435" s="4">
        <v>9.1264959176825852E-2</v>
      </c>
      <c r="N4435" t="s">
        <v>25</v>
      </c>
      <c r="O4435" t="str">
        <f t="shared" si="690"/>
        <v>Low</v>
      </c>
      <c r="P4435" t="str">
        <f t="shared" si="691"/>
        <v>Low</v>
      </c>
      <c r="Q4435" t="str">
        <f t="shared" si="692"/>
        <v>Low</v>
      </c>
      <c r="R4435" t="s">
        <v>3309</v>
      </c>
      <c r="S4435" s="4">
        <f t="shared" ca="1" si="693"/>
        <v>470</v>
      </c>
      <c r="T4435">
        <f t="shared" si="694"/>
        <v>1</v>
      </c>
      <c r="U4435">
        <f t="shared" si="695"/>
        <v>1</v>
      </c>
      <c r="V4435">
        <f t="shared" si="696"/>
        <v>1</v>
      </c>
      <c r="W4435">
        <f t="shared" si="697"/>
        <v>3</v>
      </c>
      <c r="X4435">
        <f t="shared" si="698"/>
        <v>1.2</v>
      </c>
      <c r="Y4435" t="str">
        <f t="shared" si="699"/>
        <v>Healthy</v>
      </c>
    </row>
    <row r="4436" spans="1:25" x14ac:dyDescent="0.35">
      <c r="A4436" t="s">
        <v>189</v>
      </c>
      <c r="B4436" t="s">
        <v>2781</v>
      </c>
      <c r="C4436" t="s">
        <v>2782</v>
      </c>
      <c r="D4436" t="s">
        <v>2785</v>
      </c>
      <c r="E4436">
        <v>80870940</v>
      </c>
      <c r="F4436" t="s">
        <v>2786</v>
      </c>
      <c r="G4436" s="3">
        <v>46486</v>
      </c>
      <c r="H4436">
        <v>17</v>
      </c>
      <c r="I4436">
        <v>58</v>
      </c>
      <c r="J4436">
        <v>48</v>
      </c>
      <c r="K4436" s="4">
        <v>36440.639999999999</v>
      </c>
      <c r="L4436" s="4">
        <v>244.28571428571428</v>
      </c>
      <c r="M4436" s="4">
        <v>0.19649122807017544</v>
      </c>
      <c r="N4436" t="s">
        <v>25</v>
      </c>
      <c r="O4436" t="str">
        <f t="shared" si="690"/>
        <v>Low</v>
      </c>
      <c r="P4436" t="str">
        <f t="shared" si="691"/>
        <v>Low</v>
      </c>
      <c r="Q4436" t="str">
        <f t="shared" si="692"/>
        <v>Low</v>
      </c>
      <c r="R4436" t="s">
        <v>3317</v>
      </c>
      <c r="S4436" s="4">
        <f t="shared" ca="1" si="693"/>
        <v>289</v>
      </c>
      <c r="T4436">
        <f t="shared" si="694"/>
        <v>1</v>
      </c>
      <c r="U4436">
        <f t="shared" si="695"/>
        <v>1</v>
      </c>
      <c r="V4436">
        <f t="shared" si="696"/>
        <v>1</v>
      </c>
      <c r="W4436">
        <f t="shared" si="697"/>
        <v>1</v>
      </c>
      <c r="X4436">
        <f t="shared" si="698"/>
        <v>0.99999999999999989</v>
      </c>
      <c r="Y4436" t="str">
        <f t="shared" si="699"/>
        <v>Healthy</v>
      </c>
    </row>
    <row r="4437" spans="1:25" x14ac:dyDescent="0.35">
      <c r="A4437" t="s">
        <v>179</v>
      </c>
      <c r="B4437" t="s">
        <v>180</v>
      </c>
      <c r="C4437" t="s">
        <v>181</v>
      </c>
      <c r="D4437" t="s">
        <v>2787</v>
      </c>
      <c r="E4437">
        <v>83923075</v>
      </c>
      <c r="F4437" t="s">
        <v>2788</v>
      </c>
      <c r="G4437" s="3">
        <v>46601</v>
      </c>
      <c r="H4437">
        <v>16</v>
      </c>
      <c r="I4437">
        <v>85</v>
      </c>
      <c r="J4437">
        <v>816</v>
      </c>
      <c r="K4437" s="4">
        <v>194265.12</v>
      </c>
      <c r="L4437" s="4">
        <v>85.714285714285708</v>
      </c>
      <c r="M4437" s="4">
        <v>9.5200000000000014</v>
      </c>
      <c r="N4437" t="s">
        <v>19</v>
      </c>
      <c r="O4437" t="str">
        <f t="shared" si="690"/>
        <v>Low</v>
      </c>
      <c r="P4437" t="str">
        <f t="shared" si="691"/>
        <v>High</v>
      </c>
      <c r="Q4437" t="str">
        <f t="shared" si="692"/>
        <v>Low</v>
      </c>
      <c r="R4437" t="s">
        <v>3309</v>
      </c>
      <c r="S4437" s="4">
        <f t="shared" ca="1" si="693"/>
        <v>404</v>
      </c>
      <c r="T4437">
        <f t="shared" si="694"/>
        <v>1</v>
      </c>
      <c r="U4437">
        <f t="shared" si="695"/>
        <v>3</v>
      </c>
      <c r="V4437">
        <f t="shared" si="696"/>
        <v>1</v>
      </c>
      <c r="W4437">
        <f t="shared" si="697"/>
        <v>3</v>
      </c>
      <c r="X4437">
        <f t="shared" si="698"/>
        <v>1.7999999999999998</v>
      </c>
      <c r="Y4437" t="str">
        <f t="shared" si="699"/>
        <v>Monitor</v>
      </c>
    </row>
    <row r="4438" spans="1:25" x14ac:dyDescent="0.35">
      <c r="A4438" t="s">
        <v>189</v>
      </c>
      <c r="B4438" t="s">
        <v>2781</v>
      </c>
      <c r="C4438" t="s">
        <v>2782</v>
      </c>
      <c r="D4438" t="s">
        <v>2785</v>
      </c>
      <c r="E4438">
        <v>80870940</v>
      </c>
      <c r="F4438" t="s">
        <v>2786</v>
      </c>
      <c r="G4438" s="3">
        <v>46489</v>
      </c>
      <c r="H4438">
        <v>17</v>
      </c>
      <c r="I4438">
        <v>58</v>
      </c>
      <c r="J4438">
        <v>18</v>
      </c>
      <c r="K4438" s="4">
        <v>13665.24</v>
      </c>
      <c r="L4438" s="4">
        <v>244.28571428571428</v>
      </c>
      <c r="M4438" s="4">
        <v>7.3684210526315796E-2</v>
      </c>
      <c r="N4438" t="s">
        <v>25</v>
      </c>
      <c r="O4438" t="str">
        <f t="shared" si="690"/>
        <v>Low</v>
      </c>
      <c r="P4438" t="str">
        <f t="shared" si="691"/>
        <v>Low</v>
      </c>
      <c r="Q4438" t="str">
        <f t="shared" si="692"/>
        <v>Low</v>
      </c>
      <c r="R4438" t="s">
        <v>3317</v>
      </c>
      <c r="S4438" s="4">
        <f t="shared" ca="1" si="693"/>
        <v>292</v>
      </c>
      <c r="T4438">
        <f t="shared" si="694"/>
        <v>1</v>
      </c>
      <c r="U4438">
        <f t="shared" si="695"/>
        <v>1</v>
      </c>
      <c r="V4438">
        <f t="shared" si="696"/>
        <v>1</v>
      </c>
      <c r="W4438">
        <f t="shared" si="697"/>
        <v>1</v>
      </c>
      <c r="X4438">
        <f t="shared" si="698"/>
        <v>0.99999999999999989</v>
      </c>
      <c r="Y4438" t="str">
        <f t="shared" si="699"/>
        <v>Healthy</v>
      </c>
    </row>
    <row r="4439" spans="1:25" x14ac:dyDescent="0.35">
      <c r="A4439" t="s">
        <v>179</v>
      </c>
      <c r="B4439" t="s">
        <v>180</v>
      </c>
      <c r="C4439" t="s">
        <v>181</v>
      </c>
      <c r="D4439" t="s">
        <v>2787</v>
      </c>
      <c r="E4439">
        <v>83923075</v>
      </c>
      <c r="F4439" t="s">
        <v>2788</v>
      </c>
      <c r="G4439" s="3">
        <v>46634</v>
      </c>
      <c r="H4439">
        <v>16</v>
      </c>
      <c r="I4439">
        <v>92</v>
      </c>
      <c r="J4439">
        <v>336</v>
      </c>
      <c r="K4439" s="4">
        <v>79991.520000000004</v>
      </c>
      <c r="L4439" s="4">
        <v>85.714285714285708</v>
      </c>
      <c r="M4439" s="4">
        <v>3.9200000000000004</v>
      </c>
      <c r="N4439" t="s">
        <v>25</v>
      </c>
      <c r="O4439" t="str">
        <f t="shared" si="690"/>
        <v>Low</v>
      </c>
      <c r="P4439" t="str">
        <f t="shared" si="691"/>
        <v>Low</v>
      </c>
      <c r="Q4439" t="str">
        <f t="shared" si="692"/>
        <v>Low</v>
      </c>
      <c r="R4439" t="s">
        <v>3310</v>
      </c>
      <c r="S4439" s="4">
        <f t="shared" ca="1" si="693"/>
        <v>437</v>
      </c>
      <c r="T4439">
        <f t="shared" si="694"/>
        <v>1</v>
      </c>
      <c r="U4439">
        <f t="shared" si="695"/>
        <v>1</v>
      </c>
      <c r="V4439">
        <f t="shared" si="696"/>
        <v>1</v>
      </c>
      <c r="W4439">
        <f t="shared" si="697"/>
        <v>2</v>
      </c>
      <c r="X4439">
        <f t="shared" si="698"/>
        <v>1.0999999999999999</v>
      </c>
      <c r="Y4439" t="str">
        <f t="shared" si="699"/>
        <v>Healthy</v>
      </c>
    </row>
    <row r="4440" spans="1:25" x14ac:dyDescent="0.35">
      <c r="A4440" t="s">
        <v>189</v>
      </c>
      <c r="B4440" t="s">
        <v>2781</v>
      </c>
      <c r="C4440" t="s">
        <v>2782</v>
      </c>
      <c r="D4440" t="s">
        <v>2789</v>
      </c>
      <c r="E4440">
        <v>80870947</v>
      </c>
      <c r="F4440" t="s">
        <v>2790</v>
      </c>
      <c r="G4440" s="3">
        <v>46553</v>
      </c>
      <c r="H4440">
        <v>17</v>
      </c>
      <c r="I4440">
        <v>71</v>
      </c>
      <c r="J4440">
        <v>48</v>
      </c>
      <c r="K4440" s="4">
        <v>23999.040000000001</v>
      </c>
      <c r="L4440" s="4">
        <v>702.71428571428567</v>
      </c>
      <c r="M4440" s="4">
        <v>6.8306566375279529E-2</v>
      </c>
      <c r="N4440" t="s">
        <v>25</v>
      </c>
      <c r="O4440" t="str">
        <f t="shared" si="690"/>
        <v>Low</v>
      </c>
      <c r="P4440" t="str">
        <f t="shared" si="691"/>
        <v>Low</v>
      </c>
      <c r="Q4440" t="str">
        <f t="shared" si="692"/>
        <v>Low</v>
      </c>
      <c r="R4440" t="s">
        <v>3317</v>
      </c>
      <c r="S4440" s="4">
        <f t="shared" ca="1" si="693"/>
        <v>356</v>
      </c>
      <c r="T4440">
        <f t="shared" si="694"/>
        <v>1</v>
      </c>
      <c r="U4440">
        <f t="shared" si="695"/>
        <v>1</v>
      </c>
      <c r="V4440">
        <f t="shared" si="696"/>
        <v>1</v>
      </c>
      <c r="W4440">
        <f t="shared" si="697"/>
        <v>1</v>
      </c>
      <c r="X4440">
        <f t="shared" si="698"/>
        <v>0.99999999999999989</v>
      </c>
      <c r="Y4440" t="str">
        <f t="shared" si="699"/>
        <v>Healthy</v>
      </c>
    </row>
    <row r="4441" spans="1:25" x14ac:dyDescent="0.35">
      <c r="A4441" t="s">
        <v>179</v>
      </c>
      <c r="B4441" t="s">
        <v>180</v>
      </c>
      <c r="C4441" t="s">
        <v>181</v>
      </c>
      <c r="D4441" t="s">
        <v>2787</v>
      </c>
      <c r="E4441">
        <v>83923075</v>
      </c>
      <c r="F4441" t="s">
        <v>2788</v>
      </c>
      <c r="G4441" s="3">
        <v>46631</v>
      </c>
      <c r="H4441">
        <v>16</v>
      </c>
      <c r="I4441">
        <v>91</v>
      </c>
      <c r="J4441">
        <v>120</v>
      </c>
      <c r="K4441" s="4">
        <v>28568.400000000001</v>
      </c>
      <c r="L4441" s="4">
        <v>85.714285714285708</v>
      </c>
      <c r="M4441" s="4">
        <v>1.4000000000000001</v>
      </c>
      <c r="N4441" t="s">
        <v>25</v>
      </c>
      <c r="O4441" t="str">
        <f t="shared" si="690"/>
        <v>Low</v>
      </c>
      <c r="P4441" t="str">
        <f t="shared" si="691"/>
        <v>Low</v>
      </c>
      <c r="Q4441" t="str">
        <f t="shared" si="692"/>
        <v>Low</v>
      </c>
      <c r="R4441" t="s">
        <v>3317</v>
      </c>
      <c r="S4441" s="4">
        <f t="shared" ca="1" si="693"/>
        <v>434</v>
      </c>
      <c r="T4441">
        <f t="shared" si="694"/>
        <v>1</v>
      </c>
      <c r="U4441">
        <f t="shared" si="695"/>
        <v>1</v>
      </c>
      <c r="V4441">
        <f t="shared" si="696"/>
        <v>1</v>
      </c>
      <c r="W4441">
        <f t="shared" si="697"/>
        <v>1</v>
      </c>
      <c r="X4441">
        <f t="shared" si="698"/>
        <v>0.99999999999999989</v>
      </c>
      <c r="Y4441" t="str">
        <f t="shared" si="699"/>
        <v>Healthy</v>
      </c>
    </row>
    <row r="4442" spans="1:25" x14ac:dyDescent="0.35">
      <c r="A4442" t="s">
        <v>189</v>
      </c>
      <c r="B4442" t="s">
        <v>2781</v>
      </c>
      <c r="C4442" t="s">
        <v>2782</v>
      </c>
      <c r="D4442" t="s">
        <v>2789</v>
      </c>
      <c r="E4442">
        <v>80870947</v>
      </c>
      <c r="F4442" t="s">
        <v>2790</v>
      </c>
      <c r="G4442" s="3">
        <v>46554</v>
      </c>
      <c r="H4442">
        <v>17</v>
      </c>
      <c r="I4442">
        <v>71</v>
      </c>
      <c r="J4442">
        <v>99</v>
      </c>
      <c r="K4442" s="4">
        <v>49498.02</v>
      </c>
      <c r="L4442" s="4">
        <v>702.71428571428567</v>
      </c>
      <c r="M4442" s="4">
        <v>0.14088229314901404</v>
      </c>
      <c r="N4442" t="s">
        <v>25</v>
      </c>
      <c r="O4442" t="str">
        <f t="shared" si="690"/>
        <v>Low</v>
      </c>
      <c r="P4442" t="str">
        <f t="shared" si="691"/>
        <v>Low</v>
      </c>
      <c r="Q4442" t="str">
        <f t="shared" si="692"/>
        <v>Low</v>
      </c>
      <c r="R4442" t="s">
        <v>3317</v>
      </c>
      <c r="S4442" s="4">
        <f t="shared" ca="1" si="693"/>
        <v>357</v>
      </c>
      <c r="T4442">
        <f t="shared" si="694"/>
        <v>1</v>
      </c>
      <c r="U4442">
        <f t="shared" si="695"/>
        <v>1</v>
      </c>
      <c r="V4442">
        <f t="shared" si="696"/>
        <v>1</v>
      </c>
      <c r="W4442">
        <f t="shared" si="697"/>
        <v>1</v>
      </c>
      <c r="X4442">
        <f t="shared" si="698"/>
        <v>0.99999999999999989</v>
      </c>
      <c r="Y4442" t="str">
        <f t="shared" si="699"/>
        <v>Healthy</v>
      </c>
    </row>
    <row r="4443" spans="1:25" x14ac:dyDescent="0.35">
      <c r="A4443" t="s">
        <v>179</v>
      </c>
      <c r="B4443" t="s">
        <v>180</v>
      </c>
      <c r="C4443" t="s">
        <v>181</v>
      </c>
      <c r="D4443" t="s">
        <v>2787</v>
      </c>
      <c r="E4443">
        <v>83923075</v>
      </c>
      <c r="F4443" t="s">
        <v>2788</v>
      </c>
      <c r="G4443" s="3">
        <v>46606</v>
      </c>
      <c r="H4443">
        <v>16</v>
      </c>
      <c r="I4443">
        <v>86</v>
      </c>
      <c r="J4443">
        <v>1776</v>
      </c>
      <c r="K4443" s="4">
        <v>422812.32</v>
      </c>
      <c r="L4443" s="4">
        <v>85.714285714285708</v>
      </c>
      <c r="M4443" s="4">
        <v>20.720000000000002</v>
      </c>
      <c r="N4443" t="s">
        <v>19</v>
      </c>
      <c r="O4443" t="str">
        <f t="shared" si="690"/>
        <v>Low</v>
      </c>
      <c r="P4443" t="str">
        <f t="shared" si="691"/>
        <v>High</v>
      </c>
      <c r="Q4443" t="str">
        <f t="shared" si="692"/>
        <v>Low</v>
      </c>
      <c r="R4443" t="s">
        <v>3309</v>
      </c>
      <c r="S4443" s="4">
        <f t="shared" ca="1" si="693"/>
        <v>409</v>
      </c>
      <c r="T4443">
        <f t="shared" si="694"/>
        <v>1</v>
      </c>
      <c r="U4443">
        <f t="shared" si="695"/>
        <v>3</v>
      </c>
      <c r="V4443">
        <f t="shared" si="696"/>
        <v>1</v>
      </c>
      <c r="W4443">
        <f t="shared" si="697"/>
        <v>3</v>
      </c>
      <c r="X4443">
        <f t="shared" si="698"/>
        <v>1.7999999999999998</v>
      </c>
      <c r="Y4443" t="str">
        <f t="shared" si="699"/>
        <v>Monitor</v>
      </c>
    </row>
    <row r="4444" spans="1:25" x14ac:dyDescent="0.35">
      <c r="A4444" t="s">
        <v>189</v>
      </c>
      <c r="B4444" t="s">
        <v>2781</v>
      </c>
      <c r="C4444" t="s">
        <v>2782</v>
      </c>
      <c r="D4444" t="s">
        <v>2789</v>
      </c>
      <c r="E4444">
        <v>80870947</v>
      </c>
      <c r="F4444" t="s">
        <v>2790</v>
      </c>
      <c r="G4444" s="3">
        <v>46487</v>
      </c>
      <c r="H4444">
        <v>17</v>
      </c>
      <c r="I4444">
        <v>58</v>
      </c>
      <c r="J4444">
        <v>18</v>
      </c>
      <c r="K4444" s="4">
        <v>8999.64</v>
      </c>
      <c r="L4444" s="4">
        <v>702.71428571428567</v>
      </c>
      <c r="M4444" s="4">
        <v>2.5614962390729825E-2</v>
      </c>
      <c r="N4444" t="s">
        <v>25</v>
      </c>
      <c r="O4444" t="str">
        <f t="shared" si="690"/>
        <v>Low</v>
      </c>
      <c r="P4444" t="str">
        <f t="shared" si="691"/>
        <v>Low</v>
      </c>
      <c r="Q4444" t="str">
        <f t="shared" si="692"/>
        <v>Low</v>
      </c>
      <c r="R4444" t="s">
        <v>3317</v>
      </c>
      <c r="S4444" s="4">
        <f t="shared" ca="1" si="693"/>
        <v>290</v>
      </c>
      <c r="T4444">
        <f t="shared" si="694"/>
        <v>1</v>
      </c>
      <c r="U4444">
        <f t="shared" si="695"/>
        <v>1</v>
      </c>
      <c r="V4444">
        <f t="shared" si="696"/>
        <v>1</v>
      </c>
      <c r="W4444">
        <f t="shared" si="697"/>
        <v>1</v>
      </c>
      <c r="X4444">
        <f t="shared" si="698"/>
        <v>0.99999999999999989</v>
      </c>
      <c r="Y4444" t="str">
        <f t="shared" si="699"/>
        <v>Healthy</v>
      </c>
    </row>
    <row r="4445" spans="1:25" x14ac:dyDescent="0.35">
      <c r="A4445" t="s">
        <v>41</v>
      </c>
      <c r="B4445" t="s">
        <v>54</v>
      </c>
      <c r="C4445" t="s">
        <v>55</v>
      </c>
      <c r="D4445" t="s">
        <v>2772</v>
      </c>
      <c r="E4445">
        <v>83924035</v>
      </c>
      <c r="F4445" t="s">
        <v>2791</v>
      </c>
      <c r="G4445" s="3">
        <v>47237</v>
      </c>
      <c r="H4445">
        <v>36</v>
      </c>
      <c r="I4445">
        <v>97</v>
      </c>
      <c r="J4445">
        <v>8</v>
      </c>
      <c r="K4445" s="4">
        <v>9951.68</v>
      </c>
      <c r="L4445" s="4">
        <f>0</f>
        <v>0</v>
      </c>
      <c r="M4445" s="4">
        <f>999</f>
        <v>999</v>
      </c>
      <c r="N4445" t="s">
        <v>19</v>
      </c>
      <c r="O4445" t="str">
        <f t="shared" si="690"/>
        <v>Low</v>
      </c>
      <c r="P4445" t="str">
        <f t="shared" si="691"/>
        <v>High</v>
      </c>
      <c r="Q4445" t="str">
        <f t="shared" si="692"/>
        <v>High</v>
      </c>
      <c r="R4445" t="s">
        <v>3317</v>
      </c>
      <c r="S4445" s="4">
        <f t="shared" ca="1" si="693"/>
        <v>1040</v>
      </c>
      <c r="T4445">
        <f t="shared" si="694"/>
        <v>1</v>
      </c>
      <c r="U4445">
        <f t="shared" si="695"/>
        <v>3</v>
      </c>
      <c r="V4445">
        <f t="shared" si="696"/>
        <v>3</v>
      </c>
      <c r="W4445">
        <f t="shared" si="697"/>
        <v>1</v>
      </c>
      <c r="X4445">
        <f t="shared" si="698"/>
        <v>2</v>
      </c>
      <c r="Y4445" t="str">
        <f t="shared" si="699"/>
        <v>Monitor</v>
      </c>
    </row>
    <row r="4446" spans="1:25" x14ac:dyDescent="0.35">
      <c r="A4446" t="s">
        <v>189</v>
      </c>
      <c r="B4446" t="s">
        <v>2781</v>
      </c>
      <c r="C4446" t="s">
        <v>2782</v>
      </c>
      <c r="D4446" t="s">
        <v>2789</v>
      </c>
      <c r="E4446">
        <v>80870947</v>
      </c>
      <c r="F4446" t="s">
        <v>2790</v>
      </c>
      <c r="G4446" s="3">
        <v>46558</v>
      </c>
      <c r="H4446">
        <v>17</v>
      </c>
      <c r="I4446">
        <v>72</v>
      </c>
      <c r="J4446">
        <v>48</v>
      </c>
      <c r="K4446" s="4">
        <v>23999.040000000001</v>
      </c>
      <c r="L4446" s="4">
        <v>702.71428571428567</v>
      </c>
      <c r="M4446" s="4">
        <v>6.8306566375279529E-2</v>
      </c>
      <c r="N4446" t="s">
        <v>25</v>
      </c>
      <c r="O4446" t="str">
        <f t="shared" si="690"/>
        <v>Low</v>
      </c>
      <c r="P4446" t="str">
        <f t="shared" si="691"/>
        <v>Low</v>
      </c>
      <c r="Q4446" t="str">
        <f t="shared" si="692"/>
        <v>Low</v>
      </c>
      <c r="R4446" t="s">
        <v>3317</v>
      </c>
      <c r="S4446" s="4">
        <f t="shared" ca="1" si="693"/>
        <v>361</v>
      </c>
      <c r="T4446">
        <f t="shared" si="694"/>
        <v>1</v>
      </c>
      <c r="U4446">
        <f t="shared" si="695"/>
        <v>1</v>
      </c>
      <c r="V4446">
        <f t="shared" si="696"/>
        <v>1</v>
      </c>
      <c r="W4446">
        <f t="shared" si="697"/>
        <v>1</v>
      </c>
      <c r="X4446">
        <f t="shared" si="698"/>
        <v>0.99999999999999989</v>
      </c>
      <c r="Y4446" t="str">
        <f t="shared" si="699"/>
        <v>Healthy</v>
      </c>
    </row>
    <row r="4447" spans="1:25" x14ac:dyDescent="0.35">
      <c r="A4447" t="s">
        <v>41</v>
      </c>
      <c r="B4447" t="s">
        <v>42</v>
      </c>
      <c r="C4447" t="s">
        <v>43</v>
      </c>
      <c r="D4447" t="s">
        <v>2727</v>
      </c>
      <c r="E4447">
        <v>83924041</v>
      </c>
      <c r="F4447" t="s">
        <v>2792</v>
      </c>
      <c r="G4447" s="3">
        <v>47244</v>
      </c>
      <c r="H4447">
        <v>36</v>
      </c>
      <c r="I4447">
        <v>97</v>
      </c>
      <c r="J4447">
        <v>48</v>
      </c>
      <c r="K4447" s="4">
        <v>53758.080000000002</v>
      </c>
      <c r="L4447" s="4">
        <v>16</v>
      </c>
      <c r="M4447" s="4">
        <v>3</v>
      </c>
      <c r="N4447" t="s">
        <v>25</v>
      </c>
      <c r="O4447" t="str">
        <f t="shared" si="690"/>
        <v>Low</v>
      </c>
      <c r="P4447" t="str">
        <f t="shared" si="691"/>
        <v>Low</v>
      </c>
      <c r="Q4447" t="str">
        <f t="shared" si="692"/>
        <v>Low</v>
      </c>
      <c r="R4447" t="s">
        <v>3317</v>
      </c>
      <c r="S4447" s="4">
        <f t="shared" ca="1" si="693"/>
        <v>1047</v>
      </c>
      <c r="T4447">
        <f t="shared" si="694"/>
        <v>1</v>
      </c>
      <c r="U4447">
        <f t="shared" si="695"/>
        <v>1</v>
      </c>
      <c r="V4447">
        <f t="shared" si="696"/>
        <v>1</v>
      </c>
      <c r="W4447">
        <f t="shared" si="697"/>
        <v>1</v>
      </c>
      <c r="X4447">
        <f t="shared" si="698"/>
        <v>0.99999999999999989</v>
      </c>
      <c r="Y4447" t="str">
        <f t="shared" si="699"/>
        <v>Healthy</v>
      </c>
    </row>
    <row r="4448" spans="1:25" x14ac:dyDescent="0.35">
      <c r="A4448" t="s">
        <v>189</v>
      </c>
      <c r="B4448" t="s">
        <v>2781</v>
      </c>
      <c r="C4448" t="s">
        <v>2782</v>
      </c>
      <c r="D4448" t="s">
        <v>2789</v>
      </c>
      <c r="E4448">
        <v>80870947</v>
      </c>
      <c r="F4448" t="s">
        <v>2790</v>
      </c>
      <c r="G4448" s="3">
        <v>46517</v>
      </c>
      <c r="H4448">
        <v>17</v>
      </c>
      <c r="I4448">
        <v>64</v>
      </c>
      <c r="J4448">
        <v>25</v>
      </c>
      <c r="K4448" s="4">
        <v>12499.5</v>
      </c>
      <c r="L4448" s="4">
        <v>702.71428571428567</v>
      </c>
      <c r="M4448" s="4">
        <v>3.5576336653791424E-2</v>
      </c>
      <c r="N4448" t="s">
        <v>25</v>
      </c>
      <c r="O4448" t="str">
        <f t="shared" si="690"/>
        <v>Low</v>
      </c>
      <c r="P4448" t="str">
        <f t="shared" si="691"/>
        <v>Low</v>
      </c>
      <c r="Q4448" t="str">
        <f t="shared" si="692"/>
        <v>Low</v>
      </c>
      <c r="R4448" t="s">
        <v>3317</v>
      </c>
      <c r="S4448" s="4">
        <f t="shared" ca="1" si="693"/>
        <v>320</v>
      </c>
      <c r="T4448">
        <f t="shared" si="694"/>
        <v>1</v>
      </c>
      <c r="U4448">
        <f t="shared" si="695"/>
        <v>1</v>
      </c>
      <c r="V4448">
        <f t="shared" si="696"/>
        <v>1</v>
      </c>
      <c r="W4448">
        <f t="shared" si="697"/>
        <v>1</v>
      </c>
      <c r="X4448">
        <f t="shared" si="698"/>
        <v>0.99999999999999989</v>
      </c>
      <c r="Y4448" t="str">
        <f t="shared" si="699"/>
        <v>Healthy</v>
      </c>
    </row>
    <row r="4449" spans="1:25" x14ac:dyDescent="0.35">
      <c r="A4449" t="s">
        <v>179</v>
      </c>
      <c r="B4449" t="s">
        <v>180</v>
      </c>
      <c r="C4449" t="s">
        <v>181</v>
      </c>
      <c r="D4449" t="s">
        <v>2793</v>
      </c>
      <c r="E4449">
        <v>83923077</v>
      </c>
      <c r="F4449" t="s">
        <v>2794</v>
      </c>
      <c r="G4449" s="3">
        <v>46614</v>
      </c>
      <c r="H4449">
        <v>16</v>
      </c>
      <c r="I4449">
        <v>88</v>
      </c>
      <c r="J4449">
        <v>360</v>
      </c>
      <c r="K4449" s="4">
        <v>75261.600000000006</v>
      </c>
      <c r="L4449" s="4">
        <v>25.714285714285715</v>
      </c>
      <c r="M4449" s="4">
        <v>14</v>
      </c>
      <c r="N4449" t="s">
        <v>19</v>
      </c>
      <c r="O4449" t="str">
        <f t="shared" si="690"/>
        <v>Low</v>
      </c>
      <c r="P4449" t="str">
        <f t="shared" si="691"/>
        <v>High</v>
      </c>
      <c r="Q4449" t="str">
        <f t="shared" si="692"/>
        <v>Low</v>
      </c>
      <c r="R4449" t="s">
        <v>3310</v>
      </c>
      <c r="S4449" s="4">
        <f t="shared" ca="1" si="693"/>
        <v>417</v>
      </c>
      <c r="T4449">
        <f t="shared" si="694"/>
        <v>1</v>
      </c>
      <c r="U4449">
        <f t="shared" si="695"/>
        <v>3</v>
      </c>
      <c r="V4449">
        <f t="shared" si="696"/>
        <v>1</v>
      </c>
      <c r="W4449">
        <f t="shared" si="697"/>
        <v>2</v>
      </c>
      <c r="X4449">
        <f t="shared" si="698"/>
        <v>1.6999999999999997</v>
      </c>
      <c r="Y4449" t="str">
        <f t="shared" si="699"/>
        <v>Monitor</v>
      </c>
    </row>
    <row r="4450" spans="1:25" x14ac:dyDescent="0.35">
      <c r="A4450" t="s">
        <v>210</v>
      </c>
      <c r="B4450" t="s">
        <v>211</v>
      </c>
      <c r="C4450" t="s">
        <v>338</v>
      </c>
      <c r="D4450" t="s">
        <v>2795</v>
      </c>
      <c r="E4450">
        <v>80865301</v>
      </c>
      <c r="F4450" t="s">
        <v>2796</v>
      </c>
      <c r="G4450" s="3">
        <v>47962</v>
      </c>
      <c r="H4450">
        <v>60</v>
      </c>
      <c r="I4450">
        <v>98</v>
      </c>
      <c r="J4450">
        <v>5</v>
      </c>
      <c r="K4450" s="4">
        <v>1999.95</v>
      </c>
      <c r="L4450" s="4">
        <v>1356</v>
      </c>
      <c r="M4450" s="4">
        <v>3.687315634218289E-3</v>
      </c>
      <c r="N4450" t="s">
        <v>25</v>
      </c>
      <c r="O4450" t="str">
        <f t="shared" si="690"/>
        <v>Low</v>
      </c>
      <c r="P4450" t="str">
        <f t="shared" si="691"/>
        <v>Low</v>
      </c>
      <c r="Q4450" t="str">
        <f t="shared" si="692"/>
        <v>Low</v>
      </c>
      <c r="R4450" t="s">
        <v>3317</v>
      </c>
      <c r="S4450" s="4">
        <f t="shared" ca="1" si="693"/>
        <v>1765</v>
      </c>
      <c r="T4450">
        <f t="shared" si="694"/>
        <v>1</v>
      </c>
      <c r="U4450">
        <f t="shared" si="695"/>
        <v>1</v>
      </c>
      <c r="V4450">
        <f t="shared" si="696"/>
        <v>1</v>
      </c>
      <c r="W4450">
        <f t="shared" si="697"/>
        <v>1</v>
      </c>
      <c r="X4450">
        <f t="shared" si="698"/>
        <v>0.99999999999999989</v>
      </c>
      <c r="Y4450" t="str">
        <f t="shared" si="699"/>
        <v>Healthy</v>
      </c>
    </row>
    <row r="4451" spans="1:25" x14ac:dyDescent="0.35">
      <c r="A4451" t="s">
        <v>179</v>
      </c>
      <c r="B4451" t="s">
        <v>180</v>
      </c>
      <c r="C4451" t="s">
        <v>181</v>
      </c>
      <c r="D4451" t="s">
        <v>2793</v>
      </c>
      <c r="E4451">
        <v>83923077</v>
      </c>
      <c r="F4451" t="s">
        <v>2794</v>
      </c>
      <c r="G4451" s="3">
        <v>46607</v>
      </c>
      <c r="H4451">
        <v>16</v>
      </c>
      <c r="I4451">
        <v>86</v>
      </c>
      <c r="J4451">
        <v>360</v>
      </c>
      <c r="K4451" s="4">
        <v>75261.600000000006</v>
      </c>
      <c r="L4451" s="4">
        <v>25.714285714285715</v>
      </c>
      <c r="M4451" s="4">
        <v>14</v>
      </c>
      <c r="N4451" t="s">
        <v>19</v>
      </c>
      <c r="O4451" t="str">
        <f t="shared" si="690"/>
        <v>Low</v>
      </c>
      <c r="P4451" t="str">
        <f t="shared" si="691"/>
        <v>High</v>
      </c>
      <c r="Q4451" t="str">
        <f t="shared" si="692"/>
        <v>Low</v>
      </c>
      <c r="R4451" t="s">
        <v>3310</v>
      </c>
      <c r="S4451" s="4">
        <f t="shared" ca="1" si="693"/>
        <v>410</v>
      </c>
      <c r="T4451">
        <f t="shared" si="694"/>
        <v>1</v>
      </c>
      <c r="U4451">
        <f t="shared" si="695"/>
        <v>3</v>
      </c>
      <c r="V4451">
        <f t="shared" si="696"/>
        <v>1</v>
      </c>
      <c r="W4451">
        <f t="shared" si="697"/>
        <v>2</v>
      </c>
      <c r="X4451">
        <f t="shared" si="698"/>
        <v>1.6999999999999997</v>
      </c>
      <c r="Y4451" t="str">
        <f t="shared" si="699"/>
        <v>Monitor</v>
      </c>
    </row>
    <row r="4452" spans="1:25" x14ac:dyDescent="0.35">
      <c r="A4452" t="s">
        <v>210</v>
      </c>
      <c r="B4452" t="s">
        <v>211</v>
      </c>
      <c r="C4452" t="s">
        <v>338</v>
      </c>
      <c r="D4452" t="s">
        <v>2795</v>
      </c>
      <c r="E4452">
        <v>80865301</v>
      </c>
      <c r="F4452" t="s">
        <v>2796</v>
      </c>
      <c r="G4452" s="3">
        <v>47937</v>
      </c>
      <c r="H4452">
        <v>60</v>
      </c>
      <c r="I4452">
        <v>97</v>
      </c>
      <c r="J4452">
        <v>29</v>
      </c>
      <c r="K4452" s="4">
        <v>11599.71</v>
      </c>
      <c r="L4452" s="4">
        <v>1356</v>
      </c>
      <c r="M4452" s="4">
        <v>2.1386430678466076E-2</v>
      </c>
      <c r="N4452" t="s">
        <v>25</v>
      </c>
      <c r="O4452" t="str">
        <f t="shared" si="690"/>
        <v>Low</v>
      </c>
      <c r="P4452" t="str">
        <f t="shared" si="691"/>
        <v>Low</v>
      </c>
      <c r="Q4452" t="str">
        <f t="shared" si="692"/>
        <v>Low</v>
      </c>
      <c r="R4452" t="s">
        <v>3317</v>
      </c>
      <c r="S4452" s="4">
        <f t="shared" ca="1" si="693"/>
        <v>1740</v>
      </c>
      <c r="T4452">
        <f t="shared" si="694"/>
        <v>1</v>
      </c>
      <c r="U4452">
        <f t="shared" si="695"/>
        <v>1</v>
      </c>
      <c r="V4452">
        <f t="shared" si="696"/>
        <v>1</v>
      </c>
      <c r="W4452">
        <f t="shared" si="697"/>
        <v>1</v>
      </c>
      <c r="X4452">
        <f t="shared" si="698"/>
        <v>0.99999999999999989</v>
      </c>
      <c r="Y4452" t="str">
        <f t="shared" si="699"/>
        <v>Healthy</v>
      </c>
    </row>
    <row r="4453" spans="1:25" x14ac:dyDescent="0.35">
      <c r="A4453" t="s">
        <v>179</v>
      </c>
      <c r="B4453" t="s">
        <v>180</v>
      </c>
      <c r="C4453" t="s">
        <v>181</v>
      </c>
      <c r="D4453" t="s">
        <v>2793</v>
      </c>
      <c r="E4453">
        <v>83923077</v>
      </c>
      <c r="F4453" t="s">
        <v>2794</v>
      </c>
      <c r="G4453" s="3">
        <v>46611</v>
      </c>
      <c r="H4453">
        <v>16</v>
      </c>
      <c r="I4453">
        <v>87</v>
      </c>
      <c r="J4453">
        <v>180</v>
      </c>
      <c r="K4453" s="4">
        <v>37630.800000000003</v>
      </c>
      <c r="L4453" s="4">
        <v>25.714285714285715</v>
      </c>
      <c r="M4453" s="4">
        <v>7</v>
      </c>
      <c r="N4453" t="s">
        <v>19</v>
      </c>
      <c r="O4453" t="str">
        <f t="shared" si="690"/>
        <v>Low</v>
      </c>
      <c r="P4453" t="str">
        <f t="shared" si="691"/>
        <v>Medium</v>
      </c>
      <c r="Q4453" t="str">
        <f t="shared" si="692"/>
        <v>Low</v>
      </c>
      <c r="R4453" t="s">
        <v>3317</v>
      </c>
      <c r="S4453" s="4">
        <f t="shared" ca="1" si="693"/>
        <v>414</v>
      </c>
      <c r="T4453">
        <f t="shared" si="694"/>
        <v>1</v>
      </c>
      <c r="U4453">
        <f t="shared" si="695"/>
        <v>2</v>
      </c>
      <c r="V4453">
        <f t="shared" si="696"/>
        <v>1</v>
      </c>
      <c r="W4453">
        <f t="shared" si="697"/>
        <v>1</v>
      </c>
      <c r="X4453">
        <f t="shared" si="698"/>
        <v>1.3</v>
      </c>
      <c r="Y4453" t="str">
        <f t="shared" si="699"/>
        <v>Healthy</v>
      </c>
    </row>
    <row r="4454" spans="1:25" x14ac:dyDescent="0.35">
      <c r="A4454" t="s">
        <v>210</v>
      </c>
      <c r="B4454" t="s">
        <v>211</v>
      </c>
      <c r="C4454" t="s">
        <v>338</v>
      </c>
      <c r="D4454" t="s">
        <v>2795</v>
      </c>
      <c r="E4454">
        <v>80865301</v>
      </c>
      <c r="F4454" t="s">
        <v>2796</v>
      </c>
      <c r="G4454" s="3">
        <v>47995</v>
      </c>
      <c r="H4454">
        <v>60</v>
      </c>
      <c r="I4454">
        <v>100</v>
      </c>
      <c r="J4454">
        <v>324</v>
      </c>
      <c r="K4454" s="4">
        <v>129596.76</v>
      </c>
      <c r="L4454" s="4">
        <v>1356</v>
      </c>
      <c r="M4454" s="4">
        <v>0.23893805309734514</v>
      </c>
      <c r="N4454" t="s">
        <v>25</v>
      </c>
      <c r="O4454" t="str">
        <f t="shared" si="690"/>
        <v>Low</v>
      </c>
      <c r="P4454" t="str">
        <f t="shared" si="691"/>
        <v>Low</v>
      </c>
      <c r="Q4454" t="str">
        <f t="shared" si="692"/>
        <v>Low</v>
      </c>
      <c r="R4454" t="s">
        <v>3310</v>
      </c>
      <c r="S4454" s="4">
        <f t="shared" ca="1" si="693"/>
        <v>1798</v>
      </c>
      <c r="T4454">
        <f t="shared" si="694"/>
        <v>1</v>
      </c>
      <c r="U4454">
        <f t="shared" si="695"/>
        <v>1</v>
      </c>
      <c r="V4454">
        <f t="shared" si="696"/>
        <v>1</v>
      </c>
      <c r="W4454">
        <f t="shared" si="697"/>
        <v>2</v>
      </c>
      <c r="X4454">
        <f t="shared" si="698"/>
        <v>1.0999999999999999</v>
      </c>
      <c r="Y4454" t="str">
        <f t="shared" si="699"/>
        <v>Healthy</v>
      </c>
    </row>
    <row r="4455" spans="1:25" x14ac:dyDescent="0.35">
      <c r="A4455" t="s">
        <v>41</v>
      </c>
      <c r="B4455" t="s">
        <v>54</v>
      </c>
      <c r="C4455" t="s">
        <v>55</v>
      </c>
      <c r="D4455" t="s">
        <v>1170</v>
      </c>
      <c r="E4455">
        <v>83924046</v>
      </c>
      <c r="F4455" t="s">
        <v>2797</v>
      </c>
      <c r="G4455" s="3">
        <v>47243</v>
      </c>
      <c r="H4455">
        <v>36</v>
      </c>
      <c r="I4455">
        <v>97</v>
      </c>
      <c r="J4455">
        <v>112</v>
      </c>
      <c r="K4455" s="4">
        <v>139323.51999999999</v>
      </c>
      <c r="L4455" s="4">
        <v>22.857142857142858</v>
      </c>
      <c r="M4455" s="4">
        <v>4.8999999999999995</v>
      </c>
      <c r="N4455" t="s">
        <v>25</v>
      </c>
      <c r="O4455" t="str">
        <f t="shared" si="690"/>
        <v>Low</v>
      </c>
      <c r="P4455" t="str">
        <f t="shared" si="691"/>
        <v>Medium</v>
      </c>
      <c r="Q4455" t="str">
        <f t="shared" si="692"/>
        <v>Low</v>
      </c>
      <c r="R4455" t="s">
        <v>3309</v>
      </c>
      <c r="S4455" s="4">
        <f t="shared" ca="1" si="693"/>
        <v>1046</v>
      </c>
      <c r="T4455">
        <f t="shared" si="694"/>
        <v>1</v>
      </c>
      <c r="U4455">
        <f t="shared" si="695"/>
        <v>2</v>
      </c>
      <c r="V4455">
        <f t="shared" si="696"/>
        <v>1</v>
      </c>
      <c r="W4455">
        <f t="shared" si="697"/>
        <v>3</v>
      </c>
      <c r="X4455">
        <f t="shared" si="698"/>
        <v>1.5</v>
      </c>
      <c r="Y4455" t="str">
        <f t="shared" si="699"/>
        <v>Healthy</v>
      </c>
    </row>
    <row r="4456" spans="1:25" x14ac:dyDescent="0.35">
      <c r="A4456" t="s">
        <v>41</v>
      </c>
      <c r="B4456" t="s">
        <v>80</v>
      </c>
      <c r="C4456" t="s">
        <v>502</v>
      </c>
      <c r="D4456" t="s">
        <v>2798</v>
      </c>
      <c r="E4456">
        <v>83904018</v>
      </c>
      <c r="F4456" t="s">
        <v>2799</v>
      </c>
      <c r="G4456" s="3">
        <v>47033</v>
      </c>
      <c r="H4456">
        <v>36</v>
      </c>
      <c r="I4456">
        <v>78</v>
      </c>
      <c r="J4456">
        <v>54</v>
      </c>
      <c r="K4456" s="4">
        <v>14687.46</v>
      </c>
      <c r="L4456" s="4">
        <v>83.571428571428569</v>
      </c>
      <c r="M4456" s="4">
        <v>0.64615384615384619</v>
      </c>
      <c r="N4456" t="s">
        <v>25</v>
      </c>
      <c r="O4456" t="str">
        <f t="shared" si="690"/>
        <v>Low</v>
      </c>
      <c r="P4456" t="str">
        <f t="shared" si="691"/>
        <v>Low</v>
      </c>
      <c r="Q4456" t="str">
        <f t="shared" si="692"/>
        <v>Low</v>
      </c>
      <c r="R4456" t="s">
        <v>3317</v>
      </c>
      <c r="S4456" s="4">
        <f t="shared" ca="1" si="693"/>
        <v>836</v>
      </c>
      <c r="T4456">
        <f t="shared" si="694"/>
        <v>1</v>
      </c>
      <c r="U4456">
        <f t="shared" si="695"/>
        <v>1</v>
      </c>
      <c r="V4456">
        <f t="shared" si="696"/>
        <v>1</v>
      </c>
      <c r="W4456">
        <f t="shared" si="697"/>
        <v>1</v>
      </c>
      <c r="X4456">
        <f t="shared" si="698"/>
        <v>0.99999999999999989</v>
      </c>
      <c r="Y4456" t="str">
        <f t="shared" si="699"/>
        <v>Healthy</v>
      </c>
    </row>
    <row r="4457" spans="1:25" x14ac:dyDescent="0.35">
      <c r="A4457" t="s">
        <v>41</v>
      </c>
      <c r="B4457" t="s">
        <v>54</v>
      </c>
      <c r="C4457" t="s">
        <v>55</v>
      </c>
      <c r="D4457" t="s">
        <v>1170</v>
      </c>
      <c r="E4457">
        <v>83924046</v>
      </c>
      <c r="F4457" t="s">
        <v>2797</v>
      </c>
      <c r="G4457" s="3">
        <v>47225</v>
      </c>
      <c r="H4457">
        <v>36</v>
      </c>
      <c r="I4457">
        <v>96</v>
      </c>
      <c r="J4457">
        <v>40</v>
      </c>
      <c r="K4457" s="4">
        <v>49758.400000000001</v>
      </c>
      <c r="L4457" s="4">
        <v>22.857142857142858</v>
      </c>
      <c r="M4457" s="4">
        <v>1.75</v>
      </c>
      <c r="N4457" t="s">
        <v>25</v>
      </c>
      <c r="O4457" t="str">
        <f t="shared" si="690"/>
        <v>Low</v>
      </c>
      <c r="P4457" t="str">
        <f t="shared" si="691"/>
        <v>Low</v>
      </c>
      <c r="Q4457" t="str">
        <f t="shared" si="692"/>
        <v>Low</v>
      </c>
      <c r="R4457" t="s">
        <v>3317</v>
      </c>
      <c r="S4457" s="4">
        <f t="shared" ca="1" si="693"/>
        <v>1028</v>
      </c>
      <c r="T4457">
        <f t="shared" si="694"/>
        <v>1</v>
      </c>
      <c r="U4457">
        <f t="shared" si="695"/>
        <v>1</v>
      </c>
      <c r="V4457">
        <f t="shared" si="696"/>
        <v>1</v>
      </c>
      <c r="W4457">
        <f t="shared" si="697"/>
        <v>1</v>
      </c>
      <c r="X4457">
        <f t="shared" si="698"/>
        <v>0.99999999999999989</v>
      </c>
      <c r="Y4457" t="str">
        <f t="shared" si="699"/>
        <v>Healthy</v>
      </c>
    </row>
    <row r="4458" spans="1:25" x14ac:dyDescent="0.35">
      <c r="A4458" t="s">
        <v>41</v>
      </c>
      <c r="B4458" t="s">
        <v>80</v>
      </c>
      <c r="C4458" t="s">
        <v>502</v>
      </c>
      <c r="D4458" t="s">
        <v>2798</v>
      </c>
      <c r="E4458">
        <v>83904018</v>
      </c>
      <c r="F4458" t="s">
        <v>2799</v>
      </c>
      <c r="G4458" s="3">
        <v>47209</v>
      </c>
      <c r="H4458">
        <v>36</v>
      </c>
      <c r="I4458">
        <v>94</v>
      </c>
      <c r="J4458">
        <v>11</v>
      </c>
      <c r="K4458" s="4">
        <v>2991.89</v>
      </c>
      <c r="L4458" s="4">
        <v>83.571428571428569</v>
      </c>
      <c r="M4458" s="4">
        <v>0.13162393162393163</v>
      </c>
      <c r="N4458" t="s">
        <v>25</v>
      </c>
      <c r="O4458" t="str">
        <f t="shared" si="690"/>
        <v>Low</v>
      </c>
      <c r="P4458" t="str">
        <f t="shared" si="691"/>
        <v>Low</v>
      </c>
      <c r="Q4458" t="str">
        <f t="shared" si="692"/>
        <v>Low</v>
      </c>
      <c r="R4458" t="s">
        <v>3317</v>
      </c>
      <c r="S4458" s="4">
        <f t="shared" ca="1" si="693"/>
        <v>1012</v>
      </c>
      <c r="T4458">
        <f t="shared" si="694"/>
        <v>1</v>
      </c>
      <c r="U4458">
        <f t="shared" si="695"/>
        <v>1</v>
      </c>
      <c r="V4458">
        <f t="shared" si="696"/>
        <v>1</v>
      </c>
      <c r="W4458">
        <f t="shared" si="697"/>
        <v>1</v>
      </c>
      <c r="X4458">
        <f t="shared" si="698"/>
        <v>0.99999999999999989</v>
      </c>
      <c r="Y4458" t="str">
        <f t="shared" si="699"/>
        <v>Healthy</v>
      </c>
    </row>
    <row r="4459" spans="1:25" x14ac:dyDescent="0.35">
      <c r="A4459" t="s">
        <v>41</v>
      </c>
      <c r="B4459" t="s">
        <v>54</v>
      </c>
      <c r="C4459" t="s">
        <v>55</v>
      </c>
      <c r="D4459" t="s">
        <v>1170</v>
      </c>
      <c r="E4459">
        <v>83924046</v>
      </c>
      <c r="F4459" t="s">
        <v>2797</v>
      </c>
      <c r="G4459" s="3">
        <v>47244</v>
      </c>
      <c r="H4459">
        <v>36</v>
      </c>
      <c r="I4459">
        <v>97</v>
      </c>
      <c r="J4459">
        <v>80</v>
      </c>
      <c r="K4459" s="4">
        <v>99516.800000000003</v>
      </c>
      <c r="L4459" s="4">
        <v>22.857142857142858</v>
      </c>
      <c r="M4459" s="4">
        <v>3.5</v>
      </c>
      <c r="N4459" t="s">
        <v>25</v>
      </c>
      <c r="O4459" t="str">
        <f t="shared" si="690"/>
        <v>Low</v>
      </c>
      <c r="P4459" t="str">
        <f t="shared" si="691"/>
        <v>Low</v>
      </c>
      <c r="Q4459" t="str">
        <f t="shared" si="692"/>
        <v>Low</v>
      </c>
      <c r="R4459" t="s">
        <v>3310</v>
      </c>
      <c r="S4459" s="4">
        <f t="shared" ca="1" si="693"/>
        <v>1047</v>
      </c>
      <c r="T4459">
        <f t="shared" si="694"/>
        <v>1</v>
      </c>
      <c r="U4459">
        <f t="shared" si="695"/>
        <v>1</v>
      </c>
      <c r="V4459">
        <f t="shared" si="696"/>
        <v>1</v>
      </c>
      <c r="W4459">
        <f t="shared" si="697"/>
        <v>2</v>
      </c>
      <c r="X4459">
        <f t="shared" si="698"/>
        <v>1.0999999999999999</v>
      </c>
      <c r="Y4459" t="str">
        <f t="shared" si="699"/>
        <v>Healthy</v>
      </c>
    </row>
    <row r="4460" spans="1:25" x14ac:dyDescent="0.35">
      <c r="A4460" t="s">
        <v>41</v>
      </c>
      <c r="B4460" t="s">
        <v>80</v>
      </c>
      <c r="C4460" t="s">
        <v>502</v>
      </c>
      <c r="D4460" t="s">
        <v>2798</v>
      </c>
      <c r="E4460">
        <v>83904018</v>
      </c>
      <c r="F4460" t="s">
        <v>2799</v>
      </c>
      <c r="G4460" s="3">
        <v>47067</v>
      </c>
      <c r="H4460">
        <v>36</v>
      </c>
      <c r="I4460">
        <v>81</v>
      </c>
      <c r="J4460">
        <v>4</v>
      </c>
      <c r="K4460" s="4">
        <v>1087.96</v>
      </c>
      <c r="L4460" s="4">
        <v>83.571428571428569</v>
      </c>
      <c r="M4460" s="4">
        <v>4.7863247863247867E-2</v>
      </c>
      <c r="N4460" t="s">
        <v>25</v>
      </c>
      <c r="O4460" t="str">
        <f t="shared" si="690"/>
        <v>Low</v>
      </c>
      <c r="P4460" t="str">
        <f t="shared" si="691"/>
        <v>Low</v>
      </c>
      <c r="Q4460" t="str">
        <f t="shared" si="692"/>
        <v>Low</v>
      </c>
      <c r="R4460" t="s">
        <v>3317</v>
      </c>
      <c r="S4460" s="4">
        <f t="shared" ca="1" si="693"/>
        <v>870</v>
      </c>
      <c r="T4460">
        <f t="shared" si="694"/>
        <v>1</v>
      </c>
      <c r="U4460">
        <f t="shared" si="695"/>
        <v>1</v>
      </c>
      <c r="V4460">
        <f t="shared" si="696"/>
        <v>1</v>
      </c>
      <c r="W4460">
        <f t="shared" si="697"/>
        <v>1</v>
      </c>
      <c r="X4460">
        <f t="shared" si="698"/>
        <v>0.99999999999999989</v>
      </c>
      <c r="Y4460" t="str">
        <f t="shared" si="699"/>
        <v>Healthy</v>
      </c>
    </row>
    <row r="4461" spans="1:25" x14ac:dyDescent="0.35">
      <c r="A4461" t="s">
        <v>179</v>
      </c>
      <c r="B4461" t="s">
        <v>180</v>
      </c>
      <c r="C4461" t="s">
        <v>181</v>
      </c>
      <c r="D4461" t="s">
        <v>2800</v>
      </c>
      <c r="E4461">
        <v>83923078</v>
      </c>
      <c r="F4461" t="s">
        <v>2801</v>
      </c>
      <c r="G4461" s="3">
        <v>46644</v>
      </c>
      <c r="H4461">
        <v>16</v>
      </c>
      <c r="I4461">
        <v>94</v>
      </c>
      <c r="J4461">
        <v>48</v>
      </c>
      <c r="K4461" s="4">
        <v>7740.96</v>
      </c>
      <c r="L4461" s="4">
        <v>284.57142857142856</v>
      </c>
      <c r="M4461" s="4">
        <v>0.16867469879518074</v>
      </c>
      <c r="N4461" t="s">
        <v>25</v>
      </c>
      <c r="O4461" t="str">
        <f t="shared" si="690"/>
        <v>Low</v>
      </c>
      <c r="P4461" t="str">
        <f t="shared" si="691"/>
        <v>Low</v>
      </c>
      <c r="Q4461" t="str">
        <f t="shared" si="692"/>
        <v>Low</v>
      </c>
      <c r="R4461" t="s">
        <v>3317</v>
      </c>
      <c r="S4461" s="4">
        <f t="shared" ca="1" si="693"/>
        <v>447</v>
      </c>
      <c r="T4461">
        <f t="shared" si="694"/>
        <v>1</v>
      </c>
      <c r="U4461">
        <f t="shared" si="695"/>
        <v>1</v>
      </c>
      <c r="V4461">
        <f t="shared" si="696"/>
        <v>1</v>
      </c>
      <c r="W4461">
        <f t="shared" si="697"/>
        <v>1</v>
      </c>
      <c r="X4461">
        <f t="shared" si="698"/>
        <v>0.99999999999999989</v>
      </c>
      <c r="Y4461" t="str">
        <f t="shared" si="699"/>
        <v>Healthy</v>
      </c>
    </row>
    <row r="4462" spans="1:25" x14ac:dyDescent="0.35">
      <c r="A4462" t="s">
        <v>179</v>
      </c>
      <c r="B4462" t="s">
        <v>180</v>
      </c>
      <c r="C4462" t="s">
        <v>181</v>
      </c>
      <c r="D4462" t="s">
        <v>2800</v>
      </c>
      <c r="E4462">
        <v>83923078</v>
      </c>
      <c r="F4462" t="s">
        <v>2801</v>
      </c>
      <c r="G4462" s="3">
        <v>46650</v>
      </c>
      <c r="H4462">
        <v>16</v>
      </c>
      <c r="I4462">
        <v>95</v>
      </c>
      <c r="J4462">
        <v>204</v>
      </c>
      <c r="K4462" s="4">
        <v>32899.08</v>
      </c>
      <c r="L4462" s="4">
        <v>284.57142857142856</v>
      </c>
      <c r="M4462" s="4">
        <v>0.7168674698795181</v>
      </c>
      <c r="N4462" t="s">
        <v>25</v>
      </c>
      <c r="O4462" t="str">
        <f t="shared" si="690"/>
        <v>Low</v>
      </c>
      <c r="P4462" t="str">
        <f t="shared" si="691"/>
        <v>Low</v>
      </c>
      <c r="Q4462" t="str">
        <f t="shared" si="692"/>
        <v>Low</v>
      </c>
      <c r="R4462" t="s">
        <v>3317</v>
      </c>
      <c r="S4462" s="4">
        <f t="shared" ca="1" si="693"/>
        <v>453</v>
      </c>
      <c r="T4462">
        <f t="shared" si="694"/>
        <v>1</v>
      </c>
      <c r="U4462">
        <f t="shared" si="695"/>
        <v>1</v>
      </c>
      <c r="V4462">
        <f t="shared" si="696"/>
        <v>1</v>
      </c>
      <c r="W4462">
        <f t="shared" si="697"/>
        <v>1</v>
      </c>
      <c r="X4462">
        <f t="shared" si="698"/>
        <v>0.99999999999999989</v>
      </c>
      <c r="Y4462" t="str">
        <f t="shared" si="699"/>
        <v>Healthy</v>
      </c>
    </row>
    <row r="4463" spans="1:25" x14ac:dyDescent="0.35">
      <c r="A4463" t="s">
        <v>179</v>
      </c>
      <c r="B4463" t="s">
        <v>180</v>
      </c>
      <c r="C4463" t="s">
        <v>181</v>
      </c>
      <c r="D4463" t="s">
        <v>2800</v>
      </c>
      <c r="E4463">
        <v>83923078</v>
      </c>
      <c r="F4463" t="s">
        <v>2801</v>
      </c>
      <c r="G4463" s="3">
        <v>46638</v>
      </c>
      <c r="H4463">
        <v>16</v>
      </c>
      <c r="I4463">
        <v>93</v>
      </c>
      <c r="J4463">
        <v>156</v>
      </c>
      <c r="K4463" s="4">
        <v>25158.12</v>
      </c>
      <c r="L4463" s="4">
        <v>284.57142857142856</v>
      </c>
      <c r="M4463" s="4">
        <v>0.54819277108433739</v>
      </c>
      <c r="N4463" t="s">
        <v>25</v>
      </c>
      <c r="O4463" t="str">
        <f t="shared" si="690"/>
        <v>Low</v>
      </c>
      <c r="P4463" t="str">
        <f t="shared" si="691"/>
        <v>Low</v>
      </c>
      <c r="Q4463" t="str">
        <f t="shared" si="692"/>
        <v>Low</v>
      </c>
      <c r="R4463" t="s">
        <v>3317</v>
      </c>
      <c r="S4463" s="4">
        <f t="shared" ca="1" si="693"/>
        <v>441</v>
      </c>
      <c r="T4463">
        <f t="shared" si="694"/>
        <v>1</v>
      </c>
      <c r="U4463">
        <f t="shared" si="695"/>
        <v>1</v>
      </c>
      <c r="V4463">
        <f t="shared" si="696"/>
        <v>1</v>
      </c>
      <c r="W4463">
        <f t="shared" si="697"/>
        <v>1</v>
      </c>
      <c r="X4463">
        <f t="shared" si="698"/>
        <v>0.99999999999999989</v>
      </c>
      <c r="Y4463" t="str">
        <f t="shared" si="699"/>
        <v>Healthy</v>
      </c>
    </row>
    <row r="4464" spans="1:25" x14ac:dyDescent="0.35">
      <c r="A4464" t="s">
        <v>179</v>
      </c>
      <c r="B4464" t="s">
        <v>180</v>
      </c>
      <c r="C4464" t="s">
        <v>181</v>
      </c>
      <c r="D4464" t="s">
        <v>2800</v>
      </c>
      <c r="E4464">
        <v>83923078</v>
      </c>
      <c r="F4464" t="s">
        <v>2801</v>
      </c>
      <c r="G4464" s="3">
        <v>46650</v>
      </c>
      <c r="H4464">
        <v>16</v>
      </c>
      <c r="I4464">
        <v>95</v>
      </c>
      <c r="J4464">
        <v>108</v>
      </c>
      <c r="K4464" s="4">
        <v>17417.16</v>
      </c>
      <c r="L4464" s="4">
        <v>284.57142857142856</v>
      </c>
      <c r="M4464" s="4">
        <v>0.37951807228915663</v>
      </c>
      <c r="N4464" t="s">
        <v>25</v>
      </c>
      <c r="O4464" t="str">
        <f t="shared" si="690"/>
        <v>Low</v>
      </c>
      <c r="P4464" t="str">
        <f t="shared" si="691"/>
        <v>Low</v>
      </c>
      <c r="Q4464" t="str">
        <f t="shared" si="692"/>
        <v>Low</v>
      </c>
      <c r="R4464" t="s">
        <v>3317</v>
      </c>
      <c r="S4464" s="4">
        <f t="shared" ca="1" si="693"/>
        <v>453</v>
      </c>
      <c r="T4464">
        <f t="shared" si="694"/>
        <v>1</v>
      </c>
      <c r="U4464">
        <f t="shared" si="695"/>
        <v>1</v>
      </c>
      <c r="V4464">
        <f t="shared" si="696"/>
        <v>1</v>
      </c>
      <c r="W4464">
        <f t="shared" si="697"/>
        <v>1</v>
      </c>
      <c r="X4464">
        <f t="shared" si="698"/>
        <v>0.99999999999999989</v>
      </c>
      <c r="Y4464" t="str">
        <f t="shared" si="699"/>
        <v>Healthy</v>
      </c>
    </row>
    <row r="4465" spans="1:25" x14ac:dyDescent="0.35">
      <c r="A4465" t="s">
        <v>179</v>
      </c>
      <c r="B4465" t="s">
        <v>180</v>
      </c>
      <c r="C4465" t="s">
        <v>181</v>
      </c>
      <c r="D4465" t="s">
        <v>2800</v>
      </c>
      <c r="E4465">
        <v>83923078</v>
      </c>
      <c r="F4465" t="s">
        <v>2801</v>
      </c>
      <c r="G4465" s="3">
        <v>46644</v>
      </c>
      <c r="H4465">
        <v>16</v>
      </c>
      <c r="I4465">
        <v>94</v>
      </c>
      <c r="J4465">
        <v>228</v>
      </c>
      <c r="K4465" s="4">
        <v>36769.56</v>
      </c>
      <c r="L4465" s="4">
        <v>284.57142857142856</v>
      </c>
      <c r="M4465" s="4">
        <v>0.80120481927710852</v>
      </c>
      <c r="N4465" t="s">
        <v>25</v>
      </c>
      <c r="O4465" t="str">
        <f t="shared" si="690"/>
        <v>Low</v>
      </c>
      <c r="P4465" t="str">
        <f t="shared" si="691"/>
        <v>Low</v>
      </c>
      <c r="Q4465" t="str">
        <f t="shared" si="692"/>
        <v>Low</v>
      </c>
      <c r="R4465" t="s">
        <v>3317</v>
      </c>
      <c r="S4465" s="4">
        <f t="shared" ca="1" si="693"/>
        <v>447</v>
      </c>
      <c r="T4465">
        <f t="shared" si="694"/>
        <v>1</v>
      </c>
      <c r="U4465">
        <f t="shared" si="695"/>
        <v>1</v>
      </c>
      <c r="V4465">
        <f t="shared" si="696"/>
        <v>1</v>
      </c>
      <c r="W4465">
        <f t="shared" si="697"/>
        <v>1</v>
      </c>
      <c r="X4465">
        <f t="shared" si="698"/>
        <v>0.99999999999999989</v>
      </c>
      <c r="Y4465" t="str">
        <f t="shared" si="699"/>
        <v>Healthy</v>
      </c>
    </row>
    <row r="4466" spans="1:25" x14ac:dyDescent="0.35">
      <c r="A4466" t="s">
        <v>179</v>
      </c>
      <c r="B4466" t="s">
        <v>180</v>
      </c>
      <c r="C4466" t="s">
        <v>181</v>
      </c>
      <c r="D4466" t="s">
        <v>2800</v>
      </c>
      <c r="E4466">
        <v>83923078</v>
      </c>
      <c r="F4466" t="s">
        <v>2801</v>
      </c>
      <c r="G4466" s="3">
        <v>46637</v>
      </c>
      <c r="H4466">
        <v>16</v>
      </c>
      <c r="I4466">
        <v>93</v>
      </c>
      <c r="J4466">
        <v>90</v>
      </c>
      <c r="K4466" s="4">
        <v>14514.3</v>
      </c>
      <c r="L4466" s="4">
        <v>284.57142857142856</v>
      </c>
      <c r="M4466" s="4">
        <v>0.31626506024096385</v>
      </c>
      <c r="N4466" t="s">
        <v>25</v>
      </c>
      <c r="O4466" t="str">
        <f t="shared" si="690"/>
        <v>Low</v>
      </c>
      <c r="P4466" t="str">
        <f t="shared" si="691"/>
        <v>Low</v>
      </c>
      <c r="Q4466" t="str">
        <f t="shared" si="692"/>
        <v>Low</v>
      </c>
      <c r="R4466" t="s">
        <v>3317</v>
      </c>
      <c r="S4466" s="4">
        <f t="shared" ca="1" si="693"/>
        <v>440</v>
      </c>
      <c r="T4466">
        <f t="shared" si="694"/>
        <v>1</v>
      </c>
      <c r="U4466">
        <f t="shared" si="695"/>
        <v>1</v>
      </c>
      <c r="V4466">
        <f t="shared" si="696"/>
        <v>1</v>
      </c>
      <c r="W4466">
        <f t="shared" si="697"/>
        <v>1</v>
      </c>
      <c r="X4466">
        <f t="shared" si="698"/>
        <v>0.99999999999999989</v>
      </c>
      <c r="Y4466" t="str">
        <f t="shared" si="699"/>
        <v>Healthy</v>
      </c>
    </row>
    <row r="4467" spans="1:25" x14ac:dyDescent="0.35">
      <c r="A4467" t="s">
        <v>41</v>
      </c>
      <c r="B4467" t="s">
        <v>54</v>
      </c>
      <c r="C4467" t="s">
        <v>55</v>
      </c>
      <c r="D4467" t="s">
        <v>445</v>
      </c>
      <c r="E4467">
        <v>83924047</v>
      </c>
      <c r="F4467" t="s">
        <v>2802</v>
      </c>
      <c r="G4467" s="3">
        <v>47226</v>
      </c>
      <c r="H4467">
        <v>36</v>
      </c>
      <c r="I4467">
        <v>96</v>
      </c>
      <c r="J4467">
        <v>384</v>
      </c>
      <c r="K4467" s="4">
        <v>477680.64000000001</v>
      </c>
      <c r="L4467" s="4">
        <v>104</v>
      </c>
      <c r="M4467" s="4">
        <v>3.6923076923076925</v>
      </c>
      <c r="N4467" t="s">
        <v>25</v>
      </c>
      <c r="O4467" t="str">
        <f t="shared" si="690"/>
        <v>Low</v>
      </c>
      <c r="P4467" t="str">
        <f t="shared" si="691"/>
        <v>Low</v>
      </c>
      <c r="Q4467" t="str">
        <f t="shared" si="692"/>
        <v>Low</v>
      </c>
      <c r="R4467" t="s">
        <v>3309</v>
      </c>
      <c r="S4467" s="4">
        <f t="shared" ca="1" si="693"/>
        <v>1029</v>
      </c>
      <c r="T4467">
        <f t="shared" si="694"/>
        <v>1</v>
      </c>
      <c r="U4467">
        <f t="shared" si="695"/>
        <v>1</v>
      </c>
      <c r="V4467">
        <f t="shared" si="696"/>
        <v>1</v>
      </c>
      <c r="W4467">
        <f t="shared" si="697"/>
        <v>3</v>
      </c>
      <c r="X4467">
        <f t="shared" si="698"/>
        <v>1.2</v>
      </c>
      <c r="Y4467" t="str">
        <f t="shared" si="699"/>
        <v>Healthy</v>
      </c>
    </row>
    <row r="4468" spans="1:25" x14ac:dyDescent="0.35">
      <c r="A4468" t="s">
        <v>179</v>
      </c>
      <c r="B4468" t="s">
        <v>180</v>
      </c>
      <c r="C4468" t="s">
        <v>181</v>
      </c>
      <c r="D4468" t="s">
        <v>2803</v>
      </c>
      <c r="E4468">
        <v>83923082</v>
      </c>
      <c r="F4468" t="s">
        <v>2804</v>
      </c>
      <c r="G4468" s="3">
        <v>46654</v>
      </c>
      <c r="H4468">
        <v>16</v>
      </c>
      <c r="I4468">
        <v>96</v>
      </c>
      <c r="J4468">
        <v>9360</v>
      </c>
      <c r="K4468" s="4">
        <v>1349805.6</v>
      </c>
      <c r="L4468" s="4">
        <v>3288</v>
      </c>
      <c r="M4468" s="4">
        <v>2.8467153284671531</v>
      </c>
      <c r="N4468" t="s">
        <v>25</v>
      </c>
      <c r="O4468" t="str">
        <f t="shared" si="690"/>
        <v>Low</v>
      </c>
      <c r="P4468" t="str">
        <f t="shared" si="691"/>
        <v>Low</v>
      </c>
      <c r="Q4468" t="str">
        <f t="shared" si="692"/>
        <v>Low</v>
      </c>
      <c r="R4468" t="s">
        <v>3309</v>
      </c>
      <c r="S4468" s="4">
        <f t="shared" ca="1" si="693"/>
        <v>457</v>
      </c>
      <c r="T4468">
        <f t="shared" si="694"/>
        <v>1</v>
      </c>
      <c r="U4468">
        <f t="shared" si="695"/>
        <v>1</v>
      </c>
      <c r="V4468">
        <f t="shared" si="696"/>
        <v>1</v>
      </c>
      <c r="W4468">
        <f t="shared" si="697"/>
        <v>3</v>
      </c>
      <c r="X4468">
        <f t="shared" si="698"/>
        <v>1.2</v>
      </c>
      <c r="Y4468" t="str">
        <f t="shared" si="699"/>
        <v>Healthy</v>
      </c>
    </row>
    <row r="4469" spans="1:25" x14ac:dyDescent="0.35">
      <c r="A4469" t="s">
        <v>179</v>
      </c>
      <c r="B4469" t="s">
        <v>180</v>
      </c>
      <c r="C4469" t="s">
        <v>181</v>
      </c>
      <c r="D4469" t="s">
        <v>2803</v>
      </c>
      <c r="E4469">
        <v>83923082</v>
      </c>
      <c r="F4469" t="s">
        <v>2804</v>
      </c>
      <c r="G4469" s="3">
        <v>46653</v>
      </c>
      <c r="H4469">
        <v>16</v>
      </c>
      <c r="I4469">
        <v>96</v>
      </c>
      <c r="J4469">
        <v>5145</v>
      </c>
      <c r="K4469" s="4">
        <v>741960.45</v>
      </c>
      <c r="L4469" s="4">
        <v>3288</v>
      </c>
      <c r="M4469" s="4">
        <v>1.5647810218978102</v>
      </c>
      <c r="N4469" t="s">
        <v>25</v>
      </c>
      <c r="O4469" t="str">
        <f t="shared" si="690"/>
        <v>Low</v>
      </c>
      <c r="P4469" t="str">
        <f t="shared" si="691"/>
        <v>Low</v>
      </c>
      <c r="Q4469" t="str">
        <f t="shared" si="692"/>
        <v>Low</v>
      </c>
      <c r="R4469" t="s">
        <v>3309</v>
      </c>
      <c r="S4469" s="4">
        <f t="shared" ca="1" si="693"/>
        <v>456</v>
      </c>
      <c r="T4469">
        <f t="shared" si="694"/>
        <v>1</v>
      </c>
      <c r="U4469">
        <f t="shared" si="695"/>
        <v>1</v>
      </c>
      <c r="V4469">
        <f t="shared" si="696"/>
        <v>1</v>
      </c>
      <c r="W4469">
        <f t="shared" si="697"/>
        <v>3</v>
      </c>
      <c r="X4469">
        <f t="shared" si="698"/>
        <v>1.2</v>
      </c>
      <c r="Y4469" t="str">
        <f t="shared" si="699"/>
        <v>Healthy</v>
      </c>
    </row>
    <row r="4470" spans="1:25" x14ac:dyDescent="0.35">
      <c r="A4470" t="s">
        <v>41</v>
      </c>
      <c r="B4470" t="s">
        <v>54</v>
      </c>
      <c r="C4470" t="s">
        <v>55</v>
      </c>
      <c r="D4470" t="s">
        <v>153</v>
      </c>
      <c r="E4470">
        <v>83924050</v>
      </c>
      <c r="F4470" t="s">
        <v>2805</v>
      </c>
      <c r="G4470" s="3">
        <v>47260</v>
      </c>
      <c r="H4470">
        <v>36</v>
      </c>
      <c r="I4470">
        <v>99</v>
      </c>
      <c r="J4470">
        <v>18</v>
      </c>
      <c r="K4470" s="4">
        <v>16939.98</v>
      </c>
      <c r="L4470" s="4">
        <f>0</f>
        <v>0</v>
      </c>
      <c r="M4470" s="4">
        <f>999</f>
        <v>999</v>
      </c>
      <c r="N4470" t="s">
        <v>19</v>
      </c>
      <c r="O4470" t="str">
        <f t="shared" si="690"/>
        <v>Low</v>
      </c>
      <c r="P4470" t="str">
        <f t="shared" si="691"/>
        <v>High</v>
      </c>
      <c r="Q4470" t="str">
        <f t="shared" si="692"/>
        <v>High</v>
      </c>
      <c r="R4470" t="s">
        <v>3317</v>
      </c>
      <c r="S4470" s="4">
        <f t="shared" ca="1" si="693"/>
        <v>1063</v>
      </c>
      <c r="T4470">
        <f t="shared" si="694"/>
        <v>1</v>
      </c>
      <c r="U4470">
        <f t="shared" si="695"/>
        <v>3</v>
      </c>
      <c r="V4470">
        <f t="shared" si="696"/>
        <v>3</v>
      </c>
      <c r="W4470">
        <f t="shared" si="697"/>
        <v>1</v>
      </c>
      <c r="X4470">
        <f t="shared" si="698"/>
        <v>2</v>
      </c>
      <c r="Y4470" t="str">
        <f t="shared" si="699"/>
        <v>Monitor</v>
      </c>
    </row>
    <row r="4471" spans="1:25" x14ac:dyDescent="0.35">
      <c r="A4471" t="s">
        <v>179</v>
      </c>
      <c r="B4471" t="s">
        <v>195</v>
      </c>
      <c r="C4471" t="s">
        <v>196</v>
      </c>
      <c r="D4471" t="s">
        <v>727</v>
      </c>
      <c r="E4471">
        <v>83910272</v>
      </c>
      <c r="F4471" t="s">
        <v>2806</v>
      </c>
      <c r="G4471" s="3">
        <v>46584</v>
      </c>
      <c r="H4471">
        <v>16</v>
      </c>
      <c r="I4471">
        <v>82</v>
      </c>
      <c r="J4471">
        <v>174</v>
      </c>
      <c r="K4471" s="4">
        <v>17476.560000000001</v>
      </c>
      <c r="L4471" s="4">
        <v>5843.7142857142853</v>
      </c>
      <c r="M4471" s="4">
        <v>2.9775583044052218E-2</v>
      </c>
      <c r="N4471" t="s">
        <v>25</v>
      </c>
      <c r="O4471" t="str">
        <f t="shared" si="690"/>
        <v>Low</v>
      </c>
      <c r="P4471" t="str">
        <f t="shared" si="691"/>
        <v>Low</v>
      </c>
      <c r="Q4471" t="str">
        <f t="shared" si="692"/>
        <v>Low</v>
      </c>
      <c r="R4471" t="s">
        <v>3317</v>
      </c>
      <c r="S4471" s="4">
        <f t="shared" ca="1" si="693"/>
        <v>387</v>
      </c>
      <c r="T4471">
        <f t="shared" si="694"/>
        <v>1</v>
      </c>
      <c r="U4471">
        <f t="shared" si="695"/>
        <v>1</v>
      </c>
      <c r="V4471">
        <f t="shared" si="696"/>
        <v>1</v>
      </c>
      <c r="W4471">
        <f t="shared" si="697"/>
        <v>1</v>
      </c>
      <c r="X4471">
        <f t="shared" si="698"/>
        <v>0.99999999999999989</v>
      </c>
      <c r="Y4471" t="str">
        <f t="shared" si="699"/>
        <v>Healthy</v>
      </c>
    </row>
    <row r="4472" spans="1:25" x14ac:dyDescent="0.35">
      <c r="A4472" t="s">
        <v>179</v>
      </c>
      <c r="B4472" t="s">
        <v>180</v>
      </c>
      <c r="C4472" t="s">
        <v>181</v>
      </c>
      <c r="D4472" t="s">
        <v>2807</v>
      </c>
      <c r="E4472">
        <v>83923084</v>
      </c>
      <c r="F4472" t="s">
        <v>2808</v>
      </c>
      <c r="G4472" s="3">
        <v>46665</v>
      </c>
      <c r="H4472">
        <v>16</v>
      </c>
      <c r="I4472">
        <v>99</v>
      </c>
      <c r="J4472">
        <v>32</v>
      </c>
      <c r="K4472" s="4">
        <v>12941.76</v>
      </c>
      <c r="L4472" s="4">
        <v>38.571428571428569</v>
      </c>
      <c r="M4472" s="4">
        <v>0.82962962962962972</v>
      </c>
      <c r="N4472" t="s">
        <v>25</v>
      </c>
      <c r="O4472" t="str">
        <f t="shared" si="690"/>
        <v>Low</v>
      </c>
      <c r="P4472" t="str">
        <f t="shared" si="691"/>
        <v>Low</v>
      </c>
      <c r="Q4472" t="str">
        <f t="shared" si="692"/>
        <v>Low</v>
      </c>
      <c r="R4472" t="s">
        <v>3317</v>
      </c>
      <c r="S4472" s="4">
        <f t="shared" ca="1" si="693"/>
        <v>468</v>
      </c>
      <c r="T4472">
        <f t="shared" si="694"/>
        <v>1</v>
      </c>
      <c r="U4472">
        <f t="shared" si="695"/>
        <v>1</v>
      </c>
      <c r="V4472">
        <f t="shared" si="696"/>
        <v>1</v>
      </c>
      <c r="W4472">
        <f t="shared" si="697"/>
        <v>1</v>
      </c>
      <c r="X4472">
        <f t="shared" si="698"/>
        <v>0.99999999999999989</v>
      </c>
      <c r="Y4472" t="str">
        <f t="shared" si="699"/>
        <v>Healthy</v>
      </c>
    </row>
    <row r="4473" spans="1:25" x14ac:dyDescent="0.35">
      <c r="A4473" t="s">
        <v>179</v>
      </c>
      <c r="B4473" t="s">
        <v>195</v>
      </c>
      <c r="C4473" t="s">
        <v>196</v>
      </c>
      <c r="D4473" t="s">
        <v>727</v>
      </c>
      <c r="E4473">
        <v>83910272</v>
      </c>
      <c r="F4473" t="s">
        <v>2806</v>
      </c>
      <c r="G4473" s="3">
        <v>46608</v>
      </c>
      <c r="H4473">
        <v>16</v>
      </c>
      <c r="I4473">
        <v>87</v>
      </c>
      <c r="J4473">
        <v>619</v>
      </c>
      <c r="K4473" s="4">
        <v>62172.36</v>
      </c>
      <c r="L4473" s="4">
        <v>5843.7142857142853</v>
      </c>
      <c r="M4473" s="4">
        <v>0.10592578105901336</v>
      </c>
      <c r="N4473" t="s">
        <v>25</v>
      </c>
      <c r="O4473" t="str">
        <f t="shared" si="690"/>
        <v>Low</v>
      </c>
      <c r="P4473" t="str">
        <f t="shared" si="691"/>
        <v>Low</v>
      </c>
      <c r="Q4473" t="str">
        <f t="shared" si="692"/>
        <v>Low</v>
      </c>
      <c r="R4473" t="s">
        <v>3317</v>
      </c>
      <c r="S4473" s="4">
        <f t="shared" ca="1" si="693"/>
        <v>411</v>
      </c>
      <c r="T4473">
        <f t="shared" si="694"/>
        <v>1</v>
      </c>
      <c r="U4473">
        <f t="shared" si="695"/>
        <v>1</v>
      </c>
      <c r="V4473">
        <f t="shared" si="696"/>
        <v>1</v>
      </c>
      <c r="W4473">
        <f t="shared" si="697"/>
        <v>1</v>
      </c>
      <c r="X4473">
        <f t="shared" si="698"/>
        <v>0.99999999999999989</v>
      </c>
      <c r="Y4473" t="str">
        <f t="shared" si="699"/>
        <v>Healthy</v>
      </c>
    </row>
    <row r="4474" spans="1:25" x14ac:dyDescent="0.35">
      <c r="A4474" t="s">
        <v>179</v>
      </c>
      <c r="B4474" t="s">
        <v>180</v>
      </c>
      <c r="C4474" t="s">
        <v>181</v>
      </c>
      <c r="D4474" t="s">
        <v>2807</v>
      </c>
      <c r="E4474">
        <v>83923084</v>
      </c>
      <c r="F4474" t="s">
        <v>2808</v>
      </c>
      <c r="G4474" s="3">
        <v>46636</v>
      </c>
      <c r="H4474">
        <v>16</v>
      </c>
      <c r="I4474">
        <v>93</v>
      </c>
      <c r="J4474">
        <v>53</v>
      </c>
      <c r="K4474" s="4">
        <v>21434.79</v>
      </c>
      <c r="L4474" s="4">
        <v>38.571428571428569</v>
      </c>
      <c r="M4474" s="4">
        <v>1.3740740740740742</v>
      </c>
      <c r="N4474" t="s">
        <v>25</v>
      </c>
      <c r="O4474" t="str">
        <f t="shared" si="690"/>
        <v>Low</v>
      </c>
      <c r="P4474" t="str">
        <f t="shared" si="691"/>
        <v>Low</v>
      </c>
      <c r="Q4474" t="str">
        <f t="shared" si="692"/>
        <v>Low</v>
      </c>
      <c r="R4474" t="s">
        <v>3317</v>
      </c>
      <c r="S4474" s="4">
        <f t="shared" ca="1" si="693"/>
        <v>439</v>
      </c>
      <c r="T4474">
        <f t="shared" si="694"/>
        <v>1</v>
      </c>
      <c r="U4474">
        <f t="shared" si="695"/>
        <v>1</v>
      </c>
      <c r="V4474">
        <f t="shared" si="696"/>
        <v>1</v>
      </c>
      <c r="W4474">
        <f t="shared" si="697"/>
        <v>1</v>
      </c>
      <c r="X4474">
        <f t="shared" si="698"/>
        <v>0.99999999999999989</v>
      </c>
      <c r="Y4474" t="str">
        <f t="shared" si="699"/>
        <v>Healthy</v>
      </c>
    </row>
    <row r="4475" spans="1:25" x14ac:dyDescent="0.35">
      <c r="A4475" t="s">
        <v>179</v>
      </c>
      <c r="B4475" t="s">
        <v>180</v>
      </c>
      <c r="C4475" t="s">
        <v>181</v>
      </c>
      <c r="D4475" t="s">
        <v>2807</v>
      </c>
      <c r="E4475">
        <v>83923084</v>
      </c>
      <c r="F4475" t="s">
        <v>2808</v>
      </c>
      <c r="G4475" s="3">
        <v>46633</v>
      </c>
      <c r="H4475">
        <v>16</v>
      </c>
      <c r="I4475">
        <v>92</v>
      </c>
      <c r="J4475">
        <v>220</v>
      </c>
      <c r="K4475" s="4">
        <v>88974.6</v>
      </c>
      <c r="L4475" s="4">
        <v>38.571428571428569</v>
      </c>
      <c r="M4475" s="4">
        <v>5.7037037037037042</v>
      </c>
      <c r="N4475" t="s">
        <v>25</v>
      </c>
      <c r="O4475" t="str">
        <f t="shared" si="690"/>
        <v>Low</v>
      </c>
      <c r="P4475" t="str">
        <f t="shared" si="691"/>
        <v>Medium</v>
      </c>
      <c r="Q4475" t="str">
        <f t="shared" si="692"/>
        <v>Low</v>
      </c>
      <c r="R4475" t="s">
        <v>3310</v>
      </c>
      <c r="S4475" s="4">
        <f t="shared" ca="1" si="693"/>
        <v>436</v>
      </c>
      <c r="T4475">
        <f t="shared" si="694"/>
        <v>1</v>
      </c>
      <c r="U4475">
        <f t="shared" si="695"/>
        <v>2</v>
      </c>
      <c r="V4475">
        <f t="shared" si="696"/>
        <v>1</v>
      </c>
      <c r="W4475">
        <f t="shared" si="697"/>
        <v>2</v>
      </c>
      <c r="X4475">
        <f t="shared" si="698"/>
        <v>1.4</v>
      </c>
      <c r="Y4475" t="str">
        <f t="shared" si="699"/>
        <v>Healthy</v>
      </c>
    </row>
    <row r="4476" spans="1:25" x14ac:dyDescent="0.35">
      <c r="A4476" t="s">
        <v>179</v>
      </c>
      <c r="B4476" t="s">
        <v>180</v>
      </c>
      <c r="C4476" t="s">
        <v>181</v>
      </c>
      <c r="D4476" t="s">
        <v>2807</v>
      </c>
      <c r="E4476">
        <v>83923084</v>
      </c>
      <c r="F4476" t="s">
        <v>2808</v>
      </c>
      <c r="G4476" s="3">
        <v>46634</v>
      </c>
      <c r="H4476">
        <v>16</v>
      </c>
      <c r="I4476">
        <v>92</v>
      </c>
      <c r="J4476">
        <v>24</v>
      </c>
      <c r="K4476" s="4">
        <v>9706.32</v>
      </c>
      <c r="L4476" s="4">
        <v>38.571428571428569</v>
      </c>
      <c r="M4476" s="4">
        <v>0.62222222222222223</v>
      </c>
      <c r="N4476" t="s">
        <v>25</v>
      </c>
      <c r="O4476" t="str">
        <f t="shared" si="690"/>
        <v>Low</v>
      </c>
      <c r="P4476" t="str">
        <f t="shared" si="691"/>
        <v>Low</v>
      </c>
      <c r="Q4476" t="str">
        <f t="shared" si="692"/>
        <v>Low</v>
      </c>
      <c r="R4476" t="s">
        <v>3317</v>
      </c>
      <c r="S4476" s="4">
        <f t="shared" ca="1" si="693"/>
        <v>437</v>
      </c>
      <c r="T4476">
        <f t="shared" si="694"/>
        <v>1</v>
      </c>
      <c r="U4476">
        <f t="shared" si="695"/>
        <v>1</v>
      </c>
      <c r="V4476">
        <f t="shared" si="696"/>
        <v>1</v>
      </c>
      <c r="W4476">
        <f t="shared" si="697"/>
        <v>1</v>
      </c>
      <c r="X4476">
        <f t="shared" si="698"/>
        <v>0.99999999999999989</v>
      </c>
      <c r="Y4476" t="str">
        <f t="shared" si="699"/>
        <v>Healthy</v>
      </c>
    </row>
    <row r="4477" spans="1:25" x14ac:dyDescent="0.35">
      <c r="A4477" t="s">
        <v>179</v>
      </c>
      <c r="B4477" t="s">
        <v>195</v>
      </c>
      <c r="C4477" t="s">
        <v>196</v>
      </c>
      <c r="D4477" t="s">
        <v>727</v>
      </c>
      <c r="E4477">
        <v>83910272</v>
      </c>
      <c r="F4477" t="s">
        <v>2806</v>
      </c>
      <c r="G4477" s="3">
        <v>46609</v>
      </c>
      <c r="H4477">
        <v>16</v>
      </c>
      <c r="I4477">
        <v>87</v>
      </c>
      <c r="J4477">
        <v>554</v>
      </c>
      <c r="K4477" s="4">
        <v>55643.76</v>
      </c>
      <c r="L4477" s="4">
        <v>5843.7142857142853</v>
      </c>
      <c r="M4477" s="4">
        <v>9.4802718427614535E-2</v>
      </c>
      <c r="N4477" t="s">
        <v>25</v>
      </c>
      <c r="O4477" t="str">
        <f t="shared" si="690"/>
        <v>Low</v>
      </c>
      <c r="P4477" t="str">
        <f t="shared" si="691"/>
        <v>Low</v>
      </c>
      <c r="Q4477" t="str">
        <f t="shared" si="692"/>
        <v>Low</v>
      </c>
      <c r="R4477" t="s">
        <v>3317</v>
      </c>
      <c r="S4477" s="4">
        <f t="shared" ca="1" si="693"/>
        <v>412</v>
      </c>
      <c r="T4477">
        <f t="shared" si="694"/>
        <v>1</v>
      </c>
      <c r="U4477">
        <f t="shared" si="695"/>
        <v>1</v>
      </c>
      <c r="V4477">
        <f t="shared" si="696"/>
        <v>1</v>
      </c>
      <c r="W4477">
        <f t="shared" si="697"/>
        <v>1</v>
      </c>
      <c r="X4477">
        <f t="shared" si="698"/>
        <v>0.99999999999999989</v>
      </c>
      <c r="Y4477" t="str">
        <f t="shared" si="699"/>
        <v>Healthy</v>
      </c>
    </row>
    <row r="4478" spans="1:25" x14ac:dyDescent="0.35">
      <c r="A4478" t="s">
        <v>41</v>
      </c>
      <c r="B4478" t="s">
        <v>54</v>
      </c>
      <c r="C4478" t="s">
        <v>55</v>
      </c>
      <c r="D4478" t="s">
        <v>1564</v>
      </c>
      <c r="E4478">
        <v>83924053</v>
      </c>
      <c r="F4478" t="s">
        <v>2809</v>
      </c>
      <c r="G4478" s="3">
        <v>47226</v>
      </c>
      <c r="H4478">
        <v>36</v>
      </c>
      <c r="I4478">
        <v>96</v>
      </c>
      <c r="J4478">
        <v>8</v>
      </c>
      <c r="K4478" s="4">
        <v>9951.68</v>
      </c>
      <c r="L4478" s="4">
        <f>0</f>
        <v>0</v>
      </c>
      <c r="M4478" s="4">
        <f>999</f>
        <v>999</v>
      </c>
      <c r="N4478" t="s">
        <v>19</v>
      </c>
      <c r="O4478" t="str">
        <f t="shared" si="690"/>
        <v>Low</v>
      </c>
      <c r="P4478" t="str">
        <f t="shared" si="691"/>
        <v>High</v>
      </c>
      <c r="Q4478" t="str">
        <f t="shared" si="692"/>
        <v>High</v>
      </c>
      <c r="R4478" t="s">
        <v>3317</v>
      </c>
      <c r="S4478" s="4">
        <f t="shared" ca="1" si="693"/>
        <v>1029</v>
      </c>
      <c r="T4478">
        <f t="shared" si="694"/>
        <v>1</v>
      </c>
      <c r="U4478">
        <f t="shared" si="695"/>
        <v>3</v>
      </c>
      <c r="V4478">
        <f t="shared" si="696"/>
        <v>3</v>
      </c>
      <c r="W4478">
        <f t="shared" si="697"/>
        <v>1</v>
      </c>
      <c r="X4478">
        <f t="shared" si="698"/>
        <v>2</v>
      </c>
      <c r="Y4478" t="str">
        <f t="shared" si="699"/>
        <v>Monitor</v>
      </c>
    </row>
    <row r="4479" spans="1:25" x14ac:dyDescent="0.35">
      <c r="A4479" t="s">
        <v>179</v>
      </c>
      <c r="B4479" t="s">
        <v>195</v>
      </c>
      <c r="C4479" t="s">
        <v>196</v>
      </c>
      <c r="D4479" t="s">
        <v>727</v>
      </c>
      <c r="E4479">
        <v>83910272</v>
      </c>
      <c r="F4479" t="s">
        <v>2806</v>
      </c>
      <c r="G4479" s="3">
        <v>46531</v>
      </c>
      <c r="H4479">
        <v>16</v>
      </c>
      <c r="I4479">
        <v>71</v>
      </c>
      <c r="J4479">
        <v>2</v>
      </c>
      <c r="K4479" s="4">
        <v>200.88</v>
      </c>
      <c r="L4479" s="4">
        <v>5843.7142857142853</v>
      </c>
      <c r="M4479" s="4">
        <v>3.4224808096611746E-4</v>
      </c>
      <c r="N4479" t="s">
        <v>25</v>
      </c>
      <c r="O4479" t="str">
        <f t="shared" si="690"/>
        <v>Low</v>
      </c>
      <c r="P4479" t="str">
        <f t="shared" si="691"/>
        <v>Low</v>
      </c>
      <c r="Q4479" t="str">
        <f t="shared" si="692"/>
        <v>Low</v>
      </c>
      <c r="R4479" t="s">
        <v>3317</v>
      </c>
      <c r="S4479" s="4">
        <f t="shared" ca="1" si="693"/>
        <v>334</v>
      </c>
      <c r="T4479">
        <f t="shared" si="694"/>
        <v>1</v>
      </c>
      <c r="U4479">
        <f t="shared" si="695"/>
        <v>1</v>
      </c>
      <c r="V4479">
        <f t="shared" si="696"/>
        <v>1</v>
      </c>
      <c r="W4479">
        <f t="shared" si="697"/>
        <v>1</v>
      </c>
      <c r="X4479">
        <f t="shared" si="698"/>
        <v>0.99999999999999989</v>
      </c>
      <c r="Y4479" t="str">
        <f t="shared" si="699"/>
        <v>Healthy</v>
      </c>
    </row>
    <row r="4480" spans="1:25" x14ac:dyDescent="0.35">
      <c r="A4480" t="s">
        <v>179</v>
      </c>
      <c r="B4480" t="s">
        <v>180</v>
      </c>
      <c r="C4480" t="s">
        <v>181</v>
      </c>
      <c r="D4480" t="s">
        <v>2810</v>
      </c>
      <c r="E4480">
        <v>83923087</v>
      </c>
      <c r="F4480" t="s">
        <v>2811</v>
      </c>
      <c r="G4480" s="3">
        <v>46633</v>
      </c>
      <c r="H4480">
        <v>16</v>
      </c>
      <c r="I4480">
        <v>92</v>
      </c>
      <c r="J4480">
        <v>128</v>
      </c>
      <c r="K4480" s="4">
        <v>59731.199999999997</v>
      </c>
      <c r="L4480" s="4">
        <v>75.714285714285708</v>
      </c>
      <c r="M4480" s="4">
        <v>1.6905660377358491</v>
      </c>
      <c r="N4480" t="s">
        <v>25</v>
      </c>
      <c r="O4480" t="str">
        <f t="shared" si="690"/>
        <v>Low</v>
      </c>
      <c r="P4480" t="str">
        <f t="shared" si="691"/>
        <v>Low</v>
      </c>
      <c r="Q4480" t="str">
        <f t="shared" si="692"/>
        <v>Low</v>
      </c>
      <c r="R4480" t="s">
        <v>3317</v>
      </c>
      <c r="S4480" s="4">
        <f t="shared" ca="1" si="693"/>
        <v>436</v>
      </c>
      <c r="T4480">
        <f t="shared" si="694"/>
        <v>1</v>
      </c>
      <c r="U4480">
        <f t="shared" si="695"/>
        <v>1</v>
      </c>
      <c r="V4480">
        <f t="shared" si="696"/>
        <v>1</v>
      </c>
      <c r="W4480">
        <f t="shared" si="697"/>
        <v>1</v>
      </c>
      <c r="X4480">
        <f t="shared" si="698"/>
        <v>0.99999999999999989</v>
      </c>
      <c r="Y4480" t="str">
        <f t="shared" si="699"/>
        <v>Healthy</v>
      </c>
    </row>
    <row r="4481" spans="1:25" x14ac:dyDescent="0.35">
      <c r="A4481" t="s">
        <v>179</v>
      </c>
      <c r="B4481" t="s">
        <v>180</v>
      </c>
      <c r="C4481" t="s">
        <v>181</v>
      </c>
      <c r="D4481" t="s">
        <v>2810</v>
      </c>
      <c r="E4481">
        <v>83923087</v>
      </c>
      <c r="F4481" t="s">
        <v>2811</v>
      </c>
      <c r="G4481" s="3">
        <v>46644</v>
      </c>
      <c r="H4481">
        <v>16</v>
      </c>
      <c r="I4481">
        <v>94</v>
      </c>
      <c r="J4481">
        <v>8</v>
      </c>
      <c r="K4481" s="4">
        <v>3733.2</v>
      </c>
      <c r="L4481" s="4">
        <v>75.714285714285708</v>
      </c>
      <c r="M4481" s="4">
        <v>0.10566037735849057</v>
      </c>
      <c r="N4481" t="s">
        <v>25</v>
      </c>
      <c r="O4481" t="str">
        <f t="shared" si="690"/>
        <v>Low</v>
      </c>
      <c r="P4481" t="str">
        <f t="shared" si="691"/>
        <v>Low</v>
      </c>
      <c r="Q4481" t="str">
        <f t="shared" si="692"/>
        <v>Low</v>
      </c>
      <c r="R4481" t="s">
        <v>3317</v>
      </c>
      <c r="S4481" s="4">
        <f t="shared" ca="1" si="693"/>
        <v>447</v>
      </c>
      <c r="T4481">
        <f t="shared" si="694"/>
        <v>1</v>
      </c>
      <c r="U4481">
        <f t="shared" si="695"/>
        <v>1</v>
      </c>
      <c r="V4481">
        <f t="shared" si="696"/>
        <v>1</v>
      </c>
      <c r="W4481">
        <f t="shared" si="697"/>
        <v>1</v>
      </c>
      <c r="X4481">
        <f t="shared" si="698"/>
        <v>0.99999999999999989</v>
      </c>
      <c r="Y4481" t="str">
        <f t="shared" si="699"/>
        <v>Healthy</v>
      </c>
    </row>
    <row r="4482" spans="1:25" x14ac:dyDescent="0.35">
      <c r="A4482" t="s">
        <v>179</v>
      </c>
      <c r="B4482" t="s">
        <v>195</v>
      </c>
      <c r="C4482" t="s">
        <v>196</v>
      </c>
      <c r="D4482" t="s">
        <v>2812</v>
      </c>
      <c r="E4482">
        <v>83910274</v>
      </c>
      <c r="F4482" t="s">
        <v>2813</v>
      </c>
      <c r="G4482" s="3">
        <v>46654</v>
      </c>
      <c r="H4482">
        <v>16</v>
      </c>
      <c r="I4482">
        <v>96</v>
      </c>
      <c r="J4482">
        <v>48</v>
      </c>
      <c r="K4482" s="4">
        <v>9642.24</v>
      </c>
      <c r="L4482" s="4">
        <v>5226.4285714285716</v>
      </c>
      <c r="M4482" s="4">
        <v>9.1840918409184097E-3</v>
      </c>
      <c r="N4482" t="s">
        <v>25</v>
      </c>
      <c r="O4482" t="str">
        <f t="shared" si="690"/>
        <v>Low</v>
      </c>
      <c r="P4482" t="str">
        <f t="shared" si="691"/>
        <v>Low</v>
      </c>
      <c r="Q4482" t="str">
        <f t="shared" si="692"/>
        <v>Low</v>
      </c>
      <c r="R4482" t="s">
        <v>3317</v>
      </c>
      <c r="S4482" s="4">
        <f t="shared" ca="1" si="693"/>
        <v>457</v>
      </c>
      <c r="T4482">
        <f t="shared" si="694"/>
        <v>1</v>
      </c>
      <c r="U4482">
        <f t="shared" si="695"/>
        <v>1</v>
      </c>
      <c r="V4482">
        <f t="shared" si="696"/>
        <v>1</v>
      </c>
      <c r="W4482">
        <f t="shared" si="697"/>
        <v>1</v>
      </c>
      <c r="X4482">
        <f t="shared" si="698"/>
        <v>0.99999999999999989</v>
      </c>
      <c r="Y4482" t="str">
        <f t="shared" si="699"/>
        <v>Healthy</v>
      </c>
    </row>
    <row r="4483" spans="1:25" x14ac:dyDescent="0.35">
      <c r="A4483" t="s">
        <v>179</v>
      </c>
      <c r="B4483" t="s">
        <v>180</v>
      </c>
      <c r="C4483" t="s">
        <v>181</v>
      </c>
      <c r="D4483" t="s">
        <v>2810</v>
      </c>
      <c r="E4483">
        <v>83923087</v>
      </c>
      <c r="F4483" t="s">
        <v>2811</v>
      </c>
      <c r="G4483" s="3">
        <v>46627</v>
      </c>
      <c r="H4483">
        <v>16</v>
      </c>
      <c r="I4483">
        <v>91</v>
      </c>
      <c r="J4483">
        <v>9</v>
      </c>
      <c r="K4483" s="4">
        <v>4199.8500000000004</v>
      </c>
      <c r="L4483" s="4">
        <v>75.714285714285708</v>
      </c>
      <c r="M4483" s="4">
        <v>0.1188679245283019</v>
      </c>
      <c r="N4483" t="s">
        <v>25</v>
      </c>
      <c r="O4483" t="str">
        <f t="shared" ref="O4483:O4546" si="700">IF(I4483&lt;20,"High",IF(I4483&lt;40,"Medium","Low"))</f>
        <v>Low</v>
      </c>
      <c r="P4483" t="str">
        <f t="shared" ref="P4483:P4546" si="701">IF(M4483&gt;8,"High",IF(M4483&gt;4,"Medium","Low"))</f>
        <v>Low</v>
      </c>
      <c r="Q4483" t="str">
        <f t="shared" ref="Q4483:Q4546" si="702">IF(L4483&lt;5,"High",IF(L4483&lt;15,"Medium","Low"))</f>
        <v>Low</v>
      </c>
      <c r="R4483" t="s">
        <v>3317</v>
      </c>
      <c r="S4483" s="4">
        <f t="shared" ref="S4483:S4546" ca="1" si="703">G4483-TODAY()</f>
        <v>430</v>
      </c>
      <c r="T4483">
        <f t="shared" ref="T4483:T4546" si="704">IF(O4483="High",3,IF(O4483="Medium",2,1))</f>
        <v>1</v>
      </c>
      <c r="U4483">
        <f t="shared" ref="U4483:U4546" si="705">IF(P4483="High",3,IF(P4483="Medium",2,1))</f>
        <v>1</v>
      </c>
      <c r="V4483">
        <f t="shared" ref="V4483:V4546" si="706">IF(Q4483="High",3,IF(Q4483="Medium",2,1))</f>
        <v>1</v>
      </c>
      <c r="W4483">
        <f t="shared" ref="W4483:W4546" si="707">IF(R4483="High",3,IF(R4483="Medium",2,1))</f>
        <v>1</v>
      </c>
      <c r="X4483">
        <f t="shared" ref="X4483:X4546" si="708">(0.4*T4483)+(0.3*U4483)+(0.2*V4483)+(0.1*W4483)</f>
        <v>0.99999999999999989</v>
      </c>
      <c r="Y4483" t="str">
        <f t="shared" ref="Y4483:Y4546" si="709">IF(X4483&gt;=2.7,"Move Immediately",IF(X4483&gt;=2.2,"High Priority",IF(X4483&gt;=1.7,"Monitor","Healthy")))</f>
        <v>Healthy</v>
      </c>
    </row>
    <row r="4484" spans="1:25" x14ac:dyDescent="0.35">
      <c r="A4484" t="s">
        <v>179</v>
      </c>
      <c r="B4484" t="s">
        <v>195</v>
      </c>
      <c r="C4484" t="s">
        <v>196</v>
      </c>
      <c r="D4484" t="s">
        <v>2812</v>
      </c>
      <c r="E4484">
        <v>83910274</v>
      </c>
      <c r="F4484" t="s">
        <v>2813</v>
      </c>
      <c r="G4484" s="3">
        <v>46669</v>
      </c>
      <c r="H4484">
        <v>16</v>
      </c>
      <c r="I4484">
        <v>99</v>
      </c>
      <c r="J4484">
        <v>1176</v>
      </c>
      <c r="K4484" s="4">
        <v>236234.88</v>
      </c>
      <c r="L4484" s="4">
        <v>5226.4285714285716</v>
      </c>
      <c r="M4484" s="4">
        <v>0.22501025010250103</v>
      </c>
      <c r="N4484" t="s">
        <v>25</v>
      </c>
      <c r="O4484" t="str">
        <f t="shared" si="700"/>
        <v>Low</v>
      </c>
      <c r="P4484" t="str">
        <f t="shared" si="701"/>
        <v>Low</v>
      </c>
      <c r="Q4484" t="str">
        <f t="shared" si="702"/>
        <v>Low</v>
      </c>
      <c r="R4484" t="s">
        <v>3309</v>
      </c>
      <c r="S4484" s="4">
        <f t="shared" ca="1" si="703"/>
        <v>472</v>
      </c>
      <c r="T4484">
        <f t="shared" si="704"/>
        <v>1</v>
      </c>
      <c r="U4484">
        <f t="shared" si="705"/>
        <v>1</v>
      </c>
      <c r="V4484">
        <f t="shared" si="706"/>
        <v>1</v>
      </c>
      <c r="W4484">
        <f t="shared" si="707"/>
        <v>3</v>
      </c>
      <c r="X4484">
        <f t="shared" si="708"/>
        <v>1.2</v>
      </c>
      <c r="Y4484" t="str">
        <f t="shared" si="709"/>
        <v>Healthy</v>
      </c>
    </row>
    <row r="4485" spans="1:25" x14ac:dyDescent="0.35">
      <c r="A4485" t="s">
        <v>179</v>
      </c>
      <c r="B4485" t="s">
        <v>180</v>
      </c>
      <c r="C4485" t="s">
        <v>181</v>
      </c>
      <c r="D4485" t="s">
        <v>2810</v>
      </c>
      <c r="E4485">
        <v>83923087</v>
      </c>
      <c r="F4485" t="s">
        <v>2811</v>
      </c>
      <c r="G4485" s="3">
        <v>46637</v>
      </c>
      <c r="H4485">
        <v>16</v>
      </c>
      <c r="I4485">
        <v>93</v>
      </c>
      <c r="J4485">
        <v>4</v>
      </c>
      <c r="K4485" s="4">
        <v>1866.6</v>
      </c>
      <c r="L4485" s="4">
        <v>75.714285714285708</v>
      </c>
      <c r="M4485" s="4">
        <v>5.2830188679245285E-2</v>
      </c>
      <c r="N4485" t="s">
        <v>25</v>
      </c>
      <c r="O4485" t="str">
        <f t="shared" si="700"/>
        <v>Low</v>
      </c>
      <c r="P4485" t="str">
        <f t="shared" si="701"/>
        <v>Low</v>
      </c>
      <c r="Q4485" t="str">
        <f t="shared" si="702"/>
        <v>Low</v>
      </c>
      <c r="R4485" t="s">
        <v>3317</v>
      </c>
      <c r="S4485" s="4">
        <f t="shared" ca="1" si="703"/>
        <v>440</v>
      </c>
      <c r="T4485">
        <f t="shared" si="704"/>
        <v>1</v>
      </c>
      <c r="U4485">
        <f t="shared" si="705"/>
        <v>1</v>
      </c>
      <c r="V4485">
        <f t="shared" si="706"/>
        <v>1</v>
      </c>
      <c r="W4485">
        <f t="shared" si="707"/>
        <v>1</v>
      </c>
      <c r="X4485">
        <f t="shared" si="708"/>
        <v>0.99999999999999989</v>
      </c>
      <c r="Y4485" t="str">
        <f t="shared" si="709"/>
        <v>Healthy</v>
      </c>
    </row>
    <row r="4486" spans="1:25" x14ac:dyDescent="0.35">
      <c r="A4486" t="s">
        <v>179</v>
      </c>
      <c r="B4486" t="s">
        <v>195</v>
      </c>
      <c r="C4486" t="s">
        <v>196</v>
      </c>
      <c r="D4486" t="s">
        <v>2812</v>
      </c>
      <c r="E4486">
        <v>83910274</v>
      </c>
      <c r="F4486" t="s">
        <v>2813</v>
      </c>
      <c r="G4486" s="3">
        <v>46620</v>
      </c>
      <c r="H4486">
        <v>16</v>
      </c>
      <c r="I4486">
        <v>89</v>
      </c>
      <c r="J4486">
        <v>476</v>
      </c>
      <c r="K4486" s="4">
        <v>95618.880000000005</v>
      </c>
      <c r="L4486" s="4">
        <v>5226.4285714285716</v>
      </c>
      <c r="M4486" s="4">
        <v>9.1075577422440893E-2</v>
      </c>
      <c r="N4486" t="s">
        <v>25</v>
      </c>
      <c r="O4486" t="str">
        <f t="shared" si="700"/>
        <v>Low</v>
      </c>
      <c r="P4486" t="str">
        <f t="shared" si="701"/>
        <v>Low</v>
      </c>
      <c r="Q4486" t="str">
        <f t="shared" si="702"/>
        <v>Low</v>
      </c>
      <c r="R4486" t="s">
        <v>3310</v>
      </c>
      <c r="S4486" s="4">
        <f t="shared" ca="1" si="703"/>
        <v>423</v>
      </c>
      <c r="T4486">
        <f t="shared" si="704"/>
        <v>1</v>
      </c>
      <c r="U4486">
        <f t="shared" si="705"/>
        <v>1</v>
      </c>
      <c r="V4486">
        <f t="shared" si="706"/>
        <v>1</v>
      </c>
      <c r="W4486">
        <f t="shared" si="707"/>
        <v>2</v>
      </c>
      <c r="X4486">
        <f t="shared" si="708"/>
        <v>1.0999999999999999</v>
      </c>
      <c r="Y4486" t="str">
        <f t="shared" si="709"/>
        <v>Healthy</v>
      </c>
    </row>
    <row r="4487" spans="1:25" x14ac:dyDescent="0.35">
      <c r="A4487" t="s">
        <v>179</v>
      </c>
      <c r="B4487" t="s">
        <v>180</v>
      </c>
      <c r="C4487" t="s">
        <v>181</v>
      </c>
      <c r="D4487" t="s">
        <v>2810</v>
      </c>
      <c r="E4487">
        <v>83923087</v>
      </c>
      <c r="F4487" t="s">
        <v>2811</v>
      </c>
      <c r="G4487" s="3">
        <v>46650</v>
      </c>
      <c r="H4487">
        <v>16</v>
      </c>
      <c r="I4487">
        <v>95</v>
      </c>
      <c r="J4487">
        <v>152</v>
      </c>
      <c r="K4487" s="4">
        <v>70930.8</v>
      </c>
      <c r="L4487" s="4">
        <v>75.714285714285708</v>
      </c>
      <c r="M4487" s="4">
        <v>2.0075471698113208</v>
      </c>
      <c r="N4487" t="s">
        <v>25</v>
      </c>
      <c r="O4487" t="str">
        <f t="shared" si="700"/>
        <v>Low</v>
      </c>
      <c r="P4487" t="str">
        <f t="shared" si="701"/>
        <v>Low</v>
      </c>
      <c r="Q4487" t="str">
        <f t="shared" si="702"/>
        <v>Low</v>
      </c>
      <c r="R4487" t="s">
        <v>3310</v>
      </c>
      <c r="S4487" s="4">
        <f t="shared" ca="1" si="703"/>
        <v>453</v>
      </c>
      <c r="T4487">
        <f t="shared" si="704"/>
        <v>1</v>
      </c>
      <c r="U4487">
        <f t="shared" si="705"/>
        <v>1</v>
      </c>
      <c r="V4487">
        <f t="shared" si="706"/>
        <v>1</v>
      </c>
      <c r="W4487">
        <f t="shared" si="707"/>
        <v>2</v>
      </c>
      <c r="X4487">
        <f t="shared" si="708"/>
        <v>1.0999999999999999</v>
      </c>
      <c r="Y4487" t="str">
        <f t="shared" si="709"/>
        <v>Healthy</v>
      </c>
    </row>
    <row r="4488" spans="1:25" x14ac:dyDescent="0.35">
      <c r="A4488" t="s">
        <v>41</v>
      </c>
      <c r="B4488" t="s">
        <v>42</v>
      </c>
      <c r="C4488" t="s">
        <v>43</v>
      </c>
      <c r="D4488" t="s">
        <v>1455</v>
      </c>
      <c r="E4488">
        <v>83924055</v>
      </c>
      <c r="F4488" t="s">
        <v>2814</v>
      </c>
      <c r="G4488" s="3">
        <v>47263</v>
      </c>
      <c r="H4488">
        <v>36</v>
      </c>
      <c r="I4488">
        <v>99</v>
      </c>
      <c r="J4488">
        <v>168</v>
      </c>
      <c r="K4488" s="4">
        <v>188153.28</v>
      </c>
      <c r="L4488" s="4">
        <v>60</v>
      </c>
      <c r="M4488" s="4">
        <v>2.8</v>
      </c>
      <c r="N4488" t="s">
        <v>25</v>
      </c>
      <c r="O4488" t="str">
        <f t="shared" si="700"/>
        <v>Low</v>
      </c>
      <c r="P4488" t="str">
        <f t="shared" si="701"/>
        <v>Low</v>
      </c>
      <c r="Q4488" t="str">
        <f t="shared" si="702"/>
        <v>Low</v>
      </c>
      <c r="R4488" t="s">
        <v>3309</v>
      </c>
      <c r="S4488" s="4">
        <f t="shared" ca="1" si="703"/>
        <v>1066</v>
      </c>
      <c r="T4488">
        <f t="shared" si="704"/>
        <v>1</v>
      </c>
      <c r="U4488">
        <f t="shared" si="705"/>
        <v>1</v>
      </c>
      <c r="V4488">
        <f t="shared" si="706"/>
        <v>1</v>
      </c>
      <c r="W4488">
        <f t="shared" si="707"/>
        <v>3</v>
      </c>
      <c r="X4488">
        <f t="shared" si="708"/>
        <v>1.2</v>
      </c>
      <c r="Y4488" t="str">
        <f t="shared" si="709"/>
        <v>Healthy</v>
      </c>
    </row>
    <row r="4489" spans="1:25" x14ac:dyDescent="0.35">
      <c r="A4489" t="s">
        <v>41</v>
      </c>
      <c r="B4489" t="s">
        <v>42</v>
      </c>
      <c r="C4489" t="s">
        <v>43</v>
      </c>
      <c r="D4489" t="s">
        <v>1455</v>
      </c>
      <c r="E4489">
        <v>83924055</v>
      </c>
      <c r="F4489" t="s">
        <v>2814</v>
      </c>
      <c r="G4489" s="3">
        <v>47217</v>
      </c>
      <c r="H4489">
        <v>36</v>
      </c>
      <c r="I4489">
        <v>95</v>
      </c>
      <c r="J4489">
        <v>4</v>
      </c>
      <c r="K4489" s="4">
        <v>4479.84</v>
      </c>
      <c r="L4489" s="4">
        <v>60</v>
      </c>
      <c r="M4489" s="4">
        <v>6.6666666666666666E-2</v>
      </c>
      <c r="N4489" t="s">
        <v>25</v>
      </c>
      <c r="O4489" t="str">
        <f t="shared" si="700"/>
        <v>Low</v>
      </c>
      <c r="P4489" t="str">
        <f t="shared" si="701"/>
        <v>Low</v>
      </c>
      <c r="Q4489" t="str">
        <f t="shared" si="702"/>
        <v>Low</v>
      </c>
      <c r="R4489" t="s">
        <v>3317</v>
      </c>
      <c r="S4489" s="4">
        <f t="shared" ca="1" si="703"/>
        <v>1020</v>
      </c>
      <c r="T4489">
        <f t="shared" si="704"/>
        <v>1</v>
      </c>
      <c r="U4489">
        <f t="shared" si="705"/>
        <v>1</v>
      </c>
      <c r="V4489">
        <f t="shared" si="706"/>
        <v>1</v>
      </c>
      <c r="W4489">
        <f t="shared" si="707"/>
        <v>1</v>
      </c>
      <c r="X4489">
        <f t="shared" si="708"/>
        <v>0.99999999999999989</v>
      </c>
      <c r="Y4489" t="str">
        <f t="shared" si="709"/>
        <v>Healthy</v>
      </c>
    </row>
    <row r="4490" spans="1:25" x14ac:dyDescent="0.35">
      <c r="A4490" t="s">
        <v>179</v>
      </c>
      <c r="B4490" t="s">
        <v>195</v>
      </c>
      <c r="C4490" t="s">
        <v>196</v>
      </c>
      <c r="D4490" t="s">
        <v>2812</v>
      </c>
      <c r="E4490">
        <v>83910274</v>
      </c>
      <c r="F4490" t="s">
        <v>2813</v>
      </c>
      <c r="G4490" s="3">
        <v>46599</v>
      </c>
      <c r="H4490">
        <v>16</v>
      </c>
      <c r="I4490">
        <v>85</v>
      </c>
      <c r="J4490">
        <v>193</v>
      </c>
      <c r="K4490" s="4">
        <v>38769.839999999997</v>
      </c>
      <c r="L4490" s="4">
        <v>5226.4285714285716</v>
      </c>
      <c r="M4490" s="4">
        <v>3.6927702610359436E-2</v>
      </c>
      <c r="N4490" t="s">
        <v>25</v>
      </c>
      <c r="O4490" t="str">
        <f t="shared" si="700"/>
        <v>Low</v>
      </c>
      <c r="P4490" t="str">
        <f t="shared" si="701"/>
        <v>Low</v>
      </c>
      <c r="Q4490" t="str">
        <f t="shared" si="702"/>
        <v>Low</v>
      </c>
      <c r="R4490" t="s">
        <v>3317</v>
      </c>
      <c r="S4490" s="4">
        <f t="shared" ca="1" si="703"/>
        <v>402</v>
      </c>
      <c r="T4490">
        <f t="shared" si="704"/>
        <v>1</v>
      </c>
      <c r="U4490">
        <f t="shared" si="705"/>
        <v>1</v>
      </c>
      <c r="V4490">
        <f t="shared" si="706"/>
        <v>1</v>
      </c>
      <c r="W4490">
        <f t="shared" si="707"/>
        <v>1</v>
      </c>
      <c r="X4490">
        <f t="shared" si="708"/>
        <v>0.99999999999999989</v>
      </c>
      <c r="Y4490" t="str">
        <f t="shared" si="709"/>
        <v>Healthy</v>
      </c>
    </row>
    <row r="4491" spans="1:25" x14ac:dyDescent="0.35">
      <c r="A4491" t="s">
        <v>41</v>
      </c>
      <c r="B4491" t="s">
        <v>54</v>
      </c>
      <c r="C4491" t="s">
        <v>87</v>
      </c>
      <c r="D4491" t="s">
        <v>2815</v>
      </c>
      <c r="E4491">
        <v>83924030</v>
      </c>
      <c r="F4491" t="s">
        <v>2816</v>
      </c>
      <c r="G4491" s="3">
        <v>47239</v>
      </c>
      <c r="H4491">
        <v>36</v>
      </c>
      <c r="I4491">
        <v>97</v>
      </c>
      <c r="J4491">
        <v>34</v>
      </c>
      <c r="K4491" s="4">
        <v>2759.44</v>
      </c>
      <c r="L4491" s="4">
        <f>0</f>
        <v>0</v>
      </c>
      <c r="M4491" s="4">
        <f>999</f>
        <v>999</v>
      </c>
      <c r="N4491" t="s">
        <v>19</v>
      </c>
      <c r="O4491" t="str">
        <f t="shared" si="700"/>
        <v>Low</v>
      </c>
      <c r="P4491" t="str">
        <f t="shared" si="701"/>
        <v>High</v>
      </c>
      <c r="Q4491" t="str">
        <f t="shared" si="702"/>
        <v>High</v>
      </c>
      <c r="R4491" t="s">
        <v>3317</v>
      </c>
      <c r="S4491" s="4">
        <f t="shared" ca="1" si="703"/>
        <v>1042</v>
      </c>
      <c r="T4491">
        <f t="shared" si="704"/>
        <v>1</v>
      </c>
      <c r="U4491">
        <f t="shared" si="705"/>
        <v>3</v>
      </c>
      <c r="V4491">
        <f t="shared" si="706"/>
        <v>3</v>
      </c>
      <c r="W4491">
        <f t="shared" si="707"/>
        <v>1</v>
      </c>
      <c r="X4491">
        <f t="shared" si="708"/>
        <v>2</v>
      </c>
      <c r="Y4491" t="str">
        <f t="shared" si="709"/>
        <v>Monitor</v>
      </c>
    </row>
    <row r="4492" spans="1:25" x14ac:dyDescent="0.35">
      <c r="A4492" t="s">
        <v>41</v>
      </c>
      <c r="B4492" t="s">
        <v>54</v>
      </c>
      <c r="C4492" t="s">
        <v>87</v>
      </c>
      <c r="D4492" t="s">
        <v>2817</v>
      </c>
      <c r="E4492">
        <v>83924085</v>
      </c>
      <c r="F4492" t="s">
        <v>2818</v>
      </c>
      <c r="G4492" s="3">
        <v>47216</v>
      </c>
      <c r="H4492">
        <v>36</v>
      </c>
      <c r="I4492">
        <v>95</v>
      </c>
      <c r="J4492">
        <v>143</v>
      </c>
      <c r="K4492" s="4">
        <v>65642.720000000001</v>
      </c>
      <c r="L4492" s="4">
        <v>6.8571428571428568</v>
      </c>
      <c r="M4492" s="4">
        <v>20.854166666666668</v>
      </c>
      <c r="N4492" t="s">
        <v>19</v>
      </c>
      <c r="O4492" t="str">
        <f t="shared" si="700"/>
        <v>Low</v>
      </c>
      <c r="P4492" t="str">
        <f t="shared" si="701"/>
        <v>High</v>
      </c>
      <c r="Q4492" t="str">
        <f t="shared" si="702"/>
        <v>Medium</v>
      </c>
      <c r="R4492" t="s">
        <v>3317</v>
      </c>
      <c r="S4492" s="4">
        <f t="shared" ca="1" si="703"/>
        <v>1019</v>
      </c>
      <c r="T4492">
        <f t="shared" si="704"/>
        <v>1</v>
      </c>
      <c r="U4492">
        <f t="shared" si="705"/>
        <v>3</v>
      </c>
      <c r="V4492">
        <f t="shared" si="706"/>
        <v>2</v>
      </c>
      <c r="W4492">
        <f t="shared" si="707"/>
        <v>1</v>
      </c>
      <c r="X4492">
        <f t="shared" si="708"/>
        <v>1.7999999999999998</v>
      </c>
      <c r="Y4492" t="str">
        <f t="shared" si="709"/>
        <v>Monitor</v>
      </c>
    </row>
    <row r="4493" spans="1:25" x14ac:dyDescent="0.35">
      <c r="A4493" t="s">
        <v>90</v>
      </c>
      <c r="B4493" t="s">
        <v>217</v>
      </c>
      <c r="C4493" t="s">
        <v>533</v>
      </c>
      <c r="D4493" t="s">
        <v>1690</v>
      </c>
      <c r="E4493">
        <v>83914731</v>
      </c>
      <c r="F4493" t="s">
        <v>2819</v>
      </c>
      <c r="G4493" s="3">
        <v>46912</v>
      </c>
      <c r="H4493">
        <v>24</v>
      </c>
      <c r="I4493">
        <v>100</v>
      </c>
      <c r="J4493">
        <v>460</v>
      </c>
      <c r="K4493" s="4">
        <v>95477.6</v>
      </c>
      <c r="L4493" s="4">
        <v>572.14285714285711</v>
      </c>
      <c r="M4493" s="4">
        <v>0.80399500624219733</v>
      </c>
      <c r="N4493" t="s">
        <v>25</v>
      </c>
      <c r="O4493" t="str">
        <f t="shared" si="700"/>
        <v>Low</v>
      </c>
      <c r="P4493" t="str">
        <f t="shared" si="701"/>
        <v>Low</v>
      </c>
      <c r="Q4493" t="str">
        <f t="shared" si="702"/>
        <v>Low</v>
      </c>
      <c r="R4493" t="s">
        <v>3310</v>
      </c>
      <c r="S4493" s="4">
        <f t="shared" ca="1" si="703"/>
        <v>715</v>
      </c>
      <c r="T4493">
        <f t="shared" si="704"/>
        <v>1</v>
      </c>
      <c r="U4493">
        <f t="shared" si="705"/>
        <v>1</v>
      </c>
      <c r="V4493">
        <f t="shared" si="706"/>
        <v>1</v>
      </c>
      <c r="W4493">
        <f t="shared" si="707"/>
        <v>2</v>
      </c>
      <c r="X4493">
        <f t="shared" si="708"/>
        <v>1.0999999999999999</v>
      </c>
      <c r="Y4493" t="str">
        <f t="shared" si="709"/>
        <v>Healthy</v>
      </c>
    </row>
    <row r="4494" spans="1:25" x14ac:dyDescent="0.35">
      <c r="A4494" t="s">
        <v>90</v>
      </c>
      <c r="B4494" t="s">
        <v>217</v>
      </c>
      <c r="C4494" t="s">
        <v>533</v>
      </c>
      <c r="D4494" t="s">
        <v>1690</v>
      </c>
      <c r="E4494">
        <v>83914731</v>
      </c>
      <c r="F4494" t="s">
        <v>2819</v>
      </c>
      <c r="G4494" s="3">
        <v>46873</v>
      </c>
      <c r="H4494">
        <v>24</v>
      </c>
      <c r="I4494">
        <v>95</v>
      </c>
      <c r="J4494">
        <v>572</v>
      </c>
      <c r="K4494" s="4">
        <v>118724.32</v>
      </c>
      <c r="L4494" s="4">
        <v>572.14285714285711</v>
      </c>
      <c r="M4494" s="4">
        <v>0.99975031210986276</v>
      </c>
      <c r="N4494" t="s">
        <v>25</v>
      </c>
      <c r="O4494" t="str">
        <f t="shared" si="700"/>
        <v>Low</v>
      </c>
      <c r="P4494" t="str">
        <f t="shared" si="701"/>
        <v>Low</v>
      </c>
      <c r="Q4494" t="str">
        <f t="shared" si="702"/>
        <v>Low</v>
      </c>
      <c r="R4494" t="s">
        <v>3310</v>
      </c>
      <c r="S4494" s="4">
        <f t="shared" ca="1" si="703"/>
        <v>676</v>
      </c>
      <c r="T4494">
        <f t="shared" si="704"/>
        <v>1</v>
      </c>
      <c r="U4494">
        <f t="shared" si="705"/>
        <v>1</v>
      </c>
      <c r="V4494">
        <f t="shared" si="706"/>
        <v>1</v>
      </c>
      <c r="W4494">
        <f t="shared" si="707"/>
        <v>2</v>
      </c>
      <c r="X4494">
        <f t="shared" si="708"/>
        <v>1.0999999999999999</v>
      </c>
      <c r="Y4494" t="str">
        <f t="shared" si="709"/>
        <v>Healthy</v>
      </c>
    </row>
    <row r="4495" spans="1:25" x14ac:dyDescent="0.35">
      <c r="A4495" t="s">
        <v>90</v>
      </c>
      <c r="B4495" t="s">
        <v>217</v>
      </c>
      <c r="C4495" t="s">
        <v>533</v>
      </c>
      <c r="D4495" t="s">
        <v>1690</v>
      </c>
      <c r="E4495">
        <v>83914731</v>
      </c>
      <c r="F4495" t="s">
        <v>2819</v>
      </c>
      <c r="G4495" s="3">
        <v>46868</v>
      </c>
      <c r="H4495">
        <v>24</v>
      </c>
      <c r="I4495">
        <v>94</v>
      </c>
      <c r="J4495">
        <v>432</v>
      </c>
      <c r="K4495" s="4">
        <v>89665.919999999998</v>
      </c>
      <c r="L4495" s="4">
        <v>572.14285714285711</v>
      </c>
      <c r="M4495" s="4">
        <v>0.75505617977528094</v>
      </c>
      <c r="N4495" t="s">
        <v>25</v>
      </c>
      <c r="O4495" t="str">
        <f t="shared" si="700"/>
        <v>Low</v>
      </c>
      <c r="P4495" t="str">
        <f t="shared" si="701"/>
        <v>Low</v>
      </c>
      <c r="Q4495" t="str">
        <f t="shared" si="702"/>
        <v>Low</v>
      </c>
      <c r="R4495" t="s">
        <v>3310</v>
      </c>
      <c r="S4495" s="4">
        <f t="shared" ca="1" si="703"/>
        <v>671</v>
      </c>
      <c r="T4495">
        <f t="shared" si="704"/>
        <v>1</v>
      </c>
      <c r="U4495">
        <f t="shared" si="705"/>
        <v>1</v>
      </c>
      <c r="V4495">
        <f t="shared" si="706"/>
        <v>1</v>
      </c>
      <c r="W4495">
        <f t="shared" si="707"/>
        <v>2</v>
      </c>
      <c r="X4495">
        <f t="shared" si="708"/>
        <v>1.0999999999999999</v>
      </c>
      <c r="Y4495" t="str">
        <f t="shared" si="709"/>
        <v>Healthy</v>
      </c>
    </row>
    <row r="4496" spans="1:25" x14ac:dyDescent="0.35">
      <c r="A4496" t="s">
        <v>179</v>
      </c>
      <c r="B4496" t="s">
        <v>195</v>
      </c>
      <c r="C4496" t="s">
        <v>196</v>
      </c>
      <c r="D4496" t="s">
        <v>734</v>
      </c>
      <c r="E4496">
        <v>83910275</v>
      </c>
      <c r="F4496" t="s">
        <v>2820</v>
      </c>
      <c r="G4496" s="3">
        <v>46615</v>
      </c>
      <c r="H4496">
        <v>16</v>
      </c>
      <c r="I4496">
        <v>88</v>
      </c>
      <c r="J4496">
        <v>43</v>
      </c>
      <c r="K4496" s="4">
        <v>50118.39</v>
      </c>
      <c r="L4496" s="4">
        <v>871.14285714285711</v>
      </c>
      <c r="M4496" s="4">
        <v>4.9360446047884553E-2</v>
      </c>
      <c r="N4496" t="s">
        <v>25</v>
      </c>
      <c r="O4496" t="str">
        <f t="shared" si="700"/>
        <v>Low</v>
      </c>
      <c r="P4496" t="str">
        <f t="shared" si="701"/>
        <v>Low</v>
      </c>
      <c r="Q4496" t="str">
        <f t="shared" si="702"/>
        <v>Low</v>
      </c>
      <c r="R4496" t="s">
        <v>3317</v>
      </c>
      <c r="S4496" s="4">
        <f t="shared" ca="1" si="703"/>
        <v>418</v>
      </c>
      <c r="T4496">
        <f t="shared" si="704"/>
        <v>1</v>
      </c>
      <c r="U4496">
        <f t="shared" si="705"/>
        <v>1</v>
      </c>
      <c r="V4496">
        <f t="shared" si="706"/>
        <v>1</v>
      </c>
      <c r="W4496">
        <f t="shared" si="707"/>
        <v>1</v>
      </c>
      <c r="X4496">
        <f t="shared" si="708"/>
        <v>0.99999999999999989</v>
      </c>
      <c r="Y4496" t="str">
        <f t="shared" si="709"/>
        <v>Healthy</v>
      </c>
    </row>
    <row r="4497" spans="1:25" x14ac:dyDescent="0.35">
      <c r="A4497" t="s">
        <v>90</v>
      </c>
      <c r="B4497" t="s">
        <v>217</v>
      </c>
      <c r="C4497" t="s">
        <v>533</v>
      </c>
      <c r="D4497" t="s">
        <v>1690</v>
      </c>
      <c r="E4497">
        <v>83914731</v>
      </c>
      <c r="F4497" t="s">
        <v>2819</v>
      </c>
      <c r="G4497" s="3">
        <v>46888</v>
      </c>
      <c r="H4497">
        <v>24</v>
      </c>
      <c r="I4497">
        <v>97</v>
      </c>
      <c r="J4497">
        <v>902</v>
      </c>
      <c r="K4497" s="4">
        <v>187219.12</v>
      </c>
      <c r="L4497" s="4">
        <v>572.14285714285711</v>
      </c>
      <c r="M4497" s="4">
        <v>1.5765293383270913</v>
      </c>
      <c r="N4497" t="s">
        <v>25</v>
      </c>
      <c r="O4497" t="str">
        <f t="shared" si="700"/>
        <v>Low</v>
      </c>
      <c r="P4497" t="str">
        <f t="shared" si="701"/>
        <v>Low</v>
      </c>
      <c r="Q4497" t="str">
        <f t="shared" si="702"/>
        <v>Low</v>
      </c>
      <c r="R4497" t="s">
        <v>3309</v>
      </c>
      <c r="S4497" s="4">
        <f t="shared" ca="1" si="703"/>
        <v>691</v>
      </c>
      <c r="T4497">
        <f t="shared" si="704"/>
        <v>1</v>
      </c>
      <c r="U4497">
        <f t="shared" si="705"/>
        <v>1</v>
      </c>
      <c r="V4497">
        <f t="shared" si="706"/>
        <v>1</v>
      </c>
      <c r="W4497">
        <f t="shared" si="707"/>
        <v>3</v>
      </c>
      <c r="X4497">
        <f t="shared" si="708"/>
        <v>1.2</v>
      </c>
      <c r="Y4497" t="str">
        <f t="shared" si="709"/>
        <v>Healthy</v>
      </c>
    </row>
    <row r="4498" spans="1:25" x14ac:dyDescent="0.35">
      <c r="A4498" t="s">
        <v>179</v>
      </c>
      <c r="B4498" t="s">
        <v>195</v>
      </c>
      <c r="C4498" t="s">
        <v>196</v>
      </c>
      <c r="D4498" t="s">
        <v>734</v>
      </c>
      <c r="E4498">
        <v>83910275</v>
      </c>
      <c r="F4498" t="s">
        <v>2820</v>
      </c>
      <c r="G4498" s="3">
        <v>46615</v>
      </c>
      <c r="H4498">
        <v>16</v>
      </c>
      <c r="I4498">
        <v>88</v>
      </c>
      <c r="J4498">
        <v>48</v>
      </c>
      <c r="K4498" s="4">
        <v>30451.68</v>
      </c>
      <c r="L4498" s="4">
        <v>871.14285714285711</v>
      </c>
      <c r="M4498" s="4">
        <v>5.5100032797638573E-2</v>
      </c>
      <c r="N4498" t="s">
        <v>25</v>
      </c>
      <c r="O4498" t="str">
        <f t="shared" si="700"/>
        <v>Low</v>
      </c>
      <c r="P4498" t="str">
        <f t="shared" si="701"/>
        <v>Low</v>
      </c>
      <c r="Q4498" t="str">
        <f t="shared" si="702"/>
        <v>Low</v>
      </c>
      <c r="R4498" t="s">
        <v>3317</v>
      </c>
      <c r="S4498" s="4">
        <f t="shared" ca="1" si="703"/>
        <v>418</v>
      </c>
      <c r="T4498">
        <f t="shared" si="704"/>
        <v>1</v>
      </c>
      <c r="U4498">
        <f t="shared" si="705"/>
        <v>1</v>
      </c>
      <c r="V4498">
        <f t="shared" si="706"/>
        <v>1</v>
      </c>
      <c r="W4498">
        <f t="shared" si="707"/>
        <v>1</v>
      </c>
      <c r="X4498">
        <f t="shared" si="708"/>
        <v>0.99999999999999989</v>
      </c>
      <c r="Y4498" t="str">
        <f t="shared" si="709"/>
        <v>Healthy</v>
      </c>
    </row>
    <row r="4499" spans="1:25" x14ac:dyDescent="0.35">
      <c r="A4499" t="s">
        <v>20</v>
      </c>
      <c r="B4499" t="s">
        <v>21</v>
      </c>
      <c r="C4499" t="s">
        <v>2821</v>
      </c>
      <c r="D4499" t="s">
        <v>2822</v>
      </c>
      <c r="E4499">
        <v>83913496</v>
      </c>
      <c r="F4499" t="s">
        <v>2823</v>
      </c>
      <c r="G4499" s="3">
        <v>46790</v>
      </c>
      <c r="H4499">
        <v>24</v>
      </c>
      <c r="I4499">
        <v>83</v>
      </c>
      <c r="J4499">
        <v>8</v>
      </c>
      <c r="K4499" s="4">
        <v>896</v>
      </c>
      <c r="L4499" s="4">
        <v>656</v>
      </c>
      <c r="M4499" s="4">
        <v>1.2195121951219513E-2</v>
      </c>
      <c r="N4499" t="s">
        <v>25</v>
      </c>
      <c r="O4499" t="str">
        <f t="shared" si="700"/>
        <v>Low</v>
      </c>
      <c r="P4499" t="str">
        <f t="shared" si="701"/>
        <v>Low</v>
      </c>
      <c r="Q4499" t="str">
        <f t="shared" si="702"/>
        <v>Low</v>
      </c>
      <c r="R4499" t="s">
        <v>3317</v>
      </c>
      <c r="S4499" s="4">
        <f t="shared" ca="1" si="703"/>
        <v>593</v>
      </c>
      <c r="T4499">
        <f t="shared" si="704"/>
        <v>1</v>
      </c>
      <c r="U4499">
        <f t="shared" si="705"/>
        <v>1</v>
      </c>
      <c r="V4499">
        <f t="shared" si="706"/>
        <v>1</v>
      </c>
      <c r="W4499">
        <f t="shared" si="707"/>
        <v>1</v>
      </c>
      <c r="X4499">
        <f t="shared" si="708"/>
        <v>0.99999999999999989</v>
      </c>
      <c r="Y4499" t="str">
        <f t="shared" si="709"/>
        <v>Healthy</v>
      </c>
    </row>
    <row r="4500" spans="1:25" x14ac:dyDescent="0.35">
      <c r="A4500" t="s">
        <v>179</v>
      </c>
      <c r="B4500" t="s">
        <v>223</v>
      </c>
      <c r="C4500" t="s">
        <v>408</v>
      </c>
      <c r="D4500" t="s">
        <v>1373</v>
      </c>
      <c r="E4500">
        <v>83926394</v>
      </c>
      <c r="F4500" t="s">
        <v>2824</v>
      </c>
      <c r="G4500" s="3">
        <v>46667</v>
      </c>
      <c r="H4500">
        <v>16</v>
      </c>
      <c r="I4500">
        <v>99</v>
      </c>
      <c r="J4500">
        <v>312</v>
      </c>
      <c r="K4500" s="4">
        <v>15874.56</v>
      </c>
      <c r="L4500" s="4">
        <f>0</f>
        <v>0</v>
      </c>
      <c r="M4500" s="4">
        <f>999</f>
        <v>999</v>
      </c>
      <c r="N4500" t="s">
        <v>19</v>
      </c>
      <c r="O4500" t="str">
        <f t="shared" si="700"/>
        <v>Low</v>
      </c>
      <c r="P4500" t="str">
        <f t="shared" si="701"/>
        <v>High</v>
      </c>
      <c r="Q4500" t="str">
        <f t="shared" si="702"/>
        <v>High</v>
      </c>
      <c r="R4500" t="s">
        <v>3317</v>
      </c>
      <c r="S4500" s="4">
        <f t="shared" ca="1" si="703"/>
        <v>470</v>
      </c>
      <c r="T4500">
        <f t="shared" si="704"/>
        <v>1</v>
      </c>
      <c r="U4500">
        <f t="shared" si="705"/>
        <v>3</v>
      </c>
      <c r="V4500">
        <f t="shared" si="706"/>
        <v>3</v>
      </c>
      <c r="W4500">
        <f t="shared" si="707"/>
        <v>1</v>
      </c>
      <c r="X4500">
        <f t="shared" si="708"/>
        <v>2</v>
      </c>
      <c r="Y4500" t="str">
        <f t="shared" si="709"/>
        <v>Monitor</v>
      </c>
    </row>
    <row r="4501" spans="1:25" x14ac:dyDescent="0.35">
      <c r="A4501" t="s">
        <v>20</v>
      </c>
      <c r="B4501" t="s">
        <v>21</v>
      </c>
      <c r="C4501" t="s">
        <v>1635</v>
      </c>
      <c r="D4501" t="s">
        <v>1636</v>
      </c>
      <c r="E4501">
        <v>83913852</v>
      </c>
      <c r="F4501" t="s">
        <v>2825</v>
      </c>
      <c r="G4501" s="3">
        <v>47242</v>
      </c>
      <c r="H4501">
        <v>36</v>
      </c>
      <c r="I4501">
        <v>97</v>
      </c>
      <c r="J4501">
        <v>15</v>
      </c>
      <c r="K4501" s="4">
        <v>336</v>
      </c>
      <c r="L4501" s="4">
        <v>818.85714285714289</v>
      </c>
      <c r="M4501" s="4">
        <v>1.8318213538032101E-2</v>
      </c>
      <c r="N4501" t="s">
        <v>25</v>
      </c>
      <c r="O4501" t="str">
        <f t="shared" si="700"/>
        <v>Low</v>
      </c>
      <c r="P4501" t="str">
        <f t="shared" si="701"/>
        <v>Low</v>
      </c>
      <c r="Q4501" t="str">
        <f t="shared" si="702"/>
        <v>Low</v>
      </c>
      <c r="R4501" t="s">
        <v>3317</v>
      </c>
      <c r="S4501" s="4">
        <f t="shared" ca="1" si="703"/>
        <v>1045</v>
      </c>
      <c r="T4501">
        <f t="shared" si="704"/>
        <v>1</v>
      </c>
      <c r="U4501">
        <f t="shared" si="705"/>
        <v>1</v>
      </c>
      <c r="V4501">
        <f t="shared" si="706"/>
        <v>1</v>
      </c>
      <c r="W4501">
        <f t="shared" si="707"/>
        <v>1</v>
      </c>
      <c r="X4501">
        <f t="shared" si="708"/>
        <v>0.99999999999999989</v>
      </c>
      <c r="Y4501" t="str">
        <f t="shared" si="709"/>
        <v>Healthy</v>
      </c>
    </row>
    <row r="4502" spans="1:25" x14ac:dyDescent="0.35">
      <c r="A4502" t="s">
        <v>20</v>
      </c>
      <c r="B4502" t="s">
        <v>21</v>
      </c>
      <c r="C4502" t="s">
        <v>684</v>
      </c>
      <c r="D4502" t="s">
        <v>1632</v>
      </c>
      <c r="E4502">
        <v>83913853</v>
      </c>
      <c r="F4502" t="s">
        <v>2826</v>
      </c>
      <c r="G4502" s="3">
        <v>47255</v>
      </c>
      <c r="H4502">
        <v>36</v>
      </c>
      <c r="I4502">
        <v>98</v>
      </c>
      <c r="J4502">
        <v>1100</v>
      </c>
      <c r="K4502" s="4">
        <v>96800</v>
      </c>
      <c r="L4502" s="4">
        <v>193.14285714285714</v>
      </c>
      <c r="M4502" s="4">
        <v>5.6952662721893494</v>
      </c>
      <c r="N4502" t="s">
        <v>25</v>
      </c>
      <c r="O4502" t="str">
        <f t="shared" si="700"/>
        <v>Low</v>
      </c>
      <c r="P4502" t="str">
        <f t="shared" si="701"/>
        <v>Medium</v>
      </c>
      <c r="Q4502" t="str">
        <f t="shared" si="702"/>
        <v>Low</v>
      </c>
      <c r="R4502" t="s">
        <v>3310</v>
      </c>
      <c r="S4502" s="4">
        <f t="shared" ca="1" si="703"/>
        <v>1058</v>
      </c>
      <c r="T4502">
        <f t="shared" si="704"/>
        <v>1</v>
      </c>
      <c r="U4502">
        <f t="shared" si="705"/>
        <v>2</v>
      </c>
      <c r="V4502">
        <f t="shared" si="706"/>
        <v>1</v>
      </c>
      <c r="W4502">
        <f t="shared" si="707"/>
        <v>2</v>
      </c>
      <c r="X4502">
        <f t="shared" si="708"/>
        <v>1.4</v>
      </c>
      <c r="Y4502" t="str">
        <f t="shared" si="709"/>
        <v>Healthy</v>
      </c>
    </row>
    <row r="4503" spans="1:25" x14ac:dyDescent="0.35">
      <c r="A4503" t="s">
        <v>179</v>
      </c>
      <c r="B4503" t="s">
        <v>180</v>
      </c>
      <c r="C4503" t="s">
        <v>181</v>
      </c>
      <c r="D4503" t="s">
        <v>465</v>
      </c>
      <c r="E4503">
        <v>83906749</v>
      </c>
      <c r="F4503" t="s">
        <v>2827</v>
      </c>
      <c r="G4503" s="3">
        <v>46652</v>
      </c>
      <c r="H4503">
        <v>16</v>
      </c>
      <c r="I4503">
        <v>96</v>
      </c>
      <c r="J4503">
        <v>12</v>
      </c>
      <c r="K4503" s="4">
        <v>2015.88</v>
      </c>
      <c r="L4503" s="4">
        <v>4791.4285714285716</v>
      </c>
      <c r="M4503" s="4">
        <v>2.5044722719141325E-3</v>
      </c>
      <c r="N4503" t="s">
        <v>25</v>
      </c>
      <c r="O4503" t="str">
        <f t="shared" si="700"/>
        <v>Low</v>
      </c>
      <c r="P4503" t="str">
        <f t="shared" si="701"/>
        <v>Low</v>
      </c>
      <c r="Q4503" t="str">
        <f t="shared" si="702"/>
        <v>Low</v>
      </c>
      <c r="R4503" t="s">
        <v>3317</v>
      </c>
      <c r="S4503" s="4">
        <f t="shared" ca="1" si="703"/>
        <v>455</v>
      </c>
      <c r="T4503">
        <f t="shared" si="704"/>
        <v>1</v>
      </c>
      <c r="U4503">
        <f t="shared" si="705"/>
        <v>1</v>
      </c>
      <c r="V4503">
        <f t="shared" si="706"/>
        <v>1</v>
      </c>
      <c r="W4503">
        <f t="shared" si="707"/>
        <v>1</v>
      </c>
      <c r="X4503">
        <f t="shared" si="708"/>
        <v>0.99999999999999989</v>
      </c>
      <c r="Y4503" t="str">
        <f t="shared" si="709"/>
        <v>Healthy</v>
      </c>
    </row>
    <row r="4504" spans="1:25" x14ac:dyDescent="0.35">
      <c r="A4504" t="s">
        <v>20</v>
      </c>
      <c r="B4504" t="s">
        <v>21</v>
      </c>
      <c r="C4504" t="s">
        <v>684</v>
      </c>
      <c r="D4504" t="s">
        <v>1632</v>
      </c>
      <c r="E4504">
        <v>83913853</v>
      </c>
      <c r="F4504" t="s">
        <v>2826</v>
      </c>
      <c r="G4504" s="3">
        <v>47253</v>
      </c>
      <c r="H4504">
        <v>36</v>
      </c>
      <c r="I4504">
        <v>98</v>
      </c>
      <c r="J4504">
        <v>106</v>
      </c>
      <c r="K4504" s="4">
        <v>9328</v>
      </c>
      <c r="L4504" s="4">
        <v>193.14285714285714</v>
      </c>
      <c r="M4504" s="4">
        <v>0.54881656804733725</v>
      </c>
      <c r="N4504" t="s">
        <v>25</v>
      </c>
      <c r="O4504" t="str">
        <f t="shared" si="700"/>
        <v>Low</v>
      </c>
      <c r="P4504" t="str">
        <f t="shared" si="701"/>
        <v>Low</v>
      </c>
      <c r="Q4504" t="str">
        <f t="shared" si="702"/>
        <v>Low</v>
      </c>
      <c r="R4504" t="s">
        <v>3317</v>
      </c>
      <c r="S4504" s="4">
        <f t="shared" ca="1" si="703"/>
        <v>1056</v>
      </c>
      <c r="T4504">
        <f t="shared" si="704"/>
        <v>1</v>
      </c>
      <c r="U4504">
        <f t="shared" si="705"/>
        <v>1</v>
      </c>
      <c r="V4504">
        <f t="shared" si="706"/>
        <v>1</v>
      </c>
      <c r="W4504">
        <f t="shared" si="707"/>
        <v>1</v>
      </c>
      <c r="X4504">
        <f t="shared" si="708"/>
        <v>0.99999999999999989</v>
      </c>
      <c r="Y4504" t="str">
        <f t="shared" si="709"/>
        <v>Healthy</v>
      </c>
    </row>
    <row r="4505" spans="1:25" x14ac:dyDescent="0.35">
      <c r="A4505" t="s">
        <v>179</v>
      </c>
      <c r="B4505" t="s">
        <v>180</v>
      </c>
      <c r="C4505" t="s">
        <v>181</v>
      </c>
      <c r="D4505" t="s">
        <v>487</v>
      </c>
      <c r="E4505">
        <v>83906751</v>
      </c>
      <c r="F4505" t="s">
        <v>2828</v>
      </c>
      <c r="G4505" s="3">
        <v>46671</v>
      </c>
      <c r="H4505">
        <v>16</v>
      </c>
      <c r="I4505">
        <v>100</v>
      </c>
      <c r="J4505">
        <v>156</v>
      </c>
      <c r="K4505" s="4">
        <v>29811.599999999999</v>
      </c>
      <c r="L4505" s="4">
        <v>1902.8571428571429</v>
      </c>
      <c r="M4505" s="4">
        <v>8.1981981981981977E-2</v>
      </c>
      <c r="N4505" t="s">
        <v>25</v>
      </c>
      <c r="O4505" t="str">
        <f t="shared" si="700"/>
        <v>Low</v>
      </c>
      <c r="P4505" t="str">
        <f t="shared" si="701"/>
        <v>Low</v>
      </c>
      <c r="Q4505" t="str">
        <f t="shared" si="702"/>
        <v>Low</v>
      </c>
      <c r="R4505" t="s">
        <v>3317</v>
      </c>
      <c r="S4505" s="4">
        <f t="shared" ca="1" si="703"/>
        <v>474</v>
      </c>
      <c r="T4505">
        <f t="shared" si="704"/>
        <v>1</v>
      </c>
      <c r="U4505">
        <f t="shared" si="705"/>
        <v>1</v>
      </c>
      <c r="V4505">
        <f t="shared" si="706"/>
        <v>1</v>
      </c>
      <c r="W4505">
        <f t="shared" si="707"/>
        <v>1</v>
      </c>
      <c r="X4505">
        <f t="shared" si="708"/>
        <v>0.99999999999999989</v>
      </c>
      <c r="Y4505" t="str">
        <f t="shared" si="709"/>
        <v>Healthy</v>
      </c>
    </row>
    <row r="4506" spans="1:25" x14ac:dyDescent="0.35">
      <c r="A4506" t="s">
        <v>20</v>
      </c>
      <c r="B4506" t="s">
        <v>21</v>
      </c>
      <c r="C4506" t="s">
        <v>684</v>
      </c>
      <c r="D4506" t="s">
        <v>1632</v>
      </c>
      <c r="E4506">
        <v>83913853</v>
      </c>
      <c r="F4506" t="s">
        <v>2826</v>
      </c>
      <c r="G4506" s="3">
        <v>47229</v>
      </c>
      <c r="H4506">
        <v>36</v>
      </c>
      <c r="I4506">
        <v>96</v>
      </c>
      <c r="J4506">
        <v>124</v>
      </c>
      <c r="K4506" s="4">
        <v>10912</v>
      </c>
      <c r="L4506" s="4">
        <v>193.14285714285714</v>
      </c>
      <c r="M4506" s="4">
        <v>0.64201183431952669</v>
      </c>
      <c r="N4506" t="s">
        <v>25</v>
      </c>
      <c r="O4506" t="str">
        <f t="shared" si="700"/>
        <v>Low</v>
      </c>
      <c r="P4506" t="str">
        <f t="shared" si="701"/>
        <v>Low</v>
      </c>
      <c r="Q4506" t="str">
        <f t="shared" si="702"/>
        <v>Low</v>
      </c>
      <c r="R4506" t="s">
        <v>3317</v>
      </c>
      <c r="S4506" s="4">
        <f t="shared" ca="1" si="703"/>
        <v>1032</v>
      </c>
      <c r="T4506">
        <f t="shared" si="704"/>
        <v>1</v>
      </c>
      <c r="U4506">
        <f t="shared" si="705"/>
        <v>1</v>
      </c>
      <c r="V4506">
        <f t="shared" si="706"/>
        <v>1</v>
      </c>
      <c r="W4506">
        <f t="shared" si="707"/>
        <v>1</v>
      </c>
      <c r="X4506">
        <f t="shared" si="708"/>
        <v>0.99999999999999989</v>
      </c>
      <c r="Y4506" t="str">
        <f t="shared" si="709"/>
        <v>Healthy</v>
      </c>
    </row>
    <row r="4507" spans="1:25" x14ac:dyDescent="0.35">
      <c r="A4507" t="s">
        <v>179</v>
      </c>
      <c r="B4507" t="s">
        <v>180</v>
      </c>
      <c r="C4507" t="s">
        <v>181</v>
      </c>
      <c r="D4507" t="s">
        <v>487</v>
      </c>
      <c r="E4507">
        <v>83906751</v>
      </c>
      <c r="F4507" t="s">
        <v>2828</v>
      </c>
      <c r="G4507" s="3">
        <v>46608</v>
      </c>
      <c r="H4507">
        <v>16</v>
      </c>
      <c r="I4507">
        <v>87</v>
      </c>
      <c r="J4507">
        <v>72</v>
      </c>
      <c r="K4507" s="4">
        <v>13759.2</v>
      </c>
      <c r="L4507" s="4">
        <v>1902.8571428571429</v>
      </c>
      <c r="M4507" s="4">
        <v>3.783783783783784E-2</v>
      </c>
      <c r="N4507" t="s">
        <v>25</v>
      </c>
      <c r="O4507" t="str">
        <f t="shared" si="700"/>
        <v>Low</v>
      </c>
      <c r="P4507" t="str">
        <f t="shared" si="701"/>
        <v>Low</v>
      </c>
      <c r="Q4507" t="str">
        <f t="shared" si="702"/>
        <v>Low</v>
      </c>
      <c r="R4507" t="s">
        <v>3317</v>
      </c>
      <c r="S4507" s="4">
        <f t="shared" ca="1" si="703"/>
        <v>411</v>
      </c>
      <c r="T4507">
        <f t="shared" si="704"/>
        <v>1</v>
      </c>
      <c r="U4507">
        <f t="shared" si="705"/>
        <v>1</v>
      </c>
      <c r="V4507">
        <f t="shared" si="706"/>
        <v>1</v>
      </c>
      <c r="W4507">
        <f t="shared" si="707"/>
        <v>1</v>
      </c>
      <c r="X4507">
        <f t="shared" si="708"/>
        <v>0.99999999999999989</v>
      </c>
      <c r="Y4507" t="str">
        <f t="shared" si="709"/>
        <v>Healthy</v>
      </c>
    </row>
    <row r="4508" spans="1:25" x14ac:dyDescent="0.35">
      <c r="A4508" t="s">
        <v>20</v>
      </c>
      <c r="B4508" t="s">
        <v>21</v>
      </c>
      <c r="C4508" t="s">
        <v>684</v>
      </c>
      <c r="D4508" t="s">
        <v>1632</v>
      </c>
      <c r="E4508">
        <v>83913853</v>
      </c>
      <c r="F4508" t="s">
        <v>2826</v>
      </c>
      <c r="G4508" s="3">
        <v>47256</v>
      </c>
      <c r="H4508">
        <v>36</v>
      </c>
      <c r="I4508">
        <v>99</v>
      </c>
      <c r="J4508">
        <v>270</v>
      </c>
      <c r="K4508" s="4">
        <v>23760</v>
      </c>
      <c r="L4508" s="4">
        <v>193.14285714285714</v>
      </c>
      <c r="M4508" s="4">
        <v>1.3979289940828403</v>
      </c>
      <c r="N4508" t="s">
        <v>25</v>
      </c>
      <c r="O4508" t="str">
        <f t="shared" si="700"/>
        <v>Low</v>
      </c>
      <c r="P4508" t="str">
        <f t="shared" si="701"/>
        <v>Low</v>
      </c>
      <c r="Q4508" t="str">
        <f t="shared" si="702"/>
        <v>Low</v>
      </c>
      <c r="R4508" t="s">
        <v>3317</v>
      </c>
      <c r="S4508" s="4">
        <f t="shared" ca="1" si="703"/>
        <v>1059</v>
      </c>
      <c r="T4508">
        <f t="shared" si="704"/>
        <v>1</v>
      </c>
      <c r="U4508">
        <f t="shared" si="705"/>
        <v>1</v>
      </c>
      <c r="V4508">
        <f t="shared" si="706"/>
        <v>1</v>
      </c>
      <c r="W4508">
        <f t="shared" si="707"/>
        <v>1</v>
      </c>
      <c r="X4508">
        <f t="shared" si="708"/>
        <v>0.99999999999999989</v>
      </c>
      <c r="Y4508" t="str">
        <f t="shared" si="709"/>
        <v>Healthy</v>
      </c>
    </row>
    <row r="4509" spans="1:25" x14ac:dyDescent="0.35">
      <c r="A4509" t="s">
        <v>179</v>
      </c>
      <c r="B4509" t="s">
        <v>180</v>
      </c>
      <c r="C4509" t="s">
        <v>181</v>
      </c>
      <c r="D4509" t="s">
        <v>487</v>
      </c>
      <c r="E4509">
        <v>83906751</v>
      </c>
      <c r="F4509" t="s">
        <v>2828</v>
      </c>
      <c r="G4509" s="3">
        <v>46635</v>
      </c>
      <c r="H4509">
        <v>16</v>
      </c>
      <c r="I4509">
        <v>92</v>
      </c>
      <c r="J4509">
        <v>120</v>
      </c>
      <c r="K4509" s="4">
        <v>22932</v>
      </c>
      <c r="L4509" s="4">
        <v>1902.8571428571429</v>
      </c>
      <c r="M4509" s="4">
        <v>6.3063063063063057E-2</v>
      </c>
      <c r="N4509" t="s">
        <v>25</v>
      </c>
      <c r="O4509" t="str">
        <f t="shared" si="700"/>
        <v>Low</v>
      </c>
      <c r="P4509" t="str">
        <f t="shared" si="701"/>
        <v>Low</v>
      </c>
      <c r="Q4509" t="str">
        <f t="shared" si="702"/>
        <v>Low</v>
      </c>
      <c r="R4509" t="s">
        <v>3317</v>
      </c>
      <c r="S4509" s="4">
        <f t="shared" ca="1" si="703"/>
        <v>438</v>
      </c>
      <c r="T4509">
        <f t="shared" si="704"/>
        <v>1</v>
      </c>
      <c r="U4509">
        <f t="shared" si="705"/>
        <v>1</v>
      </c>
      <c r="V4509">
        <f t="shared" si="706"/>
        <v>1</v>
      </c>
      <c r="W4509">
        <f t="shared" si="707"/>
        <v>1</v>
      </c>
      <c r="X4509">
        <f t="shared" si="708"/>
        <v>0.99999999999999989</v>
      </c>
      <c r="Y4509" t="str">
        <f t="shared" si="709"/>
        <v>Healthy</v>
      </c>
    </row>
    <row r="4510" spans="1:25" x14ac:dyDescent="0.35">
      <c r="A4510" t="s">
        <v>20</v>
      </c>
      <c r="B4510" t="s">
        <v>21</v>
      </c>
      <c r="C4510" t="s">
        <v>1524</v>
      </c>
      <c r="D4510" t="s">
        <v>1525</v>
      </c>
      <c r="E4510">
        <v>83913854</v>
      </c>
      <c r="F4510" t="s">
        <v>2829</v>
      </c>
      <c r="G4510" s="3">
        <v>49815</v>
      </c>
      <c r="H4510">
        <v>120</v>
      </c>
      <c r="I4510">
        <v>100</v>
      </c>
      <c r="J4510">
        <v>180</v>
      </c>
      <c r="K4510" s="4">
        <v>34558.199999999997</v>
      </c>
      <c r="L4510" s="4">
        <f>0</f>
        <v>0</v>
      </c>
      <c r="M4510" s="4">
        <f>999</f>
        <v>999</v>
      </c>
      <c r="N4510" t="s">
        <v>19</v>
      </c>
      <c r="O4510" t="str">
        <f t="shared" si="700"/>
        <v>Low</v>
      </c>
      <c r="P4510" t="str">
        <f t="shared" si="701"/>
        <v>High</v>
      </c>
      <c r="Q4510" t="str">
        <f t="shared" si="702"/>
        <v>High</v>
      </c>
      <c r="R4510" t="s">
        <v>3317</v>
      </c>
      <c r="S4510" s="4">
        <f t="shared" ca="1" si="703"/>
        <v>3618</v>
      </c>
      <c r="T4510">
        <f t="shared" si="704"/>
        <v>1</v>
      </c>
      <c r="U4510">
        <f t="shared" si="705"/>
        <v>3</v>
      </c>
      <c r="V4510">
        <f t="shared" si="706"/>
        <v>3</v>
      </c>
      <c r="W4510">
        <f t="shared" si="707"/>
        <v>1</v>
      </c>
      <c r="X4510">
        <f t="shared" si="708"/>
        <v>2</v>
      </c>
      <c r="Y4510" t="str">
        <f t="shared" si="709"/>
        <v>Monitor</v>
      </c>
    </row>
    <row r="4511" spans="1:25" x14ac:dyDescent="0.35">
      <c r="A4511" t="s">
        <v>179</v>
      </c>
      <c r="B4511" t="s">
        <v>180</v>
      </c>
      <c r="C4511" t="s">
        <v>181</v>
      </c>
      <c r="D4511" t="s">
        <v>487</v>
      </c>
      <c r="E4511">
        <v>83906751</v>
      </c>
      <c r="F4511" t="s">
        <v>2828</v>
      </c>
      <c r="G4511" s="3">
        <v>46635</v>
      </c>
      <c r="H4511">
        <v>16</v>
      </c>
      <c r="I4511">
        <v>92</v>
      </c>
      <c r="J4511">
        <v>324</v>
      </c>
      <c r="K4511" s="4">
        <v>61916.4</v>
      </c>
      <c r="L4511" s="4">
        <v>1902.8571428571429</v>
      </c>
      <c r="M4511" s="4">
        <v>0.17027027027027028</v>
      </c>
      <c r="N4511" t="s">
        <v>25</v>
      </c>
      <c r="O4511" t="str">
        <f t="shared" si="700"/>
        <v>Low</v>
      </c>
      <c r="P4511" t="str">
        <f t="shared" si="701"/>
        <v>Low</v>
      </c>
      <c r="Q4511" t="str">
        <f t="shared" si="702"/>
        <v>Low</v>
      </c>
      <c r="R4511" t="s">
        <v>3317</v>
      </c>
      <c r="S4511" s="4">
        <f t="shared" ca="1" si="703"/>
        <v>438</v>
      </c>
      <c r="T4511">
        <f t="shared" si="704"/>
        <v>1</v>
      </c>
      <c r="U4511">
        <f t="shared" si="705"/>
        <v>1</v>
      </c>
      <c r="V4511">
        <f t="shared" si="706"/>
        <v>1</v>
      </c>
      <c r="W4511">
        <f t="shared" si="707"/>
        <v>1</v>
      </c>
      <c r="X4511">
        <f t="shared" si="708"/>
        <v>0.99999999999999989</v>
      </c>
      <c r="Y4511" t="str">
        <f t="shared" si="709"/>
        <v>Healthy</v>
      </c>
    </row>
    <row r="4512" spans="1:25" x14ac:dyDescent="0.35">
      <c r="A4512" t="s">
        <v>20</v>
      </c>
      <c r="B4512" t="s">
        <v>21</v>
      </c>
      <c r="C4512" t="s">
        <v>227</v>
      </c>
      <c r="D4512" t="s">
        <v>2374</v>
      </c>
      <c r="E4512">
        <v>83913856</v>
      </c>
      <c r="F4512" t="s">
        <v>2830</v>
      </c>
      <c r="G4512" s="3">
        <v>47250</v>
      </c>
      <c r="H4512">
        <v>36</v>
      </c>
      <c r="I4512">
        <v>98</v>
      </c>
      <c r="J4512">
        <v>42</v>
      </c>
      <c r="K4512" s="4">
        <v>3225.6</v>
      </c>
      <c r="L4512" s="4">
        <f>0</f>
        <v>0</v>
      </c>
      <c r="M4512" s="4">
        <f>999</f>
        <v>999</v>
      </c>
      <c r="N4512" t="s">
        <v>19</v>
      </c>
      <c r="O4512" t="str">
        <f t="shared" si="700"/>
        <v>Low</v>
      </c>
      <c r="P4512" t="str">
        <f t="shared" si="701"/>
        <v>High</v>
      </c>
      <c r="Q4512" t="str">
        <f t="shared" si="702"/>
        <v>High</v>
      </c>
      <c r="R4512" t="s">
        <v>3317</v>
      </c>
      <c r="S4512" s="4">
        <f t="shared" ca="1" si="703"/>
        <v>1053</v>
      </c>
      <c r="T4512">
        <f t="shared" si="704"/>
        <v>1</v>
      </c>
      <c r="U4512">
        <f t="shared" si="705"/>
        <v>3</v>
      </c>
      <c r="V4512">
        <f t="shared" si="706"/>
        <v>3</v>
      </c>
      <c r="W4512">
        <f t="shared" si="707"/>
        <v>1</v>
      </c>
      <c r="X4512">
        <f t="shared" si="708"/>
        <v>2</v>
      </c>
      <c r="Y4512" t="str">
        <f t="shared" si="709"/>
        <v>Monitor</v>
      </c>
    </row>
    <row r="4513" spans="1:25" x14ac:dyDescent="0.35">
      <c r="A4513" t="s">
        <v>179</v>
      </c>
      <c r="B4513" t="s">
        <v>180</v>
      </c>
      <c r="C4513" t="s">
        <v>181</v>
      </c>
      <c r="D4513" t="s">
        <v>487</v>
      </c>
      <c r="E4513">
        <v>83906751</v>
      </c>
      <c r="F4513" t="s">
        <v>2828</v>
      </c>
      <c r="G4513" s="3">
        <v>46616</v>
      </c>
      <c r="H4513">
        <v>16</v>
      </c>
      <c r="I4513">
        <v>88</v>
      </c>
      <c r="J4513">
        <v>12</v>
      </c>
      <c r="K4513" s="4">
        <v>2293.1999999999998</v>
      </c>
      <c r="L4513" s="4">
        <v>1902.8571428571429</v>
      </c>
      <c r="M4513" s="4">
        <v>6.3063063063063061E-3</v>
      </c>
      <c r="N4513" t="s">
        <v>25</v>
      </c>
      <c r="O4513" t="str">
        <f t="shared" si="700"/>
        <v>Low</v>
      </c>
      <c r="P4513" t="str">
        <f t="shared" si="701"/>
        <v>Low</v>
      </c>
      <c r="Q4513" t="str">
        <f t="shared" si="702"/>
        <v>Low</v>
      </c>
      <c r="R4513" t="s">
        <v>3317</v>
      </c>
      <c r="S4513" s="4">
        <f t="shared" ca="1" si="703"/>
        <v>419</v>
      </c>
      <c r="T4513">
        <f t="shared" si="704"/>
        <v>1</v>
      </c>
      <c r="U4513">
        <f t="shared" si="705"/>
        <v>1</v>
      </c>
      <c r="V4513">
        <f t="shared" si="706"/>
        <v>1</v>
      </c>
      <c r="W4513">
        <f t="shared" si="707"/>
        <v>1</v>
      </c>
      <c r="X4513">
        <f t="shared" si="708"/>
        <v>0.99999999999999989</v>
      </c>
      <c r="Y4513" t="str">
        <f t="shared" si="709"/>
        <v>Healthy</v>
      </c>
    </row>
    <row r="4514" spans="1:25" x14ac:dyDescent="0.35">
      <c r="A4514" t="s">
        <v>20</v>
      </c>
      <c r="B4514" t="s">
        <v>21</v>
      </c>
      <c r="C4514" t="s">
        <v>227</v>
      </c>
      <c r="D4514" t="s">
        <v>2374</v>
      </c>
      <c r="E4514">
        <v>83913856</v>
      </c>
      <c r="F4514" t="s">
        <v>2830</v>
      </c>
      <c r="G4514" s="3">
        <v>47263</v>
      </c>
      <c r="H4514">
        <v>36</v>
      </c>
      <c r="I4514">
        <v>99</v>
      </c>
      <c r="J4514">
        <v>96</v>
      </c>
      <c r="K4514" s="4">
        <v>7372.8</v>
      </c>
      <c r="L4514" s="4">
        <f>0</f>
        <v>0</v>
      </c>
      <c r="M4514" s="4">
        <f>999</f>
        <v>999</v>
      </c>
      <c r="N4514" t="s">
        <v>19</v>
      </c>
      <c r="O4514" t="str">
        <f t="shared" si="700"/>
        <v>Low</v>
      </c>
      <c r="P4514" t="str">
        <f t="shared" si="701"/>
        <v>High</v>
      </c>
      <c r="Q4514" t="str">
        <f t="shared" si="702"/>
        <v>High</v>
      </c>
      <c r="R4514" t="s">
        <v>3317</v>
      </c>
      <c r="S4514" s="4">
        <f t="shared" ca="1" si="703"/>
        <v>1066</v>
      </c>
      <c r="T4514">
        <f t="shared" si="704"/>
        <v>1</v>
      </c>
      <c r="U4514">
        <f t="shared" si="705"/>
        <v>3</v>
      </c>
      <c r="V4514">
        <f t="shared" si="706"/>
        <v>3</v>
      </c>
      <c r="W4514">
        <f t="shared" si="707"/>
        <v>1</v>
      </c>
      <c r="X4514">
        <f t="shared" si="708"/>
        <v>2</v>
      </c>
      <c r="Y4514" t="str">
        <f t="shared" si="709"/>
        <v>Monitor</v>
      </c>
    </row>
    <row r="4515" spans="1:25" x14ac:dyDescent="0.35">
      <c r="A4515" t="s">
        <v>179</v>
      </c>
      <c r="B4515" t="s">
        <v>180</v>
      </c>
      <c r="C4515" t="s">
        <v>181</v>
      </c>
      <c r="D4515" t="s">
        <v>487</v>
      </c>
      <c r="E4515">
        <v>83906751</v>
      </c>
      <c r="F4515" t="s">
        <v>2828</v>
      </c>
      <c r="G4515" s="3">
        <v>46622</v>
      </c>
      <c r="H4515">
        <v>16</v>
      </c>
      <c r="I4515">
        <v>90</v>
      </c>
      <c r="J4515">
        <v>324</v>
      </c>
      <c r="K4515" s="4">
        <v>61916.4</v>
      </c>
      <c r="L4515" s="4">
        <v>1902.8571428571429</v>
      </c>
      <c r="M4515" s="4">
        <v>0.17027027027027028</v>
      </c>
      <c r="N4515" t="s">
        <v>25</v>
      </c>
      <c r="O4515" t="str">
        <f t="shared" si="700"/>
        <v>Low</v>
      </c>
      <c r="P4515" t="str">
        <f t="shared" si="701"/>
        <v>Low</v>
      </c>
      <c r="Q4515" t="str">
        <f t="shared" si="702"/>
        <v>Low</v>
      </c>
      <c r="R4515" t="s">
        <v>3317</v>
      </c>
      <c r="S4515" s="4">
        <f t="shared" ca="1" si="703"/>
        <v>425</v>
      </c>
      <c r="T4515">
        <f t="shared" si="704"/>
        <v>1</v>
      </c>
      <c r="U4515">
        <f t="shared" si="705"/>
        <v>1</v>
      </c>
      <c r="V4515">
        <f t="shared" si="706"/>
        <v>1</v>
      </c>
      <c r="W4515">
        <f t="shared" si="707"/>
        <v>1</v>
      </c>
      <c r="X4515">
        <f t="shared" si="708"/>
        <v>0.99999999999999989</v>
      </c>
      <c r="Y4515" t="str">
        <f t="shared" si="709"/>
        <v>Healthy</v>
      </c>
    </row>
    <row r="4516" spans="1:25" x14ac:dyDescent="0.35">
      <c r="A4516" t="s">
        <v>20</v>
      </c>
      <c r="B4516" t="s">
        <v>21</v>
      </c>
      <c r="C4516" t="s">
        <v>227</v>
      </c>
      <c r="D4516" t="s">
        <v>2374</v>
      </c>
      <c r="E4516">
        <v>83913856</v>
      </c>
      <c r="F4516" t="s">
        <v>2830</v>
      </c>
      <c r="G4516" s="3">
        <v>47251</v>
      </c>
      <c r="H4516">
        <v>36</v>
      </c>
      <c r="I4516">
        <v>98</v>
      </c>
      <c r="J4516">
        <v>108</v>
      </c>
      <c r="K4516" s="4">
        <v>8294.4</v>
      </c>
      <c r="L4516" s="4">
        <f>0</f>
        <v>0</v>
      </c>
      <c r="M4516" s="4">
        <f>999</f>
        <v>999</v>
      </c>
      <c r="N4516" t="s">
        <v>19</v>
      </c>
      <c r="O4516" t="str">
        <f t="shared" si="700"/>
        <v>Low</v>
      </c>
      <c r="P4516" t="str">
        <f t="shared" si="701"/>
        <v>High</v>
      </c>
      <c r="Q4516" t="str">
        <f t="shared" si="702"/>
        <v>High</v>
      </c>
      <c r="R4516" t="s">
        <v>3317</v>
      </c>
      <c r="S4516" s="4">
        <f t="shared" ca="1" si="703"/>
        <v>1054</v>
      </c>
      <c r="T4516">
        <f t="shared" si="704"/>
        <v>1</v>
      </c>
      <c r="U4516">
        <f t="shared" si="705"/>
        <v>3</v>
      </c>
      <c r="V4516">
        <f t="shared" si="706"/>
        <v>3</v>
      </c>
      <c r="W4516">
        <f t="shared" si="707"/>
        <v>1</v>
      </c>
      <c r="X4516">
        <f t="shared" si="708"/>
        <v>2</v>
      </c>
      <c r="Y4516" t="str">
        <f t="shared" si="709"/>
        <v>Monitor</v>
      </c>
    </row>
    <row r="4517" spans="1:25" x14ac:dyDescent="0.35">
      <c r="A4517" t="s">
        <v>20</v>
      </c>
      <c r="B4517" t="s">
        <v>21</v>
      </c>
      <c r="C4517" t="s">
        <v>684</v>
      </c>
      <c r="D4517" t="s">
        <v>685</v>
      </c>
      <c r="E4517">
        <v>83913857</v>
      </c>
      <c r="F4517" t="s">
        <v>2831</v>
      </c>
      <c r="G4517" s="3">
        <v>47260</v>
      </c>
      <c r="H4517">
        <v>36</v>
      </c>
      <c r="I4517">
        <v>99</v>
      </c>
      <c r="J4517">
        <v>120</v>
      </c>
      <c r="K4517" s="4">
        <v>4608</v>
      </c>
      <c r="L4517" s="4">
        <v>259.57142857142856</v>
      </c>
      <c r="M4517" s="4">
        <v>0.46230049532195933</v>
      </c>
      <c r="N4517" t="s">
        <v>25</v>
      </c>
      <c r="O4517" t="str">
        <f t="shared" si="700"/>
        <v>Low</v>
      </c>
      <c r="P4517" t="str">
        <f t="shared" si="701"/>
        <v>Low</v>
      </c>
      <c r="Q4517" t="str">
        <f t="shared" si="702"/>
        <v>Low</v>
      </c>
      <c r="R4517" t="s">
        <v>3317</v>
      </c>
      <c r="S4517" s="4">
        <f t="shared" ca="1" si="703"/>
        <v>1063</v>
      </c>
      <c r="T4517">
        <f t="shared" si="704"/>
        <v>1</v>
      </c>
      <c r="U4517">
        <f t="shared" si="705"/>
        <v>1</v>
      </c>
      <c r="V4517">
        <f t="shared" si="706"/>
        <v>1</v>
      </c>
      <c r="W4517">
        <f t="shared" si="707"/>
        <v>1</v>
      </c>
      <c r="X4517">
        <f t="shared" si="708"/>
        <v>0.99999999999999989</v>
      </c>
      <c r="Y4517" t="str">
        <f t="shared" si="709"/>
        <v>Healthy</v>
      </c>
    </row>
    <row r="4518" spans="1:25" x14ac:dyDescent="0.35">
      <c r="A4518" t="s">
        <v>14</v>
      </c>
      <c r="B4518" t="s">
        <v>58</v>
      </c>
      <c r="C4518" t="s">
        <v>109</v>
      </c>
      <c r="D4518" t="s">
        <v>1617</v>
      </c>
      <c r="E4518">
        <v>80875514</v>
      </c>
      <c r="F4518" t="s">
        <v>2832</v>
      </c>
      <c r="G4518" s="3">
        <v>47883</v>
      </c>
      <c r="H4518">
        <v>60</v>
      </c>
      <c r="I4518">
        <v>94</v>
      </c>
      <c r="J4518">
        <v>4</v>
      </c>
      <c r="K4518" s="4">
        <v>4625</v>
      </c>
      <c r="L4518" s="4">
        <v>38.428571428571431</v>
      </c>
      <c r="M4518" s="4">
        <v>0.10408921933085501</v>
      </c>
      <c r="N4518" t="s">
        <v>25</v>
      </c>
      <c r="O4518" t="str">
        <f t="shared" si="700"/>
        <v>Low</v>
      </c>
      <c r="P4518" t="str">
        <f t="shared" si="701"/>
        <v>Low</v>
      </c>
      <c r="Q4518" t="str">
        <f t="shared" si="702"/>
        <v>Low</v>
      </c>
      <c r="R4518" t="s">
        <v>3317</v>
      </c>
      <c r="S4518" s="4">
        <f t="shared" ca="1" si="703"/>
        <v>1686</v>
      </c>
      <c r="T4518">
        <f t="shared" si="704"/>
        <v>1</v>
      </c>
      <c r="U4518">
        <f t="shared" si="705"/>
        <v>1</v>
      </c>
      <c r="V4518">
        <f t="shared" si="706"/>
        <v>1</v>
      </c>
      <c r="W4518">
        <f t="shared" si="707"/>
        <v>1</v>
      </c>
      <c r="X4518">
        <f t="shared" si="708"/>
        <v>0.99999999999999989</v>
      </c>
      <c r="Y4518" t="str">
        <f t="shared" si="709"/>
        <v>Healthy</v>
      </c>
    </row>
    <row r="4519" spans="1:25" x14ac:dyDescent="0.35">
      <c r="A4519" t="s">
        <v>20</v>
      </c>
      <c r="B4519" t="s">
        <v>21</v>
      </c>
      <c r="C4519" t="s">
        <v>684</v>
      </c>
      <c r="D4519" t="s">
        <v>685</v>
      </c>
      <c r="E4519">
        <v>83913857</v>
      </c>
      <c r="F4519" t="s">
        <v>2831</v>
      </c>
      <c r="G4519" s="3">
        <v>47256</v>
      </c>
      <c r="H4519">
        <v>36</v>
      </c>
      <c r="I4519">
        <v>99</v>
      </c>
      <c r="J4519">
        <v>105</v>
      </c>
      <c r="K4519" s="4">
        <v>4032</v>
      </c>
      <c r="L4519" s="4">
        <v>259.57142857142856</v>
      </c>
      <c r="M4519" s="4">
        <v>0.4045129334067144</v>
      </c>
      <c r="N4519" t="s">
        <v>25</v>
      </c>
      <c r="O4519" t="str">
        <f t="shared" si="700"/>
        <v>Low</v>
      </c>
      <c r="P4519" t="str">
        <f t="shared" si="701"/>
        <v>Low</v>
      </c>
      <c r="Q4519" t="str">
        <f t="shared" si="702"/>
        <v>Low</v>
      </c>
      <c r="R4519" t="s">
        <v>3317</v>
      </c>
      <c r="S4519" s="4">
        <f t="shared" ca="1" si="703"/>
        <v>1059</v>
      </c>
      <c r="T4519">
        <f t="shared" si="704"/>
        <v>1</v>
      </c>
      <c r="U4519">
        <f t="shared" si="705"/>
        <v>1</v>
      </c>
      <c r="V4519">
        <f t="shared" si="706"/>
        <v>1</v>
      </c>
      <c r="W4519">
        <f t="shared" si="707"/>
        <v>1</v>
      </c>
      <c r="X4519">
        <f t="shared" si="708"/>
        <v>0.99999999999999989</v>
      </c>
      <c r="Y4519" t="str">
        <f t="shared" si="709"/>
        <v>Healthy</v>
      </c>
    </row>
    <row r="4520" spans="1:25" x14ac:dyDescent="0.35">
      <c r="A4520" t="s">
        <v>14</v>
      </c>
      <c r="B4520" t="s">
        <v>58</v>
      </c>
      <c r="C4520" t="s">
        <v>109</v>
      </c>
      <c r="D4520" t="s">
        <v>1617</v>
      </c>
      <c r="E4520">
        <v>80875514</v>
      </c>
      <c r="F4520" t="s">
        <v>2832</v>
      </c>
      <c r="G4520" s="3">
        <v>47938</v>
      </c>
      <c r="H4520">
        <v>60</v>
      </c>
      <c r="I4520">
        <v>97</v>
      </c>
      <c r="J4520">
        <v>18</v>
      </c>
      <c r="K4520" s="4">
        <v>20812.5</v>
      </c>
      <c r="L4520" s="4">
        <v>38.428571428571431</v>
      </c>
      <c r="M4520" s="4">
        <v>0.46840148698884754</v>
      </c>
      <c r="N4520" t="s">
        <v>25</v>
      </c>
      <c r="O4520" t="str">
        <f t="shared" si="700"/>
        <v>Low</v>
      </c>
      <c r="P4520" t="str">
        <f t="shared" si="701"/>
        <v>Low</v>
      </c>
      <c r="Q4520" t="str">
        <f t="shared" si="702"/>
        <v>Low</v>
      </c>
      <c r="R4520" t="s">
        <v>3317</v>
      </c>
      <c r="S4520" s="4">
        <f t="shared" ca="1" si="703"/>
        <v>1741</v>
      </c>
      <c r="T4520">
        <f t="shared" si="704"/>
        <v>1</v>
      </c>
      <c r="U4520">
        <f t="shared" si="705"/>
        <v>1</v>
      </c>
      <c r="V4520">
        <f t="shared" si="706"/>
        <v>1</v>
      </c>
      <c r="W4520">
        <f t="shared" si="707"/>
        <v>1</v>
      </c>
      <c r="X4520">
        <f t="shared" si="708"/>
        <v>0.99999999999999989</v>
      </c>
      <c r="Y4520" t="str">
        <f t="shared" si="709"/>
        <v>Healthy</v>
      </c>
    </row>
    <row r="4521" spans="1:25" x14ac:dyDescent="0.35">
      <c r="A4521" t="s">
        <v>20</v>
      </c>
      <c r="B4521" t="s">
        <v>21</v>
      </c>
      <c r="C4521" t="s">
        <v>684</v>
      </c>
      <c r="D4521" t="s">
        <v>685</v>
      </c>
      <c r="E4521">
        <v>83913857</v>
      </c>
      <c r="F4521" t="s">
        <v>2831</v>
      </c>
      <c r="G4521" s="3">
        <v>47258</v>
      </c>
      <c r="H4521">
        <v>36</v>
      </c>
      <c r="I4521">
        <v>99</v>
      </c>
      <c r="J4521">
        <v>10</v>
      </c>
      <c r="K4521" s="4">
        <v>384</v>
      </c>
      <c r="L4521" s="4">
        <v>259.57142857142856</v>
      </c>
      <c r="M4521" s="4">
        <v>3.8525041276829944E-2</v>
      </c>
      <c r="N4521" t="s">
        <v>25</v>
      </c>
      <c r="O4521" t="str">
        <f t="shared" si="700"/>
        <v>Low</v>
      </c>
      <c r="P4521" t="str">
        <f t="shared" si="701"/>
        <v>Low</v>
      </c>
      <c r="Q4521" t="str">
        <f t="shared" si="702"/>
        <v>Low</v>
      </c>
      <c r="R4521" t="s">
        <v>3317</v>
      </c>
      <c r="S4521" s="4">
        <f t="shared" ca="1" si="703"/>
        <v>1061</v>
      </c>
      <c r="T4521">
        <f t="shared" si="704"/>
        <v>1</v>
      </c>
      <c r="U4521">
        <f t="shared" si="705"/>
        <v>1</v>
      </c>
      <c r="V4521">
        <f t="shared" si="706"/>
        <v>1</v>
      </c>
      <c r="W4521">
        <f t="shared" si="707"/>
        <v>1</v>
      </c>
      <c r="X4521">
        <f t="shared" si="708"/>
        <v>0.99999999999999989</v>
      </c>
      <c r="Y4521" t="str">
        <f t="shared" si="709"/>
        <v>Healthy</v>
      </c>
    </row>
    <row r="4522" spans="1:25" x14ac:dyDescent="0.35">
      <c r="A4522" t="s">
        <v>14</v>
      </c>
      <c r="B4522" t="s">
        <v>58</v>
      </c>
      <c r="C4522" t="s">
        <v>109</v>
      </c>
      <c r="D4522" t="s">
        <v>1617</v>
      </c>
      <c r="E4522">
        <v>80875514</v>
      </c>
      <c r="F4522" t="s">
        <v>2832</v>
      </c>
      <c r="G4522" s="3">
        <v>47884</v>
      </c>
      <c r="H4522">
        <v>60</v>
      </c>
      <c r="I4522">
        <v>94</v>
      </c>
      <c r="J4522">
        <v>4</v>
      </c>
      <c r="K4522" s="4">
        <v>4625</v>
      </c>
      <c r="L4522" s="4">
        <v>38.428571428571431</v>
      </c>
      <c r="M4522" s="4">
        <v>0.10408921933085501</v>
      </c>
      <c r="N4522" t="s">
        <v>25</v>
      </c>
      <c r="O4522" t="str">
        <f t="shared" si="700"/>
        <v>Low</v>
      </c>
      <c r="P4522" t="str">
        <f t="shared" si="701"/>
        <v>Low</v>
      </c>
      <c r="Q4522" t="str">
        <f t="shared" si="702"/>
        <v>Low</v>
      </c>
      <c r="R4522" t="s">
        <v>3317</v>
      </c>
      <c r="S4522" s="4">
        <f t="shared" ca="1" si="703"/>
        <v>1687</v>
      </c>
      <c r="T4522">
        <f t="shared" si="704"/>
        <v>1</v>
      </c>
      <c r="U4522">
        <f t="shared" si="705"/>
        <v>1</v>
      </c>
      <c r="V4522">
        <f t="shared" si="706"/>
        <v>1</v>
      </c>
      <c r="W4522">
        <f t="shared" si="707"/>
        <v>1</v>
      </c>
      <c r="X4522">
        <f t="shared" si="708"/>
        <v>0.99999999999999989</v>
      </c>
      <c r="Y4522" t="str">
        <f t="shared" si="709"/>
        <v>Healthy</v>
      </c>
    </row>
    <row r="4523" spans="1:25" x14ac:dyDescent="0.35">
      <c r="A4523" t="s">
        <v>20</v>
      </c>
      <c r="B4523" t="s">
        <v>21</v>
      </c>
      <c r="C4523" t="s">
        <v>684</v>
      </c>
      <c r="D4523" t="s">
        <v>685</v>
      </c>
      <c r="E4523">
        <v>83913857</v>
      </c>
      <c r="F4523" t="s">
        <v>2831</v>
      </c>
      <c r="G4523" s="3">
        <v>47248</v>
      </c>
      <c r="H4523">
        <v>36</v>
      </c>
      <c r="I4523">
        <v>98</v>
      </c>
      <c r="J4523">
        <v>22</v>
      </c>
      <c r="K4523" s="4">
        <v>844.8</v>
      </c>
      <c r="L4523" s="4">
        <v>259.57142857142856</v>
      </c>
      <c r="M4523" s="4">
        <v>8.4755090809025865E-2</v>
      </c>
      <c r="N4523" t="s">
        <v>25</v>
      </c>
      <c r="O4523" t="str">
        <f t="shared" si="700"/>
        <v>Low</v>
      </c>
      <c r="P4523" t="str">
        <f t="shared" si="701"/>
        <v>Low</v>
      </c>
      <c r="Q4523" t="str">
        <f t="shared" si="702"/>
        <v>Low</v>
      </c>
      <c r="R4523" t="s">
        <v>3317</v>
      </c>
      <c r="S4523" s="4">
        <f t="shared" ca="1" si="703"/>
        <v>1051</v>
      </c>
      <c r="T4523">
        <f t="shared" si="704"/>
        <v>1</v>
      </c>
      <c r="U4523">
        <f t="shared" si="705"/>
        <v>1</v>
      </c>
      <c r="V4523">
        <f t="shared" si="706"/>
        <v>1</v>
      </c>
      <c r="W4523">
        <f t="shared" si="707"/>
        <v>1</v>
      </c>
      <c r="X4523">
        <f t="shared" si="708"/>
        <v>0.99999999999999989</v>
      </c>
      <c r="Y4523" t="str">
        <f t="shared" si="709"/>
        <v>Healthy</v>
      </c>
    </row>
    <row r="4524" spans="1:25" x14ac:dyDescent="0.35">
      <c r="A4524" t="s">
        <v>14</v>
      </c>
      <c r="B4524" t="s">
        <v>58</v>
      </c>
      <c r="C4524" t="s">
        <v>109</v>
      </c>
      <c r="D4524" t="s">
        <v>1617</v>
      </c>
      <c r="E4524">
        <v>80875514</v>
      </c>
      <c r="F4524" t="s">
        <v>2832</v>
      </c>
      <c r="G4524" s="3">
        <v>47937</v>
      </c>
      <c r="H4524">
        <v>60</v>
      </c>
      <c r="I4524">
        <v>97</v>
      </c>
      <c r="J4524">
        <v>24</v>
      </c>
      <c r="K4524" s="4">
        <v>27750</v>
      </c>
      <c r="L4524" s="4">
        <v>38.428571428571431</v>
      </c>
      <c r="M4524" s="4">
        <v>0.62453531598513012</v>
      </c>
      <c r="N4524" t="s">
        <v>25</v>
      </c>
      <c r="O4524" t="str">
        <f t="shared" si="700"/>
        <v>Low</v>
      </c>
      <c r="P4524" t="str">
        <f t="shared" si="701"/>
        <v>Low</v>
      </c>
      <c r="Q4524" t="str">
        <f t="shared" si="702"/>
        <v>Low</v>
      </c>
      <c r="R4524" t="s">
        <v>3317</v>
      </c>
      <c r="S4524" s="4">
        <f t="shared" ca="1" si="703"/>
        <v>1740</v>
      </c>
      <c r="T4524">
        <f t="shared" si="704"/>
        <v>1</v>
      </c>
      <c r="U4524">
        <f t="shared" si="705"/>
        <v>1</v>
      </c>
      <c r="V4524">
        <f t="shared" si="706"/>
        <v>1</v>
      </c>
      <c r="W4524">
        <f t="shared" si="707"/>
        <v>1</v>
      </c>
      <c r="X4524">
        <f t="shared" si="708"/>
        <v>0.99999999999999989</v>
      </c>
      <c r="Y4524" t="str">
        <f t="shared" si="709"/>
        <v>Healthy</v>
      </c>
    </row>
    <row r="4525" spans="1:25" x14ac:dyDescent="0.35">
      <c r="A4525" t="s">
        <v>20</v>
      </c>
      <c r="B4525" t="s">
        <v>21</v>
      </c>
      <c r="C4525" t="s">
        <v>684</v>
      </c>
      <c r="D4525" t="s">
        <v>685</v>
      </c>
      <c r="E4525">
        <v>83913857</v>
      </c>
      <c r="F4525" t="s">
        <v>2831</v>
      </c>
      <c r="G4525" s="3">
        <v>47227</v>
      </c>
      <c r="H4525">
        <v>36</v>
      </c>
      <c r="I4525">
        <v>96</v>
      </c>
      <c r="J4525">
        <v>58</v>
      </c>
      <c r="K4525" s="4">
        <v>2227.1999999999998</v>
      </c>
      <c r="L4525" s="4">
        <v>259.57142857142856</v>
      </c>
      <c r="M4525" s="4">
        <v>0.22344523940561367</v>
      </c>
      <c r="N4525" t="s">
        <v>25</v>
      </c>
      <c r="O4525" t="str">
        <f t="shared" si="700"/>
        <v>Low</v>
      </c>
      <c r="P4525" t="str">
        <f t="shared" si="701"/>
        <v>Low</v>
      </c>
      <c r="Q4525" t="str">
        <f t="shared" si="702"/>
        <v>Low</v>
      </c>
      <c r="R4525" t="s">
        <v>3317</v>
      </c>
      <c r="S4525" s="4">
        <f t="shared" ca="1" si="703"/>
        <v>1030</v>
      </c>
      <c r="T4525">
        <f t="shared" si="704"/>
        <v>1</v>
      </c>
      <c r="U4525">
        <f t="shared" si="705"/>
        <v>1</v>
      </c>
      <c r="V4525">
        <f t="shared" si="706"/>
        <v>1</v>
      </c>
      <c r="W4525">
        <f t="shared" si="707"/>
        <v>1</v>
      </c>
      <c r="X4525">
        <f t="shared" si="708"/>
        <v>0.99999999999999989</v>
      </c>
      <c r="Y4525" t="str">
        <f t="shared" si="709"/>
        <v>Healthy</v>
      </c>
    </row>
    <row r="4526" spans="1:25" x14ac:dyDescent="0.35">
      <c r="A4526" t="s">
        <v>179</v>
      </c>
      <c r="B4526" t="s">
        <v>180</v>
      </c>
      <c r="C4526" t="s">
        <v>181</v>
      </c>
      <c r="D4526" t="s">
        <v>2833</v>
      </c>
      <c r="E4526">
        <v>80890764</v>
      </c>
      <c r="F4526" t="s">
        <v>2834</v>
      </c>
      <c r="G4526" s="3">
        <v>46671</v>
      </c>
      <c r="H4526">
        <v>16</v>
      </c>
      <c r="I4526">
        <v>100</v>
      </c>
      <c r="J4526">
        <v>48</v>
      </c>
      <c r="K4526" s="4">
        <v>2383.1999999999998</v>
      </c>
      <c r="L4526" s="4">
        <v>4248</v>
      </c>
      <c r="M4526" s="4">
        <v>1.1299435028248588E-2</v>
      </c>
      <c r="N4526" t="s">
        <v>25</v>
      </c>
      <c r="O4526" t="str">
        <f t="shared" si="700"/>
        <v>Low</v>
      </c>
      <c r="P4526" t="str">
        <f t="shared" si="701"/>
        <v>Low</v>
      </c>
      <c r="Q4526" t="str">
        <f t="shared" si="702"/>
        <v>Low</v>
      </c>
      <c r="R4526" t="s">
        <v>3317</v>
      </c>
      <c r="S4526" s="4">
        <f t="shared" ca="1" si="703"/>
        <v>474</v>
      </c>
      <c r="T4526">
        <f t="shared" si="704"/>
        <v>1</v>
      </c>
      <c r="U4526">
        <f t="shared" si="705"/>
        <v>1</v>
      </c>
      <c r="V4526">
        <f t="shared" si="706"/>
        <v>1</v>
      </c>
      <c r="W4526">
        <f t="shared" si="707"/>
        <v>1</v>
      </c>
      <c r="X4526">
        <f t="shared" si="708"/>
        <v>0.99999999999999989</v>
      </c>
      <c r="Y4526" t="str">
        <f t="shared" si="709"/>
        <v>Healthy</v>
      </c>
    </row>
    <row r="4527" spans="1:25" x14ac:dyDescent="0.35">
      <c r="A4527" t="s">
        <v>90</v>
      </c>
      <c r="B4527" t="s">
        <v>91</v>
      </c>
      <c r="C4527" t="s">
        <v>92</v>
      </c>
      <c r="D4527" t="s">
        <v>1029</v>
      </c>
      <c r="E4527">
        <v>83922332</v>
      </c>
      <c r="F4527" t="s">
        <v>2835</v>
      </c>
      <c r="G4527" s="3">
        <v>46909</v>
      </c>
      <c r="H4527">
        <v>24</v>
      </c>
      <c r="I4527">
        <v>100</v>
      </c>
      <c r="J4527">
        <v>23</v>
      </c>
      <c r="K4527" s="4">
        <v>33521.81</v>
      </c>
      <c r="L4527" s="4">
        <f>0</f>
        <v>0</v>
      </c>
      <c r="M4527" s="4">
        <f>999</f>
        <v>999</v>
      </c>
      <c r="N4527" t="s">
        <v>19</v>
      </c>
      <c r="O4527" t="str">
        <f t="shared" si="700"/>
        <v>Low</v>
      </c>
      <c r="P4527" t="str">
        <f t="shared" si="701"/>
        <v>High</v>
      </c>
      <c r="Q4527" t="str">
        <f t="shared" si="702"/>
        <v>High</v>
      </c>
      <c r="R4527" t="s">
        <v>3317</v>
      </c>
      <c r="S4527" s="4">
        <f t="shared" ca="1" si="703"/>
        <v>712</v>
      </c>
      <c r="T4527">
        <f t="shared" si="704"/>
        <v>1</v>
      </c>
      <c r="U4527">
        <f t="shared" si="705"/>
        <v>3</v>
      </c>
      <c r="V4527">
        <f t="shared" si="706"/>
        <v>3</v>
      </c>
      <c r="W4527">
        <f t="shared" si="707"/>
        <v>1</v>
      </c>
      <c r="X4527">
        <f t="shared" si="708"/>
        <v>2</v>
      </c>
      <c r="Y4527" t="str">
        <f t="shared" si="709"/>
        <v>Monitor</v>
      </c>
    </row>
    <row r="4528" spans="1:25" x14ac:dyDescent="0.35">
      <c r="A4528" t="s">
        <v>189</v>
      </c>
      <c r="B4528" t="s">
        <v>539</v>
      </c>
      <c r="C4528" t="s">
        <v>539</v>
      </c>
      <c r="D4528" t="s">
        <v>540</v>
      </c>
      <c r="E4528">
        <v>83916269</v>
      </c>
      <c r="F4528" t="s">
        <v>2836</v>
      </c>
      <c r="G4528" s="3">
        <v>46877</v>
      </c>
      <c r="H4528">
        <v>24</v>
      </c>
      <c r="I4528">
        <v>95</v>
      </c>
      <c r="J4528">
        <v>180</v>
      </c>
      <c r="K4528" s="4">
        <v>49744.800000000003</v>
      </c>
      <c r="L4528" s="4">
        <f>0</f>
        <v>0</v>
      </c>
      <c r="M4528" s="4">
        <f>999</f>
        <v>999</v>
      </c>
      <c r="N4528" t="s">
        <v>19</v>
      </c>
      <c r="O4528" t="str">
        <f t="shared" si="700"/>
        <v>Low</v>
      </c>
      <c r="P4528" t="str">
        <f t="shared" si="701"/>
        <v>High</v>
      </c>
      <c r="Q4528" t="str">
        <f t="shared" si="702"/>
        <v>High</v>
      </c>
      <c r="R4528" t="s">
        <v>3317</v>
      </c>
      <c r="S4528" s="4">
        <f t="shared" ca="1" si="703"/>
        <v>680</v>
      </c>
      <c r="T4528">
        <f t="shared" si="704"/>
        <v>1</v>
      </c>
      <c r="U4528">
        <f t="shared" si="705"/>
        <v>3</v>
      </c>
      <c r="V4528">
        <f t="shared" si="706"/>
        <v>3</v>
      </c>
      <c r="W4528">
        <f t="shared" si="707"/>
        <v>1</v>
      </c>
      <c r="X4528">
        <f t="shared" si="708"/>
        <v>2</v>
      </c>
      <c r="Y4528" t="str">
        <f t="shared" si="709"/>
        <v>Monitor</v>
      </c>
    </row>
    <row r="4529" spans="1:25" x14ac:dyDescent="0.35">
      <c r="A4529" t="s">
        <v>20</v>
      </c>
      <c r="B4529" t="s">
        <v>21</v>
      </c>
      <c r="C4529" t="s">
        <v>126</v>
      </c>
      <c r="D4529" t="s">
        <v>2837</v>
      </c>
      <c r="E4529">
        <v>83921253</v>
      </c>
      <c r="F4529" t="s">
        <v>2838</v>
      </c>
      <c r="G4529" s="3">
        <v>47123</v>
      </c>
      <c r="H4529">
        <v>36</v>
      </c>
      <c r="I4529">
        <v>86</v>
      </c>
      <c r="J4529">
        <v>22</v>
      </c>
      <c r="K4529" s="4">
        <v>20482</v>
      </c>
      <c r="L4529" s="4">
        <f>0</f>
        <v>0</v>
      </c>
      <c r="M4529" s="4">
        <f>999</f>
        <v>999</v>
      </c>
      <c r="N4529" t="s">
        <v>19</v>
      </c>
      <c r="O4529" t="str">
        <f t="shared" si="700"/>
        <v>Low</v>
      </c>
      <c r="P4529" t="str">
        <f t="shared" si="701"/>
        <v>High</v>
      </c>
      <c r="Q4529" t="str">
        <f t="shared" si="702"/>
        <v>High</v>
      </c>
      <c r="R4529" t="s">
        <v>3317</v>
      </c>
      <c r="S4529" s="4">
        <f t="shared" ca="1" si="703"/>
        <v>926</v>
      </c>
      <c r="T4529">
        <f t="shared" si="704"/>
        <v>1</v>
      </c>
      <c r="U4529">
        <f t="shared" si="705"/>
        <v>3</v>
      </c>
      <c r="V4529">
        <f t="shared" si="706"/>
        <v>3</v>
      </c>
      <c r="W4529">
        <f t="shared" si="707"/>
        <v>1</v>
      </c>
      <c r="X4529">
        <f t="shared" si="708"/>
        <v>2</v>
      </c>
      <c r="Y4529" t="str">
        <f t="shared" si="709"/>
        <v>Monitor</v>
      </c>
    </row>
    <row r="4530" spans="1:25" x14ac:dyDescent="0.35">
      <c r="A4530" t="s">
        <v>179</v>
      </c>
      <c r="B4530" t="s">
        <v>195</v>
      </c>
      <c r="C4530" t="s">
        <v>422</v>
      </c>
      <c r="D4530" t="s">
        <v>616</v>
      </c>
      <c r="E4530">
        <v>83912648</v>
      </c>
      <c r="F4530" t="s">
        <v>2839</v>
      </c>
      <c r="G4530" s="3">
        <v>46670</v>
      </c>
      <c r="H4530">
        <v>16</v>
      </c>
      <c r="I4530">
        <v>100</v>
      </c>
      <c r="J4530">
        <v>1056</v>
      </c>
      <c r="K4530" s="4">
        <v>73138.559999999998</v>
      </c>
      <c r="L4530" s="4">
        <v>6387.8571428571431</v>
      </c>
      <c r="M4530" s="4">
        <v>0.16531365313653135</v>
      </c>
      <c r="N4530" t="s">
        <v>25</v>
      </c>
      <c r="O4530" t="str">
        <f t="shared" si="700"/>
        <v>Low</v>
      </c>
      <c r="P4530" t="str">
        <f t="shared" si="701"/>
        <v>Low</v>
      </c>
      <c r="Q4530" t="str">
        <f t="shared" si="702"/>
        <v>Low</v>
      </c>
      <c r="R4530" t="s">
        <v>3310</v>
      </c>
      <c r="S4530" s="4">
        <f t="shared" ca="1" si="703"/>
        <v>473</v>
      </c>
      <c r="T4530">
        <f t="shared" si="704"/>
        <v>1</v>
      </c>
      <c r="U4530">
        <f t="shared" si="705"/>
        <v>1</v>
      </c>
      <c r="V4530">
        <f t="shared" si="706"/>
        <v>1</v>
      </c>
      <c r="W4530">
        <f t="shared" si="707"/>
        <v>2</v>
      </c>
      <c r="X4530">
        <f t="shared" si="708"/>
        <v>1.0999999999999999</v>
      </c>
      <c r="Y4530" t="str">
        <f t="shared" si="709"/>
        <v>Healthy</v>
      </c>
    </row>
    <row r="4531" spans="1:25" x14ac:dyDescent="0.35">
      <c r="A4531" t="s">
        <v>20</v>
      </c>
      <c r="B4531" t="s">
        <v>21</v>
      </c>
      <c r="C4531" t="s">
        <v>126</v>
      </c>
      <c r="D4531" t="s">
        <v>2840</v>
      </c>
      <c r="E4531">
        <v>83921257</v>
      </c>
      <c r="F4531" t="s">
        <v>2841</v>
      </c>
      <c r="G4531" s="3">
        <v>47129</v>
      </c>
      <c r="H4531">
        <v>36</v>
      </c>
      <c r="I4531">
        <v>87</v>
      </c>
      <c r="J4531">
        <v>34</v>
      </c>
      <c r="K4531" s="4">
        <v>35734</v>
      </c>
      <c r="L4531" s="4">
        <f>0</f>
        <v>0</v>
      </c>
      <c r="M4531" s="4">
        <f>999</f>
        <v>999</v>
      </c>
      <c r="N4531" t="s">
        <v>19</v>
      </c>
      <c r="O4531" t="str">
        <f t="shared" si="700"/>
        <v>Low</v>
      </c>
      <c r="P4531" t="str">
        <f t="shared" si="701"/>
        <v>High</v>
      </c>
      <c r="Q4531" t="str">
        <f t="shared" si="702"/>
        <v>High</v>
      </c>
      <c r="R4531" t="s">
        <v>3317</v>
      </c>
      <c r="S4531" s="4">
        <f t="shared" ca="1" si="703"/>
        <v>932</v>
      </c>
      <c r="T4531">
        <f t="shared" si="704"/>
        <v>1</v>
      </c>
      <c r="U4531">
        <f t="shared" si="705"/>
        <v>3</v>
      </c>
      <c r="V4531">
        <f t="shared" si="706"/>
        <v>3</v>
      </c>
      <c r="W4531">
        <f t="shared" si="707"/>
        <v>1</v>
      </c>
      <c r="X4531">
        <f t="shared" si="708"/>
        <v>2</v>
      </c>
      <c r="Y4531" t="str">
        <f t="shared" si="709"/>
        <v>Monitor</v>
      </c>
    </row>
    <row r="4532" spans="1:25" x14ac:dyDescent="0.35">
      <c r="A4532" t="s">
        <v>179</v>
      </c>
      <c r="B4532" t="s">
        <v>195</v>
      </c>
      <c r="C4532" t="s">
        <v>422</v>
      </c>
      <c r="D4532" t="s">
        <v>616</v>
      </c>
      <c r="E4532">
        <v>83912648</v>
      </c>
      <c r="F4532" t="s">
        <v>2839</v>
      </c>
      <c r="G4532" s="3">
        <v>46669</v>
      </c>
      <c r="H4532">
        <v>16</v>
      </c>
      <c r="I4532">
        <v>99</v>
      </c>
      <c r="J4532">
        <v>3984</v>
      </c>
      <c r="K4532" s="4">
        <v>275931.84000000003</v>
      </c>
      <c r="L4532" s="4">
        <v>6387.8571428571431</v>
      </c>
      <c r="M4532" s="4">
        <v>0.62368332774236834</v>
      </c>
      <c r="N4532" t="s">
        <v>25</v>
      </c>
      <c r="O4532" t="str">
        <f t="shared" si="700"/>
        <v>Low</v>
      </c>
      <c r="P4532" t="str">
        <f t="shared" si="701"/>
        <v>Low</v>
      </c>
      <c r="Q4532" t="str">
        <f t="shared" si="702"/>
        <v>Low</v>
      </c>
      <c r="R4532" t="s">
        <v>3309</v>
      </c>
      <c r="S4532" s="4">
        <f t="shared" ca="1" si="703"/>
        <v>472</v>
      </c>
      <c r="T4532">
        <f t="shared" si="704"/>
        <v>1</v>
      </c>
      <c r="U4532">
        <f t="shared" si="705"/>
        <v>1</v>
      </c>
      <c r="V4532">
        <f t="shared" si="706"/>
        <v>1</v>
      </c>
      <c r="W4532">
        <f t="shared" si="707"/>
        <v>3</v>
      </c>
      <c r="X4532">
        <f t="shared" si="708"/>
        <v>1.2</v>
      </c>
      <c r="Y4532" t="str">
        <f t="shared" si="709"/>
        <v>Healthy</v>
      </c>
    </row>
    <row r="4533" spans="1:25" x14ac:dyDescent="0.35">
      <c r="A4533" t="s">
        <v>179</v>
      </c>
      <c r="B4533" t="s">
        <v>195</v>
      </c>
      <c r="C4533" t="s">
        <v>422</v>
      </c>
      <c r="D4533" t="s">
        <v>616</v>
      </c>
      <c r="E4533">
        <v>83912648</v>
      </c>
      <c r="F4533" t="s">
        <v>2839</v>
      </c>
      <c r="G4533" s="3">
        <v>46660</v>
      </c>
      <c r="H4533">
        <v>16</v>
      </c>
      <c r="I4533">
        <v>98</v>
      </c>
      <c r="J4533">
        <v>5528</v>
      </c>
      <c r="K4533" s="4">
        <v>382869.28</v>
      </c>
      <c r="L4533" s="4">
        <v>6387.8571428571431</v>
      </c>
      <c r="M4533" s="4">
        <v>0.86539192664653919</v>
      </c>
      <c r="N4533" t="s">
        <v>25</v>
      </c>
      <c r="O4533" t="str">
        <f t="shared" si="700"/>
        <v>Low</v>
      </c>
      <c r="P4533" t="str">
        <f t="shared" si="701"/>
        <v>Low</v>
      </c>
      <c r="Q4533" t="str">
        <f t="shared" si="702"/>
        <v>Low</v>
      </c>
      <c r="R4533" t="s">
        <v>3309</v>
      </c>
      <c r="S4533" s="4">
        <f t="shared" ca="1" si="703"/>
        <v>463</v>
      </c>
      <c r="T4533">
        <f t="shared" si="704"/>
        <v>1</v>
      </c>
      <c r="U4533">
        <f t="shared" si="705"/>
        <v>1</v>
      </c>
      <c r="V4533">
        <f t="shared" si="706"/>
        <v>1</v>
      </c>
      <c r="W4533">
        <f t="shared" si="707"/>
        <v>3</v>
      </c>
      <c r="X4533">
        <f t="shared" si="708"/>
        <v>1.2</v>
      </c>
      <c r="Y4533" t="str">
        <f t="shared" si="709"/>
        <v>Healthy</v>
      </c>
    </row>
    <row r="4534" spans="1:25" x14ac:dyDescent="0.35">
      <c r="A4534" t="s">
        <v>179</v>
      </c>
      <c r="B4534" t="s">
        <v>195</v>
      </c>
      <c r="C4534" t="s">
        <v>422</v>
      </c>
      <c r="D4534" t="s">
        <v>616</v>
      </c>
      <c r="E4534">
        <v>83912648</v>
      </c>
      <c r="F4534" t="s">
        <v>2839</v>
      </c>
      <c r="G4534" s="3">
        <v>46666</v>
      </c>
      <c r="H4534">
        <v>16</v>
      </c>
      <c r="I4534">
        <v>99</v>
      </c>
      <c r="J4534">
        <v>768</v>
      </c>
      <c r="K4534" s="4">
        <v>53191.68</v>
      </c>
      <c r="L4534" s="4">
        <v>6387.8571428571431</v>
      </c>
      <c r="M4534" s="4">
        <v>0.1202281113720228</v>
      </c>
      <c r="N4534" t="s">
        <v>25</v>
      </c>
      <c r="O4534" t="str">
        <f t="shared" si="700"/>
        <v>Low</v>
      </c>
      <c r="P4534" t="str">
        <f t="shared" si="701"/>
        <v>Low</v>
      </c>
      <c r="Q4534" t="str">
        <f t="shared" si="702"/>
        <v>Low</v>
      </c>
      <c r="R4534" t="s">
        <v>3317</v>
      </c>
      <c r="S4534" s="4">
        <f t="shared" ca="1" si="703"/>
        <v>469</v>
      </c>
      <c r="T4534">
        <f t="shared" si="704"/>
        <v>1</v>
      </c>
      <c r="U4534">
        <f t="shared" si="705"/>
        <v>1</v>
      </c>
      <c r="V4534">
        <f t="shared" si="706"/>
        <v>1</v>
      </c>
      <c r="W4534">
        <f t="shared" si="707"/>
        <v>1</v>
      </c>
      <c r="X4534">
        <f t="shared" si="708"/>
        <v>0.99999999999999989</v>
      </c>
      <c r="Y4534" t="str">
        <f t="shared" si="709"/>
        <v>Healthy</v>
      </c>
    </row>
    <row r="4535" spans="1:25" x14ac:dyDescent="0.35">
      <c r="A4535" t="s">
        <v>179</v>
      </c>
      <c r="B4535" t="s">
        <v>195</v>
      </c>
      <c r="C4535" t="s">
        <v>422</v>
      </c>
      <c r="D4535" t="s">
        <v>616</v>
      </c>
      <c r="E4535">
        <v>83912648</v>
      </c>
      <c r="F4535" t="s">
        <v>2839</v>
      </c>
      <c r="G4535" s="3">
        <v>46662</v>
      </c>
      <c r="H4535">
        <v>16</v>
      </c>
      <c r="I4535">
        <v>98</v>
      </c>
      <c r="J4535">
        <v>5424</v>
      </c>
      <c r="K4535" s="4">
        <v>375666.24</v>
      </c>
      <c r="L4535" s="4">
        <v>6387.8571428571431</v>
      </c>
      <c r="M4535" s="4">
        <v>0.84911103656491105</v>
      </c>
      <c r="N4535" t="s">
        <v>25</v>
      </c>
      <c r="O4535" t="str">
        <f t="shared" si="700"/>
        <v>Low</v>
      </c>
      <c r="P4535" t="str">
        <f t="shared" si="701"/>
        <v>Low</v>
      </c>
      <c r="Q4535" t="str">
        <f t="shared" si="702"/>
        <v>Low</v>
      </c>
      <c r="R4535" t="s">
        <v>3309</v>
      </c>
      <c r="S4535" s="4">
        <f t="shared" ca="1" si="703"/>
        <v>465</v>
      </c>
      <c r="T4535">
        <f t="shared" si="704"/>
        <v>1</v>
      </c>
      <c r="U4535">
        <f t="shared" si="705"/>
        <v>1</v>
      </c>
      <c r="V4535">
        <f t="shared" si="706"/>
        <v>1</v>
      </c>
      <c r="W4535">
        <f t="shared" si="707"/>
        <v>3</v>
      </c>
      <c r="X4535">
        <f t="shared" si="708"/>
        <v>1.2</v>
      </c>
      <c r="Y4535" t="str">
        <f t="shared" si="709"/>
        <v>Healthy</v>
      </c>
    </row>
    <row r="4536" spans="1:25" x14ac:dyDescent="0.35">
      <c r="A4536" t="s">
        <v>179</v>
      </c>
      <c r="B4536" t="s">
        <v>195</v>
      </c>
      <c r="C4536" t="s">
        <v>422</v>
      </c>
      <c r="D4536" t="s">
        <v>2842</v>
      </c>
      <c r="E4536">
        <v>83912652</v>
      </c>
      <c r="F4536" t="s">
        <v>2843</v>
      </c>
      <c r="G4536" s="3">
        <v>46627</v>
      </c>
      <c r="H4536">
        <v>16</v>
      </c>
      <c r="I4536">
        <v>91</v>
      </c>
      <c r="J4536">
        <v>4059</v>
      </c>
      <c r="K4536" s="4">
        <v>562252.68000000005</v>
      </c>
      <c r="L4536" s="4">
        <v>6160.1428571428569</v>
      </c>
      <c r="M4536" s="4">
        <v>0.6589132905081051</v>
      </c>
      <c r="N4536" t="s">
        <v>25</v>
      </c>
      <c r="O4536" t="str">
        <f t="shared" si="700"/>
        <v>Low</v>
      </c>
      <c r="P4536" t="str">
        <f t="shared" si="701"/>
        <v>Low</v>
      </c>
      <c r="Q4536" t="str">
        <f t="shared" si="702"/>
        <v>Low</v>
      </c>
      <c r="R4536" t="s">
        <v>3309</v>
      </c>
      <c r="S4536" s="4">
        <f t="shared" ca="1" si="703"/>
        <v>430</v>
      </c>
      <c r="T4536">
        <f t="shared" si="704"/>
        <v>1</v>
      </c>
      <c r="U4536">
        <f t="shared" si="705"/>
        <v>1</v>
      </c>
      <c r="V4536">
        <f t="shared" si="706"/>
        <v>1</v>
      </c>
      <c r="W4536">
        <f t="shared" si="707"/>
        <v>3</v>
      </c>
      <c r="X4536">
        <f t="shared" si="708"/>
        <v>1.2</v>
      </c>
      <c r="Y4536" t="str">
        <f t="shared" si="709"/>
        <v>Healthy</v>
      </c>
    </row>
    <row r="4537" spans="1:25" x14ac:dyDescent="0.35">
      <c r="A4537" t="s">
        <v>179</v>
      </c>
      <c r="B4537" t="s">
        <v>195</v>
      </c>
      <c r="C4537" t="s">
        <v>422</v>
      </c>
      <c r="D4537" t="s">
        <v>2842</v>
      </c>
      <c r="E4537">
        <v>83912652</v>
      </c>
      <c r="F4537" t="s">
        <v>2843</v>
      </c>
      <c r="G4537" s="3">
        <v>46614</v>
      </c>
      <c r="H4537">
        <v>16</v>
      </c>
      <c r="I4537">
        <v>88</v>
      </c>
      <c r="J4537">
        <v>1084</v>
      </c>
      <c r="K4537" s="4">
        <v>166778.07999999999</v>
      </c>
      <c r="L4537" s="4">
        <v>6160.1428571428569</v>
      </c>
      <c r="M4537" s="4">
        <v>0.17596994503838037</v>
      </c>
      <c r="N4537" t="s">
        <v>25</v>
      </c>
      <c r="O4537" t="str">
        <f t="shared" si="700"/>
        <v>Low</v>
      </c>
      <c r="P4537" t="str">
        <f t="shared" si="701"/>
        <v>Low</v>
      </c>
      <c r="Q4537" t="str">
        <f t="shared" si="702"/>
        <v>Low</v>
      </c>
      <c r="R4537" t="s">
        <v>3309</v>
      </c>
      <c r="S4537" s="4">
        <f t="shared" ca="1" si="703"/>
        <v>417</v>
      </c>
      <c r="T4537">
        <f t="shared" si="704"/>
        <v>1</v>
      </c>
      <c r="U4537">
        <f t="shared" si="705"/>
        <v>1</v>
      </c>
      <c r="V4537">
        <f t="shared" si="706"/>
        <v>1</v>
      </c>
      <c r="W4537">
        <f t="shared" si="707"/>
        <v>3</v>
      </c>
      <c r="X4537">
        <f t="shared" si="708"/>
        <v>1.2</v>
      </c>
      <c r="Y4537" t="str">
        <f t="shared" si="709"/>
        <v>Healthy</v>
      </c>
    </row>
    <row r="4538" spans="1:25" x14ac:dyDescent="0.35">
      <c r="A4538" t="s">
        <v>179</v>
      </c>
      <c r="B4538" t="s">
        <v>195</v>
      </c>
      <c r="C4538" t="s">
        <v>422</v>
      </c>
      <c r="D4538" t="s">
        <v>2842</v>
      </c>
      <c r="E4538">
        <v>83912652</v>
      </c>
      <c r="F4538" t="s">
        <v>2843</v>
      </c>
      <c r="G4538" s="3">
        <v>46621</v>
      </c>
      <c r="H4538">
        <v>16</v>
      </c>
      <c r="I4538">
        <v>89</v>
      </c>
      <c r="J4538">
        <v>360</v>
      </c>
      <c r="K4538" s="4">
        <v>49867.199999999997</v>
      </c>
      <c r="L4538" s="4">
        <v>6160.1428571428569</v>
      </c>
      <c r="M4538" s="4">
        <v>5.8440203149277614E-2</v>
      </c>
      <c r="N4538" t="s">
        <v>25</v>
      </c>
      <c r="O4538" t="str">
        <f t="shared" si="700"/>
        <v>Low</v>
      </c>
      <c r="P4538" t="str">
        <f t="shared" si="701"/>
        <v>Low</v>
      </c>
      <c r="Q4538" t="str">
        <f t="shared" si="702"/>
        <v>Low</v>
      </c>
      <c r="R4538" t="s">
        <v>3317</v>
      </c>
      <c r="S4538" s="4">
        <f t="shared" ca="1" si="703"/>
        <v>424</v>
      </c>
      <c r="T4538">
        <f t="shared" si="704"/>
        <v>1</v>
      </c>
      <c r="U4538">
        <f t="shared" si="705"/>
        <v>1</v>
      </c>
      <c r="V4538">
        <f t="shared" si="706"/>
        <v>1</v>
      </c>
      <c r="W4538">
        <f t="shared" si="707"/>
        <v>1</v>
      </c>
      <c r="X4538">
        <f t="shared" si="708"/>
        <v>0.99999999999999989</v>
      </c>
      <c r="Y4538" t="str">
        <f t="shared" si="709"/>
        <v>Healthy</v>
      </c>
    </row>
    <row r="4539" spans="1:25" x14ac:dyDescent="0.35">
      <c r="A4539" t="s">
        <v>179</v>
      </c>
      <c r="B4539" t="s">
        <v>195</v>
      </c>
      <c r="C4539" t="s">
        <v>422</v>
      </c>
      <c r="D4539" t="s">
        <v>2842</v>
      </c>
      <c r="E4539">
        <v>83912652</v>
      </c>
      <c r="F4539" t="s">
        <v>2843</v>
      </c>
      <c r="G4539" s="3">
        <v>46642</v>
      </c>
      <c r="H4539">
        <v>16</v>
      </c>
      <c r="I4539">
        <v>94</v>
      </c>
      <c r="J4539">
        <v>3048</v>
      </c>
      <c r="K4539" s="4">
        <v>422208.96</v>
      </c>
      <c r="L4539" s="4">
        <v>6160.1428571428569</v>
      </c>
      <c r="M4539" s="4">
        <v>0.49479371999721716</v>
      </c>
      <c r="N4539" t="s">
        <v>25</v>
      </c>
      <c r="O4539" t="str">
        <f t="shared" si="700"/>
        <v>Low</v>
      </c>
      <c r="P4539" t="str">
        <f t="shared" si="701"/>
        <v>Low</v>
      </c>
      <c r="Q4539" t="str">
        <f t="shared" si="702"/>
        <v>Low</v>
      </c>
      <c r="R4539" t="s">
        <v>3309</v>
      </c>
      <c r="S4539" s="4">
        <f t="shared" ca="1" si="703"/>
        <v>445</v>
      </c>
      <c r="T4539">
        <f t="shared" si="704"/>
        <v>1</v>
      </c>
      <c r="U4539">
        <f t="shared" si="705"/>
        <v>1</v>
      </c>
      <c r="V4539">
        <f t="shared" si="706"/>
        <v>1</v>
      </c>
      <c r="W4539">
        <f t="shared" si="707"/>
        <v>3</v>
      </c>
      <c r="X4539">
        <f t="shared" si="708"/>
        <v>1.2</v>
      </c>
      <c r="Y4539" t="str">
        <f t="shared" si="709"/>
        <v>Healthy</v>
      </c>
    </row>
    <row r="4540" spans="1:25" x14ac:dyDescent="0.35">
      <c r="A4540" t="s">
        <v>179</v>
      </c>
      <c r="B4540" t="s">
        <v>195</v>
      </c>
      <c r="C4540" t="s">
        <v>422</v>
      </c>
      <c r="D4540" t="s">
        <v>2842</v>
      </c>
      <c r="E4540">
        <v>83912652</v>
      </c>
      <c r="F4540" t="s">
        <v>2843</v>
      </c>
      <c r="G4540" s="3">
        <v>46628</v>
      </c>
      <c r="H4540">
        <v>16</v>
      </c>
      <c r="I4540">
        <v>91</v>
      </c>
      <c r="J4540">
        <v>912</v>
      </c>
      <c r="K4540" s="4">
        <v>126330.24000000001</v>
      </c>
      <c r="L4540" s="4">
        <v>6160.1428571428569</v>
      </c>
      <c r="M4540" s="4">
        <v>0.14804851464483662</v>
      </c>
      <c r="N4540" t="s">
        <v>25</v>
      </c>
      <c r="O4540" t="str">
        <f t="shared" si="700"/>
        <v>Low</v>
      </c>
      <c r="P4540" t="str">
        <f t="shared" si="701"/>
        <v>Low</v>
      </c>
      <c r="Q4540" t="str">
        <f t="shared" si="702"/>
        <v>Low</v>
      </c>
      <c r="R4540" t="s">
        <v>3310</v>
      </c>
      <c r="S4540" s="4">
        <f t="shared" ca="1" si="703"/>
        <v>431</v>
      </c>
      <c r="T4540">
        <f t="shared" si="704"/>
        <v>1</v>
      </c>
      <c r="U4540">
        <f t="shared" si="705"/>
        <v>1</v>
      </c>
      <c r="V4540">
        <f t="shared" si="706"/>
        <v>1</v>
      </c>
      <c r="W4540">
        <f t="shared" si="707"/>
        <v>2</v>
      </c>
      <c r="X4540">
        <f t="shared" si="708"/>
        <v>1.0999999999999999</v>
      </c>
      <c r="Y4540" t="str">
        <f t="shared" si="709"/>
        <v>Healthy</v>
      </c>
    </row>
    <row r="4541" spans="1:25" x14ac:dyDescent="0.35">
      <c r="A4541" t="s">
        <v>179</v>
      </c>
      <c r="B4541" t="s">
        <v>195</v>
      </c>
      <c r="C4541" t="s">
        <v>422</v>
      </c>
      <c r="D4541" t="s">
        <v>2842</v>
      </c>
      <c r="E4541">
        <v>83912652</v>
      </c>
      <c r="F4541" t="s">
        <v>2843</v>
      </c>
      <c r="G4541" s="3">
        <v>46627</v>
      </c>
      <c r="H4541">
        <v>16</v>
      </c>
      <c r="I4541">
        <v>91</v>
      </c>
      <c r="J4541">
        <v>2496</v>
      </c>
      <c r="K4541" s="4">
        <v>345745.91999999998</v>
      </c>
      <c r="L4541" s="4">
        <v>6160.1428571428569</v>
      </c>
      <c r="M4541" s="4">
        <v>0.40518540850165813</v>
      </c>
      <c r="N4541" t="s">
        <v>25</v>
      </c>
      <c r="O4541" t="str">
        <f t="shared" si="700"/>
        <v>Low</v>
      </c>
      <c r="P4541" t="str">
        <f t="shared" si="701"/>
        <v>Low</v>
      </c>
      <c r="Q4541" t="str">
        <f t="shared" si="702"/>
        <v>Low</v>
      </c>
      <c r="R4541" t="s">
        <v>3309</v>
      </c>
      <c r="S4541" s="4">
        <f t="shared" ca="1" si="703"/>
        <v>430</v>
      </c>
      <c r="T4541">
        <f t="shared" si="704"/>
        <v>1</v>
      </c>
      <c r="U4541">
        <f t="shared" si="705"/>
        <v>1</v>
      </c>
      <c r="V4541">
        <f t="shared" si="706"/>
        <v>1</v>
      </c>
      <c r="W4541">
        <f t="shared" si="707"/>
        <v>3</v>
      </c>
      <c r="X4541">
        <f t="shared" si="708"/>
        <v>1.2</v>
      </c>
      <c r="Y4541" t="str">
        <f t="shared" si="709"/>
        <v>Healthy</v>
      </c>
    </row>
    <row r="4542" spans="1:25" x14ac:dyDescent="0.35">
      <c r="A4542" t="s">
        <v>179</v>
      </c>
      <c r="B4542" t="s">
        <v>195</v>
      </c>
      <c r="C4542" t="s">
        <v>422</v>
      </c>
      <c r="D4542" t="s">
        <v>2842</v>
      </c>
      <c r="E4542">
        <v>83912652</v>
      </c>
      <c r="F4542" t="s">
        <v>2843</v>
      </c>
      <c r="G4542" s="3">
        <v>46628</v>
      </c>
      <c r="H4542">
        <v>16</v>
      </c>
      <c r="I4542">
        <v>91</v>
      </c>
      <c r="J4542">
        <v>1903</v>
      </c>
      <c r="K4542" s="4">
        <v>263603.56</v>
      </c>
      <c r="L4542" s="4">
        <v>6160.1428571428569</v>
      </c>
      <c r="M4542" s="4">
        <v>0.30892140720298694</v>
      </c>
      <c r="N4542" t="s">
        <v>25</v>
      </c>
      <c r="O4542" t="str">
        <f t="shared" si="700"/>
        <v>Low</v>
      </c>
      <c r="P4542" t="str">
        <f t="shared" si="701"/>
        <v>Low</v>
      </c>
      <c r="Q4542" t="str">
        <f t="shared" si="702"/>
        <v>Low</v>
      </c>
      <c r="R4542" t="s">
        <v>3309</v>
      </c>
      <c r="S4542" s="4">
        <f t="shared" ca="1" si="703"/>
        <v>431</v>
      </c>
      <c r="T4542">
        <f t="shared" si="704"/>
        <v>1</v>
      </c>
      <c r="U4542">
        <f t="shared" si="705"/>
        <v>1</v>
      </c>
      <c r="V4542">
        <f t="shared" si="706"/>
        <v>1</v>
      </c>
      <c r="W4542">
        <f t="shared" si="707"/>
        <v>3</v>
      </c>
      <c r="X4542">
        <f t="shared" si="708"/>
        <v>1.2</v>
      </c>
      <c r="Y4542" t="str">
        <f t="shared" si="709"/>
        <v>Healthy</v>
      </c>
    </row>
    <row r="4543" spans="1:25" x14ac:dyDescent="0.35">
      <c r="A4543" t="s">
        <v>179</v>
      </c>
      <c r="B4543" t="s">
        <v>195</v>
      </c>
      <c r="C4543" t="s">
        <v>422</v>
      </c>
      <c r="D4543" t="s">
        <v>2842</v>
      </c>
      <c r="E4543">
        <v>83912652</v>
      </c>
      <c r="F4543" t="s">
        <v>2843</v>
      </c>
      <c r="G4543" s="3">
        <v>46636</v>
      </c>
      <c r="H4543">
        <v>16</v>
      </c>
      <c r="I4543">
        <v>93</v>
      </c>
      <c r="J4543">
        <v>1608</v>
      </c>
      <c r="K4543" s="4">
        <v>222740.16</v>
      </c>
      <c r="L4543" s="4">
        <v>6160.1428571428569</v>
      </c>
      <c r="M4543" s="4">
        <v>0.26103290740010671</v>
      </c>
      <c r="N4543" t="s">
        <v>25</v>
      </c>
      <c r="O4543" t="str">
        <f t="shared" si="700"/>
        <v>Low</v>
      </c>
      <c r="P4543" t="str">
        <f t="shared" si="701"/>
        <v>Low</v>
      </c>
      <c r="Q4543" t="str">
        <f t="shared" si="702"/>
        <v>Low</v>
      </c>
      <c r="R4543" t="s">
        <v>3309</v>
      </c>
      <c r="S4543" s="4">
        <f t="shared" ca="1" si="703"/>
        <v>439</v>
      </c>
      <c r="T4543">
        <f t="shared" si="704"/>
        <v>1</v>
      </c>
      <c r="U4543">
        <f t="shared" si="705"/>
        <v>1</v>
      </c>
      <c r="V4543">
        <f t="shared" si="706"/>
        <v>1</v>
      </c>
      <c r="W4543">
        <f t="shared" si="707"/>
        <v>3</v>
      </c>
      <c r="X4543">
        <f t="shared" si="708"/>
        <v>1.2</v>
      </c>
      <c r="Y4543" t="str">
        <f t="shared" si="709"/>
        <v>Healthy</v>
      </c>
    </row>
    <row r="4544" spans="1:25" x14ac:dyDescent="0.35">
      <c r="A4544" t="s">
        <v>179</v>
      </c>
      <c r="B4544" t="s">
        <v>195</v>
      </c>
      <c r="C4544" t="s">
        <v>422</v>
      </c>
      <c r="D4544" t="s">
        <v>2842</v>
      </c>
      <c r="E4544">
        <v>83912652</v>
      </c>
      <c r="F4544" t="s">
        <v>2843</v>
      </c>
      <c r="G4544" s="3">
        <v>46642</v>
      </c>
      <c r="H4544">
        <v>16</v>
      </c>
      <c r="I4544">
        <v>94</v>
      </c>
      <c r="J4544">
        <v>4050</v>
      </c>
      <c r="K4544" s="4">
        <v>561006</v>
      </c>
      <c r="L4544" s="4">
        <v>6160.1428571428569</v>
      </c>
      <c r="M4544" s="4">
        <v>0.65745228542937317</v>
      </c>
      <c r="N4544" t="s">
        <v>25</v>
      </c>
      <c r="O4544" t="str">
        <f t="shared" si="700"/>
        <v>Low</v>
      </c>
      <c r="P4544" t="str">
        <f t="shared" si="701"/>
        <v>Low</v>
      </c>
      <c r="Q4544" t="str">
        <f t="shared" si="702"/>
        <v>Low</v>
      </c>
      <c r="R4544" t="s">
        <v>3309</v>
      </c>
      <c r="S4544" s="4">
        <f t="shared" ca="1" si="703"/>
        <v>445</v>
      </c>
      <c r="T4544">
        <f t="shared" si="704"/>
        <v>1</v>
      </c>
      <c r="U4544">
        <f t="shared" si="705"/>
        <v>1</v>
      </c>
      <c r="V4544">
        <f t="shared" si="706"/>
        <v>1</v>
      </c>
      <c r="W4544">
        <f t="shared" si="707"/>
        <v>3</v>
      </c>
      <c r="X4544">
        <f t="shared" si="708"/>
        <v>1.2</v>
      </c>
      <c r="Y4544" t="str">
        <f t="shared" si="709"/>
        <v>Healthy</v>
      </c>
    </row>
    <row r="4545" spans="1:25" x14ac:dyDescent="0.35">
      <c r="A4545" t="s">
        <v>41</v>
      </c>
      <c r="B4545" t="s">
        <v>42</v>
      </c>
      <c r="C4545" t="s">
        <v>121</v>
      </c>
      <c r="D4545" t="s">
        <v>122</v>
      </c>
      <c r="E4545">
        <v>80877222</v>
      </c>
      <c r="F4545" t="s">
        <v>2844</v>
      </c>
      <c r="G4545" s="3">
        <v>47221</v>
      </c>
      <c r="H4545">
        <v>36</v>
      </c>
      <c r="I4545">
        <v>95</v>
      </c>
      <c r="J4545">
        <v>77</v>
      </c>
      <c r="K4545" s="4">
        <v>17290.349999999999</v>
      </c>
      <c r="L4545" s="4">
        <v>96</v>
      </c>
      <c r="M4545" s="4">
        <v>0.80208333333333337</v>
      </c>
      <c r="N4545" t="s">
        <v>25</v>
      </c>
      <c r="O4545" t="str">
        <f t="shared" si="700"/>
        <v>Low</v>
      </c>
      <c r="P4545" t="str">
        <f t="shared" si="701"/>
        <v>Low</v>
      </c>
      <c r="Q4545" t="str">
        <f t="shared" si="702"/>
        <v>Low</v>
      </c>
      <c r="R4545" t="s">
        <v>3317</v>
      </c>
      <c r="S4545" s="4">
        <f t="shared" ca="1" si="703"/>
        <v>1024</v>
      </c>
      <c r="T4545">
        <f t="shared" si="704"/>
        <v>1</v>
      </c>
      <c r="U4545">
        <f t="shared" si="705"/>
        <v>1</v>
      </c>
      <c r="V4545">
        <f t="shared" si="706"/>
        <v>1</v>
      </c>
      <c r="W4545">
        <f t="shared" si="707"/>
        <v>1</v>
      </c>
      <c r="X4545">
        <f t="shared" si="708"/>
        <v>0.99999999999999989</v>
      </c>
      <c r="Y4545" t="str">
        <f t="shared" si="709"/>
        <v>Healthy</v>
      </c>
    </row>
    <row r="4546" spans="1:25" x14ac:dyDescent="0.35">
      <c r="A4546" t="s">
        <v>41</v>
      </c>
      <c r="B4546" t="s">
        <v>42</v>
      </c>
      <c r="C4546" t="s">
        <v>121</v>
      </c>
      <c r="D4546" t="s">
        <v>2132</v>
      </c>
      <c r="E4546">
        <v>80877223</v>
      </c>
      <c r="F4546" t="s">
        <v>2845</v>
      </c>
      <c r="G4546" s="3">
        <v>47256</v>
      </c>
      <c r="H4546">
        <v>36</v>
      </c>
      <c r="I4546">
        <v>99</v>
      </c>
      <c r="J4546">
        <v>369</v>
      </c>
      <c r="K4546" s="4">
        <v>82858.95</v>
      </c>
      <c r="L4546" s="4">
        <v>434.42857142857144</v>
      </c>
      <c r="M4546" s="4">
        <v>0.84939164748438012</v>
      </c>
      <c r="N4546" t="s">
        <v>25</v>
      </c>
      <c r="O4546" t="str">
        <f t="shared" si="700"/>
        <v>Low</v>
      </c>
      <c r="P4546" t="str">
        <f t="shared" si="701"/>
        <v>Low</v>
      </c>
      <c r="Q4546" t="str">
        <f t="shared" si="702"/>
        <v>Low</v>
      </c>
      <c r="R4546" t="s">
        <v>3310</v>
      </c>
      <c r="S4546" s="4">
        <f t="shared" ca="1" si="703"/>
        <v>1059</v>
      </c>
      <c r="T4546">
        <f t="shared" si="704"/>
        <v>1</v>
      </c>
      <c r="U4546">
        <f t="shared" si="705"/>
        <v>1</v>
      </c>
      <c r="V4546">
        <f t="shared" si="706"/>
        <v>1</v>
      </c>
      <c r="W4546">
        <f t="shared" si="707"/>
        <v>2</v>
      </c>
      <c r="X4546">
        <f t="shared" si="708"/>
        <v>1.0999999999999999</v>
      </c>
      <c r="Y4546" t="str">
        <f t="shared" si="709"/>
        <v>Healthy</v>
      </c>
    </row>
    <row r="4547" spans="1:25" x14ac:dyDescent="0.35">
      <c r="A4547" t="s">
        <v>14</v>
      </c>
      <c r="B4547" t="s">
        <v>960</v>
      </c>
      <c r="C4547" t="s">
        <v>961</v>
      </c>
      <c r="D4547" t="s">
        <v>2846</v>
      </c>
      <c r="E4547">
        <v>80893328</v>
      </c>
      <c r="F4547" t="s">
        <v>2847</v>
      </c>
      <c r="G4547" s="3">
        <v>47916</v>
      </c>
      <c r="H4547">
        <v>60</v>
      </c>
      <c r="I4547">
        <v>96</v>
      </c>
      <c r="J4547">
        <v>3514</v>
      </c>
      <c r="K4547" s="4">
        <v>359728.18</v>
      </c>
      <c r="L4547" s="4">
        <v>1122.1428571428571</v>
      </c>
      <c r="M4547" s="4">
        <v>3.1315085932527054</v>
      </c>
      <c r="N4547" t="s">
        <v>25</v>
      </c>
      <c r="O4547" t="str">
        <f t="shared" ref="O4547:O4610" si="710">IF(I4547&lt;20,"High",IF(I4547&lt;40,"Medium","Low"))</f>
        <v>Low</v>
      </c>
      <c r="P4547" t="str">
        <f t="shared" ref="P4547:P4610" si="711">IF(M4547&gt;8,"High",IF(M4547&gt;4,"Medium","Low"))</f>
        <v>Low</v>
      </c>
      <c r="Q4547" t="str">
        <f t="shared" ref="Q4547:Q4610" si="712">IF(L4547&lt;5,"High",IF(L4547&lt;15,"Medium","Low"))</f>
        <v>Low</v>
      </c>
      <c r="R4547" t="s">
        <v>3309</v>
      </c>
      <c r="S4547" s="4">
        <f t="shared" ref="S4547:S4610" ca="1" si="713">G4547-TODAY()</f>
        <v>1719</v>
      </c>
      <c r="T4547">
        <f t="shared" ref="T4547:T4610" si="714">IF(O4547="High",3,IF(O4547="Medium",2,1))</f>
        <v>1</v>
      </c>
      <c r="U4547">
        <f t="shared" ref="U4547:U4610" si="715">IF(P4547="High",3,IF(P4547="Medium",2,1))</f>
        <v>1</v>
      </c>
      <c r="V4547">
        <f t="shared" ref="V4547:V4610" si="716">IF(Q4547="High",3,IF(Q4547="Medium",2,1))</f>
        <v>1</v>
      </c>
      <c r="W4547">
        <f t="shared" ref="W4547:W4610" si="717">IF(R4547="High",3,IF(R4547="Medium",2,1))</f>
        <v>3</v>
      </c>
      <c r="X4547">
        <f t="shared" ref="X4547:X4610" si="718">(0.4*T4547)+(0.3*U4547)+(0.2*V4547)+(0.1*W4547)</f>
        <v>1.2</v>
      </c>
      <c r="Y4547" t="str">
        <f t="shared" ref="Y4547:Y4610" si="719">IF(X4547&gt;=2.7,"Move Immediately",IF(X4547&gt;=2.2,"High Priority",IF(X4547&gt;=1.7,"Monitor","Healthy")))</f>
        <v>Healthy</v>
      </c>
    </row>
    <row r="4548" spans="1:25" x14ac:dyDescent="0.35">
      <c r="A4548" t="s">
        <v>14</v>
      </c>
      <c r="B4548" t="s">
        <v>960</v>
      </c>
      <c r="C4548" t="s">
        <v>961</v>
      </c>
      <c r="D4548" t="s">
        <v>2846</v>
      </c>
      <c r="E4548">
        <v>80893328</v>
      </c>
      <c r="F4548" t="s">
        <v>2847</v>
      </c>
      <c r="G4548" s="3">
        <v>47933</v>
      </c>
      <c r="H4548">
        <v>60</v>
      </c>
      <c r="I4548">
        <v>97</v>
      </c>
      <c r="J4548">
        <v>3456</v>
      </c>
      <c r="K4548" s="4">
        <v>353790.71999999997</v>
      </c>
      <c r="L4548" s="4">
        <v>1122.1428571428571</v>
      </c>
      <c r="M4548" s="4">
        <v>3.0798217695735199</v>
      </c>
      <c r="N4548" t="s">
        <v>25</v>
      </c>
      <c r="O4548" t="str">
        <f t="shared" si="710"/>
        <v>Low</v>
      </c>
      <c r="P4548" t="str">
        <f t="shared" si="711"/>
        <v>Low</v>
      </c>
      <c r="Q4548" t="str">
        <f t="shared" si="712"/>
        <v>Low</v>
      </c>
      <c r="R4548" t="s">
        <v>3309</v>
      </c>
      <c r="S4548" s="4">
        <f t="shared" ca="1" si="713"/>
        <v>1736</v>
      </c>
      <c r="T4548">
        <f t="shared" si="714"/>
        <v>1</v>
      </c>
      <c r="U4548">
        <f t="shared" si="715"/>
        <v>1</v>
      </c>
      <c r="V4548">
        <f t="shared" si="716"/>
        <v>1</v>
      </c>
      <c r="W4548">
        <f t="shared" si="717"/>
        <v>3</v>
      </c>
      <c r="X4548">
        <f t="shared" si="718"/>
        <v>1.2</v>
      </c>
      <c r="Y4548" t="str">
        <f t="shared" si="719"/>
        <v>Healthy</v>
      </c>
    </row>
    <row r="4549" spans="1:25" x14ac:dyDescent="0.35">
      <c r="A4549" t="s">
        <v>179</v>
      </c>
      <c r="B4549" t="s">
        <v>195</v>
      </c>
      <c r="C4549" t="s">
        <v>199</v>
      </c>
      <c r="D4549" t="s">
        <v>1696</v>
      </c>
      <c r="E4549">
        <v>83911934</v>
      </c>
      <c r="F4549" t="s">
        <v>2848</v>
      </c>
      <c r="G4549" s="3">
        <v>46622</v>
      </c>
      <c r="H4549">
        <v>16</v>
      </c>
      <c r="I4549">
        <v>90</v>
      </c>
      <c r="J4549">
        <v>38</v>
      </c>
      <c r="K4549" s="4">
        <v>64141.72</v>
      </c>
      <c r="L4549" s="4">
        <v>5.2857142857142856</v>
      </c>
      <c r="M4549" s="4">
        <v>7.1891891891891895</v>
      </c>
      <c r="N4549" t="s">
        <v>19</v>
      </c>
      <c r="O4549" t="str">
        <f t="shared" si="710"/>
        <v>Low</v>
      </c>
      <c r="P4549" t="str">
        <f t="shared" si="711"/>
        <v>Medium</v>
      </c>
      <c r="Q4549" t="str">
        <f t="shared" si="712"/>
        <v>Medium</v>
      </c>
      <c r="R4549" t="s">
        <v>3317</v>
      </c>
      <c r="S4549" s="4">
        <f t="shared" ca="1" si="713"/>
        <v>425</v>
      </c>
      <c r="T4549">
        <f t="shared" si="714"/>
        <v>1</v>
      </c>
      <c r="U4549">
        <f t="shared" si="715"/>
        <v>2</v>
      </c>
      <c r="V4549">
        <f t="shared" si="716"/>
        <v>2</v>
      </c>
      <c r="W4549">
        <f t="shared" si="717"/>
        <v>1</v>
      </c>
      <c r="X4549">
        <f t="shared" si="718"/>
        <v>1.5</v>
      </c>
      <c r="Y4549" t="str">
        <f t="shared" si="719"/>
        <v>Healthy</v>
      </c>
    </row>
    <row r="4550" spans="1:25" x14ac:dyDescent="0.35">
      <c r="A4550" t="s">
        <v>179</v>
      </c>
      <c r="B4550" t="s">
        <v>195</v>
      </c>
      <c r="C4550" t="s">
        <v>199</v>
      </c>
      <c r="D4550" t="s">
        <v>1696</v>
      </c>
      <c r="E4550">
        <v>83911934</v>
      </c>
      <c r="F4550" t="s">
        <v>2848</v>
      </c>
      <c r="G4550" s="3">
        <v>46641</v>
      </c>
      <c r="H4550">
        <v>16</v>
      </c>
      <c r="I4550">
        <v>94</v>
      </c>
      <c r="J4550">
        <v>44</v>
      </c>
      <c r="K4550" s="4">
        <v>74269.36</v>
      </c>
      <c r="L4550" s="4">
        <v>5.2857142857142856</v>
      </c>
      <c r="M4550" s="4">
        <v>8.3243243243243246</v>
      </c>
      <c r="N4550" t="s">
        <v>19</v>
      </c>
      <c r="O4550" t="str">
        <f t="shared" si="710"/>
        <v>Low</v>
      </c>
      <c r="P4550" t="str">
        <f t="shared" si="711"/>
        <v>High</v>
      </c>
      <c r="Q4550" t="str">
        <f t="shared" si="712"/>
        <v>Medium</v>
      </c>
      <c r="R4550" t="s">
        <v>3310</v>
      </c>
      <c r="S4550" s="4">
        <f t="shared" ca="1" si="713"/>
        <v>444</v>
      </c>
      <c r="T4550">
        <f t="shared" si="714"/>
        <v>1</v>
      </c>
      <c r="U4550">
        <f t="shared" si="715"/>
        <v>3</v>
      </c>
      <c r="V4550">
        <f t="shared" si="716"/>
        <v>2</v>
      </c>
      <c r="W4550">
        <f t="shared" si="717"/>
        <v>2</v>
      </c>
      <c r="X4550">
        <f t="shared" si="718"/>
        <v>1.8999999999999997</v>
      </c>
      <c r="Y4550" t="str">
        <f t="shared" si="719"/>
        <v>Monitor</v>
      </c>
    </row>
    <row r="4551" spans="1:25" x14ac:dyDescent="0.35">
      <c r="A4551" t="s">
        <v>179</v>
      </c>
      <c r="B4551" t="s">
        <v>195</v>
      </c>
      <c r="C4551" t="s">
        <v>199</v>
      </c>
      <c r="D4551" t="s">
        <v>1696</v>
      </c>
      <c r="E4551">
        <v>83911934</v>
      </c>
      <c r="F4551" t="s">
        <v>2848</v>
      </c>
      <c r="G4551" s="3">
        <v>46641</v>
      </c>
      <c r="H4551">
        <v>16</v>
      </c>
      <c r="I4551">
        <v>94</v>
      </c>
      <c r="J4551">
        <v>60</v>
      </c>
      <c r="K4551" s="4">
        <v>101276.4</v>
      </c>
      <c r="L4551" s="4">
        <v>5.2857142857142856</v>
      </c>
      <c r="M4551" s="4">
        <v>11.351351351351351</v>
      </c>
      <c r="N4551" t="s">
        <v>19</v>
      </c>
      <c r="O4551" t="str">
        <f t="shared" si="710"/>
        <v>Low</v>
      </c>
      <c r="P4551" t="str">
        <f t="shared" si="711"/>
        <v>High</v>
      </c>
      <c r="Q4551" t="str">
        <f t="shared" si="712"/>
        <v>Medium</v>
      </c>
      <c r="R4551" t="s">
        <v>3310</v>
      </c>
      <c r="S4551" s="4">
        <f t="shared" ca="1" si="713"/>
        <v>444</v>
      </c>
      <c r="T4551">
        <f t="shared" si="714"/>
        <v>1</v>
      </c>
      <c r="U4551">
        <f t="shared" si="715"/>
        <v>3</v>
      </c>
      <c r="V4551">
        <f t="shared" si="716"/>
        <v>2</v>
      </c>
      <c r="W4551">
        <f t="shared" si="717"/>
        <v>2</v>
      </c>
      <c r="X4551">
        <f t="shared" si="718"/>
        <v>1.8999999999999997</v>
      </c>
      <c r="Y4551" t="str">
        <f t="shared" si="719"/>
        <v>Monitor</v>
      </c>
    </row>
    <row r="4552" spans="1:25" x14ac:dyDescent="0.35">
      <c r="A4552" t="s">
        <v>41</v>
      </c>
      <c r="B4552" t="s">
        <v>42</v>
      </c>
      <c r="C4552" t="s">
        <v>365</v>
      </c>
      <c r="D4552" t="s">
        <v>1038</v>
      </c>
      <c r="E4552">
        <v>82326407</v>
      </c>
      <c r="F4552" t="s">
        <v>2849</v>
      </c>
      <c r="G4552" s="3">
        <v>47020</v>
      </c>
      <c r="H4552">
        <v>36</v>
      </c>
      <c r="I4552">
        <v>77</v>
      </c>
      <c r="J4552">
        <v>2</v>
      </c>
      <c r="K4552" s="4">
        <v>232.14</v>
      </c>
      <c r="L4552" s="4">
        <f>0</f>
        <v>0</v>
      </c>
      <c r="M4552" s="4">
        <f>999</f>
        <v>999</v>
      </c>
      <c r="N4552" t="s">
        <v>19</v>
      </c>
      <c r="O4552" t="str">
        <f t="shared" si="710"/>
        <v>Low</v>
      </c>
      <c r="P4552" t="str">
        <f t="shared" si="711"/>
        <v>High</v>
      </c>
      <c r="Q4552" t="str">
        <f t="shared" si="712"/>
        <v>High</v>
      </c>
      <c r="R4552" t="s">
        <v>3317</v>
      </c>
      <c r="S4552" s="4">
        <f t="shared" ca="1" si="713"/>
        <v>823</v>
      </c>
      <c r="T4552">
        <f t="shared" si="714"/>
        <v>1</v>
      </c>
      <c r="U4552">
        <f t="shared" si="715"/>
        <v>3</v>
      </c>
      <c r="V4552">
        <f t="shared" si="716"/>
        <v>3</v>
      </c>
      <c r="W4552">
        <f t="shared" si="717"/>
        <v>1</v>
      </c>
      <c r="X4552">
        <f t="shared" si="718"/>
        <v>2</v>
      </c>
      <c r="Y4552" t="str">
        <f t="shared" si="719"/>
        <v>Monitor</v>
      </c>
    </row>
    <row r="4553" spans="1:25" x14ac:dyDescent="0.35">
      <c r="A4553" t="s">
        <v>99</v>
      </c>
      <c r="B4553" t="s">
        <v>100</v>
      </c>
      <c r="C4553" t="s">
        <v>362</v>
      </c>
      <c r="D4553" t="s">
        <v>370</v>
      </c>
      <c r="E4553">
        <v>82321249</v>
      </c>
      <c r="F4553" t="s">
        <v>2850</v>
      </c>
      <c r="G4553" s="3">
        <v>47020</v>
      </c>
      <c r="H4553">
        <v>36</v>
      </c>
      <c r="I4553">
        <v>77</v>
      </c>
      <c r="J4553">
        <v>9</v>
      </c>
      <c r="K4553" s="4">
        <v>509.13</v>
      </c>
      <c r="L4553" s="4">
        <f>0</f>
        <v>0</v>
      </c>
      <c r="M4553" s="4">
        <f>999</f>
        <v>999</v>
      </c>
      <c r="N4553" t="s">
        <v>19</v>
      </c>
      <c r="O4553" t="str">
        <f t="shared" si="710"/>
        <v>Low</v>
      </c>
      <c r="P4553" t="str">
        <f t="shared" si="711"/>
        <v>High</v>
      </c>
      <c r="Q4553" t="str">
        <f t="shared" si="712"/>
        <v>High</v>
      </c>
      <c r="R4553" t="s">
        <v>3317</v>
      </c>
      <c r="S4553" s="4">
        <f t="shared" ca="1" si="713"/>
        <v>823</v>
      </c>
      <c r="T4553">
        <f t="shared" si="714"/>
        <v>1</v>
      </c>
      <c r="U4553">
        <f t="shared" si="715"/>
        <v>3</v>
      </c>
      <c r="V4553">
        <f t="shared" si="716"/>
        <v>3</v>
      </c>
      <c r="W4553">
        <f t="shared" si="717"/>
        <v>1</v>
      </c>
      <c r="X4553">
        <f t="shared" si="718"/>
        <v>2</v>
      </c>
      <c r="Y4553" t="str">
        <f t="shared" si="719"/>
        <v>Monitor</v>
      </c>
    </row>
    <row r="4554" spans="1:25" x14ac:dyDescent="0.35">
      <c r="A4554" t="s">
        <v>20</v>
      </c>
      <c r="B4554" t="s">
        <v>21</v>
      </c>
      <c r="C4554" t="s">
        <v>313</v>
      </c>
      <c r="D4554" t="s">
        <v>2851</v>
      </c>
      <c r="E4554">
        <v>82314502</v>
      </c>
      <c r="F4554" t="s">
        <v>2852</v>
      </c>
      <c r="G4554" s="3">
        <v>47020</v>
      </c>
      <c r="H4554">
        <v>36</v>
      </c>
      <c r="I4554">
        <v>77</v>
      </c>
      <c r="J4554">
        <v>20</v>
      </c>
      <c r="K4554" s="4">
        <v>6399.8</v>
      </c>
      <c r="L4554" s="4">
        <f>0</f>
        <v>0</v>
      </c>
      <c r="M4554" s="4">
        <f>999</f>
        <v>999</v>
      </c>
      <c r="N4554" t="s">
        <v>19</v>
      </c>
      <c r="O4554" t="str">
        <f t="shared" si="710"/>
        <v>Low</v>
      </c>
      <c r="P4554" t="str">
        <f t="shared" si="711"/>
        <v>High</v>
      </c>
      <c r="Q4554" t="str">
        <f t="shared" si="712"/>
        <v>High</v>
      </c>
      <c r="R4554" t="s">
        <v>3317</v>
      </c>
      <c r="S4554" s="4">
        <f t="shared" ca="1" si="713"/>
        <v>823</v>
      </c>
      <c r="T4554">
        <f t="shared" si="714"/>
        <v>1</v>
      </c>
      <c r="U4554">
        <f t="shared" si="715"/>
        <v>3</v>
      </c>
      <c r="V4554">
        <f t="shared" si="716"/>
        <v>3</v>
      </c>
      <c r="W4554">
        <f t="shared" si="717"/>
        <v>1</v>
      </c>
      <c r="X4554">
        <f t="shared" si="718"/>
        <v>2</v>
      </c>
      <c r="Y4554" t="str">
        <f t="shared" si="719"/>
        <v>Monitor</v>
      </c>
    </row>
    <row r="4555" spans="1:25" x14ac:dyDescent="0.35">
      <c r="A4555" t="s">
        <v>20</v>
      </c>
      <c r="B4555" t="s">
        <v>21</v>
      </c>
      <c r="C4555" t="s">
        <v>313</v>
      </c>
      <c r="D4555" t="s">
        <v>2853</v>
      </c>
      <c r="E4555">
        <v>82320506</v>
      </c>
      <c r="F4555" t="s">
        <v>2854</v>
      </c>
      <c r="G4555" s="3">
        <v>47020</v>
      </c>
      <c r="H4555">
        <v>36</v>
      </c>
      <c r="I4555">
        <v>77</v>
      </c>
      <c r="J4555">
        <v>9</v>
      </c>
      <c r="K4555" s="4">
        <v>2498.31</v>
      </c>
      <c r="L4555" s="4">
        <f>0</f>
        <v>0</v>
      </c>
      <c r="M4555" s="4">
        <f>999</f>
        <v>999</v>
      </c>
      <c r="N4555" t="s">
        <v>19</v>
      </c>
      <c r="O4555" t="str">
        <f t="shared" si="710"/>
        <v>Low</v>
      </c>
      <c r="P4555" t="str">
        <f t="shared" si="711"/>
        <v>High</v>
      </c>
      <c r="Q4555" t="str">
        <f t="shared" si="712"/>
        <v>High</v>
      </c>
      <c r="R4555" t="s">
        <v>3317</v>
      </c>
      <c r="S4555" s="4">
        <f t="shared" ca="1" si="713"/>
        <v>823</v>
      </c>
      <c r="T4555">
        <f t="shared" si="714"/>
        <v>1</v>
      </c>
      <c r="U4555">
        <f t="shared" si="715"/>
        <v>3</v>
      </c>
      <c r="V4555">
        <f t="shared" si="716"/>
        <v>3</v>
      </c>
      <c r="W4555">
        <f t="shared" si="717"/>
        <v>1</v>
      </c>
      <c r="X4555">
        <f t="shared" si="718"/>
        <v>2</v>
      </c>
      <c r="Y4555" t="str">
        <f t="shared" si="719"/>
        <v>Monitor</v>
      </c>
    </row>
    <row r="4556" spans="1:25" x14ac:dyDescent="0.35">
      <c r="A4556" t="s">
        <v>20</v>
      </c>
      <c r="B4556" t="s">
        <v>21</v>
      </c>
      <c r="C4556" t="s">
        <v>313</v>
      </c>
      <c r="D4556" t="s">
        <v>2853</v>
      </c>
      <c r="E4556">
        <v>82320506</v>
      </c>
      <c r="F4556" t="s">
        <v>2854</v>
      </c>
      <c r="G4556" s="3">
        <v>47020</v>
      </c>
      <c r="H4556">
        <v>36</v>
      </c>
      <c r="I4556">
        <v>77</v>
      </c>
      <c r="J4556">
        <v>4</v>
      </c>
      <c r="K4556" s="4">
        <v>1110.3599999999999</v>
      </c>
      <c r="L4556" s="4">
        <f>0</f>
        <v>0</v>
      </c>
      <c r="M4556" s="4">
        <f>999</f>
        <v>999</v>
      </c>
      <c r="N4556" t="s">
        <v>19</v>
      </c>
      <c r="O4556" t="str">
        <f t="shared" si="710"/>
        <v>Low</v>
      </c>
      <c r="P4556" t="str">
        <f t="shared" si="711"/>
        <v>High</v>
      </c>
      <c r="Q4556" t="str">
        <f t="shared" si="712"/>
        <v>High</v>
      </c>
      <c r="R4556" t="s">
        <v>3317</v>
      </c>
      <c r="S4556" s="4">
        <f t="shared" ca="1" si="713"/>
        <v>823</v>
      </c>
      <c r="T4556">
        <f t="shared" si="714"/>
        <v>1</v>
      </c>
      <c r="U4556">
        <f t="shared" si="715"/>
        <v>3</v>
      </c>
      <c r="V4556">
        <f t="shared" si="716"/>
        <v>3</v>
      </c>
      <c r="W4556">
        <f t="shared" si="717"/>
        <v>1</v>
      </c>
      <c r="X4556">
        <f t="shared" si="718"/>
        <v>2</v>
      </c>
      <c r="Y4556" t="str">
        <f t="shared" si="719"/>
        <v>Monitor</v>
      </c>
    </row>
    <row r="4557" spans="1:25" x14ac:dyDescent="0.35">
      <c r="A4557" t="s">
        <v>29</v>
      </c>
      <c r="B4557" t="s">
        <v>30</v>
      </c>
      <c r="C4557" t="s">
        <v>856</v>
      </c>
      <c r="D4557" t="s">
        <v>1211</v>
      </c>
      <c r="E4557">
        <v>82311414</v>
      </c>
      <c r="F4557" t="s">
        <v>2855</v>
      </c>
      <c r="G4557" s="3">
        <v>45634</v>
      </c>
      <c r="H4557">
        <v>36</v>
      </c>
      <c r="I4557">
        <v>0</v>
      </c>
      <c r="J4557">
        <v>1</v>
      </c>
      <c r="K4557" s="4">
        <v>1599.15</v>
      </c>
      <c r="L4557" s="4">
        <f>0</f>
        <v>0</v>
      </c>
      <c r="M4557" s="4">
        <f>999</f>
        <v>999</v>
      </c>
      <c r="N4557" t="s">
        <v>19</v>
      </c>
      <c r="O4557" t="str">
        <f t="shared" si="710"/>
        <v>High</v>
      </c>
      <c r="P4557" t="str">
        <f t="shared" si="711"/>
        <v>High</v>
      </c>
      <c r="Q4557" t="str">
        <f t="shared" si="712"/>
        <v>High</v>
      </c>
      <c r="R4557" t="s">
        <v>3317</v>
      </c>
      <c r="S4557" s="4">
        <f t="shared" ca="1" si="713"/>
        <v>-563</v>
      </c>
      <c r="T4557">
        <f t="shared" si="714"/>
        <v>3</v>
      </c>
      <c r="U4557">
        <f t="shared" si="715"/>
        <v>3</v>
      </c>
      <c r="V4557">
        <f t="shared" si="716"/>
        <v>3</v>
      </c>
      <c r="W4557">
        <f t="shared" si="717"/>
        <v>1</v>
      </c>
      <c r="X4557">
        <f t="shared" si="718"/>
        <v>2.8000000000000003</v>
      </c>
      <c r="Y4557" t="str">
        <f t="shared" si="719"/>
        <v>Move Immediately</v>
      </c>
    </row>
    <row r="4558" spans="1:25" x14ac:dyDescent="0.35">
      <c r="A4558" t="s">
        <v>14</v>
      </c>
      <c r="B4558" t="s">
        <v>115</v>
      </c>
      <c r="C4558" t="s">
        <v>116</v>
      </c>
      <c r="D4558" t="s">
        <v>2856</v>
      </c>
      <c r="E4558">
        <v>82314772</v>
      </c>
      <c r="F4558" t="s">
        <v>2857</v>
      </c>
      <c r="G4558" s="3">
        <v>46588</v>
      </c>
      <c r="H4558">
        <v>60</v>
      </c>
      <c r="I4558">
        <v>22</v>
      </c>
      <c r="J4558">
        <v>288</v>
      </c>
      <c r="K4558" s="4">
        <v>10080</v>
      </c>
      <c r="L4558" s="4">
        <v>2</v>
      </c>
      <c r="M4558" s="4">
        <v>144</v>
      </c>
      <c r="N4558" t="s">
        <v>19</v>
      </c>
      <c r="O4558" t="str">
        <f t="shared" si="710"/>
        <v>Medium</v>
      </c>
      <c r="P4558" t="str">
        <f t="shared" si="711"/>
        <v>High</v>
      </c>
      <c r="Q4558" t="str">
        <f t="shared" si="712"/>
        <v>High</v>
      </c>
      <c r="R4558" t="s">
        <v>3317</v>
      </c>
      <c r="S4558" s="4">
        <f t="shared" ca="1" si="713"/>
        <v>391</v>
      </c>
      <c r="T4558">
        <f t="shared" si="714"/>
        <v>2</v>
      </c>
      <c r="U4558">
        <f t="shared" si="715"/>
        <v>3</v>
      </c>
      <c r="V4558">
        <f t="shared" si="716"/>
        <v>3</v>
      </c>
      <c r="W4558">
        <f t="shared" si="717"/>
        <v>1</v>
      </c>
      <c r="X4558">
        <f t="shared" si="718"/>
        <v>2.4</v>
      </c>
      <c r="Y4558" t="str">
        <f t="shared" si="719"/>
        <v>High Priority</v>
      </c>
    </row>
    <row r="4559" spans="1:25" x14ac:dyDescent="0.35">
      <c r="A4559" t="s">
        <v>46</v>
      </c>
      <c r="B4559" t="s">
        <v>2858</v>
      </c>
      <c r="C4559" t="s">
        <v>2859</v>
      </c>
      <c r="D4559" t="s">
        <v>2860</v>
      </c>
      <c r="E4559">
        <v>82321245</v>
      </c>
      <c r="F4559" t="s">
        <v>2861</v>
      </c>
      <c r="G4559" s="3">
        <v>46697</v>
      </c>
      <c r="H4559">
        <v>36</v>
      </c>
      <c r="I4559">
        <v>47</v>
      </c>
      <c r="J4559">
        <v>55</v>
      </c>
      <c r="K4559" s="4">
        <v>18379.939999999999</v>
      </c>
      <c r="L4559" s="4">
        <v>303.85714285714283</v>
      </c>
      <c r="M4559" s="4">
        <v>0.18100611189468738</v>
      </c>
      <c r="N4559" t="s">
        <v>25</v>
      </c>
      <c r="O4559" t="str">
        <f t="shared" si="710"/>
        <v>Low</v>
      </c>
      <c r="P4559" t="str">
        <f t="shared" si="711"/>
        <v>Low</v>
      </c>
      <c r="Q4559" t="str">
        <f t="shared" si="712"/>
        <v>Low</v>
      </c>
      <c r="R4559" t="s">
        <v>3317</v>
      </c>
      <c r="S4559" s="4">
        <f t="shared" ca="1" si="713"/>
        <v>500</v>
      </c>
      <c r="T4559">
        <f t="shared" si="714"/>
        <v>1</v>
      </c>
      <c r="U4559">
        <f t="shared" si="715"/>
        <v>1</v>
      </c>
      <c r="V4559">
        <f t="shared" si="716"/>
        <v>1</v>
      </c>
      <c r="W4559">
        <f t="shared" si="717"/>
        <v>1</v>
      </c>
      <c r="X4559">
        <f t="shared" si="718"/>
        <v>0.99999999999999989</v>
      </c>
      <c r="Y4559" t="str">
        <f t="shared" si="719"/>
        <v>Healthy</v>
      </c>
    </row>
    <row r="4560" spans="1:25" x14ac:dyDescent="0.35">
      <c r="A4560" t="s">
        <v>46</v>
      </c>
      <c r="B4560" t="s">
        <v>2858</v>
      </c>
      <c r="C4560" t="s">
        <v>2859</v>
      </c>
      <c r="D4560" t="s">
        <v>2860</v>
      </c>
      <c r="E4560">
        <v>82321245</v>
      </c>
      <c r="F4560" t="s">
        <v>2861</v>
      </c>
      <c r="G4560" s="3">
        <v>46437</v>
      </c>
      <c r="H4560">
        <v>36</v>
      </c>
      <c r="I4560">
        <v>23</v>
      </c>
      <c r="J4560">
        <v>138</v>
      </c>
      <c r="K4560" s="4">
        <v>34745.64</v>
      </c>
      <c r="L4560" s="4">
        <v>303.85714285714283</v>
      </c>
      <c r="M4560" s="4">
        <v>0.45416078984485192</v>
      </c>
      <c r="N4560" t="s">
        <v>25</v>
      </c>
      <c r="O4560" t="str">
        <f t="shared" si="710"/>
        <v>Medium</v>
      </c>
      <c r="P4560" t="str">
        <f t="shared" si="711"/>
        <v>Low</v>
      </c>
      <c r="Q4560" t="str">
        <f t="shared" si="712"/>
        <v>Low</v>
      </c>
      <c r="R4560" t="s">
        <v>3317</v>
      </c>
      <c r="S4560" s="4">
        <f t="shared" ca="1" si="713"/>
        <v>240</v>
      </c>
      <c r="T4560">
        <f t="shared" si="714"/>
        <v>2</v>
      </c>
      <c r="U4560">
        <f t="shared" si="715"/>
        <v>1</v>
      </c>
      <c r="V4560">
        <f t="shared" si="716"/>
        <v>1</v>
      </c>
      <c r="W4560">
        <f t="shared" si="717"/>
        <v>1</v>
      </c>
      <c r="X4560">
        <f t="shared" si="718"/>
        <v>1.4000000000000001</v>
      </c>
      <c r="Y4560" t="str">
        <f t="shared" si="719"/>
        <v>Healthy</v>
      </c>
    </row>
    <row r="4561" spans="1:25" x14ac:dyDescent="0.35">
      <c r="A4561" t="s">
        <v>20</v>
      </c>
      <c r="B4561" t="s">
        <v>21</v>
      </c>
      <c r="C4561" t="s">
        <v>1635</v>
      </c>
      <c r="D4561" t="s">
        <v>1636</v>
      </c>
      <c r="E4561">
        <v>82266029</v>
      </c>
      <c r="F4561" t="s">
        <v>2862</v>
      </c>
      <c r="G4561" s="3">
        <v>47020</v>
      </c>
      <c r="H4561">
        <v>36</v>
      </c>
      <c r="I4561">
        <v>77</v>
      </c>
      <c r="J4561">
        <v>22</v>
      </c>
      <c r="K4561" s="4">
        <v>492.8</v>
      </c>
      <c r="L4561" s="4">
        <f>0</f>
        <v>0</v>
      </c>
      <c r="M4561" s="4">
        <f>999</f>
        <v>999</v>
      </c>
      <c r="N4561" t="s">
        <v>19</v>
      </c>
      <c r="O4561" t="str">
        <f t="shared" si="710"/>
        <v>Low</v>
      </c>
      <c r="P4561" t="str">
        <f t="shared" si="711"/>
        <v>High</v>
      </c>
      <c r="Q4561" t="str">
        <f t="shared" si="712"/>
        <v>High</v>
      </c>
      <c r="R4561" t="s">
        <v>3317</v>
      </c>
      <c r="S4561" s="4">
        <f t="shared" ca="1" si="713"/>
        <v>823</v>
      </c>
      <c r="T4561">
        <f t="shared" si="714"/>
        <v>1</v>
      </c>
      <c r="U4561">
        <f t="shared" si="715"/>
        <v>3</v>
      </c>
      <c r="V4561">
        <f t="shared" si="716"/>
        <v>3</v>
      </c>
      <c r="W4561">
        <f t="shared" si="717"/>
        <v>1</v>
      </c>
      <c r="X4561">
        <f t="shared" si="718"/>
        <v>2</v>
      </c>
      <c r="Y4561" t="str">
        <f t="shared" si="719"/>
        <v>Monitor</v>
      </c>
    </row>
    <row r="4562" spans="1:25" x14ac:dyDescent="0.35">
      <c r="A4562" t="s">
        <v>14</v>
      </c>
      <c r="B4562" t="s">
        <v>1447</v>
      </c>
      <c r="C4562" t="s">
        <v>1448</v>
      </c>
      <c r="D4562" t="s">
        <v>1449</v>
      </c>
      <c r="E4562">
        <v>82254232</v>
      </c>
      <c r="F4562" t="s">
        <v>2863</v>
      </c>
      <c r="G4562" s="3">
        <v>45320</v>
      </c>
      <c r="H4562">
        <v>36</v>
      </c>
      <c r="I4562">
        <v>0</v>
      </c>
      <c r="J4562">
        <v>1200</v>
      </c>
      <c r="K4562" s="4">
        <v>135972</v>
      </c>
      <c r="L4562" s="4">
        <f>0</f>
        <v>0</v>
      </c>
      <c r="M4562" s="4">
        <f>999</f>
        <v>999</v>
      </c>
      <c r="N4562" t="s">
        <v>19</v>
      </c>
      <c r="O4562" t="str">
        <f t="shared" si="710"/>
        <v>High</v>
      </c>
      <c r="P4562" t="str">
        <f t="shared" si="711"/>
        <v>High</v>
      </c>
      <c r="Q4562" t="str">
        <f t="shared" si="712"/>
        <v>High</v>
      </c>
      <c r="R4562" t="s">
        <v>3309</v>
      </c>
      <c r="S4562" s="4">
        <f t="shared" ca="1" si="713"/>
        <v>-877</v>
      </c>
      <c r="T4562">
        <f t="shared" si="714"/>
        <v>3</v>
      </c>
      <c r="U4562">
        <f t="shared" si="715"/>
        <v>3</v>
      </c>
      <c r="V4562">
        <f t="shared" si="716"/>
        <v>3</v>
      </c>
      <c r="W4562">
        <f t="shared" si="717"/>
        <v>3</v>
      </c>
      <c r="X4562">
        <f t="shared" si="718"/>
        <v>3</v>
      </c>
      <c r="Y4562" t="str">
        <f t="shared" si="719"/>
        <v>Move Immediately</v>
      </c>
    </row>
    <row r="4563" spans="1:25" x14ac:dyDescent="0.35">
      <c r="A4563" t="s">
        <v>41</v>
      </c>
      <c r="B4563" t="s">
        <v>54</v>
      </c>
      <c r="C4563" t="s">
        <v>293</v>
      </c>
      <c r="D4563" t="s">
        <v>2864</v>
      </c>
      <c r="E4563">
        <v>82333273</v>
      </c>
      <c r="F4563" t="s">
        <v>2865</v>
      </c>
      <c r="G4563" s="3">
        <v>46470</v>
      </c>
      <c r="H4563">
        <v>18</v>
      </c>
      <c r="I4563">
        <v>51</v>
      </c>
      <c r="J4563">
        <v>48</v>
      </c>
      <c r="K4563" s="4">
        <v>3742.56</v>
      </c>
      <c r="L4563" s="4">
        <f>0</f>
        <v>0</v>
      </c>
      <c r="M4563" s="4">
        <f>999</f>
        <v>999</v>
      </c>
      <c r="N4563" t="s">
        <v>19</v>
      </c>
      <c r="O4563" t="str">
        <f t="shared" si="710"/>
        <v>Low</v>
      </c>
      <c r="P4563" t="str">
        <f t="shared" si="711"/>
        <v>High</v>
      </c>
      <c r="Q4563" t="str">
        <f t="shared" si="712"/>
        <v>High</v>
      </c>
      <c r="R4563" t="s">
        <v>3317</v>
      </c>
      <c r="S4563" s="4">
        <f t="shared" ca="1" si="713"/>
        <v>273</v>
      </c>
      <c r="T4563">
        <f t="shared" si="714"/>
        <v>1</v>
      </c>
      <c r="U4563">
        <f t="shared" si="715"/>
        <v>3</v>
      </c>
      <c r="V4563">
        <f t="shared" si="716"/>
        <v>3</v>
      </c>
      <c r="W4563">
        <f t="shared" si="717"/>
        <v>1</v>
      </c>
      <c r="X4563">
        <f t="shared" si="718"/>
        <v>2</v>
      </c>
      <c r="Y4563" t="str">
        <f t="shared" si="719"/>
        <v>Monitor</v>
      </c>
    </row>
    <row r="4564" spans="1:25" x14ac:dyDescent="0.35">
      <c r="A4564" t="s">
        <v>41</v>
      </c>
      <c r="B4564" t="s">
        <v>54</v>
      </c>
      <c r="C4564" t="s">
        <v>293</v>
      </c>
      <c r="D4564" t="s">
        <v>2864</v>
      </c>
      <c r="E4564">
        <v>82333273</v>
      </c>
      <c r="F4564" t="s">
        <v>2865</v>
      </c>
      <c r="G4564" s="3">
        <v>46470</v>
      </c>
      <c r="H4564">
        <v>18</v>
      </c>
      <c r="I4564">
        <v>51</v>
      </c>
      <c r="J4564">
        <v>12</v>
      </c>
      <c r="K4564" s="4">
        <v>935.64</v>
      </c>
      <c r="L4564" s="4">
        <f>0</f>
        <v>0</v>
      </c>
      <c r="M4564" s="4">
        <f>999</f>
        <v>999</v>
      </c>
      <c r="N4564" t="s">
        <v>19</v>
      </c>
      <c r="O4564" t="str">
        <f t="shared" si="710"/>
        <v>Low</v>
      </c>
      <c r="P4564" t="str">
        <f t="shared" si="711"/>
        <v>High</v>
      </c>
      <c r="Q4564" t="str">
        <f t="shared" si="712"/>
        <v>High</v>
      </c>
      <c r="R4564" t="s">
        <v>3317</v>
      </c>
      <c r="S4564" s="4">
        <f t="shared" ca="1" si="713"/>
        <v>273</v>
      </c>
      <c r="T4564">
        <f t="shared" si="714"/>
        <v>1</v>
      </c>
      <c r="U4564">
        <f t="shared" si="715"/>
        <v>3</v>
      </c>
      <c r="V4564">
        <f t="shared" si="716"/>
        <v>3</v>
      </c>
      <c r="W4564">
        <f t="shared" si="717"/>
        <v>1</v>
      </c>
      <c r="X4564">
        <f t="shared" si="718"/>
        <v>2</v>
      </c>
      <c r="Y4564" t="str">
        <f t="shared" si="719"/>
        <v>Monitor</v>
      </c>
    </row>
    <row r="4565" spans="1:25" x14ac:dyDescent="0.35">
      <c r="A4565" t="s">
        <v>20</v>
      </c>
      <c r="B4565" t="s">
        <v>21</v>
      </c>
      <c r="C4565" t="s">
        <v>2866</v>
      </c>
      <c r="D4565" t="s">
        <v>2867</v>
      </c>
      <c r="E4565">
        <v>82325619</v>
      </c>
      <c r="F4565" t="s">
        <v>2868</v>
      </c>
      <c r="G4565" s="3">
        <v>47020</v>
      </c>
      <c r="H4565">
        <v>36</v>
      </c>
      <c r="I4565">
        <v>77</v>
      </c>
      <c r="J4565">
        <v>34</v>
      </c>
      <c r="K4565" s="4">
        <v>4352</v>
      </c>
      <c r="L4565" s="4">
        <f>0</f>
        <v>0</v>
      </c>
      <c r="M4565" s="4">
        <f>999</f>
        <v>999</v>
      </c>
      <c r="N4565" t="s">
        <v>19</v>
      </c>
      <c r="O4565" t="str">
        <f t="shared" si="710"/>
        <v>Low</v>
      </c>
      <c r="P4565" t="str">
        <f t="shared" si="711"/>
        <v>High</v>
      </c>
      <c r="Q4565" t="str">
        <f t="shared" si="712"/>
        <v>High</v>
      </c>
      <c r="R4565" t="s">
        <v>3317</v>
      </c>
      <c r="S4565" s="4">
        <f t="shared" ca="1" si="713"/>
        <v>823</v>
      </c>
      <c r="T4565">
        <f t="shared" si="714"/>
        <v>1</v>
      </c>
      <c r="U4565">
        <f t="shared" si="715"/>
        <v>3</v>
      </c>
      <c r="V4565">
        <f t="shared" si="716"/>
        <v>3</v>
      </c>
      <c r="W4565">
        <f t="shared" si="717"/>
        <v>1</v>
      </c>
      <c r="X4565">
        <f t="shared" si="718"/>
        <v>2</v>
      </c>
      <c r="Y4565" t="str">
        <f t="shared" si="719"/>
        <v>Monitor</v>
      </c>
    </row>
    <row r="4566" spans="1:25" x14ac:dyDescent="0.35">
      <c r="A4566" t="s">
        <v>20</v>
      </c>
      <c r="B4566" t="s">
        <v>21</v>
      </c>
      <c r="C4566" t="s">
        <v>2866</v>
      </c>
      <c r="D4566" t="s">
        <v>2867</v>
      </c>
      <c r="E4566">
        <v>82325619</v>
      </c>
      <c r="F4566" t="s">
        <v>2868</v>
      </c>
      <c r="G4566" s="3">
        <v>47020</v>
      </c>
      <c r="H4566">
        <v>36</v>
      </c>
      <c r="I4566">
        <v>77</v>
      </c>
      <c r="J4566">
        <v>14</v>
      </c>
      <c r="K4566" s="4">
        <v>1792</v>
      </c>
      <c r="L4566" s="4">
        <f>0</f>
        <v>0</v>
      </c>
      <c r="M4566" s="4">
        <f>999</f>
        <v>999</v>
      </c>
      <c r="N4566" t="s">
        <v>19</v>
      </c>
      <c r="O4566" t="str">
        <f t="shared" si="710"/>
        <v>Low</v>
      </c>
      <c r="P4566" t="str">
        <f t="shared" si="711"/>
        <v>High</v>
      </c>
      <c r="Q4566" t="str">
        <f t="shared" si="712"/>
        <v>High</v>
      </c>
      <c r="R4566" t="s">
        <v>3317</v>
      </c>
      <c r="S4566" s="4">
        <f t="shared" ca="1" si="713"/>
        <v>823</v>
      </c>
      <c r="T4566">
        <f t="shared" si="714"/>
        <v>1</v>
      </c>
      <c r="U4566">
        <f t="shared" si="715"/>
        <v>3</v>
      </c>
      <c r="V4566">
        <f t="shared" si="716"/>
        <v>3</v>
      </c>
      <c r="W4566">
        <f t="shared" si="717"/>
        <v>1</v>
      </c>
      <c r="X4566">
        <f t="shared" si="718"/>
        <v>2</v>
      </c>
      <c r="Y4566" t="str">
        <f t="shared" si="719"/>
        <v>Monitor</v>
      </c>
    </row>
    <row r="4567" spans="1:25" x14ac:dyDescent="0.35">
      <c r="A4567" t="s">
        <v>71</v>
      </c>
      <c r="B4567" t="s">
        <v>72</v>
      </c>
      <c r="C4567" t="s">
        <v>73</v>
      </c>
      <c r="D4567" t="s">
        <v>2869</v>
      </c>
      <c r="E4567">
        <v>80687706</v>
      </c>
      <c r="F4567" t="s">
        <v>2870</v>
      </c>
      <c r="G4567" s="3">
        <v>47020</v>
      </c>
      <c r="H4567">
        <v>36</v>
      </c>
      <c r="I4567">
        <v>77</v>
      </c>
      <c r="J4567">
        <v>120</v>
      </c>
      <c r="K4567" s="4">
        <v>71901.600000000006</v>
      </c>
      <c r="L4567" s="4">
        <v>1.1428571428571428</v>
      </c>
      <c r="M4567" s="4">
        <v>105</v>
      </c>
      <c r="N4567" t="s">
        <v>19</v>
      </c>
      <c r="O4567" t="str">
        <f t="shared" si="710"/>
        <v>Low</v>
      </c>
      <c r="P4567" t="str">
        <f t="shared" si="711"/>
        <v>High</v>
      </c>
      <c r="Q4567" t="str">
        <f t="shared" si="712"/>
        <v>High</v>
      </c>
      <c r="R4567" t="s">
        <v>3310</v>
      </c>
      <c r="S4567" s="4">
        <f t="shared" ca="1" si="713"/>
        <v>823</v>
      </c>
      <c r="T4567">
        <f t="shared" si="714"/>
        <v>1</v>
      </c>
      <c r="U4567">
        <f t="shared" si="715"/>
        <v>3</v>
      </c>
      <c r="V4567">
        <f t="shared" si="716"/>
        <v>3</v>
      </c>
      <c r="W4567">
        <f t="shared" si="717"/>
        <v>2</v>
      </c>
      <c r="X4567">
        <f t="shared" si="718"/>
        <v>2.1</v>
      </c>
      <c r="Y4567" t="str">
        <f t="shared" si="719"/>
        <v>Monitor</v>
      </c>
    </row>
    <row r="4568" spans="1:25" x14ac:dyDescent="0.35">
      <c r="A4568" t="s">
        <v>71</v>
      </c>
      <c r="B4568" t="s">
        <v>72</v>
      </c>
      <c r="C4568" t="s">
        <v>73</v>
      </c>
      <c r="D4568" t="s">
        <v>2869</v>
      </c>
      <c r="E4568">
        <v>80687706</v>
      </c>
      <c r="F4568" t="s">
        <v>2870</v>
      </c>
      <c r="G4568" s="3">
        <v>47020</v>
      </c>
      <c r="H4568">
        <v>36</v>
      </c>
      <c r="I4568">
        <v>77</v>
      </c>
      <c r="J4568">
        <v>4</v>
      </c>
      <c r="K4568" s="4">
        <v>2396.7199999999998</v>
      </c>
      <c r="L4568" s="4">
        <v>1.1428571428571428</v>
      </c>
      <c r="M4568" s="4">
        <v>3.5</v>
      </c>
      <c r="N4568" t="s">
        <v>25</v>
      </c>
      <c r="O4568" t="str">
        <f t="shared" si="710"/>
        <v>Low</v>
      </c>
      <c r="P4568" t="str">
        <f t="shared" si="711"/>
        <v>Low</v>
      </c>
      <c r="Q4568" t="str">
        <f t="shared" si="712"/>
        <v>High</v>
      </c>
      <c r="R4568" t="s">
        <v>3317</v>
      </c>
      <c r="S4568" s="4">
        <f t="shared" ca="1" si="713"/>
        <v>823</v>
      </c>
      <c r="T4568">
        <f t="shared" si="714"/>
        <v>1</v>
      </c>
      <c r="U4568">
        <f t="shared" si="715"/>
        <v>1</v>
      </c>
      <c r="V4568">
        <f t="shared" si="716"/>
        <v>3</v>
      </c>
      <c r="W4568">
        <f t="shared" si="717"/>
        <v>1</v>
      </c>
      <c r="X4568">
        <f t="shared" si="718"/>
        <v>1.4000000000000001</v>
      </c>
      <c r="Y4568" t="str">
        <f t="shared" si="719"/>
        <v>Healthy</v>
      </c>
    </row>
    <row r="4569" spans="1:25" x14ac:dyDescent="0.35">
      <c r="A4569" t="s">
        <v>71</v>
      </c>
      <c r="B4569" t="s">
        <v>72</v>
      </c>
      <c r="C4569" t="s">
        <v>73</v>
      </c>
      <c r="D4569" t="s">
        <v>2869</v>
      </c>
      <c r="E4569">
        <v>80687706</v>
      </c>
      <c r="F4569" t="s">
        <v>2870</v>
      </c>
      <c r="G4569" s="3">
        <v>47020</v>
      </c>
      <c r="H4569">
        <v>36</v>
      </c>
      <c r="I4569">
        <v>77</v>
      </c>
      <c r="J4569">
        <v>2</v>
      </c>
      <c r="K4569" s="4">
        <v>1198.3599999999999</v>
      </c>
      <c r="L4569" s="4">
        <v>1.1428571428571428</v>
      </c>
      <c r="M4569" s="4">
        <v>1.75</v>
      </c>
      <c r="N4569" t="s">
        <v>25</v>
      </c>
      <c r="O4569" t="str">
        <f t="shared" si="710"/>
        <v>Low</v>
      </c>
      <c r="P4569" t="str">
        <f t="shared" si="711"/>
        <v>Low</v>
      </c>
      <c r="Q4569" t="str">
        <f t="shared" si="712"/>
        <v>High</v>
      </c>
      <c r="R4569" t="s">
        <v>3317</v>
      </c>
      <c r="S4569" s="4">
        <f t="shared" ca="1" si="713"/>
        <v>823</v>
      </c>
      <c r="T4569">
        <f t="shared" si="714"/>
        <v>1</v>
      </c>
      <c r="U4569">
        <f t="shared" si="715"/>
        <v>1</v>
      </c>
      <c r="V4569">
        <f t="shared" si="716"/>
        <v>3</v>
      </c>
      <c r="W4569">
        <f t="shared" si="717"/>
        <v>1</v>
      </c>
      <c r="X4569">
        <f t="shared" si="718"/>
        <v>1.4000000000000001</v>
      </c>
      <c r="Y4569" t="str">
        <f t="shared" si="719"/>
        <v>Healthy</v>
      </c>
    </row>
    <row r="4570" spans="1:25" x14ac:dyDescent="0.35">
      <c r="A4570" t="s">
        <v>71</v>
      </c>
      <c r="B4570" t="s">
        <v>72</v>
      </c>
      <c r="C4570" t="s">
        <v>73</v>
      </c>
      <c r="D4570" t="s">
        <v>2869</v>
      </c>
      <c r="E4570">
        <v>80687706</v>
      </c>
      <c r="F4570" t="s">
        <v>2870</v>
      </c>
      <c r="G4570" s="3">
        <v>47020</v>
      </c>
      <c r="H4570">
        <v>36</v>
      </c>
      <c r="I4570">
        <v>77</v>
      </c>
      <c r="J4570">
        <v>19</v>
      </c>
      <c r="K4570" s="4">
        <v>11384.42</v>
      </c>
      <c r="L4570" s="4">
        <v>1.1428571428571428</v>
      </c>
      <c r="M4570" s="4">
        <v>16.625</v>
      </c>
      <c r="N4570" t="s">
        <v>19</v>
      </c>
      <c r="O4570" t="str">
        <f t="shared" si="710"/>
        <v>Low</v>
      </c>
      <c r="P4570" t="str">
        <f t="shared" si="711"/>
        <v>High</v>
      </c>
      <c r="Q4570" t="str">
        <f t="shared" si="712"/>
        <v>High</v>
      </c>
      <c r="R4570" t="s">
        <v>3317</v>
      </c>
      <c r="S4570" s="4">
        <f t="shared" ca="1" si="713"/>
        <v>823</v>
      </c>
      <c r="T4570">
        <f t="shared" si="714"/>
        <v>1</v>
      </c>
      <c r="U4570">
        <f t="shared" si="715"/>
        <v>3</v>
      </c>
      <c r="V4570">
        <f t="shared" si="716"/>
        <v>3</v>
      </c>
      <c r="W4570">
        <f t="shared" si="717"/>
        <v>1</v>
      </c>
      <c r="X4570">
        <f t="shared" si="718"/>
        <v>2</v>
      </c>
      <c r="Y4570" t="str">
        <f t="shared" si="719"/>
        <v>Monitor</v>
      </c>
    </row>
    <row r="4571" spans="1:25" x14ac:dyDescent="0.35">
      <c r="A4571" t="s">
        <v>71</v>
      </c>
      <c r="B4571" t="s">
        <v>72</v>
      </c>
      <c r="C4571" t="s">
        <v>73</v>
      </c>
      <c r="D4571" t="s">
        <v>2869</v>
      </c>
      <c r="E4571">
        <v>80687706</v>
      </c>
      <c r="F4571" t="s">
        <v>2870</v>
      </c>
      <c r="G4571" s="3">
        <v>47020</v>
      </c>
      <c r="H4571">
        <v>36</v>
      </c>
      <c r="I4571">
        <v>77</v>
      </c>
      <c r="J4571">
        <v>1</v>
      </c>
      <c r="K4571" s="4">
        <v>599.17999999999995</v>
      </c>
      <c r="L4571" s="4">
        <v>1.1428571428571428</v>
      </c>
      <c r="M4571" s="4">
        <v>0.875</v>
      </c>
      <c r="N4571" t="s">
        <v>25</v>
      </c>
      <c r="O4571" t="str">
        <f t="shared" si="710"/>
        <v>Low</v>
      </c>
      <c r="P4571" t="str">
        <f t="shared" si="711"/>
        <v>Low</v>
      </c>
      <c r="Q4571" t="str">
        <f t="shared" si="712"/>
        <v>High</v>
      </c>
      <c r="R4571" t="s">
        <v>3317</v>
      </c>
      <c r="S4571" s="4">
        <f t="shared" ca="1" si="713"/>
        <v>823</v>
      </c>
      <c r="T4571">
        <f t="shared" si="714"/>
        <v>1</v>
      </c>
      <c r="U4571">
        <f t="shared" si="715"/>
        <v>1</v>
      </c>
      <c r="V4571">
        <f t="shared" si="716"/>
        <v>3</v>
      </c>
      <c r="W4571">
        <f t="shared" si="717"/>
        <v>1</v>
      </c>
      <c r="X4571">
        <f t="shared" si="718"/>
        <v>1.4000000000000001</v>
      </c>
      <c r="Y4571" t="str">
        <f t="shared" si="719"/>
        <v>Healthy</v>
      </c>
    </row>
    <row r="4572" spans="1:25" x14ac:dyDescent="0.35">
      <c r="A4572" t="s">
        <v>71</v>
      </c>
      <c r="B4572" t="s">
        <v>72</v>
      </c>
      <c r="C4572" t="s">
        <v>73</v>
      </c>
      <c r="D4572" t="s">
        <v>2869</v>
      </c>
      <c r="E4572">
        <v>80687706</v>
      </c>
      <c r="F4572" t="s">
        <v>2870</v>
      </c>
      <c r="G4572" s="3">
        <v>47020</v>
      </c>
      <c r="H4572">
        <v>36</v>
      </c>
      <c r="I4572">
        <v>77</v>
      </c>
      <c r="J4572">
        <v>2</v>
      </c>
      <c r="K4572" s="4">
        <v>1198.3599999999999</v>
      </c>
      <c r="L4572" s="4">
        <v>1.1428571428571428</v>
      </c>
      <c r="M4572" s="4">
        <v>1.75</v>
      </c>
      <c r="N4572" t="s">
        <v>25</v>
      </c>
      <c r="O4572" t="str">
        <f t="shared" si="710"/>
        <v>Low</v>
      </c>
      <c r="P4572" t="str">
        <f t="shared" si="711"/>
        <v>Low</v>
      </c>
      <c r="Q4572" t="str">
        <f t="shared" si="712"/>
        <v>High</v>
      </c>
      <c r="R4572" t="s">
        <v>3317</v>
      </c>
      <c r="S4572" s="4">
        <f t="shared" ca="1" si="713"/>
        <v>823</v>
      </c>
      <c r="T4572">
        <f t="shared" si="714"/>
        <v>1</v>
      </c>
      <c r="U4572">
        <f t="shared" si="715"/>
        <v>1</v>
      </c>
      <c r="V4572">
        <f t="shared" si="716"/>
        <v>3</v>
      </c>
      <c r="W4572">
        <f t="shared" si="717"/>
        <v>1</v>
      </c>
      <c r="X4572">
        <f t="shared" si="718"/>
        <v>1.4000000000000001</v>
      </c>
      <c r="Y4572" t="str">
        <f t="shared" si="719"/>
        <v>Healthy</v>
      </c>
    </row>
    <row r="4573" spans="1:25" x14ac:dyDescent="0.35">
      <c r="A4573" t="s">
        <v>29</v>
      </c>
      <c r="B4573" t="s">
        <v>30</v>
      </c>
      <c r="C4573" t="s">
        <v>230</v>
      </c>
      <c r="D4573" t="s">
        <v>231</v>
      </c>
      <c r="E4573">
        <v>82329851</v>
      </c>
      <c r="F4573" t="s">
        <v>2871</v>
      </c>
      <c r="G4573" s="3">
        <v>46251</v>
      </c>
      <c r="H4573">
        <v>36</v>
      </c>
      <c r="I4573">
        <v>5</v>
      </c>
      <c r="J4573">
        <v>4</v>
      </c>
      <c r="K4573" s="4">
        <v>6396.6</v>
      </c>
      <c r="L4573" s="4">
        <f>0</f>
        <v>0</v>
      </c>
      <c r="M4573" s="4">
        <f>999</f>
        <v>999</v>
      </c>
      <c r="N4573" t="s">
        <v>19</v>
      </c>
      <c r="O4573" t="str">
        <f t="shared" si="710"/>
        <v>High</v>
      </c>
      <c r="P4573" t="str">
        <f t="shared" si="711"/>
        <v>High</v>
      </c>
      <c r="Q4573" t="str">
        <f t="shared" si="712"/>
        <v>High</v>
      </c>
      <c r="R4573" t="s">
        <v>3317</v>
      </c>
      <c r="S4573" s="4">
        <f t="shared" ca="1" si="713"/>
        <v>54</v>
      </c>
      <c r="T4573">
        <f t="shared" si="714"/>
        <v>3</v>
      </c>
      <c r="U4573">
        <f t="shared" si="715"/>
        <v>3</v>
      </c>
      <c r="V4573">
        <f t="shared" si="716"/>
        <v>3</v>
      </c>
      <c r="W4573">
        <f t="shared" si="717"/>
        <v>1</v>
      </c>
      <c r="X4573">
        <f t="shared" si="718"/>
        <v>2.8000000000000003</v>
      </c>
      <c r="Y4573" t="str">
        <f t="shared" si="719"/>
        <v>Move Immediately</v>
      </c>
    </row>
    <row r="4574" spans="1:25" x14ac:dyDescent="0.35">
      <c r="A4574" t="s">
        <v>29</v>
      </c>
      <c r="B4574" t="s">
        <v>30</v>
      </c>
      <c r="C4574" t="s">
        <v>230</v>
      </c>
      <c r="D4574" t="s">
        <v>231</v>
      </c>
      <c r="E4574">
        <v>82329851</v>
      </c>
      <c r="F4574" t="s">
        <v>2871</v>
      </c>
      <c r="G4574" s="3">
        <v>46362</v>
      </c>
      <c r="H4574">
        <v>36</v>
      </c>
      <c r="I4574">
        <v>16</v>
      </c>
      <c r="J4574">
        <v>4</v>
      </c>
      <c r="K4574" s="4">
        <v>6396.6</v>
      </c>
      <c r="L4574" s="4">
        <f>0</f>
        <v>0</v>
      </c>
      <c r="M4574" s="4">
        <f>999</f>
        <v>999</v>
      </c>
      <c r="N4574" t="s">
        <v>19</v>
      </c>
      <c r="O4574" t="str">
        <f t="shared" si="710"/>
        <v>High</v>
      </c>
      <c r="P4574" t="str">
        <f t="shared" si="711"/>
        <v>High</v>
      </c>
      <c r="Q4574" t="str">
        <f t="shared" si="712"/>
        <v>High</v>
      </c>
      <c r="R4574" t="s">
        <v>3317</v>
      </c>
      <c r="S4574" s="4">
        <f t="shared" ca="1" si="713"/>
        <v>165</v>
      </c>
      <c r="T4574">
        <f t="shared" si="714"/>
        <v>3</v>
      </c>
      <c r="U4574">
        <f t="shared" si="715"/>
        <v>3</v>
      </c>
      <c r="V4574">
        <f t="shared" si="716"/>
        <v>3</v>
      </c>
      <c r="W4574">
        <f t="shared" si="717"/>
        <v>1</v>
      </c>
      <c r="X4574">
        <f t="shared" si="718"/>
        <v>2.8000000000000003</v>
      </c>
      <c r="Y4574" t="str">
        <f t="shared" si="719"/>
        <v>Move Immediately</v>
      </c>
    </row>
    <row r="4575" spans="1:25" x14ac:dyDescent="0.35">
      <c r="A4575" t="s">
        <v>29</v>
      </c>
      <c r="B4575" t="s">
        <v>30</v>
      </c>
      <c r="C4575" t="s">
        <v>230</v>
      </c>
      <c r="D4575" t="s">
        <v>231</v>
      </c>
      <c r="E4575">
        <v>82329851</v>
      </c>
      <c r="F4575" t="s">
        <v>2871</v>
      </c>
      <c r="G4575" s="3">
        <v>46403</v>
      </c>
      <c r="H4575">
        <v>36</v>
      </c>
      <c r="I4575">
        <v>20</v>
      </c>
      <c r="J4575">
        <v>1</v>
      </c>
      <c r="K4575" s="4">
        <v>1599.15</v>
      </c>
      <c r="L4575" s="4">
        <f>0</f>
        <v>0</v>
      </c>
      <c r="M4575" s="4">
        <f>999</f>
        <v>999</v>
      </c>
      <c r="N4575" t="s">
        <v>19</v>
      </c>
      <c r="O4575" t="str">
        <f t="shared" si="710"/>
        <v>Medium</v>
      </c>
      <c r="P4575" t="str">
        <f t="shared" si="711"/>
        <v>High</v>
      </c>
      <c r="Q4575" t="str">
        <f t="shared" si="712"/>
        <v>High</v>
      </c>
      <c r="R4575" t="s">
        <v>3317</v>
      </c>
      <c r="S4575" s="4">
        <f t="shared" ca="1" si="713"/>
        <v>206</v>
      </c>
      <c r="T4575">
        <f t="shared" si="714"/>
        <v>2</v>
      </c>
      <c r="U4575">
        <f t="shared" si="715"/>
        <v>3</v>
      </c>
      <c r="V4575">
        <f t="shared" si="716"/>
        <v>3</v>
      </c>
      <c r="W4575">
        <f t="shared" si="717"/>
        <v>1</v>
      </c>
      <c r="X4575">
        <f t="shared" si="718"/>
        <v>2.4</v>
      </c>
      <c r="Y4575" t="str">
        <f t="shared" si="719"/>
        <v>High Priority</v>
      </c>
    </row>
    <row r="4576" spans="1:25" x14ac:dyDescent="0.35">
      <c r="A4576" t="s">
        <v>29</v>
      </c>
      <c r="B4576" t="s">
        <v>30</v>
      </c>
      <c r="C4576" t="s">
        <v>230</v>
      </c>
      <c r="D4576" t="s">
        <v>231</v>
      </c>
      <c r="E4576">
        <v>82329851</v>
      </c>
      <c r="F4576" t="s">
        <v>2871</v>
      </c>
      <c r="G4576" s="3">
        <v>45544</v>
      </c>
      <c r="H4576">
        <v>36</v>
      </c>
      <c r="I4576">
        <v>0</v>
      </c>
      <c r="J4576">
        <v>1</v>
      </c>
      <c r="K4576" s="4">
        <v>1599.15</v>
      </c>
      <c r="L4576" s="4">
        <f>0</f>
        <v>0</v>
      </c>
      <c r="M4576" s="4">
        <f>999</f>
        <v>999</v>
      </c>
      <c r="N4576" t="s">
        <v>19</v>
      </c>
      <c r="O4576" t="str">
        <f t="shared" si="710"/>
        <v>High</v>
      </c>
      <c r="P4576" t="str">
        <f t="shared" si="711"/>
        <v>High</v>
      </c>
      <c r="Q4576" t="str">
        <f t="shared" si="712"/>
        <v>High</v>
      </c>
      <c r="R4576" t="s">
        <v>3317</v>
      </c>
      <c r="S4576" s="4">
        <f t="shared" ca="1" si="713"/>
        <v>-653</v>
      </c>
      <c r="T4576">
        <f t="shared" si="714"/>
        <v>3</v>
      </c>
      <c r="U4576">
        <f t="shared" si="715"/>
        <v>3</v>
      </c>
      <c r="V4576">
        <f t="shared" si="716"/>
        <v>3</v>
      </c>
      <c r="W4576">
        <f t="shared" si="717"/>
        <v>1</v>
      </c>
      <c r="X4576">
        <f t="shared" si="718"/>
        <v>2.8000000000000003</v>
      </c>
      <c r="Y4576" t="str">
        <f t="shared" si="719"/>
        <v>Move Immediately</v>
      </c>
    </row>
    <row r="4577" spans="1:25" x14ac:dyDescent="0.35">
      <c r="A4577" t="s">
        <v>46</v>
      </c>
      <c r="B4577" t="s">
        <v>129</v>
      </c>
      <c r="C4577" t="s">
        <v>1748</v>
      </c>
      <c r="D4577" t="s">
        <v>2741</v>
      </c>
      <c r="E4577">
        <v>80693537</v>
      </c>
      <c r="F4577" t="s">
        <v>2872</v>
      </c>
      <c r="G4577" s="3">
        <v>45963</v>
      </c>
      <c r="H4577">
        <v>36</v>
      </c>
      <c r="I4577">
        <v>0</v>
      </c>
      <c r="J4577">
        <v>1</v>
      </c>
      <c r="K4577" s="4">
        <v>227.99</v>
      </c>
      <c r="L4577" s="4">
        <f>0</f>
        <v>0</v>
      </c>
      <c r="M4577" s="4">
        <f>999</f>
        <v>999</v>
      </c>
      <c r="N4577" t="s">
        <v>19</v>
      </c>
      <c r="O4577" t="str">
        <f t="shared" si="710"/>
        <v>High</v>
      </c>
      <c r="P4577" t="str">
        <f t="shared" si="711"/>
        <v>High</v>
      </c>
      <c r="Q4577" t="str">
        <f t="shared" si="712"/>
        <v>High</v>
      </c>
      <c r="R4577" t="s">
        <v>3317</v>
      </c>
      <c r="S4577" s="4">
        <f t="shared" ca="1" si="713"/>
        <v>-234</v>
      </c>
      <c r="T4577">
        <f t="shared" si="714"/>
        <v>3</v>
      </c>
      <c r="U4577">
        <f t="shared" si="715"/>
        <v>3</v>
      </c>
      <c r="V4577">
        <f t="shared" si="716"/>
        <v>3</v>
      </c>
      <c r="W4577">
        <f t="shared" si="717"/>
        <v>1</v>
      </c>
      <c r="X4577">
        <f t="shared" si="718"/>
        <v>2.8000000000000003</v>
      </c>
      <c r="Y4577" t="str">
        <f t="shared" si="719"/>
        <v>Move Immediately</v>
      </c>
    </row>
    <row r="4578" spans="1:25" x14ac:dyDescent="0.35">
      <c r="A4578" t="s">
        <v>46</v>
      </c>
      <c r="B4578" t="s">
        <v>129</v>
      </c>
      <c r="C4578" t="s">
        <v>1748</v>
      </c>
      <c r="D4578" t="s">
        <v>2741</v>
      </c>
      <c r="E4578">
        <v>80693537</v>
      </c>
      <c r="F4578" t="s">
        <v>2872</v>
      </c>
      <c r="G4578" s="3">
        <v>47020</v>
      </c>
      <c r="H4578">
        <v>36</v>
      </c>
      <c r="I4578">
        <v>77</v>
      </c>
      <c r="J4578">
        <v>3</v>
      </c>
      <c r="K4578" s="4">
        <v>683.97</v>
      </c>
      <c r="L4578" s="4">
        <f>0</f>
        <v>0</v>
      </c>
      <c r="M4578" s="4">
        <f>999</f>
        <v>999</v>
      </c>
      <c r="N4578" t="s">
        <v>19</v>
      </c>
      <c r="O4578" t="str">
        <f t="shared" si="710"/>
        <v>Low</v>
      </c>
      <c r="P4578" t="str">
        <f t="shared" si="711"/>
        <v>High</v>
      </c>
      <c r="Q4578" t="str">
        <f t="shared" si="712"/>
        <v>High</v>
      </c>
      <c r="R4578" t="s">
        <v>3317</v>
      </c>
      <c r="S4578" s="4">
        <f t="shared" ca="1" si="713"/>
        <v>823</v>
      </c>
      <c r="T4578">
        <f t="shared" si="714"/>
        <v>1</v>
      </c>
      <c r="U4578">
        <f t="shared" si="715"/>
        <v>3</v>
      </c>
      <c r="V4578">
        <f t="shared" si="716"/>
        <v>3</v>
      </c>
      <c r="W4578">
        <f t="shared" si="717"/>
        <v>1</v>
      </c>
      <c r="X4578">
        <f t="shared" si="718"/>
        <v>2</v>
      </c>
      <c r="Y4578" t="str">
        <f t="shared" si="719"/>
        <v>Monitor</v>
      </c>
    </row>
    <row r="4579" spans="1:25" x14ac:dyDescent="0.35">
      <c r="A4579" t="s">
        <v>46</v>
      </c>
      <c r="B4579" t="s">
        <v>129</v>
      </c>
      <c r="C4579" t="s">
        <v>1748</v>
      </c>
      <c r="D4579" t="s">
        <v>2741</v>
      </c>
      <c r="E4579">
        <v>80693537</v>
      </c>
      <c r="F4579" t="s">
        <v>2872</v>
      </c>
      <c r="G4579" s="3">
        <v>45966</v>
      </c>
      <c r="H4579">
        <v>36</v>
      </c>
      <c r="I4579">
        <v>0</v>
      </c>
      <c r="J4579">
        <v>3</v>
      </c>
      <c r="K4579" s="4">
        <v>683.97</v>
      </c>
      <c r="L4579" s="4">
        <f>0</f>
        <v>0</v>
      </c>
      <c r="M4579" s="4">
        <f>999</f>
        <v>999</v>
      </c>
      <c r="N4579" t="s">
        <v>19</v>
      </c>
      <c r="O4579" t="str">
        <f t="shared" si="710"/>
        <v>High</v>
      </c>
      <c r="P4579" t="str">
        <f t="shared" si="711"/>
        <v>High</v>
      </c>
      <c r="Q4579" t="str">
        <f t="shared" si="712"/>
        <v>High</v>
      </c>
      <c r="R4579" t="s">
        <v>3317</v>
      </c>
      <c r="S4579" s="4">
        <f t="shared" ca="1" si="713"/>
        <v>-231</v>
      </c>
      <c r="T4579">
        <f t="shared" si="714"/>
        <v>3</v>
      </c>
      <c r="U4579">
        <f t="shared" si="715"/>
        <v>3</v>
      </c>
      <c r="V4579">
        <f t="shared" si="716"/>
        <v>3</v>
      </c>
      <c r="W4579">
        <f t="shared" si="717"/>
        <v>1</v>
      </c>
      <c r="X4579">
        <f t="shared" si="718"/>
        <v>2.8000000000000003</v>
      </c>
      <c r="Y4579" t="str">
        <f t="shared" si="719"/>
        <v>Move Immediately</v>
      </c>
    </row>
    <row r="4580" spans="1:25" x14ac:dyDescent="0.35">
      <c r="A4580" t="s">
        <v>46</v>
      </c>
      <c r="B4580" t="s">
        <v>129</v>
      </c>
      <c r="C4580" t="s">
        <v>1748</v>
      </c>
      <c r="D4580" t="s">
        <v>2741</v>
      </c>
      <c r="E4580">
        <v>80693537</v>
      </c>
      <c r="F4580" t="s">
        <v>2872</v>
      </c>
      <c r="G4580" s="3">
        <v>45966</v>
      </c>
      <c r="H4580">
        <v>36</v>
      </c>
      <c r="I4580">
        <v>0</v>
      </c>
      <c r="J4580">
        <v>5</v>
      </c>
      <c r="K4580" s="4">
        <v>1139.95</v>
      </c>
      <c r="L4580" s="4">
        <f>0</f>
        <v>0</v>
      </c>
      <c r="M4580" s="4">
        <f>999</f>
        <v>999</v>
      </c>
      <c r="N4580" t="s">
        <v>19</v>
      </c>
      <c r="O4580" t="str">
        <f t="shared" si="710"/>
        <v>High</v>
      </c>
      <c r="P4580" t="str">
        <f t="shared" si="711"/>
        <v>High</v>
      </c>
      <c r="Q4580" t="str">
        <f t="shared" si="712"/>
        <v>High</v>
      </c>
      <c r="R4580" t="s">
        <v>3317</v>
      </c>
      <c r="S4580" s="4">
        <f t="shared" ca="1" si="713"/>
        <v>-231</v>
      </c>
      <c r="T4580">
        <f t="shared" si="714"/>
        <v>3</v>
      </c>
      <c r="U4580">
        <f t="shared" si="715"/>
        <v>3</v>
      </c>
      <c r="V4580">
        <f t="shared" si="716"/>
        <v>3</v>
      </c>
      <c r="W4580">
        <f t="shared" si="717"/>
        <v>1</v>
      </c>
      <c r="X4580">
        <f t="shared" si="718"/>
        <v>2.8000000000000003</v>
      </c>
      <c r="Y4580" t="str">
        <f t="shared" si="719"/>
        <v>Move Immediately</v>
      </c>
    </row>
    <row r="4581" spans="1:25" x14ac:dyDescent="0.35">
      <c r="A4581" t="s">
        <v>14</v>
      </c>
      <c r="B4581" t="s">
        <v>15</v>
      </c>
      <c r="C4581" t="s">
        <v>34</v>
      </c>
      <c r="D4581" t="s">
        <v>34</v>
      </c>
      <c r="E4581">
        <v>82330852</v>
      </c>
      <c r="F4581" t="s">
        <v>2873</v>
      </c>
      <c r="G4581" s="3">
        <v>46814</v>
      </c>
      <c r="H4581">
        <v>60</v>
      </c>
      <c r="I4581">
        <v>35</v>
      </c>
      <c r="J4581">
        <v>11</v>
      </c>
      <c r="K4581" s="4">
        <v>2357.08</v>
      </c>
      <c r="L4581" s="4">
        <v>0.14285714285714285</v>
      </c>
      <c r="M4581" s="4">
        <v>77</v>
      </c>
      <c r="N4581" t="s">
        <v>19</v>
      </c>
      <c r="O4581" t="str">
        <f t="shared" si="710"/>
        <v>Medium</v>
      </c>
      <c r="P4581" t="str">
        <f t="shared" si="711"/>
        <v>High</v>
      </c>
      <c r="Q4581" t="str">
        <f t="shared" si="712"/>
        <v>High</v>
      </c>
      <c r="R4581" t="s">
        <v>3317</v>
      </c>
      <c r="S4581" s="4">
        <f t="shared" ca="1" si="713"/>
        <v>617</v>
      </c>
      <c r="T4581">
        <f t="shared" si="714"/>
        <v>2</v>
      </c>
      <c r="U4581">
        <f t="shared" si="715"/>
        <v>3</v>
      </c>
      <c r="V4581">
        <f t="shared" si="716"/>
        <v>3</v>
      </c>
      <c r="W4581">
        <f t="shared" si="717"/>
        <v>1</v>
      </c>
      <c r="X4581">
        <f t="shared" si="718"/>
        <v>2.4</v>
      </c>
      <c r="Y4581" t="str">
        <f t="shared" si="719"/>
        <v>High Priority</v>
      </c>
    </row>
    <row r="4582" spans="1:25" x14ac:dyDescent="0.35">
      <c r="A4582" t="s">
        <v>41</v>
      </c>
      <c r="B4582" t="s">
        <v>42</v>
      </c>
      <c r="C4582" t="s">
        <v>43</v>
      </c>
      <c r="D4582" t="s">
        <v>44</v>
      </c>
      <c r="E4582">
        <v>80696767</v>
      </c>
      <c r="F4582" t="s">
        <v>2874</v>
      </c>
      <c r="G4582" s="3">
        <v>45973</v>
      </c>
      <c r="H4582">
        <v>36</v>
      </c>
      <c r="I4582">
        <v>0</v>
      </c>
      <c r="J4582">
        <v>56</v>
      </c>
      <c r="K4582" s="4">
        <v>5180.5600000000004</v>
      </c>
      <c r="L4582" s="4">
        <f>0</f>
        <v>0</v>
      </c>
      <c r="M4582" s="4">
        <f>999</f>
        <v>999</v>
      </c>
      <c r="N4582" t="s">
        <v>19</v>
      </c>
      <c r="O4582" t="str">
        <f t="shared" si="710"/>
        <v>High</v>
      </c>
      <c r="P4582" t="str">
        <f t="shared" si="711"/>
        <v>High</v>
      </c>
      <c r="Q4582" t="str">
        <f t="shared" si="712"/>
        <v>High</v>
      </c>
      <c r="R4582" t="s">
        <v>3317</v>
      </c>
      <c r="S4582" s="4">
        <f t="shared" ca="1" si="713"/>
        <v>-224</v>
      </c>
      <c r="T4582">
        <f t="shared" si="714"/>
        <v>3</v>
      </c>
      <c r="U4582">
        <f t="shared" si="715"/>
        <v>3</v>
      </c>
      <c r="V4582">
        <f t="shared" si="716"/>
        <v>3</v>
      </c>
      <c r="W4582">
        <f t="shared" si="717"/>
        <v>1</v>
      </c>
      <c r="X4582">
        <f t="shared" si="718"/>
        <v>2.8000000000000003</v>
      </c>
      <c r="Y4582" t="str">
        <f t="shared" si="719"/>
        <v>Move Immediately</v>
      </c>
    </row>
    <row r="4583" spans="1:25" x14ac:dyDescent="0.35">
      <c r="A4583" t="s">
        <v>41</v>
      </c>
      <c r="B4583" t="s">
        <v>54</v>
      </c>
      <c r="C4583" t="s">
        <v>87</v>
      </c>
      <c r="D4583" t="s">
        <v>330</v>
      </c>
      <c r="E4583">
        <v>80719416</v>
      </c>
      <c r="F4583" t="s">
        <v>2875</v>
      </c>
      <c r="G4583" s="3">
        <v>47020</v>
      </c>
      <c r="H4583">
        <v>36</v>
      </c>
      <c r="I4583">
        <v>77</v>
      </c>
      <c r="J4583">
        <v>8</v>
      </c>
      <c r="K4583" s="4">
        <v>5478.72</v>
      </c>
      <c r="L4583" s="4">
        <f>0</f>
        <v>0</v>
      </c>
      <c r="M4583" s="4">
        <f>999</f>
        <v>999</v>
      </c>
      <c r="N4583" t="s">
        <v>19</v>
      </c>
      <c r="O4583" t="str">
        <f t="shared" si="710"/>
        <v>Low</v>
      </c>
      <c r="P4583" t="str">
        <f t="shared" si="711"/>
        <v>High</v>
      </c>
      <c r="Q4583" t="str">
        <f t="shared" si="712"/>
        <v>High</v>
      </c>
      <c r="R4583" t="s">
        <v>3317</v>
      </c>
      <c r="S4583" s="4">
        <f t="shared" ca="1" si="713"/>
        <v>823</v>
      </c>
      <c r="T4583">
        <f t="shared" si="714"/>
        <v>1</v>
      </c>
      <c r="U4583">
        <f t="shared" si="715"/>
        <v>3</v>
      </c>
      <c r="V4583">
        <f t="shared" si="716"/>
        <v>3</v>
      </c>
      <c r="W4583">
        <f t="shared" si="717"/>
        <v>1</v>
      </c>
      <c r="X4583">
        <f t="shared" si="718"/>
        <v>2</v>
      </c>
      <c r="Y4583" t="str">
        <f t="shared" si="719"/>
        <v>Monitor</v>
      </c>
    </row>
    <row r="4584" spans="1:25" x14ac:dyDescent="0.35">
      <c r="A4584" t="s">
        <v>41</v>
      </c>
      <c r="B4584" t="s">
        <v>54</v>
      </c>
      <c r="C4584" t="s">
        <v>87</v>
      </c>
      <c r="D4584" t="s">
        <v>330</v>
      </c>
      <c r="E4584">
        <v>80719416</v>
      </c>
      <c r="F4584" t="s">
        <v>2875</v>
      </c>
      <c r="G4584" s="3">
        <v>47020</v>
      </c>
      <c r="H4584">
        <v>36</v>
      </c>
      <c r="I4584">
        <v>77</v>
      </c>
      <c r="J4584">
        <v>12</v>
      </c>
      <c r="K4584" s="4">
        <v>8218.08</v>
      </c>
      <c r="L4584" s="4">
        <f>0</f>
        <v>0</v>
      </c>
      <c r="M4584" s="4">
        <f>999</f>
        <v>999</v>
      </c>
      <c r="N4584" t="s">
        <v>19</v>
      </c>
      <c r="O4584" t="str">
        <f t="shared" si="710"/>
        <v>Low</v>
      </c>
      <c r="P4584" t="str">
        <f t="shared" si="711"/>
        <v>High</v>
      </c>
      <c r="Q4584" t="str">
        <f t="shared" si="712"/>
        <v>High</v>
      </c>
      <c r="R4584" t="s">
        <v>3317</v>
      </c>
      <c r="S4584" s="4">
        <f t="shared" ca="1" si="713"/>
        <v>823</v>
      </c>
      <c r="T4584">
        <f t="shared" si="714"/>
        <v>1</v>
      </c>
      <c r="U4584">
        <f t="shared" si="715"/>
        <v>3</v>
      </c>
      <c r="V4584">
        <f t="shared" si="716"/>
        <v>3</v>
      </c>
      <c r="W4584">
        <f t="shared" si="717"/>
        <v>1</v>
      </c>
      <c r="X4584">
        <f t="shared" si="718"/>
        <v>2</v>
      </c>
      <c r="Y4584" t="str">
        <f t="shared" si="719"/>
        <v>Monitor</v>
      </c>
    </row>
    <row r="4585" spans="1:25" x14ac:dyDescent="0.35">
      <c r="A4585" t="s">
        <v>41</v>
      </c>
      <c r="B4585" t="s">
        <v>54</v>
      </c>
      <c r="C4585" t="s">
        <v>87</v>
      </c>
      <c r="D4585" t="s">
        <v>330</v>
      </c>
      <c r="E4585">
        <v>80719416</v>
      </c>
      <c r="F4585" t="s">
        <v>2875</v>
      </c>
      <c r="G4585" s="3">
        <v>47020</v>
      </c>
      <c r="H4585">
        <v>36</v>
      </c>
      <c r="I4585">
        <v>77</v>
      </c>
      <c r="J4585">
        <v>4</v>
      </c>
      <c r="K4585" s="4">
        <v>2739.36</v>
      </c>
      <c r="L4585" s="4">
        <f>0</f>
        <v>0</v>
      </c>
      <c r="M4585" s="4">
        <f>999</f>
        <v>999</v>
      </c>
      <c r="N4585" t="s">
        <v>19</v>
      </c>
      <c r="O4585" t="str">
        <f t="shared" si="710"/>
        <v>Low</v>
      </c>
      <c r="P4585" t="str">
        <f t="shared" si="711"/>
        <v>High</v>
      </c>
      <c r="Q4585" t="str">
        <f t="shared" si="712"/>
        <v>High</v>
      </c>
      <c r="R4585" t="s">
        <v>3317</v>
      </c>
      <c r="S4585" s="4">
        <f t="shared" ca="1" si="713"/>
        <v>823</v>
      </c>
      <c r="T4585">
        <f t="shared" si="714"/>
        <v>1</v>
      </c>
      <c r="U4585">
        <f t="shared" si="715"/>
        <v>3</v>
      </c>
      <c r="V4585">
        <f t="shared" si="716"/>
        <v>3</v>
      </c>
      <c r="W4585">
        <f t="shared" si="717"/>
        <v>1</v>
      </c>
      <c r="X4585">
        <f t="shared" si="718"/>
        <v>2</v>
      </c>
      <c r="Y4585" t="str">
        <f t="shared" si="719"/>
        <v>Monitor</v>
      </c>
    </row>
    <row r="4586" spans="1:25" x14ac:dyDescent="0.35">
      <c r="A4586" t="s">
        <v>71</v>
      </c>
      <c r="B4586" t="s">
        <v>72</v>
      </c>
      <c r="C4586" t="s">
        <v>687</v>
      </c>
      <c r="D4586" t="s">
        <v>1910</v>
      </c>
      <c r="E4586">
        <v>80712503</v>
      </c>
      <c r="F4586" t="s">
        <v>2876</v>
      </c>
      <c r="G4586" s="3">
        <v>46747</v>
      </c>
      <c r="H4586">
        <v>36</v>
      </c>
      <c r="I4586">
        <v>51</v>
      </c>
      <c r="J4586">
        <v>13</v>
      </c>
      <c r="K4586" s="4">
        <v>998.4</v>
      </c>
      <c r="L4586" s="4">
        <v>80</v>
      </c>
      <c r="M4586" s="4">
        <v>0.16250000000000001</v>
      </c>
      <c r="N4586" t="s">
        <v>25</v>
      </c>
      <c r="O4586" t="str">
        <f t="shared" si="710"/>
        <v>Low</v>
      </c>
      <c r="P4586" t="str">
        <f t="shared" si="711"/>
        <v>Low</v>
      </c>
      <c r="Q4586" t="str">
        <f t="shared" si="712"/>
        <v>Low</v>
      </c>
      <c r="R4586" t="s">
        <v>3317</v>
      </c>
      <c r="S4586" s="4">
        <f t="shared" ca="1" si="713"/>
        <v>550</v>
      </c>
      <c r="T4586">
        <f t="shared" si="714"/>
        <v>1</v>
      </c>
      <c r="U4586">
        <f t="shared" si="715"/>
        <v>1</v>
      </c>
      <c r="V4586">
        <f t="shared" si="716"/>
        <v>1</v>
      </c>
      <c r="W4586">
        <f t="shared" si="717"/>
        <v>1</v>
      </c>
      <c r="X4586">
        <f t="shared" si="718"/>
        <v>0.99999999999999989</v>
      </c>
      <c r="Y4586" t="str">
        <f t="shared" si="719"/>
        <v>Healthy</v>
      </c>
    </row>
    <row r="4587" spans="1:25" x14ac:dyDescent="0.35">
      <c r="A4587" t="s">
        <v>14</v>
      </c>
      <c r="B4587" t="s">
        <v>58</v>
      </c>
      <c r="C4587" t="s">
        <v>951</v>
      </c>
      <c r="D4587" t="s">
        <v>952</v>
      </c>
      <c r="E4587">
        <v>80692186</v>
      </c>
      <c r="F4587" t="s">
        <v>2877</v>
      </c>
      <c r="G4587" s="3">
        <v>46760</v>
      </c>
      <c r="H4587">
        <v>60</v>
      </c>
      <c r="I4587">
        <v>32</v>
      </c>
      <c r="J4587">
        <v>4</v>
      </c>
      <c r="K4587" s="4">
        <v>6510.64</v>
      </c>
      <c r="L4587" s="4">
        <f>0</f>
        <v>0</v>
      </c>
      <c r="M4587" s="4">
        <f>999</f>
        <v>999</v>
      </c>
      <c r="N4587" t="s">
        <v>19</v>
      </c>
      <c r="O4587" t="str">
        <f t="shared" si="710"/>
        <v>Medium</v>
      </c>
      <c r="P4587" t="str">
        <f t="shared" si="711"/>
        <v>High</v>
      </c>
      <c r="Q4587" t="str">
        <f t="shared" si="712"/>
        <v>High</v>
      </c>
      <c r="R4587" t="s">
        <v>3317</v>
      </c>
      <c r="S4587" s="4">
        <f t="shared" ca="1" si="713"/>
        <v>563</v>
      </c>
      <c r="T4587">
        <f t="shared" si="714"/>
        <v>2</v>
      </c>
      <c r="U4587">
        <f t="shared" si="715"/>
        <v>3</v>
      </c>
      <c r="V4587">
        <f t="shared" si="716"/>
        <v>3</v>
      </c>
      <c r="W4587">
        <f t="shared" si="717"/>
        <v>1</v>
      </c>
      <c r="X4587">
        <f t="shared" si="718"/>
        <v>2.4</v>
      </c>
      <c r="Y4587" t="str">
        <f t="shared" si="719"/>
        <v>High Priority</v>
      </c>
    </row>
    <row r="4588" spans="1:25" x14ac:dyDescent="0.35">
      <c r="A4588" t="s">
        <v>29</v>
      </c>
      <c r="B4588" t="s">
        <v>30</v>
      </c>
      <c r="C4588" t="s">
        <v>290</v>
      </c>
      <c r="D4588" t="s">
        <v>291</v>
      </c>
      <c r="E4588">
        <v>82333318</v>
      </c>
      <c r="F4588" t="s">
        <v>2878</v>
      </c>
      <c r="G4588" s="3">
        <v>46248</v>
      </c>
      <c r="H4588">
        <v>36</v>
      </c>
      <c r="I4588">
        <v>5</v>
      </c>
      <c r="J4588">
        <v>2</v>
      </c>
      <c r="K4588" s="4">
        <v>3198.3</v>
      </c>
      <c r="L4588" s="4">
        <f>0</f>
        <v>0</v>
      </c>
      <c r="M4588" s="4">
        <f>999</f>
        <v>999</v>
      </c>
      <c r="N4588" t="s">
        <v>19</v>
      </c>
      <c r="O4588" t="str">
        <f t="shared" si="710"/>
        <v>High</v>
      </c>
      <c r="P4588" t="str">
        <f t="shared" si="711"/>
        <v>High</v>
      </c>
      <c r="Q4588" t="str">
        <f t="shared" si="712"/>
        <v>High</v>
      </c>
      <c r="R4588" t="s">
        <v>3317</v>
      </c>
      <c r="S4588" s="4">
        <f t="shared" ca="1" si="713"/>
        <v>51</v>
      </c>
      <c r="T4588">
        <f t="shared" si="714"/>
        <v>3</v>
      </c>
      <c r="U4588">
        <f t="shared" si="715"/>
        <v>3</v>
      </c>
      <c r="V4588">
        <f t="shared" si="716"/>
        <v>3</v>
      </c>
      <c r="W4588">
        <f t="shared" si="717"/>
        <v>1</v>
      </c>
      <c r="X4588">
        <f t="shared" si="718"/>
        <v>2.8000000000000003</v>
      </c>
      <c r="Y4588" t="str">
        <f t="shared" si="719"/>
        <v>Move Immediately</v>
      </c>
    </row>
    <row r="4589" spans="1:25" x14ac:dyDescent="0.35">
      <c r="A4589" t="s">
        <v>14</v>
      </c>
      <c r="B4589" t="s">
        <v>58</v>
      </c>
      <c r="C4589" t="s">
        <v>951</v>
      </c>
      <c r="D4589" t="s">
        <v>952</v>
      </c>
      <c r="E4589">
        <v>80692186</v>
      </c>
      <c r="F4589" t="s">
        <v>2877</v>
      </c>
      <c r="G4589" s="3">
        <v>46734</v>
      </c>
      <c r="H4589">
        <v>60</v>
      </c>
      <c r="I4589">
        <v>30</v>
      </c>
      <c r="J4589">
        <v>1</v>
      </c>
      <c r="K4589" s="4">
        <v>1627.66</v>
      </c>
      <c r="L4589" s="4">
        <f>0</f>
        <v>0</v>
      </c>
      <c r="M4589" s="4">
        <f>999</f>
        <v>999</v>
      </c>
      <c r="N4589" t="s">
        <v>19</v>
      </c>
      <c r="O4589" t="str">
        <f t="shared" si="710"/>
        <v>Medium</v>
      </c>
      <c r="P4589" t="str">
        <f t="shared" si="711"/>
        <v>High</v>
      </c>
      <c r="Q4589" t="str">
        <f t="shared" si="712"/>
        <v>High</v>
      </c>
      <c r="R4589" t="s">
        <v>3317</v>
      </c>
      <c r="S4589" s="4">
        <f t="shared" ca="1" si="713"/>
        <v>537</v>
      </c>
      <c r="T4589">
        <f t="shared" si="714"/>
        <v>2</v>
      </c>
      <c r="U4589">
        <f t="shared" si="715"/>
        <v>3</v>
      </c>
      <c r="V4589">
        <f t="shared" si="716"/>
        <v>3</v>
      </c>
      <c r="W4589">
        <f t="shared" si="717"/>
        <v>1</v>
      </c>
      <c r="X4589">
        <f t="shared" si="718"/>
        <v>2.4</v>
      </c>
      <c r="Y4589" t="str">
        <f t="shared" si="719"/>
        <v>High Priority</v>
      </c>
    </row>
    <row r="4590" spans="1:25" x14ac:dyDescent="0.35">
      <c r="A4590" t="s">
        <v>29</v>
      </c>
      <c r="B4590" t="s">
        <v>30</v>
      </c>
      <c r="C4590" t="s">
        <v>1031</v>
      </c>
      <c r="D4590" t="s">
        <v>1032</v>
      </c>
      <c r="E4590">
        <v>80709849</v>
      </c>
      <c r="F4590" t="s">
        <v>2879</v>
      </c>
      <c r="G4590" s="3">
        <v>45374</v>
      </c>
      <c r="H4590">
        <v>36</v>
      </c>
      <c r="I4590">
        <v>0</v>
      </c>
      <c r="J4590">
        <v>4</v>
      </c>
      <c r="K4590" s="4">
        <v>2167.04</v>
      </c>
      <c r="L4590" s="4">
        <f>0</f>
        <v>0</v>
      </c>
      <c r="M4590" s="4">
        <f>999</f>
        <v>999</v>
      </c>
      <c r="N4590" t="s">
        <v>19</v>
      </c>
      <c r="O4590" t="str">
        <f t="shared" si="710"/>
        <v>High</v>
      </c>
      <c r="P4590" t="str">
        <f t="shared" si="711"/>
        <v>High</v>
      </c>
      <c r="Q4590" t="str">
        <f t="shared" si="712"/>
        <v>High</v>
      </c>
      <c r="R4590" t="s">
        <v>3317</v>
      </c>
      <c r="S4590" s="4">
        <f t="shared" ca="1" si="713"/>
        <v>-823</v>
      </c>
      <c r="T4590">
        <f t="shared" si="714"/>
        <v>3</v>
      </c>
      <c r="U4590">
        <f t="shared" si="715"/>
        <v>3</v>
      </c>
      <c r="V4590">
        <f t="shared" si="716"/>
        <v>3</v>
      </c>
      <c r="W4590">
        <f t="shared" si="717"/>
        <v>1</v>
      </c>
      <c r="X4590">
        <f t="shared" si="718"/>
        <v>2.8000000000000003</v>
      </c>
      <c r="Y4590" t="str">
        <f t="shared" si="719"/>
        <v>Move Immediately</v>
      </c>
    </row>
    <row r="4591" spans="1:25" x14ac:dyDescent="0.35">
      <c r="A4591" t="s">
        <v>20</v>
      </c>
      <c r="B4591" t="s">
        <v>21</v>
      </c>
      <c r="C4591" t="s">
        <v>313</v>
      </c>
      <c r="D4591" t="s">
        <v>314</v>
      </c>
      <c r="E4591">
        <v>80706138</v>
      </c>
      <c r="F4591" t="s">
        <v>2880</v>
      </c>
      <c r="G4591" s="3">
        <v>46536</v>
      </c>
      <c r="H4591">
        <v>36</v>
      </c>
      <c r="I4591">
        <v>32</v>
      </c>
      <c r="J4591">
        <v>1</v>
      </c>
      <c r="K4591" s="4">
        <v>64</v>
      </c>
      <c r="L4591" s="4">
        <f>0</f>
        <v>0</v>
      </c>
      <c r="M4591" s="4">
        <f>999</f>
        <v>999</v>
      </c>
      <c r="N4591" t="s">
        <v>19</v>
      </c>
      <c r="O4591" t="str">
        <f t="shared" si="710"/>
        <v>Medium</v>
      </c>
      <c r="P4591" t="str">
        <f t="shared" si="711"/>
        <v>High</v>
      </c>
      <c r="Q4591" t="str">
        <f t="shared" si="712"/>
        <v>High</v>
      </c>
      <c r="R4591" t="s">
        <v>3317</v>
      </c>
      <c r="S4591" s="4">
        <f t="shared" ca="1" si="713"/>
        <v>339</v>
      </c>
      <c r="T4591">
        <f t="shared" si="714"/>
        <v>2</v>
      </c>
      <c r="U4591">
        <f t="shared" si="715"/>
        <v>3</v>
      </c>
      <c r="V4591">
        <f t="shared" si="716"/>
        <v>3</v>
      </c>
      <c r="W4591">
        <f t="shared" si="717"/>
        <v>1</v>
      </c>
      <c r="X4591">
        <f t="shared" si="718"/>
        <v>2.4</v>
      </c>
      <c r="Y4591" t="str">
        <f t="shared" si="719"/>
        <v>High Priority</v>
      </c>
    </row>
    <row r="4592" spans="1:25" x14ac:dyDescent="0.35">
      <c r="A4592" t="s">
        <v>20</v>
      </c>
      <c r="B4592" t="s">
        <v>21</v>
      </c>
      <c r="C4592" t="s">
        <v>313</v>
      </c>
      <c r="D4592" t="s">
        <v>314</v>
      </c>
      <c r="E4592">
        <v>80706138</v>
      </c>
      <c r="F4592" t="s">
        <v>2880</v>
      </c>
      <c r="G4592" s="3">
        <v>46481</v>
      </c>
      <c r="H4592">
        <v>36</v>
      </c>
      <c r="I4592">
        <v>27</v>
      </c>
      <c r="J4592">
        <v>56</v>
      </c>
      <c r="K4592" s="4">
        <v>3584</v>
      </c>
      <c r="L4592" s="4">
        <f>0</f>
        <v>0</v>
      </c>
      <c r="M4592" s="4">
        <f>999</f>
        <v>999</v>
      </c>
      <c r="N4592" t="s">
        <v>19</v>
      </c>
      <c r="O4592" t="str">
        <f t="shared" si="710"/>
        <v>Medium</v>
      </c>
      <c r="P4592" t="str">
        <f t="shared" si="711"/>
        <v>High</v>
      </c>
      <c r="Q4592" t="str">
        <f t="shared" si="712"/>
        <v>High</v>
      </c>
      <c r="R4592" t="s">
        <v>3317</v>
      </c>
      <c r="S4592" s="4">
        <f t="shared" ca="1" si="713"/>
        <v>284</v>
      </c>
      <c r="T4592">
        <f t="shared" si="714"/>
        <v>2</v>
      </c>
      <c r="U4592">
        <f t="shared" si="715"/>
        <v>3</v>
      </c>
      <c r="V4592">
        <f t="shared" si="716"/>
        <v>3</v>
      </c>
      <c r="W4592">
        <f t="shared" si="717"/>
        <v>1</v>
      </c>
      <c r="X4592">
        <f t="shared" si="718"/>
        <v>2.4</v>
      </c>
      <c r="Y4592" t="str">
        <f t="shared" si="719"/>
        <v>High Priority</v>
      </c>
    </row>
    <row r="4593" spans="1:25" x14ac:dyDescent="0.35">
      <c r="A4593" t="s">
        <v>41</v>
      </c>
      <c r="B4593" t="s">
        <v>42</v>
      </c>
      <c r="C4593" t="s">
        <v>43</v>
      </c>
      <c r="D4593" t="s">
        <v>44</v>
      </c>
      <c r="E4593">
        <v>80719456</v>
      </c>
      <c r="F4593" t="s">
        <v>2881</v>
      </c>
      <c r="G4593" s="3">
        <v>47020</v>
      </c>
      <c r="H4593">
        <v>36</v>
      </c>
      <c r="I4593">
        <v>77</v>
      </c>
      <c r="J4593">
        <v>41</v>
      </c>
      <c r="K4593" s="4">
        <v>4615.78</v>
      </c>
      <c r="L4593" s="4">
        <f>0</f>
        <v>0</v>
      </c>
      <c r="M4593" s="4">
        <f>999</f>
        <v>999</v>
      </c>
      <c r="N4593" t="s">
        <v>19</v>
      </c>
      <c r="O4593" t="str">
        <f t="shared" si="710"/>
        <v>Low</v>
      </c>
      <c r="P4593" t="str">
        <f t="shared" si="711"/>
        <v>High</v>
      </c>
      <c r="Q4593" t="str">
        <f t="shared" si="712"/>
        <v>High</v>
      </c>
      <c r="R4593" t="s">
        <v>3317</v>
      </c>
      <c r="S4593" s="4">
        <f t="shared" ca="1" si="713"/>
        <v>823</v>
      </c>
      <c r="T4593">
        <f t="shared" si="714"/>
        <v>1</v>
      </c>
      <c r="U4593">
        <f t="shared" si="715"/>
        <v>3</v>
      </c>
      <c r="V4593">
        <f t="shared" si="716"/>
        <v>3</v>
      </c>
      <c r="W4593">
        <f t="shared" si="717"/>
        <v>1</v>
      </c>
      <c r="X4593">
        <f t="shared" si="718"/>
        <v>2</v>
      </c>
      <c r="Y4593" t="str">
        <f t="shared" si="719"/>
        <v>Monitor</v>
      </c>
    </row>
    <row r="4594" spans="1:25" x14ac:dyDescent="0.35">
      <c r="A4594" t="s">
        <v>41</v>
      </c>
      <c r="B4594" t="s">
        <v>42</v>
      </c>
      <c r="C4594" t="s">
        <v>43</v>
      </c>
      <c r="D4594" t="s">
        <v>44</v>
      </c>
      <c r="E4594">
        <v>80719456</v>
      </c>
      <c r="F4594" t="s">
        <v>2881</v>
      </c>
      <c r="G4594" s="3">
        <v>47020</v>
      </c>
      <c r="H4594">
        <v>36</v>
      </c>
      <c r="I4594">
        <v>77</v>
      </c>
      <c r="J4594">
        <v>15</v>
      </c>
      <c r="K4594" s="4">
        <v>1688.7</v>
      </c>
      <c r="L4594" s="4">
        <f>0</f>
        <v>0</v>
      </c>
      <c r="M4594" s="4">
        <f>999</f>
        <v>999</v>
      </c>
      <c r="N4594" t="s">
        <v>19</v>
      </c>
      <c r="O4594" t="str">
        <f t="shared" si="710"/>
        <v>Low</v>
      </c>
      <c r="P4594" t="str">
        <f t="shared" si="711"/>
        <v>High</v>
      </c>
      <c r="Q4594" t="str">
        <f t="shared" si="712"/>
        <v>High</v>
      </c>
      <c r="R4594" t="s">
        <v>3317</v>
      </c>
      <c r="S4594" s="4">
        <f t="shared" ca="1" si="713"/>
        <v>823</v>
      </c>
      <c r="T4594">
        <f t="shared" si="714"/>
        <v>1</v>
      </c>
      <c r="U4594">
        <f t="shared" si="715"/>
        <v>3</v>
      </c>
      <c r="V4594">
        <f t="shared" si="716"/>
        <v>3</v>
      </c>
      <c r="W4594">
        <f t="shared" si="717"/>
        <v>1</v>
      </c>
      <c r="X4594">
        <f t="shared" si="718"/>
        <v>2</v>
      </c>
      <c r="Y4594" t="str">
        <f t="shared" si="719"/>
        <v>Monitor</v>
      </c>
    </row>
    <row r="4595" spans="1:25" x14ac:dyDescent="0.35">
      <c r="A4595" t="s">
        <v>14</v>
      </c>
      <c r="B4595" t="s">
        <v>115</v>
      </c>
      <c r="C4595" t="s">
        <v>904</v>
      </c>
      <c r="D4595" t="s">
        <v>905</v>
      </c>
      <c r="E4595">
        <v>80702899</v>
      </c>
      <c r="F4595" t="s">
        <v>2882</v>
      </c>
      <c r="G4595" s="3">
        <v>46981</v>
      </c>
      <c r="H4595">
        <v>60</v>
      </c>
      <c r="I4595">
        <v>44</v>
      </c>
      <c r="J4595">
        <v>9</v>
      </c>
      <c r="K4595" s="4">
        <v>925.65</v>
      </c>
      <c r="L4595" s="4">
        <f>0</f>
        <v>0</v>
      </c>
      <c r="M4595" s="4">
        <f>999</f>
        <v>999</v>
      </c>
      <c r="N4595" t="s">
        <v>19</v>
      </c>
      <c r="O4595" t="str">
        <f t="shared" si="710"/>
        <v>Low</v>
      </c>
      <c r="P4595" t="str">
        <f t="shared" si="711"/>
        <v>High</v>
      </c>
      <c r="Q4595" t="str">
        <f t="shared" si="712"/>
        <v>High</v>
      </c>
      <c r="R4595" t="s">
        <v>3317</v>
      </c>
      <c r="S4595" s="4">
        <f t="shared" ca="1" si="713"/>
        <v>784</v>
      </c>
      <c r="T4595">
        <f t="shared" si="714"/>
        <v>1</v>
      </c>
      <c r="U4595">
        <f t="shared" si="715"/>
        <v>3</v>
      </c>
      <c r="V4595">
        <f t="shared" si="716"/>
        <v>3</v>
      </c>
      <c r="W4595">
        <f t="shared" si="717"/>
        <v>1</v>
      </c>
      <c r="X4595">
        <f t="shared" si="718"/>
        <v>2</v>
      </c>
      <c r="Y4595" t="str">
        <f t="shared" si="719"/>
        <v>Monitor</v>
      </c>
    </row>
    <row r="4596" spans="1:25" x14ac:dyDescent="0.35">
      <c r="A4596" t="s">
        <v>14</v>
      </c>
      <c r="B4596" t="s">
        <v>58</v>
      </c>
      <c r="C4596" t="s">
        <v>162</v>
      </c>
      <c r="D4596" t="s">
        <v>1192</v>
      </c>
      <c r="E4596">
        <v>80692174</v>
      </c>
      <c r="F4596" t="s">
        <v>2883</v>
      </c>
      <c r="G4596" s="3">
        <v>47101</v>
      </c>
      <c r="H4596">
        <v>60</v>
      </c>
      <c r="I4596">
        <v>51</v>
      </c>
      <c r="J4596">
        <v>4</v>
      </c>
      <c r="K4596" s="4">
        <v>7196.36</v>
      </c>
      <c r="L4596" s="4">
        <v>1.5714285714285714</v>
      </c>
      <c r="M4596" s="4">
        <v>2.5454545454545454</v>
      </c>
      <c r="N4596" t="s">
        <v>25</v>
      </c>
      <c r="O4596" t="str">
        <f t="shared" si="710"/>
        <v>Low</v>
      </c>
      <c r="P4596" t="str">
        <f t="shared" si="711"/>
        <v>Low</v>
      </c>
      <c r="Q4596" t="str">
        <f t="shared" si="712"/>
        <v>High</v>
      </c>
      <c r="R4596" t="s">
        <v>3317</v>
      </c>
      <c r="S4596" s="4">
        <f t="shared" ca="1" si="713"/>
        <v>904</v>
      </c>
      <c r="T4596">
        <f t="shared" si="714"/>
        <v>1</v>
      </c>
      <c r="U4596">
        <f t="shared" si="715"/>
        <v>1</v>
      </c>
      <c r="V4596">
        <f t="shared" si="716"/>
        <v>3</v>
      </c>
      <c r="W4596">
        <f t="shared" si="717"/>
        <v>1</v>
      </c>
      <c r="X4596">
        <f t="shared" si="718"/>
        <v>1.4000000000000001</v>
      </c>
      <c r="Y4596" t="str">
        <f t="shared" si="719"/>
        <v>Healthy</v>
      </c>
    </row>
    <row r="4597" spans="1:25" x14ac:dyDescent="0.35">
      <c r="A4597" t="s">
        <v>14</v>
      </c>
      <c r="B4597" t="s">
        <v>58</v>
      </c>
      <c r="C4597" t="s">
        <v>162</v>
      </c>
      <c r="D4597" t="s">
        <v>1192</v>
      </c>
      <c r="E4597">
        <v>80692174</v>
      </c>
      <c r="F4597" t="s">
        <v>2883</v>
      </c>
      <c r="G4597" s="3">
        <v>46983</v>
      </c>
      <c r="H4597">
        <v>60</v>
      </c>
      <c r="I4597">
        <v>44</v>
      </c>
      <c r="J4597">
        <v>5</v>
      </c>
      <c r="K4597" s="4">
        <v>8995.4500000000007</v>
      </c>
      <c r="L4597" s="4">
        <v>1.5714285714285714</v>
      </c>
      <c r="M4597" s="4">
        <v>3.1818181818181821</v>
      </c>
      <c r="N4597" t="s">
        <v>25</v>
      </c>
      <c r="O4597" t="str">
        <f t="shared" si="710"/>
        <v>Low</v>
      </c>
      <c r="P4597" t="str">
        <f t="shared" si="711"/>
        <v>Low</v>
      </c>
      <c r="Q4597" t="str">
        <f t="shared" si="712"/>
        <v>High</v>
      </c>
      <c r="R4597" t="s">
        <v>3317</v>
      </c>
      <c r="S4597" s="4">
        <f t="shared" ca="1" si="713"/>
        <v>786</v>
      </c>
      <c r="T4597">
        <f t="shared" si="714"/>
        <v>1</v>
      </c>
      <c r="U4597">
        <f t="shared" si="715"/>
        <v>1</v>
      </c>
      <c r="V4597">
        <f t="shared" si="716"/>
        <v>3</v>
      </c>
      <c r="W4597">
        <f t="shared" si="717"/>
        <v>1</v>
      </c>
      <c r="X4597">
        <f t="shared" si="718"/>
        <v>1.4000000000000001</v>
      </c>
      <c r="Y4597" t="str">
        <f t="shared" si="719"/>
        <v>Healthy</v>
      </c>
    </row>
    <row r="4598" spans="1:25" x14ac:dyDescent="0.35">
      <c r="A4598" t="s">
        <v>14</v>
      </c>
      <c r="B4598" t="s">
        <v>58</v>
      </c>
      <c r="C4598" t="s">
        <v>162</v>
      </c>
      <c r="D4598" t="s">
        <v>1192</v>
      </c>
      <c r="E4598">
        <v>80692174</v>
      </c>
      <c r="F4598" t="s">
        <v>2883</v>
      </c>
      <c r="G4598" s="3">
        <v>46843</v>
      </c>
      <c r="H4598">
        <v>60</v>
      </c>
      <c r="I4598">
        <v>36</v>
      </c>
      <c r="J4598">
        <v>2</v>
      </c>
      <c r="K4598" s="4">
        <v>3598.18</v>
      </c>
      <c r="L4598" s="4">
        <v>1.5714285714285714</v>
      </c>
      <c r="M4598" s="4">
        <v>1.2727272727272727</v>
      </c>
      <c r="N4598" t="s">
        <v>25</v>
      </c>
      <c r="O4598" t="str">
        <f t="shared" si="710"/>
        <v>Medium</v>
      </c>
      <c r="P4598" t="str">
        <f t="shared" si="711"/>
        <v>Low</v>
      </c>
      <c r="Q4598" t="str">
        <f t="shared" si="712"/>
        <v>High</v>
      </c>
      <c r="R4598" t="s">
        <v>3317</v>
      </c>
      <c r="S4598" s="4">
        <f t="shared" ca="1" si="713"/>
        <v>646</v>
      </c>
      <c r="T4598">
        <f t="shared" si="714"/>
        <v>2</v>
      </c>
      <c r="U4598">
        <f t="shared" si="715"/>
        <v>1</v>
      </c>
      <c r="V4598">
        <f t="shared" si="716"/>
        <v>3</v>
      </c>
      <c r="W4598">
        <f t="shared" si="717"/>
        <v>1</v>
      </c>
      <c r="X4598">
        <f t="shared" si="718"/>
        <v>1.8000000000000003</v>
      </c>
      <c r="Y4598" t="str">
        <f t="shared" si="719"/>
        <v>Monitor</v>
      </c>
    </row>
    <row r="4599" spans="1:25" x14ac:dyDescent="0.35">
      <c r="A4599" t="s">
        <v>90</v>
      </c>
      <c r="B4599" t="s">
        <v>91</v>
      </c>
      <c r="C4599" t="s">
        <v>112</v>
      </c>
      <c r="D4599" t="s">
        <v>113</v>
      </c>
      <c r="E4599">
        <v>80722545</v>
      </c>
      <c r="F4599" t="s">
        <v>2884</v>
      </c>
      <c r="G4599" s="3">
        <v>45374</v>
      </c>
      <c r="H4599">
        <v>24</v>
      </c>
      <c r="I4599">
        <v>0</v>
      </c>
      <c r="J4599">
        <v>75</v>
      </c>
      <c r="K4599" s="4">
        <v>30712.5</v>
      </c>
      <c r="L4599" s="4">
        <f>0</f>
        <v>0</v>
      </c>
      <c r="M4599" s="4">
        <f>999</f>
        <v>999</v>
      </c>
      <c r="N4599" t="s">
        <v>19</v>
      </c>
      <c r="O4599" t="str">
        <f t="shared" si="710"/>
        <v>High</v>
      </c>
      <c r="P4599" t="str">
        <f t="shared" si="711"/>
        <v>High</v>
      </c>
      <c r="Q4599" t="str">
        <f t="shared" si="712"/>
        <v>High</v>
      </c>
      <c r="R4599" t="s">
        <v>3317</v>
      </c>
      <c r="S4599" s="4">
        <f t="shared" ca="1" si="713"/>
        <v>-823</v>
      </c>
      <c r="T4599">
        <f t="shared" si="714"/>
        <v>3</v>
      </c>
      <c r="U4599">
        <f t="shared" si="715"/>
        <v>3</v>
      </c>
      <c r="V4599">
        <f t="shared" si="716"/>
        <v>3</v>
      </c>
      <c r="W4599">
        <f t="shared" si="717"/>
        <v>1</v>
      </c>
      <c r="X4599">
        <f t="shared" si="718"/>
        <v>2.8000000000000003</v>
      </c>
      <c r="Y4599" t="str">
        <f t="shared" si="719"/>
        <v>Move Immediately</v>
      </c>
    </row>
    <row r="4600" spans="1:25" x14ac:dyDescent="0.35">
      <c r="A4600" t="s">
        <v>90</v>
      </c>
      <c r="B4600" t="s">
        <v>91</v>
      </c>
      <c r="C4600" t="s">
        <v>112</v>
      </c>
      <c r="D4600" t="s">
        <v>113</v>
      </c>
      <c r="E4600">
        <v>80722545</v>
      </c>
      <c r="F4600" t="s">
        <v>2884</v>
      </c>
      <c r="G4600" s="3">
        <v>45561</v>
      </c>
      <c r="H4600">
        <v>24</v>
      </c>
      <c r="I4600">
        <v>0</v>
      </c>
      <c r="J4600">
        <v>8</v>
      </c>
      <c r="K4600" s="4">
        <v>3698.4</v>
      </c>
      <c r="L4600" s="4">
        <f>0</f>
        <v>0</v>
      </c>
      <c r="M4600" s="4">
        <f>999</f>
        <v>999</v>
      </c>
      <c r="N4600" t="s">
        <v>19</v>
      </c>
      <c r="O4600" t="str">
        <f t="shared" si="710"/>
        <v>High</v>
      </c>
      <c r="P4600" t="str">
        <f t="shared" si="711"/>
        <v>High</v>
      </c>
      <c r="Q4600" t="str">
        <f t="shared" si="712"/>
        <v>High</v>
      </c>
      <c r="R4600" t="s">
        <v>3317</v>
      </c>
      <c r="S4600" s="4">
        <f t="shared" ca="1" si="713"/>
        <v>-636</v>
      </c>
      <c r="T4600">
        <f t="shared" si="714"/>
        <v>3</v>
      </c>
      <c r="U4600">
        <f t="shared" si="715"/>
        <v>3</v>
      </c>
      <c r="V4600">
        <f t="shared" si="716"/>
        <v>3</v>
      </c>
      <c r="W4600">
        <f t="shared" si="717"/>
        <v>1</v>
      </c>
      <c r="X4600">
        <f t="shared" si="718"/>
        <v>2.8000000000000003</v>
      </c>
      <c r="Y4600" t="str">
        <f t="shared" si="719"/>
        <v>Move Immediately</v>
      </c>
    </row>
    <row r="4601" spans="1:25" x14ac:dyDescent="0.35">
      <c r="A4601" t="s">
        <v>90</v>
      </c>
      <c r="B4601" t="s">
        <v>91</v>
      </c>
      <c r="C4601" t="s">
        <v>112</v>
      </c>
      <c r="D4601" t="s">
        <v>113</v>
      </c>
      <c r="E4601">
        <v>80722545</v>
      </c>
      <c r="F4601" t="s">
        <v>2884</v>
      </c>
      <c r="G4601" s="3">
        <v>45670</v>
      </c>
      <c r="H4601">
        <v>24</v>
      </c>
      <c r="I4601">
        <v>0</v>
      </c>
      <c r="J4601">
        <v>7</v>
      </c>
      <c r="K4601" s="4">
        <v>3236.1</v>
      </c>
      <c r="L4601" s="4">
        <f>0</f>
        <v>0</v>
      </c>
      <c r="M4601" s="4">
        <f>999</f>
        <v>999</v>
      </c>
      <c r="N4601" t="s">
        <v>19</v>
      </c>
      <c r="O4601" t="str">
        <f t="shared" si="710"/>
        <v>High</v>
      </c>
      <c r="P4601" t="str">
        <f t="shared" si="711"/>
        <v>High</v>
      </c>
      <c r="Q4601" t="str">
        <f t="shared" si="712"/>
        <v>High</v>
      </c>
      <c r="R4601" t="s">
        <v>3317</v>
      </c>
      <c r="S4601" s="4">
        <f t="shared" ca="1" si="713"/>
        <v>-527</v>
      </c>
      <c r="T4601">
        <f t="shared" si="714"/>
        <v>3</v>
      </c>
      <c r="U4601">
        <f t="shared" si="715"/>
        <v>3</v>
      </c>
      <c r="V4601">
        <f t="shared" si="716"/>
        <v>3</v>
      </c>
      <c r="W4601">
        <f t="shared" si="717"/>
        <v>1</v>
      </c>
      <c r="X4601">
        <f t="shared" si="718"/>
        <v>2.8000000000000003</v>
      </c>
      <c r="Y4601" t="str">
        <f t="shared" si="719"/>
        <v>Move Immediately</v>
      </c>
    </row>
    <row r="4602" spans="1:25" x14ac:dyDescent="0.35">
      <c r="A4602" t="s">
        <v>41</v>
      </c>
      <c r="B4602" t="s">
        <v>54</v>
      </c>
      <c r="C4602" t="s">
        <v>87</v>
      </c>
      <c r="D4602" t="s">
        <v>2262</v>
      </c>
      <c r="E4602">
        <v>80728704</v>
      </c>
      <c r="F4602" t="s">
        <v>2885</v>
      </c>
      <c r="G4602" s="3">
        <v>46089</v>
      </c>
      <c r="H4602">
        <v>36</v>
      </c>
      <c r="I4602">
        <v>0</v>
      </c>
      <c r="J4602">
        <v>38</v>
      </c>
      <c r="K4602" s="4">
        <v>7229.5</v>
      </c>
      <c r="L4602" s="4">
        <f>0</f>
        <v>0</v>
      </c>
      <c r="M4602" s="4">
        <f>999</f>
        <v>999</v>
      </c>
      <c r="N4602" t="s">
        <v>19</v>
      </c>
      <c r="O4602" t="str">
        <f t="shared" si="710"/>
        <v>High</v>
      </c>
      <c r="P4602" t="str">
        <f t="shared" si="711"/>
        <v>High</v>
      </c>
      <c r="Q4602" t="str">
        <f t="shared" si="712"/>
        <v>High</v>
      </c>
      <c r="R4602" t="s">
        <v>3317</v>
      </c>
      <c r="S4602" s="4">
        <f t="shared" ca="1" si="713"/>
        <v>-108</v>
      </c>
      <c r="T4602">
        <f t="shared" si="714"/>
        <v>3</v>
      </c>
      <c r="U4602">
        <f t="shared" si="715"/>
        <v>3</v>
      </c>
      <c r="V4602">
        <f t="shared" si="716"/>
        <v>3</v>
      </c>
      <c r="W4602">
        <f t="shared" si="717"/>
        <v>1</v>
      </c>
      <c r="X4602">
        <f t="shared" si="718"/>
        <v>2.8000000000000003</v>
      </c>
      <c r="Y4602" t="str">
        <f t="shared" si="719"/>
        <v>Move Immediately</v>
      </c>
    </row>
    <row r="4603" spans="1:25" x14ac:dyDescent="0.35">
      <c r="A4603" t="s">
        <v>99</v>
      </c>
      <c r="B4603" t="s">
        <v>100</v>
      </c>
      <c r="C4603" t="s">
        <v>101</v>
      </c>
      <c r="D4603" t="s">
        <v>1732</v>
      </c>
      <c r="E4603">
        <v>80736891</v>
      </c>
      <c r="F4603" t="s">
        <v>2886</v>
      </c>
      <c r="G4603" s="3">
        <v>45411</v>
      </c>
      <c r="H4603">
        <v>18</v>
      </c>
      <c r="I4603">
        <v>0</v>
      </c>
      <c r="J4603">
        <v>18</v>
      </c>
      <c r="K4603" s="4">
        <v>4507.74</v>
      </c>
      <c r="L4603" s="4">
        <f>0</f>
        <v>0</v>
      </c>
      <c r="M4603" s="4">
        <f>999</f>
        <v>999</v>
      </c>
      <c r="N4603" t="s">
        <v>19</v>
      </c>
      <c r="O4603" t="str">
        <f t="shared" si="710"/>
        <v>High</v>
      </c>
      <c r="P4603" t="str">
        <f t="shared" si="711"/>
        <v>High</v>
      </c>
      <c r="Q4603" t="str">
        <f t="shared" si="712"/>
        <v>High</v>
      </c>
      <c r="R4603" t="s">
        <v>3317</v>
      </c>
      <c r="S4603" s="4">
        <f t="shared" ca="1" si="713"/>
        <v>-786</v>
      </c>
      <c r="T4603">
        <f t="shared" si="714"/>
        <v>3</v>
      </c>
      <c r="U4603">
        <f t="shared" si="715"/>
        <v>3</v>
      </c>
      <c r="V4603">
        <f t="shared" si="716"/>
        <v>3</v>
      </c>
      <c r="W4603">
        <f t="shared" si="717"/>
        <v>1</v>
      </c>
      <c r="X4603">
        <f t="shared" si="718"/>
        <v>2.8000000000000003</v>
      </c>
      <c r="Y4603" t="str">
        <f t="shared" si="719"/>
        <v>Move Immediately</v>
      </c>
    </row>
    <row r="4604" spans="1:25" x14ac:dyDescent="0.35">
      <c r="A4604" t="s">
        <v>99</v>
      </c>
      <c r="B4604" t="s">
        <v>100</v>
      </c>
      <c r="C4604" t="s">
        <v>101</v>
      </c>
      <c r="D4604" t="s">
        <v>1732</v>
      </c>
      <c r="E4604">
        <v>80736891</v>
      </c>
      <c r="F4604" t="s">
        <v>2886</v>
      </c>
      <c r="G4604" s="3">
        <v>45435</v>
      </c>
      <c r="H4604">
        <v>18</v>
      </c>
      <c r="I4604">
        <v>0</v>
      </c>
      <c r="J4604">
        <v>32</v>
      </c>
      <c r="K4604" s="4">
        <v>8013.76</v>
      </c>
      <c r="L4604" s="4">
        <f>0</f>
        <v>0</v>
      </c>
      <c r="M4604" s="4">
        <f>999</f>
        <v>999</v>
      </c>
      <c r="N4604" t="s">
        <v>19</v>
      </c>
      <c r="O4604" t="str">
        <f t="shared" si="710"/>
        <v>High</v>
      </c>
      <c r="P4604" t="str">
        <f t="shared" si="711"/>
        <v>High</v>
      </c>
      <c r="Q4604" t="str">
        <f t="shared" si="712"/>
        <v>High</v>
      </c>
      <c r="R4604" t="s">
        <v>3317</v>
      </c>
      <c r="S4604" s="4">
        <f t="shared" ca="1" si="713"/>
        <v>-762</v>
      </c>
      <c r="T4604">
        <f t="shared" si="714"/>
        <v>3</v>
      </c>
      <c r="U4604">
        <f t="shared" si="715"/>
        <v>3</v>
      </c>
      <c r="V4604">
        <f t="shared" si="716"/>
        <v>3</v>
      </c>
      <c r="W4604">
        <f t="shared" si="717"/>
        <v>1</v>
      </c>
      <c r="X4604">
        <f t="shared" si="718"/>
        <v>2.8000000000000003</v>
      </c>
      <c r="Y4604" t="str">
        <f t="shared" si="719"/>
        <v>Move Immediately</v>
      </c>
    </row>
    <row r="4605" spans="1:25" x14ac:dyDescent="0.35">
      <c r="A4605" t="s">
        <v>41</v>
      </c>
      <c r="B4605" t="s">
        <v>42</v>
      </c>
      <c r="C4605" t="s">
        <v>365</v>
      </c>
      <c r="D4605" t="s">
        <v>396</v>
      </c>
      <c r="E4605">
        <v>80722729</v>
      </c>
      <c r="F4605" t="s">
        <v>2887</v>
      </c>
      <c r="G4605" s="3">
        <v>46028</v>
      </c>
      <c r="H4605">
        <v>36</v>
      </c>
      <c r="I4605">
        <v>0</v>
      </c>
      <c r="J4605">
        <v>10</v>
      </c>
      <c r="K4605" s="4">
        <v>6634.1</v>
      </c>
      <c r="L4605" s="4">
        <f>0</f>
        <v>0</v>
      </c>
      <c r="M4605" s="4">
        <f>999</f>
        <v>999</v>
      </c>
      <c r="N4605" t="s">
        <v>19</v>
      </c>
      <c r="O4605" t="str">
        <f t="shared" si="710"/>
        <v>High</v>
      </c>
      <c r="P4605" t="str">
        <f t="shared" si="711"/>
        <v>High</v>
      </c>
      <c r="Q4605" t="str">
        <f t="shared" si="712"/>
        <v>High</v>
      </c>
      <c r="R4605" t="s">
        <v>3317</v>
      </c>
      <c r="S4605" s="4">
        <f t="shared" ca="1" si="713"/>
        <v>-169</v>
      </c>
      <c r="T4605">
        <f t="shared" si="714"/>
        <v>3</v>
      </c>
      <c r="U4605">
        <f t="shared" si="715"/>
        <v>3</v>
      </c>
      <c r="V4605">
        <f t="shared" si="716"/>
        <v>3</v>
      </c>
      <c r="W4605">
        <f t="shared" si="717"/>
        <v>1</v>
      </c>
      <c r="X4605">
        <f t="shared" si="718"/>
        <v>2.8000000000000003</v>
      </c>
      <c r="Y4605" t="str">
        <f t="shared" si="719"/>
        <v>Move Immediately</v>
      </c>
    </row>
    <row r="4606" spans="1:25" x14ac:dyDescent="0.35">
      <c r="A4606" t="s">
        <v>41</v>
      </c>
      <c r="B4606" t="s">
        <v>42</v>
      </c>
      <c r="C4606" t="s">
        <v>43</v>
      </c>
      <c r="D4606" t="s">
        <v>2888</v>
      </c>
      <c r="E4606">
        <v>80738967</v>
      </c>
      <c r="F4606" t="s">
        <v>2889</v>
      </c>
      <c r="G4606" s="3">
        <v>46275</v>
      </c>
      <c r="H4606">
        <v>36</v>
      </c>
      <c r="I4606">
        <v>8</v>
      </c>
      <c r="J4606">
        <v>3</v>
      </c>
      <c r="K4606" s="4">
        <v>801.15</v>
      </c>
      <c r="L4606" s="4">
        <f>0</f>
        <v>0</v>
      </c>
      <c r="M4606" s="4">
        <f>999</f>
        <v>999</v>
      </c>
      <c r="N4606" t="s">
        <v>19</v>
      </c>
      <c r="O4606" t="str">
        <f t="shared" si="710"/>
        <v>High</v>
      </c>
      <c r="P4606" t="str">
        <f t="shared" si="711"/>
        <v>High</v>
      </c>
      <c r="Q4606" t="str">
        <f t="shared" si="712"/>
        <v>High</v>
      </c>
      <c r="R4606" t="s">
        <v>3317</v>
      </c>
      <c r="S4606" s="4">
        <f t="shared" ca="1" si="713"/>
        <v>78</v>
      </c>
      <c r="T4606">
        <f t="shared" si="714"/>
        <v>3</v>
      </c>
      <c r="U4606">
        <f t="shared" si="715"/>
        <v>3</v>
      </c>
      <c r="V4606">
        <f t="shared" si="716"/>
        <v>3</v>
      </c>
      <c r="W4606">
        <f t="shared" si="717"/>
        <v>1</v>
      </c>
      <c r="X4606">
        <f t="shared" si="718"/>
        <v>2.8000000000000003</v>
      </c>
      <c r="Y4606" t="str">
        <f t="shared" si="719"/>
        <v>Move Immediately</v>
      </c>
    </row>
    <row r="4607" spans="1:25" x14ac:dyDescent="0.35">
      <c r="A4607" t="s">
        <v>179</v>
      </c>
      <c r="B4607" t="s">
        <v>195</v>
      </c>
      <c r="C4607" t="s">
        <v>199</v>
      </c>
      <c r="D4607" t="s">
        <v>2890</v>
      </c>
      <c r="E4607">
        <v>80725660</v>
      </c>
      <c r="F4607" t="s">
        <v>2891</v>
      </c>
      <c r="G4607" s="3">
        <v>46248</v>
      </c>
      <c r="H4607">
        <v>16</v>
      </c>
      <c r="I4607">
        <v>12</v>
      </c>
      <c r="J4607">
        <v>6</v>
      </c>
      <c r="K4607" s="4">
        <v>9973.02</v>
      </c>
      <c r="L4607" s="4">
        <f>0</f>
        <v>0</v>
      </c>
      <c r="M4607" s="4">
        <f>999</f>
        <v>999</v>
      </c>
      <c r="N4607" t="s">
        <v>19</v>
      </c>
      <c r="O4607" t="str">
        <f t="shared" si="710"/>
        <v>High</v>
      </c>
      <c r="P4607" t="str">
        <f t="shared" si="711"/>
        <v>High</v>
      </c>
      <c r="Q4607" t="str">
        <f t="shared" si="712"/>
        <v>High</v>
      </c>
      <c r="R4607" t="s">
        <v>3317</v>
      </c>
      <c r="S4607" s="4">
        <f t="shared" ca="1" si="713"/>
        <v>51</v>
      </c>
      <c r="T4607">
        <f t="shared" si="714"/>
        <v>3</v>
      </c>
      <c r="U4607">
        <f t="shared" si="715"/>
        <v>3</v>
      </c>
      <c r="V4607">
        <f t="shared" si="716"/>
        <v>3</v>
      </c>
      <c r="W4607">
        <f t="shared" si="717"/>
        <v>1</v>
      </c>
      <c r="X4607">
        <f t="shared" si="718"/>
        <v>2.8000000000000003</v>
      </c>
      <c r="Y4607" t="str">
        <f t="shared" si="719"/>
        <v>Move Immediately</v>
      </c>
    </row>
    <row r="4608" spans="1:25" x14ac:dyDescent="0.35">
      <c r="A4608" t="s">
        <v>41</v>
      </c>
      <c r="B4608" t="s">
        <v>80</v>
      </c>
      <c r="C4608" t="s">
        <v>81</v>
      </c>
      <c r="D4608" t="s">
        <v>1291</v>
      </c>
      <c r="E4608">
        <v>80731207</v>
      </c>
      <c r="F4608" t="s">
        <v>2892</v>
      </c>
      <c r="G4608" s="3">
        <v>46040</v>
      </c>
      <c r="H4608">
        <v>36</v>
      </c>
      <c r="I4608">
        <v>0</v>
      </c>
      <c r="J4608">
        <v>4</v>
      </c>
      <c r="K4608" s="4">
        <v>1327.96</v>
      </c>
      <c r="L4608" s="4">
        <f>0</f>
        <v>0</v>
      </c>
      <c r="M4608" s="4">
        <f>999</f>
        <v>999</v>
      </c>
      <c r="N4608" t="s">
        <v>19</v>
      </c>
      <c r="O4608" t="str">
        <f t="shared" si="710"/>
        <v>High</v>
      </c>
      <c r="P4608" t="str">
        <f t="shared" si="711"/>
        <v>High</v>
      </c>
      <c r="Q4608" t="str">
        <f t="shared" si="712"/>
        <v>High</v>
      </c>
      <c r="R4608" t="s">
        <v>3317</v>
      </c>
      <c r="S4608" s="4">
        <f t="shared" ca="1" si="713"/>
        <v>-157</v>
      </c>
      <c r="T4608">
        <f t="shared" si="714"/>
        <v>3</v>
      </c>
      <c r="U4608">
        <f t="shared" si="715"/>
        <v>3</v>
      </c>
      <c r="V4608">
        <f t="shared" si="716"/>
        <v>3</v>
      </c>
      <c r="W4608">
        <f t="shared" si="717"/>
        <v>1</v>
      </c>
      <c r="X4608">
        <f t="shared" si="718"/>
        <v>2.8000000000000003</v>
      </c>
      <c r="Y4608" t="str">
        <f t="shared" si="719"/>
        <v>Move Immediately</v>
      </c>
    </row>
    <row r="4609" spans="1:25" x14ac:dyDescent="0.35">
      <c r="A4609" t="s">
        <v>41</v>
      </c>
      <c r="B4609" t="s">
        <v>54</v>
      </c>
      <c r="C4609" t="s">
        <v>87</v>
      </c>
      <c r="D4609" t="s">
        <v>282</v>
      </c>
      <c r="E4609">
        <v>80751145</v>
      </c>
      <c r="F4609" t="s">
        <v>2893</v>
      </c>
      <c r="G4609" s="3">
        <v>46112</v>
      </c>
      <c r="H4609">
        <v>36</v>
      </c>
      <c r="I4609">
        <v>0</v>
      </c>
      <c r="J4609">
        <v>9</v>
      </c>
      <c r="K4609" s="4">
        <v>7474.86</v>
      </c>
      <c r="L4609" s="4">
        <f>0</f>
        <v>0</v>
      </c>
      <c r="M4609" s="4">
        <f>999</f>
        <v>999</v>
      </c>
      <c r="N4609" t="s">
        <v>19</v>
      </c>
      <c r="O4609" t="str">
        <f t="shared" si="710"/>
        <v>High</v>
      </c>
      <c r="P4609" t="str">
        <f t="shared" si="711"/>
        <v>High</v>
      </c>
      <c r="Q4609" t="str">
        <f t="shared" si="712"/>
        <v>High</v>
      </c>
      <c r="R4609" t="s">
        <v>3317</v>
      </c>
      <c r="S4609" s="4">
        <f t="shared" ca="1" si="713"/>
        <v>-85</v>
      </c>
      <c r="T4609">
        <f t="shared" si="714"/>
        <v>3</v>
      </c>
      <c r="U4609">
        <f t="shared" si="715"/>
        <v>3</v>
      </c>
      <c r="V4609">
        <f t="shared" si="716"/>
        <v>3</v>
      </c>
      <c r="W4609">
        <f t="shared" si="717"/>
        <v>1</v>
      </c>
      <c r="X4609">
        <f t="shared" si="718"/>
        <v>2.8000000000000003</v>
      </c>
      <c r="Y4609" t="str">
        <f t="shared" si="719"/>
        <v>Move Immediately</v>
      </c>
    </row>
    <row r="4610" spans="1:25" x14ac:dyDescent="0.35">
      <c r="A4610" t="s">
        <v>210</v>
      </c>
      <c r="B4610" t="s">
        <v>211</v>
      </c>
      <c r="C4610" t="s">
        <v>273</v>
      </c>
      <c r="D4610" t="s">
        <v>274</v>
      </c>
      <c r="E4610">
        <v>80739790</v>
      </c>
      <c r="F4610" t="s">
        <v>2894</v>
      </c>
      <c r="G4610" s="3">
        <v>46814</v>
      </c>
      <c r="H4610">
        <v>60</v>
      </c>
      <c r="I4610">
        <v>35</v>
      </c>
      <c r="J4610">
        <v>13</v>
      </c>
      <c r="K4610" s="4">
        <v>5462.6</v>
      </c>
      <c r="L4610" s="4">
        <f>0</f>
        <v>0</v>
      </c>
      <c r="M4610" s="4">
        <f>999</f>
        <v>999</v>
      </c>
      <c r="N4610" t="s">
        <v>19</v>
      </c>
      <c r="O4610" t="str">
        <f t="shared" si="710"/>
        <v>Medium</v>
      </c>
      <c r="P4610" t="str">
        <f t="shared" si="711"/>
        <v>High</v>
      </c>
      <c r="Q4610" t="str">
        <f t="shared" si="712"/>
        <v>High</v>
      </c>
      <c r="R4610" t="s">
        <v>3317</v>
      </c>
      <c r="S4610" s="4">
        <f t="shared" ca="1" si="713"/>
        <v>617</v>
      </c>
      <c r="T4610">
        <f t="shared" si="714"/>
        <v>2</v>
      </c>
      <c r="U4610">
        <f t="shared" si="715"/>
        <v>3</v>
      </c>
      <c r="V4610">
        <f t="shared" si="716"/>
        <v>3</v>
      </c>
      <c r="W4610">
        <f t="shared" si="717"/>
        <v>1</v>
      </c>
      <c r="X4610">
        <f t="shared" si="718"/>
        <v>2.4</v>
      </c>
      <c r="Y4610" t="str">
        <f t="shared" si="719"/>
        <v>High Priority</v>
      </c>
    </row>
    <row r="4611" spans="1:25" x14ac:dyDescent="0.35">
      <c r="A4611" t="s">
        <v>210</v>
      </c>
      <c r="B4611" t="s">
        <v>211</v>
      </c>
      <c r="C4611" t="s">
        <v>273</v>
      </c>
      <c r="D4611" t="s">
        <v>274</v>
      </c>
      <c r="E4611">
        <v>80739790</v>
      </c>
      <c r="F4611" t="s">
        <v>2894</v>
      </c>
      <c r="G4611" s="3">
        <v>47023</v>
      </c>
      <c r="H4611">
        <v>60</v>
      </c>
      <c r="I4611">
        <v>46</v>
      </c>
      <c r="J4611">
        <v>16</v>
      </c>
      <c r="K4611" s="4">
        <v>6723.2</v>
      </c>
      <c r="L4611" s="4">
        <f>0</f>
        <v>0</v>
      </c>
      <c r="M4611" s="4">
        <f>999</f>
        <v>999</v>
      </c>
      <c r="N4611" t="s">
        <v>19</v>
      </c>
      <c r="O4611" t="str">
        <f t="shared" ref="O4611:O4674" si="720">IF(I4611&lt;20,"High",IF(I4611&lt;40,"Medium","Low"))</f>
        <v>Low</v>
      </c>
      <c r="P4611" t="str">
        <f t="shared" ref="P4611:P4674" si="721">IF(M4611&gt;8,"High",IF(M4611&gt;4,"Medium","Low"))</f>
        <v>High</v>
      </c>
      <c r="Q4611" t="str">
        <f t="shared" ref="Q4611:Q4674" si="722">IF(L4611&lt;5,"High",IF(L4611&lt;15,"Medium","Low"))</f>
        <v>High</v>
      </c>
      <c r="R4611" t="s">
        <v>3317</v>
      </c>
      <c r="S4611" s="4">
        <f t="shared" ref="S4611:S4674" ca="1" si="723">G4611-TODAY()</f>
        <v>826</v>
      </c>
      <c r="T4611">
        <f t="shared" ref="T4611:T4674" si="724">IF(O4611="High",3,IF(O4611="Medium",2,1))</f>
        <v>1</v>
      </c>
      <c r="U4611">
        <f t="shared" ref="U4611:U4674" si="725">IF(P4611="High",3,IF(P4611="Medium",2,1))</f>
        <v>3</v>
      </c>
      <c r="V4611">
        <f t="shared" ref="V4611:V4674" si="726">IF(Q4611="High",3,IF(Q4611="Medium",2,1))</f>
        <v>3</v>
      </c>
      <c r="W4611">
        <f t="shared" ref="W4611:W4674" si="727">IF(R4611="High",3,IF(R4611="Medium",2,1))</f>
        <v>1</v>
      </c>
      <c r="X4611">
        <f t="shared" ref="X4611:X4674" si="728">(0.4*T4611)+(0.3*U4611)+(0.2*V4611)+(0.1*W4611)</f>
        <v>2</v>
      </c>
      <c r="Y4611" t="str">
        <f t="shared" ref="Y4611:Y4674" si="729">IF(X4611&gt;=2.7,"Move Immediately",IF(X4611&gt;=2.2,"High Priority",IF(X4611&gt;=1.7,"Monitor","Healthy")))</f>
        <v>Monitor</v>
      </c>
    </row>
    <row r="4612" spans="1:25" x14ac:dyDescent="0.35">
      <c r="A4612" t="s">
        <v>99</v>
      </c>
      <c r="B4612" t="s">
        <v>100</v>
      </c>
      <c r="C4612" t="s">
        <v>101</v>
      </c>
      <c r="D4612" t="s">
        <v>1124</v>
      </c>
      <c r="E4612">
        <v>80739421</v>
      </c>
      <c r="F4612" t="s">
        <v>2895</v>
      </c>
      <c r="G4612" s="3">
        <v>46224</v>
      </c>
      <c r="H4612">
        <v>18</v>
      </c>
      <c r="I4612">
        <v>6</v>
      </c>
      <c r="J4612">
        <v>125</v>
      </c>
      <c r="K4612" s="4">
        <v>31198.75</v>
      </c>
      <c r="L4612" s="4">
        <v>3.5714285714285716</v>
      </c>
      <c r="M4612" s="4">
        <v>35</v>
      </c>
      <c r="N4612" t="s">
        <v>19</v>
      </c>
      <c r="O4612" t="str">
        <f t="shared" si="720"/>
        <v>High</v>
      </c>
      <c r="P4612" t="str">
        <f t="shared" si="721"/>
        <v>High</v>
      </c>
      <c r="Q4612" t="str">
        <f t="shared" si="722"/>
        <v>High</v>
      </c>
      <c r="R4612" t="s">
        <v>3317</v>
      </c>
      <c r="S4612" s="4">
        <f t="shared" ca="1" si="723"/>
        <v>27</v>
      </c>
      <c r="T4612">
        <f t="shared" si="724"/>
        <v>3</v>
      </c>
      <c r="U4612">
        <f t="shared" si="725"/>
        <v>3</v>
      </c>
      <c r="V4612">
        <f t="shared" si="726"/>
        <v>3</v>
      </c>
      <c r="W4612">
        <f t="shared" si="727"/>
        <v>1</v>
      </c>
      <c r="X4612">
        <f t="shared" si="728"/>
        <v>2.8000000000000003</v>
      </c>
      <c r="Y4612" t="str">
        <f t="shared" si="729"/>
        <v>Move Immediately</v>
      </c>
    </row>
    <row r="4613" spans="1:25" x14ac:dyDescent="0.35">
      <c r="A4613" t="s">
        <v>46</v>
      </c>
      <c r="B4613" t="s">
        <v>129</v>
      </c>
      <c r="C4613" t="s">
        <v>665</v>
      </c>
      <c r="D4613" t="s">
        <v>2480</v>
      </c>
      <c r="E4613">
        <v>80753180</v>
      </c>
      <c r="F4613" t="s">
        <v>2896</v>
      </c>
      <c r="G4613" s="3">
        <v>47228</v>
      </c>
      <c r="H4613">
        <v>36</v>
      </c>
      <c r="I4613">
        <v>96</v>
      </c>
      <c r="J4613">
        <v>1082</v>
      </c>
      <c r="K4613" s="4">
        <v>91807.7</v>
      </c>
      <c r="L4613" s="4">
        <v>4855.8571428571431</v>
      </c>
      <c r="M4613" s="4">
        <v>0.22282368862345914</v>
      </c>
      <c r="N4613" t="s">
        <v>25</v>
      </c>
      <c r="O4613" t="str">
        <f t="shared" si="720"/>
        <v>Low</v>
      </c>
      <c r="P4613" t="str">
        <f t="shared" si="721"/>
        <v>Low</v>
      </c>
      <c r="Q4613" t="str">
        <f t="shared" si="722"/>
        <v>Low</v>
      </c>
      <c r="R4613" t="s">
        <v>3310</v>
      </c>
      <c r="S4613" s="4">
        <f t="shared" ca="1" si="723"/>
        <v>1031</v>
      </c>
      <c r="T4613">
        <f t="shared" si="724"/>
        <v>1</v>
      </c>
      <c r="U4613">
        <f t="shared" si="725"/>
        <v>1</v>
      </c>
      <c r="V4613">
        <f t="shared" si="726"/>
        <v>1</v>
      </c>
      <c r="W4613">
        <f t="shared" si="727"/>
        <v>2</v>
      </c>
      <c r="X4613">
        <f t="shared" si="728"/>
        <v>1.0999999999999999</v>
      </c>
      <c r="Y4613" t="str">
        <f t="shared" si="729"/>
        <v>Healthy</v>
      </c>
    </row>
    <row r="4614" spans="1:25" x14ac:dyDescent="0.35">
      <c r="A4614" t="s">
        <v>99</v>
      </c>
      <c r="B4614" t="s">
        <v>100</v>
      </c>
      <c r="C4614" t="s">
        <v>101</v>
      </c>
      <c r="D4614" t="s">
        <v>1124</v>
      </c>
      <c r="E4614">
        <v>80739421</v>
      </c>
      <c r="F4614" t="s">
        <v>2895</v>
      </c>
      <c r="G4614" s="3">
        <v>45514</v>
      </c>
      <c r="H4614">
        <v>18</v>
      </c>
      <c r="I4614">
        <v>0</v>
      </c>
      <c r="J4614">
        <v>10</v>
      </c>
      <c r="K4614" s="4">
        <v>2495.9</v>
      </c>
      <c r="L4614" s="4">
        <v>3.5714285714285716</v>
      </c>
      <c r="M4614" s="4">
        <v>2.8</v>
      </c>
      <c r="N4614" t="s">
        <v>25</v>
      </c>
      <c r="O4614" t="str">
        <f t="shared" si="720"/>
        <v>High</v>
      </c>
      <c r="P4614" t="str">
        <f t="shared" si="721"/>
        <v>Low</v>
      </c>
      <c r="Q4614" t="str">
        <f t="shared" si="722"/>
        <v>High</v>
      </c>
      <c r="R4614" t="s">
        <v>3317</v>
      </c>
      <c r="S4614" s="4">
        <f t="shared" ca="1" si="723"/>
        <v>-683</v>
      </c>
      <c r="T4614">
        <f t="shared" si="724"/>
        <v>3</v>
      </c>
      <c r="U4614">
        <f t="shared" si="725"/>
        <v>1</v>
      </c>
      <c r="V4614">
        <f t="shared" si="726"/>
        <v>3</v>
      </c>
      <c r="W4614">
        <f t="shared" si="727"/>
        <v>1</v>
      </c>
      <c r="X4614">
        <f t="shared" si="728"/>
        <v>2.2000000000000006</v>
      </c>
      <c r="Y4614" t="str">
        <f t="shared" si="729"/>
        <v>High Priority</v>
      </c>
    </row>
    <row r="4615" spans="1:25" x14ac:dyDescent="0.35">
      <c r="A4615" t="s">
        <v>99</v>
      </c>
      <c r="B4615" t="s">
        <v>100</v>
      </c>
      <c r="C4615" t="s">
        <v>136</v>
      </c>
      <c r="D4615" t="s">
        <v>1572</v>
      </c>
      <c r="E4615">
        <v>80739911</v>
      </c>
      <c r="F4615" t="s">
        <v>2897</v>
      </c>
      <c r="G4615" s="3">
        <v>46720</v>
      </c>
      <c r="H4615">
        <v>36</v>
      </c>
      <c r="I4615">
        <v>49</v>
      </c>
      <c r="J4615">
        <v>6</v>
      </c>
      <c r="K4615" s="4">
        <v>1367.94</v>
      </c>
      <c r="L4615" s="4">
        <v>1.7142857142857142</v>
      </c>
      <c r="M4615" s="4">
        <v>3.5</v>
      </c>
      <c r="N4615" t="s">
        <v>25</v>
      </c>
      <c r="O4615" t="str">
        <f t="shared" si="720"/>
        <v>Low</v>
      </c>
      <c r="P4615" t="str">
        <f t="shared" si="721"/>
        <v>Low</v>
      </c>
      <c r="Q4615" t="str">
        <f t="shared" si="722"/>
        <v>High</v>
      </c>
      <c r="R4615" t="s">
        <v>3317</v>
      </c>
      <c r="S4615" s="4">
        <f t="shared" ca="1" si="723"/>
        <v>523</v>
      </c>
      <c r="T4615">
        <f t="shared" si="724"/>
        <v>1</v>
      </c>
      <c r="U4615">
        <f t="shared" si="725"/>
        <v>1</v>
      </c>
      <c r="V4615">
        <f t="shared" si="726"/>
        <v>3</v>
      </c>
      <c r="W4615">
        <f t="shared" si="727"/>
        <v>1</v>
      </c>
      <c r="X4615">
        <f t="shared" si="728"/>
        <v>1.4000000000000001</v>
      </c>
      <c r="Y4615" t="str">
        <f t="shared" si="729"/>
        <v>Healthy</v>
      </c>
    </row>
    <row r="4616" spans="1:25" x14ac:dyDescent="0.35">
      <c r="A4616" t="s">
        <v>99</v>
      </c>
      <c r="B4616" t="s">
        <v>100</v>
      </c>
      <c r="C4616" t="s">
        <v>136</v>
      </c>
      <c r="D4616" t="s">
        <v>1572</v>
      </c>
      <c r="E4616">
        <v>80739911</v>
      </c>
      <c r="F4616" t="s">
        <v>2897</v>
      </c>
      <c r="G4616" s="3">
        <v>46748</v>
      </c>
      <c r="H4616">
        <v>36</v>
      </c>
      <c r="I4616">
        <v>51</v>
      </c>
      <c r="J4616">
        <v>1</v>
      </c>
      <c r="K4616" s="4">
        <v>227.99</v>
      </c>
      <c r="L4616" s="4">
        <v>1.7142857142857142</v>
      </c>
      <c r="M4616" s="4">
        <v>0.58333333333333337</v>
      </c>
      <c r="N4616" t="s">
        <v>25</v>
      </c>
      <c r="O4616" t="str">
        <f t="shared" si="720"/>
        <v>Low</v>
      </c>
      <c r="P4616" t="str">
        <f t="shared" si="721"/>
        <v>Low</v>
      </c>
      <c r="Q4616" t="str">
        <f t="shared" si="722"/>
        <v>High</v>
      </c>
      <c r="R4616" t="s">
        <v>3317</v>
      </c>
      <c r="S4616" s="4">
        <f t="shared" ca="1" si="723"/>
        <v>551</v>
      </c>
      <c r="T4616">
        <f t="shared" si="724"/>
        <v>1</v>
      </c>
      <c r="U4616">
        <f t="shared" si="725"/>
        <v>1</v>
      </c>
      <c r="V4616">
        <f t="shared" si="726"/>
        <v>3</v>
      </c>
      <c r="W4616">
        <f t="shared" si="727"/>
        <v>1</v>
      </c>
      <c r="X4616">
        <f t="shared" si="728"/>
        <v>1.4000000000000001</v>
      </c>
      <c r="Y4616" t="str">
        <f t="shared" si="729"/>
        <v>Healthy</v>
      </c>
    </row>
    <row r="4617" spans="1:25" x14ac:dyDescent="0.35">
      <c r="A4617" t="s">
        <v>99</v>
      </c>
      <c r="B4617" t="s">
        <v>100</v>
      </c>
      <c r="C4617" t="s">
        <v>136</v>
      </c>
      <c r="D4617" t="s">
        <v>1572</v>
      </c>
      <c r="E4617">
        <v>80739911</v>
      </c>
      <c r="F4617" t="s">
        <v>2897</v>
      </c>
      <c r="G4617" s="3">
        <v>46610</v>
      </c>
      <c r="H4617">
        <v>36</v>
      </c>
      <c r="I4617">
        <v>39</v>
      </c>
      <c r="J4617">
        <v>5</v>
      </c>
      <c r="K4617" s="4">
        <v>1139.95</v>
      </c>
      <c r="L4617" s="4">
        <v>1.7142857142857142</v>
      </c>
      <c r="M4617" s="4">
        <v>2.916666666666667</v>
      </c>
      <c r="N4617" t="s">
        <v>25</v>
      </c>
      <c r="O4617" t="str">
        <f t="shared" si="720"/>
        <v>Medium</v>
      </c>
      <c r="P4617" t="str">
        <f t="shared" si="721"/>
        <v>Low</v>
      </c>
      <c r="Q4617" t="str">
        <f t="shared" si="722"/>
        <v>High</v>
      </c>
      <c r="R4617" t="s">
        <v>3317</v>
      </c>
      <c r="S4617" s="4">
        <f t="shared" ca="1" si="723"/>
        <v>413</v>
      </c>
      <c r="T4617">
        <f t="shared" si="724"/>
        <v>2</v>
      </c>
      <c r="U4617">
        <f t="shared" si="725"/>
        <v>1</v>
      </c>
      <c r="V4617">
        <f t="shared" si="726"/>
        <v>3</v>
      </c>
      <c r="W4617">
        <f t="shared" si="727"/>
        <v>1</v>
      </c>
      <c r="X4617">
        <f t="shared" si="728"/>
        <v>1.8000000000000003</v>
      </c>
      <c r="Y4617" t="str">
        <f t="shared" si="729"/>
        <v>Monitor</v>
      </c>
    </row>
    <row r="4618" spans="1:25" x14ac:dyDescent="0.35">
      <c r="A4618" t="s">
        <v>99</v>
      </c>
      <c r="B4618" t="s">
        <v>100</v>
      </c>
      <c r="C4618" t="s">
        <v>136</v>
      </c>
      <c r="D4618" t="s">
        <v>1572</v>
      </c>
      <c r="E4618">
        <v>80739911</v>
      </c>
      <c r="F4618" t="s">
        <v>2897</v>
      </c>
      <c r="G4618" s="3">
        <v>46647</v>
      </c>
      <c r="H4618">
        <v>36</v>
      </c>
      <c r="I4618">
        <v>42</v>
      </c>
      <c r="J4618">
        <v>3</v>
      </c>
      <c r="K4618" s="4">
        <v>683.97</v>
      </c>
      <c r="L4618" s="4">
        <v>1.7142857142857142</v>
      </c>
      <c r="M4618" s="4">
        <v>1.75</v>
      </c>
      <c r="N4618" t="s">
        <v>25</v>
      </c>
      <c r="O4618" t="str">
        <f t="shared" si="720"/>
        <v>Low</v>
      </c>
      <c r="P4618" t="str">
        <f t="shared" si="721"/>
        <v>Low</v>
      </c>
      <c r="Q4618" t="str">
        <f t="shared" si="722"/>
        <v>High</v>
      </c>
      <c r="R4618" t="s">
        <v>3317</v>
      </c>
      <c r="S4618" s="4">
        <f t="shared" ca="1" si="723"/>
        <v>450</v>
      </c>
      <c r="T4618">
        <f t="shared" si="724"/>
        <v>1</v>
      </c>
      <c r="U4618">
        <f t="shared" si="725"/>
        <v>1</v>
      </c>
      <c r="V4618">
        <f t="shared" si="726"/>
        <v>3</v>
      </c>
      <c r="W4618">
        <f t="shared" si="727"/>
        <v>1</v>
      </c>
      <c r="X4618">
        <f t="shared" si="728"/>
        <v>1.4000000000000001</v>
      </c>
      <c r="Y4618" t="str">
        <f t="shared" si="729"/>
        <v>Healthy</v>
      </c>
    </row>
    <row r="4619" spans="1:25" x14ac:dyDescent="0.35">
      <c r="A4619" t="s">
        <v>41</v>
      </c>
      <c r="B4619" t="s">
        <v>54</v>
      </c>
      <c r="C4619" t="s">
        <v>87</v>
      </c>
      <c r="D4619" t="s">
        <v>335</v>
      </c>
      <c r="E4619">
        <v>80751148</v>
      </c>
      <c r="F4619" t="s">
        <v>2898</v>
      </c>
      <c r="G4619" s="3">
        <v>46180</v>
      </c>
      <c r="H4619">
        <v>36</v>
      </c>
      <c r="I4619">
        <v>0</v>
      </c>
      <c r="J4619">
        <v>32</v>
      </c>
      <c r="K4619" s="4">
        <v>11924.48</v>
      </c>
      <c r="L4619" s="4">
        <v>13.428571428571429</v>
      </c>
      <c r="M4619" s="4">
        <v>2.3829787234042552</v>
      </c>
      <c r="N4619" t="s">
        <v>25</v>
      </c>
      <c r="O4619" t="str">
        <f t="shared" si="720"/>
        <v>High</v>
      </c>
      <c r="P4619" t="str">
        <f t="shared" si="721"/>
        <v>Low</v>
      </c>
      <c r="Q4619" t="str">
        <f t="shared" si="722"/>
        <v>Medium</v>
      </c>
      <c r="R4619" t="s">
        <v>3317</v>
      </c>
      <c r="S4619" s="4">
        <f t="shared" ca="1" si="723"/>
        <v>-17</v>
      </c>
      <c r="T4619">
        <f t="shared" si="724"/>
        <v>3</v>
      </c>
      <c r="U4619">
        <f t="shared" si="725"/>
        <v>1</v>
      </c>
      <c r="V4619">
        <f t="shared" si="726"/>
        <v>2</v>
      </c>
      <c r="W4619">
        <f t="shared" si="727"/>
        <v>1</v>
      </c>
      <c r="X4619">
        <f t="shared" si="728"/>
        <v>2.0000000000000004</v>
      </c>
      <c r="Y4619" t="str">
        <f t="shared" si="729"/>
        <v>Monitor</v>
      </c>
    </row>
    <row r="4620" spans="1:25" x14ac:dyDescent="0.35">
      <c r="A4620" t="s">
        <v>41</v>
      </c>
      <c r="B4620" t="s">
        <v>54</v>
      </c>
      <c r="C4620" t="s">
        <v>87</v>
      </c>
      <c r="D4620" t="s">
        <v>335</v>
      </c>
      <c r="E4620">
        <v>80751148</v>
      </c>
      <c r="F4620" t="s">
        <v>2898</v>
      </c>
      <c r="G4620" s="3">
        <v>46147</v>
      </c>
      <c r="H4620">
        <v>36</v>
      </c>
      <c r="I4620">
        <v>0</v>
      </c>
      <c r="J4620">
        <v>17</v>
      </c>
      <c r="K4620" s="4">
        <v>6334.88</v>
      </c>
      <c r="L4620" s="4">
        <v>13.428571428571429</v>
      </c>
      <c r="M4620" s="4">
        <v>1.2659574468085106</v>
      </c>
      <c r="N4620" t="s">
        <v>25</v>
      </c>
      <c r="O4620" t="str">
        <f t="shared" si="720"/>
        <v>High</v>
      </c>
      <c r="P4620" t="str">
        <f t="shared" si="721"/>
        <v>Low</v>
      </c>
      <c r="Q4620" t="str">
        <f t="shared" si="722"/>
        <v>Medium</v>
      </c>
      <c r="R4620" t="s">
        <v>3317</v>
      </c>
      <c r="S4620" s="4">
        <f t="shared" ca="1" si="723"/>
        <v>-50</v>
      </c>
      <c r="T4620">
        <f t="shared" si="724"/>
        <v>3</v>
      </c>
      <c r="U4620">
        <f t="shared" si="725"/>
        <v>1</v>
      </c>
      <c r="V4620">
        <f t="shared" si="726"/>
        <v>2</v>
      </c>
      <c r="W4620">
        <f t="shared" si="727"/>
        <v>1</v>
      </c>
      <c r="X4620">
        <f t="shared" si="728"/>
        <v>2.0000000000000004</v>
      </c>
      <c r="Y4620" t="str">
        <f t="shared" si="729"/>
        <v>Monitor</v>
      </c>
    </row>
    <row r="4621" spans="1:25" x14ac:dyDescent="0.35">
      <c r="A4621" t="s">
        <v>99</v>
      </c>
      <c r="B4621" t="s">
        <v>100</v>
      </c>
      <c r="C4621" t="s">
        <v>136</v>
      </c>
      <c r="D4621" t="s">
        <v>1572</v>
      </c>
      <c r="E4621">
        <v>80739911</v>
      </c>
      <c r="F4621" t="s">
        <v>2897</v>
      </c>
      <c r="G4621" s="3">
        <v>46675</v>
      </c>
      <c r="H4621">
        <v>36</v>
      </c>
      <c r="I4621">
        <v>45</v>
      </c>
      <c r="J4621">
        <v>3</v>
      </c>
      <c r="K4621" s="4">
        <v>683.97</v>
      </c>
      <c r="L4621" s="4">
        <v>1.7142857142857142</v>
      </c>
      <c r="M4621" s="4">
        <v>1.75</v>
      </c>
      <c r="N4621" t="s">
        <v>25</v>
      </c>
      <c r="O4621" t="str">
        <f t="shared" si="720"/>
        <v>Low</v>
      </c>
      <c r="P4621" t="str">
        <f t="shared" si="721"/>
        <v>Low</v>
      </c>
      <c r="Q4621" t="str">
        <f t="shared" si="722"/>
        <v>High</v>
      </c>
      <c r="R4621" t="s">
        <v>3317</v>
      </c>
      <c r="S4621" s="4">
        <f t="shared" ca="1" si="723"/>
        <v>478</v>
      </c>
      <c r="T4621">
        <f t="shared" si="724"/>
        <v>1</v>
      </c>
      <c r="U4621">
        <f t="shared" si="725"/>
        <v>1</v>
      </c>
      <c r="V4621">
        <f t="shared" si="726"/>
        <v>3</v>
      </c>
      <c r="W4621">
        <f t="shared" si="727"/>
        <v>1</v>
      </c>
      <c r="X4621">
        <f t="shared" si="728"/>
        <v>1.4000000000000001</v>
      </c>
      <c r="Y4621" t="str">
        <f t="shared" si="729"/>
        <v>Healthy</v>
      </c>
    </row>
    <row r="4622" spans="1:25" x14ac:dyDescent="0.35">
      <c r="A4622" t="s">
        <v>20</v>
      </c>
      <c r="B4622" t="s">
        <v>21</v>
      </c>
      <c r="C4622" t="s">
        <v>126</v>
      </c>
      <c r="D4622" t="s">
        <v>589</v>
      </c>
      <c r="E4622">
        <v>80740504</v>
      </c>
      <c r="F4622" t="s">
        <v>2899</v>
      </c>
      <c r="G4622" s="3">
        <v>45956</v>
      </c>
      <c r="H4622">
        <v>36</v>
      </c>
      <c r="I4622">
        <v>0</v>
      </c>
      <c r="J4622">
        <v>1</v>
      </c>
      <c r="K4622" s="4">
        <v>437.78</v>
      </c>
      <c r="L4622" s="4">
        <f>0</f>
        <v>0</v>
      </c>
      <c r="M4622" s="4">
        <f>999</f>
        <v>999</v>
      </c>
      <c r="N4622" t="s">
        <v>19</v>
      </c>
      <c r="O4622" t="str">
        <f t="shared" si="720"/>
        <v>High</v>
      </c>
      <c r="P4622" t="str">
        <f t="shared" si="721"/>
        <v>High</v>
      </c>
      <c r="Q4622" t="str">
        <f t="shared" si="722"/>
        <v>High</v>
      </c>
      <c r="R4622" t="s">
        <v>3317</v>
      </c>
      <c r="S4622" s="4">
        <f t="shared" ca="1" si="723"/>
        <v>-241</v>
      </c>
      <c r="T4622">
        <f t="shared" si="724"/>
        <v>3</v>
      </c>
      <c r="U4622">
        <f t="shared" si="725"/>
        <v>3</v>
      </c>
      <c r="V4622">
        <f t="shared" si="726"/>
        <v>3</v>
      </c>
      <c r="W4622">
        <f t="shared" si="727"/>
        <v>1</v>
      </c>
      <c r="X4622">
        <f t="shared" si="728"/>
        <v>2.8000000000000003</v>
      </c>
      <c r="Y4622" t="str">
        <f t="shared" si="729"/>
        <v>Move Immediately</v>
      </c>
    </row>
    <row r="4623" spans="1:25" x14ac:dyDescent="0.35">
      <c r="A4623" t="s">
        <v>46</v>
      </c>
      <c r="B4623" t="s">
        <v>1419</v>
      </c>
      <c r="C4623" t="s">
        <v>1420</v>
      </c>
      <c r="D4623" t="s">
        <v>2900</v>
      </c>
      <c r="E4623">
        <v>80750334</v>
      </c>
      <c r="F4623" t="s">
        <v>2901</v>
      </c>
      <c r="G4623" s="3">
        <v>46548</v>
      </c>
      <c r="H4623">
        <v>36</v>
      </c>
      <c r="I4623">
        <v>33</v>
      </c>
      <c r="J4623">
        <v>50</v>
      </c>
      <c r="K4623" s="4">
        <v>18213.5</v>
      </c>
      <c r="L4623" s="4">
        <v>219.28571428571428</v>
      </c>
      <c r="M4623" s="4">
        <v>0.22801302931596093</v>
      </c>
      <c r="N4623" t="s">
        <v>25</v>
      </c>
      <c r="O4623" t="str">
        <f t="shared" si="720"/>
        <v>Medium</v>
      </c>
      <c r="P4623" t="str">
        <f t="shared" si="721"/>
        <v>Low</v>
      </c>
      <c r="Q4623" t="str">
        <f t="shared" si="722"/>
        <v>Low</v>
      </c>
      <c r="R4623" t="s">
        <v>3317</v>
      </c>
      <c r="S4623" s="4">
        <f t="shared" ca="1" si="723"/>
        <v>351</v>
      </c>
      <c r="T4623">
        <f t="shared" si="724"/>
        <v>2</v>
      </c>
      <c r="U4623">
        <f t="shared" si="725"/>
        <v>1</v>
      </c>
      <c r="V4623">
        <f t="shared" si="726"/>
        <v>1</v>
      </c>
      <c r="W4623">
        <f t="shared" si="727"/>
        <v>1</v>
      </c>
      <c r="X4623">
        <f t="shared" si="728"/>
        <v>1.4000000000000001</v>
      </c>
      <c r="Y4623" t="str">
        <f t="shared" si="729"/>
        <v>Healthy</v>
      </c>
    </row>
    <row r="4624" spans="1:25" x14ac:dyDescent="0.35">
      <c r="A4624" t="s">
        <v>46</v>
      </c>
      <c r="B4624" t="s">
        <v>1419</v>
      </c>
      <c r="C4624" t="s">
        <v>1420</v>
      </c>
      <c r="D4624" t="s">
        <v>2900</v>
      </c>
      <c r="E4624">
        <v>80750334</v>
      </c>
      <c r="F4624" t="s">
        <v>2901</v>
      </c>
      <c r="G4624" s="3">
        <v>46626</v>
      </c>
      <c r="H4624">
        <v>36</v>
      </c>
      <c r="I4624">
        <v>40</v>
      </c>
      <c r="J4624">
        <v>253</v>
      </c>
      <c r="K4624" s="4">
        <v>92160.31</v>
      </c>
      <c r="L4624" s="4">
        <v>219.28571428571428</v>
      </c>
      <c r="M4624" s="4">
        <v>1.1537459283387623</v>
      </c>
      <c r="N4624" t="s">
        <v>25</v>
      </c>
      <c r="O4624" t="str">
        <f t="shared" si="720"/>
        <v>Low</v>
      </c>
      <c r="P4624" t="str">
        <f t="shared" si="721"/>
        <v>Low</v>
      </c>
      <c r="Q4624" t="str">
        <f t="shared" si="722"/>
        <v>Low</v>
      </c>
      <c r="R4624" t="s">
        <v>3310</v>
      </c>
      <c r="S4624" s="4">
        <f t="shared" ca="1" si="723"/>
        <v>429</v>
      </c>
      <c r="T4624">
        <f t="shared" si="724"/>
        <v>1</v>
      </c>
      <c r="U4624">
        <f t="shared" si="725"/>
        <v>1</v>
      </c>
      <c r="V4624">
        <f t="shared" si="726"/>
        <v>1</v>
      </c>
      <c r="W4624">
        <f t="shared" si="727"/>
        <v>2</v>
      </c>
      <c r="X4624">
        <f t="shared" si="728"/>
        <v>1.0999999999999999</v>
      </c>
      <c r="Y4624" t="str">
        <f t="shared" si="729"/>
        <v>Healthy</v>
      </c>
    </row>
    <row r="4625" spans="1:25" x14ac:dyDescent="0.35">
      <c r="A4625" t="s">
        <v>14</v>
      </c>
      <c r="B4625" t="s">
        <v>960</v>
      </c>
      <c r="C4625" t="s">
        <v>961</v>
      </c>
      <c r="D4625" t="s">
        <v>2902</v>
      </c>
      <c r="E4625">
        <v>80764157</v>
      </c>
      <c r="F4625" t="s">
        <v>2903</v>
      </c>
      <c r="G4625" s="3">
        <v>47948</v>
      </c>
      <c r="H4625">
        <v>60</v>
      </c>
      <c r="I4625">
        <v>98</v>
      </c>
      <c r="J4625">
        <v>14177</v>
      </c>
      <c r="K4625" s="4">
        <v>283256.46000000002</v>
      </c>
      <c r="L4625" s="4">
        <v>11774.714285714286</v>
      </c>
      <c r="M4625" s="4">
        <v>1.2040207223711827</v>
      </c>
      <c r="N4625" t="s">
        <v>25</v>
      </c>
      <c r="O4625" t="str">
        <f t="shared" si="720"/>
        <v>Low</v>
      </c>
      <c r="P4625" t="str">
        <f t="shared" si="721"/>
        <v>Low</v>
      </c>
      <c r="Q4625" t="str">
        <f t="shared" si="722"/>
        <v>Low</v>
      </c>
      <c r="R4625" t="s">
        <v>3309</v>
      </c>
      <c r="S4625" s="4">
        <f t="shared" ca="1" si="723"/>
        <v>1751</v>
      </c>
      <c r="T4625">
        <f t="shared" si="724"/>
        <v>1</v>
      </c>
      <c r="U4625">
        <f t="shared" si="725"/>
        <v>1</v>
      </c>
      <c r="V4625">
        <f t="shared" si="726"/>
        <v>1</v>
      </c>
      <c r="W4625">
        <f t="shared" si="727"/>
        <v>3</v>
      </c>
      <c r="X4625">
        <f t="shared" si="728"/>
        <v>1.2</v>
      </c>
      <c r="Y4625" t="str">
        <f t="shared" si="729"/>
        <v>Healthy</v>
      </c>
    </row>
    <row r="4626" spans="1:25" x14ac:dyDescent="0.35">
      <c r="A4626" t="s">
        <v>46</v>
      </c>
      <c r="B4626" t="s">
        <v>1419</v>
      </c>
      <c r="C4626" t="s">
        <v>1420</v>
      </c>
      <c r="D4626" t="s">
        <v>2900</v>
      </c>
      <c r="E4626">
        <v>80750334</v>
      </c>
      <c r="F4626" t="s">
        <v>2901</v>
      </c>
      <c r="G4626" s="3">
        <v>47041</v>
      </c>
      <c r="H4626">
        <v>36</v>
      </c>
      <c r="I4626">
        <v>79</v>
      </c>
      <c r="J4626">
        <v>5</v>
      </c>
      <c r="K4626" s="4">
        <v>1821.35</v>
      </c>
      <c r="L4626" s="4">
        <v>219.28571428571428</v>
      </c>
      <c r="M4626" s="4">
        <v>2.2801302931596091E-2</v>
      </c>
      <c r="N4626" t="s">
        <v>25</v>
      </c>
      <c r="O4626" t="str">
        <f t="shared" si="720"/>
        <v>Low</v>
      </c>
      <c r="P4626" t="str">
        <f t="shared" si="721"/>
        <v>Low</v>
      </c>
      <c r="Q4626" t="str">
        <f t="shared" si="722"/>
        <v>Low</v>
      </c>
      <c r="R4626" t="s">
        <v>3317</v>
      </c>
      <c r="S4626" s="4">
        <f t="shared" ca="1" si="723"/>
        <v>844</v>
      </c>
      <c r="T4626">
        <f t="shared" si="724"/>
        <v>1</v>
      </c>
      <c r="U4626">
        <f t="shared" si="725"/>
        <v>1</v>
      </c>
      <c r="V4626">
        <f t="shared" si="726"/>
        <v>1</v>
      </c>
      <c r="W4626">
        <f t="shared" si="727"/>
        <v>1</v>
      </c>
      <c r="X4626">
        <f t="shared" si="728"/>
        <v>0.99999999999999989</v>
      </c>
      <c r="Y4626" t="str">
        <f t="shared" si="729"/>
        <v>Healthy</v>
      </c>
    </row>
    <row r="4627" spans="1:25" x14ac:dyDescent="0.35">
      <c r="A4627" t="s">
        <v>14</v>
      </c>
      <c r="B4627" t="s">
        <v>960</v>
      </c>
      <c r="C4627" t="s">
        <v>961</v>
      </c>
      <c r="D4627" t="s">
        <v>2902</v>
      </c>
      <c r="E4627">
        <v>80764157</v>
      </c>
      <c r="F4627" t="s">
        <v>2903</v>
      </c>
      <c r="G4627" s="3">
        <v>47951</v>
      </c>
      <c r="H4627">
        <v>60</v>
      </c>
      <c r="I4627">
        <v>98</v>
      </c>
      <c r="J4627">
        <v>453</v>
      </c>
      <c r="K4627" s="4">
        <v>9050.94</v>
      </c>
      <c r="L4627" s="4">
        <v>11774.714285714286</v>
      </c>
      <c r="M4627" s="4">
        <v>3.8472271089380387E-2</v>
      </c>
      <c r="N4627" t="s">
        <v>25</v>
      </c>
      <c r="O4627" t="str">
        <f t="shared" si="720"/>
        <v>Low</v>
      </c>
      <c r="P4627" t="str">
        <f t="shared" si="721"/>
        <v>Low</v>
      </c>
      <c r="Q4627" t="str">
        <f t="shared" si="722"/>
        <v>Low</v>
      </c>
      <c r="R4627" t="s">
        <v>3317</v>
      </c>
      <c r="S4627" s="4">
        <f t="shared" ca="1" si="723"/>
        <v>1754</v>
      </c>
      <c r="T4627">
        <f t="shared" si="724"/>
        <v>1</v>
      </c>
      <c r="U4627">
        <f t="shared" si="725"/>
        <v>1</v>
      </c>
      <c r="V4627">
        <f t="shared" si="726"/>
        <v>1</v>
      </c>
      <c r="W4627">
        <f t="shared" si="727"/>
        <v>1</v>
      </c>
      <c r="X4627">
        <f t="shared" si="728"/>
        <v>0.99999999999999989</v>
      </c>
      <c r="Y4627" t="str">
        <f t="shared" si="729"/>
        <v>Healthy</v>
      </c>
    </row>
    <row r="4628" spans="1:25" x14ac:dyDescent="0.35">
      <c r="A4628" t="s">
        <v>20</v>
      </c>
      <c r="B4628" t="s">
        <v>21</v>
      </c>
      <c r="C4628" t="s">
        <v>2904</v>
      </c>
      <c r="D4628" t="s">
        <v>2905</v>
      </c>
      <c r="E4628">
        <v>80758213</v>
      </c>
      <c r="F4628" t="s">
        <v>2906</v>
      </c>
      <c r="G4628" s="3">
        <v>46164</v>
      </c>
      <c r="H4628">
        <v>36</v>
      </c>
      <c r="I4628">
        <v>0</v>
      </c>
      <c r="J4628">
        <v>20</v>
      </c>
      <c r="K4628" s="4">
        <v>3359.8</v>
      </c>
      <c r="L4628" s="4">
        <f>0</f>
        <v>0</v>
      </c>
      <c r="M4628" s="4">
        <f>999</f>
        <v>999</v>
      </c>
      <c r="N4628" t="s">
        <v>19</v>
      </c>
      <c r="O4628" t="str">
        <f t="shared" si="720"/>
        <v>High</v>
      </c>
      <c r="P4628" t="str">
        <f t="shared" si="721"/>
        <v>High</v>
      </c>
      <c r="Q4628" t="str">
        <f t="shared" si="722"/>
        <v>High</v>
      </c>
      <c r="R4628" t="s">
        <v>3317</v>
      </c>
      <c r="S4628" s="4">
        <f t="shared" ca="1" si="723"/>
        <v>-33</v>
      </c>
      <c r="T4628">
        <f t="shared" si="724"/>
        <v>3</v>
      </c>
      <c r="U4628">
        <f t="shared" si="725"/>
        <v>3</v>
      </c>
      <c r="V4628">
        <f t="shared" si="726"/>
        <v>3</v>
      </c>
      <c r="W4628">
        <f t="shared" si="727"/>
        <v>1</v>
      </c>
      <c r="X4628">
        <f t="shared" si="728"/>
        <v>2.8000000000000003</v>
      </c>
      <c r="Y4628" t="str">
        <f t="shared" si="729"/>
        <v>Move Immediately</v>
      </c>
    </row>
    <row r="4629" spans="1:25" x14ac:dyDescent="0.35">
      <c r="A4629" t="s">
        <v>14</v>
      </c>
      <c r="B4629" t="s">
        <v>37</v>
      </c>
      <c r="C4629" t="s">
        <v>2275</v>
      </c>
      <c r="D4629" t="s">
        <v>2276</v>
      </c>
      <c r="E4629">
        <v>80769034</v>
      </c>
      <c r="F4629" t="s">
        <v>2907</v>
      </c>
      <c r="G4629" s="3">
        <v>47322</v>
      </c>
      <c r="H4629">
        <v>60</v>
      </c>
      <c r="I4629">
        <v>63</v>
      </c>
      <c r="J4629">
        <v>11</v>
      </c>
      <c r="K4629" s="4">
        <v>1651.98</v>
      </c>
      <c r="L4629" s="4">
        <f>0</f>
        <v>0</v>
      </c>
      <c r="M4629" s="4">
        <f>999</f>
        <v>999</v>
      </c>
      <c r="N4629" t="s">
        <v>19</v>
      </c>
      <c r="O4629" t="str">
        <f t="shared" si="720"/>
        <v>Low</v>
      </c>
      <c r="P4629" t="str">
        <f t="shared" si="721"/>
        <v>High</v>
      </c>
      <c r="Q4629" t="str">
        <f t="shared" si="722"/>
        <v>High</v>
      </c>
      <c r="R4629" t="s">
        <v>3317</v>
      </c>
      <c r="S4629" s="4">
        <f t="shared" ca="1" si="723"/>
        <v>1125</v>
      </c>
      <c r="T4629">
        <f t="shared" si="724"/>
        <v>1</v>
      </c>
      <c r="U4629">
        <f t="shared" si="725"/>
        <v>3</v>
      </c>
      <c r="V4629">
        <f t="shared" si="726"/>
        <v>3</v>
      </c>
      <c r="W4629">
        <f t="shared" si="727"/>
        <v>1</v>
      </c>
      <c r="X4629">
        <f t="shared" si="728"/>
        <v>2</v>
      </c>
      <c r="Y4629" t="str">
        <f t="shared" si="729"/>
        <v>Monitor</v>
      </c>
    </row>
    <row r="4630" spans="1:25" x14ac:dyDescent="0.35">
      <c r="A4630" t="s">
        <v>99</v>
      </c>
      <c r="B4630" t="s">
        <v>100</v>
      </c>
      <c r="C4630" t="s">
        <v>101</v>
      </c>
      <c r="D4630" t="s">
        <v>2908</v>
      </c>
      <c r="E4630">
        <v>80759503</v>
      </c>
      <c r="F4630" t="s">
        <v>2909</v>
      </c>
      <c r="G4630" s="3">
        <v>45964</v>
      </c>
      <c r="H4630">
        <v>18</v>
      </c>
      <c r="I4630">
        <v>0</v>
      </c>
      <c r="J4630">
        <v>221</v>
      </c>
      <c r="K4630" s="4">
        <v>41508.22</v>
      </c>
      <c r="L4630" s="4">
        <v>7.4285714285714288</v>
      </c>
      <c r="M4630" s="4">
        <v>29.75</v>
      </c>
      <c r="N4630" t="s">
        <v>19</v>
      </c>
      <c r="O4630" t="str">
        <f t="shared" si="720"/>
        <v>High</v>
      </c>
      <c r="P4630" t="str">
        <f t="shared" si="721"/>
        <v>High</v>
      </c>
      <c r="Q4630" t="str">
        <f t="shared" si="722"/>
        <v>Medium</v>
      </c>
      <c r="R4630" t="s">
        <v>3317</v>
      </c>
      <c r="S4630" s="4">
        <f t="shared" ca="1" si="723"/>
        <v>-233</v>
      </c>
      <c r="T4630">
        <f t="shared" si="724"/>
        <v>3</v>
      </c>
      <c r="U4630">
        <f t="shared" si="725"/>
        <v>3</v>
      </c>
      <c r="V4630">
        <f t="shared" si="726"/>
        <v>2</v>
      </c>
      <c r="W4630">
        <f t="shared" si="727"/>
        <v>1</v>
      </c>
      <c r="X4630">
        <f t="shared" si="728"/>
        <v>2.6</v>
      </c>
      <c r="Y4630" t="str">
        <f t="shared" si="729"/>
        <v>High Priority</v>
      </c>
    </row>
    <row r="4631" spans="1:25" x14ac:dyDescent="0.35">
      <c r="A4631" t="s">
        <v>104</v>
      </c>
      <c r="B4631" t="s">
        <v>105</v>
      </c>
      <c r="C4631" t="s">
        <v>697</v>
      </c>
      <c r="D4631" t="s">
        <v>2910</v>
      </c>
      <c r="E4631">
        <v>80726011</v>
      </c>
      <c r="F4631" t="s">
        <v>2911</v>
      </c>
      <c r="G4631" s="3">
        <v>46310</v>
      </c>
      <c r="H4631">
        <v>24</v>
      </c>
      <c r="I4631">
        <v>16</v>
      </c>
      <c r="J4631">
        <v>2</v>
      </c>
      <c r="K4631" s="4">
        <v>478.38</v>
      </c>
      <c r="L4631" s="4">
        <f>0</f>
        <v>0</v>
      </c>
      <c r="M4631" s="4">
        <f>999</f>
        <v>999</v>
      </c>
      <c r="N4631" t="s">
        <v>19</v>
      </c>
      <c r="O4631" t="str">
        <f t="shared" si="720"/>
        <v>High</v>
      </c>
      <c r="P4631" t="str">
        <f t="shared" si="721"/>
        <v>High</v>
      </c>
      <c r="Q4631" t="str">
        <f t="shared" si="722"/>
        <v>High</v>
      </c>
      <c r="R4631" t="s">
        <v>3317</v>
      </c>
      <c r="S4631" s="4">
        <f t="shared" ca="1" si="723"/>
        <v>113</v>
      </c>
      <c r="T4631">
        <f t="shared" si="724"/>
        <v>3</v>
      </c>
      <c r="U4631">
        <f t="shared" si="725"/>
        <v>3</v>
      </c>
      <c r="V4631">
        <f t="shared" si="726"/>
        <v>3</v>
      </c>
      <c r="W4631">
        <f t="shared" si="727"/>
        <v>1</v>
      </c>
      <c r="X4631">
        <f t="shared" si="728"/>
        <v>2.8000000000000003</v>
      </c>
      <c r="Y4631" t="str">
        <f t="shared" si="729"/>
        <v>Move Immediately</v>
      </c>
    </row>
    <row r="4632" spans="1:25" x14ac:dyDescent="0.35">
      <c r="A4632" t="s">
        <v>14</v>
      </c>
      <c r="B4632" t="s">
        <v>2912</v>
      </c>
      <c r="C4632" t="s">
        <v>2913</v>
      </c>
      <c r="D4632" t="s">
        <v>2914</v>
      </c>
      <c r="E4632">
        <v>80764164</v>
      </c>
      <c r="F4632" t="s">
        <v>2915</v>
      </c>
      <c r="G4632" s="3">
        <v>47141</v>
      </c>
      <c r="H4632">
        <v>60</v>
      </c>
      <c r="I4632">
        <v>53</v>
      </c>
      <c r="J4632">
        <v>106</v>
      </c>
      <c r="K4632" s="4">
        <v>10383.76</v>
      </c>
      <c r="L4632" s="4">
        <v>1117</v>
      </c>
      <c r="M4632" s="4">
        <v>9.4897045658012533E-2</v>
      </c>
      <c r="N4632" t="s">
        <v>25</v>
      </c>
      <c r="O4632" t="str">
        <f t="shared" si="720"/>
        <v>Low</v>
      </c>
      <c r="P4632" t="str">
        <f t="shared" si="721"/>
        <v>Low</v>
      </c>
      <c r="Q4632" t="str">
        <f t="shared" si="722"/>
        <v>Low</v>
      </c>
      <c r="R4632" t="s">
        <v>3317</v>
      </c>
      <c r="S4632" s="4">
        <f t="shared" ca="1" si="723"/>
        <v>944</v>
      </c>
      <c r="T4632">
        <f t="shared" si="724"/>
        <v>1</v>
      </c>
      <c r="U4632">
        <f t="shared" si="725"/>
        <v>1</v>
      </c>
      <c r="V4632">
        <f t="shared" si="726"/>
        <v>1</v>
      </c>
      <c r="W4632">
        <f t="shared" si="727"/>
        <v>1</v>
      </c>
      <c r="X4632">
        <f t="shared" si="728"/>
        <v>0.99999999999999989</v>
      </c>
      <c r="Y4632" t="str">
        <f t="shared" si="729"/>
        <v>Healthy</v>
      </c>
    </row>
    <row r="4633" spans="1:25" x14ac:dyDescent="0.35">
      <c r="A4633" t="s">
        <v>104</v>
      </c>
      <c r="B4633" t="s">
        <v>105</v>
      </c>
      <c r="C4633" t="s">
        <v>697</v>
      </c>
      <c r="D4633" t="s">
        <v>2910</v>
      </c>
      <c r="E4633">
        <v>80726011</v>
      </c>
      <c r="F4633" t="s">
        <v>2911</v>
      </c>
      <c r="G4633" s="3">
        <v>46300</v>
      </c>
      <c r="H4633">
        <v>24</v>
      </c>
      <c r="I4633">
        <v>15</v>
      </c>
      <c r="J4633">
        <v>10</v>
      </c>
      <c r="K4633" s="4">
        <v>2391.9</v>
      </c>
      <c r="L4633" s="4">
        <f>0</f>
        <v>0</v>
      </c>
      <c r="M4633" s="4">
        <f>999</f>
        <v>999</v>
      </c>
      <c r="N4633" t="s">
        <v>19</v>
      </c>
      <c r="O4633" t="str">
        <f t="shared" si="720"/>
        <v>High</v>
      </c>
      <c r="P4633" t="str">
        <f t="shared" si="721"/>
        <v>High</v>
      </c>
      <c r="Q4633" t="str">
        <f t="shared" si="722"/>
        <v>High</v>
      </c>
      <c r="R4633" t="s">
        <v>3317</v>
      </c>
      <c r="S4633" s="4">
        <f t="shared" ca="1" si="723"/>
        <v>103</v>
      </c>
      <c r="T4633">
        <f t="shared" si="724"/>
        <v>3</v>
      </c>
      <c r="U4633">
        <f t="shared" si="725"/>
        <v>3</v>
      </c>
      <c r="V4633">
        <f t="shared" si="726"/>
        <v>3</v>
      </c>
      <c r="W4633">
        <f t="shared" si="727"/>
        <v>1</v>
      </c>
      <c r="X4633">
        <f t="shared" si="728"/>
        <v>2.8000000000000003</v>
      </c>
      <c r="Y4633" t="str">
        <f t="shared" si="729"/>
        <v>Move Immediately</v>
      </c>
    </row>
    <row r="4634" spans="1:25" x14ac:dyDescent="0.35">
      <c r="A4634" t="s">
        <v>29</v>
      </c>
      <c r="B4634" t="s">
        <v>30</v>
      </c>
      <c r="C4634" t="s">
        <v>391</v>
      </c>
      <c r="D4634" t="s">
        <v>2916</v>
      </c>
      <c r="E4634">
        <v>80741159</v>
      </c>
      <c r="F4634" t="s">
        <v>2917</v>
      </c>
      <c r="G4634" s="3">
        <v>47189</v>
      </c>
      <c r="H4634">
        <v>36</v>
      </c>
      <c r="I4634">
        <v>92</v>
      </c>
      <c r="J4634">
        <v>251</v>
      </c>
      <c r="K4634" s="4">
        <v>41696.120000000003</v>
      </c>
      <c r="L4634" s="4">
        <v>1738.4285714285713</v>
      </c>
      <c r="M4634" s="4">
        <v>0.14438326896211687</v>
      </c>
      <c r="N4634" t="s">
        <v>25</v>
      </c>
      <c r="O4634" t="str">
        <f t="shared" si="720"/>
        <v>Low</v>
      </c>
      <c r="P4634" t="str">
        <f t="shared" si="721"/>
        <v>Low</v>
      </c>
      <c r="Q4634" t="str">
        <f t="shared" si="722"/>
        <v>Low</v>
      </c>
      <c r="R4634" t="s">
        <v>3317</v>
      </c>
      <c r="S4634" s="4">
        <f t="shared" ca="1" si="723"/>
        <v>992</v>
      </c>
      <c r="T4634">
        <f t="shared" si="724"/>
        <v>1</v>
      </c>
      <c r="U4634">
        <f t="shared" si="725"/>
        <v>1</v>
      </c>
      <c r="V4634">
        <f t="shared" si="726"/>
        <v>1</v>
      </c>
      <c r="W4634">
        <f t="shared" si="727"/>
        <v>1</v>
      </c>
      <c r="X4634">
        <f t="shared" si="728"/>
        <v>0.99999999999999989</v>
      </c>
      <c r="Y4634" t="str">
        <f t="shared" si="729"/>
        <v>Healthy</v>
      </c>
    </row>
    <row r="4635" spans="1:25" x14ac:dyDescent="0.35">
      <c r="A4635" t="s">
        <v>29</v>
      </c>
      <c r="B4635" t="s">
        <v>30</v>
      </c>
      <c r="C4635" t="s">
        <v>391</v>
      </c>
      <c r="D4635" t="s">
        <v>2916</v>
      </c>
      <c r="E4635">
        <v>80741159</v>
      </c>
      <c r="F4635" t="s">
        <v>2917</v>
      </c>
      <c r="G4635" s="3">
        <v>47200</v>
      </c>
      <c r="H4635">
        <v>36</v>
      </c>
      <c r="I4635">
        <v>93</v>
      </c>
      <c r="J4635">
        <v>426</v>
      </c>
      <c r="K4635" s="4">
        <v>70767.12</v>
      </c>
      <c r="L4635" s="4">
        <v>1738.4285714285713</v>
      </c>
      <c r="M4635" s="4">
        <v>0.24504889473251706</v>
      </c>
      <c r="N4635" t="s">
        <v>25</v>
      </c>
      <c r="O4635" t="str">
        <f t="shared" si="720"/>
        <v>Low</v>
      </c>
      <c r="P4635" t="str">
        <f t="shared" si="721"/>
        <v>Low</v>
      </c>
      <c r="Q4635" t="str">
        <f t="shared" si="722"/>
        <v>Low</v>
      </c>
      <c r="R4635" t="s">
        <v>3310</v>
      </c>
      <c r="S4635" s="4">
        <f t="shared" ca="1" si="723"/>
        <v>1003</v>
      </c>
      <c r="T4635">
        <f t="shared" si="724"/>
        <v>1</v>
      </c>
      <c r="U4635">
        <f t="shared" si="725"/>
        <v>1</v>
      </c>
      <c r="V4635">
        <f t="shared" si="726"/>
        <v>1</v>
      </c>
      <c r="W4635">
        <f t="shared" si="727"/>
        <v>2</v>
      </c>
      <c r="X4635">
        <f t="shared" si="728"/>
        <v>1.0999999999999999</v>
      </c>
      <c r="Y4635" t="str">
        <f t="shared" si="729"/>
        <v>Healthy</v>
      </c>
    </row>
    <row r="4636" spans="1:25" x14ac:dyDescent="0.35">
      <c r="A4636" t="s">
        <v>14</v>
      </c>
      <c r="B4636" t="s">
        <v>343</v>
      </c>
      <c r="C4636" t="s">
        <v>344</v>
      </c>
      <c r="D4636" t="s">
        <v>2729</v>
      </c>
      <c r="E4636">
        <v>80753918</v>
      </c>
      <c r="F4636" t="s">
        <v>2918</v>
      </c>
      <c r="G4636" s="3">
        <v>47403</v>
      </c>
      <c r="H4636">
        <v>60</v>
      </c>
      <c r="I4636">
        <v>67</v>
      </c>
      <c r="J4636">
        <v>1</v>
      </c>
      <c r="K4636" s="4">
        <v>614.01</v>
      </c>
      <c r="L4636" s="4">
        <v>0.2857142857142857</v>
      </c>
      <c r="M4636" s="4">
        <v>3.5</v>
      </c>
      <c r="N4636" t="s">
        <v>25</v>
      </c>
      <c r="O4636" t="str">
        <f t="shared" si="720"/>
        <v>Low</v>
      </c>
      <c r="P4636" t="str">
        <f t="shared" si="721"/>
        <v>Low</v>
      </c>
      <c r="Q4636" t="str">
        <f t="shared" si="722"/>
        <v>High</v>
      </c>
      <c r="R4636" t="s">
        <v>3317</v>
      </c>
      <c r="S4636" s="4">
        <f t="shared" ca="1" si="723"/>
        <v>1206</v>
      </c>
      <c r="T4636">
        <f t="shared" si="724"/>
        <v>1</v>
      </c>
      <c r="U4636">
        <f t="shared" si="725"/>
        <v>1</v>
      </c>
      <c r="V4636">
        <f t="shared" si="726"/>
        <v>3</v>
      </c>
      <c r="W4636">
        <f t="shared" si="727"/>
        <v>1</v>
      </c>
      <c r="X4636">
        <f t="shared" si="728"/>
        <v>1.4000000000000001</v>
      </c>
      <c r="Y4636" t="str">
        <f t="shared" si="729"/>
        <v>Healthy</v>
      </c>
    </row>
    <row r="4637" spans="1:25" x14ac:dyDescent="0.35">
      <c r="A4637" t="s">
        <v>29</v>
      </c>
      <c r="B4637" t="s">
        <v>30</v>
      </c>
      <c r="C4637" t="s">
        <v>391</v>
      </c>
      <c r="D4637" t="s">
        <v>2916</v>
      </c>
      <c r="E4637">
        <v>80741159</v>
      </c>
      <c r="F4637" t="s">
        <v>2917</v>
      </c>
      <c r="G4637" s="3">
        <v>47181</v>
      </c>
      <c r="H4637">
        <v>36</v>
      </c>
      <c r="I4637">
        <v>92</v>
      </c>
      <c r="J4637">
        <v>104</v>
      </c>
      <c r="K4637" s="4">
        <v>17276.48</v>
      </c>
      <c r="L4637" s="4">
        <v>1738.4285714285713</v>
      </c>
      <c r="M4637" s="4">
        <v>5.9824143314980691E-2</v>
      </c>
      <c r="N4637" t="s">
        <v>25</v>
      </c>
      <c r="O4637" t="str">
        <f t="shared" si="720"/>
        <v>Low</v>
      </c>
      <c r="P4637" t="str">
        <f t="shared" si="721"/>
        <v>Low</v>
      </c>
      <c r="Q4637" t="str">
        <f t="shared" si="722"/>
        <v>Low</v>
      </c>
      <c r="R4637" t="s">
        <v>3317</v>
      </c>
      <c r="S4637" s="4">
        <f t="shared" ca="1" si="723"/>
        <v>984</v>
      </c>
      <c r="T4637">
        <f t="shared" si="724"/>
        <v>1</v>
      </c>
      <c r="U4637">
        <f t="shared" si="725"/>
        <v>1</v>
      </c>
      <c r="V4637">
        <f t="shared" si="726"/>
        <v>1</v>
      </c>
      <c r="W4637">
        <f t="shared" si="727"/>
        <v>1</v>
      </c>
      <c r="X4637">
        <f t="shared" si="728"/>
        <v>0.99999999999999989</v>
      </c>
      <c r="Y4637" t="str">
        <f t="shared" si="729"/>
        <v>Healthy</v>
      </c>
    </row>
    <row r="4638" spans="1:25" x14ac:dyDescent="0.35">
      <c r="A4638" t="s">
        <v>14</v>
      </c>
      <c r="B4638" t="s">
        <v>343</v>
      </c>
      <c r="C4638" t="s">
        <v>344</v>
      </c>
      <c r="D4638" t="s">
        <v>2729</v>
      </c>
      <c r="E4638">
        <v>80753918</v>
      </c>
      <c r="F4638" t="s">
        <v>2918</v>
      </c>
      <c r="G4638" s="3">
        <v>47405</v>
      </c>
      <c r="H4638">
        <v>60</v>
      </c>
      <c r="I4638">
        <v>67</v>
      </c>
      <c r="J4638">
        <v>2</v>
      </c>
      <c r="K4638" s="4">
        <v>1228.02</v>
      </c>
      <c r="L4638" s="4">
        <v>0.2857142857142857</v>
      </c>
      <c r="M4638" s="4">
        <v>7</v>
      </c>
      <c r="N4638" t="s">
        <v>19</v>
      </c>
      <c r="O4638" t="str">
        <f t="shared" si="720"/>
        <v>Low</v>
      </c>
      <c r="P4638" t="str">
        <f t="shared" si="721"/>
        <v>Medium</v>
      </c>
      <c r="Q4638" t="str">
        <f t="shared" si="722"/>
        <v>High</v>
      </c>
      <c r="R4638" t="s">
        <v>3317</v>
      </c>
      <c r="S4638" s="4">
        <f t="shared" ca="1" si="723"/>
        <v>1208</v>
      </c>
      <c r="T4638">
        <f t="shared" si="724"/>
        <v>1</v>
      </c>
      <c r="U4638">
        <f t="shared" si="725"/>
        <v>2</v>
      </c>
      <c r="V4638">
        <f t="shared" si="726"/>
        <v>3</v>
      </c>
      <c r="W4638">
        <f t="shared" si="727"/>
        <v>1</v>
      </c>
      <c r="X4638">
        <f t="shared" si="728"/>
        <v>1.7000000000000002</v>
      </c>
      <c r="Y4638" t="str">
        <f t="shared" si="729"/>
        <v>Monitor</v>
      </c>
    </row>
    <row r="4639" spans="1:25" x14ac:dyDescent="0.35">
      <c r="A4639" t="s">
        <v>90</v>
      </c>
      <c r="B4639" t="s">
        <v>91</v>
      </c>
      <c r="C4639" t="s">
        <v>92</v>
      </c>
      <c r="D4639" t="s">
        <v>2919</v>
      </c>
      <c r="E4639">
        <v>80781002</v>
      </c>
      <c r="F4639" t="s">
        <v>2920</v>
      </c>
      <c r="G4639" s="3">
        <v>45951</v>
      </c>
      <c r="H4639">
        <v>24</v>
      </c>
      <c r="I4639">
        <v>0</v>
      </c>
      <c r="J4639">
        <v>7</v>
      </c>
      <c r="K4639" s="4">
        <v>544.88</v>
      </c>
      <c r="L4639" s="4">
        <f>0</f>
        <v>0</v>
      </c>
      <c r="M4639" s="4">
        <f>999</f>
        <v>999</v>
      </c>
      <c r="N4639" t="s">
        <v>19</v>
      </c>
      <c r="O4639" t="str">
        <f t="shared" si="720"/>
        <v>High</v>
      </c>
      <c r="P4639" t="str">
        <f t="shared" si="721"/>
        <v>High</v>
      </c>
      <c r="Q4639" t="str">
        <f t="shared" si="722"/>
        <v>High</v>
      </c>
      <c r="R4639" t="s">
        <v>3317</v>
      </c>
      <c r="S4639" s="4">
        <f t="shared" ca="1" si="723"/>
        <v>-246</v>
      </c>
      <c r="T4639">
        <f t="shared" si="724"/>
        <v>3</v>
      </c>
      <c r="U4639">
        <f t="shared" si="725"/>
        <v>3</v>
      </c>
      <c r="V4639">
        <f t="shared" si="726"/>
        <v>3</v>
      </c>
      <c r="W4639">
        <f t="shared" si="727"/>
        <v>1</v>
      </c>
      <c r="X4639">
        <f t="shared" si="728"/>
        <v>2.8000000000000003</v>
      </c>
      <c r="Y4639" t="str">
        <f t="shared" si="729"/>
        <v>Move Immediately</v>
      </c>
    </row>
    <row r="4640" spans="1:25" x14ac:dyDescent="0.35">
      <c r="A4640" t="s">
        <v>29</v>
      </c>
      <c r="B4640" t="s">
        <v>30</v>
      </c>
      <c r="C4640" t="s">
        <v>391</v>
      </c>
      <c r="D4640" t="s">
        <v>2916</v>
      </c>
      <c r="E4640">
        <v>80741159</v>
      </c>
      <c r="F4640" t="s">
        <v>2917</v>
      </c>
      <c r="G4640" s="3">
        <v>47209</v>
      </c>
      <c r="H4640">
        <v>36</v>
      </c>
      <c r="I4640">
        <v>94</v>
      </c>
      <c r="J4640">
        <v>24</v>
      </c>
      <c r="K4640" s="4">
        <v>3986.88</v>
      </c>
      <c r="L4640" s="4">
        <v>1738.4285714285713</v>
      </c>
      <c r="M4640" s="4">
        <v>1.3805571534226313E-2</v>
      </c>
      <c r="N4640" t="s">
        <v>25</v>
      </c>
      <c r="O4640" t="str">
        <f t="shared" si="720"/>
        <v>Low</v>
      </c>
      <c r="P4640" t="str">
        <f t="shared" si="721"/>
        <v>Low</v>
      </c>
      <c r="Q4640" t="str">
        <f t="shared" si="722"/>
        <v>Low</v>
      </c>
      <c r="R4640" t="s">
        <v>3317</v>
      </c>
      <c r="S4640" s="4">
        <f t="shared" ca="1" si="723"/>
        <v>1012</v>
      </c>
      <c r="T4640">
        <f t="shared" si="724"/>
        <v>1</v>
      </c>
      <c r="U4640">
        <f t="shared" si="725"/>
        <v>1</v>
      </c>
      <c r="V4640">
        <f t="shared" si="726"/>
        <v>1</v>
      </c>
      <c r="W4640">
        <f t="shared" si="727"/>
        <v>1</v>
      </c>
      <c r="X4640">
        <f t="shared" si="728"/>
        <v>0.99999999999999989</v>
      </c>
      <c r="Y4640" t="str">
        <f t="shared" si="729"/>
        <v>Healthy</v>
      </c>
    </row>
    <row r="4641" spans="1:25" x14ac:dyDescent="0.35">
      <c r="A4641" t="s">
        <v>29</v>
      </c>
      <c r="B4641" t="s">
        <v>30</v>
      </c>
      <c r="C4641" t="s">
        <v>391</v>
      </c>
      <c r="D4641" t="s">
        <v>2916</v>
      </c>
      <c r="E4641">
        <v>80741159</v>
      </c>
      <c r="F4641" t="s">
        <v>2917</v>
      </c>
      <c r="G4641" s="3">
        <v>47173</v>
      </c>
      <c r="H4641">
        <v>36</v>
      </c>
      <c r="I4641">
        <v>91</v>
      </c>
      <c r="J4641">
        <v>39</v>
      </c>
      <c r="K4641" s="4">
        <v>6478.68</v>
      </c>
      <c r="L4641" s="4">
        <v>1738.4285714285713</v>
      </c>
      <c r="M4641" s="4">
        <v>2.2434053743117761E-2</v>
      </c>
      <c r="N4641" t="s">
        <v>25</v>
      </c>
      <c r="O4641" t="str">
        <f t="shared" si="720"/>
        <v>Low</v>
      </c>
      <c r="P4641" t="str">
        <f t="shared" si="721"/>
        <v>Low</v>
      </c>
      <c r="Q4641" t="str">
        <f t="shared" si="722"/>
        <v>Low</v>
      </c>
      <c r="R4641" t="s">
        <v>3317</v>
      </c>
      <c r="S4641" s="4">
        <f t="shared" ca="1" si="723"/>
        <v>976</v>
      </c>
      <c r="T4641">
        <f t="shared" si="724"/>
        <v>1</v>
      </c>
      <c r="U4641">
        <f t="shared" si="725"/>
        <v>1</v>
      </c>
      <c r="V4641">
        <f t="shared" si="726"/>
        <v>1</v>
      </c>
      <c r="W4641">
        <f t="shared" si="727"/>
        <v>1</v>
      </c>
      <c r="X4641">
        <f t="shared" si="728"/>
        <v>0.99999999999999989</v>
      </c>
      <c r="Y4641" t="str">
        <f t="shared" si="729"/>
        <v>Healthy</v>
      </c>
    </row>
    <row r="4642" spans="1:25" x14ac:dyDescent="0.35">
      <c r="A4642" t="s">
        <v>29</v>
      </c>
      <c r="B4642" t="s">
        <v>30</v>
      </c>
      <c r="C4642" t="s">
        <v>391</v>
      </c>
      <c r="D4642" t="s">
        <v>2916</v>
      </c>
      <c r="E4642">
        <v>80741159</v>
      </c>
      <c r="F4642" t="s">
        <v>2917</v>
      </c>
      <c r="G4642" s="3">
        <v>47214</v>
      </c>
      <c r="H4642">
        <v>36</v>
      </c>
      <c r="I4642">
        <v>95</v>
      </c>
      <c r="J4642">
        <v>72</v>
      </c>
      <c r="K4642" s="4">
        <v>11960.64</v>
      </c>
      <c r="L4642" s="4">
        <v>1738.4285714285713</v>
      </c>
      <c r="M4642" s="4">
        <v>4.1416714602678942E-2</v>
      </c>
      <c r="N4642" t="s">
        <v>25</v>
      </c>
      <c r="O4642" t="str">
        <f t="shared" si="720"/>
        <v>Low</v>
      </c>
      <c r="P4642" t="str">
        <f t="shared" si="721"/>
        <v>Low</v>
      </c>
      <c r="Q4642" t="str">
        <f t="shared" si="722"/>
        <v>Low</v>
      </c>
      <c r="R4642" t="s">
        <v>3317</v>
      </c>
      <c r="S4642" s="4">
        <f t="shared" ca="1" si="723"/>
        <v>1017</v>
      </c>
      <c r="T4642">
        <f t="shared" si="724"/>
        <v>1</v>
      </c>
      <c r="U4642">
        <f t="shared" si="725"/>
        <v>1</v>
      </c>
      <c r="V4642">
        <f t="shared" si="726"/>
        <v>1</v>
      </c>
      <c r="W4642">
        <f t="shared" si="727"/>
        <v>1</v>
      </c>
      <c r="X4642">
        <f t="shared" si="728"/>
        <v>0.99999999999999989</v>
      </c>
      <c r="Y4642" t="str">
        <f t="shared" si="729"/>
        <v>Healthy</v>
      </c>
    </row>
    <row r="4643" spans="1:25" x14ac:dyDescent="0.35">
      <c r="A4643" t="s">
        <v>29</v>
      </c>
      <c r="B4643" t="s">
        <v>30</v>
      </c>
      <c r="C4643" t="s">
        <v>391</v>
      </c>
      <c r="D4643" t="s">
        <v>2916</v>
      </c>
      <c r="E4643">
        <v>80741159</v>
      </c>
      <c r="F4643" t="s">
        <v>2917</v>
      </c>
      <c r="G4643" s="3">
        <v>47161</v>
      </c>
      <c r="H4643">
        <v>36</v>
      </c>
      <c r="I4643">
        <v>90</v>
      </c>
      <c r="J4643">
        <v>156</v>
      </c>
      <c r="K4643" s="4">
        <v>25914.720000000001</v>
      </c>
      <c r="L4643" s="4">
        <v>1738.4285714285713</v>
      </c>
      <c r="M4643" s="4">
        <v>8.9736214972471043E-2</v>
      </c>
      <c r="N4643" t="s">
        <v>25</v>
      </c>
      <c r="O4643" t="str">
        <f t="shared" si="720"/>
        <v>Low</v>
      </c>
      <c r="P4643" t="str">
        <f t="shared" si="721"/>
        <v>Low</v>
      </c>
      <c r="Q4643" t="str">
        <f t="shared" si="722"/>
        <v>Low</v>
      </c>
      <c r="R4643" t="s">
        <v>3317</v>
      </c>
      <c r="S4643" s="4">
        <f t="shared" ca="1" si="723"/>
        <v>964</v>
      </c>
      <c r="T4643">
        <f t="shared" si="724"/>
        <v>1</v>
      </c>
      <c r="U4643">
        <f t="shared" si="725"/>
        <v>1</v>
      </c>
      <c r="V4643">
        <f t="shared" si="726"/>
        <v>1</v>
      </c>
      <c r="W4643">
        <f t="shared" si="727"/>
        <v>1</v>
      </c>
      <c r="X4643">
        <f t="shared" si="728"/>
        <v>0.99999999999999989</v>
      </c>
      <c r="Y4643" t="str">
        <f t="shared" si="729"/>
        <v>Healthy</v>
      </c>
    </row>
    <row r="4644" spans="1:25" x14ac:dyDescent="0.35">
      <c r="A4644" t="s">
        <v>29</v>
      </c>
      <c r="B4644" t="s">
        <v>30</v>
      </c>
      <c r="C4644" t="s">
        <v>391</v>
      </c>
      <c r="D4644" t="s">
        <v>2916</v>
      </c>
      <c r="E4644">
        <v>80741159</v>
      </c>
      <c r="F4644" t="s">
        <v>2917</v>
      </c>
      <c r="G4644" s="3">
        <v>47181</v>
      </c>
      <c r="H4644">
        <v>36</v>
      </c>
      <c r="I4644">
        <v>92</v>
      </c>
      <c r="J4644">
        <v>203</v>
      </c>
      <c r="K4644" s="4">
        <v>33722.36</v>
      </c>
      <c r="L4644" s="4">
        <v>1738.4285714285713</v>
      </c>
      <c r="M4644" s="4">
        <v>0.11677212589366423</v>
      </c>
      <c r="N4644" t="s">
        <v>25</v>
      </c>
      <c r="O4644" t="str">
        <f t="shared" si="720"/>
        <v>Low</v>
      </c>
      <c r="P4644" t="str">
        <f t="shared" si="721"/>
        <v>Low</v>
      </c>
      <c r="Q4644" t="str">
        <f t="shared" si="722"/>
        <v>Low</v>
      </c>
      <c r="R4644" t="s">
        <v>3317</v>
      </c>
      <c r="S4644" s="4">
        <f t="shared" ca="1" si="723"/>
        <v>984</v>
      </c>
      <c r="T4644">
        <f t="shared" si="724"/>
        <v>1</v>
      </c>
      <c r="U4644">
        <f t="shared" si="725"/>
        <v>1</v>
      </c>
      <c r="V4644">
        <f t="shared" si="726"/>
        <v>1</v>
      </c>
      <c r="W4644">
        <f t="shared" si="727"/>
        <v>1</v>
      </c>
      <c r="X4644">
        <f t="shared" si="728"/>
        <v>0.99999999999999989</v>
      </c>
      <c r="Y4644" t="str">
        <f t="shared" si="729"/>
        <v>Healthy</v>
      </c>
    </row>
    <row r="4645" spans="1:25" x14ac:dyDescent="0.35">
      <c r="A4645" t="s">
        <v>99</v>
      </c>
      <c r="B4645" t="s">
        <v>100</v>
      </c>
      <c r="C4645" t="s">
        <v>101</v>
      </c>
      <c r="D4645" t="s">
        <v>2921</v>
      </c>
      <c r="E4645">
        <v>80778470</v>
      </c>
      <c r="F4645" t="s">
        <v>2922</v>
      </c>
      <c r="G4645" s="3">
        <v>46088</v>
      </c>
      <c r="H4645">
        <v>18</v>
      </c>
      <c r="I4645">
        <v>0</v>
      </c>
      <c r="J4645">
        <v>84</v>
      </c>
      <c r="K4645" s="4">
        <v>11214</v>
      </c>
      <c r="L4645" s="4">
        <v>2.2857142857142856</v>
      </c>
      <c r="M4645" s="4">
        <v>36.75</v>
      </c>
      <c r="N4645" t="s">
        <v>19</v>
      </c>
      <c r="O4645" t="str">
        <f t="shared" si="720"/>
        <v>High</v>
      </c>
      <c r="P4645" t="str">
        <f t="shared" si="721"/>
        <v>High</v>
      </c>
      <c r="Q4645" t="str">
        <f t="shared" si="722"/>
        <v>High</v>
      </c>
      <c r="R4645" t="s">
        <v>3317</v>
      </c>
      <c r="S4645" s="4">
        <f t="shared" ca="1" si="723"/>
        <v>-109</v>
      </c>
      <c r="T4645">
        <f t="shared" si="724"/>
        <v>3</v>
      </c>
      <c r="U4645">
        <f t="shared" si="725"/>
        <v>3</v>
      </c>
      <c r="V4645">
        <f t="shared" si="726"/>
        <v>3</v>
      </c>
      <c r="W4645">
        <f t="shared" si="727"/>
        <v>1</v>
      </c>
      <c r="X4645">
        <f t="shared" si="728"/>
        <v>2.8000000000000003</v>
      </c>
      <c r="Y4645" t="str">
        <f t="shared" si="729"/>
        <v>Move Immediately</v>
      </c>
    </row>
    <row r="4646" spans="1:25" x14ac:dyDescent="0.35">
      <c r="A4646" t="s">
        <v>46</v>
      </c>
      <c r="B4646" t="s">
        <v>129</v>
      </c>
      <c r="C4646" t="s">
        <v>1748</v>
      </c>
      <c r="D4646" t="s">
        <v>1751</v>
      </c>
      <c r="E4646">
        <v>80753175</v>
      </c>
      <c r="F4646" t="s">
        <v>2923</v>
      </c>
      <c r="G4646" s="3">
        <v>47031</v>
      </c>
      <c r="H4646">
        <v>36</v>
      </c>
      <c r="I4646">
        <v>78</v>
      </c>
      <c r="J4646">
        <v>9</v>
      </c>
      <c r="K4646" s="4">
        <v>3425.04</v>
      </c>
      <c r="L4646" s="4">
        <v>74.571428571428569</v>
      </c>
      <c r="M4646" s="4">
        <v>0.1206896551724138</v>
      </c>
      <c r="N4646" t="s">
        <v>25</v>
      </c>
      <c r="O4646" t="str">
        <f t="shared" si="720"/>
        <v>Low</v>
      </c>
      <c r="P4646" t="str">
        <f t="shared" si="721"/>
        <v>Low</v>
      </c>
      <c r="Q4646" t="str">
        <f t="shared" si="722"/>
        <v>Low</v>
      </c>
      <c r="R4646" t="s">
        <v>3317</v>
      </c>
      <c r="S4646" s="4">
        <f t="shared" ca="1" si="723"/>
        <v>834</v>
      </c>
      <c r="T4646">
        <f t="shared" si="724"/>
        <v>1</v>
      </c>
      <c r="U4646">
        <f t="shared" si="725"/>
        <v>1</v>
      </c>
      <c r="V4646">
        <f t="shared" si="726"/>
        <v>1</v>
      </c>
      <c r="W4646">
        <f t="shared" si="727"/>
        <v>1</v>
      </c>
      <c r="X4646">
        <f t="shared" si="728"/>
        <v>0.99999999999999989</v>
      </c>
      <c r="Y4646" t="str">
        <f t="shared" si="729"/>
        <v>Healthy</v>
      </c>
    </row>
    <row r="4647" spans="1:25" x14ac:dyDescent="0.35">
      <c r="A4647" t="s">
        <v>90</v>
      </c>
      <c r="B4647" t="s">
        <v>404</v>
      </c>
      <c r="C4647" t="s">
        <v>405</v>
      </c>
      <c r="D4647" t="s">
        <v>406</v>
      </c>
      <c r="E4647">
        <v>80791269</v>
      </c>
      <c r="F4647" t="s">
        <v>2924</v>
      </c>
      <c r="G4647" s="3">
        <v>46187</v>
      </c>
      <c r="H4647">
        <v>24</v>
      </c>
      <c r="I4647">
        <v>0</v>
      </c>
      <c r="J4647">
        <v>4</v>
      </c>
      <c r="K4647" s="4">
        <v>707.36</v>
      </c>
      <c r="L4647" s="4">
        <v>0.42857142857142855</v>
      </c>
      <c r="M4647" s="4">
        <v>9.3333333333333339</v>
      </c>
      <c r="N4647" t="s">
        <v>19</v>
      </c>
      <c r="O4647" t="str">
        <f t="shared" si="720"/>
        <v>High</v>
      </c>
      <c r="P4647" t="str">
        <f t="shared" si="721"/>
        <v>High</v>
      </c>
      <c r="Q4647" t="str">
        <f t="shared" si="722"/>
        <v>High</v>
      </c>
      <c r="R4647" t="s">
        <v>3317</v>
      </c>
      <c r="S4647" s="4">
        <f t="shared" ca="1" si="723"/>
        <v>-10</v>
      </c>
      <c r="T4647">
        <f t="shared" si="724"/>
        <v>3</v>
      </c>
      <c r="U4647">
        <f t="shared" si="725"/>
        <v>3</v>
      </c>
      <c r="V4647">
        <f t="shared" si="726"/>
        <v>3</v>
      </c>
      <c r="W4647">
        <f t="shared" si="727"/>
        <v>1</v>
      </c>
      <c r="X4647">
        <f t="shared" si="728"/>
        <v>2.8000000000000003</v>
      </c>
      <c r="Y4647" t="str">
        <f t="shared" si="729"/>
        <v>Move Immediately</v>
      </c>
    </row>
    <row r="4648" spans="1:25" x14ac:dyDescent="0.35">
      <c r="A4648" t="s">
        <v>90</v>
      </c>
      <c r="B4648" t="s">
        <v>91</v>
      </c>
      <c r="C4648" t="s">
        <v>155</v>
      </c>
      <c r="D4648" t="s">
        <v>1893</v>
      </c>
      <c r="E4648">
        <v>80749454</v>
      </c>
      <c r="F4648" t="s">
        <v>2925</v>
      </c>
      <c r="G4648" s="3">
        <v>46279</v>
      </c>
      <c r="H4648">
        <v>24</v>
      </c>
      <c r="I4648">
        <v>12</v>
      </c>
      <c r="J4648">
        <v>18</v>
      </c>
      <c r="K4648" s="4">
        <v>5684.04</v>
      </c>
      <c r="L4648" s="4">
        <f>0</f>
        <v>0</v>
      </c>
      <c r="M4648" s="4">
        <f>999</f>
        <v>999</v>
      </c>
      <c r="N4648" t="s">
        <v>19</v>
      </c>
      <c r="O4648" t="str">
        <f t="shared" si="720"/>
        <v>High</v>
      </c>
      <c r="P4648" t="str">
        <f t="shared" si="721"/>
        <v>High</v>
      </c>
      <c r="Q4648" t="str">
        <f t="shared" si="722"/>
        <v>High</v>
      </c>
      <c r="R4648" t="s">
        <v>3317</v>
      </c>
      <c r="S4648" s="4">
        <f t="shared" ca="1" si="723"/>
        <v>82</v>
      </c>
      <c r="T4648">
        <f t="shared" si="724"/>
        <v>3</v>
      </c>
      <c r="U4648">
        <f t="shared" si="725"/>
        <v>3</v>
      </c>
      <c r="V4648">
        <f t="shared" si="726"/>
        <v>3</v>
      </c>
      <c r="W4648">
        <f t="shared" si="727"/>
        <v>1</v>
      </c>
      <c r="X4648">
        <f t="shared" si="728"/>
        <v>2.8000000000000003</v>
      </c>
      <c r="Y4648" t="str">
        <f t="shared" si="729"/>
        <v>Move Immediately</v>
      </c>
    </row>
    <row r="4649" spans="1:25" x14ac:dyDescent="0.35">
      <c r="A4649" t="s">
        <v>179</v>
      </c>
      <c r="B4649" t="s">
        <v>223</v>
      </c>
      <c r="C4649" t="s">
        <v>357</v>
      </c>
      <c r="D4649" t="s">
        <v>2926</v>
      </c>
      <c r="E4649">
        <v>80807458</v>
      </c>
      <c r="F4649" t="s">
        <v>2927</v>
      </c>
      <c r="G4649" s="3">
        <v>46830</v>
      </c>
      <c r="H4649">
        <v>18</v>
      </c>
      <c r="I4649">
        <v>100</v>
      </c>
      <c r="J4649">
        <v>72</v>
      </c>
      <c r="K4649" s="4">
        <v>9343.44</v>
      </c>
      <c r="L4649" s="4">
        <f>0</f>
        <v>0</v>
      </c>
      <c r="M4649" s="4">
        <f>999</f>
        <v>999</v>
      </c>
      <c r="N4649" t="s">
        <v>19</v>
      </c>
      <c r="O4649" t="str">
        <f t="shared" si="720"/>
        <v>Low</v>
      </c>
      <c r="P4649" t="str">
        <f t="shared" si="721"/>
        <v>High</v>
      </c>
      <c r="Q4649" t="str">
        <f t="shared" si="722"/>
        <v>High</v>
      </c>
      <c r="R4649" t="s">
        <v>3317</v>
      </c>
      <c r="S4649" s="4">
        <f t="shared" ca="1" si="723"/>
        <v>633</v>
      </c>
      <c r="T4649">
        <f t="shared" si="724"/>
        <v>1</v>
      </c>
      <c r="U4649">
        <f t="shared" si="725"/>
        <v>3</v>
      </c>
      <c r="V4649">
        <f t="shared" si="726"/>
        <v>3</v>
      </c>
      <c r="W4649">
        <f t="shared" si="727"/>
        <v>1</v>
      </c>
      <c r="X4649">
        <f t="shared" si="728"/>
        <v>2</v>
      </c>
      <c r="Y4649" t="str">
        <f t="shared" si="729"/>
        <v>Monitor</v>
      </c>
    </row>
    <row r="4650" spans="1:25" x14ac:dyDescent="0.35">
      <c r="A4650" t="s">
        <v>14</v>
      </c>
      <c r="B4650" t="s">
        <v>960</v>
      </c>
      <c r="C4650" t="s">
        <v>961</v>
      </c>
      <c r="D4650" t="s">
        <v>2928</v>
      </c>
      <c r="E4650">
        <v>80764159</v>
      </c>
      <c r="F4650" t="s">
        <v>2929</v>
      </c>
      <c r="G4650" s="3">
        <v>47958</v>
      </c>
      <c r="H4650">
        <v>60</v>
      </c>
      <c r="I4650">
        <v>98</v>
      </c>
      <c r="J4650">
        <v>8480</v>
      </c>
      <c r="K4650" s="4">
        <v>838502.40000000002</v>
      </c>
      <c r="L4650" s="4">
        <v>16109.285714285714</v>
      </c>
      <c r="M4650" s="4">
        <v>0.52640446947191066</v>
      </c>
      <c r="N4650" t="s">
        <v>25</v>
      </c>
      <c r="O4650" t="str">
        <f t="shared" si="720"/>
        <v>Low</v>
      </c>
      <c r="P4650" t="str">
        <f t="shared" si="721"/>
        <v>Low</v>
      </c>
      <c r="Q4650" t="str">
        <f t="shared" si="722"/>
        <v>Low</v>
      </c>
      <c r="R4650" t="s">
        <v>3309</v>
      </c>
      <c r="S4650" s="4">
        <f t="shared" ca="1" si="723"/>
        <v>1761</v>
      </c>
      <c r="T4650">
        <f t="shared" si="724"/>
        <v>1</v>
      </c>
      <c r="U4650">
        <f t="shared" si="725"/>
        <v>1</v>
      </c>
      <c r="V4650">
        <f t="shared" si="726"/>
        <v>1</v>
      </c>
      <c r="W4650">
        <f t="shared" si="727"/>
        <v>3</v>
      </c>
      <c r="X4650">
        <f t="shared" si="728"/>
        <v>1.2</v>
      </c>
      <c r="Y4650" t="str">
        <f t="shared" si="729"/>
        <v>Healthy</v>
      </c>
    </row>
    <row r="4651" spans="1:25" x14ac:dyDescent="0.35">
      <c r="A4651" t="s">
        <v>14</v>
      </c>
      <c r="B4651" t="s">
        <v>960</v>
      </c>
      <c r="C4651" t="s">
        <v>961</v>
      </c>
      <c r="D4651" t="s">
        <v>2928</v>
      </c>
      <c r="E4651">
        <v>80764159</v>
      </c>
      <c r="F4651" t="s">
        <v>2929</v>
      </c>
      <c r="G4651" s="3">
        <v>47990</v>
      </c>
      <c r="H4651">
        <v>60</v>
      </c>
      <c r="I4651">
        <v>100</v>
      </c>
      <c r="J4651">
        <v>204</v>
      </c>
      <c r="K4651" s="4">
        <v>20171.52</v>
      </c>
      <c r="L4651" s="4">
        <v>16109.285714285714</v>
      </c>
      <c r="M4651" s="4">
        <v>1.2663503746729926E-2</v>
      </c>
      <c r="N4651" t="s">
        <v>25</v>
      </c>
      <c r="O4651" t="str">
        <f t="shared" si="720"/>
        <v>Low</v>
      </c>
      <c r="P4651" t="str">
        <f t="shared" si="721"/>
        <v>Low</v>
      </c>
      <c r="Q4651" t="str">
        <f t="shared" si="722"/>
        <v>Low</v>
      </c>
      <c r="R4651" t="s">
        <v>3317</v>
      </c>
      <c r="S4651" s="4">
        <f t="shared" ca="1" si="723"/>
        <v>1793</v>
      </c>
      <c r="T4651">
        <f t="shared" si="724"/>
        <v>1</v>
      </c>
      <c r="U4651">
        <f t="shared" si="725"/>
        <v>1</v>
      </c>
      <c r="V4651">
        <f t="shared" si="726"/>
        <v>1</v>
      </c>
      <c r="W4651">
        <f t="shared" si="727"/>
        <v>1</v>
      </c>
      <c r="X4651">
        <f t="shared" si="728"/>
        <v>0.99999999999999989</v>
      </c>
      <c r="Y4651" t="str">
        <f t="shared" si="729"/>
        <v>Healthy</v>
      </c>
    </row>
    <row r="4652" spans="1:25" x14ac:dyDescent="0.35">
      <c r="A4652" t="s">
        <v>20</v>
      </c>
      <c r="B4652" t="s">
        <v>21</v>
      </c>
      <c r="C4652" t="s">
        <v>133</v>
      </c>
      <c r="D4652" t="s">
        <v>913</v>
      </c>
      <c r="E4652">
        <v>80791623</v>
      </c>
      <c r="F4652" t="s">
        <v>914</v>
      </c>
      <c r="G4652" s="3">
        <v>47121</v>
      </c>
      <c r="H4652">
        <v>36</v>
      </c>
      <c r="I4652">
        <v>86</v>
      </c>
      <c r="J4652">
        <v>12</v>
      </c>
      <c r="K4652" s="4">
        <v>41699.040000000001</v>
      </c>
      <c r="L4652" s="4">
        <v>18.857142857142858</v>
      </c>
      <c r="M4652" s="4">
        <v>0.63636363636363635</v>
      </c>
      <c r="N4652" t="s">
        <v>25</v>
      </c>
      <c r="O4652" t="str">
        <f t="shared" si="720"/>
        <v>Low</v>
      </c>
      <c r="P4652" t="str">
        <f t="shared" si="721"/>
        <v>Low</v>
      </c>
      <c r="Q4652" t="str">
        <f t="shared" si="722"/>
        <v>Low</v>
      </c>
      <c r="R4652" t="s">
        <v>3317</v>
      </c>
      <c r="S4652" s="4">
        <f t="shared" ca="1" si="723"/>
        <v>924</v>
      </c>
      <c r="T4652">
        <f t="shared" si="724"/>
        <v>1</v>
      </c>
      <c r="U4652">
        <f t="shared" si="725"/>
        <v>1</v>
      </c>
      <c r="V4652">
        <f t="shared" si="726"/>
        <v>1</v>
      </c>
      <c r="W4652">
        <f t="shared" si="727"/>
        <v>1</v>
      </c>
      <c r="X4652">
        <f t="shared" si="728"/>
        <v>0.99999999999999989</v>
      </c>
      <c r="Y4652" t="str">
        <f t="shared" si="729"/>
        <v>Healthy</v>
      </c>
    </row>
    <row r="4653" spans="1:25" x14ac:dyDescent="0.35">
      <c r="A4653" t="s">
        <v>20</v>
      </c>
      <c r="B4653" t="s">
        <v>21</v>
      </c>
      <c r="C4653" t="s">
        <v>133</v>
      </c>
      <c r="D4653" t="s">
        <v>913</v>
      </c>
      <c r="E4653">
        <v>80791623</v>
      </c>
      <c r="F4653" t="s">
        <v>914</v>
      </c>
      <c r="G4653" s="3">
        <v>46894</v>
      </c>
      <c r="H4653">
        <v>36</v>
      </c>
      <c r="I4653">
        <v>65</v>
      </c>
      <c r="J4653">
        <v>4</v>
      </c>
      <c r="K4653" s="4">
        <v>13899.68</v>
      </c>
      <c r="L4653" s="4">
        <v>18.857142857142858</v>
      </c>
      <c r="M4653" s="4">
        <v>0.21212121212121213</v>
      </c>
      <c r="N4653" t="s">
        <v>25</v>
      </c>
      <c r="O4653" t="str">
        <f t="shared" si="720"/>
        <v>Low</v>
      </c>
      <c r="P4653" t="str">
        <f t="shared" si="721"/>
        <v>Low</v>
      </c>
      <c r="Q4653" t="str">
        <f t="shared" si="722"/>
        <v>Low</v>
      </c>
      <c r="R4653" t="s">
        <v>3317</v>
      </c>
      <c r="S4653" s="4">
        <f t="shared" ca="1" si="723"/>
        <v>697</v>
      </c>
      <c r="T4653">
        <f t="shared" si="724"/>
        <v>1</v>
      </c>
      <c r="U4653">
        <f t="shared" si="725"/>
        <v>1</v>
      </c>
      <c r="V4653">
        <f t="shared" si="726"/>
        <v>1</v>
      </c>
      <c r="W4653">
        <f t="shared" si="727"/>
        <v>1</v>
      </c>
      <c r="X4653">
        <f t="shared" si="728"/>
        <v>0.99999999999999989</v>
      </c>
      <c r="Y4653" t="str">
        <f t="shared" si="729"/>
        <v>Healthy</v>
      </c>
    </row>
    <row r="4654" spans="1:25" x14ac:dyDescent="0.35">
      <c r="A4654" t="s">
        <v>20</v>
      </c>
      <c r="B4654" t="s">
        <v>21</v>
      </c>
      <c r="C4654" t="s">
        <v>133</v>
      </c>
      <c r="D4654" t="s">
        <v>913</v>
      </c>
      <c r="E4654">
        <v>80791623</v>
      </c>
      <c r="F4654" t="s">
        <v>914</v>
      </c>
      <c r="G4654" s="3">
        <v>47081</v>
      </c>
      <c r="H4654">
        <v>36</v>
      </c>
      <c r="I4654">
        <v>82</v>
      </c>
      <c r="J4654">
        <v>1</v>
      </c>
      <c r="K4654" s="4">
        <v>3474.92</v>
      </c>
      <c r="L4654" s="4">
        <v>18.857142857142858</v>
      </c>
      <c r="M4654" s="4">
        <v>5.3030303030303032E-2</v>
      </c>
      <c r="N4654" t="s">
        <v>25</v>
      </c>
      <c r="O4654" t="str">
        <f t="shared" si="720"/>
        <v>Low</v>
      </c>
      <c r="P4654" t="str">
        <f t="shared" si="721"/>
        <v>Low</v>
      </c>
      <c r="Q4654" t="str">
        <f t="shared" si="722"/>
        <v>Low</v>
      </c>
      <c r="R4654" t="s">
        <v>3317</v>
      </c>
      <c r="S4654" s="4">
        <f t="shared" ca="1" si="723"/>
        <v>884</v>
      </c>
      <c r="T4654">
        <f t="shared" si="724"/>
        <v>1</v>
      </c>
      <c r="U4654">
        <f t="shared" si="725"/>
        <v>1</v>
      </c>
      <c r="V4654">
        <f t="shared" si="726"/>
        <v>1</v>
      </c>
      <c r="W4654">
        <f t="shared" si="727"/>
        <v>1</v>
      </c>
      <c r="X4654">
        <f t="shared" si="728"/>
        <v>0.99999999999999989</v>
      </c>
      <c r="Y4654" t="str">
        <f t="shared" si="729"/>
        <v>Healthy</v>
      </c>
    </row>
    <row r="4655" spans="1:25" x14ac:dyDescent="0.35">
      <c r="A4655" t="s">
        <v>20</v>
      </c>
      <c r="B4655" t="s">
        <v>21</v>
      </c>
      <c r="C4655" t="s">
        <v>133</v>
      </c>
      <c r="D4655" t="s">
        <v>913</v>
      </c>
      <c r="E4655">
        <v>80791623</v>
      </c>
      <c r="F4655" t="s">
        <v>914</v>
      </c>
      <c r="G4655" s="3">
        <v>46764</v>
      </c>
      <c r="H4655">
        <v>36</v>
      </c>
      <c r="I4655">
        <v>53</v>
      </c>
      <c r="J4655">
        <v>3</v>
      </c>
      <c r="K4655" s="4">
        <v>10424.76</v>
      </c>
      <c r="L4655" s="4">
        <v>18.857142857142858</v>
      </c>
      <c r="M4655" s="4">
        <v>0.15909090909090909</v>
      </c>
      <c r="N4655" t="s">
        <v>25</v>
      </c>
      <c r="O4655" t="str">
        <f t="shared" si="720"/>
        <v>Low</v>
      </c>
      <c r="P4655" t="str">
        <f t="shared" si="721"/>
        <v>Low</v>
      </c>
      <c r="Q4655" t="str">
        <f t="shared" si="722"/>
        <v>Low</v>
      </c>
      <c r="R4655" t="s">
        <v>3317</v>
      </c>
      <c r="S4655" s="4">
        <f t="shared" ca="1" si="723"/>
        <v>567</v>
      </c>
      <c r="T4655">
        <f t="shared" si="724"/>
        <v>1</v>
      </c>
      <c r="U4655">
        <f t="shared" si="725"/>
        <v>1</v>
      </c>
      <c r="V4655">
        <f t="shared" si="726"/>
        <v>1</v>
      </c>
      <c r="W4655">
        <f t="shared" si="727"/>
        <v>1</v>
      </c>
      <c r="X4655">
        <f t="shared" si="728"/>
        <v>0.99999999999999989</v>
      </c>
      <c r="Y4655" t="str">
        <f t="shared" si="729"/>
        <v>Healthy</v>
      </c>
    </row>
    <row r="4656" spans="1:25" x14ac:dyDescent="0.35">
      <c r="A4656" t="s">
        <v>90</v>
      </c>
      <c r="B4656" t="s">
        <v>91</v>
      </c>
      <c r="C4656" t="s">
        <v>155</v>
      </c>
      <c r="D4656" t="s">
        <v>1394</v>
      </c>
      <c r="E4656">
        <v>80749456</v>
      </c>
      <c r="F4656" t="s">
        <v>2930</v>
      </c>
      <c r="G4656" s="3">
        <v>46174</v>
      </c>
      <c r="H4656">
        <v>24</v>
      </c>
      <c r="I4656">
        <v>0</v>
      </c>
      <c r="J4656">
        <v>11</v>
      </c>
      <c r="K4656" s="4">
        <v>4307.6000000000004</v>
      </c>
      <c r="L4656" s="4">
        <f>0</f>
        <v>0</v>
      </c>
      <c r="M4656" s="4">
        <f>999</f>
        <v>999</v>
      </c>
      <c r="N4656" t="s">
        <v>19</v>
      </c>
      <c r="O4656" t="str">
        <f t="shared" si="720"/>
        <v>High</v>
      </c>
      <c r="P4656" t="str">
        <f t="shared" si="721"/>
        <v>High</v>
      </c>
      <c r="Q4656" t="str">
        <f t="shared" si="722"/>
        <v>High</v>
      </c>
      <c r="R4656" t="s">
        <v>3317</v>
      </c>
      <c r="S4656" s="4">
        <f t="shared" ca="1" si="723"/>
        <v>-23</v>
      </c>
      <c r="T4656">
        <f t="shared" si="724"/>
        <v>3</v>
      </c>
      <c r="U4656">
        <f t="shared" si="725"/>
        <v>3</v>
      </c>
      <c r="V4656">
        <f t="shared" si="726"/>
        <v>3</v>
      </c>
      <c r="W4656">
        <f t="shared" si="727"/>
        <v>1</v>
      </c>
      <c r="X4656">
        <f t="shared" si="728"/>
        <v>2.8000000000000003</v>
      </c>
      <c r="Y4656" t="str">
        <f t="shared" si="729"/>
        <v>Move Immediately</v>
      </c>
    </row>
    <row r="4657" spans="1:25" x14ac:dyDescent="0.35">
      <c r="A4657" t="s">
        <v>29</v>
      </c>
      <c r="B4657" t="s">
        <v>30</v>
      </c>
      <c r="C4657" t="s">
        <v>276</v>
      </c>
      <c r="D4657" t="s">
        <v>1048</v>
      </c>
      <c r="E4657">
        <v>80794637</v>
      </c>
      <c r="F4657" t="s">
        <v>2931</v>
      </c>
      <c r="G4657" s="3">
        <v>46891</v>
      </c>
      <c r="H4657">
        <v>36</v>
      </c>
      <c r="I4657">
        <v>65</v>
      </c>
      <c r="J4657">
        <v>28</v>
      </c>
      <c r="K4657" s="4">
        <v>44776.2</v>
      </c>
      <c r="L4657" s="4">
        <v>173.71428571428572</v>
      </c>
      <c r="M4657" s="4">
        <v>0.16118421052631579</v>
      </c>
      <c r="N4657" t="s">
        <v>25</v>
      </c>
      <c r="O4657" t="str">
        <f t="shared" si="720"/>
        <v>Low</v>
      </c>
      <c r="P4657" t="str">
        <f t="shared" si="721"/>
        <v>Low</v>
      </c>
      <c r="Q4657" t="str">
        <f t="shared" si="722"/>
        <v>Low</v>
      </c>
      <c r="R4657" t="s">
        <v>3317</v>
      </c>
      <c r="S4657" s="4">
        <f t="shared" ca="1" si="723"/>
        <v>694</v>
      </c>
      <c r="T4657">
        <f t="shared" si="724"/>
        <v>1</v>
      </c>
      <c r="U4657">
        <f t="shared" si="725"/>
        <v>1</v>
      </c>
      <c r="V4657">
        <f t="shared" si="726"/>
        <v>1</v>
      </c>
      <c r="W4657">
        <f t="shared" si="727"/>
        <v>1</v>
      </c>
      <c r="X4657">
        <f t="shared" si="728"/>
        <v>0.99999999999999989</v>
      </c>
      <c r="Y4657" t="str">
        <f t="shared" si="729"/>
        <v>Healthy</v>
      </c>
    </row>
    <row r="4658" spans="1:25" x14ac:dyDescent="0.35">
      <c r="A4658" t="s">
        <v>90</v>
      </c>
      <c r="B4658" t="s">
        <v>91</v>
      </c>
      <c r="C4658" t="s">
        <v>155</v>
      </c>
      <c r="D4658" t="s">
        <v>1394</v>
      </c>
      <c r="E4658">
        <v>80749456</v>
      </c>
      <c r="F4658" t="s">
        <v>2930</v>
      </c>
      <c r="G4658" s="3">
        <v>46172</v>
      </c>
      <c r="H4658">
        <v>24</v>
      </c>
      <c r="I4658">
        <v>0</v>
      </c>
      <c r="J4658">
        <v>1</v>
      </c>
      <c r="K4658" s="4">
        <v>391.6</v>
      </c>
      <c r="L4658" s="4">
        <f>0</f>
        <v>0</v>
      </c>
      <c r="M4658" s="4">
        <f>999</f>
        <v>999</v>
      </c>
      <c r="N4658" t="s">
        <v>19</v>
      </c>
      <c r="O4658" t="str">
        <f t="shared" si="720"/>
        <v>High</v>
      </c>
      <c r="P4658" t="str">
        <f t="shared" si="721"/>
        <v>High</v>
      </c>
      <c r="Q4658" t="str">
        <f t="shared" si="722"/>
        <v>High</v>
      </c>
      <c r="R4658" t="s">
        <v>3317</v>
      </c>
      <c r="S4658" s="4">
        <f t="shared" ca="1" si="723"/>
        <v>-25</v>
      </c>
      <c r="T4658">
        <f t="shared" si="724"/>
        <v>3</v>
      </c>
      <c r="U4658">
        <f t="shared" si="725"/>
        <v>3</v>
      </c>
      <c r="V4658">
        <f t="shared" si="726"/>
        <v>3</v>
      </c>
      <c r="W4658">
        <f t="shared" si="727"/>
        <v>1</v>
      </c>
      <c r="X4658">
        <f t="shared" si="728"/>
        <v>2.8000000000000003</v>
      </c>
      <c r="Y4658" t="str">
        <f t="shared" si="729"/>
        <v>Move Immediately</v>
      </c>
    </row>
    <row r="4659" spans="1:25" x14ac:dyDescent="0.35">
      <c r="A4659" t="s">
        <v>29</v>
      </c>
      <c r="B4659" t="s">
        <v>30</v>
      </c>
      <c r="C4659" t="s">
        <v>276</v>
      </c>
      <c r="D4659" t="s">
        <v>1048</v>
      </c>
      <c r="E4659">
        <v>80794637</v>
      </c>
      <c r="F4659" t="s">
        <v>2931</v>
      </c>
      <c r="G4659" s="3">
        <v>46865</v>
      </c>
      <c r="H4659">
        <v>36</v>
      </c>
      <c r="I4659">
        <v>62</v>
      </c>
      <c r="J4659">
        <v>68</v>
      </c>
      <c r="K4659" s="4">
        <v>108742.2</v>
      </c>
      <c r="L4659" s="4">
        <v>173.71428571428572</v>
      </c>
      <c r="M4659" s="4">
        <v>0.3914473684210526</v>
      </c>
      <c r="N4659" t="s">
        <v>25</v>
      </c>
      <c r="O4659" t="str">
        <f t="shared" si="720"/>
        <v>Low</v>
      </c>
      <c r="P4659" t="str">
        <f t="shared" si="721"/>
        <v>Low</v>
      </c>
      <c r="Q4659" t="str">
        <f t="shared" si="722"/>
        <v>Low</v>
      </c>
      <c r="R4659" t="s">
        <v>3310</v>
      </c>
      <c r="S4659" s="4">
        <f t="shared" ca="1" si="723"/>
        <v>668</v>
      </c>
      <c r="T4659">
        <f t="shared" si="724"/>
        <v>1</v>
      </c>
      <c r="U4659">
        <f t="shared" si="725"/>
        <v>1</v>
      </c>
      <c r="V4659">
        <f t="shared" si="726"/>
        <v>1</v>
      </c>
      <c r="W4659">
        <f t="shared" si="727"/>
        <v>2</v>
      </c>
      <c r="X4659">
        <f t="shared" si="728"/>
        <v>1.0999999999999999</v>
      </c>
      <c r="Y4659" t="str">
        <f t="shared" si="729"/>
        <v>Healthy</v>
      </c>
    </row>
    <row r="4660" spans="1:25" x14ac:dyDescent="0.35">
      <c r="A4660" t="s">
        <v>90</v>
      </c>
      <c r="B4660" t="s">
        <v>91</v>
      </c>
      <c r="C4660" t="s">
        <v>155</v>
      </c>
      <c r="D4660" t="s">
        <v>1394</v>
      </c>
      <c r="E4660">
        <v>80749456</v>
      </c>
      <c r="F4660" t="s">
        <v>2930</v>
      </c>
      <c r="G4660" s="3">
        <v>46174</v>
      </c>
      <c r="H4660">
        <v>24</v>
      </c>
      <c r="I4660">
        <v>0</v>
      </c>
      <c r="J4660">
        <v>12</v>
      </c>
      <c r="K4660" s="4">
        <v>4699.2</v>
      </c>
      <c r="L4660" s="4">
        <f>0</f>
        <v>0</v>
      </c>
      <c r="M4660" s="4">
        <f>999</f>
        <v>999</v>
      </c>
      <c r="N4660" t="s">
        <v>19</v>
      </c>
      <c r="O4660" t="str">
        <f t="shared" si="720"/>
        <v>High</v>
      </c>
      <c r="P4660" t="str">
        <f t="shared" si="721"/>
        <v>High</v>
      </c>
      <c r="Q4660" t="str">
        <f t="shared" si="722"/>
        <v>High</v>
      </c>
      <c r="R4660" t="s">
        <v>3317</v>
      </c>
      <c r="S4660" s="4">
        <f t="shared" ca="1" si="723"/>
        <v>-23</v>
      </c>
      <c r="T4660">
        <f t="shared" si="724"/>
        <v>3</v>
      </c>
      <c r="U4660">
        <f t="shared" si="725"/>
        <v>3</v>
      </c>
      <c r="V4660">
        <f t="shared" si="726"/>
        <v>3</v>
      </c>
      <c r="W4660">
        <f t="shared" si="727"/>
        <v>1</v>
      </c>
      <c r="X4660">
        <f t="shared" si="728"/>
        <v>2.8000000000000003</v>
      </c>
      <c r="Y4660" t="str">
        <f t="shared" si="729"/>
        <v>Move Immediately</v>
      </c>
    </row>
    <row r="4661" spans="1:25" x14ac:dyDescent="0.35">
      <c r="A4661" t="s">
        <v>29</v>
      </c>
      <c r="B4661" t="s">
        <v>30</v>
      </c>
      <c r="C4661" t="s">
        <v>276</v>
      </c>
      <c r="D4661" t="s">
        <v>1048</v>
      </c>
      <c r="E4661">
        <v>80794637</v>
      </c>
      <c r="F4661" t="s">
        <v>2931</v>
      </c>
      <c r="G4661" s="3">
        <v>46577</v>
      </c>
      <c r="H4661">
        <v>36</v>
      </c>
      <c r="I4661">
        <v>36</v>
      </c>
      <c r="J4661">
        <v>22</v>
      </c>
      <c r="K4661" s="4">
        <v>35181.300000000003</v>
      </c>
      <c r="L4661" s="4">
        <v>173.71428571428572</v>
      </c>
      <c r="M4661" s="4">
        <v>0.12664473684210525</v>
      </c>
      <c r="N4661" t="s">
        <v>25</v>
      </c>
      <c r="O4661" t="str">
        <f t="shared" si="720"/>
        <v>Medium</v>
      </c>
      <c r="P4661" t="str">
        <f t="shared" si="721"/>
        <v>Low</v>
      </c>
      <c r="Q4661" t="str">
        <f t="shared" si="722"/>
        <v>Low</v>
      </c>
      <c r="R4661" t="s">
        <v>3317</v>
      </c>
      <c r="S4661" s="4">
        <f t="shared" ca="1" si="723"/>
        <v>380</v>
      </c>
      <c r="T4661">
        <f t="shared" si="724"/>
        <v>2</v>
      </c>
      <c r="U4661">
        <f t="shared" si="725"/>
        <v>1</v>
      </c>
      <c r="V4661">
        <f t="shared" si="726"/>
        <v>1</v>
      </c>
      <c r="W4661">
        <f t="shared" si="727"/>
        <v>1</v>
      </c>
      <c r="X4661">
        <f t="shared" si="728"/>
        <v>1.4000000000000001</v>
      </c>
      <c r="Y4661" t="str">
        <f t="shared" si="729"/>
        <v>Healthy</v>
      </c>
    </row>
    <row r="4662" spans="1:25" x14ac:dyDescent="0.35">
      <c r="A4662" t="s">
        <v>189</v>
      </c>
      <c r="B4662" t="s">
        <v>859</v>
      </c>
      <c r="C4662" t="s">
        <v>859</v>
      </c>
      <c r="D4662" t="s">
        <v>2932</v>
      </c>
      <c r="E4662">
        <v>80798736</v>
      </c>
      <c r="F4662" t="s">
        <v>2933</v>
      </c>
      <c r="G4662" s="3">
        <v>45984</v>
      </c>
      <c r="H4662">
        <v>18</v>
      </c>
      <c r="I4662">
        <v>0</v>
      </c>
      <c r="J4662">
        <v>120</v>
      </c>
      <c r="K4662" s="4">
        <v>5767.2</v>
      </c>
      <c r="L4662" s="4">
        <v>1356.8571428571429</v>
      </c>
      <c r="M4662" s="4">
        <v>8.843967150979154E-2</v>
      </c>
      <c r="N4662" t="s">
        <v>25</v>
      </c>
      <c r="O4662" t="str">
        <f t="shared" si="720"/>
        <v>High</v>
      </c>
      <c r="P4662" t="str">
        <f t="shared" si="721"/>
        <v>Low</v>
      </c>
      <c r="Q4662" t="str">
        <f t="shared" si="722"/>
        <v>Low</v>
      </c>
      <c r="R4662" t="s">
        <v>3317</v>
      </c>
      <c r="S4662" s="4">
        <f t="shared" ca="1" si="723"/>
        <v>-213</v>
      </c>
      <c r="T4662">
        <f t="shared" si="724"/>
        <v>3</v>
      </c>
      <c r="U4662">
        <f t="shared" si="725"/>
        <v>1</v>
      </c>
      <c r="V4662">
        <f t="shared" si="726"/>
        <v>1</v>
      </c>
      <c r="W4662">
        <f t="shared" si="727"/>
        <v>1</v>
      </c>
      <c r="X4662">
        <f t="shared" si="728"/>
        <v>1.8000000000000003</v>
      </c>
      <c r="Y4662" t="str">
        <f t="shared" si="729"/>
        <v>Monitor</v>
      </c>
    </row>
    <row r="4663" spans="1:25" x14ac:dyDescent="0.35">
      <c r="A4663" t="s">
        <v>90</v>
      </c>
      <c r="B4663" t="s">
        <v>91</v>
      </c>
      <c r="C4663" t="s">
        <v>155</v>
      </c>
      <c r="D4663" t="s">
        <v>1394</v>
      </c>
      <c r="E4663">
        <v>80749456</v>
      </c>
      <c r="F4663" t="s">
        <v>2930</v>
      </c>
      <c r="G4663" s="3">
        <v>46396</v>
      </c>
      <c r="H4663">
        <v>24</v>
      </c>
      <c r="I4663">
        <v>28</v>
      </c>
      <c r="J4663">
        <v>12</v>
      </c>
      <c r="K4663" s="4">
        <v>4699.2</v>
      </c>
      <c r="L4663" s="4">
        <f>0</f>
        <v>0</v>
      </c>
      <c r="M4663" s="4">
        <f>999</f>
        <v>999</v>
      </c>
      <c r="N4663" t="s">
        <v>19</v>
      </c>
      <c r="O4663" t="str">
        <f t="shared" si="720"/>
        <v>Medium</v>
      </c>
      <c r="P4663" t="str">
        <f t="shared" si="721"/>
        <v>High</v>
      </c>
      <c r="Q4663" t="str">
        <f t="shared" si="722"/>
        <v>High</v>
      </c>
      <c r="R4663" t="s">
        <v>3317</v>
      </c>
      <c r="S4663" s="4">
        <f t="shared" ca="1" si="723"/>
        <v>199</v>
      </c>
      <c r="T4663">
        <f t="shared" si="724"/>
        <v>2</v>
      </c>
      <c r="U4663">
        <f t="shared" si="725"/>
        <v>3</v>
      </c>
      <c r="V4663">
        <f t="shared" si="726"/>
        <v>3</v>
      </c>
      <c r="W4663">
        <f t="shared" si="727"/>
        <v>1</v>
      </c>
      <c r="X4663">
        <f t="shared" si="728"/>
        <v>2.4</v>
      </c>
      <c r="Y4663" t="str">
        <f t="shared" si="729"/>
        <v>High Priority</v>
      </c>
    </row>
    <row r="4664" spans="1:25" x14ac:dyDescent="0.35">
      <c r="A4664" t="s">
        <v>189</v>
      </c>
      <c r="B4664" t="s">
        <v>859</v>
      </c>
      <c r="C4664" t="s">
        <v>859</v>
      </c>
      <c r="D4664" t="s">
        <v>2932</v>
      </c>
      <c r="E4664">
        <v>80798736</v>
      </c>
      <c r="F4664" t="s">
        <v>2933</v>
      </c>
      <c r="G4664" s="3">
        <v>46270</v>
      </c>
      <c r="H4664">
        <v>18</v>
      </c>
      <c r="I4664">
        <v>14</v>
      </c>
      <c r="J4664">
        <v>42</v>
      </c>
      <c r="K4664" s="4">
        <v>2018.52</v>
      </c>
      <c r="L4664" s="4">
        <v>1356.8571428571429</v>
      </c>
      <c r="M4664" s="4">
        <v>3.0953885028427035E-2</v>
      </c>
      <c r="N4664" t="s">
        <v>25</v>
      </c>
      <c r="O4664" t="str">
        <f t="shared" si="720"/>
        <v>High</v>
      </c>
      <c r="P4664" t="str">
        <f t="shared" si="721"/>
        <v>Low</v>
      </c>
      <c r="Q4664" t="str">
        <f t="shared" si="722"/>
        <v>Low</v>
      </c>
      <c r="R4664" t="s">
        <v>3317</v>
      </c>
      <c r="S4664" s="4">
        <f t="shared" ca="1" si="723"/>
        <v>73</v>
      </c>
      <c r="T4664">
        <f t="shared" si="724"/>
        <v>3</v>
      </c>
      <c r="U4664">
        <f t="shared" si="725"/>
        <v>1</v>
      </c>
      <c r="V4664">
        <f t="shared" si="726"/>
        <v>1</v>
      </c>
      <c r="W4664">
        <f t="shared" si="727"/>
        <v>1</v>
      </c>
      <c r="X4664">
        <f t="shared" si="728"/>
        <v>1.8000000000000003</v>
      </c>
      <c r="Y4664" t="str">
        <f t="shared" si="729"/>
        <v>Monitor</v>
      </c>
    </row>
    <row r="4665" spans="1:25" x14ac:dyDescent="0.35">
      <c r="A4665" t="s">
        <v>104</v>
      </c>
      <c r="B4665" t="s">
        <v>105</v>
      </c>
      <c r="C4665" t="s">
        <v>731</v>
      </c>
      <c r="D4665" t="s">
        <v>2934</v>
      </c>
      <c r="E4665">
        <v>80753890</v>
      </c>
      <c r="F4665" t="s">
        <v>2935</v>
      </c>
      <c r="G4665" s="3">
        <v>46626</v>
      </c>
      <c r="H4665">
        <v>24</v>
      </c>
      <c r="I4665">
        <v>60</v>
      </c>
      <c r="J4665">
        <v>4</v>
      </c>
      <c r="K4665" s="4">
        <v>796.76</v>
      </c>
      <c r="L4665" s="4">
        <v>21.857142857142858</v>
      </c>
      <c r="M4665" s="4">
        <v>0.18300653594771241</v>
      </c>
      <c r="N4665" t="s">
        <v>25</v>
      </c>
      <c r="O4665" t="str">
        <f t="shared" si="720"/>
        <v>Low</v>
      </c>
      <c r="P4665" t="str">
        <f t="shared" si="721"/>
        <v>Low</v>
      </c>
      <c r="Q4665" t="str">
        <f t="shared" si="722"/>
        <v>Low</v>
      </c>
      <c r="R4665" t="s">
        <v>3317</v>
      </c>
      <c r="S4665" s="4">
        <f t="shared" ca="1" si="723"/>
        <v>429</v>
      </c>
      <c r="T4665">
        <f t="shared" si="724"/>
        <v>1</v>
      </c>
      <c r="U4665">
        <f t="shared" si="725"/>
        <v>1</v>
      </c>
      <c r="V4665">
        <f t="shared" si="726"/>
        <v>1</v>
      </c>
      <c r="W4665">
        <f t="shared" si="727"/>
        <v>1</v>
      </c>
      <c r="X4665">
        <f t="shared" si="728"/>
        <v>0.99999999999999989</v>
      </c>
      <c r="Y4665" t="str">
        <f t="shared" si="729"/>
        <v>Healthy</v>
      </c>
    </row>
    <row r="4666" spans="1:25" x14ac:dyDescent="0.35">
      <c r="A4666" t="s">
        <v>104</v>
      </c>
      <c r="B4666" t="s">
        <v>105</v>
      </c>
      <c r="C4666" t="s">
        <v>731</v>
      </c>
      <c r="D4666" t="s">
        <v>2934</v>
      </c>
      <c r="E4666">
        <v>80753890</v>
      </c>
      <c r="F4666" t="s">
        <v>2935</v>
      </c>
      <c r="G4666" s="3">
        <v>46556</v>
      </c>
      <c r="H4666">
        <v>24</v>
      </c>
      <c r="I4666">
        <v>51</v>
      </c>
      <c r="J4666">
        <v>3</v>
      </c>
      <c r="K4666" s="4">
        <v>597.57000000000005</v>
      </c>
      <c r="L4666" s="4">
        <v>21.857142857142858</v>
      </c>
      <c r="M4666" s="4">
        <v>0.1372549019607843</v>
      </c>
      <c r="N4666" t="s">
        <v>25</v>
      </c>
      <c r="O4666" t="str">
        <f t="shared" si="720"/>
        <v>Low</v>
      </c>
      <c r="P4666" t="str">
        <f t="shared" si="721"/>
        <v>Low</v>
      </c>
      <c r="Q4666" t="str">
        <f t="shared" si="722"/>
        <v>Low</v>
      </c>
      <c r="R4666" t="s">
        <v>3317</v>
      </c>
      <c r="S4666" s="4">
        <f t="shared" ca="1" si="723"/>
        <v>359</v>
      </c>
      <c r="T4666">
        <f t="shared" si="724"/>
        <v>1</v>
      </c>
      <c r="U4666">
        <f t="shared" si="725"/>
        <v>1</v>
      </c>
      <c r="V4666">
        <f t="shared" si="726"/>
        <v>1</v>
      </c>
      <c r="W4666">
        <f t="shared" si="727"/>
        <v>1</v>
      </c>
      <c r="X4666">
        <f t="shared" si="728"/>
        <v>0.99999999999999989</v>
      </c>
      <c r="Y4666" t="str">
        <f t="shared" si="729"/>
        <v>Healthy</v>
      </c>
    </row>
    <row r="4667" spans="1:25" x14ac:dyDescent="0.35">
      <c r="A4667" t="s">
        <v>71</v>
      </c>
      <c r="B4667" t="s">
        <v>72</v>
      </c>
      <c r="C4667" t="s">
        <v>73</v>
      </c>
      <c r="D4667" t="s">
        <v>1979</v>
      </c>
      <c r="E4667">
        <v>80815779</v>
      </c>
      <c r="F4667" t="s">
        <v>2936</v>
      </c>
      <c r="G4667" s="3">
        <v>46868</v>
      </c>
      <c r="H4667">
        <v>36</v>
      </c>
      <c r="I4667">
        <v>63</v>
      </c>
      <c r="J4667">
        <v>6</v>
      </c>
      <c r="K4667" s="4">
        <v>4041.48</v>
      </c>
      <c r="L4667" s="4">
        <v>1.7142857142857142</v>
      </c>
      <c r="M4667" s="4">
        <v>3.5</v>
      </c>
      <c r="N4667" t="s">
        <v>25</v>
      </c>
      <c r="O4667" t="str">
        <f t="shared" si="720"/>
        <v>Low</v>
      </c>
      <c r="P4667" t="str">
        <f t="shared" si="721"/>
        <v>Low</v>
      </c>
      <c r="Q4667" t="str">
        <f t="shared" si="722"/>
        <v>High</v>
      </c>
      <c r="R4667" t="s">
        <v>3317</v>
      </c>
      <c r="S4667" s="4">
        <f t="shared" ca="1" si="723"/>
        <v>671</v>
      </c>
      <c r="T4667">
        <f t="shared" si="724"/>
        <v>1</v>
      </c>
      <c r="U4667">
        <f t="shared" si="725"/>
        <v>1</v>
      </c>
      <c r="V4667">
        <f t="shared" si="726"/>
        <v>3</v>
      </c>
      <c r="W4667">
        <f t="shared" si="727"/>
        <v>1</v>
      </c>
      <c r="X4667">
        <f t="shared" si="728"/>
        <v>1.4000000000000001</v>
      </c>
      <c r="Y4667" t="str">
        <f t="shared" si="729"/>
        <v>Healthy</v>
      </c>
    </row>
    <row r="4668" spans="1:25" x14ac:dyDescent="0.35">
      <c r="A4668" t="s">
        <v>71</v>
      </c>
      <c r="B4668" t="s">
        <v>72</v>
      </c>
      <c r="C4668" t="s">
        <v>73</v>
      </c>
      <c r="D4668" t="s">
        <v>1979</v>
      </c>
      <c r="E4668">
        <v>80815779</v>
      </c>
      <c r="F4668" t="s">
        <v>2936</v>
      </c>
      <c r="G4668" s="3">
        <v>46775</v>
      </c>
      <c r="H4668">
        <v>36</v>
      </c>
      <c r="I4668">
        <v>54</v>
      </c>
      <c r="J4668">
        <v>1</v>
      </c>
      <c r="K4668" s="4">
        <v>673.58</v>
      </c>
      <c r="L4668" s="4">
        <v>1.7142857142857142</v>
      </c>
      <c r="M4668" s="4">
        <v>0.58333333333333337</v>
      </c>
      <c r="N4668" t="s">
        <v>25</v>
      </c>
      <c r="O4668" t="str">
        <f t="shared" si="720"/>
        <v>Low</v>
      </c>
      <c r="P4668" t="str">
        <f t="shared" si="721"/>
        <v>Low</v>
      </c>
      <c r="Q4668" t="str">
        <f t="shared" si="722"/>
        <v>High</v>
      </c>
      <c r="R4668" t="s">
        <v>3317</v>
      </c>
      <c r="S4668" s="4">
        <f t="shared" ca="1" si="723"/>
        <v>578</v>
      </c>
      <c r="T4668">
        <f t="shared" si="724"/>
        <v>1</v>
      </c>
      <c r="U4668">
        <f t="shared" si="725"/>
        <v>1</v>
      </c>
      <c r="V4668">
        <f t="shared" si="726"/>
        <v>3</v>
      </c>
      <c r="W4668">
        <f t="shared" si="727"/>
        <v>1</v>
      </c>
      <c r="X4668">
        <f t="shared" si="728"/>
        <v>1.4000000000000001</v>
      </c>
      <c r="Y4668" t="str">
        <f t="shared" si="729"/>
        <v>Healthy</v>
      </c>
    </row>
    <row r="4669" spans="1:25" x14ac:dyDescent="0.35">
      <c r="A4669" t="s">
        <v>71</v>
      </c>
      <c r="B4669" t="s">
        <v>72</v>
      </c>
      <c r="C4669" t="s">
        <v>73</v>
      </c>
      <c r="D4669" t="s">
        <v>1979</v>
      </c>
      <c r="E4669">
        <v>80815779</v>
      </c>
      <c r="F4669" t="s">
        <v>2936</v>
      </c>
      <c r="G4669" s="3">
        <v>46878</v>
      </c>
      <c r="H4669">
        <v>36</v>
      </c>
      <c r="I4669">
        <v>64</v>
      </c>
      <c r="J4669">
        <v>7</v>
      </c>
      <c r="K4669" s="4">
        <v>4715.0600000000004</v>
      </c>
      <c r="L4669" s="4">
        <v>1.7142857142857142</v>
      </c>
      <c r="M4669" s="4">
        <v>4.0833333333333339</v>
      </c>
      <c r="N4669" t="s">
        <v>25</v>
      </c>
      <c r="O4669" t="str">
        <f t="shared" si="720"/>
        <v>Low</v>
      </c>
      <c r="P4669" t="str">
        <f t="shared" si="721"/>
        <v>Medium</v>
      </c>
      <c r="Q4669" t="str">
        <f t="shared" si="722"/>
        <v>High</v>
      </c>
      <c r="R4669" t="s">
        <v>3317</v>
      </c>
      <c r="S4669" s="4">
        <f t="shared" ca="1" si="723"/>
        <v>681</v>
      </c>
      <c r="T4669">
        <f t="shared" si="724"/>
        <v>1</v>
      </c>
      <c r="U4669">
        <f t="shared" si="725"/>
        <v>2</v>
      </c>
      <c r="V4669">
        <f t="shared" si="726"/>
        <v>3</v>
      </c>
      <c r="W4669">
        <f t="shared" si="727"/>
        <v>1</v>
      </c>
      <c r="X4669">
        <f t="shared" si="728"/>
        <v>1.7000000000000002</v>
      </c>
      <c r="Y4669" t="str">
        <f t="shared" si="729"/>
        <v>Monitor</v>
      </c>
    </row>
    <row r="4670" spans="1:25" x14ac:dyDescent="0.35">
      <c r="A4670" t="s">
        <v>71</v>
      </c>
      <c r="B4670" t="s">
        <v>72</v>
      </c>
      <c r="C4670" t="s">
        <v>73</v>
      </c>
      <c r="D4670" t="s">
        <v>1979</v>
      </c>
      <c r="E4670">
        <v>80815779</v>
      </c>
      <c r="F4670" t="s">
        <v>2936</v>
      </c>
      <c r="G4670" s="3">
        <v>46892</v>
      </c>
      <c r="H4670">
        <v>36</v>
      </c>
      <c r="I4670">
        <v>65</v>
      </c>
      <c r="J4670">
        <v>3</v>
      </c>
      <c r="K4670" s="4">
        <v>2020.74</v>
      </c>
      <c r="L4670" s="4">
        <v>1.7142857142857142</v>
      </c>
      <c r="M4670" s="4">
        <v>1.75</v>
      </c>
      <c r="N4670" t="s">
        <v>25</v>
      </c>
      <c r="O4670" t="str">
        <f t="shared" si="720"/>
        <v>Low</v>
      </c>
      <c r="P4670" t="str">
        <f t="shared" si="721"/>
        <v>Low</v>
      </c>
      <c r="Q4670" t="str">
        <f t="shared" si="722"/>
        <v>High</v>
      </c>
      <c r="R4670" t="s">
        <v>3317</v>
      </c>
      <c r="S4670" s="4">
        <f t="shared" ca="1" si="723"/>
        <v>695</v>
      </c>
      <c r="T4670">
        <f t="shared" si="724"/>
        <v>1</v>
      </c>
      <c r="U4670">
        <f t="shared" si="725"/>
        <v>1</v>
      </c>
      <c r="V4670">
        <f t="shared" si="726"/>
        <v>3</v>
      </c>
      <c r="W4670">
        <f t="shared" si="727"/>
        <v>1</v>
      </c>
      <c r="X4670">
        <f t="shared" si="728"/>
        <v>1.4000000000000001</v>
      </c>
      <c r="Y4670" t="str">
        <f t="shared" si="729"/>
        <v>Healthy</v>
      </c>
    </row>
    <row r="4671" spans="1:25" x14ac:dyDescent="0.35">
      <c r="A4671" t="s">
        <v>71</v>
      </c>
      <c r="B4671" t="s">
        <v>72</v>
      </c>
      <c r="C4671" t="s">
        <v>1228</v>
      </c>
      <c r="D4671" t="s">
        <v>2473</v>
      </c>
      <c r="E4671">
        <v>80818461</v>
      </c>
      <c r="F4671" t="s">
        <v>2937</v>
      </c>
      <c r="G4671" s="3">
        <v>46711</v>
      </c>
      <c r="H4671">
        <v>36</v>
      </c>
      <c r="I4671">
        <v>48</v>
      </c>
      <c r="J4671">
        <v>6</v>
      </c>
      <c r="K4671" s="4">
        <v>2692.74</v>
      </c>
      <c r="L4671" s="4">
        <v>0.7142857142857143</v>
      </c>
      <c r="M4671" s="4">
        <v>8.4</v>
      </c>
      <c r="N4671" t="s">
        <v>19</v>
      </c>
      <c r="O4671" t="str">
        <f t="shared" si="720"/>
        <v>Low</v>
      </c>
      <c r="P4671" t="str">
        <f t="shared" si="721"/>
        <v>High</v>
      </c>
      <c r="Q4671" t="str">
        <f t="shared" si="722"/>
        <v>High</v>
      </c>
      <c r="R4671" t="s">
        <v>3317</v>
      </c>
      <c r="S4671" s="4">
        <f t="shared" ca="1" si="723"/>
        <v>514</v>
      </c>
      <c r="T4671">
        <f t="shared" si="724"/>
        <v>1</v>
      </c>
      <c r="U4671">
        <f t="shared" si="725"/>
        <v>3</v>
      </c>
      <c r="V4671">
        <f t="shared" si="726"/>
        <v>3</v>
      </c>
      <c r="W4671">
        <f t="shared" si="727"/>
        <v>1</v>
      </c>
      <c r="X4671">
        <f t="shared" si="728"/>
        <v>2</v>
      </c>
      <c r="Y4671" t="str">
        <f t="shared" si="729"/>
        <v>Monitor</v>
      </c>
    </row>
    <row r="4672" spans="1:25" x14ac:dyDescent="0.35">
      <c r="A4672" t="s">
        <v>71</v>
      </c>
      <c r="B4672" t="s">
        <v>72</v>
      </c>
      <c r="C4672" t="s">
        <v>73</v>
      </c>
      <c r="D4672" t="s">
        <v>78</v>
      </c>
      <c r="E4672">
        <v>80763120</v>
      </c>
      <c r="F4672" t="s">
        <v>2938</v>
      </c>
      <c r="G4672" s="3">
        <v>46482</v>
      </c>
      <c r="H4672">
        <v>36</v>
      </c>
      <c r="I4672">
        <v>27</v>
      </c>
      <c r="J4672">
        <v>6</v>
      </c>
      <c r="K4672" s="4">
        <v>4041.48</v>
      </c>
      <c r="L4672" s="4">
        <f>0</f>
        <v>0</v>
      </c>
      <c r="M4672" s="4">
        <f>999</f>
        <v>999</v>
      </c>
      <c r="N4672" t="s">
        <v>19</v>
      </c>
      <c r="O4672" t="str">
        <f t="shared" si="720"/>
        <v>Medium</v>
      </c>
      <c r="P4672" t="str">
        <f t="shared" si="721"/>
        <v>High</v>
      </c>
      <c r="Q4672" t="str">
        <f t="shared" si="722"/>
        <v>High</v>
      </c>
      <c r="R4672" t="s">
        <v>3317</v>
      </c>
      <c r="S4672" s="4">
        <f t="shared" ca="1" si="723"/>
        <v>285</v>
      </c>
      <c r="T4672">
        <f t="shared" si="724"/>
        <v>2</v>
      </c>
      <c r="U4672">
        <f t="shared" si="725"/>
        <v>3</v>
      </c>
      <c r="V4672">
        <f t="shared" si="726"/>
        <v>3</v>
      </c>
      <c r="W4672">
        <f t="shared" si="727"/>
        <v>1</v>
      </c>
      <c r="X4672">
        <f t="shared" si="728"/>
        <v>2.4</v>
      </c>
      <c r="Y4672" t="str">
        <f t="shared" si="729"/>
        <v>High Priority</v>
      </c>
    </row>
    <row r="4673" spans="1:25" x14ac:dyDescent="0.35">
      <c r="A4673" t="s">
        <v>179</v>
      </c>
      <c r="B4673" t="s">
        <v>223</v>
      </c>
      <c r="C4673" t="s">
        <v>357</v>
      </c>
      <c r="D4673" t="s">
        <v>1280</v>
      </c>
      <c r="E4673">
        <v>80823648</v>
      </c>
      <c r="F4673" t="s">
        <v>2939</v>
      </c>
      <c r="G4673" s="3">
        <v>47410</v>
      </c>
      <c r="H4673">
        <v>18</v>
      </c>
      <c r="I4673">
        <v>100</v>
      </c>
      <c r="J4673">
        <v>27</v>
      </c>
      <c r="K4673" s="4">
        <v>24239.25</v>
      </c>
      <c r="L4673" s="4">
        <v>4.5714285714285712</v>
      </c>
      <c r="M4673" s="4">
        <v>5.90625</v>
      </c>
      <c r="N4673" t="s">
        <v>25</v>
      </c>
      <c r="O4673" t="str">
        <f t="shared" si="720"/>
        <v>Low</v>
      </c>
      <c r="P4673" t="str">
        <f t="shared" si="721"/>
        <v>Medium</v>
      </c>
      <c r="Q4673" t="str">
        <f t="shared" si="722"/>
        <v>High</v>
      </c>
      <c r="R4673" t="s">
        <v>3317</v>
      </c>
      <c r="S4673" s="4">
        <f t="shared" ca="1" si="723"/>
        <v>1213</v>
      </c>
      <c r="T4673">
        <f t="shared" si="724"/>
        <v>1</v>
      </c>
      <c r="U4673">
        <f t="shared" si="725"/>
        <v>2</v>
      </c>
      <c r="V4673">
        <f t="shared" si="726"/>
        <v>3</v>
      </c>
      <c r="W4673">
        <f t="shared" si="727"/>
        <v>1</v>
      </c>
      <c r="X4673">
        <f t="shared" si="728"/>
        <v>1.7000000000000002</v>
      </c>
      <c r="Y4673" t="str">
        <f t="shared" si="729"/>
        <v>Monitor</v>
      </c>
    </row>
    <row r="4674" spans="1:25" x14ac:dyDescent="0.35">
      <c r="A4674" t="s">
        <v>179</v>
      </c>
      <c r="B4674" t="s">
        <v>180</v>
      </c>
      <c r="C4674" t="s">
        <v>181</v>
      </c>
      <c r="D4674" t="s">
        <v>1327</v>
      </c>
      <c r="E4674">
        <v>80829757</v>
      </c>
      <c r="F4674" t="s">
        <v>2940</v>
      </c>
      <c r="G4674" s="3">
        <v>46151</v>
      </c>
      <c r="H4674">
        <v>16</v>
      </c>
      <c r="I4674">
        <v>0</v>
      </c>
      <c r="J4674">
        <v>35</v>
      </c>
      <c r="K4674" s="4">
        <v>5166.7</v>
      </c>
      <c r="L4674" s="4">
        <v>3.5714285714285716</v>
      </c>
      <c r="M4674" s="4">
        <v>9.7999999999999989</v>
      </c>
      <c r="N4674" t="s">
        <v>19</v>
      </c>
      <c r="O4674" t="str">
        <f t="shared" si="720"/>
        <v>High</v>
      </c>
      <c r="P4674" t="str">
        <f t="shared" si="721"/>
        <v>High</v>
      </c>
      <c r="Q4674" t="str">
        <f t="shared" si="722"/>
        <v>High</v>
      </c>
      <c r="R4674" t="s">
        <v>3317</v>
      </c>
      <c r="S4674" s="4">
        <f t="shared" ca="1" si="723"/>
        <v>-46</v>
      </c>
      <c r="T4674">
        <f t="shared" si="724"/>
        <v>3</v>
      </c>
      <c r="U4674">
        <f t="shared" si="725"/>
        <v>3</v>
      </c>
      <c r="V4674">
        <f t="shared" si="726"/>
        <v>3</v>
      </c>
      <c r="W4674">
        <f t="shared" si="727"/>
        <v>1</v>
      </c>
      <c r="X4674">
        <f t="shared" si="728"/>
        <v>2.8000000000000003</v>
      </c>
      <c r="Y4674" t="str">
        <f t="shared" si="729"/>
        <v>Move Immediately</v>
      </c>
    </row>
    <row r="4675" spans="1:25" x14ac:dyDescent="0.35">
      <c r="A4675" t="s">
        <v>179</v>
      </c>
      <c r="B4675" t="s">
        <v>180</v>
      </c>
      <c r="C4675" t="s">
        <v>181</v>
      </c>
      <c r="D4675" t="s">
        <v>1327</v>
      </c>
      <c r="E4675">
        <v>80829757</v>
      </c>
      <c r="F4675" t="s">
        <v>2940</v>
      </c>
      <c r="G4675" s="3">
        <v>47395</v>
      </c>
      <c r="H4675">
        <v>16</v>
      </c>
      <c r="I4675">
        <v>100</v>
      </c>
      <c r="J4675">
        <v>13</v>
      </c>
      <c r="K4675" s="4">
        <v>1919.06</v>
      </c>
      <c r="L4675" s="4">
        <v>3.5714285714285716</v>
      </c>
      <c r="M4675" s="4">
        <v>3.6399999999999997</v>
      </c>
      <c r="N4675" t="s">
        <v>25</v>
      </c>
      <c r="O4675" t="str">
        <f t="shared" ref="O4675:O4738" si="730">IF(I4675&lt;20,"High",IF(I4675&lt;40,"Medium","Low"))</f>
        <v>Low</v>
      </c>
      <c r="P4675" t="str">
        <f t="shared" ref="P4675:P4738" si="731">IF(M4675&gt;8,"High",IF(M4675&gt;4,"Medium","Low"))</f>
        <v>Low</v>
      </c>
      <c r="Q4675" t="str">
        <f t="shared" ref="Q4675:Q4738" si="732">IF(L4675&lt;5,"High",IF(L4675&lt;15,"Medium","Low"))</f>
        <v>High</v>
      </c>
      <c r="R4675" t="s">
        <v>3317</v>
      </c>
      <c r="S4675" s="4">
        <f t="shared" ref="S4675:S4738" ca="1" si="733">G4675-TODAY()</f>
        <v>1198</v>
      </c>
      <c r="T4675">
        <f t="shared" ref="T4675:T4738" si="734">IF(O4675="High",3,IF(O4675="Medium",2,1))</f>
        <v>1</v>
      </c>
      <c r="U4675">
        <f t="shared" ref="U4675:U4738" si="735">IF(P4675="High",3,IF(P4675="Medium",2,1))</f>
        <v>1</v>
      </c>
      <c r="V4675">
        <f t="shared" ref="V4675:V4738" si="736">IF(Q4675="High",3,IF(Q4675="Medium",2,1))</f>
        <v>3</v>
      </c>
      <c r="W4675">
        <f t="shared" ref="W4675:W4738" si="737">IF(R4675="High",3,IF(R4675="Medium",2,1))</f>
        <v>1</v>
      </c>
      <c r="X4675">
        <f t="shared" ref="X4675:X4738" si="738">(0.4*T4675)+(0.3*U4675)+(0.2*V4675)+(0.1*W4675)</f>
        <v>1.4000000000000001</v>
      </c>
      <c r="Y4675" t="str">
        <f t="shared" ref="Y4675:Y4738" si="739">IF(X4675&gt;=2.7,"Move Immediately",IF(X4675&gt;=2.2,"High Priority",IF(X4675&gt;=1.7,"Monitor","Healthy")))</f>
        <v>Healthy</v>
      </c>
    </row>
    <row r="4676" spans="1:25" x14ac:dyDescent="0.35">
      <c r="A4676" t="s">
        <v>179</v>
      </c>
      <c r="B4676" t="s">
        <v>223</v>
      </c>
      <c r="C4676" t="s">
        <v>357</v>
      </c>
      <c r="D4676" t="s">
        <v>2647</v>
      </c>
      <c r="E4676">
        <v>80829791</v>
      </c>
      <c r="F4676" t="s">
        <v>2941</v>
      </c>
      <c r="G4676" s="3">
        <v>46247</v>
      </c>
      <c r="H4676">
        <v>18</v>
      </c>
      <c r="I4676">
        <v>10</v>
      </c>
      <c r="J4676">
        <v>20</v>
      </c>
      <c r="K4676" s="4">
        <v>7999.68</v>
      </c>
      <c r="L4676" s="4">
        <v>10.285714285714286</v>
      </c>
      <c r="M4676" s="4">
        <v>1.9444444444444442</v>
      </c>
      <c r="N4676" t="s">
        <v>25</v>
      </c>
      <c r="O4676" t="str">
        <f t="shared" si="730"/>
        <v>High</v>
      </c>
      <c r="P4676" t="str">
        <f t="shared" si="731"/>
        <v>Low</v>
      </c>
      <c r="Q4676" t="str">
        <f t="shared" si="732"/>
        <v>Medium</v>
      </c>
      <c r="R4676" t="s">
        <v>3317</v>
      </c>
      <c r="S4676" s="4">
        <f t="shared" ca="1" si="733"/>
        <v>50</v>
      </c>
      <c r="T4676">
        <f t="shared" si="734"/>
        <v>3</v>
      </c>
      <c r="U4676">
        <f t="shared" si="735"/>
        <v>1</v>
      </c>
      <c r="V4676">
        <f t="shared" si="736"/>
        <v>2</v>
      </c>
      <c r="W4676">
        <f t="shared" si="737"/>
        <v>1</v>
      </c>
      <c r="X4676">
        <f t="shared" si="738"/>
        <v>2.0000000000000004</v>
      </c>
      <c r="Y4676" t="str">
        <f t="shared" si="739"/>
        <v>Monitor</v>
      </c>
    </row>
    <row r="4677" spans="1:25" x14ac:dyDescent="0.35">
      <c r="A4677" t="s">
        <v>29</v>
      </c>
      <c r="B4677" t="s">
        <v>30</v>
      </c>
      <c r="C4677" t="s">
        <v>449</v>
      </c>
      <c r="D4677" t="s">
        <v>536</v>
      </c>
      <c r="E4677">
        <v>80773266</v>
      </c>
      <c r="F4677" t="s">
        <v>536</v>
      </c>
      <c r="G4677" s="3">
        <v>46341</v>
      </c>
      <c r="H4677">
        <v>36</v>
      </c>
      <c r="I4677">
        <v>14</v>
      </c>
      <c r="J4677">
        <v>1</v>
      </c>
      <c r="K4677" s="4">
        <v>1334.77</v>
      </c>
      <c r="L4677" s="4">
        <f>0</f>
        <v>0</v>
      </c>
      <c r="M4677" s="4">
        <f>999</f>
        <v>999</v>
      </c>
      <c r="N4677" t="s">
        <v>19</v>
      </c>
      <c r="O4677" t="str">
        <f t="shared" si="730"/>
        <v>High</v>
      </c>
      <c r="P4677" t="str">
        <f t="shared" si="731"/>
        <v>High</v>
      </c>
      <c r="Q4677" t="str">
        <f t="shared" si="732"/>
        <v>High</v>
      </c>
      <c r="R4677" t="s">
        <v>3317</v>
      </c>
      <c r="S4677" s="4">
        <f t="shared" ca="1" si="733"/>
        <v>144</v>
      </c>
      <c r="T4677">
        <f t="shared" si="734"/>
        <v>3</v>
      </c>
      <c r="U4677">
        <f t="shared" si="735"/>
        <v>3</v>
      </c>
      <c r="V4677">
        <f t="shared" si="736"/>
        <v>3</v>
      </c>
      <c r="W4677">
        <f t="shared" si="737"/>
        <v>1</v>
      </c>
      <c r="X4677">
        <f t="shared" si="738"/>
        <v>2.8000000000000003</v>
      </c>
      <c r="Y4677" t="str">
        <f t="shared" si="739"/>
        <v>Move Immediately</v>
      </c>
    </row>
    <row r="4678" spans="1:25" x14ac:dyDescent="0.35">
      <c r="A4678" t="s">
        <v>179</v>
      </c>
      <c r="B4678" t="s">
        <v>223</v>
      </c>
      <c r="C4678" t="s">
        <v>357</v>
      </c>
      <c r="D4678" t="s">
        <v>2647</v>
      </c>
      <c r="E4678">
        <v>80829791</v>
      </c>
      <c r="F4678" t="s">
        <v>2941</v>
      </c>
      <c r="G4678" s="3">
        <v>46089</v>
      </c>
      <c r="H4678">
        <v>18</v>
      </c>
      <c r="I4678">
        <v>0</v>
      </c>
      <c r="J4678">
        <v>4</v>
      </c>
      <c r="K4678" s="4">
        <v>1333.28</v>
      </c>
      <c r="L4678" s="4">
        <v>10.285714285714286</v>
      </c>
      <c r="M4678" s="4">
        <v>0.38888888888888884</v>
      </c>
      <c r="N4678" t="s">
        <v>25</v>
      </c>
      <c r="O4678" t="str">
        <f t="shared" si="730"/>
        <v>High</v>
      </c>
      <c r="P4678" t="str">
        <f t="shared" si="731"/>
        <v>Low</v>
      </c>
      <c r="Q4678" t="str">
        <f t="shared" si="732"/>
        <v>Medium</v>
      </c>
      <c r="R4678" t="s">
        <v>3317</v>
      </c>
      <c r="S4678" s="4">
        <f t="shared" ca="1" si="733"/>
        <v>-108</v>
      </c>
      <c r="T4678">
        <f t="shared" si="734"/>
        <v>3</v>
      </c>
      <c r="U4678">
        <f t="shared" si="735"/>
        <v>1</v>
      </c>
      <c r="V4678">
        <f t="shared" si="736"/>
        <v>2</v>
      </c>
      <c r="W4678">
        <f t="shared" si="737"/>
        <v>1</v>
      </c>
      <c r="X4678">
        <f t="shared" si="738"/>
        <v>2.0000000000000004</v>
      </c>
      <c r="Y4678" t="str">
        <f t="shared" si="739"/>
        <v>Monitor</v>
      </c>
    </row>
    <row r="4679" spans="1:25" x14ac:dyDescent="0.35">
      <c r="A4679" t="s">
        <v>29</v>
      </c>
      <c r="B4679" t="s">
        <v>30</v>
      </c>
      <c r="C4679" t="s">
        <v>449</v>
      </c>
      <c r="D4679" t="s">
        <v>536</v>
      </c>
      <c r="E4679">
        <v>80773266</v>
      </c>
      <c r="F4679" t="s">
        <v>536</v>
      </c>
      <c r="G4679" s="3">
        <v>46626</v>
      </c>
      <c r="H4679">
        <v>36</v>
      </c>
      <c r="I4679">
        <v>40</v>
      </c>
      <c r="J4679">
        <v>5</v>
      </c>
      <c r="K4679" s="4">
        <v>6673.85</v>
      </c>
      <c r="L4679" s="4">
        <f>0</f>
        <v>0</v>
      </c>
      <c r="M4679" s="4">
        <f>999</f>
        <v>999</v>
      </c>
      <c r="N4679" t="s">
        <v>19</v>
      </c>
      <c r="O4679" t="str">
        <f t="shared" si="730"/>
        <v>Low</v>
      </c>
      <c r="P4679" t="str">
        <f t="shared" si="731"/>
        <v>High</v>
      </c>
      <c r="Q4679" t="str">
        <f t="shared" si="732"/>
        <v>High</v>
      </c>
      <c r="R4679" t="s">
        <v>3317</v>
      </c>
      <c r="S4679" s="4">
        <f t="shared" ca="1" si="733"/>
        <v>429</v>
      </c>
      <c r="T4679">
        <f t="shared" si="734"/>
        <v>1</v>
      </c>
      <c r="U4679">
        <f t="shared" si="735"/>
        <v>3</v>
      </c>
      <c r="V4679">
        <f t="shared" si="736"/>
        <v>3</v>
      </c>
      <c r="W4679">
        <f t="shared" si="737"/>
        <v>1</v>
      </c>
      <c r="X4679">
        <f t="shared" si="738"/>
        <v>2</v>
      </c>
      <c r="Y4679" t="str">
        <f t="shared" si="739"/>
        <v>Monitor</v>
      </c>
    </row>
    <row r="4680" spans="1:25" x14ac:dyDescent="0.35">
      <c r="A4680" t="s">
        <v>29</v>
      </c>
      <c r="B4680" t="s">
        <v>30</v>
      </c>
      <c r="C4680" t="s">
        <v>147</v>
      </c>
      <c r="D4680" t="s">
        <v>2555</v>
      </c>
      <c r="E4680">
        <v>80767013</v>
      </c>
      <c r="F4680" t="s">
        <v>2942</v>
      </c>
      <c r="G4680" s="3">
        <v>47210</v>
      </c>
      <c r="H4680">
        <v>36</v>
      </c>
      <c r="I4680">
        <v>94</v>
      </c>
      <c r="J4680">
        <v>18</v>
      </c>
      <c r="K4680" s="4">
        <v>25904.7</v>
      </c>
      <c r="L4680" s="4">
        <v>29.714285714285715</v>
      </c>
      <c r="M4680" s="4">
        <v>0.60576923076923073</v>
      </c>
      <c r="N4680" t="s">
        <v>25</v>
      </c>
      <c r="O4680" t="str">
        <f t="shared" si="730"/>
        <v>Low</v>
      </c>
      <c r="P4680" t="str">
        <f t="shared" si="731"/>
        <v>Low</v>
      </c>
      <c r="Q4680" t="str">
        <f t="shared" si="732"/>
        <v>Low</v>
      </c>
      <c r="R4680" t="s">
        <v>3317</v>
      </c>
      <c r="S4680" s="4">
        <f t="shared" ca="1" si="733"/>
        <v>1013</v>
      </c>
      <c r="T4680">
        <f t="shared" si="734"/>
        <v>1</v>
      </c>
      <c r="U4680">
        <f t="shared" si="735"/>
        <v>1</v>
      </c>
      <c r="V4680">
        <f t="shared" si="736"/>
        <v>1</v>
      </c>
      <c r="W4680">
        <f t="shared" si="737"/>
        <v>1</v>
      </c>
      <c r="X4680">
        <f t="shared" si="738"/>
        <v>0.99999999999999989</v>
      </c>
      <c r="Y4680" t="str">
        <f t="shared" si="739"/>
        <v>Healthy</v>
      </c>
    </row>
    <row r="4681" spans="1:25" x14ac:dyDescent="0.35">
      <c r="A4681" t="s">
        <v>29</v>
      </c>
      <c r="B4681" t="s">
        <v>30</v>
      </c>
      <c r="C4681" t="s">
        <v>147</v>
      </c>
      <c r="D4681" t="s">
        <v>2555</v>
      </c>
      <c r="E4681">
        <v>80767013</v>
      </c>
      <c r="F4681" t="s">
        <v>2942</v>
      </c>
      <c r="G4681" s="3">
        <v>46839</v>
      </c>
      <c r="H4681">
        <v>36</v>
      </c>
      <c r="I4681">
        <v>60</v>
      </c>
      <c r="J4681">
        <v>14</v>
      </c>
      <c r="K4681" s="4">
        <v>20148.099999999999</v>
      </c>
      <c r="L4681" s="4">
        <v>29.714285714285715</v>
      </c>
      <c r="M4681" s="4">
        <v>0.47115384615384615</v>
      </c>
      <c r="N4681" t="s">
        <v>25</v>
      </c>
      <c r="O4681" t="str">
        <f t="shared" si="730"/>
        <v>Low</v>
      </c>
      <c r="P4681" t="str">
        <f t="shared" si="731"/>
        <v>Low</v>
      </c>
      <c r="Q4681" t="str">
        <f t="shared" si="732"/>
        <v>Low</v>
      </c>
      <c r="R4681" t="s">
        <v>3317</v>
      </c>
      <c r="S4681" s="4">
        <f t="shared" ca="1" si="733"/>
        <v>642</v>
      </c>
      <c r="T4681">
        <f t="shared" si="734"/>
        <v>1</v>
      </c>
      <c r="U4681">
        <f t="shared" si="735"/>
        <v>1</v>
      </c>
      <c r="V4681">
        <f t="shared" si="736"/>
        <v>1</v>
      </c>
      <c r="W4681">
        <f t="shared" si="737"/>
        <v>1</v>
      </c>
      <c r="X4681">
        <f t="shared" si="738"/>
        <v>0.99999999999999989</v>
      </c>
      <c r="Y4681" t="str">
        <f t="shared" si="739"/>
        <v>Healthy</v>
      </c>
    </row>
    <row r="4682" spans="1:25" x14ac:dyDescent="0.35">
      <c r="A4682" t="s">
        <v>29</v>
      </c>
      <c r="B4682" t="s">
        <v>30</v>
      </c>
      <c r="C4682" t="s">
        <v>147</v>
      </c>
      <c r="D4682" t="s">
        <v>2555</v>
      </c>
      <c r="E4682">
        <v>80767013</v>
      </c>
      <c r="F4682" t="s">
        <v>2942</v>
      </c>
      <c r="G4682" s="3">
        <v>47088</v>
      </c>
      <c r="H4682">
        <v>36</v>
      </c>
      <c r="I4682">
        <v>83</v>
      </c>
      <c r="J4682">
        <v>6</v>
      </c>
      <c r="K4682" s="4">
        <v>8634.9</v>
      </c>
      <c r="L4682" s="4">
        <v>29.714285714285715</v>
      </c>
      <c r="M4682" s="4">
        <v>0.20192307692307693</v>
      </c>
      <c r="N4682" t="s">
        <v>25</v>
      </c>
      <c r="O4682" t="str">
        <f t="shared" si="730"/>
        <v>Low</v>
      </c>
      <c r="P4682" t="str">
        <f t="shared" si="731"/>
        <v>Low</v>
      </c>
      <c r="Q4682" t="str">
        <f t="shared" si="732"/>
        <v>Low</v>
      </c>
      <c r="R4682" t="s">
        <v>3317</v>
      </c>
      <c r="S4682" s="4">
        <f t="shared" ca="1" si="733"/>
        <v>891</v>
      </c>
      <c r="T4682">
        <f t="shared" si="734"/>
        <v>1</v>
      </c>
      <c r="U4682">
        <f t="shared" si="735"/>
        <v>1</v>
      </c>
      <c r="V4682">
        <f t="shared" si="736"/>
        <v>1</v>
      </c>
      <c r="W4682">
        <f t="shared" si="737"/>
        <v>1</v>
      </c>
      <c r="X4682">
        <f t="shared" si="738"/>
        <v>0.99999999999999989</v>
      </c>
      <c r="Y4682" t="str">
        <f t="shared" si="739"/>
        <v>Healthy</v>
      </c>
    </row>
    <row r="4683" spans="1:25" x14ac:dyDescent="0.35">
      <c r="A4683" t="s">
        <v>29</v>
      </c>
      <c r="B4683" t="s">
        <v>30</v>
      </c>
      <c r="C4683" t="s">
        <v>147</v>
      </c>
      <c r="D4683" t="s">
        <v>2555</v>
      </c>
      <c r="E4683">
        <v>80767013</v>
      </c>
      <c r="F4683" t="s">
        <v>2942</v>
      </c>
      <c r="G4683" s="3">
        <v>47124</v>
      </c>
      <c r="H4683">
        <v>36</v>
      </c>
      <c r="I4683">
        <v>86</v>
      </c>
      <c r="J4683">
        <v>40</v>
      </c>
      <c r="K4683" s="4">
        <v>57566</v>
      </c>
      <c r="L4683" s="4">
        <v>29.714285714285715</v>
      </c>
      <c r="M4683" s="4">
        <v>1.346153846153846</v>
      </c>
      <c r="N4683" t="s">
        <v>25</v>
      </c>
      <c r="O4683" t="str">
        <f t="shared" si="730"/>
        <v>Low</v>
      </c>
      <c r="P4683" t="str">
        <f t="shared" si="731"/>
        <v>Low</v>
      </c>
      <c r="Q4683" t="str">
        <f t="shared" si="732"/>
        <v>Low</v>
      </c>
      <c r="R4683" t="s">
        <v>3317</v>
      </c>
      <c r="S4683" s="4">
        <f t="shared" ca="1" si="733"/>
        <v>927</v>
      </c>
      <c r="T4683">
        <f t="shared" si="734"/>
        <v>1</v>
      </c>
      <c r="U4683">
        <f t="shared" si="735"/>
        <v>1</v>
      </c>
      <c r="V4683">
        <f t="shared" si="736"/>
        <v>1</v>
      </c>
      <c r="W4683">
        <f t="shared" si="737"/>
        <v>1</v>
      </c>
      <c r="X4683">
        <f t="shared" si="738"/>
        <v>0.99999999999999989</v>
      </c>
      <c r="Y4683" t="str">
        <f t="shared" si="739"/>
        <v>Healthy</v>
      </c>
    </row>
    <row r="4684" spans="1:25" x14ac:dyDescent="0.35">
      <c r="A4684" t="s">
        <v>90</v>
      </c>
      <c r="B4684" t="s">
        <v>91</v>
      </c>
      <c r="C4684" t="s">
        <v>155</v>
      </c>
      <c r="D4684" t="s">
        <v>2689</v>
      </c>
      <c r="E4684">
        <v>80832380</v>
      </c>
      <c r="F4684" t="s">
        <v>2943</v>
      </c>
      <c r="G4684" s="3">
        <v>46664</v>
      </c>
      <c r="H4684">
        <v>24</v>
      </c>
      <c r="I4684">
        <v>66</v>
      </c>
      <c r="J4684">
        <v>1</v>
      </c>
      <c r="K4684" s="4">
        <v>378.94</v>
      </c>
      <c r="L4684" s="4">
        <v>156.85714285714286</v>
      </c>
      <c r="M4684" s="4">
        <v>6.3752276867030961E-3</v>
      </c>
      <c r="N4684" t="s">
        <v>25</v>
      </c>
      <c r="O4684" t="str">
        <f t="shared" si="730"/>
        <v>Low</v>
      </c>
      <c r="P4684" t="str">
        <f t="shared" si="731"/>
        <v>Low</v>
      </c>
      <c r="Q4684" t="str">
        <f t="shared" si="732"/>
        <v>Low</v>
      </c>
      <c r="R4684" t="s">
        <v>3317</v>
      </c>
      <c r="S4684" s="4">
        <f t="shared" ca="1" si="733"/>
        <v>467</v>
      </c>
      <c r="T4684">
        <f t="shared" si="734"/>
        <v>1</v>
      </c>
      <c r="U4684">
        <f t="shared" si="735"/>
        <v>1</v>
      </c>
      <c r="V4684">
        <f t="shared" si="736"/>
        <v>1</v>
      </c>
      <c r="W4684">
        <f t="shared" si="737"/>
        <v>1</v>
      </c>
      <c r="X4684">
        <f t="shared" si="738"/>
        <v>0.99999999999999989</v>
      </c>
      <c r="Y4684" t="str">
        <f t="shared" si="739"/>
        <v>Healthy</v>
      </c>
    </row>
    <row r="4685" spans="1:25" x14ac:dyDescent="0.35">
      <c r="A4685" t="s">
        <v>14</v>
      </c>
      <c r="B4685" t="s">
        <v>115</v>
      </c>
      <c r="C4685" t="s">
        <v>904</v>
      </c>
      <c r="D4685" t="s">
        <v>905</v>
      </c>
      <c r="E4685">
        <v>80764171</v>
      </c>
      <c r="F4685" t="s">
        <v>2944</v>
      </c>
      <c r="G4685" s="3">
        <v>47168</v>
      </c>
      <c r="H4685">
        <v>60</v>
      </c>
      <c r="I4685">
        <v>54</v>
      </c>
      <c r="J4685">
        <v>3</v>
      </c>
      <c r="K4685" s="4">
        <v>308.55</v>
      </c>
      <c r="L4685" s="4">
        <f>0</f>
        <v>0</v>
      </c>
      <c r="M4685" s="4">
        <f>999</f>
        <v>999</v>
      </c>
      <c r="N4685" t="s">
        <v>19</v>
      </c>
      <c r="O4685" t="str">
        <f t="shared" si="730"/>
        <v>Low</v>
      </c>
      <c r="P4685" t="str">
        <f t="shared" si="731"/>
        <v>High</v>
      </c>
      <c r="Q4685" t="str">
        <f t="shared" si="732"/>
        <v>High</v>
      </c>
      <c r="R4685" t="s">
        <v>3317</v>
      </c>
      <c r="S4685" s="4">
        <f t="shared" ca="1" si="733"/>
        <v>971</v>
      </c>
      <c r="T4685">
        <f t="shared" si="734"/>
        <v>1</v>
      </c>
      <c r="U4685">
        <f t="shared" si="735"/>
        <v>3</v>
      </c>
      <c r="V4685">
        <f t="shared" si="736"/>
        <v>3</v>
      </c>
      <c r="W4685">
        <f t="shared" si="737"/>
        <v>1</v>
      </c>
      <c r="X4685">
        <f t="shared" si="738"/>
        <v>2</v>
      </c>
      <c r="Y4685" t="str">
        <f t="shared" si="739"/>
        <v>Monitor</v>
      </c>
    </row>
    <row r="4686" spans="1:25" x14ac:dyDescent="0.35">
      <c r="A4686" t="s">
        <v>14</v>
      </c>
      <c r="B4686" t="s">
        <v>115</v>
      </c>
      <c r="C4686" t="s">
        <v>904</v>
      </c>
      <c r="D4686" t="s">
        <v>905</v>
      </c>
      <c r="E4686">
        <v>80764171</v>
      </c>
      <c r="F4686" t="s">
        <v>2944</v>
      </c>
      <c r="G4686" s="3">
        <v>47213</v>
      </c>
      <c r="H4686">
        <v>60</v>
      </c>
      <c r="I4686">
        <v>57</v>
      </c>
      <c r="J4686">
        <v>23</v>
      </c>
      <c r="K4686" s="4">
        <v>2365.5500000000002</v>
      </c>
      <c r="L4686" s="4">
        <f>0</f>
        <v>0</v>
      </c>
      <c r="M4686" s="4">
        <f>999</f>
        <v>999</v>
      </c>
      <c r="N4686" t="s">
        <v>19</v>
      </c>
      <c r="O4686" t="str">
        <f t="shared" si="730"/>
        <v>Low</v>
      </c>
      <c r="P4686" t="str">
        <f t="shared" si="731"/>
        <v>High</v>
      </c>
      <c r="Q4686" t="str">
        <f t="shared" si="732"/>
        <v>High</v>
      </c>
      <c r="R4686" t="s">
        <v>3317</v>
      </c>
      <c r="S4686" s="4">
        <f t="shared" ca="1" si="733"/>
        <v>1016</v>
      </c>
      <c r="T4686">
        <f t="shared" si="734"/>
        <v>1</v>
      </c>
      <c r="U4686">
        <f t="shared" si="735"/>
        <v>3</v>
      </c>
      <c r="V4686">
        <f t="shared" si="736"/>
        <v>3</v>
      </c>
      <c r="W4686">
        <f t="shared" si="737"/>
        <v>1</v>
      </c>
      <c r="X4686">
        <f t="shared" si="738"/>
        <v>2</v>
      </c>
      <c r="Y4686" t="str">
        <f t="shared" si="739"/>
        <v>Monitor</v>
      </c>
    </row>
    <row r="4687" spans="1:25" x14ac:dyDescent="0.35">
      <c r="A4687" t="s">
        <v>20</v>
      </c>
      <c r="B4687" t="s">
        <v>21</v>
      </c>
      <c r="C4687" t="s">
        <v>133</v>
      </c>
      <c r="D4687" t="s">
        <v>2945</v>
      </c>
      <c r="E4687">
        <v>80739149</v>
      </c>
      <c r="F4687" t="s">
        <v>2946</v>
      </c>
      <c r="G4687" s="3">
        <v>46760</v>
      </c>
      <c r="H4687">
        <v>36</v>
      </c>
      <c r="I4687">
        <v>53</v>
      </c>
      <c r="J4687">
        <v>5</v>
      </c>
      <c r="K4687" s="4">
        <v>9099</v>
      </c>
      <c r="L4687" s="4">
        <v>2.7142857142857144</v>
      </c>
      <c r="M4687" s="4">
        <v>1.8421052631578947</v>
      </c>
      <c r="N4687" t="s">
        <v>25</v>
      </c>
      <c r="O4687" t="str">
        <f t="shared" si="730"/>
        <v>Low</v>
      </c>
      <c r="P4687" t="str">
        <f t="shared" si="731"/>
        <v>Low</v>
      </c>
      <c r="Q4687" t="str">
        <f t="shared" si="732"/>
        <v>High</v>
      </c>
      <c r="R4687" t="s">
        <v>3317</v>
      </c>
      <c r="S4687" s="4">
        <f t="shared" ca="1" si="733"/>
        <v>563</v>
      </c>
      <c r="T4687">
        <f t="shared" si="734"/>
        <v>1</v>
      </c>
      <c r="U4687">
        <f t="shared" si="735"/>
        <v>1</v>
      </c>
      <c r="V4687">
        <f t="shared" si="736"/>
        <v>3</v>
      </c>
      <c r="W4687">
        <f t="shared" si="737"/>
        <v>1</v>
      </c>
      <c r="X4687">
        <f t="shared" si="738"/>
        <v>1.4000000000000001</v>
      </c>
      <c r="Y4687" t="str">
        <f t="shared" si="739"/>
        <v>Healthy</v>
      </c>
    </row>
    <row r="4688" spans="1:25" x14ac:dyDescent="0.35">
      <c r="A4688" t="s">
        <v>20</v>
      </c>
      <c r="B4688" t="s">
        <v>21</v>
      </c>
      <c r="C4688" t="s">
        <v>133</v>
      </c>
      <c r="D4688" t="s">
        <v>2945</v>
      </c>
      <c r="E4688">
        <v>80739149</v>
      </c>
      <c r="F4688" t="s">
        <v>2946</v>
      </c>
      <c r="G4688" s="3">
        <v>46749</v>
      </c>
      <c r="H4688">
        <v>36</v>
      </c>
      <c r="I4688">
        <v>52</v>
      </c>
      <c r="J4688">
        <v>8</v>
      </c>
      <c r="K4688" s="4">
        <v>14558.4</v>
      </c>
      <c r="L4688" s="4">
        <v>2.7142857142857144</v>
      </c>
      <c r="M4688" s="4">
        <v>2.9473684210526314</v>
      </c>
      <c r="N4688" t="s">
        <v>25</v>
      </c>
      <c r="O4688" t="str">
        <f t="shared" si="730"/>
        <v>Low</v>
      </c>
      <c r="P4688" t="str">
        <f t="shared" si="731"/>
        <v>Low</v>
      </c>
      <c r="Q4688" t="str">
        <f t="shared" si="732"/>
        <v>High</v>
      </c>
      <c r="R4688" t="s">
        <v>3317</v>
      </c>
      <c r="S4688" s="4">
        <f t="shared" ca="1" si="733"/>
        <v>552</v>
      </c>
      <c r="T4688">
        <f t="shared" si="734"/>
        <v>1</v>
      </c>
      <c r="U4688">
        <f t="shared" si="735"/>
        <v>1</v>
      </c>
      <c r="V4688">
        <f t="shared" si="736"/>
        <v>3</v>
      </c>
      <c r="W4688">
        <f t="shared" si="737"/>
        <v>1</v>
      </c>
      <c r="X4688">
        <f t="shared" si="738"/>
        <v>1.4000000000000001</v>
      </c>
      <c r="Y4688" t="str">
        <f t="shared" si="739"/>
        <v>Healthy</v>
      </c>
    </row>
    <row r="4689" spans="1:25" x14ac:dyDescent="0.35">
      <c r="A4689" t="s">
        <v>210</v>
      </c>
      <c r="B4689" t="s">
        <v>439</v>
      </c>
      <c r="C4689" t="s">
        <v>440</v>
      </c>
      <c r="D4689" t="s">
        <v>441</v>
      </c>
      <c r="E4689">
        <v>80769030</v>
      </c>
      <c r="F4689" t="s">
        <v>2947</v>
      </c>
      <c r="G4689" s="3">
        <v>47492</v>
      </c>
      <c r="H4689">
        <v>60</v>
      </c>
      <c r="I4689">
        <v>72</v>
      </c>
      <c r="J4689">
        <v>3</v>
      </c>
      <c r="K4689" s="4">
        <v>899.97</v>
      </c>
      <c r="L4689" s="4">
        <f>0</f>
        <v>0</v>
      </c>
      <c r="M4689" s="4">
        <f>999</f>
        <v>999</v>
      </c>
      <c r="N4689" t="s">
        <v>19</v>
      </c>
      <c r="O4689" t="str">
        <f t="shared" si="730"/>
        <v>Low</v>
      </c>
      <c r="P4689" t="str">
        <f t="shared" si="731"/>
        <v>High</v>
      </c>
      <c r="Q4689" t="str">
        <f t="shared" si="732"/>
        <v>High</v>
      </c>
      <c r="R4689" t="s">
        <v>3317</v>
      </c>
      <c r="S4689" s="4">
        <f t="shared" ca="1" si="733"/>
        <v>1295</v>
      </c>
      <c r="T4689">
        <f t="shared" si="734"/>
        <v>1</v>
      </c>
      <c r="U4689">
        <f t="shared" si="735"/>
        <v>3</v>
      </c>
      <c r="V4689">
        <f t="shared" si="736"/>
        <v>3</v>
      </c>
      <c r="W4689">
        <f t="shared" si="737"/>
        <v>1</v>
      </c>
      <c r="X4689">
        <f t="shared" si="738"/>
        <v>2</v>
      </c>
      <c r="Y4689" t="str">
        <f t="shared" si="739"/>
        <v>Monitor</v>
      </c>
    </row>
    <row r="4690" spans="1:25" x14ac:dyDescent="0.35">
      <c r="A4690" t="s">
        <v>14</v>
      </c>
      <c r="B4690" t="s">
        <v>343</v>
      </c>
      <c r="C4690" t="s">
        <v>344</v>
      </c>
      <c r="D4690" t="s">
        <v>1957</v>
      </c>
      <c r="E4690">
        <v>80753910</v>
      </c>
      <c r="F4690" t="s">
        <v>2948</v>
      </c>
      <c r="G4690" s="3">
        <v>47440</v>
      </c>
      <c r="H4690">
        <v>60</v>
      </c>
      <c r="I4690">
        <v>69</v>
      </c>
      <c r="J4690">
        <v>5</v>
      </c>
      <c r="K4690" s="4">
        <v>1837.8</v>
      </c>
      <c r="L4690" s="4">
        <f>0</f>
        <v>0</v>
      </c>
      <c r="M4690" s="4">
        <f>999</f>
        <v>999</v>
      </c>
      <c r="N4690" t="s">
        <v>19</v>
      </c>
      <c r="O4690" t="str">
        <f t="shared" si="730"/>
        <v>Low</v>
      </c>
      <c r="P4690" t="str">
        <f t="shared" si="731"/>
        <v>High</v>
      </c>
      <c r="Q4690" t="str">
        <f t="shared" si="732"/>
        <v>High</v>
      </c>
      <c r="R4690" t="s">
        <v>3317</v>
      </c>
      <c r="S4690" s="4">
        <f t="shared" ca="1" si="733"/>
        <v>1243</v>
      </c>
      <c r="T4690">
        <f t="shared" si="734"/>
        <v>1</v>
      </c>
      <c r="U4690">
        <f t="shared" si="735"/>
        <v>3</v>
      </c>
      <c r="V4690">
        <f t="shared" si="736"/>
        <v>3</v>
      </c>
      <c r="W4690">
        <f t="shared" si="737"/>
        <v>1</v>
      </c>
      <c r="X4690">
        <f t="shared" si="738"/>
        <v>2</v>
      </c>
      <c r="Y4690" t="str">
        <f t="shared" si="739"/>
        <v>Monitor</v>
      </c>
    </row>
    <row r="4691" spans="1:25" x14ac:dyDescent="0.35">
      <c r="A4691" t="s">
        <v>41</v>
      </c>
      <c r="B4691" t="s">
        <v>42</v>
      </c>
      <c r="C4691" t="s">
        <v>365</v>
      </c>
      <c r="D4691" t="s">
        <v>398</v>
      </c>
      <c r="E4691">
        <v>80839866</v>
      </c>
      <c r="F4691" t="s">
        <v>2949</v>
      </c>
      <c r="G4691" s="3">
        <v>46793</v>
      </c>
      <c r="H4691">
        <v>36</v>
      </c>
      <c r="I4691">
        <v>56</v>
      </c>
      <c r="J4691">
        <v>1</v>
      </c>
      <c r="K4691" s="4">
        <v>995.17</v>
      </c>
      <c r="L4691" s="4">
        <f>0</f>
        <v>0</v>
      </c>
      <c r="M4691" s="4">
        <f>999</f>
        <v>999</v>
      </c>
      <c r="N4691" t="s">
        <v>19</v>
      </c>
      <c r="O4691" t="str">
        <f t="shared" si="730"/>
        <v>Low</v>
      </c>
      <c r="P4691" t="str">
        <f t="shared" si="731"/>
        <v>High</v>
      </c>
      <c r="Q4691" t="str">
        <f t="shared" si="732"/>
        <v>High</v>
      </c>
      <c r="R4691" t="s">
        <v>3317</v>
      </c>
      <c r="S4691" s="4">
        <f t="shared" ca="1" si="733"/>
        <v>596</v>
      </c>
      <c r="T4691">
        <f t="shared" si="734"/>
        <v>1</v>
      </c>
      <c r="U4691">
        <f t="shared" si="735"/>
        <v>3</v>
      </c>
      <c r="V4691">
        <f t="shared" si="736"/>
        <v>3</v>
      </c>
      <c r="W4691">
        <f t="shared" si="737"/>
        <v>1</v>
      </c>
      <c r="X4691">
        <f t="shared" si="738"/>
        <v>2</v>
      </c>
      <c r="Y4691" t="str">
        <f t="shared" si="739"/>
        <v>Monitor</v>
      </c>
    </row>
    <row r="4692" spans="1:25" x14ac:dyDescent="0.35">
      <c r="A4692" t="s">
        <v>14</v>
      </c>
      <c r="B4692" t="s">
        <v>343</v>
      </c>
      <c r="C4692" t="s">
        <v>344</v>
      </c>
      <c r="D4692" t="s">
        <v>1957</v>
      </c>
      <c r="E4692">
        <v>80753910</v>
      </c>
      <c r="F4692" t="s">
        <v>2948</v>
      </c>
      <c r="G4692" s="3">
        <v>47394</v>
      </c>
      <c r="H4692">
        <v>60</v>
      </c>
      <c r="I4692">
        <v>67</v>
      </c>
      <c r="J4692">
        <v>1</v>
      </c>
      <c r="K4692" s="4">
        <v>367.56</v>
      </c>
      <c r="L4692" s="4">
        <f>0</f>
        <v>0</v>
      </c>
      <c r="M4692" s="4">
        <f>999</f>
        <v>999</v>
      </c>
      <c r="N4692" t="s">
        <v>19</v>
      </c>
      <c r="O4692" t="str">
        <f t="shared" si="730"/>
        <v>Low</v>
      </c>
      <c r="P4692" t="str">
        <f t="shared" si="731"/>
        <v>High</v>
      </c>
      <c r="Q4692" t="str">
        <f t="shared" si="732"/>
        <v>High</v>
      </c>
      <c r="R4692" t="s">
        <v>3317</v>
      </c>
      <c r="S4692" s="4">
        <f t="shared" ca="1" si="733"/>
        <v>1197</v>
      </c>
      <c r="T4692">
        <f t="shared" si="734"/>
        <v>1</v>
      </c>
      <c r="U4692">
        <f t="shared" si="735"/>
        <v>3</v>
      </c>
      <c r="V4692">
        <f t="shared" si="736"/>
        <v>3</v>
      </c>
      <c r="W4692">
        <f t="shared" si="737"/>
        <v>1</v>
      </c>
      <c r="X4692">
        <f t="shared" si="738"/>
        <v>2</v>
      </c>
      <c r="Y4692" t="str">
        <f t="shared" si="739"/>
        <v>Monitor</v>
      </c>
    </row>
    <row r="4693" spans="1:25" x14ac:dyDescent="0.35">
      <c r="A4693" t="s">
        <v>14</v>
      </c>
      <c r="B4693" t="s">
        <v>343</v>
      </c>
      <c r="C4693" t="s">
        <v>344</v>
      </c>
      <c r="D4693" t="s">
        <v>1957</v>
      </c>
      <c r="E4693">
        <v>80753910</v>
      </c>
      <c r="F4693" t="s">
        <v>2948</v>
      </c>
      <c r="G4693" s="3">
        <v>47415</v>
      </c>
      <c r="H4693">
        <v>60</v>
      </c>
      <c r="I4693">
        <v>68</v>
      </c>
      <c r="J4693">
        <v>4</v>
      </c>
      <c r="K4693" s="4">
        <v>1470.24</v>
      </c>
      <c r="L4693" s="4">
        <f>0</f>
        <v>0</v>
      </c>
      <c r="M4693" s="4">
        <f>999</f>
        <v>999</v>
      </c>
      <c r="N4693" t="s">
        <v>19</v>
      </c>
      <c r="O4693" t="str">
        <f t="shared" si="730"/>
        <v>Low</v>
      </c>
      <c r="P4693" t="str">
        <f t="shared" si="731"/>
        <v>High</v>
      </c>
      <c r="Q4693" t="str">
        <f t="shared" si="732"/>
        <v>High</v>
      </c>
      <c r="R4693" t="s">
        <v>3317</v>
      </c>
      <c r="S4693" s="4">
        <f t="shared" ca="1" si="733"/>
        <v>1218</v>
      </c>
      <c r="T4693">
        <f t="shared" si="734"/>
        <v>1</v>
      </c>
      <c r="U4693">
        <f t="shared" si="735"/>
        <v>3</v>
      </c>
      <c r="V4693">
        <f t="shared" si="736"/>
        <v>3</v>
      </c>
      <c r="W4693">
        <f t="shared" si="737"/>
        <v>1</v>
      </c>
      <c r="X4693">
        <f t="shared" si="738"/>
        <v>2</v>
      </c>
      <c r="Y4693" t="str">
        <f t="shared" si="739"/>
        <v>Monitor</v>
      </c>
    </row>
    <row r="4694" spans="1:25" x14ac:dyDescent="0.35">
      <c r="A4694" t="s">
        <v>90</v>
      </c>
      <c r="B4694" t="s">
        <v>91</v>
      </c>
      <c r="C4694" t="s">
        <v>478</v>
      </c>
      <c r="D4694" t="s">
        <v>1252</v>
      </c>
      <c r="E4694">
        <v>80835098</v>
      </c>
      <c r="F4694" t="s">
        <v>2950</v>
      </c>
      <c r="G4694" s="3">
        <v>46214</v>
      </c>
      <c r="H4694">
        <v>24</v>
      </c>
      <c r="I4694">
        <v>3</v>
      </c>
      <c r="J4694">
        <v>27</v>
      </c>
      <c r="K4694" s="4">
        <v>12486.42</v>
      </c>
      <c r="L4694" s="4">
        <v>3.8571428571428572</v>
      </c>
      <c r="M4694" s="4">
        <v>7</v>
      </c>
      <c r="N4694" t="s">
        <v>19</v>
      </c>
      <c r="O4694" t="str">
        <f t="shared" si="730"/>
        <v>High</v>
      </c>
      <c r="P4694" t="str">
        <f t="shared" si="731"/>
        <v>Medium</v>
      </c>
      <c r="Q4694" t="str">
        <f t="shared" si="732"/>
        <v>High</v>
      </c>
      <c r="R4694" t="s">
        <v>3317</v>
      </c>
      <c r="S4694" s="4">
        <f t="shared" ca="1" si="733"/>
        <v>17</v>
      </c>
      <c r="T4694">
        <f t="shared" si="734"/>
        <v>3</v>
      </c>
      <c r="U4694">
        <f t="shared" si="735"/>
        <v>2</v>
      </c>
      <c r="V4694">
        <f t="shared" si="736"/>
        <v>3</v>
      </c>
      <c r="W4694">
        <f t="shared" si="737"/>
        <v>1</v>
      </c>
      <c r="X4694">
        <f t="shared" si="738"/>
        <v>2.5000000000000004</v>
      </c>
      <c r="Y4694" t="str">
        <f t="shared" si="739"/>
        <v>High Priority</v>
      </c>
    </row>
    <row r="4695" spans="1:25" x14ac:dyDescent="0.35">
      <c r="A4695" t="s">
        <v>90</v>
      </c>
      <c r="B4695" t="s">
        <v>91</v>
      </c>
      <c r="C4695" t="s">
        <v>478</v>
      </c>
      <c r="D4695" t="s">
        <v>1252</v>
      </c>
      <c r="E4695">
        <v>80835098</v>
      </c>
      <c r="F4695" t="s">
        <v>2950</v>
      </c>
      <c r="G4695" s="3">
        <v>46200</v>
      </c>
      <c r="H4695">
        <v>24</v>
      </c>
      <c r="I4695">
        <v>1</v>
      </c>
      <c r="J4695">
        <v>3</v>
      </c>
      <c r="K4695" s="4">
        <v>1387.38</v>
      </c>
      <c r="L4695" s="4">
        <v>3.8571428571428572</v>
      </c>
      <c r="M4695" s="4">
        <v>0.77777777777777779</v>
      </c>
      <c r="N4695" t="s">
        <v>25</v>
      </c>
      <c r="O4695" t="str">
        <f t="shared" si="730"/>
        <v>High</v>
      </c>
      <c r="P4695" t="str">
        <f t="shared" si="731"/>
        <v>Low</v>
      </c>
      <c r="Q4695" t="str">
        <f t="shared" si="732"/>
        <v>High</v>
      </c>
      <c r="R4695" t="s">
        <v>3317</v>
      </c>
      <c r="S4695" s="4">
        <f t="shared" ca="1" si="733"/>
        <v>3</v>
      </c>
      <c r="T4695">
        <f t="shared" si="734"/>
        <v>3</v>
      </c>
      <c r="U4695">
        <f t="shared" si="735"/>
        <v>1</v>
      </c>
      <c r="V4695">
        <f t="shared" si="736"/>
        <v>3</v>
      </c>
      <c r="W4695">
        <f t="shared" si="737"/>
        <v>1</v>
      </c>
      <c r="X4695">
        <f t="shared" si="738"/>
        <v>2.2000000000000006</v>
      </c>
      <c r="Y4695" t="str">
        <f t="shared" si="739"/>
        <v>High Priority</v>
      </c>
    </row>
    <row r="4696" spans="1:25" x14ac:dyDescent="0.35">
      <c r="A4696" t="s">
        <v>41</v>
      </c>
      <c r="B4696" t="s">
        <v>80</v>
      </c>
      <c r="C4696" t="s">
        <v>81</v>
      </c>
      <c r="D4696" t="s">
        <v>1066</v>
      </c>
      <c r="E4696">
        <v>80840379</v>
      </c>
      <c r="F4696" t="s">
        <v>2951</v>
      </c>
      <c r="G4696" s="3">
        <v>46894</v>
      </c>
      <c r="H4696">
        <v>36</v>
      </c>
      <c r="I4696">
        <v>65</v>
      </c>
      <c r="J4696">
        <v>2</v>
      </c>
      <c r="K4696" s="4">
        <v>1118.3599999999999</v>
      </c>
      <c r="L4696" s="4">
        <v>2.5714285714285716</v>
      </c>
      <c r="M4696" s="4">
        <v>0.77777777777777768</v>
      </c>
      <c r="N4696" t="s">
        <v>25</v>
      </c>
      <c r="O4696" t="str">
        <f t="shared" si="730"/>
        <v>Low</v>
      </c>
      <c r="P4696" t="str">
        <f t="shared" si="731"/>
        <v>Low</v>
      </c>
      <c r="Q4696" t="str">
        <f t="shared" si="732"/>
        <v>High</v>
      </c>
      <c r="R4696" t="s">
        <v>3317</v>
      </c>
      <c r="S4696" s="4">
        <f t="shared" ca="1" si="733"/>
        <v>697</v>
      </c>
      <c r="T4696">
        <f t="shared" si="734"/>
        <v>1</v>
      </c>
      <c r="U4696">
        <f t="shared" si="735"/>
        <v>1</v>
      </c>
      <c r="V4696">
        <f t="shared" si="736"/>
        <v>3</v>
      </c>
      <c r="W4696">
        <f t="shared" si="737"/>
        <v>1</v>
      </c>
      <c r="X4696">
        <f t="shared" si="738"/>
        <v>1.4000000000000001</v>
      </c>
      <c r="Y4696" t="str">
        <f t="shared" si="739"/>
        <v>Healthy</v>
      </c>
    </row>
    <row r="4697" spans="1:25" x14ac:dyDescent="0.35">
      <c r="A4697" t="s">
        <v>179</v>
      </c>
      <c r="B4697" t="s">
        <v>195</v>
      </c>
      <c r="C4697" t="s">
        <v>1870</v>
      </c>
      <c r="D4697" t="s">
        <v>2952</v>
      </c>
      <c r="E4697">
        <v>80810317</v>
      </c>
      <c r="F4697" t="s">
        <v>2953</v>
      </c>
      <c r="G4697" s="3">
        <v>46526</v>
      </c>
      <c r="H4697">
        <v>18</v>
      </c>
      <c r="I4697">
        <v>62</v>
      </c>
      <c r="J4697">
        <v>100</v>
      </c>
      <c r="K4697" s="4">
        <v>44354</v>
      </c>
      <c r="L4697" s="4">
        <v>440</v>
      </c>
      <c r="M4697" s="4">
        <v>0.22727272727272727</v>
      </c>
      <c r="N4697" t="s">
        <v>25</v>
      </c>
      <c r="O4697" t="str">
        <f t="shared" si="730"/>
        <v>Low</v>
      </c>
      <c r="P4697" t="str">
        <f t="shared" si="731"/>
        <v>Low</v>
      </c>
      <c r="Q4697" t="str">
        <f t="shared" si="732"/>
        <v>Low</v>
      </c>
      <c r="R4697" t="s">
        <v>3317</v>
      </c>
      <c r="S4697" s="4">
        <f t="shared" ca="1" si="733"/>
        <v>329</v>
      </c>
      <c r="T4697">
        <f t="shared" si="734"/>
        <v>1</v>
      </c>
      <c r="U4697">
        <f t="shared" si="735"/>
        <v>1</v>
      </c>
      <c r="V4697">
        <f t="shared" si="736"/>
        <v>1</v>
      </c>
      <c r="W4697">
        <f t="shared" si="737"/>
        <v>1</v>
      </c>
      <c r="X4697">
        <f t="shared" si="738"/>
        <v>0.99999999999999989</v>
      </c>
      <c r="Y4697" t="str">
        <f t="shared" si="739"/>
        <v>Healthy</v>
      </c>
    </row>
    <row r="4698" spans="1:25" x14ac:dyDescent="0.35">
      <c r="A4698" t="s">
        <v>14</v>
      </c>
      <c r="B4698" t="s">
        <v>115</v>
      </c>
      <c r="C4698" t="s">
        <v>1130</v>
      </c>
      <c r="D4698" t="s">
        <v>1150</v>
      </c>
      <c r="E4698">
        <v>80799277</v>
      </c>
      <c r="F4698" t="s">
        <v>2954</v>
      </c>
      <c r="G4698" s="3">
        <v>47711</v>
      </c>
      <c r="H4698">
        <v>60</v>
      </c>
      <c r="I4698">
        <v>84</v>
      </c>
      <c r="J4698">
        <v>106</v>
      </c>
      <c r="K4698" s="4">
        <v>16819.02</v>
      </c>
      <c r="L4698" s="4">
        <v>230.14285714285714</v>
      </c>
      <c r="M4698" s="4">
        <v>0.46058348851644942</v>
      </c>
      <c r="N4698" t="s">
        <v>25</v>
      </c>
      <c r="O4698" t="str">
        <f t="shared" si="730"/>
        <v>Low</v>
      </c>
      <c r="P4698" t="str">
        <f t="shared" si="731"/>
        <v>Low</v>
      </c>
      <c r="Q4698" t="str">
        <f t="shared" si="732"/>
        <v>Low</v>
      </c>
      <c r="R4698" t="s">
        <v>3317</v>
      </c>
      <c r="S4698" s="4">
        <f t="shared" ca="1" si="733"/>
        <v>1514</v>
      </c>
      <c r="T4698">
        <f t="shared" si="734"/>
        <v>1</v>
      </c>
      <c r="U4698">
        <f t="shared" si="735"/>
        <v>1</v>
      </c>
      <c r="V4698">
        <f t="shared" si="736"/>
        <v>1</v>
      </c>
      <c r="W4698">
        <f t="shared" si="737"/>
        <v>1</v>
      </c>
      <c r="X4698">
        <f t="shared" si="738"/>
        <v>0.99999999999999989</v>
      </c>
      <c r="Y4698" t="str">
        <f t="shared" si="739"/>
        <v>Healthy</v>
      </c>
    </row>
    <row r="4699" spans="1:25" x14ac:dyDescent="0.35">
      <c r="A4699" t="s">
        <v>14</v>
      </c>
      <c r="B4699" t="s">
        <v>115</v>
      </c>
      <c r="C4699" t="s">
        <v>1130</v>
      </c>
      <c r="D4699" t="s">
        <v>1150</v>
      </c>
      <c r="E4699">
        <v>80799277</v>
      </c>
      <c r="F4699" t="s">
        <v>2954</v>
      </c>
      <c r="G4699" s="3">
        <v>47712</v>
      </c>
      <c r="H4699">
        <v>60</v>
      </c>
      <c r="I4699">
        <v>84</v>
      </c>
      <c r="J4699">
        <v>128</v>
      </c>
      <c r="K4699" s="4">
        <v>20309.759999999998</v>
      </c>
      <c r="L4699" s="4">
        <v>230.14285714285714</v>
      </c>
      <c r="M4699" s="4">
        <v>0.55617628801986341</v>
      </c>
      <c r="N4699" t="s">
        <v>25</v>
      </c>
      <c r="O4699" t="str">
        <f t="shared" si="730"/>
        <v>Low</v>
      </c>
      <c r="P4699" t="str">
        <f t="shared" si="731"/>
        <v>Low</v>
      </c>
      <c r="Q4699" t="str">
        <f t="shared" si="732"/>
        <v>Low</v>
      </c>
      <c r="R4699" t="s">
        <v>3317</v>
      </c>
      <c r="S4699" s="4">
        <f t="shared" ca="1" si="733"/>
        <v>1515</v>
      </c>
      <c r="T4699">
        <f t="shared" si="734"/>
        <v>1</v>
      </c>
      <c r="U4699">
        <f t="shared" si="735"/>
        <v>1</v>
      </c>
      <c r="V4699">
        <f t="shared" si="736"/>
        <v>1</v>
      </c>
      <c r="W4699">
        <f t="shared" si="737"/>
        <v>1</v>
      </c>
      <c r="X4699">
        <f t="shared" si="738"/>
        <v>0.99999999999999989</v>
      </c>
      <c r="Y4699" t="str">
        <f t="shared" si="739"/>
        <v>Healthy</v>
      </c>
    </row>
    <row r="4700" spans="1:25" x14ac:dyDescent="0.35">
      <c r="A4700" t="s">
        <v>14</v>
      </c>
      <c r="B4700" t="s">
        <v>115</v>
      </c>
      <c r="C4700" t="s">
        <v>1130</v>
      </c>
      <c r="D4700" t="s">
        <v>1150</v>
      </c>
      <c r="E4700">
        <v>80799277</v>
      </c>
      <c r="F4700" t="s">
        <v>2954</v>
      </c>
      <c r="G4700" s="3">
        <v>47784</v>
      </c>
      <c r="H4700">
        <v>60</v>
      </c>
      <c r="I4700">
        <v>88</v>
      </c>
      <c r="J4700">
        <v>1390</v>
      </c>
      <c r="K4700" s="4">
        <v>220551.3</v>
      </c>
      <c r="L4700" s="4">
        <v>230.14285714285714</v>
      </c>
      <c r="M4700" s="4">
        <v>6.0397268777157045</v>
      </c>
      <c r="N4700" t="s">
        <v>19</v>
      </c>
      <c r="O4700" t="str">
        <f t="shared" si="730"/>
        <v>Low</v>
      </c>
      <c r="P4700" t="str">
        <f t="shared" si="731"/>
        <v>Medium</v>
      </c>
      <c r="Q4700" t="str">
        <f t="shared" si="732"/>
        <v>Low</v>
      </c>
      <c r="R4700" t="s">
        <v>3309</v>
      </c>
      <c r="S4700" s="4">
        <f t="shared" ca="1" si="733"/>
        <v>1587</v>
      </c>
      <c r="T4700">
        <f t="shared" si="734"/>
        <v>1</v>
      </c>
      <c r="U4700">
        <f t="shared" si="735"/>
        <v>2</v>
      </c>
      <c r="V4700">
        <f t="shared" si="736"/>
        <v>1</v>
      </c>
      <c r="W4700">
        <f t="shared" si="737"/>
        <v>3</v>
      </c>
      <c r="X4700">
        <f t="shared" si="738"/>
        <v>1.5</v>
      </c>
      <c r="Y4700" t="str">
        <f t="shared" si="739"/>
        <v>Healthy</v>
      </c>
    </row>
    <row r="4701" spans="1:25" x14ac:dyDescent="0.35">
      <c r="A4701" t="s">
        <v>14</v>
      </c>
      <c r="B4701" t="s">
        <v>115</v>
      </c>
      <c r="C4701" t="s">
        <v>1130</v>
      </c>
      <c r="D4701" t="s">
        <v>1150</v>
      </c>
      <c r="E4701">
        <v>80799277</v>
      </c>
      <c r="F4701" t="s">
        <v>2954</v>
      </c>
      <c r="G4701" s="3">
        <v>47726</v>
      </c>
      <c r="H4701">
        <v>60</v>
      </c>
      <c r="I4701">
        <v>85</v>
      </c>
      <c r="J4701">
        <v>96</v>
      </c>
      <c r="K4701" s="4">
        <v>15232.32</v>
      </c>
      <c r="L4701" s="4">
        <v>230.14285714285714</v>
      </c>
      <c r="M4701" s="4">
        <v>0.41713221601489758</v>
      </c>
      <c r="N4701" t="s">
        <v>25</v>
      </c>
      <c r="O4701" t="str">
        <f t="shared" si="730"/>
        <v>Low</v>
      </c>
      <c r="P4701" t="str">
        <f t="shared" si="731"/>
        <v>Low</v>
      </c>
      <c r="Q4701" t="str">
        <f t="shared" si="732"/>
        <v>Low</v>
      </c>
      <c r="R4701" t="s">
        <v>3317</v>
      </c>
      <c r="S4701" s="4">
        <f t="shared" ca="1" si="733"/>
        <v>1529</v>
      </c>
      <c r="T4701">
        <f t="shared" si="734"/>
        <v>1</v>
      </c>
      <c r="U4701">
        <f t="shared" si="735"/>
        <v>1</v>
      </c>
      <c r="V4701">
        <f t="shared" si="736"/>
        <v>1</v>
      </c>
      <c r="W4701">
        <f t="shared" si="737"/>
        <v>1</v>
      </c>
      <c r="X4701">
        <f t="shared" si="738"/>
        <v>0.99999999999999989</v>
      </c>
      <c r="Y4701" t="str">
        <f t="shared" si="739"/>
        <v>Healthy</v>
      </c>
    </row>
    <row r="4702" spans="1:25" x14ac:dyDescent="0.35">
      <c r="A4702" t="s">
        <v>179</v>
      </c>
      <c r="B4702" t="s">
        <v>223</v>
      </c>
      <c r="C4702" t="s">
        <v>357</v>
      </c>
      <c r="D4702" t="s">
        <v>2955</v>
      </c>
      <c r="E4702">
        <v>80838893</v>
      </c>
      <c r="F4702" t="s">
        <v>2956</v>
      </c>
      <c r="G4702" s="3">
        <v>46365</v>
      </c>
      <c r="H4702">
        <v>18</v>
      </c>
      <c r="I4702">
        <v>32</v>
      </c>
      <c r="J4702">
        <v>27</v>
      </c>
      <c r="K4702" s="4">
        <v>18921.060000000001</v>
      </c>
      <c r="L4702" s="4">
        <v>2.1428571428571428</v>
      </c>
      <c r="M4702" s="4">
        <v>12.6</v>
      </c>
      <c r="N4702" t="s">
        <v>19</v>
      </c>
      <c r="O4702" t="str">
        <f t="shared" si="730"/>
        <v>Medium</v>
      </c>
      <c r="P4702" t="str">
        <f t="shared" si="731"/>
        <v>High</v>
      </c>
      <c r="Q4702" t="str">
        <f t="shared" si="732"/>
        <v>High</v>
      </c>
      <c r="R4702" t="s">
        <v>3317</v>
      </c>
      <c r="S4702" s="4">
        <f t="shared" ca="1" si="733"/>
        <v>168</v>
      </c>
      <c r="T4702">
        <f t="shared" si="734"/>
        <v>2</v>
      </c>
      <c r="U4702">
        <f t="shared" si="735"/>
        <v>3</v>
      </c>
      <c r="V4702">
        <f t="shared" si="736"/>
        <v>3</v>
      </c>
      <c r="W4702">
        <f t="shared" si="737"/>
        <v>1</v>
      </c>
      <c r="X4702">
        <f t="shared" si="738"/>
        <v>2.4</v>
      </c>
      <c r="Y4702" t="str">
        <f t="shared" si="739"/>
        <v>High Priority</v>
      </c>
    </row>
    <row r="4703" spans="1:25" x14ac:dyDescent="0.35">
      <c r="A4703" t="s">
        <v>179</v>
      </c>
      <c r="B4703" t="s">
        <v>223</v>
      </c>
      <c r="C4703" t="s">
        <v>357</v>
      </c>
      <c r="D4703" t="s">
        <v>2955</v>
      </c>
      <c r="E4703">
        <v>80838893</v>
      </c>
      <c r="F4703" t="s">
        <v>2956</v>
      </c>
      <c r="G4703" s="3">
        <v>46296</v>
      </c>
      <c r="H4703">
        <v>18</v>
      </c>
      <c r="I4703">
        <v>19</v>
      </c>
      <c r="J4703">
        <v>126</v>
      </c>
      <c r="K4703" s="4">
        <v>88298.28</v>
      </c>
      <c r="L4703" s="4">
        <v>2.1428571428571428</v>
      </c>
      <c r="M4703" s="4">
        <v>58.800000000000004</v>
      </c>
      <c r="N4703" t="s">
        <v>19</v>
      </c>
      <c r="O4703" t="str">
        <f t="shared" si="730"/>
        <v>High</v>
      </c>
      <c r="P4703" t="str">
        <f t="shared" si="731"/>
        <v>High</v>
      </c>
      <c r="Q4703" t="str">
        <f t="shared" si="732"/>
        <v>High</v>
      </c>
      <c r="R4703" t="s">
        <v>3310</v>
      </c>
      <c r="S4703" s="4">
        <f t="shared" ca="1" si="733"/>
        <v>99</v>
      </c>
      <c r="T4703">
        <f t="shared" si="734"/>
        <v>3</v>
      </c>
      <c r="U4703">
        <f t="shared" si="735"/>
        <v>3</v>
      </c>
      <c r="V4703">
        <f t="shared" si="736"/>
        <v>3</v>
      </c>
      <c r="W4703">
        <f t="shared" si="737"/>
        <v>2</v>
      </c>
      <c r="X4703">
        <f t="shared" si="738"/>
        <v>2.9000000000000004</v>
      </c>
      <c r="Y4703" t="str">
        <f t="shared" si="739"/>
        <v>Move Immediately</v>
      </c>
    </row>
    <row r="4704" spans="1:25" x14ac:dyDescent="0.35">
      <c r="A4704" t="s">
        <v>179</v>
      </c>
      <c r="B4704" t="s">
        <v>223</v>
      </c>
      <c r="C4704" t="s">
        <v>357</v>
      </c>
      <c r="D4704" t="s">
        <v>2955</v>
      </c>
      <c r="E4704">
        <v>80838893</v>
      </c>
      <c r="F4704" t="s">
        <v>2956</v>
      </c>
      <c r="G4704" s="3">
        <v>46399</v>
      </c>
      <c r="H4704">
        <v>18</v>
      </c>
      <c r="I4704">
        <v>38</v>
      </c>
      <c r="J4704">
        <v>36</v>
      </c>
      <c r="K4704" s="4">
        <v>25228.080000000002</v>
      </c>
      <c r="L4704" s="4">
        <v>2.1428571428571428</v>
      </c>
      <c r="M4704" s="4">
        <v>16.8</v>
      </c>
      <c r="N4704" t="s">
        <v>19</v>
      </c>
      <c r="O4704" t="str">
        <f t="shared" si="730"/>
        <v>Medium</v>
      </c>
      <c r="P4704" t="str">
        <f t="shared" si="731"/>
        <v>High</v>
      </c>
      <c r="Q4704" t="str">
        <f t="shared" si="732"/>
        <v>High</v>
      </c>
      <c r="R4704" t="s">
        <v>3317</v>
      </c>
      <c r="S4704" s="4">
        <f t="shared" ca="1" si="733"/>
        <v>202</v>
      </c>
      <c r="T4704">
        <f t="shared" si="734"/>
        <v>2</v>
      </c>
      <c r="U4704">
        <f t="shared" si="735"/>
        <v>3</v>
      </c>
      <c r="V4704">
        <f t="shared" si="736"/>
        <v>3</v>
      </c>
      <c r="W4704">
        <f t="shared" si="737"/>
        <v>1</v>
      </c>
      <c r="X4704">
        <f t="shared" si="738"/>
        <v>2.4</v>
      </c>
      <c r="Y4704" t="str">
        <f t="shared" si="739"/>
        <v>High Priority</v>
      </c>
    </row>
    <row r="4705" spans="1:25" x14ac:dyDescent="0.35">
      <c r="A4705" t="s">
        <v>41</v>
      </c>
      <c r="B4705" t="s">
        <v>54</v>
      </c>
      <c r="C4705" t="s">
        <v>55</v>
      </c>
      <c r="D4705" t="s">
        <v>2957</v>
      </c>
      <c r="E4705">
        <v>80784726</v>
      </c>
      <c r="F4705" t="s">
        <v>2958</v>
      </c>
      <c r="G4705" s="3">
        <v>46331</v>
      </c>
      <c r="H4705">
        <v>36</v>
      </c>
      <c r="I4705">
        <v>13</v>
      </c>
      <c r="J4705">
        <v>1</v>
      </c>
      <c r="K4705" s="4">
        <v>309.81</v>
      </c>
      <c r="L4705" s="4">
        <f>0</f>
        <v>0</v>
      </c>
      <c r="M4705" s="4">
        <f>999</f>
        <v>999</v>
      </c>
      <c r="N4705" t="s">
        <v>19</v>
      </c>
      <c r="O4705" t="str">
        <f t="shared" si="730"/>
        <v>High</v>
      </c>
      <c r="P4705" t="str">
        <f t="shared" si="731"/>
        <v>High</v>
      </c>
      <c r="Q4705" t="str">
        <f t="shared" si="732"/>
        <v>High</v>
      </c>
      <c r="R4705" t="s">
        <v>3317</v>
      </c>
      <c r="S4705" s="4">
        <f t="shared" ca="1" si="733"/>
        <v>134</v>
      </c>
      <c r="T4705">
        <f t="shared" si="734"/>
        <v>3</v>
      </c>
      <c r="U4705">
        <f t="shared" si="735"/>
        <v>3</v>
      </c>
      <c r="V4705">
        <f t="shared" si="736"/>
        <v>3</v>
      </c>
      <c r="W4705">
        <f t="shared" si="737"/>
        <v>1</v>
      </c>
      <c r="X4705">
        <f t="shared" si="738"/>
        <v>2.8000000000000003</v>
      </c>
      <c r="Y4705" t="str">
        <f t="shared" si="739"/>
        <v>Move Immediately</v>
      </c>
    </row>
    <row r="4706" spans="1:25" x14ac:dyDescent="0.35">
      <c r="A4706" t="s">
        <v>41</v>
      </c>
      <c r="B4706" t="s">
        <v>54</v>
      </c>
      <c r="C4706" t="s">
        <v>55</v>
      </c>
      <c r="D4706" t="s">
        <v>2957</v>
      </c>
      <c r="E4706">
        <v>80784726</v>
      </c>
      <c r="F4706" t="s">
        <v>2958</v>
      </c>
      <c r="G4706" s="3">
        <v>46390</v>
      </c>
      <c r="H4706">
        <v>36</v>
      </c>
      <c r="I4706">
        <v>18</v>
      </c>
      <c r="J4706">
        <v>31</v>
      </c>
      <c r="K4706" s="4">
        <v>9604.11</v>
      </c>
      <c r="L4706" s="4">
        <f>0</f>
        <v>0</v>
      </c>
      <c r="M4706" s="4">
        <f>999</f>
        <v>999</v>
      </c>
      <c r="N4706" t="s">
        <v>19</v>
      </c>
      <c r="O4706" t="str">
        <f t="shared" si="730"/>
        <v>High</v>
      </c>
      <c r="P4706" t="str">
        <f t="shared" si="731"/>
        <v>High</v>
      </c>
      <c r="Q4706" t="str">
        <f t="shared" si="732"/>
        <v>High</v>
      </c>
      <c r="R4706" t="s">
        <v>3317</v>
      </c>
      <c r="S4706" s="4">
        <f t="shared" ca="1" si="733"/>
        <v>193</v>
      </c>
      <c r="T4706">
        <f t="shared" si="734"/>
        <v>3</v>
      </c>
      <c r="U4706">
        <f t="shared" si="735"/>
        <v>3</v>
      </c>
      <c r="V4706">
        <f t="shared" si="736"/>
        <v>3</v>
      </c>
      <c r="W4706">
        <f t="shared" si="737"/>
        <v>1</v>
      </c>
      <c r="X4706">
        <f t="shared" si="738"/>
        <v>2.8000000000000003</v>
      </c>
      <c r="Y4706" t="str">
        <f t="shared" si="739"/>
        <v>Move Immediately</v>
      </c>
    </row>
    <row r="4707" spans="1:25" x14ac:dyDescent="0.35">
      <c r="A4707" t="s">
        <v>179</v>
      </c>
      <c r="B4707" t="s">
        <v>223</v>
      </c>
      <c r="C4707" t="s">
        <v>357</v>
      </c>
      <c r="D4707" t="s">
        <v>2955</v>
      </c>
      <c r="E4707">
        <v>80838893</v>
      </c>
      <c r="F4707" t="s">
        <v>2956</v>
      </c>
      <c r="G4707" s="3">
        <v>46399</v>
      </c>
      <c r="H4707">
        <v>18</v>
      </c>
      <c r="I4707">
        <v>38</v>
      </c>
      <c r="J4707">
        <v>36</v>
      </c>
      <c r="K4707" s="4">
        <v>25228.080000000002</v>
      </c>
      <c r="L4707" s="4">
        <v>2.1428571428571428</v>
      </c>
      <c r="M4707" s="4">
        <v>16.8</v>
      </c>
      <c r="N4707" t="s">
        <v>19</v>
      </c>
      <c r="O4707" t="str">
        <f t="shared" si="730"/>
        <v>Medium</v>
      </c>
      <c r="P4707" t="str">
        <f t="shared" si="731"/>
        <v>High</v>
      </c>
      <c r="Q4707" t="str">
        <f t="shared" si="732"/>
        <v>High</v>
      </c>
      <c r="R4707" t="s">
        <v>3317</v>
      </c>
      <c r="S4707" s="4">
        <f t="shared" ca="1" si="733"/>
        <v>202</v>
      </c>
      <c r="T4707">
        <f t="shared" si="734"/>
        <v>2</v>
      </c>
      <c r="U4707">
        <f t="shared" si="735"/>
        <v>3</v>
      </c>
      <c r="V4707">
        <f t="shared" si="736"/>
        <v>3</v>
      </c>
      <c r="W4707">
        <f t="shared" si="737"/>
        <v>1</v>
      </c>
      <c r="X4707">
        <f t="shared" si="738"/>
        <v>2.4</v>
      </c>
      <c r="Y4707" t="str">
        <f t="shared" si="739"/>
        <v>High Priority</v>
      </c>
    </row>
    <row r="4708" spans="1:25" x14ac:dyDescent="0.35">
      <c r="A4708" t="s">
        <v>20</v>
      </c>
      <c r="B4708" t="s">
        <v>21</v>
      </c>
      <c r="C4708" t="s">
        <v>126</v>
      </c>
      <c r="D4708" t="s">
        <v>127</v>
      </c>
      <c r="E4708">
        <v>80791625</v>
      </c>
      <c r="F4708" t="s">
        <v>2959</v>
      </c>
      <c r="G4708" s="3">
        <v>47213</v>
      </c>
      <c r="H4708">
        <v>36</v>
      </c>
      <c r="I4708">
        <v>95</v>
      </c>
      <c r="J4708">
        <v>130</v>
      </c>
      <c r="K4708" s="4">
        <v>47767.199999999997</v>
      </c>
      <c r="L4708" s="4">
        <v>29.142857142857142</v>
      </c>
      <c r="M4708" s="4">
        <v>4.4607843137254903</v>
      </c>
      <c r="N4708" t="s">
        <v>25</v>
      </c>
      <c r="O4708" t="str">
        <f t="shared" si="730"/>
        <v>Low</v>
      </c>
      <c r="P4708" t="str">
        <f t="shared" si="731"/>
        <v>Medium</v>
      </c>
      <c r="Q4708" t="str">
        <f t="shared" si="732"/>
        <v>Low</v>
      </c>
      <c r="R4708" t="s">
        <v>3317</v>
      </c>
      <c r="S4708" s="4">
        <f t="shared" ca="1" si="733"/>
        <v>1016</v>
      </c>
      <c r="T4708">
        <f t="shared" si="734"/>
        <v>1</v>
      </c>
      <c r="U4708">
        <f t="shared" si="735"/>
        <v>2</v>
      </c>
      <c r="V4708">
        <f t="shared" si="736"/>
        <v>1</v>
      </c>
      <c r="W4708">
        <f t="shared" si="737"/>
        <v>1</v>
      </c>
      <c r="X4708">
        <f t="shared" si="738"/>
        <v>1.3</v>
      </c>
      <c r="Y4708" t="str">
        <f t="shared" si="739"/>
        <v>Healthy</v>
      </c>
    </row>
    <row r="4709" spans="1:25" x14ac:dyDescent="0.35">
      <c r="A4709" t="s">
        <v>20</v>
      </c>
      <c r="B4709" t="s">
        <v>21</v>
      </c>
      <c r="C4709" t="s">
        <v>126</v>
      </c>
      <c r="D4709" t="s">
        <v>127</v>
      </c>
      <c r="E4709">
        <v>80791625</v>
      </c>
      <c r="F4709" t="s">
        <v>2959</v>
      </c>
      <c r="G4709" s="3">
        <v>46955</v>
      </c>
      <c r="H4709">
        <v>36</v>
      </c>
      <c r="I4709">
        <v>71</v>
      </c>
      <c r="J4709">
        <v>71</v>
      </c>
      <c r="K4709" s="4">
        <v>26088.240000000002</v>
      </c>
      <c r="L4709" s="4">
        <v>29.142857142857142</v>
      </c>
      <c r="M4709" s="4">
        <v>2.4362745098039218</v>
      </c>
      <c r="N4709" t="s">
        <v>25</v>
      </c>
      <c r="O4709" t="str">
        <f t="shared" si="730"/>
        <v>Low</v>
      </c>
      <c r="P4709" t="str">
        <f t="shared" si="731"/>
        <v>Low</v>
      </c>
      <c r="Q4709" t="str">
        <f t="shared" si="732"/>
        <v>Low</v>
      </c>
      <c r="R4709" t="s">
        <v>3317</v>
      </c>
      <c r="S4709" s="4">
        <f t="shared" ca="1" si="733"/>
        <v>758</v>
      </c>
      <c r="T4709">
        <f t="shared" si="734"/>
        <v>1</v>
      </c>
      <c r="U4709">
        <f t="shared" si="735"/>
        <v>1</v>
      </c>
      <c r="V4709">
        <f t="shared" si="736"/>
        <v>1</v>
      </c>
      <c r="W4709">
        <f t="shared" si="737"/>
        <v>1</v>
      </c>
      <c r="X4709">
        <f t="shared" si="738"/>
        <v>0.99999999999999989</v>
      </c>
      <c r="Y4709" t="str">
        <f t="shared" si="739"/>
        <v>Healthy</v>
      </c>
    </row>
    <row r="4710" spans="1:25" x14ac:dyDescent="0.35">
      <c r="A4710" t="s">
        <v>179</v>
      </c>
      <c r="B4710" t="s">
        <v>180</v>
      </c>
      <c r="C4710" t="s">
        <v>181</v>
      </c>
      <c r="D4710" t="s">
        <v>915</v>
      </c>
      <c r="E4710">
        <v>80789313</v>
      </c>
      <c r="F4710" t="s">
        <v>2960</v>
      </c>
      <c r="G4710" s="3">
        <v>45966</v>
      </c>
      <c r="H4710">
        <v>16</v>
      </c>
      <c r="I4710">
        <v>0</v>
      </c>
      <c r="J4710">
        <v>10</v>
      </c>
      <c r="K4710" s="4">
        <v>6924.2</v>
      </c>
      <c r="L4710" s="4">
        <f>0</f>
        <v>0</v>
      </c>
      <c r="M4710" s="4">
        <f>999</f>
        <v>999</v>
      </c>
      <c r="N4710" t="s">
        <v>19</v>
      </c>
      <c r="O4710" t="str">
        <f t="shared" si="730"/>
        <v>High</v>
      </c>
      <c r="P4710" t="str">
        <f t="shared" si="731"/>
        <v>High</v>
      </c>
      <c r="Q4710" t="str">
        <f t="shared" si="732"/>
        <v>High</v>
      </c>
      <c r="R4710" t="s">
        <v>3317</v>
      </c>
      <c r="S4710" s="4">
        <f t="shared" ca="1" si="733"/>
        <v>-231</v>
      </c>
      <c r="T4710">
        <f t="shared" si="734"/>
        <v>3</v>
      </c>
      <c r="U4710">
        <f t="shared" si="735"/>
        <v>3</v>
      </c>
      <c r="V4710">
        <f t="shared" si="736"/>
        <v>3</v>
      </c>
      <c r="W4710">
        <f t="shared" si="737"/>
        <v>1</v>
      </c>
      <c r="X4710">
        <f t="shared" si="738"/>
        <v>2.8000000000000003</v>
      </c>
      <c r="Y4710" t="str">
        <f t="shared" si="739"/>
        <v>Move Immediately</v>
      </c>
    </row>
    <row r="4711" spans="1:25" x14ac:dyDescent="0.35">
      <c r="A4711" t="s">
        <v>179</v>
      </c>
      <c r="B4711" t="s">
        <v>180</v>
      </c>
      <c r="C4711" t="s">
        <v>181</v>
      </c>
      <c r="D4711" t="s">
        <v>915</v>
      </c>
      <c r="E4711">
        <v>80789313</v>
      </c>
      <c r="F4711" t="s">
        <v>2960</v>
      </c>
      <c r="G4711" s="3">
        <v>45961</v>
      </c>
      <c r="H4711">
        <v>16</v>
      </c>
      <c r="I4711">
        <v>0</v>
      </c>
      <c r="J4711">
        <v>2</v>
      </c>
      <c r="K4711" s="4">
        <v>1384.84</v>
      </c>
      <c r="L4711" s="4">
        <f>0</f>
        <v>0</v>
      </c>
      <c r="M4711" s="4">
        <f>999</f>
        <v>999</v>
      </c>
      <c r="N4711" t="s">
        <v>19</v>
      </c>
      <c r="O4711" t="str">
        <f t="shared" si="730"/>
        <v>High</v>
      </c>
      <c r="P4711" t="str">
        <f t="shared" si="731"/>
        <v>High</v>
      </c>
      <c r="Q4711" t="str">
        <f t="shared" si="732"/>
        <v>High</v>
      </c>
      <c r="R4711" t="s">
        <v>3317</v>
      </c>
      <c r="S4711" s="4">
        <f t="shared" ca="1" si="733"/>
        <v>-236</v>
      </c>
      <c r="T4711">
        <f t="shared" si="734"/>
        <v>3</v>
      </c>
      <c r="U4711">
        <f t="shared" si="735"/>
        <v>3</v>
      </c>
      <c r="V4711">
        <f t="shared" si="736"/>
        <v>3</v>
      </c>
      <c r="W4711">
        <f t="shared" si="737"/>
        <v>1</v>
      </c>
      <c r="X4711">
        <f t="shared" si="738"/>
        <v>2.8000000000000003</v>
      </c>
      <c r="Y4711" t="str">
        <f t="shared" si="739"/>
        <v>Move Immediately</v>
      </c>
    </row>
    <row r="4712" spans="1:25" x14ac:dyDescent="0.35">
      <c r="A4712" t="s">
        <v>104</v>
      </c>
      <c r="B4712" t="s">
        <v>105</v>
      </c>
      <c r="C4712" t="s">
        <v>697</v>
      </c>
      <c r="D4712" t="s">
        <v>2910</v>
      </c>
      <c r="E4712">
        <v>80836249</v>
      </c>
      <c r="F4712" t="s">
        <v>2961</v>
      </c>
      <c r="G4712" s="3">
        <v>46595</v>
      </c>
      <c r="H4712">
        <v>24</v>
      </c>
      <c r="I4712">
        <v>56</v>
      </c>
      <c r="J4712">
        <v>302</v>
      </c>
      <c r="K4712" s="4">
        <v>84315.38</v>
      </c>
      <c r="L4712" s="4">
        <v>816.71428571428567</v>
      </c>
      <c r="M4712" s="4">
        <v>0.36977435718033935</v>
      </c>
      <c r="N4712" t="s">
        <v>25</v>
      </c>
      <c r="O4712" t="str">
        <f t="shared" si="730"/>
        <v>Low</v>
      </c>
      <c r="P4712" t="str">
        <f t="shared" si="731"/>
        <v>Low</v>
      </c>
      <c r="Q4712" t="str">
        <f t="shared" si="732"/>
        <v>Low</v>
      </c>
      <c r="R4712" t="s">
        <v>3310</v>
      </c>
      <c r="S4712" s="4">
        <f t="shared" ca="1" si="733"/>
        <v>398</v>
      </c>
      <c r="T4712">
        <f t="shared" si="734"/>
        <v>1</v>
      </c>
      <c r="U4712">
        <f t="shared" si="735"/>
        <v>1</v>
      </c>
      <c r="V4712">
        <f t="shared" si="736"/>
        <v>1</v>
      </c>
      <c r="W4712">
        <f t="shared" si="737"/>
        <v>2</v>
      </c>
      <c r="X4712">
        <f t="shared" si="738"/>
        <v>1.0999999999999999</v>
      </c>
      <c r="Y4712" t="str">
        <f t="shared" si="739"/>
        <v>Healthy</v>
      </c>
    </row>
    <row r="4713" spans="1:25" x14ac:dyDescent="0.35">
      <c r="A4713" t="s">
        <v>104</v>
      </c>
      <c r="B4713" t="s">
        <v>105</v>
      </c>
      <c r="C4713" t="s">
        <v>697</v>
      </c>
      <c r="D4713" t="s">
        <v>2910</v>
      </c>
      <c r="E4713">
        <v>80836249</v>
      </c>
      <c r="F4713" t="s">
        <v>2961</v>
      </c>
      <c r="G4713" s="3">
        <v>46593</v>
      </c>
      <c r="H4713">
        <v>24</v>
      </c>
      <c r="I4713">
        <v>56</v>
      </c>
      <c r="J4713">
        <v>63</v>
      </c>
      <c r="K4713" s="4">
        <v>17588.97</v>
      </c>
      <c r="L4713" s="4">
        <v>816.71428571428567</v>
      </c>
      <c r="M4713" s="4">
        <v>7.7138359279342317E-2</v>
      </c>
      <c r="N4713" t="s">
        <v>25</v>
      </c>
      <c r="O4713" t="str">
        <f t="shared" si="730"/>
        <v>Low</v>
      </c>
      <c r="P4713" t="str">
        <f t="shared" si="731"/>
        <v>Low</v>
      </c>
      <c r="Q4713" t="str">
        <f t="shared" si="732"/>
        <v>Low</v>
      </c>
      <c r="R4713" t="s">
        <v>3317</v>
      </c>
      <c r="S4713" s="4">
        <f t="shared" ca="1" si="733"/>
        <v>396</v>
      </c>
      <c r="T4713">
        <f t="shared" si="734"/>
        <v>1</v>
      </c>
      <c r="U4713">
        <f t="shared" si="735"/>
        <v>1</v>
      </c>
      <c r="V4713">
        <f t="shared" si="736"/>
        <v>1</v>
      </c>
      <c r="W4713">
        <f t="shared" si="737"/>
        <v>1</v>
      </c>
      <c r="X4713">
        <f t="shared" si="738"/>
        <v>0.99999999999999989</v>
      </c>
      <c r="Y4713" t="str">
        <f t="shared" si="739"/>
        <v>Healthy</v>
      </c>
    </row>
    <row r="4714" spans="1:25" x14ac:dyDescent="0.35">
      <c r="A4714" t="s">
        <v>104</v>
      </c>
      <c r="B4714" t="s">
        <v>105</v>
      </c>
      <c r="C4714" t="s">
        <v>697</v>
      </c>
      <c r="D4714" t="s">
        <v>2910</v>
      </c>
      <c r="E4714">
        <v>80836249</v>
      </c>
      <c r="F4714" t="s">
        <v>2961</v>
      </c>
      <c r="G4714" s="3">
        <v>46627</v>
      </c>
      <c r="H4714">
        <v>24</v>
      </c>
      <c r="I4714">
        <v>60</v>
      </c>
      <c r="J4714">
        <v>28</v>
      </c>
      <c r="K4714" s="4">
        <v>7817.32</v>
      </c>
      <c r="L4714" s="4">
        <v>816.71428571428567</v>
      </c>
      <c r="M4714" s="4">
        <v>3.4283715235263253E-2</v>
      </c>
      <c r="N4714" t="s">
        <v>25</v>
      </c>
      <c r="O4714" t="str">
        <f t="shared" si="730"/>
        <v>Low</v>
      </c>
      <c r="P4714" t="str">
        <f t="shared" si="731"/>
        <v>Low</v>
      </c>
      <c r="Q4714" t="str">
        <f t="shared" si="732"/>
        <v>Low</v>
      </c>
      <c r="R4714" t="s">
        <v>3317</v>
      </c>
      <c r="S4714" s="4">
        <f t="shared" ca="1" si="733"/>
        <v>430</v>
      </c>
      <c r="T4714">
        <f t="shared" si="734"/>
        <v>1</v>
      </c>
      <c r="U4714">
        <f t="shared" si="735"/>
        <v>1</v>
      </c>
      <c r="V4714">
        <f t="shared" si="736"/>
        <v>1</v>
      </c>
      <c r="W4714">
        <f t="shared" si="737"/>
        <v>1</v>
      </c>
      <c r="X4714">
        <f t="shared" si="738"/>
        <v>0.99999999999999989</v>
      </c>
      <c r="Y4714" t="str">
        <f t="shared" si="739"/>
        <v>Healthy</v>
      </c>
    </row>
    <row r="4715" spans="1:25" x14ac:dyDescent="0.35">
      <c r="A4715" t="s">
        <v>20</v>
      </c>
      <c r="B4715" t="s">
        <v>21</v>
      </c>
      <c r="C4715" t="s">
        <v>51</v>
      </c>
      <c r="D4715" t="s">
        <v>781</v>
      </c>
      <c r="E4715">
        <v>80782929</v>
      </c>
      <c r="F4715" t="s">
        <v>2962</v>
      </c>
      <c r="G4715" s="3">
        <v>46859</v>
      </c>
      <c r="H4715">
        <v>36</v>
      </c>
      <c r="I4715">
        <v>62</v>
      </c>
      <c r="J4715">
        <v>21</v>
      </c>
      <c r="K4715" s="4">
        <v>2688</v>
      </c>
      <c r="L4715" s="4">
        <v>36.857142857142854</v>
      </c>
      <c r="M4715" s="4">
        <v>0.56976744186046513</v>
      </c>
      <c r="N4715" t="s">
        <v>25</v>
      </c>
      <c r="O4715" t="str">
        <f t="shared" si="730"/>
        <v>Low</v>
      </c>
      <c r="P4715" t="str">
        <f t="shared" si="731"/>
        <v>Low</v>
      </c>
      <c r="Q4715" t="str">
        <f t="shared" si="732"/>
        <v>Low</v>
      </c>
      <c r="R4715" t="s">
        <v>3317</v>
      </c>
      <c r="S4715" s="4">
        <f t="shared" ca="1" si="733"/>
        <v>662</v>
      </c>
      <c r="T4715">
        <f t="shared" si="734"/>
        <v>1</v>
      </c>
      <c r="U4715">
        <f t="shared" si="735"/>
        <v>1</v>
      </c>
      <c r="V4715">
        <f t="shared" si="736"/>
        <v>1</v>
      </c>
      <c r="W4715">
        <f t="shared" si="737"/>
        <v>1</v>
      </c>
      <c r="X4715">
        <f t="shared" si="738"/>
        <v>0.99999999999999989</v>
      </c>
      <c r="Y4715" t="str">
        <f t="shared" si="739"/>
        <v>Healthy</v>
      </c>
    </row>
    <row r="4716" spans="1:25" x14ac:dyDescent="0.35">
      <c r="A4716" t="s">
        <v>104</v>
      </c>
      <c r="B4716" t="s">
        <v>105</v>
      </c>
      <c r="C4716" t="s">
        <v>697</v>
      </c>
      <c r="D4716" t="s">
        <v>2910</v>
      </c>
      <c r="E4716">
        <v>80836249</v>
      </c>
      <c r="F4716" t="s">
        <v>2961</v>
      </c>
      <c r="G4716" s="3">
        <v>46652</v>
      </c>
      <c r="H4716">
        <v>24</v>
      </c>
      <c r="I4716">
        <v>64</v>
      </c>
      <c r="J4716">
        <v>264</v>
      </c>
      <c r="K4716" s="4">
        <v>73706.16</v>
      </c>
      <c r="L4716" s="4">
        <v>816.71428571428567</v>
      </c>
      <c r="M4716" s="4">
        <v>0.32324645793248208</v>
      </c>
      <c r="N4716" t="s">
        <v>25</v>
      </c>
      <c r="O4716" t="str">
        <f t="shared" si="730"/>
        <v>Low</v>
      </c>
      <c r="P4716" t="str">
        <f t="shared" si="731"/>
        <v>Low</v>
      </c>
      <c r="Q4716" t="str">
        <f t="shared" si="732"/>
        <v>Low</v>
      </c>
      <c r="R4716" t="s">
        <v>3310</v>
      </c>
      <c r="S4716" s="4">
        <f t="shared" ca="1" si="733"/>
        <v>455</v>
      </c>
      <c r="T4716">
        <f t="shared" si="734"/>
        <v>1</v>
      </c>
      <c r="U4716">
        <f t="shared" si="735"/>
        <v>1</v>
      </c>
      <c r="V4716">
        <f t="shared" si="736"/>
        <v>1</v>
      </c>
      <c r="W4716">
        <f t="shared" si="737"/>
        <v>2</v>
      </c>
      <c r="X4716">
        <f t="shared" si="738"/>
        <v>1.0999999999999999</v>
      </c>
      <c r="Y4716" t="str">
        <f t="shared" si="739"/>
        <v>Healthy</v>
      </c>
    </row>
    <row r="4717" spans="1:25" x14ac:dyDescent="0.35">
      <c r="A4717" t="s">
        <v>104</v>
      </c>
      <c r="B4717" t="s">
        <v>105</v>
      </c>
      <c r="C4717" t="s">
        <v>697</v>
      </c>
      <c r="D4717" t="s">
        <v>2910</v>
      </c>
      <c r="E4717">
        <v>80836249</v>
      </c>
      <c r="F4717" t="s">
        <v>2961</v>
      </c>
      <c r="G4717" s="3">
        <v>46557</v>
      </c>
      <c r="H4717">
        <v>24</v>
      </c>
      <c r="I4717">
        <v>51</v>
      </c>
      <c r="J4717">
        <v>60</v>
      </c>
      <c r="K4717" s="4">
        <v>16751.400000000001</v>
      </c>
      <c r="L4717" s="4">
        <v>816.71428571428567</v>
      </c>
      <c r="M4717" s="4">
        <v>7.3465104075564114E-2</v>
      </c>
      <c r="N4717" t="s">
        <v>25</v>
      </c>
      <c r="O4717" t="str">
        <f t="shared" si="730"/>
        <v>Low</v>
      </c>
      <c r="P4717" t="str">
        <f t="shared" si="731"/>
        <v>Low</v>
      </c>
      <c r="Q4717" t="str">
        <f t="shared" si="732"/>
        <v>Low</v>
      </c>
      <c r="R4717" t="s">
        <v>3317</v>
      </c>
      <c r="S4717" s="4">
        <f t="shared" ca="1" si="733"/>
        <v>360</v>
      </c>
      <c r="T4717">
        <f t="shared" si="734"/>
        <v>1</v>
      </c>
      <c r="U4717">
        <f t="shared" si="735"/>
        <v>1</v>
      </c>
      <c r="V4717">
        <f t="shared" si="736"/>
        <v>1</v>
      </c>
      <c r="W4717">
        <f t="shared" si="737"/>
        <v>1</v>
      </c>
      <c r="X4717">
        <f t="shared" si="738"/>
        <v>0.99999999999999989</v>
      </c>
      <c r="Y4717" t="str">
        <f t="shared" si="739"/>
        <v>Healthy</v>
      </c>
    </row>
    <row r="4718" spans="1:25" x14ac:dyDescent="0.35">
      <c r="A4718" t="s">
        <v>41</v>
      </c>
      <c r="B4718" t="s">
        <v>54</v>
      </c>
      <c r="C4718" t="s">
        <v>87</v>
      </c>
      <c r="D4718" t="s">
        <v>2130</v>
      </c>
      <c r="E4718">
        <v>80782707</v>
      </c>
      <c r="F4718" t="s">
        <v>2963</v>
      </c>
      <c r="G4718" s="3">
        <v>46472</v>
      </c>
      <c r="H4718">
        <v>36</v>
      </c>
      <c r="I4718">
        <v>26</v>
      </c>
      <c r="J4718">
        <v>3</v>
      </c>
      <c r="K4718" s="4">
        <v>3158.31</v>
      </c>
      <c r="L4718" s="4">
        <f>0</f>
        <v>0</v>
      </c>
      <c r="M4718" s="4">
        <f>999</f>
        <v>999</v>
      </c>
      <c r="N4718" t="s">
        <v>19</v>
      </c>
      <c r="O4718" t="str">
        <f t="shared" si="730"/>
        <v>Medium</v>
      </c>
      <c r="P4718" t="str">
        <f t="shared" si="731"/>
        <v>High</v>
      </c>
      <c r="Q4718" t="str">
        <f t="shared" si="732"/>
        <v>High</v>
      </c>
      <c r="R4718" t="s">
        <v>3317</v>
      </c>
      <c r="S4718" s="4">
        <f t="shared" ca="1" si="733"/>
        <v>275</v>
      </c>
      <c r="T4718">
        <f t="shared" si="734"/>
        <v>2</v>
      </c>
      <c r="U4718">
        <f t="shared" si="735"/>
        <v>3</v>
      </c>
      <c r="V4718">
        <f t="shared" si="736"/>
        <v>3</v>
      </c>
      <c r="W4718">
        <f t="shared" si="737"/>
        <v>1</v>
      </c>
      <c r="X4718">
        <f t="shared" si="738"/>
        <v>2.4</v>
      </c>
      <c r="Y4718" t="str">
        <f t="shared" si="739"/>
        <v>High Priority</v>
      </c>
    </row>
    <row r="4719" spans="1:25" x14ac:dyDescent="0.35">
      <c r="A4719" t="s">
        <v>104</v>
      </c>
      <c r="B4719" t="s">
        <v>105</v>
      </c>
      <c r="C4719" t="s">
        <v>697</v>
      </c>
      <c r="D4719" t="s">
        <v>2910</v>
      </c>
      <c r="E4719">
        <v>80836249</v>
      </c>
      <c r="F4719" t="s">
        <v>2961</v>
      </c>
      <c r="G4719" s="3">
        <v>46793</v>
      </c>
      <c r="H4719">
        <v>24</v>
      </c>
      <c r="I4719">
        <v>83</v>
      </c>
      <c r="J4719">
        <v>210</v>
      </c>
      <c r="K4719" s="4">
        <v>58629.9</v>
      </c>
      <c r="L4719" s="4">
        <v>816.71428571428567</v>
      </c>
      <c r="M4719" s="4">
        <v>0.25712786426447437</v>
      </c>
      <c r="N4719" t="s">
        <v>25</v>
      </c>
      <c r="O4719" t="str">
        <f t="shared" si="730"/>
        <v>Low</v>
      </c>
      <c r="P4719" t="str">
        <f t="shared" si="731"/>
        <v>Low</v>
      </c>
      <c r="Q4719" t="str">
        <f t="shared" si="732"/>
        <v>Low</v>
      </c>
      <c r="R4719" t="s">
        <v>3317</v>
      </c>
      <c r="S4719" s="4">
        <f t="shared" ca="1" si="733"/>
        <v>596</v>
      </c>
      <c r="T4719">
        <f t="shared" si="734"/>
        <v>1</v>
      </c>
      <c r="U4719">
        <f t="shared" si="735"/>
        <v>1</v>
      </c>
      <c r="V4719">
        <f t="shared" si="736"/>
        <v>1</v>
      </c>
      <c r="W4719">
        <f t="shared" si="737"/>
        <v>1</v>
      </c>
      <c r="X4719">
        <f t="shared" si="738"/>
        <v>0.99999999999999989</v>
      </c>
      <c r="Y4719" t="str">
        <f t="shared" si="739"/>
        <v>Healthy</v>
      </c>
    </row>
    <row r="4720" spans="1:25" x14ac:dyDescent="0.35">
      <c r="A4720" t="s">
        <v>104</v>
      </c>
      <c r="B4720" t="s">
        <v>105</v>
      </c>
      <c r="C4720" t="s">
        <v>697</v>
      </c>
      <c r="D4720" t="s">
        <v>2910</v>
      </c>
      <c r="E4720">
        <v>80836249</v>
      </c>
      <c r="F4720" t="s">
        <v>2961</v>
      </c>
      <c r="G4720" s="3">
        <v>46534</v>
      </c>
      <c r="H4720">
        <v>24</v>
      </c>
      <c r="I4720">
        <v>48</v>
      </c>
      <c r="J4720">
        <v>61</v>
      </c>
      <c r="K4720" s="4">
        <v>17030.59</v>
      </c>
      <c r="L4720" s="4">
        <v>816.71428571428567</v>
      </c>
      <c r="M4720" s="4">
        <v>7.4689522476823519E-2</v>
      </c>
      <c r="N4720" t="s">
        <v>25</v>
      </c>
      <c r="O4720" t="str">
        <f t="shared" si="730"/>
        <v>Low</v>
      </c>
      <c r="P4720" t="str">
        <f t="shared" si="731"/>
        <v>Low</v>
      </c>
      <c r="Q4720" t="str">
        <f t="shared" si="732"/>
        <v>Low</v>
      </c>
      <c r="R4720" t="s">
        <v>3317</v>
      </c>
      <c r="S4720" s="4">
        <f t="shared" ca="1" si="733"/>
        <v>337</v>
      </c>
      <c r="T4720">
        <f t="shared" si="734"/>
        <v>1</v>
      </c>
      <c r="U4720">
        <f t="shared" si="735"/>
        <v>1</v>
      </c>
      <c r="V4720">
        <f t="shared" si="736"/>
        <v>1</v>
      </c>
      <c r="W4720">
        <f t="shared" si="737"/>
        <v>1</v>
      </c>
      <c r="X4720">
        <f t="shared" si="738"/>
        <v>0.99999999999999989</v>
      </c>
      <c r="Y4720" t="str">
        <f t="shared" si="739"/>
        <v>Healthy</v>
      </c>
    </row>
    <row r="4721" spans="1:25" x14ac:dyDescent="0.35">
      <c r="A4721" t="s">
        <v>90</v>
      </c>
      <c r="B4721" t="s">
        <v>91</v>
      </c>
      <c r="C4721" t="s">
        <v>92</v>
      </c>
      <c r="D4721" t="s">
        <v>1061</v>
      </c>
      <c r="E4721">
        <v>80839262</v>
      </c>
      <c r="F4721" t="s">
        <v>2964</v>
      </c>
      <c r="G4721" s="3">
        <v>46501</v>
      </c>
      <c r="H4721">
        <v>24</v>
      </c>
      <c r="I4721">
        <v>43</v>
      </c>
      <c r="J4721">
        <v>64</v>
      </c>
      <c r="K4721" s="4">
        <v>29123.200000000001</v>
      </c>
      <c r="L4721" s="4">
        <v>3.5714285714285716</v>
      </c>
      <c r="M4721" s="4">
        <v>17.919999999999998</v>
      </c>
      <c r="N4721" t="s">
        <v>19</v>
      </c>
      <c r="O4721" t="str">
        <f t="shared" si="730"/>
        <v>Low</v>
      </c>
      <c r="P4721" t="str">
        <f t="shared" si="731"/>
        <v>High</v>
      </c>
      <c r="Q4721" t="str">
        <f t="shared" si="732"/>
        <v>High</v>
      </c>
      <c r="R4721" t="s">
        <v>3317</v>
      </c>
      <c r="S4721" s="4">
        <f t="shared" ca="1" si="733"/>
        <v>304</v>
      </c>
      <c r="T4721">
        <f t="shared" si="734"/>
        <v>1</v>
      </c>
      <c r="U4721">
        <f t="shared" si="735"/>
        <v>3</v>
      </c>
      <c r="V4721">
        <f t="shared" si="736"/>
        <v>3</v>
      </c>
      <c r="W4721">
        <f t="shared" si="737"/>
        <v>1</v>
      </c>
      <c r="X4721">
        <f t="shared" si="738"/>
        <v>2</v>
      </c>
      <c r="Y4721" t="str">
        <f t="shared" si="739"/>
        <v>Monitor</v>
      </c>
    </row>
    <row r="4722" spans="1:25" x14ac:dyDescent="0.35">
      <c r="A4722" t="s">
        <v>90</v>
      </c>
      <c r="B4722" t="s">
        <v>91</v>
      </c>
      <c r="C4722" t="s">
        <v>92</v>
      </c>
      <c r="D4722" t="s">
        <v>1061</v>
      </c>
      <c r="E4722">
        <v>80839262</v>
      </c>
      <c r="F4722" t="s">
        <v>2964</v>
      </c>
      <c r="G4722" s="3">
        <v>46269</v>
      </c>
      <c r="H4722">
        <v>24</v>
      </c>
      <c r="I4722">
        <v>11</v>
      </c>
      <c r="J4722">
        <v>80</v>
      </c>
      <c r="K4722" s="4">
        <v>36404</v>
      </c>
      <c r="L4722" s="4">
        <v>3.5714285714285716</v>
      </c>
      <c r="M4722" s="4">
        <v>22.4</v>
      </c>
      <c r="N4722" t="s">
        <v>19</v>
      </c>
      <c r="O4722" t="str">
        <f t="shared" si="730"/>
        <v>High</v>
      </c>
      <c r="P4722" t="str">
        <f t="shared" si="731"/>
        <v>High</v>
      </c>
      <c r="Q4722" t="str">
        <f t="shared" si="732"/>
        <v>High</v>
      </c>
      <c r="R4722" t="s">
        <v>3317</v>
      </c>
      <c r="S4722" s="4">
        <f t="shared" ca="1" si="733"/>
        <v>72</v>
      </c>
      <c r="T4722">
        <f t="shared" si="734"/>
        <v>3</v>
      </c>
      <c r="U4722">
        <f t="shared" si="735"/>
        <v>3</v>
      </c>
      <c r="V4722">
        <f t="shared" si="736"/>
        <v>3</v>
      </c>
      <c r="W4722">
        <f t="shared" si="737"/>
        <v>1</v>
      </c>
      <c r="X4722">
        <f t="shared" si="738"/>
        <v>2.8000000000000003</v>
      </c>
      <c r="Y4722" t="str">
        <f t="shared" si="739"/>
        <v>Move Immediately</v>
      </c>
    </row>
    <row r="4723" spans="1:25" x14ac:dyDescent="0.35">
      <c r="A4723" t="s">
        <v>189</v>
      </c>
      <c r="B4723" t="s">
        <v>190</v>
      </c>
      <c r="C4723" t="s">
        <v>190</v>
      </c>
      <c r="D4723" t="s">
        <v>2468</v>
      </c>
      <c r="E4723">
        <v>80835771</v>
      </c>
      <c r="F4723" t="s">
        <v>2965</v>
      </c>
      <c r="G4723" s="3">
        <v>46492</v>
      </c>
      <c r="H4723">
        <v>18</v>
      </c>
      <c r="I4723">
        <v>56</v>
      </c>
      <c r="J4723">
        <v>4</v>
      </c>
      <c r="K4723" s="4">
        <v>1018.92</v>
      </c>
      <c r="L4723" s="4">
        <v>1049.5714285714287</v>
      </c>
      <c r="M4723" s="4">
        <v>3.8110793521165098E-3</v>
      </c>
      <c r="N4723" t="s">
        <v>25</v>
      </c>
      <c r="O4723" t="str">
        <f t="shared" si="730"/>
        <v>Low</v>
      </c>
      <c r="P4723" t="str">
        <f t="shared" si="731"/>
        <v>Low</v>
      </c>
      <c r="Q4723" t="str">
        <f t="shared" si="732"/>
        <v>Low</v>
      </c>
      <c r="R4723" t="s">
        <v>3317</v>
      </c>
      <c r="S4723" s="4">
        <f t="shared" ca="1" si="733"/>
        <v>295</v>
      </c>
      <c r="T4723">
        <f t="shared" si="734"/>
        <v>1</v>
      </c>
      <c r="U4723">
        <f t="shared" si="735"/>
        <v>1</v>
      </c>
      <c r="V4723">
        <f t="shared" si="736"/>
        <v>1</v>
      </c>
      <c r="W4723">
        <f t="shared" si="737"/>
        <v>1</v>
      </c>
      <c r="X4723">
        <f t="shared" si="738"/>
        <v>0.99999999999999989</v>
      </c>
      <c r="Y4723" t="str">
        <f t="shared" si="739"/>
        <v>Healthy</v>
      </c>
    </row>
    <row r="4724" spans="1:25" x14ac:dyDescent="0.35">
      <c r="A4724" t="s">
        <v>99</v>
      </c>
      <c r="B4724" t="s">
        <v>100</v>
      </c>
      <c r="C4724" t="s">
        <v>136</v>
      </c>
      <c r="D4724" t="s">
        <v>1190</v>
      </c>
      <c r="E4724">
        <v>80830399</v>
      </c>
      <c r="F4724" t="s">
        <v>2966</v>
      </c>
      <c r="G4724" s="3">
        <v>46989</v>
      </c>
      <c r="H4724">
        <v>36</v>
      </c>
      <c r="I4724">
        <v>74</v>
      </c>
      <c r="J4724">
        <v>91</v>
      </c>
      <c r="K4724" s="4">
        <v>18329.22</v>
      </c>
      <c r="L4724" s="4">
        <v>305.71428571428572</v>
      </c>
      <c r="M4724" s="4">
        <v>0.29766355140186918</v>
      </c>
      <c r="N4724" t="s">
        <v>25</v>
      </c>
      <c r="O4724" t="str">
        <f t="shared" si="730"/>
        <v>Low</v>
      </c>
      <c r="P4724" t="str">
        <f t="shared" si="731"/>
        <v>Low</v>
      </c>
      <c r="Q4724" t="str">
        <f t="shared" si="732"/>
        <v>Low</v>
      </c>
      <c r="R4724" t="s">
        <v>3317</v>
      </c>
      <c r="S4724" s="4">
        <f t="shared" ca="1" si="733"/>
        <v>792</v>
      </c>
      <c r="T4724">
        <f t="shared" si="734"/>
        <v>1</v>
      </c>
      <c r="U4724">
        <f t="shared" si="735"/>
        <v>1</v>
      </c>
      <c r="V4724">
        <f t="shared" si="736"/>
        <v>1</v>
      </c>
      <c r="W4724">
        <f t="shared" si="737"/>
        <v>1</v>
      </c>
      <c r="X4724">
        <f t="shared" si="738"/>
        <v>0.99999999999999989</v>
      </c>
      <c r="Y4724" t="str">
        <f t="shared" si="739"/>
        <v>Healthy</v>
      </c>
    </row>
    <row r="4725" spans="1:25" x14ac:dyDescent="0.35">
      <c r="A4725" t="s">
        <v>99</v>
      </c>
      <c r="B4725" t="s">
        <v>100</v>
      </c>
      <c r="C4725" t="s">
        <v>136</v>
      </c>
      <c r="D4725" t="s">
        <v>1190</v>
      </c>
      <c r="E4725">
        <v>80830399</v>
      </c>
      <c r="F4725" t="s">
        <v>2966</v>
      </c>
      <c r="G4725" s="3">
        <v>47111</v>
      </c>
      <c r="H4725">
        <v>36</v>
      </c>
      <c r="I4725">
        <v>85</v>
      </c>
      <c r="J4725">
        <v>71</v>
      </c>
      <c r="K4725" s="4">
        <v>14300.82</v>
      </c>
      <c r="L4725" s="4">
        <v>305.71428571428572</v>
      </c>
      <c r="M4725" s="4">
        <v>0.23224299065420559</v>
      </c>
      <c r="N4725" t="s">
        <v>25</v>
      </c>
      <c r="O4725" t="str">
        <f t="shared" si="730"/>
        <v>Low</v>
      </c>
      <c r="P4725" t="str">
        <f t="shared" si="731"/>
        <v>Low</v>
      </c>
      <c r="Q4725" t="str">
        <f t="shared" si="732"/>
        <v>Low</v>
      </c>
      <c r="R4725" t="s">
        <v>3317</v>
      </c>
      <c r="S4725" s="4">
        <f t="shared" ca="1" si="733"/>
        <v>914</v>
      </c>
      <c r="T4725">
        <f t="shared" si="734"/>
        <v>1</v>
      </c>
      <c r="U4725">
        <f t="shared" si="735"/>
        <v>1</v>
      </c>
      <c r="V4725">
        <f t="shared" si="736"/>
        <v>1</v>
      </c>
      <c r="W4725">
        <f t="shared" si="737"/>
        <v>1</v>
      </c>
      <c r="X4725">
        <f t="shared" si="738"/>
        <v>0.99999999999999989</v>
      </c>
      <c r="Y4725" t="str">
        <f t="shared" si="739"/>
        <v>Healthy</v>
      </c>
    </row>
    <row r="4726" spans="1:25" x14ac:dyDescent="0.35">
      <c r="A4726" t="s">
        <v>99</v>
      </c>
      <c r="B4726" t="s">
        <v>100</v>
      </c>
      <c r="C4726" t="s">
        <v>136</v>
      </c>
      <c r="D4726" t="s">
        <v>1190</v>
      </c>
      <c r="E4726">
        <v>80830399</v>
      </c>
      <c r="F4726" t="s">
        <v>2966</v>
      </c>
      <c r="G4726" s="3">
        <v>47019</v>
      </c>
      <c r="H4726">
        <v>36</v>
      </c>
      <c r="I4726">
        <v>77</v>
      </c>
      <c r="J4726">
        <v>3</v>
      </c>
      <c r="K4726" s="4">
        <v>604.26</v>
      </c>
      <c r="L4726" s="4">
        <v>305.71428571428572</v>
      </c>
      <c r="M4726" s="4">
        <v>9.8130841121495324E-3</v>
      </c>
      <c r="N4726" t="s">
        <v>25</v>
      </c>
      <c r="O4726" t="str">
        <f t="shared" si="730"/>
        <v>Low</v>
      </c>
      <c r="P4726" t="str">
        <f t="shared" si="731"/>
        <v>Low</v>
      </c>
      <c r="Q4726" t="str">
        <f t="shared" si="732"/>
        <v>Low</v>
      </c>
      <c r="R4726" t="s">
        <v>3317</v>
      </c>
      <c r="S4726" s="4">
        <f t="shared" ca="1" si="733"/>
        <v>822</v>
      </c>
      <c r="T4726">
        <f t="shared" si="734"/>
        <v>1</v>
      </c>
      <c r="U4726">
        <f t="shared" si="735"/>
        <v>1</v>
      </c>
      <c r="V4726">
        <f t="shared" si="736"/>
        <v>1</v>
      </c>
      <c r="W4726">
        <f t="shared" si="737"/>
        <v>1</v>
      </c>
      <c r="X4726">
        <f t="shared" si="738"/>
        <v>0.99999999999999989</v>
      </c>
      <c r="Y4726" t="str">
        <f t="shared" si="739"/>
        <v>Healthy</v>
      </c>
    </row>
    <row r="4727" spans="1:25" x14ac:dyDescent="0.35">
      <c r="A4727" t="s">
        <v>99</v>
      </c>
      <c r="B4727" t="s">
        <v>100</v>
      </c>
      <c r="C4727" t="s">
        <v>136</v>
      </c>
      <c r="D4727" t="s">
        <v>1190</v>
      </c>
      <c r="E4727">
        <v>80830399</v>
      </c>
      <c r="F4727" t="s">
        <v>2966</v>
      </c>
      <c r="G4727" s="3">
        <v>47145</v>
      </c>
      <c r="H4727">
        <v>36</v>
      </c>
      <c r="I4727">
        <v>88</v>
      </c>
      <c r="J4727">
        <v>30</v>
      </c>
      <c r="K4727" s="4">
        <v>6042.6</v>
      </c>
      <c r="L4727" s="4">
        <v>305.71428571428572</v>
      </c>
      <c r="M4727" s="4">
        <v>9.8130841121495324E-2</v>
      </c>
      <c r="N4727" t="s">
        <v>25</v>
      </c>
      <c r="O4727" t="str">
        <f t="shared" si="730"/>
        <v>Low</v>
      </c>
      <c r="P4727" t="str">
        <f t="shared" si="731"/>
        <v>Low</v>
      </c>
      <c r="Q4727" t="str">
        <f t="shared" si="732"/>
        <v>Low</v>
      </c>
      <c r="R4727" t="s">
        <v>3317</v>
      </c>
      <c r="S4727" s="4">
        <f t="shared" ca="1" si="733"/>
        <v>948</v>
      </c>
      <c r="T4727">
        <f t="shared" si="734"/>
        <v>1</v>
      </c>
      <c r="U4727">
        <f t="shared" si="735"/>
        <v>1</v>
      </c>
      <c r="V4727">
        <f t="shared" si="736"/>
        <v>1</v>
      </c>
      <c r="W4727">
        <f t="shared" si="737"/>
        <v>1</v>
      </c>
      <c r="X4727">
        <f t="shared" si="738"/>
        <v>0.99999999999999989</v>
      </c>
      <c r="Y4727" t="str">
        <f t="shared" si="739"/>
        <v>Healthy</v>
      </c>
    </row>
    <row r="4728" spans="1:25" x14ac:dyDescent="0.35">
      <c r="A4728" t="s">
        <v>179</v>
      </c>
      <c r="B4728" t="s">
        <v>195</v>
      </c>
      <c r="C4728" t="s">
        <v>199</v>
      </c>
      <c r="D4728" t="s">
        <v>654</v>
      </c>
      <c r="E4728">
        <v>80785974</v>
      </c>
      <c r="F4728" t="s">
        <v>2967</v>
      </c>
      <c r="G4728" s="3">
        <v>46555</v>
      </c>
      <c r="H4728">
        <v>16</v>
      </c>
      <c r="I4728">
        <v>76</v>
      </c>
      <c r="J4728">
        <v>1</v>
      </c>
      <c r="K4728" s="4">
        <v>151.11000000000001</v>
      </c>
      <c r="L4728" s="4">
        <v>666</v>
      </c>
      <c r="M4728" s="4">
        <v>1.5015015015015015E-3</v>
      </c>
      <c r="N4728" t="s">
        <v>25</v>
      </c>
      <c r="O4728" t="str">
        <f t="shared" si="730"/>
        <v>Low</v>
      </c>
      <c r="P4728" t="str">
        <f t="shared" si="731"/>
        <v>Low</v>
      </c>
      <c r="Q4728" t="str">
        <f t="shared" si="732"/>
        <v>Low</v>
      </c>
      <c r="R4728" t="s">
        <v>3317</v>
      </c>
      <c r="S4728" s="4">
        <f t="shared" ca="1" si="733"/>
        <v>358</v>
      </c>
      <c r="T4728">
        <f t="shared" si="734"/>
        <v>1</v>
      </c>
      <c r="U4728">
        <f t="shared" si="735"/>
        <v>1</v>
      </c>
      <c r="V4728">
        <f t="shared" si="736"/>
        <v>1</v>
      </c>
      <c r="W4728">
        <f t="shared" si="737"/>
        <v>1</v>
      </c>
      <c r="X4728">
        <f t="shared" si="738"/>
        <v>0.99999999999999989</v>
      </c>
      <c r="Y4728" t="str">
        <f t="shared" si="739"/>
        <v>Healthy</v>
      </c>
    </row>
    <row r="4729" spans="1:25" x14ac:dyDescent="0.35">
      <c r="A4729" t="s">
        <v>99</v>
      </c>
      <c r="B4729" t="s">
        <v>100</v>
      </c>
      <c r="C4729" t="s">
        <v>136</v>
      </c>
      <c r="D4729" t="s">
        <v>1190</v>
      </c>
      <c r="E4729">
        <v>80830399</v>
      </c>
      <c r="F4729" t="s">
        <v>2966</v>
      </c>
      <c r="G4729" s="3">
        <v>46947</v>
      </c>
      <c r="H4729">
        <v>36</v>
      </c>
      <c r="I4729">
        <v>70</v>
      </c>
      <c r="J4729">
        <v>186</v>
      </c>
      <c r="K4729" s="4">
        <v>37464.120000000003</v>
      </c>
      <c r="L4729" s="4">
        <v>305.71428571428572</v>
      </c>
      <c r="M4729" s="4">
        <v>0.608411214953271</v>
      </c>
      <c r="N4729" t="s">
        <v>25</v>
      </c>
      <c r="O4729" t="str">
        <f t="shared" si="730"/>
        <v>Low</v>
      </c>
      <c r="P4729" t="str">
        <f t="shared" si="731"/>
        <v>Low</v>
      </c>
      <c r="Q4729" t="str">
        <f t="shared" si="732"/>
        <v>Low</v>
      </c>
      <c r="R4729" t="s">
        <v>3317</v>
      </c>
      <c r="S4729" s="4">
        <f t="shared" ca="1" si="733"/>
        <v>750</v>
      </c>
      <c r="T4729">
        <f t="shared" si="734"/>
        <v>1</v>
      </c>
      <c r="U4729">
        <f t="shared" si="735"/>
        <v>1</v>
      </c>
      <c r="V4729">
        <f t="shared" si="736"/>
        <v>1</v>
      </c>
      <c r="W4729">
        <f t="shared" si="737"/>
        <v>1</v>
      </c>
      <c r="X4729">
        <f t="shared" si="738"/>
        <v>0.99999999999999989</v>
      </c>
      <c r="Y4729" t="str">
        <f t="shared" si="739"/>
        <v>Healthy</v>
      </c>
    </row>
    <row r="4730" spans="1:25" x14ac:dyDescent="0.35">
      <c r="A4730" t="s">
        <v>99</v>
      </c>
      <c r="B4730" t="s">
        <v>100</v>
      </c>
      <c r="C4730" t="s">
        <v>136</v>
      </c>
      <c r="D4730" t="s">
        <v>1190</v>
      </c>
      <c r="E4730">
        <v>80830399</v>
      </c>
      <c r="F4730" t="s">
        <v>2966</v>
      </c>
      <c r="G4730" s="3">
        <v>46761</v>
      </c>
      <c r="H4730">
        <v>36</v>
      </c>
      <c r="I4730">
        <v>53</v>
      </c>
      <c r="J4730">
        <v>78</v>
      </c>
      <c r="K4730" s="4">
        <v>15710.76</v>
      </c>
      <c r="L4730" s="4">
        <v>305.71428571428572</v>
      </c>
      <c r="M4730" s="4">
        <v>0.25514018691588786</v>
      </c>
      <c r="N4730" t="s">
        <v>25</v>
      </c>
      <c r="O4730" t="str">
        <f t="shared" si="730"/>
        <v>Low</v>
      </c>
      <c r="P4730" t="str">
        <f t="shared" si="731"/>
        <v>Low</v>
      </c>
      <c r="Q4730" t="str">
        <f t="shared" si="732"/>
        <v>Low</v>
      </c>
      <c r="R4730" t="s">
        <v>3317</v>
      </c>
      <c r="S4730" s="4">
        <f t="shared" ca="1" si="733"/>
        <v>564</v>
      </c>
      <c r="T4730">
        <f t="shared" si="734"/>
        <v>1</v>
      </c>
      <c r="U4730">
        <f t="shared" si="735"/>
        <v>1</v>
      </c>
      <c r="V4730">
        <f t="shared" si="736"/>
        <v>1</v>
      </c>
      <c r="W4730">
        <f t="shared" si="737"/>
        <v>1</v>
      </c>
      <c r="X4730">
        <f t="shared" si="738"/>
        <v>0.99999999999999989</v>
      </c>
      <c r="Y4730" t="str">
        <f t="shared" si="739"/>
        <v>Healthy</v>
      </c>
    </row>
    <row r="4731" spans="1:25" x14ac:dyDescent="0.35">
      <c r="A4731" t="s">
        <v>189</v>
      </c>
      <c r="B4731" t="s">
        <v>190</v>
      </c>
      <c r="C4731" t="s">
        <v>190</v>
      </c>
      <c r="D4731" t="s">
        <v>2475</v>
      </c>
      <c r="E4731">
        <v>80787264</v>
      </c>
      <c r="F4731" t="s">
        <v>2968</v>
      </c>
      <c r="G4731" s="3">
        <v>47417</v>
      </c>
      <c r="H4731">
        <v>18</v>
      </c>
      <c r="I4731">
        <v>100</v>
      </c>
      <c r="J4731">
        <v>20</v>
      </c>
      <c r="K4731" s="4">
        <v>41718.199999999997</v>
      </c>
      <c r="L4731" s="4">
        <v>13.714285714285714</v>
      </c>
      <c r="M4731" s="4">
        <v>1.4583333333333335</v>
      </c>
      <c r="N4731" t="s">
        <v>25</v>
      </c>
      <c r="O4731" t="str">
        <f t="shared" si="730"/>
        <v>Low</v>
      </c>
      <c r="P4731" t="str">
        <f t="shared" si="731"/>
        <v>Low</v>
      </c>
      <c r="Q4731" t="str">
        <f t="shared" si="732"/>
        <v>Medium</v>
      </c>
      <c r="R4731" t="s">
        <v>3317</v>
      </c>
      <c r="S4731" s="4">
        <f t="shared" ca="1" si="733"/>
        <v>1220</v>
      </c>
      <c r="T4731">
        <f t="shared" si="734"/>
        <v>1</v>
      </c>
      <c r="U4731">
        <f t="shared" si="735"/>
        <v>1</v>
      </c>
      <c r="V4731">
        <f t="shared" si="736"/>
        <v>2</v>
      </c>
      <c r="W4731">
        <f t="shared" si="737"/>
        <v>1</v>
      </c>
      <c r="X4731">
        <f t="shared" si="738"/>
        <v>1.2000000000000002</v>
      </c>
      <c r="Y4731" t="str">
        <f t="shared" si="739"/>
        <v>Healthy</v>
      </c>
    </row>
    <row r="4732" spans="1:25" x14ac:dyDescent="0.35">
      <c r="A4732" t="s">
        <v>90</v>
      </c>
      <c r="B4732" t="s">
        <v>217</v>
      </c>
      <c r="C4732" t="s">
        <v>542</v>
      </c>
      <c r="D4732" t="s">
        <v>635</v>
      </c>
      <c r="E4732">
        <v>80847738</v>
      </c>
      <c r="F4732" t="s">
        <v>2969</v>
      </c>
      <c r="G4732" s="3">
        <v>46816</v>
      </c>
      <c r="H4732">
        <v>24</v>
      </c>
      <c r="I4732">
        <v>87</v>
      </c>
      <c r="J4732">
        <v>4</v>
      </c>
      <c r="K4732" s="4">
        <v>984.2</v>
      </c>
      <c r="L4732" s="4">
        <v>23312.571428571428</v>
      </c>
      <c r="M4732" s="4">
        <v>1.7158124371890091E-4</v>
      </c>
      <c r="N4732" t="s">
        <v>25</v>
      </c>
      <c r="O4732" t="str">
        <f t="shared" si="730"/>
        <v>Low</v>
      </c>
      <c r="P4732" t="str">
        <f t="shared" si="731"/>
        <v>Low</v>
      </c>
      <c r="Q4732" t="str">
        <f t="shared" si="732"/>
        <v>Low</v>
      </c>
      <c r="R4732" t="s">
        <v>3317</v>
      </c>
      <c r="S4732" s="4">
        <f t="shared" ca="1" si="733"/>
        <v>619</v>
      </c>
      <c r="T4732">
        <f t="shared" si="734"/>
        <v>1</v>
      </c>
      <c r="U4732">
        <f t="shared" si="735"/>
        <v>1</v>
      </c>
      <c r="V4732">
        <f t="shared" si="736"/>
        <v>1</v>
      </c>
      <c r="W4732">
        <f t="shared" si="737"/>
        <v>1</v>
      </c>
      <c r="X4732">
        <f t="shared" si="738"/>
        <v>0.99999999999999989</v>
      </c>
      <c r="Y4732" t="str">
        <f t="shared" si="739"/>
        <v>Healthy</v>
      </c>
    </row>
    <row r="4733" spans="1:25" x14ac:dyDescent="0.35">
      <c r="A4733" t="s">
        <v>90</v>
      </c>
      <c r="B4733" t="s">
        <v>217</v>
      </c>
      <c r="C4733" t="s">
        <v>542</v>
      </c>
      <c r="D4733" t="s">
        <v>635</v>
      </c>
      <c r="E4733">
        <v>80847738</v>
      </c>
      <c r="F4733" t="s">
        <v>2969</v>
      </c>
      <c r="G4733" s="3">
        <v>46853</v>
      </c>
      <c r="H4733">
        <v>24</v>
      </c>
      <c r="I4733">
        <v>92</v>
      </c>
      <c r="J4733">
        <v>10</v>
      </c>
      <c r="K4733" s="4">
        <v>2460.5</v>
      </c>
      <c r="L4733" s="4">
        <v>23312.571428571428</v>
      </c>
      <c r="M4733" s="4">
        <v>4.2895310929725228E-4</v>
      </c>
      <c r="N4733" t="s">
        <v>25</v>
      </c>
      <c r="O4733" t="str">
        <f t="shared" si="730"/>
        <v>Low</v>
      </c>
      <c r="P4733" t="str">
        <f t="shared" si="731"/>
        <v>Low</v>
      </c>
      <c r="Q4733" t="str">
        <f t="shared" si="732"/>
        <v>Low</v>
      </c>
      <c r="R4733" t="s">
        <v>3317</v>
      </c>
      <c r="S4733" s="4">
        <f t="shared" ca="1" si="733"/>
        <v>656</v>
      </c>
      <c r="T4733">
        <f t="shared" si="734"/>
        <v>1</v>
      </c>
      <c r="U4733">
        <f t="shared" si="735"/>
        <v>1</v>
      </c>
      <c r="V4733">
        <f t="shared" si="736"/>
        <v>1</v>
      </c>
      <c r="W4733">
        <f t="shared" si="737"/>
        <v>1</v>
      </c>
      <c r="X4733">
        <f t="shared" si="738"/>
        <v>0.99999999999999989</v>
      </c>
      <c r="Y4733" t="str">
        <f t="shared" si="739"/>
        <v>Healthy</v>
      </c>
    </row>
    <row r="4734" spans="1:25" x14ac:dyDescent="0.35">
      <c r="A4734" t="s">
        <v>210</v>
      </c>
      <c r="B4734" t="s">
        <v>211</v>
      </c>
      <c r="C4734" t="s">
        <v>212</v>
      </c>
      <c r="D4734" t="s">
        <v>1905</v>
      </c>
      <c r="E4734">
        <v>80784062</v>
      </c>
      <c r="F4734" t="s">
        <v>2970</v>
      </c>
      <c r="G4734" s="3">
        <v>46429</v>
      </c>
      <c r="H4734">
        <v>24</v>
      </c>
      <c r="I4734">
        <v>33</v>
      </c>
      <c r="J4734">
        <v>4</v>
      </c>
      <c r="K4734" s="4">
        <v>1849.2</v>
      </c>
      <c r="L4734" s="4">
        <v>4.7142857142857144</v>
      </c>
      <c r="M4734" s="4">
        <v>0.84848484848484851</v>
      </c>
      <c r="N4734" t="s">
        <v>25</v>
      </c>
      <c r="O4734" t="str">
        <f t="shared" si="730"/>
        <v>Medium</v>
      </c>
      <c r="P4734" t="str">
        <f t="shared" si="731"/>
        <v>Low</v>
      </c>
      <c r="Q4734" t="str">
        <f t="shared" si="732"/>
        <v>High</v>
      </c>
      <c r="R4734" t="s">
        <v>3317</v>
      </c>
      <c r="S4734" s="4">
        <f t="shared" ca="1" si="733"/>
        <v>232</v>
      </c>
      <c r="T4734">
        <f t="shared" si="734"/>
        <v>2</v>
      </c>
      <c r="U4734">
        <f t="shared" si="735"/>
        <v>1</v>
      </c>
      <c r="V4734">
        <f t="shared" si="736"/>
        <v>3</v>
      </c>
      <c r="W4734">
        <f t="shared" si="737"/>
        <v>1</v>
      </c>
      <c r="X4734">
        <f t="shared" si="738"/>
        <v>1.8000000000000003</v>
      </c>
      <c r="Y4734" t="str">
        <f t="shared" si="739"/>
        <v>Monitor</v>
      </c>
    </row>
    <row r="4735" spans="1:25" x14ac:dyDescent="0.35">
      <c r="A4735" t="s">
        <v>90</v>
      </c>
      <c r="B4735" t="s">
        <v>217</v>
      </c>
      <c r="C4735" t="s">
        <v>542</v>
      </c>
      <c r="D4735" t="s">
        <v>635</v>
      </c>
      <c r="E4735">
        <v>80847738</v>
      </c>
      <c r="F4735" t="s">
        <v>2969</v>
      </c>
      <c r="G4735" s="3">
        <v>46848</v>
      </c>
      <c r="H4735">
        <v>24</v>
      </c>
      <c r="I4735">
        <v>91</v>
      </c>
      <c r="J4735">
        <v>2</v>
      </c>
      <c r="K4735" s="4">
        <v>492.1</v>
      </c>
      <c r="L4735" s="4">
        <v>23312.571428571428</v>
      </c>
      <c r="M4735" s="4">
        <v>8.5790621859450453E-5</v>
      </c>
      <c r="N4735" t="s">
        <v>25</v>
      </c>
      <c r="O4735" t="str">
        <f t="shared" si="730"/>
        <v>Low</v>
      </c>
      <c r="P4735" t="str">
        <f t="shared" si="731"/>
        <v>Low</v>
      </c>
      <c r="Q4735" t="str">
        <f t="shared" si="732"/>
        <v>Low</v>
      </c>
      <c r="R4735" t="s">
        <v>3317</v>
      </c>
      <c r="S4735" s="4">
        <f t="shared" ca="1" si="733"/>
        <v>651</v>
      </c>
      <c r="T4735">
        <f t="shared" si="734"/>
        <v>1</v>
      </c>
      <c r="U4735">
        <f t="shared" si="735"/>
        <v>1</v>
      </c>
      <c r="V4735">
        <f t="shared" si="736"/>
        <v>1</v>
      </c>
      <c r="W4735">
        <f t="shared" si="737"/>
        <v>1</v>
      </c>
      <c r="X4735">
        <f t="shared" si="738"/>
        <v>0.99999999999999989</v>
      </c>
      <c r="Y4735" t="str">
        <f t="shared" si="739"/>
        <v>Healthy</v>
      </c>
    </row>
    <row r="4736" spans="1:25" x14ac:dyDescent="0.35">
      <c r="A4736" t="s">
        <v>210</v>
      </c>
      <c r="B4736" t="s">
        <v>211</v>
      </c>
      <c r="C4736" t="s">
        <v>212</v>
      </c>
      <c r="D4736" t="s">
        <v>1905</v>
      </c>
      <c r="E4736">
        <v>80784062</v>
      </c>
      <c r="F4736" t="s">
        <v>2970</v>
      </c>
      <c r="G4736" s="3">
        <v>46324</v>
      </c>
      <c r="H4736">
        <v>24</v>
      </c>
      <c r="I4736">
        <v>18</v>
      </c>
      <c r="J4736">
        <v>5</v>
      </c>
      <c r="K4736" s="4">
        <v>2311.5</v>
      </c>
      <c r="L4736" s="4">
        <v>4.7142857142857144</v>
      </c>
      <c r="M4736" s="4">
        <v>1.0606060606060606</v>
      </c>
      <c r="N4736" t="s">
        <v>25</v>
      </c>
      <c r="O4736" t="str">
        <f t="shared" si="730"/>
        <v>High</v>
      </c>
      <c r="P4736" t="str">
        <f t="shared" si="731"/>
        <v>Low</v>
      </c>
      <c r="Q4736" t="str">
        <f t="shared" si="732"/>
        <v>High</v>
      </c>
      <c r="R4736" t="s">
        <v>3317</v>
      </c>
      <c r="S4736" s="4">
        <f t="shared" ca="1" si="733"/>
        <v>127</v>
      </c>
      <c r="T4736">
        <f t="shared" si="734"/>
        <v>3</v>
      </c>
      <c r="U4736">
        <f t="shared" si="735"/>
        <v>1</v>
      </c>
      <c r="V4736">
        <f t="shared" si="736"/>
        <v>3</v>
      </c>
      <c r="W4736">
        <f t="shared" si="737"/>
        <v>1</v>
      </c>
      <c r="X4736">
        <f t="shared" si="738"/>
        <v>2.2000000000000006</v>
      </c>
      <c r="Y4736" t="str">
        <f t="shared" si="739"/>
        <v>High Priority</v>
      </c>
    </row>
    <row r="4737" spans="1:25" x14ac:dyDescent="0.35">
      <c r="A4737" t="s">
        <v>210</v>
      </c>
      <c r="B4737" t="s">
        <v>211</v>
      </c>
      <c r="C4737" t="s">
        <v>212</v>
      </c>
      <c r="D4737" t="s">
        <v>1905</v>
      </c>
      <c r="E4737">
        <v>80784062</v>
      </c>
      <c r="F4737" t="s">
        <v>2970</v>
      </c>
      <c r="G4737" s="3">
        <v>47496</v>
      </c>
      <c r="H4737">
        <v>24</v>
      </c>
      <c r="I4737">
        <v>100</v>
      </c>
      <c r="J4737">
        <v>6</v>
      </c>
      <c r="K4737" s="4">
        <v>2773.8</v>
      </c>
      <c r="L4737" s="4">
        <v>4.7142857142857144</v>
      </c>
      <c r="M4737" s="4">
        <v>1.2727272727272727</v>
      </c>
      <c r="N4737" t="s">
        <v>25</v>
      </c>
      <c r="O4737" t="str">
        <f t="shared" si="730"/>
        <v>Low</v>
      </c>
      <c r="P4737" t="str">
        <f t="shared" si="731"/>
        <v>Low</v>
      </c>
      <c r="Q4737" t="str">
        <f t="shared" si="732"/>
        <v>High</v>
      </c>
      <c r="R4737" t="s">
        <v>3317</v>
      </c>
      <c r="S4737" s="4">
        <f t="shared" ca="1" si="733"/>
        <v>1299</v>
      </c>
      <c r="T4737">
        <f t="shared" si="734"/>
        <v>1</v>
      </c>
      <c r="U4737">
        <f t="shared" si="735"/>
        <v>1</v>
      </c>
      <c r="V4737">
        <f t="shared" si="736"/>
        <v>3</v>
      </c>
      <c r="W4737">
        <f t="shared" si="737"/>
        <v>1</v>
      </c>
      <c r="X4737">
        <f t="shared" si="738"/>
        <v>1.4000000000000001</v>
      </c>
      <c r="Y4737" t="str">
        <f t="shared" si="739"/>
        <v>Healthy</v>
      </c>
    </row>
    <row r="4738" spans="1:25" x14ac:dyDescent="0.35">
      <c r="A4738" t="s">
        <v>41</v>
      </c>
      <c r="B4738" t="s">
        <v>54</v>
      </c>
      <c r="C4738" t="s">
        <v>87</v>
      </c>
      <c r="D4738" t="s">
        <v>316</v>
      </c>
      <c r="E4738">
        <v>80850686</v>
      </c>
      <c r="F4738" t="s">
        <v>2971</v>
      </c>
      <c r="G4738" s="3">
        <v>46866</v>
      </c>
      <c r="H4738">
        <v>36</v>
      </c>
      <c r="I4738">
        <v>62</v>
      </c>
      <c r="J4738">
        <v>4</v>
      </c>
      <c r="K4738" s="4">
        <v>3839.88</v>
      </c>
      <c r="L4738" s="4">
        <v>1.7142857142857142</v>
      </c>
      <c r="M4738" s="4">
        <v>2.3333333333333335</v>
      </c>
      <c r="N4738" t="s">
        <v>25</v>
      </c>
      <c r="O4738" t="str">
        <f t="shared" si="730"/>
        <v>Low</v>
      </c>
      <c r="P4738" t="str">
        <f t="shared" si="731"/>
        <v>Low</v>
      </c>
      <c r="Q4738" t="str">
        <f t="shared" si="732"/>
        <v>High</v>
      </c>
      <c r="R4738" t="s">
        <v>3317</v>
      </c>
      <c r="S4738" s="4">
        <f t="shared" ca="1" si="733"/>
        <v>669</v>
      </c>
      <c r="T4738">
        <f t="shared" si="734"/>
        <v>1</v>
      </c>
      <c r="U4738">
        <f t="shared" si="735"/>
        <v>1</v>
      </c>
      <c r="V4738">
        <f t="shared" si="736"/>
        <v>3</v>
      </c>
      <c r="W4738">
        <f t="shared" si="737"/>
        <v>1</v>
      </c>
      <c r="X4738">
        <f t="shared" si="738"/>
        <v>1.4000000000000001</v>
      </c>
      <c r="Y4738" t="str">
        <f t="shared" si="739"/>
        <v>Healthy</v>
      </c>
    </row>
    <row r="4739" spans="1:25" x14ac:dyDescent="0.35">
      <c r="A4739" t="s">
        <v>210</v>
      </c>
      <c r="B4739" t="s">
        <v>211</v>
      </c>
      <c r="C4739" t="s">
        <v>273</v>
      </c>
      <c r="D4739" t="s">
        <v>1532</v>
      </c>
      <c r="E4739">
        <v>80784061</v>
      </c>
      <c r="F4739" t="s">
        <v>2972</v>
      </c>
      <c r="G4739" s="3">
        <v>47517</v>
      </c>
      <c r="H4739">
        <v>60</v>
      </c>
      <c r="I4739">
        <v>74</v>
      </c>
      <c r="J4739">
        <v>3</v>
      </c>
      <c r="K4739" s="4">
        <v>947.34</v>
      </c>
      <c r="L4739" s="4">
        <f>0</f>
        <v>0</v>
      </c>
      <c r="M4739" s="4">
        <f>999</f>
        <v>999</v>
      </c>
      <c r="N4739" t="s">
        <v>19</v>
      </c>
      <c r="O4739" t="str">
        <f t="shared" ref="O4739:O4802" si="740">IF(I4739&lt;20,"High",IF(I4739&lt;40,"Medium","Low"))</f>
        <v>Low</v>
      </c>
      <c r="P4739" t="str">
        <f t="shared" ref="P4739:P4802" si="741">IF(M4739&gt;8,"High",IF(M4739&gt;4,"Medium","Low"))</f>
        <v>High</v>
      </c>
      <c r="Q4739" t="str">
        <f t="shared" ref="Q4739:Q4802" si="742">IF(L4739&lt;5,"High",IF(L4739&lt;15,"Medium","Low"))</f>
        <v>High</v>
      </c>
      <c r="R4739" t="s">
        <v>3317</v>
      </c>
      <c r="S4739" s="4">
        <f t="shared" ref="S4739:S4802" ca="1" si="743">G4739-TODAY()</f>
        <v>1320</v>
      </c>
      <c r="T4739">
        <f t="shared" ref="T4739:T4802" si="744">IF(O4739="High",3,IF(O4739="Medium",2,1))</f>
        <v>1</v>
      </c>
      <c r="U4739">
        <f t="shared" ref="U4739:U4802" si="745">IF(P4739="High",3,IF(P4739="Medium",2,1))</f>
        <v>3</v>
      </c>
      <c r="V4739">
        <f t="shared" ref="V4739:V4802" si="746">IF(Q4739="High",3,IF(Q4739="Medium",2,1))</f>
        <v>3</v>
      </c>
      <c r="W4739">
        <f t="shared" ref="W4739:W4802" si="747">IF(R4739="High",3,IF(R4739="Medium",2,1))</f>
        <v>1</v>
      </c>
      <c r="X4739">
        <f t="shared" ref="X4739:X4802" si="748">(0.4*T4739)+(0.3*U4739)+(0.2*V4739)+(0.1*W4739)</f>
        <v>2</v>
      </c>
      <c r="Y4739" t="str">
        <f t="shared" ref="Y4739:Y4802" si="749">IF(X4739&gt;=2.7,"Move Immediately",IF(X4739&gt;=2.2,"High Priority",IF(X4739&gt;=1.7,"Monitor","Healthy")))</f>
        <v>Monitor</v>
      </c>
    </row>
    <row r="4740" spans="1:25" x14ac:dyDescent="0.35">
      <c r="A4740" t="s">
        <v>90</v>
      </c>
      <c r="B4740" t="s">
        <v>91</v>
      </c>
      <c r="C4740" t="s">
        <v>112</v>
      </c>
      <c r="D4740" t="s">
        <v>2973</v>
      </c>
      <c r="E4740">
        <v>80835114</v>
      </c>
      <c r="F4740" t="s">
        <v>2974</v>
      </c>
      <c r="G4740" s="3">
        <v>46413</v>
      </c>
      <c r="H4740">
        <v>24</v>
      </c>
      <c r="I4740">
        <v>31</v>
      </c>
      <c r="J4740">
        <v>5</v>
      </c>
      <c r="K4740" s="4">
        <v>2330.9499999999998</v>
      </c>
      <c r="L4740" s="4">
        <f>0</f>
        <v>0</v>
      </c>
      <c r="M4740" s="4">
        <f>999</f>
        <v>999</v>
      </c>
      <c r="N4740" t="s">
        <v>19</v>
      </c>
      <c r="O4740" t="str">
        <f t="shared" si="740"/>
        <v>Medium</v>
      </c>
      <c r="P4740" t="str">
        <f t="shared" si="741"/>
        <v>High</v>
      </c>
      <c r="Q4740" t="str">
        <f t="shared" si="742"/>
        <v>High</v>
      </c>
      <c r="R4740" t="s">
        <v>3317</v>
      </c>
      <c r="S4740" s="4">
        <f t="shared" ca="1" si="743"/>
        <v>216</v>
      </c>
      <c r="T4740">
        <f t="shared" si="744"/>
        <v>2</v>
      </c>
      <c r="U4740">
        <f t="shared" si="745"/>
        <v>3</v>
      </c>
      <c r="V4740">
        <f t="shared" si="746"/>
        <v>3</v>
      </c>
      <c r="W4740">
        <f t="shared" si="747"/>
        <v>1</v>
      </c>
      <c r="X4740">
        <f t="shared" si="748"/>
        <v>2.4</v>
      </c>
      <c r="Y4740" t="str">
        <f t="shared" si="749"/>
        <v>High Priority</v>
      </c>
    </row>
    <row r="4741" spans="1:25" x14ac:dyDescent="0.35">
      <c r="A4741" t="s">
        <v>210</v>
      </c>
      <c r="B4741" t="s">
        <v>211</v>
      </c>
      <c r="C4741" t="s">
        <v>273</v>
      </c>
      <c r="D4741" t="s">
        <v>2975</v>
      </c>
      <c r="E4741">
        <v>80840352</v>
      </c>
      <c r="F4741" t="s">
        <v>2976</v>
      </c>
      <c r="G4741" s="3">
        <v>47997</v>
      </c>
      <c r="H4741">
        <v>60</v>
      </c>
      <c r="I4741">
        <v>100</v>
      </c>
      <c r="J4741">
        <v>24</v>
      </c>
      <c r="K4741" s="4">
        <v>9599.76</v>
      </c>
      <c r="L4741" s="4">
        <v>2167.4285714285716</v>
      </c>
      <c r="M4741" s="4">
        <v>1.1073029264434485E-2</v>
      </c>
      <c r="N4741" t="s">
        <v>25</v>
      </c>
      <c r="O4741" t="str">
        <f t="shared" si="740"/>
        <v>Low</v>
      </c>
      <c r="P4741" t="str">
        <f t="shared" si="741"/>
        <v>Low</v>
      </c>
      <c r="Q4741" t="str">
        <f t="shared" si="742"/>
        <v>Low</v>
      </c>
      <c r="R4741" t="s">
        <v>3317</v>
      </c>
      <c r="S4741" s="4">
        <f t="shared" ca="1" si="743"/>
        <v>1800</v>
      </c>
      <c r="T4741">
        <f t="shared" si="744"/>
        <v>1</v>
      </c>
      <c r="U4741">
        <f t="shared" si="745"/>
        <v>1</v>
      </c>
      <c r="V4741">
        <f t="shared" si="746"/>
        <v>1</v>
      </c>
      <c r="W4741">
        <f t="shared" si="747"/>
        <v>1</v>
      </c>
      <c r="X4741">
        <f t="shared" si="748"/>
        <v>0.99999999999999989</v>
      </c>
      <c r="Y4741" t="str">
        <f t="shared" si="749"/>
        <v>Healthy</v>
      </c>
    </row>
    <row r="4742" spans="1:25" x14ac:dyDescent="0.35">
      <c r="A4742" t="s">
        <v>29</v>
      </c>
      <c r="B4742" t="s">
        <v>30</v>
      </c>
      <c r="C4742" t="s">
        <v>230</v>
      </c>
      <c r="D4742" t="s">
        <v>2977</v>
      </c>
      <c r="E4742">
        <v>80794632</v>
      </c>
      <c r="F4742" t="s">
        <v>2978</v>
      </c>
      <c r="G4742" s="3">
        <v>46792</v>
      </c>
      <c r="H4742">
        <v>36</v>
      </c>
      <c r="I4742">
        <v>56</v>
      </c>
      <c r="J4742">
        <v>1</v>
      </c>
      <c r="K4742" s="4">
        <v>1599.15</v>
      </c>
      <c r="L4742" s="4">
        <f>0</f>
        <v>0</v>
      </c>
      <c r="M4742" s="4">
        <f>999</f>
        <v>999</v>
      </c>
      <c r="N4742" t="s">
        <v>19</v>
      </c>
      <c r="O4742" t="str">
        <f t="shared" si="740"/>
        <v>Low</v>
      </c>
      <c r="P4742" t="str">
        <f t="shared" si="741"/>
        <v>High</v>
      </c>
      <c r="Q4742" t="str">
        <f t="shared" si="742"/>
        <v>High</v>
      </c>
      <c r="R4742" t="s">
        <v>3317</v>
      </c>
      <c r="S4742" s="4">
        <f t="shared" ca="1" si="743"/>
        <v>595</v>
      </c>
      <c r="T4742">
        <f t="shared" si="744"/>
        <v>1</v>
      </c>
      <c r="U4742">
        <f t="shared" si="745"/>
        <v>3</v>
      </c>
      <c r="V4742">
        <f t="shared" si="746"/>
        <v>3</v>
      </c>
      <c r="W4742">
        <f t="shared" si="747"/>
        <v>1</v>
      </c>
      <c r="X4742">
        <f t="shared" si="748"/>
        <v>2</v>
      </c>
      <c r="Y4742" t="str">
        <f t="shared" si="749"/>
        <v>Monitor</v>
      </c>
    </row>
    <row r="4743" spans="1:25" x14ac:dyDescent="0.35">
      <c r="A4743" t="s">
        <v>210</v>
      </c>
      <c r="B4743" t="s">
        <v>211</v>
      </c>
      <c r="C4743" t="s">
        <v>273</v>
      </c>
      <c r="D4743" t="s">
        <v>2979</v>
      </c>
      <c r="E4743">
        <v>80832392</v>
      </c>
      <c r="F4743" t="s">
        <v>2980</v>
      </c>
      <c r="G4743" s="3">
        <v>47864</v>
      </c>
      <c r="H4743">
        <v>60</v>
      </c>
      <c r="I4743">
        <v>93</v>
      </c>
      <c r="J4743">
        <v>11</v>
      </c>
      <c r="K4743" s="4">
        <v>7919.78</v>
      </c>
      <c r="L4743" s="4">
        <v>128.42857142857142</v>
      </c>
      <c r="M4743" s="4">
        <v>8.5650723025583991E-2</v>
      </c>
      <c r="N4743" t="s">
        <v>25</v>
      </c>
      <c r="O4743" t="str">
        <f t="shared" si="740"/>
        <v>Low</v>
      </c>
      <c r="P4743" t="str">
        <f t="shared" si="741"/>
        <v>Low</v>
      </c>
      <c r="Q4743" t="str">
        <f t="shared" si="742"/>
        <v>Low</v>
      </c>
      <c r="R4743" t="s">
        <v>3317</v>
      </c>
      <c r="S4743" s="4">
        <f t="shared" ca="1" si="743"/>
        <v>1667</v>
      </c>
      <c r="T4743">
        <f t="shared" si="744"/>
        <v>1</v>
      </c>
      <c r="U4743">
        <f t="shared" si="745"/>
        <v>1</v>
      </c>
      <c r="V4743">
        <f t="shared" si="746"/>
        <v>1</v>
      </c>
      <c r="W4743">
        <f t="shared" si="747"/>
        <v>1</v>
      </c>
      <c r="X4743">
        <f t="shared" si="748"/>
        <v>0.99999999999999989</v>
      </c>
      <c r="Y4743" t="str">
        <f t="shared" si="749"/>
        <v>Healthy</v>
      </c>
    </row>
    <row r="4744" spans="1:25" x14ac:dyDescent="0.35">
      <c r="A4744" t="s">
        <v>29</v>
      </c>
      <c r="B4744" t="s">
        <v>30</v>
      </c>
      <c r="C4744" t="s">
        <v>1031</v>
      </c>
      <c r="D4744" t="s">
        <v>1032</v>
      </c>
      <c r="E4744">
        <v>80788668</v>
      </c>
      <c r="F4744" t="s">
        <v>2981</v>
      </c>
      <c r="G4744" s="3">
        <v>46790</v>
      </c>
      <c r="H4744">
        <v>36</v>
      </c>
      <c r="I4744">
        <v>55</v>
      </c>
      <c r="J4744">
        <v>19</v>
      </c>
      <c r="K4744" s="4">
        <v>10293.44</v>
      </c>
      <c r="L4744" s="4">
        <v>5.2857142857142856</v>
      </c>
      <c r="M4744" s="4">
        <v>3.5945945945945947</v>
      </c>
      <c r="N4744" t="s">
        <v>25</v>
      </c>
      <c r="O4744" t="str">
        <f t="shared" si="740"/>
        <v>Low</v>
      </c>
      <c r="P4744" t="str">
        <f t="shared" si="741"/>
        <v>Low</v>
      </c>
      <c r="Q4744" t="str">
        <f t="shared" si="742"/>
        <v>Medium</v>
      </c>
      <c r="R4744" t="s">
        <v>3317</v>
      </c>
      <c r="S4744" s="4">
        <f t="shared" ca="1" si="743"/>
        <v>593</v>
      </c>
      <c r="T4744">
        <f t="shared" si="744"/>
        <v>1</v>
      </c>
      <c r="U4744">
        <f t="shared" si="745"/>
        <v>1</v>
      </c>
      <c r="V4744">
        <f t="shared" si="746"/>
        <v>2</v>
      </c>
      <c r="W4744">
        <f t="shared" si="747"/>
        <v>1</v>
      </c>
      <c r="X4744">
        <f t="shared" si="748"/>
        <v>1.2000000000000002</v>
      </c>
      <c r="Y4744" t="str">
        <f t="shared" si="749"/>
        <v>Healthy</v>
      </c>
    </row>
    <row r="4745" spans="1:25" x14ac:dyDescent="0.35">
      <c r="A4745" t="s">
        <v>29</v>
      </c>
      <c r="B4745" t="s">
        <v>30</v>
      </c>
      <c r="C4745" t="s">
        <v>1031</v>
      </c>
      <c r="D4745" t="s">
        <v>1032</v>
      </c>
      <c r="E4745">
        <v>80788668</v>
      </c>
      <c r="F4745" t="s">
        <v>2981</v>
      </c>
      <c r="G4745" s="3">
        <v>46758</v>
      </c>
      <c r="H4745">
        <v>36</v>
      </c>
      <c r="I4745">
        <v>52</v>
      </c>
      <c r="J4745">
        <v>1</v>
      </c>
      <c r="K4745" s="4">
        <v>541.76</v>
      </c>
      <c r="L4745" s="4">
        <v>5.2857142857142856</v>
      </c>
      <c r="M4745" s="4">
        <v>0.1891891891891892</v>
      </c>
      <c r="N4745" t="s">
        <v>25</v>
      </c>
      <c r="O4745" t="str">
        <f t="shared" si="740"/>
        <v>Low</v>
      </c>
      <c r="P4745" t="str">
        <f t="shared" si="741"/>
        <v>Low</v>
      </c>
      <c r="Q4745" t="str">
        <f t="shared" si="742"/>
        <v>Medium</v>
      </c>
      <c r="R4745" t="s">
        <v>3317</v>
      </c>
      <c r="S4745" s="4">
        <f t="shared" ca="1" si="743"/>
        <v>561</v>
      </c>
      <c r="T4745">
        <f t="shared" si="744"/>
        <v>1</v>
      </c>
      <c r="U4745">
        <f t="shared" si="745"/>
        <v>1</v>
      </c>
      <c r="V4745">
        <f t="shared" si="746"/>
        <v>2</v>
      </c>
      <c r="W4745">
        <f t="shared" si="747"/>
        <v>1</v>
      </c>
      <c r="X4745">
        <f t="shared" si="748"/>
        <v>1.2000000000000002</v>
      </c>
      <c r="Y4745" t="str">
        <f t="shared" si="749"/>
        <v>Healthy</v>
      </c>
    </row>
    <row r="4746" spans="1:25" x14ac:dyDescent="0.35">
      <c r="A4746" t="s">
        <v>71</v>
      </c>
      <c r="B4746" t="s">
        <v>72</v>
      </c>
      <c r="C4746" t="s">
        <v>73</v>
      </c>
      <c r="D4746" t="s">
        <v>1208</v>
      </c>
      <c r="E4746">
        <v>80817797</v>
      </c>
      <c r="F4746" t="s">
        <v>2982</v>
      </c>
      <c r="G4746" s="3">
        <v>46894</v>
      </c>
      <c r="H4746">
        <v>36</v>
      </c>
      <c r="I4746">
        <v>65</v>
      </c>
      <c r="J4746">
        <v>111</v>
      </c>
      <c r="K4746" s="4">
        <v>119590.29</v>
      </c>
      <c r="L4746" s="4">
        <v>6.8571428571428568</v>
      </c>
      <c r="M4746" s="4">
        <v>16.1875</v>
      </c>
      <c r="N4746" t="s">
        <v>19</v>
      </c>
      <c r="O4746" t="str">
        <f t="shared" si="740"/>
        <v>Low</v>
      </c>
      <c r="P4746" t="str">
        <f t="shared" si="741"/>
        <v>High</v>
      </c>
      <c r="Q4746" t="str">
        <f t="shared" si="742"/>
        <v>Medium</v>
      </c>
      <c r="R4746" t="s">
        <v>3310</v>
      </c>
      <c r="S4746" s="4">
        <f t="shared" ca="1" si="743"/>
        <v>697</v>
      </c>
      <c r="T4746">
        <f t="shared" si="744"/>
        <v>1</v>
      </c>
      <c r="U4746">
        <f t="shared" si="745"/>
        <v>3</v>
      </c>
      <c r="V4746">
        <f t="shared" si="746"/>
        <v>2</v>
      </c>
      <c r="W4746">
        <f t="shared" si="747"/>
        <v>2</v>
      </c>
      <c r="X4746">
        <f t="shared" si="748"/>
        <v>1.8999999999999997</v>
      </c>
      <c r="Y4746" t="str">
        <f t="shared" si="749"/>
        <v>Monitor</v>
      </c>
    </row>
    <row r="4747" spans="1:25" x14ac:dyDescent="0.35">
      <c r="A4747" t="s">
        <v>71</v>
      </c>
      <c r="B4747" t="s">
        <v>72</v>
      </c>
      <c r="C4747" t="s">
        <v>73</v>
      </c>
      <c r="D4747" t="s">
        <v>1208</v>
      </c>
      <c r="E4747">
        <v>80817797</v>
      </c>
      <c r="F4747" t="s">
        <v>2982</v>
      </c>
      <c r="G4747" s="3">
        <v>46863</v>
      </c>
      <c r="H4747">
        <v>36</v>
      </c>
      <c r="I4747">
        <v>62</v>
      </c>
      <c r="J4747">
        <v>69</v>
      </c>
      <c r="K4747" s="4">
        <v>74339.91</v>
      </c>
      <c r="L4747" s="4">
        <v>6.8571428571428568</v>
      </c>
      <c r="M4747" s="4">
        <v>10.0625</v>
      </c>
      <c r="N4747" t="s">
        <v>19</v>
      </c>
      <c r="O4747" t="str">
        <f t="shared" si="740"/>
        <v>Low</v>
      </c>
      <c r="P4747" t="str">
        <f t="shared" si="741"/>
        <v>High</v>
      </c>
      <c r="Q4747" t="str">
        <f t="shared" si="742"/>
        <v>Medium</v>
      </c>
      <c r="R4747" t="s">
        <v>3310</v>
      </c>
      <c r="S4747" s="4">
        <f t="shared" ca="1" si="743"/>
        <v>666</v>
      </c>
      <c r="T4747">
        <f t="shared" si="744"/>
        <v>1</v>
      </c>
      <c r="U4747">
        <f t="shared" si="745"/>
        <v>3</v>
      </c>
      <c r="V4747">
        <f t="shared" si="746"/>
        <v>2</v>
      </c>
      <c r="W4747">
        <f t="shared" si="747"/>
        <v>2</v>
      </c>
      <c r="X4747">
        <f t="shared" si="748"/>
        <v>1.8999999999999997</v>
      </c>
      <c r="Y4747" t="str">
        <f t="shared" si="749"/>
        <v>Monitor</v>
      </c>
    </row>
    <row r="4748" spans="1:25" x14ac:dyDescent="0.35">
      <c r="A4748" t="s">
        <v>71</v>
      </c>
      <c r="B4748" t="s">
        <v>72</v>
      </c>
      <c r="C4748" t="s">
        <v>73</v>
      </c>
      <c r="D4748" t="s">
        <v>428</v>
      </c>
      <c r="E4748">
        <v>80815767</v>
      </c>
      <c r="F4748" t="s">
        <v>2983</v>
      </c>
      <c r="G4748" s="3">
        <v>46896</v>
      </c>
      <c r="H4748">
        <v>36</v>
      </c>
      <c r="I4748">
        <v>65</v>
      </c>
      <c r="J4748">
        <v>44</v>
      </c>
      <c r="K4748" s="4">
        <v>42711.68</v>
      </c>
      <c r="L4748" s="4">
        <v>19.428571428571427</v>
      </c>
      <c r="M4748" s="4">
        <v>2.2647058823529416</v>
      </c>
      <c r="N4748" t="s">
        <v>25</v>
      </c>
      <c r="O4748" t="str">
        <f t="shared" si="740"/>
        <v>Low</v>
      </c>
      <c r="P4748" t="str">
        <f t="shared" si="741"/>
        <v>Low</v>
      </c>
      <c r="Q4748" t="str">
        <f t="shared" si="742"/>
        <v>Low</v>
      </c>
      <c r="R4748" t="s">
        <v>3317</v>
      </c>
      <c r="S4748" s="4">
        <f t="shared" ca="1" si="743"/>
        <v>699</v>
      </c>
      <c r="T4748">
        <f t="shared" si="744"/>
        <v>1</v>
      </c>
      <c r="U4748">
        <f t="shared" si="745"/>
        <v>1</v>
      </c>
      <c r="V4748">
        <f t="shared" si="746"/>
        <v>1</v>
      </c>
      <c r="W4748">
        <f t="shared" si="747"/>
        <v>1</v>
      </c>
      <c r="X4748">
        <f t="shared" si="748"/>
        <v>0.99999999999999989</v>
      </c>
      <c r="Y4748" t="str">
        <f t="shared" si="749"/>
        <v>Healthy</v>
      </c>
    </row>
    <row r="4749" spans="1:25" x14ac:dyDescent="0.35">
      <c r="A4749" t="s">
        <v>90</v>
      </c>
      <c r="B4749" t="s">
        <v>91</v>
      </c>
      <c r="C4749" t="s">
        <v>92</v>
      </c>
      <c r="D4749" t="s">
        <v>827</v>
      </c>
      <c r="E4749">
        <v>80851072</v>
      </c>
      <c r="F4749" t="s">
        <v>2984</v>
      </c>
      <c r="G4749" s="3">
        <v>46792</v>
      </c>
      <c r="H4749">
        <v>24</v>
      </c>
      <c r="I4749">
        <v>83</v>
      </c>
      <c r="J4749">
        <v>40</v>
      </c>
      <c r="K4749" s="4">
        <v>18176</v>
      </c>
      <c r="L4749" s="4">
        <v>3509.4285714285716</v>
      </c>
      <c r="M4749" s="4">
        <v>1.1397866970609785E-2</v>
      </c>
      <c r="N4749" t="s">
        <v>25</v>
      </c>
      <c r="O4749" t="str">
        <f t="shared" si="740"/>
        <v>Low</v>
      </c>
      <c r="P4749" t="str">
        <f t="shared" si="741"/>
        <v>Low</v>
      </c>
      <c r="Q4749" t="str">
        <f t="shared" si="742"/>
        <v>Low</v>
      </c>
      <c r="R4749" t="s">
        <v>3317</v>
      </c>
      <c r="S4749" s="4">
        <f t="shared" ca="1" si="743"/>
        <v>595</v>
      </c>
      <c r="T4749">
        <f t="shared" si="744"/>
        <v>1</v>
      </c>
      <c r="U4749">
        <f t="shared" si="745"/>
        <v>1</v>
      </c>
      <c r="V4749">
        <f t="shared" si="746"/>
        <v>1</v>
      </c>
      <c r="W4749">
        <f t="shared" si="747"/>
        <v>1</v>
      </c>
      <c r="X4749">
        <f t="shared" si="748"/>
        <v>0.99999999999999989</v>
      </c>
      <c r="Y4749" t="str">
        <f t="shared" si="749"/>
        <v>Healthy</v>
      </c>
    </row>
    <row r="4750" spans="1:25" x14ac:dyDescent="0.35">
      <c r="A4750" t="s">
        <v>71</v>
      </c>
      <c r="B4750" t="s">
        <v>72</v>
      </c>
      <c r="C4750" t="s">
        <v>73</v>
      </c>
      <c r="D4750" t="s">
        <v>428</v>
      </c>
      <c r="E4750">
        <v>80815767</v>
      </c>
      <c r="F4750" t="s">
        <v>2983</v>
      </c>
      <c r="G4750" s="3">
        <v>46915</v>
      </c>
      <c r="H4750">
        <v>36</v>
      </c>
      <c r="I4750">
        <v>67</v>
      </c>
      <c r="J4750">
        <v>4</v>
      </c>
      <c r="K4750" s="4">
        <v>3882.88</v>
      </c>
      <c r="L4750" s="4">
        <v>19.428571428571427</v>
      </c>
      <c r="M4750" s="4">
        <v>0.20588235294117649</v>
      </c>
      <c r="N4750" t="s">
        <v>25</v>
      </c>
      <c r="O4750" t="str">
        <f t="shared" si="740"/>
        <v>Low</v>
      </c>
      <c r="P4750" t="str">
        <f t="shared" si="741"/>
        <v>Low</v>
      </c>
      <c r="Q4750" t="str">
        <f t="shared" si="742"/>
        <v>Low</v>
      </c>
      <c r="R4750" t="s">
        <v>3317</v>
      </c>
      <c r="S4750" s="4">
        <f t="shared" ca="1" si="743"/>
        <v>718</v>
      </c>
      <c r="T4750">
        <f t="shared" si="744"/>
        <v>1</v>
      </c>
      <c r="U4750">
        <f t="shared" si="745"/>
        <v>1</v>
      </c>
      <c r="V4750">
        <f t="shared" si="746"/>
        <v>1</v>
      </c>
      <c r="W4750">
        <f t="shared" si="747"/>
        <v>1</v>
      </c>
      <c r="X4750">
        <f t="shared" si="748"/>
        <v>0.99999999999999989</v>
      </c>
      <c r="Y4750" t="str">
        <f t="shared" si="749"/>
        <v>Healthy</v>
      </c>
    </row>
    <row r="4751" spans="1:25" x14ac:dyDescent="0.35">
      <c r="A4751" t="s">
        <v>90</v>
      </c>
      <c r="B4751" t="s">
        <v>91</v>
      </c>
      <c r="C4751" t="s">
        <v>92</v>
      </c>
      <c r="D4751" t="s">
        <v>827</v>
      </c>
      <c r="E4751">
        <v>80851072</v>
      </c>
      <c r="F4751" t="s">
        <v>2984</v>
      </c>
      <c r="G4751" s="3">
        <v>46849</v>
      </c>
      <c r="H4751">
        <v>24</v>
      </c>
      <c r="I4751">
        <v>91</v>
      </c>
      <c r="J4751">
        <v>167</v>
      </c>
      <c r="K4751" s="4">
        <v>75884.800000000003</v>
      </c>
      <c r="L4751" s="4">
        <v>3509.4285714285716</v>
      </c>
      <c r="M4751" s="4">
        <v>4.7586094602295854E-2</v>
      </c>
      <c r="N4751" t="s">
        <v>25</v>
      </c>
      <c r="O4751" t="str">
        <f t="shared" si="740"/>
        <v>Low</v>
      </c>
      <c r="P4751" t="str">
        <f t="shared" si="741"/>
        <v>Low</v>
      </c>
      <c r="Q4751" t="str">
        <f t="shared" si="742"/>
        <v>Low</v>
      </c>
      <c r="R4751" t="s">
        <v>3310</v>
      </c>
      <c r="S4751" s="4">
        <f t="shared" ca="1" si="743"/>
        <v>652</v>
      </c>
      <c r="T4751">
        <f t="shared" si="744"/>
        <v>1</v>
      </c>
      <c r="U4751">
        <f t="shared" si="745"/>
        <v>1</v>
      </c>
      <c r="V4751">
        <f t="shared" si="746"/>
        <v>1</v>
      </c>
      <c r="W4751">
        <f t="shared" si="747"/>
        <v>2</v>
      </c>
      <c r="X4751">
        <f t="shared" si="748"/>
        <v>1.0999999999999999</v>
      </c>
      <c r="Y4751" t="str">
        <f t="shared" si="749"/>
        <v>Healthy</v>
      </c>
    </row>
    <row r="4752" spans="1:25" x14ac:dyDescent="0.35">
      <c r="A4752" t="s">
        <v>71</v>
      </c>
      <c r="B4752" t="s">
        <v>72</v>
      </c>
      <c r="C4752" t="s">
        <v>1228</v>
      </c>
      <c r="D4752" t="s">
        <v>2445</v>
      </c>
      <c r="E4752">
        <v>80818466</v>
      </c>
      <c r="F4752" t="s">
        <v>2985</v>
      </c>
      <c r="G4752" s="3">
        <v>46734</v>
      </c>
      <c r="H4752">
        <v>36</v>
      </c>
      <c r="I4752">
        <v>50</v>
      </c>
      <c r="J4752">
        <v>1</v>
      </c>
      <c r="K4752" s="4">
        <v>448.79</v>
      </c>
      <c r="L4752" s="4">
        <f>0</f>
        <v>0</v>
      </c>
      <c r="M4752" s="4">
        <f>999</f>
        <v>999</v>
      </c>
      <c r="N4752" t="s">
        <v>19</v>
      </c>
      <c r="O4752" t="str">
        <f t="shared" si="740"/>
        <v>Low</v>
      </c>
      <c r="P4752" t="str">
        <f t="shared" si="741"/>
        <v>High</v>
      </c>
      <c r="Q4752" t="str">
        <f t="shared" si="742"/>
        <v>High</v>
      </c>
      <c r="R4752" t="s">
        <v>3317</v>
      </c>
      <c r="S4752" s="4">
        <f t="shared" ca="1" si="743"/>
        <v>537</v>
      </c>
      <c r="T4752">
        <f t="shared" si="744"/>
        <v>1</v>
      </c>
      <c r="U4752">
        <f t="shared" si="745"/>
        <v>3</v>
      </c>
      <c r="V4752">
        <f t="shared" si="746"/>
        <v>3</v>
      </c>
      <c r="W4752">
        <f t="shared" si="747"/>
        <v>1</v>
      </c>
      <c r="X4752">
        <f t="shared" si="748"/>
        <v>2</v>
      </c>
      <c r="Y4752" t="str">
        <f t="shared" si="749"/>
        <v>Monitor</v>
      </c>
    </row>
    <row r="4753" spans="1:25" x14ac:dyDescent="0.35">
      <c r="A4753" t="s">
        <v>90</v>
      </c>
      <c r="B4753" t="s">
        <v>91</v>
      </c>
      <c r="C4753" t="s">
        <v>92</v>
      </c>
      <c r="D4753" t="s">
        <v>827</v>
      </c>
      <c r="E4753">
        <v>80851072</v>
      </c>
      <c r="F4753" t="s">
        <v>2984</v>
      </c>
      <c r="G4753" s="3">
        <v>46848</v>
      </c>
      <c r="H4753">
        <v>24</v>
      </c>
      <c r="I4753">
        <v>91</v>
      </c>
      <c r="J4753">
        <v>88</v>
      </c>
      <c r="K4753" s="4">
        <v>39987.199999999997</v>
      </c>
      <c r="L4753" s="4">
        <v>3509.4285714285716</v>
      </c>
      <c r="M4753" s="4">
        <v>2.5075307335341527E-2</v>
      </c>
      <c r="N4753" t="s">
        <v>25</v>
      </c>
      <c r="O4753" t="str">
        <f t="shared" si="740"/>
        <v>Low</v>
      </c>
      <c r="P4753" t="str">
        <f t="shared" si="741"/>
        <v>Low</v>
      </c>
      <c r="Q4753" t="str">
        <f t="shared" si="742"/>
        <v>Low</v>
      </c>
      <c r="R4753" t="s">
        <v>3317</v>
      </c>
      <c r="S4753" s="4">
        <f t="shared" ca="1" si="743"/>
        <v>651</v>
      </c>
      <c r="T4753">
        <f t="shared" si="744"/>
        <v>1</v>
      </c>
      <c r="U4753">
        <f t="shared" si="745"/>
        <v>1</v>
      </c>
      <c r="V4753">
        <f t="shared" si="746"/>
        <v>1</v>
      </c>
      <c r="W4753">
        <f t="shared" si="747"/>
        <v>1</v>
      </c>
      <c r="X4753">
        <f t="shared" si="748"/>
        <v>0.99999999999999989</v>
      </c>
      <c r="Y4753" t="str">
        <f t="shared" si="749"/>
        <v>Healthy</v>
      </c>
    </row>
    <row r="4754" spans="1:25" x14ac:dyDescent="0.35">
      <c r="A4754" t="s">
        <v>71</v>
      </c>
      <c r="B4754" t="s">
        <v>72</v>
      </c>
      <c r="C4754" t="s">
        <v>1228</v>
      </c>
      <c r="D4754" t="s">
        <v>2445</v>
      </c>
      <c r="E4754">
        <v>80818466</v>
      </c>
      <c r="F4754" t="s">
        <v>2985</v>
      </c>
      <c r="G4754" s="3">
        <v>46665</v>
      </c>
      <c r="H4754">
        <v>36</v>
      </c>
      <c r="I4754">
        <v>44</v>
      </c>
      <c r="J4754">
        <v>5</v>
      </c>
      <c r="K4754" s="4">
        <v>2243.9499999999998</v>
      </c>
      <c r="L4754" s="4">
        <f>0</f>
        <v>0</v>
      </c>
      <c r="M4754" s="4">
        <f>999</f>
        <v>999</v>
      </c>
      <c r="N4754" t="s">
        <v>19</v>
      </c>
      <c r="O4754" t="str">
        <f t="shared" si="740"/>
        <v>Low</v>
      </c>
      <c r="P4754" t="str">
        <f t="shared" si="741"/>
        <v>High</v>
      </c>
      <c r="Q4754" t="str">
        <f t="shared" si="742"/>
        <v>High</v>
      </c>
      <c r="R4754" t="s">
        <v>3317</v>
      </c>
      <c r="S4754" s="4">
        <f t="shared" ca="1" si="743"/>
        <v>468</v>
      </c>
      <c r="T4754">
        <f t="shared" si="744"/>
        <v>1</v>
      </c>
      <c r="U4754">
        <f t="shared" si="745"/>
        <v>3</v>
      </c>
      <c r="V4754">
        <f t="shared" si="746"/>
        <v>3</v>
      </c>
      <c r="W4754">
        <f t="shared" si="747"/>
        <v>1</v>
      </c>
      <c r="X4754">
        <f t="shared" si="748"/>
        <v>2</v>
      </c>
      <c r="Y4754" t="str">
        <f t="shared" si="749"/>
        <v>Monitor</v>
      </c>
    </row>
    <row r="4755" spans="1:25" x14ac:dyDescent="0.35">
      <c r="A4755" t="s">
        <v>90</v>
      </c>
      <c r="B4755" t="s">
        <v>91</v>
      </c>
      <c r="C4755" t="s">
        <v>92</v>
      </c>
      <c r="D4755" t="s">
        <v>827</v>
      </c>
      <c r="E4755">
        <v>80851072</v>
      </c>
      <c r="F4755" t="s">
        <v>2984</v>
      </c>
      <c r="G4755" s="3">
        <v>46773</v>
      </c>
      <c r="H4755">
        <v>24</v>
      </c>
      <c r="I4755">
        <v>81</v>
      </c>
      <c r="J4755">
        <v>90</v>
      </c>
      <c r="K4755" s="4">
        <v>40896</v>
      </c>
      <c r="L4755" s="4">
        <v>3509.4285714285716</v>
      </c>
      <c r="M4755" s="4">
        <v>2.5645200683872018E-2</v>
      </c>
      <c r="N4755" t="s">
        <v>25</v>
      </c>
      <c r="O4755" t="str">
        <f t="shared" si="740"/>
        <v>Low</v>
      </c>
      <c r="P4755" t="str">
        <f t="shared" si="741"/>
        <v>Low</v>
      </c>
      <c r="Q4755" t="str">
        <f t="shared" si="742"/>
        <v>Low</v>
      </c>
      <c r="R4755" t="s">
        <v>3317</v>
      </c>
      <c r="S4755" s="4">
        <f t="shared" ca="1" si="743"/>
        <v>576</v>
      </c>
      <c r="T4755">
        <f t="shared" si="744"/>
        <v>1</v>
      </c>
      <c r="U4755">
        <f t="shared" si="745"/>
        <v>1</v>
      </c>
      <c r="V4755">
        <f t="shared" si="746"/>
        <v>1</v>
      </c>
      <c r="W4755">
        <f t="shared" si="747"/>
        <v>1</v>
      </c>
      <c r="X4755">
        <f t="shared" si="748"/>
        <v>0.99999999999999989</v>
      </c>
      <c r="Y4755" t="str">
        <f t="shared" si="749"/>
        <v>Healthy</v>
      </c>
    </row>
    <row r="4756" spans="1:25" x14ac:dyDescent="0.35">
      <c r="A4756" t="s">
        <v>90</v>
      </c>
      <c r="B4756" t="s">
        <v>91</v>
      </c>
      <c r="C4756" t="s">
        <v>92</v>
      </c>
      <c r="D4756" t="s">
        <v>827</v>
      </c>
      <c r="E4756">
        <v>80851072</v>
      </c>
      <c r="F4756" t="s">
        <v>2984</v>
      </c>
      <c r="G4756" s="3">
        <v>46754</v>
      </c>
      <c r="H4756">
        <v>24</v>
      </c>
      <c r="I4756">
        <v>78</v>
      </c>
      <c r="J4756">
        <v>2</v>
      </c>
      <c r="K4756" s="4">
        <v>908.8</v>
      </c>
      <c r="L4756" s="4">
        <v>3509.4285714285716</v>
      </c>
      <c r="M4756" s="4">
        <v>5.6989334853048933E-4</v>
      </c>
      <c r="N4756" t="s">
        <v>25</v>
      </c>
      <c r="O4756" t="str">
        <f t="shared" si="740"/>
        <v>Low</v>
      </c>
      <c r="P4756" t="str">
        <f t="shared" si="741"/>
        <v>Low</v>
      </c>
      <c r="Q4756" t="str">
        <f t="shared" si="742"/>
        <v>Low</v>
      </c>
      <c r="R4756" t="s">
        <v>3317</v>
      </c>
      <c r="S4756" s="4">
        <f t="shared" ca="1" si="743"/>
        <v>557</v>
      </c>
      <c r="T4756">
        <f t="shared" si="744"/>
        <v>1</v>
      </c>
      <c r="U4756">
        <f t="shared" si="745"/>
        <v>1</v>
      </c>
      <c r="V4756">
        <f t="shared" si="746"/>
        <v>1</v>
      </c>
      <c r="W4756">
        <f t="shared" si="747"/>
        <v>1</v>
      </c>
      <c r="X4756">
        <f t="shared" si="748"/>
        <v>0.99999999999999989</v>
      </c>
      <c r="Y4756" t="str">
        <f t="shared" si="749"/>
        <v>Healthy</v>
      </c>
    </row>
    <row r="4757" spans="1:25" x14ac:dyDescent="0.35">
      <c r="A4757" t="s">
        <v>90</v>
      </c>
      <c r="B4757" t="s">
        <v>91</v>
      </c>
      <c r="C4757" t="s">
        <v>92</v>
      </c>
      <c r="D4757" t="s">
        <v>827</v>
      </c>
      <c r="E4757">
        <v>80851072</v>
      </c>
      <c r="F4757" t="s">
        <v>2984</v>
      </c>
      <c r="G4757" s="3">
        <v>46876</v>
      </c>
      <c r="H4757">
        <v>24</v>
      </c>
      <c r="I4757">
        <v>95</v>
      </c>
      <c r="J4757">
        <v>192</v>
      </c>
      <c r="K4757" s="4">
        <v>87244.800000000003</v>
      </c>
      <c r="L4757" s="4">
        <v>3509.4285714285716</v>
      </c>
      <c r="M4757" s="4">
        <v>5.4709761458926968E-2</v>
      </c>
      <c r="N4757" t="s">
        <v>25</v>
      </c>
      <c r="O4757" t="str">
        <f t="shared" si="740"/>
        <v>Low</v>
      </c>
      <c r="P4757" t="str">
        <f t="shared" si="741"/>
        <v>Low</v>
      </c>
      <c r="Q4757" t="str">
        <f t="shared" si="742"/>
        <v>Low</v>
      </c>
      <c r="R4757" t="s">
        <v>3310</v>
      </c>
      <c r="S4757" s="4">
        <f t="shared" ca="1" si="743"/>
        <v>679</v>
      </c>
      <c r="T4757">
        <f t="shared" si="744"/>
        <v>1</v>
      </c>
      <c r="U4757">
        <f t="shared" si="745"/>
        <v>1</v>
      </c>
      <c r="V4757">
        <f t="shared" si="746"/>
        <v>1</v>
      </c>
      <c r="W4757">
        <f t="shared" si="747"/>
        <v>2</v>
      </c>
      <c r="X4757">
        <f t="shared" si="748"/>
        <v>1.0999999999999999</v>
      </c>
      <c r="Y4757" t="str">
        <f t="shared" si="749"/>
        <v>Healthy</v>
      </c>
    </row>
    <row r="4758" spans="1:25" x14ac:dyDescent="0.35">
      <c r="A4758" t="s">
        <v>179</v>
      </c>
      <c r="B4758" t="s">
        <v>195</v>
      </c>
      <c r="C4758" t="s">
        <v>199</v>
      </c>
      <c r="D4758" t="s">
        <v>896</v>
      </c>
      <c r="E4758">
        <v>80798147</v>
      </c>
      <c r="F4758" t="s">
        <v>2986</v>
      </c>
      <c r="G4758" s="3">
        <v>46348</v>
      </c>
      <c r="H4758">
        <v>16</v>
      </c>
      <c r="I4758">
        <v>33</v>
      </c>
      <c r="J4758">
        <v>6</v>
      </c>
      <c r="K4758" s="4">
        <v>7333.08</v>
      </c>
      <c r="L4758" s="4">
        <v>123.71428571428571</v>
      </c>
      <c r="M4758" s="4">
        <v>4.8498845265588918E-2</v>
      </c>
      <c r="N4758" t="s">
        <v>25</v>
      </c>
      <c r="O4758" t="str">
        <f t="shared" si="740"/>
        <v>Medium</v>
      </c>
      <c r="P4758" t="str">
        <f t="shared" si="741"/>
        <v>Low</v>
      </c>
      <c r="Q4758" t="str">
        <f t="shared" si="742"/>
        <v>Low</v>
      </c>
      <c r="R4758" t="s">
        <v>3317</v>
      </c>
      <c r="S4758" s="4">
        <f t="shared" ca="1" si="743"/>
        <v>151</v>
      </c>
      <c r="T4758">
        <f t="shared" si="744"/>
        <v>2</v>
      </c>
      <c r="U4758">
        <f t="shared" si="745"/>
        <v>1</v>
      </c>
      <c r="V4758">
        <f t="shared" si="746"/>
        <v>1</v>
      </c>
      <c r="W4758">
        <f t="shared" si="747"/>
        <v>1</v>
      </c>
      <c r="X4758">
        <f t="shared" si="748"/>
        <v>1.4000000000000001</v>
      </c>
      <c r="Y4758" t="str">
        <f t="shared" si="749"/>
        <v>Healthy</v>
      </c>
    </row>
    <row r="4759" spans="1:25" x14ac:dyDescent="0.35">
      <c r="A4759" t="s">
        <v>90</v>
      </c>
      <c r="B4759" t="s">
        <v>91</v>
      </c>
      <c r="C4759" t="s">
        <v>92</v>
      </c>
      <c r="D4759" t="s">
        <v>827</v>
      </c>
      <c r="E4759">
        <v>80851072</v>
      </c>
      <c r="F4759" t="s">
        <v>2984</v>
      </c>
      <c r="G4759" s="3">
        <v>46791</v>
      </c>
      <c r="H4759">
        <v>24</v>
      </c>
      <c r="I4759">
        <v>83</v>
      </c>
      <c r="J4759">
        <v>80</v>
      </c>
      <c r="K4759" s="4">
        <v>36352</v>
      </c>
      <c r="L4759" s="4">
        <v>3509.4285714285716</v>
      </c>
      <c r="M4759" s="4">
        <v>2.279573394121957E-2</v>
      </c>
      <c r="N4759" t="s">
        <v>25</v>
      </c>
      <c r="O4759" t="str">
        <f t="shared" si="740"/>
        <v>Low</v>
      </c>
      <c r="P4759" t="str">
        <f t="shared" si="741"/>
        <v>Low</v>
      </c>
      <c r="Q4759" t="str">
        <f t="shared" si="742"/>
        <v>Low</v>
      </c>
      <c r="R4759" t="s">
        <v>3317</v>
      </c>
      <c r="S4759" s="4">
        <f t="shared" ca="1" si="743"/>
        <v>594</v>
      </c>
      <c r="T4759">
        <f t="shared" si="744"/>
        <v>1</v>
      </c>
      <c r="U4759">
        <f t="shared" si="745"/>
        <v>1</v>
      </c>
      <c r="V4759">
        <f t="shared" si="746"/>
        <v>1</v>
      </c>
      <c r="W4759">
        <f t="shared" si="747"/>
        <v>1</v>
      </c>
      <c r="X4759">
        <f t="shared" si="748"/>
        <v>0.99999999999999989</v>
      </c>
      <c r="Y4759" t="str">
        <f t="shared" si="749"/>
        <v>Healthy</v>
      </c>
    </row>
    <row r="4760" spans="1:25" x14ac:dyDescent="0.35">
      <c r="A4760" t="s">
        <v>90</v>
      </c>
      <c r="B4760" t="s">
        <v>91</v>
      </c>
      <c r="C4760" t="s">
        <v>92</v>
      </c>
      <c r="D4760" t="s">
        <v>827</v>
      </c>
      <c r="E4760">
        <v>80851072</v>
      </c>
      <c r="F4760" t="s">
        <v>2984</v>
      </c>
      <c r="G4760" s="3">
        <v>46877</v>
      </c>
      <c r="H4760">
        <v>24</v>
      </c>
      <c r="I4760">
        <v>95</v>
      </c>
      <c r="J4760">
        <v>168</v>
      </c>
      <c r="K4760" s="4">
        <v>76339.199999999997</v>
      </c>
      <c r="L4760" s="4">
        <v>3509.4285714285716</v>
      </c>
      <c r="M4760" s="4">
        <v>4.7871041276561097E-2</v>
      </c>
      <c r="N4760" t="s">
        <v>25</v>
      </c>
      <c r="O4760" t="str">
        <f t="shared" si="740"/>
        <v>Low</v>
      </c>
      <c r="P4760" t="str">
        <f t="shared" si="741"/>
        <v>Low</v>
      </c>
      <c r="Q4760" t="str">
        <f t="shared" si="742"/>
        <v>Low</v>
      </c>
      <c r="R4760" t="s">
        <v>3310</v>
      </c>
      <c r="S4760" s="4">
        <f t="shared" ca="1" si="743"/>
        <v>680</v>
      </c>
      <c r="T4760">
        <f t="shared" si="744"/>
        <v>1</v>
      </c>
      <c r="U4760">
        <f t="shared" si="745"/>
        <v>1</v>
      </c>
      <c r="V4760">
        <f t="shared" si="746"/>
        <v>1</v>
      </c>
      <c r="W4760">
        <f t="shared" si="747"/>
        <v>2</v>
      </c>
      <c r="X4760">
        <f t="shared" si="748"/>
        <v>1.0999999999999999</v>
      </c>
      <c r="Y4760" t="str">
        <f t="shared" si="749"/>
        <v>Healthy</v>
      </c>
    </row>
    <row r="4761" spans="1:25" x14ac:dyDescent="0.35">
      <c r="A4761" t="s">
        <v>90</v>
      </c>
      <c r="B4761" t="s">
        <v>91</v>
      </c>
      <c r="C4761" t="s">
        <v>92</v>
      </c>
      <c r="D4761" t="s">
        <v>827</v>
      </c>
      <c r="E4761">
        <v>80851072</v>
      </c>
      <c r="F4761" t="s">
        <v>2984</v>
      </c>
      <c r="G4761" s="3">
        <v>46822</v>
      </c>
      <c r="H4761">
        <v>24</v>
      </c>
      <c r="I4761">
        <v>88</v>
      </c>
      <c r="J4761">
        <v>80</v>
      </c>
      <c r="K4761" s="4">
        <v>36352</v>
      </c>
      <c r="L4761" s="4">
        <v>3509.4285714285716</v>
      </c>
      <c r="M4761" s="4">
        <v>2.279573394121957E-2</v>
      </c>
      <c r="N4761" t="s">
        <v>25</v>
      </c>
      <c r="O4761" t="str">
        <f t="shared" si="740"/>
        <v>Low</v>
      </c>
      <c r="P4761" t="str">
        <f t="shared" si="741"/>
        <v>Low</v>
      </c>
      <c r="Q4761" t="str">
        <f t="shared" si="742"/>
        <v>Low</v>
      </c>
      <c r="R4761" t="s">
        <v>3317</v>
      </c>
      <c r="S4761" s="4">
        <f t="shared" ca="1" si="743"/>
        <v>625</v>
      </c>
      <c r="T4761">
        <f t="shared" si="744"/>
        <v>1</v>
      </c>
      <c r="U4761">
        <f t="shared" si="745"/>
        <v>1</v>
      </c>
      <c r="V4761">
        <f t="shared" si="746"/>
        <v>1</v>
      </c>
      <c r="W4761">
        <f t="shared" si="747"/>
        <v>1</v>
      </c>
      <c r="X4761">
        <f t="shared" si="748"/>
        <v>0.99999999999999989</v>
      </c>
      <c r="Y4761" t="str">
        <f t="shared" si="749"/>
        <v>Healthy</v>
      </c>
    </row>
    <row r="4762" spans="1:25" x14ac:dyDescent="0.35">
      <c r="A4762" t="s">
        <v>90</v>
      </c>
      <c r="B4762" t="s">
        <v>91</v>
      </c>
      <c r="C4762" t="s">
        <v>92</v>
      </c>
      <c r="D4762" t="s">
        <v>827</v>
      </c>
      <c r="E4762">
        <v>80851072</v>
      </c>
      <c r="F4762" t="s">
        <v>2984</v>
      </c>
      <c r="G4762" s="3">
        <v>46876</v>
      </c>
      <c r="H4762">
        <v>24</v>
      </c>
      <c r="I4762">
        <v>95</v>
      </c>
      <c r="J4762">
        <v>202</v>
      </c>
      <c r="K4762" s="4">
        <v>91788.800000000003</v>
      </c>
      <c r="L4762" s="4">
        <v>3509.4285714285716</v>
      </c>
      <c r="M4762" s="4">
        <v>5.7559228201579417E-2</v>
      </c>
      <c r="N4762" t="s">
        <v>25</v>
      </c>
      <c r="O4762" t="str">
        <f t="shared" si="740"/>
        <v>Low</v>
      </c>
      <c r="P4762" t="str">
        <f t="shared" si="741"/>
        <v>Low</v>
      </c>
      <c r="Q4762" t="str">
        <f t="shared" si="742"/>
        <v>Low</v>
      </c>
      <c r="R4762" t="s">
        <v>3310</v>
      </c>
      <c r="S4762" s="4">
        <f t="shared" ca="1" si="743"/>
        <v>679</v>
      </c>
      <c r="T4762">
        <f t="shared" si="744"/>
        <v>1</v>
      </c>
      <c r="U4762">
        <f t="shared" si="745"/>
        <v>1</v>
      </c>
      <c r="V4762">
        <f t="shared" si="746"/>
        <v>1</v>
      </c>
      <c r="W4762">
        <f t="shared" si="747"/>
        <v>2</v>
      </c>
      <c r="X4762">
        <f t="shared" si="748"/>
        <v>1.0999999999999999</v>
      </c>
      <c r="Y4762" t="str">
        <f t="shared" si="749"/>
        <v>Healthy</v>
      </c>
    </row>
    <row r="4763" spans="1:25" x14ac:dyDescent="0.35">
      <c r="A4763" t="s">
        <v>90</v>
      </c>
      <c r="B4763" t="s">
        <v>91</v>
      </c>
      <c r="C4763" t="s">
        <v>92</v>
      </c>
      <c r="D4763" t="s">
        <v>827</v>
      </c>
      <c r="E4763">
        <v>80851072</v>
      </c>
      <c r="F4763" t="s">
        <v>2984</v>
      </c>
      <c r="G4763" s="3">
        <v>46792</v>
      </c>
      <c r="H4763">
        <v>24</v>
      </c>
      <c r="I4763">
        <v>83</v>
      </c>
      <c r="J4763">
        <v>84</v>
      </c>
      <c r="K4763" s="4">
        <v>38169.599999999999</v>
      </c>
      <c r="L4763" s="4">
        <v>3509.4285714285716</v>
      </c>
      <c r="M4763" s="4">
        <v>2.3935520638280548E-2</v>
      </c>
      <c r="N4763" t="s">
        <v>25</v>
      </c>
      <c r="O4763" t="str">
        <f t="shared" si="740"/>
        <v>Low</v>
      </c>
      <c r="P4763" t="str">
        <f t="shared" si="741"/>
        <v>Low</v>
      </c>
      <c r="Q4763" t="str">
        <f t="shared" si="742"/>
        <v>Low</v>
      </c>
      <c r="R4763" t="s">
        <v>3317</v>
      </c>
      <c r="S4763" s="4">
        <f t="shared" ca="1" si="743"/>
        <v>595</v>
      </c>
      <c r="T4763">
        <f t="shared" si="744"/>
        <v>1</v>
      </c>
      <c r="U4763">
        <f t="shared" si="745"/>
        <v>1</v>
      </c>
      <c r="V4763">
        <f t="shared" si="746"/>
        <v>1</v>
      </c>
      <c r="W4763">
        <f t="shared" si="747"/>
        <v>1</v>
      </c>
      <c r="X4763">
        <f t="shared" si="748"/>
        <v>0.99999999999999989</v>
      </c>
      <c r="Y4763" t="str">
        <f t="shared" si="749"/>
        <v>Healthy</v>
      </c>
    </row>
    <row r="4764" spans="1:25" x14ac:dyDescent="0.35">
      <c r="A4764" t="s">
        <v>90</v>
      </c>
      <c r="B4764" t="s">
        <v>91</v>
      </c>
      <c r="C4764" t="s">
        <v>92</v>
      </c>
      <c r="D4764" t="s">
        <v>827</v>
      </c>
      <c r="E4764">
        <v>80851072</v>
      </c>
      <c r="F4764" t="s">
        <v>2984</v>
      </c>
      <c r="G4764" s="3">
        <v>46876</v>
      </c>
      <c r="H4764">
        <v>24</v>
      </c>
      <c r="I4764">
        <v>95</v>
      </c>
      <c r="J4764">
        <v>201</v>
      </c>
      <c r="K4764" s="4">
        <v>91334.399999999994</v>
      </c>
      <c r="L4764" s="4">
        <v>3509.4285714285716</v>
      </c>
      <c r="M4764" s="4">
        <v>5.7274281527314175E-2</v>
      </c>
      <c r="N4764" t="s">
        <v>25</v>
      </c>
      <c r="O4764" t="str">
        <f t="shared" si="740"/>
        <v>Low</v>
      </c>
      <c r="P4764" t="str">
        <f t="shared" si="741"/>
        <v>Low</v>
      </c>
      <c r="Q4764" t="str">
        <f t="shared" si="742"/>
        <v>Low</v>
      </c>
      <c r="R4764" t="s">
        <v>3310</v>
      </c>
      <c r="S4764" s="4">
        <f t="shared" ca="1" si="743"/>
        <v>679</v>
      </c>
      <c r="T4764">
        <f t="shared" si="744"/>
        <v>1</v>
      </c>
      <c r="U4764">
        <f t="shared" si="745"/>
        <v>1</v>
      </c>
      <c r="V4764">
        <f t="shared" si="746"/>
        <v>1</v>
      </c>
      <c r="W4764">
        <f t="shared" si="747"/>
        <v>2</v>
      </c>
      <c r="X4764">
        <f t="shared" si="748"/>
        <v>1.0999999999999999</v>
      </c>
      <c r="Y4764" t="str">
        <f t="shared" si="749"/>
        <v>Healthy</v>
      </c>
    </row>
    <row r="4765" spans="1:25" x14ac:dyDescent="0.35">
      <c r="A4765" t="s">
        <v>90</v>
      </c>
      <c r="B4765" t="s">
        <v>91</v>
      </c>
      <c r="C4765" t="s">
        <v>92</v>
      </c>
      <c r="D4765" t="s">
        <v>827</v>
      </c>
      <c r="E4765">
        <v>80851072</v>
      </c>
      <c r="F4765" t="s">
        <v>2984</v>
      </c>
      <c r="G4765" s="3">
        <v>46820</v>
      </c>
      <c r="H4765">
        <v>24</v>
      </c>
      <c r="I4765">
        <v>87</v>
      </c>
      <c r="J4765">
        <v>64</v>
      </c>
      <c r="K4765" s="4">
        <v>29081.599999999999</v>
      </c>
      <c r="L4765" s="4">
        <v>3509.4285714285716</v>
      </c>
      <c r="M4765" s="4">
        <v>1.8236587152975658E-2</v>
      </c>
      <c r="N4765" t="s">
        <v>25</v>
      </c>
      <c r="O4765" t="str">
        <f t="shared" si="740"/>
        <v>Low</v>
      </c>
      <c r="P4765" t="str">
        <f t="shared" si="741"/>
        <v>Low</v>
      </c>
      <c r="Q4765" t="str">
        <f t="shared" si="742"/>
        <v>Low</v>
      </c>
      <c r="R4765" t="s">
        <v>3317</v>
      </c>
      <c r="S4765" s="4">
        <f t="shared" ca="1" si="743"/>
        <v>623</v>
      </c>
      <c r="T4765">
        <f t="shared" si="744"/>
        <v>1</v>
      </c>
      <c r="U4765">
        <f t="shared" si="745"/>
        <v>1</v>
      </c>
      <c r="V4765">
        <f t="shared" si="746"/>
        <v>1</v>
      </c>
      <c r="W4765">
        <f t="shared" si="747"/>
        <v>1</v>
      </c>
      <c r="X4765">
        <f t="shared" si="748"/>
        <v>0.99999999999999989</v>
      </c>
      <c r="Y4765" t="str">
        <f t="shared" si="749"/>
        <v>Healthy</v>
      </c>
    </row>
    <row r="4766" spans="1:25" x14ac:dyDescent="0.35">
      <c r="A4766" t="s">
        <v>90</v>
      </c>
      <c r="B4766" t="s">
        <v>91</v>
      </c>
      <c r="C4766" t="s">
        <v>92</v>
      </c>
      <c r="D4766" t="s">
        <v>827</v>
      </c>
      <c r="E4766">
        <v>80851072</v>
      </c>
      <c r="F4766" t="s">
        <v>2984</v>
      </c>
      <c r="G4766" s="3">
        <v>46772</v>
      </c>
      <c r="H4766">
        <v>24</v>
      </c>
      <c r="I4766">
        <v>81</v>
      </c>
      <c r="J4766">
        <v>40</v>
      </c>
      <c r="K4766" s="4">
        <v>18176</v>
      </c>
      <c r="L4766" s="4">
        <v>3509.4285714285716</v>
      </c>
      <c r="M4766" s="4">
        <v>1.1397866970609785E-2</v>
      </c>
      <c r="N4766" t="s">
        <v>25</v>
      </c>
      <c r="O4766" t="str">
        <f t="shared" si="740"/>
        <v>Low</v>
      </c>
      <c r="P4766" t="str">
        <f t="shared" si="741"/>
        <v>Low</v>
      </c>
      <c r="Q4766" t="str">
        <f t="shared" si="742"/>
        <v>Low</v>
      </c>
      <c r="R4766" t="s">
        <v>3317</v>
      </c>
      <c r="S4766" s="4">
        <f t="shared" ca="1" si="743"/>
        <v>575</v>
      </c>
      <c r="T4766">
        <f t="shared" si="744"/>
        <v>1</v>
      </c>
      <c r="U4766">
        <f t="shared" si="745"/>
        <v>1</v>
      </c>
      <c r="V4766">
        <f t="shared" si="746"/>
        <v>1</v>
      </c>
      <c r="W4766">
        <f t="shared" si="747"/>
        <v>1</v>
      </c>
      <c r="X4766">
        <f t="shared" si="748"/>
        <v>0.99999999999999989</v>
      </c>
      <c r="Y4766" t="str">
        <f t="shared" si="749"/>
        <v>Healthy</v>
      </c>
    </row>
    <row r="4767" spans="1:25" x14ac:dyDescent="0.35">
      <c r="A4767" t="s">
        <v>90</v>
      </c>
      <c r="B4767" t="s">
        <v>91</v>
      </c>
      <c r="C4767" t="s">
        <v>92</v>
      </c>
      <c r="D4767" t="s">
        <v>827</v>
      </c>
      <c r="E4767">
        <v>80851072</v>
      </c>
      <c r="F4767" t="s">
        <v>2984</v>
      </c>
      <c r="G4767" s="3">
        <v>46791</v>
      </c>
      <c r="H4767">
        <v>24</v>
      </c>
      <c r="I4767">
        <v>83</v>
      </c>
      <c r="J4767">
        <v>56</v>
      </c>
      <c r="K4767" s="4">
        <v>25446.400000000001</v>
      </c>
      <c r="L4767" s="4">
        <v>3509.4285714285716</v>
      </c>
      <c r="M4767" s="4">
        <v>1.5957013758853701E-2</v>
      </c>
      <c r="N4767" t="s">
        <v>25</v>
      </c>
      <c r="O4767" t="str">
        <f t="shared" si="740"/>
        <v>Low</v>
      </c>
      <c r="P4767" t="str">
        <f t="shared" si="741"/>
        <v>Low</v>
      </c>
      <c r="Q4767" t="str">
        <f t="shared" si="742"/>
        <v>Low</v>
      </c>
      <c r="R4767" t="s">
        <v>3317</v>
      </c>
      <c r="S4767" s="4">
        <f t="shared" ca="1" si="743"/>
        <v>594</v>
      </c>
      <c r="T4767">
        <f t="shared" si="744"/>
        <v>1</v>
      </c>
      <c r="U4767">
        <f t="shared" si="745"/>
        <v>1</v>
      </c>
      <c r="V4767">
        <f t="shared" si="746"/>
        <v>1</v>
      </c>
      <c r="W4767">
        <f t="shared" si="747"/>
        <v>1</v>
      </c>
      <c r="X4767">
        <f t="shared" si="748"/>
        <v>0.99999999999999989</v>
      </c>
      <c r="Y4767" t="str">
        <f t="shared" si="749"/>
        <v>Healthy</v>
      </c>
    </row>
    <row r="4768" spans="1:25" x14ac:dyDescent="0.35">
      <c r="A4768" t="s">
        <v>90</v>
      </c>
      <c r="B4768" t="s">
        <v>404</v>
      </c>
      <c r="C4768" t="s">
        <v>405</v>
      </c>
      <c r="D4768" t="s">
        <v>2672</v>
      </c>
      <c r="E4768">
        <v>80819697</v>
      </c>
      <c r="F4768" t="s">
        <v>2987</v>
      </c>
      <c r="G4768" s="3">
        <v>46439</v>
      </c>
      <c r="H4768">
        <v>24</v>
      </c>
      <c r="I4768">
        <v>34</v>
      </c>
      <c r="J4768">
        <v>22</v>
      </c>
      <c r="K4768" s="4">
        <v>2283.16</v>
      </c>
      <c r="L4768" s="4">
        <v>43.857142857142854</v>
      </c>
      <c r="M4768" s="4">
        <v>0.50162866449511401</v>
      </c>
      <c r="N4768" t="s">
        <v>25</v>
      </c>
      <c r="O4768" t="str">
        <f t="shared" si="740"/>
        <v>Medium</v>
      </c>
      <c r="P4768" t="str">
        <f t="shared" si="741"/>
        <v>Low</v>
      </c>
      <c r="Q4768" t="str">
        <f t="shared" si="742"/>
        <v>Low</v>
      </c>
      <c r="R4768" t="s">
        <v>3317</v>
      </c>
      <c r="S4768" s="4">
        <f t="shared" ca="1" si="743"/>
        <v>242</v>
      </c>
      <c r="T4768">
        <f t="shared" si="744"/>
        <v>2</v>
      </c>
      <c r="U4768">
        <f t="shared" si="745"/>
        <v>1</v>
      </c>
      <c r="V4768">
        <f t="shared" si="746"/>
        <v>1</v>
      </c>
      <c r="W4768">
        <f t="shared" si="747"/>
        <v>1</v>
      </c>
      <c r="X4768">
        <f t="shared" si="748"/>
        <v>1.4000000000000001</v>
      </c>
      <c r="Y4768" t="str">
        <f t="shared" si="749"/>
        <v>Healthy</v>
      </c>
    </row>
    <row r="4769" spans="1:25" x14ac:dyDescent="0.35">
      <c r="A4769" t="s">
        <v>90</v>
      </c>
      <c r="B4769" t="s">
        <v>91</v>
      </c>
      <c r="C4769" t="s">
        <v>92</v>
      </c>
      <c r="D4769" t="s">
        <v>827</v>
      </c>
      <c r="E4769">
        <v>80851072</v>
      </c>
      <c r="F4769" t="s">
        <v>2984</v>
      </c>
      <c r="G4769" s="3">
        <v>46821</v>
      </c>
      <c r="H4769">
        <v>24</v>
      </c>
      <c r="I4769">
        <v>87</v>
      </c>
      <c r="J4769">
        <v>82</v>
      </c>
      <c r="K4769" s="4">
        <v>37260.800000000003</v>
      </c>
      <c r="L4769" s="4">
        <v>3509.4285714285716</v>
      </c>
      <c r="M4769" s="4">
        <v>2.3365627289750061E-2</v>
      </c>
      <c r="N4769" t="s">
        <v>25</v>
      </c>
      <c r="O4769" t="str">
        <f t="shared" si="740"/>
        <v>Low</v>
      </c>
      <c r="P4769" t="str">
        <f t="shared" si="741"/>
        <v>Low</v>
      </c>
      <c r="Q4769" t="str">
        <f t="shared" si="742"/>
        <v>Low</v>
      </c>
      <c r="R4769" t="s">
        <v>3317</v>
      </c>
      <c r="S4769" s="4">
        <f t="shared" ca="1" si="743"/>
        <v>624</v>
      </c>
      <c r="T4769">
        <f t="shared" si="744"/>
        <v>1</v>
      </c>
      <c r="U4769">
        <f t="shared" si="745"/>
        <v>1</v>
      </c>
      <c r="V4769">
        <f t="shared" si="746"/>
        <v>1</v>
      </c>
      <c r="W4769">
        <f t="shared" si="747"/>
        <v>1</v>
      </c>
      <c r="X4769">
        <f t="shared" si="748"/>
        <v>0.99999999999999989</v>
      </c>
      <c r="Y4769" t="str">
        <f t="shared" si="749"/>
        <v>Healthy</v>
      </c>
    </row>
    <row r="4770" spans="1:25" x14ac:dyDescent="0.35">
      <c r="A4770" t="s">
        <v>90</v>
      </c>
      <c r="B4770" t="s">
        <v>91</v>
      </c>
      <c r="C4770" t="s">
        <v>92</v>
      </c>
      <c r="D4770" t="s">
        <v>827</v>
      </c>
      <c r="E4770">
        <v>80851072</v>
      </c>
      <c r="F4770" t="s">
        <v>2984</v>
      </c>
      <c r="G4770" s="3">
        <v>46821</v>
      </c>
      <c r="H4770">
        <v>24</v>
      </c>
      <c r="I4770">
        <v>87</v>
      </c>
      <c r="J4770">
        <v>80</v>
      </c>
      <c r="K4770" s="4">
        <v>36352</v>
      </c>
      <c r="L4770" s="4">
        <v>3509.4285714285716</v>
      </c>
      <c r="M4770" s="4">
        <v>2.279573394121957E-2</v>
      </c>
      <c r="N4770" t="s">
        <v>25</v>
      </c>
      <c r="O4770" t="str">
        <f t="shared" si="740"/>
        <v>Low</v>
      </c>
      <c r="P4770" t="str">
        <f t="shared" si="741"/>
        <v>Low</v>
      </c>
      <c r="Q4770" t="str">
        <f t="shared" si="742"/>
        <v>Low</v>
      </c>
      <c r="R4770" t="s">
        <v>3317</v>
      </c>
      <c r="S4770" s="4">
        <f t="shared" ca="1" si="743"/>
        <v>624</v>
      </c>
      <c r="T4770">
        <f t="shared" si="744"/>
        <v>1</v>
      </c>
      <c r="U4770">
        <f t="shared" si="745"/>
        <v>1</v>
      </c>
      <c r="V4770">
        <f t="shared" si="746"/>
        <v>1</v>
      </c>
      <c r="W4770">
        <f t="shared" si="747"/>
        <v>1</v>
      </c>
      <c r="X4770">
        <f t="shared" si="748"/>
        <v>0.99999999999999989</v>
      </c>
      <c r="Y4770" t="str">
        <f t="shared" si="749"/>
        <v>Healthy</v>
      </c>
    </row>
    <row r="4771" spans="1:25" x14ac:dyDescent="0.35">
      <c r="A4771" t="s">
        <v>90</v>
      </c>
      <c r="B4771" t="s">
        <v>91</v>
      </c>
      <c r="C4771" t="s">
        <v>92</v>
      </c>
      <c r="D4771" t="s">
        <v>827</v>
      </c>
      <c r="E4771">
        <v>80851072</v>
      </c>
      <c r="F4771" t="s">
        <v>2984</v>
      </c>
      <c r="G4771" s="3">
        <v>46820</v>
      </c>
      <c r="H4771">
        <v>24</v>
      </c>
      <c r="I4771">
        <v>87</v>
      </c>
      <c r="J4771">
        <v>64</v>
      </c>
      <c r="K4771" s="4">
        <v>29081.599999999999</v>
      </c>
      <c r="L4771" s="4">
        <v>3509.4285714285716</v>
      </c>
      <c r="M4771" s="4">
        <v>1.8236587152975658E-2</v>
      </c>
      <c r="N4771" t="s">
        <v>25</v>
      </c>
      <c r="O4771" t="str">
        <f t="shared" si="740"/>
        <v>Low</v>
      </c>
      <c r="P4771" t="str">
        <f t="shared" si="741"/>
        <v>Low</v>
      </c>
      <c r="Q4771" t="str">
        <f t="shared" si="742"/>
        <v>Low</v>
      </c>
      <c r="R4771" t="s">
        <v>3317</v>
      </c>
      <c r="S4771" s="4">
        <f t="shared" ca="1" si="743"/>
        <v>623</v>
      </c>
      <c r="T4771">
        <f t="shared" si="744"/>
        <v>1</v>
      </c>
      <c r="U4771">
        <f t="shared" si="745"/>
        <v>1</v>
      </c>
      <c r="V4771">
        <f t="shared" si="746"/>
        <v>1</v>
      </c>
      <c r="W4771">
        <f t="shared" si="747"/>
        <v>1</v>
      </c>
      <c r="X4771">
        <f t="shared" si="748"/>
        <v>0.99999999999999989</v>
      </c>
      <c r="Y4771" t="str">
        <f t="shared" si="749"/>
        <v>Healthy</v>
      </c>
    </row>
    <row r="4772" spans="1:25" x14ac:dyDescent="0.35">
      <c r="A4772" t="s">
        <v>90</v>
      </c>
      <c r="B4772" t="s">
        <v>404</v>
      </c>
      <c r="C4772" t="s">
        <v>405</v>
      </c>
      <c r="D4772" t="s">
        <v>2672</v>
      </c>
      <c r="E4772">
        <v>80819697</v>
      </c>
      <c r="F4772" t="s">
        <v>2987</v>
      </c>
      <c r="G4772" s="3">
        <v>46438</v>
      </c>
      <c r="H4772">
        <v>24</v>
      </c>
      <c r="I4772">
        <v>34</v>
      </c>
      <c r="J4772">
        <v>39</v>
      </c>
      <c r="K4772" s="4">
        <v>4047.42</v>
      </c>
      <c r="L4772" s="4">
        <v>43.857142857142854</v>
      </c>
      <c r="M4772" s="4">
        <v>0.88925081433224762</v>
      </c>
      <c r="N4772" t="s">
        <v>25</v>
      </c>
      <c r="O4772" t="str">
        <f t="shared" si="740"/>
        <v>Medium</v>
      </c>
      <c r="P4772" t="str">
        <f t="shared" si="741"/>
        <v>Low</v>
      </c>
      <c r="Q4772" t="str">
        <f t="shared" si="742"/>
        <v>Low</v>
      </c>
      <c r="R4772" t="s">
        <v>3317</v>
      </c>
      <c r="S4772" s="4">
        <f t="shared" ca="1" si="743"/>
        <v>241</v>
      </c>
      <c r="T4772">
        <f t="shared" si="744"/>
        <v>2</v>
      </c>
      <c r="U4772">
        <f t="shared" si="745"/>
        <v>1</v>
      </c>
      <c r="V4772">
        <f t="shared" si="746"/>
        <v>1</v>
      </c>
      <c r="W4772">
        <f t="shared" si="747"/>
        <v>1</v>
      </c>
      <c r="X4772">
        <f t="shared" si="748"/>
        <v>1.4000000000000001</v>
      </c>
      <c r="Y4772" t="str">
        <f t="shared" si="749"/>
        <v>Healthy</v>
      </c>
    </row>
    <row r="4773" spans="1:25" x14ac:dyDescent="0.35">
      <c r="A4773" t="s">
        <v>90</v>
      </c>
      <c r="B4773" t="s">
        <v>91</v>
      </c>
      <c r="C4773" t="s">
        <v>92</v>
      </c>
      <c r="D4773" t="s">
        <v>827</v>
      </c>
      <c r="E4773">
        <v>80851072</v>
      </c>
      <c r="F4773" t="s">
        <v>2984</v>
      </c>
      <c r="G4773" s="3">
        <v>46772</v>
      </c>
      <c r="H4773">
        <v>24</v>
      </c>
      <c r="I4773">
        <v>81</v>
      </c>
      <c r="J4773">
        <v>56</v>
      </c>
      <c r="K4773" s="4">
        <v>25446.400000000001</v>
      </c>
      <c r="L4773" s="4">
        <v>3509.4285714285716</v>
      </c>
      <c r="M4773" s="4">
        <v>1.5957013758853701E-2</v>
      </c>
      <c r="N4773" t="s">
        <v>25</v>
      </c>
      <c r="O4773" t="str">
        <f t="shared" si="740"/>
        <v>Low</v>
      </c>
      <c r="P4773" t="str">
        <f t="shared" si="741"/>
        <v>Low</v>
      </c>
      <c r="Q4773" t="str">
        <f t="shared" si="742"/>
        <v>Low</v>
      </c>
      <c r="R4773" t="s">
        <v>3317</v>
      </c>
      <c r="S4773" s="4">
        <f t="shared" ca="1" si="743"/>
        <v>575</v>
      </c>
      <c r="T4773">
        <f t="shared" si="744"/>
        <v>1</v>
      </c>
      <c r="U4773">
        <f t="shared" si="745"/>
        <v>1</v>
      </c>
      <c r="V4773">
        <f t="shared" si="746"/>
        <v>1</v>
      </c>
      <c r="W4773">
        <f t="shared" si="747"/>
        <v>1</v>
      </c>
      <c r="X4773">
        <f t="shared" si="748"/>
        <v>0.99999999999999989</v>
      </c>
      <c r="Y4773" t="str">
        <f t="shared" si="749"/>
        <v>Healthy</v>
      </c>
    </row>
    <row r="4774" spans="1:25" x14ac:dyDescent="0.35">
      <c r="A4774" t="s">
        <v>14</v>
      </c>
      <c r="B4774" t="s">
        <v>37</v>
      </c>
      <c r="C4774" t="s">
        <v>2275</v>
      </c>
      <c r="D4774" t="s">
        <v>2276</v>
      </c>
      <c r="E4774">
        <v>80818336</v>
      </c>
      <c r="F4774" t="s">
        <v>2988</v>
      </c>
      <c r="G4774" s="3">
        <v>47668</v>
      </c>
      <c r="H4774">
        <v>60</v>
      </c>
      <c r="I4774">
        <v>82</v>
      </c>
      <c r="J4774">
        <v>2</v>
      </c>
      <c r="K4774" s="4">
        <v>362.26</v>
      </c>
      <c r="L4774" s="4">
        <v>1.5714285714285714</v>
      </c>
      <c r="M4774" s="4">
        <v>1.2727272727272727</v>
      </c>
      <c r="N4774" t="s">
        <v>25</v>
      </c>
      <c r="O4774" t="str">
        <f t="shared" si="740"/>
        <v>Low</v>
      </c>
      <c r="P4774" t="str">
        <f t="shared" si="741"/>
        <v>Low</v>
      </c>
      <c r="Q4774" t="str">
        <f t="shared" si="742"/>
        <v>High</v>
      </c>
      <c r="R4774" t="s">
        <v>3317</v>
      </c>
      <c r="S4774" s="4">
        <f t="shared" ca="1" si="743"/>
        <v>1471</v>
      </c>
      <c r="T4774">
        <f t="shared" si="744"/>
        <v>1</v>
      </c>
      <c r="U4774">
        <f t="shared" si="745"/>
        <v>1</v>
      </c>
      <c r="V4774">
        <f t="shared" si="746"/>
        <v>3</v>
      </c>
      <c r="W4774">
        <f t="shared" si="747"/>
        <v>1</v>
      </c>
      <c r="X4774">
        <f t="shared" si="748"/>
        <v>1.4000000000000001</v>
      </c>
      <c r="Y4774" t="str">
        <f t="shared" si="749"/>
        <v>Healthy</v>
      </c>
    </row>
    <row r="4775" spans="1:25" x14ac:dyDescent="0.35">
      <c r="A4775" t="s">
        <v>14</v>
      </c>
      <c r="B4775" t="s">
        <v>37</v>
      </c>
      <c r="C4775" t="s">
        <v>2275</v>
      </c>
      <c r="D4775" t="s">
        <v>2276</v>
      </c>
      <c r="E4775">
        <v>80818336</v>
      </c>
      <c r="F4775" t="s">
        <v>2988</v>
      </c>
      <c r="G4775" s="3">
        <v>47649</v>
      </c>
      <c r="H4775">
        <v>60</v>
      </c>
      <c r="I4775">
        <v>81</v>
      </c>
      <c r="J4775">
        <v>18</v>
      </c>
      <c r="K4775" s="4">
        <v>3260.34</v>
      </c>
      <c r="L4775" s="4">
        <v>1.5714285714285714</v>
      </c>
      <c r="M4775" s="4">
        <v>11.454545454545455</v>
      </c>
      <c r="N4775" t="s">
        <v>19</v>
      </c>
      <c r="O4775" t="str">
        <f t="shared" si="740"/>
        <v>Low</v>
      </c>
      <c r="P4775" t="str">
        <f t="shared" si="741"/>
        <v>High</v>
      </c>
      <c r="Q4775" t="str">
        <f t="shared" si="742"/>
        <v>High</v>
      </c>
      <c r="R4775" t="s">
        <v>3317</v>
      </c>
      <c r="S4775" s="4">
        <f t="shared" ca="1" si="743"/>
        <v>1452</v>
      </c>
      <c r="T4775">
        <f t="shared" si="744"/>
        <v>1</v>
      </c>
      <c r="U4775">
        <f t="shared" si="745"/>
        <v>3</v>
      </c>
      <c r="V4775">
        <f t="shared" si="746"/>
        <v>3</v>
      </c>
      <c r="W4775">
        <f t="shared" si="747"/>
        <v>1</v>
      </c>
      <c r="X4775">
        <f t="shared" si="748"/>
        <v>2</v>
      </c>
      <c r="Y4775" t="str">
        <f t="shared" si="749"/>
        <v>Monitor</v>
      </c>
    </row>
    <row r="4776" spans="1:25" x14ac:dyDescent="0.35">
      <c r="A4776" t="s">
        <v>14</v>
      </c>
      <c r="B4776" t="s">
        <v>37</v>
      </c>
      <c r="C4776" t="s">
        <v>2275</v>
      </c>
      <c r="D4776" t="s">
        <v>2276</v>
      </c>
      <c r="E4776">
        <v>80818336</v>
      </c>
      <c r="F4776" t="s">
        <v>2988</v>
      </c>
      <c r="G4776" s="3">
        <v>47687</v>
      </c>
      <c r="H4776">
        <v>60</v>
      </c>
      <c r="I4776">
        <v>83</v>
      </c>
      <c r="J4776">
        <v>41</v>
      </c>
      <c r="K4776" s="4">
        <v>7426.33</v>
      </c>
      <c r="L4776" s="4">
        <v>1.5714285714285714</v>
      </c>
      <c r="M4776" s="4">
        <v>26.09090909090909</v>
      </c>
      <c r="N4776" t="s">
        <v>19</v>
      </c>
      <c r="O4776" t="str">
        <f t="shared" si="740"/>
        <v>Low</v>
      </c>
      <c r="P4776" t="str">
        <f t="shared" si="741"/>
        <v>High</v>
      </c>
      <c r="Q4776" t="str">
        <f t="shared" si="742"/>
        <v>High</v>
      </c>
      <c r="R4776" t="s">
        <v>3317</v>
      </c>
      <c r="S4776" s="4">
        <f t="shared" ca="1" si="743"/>
        <v>1490</v>
      </c>
      <c r="T4776">
        <f t="shared" si="744"/>
        <v>1</v>
      </c>
      <c r="U4776">
        <f t="shared" si="745"/>
        <v>3</v>
      </c>
      <c r="V4776">
        <f t="shared" si="746"/>
        <v>3</v>
      </c>
      <c r="W4776">
        <f t="shared" si="747"/>
        <v>1</v>
      </c>
      <c r="X4776">
        <f t="shared" si="748"/>
        <v>2</v>
      </c>
      <c r="Y4776" t="str">
        <f t="shared" si="749"/>
        <v>Monitor</v>
      </c>
    </row>
    <row r="4777" spans="1:25" x14ac:dyDescent="0.35">
      <c r="A4777" t="s">
        <v>179</v>
      </c>
      <c r="B4777" t="s">
        <v>180</v>
      </c>
      <c r="C4777" t="s">
        <v>181</v>
      </c>
      <c r="D4777" t="s">
        <v>2989</v>
      </c>
      <c r="E4777">
        <v>80853094</v>
      </c>
      <c r="F4777" t="s">
        <v>2990</v>
      </c>
      <c r="G4777" s="3">
        <v>47409</v>
      </c>
      <c r="H4777">
        <v>16</v>
      </c>
      <c r="I4777">
        <v>100</v>
      </c>
      <c r="J4777">
        <v>24</v>
      </c>
      <c r="K4777" s="4">
        <v>3958.56</v>
      </c>
      <c r="L4777" s="4">
        <v>3.4285714285714284</v>
      </c>
      <c r="M4777" s="4">
        <v>7</v>
      </c>
      <c r="N4777" t="s">
        <v>19</v>
      </c>
      <c r="O4777" t="str">
        <f t="shared" si="740"/>
        <v>Low</v>
      </c>
      <c r="P4777" t="str">
        <f t="shared" si="741"/>
        <v>Medium</v>
      </c>
      <c r="Q4777" t="str">
        <f t="shared" si="742"/>
        <v>High</v>
      </c>
      <c r="R4777" t="s">
        <v>3317</v>
      </c>
      <c r="S4777" s="4">
        <f t="shared" ca="1" si="743"/>
        <v>1212</v>
      </c>
      <c r="T4777">
        <f t="shared" si="744"/>
        <v>1</v>
      </c>
      <c r="U4777">
        <f t="shared" si="745"/>
        <v>2</v>
      </c>
      <c r="V4777">
        <f t="shared" si="746"/>
        <v>3</v>
      </c>
      <c r="W4777">
        <f t="shared" si="747"/>
        <v>1</v>
      </c>
      <c r="X4777">
        <f t="shared" si="748"/>
        <v>1.7000000000000002</v>
      </c>
      <c r="Y4777" t="str">
        <f t="shared" si="749"/>
        <v>Monitor</v>
      </c>
    </row>
    <row r="4778" spans="1:25" x14ac:dyDescent="0.35">
      <c r="A4778" t="s">
        <v>41</v>
      </c>
      <c r="B4778" t="s">
        <v>54</v>
      </c>
      <c r="C4778" t="s">
        <v>55</v>
      </c>
      <c r="D4778" t="s">
        <v>610</v>
      </c>
      <c r="E4778">
        <v>80859538</v>
      </c>
      <c r="F4778" t="s">
        <v>2991</v>
      </c>
      <c r="G4778" s="3">
        <v>46893</v>
      </c>
      <c r="H4778">
        <v>36</v>
      </c>
      <c r="I4778">
        <v>65</v>
      </c>
      <c r="J4778">
        <v>52</v>
      </c>
      <c r="K4778" s="4">
        <v>8667.8799999999992</v>
      </c>
      <c r="L4778" s="4">
        <v>76.142857142857139</v>
      </c>
      <c r="M4778" s="4">
        <v>0.68292682926829273</v>
      </c>
      <c r="N4778" t="s">
        <v>25</v>
      </c>
      <c r="O4778" t="str">
        <f t="shared" si="740"/>
        <v>Low</v>
      </c>
      <c r="P4778" t="str">
        <f t="shared" si="741"/>
        <v>Low</v>
      </c>
      <c r="Q4778" t="str">
        <f t="shared" si="742"/>
        <v>Low</v>
      </c>
      <c r="R4778" t="s">
        <v>3317</v>
      </c>
      <c r="S4778" s="4">
        <f t="shared" ca="1" si="743"/>
        <v>696</v>
      </c>
      <c r="T4778">
        <f t="shared" si="744"/>
        <v>1</v>
      </c>
      <c r="U4778">
        <f t="shared" si="745"/>
        <v>1</v>
      </c>
      <c r="V4778">
        <f t="shared" si="746"/>
        <v>1</v>
      </c>
      <c r="W4778">
        <f t="shared" si="747"/>
        <v>1</v>
      </c>
      <c r="X4778">
        <f t="shared" si="748"/>
        <v>0.99999999999999989</v>
      </c>
      <c r="Y4778" t="str">
        <f t="shared" si="749"/>
        <v>Healthy</v>
      </c>
    </row>
    <row r="4779" spans="1:25" x14ac:dyDescent="0.35">
      <c r="A4779" t="s">
        <v>20</v>
      </c>
      <c r="B4779" t="s">
        <v>21</v>
      </c>
      <c r="C4779" t="s">
        <v>133</v>
      </c>
      <c r="D4779" t="s">
        <v>2992</v>
      </c>
      <c r="E4779">
        <v>80813351</v>
      </c>
      <c r="F4779" t="s">
        <v>2993</v>
      </c>
      <c r="G4779" s="3">
        <v>47026</v>
      </c>
      <c r="H4779">
        <v>36</v>
      </c>
      <c r="I4779">
        <v>77</v>
      </c>
      <c r="J4779">
        <v>12</v>
      </c>
      <c r="K4779" s="4">
        <v>64539.72</v>
      </c>
      <c r="L4779" s="4">
        <v>26</v>
      </c>
      <c r="M4779" s="4">
        <v>0.46153846153846156</v>
      </c>
      <c r="N4779" t="s">
        <v>25</v>
      </c>
      <c r="O4779" t="str">
        <f t="shared" si="740"/>
        <v>Low</v>
      </c>
      <c r="P4779" t="str">
        <f t="shared" si="741"/>
        <v>Low</v>
      </c>
      <c r="Q4779" t="str">
        <f t="shared" si="742"/>
        <v>Low</v>
      </c>
      <c r="R4779" t="s">
        <v>3317</v>
      </c>
      <c r="S4779" s="4">
        <f t="shared" ca="1" si="743"/>
        <v>829</v>
      </c>
      <c r="T4779">
        <f t="shared" si="744"/>
        <v>1</v>
      </c>
      <c r="U4779">
        <f t="shared" si="745"/>
        <v>1</v>
      </c>
      <c r="V4779">
        <f t="shared" si="746"/>
        <v>1</v>
      </c>
      <c r="W4779">
        <f t="shared" si="747"/>
        <v>1</v>
      </c>
      <c r="X4779">
        <f t="shared" si="748"/>
        <v>0.99999999999999989</v>
      </c>
      <c r="Y4779" t="str">
        <f t="shared" si="749"/>
        <v>Healthy</v>
      </c>
    </row>
    <row r="4780" spans="1:25" x14ac:dyDescent="0.35">
      <c r="A4780" t="s">
        <v>20</v>
      </c>
      <c r="B4780" t="s">
        <v>21</v>
      </c>
      <c r="C4780" t="s">
        <v>133</v>
      </c>
      <c r="D4780" t="s">
        <v>2992</v>
      </c>
      <c r="E4780">
        <v>80813351</v>
      </c>
      <c r="F4780" t="s">
        <v>2993</v>
      </c>
      <c r="G4780" s="3">
        <v>47054</v>
      </c>
      <c r="H4780">
        <v>36</v>
      </c>
      <c r="I4780">
        <v>80</v>
      </c>
      <c r="J4780">
        <v>24</v>
      </c>
      <c r="K4780" s="4">
        <v>129079.44</v>
      </c>
      <c r="L4780" s="4">
        <v>26</v>
      </c>
      <c r="M4780" s="4">
        <v>0.92307692307692313</v>
      </c>
      <c r="N4780" t="s">
        <v>25</v>
      </c>
      <c r="O4780" t="str">
        <f t="shared" si="740"/>
        <v>Low</v>
      </c>
      <c r="P4780" t="str">
        <f t="shared" si="741"/>
        <v>Low</v>
      </c>
      <c r="Q4780" t="str">
        <f t="shared" si="742"/>
        <v>Low</v>
      </c>
      <c r="R4780" t="s">
        <v>3310</v>
      </c>
      <c r="S4780" s="4">
        <f t="shared" ca="1" si="743"/>
        <v>857</v>
      </c>
      <c r="T4780">
        <f t="shared" si="744"/>
        <v>1</v>
      </c>
      <c r="U4780">
        <f t="shared" si="745"/>
        <v>1</v>
      </c>
      <c r="V4780">
        <f t="shared" si="746"/>
        <v>1</v>
      </c>
      <c r="W4780">
        <f t="shared" si="747"/>
        <v>2</v>
      </c>
      <c r="X4780">
        <f t="shared" si="748"/>
        <v>1.0999999999999999</v>
      </c>
      <c r="Y4780" t="str">
        <f t="shared" si="749"/>
        <v>Healthy</v>
      </c>
    </row>
    <row r="4781" spans="1:25" x14ac:dyDescent="0.35">
      <c r="A4781" t="s">
        <v>41</v>
      </c>
      <c r="B4781" t="s">
        <v>54</v>
      </c>
      <c r="C4781" t="s">
        <v>87</v>
      </c>
      <c r="D4781" t="s">
        <v>95</v>
      </c>
      <c r="E4781">
        <v>80859539</v>
      </c>
      <c r="F4781" t="s">
        <v>2994</v>
      </c>
      <c r="G4781" s="3">
        <v>46917</v>
      </c>
      <c r="H4781">
        <v>36</v>
      </c>
      <c r="I4781">
        <v>67</v>
      </c>
      <c r="J4781">
        <v>12</v>
      </c>
      <c r="K4781" s="4">
        <v>11519.64</v>
      </c>
      <c r="L4781" s="4">
        <v>1.7142857142857142</v>
      </c>
      <c r="M4781" s="4">
        <v>7</v>
      </c>
      <c r="N4781" t="s">
        <v>19</v>
      </c>
      <c r="O4781" t="str">
        <f t="shared" si="740"/>
        <v>Low</v>
      </c>
      <c r="P4781" t="str">
        <f t="shared" si="741"/>
        <v>Medium</v>
      </c>
      <c r="Q4781" t="str">
        <f t="shared" si="742"/>
        <v>High</v>
      </c>
      <c r="R4781" t="s">
        <v>3317</v>
      </c>
      <c r="S4781" s="4">
        <f t="shared" ca="1" si="743"/>
        <v>720</v>
      </c>
      <c r="T4781">
        <f t="shared" si="744"/>
        <v>1</v>
      </c>
      <c r="U4781">
        <f t="shared" si="745"/>
        <v>2</v>
      </c>
      <c r="V4781">
        <f t="shared" si="746"/>
        <v>3</v>
      </c>
      <c r="W4781">
        <f t="shared" si="747"/>
        <v>1</v>
      </c>
      <c r="X4781">
        <f t="shared" si="748"/>
        <v>1.7000000000000002</v>
      </c>
      <c r="Y4781" t="str">
        <f t="shared" si="749"/>
        <v>Monitor</v>
      </c>
    </row>
    <row r="4782" spans="1:25" x14ac:dyDescent="0.35">
      <c r="A4782" t="s">
        <v>20</v>
      </c>
      <c r="B4782" t="s">
        <v>21</v>
      </c>
      <c r="C4782" t="s">
        <v>133</v>
      </c>
      <c r="D4782" t="s">
        <v>2992</v>
      </c>
      <c r="E4782">
        <v>80813351</v>
      </c>
      <c r="F4782" t="s">
        <v>2993</v>
      </c>
      <c r="G4782" s="3">
        <v>46803</v>
      </c>
      <c r="H4782">
        <v>36</v>
      </c>
      <c r="I4782">
        <v>57</v>
      </c>
      <c r="J4782">
        <v>4</v>
      </c>
      <c r="K4782" s="4">
        <v>21513.24</v>
      </c>
      <c r="L4782" s="4">
        <v>26</v>
      </c>
      <c r="M4782" s="4">
        <v>0.15384615384615385</v>
      </c>
      <c r="N4782" t="s">
        <v>25</v>
      </c>
      <c r="O4782" t="str">
        <f t="shared" si="740"/>
        <v>Low</v>
      </c>
      <c r="P4782" t="str">
        <f t="shared" si="741"/>
        <v>Low</v>
      </c>
      <c r="Q4782" t="str">
        <f t="shared" si="742"/>
        <v>Low</v>
      </c>
      <c r="R4782" t="s">
        <v>3317</v>
      </c>
      <c r="S4782" s="4">
        <f t="shared" ca="1" si="743"/>
        <v>606</v>
      </c>
      <c r="T4782">
        <f t="shared" si="744"/>
        <v>1</v>
      </c>
      <c r="U4782">
        <f t="shared" si="745"/>
        <v>1</v>
      </c>
      <c r="V4782">
        <f t="shared" si="746"/>
        <v>1</v>
      </c>
      <c r="W4782">
        <f t="shared" si="747"/>
        <v>1</v>
      </c>
      <c r="X4782">
        <f t="shared" si="748"/>
        <v>0.99999999999999989</v>
      </c>
      <c r="Y4782" t="str">
        <f t="shared" si="749"/>
        <v>Healthy</v>
      </c>
    </row>
    <row r="4783" spans="1:25" x14ac:dyDescent="0.35">
      <c r="A4783" t="s">
        <v>104</v>
      </c>
      <c r="B4783" t="s">
        <v>105</v>
      </c>
      <c r="C4783" t="s">
        <v>279</v>
      </c>
      <c r="D4783" t="s">
        <v>2995</v>
      </c>
      <c r="E4783">
        <v>80780342</v>
      </c>
      <c r="F4783" t="s">
        <v>2996</v>
      </c>
      <c r="G4783" s="3">
        <v>46659</v>
      </c>
      <c r="H4783">
        <v>24</v>
      </c>
      <c r="I4783">
        <v>65</v>
      </c>
      <c r="J4783">
        <v>10</v>
      </c>
      <c r="K4783" s="4">
        <v>2391.9</v>
      </c>
      <c r="L4783" s="4">
        <v>1275.5714285714287</v>
      </c>
      <c r="M4783" s="4">
        <v>7.8396236980624919E-3</v>
      </c>
      <c r="N4783" t="s">
        <v>25</v>
      </c>
      <c r="O4783" t="str">
        <f t="shared" si="740"/>
        <v>Low</v>
      </c>
      <c r="P4783" t="str">
        <f t="shared" si="741"/>
        <v>Low</v>
      </c>
      <c r="Q4783" t="str">
        <f t="shared" si="742"/>
        <v>Low</v>
      </c>
      <c r="R4783" t="s">
        <v>3317</v>
      </c>
      <c r="S4783" s="4">
        <f t="shared" ca="1" si="743"/>
        <v>462</v>
      </c>
      <c r="T4783">
        <f t="shared" si="744"/>
        <v>1</v>
      </c>
      <c r="U4783">
        <f t="shared" si="745"/>
        <v>1</v>
      </c>
      <c r="V4783">
        <f t="shared" si="746"/>
        <v>1</v>
      </c>
      <c r="W4783">
        <f t="shared" si="747"/>
        <v>1</v>
      </c>
      <c r="X4783">
        <f t="shared" si="748"/>
        <v>0.99999999999999989</v>
      </c>
      <c r="Y4783" t="str">
        <f t="shared" si="749"/>
        <v>Healthy</v>
      </c>
    </row>
    <row r="4784" spans="1:25" x14ac:dyDescent="0.35">
      <c r="A4784" t="s">
        <v>41</v>
      </c>
      <c r="B4784" t="s">
        <v>54</v>
      </c>
      <c r="C4784" t="s">
        <v>55</v>
      </c>
      <c r="D4784" t="s">
        <v>2997</v>
      </c>
      <c r="E4784">
        <v>80859541</v>
      </c>
      <c r="F4784" t="s">
        <v>2998</v>
      </c>
      <c r="G4784" s="3">
        <v>46942</v>
      </c>
      <c r="H4784">
        <v>36</v>
      </c>
      <c r="I4784">
        <v>69</v>
      </c>
      <c r="J4784">
        <v>10</v>
      </c>
      <c r="K4784" s="4">
        <v>8116.9</v>
      </c>
      <c r="L4784" s="4">
        <v>86.714285714285708</v>
      </c>
      <c r="M4784" s="4">
        <v>0.11532125205930809</v>
      </c>
      <c r="N4784" t="s">
        <v>25</v>
      </c>
      <c r="O4784" t="str">
        <f t="shared" si="740"/>
        <v>Low</v>
      </c>
      <c r="P4784" t="str">
        <f t="shared" si="741"/>
        <v>Low</v>
      </c>
      <c r="Q4784" t="str">
        <f t="shared" si="742"/>
        <v>Low</v>
      </c>
      <c r="R4784" t="s">
        <v>3317</v>
      </c>
      <c r="S4784" s="4">
        <f t="shared" ca="1" si="743"/>
        <v>745</v>
      </c>
      <c r="T4784">
        <f t="shared" si="744"/>
        <v>1</v>
      </c>
      <c r="U4784">
        <f t="shared" si="745"/>
        <v>1</v>
      </c>
      <c r="V4784">
        <f t="shared" si="746"/>
        <v>1</v>
      </c>
      <c r="W4784">
        <f t="shared" si="747"/>
        <v>1</v>
      </c>
      <c r="X4784">
        <f t="shared" si="748"/>
        <v>0.99999999999999989</v>
      </c>
      <c r="Y4784" t="str">
        <f t="shared" si="749"/>
        <v>Healthy</v>
      </c>
    </row>
    <row r="4785" spans="1:25" x14ac:dyDescent="0.35">
      <c r="A4785" t="s">
        <v>41</v>
      </c>
      <c r="B4785" t="s">
        <v>42</v>
      </c>
      <c r="C4785" t="s">
        <v>43</v>
      </c>
      <c r="D4785" t="s">
        <v>2707</v>
      </c>
      <c r="E4785">
        <v>80871620</v>
      </c>
      <c r="F4785" t="s">
        <v>2999</v>
      </c>
      <c r="G4785" s="3">
        <v>46850</v>
      </c>
      <c r="H4785">
        <v>36</v>
      </c>
      <c r="I4785">
        <v>61</v>
      </c>
      <c r="J4785">
        <v>111</v>
      </c>
      <c r="K4785" s="4">
        <v>16951.919999999998</v>
      </c>
      <c r="L4785" s="4">
        <v>8.1428571428571423</v>
      </c>
      <c r="M4785" s="4">
        <v>13.631578947368421</v>
      </c>
      <c r="N4785" t="s">
        <v>19</v>
      </c>
      <c r="O4785" t="str">
        <f t="shared" si="740"/>
        <v>Low</v>
      </c>
      <c r="P4785" t="str">
        <f t="shared" si="741"/>
        <v>High</v>
      </c>
      <c r="Q4785" t="str">
        <f t="shared" si="742"/>
        <v>Medium</v>
      </c>
      <c r="R4785" t="s">
        <v>3317</v>
      </c>
      <c r="S4785" s="4">
        <f t="shared" ca="1" si="743"/>
        <v>653</v>
      </c>
      <c r="T4785">
        <f t="shared" si="744"/>
        <v>1</v>
      </c>
      <c r="U4785">
        <f t="shared" si="745"/>
        <v>3</v>
      </c>
      <c r="V4785">
        <f t="shared" si="746"/>
        <v>2</v>
      </c>
      <c r="W4785">
        <f t="shared" si="747"/>
        <v>1</v>
      </c>
      <c r="X4785">
        <f t="shared" si="748"/>
        <v>1.7999999999999998</v>
      </c>
      <c r="Y4785" t="str">
        <f t="shared" si="749"/>
        <v>Monitor</v>
      </c>
    </row>
    <row r="4786" spans="1:25" x14ac:dyDescent="0.35">
      <c r="A4786" t="s">
        <v>104</v>
      </c>
      <c r="B4786" t="s">
        <v>105</v>
      </c>
      <c r="C4786" t="s">
        <v>279</v>
      </c>
      <c r="D4786" t="s">
        <v>2995</v>
      </c>
      <c r="E4786">
        <v>80780342</v>
      </c>
      <c r="F4786" t="s">
        <v>2996</v>
      </c>
      <c r="G4786" s="3">
        <v>46808</v>
      </c>
      <c r="H4786">
        <v>24</v>
      </c>
      <c r="I4786">
        <v>86</v>
      </c>
      <c r="J4786">
        <v>163</v>
      </c>
      <c r="K4786" s="4">
        <v>38987.97</v>
      </c>
      <c r="L4786" s="4">
        <v>1275.5714285714287</v>
      </c>
      <c r="M4786" s="4">
        <v>0.12778586627841862</v>
      </c>
      <c r="N4786" t="s">
        <v>25</v>
      </c>
      <c r="O4786" t="str">
        <f t="shared" si="740"/>
        <v>Low</v>
      </c>
      <c r="P4786" t="str">
        <f t="shared" si="741"/>
        <v>Low</v>
      </c>
      <c r="Q4786" t="str">
        <f t="shared" si="742"/>
        <v>Low</v>
      </c>
      <c r="R4786" t="s">
        <v>3317</v>
      </c>
      <c r="S4786" s="4">
        <f t="shared" ca="1" si="743"/>
        <v>611</v>
      </c>
      <c r="T4786">
        <f t="shared" si="744"/>
        <v>1</v>
      </c>
      <c r="U4786">
        <f t="shared" si="745"/>
        <v>1</v>
      </c>
      <c r="V4786">
        <f t="shared" si="746"/>
        <v>1</v>
      </c>
      <c r="W4786">
        <f t="shared" si="747"/>
        <v>1</v>
      </c>
      <c r="X4786">
        <f t="shared" si="748"/>
        <v>0.99999999999999989</v>
      </c>
      <c r="Y4786" t="str">
        <f t="shared" si="749"/>
        <v>Healthy</v>
      </c>
    </row>
    <row r="4787" spans="1:25" x14ac:dyDescent="0.35">
      <c r="A4787" t="s">
        <v>104</v>
      </c>
      <c r="B4787" t="s">
        <v>105</v>
      </c>
      <c r="C4787" t="s">
        <v>279</v>
      </c>
      <c r="D4787" t="s">
        <v>2995</v>
      </c>
      <c r="E4787">
        <v>80780342</v>
      </c>
      <c r="F4787" t="s">
        <v>2996</v>
      </c>
      <c r="G4787" s="3">
        <v>46579</v>
      </c>
      <c r="H4787">
        <v>24</v>
      </c>
      <c r="I4787">
        <v>54</v>
      </c>
      <c r="J4787">
        <v>11</v>
      </c>
      <c r="K4787" s="4">
        <v>2631.09</v>
      </c>
      <c r="L4787" s="4">
        <v>1275.5714285714287</v>
      </c>
      <c r="M4787" s="4">
        <v>8.6235860678687409E-3</v>
      </c>
      <c r="N4787" t="s">
        <v>25</v>
      </c>
      <c r="O4787" t="str">
        <f t="shared" si="740"/>
        <v>Low</v>
      </c>
      <c r="P4787" t="str">
        <f t="shared" si="741"/>
        <v>Low</v>
      </c>
      <c r="Q4787" t="str">
        <f t="shared" si="742"/>
        <v>Low</v>
      </c>
      <c r="R4787" t="s">
        <v>3317</v>
      </c>
      <c r="S4787" s="4">
        <f t="shared" ca="1" si="743"/>
        <v>382</v>
      </c>
      <c r="T4787">
        <f t="shared" si="744"/>
        <v>1</v>
      </c>
      <c r="U4787">
        <f t="shared" si="745"/>
        <v>1</v>
      </c>
      <c r="V4787">
        <f t="shared" si="746"/>
        <v>1</v>
      </c>
      <c r="W4787">
        <f t="shared" si="747"/>
        <v>1</v>
      </c>
      <c r="X4787">
        <f t="shared" si="748"/>
        <v>0.99999999999999989</v>
      </c>
      <c r="Y4787" t="str">
        <f t="shared" si="749"/>
        <v>Healthy</v>
      </c>
    </row>
    <row r="4788" spans="1:25" x14ac:dyDescent="0.35">
      <c r="A4788" t="s">
        <v>41</v>
      </c>
      <c r="B4788" t="s">
        <v>54</v>
      </c>
      <c r="C4788" t="s">
        <v>55</v>
      </c>
      <c r="D4788" t="s">
        <v>153</v>
      </c>
      <c r="E4788">
        <v>80875125</v>
      </c>
      <c r="F4788" t="s">
        <v>3000</v>
      </c>
      <c r="G4788" s="3">
        <v>46950</v>
      </c>
      <c r="H4788">
        <v>36</v>
      </c>
      <c r="I4788">
        <v>70</v>
      </c>
      <c r="J4788">
        <v>6</v>
      </c>
      <c r="K4788" s="4">
        <v>5137.5600000000004</v>
      </c>
      <c r="L4788" s="4">
        <v>212.28571428571428</v>
      </c>
      <c r="M4788" s="4">
        <v>2.8263795423956933E-2</v>
      </c>
      <c r="N4788" t="s">
        <v>25</v>
      </c>
      <c r="O4788" t="str">
        <f t="shared" si="740"/>
        <v>Low</v>
      </c>
      <c r="P4788" t="str">
        <f t="shared" si="741"/>
        <v>Low</v>
      </c>
      <c r="Q4788" t="str">
        <f t="shared" si="742"/>
        <v>Low</v>
      </c>
      <c r="R4788" t="s">
        <v>3317</v>
      </c>
      <c r="S4788" s="4">
        <f t="shared" ca="1" si="743"/>
        <v>753</v>
      </c>
      <c r="T4788">
        <f t="shared" si="744"/>
        <v>1</v>
      </c>
      <c r="U4788">
        <f t="shared" si="745"/>
        <v>1</v>
      </c>
      <c r="V4788">
        <f t="shared" si="746"/>
        <v>1</v>
      </c>
      <c r="W4788">
        <f t="shared" si="747"/>
        <v>1</v>
      </c>
      <c r="X4788">
        <f t="shared" si="748"/>
        <v>0.99999999999999989</v>
      </c>
      <c r="Y4788" t="str">
        <f t="shared" si="749"/>
        <v>Healthy</v>
      </c>
    </row>
    <row r="4789" spans="1:25" x14ac:dyDescent="0.35">
      <c r="A4789" t="s">
        <v>104</v>
      </c>
      <c r="B4789" t="s">
        <v>105</v>
      </c>
      <c r="C4789" t="s">
        <v>279</v>
      </c>
      <c r="D4789" t="s">
        <v>2995</v>
      </c>
      <c r="E4789">
        <v>80780342</v>
      </c>
      <c r="F4789" t="s">
        <v>2996</v>
      </c>
      <c r="G4789" s="3">
        <v>46604</v>
      </c>
      <c r="H4789">
        <v>24</v>
      </c>
      <c r="I4789">
        <v>57</v>
      </c>
      <c r="J4789">
        <v>34</v>
      </c>
      <c r="K4789" s="4">
        <v>8132.46</v>
      </c>
      <c r="L4789" s="4">
        <v>1275.5714285714287</v>
      </c>
      <c r="M4789" s="4">
        <v>2.6654720573412474E-2</v>
      </c>
      <c r="N4789" t="s">
        <v>25</v>
      </c>
      <c r="O4789" t="str">
        <f t="shared" si="740"/>
        <v>Low</v>
      </c>
      <c r="P4789" t="str">
        <f t="shared" si="741"/>
        <v>Low</v>
      </c>
      <c r="Q4789" t="str">
        <f t="shared" si="742"/>
        <v>Low</v>
      </c>
      <c r="R4789" t="s">
        <v>3317</v>
      </c>
      <c r="S4789" s="4">
        <f t="shared" ca="1" si="743"/>
        <v>407</v>
      </c>
      <c r="T4789">
        <f t="shared" si="744"/>
        <v>1</v>
      </c>
      <c r="U4789">
        <f t="shared" si="745"/>
        <v>1</v>
      </c>
      <c r="V4789">
        <f t="shared" si="746"/>
        <v>1</v>
      </c>
      <c r="W4789">
        <f t="shared" si="747"/>
        <v>1</v>
      </c>
      <c r="X4789">
        <f t="shared" si="748"/>
        <v>0.99999999999999989</v>
      </c>
      <c r="Y4789" t="str">
        <f t="shared" si="749"/>
        <v>Healthy</v>
      </c>
    </row>
    <row r="4790" spans="1:25" x14ac:dyDescent="0.35">
      <c r="A4790" t="s">
        <v>41</v>
      </c>
      <c r="B4790" t="s">
        <v>54</v>
      </c>
      <c r="C4790" t="s">
        <v>55</v>
      </c>
      <c r="D4790" t="s">
        <v>153</v>
      </c>
      <c r="E4790">
        <v>80875125</v>
      </c>
      <c r="F4790" t="s">
        <v>3000</v>
      </c>
      <c r="G4790" s="3">
        <v>46948</v>
      </c>
      <c r="H4790">
        <v>36</v>
      </c>
      <c r="I4790">
        <v>70</v>
      </c>
      <c r="J4790">
        <v>11</v>
      </c>
      <c r="K4790" s="4">
        <v>9418.86</v>
      </c>
      <c r="L4790" s="4">
        <v>212.28571428571428</v>
      </c>
      <c r="M4790" s="4">
        <v>5.1816958277254375E-2</v>
      </c>
      <c r="N4790" t="s">
        <v>25</v>
      </c>
      <c r="O4790" t="str">
        <f t="shared" si="740"/>
        <v>Low</v>
      </c>
      <c r="P4790" t="str">
        <f t="shared" si="741"/>
        <v>Low</v>
      </c>
      <c r="Q4790" t="str">
        <f t="shared" si="742"/>
        <v>Low</v>
      </c>
      <c r="R4790" t="s">
        <v>3317</v>
      </c>
      <c r="S4790" s="4">
        <f t="shared" ca="1" si="743"/>
        <v>751</v>
      </c>
      <c r="T4790">
        <f t="shared" si="744"/>
        <v>1</v>
      </c>
      <c r="U4790">
        <f t="shared" si="745"/>
        <v>1</v>
      </c>
      <c r="V4790">
        <f t="shared" si="746"/>
        <v>1</v>
      </c>
      <c r="W4790">
        <f t="shared" si="747"/>
        <v>1</v>
      </c>
      <c r="X4790">
        <f t="shared" si="748"/>
        <v>0.99999999999999989</v>
      </c>
      <c r="Y4790" t="str">
        <f t="shared" si="749"/>
        <v>Healthy</v>
      </c>
    </row>
    <row r="4791" spans="1:25" x14ac:dyDescent="0.35">
      <c r="A4791" t="s">
        <v>104</v>
      </c>
      <c r="B4791" t="s">
        <v>105</v>
      </c>
      <c r="C4791" t="s">
        <v>279</v>
      </c>
      <c r="D4791" t="s">
        <v>2995</v>
      </c>
      <c r="E4791">
        <v>80780342</v>
      </c>
      <c r="F4791" t="s">
        <v>2996</v>
      </c>
      <c r="G4791" s="3">
        <v>46834</v>
      </c>
      <c r="H4791">
        <v>24</v>
      </c>
      <c r="I4791">
        <v>89</v>
      </c>
      <c r="J4791">
        <v>24</v>
      </c>
      <c r="K4791" s="4">
        <v>5740.56</v>
      </c>
      <c r="L4791" s="4">
        <v>1275.5714285714287</v>
      </c>
      <c r="M4791" s="4">
        <v>1.8815096875349983E-2</v>
      </c>
      <c r="N4791" t="s">
        <v>25</v>
      </c>
      <c r="O4791" t="str">
        <f t="shared" si="740"/>
        <v>Low</v>
      </c>
      <c r="P4791" t="str">
        <f t="shared" si="741"/>
        <v>Low</v>
      </c>
      <c r="Q4791" t="str">
        <f t="shared" si="742"/>
        <v>Low</v>
      </c>
      <c r="R4791" t="s">
        <v>3317</v>
      </c>
      <c r="S4791" s="4">
        <f t="shared" ca="1" si="743"/>
        <v>637</v>
      </c>
      <c r="T4791">
        <f t="shared" si="744"/>
        <v>1</v>
      </c>
      <c r="U4791">
        <f t="shared" si="745"/>
        <v>1</v>
      </c>
      <c r="V4791">
        <f t="shared" si="746"/>
        <v>1</v>
      </c>
      <c r="W4791">
        <f t="shared" si="747"/>
        <v>1</v>
      </c>
      <c r="X4791">
        <f t="shared" si="748"/>
        <v>0.99999999999999989</v>
      </c>
      <c r="Y4791" t="str">
        <f t="shared" si="749"/>
        <v>Healthy</v>
      </c>
    </row>
    <row r="4792" spans="1:25" x14ac:dyDescent="0.35">
      <c r="A4792" t="s">
        <v>29</v>
      </c>
      <c r="B4792" t="s">
        <v>30</v>
      </c>
      <c r="C4792" t="s">
        <v>147</v>
      </c>
      <c r="D4792" t="s">
        <v>1522</v>
      </c>
      <c r="E4792">
        <v>80818103</v>
      </c>
      <c r="F4792" t="s">
        <v>3001</v>
      </c>
      <c r="G4792" s="3">
        <v>47175</v>
      </c>
      <c r="H4792">
        <v>36</v>
      </c>
      <c r="I4792">
        <v>91</v>
      </c>
      <c r="J4792">
        <v>5</v>
      </c>
      <c r="K4792" s="4">
        <v>7195.75</v>
      </c>
      <c r="L4792" s="4">
        <v>13.714285714285714</v>
      </c>
      <c r="M4792" s="4">
        <v>0.36458333333333337</v>
      </c>
      <c r="N4792" t="s">
        <v>25</v>
      </c>
      <c r="O4792" t="str">
        <f t="shared" si="740"/>
        <v>Low</v>
      </c>
      <c r="P4792" t="str">
        <f t="shared" si="741"/>
        <v>Low</v>
      </c>
      <c r="Q4792" t="str">
        <f t="shared" si="742"/>
        <v>Medium</v>
      </c>
      <c r="R4792" t="s">
        <v>3317</v>
      </c>
      <c r="S4792" s="4">
        <f t="shared" ca="1" si="743"/>
        <v>978</v>
      </c>
      <c r="T4792">
        <f t="shared" si="744"/>
        <v>1</v>
      </c>
      <c r="U4792">
        <f t="shared" si="745"/>
        <v>1</v>
      </c>
      <c r="V4792">
        <f t="shared" si="746"/>
        <v>2</v>
      </c>
      <c r="W4792">
        <f t="shared" si="747"/>
        <v>1</v>
      </c>
      <c r="X4792">
        <f t="shared" si="748"/>
        <v>1.2000000000000002</v>
      </c>
      <c r="Y4792" t="str">
        <f t="shared" si="749"/>
        <v>Healthy</v>
      </c>
    </row>
    <row r="4793" spans="1:25" x14ac:dyDescent="0.35">
      <c r="A4793" t="s">
        <v>104</v>
      </c>
      <c r="B4793" t="s">
        <v>105</v>
      </c>
      <c r="C4793" t="s">
        <v>279</v>
      </c>
      <c r="D4793" t="s">
        <v>2995</v>
      </c>
      <c r="E4793">
        <v>80780342</v>
      </c>
      <c r="F4793" t="s">
        <v>2996</v>
      </c>
      <c r="G4793" s="3">
        <v>46832</v>
      </c>
      <c r="H4793">
        <v>24</v>
      </c>
      <c r="I4793">
        <v>89</v>
      </c>
      <c r="J4793">
        <v>36</v>
      </c>
      <c r="K4793" s="4">
        <v>8610.84</v>
      </c>
      <c r="L4793" s="4">
        <v>1275.5714285714287</v>
      </c>
      <c r="M4793" s="4">
        <v>2.8222645313024972E-2</v>
      </c>
      <c r="N4793" t="s">
        <v>25</v>
      </c>
      <c r="O4793" t="str">
        <f t="shared" si="740"/>
        <v>Low</v>
      </c>
      <c r="P4793" t="str">
        <f t="shared" si="741"/>
        <v>Low</v>
      </c>
      <c r="Q4793" t="str">
        <f t="shared" si="742"/>
        <v>Low</v>
      </c>
      <c r="R4793" t="s">
        <v>3317</v>
      </c>
      <c r="S4793" s="4">
        <f t="shared" ca="1" si="743"/>
        <v>635</v>
      </c>
      <c r="T4793">
        <f t="shared" si="744"/>
        <v>1</v>
      </c>
      <c r="U4793">
        <f t="shared" si="745"/>
        <v>1</v>
      </c>
      <c r="V4793">
        <f t="shared" si="746"/>
        <v>1</v>
      </c>
      <c r="W4793">
        <f t="shared" si="747"/>
        <v>1</v>
      </c>
      <c r="X4793">
        <f t="shared" si="748"/>
        <v>0.99999999999999989</v>
      </c>
      <c r="Y4793" t="str">
        <f t="shared" si="749"/>
        <v>Healthy</v>
      </c>
    </row>
    <row r="4794" spans="1:25" x14ac:dyDescent="0.35">
      <c r="A4794" t="s">
        <v>29</v>
      </c>
      <c r="B4794" t="s">
        <v>30</v>
      </c>
      <c r="C4794" t="s">
        <v>147</v>
      </c>
      <c r="D4794" t="s">
        <v>1522</v>
      </c>
      <c r="E4794">
        <v>80818103</v>
      </c>
      <c r="F4794" t="s">
        <v>3001</v>
      </c>
      <c r="G4794" s="3">
        <v>47182</v>
      </c>
      <c r="H4794">
        <v>36</v>
      </c>
      <c r="I4794">
        <v>92</v>
      </c>
      <c r="J4794">
        <v>12</v>
      </c>
      <c r="K4794" s="4">
        <v>17269.8</v>
      </c>
      <c r="L4794" s="4">
        <v>13.714285714285714</v>
      </c>
      <c r="M4794" s="4">
        <v>0.875</v>
      </c>
      <c r="N4794" t="s">
        <v>25</v>
      </c>
      <c r="O4794" t="str">
        <f t="shared" si="740"/>
        <v>Low</v>
      </c>
      <c r="P4794" t="str">
        <f t="shared" si="741"/>
        <v>Low</v>
      </c>
      <c r="Q4794" t="str">
        <f t="shared" si="742"/>
        <v>Medium</v>
      </c>
      <c r="R4794" t="s">
        <v>3317</v>
      </c>
      <c r="S4794" s="4">
        <f t="shared" ca="1" si="743"/>
        <v>985</v>
      </c>
      <c r="T4794">
        <f t="shared" si="744"/>
        <v>1</v>
      </c>
      <c r="U4794">
        <f t="shared" si="745"/>
        <v>1</v>
      </c>
      <c r="V4794">
        <f t="shared" si="746"/>
        <v>2</v>
      </c>
      <c r="W4794">
        <f t="shared" si="747"/>
        <v>1</v>
      </c>
      <c r="X4794">
        <f t="shared" si="748"/>
        <v>1.2000000000000002</v>
      </c>
      <c r="Y4794" t="str">
        <f t="shared" si="749"/>
        <v>Healthy</v>
      </c>
    </row>
    <row r="4795" spans="1:25" x14ac:dyDescent="0.35">
      <c r="A4795" t="s">
        <v>29</v>
      </c>
      <c r="B4795" t="s">
        <v>30</v>
      </c>
      <c r="C4795" t="s">
        <v>147</v>
      </c>
      <c r="D4795" t="s">
        <v>1522</v>
      </c>
      <c r="E4795">
        <v>80818103</v>
      </c>
      <c r="F4795" t="s">
        <v>3001</v>
      </c>
      <c r="G4795" s="3">
        <v>47124</v>
      </c>
      <c r="H4795">
        <v>36</v>
      </c>
      <c r="I4795">
        <v>86</v>
      </c>
      <c r="J4795">
        <v>12</v>
      </c>
      <c r="K4795" s="4">
        <v>17269.8</v>
      </c>
      <c r="L4795" s="4">
        <v>13.714285714285714</v>
      </c>
      <c r="M4795" s="4">
        <v>0.875</v>
      </c>
      <c r="N4795" t="s">
        <v>25</v>
      </c>
      <c r="O4795" t="str">
        <f t="shared" si="740"/>
        <v>Low</v>
      </c>
      <c r="P4795" t="str">
        <f t="shared" si="741"/>
        <v>Low</v>
      </c>
      <c r="Q4795" t="str">
        <f t="shared" si="742"/>
        <v>Medium</v>
      </c>
      <c r="R4795" t="s">
        <v>3317</v>
      </c>
      <c r="S4795" s="4">
        <f t="shared" ca="1" si="743"/>
        <v>927</v>
      </c>
      <c r="T4795">
        <f t="shared" si="744"/>
        <v>1</v>
      </c>
      <c r="U4795">
        <f t="shared" si="745"/>
        <v>1</v>
      </c>
      <c r="V4795">
        <f t="shared" si="746"/>
        <v>2</v>
      </c>
      <c r="W4795">
        <f t="shared" si="747"/>
        <v>1</v>
      </c>
      <c r="X4795">
        <f t="shared" si="748"/>
        <v>1.2000000000000002</v>
      </c>
      <c r="Y4795" t="str">
        <f t="shared" si="749"/>
        <v>Healthy</v>
      </c>
    </row>
    <row r="4796" spans="1:25" x14ac:dyDescent="0.35">
      <c r="A4796" t="s">
        <v>71</v>
      </c>
      <c r="B4796" t="s">
        <v>72</v>
      </c>
      <c r="C4796" t="s">
        <v>150</v>
      </c>
      <c r="D4796" t="s">
        <v>2323</v>
      </c>
      <c r="E4796">
        <v>80866576</v>
      </c>
      <c r="F4796" t="s">
        <v>3002</v>
      </c>
      <c r="G4796" s="3">
        <v>47211</v>
      </c>
      <c r="H4796">
        <v>36</v>
      </c>
      <c r="I4796">
        <v>94</v>
      </c>
      <c r="J4796">
        <v>31</v>
      </c>
      <c r="K4796" s="4">
        <v>1339.2</v>
      </c>
      <c r="L4796" s="4">
        <v>465.85714285714283</v>
      </c>
      <c r="M4796" s="4">
        <v>6.6544004906470416E-2</v>
      </c>
      <c r="N4796" t="s">
        <v>25</v>
      </c>
      <c r="O4796" t="str">
        <f t="shared" si="740"/>
        <v>Low</v>
      </c>
      <c r="P4796" t="str">
        <f t="shared" si="741"/>
        <v>Low</v>
      </c>
      <c r="Q4796" t="str">
        <f t="shared" si="742"/>
        <v>Low</v>
      </c>
      <c r="R4796" t="s">
        <v>3317</v>
      </c>
      <c r="S4796" s="4">
        <f t="shared" ca="1" si="743"/>
        <v>1014</v>
      </c>
      <c r="T4796">
        <f t="shared" si="744"/>
        <v>1</v>
      </c>
      <c r="U4796">
        <f t="shared" si="745"/>
        <v>1</v>
      </c>
      <c r="V4796">
        <f t="shared" si="746"/>
        <v>1</v>
      </c>
      <c r="W4796">
        <f t="shared" si="747"/>
        <v>1</v>
      </c>
      <c r="X4796">
        <f t="shared" si="748"/>
        <v>0.99999999999999989</v>
      </c>
      <c r="Y4796" t="str">
        <f t="shared" si="749"/>
        <v>Healthy</v>
      </c>
    </row>
    <row r="4797" spans="1:25" x14ac:dyDescent="0.35">
      <c r="A4797" t="s">
        <v>104</v>
      </c>
      <c r="B4797" t="s">
        <v>105</v>
      </c>
      <c r="C4797" t="s">
        <v>279</v>
      </c>
      <c r="D4797" t="s">
        <v>2995</v>
      </c>
      <c r="E4797">
        <v>80780342</v>
      </c>
      <c r="F4797" t="s">
        <v>2996</v>
      </c>
      <c r="G4797" s="3">
        <v>46759</v>
      </c>
      <c r="H4797">
        <v>24</v>
      </c>
      <c r="I4797">
        <v>79</v>
      </c>
      <c r="J4797">
        <v>6</v>
      </c>
      <c r="K4797" s="4">
        <v>1435.14</v>
      </c>
      <c r="L4797" s="4">
        <v>1275.5714285714287</v>
      </c>
      <c r="M4797" s="4">
        <v>4.7037742188374958E-3</v>
      </c>
      <c r="N4797" t="s">
        <v>25</v>
      </c>
      <c r="O4797" t="str">
        <f t="shared" si="740"/>
        <v>Low</v>
      </c>
      <c r="P4797" t="str">
        <f t="shared" si="741"/>
        <v>Low</v>
      </c>
      <c r="Q4797" t="str">
        <f t="shared" si="742"/>
        <v>Low</v>
      </c>
      <c r="R4797" t="s">
        <v>3317</v>
      </c>
      <c r="S4797" s="4">
        <f t="shared" ca="1" si="743"/>
        <v>562</v>
      </c>
      <c r="T4797">
        <f t="shared" si="744"/>
        <v>1</v>
      </c>
      <c r="U4797">
        <f t="shared" si="745"/>
        <v>1</v>
      </c>
      <c r="V4797">
        <f t="shared" si="746"/>
        <v>1</v>
      </c>
      <c r="W4797">
        <f t="shared" si="747"/>
        <v>1</v>
      </c>
      <c r="X4797">
        <f t="shared" si="748"/>
        <v>0.99999999999999989</v>
      </c>
      <c r="Y4797" t="str">
        <f t="shared" si="749"/>
        <v>Healthy</v>
      </c>
    </row>
    <row r="4798" spans="1:25" x14ac:dyDescent="0.35">
      <c r="A4798" t="s">
        <v>71</v>
      </c>
      <c r="B4798" t="s">
        <v>72</v>
      </c>
      <c r="C4798" t="s">
        <v>150</v>
      </c>
      <c r="D4798" t="s">
        <v>2323</v>
      </c>
      <c r="E4798">
        <v>80866576</v>
      </c>
      <c r="F4798" t="s">
        <v>3002</v>
      </c>
      <c r="G4798" s="3">
        <v>47182</v>
      </c>
      <c r="H4798">
        <v>36</v>
      </c>
      <c r="I4798">
        <v>92</v>
      </c>
      <c r="J4798">
        <v>16</v>
      </c>
      <c r="K4798" s="4">
        <v>691.2</v>
      </c>
      <c r="L4798" s="4">
        <v>465.85714285714283</v>
      </c>
      <c r="M4798" s="4">
        <v>3.4345292854952469E-2</v>
      </c>
      <c r="N4798" t="s">
        <v>25</v>
      </c>
      <c r="O4798" t="str">
        <f t="shared" si="740"/>
        <v>Low</v>
      </c>
      <c r="P4798" t="str">
        <f t="shared" si="741"/>
        <v>Low</v>
      </c>
      <c r="Q4798" t="str">
        <f t="shared" si="742"/>
        <v>Low</v>
      </c>
      <c r="R4798" t="s">
        <v>3317</v>
      </c>
      <c r="S4798" s="4">
        <f t="shared" ca="1" si="743"/>
        <v>985</v>
      </c>
      <c r="T4798">
        <f t="shared" si="744"/>
        <v>1</v>
      </c>
      <c r="U4798">
        <f t="shared" si="745"/>
        <v>1</v>
      </c>
      <c r="V4798">
        <f t="shared" si="746"/>
        <v>1</v>
      </c>
      <c r="W4798">
        <f t="shared" si="747"/>
        <v>1</v>
      </c>
      <c r="X4798">
        <f t="shared" si="748"/>
        <v>0.99999999999999989</v>
      </c>
      <c r="Y4798" t="str">
        <f t="shared" si="749"/>
        <v>Healthy</v>
      </c>
    </row>
    <row r="4799" spans="1:25" x14ac:dyDescent="0.35">
      <c r="A4799" t="s">
        <v>104</v>
      </c>
      <c r="B4799" t="s">
        <v>105</v>
      </c>
      <c r="C4799" t="s">
        <v>279</v>
      </c>
      <c r="D4799" t="s">
        <v>2995</v>
      </c>
      <c r="E4799">
        <v>80780342</v>
      </c>
      <c r="F4799" t="s">
        <v>2996</v>
      </c>
      <c r="G4799" s="3">
        <v>46625</v>
      </c>
      <c r="H4799">
        <v>24</v>
      </c>
      <c r="I4799">
        <v>60</v>
      </c>
      <c r="J4799">
        <v>33</v>
      </c>
      <c r="K4799" s="4">
        <v>7893.27</v>
      </c>
      <c r="L4799" s="4">
        <v>1275.5714285714287</v>
      </c>
      <c r="M4799" s="4">
        <v>2.5870758203606226E-2</v>
      </c>
      <c r="N4799" t="s">
        <v>25</v>
      </c>
      <c r="O4799" t="str">
        <f t="shared" si="740"/>
        <v>Low</v>
      </c>
      <c r="P4799" t="str">
        <f t="shared" si="741"/>
        <v>Low</v>
      </c>
      <c r="Q4799" t="str">
        <f t="shared" si="742"/>
        <v>Low</v>
      </c>
      <c r="R4799" t="s">
        <v>3317</v>
      </c>
      <c r="S4799" s="4">
        <f t="shared" ca="1" si="743"/>
        <v>428</v>
      </c>
      <c r="T4799">
        <f t="shared" si="744"/>
        <v>1</v>
      </c>
      <c r="U4799">
        <f t="shared" si="745"/>
        <v>1</v>
      </c>
      <c r="V4799">
        <f t="shared" si="746"/>
        <v>1</v>
      </c>
      <c r="W4799">
        <f t="shared" si="747"/>
        <v>1</v>
      </c>
      <c r="X4799">
        <f t="shared" si="748"/>
        <v>0.99999999999999989</v>
      </c>
      <c r="Y4799" t="str">
        <f t="shared" si="749"/>
        <v>Healthy</v>
      </c>
    </row>
    <row r="4800" spans="1:25" x14ac:dyDescent="0.35">
      <c r="A4800" t="s">
        <v>104</v>
      </c>
      <c r="B4800" t="s">
        <v>105</v>
      </c>
      <c r="C4800" t="s">
        <v>279</v>
      </c>
      <c r="D4800" t="s">
        <v>2995</v>
      </c>
      <c r="E4800">
        <v>80780342</v>
      </c>
      <c r="F4800" t="s">
        <v>2996</v>
      </c>
      <c r="G4800" s="3">
        <v>46780</v>
      </c>
      <c r="H4800">
        <v>24</v>
      </c>
      <c r="I4800">
        <v>82</v>
      </c>
      <c r="J4800">
        <v>41</v>
      </c>
      <c r="K4800" s="4">
        <v>9806.7900000000009</v>
      </c>
      <c r="L4800" s="4">
        <v>1275.5714285714287</v>
      </c>
      <c r="M4800" s="4">
        <v>3.2142457162056222E-2</v>
      </c>
      <c r="N4800" t="s">
        <v>25</v>
      </c>
      <c r="O4800" t="str">
        <f t="shared" si="740"/>
        <v>Low</v>
      </c>
      <c r="P4800" t="str">
        <f t="shared" si="741"/>
        <v>Low</v>
      </c>
      <c r="Q4800" t="str">
        <f t="shared" si="742"/>
        <v>Low</v>
      </c>
      <c r="R4800" t="s">
        <v>3317</v>
      </c>
      <c r="S4800" s="4">
        <f t="shared" ca="1" si="743"/>
        <v>583</v>
      </c>
      <c r="T4800">
        <f t="shared" si="744"/>
        <v>1</v>
      </c>
      <c r="U4800">
        <f t="shared" si="745"/>
        <v>1</v>
      </c>
      <c r="V4800">
        <f t="shared" si="746"/>
        <v>1</v>
      </c>
      <c r="W4800">
        <f t="shared" si="747"/>
        <v>1</v>
      </c>
      <c r="X4800">
        <f t="shared" si="748"/>
        <v>0.99999999999999989</v>
      </c>
      <c r="Y4800" t="str">
        <f t="shared" si="749"/>
        <v>Healthy</v>
      </c>
    </row>
    <row r="4801" spans="1:25" x14ac:dyDescent="0.35">
      <c r="A4801" t="s">
        <v>90</v>
      </c>
      <c r="B4801" t="s">
        <v>91</v>
      </c>
      <c r="C4801" t="s">
        <v>255</v>
      </c>
      <c r="D4801" t="s">
        <v>256</v>
      </c>
      <c r="E4801">
        <v>80870357</v>
      </c>
      <c r="F4801" t="s">
        <v>3003</v>
      </c>
      <c r="G4801" s="3">
        <v>46836</v>
      </c>
      <c r="H4801">
        <v>24</v>
      </c>
      <c r="I4801">
        <v>89</v>
      </c>
      <c r="J4801">
        <v>423</v>
      </c>
      <c r="K4801" s="4">
        <v>94337.46</v>
      </c>
      <c r="L4801" s="4">
        <v>22325.285714285714</v>
      </c>
      <c r="M4801" s="4">
        <v>1.8947125936638148E-2</v>
      </c>
      <c r="N4801" t="s">
        <v>25</v>
      </c>
      <c r="O4801" t="str">
        <f t="shared" si="740"/>
        <v>Low</v>
      </c>
      <c r="P4801" t="str">
        <f t="shared" si="741"/>
        <v>Low</v>
      </c>
      <c r="Q4801" t="str">
        <f t="shared" si="742"/>
        <v>Low</v>
      </c>
      <c r="R4801" t="s">
        <v>3310</v>
      </c>
      <c r="S4801" s="4">
        <f t="shared" ca="1" si="743"/>
        <v>639</v>
      </c>
      <c r="T4801">
        <f t="shared" si="744"/>
        <v>1</v>
      </c>
      <c r="U4801">
        <f t="shared" si="745"/>
        <v>1</v>
      </c>
      <c r="V4801">
        <f t="shared" si="746"/>
        <v>1</v>
      </c>
      <c r="W4801">
        <f t="shared" si="747"/>
        <v>2</v>
      </c>
      <c r="X4801">
        <f t="shared" si="748"/>
        <v>1.0999999999999999</v>
      </c>
      <c r="Y4801" t="str">
        <f t="shared" si="749"/>
        <v>Healthy</v>
      </c>
    </row>
    <row r="4802" spans="1:25" x14ac:dyDescent="0.35">
      <c r="A4802" t="s">
        <v>71</v>
      </c>
      <c r="B4802" t="s">
        <v>72</v>
      </c>
      <c r="C4802" t="s">
        <v>73</v>
      </c>
      <c r="D4802" t="s">
        <v>3004</v>
      </c>
      <c r="E4802">
        <v>80817794</v>
      </c>
      <c r="F4802" t="s">
        <v>3005</v>
      </c>
      <c r="G4802" s="3">
        <v>46702</v>
      </c>
      <c r="H4802">
        <v>36</v>
      </c>
      <c r="I4802">
        <v>47</v>
      </c>
      <c r="J4802">
        <v>1</v>
      </c>
      <c r="K4802" s="4">
        <v>523.98</v>
      </c>
      <c r="L4802" s="4">
        <f>0</f>
        <v>0</v>
      </c>
      <c r="M4802" s="4">
        <f>999</f>
        <v>999</v>
      </c>
      <c r="N4802" t="s">
        <v>19</v>
      </c>
      <c r="O4802" t="str">
        <f t="shared" si="740"/>
        <v>Low</v>
      </c>
      <c r="P4802" t="str">
        <f t="shared" si="741"/>
        <v>High</v>
      </c>
      <c r="Q4802" t="str">
        <f t="shared" si="742"/>
        <v>High</v>
      </c>
      <c r="R4802" t="s">
        <v>3317</v>
      </c>
      <c r="S4802" s="4">
        <f t="shared" ca="1" si="743"/>
        <v>505</v>
      </c>
      <c r="T4802">
        <f t="shared" si="744"/>
        <v>1</v>
      </c>
      <c r="U4802">
        <f t="shared" si="745"/>
        <v>3</v>
      </c>
      <c r="V4802">
        <f t="shared" si="746"/>
        <v>3</v>
      </c>
      <c r="W4802">
        <f t="shared" si="747"/>
        <v>1</v>
      </c>
      <c r="X4802">
        <f t="shared" si="748"/>
        <v>2</v>
      </c>
      <c r="Y4802" t="str">
        <f t="shared" si="749"/>
        <v>Monitor</v>
      </c>
    </row>
    <row r="4803" spans="1:25" x14ac:dyDescent="0.35">
      <c r="A4803" t="s">
        <v>90</v>
      </c>
      <c r="B4803" t="s">
        <v>91</v>
      </c>
      <c r="C4803" t="s">
        <v>255</v>
      </c>
      <c r="D4803" t="s">
        <v>256</v>
      </c>
      <c r="E4803">
        <v>80870357</v>
      </c>
      <c r="F4803" t="s">
        <v>3003</v>
      </c>
      <c r="G4803" s="3">
        <v>46853</v>
      </c>
      <c r="H4803">
        <v>24</v>
      </c>
      <c r="I4803">
        <v>92</v>
      </c>
      <c r="J4803">
        <v>3539</v>
      </c>
      <c r="K4803" s="4">
        <v>789267.78</v>
      </c>
      <c r="L4803" s="4">
        <v>22325.285714285714</v>
      </c>
      <c r="M4803" s="4">
        <v>0.15851980777721611</v>
      </c>
      <c r="N4803" t="s">
        <v>25</v>
      </c>
      <c r="O4803" t="str">
        <f t="shared" ref="O4803:O4866" si="750">IF(I4803&lt;20,"High",IF(I4803&lt;40,"Medium","Low"))</f>
        <v>Low</v>
      </c>
      <c r="P4803" t="str">
        <f t="shared" ref="P4803:P4866" si="751">IF(M4803&gt;8,"High",IF(M4803&gt;4,"Medium","Low"))</f>
        <v>Low</v>
      </c>
      <c r="Q4803" t="str">
        <f t="shared" ref="Q4803:Q4866" si="752">IF(L4803&lt;5,"High",IF(L4803&lt;15,"Medium","Low"))</f>
        <v>Low</v>
      </c>
      <c r="R4803" t="s">
        <v>3309</v>
      </c>
      <c r="S4803" s="4">
        <f t="shared" ref="S4803:S4866" ca="1" si="753">G4803-TODAY()</f>
        <v>656</v>
      </c>
      <c r="T4803">
        <f t="shared" ref="T4803:T4866" si="754">IF(O4803="High",3,IF(O4803="Medium",2,1))</f>
        <v>1</v>
      </c>
      <c r="U4803">
        <f t="shared" ref="U4803:U4866" si="755">IF(P4803="High",3,IF(P4803="Medium",2,1))</f>
        <v>1</v>
      </c>
      <c r="V4803">
        <f t="shared" ref="V4803:V4866" si="756">IF(Q4803="High",3,IF(Q4803="Medium",2,1))</f>
        <v>1</v>
      </c>
      <c r="W4803">
        <f t="shared" ref="W4803:W4866" si="757">IF(R4803="High",3,IF(R4803="Medium",2,1))</f>
        <v>3</v>
      </c>
      <c r="X4803">
        <f t="shared" ref="X4803:X4866" si="758">(0.4*T4803)+(0.3*U4803)+(0.2*V4803)+(0.1*W4803)</f>
        <v>1.2</v>
      </c>
      <c r="Y4803" t="str">
        <f t="shared" ref="Y4803:Y4866" si="759">IF(X4803&gt;=2.7,"Move Immediately",IF(X4803&gt;=2.2,"High Priority",IF(X4803&gt;=1.7,"Monitor","Healthy")))</f>
        <v>Healthy</v>
      </c>
    </row>
    <row r="4804" spans="1:25" x14ac:dyDescent="0.35">
      <c r="A4804" t="s">
        <v>90</v>
      </c>
      <c r="B4804" t="s">
        <v>91</v>
      </c>
      <c r="C4804" t="s">
        <v>255</v>
      </c>
      <c r="D4804" t="s">
        <v>256</v>
      </c>
      <c r="E4804">
        <v>80870357</v>
      </c>
      <c r="F4804" t="s">
        <v>3003</v>
      </c>
      <c r="G4804" s="3">
        <v>46841</v>
      </c>
      <c r="H4804">
        <v>24</v>
      </c>
      <c r="I4804">
        <v>90</v>
      </c>
      <c r="J4804">
        <v>531</v>
      </c>
      <c r="K4804" s="4">
        <v>118423.62</v>
      </c>
      <c r="L4804" s="4">
        <v>22325.285714285714</v>
      </c>
      <c r="M4804" s="4">
        <v>2.3784690005567037E-2</v>
      </c>
      <c r="N4804" t="s">
        <v>25</v>
      </c>
      <c r="O4804" t="str">
        <f t="shared" si="750"/>
        <v>Low</v>
      </c>
      <c r="P4804" t="str">
        <f t="shared" si="751"/>
        <v>Low</v>
      </c>
      <c r="Q4804" t="str">
        <f t="shared" si="752"/>
        <v>Low</v>
      </c>
      <c r="R4804" t="s">
        <v>3310</v>
      </c>
      <c r="S4804" s="4">
        <f t="shared" ca="1" si="753"/>
        <v>644</v>
      </c>
      <c r="T4804">
        <f t="shared" si="754"/>
        <v>1</v>
      </c>
      <c r="U4804">
        <f t="shared" si="755"/>
        <v>1</v>
      </c>
      <c r="V4804">
        <f t="shared" si="756"/>
        <v>1</v>
      </c>
      <c r="W4804">
        <f t="shared" si="757"/>
        <v>2</v>
      </c>
      <c r="X4804">
        <f t="shared" si="758"/>
        <v>1.0999999999999999</v>
      </c>
      <c r="Y4804" t="str">
        <f t="shared" si="759"/>
        <v>Healthy</v>
      </c>
    </row>
    <row r="4805" spans="1:25" x14ac:dyDescent="0.35">
      <c r="A4805" t="s">
        <v>90</v>
      </c>
      <c r="B4805" t="s">
        <v>91</v>
      </c>
      <c r="C4805" t="s">
        <v>255</v>
      </c>
      <c r="D4805" t="s">
        <v>256</v>
      </c>
      <c r="E4805">
        <v>80870357</v>
      </c>
      <c r="F4805" t="s">
        <v>3003</v>
      </c>
      <c r="G4805" s="3">
        <v>46866</v>
      </c>
      <c r="H4805">
        <v>24</v>
      </c>
      <c r="I4805">
        <v>94</v>
      </c>
      <c r="J4805">
        <v>51</v>
      </c>
      <c r="K4805" s="4">
        <v>11374.02</v>
      </c>
      <c r="L4805" s="4">
        <v>22325.285714285714</v>
      </c>
      <c r="M4805" s="4">
        <v>2.2844052547719754E-3</v>
      </c>
      <c r="N4805" t="s">
        <v>25</v>
      </c>
      <c r="O4805" t="str">
        <f t="shared" si="750"/>
        <v>Low</v>
      </c>
      <c r="P4805" t="str">
        <f t="shared" si="751"/>
        <v>Low</v>
      </c>
      <c r="Q4805" t="str">
        <f t="shared" si="752"/>
        <v>Low</v>
      </c>
      <c r="R4805" t="s">
        <v>3317</v>
      </c>
      <c r="S4805" s="4">
        <f t="shared" ca="1" si="753"/>
        <v>669</v>
      </c>
      <c r="T4805">
        <f t="shared" si="754"/>
        <v>1</v>
      </c>
      <c r="U4805">
        <f t="shared" si="755"/>
        <v>1</v>
      </c>
      <c r="V4805">
        <f t="shared" si="756"/>
        <v>1</v>
      </c>
      <c r="W4805">
        <f t="shared" si="757"/>
        <v>1</v>
      </c>
      <c r="X4805">
        <f t="shared" si="758"/>
        <v>0.99999999999999989</v>
      </c>
      <c r="Y4805" t="str">
        <f t="shared" si="759"/>
        <v>Healthy</v>
      </c>
    </row>
    <row r="4806" spans="1:25" x14ac:dyDescent="0.35">
      <c r="A4806" t="s">
        <v>14</v>
      </c>
      <c r="B4806" t="s">
        <v>58</v>
      </c>
      <c r="C4806" t="s">
        <v>64</v>
      </c>
      <c r="D4806" t="s">
        <v>65</v>
      </c>
      <c r="E4806">
        <v>80813028</v>
      </c>
      <c r="F4806" t="s">
        <v>3006</v>
      </c>
      <c r="G4806" s="3">
        <v>47379</v>
      </c>
      <c r="H4806">
        <v>60</v>
      </c>
      <c r="I4806">
        <v>66</v>
      </c>
      <c r="J4806">
        <v>1</v>
      </c>
      <c r="K4806" s="4">
        <v>470.56</v>
      </c>
      <c r="L4806" s="4">
        <v>0.5714285714285714</v>
      </c>
      <c r="M4806" s="4">
        <v>1.75</v>
      </c>
      <c r="N4806" t="s">
        <v>25</v>
      </c>
      <c r="O4806" t="str">
        <f t="shared" si="750"/>
        <v>Low</v>
      </c>
      <c r="P4806" t="str">
        <f t="shared" si="751"/>
        <v>Low</v>
      </c>
      <c r="Q4806" t="str">
        <f t="shared" si="752"/>
        <v>High</v>
      </c>
      <c r="R4806" t="s">
        <v>3317</v>
      </c>
      <c r="S4806" s="4">
        <f t="shared" ca="1" si="753"/>
        <v>1182</v>
      </c>
      <c r="T4806">
        <f t="shared" si="754"/>
        <v>1</v>
      </c>
      <c r="U4806">
        <f t="shared" si="755"/>
        <v>1</v>
      </c>
      <c r="V4806">
        <f t="shared" si="756"/>
        <v>3</v>
      </c>
      <c r="W4806">
        <f t="shared" si="757"/>
        <v>1</v>
      </c>
      <c r="X4806">
        <f t="shared" si="758"/>
        <v>1.4000000000000001</v>
      </c>
      <c r="Y4806" t="str">
        <f t="shared" si="759"/>
        <v>Healthy</v>
      </c>
    </row>
    <row r="4807" spans="1:25" x14ac:dyDescent="0.35">
      <c r="A4807" t="s">
        <v>90</v>
      </c>
      <c r="B4807" t="s">
        <v>91</v>
      </c>
      <c r="C4807" t="s">
        <v>255</v>
      </c>
      <c r="D4807" t="s">
        <v>256</v>
      </c>
      <c r="E4807">
        <v>80870357</v>
      </c>
      <c r="F4807" t="s">
        <v>3003</v>
      </c>
      <c r="G4807" s="3">
        <v>46843</v>
      </c>
      <c r="H4807">
        <v>24</v>
      </c>
      <c r="I4807">
        <v>90</v>
      </c>
      <c r="J4807">
        <v>575</v>
      </c>
      <c r="K4807" s="4">
        <v>128236.5</v>
      </c>
      <c r="L4807" s="4">
        <v>22325.285714285714</v>
      </c>
      <c r="M4807" s="4">
        <v>2.5755549441056586E-2</v>
      </c>
      <c r="N4807" t="s">
        <v>25</v>
      </c>
      <c r="O4807" t="str">
        <f t="shared" si="750"/>
        <v>Low</v>
      </c>
      <c r="P4807" t="str">
        <f t="shared" si="751"/>
        <v>Low</v>
      </c>
      <c r="Q4807" t="str">
        <f t="shared" si="752"/>
        <v>Low</v>
      </c>
      <c r="R4807" t="s">
        <v>3310</v>
      </c>
      <c r="S4807" s="4">
        <f t="shared" ca="1" si="753"/>
        <v>646</v>
      </c>
      <c r="T4807">
        <f t="shared" si="754"/>
        <v>1</v>
      </c>
      <c r="U4807">
        <f t="shared" si="755"/>
        <v>1</v>
      </c>
      <c r="V4807">
        <f t="shared" si="756"/>
        <v>1</v>
      </c>
      <c r="W4807">
        <f t="shared" si="757"/>
        <v>2</v>
      </c>
      <c r="X4807">
        <f t="shared" si="758"/>
        <v>1.0999999999999999</v>
      </c>
      <c r="Y4807" t="str">
        <f t="shared" si="759"/>
        <v>Healthy</v>
      </c>
    </row>
    <row r="4808" spans="1:25" x14ac:dyDescent="0.35">
      <c r="A4808" t="s">
        <v>14</v>
      </c>
      <c r="B4808" t="s">
        <v>267</v>
      </c>
      <c r="C4808" t="s">
        <v>268</v>
      </c>
      <c r="D4808" t="s">
        <v>3007</v>
      </c>
      <c r="E4808">
        <v>80818328</v>
      </c>
      <c r="F4808" t="s">
        <v>3008</v>
      </c>
      <c r="G4808" s="3">
        <v>45764</v>
      </c>
      <c r="H4808">
        <v>60</v>
      </c>
      <c r="I4808">
        <v>0</v>
      </c>
      <c r="J4808">
        <v>1</v>
      </c>
      <c r="K4808" s="4">
        <v>103.44</v>
      </c>
      <c r="L4808" s="4">
        <v>2783</v>
      </c>
      <c r="M4808" s="4">
        <v>3.5932446999640676E-4</v>
      </c>
      <c r="N4808" t="s">
        <v>25</v>
      </c>
      <c r="O4808" t="str">
        <f t="shared" si="750"/>
        <v>High</v>
      </c>
      <c r="P4808" t="str">
        <f t="shared" si="751"/>
        <v>Low</v>
      </c>
      <c r="Q4808" t="str">
        <f t="shared" si="752"/>
        <v>Low</v>
      </c>
      <c r="R4808" t="s">
        <v>3317</v>
      </c>
      <c r="S4808" s="4">
        <f t="shared" ca="1" si="753"/>
        <v>-433</v>
      </c>
      <c r="T4808">
        <f t="shared" si="754"/>
        <v>3</v>
      </c>
      <c r="U4808">
        <f t="shared" si="755"/>
        <v>1</v>
      </c>
      <c r="V4808">
        <f t="shared" si="756"/>
        <v>1</v>
      </c>
      <c r="W4808">
        <f t="shared" si="757"/>
        <v>1</v>
      </c>
      <c r="X4808">
        <f t="shared" si="758"/>
        <v>1.8000000000000003</v>
      </c>
      <c r="Y4808" t="str">
        <f t="shared" si="759"/>
        <v>Monitor</v>
      </c>
    </row>
    <row r="4809" spans="1:25" x14ac:dyDescent="0.35">
      <c r="A4809" t="s">
        <v>90</v>
      </c>
      <c r="B4809" t="s">
        <v>91</v>
      </c>
      <c r="C4809" t="s">
        <v>255</v>
      </c>
      <c r="D4809" t="s">
        <v>256</v>
      </c>
      <c r="E4809">
        <v>80870357</v>
      </c>
      <c r="F4809" t="s">
        <v>3003</v>
      </c>
      <c r="G4809" s="3">
        <v>46832</v>
      </c>
      <c r="H4809">
        <v>24</v>
      </c>
      <c r="I4809">
        <v>89</v>
      </c>
      <c r="J4809">
        <v>401</v>
      </c>
      <c r="K4809" s="4">
        <v>89431.02</v>
      </c>
      <c r="L4809" s="4">
        <v>22325.285714285714</v>
      </c>
      <c r="M4809" s="4">
        <v>1.7961696218893375E-2</v>
      </c>
      <c r="N4809" t="s">
        <v>25</v>
      </c>
      <c r="O4809" t="str">
        <f t="shared" si="750"/>
        <v>Low</v>
      </c>
      <c r="P4809" t="str">
        <f t="shared" si="751"/>
        <v>Low</v>
      </c>
      <c r="Q4809" t="str">
        <f t="shared" si="752"/>
        <v>Low</v>
      </c>
      <c r="R4809" t="s">
        <v>3310</v>
      </c>
      <c r="S4809" s="4">
        <f t="shared" ca="1" si="753"/>
        <v>635</v>
      </c>
      <c r="T4809">
        <f t="shared" si="754"/>
        <v>1</v>
      </c>
      <c r="U4809">
        <f t="shared" si="755"/>
        <v>1</v>
      </c>
      <c r="V4809">
        <f t="shared" si="756"/>
        <v>1</v>
      </c>
      <c r="W4809">
        <f t="shared" si="757"/>
        <v>2</v>
      </c>
      <c r="X4809">
        <f t="shared" si="758"/>
        <v>1.0999999999999999</v>
      </c>
      <c r="Y4809" t="str">
        <f t="shared" si="759"/>
        <v>Healthy</v>
      </c>
    </row>
    <row r="4810" spans="1:25" x14ac:dyDescent="0.35">
      <c r="A4810" t="s">
        <v>90</v>
      </c>
      <c r="B4810" t="s">
        <v>91</v>
      </c>
      <c r="C4810" t="s">
        <v>255</v>
      </c>
      <c r="D4810" t="s">
        <v>256</v>
      </c>
      <c r="E4810">
        <v>80870357</v>
      </c>
      <c r="F4810" t="s">
        <v>3003</v>
      </c>
      <c r="G4810" s="3">
        <v>46841</v>
      </c>
      <c r="H4810">
        <v>24</v>
      </c>
      <c r="I4810">
        <v>90</v>
      </c>
      <c r="J4810">
        <v>507</v>
      </c>
      <c r="K4810" s="4">
        <v>113071.14</v>
      </c>
      <c r="L4810" s="4">
        <v>22325.285714285714</v>
      </c>
      <c r="M4810" s="4">
        <v>2.2709675768027286E-2</v>
      </c>
      <c r="N4810" t="s">
        <v>25</v>
      </c>
      <c r="O4810" t="str">
        <f t="shared" si="750"/>
        <v>Low</v>
      </c>
      <c r="P4810" t="str">
        <f t="shared" si="751"/>
        <v>Low</v>
      </c>
      <c r="Q4810" t="str">
        <f t="shared" si="752"/>
        <v>Low</v>
      </c>
      <c r="R4810" t="s">
        <v>3310</v>
      </c>
      <c r="S4810" s="4">
        <f t="shared" ca="1" si="753"/>
        <v>644</v>
      </c>
      <c r="T4810">
        <f t="shared" si="754"/>
        <v>1</v>
      </c>
      <c r="U4810">
        <f t="shared" si="755"/>
        <v>1</v>
      </c>
      <c r="V4810">
        <f t="shared" si="756"/>
        <v>1</v>
      </c>
      <c r="W4810">
        <f t="shared" si="757"/>
        <v>2</v>
      </c>
      <c r="X4810">
        <f t="shared" si="758"/>
        <v>1.0999999999999999</v>
      </c>
      <c r="Y4810" t="str">
        <f t="shared" si="759"/>
        <v>Healthy</v>
      </c>
    </row>
    <row r="4811" spans="1:25" x14ac:dyDescent="0.35">
      <c r="A4811" t="s">
        <v>90</v>
      </c>
      <c r="B4811" t="s">
        <v>91</v>
      </c>
      <c r="C4811" t="s">
        <v>255</v>
      </c>
      <c r="D4811" t="s">
        <v>256</v>
      </c>
      <c r="E4811">
        <v>80870357</v>
      </c>
      <c r="F4811" t="s">
        <v>3003</v>
      </c>
      <c r="G4811" s="3">
        <v>46840</v>
      </c>
      <c r="H4811">
        <v>24</v>
      </c>
      <c r="I4811">
        <v>90</v>
      </c>
      <c r="J4811">
        <v>566</v>
      </c>
      <c r="K4811" s="4">
        <v>126229.32</v>
      </c>
      <c r="L4811" s="4">
        <v>22325.285714285714</v>
      </c>
      <c r="M4811" s="4">
        <v>2.535241910197918E-2</v>
      </c>
      <c r="N4811" t="s">
        <v>25</v>
      </c>
      <c r="O4811" t="str">
        <f t="shared" si="750"/>
        <v>Low</v>
      </c>
      <c r="P4811" t="str">
        <f t="shared" si="751"/>
        <v>Low</v>
      </c>
      <c r="Q4811" t="str">
        <f t="shared" si="752"/>
        <v>Low</v>
      </c>
      <c r="R4811" t="s">
        <v>3310</v>
      </c>
      <c r="S4811" s="4">
        <f t="shared" ca="1" si="753"/>
        <v>643</v>
      </c>
      <c r="T4811">
        <f t="shared" si="754"/>
        <v>1</v>
      </c>
      <c r="U4811">
        <f t="shared" si="755"/>
        <v>1</v>
      </c>
      <c r="V4811">
        <f t="shared" si="756"/>
        <v>1</v>
      </c>
      <c r="W4811">
        <f t="shared" si="757"/>
        <v>2</v>
      </c>
      <c r="X4811">
        <f t="shared" si="758"/>
        <v>1.0999999999999999</v>
      </c>
      <c r="Y4811" t="str">
        <f t="shared" si="759"/>
        <v>Healthy</v>
      </c>
    </row>
    <row r="4812" spans="1:25" x14ac:dyDescent="0.35">
      <c r="A4812" t="s">
        <v>90</v>
      </c>
      <c r="B4812" t="s">
        <v>91</v>
      </c>
      <c r="C4812" t="s">
        <v>255</v>
      </c>
      <c r="D4812" t="s">
        <v>256</v>
      </c>
      <c r="E4812">
        <v>80870357</v>
      </c>
      <c r="F4812" t="s">
        <v>3003</v>
      </c>
      <c r="G4812" s="3">
        <v>46854</v>
      </c>
      <c r="H4812">
        <v>24</v>
      </c>
      <c r="I4812">
        <v>92</v>
      </c>
      <c r="J4812">
        <v>411</v>
      </c>
      <c r="K4812" s="4">
        <v>91661.22</v>
      </c>
      <c r="L4812" s="4">
        <v>22325.285714285714</v>
      </c>
      <c r="M4812" s="4">
        <v>1.8409618817868272E-2</v>
      </c>
      <c r="N4812" t="s">
        <v>25</v>
      </c>
      <c r="O4812" t="str">
        <f t="shared" si="750"/>
        <v>Low</v>
      </c>
      <c r="P4812" t="str">
        <f t="shared" si="751"/>
        <v>Low</v>
      </c>
      <c r="Q4812" t="str">
        <f t="shared" si="752"/>
        <v>Low</v>
      </c>
      <c r="R4812" t="s">
        <v>3310</v>
      </c>
      <c r="S4812" s="4">
        <f t="shared" ca="1" si="753"/>
        <v>657</v>
      </c>
      <c r="T4812">
        <f t="shared" si="754"/>
        <v>1</v>
      </c>
      <c r="U4812">
        <f t="shared" si="755"/>
        <v>1</v>
      </c>
      <c r="V4812">
        <f t="shared" si="756"/>
        <v>1</v>
      </c>
      <c r="W4812">
        <f t="shared" si="757"/>
        <v>2</v>
      </c>
      <c r="X4812">
        <f t="shared" si="758"/>
        <v>1.0999999999999999</v>
      </c>
      <c r="Y4812" t="str">
        <f t="shared" si="759"/>
        <v>Healthy</v>
      </c>
    </row>
    <row r="4813" spans="1:25" x14ac:dyDescent="0.35">
      <c r="A4813" t="s">
        <v>90</v>
      </c>
      <c r="B4813" t="s">
        <v>91</v>
      </c>
      <c r="C4813" t="s">
        <v>255</v>
      </c>
      <c r="D4813" t="s">
        <v>256</v>
      </c>
      <c r="E4813">
        <v>80870357</v>
      </c>
      <c r="F4813" t="s">
        <v>3003</v>
      </c>
      <c r="G4813" s="3">
        <v>46842</v>
      </c>
      <c r="H4813">
        <v>24</v>
      </c>
      <c r="I4813">
        <v>90</v>
      </c>
      <c r="J4813">
        <v>496</v>
      </c>
      <c r="K4813" s="4">
        <v>110617.92</v>
      </c>
      <c r="L4813" s="4">
        <v>22325.285714285714</v>
      </c>
      <c r="M4813" s="4">
        <v>2.2216960909154898E-2</v>
      </c>
      <c r="N4813" t="s">
        <v>25</v>
      </c>
      <c r="O4813" t="str">
        <f t="shared" si="750"/>
        <v>Low</v>
      </c>
      <c r="P4813" t="str">
        <f t="shared" si="751"/>
        <v>Low</v>
      </c>
      <c r="Q4813" t="str">
        <f t="shared" si="752"/>
        <v>Low</v>
      </c>
      <c r="R4813" t="s">
        <v>3310</v>
      </c>
      <c r="S4813" s="4">
        <f t="shared" ca="1" si="753"/>
        <v>645</v>
      </c>
      <c r="T4813">
        <f t="shared" si="754"/>
        <v>1</v>
      </c>
      <c r="U4813">
        <f t="shared" si="755"/>
        <v>1</v>
      </c>
      <c r="V4813">
        <f t="shared" si="756"/>
        <v>1</v>
      </c>
      <c r="W4813">
        <f t="shared" si="757"/>
        <v>2</v>
      </c>
      <c r="X4813">
        <f t="shared" si="758"/>
        <v>1.0999999999999999</v>
      </c>
      <c r="Y4813" t="str">
        <f t="shared" si="759"/>
        <v>Healthy</v>
      </c>
    </row>
    <row r="4814" spans="1:25" x14ac:dyDescent="0.35">
      <c r="A4814" t="s">
        <v>90</v>
      </c>
      <c r="B4814" t="s">
        <v>91</v>
      </c>
      <c r="C4814" t="s">
        <v>255</v>
      </c>
      <c r="D4814" t="s">
        <v>256</v>
      </c>
      <c r="E4814">
        <v>80870357</v>
      </c>
      <c r="F4814" t="s">
        <v>3003</v>
      </c>
      <c r="G4814" s="3">
        <v>46870</v>
      </c>
      <c r="H4814">
        <v>24</v>
      </c>
      <c r="I4814">
        <v>94</v>
      </c>
      <c r="J4814">
        <v>486</v>
      </c>
      <c r="K4814" s="4">
        <v>108387.72</v>
      </c>
      <c r="L4814" s="4">
        <v>22325.285714285714</v>
      </c>
      <c r="M4814" s="4">
        <v>2.1769038310180001E-2</v>
      </c>
      <c r="N4814" t="s">
        <v>25</v>
      </c>
      <c r="O4814" t="str">
        <f t="shared" si="750"/>
        <v>Low</v>
      </c>
      <c r="P4814" t="str">
        <f t="shared" si="751"/>
        <v>Low</v>
      </c>
      <c r="Q4814" t="str">
        <f t="shared" si="752"/>
        <v>Low</v>
      </c>
      <c r="R4814" t="s">
        <v>3310</v>
      </c>
      <c r="S4814" s="4">
        <f t="shared" ca="1" si="753"/>
        <v>673</v>
      </c>
      <c r="T4814">
        <f t="shared" si="754"/>
        <v>1</v>
      </c>
      <c r="U4814">
        <f t="shared" si="755"/>
        <v>1</v>
      </c>
      <c r="V4814">
        <f t="shared" si="756"/>
        <v>1</v>
      </c>
      <c r="W4814">
        <f t="shared" si="757"/>
        <v>2</v>
      </c>
      <c r="X4814">
        <f t="shared" si="758"/>
        <v>1.0999999999999999</v>
      </c>
      <c r="Y4814" t="str">
        <f t="shared" si="759"/>
        <v>Healthy</v>
      </c>
    </row>
    <row r="4815" spans="1:25" x14ac:dyDescent="0.35">
      <c r="A4815" t="s">
        <v>41</v>
      </c>
      <c r="B4815" t="s">
        <v>42</v>
      </c>
      <c r="C4815" t="s">
        <v>43</v>
      </c>
      <c r="D4815" t="s">
        <v>2037</v>
      </c>
      <c r="E4815">
        <v>80833384</v>
      </c>
      <c r="F4815" t="s">
        <v>3009</v>
      </c>
      <c r="G4815" s="3">
        <v>46899</v>
      </c>
      <c r="H4815">
        <v>36</v>
      </c>
      <c r="I4815">
        <v>65</v>
      </c>
      <c r="J4815">
        <v>7</v>
      </c>
      <c r="K4815" s="4">
        <v>2034.27</v>
      </c>
      <c r="L4815" s="4">
        <v>4.7142857142857144</v>
      </c>
      <c r="M4815" s="4">
        <v>1.4848484848484849</v>
      </c>
      <c r="N4815" t="s">
        <v>25</v>
      </c>
      <c r="O4815" t="str">
        <f t="shared" si="750"/>
        <v>Low</v>
      </c>
      <c r="P4815" t="str">
        <f t="shared" si="751"/>
        <v>Low</v>
      </c>
      <c r="Q4815" t="str">
        <f t="shared" si="752"/>
        <v>High</v>
      </c>
      <c r="R4815" t="s">
        <v>3317</v>
      </c>
      <c r="S4815" s="4">
        <f t="shared" ca="1" si="753"/>
        <v>702</v>
      </c>
      <c r="T4815">
        <f t="shared" si="754"/>
        <v>1</v>
      </c>
      <c r="U4815">
        <f t="shared" si="755"/>
        <v>1</v>
      </c>
      <c r="V4815">
        <f t="shared" si="756"/>
        <v>3</v>
      </c>
      <c r="W4815">
        <f t="shared" si="757"/>
        <v>1</v>
      </c>
      <c r="X4815">
        <f t="shared" si="758"/>
        <v>1.4000000000000001</v>
      </c>
      <c r="Y4815" t="str">
        <f t="shared" si="759"/>
        <v>Healthy</v>
      </c>
    </row>
    <row r="4816" spans="1:25" x14ac:dyDescent="0.35">
      <c r="A4816" t="s">
        <v>90</v>
      </c>
      <c r="B4816" t="s">
        <v>91</v>
      </c>
      <c r="C4816" t="s">
        <v>255</v>
      </c>
      <c r="D4816" t="s">
        <v>256</v>
      </c>
      <c r="E4816">
        <v>80870357</v>
      </c>
      <c r="F4816" t="s">
        <v>3003</v>
      </c>
      <c r="G4816" s="3">
        <v>46842</v>
      </c>
      <c r="H4816">
        <v>24</v>
      </c>
      <c r="I4816">
        <v>90</v>
      </c>
      <c r="J4816">
        <v>554</v>
      </c>
      <c r="K4816" s="4">
        <v>123553.08</v>
      </c>
      <c r="L4816" s="4">
        <v>22325.285714285714</v>
      </c>
      <c r="M4816" s="4">
        <v>2.4814911983209301E-2</v>
      </c>
      <c r="N4816" t="s">
        <v>25</v>
      </c>
      <c r="O4816" t="str">
        <f t="shared" si="750"/>
        <v>Low</v>
      </c>
      <c r="P4816" t="str">
        <f t="shared" si="751"/>
        <v>Low</v>
      </c>
      <c r="Q4816" t="str">
        <f t="shared" si="752"/>
        <v>Low</v>
      </c>
      <c r="R4816" t="s">
        <v>3310</v>
      </c>
      <c r="S4816" s="4">
        <f t="shared" ca="1" si="753"/>
        <v>645</v>
      </c>
      <c r="T4816">
        <f t="shared" si="754"/>
        <v>1</v>
      </c>
      <c r="U4816">
        <f t="shared" si="755"/>
        <v>1</v>
      </c>
      <c r="V4816">
        <f t="shared" si="756"/>
        <v>1</v>
      </c>
      <c r="W4816">
        <f t="shared" si="757"/>
        <v>2</v>
      </c>
      <c r="X4816">
        <f t="shared" si="758"/>
        <v>1.0999999999999999</v>
      </c>
      <c r="Y4816" t="str">
        <f t="shared" si="759"/>
        <v>Healthy</v>
      </c>
    </row>
    <row r="4817" spans="1:25" x14ac:dyDescent="0.35">
      <c r="A4817" t="s">
        <v>41</v>
      </c>
      <c r="B4817" t="s">
        <v>42</v>
      </c>
      <c r="C4817" t="s">
        <v>43</v>
      </c>
      <c r="D4817" t="s">
        <v>2037</v>
      </c>
      <c r="E4817">
        <v>80833384</v>
      </c>
      <c r="F4817" t="s">
        <v>3009</v>
      </c>
      <c r="G4817" s="3">
        <v>46757</v>
      </c>
      <c r="H4817">
        <v>36</v>
      </c>
      <c r="I4817">
        <v>52</v>
      </c>
      <c r="J4817">
        <v>21</v>
      </c>
      <c r="K4817" s="4">
        <v>6102.81</v>
      </c>
      <c r="L4817" s="4">
        <v>4.7142857142857144</v>
      </c>
      <c r="M4817" s="4">
        <v>4.4545454545454541</v>
      </c>
      <c r="N4817" t="s">
        <v>25</v>
      </c>
      <c r="O4817" t="str">
        <f t="shared" si="750"/>
        <v>Low</v>
      </c>
      <c r="P4817" t="str">
        <f t="shared" si="751"/>
        <v>Medium</v>
      </c>
      <c r="Q4817" t="str">
        <f t="shared" si="752"/>
        <v>High</v>
      </c>
      <c r="R4817" t="s">
        <v>3317</v>
      </c>
      <c r="S4817" s="4">
        <f t="shared" ca="1" si="753"/>
        <v>560</v>
      </c>
      <c r="T4817">
        <f t="shared" si="754"/>
        <v>1</v>
      </c>
      <c r="U4817">
        <f t="shared" si="755"/>
        <v>2</v>
      </c>
      <c r="V4817">
        <f t="shared" si="756"/>
        <v>3</v>
      </c>
      <c r="W4817">
        <f t="shared" si="757"/>
        <v>1</v>
      </c>
      <c r="X4817">
        <f t="shared" si="758"/>
        <v>1.7000000000000002</v>
      </c>
      <c r="Y4817" t="str">
        <f t="shared" si="759"/>
        <v>Monitor</v>
      </c>
    </row>
    <row r="4818" spans="1:25" x14ac:dyDescent="0.35">
      <c r="A4818" t="s">
        <v>90</v>
      </c>
      <c r="B4818" t="s">
        <v>91</v>
      </c>
      <c r="C4818" t="s">
        <v>255</v>
      </c>
      <c r="D4818" t="s">
        <v>256</v>
      </c>
      <c r="E4818">
        <v>80870357</v>
      </c>
      <c r="F4818" t="s">
        <v>3003</v>
      </c>
      <c r="G4818" s="3">
        <v>46823</v>
      </c>
      <c r="H4818">
        <v>24</v>
      </c>
      <c r="I4818">
        <v>88</v>
      </c>
      <c r="J4818">
        <v>497</v>
      </c>
      <c r="K4818" s="4">
        <v>110840.94</v>
      </c>
      <c r="L4818" s="4">
        <v>22325.285714285714</v>
      </c>
      <c r="M4818" s="4">
        <v>2.2261753169052389E-2</v>
      </c>
      <c r="N4818" t="s">
        <v>25</v>
      </c>
      <c r="O4818" t="str">
        <f t="shared" si="750"/>
        <v>Low</v>
      </c>
      <c r="P4818" t="str">
        <f t="shared" si="751"/>
        <v>Low</v>
      </c>
      <c r="Q4818" t="str">
        <f t="shared" si="752"/>
        <v>Low</v>
      </c>
      <c r="R4818" t="s">
        <v>3310</v>
      </c>
      <c r="S4818" s="4">
        <f t="shared" ca="1" si="753"/>
        <v>626</v>
      </c>
      <c r="T4818">
        <f t="shared" si="754"/>
        <v>1</v>
      </c>
      <c r="U4818">
        <f t="shared" si="755"/>
        <v>1</v>
      </c>
      <c r="V4818">
        <f t="shared" si="756"/>
        <v>1</v>
      </c>
      <c r="W4818">
        <f t="shared" si="757"/>
        <v>2</v>
      </c>
      <c r="X4818">
        <f t="shared" si="758"/>
        <v>1.0999999999999999</v>
      </c>
      <c r="Y4818" t="str">
        <f t="shared" si="759"/>
        <v>Healthy</v>
      </c>
    </row>
    <row r="4819" spans="1:25" x14ac:dyDescent="0.35">
      <c r="A4819" t="s">
        <v>71</v>
      </c>
      <c r="B4819" t="s">
        <v>72</v>
      </c>
      <c r="C4819" t="s">
        <v>174</v>
      </c>
      <c r="D4819" t="s">
        <v>746</v>
      </c>
      <c r="E4819">
        <v>80829172</v>
      </c>
      <c r="F4819" t="s">
        <v>3010</v>
      </c>
      <c r="G4819" s="3">
        <v>47001</v>
      </c>
      <c r="H4819">
        <v>36</v>
      </c>
      <c r="I4819">
        <v>75</v>
      </c>
      <c r="J4819">
        <v>3</v>
      </c>
      <c r="K4819" s="4">
        <v>3357.48</v>
      </c>
      <c r="L4819" s="4">
        <v>0.14285714285714285</v>
      </c>
      <c r="M4819" s="4">
        <v>21</v>
      </c>
      <c r="N4819" t="s">
        <v>19</v>
      </c>
      <c r="O4819" t="str">
        <f t="shared" si="750"/>
        <v>Low</v>
      </c>
      <c r="P4819" t="str">
        <f t="shared" si="751"/>
        <v>High</v>
      </c>
      <c r="Q4819" t="str">
        <f t="shared" si="752"/>
        <v>High</v>
      </c>
      <c r="R4819" t="s">
        <v>3317</v>
      </c>
      <c r="S4819" s="4">
        <f t="shared" ca="1" si="753"/>
        <v>804</v>
      </c>
      <c r="T4819">
        <f t="shared" si="754"/>
        <v>1</v>
      </c>
      <c r="U4819">
        <f t="shared" si="755"/>
        <v>3</v>
      </c>
      <c r="V4819">
        <f t="shared" si="756"/>
        <v>3</v>
      </c>
      <c r="W4819">
        <f t="shared" si="757"/>
        <v>1</v>
      </c>
      <c r="X4819">
        <f t="shared" si="758"/>
        <v>2</v>
      </c>
      <c r="Y4819" t="str">
        <f t="shared" si="759"/>
        <v>Monitor</v>
      </c>
    </row>
    <row r="4820" spans="1:25" x14ac:dyDescent="0.35">
      <c r="A4820" t="s">
        <v>90</v>
      </c>
      <c r="B4820" t="s">
        <v>404</v>
      </c>
      <c r="C4820" t="s">
        <v>405</v>
      </c>
      <c r="D4820" t="s">
        <v>3011</v>
      </c>
      <c r="E4820">
        <v>80869510</v>
      </c>
      <c r="F4820" t="s">
        <v>3012</v>
      </c>
      <c r="G4820" s="3">
        <v>46700</v>
      </c>
      <c r="H4820">
        <v>24</v>
      </c>
      <c r="I4820">
        <v>71</v>
      </c>
      <c r="J4820">
        <v>9</v>
      </c>
      <c r="K4820" s="4">
        <v>1050.75</v>
      </c>
      <c r="L4820" s="4">
        <v>518.42857142857144</v>
      </c>
      <c r="M4820" s="4">
        <v>1.7360154312482778E-2</v>
      </c>
      <c r="N4820" t="s">
        <v>25</v>
      </c>
      <c r="O4820" t="str">
        <f t="shared" si="750"/>
        <v>Low</v>
      </c>
      <c r="P4820" t="str">
        <f t="shared" si="751"/>
        <v>Low</v>
      </c>
      <c r="Q4820" t="str">
        <f t="shared" si="752"/>
        <v>Low</v>
      </c>
      <c r="R4820" t="s">
        <v>3317</v>
      </c>
      <c r="S4820" s="4">
        <f t="shared" ca="1" si="753"/>
        <v>503</v>
      </c>
      <c r="T4820">
        <f t="shared" si="754"/>
        <v>1</v>
      </c>
      <c r="U4820">
        <f t="shared" si="755"/>
        <v>1</v>
      </c>
      <c r="V4820">
        <f t="shared" si="756"/>
        <v>1</v>
      </c>
      <c r="W4820">
        <f t="shared" si="757"/>
        <v>1</v>
      </c>
      <c r="X4820">
        <f t="shared" si="758"/>
        <v>0.99999999999999989</v>
      </c>
      <c r="Y4820" t="str">
        <f t="shared" si="759"/>
        <v>Healthy</v>
      </c>
    </row>
    <row r="4821" spans="1:25" x14ac:dyDescent="0.35">
      <c r="A4821" t="s">
        <v>14</v>
      </c>
      <c r="B4821" t="s">
        <v>58</v>
      </c>
      <c r="C4821" t="s">
        <v>64</v>
      </c>
      <c r="D4821" t="s">
        <v>64</v>
      </c>
      <c r="E4821">
        <v>80797470</v>
      </c>
      <c r="F4821" t="s">
        <v>3013</v>
      </c>
      <c r="G4821" s="3">
        <v>47999</v>
      </c>
      <c r="H4821">
        <v>60</v>
      </c>
      <c r="I4821">
        <v>100</v>
      </c>
      <c r="J4821">
        <v>324</v>
      </c>
      <c r="K4821" s="4">
        <v>118023.48</v>
      </c>
      <c r="L4821" s="4">
        <v>3578.1428571428573</v>
      </c>
      <c r="M4821" s="4">
        <v>9.0549766439094501E-2</v>
      </c>
      <c r="N4821" t="s">
        <v>25</v>
      </c>
      <c r="O4821" t="str">
        <f t="shared" si="750"/>
        <v>Low</v>
      </c>
      <c r="P4821" t="str">
        <f t="shared" si="751"/>
        <v>Low</v>
      </c>
      <c r="Q4821" t="str">
        <f t="shared" si="752"/>
        <v>Low</v>
      </c>
      <c r="R4821" t="s">
        <v>3310</v>
      </c>
      <c r="S4821" s="4">
        <f t="shared" ca="1" si="753"/>
        <v>1802</v>
      </c>
      <c r="T4821">
        <f t="shared" si="754"/>
        <v>1</v>
      </c>
      <c r="U4821">
        <f t="shared" si="755"/>
        <v>1</v>
      </c>
      <c r="V4821">
        <f t="shared" si="756"/>
        <v>1</v>
      </c>
      <c r="W4821">
        <f t="shared" si="757"/>
        <v>2</v>
      </c>
      <c r="X4821">
        <f t="shared" si="758"/>
        <v>1.0999999999999999</v>
      </c>
      <c r="Y4821" t="str">
        <f t="shared" si="759"/>
        <v>Healthy</v>
      </c>
    </row>
    <row r="4822" spans="1:25" x14ac:dyDescent="0.35">
      <c r="A4822" t="s">
        <v>90</v>
      </c>
      <c r="B4822" t="s">
        <v>404</v>
      </c>
      <c r="C4822" t="s">
        <v>405</v>
      </c>
      <c r="D4822" t="s">
        <v>3011</v>
      </c>
      <c r="E4822">
        <v>80869510</v>
      </c>
      <c r="F4822" t="s">
        <v>3012</v>
      </c>
      <c r="G4822" s="3">
        <v>46753</v>
      </c>
      <c r="H4822">
        <v>24</v>
      </c>
      <c r="I4822">
        <v>78</v>
      </c>
      <c r="J4822">
        <v>3</v>
      </c>
      <c r="K4822" s="4">
        <v>350.25</v>
      </c>
      <c r="L4822" s="4">
        <v>518.42857142857144</v>
      </c>
      <c r="M4822" s="4">
        <v>5.7867181041609253E-3</v>
      </c>
      <c r="N4822" t="s">
        <v>25</v>
      </c>
      <c r="O4822" t="str">
        <f t="shared" si="750"/>
        <v>Low</v>
      </c>
      <c r="P4822" t="str">
        <f t="shared" si="751"/>
        <v>Low</v>
      </c>
      <c r="Q4822" t="str">
        <f t="shared" si="752"/>
        <v>Low</v>
      </c>
      <c r="R4822" t="s">
        <v>3317</v>
      </c>
      <c r="S4822" s="4">
        <f t="shared" ca="1" si="753"/>
        <v>556</v>
      </c>
      <c r="T4822">
        <f t="shared" si="754"/>
        <v>1</v>
      </c>
      <c r="U4822">
        <f t="shared" si="755"/>
        <v>1</v>
      </c>
      <c r="V4822">
        <f t="shared" si="756"/>
        <v>1</v>
      </c>
      <c r="W4822">
        <f t="shared" si="757"/>
        <v>1</v>
      </c>
      <c r="X4822">
        <f t="shared" si="758"/>
        <v>0.99999999999999989</v>
      </c>
      <c r="Y4822" t="str">
        <f t="shared" si="759"/>
        <v>Healthy</v>
      </c>
    </row>
    <row r="4823" spans="1:25" x14ac:dyDescent="0.35">
      <c r="A4823" t="s">
        <v>14</v>
      </c>
      <c r="B4823" t="s">
        <v>58</v>
      </c>
      <c r="C4823" t="s">
        <v>64</v>
      </c>
      <c r="D4823" t="s">
        <v>64</v>
      </c>
      <c r="E4823">
        <v>80797470</v>
      </c>
      <c r="F4823" t="s">
        <v>3013</v>
      </c>
      <c r="G4823" s="3">
        <v>47991</v>
      </c>
      <c r="H4823">
        <v>60</v>
      </c>
      <c r="I4823">
        <v>100</v>
      </c>
      <c r="J4823">
        <v>295</v>
      </c>
      <c r="K4823" s="4">
        <v>107459.65</v>
      </c>
      <c r="L4823" s="4">
        <v>3578.1428571428573</v>
      </c>
      <c r="M4823" s="4">
        <v>8.2445003393619987E-2</v>
      </c>
      <c r="N4823" t="s">
        <v>25</v>
      </c>
      <c r="O4823" t="str">
        <f t="shared" si="750"/>
        <v>Low</v>
      </c>
      <c r="P4823" t="str">
        <f t="shared" si="751"/>
        <v>Low</v>
      </c>
      <c r="Q4823" t="str">
        <f t="shared" si="752"/>
        <v>Low</v>
      </c>
      <c r="R4823" t="s">
        <v>3310</v>
      </c>
      <c r="S4823" s="4">
        <f t="shared" ca="1" si="753"/>
        <v>1794</v>
      </c>
      <c r="T4823">
        <f t="shared" si="754"/>
        <v>1</v>
      </c>
      <c r="U4823">
        <f t="shared" si="755"/>
        <v>1</v>
      </c>
      <c r="V4823">
        <f t="shared" si="756"/>
        <v>1</v>
      </c>
      <c r="W4823">
        <f t="shared" si="757"/>
        <v>2</v>
      </c>
      <c r="X4823">
        <f t="shared" si="758"/>
        <v>1.0999999999999999</v>
      </c>
      <c r="Y4823" t="str">
        <f t="shared" si="759"/>
        <v>Healthy</v>
      </c>
    </row>
    <row r="4824" spans="1:25" x14ac:dyDescent="0.35">
      <c r="A4824" t="s">
        <v>90</v>
      </c>
      <c r="B4824" t="s">
        <v>404</v>
      </c>
      <c r="C4824" t="s">
        <v>405</v>
      </c>
      <c r="D4824" t="s">
        <v>3011</v>
      </c>
      <c r="E4824">
        <v>80869510</v>
      </c>
      <c r="F4824" t="s">
        <v>3012</v>
      </c>
      <c r="G4824" s="3">
        <v>46864</v>
      </c>
      <c r="H4824">
        <v>24</v>
      </c>
      <c r="I4824">
        <v>93</v>
      </c>
      <c r="J4824">
        <v>135</v>
      </c>
      <c r="K4824" s="4">
        <v>15761.25</v>
      </c>
      <c r="L4824" s="4">
        <v>518.42857142857144</v>
      </c>
      <c r="M4824" s="4">
        <v>0.26040231468724168</v>
      </c>
      <c r="N4824" t="s">
        <v>25</v>
      </c>
      <c r="O4824" t="str">
        <f t="shared" si="750"/>
        <v>Low</v>
      </c>
      <c r="P4824" t="str">
        <f t="shared" si="751"/>
        <v>Low</v>
      </c>
      <c r="Q4824" t="str">
        <f t="shared" si="752"/>
        <v>Low</v>
      </c>
      <c r="R4824" t="s">
        <v>3317</v>
      </c>
      <c r="S4824" s="4">
        <f t="shared" ca="1" si="753"/>
        <v>667</v>
      </c>
      <c r="T4824">
        <f t="shared" si="754"/>
        <v>1</v>
      </c>
      <c r="U4824">
        <f t="shared" si="755"/>
        <v>1</v>
      </c>
      <c r="V4824">
        <f t="shared" si="756"/>
        <v>1</v>
      </c>
      <c r="W4824">
        <f t="shared" si="757"/>
        <v>1</v>
      </c>
      <c r="X4824">
        <f t="shared" si="758"/>
        <v>0.99999999999999989</v>
      </c>
      <c r="Y4824" t="str">
        <f t="shared" si="759"/>
        <v>Healthy</v>
      </c>
    </row>
    <row r="4825" spans="1:25" x14ac:dyDescent="0.35">
      <c r="A4825" t="s">
        <v>14</v>
      </c>
      <c r="B4825" t="s">
        <v>58</v>
      </c>
      <c r="C4825" t="s">
        <v>64</v>
      </c>
      <c r="D4825" t="s">
        <v>64</v>
      </c>
      <c r="E4825">
        <v>80797470</v>
      </c>
      <c r="F4825" t="s">
        <v>3013</v>
      </c>
      <c r="G4825" s="3">
        <v>47997</v>
      </c>
      <c r="H4825">
        <v>60</v>
      </c>
      <c r="I4825">
        <v>100</v>
      </c>
      <c r="J4825">
        <v>274</v>
      </c>
      <c r="K4825" s="4">
        <v>99809.98</v>
      </c>
      <c r="L4825" s="4">
        <v>3578.1428571428573</v>
      </c>
      <c r="M4825" s="4">
        <v>7.6576037050345352E-2</v>
      </c>
      <c r="N4825" t="s">
        <v>25</v>
      </c>
      <c r="O4825" t="str">
        <f t="shared" si="750"/>
        <v>Low</v>
      </c>
      <c r="P4825" t="str">
        <f t="shared" si="751"/>
        <v>Low</v>
      </c>
      <c r="Q4825" t="str">
        <f t="shared" si="752"/>
        <v>Low</v>
      </c>
      <c r="R4825" t="s">
        <v>3310</v>
      </c>
      <c r="S4825" s="4">
        <f t="shared" ca="1" si="753"/>
        <v>1800</v>
      </c>
      <c r="T4825">
        <f t="shared" si="754"/>
        <v>1</v>
      </c>
      <c r="U4825">
        <f t="shared" si="755"/>
        <v>1</v>
      </c>
      <c r="V4825">
        <f t="shared" si="756"/>
        <v>1</v>
      </c>
      <c r="W4825">
        <f t="shared" si="757"/>
        <v>2</v>
      </c>
      <c r="X4825">
        <f t="shared" si="758"/>
        <v>1.0999999999999999</v>
      </c>
      <c r="Y4825" t="str">
        <f t="shared" si="759"/>
        <v>Healthy</v>
      </c>
    </row>
    <row r="4826" spans="1:25" x14ac:dyDescent="0.35">
      <c r="A4826" t="s">
        <v>90</v>
      </c>
      <c r="B4826" t="s">
        <v>404</v>
      </c>
      <c r="C4826" t="s">
        <v>405</v>
      </c>
      <c r="D4826" t="s">
        <v>3011</v>
      </c>
      <c r="E4826">
        <v>80869510</v>
      </c>
      <c r="F4826" t="s">
        <v>3012</v>
      </c>
      <c r="G4826" s="3">
        <v>46848</v>
      </c>
      <c r="H4826">
        <v>24</v>
      </c>
      <c r="I4826">
        <v>91</v>
      </c>
      <c r="J4826">
        <v>18</v>
      </c>
      <c r="K4826" s="4">
        <v>2101.5</v>
      </c>
      <c r="L4826" s="4">
        <v>518.42857142857144</v>
      </c>
      <c r="M4826" s="4">
        <v>3.4720308624965557E-2</v>
      </c>
      <c r="N4826" t="s">
        <v>25</v>
      </c>
      <c r="O4826" t="str">
        <f t="shared" si="750"/>
        <v>Low</v>
      </c>
      <c r="P4826" t="str">
        <f t="shared" si="751"/>
        <v>Low</v>
      </c>
      <c r="Q4826" t="str">
        <f t="shared" si="752"/>
        <v>Low</v>
      </c>
      <c r="R4826" t="s">
        <v>3317</v>
      </c>
      <c r="S4826" s="4">
        <f t="shared" ca="1" si="753"/>
        <v>651</v>
      </c>
      <c r="T4826">
        <f t="shared" si="754"/>
        <v>1</v>
      </c>
      <c r="U4826">
        <f t="shared" si="755"/>
        <v>1</v>
      </c>
      <c r="V4826">
        <f t="shared" si="756"/>
        <v>1</v>
      </c>
      <c r="W4826">
        <f t="shared" si="757"/>
        <v>1</v>
      </c>
      <c r="X4826">
        <f t="shared" si="758"/>
        <v>0.99999999999999989</v>
      </c>
      <c r="Y4826" t="str">
        <f t="shared" si="759"/>
        <v>Healthy</v>
      </c>
    </row>
    <row r="4827" spans="1:25" x14ac:dyDescent="0.35">
      <c r="A4827" t="s">
        <v>90</v>
      </c>
      <c r="B4827" t="s">
        <v>404</v>
      </c>
      <c r="C4827" t="s">
        <v>405</v>
      </c>
      <c r="D4827" t="s">
        <v>3011</v>
      </c>
      <c r="E4827">
        <v>80869510</v>
      </c>
      <c r="F4827" t="s">
        <v>3012</v>
      </c>
      <c r="G4827" s="3">
        <v>46736</v>
      </c>
      <c r="H4827">
        <v>24</v>
      </c>
      <c r="I4827">
        <v>76</v>
      </c>
      <c r="J4827">
        <v>44</v>
      </c>
      <c r="K4827" s="4">
        <v>5137</v>
      </c>
      <c r="L4827" s="4">
        <v>518.42857142857144</v>
      </c>
      <c r="M4827" s="4">
        <v>8.4871865527693574E-2</v>
      </c>
      <c r="N4827" t="s">
        <v>25</v>
      </c>
      <c r="O4827" t="str">
        <f t="shared" si="750"/>
        <v>Low</v>
      </c>
      <c r="P4827" t="str">
        <f t="shared" si="751"/>
        <v>Low</v>
      </c>
      <c r="Q4827" t="str">
        <f t="shared" si="752"/>
        <v>Low</v>
      </c>
      <c r="R4827" t="s">
        <v>3317</v>
      </c>
      <c r="S4827" s="4">
        <f t="shared" ca="1" si="753"/>
        <v>539</v>
      </c>
      <c r="T4827">
        <f t="shared" si="754"/>
        <v>1</v>
      </c>
      <c r="U4827">
        <f t="shared" si="755"/>
        <v>1</v>
      </c>
      <c r="V4827">
        <f t="shared" si="756"/>
        <v>1</v>
      </c>
      <c r="W4827">
        <f t="shared" si="757"/>
        <v>1</v>
      </c>
      <c r="X4827">
        <f t="shared" si="758"/>
        <v>0.99999999999999989</v>
      </c>
      <c r="Y4827" t="str">
        <f t="shared" si="759"/>
        <v>Healthy</v>
      </c>
    </row>
    <row r="4828" spans="1:25" x14ac:dyDescent="0.35">
      <c r="A4828" t="s">
        <v>90</v>
      </c>
      <c r="B4828" t="s">
        <v>404</v>
      </c>
      <c r="C4828" t="s">
        <v>405</v>
      </c>
      <c r="D4828" t="s">
        <v>3011</v>
      </c>
      <c r="E4828">
        <v>80869510</v>
      </c>
      <c r="F4828" t="s">
        <v>3012</v>
      </c>
      <c r="G4828" s="3">
        <v>46756</v>
      </c>
      <c r="H4828">
        <v>24</v>
      </c>
      <c r="I4828">
        <v>78</v>
      </c>
      <c r="J4828">
        <v>75</v>
      </c>
      <c r="K4828" s="4">
        <v>8756.25</v>
      </c>
      <c r="L4828" s="4">
        <v>518.42857142857144</v>
      </c>
      <c r="M4828" s="4">
        <v>0.14466795260402315</v>
      </c>
      <c r="N4828" t="s">
        <v>25</v>
      </c>
      <c r="O4828" t="str">
        <f t="shared" si="750"/>
        <v>Low</v>
      </c>
      <c r="P4828" t="str">
        <f t="shared" si="751"/>
        <v>Low</v>
      </c>
      <c r="Q4828" t="str">
        <f t="shared" si="752"/>
        <v>Low</v>
      </c>
      <c r="R4828" t="s">
        <v>3317</v>
      </c>
      <c r="S4828" s="4">
        <f t="shared" ca="1" si="753"/>
        <v>559</v>
      </c>
      <c r="T4828">
        <f t="shared" si="754"/>
        <v>1</v>
      </c>
      <c r="U4828">
        <f t="shared" si="755"/>
        <v>1</v>
      </c>
      <c r="V4828">
        <f t="shared" si="756"/>
        <v>1</v>
      </c>
      <c r="W4828">
        <f t="shared" si="757"/>
        <v>1</v>
      </c>
      <c r="X4828">
        <f t="shared" si="758"/>
        <v>0.99999999999999989</v>
      </c>
      <c r="Y4828" t="str">
        <f t="shared" si="759"/>
        <v>Healthy</v>
      </c>
    </row>
    <row r="4829" spans="1:25" x14ac:dyDescent="0.35">
      <c r="A4829" t="s">
        <v>90</v>
      </c>
      <c r="B4829" t="s">
        <v>404</v>
      </c>
      <c r="C4829" t="s">
        <v>405</v>
      </c>
      <c r="D4829" t="s">
        <v>3011</v>
      </c>
      <c r="E4829">
        <v>80869510</v>
      </c>
      <c r="F4829" t="s">
        <v>3012</v>
      </c>
      <c r="G4829" s="3">
        <v>46750</v>
      </c>
      <c r="H4829">
        <v>24</v>
      </c>
      <c r="I4829">
        <v>78</v>
      </c>
      <c r="J4829">
        <v>45</v>
      </c>
      <c r="K4829" s="4">
        <v>5253.75</v>
      </c>
      <c r="L4829" s="4">
        <v>518.42857142857144</v>
      </c>
      <c r="M4829" s="4">
        <v>8.6800771562413892E-2</v>
      </c>
      <c r="N4829" t="s">
        <v>25</v>
      </c>
      <c r="O4829" t="str">
        <f t="shared" si="750"/>
        <v>Low</v>
      </c>
      <c r="P4829" t="str">
        <f t="shared" si="751"/>
        <v>Low</v>
      </c>
      <c r="Q4829" t="str">
        <f t="shared" si="752"/>
        <v>Low</v>
      </c>
      <c r="R4829" t="s">
        <v>3317</v>
      </c>
      <c r="S4829" s="4">
        <f t="shared" ca="1" si="753"/>
        <v>553</v>
      </c>
      <c r="T4829">
        <f t="shared" si="754"/>
        <v>1</v>
      </c>
      <c r="U4829">
        <f t="shared" si="755"/>
        <v>1</v>
      </c>
      <c r="V4829">
        <f t="shared" si="756"/>
        <v>1</v>
      </c>
      <c r="W4829">
        <f t="shared" si="757"/>
        <v>1</v>
      </c>
      <c r="X4829">
        <f t="shared" si="758"/>
        <v>0.99999999999999989</v>
      </c>
      <c r="Y4829" t="str">
        <f t="shared" si="759"/>
        <v>Healthy</v>
      </c>
    </row>
    <row r="4830" spans="1:25" x14ac:dyDescent="0.35">
      <c r="A4830" t="s">
        <v>90</v>
      </c>
      <c r="B4830" t="s">
        <v>404</v>
      </c>
      <c r="C4830" t="s">
        <v>405</v>
      </c>
      <c r="D4830" t="s">
        <v>3011</v>
      </c>
      <c r="E4830">
        <v>80869510</v>
      </c>
      <c r="F4830" t="s">
        <v>3012</v>
      </c>
      <c r="G4830" s="3">
        <v>46838</v>
      </c>
      <c r="H4830">
        <v>24</v>
      </c>
      <c r="I4830">
        <v>90</v>
      </c>
      <c r="J4830">
        <v>102</v>
      </c>
      <c r="K4830" s="4">
        <v>11908.5</v>
      </c>
      <c r="L4830" s="4">
        <v>518.42857142857144</v>
      </c>
      <c r="M4830" s="4">
        <v>0.19674841554147146</v>
      </c>
      <c r="N4830" t="s">
        <v>25</v>
      </c>
      <c r="O4830" t="str">
        <f t="shared" si="750"/>
        <v>Low</v>
      </c>
      <c r="P4830" t="str">
        <f t="shared" si="751"/>
        <v>Low</v>
      </c>
      <c r="Q4830" t="str">
        <f t="shared" si="752"/>
        <v>Low</v>
      </c>
      <c r="R4830" t="s">
        <v>3317</v>
      </c>
      <c r="S4830" s="4">
        <f t="shared" ca="1" si="753"/>
        <v>641</v>
      </c>
      <c r="T4830">
        <f t="shared" si="754"/>
        <v>1</v>
      </c>
      <c r="U4830">
        <f t="shared" si="755"/>
        <v>1</v>
      </c>
      <c r="V4830">
        <f t="shared" si="756"/>
        <v>1</v>
      </c>
      <c r="W4830">
        <f t="shared" si="757"/>
        <v>1</v>
      </c>
      <c r="X4830">
        <f t="shared" si="758"/>
        <v>0.99999999999999989</v>
      </c>
      <c r="Y4830" t="str">
        <f t="shared" si="759"/>
        <v>Healthy</v>
      </c>
    </row>
    <row r="4831" spans="1:25" x14ac:dyDescent="0.35">
      <c r="A4831" t="s">
        <v>41</v>
      </c>
      <c r="B4831" t="s">
        <v>54</v>
      </c>
      <c r="C4831" t="s">
        <v>87</v>
      </c>
      <c r="D4831" t="s">
        <v>2262</v>
      </c>
      <c r="E4831">
        <v>80872420</v>
      </c>
      <c r="F4831" t="s">
        <v>3014</v>
      </c>
      <c r="G4831" s="3">
        <v>47041</v>
      </c>
      <c r="H4831">
        <v>36</v>
      </c>
      <c r="I4831">
        <v>79</v>
      </c>
      <c r="J4831">
        <v>16</v>
      </c>
      <c r="K4831" s="4">
        <v>3281.28</v>
      </c>
      <c r="L4831" s="4">
        <v>11</v>
      </c>
      <c r="M4831" s="4">
        <v>1.4545454545454546</v>
      </c>
      <c r="N4831" t="s">
        <v>25</v>
      </c>
      <c r="O4831" t="str">
        <f t="shared" si="750"/>
        <v>Low</v>
      </c>
      <c r="P4831" t="str">
        <f t="shared" si="751"/>
        <v>Low</v>
      </c>
      <c r="Q4831" t="str">
        <f t="shared" si="752"/>
        <v>Medium</v>
      </c>
      <c r="R4831" t="s">
        <v>3317</v>
      </c>
      <c r="S4831" s="4">
        <f t="shared" ca="1" si="753"/>
        <v>844</v>
      </c>
      <c r="T4831">
        <f t="shared" si="754"/>
        <v>1</v>
      </c>
      <c r="U4831">
        <f t="shared" si="755"/>
        <v>1</v>
      </c>
      <c r="V4831">
        <f t="shared" si="756"/>
        <v>2</v>
      </c>
      <c r="W4831">
        <f t="shared" si="757"/>
        <v>1</v>
      </c>
      <c r="X4831">
        <f t="shared" si="758"/>
        <v>1.2000000000000002</v>
      </c>
      <c r="Y4831" t="str">
        <f t="shared" si="759"/>
        <v>Healthy</v>
      </c>
    </row>
    <row r="4832" spans="1:25" x14ac:dyDescent="0.35">
      <c r="A4832" t="s">
        <v>41</v>
      </c>
      <c r="B4832" t="s">
        <v>42</v>
      </c>
      <c r="C4832" t="s">
        <v>43</v>
      </c>
      <c r="D4832" t="s">
        <v>2727</v>
      </c>
      <c r="E4832">
        <v>80840118</v>
      </c>
      <c r="F4832" t="s">
        <v>3015</v>
      </c>
      <c r="G4832" s="3">
        <v>46755</v>
      </c>
      <c r="H4832">
        <v>36</v>
      </c>
      <c r="I4832">
        <v>52</v>
      </c>
      <c r="J4832">
        <v>5</v>
      </c>
      <c r="K4832" s="4">
        <v>4263.8500000000004</v>
      </c>
      <c r="L4832" s="4">
        <v>4.5714285714285712</v>
      </c>
      <c r="M4832" s="4">
        <v>1.09375</v>
      </c>
      <c r="N4832" t="s">
        <v>25</v>
      </c>
      <c r="O4832" t="str">
        <f t="shared" si="750"/>
        <v>Low</v>
      </c>
      <c r="P4832" t="str">
        <f t="shared" si="751"/>
        <v>Low</v>
      </c>
      <c r="Q4832" t="str">
        <f t="shared" si="752"/>
        <v>High</v>
      </c>
      <c r="R4832" t="s">
        <v>3317</v>
      </c>
      <c r="S4832" s="4">
        <f t="shared" ca="1" si="753"/>
        <v>558</v>
      </c>
      <c r="T4832">
        <f t="shared" si="754"/>
        <v>1</v>
      </c>
      <c r="U4832">
        <f t="shared" si="755"/>
        <v>1</v>
      </c>
      <c r="V4832">
        <f t="shared" si="756"/>
        <v>3</v>
      </c>
      <c r="W4832">
        <f t="shared" si="757"/>
        <v>1</v>
      </c>
      <c r="X4832">
        <f t="shared" si="758"/>
        <v>1.4000000000000001</v>
      </c>
      <c r="Y4832" t="str">
        <f t="shared" si="759"/>
        <v>Healthy</v>
      </c>
    </row>
    <row r="4833" spans="1:25" x14ac:dyDescent="0.35">
      <c r="A4833" t="s">
        <v>41</v>
      </c>
      <c r="B4833" t="s">
        <v>54</v>
      </c>
      <c r="C4833" t="s">
        <v>87</v>
      </c>
      <c r="D4833" t="s">
        <v>2262</v>
      </c>
      <c r="E4833">
        <v>80872420</v>
      </c>
      <c r="F4833" t="s">
        <v>3014</v>
      </c>
      <c r="G4833" s="3">
        <v>46998</v>
      </c>
      <c r="H4833">
        <v>36</v>
      </c>
      <c r="I4833">
        <v>75</v>
      </c>
      <c r="J4833">
        <v>17</v>
      </c>
      <c r="K4833" s="4">
        <v>3486.36</v>
      </c>
      <c r="L4833" s="4">
        <v>11</v>
      </c>
      <c r="M4833" s="4">
        <v>1.5454545454545454</v>
      </c>
      <c r="N4833" t="s">
        <v>25</v>
      </c>
      <c r="O4833" t="str">
        <f t="shared" si="750"/>
        <v>Low</v>
      </c>
      <c r="P4833" t="str">
        <f t="shared" si="751"/>
        <v>Low</v>
      </c>
      <c r="Q4833" t="str">
        <f t="shared" si="752"/>
        <v>Medium</v>
      </c>
      <c r="R4833" t="s">
        <v>3317</v>
      </c>
      <c r="S4833" s="4">
        <f t="shared" ca="1" si="753"/>
        <v>801</v>
      </c>
      <c r="T4833">
        <f t="shared" si="754"/>
        <v>1</v>
      </c>
      <c r="U4833">
        <f t="shared" si="755"/>
        <v>1</v>
      </c>
      <c r="V4833">
        <f t="shared" si="756"/>
        <v>2</v>
      </c>
      <c r="W4833">
        <f t="shared" si="757"/>
        <v>1</v>
      </c>
      <c r="X4833">
        <f t="shared" si="758"/>
        <v>1.2000000000000002</v>
      </c>
      <c r="Y4833" t="str">
        <f t="shared" si="759"/>
        <v>Healthy</v>
      </c>
    </row>
    <row r="4834" spans="1:25" x14ac:dyDescent="0.35">
      <c r="A4834" t="s">
        <v>41</v>
      </c>
      <c r="B4834" t="s">
        <v>42</v>
      </c>
      <c r="C4834" t="s">
        <v>365</v>
      </c>
      <c r="D4834" t="s">
        <v>378</v>
      </c>
      <c r="E4834">
        <v>80839861</v>
      </c>
      <c r="F4834" t="s">
        <v>3016</v>
      </c>
      <c r="G4834" s="3">
        <v>46695</v>
      </c>
      <c r="H4834">
        <v>36</v>
      </c>
      <c r="I4834">
        <v>47</v>
      </c>
      <c r="J4834">
        <v>6</v>
      </c>
      <c r="K4834" s="4">
        <v>1094.3399999999999</v>
      </c>
      <c r="L4834" s="4">
        <f>0</f>
        <v>0</v>
      </c>
      <c r="M4834" s="4">
        <f>999</f>
        <v>999</v>
      </c>
      <c r="N4834" t="s">
        <v>19</v>
      </c>
      <c r="O4834" t="str">
        <f t="shared" si="750"/>
        <v>Low</v>
      </c>
      <c r="P4834" t="str">
        <f t="shared" si="751"/>
        <v>High</v>
      </c>
      <c r="Q4834" t="str">
        <f t="shared" si="752"/>
        <v>High</v>
      </c>
      <c r="R4834" t="s">
        <v>3317</v>
      </c>
      <c r="S4834" s="4">
        <f t="shared" ca="1" si="753"/>
        <v>498</v>
      </c>
      <c r="T4834">
        <f t="shared" si="754"/>
        <v>1</v>
      </c>
      <c r="U4834">
        <f t="shared" si="755"/>
        <v>3</v>
      </c>
      <c r="V4834">
        <f t="shared" si="756"/>
        <v>3</v>
      </c>
      <c r="W4834">
        <f t="shared" si="757"/>
        <v>1</v>
      </c>
      <c r="X4834">
        <f t="shared" si="758"/>
        <v>2</v>
      </c>
      <c r="Y4834" t="str">
        <f t="shared" si="759"/>
        <v>Monitor</v>
      </c>
    </row>
    <row r="4835" spans="1:25" x14ac:dyDescent="0.35">
      <c r="A4835" t="s">
        <v>14</v>
      </c>
      <c r="B4835" t="s">
        <v>15</v>
      </c>
      <c r="C4835" t="s">
        <v>34</v>
      </c>
      <c r="D4835" t="s">
        <v>2054</v>
      </c>
      <c r="E4835">
        <v>80818350</v>
      </c>
      <c r="F4835" t="s">
        <v>3017</v>
      </c>
      <c r="G4835" s="3">
        <v>47839</v>
      </c>
      <c r="H4835">
        <v>60</v>
      </c>
      <c r="I4835">
        <v>92</v>
      </c>
      <c r="J4835">
        <v>36</v>
      </c>
      <c r="K4835" s="4">
        <v>6820.92</v>
      </c>
      <c r="L4835" s="4">
        <v>2251.8571428571427</v>
      </c>
      <c r="M4835" s="4">
        <v>1.5986804542282563E-2</v>
      </c>
      <c r="N4835" t="s">
        <v>25</v>
      </c>
      <c r="O4835" t="str">
        <f t="shared" si="750"/>
        <v>Low</v>
      </c>
      <c r="P4835" t="str">
        <f t="shared" si="751"/>
        <v>Low</v>
      </c>
      <c r="Q4835" t="str">
        <f t="shared" si="752"/>
        <v>Low</v>
      </c>
      <c r="R4835" t="s">
        <v>3317</v>
      </c>
      <c r="S4835" s="4">
        <f t="shared" ca="1" si="753"/>
        <v>1642</v>
      </c>
      <c r="T4835">
        <f t="shared" si="754"/>
        <v>1</v>
      </c>
      <c r="U4835">
        <f t="shared" si="755"/>
        <v>1</v>
      </c>
      <c r="V4835">
        <f t="shared" si="756"/>
        <v>1</v>
      </c>
      <c r="W4835">
        <f t="shared" si="757"/>
        <v>1</v>
      </c>
      <c r="X4835">
        <f t="shared" si="758"/>
        <v>0.99999999999999989</v>
      </c>
      <c r="Y4835" t="str">
        <f t="shared" si="759"/>
        <v>Healthy</v>
      </c>
    </row>
    <row r="4836" spans="1:25" x14ac:dyDescent="0.35">
      <c r="A4836" t="s">
        <v>14</v>
      </c>
      <c r="B4836" t="s">
        <v>15</v>
      </c>
      <c r="C4836" t="s">
        <v>34</v>
      </c>
      <c r="D4836" t="s">
        <v>2054</v>
      </c>
      <c r="E4836">
        <v>80818350</v>
      </c>
      <c r="F4836" t="s">
        <v>3017</v>
      </c>
      <c r="G4836" s="3">
        <v>47935</v>
      </c>
      <c r="H4836">
        <v>60</v>
      </c>
      <c r="I4836">
        <v>97</v>
      </c>
      <c r="J4836">
        <v>246</v>
      </c>
      <c r="K4836" s="4">
        <v>46609.62</v>
      </c>
      <c r="L4836" s="4">
        <v>2251.8571428571427</v>
      </c>
      <c r="M4836" s="4">
        <v>0.10924316437226417</v>
      </c>
      <c r="N4836" t="s">
        <v>25</v>
      </c>
      <c r="O4836" t="str">
        <f t="shared" si="750"/>
        <v>Low</v>
      </c>
      <c r="P4836" t="str">
        <f t="shared" si="751"/>
        <v>Low</v>
      </c>
      <c r="Q4836" t="str">
        <f t="shared" si="752"/>
        <v>Low</v>
      </c>
      <c r="R4836" t="s">
        <v>3317</v>
      </c>
      <c r="S4836" s="4">
        <f t="shared" ca="1" si="753"/>
        <v>1738</v>
      </c>
      <c r="T4836">
        <f t="shared" si="754"/>
        <v>1</v>
      </c>
      <c r="U4836">
        <f t="shared" si="755"/>
        <v>1</v>
      </c>
      <c r="V4836">
        <f t="shared" si="756"/>
        <v>1</v>
      </c>
      <c r="W4836">
        <f t="shared" si="757"/>
        <v>1</v>
      </c>
      <c r="X4836">
        <f t="shared" si="758"/>
        <v>0.99999999999999989</v>
      </c>
      <c r="Y4836" t="str">
        <f t="shared" si="759"/>
        <v>Healthy</v>
      </c>
    </row>
    <row r="4837" spans="1:25" x14ac:dyDescent="0.35">
      <c r="A4837" t="s">
        <v>14</v>
      </c>
      <c r="B4837" t="s">
        <v>15</v>
      </c>
      <c r="C4837" t="s">
        <v>34</v>
      </c>
      <c r="D4837" t="s">
        <v>2054</v>
      </c>
      <c r="E4837">
        <v>80818350</v>
      </c>
      <c r="F4837" t="s">
        <v>3017</v>
      </c>
      <c r="G4837" s="3">
        <v>48007</v>
      </c>
      <c r="H4837">
        <v>60</v>
      </c>
      <c r="I4837">
        <v>100</v>
      </c>
      <c r="J4837">
        <v>1476</v>
      </c>
      <c r="K4837" s="4">
        <v>279657.71999999997</v>
      </c>
      <c r="L4837" s="4">
        <v>2251.8571428571427</v>
      </c>
      <c r="M4837" s="4">
        <v>0.65545898623358501</v>
      </c>
      <c r="N4837" t="s">
        <v>25</v>
      </c>
      <c r="O4837" t="str">
        <f t="shared" si="750"/>
        <v>Low</v>
      </c>
      <c r="P4837" t="str">
        <f t="shared" si="751"/>
        <v>Low</v>
      </c>
      <c r="Q4837" t="str">
        <f t="shared" si="752"/>
        <v>Low</v>
      </c>
      <c r="R4837" t="s">
        <v>3309</v>
      </c>
      <c r="S4837" s="4">
        <f t="shared" ca="1" si="753"/>
        <v>1810</v>
      </c>
      <c r="T4837">
        <f t="shared" si="754"/>
        <v>1</v>
      </c>
      <c r="U4837">
        <f t="shared" si="755"/>
        <v>1</v>
      </c>
      <c r="V4837">
        <f t="shared" si="756"/>
        <v>1</v>
      </c>
      <c r="W4837">
        <f t="shared" si="757"/>
        <v>3</v>
      </c>
      <c r="X4837">
        <f t="shared" si="758"/>
        <v>1.2</v>
      </c>
      <c r="Y4837" t="str">
        <f t="shared" si="759"/>
        <v>Healthy</v>
      </c>
    </row>
    <row r="4838" spans="1:25" x14ac:dyDescent="0.35">
      <c r="A4838" t="s">
        <v>14</v>
      </c>
      <c r="B4838" t="s">
        <v>115</v>
      </c>
      <c r="C4838" t="s">
        <v>116</v>
      </c>
      <c r="D4838" t="s">
        <v>318</v>
      </c>
      <c r="E4838">
        <v>80871576</v>
      </c>
      <c r="F4838" t="s">
        <v>3018</v>
      </c>
      <c r="G4838" s="3">
        <v>47902</v>
      </c>
      <c r="H4838">
        <v>60</v>
      </c>
      <c r="I4838">
        <v>95</v>
      </c>
      <c r="J4838">
        <v>23</v>
      </c>
      <c r="K4838" s="4">
        <v>2292.87</v>
      </c>
      <c r="L4838" s="4">
        <v>15282</v>
      </c>
      <c r="M4838" s="4">
        <v>1.5050386075121057E-3</v>
      </c>
      <c r="N4838" t="s">
        <v>25</v>
      </c>
      <c r="O4838" t="str">
        <f t="shared" si="750"/>
        <v>Low</v>
      </c>
      <c r="P4838" t="str">
        <f t="shared" si="751"/>
        <v>Low</v>
      </c>
      <c r="Q4838" t="str">
        <f t="shared" si="752"/>
        <v>Low</v>
      </c>
      <c r="R4838" t="s">
        <v>3317</v>
      </c>
      <c r="S4838" s="4">
        <f t="shared" ca="1" si="753"/>
        <v>1705</v>
      </c>
      <c r="T4838">
        <f t="shared" si="754"/>
        <v>1</v>
      </c>
      <c r="U4838">
        <f t="shared" si="755"/>
        <v>1</v>
      </c>
      <c r="V4838">
        <f t="shared" si="756"/>
        <v>1</v>
      </c>
      <c r="W4838">
        <f t="shared" si="757"/>
        <v>1</v>
      </c>
      <c r="X4838">
        <f t="shared" si="758"/>
        <v>0.99999999999999989</v>
      </c>
      <c r="Y4838" t="str">
        <f t="shared" si="759"/>
        <v>Healthy</v>
      </c>
    </row>
    <row r="4839" spans="1:25" x14ac:dyDescent="0.35">
      <c r="A4839" t="s">
        <v>14</v>
      </c>
      <c r="B4839" t="s">
        <v>15</v>
      </c>
      <c r="C4839" t="s">
        <v>34</v>
      </c>
      <c r="D4839" t="s">
        <v>2054</v>
      </c>
      <c r="E4839">
        <v>80818350</v>
      </c>
      <c r="F4839" t="s">
        <v>3017</v>
      </c>
      <c r="G4839" s="3">
        <v>47663</v>
      </c>
      <c r="H4839">
        <v>60</v>
      </c>
      <c r="I4839">
        <v>82</v>
      </c>
      <c r="J4839">
        <v>56</v>
      </c>
      <c r="K4839" s="4">
        <v>10610.32</v>
      </c>
      <c r="L4839" s="4">
        <v>2251.8571428571427</v>
      </c>
      <c r="M4839" s="4">
        <v>2.4868362621328431E-2</v>
      </c>
      <c r="N4839" t="s">
        <v>25</v>
      </c>
      <c r="O4839" t="str">
        <f t="shared" si="750"/>
        <v>Low</v>
      </c>
      <c r="P4839" t="str">
        <f t="shared" si="751"/>
        <v>Low</v>
      </c>
      <c r="Q4839" t="str">
        <f t="shared" si="752"/>
        <v>Low</v>
      </c>
      <c r="R4839" t="s">
        <v>3317</v>
      </c>
      <c r="S4839" s="4">
        <f t="shared" ca="1" si="753"/>
        <v>1466</v>
      </c>
      <c r="T4839">
        <f t="shared" si="754"/>
        <v>1</v>
      </c>
      <c r="U4839">
        <f t="shared" si="755"/>
        <v>1</v>
      </c>
      <c r="V4839">
        <f t="shared" si="756"/>
        <v>1</v>
      </c>
      <c r="W4839">
        <f t="shared" si="757"/>
        <v>1</v>
      </c>
      <c r="X4839">
        <f t="shared" si="758"/>
        <v>0.99999999999999989</v>
      </c>
      <c r="Y4839" t="str">
        <f t="shared" si="759"/>
        <v>Healthy</v>
      </c>
    </row>
    <row r="4840" spans="1:25" x14ac:dyDescent="0.35">
      <c r="A4840" t="s">
        <v>14</v>
      </c>
      <c r="B4840" t="s">
        <v>15</v>
      </c>
      <c r="C4840" t="s">
        <v>34</v>
      </c>
      <c r="D4840" t="s">
        <v>2054</v>
      </c>
      <c r="E4840">
        <v>80818350</v>
      </c>
      <c r="F4840" t="s">
        <v>3017</v>
      </c>
      <c r="G4840" s="3">
        <v>47668</v>
      </c>
      <c r="H4840">
        <v>60</v>
      </c>
      <c r="I4840">
        <v>82</v>
      </c>
      <c r="J4840">
        <v>108</v>
      </c>
      <c r="K4840" s="4">
        <v>20462.759999999998</v>
      </c>
      <c r="L4840" s="4">
        <v>2251.8571428571427</v>
      </c>
      <c r="M4840" s="4">
        <v>4.7960413626847685E-2</v>
      </c>
      <c r="N4840" t="s">
        <v>25</v>
      </c>
      <c r="O4840" t="str">
        <f t="shared" si="750"/>
        <v>Low</v>
      </c>
      <c r="P4840" t="str">
        <f t="shared" si="751"/>
        <v>Low</v>
      </c>
      <c r="Q4840" t="str">
        <f t="shared" si="752"/>
        <v>Low</v>
      </c>
      <c r="R4840" t="s">
        <v>3317</v>
      </c>
      <c r="S4840" s="4">
        <f t="shared" ca="1" si="753"/>
        <v>1471</v>
      </c>
      <c r="T4840">
        <f t="shared" si="754"/>
        <v>1</v>
      </c>
      <c r="U4840">
        <f t="shared" si="755"/>
        <v>1</v>
      </c>
      <c r="V4840">
        <f t="shared" si="756"/>
        <v>1</v>
      </c>
      <c r="W4840">
        <f t="shared" si="757"/>
        <v>1</v>
      </c>
      <c r="X4840">
        <f t="shared" si="758"/>
        <v>0.99999999999999989</v>
      </c>
      <c r="Y4840" t="str">
        <f t="shared" si="759"/>
        <v>Healthy</v>
      </c>
    </row>
    <row r="4841" spans="1:25" x14ac:dyDescent="0.35">
      <c r="A4841" t="s">
        <v>71</v>
      </c>
      <c r="B4841" t="s">
        <v>72</v>
      </c>
      <c r="C4841" t="s">
        <v>310</v>
      </c>
      <c r="D4841" t="s">
        <v>2377</v>
      </c>
      <c r="E4841">
        <v>80875310</v>
      </c>
      <c r="F4841" t="s">
        <v>3019</v>
      </c>
      <c r="G4841" s="3">
        <v>46996</v>
      </c>
      <c r="H4841">
        <v>36</v>
      </c>
      <c r="I4841">
        <v>74</v>
      </c>
      <c r="J4841">
        <v>1</v>
      </c>
      <c r="K4841" s="4">
        <v>1752.99</v>
      </c>
      <c r="L4841" s="4">
        <v>49.714285714285715</v>
      </c>
      <c r="M4841" s="4">
        <v>2.0114942528735632E-2</v>
      </c>
      <c r="N4841" t="s">
        <v>25</v>
      </c>
      <c r="O4841" t="str">
        <f t="shared" si="750"/>
        <v>Low</v>
      </c>
      <c r="P4841" t="str">
        <f t="shared" si="751"/>
        <v>Low</v>
      </c>
      <c r="Q4841" t="str">
        <f t="shared" si="752"/>
        <v>Low</v>
      </c>
      <c r="R4841" t="s">
        <v>3317</v>
      </c>
      <c r="S4841" s="4">
        <f t="shared" ca="1" si="753"/>
        <v>799</v>
      </c>
      <c r="T4841">
        <f t="shared" si="754"/>
        <v>1</v>
      </c>
      <c r="U4841">
        <f t="shared" si="755"/>
        <v>1</v>
      </c>
      <c r="V4841">
        <f t="shared" si="756"/>
        <v>1</v>
      </c>
      <c r="W4841">
        <f t="shared" si="757"/>
        <v>1</v>
      </c>
      <c r="X4841">
        <f t="shared" si="758"/>
        <v>0.99999999999999989</v>
      </c>
      <c r="Y4841" t="str">
        <f t="shared" si="759"/>
        <v>Healthy</v>
      </c>
    </row>
    <row r="4842" spans="1:25" x14ac:dyDescent="0.35">
      <c r="A4842" t="s">
        <v>14</v>
      </c>
      <c r="B4842" t="s">
        <v>15</v>
      </c>
      <c r="C4842" t="s">
        <v>34</v>
      </c>
      <c r="D4842" t="s">
        <v>2054</v>
      </c>
      <c r="E4842">
        <v>80818350</v>
      </c>
      <c r="F4842" t="s">
        <v>3017</v>
      </c>
      <c r="G4842" s="3">
        <v>47913</v>
      </c>
      <c r="H4842">
        <v>60</v>
      </c>
      <c r="I4842">
        <v>96</v>
      </c>
      <c r="J4842">
        <v>72</v>
      </c>
      <c r="K4842" s="4">
        <v>13641.84</v>
      </c>
      <c r="L4842" s="4">
        <v>2251.8571428571427</v>
      </c>
      <c r="M4842" s="4">
        <v>3.1973609084565126E-2</v>
      </c>
      <c r="N4842" t="s">
        <v>25</v>
      </c>
      <c r="O4842" t="str">
        <f t="shared" si="750"/>
        <v>Low</v>
      </c>
      <c r="P4842" t="str">
        <f t="shared" si="751"/>
        <v>Low</v>
      </c>
      <c r="Q4842" t="str">
        <f t="shared" si="752"/>
        <v>Low</v>
      </c>
      <c r="R4842" t="s">
        <v>3317</v>
      </c>
      <c r="S4842" s="4">
        <f t="shared" ca="1" si="753"/>
        <v>1716</v>
      </c>
      <c r="T4842">
        <f t="shared" si="754"/>
        <v>1</v>
      </c>
      <c r="U4842">
        <f t="shared" si="755"/>
        <v>1</v>
      </c>
      <c r="V4842">
        <f t="shared" si="756"/>
        <v>1</v>
      </c>
      <c r="W4842">
        <f t="shared" si="757"/>
        <v>1</v>
      </c>
      <c r="X4842">
        <f t="shared" si="758"/>
        <v>0.99999999999999989</v>
      </c>
      <c r="Y4842" t="str">
        <f t="shared" si="759"/>
        <v>Healthy</v>
      </c>
    </row>
    <row r="4843" spans="1:25" x14ac:dyDescent="0.35">
      <c r="A4843" t="s">
        <v>71</v>
      </c>
      <c r="B4843" t="s">
        <v>72</v>
      </c>
      <c r="C4843" t="s">
        <v>73</v>
      </c>
      <c r="D4843" t="s">
        <v>1983</v>
      </c>
      <c r="E4843">
        <v>80875308</v>
      </c>
      <c r="F4843" t="s">
        <v>3020</v>
      </c>
      <c r="G4843" s="3">
        <v>46999</v>
      </c>
      <c r="H4843">
        <v>36</v>
      </c>
      <c r="I4843">
        <v>75</v>
      </c>
      <c r="J4843">
        <v>4</v>
      </c>
      <c r="K4843" s="4">
        <v>7600.2</v>
      </c>
      <c r="L4843" s="4">
        <v>42.285714285714285</v>
      </c>
      <c r="M4843" s="4">
        <v>9.45945945945946E-2</v>
      </c>
      <c r="N4843" t="s">
        <v>25</v>
      </c>
      <c r="O4843" t="str">
        <f t="shared" si="750"/>
        <v>Low</v>
      </c>
      <c r="P4843" t="str">
        <f t="shared" si="751"/>
        <v>Low</v>
      </c>
      <c r="Q4843" t="str">
        <f t="shared" si="752"/>
        <v>Low</v>
      </c>
      <c r="R4843" t="s">
        <v>3317</v>
      </c>
      <c r="S4843" s="4">
        <f t="shared" ca="1" si="753"/>
        <v>802</v>
      </c>
      <c r="T4843">
        <f t="shared" si="754"/>
        <v>1</v>
      </c>
      <c r="U4843">
        <f t="shared" si="755"/>
        <v>1</v>
      </c>
      <c r="V4843">
        <f t="shared" si="756"/>
        <v>1</v>
      </c>
      <c r="W4843">
        <f t="shared" si="757"/>
        <v>1</v>
      </c>
      <c r="X4843">
        <f t="shared" si="758"/>
        <v>0.99999999999999989</v>
      </c>
      <c r="Y4843" t="str">
        <f t="shared" si="759"/>
        <v>Healthy</v>
      </c>
    </row>
    <row r="4844" spans="1:25" x14ac:dyDescent="0.35">
      <c r="A4844" t="s">
        <v>14</v>
      </c>
      <c r="B4844" t="s">
        <v>15</v>
      </c>
      <c r="C4844" t="s">
        <v>34</v>
      </c>
      <c r="D4844" t="s">
        <v>2054</v>
      </c>
      <c r="E4844">
        <v>80818350</v>
      </c>
      <c r="F4844" t="s">
        <v>3017</v>
      </c>
      <c r="G4844" s="3">
        <v>47699</v>
      </c>
      <c r="H4844">
        <v>60</v>
      </c>
      <c r="I4844">
        <v>84</v>
      </c>
      <c r="J4844">
        <v>72</v>
      </c>
      <c r="K4844" s="4">
        <v>13641.84</v>
      </c>
      <c r="L4844" s="4">
        <v>2251.8571428571427</v>
      </c>
      <c r="M4844" s="4">
        <v>3.1973609084565126E-2</v>
      </c>
      <c r="N4844" t="s">
        <v>25</v>
      </c>
      <c r="O4844" t="str">
        <f t="shared" si="750"/>
        <v>Low</v>
      </c>
      <c r="P4844" t="str">
        <f t="shared" si="751"/>
        <v>Low</v>
      </c>
      <c r="Q4844" t="str">
        <f t="shared" si="752"/>
        <v>Low</v>
      </c>
      <c r="R4844" t="s">
        <v>3317</v>
      </c>
      <c r="S4844" s="4">
        <f t="shared" ca="1" si="753"/>
        <v>1502</v>
      </c>
      <c r="T4844">
        <f t="shared" si="754"/>
        <v>1</v>
      </c>
      <c r="U4844">
        <f t="shared" si="755"/>
        <v>1</v>
      </c>
      <c r="V4844">
        <f t="shared" si="756"/>
        <v>1</v>
      </c>
      <c r="W4844">
        <f t="shared" si="757"/>
        <v>1</v>
      </c>
      <c r="X4844">
        <f t="shared" si="758"/>
        <v>0.99999999999999989</v>
      </c>
      <c r="Y4844" t="str">
        <f t="shared" si="759"/>
        <v>Healthy</v>
      </c>
    </row>
    <row r="4845" spans="1:25" x14ac:dyDescent="0.35">
      <c r="A4845" t="s">
        <v>14</v>
      </c>
      <c r="B4845" t="s">
        <v>15</v>
      </c>
      <c r="C4845" t="s">
        <v>34</v>
      </c>
      <c r="D4845" t="s">
        <v>2054</v>
      </c>
      <c r="E4845">
        <v>80818350</v>
      </c>
      <c r="F4845" t="s">
        <v>3017</v>
      </c>
      <c r="G4845" s="3">
        <v>47685</v>
      </c>
      <c r="H4845">
        <v>60</v>
      </c>
      <c r="I4845">
        <v>83</v>
      </c>
      <c r="J4845">
        <v>72</v>
      </c>
      <c r="K4845" s="4">
        <v>13641.84</v>
      </c>
      <c r="L4845" s="4">
        <v>2251.8571428571427</v>
      </c>
      <c r="M4845" s="4">
        <v>3.1973609084565126E-2</v>
      </c>
      <c r="N4845" t="s">
        <v>25</v>
      </c>
      <c r="O4845" t="str">
        <f t="shared" si="750"/>
        <v>Low</v>
      </c>
      <c r="P4845" t="str">
        <f t="shared" si="751"/>
        <v>Low</v>
      </c>
      <c r="Q4845" t="str">
        <f t="shared" si="752"/>
        <v>Low</v>
      </c>
      <c r="R4845" t="s">
        <v>3317</v>
      </c>
      <c r="S4845" s="4">
        <f t="shared" ca="1" si="753"/>
        <v>1488</v>
      </c>
      <c r="T4845">
        <f t="shared" si="754"/>
        <v>1</v>
      </c>
      <c r="U4845">
        <f t="shared" si="755"/>
        <v>1</v>
      </c>
      <c r="V4845">
        <f t="shared" si="756"/>
        <v>1</v>
      </c>
      <c r="W4845">
        <f t="shared" si="757"/>
        <v>1</v>
      </c>
      <c r="X4845">
        <f t="shared" si="758"/>
        <v>0.99999999999999989</v>
      </c>
      <c r="Y4845" t="str">
        <f t="shared" si="759"/>
        <v>Healthy</v>
      </c>
    </row>
    <row r="4846" spans="1:25" x14ac:dyDescent="0.35">
      <c r="A4846" t="s">
        <v>90</v>
      </c>
      <c r="B4846" t="s">
        <v>91</v>
      </c>
      <c r="C4846" t="s">
        <v>255</v>
      </c>
      <c r="D4846" t="s">
        <v>3021</v>
      </c>
      <c r="E4846">
        <v>80875108</v>
      </c>
      <c r="F4846" t="s">
        <v>3022</v>
      </c>
      <c r="G4846" s="3">
        <v>46822</v>
      </c>
      <c r="H4846">
        <v>24</v>
      </c>
      <c r="I4846">
        <v>88</v>
      </c>
      <c r="J4846">
        <v>59</v>
      </c>
      <c r="K4846" s="4">
        <v>34373.99</v>
      </c>
      <c r="L4846" s="4">
        <v>964.71428571428567</v>
      </c>
      <c r="M4846" s="4">
        <v>6.1158003850140683E-2</v>
      </c>
      <c r="N4846" t="s">
        <v>25</v>
      </c>
      <c r="O4846" t="str">
        <f t="shared" si="750"/>
        <v>Low</v>
      </c>
      <c r="P4846" t="str">
        <f t="shared" si="751"/>
        <v>Low</v>
      </c>
      <c r="Q4846" t="str">
        <f t="shared" si="752"/>
        <v>Low</v>
      </c>
      <c r="R4846" t="s">
        <v>3317</v>
      </c>
      <c r="S4846" s="4">
        <f t="shared" ca="1" si="753"/>
        <v>625</v>
      </c>
      <c r="T4846">
        <f t="shared" si="754"/>
        <v>1</v>
      </c>
      <c r="U4846">
        <f t="shared" si="755"/>
        <v>1</v>
      </c>
      <c r="V4846">
        <f t="shared" si="756"/>
        <v>1</v>
      </c>
      <c r="W4846">
        <f t="shared" si="757"/>
        <v>1</v>
      </c>
      <c r="X4846">
        <f t="shared" si="758"/>
        <v>0.99999999999999989</v>
      </c>
      <c r="Y4846" t="str">
        <f t="shared" si="759"/>
        <v>Healthy</v>
      </c>
    </row>
    <row r="4847" spans="1:25" x14ac:dyDescent="0.35">
      <c r="A4847" t="s">
        <v>90</v>
      </c>
      <c r="B4847" t="s">
        <v>91</v>
      </c>
      <c r="C4847" t="s">
        <v>255</v>
      </c>
      <c r="D4847" t="s">
        <v>3021</v>
      </c>
      <c r="E4847">
        <v>80875108</v>
      </c>
      <c r="F4847" t="s">
        <v>3022</v>
      </c>
      <c r="G4847" s="3">
        <v>46820</v>
      </c>
      <c r="H4847">
        <v>24</v>
      </c>
      <c r="I4847">
        <v>87</v>
      </c>
      <c r="J4847">
        <v>73</v>
      </c>
      <c r="K4847" s="4">
        <v>42530.53</v>
      </c>
      <c r="L4847" s="4">
        <v>964.71428571428567</v>
      </c>
      <c r="M4847" s="4">
        <v>7.5670072560343554E-2</v>
      </c>
      <c r="N4847" t="s">
        <v>25</v>
      </c>
      <c r="O4847" t="str">
        <f t="shared" si="750"/>
        <v>Low</v>
      </c>
      <c r="P4847" t="str">
        <f t="shared" si="751"/>
        <v>Low</v>
      </c>
      <c r="Q4847" t="str">
        <f t="shared" si="752"/>
        <v>Low</v>
      </c>
      <c r="R4847" t="s">
        <v>3317</v>
      </c>
      <c r="S4847" s="4">
        <f t="shared" ca="1" si="753"/>
        <v>623</v>
      </c>
      <c r="T4847">
        <f t="shared" si="754"/>
        <v>1</v>
      </c>
      <c r="U4847">
        <f t="shared" si="755"/>
        <v>1</v>
      </c>
      <c r="V4847">
        <f t="shared" si="756"/>
        <v>1</v>
      </c>
      <c r="W4847">
        <f t="shared" si="757"/>
        <v>1</v>
      </c>
      <c r="X4847">
        <f t="shared" si="758"/>
        <v>0.99999999999999989</v>
      </c>
      <c r="Y4847" t="str">
        <f t="shared" si="759"/>
        <v>Healthy</v>
      </c>
    </row>
    <row r="4848" spans="1:25" x14ac:dyDescent="0.35">
      <c r="A4848" t="s">
        <v>90</v>
      </c>
      <c r="B4848" t="s">
        <v>91</v>
      </c>
      <c r="C4848" t="s">
        <v>255</v>
      </c>
      <c r="D4848" t="s">
        <v>3021</v>
      </c>
      <c r="E4848">
        <v>80875108</v>
      </c>
      <c r="F4848" t="s">
        <v>3022</v>
      </c>
      <c r="G4848" s="3">
        <v>46714</v>
      </c>
      <c r="H4848">
        <v>24</v>
      </c>
      <c r="I4848">
        <v>73</v>
      </c>
      <c r="J4848">
        <v>6</v>
      </c>
      <c r="K4848" s="4">
        <v>3495.66</v>
      </c>
      <c r="L4848" s="4">
        <v>964.71428571428567</v>
      </c>
      <c r="M4848" s="4">
        <v>6.2194580186583741E-3</v>
      </c>
      <c r="N4848" t="s">
        <v>25</v>
      </c>
      <c r="O4848" t="str">
        <f t="shared" si="750"/>
        <v>Low</v>
      </c>
      <c r="P4848" t="str">
        <f t="shared" si="751"/>
        <v>Low</v>
      </c>
      <c r="Q4848" t="str">
        <f t="shared" si="752"/>
        <v>Low</v>
      </c>
      <c r="R4848" t="s">
        <v>3317</v>
      </c>
      <c r="S4848" s="4">
        <f t="shared" ca="1" si="753"/>
        <v>517</v>
      </c>
      <c r="T4848">
        <f t="shared" si="754"/>
        <v>1</v>
      </c>
      <c r="U4848">
        <f t="shared" si="755"/>
        <v>1</v>
      </c>
      <c r="V4848">
        <f t="shared" si="756"/>
        <v>1</v>
      </c>
      <c r="W4848">
        <f t="shared" si="757"/>
        <v>1</v>
      </c>
      <c r="X4848">
        <f t="shared" si="758"/>
        <v>0.99999999999999989</v>
      </c>
      <c r="Y4848" t="str">
        <f t="shared" si="759"/>
        <v>Healthy</v>
      </c>
    </row>
    <row r="4849" spans="1:25" x14ac:dyDescent="0.35">
      <c r="A4849" t="s">
        <v>90</v>
      </c>
      <c r="B4849" t="s">
        <v>91</v>
      </c>
      <c r="C4849" t="s">
        <v>255</v>
      </c>
      <c r="D4849" t="s">
        <v>3021</v>
      </c>
      <c r="E4849">
        <v>80875108</v>
      </c>
      <c r="F4849" t="s">
        <v>3022</v>
      </c>
      <c r="G4849" s="3">
        <v>46900</v>
      </c>
      <c r="H4849">
        <v>24</v>
      </c>
      <c r="I4849">
        <v>98</v>
      </c>
      <c r="J4849">
        <v>32</v>
      </c>
      <c r="K4849" s="4">
        <v>18643.52</v>
      </c>
      <c r="L4849" s="4">
        <v>964.71428571428567</v>
      </c>
      <c r="M4849" s="4">
        <v>3.3170442766177997E-2</v>
      </c>
      <c r="N4849" t="s">
        <v>25</v>
      </c>
      <c r="O4849" t="str">
        <f t="shared" si="750"/>
        <v>Low</v>
      </c>
      <c r="P4849" t="str">
        <f t="shared" si="751"/>
        <v>Low</v>
      </c>
      <c r="Q4849" t="str">
        <f t="shared" si="752"/>
        <v>Low</v>
      </c>
      <c r="R4849" t="s">
        <v>3317</v>
      </c>
      <c r="S4849" s="4">
        <f t="shared" ca="1" si="753"/>
        <v>703</v>
      </c>
      <c r="T4849">
        <f t="shared" si="754"/>
        <v>1</v>
      </c>
      <c r="U4849">
        <f t="shared" si="755"/>
        <v>1</v>
      </c>
      <c r="V4849">
        <f t="shared" si="756"/>
        <v>1</v>
      </c>
      <c r="W4849">
        <f t="shared" si="757"/>
        <v>1</v>
      </c>
      <c r="X4849">
        <f t="shared" si="758"/>
        <v>0.99999999999999989</v>
      </c>
      <c r="Y4849" t="str">
        <f t="shared" si="759"/>
        <v>Healthy</v>
      </c>
    </row>
    <row r="4850" spans="1:25" x14ac:dyDescent="0.35">
      <c r="A4850" t="s">
        <v>90</v>
      </c>
      <c r="B4850" t="s">
        <v>91</v>
      </c>
      <c r="C4850" t="s">
        <v>255</v>
      </c>
      <c r="D4850" t="s">
        <v>3021</v>
      </c>
      <c r="E4850">
        <v>80875108</v>
      </c>
      <c r="F4850" t="s">
        <v>3022</v>
      </c>
      <c r="G4850" s="3">
        <v>46844</v>
      </c>
      <c r="H4850">
        <v>24</v>
      </c>
      <c r="I4850">
        <v>91</v>
      </c>
      <c r="J4850">
        <v>56</v>
      </c>
      <c r="K4850" s="4">
        <v>32626.16</v>
      </c>
      <c r="L4850" s="4">
        <v>964.71428571428567</v>
      </c>
      <c r="M4850" s="4">
        <v>5.8048274840811494E-2</v>
      </c>
      <c r="N4850" t="s">
        <v>25</v>
      </c>
      <c r="O4850" t="str">
        <f t="shared" si="750"/>
        <v>Low</v>
      </c>
      <c r="P4850" t="str">
        <f t="shared" si="751"/>
        <v>Low</v>
      </c>
      <c r="Q4850" t="str">
        <f t="shared" si="752"/>
        <v>Low</v>
      </c>
      <c r="R4850" t="s">
        <v>3317</v>
      </c>
      <c r="S4850" s="4">
        <f t="shared" ca="1" si="753"/>
        <v>647</v>
      </c>
      <c r="T4850">
        <f t="shared" si="754"/>
        <v>1</v>
      </c>
      <c r="U4850">
        <f t="shared" si="755"/>
        <v>1</v>
      </c>
      <c r="V4850">
        <f t="shared" si="756"/>
        <v>1</v>
      </c>
      <c r="W4850">
        <f t="shared" si="757"/>
        <v>1</v>
      </c>
      <c r="X4850">
        <f t="shared" si="758"/>
        <v>0.99999999999999989</v>
      </c>
      <c r="Y4850" t="str">
        <f t="shared" si="759"/>
        <v>Healthy</v>
      </c>
    </row>
    <row r="4851" spans="1:25" x14ac:dyDescent="0.35">
      <c r="A4851" t="s">
        <v>90</v>
      </c>
      <c r="B4851" t="s">
        <v>91</v>
      </c>
      <c r="C4851" t="s">
        <v>255</v>
      </c>
      <c r="D4851" t="s">
        <v>3021</v>
      </c>
      <c r="E4851">
        <v>80875108</v>
      </c>
      <c r="F4851" t="s">
        <v>3022</v>
      </c>
      <c r="G4851" s="3">
        <v>45906</v>
      </c>
      <c r="H4851">
        <v>24</v>
      </c>
      <c r="I4851">
        <v>0</v>
      </c>
      <c r="J4851">
        <v>4</v>
      </c>
      <c r="K4851" s="4">
        <v>2330.44</v>
      </c>
      <c r="L4851" s="4">
        <v>964.71428571428567</v>
      </c>
      <c r="M4851" s="4">
        <v>4.1463053457722497E-3</v>
      </c>
      <c r="N4851" t="s">
        <v>25</v>
      </c>
      <c r="O4851" t="str">
        <f t="shared" si="750"/>
        <v>High</v>
      </c>
      <c r="P4851" t="str">
        <f t="shared" si="751"/>
        <v>Low</v>
      </c>
      <c r="Q4851" t="str">
        <f t="shared" si="752"/>
        <v>Low</v>
      </c>
      <c r="R4851" t="s">
        <v>3317</v>
      </c>
      <c r="S4851" s="4">
        <f t="shared" ca="1" si="753"/>
        <v>-291</v>
      </c>
      <c r="T4851">
        <f t="shared" si="754"/>
        <v>3</v>
      </c>
      <c r="U4851">
        <f t="shared" si="755"/>
        <v>1</v>
      </c>
      <c r="V4851">
        <f t="shared" si="756"/>
        <v>1</v>
      </c>
      <c r="W4851">
        <f t="shared" si="757"/>
        <v>1</v>
      </c>
      <c r="X4851">
        <f t="shared" si="758"/>
        <v>1.8000000000000003</v>
      </c>
      <c r="Y4851" t="str">
        <f t="shared" si="759"/>
        <v>Monitor</v>
      </c>
    </row>
    <row r="4852" spans="1:25" x14ac:dyDescent="0.35">
      <c r="A4852" t="s">
        <v>90</v>
      </c>
      <c r="B4852" t="s">
        <v>91</v>
      </c>
      <c r="C4852" t="s">
        <v>255</v>
      </c>
      <c r="D4852" t="s">
        <v>3021</v>
      </c>
      <c r="E4852">
        <v>80875108</v>
      </c>
      <c r="F4852" t="s">
        <v>3022</v>
      </c>
      <c r="G4852" s="3">
        <v>46723</v>
      </c>
      <c r="H4852">
        <v>24</v>
      </c>
      <c r="I4852">
        <v>74</v>
      </c>
      <c r="J4852">
        <v>40</v>
      </c>
      <c r="K4852" s="4">
        <v>23304.400000000001</v>
      </c>
      <c r="L4852" s="4">
        <v>964.71428571428567</v>
      </c>
      <c r="M4852" s="4">
        <v>4.1463053457722499E-2</v>
      </c>
      <c r="N4852" t="s">
        <v>25</v>
      </c>
      <c r="O4852" t="str">
        <f t="shared" si="750"/>
        <v>Low</v>
      </c>
      <c r="P4852" t="str">
        <f t="shared" si="751"/>
        <v>Low</v>
      </c>
      <c r="Q4852" t="str">
        <f t="shared" si="752"/>
        <v>Low</v>
      </c>
      <c r="R4852" t="s">
        <v>3317</v>
      </c>
      <c r="S4852" s="4">
        <f t="shared" ca="1" si="753"/>
        <v>526</v>
      </c>
      <c r="T4852">
        <f t="shared" si="754"/>
        <v>1</v>
      </c>
      <c r="U4852">
        <f t="shared" si="755"/>
        <v>1</v>
      </c>
      <c r="V4852">
        <f t="shared" si="756"/>
        <v>1</v>
      </c>
      <c r="W4852">
        <f t="shared" si="757"/>
        <v>1</v>
      </c>
      <c r="X4852">
        <f t="shared" si="758"/>
        <v>0.99999999999999989</v>
      </c>
      <c r="Y4852" t="str">
        <f t="shared" si="759"/>
        <v>Healthy</v>
      </c>
    </row>
    <row r="4853" spans="1:25" x14ac:dyDescent="0.35">
      <c r="A4853" t="s">
        <v>41</v>
      </c>
      <c r="B4853" t="s">
        <v>54</v>
      </c>
      <c r="C4853" t="s">
        <v>459</v>
      </c>
      <c r="D4853" t="s">
        <v>1611</v>
      </c>
      <c r="E4853">
        <v>80880919</v>
      </c>
      <c r="F4853" t="s">
        <v>3023</v>
      </c>
      <c r="G4853" s="3">
        <v>47165</v>
      </c>
      <c r="H4853">
        <v>36</v>
      </c>
      <c r="I4853">
        <v>90</v>
      </c>
      <c r="J4853">
        <v>54</v>
      </c>
      <c r="K4853" s="4">
        <v>11074.32</v>
      </c>
      <c r="L4853" s="4">
        <v>1592.8571428571429</v>
      </c>
      <c r="M4853" s="4">
        <v>3.3901345291479819E-2</v>
      </c>
      <c r="N4853" t="s">
        <v>25</v>
      </c>
      <c r="O4853" t="str">
        <f t="shared" si="750"/>
        <v>Low</v>
      </c>
      <c r="P4853" t="str">
        <f t="shared" si="751"/>
        <v>Low</v>
      </c>
      <c r="Q4853" t="str">
        <f t="shared" si="752"/>
        <v>Low</v>
      </c>
      <c r="R4853" t="s">
        <v>3317</v>
      </c>
      <c r="S4853" s="4">
        <f t="shared" ca="1" si="753"/>
        <v>968</v>
      </c>
      <c r="T4853">
        <f t="shared" si="754"/>
        <v>1</v>
      </c>
      <c r="U4853">
        <f t="shared" si="755"/>
        <v>1</v>
      </c>
      <c r="V4853">
        <f t="shared" si="756"/>
        <v>1</v>
      </c>
      <c r="W4853">
        <f t="shared" si="757"/>
        <v>1</v>
      </c>
      <c r="X4853">
        <f t="shared" si="758"/>
        <v>0.99999999999999989</v>
      </c>
      <c r="Y4853" t="str">
        <f t="shared" si="759"/>
        <v>Healthy</v>
      </c>
    </row>
    <row r="4854" spans="1:25" x14ac:dyDescent="0.35">
      <c r="A4854" t="s">
        <v>41</v>
      </c>
      <c r="B4854" t="s">
        <v>54</v>
      </c>
      <c r="C4854" t="s">
        <v>459</v>
      </c>
      <c r="D4854" t="s">
        <v>1611</v>
      </c>
      <c r="E4854">
        <v>80880919</v>
      </c>
      <c r="F4854" t="s">
        <v>3023</v>
      </c>
      <c r="G4854" s="3">
        <v>47041</v>
      </c>
      <c r="H4854">
        <v>36</v>
      </c>
      <c r="I4854">
        <v>79</v>
      </c>
      <c r="J4854">
        <v>51</v>
      </c>
      <c r="K4854" s="4">
        <v>10459.08</v>
      </c>
      <c r="L4854" s="4">
        <v>1592.8571428571429</v>
      </c>
      <c r="M4854" s="4">
        <v>3.2017937219730938E-2</v>
      </c>
      <c r="N4854" t="s">
        <v>25</v>
      </c>
      <c r="O4854" t="str">
        <f t="shared" si="750"/>
        <v>Low</v>
      </c>
      <c r="P4854" t="str">
        <f t="shared" si="751"/>
        <v>Low</v>
      </c>
      <c r="Q4854" t="str">
        <f t="shared" si="752"/>
        <v>Low</v>
      </c>
      <c r="R4854" t="s">
        <v>3317</v>
      </c>
      <c r="S4854" s="4">
        <f t="shared" ca="1" si="753"/>
        <v>844</v>
      </c>
      <c r="T4854">
        <f t="shared" si="754"/>
        <v>1</v>
      </c>
      <c r="U4854">
        <f t="shared" si="755"/>
        <v>1</v>
      </c>
      <c r="V4854">
        <f t="shared" si="756"/>
        <v>1</v>
      </c>
      <c r="W4854">
        <f t="shared" si="757"/>
        <v>1</v>
      </c>
      <c r="X4854">
        <f t="shared" si="758"/>
        <v>0.99999999999999989</v>
      </c>
      <c r="Y4854" t="str">
        <f t="shared" si="759"/>
        <v>Healthy</v>
      </c>
    </row>
    <row r="4855" spans="1:25" x14ac:dyDescent="0.35">
      <c r="A4855" t="s">
        <v>41</v>
      </c>
      <c r="B4855" t="s">
        <v>54</v>
      </c>
      <c r="C4855" t="s">
        <v>459</v>
      </c>
      <c r="D4855" t="s">
        <v>1611</v>
      </c>
      <c r="E4855">
        <v>80880919</v>
      </c>
      <c r="F4855" t="s">
        <v>3023</v>
      </c>
      <c r="G4855" s="3">
        <v>47199</v>
      </c>
      <c r="H4855">
        <v>36</v>
      </c>
      <c r="I4855">
        <v>93</v>
      </c>
      <c r="J4855">
        <v>54</v>
      </c>
      <c r="K4855" s="4">
        <v>11074.32</v>
      </c>
      <c r="L4855" s="4">
        <v>1592.8571428571429</v>
      </c>
      <c r="M4855" s="4">
        <v>3.3901345291479819E-2</v>
      </c>
      <c r="N4855" t="s">
        <v>25</v>
      </c>
      <c r="O4855" t="str">
        <f t="shared" si="750"/>
        <v>Low</v>
      </c>
      <c r="P4855" t="str">
        <f t="shared" si="751"/>
        <v>Low</v>
      </c>
      <c r="Q4855" t="str">
        <f t="shared" si="752"/>
        <v>Low</v>
      </c>
      <c r="R4855" t="s">
        <v>3317</v>
      </c>
      <c r="S4855" s="4">
        <f t="shared" ca="1" si="753"/>
        <v>1002</v>
      </c>
      <c r="T4855">
        <f t="shared" si="754"/>
        <v>1</v>
      </c>
      <c r="U4855">
        <f t="shared" si="755"/>
        <v>1</v>
      </c>
      <c r="V4855">
        <f t="shared" si="756"/>
        <v>1</v>
      </c>
      <c r="W4855">
        <f t="shared" si="757"/>
        <v>1</v>
      </c>
      <c r="X4855">
        <f t="shared" si="758"/>
        <v>0.99999999999999989</v>
      </c>
      <c r="Y4855" t="str">
        <f t="shared" si="759"/>
        <v>Healthy</v>
      </c>
    </row>
    <row r="4856" spans="1:25" x14ac:dyDescent="0.35">
      <c r="A4856" t="s">
        <v>46</v>
      </c>
      <c r="B4856" t="s">
        <v>47</v>
      </c>
      <c r="C4856" t="s">
        <v>1712</v>
      </c>
      <c r="D4856" t="s">
        <v>1713</v>
      </c>
      <c r="E4856">
        <v>80835582</v>
      </c>
      <c r="F4856" t="s">
        <v>3024</v>
      </c>
      <c r="G4856" s="3">
        <v>46517</v>
      </c>
      <c r="H4856">
        <v>18</v>
      </c>
      <c r="I4856">
        <v>60</v>
      </c>
      <c r="J4856">
        <v>7</v>
      </c>
      <c r="K4856" s="4">
        <v>333.27</v>
      </c>
      <c r="L4856" s="4">
        <v>1148.2857142857142</v>
      </c>
      <c r="M4856" s="4">
        <v>6.0960437919880574E-3</v>
      </c>
      <c r="N4856" t="s">
        <v>25</v>
      </c>
      <c r="O4856" t="str">
        <f t="shared" si="750"/>
        <v>Low</v>
      </c>
      <c r="P4856" t="str">
        <f t="shared" si="751"/>
        <v>Low</v>
      </c>
      <c r="Q4856" t="str">
        <f t="shared" si="752"/>
        <v>Low</v>
      </c>
      <c r="R4856" t="s">
        <v>3317</v>
      </c>
      <c r="S4856" s="4">
        <f t="shared" ca="1" si="753"/>
        <v>320</v>
      </c>
      <c r="T4856">
        <f t="shared" si="754"/>
        <v>1</v>
      </c>
      <c r="U4856">
        <f t="shared" si="755"/>
        <v>1</v>
      </c>
      <c r="V4856">
        <f t="shared" si="756"/>
        <v>1</v>
      </c>
      <c r="W4856">
        <f t="shared" si="757"/>
        <v>1</v>
      </c>
      <c r="X4856">
        <f t="shared" si="758"/>
        <v>0.99999999999999989</v>
      </c>
      <c r="Y4856" t="str">
        <f t="shared" si="759"/>
        <v>Healthy</v>
      </c>
    </row>
    <row r="4857" spans="1:25" x14ac:dyDescent="0.35">
      <c r="A4857" t="s">
        <v>41</v>
      </c>
      <c r="B4857" t="s">
        <v>54</v>
      </c>
      <c r="C4857" t="s">
        <v>459</v>
      </c>
      <c r="D4857" t="s">
        <v>2649</v>
      </c>
      <c r="E4857">
        <v>80880921</v>
      </c>
      <c r="F4857" t="s">
        <v>3025</v>
      </c>
      <c r="G4857" s="3">
        <v>47103</v>
      </c>
      <c r="H4857">
        <v>36</v>
      </c>
      <c r="I4857">
        <v>84</v>
      </c>
      <c r="J4857">
        <v>48</v>
      </c>
      <c r="K4857" s="4">
        <v>58020.480000000003</v>
      </c>
      <c r="L4857" s="4">
        <v>90.857142857142861</v>
      </c>
      <c r="M4857" s="4">
        <v>0.52830188679245282</v>
      </c>
      <c r="N4857" t="s">
        <v>25</v>
      </c>
      <c r="O4857" t="str">
        <f t="shared" si="750"/>
        <v>Low</v>
      </c>
      <c r="P4857" t="str">
        <f t="shared" si="751"/>
        <v>Low</v>
      </c>
      <c r="Q4857" t="str">
        <f t="shared" si="752"/>
        <v>Low</v>
      </c>
      <c r="R4857" t="s">
        <v>3317</v>
      </c>
      <c r="S4857" s="4">
        <f t="shared" ca="1" si="753"/>
        <v>906</v>
      </c>
      <c r="T4857">
        <f t="shared" si="754"/>
        <v>1</v>
      </c>
      <c r="U4857">
        <f t="shared" si="755"/>
        <v>1</v>
      </c>
      <c r="V4857">
        <f t="shared" si="756"/>
        <v>1</v>
      </c>
      <c r="W4857">
        <f t="shared" si="757"/>
        <v>1</v>
      </c>
      <c r="X4857">
        <f t="shared" si="758"/>
        <v>0.99999999999999989</v>
      </c>
      <c r="Y4857" t="str">
        <f t="shared" si="759"/>
        <v>Healthy</v>
      </c>
    </row>
    <row r="4858" spans="1:25" x14ac:dyDescent="0.35">
      <c r="A4858" t="s">
        <v>46</v>
      </c>
      <c r="B4858" t="s">
        <v>47</v>
      </c>
      <c r="C4858" t="s">
        <v>1712</v>
      </c>
      <c r="D4858" t="s">
        <v>1713</v>
      </c>
      <c r="E4858">
        <v>80835582</v>
      </c>
      <c r="F4858" t="s">
        <v>3024</v>
      </c>
      <c r="G4858" s="3">
        <v>46461</v>
      </c>
      <c r="H4858">
        <v>18</v>
      </c>
      <c r="I4858">
        <v>50</v>
      </c>
      <c r="J4858">
        <v>46</v>
      </c>
      <c r="K4858" s="4">
        <v>2294.02</v>
      </c>
      <c r="L4858" s="4">
        <v>1148.2857142857142</v>
      </c>
      <c r="M4858" s="4">
        <v>4.0059716347350088E-2</v>
      </c>
      <c r="N4858" t="s">
        <v>25</v>
      </c>
      <c r="O4858" t="str">
        <f t="shared" si="750"/>
        <v>Low</v>
      </c>
      <c r="P4858" t="str">
        <f t="shared" si="751"/>
        <v>Low</v>
      </c>
      <c r="Q4858" t="str">
        <f t="shared" si="752"/>
        <v>Low</v>
      </c>
      <c r="R4858" t="s">
        <v>3317</v>
      </c>
      <c r="S4858" s="4">
        <f t="shared" ca="1" si="753"/>
        <v>264</v>
      </c>
      <c r="T4858">
        <f t="shared" si="754"/>
        <v>1</v>
      </c>
      <c r="U4858">
        <f t="shared" si="755"/>
        <v>1</v>
      </c>
      <c r="V4858">
        <f t="shared" si="756"/>
        <v>1</v>
      </c>
      <c r="W4858">
        <f t="shared" si="757"/>
        <v>1</v>
      </c>
      <c r="X4858">
        <f t="shared" si="758"/>
        <v>0.99999999999999989</v>
      </c>
      <c r="Y4858" t="str">
        <f t="shared" si="759"/>
        <v>Healthy</v>
      </c>
    </row>
    <row r="4859" spans="1:25" x14ac:dyDescent="0.35">
      <c r="A4859" t="s">
        <v>41</v>
      </c>
      <c r="B4859" t="s">
        <v>54</v>
      </c>
      <c r="C4859" t="s">
        <v>459</v>
      </c>
      <c r="D4859" t="s">
        <v>2649</v>
      </c>
      <c r="E4859">
        <v>80880921</v>
      </c>
      <c r="F4859" t="s">
        <v>3025</v>
      </c>
      <c r="G4859" s="3">
        <v>47048</v>
      </c>
      <c r="H4859">
        <v>36</v>
      </c>
      <c r="I4859">
        <v>79</v>
      </c>
      <c r="J4859">
        <v>795</v>
      </c>
      <c r="K4859" s="4">
        <v>960964.2</v>
      </c>
      <c r="L4859" s="4">
        <v>90.857142857142861</v>
      </c>
      <c r="M4859" s="4">
        <v>8.75</v>
      </c>
      <c r="N4859" t="s">
        <v>19</v>
      </c>
      <c r="O4859" t="str">
        <f t="shared" si="750"/>
        <v>Low</v>
      </c>
      <c r="P4859" t="str">
        <f t="shared" si="751"/>
        <v>High</v>
      </c>
      <c r="Q4859" t="str">
        <f t="shared" si="752"/>
        <v>Low</v>
      </c>
      <c r="R4859" t="s">
        <v>3309</v>
      </c>
      <c r="S4859" s="4">
        <f t="shared" ca="1" si="753"/>
        <v>851</v>
      </c>
      <c r="T4859">
        <f t="shared" si="754"/>
        <v>1</v>
      </c>
      <c r="U4859">
        <f t="shared" si="755"/>
        <v>3</v>
      </c>
      <c r="V4859">
        <f t="shared" si="756"/>
        <v>1</v>
      </c>
      <c r="W4859">
        <f t="shared" si="757"/>
        <v>3</v>
      </c>
      <c r="X4859">
        <f t="shared" si="758"/>
        <v>1.7999999999999998</v>
      </c>
      <c r="Y4859" t="str">
        <f t="shared" si="759"/>
        <v>Monitor</v>
      </c>
    </row>
    <row r="4860" spans="1:25" x14ac:dyDescent="0.35">
      <c r="A4860" t="s">
        <v>41</v>
      </c>
      <c r="B4860" t="s">
        <v>54</v>
      </c>
      <c r="C4860" t="s">
        <v>55</v>
      </c>
      <c r="D4860" t="s">
        <v>1564</v>
      </c>
      <c r="E4860">
        <v>80880888</v>
      </c>
      <c r="F4860" t="s">
        <v>3026</v>
      </c>
      <c r="G4860" s="3">
        <v>47093</v>
      </c>
      <c r="H4860">
        <v>36</v>
      </c>
      <c r="I4860">
        <v>83</v>
      </c>
      <c r="J4860">
        <v>4</v>
      </c>
      <c r="K4860" s="4">
        <v>4524.6400000000003</v>
      </c>
      <c r="L4860" s="4">
        <v>25.714285714285715</v>
      </c>
      <c r="M4860" s="4">
        <v>0.15555555555555556</v>
      </c>
      <c r="N4860" t="s">
        <v>25</v>
      </c>
      <c r="O4860" t="str">
        <f t="shared" si="750"/>
        <v>Low</v>
      </c>
      <c r="P4860" t="str">
        <f t="shared" si="751"/>
        <v>Low</v>
      </c>
      <c r="Q4860" t="str">
        <f t="shared" si="752"/>
        <v>Low</v>
      </c>
      <c r="R4860" t="s">
        <v>3317</v>
      </c>
      <c r="S4860" s="4">
        <f t="shared" ca="1" si="753"/>
        <v>896</v>
      </c>
      <c r="T4860">
        <f t="shared" si="754"/>
        <v>1</v>
      </c>
      <c r="U4860">
        <f t="shared" si="755"/>
        <v>1</v>
      </c>
      <c r="V4860">
        <f t="shared" si="756"/>
        <v>1</v>
      </c>
      <c r="W4860">
        <f t="shared" si="757"/>
        <v>1</v>
      </c>
      <c r="X4860">
        <f t="shared" si="758"/>
        <v>0.99999999999999989</v>
      </c>
      <c r="Y4860" t="str">
        <f t="shared" si="759"/>
        <v>Healthy</v>
      </c>
    </row>
    <row r="4861" spans="1:25" x14ac:dyDescent="0.35">
      <c r="A4861" t="s">
        <v>41</v>
      </c>
      <c r="B4861" t="s">
        <v>54</v>
      </c>
      <c r="C4861" t="s">
        <v>55</v>
      </c>
      <c r="D4861" t="s">
        <v>1564</v>
      </c>
      <c r="E4861">
        <v>80880888</v>
      </c>
      <c r="F4861" t="s">
        <v>3026</v>
      </c>
      <c r="G4861" s="3">
        <v>47103</v>
      </c>
      <c r="H4861">
        <v>36</v>
      </c>
      <c r="I4861">
        <v>84</v>
      </c>
      <c r="J4861">
        <v>8</v>
      </c>
      <c r="K4861" s="4">
        <v>9049.2800000000007</v>
      </c>
      <c r="L4861" s="4">
        <v>25.714285714285715</v>
      </c>
      <c r="M4861" s="4">
        <v>0.31111111111111112</v>
      </c>
      <c r="N4861" t="s">
        <v>25</v>
      </c>
      <c r="O4861" t="str">
        <f t="shared" si="750"/>
        <v>Low</v>
      </c>
      <c r="P4861" t="str">
        <f t="shared" si="751"/>
        <v>Low</v>
      </c>
      <c r="Q4861" t="str">
        <f t="shared" si="752"/>
        <v>Low</v>
      </c>
      <c r="R4861" t="s">
        <v>3317</v>
      </c>
      <c r="S4861" s="4">
        <f t="shared" ca="1" si="753"/>
        <v>906</v>
      </c>
      <c r="T4861">
        <f t="shared" si="754"/>
        <v>1</v>
      </c>
      <c r="U4861">
        <f t="shared" si="755"/>
        <v>1</v>
      </c>
      <c r="V4861">
        <f t="shared" si="756"/>
        <v>1</v>
      </c>
      <c r="W4861">
        <f t="shared" si="757"/>
        <v>1</v>
      </c>
      <c r="X4861">
        <f t="shared" si="758"/>
        <v>0.99999999999999989</v>
      </c>
      <c r="Y4861" t="str">
        <f t="shared" si="759"/>
        <v>Healthy</v>
      </c>
    </row>
    <row r="4862" spans="1:25" x14ac:dyDescent="0.35">
      <c r="A4862" t="s">
        <v>189</v>
      </c>
      <c r="B4862" t="s">
        <v>539</v>
      </c>
      <c r="C4862" t="s">
        <v>539</v>
      </c>
      <c r="D4862" t="s">
        <v>3027</v>
      </c>
      <c r="E4862">
        <v>80885888</v>
      </c>
      <c r="F4862" t="s">
        <v>3028</v>
      </c>
      <c r="G4862" s="3">
        <v>46838</v>
      </c>
      <c r="H4862">
        <v>24</v>
      </c>
      <c r="I4862">
        <v>90</v>
      </c>
      <c r="J4862">
        <v>11114</v>
      </c>
      <c r="K4862" s="4">
        <v>569814.78</v>
      </c>
      <c r="L4862" s="4">
        <v>46569</v>
      </c>
      <c r="M4862" s="4">
        <v>0.23865661706285296</v>
      </c>
      <c r="N4862" t="s">
        <v>25</v>
      </c>
      <c r="O4862" t="str">
        <f t="shared" si="750"/>
        <v>Low</v>
      </c>
      <c r="P4862" t="str">
        <f t="shared" si="751"/>
        <v>Low</v>
      </c>
      <c r="Q4862" t="str">
        <f t="shared" si="752"/>
        <v>Low</v>
      </c>
      <c r="R4862" t="s">
        <v>3309</v>
      </c>
      <c r="S4862" s="4">
        <f t="shared" ca="1" si="753"/>
        <v>641</v>
      </c>
      <c r="T4862">
        <f t="shared" si="754"/>
        <v>1</v>
      </c>
      <c r="U4862">
        <f t="shared" si="755"/>
        <v>1</v>
      </c>
      <c r="V4862">
        <f t="shared" si="756"/>
        <v>1</v>
      </c>
      <c r="W4862">
        <f t="shared" si="757"/>
        <v>3</v>
      </c>
      <c r="X4862">
        <f t="shared" si="758"/>
        <v>1.2</v>
      </c>
      <c r="Y4862" t="str">
        <f t="shared" si="759"/>
        <v>Healthy</v>
      </c>
    </row>
    <row r="4863" spans="1:25" x14ac:dyDescent="0.35">
      <c r="A4863" t="s">
        <v>20</v>
      </c>
      <c r="B4863" t="s">
        <v>21</v>
      </c>
      <c r="C4863" t="s">
        <v>171</v>
      </c>
      <c r="D4863" t="s">
        <v>3029</v>
      </c>
      <c r="E4863">
        <v>80837894</v>
      </c>
      <c r="F4863" t="s">
        <v>3030</v>
      </c>
      <c r="G4863" s="3">
        <v>46716</v>
      </c>
      <c r="H4863">
        <v>36</v>
      </c>
      <c r="I4863">
        <v>49</v>
      </c>
      <c r="J4863">
        <v>9</v>
      </c>
      <c r="K4863" s="4">
        <v>972</v>
      </c>
      <c r="L4863" s="4">
        <v>1.7142857142857142</v>
      </c>
      <c r="M4863" s="4">
        <v>5.25</v>
      </c>
      <c r="N4863" t="s">
        <v>25</v>
      </c>
      <c r="O4863" t="str">
        <f t="shared" si="750"/>
        <v>Low</v>
      </c>
      <c r="P4863" t="str">
        <f t="shared" si="751"/>
        <v>Medium</v>
      </c>
      <c r="Q4863" t="str">
        <f t="shared" si="752"/>
        <v>High</v>
      </c>
      <c r="R4863" t="s">
        <v>3317</v>
      </c>
      <c r="S4863" s="4">
        <f t="shared" ca="1" si="753"/>
        <v>519</v>
      </c>
      <c r="T4863">
        <f t="shared" si="754"/>
        <v>1</v>
      </c>
      <c r="U4863">
        <f t="shared" si="755"/>
        <v>2</v>
      </c>
      <c r="V4863">
        <f t="shared" si="756"/>
        <v>3</v>
      </c>
      <c r="W4863">
        <f t="shared" si="757"/>
        <v>1</v>
      </c>
      <c r="X4863">
        <f t="shared" si="758"/>
        <v>1.7000000000000002</v>
      </c>
      <c r="Y4863" t="str">
        <f t="shared" si="759"/>
        <v>Monitor</v>
      </c>
    </row>
    <row r="4864" spans="1:25" x14ac:dyDescent="0.35">
      <c r="A4864" t="s">
        <v>14</v>
      </c>
      <c r="B4864" t="s">
        <v>343</v>
      </c>
      <c r="C4864" t="s">
        <v>3031</v>
      </c>
      <c r="D4864" t="s">
        <v>3032</v>
      </c>
      <c r="E4864">
        <v>80803712</v>
      </c>
      <c r="F4864" t="s">
        <v>3033</v>
      </c>
      <c r="G4864" s="3">
        <v>47987</v>
      </c>
      <c r="H4864">
        <v>60</v>
      </c>
      <c r="I4864">
        <v>100</v>
      </c>
      <c r="J4864">
        <v>91</v>
      </c>
      <c r="K4864" s="4">
        <v>30473.17</v>
      </c>
      <c r="L4864" s="4">
        <v>1362.2857142857142</v>
      </c>
      <c r="M4864" s="4">
        <v>6.6799496644295311E-2</v>
      </c>
      <c r="N4864" t="s">
        <v>25</v>
      </c>
      <c r="O4864" t="str">
        <f t="shared" si="750"/>
        <v>Low</v>
      </c>
      <c r="P4864" t="str">
        <f t="shared" si="751"/>
        <v>Low</v>
      </c>
      <c r="Q4864" t="str">
        <f t="shared" si="752"/>
        <v>Low</v>
      </c>
      <c r="R4864" t="s">
        <v>3317</v>
      </c>
      <c r="S4864" s="4">
        <f t="shared" ca="1" si="753"/>
        <v>1790</v>
      </c>
      <c r="T4864">
        <f t="shared" si="754"/>
        <v>1</v>
      </c>
      <c r="U4864">
        <f t="shared" si="755"/>
        <v>1</v>
      </c>
      <c r="V4864">
        <f t="shared" si="756"/>
        <v>1</v>
      </c>
      <c r="W4864">
        <f t="shared" si="757"/>
        <v>1</v>
      </c>
      <c r="X4864">
        <f t="shared" si="758"/>
        <v>0.99999999999999989</v>
      </c>
      <c r="Y4864" t="str">
        <f t="shared" si="759"/>
        <v>Healthy</v>
      </c>
    </row>
    <row r="4865" spans="1:25" x14ac:dyDescent="0.35">
      <c r="A4865" t="s">
        <v>189</v>
      </c>
      <c r="B4865" t="s">
        <v>539</v>
      </c>
      <c r="C4865" t="s">
        <v>539</v>
      </c>
      <c r="D4865" t="s">
        <v>3027</v>
      </c>
      <c r="E4865">
        <v>80885888</v>
      </c>
      <c r="F4865" t="s">
        <v>3028</v>
      </c>
      <c r="G4865" s="3">
        <v>46863</v>
      </c>
      <c r="H4865">
        <v>24</v>
      </c>
      <c r="I4865">
        <v>93</v>
      </c>
      <c r="J4865">
        <v>9083</v>
      </c>
      <c r="K4865" s="4">
        <v>465685.41</v>
      </c>
      <c r="L4865" s="4">
        <v>46569</v>
      </c>
      <c r="M4865" s="4">
        <v>0.19504391333290386</v>
      </c>
      <c r="N4865" t="s">
        <v>25</v>
      </c>
      <c r="O4865" t="str">
        <f t="shared" si="750"/>
        <v>Low</v>
      </c>
      <c r="P4865" t="str">
        <f t="shared" si="751"/>
        <v>Low</v>
      </c>
      <c r="Q4865" t="str">
        <f t="shared" si="752"/>
        <v>Low</v>
      </c>
      <c r="R4865" t="s">
        <v>3309</v>
      </c>
      <c r="S4865" s="4">
        <f t="shared" ca="1" si="753"/>
        <v>666</v>
      </c>
      <c r="T4865">
        <f t="shared" si="754"/>
        <v>1</v>
      </c>
      <c r="U4865">
        <f t="shared" si="755"/>
        <v>1</v>
      </c>
      <c r="V4865">
        <f t="shared" si="756"/>
        <v>1</v>
      </c>
      <c r="W4865">
        <f t="shared" si="757"/>
        <v>3</v>
      </c>
      <c r="X4865">
        <f t="shared" si="758"/>
        <v>1.2</v>
      </c>
      <c r="Y4865" t="str">
        <f t="shared" si="759"/>
        <v>Healthy</v>
      </c>
    </row>
    <row r="4866" spans="1:25" x14ac:dyDescent="0.35">
      <c r="A4866" t="s">
        <v>14</v>
      </c>
      <c r="B4866" t="s">
        <v>343</v>
      </c>
      <c r="C4866" t="s">
        <v>3031</v>
      </c>
      <c r="D4866" t="s">
        <v>3032</v>
      </c>
      <c r="E4866">
        <v>80803712</v>
      </c>
      <c r="F4866" t="s">
        <v>3033</v>
      </c>
      <c r="G4866" s="3">
        <v>47948</v>
      </c>
      <c r="H4866">
        <v>60</v>
      </c>
      <c r="I4866">
        <v>98</v>
      </c>
      <c r="J4866">
        <v>86</v>
      </c>
      <c r="K4866" s="4">
        <v>28798.82</v>
      </c>
      <c r="L4866" s="4">
        <v>1362.2857142857142</v>
      </c>
      <c r="M4866" s="4">
        <v>6.3129194630872493E-2</v>
      </c>
      <c r="N4866" t="s">
        <v>25</v>
      </c>
      <c r="O4866" t="str">
        <f t="shared" si="750"/>
        <v>Low</v>
      </c>
      <c r="P4866" t="str">
        <f t="shared" si="751"/>
        <v>Low</v>
      </c>
      <c r="Q4866" t="str">
        <f t="shared" si="752"/>
        <v>Low</v>
      </c>
      <c r="R4866" t="s">
        <v>3317</v>
      </c>
      <c r="S4866" s="4">
        <f t="shared" ca="1" si="753"/>
        <v>1751</v>
      </c>
      <c r="T4866">
        <f t="shared" si="754"/>
        <v>1</v>
      </c>
      <c r="U4866">
        <f t="shared" si="755"/>
        <v>1</v>
      </c>
      <c r="V4866">
        <f t="shared" si="756"/>
        <v>1</v>
      </c>
      <c r="W4866">
        <f t="shared" si="757"/>
        <v>1</v>
      </c>
      <c r="X4866">
        <f t="shared" si="758"/>
        <v>0.99999999999999989</v>
      </c>
      <c r="Y4866" t="str">
        <f t="shared" si="759"/>
        <v>Healthy</v>
      </c>
    </row>
    <row r="4867" spans="1:25" x14ac:dyDescent="0.35">
      <c r="A4867" t="s">
        <v>14</v>
      </c>
      <c r="B4867" t="s">
        <v>343</v>
      </c>
      <c r="C4867" t="s">
        <v>3031</v>
      </c>
      <c r="D4867" t="s">
        <v>3032</v>
      </c>
      <c r="E4867">
        <v>80803712</v>
      </c>
      <c r="F4867" t="s">
        <v>3033</v>
      </c>
      <c r="G4867" s="3">
        <v>47988</v>
      </c>
      <c r="H4867">
        <v>60</v>
      </c>
      <c r="I4867">
        <v>100</v>
      </c>
      <c r="J4867">
        <v>28</v>
      </c>
      <c r="K4867" s="4">
        <v>9376.36</v>
      </c>
      <c r="L4867" s="4">
        <v>1362.2857142857142</v>
      </c>
      <c r="M4867" s="4">
        <v>2.0553691275167787E-2</v>
      </c>
      <c r="N4867" t="s">
        <v>25</v>
      </c>
      <c r="O4867" t="str">
        <f t="shared" ref="O4867:O4930" si="760">IF(I4867&lt;20,"High",IF(I4867&lt;40,"Medium","Low"))</f>
        <v>Low</v>
      </c>
      <c r="P4867" t="str">
        <f t="shared" ref="P4867:P4930" si="761">IF(M4867&gt;8,"High",IF(M4867&gt;4,"Medium","Low"))</f>
        <v>Low</v>
      </c>
      <c r="Q4867" t="str">
        <f t="shared" ref="Q4867:Q4930" si="762">IF(L4867&lt;5,"High",IF(L4867&lt;15,"Medium","Low"))</f>
        <v>Low</v>
      </c>
      <c r="R4867" t="s">
        <v>3317</v>
      </c>
      <c r="S4867" s="4">
        <f t="shared" ref="S4867:S4930" ca="1" si="763">G4867-TODAY()</f>
        <v>1791</v>
      </c>
      <c r="T4867">
        <f t="shared" ref="T4867:T4930" si="764">IF(O4867="High",3,IF(O4867="Medium",2,1))</f>
        <v>1</v>
      </c>
      <c r="U4867">
        <f t="shared" ref="U4867:U4930" si="765">IF(P4867="High",3,IF(P4867="Medium",2,1))</f>
        <v>1</v>
      </c>
      <c r="V4867">
        <f t="shared" ref="V4867:V4930" si="766">IF(Q4867="High",3,IF(Q4867="Medium",2,1))</f>
        <v>1</v>
      </c>
      <c r="W4867">
        <f t="shared" ref="W4867:W4930" si="767">IF(R4867="High",3,IF(R4867="Medium",2,1))</f>
        <v>1</v>
      </c>
      <c r="X4867">
        <f t="shared" ref="X4867:X4930" si="768">(0.4*T4867)+(0.3*U4867)+(0.2*V4867)+(0.1*W4867)</f>
        <v>0.99999999999999989</v>
      </c>
      <c r="Y4867" t="str">
        <f t="shared" ref="Y4867:Y4930" si="769">IF(X4867&gt;=2.7,"Move Immediately",IF(X4867&gt;=2.2,"High Priority",IF(X4867&gt;=1.7,"Monitor","Healthy")))</f>
        <v>Healthy</v>
      </c>
    </row>
    <row r="4868" spans="1:25" x14ac:dyDescent="0.35">
      <c r="A4868" t="s">
        <v>14</v>
      </c>
      <c r="B4868" t="s">
        <v>343</v>
      </c>
      <c r="C4868" t="s">
        <v>3031</v>
      </c>
      <c r="D4868" t="s">
        <v>3032</v>
      </c>
      <c r="E4868">
        <v>80803712</v>
      </c>
      <c r="F4868" t="s">
        <v>3033</v>
      </c>
      <c r="G4868" s="3">
        <v>47919</v>
      </c>
      <c r="H4868">
        <v>60</v>
      </c>
      <c r="I4868">
        <v>96</v>
      </c>
      <c r="J4868">
        <v>76</v>
      </c>
      <c r="K4868" s="4">
        <v>25450.12</v>
      </c>
      <c r="L4868" s="4">
        <v>1362.2857142857142</v>
      </c>
      <c r="M4868" s="4">
        <v>5.5788590604026848E-2</v>
      </c>
      <c r="N4868" t="s">
        <v>25</v>
      </c>
      <c r="O4868" t="str">
        <f t="shared" si="760"/>
        <v>Low</v>
      </c>
      <c r="P4868" t="str">
        <f t="shared" si="761"/>
        <v>Low</v>
      </c>
      <c r="Q4868" t="str">
        <f t="shared" si="762"/>
        <v>Low</v>
      </c>
      <c r="R4868" t="s">
        <v>3317</v>
      </c>
      <c r="S4868" s="4">
        <f t="shared" ca="1" si="763"/>
        <v>1722</v>
      </c>
      <c r="T4868">
        <f t="shared" si="764"/>
        <v>1</v>
      </c>
      <c r="U4868">
        <f t="shared" si="765"/>
        <v>1</v>
      </c>
      <c r="V4868">
        <f t="shared" si="766"/>
        <v>1</v>
      </c>
      <c r="W4868">
        <f t="shared" si="767"/>
        <v>1</v>
      </c>
      <c r="X4868">
        <f t="shared" si="768"/>
        <v>0.99999999999999989</v>
      </c>
      <c r="Y4868" t="str">
        <f t="shared" si="769"/>
        <v>Healthy</v>
      </c>
    </row>
    <row r="4869" spans="1:25" x14ac:dyDescent="0.35">
      <c r="A4869" t="s">
        <v>14</v>
      </c>
      <c r="B4869" t="s">
        <v>343</v>
      </c>
      <c r="C4869" t="s">
        <v>3031</v>
      </c>
      <c r="D4869" t="s">
        <v>3032</v>
      </c>
      <c r="E4869">
        <v>80803712</v>
      </c>
      <c r="F4869" t="s">
        <v>3033</v>
      </c>
      <c r="G4869" s="3">
        <v>48004</v>
      </c>
      <c r="H4869">
        <v>60</v>
      </c>
      <c r="I4869">
        <v>100</v>
      </c>
      <c r="J4869">
        <v>369</v>
      </c>
      <c r="K4869" s="4">
        <v>123567.03</v>
      </c>
      <c r="L4869" s="4">
        <v>1362.2857142857142</v>
      </c>
      <c r="M4869" s="4">
        <v>0.27086828859060402</v>
      </c>
      <c r="N4869" t="s">
        <v>25</v>
      </c>
      <c r="O4869" t="str">
        <f t="shared" si="760"/>
        <v>Low</v>
      </c>
      <c r="P4869" t="str">
        <f t="shared" si="761"/>
        <v>Low</v>
      </c>
      <c r="Q4869" t="str">
        <f t="shared" si="762"/>
        <v>Low</v>
      </c>
      <c r="R4869" t="s">
        <v>3310</v>
      </c>
      <c r="S4869" s="4">
        <f t="shared" ca="1" si="763"/>
        <v>1807</v>
      </c>
      <c r="T4869">
        <f t="shared" si="764"/>
        <v>1</v>
      </c>
      <c r="U4869">
        <f t="shared" si="765"/>
        <v>1</v>
      </c>
      <c r="V4869">
        <f t="shared" si="766"/>
        <v>1</v>
      </c>
      <c r="W4869">
        <f t="shared" si="767"/>
        <v>2</v>
      </c>
      <c r="X4869">
        <f t="shared" si="768"/>
        <v>1.0999999999999999</v>
      </c>
      <c r="Y4869" t="str">
        <f t="shared" si="769"/>
        <v>Healthy</v>
      </c>
    </row>
    <row r="4870" spans="1:25" x14ac:dyDescent="0.35">
      <c r="A4870" t="s">
        <v>210</v>
      </c>
      <c r="B4870" t="s">
        <v>211</v>
      </c>
      <c r="C4870" t="s">
        <v>338</v>
      </c>
      <c r="D4870" t="s">
        <v>1736</v>
      </c>
      <c r="E4870">
        <v>80835586</v>
      </c>
      <c r="F4870" t="s">
        <v>3034</v>
      </c>
      <c r="G4870" s="3">
        <v>47736</v>
      </c>
      <c r="H4870">
        <v>60</v>
      </c>
      <c r="I4870">
        <v>86</v>
      </c>
      <c r="J4870">
        <v>3</v>
      </c>
      <c r="K4870" s="4">
        <v>1134.27</v>
      </c>
      <c r="L4870" s="4">
        <v>842.42857142857144</v>
      </c>
      <c r="M4870" s="4">
        <v>3.5611327793793452E-3</v>
      </c>
      <c r="N4870" t="s">
        <v>25</v>
      </c>
      <c r="O4870" t="str">
        <f t="shared" si="760"/>
        <v>Low</v>
      </c>
      <c r="P4870" t="str">
        <f t="shared" si="761"/>
        <v>Low</v>
      </c>
      <c r="Q4870" t="str">
        <f t="shared" si="762"/>
        <v>Low</v>
      </c>
      <c r="R4870" t="s">
        <v>3317</v>
      </c>
      <c r="S4870" s="4">
        <f t="shared" ca="1" si="763"/>
        <v>1539</v>
      </c>
      <c r="T4870">
        <f t="shared" si="764"/>
        <v>1</v>
      </c>
      <c r="U4870">
        <f t="shared" si="765"/>
        <v>1</v>
      </c>
      <c r="V4870">
        <f t="shared" si="766"/>
        <v>1</v>
      </c>
      <c r="W4870">
        <f t="shared" si="767"/>
        <v>1</v>
      </c>
      <c r="X4870">
        <f t="shared" si="768"/>
        <v>0.99999999999999989</v>
      </c>
      <c r="Y4870" t="str">
        <f t="shared" si="769"/>
        <v>Healthy</v>
      </c>
    </row>
    <row r="4871" spans="1:25" x14ac:dyDescent="0.35">
      <c r="A4871" t="s">
        <v>210</v>
      </c>
      <c r="B4871" t="s">
        <v>211</v>
      </c>
      <c r="C4871" t="s">
        <v>338</v>
      </c>
      <c r="D4871" t="s">
        <v>1736</v>
      </c>
      <c r="E4871">
        <v>80835586</v>
      </c>
      <c r="F4871" t="s">
        <v>3034</v>
      </c>
      <c r="G4871" s="3">
        <v>47678</v>
      </c>
      <c r="H4871">
        <v>60</v>
      </c>
      <c r="I4871">
        <v>83</v>
      </c>
      <c r="J4871">
        <v>12</v>
      </c>
      <c r="K4871" s="4">
        <v>4537.08</v>
      </c>
      <c r="L4871" s="4">
        <v>842.42857142857144</v>
      </c>
      <c r="M4871" s="4">
        <v>1.4244531117517381E-2</v>
      </c>
      <c r="N4871" t="s">
        <v>25</v>
      </c>
      <c r="O4871" t="str">
        <f t="shared" si="760"/>
        <v>Low</v>
      </c>
      <c r="P4871" t="str">
        <f t="shared" si="761"/>
        <v>Low</v>
      </c>
      <c r="Q4871" t="str">
        <f t="shared" si="762"/>
        <v>Low</v>
      </c>
      <c r="R4871" t="s">
        <v>3317</v>
      </c>
      <c r="S4871" s="4">
        <f t="shared" ca="1" si="763"/>
        <v>1481</v>
      </c>
      <c r="T4871">
        <f t="shared" si="764"/>
        <v>1</v>
      </c>
      <c r="U4871">
        <f t="shared" si="765"/>
        <v>1</v>
      </c>
      <c r="V4871">
        <f t="shared" si="766"/>
        <v>1</v>
      </c>
      <c r="W4871">
        <f t="shared" si="767"/>
        <v>1</v>
      </c>
      <c r="X4871">
        <f t="shared" si="768"/>
        <v>0.99999999999999989</v>
      </c>
      <c r="Y4871" t="str">
        <f t="shared" si="769"/>
        <v>Healthy</v>
      </c>
    </row>
    <row r="4872" spans="1:25" x14ac:dyDescent="0.35">
      <c r="A4872" t="s">
        <v>179</v>
      </c>
      <c r="B4872" t="s">
        <v>223</v>
      </c>
      <c r="C4872" t="s">
        <v>408</v>
      </c>
      <c r="D4872" t="s">
        <v>1598</v>
      </c>
      <c r="E4872">
        <v>80834030</v>
      </c>
      <c r="F4872" t="s">
        <v>3035</v>
      </c>
      <c r="G4872" s="3">
        <v>46219</v>
      </c>
      <c r="H4872">
        <v>16</v>
      </c>
      <c r="I4872">
        <v>6</v>
      </c>
      <c r="J4872">
        <v>16</v>
      </c>
      <c r="K4872" s="4">
        <v>6385.6</v>
      </c>
      <c r="L4872" s="4">
        <v>7.1428571428571432</v>
      </c>
      <c r="M4872" s="4">
        <v>2.2399999999999998</v>
      </c>
      <c r="N4872" t="s">
        <v>25</v>
      </c>
      <c r="O4872" t="str">
        <f t="shared" si="760"/>
        <v>High</v>
      </c>
      <c r="P4872" t="str">
        <f t="shared" si="761"/>
        <v>Low</v>
      </c>
      <c r="Q4872" t="str">
        <f t="shared" si="762"/>
        <v>Medium</v>
      </c>
      <c r="R4872" t="s">
        <v>3317</v>
      </c>
      <c r="S4872" s="4">
        <f t="shared" ca="1" si="763"/>
        <v>22</v>
      </c>
      <c r="T4872">
        <f t="shared" si="764"/>
        <v>3</v>
      </c>
      <c r="U4872">
        <f t="shared" si="765"/>
        <v>1</v>
      </c>
      <c r="V4872">
        <f t="shared" si="766"/>
        <v>2</v>
      </c>
      <c r="W4872">
        <f t="shared" si="767"/>
        <v>1</v>
      </c>
      <c r="X4872">
        <f t="shared" si="768"/>
        <v>2.0000000000000004</v>
      </c>
      <c r="Y4872" t="str">
        <f t="shared" si="769"/>
        <v>Monitor</v>
      </c>
    </row>
    <row r="4873" spans="1:25" x14ac:dyDescent="0.35">
      <c r="A4873" t="s">
        <v>179</v>
      </c>
      <c r="B4873" t="s">
        <v>223</v>
      </c>
      <c r="C4873" t="s">
        <v>224</v>
      </c>
      <c r="D4873" t="s">
        <v>225</v>
      </c>
      <c r="E4873">
        <v>80846571</v>
      </c>
      <c r="F4873" t="s">
        <v>3036</v>
      </c>
      <c r="G4873" s="3">
        <v>46406</v>
      </c>
      <c r="H4873">
        <v>18</v>
      </c>
      <c r="I4873">
        <v>40</v>
      </c>
      <c r="J4873">
        <v>16</v>
      </c>
      <c r="K4873" s="4">
        <v>3199.84</v>
      </c>
      <c r="L4873" s="4">
        <v>583.57142857142856</v>
      </c>
      <c r="M4873" s="4">
        <v>2.7417380660954713E-2</v>
      </c>
      <c r="N4873" t="s">
        <v>25</v>
      </c>
      <c r="O4873" t="str">
        <f t="shared" si="760"/>
        <v>Low</v>
      </c>
      <c r="P4873" t="str">
        <f t="shared" si="761"/>
        <v>Low</v>
      </c>
      <c r="Q4873" t="str">
        <f t="shared" si="762"/>
        <v>Low</v>
      </c>
      <c r="R4873" t="s">
        <v>3317</v>
      </c>
      <c r="S4873" s="4">
        <f t="shared" ca="1" si="763"/>
        <v>209</v>
      </c>
      <c r="T4873">
        <f t="shared" si="764"/>
        <v>1</v>
      </c>
      <c r="U4873">
        <f t="shared" si="765"/>
        <v>1</v>
      </c>
      <c r="V4873">
        <f t="shared" si="766"/>
        <v>1</v>
      </c>
      <c r="W4873">
        <f t="shared" si="767"/>
        <v>1</v>
      </c>
      <c r="X4873">
        <f t="shared" si="768"/>
        <v>0.99999999999999989</v>
      </c>
      <c r="Y4873" t="str">
        <f t="shared" si="769"/>
        <v>Healthy</v>
      </c>
    </row>
    <row r="4874" spans="1:25" x14ac:dyDescent="0.35">
      <c r="A4874" t="s">
        <v>189</v>
      </c>
      <c r="B4874" t="s">
        <v>539</v>
      </c>
      <c r="C4874" t="s">
        <v>539</v>
      </c>
      <c r="D4874" t="s">
        <v>1098</v>
      </c>
      <c r="E4874">
        <v>80885890</v>
      </c>
      <c r="F4874" t="s">
        <v>3037</v>
      </c>
      <c r="G4874" s="3">
        <v>46856</v>
      </c>
      <c r="H4874">
        <v>24</v>
      </c>
      <c r="I4874">
        <v>92</v>
      </c>
      <c r="J4874">
        <v>13</v>
      </c>
      <c r="K4874" s="4">
        <v>15328.95</v>
      </c>
      <c r="L4874" s="4">
        <v>2643</v>
      </c>
      <c r="M4874" s="4">
        <v>4.9186530457813087E-3</v>
      </c>
      <c r="N4874" t="s">
        <v>25</v>
      </c>
      <c r="O4874" t="str">
        <f t="shared" si="760"/>
        <v>Low</v>
      </c>
      <c r="P4874" t="str">
        <f t="shared" si="761"/>
        <v>Low</v>
      </c>
      <c r="Q4874" t="str">
        <f t="shared" si="762"/>
        <v>Low</v>
      </c>
      <c r="R4874" t="s">
        <v>3317</v>
      </c>
      <c r="S4874" s="4">
        <f t="shared" ca="1" si="763"/>
        <v>659</v>
      </c>
      <c r="T4874">
        <f t="shared" si="764"/>
        <v>1</v>
      </c>
      <c r="U4874">
        <f t="shared" si="765"/>
        <v>1</v>
      </c>
      <c r="V4874">
        <f t="shared" si="766"/>
        <v>1</v>
      </c>
      <c r="W4874">
        <f t="shared" si="767"/>
        <v>1</v>
      </c>
      <c r="X4874">
        <f t="shared" si="768"/>
        <v>0.99999999999999989</v>
      </c>
      <c r="Y4874" t="str">
        <f t="shared" si="769"/>
        <v>Healthy</v>
      </c>
    </row>
    <row r="4875" spans="1:25" x14ac:dyDescent="0.35">
      <c r="A4875" t="s">
        <v>71</v>
      </c>
      <c r="B4875" t="s">
        <v>72</v>
      </c>
      <c r="C4875" t="s">
        <v>174</v>
      </c>
      <c r="D4875" t="s">
        <v>1615</v>
      </c>
      <c r="E4875">
        <v>80887680</v>
      </c>
      <c r="F4875" t="s">
        <v>3038</v>
      </c>
      <c r="G4875" s="3">
        <v>47218</v>
      </c>
      <c r="H4875">
        <v>36</v>
      </c>
      <c r="I4875">
        <v>95</v>
      </c>
      <c r="J4875">
        <v>10874</v>
      </c>
      <c r="K4875" s="4">
        <v>643740.80000000005</v>
      </c>
      <c r="L4875" s="4">
        <v>5930.2857142857147</v>
      </c>
      <c r="M4875" s="4">
        <v>1.833638465985739</v>
      </c>
      <c r="N4875" t="s">
        <v>25</v>
      </c>
      <c r="O4875" t="str">
        <f t="shared" si="760"/>
        <v>Low</v>
      </c>
      <c r="P4875" t="str">
        <f t="shared" si="761"/>
        <v>Low</v>
      </c>
      <c r="Q4875" t="str">
        <f t="shared" si="762"/>
        <v>Low</v>
      </c>
      <c r="R4875" t="s">
        <v>3309</v>
      </c>
      <c r="S4875" s="4">
        <f t="shared" ca="1" si="763"/>
        <v>1021</v>
      </c>
      <c r="T4875">
        <f t="shared" si="764"/>
        <v>1</v>
      </c>
      <c r="U4875">
        <f t="shared" si="765"/>
        <v>1</v>
      </c>
      <c r="V4875">
        <f t="shared" si="766"/>
        <v>1</v>
      </c>
      <c r="W4875">
        <f t="shared" si="767"/>
        <v>3</v>
      </c>
      <c r="X4875">
        <f t="shared" si="768"/>
        <v>1.2</v>
      </c>
      <c r="Y4875" t="str">
        <f t="shared" si="769"/>
        <v>Healthy</v>
      </c>
    </row>
    <row r="4876" spans="1:25" x14ac:dyDescent="0.35">
      <c r="A4876" t="s">
        <v>71</v>
      </c>
      <c r="B4876" t="s">
        <v>72</v>
      </c>
      <c r="C4876" t="s">
        <v>174</v>
      </c>
      <c r="D4876" t="s">
        <v>1615</v>
      </c>
      <c r="E4876">
        <v>80887680</v>
      </c>
      <c r="F4876" t="s">
        <v>3038</v>
      </c>
      <c r="G4876" s="3">
        <v>47220</v>
      </c>
      <c r="H4876">
        <v>36</v>
      </c>
      <c r="I4876">
        <v>95</v>
      </c>
      <c r="J4876">
        <v>72</v>
      </c>
      <c r="K4876" s="4">
        <v>4262.3999999999996</v>
      </c>
      <c r="L4876" s="4">
        <v>5930.2857142857147</v>
      </c>
      <c r="M4876" s="4">
        <v>1.2141067643091153E-2</v>
      </c>
      <c r="N4876" t="s">
        <v>25</v>
      </c>
      <c r="O4876" t="str">
        <f t="shared" si="760"/>
        <v>Low</v>
      </c>
      <c r="P4876" t="str">
        <f t="shared" si="761"/>
        <v>Low</v>
      </c>
      <c r="Q4876" t="str">
        <f t="shared" si="762"/>
        <v>Low</v>
      </c>
      <c r="R4876" t="s">
        <v>3317</v>
      </c>
      <c r="S4876" s="4">
        <f t="shared" ca="1" si="763"/>
        <v>1023</v>
      </c>
      <c r="T4876">
        <f t="shared" si="764"/>
        <v>1</v>
      </c>
      <c r="U4876">
        <f t="shared" si="765"/>
        <v>1</v>
      </c>
      <c r="V4876">
        <f t="shared" si="766"/>
        <v>1</v>
      </c>
      <c r="W4876">
        <f t="shared" si="767"/>
        <v>1</v>
      </c>
      <c r="X4876">
        <f t="shared" si="768"/>
        <v>0.99999999999999989</v>
      </c>
      <c r="Y4876" t="str">
        <f t="shared" si="769"/>
        <v>Healthy</v>
      </c>
    </row>
    <row r="4877" spans="1:25" x14ac:dyDescent="0.35">
      <c r="A4877" t="s">
        <v>99</v>
      </c>
      <c r="B4877" t="s">
        <v>100</v>
      </c>
      <c r="C4877" t="s">
        <v>362</v>
      </c>
      <c r="D4877" t="s">
        <v>3039</v>
      </c>
      <c r="E4877">
        <v>80818351</v>
      </c>
      <c r="F4877" t="s">
        <v>3040</v>
      </c>
      <c r="G4877" s="3">
        <v>47077</v>
      </c>
      <c r="H4877">
        <v>36</v>
      </c>
      <c r="I4877">
        <v>82</v>
      </c>
      <c r="J4877">
        <v>455</v>
      </c>
      <c r="K4877" s="4">
        <v>27204.45</v>
      </c>
      <c r="L4877" s="4">
        <v>2539.4285714285716</v>
      </c>
      <c r="M4877" s="4">
        <v>0.17917416741674166</v>
      </c>
      <c r="N4877" t="s">
        <v>25</v>
      </c>
      <c r="O4877" t="str">
        <f t="shared" si="760"/>
        <v>Low</v>
      </c>
      <c r="P4877" t="str">
        <f t="shared" si="761"/>
        <v>Low</v>
      </c>
      <c r="Q4877" t="str">
        <f t="shared" si="762"/>
        <v>Low</v>
      </c>
      <c r="R4877" t="s">
        <v>3317</v>
      </c>
      <c r="S4877" s="4">
        <f t="shared" ca="1" si="763"/>
        <v>880</v>
      </c>
      <c r="T4877">
        <f t="shared" si="764"/>
        <v>1</v>
      </c>
      <c r="U4877">
        <f t="shared" si="765"/>
        <v>1</v>
      </c>
      <c r="V4877">
        <f t="shared" si="766"/>
        <v>1</v>
      </c>
      <c r="W4877">
        <f t="shared" si="767"/>
        <v>1</v>
      </c>
      <c r="X4877">
        <f t="shared" si="768"/>
        <v>0.99999999999999989</v>
      </c>
      <c r="Y4877" t="str">
        <f t="shared" si="769"/>
        <v>Healthy</v>
      </c>
    </row>
    <row r="4878" spans="1:25" x14ac:dyDescent="0.35">
      <c r="A4878" t="s">
        <v>71</v>
      </c>
      <c r="B4878" t="s">
        <v>72</v>
      </c>
      <c r="C4878" t="s">
        <v>174</v>
      </c>
      <c r="D4878" t="s">
        <v>2397</v>
      </c>
      <c r="E4878">
        <v>80887682</v>
      </c>
      <c r="F4878" t="s">
        <v>3041</v>
      </c>
      <c r="G4878" s="3">
        <v>47126</v>
      </c>
      <c r="H4878">
        <v>36</v>
      </c>
      <c r="I4878">
        <v>86</v>
      </c>
      <c r="J4878">
        <v>1588</v>
      </c>
      <c r="K4878" s="4">
        <v>116876.8</v>
      </c>
      <c r="L4878" s="4">
        <v>7209.7142857142853</v>
      </c>
      <c r="M4878" s="4">
        <v>0.22025838154870414</v>
      </c>
      <c r="N4878" t="s">
        <v>25</v>
      </c>
      <c r="O4878" t="str">
        <f t="shared" si="760"/>
        <v>Low</v>
      </c>
      <c r="P4878" t="str">
        <f t="shared" si="761"/>
        <v>Low</v>
      </c>
      <c r="Q4878" t="str">
        <f t="shared" si="762"/>
        <v>Low</v>
      </c>
      <c r="R4878" t="s">
        <v>3310</v>
      </c>
      <c r="S4878" s="4">
        <f t="shared" ca="1" si="763"/>
        <v>929</v>
      </c>
      <c r="T4878">
        <f t="shared" si="764"/>
        <v>1</v>
      </c>
      <c r="U4878">
        <f t="shared" si="765"/>
        <v>1</v>
      </c>
      <c r="V4878">
        <f t="shared" si="766"/>
        <v>1</v>
      </c>
      <c r="W4878">
        <f t="shared" si="767"/>
        <v>2</v>
      </c>
      <c r="X4878">
        <f t="shared" si="768"/>
        <v>1.0999999999999999</v>
      </c>
      <c r="Y4878" t="str">
        <f t="shared" si="769"/>
        <v>Healthy</v>
      </c>
    </row>
    <row r="4879" spans="1:25" x14ac:dyDescent="0.35">
      <c r="A4879" t="s">
        <v>99</v>
      </c>
      <c r="B4879" t="s">
        <v>100</v>
      </c>
      <c r="C4879" t="s">
        <v>362</v>
      </c>
      <c r="D4879" t="s">
        <v>3039</v>
      </c>
      <c r="E4879">
        <v>80818351</v>
      </c>
      <c r="F4879" t="s">
        <v>3040</v>
      </c>
      <c r="G4879" s="3">
        <v>47146</v>
      </c>
      <c r="H4879">
        <v>36</v>
      </c>
      <c r="I4879">
        <v>88</v>
      </c>
      <c r="J4879">
        <v>465</v>
      </c>
      <c r="K4879" s="4">
        <v>27802.35</v>
      </c>
      <c r="L4879" s="4">
        <v>2539.4285714285716</v>
      </c>
      <c r="M4879" s="4">
        <v>0.18311206120612061</v>
      </c>
      <c r="N4879" t="s">
        <v>25</v>
      </c>
      <c r="O4879" t="str">
        <f t="shared" si="760"/>
        <v>Low</v>
      </c>
      <c r="P4879" t="str">
        <f t="shared" si="761"/>
        <v>Low</v>
      </c>
      <c r="Q4879" t="str">
        <f t="shared" si="762"/>
        <v>Low</v>
      </c>
      <c r="R4879" t="s">
        <v>3317</v>
      </c>
      <c r="S4879" s="4">
        <f t="shared" ca="1" si="763"/>
        <v>949</v>
      </c>
      <c r="T4879">
        <f t="shared" si="764"/>
        <v>1</v>
      </c>
      <c r="U4879">
        <f t="shared" si="765"/>
        <v>1</v>
      </c>
      <c r="V4879">
        <f t="shared" si="766"/>
        <v>1</v>
      </c>
      <c r="W4879">
        <f t="shared" si="767"/>
        <v>1</v>
      </c>
      <c r="X4879">
        <f t="shared" si="768"/>
        <v>0.99999999999999989</v>
      </c>
      <c r="Y4879" t="str">
        <f t="shared" si="769"/>
        <v>Healthy</v>
      </c>
    </row>
    <row r="4880" spans="1:25" x14ac:dyDescent="0.35">
      <c r="A4880" t="s">
        <v>71</v>
      </c>
      <c r="B4880" t="s">
        <v>72</v>
      </c>
      <c r="C4880" t="s">
        <v>174</v>
      </c>
      <c r="D4880" t="s">
        <v>2397</v>
      </c>
      <c r="E4880">
        <v>80887682</v>
      </c>
      <c r="F4880" t="s">
        <v>3041</v>
      </c>
      <c r="G4880" s="3">
        <v>47220</v>
      </c>
      <c r="H4880">
        <v>36</v>
      </c>
      <c r="I4880">
        <v>95</v>
      </c>
      <c r="J4880">
        <v>360</v>
      </c>
      <c r="K4880" s="4">
        <v>26496</v>
      </c>
      <c r="L4880" s="4">
        <v>7209.7142857142853</v>
      </c>
      <c r="M4880" s="4">
        <v>4.9932630577791869E-2</v>
      </c>
      <c r="N4880" t="s">
        <v>25</v>
      </c>
      <c r="O4880" t="str">
        <f t="shared" si="760"/>
        <v>Low</v>
      </c>
      <c r="P4880" t="str">
        <f t="shared" si="761"/>
        <v>Low</v>
      </c>
      <c r="Q4880" t="str">
        <f t="shared" si="762"/>
        <v>Low</v>
      </c>
      <c r="R4880" t="s">
        <v>3317</v>
      </c>
      <c r="S4880" s="4">
        <f t="shared" ca="1" si="763"/>
        <v>1023</v>
      </c>
      <c r="T4880">
        <f t="shared" si="764"/>
        <v>1</v>
      </c>
      <c r="U4880">
        <f t="shared" si="765"/>
        <v>1</v>
      </c>
      <c r="V4880">
        <f t="shared" si="766"/>
        <v>1</v>
      </c>
      <c r="W4880">
        <f t="shared" si="767"/>
        <v>1</v>
      </c>
      <c r="X4880">
        <f t="shared" si="768"/>
        <v>0.99999999999999989</v>
      </c>
      <c r="Y4880" t="str">
        <f t="shared" si="769"/>
        <v>Healthy</v>
      </c>
    </row>
    <row r="4881" spans="1:25" x14ac:dyDescent="0.35">
      <c r="A4881" t="s">
        <v>99</v>
      </c>
      <c r="B4881" t="s">
        <v>100</v>
      </c>
      <c r="C4881" t="s">
        <v>362</v>
      </c>
      <c r="D4881" t="s">
        <v>3039</v>
      </c>
      <c r="E4881">
        <v>80818351</v>
      </c>
      <c r="F4881" t="s">
        <v>3040</v>
      </c>
      <c r="G4881" s="3">
        <v>47147</v>
      </c>
      <c r="H4881">
        <v>36</v>
      </c>
      <c r="I4881">
        <v>88</v>
      </c>
      <c r="J4881">
        <v>21</v>
      </c>
      <c r="K4881" s="4">
        <v>1255.5899999999999</v>
      </c>
      <c r="L4881" s="4">
        <v>2539.4285714285716</v>
      </c>
      <c r="M4881" s="4">
        <v>8.2695769576957689E-3</v>
      </c>
      <c r="N4881" t="s">
        <v>25</v>
      </c>
      <c r="O4881" t="str">
        <f t="shared" si="760"/>
        <v>Low</v>
      </c>
      <c r="P4881" t="str">
        <f t="shared" si="761"/>
        <v>Low</v>
      </c>
      <c r="Q4881" t="str">
        <f t="shared" si="762"/>
        <v>Low</v>
      </c>
      <c r="R4881" t="s">
        <v>3317</v>
      </c>
      <c r="S4881" s="4">
        <f t="shared" ca="1" si="763"/>
        <v>950</v>
      </c>
      <c r="T4881">
        <f t="shared" si="764"/>
        <v>1</v>
      </c>
      <c r="U4881">
        <f t="shared" si="765"/>
        <v>1</v>
      </c>
      <c r="V4881">
        <f t="shared" si="766"/>
        <v>1</v>
      </c>
      <c r="W4881">
        <f t="shared" si="767"/>
        <v>1</v>
      </c>
      <c r="X4881">
        <f t="shared" si="768"/>
        <v>0.99999999999999989</v>
      </c>
      <c r="Y4881" t="str">
        <f t="shared" si="769"/>
        <v>Healthy</v>
      </c>
    </row>
    <row r="4882" spans="1:25" x14ac:dyDescent="0.35">
      <c r="A4882" t="s">
        <v>71</v>
      </c>
      <c r="B4882" t="s">
        <v>72</v>
      </c>
      <c r="C4882" t="s">
        <v>174</v>
      </c>
      <c r="D4882" t="s">
        <v>2397</v>
      </c>
      <c r="E4882">
        <v>80887682</v>
      </c>
      <c r="F4882" t="s">
        <v>3041</v>
      </c>
      <c r="G4882" s="3">
        <v>47218</v>
      </c>
      <c r="H4882">
        <v>36</v>
      </c>
      <c r="I4882">
        <v>95</v>
      </c>
      <c r="J4882">
        <v>10</v>
      </c>
      <c r="K4882" s="4">
        <v>736</v>
      </c>
      <c r="L4882" s="4">
        <v>7209.7142857142853</v>
      </c>
      <c r="M4882" s="4">
        <v>1.3870175160497742E-3</v>
      </c>
      <c r="N4882" t="s">
        <v>25</v>
      </c>
      <c r="O4882" t="str">
        <f t="shared" si="760"/>
        <v>Low</v>
      </c>
      <c r="P4882" t="str">
        <f t="shared" si="761"/>
        <v>Low</v>
      </c>
      <c r="Q4882" t="str">
        <f t="shared" si="762"/>
        <v>Low</v>
      </c>
      <c r="R4882" t="s">
        <v>3317</v>
      </c>
      <c r="S4882" s="4">
        <f t="shared" ca="1" si="763"/>
        <v>1021</v>
      </c>
      <c r="T4882">
        <f t="shared" si="764"/>
        <v>1</v>
      </c>
      <c r="U4882">
        <f t="shared" si="765"/>
        <v>1</v>
      </c>
      <c r="V4882">
        <f t="shared" si="766"/>
        <v>1</v>
      </c>
      <c r="W4882">
        <f t="shared" si="767"/>
        <v>1</v>
      </c>
      <c r="X4882">
        <f t="shared" si="768"/>
        <v>0.99999999999999989</v>
      </c>
      <c r="Y4882" t="str">
        <f t="shared" si="769"/>
        <v>Healthy</v>
      </c>
    </row>
    <row r="4883" spans="1:25" x14ac:dyDescent="0.35">
      <c r="A4883" t="s">
        <v>99</v>
      </c>
      <c r="B4883" t="s">
        <v>100</v>
      </c>
      <c r="C4883" t="s">
        <v>136</v>
      </c>
      <c r="D4883" t="s">
        <v>1432</v>
      </c>
      <c r="E4883">
        <v>80830424</v>
      </c>
      <c r="F4883" t="s">
        <v>3042</v>
      </c>
      <c r="G4883" s="3">
        <v>47148</v>
      </c>
      <c r="H4883">
        <v>36</v>
      </c>
      <c r="I4883">
        <v>89</v>
      </c>
      <c r="J4883">
        <v>25</v>
      </c>
      <c r="K4883" s="4">
        <v>5035.5</v>
      </c>
      <c r="L4883" s="4">
        <v>422.85714285714283</v>
      </c>
      <c r="M4883" s="4">
        <v>5.9121621621621628E-2</v>
      </c>
      <c r="N4883" t="s">
        <v>25</v>
      </c>
      <c r="O4883" t="str">
        <f t="shared" si="760"/>
        <v>Low</v>
      </c>
      <c r="P4883" t="str">
        <f t="shared" si="761"/>
        <v>Low</v>
      </c>
      <c r="Q4883" t="str">
        <f t="shared" si="762"/>
        <v>Low</v>
      </c>
      <c r="R4883" t="s">
        <v>3317</v>
      </c>
      <c r="S4883" s="4">
        <f t="shared" ca="1" si="763"/>
        <v>951</v>
      </c>
      <c r="T4883">
        <f t="shared" si="764"/>
        <v>1</v>
      </c>
      <c r="U4883">
        <f t="shared" si="765"/>
        <v>1</v>
      </c>
      <c r="V4883">
        <f t="shared" si="766"/>
        <v>1</v>
      </c>
      <c r="W4883">
        <f t="shared" si="767"/>
        <v>1</v>
      </c>
      <c r="X4883">
        <f t="shared" si="768"/>
        <v>0.99999999999999989</v>
      </c>
      <c r="Y4883" t="str">
        <f t="shared" si="769"/>
        <v>Healthy</v>
      </c>
    </row>
    <row r="4884" spans="1:25" x14ac:dyDescent="0.35">
      <c r="A4884" t="s">
        <v>99</v>
      </c>
      <c r="B4884" t="s">
        <v>100</v>
      </c>
      <c r="C4884" t="s">
        <v>136</v>
      </c>
      <c r="D4884" t="s">
        <v>1432</v>
      </c>
      <c r="E4884">
        <v>80830424</v>
      </c>
      <c r="F4884" t="s">
        <v>3042</v>
      </c>
      <c r="G4884" s="3">
        <v>46761</v>
      </c>
      <c r="H4884">
        <v>36</v>
      </c>
      <c r="I4884">
        <v>53</v>
      </c>
      <c r="J4884">
        <v>154</v>
      </c>
      <c r="K4884" s="4">
        <v>31018.68</v>
      </c>
      <c r="L4884" s="4">
        <v>422.85714285714283</v>
      </c>
      <c r="M4884" s="4">
        <v>0.36418918918918919</v>
      </c>
      <c r="N4884" t="s">
        <v>25</v>
      </c>
      <c r="O4884" t="str">
        <f t="shared" si="760"/>
        <v>Low</v>
      </c>
      <c r="P4884" t="str">
        <f t="shared" si="761"/>
        <v>Low</v>
      </c>
      <c r="Q4884" t="str">
        <f t="shared" si="762"/>
        <v>Low</v>
      </c>
      <c r="R4884" t="s">
        <v>3317</v>
      </c>
      <c r="S4884" s="4">
        <f t="shared" ca="1" si="763"/>
        <v>564</v>
      </c>
      <c r="T4884">
        <f t="shared" si="764"/>
        <v>1</v>
      </c>
      <c r="U4884">
        <f t="shared" si="765"/>
        <v>1</v>
      </c>
      <c r="V4884">
        <f t="shared" si="766"/>
        <v>1</v>
      </c>
      <c r="W4884">
        <f t="shared" si="767"/>
        <v>1</v>
      </c>
      <c r="X4884">
        <f t="shared" si="768"/>
        <v>0.99999999999999989</v>
      </c>
      <c r="Y4884" t="str">
        <f t="shared" si="769"/>
        <v>Healthy</v>
      </c>
    </row>
    <row r="4885" spans="1:25" x14ac:dyDescent="0.35">
      <c r="A4885" t="s">
        <v>71</v>
      </c>
      <c r="B4885" t="s">
        <v>72</v>
      </c>
      <c r="C4885" t="s">
        <v>174</v>
      </c>
      <c r="D4885" t="s">
        <v>750</v>
      </c>
      <c r="E4885">
        <v>80887684</v>
      </c>
      <c r="F4885" t="s">
        <v>3043</v>
      </c>
      <c r="G4885" s="3">
        <v>47233</v>
      </c>
      <c r="H4885">
        <v>36</v>
      </c>
      <c r="I4885">
        <v>96</v>
      </c>
      <c r="J4885">
        <v>4</v>
      </c>
      <c r="K4885" s="4">
        <v>1168.6400000000001</v>
      </c>
      <c r="L4885" s="4">
        <v>461.14285714285717</v>
      </c>
      <c r="M4885" s="4">
        <v>8.6741016109045839E-3</v>
      </c>
      <c r="N4885" t="s">
        <v>25</v>
      </c>
      <c r="O4885" t="str">
        <f t="shared" si="760"/>
        <v>Low</v>
      </c>
      <c r="P4885" t="str">
        <f t="shared" si="761"/>
        <v>Low</v>
      </c>
      <c r="Q4885" t="str">
        <f t="shared" si="762"/>
        <v>Low</v>
      </c>
      <c r="R4885" t="s">
        <v>3317</v>
      </c>
      <c r="S4885" s="4">
        <f t="shared" ca="1" si="763"/>
        <v>1036</v>
      </c>
      <c r="T4885">
        <f t="shared" si="764"/>
        <v>1</v>
      </c>
      <c r="U4885">
        <f t="shared" si="765"/>
        <v>1</v>
      </c>
      <c r="V4885">
        <f t="shared" si="766"/>
        <v>1</v>
      </c>
      <c r="W4885">
        <f t="shared" si="767"/>
        <v>1</v>
      </c>
      <c r="X4885">
        <f t="shared" si="768"/>
        <v>0.99999999999999989</v>
      </c>
      <c r="Y4885" t="str">
        <f t="shared" si="769"/>
        <v>Healthy</v>
      </c>
    </row>
    <row r="4886" spans="1:25" x14ac:dyDescent="0.35">
      <c r="A4886" t="s">
        <v>99</v>
      </c>
      <c r="B4886" t="s">
        <v>100</v>
      </c>
      <c r="C4886" t="s">
        <v>136</v>
      </c>
      <c r="D4886" t="s">
        <v>1432</v>
      </c>
      <c r="E4886">
        <v>80830424</v>
      </c>
      <c r="F4886" t="s">
        <v>3042</v>
      </c>
      <c r="G4886" s="3">
        <v>47188</v>
      </c>
      <c r="H4886">
        <v>36</v>
      </c>
      <c r="I4886">
        <v>92</v>
      </c>
      <c r="J4886">
        <v>11</v>
      </c>
      <c r="K4886" s="4">
        <v>2215.62</v>
      </c>
      <c r="L4886" s="4">
        <v>422.85714285714283</v>
      </c>
      <c r="M4886" s="4">
        <v>2.6013513513513515E-2</v>
      </c>
      <c r="N4886" t="s">
        <v>25</v>
      </c>
      <c r="O4886" t="str">
        <f t="shared" si="760"/>
        <v>Low</v>
      </c>
      <c r="P4886" t="str">
        <f t="shared" si="761"/>
        <v>Low</v>
      </c>
      <c r="Q4886" t="str">
        <f t="shared" si="762"/>
        <v>Low</v>
      </c>
      <c r="R4886" t="s">
        <v>3317</v>
      </c>
      <c r="S4886" s="4">
        <f t="shared" ca="1" si="763"/>
        <v>991</v>
      </c>
      <c r="T4886">
        <f t="shared" si="764"/>
        <v>1</v>
      </c>
      <c r="U4886">
        <f t="shared" si="765"/>
        <v>1</v>
      </c>
      <c r="V4886">
        <f t="shared" si="766"/>
        <v>1</v>
      </c>
      <c r="W4886">
        <f t="shared" si="767"/>
        <v>1</v>
      </c>
      <c r="X4886">
        <f t="shared" si="768"/>
        <v>0.99999999999999989</v>
      </c>
      <c r="Y4886" t="str">
        <f t="shared" si="769"/>
        <v>Healthy</v>
      </c>
    </row>
    <row r="4887" spans="1:25" x14ac:dyDescent="0.35">
      <c r="A4887" t="s">
        <v>99</v>
      </c>
      <c r="B4887" t="s">
        <v>100</v>
      </c>
      <c r="C4887" t="s">
        <v>136</v>
      </c>
      <c r="D4887" t="s">
        <v>1432</v>
      </c>
      <c r="E4887">
        <v>80830424</v>
      </c>
      <c r="F4887" t="s">
        <v>3042</v>
      </c>
      <c r="G4887" s="3">
        <v>47209</v>
      </c>
      <c r="H4887">
        <v>36</v>
      </c>
      <c r="I4887">
        <v>94</v>
      </c>
      <c r="J4887">
        <v>93</v>
      </c>
      <c r="K4887" s="4">
        <v>18732.060000000001</v>
      </c>
      <c r="L4887" s="4">
        <v>422.85714285714283</v>
      </c>
      <c r="M4887" s="4">
        <v>0.21993243243243243</v>
      </c>
      <c r="N4887" t="s">
        <v>25</v>
      </c>
      <c r="O4887" t="str">
        <f t="shared" si="760"/>
        <v>Low</v>
      </c>
      <c r="P4887" t="str">
        <f t="shared" si="761"/>
        <v>Low</v>
      </c>
      <c r="Q4887" t="str">
        <f t="shared" si="762"/>
        <v>Low</v>
      </c>
      <c r="R4887" t="s">
        <v>3317</v>
      </c>
      <c r="S4887" s="4">
        <f t="shared" ca="1" si="763"/>
        <v>1012</v>
      </c>
      <c r="T4887">
        <f t="shared" si="764"/>
        <v>1</v>
      </c>
      <c r="U4887">
        <f t="shared" si="765"/>
        <v>1</v>
      </c>
      <c r="V4887">
        <f t="shared" si="766"/>
        <v>1</v>
      </c>
      <c r="W4887">
        <f t="shared" si="767"/>
        <v>1</v>
      </c>
      <c r="X4887">
        <f t="shared" si="768"/>
        <v>0.99999999999999989</v>
      </c>
      <c r="Y4887" t="str">
        <f t="shared" si="769"/>
        <v>Healthy</v>
      </c>
    </row>
    <row r="4888" spans="1:25" x14ac:dyDescent="0.35">
      <c r="A4888" t="s">
        <v>99</v>
      </c>
      <c r="B4888" t="s">
        <v>100</v>
      </c>
      <c r="C4888" t="s">
        <v>136</v>
      </c>
      <c r="D4888" t="s">
        <v>1432</v>
      </c>
      <c r="E4888">
        <v>80830424</v>
      </c>
      <c r="F4888" t="s">
        <v>3042</v>
      </c>
      <c r="G4888" s="3">
        <v>47010</v>
      </c>
      <c r="H4888">
        <v>36</v>
      </c>
      <c r="I4888">
        <v>76</v>
      </c>
      <c r="J4888">
        <v>96</v>
      </c>
      <c r="K4888" s="4">
        <v>19336.32</v>
      </c>
      <c r="L4888" s="4">
        <v>422.85714285714283</v>
      </c>
      <c r="M4888" s="4">
        <v>0.22702702702702704</v>
      </c>
      <c r="N4888" t="s">
        <v>25</v>
      </c>
      <c r="O4888" t="str">
        <f t="shared" si="760"/>
        <v>Low</v>
      </c>
      <c r="P4888" t="str">
        <f t="shared" si="761"/>
        <v>Low</v>
      </c>
      <c r="Q4888" t="str">
        <f t="shared" si="762"/>
        <v>Low</v>
      </c>
      <c r="R4888" t="s">
        <v>3317</v>
      </c>
      <c r="S4888" s="4">
        <f t="shared" ca="1" si="763"/>
        <v>813</v>
      </c>
      <c r="T4888">
        <f t="shared" si="764"/>
        <v>1</v>
      </c>
      <c r="U4888">
        <f t="shared" si="765"/>
        <v>1</v>
      </c>
      <c r="V4888">
        <f t="shared" si="766"/>
        <v>1</v>
      </c>
      <c r="W4888">
        <f t="shared" si="767"/>
        <v>1</v>
      </c>
      <c r="X4888">
        <f t="shared" si="768"/>
        <v>0.99999999999999989</v>
      </c>
      <c r="Y4888" t="str">
        <f t="shared" si="769"/>
        <v>Healthy</v>
      </c>
    </row>
    <row r="4889" spans="1:25" x14ac:dyDescent="0.35">
      <c r="A4889" t="s">
        <v>71</v>
      </c>
      <c r="B4889" t="s">
        <v>72</v>
      </c>
      <c r="C4889" t="s">
        <v>174</v>
      </c>
      <c r="D4889" t="s">
        <v>748</v>
      </c>
      <c r="E4889">
        <v>80887686</v>
      </c>
      <c r="F4889" t="s">
        <v>3044</v>
      </c>
      <c r="G4889" s="3">
        <v>47270</v>
      </c>
      <c r="H4889">
        <v>36</v>
      </c>
      <c r="I4889">
        <v>100</v>
      </c>
      <c r="J4889">
        <v>77</v>
      </c>
      <c r="K4889" s="4">
        <v>22496.32</v>
      </c>
      <c r="L4889" s="4">
        <v>793.71428571428567</v>
      </c>
      <c r="M4889" s="4">
        <v>9.7012239020878341E-2</v>
      </c>
      <c r="N4889" t="s">
        <v>25</v>
      </c>
      <c r="O4889" t="str">
        <f t="shared" si="760"/>
        <v>Low</v>
      </c>
      <c r="P4889" t="str">
        <f t="shared" si="761"/>
        <v>Low</v>
      </c>
      <c r="Q4889" t="str">
        <f t="shared" si="762"/>
        <v>Low</v>
      </c>
      <c r="R4889" t="s">
        <v>3317</v>
      </c>
      <c r="S4889" s="4">
        <f t="shared" ca="1" si="763"/>
        <v>1073</v>
      </c>
      <c r="T4889">
        <f t="shared" si="764"/>
        <v>1</v>
      </c>
      <c r="U4889">
        <f t="shared" si="765"/>
        <v>1</v>
      </c>
      <c r="V4889">
        <f t="shared" si="766"/>
        <v>1</v>
      </c>
      <c r="W4889">
        <f t="shared" si="767"/>
        <v>1</v>
      </c>
      <c r="X4889">
        <f t="shared" si="768"/>
        <v>0.99999999999999989</v>
      </c>
      <c r="Y4889" t="str">
        <f t="shared" si="769"/>
        <v>Healthy</v>
      </c>
    </row>
    <row r="4890" spans="1:25" x14ac:dyDescent="0.35">
      <c r="A4890" t="s">
        <v>71</v>
      </c>
      <c r="B4890" t="s">
        <v>72</v>
      </c>
      <c r="C4890" t="s">
        <v>174</v>
      </c>
      <c r="D4890" t="s">
        <v>748</v>
      </c>
      <c r="E4890">
        <v>80887686</v>
      </c>
      <c r="F4890" t="s">
        <v>3044</v>
      </c>
      <c r="G4890" s="3">
        <v>47268</v>
      </c>
      <c r="H4890">
        <v>36</v>
      </c>
      <c r="I4890">
        <v>100</v>
      </c>
      <c r="J4890">
        <v>42</v>
      </c>
      <c r="K4890" s="4">
        <v>12270.72</v>
      </c>
      <c r="L4890" s="4">
        <v>793.71428571428567</v>
      </c>
      <c r="M4890" s="4">
        <v>5.2915766738660913E-2</v>
      </c>
      <c r="N4890" t="s">
        <v>25</v>
      </c>
      <c r="O4890" t="str">
        <f t="shared" si="760"/>
        <v>Low</v>
      </c>
      <c r="P4890" t="str">
        <f t="shared" si="761"/>
        <v>Low</v>
      </c>
      <c r="Q4890" t="str">
        <f t="shared" si="762"/>
        <v>Low</v>
      </c>
      <c r="R4890" t="s">
        <v>3317</v>
      </c>
      <c r="S4890" s="4">
        <f t="shared" ca="1" si="763"/>
        <v>1071</v>
      </c>
      <c r="T4890">
        <f t="shared" si="764"/>
        <v>1</v>
      </c>
      <c r="U4890">
        <f t="shared" si="765"/>
        <v>1</v>
      </c>
      <c r="V4890">
        <f t="shared" si="766"/>
        <v>1</v>
      </c>
      <c r="W4890">
        <f t="shared" si="767"/>
        <v>1</v>
      </c>
      <c r="X4890">
        <f t="shared" si="768"/>
        <v>0.99999999999999989</v>
      </c>
      <c r="Y4890" t="str">
        <f t="shared" si="769"/>
        <v>Healthy</v>
      </c>
    </row>
    <row r="4891" spans="1:25" x14ac:dyDescent="0.35">
      <c r="A4891" t="s">
        <v>99</v>
      </c>
      <c r="B4891" t="s">
        <v>100</v>
      </c>
      <c r="C4891" t="s">
        <v>136</v>
      </c>
      <c r="D4891" t="s">
        <v>1432</v>
      </c>
      <c r="E4891">
        <v>80830424</v>
      </c>
      <c r="F4891" t="s">
        <v>3042</v>
      </c>
      <c r="G4891" s="3">
        <v>46760</v>
      </c>
      <c r="H4891">
        <v>36</v>
      </c>
      <c r="I4891">
        <v>53</v>
      </c>
      <c r="J4891">
        <v>148</v>
      </c>
      <c r="K4891" s="4">
        <v>29810.16</v>
      </c>
      <c r="L4891" s="4">
        <v>422.85714285714283</v>
      </c>
      <c r="M4891" s="4">
        <v>0.35000000000000003</v>
      </c>
      <c r="N4891" t="s">
        <v>25</v>
      </c>
      <c r="O4891" t="str">
        <f t="shared" si="760"/>
        <v>Low</v>
      </c>
      <c r="P4891" t="str">
        <f t="shared" si="761"/>
        <v>Low</v>
      </c>
      <c r="Q4891" t="str">
        <f t="shared" si="762"/>
        <v>Low</v>
      </c>
      <c r="R4891" t="s">
        <v>3317</v>
      </c>
      <c r="S4891" s="4">
        <f t="shared" ca="1" si="763"/>
        <v>563</v>
      </c>
      <c r="T4891">
        <f t="shared" si="764"/>
        <v>1</v>
      </c>
      <c r="U4891">
        <f t="shared" si="765"/>
        <v>1</v>
      </c>
      <c r="V4891">
        <f t="shared" si="766"/>
        <v>1</v>
      </c>
      <c r="W4891">
        <f t="shared" si="767"/>
        <v>1</v>
      </c>
      <c r="X4891">
        <f t="shared" si="768"/>
        <v>0.99999999999999989</v>
      </c>
      <c r="Y4891" t="str">
        <f t="shared" si="769"/>
        <v>Healthy</v>
      </c>
    </row>
    <row r="4892" spans="1:25" x14ac:dyDescent="0.35">
      <c r="A4892" t="s">
        <v>71</v>
      </c>
      <c r="B4892" t="s">
        <v>72</v>
      </c>
      <c r="C4892" t="s">
        <v>174</v>
      </c>
      <c r="D4892" t="s">
        <v>748</v>
      </c>
      <c r="E4892">
        <v>80887686</v>
      </c>
      <c r="F4892" t="s">
        <v>3044</v>
      </c>
      <c r="G4892" s="3">
        <v>47274</v>
      </c>
      <c r="H4892">
        <v>36</v>
      </c>
      <c r="I4892">
        <v>100</v>
      </c>
      <c r="J4892">
        <v>72</v>
      </c>
      <c r="K4892" s="4">
        <v>21035.52</v>
      </c>
      <c r="L4892" s="4">
        <v>793.71428571428567</v>
      </c>
      <c r="M4892" s="4">
        <v>9.0712742980561561E-2</v>
      </c>
      <c r="N4892" t="s">
        <v>25</v>
      </c>
      <c r="O4892" t="str">
        <f t="shared" si="760"/>
        <v>Low</v>
      </c>
      <c r="P4892" t="str">
        <f t="shared" si="761"/>
        <v>Low</v>
      </c>
      <c r="Q4892" t="str">
        <f t="shared" si="762"/>
        <v>Low</v>
      </c>
      <c r="R4892" t="s">
        <v>3317</v>
      </c>
      <c r="S4892" s="4">
        <f t="shared" ca="1" si="763"/>
        <v>1077</v>
      </c>
      <c r="T4892">
        <f t="shared" si="764"/>
        <v>1</v>
      </c>
      <c r="U4892">
        <f t="shared" si="765"/>
        <v>1</v>
      </c>
      <c r="V4892">
        <f t="shared" si="766"/>
        <v>1</v>
      </c>
      <c r="W4892">
        <f t="shared" si="767"/>
        <v>1</v>
      </c>
      <c r="X4892">
        <f t="shared" si="768"/>
        <v>0.99999999999999989</v>
      </c>
      <c r="Y4892" t="str">
        <f t="shared" si="769"/>
        <v>Healthy</v>
      </c>
    </row>
    <row r="4893" spans="1:25" x14ac:dyDescent="0.35">
      <c r="A4893" t="s">
        <v>99</v>
      </c>
      <c r="B4893" t="s">
        <v>100</v>
      </c>
      <c r="C4893" t="s">
        <v>136</v>
      </c>
      <c r="D4893" t="s">
        <v>1432</v>
      </c>
      <c r="E4893">
        <v>80830424</v>
      </c>
      <c r="F4893" t="s">
        <v>3042</v>
      </c>
      <c r="G4893" s="3">
        <v>47240</v>
      </c>
      <c r="H4893">
        <v>36</v>
      </c>
      <c r="I4893">
        <v>97</v>
      </c>
      <c r="J4893">
        <v>96</v>
      </c>
      <c r="K4893" s="4">
        <v>19336.32</v>
      </c>
      <c r="L4893" s="4">
        <v>422.85714285714283</v>
      </c>
      <c r="M4893" s="4">
        <v>0.22702702702702704</v>
      </c>
      <c r="N4893" t="s">
        <v>25</v>
      </c>
      <c r="O4893" t="str">
        <f t="shared" si="760"/>
        <v>Low</v>
      </c>
      <c r="P4893" t="str">
        <f t="shared" si="761"/>
        <v>Low</v>
      </c>
      <c r="Q4893" t="str">
        <f t="shared" si="762"/>
        <v>Low</v>
      </c>
      <c r="R4893" t="s">
        <v>3317</v>
      </c>
      <c r="S4893" s="4">
        <f t="shared" ca="1" si="763"/>
        <v>1043</v>
      </c>
      <c r="T4893">
        <f t="shared" si="764"/>
        <v>1</v>
      </c>
      <c r="U4893">
        <f t="shared" si="765"/>
        <v>1</v>
      </c>
      <c r="V4893">
        <f t="shared" si="766"/>
        <v>1</v>
      </c>
      <c r="W4893">
        <f t="shared" si="767"/>
        <v>1</v>
      </c>
      <c r="X4893">
        <f t="shared" si="768"/>
        <v>0.99999999999999989</v>
      </c>
      <c r="Y4893" t="str">
        <f t="shared" si="769"/>
        <v>Healthy</v>
      </c>
    </row>
    <row r="4894" spans="1:25" x14ac:dyDescent="0.35">
      <c r="A4894" t="s">
        <v>41</v>
      </c>
      <c r="B4894" t="s">
        <v>54</v>
      </c>
      <c r="C4894" t="s">
        <v>87</v>
      </c>
      <c r="D4894" t="s">
        <v>335</v>
      </c>
      <c r="E4894">
        <v>80844161</v>
      </c>
      <c r="F4894" t="s">
        <v>3045</v>
      </c>
      <c r="G4894" s="3">
        <v>46810</v>
      </c>
      <c r="H4894">
        <v>36</v>
      </c>
      <c r="I4894">
        <v>57</v>
      </c>
      <c r="J4894">
        <v>1</v>
      </c>
      <c r="K4894" s="4">
        <v>418.02</v>
      </c>
      <c r="L4894" s="4">
        <v>1.7142857142857142</v>
      </c>
      <c r="M4894" s="4">
        <v>0.58333333333333337</v>
      </c>
      <c r="N4894" t="s">
        <v>25</v>
      </c>
      <c r="O4894" t="str">
        <f t="shared" si="760"/>
        <v>Low</v>
      </c>
      <c r="P4894" t="str">
        <f t="shared" si="761"/>
        <v>Low</v>
      </c>
      <c r="Q4894" t="str">
        <f t="shared" si="762"/>
        <v>High</v>
      </c>
      <c r="R4894" t="s">
        <v>3317</v>
      </c>
      <c r="S4894" s="4">
        <f t="shared" ca="1" si="763"/>
        <v>613</v>
      </c>
      <c r="T4894">
        <f t="shared" si="764"/>
        <v>1</v>
      </c>
      <c r="U4894">
        <f t="shared" si="765"/>
        <v>1</v>
      </c>
      <c r="V4894">
        <f t="shared" si="766"/>
        <v>3</v>
      </c>
      <c r="W4894">
        <f t="shared" si="767"/>
        <v>1</v>
      </c>
      <c r="X4894">
        <f t="shared" si="768"/>
        <v>1.4000000000000001</v>
      </c>
      <c r="Y4894" t="str">
        <f t="shared" si="769"/>
        <v>Healthy</v>
      </c>
    </row>
    <row r="4895" spans="1:25" x14ac:dyDescent="0.35">
      <c r="A4895" t="s">
        <v>41</v>
      </c>
      <c r="B4895" t="s">
        <v>54</v>
      </c>
      <c r="C4895" t="s">
        <v>87</v>
      </c>
      <c r="D4895" t="s">
        <v>335</v>
      </c>
      <c r="E4895">
        <v>80844161</v>
      </c>
      <c r="F4895" t="s">
        <v>3045</v>
      </c>
      <c r="G4895" s="3">
        <v>46874</v>
      </c>
      <c r="H4895">
        <v>36</v>
      </c>
      <c r="I4895">
        <v>63</v>
      </c>
      <c r="J4895">
        <v>2</v>
      </c>
      <c r="K4895" s="4">
        <v>836.04</v>
      </c>
      <c r="L4895" s="4">
        <v>1.7142857142857142</v>
      </c>
      <c r="M4895" s="4">
        <v>1.1666666666666667</v>
      </c>
      <c r="N4895" t="s">
        <v>25</v>
      </c>
      <c r="O4895" t="str">
        <f t="shared" si="760"/>
        <v>Low</v>
      </c>
      <c r="P4895" t="str">
        <f t="shared" si="761"/>
        <v>Low</v>
      </c>
      <c r="Q4895" t="str">
        <f t="shared" si="762"/>
        <v>High</v>
      </c>
      <c r="R4895" t="s">
        <v>3317</v>
      </c>
      <c r="S4895" s="4">
        <f t="shared" ca="1" si="763"/>
        <v>677</v>
      </c>
      <c r="T4895">
        <f t="shared" si="764"/>
        <v>1</v>
      </c>
      <c r="U4895">
        <f t="shared" si="765"/>
        <v>1</v>
      </c>
      <c r="V4895">
        <f t="shared" si="766"/>
        <v>3</v>
      </c>
      <c r="W4895">
        <f t="shared" si="767"/>
        <v>1</v>
      </c>
      <c r="X4895">
        <f t="shared" si="768"/>
        <v>1.4000000000000001</v>
      </c>
      <c r="Y4895" t="str">
        <f t="shared" si="769"/>
        <v>Healthy</v>
      </c>
    </row>
    <row r="4896" spans="1:25" x14ac:dyDescent="0.35">
      <c r="A4896" t="s">
        <v>41</v>
      </c>
      <c r="B4896" t="s">
        <v>54</v>
      </c>
      <c r="C4896" t="s">
        <v>87</v>
      </c>
      <c r="D4896" t="s">
        <v>95</v>
      </c>
      <c r="E4896">
        <v>80850655</v>
      </c>
      <c r="F4896" t="s">
        <v>3046</v>
      </c>
      <c r="G4896" s="3">
        <v>46765</v>
      </c>
      <c r="H4896">
        <v>36</v>
      </c>
      <c r="I4896">
        <v>53</v>
      </c>
      <c r="J4896">
        <v>1</v>
      </c>
      <c r="K4896" s="4">
        <v>959.97</v>
      </c>
      <c r="L4896" s="4">
        <f>0</f>
        <v>0</v>
      </c>
      <c r="M4896" s="4">
        <f>999</f>
        <v>999</v>
      </c>
      <c r="N4896" t="s">
        <v>19</v>
      </c>
      <c r="O4896" t="str">
        <f t="shared" si="760"/>
        <v>Low</v>
      </c>
      <c r="P4896" t="str">
        <f t="shared" si="761"/>
        <v>High</v>
      </c>
      <c r="Q4896" t="str">
        <f t="shared" si="762"/>
        <v>High</v>
      </c>
      <c r="R4896" t="s">
        <v>3317</v>
      </c>
      <c r="S4896" s="4">
        <f t="shared" ca="1" si="763"/>
        <v>568</v>
      </c>
      <c r="T4896">
        <f t="shared" si="764"/>
        <v>1</v>
      </c>
      <c r="U4896">
        <f t="shared" si="765"/>
        <v>3</v>
      </c>
      <c r="V4896">
        <f t="shared" si="766"/>
        <v>3</v>
      </c>
      <c r="W4896">
        <f t="shared" si="767"/>
        <v>1</v>
      </c>
      <c r="X4896">
        <f t="shared" si="768"/>
        <v>2</v>
      </c>
      <c r="Y4896" t="str">
        <f t="shared" si="769"/>
        <v>Monitor</v>
      </c>
    </row>
    <row r="4897" spans="1:25" x14ac:dyDescent="0.35">
      <c r="A4897" t="s">
        <v>41</v>
      </c>
      <c r="B4897" t="s">
        <v>54</v>
      </c>
      <c r="C4897" t="s">
        <v>87</v>
      </c>
      <c r="D4897" t="s">
        <v>95</v>
      </c>
      <c r="E4897">
        <v>80850655</v>
      </c>
      <c r="F4897" t="s">
        <v>3046</v>
      </c>
      <c r="G4897" s="3">
        <v>46854</v>
      </c>
      <c r="H4897">
        <v>36</v>
      </c>
      <c r="I4897">
        <v>61</v>
      </c>
      <c r="J4897">
        <v>3</v>
      </c>
      <c r="K4897" s="4">
        <v>2879.91</v>
      </c>
      <c r="L4897" s="4">
        <f>0</f>
        <v>0</v>
      </c>
      <c r="M4897" s="4">
        <f>999</f>
        <v>999</v>
      </c>
      <c r="N4897" t="s">
        <v>19</v>
      </c>
      <c r="O4897" t="str">
        <f t="shared" si="760"/>
        <v>Low</v>
      </c>
      <c r="P4897" t="str">
        <f t="shared" si="761"/>
        <v>High</v>
      </c>
      <c r="Q4897" t="str">
        <f t="shared" si="762"/>
        <v>High</v>
      </c>
      <c r="R4897" t="s">
        <v>3317</v>
      </c>
      <c r="S4897" s="4">
        <f t="shared" ca="1" si="763"/>
        <v>657</v>
      </c>
      <c r="T4897">
        <f t="shared" si="764"/>
        <v>1</v>
      </c>
      <c r="U4897">
        <f t="shared" si="765"/>
        <v>3</v>
      </c>
      <c r="V4897">
        <f t="shared" si="766"/>
        <v>3</v>
      </c>
      <c r="W4897">
        <f t="shared" si="767"/>
        <v>1</v>
      </c>
      <c r="X4897">
        <f t="shared" si="768"/>
        <v>2</v>
      </c>
      <c r="Y4897" t="str">
        <f t="shared" si="769"/>
        <v>Monitor</v>
      </c>
    </row>
    <row r="4898" spans="1:25" x14ac:dyDescent="0.35">
      <c r="A4898" t="s">
        <v>71</v>
      </c>
      <c r="B4898" t="s">
        <v>72</v>
      </c>
      <c r="C4898" t="s">
        <v>174</v>
      </c>
      <c r="D4898" t="s">
        <v>1861</v>
      </c>
      <c r="E4898">
        <v>80887688</v>
      </c>
      <c r="F4898" t="s">
        <v>3047</v>
      </c>
      <c r="G4898" s="3">
        <v>47232</v>
      </c>
      <c r="H4898">
        <v>36</v>
      </c>
      <c r="I4898">
        <v>96</v>
      </c>
      <c r="J4898">
        <v>33</v>
      </c>
      <c r="K4898" s="4">
        <v>9641.2800000000007</v>
      </c>
      <c r="L4898" s="4">
        <v>873.85714285714289</v>
      </c>
      <c r="M4898" s="4">
        <v>3.776360961255517E-2</v>
      </c>
      <c r="N4898" t="s">
        <v>25</v>
      </c>
      <c r="O4898" t="str">
        <f t="shared" si="760"/>
        <v>Low</v>
      </c>
      <c r="P4898" t="str">
        <f t="shared" si="761"/>
        <v>Low</v>
      </c>
      <c r="Q4898" t="str">
        <f t="shared" si="762"/>
        <v>Low</v>
      </c>
      <c r="R4898" t="s">
        <v>3317</v>
      </c>
      <c r="S4898" s="4">
        <f t="shared" ca="1" si="763"/>
        <v>1035</v>
      </c>
      <c r="T4898">
        <f t="shared" si="764"/>
        <v>1</v>
      </c>
      <c r="U4898">
        <f t="shared" si="765"/>
        <v>1</v>
      </c>
      <c r="V4898">
        <f t="shared" si="766"/>
        <v>1</v>
      </c>
      <c r="W4898">
        <f t="shared" si="767"/>
        <v>1</v>
      </c>
      <c r="X4898">
        <f t="shared" si="768"/>
        <v>0.99999999999999989</v>
      </c>
      <c r="Y4898" t="str">
        <f t="shared" si="769"/>
        <v>Healthy</v>
      </c>
    </row>
    <row r="4899" spans="1:25" x14ac:dyDescent="0.35">
      <c r="A4899" t="s">
        <v>29</v>
      </c>
      <c r="B4899" t="s">
        <v>30</v>
      </c>
      <c r="C4899" t="s">
        <v>276</v>
      </c>
      <c r="D4899" t="s">
        <v>647</v>
      </c>
      <c r="E4899">
        <v>80781943</v>
      </c>
      <c r="F4899" t="s">
        <v>3048</v>
      </c>
      <c r="G4899" s="3">
        <v>46921</v>
      </c>
      <c r="H4899">
        <v>36</v>
      </c>
      <c r="I4899">
        <v>68</v>
      </c>
      <c r="J4899">
        <v>10</v>
      </c>
      <c r="K4899" s="4">
        <v>17591.400000000001</v>
      </c>
      <c r="L4899" s="4">
        <v>33.571428571428569</v>
      </c>
      <c r="M4899" s="4">
        <v>0.29787234042553196</v>
      </c>
      <c r="N4899" t="s">
        <v>25</v>
      </c>
      <c r="O4899" t="str">
        <f t="shared" si="760"/>
        <v>Low</v>
      </c>
      <c r="P4899" t="str">
        <f t="shared" si="761"/>
        <v>Low</v>
      </c>
      <c r="Q4899" t="str">
        <f t="shared" si="762"/>
        <v>Low</v>
      </c>
      <c r="R4899" t="s">
        <v>3317</v>
      </c>
      <c r="S4899" s="4">
        <f t="shared" ca="1" si="763"/>
        <v>724</v>
      </c>
      <c r="T4899">
        <f t="shared" si="764"/>
        <v>1</v>
      </c>
      <c r="U4899">
        <f t="shared" si="765"/>
        <v>1</v>
      </c>
      <c r="V4899">
        <f t="shared" si="766"/>
        <v>1</v>
      </c>
      <c r="W4899">
        <f t="shared" si="767"/>
        <v>1</v>
      </c>
      <c r="X4899">
        <f t="shared" si="768"/>
        <v>0.99999999999999989</v>
      </c>
      <c r="Y4899" t="str">
        <f t="shared" si="769"/>
        <v>Healthy</v>
      </c>
    </row>
    <row r="4900" spans="1:25" x14ac:dyDescent="0.35">
      <c r="A4900" t="s">
        <v>41</v>
      </c>
      <c r="B4900" t="s">
        <v>54</v>
      </c>
      <c r="C4900" t="s">
        <v>55</v>
      </c>
      <c r="D4900" t="s">
        <v>3049</v>
      </c>
      <c r="E4900">
        <v>80880896</v>
      </c>
      <c r="F4900" t="s">
        <v>3050</v>
      </c>
      <c r="G4900" s="3">
        <v>47205</v>
      </c>
      <c r="H4900">
        <v>36</v>
      </c>
      <c r="I4900">
        <v>94</v>
      </c>
      <c r="J4900">
        <v>1</v>
      </c>
      <c r="K4900" s="4">
        <v>344.72</v>
      </c>
      <c r="L4900" s="4">
        <v>989.71428571428567</v>
      </c>
      <c r="M4900" s="4">
        <v>1.0103926096997691E-3</v>
      </c>
      <c r="N4900" t="s">
        <v>25</v>
      </c>
      <c r="O4900" t="str">
        <f t="shared" si="760"/>
        <v>Low</v>
      </c>
      <c r="P4900" t="str">
        <f t="shared" si="761"/>
        <v>Low</v>
      </c>
      <c r="Q4900" t="str">
        <f t="shared" si="762"/>
        <v>Low</v>
      </c>
      <c r="R4900" t="s">
        <v>3317</v>
      </c>
      <c r="S4900" s="4">
        <f t="shared" ca="1" si="763"/>
        <v>1008</v>
      </c>
      <c r="T4900">
        <f t="shared" si="764"/>
        <v>1</v>
      </c>
      <c r="U4900">
        <f t="shared" si="765"/>
        <v>1</v>
      </c>
      <c r="V4900">
        <f t="shared" si="766"/>
        <v>1</v>
      </c>
      <c r="W4900">
        <f t="shared" si="767"/>
        <v>1</v>
      </c>
      <c r="X4900">
        <f t="shared" si="768"/>
        <v>0.99999999999999989</v>
      </c>
      <c r="Y4900" t="str">
        <f t="shared" si="769"/>
        <v>Healthy</v>
      </c>
    </row>
    <row r="4901" spans="1:25" x14ac:dyDescent="0.35">
      <c r="A4901" t="s">
        <v>29</v>
      </c>
      <c r="B4901" t="s">
        <v>30</v>
      </c>
      <c r="C4901" t="s">
        <v>276</v>
      </c>
      <c r="D4901" t="s">
        <v>647</v>
      </c>
      <c r="E4901">
        <v>80781943</v>
      </c>
      <c r="F4901" t="s">
        <v>3048</v>
      </c>
      <c r="G4901" s="3">
        <v>46814</v>
      </c>
      <c r="H4901">
        <v>36</v>
      </c>
      <c r="I4901">
        <v>58</v>
      </c>
      <c r="J4901">
        <v>8</v>
      </c>
      <c r="K4901" s="4">
        <v>14073.12</v>
      </c>
      <c r="L4901" s="4">
        <v>33.571428571428569</v>
      </c>
      <c r="M4901" s="4">
        <v>0.23829787234042554</v>
      </c>
      <c r="N4901" t="s">
        <v>25</v>
      </c>
      <c r="O4901" t="str">
        <f t="shared" si="760"/>
        <v>Low</v>
      </c>
      <c r="P4901" t="str">
        <f t="shared" si="761"/>
        <v>Low</v>
      </c>
      <c r="Q4901" t="str">
        <f t="shared" si="762"/>
        <v>Low</v>
      </c>
      <c r="R4901" t="s">
        <v>3317</v>
      </c>
      <c r="S4901" s="4">
        <f t="shared" ca="1" si="763"/>
        <v>617</v>
      </c>
      <c r="T4901">
        <f t="shared" si="764"/>
        <v>1</v>
      </c>
      <c r="U4901">
        <f t="shared" si="765"/>
        <v>1</v>
      </c>
      <c r="V4901">
        <f t="shared" si="766"/>
        <v>1</v>
      </c>
      <c r="W4901">
        <f t="shared" si="767"/>
        <v>1</v>
      </c>
      <c r="X4901">
        <f t="shared" si="768"/>
        <v>0.99999999999999989</v>
      </c>
      <c r="Y4901" t="str">
        <f t="shared" si="769"/>
        <v>Healthy</v>
      </c>
    </row>
    <row r="4902" spans="1:25" x14ac:dyDescent="0.35">
      <c r="A4902" t="s">
        <v>29</v>
      </c>
      <c r="B4902" t="s">
        <v>30</v>
      </c>
      <c r="C4902" t="s">
        <v>276</v>
      </c>
      <c r="D4902" t="s">
        <v>647</v>
      </c>
      <c r="E4902">
        <v>80781943</v>
      </c>
      <c r="F4902" t="s">
        <v>3048</v>
      </c>
      <c r="G4902" s="3">
        <v>46949</v>
      </c>
      <c r="H4902">
        <v>36</v>
      </c>
      <c r="I4902">
        <v>70</v>
      </c>
      <c r="J4902">
        <v>11</v>
      </c>
      <c r="K4902" s="4">
        <v>19350.54</v>
      </c>
      <c r="L4902" s="4">
        <v>33.571428571428569</v>
      </c>
      <c r="M4902" s="4">
        <v>0.32765957446808514</v>
      </c>
      <c r="N4902" t="s">
        <v>25</v>
      </c>
      <c r="O4902" t="str">
        <f t="shared" si="760"/>
        <v>Low</v>
      </c>
      <c r="P4902" t="str">
        <f t="shared" si="761"/>
        <v>Low</v>
      </c>
      <c r="Q4902" t="str">
        <f t="shared" si="762"/>
        <v>Low</v>
      </c>
      <c r="R4902" t="s">
        <v>3317</v>
      </c>
      <c r="S4902" s="4">
        <f t="shared" ca="1" si="763"/>
        <v>752</v>
      </c>
      <c r="T4902">
        <f t="shared" si="764"/>
        <v>1</v>
      </c>
      <c r="U4902">
        <f t="shared" si="765"/>
        <v>1</v>
      </c>
      <c r="V4902">
        <f t="shared" si="766"/>
        <v>1</v>
      </c>
      <c r="W4902">
        <f t="shared" si="767"/>
        <v>1</v>
      </c>
      <c r="X4902">
        <f t="shared" si="768"/>
        <v>0.99999999999999989</v>
      </c>
      <c r="Y4902" t="str">
        <f t="shared" si="769"/>
        <v>Healthy</v>
      </c>
    </row>
    <row r="4903" spans="1:25" x14ac:dyDescent="0.35">
      <c r="A4903" t="s">
        <v>71</v>
      </c>
      <c r="B4903" t="s">
        <v>72</v>
      </c>
      <c r="C4903" t="s">
        <v>174</v>
      </c>
      <c r="D4903" t="s">
        <v>1231</v>
      </c>
      <c r="E4903">
        <v>80887690</v>
      </c>
      <c r="F4903" t="s">
        <v>3051</v>
      </c>
      <c r="G4903" s="3">
        <v>47258</v>
      </c>
      <c r="H4903">
        <v>36</v>
      </c>
      <c r="I4903">
        <v>99</v>
      </c>
      <c r="J4903">
        <v>120</v>
      </c>
      <c r="K4903" s="4">
        <v>35059.199999999997</v>
      </c>
      <c r="L4903" s="4">
        <v>58.857142857142854</v>
      </c>
      <c r="M4903" s="4">
        <v>2.0388349514563107</v>
      </c>
      <c r="N4903" t="s">
        <v>25</v>
      </c>
      <c r="O4903" t="str">
        <f t="shared" si="760"/>
        <v>Low</v>
      </c>
      <c r="P4903" t="str">
        <f t="shared" si="761"/>
        <v>Low</v>
      </c>
      <c r="Q4903" t="str">
        <f t="shared" si="762"/>
        <v>Low</v>
      </c>
      <c r="R4903" t="s">
        <v>3317</v>
      </c>
      <c r="S4903" s="4">
        <f t="shared" ca="1" si="763"/>
        <v>1061</v>
      </c>
      <c r="T4903">
        <f t="shared" si="764"/>
        <v>1</v>
      </c>
      <c r="U4903">
        <f t="shared" si="765"/>
        <v>1</v>
      </c>
      <c r="V4903">
        <f t="shared" si="766"/>
        <v>1</v>
      </c>
      <c r="W4903">
        <f t="shared" si="767"/>
        <v>1</v>
      </c>
      <c r="X4903">
        <f t="shared" si="768"/>
        <v>0.99999999999999989</v>
      </c>
      <c r="Y4903" t="str">
        <f t="shared" si="769"/>
        <v>Healthy</v>
      </c>
    </row>
    <row r="4904" spans="1:25" x14ac:dyDescent="0.35">
      <c r="A4904" t="s">
        <v>71</v>
      </c>
      <c r="B4904" t="s">
        <v>72</v>
      </c>
      <c r="C4904" t="s">
        <v>174</v>
      </c>
      <c r="D4904" t="s">
        <v>1639</v>
      </c>
      <c r="E4904">
        <v>80887692</v>
      </c>
      <c r="F4904" t="s">
        <v>3052</v>
      </c>
      <c r="G4904" s="3">
        <v>47256</v>
      </c>
      <c r="H4904">
        <v>36</v>
      </c>
      <c r="I4904">
        <v>99</v>
      </c>
      <c r="J4904">
        <v>41</v>
      </c>
      <c r="K4904" s="4">
        <v>11978.56</v>
      </c>
      <c r="L4904" s="4">
        <v>359.14285714285717</v>
      </c>
      <c r="M4904" s="4">
        <v>0.11416070007955449</v>
      </c>
      <c r="N4904" t="s">
        <v>25</v>
      </c>
      <c r="O4904" t="str">
        <f t="shared" si="760"/>
        <v>Low</v>
      </c>
      <c r="P4904" t="str">
        <f t="shared" si="761"/>
        <v>Low</v>
      </c>
      <c r="Q4904" t="str">
        <f t="shared" si="762"/>
        <v>Low</v>
      </c>
      <c r="R4904" t="s">
        <v>3317</v>
      </c>
      <c r="S4904" s="4">
        <f t="shared" ca="1" si="763"/>
        <v>1059</v>
      </c>
      <c r="T4904">
        <f t="shared" si="764"/>
        <v>1</v>
      </c>
      <c r="U4904">
        <f t="shared" si="765"/>
        <v>1</v>
      </c>
      <c r="V4904">
        <f t="shared" si="766"/>
        <v>1</v>
      </c>
      <c r="W4904">
        <f t="shared" si="767"/>
        <v>1</v>
      </c>
      <c r="X4904">
        <f t="shared" si="768"/>
        <v>0.99999999999999989</v>
      </c>
      <c r="Y4904" t="str">
        <f t="shared" si="769"/>
        <v>Healthy</v>
      </c>
    </row>
    <row r="4905" spans="1:25" x14ac:dyDescent="0.35">
      <c r="A4905" t="s">
        <v>71</v>
      </c>
      <c r="B4905" t="s">
        <v>72</v>
      </c>
      <c r="C4905" t="s">
        <v>174</v>
      </c>
      <c r="D4905" t="s">
        <v>328</v>
      </c>
      <c r="E4905">
        <v>80887704</v>
      </c>
      <c r="F4905" t="s">
        <v>3053</v>
      </c>
      <c r="G4905" s="3">
        <v>47230</v>
      </c>
      <c r="H4905">
        <v>36</v>
      </c>
      <c r="I4905">
        <v>96</v>
      </c>
      <c r="J4905">
        <v>24</v>
      </c>
      <c r="K4905" s="4">
        <v>24940.080000000002</v>
      </c>
      <c r="L4905" s="4">
        <v>2726.8571428571427</v>
      </c>
      <c r="M4905" s="4">
        <v>8.8013411567476954E-3</v>
      </c>
      <c r="N4905" t="s">
        <v>25</v>
      </c>
      <c r="O4905" t="str">
        <f t="shared" si="760"/>
        <v>Low</v>
      </c>
      <c r="P4905" t="str">
        <f t="shared" si="761"/>
        <v>Low</v>
      </c>
      <c r="Q4905" t="str">
        <f t="shared" si="762"/>
        <v>Low</v>
      </c>
      <c r="R4905" t="s">
        <v>3317</v>
      </c>
      <c r="S4905" s="4">
        <f t="shared" ca="1" si="763"/>
        <v>1033</v>
      </c>
      <c r="T4905">
        <f t="shared" si="764"/>
        <v>1</v>
      </c>
      <c r="U4905">
        <f t="shared" si="765"/>
        <v>1</v>
      </c>
      <c r="V4905">
        <f t="shared" si="766"/>
        <v>1</v>
      </c>
      <c r="W4905">
        <f t="shared" si="767"/>
        <v>1</v>
      </c>
      <c r="X4905">
        <f t="shared" si="768"/>
        <v>0.99999999999999989</v>
      </c>
      <c r="Y4905" t="str">
        <f t="shared" si="769"/>
        <v>Healthy</v>
      </c>
    </row>
    <row r="4906" spans="1:25" x14ac:dyDescent="0.35">
      <c r="A4906" t="s">
        <v>71</v>
      </c>
      <c r="B4906" t="s">
        <v>72</v>
      </c>
      <c r="C4906" t="s">
        <v>174</v>
      </c>
      <c r="D4906" t="s">
        <v>328</v>
      </c>
      <c r="E4906">
        <v>80887704</v>
      </c>
      <c r="F4906" t="s">
        <v>3053</v>
      </c>
      <c r="G4906" s="3">
        <v>47173</v>
      </c>
      <c r="H4906">
        <v>36</v>
      </c>
      <c r="I4906">
        <v>91</v>
      </c>
      <c r="J4906">
        <v>8</v>
      </c>
      <c r="K4906" s="4">
        <v>8313.36</v>
      </c>
      <c r="L4906" s="4">
        <v>2726.8571428571427</v>
      </c>
      <c r="M4906" s="4">
        <v>2.933780385582565E-3</v>
      </c>
      <c r="N4906" t="s">
        <v>25</v>
      </c>
      <c r="O4906" t="str">
        <f t="shared" si="760"/>
        <v>Low</v>
      </c>
      <c r="P4906" t="str">
        <f t="shared" si="761"/>
        <v>Low</v>
      </c>
      <c r="Q4906" t="str">
        <f t="shared" si="762"/>
        <v>Low</v>
      </c>
      <c r="R4906" t="s">
        <v>3317</v>
      </c>
      <c r="S4906" s="4">
        <f t="shared" ca="1" si="763"/>
        <v>976</v>
      </c>
      <c r="T4906">
        <f t="shared" si="764"/>
        <v>1</v>
      </c>
      <c r="U4906">
        <f t="shared" si="765"/>
        <v>1</v>
      </c>
      <c r="V4906">
        <f t="shared" si="766"/>
        <v>1</v>
      </c>
      <c r="W4906">
        <f t="shared" si="767"/>
        <v>1</v>
      </c>
      <c r="X4906">
        <f t="shared" si="768"/>
        <v>0.99999999999999989</v>
      </c>
      <c r="Y4906" t="str">
        <f t="shared" si="769"/>
        <v>Healthy</v>
      </c>
    </row>
    <row r="4907" spans="1:25" x14ac:dyDescent="0.35">
      <c r="A4907" t="s">
        <v>90</v>
      </c>
      <c r="B4907" t="s">
        <v>91</v>
      </c>
      <c r="C4907" t="s">
        <v>112</v>
      </c>
      <c r="D4907" t="s">
        <v>1853</v>
      </c>
      <c r="E4907">
        <v>80835103</v>
      </c>
      <c r="F4907" t="s">
        <v>3054</v>
      </c>
      <c r="G4907" s="3">
        <v>46672</v>
      </c>
      <c r="H4907">
        <v>24</v>
      </c>
      <c r="I4907">
        <v>67</v>
      </c>
      <c r="J4907">
        <v>3</v>
      </c>
      <c r="K4907" s="4">
        <v>1136.82</v>
      </c>
      <c r="L4907" s="4">
        <v>355.85714285714283</v>
      </c>
      <c r="M4907" s="4">
        <v>8.4303492573263757E-3</v>
      </c>
      <c r="N4907" t="s">
        <v>25</v>
      </c>
      <c r="O4907" t="str">
        <f t="shared" si="760"/>
        <v>Low</v>
      </c>
      <c r="P4907" t="str">
        <f t="shared" si="761"/>
        <v>Low</v>
      </c>
      <c r="Q4907" t="str">
        <f t="shared" si="762"/>
        <v>Low</v>
      </c>
      <c r="R4907" t="s">
        <v>3317</v>
      </c>
      <c r="S4907" s="4">
        <f t="shared" ca="1" si="763"/>
        <v>475</v>
      </c>
      <c r="T4907">
        <f t="shared" si="764"/>
        <v>1</v>
      </c>
      <c r="U4907">
        <f t="shared" si="765"/>
        <v>1</v>
      </c>
      <c r="V4907">
        <f t="shared" si="766"/>
        <v>1</v>
      </c>
      <c r="W4907">
        <f t="shared" si="767"/>
        <v>1</v>
      </c>
      <c r="X4907">
        <f t="shared" si="768"/>
        <v>0.99999999999999989</v>
      </c>
      <c r="Y4907" t="str">
        <f t="shared" si="769"/>
        <v>Healthy</v>
      </c>
    </row>
    <row r="4908" spans="1:25" x14ac:dyDescent="0.35">
      <c r="A4908" t="s">
        <v>71</v>
      </c>
      <c r="B4908" t="s">
        <v>72</v>
      </c>
      <c r="C4908" t="s">
        <v>174</v>
      </c>
      <c r="D4908" t="s">
        <v>328</v>
      </c>
      <c r="E4908">
        <v>80887704</v>
      </c>
      <c r="F4908" t="s">
        <v>3053</v>
      </c>
      <c r="G4908" s="3">
        <v>47186</v>
      </c>
      <c r="H4908">
        <v>36</v>
      </c>
      <c r="I4908">
        <v>92</v>
      </c>
      <c r="J4908">
        <v>15</v>
      </c>
      <c r="K4908" s="4">
        <v>15587.55</v>
      </c>
      <c r="L4908" s="4">
        <v>2726.8571428571427</v>
      </c>
      <c r="M4908" s="4">
        <v>5.5008382229673096E-3</v>
      </c>
      <c r="N4908" t="s">
        <v>25</v>
      </c>
      <c r="O4908" t="str">
        <f t="shared" si="760"/>
        <v>Low</v>
      </c>
      <c r="P4908" t="str">
        <f t="shared" si="761"/>
        <v>Low</v>
      </c>
      <c r="Q4908" t="str">
        <f t="shared" si="762"/>
        <v>Low</v>
      </c>
      <c r="R4908" t="s">
        <v>3317</v>
      </c>
      <c r="S4908" s="4">
        <f t="shared" ca="1" si="763"/>
        <v>989</v>
      </c>
      <c r="T4908">
        <f t="shared" si="764"/>
        <v>1</v>
      </c>
      <c r="U4908">
        <f t="shared" si="765"/>
        <v>1</v>
      </c>
      <c r="V4908">
        <f t="shared" si="766"/>
        <v>1</v>
      </c>
      <c r="W4908">
        <f t="shared" si="767"/>
        <v>1</v>
      </c>
      <c r="X4908">
        <f t="shared" si="768"/>
        <v>0.99999999999999989</v>
      </c>
      <c r="Y4908" t="str">
        <f t="shared" si="769"/>
        <v>Healthy</v>
      </c>
    </row>
    <row r="4909" spans="1:25" x14ac:dyDescent="0.35">
      <c r="A4909" t="s">
        <v>71</v>
      </c>
      <c r="B4909" t="s">
        <v>72</v>
      </c>
      <c r="C4909" t="s">
        <v>174</v>
      </c>
      <c r="D4909" t="s">
        <v>328</v>
      </c>
      <c r="E4909">
        <v>80887704</v>
      </c>
      <c r="F4909" t="s">
        <v>3053</v>
      </c>
      <c r="G4909" s="3">
        <v>47221</v>
      </c>
      <c r="H4909">
        <v>36</v>
      </c>
      <c r="I4909">
        <v>95</v>
      </c>
      <c r="J4909">
        <v>16</v>
      </c>
      <c r="K4909" s="4">
        <v>16626.72</v>
      </c>
      <c r="L4909" s="4">
        <v>2726.8571428571427</v>
      </c>
      <c r="M4909" s="4">
        <v>5.86756077116513E-3</v>
      </c>
      <c r="N4909" t="s">
        <v>25</v>
      </c>
      <c r="O4909" t="str">
        <f t="shared" si="760"/>
        <v>Low</v>
      </c>
      <c r="P4909" t="str">
        <f t="shared" si="761"/>
        <v>Low</v>
      </c>
      <c r="Q4909" t="str">
        <f t="shared" si="762"/>
        <v>Low</v>
      </c>
      <c r="R4909" t="s">
        <v>3317</v>
      </c>
      <c r="S4909" s="4">
        <f t="shared" ca="1" si="763"/>
        <v>1024</v>
      </c>
      <c r="T4909">
        <f t="shared" si="764"/>
        <v>1</v>
      </c>
      <c r="U4909">
        <f t="shared" si="765"/>
        <v>1</v>
      </c>
      <c r="V4909">
        <f t="shared" si="766"/>
        <v>1</v>
      </c>
      <c r="W4909">
        <f t="shared" si="767"/>
        <v>1</v>
      </c>
      <c r="X4909">
        <f t="shared" si="768"/>
        <v>0.99999999999999989</v>
      </c>
      <c r="Y4909" t="str">
        <f t="shared" si="769"/>
        <v>Healthy</v>
      </c>
    </row>
    <row r="4910" spans="1:25" x14ac:dyDescent="0.35">
      <c r="A4910" t="s">
        <v>90</v>
      </c>
      <c r="B4910" t="s">
        <v>91</v>
      </c>
      <c r="C4910" t="s">
        <v>112</v>
      </c>
      <c r="D4910" t="s">
        <v>1853</v>
      </c>
      <c r="E4910">
        <v>80835103</v>
      </c>
      <c r="F4910" t="s">
        <v>3054</v>
      </c>
      <c r="G4910" s="3">
        <v>46695</v>
      </c>
      <c r="H4910">
        <v>24</v>
      </c>
      <c r="I4910">
        <v>70</v>
      </c>
      <c r="J4910">
        <v>15</v>
      </c>
      <c r="K4910" s="4">
        <v>5684.1</v>
      </c>
      <c r="L4910" s="4">
        <v>355.85714285714283</v>
      </c>
      <c r="M4910" s="4">
        <v>4.2151746286631875E-2</v>
      </c>
      <c r="N4910" t="s">
        <v>25</v>
      </c>
      <c r="O4910" t="str">
        <f t="shared" si="760"/>
        <v>Low</v>
      </c>
      <c r="P4910" t="str">
        <f t="shared" si="761"/>
        <v>Low</v>
      </c>
      <c r="Q4910" t="str">
        <f t="shared" si="762"/>
        <v>Low</v>
      </c>
      <c r="R4910" t="s">
        <v>3317</v>
      </c>
      <c r="S4910" s="4">
        <f t="shared" ca="1" si="763"/>
        <v>498</v>
      </c>
      <c r="T4910">
        <f t="shared" si="764"/>
        <v>1</v>
      </c>
      <c r="U4910">
        <f t="shared" si="765"/>
        <v>1</v>
      </c>
      <c r="V4910">
        <f t="shared" si="766"/>
        <v>1</v>
      </c>
      <c r="W4910">
        <f t="shared" si="767"/>
        <v>1</v>
      </c>
      <c r="X4910">
        <f t="shared" si="768"/>
        <v>0.99999999999999989</v>
      </c>
      <c r="Y4910" t="str">
        <f t="shared" si="769"/>
        <v>Healthy</v>
      </c>
    </row>
    <row r="4911" spans="1:25" x14ac:dyDescent="0.35">
      <c r="A4911" t="s">
        <v>71</v>
      </c>
      <c r="B4911" t="s">
        <v>72</v>
      </c>
      <c r="C4911" t="s">
        <v>174</v>
      </c>
      <c r="D4911" t="s">
        <v>328</v>
      </c>
      <c r="E4911">
        <v>80887704</v>
      </c>
      <c r="F4911" t="s">
        <v>3053</v>
      </c>
      <c r="G4911" s="3">
        <v>47220</v>
      </c>
      <c r="H4911">
        <v>36</v>
      </c>
      <c r="I4911">
        <v>95</v>
      </c>
      <c r="J4911">
        <v>16</v>
      </c>
      <c r="K4911" s="4">
        <v>16626.72</v>
      </c>
      <c r="L4911" s="4">
        <v>2726.8571428571427</v>
      </c>
      <c r="M4911" s="4">
        <v>5.86756077116513E-3</v>
      </c>
      <c r="N4911" t="s">
        <v>25</v>
      </c>
      <c r="O4911" t="str">
        <f t="shared" si="760"/>
        <v>Low</v>
      </c>
      <c r="P4911" t="str">
        <f t="shared" si="761"/>
        <v>Low</v>
      </c>
      <c r="Q4911" t="str">
        <f t="shared" si="762"/>
        <v>Low</v>
      </c>
      <c r="R4911" t="s">
        <v>3317</v>
      </c>
      <c r="S4911" s="4">
        <f t="shared" ca="1" si="763"/>
        <v>1023</v>
      </c>
      <c r="T4911">
        <f t="shared" si="764"/>
        <v>1</v>
      </c>
      <c r="U4911">
        <f t="shared" si="765"/>
        <v>1</v>
      </c>
      <c r="V4911">
        <f t="shared" si="766"/>
        <v>1</v>
      </c>
      <c r="W4911">
        <f t="shared" si="767"/>
        <v>1</v>
      </c>
      <c r="X4911">
        <f t="shared" si="768"/>
        <v>0.99999999999999989</v>
      </c>
      <c r="Y4911" t="str">
        <f t="shared" si="769"/>
        <v>Healthy</v>
      </c>
    </row>
    <row r="4912" spans="1:25" x14ac:dyDescent="0.35">
      <c r="A4912" t="s">
        <v>71</v>
      </c>
      <c r="B4912" t="s">
        <v>72</v>
      </c>
      <c r="C4912" t="s">
        <v>174</v>
      </c>
      <c r="D4912" t="s">
        <v>328</v>
      </c>
      <c r="E4912">
        <v>80887704</v>
      </c>
      <c r="F4912" t="s">
        <v>3053</v>
      </c>
      <c r="G4912" s="3">
        <v>47186</v>
      </c>
      <c r="H4912">
        <v>36</v>
      </c>
      <c r="I4912">
        <v>92</v>
      </c>
      <c r="J4912">
        <v>2</v>
      </c>
      <c r="K4912" s="4">
        <v>2078.34</v>
      </c>
      <c r="L4912" s="4">
        <v>2726.8571428571427</v>
      </c>
      <c r="M4912" s="4">
        <v>7.3344509639564125E-4</v>
      </c>
      <c r="N4912" t="s">
        <v>25</v>
      </c>
      <c r="O4912" t="str">
        <f t="shared" si="760"/>
        <v>Low</v>
      </c>
      <c r="P4912" t="str">
        <f t="shared" si="761"/>
        <v>Low</v>
      </c>
      <c r="Q4912" t="str">
        <f t="shared" si="762"/>
        <v>Low</v>
      </c>
      <c r="R4912" t="s">
        <v>3317</v>
      </c>
      <c r="S4912" s="4">
        <f t="shared" ca="1" si="763"/>
        <v>989</v>
      </c>
      <c r="T4912">
        <f t="shared" si="764"/>
        <v>1</v>
      </c>
      <c r="U4912">
        <f t="shared" si="765"/>
        <v>1</v>
      </c>
      <c r="V4912">
        <f t="shared" si="766"/>
        <v>1</v>
      </c>
      <c r="W4912">
        <f t="shared" si="767"/>
        <v>1</v>
      </c>
      <c r="X4912">
        <f t="shared" si="768"/>
        <v>0.99999999999999989</v>
      </c>
      <c r="Y4912" t="str">
        <f t="shared" si="769"/>
        <v>Healthy</v>
      </c>
    </row>
    <row r="4913" spans="1:25" x14ac:dyDescent="0.35">
      <c r="A4913" t="s">
        <v>71</v>
      </c>
      <c r="B4913" t="s">
        <v>72</v>
      </c>
      <c r="C4913" t="s">
        <v>174</v>
      </c>
      <c r="D4913" t="s">
        <v>328</v>
      </c>
      <c r="E4913">
        <v>80887704</v>
      </c>
      <c r="F4913" t="s">
        <v>3053</v>
      </c>
      <c r="G4913" s="3">
        <v>47231</v>
      </c>
      <c r="H4913">
        <v>36</v>
      </c>
      <c r="I4913">
        <v>96</v>
      </c>
      <c r="J4913">
        <v>52</v>
      </c>
      <c r="K4913" s="4">
        <v>54036.84</v>
      </c>
      <c r="L4913" s="4">
        <v>2726.8571428571427</v>
      </c>
      <c r="M4913" s="4">
        <v>1.9069572506286672E-2</v>
      </c>
      <c r="N4913" t="s">
        <v>25</v>
      </c>
      <c r="O4913" t="str">
        <f t="shared" si="760"/>
        <v>Low</v>
      </c>
      <c r="P4913" t="str">
        <f t="shared" si="761"/>
        <v>Low</v>
      </c>
      <c r="Q4913" t="str">
        <f t="shared" si="762"/>
        <v>Low</v>
      </c>
      <c r="R4913" t="s">
        <v>3317</v>
      </c>
      <c r="S4913" s="4">
        <f t="shared" ca="1" si="763"/>
        <v>1034</v>
      </c>
      <c r="T4913">
        <f t="shared" si="764"/>
        <v>1</v>
      </c>
      <c r="U4913">
        <f t="shared" si="765"/>
        <v>1</v>
      </c>
      <c r="V4913">
        <f t="shared" si="766"/>
        <v>1</v>
      </c>
      <c r="W4913">
        <f t="shared" si="767"/>
        <v>1</v>
      </c>
      <c r="X4913">
        <f t="shared" si="768"/>
        <v>0.99999999999999989</v>
      </c>
      <c r="Y4913" t="str">
        <f t="shared" si="769"/>
        <v>Healthy</v>
      </c>
    </row>
    <row r="4914" spans="1:25" x14ac:dyDescent="0.35">
      <c r="A4914" t="s">
        <v>71</v>
      </c>
      <c r="B4914" t="s">
        <v>72</v>
      </c>
      <c r="C4914" t="s">
        <v>174</v>
      </c>
      <c r="D4914" t="s">
        <v>328</v>
      </c>
      <c r="E4914">
        <v>80887704</v>
      </c>
      <c r="F4914" t="s">
        <v>3053</v>
      </c>
      <c r="G4914" s="3">
        <v>47232</v>
      </c>
      <c r="H4914">
        <v>36</v>
      </c>
      <c r="I4914">
        <v>96</v>
      </c>
      <c r="J4914">
        <v>56</v>
      </c>
      <c r="K4914" s="4">
        <v>58193.52</v>
      </c>
      <c r="L4914" s="4">
        <v>2726.8571428571427</v>
      </c>
      <c r="M4914" s="4">
        <v>2.0536462699077957E-2</v>
      </c>
      <c r="N4914" t="s">
        <v>25</v>
      </c>
      <c r="O4914" t="str">
        <f t="shared" si="760"/>
        <v>Low</v>
      </c>
      <c r="P4914" t="str">
        <f t="shared" si="761"/>
        <v>Low</v>
      </c>
      <c r="Q4914" t="str">
        <f t="shared" si="762"/>
        <v>Low</v>
      </c>
      <c r="R4914" t="s">
        <v>3317</v>
      </c>
      <c r="S4914" s="4">
        <f t="shared" ca="1" si="763"/>
        <v>1035</v>
      </c>
      <c r="T4914">
        <f t="shared" si="764"/>
        <v>1</v>
      </c>
      <c r="U4914">
        <f t="shared" si="765"/>
        <v>1</v>
      </c>
      <c r="V4914">
        <f t="shared" si="766"/>
        <v>1</v>
      </c>
      <c r="W4914">
        <f t="shared" si="767"/>
        <v>1</v>
      </c>
      <c r="X4914">
        <f t="shared" si="768"/>
        <v>0.99999999999999989</v>
      </c>
      <c r="Y4914" t="str">
        <f t="shared" si="769"/>
        <v>Healthy</v>
      </c>
    </row>
    <row r="4915" spans="1:25" x14ac:dyDescent="0.35">
      <c r="A4915" t="s">
        <v>41</v>
      </c>
      <c r="B4915" t="s">
        <v>54</v>
      </c>
      <c r="C4915" t="s">
        <v>55</v>
      </c>
      <c r="D4915" t="s">
        <v>1335</v>
      </c>
      <c r="E4915">
        <v>80880899</v>
      </c>
      <c r="F4915" t="s">
        <v>3055</v>
      </c>
      <c r="G4915" s="3">
        <v>47091</v>
      </c>
      <c r="H4915">
        <v>36</v>
      </c>
      <c r="I4915">
        <v>83</v>
      </c>
      <c r="J4915">
        <v>4</v>
      </c>
      <c r="K4915" s="4">
        <v>3425.04</v>
      </c>
      <c r="L4915" s="4">
        <v>395.28571428571428</v>
      </c>
      <c r="M4915" s="4">
        <v>1.0119262739428985E-2</v>
      </c>
      <c r="N4915" t="s">
        <v>25</v>
      </c>
      <c r="O4915" t="str">
        <f t="shared" si="760"/>
        <v>Low</v>
      </c>
      <c r="P4915" t="str">
        <f t="shared" si="761"/>
        <v>Low</v>
      </c>
      <c r="Q4915" t="str">
        <f t="shared" si="762"/>
        <v>Low</v>
      </c>
      <c r="R4915" t="s">
        <v>3317</v>
      </c>
      <c r="S4915" s="4">
        <f t="shared" ca="1" si="763"/>
        <v>894</v>
      </c>
      <c r="T4915">
        <f t="shared" si="764"/>
        <v>1</v>
      </c>
      <c r="U4915">
        <f t="shared" si="765"/>
        <v>1</v>
      </c>
      <c r="V4915">
        <f t="shared" si="766"/>
        <v>1</v>
      </c>
      <c r="W4915">
        <f t="shared" si="767"/>
        <v>1</v>
      </c>
      <c r="X4915">
        <f t="shared" si="768"/>
        <v>0.99999999999999989</v>
      </c>
      <c r="Y4915" t="str">
        <f t="shared" si="769"/>
        <v>Healthy</v>
      </c>
    </row>
    <row r="4916" spans="1:25" x14ac:dyDescent="0.35">
      <c r="A4916" t="s">
        <v>41</v>
      </c>
      <c r="B4916" t="s">
        <v>54</v>
      </c>
      <c r="C4916" t="s">
        <v>55</v>
      </c>
      <c r="D4916" t="s">
        <v>1335</v>
      </c>
      <c r="E4916">
        <v>80880899</v>
      </c>
      <c r="F4916" t="s">
        <v>3055</v>
      </c>
      <c r="G4916" s="3">
        <v>47063</v>
      </c>
      <c r="H4916">
        <v>36</v>
      </c>
      <c r="I4916">
        <v>81</v>
      </c>
      <c r="J4916">
        <v>8</v>
      </c>
      <c r="K4916" s="4">
        <v>6850.08</v>
      </c>
      <c r="L4916" s="4">
        <v>395.28571428571428</v>
      </c>
      <c r="M4916" s="4">
        <v>2.0238525478857971E-2</v>
      </c>
      <c r="N4916" t="s">
        <v>25</v>
      </c>
      <c r="O4916" t="str">
        <f t="shared" si="760"/>
        <v>Low</v>
      </c>
      <c r="P4916" t="str">
        <f t="shared" si="761"/>
        <v>Low</v>
      </c>
      <c r="Q4916" t="str">
        <f t="shared" si="762"/>
        <v>Low</v>
      </c>
      <c r="R4916" t="s">
        <v>3317</v>
      </c>
      <c r="S4916" s="4">
        <f t="shared" ca="1" si="763"/>
        <v>866</v>
      </c>
      <c r="T4916">
        <f t="shared" si="764"/>
        <v>1</v>
      </c>
      <c r="U4916">
        <f t="shared" si="765"/>
        <v>1</v>
      </c>
      <c r="V4916">
        <f t="shared" si="766"/>
        <v>1</v>
      </c>
      <c r="W4916">
        <f t="shared" si="767"/>
        <v>1</v>
      </c>
      <c r="X4916">
        <f t="shared" si="768"/>
        <v>0.99999999999999989</v>
      </c>
      <c r="Y4916" t="str">
        <f t="shared" si="769"/>
        <v>Healthy</v>
      </c>
    </row>
    <row r="4917" spans="1:25" x14ac:dyDescent="0.35">
      <c r="A4917" t="s">
        <v>71</v>
      </c>
      <c r="B4917" t="s">
        <v>72</v>
      </c>
      <c r="C4917" t="s">
        <v>174</v>
      </c>
      <c r="D4917" t="s">
        <v>175</v>
      </c>
      <c r="E4917">
        <v>80887706</v>
      </c>
      <c r="F4917" t="s">
        <v>3056</v>
      </c>
      <c r="G4917" s="3">
        <v>47243</v>
      </c>
      <c r="H4917">
        <v>36</v>
      </c>
      <c r="I4917">
        <v>97</v>
      </c>
      <c r="J4917">
        <v>20</v>
      </c>
      <c r="K4917" s="4">
        <v>20783.400000000001</v>
      </c>
      <c r="L4917" s="4">
        <v>3229.1428571428573</v>
      </c>
      <c r="M4917" s="4">
        <v>6.1935940541497075E-3</v>
      </c>
      <c r="N4917" t="s">
        <v>25</v>
      </c>
      <c r="O4917" t="str">
        <f t="shared" si="760"/>
        <v>Low</v>
      </c>
      <c r="P4917" t="str">
        <f t="shared" si="761"/>
        <v>Low</v>
      </c>
      <c r="Q4917" t="str">
        <f t="shared" si="762"/>
        <v>Low</v>
      </c>
      <c r="R4917" t="s">
        <v>3317</v>
      </c>
      <c r="S4917" s="4">
        <f t="shared" ca="1" si="763"/>
        <v>1046</v>
      </c>
      <c r="T4917">
        <f t="shared" si="764"/>
        <v>1</v>
      </c>
      <c r="U4917">
        <f t="shared" si="765"/>
        <v>1</v>
      </c>
      <c r="V4917">
        <f t="shared" si="766"/>
        <v>1</v>
      </c>
      <c r="W4917">
        <f t="shared" si="767"/>
        <v>1</v>
      </c>
      <c r="X4917">
        <f t="shared" si="768"/>
        <v>0.99999999999999989</v>
      </c>
      <c r="Y4917" t="str">
        <f t="shared" si="769"/>
        <v>Healthy</v>
      </c>
    </row>
    <row r="4918" spans="1:25" x14ac:dyDescent="0.35">
      <c r="A4918" t="s">
        <v>90</v>
      </c>
      <c r="B4918" t="s">
        <v>217</v>
      </c>
      <c r="C4918" t="s">
        <v>542</v>
      </c>
      <c r="D4918" t="s">
        <v>1898</v>
      </c>
      <c r="E4918">
        <v>80853670</v>
      </c>
      <c r="F4918" t="s">
        <v>3057</v>
      </c>
      <c r="G4918" s="3">
        <v>46521</v>
      </c>
      <c r="H4918">
        <v>24</v>
      </c>
      <c r="I4918">
        <v>46</v>
      </c>
      <c r="J4918">
        <v>1</v>
      </c>
      <c r="K4918" s="4">
        <v>448.34</v>
      </c>
      <c r="L4918" s="4">
        <v>3</v>
      </c>
      <c r="M4918" s="4">
        <v>0.33333333333333331</v>
      </c>
      <c r="N4918" t="s">
        <v>25</v>
      </c>
      <c r="O4918" t="str">
        <f t="shared" si="760"/>
        <v>Low</v>
      </c>
      <c r="P4918" t="str">
        <f t="shared" si="761"/>
        <v>Low</v>
      </c>
      <c r="Q4918" t="str">
        <f t="shared" si="762"/>
        <v>High</v>
      </c>
      <c r="R4918" t="s">
        <v>3317</v>
      </c>
      <c r="S4918" s="4">
        <f t="shared" ca="1" si="763"/>
        <v>324</v>
      </c>
      <c r="T4918">
        <f t="shared" si="764"/>
        <v>1</v>
      </c>
      <c r="U4918">
        <f t="shared" si="765"/>
        <v>1</v>
      </c>
      <c r="V4918">
        <f t="shared" si="766"/>
        <v>3</v>
      </c>
      <c r="W4918">
        <f t="shared" si="767"/>
        <v>1</v>
      </c>
      <c r="X4918">
        <f t="shared" si="768"/>
        <v>1.4000000000000001</v>
      </c>
      <c r="Y4918" t="str">
        <f t="shared" si="769"/>
        <v>Healthy</v>
      </c>
    </row>
    <row r="4919" spans="1:25" x14ac:dyDescent="0.35">
      <c r="A4919" t="s">
        <v>71</v>
      </c>
      <c r="B4919" t="s">
        <v>72</v>
      </c>
      <c r="C4919" t="s">
        <v>174</v>
      </c>
      <c r="D4919" t="s">
        <v>175</v>
      </c>
      <c r="E4919">
        <v>80887706</v>
      </c>
      <c r="F4919" t="s">
        <v>3056</v>
      </c>
      <c r="G4919" s="3">
        <v>47225</v>
      </c>
      <c r="H4919">
        <v>36</v>
      </c>
      <c r="I4919">
        <v>96</v>
      </c>
      <c r="J4919">
        <v>1</v>
      </c>
      <c r="K4919" s="4">
        <v>1039.17</v>
      </c>
      <c r="L4919" s="4">
        <v>3229.1428571428573</v>
      </c>
      <c r="M4919" s="4">
        <v>3.096797027074854E-4</v>
      </c>
      <c r="N4919" t="s">
        <v>25</v>
      </c>
      <c r="O4919" t="str">
        <f t="shared" si="760"/>
        <v>Low</v>
      </c>
      <c r="P4919" t="str">
        <f t="shared" si="761"/>
        <v>Low</v>
      </c>
      <c r="Q4919" t="str">
        <f t="shared" si="762"/>
        <v>Low</v>
      </c>
      <c r="R4919" t="s">
        <v>3317</v>
      </c>
      <c r="S4919" s="4">
        <f t="shared" ca="1" si="763"/>
        <v>1028</v>
      </c>
      <c r="T4919">
        <f t="shared" si="764"/>
        <v>1</v>
      </c>
      <c r="U4919">
        <f t="shared" si="765"/>
        <v>1</v>
      </c>
      <c r="V4919">
        <f t="shared" si="766"/>
        <v>1</v>
      </c>
      <c r="W4919">
        <f t="shared" si="767"/>
        <v>1</v>
      </c>
      <c r="X4919">
        <f t="shared" si="768"/>
        <v>0.99999999999999989</v>
      </c>
      <c r="Y4919" t="str">
        <f t="shared" si="769"/>
        <v>Healthy</v>
      </c>
    </row>
    <row r="4920" spans="1:25" x14ac:dyDescent="0.35">
      <c r="A4920" t="s">
        <v>90</v>
      </c>
      <c r="B4920" t="s">
        <v>217</v>
      </c>
      <c r="C4920" t="s">
        <v>542</v>
      </c>
      <c r="D4920" t="s">
        <v>1898</v>
      </c>
      <c r="E4920">
        <v>80853670</v>
      </c>
      <c r="F4920" t="s">
        <v>3057</v>
      </c>
      <c r="G4920" s="3">
        <v>46536</v>
      </c>
      <c r="H4920">
        <v>24</v>
      </c>
      <c r="I4920">
        <v>48</v>
      </c>
      <c r="J4920">
        <v>1</v>
      </c>
      <c r="K4920" s="4">
        <v>448.34</v>
      </c>
      <c r="L4920" s="4">
        <v>3</v>
      </c>
      <c r="M4920" s="4">
        <v>0.33333333333333331</v>
      </c>
      <c r="N4920" t="s">
        <v>25</v>
      </c>
      <c r="O4920" t="str">
        <f t="shared" si="760"/>
        <v>Low</v>
      </c>
      <c r="P4920" t="str">
        <f t="shared" si="761"/>
        <v>Low</v>
      </c>
      <c r="Q4920" t="str">
        <f t="shared" si="762"/>
        <v>High</v>
      </c>
      <c r="R4920" t="s">
        <v>3317</v>
      </c>
      <c r="S4920" s="4">
        <f t="shared" ca="1" si="763"/>
        <v>339</v>
      </c>
      <c r="T4920">
        <f t="shared" si="764"/>
        <v>1</v>
      </c>
      <c r="U4920">
        <f t="shared" si="765"/>
        <v>1</v>
      </c>
      <c r="V4920">
        <f t="shared" si="766"/>
        <v>3</v>
      </c>
      <c r="W4920">
        <f t="shared" si="767"/>
        <v>1</v>
      </c>
      <c r="X4920">
        <f t="shared" si="768"/>
        <v>1.4000000000000001</v>
      </c>
      <c r="Y4920" t="str">
        <f t="shared" si="769"/>
        <v>Healthy</v>
      </c>
    </row>
    <row r="4921" spans="1:25" x14ac:dyDescent="0.35">
      <c r="A4921" t="s">
        <v>20</v>
      </c>
      <c r="B4921" t="s">
        <v>21</v>
      </c>
      <c r="C4921" t="s">
        <v>1155</v>
      </c>
      <c r="D4921" t="s">
        <v>1798</v>
      </c>
      <c r="E4921">
        <v>80843636</v>
      </c>
      <c r="F4921" t="s">
        <v>3058</v>
      </c>
      <c r="G4921" s="3">
        <v>48326</v>
      </c>
      <c r="H4921">
        <v>79</v>
      </c>
      <c r="I4921">
        <v>90</v>
      </c>
      <c r="J4921">
        <v>2</v>
      </c>
      <c r="K4921" s="4">
        <v>425.58</v>
      </c>
      <c r="L4921" s="4">
        <v>120.42857142857143</v>
      </c>
      <c r="M4921" s="4">
        <v>1.6607354685646499E-2</v>
      </c>
      <c r="N4921" t="s">
        <v>25</v>
      </c>
      <c r="O4921" t="str">
        <f t="shared" si="760"/>
        <v>Low</v>
      </c>
      <c r="P4921" t="str">
        <f t="shared" si="761"/>
        <v>Low</v>
      </c>
      <c r="Q4921" t="str">
        <f t="shared" si="762"/>
        <v>Low</v>
      </c>
      <c r="R4921" t="s">
        <v>3317</v>
      </c>
      <c r="S4921" s="4">
        <f t="shared" ca="1" si="763"/>
        <v>2129</v>
      </c>
      <c r="T4921">
        <f t="shared" si="764"/>
        <v>1</v>
      </c>
      <c r="U4921">
        <f t="shared" si="765"/>
        <v>1</v>
      </c>
      <c r="V4921">
        <f t="shared" si="766"/>
        <v>1</v>
      </c>
      <c r="W4921">
        <f t="shared" si="767"/>
        <v>1</v>
      </c>
      <c r="X4921">
        <f t="shared" si="768"/>
        <v>0.99999999999999989</v>
      </c>
      <c r="Y4921" t="str">
        <f t="shared" si="769"/>
        <v>Healthy</v>
      </c>
    </row>
    <row r="4922" spans="1:25" x14ac:dyDescent="0.35">
      <c r="A4922" t="s">
        <v>71</v>
      </c>
      <c r="B4922" t="s">
        <v>72</v>
      </c>
      <c r="C4922" t="s">
        <v>174</v>
      </c>
      <c r="D4922" t="s">
        <v>175</v>
      </c>
      <c r="E4922">
        <v>80887706</v>
      </c>
      <c r="F4922" t="s">
        <v>3056</v>
      </c>
      <c r="G4922" s="3">
        <v>47268</v>
      </c>
      <c r="H4922">
        <v>36</v>
      </c>
      <c r="I4922">
        <v>100</v>
      </c>
      <c r="J4922">
        <v>4</v>
      </c>
      <c r="K4922" s="4">
        <v>4156.68</v>
      </c>
      <c r="L4922" s="4">
        <v>3229.1428571428573</v>
      </c>
      <c r="M4922" s="4">
        <v>1.2387188108299416E-3</v>
      </c>
      <c r="N4922" t="s">
        <v>25</v>
      </c>
      <c r="O4922" t="str">
        <f t="shared" si="760"/>
        <v>Low</v>
      </c>
      <c r="P4922" t="str">
        <f t="shared" si="761"/>
        <v>Low</v>
      </c>
      <c r="Q4922" t="str">
        <f t="shared" si="762"/>
        <v>Low</v>
      </c>
      <c r="R4922" t="s">
        <v>3317</v>
      </c>
      <c r="S4922" s="4">
        <f t="shared" ca="1" si="763"/>
        <v>1071</v>
      </c>
      <c r="T4922">
        <f t="shared" si="764"/>
        <v>1</v>
      </c>
      <c r="U4922">
        <f t="shared" si="765"/>
        <v>1</v>
      </c>
      <c r="V4922">
        <f t="shared" si="766"/>
        <v>1</v>
      </c>
      <c r="W4922">
        <f t="shared" si="767"/>
        <v>1</v>
      </c>
      <c r="X4922">
        <f t="shared" si="768"/>
        <v>0.99999999999999989</v>
      </c>
      <c r="Y4922" t="str">
        <f t="shared" si="769"/>
        <v>Healthy</v>
      </c>
    </row>
    <row r="4923" spans="1:25" x14ac:dyDescent="0.35">
      <c r="A4923" t="s">
        <v>20</v>
      </c>
      <c r="B4923" t="s">
        <v>21</v>
      </c>
      <c r="C4923" t="s">
        <v>126</v>
      </c>
      <c r="D4923" t="s">
        <v>589</v>
      </c>
      <c r="E4923">
        <v>80791624</v>
      </c>
      <c r="F4923" t="s">
        <v>3059</v>
      </c>
      <c r="G4923" s="3">
        <v>46900</v>
      </c>
      <c r="H4923">
        <v>36</v>
      </c>
      <c r="I4923">
        <v>66</v>
      </c>
      <c r="J4923">
        <v>9</v>
      </c>
      <c r="K4923" s="4">
        <v>3940.02</v>
      </c>
      <c r="L4923" s="4">
        <v>63.714285714285715</v>
      </c>
      <c r="M4923" s="4">
        <v>0.14125560538116591</v>
      </c>
      <c r="N4923" t="s">
        <v>25</v>
      </c>
      <c r="O4923" t="str">
        <f t="shared" si="760"/>
        <v>Low</v>
      </c>
      <c r="P4923" t="str">
        <f t="shared" si="761"/>
        <v>Low</v>
      </c>
      <c r="Q4923" t="str">
        <f t="shared" si="762"/>
        <v>Low</v>
      </c>
      <c r="R4923" t="s">
        <v>3317</v>
      </c>
      <c r="S4923" s="4">
        <f t="shared" ca="1" si="763"/>
        <v>703</v>
      </c>
      <c r="T4923">
        <f t="shared" si="764"/>
        <v>1</v>
      </c>
      <c r="U4923">
        <f t="shared" si="765"/>
        <v>1</v>
      </c>
      <c r="V4923">
        <f t="shared" si="766"/>
        <v>1</v>
      </c>
      <c r="W4923">
        <f t="shared" si="767"/>
        <v>1</v>
      </c>
      <c r="X4923">
        <f t="shared" si="768"/>
        <v>0.99999999999999989</v>
      </c>
      <c r="Y4923" t="str">
        <f t="shared" si="769"/>
        <v>Healthy</v>
      </c>
    </row>
    <row r="4924" spans="1:25" x14ac:dyDescent="0.35">
      <c r="A4924" t="s">
        <v>179</v>
      </c>
      <c r="B4924" t="s">
        <v>195</v>
      </c>
      <c r="C4924" t="s">
        <v>199</v>
      </c>
      <c r="D4924" t="s">
        <v>3060</v>
      </c>
      <c r="E4924">
        <v>80854272</v>
      </c>
      <c r="F4924" t="s">
        <v>3061</v>
      </c>
      <c r="G4924" s="3">
        <v>46521</v>
      </c>
      <c r="H4924">
        <v>16</v>
      </c>
      <c r="I4924">
        <v>69</v>
      </c>
      <c r="J4924">
        <v>12</v>
      </c>
      <c r="K4924" s="4">
        <v>20255.400000000001</v>
      </c>
      <c r="L4924" s="4">
        <v>381.71428571428572</v>
      </c>
      <c r="M4924" s="4">
        <v>3.1437125748502992E-2</v>
      </c>
      <c r="N4924" t="s">
        <v>25</v>
      </c>
      <c r="O4924" t="str">
        <f t="shared" si="760"/>
        <v>Low</v>
      </c>
      <c r="P4924" t="str">
        <f t="shared" si="761"/>
        <v>Low</v>
      </c>
      <c r="Q4924" t="str">
        <f t="shared" si="762"/>
        <v>Low</v>
      </c>
      <c r="R4924" t="s">
        <v>3317</v>
      </c>
      <c r="S4924" s="4">
        <f t="shared" ca="1" si="763"/>
        <v>324</v>
      </c>
      <c r="T4924">
        <f t="shared" si="764"/>
        <v>1</v>
      </c>
      <c r="U4924">
        <f t="shared" si="765"/>
        <v>1</v>
      </c>
      <c r="V4924">
        <f t="shared" si="766"/>
        <v>1</v>
      </c>
      <c r="W4924">
        <f t="shared" si="767"/>
        <v>1</v>
      </c>
      <c r="X4924">
        <f t="shared" si="768"/>
        <v>0.99999999999999989</v>
      </c>
      <c r="Y4924" t="str">
        <f t="shared" si="769"/>
        <v>Healthy</v>
      </c>
    </row>
    <row r="4925" spans="1:25" x14ac:dyDescent="0.35">
      <c r="A4925" t="s">
        <v>71</v>
      </c>
      <c r="B4925" t="s">
        <v>72</v>
      </c>
      <c r="C4925" t="s">
        <v>174</v>
      </c>
      <c r="D4925" t="s">
        <v>175</v>
      </c>
      <c r="E4925">
        <v>80887706</v>
      </c>
      <c r="F4925" t="s">
        <v>3056</v>
      </c>
      <c r="G4925" s="3">
        <v>47212</v>
      </c>
      <c r="H4925">
        <v>36</v>
      </c>
      <c r="I4925">
        <v>94</v>
      </c>
      <c r="J4925">
        <v>4</v>
      </c>
      <c r="K4925" s="4">
        <v>4156.68</v>
      </c>
      <c r="L4925" s="4">
        <v>3229.1428571428573</v>
      </c>
      <c r="M4925" s="4">
        <v>1.2387188108299416E-3</v>
      </c>
      <c r="N4925" t="s">
        <v>25</v>
      </c>
      <c r="O4925" t="str">
        <f t="shared" si="760"/>
        <v>Low</v>
      </c>
      <c r="P4925" t="str">
        <f t="shared" si="761"/>
        <v>Low</v>
      </c>
      <c r="Q4925" t="str">
        <f t="shared" si="762"/>
        <v>Low</v>
      </c>
      <c r="R4925" t="s">
        <v>3317</v>
      </c>
      <c r="S4925" s="4">
        <f t="shared" ca="1" si="763"/>
        <v>1015</v>
      </c>
      <c r="T4925">
        <f t="shared" si="764"/>
        <v>1</v>
      </c>
      <c r="U4925">
        <f t="shared" si="765"/>
        <v>1</v>
      </c>
      <c r="V4925">
        <f t="shared" si="766"/>
        <v>1</v>
      </c>
      <c r="W4925">
        <f t="shared" si="767"/>
        <v>1</v>
      </c>
      <c r="X4925">
        <f t="shared" si="768"/>
        <v>0.99999999999999989</v>
      </c>
      <c r="Y4925" t="str">
        <f t="shared" si="769"/>
        <v>Healthy</v>
      </c>
    </row>
    <row r="4926" spans="1:25" x14ac:dyDescent="0.35">
      <c r="A4926" t="s">
        <v>179</v>
      </c>
      <c r="B4926" t="s">
        <v>195</v>
      </c>
      <c r="C4926" t="s">
        <v>199</v>
      </c>
      <c r="D4926" t="s">
        <v>3060</v>
      </c>
      <c r="E4926">
        <v>80854272</v>
      </c>
      <c r="F4926" t="s">
        <v>3061</v>
      </c>
      <c r="G4926" s="3">
        <v>46427</v>
      </c>
      <c r="H4926">
        <v>16</v>
      </c>
      <c r="I4926">
        <v>49</v>
      </c>
      <c r="J4926">
        <v>17</v>
      </c>
      <c r="K4926" s="4">
        <v>28695.15</v>
      </c>
      <c r="L4926" s="4">
        <v>381.71428571428572</v>
      </c>
      <c r="M4926" s="4">
        <v>4.4535928143712572E-2</v>
      </c>
      <c r="N4926" t="s">
        <v>25</v>
      </c>
      <c r="O4926" t="str">
        <f t="shared" si="760"/>
        <v>Low</v>
      </c>
      <c r="P4926" t="str">
        <f t="shared" si="761"/>
        <v>Low</v>
      </c>
      <c r="Q4926" t="str">
        <f t="shared" si="762"/>
        <v>Low</v>
      </c>
      <c r="R4926" t="s">
        <v>3317</v>
      </c>
      <c r="S4926" s="4">
        <f t="shared" ca="1" si="763"/>
        <v>230</v>
      </c>
      <c r="T4926">
        <f t="shared" si="764"/>
        <v>1</v>
      </c>
      <c r="U4926">
        <f t="shared" si="765"/>
        <v>1</v>
      </c>
      <c r="V4926">
        <f t="shared" si="766"/>
        <v>1</v>
      </c>
      <c r="W4926">
        <f t="shared" si="767"/>
        <v>1</v>
      </c>
      <c r="X4926">
        <f t="shared" si="768"/>
        <v>0.99999999999999989</v>
      </c>
      <c r="Y4926" t="str">
        <f t="shared" si="769"/>
        <v>Healthy</v>
      </c>
    </row>
    <row r="4927" spans="1:25" x14ac:dyDescent="0.35">
      <c r="A4927" t="s">
        <v>71</v>
      </c>
      <c r="B4927" t="s">
        <v>72</v>
      </c>
      <c r="C4927" t="s">
        <v>174</v>
      </c>
      <c r="D4927" t="s">
        <v>175</v>
      </c>
      <c r="E4927">
        <v>80887706</v>
      </c>
      <c r="F4927" t="s">
        <v>3056</v>
      </c>
      <c r="G4927" s="3">
        <v>47227</v>
      </c>
      <c r="H4927">
        <v>36</v>
      </c>
      <c r="I4927">
        <v>96</v>
      </c>
      <c r="J4927">
        <v>4</v>
      </c>
      <c r="K4927" s="4">
        <v>4156.68</v>
      </c>
      <c r="L4927" s="4">
        <v>3229.1428571428573</v>
      </c>
      <c r="M4927" s="4">
        <v>1.2387188108299416E-3</v>
      </c>
      <c r="N4927" t="s">
        <v>25</v>
      </c>
      <c r="O4927" t="str">
        <f t="shared" si="760"/>
        <v>Low</v>
      </c>
      <c r="P4927" t="str">
        <f t="shared" si="761"/>
        <v>Low</v>
      </c>
      <c r="Q4927" t="str">
        <f t="shared" si="762"/>
        <v>Low</v>
      </c>
      <c r="R4927" t="s">
        <v>3317</v>
      </c>
      <c r="S4927" s="4">
        <f t="shared" ca="1" si="763"/>
        <v>1030</v>
      </c>
      <c r="T4927">
        <f t="shared" si="764"/>
        <v>1</v>
      </c>
      <c r="U4927">
        <f t="shared" si="765"/>
        <v>1</v>
      </c>
      <c r="V4927">
        <f t="shared" si="766"/>
        <v>1</v>
      </c>
      <c r="W4927">
        <f t="shared" si="767"/>
        <v>1</v>
      </c>
      <c r="X4927">
        <f t="shared" si="768"/>
        <v>0.99999999999999989</v>
      </c>
      <c r="Y4927" t="str">
        <f t="shared" si="769"/>
        <v>Healthy</v>
      </c>
    </row>
    <row r="4928" spans="1:25" x14ac:dyDescent="0.35">
      <c r="A4928" t="s">
        <v>179</v>
      </c>
      <c r="B4928" t="s">
        <v>195</v>
      </c>
      <c r="C4928" t="s">
        <v>199</v>
      </c>
      <c r="D4928" t="s">
        <v>3060</v>
      </c>
      <c r="E4928">
        <v>80854272</v>
      </c>
      <c r="F4928" t="s">
        <v>3061</v>
      </c>
      <c r="G4928" s="3">
        <v>46427</v>
      </c>
      <c r="H4928">
        <v>16</v>
      </c>
      <c r="I4928">
        <v>49</v>
      </c>
      <c r="J4928">
        <v>15</v>
      </c>
      <c r="K4928" s="4">
        <v>25319.25</v>
      </c>
      <c r="L4928" s="4">
        <v>381.71428571428572</v>
      </c>
      <c r="M4928" s="4">
        <v>3.929640718562874E-2</v>
      </c>
      <c r="N4928" t="s">
        <v>25</v>
      </c>
      <c r="O4928" t="str">
        <f t="shared" si="760"/>
        <v>Low</v>
      </c>
      <c r="P4928" t="str">
        <f t="shared" si="761"/>
        <v>Low</v>
      </c>
      <c r="Q4928" t="str">
        <f t="shared" si="762"/>
        <v>Low</v>
      </c>
      <c r="R4928" t="s">
        <v>3317</v>
      </c>
      <c r="S4928" s="4">
        <f t="shared" ca="1" si="763"/>
        <v>230</v>
      </c>
      <c r="T4928">
        <f t="shared" si="764"/>
        <v>1</v>
      </c>
      <c r="U4928">
        <f t="shared" si="765"/>
        <v>1</v>
      </c>
      <c r="V4928">
        <f t="shared" si="766"/>
        <v>1</v>
      </c>
      <c r="W4928">
        <f t="shared" si="767"/>
        <v>1</v>
      </c>
      <c r="X4928">
        <f t="shared" si="768"/>
        <v>0.99999999999999989</v>
      </c>
      <c r="Y4928" t="str">
        <f t="shared" si="769"/>
        <v>Healthy</v>
      </c>
    </row>
    <row r="4929" spans="1:25" x14ac:dyDescent="0.35">
      <c r="A4929" t="s">
        <v>41</v>
      </c>
      <c r="B4929" t="s">
        <v>54</v>
      </c>
      <c r="C4929" t="s">
        <v>55</v>
      </c>
      <c r="D4929" t="s">
        <v>1069</v>
      </c>
      <c r="E4929">
        <v>80880900</v>
      </c>
      <c r="F4929" t="s">
        <v>3062</v>
      </c>
      <c r="G4929" s="3">
        <v>47095</v>
      </c>
      <c r="H4929">
        <v>36</v>
      </c>
      <c r="I4929">
        <v>84</v>
      </c>
      <c r="J4929">
        <v>60</v>
      </c>
      <c r="K4929" s="4">
        <v>14178</v>
      </c>
      <c r="L4929" s="4">
        <v>2161.2857142857142</v>
      </c>
      <c r="M4929" s="4">
        <v>2.7761253222288323E-2</v>
      </c>
      <c r="N4929" t="s">
        <v>25</v>
      </c>
      <c r="O4929" t="str">
        <f t="shared" si="760"/>
        <v>Low</v>
      </c>
      <c r="P4929" t="str">
        <f t="shared" si="761"/>
        <v>Low</v>
      </c>
      <c r="Q4929" t="str">
        <f t="shared" si="762"/>
        <v>Low</v>
      </c>
      <c r="R4929" t="s">
        <v>3317</v>
      </c>
      <c r="S4929" s="4">
        <f t="shared" ca="1" si="763"/>
        <v>898</v>
      </c>
      <c r="T4929">
        <f t="shared" si="764"/>
        <v>1</v>
      </c>
      <c r="U4929">
        <f t="shared" si="765"/>
        <v>1</v>
      </c>
      <c r="V4929">
        <f t="shared" si="766"/>
        <v>1</v>
      </c>
      <c r="W4929">
        <f t="shared" si="767"/>
        <v>1</v>
      </c>
      <c r="X4929">
        <f t="shared" si="768"/>
        <v>0.99999999999999989</v>
      </c>
      <c r="Y4929" t="str">
        <f t="shared" si="769"/>
        <v>Healthy</v>
      </c>
    </row>
    <row r="4930" spans="1:25" x14ac:dyDescent="0.35">
      <c r="A4930" t="s">
        <v>179</v>
      </c>
      <c r="B4930" t="s">
        <v>195</v>
      </c>
      <c r="C4930" t="s">
        <v>199</v>
      </c>
      <c r="D4930" t="s">
        <v>3060</v>
      </c>
      <c r="E4930">
        <v>80854272</v>
      </c>
      <c r="F4930" t="s">
        <v>3061</v>
      </c>
      <c r="G4930" s="3">
        <v>46521</v>
      </c>
      <c r="H4930">
        <v>16</v>
      </c>
      <c r="I4930">
        <v>69</v>
      </c>
      <c r="J4930">
        <v>10</v>
      </c>
      <c r="K4930" s="4">
        <v>16879.5</v>
      </c>
      <c r="L4930" s="4">
        <v>381.71428571428572</v>
      </c>
      <c r="M4930" s="4">
        <v>2.619760479041916E-2</v>
      </c>
      <c r="N4930" t="s">
        <v>25</v>
      </c>
      <c r="O4930" t="str">
        <f t="shared" si="760"/>
        <v>Low</v>
      </c>
      <c r="P4930" t="str">
        <f t="shared" si="761"/>
        <v>Low</v>
      </c>
      <c r="Q4930" t="str">
        <f t="shared" si="762"/>
        <v>Low</v>
      </c>
      <c r="R4930" t="s">
        <v>3317</v>
      </c>
      <c r="S4930" s="4">
        <f t="shared" ca="1" si="763"/>
        <v>324</v>
      </c>
      <c r="T4930">
        <f t="shared" si="764"/>
        <v>1</v>
      </c>
      <c r="U4930">
        <f t="shared" si="765"/>
        <v>1</v>
      </c>
      <c r="V4930">
        <f t="shared" si="766"/>
        <v>1</v>
      </c>
      <c r="W4930">
        <f t="shared" si="767"/>
        <v>1</v>
      </c>
      <c r="X4930">
        <f t="shared" si="768"/>
        <v>0.99999999999999989</v>
      </c>
      <c r="Y4930" t="str">
        <f t="shared" si="769"/>
        <v>Healthy</v>
      </c>
    </row>
    <row r="4931" spans="1:25" x14ac:dyDescent="0.35">
      <c r="A4931" t="s">
        <v>179</v>
      </c>
      <c r="B4931" t="s">
        <v>195</v>
      </c>
      <c r="C4931" t="s">
        <v>199</v>
      </c>
      <c r="D4931" t="s">
        <v>3060</v>
      </c>
      <c r="E4931">
        <v>80854272</v>
      </c>
      <c r="F4931" t="s">
        <v>3061</v>
      </c>
      <c r="G4931" s="3">
        <v>46423</v>
      </c>
      <c r="H4931">
        <v>16</v>
      </c>
      <c r="I4931">
        <v>48</v>
      </c>
      <c r="J4931">
        <v>1</v>
      </c>
      <c r="K4931" s="4">
        <v>1687.95</v>
      </c>
      <c r="L4931" s="4">
        <v>381.71428571428572</v>
      </c>
      <c r="M4931" s="4">
        <v>2.619760479041916E-3</v>
      </c>
      <c r="N4931" t="s">
        <v>25</v>
      </c>
      <c r="O4931" t="str">
        <f t="shared" ref="O4931:O4994" si="770">IF(I4931&lt;20,"High",IF(I4931&lt;40,"Medium","Low"))</f>
        <v>Low</v>
      </c>
      <c r="P4931" t="str">
        <f t="shared" ref="P4931:P4994" si="771">IF(M4931&gt;8,"High",IF(M4931&gt;4,"Medium","Low"))</f>
        <v>Low</v>
      </c>
      <c r="Q4931" t="str">
        <f t="shared" ref="Q4931:Q4994" si="772">IF(L4931&lt;5,"High",IF(L4931&lt;15,"Medium","Low"))</f>
        <v>Low</v>
      </c>
      <c r="R4931" t="s">
        <v>3317</v>
      </c>
      <c r="S4931" s="4">
        <f t="shared" ref="S4931:S4994" ca="1" si="773">G4931-TODAY()</f>
        <v>226</v>
      </c>
      <c r="T4931">
        <f t="shared" ref="T4931:T4994" si="774">IF(O4931="High",3,IF(O4931="Medium",2,1))</f>
        <v>1</v>
      </c>
      <c r="U4931">
        <f t="shared" ref="U4931:U4994" si="775">IF(P4931="High",3,IF(P4931="Medium",2,1))</f>
        <v>1</v>
      </c>
      <c r="V4931">
        <f t="shared" ref="V4931:V4994" si="776">IF(Q4931="High",3,IF(Q4931="Medium",2,1))</f>
        <v>1</v>
      </c>
      <c r="W4931">
        <f t="shared" ref="W4931:W4994" si="777">IF(R4931="High",3,IF(R4931="Medium",2,1))</f>
        <v>1</v>
      </c>
      <c r="X4931">
        <f t="shared" ref="X4931:X4994" si="778">(0.4*T4931)+(0.3*U4931)+(0.2*V4931)+(0.1*W4931)</f>
        <v>0.99999999999999989</v>
      </c>
      <c r="Y4931" t="str">
        <f t="shared" ref="Y4931:Y4994" si="779">IF(X4931&gt;=2.7,"Move Immediately",IF(X4931&gt;=2.2,"High Priority",IF(X4931&gt;=1.7,"Monitor","Healthy")))</f>
        <v>Healthy</v>
      </c>
    </row>
    <row r="4932" spans="1:25" x14ac:dyDescent="0.35">
      <c r="A4932" t="s">
        <v>71</v>
      </c>
      <c r="B4932" t="s">
        <v>72</v>
      </c>
      <c r="C4932" t="s">
        <v>174</v>
      </c>
      <c r="D4932" t="s">
        <v>305</v>
      </c>
      <c r="E4932">
        <v>80887708</v>
      </c>
      <c r="F4932" t="s">
        <v>3063</v>
      </c>
      <c r="G4932" s="3">
        <v>47214</v>
      </c>
      <c r="H4932">
        <v>36</v>
      </c>
      <c r="I4932">
        <v>95</v>
      </c>
      <c r="J4932">
        <v>2</v>
      </c>
      <c r="K4932" s="4">
        <v>2078.34</v>
      </c>
      <c r="L4932" s="4">
        <v>5484</v>
      </c>
      <c r="M4932" s="4">
        <v>3.6469730123997083E-4</v>
      </c>
      <c r="N4932" t="s">
        <v>25</v>
      </c>
      <c r="O4932" t="str">
        <f t="shared" si="770"/>
        <v>Low</v>
      </c>
      <c r="P4932" t="str">
        <f t="shared" si="771"/>
        <v>Low</v>
      </c>
      <c r="Q4932" t="str">
        <f t="shared" si="772"/>
        <v>Low</v>
      </c>
      <c r="R4932" t="s">
        <v>3317</v>
      </c>
      <c r="S4932" s="4">
        <f t="shared" ca="1" si="773"/>
        <v>1017</v>
      </c>
      <c r="T4932">
        <f t="shared" si="774"/>
        <v>1</v>
      </c>
      <c r="U4932">
        <f t="shared" si="775"/>
        <v>1</v>
      </c>
      <c r="V4932">
        <f t="shared" si="776"/>
        <v>1</v>
      </c>
      <c r="W4932">
        <f t="shared" si="777"/>
        <v>1</v>
      </c>
      <c r="X4932">
        <f t="shared" si="778"/>
        <v>0.99999999999999989</v>
      </c>
      <c r="Y4932" t="str">
        <f t="shared" si="779"/>
        <v>Healthy</v>
      </c>
    </row>
    <row r="4933" spans="1:25" x14ac:dyDescent="0.35">
      <c r="A4933" t="s">
        <v>179</v>
      </c>
      <c r="B4933" t="s">
        <v>195</v>
      </c>
      <c r="C4933" t="s">
        <v>199</v>
      </c>
      <c r="D4933" t="s">
        <v>3060</v>
      </c>
      <c r="E4933">
        <v>80854272</v>
      </c>
      <c r="F4933" t="s">
        <v>3061</v>
      </c>
      <c r="G4933" s="3">
        <v>46350</v>
      </c>
      <c r="H4933">
        <v>16</v>
      </c>
      <c r="I4933">
        <v>33</v>
      </c>
      <c r="J4933">
        <v>1</v>
      </c>
      <c r="K4933" s="4">
        <v>1687.95</v>
      </c>
      <c r="L4933" s="4">
        <v>381.71428571428572</v>
      </c>
      <c r="M4933" s="4">
        <v>2.619760479041916E-3</v>
      </c>
      <c r="N4933" t="s">
        <v>25</v>
      </c>
      <c r="O4933" t="str">
        <f t="shared" si="770"/>
        <v>Medium</v>
      </c>
      <c r="P4933" t="str">
        <f t="shared" si="771"/>
        <v>Low</v>
      </c>
      <c r="Q4933" t="str">
        <f t="shared" si="772"/>
        <v>Low</v>
      </c>
      <c r="R4933" t="s">
        <v>3317</v>
      </c>
      <c r="S4933" s="4">
        <f t="shared" ca="1" si="773"/>
        <v>153</v>
      </c>
      <c r="T4933">
        <f t="shared" si="774"/>
        <v>2</v>
      </c>
      <c r="U4933">
        <f t="shared" si="775"/>
        <v>1</v>
      </c>
      <c r="V4933">
        <f t="shared" si="776"/>
        <v>1</v>
      </c>
      <c r="W4933">
        <f t="shared" si="777"/>
        <v>1</v>
      </c>
      <c r="X4933">
        <f t="shared" si="778"/>
        <v>1.4000000000000001</v>
      </c>
      <c r="Y4933" t="str">
        <f t="shared" si="779"/>
        <v>Healthy</v>
      </c>
    </row>
    <row r="4934" spans="1:25" x14ac:dyDescent="0.35">
      <c r="A4934" t="s">
        <v>179</v>
      </c>
      <c r="B4934" t="s">
        <v>180</v>
      </c>
      <c r="C4934" t="s">
        <v>181</v>
      </c>
      <c r="D4934" t="s">
        <v>3064</v>
      </c>
      <c r="E4934">
        <v>80829768</v>
      </c>
      <c r="F4934" t="s">
        <v>3065</v>
      </c>
      <c r="G4934" s="3">
        <v>46303</v>
      </c>
      <c r="H4934">
        <v>16</v>
      </c>
      <c r="I4934">
        <v>23</v>
      </c>
      <c r="J4934">
        <v>12</v>
      </c>
      <c r="K4934" s="4">
        <v>1471.92</v>
      </c>
      <c r="L4934" s="4">
        <v>6.4285714285714288</v>
      </c>
      <c r="M4934" s="4">
        <v>1.8666666666666667</v>
      </c>
      <c r="N4934" t="s">
        <v>25</v>
      </c>
      <c r="O4934" t="str">
        <f t="shared" si="770"/>
        <v>Medium</v>
      </c>
      <c r="P4934" t="str">
        <f t="shared" si="771"/>
        <v>Low</v>
      </c>
      <c r="Q4934" t="str">
        <f t="shared" si="772"/>
        <v>Medium</v>
      </c>
      <c r="R4934" t="s">
        <v>3317</v>
      </c>
      <c r="S4934" s="4">
        <f t="shared" ca="1" si="773"/>
        <v>106</v>
      </c>
      <c r="T4934">
        <f t="shared" si="774"/>
        <v>2</v>
      </c>
      <c r="U4934">
        <f t="shared" si="775"/>
        <v>1</v>
      </c>
      <c r="V4934">
        <f t="shared" si="776"/>
        <v>2</v>
      </c>
      <c r="W4934">
        <f t="shared" si="777"/>
        <v>1</v>
      </c>
      <c r="X4934">
        <f t="shared" si="778"/>
        <v>1.6</v>
      </c>
      <c r="Y4934" t="str">
        <f t="shared" si="779"/>
        <v>Healthy</v>
      </c>
    </row>
    <row r="4935" spans="1:25" x14ac:dyDescent="0.35">
      <c r="A4935" t="s">
        <v>41</v>
      </c>
      <c r="B4935" t="s">
        <v>54</v>
      </c>
      <c r="C4935" t="s">
        <v>459</v>
      </c>
      <c r="D4935" t="s">
        <v>2437</v>
      </c>
      <c r="E4935">
        <v>80856673</v>
      </c>
      <c r="F4935" t="s">
        <v>3066</v>
      </c>
      <c r="G4935" s="3">
        <v>46817</v>
      </c>
      <c r="H4935">
        <v>36</v>
      </c>
      <c r="I4935">
        <v>58</v>
      </c>
      <c r="J4935">
        <v>29</v>
      </c>
      <c r="K4935" s="4">
        <v>1999.26</v>
      </c>
      <c r="L4935" s="4">
        <v>309.71428571428572</v>
      </c>
      <c r="M4935" s="4">
        <v>9.3634686346863463E-2</v>
      </c>
      <c r="N4935" t="s">
        <v>25</v>
      </c>
      <c r="O4935" t="str">
        <f t="shared" si="770"/>
        <v>Low</v>
      </c>
      <c r="P4935" t="str">
        <f t="shared" si="771"/>
        <v>Low</v>
      </c>
      <c r="Q4935" t="str">
        <f t="shared" si="772"/>
        <v>Low</v>
      </c>
      <c r="R4935" t="s">
        <v>3317</v>
      </c>
      <c r="S4935" s="4">
        <f t="shared" ca="1" si="773"/>
        <v>620</v>
      </c>
      <c r="T4935">
        <f t="shared" si="774"/>
        <v>1</v>
      </c>
      <c r="U4935">
        <f t="shared" si="775"/>
        <v>1</v>
      </c>
      <c r="V4935">
        <f t="shared" si="776"/>
        <v>1</v>
      </c>
      <c r="W4935">
        <f t="shared" si="777"/>
        <v>1</v>
      </c>
      <c r="X4935">
        <f t="shared" si="778"/>
        <v>0.99999999999999989</v>
      </c>
      <c r="Y4935" t="str">
        <f t="shared" si="779"/>
        <v>Healthy</v>
      </c>
    </row>
    <row r="4936" spans="1:25" x14ac:dyDescent="0.35">
      <c r="A4936" t="s">
        <v>71</v>
      </c>
      <c r="B4936" t="s">
        <v>72</v>
      </c>
      <c r="C4936" t="s">
        <v>174</v>
      </c>
      <c r="D4936" t="s">
        <v>746</v>
      </c>
      <c r="E4936">
        <v>80887710</v>
      </c>
      <c r="F4936" t="s">
        <v>3067</v>
      </c>
      <c r="G4936" s="3">
        <v>47206</v>
      </c>
      <c r="H4936">
        <v>36</v>
      </c>
      <c r="I4936">
        <v>94</v>
      </c>
      <c r="J4936">
        <v>3</v>
      </c>
      <c r="K4936" s="4">
        <v>3357.48</v>
      </c>
      <c r="L4936" s="4">
        <v>5727.2857142857147</v>
      </c>
      <c r="M4936" s="4">
        <v>5.2380833603551914E-4</v>
      </c>
      <c r="N4936" t="s">
        <v>25</v>
      </c>
      <c r="O4936" t="str">
        <f t="shared" si="770"/>
        <v>Low</v>
      </c>
      <c r="P4936" t="str">
        <f t="shared" si="771"/>
        <v>Low</v>
      </c>
      <c r="Q4936" t="str">
        <f t="shared" si="772"/>
        <v>Low</v>
      </c>
      <c r="R4936" t="s">
        <v>3317</v>
      </c>
      <c r="S4936" s="4">
        <f t="shared" ca="1" si="773"/>
        <v>1009</v>
      </c>
      <c r="T4936">
        <f t="shared" si="774"/>
        <v>1</v>
      </c>
      <c r="U4936">
        <f t="shared" si="775"/>
        <v>1</v>
      </c>
      <c r="V4936">
        <f t="shared" si="776"/>
        <v>1</v>
      </c>
      <c r="W4936">
        <f t="shared" si="777"/>
        <v>1</v>
      </c>
      <c r="X4936">
        <f t="shared" si="778"/>
        <v>0.99999999999999989</v>
      </c>
      <c r="Y4936" t="str">
        <f t="shared" si="779"/>
        <v>Healthy</v>
      </c>
    </row>
    <row r="4937" spans="1:25" x14ac:dyDescent="0.35">
      <c r="A4937" t="s">
        <v>41</v>
      </c>
      <c r="B4937" t="s">
        <v>54</v>
      </c>
      <c r="C4937" t="s">
        <v>87</v>
      </c>
      <c r="D4937" t="s">
        <v>373</v>
      </c>
      <c r="E4937">
        <v>80859528</v>
      </c>
      <c r="F4937" t="s">
        <v>3068</v>
      </c>
      <c r="G4937" s="3">
        <v>46917</v>
      </c>
      <c r="H4937">
        <v>36</v>
      </c>
      <c r="I4937">
        <v>67</v>
      </c>
      <c r="J4937">
        <v>8</v>
      </c>
      <c r="K4937" s="4">
        <v>1640.64</v>
      </c>
      <c r="L4937" s="4">
        <f>0</f>
        <v>0</v>
      </c>
      <c r="M4937" s="4">
        <f>999</f>
        <v>999</v>
      </c>
      <c r="N4937" t="s">
        <v>19</v>
      </c>
      <c r="O4937" t="str">
        <f t="shared" si="770"/>
        <v>Low</v>
      </c>
      <c r="P4937" t="str">
        <f t="shared" si="771"/>
        <v>High</v>
      </c>
      <c r="Q4937" t="str">
        <f t="shared" si="772"/>
        <v>High</v>
      </c>
      <c r="R4937" t="s">
        <v>3317</v>
      </c>
      <c r="S4937" s="4">
        <f t="shared" ca="1" si="773"/>
        <v>720</v>
      </c>
      <c r="T4937">
        <f t="shared" si="774"/>
        <v>1</v>
      </c>
      <c r="U4937">
        <f t="shared" si="775"/>
        <v>3</v>
      </c>
      <c r="V4937">
        <f t="shared" si="776"/>
        <v>3</v>
      </c>
      <c r="W4937">
        <f t="shared" si="777"/>
        <v>1</v>
      </c>
      <c r="X4937">
        <f t="shared" si="778"/>
        <v>2</v>
      </c>
      <c r="Y4937" t="str">
        <f t="shared" si="779"/>
        <v>Monitor</v>
      </c>
    </row>
    <row r="4938" spans="1:25" x14ac:dyDescent="0.35">
      <c r="A4938" t="s">
        <v>41</v>
      </c>
      <c r="B4938" t="s">
        <v>54</v>
      </c>
      <c r="C4938" t="s">
        <v>55</v>
      </c>
      <c r="D4938" t="s">
        <v>3069</v>
      </c>
      <c r="E4938">
        <v>80880902</v>
      </c>
      <c r="F4938" t="s">
        <v>3070</v>
      </c>
      <c r="G4938" s="3">
        <v>47207</v>
      </c>
      <c r="H4938">
        <v>36</v>
      </c>
      <c r="I4938">
        <v>94</v>
      </c>
      <c r="J4938">
        <v>9</v>
      </c>
      <c r="K4938" s="4">
        <v>3102.48</v>
      </c>
      <c r="L4938" s="4">
        <v>2062.8571428571427</v>
      </c>
      <c r="M4938" s="4">
        <v>4.3628808864265931E-3</v>
      </c>
      <c r="N4938" t="s">
        <v>25</v>
      </c>
      <c r="O4938" t="str">
        <f t="shared" si="770"/>
        <v>Low</v>
      </c>
      <c r="P4938" t="str">
        <f t="shared" si="771"/>
        <v>Low</v>
      </c>
      <c r="Q4938" t="str">
        <f t="shared" si="772"/>
        <v>Low</v>
      </c>
      <c r="R4938" t="s">
        <v>3317</v>
      </c>
      <c r="S4938" s="4">
        <f t="shared" ca="1" si="773"/>
        <v>1010</v>
      </c>
      <c r="T4938">
        <f t="shared" si="774"/>
        <v>1</v>
      </c>
      <c r="U4938">
        <f t="shared" si="775"/>
        <v>1</v>
      </c>
      <c r="V4938">
        <f t="shared" si="776"/>
        <v>1</v>
      </c>
      <c r="W4938">
        <f t="shared" si="777"/>
        <v>1</v>
      </c>
      <c r="X4938">
        <f t="shared" si="778"/>
        <v>0.99999999999999989</v>
      </c>
      <c r="Y4938" t="str">
        <f t="shared" si="779"/>
        <v>Healthy</v>
      </c>
    </row>
    <row r="4939" spans="1:25" x14ac:dyDescent="0.35">
      <c r="A4939" t="s">
        <v>41</v>
      </c>
      <c r="B4939" t="s">
        <v>42</v>
      </c>
      <c r="C4939" t="s">
        <v>43</v>
      </c>
      <c r="D4939" t="s">
        <v>1188</v>
      </c>
      <c r="E4939">
        <v>80871621</v>
      </c>
      <c r="F4939" t="s">
        <v>3071</v>
      </c>
      <c r="G4939" s="3">
        <v>47005</v>
      </c>
      <c r="H4939">
        <v>36</v>
      </c>
      <c r="I4939">
        <v>75</v>
      </c>
      <c r="J4939">
        <v>9</v>
      </c>
      <c r="K4939" s="4">
        <v>6934.95</v>
      </c>
      <c r="L4939" s="4">
        <v>131.57142857142858</v>
      </c>
      <c r="M4939" s="4">
        <v>6.8403908794788262E-2</v>
      </c>
      <c r="N4939" t="s">
        <v>25</v>
      </c>
      <c r="O4939" t="str">
        <f t="shared" si="770"/>
        <v>Low</v>
      </c>
      <c r="P4939" t="str">
        <f t="shared" si="771"/>
        <v>Low</v>
      </c>
      <c r="Q4939" t="str">
        <f t="shared" si="772"/>
        <v>Low</v>
      </c>
      <c r="R4939" t="s">
        <v>3317</v>
      </c>
      <c r="S4939" s="4">
        <f t="shared" ca="1" si="773"/>
        <v>808</v>
      </c>
      <c r="T4939">
        <f t="shared" si="774"/>
        <v>1</v>
      </c>
      <c r="U4939">
        <f t="shared" si="775"/>
        <v>1</v>
      </c>
      <c r="V4939">
        <f t="shared" si="776"/>
        <v>1</v>
      </c>
      <c r="W4939">
        <f t="shared" si="777"/>
        <v>1</v>
      </c>
      <c r="X4939">
        <f t="shared" si="778"/>
        <v>0.99999999999999989</v>
      </c>
      <c r="Y4939" t="str">
        <f t="shared" si="779"/>
        <v>Healthy</v>
      </c>
    </row>
    <row r="4940" spans="1:25" x14ac:dyDescent="0.35">
      <c r="A4940" t="s">
        <v>71</v>
      </c>
      <c r="B4940" t="s">
        <v>72</v>
      </c>
      <c r="C4940" t="s">
        <v>174</v>
      </c>
      <c r="D4940" t="s">
        <v>2630</v>
      </c>
      <c r="E4940">
        <v>80887712</v>
      </c>
      <c r="F4940" t="s">
        <v>3072</v>
      </c>
      <c r="G4940" s="3">
        <v>47256</v>
      </c>
      <c r="H4940">
        <v>36</v>
      </c>
      <c r="I4940">
        <v>99</v>
      </c>
      <c r="J4940">
        <v>300</v>
      </c>
      <c r="K4940" s="4">
        <v>335748</v>
      </c>
      <c r="L4940" s="4">
        <v>4418.5714285714284</v>
      </c>
      <c r="M4940" s="4">
        <v>6.7895247332686717E-2</v>
      </c>
      <c r="N4940" t="s">
        <v>25</v>
      </c>
      <c r="O4940" t="str">
        <f t="shared" si="770"/>
        <v>Low</v>
      </c>
      <c r="P4940" t="str">
        <f t="shared" si="771"/>
        <v>Low</v>
      </c>
      <c r="Q4940" t="str">
        <f t="shared" si="772"/>
        <v>Low</v>
      </c>
      <c r="R4940" t="s">
        <v>3309</v>
      </c>
      <c r="S4940" s="4">
        <f t="shared" ca="1" si="773"/>
        <v>1059</v>
      </c>
      <c r="T4940">
        <f t="shared" si="774"/>
        <v>1</v>
      </c>
      <c r="U4940">
        <f t="shared" si="775"/>
        <v>1</v>
      </c>
      <c r="V4940">
        <f t="shared" si="776"/>
        <v>1</v>
      </c>
      <c r="W4940">
        <f t="shared" si="777"/>
        <v>3</v>
      </c>
      <c r="X4940">
        <f t="shared" si="778"/>
        <v>1.2</v>
      </c>
      <c r="Y4940" t="str">
        <f t="shared" si="779"/>
        <v>Healthy</v>
      </c>
    </row>
    <row r="4941" spans="1:25" x14ac:dyDescent="0.35">
      <c r="A4941" t="s">
        <v>41</v>
      </c>
      <c r="B4941" t="s">
        <v>42</v>
      </c>
      <c r="C4941" t="s">
        <v>43</v>
      </c>
      <c r="D4941" t="s">
        <v>1188</v>
      </c>
      <c r="E4941">
        <v>80871621</v>
      </c>
      <c r="F4941" t="s">
        <v>3071</v>
      </c>
      <c r="G4941" s="3">
        <v>46993</v>
      </c>
      <c r="H4941">
        <v>36</v>
      </c>
      <c r="I4941">
        <v>74</v>
      </c>
      <c r="J4941">
        <v>123</v>
      </c>
      <c r="K4941" s="4">
        <v>94777.65</v>
      </c>
      <c r="L4941" s="4">
        <v>131.57142857142858</v>
      </c>
      <c r="M4941" s="4">
        <v>0.9348534201954396</v>
      </c>
      <c r="N4941" t="s">
        <v>25</v>
      </c>
      <c r="O4941" t="str">
        <f t="shared" si="770"/>
        <v>Low</v>
      </c>
      <c r="P4941" t="str">
        <f t="shared" si="771"/>
        <v>Low</v>
      </c>
      <c r="Q4941" t="str">
        <f t="shared" si="772"/>
        <v>Low</v>
      </c>
      <c r="R4941" t="s">
        <v>3310</v>
      </c>
      <c r="S4941" s="4">
        <f t="shared" ca="1" si="773"/>
        <v>796</v>
      </c>
      <c r="T4941">
        <f t="shared" si="774"/>
        <v>1</v>
      </c>
      <c r="U4941">
        <f t="shared" si="775"/>
        <v>1</v>
      </c>
      <c r="V4941">
        <f t="shared" si="776"/>
        <v>1</v>
      </c>
      <c r="W4941">
        <f t="shared" si="777"/>
        <v>2</v>
      </c>
      <c r="X4941">
        <f t="shared" si="778"/>
        <v>1.0999999999999999</v>
      </c>
      <c r="Y4941" t="str">
        <f t="shared" si="779"/>
        <v>Healthy</v>
      </c>
    </row>
    <row r="4942" spans="1:25" x14ac:dyDescent="0.35">
      <c r="A4942" t="s">
        <v>41</v>
      </c>
      <c r="B4942" t="s">
        <v>42</v>
      </c>
      <c r="C4942" t="s">
        <v>43</v>
      </c>
      <c r="D4942" t="s">
        <v>2717</v>
      </c>
      <c r="E4942">
        <v>80871616</v>
      </c>
      <c r="F4942" t="s">
        <v>3073</v>
      </c>
      <c r="G4942" s="3">
        <v>46963</v>
      </c>
      <c r="H4942">
        <v>36</v>
      </c>
      <c r="I4942">
        <v>71</v>
      </c>
      <c r="J4942">
        <v>35</v>
      </c>
      <c r="K4942" s="4">
        <v>2290.75</v>
      </c>
      <c r="L4942" s="4">
        <v>22.714285714285715</v>
      </c>
      <c r="M4942" s="4">
        <v>1.540880503144654</v>
      </c>
      <c r="N4942" t="s">
        <v>25</v>
      </c>
      <c r="O4942" t="str">
        <f t="shared" si="770"/>
        <v>Low</v>
      </c>
      <c r="P4942" t="str">
        <f t="shared" si="771"/>
        <v>Low</v>
      </c>
      <c r="Q4942" t="str">
        <f t="shared" si="772"/>
        <v>Low</v>
      </c>
      <c r="R4942" t="s">
        <v>3317</v>
      </c>
      <c r="S4942" s="4">
        <f t="shared" ca="1" si="773"/>
        <v>766</v>
      </c>
      <c r="T4942">
        <f t="shared" si="774"/>
        <v>1</v>
      </c>
      <c r="U4942">
        <f t="shared" si="775"/>
        <v>1</v>
      </c>
      <c r="V4942">
        <f t="shared" si="776"/>
        <v>1</v>
      </c>
      <c r="W4942">
        <f t="shared" si="777"/>
        <v>1</v>
      </c>
      <c r="X4942">
        <f t="shared" si="778"/>
        <v>0.99999999999999989</v>
      </c>
      <c r="Y4942" t="str">
        <f t="shared" si="779"/>
        <v>Healthy</v>
      </c>
    </row>
    <row r="4943" spans="1:25" x14ac:dyDescent="0.35">
      <c r="A4943" t="s">
        <v>71</v>
      </c>
      <c r="B4943" t="s">
        <v>72</v>
      </c>
      <c r="C4943" t="s">
        <v>174</v>
      </c>
      <c r="D4943" t="s">
        <v>2630</v>
      </c>
      <c r="E4943">
        <v>80887712</v>
      </c>
      <c r="F4943" t="s">
        <v>3072</v>
      </c>
      <c r="G4943" s="3">
        <v>47252</v>
      </c>
      <c r="H4943">
        <v>36</v>
      </c>
      <c r="I4943">
        <v>98</v>
      </c>
      <c r="J4943">
        <v>44</v>
      </c>
      <c r="K4943" s="4">
        <v>49243.040000000001</v>
      </c>
      <c r="L4943" s="4">
        <v>4418.5714285714284</v>
      </c>
      <c r="M4943" s="4">
        <v>9.9579696087940522E-3</v>
      </c>
      <c r="N4943" t="s">
        <v>25</v>
      </c>
      <c r="O4943" t="str">
        <f t="shared" si="770"/>
        <v>Low</v>
      </c>
      <c r="P4943" t="str">
        <f t="shared" si="771"/>
        <v>Low</v>
      </c>
      <c r="Q4943" t="str">
        <f t="shared" si="772"/>
        <v>Low</v>
      </c>
      <c r="R4943" t="s">
        <v>3317</v>
      </c>
      <c r="S4943" s="4">
        <f t="shared" ca="1" si="773"/>
        <v>1055</v>
      </c>
      <c r="T4943">
        <f t="shared" si="774"/>
        <v>1</v>
      </c>
      <c r="U4943">
        <f t="shared" si="775"/>
        <v>1</v>
      </c>
      <c r="V4943">
        <f t="shared" si="776"/>
        <v>1</v>
      </c>
      <c r="W4943">
        <f t="shared" si="777"/>
        <v>1</v>
      </c>
      <c r="X4943">
        <f t="shared" si="778"/>
        <v>0.99999999999999989</v>
      </c>
      <c r="Y4943" t="str">
        <f t="shared" si="779"/>
        <v>Healthy</v>
      </c>
    </row>
    <row r="4944" spans="1:25" x14ac:dyDescent="0.35">
      <c r="A4944" t="s">
        <v>41</v>
      </c>
      <c r="B4944" t="s">
        <v>54</v>
      </c>
      <c r="C4944" t="s">
        <v>55</v>
      </c>
      <c r="D4944" t="s">
        <v>1170</v>
      </c>
      <c r="E4944">
        <v>80875134</v>
      </c>
      <c r="F4944" t="s">
        <v>3074</v>
      </c>
      <c r="G4944" s="3">
        <v>46947</v>
      </c>
      <c r="H4944">
        <v>36</v>
      </c>
      <c r="I4944">
        <v>70</v>
      </c>
      <c r="J4944">
        <v>1</v>
      </c>
      <c r="K4944" s="4">
        <v>1131.1600000000001</v>
      </c>
      <c r="L4944" s="4">
        <v>216.71428571428572</v>
      </c>
      <c r="M4944" s="4">
        <v>4.614370468029004E-3</v>
      </c>
      <c r="N4944" t="s">
        <v>25</v>
      </c>
      <c r="O4944" t="str">
        <f t="shared" si="770"/>
        <v>Low</v>
      </c>
      <c r="P4944" t="str">
        <f t="shared" si="771"/>
        <v>Low</v>
      </c>
      <c r="Q4944" t="str">
        <f t="shared" si="772"/>
        <v>Low</v>
      </c>
      <c r="R4944" t="s">
        <v>3317</v>
      </c>
      <c r="S4944" s="4">
        <f t="shared" ca="1" si="773"/>
        <v>750</v>
      </c>
      <c r="T4944">
        <f t="shared" si="774"/>
        <v>1</v>
      </c>
      <c r="U4944">
        <f t="shared" si="775"/>
        <v>1</v>
      </c>
      <c r="V4944">
        <f t="shared" si="776"/>
        <v>1</v>
      </c>
      <c r="W4944">
        <f t="shared" si="777"/>
        <v>1</v>
      </c>
      <c r="X4944">
        <f t="shared" si="778"/>
        <v>0.99999999999999989</v>
      </c>
      <c r="Y4944" t="str">
        <f t="shared" si="779"/>
        <v>Healthy</v>
      </c>
    </row>
    <row r="4945" spans="1:25" x14ac:dyDescent="0.35">
      <c r="A4945" t="s">
        <v>71</v>
      </c>
      <c r="B4945" t="s">
        <v>72</v>
      </c>
      <c r="C4945" t="s">
        <v>174</v>
      </c>
      <c r="D4945" t="s">
        <v>2630</v>
      </c>
      <c r="E4945">
        <v>80887712</v>
      </c>
      <c r="F4945" t="s">
        <v>3072</v>
      </c>
      <c r="G4945" s="3">
        <v>47260</v>
      </c>
      <c r="H4945">
        <v>36</v>
      </c>
      <c r="I4945">
        <v>99</v>
      </c>
      <c r="J4945">
        <v>172</v>
      </c>
      <c r="K4945" s="4">
        <v>192495.52</v>
      </c>
      <c r="L4945" s="4">
        <v>4418.5714285714284</v>
      </c>
      <c r="M4945" s="4">
        <v>3.8926608470740386E-2</v>
      </c>
      <c r="N4945" t="s">
        <v>25</v>
      </c>
      <c r="O4945" t="str">
        <f t="shared" si="770"/>
        <v>Low</v>
      </c>
      <c r="P4945" t="str">
        <f t="shared" si="771"/>
        <v>Low</v>
      </c>
      <c r="Q4945" t="str">
        <f t="shared" si="772"/>
        <v>Low</v>
      </c>
      <c r="R4945" t="s">
        <v>3309</v>
      </c>
      <c r="S4945" s="4">
        <f t="shared" ca="1" si="773"/>
        <v>1063</v>
      </c>
      <c r="T4945">
        <f t="shared" si="774"/>
        <v>1</v>
      </c>
      <c r="U4945">
        <f t="shared" si="775"/>
        <v>1</v>
      </c>
      <c r="V4945">
        <f t="shared" si="776"/>
        <v>1</v>
      </c>
      <c r="W4945">
        <f t="shared" si="777"/>
        <v>3</v>
      </c>
      <c r="X4945">
        <f t="shared" si="778"/>
        <v>1.2</v>
      </c>
      <c r="Y4945" t="str">
        <f t="shared" si="779"/>
        <v>Healthy</v>
      </c>
    </row>
    <row r="4946" spans="1:25" x14ac:dyDescent="0.35">
      <c r="A4946" t="s">
        <v>71</v>
      </c>
      <c r="B4946" t="s">
        <v>72</v>
      </c>
      <c r="C4946" t="s">
        <v>174</v>
      </c>
      <c r="D4946" t="s">
        <v>2630</v>
      </c>
      <c r="E4946">
        <v>80887712</v>
      </c>
      <c r="F4946" t="s">
        <v>3072</v>
      </c>
      <c r="G4946" s="3">
        <v>47253</v>
      </c>
      <c r="H4946">
        <v>36</v>
      </c>
      <c r="I4946">
        <v>98</v>
      </c>
      <c r="J4946">
        <v>84</v>
      </c>
      <c r="K4946" s="4">
        <v>94009.44</v>
      </c>
      <c r="L4946" s="4">
        <v>4418.5714285714284</v>
      </c>
      <c r="M4946" s="4">
        <v>1.9010669253152281E-2</v>
      </c>
      <c r="N4946" t="s">
        <v>25</v>
      </c>
      <c r="O4946" t="str">
        <f t="shared" si="770"/>
        <v>Low</v>
      </c>
      <c r="P4946" t="str">
        <f t="shared" si="771"/>
        <v>Low</v>
      </c>
      <c r="Q4946" t="str">
        <f t="shared" si="772"/>
        <v>Low</v>
      </c>
      <c r="R4946" t="s">
        <v>3310</v>
      </c>
      <c r="S4946" s="4">
        <f t="shared" ca="1" si="773"/>
        <v>1056</v>
      </c>
      <c r="T4946">
        <f t="shared" si="774"/>
        <v>1</v>
      </c>
      <c r="U4946">
        <f t="shared" si="775"/>
        <v>1</v>
      </c>
      <c r="V4946">
        <f t="shared" si="776"/>
        <v>1</v>
      </c>
      <c r="W4946">
        <f t="shared" si="777"/>
        <v>2</v>
      </c>
      <c r="X4946">
        <f t="shared" si="778"/>
        <v>1.0999999999999999</v>
      </c>
      <c r="Y4946" t="str">
        <f t="shared" si="779"/>
        <v>Healthy</v>
      </c>
    </row>
    <row r="4947" spans="1:25" x14ac:dyDescent="0.35">
      <c r="A4947" t="s">
        <v>71</v>
      </c>
      <c r="B4947" t="s">
        <v>72</v>
      </c>
      <c r="C4947" t="s">
        <v>73</v>
      </c>
      <c r="D4947" t="s">
        <v>2009</v>
      </c>
      <c r="E4947">
        <v>80866559</v>
      </c>
      <c r="F4947" t="s">
        <v>3075</v>
      </c>
      <c r="G4947" s="3">
        <v>46976</v>
      </c>
      <c r="H4947">
        <v>36</v>
      </c>
      <c r="I4947">
        <v>73</v>
      </c>
      <c r="J4947">
        <v>6</v>
      </c>
      <c r="K4947" s="4">
        <v>4031.88</v>
      </c>
      <c r="L4947" s="4">
        <v>2.1428571428571428</v>
      </c>
      <c r="M4947" s="4">
        <v>2.8000000000000003</v>
      </c>
      <c r="N4947" t="s">
        <v>25</v>
      </c>
      <c r="O4947" t="str">
        <f t="shared" si="770"/>
        <v>Low</v>
      </c>
      <c r="P4947" t="str">
        <f t="shared" si="771"/>
        <v>Low</v>
      </c>
      <c r="Q4947" t="str">
        <f t="shared" si="772"/>
        <v>High</v>
      </c>
      <c r="R4947" t="s">
        <v>3317</v>
      </c>
      <c r="S4947" s="4">
        <f t="shared" ca="1" si="773"/>
        <v>779</v>
      </c>
      <c r="T4947">
        <f t="shared" si="774"/>
        <v>1</v>
      </c>
      <c r="U4947">
        <f t="shared" si="775"/>
        <v>1</v>
      </c>
      <c r="V4947">
        <f t="shared" si="776"/>
        <v>3</v>
      </c>
      <c r="W4947">
        <f t="shared" si="777"/>
        <v>1</v>
      </c>
      <c r="X4947">
        <f t="shared" si="778"/>
        <v>1.4000000000000001</v>
      </c>
      <c r="Y4947" t="str">
        <f t="shared" si="779"/>
        <v>Healthy</v>
      </c>
    </row>
    <row r="4948" spans="1:25" x14ac:dyDescent="0.35">
      <c r="A4948" t="s">
        <v>41</v>
      </c>
      <c r="B4948" t="s">
        <v>54</v>
      </c>
      <c r="C4948" t="s">
        <v>55</v>
      </c>
      <c r="D4948" t="s">
        <v>3076</v>
      </c>
      <c r="E4948">
        <v>80880903</v>
      </c>
      <c r="F4948" t="s">
        <v>3077</v>
      </c>
      <c r="G4948" s="3">
        <v>47188</v>
      </c>
      <c r="H4948">
        <v>36</v>
      </c>
      <c r="I4948">
        <v>92</v>
      </c>
      <c r="J4948">
        <v>3</v>
      </c>
      <c r="K4948" s="4">
        <v>521.01</v>
      </c>
      <c r="L4948" s="4">
        <v>10522.571428571429</v>
      </c>
      <c r="M4948" s="4">
        <v>2.8510141464606695E-4</v>
      </c>
      <c r="N4948" t="s">
        <v>25</v>
      </c>
      <c r="O4948" t="str">
        <f t="shared" si="770"/>
        <v>Low</v>
      </c>
      <c r="P4948" t="str">
        <f t="shared" si="771"/>
        <v>Low</v>
      </c>
      <c r="Q4948" t="str">
        <f t="shared" si="772"/>
        <v>Low</v>
      </c>
      <c r="R4948" t="s">
        <v>3317</v>
      </c>
      <c r="S4948" s="4">
        <f t="shared" ca="1" si="773"/>
        <v>991</v>
      </c>
      <c r="T4948">
        <f t="shared" si="774"/>
        <v>1</v>
      </c>
      <c r="U4948">
        <f t="shared" si="775"/>
        <v>1</v>
      </c>
      <c r="V4948">
        <f t="shared" si="776"/>
        <v>1</v>
      </c>
      <c r="W4948">
        <f t="shared" si="777"/>
        <v>1</v>
      </c>
      <c r="X4948">
        <f t="shared" si="778"/>
        <v>0.99999999999999989</v>
      </c>
      <c r="Y4948" t="str">
        <f t="shared" si="779"/>
        <v>Healthy</v>
      </c>
    </row>
    <row r="4949" spans="1:25" x14ac:dyDescent="0.35">
      <c r="A4949" t="s">
        <v>71</v>
      </c>
      <c r="B4949" t="s">
        <v>72</v>
      </c>
      <c r="C4949" t="s">
        <v>73</v>
      </c>
      <c r="D4949" t="s">
        <v>2198</v>
      </c>
      <c r="E4949">
        <v>80867182</v>
      </c>
      <c r="F4949" t="s">
        <v>3078</v>
      </c>
      <c r="G4949" s="3">
        <v>46944</v>
      </c>
      <c r="H4949">
        <v>36</v>
      </c>
      <c r="I4949">
        <v>70</v>
      </c>
      <c r="J4949">
        <v>25</v>
      </c>
      <c r="K4949" s="4">
        <v>19659.25</v>
      </c>
      <c r="L4949" s="4">
        <v>95.285714285714292</v>
      </c>
      <c r="M4949" s="4">
        <v>0.26236881559220387</v>
      </c>
      <c r="N4949" t="s">
        <v>25</v>
      </c>
      <c r="O4949" t="str">
        <f t="shared" si="770"/>
        <v>Low</v>
      </c>
      <c r="P4949" t="str">
        <f t="shared" si="771"/>
        <v>Low</v>
      </c>
      <c r="Q4949" t="str">
        <f t="shared" si="772"/>
        <v>Low</v>
      </c>
      <c r="R4949" t="s">
        <v>3317</v>
      </c>
      <c r="S4949" s="4">
        <f t="shared" ca="1" si="773"/>
        <v>747</v>
      </c>
      <c r="T4949">
        <f t="shared" si="774"/>
        <v>1</v>
      </c>
      <c r="U4949">
        <f t="shared" si="775"/>
        <v>1</v>
      </c>
      <c r="V4949">
        <f t="shared" si="776"/>
        <v>1</v>
      </c>
      <c r="W4949">
        <f t="shared" si="777"/>
        <v>1</v>
      </c>
      <c r="X4949">
        <f t="shared" si="778"/>
        <v>0.99999999999999989</v>
      </c>
      <c r="Y4949" t="str">
        <f t="shared" si="779"/>
        <v>Healthy</v>
      </c>
    </row>
    <row r="4950" spans="1:25" x14ac:dyDescent="0.35">
      <c r="A4950" t="s">
        <v>71</v>
      </c>
      <c r="B4950" t="s">
        <v>72</v>
      </c>
      <c r="C4950" t="s">
        <v>73</v>
      </c>
      <c r="D4950" t="s">
        <v>2198</v>
      </c>
      <c r="E4950">
        <v>80867182</v>
      </c>
      <c r="F4950" t="s">
        <v>3078</v>
      </c>
      <c r="G4950" s="3">
        <v>46973</v>
      </c>
      <c r="H4950">
        <v>36</v>
      </c>
      <c r="I4950">
        <v>72</v>
      </c>
      <c r="J4950">
        <v>29</v>
      </c>
      <c r="K4950" s="4">
        <v>22804.73</v>
      </c>
      <c r="L4950" s="4">
        <v>95.285714285714292</v>
      </c>
      <c r="M4950" s="4">
        <v>0.30434782608695649</v>
      </c>
      <c r="N4950" t="s">
        <v>25</v>
      </c>
      <c r="O4950" t="str">
        <f t="shared" si="770"/>
        <v>Low</v>
      </c>
      <c r="P4950" t="str">
        <f t="shared" si="771"/>
        <v>Low</v>
      </c>
      <c r="Q4950" t="str">
        <f t="shared" si="772"/>
        <v>Low</v>
      </c>
      <c r="R4950" t="s">
        <v>3317</v>
      </c>
      <c r="S4950" s="4">
        <f t="shared" ca="1" si="773"/>
        <v>776</v>
      </c>
      <c r="T4950">
        <f t="shared" si="774"/>
        <v>1</v>
      </c>
      <c r="U4950">
        <f t="shared" si="775"/>
        <v>1</v>
      </c>
      <c r="V4950">
        <f t="shared" si="776"/>
        <v>1</v>
      </c>
      <c r="W4950">
        <f t="shared" si="777"/>
        <v>1</v>
      </c>
      <c r="X4950">
        <f t="shared" si="778"/>
        <v>0.99999999999999989</v>
      </c>
      <c r="Y4950" t="str">
        <f t="shared" si="779"/>
        <v>Healthy</v>
      </c>
    </row>
    <row r="4951" spans="1:25" x14ac:dyDescent="0.35">
      <c r="A4951" t="s">
        <v>71</v>
      </c>
      <c r="B4951" t="s">
        <v>72</v>
      </c>
      <c r="C4951" t="s">
        <v>73</v>
      </c>
      <c r="D4951" t="s">
        <v>2198</v>
      </c>
      <c r="E4951">
        <v>80867182</v>
      </c>
      <c r="F4951" t="s">
        <v>3078</v>
      </c>
      <c r="G4951" s="3">
        <v>47127</v>
      </c>
      <c r="H4951">
        <v>36</v>
      </c>
      <c r="I4951">
        <v>87</v>
      </c>
      <c r="J4951">
        <v>4</v>
      </c>
      <c r="K4951" s="4">
        <v>3145.48</v>
      </c>
      <c r="L4951" s="4">
        <v>95.285714285714292</v>
      </c>
      <c r="M4951" s="4">
        <v>4.1979010494752618E-2</v>
      </c>
      <c r="N4951" t="s">
        <v>25</v>
      </c>
      <c r="O4951" t="str">
        <f t="shared" si="770"/>
        <v>Low</v>
      </c>
      <c r="P4951" t="str">
        <f t="shared" si="771"/>
        <v>Low</v>
      </c>
      <c r="Q4951" t="str">
        <f t="shared" si="772"/>
        <v>Low</v>
      </c>
      <c r="R4951" t="s">
        <v>3317</v>
      </c>
      <c r="S4951" s="4">
        <f t="shared" ca="1" si="773"/>
        <v>930</v>
      </c>
      <c r="T4951">
        <f t="shared" si="774"/>
        <v>1</v>
      </c>
      <c r="U4951">
        <f t="shared" si="775"/>
        <v>1</v>
      </c>
      <c r="V4951">
        <f t="shared" si="776"/>
        <v>1</v>
      </c>
      <c r="W4951">
        <f t="shared" si="777"/>
        <v>1</v>
      </c>
      <c r="X4951">
        <f t="shared" si="778"/>
        <v>0.99999999999999989</v>
      </c>
      <c r="Y4951" t="str">
        <f t="shared" si="779"/>
        <v>Healthy</v>
      </c>
    </row>
    <row r="4952" spans="1:25" x14ac:dyDescent="0.35">
      <c r="A4952" t="s">
        <v>41</v>
      </c>
      <c r="B4952" t="s">
        <v>54</v>
      </c>
      <c r="C4952" t="s">
        <v>55</v>
      </c>
      <c r="D4952" t="s">
        <v>3079</v>
      </c>
      <c r="E4952">
        <v>80880904</v>
      </c>
      <c r="F4952" t="s">
        <v>3080</v>
      </c>
      <c r="G4952" s="3">
        <v>47207</v>
      </c>
      <c r="H4952">
        <v>36</v>
      </c>
      <c r="I4952">
        <v>94</v>
      </c>
      <c r="J4952">
        <v>156</v>
      </c>
      <c r="K4952" s="4">
        <v>53776.32</v>
      </c>
      <c r="L4952" s="4">
        <v>3395.5714285714284</v>
      </c>
      <c r="M4952" s="4">
        <v>4.5942193613530233E-2</v>
      </c>
      <c r="N4952" t="s">
        <v>25</v>
      </c>
      <c r="O4952" t="str">
        <f t="shared" si="770"/>
        <v>Low</v>
      </c>
      <c r="P4952" t="str">
        <f t="shared" si="771"/>
        <v>Low</v>
      </c>
      <c r="Q4952" t="str">
        <f t="shared" si="772"/>
        <v>Low</v>
      </c>
      <c r="R4952" t="s">
        <v>3317</v>
      </c>
      <c r="S4952" s="4">
        <f t="shared" ca="1" si="773"/>
        <v>1010</v>
      </c>
      <c r="T4952">
        <f t="shared" si="774"/>
        <v>1</v>
      </c>
      <c r="U4952">
        <f t="shared" si="775"/>
        <v>1</v>
      </c>
      <c r="V4952">
        <f t="shared" si="776"/>
        <v>1</v>
      </c>
      <c r="W4952">
        <f t="shared" si="777"/>
        <v>1</v>
      </c>
      <c r="X4952">
        <f t="shared" si="778"/>
        <v>0.99999999999999989</v>
      </c>
      <c r="Y4952" t="str">
        <f t="shared" si="779"/>
        <v>Healthy</v>
      </c>
    </row>
    <row r="4953" spans="1:25" x14ac:dyDescent="0.35">
      <c r="A4953" t="s">
        <v>71</v>
      </c>
      <c r="B4953" t="s">
        <v>72</v>
      </c>
      <c r="C4953" t="s">
        <v>73</v>
      </c>
      <c r="D4953" t="s">
        <v>2198</v>
      </c>
      <c r="E4953">
        <v>80867182</v>
      </c>
      <c r="F4953" t="s">
        <v>3078</v>
      </c>
      <c r="G4953" s="3">
        <v>46958</v>
      </c>
      <c r="H4953">
        <v>36</v>
      </c>
      <c r="I4953">
        <v>71</v>
      </c>
      <c r="J4953">
        <v>30</v>
      </c>
      <c r="K4953" s="4">
        <v>23591.1</v>
      </c>
      <c r="L4953" s="4">
        <v>95.285714285714292</v>
      </c>
      <c r="M4953" s="4">
        <v>0.31484257871064464</v>
      </c>
      <c r="N4953" t="s">
        <v>25</v>
      </c>
      <c r="O4953" t="str">
        <f t="shared" si="770"/>
        <v>Low</v>
      </c>
      <c r="P4953" t="str">
        <f t="shared" si="771"/>
        <v>Low</v>
      </c>
      <c r="Q4953" t="str">
        <f t="shared" si="772"/>
        <v>Low</v>
      </c>
      <c r="R4953" t="s">
        <v>3317</v>
      </c>
      <c r="S4953" s="4">
        <f t="shared" ca="1" si="773"/>
        <v>761</v>
      </c>
      <c r="T4953">
        <f t="shared" si="774"/>
        <v>1</v>
      </c>
      <c r="U4953">
        <f t="shared" si="775"/>
        <v>1</v>
      </c>
      <c r="V4953">
        <f t="shared" si="776"/>
        <v>1</v>
      </c>
      <c r="W4953">
        <f t="shared" si="777"/>
        <v>1</v>
      </c>
      <c r="X4953">
        <f t="shared" si="778"/>
        <v>0.99999999999999989</v>
      </c>
      <c r="Y4953" t="str">
        <f t="shared" si="779"/>
        <v>Healthy</v>
      </c>
    </row>
    <row r="4954" spans="1:25" x14ac:dyDescent="0.35">
      <c r="A4954" t="s">
        <v>71</v>
      </c>
      <c r="B4954" t="s">
        <v>72</v>
      </c>
      <c r="C4954" t="s">
        <v>73</v>
      </c>
      <c r="D4954" t="s">
        <v>2198</v>
      </c>
      <c r="E4954">
        <v>80867182</v>
      </c>
      <c r="F4954" t="s">
        <v>3078</v>
      </c>
      <c r="G4954" s="3">
        <v>46980</v>
      </c>
      <c r="H4954">
        <v>36</v>
      </c>
      <c r="I4954">
        <v>73</v>
      </c>
      <c r="J4954">
        <v>32</v>
      </c>
      <c r="K4954" s="4">
        <v>25163.84</v>
      </c>
      <c r="L4954" s="4">
        <v>95.285714285714292</v>
      </c>
      <c r="M4954" s="4">
        <v>0.33583208395802094</v>
      </c>
      <c r="N4954" t="s">
        <v>25</v>
      </c>
      <c r="O4954" t="str">
        <f t="shared" si="770"/>
        <v>Low</v>
      </c>
      <c r="P4954" t="str">
        <f t="shared" si="771"/>
        <v>Low</v>
      </c>
      <c r="Q4954" t="str">
        <f t="shared" si="772"/>
        <v>Low</v>
      </c>
      <c r="R4954" t="s">
        <v>3317</v>
      </c>
      <c r="S4954" s="4">
        <f t="shared" ca="1" si="773"/>
        <v>783</v>
      </c>
      <c r="T4954">
        <f t="shared" si="774"/>
        <v>1</v>
      </c>
      <c r="U4954">
        <f t="shared" si="775"/>
        <v>1</v>
      </c>
      <c r="V4954">
        <f t="shared" si="776"/>
        <v>1</v>
      </c>
      <c r="W4954">
        <f t="shared" si="777"/>
        <v>1</v>
      </c>
      <c r="X4954">
        <f t="shared" si="778"/>
        <v>0.99999999999999989</v>
      </c>
      <c r="Y4954" t="str">
        <f t="shared" si="779"/>
        <v>Healthy</v>
      </c>
    </row>
    <row r="4955" spans="1:25" x14ac:dyDescent="0.35">
      <c r="A4955" t="s">
        <v>71</v>
      </c>
      <c r="B4955" t="s">
        <v>72</v>
      </c>
      <c r="C4955" t="s">
        <v>386</v>
      </c>
      <c r="D4955" t="s">
        <v>1520</v>
      </c>
      <c r="E4955">
        <v>80867141</v>
      </c>
      <c r="F4955" t="s">
        <v>3081</v>
      </c>
      <c r="G4955" s="3">
        <v>46996</v>
      </c>
      <c r="H4955">
        <v>36</v>
      </c>
      <c r="I4955">
        <v>74</v>
      </c>
      <c r="J4955">
        <v>3</v>
      </c>
      <c r="K4955" s="4">
        <v>470.37</v>
      </c>
      <c r="L4955" s="4">
        <v>17.142857142857142</v>
      </c>
      <c r="M4955" s="4">
        <v>0.17500000000000002</v>
      </c>
      <c r="N4955" t="s">
        <v>25</v>
      </c>
      <c r="O4955" t="str">
        <f t="shared" si="770"/>
        <v>Low</v>
      </c>
      <c r="P4955" t="str">
        <f t="shared" si="771"/>
        <v>Low</v>
      </c>
      <c r="Q4955" t="str">
        <f t="shared" si="772"/>
        <v>Low</v>
      </c>
      <c r="R4955" t="s">
        <v>3317</v>
      </c>
      <c r="S4955" s="4">
        <f t="shared" ca="1" si="773"/>
        <v>799</v>
      </c>
      <c r="T4955">
        <f t="shared" si="774"/>
        <v>1</v>
      </c>
      <c r="U4955">
        <f t="shared" si="775"/>
        <v>1</v>
      </c>
      <c r="V4955">
        <f t="shared" si="776"/>
        <v>1</v>
      </c>
      <c r="W4955">
        <f t="shared" si="777"/>
        <v>1</v>
      </c>
      <c r="X4955">
        <f t="shared" si="778"/>
        <v>0.99999999999999989</v>
      </c>
      <c r="Y4955" t="str">
        <f t="shared" si="779"/>
        <v>Healthy</v>
      </c>
    </row>
    <row r="4956" spans="1:25" x14ac:dyDescent="0.35">
      <c r="A4956" t="s">
        <v>71</v>
      </c>
      <c r="B4956" t="s">
        <v>72</v>
      </c>
      <c r="C4956" t="s">
        <v>386</v>
      </c>
      <c r="D4956" t="s">
        <v>1520</v>
      </c>
      <c r="E4956">
        <v>80867141</v>
      </c>
      <c r="F4956" t="s">
        <v>3081</v>
      </c>
      <c r="G4956" s="3">
        <v>47011</v>
      </c>
      <c r="H4956">
        <v>36</v>
      </c>
      <c r="I4956">
        <v>76</v>
      </c>
      <c r="J4956">
        <v>6</v>
      </c>
      <c r="K4956" s="4">
        <v>940.74</v>
      </c>
      <c r="L4956" s="4">
        <v>17.142857142857142</v>
      </c>
      <c r="M4956" s="4">
        <v>0.35000000000000003</v>
      </c>
      <c r="N4956" t="s">
        <v>25</v>
      </c>
      <c r="O4956" t="str">
        <f t="shared" si="770"/>
        <v>Low</v>
      </c>
      <c r="P4956" t="str">
        <f t="shared" si="771"/>
        <v>Low</v>
      </c>
      <c r="Q4956" t="str">
        <f t="shared" si="772"/>
        <v>Low</v>
      </c>
      <c r="R4956" t="s">
        <v>3317</v>
      </c>
      <c r="S4956" s="4">
        <f t="shared" ca="1" si="773"/>
        <v>814</v>
      </c>
      <c r="T4956">
        <f t="shared" si="774"/>
        <v>1</v>
      </c>
      <c r="U4956">
        <f t="shared" si="775"/>
        <v>1</v>
      </c>
      <c r="V4956">
        <f t="shared" si="776"/>
        <v>1</v>
      </c>
      <c r="W4956">
        <f t="shared" si="777"/>
        <v>1</v>
      </c>
      <c r="X4956">
        <f t="shared" si="778"/>
        <v>0.99999999999999989</v>
      </c>
      <c r="Y4956" t="str">
        <f t="shared" si="779"/>
        <v>Healthy</v>
      </c>
    </row>
    <row r="4957" spans="1:25" x14ac:dyDescent="0.35">
      <c r="A4957" t="s">
        <v>71</v>
      </c>
      <c r="B4957" t="s">
        <v>72</v>
      </c>
      <c r="C4957" t="s">
        <v>174</v>
      </c>
      <c r="D4957" t="s">
        <v>759</v>
      </c>
      <c r="E4957">
        <v>80887716</v>
      </c>
      <c r="F4957" t="s">
        <v>3082</v>
      </c>
      <c r="G4957" s="3">
        <v>47268</v>
      </c>
      <c r="H4957">
        <v>36</v>
      </c>
      <c r="I4957">
        <v>100</v>
      </c>
      <c r="J4957">
        <v>48</v>
      </c>
      <c r="K4957" s="4">
        <v>53719.68</v>
      </c>
      <c r="L4957" s="4">
        <v>5176.7142857142853</v>
      </c>
      <c r="M4957" s="4">
        <v>9.2722907525457417E-3</v>
      </c>
      <c r="N4957" t="s">
        <v>25</v>
      </c>
      <c r="O4957" t="str">
        <f t="shared" si="770"/>
        <v>Low</v>
      </c>
      <c r="P4957" t="str">
        <f t="shared" si="771"/>
        <v>Low</v>
      </c>
      <c r="Q4957" t="str">
        <f t="shared" si="772"/>
        <v>Low</v>
      </c>
      <c r="R4957" t="s">
        <v>3317</v>
      </c>
      <c r="S4957" s="4">
        <f t="shared" ca="1" si="773"/>
        <v>1071</v>
      </c>
      <c r="T4957">
        <f t="shared" si="774"/>
        <v>1</v>
      </c>
      <c r="U4957">
        <f t="shared" si="775"/>
        <v>1</v>
      </c>
      <c r="V4957">
        <f t="shared" si="776"/>
        <v>1</v>
      </c>
      <c r="W4957">
        <f t="shared" si="777"/>
        <v>1</v>
      </c>
      <c r="X4957">
        <f t="shared" si="778"/>
        <v>0.99999999999999989</v>
      </c>
      <c r="Y4957" t="str">
        <f t="shared" si="779"/>
        <v>Healthy</v>
      </c>
    </row>
    <row r="4958" spans="1:25" x14ac:dyDescent="0.35">
      <c r="A4958" t="s">
        <v>71</v>
      </c>
      <c r="B4958" t="s">
        <v>72</v>
      </c>
      <c r="C4958" t="s">
        <v>386</v>
      </c>
      <c r="D4958" t="s">
        <v>1520</v>
      </c>
      <c r="E4958">
        <v>80867141</v>
      </c>
      <c r="F4958" t="s">
        <v>3081</v>
      </c>
      <c r="G4958" s="3">
        <v>47008</v>
      </c>
      <c r="H4958">
        <v>36</v>
      </c>
      <c r="I4958">
        <v>76</v>
      </c>
      <c r="J4958">
        <v>15</v>
      </c>
      <c r="K4958" s="4">
        <v>2351.85</v>
      </c>
      <c r="L4958" s="4">
        <v>17.142857142857142</v>
      </c>
      <c r="M4958" s="4">
        <v>0.875</v>
      </c>
      <c r="N4958" t="s">
        <v>25</v>
      </c>
      <c r="O4958" t="str">
        <f t="shared" si="770"/>
        <v>Low</v>
      </c>
      <c r="P4958" t="str">
        <f t="shared" si="771"/>
        <v>Low</v>
      </c>
      <c r="Q4958" t="str">
        <f t="shared" si="772"/>
        <v>Low</v>
      </c>
      <c r="R4958" t="s">
        <v>3317</v>
      </c>
      <c r="S4958" s="4">
        <f t="shared" ca="1" si="773"/>
        <v>811</v>
      </c>
      <c r="T4958">
        <f t="shared" si="774"/>
        <v>1</v>
      </c>
      <c r="U4958">
        <f t="shared" si="775"/>
        <v>1</v>
      </c>
      <c r="V4958">
        <f t="shared" si="776"/>
        <v>1</v>
      </c>
      <c r="W4958">
        <f t="shared" si="777"/>
        <v>1</v>
      </c>
      <c r="X4958">
        <f t="shared" si="778"/>
        <v>0.99999999999999989</v>
      </c>
      <c r="Y4958" t="str">
        <f t="shared" si="779"/>
        <v>Healthy</v>
      </c>
    </row>
    <row r="4959" spans="1:25" x14ac:dyDescent="0.35">
      <c r="A4959" t="s">
        <v>71</v>
      </c>
      <c r="B4959" t="s">
        <v>72</v>
      </c>
      <c r="C4959" t="s">
        <v>174</v>
      </c>
      <c r="D4959" t="s">
        <v>759</v>
      </c>
      <c r="E4959">
        <v>80887716</v>
      </c>
      <c r="F4959" t="s">
        <v>3082</v>
      </c>
      <c r="G4959" s="3">
        <v>47226</v>
      </c>
      <c r="H4959">
        <v>36</v>
      </c>
      <c r="I4959">
        <v>96</v>
      </c>
      <c r="J4959">
        <v>8</v>
      </c>
      <c r="K4959" s="4">
        <v>8953.2800000000007</v>
      </c>
      <c r="L4959" s="4">
        <v>5176.7142857142853</v>
      </c>
      <c r="M4959" s="4">
        <v>1.5453817920909568E-3</v>
      </c>
      <c r="N4959" t="s">
        <v>25</v>
      </c>
      <c r="O4959" t="str">
        <f t="shared" si="770"/>
        <v>Low</v>
      </c>
      <c r="P4959" t="str">
        <f t="shared" si="771"/>
        <v>Low</v>
      </c>
      <c r="Q4959" t="str">
        <f t="shared" si="772"/>
        <v>Low</v>
      </c>
      <c r="R4959" t="s">
        <v>3317</v>
      </c>
      <c r="S4959" s="4">
        <f t="shared" ca="1" si="773"/>
        <v>1029</v>
      </c>
      <c r="T4959">
        <f t="shared" si="774"/>
        <v>1</v>
      </c>
      <c r="U4959">
        <f t="shared" si="775"/>
        <v>1</v>
      </c>
      <c r="V4959">
        <f t="shared" si="776"/>
        <v>1</v>
      </c>
      <c r="W4959">
        <f t="shared" si="777"/>
        <v>1</v>
      </c>
      <c r="X4959">
        <f t="shared" si="778"/>
        <v>0.99999999999999989</v>
      </c>
      <c r="Y4959" t="str">
        <f t="shared" si="779"/>
        <v>Healthy</v>
      </c>
    </row>
    <row r="4960" spans="1:25" x14ac:dyDescent="0.35">
      <c r="A4960" t="s">
        <v>210</v>
      </c>
      <c r="B4960" t="s">
        <v>211</v>
      </c>
      <c r="C4960" t="s">
        <v>338</v>
      </c>
      <c r="D4960" t="s">
        <v>339</v>
      </c>
      <c r="E4960">
        <v>80864297</v>
      </c>
      <c r="F4960" t="s">
        <v>3083</v>
      </c>
      <c r="G4960" s="3">
        <v>47938</v>
      </c>
      <c r="H4960">
        <v>60</v>
      </c>
      <c r="I4960">
        <v>97</v>
      </c>
      <c r="J4960">
        <v>12</v>
      </c>
      <c r="K4960" s="4">
        <v>1768.32</v>
      </c>
      <c r="L4960" s="4">
        <v>8037.1428571428569</v>
      </c>
      <c r="M4960" s="4">
        <v>1.4930678990401707E-3</v>
      </c>
      <c r="N4960" t="s">
        <v>25</v>
      </c>
      <c r="O4960" t="str">
        <f t="shared" si="770"/>
        <v>Low</v>
      </c>
      <c r="P4960" t="str">
        <f t="shared" si="771"/>
        <v>Low</v>
      </c>
      <c r="Q4960" t="str">
        <f t="shared" si="772"/>
        <v>Low</v>
      </c>
      <c r="R4960" t="s">
        <v>3317</v>
      </c>
      <c r="S4960" s="4">
        <f t="shared" ca="1" si="773"/>
        <v>1741</v>
      </c>
      <c r="T4960">
        <f t="shared" si="774"/>
        <v>1</v>
      </c>
      <c r="U4960">
        <f t="shared" si="775"/>
        <v>1</v>
      </c>
      <c r="V4960">
        <f t="shared" si="776"/>
        <v>1</v>
      </c>
      <c r="W4960">
        <f t="shared" si="777"/>
        <v>1</v>
      </c>
      <c r="X4960">
        <f t="shared" si="778"/>
        <v>0.99999999999999989</v>
      </c>
      <c r="Y4960" t="str">
        <f t="shared" si="779"/>
        <v>Healthy</v>
      </c>
    </row>
    <row r="4961" spans="1:25" x14ac:dyDescent="0.35">
      <c r="A4961" t="s">
        <v>210</v>
      </c>
      <c r="B4961" t="s">
        <v>211</v>
      </c>
      <c r="C4961" t="s">
        <v>338</v>
      </c>
      <c r="D4961" t="s">
        <v>339</v>
      </c>
      <c r="E4961">
        <v>80864297</v>
      </c>
      <c r="F4961" t="s">
        <v>3083</v>
      </c>
      <c r="G4961" s="3">
        <v>47972</v>
      </c>
      <c r="H4961">
        <v>60</v>
      </c>
      <c r="I4961">
        <v>99</v>
      </c>
      <c r="J4961">
        <v>16</v>
      </c>
      <c r="K4961" s="4">
        <v>2357.7600000000002</v>
      </c>
      <c r="L4961" s="4">
        <v>8037.1428571428569</v>
      </c>
      <c r="M4961" s="4">
        <v>1.9907571987202275E-3</v>
      </c>
      <c r="N4961" t="s">
        <v>25</v>
      </c>
      <c r="O4961" t="str">
        <f t="shared" si="770"/>
        <v>Low</v>
      </c>
      <c r="P4961" t="str">
        <f t="shared" si="771"/>
        <v>Low</v>
      </c>
      <c r="Q4961" t="str">
        <f t="shared" si="772"/>
        <v>Low</v>
      </c>
      <c r="R4961" t="s">
        <v>3317</v>
      </c>
      <c r="S4961" s="4">
        <f t="shared" ca="1" si="773"/>
        <v>1775</v>
      </c>
      <c r="T4961">
        <f t="shared" si="774"/>
        <v>1</v>
      </c>
      <c r="U4961">
        <f t="shared" si="775"/>
        <v>1</v>
      </c>
      <c r="V4961">
        <f t="shared" si="776"/>
        <v>1</v>
      </c>
      <c r="W4961">
        <f t="shared" si="777"/>
        <v>1</v>
      </c>
      <c r="X4961">
        <f t="shared" si="778"/>
        <v>0.99999999999999989</v>
      </c>
      <c r="Y4961" t="str">
        <f t="shared" si="779"/>
        <v>Healthy</v>
      </c>
    </row>
    <row r="4962" spans="1:25" x14ac:dyDescent="0.35">
      <c r="A4962" t="s">
        <v>210</v>
      </c>
      <c r="B4962" t="s">
        <v>211</v>
      </c>
      <c r="C4962" t="s">
        <v>338</v>
      </c>
      <c r="D4962" t="s">
        <v>339</v>
      </c>
      <c r="E4962">
        <v>80864297</v>
      </c>
      <c r="F4962" t="s">
        <v>3083</v>
      </c>
      <c r="G4962" s="3">
        <v>48000</v>
      </c>
      <c r="H4962">
        <v>60</v>
      </c>
      <c r="I4962">
        <v>100</v>
      </c>
      <c r="J4962">
        <v>1160</v>
      </c>
      <c r="K4962" s="4">
        <v>170937.60000000001</v>
      </c>
      <c r="L4962" s="4">
        <v>8037.1428571428569</v>
      </c>
      <c r="M4962" s="4">
        <v>0.14432989690721651</v>
      </c>
      <c r="N4962" t="s">
        <v>25</v>
      </c>
      <c r="O4962" t="str">
        <f t="shared" si="770"/>
        <v>Low</v>
      </c>
      <c r="P4962" t="str">
        <f t="shared" si="771"/>
        <v>Low</v>
      </c>
      <c r="Q4962" t="str">
        <f t="shared" si="772"/>
        <v>Low</v>
      </c>
      <c r="R4962" t="s">
        <v>3309</v>
      </c>
      <c r="S4962" s="4">
        <f t="shared" ca="1" si="773"/>
        <v>1803</v>
      </c>
      <c r="T4962">
        <f t="shared" si="774"/>
        <v>1</v>
      </c>
      <c r="U4962">
        <f t="shared" si="775"/>
        <v>1</v>
      </c>
      <c r="V4962">
        <f t="shared" si="776"/>
        <v>1</v>
      </c>
      <c r="W4962">
        <f t="shared" si="777"/>
        <v>3</v>
      </c>
      <c r="X4962">
        <f t="shared" si="778"/>
        <v>1.2</v>
      </c>
      <c r="Y4962" t="str">
        <f t="shared" si="779"/>
        <v>Healthy</v>
      </c>
    </row>
    <row r="4963" spans="1:25" x14ac:dyDescent="0.35">
      <c r="A4963" t="s">
        <v>41</v>
      </c>
      <c r="B4963" t="s">
        <v>54</v>
      </c>
      <c r="C4963" t="s">
        <v>87</v>
      </c>
      <c r="D4963" t="s">
        <v>1366</v>
      </c>
      <c r="E4963">
        <v>80880905</v>
      </c>
      <c r="F4963" t="s">
        <v>3084</v>
      </c>
      <c r="G4963" s="3">
        <v>47120</v>
      </c>
      <c r="H4963">
        <v>36</v>
      </c>
      <c r="I4963">
        <v>86</v>
      </c>
      <c r="J4963">
        <v>7</v>
      </c>
      <c r="K4963" s="4">
        <v>8461.32</v>
      </c>
      <c r="L4963" s="4">
        <v>4.5714285714285712</v>
      </c>
      <c r="M4963" s="4">
        <v>1.53125</v>
      </c>
      <c r="N4963" t="s">
        <v>25</v>
      </c>
      <c r="O4963" t="str">
        <f t="shared" si="770"/>
        <v>Low</v>
      </c>
      <c r="P4963" t="str">
        <f t="shared" si="771"/>
        <v>Low</v>
      </c>
      <c r="Q4963" t="str">
        <f t="shared" si="772"/>
        <v>High</v>
      </c>
      <c r="R4963" t="s">
        <v>3317</v>
      </c>
      <c r="S4963" s="4">
        <f t="shared" ca="1" si="773"/>
        <v>923</v>
      </c>
      <c r="T4963">
        <f t="shared" si="774"/>
        <v>1</v>
      </c>
      <c r="U4963">
        <f t="shared" si="775"/>
        <v>1</v>
      </c>
      <c r="V4963">
        <f t="shared" si="776"/>
        <v>3</v>
      </c>
      <c r="W4963">
        <f t="shared" si="777"/>
        <v>1</v>
      </c>
      <c r="X4963">
        <f t="shared" si="778"/>
        <v>1.4000000000000001</v>
      </c>
      <c r="Y4963" t="str">
        <f t="shared" si="779"/>
        <v>Healthy</v>
      </c>
    </row>
    <row r="4964" spans="1:25" x14ac:dyDescent="0.35">
      <c r="A4964" t="s">
        <v>210</v>
      </c>
      <c r="B4964" t="s">
        <v>211</v>
      </c>
      <c r="C4964" t="s">
        <v>338</v>
      </c>
      <c r="D4964" t="s">
        <v>339</v>
      </c>
      <c r="E4964">
        <v>80864297</v>
      </c>
      <c r="F4964" t="s">
        <v>3083</v>
      </c>
      <c r="G4964" s="3">
        <v>47941</v>
      </c>
      <c r="H4964">
        <v>60</v>
      </c>
      <c r="I4964">
        <v>97</v>
      </c>
      <c r="J4964">
        <v>25</v>
      </c>
      <c r="K4964" s="4">
        <v>3684</v>
      </c>
      <c r="L4964" s="4">
        <v>8037.1428571428569</v>
      </c>
      <c r="M4964" s="4">
        <v>3.1105581230003558E-3</v>
      </c>
      <c r="N4964" t="s">
        <v>25</v>
      </c>
      <c r="O4964" t="str">
        <f t="shared" si="770"/>
        <v>Low</v>
      </c>
      <c r="P4964" t="str">
        <f t="shared" si="771"/>
        <v>Low</v>
      </c>
      <c r="Q4964" t="str">
        <f t="shared" si="772"/>
        <v>Low</v>
      </c>
      <c r="R4964" t="s">
        <v>3317</v>
      </c>
      <c r="S4964" s="4">
        <f t="shared" ca="1" si="773"/>
        <v>1744</v>
      </c>
      <c r="T4964">
        <f t="shared" si="774"/>
        <v>1</v>
      </c>
      <c r="U4964">
        <f t="shared" si="775"/>
        <v>1</v>
      </c>
      <c r="V4964">
        <f t="shared" si="776"/>
        <v>1</v>
      </c>
      <c r="W4964">
        <f t="shared" si="777"/>
        <v>1</v>
      </c>
      <c r="X4964">
        <f t="shared" si="778"/>
        <v>0.99999999999999989</v>
      </c>
      <c r="Y4964" t="str">
        <f t="shared" si="779"/>
        <v>Healthy</v>
      </c>
    </row>
    <row r="4965" spans="1:25" x14ac:dyDescent="0.35">
      <c r="A4965" t="s">
        <v>71</v>
      </c>
      <c r="B4965" t="s">
        <v>72</v>
      </c>
      <c r="C4965" t="s">
        <v>174</v>
      </c>
      <c r="D4965" t="s">
        <v>333</v>
      </c>
      <c r="E4965">
        <v>80887718</v>
      </c>
      <c r="F4965" t="s">
        <v>3085</v>
      </c>
      <c r="G4965" s="3">
        <v>47211</v>
      </c>
      <c r="H4965">
        <v>36</v>
      </c>
      <c r="I4965">
        <v>94</v>
      </c>
      <c r="J4965">
        <v>2</v>
      </c>
      <c r="K4965" s="4">
        <v>3735.02</v>
      </c>
      <c r="L4965" s="4">
        <v>580.85714285714289</v>
      </c>
      <c r="M4965" s="4">
        <v>3.4431874077717655E-3</v>
      </c>
      <c r="N4965" t="s">
        <v>25</v>
      </c>
      <c r="O4965" t="str">
        <f t="shared" si="770"/>
        <v>Low</v>
      </c>
      <c r="P4965" t="str">
        <f t="shared" si="771"/>
        <v>Low</v>
      </c>
      <c r="Q4965" t="str">
        <f t="shared" si="772"/>
        <v>Low</v>
      </c>
      <c r="R4965" t="s">
        <v>3317</v>
      </c>
      <c r="S4965" s="4">
        <f t="shared" ca="1" si="773"/>
        <v>1014</v>
      </c>
      <c r="T4965">
        <f t="shared" si="774"/>
        <v>1</v>
      </c>
      <c r="U4965">
        <f t="shared" si="775"/>
        <v>1</v>
      </c>
      <c r="V4965">
        <f t="shared" si="776"/>
        <v>1</v>
      </c>
      <c r="W4965">
        <f t="shared" si="777"/>
        <v>1</v>
      </c>
      <c r="X4965">
        <f t="shared" si="778"/>
        <v>0.99999999999999989</v>
      </c>
      <c r="Y4965" t="str">
        <f t="shared" si="779"/>
        <v>Healthy</v>
      </c>
    </row>
    <row r="4966" spans="1:25" x14ac:dyDescent="0.35">
      <c r="A4966" t="s">
        <v>71</v>
      </c>
      <c r="B4966" t="s">
        <v>72</v>
      </c>
      <c r="C4966" t="s">
        <v>174</v>
      </c>
      <c r="D4966" t="s">
        <v>333</v>
      </c>
      <c r="E4966">
        <v>80887718</v>
      </c>
      <c r="F4966" t="s">
        <v>3085</v>
      </c>
      <c r="G4966" s="3">
        <v>47197</v>
      </c>
      <c r="H4966">
        <v>36</v>
      </c>
      <c r="I4966">
        <v>93</v>
      </c>
      <c r="J4966">
        <v>39</v>
      </c>
      <c r="K4966" s="4">
        <v>72832.89</v>
      </c>
      <c r="L4966" s="4">
        <v>580.85714285714289</v>
      </c>
      <c r="M4966" s="4">
        <v>6.7142154451549432E-2</v>
      </c>
      <c r="N4966" t="s">
        <v>25</v>
      </c>
      <c r="O4966" t="str">
        <f t="shared" si="770"/>
        <v>Low</v>
      </c>
      <c r="P4966" t="str">
        <f t="shared" si="771"/>
        <v>Low</v>
      </c>
      <c r="Q4966" t="str">
        <f t="shared" si="772"/>
        <v>Low</v>
      </c>
      <c r="R4966" t="s">
        <v>3310</v>
      </c>
      <c r="S4966" s="4">
        <f t="shared" ca="1" si="773"/>
        <v>1000</v>
      </c>
      <c r="T4966">
        <f t="shared" si="774"/>
        <v>1</v>
      </c>
      <c r="U4966">
        <f t="shared" si="775"/>
        <v>1</v>
      </c>
      <c r="V4966">
        <f t="shared" si="776"/>
        <v>1</v>
      </c>
      <c r="W4966">
        <f t="shared" si="777"/>
        <v>2</v>
      </c>
      <c r="X4966">
        <f t="shared" si="778"/>
        <v>1.0999999999999999</v>
      </c>
      <c r="Y4966" t="str">
        <f t="shared" si="779"/>
        <v>Healthy</v>
      </c>
    </row>
    <row r="4967" spans="1:25" x14ac:dyDescent="0.35">
      <c r="A4967" t="s">
        <v>71</v>
      </c>
      <c r="B4967" t="s">
        <v>72</v>
      </c>
      <c r="C4967" t="s">
        <v>174</v>
      </c>
      <c r="D4967" t="s">
        <v>333</v>
      </c>
      <c r="E4967">
        <v>80887718</v>
      </c>
      <c r="F4967" t="s">
        <v>3085</v>
      </c>
      <c r="G4967" s="3">
        <v>47243</v>
      </c>
      <c r="H4967">
        <v>36</v>
      </c>
      <c r="I4967">
        <v>97</v>
      </c>
      <c r="J4967">
        <v>45</v>
      </c>
      <c r="K4967" s="4">
        <v>84037.95</v>
      </c>
      <c r="L4967" s="4">
        <v>580.85714285714289</v>
      </c>
      <c r="M4967" s="4">
        <v>7.747171667486473E-2</v>
      </c>
      <c r="N4967" t="s">
        <v>25</v>
      </c>
      <c r="O4967" t="str">
        <f t="shared" si="770"/>
        <v>Low</v>
      </c>
      <c r="P4967" t="str">
        <f t="shared" si="771"/>
        <v>Low</v>
      </c>
      <c r="Q4967" t="str">
        <f t="shared" si="772"/>
        <v>Low</v>
      </c>
      <c r="R4967" t="s">
        <v>3310</v>
      </c>
      <c r="S4967" s="4">
        <f t="shared" ca="1" si="773"/>
        <v>1046</v>
      </c>
      <c r="T4967">
        <f t="shared" si="774"/>
        <v>1</v>
      </c>
      <c r="U4967">
        <f t="shared" si="775"/>
        <v>1</v>
      </c>
      <c r="V4967">
        <f t="shared" si="776"/>
        <v>1</v>
      </c>
      <c r="W4967">
        <f t="shared" si="777"/>
        <v>2</v>
      </c>
      <c r="X4967">
        <f t="shared" si="778"/>
        <v>1.0999999999999999</v>
      </c>
      <c r="Y4967" t="str">
        <f t="shared" si="779"/>
        <v>Healthy</v>
      </c>
    </row>
    <row r="4968" spans="1:25" x14ac:dyDescent="0.35">
      <c r="A4968" t="s">
        <v>41</v>
      </c>
      <c r="B4968" t="s">
        <v>54</v>
      </c>
      <c r="C4968" t="s">
        <v>459</v>
      </c>
      <c r="D4968" t="s">
        <v>968</v>
      </c>
      <c r="E4968">
        <v>80880906</v>
      </c>
      <c r="F4968" t="s">
        <v>3086</v>
      </c>
      <c r="G4968" s="3">
        <v>47057</v>
      </c>
      <c r="H4968">
        <v>36</v>
      </c>
      <c r="I4968">
        <v>80</v>
      </c>
      <c r="J4968">
        <v>7</v>
      </c>
      <c r="K4968" s="4">
        <v>2926.14</v>
      </c>
      <c r="L4968" s="4">
        <v>411</v>
      </c>
      <c r="M4968" s="4">
        <v>1.7031630170316302E-2</v>
      </c>
      <c r="N4968" t="s">
        <v>25</v>
      </c>
      <c r="O4968" t="str">
        <f t="shared" si="770"/>
        <v>Low</v>
      </c>
      <c r="P4968" t="str">
        <f t="shared" si="771"/>
        <v>Low</v>
      </c>
      <c r="Q4968" t="str">
        <f t="shared" si="772"/>
        <v>Low</v>
      </c>
      <c r="R4968" t="s">
        <v>3317</v>
      </c>
      <c r="S4968" s="4">
        <f t="shared" ca="1" si="773"/>
        <v>860</v>
      </c>
      <c r="T4968">
        <f t="shared" si="774"/>
        <v>1</v>
      </c>
      <c r="U4968">
        <f t="shared" si="775"/>
        <v>1</v>
      </c>
      <c r="V4968">
        <f t="shared" si="776"/>
        <v>1</v>
      </c>
      <c r="W4968">
        <f t="shared" si="777"/>
        <v>1</v>
      </c>
      <c r="X4968">
        <f t="shared" si="778"/>
        <v>0.99999999999999989</v>
      </c>
      <c r="Y4968" t="str">
        <f t="shared" si="779"/>
        <v>Healthy</v>
      </c>
    </row>
    <row r="4969" spans="1:25" x14ac:dyDescent="0.35">
      <c r="A4969" t="s">
        <v>210</v>
      </c>
      <c r="B4969" t="s">
        <v>211</v>
      </c>
      <c r="C4969" t="s">
        <v>338</v>
      </c>
      <c r="D4969" t="s">
        <v>339</v>
      </c>
      <c r="E4969">
        <v>80864297</v>
      </c>
      <c r="F4969" t="s">
        <v>3083</v>
      </c>
      <c r="G4969" s="3">
        <v>47957</v>
      </c>
      <c r="H4969">
        <v>60</v>
      </c>
      <c r="I4969">
        <v>98</v>
      </c>
      <c r="J4969">
        <v>49</v>
      </c>
      <c r="K4969" s="4">
        <v>7220.64</v>
      </c>
      <c r="L4969" s="4">
        <v>8037.1428571428569</v>
      </c>
      <c r="M4969" s="4">
        <v>6.0966939210806972E-3</v>
      </c>
      <c r="N4969" t="s">
        <v>25</v>
      </c>
      <c r="O4969" t="str">
        <f t="shared" si="770"/>
        <v>Low</v>
      </c>
      <c r="P4969" t="str">
        <f t="shared" si="771"/>
        <v>Low</v>
      </c>
      <c r="Q4969" t="str">
        <f t="shared" si="772"/>
        <v>Low</v>
      </c>
      <c r="R4969" t="s">
        <v>3317</v>
      </c>
      <c r="S4969" s="4">
        <f t="shared" ca="1" si="773"/>
        <v>1760</v>
      </c>
      <c r="T4969">
        <f t="shared" si="774"/>
        <v>1</v>
      </c>
      <c r="U4969">
        <f t="shared" si="775"/>
        <v>1</v>
      </c>
      <c r="V4969">
        <f t="shared" si="776"/>
        <v>1</v>
      </c>
      <c r="W4969">
        <f t="shared" si="777"/>
        <v>1</v>
      </c>
      <c r="X4969">
        <f t="shared" si="778"/>
        <v>0.99999999999999989</v>
      </c>
      <c r="Y4969" t="str">
        <f t="shared" si="779"/>
        <v>Healthy</v>
      </c>
    </row>
    <row r="4970" spans="1:25" x14ac:dyDescent="0.35">
      <c r="A4970" t="s">
        <v>41</v>
      </c>
      <c r="B4970" t="s">
        <v>54</v>
      </c>
      <c r="C4970" t="s">
        <v>459</v>
      </c>
      <c r="D4970" t="s">
        <v>968</v>
      </c>
      <c r="E4970">
        <v>80880906</v>
      </c>
      <c r="F4970" t="s">
        <v>3086</v>
      </c>
      <c r="G4970" s="3">
        <v>47155</v>
      </c>
      <c r="H4970">
        <v>36</v>
      </c>
      <c r="I4970">
        <v>89</v>
      </c>
      <c r="J4970">
        <v>75</v>
      </c>
      <c r="K4970" s="4">
        <v>31351.5</v>
      </c>
      <c r="L4970" s="4">
        <v>411</v>
      </c>
      <c r="M4970" s="4">
        <v>0.18248175182481752</v>
      </c>
      <c r="N4970" t="s">
        <v>25</v>
      </c>
      <c r="O4970" t="str">
        <f t="shared" si="770"/>
        <v>Low</v>
      </c>
      <c r="P4970" t="str">
        <f t="shared" si="771"/>
        <v>Low</v>
      </c>
      <c r="Q4970" t="str">
        <f t="shared" si="772"/>
        <v>Low</v>
      </c>
      <c r="R4970" t="s">
        <v>3317</v>
      </c>
      <c r="S4970" s="4">
        <f t="shared" ca="1" si="773"/>
        <v>958</v>
      </c>
      <c r="T4970">
        <f t="shared" si="774"/>
        <v>1</v>
      </c>
      <c r="U4970">
        <f t="shared" si="775"/>
        <v>1</v>
      </c>
      <c r="V4970">
        <f t="shared" si="776"/>
        <v>1</v>
      </c>
      <c r="W4970">
        <f t="shared" si="777"/>
        <v>1</v>
      </c>
      <c r="X4970">
        <f t="shared" si="778"/>
        <v>0.99999999999999989</v>
      </c>
      <c r="Y4970" t="str">
        <f t="shared" si="779"/>
        <v>Healthy</v>
      </c>
    </row>
    <row r="4971" spans="1:25" x14ac:dyDescent="0.35">
      <c r="A4971" t="s">
        <v>29</v>
      </c>
      <c r="B4971" t="s">
        <v>30</v>
      </c>
      <c r="C4971" t="s">
        <v>449</v>
      </c>
      <c r="D4971" t="s">
        <v>1168</v>
      </c>
      <c r="E4971">
        <v>80851504</v>
      </c>
      <c r="F4971" t="s">
        <v>3087</v>
      </c>
      <c r="G4971" s="3">
        <v>47101</v>
      </c>
      <c r="H4971">
        <v>36</v>
      </c>
      <c r="I4971">
        <v>84</v>
      </c>
      <c r="J4971">
        <v>6</v>
      </c>
      <c r="K4971" s="4">
        <v>5003.5200000000004</v>
      </c>
      <c r="L4971" s="4">
        <v>24.142857142857142</v>
      </c>
      <c r="M4971" s="4">
        <v>0.24852071005917159</v>
      </c>
      <c r="N4971" t="s">
        <v>25</v>
      </c>
      <c r="O4971" t="str">
        <f t="shared" si="770"/>
        <v>Low</v>
      </c>
      <c r="P4971" t="str">
        <f t="shared" si="771"/>
        <v>Low</v>
      </c>
      <c r="Q4971" t="str">
        <f t="shared" si="772"/>
        <v>Low</v>
      </c>
      <c r="R4971" t="s">
        <v>3317</v>
      </c>
      <c r="S4971" s="4">
        <f t="shared" ca="1" si="773"/>
        <v>904</v>
      </c>
      <c r="T4971">
        <f t="shared" si="774"/>
        <v>1</v>
      </c>
      <c r="U4971">
        <f t="shared" si="775"/>
        <v>1</v>
      </c>
      <c r="V4971">
        <f t="shared" si="776"/>
        <v>1</v>
      </c>
      <c r="W4971">
        <f t="shared" si="777"/>
        <v>1</v>
      </c>
      <c r="X4971">
        <f t="shared" si="778"/>
        <v>0.99999999999999989</v>
      </c>
      <c r="Y4971" t="str">
        <f t="shared" si="779"/>
        <v>Healthy</v>
      </c>
    </row>
    <row r="4972" spans="1:25" x14ac:dyDescent="0.35">
      <c r="A4972" t="s">
        <v>29</v>
      </c>
      <c r="B4972" t="s">
        <v>30</v>
      </c>
      <c r="C4972" t="s">
        <v>449</v>
      </c>
      <c r="D4972" t="s">
        <v>1168</v>
      </c>
      <c r="E4972">
        <v>80851504</v>
      </c>
      <c r="F4972" t="s">
        <v>3087</v>
      </c>
      <c r="G4972" s="3">
        <v>47132</v>
      </c>
      <c r="H4972">
        <v>36</v>
      </c>
      <c r="I4972">
        <v>87</v>
      </c>
      <c r="J4972">
        <v>6</v>
      </c>
      <c r="K4972" s="4">
        <v>5003.5200000000004</v>
      </c>
      <c r="L4972" s="4">
        <v>24.142857142857142</v>
      </c>
      <c r="M4972" s="4">
        <v>0.24852071005917159</v>
      </c>
      <c r="N4972" t="s">
        <v>25</v>
      </c>
      <c r="O4972" t="str">
        <f t="shared" si="770"/>
        <v>Low</v>
      </c>
      <c r="P4972" t="str">
        <f t="shared" si="771"/>
        <v>Low</v>
      </c>
      <c r="Q4972" t="str">
        <f t="shared" si="772"/>
        <v>Low</v>
      </c>
      <c r="R4972" t="s">
        <v>3317</v>
      </c>
      <c r="S4972" s="4">
        <f t="shared" ca="1" si="773"/>
        <v>935</v>
      </c>
      <c r="T4972">
        <f t="shared" si="774"/>
        <v>1</v>
      </c>
      <c r="U4972">
        <f t="shared" si="775"/>
        <v>1</v>
      </c>
      <c r="V4972">
        <f t="shared" si="776"/>
        <v>1</v>
      </c>
      <c r="W4972">
        <f t="shared" si="777"/>
        <v>1</v>
      </c>
      <c r="X4972">
        <f t="shared" si="778"/>
        <v>0.99999999999999989</v>
      </c>
      <c r="Y4972" t="str">
        <f t="shared" si="779"/>
        <v>Healthy</v>
      </c>
    </row>
    <row r="4973" spans="1:25" x14ac:dyDescent="0.35">
      <c r="A4973" t="s">
        <v>41</v>
      </c>
      <c r="B4973" t="s">
        <v>54</v>
      </c>
      <c r="C4973" t="s">
        <v>459</v>
      </c>
      <c r="D4973" t="s">
        <v>968</v>
      </c>
      <c r="E4973">
        <v>80880906</v>
      </c>
      <c r="F4973" t="s">
        <v>3086</v>
      </c>
      <c r="G4973" s="3">
        <v>47089</v>
      </c>
      <c r="H4973">
        <v>36</v>
      </c>
      <c r="I4973">
        <v>83</v>
      </c>
      <c r="J4973">
        <v>22</v>
      </c>
      <c r="K4973" s="4">
        <v>9196.44</v>
      </c>
      <c r="L4973" s="4">
        <v>411</v>
      </c>
      <c r="M4973" s="4">
        <v>5.3527980535279802E-2</v>
      </c>
      <c r="N4973" t="s">
        <v>25</v>
      </c>
      <c r="O4973" t="str">
        <f t="shared" si="770"/>
        <v>Low</v>
      </c>
      <c r="P4973" t="str">
        <f t="shared" si="771"/>
        <v>Low</v>
      </c>
      <c r="Q4973" t="str">
        <f t="shared" si="772"/>
        <v>Low</v>
      </c>
      <c r="R4973" t="s">
        <v>3317</v>
      </c>
      <c r="S4973" s="4">
        <f t="shared" ca="1" si="773"/>
        <v>892</v>
      </c>
      <c r="T4973">
        <f t="shared" si="774"/>
        <v>1</v>
      </c>
      <c r="U4973">
        <f t="shared" si="775"/>
        <v>1</v>
      </c>
      <c r="V4973">
        <f t="shared" si="776"/>
        <v>1</v>
      </c>
      <c r="W4973">
        <f t="shared" si="777"/>
        <v>1</v>
      </c>
      <c r="X4973">
        <f t="shared" si="778"/>
        <v>0.99999999999999989</v>
      </c>
      <c r="Y4973" t="str">
        <f t="shared" si="779"/>
        <v>Healthy</v>
      </c>
    </row>
    <row r="4974" spans="1:25" x14ac:dyDescent="0.35">
      <c r="A4974" t="s">
        <v>29</v>
      </c>
      <c r="B4974" t="s">
        <v>30</v>
      </c>
      <c r="C4974" t="s">
        <v>449</v>
      </c>
      <c r="D4974" t="s">
        <v>1168</v>
      </c>
      <c r="E4974">
        <v>80851504</v>
      </c>
      <c r="F4974" t="s">
        <v>3087</v>
      </c>
      <c r="G4974" s="3">
        <v>46837</v>
      </c>
      <c r="H4974">
        <v>36</v>
      </c>
      <c r="I4974">
        <v>60</v>
      </c>
      <c r="J4974">
        <v>4</v>
      </c>
      <c r="K4974" s="4">
        <v>3335.68</v>
      </c>
      <c r="L4974" s="4">
        <v>24.142857142857142</v>
      </c>
      <c r="M4974" s="4">
        <v>0.16568047337278108</v>
      </c>
      <c r="N4974" t="s">
        <v>25</v>
      </c>
      <c r="O4974" t="str">
        <f t="shared" si="770"/>
        <v>Low</v>
      </c>
      <c r="P4974" t="str">
        <f t="shared" si="771"/>
        <v>Low</v>
      </c>
      <c r="Q4974" t="str">
        <f t="shared" si="772"/>
        <v>Low</v>
      </c>
      <c r="R4974" t="s">
        <v>3317</v>
      </c>
      <c r="S4974" s="4">
        <f t="shared" ca="1" si="773"/>
        <v>640</v>
      </c>
      <c r="T4974">
        <f t="shared" si="774"/>
        <v>1</v>
      </c>
      <c r="U4974">
        <f t="shared" si="775"/>
        <v>1</v>
      </c>
      <c r="V4974">
        <f t="shared" si="776"/>
        <v>1</v>
      </c>
      <c r="W4974">
        <f t="shared" si="777"/>
        <v>1</v>
      </c>
      <c r="X4974">
        <f t="shared" si="778"/>
        <v>0.99999999999999989</v>
      </c>
      <c r="Y4974" t="str">
        <f t="shared" si="779"/>
        <v>Healthy</v>
      </c>
    </row>
    <row r="4975" spans="1:25" x14ac:dyDescent="0.35">
      <c r="A4975" t="s">
        <v>71</v>
      </c>
      <c r="B4975" t="s">
        <v>72</v>
      </c>
      <c r="C4975" t="s">
        <v>174</v>
      </c>
      <c r="D4975" t="s">
        <v>3088</v>
      </c>
      <c r="E4975">
        <v>80887720</v>
      </c>
      <c r="F4975" t="s">
        <v>3089</v>
      </c>
      <c r="G4975" s="3">
        <v>47229</v>
      </c>
      <c r="H4975">
        <v>36</v>
      </c>
      <c r="I4975">
        <v>96</v>
      </c>
      <c r="J4975">
        <v>1</v>
      </c>
      <c r="K4975" s="4">
        <v>1715.6</v>
      </c>
      <c r="L4975" s="4">
        <v>535.57142857142856</v>
      </c>
      <c r="M4975" s="4">
        <v>1.8671645772205922E-3</v>
      </c>
      <c r="N4975" t="s">
        <v>25</v>
      </c>
      <c r="O4975" t="str">
        <f t="shared" si="770"/>
        <v>Low</v>
      </c>
      <c r="P4975" t="str">
        <f t="shared" si="771"/>
        <v>Low</v>
      </c>
      <c r="Q4975" t="str">
        <f t="shared" si="772"/>
        <v>Low</v>
      </c>
      <c r="R4975" t="s">
        <v>3317</v>
      </c>
      <c r="S4975" s="4">
        <f t="shared" ca="1" si="773"/>
        <v>1032</v>
      </c>
      <c r="T4975">
        <f t="shared" si="774"/>
        <v>1</v>
      </c>
      <c r="U4975">
        <f t="shared" si="775"/>
        <v>1</v>
      </c>
      <c r="V4975">
        <f t="shared" si="776"/>
        <v>1</v>
      </c>
      <c r="W4975">
        <f t="shared" si="777"/>
        <v>1</v>
      </c>
      <c r="X4975">
        <f t="shared" si="778"/>
        <v>0.99999999999999989</v>
      </c>
      <c r="Y4975" t="str">
        <f t="shared" si="779"/>
        <v>Healthy</v>
      </c>
    </row>
    <row r="4976" spans="1:25" x14ac:dyDescent="0.35">
      <c r="A4976" t="s">
        <v>29</v>
      </c>
      <c r="B4976" t="s">
        <v>30</v>
      </c>
      <c r="C4976" t="s">
        <v>449</v>
      </c>
      <c r="D4976" t="s">
        <v>1168</v>
      </c>
      <c r="E4976">
        <v>80851504</v>
      </c>
      <c r="F4976" t="s">
        <v>3087</v>
      </c>
      <c r="G4976" s="3">
        <v>47132</v>
      </c>
      <c r="H4976">
        <v>36</v>
      </c>
      <c r="I4976">
        <v>87</v>
      </c>
      <c r="J4976">
        <v>16</v>
      </c>
      <c r="K4976" s="4">
        <v>13342.72</v>
      </c>
      <c r="L4976" s="4">
        <v>24.142857142857142</v>
      </c>
      <c r="M4976" s="4">
        <v>0.66272189349112431</v>
      </c>
      <c r="N4976" t="s">
        <v>25</v>
      </c>
      <c r="O4976" t="str">
        <f t="shared" si="770"/>
        <v>Low</v>
      </c>
      <c r="P4976" t="str">
        <f t="shared" si="771"/>
        <v>Low</v>
      </c>
      <c r="Q4976" t="str">
        <f t="shared" si="772"/>
        <v>Low</v>
      </c>
      <c r="R4976" t="s">
        <v>3317</v>
      </c>
      <c r="S4976" s="4">
        <f t="shared" ca="1" si="773"/>
        <v>935</v>
      </c>
      <c r="T4976">
        <f t="shared" si="774"/>
        <v>1</v>
      </c>
      <c r="U4976">
        <f t="shared" si="775"/>
        <v>1</v>
      </c>
      <c r="V4976">
        <f t="shared" si="776"/>
        <v>1</v>
      </c>
      <c r="W4976">
        <f t="shared" si="777"/>
        <v>1</v>
      </c>
      <c r="X4976">
        <f t="shared" si="778"/>
        <v>0.99999999999999989</v>
      </c>
      <c r="Y4976" t="str">
        <f t="shared" si="779"/>
        <v>Healthy</v>
      </c>
    </row>
    <row r="4977" spans="1:25" x14ac:dyDescent="0.35">
      <c r="A4977" t="s">
        <v>71</v>
      </c>
      <c r="B4977" t="s">
        <v>72</v>
      </c>
      <c r="C4977" t="s">
        <v>174</v>
      </c>
      <c r="D4977" t="s">
        <v>3088</v>
      </c>
      <c r="E4977">
        <v>80887720</v>
      </c>
      <c r="F4977" t="s">
        <v>3089</v>
      </c>
      <c r="G4977" s="3">
        <v>47218</v>
      </c>
      <c r="H4977">
        <v>36</v>
      </c>
      <c r="I4977">
        <v>95</v>
      </c>
      <c r="J4977">
        <v>3</v>
      </c>
      <c r="K4977" s="4">
        <v>5146.8</v>
      </c>
      <c r="L4977" s="4">
        <v>535.57142857142856</v>
      </c>
      <c r="M4977" s="4">
        <v>5.6014937316617762E-3</v>
      </c>
      <c r="N4977" t="s">
        <v>25</v>
      </c>
      <c r="O4977" t="str">
        <f t="shared" si="770"/>
        <v>Low</v>
      </c>
      <c r="P4977" t="str">
        <f t="shared" si="771"/>
        <v>Low</v>
      </c>
      <c r="Q4977" t="str">
        <f t="shared" si="772"/>
        <v>Low</v>
      </c>
      <c r="R4977" t="s">
        <v>3317</v>
      </c>
      <c r="S4977" s="4">
        <f t="shared" ca="1" si="773"/>
        <v>1021</v>
      </c>
      <c r="T4977">
        <f t="shared" si="774"/>
        <v>1</v>
      </c>
      <c r="U4977">
        <f t="shared" si="775"/>
        <v>1</v>
      </c>
      <c r="V4977">
        <f t="shared" si="776"/>
        <v>1</v>
      </c>
      <c r="W4977">
        <f t="shared" si="777"/>
        <v>1</v>
      </c>
      <c r="X4977">
        <f t="shared" si="778"/>
        <v>0.99999999999999989</v>
      </c>
      <c r="Y4977" t="str">
        <f t="shared" si="779"/>
        <v>Healthy</v>
      </c>
    </row>
    <row r="4978" spans="1:25" x14ac:dyDescent="0.35">
      <c r="A4978" t="s">
        <v>41</v>
      </c>
      <c r="B4978" t="s">
        <v>54</v>
      </c>
      <c r="C4978" t="s">
        <v>459</v>
      </c>
      <c r="D4978" t="s">
        <v>460</v>
      </c>
      <c r="E4978">
        <v>80878139</v>
      </c>
      <c r="F4978" t="s">
        <v>3090</v>
      </c>
      <c r="G4978" s="3">
        <v>46942</v>
      </c>
      <c r="H4978">
        <v>36</v>
      </c>
      <c r="I4978">
        <v>69</v>
      </c>
      <c r="J4978">
        <v>9</v>
      </c>
      <c r="K4978" s="4">
        <v>8909.73</v>
      </c>
      <c r="L4978" s="4">
        <v>1.7142857142857142</v>
      </c>
      <c r="M4978" s="4">
        <v>5.25</v>
      </c>
      <c r="N4978" t="s">
        <v>25</v>
      </c>
      <c r="O4978" t="str">
        <f t="shared" si="770"/>
        <v>Low</v>
      </c>
      <c r="P4978" t="str">
        <f t="shared" si="771"/>
        <v>Medium</v>
      </c>
      <c r="Q4978" t="str">
        <f t="shared" si="772"/>
        <v>High</v>
      </c>
      <c r="R4978" t="s">
        <v>3317</v>
      </c>
      <c r="S4978" s="4">
        <f t="shared" ca="1" si="773"/>
        <v>745</v>
      </c>
      <c r="T4978">
        <f t="shared" si="774"/>
        <v>1</v>
      </c>
      <c r="U4978">
        <f t="shared" si="775"/>
        <v>2</v>
      </c>
      <c r="V4978">
        <f t="shared" si="776"/>
        <v>3</v>
      </c>
      <c r="W4978">
        <f t="shared" si="777"/>
        <v>1</v>
      </c>
      <c r="X4978">
        <f t="shared" si="778"/>
        <v>1.7000000000000002</v>
      </c>
      <c r="Y4978" t="str">
        <f t="shared" si="779"/>
        <v>Monitor</v>
      </c>
    </row>
    <row r="4979" spans="1:25" x14ac:dyDescent="0.35">
      <c r="A4979" t="s">
        <v>179</v>
      </c>
      <c r="B4979" t="s">
        <v>180</v>
      </c>
      <c r="C4979" t="s">
        <v>181</v>
      </c>
      <c r="D4979" t="s">
        <v>2171</v>
      </c>
      <c r="E4979">
        <v>80879961</v>
      </c>
      <c r="F4979" t="s">
        <v>3091</v>
      </c>
      <c r="G4979" s="3">
        <v>46432</v>
      </c>
      <c r="H4979">
        <v>16</v>
      </c>
      <c r="I4979">
        <v>50</v>
      </c>
      <c r="J4979">
        <v>19</v>
      </c>
      <c r="K4979" s="4">
        <v>6400.72</v>
      </c>
      <c r="L4979" s="4">
        <v>369.14285714285717</v>
      </c>
      <c r="M4979" s="4">
        <v>5.1470588235294115E-2</v>
      </c>
      <c r="N4979" t="s">
        <v>25</v>
      </c>
      <c r="O4979" t="str">
        <f t="shared" si="770"/>
        <v>Low</v>
      </c>
      <c r="P4979" t="str">
        <f t="shared" si="771"/>
        <v>Low</v>
      </c>
      <c r="Q4979" t="str">
        <f t="shared" si="772"/>
        <v>Low</v>
      </c>
      <c r="R4979" t="s">
        <v>3317</v>
      </c>
      <c r="S4979" s="4">
        <f t="shared" ca="1" si="773"/>
        <v>235</v>
      </c>
      <c r="T4979">
        <f t="shared" si="774"/>
        <v>1</v>
      </c>
      <c r="U4979">
        <f t="shared" si="775"/>
        <v>1</v>
      </c>
      <c r="V4979">
        <f t="shared" si="776"/>
        <v>1</v>
      </c>
      <c r="W4979">
        <f t="shared" si="777"/>
        <v>1</v>
      </c>
      <c r="X4979">
        <f t="shared" si="778"/>
        <v>0.99999999999999989</v>
      </c>
      <c r="Y4979" t="str">
        <f t="shared" si="779"/>
        <v>Healthy</v>
      </c>
    </row>
    <row r="4980" spans="1:25" x14ac:dyDescent="0.35">
      <c r="A4980" t="s">
        <v>41</v>
      </c>
      <c r="B4980" t="s">
        <v>54</v>
      </c>
      <c r="C4980" t="s">
        <v>55</v>
      </c>
      <c r="D4980" t="s">
        <v>605</v>
      </c>
      <c r="E4980">
        <v>80880910</v>
      </c>
      <c r="F4980" t="s">
        <v>3092</v>
      </c>
      <c r="G4980" s="3">
        <v>47155</v>
      </c>
      <c r="H4980">
        <v>36</v>
      </c>
      <c r="I4980">
        <v>89</v>
      </c>
      <c r="J4980">
        <v>1</v>
      </c>
      <c r="K4980" s="4">
        <v>856.26</v>
      </c>
      <c r="L4980" s="4">
        <v>999</v>
      </c>
      <c r="M4980" s="4">
        <v>1.001001001001001E-3</v>
      </c>
      <c r="N4980" t="s">
        <v>25</v>
      </c>
      <c r="O4980" t="str">
        <f t="shared" si="770"/>
        <v>Low</v>
      </c>
      <c r="P4980" t="str">
        <f t="shared" si="771"/>
        <v>Low</v>
      </c>
      <c r="Q4980" t="str">
        <f t="shared" si="772"/>
        <v>Low</v>
      </c>
      <c r="R4980" t="s">
        <v>3317</v>
      </c>
      <c r="S4980" s="4">
        <f t="shared" ca="1" si="773"/>
        <v>958</v>
      </c>
      <c r="T4980">
        <f t="shared" si="774"/>
        <v>1</v>
      </c>
      <c r="U4980">
        <f t="shared" si="775"/>
        <v>1</v>
      </c>
      <c r="V4980">
        <f t="shared" si="776"/>
        <v>1</v>
      </c>
      <c r="W4980">
        <f t="shared" si="777"/>
        <v>1</v>
      </c>
      <c r="X4980">
        <f t="shared" si="778"/>
        <v>0.99999999999999989</v>
      </c>
      <c r="Y4980" t="str">
        <f t="shared" si="779"/>
        <v>Healthy</v>
      </c>
    </row>
    <row r="4981" spans="1:25" x14ac:dyDescent="0.35">
      <c r="A4981" t="s">
        <v>71</v>
      </c>
      <c r="B4981" t="s">
        <v>72</v>
      </c>
      <c r="C4981" t="s">
        <v>174</v>
      </c>
      <c r="D4981" t="s">
        <v>753</v>
      </c>
      <c r="E4981">
        <v>80887724</v>
      </c>
      <c r="F4981" t="s">
        <v>3093</v>
      </c>
      <c r="G4981" s="3">
        <v>47234</v>
      </c>
      <c r="H4981">
        <v>36</v>
      </c>
      <c r="I4981">
        <v>96</v>
      </c>
      <c r="J4981">
        <v>1</v>
      </c>
      <c r="K4981" s="4">
        <v>1926.8</v>
      </c>
      <c r="L4981" s="4">
        <v>3566.4285714285716</v>
      </c>
      <c r="M4981" s="4">
        <v>2.8039254956939712E-4</v>
      </c>
      <c r="N4981" t="s">
        <v>25</v>
      </c>
      <c r="O4981" t="str">
        <f t="shared" si="770"/>
        <v>Low</v>
      </c>
      <c r="P4981" t="str">
        <f t="shared" si="771"/>
        <v>Low</v>
      </c>
      <c r="Q4981" t="str">
        <f t="shared" si="772"/>
        <v>Low</v>
      </c>
      <c r="R4981" t="s">
        <v>3317</v>
      </c>
      <c r="S4981" s="4">
        <f t="shared" ca="1" si="773"/>
        <v>1037</v>
      </c>
      <c r="T4981">
        <f t="shared" si="774"/>
        <v>1</v>
      </c>
      <c r="U4981">
        <f t="shared" si="775"/>
        <v>1</v>
      </c>
      <c r="V4981">
        <f t="shared" si="776"/>
        <v>1</v>
      </c>
      <c r="W4981">
        <f t="shared" si="777"/>
        <v>1</v>
      </c>
      <c r="X4981">
        <f t="shared" si="778"/>
        <v>0.99999999999999989</v>
      </c>
      <c r="Y4981" t="str">
        <f t="shared" si="779"/>
        <v>Healthy</v>
      </c>
    </row>
    <row r="4982" spans="1:25" x14ac:dyDescent="0.35">
      <c r="A4982" t="s">
        <v>179</v>
      </c>
      <c r="B4982" t="s">
        <v>180</v>
      </c>
      <c r="C4982" t="s">
        <v>181</v>
      </c>
      <c r="D4982" t="s">
        <v>2171</v>
      </c>
      <c r="E4982">
        <v>80879961</v>
      </c>
      <c r="F4982" t="s">
        <v>3091</v>
      </c>
      <c r="G4982" s="3">
        <v>46432</v>
      </c>
      <c r="H4982">
        <v>16</v>
      </c>
      <c r="I4982">
        <v>50</v>
      </c>
      <c r="J4982">
        <v>2</v>
      </c>
      <c r="K4982" s="4">
        <v>673.76</v>
      </c>
      <c r="L4982" s="4">
        <v>369.14285714285717</v>
      </c>
      <c r="M4982" s="4">
        <v>5.4179566563467485E-3</v>
      </c>
      <c r="N4982" t="s">
        <v>25</v>
      </c>
      <c r="O4982" t="str">
        <f t="shared" si="770"/>
        <v>Low</v>
      </c>
      <c r="P4982" t="str">
        <f t="shared" si="771"/>
        <v>Low</v>
      </c>
      <c r="Q4982" t="str">
        <f t="shared" si="772"/>
        <v>Low</v>
      </c>
      <c r="R4982" t="s">
        <v>3317</v>
      </c>
      <c r="S4982" s="4">
        <f t="shared" ca="1" si="773"/>
        <v>235</v>
      </c>
      <c r="T4982">
        <f t="shared" si="774"/>
        <v>1</v>
      </c>
      <c r="U4982">
        <f t="shared" si="775"/>
        <v>1</v>
      </c>
      <c r="V4982">
        <f t="shared" si="776"/>
        <v>1</v>
      </c>
      <c r="W4982">
        <f t="shared" si="777"/>
        <v>1</v>
      </c>
      <c r="X4982">
        <f t="shared" si="778"/>
        <v>0.99999999999999989</v>
      </c>
      <c r="Y4982" t="str">
        <f t="shared" si="779"/>
        <v>Healthy</v>
      </c>
    </row>
    <row r="4983" spans="1:25" x14ac:dyDescent="0.35">
      <c r="A4983" t="s">
        <v>71</v>
      </c>
      <c r="B4983" t="s">
        <v>72</v>
      </c>
      <c r="C4983" t="s">
        <v>174</v>
      </c>
      <c r="D4983" t="s">
        <v>753</v>
      </c>
      <c r="E4983">
        <v>80887724</v>
      </c>
      <c r="F4983" t="s">
        <v>3093</v>
      </c>
      <c r="G4983" s="3">
        <v>47185</v>
      </c>
      <c r="H4983">
        <v>36</v>
      </c>
      <c r="I4983">
        <v>92</v>
      </c>
      <c r="J4983">
        <v>2</v>
      </c>
      <c r="K4983" s="4">
        <v>3853.6</v>
      </c>
      <c r="L4983" s="4">
        <v>3566.4285714285716</v>
      </c>
      <c r="M4983" s="4">
        <v>5.6078509913879424E-4</v>
      </c>
      <c r="N4983" t="s">
        <v>25</v>
      </c>
      <c r="O4983" t="str">
        <f t="shared" si="770"/>
        <v>Low</v>
      </c>
      <c r="P4983" t="str">
        <f t="shared" si="771"/>
        <v>Low</v>
      </c>
      <c r="Q4983" t="str">
        <f t="shared" si="772"/>
        <v>Low</v>
      </c>
      <c r="R4983" t="s">
        <v>3317</v>
      </c>
      <c r="S4983" s="4">
        <f t="shared" ca="1" si="773"/>
        <v>988</v>
      </c>
      <c r="T4983">
        <f t="shared" si="774"/>
        <v>1</v>
      </c>
      <c r="U4983">
        <f t="shared" si="775"/>
        <v>1</v>
      </c>
      <c r="V4983">
        <f t="shared" si="776"/>
        <v>1</v>
      </c>
      <c r="W4983">
        <f t="shared" si="777"/>
        <v>1</v>
      </c>
      <c r="X4983">
        <f t="shared" si="778"/>
        <v>0.99999999999999989</v>
      </c>
      <c r="Y4983" t="str">
        <f t="shared" si="779"/>
        <v>Healthy</v>
      </c>
    </row>
    <row r="4984" spans="1:25" x14ac:dyDescent="0.35">
      <c r="A4984" t="s">
        <v>41</v>
      </c>
      <c r="B4984" t="s">
        <v>54</v>
      </c>
      <c r="C4984" t="s">
        <v>55</v>
      </c>
      <c r="D4984" t="s">
        <v>608</v>
      </c>
      <c r="E4984">
        <v>80880912</v>
      </c>
      <c r="F4984" t="s">
        <v>3094</v>
      </c>
      <c r="G4984" s="3">
        <v>47026</v>
      </c>
      <c r="H4984">
        <v>36</v>
      </c>
      <c r="I4984">
        <v>77</v>
      </c>
      <c r="J4984">
        <v>11</v>
      </c>
      <c r="K4984" s="4">
        <v>2599.3000000000002</v>
      </c>
      <c r="L4984" s="4">
        <v>1182.7142857142858</v>
      </c>
      <c r="M4984" s="4">
        <v>9.3006401739340501E-3</v>
      </c>
      <c r="N4984" t="s">
        <v>25</v>
      </c>
      <c r="O4984" t="str">
        <f t="shared" si="770"/>
        <v>Low</v>
      </c>
      <c r="P4984" t="str">
        <f t="shared" si="771"/>
        <v>Low</v>
      </c>
      <c r="Q4984" t="str">
        <f t="shared" si="772"/>
        <v>Low</v>
      </c>
      <c r="R4984" t="s">
        <v>3317</v>
      </c>
      <c r="S4984" s="4">
        <f t="shared" ca="1" si="773"/>
        <v>829</v>
      </c>
      <c r="T4984">
        <f t="shared" si="774"/>
        <v>1</v>
      </c>
      <c r="U4984">
        <f t="shared" si="775"/>
        <v>1</v>
      </c>
      <c r="V4984">
        <f t="shared" si="776"/>
        <v>1</v>
      </c>
      <c r="W4984">
        <f t="shared" si="777"/>
        <v>1</v>
      </c>
      <c r="X4984">
        <f t="shared" si="778"/>
        <v>0.99999999999999989</v>
      </c>
      <c r="Y4984" t="str">
        <f t="shared" si="779"/>
        <v>Healthy</v>
      </c>
    </row>
    <row r="4985" spans="1:25" x14ac:dyDescent="0.35">
      <c r="A4985" t="s">
        <v>41</v>
      </c>
      <c r="B4985" t="s">
        <v>54</v>
      </c>
      <c r="C4985" t="s">
        <v>55</v>
      </c>
      <c r="D4985" t="s">
        <v>608</v>
      </c>
      <c r="E4985">
        <v>80880912</v>
      </c>
      <c r="F4985" t="s">
        <v>3094</v>
      </c>
      <c r="G4985" s="3">
        <v>47155</v>
      </c>
      <c r="H4985">
        <v>36</v>
      </c>
      <c r="I4985">
        <v>89</v>
      </c>
      <c r="J4985">
        <v>19</v>
      </c>
      <c r="K4985" s="4">
        <v>4489.7</v>
      </c>
      <c r="L4985" s="4">
        <v>1182.7142857142858</v>
      </c>
      <c r="M4985" s="4">
        <v>1.6064742118613359E-2</v>
      </c>
      <c r="N4985" t="s">
        <v>25</v>
      </c>
      <c r="O4985" t="str">
        <f t="shared" si="770"/>
        <v>Low</v>
      </c>
      <c r="P4985" t="str">
        <f t="shared" si="771"/>
        <v>Low</v>
      </c>
      <c r="Q4985" t="str">
        <f t="shared" si="772"/>
        <v>Low</v>
      </c>
      <c r="R4985" t="s">
        <v>3317</v>
      </c>
      <c r="S4985" s="4">
        <f t="shared" ca="1" si="773"/>
        <v>958</v>
      </c>
      <c r="T4985">
        <f t="shared" si="774"/>
        <v>1</v>
      </c>
      <c r="U4985">
        <f t="shared" si="775"/>
        <v>1</v>
      </c>
      <c r="V4985">
        <f t="shared" si="776"/>
        <v>1</v>
      </c>
      <c r="W4985">
        <f t="shared" si="777"/>
        <v>1</v>
      </c>
      <c r="X4985">
        <f t="shared" si="778"/>
        <v>0.99999999999999989</v>
      </c>
      <c r="Y4985" t="str">
        <f t="shared" si="779"/>
        <v>Healthy</v>
      </c>
    </row>
    <row r="4986" spans="1:25" x14ac:dyDescent="0.35">
      <c r="A4986" t="s">
        <v>71</v>
      </c>
      <c r="B4986" t="s">
        <v>72</v>
      </c>
      <c r="C4986" t="s">
        <v>174</v>
      </c>
      <c r="D4986" t="s">
        <v>765</v>
      </c>
      <c r="E4986">
        <v>80887726</v>
      </c>
      <c r="F4986" t="s">
        <v>3095</v>
      </c>
      <c r="G4986" s="3">
        <v>47229</v>
      </c>
      <c r="H4986">
        <v>36</v>
      </c>
      <c r="I4986">
        <v>96</v>
      </c>
      <c r="J4986">
        <v>4</v>
      </c>
      <c r="K4986" s="4">
        <v>15347.68</v>
      </c>
      <c r="L4986" s="4">
        <v>167.42857142857142</v>
      </c>
      <c r="M4986" s="4">
        <v>2.3890784982935155E-2</v>
      </c>
      <c r="N4986" t="s">
        <v>25</v>
      </c>
      <c r="O4986" t="str">
        <f t="shared" si="770"/>
        <v>Low</v>
      </c>
      <c r="P4986" t="str">
        <f t="shared" si="771"/>
        <v>Low</v>
      </c>
      <c r="Q4986" t="str">
        <f t="shared" si="772"/>
        <v>Low</v>
      </c>
      <c r="R4986" t="s">
        <v>3317</v>
      </c>
      <c r="S4986" s="4">
        <f t="shared" ca="1" si="773"/>
        <v>1032</v>
      </c>
      <c r="T4986">
        <f t="shared" si="774"/>
        <v>1</v>
      </c>
      <c r="U4986">
        <f t="shared" si="775"/>
        <v>1</v>
      </c>
      <c r="V4986">
        <f t="shared" si="776"/>
        <v>1</v>
      </c>
      <c r="W4986">
        <f t="shared" si="777"/>
        <v>1</v>
      </c>
      <c r="X4986">
        <f t="shared" si="778"/>
        <v>0.99999999999999989</v>
      </c>
      <c r="Y4986" t="str">
        <f t="shared" si="779"/>
        <v>Healthy</v>
      </c>
    </row>
    <row r="4987" spans="1:25" x14ac:dyDescent="0.35">
      <c r="A4987" t="s">
        <v>71</v>
      </c>
      <c r="B4987" t="s">
        <v>72</v>
      </c>
      <c r="C4987" t="s">
        <v>174</v>
      </c>
      <c r="D4987" t="s">
        <v>551</v>
      </c>
      <c r="E4987">
        <v>80887728</v>
      </c>
      <c r="F4987" t="s">
        <v>3096</v>
      </c>
      <c r="G4987" s="3">
        <v>47208</v>
      </c>
      <c r="H4987">
        <v>36</v>
      </c>
      <c r="I4987">
        <v>94</v>
      </c>
      <c r="J4987">
        <v>20</v>
      </c>
      <c r="K4987" s="4">
        <v>83000.399999999994</v>
      </c>
      <c r="L4987" s="4">
        <v>123.28571428571429</v>
      </c>
      <c r="M4987" s="4">
        <v>0.16222479721900346</v>
      </c>
      <c r="N4987" t="s">
        <v>25</v>
      </c>
      <c r="O4987" t="str">
        <f t="shared" si="770"/>
        <v>Low</v>
      </c>
      <c r="P4987" t="str">
        <f t="shared" si="771"/>
        <v>Low</v>
      </c>
      <c r="Q4987" t="str">
        <f t="shared" si="772"/>
        <v>Low</v>
      </c>
      <c r="R4987" t="s">
        <v>3310</v>
      </c>
      <c r="S4987" s="4">
        <f t="shared" ca="1" si="773"/>
        <v>1011</v>
      </c>
      <c r="T4987">
        <f t="shared" si="774"/>
        <v>1</v>
      </c>
      <c r="U4987">
        <f t="shared" si="775"/>
        <v>1</v>
      </c>
      <c r="V4987">
        <f t="shared" si="776"/>
        <v>1</v>
      </c>
      <c r="W4987">
        <f t="shared" si="777"/>
        <v>2</v>
      </c>
      <c r="X4987">
        <f t="shared" si="778"/>
        <v>1.0999999999999999</v>
      </c>
      <c r="Y4987" t="str">
        <f t="shared" si="779"/>
        <v>Healthy</v>
      </c>
    </row>
    <row r="4988" spans="1:25" x14ac:dyDescent="0.35">
      <c r="A4988" t="s">
        <v>71</v>
      </c>
      <c r="B4988" t="s">
        <v>72</v>
      </c>
      <c r="C4988" t="s">
        <v>174</v>
      </c>
      <c r="D4988" t="s">
        <v>551</v>
      </c>
      <c r="E4988">
        <v>80887728</v>
      </c>
      <c r="F4988" t="s">
        <v>3096</v>
      </c>
      <c r="G4988" s="3">
        <v>47173</v>
      </c>
      <c r="H4988">
        <v>36</v>
      </c>
      <c r="I4988">
        <v>91</v>
      </c>
      <c r="J4988">
        <v>10</v>
      </c>
      <c r="K4988" s="4">
        <v>41500.199999999997</v>
      </c>
      <c r="L4988" s="4">
        <v>123.28571428571429</v>
      </c>
      <c r="M4988" s="4">
        <v>8.1112398609501729E-2</v>
      </c>
      <c r="N4988" t="s">
        <v>25</v>
      </c>
      <c r="O4988" t="str">
        <f t="shared" si="770"/>
        <v>Low</v>
      </c>
      <c r="P4988" t="str">
        <f t="shared" si="771"/>
        <v>Low</v>
      </c>
      <c r="Q4988" t="str">
        <f t="shared" si="772"/>
        <v>Low</v>
      </c>
      <c r="R4988" t="s">
        <v>3317</v>
      </c>
      <c r="S4988" s="4">
        <f t="shared" ca="1" si="773"/>
        <v>976</v>
      </c>
      <c r="T4988">
        <f t="shared" si="774"/>
        <v>1</v>
      </c>
      <c r="U4988">
        <f t="shared" si="775"/>
        <v>1</v>
      </c>
      <c r="V4988">
        <f t="shared" si="776"/>
        <v>1</v>
      </c>
      <c r="W4988">
        <f t="shared" si="777"/>
        <v>1</v>
      </c>
      <c r="X4988">
        <f t="shared" si="778"/>
        <v>0.99999999999999989</v>
      </c>
      <c r="Y4988" t="str">
        <f t="shared" si="779"/>
        <v>Healthy</v>
      </c>
    </row>
    <row r="4989" spans="1:25" x14ac:dyDescent="0.35">
      <c r="A4989" t="s">
        <v>179</v>
      </c>
      <c r="B4989" t="s">
        <v>180</v>
      </c>
      <c r="C4989" t="s">
        <v>181</v>
      </c>
      <c r="D4989" t="s">
        <v>3097</v>
      </c>
      <c r="E4989">
        <v>80857525</v>
      </c>
      <c r="F4989" t="s">
        <v>3098</v>
      </c>
      <c r="G4989" s="3">
        <v>46426</v>
      </c>
      <c r="H4989">
        <v>16</v>
      </c>
      <c r="I4989">
        <v>49</v>
      </c>
      <c r="J4989">
        <v>50</v>
      </c>
      <c r="K4989" s="4">
        <v>4400</v>
      </c>
      <c r="L4989" s="4">
        <v>1306.5714285714287</v>
      </c>
      <c r="M4989" s="4">
        <v>3.8268095342226104E-2</v>
      </c>
      <c r="N4989" t="s">
        <v>25</v>
      </c>
      <c r="O4989" t="str">
        <f t="shared" si="770"/>
        <v>Low</v>
      </c>
      <c r="P4989" t="str">
        <f t="shared" si="771"/>
        <v>Low</v>
      </c>
      <c r="Q4989" t="str">
        <f t="shared" si="772"/>
        <v>Low</v>
      </c>
      <c r="R4989" t="s">
        <v>3317</v>
      </c>
      <c r="S4989" s="4">
        <f t="shared" ca="1" si="773"/>
        <v>229</v>
      </c>
      <c r="T4989">
        <f t="shared" si="774"/>
        <v>1</v>
      </c>
      <c r="U4989">
        <f t="shared" si="775"/>
        <v>1</v>
      </c>
      <c r="V4989">
        <f t="shared" si="776"/>
        <v>1</v>
      </c>
      <c r="W4989">
        <f t="shared" si="777"/>
        <v>1</v>
      </c>
      <c r="X4989">
        <f t="shared" si="778"/>
        <v>0.99999999999999989</v>
      </c>
      <c r="Y4989" t="str">
        <f t="shared" si="779"/>
        <v>Healthy</v>
      </c>
    </row>
    <row r="4990" spans="1:25" x14ac:dyDescent="0.35">
      <c r="A4990" t="s">
        <v>41</v>
      </c>
      <c r="B4990" t="s">
        <v>54</v>
      </c>
      <c r="C4990" t="s">
        <v>459</v>
      </c>
      <c r="D4990" t="s">
        <v>2437</v>
      </c>
      <c r="E4990">
        <v>80880915</v>
      </c>
      <c r="F4990" t="s">
        <v>3099</v>
      </c>
      <c r="G4990" s="3">
        <v>47167</v>
      </c>
      <c r="H4990">
        <v>36</v>
      </c>
      <c r="I4990">
        <v>90</v>
      </c>
      <c r="J4990">
        <v>34</v>
      </c>
      <c r="K4990" s="4">
        <v>2343.96</v>
      </c>
      <c r="L4990" s="4">
        <v>769.28571428571433</v>
      </c>
      <c r="M4990" s="4">
        <v>4.4196843082636952E-2</v>
      </c>
      <c r="N4990" t="s">
        <v>25</v>
      </c>
      <c r="O4990" t="str">
        <f t="shared" si="770"/>
        <v>Low</v>
      </c>
      <c r="P4990" t="str">
        <f t="shared" si="771"/>
        <v>Low</v>
      </c>
      <c r="Q4990" t="str">
        <f t="shared" si="772"/>
        <v>Low</v>
      </c>
      <c r="R4990" t="s">
        <v>3317</v>
      </c>
      <c r="S4990" s="4">
        <f t="shared" ca="1" si="773"/>
        <v>970</v>
      </c>
      <c r="T4990">
        <f t="shared" si="774"/>
        <v>1</v>
      </c>
      <c r="U4990">
        <f t="shared" si="775"/>
        <v>1</v>
      </c>
      <c r="V4990">
        <f t="shared" si="776"/>
        <v>1</v>
      </c>
      <c r="W4990">
        <f t="shared" si="777"/>
        <v>1</v>
      </c>
      <c r="X4990">
        <f t="shared" si="778"/>
        <v>0.99999999999999989</v>
      </c>
      <c r="Y4990" t="str">
        <f t="shared" si="779"/>
        <v>Healthy</v>
      </c>
    </row>
    <row r="4991" spans="1:25" x14ac:dyDescent="0.35">
      <c r="A4991" t="s">
        <v>179</v>
      </c>
      <c r="B4991" t="s">
        <v>180</v>
      </c>
      <c r="C4991" t="s">
        <v>181</v>
      </c>
      <c r="D4991" t="s">
        <v>3097</v>
      </c>
      <c r="E4991">
        <v>80857525</v>
      </c>
      <c r="F4991" t="s">
        <v>3098</v>
      </c>
      <c r="G4991" s="3">
        <v>46427</v>
      </c>
      <c r="H4991">
        <v>16</v>
      </c>
      <c r="I4991">
        <v>49</v>
      </c>
      <c r="J4991">
        <v>24</v>
      </c>
      <c r="K4991" s="4">
        <v>2112</v>
      </c>
      <c r="L4991" s="4">
        <v>1306.5714285714287</v>
      </c>
      <c r="M4991" s="4">
        <v>1.8368685764268533E-2</v>
      </c>
      <c r="N4991" t="s">
        <v>25</v>
      </c>
      <c r="O4991" t="str">
        <f t="shared" si="770"/>
        <v>Low</v>
      </c>
      <c r="P4991" t="str">
        <f t="shared" si="771"/>
        <v>Low</v>
      </c>
      <c r="Q4991" t="str">
        <f t="shared" si="772"/>
        <v>Low</v>
      </c>
      <c r="R4991" t="s">
        <v>3317</v>
      </c>
      <c r="S4991" s="4">
        <f t="shared" ca="1" si="773"/>
        <v>230</v>
      </c>
      <c r="T4991">
        <f t="shared" si="774"/>
        <v>1</v>
      </c>
      <c r="U4991">
        <f t="shared" si="775"/>
        <v>1</v>
      </c>
      <c r="V4991">
        <f t="shared" si="776"/>
        <v>1</v>
      </c>
      <c r="W4991">
        <f t="shared" si="777"/>
        <v>1</v>
      </c>
      <c r="X4991">
        <f t="shared" si="778"/>
        <v>0.99999999999999989</v>
      </c>
      <c r="Y4991" t="str">
        <f t="shared" si="779"/>
        <v>Healthy</v>
      </c>
    </row>
    <row r="4992" spans="1:25" x14ac:dyDescent="0.35">
      <c r="A4992" t="s">
        <v>179</v>
      </c>
      <c r="B4992" t="s">
        <v>180</v>
      </c>
      <c r="C4992" t="s">
        <v>181</v>
      </c>
      <c r="D4992" t="s">
        <v>3097</v>
      </c>
      <c r="E4992">
        <v>80857525</v>
      </c>
      <c r="F4992" t="s">
        <v>3098</v>
      </c>
      <c r="G4992" s="3">
        <v>46428</v>
      </c>
      <c r="H4992">
        <v>16</v>
      </c>
      <c r="I4992">
        <v>49</v>
      </c>
      <c r="J4992">
        <v>24</v>
      </c>
      <c r="K4992" s="4">
        <v>2112</v>
      </c>
      <c r="L4992" s="4">
        <v>1306.5714285714287</v>
      </c>
      <c r="M4992" s="4">
        <v>1.8368685764268533E-2</v>
      </c>
      <c r="N4992" t="s">
        <v>25</v>
      </c>
      <c r="O4992" t="str">
        <f t="shared" si="770"/>
        <v>Low</v>
      </c>
      <c r="P4992" t="str">
        <f t="shared" si="771"/>
        <v>Low</v>
      </c>
      <c r="Q4992" t="str">
        <f t="shared" si="772"/>
        <v>Low</v>
      </c>
      <c r="R4992" t="s">
        <v>3317</v>
      </c>
      <c r="S4992" s="4">
        <f t="shared" ca="1" si="773"/>
        <v>231</v>
      </c>
      <c r="T4992">
        <f t="shared" si="774"/>
        <v>1</v>
      </c>
      <c r="U4992">
        <f t="shared" si="775"/>
        <v>1</v>
      </c>
      <c r="V4992">
        <f t="shared" si="776"/>
        <v>1</v>
      </c>
      <c r="W4992">
        <f t="shared" si="777"/>
        <v>1</v>
      </c>
      <c r="X4992">
        <f t="shared" si="778"/>
        <v>0.99999999999999989</v>
      </c>
      <c r="Y4992" t="str">
        <f t="shared" si="779"/>
        <v>Healthy</v>
      </c>
    </row>
    <row r="4993" spans="1:25" x14ac:dyDescent="0.35">
      <c r="A4993" t="s">
        <v>14</v>
      </c>
      <c r="B4993" t="s">
        <v>258</v>
      </c>
      <c r="C4993" t="s">
        <v>929</v>
      </c>
      <c r="D4993" t="s">
        <v>3100</v>
      </c>
      <c r="E4993">
        <v>80864298</v>
      </c>
      <c r="F4993" t="s">
        <v>3101</v>
      </c>
      <c r="G4993" s="3">
        <v>47955</v>
      </c>
      <c r="H4993">
        <v>60</v>
      </c>
      <c r="I4993">
        <v>98</v>
      </c>
      <c r="J4993">
        <v>293</v>
      </c>
      <c r="K4993" s="4">
        <v>65658.37</v>
      </c>
      <c r="L4993" s="4">
        <v>8236.4285714285706</v>
      </c>
      <c r="M4993" s="4">
        <v>3.5573670973896458E-2</v>
      </c>
      <c r="N4993" t="s">
        <v>25</v>
      </c>
      <c r="O4993" t="str">
        <f t="shared" si="770"/>
        <v>Low</v>
      </c>
      <c r="P4993" t="str">
        <f t="shared" si="771"/>
        <v>Low</v>
      </c>
      <c r="Q4993" t="str">
        <f t="shared" si="772"/>
        <v>Low</v>
      </c>
      <c r="R4993" t="s">
        <v>3317</v>
      </c>
      <c r="S4993" s="4">
        <f t="shared" ca="1" si="773"/>
        <v>1758</v>
      </c>
      <c r="T4993">
        <f t="shared" si="774"/>
        <v>1</v>
      </c>
      <c r="U4993">
        <f t="shared" si="775"/>
        <v>1</v>
      </c>
      <c r="V4993">
        <f t="shared" si="776"/>
        <v>1</v>
      </c>
      <c r="W4993">
        <f t="shared" si="777"/>
        <v>1</v>
      </c>
      <c r="X4993">
        <f t="shared" si="778"/>
        <v>0.99999999999999989</v>
      </c>
      <c r="Y4993" t="str">
        <f t="shared" si="779"/>
        <v>Healthy</v>
      </c>
    </row>
    <row r="4994" spans="1:25" x14ac:dyDescent="0.35">
      <c r="A4994" t="s">
        <v>14</v>
      </c>
      <c r="B4994" t="s">
        <v>258</v>
      </c>
      <c r="C4994" t="s">
        <v>929</v>
      </c>
      <c r="D4994" t="s">
        <v>3100</v>
      </c>
      <c r="E4994">
        <v>80864298</v>
      </c>
      <c r="F4994" t="s">
        <v>3101</v>
      </c>
      <c r="G4994" s="3">
        <v>47938</v>
      </c>
      <c r="H4994">
        <v>60</v>
      </c>
      <c r="I4994">
        <v>97</v>
      </c>
      <c r="J4994">
        <v>111</v>
      </c>
      <c r="K4994" s="4">
        <v>24873.99</v>
      </c>
      <c r="L4994" s="4">
        <v>8236.4285714285706</v>
      </c>
      <c r="M4994" s="4">
        <v>1.3476714942329375E-2</v>
      </c>
      <c r="N4994" t="s">
        <v>25</v>
      </c>
      <c r="O4994" t="str">
        <f t="shared" si="770"/>
        <v>Low</v>
      </c>
      <c r="P4994" t="str">
        <f t="shared" si="771"/>
        <v>Low</v>
      </c>
      <c r="Q4994" t="str">
        <f t="shared" si="772"/>
        <v>Low</v>
      </c>
      <c r="R4994" t="s">
        <v>3317</v>
      </c>
      <c r="S4994" s="4">
        <f t="shared" ca="1" si="773"/>
        <v>1741</v>
      </c>
      <c r="T4994">
        <f t="shared" si="774"/>
        <v>1</v>
      </c>
      <c r="U4994">
        <f t="shared" si="775"/>
        <v>1</v>
      </c>
      <c r="V4994">
        <f t="shared" si="776"/>
        <v>1</v>
      </c>
      <c r="W4994">
        <f t="shared" si="777"/>
        <v>1</v>
      </c>
      <c r="X4994">
        <f t="shared" si="778"/>
        <v>0.99999999999999989</v>
      </c>
      <c r="Y4994" t="str">
        <f t="shared" si="779"/>
        <v>Healthy</v>
      </c>
    </row>
    <row r="4995" spans="1:25" x14ac:dyDescent="0.35">
      <c r="A4995" t="s">
        <v>179</v>
      </c>
      <c r="B4995" t="s">
        <v>223</v>
      </c>
      <c r="C4995" t="s">
        <v>357</v>
      </c>
      <c r="D4995" t="s">
        <v>2547</v>
      </c>
      <c r="E4995">
        <v>80882448</v>
      </c>
      <c r="F4995" t="s">
        <v>3102</v>
      </c>
      <c r="G4995" s="3">
        <v>46525</v>
      </c>
      <c r="H4995">
        <v>18</v>
      </c>
      <c r="I4995">
        <v>62</v>
      </c>
      <c r="J4995">
        <v>7</v>
      </c>
      <c r="K4995" s="4">
        <v>6937.56</v>
      </c>
      <c r="L4995" s="4">
        <v>108</v>
      </c>
      <c r="M4995" s="4">
        <v>6.4814814814814811E-2</v>
      </c>
      <c r="N4995" t="s">
        <v>25</v>
      </c>
      <c r="O4995" t="str">
        <f t="shared" ref="O4995:O5058" si="780">IF(I4995&lt;20,"High",IF(I4995&lt;40,"Medium","Low"))</f>
        <v>Low</v>
      </c>
      <c r="P4995" t="str">
        <f t="shared" ref="P4995:P5058" si="781">IF(M4995&gt;8,"High",IF(M4995&gt;4,"Medium","Low"))</f>
        <v>Low</v>
      </c>
      <c r="Q4995" t="str">
        <f t="shared" ref="Q4995:Q5058" si="782">IF(L4995&lt;5,"High",IF(L4995&lt;15,"Medium","Low"))</f>
        <v>Low</v>
      </c>
      <c r="R4995" t="s">
        <v>3317</v>
      </c>
      <c r="S4995" s="4">
        <f t="shared" ref="S4995:S5058" ca="1" si="783">G4995-TODAY()</f>
        <v>328</v>
      </c>
      <c r="T4995">
        <f t="shared" ref="T4995:T5058" si="784">IF(O4995="High",3,IF(O4995="Medium",2,1))</f>
        <v>1</v>
      </c>
      <c r="U4995">
        <f t="shared" ref="U4995:U5058" si="785">IF(P4995="High",3,IF(P4995="Medium",2,1))</f>
        <v>1</v>
      </c>
      <c r="V4995">
        <f t="shared" ref="V4995:V5058" si="786">IF(Q4995="High",3,IF(Q4995="Medium",2,1))</f>
        <v>1</v>
      </c>
      <c r="W4995">
        <f t="shared" ref="W4995:W5058" si="787">IF(R4995="High",3,IF(R4995="Medium",2,1))</f>
        <v>1</v>
      </c>
      <c r="X4995">
        <f t="shared" ref="X4995:X5058" si="788">(0.4*T4995)+(0.3*U4995)+(0.2*V4995)+(0.1*W4995)</f>
        <v>0.99999999999999989</v>
      </c>
      <c r="Y4995" t="str">
        <f t="shared" ref="Y4995:Y5058" si="789">IF(X4995&gt;=2.7,"Move Immediately",IF(X4995&gt;=2.2,"High Priority",IF(X4995&gt;=1.7,"Monitor","Healthy")))</f>
        <v>Healthy</v>
      </c>
    </row>
    <row r="4996" spans="1:25" x14ac:dyDescent="0.35">
      <c r="A4996" t="s">
        <v>179</v>
      </c>
      <c r="B4996" t="s">
        <v>223</v>
      </c>
      <c r="C4996" t="s">
        <v>357</v>
      </c>
      <c r="D4996" t="s">
        <v>2547</v>
      </c>
      <c r="E4996">
        <v>80882448</v>
      </c>
      <c r="F4996" t="s">
        <v>3102</v>
      </c>
      <c r="G4996" s="3">
        <v>46393</v>
      </c>
      <c r="H4996">
        <v>18</v>
      </c>
      <c r="I4996">
        <v>37</v>
      </c>
      <c r="J4996">
        <v>1</v>
      </c>
      <c r="K4996" s="4">
        <v>991.08</v>
      </c>
      <c r="L4996" s="4">
        <v>108</v>
      </c>
      <c r="M4996" s="4">
        <v>9.2592592592592587E-3</v>
      </c>
      <c r="N4996" t="s">
        <v>25</v>
      </c>
      <c r="O4996" t="str">
        <f t="shared" si="780"/>
        <v>Medium</v>
      </c>
      <c r="P4996" t="str">
        <f t="shared" si="781"/>
        <v>Low</v>
      </c>
      <c r="Q4996" t="str">
        <f t="shared" si="782"/>
        <v>Low</v>
      </c>
      <c r="R4996" t="s">
        <v>3317</v>
      </c>
      <c r="S4996" s="4">
        <f t="shared" ca="1" si="783"/>
        <v>196</v>
      </c>
      <c r="T4996">
        <f t="shared" si="784"/>
        <v>2</v>
      </c>
      <c r="U4996">
        <f t="shared" si="785"/>
        <v>1</v>
      </c>
      <c r="V4996">
        <f t="shared" si="786"/>
        <v>1</v>
      </c>
      <c r="W4996">
        <f t="shared" si="787"/>
        <v>1</v>
      </c>
      <c r="X4996">
        <f t="shared" si="788"/>
        <v>1.4000000000000001</v>
      </c>
      <c r="Y4996" t="str">
        <f t="shared" si="789"/>
        <v>Healthy</v>
      </c>
    </row>
    <row r="4997" spans="1:25" x14ac:dyDescent="0.35">
      <c r="A4997" t="s">
        <v>179</v>
      </c>
      <c r="B4997" t="s">
        <v>223</v>
      </c>
      <c r="C4997" t="s">
        <v>357</v>
      </c>
      <c r="D4997" t="s">
        <v>2547</v>
      </c>
      <c r="E4997">
        <v>80882448</v>
      </c>
      <c r="F4997" t="s">
        <v>3102</v>
      </c>
      <c r="G4997" s="3">
        <v>46431</v>
      </c>
      <c r="H4997">
        <v>18</v>
      </c>
      <c r="I4997">
        <v>44</v>
      </c>
      <c r="J4997">
        <v>7</v>
      </c>
      <c r="K4997" s="4">
        <v>6937.56</v>
      </c>
      <c r="L4997" s="4">
        <v>108</v>
      </c>
      <c r="M4997" s="4">
        <v>6.4814814814814811E-2</v>
      </c>
      <c r="N4997" t="s">
        <v>25</v>
      </c>
      <c r="O4997" t="str">
        <f t="shared" si="780"/>
        <v>Low</v>
      </c>
      <c r="P4997" t="str">
        <f t="shared" si="781"/>
        <v>Low</v>
      </c>
      <c r="Q4997" t="str">
        <f t="shared" si="782"/>
        <v>Low</v>
      </c>
      <c r="R4997" t="s">
        <v>3317</v>
      </c>
      <c r="S4997" s="4">
        <f t="shared" ca="1" si="783"/>
        <v>234</v>
      </c>
      <c r="T4997">
        <f t="shared" si="784"/>
        <v>1</v>
      </c>
      <c r="U4997">
        <f t="shared" si="785"/>
        <v>1</v>
      </c>
      <c r="V4997">
        <f t="shared" si="786"/>
        <v>1</v>
      </c>
      <c r="W4997">
        <f t="shared" si="787"/>
        <v>1</v>
      </c>
      <c r="X4997">
        <f t="shared" si="788"/>
        <v>0.99999999999999989</v>
      </c>
      <c r="Y4997" t="str">
        <f t="shared" si="789"/>
        <v>Healthy</v>
      </c>
    </row>
    <row r="4998" spans="1:25" x14ac:dyDescent="0.35">
      <c r="A4998" t="s">
        <v>179</v>
      </c>
      <c r="B4998" t="s">
        <v>223</v>
      </c>
      <c r="C4998" t="s">
        <v>357</v>
      </c>
      <c r="D4998" t="s">
        <v>2547</v>
      </c>
      <c r="E4998">
        <v>80882448</v>
      </c>
      <c r="F4998" t="s">
        <v>3102</v>
      </c>
      <c r="G4998" s="3">
        <v>46422</v>
      </c>
      <c r="H4998">
        <v>18</v>
      </c>
      <c r="I4998">
        <v>43</v>
      </c>
      <c r="J4998">
        <v>3</v>
      </c>
      <c r="K4998" s="4">
        <v>2973.24</v>
      </c>
      <c r="L4998" s="4">
        <v>108</v>
      </c>
      <c r="M4998" s="4">
        <v>2.7777777777777776E-2</v>
      </c>
      <c r="N4998" t="s">
        <v>25</v>
      </c>
      <c r="O4998" t="str">
        <f t="shared" si="780"/>
        <v>Low</v>
      </c>
      <c r="P4998" t="str">
        <f t="shared" si="781"/>
        <v>Low</v>
      </c>
      <c r="Q4998" t="str">
        <f t="shared" si="782"/>
        <v>Low</v>
      </c>
      <c r="R4998" t="s">
        <v>3317</v>
      </c>
      <c r="S4998" s="4">
        <f t="shared" ca="1" si="783"/>
        <v>225</v>
      </c>
      <c r="T4998">
        <f t="shared" si="784"/>
        <v>1</v>
      </c>
      <c r="U4998">
        <f t="shared" si="785"/>
        <v>1</v>
      </c>
      <c r="V4998">
        <f t="shared" si="786"/>
        <v>1</v>
      </c>
      <c r="W4998">
        <f t="shared" si="787"/>
        <v>1</v>
      </c>
      <c r="X4998">
        <f t="shared" si="788"/>
        <v>0.99999999999999989</v>
      </c>
      <c r="Y4998" t="str">
        <f t="shared" si="789"/>
        <v>Healthy</v>
      </c>
    </row>
    <row r="4999" spans="1:25" x14ac:dyDescent="0.35">
      <c r="A4999" t="s">
        <v>179</v>
      </c>
      <c r="B4999" t="s">
        <v>180</v>
      </c>
      <c r="C4999" t="s">
        <v>181</v>
      </c>
      <c r="D4999" t="s">
        <v>915</v>
      </c>
      <c r="E4999">
        <v>80879964</v>
      </c>
      <c r="F4999" t="s">
        <v>3103</v>
      </c>
      <c r="G4999" s="3">
        <v>46398</v>
      </c>
      <c r="H4999">
        <v>16</v>
      </c>
      <c r="I4999">
        <v>43</v>
      </c>
      <c r="J4999">
        <v>4</v>
      </c>
      <c r="K4999" s="4">
        <v>2435.48</v>
      </c>
      <c r="L4999" s="4">
        <v>1224.5714285714287</v>
      </c>
      <c r="M4999" s="4">
        <v>3.2664489034064394E-3</v>
      </c>
      <c r="N4999" t="s">
        <v>25</v>
      </c>
      <c r="O4999" t="str">
        <f t="shared" si="780"/>
        <v>Low</v>
      </c>
      <c r="P4999" t="str">
        <f t="shared" si="781"/>
        <v>Low</v>
      </c>
      <c r="Q4999" t="str">
        <f t="shared" si="782"/>
        <v>Low</v>
      </c>
      <c r="R4999" t="s">
        <v>3317</v>
      </c>
      <c r="S4999" s="4">
        <f t="shared" ca="1" si="783"/>
        <v>201</v>
      </c>
      <c r="T4999">
        <f t="shared" si="784"/>
        <v>1</v>
      </c>
      <c r="U4999">
        <f t="shared" si="785"/>
        <v>1</v>
      </c>
      <c r="V4999">
        <f t="shared" si="786"/>
        <v>1</v>
      </c>
      <c r="W4999">
        <f t="shared" si="787"/>
        <v>1</v>
      </c>
      <c r="X4999">
        <f t="shared" si="788"/>
        <v>0.99999999999999989</v>
      </c>
      <c r="Y4999" t="str">
        <f t="shared" si="789"/>
        <v>Healthy</v>
      </c>
    </row>
    <row r="5000" spans="1:25" x14ac:dyDescent="0.35">
      <c r="A5000" t="s">
        <v>14</v>
      </c>
      <c r="B5000" t="s">
        <v>15</v>
      </c>
      <c r="C5000" t="s">
        <v>34</v>
      </c>
      <c r="D5000" t="s">
        <v>3104</v>
      </c>
      <c r="E5000">
        <v>80870938</v>
      </c>
      <c r="F5000" t="s">
        <v>3105</v>
      </c>
      <c r="G5000" s="3">
        <v>47815</v>
      </c>
      <c r="H5000">
        <v>60</v>
      </c>
      <c r="I5000">
        <v>90</v>
      </c>
      <c r="J5000">
        <v>331</v>
      </c>
      <c r="K5000" s="4">
        <v>89366.69</v>
      </c>
      <c r="L5000" s="4">
        <v>4.5714285714285712</v>
      </c>
      <c r="M5000" s="4">
        <v>72.40625</v>
      </c>
      <c r="N5000" t="s">
        <v>19</v>
      </c>
      <c r="O5000" t="str">
        <f t="shared" si="780"/>
        <v>Low</v>
      </c>
      <c r="P5000" t="str">
        <f t="shared" si="781"/>
        <v>High</v>
      </c>
      <c r="Q5000" t="str">
        <f t="shared" si="782"/>
        <v>High</v>
      </c>
      <c r="R5000" t="s">
        <v>3310</v>
      </c>
      <c r="S5000" s="4">
        <f t="shared" ca="1" si="783"/>
        <v>1618</v>
      </c>
      <c r="T5000">
        <f t="shared" si="784"/>
        <v>1</v>
      </c>
      <c r="U5000">
        <f t="shared" si="785"/>
        <v>3</v>
      </c>
      <c r="V5000">
        <f t="shared" si="786"/>
        <v>3</v>
      </c>
      <c r="W5000">
        <f t="shared" si="787"/>
        <v>2</v>
      </c>
      <c r="X5000">
        <f t="shared" si="788"/>
        <v>2.1</v>
      </c>
      <c r="Y5000" t="str">
        <f t="shared" si="789"/>
        <v>Monitor</v>
      </c>
    </row>
    <row r="5001" spans="1:25" x14ac:dyDescent="0.35">
      <c r="A5001" t="s">
        <v>41</v>
      </c>
      <c r="B5001" t="s">
        <v>54</v>
      </c>
      <c r="C5001" t="s">
        <v>411</v>
      </c>
      <c r="D5001" t="s">
        <v>1254</v>
      </c>
      <c r="E5001">
        <v>80858801</v>
      </c>
      <c r="F5001" t="s">
        <v>3106</v>
      </c>
      <c r="G5001" s="3">
        <v>46881</v>
      </c>
      <c r="H5001">
        <v>36</v>
      </c>
      <c r="I5001">
        <v>64</v>
      </c>
      <c r="J5001">
        <v>27</v>
      </c>
      <c r="K5001" s="4">
        <v>2028.51</v>
      </c>
      <c r="L5001" s="4">
        <v>37.285714285714285</v>
      </c>
      <c r="M5001" s="4">
        <v>0.72413793103448276</v>
      </c>
      <c r="N5001" t="s">
        <v>25</v>
      </c>
      <c r="O5001" t="str">
        <f t="shared" si="780"/>
        <v>Low</v>
      </c>
      <c r="P5001" t="str">
        <f t="shared" si="781"/>
        <v>Low</v>
      </c>
      <c r="Q5001" t="str">
        <f t="shared" si="782"/>
        <v>Low</v>
      </c>
      <c r="R5001" t="s">
        <v>3317</v>
      </c>
      <c r="S5001" s="4">
        <f t="shared" ca="1" si="783"/>
        <v>684</v>
      </c>
      <c r="T5001">
        <f t="shared" si="784"/>
        <v>1</v>
      </c>
      <c r="U5001">
        <f t="shared" si="785"/>
        <v>1</v>
      </c>
      <c r="V5001">
        <f t="shared" si="786"/>
        <v>1</v>
      </c>
      <c r="W5001">
        <f t="shared" si="787"/>
        <v>1</v>
      </c>
      <c r="X5001">
        <f t="shared" si="788"/>
        <v>0.99999999999999989</v>
      </c>
      <c r="Y5001" t="str">
        <f t="shared" si="789"/>
        <v>Healthy</v>
      </c>
    </row>
    <row r="5002" spans="1:25" x14ac:dyDescent="0.35">
      <c r="A5002" t="s">
        <v>179</v>
      </c>
      <c r="B5002" t="s">
        <v>180</v>
      </c>
      <c r="C5002" t="s">
        <v>181</v>
      </c>
      <c r="D5002" t="s">
        <v>1907</v>
      </c>
      <c r="E5002">
        <v>80891525</v>
      </c>
      <c r="F5002" t="s">
        <v>3107</v>
      </c>
      <c r="G5002" s="3">
        <v>46409</v>
      </c>
      <c r="H5002">
        <v>16</v>
      </c>
      <c r="I5002">
        <v>45</v>
      </c>
      <c r="J5002">
        <v>17</v>
      </c>
      <c r="K5002" s="4">
        <v>19114.97</v>
      </c>
      <c r="L5002" s="4">
        <v>186.42857142857142</v>
      </c>
      <c r="M5002" s="4">
        <v>9.1187739463601536E-2</v>
      </c>
      <c r="N5002" t="s">
        <v>25</v>
      </c>
      <c r="O5002" t="str">
        <f t="shared" si="780"/>
        <v>Low</v>
      </c>
      <c r="P5002" t="str">
        <f t="shared" si="781"/>
        <v>Low</v>
      </c>
      <c r="Q5002" t="str">
        <f t="shared" si="782"/>
        <v>Low</v>
      </c>
      <c r="R5002" t="s">
        <v>3317</v>
      </c>
      <c r="S5002" s="4">
        <f t="shared" ca="1" si="783"/>
        <v>212</v>
      </c>
      <c r="T5002">
        <f t="shared" si="784"/>
        <v>1</v>
      </c>
      <c r="U5002">
        <f t="shared" si="785"/>
        <v>1</v>
      </c>
      <c r="V5002">
        <f t="shared" si="786"/>
        <v>1</v>
      </c>
      <c r="W5002">
        <f t="shared" si="787"/>
        <v>1</v>
      </c>
      <c r="X5002">
        <f t="shared" si="788"/>
        <v>0.99999999999999989</v>
      </c>
      <c r="Y5002" t="str">
        <f t="shared" si="789"/>
        <v>Healthy</v>
      </c>
    </row>
    <row r="5003" spans="1:25" x14ac:dyDescent="0.35">
      <c r="A5003" t="s">
        <v>179</v>
      </c>
      <c r="B5003" t="s">
        <v>180</v>
      </c>
      <c r="C5003" t="s">
        <v>181</v>
      </c>
      <c r="D5003" t="s">
        <v>1907</v>
      </c>
      <c r="E5003">
        <v>80891525</v>
      </c>
      <c r="F5003" t="s">
        <v>3107</v>
      </c>
      <c r="G5003" s="3">
        <v>46400</v>
      </c>
      <c r="H5003">
        <v>16</v>
      </c>
      <c r="I5003">
        <v>43</v>
      </c>
      <c r="J5003">
        <v>5</v>
      </c>
      <c r="K5003" s="4">
        <v>5622.05</v>
      </c>
      <c r="L5003" s="4">
        <v>186.42857142857142</v>
      </c>
      <c r="M5003" s="4">
        <v>2.681992337164751E-2</v>
      </c>
      <c r="N5003" t="s">
        <v>25</v>
      </c>
      <c r="O5003" t="str">
        <f t="shared" si="780"/>
        <v>Low</v>
      </c>
      <c r="P5003" t="str">
        <f t="shared" si="781"/>
        <v>Low</v>
      </c>
      <c r="Q5003" t="str">
        <f t="shared" si="782"/>
        <v>Low</v>
      </c>
      <c r="R5003" t="s">
        <v>3317</v>
      </c>
      <c r="S5003" s="4">
        <f t="shared" ca="1" si="783"/>
        <v>203</v>
      </c>
      <c r="T5003">
        <f t="shared" si="784"/>
        <v>1</v>
      </c>
      <c r="U5003">
        <f t="shared" si="785"/>
        <v>1</v>
      </c>
      <c r="V5003">
        <f t="shared" si="786"/>
        <v>1</v>
      </c>
      <c r="W5003">
        <f t="shared" si="787"/>
        <v>1</v>
      </c>
      <c r="X5003">
        <f t="shared" si="788"/>
        <v>0.99999999999999989</v>
      </c>
      <c r="Y5003" t="str">
        <f t="shared" si="789"/>
        <v>Healthy</v>
      </c>
    </row>
    <row r="5004" spans="1:25" x14ac:dyDescent="0.35">
      <c r="A5004" t="s">
        <v>179</v>
      </c>
      <c r="B5004" t="s">
        <v>180</v>
      </c>
      <c r="C5004" t="s">
        <v>181</v>
      </c>
      <c r="D5004" t="s">
        <v>1907</v>
      </c>
      <c r="E5004">
        <v>80891525</v>
      </c>
      <c r="F5004" t="s">
        <v>3107</v>
      </c>
      <c r="G5004" s="3">
        <v>46424</v>
      </c>
      <c r="H5004">
        <v>16</v>
      </c>
      <c r="I5004">
        <v>48</v>
      </c>
      <c r="J5004">
        <v>5</v>
      </c>
      <c r="K5004" s="4">
        <v>5622.05</v>
      </c>
      <c r="L5004" s="4">
        <v>186.42857142857142</v>
      </c>
      <c r="M5004" s="4">
        <v>2.681992337164751E-2</v>
      </c>
      <c r="N5004" t="s">
        <v>25</v>
      </c>
      <c r="O5004" t="str">
        <f t="shared" si="780"/>
        <v>Low</v>
      </c>
      <c r="P5004" t="str">
        <f t="shared" si="781"/>
        <v>Low</v>
      </c>
      <c r="Q5004" t="str">
        <f t="shared" si="782"/>
        <v>Low</v>
      </c>
      <c r="R5004" t="s">
        <v>3317</v>
      </c>
      <c r="S5004" s="4">
        <f t="shared" ca="1" si="783"/>
        <v>227</v>
      </c>
      <c r="T5004">
        <f t="shared" si="784"/>
        <v>1</v>
      </c>
      <c r="U5004">
        <f t="shared" si="785"/>
        <v>1</v>
      </c>
      <c r="V5004">
        <f t="shared" si="786"/>
        <v>1</v>
      </c>
      <c r="W5004">
        <f t="shared" si="787"/>
        <v>1</v>
      </c>
      <c r="X5004">
        <f t="shared" si="788"/>
        <v>0.99999999999999989</v>
      </c>
      <c r="Y5004" t="str">
        <f t="shared" si="789"/>
        <v>Healthy</v>
      </c>
    </row>
    <row r="5005" spans="1:25" x14ac:dyDescent="0.35">
      <c r="A5005" t="s">
        <v>179</v>
      </c>
      <c r="B5005" t="s">
        <v>180</v>
      </c>
      <c r="C5005" t="s">
        <v>181</v>
      </c>
      <c r="D5005" t="s">
        <v>3108</v>
      </c>
      <c r="E5005">
        <v>80891526</v>
      </c>
      <c r="F5005" t="s">
        <v>3109</v>
      </c>
      <c r="G5005" s="3">
        <v>46400</v>
      </c>
      <c r="H5005">
        <v>16</v>
      </c>
      <c r="I5005">
        <v>43</v>
      </c>
      <c r="J5005">
        <v>23</v>
      </c>
      <c r="K5005" s="4">
        <v>21976.959999999999</v>
      </c>
      <c r="L5005" s="4">
        <f>0</f>
        <v>0</v>
      </c>
      <c r="M5005" s="4">
        <f>999</f>
        <v>999</v>
      </c>
      <c r="N5005" t="s">
        <v>19</v>
      </c>
      <c r="O5005" t="str">
        <f t="shared" si="780"/>
        <v>Low</v>
      </c>
      <c r="P5005" t="str">
        <f t="shared" si="781"/>
        <v>High</v>
      </c>
      <c r="Q5005" t="str">
        <f t="shared" si="782"/>
        <v>High</v>
      </c>
      <c r="R5005" t="s">
        <v>3317</v>
      </c>
      <c r="S5005" s="4">
        <f t="shared" ca="1" si="783"/>
        <v>203</v>
      </c>
      <c r="T5005">
        <f t="shared" si="784"/>
        <v>1</v>
      </c>
      <c r="U5005">
        <f t="shared" si="785"/>
        <v>3</v>
      </c>
      <c r="V5005">
        <f t="shared" si="786"/>
        <v>3</v>
      </c>
      <c r="W5005">
        <f t="shared" si="787"/>
        <v>1</v>
      </c>
      <c r="X5005">
        <f t="shared" si="788"/>
        <v>2</v>
      </c>
      <c r="Y5005" t="str">
        <f t="shared" si="789"/>
        <v>Monitor</v>
      </c>
    </row>
    <row r="5006" spans="1:25" x14ac:dyDescent="0.35">
      <c r="A5006" t="s">
        <v>179</v>
      </c>
      <c r="B5006" t="s">
        <v>180</v>
      </c>
      <c r="C5006" t="s">
        <v>181</v>
      </c>
      <c r="D5006" t="s">
        <v>3110</v>
      </c>
      <c r="E5006">
        <v>80861878</v>
      </c>
      <c r="F5006" t="s">
        <v>3111</v>
      </c>
      <c r="G5006" s="3">
        <v>46649</v>
      </c>
      <c r="H5006">
        <v>16</v>
      </c>
      <c r="I5006">
        <v>95</v>
      </c>
      <c r="J5006">
        <v>300</v>
      </c>
      <c r="K5006" s="4">
        <v>145329</v>
      </c>
      <c r="L5006" s="4">
        <v>2929.5714285714284</v>
      </c>
      <c r="M5006" s="4">
        <v>0.10240405715121666</v>
      </c>
      <c r="N5006" t="s">
        <v>25</v>
      </c>
      <c r="O5006" t="str">
        <f t="shared" si="780"/>
        <v>Low</v>
      </c>
      <c r="P5006" t="str">
        <f t="shared" si="781"/>
        <v>Low</v>
      </c>
      <c r="Q5006" t="str">
        <f t="shared" si="782"/>
        <v>Low</v>
      </c>
      <c r="R5006" t="s">
        <v>3309</v>
      </c>
      <c r="S5006" s="4">
        <f t="shared" ca="1" si="783"/>
        <v>452</v>
      </c>
      <c r="T5006">
        <f t="shared" si="784"/>
        <v>1</v>
      </c>
      <c r="U5006">
        <f t="shared" si="785"/>
        <v>1</v>
      </c>
      <c r="V5006">
        <f t="shared" si="786"/>
        <v>1</v>
      </c>
      <c r="W5006">
        <f t="shared" si="787"/>
        <v>3</v>
      </c>
      <c r="X5006">
        <f t="shared" si="788"/>
        <v>1.2</v>
      </c>
      <c r="Y5006" t="str">
        <f t="shared" si="789"/>
        <v>Healthy</v>
      </c>
    </row>
    <row r="5007" spans="1:25" x14ac:dyDescent="0.35">
      <c r="A5007" t="s">
        <v>179</v>
      </c>
      <c r="B5007" t="s">
        <v>180</v>
      </c>
      <c r="C5007" t="s">
        <v>181</v>
      </c>
      <c r="D5007" t="s">
        <v>3110</v>
      </c>
      <c r="E5007">
        <v>80861878</v>
      </c>
      <c r="F5007" t="s">
        <v>3111</v>
      </c>
      <c r="G5007" s="3">
        <v>46644</v>
      </c>
      <c r="H5007">
        <v>16</v>
      </c>
      <c r="I5007">
        <v>94</v>
      </c>
      <c r="J5007">
        <v>143</v>
      </c>
      <c r="K5007" s="4">
        <v>69273.490000000005</v>
      </c>
      <c r="L5007" s="4">
        <v>2929.5714285714284</v>
      </c>
      <c r="M5007" s="4">
        <v>4.8812600575413277E-2</v>
      </c>
      <c r="N5007" t="s">
        <v>25</v>
      </c>
      <c r="O5007" t="str">
        <f t="shared" si="780"/>
        <v>Low</v>
      </c>
      <c r="P5007" t="str">
        <f t="shared" si="781"/>
        <v>Low</v>
      </c>
      <c r="Q5007" t="str">
        <f t="shared" si="782"/>
        <v>Low</v>
      </c>
      <c r="R5007" t="s">
        <v>3310</v>
      </c>
      <c r="S5007" s="4">
        <f t="shared" ca="1" si="783"/>
        <v>447</v>
      </c>
      <c r="T5007">
        <f t="shared" si="784"/>
        <v>1</v>
      </c>
      <c r="U5007">
        <f t="shared" si="785"/>
        <v>1</v>
      </c>
      <c r="V5007">
        <f t="shared" si="786"/>
        <v>1</v>
      </c>
      <c r="W5007">
        <f t="shared" si="787"/>
        <v>2</v>
      </c>
      <c r="X5007">
        <f t="shared" si="788"/>
        <v>1.0999999999999999</v>
      </c>
      <c r="Y5007" t="str">
        <f t="shared" si="789"/>
        <v>Healthy</v>
      </c>
    </row>
    <row r="5008" spans="1:25" x14ac:dyDescent="0.35">
      <c r="A5008" t="s">
        <v>71</v>
      </c>
      <c r="B5008" t="s">
        <v>72</v>
      </c>
      <c r="C5008" t="s">
        <v>3112</v>
      </c>
      <c r="D5008" t="s">
        <v>3113</v>
      </c>
      <c r="E5008">
        <v>82279371</v>
      </c>
      <c r="F5008" t="s">
        <v>3114</v>
      </c>
      <c r="G5008" s="3">
        <v>47020</v>
      </c>
      <c r="H5008">
        <v>36</v>
      </c>
      <c r="I5008">
        <v>77</v>
      </c>
      <c r="J5008">
        <v>288</v>
      </c>
      <c r="K5008" s="4">
        <v>5287.68</v>
      </c>
      <c r="L5008" s="4">
        <f>0</f>
        <v>0</v>
      </c>
      <c r="M5008" s="4">
        <f>999</f>
        <v>999</v>
      </c>
      <c r="N5008" t="s">
        <v>19</v>
      </c>
      <c r="O5008" t="str">
        <f t="shared" si="780"/>
        <v>Low</v>
      </c>
      <c r="P5008" t="str">
        <f t="shared" si="781"/>
        <v>High</v>
      </c>
      <c r="Q5008" t="str">
        <f t="shared" si="782"/>
        <v>High</v>
      </c>
      <c r="R5008" t="s">
        <v>3317</v>
      </c>
      <c r="S5008" s="4">
        <f t="shared" ca="1" si="783"/>
        <v>823</v>
      </c>
      <c r="T5008">
        <f t="shared" si="784"/>
        <v>1</v>
      </c>
      <c r="U5008">
        <f t="shared" si="785"/>
        <v>3</v>
      </c>
      <c r="V5008">
        <f t="shared" si="786"/>
        <v>3</v>
      </c>
      <c r="W5008">
        <f t="shared" si="787"/>
        <v>1</v>
      </c>
      <c r="X5008">
        <f t="shared" si="788"/>
        <v>2</v>
      </c>
      <c r="Y5008" t="str">
        <f t="shared" si="789"/>
        <v>Monitor</v>
      </c>
    </row>
    <row r="5009" spans="1:25" x14ac:dyDescent="0.35">
      <c r="A5009" t="s">
        <v>179</v>
      </c>
      <c r="B5009" t="s">
        <v>180</v>
      </c>
      <c r="C5009" t="s">
        <v>181</v>
      </c>
      <c r="D5009" t="s">
        <v>3115</v>
      </c>
      <c r="E5009">
        <v>80861879</v>
      </c>
      <c r="F5009" t="s">
        <v>3116</v>
      </c>
      <c r="G5009" s="3">
        <v>46549</v>
      </c>
      <c r="H5009">
        <v>16</v>
      </c>
      <c r="I5009">
        <v>74</v>
      </c>
      <c r="J5009">
        <v>128</v>
      </c>
      <c r="K5009" s="4">
        <v>71563.520000000004</v>
      </c>
      <c r="L5009" s="4">
        <v>2500.5714285714284</v>
      </c>
      <c r="M5009" s="4">
        <v>5.1188299817184646E-2</v>
      </c>
      <c r="N5009" t="s">
        <v>25</v>
      </c>
      <c r="O5009" t="str">
        <f t="shared" si="780"/>
        <v>Low</v>
      </c>
      <c r="P5009" t="str">
        <f t="shared" si="781"/>
        <v>Low</v>
      </c>
      <c r="Q5009" t="str">
        <f t="shared" si="782"/>
        <v>Low</v>
      </c>
      <c r="R5009" t="s">
        <v>3310</v>
      </c>
      <c r="S5009" s="4">
        <f t="shared" ca="1" si="783"/>
        <v>352</v>
      </c>
      <c r="T5009">
        <f t="shared" si="784"/>
        <v>1</v>
      </c>
      <c r="U5009">
        <f t="shared" si="785"/>
        <v>1</v>
      </c>
      <c r="V5009">
        <f t="shared" si="786"/>
        <v>1</v>
      </c>
      <c r="W5009">
        <f t="shared" si="787"/>
        <v>2</v>
      </c>
      <c r="X5009">
        <f t="shared" si="788"/>
        <v>1.0999999999999999</v>
      </c>
      <c r="Y5009" t="str">
        <f t="shared" si="789"/>
        <v>Healthy</v>
      </c>
    </row>
    <row r="5010" spans="1:25" x14ac:dyDescent="0.35">
      <c r="A5010" t="s">
        <v>179</v>
      </c>
      <c r="B5010" t="s">
        <v>180</v>
      </c>
      <c r="C5010" t="s">
        <v>181</v>
      </c>
      <c r="D5010" t="s">
        <v>3115</v>
      </c>
      <c r="E5010">
        <v>80861879</v>
      </c>
      <c r="F5010" t="s">
        <v>3116</v>
      </c>
      <c r="G5010" s="3">
        <v>46635</v>
      </c>
      <c r="H5010">
        <v>16</v>
      </c>
      <c r="I5010">
        <v>92</v>
      </c>
      <c r="J5010">
        <v>4</v>
      </c>
      <c r="K5010" s="4">
        <v>2236.36</v>
      </c>
      <c r="L5010" s="4">
        <v>2500.5714285714284</v>
      </c>
      <c r="M5010" s="4">
        <v>1.5996343692870202E-3</v>
      </c>
      <c r="N5010" t="s">
        <v>25</v>
      </c>
      <c r="O5010" t="str">
        <f t="shared" si="780"/>
        <v>Low</v>
      </c>
      <c r="P5010" t="str">
        <f t="shared" si="781"/>
        <v>Low</v>
      </c>
      <c r="Q5010" t="str">
        <f t="shared" si="782"/>
        <v>Low</v>
      </c>
      <c r="R5010" t="s">
        <v>3317</v>
      </c>
      <c r="S5010" s="4">
        <f t="shared" ca="1" si="783"/>
        <v>438</v>
      </c>
      <c r="T5010">
        <f t="shared" si="784"/>
        <v>1</v>
      </c>
      <c r="U5010">
        <f t="shared" si="785"/>
        <v>1</v>
      </c>
      <c r="V5010">
        <f t="shared" si="786"/>
        <v>1</v>
      </c>
      <c r="W5010">
        <f t="shared" si="787"/>
        <v>1</v>
      </c>
      <c r="X5010">
        <f t="shared" si="788"/>
        <v>0.99999999999999989</v>
      </c>
      <c r="Y5010" t="str">
        <f t="shared" si="789"/>
        <v>Healthy</v>
      </c>
    </row>
    <row r="5011" spans="1:25" x14ac:dyDescent="0.35">
      <c r="A5011" t="s">
        <v>179</v>
      </c>
      <c r="B5011" t="s">
        <v>180</v>
      </c>
      <c r="C5011" t="s">
        <v>181</v>
      </c>
      <c r="D5011" t="s">
        <v>3115</v>
      </c>
      <c r="E5011">
        <v>80861879</v>
      </c>
      <c r="F5011" t="s">
        <v>3116</v>
      </c>
      <c r="G5011" s="3">
        <v>46550</v>
      </c>
      <c r="H5011">
        <v>16</v>
      </c>
      <c r="I5011">
        <v>75</v>
      </c>
      <c r="J5011">
        <v>144</v>
      </c>
      <c r="K5011" s="4">
        <v>80508.960000000006</v>
      </c>
      <c r="L5011" s="4">
        <v>2500.5714285714284</v>
      </c>
      <c r="M5011" s="4">
        <v>5.7586837294332727E-2</v>
      </c>
      <c r="N5011" t="s">
        <v>25</v>
      </c>
      <c r="O5011" t="str">
        <f t="shared" si="780"/>
        <v>Low</v>
      </c>
      <c r="P5011" t="str">
        <f t="shared" si="781"/>
        <v>Low</v>
      </c>
      <c r="Q5011" t="str">
        <f t="shared" si="782"/>
        <v>Low</v>
      </c>
      <c r="R5011" t="s">
        <v>3310</v>
      </c>
      <c r="S5011" s="4">
        <f t="shared" ca="1" si="783"/>
        <v>353</v>
      </c>
      <c r="T5011">
        <f t="shared" si="784"/>
        <v>1</v>
      </c>
      <c r="U5011">
        <f t="shared" si="785"/>
        <v>1</v>
      </c>
      <c r="V5011">
        <f t="shared" si="786"/>
        <v>1</v>
      </c>
      <c r="W5011">
        <f t="shared" si="787"/>
        <v>2</v>
      </c>
      <c r="X5011">
        <f t="shared" si="788"/>
        <v>1.0999999999999999</v>
      </c>
      <c r="Y5011" t="str">
        <f t="shared" si="789"/>
        <v>Healthy</v>
      </c>
    </row>
    <row r="5012" spans="1:25" x14ac:dyDescent="0.35">
      <c r="A5012" t="s">
        <v>179</v>
      </c>
      <c r="B5012" t="s">
        <v>180</v>
      </c>
      <c r="C5012" t="s">
        <v>181</v>
      </c>
      <c r="D5012" t="s">
        <v>3115</v>
      </c>
      <c r="E5012">
        <v>80861879</v>
      </c>
      <c r="F5012" t="s">
        <v>3116</v>
      </c>
      <c r="G5012" s="3">
        <v>46673</v>
      </c>
      <c r="H5012">
        <v>16</v>
      </c>
      <c r="I5012">
        <v>100</v>
      </c>
      <c r="J5012">
        <v>44</v>
      </c>
      <c r="K5012" s="4">
        <v>24599.96</v>
      </c>
      <c r="L5012" s="4">
        <v>2500.5714285714284</v>
      </c>
      <c r="M5012" s="4">
        <v>1.7595978062157222E-2</v>
      </c>
      <c r="N5012" t="s">
        <v>25</v>
      </c>
      <c r="O5012" t="str">
        <f t="shared" si="780"/>
        <v>Low</v>
      </c>
      <c r="P5012" t="str">
        <f t="shared" si="781"/>
        <v>Low</v>
      </c>
      <c r="Q5012" t="str">
        <f t="shared" si="782"/>
        <v>Low</v>
      </c>
      <c r="R5012" t="s">
        <v>3317</v>
      </c>
      <c r="S5012" s="4">
        <f t="shared" ca="1" si="783"/>
        <v>476</v>
      </c>
      <c r="T5012">
        <f t="shared" si="784"/>
        <v>1</v>
      </c>
      <c r="U5012">
        <f t="shared" si="785"/>
        <v>1</v>
      </c>
      <c r="V5012">
        <f t="shared" si="786"/>
        <v>1</v>
      </c>
      <c r="W5012">
        <f t="shared" si="787"/>
        <v>1</v>
      </c>
      <c r="X5012">
        <f t="shared" si="788"/>
        <v>0.99999999999999989</v>
      </c>
      <c r="Y5012" t="str">
        <f t="shared" si="789"/>
        <v>Healthy</v>
      </c>
    </row>
    <row r="5013" spans="1:25" x14ac:dyDescent="0.35">
      <c r="A5013" t="s">
        <v>179</v>
      </c>
      <c r="B5013" t="s">
        <v>180</v>
      </c>
      <c r="C5013" t="s">
        <v>181</v>
      </c>
      <c r="D5013" t="s">
        <v>3115</v>
      </c>
      <c r="E5013">
        <v>80861879</v>
      </c>
      <c r="F5013" t="s">
        <v>3116</v>
      </c>
      <c r="G5013" s="3">
        <v>46616</v>
      </c>
      <c r="H5013">
        <v>16</v>
      </c>
      <c r="I5013">
        <v>88</v>
      </c>
      <c r="J5013">
        <v>88</v>
      </c>
      <c r="K5013" s="4">
        <v>49199.92</v>
      </c>
      <c r="L5013" s="4">
        <v>2500.5714285714284</v>
      </c>
      <c r="M5013" s="4">
        <v>3.5191956124314444E-2</v>
      </c>
      <c r="N5013" t="s">
        <v>25</v>
      </c>
      <c r="O5013" t="str">
        <f t="shared" si="780"/>
        <v>Low</v>
      </c>
      <c r="P5013" t="str">
        <f t="shared" si="781"/>
        <v>Low</v>
      </c>
      <c r="Q5013" t="str">
        <f t="shared" si="782"/>
        <v>Low</v>
      </c>
      <c r="R5013" t="s">
        <v>3317</v>
      </c>
      <c r="S5013" s="4">
        <f t="shared" ca="1" si="783"/>
        <v>419</v>
      </c>
      <c r="T5013">
        <f t="shared" si="784"/>
        <v>1</v>
      </c>
      <c r="U5013">
        <f t="shared" si="785"/>
        <v>1</v>
      </c>
      <c r="V5013">
        <f t="shared" si="786"/>
        <v>1</v>
      </c>
      <c r="W5013">
        <f t="shared" si="787"/>
        <v>1</v>
      </c>
      <c r="X5013">
        <f t="shared" si="788"/>
        <v>0.99999999999999989</v>
      </c>
      <c r="Y5013" t="str">
        <f t="shared" si="789"/>
        <v>Healthy</v>
      </c>
    </row>
    <row r="5014" spans="1:25" x14ac:dyDescent="0.35">
      <c r="A5014" t="s">
        <v>179</v>
      </c>
      <c r="B5014" t="s">
        <v>180</v>
      </c>
      <c r="C5014" t="s">
        <v>181</v>
      </c>
      <c r="D5014" t="s">
        <v>3115</v>
      </c>
      <c r="E5014">
        <v>80861879</v>
      </c>
      <c r="F5014" t="s">
        <v>3116</v>
      </c>
      <c r="G5014" s="3">
        <v>46664</v>
      </c>
      <c r="H5014">
        <v>16</v>
      </c>
      <c r="I5014">
        <v>98</v>
      </c>
      <c r="J5014">
        <v>128</v>
      </c>
      <c r="K5014" s="4">
        <v>71563.520000000004</v>
      </c>
      <c r="L5014" s="4">
        <v>2500.5714285714284</v>
      </c>
      <c r="M5014" s="4">
        <v>5.1188299817184646E-2</v>
      </c>
      <c r="N5014" t="s">
        <v>25</v>
      </c>
      <c r="O5014" t="str">
        <f t="shared" si="780"/>
        <v>Low</v>
      </c>
      <c r="P5014" t="str">
        <f t="shared" si="781"/>
        <v>Low</v>
      </c>
      <c r="Q5014" t="str">
        <f t="shared" si="782"/>
        <v>Low</v>
      </c>
      <c r="R5014" t="s">
        <v>3310</v>
      </c>
      <c r="S5014" s="4">
        <f t="shared" ca="1" si="783"/>
        <v>467</v>
      </c>
      <c r="T5014">
        <f t="shared" si="784"/>
        <v>1</v>
      </c>
      <c r="U5014">
        <f t="shared" si="785"/>
        <v>1</v>
      </c>
      <c r="V5014">
        <f t="shared" si="786"/>
        <v>1</v>
      </c>
      <c r="W5014">
        <f t="shared" si="787"/>
        <v>2</v>
      </c>
      <c r="X5014">
        <f t="shared" si="788"/>
        <v>1.0999999999999999</v>
      </c>
      <c r="Y5014" t="str">
        <f t="shared" si="789"/>
        <v>Healthy</v>
      </c>
    </row>
    <row r="5015" spans="1:25" x14ac:dyDescent="0.35">
      <c r="A5015" t="s">
        <v>179</v>
      </c>
      <c r="B5015" t="s">
        <v>180</v>
      </c>
      <c r="C5015" t="s">
        <v>181</v>
      </c>
      <c r="D5015" t="s">
        <v>3115</v>
      </c>
      <c r="E5015">
        <v>80861879</v>
      </c>
      <c r="F5015" t="s">
        <v>3116</v>
      </c>
      <c r="G5015" s="3">
        <v>46551</v>
      </c>
      <c r="H5015">
        <v>16</v>
      </c>
      <c r="I5015">
        <v>75</v>
      </c>
      <c r="J5015">
        <v>32</v>
      </c>
      <c r="K5015" s="4">
        <v>17890.88</v>
      </c>
      <c r="L5015" s="4">
        <v>2500.5714285714284</v>
      </c>
      <c r="M5015" s="4">
        <v>1.2797074954296161E-2</v>
      </c>
      <c r="N5015" t="s">
        <v>25</v>
      </c>
      <c r="O5015" t="str">
        <f t="shared" si="780"/>
        <v>Low</v>
      </c>
      <c r="P5015" t="str">
        <f t="shared" si="781"/>
        <v>Low</v>
      </c>
      <c r="Q5015" t="str">
        <f t="shared" si="782"/>
        <v>Low</v>
      </c>
      <c r="R5015" t="s">
        <v>3317</v>
      </c>
      <c r="S5015" s="4">
        <f t="shared" ca="1" si="783"/>
        <v>354</v>
      </c>
      <c r="T5015">
        <f t="shared" si="784"/>
        <v>1</v>
      </c>
      <c r="U5015">
        <f t="shared" si="785"/>
        <v>1</v>
      </c>
      <c r="V5015">
        <f t="shared" si="786"/>
        <v>1</v>
      </c>
      <c r="W5015">
        <f t="shared" si="787"/>
        <v>1</v>
      </c>
      <c r="X5015">
        <f t="shared" si="788"/>
        <v>0.99999999999999989</v>
      </c>
      <c r="Y5015" t="str">
        <f t="shared" si="789"/>
        <v>Healthy</v>
      </c>
    </row>
    <row r="5016" spans="1:25" x14ac:dyDescent="0.35">
      <c r="A5016" t="s">
        <v>179</v>
      </c>
      <c r="B5016" t="s">
        <v>180</v>
      </c>
      <c r="C5016" t="s">
        <v>181</v>
      </c>
      <c r="D5016" t="s">
        <v>3115</v>
      </c>
      <c r="E5016">
        <v>80861879</v>
      </c>
      <c r="F5016" t="s">
        <v>3116</v>
      </c>
      <c r="G5016" s="3">
        <v>46632</v>
      </c>
      <c r="H5016">
        <v>16</v>
      </c>
      <c r="I5016">
        <v>92</v>
      </c>
      <c r="J5016">
        <v>112</v>
      </c>
      <c r="K5016" s="4">
        <v>62618.080000000002</v>
      </c>
      <c r="L5016" s="4">
        <v>2500.5714285714284</v>
      </c>
      <c r="M5016" s="4">
        <v>4.4789762340036565E-2</v>
      </c>
      <c r="N5016" t="s">
        <v>25</v>
      </c>
      <c r="O5016" t="str">
        <f t="shared" si="780"/>
        <v>Low</v>
      </c>
      <c r="P5016" t="str">
        <f t="shared" si="781"/>
        <v>Low</v>
      </c>
      <c r="Q5016" t="str">
        <f t="shared" si="782"/>
        <v>Low</v>
      </c>
      <c r="R5016" t="s">
        <v>3317</v>
      </c>
      <c r="S5016" s="4">
        <f t="shared" ca="1" si="783"/>
        <v>435</v>
      </c>
      <c r="T5016">
        <f t="shared" si="784"/>
        <v>1</v>
      </c>
      <c r="U5016">
        <f t="shared" si="785"/>
        <v>1</v>
      </c>
      <c r="V5016">
        <f t="shared" si="786"/>
        <v>1</v>
      </c>
      <c r="W5016">
        <f t="shared" si="787"/>
        <v>1</v>
      </c>
      <c r="X5016">
        <f t="shared" si="788"/>
        <v>0.99999999999999989</v>
      </c>
      <c r="Y5016" t="str">
        <f t="shared" si="789"/>
        <v>Healthy</v>
      </c>
    </row>
    <row r="5017" spans="1:25" x14ac:dyDescent="0.35">
      <c r="A5017" t="s">
        <v>179</v>
      </c>
      <c r="B5017" t="s">
        <v>180</v>
      </c>
      <c r="C5017" t="s">
        <v>181</v>
      </c>
      <c r="D5017" t="s">
        <v>3115</v>
      </c>
      <c r="E5017">
        <v>80861879</v>
      </c>
      <c r="F5017" t="s">
        <v>3116</v>
      </c>
      <c r="G5017" s="3">
        <v>46640</v>
      </c>
      <c r="H5017">
        <v>16</v>
      </c>
      <c r="I5017">
        <v>93</v>
      </c>
      <c r="J5017">
        <v>92</v>
      </c>
      <c r="K5017" s="4">
        <v>51436.28</v>
      </c>
      <c r="L5017" s="4">
        <v>2500.5714285714284</v>
      </c>
      <c r="M5017" s="4">
        <v>3.6791590493601464E-2</v>
      </c>
      <c r="N5017" t="s">
        <v>25</v>
      </c>
      <c r="O5017" t="str">
        <f t="shared" si="780"/>
        <v>Low</v>
      </c>
      <c r="P5017" t="str">
        <f t="shared" si="781"/>
        <v>Low</v>
      </c>
      <c r="Q5017" t="str">
        <f t="shared" si="782"/>
        <v>Low</v>
      </c>
      <c r="R5017" t="s">
        <v>3317</v>
      </c>
      <c r="S5017" s="4">
        <f t="shared" ca="1" si="783"/>
        <v>443</v>
      </c>
      <c r="T5017">
        <f t="shared" si="784"/>
        <v>1</v>
      </c>
      <c r="U5017">
        <f t="shared" si="785"/>
        <v>1</v>
      </c>
      <c r="V5017">
        <f t="shared" si="786"/>
        <v>1</v>
      </c>
      <c r="W5017">
        <f t="shared" si="787"/>
        <v>1</v>
      </c>
      <c r="X5017">
        <f t="shared" si="788"/>
        <v>0.99999999999999989</v>
      </c>
      <c r="Y5017" t="str">
        <f t="shared" si="789"/>
        <v>Healthy</v>
      </c>
    </row>
    <row r="5018" spans="1:25" x14ac:dyDescent="0.35">
      <c r="A5018" t="s">
        <v>179</v>
      </c>
      <c r="B5018" t="s">
        <v>180</v>
      </c>
      <c r="C5018" t="s">
        <v>181</v>
      </c>
      <c r="D5018" t="s">
        <v>1813</v>
      </c>
      <c r="E5018">
        <v>80861847</v>
      </c>
      <c r="F5018" t="s">
        <v>3117</v>
      </c>
      <c r="G5018" s="3">
        <v>46488</v>
      </c>
      <c r="H5018">
        <v>16</v>
      </c>
      <c r="I5018">
        <v>62</v>
      </c>
      <c r="J5018">
        <v>40</v>
      </c>
      <c r="K5018" s="4">
        <v>8021.2</v>
      </c>
      <c r="L5018" s="4">
        <v>4938.5714285714284</v>
      </c>
      <c r="M5018" s="4">
        <v>8.099508244142321E-3</v>
      </c>
      <c r="N5018" t="s">
        <v>25</v>
      </c>
      <c r="O5018" t="str">
        <f t="shared" si="780"/>
        <v>Low</v>
      </c>
      <c r="P5018" t="str">
        <f t="shared" si="781"/>
        <v>Low</v>
      </c>
      <c r="Q5018" t="str">
        <f t="shared" si="782"/>
        <v>Low</v>
      </c>
      <c r="R5018" t="s">
        <v>3317</v>
      </c>
      <c r="S5018" s="4">
        <f t="shared" ca="1" si="783"/>
        <v>291</v>
      </c>
      <c r="T5018">
        <f t="shared" si="784"/>
        <v>1</v>
      </c>
      <c r="U5018">
        <f t="shared" si="785"/>
        <v>1</v>
      </c>
      <c r="V5018">
        <f t="shared" si="786"/>
        <v>1</v>
      </c>
      <c r="W5018">
        <f t="shared" si="787"/>
        <v>1</v>
      </c>
      <c r="X5018">
        <f t="shared" si="788"/>
        <v>0.99999999999999989</v>
      </c>
      <c r="Y5018" t="str">
        <f t="shared" si="789"/>
        <v>Healthy</v>
      </c>
    </row>
    <row r="5019" spans="1:25" x14ac:dyDescent="0.35">
      <c r="A5019" t="s">
        <v>179</v>
      </c>
      <c r="B5019" t="s">
        <v>180</v>
      </c>
      <c r="C5019" t="s">
        <v>181</v>
      </c>
      <c r="D5019" t="s">
        <v>1813</v>
      </c>
      <c r="E5019">
        <v>80861847</v>
      </c>
      <c r="F5019" t="s">
        <v>3117</v>
      </c>
      <c r="G5019" s="3">
        <v>46499</v>
      </c>
      <c r="H5019">
        <v>16</v>
      </c>
      <c r="I5019">
        <v>64</v>
      </c>
      <c r="J5019">
        <v>213</v>
      </c>
      <c r="K5019" s="4">
        <v>42712.89</v>
      </c>
      <c r="L5019" s="4">
        <v>4938.5714285714284</v>
      </c>
      <c r="M5019" s="4">
        <v>4.3129881400057857E-2</v>
      </c>
      <c r="N5019" t="s">
        <v>25</v>
      </c>
      <c r="O5019" t="str">
        <f t="shared" si="780"/>
        <v>Low</v>
      </c>
      <c r="P5019" t="str">
        <f t="shared" si="781"/>
        <v>Low</v>
      </c>
      <c r="Q5019" t="str">
        <f t="shared" si="782"/>
        <v>Low</v>
      </c>
      <c r="R5019" t="s">
        <v>3317</v>
      </c>
      <c r="S5019" s="4">
        <f t="shared" ca="1" si="783"/>
        <v>302</v>
      </c>
      <c r="T5019">
        <f t="shared" si="784"/>
        <v>1</v>
      </c>
      <c r="U5019">
        <f t="shared" si="785"/>
        <v>1</v>
      </c>
      <c r="V5019">
        <f t="shared" si="786"/>
        <v>1</v>
      </c>
      <c r="W5019">
        <f t="shared" si="787"/>
        <v>1</v>
      </c>
      <c r="X5019">
        <f t="shared" si="788"/>
        <v>0.99999999999999989</v>
      </c>
      <c r="Y5019" t="str">
        <f t="shared" si="789"/>
        <v>Healthy</v>
      </c>
    </row>
    <row r="5020" spans="1:25" x14ac:dyDescent="0.35">
      <c r="A5020" t="s">
        <v>179</v>
      </c>
      <c r="B5020" t="s">
        <v>180</v>
      </c>
      <c r="C5020" t="s">
        <v>181</v>
      </c>
      <c r="D5020" t="s">
        <v>1813</v>
      </c>
      <c r="E5020">
        <v>80861847</v>
      </c>
      <c r="F5020" t="s">
        <v>3117</v>
      </c>
      <c r="G5020" s="3">
        <v>46496</v>
      </c>
      <c r="H5020">
        <v>16</v>
      </c>
      <c r="I5020">
        <v>63</v>
      </c>
      <c r="J5020">
        <v>200</v>
      </c>
      <c r="K5020" s="4">
        <v>40106</v>
      </c>
      <c r="L5020" s="4">
        <v>4938.5714285714284</v>
      </c>
      <c r="M5020" s="4">
        <v>4.04975412207116E-2</v>
      </c>
      <c r="N5020" t="s">
        <v>25</v>
      </c>
      <c r="O5020" t="str">
        <f t="shared" si="780"/>
        <v>Low</v>
      </c>
      <c r="P5020" t="str">
        <f t="shared" si="781"/>
        <v>Low</v>
      </c>
      <c r="Q5020" t="str">
        <f t="shared" si="782"/>
        <v>Low</v>
      </c>
      <c r="R5020" t="s">
        <v>3317</v>
      </c>
      <c r="S5020" s="4">
        <f t="shared" ca="1" si="783"/>
        <v>299</v>
      </c>
      <c r="T5020">
        <f t="shared" si="784"/>
        <v>1</v>
      </c>
      <c r="U5020">
        <f t="shared" si="785"/>
        <v>1</v>
      </c>
      <c r="V5020">
        <f t="shared" si="786"/>
        <v>1</v>
      </c>
      <c r="W5020">
        <f t="shared" si="787"/>
        <v>1</v>
      </c>
      <c r="X5020">
        <f t="shared" si="788"/>
        <v>0.99999999999999989</v>
      </c>
      <c r="Y5020" t="str">
        <f t="shared" si="789"/>
        <v>Healthy</v>
      </c>
    </row>
    <row r="5021" spans="1:25" x14ac:dyDescent="0.35">
      <c r="A5021" t="s">
        <v>179</v>
      </c>
      <c r="B5021" t="s">
        <v>180</v>
      </c>
      <c r="C5021" t="s">
        <v>181</v>
      </c>
      <c r="D5021" t="s">
        <v>1813</v>
      </c>
      <c r="E5021">
        <v>80861847</v>
      </c>
      <c r="F5021" t="s">
        <v>3117</v>
      </c>
      <c r="G5021" s="3">
        <v>46492</v>
      </c>
      <c r="H5021">
        <v>16</v>
      </c>
      <c r="I5021">
        <v>63</v>
      </c>
      <c r="J5021">
        <v>35</v>
      </c>
      <c r="K5021" s="4">
        <v>7018.55</v>
      </c>
      <c r="L5021" s="4">
        <v>4938.5714285714284</v>
      </c>
      <c r="M5021" s="4">
        <v>7.0870697136245298E-3</v>
      </c>
      <c r="N5021" t="s">
        <v>25</v>
      </c>
      <c r="O5021" t="str">
        <f t="shared" si="780"/>
        <v>Low</v>
      </c>
      <c r="P5021" t="str">
        <f t="shared" si="781"/>
        <v>Low</v>
      </c>
      <c r="Q5021" t="str">
        <f t="shared" si="782"/>
        <v>Low</v>
      </c>
      <c r="R5021" t="s">
        <v>3317</v>
      </c>
      <c r="S5021" s="4">
        <f t="shared" ca="1" si="783"/>
        <v>295</v>
      </c>
      <c r="T5021">
        <f t="shared" si="784"/>
        <v>1</v>
      </c>
      <c r="U5021">
        <f t="shared" si="785"/>
        <v>1</v>
      </c>
      <c r="V5021">
        <f t="shared" si="786"/>
        <v>1</v>
      </c>
      <c r="W5021">
        <f t="shared" si="787"/>
        <v>1</v>
      </c>
      <c r="X5021">
        <f t="shared" si="788"/>
        <v>0.99999999999999989</v>
      </c>
      <c r="Y5021" t="str">
        <f t="shared" si="789"/>
        <v>Healthy</v>
      </c>
    </row>
    <row r="5022" spans="1:25" x14ac:dyDescent="0.35">
      <c r="A5022" t="s">
        <v>179</v>
      </c>
      <c r="B5022" t="s">
        <v>180</v>
      </c>
      <c r="C5022" t="s">
        <v>181</v>
      </c>
      <c r="D5022" t="s">
        <v>505</v>
      </c>
      <c r="E5022">
        <v>80861880</v>
      </c>
      <c r="F5022" t="s">
        <v>3118</v>
      </c>
      <c r="G5022" s="3">
        <v>46450</v>
      </c>
      <c r="H5022">
        <v>16</v>
      </c>
      <c r="I5022">
        <v>54</v>
      </c>
      <c r="J5022">
        <v>6</v>
      </c>
      <c r="K5022" s="4">
        <v>3493.2</v>
      </c>
      <c r="L5022" s="4">
        <v>1518.4285714285713</v>
      </c>
      <c r="M5022" s="4">
        <v>3.9514535704205482E-3</v>
      </c>
      <c r="N5022" t="s">
        <v>25</v>
      </c>
      <c r="O5022" t="str">
        <f t="shared" si="780"/>
        <v>Low</v>
      </c>
      <c r="P5022" t="str">
        <f t="shared" si="781"/>
        <v>Low</v>
      </c>
      <c r="Q5022" t="str">
        <f t="shared" si="782"/>
        <v>Low</v>
      </c>
      <c r="R5022" t="s">
        <v>3317</v>
      </c>
      <c r="S5022" s="4">
        <f t="shared" ca="1" si="783"/>
        <v>253</v>
      </c>
      <c r="T5022">
        <f t="shared" si="784"/>
        <v>1</v>
      </c>
      <c r="U5022">
        <f t="shared" si="785"/>
        <v>1</v>
      </c>
      <c r="V5022">
        <f t="shared" si="786"/>
        <v>1</v>
      </c>
      <c r="W5022">
        <f t="shared" si="787"/>
        <v>1</v>
      </c>
      <c r="X5022">
        <f t="shared" si="788"/>
        <v>0.99999999999999989</v>
      </c>
      <c r="Y5022" t="str">
        <f t="shared" si="789"/>
        <v>Healthy</v>
      </c>
    </row>
    <row r="5023" spans="1:25" x14ac:dyDescent="0.35">
      <c r="A5023" t="s">
        <v>179</v>
      </c>
      <c r="B5023" t="s">
        <v>180</v>
      </c>
      <c r="C5023" t="s">
        <v>181</v>
      </c>
      <c r="D5023" t="s">
        <v>3119</v>
      </c>
      <c r="E5023">
        <v>80861850</v>
      </c>
      <c r="F5023" t="s">
        <v>3120</v>
      </c>
      <c r="G5023" s="3">
        <v>46551</v>
      </c>
      <c r="H5023">
        <v>16</v>
      </c>
      <c r="I5023">
        <v>75</v>
      </c>
      <c r="J5023">
        <v>4</v>
      </c>
      <c r="K5023" s="4">
        <v>1560.84</v>
      </c>
      <c r="L5023" s="4">
        <v>1011.8571428571429</v>
      </c>
      <c r="M5023" s="4">
        <v>3.9531272059861637E-3</v>
      </c>
      <c r="N5023" t="s">
        <v>25</v>
      </c>
      <c r="O5023" t="str">
        <f t="shared" si="780"/>
        <v>Low</v>
      </c>
      <c r="P5023" t="str">
        <f t="shared" si="781"/>
        <v>Low</v>
      </c>
      <c r="Q5023" t="str">
        <f t="shared" si="782"/>
        <v>Low</v>
      </c>
      <c r="R5023" t="s">
        <v>3317</v>
      </c>
      <c r="S5023" s="4">
        <f t="shared" ca="1" si="783"/>
        <v>354</v>
      </c>
      <c r="T5023">
        <f t="shared" si="784"/>
        <v>1</v>
      </c>
      <c r="U5023">
        <f t="shared" si="785"/>
        <v>1</v>
      </c>
      <c r="V5023">
        <f t="shared" si="786"/>
        <v>1</v>
      </c>
      <c r="W5023">
        <f t="shared" si="787"/>
        <v>1</v>
      </c>
      <c r="X5023">
        <f t="shared" si="788"/>
        <v>0.99999999999999989</v>
      </c>
      <c r="Y5023" t="str">
        <f t="shared" si="789"/>
        <v>Healthy</v>
      </c>
    </row>
    <row r="5024" spans="1:25" x14ac:dyDescent="0.35">
      <c r="A5024" t="s">
        <v>99</v>
      </c>
      <c r="B5024" t="s">
        <v>100</v>
      </c>
      <c r="C5024" t="s">
        <v>101</v>
      </c>
      <c r="D5024" t="s">
        <v>3121</v>
      </c>
      <c r="E5024">
        <v>82325379</v>
      </c>
      <c r="F5024" t="s">
        <v>3122</v>
      </c>
      <c r="G5024" s="3">
        <v>44897</v>
      </c>
      <c r="H5024">
        <v>18</v>
      </c>
      <c r="I5024">
        <v>0</v>
      </c>
      <c r="J5024">
        <v>48</v>
      </c>
      <c r="K5024" s="4">
        <v>8399.52</v>
      </c>
      <c r="L5024" s="4">
        <f>0</f>
        <v>0</v>
      </c>
      <c r="M5024" s="4">
        <f>999</f>
        <v>999</v>
      </c>
      <c r="N5024" t="s">
        <v>19</v>
      </c>
      <c r="O5024" t="str">
        <f t="shared" si="780"/>
        <v>High</v>
      </c>
      <c r="P5024" t="str">
        <f t="shared" si="781"/>
        <v>High</v>
      </c>
      <c r="Q5024" t="str">
        <f t="shared" si="782"/>
        <v>High</v>
      </c>
      <c r="R5024" t="s">
        <v>3317</v>
      </c>
      <c r="S5024" s="4">
        <f t="shared" ca="1" si="783"/>
        <v>-1300</v>
      </c>
      <c r="T5024">
        <f t="shared" si="784"/>
        <v>3</v>
      </c>
      <c r="U5024">
        <f t="shared" si="785"/>
        <v>3</v>
      </c>
      <c r="V5024">
        <f t="shared" si="786"/>
        <v>3</v>
      </c>
      <c r="W5024">
        <f t="shared" si="787"/>
        <v>1</v>
      </c>
      <c r="X5024">
        <f t="shared" si="788"/>
        <v>2.8000000000000003</v>
      </c>
      <c r="Y5024" t="str">
        <f t="shared" si="789"/>
        <v>Move Immediately</v>
      </c>
    </row>
    <row r="5025" spans="1:25" x14ac:dyDescent="0.35">
      <c r="A5025" t="s">
        <v>99</v>
      </c>
      <c r="B5025" t="s">
        <v>100</v>
      </c>
      <c r="C5025" t="s">
        <v>101</v>
      </c>
      <c r="D5025" t="s">
        <v>3121</v>
      </c>
      <c r="E5025">
        <v>82325379</v>
      </c>
      <c r="F5025" t="s">
        <v>3122</v>
      </c>
      <c r="G5025" s="3">
        <v>45031</v>
      </c>
      <c r="H5025">
        <v>18</v>
      </c>
      <c r="I5025">
        <v>0</v>
      </c>
      <c r="J5025">
        <v>144</v>
      </c>
      <c r="K5025" s="4">
        <v>25198.560000000001</v>
      </c>
      <c r="L5025" s="4">
        <f>0</f>
        <v>0</v>
      </c>
      <c r="M5025" s="4">
        <f>999</f>
        <v>999</v>
      </c>
      <c r="N5025" t="s">
        <v>19</v>
      </c>
      <c r="O5025" t="str">
        <f t="shared" si="780"/>
        <v>High</v>
      </c>
      <c r="P5025" t="str">
        <f t="shared" si="781"/>
        <v>High</v>
      </c>
      <c r="Q5025" t="str">
        <f t="shared" si="782"/>
        <v>High</v>
      </c>
      <c r="R5025" t="s">
        <v>3317</v>
      </c>
      <c r="S5025" s="4">
        <f t="shared" ca="1" si="783"/>
        <v>-1166</v>
      </c>
      <c r="T5025">
        <f t="shared" si="784"/>
        <v>3</v>
      </c>
      <c r="U5025">
        <f t="shared" si="785"/>
        <v>3</v>
      </c>
      <c r="V5025">
        <f t="shared" si="786"/>
        <v>3</v>
      </c>
      <c r="W5025">
        <f t="shared" si="787"/>
        <v>1</v>
      </c>
      <c r="X5025">
        <f t="shared" si="788"/>
        <v>2.8000000000000003</v>
      </c>
      <c r="Y5025" t="str">
        <f t="shared" si="789"/>
        <v>Move Immediately</v>
      </c>
    </row>
    <row r="5026" spans="1:25" x14ac:dyDescent="0.35">
      <c r="A5026" t="s">
        <v>99</v>
      </c>
      <c r="B5026" t="s">
        <v>100</v>
      </c>
      <c r="C5026" t="s">
        <v>101</v>
      </c>
      <c r="D5026" t="s">
        <v>3121</v>
      </c>
      <c r="E5026">
        <v>82325379</v>
      </c>
      <c r="F5026" t="s">
        <v>3122</v>
      </c>
      <c r="G5026" s="3">
        <v>44766</v>
      </c>
      <c r="H5026">
        <v>18</v>
      </c>
      <c r="I5026">
        <v>0</v>
      </c>
      <c r="J5026">
        <v>48</v>
      </c>
      <c r="K5026" s="4">
        <v>8399.52</v>
      </c>
      <c r="L5026" s="4">
        <f>0</f>
        <v>0</v>
      </c>
      <c r="M5026" s="4">
        <f>999</f>
        <v>999</v>
      </c>
      <c r="N5026" t="s">
        <v>19</v>
      </c>
      <c r="O5026" t="str">
        <f t="shared" si="780"/>
        <v>High</v>
      </c>
      <c r="P5026" t="str">
        <f t="shared" si="781"/>
        <v>High</v>
      </c>
      <c r="Q5026" t="str">
        <f t="shared" si="782"/>
        <v>High</v>
      </c>
      <c r="R5026" t="s">
        <v>3317</v>
      </c>
      <c r="S5026" s="4">
        <f t="shared" ca="1" si="783"/>
        <v>-1431</v>
      </c>
      <c r="T5026">
        <f t="shared" si="784"/>
        <v>3</v>
      </c>
      <c r="U5026">
        <f t="shared" si="785"/>
        <v>3</v>
      </c>
      <c r="V5026">
        <f t="shared" si="786"/>
        <v>3</v>
      </c>
      <c r="W5026">
        <f t="shared" si="787"/>
        <v>1</v>
      </c>
      <c r="X5026">
        <f t="shared" si="788"/>
        <v>2.8000000000000003</v>
      </c>
      <c r="Y5026" t="str">
        <f t="shared" si="789"/>
        <v>Move Immediately</v>
      </c>
    </row>
    <row r="5027" spans="1:25" x14ac:dyDescent="0.35">
      <c r="A5027" t="s">
        <v>179</v>
      </c>
      <c r="B5027" t="s">
        <v>180</v>
      </c>
      <c r="C5027" t="s">
        <v>181</v>
      </c>
      <c r="D5027" t="s">
        <v>3123</v>
      </c>
      <c r="E5027">
        <v>80861885</v>
      </c>
      <c r="F5027" t="s">
        <v>3124</v>
      </c>
      <c r="G5027" s="3">
        <v>46670</v>
      </c>
      <c r="H5027">
        <v>16</v>
      </c>
      <c r="I5027">
        <v>100</v>
      </c>
      <c r="J5027">
        <v>42</v>
      </c>
      <c r="K5027" s="4">
        <v>17508.96</v>
      </c>
      <c r="L5027" s="4">
        <v>1873.5714285714287</v>
      </c>
      <c r="M5027" s="4">
        <v>2.2417079679756004E-2</v>
      </c>
      <c r="N5027" t="s">
        <v>25</v>
      </c>
      <c r="O5027" t="str">
        <f t="shared" si="780"/>
        <v>Low</v>
      </c>
      <c r="P5027" t="str">
        <f t="shared" si="781"/>
        <v>Low</v>
      </c>
      <c r="Q5027" t="str">
        <f t="shared" si="782"/>
        <v>Low</v>
      </c>
      <c r="R5027" t="s">
        <v>3317</v>
      </c>
      <c r="S5027" s="4">
        <f t="shared" ca="1" si="783"/>
        <v>473</v>
      </c>
      <c r="T5027">
        <f t="shared" si="784"/>
        <v>1</v>
      </c>
      <c r="U5027">
        <f t="shared" si="785"/>
        <v>1</v>
      </c>
      <c r="V5027">
        <f t="shared" si="786"/>
        <v>1</v>
      </c>
      <c r="W5027">
        <f t="shared" si="787"/>
        <v>1</v>
      </c>
      <c r="X5027">
        <f t="shared" si="788"/>
        <v>0.99999999999999989</v>
      </c>
      <c r="Y5027" t="str">
        <f t="shared" si="789"/>
        <v>Healthy</v>
      </c>
    </row>
    <row r="5028" spans="1:25" x14ac:dyDescent="0.35">
      <c r="A5028" t="s">
        <v>99</v>
      </c>
      <c r="B5028" t="s">
        <v>100</v>
      </c>
      <c r="C5028" t="s">
        <v>101</v>
      </c>
      <c r="D5028" t="s">
        <v>3121</v>
      </c>
      <c r="E5028">
        <v>82325379</v>
      </c>
      <c r="F5028" t="s">
        <v>3122</v>
      </c>
      <c r="G5028" s="3">
        <v>45011</v>
      </c>
      <c r="H5028">
        <v>18</v>
      </c>
      <c r="I5028">
        <v>0</v>
      </c>
      <c r="J5028">
        <v>192</v>
      </c>
      <c r="K5028" s="4">
        <v>33598.080000000002</v>
      </c>
      <c r="L5028" s="4">
        <f>0</f>
        <v>0</v>
      </c>
      <c r="M5028" s="4">
        <f>999</f>
        <v>999</v>
      </c>
      <c r="N5028" t="s">
        <v>19</v>
      </c>
      <c r="O5028" t="str">
        <f t="shared" si="780"/>
        <v>High</v>
      </c>
      <c r="P5028" t="str">
        <f t="shared" si="781"/>
        <v>High</v>
      </c>
      <c r="Q5028" t="str">
        <f t="shared" si="782"/>
        <v>High</v>
      </c>
      <c r="R5028" t="s">
        <v>3317</v>
      </c>
      <c r="S5028" s="4">
        <f t="shared" ca="1" si="783"/>
        <v>-1186</v>
      </c>
      <c r="T5028">
        <f t="shared" si="784"/>
        <v>3</v>
      </c>
      <c r="U5028">
        <f t="shared" si="785"/>
        <v>3</v>
      </c>
      <c r="V5028">
        <f t="shared" si="786"/>
        <v>3</v>
      </c>
      <c r="W5028">
        <f t="shared" si="787"/>
        <v>1</v>
      </c>
      <c r="X5028">
        <f t="shared" si="788"/>
        <v>2.8000000000000003</v>
      </c>
      <c r="Y5028" t="str">
        <f t="shared" si="789"/>
        <v>Move Immediately</v>
      </c>
    </row>
    <row r="5029" spans="1:25" x14ac:dyDescent="0.35">
      <c r="A5029" t="s">
        <v>179</v>
      </c>
      <c r="B5029" t="s">
        <v>180</v>
      </c>
      <c r="C5029" t="s">
        <v>181</v>
      </c>
      <c r="D5029" t="s">
        <v>1811</v>
      </c>
      <c r="E5029">
        <v>80861851</v>
      </c>
      <c r="F5029" t="s">
        <v>3125</v>
      </c>
      <c r="G5029" s="3">
        <v>46512</v>
      </c>
      <c r="H5029">
        <v>16</v>
      </c>
      <c r="I5029">
        <v>67</v>
      </c>
      <c r="J5029">
        <v>132</v>
      </c>
      <c r="K5029" s="4">
        <v>18655.560000000001</v>
      </c>
      <c r="L5029" s="4">
        <v>1006.7142857142857</v>
      </c>
      <c r="M5029" s="4">
        <v>0.13111962537249894</v>
      </c>
      <c r="N5029" t="s">
        <v>25</v>
      </c>
      <c r="O5029" t="str">
        <f t="shared" si="780"/>
        <v>Low</v>
      </c>
      <c r="P5029" t="str">
        <f t="shared" si="781"/>
        <v>Low</v>
      </c>
      <c r="Q5029" t="str">
        <f t="shared" si="782"/>
        <v>Low</v>
      </c>
      <c r="R5029" t="s">
        <v>3317</v>
      </c>
      <c r="S5029" s="4">
        <f t="shared" ca="1" si="783"/>
        <v>315</v>
      </c>
      <c r="T5029">
        <f t="shared" si="784"/>
        <v>1</v>
      </c>
      <c r="U5029">
        <f t="shared" si="785"/>
        <v>1</v>
      </c>
      <c r="V5029">
        <f t="shared" si="786"/>
        <v>1</v>
      </c>
      <c r="W5029">
        <f t="shared" si="787"/>
        <v>1</v>
      </c>
      <c r="X5029">
        <f t="shared" si="788"/>
        <v>0.99999999999999989</v>
      </c>
      <c r="Y5029" t="str">
        <f t="shared" si="789"/>
        <v>Healthy</v>
      </c>
    </row>
    <row r="5030" spans="1:25" x14ac:dyDescent="0.35">
      <c r="A5030" t="s">
        <v>179</v>
      </c>
      <c r="B5030" t="s">
        <v>180</v>
      </c>
      <c r="C5030" t="s">
        <v>181</v>
      </c>
      <c r="D5030" t="s">
        <v>1811</v>
      </c>
      <c r="E5030">
        <v>80861851</v>
      </c>
      <c r="F5030" t="s">
        <v>3125</v>
      </c>
      <c r="G5030" s="3">
        <v>46506</v>
      </c>
      <c r="H5030">
        <v>16</v>
      </c>
      <c r="I5030">
        <v>65</v>
      </c>
      <c r="J5030">
        <v>27</v>
      </c>
      <c r="K5030" s="4">
        <v>3815.91</v>
      </c>
      <c r="L5030" s="4">
        <v>1006.7142857142857</v>
      </c>
      <c r="M5030" s="4">
        <v>2.681992337164751E-2</v>
      </c>
      <c r="N5030" t="s">
        <v>25</v>
      </c>
      <c r="O5030" t="str">
        <f t="shared" si="780"/>
        <v>Low</v>
      </c>
      <c r="P5030" t="str">
        <f t="shared" si="781"/>
        <v>Low</v>
      </c>
      <c r="Q5030" t="str">
        <f t="shared" si="782"/>
        <v>Low</v>
      </c>
      <c r="R5030" t="s">
        <v>3317</v>
      </c>
      <c r="S5030" s="4">
        <f t="shared" ca="1" si="783"/>
        <v>309</v>
      </c>
      <c r="T5030">
        <f t="shared" si="784"/>
        <v>1</v>
      </c>
      <c r="U5030">
        <f t="shared" si="785"/>
        <v>1</v>
      </c>
      <c r="V5030">
        <f t="shared" si="786"/>
        <v>1</v>
      </c>
      <c r="W5030">
        <f t="shared" si="787"/>
        <v>1</v>
      </c>
      <c r="X5030">
        <f t="shared" si="788"/>
        <v>0.99999999999999989</v>
      </c>
      <c r="Y5030" t="str">
        <f t="shared" si="789"/>
        <v>Healthy</v>
      </c>
    </row>
    <row r="5031" spans="1:25" x14ac:dyDescent="0.35">
      <c r="A5031" t="s">
        <v>179</v>
      </c>
      <c r="B5031" t="s">
        <v>195</v>
      </c>
      <c r="C5031" t="s">
        <v>422</v>
      </c>
      <c r="D5031" t="s">
        <v>423</v>
      </c>
      <c r="E5031">
        <v>80878443</v>
      </c>
      <c r="F5031" t="s">
        <v>3126</v>
      </c>
      <c r="G5031" s="3">
        <v>46543</v>
      </c>
      <c r="H5031">
        <v>16</v>
      </c>
      <c r="I5031">
        <v>73</v>
      </c>
      <c r="J5031">
        <v>35</v>
      </c>
      <c r="K5031" s="4">
        <v>26412.400000000001</v>
      </c>
      <c r="L5031" s="4">
        <v>411.42857142857144</v>
      </c>
      <c r="M5031" s="4">
        <v>8.5069444444444448E-2</v>
      </c>
      <c r="N5031" t="s">
        <v>25</v>
      </c>
      <c r="O5031" t="str">
        <f t="shared" si="780"/>
        <v>Low</v>
      </c>
      <c r="P5031" t="str">
        <f t="shared" si="781"/>
        <v>Low</v>
      </c>
      <c r="Q5031" t="str">
        <f t="shared" si="782"/>
        <v>Low</v>
      </c>
      <c r="R5031" t="s">
        <v>3317</v>
      </c>
      <c r="S5031" s="4">
        <f t="shared" ca="1" si="783"/>
        <v>346</v>
      </c>
      <c r="T5031">
        <f t="shared" si="784"/>
        <v>1</v>
      </c>
      <c r="U5031">
        <f t="shared" si="785"/>
        <v>1</v>
      </c>
      <c r="V5031">
        <f t="shared" si="786"/>
        <v>1</v>
      </c>
      <c r="W5031">
        <f t="shared" si="787"/>
        <v>1</v>
      </c>
      <c r="X5031">
        <f t="shared" si="788"/>
        <v>0.99999999999999989</v>
      </c>
      <c r="Y5031" t="str">
        <f t="shared" si="789"/>
        <v>Healthy</v>
      </c>
    </row>
    <row r="5032" spans="1:25" x14ac:dyDescent="0.35">
      <c r="A5032" t="s">
        <v>179</v>
      </c>
      <c r="B5032" t="s">
        <v>180</v>
      </c>
      <c r="C5032" t="s">
        <v>181</v>
      </c>
      <c r="D5032" t="s">
        <v>3127</v>
      </c>
      <c r="E5032">
        <v>80861853</v>
      </c>
      <c r="F5032" t="s">
        <v>3128</v>
      </c>
      <c r="G5032" s="3">
        <v>46557</v>
      </c>
      <c r="H5032">
        <v>16</v>
      </c>
      <c r="I5032">
        <v>76</v>
      </c>
      <c r="J5032">
        <v>4</v>
      </c>
      <c r="K5032" s="4">
        <v>1809.72</v>
      </c>
      <c r="L5032" s="4">
        <v>1969.8571428571429</v>
      </c>
      <c r="M5032" s="4">
        <v>2.0306041047211546E-3</v>
      </c>
      <c r="N5032" t="s">
        <v>25</v>
      </c>
      <c r="O5032" t="str">
        <f t="shared" si="780"/>
        <v>Low</v>
      </c>
      <c r="P5032" t="str">
        <f t="shared" si="781"/>
        <v>Low</v>
      </c>
      <c r="Q5032" t="str">
        <f t="shared" si="782"/>
        <v>Low</v>
      </c>
      <c r="R5032" t="s">
        <v>3317</v>
      </c>
      <c r="S5032" s="4">
        <f t="shared" ca="1" si="783"/>
        <v>360</v>
      </c>
      <c r="T5032">
        <f t="shared" si="784"/>
        <v>1</v>
      </c>
      <c r="U5032">
        <f t="shared" si="785"/>
        <v>1</v>
      </c>
      <c r="V5032">
        <f t="shared" si="786"/>
        <v>1</v>
      </c>
      <c r="W5032">
        <f t="shared" si="787"/>
        <v>1</v>
      </c>
      <c r="X5032">
        <f t="shared" si="788"/>
        <v>0.99999999999999989</v>
      </c>
      <c r="Y5032" t="str">
        <f t="shared" si="789"/>
        <v>Healthy</v>
      </c>
    </row>
    <row r="5033" spans="1:25" x14ac:dyDescent="0.35">
      <c r="A5033" t="s">
        <v>179</v>
      </c>
      <c r="B5033" t="s">
        <v>180</v>
      </c>
      <c r="C5033" t="s">
        <v>181</v>
      </c>
      <c r="D5033" t="s">
        <v>3127</v>
      </c>
      <c r="E5033">
        <v>80861853</v>
      </c>
      <c r="F5033" t="s">
        <v>3128</v>
      </c>
      <c r="G5033" s="3">
        <v>46590</v>
      </c>
      <c r="H5033">
        <v>16</v>
      </c>
      <c r="I5033">
        <v>83</v>
      </c>
      <c r="J5033">
        <v>4</v>
      </c>
      <c r="K5033" s="4">
        <v>1809.72</v>
      </c>
      <c r="L5033" s="4">
        <v>1969.8571428571429</v>
      </c>
      <c r="M5033" s="4">
        <v>2.0306041047211546E-3</v>
      </c>
      <c r="N5033" t="s">
        <v>25</v>
      </c>
      <c r="O5033" t="str">
        <f t="shared" si="780"/>
        <v>Low</v>
      </c>
      <c r="P5033" t="str">
        <f t="shared" si="781"/>
        <v>Low</v>
      </c>
      <c r="Q5033" t="str">
        <f t="shared" si="782"/>
        <v>Low</v>
      </c>
      <c r="R5033" t="s">
        <v>3317</v>
      </c>
      <c r="S5033" s="4">
        <f t="shared" ca="1" si="783"/>
        <v>393</v>
      </c>
      <c r="T5033">
        <f t="shared" si="784"/>
        <v>1</v>
      </c>
      <c r="U5033">
        <f t="shared" si="785"/>
        <v>1</v>
      </c>
      <c r="V5033">
        <f t="shared" si="786"/>
        <v>1</v>
      </c>
      <c r="W5033">
        <f t="shared" si="787"/>
        <v>1</v>
      </c>
      <c r="X5033">
        <f t="shared" si="788"/>
        <v>0.99999999999999989</v>
      </c>
      <c r="Y5033" t="str">
        <f t="shared" si="789"/>
        <v>Healthy</v>
      </c>
    </row>
    <row r="5034" spans="1:25" x14ac:dyDescent="0.35">
      <c r="A5034" t="s">
        <v>179</v>
      </c>
      <c r="B5034" t="s">
        <v>180</v>
      </c>
      <c r="C5034" t="s">
        <v>181</v>
      </c>
      <c r="D5034" t="s">
        <v>3127</v>
      </c>
      <c r="E5034">
        <v>80861853</v>
      </c>
      <c r="F5034" t="s">
        <v>3128</v>
      </c>
      <c r="G5034" s="3">
        <v>46605</v>
      </c>
      <c r="H5034">
        <v>16</v>
      </c>
      <c r="I5034">
        <v>86</v>
      </c>
      <c r="J5034">
        <v>8</v>
      </c>
      <c r="K5034" s="4">
        <v>3619.44</v>
      </c>
      <c r="L5034" s="4">
        <v>1969.8571428571429</v>
      </c>
      <c r="M5034" s="4">
        <v>4.0612082094423092E-3</v>
      </c>
      <c r="N5034" t="s">
        <v>25</v>
      </c>
      <c r="O5034" t="str">
        <f t="shared" si="780"/>
        <v>Low</v>
      </c>
      <c r="P5034" t="str">
        <f t="shared" si="781"/>
        <v>Low</v>
      </c>
      <c r="Q5034" t="str">
        <f t="shared" si="782"/>
        <v>Low</v>
      </c>
      <c r="R5034" t="s">
        <v>3317</v>
      </c>
      <c r="S5034" s="4">
        <f t="shared" ca="1" si="783"/>
        <v>408</v>
      </c>
      <c r="T5034">
        <f t="shared" si="784"/>
        <v>1</v>
      </c>
      <c r="U5034">
        <f t="shared" si="785"/>
        <v>1</v>
      </c>
      <c r="V5034">
        <f t="shared" si="786"/>
        <v>1</v>
      </c>
      <c r="W5034">
        <f t="shared" si="787"/>
        <v>1</v>
      </c>
      <c r="X5034">
        <f t="shared" si="788"/>
        <v>0.99999999999999989</v>
      </c>
      <c r="Y5034" t="str">
        <f t="shared" si="789"/>
        <v>Healthy</v>
      </c>
    </row>
    <row r="5035" spans="1:25" x14ac:dyDescent="0.35">
      <c r="A5035" t="s">
        <v>179</v>
      </c>
      <c r="B5035" t="s">
        <v>180</v>
      </c>
      <c r="C5035" t="s">
        <v>181</v>
      </c>
      <c r="D5035" t="s">
        <v>3129</v>
      </c>
      <c r="E5035">
        <v>80890410</v>
      </c>
      <c r="F5035" t="s">
        <v>3130</v>
      </c>
      <c r="G5035" s="3">
        <v>46649</v>
      </c>
      <c r="H5035">
        <v>16</v>
      </c>
      <c r="I5035">
        <v>95</v>
      </c>
      <c r="J5035">
        <v>4</v>
      </c>
      <c r="K5035" s="4">
        <v>3658.56</v>
      </c>
      <c r="L5035" s="4">
        <v>7180.5714285714284</v>
      </c>
      <c r="M5035" s="4">
        <v>5.5705872990609577E-4</v>
      </c>
      <c r="N5035" t="s">
        <v>25</v>
      </c>
      <c r="O5035" t="str">
        <f t="shared" si="780"/>
        <v>Low</v>
      </c>
      <c r="P5035" t="str">
        <f t="shared" si="781"/>
        <v>Low</v>
      </c>
      <c r="Q5035" t="str">
        <f t="shared" si="782"/>
        <v>Low</v>
      </c>
      <c r="R5035" t="s">
        <v>3317</v>
      </c>
      <c r="S5035" s="4">
        <f t="shared" ca="1" si="783"/>
        <v>452</v>
      </c>
      <c r="T5035">
        <f t="shared" si="784"/>
        <v>1</v>
      </c>
      <c r="U5035">
        <f t="shared" si="785"/>
        <v>1</v>
      </c>
      <c r="V5035">
        <f t="shared" si="786"/>
        <v>1</v>
      </c>
      <c r="W5035">
        <f t="shared" si="787"/>
        <v>1</v>
      </c>
      <c r="X5035">
        <f t="shared" si="788"/>
        <v>0.99999999999999989</v>
      </c>
      <c r="Y5035" t="str">
        <f t="shared" si="789"/>
        <v>Healthy</v>
      </c>
    </row>
    <row r="5036" spans="1:25" x14ac:dyDescent="0.35">
      <c r="A5036" t="s">
        <v>179</v>
      </c>
      <c r="B5036" t="s">
        <v>180</v>
      </c>
      <c r="C5036" t="s">
        <v>181</v>
      </c>
      <c r="D5036" t="s">
        <v>3129</v>
      </c>
      <c r="E5036">
        <v>80890410</v>
      </c>
      <c r="F5036" t="s">
        <v>3130</v>
      </c>
      <c r="G5036" s="3">
        <v>46645</v>
      </c>
      <c r="H5036">
        <v>16</v>
      </c>
      <c r="I5036">
        <v>94</v>
      </c>
      <c r="J5036">
        <v>510</v>
      </c>
      <c r="K5036" s="4">
        <v>466466.4</v>
      </c>
      <c r="L5036" s="4">
        <v>7180.5714285714284</v>
      </c>
      <c r="M5036" s="4">
        <v>7.102498806302722E-2</v>
      </c>
      <c r="N5036" t="s">
        <v>25</v>
      </c>
      <c r="O5036" t="str">
        <f t="shared" si="780"/>
        <v>Low</v>
      </c>
      <c r="P5036" t="str">
        <f t="shared" si="781"/>
        <v>Low</v>
      </c>
      <c r="Q5036" t="str">
        <f t="shared" si="782"/>
        <v>Low</v>
      </c>
      <c r="R5036" t="s">
        <v>3309</v>
      </c>
      <c r="S5036" s="4">
        <f t="shared" ca="1" si="783"/>
        <v>448</v>
      </c>
      <c r="T5036">
        <f t="shared" si="784"/>
        <v>1</v>
      </c>
      <c r="U5036">
        <f t="shared" si="785"/>
        <v>1</v>
      </c>
      <c r="V5036">
        <f t="shared" si="786"/>
        <v>1</v>
      </c>
      <c r="W5036">
        <f t="shared" si="787"/>
        <v>3</v>
      </c>
      <c r="X5036">
        <f t="shared" si="788"/>
        <v>1.2</v>
      </c>
      <c r="Y5036" t="str">
        <f t="shared" si="789"/>
        <v>Healthy</v>
      </c>
    </row>
    <row r="5037" spans="1:25" x14ac:dyDescent="0.35">
      <c r="A5037" t="s">
        <v>179</v>
      </c>
      <c r="B5037" t="s">
        <v>180</v>
      </c>
      <c r="C5037" t="s">
        <v>181</v>
      </c>
      <c r="D5037" t="s">
        <v>3129</v>
      </c>
      <c r="E5037">
        <v>80890410</v>
      </c>
      <c r="F5037" t="s">
        <v>3130</v>
      </c>
      <c r="G5037" s="3">
        <v>46664</v>
      </c>
      <c r="H5037">
        <v>16</v>
      </c>
      <c r="I5037">
        <v>98</v>
      </c>
      <c r="J5037">
        <v>52</v>
      </c>
      <c r="K5037" s="4">
        <v>47561.279999999999</v>
      </c>
      <c r="L5037" s="4">
        <v>7180.5714285714284</v>
      </c>
      <c r="M5037" s="4">
        <v>7.2417634887792454E-3</v>
      </c>
      <c r="N5037" t="s">
        <v>25</v>
      </c>
      <c r="O5037" t="str">
        <f t="shared" si="780"/>
        <v>Low</v>
      </c>
      <c r="P5037" t="str">
        <f t="shared" si="781"/>
        <v>Low</v>
      </c>
      <c r="Q5037" t="str">
        <f t="shared" si="782"/>
        <v>Low</v>
      </c>
      <c r="R5037" t="s">
        <v>3317</v>
      </c>
      <c r="S5037" s="4">
        <f t="shared" ca="1" si="783"/>
        <v>467</v>
      </c>
      <c r="T5037">
        <f t="shared" si="784"/>
        <v>1</v>
      </c>
      <c r="U5037">
        <f t="shared" si="785"/>
        <v>1</v>
      </c>
      <c r="V5037">
        <f t="shared" si="786"/>
        <v>1</v>
      </c>
      <c r="W5037">
        <f t="shared" si="787"/>
        <v>1</v>
      </c>
      <c r="X5037">
        <f t="shared" si="788"/>
        <v>0.99999999999999989</v>
      </c>
      <c r="Y5037" t="str">
        <f t="shared" si="789"/>
        <v>Healthy</v>
      </c>
    </row>
    <row r="5038" spans="1:25" x14ac:dyDescent="0.35">
      <c r="A5038" t="s">
        <v>179</v>
      </c>
      <c r="B5038" t="s">
        <v>180</v>
      </c>
      <c r="C5038" t="s">
        <v>181</v>
      </c>
      <c r="D5038" t="s">
        <v>3129</v>
      </c>
      <c r="E5038">
        <v>80890410</v>
      </c>
      <c r="F5038" t="s">
        <v>3130</v>
      </c>
      <c r="G5038" s="3">
        <v>46671</v>
      </c>
      <c r="H5038">
        <v>16</v>
      </c>
      <c r="I5038">
        <v>100</v>
      </c>
      <c r="J5038">
        <v>146</v>
      </c>
      <c r="K5038" s="4">
        <v>133537.44</v>
      </c>
      <c r="L5038" s="4">
        <v>7180.5714285714284</v>
      </c>
      <c r="M5038" s="4">
        <v>2.0332643641572497E-2</v>
      </c>
      <c r="N5038" t="s">
        <v>25</v>
      </c>
      <c r="O5038" t="str">
        <f t="shared" si="780"/>
        <v>Low</v>
      </c>
      <c r="P5038" t="str">
        <f t="shared" si="781"/>
        <v>Low</v>
      </c>
      <c r="Q5038" t="str">
        <f t="shared" si="782"/>
        <v>Low</v>
      </c>
      <c r="R5038" t="s">
        <v>3309</v>
      </c>
      <c r="S5038" s="4">
        <f t="shared" ca="1" si="783"/>
        <v>474</v>
      </c>
      <c r="T5038">
        <f t="shared" si="784"/>
        <v>1</v>
      </c>
      <c r="U5038">
        <f t="shared" si="785"/>
        <v>1</v>
      </c>
      <c r="V5038">
        <f t="shared" si="786"/>
        <v>1</v>
      </c>
      <c r="W5038">
        <f t="shared" si="787"/>
        <v>3</v>
      </c>
      <c r="X5038">
        <f t="shared" si="788"/>
        <v>1.2</v>
      </c>
      <c r="Y5038" t="str">
        <f t="shared" si="789"/>
        <v>Healthy</v>
      </c>
    </row>
    <row r="5039" spans="1:25" x14ac:dyDescent="0.35">
      <c r="A5039" t="s">
        <v>179</v>
      </c>
      <c r="B5039" t="s">
        <v>180</v>
      </c>
      <c r="C5039" t="s">
        <v>181</v>
      </c>
      <c r="D5039" t="s">
        <v>3129</v>
      </c>
      <c r="E5039">
        <v>80890410</v>
      </c>
      <c r="F5039" t="s">
        <v>3130</v>
      </c>
      <c r="G5039" s="3">
        <v>46651</v>
      </c>
      <c r="H5039">
        <v>16</v>
      </c>
      <c r="I5039">
        <v>96</v>
      </c>
      <c r="J5039">
        <v>20</v>
      </c>
      <c r="K5039" s="4">
        <v>18292.8</v>
      </c>
      <c r="L5039" s="4">
        <v>7180.5714285714284</v>
      </c>
      <c r="M5039" s="4">
        <v>2.7852936495304792E-3</v>
      </c>
      <c r="N5039" t="s">
        <v>25</v>
      </c>
      <c r="O5039" t="str">
        <f t="shared" si="780"/>
        <v>Low</v>
      </c>
      <c r="P5039" t="str">
        <f t="shared" si="781"/>
        <v>Low</v>
      </c>
      <c r="Q5039" t="str">
        <f t="shared" si="782"/>
        <v>Low</v>
      </c>
      <c r="R5039" t="s">
        <v>3317</v>
      </c>
      <c r="S5039" s="4">
        <f t="shared" ca="1" si="783"/>
        <v>454</v>
      </c>
      <c r="T5039">
        <f t="shared" si="784"/>
        <v>1</v>
      </c>
      <c r="U5039">
        <f t="shared" si="785"/>
        <v>1</v>
      </c>
      <c r="V5039">
        <f t="shared" si="786"/>
        <v>1</v>
      </c>
      <c r="W5039">
        <f t="shared" si="787"/>
        <v>1</v>
      </c>
      <c r="X5039">
        <f t="shared" si="788"/>
        <v>0.99999999999999989</v>
      </c>
      <c r="Y5039" t="str">
        <f t="shared" si="789"/>
        <v>Healthy</v>
      </c>
    </row>
    <row r="5040" spans="1:25" x14ac:dyDescent="0.35">
      <c r="A5040" t="s">
        <v>179</v>
      </c>
      <c r="B5040" t="s">
        <v>180</v>
      </c>
      <c r="C5040" t="s">
        <v>181</v>
      </c>
      <c r="D5040" t="s">
        <v>1809</v>
      </c>
      <c r="E5040">
        <v>80861854</v>
      </c>
      <c r="F5040" t="s">
        <v>3131</v>
      </c>
      <c r="G5040" s="3">
        <v>46486</v>
      </c>
      <c r="H5040">
        <v>16</v>
      </c>
      <c r="I5040">
        <v>61</v>
      </c>
      <c r="J5040">
        <v>206</v>
      </c>
      <c r="K5040" s="4">
        <v>27282.639999999999</v>
      </c>
      <c r="L5040" s="4">
        <v>527.14285714285711</v>
      </c>
      <c r="M5040" s="4">
        <v>0.39078590785907863</v>
      </c>
      <c r="N5040" t="s">
        <v>25</v>
      </c>
      <c r="O5040" t="str">
        <f t="shared" si="780"/>
        <v>Low</v>
      </c>
      <c r="P5040" t="str">
        <f t="shared" si="781"/>
        <v>Low</v>
      </c>
      <c r="Q5040" t="str">
        <f t="shared" si="782"/>
        <v>Low</v>
      </c>
      <c r="R5040" t="s">
        <v>3317</v>
      </c>
      <c r="S5040" s="4">
        <f t="shared" ca="1" si="783"/>
        <v>289</v>
      </c>
      <c r="T5040">
        <f t="shared" si="784"/>
        <v>1</v>
      </c>
      <c r="U5040">
        <f t="shared" si="785"/>
        <v>1</v>
      </c>
      <c r="V5040">
        <f t="shared" si="786"/>
        <v>1</v>
      </c>
      <c r="W5040">
        <f t="shared" si="787"/>
        <v>1</v>
      </c>
      <c r="X5040">
        <f t="shared" si="788"/>
        <v>0.99999999999999989</v>
      </c>
      <c r="Y5040" t="str">
        <f t="shared" si="789"/>
        <v>Healthy</v>
      </c>
    </row>
    <row r="5041" spans="1:25" x14ac:dyDescent="0.35">
      <c r="A5041" t="s">
        <v>179</v>
      </c>
      <c r="B5041" t="s">
        <v>180</v>
      </c>
      <c r="C5041" t="s">
        <v>181</v>
      </c>
      <c r="D5041" t="s">
        <v>1809</v>
      </c>
      <c r="E5041">
        <v>80861854</v>
      </c>
      <c r="F5041" t="s">
        <v>3131</v>
      </c>
      <c r="G5041" s="3">
        <v>46452</v>
      </c>
      <c r="H5041">
        <v>16</v>
      </c>
      <c r="I5041">
        <v>54</v>
      </c>
      <c r="J5041">
        <v>157</v>
      </c>
      <c r="K5041" s="4">
        <v>20793.080000000002</v>
      </c>
      <c r="L5041" s="4">
        <v>527.14285714285711</v>
      </c>
      <c r="M5041" s="4">
        <v>0.2978319783197832</v>
      </c>
      <c r="N5041" t="s">
        <v>25</v>
      </c>
      <c r="O5041" t="str">
        <f t="shared" si="780"/>
        <v>Low</v>
      </c>
      <c r="P5041" t="str">
        <f t="shared" si="781"/>
        <v>Low</v>
      </c>
      <c r="Q5041" t="str">
        <f t="shared" si="782"/>
        <v>Low</v>
      </c>
      <c r="R5041" t="s">
        <v>3317</v>
      </c>
      <c r="S5041" s="4">
        <f t="shared" ca="1" si="783"/>
        <v>255</v>
      </c>
      <c r="T5041">
        <f t="shared" si="784"/>
        <v>1</v>
      </c>
      <c r="U5041">
        <f t="shared" si="785"/>
        <v>1</v>
      </c>
      <c r="V5041">
        <f t="shared" si="786"/>
        <v>1</v>
      </c>
      <c r="W5041">
        <f t="shared" si="787"/>
        <v>1</v>
      </c>
      <c r="X5041">
        <f t="shared" si="788"/>
        <v>0.99999999999999989</v>
      </c>
      <c r="Y5041" t="str">
        <f t="shared" si="789"/>
        <v>Healthy</v>
      </c>
    </row>
    <row r="5042" spans="1:25" x14ac:dyDescent="0.35">
      <c r="A5042" t="s">
        <v>179</v>
      </c>
      <c r="B5042" t="s">
        <v>180</v>
      </c>
      <c r="C5042" t="s">
        <v>181</v>
      </c>
      <c r="D5042" t="s">
        <v>1809</v>
      </c>
      <c r="E5042">
        <v>80861854</v>
      </c>
      <c r="F5042" t="s">
        <v>3131</v>
      </c>
      <c r="G5042" s="3">
        <v>46500</v>
      </c>
      <c r="H5042">
        <v>16</v>
      </c>
      <c r="I5042">
        <v>64</v>
      </c>
      <c r="J5042">
        <v>216</v>
      </c>
      <c r="K5042" s="4">
        <v>28607.040000000001</v>
      </c>
      <c r="L5042" s="4">
        <v>527.14285714285711</v>
      </c>
      <c r="M5042" s="4">
        <v>0.40975609756097564</v>
      </c>
      <c r="N5042" t="s">
        <v>25</v>
      </c>
      <c r="O5042" t="str">
        <f t="shared" si="780"/>
        <v>Low</v>
      </c>
      <c r="P5042" t="str">
        <f t="shared" si="781"/>
        <v>Low</v>
      </c>
      <c r="Q5042" t="str">
        <f t="shared" si="782"/>
        <v>Low</v>
      </c>
      <c r="R5042" t="s">
        <v>3317</v>
      </c>
      <c r="S5042" s="4">
        <f t="shared" ca="1" si="783"/>
        <v>303</v>
      </c>
      <c r="T5042">
        <f t="shared" si="784"/>
        <v>1</v>
      </c>
      <c r="U5042">
        <f t="shared" si="785"/>
        <v>1</v>
      </c>
      <c r="V5042">
        <f t="shared" si="786"/>
        <v>1</v>
      </c>
      <c r="W5042">
        <f t="shared" si="787"/>
        <v>1</v>
      </c>
      <c r="X5042">
        <f t="shared" si="788"/>
        <v>0.99999999999999989</v>
      </c>
      <c r="Y5042" t="str">
        <f t="shared" si="789"/>
        <v>Healthy</v>
      </c>
    </row>
    <row r="5043" spans="1:25" x14ac:dyDescent="0.35">
      <c r="A5043" t="s">
        <v>179</v>
      </c>
      <c r="B5043" t="s">
        <v>180</v>
      </c>
      <c r="C5043" t="s">
        <v>181</v>
      </c>
      <c r="D5043" t="s">
        <v>3132</v>
      </c>
      <c r="E5043">
        <v>80861869</v>
      </c>
      <c r="F5043" t="s">
        <v>3133</v>
      </c>
      <c r="G5043" s="3">
        <v>46637</v>
      </c>
      <c r="H5043">
        <v>16</v>
      </c>
      <c r="I5043">
        <v>93</v>
      </c>
      <c r="J5043">
        <v>150</v>
      </c>
      <c r="K5043" s="4">
        <v>100141.5</v>
      </c>
      <c r="L5043" s="4">
        <v>1007.5714285714286</v>
      </c>
      <c r="M5043" s="4">
        <v>0.14887282007656316</v>
      </c>
      <c r="N5043" t="s">
        <v>25</v>
      </c>
      <c r="O5043" t="str">
        <f t="shared" si="780"/>
        <v>Low</v>
      </c>
      <c r="P5043" t="str">
        <f t="shared" si="781"/>
        <v>Low</v>
      </c>
      <c r="Q5043" t="str">
        <f t="shared" si="782"/>
        <v>Low</v>
      </c>
      <c r="R5043" t="s">
        <v>3310</v>
      </c>
      <c r="S5043" s="4">
        <f t="shared" ca="1" si="783"/>
        <v>440</v>
      </c>
      <c r="T5043">
        <f t="shared" si="784"/>
        <v>1</v>
      </c>
      <c r="U5043">
        <f t="shared" si="785"/>
        <v>1</v>
      </c>
      <c r="V5043">
        <f t="shared" si="786"/>
        <v>1</v>
      </c>
      <c r="W5043">
        <f t="shared" si="787"/>
        <v>2</v>
      </c>
      <c r="X5043">
        <f t="shared" si="788"/>
        <v>1.0999999999999999</v>
      </c>
      <c r="Y5043" t="str">
        <f t="shared" si="789"/>
        <v>Healthy</v>
      </c>
    </row>
    <row r="5044" spans="1:25" x14ac:dyDescent="0.35">
      <c r="A5044" t="s">
        <v>179</v>
      </c>
      <c r="B5044" t="s">
        <v>180</v>
      </c>
      <c r="C5044" t="s">
        <v>181</v>
      </c>
      <c r="D5044" t="s">
        <v>3132</v>
      </c>
      <c r="E5044">
        <v>80861869</v>
      </c>
      <c r="F5044" t="s">
        <v>3133</v>
      </c>
      <c r="G5044" s="3">
        <v>46637</v>
      </c>
      <c r="H5044">
        <v>16</v>
      </c>
      <c r="I5044">
        <v>93</v>
      </c>
      <c r="J5044">
        <v>135</v>
      </c>
      <c r="K5044" s="4">
        <v>90127.35</v>
      </c>
      <c r="L5044" s="4">
        <v>1007.5714285714286</v>
      </c>
      <c r="M5044" s="4">
        <v>0.13398553806890684</v>
      </c>
      <c r="N5044" t="s">
        <v>25</v>
      </c>
      <c r="O5044" t="str">
        <f t="shared" si="780"/>
        <v>Low</v>
      </c>
      <c r="P5044" t="str">
        <f t="shared" si="781"/>
        <v>Low</v>
      </c>
      <c r="Q5044" t="str">
        <f t="shared" si="782"/>
        <v>Low</v>
      </c>
      <c r="R5044" t="s">
        <v>3310</v>
      </c>
      <c r="S5044" s="4">
        <f t="shared" ca="1" si="783"/>
        <v>440</v>
      </c>
      <c r="T5044">
        <f t="shared" si="784"/>
        <v>1</v>
      </c>
      <c r="U5044">
        <f t="shared" si="785"/>
        <v>1</v>
      </c>
      <c r="V5044">
        <f t="shared" si="786"/>
        <v>1</v>
      </c>
      <c r="W5044">
        <f t="shared" si="787"/>
        <v>2</v>
      </c>
      <c r="X5044">
        <f t="shared" si="788"/>
        <v>1.0999999999999999</v>
      </c>
      <c r="Y5044" t="str">
        <f t="shared" si="789"/>
        <v>Healthy</v>
      </c>
    </row>
    <row r="5045" spans="1:25" x14ac:dyDescent="0.35">
      <c r="A5045" t="s">
        <v>179</v>
      </c>
      <c r="B5045" t="s">
        <v>180</v>
      </c>
      <c r="C5045" t="s">
        <v>181</v>
      </c>
      <c r="D5045" t="s">
        <v>3132</v>
      </c>
      <c r="E5045">
        <v>80861869</v>
      </c>
      <c r="F5045" t="s">
        <v>3133</v>
      </c>
      <c r="G5045" s="3">
        <v>46615</v>
      </c>
      <c r="H5045">
        <v>16</v>
      </c>
      <c r="I5045">
        <v>88</v>
      </c>
      <c r="J5045">
        <v>84</v>
      </c>
      <c r="K5045" s="4">
        <v>56079.24</v>
      </c>
      <c r="L5045" s="4">
        <v>1007.5714285714286</v>
      </c>
      <c r="M5045" s="4">
        <v>8.3368779242875377E-2</v>
      </c>
      <c r="N5045" t="s">
        <v>25</v>
      </c>
      <c r="O5045" t="str">
        <f t="shared" si="780"/>
        <v>Low</v>
      </c>
      <c r="P5045" t="str">
        <f t="shared" si="781"/>
        <v>Low</v>
      </c>
      <c r="Q5045" t="str">
        <f t="shared" si="782"/>
        <v>Low</v>
      </c>
      <c r="R5045" t="s">
        <v>3317</v>
      </c>
      <c r="S5045" s="4">
        <f t="shared" ca="1" si="783"/>
        <v>418</v>
      </c>
      <c r="T5045">
        <f t="shared" si="784"/>
        <v>1</v>
      </c>
      <c r="U5045">
        <f t="shared" si="785"/>
        <v>1</v>
      </c>
      <c r="V5045">
        <f t="shared" si="786"/>
        <v>1</v>
      </c>
      <c r="W5045">
        <f t="shared" si="787"/>
        <v>1</v>
      </c>
      <c r="X5045">
        <f t="shared" si="788"/>
        <v>0.99999999999999989</v>
      </c>
      <c r="Y5045" t="str">
        <f t="shared" si="789"/>
        <v>Healthy</v>
      </c>
    </row>
    <row r="5046" spans="1:25" x14ac:dyDescent="0.35">
      <c r="A5046" t="s">
        <v>179</v>
      </c>
      <c r="B5046" t="s">
        <v>180</v>
      </c>
      <c r="C5046" t="s">
        <v>181</v>
      </c>
      <c r="D5046" t="s">
        <v>3132</v>
      </c>
      <c r="E5046">
        <v>80861869</v>
      </c>
      <c r="F5046" t="s">
        <v>3133</v>
      </c>
      <c r="G5046" s="3">
        <v>46641</v>
      </c>
      <c r="H5046">
        <v>16</v>
      </c>
      <c r="I5046">
        <v>94</v>
      </c>
      <c r="J5046">
        <v>30</v>
      </c>
      <c r="K5046" s="4">
        <v>20028.3</v>
      </c>
      <c r="L5046" s="4">
        <v>1007.5714285714286</v>
      </c>
      <c r="M5046" s="4">
        <v>2.9774564015312633E-2</v>
      </c>
      <c r="N5046" t="s">
        <v>25</v>
      </c>
      <c r="O5046" t="str">
        <f t="shared" si="780"/>
        <v>Low</v>
      </c>
      <c r="P5046" t="str">
        <f t="shared" si="781"/>
        <v>Low</v>
      </c>
      <c r="Q5046" t="str">
        <f t="shared" si="782"/>
        <v>Low</v>
      </c>
      <c r="R5046" t="s">
        <v>3317</v>
      </c>
      <c r="S5046" s="4">
        <f t="shared" ca="1" si="783"/>
        <v>444</v>
      </c>
      <c r="T5046">
        <f t="shared" si="784"/>
        <v>1</v>
      </c>
      <c r="U5046">
        <f t="shared" si="785"/>
        <v>1</v>
      </c>
      <c r="V5046">
        <f t="shared" si="786"/>
        <v>1</v>
      </c>
      <c r="W5046">
        <f t="shared" si="787"/>
        <v>1</v>
      </c>
      <c r="X5046">
        <f t="shared" si="788"/>
        <v>0.99999999999999989</v>
      </c>
      <c r="Y5046" t="str">
        <f t="shared" si="789"/>
        <v>Healthy</v>
      </c>
    </row>
    <row r="5047" spans="1:25" x14ac:dyDescent="0.35">
      <c r="A5047" t="s">
        <v>179</v>
      </c>
      <c r="B5047" t="s">
        <v>180</v>
      </c>
      <c r="C5047" t="s">
        <v>181</v>
      </c>
      <c r="D5047" t="s">
        <v>3134</v>
      </c>
      <c r="E5047">
        <v>80890433</v>
      </c>
      <c r="F5047" t="s">
        <v>3135</v>
      </c>
      <c r="G5047" s="3">
        <v>46633</v>
      </c>
      <c r="H5047">
        <v>16</v>
      </c>
      <c r="I5047">
        <v>92</v>
      </c>
      <c r="J5047">
        <v>7</v>
      </c>
      <c r="K5047" s="4">
        <v>7522.41</v>
      </c>
      <c r="L5047" s="4">
        <v>8911.4285714285706</v>
      </c>
      <c r="M5047" s="4">
        <v>7.8550817569733892E-4</v>
      </c>
      <c r="N5047" t="s">
        <v>25</v>
      </c>
      <c r="O5047" t="str">
        <f t="shared" si="780"/>
        <v>Low</v>
      </c>
      <c r="P5047" t="str">
        <f t="shared" si="781"/>
        <v>Low</v>
      </c>
      <c r="Q5047" t="str">
        <f t="shared" si="782"/>
        <v>Low</v>
      </c>
      <c r="R5047" t="s">
        <v>3317</v>
      </c>
      <c r="S5047" s="4">
        <f t="shared" ca="1" si="783"/>
        <v>436</v>
      </c>
      <c r="T5047">
        <f t="shared" si="784"/>
        <v>1</v>
      </c>
      <c r="U5047">
        <f t="shared" si="785"/>
        <v>1</v>
      </c>
      <c r="V5047">
        <f t="shared" si="786"/>
        <v>1</v>
      </c>
      <c r="W5047">
        <f t="shared" si="787"/>
        <v>1</v>
      </c>
      <c r="X5047">
        <f t="shared" si="788"/>
        <v>0.99999999999999989</v>
      </c>
      <c r="Y5047" t="str">
        <f t="shared" si="789"/>
        <v>Healthy</v>
      </c>
    </row>
    <row r="5048" spans="1:25" x14ac:dyDescent="0.35">
      <c r="A5048" t="s">
        <v>179</v>
      </c>
      <c r="B5048" t="s">
        <v>180</v>
      </c>
      <c r="C5048" t="s">
        <v>181</v>
      </c>
      <c r="D5048" t="s">
        <v>3134</v>
      </c>
      <c r="E5048">
        <v>80890433</v>
      </c>
      <c r="F5048" t="s">
        <v>3135</v>
      </c>
      <c r="G5048" s="3">
        <v>46643</v>
      </c>
      <c r="H5048">
        <v>16</v>
      </c>
      <c r="I5048">
        <v>94</v>
      </c>
      <c r="J5048">
        <v>592</v>
      </c>
      <c r="K5048" s="4">
        <v>636180.96</v>
      </c>
      <c r="L5048" s="4">
        <v>8911.4285714285706</v>
      </c>
      <c r="M5048" s="4">
        <v>6.6431548573260668E-2</v>
      </c>
      <c r="N5048" t="s">
        <v>25</v>
      </c>
      <c r="O5048" t="str">
        <f t="shared" si="780"/>
        <v>Low</v>
      </c>
      <c r="P5048" t="str">
        <f t="shared" si="781"/>
        <v>Low</v>
      </c>
      <c r="Q5048" t="str">
        <f t="shared" si="782"/>
        <v>Low</v>
      </c>
      <c r="R5048" t="s">
        <v>3309</v>
      </c>
      <c r="S5048" s="4">
        <f t="shared" ca="1" si="783"/>
        <v>446</v>
      </c>
      <c r="T5048">
        <f t="shared" si="784"/>
        <v>1</v>
      </c>
      <c r="U5048">
        <f t="shared" si="785"/>
        <v>1</v>
      </c>
      <c r="V5048">
        <f t="shared" si="786"/>
        <v>1</v>
      </c>
      <c r="W5048">
        <f t="shared" si="787"/>
        <v>3</v>
      </c>
      <c r="X5048">
        <f t="shared" si="788"/>
        <v>1.2</v>
      </c>
      <c r="Y5048" t="str">
        <f t="shared" si="789"/>
        <v>Healthy</v>
      </c>
    </row>
    <row r="5049" spans="1:25" x14ac:dyDescent="0.35">
      <c r="A5049" t="s">
        <v>179</v>
      </c>
      <c r="B5049" t="s">
        <v>180</v>
      </c>
      <c r="C5049" t="s">
        <v>181</v>
      </c>
      <c r="D5049" t="s">
        <v>3134</v>
      </c>
      <c r="E5049">
        <v>80890433</v>
      </c>
      <c r="F5049" t="s">
        <v>3135</v>
      </c>
      <c r="G5049" s="3">
        <v>46635</v>
      </c>
      <c r="H5049">
        <v>16</v>
      </c>
      <c r="I5049">
        <v>92</v>
      </c>
      <c r="J5049">
        <v>262</v>
      </c>
      <c r="K5049" s="4">
        <v>281553.06</v>
      </c>
      <c r="L5049" s="4">
        <v>8911.4285714285706</v>
      </c>
      <c r="M5049" s="4">
        <v>2.9400448861814688E-2</v>
      </c>
      <c r="N5049" t="s">
        <v>25</v>
      </c>
      <c r="O5049" t="str">
        <f t="shared" si="780"/>
        <v>Low</v>
      </c>
      <c r="P5049" t="str">
        <f t="shared" si="781"/>
        <v>Low</v>
      </c>
      <c r="Q5049" t="str">
        <f t="shared" si="782"/>
        <v>Low</v>
      </c>
      <c r="R5049" t="s">
        <v>3309</v>
      </c>
      <c r="S5049" s="4">
        <f t="shared" ca="1" si="783"/>
        <v>438</v>
      </c>
      <c r="T5049">
        <f t="shared" si="784"/>
        <v>1</v>
      </c>
      <c r="U5049">
        <f t="shared" si="785"/>
        <v>1</v>
      </c>
      <c r="V5049">
        <f t="shared" si="786"/>
        <v>1</v>
      </c>
      <c r="W5049">
        <f t="shared" si="787"/>
        <v>3</v>
      </c>
      <c r="X5049">
        <f t="shared" si="788"/>
        <v>1.2</v>
      </c>
      <c r="Y5049" t="str">
        <f t="shared" si="789"/>
        <v>Healthy</v>
      </c>
    </row>
    <row r="5050" spans="1:25" x14ac:dyDescent="0.35">
      <c r="A5050" t="s">
        <v>179</v>
      </c>
      <c r="B5050" t="s">
        <v>180</v>
      </c>
      <c r="C5050" t="s">
        <v>181</v>
      </c>
      <c r="D5050" t="s">
        <v>3134</v>
      </c>
      <c r="E5050">
        <v>80890433</v>
      </c>
      <c r="F5050" t="s">
        <v>3135</v>
      </c>
      <c r="G5050" s="3">
        <v>46641</v>
      </c>
      <c r="H5050">
        <v>16</v>
      </c>
      <c r="I5050">
        <v>94</v>
      </c>
      <c r="J5050">
        <v>468</v>
      </c>
      <c r="K5050" s="4">
        <v>502926.84</v>
      </c>
      <c r="L5050" s="4">
        <v>8911.4285714285706</v>
      </c>
      <c r="M5050" s="4">
        <v>5.2516832318050662E-2</v>
      </c>
      <c r="N5050" t="s">
        <v>25</v>
      </c>
      <c r="O5050" t="str">
        <f t="shared" si="780"/>
        <v>Low</v>
      </c>
      <c r="P5050" t="str">
        <f t="shared" si="781"/>
        <v>Low</v>
      </c>
      <c r="Q5050" t="str">
        <f t="shared" si="782"/>
        <v>Low</v>
      </c>
      <c r="R5050" t="s">
        <v>3309</v>
      </c>
      <c r="S5050" s="4">
        <f t="shared" ca="1" si="783"/>
        <v>444</v>
      </c>
      <c r="T5050">
        <f t="shared" si="784"/>
        <v>1</v>
      </c>
      <c r="U5050">
        <f t="shared" si="785"/>
        <v>1</v>
      </c>
      <c r="V5050">
        <f t="shared" si="786"/>
        <v>1</v>
      </c>
      <c r="W5050">
        <f t="shared" si="787"/>
        <v>3</v>
      </c>
      <c r="X5050">
        <f t="shared" si="788"/>
        <v>1.2</v>
      </c>
      <c r="Y5050" t="str">
        <f t="shared" si="789"/>
        <v>Healthy</v>
      </c>
    </row>
    <row r="5051" spans="1:25" x14ac:dyDescent="0.35">
      <c r="A5051" t="s">
        <v>179</v>
      </c>
      <c r="B5051" t="s">
        <v>180</v>
      </c>
      <c r="C5051" t="s">
        <v>181</v>
      </c>
      <c r="D5051" t="s">
        <v>3134</v>
      </c>
      <c r="E5051">
        <v>80890433</v>
      </c>
      <c r="F5051" t="s">
        <v>3135</v>
      </c>
      <c r="G5051" s="3">
        <v>46633</v>
      </c>
      <c r="H5051">
        <v>16</v>
      </c>
      <c r="I5051">
        <v>92</v>
      </c>
      <c r="J5051">
        <v>28</v>
      </c>
      <c r="K5051" s="4">
        <v>30089.64</v>
      </c>
      <c r="L5051" s="4">
        <v>8911.4285714285706</v>
      </c>
      <c r="M5051" s="4">
        <v>3.1420327027893557E-3</v>
      </c>
      <c r="N5051" t="s">
        <v>25</v>
      </c>
      <c r="O5051" t="str">
        <f t="shared" si="780"/>
        <v>Low</v>
      </c>
      <c r="P5051" t="str">
        <f t="shared" si="781"/>
        <v>Low</v>
      </c>
      <c r="Q5051" t="str">
        <f t="shared" si="782"/>
        <v>Low</v>
      </c>
      <c r="R5051" t="s">
        <v>3317</v>
      </c>
      <c r="S5051" s="4">
        <f t="shared" ca="1" si="783"/>
        <v>436</v>
      </c>
      <c r="T5051">
        <f t="shared" si="784"/>
        <v>1</v>
      </c>
      <c r="U5051">
        <f t="shared" si="785"/>
        <v>1</v>
      </c>
      <c r="V5051">
        <f t="shared" si="786"/>
        <v>1</v>
      </c>
      <c r="W5051">
        <f t="shared" si="787"/>
        <v>1</v>
      </c>
      <c r="X5051">
        <f t="shared" si="788"/>
        <v>0.99999999999999989</v>
      </c>
      <c r="Y5051" t="str">
        <f t="shared" si="789"/>
        <v>Healthy</v>
      </c>
    </row>
    <row r="5052" spans="1:25" x14ac:dyDescent="0.35">
      <c r="A5052" t="s">
        <v>179</v>
      </c>
      <c r="B5052" t="s">
        <v>180</v>
      </c>
      <c r="C5052" t="s">
        <v>181</v>
      </c>
      <c r="D5052" t="s">
        <v>3134</v>
      </c>
      <c r="E5052">
        <v>80890433</v>
      </c>
      <c r="F5052" t="s">
        <v>3135</v>
      </c>
      <c r="G5052" s="3">
        <v>46667</v>
      </c>
      <c r="H5052">
        <v>16</v>
      </c>
      <c r="I5052">
        <v>99</v>
      </c>
      <c r="J5052">
        <v>176</v>
      </c>
      <c r="K5052" s="4">
        <v>189134.88</v>
      </c>
      <c r="L5052" s="4">
        <v>8911.4285714285706</v>
      </c>
      <c r="M5052" s="4">
        <v>1.9749919846104521E-2</v>
      </c>
      <c r="N5052" t="s">
        <v>25</v>
      </c>
      <c r="O5052" t="str">
        <f t="shared" si="780"/>
        <v>Low</v>
      </c>
      <c r="P5052" t="str">
        <f t="shared" si="781"/>
        <v>Low</v>
      </c>
      <c r="Q5052" t="str">
        <f t="shared" si="782"/>
        <v>Low</v>
      </c>
      <c r="R5052" t="s">
        <v>3309</v>
      </c>
      <c r="S5052" s="4">
        <f t="shared" ca="1" si="783"/>
        <v>470</v>
      </c>
      <c r="T5052">
        <f t="shared" si="784"/>
        <v>1</v>
      </c>
      <c r="U5052">
        <f t="shared" si="785"/>
        <v>1</v>
      </c>
      <c r="V5052">
        <f t="shared" si="786"/>
        <v>1</v>
      </c>
      <c r="W5052">
        <f t="shared" si="787"/>
        <v>3</v>
      </c>
      <c r="X5052">
        <f t="shared" si="788"/>
        <v>1.2</v>
      </c>
      <c r="Y5052" t="str">
        <f t="shared" si="789"/>
        <v>Healthy</v>
      </c>
    </row>
    <row r="5053" spans="1:25" x14ac:dyDescent="0.35">
      <c r="A5053" t="s">
        <v>179</v>
      </c>
      <c r="B5053" t="s">
        <v>180</v>
      </c>
      <c r="C5053" t="s">
        <v>181</v>
      </c>
      <c r="D5053" t="s">
        <v>3134</v>
      </c>
      <c r="E5053">
        <v>80890433</v>
      </c>
      <c r="F5053" t="s">
        <v>3135</v>
      </c>
      <c r="G5053" s="3">
        <v>46636</v>
      </c>
      <c r="H5053">
        <v>16</v>
      </c>
      <c r="I5053">
        <v>93</v>
      </c>
      <c r="J5053">
        <v>154</v>
      </c>
      <c r="K5053" s="4">
        <v>165493.01999999999</v>
      </c>
      <c r="L5053" s="4">
        <v>8911.4285714285706</v>
      </c>
      <c r="M5053" s="4">
        <v>1.7281179865341455E-2</v>
      </c>
      <c r="N5053" t="s">
        <v>25</v>
      </c>
      <c r="O5053" t="str">
        <f t="shared" si="780"/>
        <v>Low</v>
      </c>
      <c r="P5053" t="str">
        <f t="shared" si="781"/>
        <v>Low</v>
      </c>
      <c r="Q5053" t="str">
        <f t="shared" si="782"/>
        <v>Low</v>
      </c>
      <c r="R5053" t="s">
        <v>3309</v>
      </c>
      <c r="S5053" s="4">
        <f t="shared" ca="1" si="783"/>
        <v>439</v>
      </c>
      <c r="T5053">
        <f t="shared" si="784"/>
        <v>1</v>
      </c>
      <c r="U5053">
        <f t="shared" si="785"/>
        <v>1</v>
      </c>
      <c r="V5053">
        <f t="shared" si="786"/>
        <v>1</v>
      </c>
      <c r="W5053">
        <f t="shared" si="787"/>
        <v>3</v>
      </c>
      <c r="X5053">
        <f t="shared" si="788"/>
        <v>1.2</v>
      </c>
      <c r="Y5053" t="str">
        <f t="shared" si="789"/>
        <v>Healthy</v>
      </c>
    </row>
    <row r="5054" spans="1:25" x14ac:dyDescent="0.35">
      <c r="A5054" t="s">
        <v>179</v>
      </c>
      <c r="B5054" t="s">
        <v>180</v>
      </c>
      <c r="C5054" t="s">
        <v>181</v>
      </c>
      <c r="D5054" t="s">
        <v>3134</v>
      </c>
      <c r="E5054">
        <v>80890433</v>
      </c>
      <c r="F5054" t="s">
        <v>3135</v>
      </c>
      <c r="G5054" s="3">
        <v>46638</v>
      </c>
      <c r="H5054">
        <v>16</v>
      </c>
      <c r="I5054">
        <v>93</v>
      </c>
      <c r="J5054">
        <v>6</v>
      </c>
      <c r="K5054" s="4">
        <v>6447.78</v>
      </c>
      <c r="L5054" s="4">
        <v>8911.4285714285706</v>
      </c>
      <c r="M5054" s="4">
        <v>6.7329272202629057E-4</v>
      </c>
      <c r="N5054" t="s">
        <v>25</v>
      </c>
      <c r="O5054" t="str">
        <f t="shared" si="780"/>
        <v>Low</v>
      </c>
      <c r="P5054" t="str">
        <f t="shared" si="781"/>
        <v>Low</v>
      </c>
      <c r="Q5054" t="str">
        <f t="shared" si="782"/>
        <v>Low</v>
      </c>
      <c r="R5054" t="s">
        <v>3317</v>
      </c>
      <c r="S5054" s="4">
        <f t="shared" ca="1" si="783"/>
        <v>441</v>
      </c>
      <c r="T5054">
        <f t="shared" si="784"/>
        <v>1</v>
      </c>
      <c r="U5054">
        <f t="shared" si="785"/>
        <v>1</v>
      </c>
      <c r="V5054">
        <f t="shared" si="786"/>
        <v>1</v>
      </c>
      <c r="W5054">
        <f t="shared" si="787"/>
        <v>1</v>
      </c>
      <c r="X5054">
        <f t="shared" si="788"/>
        <v>0.99999999999999989</v>
      </c>
      <c r="Y5054" t="str">
        <f t="shared" si="789"/>
        <v>Healthy</v>
      </c>
    </row>
    <row r="5055" spans="1:25" x14ac:dyDescent="0.35">
      <c r="A5055" t="s">
        <v>179</v>
      </c>
      <c r="B5055" t="s">
        <v>180</v>
      </c>
      <c r="C5055" t="s">
        <v>181</v>
      </c>
      <c r="D5055" t="s">
        <v>3134</v>
      </c>
      <c r="E5055">
        <v>80890433</v>
      </c>
      <c r="F5055" t="s">
        <v>3135</v>
      </c>
      <c r="G5055" s="3">
        <v>46670</v>
      </c>
      <c r="H5055">
        <v>16</v>
      </c>
      <c r="I5055">
        <v>100</v>
      </c>
      <c r="J5055">
        <v>170</v>
      </c>
      <c r="K5055" s="4">
        <v>182687.1</v>
      </c>
      <c r="L5055" s="4">
        <v>8911.4285714285706</v>
      </c>
      <c r="M5055" s="4">
        <v>1.9076627124078233E-2</v>
      </c>
      <c r="N5055" t="s">
        <v>25</v>
      </c>
      <c r="O5055" t="str">
        <f t="shared" si="780"/>
        <v>Low</v>
      </c>
      <c r="P5055" t="str">
        <f t="shared" si="781"/>
        <v>Low</v>
      </c>
      <c r="Q5055" t="str">
        <f t="shared" si="782"/>
        <v>Low</v>
      </c>
      <c r="R5055" t="s">
        <v>3309</v>
      </c>
      <c r="S5055" s="4">
        <f t="shared" ca="1" si="783"/>
        <v>473</v>
      </c>
      <c r="T5055">
        <f t="shared" si="784"/>
        <v>1</v>
      </c>
      <c r="U5055">
        <f t="shared" si="785"/>
        <v>1</v>
      </c>
      <c r="V5055">
        <f t="shared" si="786"/>
        <v>1</v>
      </c>
      <c r="W5055">
        <f t="shared" si="787"/>
        <v>3</v>
      </c>
      <c r="X5055">
        <f t="shared" si="788"/>
        <v>1.2</v>
      </c>
      <c r="Y5055" t="str">
        <f t="shared" si="789"/>
        <v>Healthy</v>
      </c>
    </row>
    <row r="5056" spans="1:25" x14ac:dyDescent="0.35">
      <c r="A5056" t="s">
        <v>14</v>
      </c>
      <c r="B5056" t="s">
        <v>115</v>
      </c>
      <c r="C5056" t="s">
        <v>904</v>
      </c>
      <c r="D5056" t="s">
        <v>2606</v>
      </c>
      <c r="E5056">
        <v>80691728</v>
      </c>
      <c r="F5056" t="s">
        <v>3136</v>
      </c>
      <c r="G5056" s="3">
        <v>46958</v>
      </c>
      <c r="H5056">
        <v>60</v>
      </c>
      <c r="I5056">
        <v>43</v>
      </c>
      <c r="J5056">
        <v>6</v>
      </c>
      <c r="K5056" s="4">
        <v>1538.88</v>
      </c>
      <c r="L5056" s="4">
        <f>0</f>
        <v>0</v>
      </c>
      <c r="M5056" s="4">
        <f>999</f>
        <v>999</v>
      </c>
      <c r="N5056" t="s">
        <v>19</v>
      </c>
      <c r="O5056" t="str">
        <f t="shared" si="780"/>
        <v>Low</v>
      </c>
      <c r="P5056" t="str">
        <f t="shared" si="781"/>
        <v>High</v>
      </c>
      <c r="Q5056" t="str">
        <f t="shared" si="782"/>
        <v>High</v>
      </c>
      <c r="R5056" t="s">
        <v>3317</v>
      </c>
      <c r="S5056" s="4">
        <f t="shared" ca="1" si="783"/>
        <v>761</v>
      </c>
      <c r="T5056">
        <f t="shared" si="784"/>
        <v>1</v>
      </c>
      <c r="U5056">
        <f t="shared" si="785"/>
        <v>3</v>
      </c>
      <c r="V5056">
        <f t="shared" si="786"/>
        <v>3</v>
      </c>
      <c r="W5056">
        <f t="shared" si="787"/>
        <v>1</v>
      </c>
      <c r="X5056">
        <f t="shared" si="788"/>
        <v>2</v>
      </c>
      <c r="Y5056" t="str">
        <f t="shared" si="789"/>
        <v>Monitor</v>
      </c>
    </row>
    <row r="5057" spans="1:25" x14ac:dyDescent="0.35">
      <c r="A5057" t="s">
        <v>179</v>
      </c>
      <c r="B5057" t="s">
        <v>180</v>
      </c>
      <c r="C5057" t="s">
        <v>181</v>
      </c>
      <c r="D5057" t="s">
        <v>3134</v>
      </c>
      <c r="E5057">
        <v>80890433</v>
      </c>
      <c r="F5057" t="s">
        <v>3135</v>
      </c>
      <c r="G5057" s="3">
        <v>46638</v>
      </c>
      <c r="H5057">
        <v>16</v>
      </c>
      <c r="I5057">
        <v>93</v>
      </c>
      <c r="J5057">
        <v>720</v>
      </c>
      <c r="K5057" s="4">
        <v>773733.6</v>
      </c>
      <c r="L5057" s="4">
        <v>8911.4285714285706</v>
      </c>
      <c r="M5057" s="4">
        <v>8.0795126643154858E-2</v>
      </c>
      <c r="N5057" t="s">
        <v>25</v>
      </c>
      <c r="O5057" t="str">
        <f t="shared" si="780"/>
        <v>Low</v>
      </c>
      <c r="P5057" t="str">
        <f t="shared" si="781"/>
        <v>Low</v>
      </c>
      <c r="Q5057" t="str">
        <f t="shared" si="782"/>
        <v>Low</v>
      </c>
      <c r="R5057" t="s">
        <v>3309</v>
      </c>
      <c r="S5057" s="4">
        <f t="shared" ca="1" si="783"/>
        <v>441</v>
      </c>
      <c r="T5057">
        <f t="shared" si="784"/>
        <v>1</v>
      </c>
      <c r="U5057">
        <f t="shared" si="785"/>
        <v>1</v>
      </c>
      <c r="V5057">
        <f t="shared" si="786"/>
        <v>1</v>
      </c>
      <c r="W5057">
        <f t="shared" si="787"/>
        <v>3</v>
      </c>
      <c r="X5057">
        <f t="shared" si="788"/>
        <v>1.2</v>
      </c>
      <c r="Y5057" t="str">
        <f t="shared" si="789"/>
        <v>Healthy</v>
      </c>
    </row>
    <row r="5058" spans="1:25" x14ac:dyDescent="0.35">
      <c r="A5058" t="s">
        <v>14</v>
      </c>
      <c r="B5058" t="s">
        <v>115</v>
      </c>
      <c r="C5058" t="s">
        <v>904</v>
      </c>
      <c r="D5058" t="s">
        <v>2606</v>
      </c>
      <c r="E5058">
        <v>80691728</v>
      </c>
      <c r="F5058" t="s">
        <v>3136</v>
      </c>
      <c r="G5058" s="3">
        <v>46863</v>
      </c>
      <c r="H5058">
        <v>60</v>
      </c>
      <c r="I5058">
        <v>37</v>
      </c>
      <c r="J5058">
        <v>18</v>
      </c>
      <c r="K5058" s="4">
        <v>4616.6400000000003</v>
      </c>
      <c r="L5058" s="4">
        <f>0</f>
        <v>0</v>
      </c>
      <c r="M5058" s="4">
        <f>999</f>
        <v>999</v>
      </c>
      <c r="N5058" t="s">
        <v>19</v>
      </c>
      <c r="O5058" t="str">
        <f t="shared" si="780"/>
        <v>Medium</v>
      </c>
      <c r="P5058" t="str">
        <f t="shared" si="781"/>
        <v>High</v>
      </c>
      <c r="Q5058" t="str">
        <f t="shared" si="782"/>
        <v>High</v>
      </c>
      <c r="R5058" t="s">
        <v>3317</v>
      </c>
      <c r="S5058" s="4">
        <f t="shared" ca="1" si="783"/>
        <v>666</v>
      </c>
      <c r="T5058">
        <f t="shared" si="784"/>
        <v>2</v>
      </c>
      <c r="U5058">
        <f t="shared" si="785"/>
        <v>3</v>
      </c>
      <c r="V5058">
        <f t="shared" si="786"/>
        <v>3</v>
      </c>
      <c r="W5058">
        <f t="shared" si="787"/>
        <v>1</v>
      </c>
      <c r="X5058">
        <f t="shared" si="788"/>
        <v>2.4</v>
      </c>
      <c r="Y5058" t="str">
        <f t="shared" si="789"/>
        <v>High Priority</v>
      </c>
    </row>
    <row r="5059" spans="1:25" x14ac:dyDescent="0.35">
      <c r="A5059" t="s">
        <v>179</v>
      </c>
      <c r="B5059" t="s">
        <v>180</v>
      </c>
      <c r="C5059" t="s">
        <v>181</v>
      </c>
      <c r="D5059" t="s">
        <v>3137</v>
      </c>
      <c r="E5059">
        <v>80861870</v>
      </c>
      <c r="F5059" t="s">
        <v>3138</v>
      </c>
      <c r="G5059" s="3">
        <v>46665</v>
      </c>
      <c r="H5059">
        <v>16</v>
      </c>
      <c r="I5059">
        <v>99</v>
      </c>
      <c r="J5059">
        <v>420</v>
      </c>
      <c r="K5059" s="4">
        <v>313387.2</v>
      </c>
      <c r="L5059" s="4">
        <v>1331.7142857142858</v>
      </c>
      <c r="M5059" s="4">
        <v>0.31538296502896374</v>
      </c>
      <c r="N5059" t="s">
        <v>25</v>
      </c>
      <c r="O5059" t="str">
        <f t="shared" ref="O5059:O5122" si="790">IF(I5059&lt;20,"High",IF(I5059&lt;40,"Medium","Low"))</f>
        <v>Low</v>
      </c>
      <c r="P5059" t="str">
        <f t="shared" ref="P5059:P5122" si="791">IF(M5059&gt;8,"High",IF(M5059&gt;4,"Medium","Low"))</f>
        <v>Low</v>
      </c>
      <c r="Q5059" t="str">
        <f t="shared" ref="Q5059:Q5122" si="792">IF(L5059&lt;5,"High",IF(L5059&lt;15,"Medium","Low"))</f>
        <v>Low</v>
      </c>
      <c r="R5059" t="s">
        <v>3309</v>
      </c>
      <c r="S5059" s="4">
        <f t="shared" ref="S5059:S5122" ca="1" si="793">G5059-TODAY()</f>
        <v>468</v>
      </c>
      <c r="T5059">
        <f t="shared" ref="T5059:T5122" si="794">IF(O5059="High",3,IF(O5059="Medium",2,1))</f>
        <v>1</v>
      </c>
      <c r="U5059">
        <f t="shared" ref="U5059:U5122" si="795">IF(P5059="High",3,IF(P5059="Medium",2,1))</f>
        <v>1</v>
      </c>
      <c r="V5059">
        <f t="shared" ref="V5059:V5122" si="796">IF(Q5059="High",3,IF(Q5059="Medium",2,1))</f>
        <v>1</v>
      </c>
      <c r="W5059">
        <f t="shared" ref="W5059:W5122" si="797">IF(R5059="High",3,IF(R5059="Medium",2,1))</f>
        <v>3</v>
      </c>
      <c r="X5059">
        <f t="shared" ref="X5059:X5122" si="798">(0.4*T5059)+(0.3*U5059)+(0.2*V5059)+(0.1*W5059)</f>
        <v>1.2</v>
      </c>
      <c r="Y5059" t="str">
        <f t="shared" ref="Y5059:Y5122" si="799">IF(X5059&gt;=2.7,"Move Immediately",IF(X5059&gt;=2.2,"High Priority",IF(X5059&gt;=1.7,"Monitor","Healthy")))</f>
        <v>Healthy</v>
      </c>
    </row>
    <row r="5060" spans="1:25" x14ac:dyDescent="0.35">
      <c r="A5060" t="s">
        <v>179</v>
      </c>
      <c r="B5060" t="s">
        <v>180</v>
      </c>
      <c r="C5060" t="s">
        <v>181</v>
      </c>
      <c r="D5060" t="s">
        <v>3137</v>
      </c>
      <c r="E5060">
        <v>80861870</v>
      </c>
      <c r="F5060" t="s">
        <v>3138</v>
      </c>
      <c r="G5060" s="3">
        <v>46637</v>
      </c>
      <c r="H5060">
        <v>16</v>
      </c>
      <c r="I5060">
        <v>93</v>
      </c>
      <c r="J5060">
        <v>75</v>
      </c>
      <c r="K5060" s="4">
        <v>55962</v>
      </c>
      <c r="L5060" s="4">
        <v>1331.7142857142858</v>
      </c>
      <c r="M5060" s="4">
        <v>5.6318386612314954E-2</v>
      </c>
      <c r="N5060" t="s">
        <v>25</v>
      </c>
      <c r="O5060" t="str">
        <f t="shared" si="790"/>
        <v>Low</v>
      </c>
      <c r="P5060" t="str">
        <f t="shared" si="791"/>
        <v>Low</v>
      </c>
      <c r="Q5060" t="str">
        <f t="shared" si="792"/>
        <v>Low</v>
      </c>
      <c r="R5060" t="s">
        <v>3317</v>
      </c>
      <c r="S5060" s="4">
        <f t="shared" ca="1" si="793"/>
        <v>440</v>
      </c>
      <c r="T5060">
        <f t="shared" si="794"/>
        <v>1</v>
      </c>
      <c r="U5060">
        <f t="shared" si="795"/>
        <v>1</v>
      </c>
      <c r="V5060">
        <f t="shared" si="796"/>
        <v>1</v>
      </c>
      <c r="W5060">
        <f t="shared" si="797"/>
        <v>1</v>
      </c>
      <c r="X5060">
        <f t="shared" si="798"/>
        <v>0.99999999999999989</v>
      </c>
      <c r="Y5060" t="str">
        <f t="shared" si="799"/>
        <v>Healthy</v>
      </c>
    </row>
    <row r="5061" spans="1:25" x14ac:dyDescent="0.35">
      <c r="A5061" t="s">
        <v>179</v>
      </c>
      <c r="B5061" t="s">
        <v>180</v>
      </c>
      <c r="C5061" t="s">
        <v>181</v>
      </c>
      <c r="D5061" t="s">
        <v>3137</v>
      </c>
      <c r="E5061">
        <v>80861870</v>
      </c>
      <c r="F5061" t="s">
        <v>3138</v>
      </c>
      <c r="G5061" s="3">
        <v>46637</v>
      </c>
      <c r="H5061">
        <v>16</v>
      </c>
      <c r="I5061">
        <v>93</v>
      </c>
      <c r="J5061">
        <v>126</v>
      </c>
      <c r="K5061" s="4">
        <v>94016.16</v>
      </c>
      <c r="L5061" s="4">
        <v>1331.7142857142858</v>
      </c>
      <c r="M5061" s="4">
        <v>9.4614889508689112E-2</v>
      </c>
      <c r="N5061" t="s">
        <v>25</v>
      </c>
      <c r="O5061" t="str">
        <f t="shared" si="790"/>
        <v>Low</v>
      </c>
      <c r="P5061" t="str">
        <f t="shared" si="791"/>
        <v>Low</v>
      </c>
      <c r="Q5061" t="str">
        <f t="shared" si="792"/>
        <v>Low</v>
      </c>
      <c r="R5061" t="s">
        <v>3310</v>
      </c>
      <c r="S5061" s="4">
        <f t="shared" ca="1" si="793"/>
        <v>440</v>
      </c>
      <c r="T5061">
        <f t="shared" si="794"/>
        <v>1</v>
      </c>
      <c r="U5061">
        <f t="shared" si="795"/>
        <v>1</v>
      </c>
      <c r="V5061">
        <f t="shared" si="796"/>
        <v>1</v>
      </c>
      <c r="W5061">
        <f t="shared" si="797"/>
        <v>2</v>
      </c>
      <c r="X5061">
        <f t="shared" si="798"/>
        <v>1.0999999999999999</v>
      </c>
      <c r="Y5061" t="str">
        <f t="shared" si="799"/>
        <v>Healthy</v>
      </c>
    </row>
    <row r="5062" spans="1:25" x14ac:dyDescent="0.35">
      <c r="A5062" t="s">
        <v>179</v>
      </c>
      <c r="B5062" t="s">
        <v>180</v>
      </c>
      <c r="C5062" t="s">
        <v>181</v>
      </c>
      <c r="D5062" t="s">
        <v>3137</v>
      </c>
      <c r="E5062">
        <v>80861870</v>
      </c>
      <c r="F5062" t="s">
        <v>3138</v>
      </c>
      <c r="G5062" s="3">
        <v>46665</v>
      </c>
      <c r="H5062">
        <v>16</v>
      </c>
      <c r="I5062">
        <v>99</v>
      </c>
      <c r="J5062">
        <v>24</v>
      </c>
      <c r="K5062" s="4">
        <v>17907.84</v>
      </c>
      <c r="L5062" s="4">
        <v>1331.7142857142858</v>
      </c>
      <c r="M5062" s="4">
        <v>1.8021883715940785E-2</v>
      </c>
      <c r="N5062" t="s">
        <v>25</v>
      </c>
      <c r="O5062" t="str">
        <f t="shared" si="790"/>
        <v>Low</v>
      </c>
      <c r="P5062" t="str">
        <f t="shared" si="791"/>
        <v>Low</v>
      </c>
      <c r="Q5062" t="str">
        <f t="shared" si="792"/>
        <v>Low</v>
      </c>
      <c r="R5062" t="s">
        <v>3317</v>
      </c>
      <c r="S5062" s="4">
        <f t="shared" ca="1" si="793"/>
        <v>468</v>
      </c>
      <c r="T5062">
        <f t="shared" si="794"/>
        <v>1</v>
      </c>
      <c r="U5062">
        <f t="shared" si="795"/>
        <v>1</v>
      </c>
      <c r="V5062">
        <f t="shared" si="796"/>
        <v>1</v>
      </c>
      <c r="W5062">
        <f t="shared" si="797"/>
        <v>1</v>
      </c>
      <c r="X5062">
        <f t="shared" si="798"/>
        <v>0.99999999999999989</v>
      </c>
      <c r="Y5062" t="str">
        <f t="shared" si="799"/>
        <v>Healthy</v>
      </c>
    </row>
    <row r="5063" spans="1:25" x14ac:dyDescent="0.35">
      <c r="A5063" t="s">
        <v>179</v>
      </c>
      <c r="B5063" t="s">
        <v>180</v>
      </c>
      <c r="C5063" t="s">
        <v>181</v>
      </c>
      <c r="D5063" t="s">
        <v>3137</v>
      </c>
      <c r="E5063">
        <v>80861870</v>
      </c>
      <c r="F5063" t="s">
        <v>3138</v>
      </c>
      <c r="G5063" s="3">
        <v>46638</v>
      </c>
      <c r="H5063">
        <v>16</v>
      </c>
      <c r="I5063">
        <v>93</v>
      </c>
      <c r="J5063">
        <v>126</v>
      </c>
      <c r="K5063" s="4">
        <v>94016.16</v>
      </c>
      <c r="L5063" s="4">
        <v>1331.7142857142858</v>
      </c>
      <c r="M5063" s="4">
        <v>9.4614889508689112E-2</v>
      </c>
      <c r="N5063" t="s">
        <v>25</v>
      </c>
      <c r="O5063" t="str">
        <f t="shared" si="790"/>
        <v>Low</v>
      </c>
      <c r="P5063" t="str">
        <f t="shared" si="791"/>
        <v>Low</v>
      </c>
      <c r="Q5063" t="str">
        <f t="shared" si="792"/>
        <v>Low</v>
      </c>
      <c r="R5063" t="s">
        <v>3310</v>
      </c>
      <c r="S5063" s="4">
        <f t="shared" ca="1" si="793"/>
        <v>441</v>
      </c>
      <c r="T5063">
        <f t="shared" si="794"/>
        <v>1</v>
      </c>
      <c r="U5063">
        <f t="shared" si="795"/>
        <v>1</v>
      </c>
      <c r="V5063">
        <f t="shared" si="796"/>
        <v>1</v>
      </c>
      <c r="W5063">
        <f t="shared" si="797"/>
        <v>2</v>
      </c>
      <c r="X5063">
        <f t="shared" si="798"/>
        <v>1.0999999999999999</v>
      </c>
      <c r="Y5063" t="str">
        <f t="shared" si="799"/>
        <v>Healthy</v>
      </c>
    </row>
    <row r="5064" spans="1:25" x14ac:dyDescent="0.35">
      <c r="A5064" t="s">
        <v>179</v>
      </c>
      <c r="B5064" t="s">
        <v>180</v>
      </c>
      <c r="C5064" t="s">
        <v>181</v>
      </c>
      <c r="D5064" t="s">
        <v>2770</v>
      </c>
      <c r="E5064">
        <v>80861874</v>
      </c>
      <c r="F5064" t="s">
        <v>3139</v>
      </c>
      <c r="G5064" s="3">
        <v>46598</v>
      </c>
      <c r="H5064">
        <v>16</v>
      </c>
      <c r="I5064">
        <v>85</v>
      </c>
      <c r="J5064">
        <v>8</v>
      </c>
      <c r="K5064" s="4">
        <v>2382.16</v>
      </c>
      <c r="L5064" s="4">
        <v>21736</v>
      </c>
      <c r="M5064" s="4">
        <v>3.6805299963194699E-4</v>
      </c>
      <c r="N5064" t="s">
        <v>25</v>
      </c>
      <c r="O5064" t="str">
        <f t="shared" si="790"/>
        <v>Low</v>
      </c>
      <c r="P5064" t="str">
        <f t="shared" si="791"/>
        <v>Low</v>
      </c>
      <c r="Q5064" t="str">
        <f t="shared" si="792"/>
        <v>Low</v>
      </c>
      <c r="R5064" t="s">
        <v>3317</v>
      </c>
      <c r="S5064" s="4">
        <f t="shared" ca="1" si="793"/>
        <v>401</v>
      </c>
      <c r="T5064">
        <f t="shared" si="794"/>
        <v>1</v>
      </c>
      <c r="U5064">
        <f t="shared" si="795"/>
        <v>1</v>
      </c>
      <c r="V5064">
        <f t="shared" si="796"/>
        <v>1</v>
      </c>
      <c r="W5064">
        <f t="shared" si="797"/>
        <v>1</v>
      </c>
      <c r="X5064">
        <f t="shared" si="798"/>
        <v>0.99999999999999989</v>
      </c>
      <c r="Y5064" t="str">
        <f t="shared" si="799"/>
        <v>Healthy</v>
      </c>
    </row>
    <row r="5065" spans="1:25" x14ac:dyDescent="0.35">
      <c r="A5065" t="s">
        <v>29</v>
      </c>
      <c r="B5065" t="s">
        <v>30</v>
      </c>
      <c r="C5065" t="s">
        <v>449</v>
      </c>
      <c r="D5065" t="s">
        <v>3140</v>
      </c>
      <c r="E5065">
        <v>82320607</v>
      </c>
      <c r="F5065" t="s">
        <v>3141</v>
      </c>
      <c r="G5065" s="3">
        <v>46060</v>
      </c>
      <c r="H5065">
        <v>36</v>
      </c>
      <c r="I5065">
        <v>0</v>
      </c>
      <c r="J5065">
        <v>4</v>
      </c>
      <c r="K5065" s="4">
        <v>4334.08</v>
      </c>
      <c r="L5065" s="4">
        <v>0.8571428571428571</v>
      </c>
      <c r="M5065" s="4">
        <v>4.666666666666667</v>
      </c>
      <c r="N5065" t="s">
        <v>25</v>
      </c>
      <c r="O5065" t="str">
        <f t="shared" si="790"/>
        <v>High</v>
      </c>
      <c r="P5065" t="str">
        <f t="shared" si="791"/>
        <v>Medium</v>
      </c>
      <c r="Q5065" t="str">
        <f t="shared" si="792"/>
        <v>High</v>
      </c>
      <c r="R5065" t="s">
        <v>3317</v>
      </c>
      <c r="S5065" s="4">
        <f t="shared" ca="1" si="793"/>
        <v>-137</v>
      </c>
      <c r="T5065">
        <f t="shared" si="794"/>
        <v>3</v>
      </c>
      <c r="U5065">
        <f t="shared" si="795"/>
        <v>2</v>
      </c>
      <c r="V5065">
        <f t="shared" si="796"/>
        <v>3</v>
      </c>
      <c r="W5065">
        <f t="shared" si="797"/>
        <v>1</v>
      </c>
      <c r="X5065">
        <f t="shared" si="798"/>
        <v>2.5000000000000004</v>
      </c>
      <c r="Y5065" t="str">
        <f t="shared" si="799"/>
        <v>High Priority</v>
      </c>
    </row>
    <row r="5066" spans="1:25" x14ac:dyDescent="0.35">
      <c r="A5066" t="s">
        <v>179</v>
      </c>
      <c r="B5066" t="s">
        <v>180</v>
      </c>
      <c r="C5066" t="s">
        <v>181</v>
      </c>
      <c r="D5066" t="s">
        <v>2770</v>
      </c>
      <c r="E5066">
        <v>80861874</v>
      </c>
      <c r="F5066" t="s">
        <v>3139</v>
      </c>
      <c r="G5066" s="3">
        <v>46594</v>
      </c>
      <c r="H5066">
        <v>16</v>
      </c>
      <c r="I5066">
        <v>84</v>
      </c>
      <c r="J5066">
        <v>12</v>
      </c>
      <c r="K5066" s="4">
        <v>3573.24</v>
      </c>
      <c r="L5066" s="4">
        <v>21736</v>
      </c>
      <c r="M5066" s="4">
        <v>5.5207949944792055E-4</v>
      </c>
      <c r="N5066" t="s">
        <v>25</v>
      </c>
      <c r="O5066" t="str">
        <f t="shared" si="790"/>
        <v>Low</v>
      </c>
      <c r="P5066" t="str">
        <f t="shared" si="791"/>
        <v>Low</v>
      </c>
      <c r="Q5066" t="str">
        <f t="shared" si="792"/>
        <v>Low</v>
      </c>
      <c r="R5066" t="s">
        <v>3317</v>
      </c>
      <c r="S5066" s="4">
        <f t="shared" ca="1" si="793"/>
        <v>397</v>
      </c>
      <c r="T5066">
        <f t="shared" si="794"/>
        <v>1</v>
      </c>
      <c r="U5066">
        <f t="shared" si="795"/>
        <v>1</v>
      </c>
      <c r="V5066">
        <f t="shared" si="796"/>
        <v>1</v>
      </c>
      <c r="W5066">
        <f t="shared" si="797"/>
        <v>1</v>
      </c>
      <c r="X5066">
        <f t="shared" si="798"/>
        <v>0.99999999999999989</v>
      </c>
      <c r="Y5066" t="str">
        <f t="shared" si="799"/>
        <v>Healthy</v>
      </c>
    </row>
    <row r="5067" spans="1:25" x14ac:dyDescent="0.35">
      <c r="A5067" t="s">
        <v>29</v>
      </c>
      <c r="B5067" t="s">
        <v>30</v>
      </c>
      <c r="C5067" t="s">
        <v>449</v>
      </c>
      <c r="D5067" t="s">
        <v>3140</v>
      </c>
      <c r="E5067">
        <v>82320607</v>
      </c>
      <c r="F5067" t="s">
        <v>3141</v>
      </c>
      <c r="G5067" s="3">
        <v>46027</v>
      </c>
      <c r="H5067">
        <v>36</v>
      </c>
      <c r="I5067">
        <v>0</v>
      </c>
      <c r="J5067">
        <v>5</v>
      </c>
      <c r="K5067" s="4">
        <v>5417.6</v>
      </c>
      <c r="L5067" s="4">
        <v>0.8571428571428571</v>
      </c>
      <c r="M5067" s="4">
        <v>5.8333333333333339</v>
      </c>
      <c r="N5067" t="s">
        <v>25</v>
      </c>
      <c r="O5067" t="str">
        <f t="shared" si="790"/>
        <v>High</v>
      </c>
      <c r="P5067" t="str">
        <f t="shared" si="791"/>
        <v>Medium</v>
      </c>
      <c r="Q5067" t="str">
        <f t="shared" si="792"/>
        <v>High</v>
      </c>
      <c r="R5067" t="s">
        <v>3317</v>
      </c>
      <c r="S5067" s="4">
        <f t="shared" ca="1" si="793"/>
        <v>-170</v>
      </c>
      <c r="T5067">
        <f t="shared" si="794"/>
        <v>3</v>
      </c>
      <c r="U5067">
        <f t="shared" si="795"/>
        <v>2</v>
      </c>
      <c r="V5067">
        <f t="shared" si="796"/>
        <v>3</v>
      </c>
      <c r="W5067">
        <f t="shared" si="797"/>
        <v>1</v>
      </c>
      <c r="X5067">
        <f t="shared" si="798"/>
        <v>2.5000000000000004</v>
      </c>
      <c r="Y5067" t="str">
        <f t="shared" si="799"/>
        <v>High Priority</v>
      </c>
    </row>
    <row r="5068" spans="1:25" x14ac:dyDescent="0.35">
      <c r="A5068" t="s">
        <v>179</v>
      </c>
      <c r="B5068" t="s">
        <v>180</v>
      </c>
      <c r="C5068" t="s">
        <v>181</v>
      </c>
      <c r="D5068" t="s">
        <v>2770</v>
      </c>
      <c r="E5068">
        <v>80861874</v>
      </c>
      <c r="F5068" t="s">
        <v>3139</v>
      </c>
      <c r="G5068" s="3">
        <v>46590</v>
      </c>
      <c r="H5068">
        <v>16</v>
      </c>
      <c r="I5068">
        <v>83</v>
      </c>
      <c r="J5068">
        <v>6</v>
      </c>
      <c r="K5068" s="4">
        <v>1786.62</v>
      </c>
      <c r="L5068" s="4">
        <v>21736</v>
      </c>
      <c r="M5068" s="4">
        <v>2.7603974972396027E-4</v>
      </c>
      <c r="N5068" t="s">
        <v>25</v>
      </c>
      <c r="O5068" t="str">
        <f t="shared" si="790"/>
        <v>Low</v>
      </c>
      <c r="P5068" t="str">
        <f t="shared" si="791"/>
        <v>Low</v>
      </c>
      <c r="Q5068" t="str">
        <f t="shared" si="792"/>
        <v>Low</v>
      </c>
      <c r="R5068" t="s">
        <v>3317</v>
      </c>
      <c r="S5068" s="4">
        <f t="shared" ca="1" si="793"/>
        <v>393</v>
      </c>
      <c r="T5068">
        <f t="shared" si="794"/>
        <v>1</v>
      </c>
      <c r="U5068">
        <f t="shared" si="795"/>
        <v>1</v>
      </c>
      <c r="V5068">
        <f t="shared" si="796"/>
        <v>1</v>
      </c>
      <c r="W5068">
        <f t="shared" si="797"/>
        <v>1</v>
      </c>
      <c r="X5068">
        <f t="shared" si="798"/>
        <v>0.99999999999999989</v>
      </c>
      <c r="Y5068" t="str">
        <f t="shared" si="799"/>
        <v>Healthy</v>
      </c>
    </row>
    <row r="5069" spans="1:25" x14ac:dyDescent="0.35">
      <c r="A5069" t="s">
        <v>29</v>
      </c>
      <c r="B5069" t="s">
        <v>30</v>
      </c>
      <c r="C5069" t="s">
        <v>449</v>
      </c>
      <c r="D5069" t="s">
        <v>3140</v>
      </c>
      <c r="E5069">
        <v>82320607</v>
      </c>
      <c r="F5069" t="s">
        <v>3141</v>
      </c>
      <c r="G5069" s="3">
        <v>45768</v>
      </c>
      <c r="H5069">
        <v>36</v>
      </c>
      <c r="I5069">
        <v>0</v>
      </c>
      <c r="J5069">
        <v>2</v>
      </c>
      <c r="K5069" s="4">
        <v>2167.04</v>
      </c>
      <c r="L5069" s="4">
        <v>0.8571428571428571</v>
      </c>
      <c r="M5069" s="4">
        <v>2.3333333333333335</v>
      </c>
      <c r="N5069" t="s">
        <v>25</v>
      </c>
      <c r="O5069" t="str">
        <f t="shared" si="790"/>
        <v>High</v>
      </c>
      <c r="P5069" t="str">
        <f t="shared" si="791"/>
        <v>Low</v>
      </c>
      <c r="Q5069" t="str">
        <f t="shared" si="792"/>
        <v>High</v>
      </c>
      <c r="R5069" t="s">
        <v>3317</v>
      </c>
      <c r="S5069" s="4">
        <f t="shared" ca="1" si="793"/>
        <v>-429</v>
      </c>
      <c r="T5069">
        <f t="shared" si="794"/>
        <v>3</v>
      </c>
      <c r="U5069">
        <f t="shared" si="795"/>
        <v>1</v>
      </c>
      <c r="V5069">
        <f t="shared" si="796"/>
        <v>3</v>
      </c>
      <c r="W5069">
        <f t="shared" si="797"/>
        <v>1</v>
      </c>
      <c r="X5069">
        <f t="shared" si="798"/>
        <v>2.2000000000000006</v>
      </c>
      <c r="Y5069" t="str">
        <f t="shared" si="799"/>
        <v>High Priority</v>
      </c>
    </row>
    <row r="5070" spans="1:25" x14ac:dyDescent="0.35">
      <c r="A5070" t="s">
        <v>179</v>
      </c>
      <c r="B5070" t="s">
        <v>180</v>
      </c>
      <c r="C5070" t="s">
        <v>181</v>
      </c>
      <c r="D5070" t="s">
        <v>2770</v>
      </c>
      <c r="E5070">
        <v>80861874</v>
      </c>
      <c r="F5070" t="s">
        <v>3139</v>
      </c>
      <c r="G5070" s="3">
        <v>46583</v>
      </c>
      <c r="H5070">
        <v>16</v>
      </c>
      <c r="I5070">
        <v>81</v>
      </c>
      <c r="J5070">
        <v>15</v>
      </c>
      <c r="K5070" s="4">
        <v>4466.55</v>
      </c>
      <c r="L5070" s="4">
        <v>21736</v>
      </c>
      <c r="M5070" s="4">
        <v>6.9009937430990057E-4</v>
      </c>
      <c r="N5070" t="s">
        <v>25</v>
      </c>
      <c r="O5070" t="str">
        <f t="shared" si="790"/>
        <v>Low</v>
      </c>
      <c r="P5070" t="str">
        <f t="shared" si="791"/>
        <v>Low</v>
      </c>
      <c r="Q5070" t="str">
        <f t="shared" si="792"/>
        <v>Low</v>
      </c>
      <c r="R5070" t="s">
        <v>3317</v>
      </c>
      <c r="S5070" s="4">
        <f t="shared" ca="1" si="793"/>
        <v>386</v>
      </c>
      <c r="T5070">
        <f t="shared" si="794"/>
        <v>1</v>
      </c>
      <c r="U5070">
        <f t="shared" si="795"/>
        <v>1</v>
      </c>
      <c r="V5070">
        <f t="shared" si="796"/>
        <v>1</v>
      </c>
      <c r="W5070">
        <f t="shared" si="797"/>
        <v>1</v>
      </c>
      <c r="X5070">
        <f t="shared" si="798"/>
        <v>0.99999999999999989</v>
      </c>
      <c r="Y5070" t="str">
        <f t="shared" si="799"/>
        <v>Healthy</v>
      </c>
    </row>
    <row r="5071" spans="1:25" x14ac:dyDescent="0.35">
      <c r="A5071" t="s">
        <v>90</v>
      </c>
      <c r="B5071" t="s">
        <v>91</v>
      </c>
      <c r="C5071" t="s">
        <v>112</v>
      </c>
      <c r="D5071" t="s">
        <v>113</v>
      </c>
      <c r="E5071">
        <v>80693642</v>
      </c>
      <c r="F5071" t="s">
        <v>3142</v>
      </c>
      <c r="G5071" s="3">
        <v>45638</v>
      </c>
      <c r="H5071">
        <v>24</v>
      </c>
      <c r="I5071">
        <v>0</v>
      </c>
      <c r="J5071">
        <v>18</v>
      </c>
      <c r="K5071" s="4">
        <v>7124.04</v>
      </c>
      <c r="L5071" s="4">
        <f>0</f>
        <v>0</v>
      </c>
      <c r="M5071" s="4">
        <f>999</f>
        <v>999</v>
      </c>
      <c r="N5071" t="s">
        <v>19</v>
      </c>
      <c r="O5071" t="str">
        <f t="shared" si="790"/>
        <v>High</v>
      </c>
      <c r="P5071" t="str">
        <f t="shared" si="791"/>
        <v>High</v>
      </c>
      <c r="Q5071" t="str">
        <f t="shared" si="792"/>
        <v>High</v>
      </c>
      <c r="R5071" t="s">
        <v>3317</v>
      </c>
      <c r="S5071" s="4">
        <f t="shared" ca="1" si="793"/>
        <v>-559</v>
      </c>
      <c r="T5071">
        <f t="shared" si="794"/>
        <v>3</v>
      </c>
      <c r="U5071">
        <f t="shared" si="795"/>
        <v>3</v>
      </c>
      <c r="V5071">
        <f t="shared" si="796"/>
        <v>3</v>
      </c>
      <c r="W5071">
        <f t="shared" si="797"/>
        <v>1</v>
      </c>
      <c r="X5071">
        <f t="shared" si="798"/>
        <v>2.8000000000000003</v>
      </c>
      <c r="Y5071" t="str">
        <f t="shared" si="799"/>
        <v>Move Immediately</v>
      </c>
    </row>
    <row r="5072" spans="1:25" x14ac:dyDescent="0.35">
      <c r="A5072" t="s">
        <v>179</v>
      </c>
      <c r="B5072" t="s">
        <v>180</v>
      </c>
      <c r="C5072" t="s">
        <v>181</v>
      </c>
      <c r="D5072" t="s">
        <v>3143</v>
      </c>
      <c r="E5072">
        <v>80861875</v>
      </c>
      <c r="F5072" t="s">
        <v>3144</v>
      </c>
      <c r="G5072" s="3">
        <v>46635</v>
      </c>
      <c r="H5072">
        <v>16</v>
      </c>
      <c r="I5072">
        <v>92</v>
      </c>
      <c r="J5072">
        <v>77</v>
      </c>
      <c r="K5072" s="4">
        <v>49209.93</v>
      </c>
      <c r="L5072" s="4">
        <v>2550.4285714285716</v>
      </c>
      <c r="M5072" s="4">
        <v>3.0191004313000615E-2</v>
      </c>
      <c r="N5072" t="s">
        <v>25</v>
      </c>
      <c r="O5072" t="str">
        <f t="shared" si="790"/>
        <v>Low</v>
      </c>
      <c r="P5072" t="str">
        <f t="shared" si="791"/>
        <v>Low</v>
      </c>
      <c r="Q5072" t="str">
        <f t="shared" si="792"/>
        <v>Low</v>
      </c>
      <c r="R5072" t="s">
        <v>3317</v>
      </c>
      <c r="S5072" s="4">
        <f t="shared" ca="1" si="793"/>
        <v>438</v>
      </c>
      <c r="T5072">
        <f t="shared" si="794"/>
        <v>1</v>
      </c>
      <c r="U5072">
        <f t="shared" si="795"/>
        <v>1</v>
      </c>
      <c r="V5072">
        <f t="shared" si="796"/>
        <v>1</v>
      </c>
      <c r="W5072">
        <f t="shared" si="797"/>
        <v>1</v>
      </c>
      <c r="X5072">
        <f t="shared" si="798"/>
        <v>0.99999999999999989</v>
      </c>
      <c r="Y5072" t="str">
        <f t="shared" si="799"/>
        <v>Healthy</v>
      </c>
    </row>
    <row r="5073" spans="1:25" x14ac:dyDescent="0.35">
      <c r="A5073" t="s">
        <v>179</v>
      </c>
      <c r="B5073" t="s">
        <v>180</v>
      </c>
      <c r="C5073" t="s">
        <v>181</v>
      </c>
      <c r="D5073" t="s">
        <v>3143</v>
      </c>
      <c r="E5073">
        <v>80861875</v>
      </c>
      <c r="F5073" t="s">
        <v>3144</v>
      </c>
      <c r="G5073" s="3">
        <v>46666</v>
      </c>
      <c r="H5073">
        <v>16</v>
      </c>
      <c r="I5073">
        <v>99</v>
      </c>
      <c r="J5073">
        <v>92</v>
      </c>
      <c r="K5073" s="4">
        <v>58796.28</v>
      </c>
      <c r="L5073" s="4">
        <v>2550.4285714285716</v>
      </c>
      <c r="M5073" s="4">
        <v>3.6072368789559175E-2</v>
      </c>
      <c r="N5073" t="s">
        <v>25</v>
      </c>
      <c r="O5073" t="str">
        <f t="shared" si="790"/>
        <v>Low</v>
      </c>
      <c r="P5073" t="str">
        <f t="shared" si="791"/>
        <v>Low</v>
      </c>
      <c r="Q5073" t="str">
        <f t="shared" si="792"/>
        <v>Low</v>
      </c>
      <c r="R5073" t="s">
        <v>3317</v>
      </c>
      <c r="S5073" s="4">
        <f t="shared" ca="1" si="793"/>
        <v>469</v>
      </c>
      <c r="T5073">
        <f t="shared" si="794"/>
        <v>1</v>
      </c>
      <c r="U5073">
        <f t="shared" si="795"/>
        <v>1</v>
      </c>
      <c r="V5073">
        <f t="shared" si="796"/>
        <v>1</v>
      </c>
      <c r="W5073">
        <f t="shared" si="797"/>
        <v>1</v>
      </c>
      <c r="X5073">
        <f t="shared" si="798"/>
        <v>0.99999999999999989</v>
      </c>
      <c r="Y5073" t="str">
        <f t="shared" si="799"/>
        <v>Healthy</v>
      </c>
    </row>
    <row r="5074" spans="1:25" x14ac:dyDescent="0.35">
      <c r="A5074" t="s">
        <v>179</v>
      </c>
      <c r="B5074" t="s">
        <v>180</v>
      </c>
      <c r="C5074" t="s">
        <v>181</v>
      </c>
      <c r="D5074" t="s">
        <v>3143</v>
      </c>
      <c r="E5074">
        <v>80861875</v>
      </c>
      <c r="F5074" t="s">
        <v>3144</v>
      </c>
      <c r="G5074" s="3">
        <v>46612</v>
      </c>
      <c r="H5074">
        <v>16</v>
      </c>
      <c r="I5074">
        <v>88</v>
      </c>
      <c r="J5074">
        <v>270</v>
      </c>
      <c r="K5074" s="4">
        <v>172554.3</v>
      </c>
      <c r="L5074" s="4">
        <v>2550.4285714285716</v>
      </c>
      <c r="M5074" s="4">
        <v>0.1058645605780541</v>
      </c>
      <c r="N5074" t="s">
        <v>25</v>
      </c>
      <c r="O5074" t="str">
        <f t="shared" si="790"/>
        <v>Low</v>
      </c>
      <c r="P5074" t="str">
        <f t="shared" si="791"/>
        <v>Low</v>
      </c>
      <c r="Q5074" t="str">
        <f t="shared" si="792"/>
        <v>Low</v>
      </c>
      <c r="R5074" t="s">
        <v>3309</v>
      </c>
      <c r="S5074" s="4">
        <f t="shared" ca="1" si="793"/>
        <v>415</v>
      </c>
      <c r="T5074">
        <f t="shared" si="794"/>
        <v>1</v>
      </c>
      <c r="U5074">
        <f t="shared" si="795"/>
        <v>1</v>
      </c>
      <c r="V5074">
        <f t="shared" si="796"/>
        <v>1</v>
      </c>
      <c r="W5074">
        <f t="shared" si="797"/>
        <v>3</v>
      </c>
      <c r="X5074">
        <f t="shared" si="798"/>
        <v>1.2</v>
      </c>
      <c r="Y5074" t="str">
        <f t="shared" si="799"/>
        <v>Healthy</v>
      </c>
    </row>
    <row r="5075" spans="1:25" x14ac:dyDescent="0.35">
      <c r="A5075" t="s">
        <v>179</v>
      </c>
      <c r="B5075" t="s">
        <v>180</v>
      </c>
      <c r="C5075" t="s">
        <v>181</v>
      </c>
      <c r="D5075" t="s">
        <v>3143</v>
      </c>
      <c r="E5075">
        <v>80861875</v>
      </c>
      <c r="F5075" t="s">
        <v>3144</v>
      </c>
      <c r="G5075" s="3">
        <v>46627</v>
      </c>
      <c r="H5075">
        <v>16</v>
      </c>
      <c r="I5075">
        <v>91</v>
      </c>
      <c r="J5075">
        <v>112</v>
      </c>
      <c r="K5075" s="4">
        <v>71578.080000000002</v>
      </c>
      <c r="L5075" s="4">
        <v>2550.4285714285716</v>
      </c>
      <c r="M5075" s="4">
        <v>4.391418809163726E-2</v>
      </c>
      <c r="N5075" t="s">
        <v>25</v>
      </c>
      <c r="O5075" t="str">
        <f t="shared" si="790"/>
        <v>Low</v>
      </c>
      <c r="P5075" t="str">
        <f t="shared" si="791"/>
        <v>Low</v>
      </c>
      <c r="Q5075" t="str">
        <f t="shared" si="792"/>
        <v>Low</v>
      </c>
      <c r="R5075" t="s">
        <v>3310</v>
      </c>
      <c r="S5075" s="4">
        <f t="shared" ca="1" si="793"/>
        <v>430</v>
      </c>
      <c r="T5075">
        <f t="shared" si="794"/>
        <v>1</v>
      </c>
      <c r="U5075">
        <f t="shared" si="795"/>
        <v>1</v>
      </c>
      <c r="V5075">
        <f t="shared" si="796"/>
        <v>1</v>
      </c>
      <c r="W5075">
        <f t="shared" si="797"/>
        <v>2</v>
      </c>
      <c r="X5075">
        <f t="shared" si="798"/>
        <v>1.0999999999999999</v>
      </c>
      <c r="Y5075" t="str">
        <f t="shared" si="799"/>
        <v>Healthy</v>
      </c>
    </row>
    <row r="5076" spans="1:25" x14ac:dyDescent="0.35">
      <c r="A5076" t="s">
        <v>179</v>
      </c>
      <c r="B5076" t="s">
        <v>180</v>
      </c>
      <c r="C5076" t="s">
        <v>181</v>
      </c>
      <c r="D5076" t="s">
        <v>3143</v>
      </c>
      <c r="E5076">
        <v>80861875</v>
      </c>
      <c r="F5076" t="s">
        <v>3144</v>
      </c>
      <c r="G5076" s="3">
        <v>46649</v>
      </c>
      <c r="H5076">
        <v>16</v>
      </c>
      <c r="I5076">
        <v>95</v>
      </c>
      <c r="J5076">
        <v>356</v>
      </c>
      <c r="K5076" s="4">
        <v>227516.04</v>
      </c>
      <c r="L5076" s="4">
        <v>2550.4285714285716</v>
      </c>
      <c r="M5076" s="4">
        <v>0.13958438357698985</v>
      </c>
      <c r="N5076" t="s">
        <v>25</v>
      </c>
      <c r="O5076" t="str">
        <f t="shared" si="790"/>
        <v>Low</v>
      </c>
      <c r="P5076" t="str">
        <f t="shared" si="791"/>
        <v>Low</v>
      </c>
      <c r="Q5076" t="str">
        <f t="shared" si="792"/>
        <v>Low</v>
      </c>
      <c r="R5076" t="s">
        <v>3309</v>
      </c>
      <c r="S5076" s="4">
        <f t="shared" ca="1" si="793"/>
        <v>452</v>
      </c>
      <c r="T5076">
        <f t="shared" si="794"/>
        <v>1</v>
      </c>
      <c r="U5076">
        <f t="shared" si="795"/>
        <v>1</v>
      </c>
      <c r="V5076">
        <f t="shared" si="796"/>
        <v>1</v>
      </c>
      <c r="W5076">
        <f t="shared" si="797"/>
        <v>3</v>
      </c>
      <c r="X5076">
        <f t="shared" si="798"/>
        <v>1.2</v>
      </c>
      <c r="Y5076" t="str">
        <f t="shared" si="799"/>
        <v>Healthy</v>
      </c>
    </row>
    <row r="5077" spans="1:25" x14ac:dyDescent="0.35">
      <c r="A5077" t="s">
        <v>179</v>
      </c>
      <c r="B5077" t="s">
        <v>180</v>
      </c>
      <c r="C5077" t="s">
        <v>181</v>
      </c>
      <c r="D5077" t="s">
        <v>3143</v>
      </c>
      <c r="E5077">
        <v>80861875</v>
      </c>
      <c r="F5077" t="s">
        <v>3144</v>
      </c>
      <c r="G5077" s="3">
        <v>46644</v>
      </c>
      <c r="H5077">
        <v>16</v>
      </c>
      <c r="I5077">
        <v>94</v>
      </c>
      <c r="J5077">
        <v>68</v>
      </c>
      <c r="K5077" s="4">
        <v>43458.12</v>
      </c>
      <c r="L5077" s="4">
        <v>2550.4285714285716</v>
      </c>
      <c r="M5077" s="4">
        <v>2.6662185627065477E-2</v>
      </c>
      <c r="N5077" t="s">
        <v>25</v>
      </c>
      <c r="O5077" t="str">
        <f t="shared" si="790"/>
        <v>Low</v>
      </c>
      <c r="P5077" t="str">
        <f t="shared" si="791"/>
        <v>Low</v>
      </c>
      <c r="Q5077" t="str">
        <f t="shared" si="792"/>
        <v>Low</v>
      </c>
      <c r="R5077" t="s">
        <v>3317</v>
      </c>
      <c r="S5077" s="4">
        <f t="shared" ca="1" si="793"/>
        <v>447</v>
      </c>
      <c r="T5077">
        <f t="shared" si="794"/>
        <v>1</v>
      </c>
      <c r="U5077">
        <f t="shared" si="795"/>
        <v>1</v>
      </c>
      <c r="V5077">
        <f t="shared" si="796"/>
        <v>1</v>
      </c>
      <c r="W5077">
        <f t="shared" si="797"/>
        <v>1</v>
      </c>
      <c r="X5077">
        <f t="shared" si="798"/>
        <v>0.99999999999999989</v>
      </c>
      <c r="Y5077" t="str">
        <f t="shared" si="799"/>
        <v>Healthy</v>
      </c>
    </row>
    <row r="5078" spans="1:25" x14ac:dyDescent="0.35">
      <c r="A5078" t="s">
        <v>179</v>
      </c>
      <c r="B5078" t="s">
        <v>180</v>
      </c>
      <c r="C5078" t="s">
        <v>181</v>
      </c>
      <c r="D5078" t="s">
        <v>2702</v>
      </c>
      <c r="E5078">
        <v>80891242</v>
      </c>
      <c r="F5078" t="s">
        <v>3145</v>
      </c>
      <c r="G5078" s="3">
        <v>46436</v>
      </c>
      <c r="H5078">
        <v>16</v>
      </c>
      <c r="I5078">
        <v>51</v>
      </c>
      <c r="J5078">
        <v>48</v>
      </c>
      <c r="K5078" s="4">
        <v>36649.440000000002</v>
      </c>
      <c r="L5078" s="4">
        <v>2384.5714285714284</v>
      </c>
      <c r="M5078" s="4">
        <v>2.0129403306973402E-2</v>
      </c>
      <c r="N5078" t="s">
        <v>25</v>
      </c>
      <c r="O5078" t="str">
        <f t="shared" si="790"/>
        <v>Low</v>
      </c>
      <c r="P5078" t="str">
        <f t="shared" si="791"/>
        <v>Low</v>
      </c>
      <c r="Q5078" t="str">
        <f t="shared" si="792"/>
        <v>Low</v>
      </c>
      <c r="R5078" t="s">
        <v>3317</v>
      </c>
      <c r="S5078" s="4">
        <f t="shared" ca="1" si="793"/>
        <v>239</v>
      </c>
      <c r="T5078">
        <f t="shared" si="794"/>
        <v>1</v>
      </c>
      <c r="U5078">
        <f t="shared" si="795"/>
        <v>1</v>
      </c>
      <c r="V5078">
        <f t="shared" si="796"/>
        <v>1</v>
      </c>
      <c r="W5078">
        <f t="shared" si="797"/>
        <v>1</v>
      </c>
      <c r="X5078">
        <f t="shared" si="798"/>
        <v>0.99999999999999989</v>
      </c>
      <c r="Y5078" t="str">
        <f t="shared" si="799"/>
        <v>Healthy</v>
      </c>
    </row>
    <row r="5079" spans="1:25" x14ac:dyDescent="0.35">
      <c r="A5079" t="s">
        <v>90</v>
      </c>
      <c r="B5079" t="s">
        <v>217</v>
      </c>
      <c r="C5079" t="s">
        <v>218</v>
      </c>
      <c r="D5079" t="s">
        <v>3146</v>
      </c>
      <c r="E5079">
        <v>80702063</v>
      </c>
      <c r="F5079" t="s">
        <v>3147</v>
      </c>
      <c r="G5079" s="3">
        <v>45153</v>
      </c>
      <c r="H5079">
        <v>24</v>
      </c>
      <c r="I5079">
        <v>0</v>
      </c>
      <c r="J5079">
        <v>49</v>
      </c>
      <c r="K5079" s="4">
        <v>14492.73</v>
      </c>
      <c r="L5079" s="4">
        <f>0</f>
        <v>0</v>
      </c>
      <c r="M5079" s="4">
        <f>999</f>
        <v>999</v>
      </c>
      <c r="N5079" t="s">
        <v>19</v>
      </c>
      <c r="O5079" t="str">
        <f t="shared" si="790"/>
        <v>High</v>
      </c>
      <c r="P5079" t="str">
        <f t="shared" si="791"/>
        <v>High</v>
      </c>
      <c r="Q5079" t="str">
        <f t="shared" si="792"/>
        <v>High</v>
      </c>
      <c r="R5079" t="s">
        <v>3317</v>
      </c>
      <c r="S5079" s="4">
        <f t="shared" ca="1" si="793"/>
        <v>-1044</v>
      </c>
      <c r="T5079">
        <f t="shared" si="794"/>
        <v>3</v>
      </c>
      <c r="U5079">
        <f t="shared" si="795"/>
        <v>3</v>
      </c>
      <c r="V5079">
        <f t="shared" si="796"/>
        <v>3</v>
      </c>
      <c r="W5079">
        <f t="shared" si="797"/>
        <v>1</v>
      </c>
      <c r="X5079">
        <f t="shared" si="798"/>
        <v>2.8000000000000003</v>
      </c>
      <c r="Y5079" t="str">
        <f t="shared" si="799"/>
        <v>Move Immediately</v>
      </c>
    </row>
    <row r="5080" spans="1:25" x14ac:dyDescent="0.35">
      <c r="A5080" t="s">
        <v>90</v>
      </c>
      <c r="B5080" t="s">
        <v>217</v>
      </c>
      <c r="C5080" t="s">
        <v>218</v>
      </c>
      <c r="D5080" t="s">
        <v>3146</v>
      </c>
      <c r="E5080">
        <v>80702063</v>
      </c>
      <c r="F5080" t="s">
        <v>3147</v>
      </c>
      <c r="G5080" s="3">
        <v>45473</v>
      </c>
      <c r="H5080">
        <v>24</v>
      </c>
      <c r="I5080">
        <v>0</v>
      </c>
      <c r="J5080">
        <v>11</v>
      </c>
      <c r="K5080" s="4">
        <v>3253.47</v>
      </c>
      <c r="L5080" s="4">
        <f>0</f>
        <v>0</v>
      </c>
      <c r="M5080" s="4">
        <f>999</f>
        <v>999</v>
      </c>
      <c r="N5080" t="s">
        <v>19</v>
      </c>
      <c r="O5080" t="str">
        <f t="shared" si="790"/>
        <v>High</v>
      </c>
      <c r="P5080" t="str">
        <f t="shared" si="791"/>
        <v>High</v>
      </c>
      <c r="Q5080" t="str">
        <f t="shared" si="792"/>
        <v>High</v>
      </c>
      <c r="R5080" t="s">
        <v>3317</v>
      </c>
      <c r="S5080" s="4">
        <f t="shared" ca="1" si="793"/>
        <v>-724</v>
      </c>
      <c r="T5080">
        <f t="shared" si="794"/>
        <v>3</v>
      </c>
      <c r="U5080">
        <f t="shared" si="795"/>
        <v>3</v>
      </c>
      <c r="V5080">
        <f t="shared" si="796"/>
        <v>3</v>
      </c>
      <c r="W5080">
        <f t="shared" si="797"/>
        <v>1</v>
      </c>
      <c r="X5080">
        <f t="shared" si="798"/>
        <v>2.8000000000000003</v>
      </c>
      <c r="Y5080" t="str">
        <f t="shared" si="799"/>
        <v>Move Immediately</v>
      </c>
    </row>
    <row r="5081" spans="1:25" x14ac:dyDescent="0.35">
      <c r="A5081" t="s">
        <v>41</v>
      </c>
      <c r="B5081" t="s">
        <v>42</v>
      </c>
      <c r="C5081" t="s">
        <v>43</v>
      </c>
      <c r="D5081" t="s">
        <v>3148</v>
      </c>
      <c r="E5081">
        <v>80687483</v>
      </c>
      <c r="F5081" t="s">
        <v>3149</v>
      </c>
      <c r="G5081" s="3">
        <v>47020</v>
      </c>
      <c r="H5081">
        <v>36</v>
      </c>
      <c r="I5081">
        <v>77</v>
      </c>
      <c r="J5081">
        <v>3</v>
      </c>
      <c r="K5081" s="4">
        <v>1841.07</v>
      </c>
      <c r="L5081" s="4">
        <f>0</f>
        <v>0</v>
      </c>
      <c r="M5081" s="4">
        <f>999</f>
        <v>999</v>
      </c>
      <c r="N5081" t="s">
        <v>19</v>
      </c>
      <c r="O5081" t="str">
        <f t="shared" si="790"/>
        <v>Low</v>
      </c>
      <c r="P5081" t="str">
        <f t="shared" si="791"/>
        <v>High</v>
      </c>
      <c r="Q5081" t="str">
        <f t="shared" si="792"/>
        <v>High</v>
      </c>
      <c r="R5081" t="s">
        <v>3317</v>
      </c>
      <c r="S5081" s="4">
        <f t="shared" ca="1" si="793"/>
        <v>823</v>
      </c>
      <c r="T5081">
        <f t="shared" si="794"/>
        <v>1</v>
      </c>
      <c r="U5081">
        <f t="shared" si="795"/>
        <v>3</v>
      </c>
      <c r="V5081">
        <f t="shared" si="796"/>
        <v>3</v>
      </c>
      <c r="W5081">
        <f t="shared" si="797"/>
        <v>1</v>
      </c>
      <c r="X5081">
        <f t="shared" si="798"/>
        <v>2</v>
      </c>
      <c r="Y5081" t="str">
        <f t="shared" si="799"/>
        <v>Monitor</v>
      </c>
    </row>
    <row r="5082" spans="1:25" x14ac:dyDescent="0.35">
      <c r="A5082" t="s">
        <v>41</v>
      </c>
      <c r="B5082" t="s">
        <v>42</v>
      </c>
      <c r="C5082" t="s">
        <v>43</v>
      </c>
      <c r="D5082" t="s">
        <v>3148</v>
      </c>
      <c r="E5082">
        <v>80687483</v>
      </c>
      <c r="F5082" t="s">
        <v>3149</v>
      </c>
      <c r="G5082" s="3">
        <v>47020</v>
      </c>
      <c r="H5082">
        <v>36</v>
      </c>
      <c r="I5082">
        <v>77</v>
      </c>
      <c r="J5082">
        <v>8</v>
      </c>
      <c r="K5082" s="4">
        <v>4909.5200000000004</v>
      </c>
      <c r="L5082" s="4">
        <f>0</f>
        <v>0</v>
      </c>
      <c r="M5082" s="4">
        <f>999</f>
        <v>999</v>
      </c>
      <c r="N5082" t="s">
        <v>19</v>
      </c>
      <c r="O5082" t="str">
        <f t="shared" si="790"/>
        <v>Low</v>
      </c>
      <c r="P5082" t="str">
        <f t="shared" si="791"/>
        <v>High</v>
      </c>
      <c r="Q5082" t="str">
        <f t="shared" si="792"/>
        <v>High</v>
      </c>
      <c r="R5082" t="s">
        <v>3317</v>
      </c>
      <c r="S5082" s="4">
        <f t="shared" ca="1" si="793"/>
        <v>823</v>
      </c>
      <c r="T5082">
        <f t="shared" si="794"/>
        <v>1</v>
      </c>
      <c r="U5082">
        <f t="shared" si="795"/>
        <v>3</v>
      </c>
      <c r="V5082">
        <f t="shared" si="796"/>
        <v>3</v>
      </c>
      <c r="W5082">
        <f t="shared" si="797"/>
        <v>1</v>
      </c>
      <c r="X5082">
        <f t="shared" si="798"/>
        <v>2</v>
      </c>
      <c r="Y5082" t="str">
        <f t="shared" si="799"/>
        <v>Monitor</v>
      </c>
    </row>
    <row r="5083" spans="1:25" x14ac:dyDescent="0.35">
      <c r="A5083" t="s">
        <v>41</v>
      </c>
      <c r="B5083" t="s">
        <v>42</v>
      </c>
      <c r="C5083" t="s">
        <v>43</v>
      </c>
      <c r="D5083" t="s">
        <v>3148</v>
      </c>
      <c r="E5083">
        <v>80687483</v>
      </c>
      <c r="F5083" t="s">
        <v>3149</v>
      </c>
      <c r="G5083" s="3">
        <v>46396</v>
      </c>
      <c r="H5083">
        <v>36</v>
      </c>
      <c r="I5083">
        <v>19</v>
      </c>
      <c r="J5083">
        <v>341</v>
      </c>
      <c r="K5083" s="4">
        <v>209268.29</v>
      </c>
      <c r="L5083" s="4">
        <f>0</f>
        <v>0</v>
      </c>
      <c r="M5083" s="4">
        <f>999</f>
        <v>999</v>
      </c>
      <c r="N5083" t="s">
        <v>19</v>
      </c>
      <c r="O5083" t="str">
        <f t="shared" si="790"/>
        <v>High</v>
      </c>
      <c r="P5083" t="str">
        <f t="shared" si="791"/>
        <v>High</v>
      </c>
      <c r="Q5083" t="str">
        <f t="shared" si="792"/>
        <v>High</v>
      </c>
      <c r="R5083" t="s">
        <v>3309</v>
      </c>
      <c r="S5083" s="4">
        <f t="shared" ca="1" si="793"/>
        <v>199</v>
      </c>
      <c r="T5083">
        <f t="shared" si="794"/>
        <v>3</v>
      </c>
      <c r="U5083">
        <f t="shared" si="795"/>
        <v>3</v>
      </c>
      <c r="V5083">
        <f t="shared" si="796"/>
        <v>3</v>
      </c>
      <c r="W5083">
        <f t="shared" si="797"/>
        <v>3</v>
      </c>
      <c r="X5083">
        <f t="shared" si="798"/>
        <v>3</v>
      </c>
      <c r="Y5083" t="str">
        <f t="shared" si="799"/>
        <v>Move Immediately</v>
      </c>
    </row>
    <row r="5084" spans="1:25" x14ac:dyDescent="0.35">
      <c r="A5084" t="s">
        <v>179</v>
      </c>
      <c r="B5084" t="s">
        <v>180</v>
      </c>
      <c r="C5084" t="s">
        <v>181</v>
      </c>
      <c r="D5084" t="s">
        <v>3150</v>
      </c>
      <c r="E5084">
        <v>80861876</v>
      </c>
      <c r="F5084" t="s">
        <v>3151</v>
      </c>
      <c r="G5084" s="3">
        <v>46667</v>
      </c>
      <c r="H5084">
        <v>16</v>
      </c>
      <c r="I5084">
        <v>99</v>
      </c>
      <c r="J5084">
        <v>116</v>
      </c>
      <c r="K5084" s="4">
        <v>79289.48</v>
      </c>
      <c r="L5084" s="4">
        <v>8965.2857142857138</v>
      </c>
      <c r="M5084" s="4">
        <v>1.293879567219593E-2</v>
      </c>
      <c r="N5084" t="s">
        <v>25</v>
      </c>
      <c r="O5084" t="str">
        <f t="shared" si="790"/>
        <v>Low</v>
      </c>
      <c r="P5084" t="str">
        <f t="shared" si="791"/>
        <v>Low</v>
      </c>
      <c r="Q5084" t="str">
        <f t="shared" si="792"/>
        <v>Low</v>
      </c>
      <c r="R5084" t="s">
        <v>3310</v>
      </c>
      <c r="S5084" s="4">
        <f t="shared" ca="1" si="793"/>
        <v>470</v>
      </c>
      <c r="T5084">
        <f t="shared" si="794"/>
        <v>1</v>
      </c>
      <c r="U5084">
        <f t="shared" si="795"/>
        <v>1</v>
      </c>
      <c r="V5084">
        <f t="shared" si="796"/>
        <v>1</v>
      </c>
      <c r="W5084">
        <f t="shared" si="797"/>
        <v>2</v>
      </c>
      <c r="X5084">
        <f t="shared" si="798"/>
        <v>1.0999999999999999</v>
      </c>
      <c r="Y5084" t="str">
        <f t="shared" si="799"/>
        <v>Healthy</v>
      </c>
    </row>
    <row r="5085" spans="1:25" x14ac:dyDescent="0.35">
      <c r="A5085" t="s">
        <v>41</v>
      </c>
      <c r="B5085" t="s">
        <v>42</v>
      </c>
      <c r="C5085" t="s">
        <v>43</v>
      </c>
      <c r="D5085" t="s">
        <v>3148</v>
      </c>
      <c r="E5085">
        <v>80687483</v>
      </c>
      <c r="F5085" t="s">
        <v>3149</v>
      </c>
      <c r="G5085" s="3">
        <v>47020</v>
      </c>
      <c r="H5085">
        <v>36</v>
      </c>
      <c r="I5085">
        <v>77</v>
      </c>
      <c r="J5085">
        <v>19</v>
      </c>
      <c r="K5085" s="4">
        <v>11660.11</v>
      </c>
      <c r="L5085" s="4">
        <f>0</f>
        <v>0</v>
      </c>
      <c r="M5085" s="4">
        <f>999</f>
        <v>999</v>
      </c>
      <c r="N5085" t="s">
        <v>19</v>
      </c>
      <c r="O5085" t="str">
        <f t="shared" si="790"/>
        <v>Low</v>
      </c>
      <c r="P5085" t="str">
        <f t="shared" si="791"/>
        <v>High</v>
      </c>
      <c r="Q5085" t="str">
        <f t="shared" si="792"/>
        <v>High</v>
      </c>
      <c r="R5085" t="s">
        <v>3317</v>
      </c>
      <c r="S5085" s="4">
        <f t="shared" ca="1" si="793"/>
        <v>823</v>
      </c>
      <c r="T5085">
        <f t="shared" si="794"/>
        <v>1</v>
      </c>
      <c r="U5085">
        <f t="shared" si="795"/>
        <v>3</v>
      </c>
      <c r="V5085">
        <f t="shared" si="796"/>
        <v>3</v>
      </c>
      <c r="W5085">
        <f t="shared" si="797"/>
        <v>1</v>
      </c>
      <c r="X5085">
        <f t="shared" si="798"/>
        <v>2</v>
      </c>
      <c r="Y5085" t="str">
        <f t="shared" si="799"/>
        <v>Monitor</v>
      </c>
    </row>
    <row r="5086" spans="1:25" x14ac:dyDescent="0.35">
      <c r="A5086" t="s">
        <v>41</v>
      </c>
      <c r="B5086" t="s">
        <v>42</v>
      </c>
      <c r="C5086" t="s">
        <v>43</v>
      </c>
      <c r="D5086" t="s">
        <v>3148</v>
      </c>
      <c r="E5086">
        <v>80687483</v>
      </c>
      <c r="F5086" t="s">
        <v>3149</v>
      </c>
      <c r="G5086" s="3">
        <v>47020</v>
      </c>
      <c r="H5086">
        <v>36</v>
      </c>
      <c r="I5086">
        <v>77</v>
      </c>
      <c r="J5086">
        <v>7</v>
      </c>
      <c r="K5086" s="4">
        <v>4295.83</v>
      </c>
      <c r="L5086" s="4">
        <f>0</f>
        <v>0</v>
      </c>
      <c r="M5086" s="4">
        <f>999</f>
        <v>999</v>
      </c>
      <c r="N5086" t="s">
        <v>19</v>
      </c>
      <c r="O5086" t="str">
        <f t="shared" si="790"/>
        <v>Low</v>
      </c>
      <c r="P5086" t="str">
        <f t="shared" si="791"/>
        <v>High</v>
      </c>
      <c r="Q5086" t="str">
        <f t="shared" si="792"/>
        <v>High</v>
      </c>
      <c r="R5086" t="s">
        <v>3317</v>
      </c>
      <c r="S5086" s="4">
        <f t="shared" ca="1" si="793"/>
        <v>823</v>
      </c>
      <c r="T5086">
        <f t="shared" si="794"/>
        <v>1</v>
      </c>
      <c r="U5086">
        <f t="shared" si="795"/>
        <v>3</v>
      </c>
      <c r="V5086">
        <f t="shared" si="796"/>
        <v>3</v>
      </c>
      <c r="W5086">
        <f t="shared" si="797"/>
        <v>1</v>
      </c>
      <c r="X5086">
        <f t="shared" si="798"/>
        <v>2</v>
      </c>
      <c r="Y5086" t="str">
        <f t="shared" si="799"/>
        <v>Monitor</v>
      </c>
    </row>
    <row r="5087" spans="1:25" x14ac:dyDescent="0.35">
      <c r="A5087" t="s">
        <v>179</v>
      </c>
      <c r="B5087" t="s">
        <v>180</v>
      </c>
      <c r="C5087" t="s">
        <v>181</v>
      </c>
      <c r="D5087" t="s">
        <v>3152</v>
      </c>
      <c r="E5087">
        <v>80891244</v>
      </c>
      <c r="F5087" t="s">
        <v>3153</v>
      </c>
      <c r="G5087" s="3">
        <v>46626</v>
      </c>
      <c r="H5087">
        <v>16</v>
      </c>
      <c r="I5087">
        <v>90</v>
      </c>
      <c r="J5087">
        <v>56</v>
      </c>
      <c r="K5087" s="4">
        <v>38078.879999999997</v>
      </c>
      <c r="L5087" s="4">
        <v>23140.857142857141</v>
      </c>
      <c r="M5087" s="4">
        <v>2.4199622189571939E-3</v>
      </c>
      <c r="N5087" t="s">
        <v>25</v>
      </c>
      <c r="O5087" t="str">
        <f t="shared" si="790"/>
        <v>Low</v>
      </c>
      <c r="P5087" t="str">
        <f t="shared" si="791"/>
        <v>Low</v>
      </c>
      <c r="Q5087" t="str">
        <f t="shared" si="792"/>
        <v>Low</v>
      </c>
      <c r="R5087" t="s">
        <v>3317</v>
      </c>
      <c r="S5087" s="4">
        <f t="shared" ca="1" si="793"/>
        <v>429</v>
      </c>
      <c r="T5087">
        <f t="shared" si="794"/>
        <v>1</v>
      </c>
      <c r="U5087">
        <f t="shared" si="795"/>
        <v>1</v>
      </c>
      <c r="V5087">
        <f t="shared" si="796"/>
        <v>1</v>
      </c>
      <c r="W5087">
        <f t="shared" si="797"/>
        <v>1</v>
      </c>
      <c r="X5087">
        <f t="shared" si="798"/>
        <v>0.99999999999999989</v>
      </c>
      <c r="Y5087" t="str">
        <f t="shared" si="799"/>
        <v>Healthy</v>
      </c>
    </row>
    <row r="5088" spans="1:25" x14ac:dyDescent="0.35">
      <c r="A5088" t="s">
        <v>179</v>
      </c>
      <c r="B5088" t="s">
        <v>180</v>
      </c>
      <c r="C5088" t="s">
        <v>181</v>
      </c>
      <c r="D5088" t="s">
        <v>3152</v>
      </c>
      <c r="E5088">
        <v>80891244</v>
      </c>
      <c r="F5088" t="s">
        <v>3153</v>
      </c>
      <c r="G5088" s="3">
        <v>46586</v>
      </c>
      <c r="H5088">
        <v>16</v>
      </c>
      <c r="I5088">
        <v>82</v>
      </c>
      <c r="J5088">
        <v>28</v>
      </c>
      <c r="K5088" s="4">
        <v>19039.439999999999</v>
      </c>
      <c r="L5088" s="4">
        <v>23140.857142857141</v>
      </c>
      <c r="M5088" s="4">
        <v>1.2099811094785969E-3</v>
      </c>
      <c r="N5088" t="s">
        <v>25</v>
      </c>
      <c r="O5088" t="str">
        <f t="shared" si="790"/>
        <v>Low</v>
      </c>
      <c r="P5088" t="str">
        <f t="shared" si="791"/>
        <v>Low</v>
      </c>
      <c r="Q5088" t="str">
        <f t="shared" si="792"/>
        <v>Low</v>
      </c>
      <c r="R5088" t="s">
        <v>3317</v>
      </c>
      <c r="S5088" s="4">
        <f t="shared" ca="1" si="793"/>
        <v>389</v>
      </c>
      <c r="T5088">
        <f t="shared" si="794"/>
        <v>1</v>
      </c>
      <c r="U5088">
        <f t="shared" si="795"/>
        <v>1</v>
      </c>
      <c r="V5088">
        <f t="shared" si="796"/>
        <v>1</v>
      </c>
      <c r="W5088">
        <f t="shared" si="797"/>
        <v>1</v>
      </c>
      <c r="X5088">
        <f t="shared" si="798"/>
        <v>0.99999999999999989</v>
      </c>
      <c r="Y5088" t="str">
        <f t="shared" si="799"/>
        <v>Healthy</v>
      </c>
    </row>
    <row r="5089" spans="1:25" x14ac:dyDescent="0.35">
      <c r="A5089" t="s">
        <v>179</v>
      </c>
      <c r="B5089" t="s">
        <v>180</v>
      </c>
      <c r="C5089" t="s">
        <v>181</v>
      </c>
      <c r="D5089" t="s">
        <v>3152</v>
      </c>
      <c r="E5089">
        <v>80891244</v>
      </c>
      <c r="F5089" t="s">
        <v>3153</v>
      </c>
      <c r="G5089" s="3">
        <v>46655</v>
      </c>
      <c r="H5089">
        <v>16</v>
      </c>
      <c r="I5089">
        <v>96</v>
      </c>
      <c r="J5089">
        <v>548</v>
      </c>
      <c r="K5089" s="4">
        <v>372629.04</v>
      </c>
      <c r="L5089" s="4">
        <v>23140.857142857141</v>
      </c>
      <c r="M5089" s="4">
        <v>2.3681058856938254E-2</v>
      </c>
      <c r="N5089" t="s">
        <v>25</v>
      </c>
      <c r="O5089" t="str">
        <f t="shared" si="790"/>
        <v>Low</v>
      </c>
      <c r="P5089" t="str">
        <f t="shared" si="791"/>
        <v>Low</v>
      </c>
      <c r="Q5089" t="str">
        <f t="shared" si="792"/>
        <v>Low</v>
      </c>
      <c r="R5089" t="s">
        <v>3309</v>
      </c>
      <c r="S5089" s="4">
        <f t="shared" ca="1" si="793"/>
        <v>458</v>
      </c>
      <c r="T5089">
        <f t="shared" si="794"/>
        <v>1</v>
      </c>
      <c r="U5089">
        <f t="shared" si="795"/>
        <v>1</v>
      </c>
      <c r="V5089">
        <f t="shared" si="796"/>
        <v>1</v>
      </c>
      <c r="W5089">
        <f t="shared" si="797"/>
        <v>3</v>
      </c>
      <c r="X5089">
        <f t="shared" si="798"/>
        <v>1.2</v>
      </c>
      <c r="Y5089" t="str">
        <f t="shared" si="799"/>
        <v>Healthy</v>
      </c>
    </row>
    <row r="5090" spans="1:25" x14ac:dyDescent="0.35">
      <c r="A5090" t="s">
        <v>179</v>
      </c>
      <c r="B5090" t="s">
        <v>180</v>
      </c>
      <c r="C5090" t="s">
        <v>181</v>
      </c>
      <c r="D5090" t="s">
        <v>3152</v>
      </c>
      <c r="E5090">
        <v>80891244</v>
      </c>
      <c r="F5090" t="s">
        <v>3153</v>
      </c>
      <c r="G5090" s="3">
        <v>46583</v>
      </c>
      <c r="H5090">
        <v>16</v>
      </c>
      <c r="I5090">
        <v>81</v>
      </c>
      <c r="J5090">
        <v>47</v>
      </c>
      <c r="K5090" s="4">
        <v>31959.06</v>
      </c>
      <c r="L5090" s="4">
        <v>23140.857142857141</v>
      </c>
      <c r="M5090" s="4">
        <v>2.0310397194819307E-3</v>
      </c>
      <c r="N5090" t="s">
        <v>25</v>
      </c>
      <c r="O5090" t="str">
        <f t="shared" si="790"/>
        <v>Low</v>
      </c>
      <c r="P5090" t="str">
        <f t="shared" si="791"/>
        <v>Low</v>
      </c>
      <c r="Q5090" t="str">
        <f t="shared" si="792"/>
        <v>Low</v>
      </c>
      <c r="R5090" t="s">
        <v>3317</v>
      </c>
      <c r="S5090" s="4">
        <f t="shared" ca="1" si="793"/>
        <v>386</v>
      </c>
      <c r="T5090">
        <f t="shared" si="794"/>
        <v>1</v>
      </c>
      <c r="U5090">
        <f t="shared" si="795"/>
        <v>1</v>
      </c>
      <c r="V5090">
        <f t="shared" si="796"/>
        <v>1</v>
      </c>
      <c r="W5090">
        <f t="shared" si="797"/>
        <v>1</v>
      </c>
      <c r="X5090">
        <f t="shared" si="798"/>
        <v>0.99999999999999989</v>
      </c>
      <c r="Y5090" t="str">
        <f t="shared" si="799"/>
        <v>Healthy</v>
      </c>
    </row>
    <row r="5091" spans="1:25" x14ac:dyDescent="0.35">
      <c r="A5091" t="s">
        <v>179</v>
      </c>
      <c r="B5091" t="s">
        <v>180</v>
      </c>
      <c r="C5091" t="s">
        <v>181</v>
      </c>
      <c r="D5091" t="s">
        <v>3152</v>
      </c>
      <c r="E5091">
        <v>80891244</v>
      </c>
      <c r="F5091" t="s">
        <v>3153</v>
      </c>
      <c r="G5091" s="3">
        <v>46564</v>
      </c>
      <c r="H5091">
        <v>16</v>
      </c>
      <c r="I5091">
        <v>78</v>
      </c>
      <c r="J5091">
        <v>3</v>
      </c>
      <c r="K5091" s="4">
        <v>2039.94</v>
      </c>
      <c r="L5091" s="4">
        <v>23140.857142857141</v>
      </c>
      <c r="M5091" s="4">
        <v>1.2964083315842112E-4</v>
      </c>
      <c r="N5091" t="s">
        <v>25</v>
      </c>
      <c r="O5091" t="str">
        <f t="shared" si="790"/>
        <v>Low</v>
      </c>
      <c r="P5091" t="str">
        <f t="shared" si="791"/>
        <v>Low</v>
      </c>
      <c r="Q5091" t="str">
        <f t="shared" si="792"/>
        <v>Low</v>
      </c>
      <c r="R5091" t="s">
        <v>3317</v>
      </c>
      <c r="S5091" s="4">
        <f t="shared" ca="1" si="793"/>
        <v>367</v>
      </c>
      <c r="T5091">
        <f t="shared" si="794"/>
        <v>1</v>
      </c>
      <c r="U5091">
        <f t="shared" si="795"/>
        <v>1</v>
      </c>
      <c r="V5091">
        <f t="shared" si="796"/>
        <v>1</v>
      </c>
      <c r="W5091">
        <f t="shared" si="797"/>
        <v>1</v>
      </c>
      <c r="X5091">
        <f t="shared" si="798"/>
        <v>0.99999999999999989</v>
      </c>
      <c r="Y5091" t="str">
        <f t="shared" si="799"/>
        <v>Healthy</v>
      </c>
    </row>
    <row r="5092" spans="1:25" x14ac:dyDescent="0.35">
      <c r="A5092" t="s">
        <v>179</v>
      </c>
      <c r="B5092" t="s">
        <v>180</v>
      </c>
      <c r="C5092" t="s">
        <v>181</v>
      </c>
      <c r="D5092" t="s">
        <v>3152</v>
      </c>
      <c r="E5092">
        <v>80891244</v>
      </c>
      <c r="F5092" t="s">
        <v>3153</v>
      </c>
      <c r="G5092" s="3">
        <v>46634</v>
      </c>
      <c r="H5092">
        <v>16</v>
      </c>
      <c r="I5092">
        <v>92</v>
      </c>
      <c r="J5092">
        <v>3</v>
      </c>
      <c r="K5092" s="4">
        <v>2039.94</v>
      </c>
      <c r="L5092" s="4">
        <v>23140.857142857141</v>
      </c>
      <c r="M5092" s="4">
        <v>1.2964083315842112E-4</v>
      </c>
      <c r="N5092" t="s">
        <v>25</v>
      </c>
      <c r="O5092" t="str">
        <f t="shared" si="790"/>
        <v>Low</v>
      </c>
      <c r="P5092" t="str">
        <f t="shared" si="791"/>
        <v>Low</v>
      </c>
      <c r="Q5092" t="str">
        <f t="shared" si="792"/>
        <v>Low</v>
      </c>
      <c r="R5092" t="s">
        <v>3317</v>
      </c>
      <c r="S5092" s="4">
        <f t="shared" ca="1" si="793"/>
        <v>437</v>
      </c>
      <c r="T5092">
        <f t="shared" si="794"/>
        <v>1</v>
      </c>
      <c r="U5092">
        <f t="shared" si="795"/>
        <v>1</v>
      </c>
      <c r="V5092">
        <f t="shared" si="796"/>
        <v>1</v>
      </c>
      <c r="W5092">
        <f t="shared" si="797"/>
        <v>1</v>
      </c>
      <c r="X5092">
        <f t="shared" si="798"/>
        <v>0.99999999999999989</v>
      </c>
      <c r="Y5092" t="str">
        <f t="shared" si="799"/>
        <v>Healthy</v>
      </c>
    </row>
    <row r="5093" spans="1:25" x14ac:dyDescent="0.35">
      <c r="A5093" t="s">
        <v>179</v>
      </c>
      <c r="B5093" t="s">
        <v>180</v>
      </c>
      <c r="C5093" t="s">
        <v>181</v>
      </c>
      <c r="D5093" t="s">
        <v>3152</v>
      </c>
      <c r="E5093">
        <v>80891244</v>
      </c>
      <c r="F5093" t="s">
        <v>3153</v>
      </c>
      <c r="G5093" s="3">
        <v>46661</v>
      </c>
      <c r="H5093">
        <v>16</v>
      </c>
      <c r="I5093">
        <v>98</v>
      </c>
      <c r="J5093">
        <v>567</v>
      </c>
      <c r="K5093" s="4">
        <v>385548.66</v>
      </c>
      <c r="L5093" s="4">
        <v>23140.857142857141</v>
      </c>
      <c r="M5093" s="4">
        <v>2.450211746694159E-2</v>
      </c>
      <c r="N5093" t="s">
        <v>25</v>
      </c>
      <c r="O5093" t="str">
        <f t="shared" si="790"/>
        <v>Low</v>
      </c>
      <c r="P5093" t="str">
        <f t="shared" si="791"/>
        <v>Low</v>
      </c>
      <c r="Q5093" t="str">
        <f t="shared" si="792"/>
        <v>Low</v>
      </c>
      <c r="R5093" t="s">
        <v>3309</v>
      </c>
      <c r="S5093" s="4">
        <f t="shared" ca="1" si="793"/>
        <v>464</v>
      </c>
      <c r="T5093">
        <f t="shared" si="794"/>
        <v>1</v>
      </c>
      <c r="U5093">
        <f t="shared" si="795"/>
        <v>1</v>
      </c>
      <c r="V5093">
        <f t="shared" si="796"/>
        <v>1</v>
      </c>
      <c r="W5093">
        <f t="shared" si="797"/>
        <v>3</v>
      </c>
      <c r="X5093">
        <f t="shared" si="798"/>
        <v>1.2</v>
      </c>
      <c r="Y5093" t="str">
        <f t="shared" si="799"/>
        <v>Healthy</v>
      </c>
    </row>
    <row r="5094" spans="1:25" x14ac:dyDescent="0.35">
      <c r="A5094" t="s">
        <v>46</v>
      </c>
      <c r="B5094" t="s">
        <v>129</v>
      </c>
      <c r="C5094" t="s">
        <v>1748</v>
      </c>
      <c r="D5094" t="s">
        <v>1749</v>
      </c>
      <c r="E5094">
        <v>80693535</v>
      </c>
      <c r="F5094" t="s">
        <v>3154</v>
      </c>
      <c r="G5094" s="3">
        <v>45942</v>
      </c>
      <c r="H5094">
        <v>36</v>
      </c>
      <c r="I5094">
        <v>0</v>
      </c>
      <c r="J5094">
        <v>1</v>
      </c>
      <c r="K5094" s="4">
        <v>380.56</v>
      </c>
      <c r="L5094" s="4">
        <f>0</f>
        <v>0</v>
      </c>
      <c r="M5094" s="4">
        <f>999</f>
        <v>999</v>
      </c>
      <c r="N5094" t="s">
        <v>19</v>
      </c>
      <c r="O5094" t="str">
        <f t="shared" si="790"/>
        <v>High</v>
      </c>
      <c r="P5094" t="str">
        <f t="shared" si="791"/>
        <v>High</v>
      </c>
      <c r="Q5094" t="str">
        <f t="shared" si="792"/>
        <v>High</v>
      </c>
      <c r="R5094" t="s">
        <v>3317</v>
      </c>
      <c r="S5094" s="4">
        <f t="shared" ca="1" si="793"/>
        <v>-255</v>
      </c>
      <c r="T5094">
        <f t="shared" si="794"/>
        <v>3</v>
      </c>
      <c r="U5094">
        <f t="shared" si="795"/>
        <v>3</v>
      </c>
      <c r="V5094">
        <f t="shared" si="796"/>
        <v>3</v>
      </c>
      <c r="W5094">
        <f t="shared" si="797"/>
        <v>1</v>
      </c>
      <c r="X5094">
        <f t="shared" si="798"/>
        <v>2.8000000000000003</v>
      </c>
      <c r="Y5094" t="str">
        <f t="shared" si="799"/>
        <v>Move Immediately</v>
      </c>
    </row>
    <row r="5095" spans="1:25" x14ac:dyDescent="0.35">
      <c r="A5095" t="s">
        <v>179</v>
      </c>
      <c r="B5095" t="s">
        <v>180</v>
      </c>
      <c r="C5095" t="s">
        <v>181</v>
      </c>
      <c r="D5095" t="s">
        <v>3152</v>
      </c>
      <c r="E5095">
        <v>80891244</v>
      </c>
      <c r="F5095" t="s">
        <v>3153</v>
      </c>
      <c r="G5095" s="3">
        <v>46565</v>
      </c>
      <c r="H5095">
        <v>16</v>
      </c>
      <c r="I5095">
        <v>78</v>
      </c>
      <c r="J5095">
        <v>48</v>
      </c>
      <c r="K5095" s="4">
        <v>32639.040000000001</v>
      </c>
      <c r="L5095" s="4">
        <v>23140.857142857141</v>
      </c>
      <c r="M5095" s="4">
        <v>2.0742533305347379E-3</v>
      </c>
      <c r="N5095" t="s">
        <v>25</v>
      </c>
      <c r="O5095" t="str">
        <f t="shared" si="790"/>
        <v>Low</v>
      </c>
      <c r="P5095" t="str">
        <f t="shared" si="791"/>
        <v>Low</v>
      </c>
      <c r="Q5095" t="str">
        <f t="shared" si="792"/>
        <v>Low</v>
      </c>
      <c r="R5095" t="s">
        <v>3317</v>
      </c>
      <c r="S5095" s="4">
        <f t="shared" ca="1" si="793"/>
        <v>368</v>
      </c>
      <c r="T5095">
        <f t="shared" si="794"/>
        <v>1</v>
      </c>
      <c r="U5095">
        <f t="shared" si="795"/>
        <v>1</v>
      </c>
      <c r="V5095">
        <f t="shared" si="796"/>
        <v>1</v>
      </c>
      <c r="W5095">
        <f t="shared" si="797"/>
        <v>1</v>
      </c>
      <c r="X5095">
        <f t="shared" si="798"/>
        <v>0.99999999999999989</v>
      </c>
      <c r="Y5095" t="str">
        <f t="shared" si="799"/>
        <v>Healthy</v>
      </c>
    </row>
    <row r="5096" spans="1:25" x14ac:dyDescent="0.35">
      <c r="A5096" t="s">
        <v>179</v>
      </c>
      <c r="B5096" t="s">
        <v>180</v>
      </c>
      <c r="C5096" t="s">
        <v>181</v>
      </c>
      <c r="D5096" t="s">
        <v>3152</v>
      </c>
      <c r="E5096">
        <v>80891244</v>
      </c>
      <c r="F5096" t="s">
        <v>3153</v>
      </c>
      <c r="G5096" s="3">
        <v>46553</v>
      </c>
      <c r="H5096">
        <v>16</v>
      </c>
      <c r="I5096">
        <v>75</v>
      </c>
      <c r="J5096">
        <v>21</v>
      </c>
      <c r="K5096" s="4">
        <v>14279.58</v>
      </c>
      <c r="L5096" s="4">
        <v>23140.857142857141</v>
      </c>
      <c r="M5096" s="4">
        <v>9.0748583210894769E-4</v>
      </c>
      <c r="N5096" t="s">
        <v>25</v>
      </c>
      <c r="O5096" t="str">
        <f t="shared" si="790"/>
        <v>Low</v>
      </c>
      <c r="P5096" t="str">
        <f t="shared" si="791"/>
        <v>Low</v>
      </c>
      <c r="Q5096" t="str">
        <f t="shared" si="792"/>
        <v>Low</v>
      </c>
      <c r="R5096" t="s">
        <v>3317</v>
      </c>
      <c r="S5096" s="4">
        <f t="shared" ca="1" si="793"/>
        <v>356</v>
      </c>
      <c r="T5096">
        <f t="shared" si="794"/>
        <v>1</v>
      </c>
      <c r="U5096">
        <f t="shared" si="795"/>
        <v>1</v>
      </c>
      <c r="V5096">
        <f t="shared" si="796"/>
        <v>1</v>
      </c>
      <c r="W5096">
        <f t="shared" si="797"/>
        <v>1</v>
      </c>
      <c r="X5096">
        <f t="shared" si="798"/>
        <v>0.99999999999999989</v>
      </c>
      <c r="Y5096" t="str">
        <f t="shared" si="799"/>
        <v>Healthy</v>
      </c>
    </row>
    <row r="5097" spans="1:25" x14ac:dyDescent="0.35">
      <c r="A5097" t="s">
        <v>179</v>
      </c>
      <c r="B5097" t="s">
        <v>180</v>
      </c>
      <c r="C5097" t="s">
        <v>181</v>
      </c>
      <c r="D5097" t="s">
        <v>3152</v>
      </c>
      <c r="E5097">
        <v>80891244</v>
      </c>
      <c r="F5097" t="s">
        <v>3153</v>
      </c>
      <c r="G5097" s="3">
        <v>46601</v>
      </c>
      <c r="H5097">
        <v>16</v>
      </c>
      <c r="I5097">
        <v>85</v>
      </c>
      <c r="J5097">
        <v>41</v>
      </c>
      <c r="K5097" s="4">
        <v>27879.18</v>
      </c>
      <c r="L5097" s="4">
        <v>23140.857142857141</v>
      </c>
      <c r="M5097" s="4">
        <v>1.7717580531650884E-3</v>
      </c>
      <c r="N5097" t="s">
        <v>25</v>
      </c>
      <c r="O5097" t="str">
        <f t="shared" si="790"/>
        <v>Low</v>
      </c>
      <c r="P5097" t="str">
        <f t="shared" si="791"/>
        <v>Low</v>
      </c>
      <c r="Q5097" t="str">
        <f t="shared" si="792"/>
        <v>Low</v>
      </c>
      <c r="R5097" t="s">
        <v>3317</v>
      </c>
      <c r="S5097" s="4">
        <f t="shared" ca="1" si="793"/>
        <v>404</v>
      </c>
      <c r="T5097">
        <f t="shared" si="794"/>
        <v>1</v>
      </c>
      <c r="U5097">
        <f t="shared" si="795"/>
        <v>1</v>
      </c>
      <c r="V5097">
        <f t="shared" si="796"/>
        <v>1</v>
      </c>
      <c r="W5097">
        <f t="shared" si="797"/>
        <v>1</v>
      </c>
      <c r="X5097">
        <f t="shared" si="798"/>
        <v>0.99999999999999989</v>
      </c>
      <c r="Y5097" t="str">
        <f t="shared" si="799"/>
        <v>Healthy</v>
      </c>
    </row>
    <row r="5098" spans="1:25" x14ac:dyDescent="0.35">
      <c r="A5098" t="s">
        <v>179</v>
      </c>
      <c r="B5098" t="s">
        <v>180</v>
      </c>
      <c r="C5098" t="s">
        <v>181</v>
      </c>
      <c r="D5098" t="s">
        <v>3152</v>
      </c>
      <c r="E5098">
        <v>80891244</v>
      </c>
      <c r="F5098" t="s">
        <v>3153</v>
      </c>
      <c r="G5098" s="3">
        <v>46625</v>
      </c>
      <c r="H5098">
        <v>16</v>
      </c>
      <c r="I5098">
        <v>90</v>
      </c>
      <c r="J5098">
        <v>51</v>
      </c>
      <c r="K5098" s="4">
        <v>34678.980000000003</v>
      </c>
      <c r="L5098" s="4">
        <v>23140.857142857141</v>
      </c>
      <c r="M5098" s="4">
        <v>2.2038941636931589E-3</v>
      </c>
      <c r="N5098" t="s">
        <v>25</v>
      </c>
      <c r="O5098" t="str">
        <f t="shared" si="790"/>
        <v>Low</v>
      </c>
      <c r="P5098" t="str">
        <f t="shared" si="791"/>
        <v>Low</v>
      </c>
      <c r="Q5098" t="str">
        <f t="shared" si="792"/>
        <v>Low</v>
      </c>
      <c r="R5098" t="s">
        <v>3317</v>
      </c>
      <c r="S5098" s="4">
        <f t="shared" ca="1" si="793"/>
        <v>428</v>
      </c>
      <c r="T5098">
        <f t="shared" si="794"/>
        <v>1</v>
      </c>
      <c r="U5098">
        <f t="shared" si="795"/>
        <v>1</v>
      </c>
      <c r="V5098">
        <f t="shared" si="796"/>
        <v>1</v>
      </c>
      <c r="W5098">
        <f t="shared" si="797"/>
        <v>1</v>
      </c>
      <c r="X5098">
        <f t="shared" si="798"/>
        <v>0.99999999999999989</v>
      </c>
      <c r="Y5098" t="str">
        <f t="shared" si="799"/>
        <v>Healthy</v>
      </c>
    </row>
    <row r="5099" spans="1:25" x14ac:dyDescent="0.35">
      <c r="A5099" t="s">
        <v>179</v>
      </c>
      <c r="B5099" t="s">
        <v>180</v>
      </c>
      <c r="C5099" t="s">
        <v>181</v>
      </c>
      <c r="D5099" t="s">
        <v>3152</v>
      </c>
      <c r="E5099">
        <v>80891244</v>
      </c>
      <c r="F5099" t="s">
        <v>3153</v>
      </c>
      <c r="G5099" s="3">
        <v>46621</v>
      </c>
      <c r="H5099">
        <v>16</v>
      </c>
      <c r="I5099">
        <v>89</v>
      </c>
      <c r="J5099">
        <v>40</v>
      </c>
      <c r="K5099" s="4">
        <v>27199.200000000001</v>
      </c>
      <c r="L5099" s="4">
        <v>23140.857142857141</v>
      </c>
      <c r="M5099" s="4">
        <v>1.7285444421122815E-3</v>
      </c>
      <c r="N5099" t="s">
        <v>25</v>
      </c>
      <c r="O5099" t="str">
        <f t="shared" si="790"/>
        <v>Low</v>
      </c>
      <c r="P5099" t="str">
        <f t="shared" si="791"/>
        <v>Low</v>
      </c>
      <c r="Q5099" t="str">
        <f t="shared" si="792"/>
        <v>Low</v>
      </c>
      <c r="R5099" t="s">
        <v>3317</v>
      </c>
      <c r="S5099" s="4">
        <f t="shared" ca="1" si="793"/>
        <v>424</v>
      </c>
      <c r="T5099">
        <f t="shared" si="794"/>
        <v>1</v>
      </c>
      <c r="U5099">
        <f t="shared" si="795"/>
        <v>1</v>
      </c>
      <c r="V5099">
        <f t="shared" si="796"/>
        <v>1</v>
      </c>
      <c r="W5099">
        <f t="shared" si="797"/>
        <v>1</v>
      </c>
      <c r="X5099">
        <f t="shared" si="798"/>
        <v>0.99999999999999989</v>
      </c>
      <c r="Y5099" t="str">
        <f t="shared" si="799"/>
        <v>Healthy</v>
      </c>
    </row>
    <row r="5100" spans="1:25" x14ac:dyDescent="0.35">
      <c r="A5100" t="s">
        <v>46</v>
      </c>
      <c r="B5100" t="s">
        <v>129</v>
      </c>
      <c r="C5100" t="s">
        <v>1748</v>
      </c>
      <c r="D5100" t="s">
        <v>1749</v>
      </c>
      <c r="E5100">
        <v>80693535</v>
      </c>
      <c r="F5100" t="s">
        <v>3154</v>
      </c>
      <c r="G5100" s="3">
        <v>47020</v>
      </c>
      <c r="H5100">
        <v>36</v>
      </c>
      <c r="I5100">
        <v>77</v>
      </c>
      <c r="J5100">
        <v>11</v>
      </c>
      <c r="K5100" s="4">
        <v>4186.16</v>
      </c>
      <c r="L5100" s="4">
        <f>0</f>
        <v>0</v>
      </c>
      <c r="M5100" s="4">
        <f>999</f>
        <v>999</v>
      </c>
      <c r="N5100" t="s">
        <v>19</v>
      </c>
      <c r="O5100" t="str">
        <f t="shared" si="790"/>
        <v>Low</v>
      </c>
      <c r="P5100" t="str">
        <f t="shared" si="791"/>
        <v>High</v>
      </c>
      <c r="Q5100" t="str">
        <f t="shared" si="792"/>
        <v>High</v>
      </c>
      <c r="R5100" t="s">
        <v>3317</v>
      </c>
      <c r="S5100" s="4">
        <f t="shared" ca="1" si="793"/>
        <v>823</v>
      </c>
      <c r="T5100">
        <f t="shared" si="794"/>
        <v>1</v>
      </c>
      <c r="U5100">
        <f t="shared" si="795"/>
        <v>3</v>
      </c>
      <c r="V5100">
        <f t="shared" si="796"/>
        <v>3</v>
      </c>
      <c r="W5100">
        <f t="shared" si="797"/>
        <v>1</v>
      </c>
      <c r="X5100">
        <f t="shared" si="798"/>
        <v>2</v>
      </c>
      <c r="Y5100" t="str">
        <f t="shared" si="799"/>
        <v>Monitor</v>
      </c>
    </row>
    <row r="5101" spans="1:25" x14ac:dyDescent="0.35">
      <c r="A5101" t="s">
        <v>179</v>
      </c>
      <c r="B5101" t="s">
        <v>180</v>
      </c>
      <c r="C5101" t="s">
        <v>181</v>
      </c>
      <c r="D5101" t="s">
        <v>3152</v>
      </c>
      <c r="E5101">
        <v>80891244</v>
      </c>
      <c r="F5101" t="s">
        <v>3153</v>
      </c>
      <c r="G5101" s="3">
        <v>46638</v>
      </c>
      <c r="H5101">
        <v>16</v>
      </c>
      <c r="I5101">
        <v>93</v>
      </c>
      <c r="J5101">
        <v>60</v>
      </c>
      <c r="K5101" s="4">
        <v>40798.800000000003</v>
      </c>
      <c r="L5101" s="4">
        <v>23140.857142857141</v>
      </c>
      <c r="M5101" s="4">
        <v>2.592816663168422E-3</v>
      </c>
      <c r="N5101" t="s">
        <v>25</v>
      </c>
      <c r="O5101" t="str">
        <f t="shared" si="790"/>
        <v>Low</v>
      </c>
      <c r="P5101" t="str">
        <f t="shared" si="791"/>
        <v>Low</v>
      </c>
      <c r="Q5101" t="str">
        <f t="shared" si="792"/>
        <v>Low</v>
      </c>
      <c r="R5101" t="s">
        <v>3317</v>
      </c>
      <c r="S5101" s="4">
        <f t="shared" ca="1" si="793"/>
        <v>441</v>
      </c>
      <c r="T5101">
        <f t="shared" si="794"/>
        <v>1</v>
      </c>
      <c r="U5101">
        <f t="shared" si="795"/>
        <v>1</v>
      </c>
      <c r="V5101">
        <f t="shared" si="796"/>
        <v>1</v>
      </c>
      <c r="W5101">
        <f t="shared" si="797"/>
        <v>1</v>
      </c>
      <c r="X5101">
        <f t="shared" si="798"/>
        <v>0.99999999999999989</v>
      </c>
      <c r="Y5101" t="str">
        <f t="shared" si="799"/>
        <v>Healthy</v>
      </c>
    </row>
    <row r="5102" spans="1:25" x14ac:dyDescent="0.35">
      <c r="A5102" t="s">
        <v>179</v>
      </c>
      <c r="B5102" t="s">
        <v>180</v>
      </c>
      <c r="C5102" t="s">
        <v>181</v>
      </c>
      <c r="D5102" t="s">
        <v>3152</v>
      </c>
      <c r="E5102">
        <v>80891244</v>
      </c>
      <c r="F5102" t="s">
        <v>3153</v>
      </c>
      <c r="G5102" s="3">
        <v>46651</v>
      </c>
      <c r="H5102">
        <v>16</v>
      </c>
      <c r="I5102">
        <v>96</v>
      </c>
      <c r="J5102">
        <v>22</v>
      </c>
      <c r="K5102" s="4">
        <v>14959.56</v>
      </c>
      <c r="L5102" s="4">
        <v>23140.857142857141</v>
      </c>
      <c r="M5102" s="4">
        <v>9.5069944316175474E-4</v>
      </c>
      <c r="N5102" t="s">
        <v>25</v>
      </c>
      <c r="O5102" t="str">
        <f t="shared" si="790"/>
        <v>Low</v>
      </c>
      <c r="P5102" t="str">
        <f t="shared" si="791"/>
        <v>Low</v>
      </c>
      <c r="Q5102" t="str">
        <f t="shared" si="792"/>
        <v>Low</v>
      </c>
      <c r="R5102" t="s">
        <v>3317</v>
      </c>
      <c r="S5102" s="4">
        <f t="shared" ca="1" si="793"/>
        <v>454</v>
      </c>
      <c r="T5102">
        <f t="shared" si="794"/>
        <v>1</v>
      </c>
      <c r="U5102">
        <f t="shared" si="795"/>
        <v>1</v>
      </c>
      <c r="V5102">
        <f t="shared" si="796"/>
        <v>1</v>
      </c>
      <c r="W5102">
        <f t="shared" si="797"/>
        <v>1</v>
      </c>
      <c r="X5102">
        <f t="shared" si="798"/>
        <v>0.99999999999999989</v>
      </c>
      <c r="Y5102" t="str">
        <f t="shared" si="799"/>
        <v>Healthy</v>
      </c>
    </row>
    <row r="5103" spans="1:25" x14ac:dyDescent="0.35">
      <c r="A5103" t="s">
        <v>179</v>
      </c>
      <c r="B5103" t="s">
        <v>180</v>
      </c>
      <c r="C5103" t="s">
        <v>181</v>
      </c>
      <c r="D5103" t="s">
        <v>3152</v>
      </c>
      <c r="E5103">
        <v>80891244</v>
      </c>
      <c r="F5103" t="s">
        <v>3153</v>
      </c>
      <c r="G5103" s="3">
        <v>46601</v>
      </c>
      <c r="H5103">
        <v>16</v>
      </c>
      <c r="I5103">
        <v>85</v>
      </c>
      <c r="J5103">
        <v>8</v>
      </c>
      <c r="K5103" s="4">
        <v>5439.84</v>
      </c>
      <c r="L5103" s="4">
        <v>23140.857142857141</v>
      </c>
      <c r="M5103" s="4">
        <v>3.4570888842245628E-4</v>
      </c>
      <c r="N5103" t="s">
        <v>25</v>
      </c>
      <c r="O5103" t="str">
        <f t="shared" si="790"/>
        <v>Low</v>
      </c>
      <c r="P5103" t="str">
        <f t="shared" si="791"/>
        <v>Low</v>
      </c>
      <c r="Q5103" t="str">
        <f t="shared" si="792"/>
        <v>Low</v>
      </c>
      <c r="R5103" t="s">
        <v>3317</v>
      </c>
      <c r="S5103" s="4">
        <f t="shared" ca="1" si="793"/>
        <v>404</v>
      </c>
      <c r="T5103">
        <f t="shared" si="794"/>
        <v>1</v>
      </c>
      <c r="U5103">
        <f t="shared" si="795"/>
        <v>1</v>
      </c>
      <c r="V5103">
        <f t="shared" si="796"/>
        <v>1</v>
      </c>
      <c r="W5103">
        <f t="shared" si="797"/>
        <v>1</v>
      </c>
      <c r="X5103">
        <f t="shared" si="798"/>
        <v>0.99999999999999989</v>
      </c>
      <c r="Y5103" t="str">
        <f t="shared" si="799"/>
        <v>Healthy</v>
      </c>
    </row>
    <row r="5104" spans="1:25" x14ac:dyDescent="0.35">
      <c r="A5104" t="s">
        <v>29</v>
      </c>
      <c r="B5104" t="s">
        <v>30</v>
      </c>
      <c r="C5104" t="s">
        <v>230</v>
      </c>
      <c r="D5104" t="s">
        <v>2977</v>
      </c>
      <c r="E5104">
        <v>82329850</v>
      </c>
      <c r="F5104" t="s">
        <v>3155</v>
      </c>
      <c r="G5104" s="3">
        <v>46551</v>
      </c>
      <c r="H5104">
        <v>36</v>
      </c>
      <c r="I5104">
        <v>33</v>
      </c>
      <c r="J5104">
        <v>1</v>
      </c>
      <c r="K5104" s="4">
        <v>1599.15</v>
      </c>
      <c r="L5104" s="4">
        <f>0</f>
        <v>0</v>
      </c>
      <c r="M5104" s="4">
        <f>999</f>
        <v>999</v>
      </c>
      <c r="N5104" t="s">
        <v>19</v>
      </c>
      <c r="O5104" t="str">
        <f t="shared" si="790"/>
        <v>Medium</v>
      </c>
      <c r="P5104" t="str">
        <f t="shared" si="791"/>
        <v>High</v>
      </c>
      <c r="Q5104" t="str">
        <f t="shared" si="792"/>
        <v>High</v>
      </c>
      <c r="R5104" t="s">
        <v>3317</v>
      </c>
      <c r="S5104" s="4">
        <f t="shared" ca="1" si="793"/>
        <v>354</v>
      </c>
      <c r="T5104">
        <f t="shared" si="794"/>
        <v>2</v>
      </c>
      <c r="U5104">
        <f t="shared" si="795"/>
        <v>3</v>
      </c>
      <c r="V5104">
        <f t="shared" si="796"/>
        <v>3</v>
      </c>
      <c r="W5104">
        <f t="shared" si="797"/>
        <v>1</v>
      </c>
      <c r="X5104">
        <f t="shared" si="798"/>
        <v>2.4</v>
      </c>
      <c r="Y5104" t="str">
        <f t="shared" si="799"/>
        <v>High Priority</v>
      </c>
    </row>
    <row r="5105" spans="1:25" x14ac:dyDescent="0.35">
      <c r="A5105" t="s">
        <v>41</v>
      </c>
      <c r="B5105" t="s">
        <v>54</v>
      </c>
      <c r="C5105" t="s">
        <v>87</v>
      </c>
      <c r="D5105" t="s">
        <v>88</v>
      </c>
      <c r="E5105">
        <v>80695973</v>
      </c>
      <c r="F5105" t="s">
        <v>3156</v>
      </c>
      <c r="G5105" s="3">
        <v>47020</v>
      </c>
      <c r="H5105">
        <v>36</v>
      </c>
      <c r="I5105">
        <v>77</v>
      </c>
      <c r="J5105">
        <v>2</v>
      </c>
      <c r="K5105" s="4">
        <v>1258.24</v>
      </c>
      <c r="L5105" s="4">
        <v>1.7142857142857142</v>
      </c>
      <c r="M5105" s="4">
        <v>1.1666666666666667</v>
      </c>
      <c r="N5105" t="s">
        <v>25</v>
      </c>
      <c r="O5105" t="str">
        <f t="shared" si="790"/>
        <v>Low</v>
      </c>
      <c r="P5105" t="str">
        <f t="shared" si="791"/>
        <v>Low</v>
      </c>
      <c r="Q5105" t="str">
        <f t="shared" si="792"/>
        <v>High</v>
      </c>
      <c r="R5105" t="s">
        <v>3317</v>
      </c>
      <c r="S5105" s="4">
        <f t="shared" ca="1" si="793"/>
        <v>823</v>
      </c>
      <c r="T5105">
        <f t="shared" si="794"/>
        <v>1</v>
      </c>
      <c r="U5105">
        <f t="shared" si="795"/>
        <v>1</v>
      </c>
      <c r="V5105">
        <f t="shared" si="796"/>
        <v>3</v>
      </c>
      <c r="W5105">
        <f t="shared" si="797"/>
        <v>1</v>
      </c>
      <c r="X5105">
        <f t="shared" si="798"/>
        <v>1.4000000000000001</v>
      </c>
      <c r="Y5105" t="str">
        <f t="shared" si="799"/>
        <v>Healthy</v>
      </c>
    </row>
    <row r="5106" spans="1:25" x14ac:dyDescent="0.35">
      <c r="A5106" t="s">
        <v>41</v>
      </c>
      <c r="B5106" t="s">
        <v>54</v>
      </c>
      <c r="C5106" t="s">
        <v>87</v>
      </c>
      <c r="D5106" t="s">
        <v>88</v>
      </c>
      <c r="E5106">
        <v>80695973</v>
      </c>
      <c r="F5106" t="s">
        <v>3156</v>
      </c>
      <c r="G5106" s="3">
        <v>47020</v>
      </c>
      <c r="H5106">
        <v>36</v>
      </c>
      <c r="I5106">
        <v>77</v>
      </c>
      <c r="J5106">
        <v>3</v>
      </c>
      <c r="K5106" s="4">
        <v>1887.36</v>
      </c>
      <c r="L5106" s="4">
        <v>1.7142857142857142</v>
      </c>
      <c r="M5106" s="4">
        <v>1.75</v>
      </c>
      <c r="N5106" t="s">
        <v>25</v>
      </c>
      <c r="O5106" t="str">
        <f t="shared" si="790"/>
        <v>Low</v>
      </c>
      <c r="P5106" t="str">
        <f t="shared" si="791"/>
        <v>Low</v>
      </c>
      <c r="Q5106" t="str">
        <f t="shared" si="792"/>
        <v>High</v>
      </c>
      <c r="R5106" t="s">
        <v>3317</v>
      </c>
      <c r="S5106" s="4">
        <f t="shared" ca="1" si="793"/>
        <v>823</v>
      </c>
      <c r="T5106">
        <f t="shared" si="794"/>
        <v>1</v>
      </c>
      <c r="U5106">
        <f t="shared" si="795"/>
        <v>1</v>
      </c>
      <c r="V5106">
        <f t="shared" si="796"/>
        <v>3</v>
      </c>
      <c r="W5106">
        <f t="shared" si="797"/>
        <v>1</v>
      </c>
      <c r="X5106">
        <f t="shared" si="798"/>
        <v>1.4000000000000001</v>
      </c>
      <c r="Y5106" t="str">
        <f t="shared" si="799"/>
        <v>Healthy</v>
      </c>
    </row>
    <row r="5107" spans="1:25" x14ac:dyDescent="0.35">
      <c r="A5107" t="s">
        <v>41</v>
      </c>
      <c r="B5107" t="s">
        <v>54</v>
      </c>
      <c r="C5107" t="s">
        <v>87</v>
      </c>
      <c r="D5107" t="s">
        <v>88</v>
      </c>
      <c r="E5107">
        <v>80695973</v>
      </c>
      <c r="F5107" t="s">
        <v>3156</v>
      </c>
      <c r="G5107" s="3">
        <v>47020</v>
      </c>
      <c r="H5107">
        <v>36</v>
      </c>
      <c r="I5107">
        <v>77</v>
      </c>
      <c r="J5107">
        <v>8</v>
      </c>
      <c r="K5107" s="4">
        <v>5032.96</v>
      </c>
      <c r="L5107" s="4">
        <v>1.7142857142857142</v>
      </c>
      <c r="M5107" s="4">
        <v>4.666666666666667</v>
      </c>
      <c r="N5107" t="s">
        <v>25</v>
      </c>
      <c r="O5107" t="str">
        <f t="shared" si="790"/>
        <v>Low</v>
      </c>
      <c r="P5107" t="str">
        <f t="shared" si="791"/>
        <v>Medium</v>
      </c>
      <c r="Q5107" t="str">
        <f t="shared" si="792"/>
        <v>High</v>
      </c>
      <c r="R5107" t="s">
        <v>3317</v>
      </c>
      <c r="S5107" s="4">
        <f t="shared" ca="1" si="793"/>
        <v>823</v>
      </c>
      <c r="T5107">
        <f t="shared" si="794"/>
        <v>1</v>
      </c>
      <c r="U5107">
        <f t="shared" si="795"/>
        <v>2</v>
      </c>
      <c r="V5107">
        <f t="shared" si="796"/>
        <v>3</v>
      </c>
      <c r="W5107">
        <f t="shared" si="797"/>
        <v>1</v>
      </c>
      <c r="X5107">
        <f t="shared" si="798"/>
        <v>1.7000000000000002</v>
      </c>
      <c r="Y5107" t="str">
        <f t="shared" si="799"/>
        <v>Monitor</v>
      </c>
    </row>
    <row r="5108" spans="1:25" x14ac:dyDescent="0.35">
      <c r="A5108" t="s">
        <v>41</v>
      </c>
      <c r="B5108" t="s">
        <v>54</v>
      </c>
      <c r="C5108" t="s">
        <v>87</v>
      </c>
      <c r="D5108" t="s">
        <v>88</v>
      </c>
      <c r="E5108">
        <v>80695973</v>
      </c>
      <c r="F5108" t="s">
        <v>3156</v>
      </c>
      <c r="G5108" s="3">
        <v>47020</v>
      </c>
      <c r="H5108">
        <v>36</v>
      </c>
      <c r="I5108">
        <v>77</v>
      </c>
      <c r="J5108">
        <v>2</v>
      </c>
      <c r="K5108" s="4">
        <v>1258.24</v>
      </c>
      <c r="L5108" s="4">
        <v>1.7142857142857142</v>
      </c>
      <c r="M5108" s="4">
        <v>1.1666666666666667</v>
      </c>
      <c r="N5108" t="s">
        <v>25</v>
      </c>
      <c r="O5108" t="str">
        <f t="shared" si="790"/>
        <v>Low</v>
      </c>
      <c r="P5108" t="str">
        <f t="shared" si="791"/>
        <v>Low</v>
      </c>
      <c r="Q5108" t="str">
        <f t="shared" si="792"/>
        <v>High</v>
      </c>
      <c r="R5108" t="s">
        <v>3317</v>
      </c>
      <c r="S5108" s="4">
        <f t="shared" ca="1" si="793"/>
        <v>823</v>
      </c>
      <c r="T5108">
        <f t="shared" si="794"/>
        <v>1</v>
      </c>
      <c r="U5108">
        <f t="shared" si="795"/>
        <v>1</v>
      </c>
      <c r="V5108">
        <f t="shared" si="796"/>
        <v>3</v>
      </c>
      <c r="W5108">
        <f t="shared" si="797"/>
        <v>1</v>
      </c>
      <c r="X5108">
        <f t="shared" si="798"/>
        <v>1.4000000000000001</v>
      </c>
      <c r="Y5108" t="str">
        <f t="shared" si="799"/>
        <v>Healthy</v>
      </c>
    </row>
    <row r="5109" spans="1:25" x14ac:dyDescent="0.35">
      <c r="A5109" t="s">
        <v>41</v>
      </c>
      <c r="B5109" t="s">
        <v>54</v>
      </c>
      <c r="C5109" t="s">
        <v>87</v>
      </c>
      <c r="D5109" t="s">
        <v>88</v>
      </c>
      <c r="E5109">
        <v>80695973</v>
      </c>
      <c r="F5109" t="s">
        <v>3156</v>
      </c>
      <c r="G5109" s="3">
        <v>47020</v>
      </c>
      <c r="H5109">
        <v>36</v>
      </c>
      <c r="I5109">
        <v>77</v>
      </c>
      <c r="J5109">
        <v>9</v>
      </c>
      <c r="K5109" s="4">
        <v>5662.08</v>
      </c>
      <c r="L5109" s="4">
        <v>1.7142857142857142</v>
      </c>
      <c r="M5109" s="4">
        <v>5.25</v>
      </c>
      <c r="N5109" t="s">
        <v>25</v>
      </c>
      <c r="O5109" t="str">
        <f t="shared" si="790"/>
        <v>Low</v>
      </c>
      <c r="P5109" t="str">
        <f t="shared" si="791"/>
        <v>Medium</v>
      </c>
      <c r="Q5109" t="str">
        <f t="shared" si="792"/>
        <v>High</v>
      </c>
      <c r="R5109" t="s">
        <v>3317</v>
      </c>
      <c r="S5109" s="4">
        <f t="shared" ca="1" si="793"/>
        <v>823</v>
      </c>
      <c r="T5109">
        <f t="shared" si="794"/>
        <v>1</v>
      </c>
      <c r="U5109">
        <f t="shared" si="795"/>
        <v>2</v>
      </c>
      <c r="V5109">
        <f t="shared" si="796"/>
        <v>3</v>
      </c>
      <c r="W5109">
        <f t="shared" si="797"/>
        <v>1</v>
      </c>
      <c r="X5109">
        <f t="shared" si="798"/>
        <v>1.7000000000000002</v>
      </c>
      <c r="Y5109" t="str">
        <f t="shared" si="799"/>
        <v>Monitor</v>
      </c>
    </row>
    <row r="5110" spans="1:25" x14ac:dyDescent="0.35">
      <c r="A5110" t="s">
        <v>179</v>
      </c>
      <c r="B5110" t="s">
        <v>180</v>
      </c>
      <c r="C5110" t="s">
        <v>181</v>
      </c>
      <c r="D5110" t="s">
        <v>2777</v>
      </c>
      <c r="E5110">
        <v>80861877</v>
      </c>
      <c r="F5110" t="s">
        <v>3157</v>
      </c>
      <c r="G5110" s="3">
        <v>46597</v>
      </c>
      <c r="H5110">
        <v>16</v>
      </c>
      <c r="I5110">
        <v>84</v>
      </c>
      <c r="J5110">
        <v>36</v>
      </c>
      <c r="K5110" s="4">
        <v>12447.72</v>
      </c>
      <c r="L5110" s="4">
        <v>26229.142857142859</v>
      </c>
      <c r="M5110" s="4">
        <v>1.3725191172305614E-3</v>
      </c>
      <c r="N5110" t="s">
        <v>25</v>
      </c>
      <c r="O5110" t="str">
        <f t="shared" si="790"/>
        <v>Low</v>
      </c>
      <c r="P5110" t="str">
        <f t="shared" si="791"/>
        <v>Low</v>
      </c>
      <c r="Q5110" t="str">
        <f t="shared" si="792"/>
        <v>Low</v>
      </c>
      <c r="R5110" t="s">
        <v>3317</v>
      </c>
      <c r="S5110" s="4">
        <f t="shared" ca="1" si="793"/>
        <v>400</v>
      </c>
      <c r="T5110">
        <f t="shared" si="794"/>
        <v>1</v>
      </c>
      <c r="U5110">
        <f t="shared" si="795"/>
        <v>1</v>
      </c>
      <c r="V5110">
        <f t="shared" si="796"/>
        <v>1</v>
      </c>
      <c r="W5110">
        <f t="shared" si="797"/>
        <v>1</v>
      </c>
      <c r="X5110">
        <f t="shared" si="798"/>
        <v>0.99999999999999989</v>
      </c>
      <c r="Y5110" t="str">
        <f t="shared" si="799"/>
        <v>Healthy</v>
      </c>
    </row>
    <row r="5111" spans="1:25" x14ac:dyDescent="0.35">
      <c r="A5111" t="s">
        <v>179</v>
      </c>
      <c r="B5111" t="s">
        <v>180</v>
      </c>
      <c r="C5111" t="s">
        <v>181</v>
      </c>
      <c r="D5111" t="s">
        <v>2777</v>
      </c>
      <c r="E5111">
        <v>80861877</v>
      </c>
      <c r="F5111" t="s">
        <v>3157</v>
      </c>
      <c r="G5111" s="3">
        <v>46598</v>
      </c>
      <c r="H5111">
        <v>16</v>
      </c>
      <c r="I5111">
        <v>85</v>
      </c>
      <c r="J5111">
        <v>41</v>
      </c>
      <c r="K5111" s="4">
        <v>14176.57</v>
      </c>
      <c r="L5111" s="4">
        <v>26229.142857142859</v>
      </c>
      <c r="M5111" s="4">
        <v>1.5631467724014727E-3</v>
      </c>
      <c r="N5111" t="s">
        <v>25</v>
      </c>
      <c r="O5111" t="str">
        <f t="shared" si="790"/>
        <v>Low</v>
      </c>
      <c r="P5111" t="str">
        <f t="shared" si="791"/>
        <v>Low</v>
      </c>
      <c r="Q5111" t="str">
        <f t="shared" si="792"/>
        <v>Low</v>
      </c>
      <c r="R5111" t="s">
        <v>3317</v>
      </c>
      <c r="S5111" s="4">
        <f t="shared" ca="1" si="793"/>
        <v>401</v>
      </c>
      <c r="T5111">
        <f t="shared" si="794"/>
        <v>1</v>
      </c>
      <c r="U5111">
        <f t="shared" si="795"/>
        <v>1</v>
      </c>
      <c r="V5111">
        <f t="shared" si="796"/>
        <v>1</v>
      </c>
      <c r="W5111">
        <f t="shared" si="797"/>
        <v>1</v>
      </c>
      <c r="X5111">
        <f t="shared" si="798"/>
        <v>0.99999999999999989</v>
      </c>
      <c r="Y5111" t="str">
        <f t="shared" si="799"/>
        <v>Healthy</v>
      </c>
    </row>
    <row r="5112" spans="1:25" x14ac:dyDescent="0.35">
      <c r="A5112" t="s">
        <v>90</v>
      </c>
      <c r="B5112" t="s">
        <v>91</v>
      </c>
      <c r="C5112" t="s">
        <v>112</v>
      </c>
      <c r="D5112" t="s">
        <v>244</v>
      </c>
      <c r="E5112">
        <v>80705272</v>
      </c>
      <c r="F5112" t="s">
        <v>3158</v>
      </c>
      <c r="G5112" s="3">
        <v>45385</v>
      </c>
      <c r="H5112">
        <v>24</v>
      </c>
      <c r="I5112">
        <v>0</v>
      </c>
      <c r="J5112">
        <v>3</v>
      </c>
      <c r="K5112" s="4">
        <v>1275.48</v>
      </c>
      <c r="L5112" s="4">
        <v>2.5714285714285716</v>
      </c>
      <c r="M5112" s="4">
        <v>1.1666666666666665</v>
      </c>
      <c r="N5112" t="s">
        <v>25</v>
      </c>
      <c r="O5112" t="str">
        <f t="shared" si="790"/>
        <v>High</v>
      </c>
      <c r="P5112" t="str">
        <f t="shared" si="791"/>
        <v>Low</v>
      </c>
      <c r="Q5112" t="str">
        <f t="shared" si="792"/>
        <v>High</v>
      </c>
      <c r="R5112" t="s">
        <v>3317</v>
      </c>
      <c r="S5112" s="4">
        <f t="shared" ca="1" si="793"/>
        <v>-812</v>
      </c>
      <c r="T5112">
        <f t="shared" si="794"/>
        <v>3</v>
      </c>
      <c r="U5112">
        <f t="shared" si="795"/>
        <v>1</v>
      </c>
      <c r="V5112">
        <f t="shared" si="796"/>
        <v>3</v>
      </c>
      <c r="W5112">
        <f t="shared" si="797"/>
        <v>1</v>
      </c>
      <c r="X5112">
        <f t="shared" si="798"/>
        <v>2.2000000000000006</v>
      </c>
      <c r="Y5112" t="str">
        <f t="shared" si="799"/>
        <v>High Priority</v>
      </c>
    </row>
    <row r="5113" spans="1:25" x14ac:dyDescent="0.35">
      <c r="A5113" t="s">
        <v>90</v>
      </c>
      <c r="B5113" t="s">
        <v>91</v>
      </c>
      <c r="C5113" t="s">
        <v>112</v>
      </c>
      <c r="D5113" t="s">
        <v>244</v>
      </c>
      <c r="E5113">
        <v>80705272</v>
      </c>
      <c r="F5113" t="s">
        <v>3158</v>
      </c>
      <c r="G5113" s="3">
        <v>45510</v>
      </c>
      <c r="H5113">
        <v>24</v>
      </c>
      <c r="I5113">
        <v>0</v>
      </c>
      <c r="J5113">
        <v>25</v>
      </c>
      <c r="K5113" s="4">
        <v>10629</v>
      </c>
      <c r="L5113" s="4">
        <v>2.5714285714285716</v>
      </c>
      <c r="M5113" s="4">
        <v>9.7222222222222214</v>
      </c>
      <c r="N5113" t="s">
        <v>19</v>
      </c>
      <c r="O5113" t="str">
        <f t="shared" si="790"/>
        <v>High</v>
      </c>
      <c r="P5113" t="str">
        <f t="shared" si="791"/>
        <v>High</v>
      </c>
      <c r="Q5113" t="str">
        <f t="shared" si="792"/>
        <v>High</v>
      </c>
      <c r="R5113" t="s">
        <v>3317</v>
      </c>
      <c r="S5113" s="4">
        <f t="shared" ca="1" si="793"/>
        <v>-687</v>
      </c>
      <c r="T5113">
        <f t="shared" si="794"/>
        <v>3</v>
      </c>
      <c r="U5113">
        <f t="shared" si="795"/>
        <v>3</v>
      </c>
      <c r="V5113">
        <f t="shared" si="796"/>
        <v>3</v>
      </c>
      <c r="W5113">
        <f t="shared" si="797"/>
        <v>1</v>
      </c>
      <c r="X5113">
        <f t="shared" si="798"/>
        <v>2.8000000000000003</v>
      </c>
      <c r="Y5113" t="str">
        <f t="shared" si="799"/>
        <v>Move Immediately</v>
      </c>
    </row>
    <row r="5114" spans="1:25" x14ac:dyDescent="0.35">
      <c r="A5114" t="s">
        <v>90</v>
      </c>
      <c r="B5114" t="s">
        <v>91</v>
      </c>
      <c r="C5114" t="s">
        <v>112</v>
      </c>
      <c r="D5114" t="s">
        <v>244</v>
      </c>
      <c r="E5114">
        <v>80705272</v>
      </c>
      <c r="F5114" t="s">
        <v>3158</v>
      </c>
      <c r="G5114" s="3">
        <v>45505</v>
      </c>
      <c r="H5114">
        <v>24</v>
      </c>
      <c r="I5114">
        <v>0</v>
      </c>
      <c r="J5114">
        <v>6</v>
      </c>
      <c r="K5114" s="4">
        <v>2550.96</v>
      </c>
      <c r="L5114" s="4">
        <v>2.5714285714285716</v>
      </c>
      <c r="M5114" s="4">
        <v>2.333333333333333</v>
      </c>
      <c r="N5114" t="s">
        <v>25</v>
      </c>
      <c r="O5114" t="str">
        <f t="shared" si="790"/>
        <v>High</v>
      </c>
      <c r="P5114" t="str">
        <f t="shared" si="791"/>
        <v>Low</v>
      </c>
      <c r="Q5114" t="str">
        <f t="shared" si="792"/>
        <v>High</v>
      </c>
      <c r="R5114" t="s">
        <v>3317</v>
      </c>
      <c r="S5114" s="4">
        <f t="shared" ca="1" si="793"/>
        <v>-692</v>
      </c>
      <c r="T5114">
        <f t="shared" si="794"/>
        <v>3</v>
      </c>
      <c r="U5114">
        <f t="shared" si="795"/>
        <v>1</v>
      </c>
      <c r="V5114">
        <f t="shared" si="796"/>
        <v>3</v>
      </c>
      <c r="W5114">
        <f t="shared" si="797"/>
        <v>1</v>
      </c>
      <c r="X5114">
        <f t="shared" si="798"/>
        <v>2.2000000000000006</v>
      </c>
      <c r="Y5114" t="str">
        <f t="shared" si="799"/>
        <v>High Priority</v>
      </c>
    </row>
    <row r="5115" spans="1:25" x14ac:dyDescent="0.35">
      <c r="A5115" t="s">
        <v>90</v>
      </c>
      <c r="B5115" t="s">
        <v>91</v>
      </c>
      <c r="C5115" t="s">
        <v>112</v>
      </c>
      <c r="D5115" t="s">
        <v>244</v>
      </c>
      <c r="E5115">
        <v>80705272</v>
      </c>
      <c r="F5115" t="s">
        <v>3158</v>
      </c>
      <c r="G5115" s="3">
        <v>45445</v>
      </c>
      <c r="H5115">
        <v>24</v>
      </c>
      <c r="I5115">
        <v>0</v>
      </c>
      <c r="J5115">
        <v>18</v>
      </c>
      <c r="K5115" s="4">
        <v>7652.88</v>
      </c>
      <c r="L5115" s="4">
        <v>2.5714285714285716</v>
      </c>
      <c r="M5115" s="4">
        <v>6.9999999999999991</v>
      </c>
      <c r="N5115" t="s">
        <v>19</v>
      </c>
      <c r="O5115" t="str">
        <f t="shared" si="790"/>
        <v>High</v>
      </c>
      <c r="P5115" t="str">
        <f t="shared" si="791"/>
        <v>Medium</v>
      </c>
      <c r="Q5115" t="str">
        <f t="shared" si="792"/>
        <v>High</v>
      </c>
      <c r="R5115" t="s">
        <v>3317</v>
      </c>
      <c r="S5115" s="4">
        <f t="shared" ca="1" si="793"/>
        <v>-752</v>
      </c>
      <c r="T5115">
        <f t="shared" si="794"/>
        <v>3</v>
      </c>
      <c r="U5115">
        <f t="shared" si="795"/>
        <v>2</v>
      </c>
      <c r="V5115">
        <f t="shared" si="796"/>
        <v>3</v>
      </c>
      <c r="W5115">
        <f t="shared" si="797"/>
        <v>1</v>
      </c>
      <c r="X5115">
        <f t="shared" si="798"/>
        <v>2.5000000000000004</v>
      </c>
      <c r="Y5115" t="str">
        <f t="shared" si="799"/>
        <v>High Priority</v>
      </c>
    </row>
    <row r="5116" spans="1:25" x14ac:dyDescent="0.35">
      <c r="A5116" t="s">
        <v>179</v>
      </c>
      <c r="B5116" t="s">
        <v>180</v>
      </c>
      <c r="C5116" t="s">
        <v>181</v>
      </c>
      <c r="D5116" t="s">
        <v>3159</v>
      </c>
      <c r="E5116">
        <v>80861844</v>
      </c>
      <c r="F5116" t="s">
        <v>3160</v>
      </c>
      <c r="G5116" s="3">
        <v>46541</v>
      </c>
      <c r="H5116">
        <v>16</v>
      </c>
      <c r="I5116">
        <v>73</v>
      </c>
      <c r="J5116">
        <v>2</v>
      </c>
      <c r="K5116" s="4">
        <v>452.26</v>
      </c>
      <c r="L5116" s="4">
        <v>4905</v>
      </c>
      <c r="M5116" s="4">
        <v>4.0774719673802244E-4</v>
      </c>
      <c r="N5116" t="s">
        <v>25</v>
      </c>
      <c r="O5116" t="str">
        <f t="shared" si="790"/>
        <v>Low</v>
      </c>
      <c r="P5116" t="str">
        <f t="shared" si="791"/>
        <v>Low</v>
      </c>
      <c r="Q5116" t="str">
        <f t="shared" si="792"/>
        <v>Low</v>
      </c>
      <c r="R5116" t="s">
        <v>3317</v>
      </c>
      <c r="S5116" s="4">
        <f t="shared" ca="1" si="793"/>
        <v>344</v>
      </c>
      <c r="T5116">
        <f t="shared" si="794"/>
        <v>1</v>
      </c>
      <c r="U5116">
        <f t="shared" si="795"/>
        <v>1</v>
      </c>
      <c r="V5116">
        <f t="shared" si="796"/>
        <v>1</v>
      </c>
      <c r="W5116">
        <f t="shared" si="797"/>
        <v>1</v>
      </c>
      <c r="X5116">
        <f t="shared" si="798"/>
        <v>0.99999999999999989</v>
      </c>
      <c r="Y5116" t="str">
        <f t="shared" si="799"/>
        <v>Healthy</v>
      </c>
    </row>
    <row r="5117" spans="1:25" x14ac:dyDescent="0.35">
      <c r="A5117" t="s">
        <v>90</v>
      </c>
      <c r="B5117" t="s">
        <v>91</v>
      </c>
      <c r="C5117" t="s">
        <v>112</v>
      </c>
      <c r="D5117" t="s">
        <v>244</v>
      </c>
      <c r="E5117">
        <v>80705272</v>
      </c>
      <c r="F5117" t="s">
        <v>3158</v>
      </c>
      <c r="G5117" s="3">
        <v>45373</v>
      </c>
      <c r="H5117">
        <v>24</v>
      </c>
      <c r="I5117">
        <v>0</v>
      </c>
      <c r="J5117">
        <v>2</v>
      </c>
      <c r="K5117" s="4">
        <v>850.32</v>
      </c>
      <c r="L5117" s="4">
        <v>2.5714285714285716</v>
      </c>
      <c r="M5117" s="4">
        <v>0.77777777777777768</v>
      </c>
      <c r="N5117" t="s">
        <v>25</v>
      </c>
      <c r="O5117" t="str">
        <f t="shared" si="790"/>
        <v>High</v>
      </c>
      <c r="P5117" t="str">
        <f t="shared" si="791"/>
        <v>Low</v>
      </c>
      <c r="Q5117" t="str">
        <f t="shared" si="792"/>
        <v>High</v>
      </c>
      <c r="R5117" t="s">
        <v>3317</v>
      </c>
      <c r="S5117" s="4">
        <f t="shared" ca="1" si="793"/>
        <v>-824</v>
      </c>
      <c r="T5117">
        <f t="shared" si="794"/>
        <v>3</v>
      </c>
      <c r="U5117">
        <f t="shared" si="795"/>
        <v>1</v>
      </c>
      <c r="V5117">
        <f t="shared" si="796"/>
        <v>3</v>
      </c>
      <c r="W5117">
        <f t="shared" si="797"/>
        <v>1</v>
      </c>
      <c r="X5117">
        <f t="shared" si="798"/>
        <v>2.2000000000000006</v>
      </c>
      <c r="Y5117" t="str">
        <f t="shared" si="799"/>
        <v>High Priority</v>
      </c>
    </row>
    <row r="5118" spans="1:25" x14ac:dyDescent="0.35">
      <c r="A5118" t="s">
        <v>179</v>
      </c>
      <c r="B5118" t="s">
        <v>180</v>
      </c>
      <c r="C5118" t="s">
        <v>181</v>
      </c>
      <c r="D5118" t="s">
        <v>3161</v>
      </c>
      <c r="E5118">
        <v>83903719</v>
      </c>
      <c r="F5118" t="s">
        <v>3162</v>
      </c>
      <c r="G5118" s="3">
        <v>46607</v>
      </c>
      <c r="H5118">
        <v>16</v>
      </c>
      <c r="I5118">
        <v>86</v>
      </c>
      <c r="J5118">
        <v>34</v>
      </c>
      <c r="K5118" s="4">
        <v>5193.16</v>
      </c>
      <c r="L5118" s="4">
        <v>33818.571428571428</v>
      </c>
      <c r="M5118" s="4">
        <v>1.0053647615426858E-3</v>
      </c>
      <c r="N5118" t="s">
        <v>25</v>
      </c>
      <c r="O5118" t="str">
        <f t="shared" si="790"/>
        <v>Low</v>
      </c>
      <c r="P5118" t="str">
        <f t="shared" si="791"/>
        <v>Low</v>
      </c>
      <c r="Q5118" t="str">
        <f t="shared" si="792"/>
        <v>Low</v>
      </c>
      <c r="R5118" t="s">
        <v>3317</v>
      </c>
      <c r="S5118" s="4">
        <f t="shared" ca="1" si="793"/>
        <v>410</v>
      </c>
      <c r="T5118">
        <f t="shared" si="794"/>
        <v>1</v>
      </c>
      <c r="U5118">
        <f t="shared" si="795"/>
        <v>1</v>
      </c>
      <c r="V5118">
        <f t="shared" si="796"/>
        <v>1</v>
      </c>
      <c r="W5118">
        <f t="shared" si="797"/>
        <v>1</v>
      </c>
      <c r="X5118">
        <f t="shared" si="798"/>
        <v>0.99999999999999989</v>
      </c>
      <c r="Y5118" t="str">
        <f t="shared" si="799"/>
        <v>Healthy</v>
      </c>
    </row>
    <row r="5119" spans="1:25" x14ac:dyDescent="0.35">
      <c r="A5119" t="s">
        <v>41</v>
      </c>
      <c r="B5119" t="s">
        <v>54</v>
      </c>
      <c r="C5119" t="s">
        <v>55</v>
      </c>
      <c r="D5119" t="s">
        <v>3163</v>
      </c>
      <c r="E5119">
        <v>83900144</v>
      </c>
      <c r="F5119" t="s">
        <v>3164</v>
      </c>
      <c r="G5119" s="3">
        <v>47094</v>
      </c>
      <c r="H5119">
        <v>36</v>
      </c>
      <c r="I5119">
        <v>84</v>
      </c>
      <c r="J5119">
        <v>268</v>
      </c>
      <c r="K5119" s="4">
        <v>92384.960000000006</v>
      </c>
      <c r="L5119" s="4">
        <v>0.2857142857142857</v>
      </c>
      <c r="M5119" s="4">
        <v>938</v>
      </c>
      <c r="N5119" t="s">
        <v>19</v>
      </c>
      <c r="O5119" t="str">
        <f t="shared" si="790"/>
        <v>Low</v>
      </c>
      <c r="P5119" t="str">
        <f t="shared" si="791"/>
        <v>High</v>
      </c>
      <c r="Q5119" t="str">
        <f t="shared" si="792"/>
        <v>High</v>
      </c>
      <c r="R5119" t="s">
        <v>3310</v>
      </c>
      <c r="S5119" s="4">
        <f t="shared" ca="1" si="793"/>
        <v>897</v>
      </c>
      <c r="T5119">
        <f t="shared" si="794"/>
        <v>1</v>
      </c>
      <c r="U5119">
        <f t="shared" si="795"/>
        <v>3</v>
      </c>
      <c r="V5119">
        <f t="shared" si="796"/>
        <v>3</v>
      </c>
      <c r="W5119">
        <f t="shared" si="797"/>
        <v>2</v>
      </c>
      <c r="X5119">
        <f t="shared" si="798"/>
        <v>2.1</v>
      </c>
      <c r="Y5119" t="str">
        <f t="shared" si="799"/>
        <v>Monitor</v>
      </c>
    </row>
    <row r="5120" spans="1:25" x14ac:dyDescent="0.35">
      <c r="A5120" t="s">
        <v>14</v>
      </c>
      <c r="B5120" t="s">
        <v>58</v>
      </c>
      <c r="C5120" t="s">
        <v>162</v>
      </c>
      <c r="D5120" t="s">
        <v>1788</v>
      </c>
      <c r="E5120">
        <v>80692172</v>
      </c>
      <c r="F5120" t="s">
        <v>3165</v>
      </c>
      <c r="G5120" s="3">
        <v>46580</v>
      </c>
      <c r="H5120">
        <v>60</v>
      </c>
      <c r="I5120">
        <v>22</v>
      </c>
      <c r="J5120">
        <v>1</v>
      </c>
      <c r="K5120" s="4">
        <v>984.83</v>
      </c>
      <c r="L5120" s="4">
        <f>0</f>
        <v>0</v>
      </c>
      <c r="M5120" s="4">
        <f>999</f>
        <v>999</v>
      </c>
      <c r="N5120" t="s">
        <v>19</v>
      </c>
      <c r="O5120" t="str">
        <f t="shared" si="790"/>
        <v>Medium</v>
      </c>
      <c r="P5120" t="str">
        <f t="shared" si="791"/>
        <v>High</v>
      </c>
      <c r="Q5120" t="str">
        <f t="shared" si="792"/>
        <v>High</v>
      </c>
      <c r="R5120" t="s">
        <v>3317</v>
      </c>
      <c r="S5120" s="4">
        <f t="shared" ca="1" si="793"/>
        <v>383</v>
      </c>
      <c r="T5120">
        <f t="shared" si="794"/>
        <v>2</v>
      </c>
      <c r="U5120">
        <f t="shared" si="795"/>
        <v>3</v>
      </c>
      <c r="V5120">
        <f t="shared" si="796"/>
        <v>3</v>
      </c>
      <c r="W5120">
        <f t="shared" si="797"/>
        <v>1</v>
      </c>
      <c r="X5120">
        <f t="shared" si="798"/>
        <v>2.4</v>
      </c>
      <c r="Y5120" t="str">
        <f t="shared" si="799"/>
        <v>High Priority</v>
      </c>
    </row>
    <row r="5121" spans="1:25" x14ac:dyDescent="0.35">
      <c r="A5121" t="s">
        <v>179</v>
      </c>
      <c r="B5121" t="s">
        <v>195</v>
      </c>
      <c r="C5121" t="s">
        <v>199</v>
      </c>
      <c r="D5121" t="s">
        <v>492</v>
      </c>
      <c r="E5121">
        <v>83906400</v>
      </c>
      <c r="F5121" t="s">
        <v>3166</v>
      </c>
      <c r="G5121" s="3">
        <v>46664</v>
      </c>
      <c r="H5121">
        <v>16</v>
      </c>
      <c r="I5121">
        <v>98</v>
      </c>
      <c r="J5121">
        <v>450</v>
      </c>
      <c r="K5121" s="4">
        <v>579582</v>
      </c>
      <c r="L5121" s="4">
        <v>1347.1428571428571</v>
      </c>
      <c r="M5121" s="4">
        <v>0.33404029692470838</v>
      </c>
      <c r="N5121" t="s">
        <v>25</v>
      </c>
      <c r="O5121" t="str">
        <f t="shared" si="790"/>
        <v>Low</v>
      </c>
      <c r="P5121" t="str">
        <f t="shared" si="791"/>
        <v>Low</v>
      </c>
      <c r="Q5121" t="str">
        <f t="shared" si="792"/>
        <v>Low</v>
      </c>
      <c r="R5121" t="s">
        <v>3309</v>
      </c>
      <c r="S5121" s="4">
        <f t="shared" ca="1" si="793"/>
        <v>467</v>
      </c>
      <c r="T5121">
        <f t="shared" si="794"/>
        <v>1</v>
      </c>
      <c r="U5121">
        <f t="shared" si="795"/>
        <v>1</v>
      </c>
      <c r="V5121">
        <f t="shared" si="796"/>
        <v>1</v>
      </c>
      <c r="W5121">
        <f t="shared" si="797"/>
        <v>3</v>
      </c>
      <c r="X5121">
        <f t="shared" si="798"/>
        <v>1.2</v>
      </c>
      <c r="Y5121" t="str">
        <f t="shared" si="799"/>
        <v>Healthy</v>
      </c>
    </row>
    <row r="5122" spans="1:25" x14ac:dyDescent="0.35">
      <c r="A5122" t="s">
        <v>179</v>
      </c>
      <c r="B5122" t="s">
        <v>195</v>
      </c>
      <c r="C5122" t="s">
        <v>199</v>
      </c>
      <c r="D5122" t="s">
        <v>496</v>
      </c>
      <c r="E5122">
        <v>83906401</v>
      </c>
      <c r="F5122" t="s">
        <v>3167</v>
      </c>
      <c r="G5122" s="3">
        <v>46663</v>
      </c>
      <c r="H5122">
        <v>16</v>
      </c>
      <c r="I5122">
        <v>98</v>
      </c>
      <c r="J5122">
        <v>1164</v>
      </c>
      <c r="K5122" s="4">
        <v>1633685.64</v>
      </c>
      <c r="L5122" s="4">
        <v>1647.4285714285713</v>
      </c>
      <c r="M5122" s="4">
        <v>0.70655567117585849</v>
      </c>
      <c r="N5122" t="s">
        <v>25</v>
      </c>
      <c r="O5122" t="str">
        <f t="shared" si="790"/>
        <v>Low</v>
      </c>
      <c r="P5122" t="str">
        <f t="shared" si="791"/>
        <v>Low</v>
      </c>
      <c r="Q5122" t="str">
        <f t="shared" si="792"/>
        <v>Low</v>
      </c>
      <c r="R5122" t="s">
        <v>3309</v>
      </c>
      <c r="S5122" s="4">
        <f t="shared" ca="1" si="793"/>
        <v>466</v>
      </c>
      <c r="T5122">
        <f t="shared" si="794"/>
        <v>1</v>
      </c>
      <c r="U5122">
        <f t="shared" si="795"/>
        <v>1</v>
      </c>
      <c r="V5122">
        <f t="shared" si="796"/>
        <v>1</v>
      </c>
      <c r="W5122">
        <f t="shared" si="797"/>
        <v>3</v>
      </c>
      <c r="X5122">
        <f t="shared" si="798"/>
        <v>1.2</v>
      </c>
      <c r="Y5122" t="str">
        <f t="shared" si="799"/>
        <v>Healthy</v>
      </c>
    </row>
    <row r="5123" spans="1:25" x14ac:dyDescent="0.35">
      <c r="A5123" t="s">
        <v>179</v>
      </c>
      <c r="B5123" t="s">
        <v>195</v>
      </c>
      <c r="C5123" t="s">
        <v>199</v>
      </c>
      <c r="D5123" t="s">
        <v>496</v>
      </c>
      <c r="E5123">
        <v>83906401</v>
      </c>
      <c r="F5123" t="s">
        <v>3167</v>
      </c>
      <c r="G5123" s="3">
        <v>46521</v>
      </c>
      <c r="H5123">
        <v>16</v>
      </c>
      <c r="I5123">
        <v>69</v>
      </c>
      <c r="J5123">
        <v>2</v>
      </c>
      <c r="K5123" s="4">
        <v>2807.02</v>
      </c>
      <c r="L5123" s="4">
        <v>1647.4285714285713</v>
      </c>
      <c r="M5123" s="4">
        <v>1.2140131807145335E-3</v>
      </c>
      <c r="N5123" t="s">
        <v>25</v>
      </c>
      <c r="O5123" t="str">
        <f t="shared" ref="O5123:O5186" si="800">IF(I5123&lt;20,"High",IF(I5123&lt;40,"Medium","Low"))</f>
        <v>Low</v>
      </c>
      <c r="P5123" t="str">
        <f t="shared" ref="P5123:P5186" si="801">IF(M5123&gt;8,"High",IF(M5123&gt;4,"Medium","Low"))</f>
        <v>Low</v>
      </c>
      <c r="Q5123" t="str">
        <f t="shared" ref="Q5123:Q5186" si="802">IF(L5123&lt;5,"High",IF(L5123&lt;15,"Medium","Low"))</f>
        <v>Low</v>
      </c>
      <c r="R5123" t="s">
        <v>3317</v>
      </c>
      <c r="S5123" s="4">
        <f t="shared" ref="S5123:S5186" ca="1" si="803">G5123-TODAY()</f>
        <v>324</v>
      </c>
      <c r="T5123">
        <f t="shared" ref="T5123:T5186" si="804">IF(O5123="High",3,IF(O5123="Medium",2,1))</f>
        <v>1</v>
      </c>
      <c r="U5123">
        <f t="shared" ref="U5123:U5186" si="805">IF(P5123="High",3,IF(P5123="Medium",2,1))</f>
        <v>1</v>
      </c>
      <c r="V5123">
        <f t="shared" ref="V5123:V5186" si="806">IF(Q5123="High",3,IF(Q5123="Medium",2,1))</f>
        <v>1</v>
      </c>
      <c r="W5123">
        <f t="shared" ref="W5123:W5186" si="807">IF(R5123="High",3,IF(R5123="Medium",2,1))</f>
        <v>1</v>
      </c>
      <c r="X5123">
        <f t="shared" ref="X5123:X5186" si="808">(0.4*T5123)+(0.3*U5123)+(0.2*V5123)+(0.1*W5123)</f>
        <v>0.99999999999999989</v>
      </c>
      <c r="Y5123" t="str">
        <f t="shared" ref="Y5123:Y5186" si="809">IF(X5123&gt;=2.7,"Move Immediately",IF(X5123&gt;=2.2,"High Priority",IF(X5123&gt;=1.7,"Monitor","Healthy")))</f>
        <v>Healthy</v>
      </c>
    </row>
    <row r="5124" spans="1:25" x14ac:dyDescent="0.35">
      <c r="A5124" t="s">
        <v>14</v>
      </c>
      <c r="B5124" t="s">
        <v>58</v>
      </c>
      <c r="C5124" t="s">
        <v>162</v>
      </c>
      <c r="D5124" t="s">
        <v>1788</v>
      </c>
      <c r="E5124">
        <v>80692172</v>
      </c>
      <c r="F5124" t="s">
        <v>3165</v>
      </c>
      <c r="G5124" s="3">
        <v>46892</v>
      </c>
      <c r="H5124">
        <v>60</v>
      </c>
      <c r="I5124">
        <v>39</v>
      </c>
      <c r="J5124">
        <v>1</v>
      </c>
      <c r="K5124" s="4">
        <v>984.83</v>
      </c>
      <c r="L5124" s="4">
        <f>0</f>
        <v>0</v>
      </c>
      <c r="M5124" s="4">
        <f>999</f>
        <v>999</v>
      </c>
      <c r="N5124" t="s">
        <v>19</v>
      </c>
      <c r="O5124" t="str">
        <f t="shared" si="800"/>
        <v>Medium</v>
      </c>
      <c r="P5124" t="str">
        <f t="shared" si="801"/>
        <v>High</v>
      </c>
      <c r="Q5124" t="str">
        <f t="shared" si="802"/>
        <v>High</v>
      </c>
      <c r="R5124" t="s">
        <v>3317</v>
      </c>
      <c r="S5124" s="4">
        <f t="shared" ca="1" si="803"/>
        <v>695</v>
      </c>
      <c r="T5124">
        <f t="shared" si="804"/>
        <v>2</v>
      </c>
      <c r="U5124">
        <f t="shared" si="805"/>
        <v>3</v>
      </c>
      <c r="V5124">
        <f t="shared" si="806"/>
        <v>3</v>
      </c>
      <c r="W5124">
        <f t="shared" si="807"/>
        <v>1</v>
      </c>
      <c r="X5124">
        <f t="shared" si="808"/>
        <v>2.4</v>
      </c>
      <c r="Y5124" t="str">
        <f t="shared" si="809"/>
        <v>High Priority</v>
      </c>
    </row>
    <row r="5125" spans="1:25" x14ac:dyDescent="0.35">
      <c r="A5125" t="s">
        <v>179</v>
      </c>
      <c r="B5125" t="s">
        <v>195</v>
      </c>
      <c r="C5125" t="s">
        <v>199</v>
      </c>
      <c r="D5125" t="s">
        <v>496</v>
      </c>
      <c r="E5125">
        <v>83906401</v>
      </c>
      <c r="F5125" t="s">
        <v>3167</v>
      </c>
      <c r="G5125" s="3">
        <v>46624</v>
      </c>
      <c r="H5125">
        <v>16</v>
      </c>
      <c r="I5125">
        <v>90</v>
      </c>
      <c r="J5125">
        <v>18</v>
      </c>
      <c r="K5125" s="4">
        <v>25263.18</v>
      </c>
      <c r="L5125" s="4">
        <v>1647.4285714285713</v>
      </c>
      <c r="M5125" s="4">
        <v>1.0926118626430802E-2</v>
      </c>
      <c r="N5125" t="s">
        <v>25</v>
      </c>
      <c r="O5125" t="str">
        <f t="shared" si="800"/>
        <v>Low</v>
      </c>
      <c r="P5125" t="str">
        <f t="shared" si="801"/>
        <v>Low</v>
      </c>
      <c r="Q5125" t="str">
        <f t="shared" si="802"/>
        <v>Low</v>
      </c>
      <c r="R5125" t="s">
        <v>3317</v>
      </c>
      <c r="S5125" s="4">
        <f t="shared" ca="1" si="803"/>
        <v>427</v>
      </c>
      <c r="T5125">
        <f t="shared" si="804"/>
        <v>1</v>
      </c>
      <c r="U5125">
        <f t="shared" si="805"/>
        <v>1</v>
      </c>
      <c r="V5125">
        <f t="shared" si="806"/>
        <v>1</v>
      </c>
      <c r="W5125">
        <f t="shared" si="807"/>
        <v>1</v>
      </c>
      <c r="X5125">
        <f t="shared" si="808"/>
        <v>0.99999999999999989</v>
      </c>
      <c r="Y5125" t="str">
        <f t="shared" si="809"/>
        <v>Healthy</v>
      </c>
    </row>
    <row r="5126" spans="1:25" x14ac:dyDescent="0.35">
      <c r="A5126" t="s">
        <v>179</v>
      </c>
      <c r="B5126" t="s">
        <v>195</v>
      </c>
      <c r="C5126" t="s">
        <v>199</v>
      </c>
      <c r="D5126" t="s">
        <v>496</v>
      </c>
      <c r="E5126">
        <v>83906401</v>
      </c>
      <c r="F5126" t="s">
        <v>3167</v>
      </c>
      <c r="G5126" s="3">
        <v>46522</v>
      </c>
      <c r="H5126">
        <v>16</v>
      </c>
      <c r="I5126">
        <v>69</v>
      </c>
      <c r="J5126">
        <v>2</v>
      </c>
      <c r="K5126" s="4">
        <v>2807.02</v>
      </c>
      <c r="L5126" s="4">
        <v>1647.4285714285713</v>
      </c>
      <c r="M5126" s="4">
        <v>1.2140131807145335E-3</v>
      </c>
      <c r="N5126" t="s">
        <v>25</v>
      </c>
      <c r="O5126" t="str">
        <f t="shared" si="800"/>
        <v>Low</v>
      </c>
      <c r="P5126" t="str">
        <f t="shared" si="801"/>
        <v>Low</v>
      </c>
      <c r="Q5126" t="str">
        <f t="shared" si="802"/>
        <v>Low</v>
      </c>
      <c r="R5126" t="s">
        <v>3317</v>
      </c>
      <c r="S5126" s="4">
        <f t="shared" ca="1" si="803"/>
        <v>325</v>
      </c>
      <c r="T5126">
        <f t="shared" si="804"/>
        <v>1</v>
      </c>
      <c r="U5126">
        <f t="shared" si="805"/>
        <v>1</v>
      </c>
      <c r="V5126">
        <f t="shared" si="806"/>
        <v>1</v>
      </c>
      <c r="W5126">
        <f t="shared" si="807"/>
        <v>1</v>
      </c>
      <c r="X5126">
        <f t="shared" si="808"/>
        <v>0.99999999999999989</v>
      </c>
      <c r="Y5126" t="str">
        <f t="shared" si="809"/>
        <v>Healthy</v>
      </c>
    </row>
    <row r="5127" spans="1:25" x14ac:dyDescent="0.35">
      <c r="A5127" t="s">
        <v>179</v>
      </c>
      <c r="B5127" t="s">
        <v>195</v>
      </c>
      <c r="C5127" t="s">
        <v>199</v>
      </c>
      <c r="D5127" t="s">
        <v>496</v>
      </c>
      <c r="E5127">
        <v>83906401</v>
      </c>
      <c r="F5127" t="s">
        <v>3167</v>
      </c>
      <c r="G5127" s="3">
        <v>46563</v>
      </c>
      <c r="H5127">
        <v>16</v>
      </c>
      <c r="I5127">
        <v>77</v>
      </c>
      <c r="J5127">
        <v>12</v>
      </c>
      <c r="K5127" s="4">
        <v>16842.12</v>
      </c>
      <c r="L5127" s="4">
        <v>1647.4285714285713</v>
      </c>
      <c r="M5127" s="4">
        <v>7.2840790842872011E-3</v>
      </c>
      <c r="N5127" t="s">
        <v>25</v>
      </c>
      <c r="O5127" t="str">
        <f t="shared" si="800"/>
        <v>Low</v>
      </c>
      <c r="P5127" t="str">
        <f t="shared" si="801"/>
        <v>Low</v>
      </c>
      <c r="Q5127" t="str">
        <f t="shared" si="802"/>
        <v>Low</v>
      </c>
      <c r="R5127" t="s">
        <v>3317</v>
      </c>
      <c r="S5127" s="4">
        <f t="shared" ca="1" si="803"/>
        <v>366</v>
      </c>
      <c r="T5127">
        <f t="shared" si="804"/>
        <v>1</v>
      </c>
      <c r="U5127">
        <f t="shared" si="805"/>
        <v>1</v>
      </c>
      <c r="V5127">
        <f t="shared" si="806"/>
        <v>1</v>
      </c>
      <c r="W5127">
        <f t="shared" si="807"/>
        <v>1</v>
      </c>
      <c r="X5127">
        <f t="shared" si="808"/>
        <v>0.99999999999999989</v>
      </c>
      <c r="Y5127" t="str">
        <f t="shared" si="809"/>
        <v>Healthy</v>
      </c>
    </row>
    <row r="5128" spans="1:25" x14ac:dyDescent="0.35">
      <c r="A5128" t="s">
        <v>179</v>
      </c>
      <c r="B5128" t="s">
        <v>195</v>
      </c>
      <c r="C5128" t="s">
        <v>199</v>
      </c>
      <c r="D5128" t="s">
        <v>496</v>
      </c>
      <c r="E5128">
        <v>83906401</v>
      </c>
      <c r="F5128" t="s">
        <v>3167</v>
      </c>
      <c r="G5128" s="3">
        <v>46522</v>
      </c>
      <c r="H5128">
        <v>16</v>
      </c>
      <c r="I5128">
        <v>69</v>
      </c>
      <c r="J5128">
        <v>2</v>
      </c>
      <c r="K5128" s="4">
        <v>2807.02</v>
      </c>
      <c r="L5128" s="4">
        <v>1647.4285714285713</v>
      </c>
      <c r="M5128" s="4">
        <v>1.2140131807145335E-3</v>
      </c>
      <c r="N5128" t="s">
        <v>25</v>
      </c>
      <c r="O5128" t="str">
        <f t="shared" si="800"/>
        <v>Low</v>
      </c>
      <c r="P5128" t="str">
        <f t="shared" si="801"/>
        <v>Low</v>
      </c>
      <c r="Q5128" t="str">
        <f t="shared" si="802"/>
        <v>Low</v>
      </c>
      <c r="R5128" t="s">
        <v>3317</v>
      </c>
      <c r="S5128" s="4">
        <f t="shared" ca="1" si="803"/>
        <v>325</v>
      </c>
      <c r="T5128">
        <f t="shared" si="804"/>
        <v>1</v>
      </c>
      <c r="U5128">
        <f t="shared" si="805"/>
        <v>1</v>
      </c>
      <c r="V5128">
        <f t="shared" si="806"/>
        <v>1</v>
      </c>
      <c r="W5128">
        <f t="shared" si="807"/>
        <v>1</v>
      </c>
      <c r="X5128">
        <f t="shared" si="808"/>
        <v>0.99999999999999989</v>
      </c>
      <c r="Y5128" t="str">
        <f t="shared" si="809"/>
        <v>Healthy</v>
      </c>
    </row>
    <row r="5129" spans="1:25" x14ac:dyDescent="0.35">
      <c r="A5129" t="s">
        <v>179</v>
      </c>
      <c r="B5129" t="s">
        <v>195</v>
      </c>
      <c r="C5129" t="s">
        <v>199</v>
      </c>
      <c r="D5129" t="s">
        <v>496</v>
      </c>
      <c r="E5129">
        <v>83906401</v>
      </c>
      <c r="F5129" t="s">
        <v>3167</v>
      </c>
      <c r="G5129" s="3">
        <v>46563</v>
      </c>
      <c r="H5129">
        <v>16</v>
      </c>
      <c r="I5129">
        <v>77</v>
      </c>
      <c r="J5129">
        <v>14</v>
      </c>
      <c r="K5129" s="4">
        <v>19649.14</v>
      </c>
      <c r="L5129" s="4">
        <v>1647.4285714285713</v>
      </c>
      <c r="M5129" s="4">
        <v>8.4980922650017346E-3</v>
      </c>
      <c r="N5129" t="s">
        <v>25</v>
      </c>
      <c r="O5129" t="str">
        <f t="shared" si="800"/>
        <v>Low</v>
      </c>
      <c r="P5129" t="str">
        <f t="shared" si="801"/>
        <v>Low</v>
      </c>
      <c r="Q5129" t="str">
        <f t="shared" si="802"/>
        <v>Low</v>
      </c>
      <c r="R5129" t="s">
        <v>3317</v>
      </c>
      <c r="S5129" s="4">
        <f t="shared" ca="1" si="803"/>
        <v>366</v>
      </c>
      <c r="T5129">
        <f t="shared" si="804"/>
        <v>1</v>
      </c>
      <c r="U5129">
        <f t="shared" si="805"/>
        <v>1</v>
      </c>
      <c r="V5129">
        <f t="shared" si="806"/>
        <v>1</v>
      </c>
      <c r="W5129">
        <f t="shared" si="807"/>
        <v>1</v>
      </c>
      <c r="X5129">
        <f t="shared" si="808"/>
        <v>0.99999999999999989</v>
      </c>
      <c r="Y5129" t="str">
        <f t="shared" si="809"/>
        <v>Healthy</v>
      </c>
    </row>
    <row r="5130" spans="1:25" x14ac:dyDescent="0.35">
      <c r="A5130" t="s">
        <v>179</v>
      </c>
      <c r="B5130" t="s">
        <v>180</v>
      </c>
      <c r="C5130" t="s">
        <v>181</v>
      </c>
      <c r="D5130" t="s">
        <v>3168</v>
      </c>
      <c r="E5130">
        <v>83911029</v>
      </c>
      <c r="F5130" t="s">
        <v>3169</v>
      </c>
      <c r="G5130" s="3">
        <v>46674</v>
      </c>
      <c r="H5130">
        <v>16</v>
      </c>
      <c r="I5130">
        <v>100</v>
      </c>
      <c r="J5130">
        <v>264</v>
      </c>
      <c r="K5130" s="4">
        <v>26864.639999999999</v>
      </c>
      <c r="L5130" s="4">
        <v>30796.142857142859</v>
      </c>
      <c r="M5130" s="4">
        <v>8.5725021222509308E-3</v>
      </c>
      <c r="N5130" t="s">
        <v>25</v>
      </c>
      <c r="O5130" t="str">
        <f t="shared" si="800"/>
        <v>Low</v>
      </c>
      <c r="P5130" t="str">
        <f t="shared" si="801"/>
        <v>Low</v>
      </c>
      <c r="Q5130" t="str">
        <f t="shared" si="802"/>
        <v>Low</v>
      </c>
      <c r="R5130" t="s">
        <v>3317</v>
      </c>
      <c r="S5130" s="4">
        <f t="shared" ca="1" si="803"/>
        <v>477</v>
      </c>
      <c r="T5130">
        <f t="shared" si="804"/>
        <v>1</v>
      </c>
      <c r="U5130">
        <f t="shared" si="805"/>
        <v>1</v>
      </c>
      <c r="V5130">
        <f t="shared" si="806"/>
        <v>1</v>
      </c>
      <c r="W5130">
        <f t="shared" si="807"/>
        <v>1</v>
      </c>
      <c r="X5130">
        <f t="shared" si="808"/>
        <v>0.99999999999999989</v>
      </c>
      <c r="Y5130" t="str">
        <f t="shared" si="809"/>
        <v>Healthy</v>
      </c>
    </row>
    <row r="5131" spans="1:25" x14ac:dyDescent="0.35">
      <c r="A5131" t="s">
        <v>179</v>
      </c>
      <c r="B5131" t="s">
        <v>180</v>
      </c>
      <c r="C5131" t="s">
        <v>181</v>
      </c>
      <c r="D5131" t="s">
        <v>3168</v>
      </c>
      <c r="E5131">
        <v>83911029</v>
      </c>
      <c r="F5131" t="s">
        <v>3169</v>
      </c>
      <c r="G5131" s="3">
        <v>46670</v>
      </c>
      <c r="H5131">
        <v>16</v>
      </c>
      <c r="I5131">
        <v>100</v>
      </c>
      <c r="J5131">
        <v>2160</v>
      </c>
      <c r="K5131" s="4">
        <v>219801.60000000001</v>
      </c>
      <c r="L5131" s="4">
        <v>30796.142857142859</v>
      </c>
      <c r="M5131" s="4">
        <v>7.0138653727507619E-2</v>
      </c>
      <c r="N5131" t="s">
        <v>25</v>
      </c>
      <c r="O5131" t="str">
        <f t="shared" si="800"/>
        <v>Low</v>
      </c>
      <c r="P5131" t="str">
        <f t="shared" si="801"/>
        <v>Low</v>
      </c>
      <c r="Q5131" t="str">
        <f t="shared" si="802"/>
        <v>Low</v>
      </c>
      <c r="R5131" t="s">
        <v>3309</v>
      </c>
      <c r="S5131" s="4">
        <f t="shared" ca="1" si="803"/>
        <v>473</v>
      </c>
      <c r="T5131">
        <f t="shared" si="804"/>
        <v>1</v>
      </c>
      <c r="U5131">
        <f t="shared" si="805"/>
        <v>1</v>
      </c>
      <c r="V5131">
        <f t="shared" si="806"/>
        <v>1</v>
      </c>
      <c r="W5131">
        <f t="shared" si="807"/>
        <v>3</v>
      </c>
      <c r="X5131">
        <f t="shared" si="808"/>
        <v>1.2</v>
      </c>
      <c r="Y5131" t="str">
        <f t="shared" si="809"/>
        <v>Healthy</v>
      </c>
    </row>
    <row r="5132" spans="1:25" x14ac:dyDescent="0.35">
      <c r="A5132" t="s">
        <v>179</v>
      </c>
      <c r="B5132" t="s">
        <v>180</v>
      </c>
      <c r="C5132" t="s">
        <v>181</v>
      </c>
      <c r="D5132" t="s">
        <v>3168</v>
      </c>
      <c r="E5132">
        <v>83911029</v>
      </c>
      <c r="F5132" t="s">
        <v>3169</v>
      </c>
      <c r="G5132" s="3">
        <v>46667</v>
      </c>
      <c r="H5132">
        <v>16</v>
      </c>
      <c r="I5132">
        <v>99</v>
      </c>
      <c r="J5132">
        <v>2060</v>
      </c>
      <c r="K5132" s="4">
        <v>209625.60000000001</v>
      </c>
      <c r="L5132" s="4">
        <v>30796.142857142859</v>
      </c>
      <c r="M5132" s="4">
        <v>6.6891493832715601E-2</v>
      </c>
      <c r="N5132" t="s">
        <v>25</v>
      </c>
      <c r="O5132" t="str">
        <f t="shared" si="800"/>
        <v>Low</v>
      </c>
      <c r="P5132" t="str">
        <f t="shared" si="801"/>
        <v>Low</v>
      </c>
      <c r="Q5132" t="str">
        <f t="shared" si="802"/>
        <v>Low</v>
      </c>
      <c r="R5132" t="s">
        <v>3309</v>
      </c>
      <c r="S5132" s="4">
        <f t="shared" ca="1" si="803"/>
        <v>470</v>
      </c>
      <c r="T5132">
        <f t="shared" si="804"/>
        <v>1</v>
      </c>
      <c r="U5132">
        <f t="shared" si="805"/>
        <v>1</v>
      </c>
      <c r="V5132">
        <f t="shared" si="806"/>
        <v>1</v>
      </c>
      <c r="W5132">
        <f t="shared" si="807"/>
        <v>3</v>
      </c>
      <c r="X5132">
        <f t="shared" si="808"/>
        <v>1.2</v>
      </c>
      <c r="Y5132" t="str">
        <f t="shared" si="809"/>
        <v>Healthy</v>
      </c>
    </row>
    <row r="5133" spans="1:25" x14ac:dyDescent="0.35">
      <c r="A5133" t="s">
        <v>179</v>
      </c>
      <c r="B5133" t="s">
        <v>180</v>
      </c>
      <c r="C5133" t="s">
        <v>181</v>
      </c>
      <c r="D5133" t="s">
        <v>3168</v>
      </c>
      <c r="E5133">
        <v>83911029</v>
      </c>
      <c r="F5133" t="s">
        <v>3169</v>
      </c>
      <c r="G5133" s="3">
        <v>46672</v>
      </c>
      <c r="H5133">
        <v>16</v>
      </c>
      <c r="I5133">
        <v>100</v>
      </c>
      <c r="J5133">
        <v>72</v>
      </c>
      <c r="K5133" s="4">
        <v>7326.72</v>
      </c>
      <c r="L5133" s="4">
        <v>30796.142857142859</v>
      </c>
      <c r="M5133" s="4">
        <v>2.3379551242502538E-3</v>
      </c>
      <c r="N5133" t="s">
        <v>25</v>
      </c>
      <c r="O5133" t="str">
        <f t="shared" si="800"/>
        <v>Low</v>
      </c>
      <c r="P5133" t="str">
        <f t="shared" si="801"/>
        <v>Low</v>
      </c>
      <c r="Q5133" t="str">
        <f t="shared" si="802"/>
        <v>Low</v>
      </c>
      <c r="R5133" t="s">
        <v>3317</v>
      </c>
      <c r="S5133" s="4">
        <f t="shared" ca="1" si="803"/>
        <v>475</v>
      </c>
      <c r="T5133">
        <f t="shared" si="804"/>
        <v>1</v>
      </c>
      <c r="U5133">
        <f t="shared" si="805"/>
        <v>1</v>
      </c>
      <c r="V5133">
        <f t="shared" si="806"/>
        <v>1</v>
      </c>
      <c r="W5133">
        <f t="shared" si="807"/>
        <v>1</v>
      </c>
      <c r="X5133">
        <f t="shared" si="808"/>
        <v>0.99999999999999989</v>
      </c>
      <c r="Y5133" t="str">
        <f t="shared" si="809"/>
        <v>Healthy</v>
      </c>
    </row>
    <row r="5134" spans="1:25" x14ac:dyDescent="0.35">
      <c r="A5134" t="s">
        <v>179</v>
      </c>
      <c r="B5134" t="s">
        <v>180</v>
      </c>
      <c r="C5134" t="s">
        <v>181</v>
      </c>
      <c r="D5134" t="s">
        <v>3168</v>
      </c>
      <c r="E5134">
        <v>83911029</v>
      </c>
      <c r="F5134" t="s">
        <v>3169</v>
      </c>
      <c r="G5134" s="3">
        <v>46667</v>
      </c>
      <c r="H5134">
        <v>16</v>
      </c>
      <c r="I5134">
        <v>99</v>
      </c>
      <c r="J5134">
        <v>2785</v>
      </c>
      <c r="K5134" s="4">
        <v>283401.59999999998</v>
      </c>
      <c r="L5134" s="4">
        <v>30796.142857142859</v>
      </c>
      <c r="M5134" s="4">
        <v>9.043340306995773E-2</v>
      </c>
      <c r="N5134" t="s">
        <v>25</v>
      </c>
      <c r="O5134" t="str">
        <f t="shared" si="800"/>
        <v>Low</v>
      </c>
      <c r="P5134" t="str">
        <f t="shared" si="801"/>
        <v>Low</v>
      </c>
      <c r="Q5134" t="str">
        <f t="shared" si="802"/>
        <v>Low</v>
      </c>
      <c r="R5134" t="s">
        <v>3309</v>
      </c>
      <c r="S5134" s="4">
        <f t="shared" ca="1" si="803"/>
        <v>470</v>
      </c>
      <c r="T5134">
        <f t="shared" si="804"/>
        <v>1</v>
      </c>
      <c r="U5134">
        <f t="shared" si="805"/>
        <v>1</v>
      </c>
      <c r="V5134">
        <f t="shared" si="806"/>
        <v>1</v>
      </c>
      <c r="W5134">
        <f t="shared" si="807"/>
        <v>3</v>
      </c>
      <c r="X5134">
        <f t="shared" si="808"/>
        <v>1.2</v>
      </c>
      <c r="Y5134" t="str">
        <f t="shared" si="809"/>
        <v>Healthy</v>
      </c>
    </row>
    <row r="5135" spans="1:25" x14ac:dyDescent="0.35">
      <c r="A5135" t="s">
        <v>179</v>
      </c>
      <c r="B5135" t="s">
        <v>180</v>
      </c>
      <c r="C5135" t="s">
        <v>181</v>
      </c>
      <c r="D5135" t="s">
        <v>474</v>
      </c>
      <c r="E5135">
        <v>83911031</v>
      </c>
      <c r="F5135" t="s">
        <v>3170</v>
      </c>
      <c r="G5135" s="3">
        <v>46667</v>
      </c>
      <c r="H5135">
        <v>16</v>
      </c>
      <c r="I5135">
        <v>99</v>
      </c>
      <c r="J5135">
        <v>159</v>
      </c>
      <c r="K5135" s="4">
        <v>16179.84</v>
      </c>
      <c r="L5135" s="4">
        <v>30891.714285714286</v>
      </c>
      <c r="M5135" s="4">
        <v>5.1470112189121444E-3</v>
      </c>
      <c r="N5135" t="s">
        <v>25</v>
      </c>
      <c r="O5135" t="str">
        <f t="shared" si="800"/>
        <v>Low</v>
      </c>
      <c r="P5135" t="str">
        <f t="shared" si="801"/>
        <v>Low</v>
      </c>
      <c r="Q5135" t="str">
        <f t="shared" si="802"/>
        <v>Low</v>
      </c>
      <c r="R5135" t="s">
        <v>3317</v>
      </c>
      <c r="S5135" s="4">
        <f t="shared" ca="1" si="803"/>
        <v>470</v>
      </c>
      <c r="T5135">
        <f t="shared" si="804"/>
        <v>1</v>
      </c>
      <c r="U5135">
        <f t="shared" si="805"/>
        <v>1</v>
      </c>
      <c r="V5135">
        <f t="shared" si="806"/>
        <v>1</v>
      </c>
      <c r="W5135">
        <f t="shared" si="807"/>
        <v>1</v>
      </c>
      <c r="X5135">
        <f t="shared" si="808"/>
        <v>0.99999999999999989</v>
      </c>
      <c r="Y5135" t="str">
        <f t="shared" si="809"/>
        <v>Healthy</v>
      </c>
    </row>
    <row r="5136" spans="1:25" x14ac:dyDescent="0.35">
      <c r="A5136" t="s">
        <v>179</v>
      </c>
      <c r="B5136" t="s">
        <v>180</v>
      </c>
      <c r="C5136" t="s">
        <v>181</v>
      </c>
      <c r="D5136" t="s">
        <v>474</v>
      </c>
      <c r="E5136">
        <v>83911031</v>
      </c>
      <c r="F5136" t="s">
        <v>3170</v>
      </c>
      <c r="G5136" s="3">
        <v>46669</v>
      </c>
      <c r="H5136">
        <v>16</v>
      </c>
      <c r="I5136">
        <v>99</v>
      </c>
      <c r="J5136">
        <v>468</v>
      </c>
      <c r="K5136" s="4">
        <v>47623.68</v>
      </c>
      <c r="L5136" s="4">
        <v>30891.714285714286</v>
      </c>
      <c r="M5136" s="4">
        <v>1.5149693399062162E-2</v>
      </c>
      <c r="N5136" t="s">
        <v>25</v>
      </c>
      <c r="O5136" t="str">
        <f t="shared" si="800"/>
        <v>Low</v>
      </c>
      <c r="P5136" t="str">
        <f t="shared" si="801"/>
        <v>Low</v>
      </c>
      <c r="Q5136" t="str">
        <f t="shared" si="802"/>
        <v>Low</v>
      </c>
      <c r="R5136" t="s">
        <v>3317</v>
      </c>
      <c r="S5136" s="4">
        <f t="shared" ca="1" si="803"/>
        <v>472</v>
      </c>
      <c r="T5136">
        <f t="shared" si="804"/>
        <v>1</v>
      </c>
      <c r="U5136">
        <f t="shared" si="805"/>
        <v>1</v>
      </c>
      <c r="V5136">
        <f t="shared" si="806"/>
        <v>1</v>
      </c>
      <c r="W5136">
        <f t="shared" si="807"/>
        <v>1</v>
      </c>
      <c r="X5136">
        <f t="shared" si="808"/>
        <v>0.99999999999999989</v>
      </c>
      <c r="Y5136" t="str">
        <f t="shared" si="809"/>
        <v>Healthy</v>
      </c>
    </row>
    <row r="5137" spans="1:25" x14ac:dyDescent="0.35">
      <c r="A5137" t="s">
        <v>29</v>
      </c>
      <c r="B5137" t="s">
        <v>30</v>
      </c>
      <c r="C5137" t="s">
        <v>449</v>
      </c>
      <c r="D5137" t="s">
        <v>536</v>
      </c>
      <c r="E5137">
        <v>83906221</v>
      </c>
      <c r="F5137" t="s">
        <v>3171</v>
      </c>
      <c r="G5137" s="3">
        <v>47165</v>
      </c>
      <c r="H5137">
        <v>36</v>
      </c>
      <c r="I5137">
        <v>90</v>
      </c>
      <c r="J5137">
        <v>252</v>
      </c>
      <c r="K5137" s="4">
        <v>399470.4</v>
      </c>
      <c r="L5137" s="4">
        <v>150</v>
      </c>
      <c r="M5137" s="4">
        <v>1.68</v>
      </c>
      <c r="N5137" t="s">
        <v>25</v>
      </c>
      <c r="O5137" t="str">
        <f t="shared" si="800"/>
        <v>Low</v>
      </c>
      <c r="P5137" t="str">
        <f t="shared" si="801"/>
        <v>Low</v>
      </c>
      <c r="Q5137" t="str">
        <f t="shared" si="802"/>
        <v>Low</v>
      </c>
      <c r="R5137" t="s">
        <v>3309</v>
      </c>
      <c r="S5137" s="4">
        <f t="shared" ca="1" si="803"/>
        <v>968</v>
      </c>
      <c r="T5137">
        <f t="shared" si="804"/>
        <v>1</v>
      </c>
      <c r="U5137">
        <f t="shared" si="805"/>
        <v>1</v>
      </c>
      <c r="V5137">
        <f t="shared" si="806"/>
        <v>1</v>
      </c>
      <c r="W5137">
        <f t="shared" si="807"/>
        <v>3</v>
      </c>
      <c r="X5137">
        <f t="shared" si="808"/>
        <v>1.2</v>
      </c>
      <c r="Y5137" t="str">
        <f t="shared" si="809"/>
        <v>Healthy</v>
      </c>
    </row>
    <row r="5138" spans="1:25" x14ac:dyDescent="0.35">
      <c r="A5138" t="s">
        <v>41</v>
      </c>
      <c r="B5138" t="s">
        <v>54</v>
      </c>
      <c r="C5138" t="s">
        <v>87</v>
      </c>
      <c r="D5138" t="s">
        <v>282</v>
      </c>
      <c r="E5138">
        <v>83924038</v>
      </c>
      <c r="F5138" t="s">
        <v>3172</v>
      </c>
      <c r="G5138" s="3">
        <v>47264</v>
      </c>
      <c r="H5138">
        <v>36</v>
      </c>
      <c r="I5138">
        <v>99</v>
      </c>
      <c r="J5138">
        <v>23</v>
      </c>
      <c r="K5138" s="4">
        <v>25036.42</v>
      </c>
      <c r="L5138" s="4">
        <v>23.142857142857142</v>
      </c>
      <c r="M5138" s="4">
        <v>0.99382716049382713</v>
      </c>
      <c r="N5138" t="s">
        <v>25</v>
      </c>
      <c r="O5138" t="str">
        <f t="shared" si="800"/>
        <v>Low</v>
      </c>
      <c r="P5138" t="str">
        <f t="shared" si="801"/>
        <v>Low</v>
      </c>
      <c r="Q5138" t="str">
        <f t="shared" si="802"/>
        <v>Low</v>
      </c>
      <c r="R5138" t="s">
        <v>3317</v>
      </c>
      <c r="S5138" s="4">
        <f t="shared" ca="1" si="803"/>
        <v>1067</v>
      </c>
      <c r="T5138">
        <f t="shared" si="804"/>
        <v>1</v>
      </c>
      <c r="U5138">
        <f t="shared" si="805"/>
        <v>1</v>
      </c>
      <c r="V5138">
        <f t="shared" si="806"/>
        <v>1</v>
      </c>
      <c r="W5138">
        <f t="shared" si="807"/>
        <v>1</v>
      </c>
      <c r="X5138">
        <f t="shared" si="808"/>
        <v>0.99999999999999989</v>
      </c>
      <c r="Y5138" t="str">
        <f t="shared" si="809"/>
        <v>Healthy</v>
      </c>
    </row>
    <row r="5139" spans="1:25" x14ac:dyDescent="0.35">
      <c r="A5139" t="s">
        <v>41</v>
      </c>
      <c r="B5139" t="s">
        <v>54</v>
      </c>
      <c r="C5139" t="s">
        <v>87</v>
      </c>
      <c r="D5139" t="s">
        <v>282</v>
      </c>
      <c r="E5139">
        <v>83924038</v>
      </c>
      <c r="F5139" t="s">
        <v>3172</v>
      </c>
      <c r="G5139" s="3">
        <v>47220</v>
      </c>
      <c r="H5139">
        <v>36</v>
      </c>
      <c r="I5139">
        <v>95</v>
      </c>
      <c r="J5139">
        <v>10</v>
      </c>
      <c r="K5139" s="4">
        <v>10885.4</v>
      </c>
      <c r="L5139" s="4">
        <v>23.142857142857142</v>
      </c>
      <c r="M5139" s="4">
        <v>0.4320987654320988</v>
      </c>
      <c r="N5139" t="s">
        <v>25</v>
      </c>
      <c r="O5139" t="str">
        <f t="shared" si="800"/>
        <v>Low</v>
      </c>
      <c r="P5139" t="str">
        <f t="shared" si="801"/>
        <v>Low</v>
      </c>
      <c r="Q5139" t="str">
        <f t="shared" si="802"/>
        <v>Low</v>
      </c>
      <c r="R5139" t="s">
        <v>3317</v>
      </c>
      <c r="S5139" s="4">
        <f t="shared" ca="1" si="803"/>
        <v>1023</v>
      </c>
      <c r="T5139">
        <f t="shared" si="804"/>
        <v>1</v>
      </c>
      <c r="U5139">
        <f t="shared" si="805"/>
        <v>1</v>
      </c>
      <c r="V5139">
        <f t="shared" si="806"/>
        <v>1</v>
      </c>
      <c r="W5139">
        <f t="shared" si="807"/>
        <v>1</v>
      </c>
      <c r="X5139">
        <f t="shared" si="808"/>
        <v>0.99999999999999989</v>
      </c>
      <c r="Y5139" t="str">
        <f t="shared" si="809"/>
        <v>Healthy</v>
      </c>
    </row>
    <row r="5140" spans="1:25" x14ac:dyDescent="0.35">
      <c r="A5140" t="s">
        <v>41</v>
      </c>
      <c r="B5140" t="s">
        <v>54</v>
      </c>
      <c r="C5140" t="s">
        <v>459</v>
      </c>
      <c r="D5140" t="s">
        <v>968</v>
      </c>
      <c r="E5140">
        <v>83924040</v>
      </c>
      <c r="F5140" t="s">
        <v>3173</v>
      </c>
      <c r="G5140" s="3">
        <v>47242</v>
      </c>
      <c r="H5140">
        <v>36</v>
      </c>
      <c r="I5140">
        <v>97</v>
      </c>
      <c r="J5140">
        <v>20</v>
      </c>
      <c r="K5140" s="4">
        <v>9180.7999999999993</v>
      </c>
      <c r="L5140" s="4">
        <v>33.571428571428569</v>
      </c>
      <c r="M5140" s="4">
        <v>0.59574468085106391</v>
      </c>
      <c r="N5140" t="s">
        <v>25</v>
      </c>
      <c r="O5140" t="str">
        <f t="shared" si="800"/>
        <v>Low</v>
      </c>
      <c r="P5140" t="str">
        <f t="shared" si="801"/>
        <v>Low</v>
      </c>
      <c r="Q5140" t="str">
        <f t="shared" si="802"/>
        <v>Low</v>
      </c>
      <c r="R5140" t="s">
        <v>3317</v>
      </c>
      <c r="S5140" s="4">
        <f t="shared" ca="1" si="803"/>
        <v>1045</v>
      </c>
      <c r="T5140">
        <f t="shared" si="804"/>
        <v>1</v>
      </c>
      <c r="U5140">
        <f t="shared" si="805"/>
        <v>1</v>
      </c>
      <c r="V5140">
        <f t="shared" si="806"/>
        <v>1</v>
      </c>
      <c r="W5140">
        <f t="shared" si="807"/>
        <v>1</v>
      </c>
      <c r="X5140">
        <f t="shared" si="808"/>
        <v>0.99999999999999989</v>
      </c>
      <c r="Y5140" t="str">
        <f t="shared" si="809"/>
        <v>Healthy</v>
      </c>
    </row>
    <row r="5141" spans="1:25" x14ac:dyDescent="0.35">
      <c r="A5141" t="s">
        <v>41</v>
      </c>
      <c r="B5141" t="s">
        <v>54</v>
      </c>
      <c r="C5141" t="s">
        <v>55</v>
      </c>
      <c r="D5141" t="s">
        <v>3076</v>
      </c>
      <c r="E5141">
        <v>83924012</v>
      </c>
      <c r="F5141" t="s">
        <v>3174</v>
      </c>
      <c r="G5141" s="3">
        <v>47218</v>
      </c>
      <c r="H5141">
        <v>36</v>
      </c>
      <c r="I5141">
        <v>95</v>
      </c>
      <c r="J5141">
        <v>42</v>
      </c>
      <c r="K5141" s="4">
        <v>7990.5</v>
      </c>
      <c r="L5141" s="4">
        <v>1379.5714285714287</v>
      </c>
      <c r="M5141" s="4">
        <v>3.0444237340789063E-2</v>
      </c>
      <c r="N5141" t="s">
        <v>25</v>
      </c>
      <c r="O5141" t="str">
        <f t="shared" si="800"/>
        <v>Low</v>
      </c>
      <c r="P5141" t="str">
        <f t="shared" si="801"/>
        <v>Low</v>
      </c>
      <c r="Q5141" t="str">
        <f t="shared" si="802"/>
        <v>Low</v>
      </c>
      <c r="R5141" t="s">
        <v>3317</v>
      </c>
      <c r="S5141" s="4">
        <f t="shared" ca="1" si="803"/>
        <v>1021</v>
      </c>
      <c r="T5141">
        <f t="shared" si="804"/>
        <v>1</v>
      </c>
      <c r="U5141">
        <f t="shared" si="805"/>
        <v>1</v>
      </c>
      <c r="V5141">
        <f t="shared" si="806"/>
        <v>1</v>
      </c>
      <c r="W5141">
        <f t="shared" si="807"/>
        <v>1</v>
      </c>
      <c r="X5141">
        <f t="shared" si="808"/>
        <v>0.99999999999999989</v>
      </c>
      <c r="Y5141" t="str">
        <f t="shared" si="809"/>
        <v>Healthy</v>
      </c>
    </row>
    <row r="5142" spans="1:25" x14ac:dyDescent="0.35">
      <c r="A5142" t="s">
        <v>41</v>
      </c>
      <c r="B5142" t="s">
        <v>54</v>
      </c>
      <c r="C5142" t="s">
        <v>55</v>
      </c>
      <c r="D5142" t="s">
        <v>3076</v>
      </c>
      <c r="E5142">
        <v>83924012</v>
      </c>
      <c r="F5142" t="s">
        <v>3174</v>
      </c>
      <c r="G5142" s="3">
        <v>47237</v>
      </c>
      <c r="H5142">
        <v>36</v>
      </c>
      <c r="I5142">
        <v>97</v>
      </c>
      <c r="J5142">
        <v>15</v>
      </c>
      <c r="K5142" s="4">
        <v>2853.75</v>
      </c>
      <c r="L5142" s="4">
        <v>1379.5714285714287</v>
      </c>
      <c r="M5142" s="4">
        <v>1.0872941907424665E-2</v>
      </c>
      <c r="N5142" t="s">
        <v>25</v>
      </c>
      <c r="O5142" t="str">
        <f t="shared" si="800"/>
        <v>Low</v>
      </c>
      <c r="P5142" t="str">
        <f t="shared" si="801"/>
        <v>Low</v>
      </c>
      <c r="Q5142" t="str">
        <f t="shared" si="802"/>
        <v>Low</v>
      </c>
      <c r="R5142" t="s">
        <v>3317</v>
      </c>
      <c r="S5142" s="4">
        <f t="shared" ca="1" si="803"/>
        <v>1040</v>
      </c>
      <c r="T5142">
        <f t="shared" si="804"/>
        <v>1</v>
      </c>
      <c r="U5142">
        <f t="shared" si="805"/>
        <v>1</v>
      </c>
      <c r="V5142">
        <f t="shared" si="806"/>
        <v>1</v>
      </c>
      <c r="W5142">
        <f t="shared" si="807"/>
        <v>1</v>
      </c>
      <c r="X5142">
        <f t="shared" si="808"/>
        <v>0.99999999999999989</v>
      </c>
      <c r="Y5142" t="str">
        <f t="shared" si="809"/>
        <v>Healthy</v>
      </c>
    </row>
    <row r="5143" spans="1:25" x14ac:dyDescent="0.35">
      <c r="A5143" t="s">
        <v>41</v>
      </c>
      <c r="B5143" t="s">
        <v>54</v>
      </c>
      <c r="C5143" t="s">
        <v>55</v>
      </c>
      <c r="D5143" t="s">
        <v>3076</v>
      </c>
      <c r="E5143">
        <v>83924012</v>
      </c>
      <c r="F5143" t="s">
        <v>3174</v>
      </c>
      <c r="G5143" s="3">
        <v>47261</v>
      </c>
      <c r="H5143">
        <v>36</v>
      </c>
      <c r="I5143">
        <v>99</v>
      </c>
      <c r="J5143">
        <v>5712</v>
      </c>
      <c r="K5143" s="4">
        <v>1086708</v>
      </c>
      <c r="L5143" s="4">
        <v>1379.5714285714287</v>
      </c>
      <c r="M5143" s="4">
        <v>4.1404162783473124</v>
      </c>
      <c r="N5143" t="s">
        <v>25</v>
      </c>
      <c r="O5143" t="str">
        <f t="shared" si="800"/>
        <v>Low</v>
      </c>
      <c r="P5143" t="str">
        <f t="shared" si="801"/>
        <v>Medium</v>
      </c>
      <c r="Q5143" t="str">
        <f t="shared" si="802"/>
        <v>Low</v>
      </c>
      <c r="R5143" t="s">
        <v>3309</v>
      </c>
      <c r="S5143" s="4">
        <f t="shared" ca="1" si="803"/>
        <v>1064</v>
      </c>
      <c r="T5143">
        <f t="shared" si="804"/>
        <v>1</v>
      </c>
      <c r="U5143">
        <f t="shared" si="805"/>
        <v>2</v>
      </c>
      <c r="V5143">
        <f t="shared" si="806"/>
        <v>1</v>
      </c>
      <c r="W5143">
        <f t="shared" si="807"/>
        <v>3</v>
      </c>
      <c r="X5143">
        <f t="shared" si="808"/>
        <v>1.5</v>
      </c>
      <c r="Y5143" t="str">
        <f t="shared" si="809"/>
        <v>Healthy</v>
      </c>
    </row>
    <row r="5144" spans="1:25" x14ac:dyDescent="0.35">
      <c r="A5144" t="s">
        <v>41</v>
      </c>
      <c r="B5144" t="s">
        <v>54</v>
      </c>
      <c r="C5144" t="s">
        <v>55</v>
      </c>
      <c r="D5144" t="s">
        <v>1335</v>
      </c>
      <c r="E5144">
        <v>83924042</v>
      </c>
      <c r="F5144" t="s">
        <v>3175</v>
      </c>
      <c r="G5144" s="3">
        <v>47261</v>
      </c>
      <c r="H5144">
        <v>36</v>
      </c>
      <c r="I5144">
        <v>99</v>
      </c>
      <c r="J5144">
        <v>180</v>
      </c>
      <c r="K5144" s="4">
        <v>169399.8</v>
      </c>
      <c r="L5144" s="4">
        <f>0</f>
        <v>0</v>
      </c>
      <c r="M5144" s="4">
        <f>999</f>
        <v>999</v>
      </c>
      <c r="N5144" t="s">
        <v>19</v>
      </c>
      <c r="O5144" t="str">
        <f t="shared" si="800"/>
        <v>Low</v>
      </c>
      <c r="P5144" t="str">
        <f t="shared" si="801"/>
        <v>High</v>
      </c>
      <c r="Q5144" t="str">
        <f t="shared" si="802"/>
        <v>High</v>
      </c>
      <c r="R5144" t="s">
        <v>3309</v>
      </c>
      <c r="S5144" s="4">
        <f t="shared" ca="1" si="803"/>
        <v>1064</v>
      </c>
      <c r="T5144">
        <f t="shared" si="804"/>
        <v>1</v>
      </c>
      <c r="U5144">
        <f t="shared" si="805"/>
        <v>3</v>
      </c>
      <c r="V5144">
        <f t="shared" si="806"/>
        <v>3</v>
      </c>
      <c r="W5144">
        <f t="shared" si="807"/>
        <v>3</v>
      </c>
      <c r="X5144">
        <f t="shared" si="808"/>
        <v>2.2000000000000002</v>
      </c>
      <c r="Y5144" t="str">
        <f t="shared" si="809"/>
        <v>High Priority</v>
      </c>
    </row>
    <row r="5145" spans="1:25" x14ac:dyDescent="0.35">
      <c r="A5145" t="s">
        <v>71</v>
      </c>
      <c r="B5145" t="s">
        <v>72</v>
      </c>
      <c r="C5145" t="s">
        <v>310</v>
      </c>
      <c r="D5145" t="s">
        <v>3176</v>
      </c>
      <c r="E5145">
        <v>80696349</v>
      </c>
      <c r="F5145" t="s">
        <v>3177</v>
      </c>
      <c r="G5145" s="3">
        <v>47041</v>
      </c>
      <c r="H5145">
        <v>36</v>
      </c>
      <c r="I5145">
        <v>79</v>
      </c>
      <c r="J5145">
        <v>40</v>
      </c>
      <c r="K5145" s="4">
        <v>53157.2</v>
      </c>
      <c r="L5145" s="4">
        <v>2.2857142857142856</v>
      </c>
      <c r="M5145" s="4">
        <v>17.5</v>
      </c>
      <c r="N5145" t="s">
        <v>19</v>
      </c>
      <c r="O5145" t="str">
        <f t="shared" si="800"/>
        <v>Low</v>
      </c>
      <c r="P5145" t="str">
        <f t="shared" si="801"/>
        <v>High</v>
      </c>
      <c r="Q5145" t="str">
        <f t="shared" si="802"/>
        <v>High</v>
      </c>
      <c r="R5145" t="s">
        <v>3317</v>
      </c>
      <c r="S5145" s="4">
        <f t="shared" ca="1" si="803"/>
        <v>844</v>
      </c>
      <c r="T5145">
        <f t="shared" si="804"/>
        <v>1</v>
      </c>
      <c r="U5145">
        <f t="shared" si="805"/>
        <v>3</v>
      </c>
      <c r="V5145">
        <f t="shared" si="806"/>
        <v>3</v>
      </c>
      <c r="W5145">
        <f t="shared" si="807"/>
        <v>1</v>
      </c>
      <c r="X5145">
        <f t="shared" si="808"/>
        <v>2</v>
      </c>
      <c r="Y5145" t="str">
        <f t="shared" si="809"/>
        <v>Monitor</v>
      </c>
    </row>
    <row r="5146" spans="1:25" x14ac:dyDescent="0.35">
      <c r="A5146" t="s">
        <v>41</v>
      </c>
      <c r="B5146" t="s">
        <v>54</v>
      </c>
      <c r="C5146" t="s">
        <v>55</v>
      </c>
      <c r="D5146" t="s">
        <v>1335</v>
      </c>
      <c r="E5146">
        <v>83924042</v>
      </c>
      <c r="F5146" t="s">
        <v>3175</v>
      </c>
      <c r="G5146" s="3">
        <v>47237</v>
      </c>
      <c r="H5146">
        <v>36</v>
      </c>
      <c r="I5146">
        <v>97</v>
      </c>
      <c r="J5146">
        <v>12</v>
      </c>
      <c r="K5146" s="4">
        <v>11293.32</v>
      </c>
      <c r="L5146" s="4">
        <f>0</f>
        <v>0</v>
      </c>
      <c r="M5146" s="4">
        <f>999</f>
        <v>999</v>
      </c>
      <c r="N5146" t="s">
        <v>19</v>
      </c>
      <c r="O5146" t="str">
        <f t="shared" si="800"/>
        <v>Low</v>
      </c>
      <c r="P5146" t="str">
        <f t="shared" si="801"/>
        <v>High</v>
      </c>
      <c r="Q5146" t="str">
        <f t="shared" si="802"/>
        <v>High</v>
      </c>
      <c r="R5146" t="s">
        <v>3317</v>
      </c>
      <c r="S5146" s="4">
        <f t="shared" ca="1" si="803"/>
        <v>1040</v>
      </c>
      <c r="T5146">
        <f t="shared" si="804"/>
        <v>1</v>
      </c>
      <c r="U5146">
        <f t="shared" si="805"/>
        <v>3</v>
      </c>
      <c r="V5146">
        <f t="shared" si="806"/>
        <v>3</v>
      </c>
      <c r="W5146">
        <f t="shared" si="807"/>
        <v>1</v>
      </c>
      <c r="X5146">
        <f t="shared" si="808"/>
        <v>2</v>
      </c>
      <c r="Y5146" t="str">
        <f t="shared" si="809"/>
        <v>Monitor</v>
      </c>
    </row>
    <row r="5147" spans="1:25" x14ac:dyDescent="0.35">
      <c r="A5147" t="s">
        <v>41</v>
      </c>
      <c r="B5147" t="s">
        <v>42</v>
      </c>
      <c r="C5147" t="s">
        <v>43</v>
      </c>
      <c r="D5147" t="s">
        <v>384</v>
      </c>
      <c r="E5147">
        <v>80728699</v>
      </c>
      <c r="F5147" t="s">
        <v>3178</v>
      </c>
      <c r="G5147" s="3">
        <v>45935</v>
      </c>
      <c r="H5147">
        <v>36</v>
      </c>
      <c r="I5147">
        <v>0</v>
      </c>
      <c r="J5147">
        <v>7</v>
      </c>
      <c r="K5147" s="4">
        <v>3707.9</v>
      </c>
      <c r="L5147" s="4">
        <f>0</f>
        <v>0</v>
      </c>
      <c r="M5147" s="4">
        <f>999</f>
        <v>999</v>
      </c>
      <c r="N5147" t="s">
        <v>19</v>
      </c>
      <c r="O5147" t="str">
        <f t="shared" si="800"/>
        <v>High</v>
      </c>
      <c r="P5147" t="str">
        <f t="shared" si="801"/>
        <v>High</v>
      </c>
      <c r="Q5147" t="str">
        <f t="shared" si="802"/>
        <v>High</v>
      </c>
      <c r="R5147" t="s">
        <v>3317</v>
      </c>
      <c r="S5147" s="4">
        <f t="shared" ca="1" si="803"/>
        <v>-262</v>
      </c>
      <c r="T5147">
        <f t="shared" si="804"/>
        <v>3</v>
      </c>
      <c r="U5147">
        <f t="shared" si="805"/>
        <v>3</v>
      </c>
      <c r="V5147">
        <f t="shared" si="806"/>
        <v>3</v>
      </c>
      <c r="W5147">
        <f t="shared" si="807"/>
        <v>1</v>
      </c>
      <c r="X5147">
        <f t="shared" si="808"/>
        <v>2.8000000000000003</v>
      </c>
      <c r="Y5147" t="str">
        <f t="shared" si="809"/>
        <v>Move Immediately</v>
      </c>
    </row>
    <row r="5148" spans="1:25" x14ac:dyDescent="0.35">
      <c r="A5148" t="s">
        <v>41</v>
      </c>
      <c r="B5148" t="s">
        <v>54</v>
      </c>
      <c r="C5148" t="s">
        <v>55</v>
      </c>
      <c r="D5148" t="s">
        <v>3179</v>
      </c>
      <c r="E5148">
        <v>83924013</v>
      </c>
      <c r="F5148" t="s">
        <v>3180</v>
      </c>
      <c r="G5148" s="3">
        <v>47261</v>
      </c>
      <c r="H5148">
        <v>36</v>
      </c>
      <c r="I5148">
        <v>99</v>
      </c>
      <c r="J5148">
        <v>41</v>
      </c>
      <c r="K5148" s="4">
        <v>7800.25</v>
      </c>
      <c r="L5148" s="4">
        <v>2105.4285714285716</v>
      </c>
      <c r="M5148" s="4">
        <v>1.9473469941647441E-2</v>
      </c>
      <c r="N5148" t="s">
        <v>25</v>
      </c>
      <c r="O5148" t="str">
        <f t="shared" si="800"/>
        <v>Low</v>
      </c>
      <c r="P5148" t="str">
        <f t="shared" si="801"/>
        <v>Low</v>
      </c>
      <c r="Q5148" t="str">
        <f t="shared" si="802"/>
        <v>Low</v>
      </c>
      <c r="R5148" t="s">
        <v>3317</v>
      </c>
      <c r="S5148" s="4">
        <f t="shared" ca="1" si="803"/>
        <v>1064</v>
      </c>
      <c r="T5148">
        <f t="shared" si="804"/>
        <v>1</v>
      </c>
      <c r="U5148">
        <f t="shared" si="805"/>
        <v>1</v>
      </c>
      <c r="V5148">
        <f t="shared" si="806"/>
        <v>1</v>
      </c>
      <c r="W5148">
        <f t="shared" si="807"/>
        <v>1</v>
      </c>
      <c r="X5148">
        <f t="shared" si="808"/>
        <v>0.99999999999999989</v>
      </c>
      <c r="Y5148" t="str">
        <f t="shared" si="809"/>
        <v>Healthy</v>
      </c>
    </row>
    <row r="5149" spans="1:25" x14ac:dyDescent="0.35">
      <c r="A5149" t="s">
        <v>41</v>
      </c>
      <c r="B5149" t="s">
        <v>42</v>
      </c>
      <c r="C5149" t="s">
        <v>43</v>
      </c>
      <c r="D5149" t="s">
        <v>384</v>
      </c>
      <c r="E5149">
        <v>80728699</v>
      </c>
      <c r="F5149" t="s">
        <v>3178</v>
      </c>
      <c r="G5149" s="3">
        <v>47020</v>
      </c>
      <c r="H5149">
        <v>36</v>
      </c>
      <c r="I5149">
        <v>77</v>
      </c>
      <c r="J5149">
        <v>5</v>
      </c>
      <c r="K5149" s="4">
        <v>2648.5</v>
      </c>
      <c r="L5149" s="4">
        <f>0</f>
        <v>0</v>
      </c>
      <c r="M5149" s="4">
        <f>999</f>
        <v>999</v>
      </c>
      <c r="N5149" t="s">
        <v>19</v>
      </c>
      <c r="O5149" t="str">
        <f t="shared" si="800"/>
        <v>Low</v>
      </c>
      <c r="P5149" t="str">
        <f t="shared" si="801"/>
        <v>High</v>
      </c>
      <c r="Q5149" t="str">
        <f t="shared" si="802"/>
        <v>High</v>
      </c>
      <c r="R5149" t="s">
        <v>3317</v>
      </c>
      <c r="S5149" s="4">
        <f t="shared" ca="1" si="803"/>
        <v>823</v>
      </c>
      <c r="T5149">
        <f t="shared" si="804"/>
        <v>1</v>
      </c>
      <c r="U5149">
        <f t="shared" si="805"/>
        <v>3</v>
      </c>
      <c r="V5149">
        <f t="shared" si="806"/>
        <v>3</v>
      </c>
      <c r="W5149">
        <f t="shared" si="807"/>
        <v>1</v>
      </c>
      <c r="X5149">
        <f t="shared" si="808"/>
        <v>2</v>
      </c>
      <c r="Y5149" t="str">
        <f t="shared" si="809"/>
        <v>Monitor</v>
      </c>
    </row>
    <row r="5150" spans="1:25" x14ac:dyDescent="0.35">
      <c r="A5150" t="s">
        <v>41</v>
      </c>
      <c r="B5150" t="s">
        <v>54</v>
      </c>
      <c r="C5150" t="s">
        <v>55</v>
      </c>
      <c r="D5150" t="s">
        <v>3069</v>
      </c>
      <c r="E5150">
        <v>83924014</v>
      </c>
      <c r="F5150" t="s">
        <v>3181</v>
      </c>
      <c r="G5150" s="3">
        <v>47241</v>
      </c>
      <c r="H5150">
        <v>36</v>
      </c>
      <c r="I5150">
        <v>97</v>
      </c>
      <c r="J5150">
        <v>870</v>
      </c>
      <c r="K5150" s="4">
        <v>329512.5</v>
      </c>
      <c r="L5150" s="4">
        <v>397.85714285714283</v>
      </c>
      <c r="M5150" s="4">
        <v>2.1867145421903054</v>
      </c>
      <c r="N5150" t="s">
        <v>25</v>
      </c>
      <c r="O5150" t="str">
        <f t="shared" si="800"/>
        <v>Low</v>
      </c>
      <c r="P5150" t="str">
        <f t="shared" si="801"/>
        <v>Low</v>
      </c>
      <c r="Q5150" t="str">
        <f t="shared" si="802"/>
        <v>Low</v>
      </c>
      <c r="R5150" t="s">
        <v>3309</v>
      </c>
      <c r="S5150" s="4">
        <f t="shared" ca="1" si="803"/>
        <v>1044</v>
      </c>
      <c r="T5150">
        <f t="shared" si="804"/>
        <v>1</v>
      </c>
      <c r="U5150">
        <f t="shared" si="805"/>
        <v>1</v>
      </c>
      <c r="V5150">
        <f t="shared" si="806"/>
        <v>1</v>
      </c>
      <c r="W5150">
        <f t="shared" si="807"/>
        <v>3</v>
      </c>
      <c r="X5150">
        <f t="shared" si="808"/>
        <v>1.2</v>
      </c>
      <c r="Y5150" t="str">
        <f t="shared" si="809"/>
        <v>Healthy</v>
      </c>
    </row>
    <row r="5151" spans="1:25" x14ac:dyDescent="0.35">
      <c r="A5151" t="s">
        <v>41</v>
      </c>
      <c r="B5151" t="s">
        <v>54</v>
      </c>
      <c r="C5151" t="s">
        <v>55</v>
      </c>
      <c r="D5151" t="s">
        <v>3069</v>
      </c>
      <c r="E5151">
        <v>83924014</v>
      </c>
      <c r="F5151" t="s">
        <v>3181</v>
      </c>
      <c r="G5151" s="3">
        <v>47249</v>
      </c>
      <c r="H5151">
        <v>36</v>
      </c>
      <c r="I5151">
        <v>98</v>
      </c>
      <c r="J5151">
        <v>12</v>
      </c>
      <c r="K5151" s="4">
        <v>4545</v>
      </c>
      <c r="L5151" s="4">
        <v>397.85714285714283</v>
      </c>
      <c r="M5151" s="4">
        <v>3.0161579892280074E-2</v>
      </c>
      <c r="N5151" t="s">
        <v>25</v>
      </c>
      <c r="O5151" t="str">
        <f t="shared" si="800"/>
        <v>Low</v>
      </c>
      <c r="P5151" t="str">
        <f t="shared" si="801"/>
        <v>Low</v>
      </c>
      <c r="Q5151" t="str">
        <f t="shared" si="802"/>
        <v>Low</v>
      </c>
      <c r="R5151" t="s">
        <v>3317</v>
      </c>
      <c r="S5151" s="4">
        <f t="shared" ca="1" si="803"/>
        <v>1052</v>
      </c>
      <c r="T5151">
        <f t="shared" si="804"/>
        <v>1</v>
      </c>
      <c r="U5151">
        <f t="shared" si="805"/>
        <v>1</v>
      </c>
      <c r="V5151">
        <f t="shared" si="806"/>
        <v>1</v>
      </c>
      <c r="W5151">
        <f t="shared" si="807"/>
        <v>1</v>
      </c>
      <c r="X5151">
        <f t="shared" si="808"/>
        <v>0.99999999999999989</v>
      </c>
      <c r="Y5151" t="str">
        <f t="shared" si="809"/>
        <v>Healthy</v>
      </c>
    </row>
    <row r="5152" spans="1:25" x14ac:dyDescent="0.35">
      <c r="A5152" t="s">
        <v>41</v>
      </c>
      <c r="B5152" t="s">
        <v>54</v>
      </c>
      <c r="C5152" t="s">
        <v>55</v>
      </c>
      <c r="D5152" t="s">
        <v>3069</v>
      </c>
      <c r="E5152">
        <v>83924014</v>
      </c>
      <c r="F5152" t="s">
        <v>3181</v>
      </c>
      <c r="G5152" s="3">
        <v>47245</v>
      </c>
      <c r="H5152">
        <v>36</v>
      </c>
      <c r="I5152">
        <v>98</v>
      </c>
      <c r="J5152">
        <v>7</v>
      </c>
      <c r="K5152" s="4">
        <v>2651.25</v>
      </c>
      <c r="L5152" s="4">
        <v>397.85714285714283</v>
      </c>
      <c r="M5152" s="4">
        <v>1.7594254937163375E-2</v>
      </c>
      <c r="N5152" t="s">
        <v>25</v>
      </c>
      <c r="O5152" t="str">
        <f t="shared" si="800"/>
        <v>Low</v>
      </c>
      <c r="P5152" t="str">
        <f t="shared" si="801"/>
        <v>Low</v>
      </c>
      <c r="Q5152" t="str">
        <f t="shared" si="802"/>
        <v>Low</v>
      </c>
      <c r="R5152" t="s">
        <v>3317</v>
      </c>
      <c r="S5152" s="4">
        <f t="shared" ca="1" si="803"/>
        <v>1048</v>
      </c>
      <c r="T5152">
        <f t="shared" si="804"/>
        <v>1</v>
      </c>
      <c r="U5152">
        <f t="shared" si="805"/>
        <v>1</v>
      </c>
      <c r="V5152">
        <f t="shared" si="806"/>
        <v>1</v>
      </c>
      <c r="W5152">
        <f t="shared" si="807"/>
        <v>1</v>
      </c>
      <c r="X5152">
        <f t="shared" si="808"/>
        <v>0.99999999999999989</v>
      </c>
      <c r="Y5152" t="str">
        <f t="shared" si="809"/>
        <v>Healthy</v>
      </c>
    </row>
    <row r="5153" spans="1:25" x14ac:dyDescent="0.35">
      <c r="A5153" t="s">
        <v>41</v>
      </c>
      <c r="B5153" t="s">
        <v>42</v>
      </c>
      <c r="C5153" t="s">
        <v>43</v>
      </c>
      <c r="D5153" t="s">
        <v>1991</v>
      </c>
      <c r="E5153">
        <v>83924045</v>
      </c>
      <c r="F5153" t="s">
        <v>3182</v>
      </c>
      <c r="G5153" s="3">
        <v>47263</v>
      </c>
      <c r="H5153">
        <v>36</v>
      </c>
      <c r="I5153">
        <v>99</v>
      </c>
      <c r="J5153">
        <v>228</v>
      </c>
      <c r="K5153" s="4">
        <v>77599.8</v>
      </c>
      <c r="L5153" s="4">
        <f>0</f>
        <v>0</v>
      </c>
      <c r="M5153" s="4">
        <f>999</f>
        <v>999</v>
      </c>
      <c r="N5153" t="s">
        <v>19</v>
      </c>
      <c r="O5153" t="str">
        <f t="shared" si="800"/>
        <v>Low</v>
      </c>
      <c r="P5153" t="str">
        <f t="shared" si="801"/>
        <v>High</v>
      </c>
      <c r="Q5153" t="str">
        <f t="shared" si="802"/>
        <v>High</v>
      </c>
      <c r="R5153" t="s">
        <v>3310</v>
      </c>
      <c r="S5153" s="4">
        <f t="shared" ca="1" si="803"/>
        <v>1066</v>
      </c>
      <c r="T5153">
        <f t="shared" si="804"/>
        <v>1</v>
      </c>
      <c r="U5153">
        <f t="shared" si="805"/>
        <v>3</v>
      </c>
      <c r="V5153">
        <f t="shared" si="806"/>
        <v>3</v>
      </c>
      <c r="W5153">
        <f t="shared" si="807"/>
        <v>2</v>
      </c>
      <c r="X5153">
        <f t="shared" si="808"/>
        <v>2.1</v>
      </c>
      <c r="Y5153" t="str">
        <f t="shared" si="809"/>
        <v>Monitor</v>
      </c>
    </row>
    <row r="5154" spans="1:25" x14ac:dyDescent="0.35">
      <c r="A5154" t="s">
        <v>41</v>
      </c>
      <c r="B5154" t="s">
        <v>54</v>
      </c>
      <c r="C5154" t="s">
        <v>55</v>
      </c>
      <c r="D5154" t="s">
        <v>3079</v>
      </c>
      <c r="E5154">
        <v>83924015</v>
      </c>
      <c r="F5154" t="s">
        <v>3183</v>
      </c>
      <c r="G5154" s="3">
        <v>47218</v>
      </c>
      <c r="H5154">
        <v>36</v>
      </c>
      <c r="I5154">
        <v>95</v>
      </c>
      <c r="J5154">
        <v>148</v>
      </c>
      <c r="K5154" s="4">
        <v>56055</v>
      </c>
      <c r="L5154" s="4">
        <v>272.28571428571428</v>
      </c>
      <c r="M5154" s="4">
        <v>0.54354669464847849</v>
      </c>
      <c r="N5154" t="s">
        <v>25</v>
      </c>
      <c r="O5154" t="str">
        <f t="shared" si="800"/>
        <v>Low</v>
      </c>
      <c r="P5154" t="str">
        <f t="shared" si="801"/>
        <v>Low</v>
      </c>
      <c r="Q5154" t="str">
        <f t="shared" si="802"/>
        <v>Low</v>
      </c>
      <c r="R5154" t="s">
        <v>3317</v>
      </c>
      <c r="S5154" s="4">
        <f t="shared" ca="1" si="803"/>
        <v>1021</v>
      </c>
      <c r="T5154">
        <f t="shared" si="804"/>
        <v>1</v>
      </c>
      <c r="U5154">
        <f t="shared" si="805"/>
        <v>1</v>
      </c>
      <c r="V5154">
        <f t="shared" si="806"/>
        <v>1</v>
      </c>
      <c r="W5154">
        <f t="shared" si="807"/>
        <v>1</v>
      </c>
      <c r="X5154">
        <f t="shared" si="808"/>
        <v>0.99999999999999989</v>
      </c>
      <c r="Y5154" t="str">
        <f t="shared" si="809"/>
        <v>Healthy</v>
      </c>
    </row>
    <row r="5155" spans="1:25" x14ac:dyDescent="0.35">
      <c r="A5155" t="s">
        <v>41</v>
      </c>
      <c r="B5155" t="s">
        <v>54</v>
      </c>
      <c r="C5155" t="s">
        <v>55</v>
      </c>
      <c r="D5155" t="s">
        <v>3079</v>
      </c>
      <c r="E5155">
        <v>83924015</v>
      </c>
      <c r="F5155" t="s">
        <v>3183</v>
      </c>
      <c r="G5155" s="3">
        <v>47218</v>
      </c>
      <c r="H5155">
        <v>36</v>
      </c>
      <c r="I5155">
        <v>95</v>
      </c>
      <c r="J5155">
        <v>119</v>
      </c>
      <c r="K5155" s="4">
        <v>45071.25</v>
      </c>
      <c r="L5155" s="4">
        <v>272.28571428571428</v>
      </c>
      <c r="M5155" s="4">
        <v>0.43704092339979017</v>
      </c>
      <c r="N5155" t="s">
        <v>25</v>
      </c>
      <c r="O5155" t="str">
        <f t="shared" si="800"/>
        <v>Low</v>
      </c>
      <c r="P5155" t="str">
        <f t="shared" si="801"/>
        <v>Low</v>
      </c>
      <c r="Q5155" t="str">
        <f t="shared" si="802"/>
        <v>Low</v>
      </c>
      <c r="R5155" t="s">
        <v>3317</v>
      </c>
      <c r="S5155" s="4">
        <f t="shared" ca="1" si="803"/>
        <v>1021</v>
      </c>
      <c r="T5155">
        <f t="shared" si="804"/>
        <v>1</v>
      </c>
      <c r="U5155">
        <f t="shared" si="805"/>
        <v>1</v>
      </c>
      <c r="V5155">
        <f t="shared" si="806"/>
        <v>1</v>
      </c>
      <c r="W5155">
        <f t="shared" si="807"/>
        <v>1</v>
      </c>
      <c r="X5155">
        <f t="shared" si="808"/>
        <v>0.99999999999999989</v>
      </c>
      <c r="Y5155" t="str">
        <f t="shared" si="809"/>
        <v>Healthy</v>
      </c>
    </row>
    <row r="5156" spans="1:25" x14ac:dyDescent="0.35">
      <c r="A5156" t="s">
        <v>41</v>
      </c>
      <c r="B5156" t="s">
        <v>54</v>
      </c>
      <c r="C5156" t="s">
        <v>55</v>
      </c>
      <c r="D5156" t="s">
        <v>3079</v>
      </c>
      <c r="E5156">
        <v>83924015</v>
      </c>
      <c r="F5156" t="s">
        <v>3183</v>
      </c>
      <c r="G5156" s="3">
        <v>47263</v>
      </c>
      <c r="H5156">
        <v>36</v>
      </c>
      <c r="I5156">
        <v>99</v>
      </c>
      <c r="J5156">
        <v>876</v>
      </c>
      <c r="K5156" s="4">
        <v>331785</v>
      </c>
      <c r="L5156" s="4">
        <v>272.28571428571428</v>
      </c>
      <c r="M5156" s="4">
        <v>3.217208814270724</v>
      </c>
      <c r="N5156" t="s">
        <v>25</v>
      </c>
      <c r="O5156" t="str">
        <f t="shared" si="800"/>
        <v>Low</v>
      </c>
      <c r="P5156" t="str">
        <f t="shared" si="801"/>
        <v>Low</v>
      </c>
      <c r="Q5156" t="str">
        <f t="shared" si="802"/>
        <v>Low</v>
      </c>
      <c r="R5156" t="s">
        <v>3309</v>
      </c>
      <c r="S5156" s="4">
        <f t="shared" ca="1" si="803"/>
        <v>1066</v>
      </c>
      <c r="T5156">
        <f t="shared" si="804"/>
        <v>1</v>
      </c>
      <c r="U5156">
        <f t="shared" si="805"/>
        <v>1</v>
      </c>
      <c r="V5156">
        <f t="shared" si="806"/>
        <v>1</v>
      </c>
      <c r="W5156">
        <f t="shared" si="807"/>
        <v>3</v>
      </c>
      <c r="X5156">
        <f t="shared" si="808"/>
        <v>1.2</v>
      </c>
      <c r="Y5156" t="str">
        <f t="shared" si="809"/>
        <v>Healthy</v>
      </c>
    </row>
    <row r="5157" spans="1:25" x14ac:dyDescent="0.35">
      <c r="A5157" t="s">
        <v>41</v>
      </c>
      <c r="B5157" t="s">
        <v>54</v>
      </c>
      <c r="C5157" t="s">
        <v>87</v>
      </c>
      <c r="D5157" t="s">
        <v>335</v>
      </c>
      <c r="E5157">
        <v>83924048</v>
      </c>
      <c r="F5157" t="s">
        <v>3184</v>
      </c>
      <c r="G5157" s="3">
        <v>47216</v>
      </c>
      <c r="H5157">
        <v>36</v>
      </c>
      <c r="I5157">
        <v>95</v>
      </c>
      <c r="J5157">
        <v>30</v>
      </c>
      <c r="K5157" s="4">
        <v>13771.2</v>
      </c>
      <c r="L5157" s="4">
        <f>0</f>
        <v>0</v>
      </c>
      <c r="M5157" s="4">
        <f>999</f>
        <v>999</v>
      </c>
      <c r="N5157" t="s">
        <v>19</v>
      </c>
      <c r="O5157" t="str">
        <f t="shared" si="800"/>
        <v>Low</v>
      </c>
      <c r="P5157" t="str">
        <f t="shared" si="801"/>
        <v>High</v>
      </c>
      <c r="Q5157" t="str">
        <f t="shared" si="802"/>
        <v>High</v>
      </c>
      <c r="R5157" t="s">
        <v>3317</v>
      </c>
      <c r="S5157" s="4">
        <f t="shared" ca="1" si="803"/>
        <v>1019</v>
      </c>
      <c r="T5157">
        <f t="shared" si="804"/>
        <v>1</v>
      </c>
      <c r="U5157">
        <f t="shared" si="805"/>
        <v>3</v>
      </c>
      <c r="V5157">
        <f t="shared" si="806"/>
        <v>3</v>
      </c>
      <c r="W5157">
        <f t="shared" si="807"/>
        <v>1</v>
      </c>
      <c r="X5157">
        <f t="shared" si="808"/>
        <v>2</v>
      </c>
      <c r="Y5157" t="str">
        <f t="shared" si="809"/>
        <v>Monitor</v>
      </c>
    </row>
    <row r="5158" spans="1:25" x14ac:dyDescent="0.35">
      <c r="A5158" t="s">
        <v>41</v>
      </c>
      <c r="B5158" t="s">
        <v>54</v>
      </c>
      <c r="C5158" t="s">
        <v>55</v>
      </c>
      <c r="D5158" t="s">
        <v>56</v>
      </c>
      <c r="E5158">
        <v>83924049</v>
      </c>
      <c r="F5158" t="s">
        <v>3185</v>
      </c>
      <c r="G5158" s="3">
        <v>47237</v>
      </c>
      <c r="H5158">
        <v>36</v>
      </c>
      <c r="I5158">
        <v>97</v>
      </c>
      <c r="J5158">
        <v>6</v>
      </c>
      <c r="K5158" s="4">
        <v>5646.66</v>
      </c>
      <c r="L5158" s="4">
        <v>187.28571428571399</v>
      </c>
      <c r="M5158" s="4">
        <v>3.2036613272311262E-2</v>
      </c>
      <c r="N5158" t="s">
        <v>25</v>
      </c>
      <c r="O5158" t="str">
        <f t="shared" si="800"/>
        <v>Low</v>
      </c>
      <c r="P5158" t="str">
        <f t="shared" si="801"/>
        <v>Low</v>
      </c>
      <c r="Q5158" t="str">
        <f t="shared" si="802"/>
        <v>Low</v>
      </c>
      <c r="R5158" t="s">
        <v>3317</v>
      </c>
      <c r="S5158" s="4">
        <f t="shared" ca="1" si="803"/>
        <v>1040</v>
      </c>
      <c r="T5158">
        <f t="shared" si="804"/>
        <v>1</v>
      </c>
      <c r="U5158">
        <f t="shared" si="805"/>
        <v>1</v>
      </c>
      <c r="V5158">
        <f t="shared" si="806"/>
        <v>1</v>
      </c>
      <c r="W5158">
        <f t="shared" si="807"/>
        <v>1</v>
      </c>
      <c r="X5158">
        <f t="shared" si="808"/>
        <v>0.99999999999999989</v>
      </c>
      <c r="Y5158" t="str">
        <f t="shared" si="809"/>
        <v>Healthy</v>
      </c>
    </row>
    <row r="5159" spans="1:25" x14ac:dyDescent="0.35">
      <c r="A5159" t="s">
        <v>41</v>
      </c>
      <c r="B5159" t="s">
        <v>54</v>
      </c>
      <c r="C5159" t="s">
        <v>55</v>
      </c>
      <c r="D5159" t="s">
        <v>56</v>
      </c>
      <c r="E5159">
        <v>83924049</v>
      </c>
      <c r="F5159" t="s">
        <v>3185</v>
      </c>
      <c r="G5159" s="3">
        <v>47265</v>
      </c>
      <c r="H5159">
        <v>36</v>
      </c>
      <c r="I5159">
        <v>99</v>
      </c>
      <c r="J5159">
        <v>756</v>
      </c>
      <c r="K5159" s="4">
        <v>711479.16</v>
      </c>
      <c r="L5159" s="4">
        <v>187.28571428571399</v>
      </c>
      <c r="M5159" s="4">
        <v>4.0366132723112189</v>
      </c>
      <c r="N5159" t="s">
        <v>25</v>
      </c>
      <c r="O5159" t="str">
        <f t="shared" si="800"/>
        <v>Low</v>
      </c>
      <c r="P5159" t="str">
        <f t="shared" si="801"/>
        <v>Medium</v>
      </c>
      <c r="Q5159" t="str">
        <f t="shared" si="802"/>
        <v>Low</v>
      </c>
      <c r="R5159" t="s">
        <v>3309</v>
      </c>
      <c r="S5159" s="4">
        <f t="shared" ca="1" si="803"/>
        <v>1068</v>
      </c>
      <c r="T5159">
        <f t="shared" si="804"/>
        <v>1</v>
      </c>
      <c r="U5159">
        <f t="shared" si="805"/>
        <v>2</v>
      </c>
      <c r="V5159">
        <f t="shared" si="806"/>
        <v>1</v>
      </c>
      <c r="W5159">
        <f t="shared" si="807"/>
        <v>3</v>
      </c>
      <c r="X5159">
        <f t="shared" si="808"/>
        <v>1.5</v>
      </c>
      <c r="Y5159" t="str">
        <f t="shared" si="809"/>
        <v>Healthy</v>
      </c>
    </row>
    <row r="5160" spans="1:25" x14ac:dyDescent="0.35">
      <c r="A5160" t="s">
        <v>20</v>
      </c>
      <c r="B5160" t="s">
        <v>21</v>
      </c>
      <c r="C5160" t="s">
        <v>126</v>
      </c>
      <c r="D5160" t="s">
        <v>1890</v>
      </c>
      <c r="E5160">
        <v>80707401</v>
      </c>
      <c r="F5160" t="s">
        <v>3186</v>
      </c>
      <c r="G5160" s="3">
        <v>46621</v>
      </c>
      <c r="H5160">
        <v>36</v>
      </c>
      <c r="I5160">
        <v>40</v>
      </c>
      <c r="J5160">
        <v>1</v>
      </c>
      <c r="K5160" s="4">
        <v>437.78</v>
      </c>
      <c r="L5160" s="4">
        <v>38.857142857142854</v>
      </c>
      <c r="M5160" s="4">
        <v>2.5735294117647061E-2</v>
      </c>
      <c r="N5160" t="s">
        <v>25</v>
      </c>
      <c r="O5160" t="str">
        <f t="shared" si="800"/>
        <v>Low</v>
      </c>
      <c r="P5160" t="str">
        <f t="shared" si="801"/>
        <v>Low</v>
      </c>
      <c r="Q5160" t="str">
        <f t="shared" si="802"/>
        <v>Low</v>
      </c>
      <c r="R5160" t="s">
        <v>3317</v>
      </c>
      <c r="S5160" s="4">
        <f t="shared" ca="1" si="803"/>
        <v>424</v>
      </c>
      <c r="T5160">
        <f t="shared" si="804"/>
        <v>1</v>
      </c>
      <c r="U5160">
        <f t="shared" si="805"/>
        <v>1</v>
      </c>
      <c r="V5160">
        <f t="shared" si="806"/>
        <v>1</v>
      </c>
      <c r="W5160">
        <f t="shared" si="807"/>
        <v>1</v>
      </c>
      <c r="X5160">
        <f t="shared" si="808"/>
        <v>0.99999999999999989</v>
      </c>
      <c r="Y5160" t="str">
        <f t="shared" si="809"/>
        <v>Healthy</v>
      </c>
    </row>
    <row r="5161" spans="1:25" x14ac:dyDescent="0.35">
      <c r="A5161" t="s">
        <v>41</v>
      </c>
      <c r="B5161" t="s">
        <v>54</v>
      </c>
      <c r="C5161" t="s">
        <v>55</v>
      </c>
      <c r="D5161" t="s">
        <v>56</v>
      </c>
      <c r="E5161">
        <v>83924049</v>
      </c>
      <c r="F5161" t="s">
        <v>3185</v>
      </c>
      <c r="G5161" s="3">
        <v>47216</v>
      </c>
      <c r="H5161">
        <v>36</v>
      </c>
      <c r="I5161">
        <v>95</v>
      </c>
      <c r="J5161">
        <v>1</v>
      </c>
      <c r="K5161" s="4">
        <v>941.11</v>
      </c>
      <c r="L5161" s="4">
        <v>187.28571428571399</v>
      </c>
      <c r="M5161" s="4">
        <v>5.3394355453852101E-3</v>
      </c>
      <c r="N5161" t="s">
        <v>25</v>
      </c>
      <c r="O5161" t="str">
        <f t="shared" si="800"/>
        <v>Low</v>
      </c>
      <c r="P5161" t="str">
        <f t="shared" si="801"/>
        <v>Low</v>
      </c>
      <c r="Q5161" t="str">
        <f t="shared" si="802"/>
        <v>Low</v>
      </c>
      <c r="R5161" t="s">
        <v>3317</v>
      </c>
      <c r="S5161" s="4">
        <f t="shared" ca="1" si="803"/>
        <v>1019</v>
      </c>
      <c r="T5161">
        <f t="shared" si="804"/>
        <v>1</v>
      </c>
      <c r="U5161">
        <f t="shared" si="805"/>
        <v>1</v>
      </c>
      <c r="V5161">
        <f t="shared" si="806"/>
        <v>1</v>
      </c>
      <c r="W5161">
        <f t="shared" si="807"/>
        <v>1</v>
      </c>
      <c r="X5161">
        <f t="shared" si="808"/>
        <v>0.99999999999999989</v>
      </c>
      <c r="Y5161" t="str">
        <f t="shared" si="809"/>
        <v>Healthy</v>
      </c>
    </row>
    <row r="5162" spans="1:25" x14ac:dyDescent="0.35">
      <c r="A5162" t="s">
        <v>41</v>
      </c>
      <c r="B5162" t="s">
        <v>54</v>
      </c>
      <c r="C5162" t="s">
        <v>55</v>
      </c>
      <c r="D5162" t="s">
        <v>3187</v>
      </c>
      <c r="E5162">
        <v>83924017</v>
      </c>
      <c r="F5162" t="s">
        <v>3188</v>
      </c>
      <c r="G5162" s="3">
        <v>47227</v>
      </c>
      <c r="H5162">
        <v>36</v>
      </c>
      <c r="I5162">
        <v>96</v>
      </c>
      <c r="J5162">
        <v>4</v>
      </c>
      <c r="K5162" s="4">
        <v>761</v>
      </c>
      <c r="L5162" s="4">
        <v>1779.2857142857142</v>
      </c>
      <c r="M5162" s="4">
        <v>2.2480931352870334E-3</v>
      </c>
      <c r="N5162" t="s">
        <v>25</v>
      </c>
      <c r="O5162" t="str">
        <f t="shared" si="800"/>
        <v>Low</v>
      </c>
      <c r="P5162" t="str">
        <f t="shared" si="801"/>
        <v>Low</v>
      </c>
      <c r="Q5162" t="str">
        <f t="shared" si="802"/>
        <v>Low</v>
      </c>
      <c r="R5162" t="s">
        <v>3317</v>
      </c>
      <c r="S5162" s="4">
        <f t="shared" ca="1" si="803"/>
        <v>1030</v>
      </c>
      <c r="T5162">
        <f t="shared" si="804"/>
        <v>1</v>
      </c>
      <c r="U5162">
        <f t="shared" si="805"/>
        <v>1</v>
      </c>
      <c r="V5162">
        <f t="shared" si="806"/>
        <v>1</v>
      </c>
      <c r="W5162">
        <f t="shared" si="807"/>
        <v>1</v>
      </c>
      <c r="X5162">
        <f t="shared" si="808"/>
        <v>0.99999999999999989</v>
      </c>
      <c r="Y5162" t="str">
        <f t="shared" si="809"/>
        <v>Healthy</v>
      </c>
    </row>
    <row r="5163" spans="1:25" x14ac:dyDescent="0.35">
      <c r="A5163" t="s">
        <v>41</v>
      </c>
      <c r="B5163" t="s">
        <v>54</v>
      </c>
      <c r="C5163" t="s">
        <v>55</v>
      </c>
      <c r="D5163" t="s">
        <v>3189</v>
      </c>
      <c r="E5163">
        <v>83924051</v>
      </c>
      <c r="F5163" t="s">
        <v>3190</v>
      </c>
      <c r="G5163" s="3">
        <v>47246</v>
      </c>
      <c r="H5163">
        <v>36</v>
      </c>
      <c r="I5163">
        <v>98</v>
      </c>
      <c r="J5163">
        <v>57</v>
      </c>
      <c r="K5163" s="4">
        <v>10844.25</v>
      </c>
      <c r="L5163" s="4">
        <v>87.714285714285708</v>
      </c>
      <c r="M5163" s="4">
        <v>0.64983713355048867</v>
      </c>
      <c r="N5163" t="s">
        <v>25</v>
      </c>
      <c r="O5163" t="str">
        <f t="shared" si="800"/>
        <v>Low</v>
      </c>
      <c r="P5163" t="str">
        <f t="shared" si="801"/>
        <v>Low</v>
      </c>
      <c r="Q5163" t="str">
        <f t="shared" si="802"/>
        <v>Low</v>
      </c>
      <c r="R5163" t="s">
        <v>3317</v>
      </c>
      <c r="S5163" s="4">
        <f t="shared" ca="1" si="803"/>
        <v>1049</v>
      </c>
      <c r="T5163">
        <f t="shared" si="804"/>
        <v>1</v>
      </c>
      <c r="U5163">
        <f t="shared" si="805"/>
        <v>1</v>
      </c>
      <c r="V5163">
        <f t="shared" si="806"/>
        <v>1</v>
      </c>
      <c r="W5163">
        <f t="shared" si="807"/>
        <v>1</v>
      </c>
      <c r="X5163">
        <f t="shared" si="808"/>
        <v>0.99999999999999989</v>
      </c>
      <c r="Y5163" t="str">
        <f t="shared" si="809"/>
        <v>Healthy</v>
      </c>
    </row>
    <row r="5164" spans="1:25" x14ac:dyDescent="0.35">
      <c r="A5164" t="s">
        <v>41</v>
      </c>
      <c r="B5164" t="s">
        <v>42</v>
      </c>
      <c r="C5164" t="s">
        <v>43</v>
      </c>
      <c r="D5164" t="s">
        <v>177</v>
      </c>
      <c r="E5164">
        <v>83924052</v>
      </c>
      <c r="F5164" t="s">
        <v>3191</v>
      </c>
      <c r="G5164" s="3">
        <v>47263</v>
      </c>
      <c r="H5164">
        <v>36</v>
      </c>
      <c r="I5164">
        <v>99</v>
      </c>
      <c r="J5164">
        <v>1</v>
      </c>
      <c r="K5164" s="4">
        <v>340.35</v>
      </c>
      <c r="L5164" s="4">
        <v>102.85714285714286</v>
      </c>
      <c r="M5164" s="4">
        <v>9.7222222222222224E-3</v>
      </c>
      <c r="N5164" t="s">
        <v>25</v>
      </c>
      <c r="O5164" t="str">
        <f t="shared" si="800"/>
        <v>Low</v>
      </c>
      <c r="P5164" t="str">
        <f t="shared" si="801"/>
        <v>Low</v>
      </c>
      <c r="Q5164" t="str">
        <f t="shared" si="802"/>
        <v>Low</v>
      </c>
      <c r="R5164" t="s">
        <v>3317</v>
      </c>
      <c r="S5164" s="4">
        <f t="shared" ca="1" si="803"/>
        <v>1066</v>
      </c>
      <c r="T5164">
        <f t="shared" si="804"/>
        <v>1</v>
      </c>
      <c r="U5164">
        <f t="shared" si="805"/>
        <v>1</v>
      </c>
      <c r="V5164">
        <f t="shared" si="806"/>
        <v>1</v>
      </c>
      <c r="W5164">
        <f t="shared" si="807"/>
        <v>1</v>
      </c>
      <c r="X5164">
        <f t="shared" si="808"/>
        <v>0.99999999999999989</v>
      </c>
      <c r="Y5164" t="str">
        <f t="shared" si="809"/>
        <v>Healthy</v>
      </c>
    </row>
    <row r="5165" spans="1:25" x14ac:dyDescent="0.35">
      <c r="A5165" t="s">
        <v>41</v>
      </c>
      <c r="B5165" t="s">
        <v>42</v>
      </c>
      <c r="C5165" t="s">
        <v>43</v>
      </c>
      <c r="D5165" t="s">
        <v>3192</v>
      </c>
      <c r="E5165">
        <v>83924019</v>
      </c>
      <c r="F5165" t="s">
        <v>3193</v>
      </c>
      <c r="G5165" s="3">
        <v>47263</v>
      </c>
      <c r="H5165">
        <v>36</v>
      </c>
      <c r="I5165">
        <v>99</v>
      </c>
      <c r="J5165">
        <v>1668</v>
      </c>
      <c r="K5165" s="4">
        <v>279490.08</v>
      </c>
      <c r="L5165" s="4">
        <v>1258.4285714285713</v>
      </c>
      <c r="M5165" s="4">
        <v>1.3254625950732206</v>
      </c>
      <c r="N5165" t="s">
        <v>25</v>
      </c>
      <c r="O5165" t="str">
        <f t="shared" si="800"/>
        <v>Low</v>
      </c>
      <c r="P5165" t="str">
        <f t="shared" si="801"/>
        <v>Low</v>
      </c>
      <c r="Q5165" t="str">
        <f t="shared" si="802"/>
        <v>Low</v>
      </c>
      <c r="R5165" t="s">
        <v>3309</v>
      </c>
      <c r="S5165" s="4">
        <f t="shared" ca="1" si="803"/>
        <v>1066</v>
      </c>
      <c r="T5165">
        <f t="shared" si="804"/>
        <v>1</v>
      </c>
      <c r="U5165">
        <f t="shared" si="805"/>
        <v>1</v>
      </c>
      <c r="V5165">
        <f t="shared" si="806"/>
        <v>1</v>
      </c>
      <c r="W5165">
        <f t="shared" si="807"/>
        <v>3</v>
      </c>
      <c r="X5165">
        <f t="shared" si="808"/>
        <v>1.2</v>
      </c>
      <c r="Y5165" t="str">
        <f t="shared" si="809"/>
        <v>Healthy</v>
      </c>
    </row>
    <row r="5166" spans="1:25" x14ac:dyDescent="0.35">
      <c r="A5166" t="s">
        <v>41</v>
      </c>
      <c r="B5166" t="s">
        <v>42</v>
      </c>
      <c r="C5166" t="s">
        <v>43</v>
      </c>
      <c r="D5166" t="s">
        <v>3192</v>
      </c>
      <c r="E5166">
        <v>83924019</v>
      </c>
      <c r="F5166" t="s">
        <v>3193</v>
      </c>
      <c r="G5166" s="3">
        <v>47271</v>
      </c>
      <c r="H5166">
        <v>36</v>
      </c>
      <c r="I5166">
        <v>100</v>
      </c>
      <c r="J5166">
        <v>1</v>
      </c>
      <c r="K5166" s="4">
        <v>167.56</v>
      </c>
      <c r="L5166" s="4">
        <v>1258.4285714285713</v>
      </c>
      <c r="M5166" s="4">
        <v>7.9464184356907712E-4</v>
      </c>
      <c r="N5166" t="s">
        <v>25</v>
      </c>
      <c r="O5166" t="str">
        <f t="shared" si="800"/>
        <v>Low</v>
      </c>
      <c r="P5166" t="str">
        <f t="shared" si="801"/>
        <v>Low</v>
      </c>
      <c r="Q5166" t="str">
        <f t="shared" si="802"/>
        <v>Low</v>
      </c>
      <c r="R5166" t="s">
        <v>3317</v>
      </c>
      <c r="S5166" s="4">
        <f t="shared" ca="1" si="803"/>
        <v>1074</v>
      </c>
      <c r="T5166">
        <f t="shared" si="804"/>
        <v>1</v>
      </c>
      <c r="U5166">
        <f t="shared" si="805"/>
        <v>1</v>
      </c>
      <c r="V5166">
        <f t="shared" si="806"/>
        <v>1</v>
      </c>
      <c r="W5166">
        <f t="shared" si="807"/>
        <v>1</v>
      </c>
      <c r="X5166">
        <f t="shared" si="808"/>
        <v>0.99999999999999989</v>
      </c>
      <c r="Y5166" t="str">
        <f t="shared" si="809"/>
        <v>Healthy</v>
      </c>
    </row>
    <row r="5167" spans="1:25" x14ac:dyDescent="0.35">
      <c r="A5167" t="s">
        <v>41</v>
      </c>
      <c r="B5167" t="s">
        <v>54</v>
      </c>
      <c r="C5167" t="s">
        <v>55</v>
      </c>
      <c r="D5167" t="s">
        <v>2763</v>
      </c>
      <c r="E5167">
        <v>83924020</v>
      </c>
      <c r="F5167" t="s">
        <v>3194</v>
      </c>
      <c r="G5167" s="3">
        <v>47241</v>
      </c>
      <c r="H5167">
        <v>36</v>
      </c>
      <c r="I5167">
        <v>97</v>
      </c>
      <c r="J5167">
        <v>15</v>
      </c>
      <c r="K5167" s="4">
        <v>5681.25</v>
      </c>
      <c r="L5167" s="4">
        <v>23.571428571428573</v>
      </c>
      <c r="M5167" s="4">
        <v>0.63636363636363635</v>
      </c>
      <c r="N5167" t="s">
        <v>25</v>
      </c>
      <c r="O5167" t="str">
        <f t="shared" si="800"/>
        <v>Low</v>
      </c>
      <c r="P5167" t="str">
        <f t="shared" si="801"/>
        <v>Low</v>
      </c>
      <c r="Q5167" t="str">
        <f t="shared" si="802"/>
        <v>Low</v>
      </c>
      <c r="R5167" t="s">
        <v>3317</v>
      </c>
      <c r="S5167" s="4">
        <f t="shared" ca="1" si="803"/>
        <v>1044</v>
      </c>
      <c r="T5167">
        <f t="shared" si="804"/>
        <v>1</v>
      </c>
      <c r="U5167">
        <f t="shared" si="805"/>
        <v>1</v>
      </c>
      <c r="V5167">
        <f t="shared" si="806"/>
        <v>1</v>
      </c>
      <c r="W5167">
        <f t="shared" si="807"/>
        <v>1</v>
      </c>
      <c r="X5167">
        <f t="shared" si="808"/>
        <v>0.99999999999999989</v>
      </c>
      <c r="Y5167" t="str">
        <f t="shared" si="809"/>
        <v>Healthy</v>
      </c>
    </row>
    <row r="5168" spans="1:25" x14ac:dyDescent="0.35">
      <c r="A5168" t="s">
        <v>41</v>
      </c>
      <c r="B5168" t="s">
        <v>54</v>
      </c>
      <c r="C5168" t="s">
        <v>55</v>
      </c>
      <c r="D5168" t="s">
        <v>2763</v>
      </c>
      <c r="E5168">
        <v>83924020</v>
      </c>
      <c r="F5168" t="s">
        <v>3194</v>
      </c>
      <c r="G5168" s="3">
        <v>47241</v>
      </c>
      <c r="H5168">
        <v>36</v>
      </c>
      <c r="I5168">
        <v>97</v>
      </c>
      <c r="J5168">
        <v>56</v>
      </c>
      <c r="K5168" s="4">
        <v>21210</v>
      </c>
      <c r="L5168" s="4">
        <v>23.571428571428573</v>
      </c>
      <c r="M5168" s="4">
        <v>2.3757575757575755</v>
      </c>
      <c r="N5168" t="s">
        <v>25</v>
      </c>
      <c r="O5168" t="str">
        <f t="shared" si="800"/>
        <v>Low</v>
      </c>
      <c r="P5168" t="str">
        <f t="shared" si="801"/>
        <v>Low</v>
      </c>
      <c r="Q5168" t="str">
        <f t="shared" si="802"/>
        <v>Low</v>
      </c>
      <c r="R5168" t="s">
        <v>3317</v>
      </c>
      <c r="S5168" s="4">
        <f t="shared" ca="1" si="803"/>
        <v>1044</v>
      </c>
      <c r="T5168">
        <f t="shared" si="804"/>
        <v>1</v>
      </c>
      <c r="U5168">
        <f t="shared" si="805"/>
        <v>1</v>
      </c>
      <c r="V5168">
        <f t="shared" si="806"/>
        <v>1</v>
      </c>
      <c r="W5168">
        <f t="shared" si="807"/>
        <v>1</v>
      </c>
      <c r="X5168">
        <f t="shared" si="808"/>
        <v>0.99999999999999989</v>
      </c>
      <c r="Y5168" t="str">
        <f t="shared" si="809"/>
        <v>Healthy</v>
      </c>
    </row>
    <row r="5169" spans="1:25" x14ac:dyDescent="0.35">
      <c r="A5169" t="s">
        <v>41</v>
      </c>
      <c r="B5169" t="s">
        <v>54</v>
      </c>
      <c r="C5169" t="s">
        <v>55</v>
      </c>
      <c r="D5169" t="s">
        <v>2763</v>
      </c>
      <c r="E5169">
        <v>83924020</v>
      </c>
      <c r="F5169" t="s">
        <v>3194</v>
      </c>
      <c r="G5169" s="3">
        <v>47263</v>
      </c>
      <c r="H5169">
        <v>36</v>
      </c>
      <c r="I5169">
        <v>99</v>
      </c>
      <c r="J5169">
        <v>246</v>
      </c>
      <c r="K5169" s="4">
        <v>93172.5</v>
      </c>
      <c r="L5169" s="4">
        <v>23.571428571428573</v>
      </c>
      <c r="M5169" s="4">
        <v>10.436363636363636</v>
      </c>
      <c r="N5169" t="s">
        <v>19</v>
      </c>
      <c r="O5169" t="str">
        <f t="shared" si="800"/>
        <v>Low</v>
      </c>
      <c r="P5169" t="str">
        <f t="shared" si="801"/>
        <v>High</v>
      </c>
      <c r="Q5169" t="str">
        <f t="shared" si="802"/>
        <v>Low</v>
      </c>
      <c r="R5169" t="s">
        <v>3310</v>
      </c>
      <c r="S5169" s="4">
        <f t="shared" ca="1" si="803"/>
        <v>1066</v>
      </c>
      <c r="T5169">
        <f t="shared" si="804"/>
        <v>1</v>
      </c>
      <c r="U5169">
        <f t="shared" si="805"/>
        <v>3</v>
      </c>
      <c r="V5169">
        <f t="shared" si="806"/>
        <v>1</v>
      </c>
      <c r="W5169">
        <f t="shared" si="807"/>
        <v>2</v>
      </c>
      <c r="X5169">
        <f t="shared" si="808"/>
        <v>1.6999999999999997</v>
      </c>
      <c r="Y5169" t="str">
        <f t="shared" si="809"/>
        <v>Monitor</v>
      </c>
    </row>
    <row r="5170" spans="1:25" x14ac:dyDescent="0.35">
      <c r="A5170" t="s">
        <v>41</v>
      </c>
      <c r="B5170" t="s">
        <v>54</v>
      </c>
      <c r="C5170" t="s">
        <v>87</v>
      </c>
      <c r="D5170" t="s">
        <v>2262</v>
      </c>
      <c r="E5170">
        <v>83924059</v>
      </c>
      <c r="F5170" t="s">
        <v>3195</v>
      </c>
      <c r="G5170" s="3">
        <v>47210</v>
      </c>
      <c r="H5170">
        <v>36</v>
      </c>
      <c r="I5170">
        <v>94</v>
      </c>
      <c r="J5170">
        <v>45</v>
      </c>
      <c r="K5170" s="4">
        <v>10132.200000000001</v>
      </c>
      <c r="L5170" s="4">
        <v>144.42857142857142</v>
      </c>
      <c r="M5170" s="4">
        <v>0.31157270029673595</v>
      </c>
      <c r="N5170" t="s">
        <v>25</v>
      </c>
      <c r="O5170" t="str">
        <f t="shared" si="800"/>
        <v>Low</v>
      </c>
      <c r="P5170" t="str">
        <f t="shared" si="801"/>
        <v>Low</v>
      </c>
      <c r="Q5170" t="str">
        <f t="shared" si="802"/>
        <v>Low</v>
      </c>
      <c r="R5170" t="s">
        <v>3317</v>
      </c>
      <c r="S5170" s="4">
        <f t="shared" ca="1" si="803"/>
        <v>1013</v>
      </c>
      <c r="T5170">
        <f t="shared" si="804"/>
        <v>1</v>
      </c>
      <c r="U5170">
        <f t="shared" si="805"/>
        <v>1</v>
      </c>
      <c r="V5170">
        <f t="shared" si="806"/>
        <v>1</v>
      </c>
      <c r="W5170">
        <f t="shared" si="807"/>
        <v>1</v>
      </c>
      <c r="X5170">
        <f t="shared" si="808"/>
        <v>0.99999999999999989</v>
      </c>
      <c r="Y5170" t="str">
        <f t="shared" si="809"/>
        <v>Healthy</v>
      </c>
    </row>
    <row r="5171" spans="1:25" x14ac:dyDescent="0.35">
      <c r="A5171" t="s">
        <v>41</v>
      </c>
      <c r="B5171" t="s">
        <v>54</v>
      </c>
      <c r="C5171" t="s">
        <v>55</v>
      </c>
      <c r="D5171" t="s">
        <v>1069</v>
      </c>
      <c r="E5171">
        <v>83924022</v>
      </c>
      <c r="F5171" t="s">
        <v>3196</v>
      </c>
      <c r="G5171" s="3">
        <v>47248</v>
      </c>
      <c r="H5171">
        <v>36</v>
      </c>
      <c r="I5171">
        <v>98</v>
      </c>
      <c r="J5171">
        <v>1098</v>
      </c>
      <c r="K5171" s="4">
        <v>285403.14</v>
      </c>
      <c r="L5171" s="4">
        <v>675.85714285714289</v>
      </c>
      <c r="M5171" s="4">
        <v>1.6246036778693722</v>
      </c>
      <c r="N5171" t="s">
        <v>25</v>
      </c>
      <c r="O5171" t="str">
        <f t="shared" si="800"/>
        <v>Low</v>
      </c>
      <c r="P5171" t="str">
        <f t="shared" si="801"/>
        <v>Low</v>
      </c>
      <c r="Q5171" t="str">
        <f t="shared" si="802"/>
        <v>Low</v>
      </c>
      <c r="R5171" t="s">
        <v>3309</v>
      </c>
      <c r="S5171" s="4">
        <f t="shared" ca="1" si="803"/>
        <v>1051</v>
      </c>
      <c r="T5171">
        <f t="shared" si="804"/>
        <v>1</v>
      </c>
      <c r="U5171">
        <f t="shared" si="805"/>
        <v>1</v>
      </c>
      <c r="V5171">
        <f t="shared" si="806"/>
        <v>1</v>
      </c>
      <c r="W5171">
        <f t="shared" si="807"/>
        <v>3</v>
      </c>
      <c r="X5171">
        <f t="shared" si="808"/>
        <v>1.2</v>
      </c>
      <c r="Y5171" t="str">
        <f t="shared" si="809"/>
        <v>Healthy</v>
      </c>
    </row>
    <row r="5172" spans="1:25" x14ac:dyDescent="0.35">
      <c r="A5172" t="s">
        <v>41</v>
      </c>
      <c r="B5172" t="s">
        <v>54</v>
      </c>
      <c r="C5172" t="s">
        <v>87</v>
      </c>
      <c r="D5172" t="s">
        <v>454</v>
      </c>
      <c r="E5172">
        <v>83924023</v>
      </c>
      <c r="F5172" t="s">
        <v>3197</v>
      </c>
      <c r="G5172" s="3">
        <v>47217</v>
      </c>
      <c r="H5172">
        <v>36</v>
      </c>
      <c r="I5172">
        <v>95</v>
      </c>
      <c r="J5172">
        <v>3</v>
      </c>
      <c r="K5172" s="4">
        <v>675.48</v>
      </c>
      <c r="L5172" s="4">
        <v>883.14285714285711</v>
      </c>
      <c r="M5172" s="4">
        <v>3.3969589129731479E-3</v>
      </c>
      <c r="N5172" t="s">
        <v>25</v>
      </c>
      <c r="O5172" t="str">
        <f t="shared" si="800"/>
        <v>Low</v>
      </c>
      <c r="P5172" t="str">
        <f t="shared" si="801"/>
        <v>Low</v>
      </c>
      <c r="Q5172" t="str">
        <f t="shared" si="802"/>
        <v>Low</v>
      </c>
      <c r="R5172" t="s">
        <v>3317</v>
      </c>
      <c r="S5172" s="4">
        <f t="shared" ca="1" si="803"/>
        <v>1020</v>
      </c>
      <c r="T5172">
        <f t="shared" si="804"/>
        <v>1</v>
      </c>
      <c r="U5172">
        <f t="shared" si="805"/>
        <v>1</v>
      </c>
      <c r="V5172">
        <f t="shared" si="806"/>
        <v>1</v>
      </c>
      <c r="W5172">
        <f t="shared" si="807"/>
        <v>1</v>
      </c>
      <c r="X5172">
        <f t="shared" si="808"/>
        <v>0.99999999999999989</v>
      </c>
      <c r="Y5172" t="str">
        <f t="shared" si="809"/>
        <v>Healthy</v>
      </c>
    </row>
    <row r="5173" spans="1:25" x14ac:dyDescent="0.35">
      <c r="A5173" t="s">
        <v>41</v>
      </c>
      <c r="B5173" t="s">
        <v>42</v>
      </c>
      <c r="C5173" t="s">
        <v>43</v>
      </c>
      <c r="D5173" t="s">
        <v>3198</v>
      </c>
      <c r="E5173">
        <v>83924024</v>
      </c>
      <c r="F5173" t="s">
        <v>3199</v>
      </c>
      <c r="G5173" s="3">
        <v>47259</v>
      </c>
      <c r="H5173">
        <v>36</v>
      </c>
      <c r="I5173">
        <v>99</v>
      </c>
      <c r="J5173">
        <v>542</v>
      </c>
      <c r="K5173" s="4">
        <v>184469.7</v>
      </c>
      <c r="L5173" s="4">
        <v>585</v>
      </c>
      <c r="M5173" s="4">
        <v>0.92649572649572653</v>
      </c>
      <c r="N5173" t="s">
        <v>25</v>
      </c>
      <c r="O5173" t="str">
        <f t="shared" si="800"/>
        <v>Low</v>
      </c>
      <c r="P5173" t="str">
        <f t="shared" si="801"/>
        <v>Low</v>
      </c>
      <c r="Q5173" t="str">
        <f t="shared" si="802"/>
        <v>Low</v>
      </c>
      <c r="R5173" t="s">
        <v>3309</v>
      </c>
      <c r="S5173" s="4">
        <f t="shared" ca="1" si="803"/>
        <v>1062</v>
      </c>
      <c r="T5173">
        <f t="shared" si="804"/>
        <v>1</v>
      </c>
      <c r="U5173">
        <f t="shared" si="805"/>
        <v>1</v>
      </c>
      <c r="V5173">
        <f t="shared" si="806"/>
        <v>1</v>
      </c>
      <c r="W5173">
        <f t="shared" si="807"/>
        <v>3</v>
      </c>
      <c r="X5173">
        <f t="shared" si="808"/>
        <v>1.2</v>
      </c>
      <c r="Y5173" t="str">
        <f t="shared" si="809"/>
        <v>Healthy</v>
      </c>
    </row>
    <row r="5174" spans="1:25" x14ac:dyDescent="0.35">
      <c r="A5174" t="s">
        <v>41</v>
      </c>
      <c r="B5174" t="s">
        <v>42</v>
      </c>
      <c r="C5174" t="s">
        <v>43</v>
      </c>
      <c r="D5174" t="s">
        <v>3198</v>
      </c>
      <c r="E5174">
        <v>83924024</v>
      </c>
      <c r="F5174" t="s">
        <v>3199</v>
      </c>
      <c r="G5174" s="3">
        <v>47259</v>
      </c>
      <c r="H5174">
        <v>36</v>
      </c>
      <c r="I5174">
        <v>99</v>
      </c>
      <c r="J5174">
        <v>547</v>
      </c>
      <c r="K5174" s="4">
        <v>186171.45</v>
      </c>
      <c r="L5174" s="4">
        <v>585</v>
      </c>
      <c r="M5174" s="4">
        <v>0.93504273504273505</v>
      </c>
      <c r="N5174" t="s">
        <v>25</v>
      </c>
      <c r="O5174" t="str">
        <f t="shared" si="800"/>
        <v>Low</v>
      </c>
      <c r="P5174" t="str">
        <f t="shared" si="801"/>
        <v>Low</v>
      </c>
      <c r="Q5174" t="str">
        <f t="shared" si="802"/>
        <v>Low</v>
      </c>
      <c r="R5174" t="s">
        <v>3309</v>
      </c>
      <c r="S5174" s="4">
        <f t="shared" ca="1" si="803"/>
        <v>1062</v>
      </c>
      <c r="T5174">
        <f t="shared" si="804"/>
        <v>1</v>
      </c>
      <c r="U5174">
        <f t="shared" si="805"/>
        <v>1</v>
      </c>
      <c r="V5174">
        <f t="shared" si="806"/>
        <v>1</v>
      </c>
      <c r="W5174">
        <f t="shared" si="807"/>
        <v>3</v>
      </c>
      <c r="X5174">
        <f t="shared" si="808"/>
        <v>1.2</v>
      </c>
      <c r="Y5174" t="str">
        <f t="shared" si="809"/>
        <v>Healthy</v>
      </c>
    </row>
    <row r="5175" spans="1:25" x14ac:dyDescent="0.35">
      <c r="A5175" t="s">
        <v>41</v>
      </c>
      <c r="B5175" t="s">
        <v>42</v>
      </c>
      <c r="C5175" t="s">
        <v>43</v>
      </c>
      <c r="D5175" t="s">
        <v>177</v>
      </c>
      <c r="E5175">
        <v>80738966</v>
      </c>
      <c r="F5175" t="s">
        <v>3200</v>
      </c>
      <c r="G5175" s="3">
        <v>46270</v>
      </c>
      <c r="H5175">
        <v>36</v>
      </c>
      <c r="I5175">
        <v>7</v>
      </c>
      <c r="J5175">
        <v>1</v>
      </c>
      <c r="K5175" s="4">
        <v>267.05</v>
      </c>
      <c r="L5175" s="4">
        <f>0</f>
        <v>0</v>
      </c>
      <c r="M5175" s="4">
        <f>999</f>
        <v>999</v>
      </c>
      <c r="N5175" t="s">
        <v>19</v>
      </c>
      <c r="O5175" t="str">
        <f t="shared" si="800"/>
        <v>High</v>
      </c>
      <c r="P5175" t="str">
        <f t="shared" si="801"/>
        <v>High</v>
      </c>
      <c r="Q5175" t="str">
        <f t="shared" si="802"/>
        <v>High</v>
      </c>
      <c r="R5175" t="s">
        <v>3317</v>
      </c>
      <c r="S5175" s="4">
        <f t="shared" ca="1" si="803"/>
        <v>73</v>
      </c>
      <c r="T5175">
        <f t="shared" si="804"/>
        <v>3</v>
      </c>
      <c r="U5175">
        <f t="shared" si="805"/>
        <v>3</v>
      </c>
      <c r="V5175">
        <f t="shared" si="806"/>
        <v>3</v>
      </c>
      <c r="W5175">
        <f t="shared" si="807"/>
        <v>1</v>
      </c>
      <c r="X5175">
        <f t="shared" si="808"/>
        <v>2.8000000000000003</v>
      </c>
      <c r="Y5175" t="str">
        <f t="shared" si="809"/>
        <v>Move Immediately</v>
      </c>
    </row>
    <row r="5176" spans="1:25" x14ac:dyDescent="0.35">
      <c r="A5176" t="s">
        <v>41</v>
      </c>
      <c r="B5176" t="s">
        <v>42</v>
      </c>
      <c r="C5176" t="s">
        <v>43</v>
      </c>
      <c r="D5176" t="s">
        <v>2035</v>
      </c>
      <c r="E5176">
        <v>83924025</v>
      </c>
      <c r="F5176" t="s">
        <v>3201</v>
      </c>
      <c r="G5176" s="3">
        <v>47269</v>
      </c>
      <c r="H5176">
        <v>36</v>
      </c>
      <c r="I5176">
        <v>100</v>
      </c>
      <c r="J5176">
        <v>213</v>
      </c>
      <c r="K5176" s="4">
        <v>35690.28</v>
      </c>
      <c r="L5176" s="4">
        <v>265</v>
      </c>
      <c r="M5176" s="4">
        <v>0.80377358490566042</v>
      </c>
      <c r="N5176" t="s">
        <v>25</v>
      </c>
      <c r="O5176" t="str">
        <f t="shared" si="800"/>
        <v>Low</v>
      </c>
      <c r="P5176" t="str">
        <f t="shared" si="801"/>
        <v>Low</v>
      </c>
      <c r="Q5176" t="str">
        <f t="shared" si="802"/>
        <v>Low</v>
      </c>
      <c r="R5176" t="s">
        <v>3317</v>
      </c>
      <c r="S5176" s="4">
        <f t="shared" ca="1" si="803"/>
        <v>1072</v>
      </c>
      <c r="T5176">
        <f t="shared" si="804"/>
        <v>1</v>
      </c>
      <c r="U5176">
        <f t="shared" si="805"/>
        <v>1</v>
      </c>
      <c r="V5176">
        <f t="shared" si="806"/>
        <v>1</v>
      </c>
      <c r="W5176">
        <f t="shared" si="807"/>
        <v>1</v>
      </c>
      <c r="X5176">
        <f t="shared" si="808"/>
        <v>0.99999999999999989</v>
      </c>
      <c r="Y5176" t="str">
        <f t="shared" si="809"/>
        <v>Healthy</v>
      </c>
    </row>
    <row r="5177" spans="1:25" x14ac:dyDescent="0.35">
      <c r="A5177" t="s">
        <v>41</v>
      </c>
      <c r="B5177" t="s">
        <v>54</v>
      </c>
      <c r="C5177" t="s">
        <v>87</v>
      </c>
      <c r="D5177" t="s">
        <v>456</v>
      </c>
      <c r="E5177">
        <v>83924026</v>
      </c>
      <c r="F5177" t="s">
        <v>3202</v>
      </c>
      <c r="G5177" s="3">
        <v>47270</v>
      </c>
      <c r="H5177">
        <v>36</v>
      </c>
      <c r="I5177">
        <v>100</v>
      </c>
      <c r="J5177">
        <v>652</v>
      </c>
      <c r="K5177" s="4">
        <v>146804.32</v>
      </c>
      <c r="L5177" s="4">
        <v>28.142857142857142</v>
      </c>
      <c r="M5177" s="4">
        <v>23.167512690355331</v>
      </c>
      <c r="N5177" t="s">
        <v>19</v>
      </c>
      <c r="O5177" t="str">
        <f t="shared" si="800"/>
        <v>Low</v>
      </c>
      <c r="P5177" t="str">
        <f t="shared" si="801"/>
        <v>High</v>
      </c>
      <c r="Q5177" t="str">
        <f t="shared" si="802"/>
        <v>Low</v>
      </c>
      <c r="R5177" t="s">
        <v>3309</v>
      </c>
      <c r="S5177" s="4">
        <f t="shared" ca="1" si="803"/>
        <v>1073</v>
      </c>
      <c r="T5177">
        <f t="shared" si="804"/>
        <v>1</v>
      </c>
      <c r="U5177">
        <f t="shared" si="805"/>
        <v>3</v>
      </c>
      <c r="V5177">
        <f t="shared" si="806"/>
        <v>1</v>
      </c>
      <c r="W5177">
        <f t="shared" si="807"/>
        <v>3</v>
      </c>
      <c r="X5177">
        <f t="shared" si="808"/>
        <v>1.7999999999999998</v>
      </c>
      <c r="Y5177" t="str">
        <f t="shared" si="809"/>
        <v>Monitor</v>
      </c>
    </row>
    <row r="5178" spans="1:25" x14ac:dyDescent="0.35">
      <c r="A5178" t="s">
        <v>41</v>
      </c>
      <c r="B5178" t="s">
        <v>54</v>
      </c>
      <c r="C5178" t="s">
        <v>55</v>
      </c>
      <c r="D5178" t="s">
        <v>3203</v>
      </c>
      <c r="E5178">
        <v>83924027</v>
      </c>
      <c r="F5178" t="s">
        <v>3204</v>
      </c>
      <c r="G5178" s="3">
        <v>47261</v>
      </c>
      <c r="H5178">
        <v>36</v>
      </c>
      <c r="I5178">
        <v>99</v>
      </c>
      <c r="J5178">
        <v>43</v>
      </c>
      <c r="K5178" s="4">
        <v>8180.75</v>
      </c>
      <c r="L5178" s="4">
        <v>652.14285714285711</v>
      </c>
      <c r="M5178" s="4">
        <v>6.5936473165388837E-2</v>
      </c>
      <c r="N5178" t="s">
        <v>25</v>
      </c>
      <c r="O5178" t="str">
        <f t="shared" si="800"/>
        <v>Low</v>
      </c>
      <c r="P5178" t="str">
        <f t="shared" si="801"/>
        <v>Low</v>
      </c>
      <c r="Q5178" t="str">
        <f t="shared" si="802"/>
        <v>Low</v>
      </c>
      <c r="R5178" t="s">
        <v>3317</v>
      </c>
      <c r="S5178" s="4">
        <f t="shared" ca="1" si="803"/>
        <v>1064</v>
      </c>
      <c r="T5178">
        <f t="shared" si="804"/>
        <v>1</v>
      </c>
      <c r="U5178">
        <f t="shared" si="805"/>
        <v>1</v>
      </c>
      <c r="V5178">
        <f t="shared" si="806"/>
        <v>1</v>
      </c>
      <c r="W5178">
        <f t="shared" si="807"/>
        <v>1</v>
      </c>
      <c r="X5178">
        <f t="shared" si="808"/>
        <v>0.99999999999999989</v>
      </c>
      <c r="Y5178" t="str">
        <f t="shared" si="809"/>
        <v>Healthy</v>
      </c>
    </row>
    <row r="5179" spans="1:25" x14ac:dyDescent="0.35">
      <c r="A5179" t="s">
        <v>41</v>
      </c>
      <c r="B5179" t="s">
        <v>42</v>
      </c>
      <c r="C5179" t="s">
        <v>365</v>
      </c>
      <c r="D5179" t="s">
        <v>378</v>
      </c>
      <c r="E5179">
        <v>83924028</v>
      </c>
      <c r="F5179" t="s">
        <v>3205</v>
      </c>
      <c r="G5179" s="3">
        <v>47238</v>
      </c>
      <c r="H5179">
        <v>36</v>
      </c>
      <c r="I5179">
        <v>97</v>
      </c>
      <c r="J5179">
        <v>7</v>
      </c>
      <c r="K5179" s="4">
        <v>1411.13</v>
      </c>
      <c r="L5179" s="4">
        <v>69.285714285714292</v>
      </c>
      <c r="M5179" s="4">
        <v>0.10103092783505153</v>
      </c>
      <c r="N5179" t="s">
        <v>25</v>
      </c>
      <c r="O5179" t="str">
        <f t="shared" si="800"/>
        <v>Low</v>
      </c>
      <c r="P5179" t="str">
        <f t="shared" si="801"/>
        <v>Low</v>
      </c>
      <c r="Q5179" t="str">
        <f t="shared" si="802"/>
        <v>Low</v>
      </c>
      <c r="R5179" t="s">
        <v>3317</v>
      </c>
      <c r="S5179" s="4">
        <f t="shared" ca="1" si="803"/>
        <v>1041</v>
      </c>
      <c r="T5179">
        <f t="shared" si="804"/>
        <v>1</v>
      </c>
      <c r="U5179">
        <f t="shared" si="805"/>
        <v>1</v>
      </c>
      <c r="V5179">
        <f t="shared" si="806"/>
        <v>1</v>
      </c>
      <c r="W5179">
        <f t="shared" si="807"/>
        <v>1</v>
      </c>
      <c r="X5179">
        <f t="shared" si="808"/>
        <v>0.99999999999999989</v>
      </c>
      <c r="Y5179" t="str">
        <f t="shared" si="809"/>
        <v>Healthy</v>
      </c>
    </row>
    <row r="5180" spans="1:25" x14ac:dyDescent="0.35">
      <c r="A5180" t="s">
        <v>41</v>
      </c>
      <c r="B5180" t="s">
        <v>42</v>
      </c>
      <c r="C5180" t="s">
        <v>365</v>
      </c>
      <c r="D5180" t="s">
        <v>3206</v>
      </c>
      <c r="E5180">
        <v>83924066</v>
      </c>
      <c r="F5180" t="s">
        <v>3207</v>
      </c>
      <c r="G5180" s="3">
        <v>47239</v>
      </c>
      <c r="H5180">
        <v>36</v>
      </c>
      <c r="I5180">
        <v>97</v>
      </c>
      <c r="J5180">
        <v>8</v>
      </c>
      <c r="K5180" s="4">
        <v>9382.08</v>
      </c>
      <c r="L5180" s="4">
        <v>2.2857142857142856</v>
      </c>
      <c r="M5180" s="4">
        <v>3.5</v>
      </c>
      <c r="N5180" t="s">
        <v>25</v>
      </c>
      <c r="O5180" t="str">
        <f t="shared" si="800"/>
        <v>Low</v>
      </c>
      <c r="P5180" t="str">
        <f t="shared" si="801"/>
        <v>Low</v>
      </c>
      <c r="Q5180" t="str">
        <f t="shared" si="802"/>
        <v>High</v>
      </c>
      <c r="R5180" t="s">
        <v>3317</v>
      </c>
      <c r="S5180" s="4">
        <f t="shared" ca="1" si="803"/>
        <v>1042</v>
      </c>
      <c r="T5180">
        <f t="shared" si="804"/>
        <v>1</v>
      </c>
      <c r="U5180">
        <f t="shared" si="805"/>
        <v>1</v>
      </c>
      <c r="V5180">
        <f t="shared" si="806"/>
        <v>3</v>
      </c>
      <c r="W5180">
        <f t="shared" si="807"/>
        <v>1</v>
      </c>
      <c r="X5180">
        <f t="shared" si="808"/>
        <v>1.4000000000000001</v>
      </c>
      <c r="Y5180" t="str">
        <f t="shared" si="809"/>
        <v>Healthy</v>
      </c>
    </row>
    <row r="5181" spans="1:25" x14ac:dyDescent="0.35">
      <c r="A5181" t="s">
        <v>41</v>
      </c>
      <c r="B5181" t="s">
        <v>54</v>
      </c>
      <c r="C5181" t="s">
        <v>87</v>
      </c>
      <c r="D5181" t="s">
        <v>2130</v>
      </c>
      <c r="E5181">
        <v>83924031</v>
      </c>
      <c r="F5181" t="s">
        <v>3208</v>
      </c>
      <c r="G5181" s="3">
        <v>47226</v>
      </c>
      <c r="H5181">
        <v>36</v>
      </c>
      <c r="I5181">
        <v>96</v>
      </c>
      <c r="J5181">
        <v>103</v>
      </c>
      <c r="K5181" s="4">
        <v>136944.68</v>
      </c>
      <c r="L5181" s="4">
        <v>29.714285714285715</v>
      </c>
      <c r="M5181" s="4">
        <v>3.4663461538461537</v>
      </c>
      <c r="N5181" t="s">
        <v>25</v>
      </c>
      <c r="O5181" t="str">
        <f t="shared" si="800"/>
        <v>Low</v>
      </c>
      <c r="P5181" t="str">
        <f t="shared" si="801"/>
        <v>Low</v>
      </c>
      <c r="Q5181" t="str">
        <f t="shared" si="802"/>
        <v>Low</v>
      </c>
      <c r="R5181" t="s">
        <v>3309</v>
      </c>
      <c r="S5181" s="4">
        <f t="shared" ca="1" si="803"/>
        <v>1029</v>
      </c>
      <c r="T5181">
        <f t="shared" si="804"/>
        <v>1</v>
      </c>
      <c r="U5181">
        <f t="shared" si="805"/>
        <v>1</v>
      </c>
      <c r="V5181">
        <f t="shared" si="806"/>
        <v>1</v>
      </c>
      <c r="W5181">
        <f t="shared" si="807"/>
        <v>3</v>
      </c>
      <c r="X5181">
        <f t="shared" si="808"/>
        <v>1.2</v>
      </c>
      <c r="Y5181" t="str">
        <f t="shared" si="809"/>
        <v>Healthy</v>
      </c>
    </row>
    <row r="5182" spans="1:25" x14ac:dyDescent="0.35">
      <c r="A5182" t="s">
        <v>41</v>
      </c>
      <c r="B5182" t="s">
        <v>54</v>
      </c>
      <c r="C5182" t="s">
        <v>87</v>
      </c>
      <c r="D5182" t="s">
        <v>2130</v>
      </c>
      <c r="E5182">
        <v>83924031</v>
      </c>
      <c r="F5182" t="s">
        <v>3208</v>
      </c>
      <c r="G5182" s="3">
        <v>47213</v>
      </c>
      <c r="H5182">
        <v>36</v>
      </c>
      <c r="I5182">
        <v>95</v>
      </c>
      <c r="J5182">
        <v>96</v>
      </c>
      <c r="K5182" s="4">
        <v>127637.75999999999</v>
      </c>
      <c r="L5182" s="4">
        <v>29.714285714285715</v>
      </c>
      <c r="M5182" s="4">
        <v>3.2307692307692308</v>
      </c>
      <c r="N5182" t="s">
        <v>25</v>
      </c>
      <c r="O5182" t="str">
        <f t="shared" si="800"/>
        <v>Low</v>
      </c>
      <c r="P5182" t="str">
        <f t="shared" si="801"/>
        <v>Low</v>
      </c>
      <c r="Q5182" t="str">
        <f t="shared" si="802"/>
        <v>Low</v>
      </c>
      <c r="R5182" t="s">
        <v>3310</v>
      </c>
      <c r="S5182" s="4">
        <f t="shared" ca="1" si="803"/>
        <v>1016</v>
      </c>
      <c r="T5182">
        <f t="shared" si="804"/>
        <v>1</v>
      </c>
      <c r="U5182">
        <f t="shared" si="805"/>
        <v>1</v>
      </c>
      <c r="V5182">
        <f t="shared" si="806"/>
        <v>1</v>
      </c>
      <c r="W5182">
        <f t="shared" si="807"/>
        <v>2</v>
      </c>
      <c r="X5182">
        <f t="shared" si="808"/>
        <v>1.0999999999999999</v>
      </c>
      <c r="Y5182" t="str">
        <f t="shared" si="809"/>
        <v>Healthy</v>
      </c>
    </row>
    <row r="5183" spans="1:25" x14ac:dyDescent="0.35">
      <c r="A5183" t="s">
        <v>41</v>
      </c>
      <c r="B5183" t="s">
        <v>54</v>
      </c>
      <c r="C5183" t="s">
        <v>87</v>
      </c>
      <c r="D5183" t="s">
        <v>316</v>
      </c>
      <c r="E5183">
        <v>83924032</v>
      </c>
      <c r="F5183" t="s">
        <v>3209</v>
      </c>
      <c r="G5183" s="3">
        <v>47243</v>
      </c>
      <c r="H5183">
        <v>36</v>
      </c>
      <c r="I5183">
        <v>97</v>
      </c>
      <c r="J5183">
        <v>7</v>
      </c>
      <c r="K5183" s="4">
        <v>7619.78</v>
      </c>
      <c r="L5183" s="4">
        <v>4.4285714285714288</v>
      </c>
      <c r="M5183" s="4">
        <v>1.5806451612903225</v>
      </c>
      <c r="N5183" t="s">
        <v>25</v>
      </c>
      <c r="O5183" t="str">
        <f t="shared" si="800"/>
        <v>Low</v>
      </c>
      <c r="P5183" t="str">
        <f t="shared" si="801"/>
        <v>Low</v>
      </c>
      <c r="Q5183" t="str">
        <f t="shared" si="802"/>
        <v>High</v>
      </c>
      <c r="R5183" t="s">
        <v>3317</v>
      </c>
      <c r="S5183" s="4">
        <f t="shared" ca="1" si="803"/>
        <v>1046</v>
      </c>
      <c r="T5183">
        <f t="shared" si="804"/>
        <v>1</v>
      </c>
      <c r="U5183">
        <f t="shared" si="805"/>
        <v>1</v>
      </c>
      <c r="V5183">
        <f t="shared" si="806"/>
        <v>3</v>
      </c>
      <c r="W5183">
        <f t="shared" si="807"/>
        <v>1</v>
      </c>
      <c r="X5183">
        <f t="shared" si="808"/>
        <v>1.4000000000000001</v>
      </c>
      <c r="Y5183" t="str">
        <f t="shared" si="809"/>
        <v>Healthy</v>
      </c>
    </row>
    <row r="5184" spans="1:25" x14ac:dyDescent="0.35">
      <c r="A5184" t="s">
        <v>104</v>
      </c>
      <c r="B5184" t="s">
        <v>105</v>
      </c>
      <c r="C5184" t="s">
        <v>141</v>
      </c>
      <c r="D5184" t="s">
        <v>3210</v>
      </c>
      <c r="E5184">
        <v>80730687</v>
      </c>
      <c r="F5184" t="s">
        <v>3211</v>
      </c>
      <c r="G5184" s="3">
        <v>45846</v>
      </c>
      <c r="H5184">
        <v>24</v>
      </c>
      <c r="I5184">
        <v>0</v>
      </c>
      <c r="J5184">
        <v>119</v>
      </c>
      <c r="K5184" s="4">
        <v>26061</v>
      </c>
      <c r="L5184" s="4">
        <f>0</f>
        <v>0</v>
      </c>
      <c r="M5184" s="4">
        <f>999</f>
        <v>999</v>
      </c>
      <c r="N5184" t="s">
        <v>19</v>
      </c>
      <c r="O5184" t="str">
        <f t="shared" si="800"/>
        <v>High</v>
      </c>
      <c r="P5184" t="str">
        <f t="shared" si="801"/>
        <v>High</v>
      </c>
      <c r="Q5184" t="str">
        <f t="shared" si="802"/>
        <v>High</v>
      </c>
      <c r="R5184" t="s">
        <v>3317</v>
      </c>
      <c r="S5184" s="4">
        <f t="shared" ca="1" si="803"/>
        <v>-351</v>
      </c>
      <c r="T5184">
        <f t="shared" si="804"/>
        <v>3</v>
      </c>
      <c r="U5184">
        <f t="shared" si="805"/>
        <v>3</v>
      </c>
      <c r="V5184">
        <f t="shared" si="806"/>
        <v>3</v>
      </c>
      <c r="W5184">
        <f t="shared" si="807"/>
        <v>1</v>
      </c>
      <c r="X5184">
        <f t="shared" si="808"/>
        <v>2.8000000000000003</v>
      </c>
      <c r="Y5184" t="str">
        <f t="shared" si="809"/>
        <v>Move Immediately</v>
      </c>
    </row>
    <row r="5185" spans="1:25" x14ac:dyDescent="0.35">
      <c r="A5185" t="s">
        <v>41</v>
      </c>
      <c r="B5185" t="s">
        <v>54</v>
      </c>
      <c r="C5185" t="s">
        <v>55</v>
      </c>
      <c r="D5185" t="s">
        <v>3049</v>
      </c>
      <c r="E5185">
        <v>83924033</v>
      </c>
      <c r="F5185" t="s">
        <v>3212</v>
      </c>
      <c r="G5185" s="3">
        <v>47241</v>
      </c>
      <c r="H5185">
        <v>36</v>
      </c>
      <c r="I5185">
        <v>97</v>
      </c>
      <c r="J5185">
        <v>18</v>
      </c>
      <c r="K5185" s="4">
        <v>6817.5</v>
      </c>
      <c r="L5185" s="4">
        <v>18.571428571428573</v>
      </c>
      <c r="M5185" s="4">
        <v>0.96923076923076912</v>
      </c>
      <c r="N5185" t="s">
        <v>25</v>
      </c>
      <c r="O5185" t="str">
        <f t="shared" si="800"/>
        <v>Low</v>
      </c>
      <c r="P5185" t="str">
        <f t="shared" si="801"/>
        <v>Low</v>
      </c>
      <c r="Q5185" t="str">
        <f t="shared" si="802"/>
        <v>Low</v>
      </c>
      <c r="R5185" t="s">
        <v>3317</v>
      </c>
      <c r="S5185" s="4">
        <f t="shared" ca="1" si="803"/>
        <v>1044</v>
      </c>
      <c r="T5185">
        <f t="shared" si="804"/>
        <v>1</v>
      </c>
      <c r="U5185">
        <f t="shared" si="805"/>
        <v>1</v>
      </c>
      <c r="V5185">
        <f t="shared" si="806"/>
        <v>1</v>
      </c>
      <c r="W5185">
        <f t="shared" si="807"/>
        <v>1</v>
      </c>
      <c r="X5185">
        <f t="shared" si="808"/>
        <v>0.99999999999999989</v>
      </c>
      <c r="Y5185" t="str">
        <f t="shared" si="809"/>
        <v>Healthy</v>
      </c>
    </row>
    <row r="5186" spans="1:25" x14ac:dyDescent="0.35">
      <c r="A5186" t="s">
        <v>104</v>
      </c>
      <c r="B5186" t="s">
        <v>105</v>
      </c>
      <c r="C5186" t="s">
        <v>141</v>
      </c>
      <c r="D5186" t="s">
        <v>3210</v>
      </c>
      <c r="E5186">
        <v>80730687</v>
      </c>
      <c r="F5186" t="s">
        <v>3211</v>
      </c>
      <c r="G5186" s="3">
        <v>46096</v>
      </c>
      <c r="H5186">
        <v>24</v>
      </c>
      <c r="I5186">
        <v>0</v>
      </c>
      <c r="J5186">
        <v>97</v>
      </c>
      <c r="K5186" s="4">
        <v>21243</v>
      </c>
      <c r="L5186" s="4">
        <f>0</f>
        <v>0</v>
      </c>
      <c r="M5186" s="4">
        <f>999</f>
        <v>999</v>
      </c>
      <c r="N5186" t="s">
        <v>19</v>
      </c>
      <c r="O5186" t="str">
        <f t="shared" si="800"/>
        <v>High</v>
      </c>
      <c r="P5186" t="str">
        <f t="shared" si="801"/>
        <v>High</v>
      </c>
      <c r="Q5186" t="str">
        <f t="shared" si="802"/>
        <v>High</v>
      </c>
      <c r="R5186" t="s">
        <v>3317</v>
      </c>
      <c r="S5186" s="4">
        <f t="shared" ca="1" si="803"/>
        <v>-101</v>
      </c>
      <c r="T5186">
        <f t="shared" si="804"/>
        <v>3</v>
      </c>
      <c r="U5186">
        <f t="shared" si="805"/>
        <v>3</v>
      </c>
      <c r="V5186">
        <f t="shared" si="806"/>
        <v>3</v>
      </c>
      <c r="W5186">
        <f t="shared" si="807"/>
        <v>1</v>
      </c>
      <c r="X5186">
        <f t="shared" si="808"/>
        <v>2.8000000000000003</v>
      </c>
      <c r="Y5186" t="str">
        <f t="shared" si="809"/>
        <v>Move Immediately</v>
      </c>
    </row>
    <row r="5187" spans="1:25" x14ac:dyDescent="0.35">
      <c r="A5187" t="s">
        <v>41</v>
      </c>
      <c r="B5187" t="s">
        <v>54</v>
      </c>
      <c r="C5187" t="s">
        <v>55</v>
      </c>
      <c r="D5187" t="s">
        <v>3049</v>
      </c>
      <c r="E5187">
        <v>83924033</v>
      </c>
      <c r="F5187" t="s">
        <v>3212</v>
      </c>
      <c r="G5187" s="3">
        <v>47265</v>
      </c>
      <c r="H5187">
        <v>36</v>
      </c>
      <c r="I5187">
        <v>99</v>
      </c>
      <c r="J5187">
        <v>171</v>
      </c>
      <c r="K5187" s="4">
        <v>64766.25</v>
      </c>
      <c r="L5187" s="4">
        <v>18.571428571428573</v>
      </c>
      <c r="M5187" s="4">
        <v>9.207692307692307</v>
      </c>
      <c r="N5187" t="s">
        <v>19</v>
      </c>
      <c r="O5187" t="str">
        <f t="shared" ref="O5187:O5250" si="810">IF(I5187&lt;20,"High",IF(I5187&lt;40,"Medium","Low"))</f>
        <v>Low</v>
      </c>
      <c r="P5187" t="str">
        <f t="shared" ref="P5187:P5250" si="811">IF(M5187&gt;8,"High",IF(M5187&gt;4,"Medium","Low"))</f>
        <v>High</v>
      </c>
      <c r="Q5187" t="str">
        <f t="shared" ref="Q5187:Q5250" si="812">IF(L5187&lt;5,"High",IF(L5187&lt;15,"Medium","Low"))</f>
        <v>Low</v>
      </c>
      <c r="R5187" t="s">
        <v>3317</v>
      </c>
      <c r="S5187" s="4">
        <f t="shared" ref="S5187:S5250" ca="1" si="813">G5187-TODAY()</f>
        <v>1068</v>
      </c>
      <c r="T5187">
        <f t="shared" ref="T5187:T5250" si="814">IF(O5187="High",3,IF(O5187="Medium",2,1))</f>
        <v>1</v>
      </c>
      <c r="U5187">
        <f t="shared" ref="U5187:U5250" si="815">IF(P5187="High",3,IF(P5187="Medium",2,1))</f>
        <v>3</v>
      </c>
      <c r="V5187">
        <f t="shared" ref="V5187:V5250" si="816">IF(Q5187="High",3,IF(Q5187="Medium",2,1))</f>
        <v>1</v>
      </c>
      <c r="W5187">
        <f t="shared" ref="W5187:W5250" si="817">IF(R5187="High",3,IF(R5187="Medium",2,1))</f>
        <v>1</v>
      </c>
      <c r="X5187">
        <f t="shared" ref="X5187:X5250" si="818">(0.4*T5187)+(0.3*U5187)+(0.2*V5187)+(0.1*W5187)</f>
        <v>1.5999999999999999</v>
      </c>
      <c r="Y5187" t="str">
        <f t="shared" ref="Y5187:Y5250" si="819">IF(X5187&gt;=2.7,"Move Immediately",IF(X5187&gt;=2.2,"High Priority",IF(X5187&gt;=1.7,"Monitor","Healthy")))</f>
        <v>Healthy</v>
      </c>
    </row>
    <row r="5188" spans="1:25" x14ac:dyDescent="0.35">
      <c r="A5188" t="s">
        <v>41</v>
      </c>
      <c r="B5188" t="s">
        <v>54</v>
      </c>
      <c r="C5188" t="s">
        <v>55</v>
      </c>
      <c r="D5188" t="s">
        <v>1351</v>
      </c>
      <c r="E5188">
        <v>83924069</v>
      </c>
      <c r="F5188" t="s">
        <v>3213</v>
      </c>
      <c r="G5188" s="3">
        <v>47264</v>
      </c>
      <c r="H5188">
        <v>36</v>
      </c>
      <c r="I5188">
        <v>99</v>
      </c>
      <c r="J5188">
        <v>636</v>
      </c>
      <c r="K5188" s="4">
        <v>305814.24</v>
      </c>
      <c r="L5188" s="4">
        <f>0</f>
        <v>0</v>
      </c>
      <c r="M5188" s="4">
        <f>999</f>
        <v>999</v>
      </c>
      <c r="N5188" t="s">
        <v>19</v>
      </c>
      <c r="O5188" t="str">
        <f t="shared" si="810"/>
        <v>Low</v>
      </c>
      <c r="P5188" t="str">
        <f t="shared" si="811"/>
        <v>High</v>
      </c>
      <c r="Q5188" t="str">
        <f t="shared" si="812"/>
        <v>High</v>
      </c>
      <c r="R5188" t="s">
        <v>3309</v>
      </c>
      <c r="S5188" s="4">
        <f t="shared" ca="1" si="813"/>
        <v>1067</v>
      </c>
      <c r="T5188">
        <f t="shared" si="814"/>
        <v>1</v>
      </c>
      <c r="U5188">
        <f t="shared" si="815"/>
        <v>3</v>
      </c>
      <c r="V5188">
        <f t="shared" si="816"/>
        <v>3</v>
      </c>
      <c r="W5188">
        <f t="shared" si="817"/>
        <v>3</v>
      </c>
      <c r="X5188">
        <f t="shared" si="818"/>
        <v>2.2000000000000002</v>
      </c>
      <c r="Y5188" t="str">
        <f t="shared" si="819"/>
        <v>High Priority</v>
      </c>
    </row>
    <row r="5189" spans="1:25" x14ac:dyDescent="0.35">
      <c r="A5189" t="s">
        <v>41</v>
      </c>
      <c r="B5189" t="s">
        <v>42</v>
      </c>
      <c r="C5189" t="s">
        <v>43</v>
      </c>
      <c r="D5189" t="s">
        <v>1859</v>
      </c>
      <c r="E5189">
        <v>83924034</v>
      </c>
      <c r="F5189" t="s">
        <v>3214</v>
      </c>
      <c r="G5189" s="3">
        <v>47263</v>
      </c>
      <c r="H5189">
        <v>36</v>
      </c>
      <c r="I5189">
        <v>99</v>
      </c>
      <c r="J5189">
        <v>480</v>
      </c>
      <c r="K5189" s="4">
        <v>406478.4</v>
      </c>
      <c r="L5189" s="4">
        <v>182</v>
      </c>
      <c r="M5189" s="4">
        <v>2.6373626373626373</v>
      </c>
      <c r="N5189" t="s">
        <v>25</v>
      </c>
      <c r="O5189" t="str">
        <f t="shared" si="810"/>
        <v>Low</v>
      </c>
      <c r="P5189" t="str">
        <f t="shared" si="811"/>
        <v>Low</v>
      </c>
      <c r="Q5189" t="str">
        <f t="shared" si="812"/>
        <v>Low</v>
      </c>
      <c r="R5189" t="s">
        <v>3309</v>
      </c>
      <c r="S5189" s="4">
        <f t="shared" ca="1" si="813"/>
        <v>1066</v>
      </c>
      <c r="T5189">
        <f t="shared" si="814"/>
        <v>1</v>
      </c>
      <c r="U5189">
        <f t="shared" si="815"/>
        <v>1</v>
      </c>
      <c r="V5189">
        <f t="shared" si="816"/>
        <v>1</v>
      </c>
      <c r="W5189">
        <f t="shared" si="817"/>
        <v>3</v>
      </c>
      <c r="X5189">
        <f t="shared" si="818"/>
        <v>1.2</v>
      </c>
      <c r="Y5189" t="str">
        <f t="shared" si="819"/>
        <v>Healthy</v>
      </c>
    </row>
    <row r="5190" spans="1:25" x14ac:dyDescent="0.35">
      <c r="A5190" t="s">
        <v>41</v>
      </c>
      <c r="B5190" t="s">
        <v>42</v>
      </c>
      <c r="C5190" t="s">
        <v>43</v>
      </c>
      <c r="D5190" t="s">
        <v>1859</v>
      </c>
      <c r="E5190">
        <v>83924034</v>
      </c>
      <c r="F5190" t="s">
        <v>3214</v>
      </c>
      <c r="G5190" s="3">
        <v>47236</v>
      </c>
      <c r="H5190">
        <v>36</v>
      </c>
      <c r="I5190">
        <v>97</v>
      </c>
      <c r="J5190">
        <v>27</v>
      </c>
      <c r="K5190" s="4">
        <v>22864.41</v>
      </c>
      <c r="L5190" s="4">
        <v>182</v>
      </c>
      <c r="M5190" s="4">
        <v>0.14835164835164835</v>
      </c>
      <c r="N5190" t="s">
        <v>25</v>
      </c>
      <c r="O5190" t="str">
        <f t="shared" si="810"/>
        <v>Low</v>
      </c>
      <c r="P5190" t="str">
        <f t="shared" si="811"/>
        <v>Low</v>
      </c>
      <c r="Q5190" t="str">
        <f t="shared" si="812"/>
        <v>Low</v>
      </c>
      <c r="R5190" t="s">
        <v>3317</v>
      </c>
      <c r="S5190" s="4">
        <f t="shared" ca="1" si="813"/>
        <v>1039</v>
      </c>
      <c r="T5190">
        <f t="shared" si="814"/>
        <v>1</v>
      </c>
      <c r="U5190">
        <f t="shared" si="815"/>
        <v>1</v>
      </c>
      <c r="V5190">
        <f t="shared" si="816"/>
        <v>1</v>
      </c>
      <c r="W5190">
        <f t="shared" si="817"/>
        <v>1</v>
      </c>
      <c r="X5190">
        <f t="shared" si="818"/>
        <v>0.99999999999999989</v>
      </c>
      <c r="Y5190" t="str">
        <f t="shared" si="819"/>
        <v>Healthy</v>
      </c>
    </row>
    <row r="5191" spans="1:25" x14ac:dyDescent="0.35">
      <c r="A5191" t="s">
        <v>41</v>
      </c>
      <c r="B5191" t="s">
        <v>42</v>
      </c>
      <c r="C5191" t="s">
        <v>365</v>
      </c>
      <c r="D5191" t="s">
        <v>366</v>
      </c>
      <c r="E5191">
        <v>83924070</v>
      </c>
      <c r="F5191" t="s">
        <v>3215</v>
      </c>
      <c r="G5191" s="3">
        <v>47217</v>
      </c>
      <c r="H5191">
        <v>36</v>
      </c>
      <c r="I5191">
        <v>95</v>
      </c>
      <c r="J5191">
        <v>207</v>
      </c>
      <c r="K5191" s="4">
        <v>86350.05</v>
      </c>
      <c r="L5191" s="4">
        <f>0</f>
        <v>0</v>
      </c>
      <c r="M5191" s="4">
        <f>999</f>
        <v>999</v>
      </c>
      <c r="N5191" t="s">
        <v>19</v>
      </c>
      <c r="O5191" t="str">
        <f t="shared" si="810"/>
        <v>Low</v>
      </c>
      <c r="P5191" t="str">
        <f t="shared" si="811"/>
        <v>High</v>
      </c>
      <c r="Q5191" t="str">
        <f t="shared" si="812"/>
        <v>High</v>
      </c>
      <c r="R5191" t="s">
        <v>3310</v>
      </c>
      <c r="S5191" s="4">
        <f t="shared" ca="1" si="813"/>
        <v>1020</v>
      </c>
      <c r="T5191">
        <f t="shared" si="814"/>
        <v>1</v>
      </c>
      <c r="U5191">
        <f t="shared" si="815"/>
        <v>3</v>
      </c>
      <c r="V5191">
        <f t="shared" si="816"/>
        <v>3</v>
      </c>
      <c r="W5191">
        <f t="shared" si="817"/>
        <v>2</v>
      </c>
      <c r="X5191">
        <f t="shared" si="818"/>
        <v>2.1</v>
      </c>
      <c r="Y5191" t="str">
        <f t="shared" si="819"/>
        <v>Monitor</v>
      </c>
    </row>
    <row r="5192" spans="1:25" x14ac:dyDescent="0.35">
      <c r="A5192" t="s">
        <v>41</v>
      </c>
      <c r="B5192" t="s">
        <v>54</v>
      </c>
      <c r="C5192" t="s">
        <v>55</v>
      </c>
      <c r="D5192" t="s">
        <v>3216</v>
      </c>
      <c r="E5192">
        <v>83924009</v>
      </c>
      <c r="F5192" t="s">
        <v>3217</v>
      </c>
      <c r="G5192" s="3">
        <v>47226</v>
      </c>
      <c r="H5192">
        <v>36</v>
      </c>
      <c r="I5192">
        <v>96</v>
      </c>
      <c r="J5192">
        <v>40</v>
      </c>
      <c r="K5192" s="4">
        <v>15150</v>
      </c>
      <c r="L5192" s="4">
        <v>611.85714285714289</v>
      </c>
      <c r="M5192" s="4">
        <v>6.5374737333644642E-2</v>
      </c>
      <c r="N5192" t="s">
        <v>25</v>
      </c>
      <c r="O5192" t="str">
        <f t="shared" si="810"/>
        <v>Low</v>
      </c>
      <c r="P5192" t="str">
        <f t="shared" si="811"/>
        <v>Low</v>
      </c>
      <c r="Q5192" t="str">
        <f t="shared" si="812"/>
        <v>Low</v>
      </c>
      <c r="R5192" t="s">
        <v>3317</v>
      </c>
      <c r="S5192" s="4">
        <f t="shared" ca="1" si="813"/>
        <v>1029</v>
      </c>
      <c r="T5192">
        <f t="shared" si="814"/>
        <v>1</v>
      </c>
      <c r="U5192">
        <f t="shared" si="815"/>
        <v>1</v>
      </c>
      <c r="V5192">
        <f t="shared" si="816"/>
        <v>1</v>
      </c>
      <c r="W5192">
        <f t="shared" si="817"/>
        <v>1</v>
      </c>
      <c r="X5192">
        <f t="shared" si="818"/>
        <v>0.99999999999999989</v>
      </c>
      <c r="Y5192" t="str">
        <f t="shared" si="819"/>
        <v>Healthy</v>
      </c>
    </row>
    <row r="5193" spans="1:25" x14ac:dyDescent="0.35">
      <c r="A5193" t="s">
        <v>41</v>
      </c>
      <c r="B5193" t="s">
        <v>54</v>
      </c>
      <c r="C5193" t="s">
        <v>55</v>
      </c>
      <c r="D5193" t="s">
        <v>3216</v>
      </c>
      <c r="E5193">
        <v>83924009</v>
      </c>
      <c r="F5193" t="s">
        <v>3217</v>
      </c>
      <c r="G5193" s="3">
        <v>47263</v>
      </c>
      <c r="H5193">
        <v>36</v>
      </c>
      <c r="I5193">
        <v>99</v>
      </c>
      <c r="J5193">
        <v>21</v>
      </c>
      <c r="K5193" s="4">
        <v>7953.75</v>
      </c>
      <c r="L5193" s="4">
        <v>611.85714285714289</v>
      </c>
      <c r="M5193" s="4">
        <v>3.4321737100163438E-2</v>
      </c>
      <c r="N5193" t="s">
        <v>25</v>
      </c>
      <c r="O5193" t="str">
        <f t="shared" si="810"/>
        <v>Low</v>
      </c>
      <c r="P5193" t="str">
        <f t="shared" si="811"/>
        <v>Low</v>
      </c>
      <c r="Q5193" t="str">
        <f t="shared" si="812"/>
        <v>Low</v>
      </c>
      <c r="R5193" t="s">
        <v>3317</v>
      </c>
      <c r="S5193" s="4">
        <f t="shared" ca="1" si="813"/>
        <v>1066</v>
      </c>
      <c r="T5193">
        <f t="shared" si="814"/>
        <v>1</v>
      </c>
      <c r="U5193">
        <f t="shared" si="815"/>
        <v>1</v>
      </c>
      <c r="V5193">
        <f t="shared" si="816"/>
        <v>1</v>
      </c>
      <c r="W5193">
        <f t="shared" si="817"/>
        <v>1</v>
      </c>
      <c r="X5193">
        <f t="shared" si="818"/>
        <v>0.99999999999999989</v>
      </c>
      <c r="Y5193" t="str">
        <f t="shared" si="819"/>
        <v>Healthy</v>
      </c>
    </row>
    <row r="5194" spans="1:25" x14ac:dyDescent="0.35">
      <c r="A5194" t="s">
        <v>41</v>
      </c>
      <c r="B5194" t="s">
        <v>54</v>
      </c>
      <c r="C5194" t="s">
        <v>55</v>
      </c>
      <c r="D5194" t="s">
        <v>3216</v>
      </c>
      <c r="E5194">
        <v>83924009</v>
      </c>
      <c r="F5194" t="s">
        <v>3217</v>
      </c>
      <c r="G5194" s="3">
        <v>47260</v>
      </c>
      <c r="H5194">
        <v>36</v>
      </c>
      <c r="I5194">
        <v>99</v>
      </c>
      <c r="J5194">
        <v>840</v>
      </c>
      <c r="K5194" s="4">
        <v>318150</v>
      </c>
      <c r="L5194" s="4">
        <v>611.85714285714289</v>
      </c>
      <c r="M5194" s="4">
        <v>1.3728694840065374</v>
      </c>
      <c r="N5194" t="s">
        <v>25</v>
      </c>
      <c r="O5194" t="str">
        <f t="shared" si="810"/>
        <v>Low</v>
      </c>
      <c r="P5194" t="str">
        <f t="shared" si="811"/>
        <v>Low</v>
      </c>
      <c r="Q5194" t="str">
        <f t="shared" si="812"/>
        <v>Low</v>
      </c>
      <c r="R5194" t="s">
        <v>3309</v>
      </c>
      <c r="S5194" s="4">
        <f t="shared" ca="1" si="813"/>
        <v>1063</v>
      </c>
      <c r="T5194">
        <f t="shared" si="814"/>
        <v>1</v>
      </c>
      <c r="U5194">
        <f t="shared" si="815"/>
        <v>1</v>
      </c>
      <c r="V5194">
        <f t="shared" si="816"/>
        <v>1</v>
      </c>
      <c r="W5194">
        <f t="shared" si="817"/>
        <v>3</v>
      </c>
      <c r="X5194">
        <f t="shared" si="818"/>
        <v>1.2</v>
      </c>
      <c r="Y5194" t="str">
        <f t="shared" si="819"/>
        <v>Healthy</v>
      </c>
    </row>
    <row r="5195" spans="1:25" x14ac:dyDescent="0.35">
      <c r="A5195" t="s">
        <v>189</v>
      </c>
      <c r="B5195" t="s">
        <v>190</v>
      </c>
      <c r="C5195" t="s">
        <v>190</v>
      </c>
      <c r="D5195" t="s">
        <v>3218</v>
      </c>
      <c r="E5195">
        <v>83916216</v>
      </c>
      <c r="F5195" t="s">
        <v>3219</v>
      </c>
      <c r="G5195" s="3">
        <v>46702</v>
      </c>
      <c r="H5195">
        <v>18</v>
      </c>
      <c r="I5195">
        <v>94</v>
      </c>
      <c r="J5195">
        <v>36</v>
      </c>
      <c r="K5195" s="4">
        <v>19378.8</v>
      </c>
      <c r="L5195" s="4">
        <v>57.142857142857146</v>
      </c>
      <c r="M5195" s="4">
        <v>0.63</v>
      </c>
      <c r="N5195" t="s">
        <v>25</v>
      </c>
      <c r="O5195" t="str">
        <f t="shared" si="810"/>
        <v>Low</v>
      </c>
      <c r="P5195" t="str">
        <f t="shared" si="811"/>
        <v>Low</v>
      </c>
      <c r="Q5195" t="str">
        <f t="shared" si="812"/>
        <v>Low</v>
      </c>
      <c r="R5195" t="s">
        <v>3317</v>
      </c>
      <c r="S5195" s="4">
        <f t="shared" ca="1" si="813"/>
        <v>505</v>
      </c>
      <c r="T5195">
        <f t="shared" si="814"/>
        <v>1</v>
      </c>
      <c r="U5195">
        <f t="shared" si="815"/>
        <v>1</v>
      </c>
      <c r="V5195">
        <f t="shared" si="816"/>
        <v>1</v>
      </c>
      <c r="W5195">
        <f t="shared" si="817"/>
        <v>1</v>
      </c>
      <c r="X5195">
        <f t="shared" si="818"/>
        <v>0.99999999999999989</v>
      </c>
      <c r="Y5195" t="str">
        <f t="shared" si="819"/>
        <v>Healthy</v>
      </c>
    </row>
    <row r="5196" spans="1:25" x14ac:dyDescent="0.35">
      <c r="A5196" t="s">
        <v>189</v>
      </c>
      <c r="B5196" t="s">
        <v>190</v>
      </c>
      <c r="C5196" t="s">
        <v>190</v>
      </c>
      <c r="D5196" t="s">
        <v>1674</v>
      </c>
      <c r="E5196">
        <v>83916217</v>
      </c>
      <c r="F5196" t="s">
        <v>3220</v>
      </c>
      <c r="G5196" s="3">
        <v>46699</v>
      </c>
      <c r="H5196">
        <v>18</v>
      </c>
      <c r="I5196">
        <v>94</v>
      </c>
      <c r="J5196">
        <v>134</v>
      </c>
      <c r="K5196" s="4">
        <v>37568.239999999998</v>
      </c>
      <c r="L5196" s="4">
        <v>13.714285714285714</v>
      </c>
      <c r="M5196" s="4">
        <v>9.7708333333333339</v>
      </c>
      <c r="N5196" t="s">
        <v>19</v>
      </c>
      <c r="O5196" t="str">
        <f t="shared" si="810"/>
        <v>Low</v>
      </c>
      <c r="P5196" t="str">
        <f t="shared" si="811"/>
        <v>High</v>
      </c>
      <c r="Q5196" t="str">
        <f t="shared" si="812"/>
        <v>Medium</v>
      </c>
      <c r="R5196" t="s">
        <v>3317</v>
      </c>
      <c r="S5196" s="4">
        <f t="shared" ca="1" si="813"/>
        <v>502</v>
      </c>
      <c r="T5196">
        <f t="shared" si="814"/>
        <v>1</v>
      </c>
      <c r="U5196">
        <f t="shared" si="815"/>
        <v>3</v>
      </c>
      <c r="V5196">
        <f t="shared" si="816"/>
        <v>2</v>
      </c>
      <c r="W5196">
        <f t="shared" si="817"/>
        <v>1</v>
      </c>
      <c r="X5196">
        <f t="shared" si="818"/>
        <v>1.7999999999999998</v>
      </c>
      <c r="Y5196" t="str">
        <f t="shared" si="819"/>
        <v>Monitor</v>
      </c>
    </row>
    <row r="5197" spans="1:25" x14ac:dyDescent="0.35">
      <c r="A5197" t="s">
        <v>179</v>
      </c>
      <c r="B5197" t="s">
        <v>223</v>
      </c>
      <c r="C5197" t="s">
        <v>408</v>
      </c>
      <c r="D5197" t="s">
        <v>561</v>
      </c>
      <c r="E5197">
        <v>83927637</v>
      </c>
      <c r="F5197" t="s">
        <v>3221</v>
      </c>
      <c r="G5197" s="3">
        <v>46645</v>
      </c>
      <c r="H5197">
        <v>16</v>
      </c>
      <c r="I5197">
        <v>94</v>
      </c>
      <c r="J5197">
        <v>14</v>
      </c>
      <c r="K5197" s="4">
        <v>3795.4</v>
      </c>
      <c r="L5197" s="4">
        <f>0</f>
        <v>0</v>
      </c>
      <c r="M5197" s="4">
        <f>999</f>
        <v>999</v>
      </c>
      <c r="N5197" t="s">
        <v>19</v>
      </c>
      <c r="O5197" t="str">
        <f t="shared" si="810"/>
        <v>Low</v>
      </c>
      <c r="P5197" t="str">
        <f t="shared" si="811"/>
        <v>High</v>
      </c>
      <c r="Q5197" t="str">
        <f t="shared" si="812"/>
        <v>High</v>
      </c>
      <c r="R5197" t="s">
        <v>3317</v>
      </c>
      <c r="S5197" s="4">
        <f t="shared" ca="1" si="813"/>
        <v>448</v>
      </c>
      <c r="T5197">
        <f t="shared" si="814"/>
        <v>1</v>
      </c>
      <c r="U5197">
        <f t="shared" si="815"/>
        <v>3</v>
      </c>
      <c r="V5197">
        <f t="shared" si="816"/>
        <v>3</v>
      </c>
      <c r="W5197">
        <f t="shared" si="817"/>
        <v>1</v>
      </c>
      <c r="X5197">
        <f t="shared" si="818"/>
        <v>2</v>
      </c>
      <c r="Y5197" t="str">
        <f t="shared" si="819"/>
        <v>Monitor</v>
      </c>
    </row>
    <row r="5198" spans="1:25" x14ac:dyDescent="0.35">
      <c r="A5198" t="s">
        <v>179</v>
      </c>
      <c r="B5198" t="s">
        <v>223</v>
      </c>
      <c r="C5198" t="s">
        <v>408</v>
      </c>
      <c r="D5198" t="s">
        <v>561</v>
      </c>
      <c r="E5198">
        <v>83927637</v>
      </c>
      <c r="F5198" t="s">
        <v>3221</v>
      </c>
      <c r="G5198" s="3">
        <v>46646</v>
      </c>
      <c r="H5198">
        <v>16</v>
      </c>
      <c r="I5198">
        <v>95</v>
      </c>
      <c r="J5198">
        <v>90</v>
      </c>
      <c r="K5198" s="4">
        <v>24399</v>
      </c>
      <c r="L5198" s="4">
        <f>0</f>
        <v>0</v>
      </c>
      <c r="M5198" s="4">
        <f>999</f>
        <v>999</v>
      </c>
      <c r="N5198" t="s">
        <v>19</v>
      </c>
      <c r="O5198" t="str">
        <f t="shared" si="810"/>
        <v>Low</v>
      </c>
      <c r="P5198" t="str">
        <f t="shared" si="811"/>
        <v>High</v>
      </c>
      <c r="Q5198" t="str">
        <f t="shared" si="812"/>
        <v>High</v>
      </c>
      <c r="R5198" t="s">
        <v>3317</v>
      </c>
      <c r="S5198" s="4">
        <f t="shared" ca="1" si="813"/>
        <v>449</v>
      </c>
      <c r="T5198">
        <f t="shared" si="814"/>
        <v>1</v>
      </c>
      <c r="U5198">
        <f t="shared" si="815"/>
        <v>3</v>
      </c>
      <c r="V5198">
        <f t="shared" si="816"/>
        <v>3</v>
      </c>
      <c r="W5198">
        <f t="shared" si="817"/>
        <v>1</v>
      </c>
      <c r="X5198">
        <f t="shared" si="818"/>
        <v>2</v>
      </c>
      <c r="Y5198" t="str">
        <f t="shared" si="819"/>
        <v>Monitor</v>
      </c>
    </row>
    <row r="5199" spans="1:25" x14ac:dyDescent="0.35">
      <c r="A5199" t="s">
        <v>179</v>
      </c>
      <c r="B5199" t="s">
        <v>223</v>
      </c>
      <c r="C5199" t="s">
        <v>408</v>
      </c>
      <c r="D5199" t="s">
        <v>561</v>
      </c>
      <c r="E5199">
        <v>83927637</v>
      </c>
      <c r="F5199" t="s">
        <v>3221</v>
      </c>
      <c r="G5199" s="3">
        <v>46667</v>
      </c>
      <c r="H5199">
        <v>16</v>
      </c>
      <c r="I5199">
        <v>99</v>
      </c>
      <c r="J5199">
        <v>672</v>
      </c>
      <c r="K5199" s="4">
        <v>182179.20000000001</v>
      </c>
      <c r="L5199" s="4">
        <f>0</f>
        <v>0</v>
      </c>
      <c r="M5199" s="4">
        <f>999</f>
        <v>999</v>
      </c>
      <c r="N5199" t="s">
        <v>19</v>
      </c>
      <c r="O5199" t="str">
        <f t="shared" si="810"/>
        <v>Low</v>
      </c>
      <c r="P5199" t="str">
        <f t="shared" si="811"/>
        <v>High</v>
      </c>
      <c r="Q5199" t="str">
        <f t="shared" si="812"/>
        <v>High</v>
      </c>
      <c r="R5199" t="s">
        <v>3309</v>
      </c>
      <c r="S5199" s="4">
        <f t="shared" ca="1" si="813"/>
        <v>470</v>
      </c>
      <c r="T5199">
        <f t="shared" si="814"/>
        <v>1</v>
      </c>
      <c r="U5199">
        <f t="shared" si="815"/>
        <v>3</v>
      </c>
      <c r="V5199">
        <f t="shared" si="816"/>
        <v>3</v>
      </c>
      <c r="W5199">
        <f t="shared" si="817"/>
        <v>3</v>
      </c>
      <c r="X5199">
        <f t="shared" si="818"/>
        <v>2.2000000000000002</v>
      </c>
      <c r="Y5199" t="str">
        <f t="shared" si="819"/>
        <v>High Priority</v>
      </c>
    </row>
    <row r="5200" spans="1:25" x14ac:dyDescent="0.35">
      <c r="A5200" t="s">
        <v>179</v>
      </c>
      <c r="B5200" t="s">
        <v>223</v>
      </c>
      <c r="C5200" t="s">
        <v>408</v>
      </c>
      <c r="D5200" t="s">
        <v>569</v>
      </c>
      <c r="E5200">
        <v>83927641</v>
      </c>
      <c r="F5200" t="s">
        <v>3222</v>
      </c>
      <c r="G5200" s="3">
        <v>46654</v>
      </c>
      <c r="H5200">
        <v>16</v>
      </c>
      <c r="I5200">
        <v>96</v>
      </c>
      <c r="J5200">
        <v>2364</v>
      </c>
      <c r="K5200" s="4">
        <v>859408.56</v>
      </c>
      <c r="L5200" s="4">
        <f>0</f>
        <v>0</v>
      </c>
      <c r="M5200" s="4">
        <f>999</f>
        <v>999</v>
      </c>
      <c r="N5200" t="s">
        <v>19</v>
      </c>
      <c r="O5200" t="str">
        <f t="shared" si="810"/>
        <v>Low</v>
      </c>
      <c r="P5200" t="str">
        <f t="shared" si="811"/>
        <v>High</v>
      </c>
      <c r="Q5200" t="str">
        <f t="shared" si="812"/>
        <v>High</v>
      </c>
      <c r="R5200" t="s">
        <v>3309</v>
      </c>
      <c r="S5200" s="4">
        <f t="shared" ca="1" si="813"/>
        <v>457</v>
      </c>
      <c r="T5200">
        <f t="shared" si="814"/>
        <v>1</v>
      </c>
      <c r="U5200">
        <f t="shared" si="815"/>
        <v>3</v>
      </c>
      <c r="V5200">
        <f t="shared" si="816"/>
        <v>3</v>
      </c>
      <c r="W5200">
        <f t="shared" si="817"/>
        <v>3</v>
      </c>
      <c r="X5200">
        <f t="shared" si="818"/>
        <v>2.2000000000000002</v>
      </c>
      <c r="Y5200" t="str">
        <f t="shared" si="819"/>
        <v>High Priority</v>
      </c>
    </row>
    <row r="5201" spans="1:25" x14ac:dyDescent="0.35">
      <c r="A5201" t="s">
        <v>14</v>
      </c>
      <c r="B5201" t="s">
        <v>115</v>
      </c>
      <c r="C5201" t="s">
        <v>116</v>
      </c>
      <c r="D5201" t="s">
        <v>2856</v>
      </c>
      <c r="E5201">
        <v>80737757</v>
      </c>
      <c r="F5201" t="s">
        <v>3223</v>
      </c>
      <c r="G5201" s="3">
        <v>47192</v>
      </c>
      <c r="H5201">
        <v>60</v>
      </c>
      <c r="I5201">
        <v>56</v>
      </c>
      <c r="J5201">
        <v>132</v>
      </c>
      <c r="K5201" s="4">
        <v>6404.64</v>
      </c>
      <c r="L5201" s="4">
        <f>0</f>
        <v>0</v>
      </c>
      <c r="M5201" s="4">
        <f>999</f>
        <v>999</v>
      </c>
      <c r="N5201" t="s">
        <v>19</v>
      </c>
      <c r="O5201" t="str">
        <f t="shared" si="810"/>
        <v>Low</v>
      </c>
      <c r="P5201" t="str">
        <f t="shared" si="811"/>
        <v>High</v>
      </c>
      <c r="Q5201" t="str">
        <f t="shared" si="812"/>
        <v>High</v>
      </c>
      <c r="R5201" t="s">
        <v>3317</v>
      </c>
      <c r="S5201" s="4">
        <f t="shared" ca="1" si="813"/>
        <v>995</v>
      </c>
      <c r="T5201">
        <f t="shared" si="814"/>
        <v>1</v>
      </c>
      <c r="U5201">
        <f t="shared" si="815"/>
        <v>3</v>
      </c>
      <c r="V5201">
        <f t="shared" si="816"/>
        <v>3</v>
      </c>
      <c r="W5201">
        <f t="shared" si="817"/>
        <v>1</v>
      </c>
      <c r="X5201">
        <f t="shared" si="818"/>
        <v>2</v>
      </c>
      <c r="Y5201" t="str">
        <f t="shared" si="819"/>
        <v>Monitor</v>
      </c>
    </row>
    <row r="5202" spans="1:25" x14ac:dyDescent="0.35">
      <c r="A5202" t="s">
        <v>179</v>
      </c>
      <c r="B5202" t="s">
        <v>223</v>
      </c>
      <c r="C5202" t="s">
        <v>408</v>
      </c>
      <c r="D5202" t="s">
        <v>569</v>
      </c>
      <c r="E5202">
        <v>83927641</v>
      </c>
      <c r="F5202" t="s">
        <v>3222</v>
      </c>
      <c r="G5202" s="3">
        <v>46652</v>
      </c>
      <c r="H5202">
        <v>16</v>
      </c>
      <c r="I5202">
        <v>96</v>
      </c>
      <c r="J5202">
        <v>2040</v>
      </c>
      <c r="K5202" s="4">
        <v>741621.6</v>
      </c>
      <c r="L5202" s="4">
        <f>0</f>
        <v>0</v>
      </c>
      <c r="M5202" s="4">
        <f>999</f>
        <v>999</v>
      </c>
      <c r="N5202" t="s">
        <v>19</v>
      </c>
      <c r="O5202" t="str">
        <f t="shared" si="810"/>
        <v>Low</v>
      </c>
      <c r="P5202" t="str">
        <f t="shared" si="811"/>
        <v>High</v>
      </c>
      <c r="Q5202" t="str">
        <f t="shared" si="812"/>
        <v>High</v>
      </c>
      <c r="R5202" t="s">
        <v>3309</v>
      </c>
      <c r="S5202" s="4">
        <f t="shared" ca="1" si="813"/>
        <v>455</v>
      </c>
      <c r="T5202">
        <f t="shared" si="814"/>
        <v>1</v>
      </c>
      <c r="U5202">
        <f t="shared" si="815"/>
        <v>3</v>
      </c>
      <c r="V5202">
        <f t="shared" si="816"/>
        <v>3</v>
      </c>
      <c r="W5202">
        <f t="shared" si="817"/>
        <v>3</v>
      </c>
      <c r="X5202">
        <f t="shared" si="818"/>
        <v>2.2000000000000002</v>
      </c>
      <c r="Y5202" t="str">
        <f t="shared" si="819"/>
        <v>High Priority</v>
      </c>
    </row>
    <row r="5203" spans="1:25" x14ac:dyDescent="0.35">
      <c r="A5203" t="s">
        <v>179</v>
      </c>
      <c r="B5203" t="s">
        <v>223</v>
      </c>
      <c r="C5203" t="s">
        <v>408</v>
      </c>
      <c r="D5203" t="s">
        <v>569</v>
      </c>
      <c r="E5203">
        <v>83927641</v>
      </c>
      <c r="F5203" t="s">
        <v>3222</v>
      </c>
      <c r="G5203" s="3">
        <v>46647</v>
      </c>
      <c r="H5203">
        <v>16</v>
      </c>
      <c r="I5203">
        <v>95</v>
      </c>
      <c r="J5203">
        <v>440</v>
      </c>
      <c r="K5203" s="4">
        <v>159957.6</v>
      </c>
      <c r="L5203" s="4">
        <f>0</f>
        <v>0</v>
      </c>
      <c r="M5203" s="4">
        <f>999</f>
        <v>999</v>
      </c>
      <c r="N5203" t="s">
        <v>19</v>
      </c>
      <c r="O5203" t="str">
        <f t="shared" si="810"/>
        <v>Low</v>
      </c>
      <c r="P5203" t="str">
        <f t="shared" si="811"/>
        <v>High</v>
      </c>
      <c r="Q5203" t="str">
        <f t="shared" si="812"/>
        <v>High</v>
      </c>
      <c r="R5203" t="s">
        <v>3309</v>
      </c>
      <c r="S5203" s="4">
        <f t="shared" ca="1" si="813"/>
        <v>450</v>
      </c>
      <c r="T5203">
        <f t="shared" si="814"/>
        <v>1</v>
      </c>
      <c r="U5203">
        <f t="shared" si="815"/>
        <v>3</v>
      </c>
      <c r="V5203">
        <f t="shared" si="816"/>
        <v>3</v>
      </c>
      <c r="W5203">
        <f t="shared" si="817"/>
        <v>3</v>
      </c>
      <c r="X5203">
        <f t="shared" si="818"/>
        <v>2.2000000000000002</v>
      </c>
      <c r="Y5203" t="str">
        <f t="shared" si="819"/>
        <v>High Priority</v>
      </c>
    </row>
    <row r="5204" spans="1:25" x14ac:dyDescent="0.35">
      <c r="A5204" t="s">
        <v>179</v>
      </c>
      <c r="B5204" t="s">
        <v>223</v>
      </c>
      <c r="C5204" t="s">
        <v>408</v>
      </c>
      <c r="D5204" t="s">
        <v>569</v>
      </c>
      <c r="E5204">
        <v>83927641</v>
      </c>
      <c r="F5204" t="s">
        <v>3222</v>
      </c>
      <c r="G5204" s="3">
        <v>46645</v>
      </c>
      <c r="H5204">
        <v>16</v>
      </c>
      <c r="I5204">
        <v>94</v>
      </c>
      <c r="J5204">
        <v>340</v>
      </c>
      <c r="K5204" s="4">
        <v>123603.6</v>
      </c>
      <c r="L5204" s="4">
        <f>0</f>
        <v>0</v>
      </c>
      <c r="M5204" s="4">
        <f>999</f>
        <v>999</v>
      </c>
      <c r="N5204" t="s">
        <v>19</v>
      </c>
      <c r="O5204" t="str">
        <f t="shared" si="810"/>
        <v>Low</v>
      </c>
      <c r="P5204" t="str">
        <f t="shared" si="811"/>
        <v>High</v>
      </c>
      <c r="Q5204" t="str">
        <f t="shared" si="812"/>
        <v>High</v>
      </c>
      <c r="R5204" t="s">
        <v>3310</v>
      </c>
      <c r="S5204" s="4">
        <f t="shared" ca="1" si="813"/>
        <v>448</v>
      </c>
      <c r="T5204">
        <f t="shared" si="814"/>
        <v>1</v>
      </c>
      <c r="U5204">
        <f t="shared" si="815"/>
        <v>3</v>
      </c>
      <c r="V5204">
        <f t="shared" si="816"/>
        <v>3</v>
      </c>
      <c r="W5204">
        <f t="shared" si="817"/>
        <v>2</v>
      </c>
      <c r="X5204">
        <f t="shared" si="818"/>
        <v>2.1</v>
      </c>
      <c r="Y5204" t="str">
        <f t="shared" si="819"/>
        <v>Monitor</v>
      </c>
    </row>
    <row r="5205" spans="1:25" x14ac:dyDescent="0.35">
      <c r="A5205" t="s">
        <v>179</v>
      </c>
      <c r="B5205" t="s">
        <v>223</v>
      </c>
      <c r="C5205" t="s">
        <v>408</v>
      </c>
      <c r="D5205" t="s">
        <v>569</v>
      </c>
      <c r="E5205">
        <v>83927641</v>
      </c>
      <c r="F5205" t="s">
        <v>3222</v>
      </c>
      <c r="G5205" s="3">
        <v>46661</v>
      </c>
      <c r="H5205">
        <v>16</v>
      </c>
      <c r="I5205">
        <v>98</v>
      </c>
      <c r="J5205">
        <v>360</v>
      </c>
      <c r="K5205" s="4">
        <v>130874.4</v>
      </c>
      <c r="L5205" s="4">
        <f>0</f>
        <v>0</v>
      </c>
      <c r="M5205" s="4">
        <f>999</f>
        <v>999</v>
      </c>
      <c r="N5205" t="s">
        <v>19</v>
      </c>
      <c r="O5205" t="str">
        <f t="shared" si="810"/>
        <v>Low</v>
      </c>
      <c r="P5205" t="str">
        <f t="shared" si="811"/>
        <v>High</v>
      </c>
      <c r="Q5205" t="str">
        <f t="shared" si="812"/>
        <v>High</v>
      </c>
      <c r="R5205" t="s">
        <v>3310</v>
      </c>
      <c r="S5205" s="4">
        <f t="shared" ca="1" si="813"/>
        <v>464</v>
      </c>
      <c r="T5205">
        <f t="shared" si="814"/>
        <v>1</v>
      </c>
      <c r="U5205">
        <f t="shared" si="815"/>
        <v>3</v>
      </c>
      <c r="V5205">
        <f t="shared" si="816"/>
        <v>3</v>
      </c>
      <c r="W5205">
        <f t="shared" si="817"/>
        <v>2</v>
      </c>
      <c r="X5205">
        <f t="shared" si="818"/>
        <v>2.1</v>
      </c>
      <c r="Y5205" t="str">
        <f t="shared" si="819"/>
        <v>Monitor</v>
      </c>
    </row>
    <row r="5206" spans="1:25" x14ac:dyDescent="0.35">
      <c r="A5206" t="s">
        <v>179</v>
      </c>
      <c r="B5206" t="s">
        <v>223</v>
      </c>
      <c r="C5206" t="s">
        <v>408</v>
      </c>
      <c r="D5206" t="s">
        <v>569</v>
      </c>
      <c r="E5206">
        <v>83927641</v>
      </c>
      <c r="F5206" t="s">
        <v>3222</v>
      </c>
      <c r="G5206" s="3">
        <v>46663</v>
      </c>
      <c r="H5206">
        <v>16</v>
      </c>
      <c r="I5206">
        <v>98</v>
      </c>
      <c r="J5206">
        <v>96</v>
      </c>
      <c r="K5206" s="4">
        <v>34899.839999999997</v>
      </c>
      <c r="L5206" s="4">
        <f>0</f>
        <v>0</v>
      </c>
      <c r="M5206" s="4">
        <f>999</f>
        <v>999</v>
      </c>
      <c r="N5206" t="s">
        <v>19</v>
      </c>
      <c r="O5206" t="str">
        <f t="shared" si="810"/>
        <v>Low</v>
      </c>
      <c r="P5206" t="str">
        <f t="shared" si="811"/>
        <v>High</v>
      </c>
      <c r="Q5206" t="str">
        <f t="shared" si="812"/>
        <v>High</v>
      </c>
      <c r="R5206" t="s">
        <v>3317</v>
      </c>
      <c r="S5206" s="4">
        <f t="shared" ca="1" si="813"/>
        <v>466</v>
      </c>
      <c r="T5206">
        <f t="shared" si="814"/>
        <v>1</v>
      </c>
      <c r="U5206">
        <f t="shared" si="815"/>
        <v>3</v>
      </c>
      <c r="V5206">
        <f t="shared" si="816"/>
        <v>3</v>
      </c>
      <c r="W5206">
        <f t="shared" si="817"/>
        <v>1</v>
      </c>
      <c r="X5206">
        <f t="shared" si="818"/>
        <v>2</v>
      </c>
      <c r="Y5206" t="str">
        <f t="shared" si="819"/>
        <v>Monitor</v>
      </c>
    </row>
    <row r="5207" spans="1:25" x14ac:dyDescent="0.35">
      <c r="A5207" t="s">
        <v>179</v>
      </c>
      <c r="B5207" t="s">
        <v>223</v>
      </c>
      <c r="C5207" t="s">
        <v>408</v>
      </c>
      <c r="D5207" t="s">
        <v>569</v>
      </c>
      <c r="E5207">
        <v>83927641</v>
      </c>
      <c r="F5207" t="s">
        <v>3222</v>
      </c>
      <c r="G5207" s="3">
        <v>46663</v>
      </c>
      <c r="H5207">
        <v>16</v>
      </c>
      <c r="I5207">
        <v>98</v>
      </c>
      <c r="J5207">
        <v>12</v>
      </c>
      <c r="K5207" s="4">
        <v>4362.4799999999996</v>
      </c>
      <c r="L5207" s="4">
        <f>0</f>
        <v>0</v>
      </c>
      <c r="M5207" s="4">
        <f>999</f>
        <v>999</v>
      </c>
      <c r="N5207" t="s">
        <v>19</v>
      </c>
      <c r="O5207" t="str">
        <f t="shared" si="810"/>
        <v>Low</v>
      </c>
      <c r="P5207" t="str">
        <f t="shared" si="811"/>
        <v>High</v>
      </c>
      <c r="Q5207" t="str">
        <f t="shared" si="812"/>
        <v>High</v>
      </c>
      <c r="R5207" t="s">
        <v>3317</v>
      </c>
      <c r="S5207" s="4">
        <f t="shared" ca="1" si="813"/>
        <v>466</v>
      </c>
      <c r="T5207">
        <f t="shared" si="814"/>
        <v>1</v>
      </c>
      <c r="U5207">
        <f t="shared" si="815"/>
        <v>3</v>
      </c>
      <c r="V5207">
        <f t="shared" si="816"/>
        <v>3</v>
      </c>
      <c r="W5207">
        <f t="shared" si="817"/>
        <v>1</v>
      </c>
      <c r="X5207">
        <f t="shared" si="818"/>
        <v>2</v>
      </c>
      <c r="Y5207" t="str">
        <f t="shared" si="819"/>
        <v>Monitor</v>
      </c>
    </row>
    <row r="5208" spans="1:25" x14ac:dyDescent="0.35">
      <c r="A5208" t="s">
        <v>20</v>
      </c>
      <c r="B5208" t="s">
        <v>21</v>
      </c>
      <c r="C5208" t="s">
        <v>656</v>
      </c>
      <c r="D5208" t="s">
        <v>3224</v>
      </c>
      <c r="E5208">
        <v>80894428</v>
      </c>
      <c r="F5208" t="s">
        <v>3225</v>
      </c>
      <c r="G5208" s="3">
        <v>47265</v>
      </c>
      <c r="H5208">
        <v>36</v>
      </c>
      <c r="I5208">
        <v>99</v>
      </c>
      <c r="J5208">
        <v>852</v>
      </c>
      <c r="K5208" s="4">
        <v>88608</v>
      </c>
      <c r="L5208" s="4">
        <v>4633.5714285714284</v>
      </c>
      <c r="M5208" s="4">
        <v>0.18387544319408047</v>
      </c>
      <c r="N5208" t="s">
        <v>25</v>
      </c>
      <c r="O5208" t="str">
        <f t="shared" si="810"/>
        <v>Low</v>
      </c>
      <c r="P5208" t="str">
        <f t="shared" si="811"/>
        <v>Low</v>
      </c>
      <c r="Q5208" t="str">
        <f t="shared" si="812"/>
        <v>Low</v>
      </c>
      <c r="R5208" t="s">
        <v>3310</v>
      </c>
      <c r="S5208" s="4">
        <f t="shared" ca="1" si="813"/>
        <v>1068</v>
      </c>
      <c r="T5208">
        <f t="shared" si="814"/>
        <v>1</v>
      </c>
      <c r="U5208">
        <f t="shared" si="815"/>
        <v>1</v>
      </c>
      <c r="V5208">
        <f t="shared" si="816"/>
        <v>1</v>
      </c>
      <c r="W5208">
        <f t="shared" si="817"/>
        <v>2</v>
      </c>
      <c r="X5208">
        <f t="shared" si="818"/>
        <v>1.0999999999999999</v>
      </c>
      <c r="Y5208" t="str">
        <f t="shared" si="819"/>
        <v>Healthy</v>
      </c>
    </row>
    <row r="5209" spans="1:25" x14ac:dyDescent="0.35">
      <c r="A5209" t="s">
        <v>20</v>
      </c>
      <c r="B5209" t="s">
        <v>21</v>
      </c>
      <c r="C5209" t="s">
        <v>656</v>
      </c>
      <c r="D5209" t="s">
        <v>3224</v>
      </c>
      <c r="E5209">
        <v>80894428</v>
      </c>
      <c r="F5209" t="s">
        <v>3225</v>
      </c>
      <c r="G5209" s="3">
        <v>47258</v>
      </c>
      <c r="H5209">
        <v>36</v>
      </c>
      <c r="I5209">
        <v>99</v>
      </c>
      <c r="J5209">
        <v>551</v>
      </c>
      <c r="K5209" s="4">
        <v>57304</v>
      </c>
      <c r="L5209" s="4">
        <v>4633.5714285714284</v>
      </c>
      <c r="M5209" s="4">
        <v>0.11891475258208725</v>
      </c>
      <c r="N5209" t="s">
        <v>25</v>
      </c>
      <c r="O5209" t="str">
        <f t="shared" si="810"/>
        <v>Low</v>
      </c>
      <c r="P5209" t="str">
        <f t="shared" si="811"/>
        <v>Low</v>
      </c>
      <c r="Q5209" t="str">
        <f t="shared" si="812"/>
        <v>Low</v>
      </c>
      <c r="R5209" t="s">
        <v>3317</v>
      </c>
      <c r="S5209" s="4">
        <f t="shared" ca="1" si="813"/>
        <v>1061</v>
      </c>
      <c r="T5209">
        <f t="shared" si="814"/>
        <v>1</v>
      </c>
      <c r="U5209">
        <f t="shared" si="815"/>
        <v>1</v>
      </c>
      <c r="V5209">
        <f t="shared" si="816"/>
        <v>1</v>
      </c>
      <c r="W5209">
        <f t="shared" si="817"/>
        <v>1</v>
      </c>
      <c r="X5209">
        <f t="shared" si="818"/>
        <v>0.99999999999999989</v>
      </c>
      <c r="Y5209" t="str">
        <f t="shared" si="819"/>
        <v>Healthy</v>
      </c>
    </row>
    <row r="5210" spans="1:25" x14ac:dyDescent="0.35">
      <c r="A5210" t="s">
        <v>20</v>
      </c>
      <c r="B5210" t="s">
        <v>21</v>
      </c>
      <c r="C5210" t="s">
        <v>656</v>
      </c>
      <c r="D5210" t="s">
        <v>3224</v>
      </c>
      <c r="E5210">
        <v>80894428</v>
      </c>
      <c r="F5210" t="s">
        <v>3225</v>
      </c>
      <c r="G5210" s="3">
        <v>47248</v>
      </c>
      <c r="H5210">
        <v>36</v>
      </c>
      <c r="I5210">
        <v>98</v>
      </c>
      <c r="J5210">
        <v>1726</v>
      </c>
      <c r="K5210" s="4">
        <v>179504</v>
      </c>
      <c r="L5210" s="4">
        <v>4633.5714285714284</v>
      </c>
      <c r="M5210" s="4">
        <v>0.3724988438415292</v>
      </c>
      <c r="N5210" t="s">
        <v>25</v>
      </c>
      <c r="O5210" t="str">
        <f t="shared" si="810"/>
        <v>Low</v>
      </c>
      <c r="P5210" t="str">
        <f t="shared" si="811"/>
        <v>Low</v>
      </c>
      <c r="Q5210" t="str">
        <f t="shared" si="812"/>
        <v>Low</v>
      </c>
      <c r="R5210" t="s">
        <v>3309</v>
      </c>
      <c r="S5210" s="4">
        <f t="shared" ca="1" si="813"/>
        <v>1051</v>
      </c>
      <c r="T5210">
        <f t="shared" si="814"/>
        <v>1</v>
      </c>
      <c r="U5210">
        <f t="shared" si="815"/>
        <v>1</v>
      </c>
      <c r="V5210">
        <f t="shared" si="816"/>
        <v>1</v>
      </c>
      <c r="W5210">
        <f t="shared" si="817"/>
        <v>3</v>
      </c>
      <c r="X5210">
        <f t="shared" si="818"/>
        <v>1.2</v>
      </c>
      <c r="Y5210" t="str">
        <f t="shared" si="819"/>
        <v>Healthy</v>
      </c>
    </row>
    <row r="5211" spans="1:25" x14ac:dyDescent="0.35">
      <c r="A5211" t="s">
        <v>41</v>
      </c>
      <c r="B5211" t="s">
        <v>42</v>
      </c>
      <c r="C5211" t="s">
        <v>365</v>
      </c>
      <c r="D5211" t="s">
        <v>396</v>
      </c>
      <c r="E5211">
        <v>80751159</v>
      </c>
      <c r="F5211" t="s">
        <v>3226</v>
      </c>
      <c r="G5211" s="3">
        <v>46235</v>
      </c>
      <c r="H5211">
        <v>36</v>
      </c>
      <c r="I5211">
        <v>4</v>
      </c>
      <c r="J5211">
        <v>4</v>
      </c>
      <c r="K5211" s="4">
        <v>2910.76</v>
      </c>
      <c r="L5211" s="4">
        <f>0</f>
        <v>0</v>
      </c>
      <c r="M5211" s="4">
        <f>999</f>
        <v>999</v>
      </c>
      <c r="N5211" t="s">
        <v>19</v>
      </c>
      <c r="O5211" t="str">
        <f t="shared" si="810"/>
        <v>High</v>
      </c>
      <c r="P5211" t="str">
        <f t="shared" si="811"/>
        <v>High</v>
      </c>
      <c r="Q5211" t="str">
        <f t="shared" si="812"/>
        <v>High</v>
      </c>
      <c r="R5211" t="s">
        <v>3317</v>
      </c>
      <c r="S5211" s="4">
        <f t="shared" ca="1" si="813"/>
        <v>38</v>
      </c>
      <c r="T5211">
        <f t="shared" si="814"/>
        <v>3</v>
      </c>
      <c r="U5211">
        <f t="shared" si="815"/>
        <v>3</v>
      </c>
      <c r="V5211">
        <f t="shared" si="816"/>
        <v>3</v>
      </c>
      <c r="W5211">
        <f t="shared" si="817"/>
        <v>1</v>
      </c>
      <c r="X5211">
        <f t="shared" si="818"/>
        <v>2.8000000000000003</v>
      </c>
      <c r="Y5211" t="str">
        <f t="shared" si="819"/>
        <v>Move Immediately</v>
      </c>
    </row>
    <row r="5212" spans="1:25" x14ac:dyDescent="0.35">
      <c r="A5212" t="s">
        <v>29</v>
      </c>
      <c r="B5212" t="s">
        <v>30</v>
      </c>
      <c r="C5212" t="s">
        <v>449</v>
      </c>
      <c r="D5212" t="s">
        <v>3227</v>
      </c>
      <c r="E5212">
        <v>80741185</v>
      </c>
      <c r="F5212" t="s">
        <v>3228</v>
      </c>
      <c r="G5212" s="3">
        <v>47201</v>
      </c>
      <c r="H5212">
        <v>36</v>
      </c>
      <c r="I5212">
        <v>93</v>
      </c>
      <c r="J5212">
        <v>134</v>
      </c>
      <c r="K5212" s="4">
        <v>47986.74</v>
      </c>
      <c r="L5212" s="4">
        <v>308.71428571428572</v>
      </c>
      <c r="M5212" s="4">
        <v>0.43405830633965753</v>
      </c>
      <c r="N5212" t="s">
        <v>25</v>
      </c>
      <c r="O5212" t="str">
        <f t="shared" si="810"/>
        <v>Low</v>
      </c>
      <c r="P5212" t="str">
        <f t="shared" si="811"/>
        <v>Low</v>
      </c>
      <c r="Q5212" t="str">
        <f t="shared" si="812"/>
        <v>Low</v>
      </c>
      <c r="R5212" t="s">
        <v>3317</v>
      </c>
      <c r="S5212" s="4">
        <f t="shared" ca="1" si="813"/>
        <v>1004</v>
      </c>
      <c r="T5212">
        <f t="shared" si="814"/>
        <v>1</v>
      </c>
      <c r="U5212">
        <f t="shared" si="815"/>
        <v>1</v>
      </c>
      <c r="V5212">
        <f t="shared" si="816"/>
        <v>1</v>
      </c>
      <c r="W5212">
        <f t="shared" si="817"/>
        <v>1</v>
      </c>
      <c r="X5212">
        <f t="shared" si="818"/>
        <v>0.99999999999999989</v>
      </c>
      <c r="Y5212" t="str">
        <f t="shared" si="819"/>
        <v>Healthy</v>
      </c>
    </row>
    <row r="5213" spans="1:25" x14ac:dyDescent="0.35">
      <c r="A5213" t="s">
        <v>29</v>
      </c>
      <c r="B5213" t="s">
        <v>30</v>
      </c>
      <c r="C5213" t="s">
        <v>449</v>
      </c>
      <c r="D5213" t="s">
        <v>3227</v>
      </c>
      <c r="E5213">
        <v>80741185</v>
      </c>
      <c r="F5213" t="s">
        <v>3228</v>
      </c>
      <c r="G5213" s="3">
        <v>47215</v>
      </c>
      <c r="H5213">
        <v>36</v>
      </c>
      <c r="I5213">
        <v>95</v>
      </c>
      <c r="J5213">
        <v>132</v>
      </c>
      <c r="K5213" s="4">
        <v>47270.52</v>
      </c>
      <c r="L5213" s="4">
        <v>308.71428571428572</v>
      </c>
      <c r="M5213" s="4">
        <v>0.42757982415548357</v>
      </c>
      <c r="N5213" t="s">
        <v>25</v>
      </c>
      <c r="O5213" t="str">
        <f t="shared" si="810"/>
        <v>Low</v>
      </c>
      <c r="P5213" t="str">
        <f t="shared" si="811"/>
        <v>Low</v>
      </c>
      <c r="Q5213" t="str">
        <f t="shared" si="812"/>
        <v>Low</v>
      </c>
      <c r="R5213" t="s">
        <v>3317</v>
      </c>
      <c r="S5213" s="4">
        <f t="shared" ca="1" si="813"/>
        <v>1018</v>
      </c>
      <c r="T5213">
        <f t="shared" si="814"/>
        <v>1</v>
      </c>
      <c r="U5213">
        <f t="shared" si="815"/>
        <v>1</v>
      </c>
      <c r="V5213">
        <f t="shared" si="816"/>
        <v>1</v>
      </c>
      <c r="W5213">
        <f t="shared" si="817"/>
        <v>1</v>
      </c>
      <c r="X5213">
        <f t="shared" si="818"/>
        <v>0.99999999999999989</v>
      </c>
      <c r="Y5213" t="str">
        <f t="shared" si="819"/>
        <v>Healthy</v>
      </c>
    </row>
    <row r="5214" spans="1:25" x14ac:dyDescent="0.35">
      <c r="A5214" t="s">
        <v>29</v>
      </c>
      <c r="B5214" t="s">
        <v>30</v>
      </c>
      <c r="C5214" t="s">
        <v>449</v>
      </c>
      <c r="D5214" t="s">
        <v>3227</v>
      </c>
      <c r="E5214">
        <v>80741185</v>
      </c>
      <c r="F5214" t="s">
        <v>3228</v>
      </c>
      <c r="G5214" s="3">
        <v>47081</v>
      </c>
      <c r="H5214">
        <v>36</v>
      </c>
      <c r="I5214">
        <v>82</v>
      </c>
      <c r="J5214">
        <v>1</v>
      </c>
      <c r="K5214" s="4">
        <v>358.11</v>
      </c>
      <c r="L5214" s="4">
        <v>308.71428571428572</v>
      </c>
      <c r="M5214" s="4">
        <v>3.2392410920869968E-3</v>
      </c>
      <c r="N5214" t="s">
        <v>25</v>
      </c>
      <c r="O5214" t="str">
        <f t="shared" si="810"/>
        <v>Low</v>
      </c>
      <c r="P5214" t="str">
        <f t="shared" si="811"/>
        <v>Low</v>
      </c>
      <c r="Q5214" t="str">
        <f t="shared" si="812"/>
        <v>Low</v>
      </c>
      <c r="R5214" t="s">
        <v>3317</v>
      </c>
      <c r="S5214" s="4">
        <f t="shared" ca="1" si="813"/>
        <v>884</v>
      </c>
      <c r="T5214">
        <f t="shared" si="814"/>
        <v>1</v>
      </c>
      <c r="U5214">
        <f t="shared" si="815"/>
        <v>1</v>
      </c>
      <c r="V5214">
        <f t="shared" si="816"/>
        <v>1</v>
      </c>
      <c r="W5214">
        <f t="shared" si="817"/>
        <v>1</v>
      </c>
      <c r="X5214">
        <f t="shared" si="818"/>
        <v>0.99999999999999989</v>
      </c>
      <c r="Y5214" t="str">
        <f t="shared" si="819"/>
        <v>Healthy</v>
      </c>
    </row>
    <row r="5215" spans="1:25" x14ac:dyDescent="0.35">
      <c r="A5215" t="s">
        <v>29</v>
      </c>
      <c r="B5215" t="s">
        <v>30</v>
      </c>
      <c r="C5215" t="s">
        <v>449</v>
      </c>
      <c r="D5215" t="s">
        <v>3227</v>
      </c>
      <c r="E5215">
        <v>80741185</v>
      </c>
      <c r="F5215" t="s">
        <v>3228</v>
      </c>
      <c r="G5215" s="3">
        <v>46891</v>
      </c>
      <c r="H5215">
        <v>36</v>
      </c>
      <c r="I5215">
        <v>65</v>
      </c>
      <c r="J5215">
        <v>6</v>
      </c>
      <c r="K5215" s="4">
        <v>2148.66</v>
      </c>
      <c r="L5215" s="4">
        <v>308.71428571428572</v>
      </c>
      <c r="M5215" s="4">
        <v>1.9435446552521982E-2</v>
      </c>
      <c r="N5215" t="s">
        <v>25</v>
      </c>
      <c r="O5215" t="str">
        <f t="shared" si="810"/>
        <v>Low</v>
      </c>
      <c r="P5215" t="str">
        <f t="shared" si="811"/>
        <v>Low</v>
      </c>
      <c r="Q5215" t="str">
        <f t="shared" si="812"/>
        <v>Low</v>
      </c>
      <c r="R5215" t="s">
        <v>3317</v>
      </c>
      <c r="S5215" s="4">
        <f t="shared" ca="1" si="813"/>
        <v>694</v>
      </c>
      <c r="T5215">
        <f t="shared" si="814"/>
        <v>1</v>
      </c>
      <c r="U5215">
        <f t="shared" si="815"/>
        <v>1</v>
      </c>
      <c r="V5215">
        <f t="shared" si="816"/>
        <v>1</v>
      </c>
      <c r="W5215">
        <f t="shared" si="817"/>
        <v>1</v>
      </c>
      <c r="X5215">
        <f t="shared" si="818"/>
        <v>0.99999999999999989</v>
      </c>
      <c r="Y5215" t="str">
        <f t="shared" si="819"/>
        <v>Healthy</v>
      </c>
    </row>
    <row r="5216" spans="1:25" x14ac:dyDescent="0.35">
      <c r="A5216" t="s">
        <v>29</v>
      </c>
      <c r="B5216" t="s">
        <v>30</v>
      </c>
      <c r="C5216" t="s">
        <v>449</v>
      </c>
      <c r="D5216" t="s">
        <v>3227</v>
      </c>
      <c r="E5216">
        <v>80741185</v>
      </c>
      <c r="F5216" t="s">
        <v>3228</v>
      </c>
      <c r="G5216" s="3">
        <v>47192</v>
      </c>
      <c r="H5216">
        <v>36</v>
      </c>
      <c r="I5216">
        <v>93</v>
      </c>
      <c r="J5216">
        <v>38</v>
      </c>
      <c r="K5216" s="4">
        <v>13608.18</v>
      </c>
      <c r="L5216" s="4">
        <v>308.71428571428572</v>
      </c>
      <c r="M5216" s="4">
        <v>0.12309116149930588</v>
      </c>
      <c r="N5216" t="s">
        <v>25</v>
      </c>
      <c r="O5216" t="str">
        <f t="shared" si="810"/>
        <v>Low</v>
      </c>
      <c r="P5216" t="str">
        <f t="shared" si="811"/>
        <v>Low</v>
      </c>
      <c r="Q5216" t="str">
        <f t="shared" si="812"/>
        <v>Low</v>
      </c>
      <c r="R5216" t="s">
        <v>3317</v>
      </c>
      <c r="S5216" s="4">
        <f t="shared" ca="1" si="813"/>
        <v>995</v>
      </c>
      <c r="T5216">
        <f t="shared" si="814"/>
        <v>1</v>
      </c>
      <c r="U5216">
        <f t="shared" si="815"/>
        <v>1</v>
      </c>
      <c r="V5216">
        <f t="shared" si="816"/>
        <v>1</v>
      </c>
      <c r="W5216">
        <f t="shared" si="817"/>
        <v>1</v>
      </c>
      <c r="X5216">
        <f t="shared" si="818"/>
        <v>0.99999999999999989</v>
      </c>
      <c r="Y5216" t="str">
        <f t="shared" si="819"/>
        <v>Healthy</v>
      </c>
    </row>
    <row r="5217" spans="1:25" x14ac:dyDescent="0.35">
      <c r="A5217" t="s">
        <v>99</v>
      </c>
      <c r="B5217" t="s">
        <v>100</v>
      </c>
      <c r="C5217" t="s">
        <v>136</v>
      </c>
      <c r="D5217" t="s">
        <v>2367</v>
      </c>
      <c r="E5217">
        <v>80739912</v>
      </c>
      <c r="F5217" t="s">
        <v>3229</v>
      </c>
      <c r="G5217" s="3">
        <v>46715</v>
      </c>
      <c r="H5217">
        <v>36</v>
      </c>
      <c r="I5217">
        <v>48</v>
      </c>
      <c r="J5217">
        <v>3</v>
      </c>
      <c r="K5217" s="4">
        <v>568.26</v>
      </c>
      <c r="L5217" s="4">
        <f>0</f>
        <v>0</v>
      </c>
      <c r="M5217" s="4">
        <f>999</f>
        <v>999</v>
      </c>
      <c r="N5217" t="s">
        <v>19</v>
      </c>
      <c r="O5217" t="str">
        <f t="shared" si="810"/>
        <v>Low</v>
      </c>
      <c r="P5217" t="str">
        <f t="shared" si="811"/>
        <v>High</v>
      </c>
      <c r="Q5217" t="str">
        <f t="shared" si="812"/>
        <v>High</v>
      </c>
      <c r="R5217" t="s">
        <v>3317</v>
      </c>
      <c r="S5217" s="4">
        <f t="shared" ca="1" si="813"/>
        <v>518</v>
      </c>
      <c r="T5217">
        <f t="shared" si="814"/>
        <v>1</v>
      </c>
      <c r="U5217">
        <f t="shared" si="815"/>
        <v>3</v>
      </c>
      <c r="V5217">
        <f t="shared" si="816"/>
        <v>3</v>
      </c>
      <c r="W5217">
        <f t="shared" si="817"/>
        <v>1</v>
      </c>
      <c r="X5217">
        <f t="shared" si="818"/>
        <v>2</v>
      </c>
      <c r="Y5217" t="str">
        <f t="shared" si="819"/>
        <v>Monitor</v>
      </c>
    </row>
    <row r="5218" spans="1:25" x14ac:dyDescent="0.35">
      <c r="A5218" t="s">
        <v>99</v>
      </c>
      <c r="B5218" t="s">
        <v>100</v>
      </c>
      <c r="C5218" t="s">
        <v>136</v>
      </c>
      <c r="D5218" t="s">
        <v>2367</v>
      </c>
      <c r="E5218">
        <v>80739912</v>
      </c>
      <c r="F5218" t="s">
        <v>3229</v>
      </c>
      <c r="G5218" s="3">
        <v>46714</v>
      </c>
      <c r="H5218">
        <v>36</v>
      </c>
      <c r="I5218">
        <v>48</v>
      </c>
      <c r="J5218">
        <v>19</v>
      </c>
      <c r="K5218" s="4">
        <v>3598.98</v>
      </c>
      <c r="L5218" s="4">
        <f>0</f>
        <v>0</v>
      </c>
      <c r="M5218" s="4">
        <f>999</f>
        <v>999</v>
      </c>
      <c r="N5218" t="s">
        <v>19</v>
      </c>
      <c r="O5218" t="str">
        <f t="shared" si="810"/>
        <v>Low</v>
      </c>
      <c r="P5218" t="str">
        <f t="shared" si="811"/>
        <v>High</v>
      </c>
      <c r="Q5218" t="str">
        <f t="shared" si="812"/>
        <v>High</v>
      </c>
      <c r="R5218" t="s">
        <v>3317</v>
      </c>
      <c r="S5218" s="4">
        <f t="shared" ca="1" si="813"/>
        <v>517</v>
      </c>
      <c r="T5218">
        <f t="shared" si="814"/>
        <v>1</v>
      </c>
      <c r="U5218">
        <f t="shared" si="815"/>
        <v>3</v>
      </c>
      <c r="V5218">
        <f t="shared" si="816"/>
        <v>3</v>
      </c>
      <c r="W5218">
        <f t="shared" si="817"/>
        <v>1</v>
      </c>
      <c r="X5218">
        <f t="shared" si="818"/>
        <v>2</v>
      </c>
      <c r="Y5218" t="str">
        <f t="shared" si="819"/>
        <v>Monitor</v>
      </c>
    </row>
    <row r="5219" spans="1:25" x14ac:dyDescent="0.35">
      <c r="A5219" t="s">
        <v>99</v>
      </c>
      <c r="B5219" t="s">
        <v>100</v>
      </c>
      <c r="C5219" t="s">
        <v>136</v>
      </c>
      <c r="D5219" t="s">
        <v>978</v>
      </c>
      <c r="E5219">
        <v>80739910</v>
      </c>
      <c r="F5219" t="s">
        <v>3230</v>
      </c>
      <c r="G5219" s="3">
        <v>46676</v>
      </c>
      <c r="H5219">
        <v>36</v>
      </c>
      <c r="I5219">
        <v>45</v>
      </c>
      <c r="J5219">
        <v>4</v>
      </c>
      <c r="K5219" s="4">
        <v>911.96</v>
      </c>
      <c r="L5219" s="4">
        <f>0</f>
        <v>0</v>
      </c>
      <c r="M5219" s="4">
        <f>999</f>
        <v>999</v>
      </c>
      <c r="N5219" t="s">
        <v>19</v>
      </c>
      <c r="O5219" t="str">
        <f t="shared" si="810"/>
        <v>Low</v>
      </c>
      <c r="P5219" t="str">
        <f t="shared" si="811"/>
        <v>High</v>
      </c>
      <c r="Q5219" t="str">
        <f t="shared" si="812"/>
        <v>High</v>
      </c>
      <c r="R5219" t="s">
        <v>3317</v>
      </c>
      <c r="S5219" s="4">
        <f t="shared" ca="1" si="813"/>
        <v>479</v>
      </c>
      <c r="T5219">
        <f t="shared" si="814"/>
        <v>1</v>
      </c>
      <c r="U5219">
        <f t="shared" si="815"/>
        <v>3</v>
      </c>
      <c r="V5219">
        <f t="shared" si="816"/>
        <v>3</v>
      </c>
      <c r="W5219">
        <f t="shared" si="817"/>
        <v>1</v>
      </c>
      <c r="X5219">
        <f t="shared" si="818"/>
        <v>2</v>
      </c>
      <c r="Y5219" t="str">
        <f t="shared" si="819"/>
        <v>Monitor</v>
      </c>
    </row>
    <row r="5220" spans="1:25" x14ac:dyDescent="0.35">
      <c r="A5220" t="s">
        <v>104</v>
      </c>
      <c r="B5220" t="s">
        <v>105</v>
      </c>
      <c r="C5220" t="s">
        <v>697</v>
      </c>
      <c r="D5220" t="s">
        <v>1071</v>
      </c>
      <c r="E5220">
        <v>80742012</v>
      </c>
      <c r="F5220" t="s">
        <v>3231</v>
      </c>
      <c r="G5220" s="3">
        <v>45764</v>
      </c>
      <c r="H5220">
        <v>24</v>
      </c>
      <c r="I5220">
        <v>0</v>
      </c>
      <c r="J5220">
        <v>9</v>
      </c>
      <c r="K5220" s="4">
        <v>2152.71</v>
      </c>
      <c r="L5220" s="4">
        <v>37.857142857142854</v>
      </c>
      <c r="M5220" s="4">
        <v>0.2377358490566038</v>
      </c>
      <c r="N5220" t="s">
        <v>25</v>
      </c>
      <c r="O5220" t="str">
        <f t="shared" si="810"/>
        <v>High</v>
      </c>
      <c r="P5220" t="str">
        <f t="shared" si="811"/>
        <v>Low</v>
      </c>
      <c r="Q5220" t="str">
        <f t="shared" si="812"/>
        <v>Low</v>
      </c>
      <c r="R5220" t="s">
        <v>3317</v>
      </c>
      <c r="S5220" s="4">
        <f t="shared" ca="1" si="813"/>
        <v>-433</v>
      </c>
      <c r="T5220">
        <f t="shared" si="814"/>
        <v>3</v>
      </c>
      <c r="U5220">
        <f t="shared" si="815"/>
        <v>1</v>
      </c>
      <c r="V5220">
        <f t="shared" si="816"/>
        <v>1</v>
      </c>
      <c r="W5220">
        <f t="shared" si="817"/>
        <v>1</v>
      </c>
      <c r="X5220">
        <f t="shared" si="818"/>
        <v>1.8000000000000003</v>
      </c>
      <c r="Y5220" t="str">
        <f t="shared" si="819"/>
        <v>Monitor</v>
      </c>
    </row>
    <row r="5221" spans="1:25" x14ac:dyDescent="0.35">
      <c r="A5221" t="s">
        <v>104</v>
      </c>
      <c r="B5221" t="s">
        <v>105</v>
      </c>
      <c r="C5221" t="s">
        <v>697</v>
      </c>
      <c r="D5221" t="s">
        <v>1071</v>
      </c>
      <c r="E5221">
        <v>80742012</v>
      </c>
      <c r="F5221" t="s">
        <v>3231</v>
      </c>
      <c r="G5221" s="3">
        <v>46306</v>
      </c>
      <c r="H5221">
        <v>24</v>
      </c>
      <c r="I5221">
        <v>16</v>
      </c>
      <c r="J5221">
        <v>5</v>
      </c>
      <c r="K5221" s="4">
        <v>1195.95</v>
      </c>
      <c r="L5221" s="4">
        <v>37.857142857142854</v>
      </c>
      <c r="M5221" s="4">
        <v>0.13207547169811321</v>
      </c>
      <c r="N5221" t="s">
        <v>25</v>
      </c>
      <c r="O5221" t="str">
        <f t="shared" si="810"/>
        <v>High</v>
      </c>
      <c r="P5221" t="str">
        <f t="shared" si="811"/>
        <v>Low</v>
      </c>
      <c r="Q5221" t="str">
        <f t="shared" si="812"/>
        <v>Low</v>
      </c>
      <c r="R5221" t="s">
        <v>3317</v>
      </c>
      <c r="S5221" s="4">
        <f t="shared" ca="1" si="813"/>
        <v>109</v>
      </c>
      <c r="T5221">
        <f t="shared" si="814"/>
        <v>3</v>
      </c>
      <c r="U5221">
        <f t="shared" si="815"/>
        <v>1</v>
      </c>
      <c r="V5221">
        <f t="shared" si="816"/>
        <v>1</v>
      </c>
      <c r="W5221">
        <f t="shared" si="817"/>
        <v>1</v>
      </c>
      <c r="X5221">
        <f t="shared" si="818"/>
        <v>1.8000000000000003</v>
      </c>
      <c r="Y5221" t="str">
        <f t="shared" si="819"/>
        <v>Monitor</v>
      </c>
    </row>
    <row r="5222" spans="1:25" x14ac:dyDescent="0.35">
      <c r="A5222" t="s">
        <v>104</v>
      </c>
      <c r="B5222" t="s">
        <v>105</v>
      </c>
      <c r="C5222" t="s">
        <v>697</v>
      </c>
      <c r="D5222" t="s">
        <v>1071</v>
      </c>
      <c r="E5222">
        <v>80742012</v>
      </c>
      <c r="F5222" t="s">
        <v>3231</v>
      </c>
      <c r="G5222" s="3">
        <v>46323</v>
      </c>
      <c r="H5222">
        <v>24</v>
      </c>
      <c r="I5222">
        <v>18</v>
      </c>
      <c r="J5222">
        <v>56</v>
      </c>
      <c r="K5222" s="4">
        <v>13394.64</v>
      </c>
      <c r="L5222" s="4">
        <v>37.857142857142854</v>
      </c>
      <c r="M5222" s="4">
        <v>1.479245283018868</v>
      </c>
      <c r="N5222" t="s">
        <v>25</v>
      </c>
      <c r="O5222" t="str">
        <f t="shared" si="810"/>
        <v>High</v>
      </c>
      <c r="P5222" t="str">
        <f t="shared" si="811"/>
        <v>Low</v>
      </c>
      <c r="Q5222" t="str">
        <f t="shared" si="812"/>
        <v>Low</v>
      </c>
      <c r="R5222" t="s">
        <v>3317</v>
      </c>
      <c r="S5222" s="4">
        <f t="shared" ca="1" si="813"/>
        <v>126</v>
      </c>
      <c r="T5222">
        <f t="shared" si="814"/>
        <v>3</v>
      </c>
      <c r="U5222">
        <f t="shared" si="815"/>
        <v>1</v>
      </c>
      <c r="V5222">
        <f t="shared" si="816"/>
        <v>1</v>
      </c>
      <c r="W5222">
        <f t="shared" si="817"/>
        <v>1</v>
      </c>
      <c r="X5222">
        <f t="shared" si="818"/>
        <v>1.8000000000000003</v>
      </c>
      <c r="Y5222" t="str">
        <f t="shared" si="819"/>
        <v>Monitor</v>
      </c>
    </row>
    <row r="5223" spans="1:25" x14ac:dyDescent="0.35">
      <c r="A5223" t="s">
        <v>71</v>
      </c>
      <c r="B5223" t="s">
        <v>72</v>
      </c>
      <c r="C5223" t="s">
        <v>386</v>
      </c>
      <c r="D5223" t="s">
        <v>387</v>
      </c>
      <c r="E5223">
        <v>80766231</v>
      </c>
      <c r="F5223" t="s">
        <v>3232</v>
      </c>
      <c r="G5223" s="3">
        <v>46315</v>
      </c>
      <c r="H5223">
        <v>36</v>
      </c>
      <c r="I5223">
        <v>11</v>
      </c>
      <c r="J5223">
        <v>1</v>
      </c>
      <c r="K5223" s="4">
        <v>205.59</v>
      </c>
      <c r="L5223" s="4">
        <f>0</f>
        <v>0</v>
      </c>
      <c r="M5223" s="4">
        <f>999</f>
        <v>999</v>
      </c>
      <c r="N5223" t="s">
        <v>19</v>
      </c>
      <c r="O5223" t="str">
        <f t="shared" si="810"/>
        <v>High</v>
      </c>
      <c r="P5223" t="str">
        <f t="shared" si="811"/>
        <v>High</v>
      </c>
      <c r="Q5223" t="str">
        <f t="shared" si="812"/>
        <v>High</v>
      </c>
      <c r="R5223" t="s">
        <v>3317</v>
      </c>
      <c r="S5223" s="4">
        <f t="shared" ca="1" si="813"/>
        <v>118</v>
      </c>
      <c r="T5223">
        <f t="shared" si="814"/>
        <v>3</v>
      </c>
      <c r="U5223">
        <f t="shared" si="815"/>
        <v>3</v>
      </c>
      <c r="V5223">
        <f t="shared" si="816"/>
        <v>3</v>
      </c>
      <c r="W5223">
        <f t="shared" si="817"/>
        <v>1</v>
      </c>
      <c r="X5223">
        <f t="shared" si="818"/>
        <v>2.8000000000000003</v>
      </c>
      <c r="Y5223" t="str">
        <f t="shared" si="819"/>
        <v>Move Immediately</v>
      </c>
    </row>
    <row r="5224" spans="1:25" x14ac:dyDescent="0.35">
      <c r="A5224" t="s">
        <v>46</v>
      </c>
      <c r="B5224" t="s">
        <v>129</v>
      </c>
      <c r="C5224" t="s">
        <v>1748</v>
      </c>
      <c r="D5224" t="s">
        <v>2741</v>
      </c>
      <c r="E5224">
        <v>80753178</v>
      </c>
      <c r="F5224" t="s">
        <v>3233</v>
      </c>
      <c r="G5224" s="3">
        <v>46993</v>
      </c>
      <c r="H5224">
        <v>36</v>
      </c>
      <c r="I5224">
        <v>74</v>
      </c>
      <c r="J5224">
        <v>1</v>
      </c>
      <c r="K5224" s="4">
        <v>247.71</v>
      </c>
      <c r="L5224" s="4">
        <v>208.85714285714286</v>
      </c>
      <c r="M5224" s="4">
        <v>4.7879616963064295E-3</v>
      </c>
      <c r="N5224" t="s">
        <v>25</v>
      </c>
      <c r="O5224" t="str">
        <f t="shared" si="810"/>
        <v>Low</v>
      </c>
      <c r="P5224" t="str">
        <f t="shared" si="811"/>
        <v>Low</v>
      </c>
      <c r="Q5224" t="str">
        <f t="shared" si="812"/>
        <v>Low</v>
      </c>
      <c r="R5224" t="s">
        <v>3317</v>
      </c>
      <c r="S5224" s="4">
        <f t="shared" ca="1" si="813"/>
        <v>796</v>
      </c>
      <c r="T5224">
        <f t="shared" si="814"/>
        <v>1</v>
      </c>
      <c r="U5224">
        <f t="shared" si="815"/>
        <v>1</v>
      </c>
      <c r="V5224">
        <f t="shared" si="816"/>
        <v>1</v>
      </c>
      <c r="W5224">
        <f t="shared" si="817"/>
        <v>1</v>
      </c>
      <c r="X5224">
        <f t="shared" si="818"/>
        <v>0.99999999999999989</v>
      </c>
      <c r="Y5224" t="str">
        <f t="shared" si="819"/>
        <v>Healthy</v>
      </c>
    </row>
    <row r="5225" spans="1:25" x14ac:dyDescent="0.35">
      <c r="A5225" t="s">
        <v>46</v>
      </c>
      <c r="B5225" t="s">
        <v>129</v>
      </c>
      <c r="C5225" t="s">
        <v>1748</v>
      </c>
      <c r="D5225" t="s">
        <v>2741</v>
      </c>
      <c r="E5225">
        <v>80753178</v>
      </c>
      <c r="F5225" t="s">
        <v>3233</v>
      </c>
      <c r="G5225" s="3">
        <v>47010</v>
      </c>
      <c r="H5225">
        <v>36</v>
      </c>
      <c r="I5225">
        <v>76</v>
      </c>
      <c r="J5225">
        <v>6</v>
      </c>
      <c r="K5225" s="4">
        <v>1486.26</v>
      </c>
      <c r="L5225" s="4">
        <v>208.85714285714286</v>
      </c>
      <c r="M5225" s="4">
        <v>2.8727770177838577E-2</v>
      </c>
      <c r="N5225" t="s">
        <v>25</v>
      </c>
      <c r="O5225" t="str">
        <f t="shared" si="810"/>
        <v>Low</v>
      </c>
      <c r="P5225" t="str">
        <f t="shared" si="811"/>
        <v>Low</v>
      </c>
      <c r="Q5225" t="str">
        <f t="shared" si="812"/>
        <v>Low</v>
      </c>
      <c r="R5225" t="s">
        <v>3317</v>
      </c>
      <c r="S5225" s="4">
        <f t="shared" ca="1" si="813"/>
        <v>813</v>
      </c>
      <c r="T5225">
        <f t="shared" si="814"/>
        <v>1</v>
      </c>
      <c r="U5225">
        <f t="shared" si="815"/>
        <v>1</v>
      </c>
      <c r="V5225">
        <f t="shared" si="816"/>
        <v>1</v>
      </c>
      <c r="W5225">
        <f t="shared" si="817"/>
        <v>1</v>
      </c>
      <c r="X5225">
        <f t="shared" si="818"/>
        <v>0.99999999999999989</v>
      </c>
      <c r="Y5225" t="str">
        <f t="shared" si="819"/>
        <v>Healthy</v>
      </c>
    </row>
    <row r="5226" spans="1:25" x14ac:dyDescent="0.35">
      <c r="A5226" t="s">
        <v>14</v>
      </c>
      <c r="B5226" t="s">
        <v>960</v>
      </c>
      <c r="C5226" t="s">
        <v>961</v>
      </c>
      <c r="D5226" t="s">
        <v>962</v>
      </c>
      <c r="E5226">
        <v>80764161</v>
      </c>
      <c r="F5226" t="s">
        <v>3234</v>
      </c>
      <c r="G5226" s="3">
        <v>47416</v>
      </c>
      <c r="H5226">
        <v>60</v>
      </c>
      <c r="I5226">
        <v>68</v>
      </c>
      <c r="J5226">
        <v>6</v>
      </c>
      <c r="K5226" s="4">
        <v>61.44</v>
      </c>
      <c r="L5226" s="4">
        <v>2722.5714285714284</v>
      </c>
      <c r="M5226" s="4">
        <v>2.2037989295833772E-3</v>
      </c>
      <c r="N5226" t="s">
        <v>25</v>
      </c>
      <c r="O5226" t="str">
        <f t="shared" si="810"/>
        <v>Low</v>
      </c>
      <c r="P5226" t="str">
        <f t="shared" si="811"/>
        <v>Low</v>
      </c>
      <c r="Q5226" t="str">
        <f t="shared" si="812"/>
        <v>Low</v>
      </c>
      <c r="R5226" t="s">
        <v>3317</v>
      </c>
      <c r="S5226" s="4">
        <f t="shared" ca="1" si="813"/>
        <v>1219</v>
      </c>
      <c r="T5226">
        <f t="shared" si="814"/>
        <v>1</v>
      </c>
      <c r="U5226">
        <f t="shared" si="815"/>
        <v>1</v>
      </c>
      <c r="V5226">
        <f t="shared" si="816"/>
        <v>1</v>
      </c>
      <c r="W5226">
        <f t="shared" si="817"/>
        <v>1</v>
      </c>
      <c r="X5226">
        <f t="shared" si="818"/>
        <v>0.99999999999999989</v>
      </c>
      <c r="Y5226" t="str">
        <f t="shared" si="819"/>
        <v>Healthy</v>
      </c>
    </row>
    <row r="5227" spans="1:25" x14ac:dyDescent="0.35">
      <c r="A5227" t="s">
        <v>41</v>
      </c>
      <c r="B5227" t="s">
        <v>54</v>
      </c>
      <c r="C5227" t="s">
        <v>87</v>
      </c>
      <c r="D5227" t="s">
        <v>124</v>
      </c>
      <c r="E5227">
        <v>80773362</v>
      </c>
      <c r="F5227" t="s">
        <v>3235</v>
      </c>
      <c r="G5227" s="3">
        <v>46344</v>
      </c>
      <c r="H5227">
        <v>36</v>
      </c>
      <c r="I5227">
        <v>14</v>
      </c>
      <c r="J5227">
        <v>42</v>
      </c>
      <c r="K5227" s="4">
        <v>16274.16</v>
      </c>
      <c r="L5227" s="4">
        <v>15.142857142857142</v>
      </c>
      <c r="M5227" s="4">
        <v>2.7735849056603774</v>
      </c>
      <c r="N5227" t="s">
        <v>25</v>
      </c>
      <c r="O5227" t="str">
        <f t="shared" si="810"/>
        <v>High</v>
      </c>
      <c r="P5227" t="str">
        <f t="shared" si="811"/>
        <v>Low</v>
      </c>
      <c r="Q5227" t="str">
        <f t="shared" si="812"/>
        <v>Low</v>
      </c>
      <c r="R5227" t="s">
        <v>3317</v>
      </c>
      <c r="S5227" s="4">
        <f t="shared" ca="1" si="813"/>
        <v>147</v>
      </c>
      <c r="T5227">
        <f t="shared" si="814"/>
        <v>3</v>
      </c>
      <c r="U5227">
        <f t="shared" si="815"/>
        <v>1</v>
      </c>
      <c r="V5227">
        <f t="shared" si="816"/>
        <v>1</v>
      </c>
      <c r="W5227">
        <f t="shared" si="817"/>
        <v>1</v>
      </c>
      <c r="X5227">
        <f t="shared" si="818"/>
        <v>1.8000000000000003</v>
      </c>
      <c r="Y5227" t="str">
        <f t="shared" si="819"/>
        <v>Monitor</v>
      </c>
    </row>
    <row r="5228" spans="1:25" x14ac:dyDescent="0.35">
      <c r="A5228" t="s">
        <v>14</v>
      </c>
      <c r="B5228" t="s">
        <v>58</v>
      </c>
      <c r="C5228" t="s">
        <v>806</v>
      </c>
      <c r="D5228" t="s">
        <v>3236</v>
      </c>
      <c r="E5228">
        <v>80763237</v>
      </c>
      <c r="F5228" t="s">
        <v>3237</v>
      </c>
      <c r="G5228" s="3">
        <v>47674</v>
      </c>
      <c r="H5228">
        <v>60</v>
      </c>
      <c r="I5228">
        <v>82</v>
      </c>
      <c r="J5228">
        <v>6</v>
      </c>
      <c r="K5228" s="4">
        <v>8223.18</v>
      </c>
      <c r="L5228" s="4">
        <v>6.8571428571428568</v>
      </c>
      <c r="M5228" s="4">
        <v>0.875</v>
      </c>
      <c r="N5228" t="s">
        <v>25</v>
      </c>
      <c r="O5228" t="str">
        <f t="shared" si="810"/>
        <v>Low</v>
      </c>
      <c r="P5228" t="str">
        <f t="shared" si="811"/>
        <v>Low</v>
      </c>
      <c r="Q5228" t="str">
        <f t="shared" si="812"/>
        <v>Medium</v>
      </c>
      <c r="R5228" t="s">
        <v>3317</v>
      </c>
      <c r="S5228" s="4">
        <f t="shared" ca="1" si="813"/>
        <v>1477</v>
      </c>
      <c r="T5228">
        <f t="shared" si="814"/>
        <v>1</v>
      </c>
      <c r="U5228">
        <f t="shared" si="815"/>
        <v>1</v>
      </c>
      <c r="V5228">
        <f t="shared" si="816"/>
        <v>2</v>
      </c>
      <c r="W5228">
        <f t="shared" si="817"/>
        <v>1</v>
      </c>
      <c r="X5228">
        <f t="shared" si="818"/>
        <v>1.2000000000000002</v>
      </c>
      <c r="Y5228" t="str">
        <f t="shared" si="819"/>
        <v>Healthy</v>
      </c>
    </row>
    <row r="5229" spans="1:25" x14ac:dyDescent="0.35">
      <c r="A5229" t="s">
        <v>71</v>
      </c>
      <c r="B5229" t="s">
        <v>72</v>
      </c>
      <c r="C5229" t="s">
        <v>73</v>
      </c>
      <c r="D5229" t="s">
        <v>235</v>
      </c>
      <c r="E5229">
        <v>80763152</v>
      </c>
      <c r="F5229" t="s">
        <v>3238</v>
      </c>
      <c r="G5229" s="3">
        <v>46543</v>
      </c>
      <c r="H5229">
        <v>36</v>
      </c>
      <c r="I5229">
        <v>33</v>
      </c>
      <c r="J5229">
        <v>2</v>
      </c>
      <c r="K5229" s="4">
        <v>2080.1999999999998</v>
      </c>
      <c r="L5229" s="4">
        <f>0</f>
        <v>0</v>
      </c>
      <c r="M5229" s="4">
        <f>999</f>
        <v>999</v>
      </c>
      <c r="N5229" t="s">
        <v>19</v>
      </c>
      <c r="O5229" t="str">
        <f t="shared" si="810"/>
        <v>Medium</v>
      </c>
      <c r="P5229" t="str">
        <f t="shared" si="811"/>
        <v>High</v>
      </c>
      <c r="Q5229" t="str">
        <f t="shared" si="812"/>
        <v>High</v>
      </c>
      <c r="R5229" t="s">
        <v>3317</v>
      </c>
      <c r="S5229" s="4">
        <f t="shared" ca="1" si="813"/>
        <v>346</v>
      </c>
      <c r="T5229">
        <f t="shared" si="814"/>
        <v>2</v>
      </c>
      <c r="U5229">
        <f t="shared" si="815"/>
        <v>3</v>
      </c>
      <c r="V5229">
        <f t="shared" si="816"/>
        <v>3</v>
      </c>
      <c r="W5229">
        <f t="shared" si="817"/>
        <v>1</v>
      </c>
      <c r="X5229">
        <f t="shared" si="818"/>
        <v>2.4</v>
      </c>
      <c r="Y5229" t="str">
        <f t="shared" si="819"/>
        <v>High Priority</v>
      </c>
    </row>
    <row r="5230" spans="1:25" x14ac:dyDescent="0.35">
      <c r="A5230" t="s">
        <v>71</v>
      </c>
      <c r="B5230" t="s">
        <v>72</v>
      </c>
      <c r="C5230" t="s">
        <v>73</v>
      </c>
      <c r="D5230" t="s">
        <v>235</v>
      </c>
      <c r="E5230">
        <v>80763152</v>
      </c>
      <c r="F5230" t="s">
        <v>3238</v>
      </c>
      <c r="G5230" s="3">
        <v>46551</v>
      </c>
      <c r="H5230">
        <v>36</v>
      </c>
      <c r="I5230">
        <v>33</v>
      </c>
      <c r="J5230">
        <v>1</v>
      </c>
      <c r="K5230" s="4">
        <v>1040.0999999999999</v>
      </c>
      <c r="L5230" s="4">
        <f>0</f>
        <v>0</v>
      </c>
      <c r="M5230" s="4">
        <f>999</f>
        <v>999</v>
      </c>
      <c r="N5230" t="s">
        <v>19</v>
      </c>
      <c r="O5230" t="str">
        <f t="shared" si="810"/>
        <v>Medium</v>
      </c>
      <c r="P5230" t="str">
        <f t="shared" si="811"/>
        <v>High</v>
      </c>
      <c r="Q5230" t="str">
        <f t="shared" si="812"/>
        <v>High</v>
      </c>
      <c r="R5230" t="s">
        <v>3317</v>
      </c>
      <c r="S5230" s="4">
        <f t="shared" ca="1" si="813"/>
        <v>354</v>
      </c>
      <c r="T5230">
        <f t="shared" si="814"/>
        <v>2</v>
      </c>
      <c r="U5230">
        <f t="shared" si="815"/>
        <v>3</v>
      </c>
      <c r="V5230">
        <f t="shared" si="816"/>
        <v>3</v>
      </c>
      <c r="W5230">
        <f t="shared" si="817"/>
        <v>1</v>
      </c>
      <c r="X5230">
        <f t="shared" si="818"/>
        <v>2.4</v>
      </c>
      <c r="Y5230" t="str">
        <f t="shared" si="819"/>
        <v>High Priority</v>
      </c>
    </row>
    <row r="5231" spans="1:25" x14ac:dyDescent="0.35">
      <c r="A5231" t="s">
        <v>71</v>
      </c>
      <c r="B5231" t="s">
        <v>72</v>
      </c>
      <c r="C5231" t="s">
        <v>73</v>
      </c>
      <c r="D5231" t="s">
        <v>235</v>
      </c>
      <c r="E5231">
        <v>80763152</v>
      </c>
      <c r="F5231" t="s">
        <v>3238</v>
      </c>
      <c r="G5231" s="3">
        <v>46551</v>
      </c>
      <c r="H5231">
        <v>36</v>
      </c>
      <c r="I5231">
        <v>33</v>
      </c>
      <c r="J5231">
        <v>1</v>
      </c>
      <c r="K5231" s="4">
        <v>1040.0999999999999</v>
      </c>
      <c r="L5231" s="4">
        <f>0</f>
        <v>0</v>
      </c>
      <c r="M5231" s="4">
        <f>999</f>
        <v>999</v>
      </c>
      <c r="N5231" t="s">
        <v>19</v>
      </c>
      <c r="O5231" t="str">
        <f t="shared" si="810"/>
        <v>Medium</v>
      </c>
      <c r="P5231" t="str">
        <f t="shared" si="811"/>
        <v>High</v>
      </c>
      <c r="Q5231" t="str">
        <f t="shared" si="812"/>
        <v>High</v>
      </c>
      <c r="R5231" t="s">
        <v>3317</v>
      </c>
      <c r="S5231" s="4">
        <f t="shared" ca="1" si="813"/>
        <v>354</v>
      </c>
      <c r="T5231">
        <f t="shared" si="814"/>
        <v>2</v>
      </c>
      <c r="U5231">
        <f t="shared" si="815"/>
        <v>3</v>
      </c>
      <c r="V5231">
        <f t="shared" si="816"/>
        <v>3</v>
      </c>
      <c r="W5231">
        <f t="shared" si="817"/>
        <v>1</v>
      </c>
      <c r="X5231">
        <f t="shared" si="818"/>
        <v>2.4</v>
      </c>
      <c r="Y5231" t="str">
        <f t="shared" si="819"/>
        <v>High Priority</v>
      </c>
    </row>
    <row r="5232" spans="1:25" x14ac:dyDescent="0.35">
      <c r="A5232" t="s">
        <v>41</v>
      </c>
      <c r="B5232" t="s">
        <v>42</v>
      </c>
      <c r="C5232" t="s">
        <v>43</v>
      </c>
      <c r="D5232" t="s">
        <v>1915</v>
      </c>
      <c r="E5232">
        <v>80778993</v>
      </c>
      <c r="F5232" t="s">
        <v>3239</v>
      </c>
      <c r="G5232" s="3">
        <v>46439</v>
      </c>
      <c r="H5232">
        <v>36</v>
      </c>
      <c r="I5232">
        <v>23</v>
      </c>
      <c r="J5232">
        <v>23</v>
      </c>
      <c r="K5232" s="4">
        <v>13996.65</v>
      </c>
      <c r="L5232" s="4">
        <f>0</f>
        <v>0</v>
      </c>
      <c r="M5232" s="4">
        <f>999</f>
        <v>999</v>
      </c>
      <c r="N5232" t="s">
        <v>19</v>
      </c>
      <c r="O5232" t="str">
        <f t="shared" si="810"/>
        <v>Medium</v>
      </c>
      <c r="P5232" t="str">
        <f t="shared" si="811"/>
        <v>High</v>
      </c>
      <c r="Q5232" t="str">
        <f t="shared" si="812"/>
        <v>High</v>
      </c>
      <c r="R5232" t="s">
        <v>3317</v>
      </c>
      <c r="S5232" s="4">
        <f t="shared" ca="1" si="813"/>
        <v>242</v>
      </c>
      <c r="T5232">
        <f t="shared" si="814"/>
        <v>2</v>
      </c>
      <c r="U5232">
        <f t="shared" si="815"/>
        <v>3</v>
      </c>
      <c r="V5232">
        <f t="shared" si="816"/>
        <v>3</v>
      </c>
      <c r="W5232">
        <f t="shared" si="817"/>
        <v>1</v>
      </c>
      <c r="X5232">
        <f t="shared" si="818"/>
        <v>2.4</v>
      </c>
      <c r="Y5232" t="str">
        <f t="shared" si="819"/>
        <v>High Priority</v>
      </c>
    </row>
    <row r="5233" spans="1:25" x14ac:dyDescent="0.35">
      <c r="A5233" t="s">
        <v>99</v>
      </c>
      <c r="B5233" t="s">
        <v>100</v>
      </c>
      <c r="C5233" t="s">
        <v>101</v>
      </c>
      <c r="D5233" t="s">
        <v>3240</v>
      </c>
      <c r="E5233">
        <v>80778468</v>
      </c>
      <c r="F5233" t="s">
        <v>3241</v>
      </c>
      <c r="G5233" s="3">
        <v>46074</v>
      </c>
      <c r="H5233">
        <v>18</v>
      </c>
      <c r="I5233">
        <v>0</v>
      </c>
      <c r="J5233">
        <v>144</v>
      </c>
      <c r="K5233" s="4">
        <v>19224</v>
      </c>
      <c r="L5233" s="4">
        <v>56.571428571428569</v>
      </c>
      <c r="M5233" s="4">
        <v>2.5454545454545454</v>
      </c>
      <c r="N5233" t="s">
        <v>25</v>
      </c>
      <c r="O5233" t="str">
        <f t="shared" si="810"/>
        <v>High</v>
      </c>
      <c r="P5233" t="str">
        <f t="shared" si="811"/>
        <v>Low</v>
      </c>
      <c r="Q5233" t="str">
        <f t="shared" si="812"/>
        <v>Low</v>
      </c>
      <c r="R5233" t="s">
        <v>3317</v>
      </c>
      <c r="S5233" s="4">
        <f t="shared" ca="1" si="813"/>
        <v>-123</v>
      </c>
      <c r="T5233">
        <f t="shared" si="814"/>
        <v>3</v>
      </c>
      <c r="U5233">
        <f t="shared" si="815"/>
        <v>1</v>
      </c>
      <c r="V5233">
        <f t="shared" si="816"/>
        <v>1</v>
      </c>
      <c r="W5233">
        <f t="shared" si="817"/>
        <v>1</v>
      </c>
      <c r="X5233">
        <f t="shared" si="818"/>
        <v>1.8000000000000003</v>
      </c>
      <c r="Y5233" t="str">
        <f t="shared" si="819"/>
        <v>Monitor</v>
      </c>
    </row>
    <row r="5234" spans="1:25" x14ac:dyDescent="0.35">
      <c r="A5234" t="s">
        <v>99</v>
      </c>
      <c r="B5234" t="s">
        <v>100</v>
      </c>
      <c r="C5234" t="s">
        <v>101</v>
      </c>
      <c r="D5234" t="s">
        <v>3240</v>
      </c>
      <c r="E5234">
        <v>80778468</v>
      </c>
      <c r="F5234" t="s">
        <v>3241</v>
      </c>
      <c r="G5234" s="3">
        <v>46401</v>
      </c>
      <c r="H5234">
        <v>18</v>
      </c>
      <c r="I5234">
        <v>39</v>
      </c>
      <c r="J5234">
        <v>232</v>
      </c>
      <c r="K5234" s="4">
        <v>30972</v>
      </c>
      <c r="L5234" s="4">
        <v>56.571428571428569</v>
      </c>
      <c r="M5234" s="4">
        <v>4.1010101010101012</v>
      </c>
      <c r="N5234" t="s">
        <v>25</v>
      </c>
      <c r="O5234" t="str">
        <f t="shared" si="810"/>
        <v>Medium</v>
      </c>
      <c r="P5234" t="str">
        <f t="shared" si="811"/>
        <v>Medium</v>
      </c>
      <c r="Q5234" t="str">
        <f t="shared" si="812"/>
        <v>Low</v>
      </c>
      <c r="R5234" t="s">
        <v>3317</v>
      </c>
      <c r="S5234" s="4">
        <f t="shared" ca="1" si="813"/>
        <v>204</v>
      </c>
      <c r="T5234">
        <f t="shared" si="814"/>
        <v>2</v>
      </c>
      <c r="U5234">
        <f t="shared" si="815"/>
        <v>2</v>
      </c>
      <c r="V5234">
        <f t="shared" si="816"/>
        <v>1</v>
      </c>
      <c r="W5234">
        <f t="shared" si="817"/>
        <v>1</v>
      </c>
      <c r="X5234">
        <f t="shared" si="818"/>
        <v>1.7</v>
      </c>
      <c r="Y5234" t="str">
        <f t="shared" si="819"/>
        <v>Monitor</v>
      </c>
    </row>
    <row r="5235" spans="1:25" x14ac:dyDescent="0.35">
      <c r="A5235" t="s">
        <v>99</v>
      </c>
      <c r="B5235" t="s">
        <v>100</v>
      </c>
      <c r="C5235" t="s">
        <v>101</v>
      </c>
      <c r="D5235" t="s">
        <v>3240</v>
      </c>
      <c r="E5235">
        <v>80778468</v>
      </c>
      <c r="F5235" t="s">
        <v>3241</v>
      </c>
      <c r="G5235" s="3">
        <v>46410</v>
      </c>
      <c r="H5235">
        <v>18</v>
      </c>
      <c r="I5235">
        <v>40</v>
      </c>
      <c r="J5235">
        <v>240</v>
      </c>
      <c r="K5235" s="4">
        <v>32040</v>
      </c>
      <c r="L5235" s="4">
        <v>56.571428571428569</v>
      </c>
      <c r="M5235" s="4">
        <v>4.2424242424242422</v>
      </c>
      <c r="N5235" t="s">
        <v>25</v>
      </c>
      <c r="O5235" t="str">
        <f t="shared" si="810"/>
        <v>Low</v>
      </c>
      <c r="P5235" t="str">
        <f t="shared" si="811"/>
        <v>Medium</v>
      </c>
      <c r="Q5235" t="str">
        <f t="shared" si="812"/>
        <v>Low</v>
      </c>
      <c r="R5235" t="s">
        <v>3317</v>
      </c>
      <c r="S5235" s="4">
        <f t="shared" ca="1" si="813"/>
        <v>213</v>
      </c>
      <c r="T5235">
        <f t="shared" si="814"/>
        <v>1</v>
      </c>
      <c r="U5235">
        <f t="shared" si="815"/>
        <v>2</v>
      </c>
      <c r="V5235">
        <f t="shared" si="816"/>
        <v>1</v>
      </c>
      <c r="W5235">
        <f t="shared" si="817"/>
        <v>1</v>
      </c>
      <c r="X5235">
        <f t="shared" si="818"/>
        <v>1.3</v>
      </c>
      <c r="Y5235" t="str">
        <f t="shared" si="819"/>
        <v>Healthy</v>
      </c>
    </row>
    <row r="5236" spans="1:25" x14ac:dyDescent="0.35">
      <c r="A5236" t="s">
        <v>189</v>
      </c>
      <c r="B5236" t="s">
        <v>2781</v>
      </c>
      <c r="C5236" t="s">
        <v>2782</v>
      </c>
      <c r="D5236" t="s">
        <v>2783</v>
      </c>
      <c r="E5236">
        <v>80757318</v>
      </c>
      <c r="F5236" t="s">
        <v>3242</v>
      </c>
      <c r="G5236" s="3">
        <v>46346</v>
      </c>
      <c r="H5236">
        <v>17</v>
      </c>
      <c r="I5236">
        <v>30</v>
      </c>
      <c r="J5236">
        <v>96</v>
      </c>
      <c r="K5236" s="4">
        <v>13593.6</v>
      </c>
      <c r="L5236" s="4">
        <v>24.714285714285715</v>
      </c>
      <c r="M5236" s="4">
        <v>3.8843930635838149</v>
      </c>
      <c r="N5236" t="s">
        <v>25</v>
      </c>
      <c r="O5236" t="str">
        <f t="shared" si="810"/>
        <v>Medium</v>
      </c>
      <c r="P5236" t="str">
        <f t="shared" si="811"/>
        <v>Low</v>
      </c>
      <c r="Q5236" t="str">
        <f t="shared" si="812"/>
        <v>Low</v>
      </c>
      <c r="R5236" t="s">
        <v>3317</v>
      </c>
      <c r="S5236" s="4">
        <f t="shared" ca="1" si="813"/>
        <v>149</v>
      </c>
      <c r="T5236">
        <f t="shared" si="814"/>
        <v>2</v>
      </c>
      <c r="U5236">
        <f t="shared" si="815"/>
        <v>1</v>
      </c>
      <c r="V5236">
        <f t="shared" si="816"/>
        <v>1</v>
      </c>
      <c r="W5236">
        <f t="shared" si="817"/>
        <v>1</v>
      </c>
      <c r="X5236">
        <f t="shared" si="818"/>
        <v>1.4000000000000001</v>
      </c>
      <c r="Y5236" t="str">
        <f t="shared" si="819"/>
        <v>Healthy</v>
      </c>
    </row>
    <row r="5237" spans="1:25" x14ac:dyDescent="0.35">
      <c r="A5237" t="s">
        <v>189</v>
      </c>
      <c r="B5237" t="s">
        <v>2781</v>
      </c>
      <c r="C5237" t="s">
        <v>2782</v>
      </c>
      <c r="D5237" t="s">
        <v>2783</v>
      </c>
      <c r="E5237">
        <v>80757318</v>
      </c>
      <c r="F5237" t="s">
        <v>3242</v>
      </c>
      <c r="G5237" s="3">
        <v>46291</v>
      </c>
      <c r="H5237">
        <v>17</v>
      </c>
      <c r="I5237">
        <v>19</v>
      </c>
      <c r="J5237">
        <v>39</v>
      </c>
      <c r="K5237" s="4">
        <v>5522.4</v>
      </c>
      <c r="L5237" s="4">
        <v>24.714285714285715</v>
      </c>
      <c r="M5237" s="4">
        <v>1.5780346820809248</v>
      </c>
      <c r="N5237" t="s">
        <v>25</v>
      </c>
      <c r="O5237" t="str">
        <f t="shared" si="810"/>
        <v>High</v>
      </c>
      <c r="P5237" t="str">
        <f t="shared" si="811"/>
        <v>Low</v>
      </c>
      <c r="Q5237" t="str">
        <f t="shared" si="812"/>
        <v>Low</v>
      </c>
      <c r="R5237" t="s">
        <v>3317</v>
      </c>
      <c r="S5237" s="4">
        <f t="shared" ca="1" si="813"/>
        <v>94</v>
      </c>
      <c r="T5237">
        <f t="shared" si="814"/>
        <v>3</v>
      </c>
      <c r="U5237">
        <f t="shared" si="815"/>
        <v>1</v>
      </c>
      <c r="V5237">
        <f t="shared" si="816"/>
        <v>1</v>
      </c>
      <c r="W5237">
        <f t="shared" si="817"/>
        <v>1</v>
      </c>
      <c r="X5237">
        <f t="shared" si="818"/>
        <v>1.8000000000000003</v>
      </c>
      <c r="Y5237" t="str">
        <f t="shared" si="819"/>
        <v>Monitor</v>
      </c>
    </row>
    <row r="5238" spans="1:25" x14ac:dyDescent="0.35">
      <c r="A5238" t="s">
        <v>189</v>
      </c>
      <c r="B5238" t="s">
        <v>2781</v>
      </c>
      <c r="C5238" t="s">
        <v>2782</v>
      </c>
      <c r="D5238" t="s">
        <v>2783</v>
      </c>
      <c r="E5238">
        <v>80757318</v>
      </c>
      <c r="F5238" t="s">
        <v>3242</v>
      </c>
      <c r="G5238" s="3">
        <v>46192</v>
      </c>
      <c r="H5238">
        <v>17</v>
      </c>
      <c r="I5238">
        <v>0</v>
      </c>
      <c r="J5238">
        <v>9</v>
      </c>
      <c r="K5238" s="4">
        <v>1274.4000000000001</v>
      </c>
      <c r="L5238" s="4">
        <v>24.714285714285715</v>
      </c>
      <c r="M5238" s="4">
        <v>0.36416184971098264</v>
      </c>
      <c r="N5238" t="s">
        <v>25</v>
      </c>
      <c r="O5238" t="str">
        <f t="shared" si="810"/>
        <v>High</v>
      </c>
      <c r="P5238" t="str">
        <f t="shared" si="811"/>
        <v>Low</v>
      </c>
      <c r="Q5238" t="str">
        <f t="shared" si="812"/>
        <v>Low</v>
      </c>
      <c r="R5238" t="s">
        <v>3317</v>
      </c>
      <c r="S5238" s="4">
        <f t="shared" ca="1" si="813"/>
        <v>-5</v>
      </c>
      <c r="T5238">
        <f t="shared" si="814"/>
        <v>3</v>
      </c>
      <c r="U5238">
        <f t="shared" si="815"/>
        <v>1</v>
      </c>
      <c r="V5238">
        <f t="shared" si="816"/>
        <v>1</v>
      </c>
      <c r="W5238">
        <f t="shared" si="817"/>
        <v>1</v>
      </c>
      <c r="X5238">
        <f t="shared" si="818"/>
        <v>1.8000000000000003</v>
      </c>
      <c r="Y5238" t="str">
        <f t="shared" si="819"/>
        <v>Monitor</v>
      </c>
    </row>
    <row r="5239" spans="1:25" x14ac:dyDescent="0.35">
      <c r="A5239" t="s">
        <v>189</v>
      </c>
      <c r="B5239" t="s">
        <v>2781</v>
      </c>
      <c r="C5239" t="s">
        <v>2782</v>
      </c>
      <c r="D5239" t="s">
        <v>2783</v>
      </c>
      <c r="E5239">
        <v>80757318</v>
      </c>
      <c r="F5239" t="s">
        <v>3242</v>
      </c>
      <c r="G5239" s="3">
        <v>46036</v>
      </c>
      <c r="H5239">
        <v>17</v>
      </c>
      <c r="I5239">
        <v>0</v>
      </c>
      <c r="J5239">
        <v>2</v>
      </c>
      <c r="K5239" s="4">
        <v>283.2</v>
      </c>
      <c r="L5239" s="4">
        <v>24.714285714285715</v>
      </c>
      <c r="M5239" s="4">
        <v>8.0924855491329481E-2</v>
      </c>
      <c r="N5239" t="s">
        <v>25</v>
      </c>
      <c r="O5239" t="str">
        <f t="shared" si="810"/>
        <v>High</v>
      </c>
      <c r="P5239" t="str">
        <f t="shared" si="811"/>
        <v>Low</v>
      </c>
      <c r="Q5239" t="str">
        <f t="shared" si="812"/>
        <v>Low</v>
      </c>
      <c r="R5239" t="s">
        <v>3317</v>
      </c>
      <c r="S5239" s="4">
        <f t="shared" ca="1" si="813"/>
        <v>-161</v>
      </c>
      <c r="T5239">
        <f t="shared" si="814"/>
        <v>3</v>
      </c>
      <c r="U5239">
        <f t="shared" si="815"/>
        <v>1</v>
      </c>
      <c r="V5239">
        <f t="shared" si="816"/>
        <v>1</v>
      </c>
      <c r="W5239">
        <f t="shared" si="817"/>
        <v>1</v>
      </c>
      <c r="X5239">
        <f t="shared" si="818"/>
        <v>1.8000000000000003</v>
      </c>
      <c r="Y5239" t="str">
        <f t="shared" si="819"/>
        <v>Monitor</v>
      </c>
    </row>
    <row r="5240" spans="1:25" x14ac:dyDescent="0.35">
      <c r="A5240" t="s">
        <v>14</v>
      </c>
      <c r="B5240" t="s">
        <v>58</v>
      </c>
      <c r="C5240" t="s">
        <v>951</v>
      </c>
      <c r="D5240" t="s">
        <v>2614</v>
      </c>
      <c r="E5240">
        <v>80788717</v>
      </c>
      <c r="F5240" t="s">
        <v>3243</v>
      </c>
      <c r="G5240" s="3">
        <v>47362</v>
      </c>
      <c r="H5240">
        <v>60</v>
      </c>
      <c r="I5240">
        <v>65</v>
      </c>
      <c r="J5240">
        <v>2</v>
      </c>
      <c r="K5240" s="4">
        <v>2055.36</v>
      </c>
      <c r="L5240" s="4">
        <f>0</f>
        <v>0</v>
      </c>
      <c r="M5240" s="4">
        <f>999</f>
        <v>999</v>
      </c>
      <c r="N5240" t="s">
        <v>19</v>
      </c>
      <c r="O5240" t="str">
        <f t="shared" si="810"/>
        <v>Low</v>
      </c>
      <c r="P5240" t="str">
        <f t="shared" si="811"/>
        <v>High</v>
      </c>
      <c r="Q5240" t="str">
        <f t="shared" si="812"/>
        <v>High</v>
      </c>
      <c r="R5240" t="s">
        <v>3317</v>
      </c>
      <c r="S5240" s="4">
        <f t="shared" ca="1" si="813"/>
        <v>1165</v>
      </c>
      <c r="T5240">
        <f t="shared" si="814"/>
        <v>1</v>
      </c>
      <c r="U5240">
        <f t="shared" si="815"/>
        <v>3</v>
      </c>
      <c r="V5240">
        <f t="shared" si="816"/>
        <v>3</v>
      </c>
      <c r="W5240">
        <f t="shared" si="817"/>
        <v>1</v>
      </c>
      <c r="X5240">
        <f t="shared" si="818"/>
        <v>2</v>
      </c>
      <c r="Y5240" t="str">
        <f t="shared" si="819"/>
        <v>Monitor</v>
      </c>
    </row>
    <row r="5241" spans="1:25" x14ac:dyDescent="0.35">
      <c r="A5241" t="s">
        <v>14</v>
      </c>
      <c r="B5241" t="s">
        <v>58</v>
      </c>
      <c r="C5241" t="s">
        <v>951</v>
      </c>
      <c r="D5241" t="s">
        <v>2614</v>
      </c>
      <c r="E5241">
        <v>80788717</v>
      </c>
      <c r="F5241" t="s">
        <v>3243</v>
      </c>
      <c r="G5241" s="3">
        <v>47362</v>
      </c>
      <c r="H5241">
        <v>60</v>
      </c>
      <c r="I5241">
        <v>65</v>
      </c>
      <c r="J5241">
        <v>5</v>
      </c>
      <c r="K5241" s="4">
        <v>5138.3999999999996</v>
      </c>
      <c r="L5241" s="4">
        <f>0</f>
        <v>0</v>
      </c>
      <c r="M5241" s="4">
        <f>999</f>
        <v>999</v>
      </c>
      <c r="N5241" t="s">
        <v>19</v>
      </c>
      <c r="O5241" t="str">
        <f t="shared" si="810"/>
        <v>Low</v>
      </c>
      <c r="P5241" t="str">
        <f t="shared" si="811"/>
        <v>High</v>
      </c>
      <c r="Q5241" t="str">
        <f t="shared" si="812"/>
        <v>High</v>
      </c>
      <c r="R5241" t="s">
        <v>3317</v>
      </c>
      <c r="S5241" s="4">
        <f t="shared" ca="1" si="813"/>
        <v>1165</v>
      </c>
      <c r="T5241">
        <f t="shared" si="814"/>
        <v>1</v>
      </c>
      <c r="U5241">
        <f t="shared" si="815"/>
        <v>3</v>
      </c>
      <c r="V5241">
        <f t="shared" si="816"/>
        <v>3</v>
      </c>
      <c r="W5241">
        <f t="shared" si="817"/>
        <v>1</v>
      </c>
      <c r="X5241">
        <f t="shared" si="818"/>
        <v>2</v>
      </c>
      <c r="Y5241" t="str">
        <f t="shared" si="819"/>
        <v>Monitor</v>
      </c>
    </row>
    <row r="5242" spans="1:25" x14ac:dyDescent="0.35">
      <c r="A5242" t="s">
        <v>189</v>
      </c>
      <c r="B5242" t="s">
        <v>1219</v>
      </c>
      <c r="C5242" t="s">
        <v>1219</v>
      </c>
      <c r="D5242" t="s">
        <v>2066</v>
      </c>
      <c r="E5242">
        <v>80789629</v>
      </c>
      <c r="F5242" t="s">
        <v>3244</v>
      </c>
      <c r="G5242" s="3">
        <v>46451</v>
      </c>
      <c r="H5242">
        <v>24</v>
      </c>
      <c r="I5242">
        <v>36</v>
      </c>
      <c r="J5242">
        <v>11</v>
      </c>
      <c r="K5242" s="4">
        <v>1771.11</v>
      </c>
      <c r="L5242" s="4">
        <f>0</f>
        <v>0</v>
      </c>
      <c r="M5242" s="4">
        <f>999</f>
        <v>999</v>
      </c>
      <c r="N5242" t="s">
        <v>19</v>
      </c>
      <c r="O5242" t="str">
        <f t="shared" si="810"/>
        <v>Medium</v>
      </c>
      <c r="P5242" t="str">
        <f t="shared" si="811"/>
        <v>High</v>
      </c>
      <c r="Q5242" t="str">
        <f t="shared" si="812"/>
        <v>High</v>
      </c>
      <c r="R5242" t="s">
        <v>3317</v>
      </c>
      <c r="S5242" s="4">
        <f t="shared" ca="1" si="813"/>
        <v>254</v>
      </c>
      <c r="T5242">
        <f t="shared" si="814"/>
        <v>2</v>
      </c>
      <c r="U5242">
        <f t="shared" si="815"/>
        <v>3</v>
      </c>
      <c r="V5242">
        <f t="shared" si="816"/>
        <v>3</v>
      </c>
      <c r="W5242">
        <f t="shared" si="817"/>
        <v>1</v>
      </c>
      <c r="X5242">
        <f t="shared" si="818"/>
        <v>2.4</v>
      </c>
      <c r="Y5242" t="str">
        <f t="shared" si="819"/>
        <v>High Priority</v>
      </c>
    </row>
    <row r="5243" spans="1:25" x14ac:dyDescent="0.35">
      <c r="A5243" t="s">
        <v>189</v>
      </c>
      <c r="B5243" t="s">
        <v>1219</v>
      </c>
      <c r="C5243" t="s">
        <v>1219</v>
      </c>
      <c r="D5243" t="s">
        <v>2066</v>
      </c>
      <c r="E5243">
        <v>80789629</v>
      </c>
      <c r="F5243" t="s">
        <v>3244</v>
      </c>
      <c r="G5243" s="3">
        <v>45951</v>
      </c>
      <c r="H5243">
        <v>24</v>
      </c>
      <c r="I5243">
        <v>0</v>
      </c>
      <c r="J5243">
        <v>5</v>
      </c>
      <c r="K5243" s="4">
        <v>805.05</v>
      </c>
      <c r="L5243" s="4">
        <f>0</f>
        <v>0</v>
      </c>
      <c r="M5243" s="4">
        <f>999</f>
        <v>999</v>
      </c>
      <c r="N5243" t="s">
        <v>19</v>
      </c>
      <c r="O5243" t="str">
        <f t="shared" si="810"/>
        <v>High</v>
      </c>
      <c r="P5243" t="str">
        <f t="shared" si="811"/>
        <v>High</v>
      </c>
      <c r="Q5243" t="str">
        <f t="shared" si="812"/>
        <v>High</v>
      </c>
      <c r="R5243" t="s">
        <v>3317</v>
      </c>
      <c r="S5243" s="4">
        <f t="shared" ca="1" si="813"/>
        <v>-246</v>
      </c>
      <c r="T5243">
        <f t="shared" si="814"/>
        <v>3</v>
      </c>
      <c r="U5243">
        <f t="shared" si="815"/>
        <v>3</v>
      </c>
      <c r="V5243">
        <f t="shared" si="816"/>
        <v>3</v>
      </c>
      <c r="W5243">
        <f t="shared" si="817"/>
        <v>1</v>
      </c>
      <c r="X5243">
        <f t="shared" si="818"/>
        <v>2.8000000000000003</v>
      </c>
      <c r="Y5243" t="str">
        <f t="shared" si="819"/>
        <v>Move Immediately</v>
      </c>
    </row>
    <row r="5244" spans="1:25" x14ac:dyDescent="0.35">
      <c r="A5244" t="s">
        <v>104</v>
      </c>
      <c r="B5244" t="s">
        <v>105</v>
      </c>
      <c r="C5244" t="s">
        <v>141</v>
      </c>
      <c r="D5244" t="s">
        <v>3245</v>
      </c>
      <c r="E5244">
        <v>80786348</v>
      </c>
      <c r="F5244" t="s">
        <v>3246</v>
      </c>
      <c r="G5244" s="3">
        <v>46567</v>
      </c>
      <c r="H5244">
        <v>24</v>
      </c>
      <c r="I5244">
        <v>52</v>
      </c>
      <c r="J5244">
        <v>1065</v>
      </c>
      <c r="K5244" s="4">
        <v>297337.34999999998</v>
      </c>
      <c r="L5244" s="4">
        <v>1091.8571428571429</v>
      </c>
      <c r="M5244" s="4">
        <v>0.97540232892843126</v>
      </c>
      <c r="N5244" t="s">
        <v>25</v>
      </c>
      <c r="O5244" t="str">
        <f t="shared" si="810"/>
        <v>Low</v>
      </c>
      <c r="P5244" t="str">
        <f t="shared" si="811"/>
        <v>Low</v>
      </c>
      <c r="Q5244" t="str">
        <f t="shared" si="812"/>
        <v>Low</v>
      </c>
      <c r="R5244" t="s">
        <v>3309</v>
      </c>
      <c r="S5244" s="4">
        <f t="shared" ca="1" si="813"/>
        <v>370</v>
      </c>
      <c r="T5244">
        <f t="shared" si="814"/>
        <v>1</v>
      </c>
      <c r="U5244">
        <f t="shared" si="815"/>
        <v>1</v>
      </c>
      <c r="V5244">
        <f t="shared" si="816"/>
        <v>1</v>
      </c>
      <c r="W5244">
        <f t="shared" si="817"/>
        <v>3</v>
      </c>
      <c r="X5244">
        <f t="shared" si="818"/>
        <v>1.2</v>
      </c>
      <c r="Y5244" t="str">
        <f t="shared" si="819"/>
        <v>Healthy</v>
      </c>
    </row>
    <row r="5245" spans="1:25" x14ac:dyDescent="0.35">
      <c r="A5245" t="s">
        <v>104</v>
      </c>
      <c r="B5245" t="s">
        <v>105</v>
      </c>
      <c r="C5245" t="s">
        <v>141</v>
      </c>
      <c r="D5245" t="s">
        <v>3245</v>
      </c>
      <c r="E5245">
        <v>80786348</v>
      </c>
      <c r="F5245" t="s">
        <v>3246</v>
      </c>
      <c r="G5245" s="3">
        <v>46631</v>
      </c>
      <c r="H5245">
        <v>24</v>
      </c>
      <c r="I5245">
        <v>61</v>
      </c>
      <c r="J5245">
        <v>2</v>
      </c>
      <c r="K5245" s="4">
        <v>558.38</v>
      </c>
      <c r="L5245" s="4">
        <v>1091.8571428571429</v>
      </c>
      <c r="M5245" s="4">
        <v>1.8317414627763966E-3</v>
      </c>
      <c r="N5245" t="s">
        <v>25</v>
      </c>
      <c r="O5245" t="str">
        <f t="shared" si="810"/>
        <v>Low</v>
      </c>
      <c r="P5245" t="str">
        <f t="shared" si="811"/>
        <v>Low</v>
      </c>
      <c r="Q5245" t="str">
        <f t="shared" si="812"/>
        <v>Low</v>
      </c>
      <c r="R5245" t="s">
        <v>3317</v>
      </c>
      <c r="S5245" s="4">
        <f t="shared" ca="1" si="813"/>
        <v>434</v>
      </c>
      <c r="T5245">
        <f t="shared" si="814"/>
        <v>1</v>
      </c>
      <c r="U5245">
        <f t="shared" si="815"/>
        <v>1</v>
      </c>
      <c r="V5245">
        <f t="shared" si="816"/>
        <v>1</v>
      </c>
      <c r="W5245">
        <f t="shared" si="817"/>
        <v>1</v>
      </c>
      <c r="X5245">
        <f t="shared" si="818"/>
        <v>0.99999999999999989</v>
      </c>
      <c r="Y5245" t="str">
        <f t="shared" si="819"/>
        <v>Healthy</v>
      </c>
    </row>
    <row r="5246" spans="1:25" x14ac:dyDescent="0.35">
      <c r="A5246" t="s">
        <v>104</v>
      </c>
      <c r="B5246" t="s">
        <v>105</v>
      </c>
      <c r="C5246" t="s">
        <v>141</v>
      </c>
      <c r="D5246" t="s">
        <v>3245</v>
      </c>
      <c r="E5246">
        <v>80786348</v>
      </c>
      <c r="F5246" t="s">
        <v>3246</v>
      </c>
      <c r="G5246" s="3">
        <v>46207</v>
      </c>
      <c r="H5246">
        <v>24</v>
      </c>
      <c r="I5246">
        <v>2</v>
      </c>
      <c r="J5246">
        <v>10</v>
      </c>
      <c r="K5246" s="4">
        <v>2791.9</v>
      </c>
      <c r="L5246" s="4">
        <v>1091.8571428571429</v>
      </c>
      <c r="M5246" s="4">
        <v>9.1587073138819832E-3</v>
      </c>
      <c r="N5246" t="s">
        <v>25</v>
      </c>
      <c r="O5246" t="str">
        <f t="shared" si="810"/>
        <v>High</v>
      </c>
      <c r="P5246" t="str">
        <f t="shared" si="811"/>
        <v>Low</v>
      </c>
      <c r="Q5246" t="str">
        <f t="shared" si="812"/>
        <v>Low</v>
      </c>
      <c r="R5246" t="s">
        <v>3317</v>
      </c>
      <c r="S5246" s="4">
        <f t="shared" ca="1" si="813"/>
        <v>10</v>
      </c>
      <c r="T5246">
        <f t="shared" si="814"/>
        <v>3</v>
      </c>
      <c r="U5246">
        <f t="shared" si="815"/>
        <v>1</v>
      </c>
      <c r="V5246">
        <f t="shared" si="816"/>
        <v>1</v>
      </c>
      <c r="W5246">
        <f t="shared" si="817"/>
        <v>1</v>
      </c>
      <c r="X5246">
        <f t="shared" si="818"/>
        <v>1.8000000000000003</v>
      </c>
      <c r="Y5246" t="str">
        <f t="shared" si="819"/>
        <v>Monitor</v>
      </c>
    </row>
    <row r="5247" spans="1:25" x14ac:dyDescent="0.35">
      <c r="A5247" t="s">
        <v>104</v>
      </c>
      <c r="B5247" t="s">
        <v>105</v>
      </c>
      <c r="C5247" t="s">
        <v>141</v>
      </c>
      <c r="D5247" t="s">
        <v>3245</v>
      </c>
      <c r="E5247">
        <v>80786348</v>
      </c>
      <c r="F5247" t="s">
        <v>3246</v>
      </c>
      <c r="G5247" s="3">
        <v>46590</v>
      </c>
      <c r="H5247">
        <v>24</v>
      </c>
      <c r="I5247">
        <v>55</v>
      </c>
      <c r="J5247">
        <v>231</v>
      </c>
      <c r="K5247" s="4">
        <v>640741.05000000005</v>
      </c>
      <c r="L5247" s="4">
        <v>1091.8571428571429</v>
      </c>
      <c r="M5247" s="4">
        <v>0.2115661389506738</v>
      </c>
      <c r="N5247" t="s">
        <v>25</v>
      </c>
      <c r="O5247" t="str">
        <f t="shared" si="810"/>
        <v>Low</v>
      </c>
      <c r="P5247" t="str">
        <f t="shared" si="811"/>
        <v>Low</v>
      </c>
      <c r="Q5247" t="str">
        <f t="shared" si="812"/>
        <v>Low</v>
      </c>
      <c r="R5247" t="s">
        <v>3309</v>
      </c>
      <c r="S5247" s="4">
        <f t="shared" ca="1" si="813"/>
        <v>393</v>
      </c>
      <c r="T5247">
        <f t="shared" si="814"/>
        <v>1</v>
      </c>
      <c r="U5247">
        <f t="shared" si="815"/>
        <v>1</v>
      </c>
      <c r="V5247">
        <f t="shared" si="816"/>
        <v>1</v>
      </c>
      <c r="W5247">
        <f t="shared" si="817"/>
        <v>3</v>
      </c>
      <c r="X5247">
        <f t="shared" si="818"/>
        <v>1.2</v>
      </c>
      <c r="Y5247" t="str">
        <f t="shared" si="819"/>
        <v>Healthy</v>
      </c>
    </row>
    <row r="5248" spans="1:25" x14ac:dyDescent="0.35">
      <c r="A5248" t="s">
        <v>104</v>
      </c>
      <c r="B5248" t="s">
        <v>105</v>
      </c>
      <c r="C5248" t="s">
        <v>141</v>
      </c>
      <c r="D5248" t="s">
        <v>3245</v>
      </c>
      <c r="E5248">
        <v>80786348</v>
      </c>
      <c r="F5248" t="s">
        <v>3246</v>
      </c>
      <c r="G5248" s="3">
        <v>46630</v>
      </c>
      <c r="H5248">
        <v>24</v>
      </c>
      <c r="I5248">
        <v>61</v>
      </c>
      <c r="J5248">
        <v>3</v>
      </c>
      <c r="K5248" s="4">
        <v>81244.289999999994</v>
      </c>
      <c r="L5248" s="4">
        <v>1091.8571428571429</v>
      </c>
      <c r="M5248" s="4">
        <v>2.747612194164595E-3</v>
      </c>
      <c r="N5248" t="s">
        <v>25</v>
      </c>
      <c r="O5248" t="str">
        <f t="shared" si="810"/>
        <v>Low</v>
      </c>
      <c r="P5248" t="str">
        <f t="shared" si="811"/>
        <v>Low</v>
      </c>
      <c r="Q5248" t="str">
        <f t="shared" si="812"/>
        <v>Low</v>
      </c>
      <c r="R5248" t="s">
        <v>3310</v>
      </c>
      <c r="S5248" s="4">
        <f t="shared" ca="1" si="813"/>
        <v>433</v>
      </c>
      <c r="T5248">
        <f t="shared" si="814"/>
        <v>1</v>
      </c>
      <c r="U5248">
        <f t="shared" si="815"/>
        <v>1</v>
      </c>
      <c r="V5248">
        <f t="shared" si="816"/>
        <v>1</v>
      </c>
      <c r="W5248">
        <f t="shared" si="817"/>
        <v>2</v>
      </c>
      <c r="X5248">
        <f t="shared" si="818"/>
        <v>1.0999999999999999</v>
      </c>
      <c r="Y5248" t="str">
        <f t="shared" si="819"/>
        <v>Healthy</v>
      </c>
    </row>
    <row r="5249" spans="1:25" x14ac:dyDescent="0.35">
      <c r="A5249" t="s">
        <v>104</v>
      </c>
      <c r="B5249" t="s">
        <v>105</v>
      </c>
      <c r="C5249" t="s">
        <v>141</v>
      </c>
      <c r="D5249" t="s">
        <v>3245</v>
      </c>
      <c r="E5249">
        <v>80786348</v>
      </c>
      <c r="F5249" t="s">
        <v>3246</v>
      </c>
      <c r="G5249" s="3">
        <v>46567</v>
      </c>
      <c r="H5249">
        <v>24</v>
      </c>
      <c r="I5249">
        <v>52</v>
      </c>
      <c r="J5249">
        <v>192</v>
      </c>
      <c r="K5249" s="4">
        <v>53604.480000000003</v>
      </c>
      <c r="L5249" s="4">
        <v>1091.8571428571429</v>
      </c>
      <c r="M5249" s="4">
        <v>0.17584718042653408</v>
      </c>
      <c r="N5249" t="s">
        <v>25</v>
      </c>
      <c r="O5249" t="str">
        <f t="shared" si="810"/>
        <v>Low</v>
      </c>
      <c r="P5249" t="str">
        <f t="shared" si="811"/>
        <v>Low</v>
      </c>
      <c r="Q5249" t="str">
        <f t="shared" si="812"/>
        <v>Low</v>
      </c>
      <c r="R5249" t="s">
        <v>3317</v>
      </c>
      <c r="S5249" s="4">
        <f t="shared" ca="1" si="813"/>
        <v>370</v>
      </c>
      <c r="T5249">
        <f t="shared" si="814"/>
        <v>1</v>
      </c>
      <c r="U5249">
        <f t="shared" si="815"/>
        <v>1</v>
      </c>
      <c r="V5249">
        <f t="shared" si="816"/>
        <v>1</v>
      </c>
      <c r="W5249">
        <f t="shared" si="817"/>
        <v>1</v>
      </c>
      <c r="X5249">
        <f t="shared" si="818"/>
        <v>0.99999999999999989</v>
      </c>
      <c r="Y5249" t="str">
        <f t="shared" si="819"/>
        <v>Healthy</v>
      </c>
    </row>
    <row r="5250" spans="1:25" x14ac:dyDescent="0.35">
      <c r="A5250" t="s">
        <v>41</v>
      </c>
      <c r="B5250" t="s">
        <v>54</v>
      </c>
      <c r="C5250" t="s">
        <v>55</v>
      </c>
      <c r="D5250" t="s">
        <v>1170</v>
      </c>
      <c r="E5250">
        <v>80810138</v>
      </c>
      <c r="F5250" t="s">
        <v>3247</v>
      </c>
      <c r="G5250" s="3">
        <v>46649</v>
      </c>
      <c r="H5250">
        <v>36</v>
      </c>
      <c r="I5250">
        <v>42</v>
      </c>
      <c r="J5250">
        <v>5</v>
      </c>
      <c r="K5250" s="4">
        <v>4619.8500000000004</v>
      </c>
      <c r="L5250" s="4">
        <f>0</f>
        <v>0</v>
      </c>
      <c r="M5250" s="4">
        <f>999</f>
        <v>999</v>
      </c>
      <c r="N5250" t="s">
        <v>19</v>
      </c>
      <c r="O5250" t="str">
        <f t="shared" si="810"/>
        <v>Low</v>
      </c>
      <c r="P5250" t="str">
        <f t="shared" si="811"/>
        <v>High</v>
      </c>
      <c r="Q5250" t="str">
        <f t="shared" si="812"/>
        <v>High</v>
      </c>
      <c r="R5250" t="s">
        <v>3317</v>
      </c>
      <c r="S5250" s="4">
        <f t="shared" ca="1" si="813"/>
        <v>452</v>
      </c>
      <c r="T5250">
        <f t="shared" si="814"/>
        <v>1</v>
      </c>
      <c r="U5250">
        <f t="shared" si="815"/>
        <v>3</v>
      </c>
      <c r="V5250">
        <f t="shared" si="816"/>
        <v>3</v>
      </c>
      <c r="W5250">
        <f t="shared" si="817"/>
        <v>1</v>
      </c>
      <c r="X5250">
        <f t="shared" si="818"/>
        <v>2</v>
      </c>
      <c r="Y5250" t="str">
        <f t="shared" si="819"/>
        <v>Monitor</v>
      </c>
    </row>
    <row r="5251" spans="1:25" x14ac:dyDescent="0.35">
      <c r="A5251" t="s">
        <v>189</v>
      </c>
      <c r="B5251" t="s">
        <v>417</v>
      </c>
      <c r="C5251" t="s">
        <v>417</v>
      </c>
      <c r="D5251" t="s">
        <v>3248</v>
      </c>
      <c r="E5251">
        <v>80788423</v>
      </c>
      <c r="F5251" t="s">
        <v>3249</v>
      </c>
      <c r="G5251" s="3">
        <v>46153</v>
      </c>
      <c r="H5251">
        <v>18</v>
      </c>
      <c r="I5251">
        <v>0</v>
      </c>
      <c r="J5251">
        <v>8</v>
      </c>
      <c r="K5251" s="4">
        <v>1258.24</v>
      </c>
      <c r="L5251" s="4">
        <f>0</f>
        <v>0</v>
      </c>
      <c r="M5251" s="4">
        <f>999</f>
        <v>999</v>
      </c>
      <c r="N5251" t="s">
        <v>19</v>
      </c>
      <c r="O5251" t="str">
        <f t="shared" ref="O5251:O5314" si="820">IF(I5251&lt;20,"High",IF(I5251&lt;40,"Medium","Low"))</f>
        <v>High</v>
      </c>
      <c r="P5251" t="str">
        <f t="shared" ref="P5251:P5314" si="821">IF(M5251&gt;8,"High",IF(M5251&gt;4,"Medium","Low"))</f>
        <v>High</v>
      </c>
      <c r="Q5251" t="str">
        <f t="shared" ref="Q5251:Q5314" si="822">IF(L5251&lt;5,"High",IF(L5251&lt;15,"Medium","Low"))</f>
        <v>High</v>
      </c>
      <c r="R5251" t="s">
        <v>3317</v>
      </c>
      <c r="S5251" s="4">
        <f t="shared" ref="S5251:S5314" ca="1" si="823">G5251-TODAY()</f>
        <v>-44</v>
      </c>
      <c r="T5251">
        <f t="shared" ref="T5251:T5314" si="824">IF(O5251="High",3,IF(O5251="Medium",2,1))</f>
        <v>3</v>
      </c>
      <c r="U5251">
        <f t="shared" ref="U5251:U5314" si="825">IF(P5251="High",3,IF(P5251="Medium",2,1))</f>
        <v>3</v>
      </c>
      <c r="V5251">
        <f t="shared" ref="V5251:V5314" si="826">IF(Q5251="High",3,IF(Q5251="Medium",2,1))</f>
        <v>3</v>
      </c>
      <c r="W5251">
        <f t="shared" ref="W5251:W5314" si="827">IF(R5251="High",3,IF(R5251="Medium",2,1))</f>
        <v>1</v>
      </c>
      <c r="X5251">
        <f t="shared" ref="X5251:X5314" si="828">(0.4*T5251)+(0.3*U5251)+(0.2*V5251)+(0.1*W5251)</f>
        <v>2.8000000000000003</v>
      </c>
      <c r="Y5251" t="str">
        <f t="shared" ref="Y5251:Y5314" si="829">IF(X5251&gt;=2.7,"Move Immediately",IF(X5251&gt;=2.2,"High Priority",IF(X5251&gt;=1.7,"Monitor","Healthy")))</f>
        <v>Move Immediately</v>
      </c>
    </row>
    <row r="5252" spans="1:25" x14ac:dyDescent="0.35">
      <c r="A5252" t="s">
        <v>14</v>
      </c>
      <c r="B5252" t="s">
        <v>58</v>
      </c>
      <c r="C5252" t="s">
        <v>109</v>
      </c>
      <c r="D5252" t="s">
        <v>1617</v>
      </c>
      <c r="E5252">
        <v>80808297</v>
      </c>
      <c r="F5252" t="s">
        <v>3250</v>
      </c>
      <c r="G5252" s="3">
        <v>47461</v>
      </c>
      <c r="H5252">
        <v>60</v>
      </c>
      <c r="I5252">
        <v>71</v>
      </c>
      <c r="J5252">
        <v>1</v>
      </c>
      <c r="K5252" s="4">
        <v>1028.54</v>
      </c>
      <c r="L5252" s="4">
        <f>0</f>
        <v>0</v>
      </c>
      <c r="M5252" s="4">
        <f>999</f>
        <v>999</v>
      </c>
      <c r="N5252" t="s">
        <v>19</v>
      </c>
      <c r="O5252" t="str">
        <f t="shared" si="820"/>
        <v>Low</v>
      </c>
      <c r="P5252" t="str">
        <f t="shared" si="821"/>
        <v>High</v>
      </c>
      <c r="Q5252" t="str">
        <f t="shared" si="822"/>
        <v>High</v>
      </c>
      <c r="R5252" t="s">
        <v>3317</v>
      </c>
      <c r="S5252" s="4">
        <f t="shared" ca="1" si="823"/>
        <v>1264</v>
      </c>
      <c r="T5252">
        <f t="shared" si="824"/>
        <v>1</v>
      </c>
      <c r="U5252">
        <f t="shared" si="825"/>
        <v>3</v>
      </c>
      <c r="V5252">
        <f t="shared" si="826"/>
        <v>3</v>
      </c>
      <c r="W5252">
        <f t="shared" si="827"/>
        <v>1</v>
      </c>
      <c r="X5252">
        <f t="shared" si="828"/>
        <v>2</v>
      </c>
      <c r="Y5252" t="str">
        <f t="shared" si="829"/>
        <v>Monitor</v>
      </c>
    </row>
    <row r="5253" spans="1:25" x14ac:dyDescent="0.35">
      <c r="A5253" t="s">
        <v>14</v>
      </c>
      <c r="B5253" t="s">
        <v>58</v>
      </c>
      <c r="C5253" t="s">
        <v>109</v>
      </c>
      <c r="D5253" t="s">
        <v>1617</v>
      </c>
      <c r="E5253">
        <v>80808297</v>
      </c>
      <c r="F5253" t="s">
        <v>3250</v>
      </c>
      <c r="G5253" s="3">
        <v>47475</v>
      </c>
      <c r="H5253">
        <v>60</v>
      </c>
      <c r="I5253">
        <v>71</v>
      </c>
      <c r="J5253">
        <v>2</v>
      </c>
      <c r="K5253" s="4">
        <v>2057.08</v>
      </c>
      <c r="L5253" s="4">
        <f>0</f>
        <v>0</v>
      </c>
      <c r="M5253" s="4">
        <f>999</f>
        <v>999</v>
      </c>
      <c r="N5253" t="s">
        <v>19</v>
      </c>
      <c r="O5253" t="str">
        <f t="shared" si="820"/>
        <v>Low</v>
      </c>
      <c r="P5253" t="str">
        <f t="shared" si="821"/>
        <v>High</v>
      </c>
      <c r="Q5253" t="str">
        <f t="shared" si="822"/>
        <v>High</v>
      </c>
      <c r="R5253" t="s">
        <v>3317</v>
      </c>
      <c r="S5253" s="4">
        <f t="shared" ca="1" si="823"/>
        <v>1278</v>
      </c>
      <c r="T5253">
        <f t="shared" si="824"/>
        <v>1</v>
      </c>
      <c r="U5253">
        <f t="shared" si="825"/>
        <v>3</v>
      </c>
      <c r="V5253">
        <f t="shared" si="826"/>
        <v>3</v>
      </c>
      <c r="W5253">
        <f t="shared" si="827"/>
        <v>1</v>
      </c>
      <c r="X5253">
        <f t="shared" si="828"/>
        <v>2</v>
      </c>
      <c r="Y5253" t="str">
        <f t="shared" si="829"/>
        <v>Monitor</v>
      </c>
    </row>
    <row r="5254" spans="1:25" x14ac:dyDescent="0.35">
      <c r="A5254" t="s">
        <v>29</v>
      </c>
      <c r="B5254" t="s">
        <v>30</v>
      </c>
      <c r="C5254" t="s">
        <v>147</v>
      </c>
      <c r="D5254" t="s">
        <v>3251</v>
      </c>
      <c r="E5254">
        <v>80795452</v>
      </c>
      <c r="F5254" t="s">
        <v>3252</v>
      </c>
      <c r="G5254" s="3">
        <v>46569</v>
      </c>
      <c r="H5254">
        <v>36</v>
      </c>
      <c r="I5254">
        <v>35</v>
      </c>
      <c r="J5254">
        <v>7</v>
      </c>
      <c r="K5254" s="4">
        <v>2331.4899999999998</v>
      </c>
      <c r="L5254" s="4">
        <v>50.857142857142854</v>
      </c>
      <c r="M5254" s="4">
        <v>0.13764044943820225</v>
      </c>
      <c r="N5254" t="s">
        <v>25</v>
      </c>
      <c r="O5254" t="str">
        <f t="shared" si="820"/>
        <v>Medium</v>
      </c>
      <c r="P5254" t="str">
        <f t="shared" si="821"/>
        <v>Low</v>
      </c>
      <c r="Q5254" t="str">
        <f t="shared" si="822"/>
        <v>Low</v>
      </c>
      <c r="R5254" t="s">
        <v>3317</v>
      </c>
      <c r="S5254" s="4">
        <f t="shared" ca="1" si="823"/>
        <v>372</v>
      </c>
      <c r="T5254">
        <f t="shared" si="824"/>
        <v>2</v>
      </c>
      <c r="U5254">
        <f t="shared" si="825"/>
        <v>1</v>
      </c>
      <c r="V5254">
        <f t="shared" si="826"/>
        <v>1</v>
      </c>
      <c r="W5254">
        <f t="shared" si="827"/>
        <v>1</v>
      </c>
      <c r="X5254">
        <f t="shared" si="828"/>
        <v>1.4000000000000001</v>
      </c>
      <c r="Y5254" t="str">
        <f t="shared" si="829"/>
        <v>Healthy</v>
      </c>
    </row>
    <row r="5255" spans="1:25" x14ac:dyDescent="0.35">
      <c r="A5255" t="s">
        <v>20</v>
      </c>
      <c r="B5255" t="s">
        <v>21</v>
      </c>
      <c r="C5255" t="s">
        <v>214</v>
      </c>
      <c r="D5255" t="s">
        <v>809</v>
      </c>
      <c r="E5255">
        <v>80799230</v>
      </c>
      <c r="F5255" t="s">
        <v>3253</v>
      </c>
      <c r="G5255" s="3">
        <v>46520</v>
      </c>
      <c r="H5255">
        <v>36</v>
      </c>
      <c r="I5255">
        <v>30</v>
      </c>
      <c r="J5255">
        <v>42</v>
      </c>
      <c r="K5255" s="4">
        <v>4368</v>
      </c>
      <c r="L5255" s="4">
        <v>0.42857142857142855</v>
      </c>
      <c r="M5255" s="4">
        <v>98</v>
      </c>
      <c r="N5255" t="s">
        <v>19</v>
      </c>
      <c r="O5255" t="str">
        <f t="shared" si="820"/>
        <v>Medium</v>
      </c>
      <c r="P5255" t="str">
        <f t="shared" si="821"/>
        <v>High</v>
      </c>
      <c r="Q5255" t="str">
        <f t="shared" si="822"/>
        <v>High</v>
      </c>
      <c r="R5255" t="s">
        <v>3317</v>
      </c>
      <c r="S5255" s="4">
        <f t="shared" ca="1" si="823"/>
        <v>323</v>
      </c>
      <c r="T5255">
        <f t="shared" si="824"/>
        <v>2</v>
      </c>
      <c r="U5255">
        <f t="shared" si="825"/>
        <v>3</v>
      </c>
      <c r="V5255">
        <f t="shared" si="826"/>
        <v>3</v>
      </c>
      <c r="W5255">
        <f t="shared" si="827"/>
        <v>1</v>
      </c>
      <c r="X5255">
        <f t="shared" si="828"/>
        <v>2.4</v>
      </c>
      <c r="Y5255" t="str">
        <f t="shared" si="829"/>
        <v>High Priority</v>
      </c>
    </row>
    <row r="5256" spans="1:25" x14ac:dyDescent="0.35">
      <c r="A5256" t="s">
        <v>71</v>
      </c>
      <c r="B5256" t="s">
        <v>72</v>
      </c>
      <c r="C5256" t="s">
        <v>174</v>
      </c>
      <c r="D5256" t="s">
        <v>175</v>
      </c>
      <c r="E5256">
        <v>80808830</v>
      </c>
      <c r="F5256" t="s">
        <v>3254</v>
      </c>
      <c r="G5256" s="3">
        <v>46636</v>
      </c>
      <c r="H5256">
        <v>36</v>
      </c>
      <c r="I5256">
        <v>41</v>
      </c>
      <c r="J5256">
        <v>8</v>
      </c>
      <c r="K5256" s="4">
        <v>8991.68</v>
      </c>
      <c r="L5256" s="4">
        <f>0</f>
        <v>0</v>
      </c>
      <c r="M5256" s="4">
        <f>999</f>
        <v>999</v>
      </c>
      <c r="N5256" t="s">
        <v>19</v>
      </c>
      <c r="O5256" t="str">
        <f t="shared" si="820"/>
        <v>Low</v>
      </c>
      <c r="P5256" t="str">
        <f t="shared" si="821"/>
        <v>High</v>
      </c>
      <c r="Q5256" t="str">
        <f t="shared" si="822"/>
        <v>High</v>
      </c>
      <c r="R5256" t="s">
        <v>3317</v>
      </c>
      <c r="S5256" s="4">
        <f t="shared" ca="1" si="823"/>
        <v>439</v>
      </c>
      <c r="T5256">
        <f t="shared" si="824"/>
        <v>1</v>
      </c>
      <c r="U5256">
        <f t="shared" si="825"/>
        <v>3</v>
      </c>
      <c r="V5256">
        <f t="shared" si="826"/>
        <v>3</v>
      </c>
      <c r="W5256">
        <f t="shared" si="827"/>
        <v>1</v>
      </c>
      <c r="X5256">
        <f t="shared" si="828"/>
        <v>2</v>
      </c>
      <c r="Y5256" t="str">
        <f t="shared" si="829"/>
        <v>Monitor</v>
      </c>
    </row>
    <row r="5257" spans="1:25" x14ac:dyDescent="0.35">
      <c r="A5257" t="s">
        <v>71</v>
      </c>
      <c r="B5257" t="s">
        <v>72</v>
      </c>
      <c r="C5257" t="s">
        <v>73</v>
      </c>
      <c r="D5257" t="s">
        <v>876</v>
      </c>
      <c r="E5257">
        <v>80815777</v>
      </c>
      <c r="F5257" t="s">
        <v>3255</v>
      </c>
      <c r="G5257" s="3">
        <v>46875</v>
      </c>
      <c r="H5257">
        <v>36</v>
      </c>
      <c r="I5257">
        <v>63</v>
      </c>
      <c r="J5257">
        <v>4</v>
      </c>
      <c r="K5257" s="4">
        <v>4171.6400000000003</v>
      </c>
      <c r="L5257" s="4">
        <v>14</v>
      </c>
      <c r="M5257" s="4">
        <v>0.2857142857142857</v>
      </c>
      <c r="N5257" t="s">
        <v>25</v>
      </c>
      <c r="O5257" t="str">
        <f t="shared" si="820"/>
        <v>Low</v>
      </c>
      <c r="P5257" t="str">
        <f t="shared" si="821"/>
        <v>Low</v>
      </c>
      <c r="Q5257" t="str">
        <f t="shared" si="822"/>
        <v>Medium</v>
      </c>
      <c r="R5257" t="s">
        <v>3317</v>
      </c>
      <c r="S5257" s="4">
        <f t="shared" ca="1" si="823"/>
        <v>678</v>
      </c>
      <c r="T5257">
        <f t="shared" si="824"/>
        <v>1</v>
      </c>
      <c r="U5257">
        <f t="shared" si="825"/>
        <v>1</v>
      </c>
      <c r="V5257">
        <f t="shared" si="826"/>
        <v>2</v>
      </c>
      <c r="W5257">
        <f t="shared" si="827"/>
        <v>1</v>
      </c>
      <c r="X5257">
        <f t="shared" si="828"/>
        <v>1.2000000000000002</v>
      </c>
      <c r="Y5257" t="str">
        <f t="shared" si="829"/>
        <v>Healthy</v>
      </c>
    </row>
    <row r="5258" spans="1:25" x14ac:dyDescent="0.35">
      <c r="A5258" t="s">
        <v>71</v>
      </c>
      <c r="B5258" t="s">
        <v>72</v>
      </c>
      <c r="C5258" t="s">
        <v>73</v>
      </c>
      <c r="D5258" t="s">
        <v>876</v>
      </c>
      <c r="E5258">
        <v>80815777</v>
      </c>
      <c r="F5258" t="s">
        <v>3255</v>
      </c>
      <c r="G5258" s="3">
        <v>46894</v>
      </c>
      <c r="H5258">
        <v>36</v>
      </c>
      <c r="I5258">
        <v>65</v>
      </c>
      <c r="J5258">
        <v>4</v>
      </c>
      <c r="K5258" s="4">
        <v>4171.6400000000003</v>
      </c>
      <c r="L5258" s="4">
        <v>14</v>
      </c>
      <c r="M5258" s="4">
        <v>0.2857142857142857</v>
      </c>
      <c r="N5258" t="s">
        <v>25</v>
      </c>
      <c r="O5258" t="str">
        <f t="shared" si="820"/>
        <v>Low</v>
      </c>
      <c r="P5258" t="str">
        <f t="shared" si="821"/>
        <v>Low</v>
      </c>
      <c r="Q5258" t="str">
        <f t="shared" si="822"/>
        <v>Medium</v>
      </c>
      <c r="R5258" t="s">
        <v>3317</v>
      </c>
      <c r="S5258" s="4">
        <f t="shared" ca="1" si="823"/>
        <v>697</v>
      </c>
      <c r="T5258">
        <f t="shared" si="824"/>
        <v>1</v>
      </c>
      <c r="U5258">
        <f t="shared" si="825"/>
        <v>1</v>
      </c>
      <c r="V5258">
        <f t="shared" si="826"/>
        <v>2</v>
      </c>
      <c r="W5258">
        <f t="shared" si="827"/>
        <v>1</v>
      </c>
      <c r="X5258">
        <f t="shared" si="828"/>
        <v>1.2000000000000002</v>
      </c>
      <c r="Y5258" t="str">
        <f t="shared" si="829"/>
        <v>Healthy</v>
      </c>
    </row>
    <row r="5259" spans="1:25" x14ac:dyDescent="0.35">
      <c r="A5259" t="s">
        <v>189</v>
      </c>
      <c r="B5259" t="s">
        <v>262</v>
      </c>
      <c r="C5259" t="s">
        <v>262</v>
      </c>
      <c r="D5259" t="s">
        <v>3256</v>
      </c>
      <c r="E5259">
        <v>80816867</v>
      </c>
      <c r="F5259" t="s">
        <v>3257</v>
      </c>
      <c r="G5259" s="3">
        <v>46492</v>
      </c>
      <c r="H5259">
        <v>18</v>
      </c>
      <c r="I5259">
        <v>56</v>
      </c>
      <c r="J5259">
        <v>3</v>
      </c>
      <c r="K5259" s="4">
        <v>5342.04</v>
      </c>
      <c r="L5259" s="4">
        <v>46.285714285714285</v>
      </c>
      <c r="M5259" s="4">
        <v>6.4814814814814811E-2</v>
      </c>
      <c r="N5259" t="s">
        <v>25</v>
      </c>
      <c r="O5259" t="str">
        <f t="shared" si="820"/>
        <v>Low</v>
      </c>
      <c r="P5259" t="str">
        <f t="shared" si="821"/>
        <v>Low</v>
      </c>
      <c r="Q5259" t="str">
        <f t="shared" si="822"/>
        <v>Low</v>
      </c>
      <c r="R5259" t="s">
        <v>3317</v>
      </c>
      <c r="S5259" s="4">
        <f t="shared" ca="1" si="823"/>
        <v>295</v>
      </c>
      <c r="T5259">
        <f t="shared" si="824"/>
        <v>1</v>
      </c>
      <c r="U5259">
        <f t="shared" si="825"/>
        <v>1</v>
      </c>
      <c r="V5259">
        <f t="shared" si="826"/>
        <v>1</v>
      </c>
      <c r="W5259">
        <f t="shared" si="827"/>
        <v>1</v>
      </c>
      <c r="X5259">
        <f t="shared" si="828"/>
        <v>0.99999999999999989</v>
      </c>
      <c r="Y5259" t="str">
        <f t="shared" si="829"/>
        <v>Healthy</v>
      </c>
    </row>
    <row r="5260" spans="1:25" x14ac:dyDescent="0.35">
      <c r="A5260" t="s">
        <v>90</v>
      </c>
      <c r="B5260" t="s">
        <v>217</v>
      </c>
      <c r="C5260" t="s">
        <v>239</v>
      </c>
      <c r="D5260" t="s">
        <v>240</v>
      </c>
      <c r="E5260">
        <v>80821329</v>
      </c>
      <c r="F5260" t="s">
        <v>3258</v>
      </c>
      <c r="G5260" s="3">
        <v>46337</v>
      </c>
      <c r="H5260">
        <v>24</v>
      </c>
      <c r="I5260">
        <v>20</v>
      </c>
      <c r="J5260">
        <v>35</v>
      </c>
      <c r="K5260" s="4">
        <v>1210.6500000000001</v>
      </c>
      <c r="L5260" s="4">
        <f>0</f>
        <v>0</v>
      </c>
      <c r="M5260" s="4">
        <f>999</f>
        <v>999</v>
      </c>
      <c r="N5260" t="s">
        <v>19</v>
      </c>
      <c r="O5260" t="str">
        <f t="shared" si="820"/>
        <v>Medium</v>
      </c>
      <c r="P5260" t="str">
        <f t="shared" si="821"/>
        <v>High</v>
      </c>
      <c r="Q5260" t="str">
        <f t="shared" si="822"/>
        <v>High</v>
      </c>
      <c r="R5260" t="s">
        <v>3317</v>
      </c>
      <c r="S5260" s="4">
        <f t="shared" ca="1" si="823"/>
        <v>140</v>
      </c>
      <c r="T5260">
        <f t="shared" si="824"/>
        <v>2</v>
      </c>
      <c r="U5260">
        <f t="shared" si="825"/>
        <v>3</v>
      </c>
      <c r="V5260">
        <f t="shared" si="826"/>
        <v>3</v>
      </c>
      <c r="W5260">
        <f t="shared" si="827"/>
        <v>1</v>
      </c>
      <c r="X5260">
        <f t="shared" si="828"/>
        <v>2.4</v>
      </c>
      <c r="Y5260" t="str">
        <f t="shared" si="829"/>
        <v>High Priority</v>
      </c>
    </row>
    <row r="5261" spans="1:25" x14ac:dyDescent="0.35">
      <c r="A5261" t="s">
        <v>90</v>
      </c>
      <c r="B5261" t="s">
        <v>217</v>
      </c>
      <c r="C5261" t="s">
        <v>239</v>
      </c>
      <c r="D5261" t="s">
        <v>240</v>
      </c>
      <c r="E5261">
        <v>80821329</v>
      </c>
      <c r="F5261" t="s">
        <v>3258</v>
      </c>
      <c r="G5261" s="3">
        <v>46374</v>
      </c>
      <c r="H5261">
        <v>24</v>
      </c>
      <c r="I5261">
        <v>25</v>
      </c>
      <c r="J5261">
        <v>51</v>
      </c>
      <c r="K5261" s="4">
        <v>1764.09</v>
      </c>
      <c r="L5261" s="4">
        <f>0</f>
        <v>0</v>
      </c>
      <c r="M5261" s="4">
        <f>999</f>
        <v>999</v>
      </c>
      <c r="N5261" t="s">
        <v>19</v>
      </c>
      <c r="O5261" t="str">
        <f t="shared" si="820"/>
        <v>Medium</v>
      </c>
      <c r="P5261" t="str">
        <f t="shared" si="821"/>
        <v>High</v>
      </c>
      <c r="Q5261" t="str">
        <f t="shared" si="822"/>
        <v>High</v>
      </c>
      <c r="R5261" t="s">
        <v>3317</v>
      </c>
      <c r="S5261" s="4">
        <f t="shared" ca="1" si="823"/>
        <v>177</v>
      </c>
      <c r="T5261">
        <f t="shared" si="824"/>
        <v>2</v>
      </c>
      <c r="U5261">
        <f t="shared" si="825"/>
        <v>3</v>
      </c>
      <c r="V5261">
        <f t="shared" si="826"/>
        <v>3</v>
      </c>
      <c r="W5261">
        <f t="shared" si="827"/>
        <v>1</v>
      </c>
      <c r="X5261">
        <f t="shared" si="828"/>
        <v>2.4</v>
      </c>
      <c r="Y5261" t="str">
        <f t="shared" si="829"/>
        <v>High Priority</v>
      </c>
    </row>
    <row r="5262" spans="1:25" x14ac:dyDescent="0.35">
      <c r="A5262" t="s">
        <v>179</v>
      </c>
      <c r="B5262" t="s">
        <v>180</v>
      </c>
      <c r="C5262" t="s">
        <v>181</v>
      </c>
      <c r="D5262" t="s">
        <v>296</v>
      </c>
      <c r="E5262">
        <v>80829756</v>
      </c>
      <c r="F5262" t="s">
        <v>3259</v>
      </c>
      <c r="G5262" s="3">
        <v>46141</v>
      </c>
      <c r="H5262">
        <v>16</v>
      </c>
      <c r="I5262">
        <v>0</v>
      </c>
      <c r="J5262">
        <v>96</v>
      </c>
      <c r="K5262" s="4">
        <v>16980.48</v>
      </c>
      <c r="L5262" s="4">
        <v>7.7142857142857144</v>
      </c>
      <c r="M5262" s="4">
        <v>12.444444444444445</v>
      </c>
      <c r="N5262" t="s">
        <v>19</v>
      </c>
      <c r="O5262" t="str">
        <f t="shared" si="820"/>
        <v>High</v>
      </c>
      <c r="P5262" t="str">
        <f t="shared" si="821"/>
        <v>High</v>
      </c>
      <c r="Q5262" t="str">
        <f t="shared" si="822"/>
        <v>Medium</v>
      </c>
      <c r="R5262" t="s">
        <v>3317</v>
      </c>
      <c r="S5262" s="4">
        <f t="shared" ca="1" si="823"/>
        <v>-56</v>
      </c>
      <c r="T5262">
        <f t="shared" si="824"/>
        <v>3</v>
      </c>
      <c r="U5262">
        <f t="shared" si="825"/>
        <v>3</v>
      </c>
      <c r="V5262">
        <f t="shared" si="826"/>
        <v>2</v>
      </c>
      <c r="W5262">
        <f t="shared" si="827"/>
        <v>1</v>
      </c>
      <c r="X5262">
        <f t="shared" si="828"/>
        <v>2.6</v>
      </c>
      <c r="Y5262" t="str">
        <f t="shared" si="829"/>
        <v>High Priority</v>
      </c>
    </row>
    <row r="5263" spans="1:25" x14ac:dyDescent="0.35">
      <c r="A5263" t="s">
        <v>41</v>
      </c>
      <c r="B5263" t="s">
        <v>54</v>
      </c>
      <c r="C5263" t="s">
        <v>55</v>
      </c>
      <c r="D5263" t="s">
        <v>3260</v>
      </c>
      <c r="E5263">
        <v>80808863</v>
      </c>
      <c r="F5263" t="s">
        <v>3261</v>
      </c>
      <c r="G5263" s="3">
        <v>46521</v>
      </c>
      <c r="H5263">
        <v>36</v>
      </c>
      <c r="I5263">
        <v>30</v>
      </c>
      <c r="J5263">
        <v>30</v>
      </c>
      <c r="K5263" s="4">
        <v>13352.4</v>
      </c>
      <c r="L5263" s="4">
        <f>0</f>
        <v>0</v>
      </c>
      <c r="M5263" s="4">
        <f>999</f>
        <v>999</v>
      </c>
      <c r="N5263" t="s">
        <v>19</v>
      </c>
      <c r="O5263" t="str">
        <f t="shared" si="820"/>
        <v>Medium</v>
      </c>
      <c r="P5263" t="str">
        <f t="shared" si="821"/>
        <v>High</v>
      </c>
      <c r="Q5263" t="str">
        <f t="shared" si="822"/>
        <v>High</v>
      </c>
      <c r="R5263" t="s">
        <v>3317</v>
      </c>
      <c r="S5263" s="4">
        <f t="shared" ca="1" si="823"/>
        <v>324</v>
      </c>
      <c r="T5263">
        <f t="shared" si="824"/>
        <v>2</v>
      </c>
      <c r="U5263">
        <f t="shared" si="825"/>
        <v>3</v>
      </c>
      <c r="V5263">
        <f t="shared" si="826"/>
        <v>3</v>
      </c>
      <c r="W5263">
        <f t="shared" si="827"/>
        <v>1</v>
      </c>
      <c r="X5263">
        <f t="shared" si="828"/>
        <v>2.4</v>
      </c>
      <c r="Y5263" t="str">
        <f t="shared" si="829"/>
        <v>High Priority</v>
      </c>
    </row>
    <row r="5264" spans="1:25" x14ac:dyDescent="0.35">
      <c r="A5264" t="s">
        <v>90</v>
      </c>
      <c r="B5264" t="s">
        <v>91</v>
      </c>
      <c r="C5264" t="s">
        <v>478</v>
      </c>
      <c r="D5264" t="s">
        <v>3262</v>
      </c>
      <c r="E5264">
        <v>80814755</v>
      </c>
      <c r="F5264" t="s">
        <v>3263</v>
      </c>
      <c r="G5264" s="3">
        <v>48487</v>
      </c>
      <c r="H5264">
        <v>24</v>
      </c>
      <c r="I5264">
        <v>100</v>
      </c>
      <c r="J5264">
        <v>6</v>
      </c>
      <c r="K5264" s="4">
        <v>432</v>
      </c>
      <c r="L5264" s="4">
        <v>394.85714285714283</v>
      </c>
      <c r="M5264" s="4">
        <v>1.5195369030390739E-2</v>
      </c>
      <c r="N5264" t="s">
        <v>25</v>
      </c>
      <c r="O5264" t="str">
        <f t="shared" si="820"/>
        <v>Low</v>
      </c>
      <c r="P5264" t="str">
        <f t="shared" si="821"/>
        <v>Low</v>
      </c>
      <c r="Q5264" t="str">
        <f t="shared" si="822"/>
        <v>Low</v>
      </c>
      <c r="R5264" t="s">
        <v>3317</v>
      </c>
      <c r="S5264" s="4">
        <f t="shared" ca="1" si="823"/>
        <v>2290</v>
      </c>
      <c r="T5264">
        <f t="shared" si="824"/>
        <v>1</v>
      </c>
      <c r="U5264">
        <f t="shared" si="825"/>
        <v>1</v>
      </c>
      <c r="V5264">
        <f t="shared" si="826"/>
        <v>1</v>
      </c>
      <c r="W5264">
        <f t="shared" si="827"/>
        <v>1</v>
      </c>
      <c r="X5264">
        <f t="shared" si="828"/>
        <v>0.99999999999999989</v>
      </c>
      <c r="Y5264" t="str">
        <f t="shared" si="829"/>
        <v>Healthy</v>
      </c>
    </row>
    <row r="5265" spans="1:25" x14ac:dyDescent="0.35">
      <c r="A5265" t="s">
        <v>90</v>
      </c>
      <c r="B5265" t="s">
        <v>91</v>
      </c>
      <c r="C5265" t="s">
        <v>478</v>
      </c>
      <c r="D5265" t="s">
        <v>3262</v>
      </c>
      <c r="E5265">
        <v>80814755</v>
      </c>
      <c r="F5265" t="s">
        <v>3263</v>
      </c>
      <c r="G5265" s="3">
        <v>47025</v>
      </c>
      <c r="H5265">
        <v>24</v>
      </c>
      <c r="I5265">
        <v>100</v>
      </c>
      <c r="J5265">
        <v>12</v>
      </c>
      <c r="K5265" s="4">
        <v>864</v>
      </c>
      <c r="L5265" s="4">
        <v>394.85714285714283</v>
      </c>
      <c r="M5265" s="4">
        <v>3.0390738060781478E-2</v>
      </c>
      <c r="N5265" t="s">
        <v>25</v>
      </c>
      <c r="O5265" t="str">
        <f t="shared" si="820"/>
        <v>Low</v>
      </c>
      <c r="P5265" t="str">
        <f t="shared" si="821"/>
        <v>Low</v>
      </c>
      <c r="Q5265" t="str">
        <f t="shared" si="822"/>
        <v>Low</v>
      </c>
      <c r="R5265" t="s">
        <v>3317</v>
      </c>
      <c r="S5265" s="4">
        <f t="shared" ca="1" si="823"/>
        <v>828</v>
      </c>
      <c r="T5265">
        <f t="shared" si="824"/>
        <v>1</v>
      </c>
      <c r="U5265">
        <f t="shared" si="825"/>
        <v>1</v>
      </c>
      <c r="V5265">
        <f t="shared" si="826"/>
        <v>1</v>
      </c>
      <c r="W5265">
        <f t="shared" si="827"/>
        <v>1</v>
      </c>
      <c r="X5265">
        <f t="shared" si="828"/>
        <v>0.99999999999999989</v>
      </c>
      <c r="Y5265" t="str">
        <f t="shared" si="829"/>
        <v>Healthy</v>
      </c>
    </row>
    <row r="5266" spans="1:25" x14ac:dyDescent="0.35">
      <c r="A5266" t="s">
        <v>14</v>
      </c>
      <c r="B5266" t="s">
        <v>115</v>
      </c>
      <c r="C5266" t="s">
        <v>116</v>
      </c>
      <c r="D5266" t="s">
        <v>3264</v>
      </c>
      <c r="E5266">
        <v>80816853</v>
      </c>
      <c r="F5266" t="s">
        <v>3265</v>
      </c>
      <c r="G5266" s="3">
        <v>46942</v>
      </c>
      <c r="H5266">
        <v>36</v>
      </c>
      <c r="I5266">
        <v>69</v>
      </c>
      <c r="J5266">
        <v>244</v>
      </c>
      <c r="K5266" s="4">
        <v>13542</v>
      </c>
      <c r="L5266" s="4">
        <v>1069.7142857142858</v>
      </c>
      <c r="M5266" s="4">
        <v>0.22809829059829059</v>
      </c>
      <c r="N5266" t="s">
        <v>25</v>
      </c>
      <c r="O5266" t="str">
        <f t="shared" si="820"/>
        <v>Low</v>
      </c>
      <c r="P5266" t="str">
        <f t="shared" si="821"/>
        <v>Low</v>
      </c>
      <c r="Q5266" t="str">
        <f t="shared" si="822"/>
        <v>Low</v>
      </c>
      <c r="R5266" t="s">
        <v>3317</v>
      </c>
      <c r="S5266" s="4">
        <f t="shared" ca="1" si="823"/>
        <v>745</v>
      </c>
      <c r="T5266">
        <f t="shared" si="824"/>
        <v>1</v>
      </c>
      <c r="U5266">
        <f t="shared" si="825"/>
        <v>1</v>
      </c>
      <c r="V5266">
        <f t="shared" si="826"/>
        <v>1</v>
      </c>
      <c r="W5266">
        <f t="shared" si="827"/>
        <v>1</v>
      </c>
      <c r="X5266">
        <f t="shared" si="828"/>
        <v>0.99999999999999989</v>
      </c>
      <c r="Y5266" t="str">
        <f t="shared" si="829"/>
        <v>Healthy</v>
      </c>
    </row>
    <row r="5267" spans="1:25" x14ac:dyDescent="0.35">
      <c r="A5267" t="s">
        <v>14</v>
      </c>
      <c r="B5267" t="s">
        <v>115</v>
      </c>
      <c r="C5267" t="s">
        <v>116</v>
      </c>
      <c r="D5267" t="s">
        <v>3264</v>
      </c>
      <c r="E5267">
        <v>80816853</v>
      </c>
      <c r="F5267" t="s">
        <v>3265</v>
      </c>
      <c r="G5267" s="3">
        <v>47018</v>
      </c>
      <c r="H5267">
        <v>36</v>
      </c>
      <c r="I5267">
        <v>76</v>
      </c>
      <c r="J5267">
        <v>720</v>
      </c>
      <c r="K5267" s="4">
        <v>39960</v>
      </c>
      <c r="L5267" s="4">
        <v>1069.7142857142858</v>
      </c>
      <c r="M5267" s="4">
        <v>0.67307692307692302</v>
      </c>
      <c r="N5267" t="s">
        <v>25</v>
      </c>
      <c r="O5267" t="str">
        <f t="shared" si="820"/>
        <v>Low</v>
      </c>
      <c r="P5267" t="str">
        <f t="shared" si="821"/>
        <v>Low</v>
      </c>
      <c r="Q5267" t="str">
        <f t="shared" si="822"/>
        <v>Low</v>
      </c>
      <c r="R5267" t="s">
        <v>3317</v>
      </c>
      <c r="S5267" s="4">
        <f t="shared" ca="1" si="823"/>
        <v>821</v>
      </c>
      <c r="T5267">
        <f t="shared" si="824"/>
        <v>1</v>
      </c>
      <c r="U5267">
        <f t="shared" si="825"/>
        <v>1</v>
      </c>
      <c r="V5267">
        <f t="shared" si="826"/>
        <v>1</v>
      </c>
      <c r="W5267">
        <f t="shared" si="827"/>
        <v>1</v>
      </c>
      <c r="X5267">
        <f t="shared" si="828"/>
        <v>0.99999999999999989</v>
      </c>
      <c r="Y5267" t="str">
        <f t="shared" si="829"/>
        <v>Healthy</v>
      </c>
    </row>
    <row r="5268" spans="1:25" x14ac:dyDescent="0.35">
      <c r="A5268" t="s">
        <v>14</v>
      </c>
      <c r="B5268" t="s">
        <v>115</v>
      </c>
      <c r="C5268" t="s">
        <v>116</v>
      </c>
      <c r="D5268" t="s">
        <v>3264</v>
      </c>
      <c r="E5268">
        <v>80816853</v>
      </c>
      <c r="F5268" t="s">
        <v>3265</v>
      </c>
      <c r="G5268" s="3">
        <v>47016</v>
      </c>
      <c r="H5268">
        <v>36</v>
      </c>
      <c r="I5268">
        <v>76</v>
      </c>
      <c r="J5268">
        <v>720</v>
      </c>
      <c r="K5268" s="4">
        <v>39960</v>
      </c>
      <c r="L5268" s="4">
        <v>1069.7142857142858</v>
      </c>
      <c r="M5268" s="4">
        <v>0.67307692307692302</v>
      </c>
      <c r="N5268" t="s">
        <v>25</v>
      </c>
      <c r="O5268" t="str">
        <f t="shared" si="820"/>
        <v>Low</v>
      </c>
      <c r="P5268" t="str">
        <f t="shared" si="821"/>
        <v>Low</v>
      </c>
      <c r="Q5268" t="str">
        <f t="shared" si="822"/>
        <v>Low</v>
      </c>
      <c r="R5268" t="s">
        <v>3317</v>
      </c>
      <c r="S5268" s="4">
        <f t="shared" ca="1" si="823"/>
        <v>819</v>
      </c>
      <c r="T5268">
        <f t="shared" si="824"/>
        <v>1</v>
      </c>
      <c r="U5268">
        <f t="shared" si="825"/>
        <v>1</v>
      </c>
      <c r="V5268">
        <f t="shared" si="826"/>
        <v>1</v>
      </c>
      <c r="W5268">
        <f t="shared" si="827"/>
        <v>1</v>
      </c>
      <c r="X5268">
        <f t="shared" si="828"/>
        <v>0.99999999999999989</v>
      </c>
      <c r="Y5268" t="str">
        <f t="shared" si="829"/>
        <v>Healthy</v>
      </c>
    </row>
    <row r="5269" spans="1:25" x14ac:dyDescent="0.35">
      <c r="A5269" t="s">
        <v>14</v>
      </c>
      <c r="B5269" t="s">
        <v>115</v>
      </c>
      <c r="C5269" t="s">
        <v>116</v>
      </c>
      <c r="D5269" t="s">
        <v>3264</v>
      </c>
      <c r="E5269">
        <v>80816853</v>
      </c>
      <c r="F5269" t="s">
        <v>3265</v>
      </c>
      <c r="G5269" s="3">
        <v>47019</v>
      </c>
      <c r="H5269">
        <v>36</v>
      </c>
      <c r="I5269">
        <v>77</v>
      </c>
      <c r="J5269">
        <v>1440</v>
      </c>
      <c r="K5269" s="4">
        <v>79920</v>
      </c>
      <c r="L5269" s="4">
        <v>1069.7142857142858</v>
      </c>
      <c r="M5269" s="4">
        <v>1.346153846153846</v>
      </c>
      <c r="N5269" t="s">
        <v>25</v>
      </c>
      <c r="O5269" t="str">
        <f t="shared" si="820"/>
        <v>Low</v>
      </c>
      <c r="P5269" t="str">
        <f t="shared" si="821"/>
        <v>Low</v>
      </c>
      <c r="Q5269" t="str">
        <f t="shared" si="822"/>
        <v>Low</v>
      </c>
      <c r="R5269" t="s">
        <v>3310</v>
      </c>
      <c r="S5269" s="4">
        <f t="shared" ca="1" si="823"/>
        <v>822</v>
      </c>
      <c r="T5269">
        <f t="shared" si="824"/>
        <v>1</v>
      </c>
      <c r="U5269">
        <f t="shared" si="825"/>
        <v>1</v>
      </c>
      <c r="V5269">
        <f t="shared" si="826"/>
        <v>1</v>
      </c>
      <c r="W5269">
        <f t="shared" si="827"/>
        <v>2</v>
      </c>
      <c r="X5269">
        <f t="shared" si="828"/>
        <v>1.0999999999999999</v>
      </c>
      <c r="Y5269" t="str">
        <f t="shared" si="829"/>
        <v>Healthy</v>
      </c>
    </row>
    <row r="5270" spans="1:25" x14ac:dyDescent="0.35">
      <c r="A5270" t="s">
        <v>41</v>
      </c>
      <c r="B5270" t="s">
        <v>80</v>
      </c>
      <c r="C5270" t="s">
        <v>502</v>
      </c>
      <c r="D5270" t="s">
        <v>503</v>
      </c>
      <c r="E5270">
        <v>80840378</v>
      </c>
      <c r="F5270" t="s">
        <v>3266</v>
      </c>
      <c r="G5270" s="3">
        <v>46941</v>
      </c>
      <c r="H5270">
        <v>36</v>
      </c>
      <c r="I5270">
        <v>69</v>
      </c>
      <c r="J5270">
        <v>5</v>
      </c>
      <c r="K5270" s="4">
        <v>2339.9499999999998</v>
      </c>
      <c r="L5270" s="4">
        <v>122.57142857142857</v>
      </c>
      <c r="M5270" s="4">
        <v>4.0792540792540792E-2</v>
      </c>
      <c r="N5270" t="s">
        <v>25</v>
      </c>
      <c r="O5270" t="str">
        <f t="shared" si="820"/>
        <v>Low</v>
      </c>
      <c r="P5270" t="str">
        <f t="shared" si="821"/>
        <v>Low</v>
      </c>
      <c r="Q5270" t="str">
        <f t="shared" si="822"/>
        <v>Low</v>
      </c>
      <c r="R5270" t="s">
        <v>3317</v>
      </c>
      <c r="S5270" s="4">
        <f t="shared" ca="1" si="823"/>
        <v>744</v>
      </c>
      <c r="T5270">
        <f t="shared" si="824"/>
        <v>1</v>
      </c>
      <c r="U5270">
        <f t="shared" si="825"/>
        <v>1</v>
      </c>
      <c r="V5270">
        <f t="shared" si="826"/>
        <v>1</v>
      </c>
      <c r="W5270">
        <f t="shared" si="827"/>
        <v>1</v>
      </c>
      <c r="X5270">
        <f t="shared" si="828"/>
        <v>0.99999999999999989</v>
      </c>
      <c r="Y5270" t="str">
        <f t="shared" si="829"/>
        <v>Healthy</v>
      </c>
    </row>
    <row r="5271" spans="1:25" x14ac:dyDescent="0.35">
      <c r="A5271" t="s">
        <v>20</v>
      </c>
      <c r="B5271" t="s">
        <v>21</v>
      </c>
      <c r="C5271" t="s">
        <v>133</v>
      </c>
      <c r="D5271" t="s">
        <v>3267</v>
      </c>
      <c r="E5271">
        <v>80791622</v>
      </c>
      <c r="F5271" t="s">
        <v>3268</v>
      </c>
      <c r="G5271" s="3">
        <v>46808</v>
      </c>
      <c r="H5271">
        <v>36</v>
      </c>
      <c r="I5271">
        <v>57</v>
      </c>
      <c r="J5271">
        <v>96</v>
      </c>
      <c r="K5271" s="4">
        <v>1310775.3600000001</v>
      </c>
      <c r="L5271" s="4">
        <v>5.1428571428571432</v>
      </c>
      <c r="M5271" s="4">
        <v>18.666666666666664</v>
      </c>
      <c r="N5271" t="s">
        <v>19</v>
      </c>
      <c r="O5271" t="str">
        <f t="shared" si="820"/>
        <v>Low</v>
      </c>
      <c r="P5271" t="str">
        <f t="shared" si="821"/>
        <v>High</v>
      </c>
      <c r="Q5271" t="str">
        <f t="shared" si="822"/>
        <v>Medium</v>
      </c>
      <c r="R5271" t="s">
        <v>3309</v>
      </c>
      <c r="S5271" s="4">
        <f t="shared" ca="1" si="823"/>
        <v>611</v>
      </c>
      <c r="T5271">
        <f t="shared" si="824"/>
        <v>1</v>
      </c>
      <c r="U5271">
        <f t="shared" si="825"/>
        <v>3</v>
      </c>
      <c r="V5271">
        <f t="shared" si="826"/>
        <v>2</v>
      </c>
      <c r="W5271">
        <f t="shared" si="827"/>
        <v>3</v>
      </c>
      <c r="X5271">
        <f t="shared" si="828"/>
        <v>1.9999999999999998</v>
      </c>
      <c r="Y5271" t="str">
        <f t="shared" si="829"/>
        <v>Monitor</v>
      </c>
    </row>
    <row r="5272" spans="1:25" x14ac:dyDescent="0.35">
      <c r="A5272" t="s">
        <v>14</v>
      </c>
      <c r="B5272" t="s">
        <v>960</v>
      </c>
      <c r="C5272" t="s">
        <v>961</v>
      </c>
      <c r="D5272" t="s">
        <v>2928</v>
      </c>
      <c r="E5272">
        <v>80832644</v>
      </c>
      <c r="F5272" t="s">
        <v>3269</v>
      </c>
      <c r="G5272" s="3">
        <v>47435</v>
      </c>
      <c r="H5272">
        <v>60</v>
      </c>
      <c r="I5272">
        <v>69</v>
      </c>
      <c r="J5272">
        <v>6</v>
      </c>
      <c r="K5272" s="4">
        <v>591.78</v>
      </c>
      <c r="L5272" s="4">
        <f>0</f>
        <v>0</v>
      </c>
      <c r="M5272" s="4">
        <f>999</f>
        <v>999</v>
      </c>
      <c r="N5272" t="s">
        <v>19</v>
      </c>
      <c r="O5272" t="str">
        <f t="shared" si="820"/>
        <v>Low</v>
      </c>
      <c r="P5272" t="str">
        <f t="shared" si="821"/>
        <v>High</v>
      </c>
      <c r="Q5272" t="str">
        <f t="shared" si="822"/>
        <v>High</v>
      </c>
      <c r="R5272" t="s">
        <v>3317</v>
      </c>
      <c r="S5272" s="4">
        <f t="shared" ca="1" si="823"/>
        <v>1238</v>
      </c>
      <c r="T5272">
        <f t="shared" si="824"/>
        <v>1</v>
      </c>
      <c r="U5272">
        <f t="shared" si="825"/>
        <v>3</v>
      </c>
      <c r="V5272">
        <f t="shared" si="826"/>
        <v>3</v>
      </c>
      <c r="W5272">
        <f t="shared" si="827"/>
        <v>1</v>
      </c>
      <c r="X5272">
        <f t="shared" si="828"/>
        <v>2</v>
      </c>
      <c r="Y5272" t="str">
        <f t="shared" si="829"/>
        <v>Monitor</v>
      </c>
    </row>
    <row r="5273" spans="1:25" x14ac:dyDescent="0.35">
      <c r="A5273" t="s">
        <v>99</v>
      </c>
      <c r="B5273" t="s">
        <v>100</v>
      </c>
      <c r="C5273" t="s">
        <v>101</v>
      </c>
      <c r="D5273" t="s">
        <v>3270</v>
      </c>
      <c r="E5273">
        <v>80823489</v>
      </c>
      <c r="F5273" t="s">
        <v>3271</v>
      </c>
      <c r="G5273" s="3">
        <v>46076</v>
      </c>
      <c r="H5273">
        <v>18</v>
      </c>
      <c r="I5273">
        <v>0</v>
      </c>
      <c r="J5273">
        <v>72</v>
      </c>
      <c r="K5273" s="4">
        <v>90093.6</v>
      </c>
      <c r="L5273" s="4">
        <f>0</f>
        <v>0</v>
      </c>
      <c r="M5273" s="4">
        <f>999</f>
        <v>999</v>
      </c>
      <c r="N5273" t="s">
        <v>19</v>
      </c>
      <c r="O5273" t="str">
        <f t="shared" si="820"/>
        <v>High</v>
      </c>
      <c r="P5273" t="str">
        <f t="shared" si="821"/>
        <v>High</v>
      </c>
      <c r="Q5273" t="str">
        <f t="shared" si="822"/>
        <v>High</v>
      </c>
      <c r="R5273" t="s">
        <v>3310</v>
      </c>
      <c r="S5273" s="4">
        <f t="shared" ca="1" si="823"/>
        <v>-121</v>
      </c>
      <c r="T5273">
        <f t="shared" si="824"/>
        <v>3</v>
      </c>
      <c r="U5273">
        <f t="shared" si="825"/>
        <v>3</v>
      </c>
      <c r="V5273">
        <f t="shared" si="826"/>
        <v>3</v>
      </c>
      <c r="W5273">
        <f t="shared" si="827"/>
        <v>2</v>
      </c>
      <c r="X5273">
        <f t="shared" si="828"/>
        <v>2.9000000000000004</v>
      </c>
      <c r="Y5273" t="str">
        <f t="shared" si="829"/>
        <v>Move Immediately</v>
      </c>
    </row>
    <row r="5274" spans="1:25" x14ac:dyDescent="0.35">
      <c r="A5274" t="s">
        <v>189</v>
      </c>
      <c r="B5274" t="s">
        <v>417</v>
      </c>
      <c r="C5274" t="s">
        <v>417</v>
      </c>
      <c r="D5274" t="s">
        <v>3248</v>
      </c>
      <c r="E5274">
        <v>80833586</v>
      </c>
      <c r="F5274" t="s">
        <v>3272</v>
      </c>
      <c r="G5274" s="3">
        <v>46425</v>
      </c>
      <c r="H5274">
        <v>18</v>
      </c>
      <c r="I5274">
        <v>43</v>
      </c>
      <c r="J5274">
        <v>14</v>
      </c>
      <c r="K5274" s="4">
        <v>2201.92</v>
      </c>
      <c r="L5274" s="4">
        <v>0.14285714285714285</v>
      </c>
      <c r="M5274" s="4">
        <v>98</v>
      </c>
      <c r="N5274" t="s">
        <v>19</v>
      </c>
      <c r="O5274" t="str">
        <f t="shared" si="820"/>
        <v>Low</v>
      </c>
      <c r="P5274" t="str">
        <f t="shared" si="821"/>
        <v>High</v>
      </c>
      <c r="Q5274" t="str">
        <f t="shared" si="822"/>
        <v>High</v>
      </c>
      <c r="R5274" t="s">
        <v>3317</v>
      </c>
      <c r="S5274" s="4">
        <f t="shared" ca="1" si="823"/>
        <v>228</v>
      </c>
      <c r="T5274">
        <f t="shared" si="824"/>
        <v>1</v>
      </c>
      <c r="U5274">
        <f t="shared" si="825"/>
        <v>3</v>
      </c>
      <c r="V5274">
        <f t="shared" si="826"/>
        <v>3</v>
      </c>
      <c r="W5274">
        <f t="shared" si="827"/>
        <v>1</v>
      </c>
      <c r="X5274">
        <f t="shared" si="828"/>
        <v>2</v>
      </c>
      <c r="Y5274" t="str">
        <f t="shared" si="829"/>
        <v>Monitor</v>
      </c>
    </row>
    <row r="5275" spans="1:25" x14ac:dyDescent="0.35">
      <c r="A5275" t="s">
        <v>189</v>
      </c>
      <c r="B5275" t="s">
        <v>417</v>
      </c>
      <c r="C5275" t="s">
        <v>417</v>
      </c>
      <c r="D5275" t="s">
        <v>3248</v>
      </c>
      <c r="E5275">
        <v>80833586</v>
      </c>
      <c r="F5275" t="s">
        <v>3272</v>
      </c>
      <c r="G5275" s="3">
        <v>46450</v>
      </c>
      <c r="H5275">
        <v>18</v>
      </c>
      <c r="I5275">
        <v>48</v>
      </c>
      <c r="J5275">
        <v>1</v>
      </c>
      <c r="K5275" s="4">
        <v>42937.440000000002</v>
      </c>
      <c r="L5275" s="4">
        <v>0.14285714285714285</v>
      </c>
      <c r="M5275" s="4">
        <v>7</v>
      </c>
      <c r="N5275" t="s">
        <v>19</v>
      </c>
      <c r="O5275" t="str">
        <f t="shared" si="820"/>
        <v>Low</v>
      </c>
      <c r="P5275" t="str">
        <f t="shared" si="821"/>
        <v>Medium</v>
      </c>
      <c r="Q5275" t="str">
        <f t="shared" si="822"/>
        <v>High</v>
      </c>
      <c r="R5275" t="s">
        <v>3317</v>
      </c>
      <c r="S5275" s="4">
        <f t="shared" ca="1" si="823"/>
        <v>253</v>
      </c>
      <c r="T5275">
        <f t="shared" si="824"/>
        <v>1</v>
      </c>
      <c r="U5275">
        <f t="shared" si="825"/>
        <v>2</v>
      </c>
      <c r="V5275">
        <f t="shared" si="826"/>
        <v>3</v>
      </c>
      <c r="W5275">
        <f t="shared" si="827"/>
        <v>1</v>
      </c>
      <c r="X5275">
        <f t="shared" si="828"/>
        <v>1.7000000000000002</v>
      </c>
      <c r="Y5275" t="str">
        <f t="shared" si="829"/>
        <v>Monitor</v>
      </c>
    </row>
    <row r="5276" spans="1:25" x14ac:dyDescent="0.35">
      <c r="A5276" t="s">
        <v>104</v>
      </c>
      <c r="B5276" t="s">
        <v>105</v>
      </c>
      <c r="C5276" t="s">
        <v>697</v>
      </c>
      <c r="D5276" t="s">
        <v>2145</v>
      </c>
      <c r="E5276">
        <v>80836247</v>
      </c>
      <c r="F5276" t="s">
        <v>3273</v>
      </c>
      <c r="G5276" s="3">
        <v>46596</v>
      </c>
      <c r="H5276">
        <v>24</v>
      </c>
      <c r="I5276">
        <v>56</v>
      </c>
      <c r="J5276">
        <v>8</v>
      </c>
      <c r="K5276" s="4">
        <v>2233.52</v>
      </c>
      <c r="L5276" s="4">
        <v>438</v>
      </c>
      <c r="M5276" s="4">
        <v>1.8264840182648401E-2</v>
      </c>
      <c r="N5276" t="s">
        <v>25</v>
      </c>
      <c r="O5276" t="str">
        <f t="shared" si="820"/>
        <v>Low</v>
      </c>
      <c r="P5276" t="str">
        <f t="shared" si="821"/>
        <v>Low</v>
      </c>
      <c r="Q5276" t="str">
        <f t="shared" si="822"/>
        <v>Low</v>
      </c>
      <c r="R5276" t="s">
        <v>3317</v>
      </c>
      <c r="S5276" s="4">
        <f t="shared" ca="1" si="823"/>
        <v>399</v>
      </c>
      <c r="T5276">
        <f t="shared" si="824"/>
        <v>1</v>
      </c>
      <c r="U5276">
        <f t="shared" si="825"/>
        <v>1</v>
      </c>
      <c r="V5276">
        <f t="shared" si="826"/>
        <v>1</v>
      </c>
      <c r="W5276">
        <f t="shared" si="827"/>
        <v>1</v>
      </c>
      <c r="X5276">
        <f t="shared" si="828"/>
        <v>0.99999999999999989</v>
      </c>
      <c r="Y5276" t="str">
        <f t="shared" si="829"/>
        <v>Healthy</v>
      </c>
    </row>
    <row r="5277" spans="1:25" x14ac:dyDescent="0.35">
      <c r="A5277" t="s">
        <v>104</v>
      </c>
      <c r="B5277" t="s">
        <v>105</v>
      </c>
      <c r="C5277" t="s">
        <v>697</v>
      </c>
      <c r="D5277" t="s">
        <v>2145</v>
      </c>
      <c r="E5277">
        <v>80836247</v>
      </c>
      <c r="F5277" t="s">
        <v>3273</v>
      </c>
      <c r="G5277" s="3">
        <v>46651</v>
      </c>
      <c r="H5277">
        <v>24</v>
      </c>
      <c r="I5277">
        <v>64</v>
      </c>
      <c r="J5277">
        <v>6</v>
      </c>
      <c r="K5277" s="4">
        <v>1675.14</v>
      </c>
      <c r="L5277" s="4">
        <v>438</v>
      </c>
      <c r="M5277" s="4">
        <v>1.3698630136986301E-2</v>
      </c>
      <c r="N5277" t="s">
        <v>25</v>
      </c>
      <c r="O5277" t="str">
        <f t="shared" si="820"/>
        <v>Low</v>
      </c>
      <c r="P5277" t="str">
        <f t="shared" si="821"/>
        <v>Low</v>
      </c>
      <c r="Q5277" t="str">
        <f t="shared" si="822"/>
        <v>Low</v>
      </c>
      <c r="R5277" t="s">
        <v>3317</v>
      </c>
      <c r="S5277" s="4">
        <f t="shared" ca="1" si="823"/>
        <v>454</v>
      </c>
      <c r="T5277">
        <f t="shared" si="824"/>
        <v>1</v>
      </c>
      <c r="U5277">
        <f t="shared" si="825"/>
        <v>1</v>
      </c>
      <c r="V5277">
        <f t="shared" si="826"/>
        <v>1</v>
      </c>
      <c r="W5277">
        <f t="shared" si="827"/>
        <v>1</v>
      </c>
      <c r="X5277">
        <f t="shared" si="828"/>
        <v>0.99999999999999989</v>
      </c>
      <c r="Y5277" t="str">
        <f t="shared" si="829"/>
        <v>Healthy</v>
      </c>
    </row>
    <row r="5278" spans="1:25" x14ac:dyDescent="0.35">
      <c r="A5278" t="s">
        <v>104</v>
      </c>
      <c r="B5278" t="s">
        <v>105</v>
      </c>
      <c r="C5278" t="s">
        <v>697</v>
      </c>
      <c r="D5278" t="s">
        <v>2145</v>
      </c>
      <c r="E5278">
        <v>80836247</v>
      </c>
      <c r="F5278" t="s">
        <v>3273</v>
      </c>
      <c r="G5278" s="3">
        <v>46632</v>
      </c>
      <c r="H5278">
        <v>24</v>
      </c>
      <c r="I5278">
        <v>61</v>
      </c>
      <c r="J5278">
        <v>13</v>
      </c>
      <c r="K5278" s="4">
        <v>3629.47</v>
      </c>
      <c r="L5278" s="4">
        <v>438</v>
      </c>
      <c r="M5278" s="4">
        <v>2.9680365296803651E-2</v>
      </c>
      <c r="N5278" t="s">
        <v>25</v>
      </c>
      <c r="O5278" t="str">
        <f t="shared" si="820"/>
        <v>Low</v>
      </c>
      <c r="P5278" t="str">
        <f t="shared" si="821"/>
        <v>Low</v>
      </c>
      <c r="Q5278" t="str">
        <f t="shared" si="822"/>
        <v>Low</v>
      </c>
      <c r="R5278" t="s">
        <v>3317</v>
      </c>
      <c r="S5278" s="4">
        <f t="shared" ca="1" si="823"/>
        <v>435</v>
      </c>
      <c r="T5278">
        <f t="shared" si="824"/>
        <v>1</v>
      </c>
      <c r="U5278">
        <f t="shared" si="825"/>
        <v>1</v>
      </c>
      <c r="V5278">
        <f t="shared" si="826"/>
        <v>1</v>
      </c>
      <c r="W5278">
        <f t="shared" si="827"/>
        <v>1</v>
      </c>
      <c r="X5278">
        <f t="shared" si="828"/>
        <v>0.99999999999999989</v>
      </c>
      <c r="Y5278" t="str">
        <f t="shared" si="829"/>
        <v>Healthy</v>
      </c>
    </row>
    <row r="5279" spans="1:25" x14ac:dyDescent="0.35">
      <c r="A5279" t="s">
        <v>104</v>
      </c>
      <c r="B5279" t="s">
        <v>105</v>
      </c>
      <c r="C5279" t="s">
        <v>697</v>
      </c>
      <c r="D5279" t="s">
        <v>2145</v>
      </c>
      <c r="E5279">
        <v>80836247</v>
      </c>
      <c r="F5279" t="s">
        <v>3273</v>
      </c>
      <c r="G5279" s="3">
        <v>46327</v>
      </c>
      <c r="H5279">
        <v>24</v>
      </c>
      <c r="I5279">
        <v>19</v>
      </c>
      <c r="J5279">
        <v>8</v>
      </c>
      <c r="K5279" s="4">
        <v>2233.52</v>
      </c>
      <c r="L5279" s="4">
        <v>438</v>
      </c>
      <c r="M5279" s="4">
        <v>1.8264840182648401E-2</v>
      </c>
      <c r="N5279" t="s">
        <v>25</v>
      </c>
      <c r="O5279" t="str">
        <f t="shared" si="820"/>
        <v>High</v>
      </c>
      <c r="P5279" t="str">
        <f t="shared" si="821"/>
        <v>Low</v>
      </c>
      <c r="Q5279" t="str">
        <f t="shared" si="822"/>
        <v>Low</v>
      </c>
      <c r="R5279" t="s">
        <v>3317</v>
      </c>
      <c r="S5279" s="4">
        <f t="shared" ca="1" si="823"/>
        <v>130</v>
      </c>
      <c r="T5279">
        <f t="shared" si="824"/>
        <v>3</v>
      </c>
      <c r="U5279">
        <f t="shared" si="825"/>
        <v>1</v>
      </c>
      <c r="V5279">
        <f t="shared" si="826"/>
        <v>1</v>
      </c>
      <c r="W5279">
        <f t="shared" si="827"/>
        <v>1</v>
      </c>
      <c r="X5279">
        <f t="shared" si="828"/>
        <v>1.8000000000000003</v>
      </c>
      <c r="Y5279" t="str">
        <f t="shared" si="829"/>
        <v>Monitor</v>
      </c>
    </row>
    <row r="5280" spans="1:25" x14ac:dyDescent="0.35">
      <c r="A5280" t="s">
        <v>104</v>
      </c>
      <c r="B5280" t="s">
        <v>105</v>
      </c>
      <c r="C5280" t="s">
        <v>697</v>
      </c>
      <c r="D5280" t="s">
        <v>2145</v>
      </c>
      <c r="E5280">
        <v>80836247</v>
      </c>
      <c r="F5280" t="s">
        <v>3273</v>
      </c>
      <c r="G5280" s="3">
        <v>46792</v>
      </c>
      <c r="H5280">
        <v>24</v>
      </c>
      <c r="I5280">
        <v>83</v>
      </c>
      <c r="J5280">
        <v>14</v>
      </c>
      <c r="K5280" s="4">
        <v>3908.66</v>
      </c>
      <c r="L5280" s="4">
        <v>438</v>
      </c>
      <c r="M5280" s="4">
        <v>3.1963470319634701E-2</v>
      </c>
      <c r="N5280" t="s">
        <v>25</v>
      </c>
      <c r="O5280" t="str">
        <f t="shared" si="820"/>
        <v>Low</v>
      </c>
      <c r="P5280" t="str">
        <f t="shared" si="821"/>
        <v>Low</v>
      </c>
      <c r="Q5280" t="str">
        <f t="shared" si="822"/>
        <v>Low</v>
      </c>
      <c r="R5280" t="s">
        <v>3317</v>
      </c>
      <c r="S5280" s="4">
        <f t="shared" ca="1" si="823"/>
        <v>595</v>
      </c>
      <c r="T5280">
        <f t="shared" si="824"/>
        <v>1</v>
      </c>
      <c r="U5280">
        <f t="shared" si="825"/>
        <v>1</v>
      </c>
      <c r="V5280">
        <f t="shared" si="826"/>
        <v>1</v>
      </c>
      <c r="W5280">
        <f t="shared" si="827"/>
        <v>1</v>
      </c>
      <c r="X5280">
        <f t="shared" si="828"/>
        <v>0.99999999999999989</v>
      </c>
      <c r="Y5280" t="str">
        <f t="shared" si="829"/>
        <v>Healthy</v>
      </c>
    </row>
    <row r="5281" spans="1:25" x14ac:dyDescent="0.35">
      <c r="A5281" t="s">
        <v>179</v>
      </c>
      <c r="B5281" t="s">
        <v>223</v>
      </c>
      <c r="C5281" t="s">
        <v>357</v>
      </c>
      <c r="D5281" t="s">
        <v>3274</v>
      </c>
      <c r="E5281">
        <v>80845969</v>
      </c>
      <c r="F5281" t="s">
        <v>3275</v>
      </c>
      <c r="G5281" s="3">
        <v>46237</v>
      </c>
      <c r="H5281">
        <v>18</v>
      </c>
      <c r="I5281">
        <v>8</v>
      </c>
      <c r="J5281">
        <v>100</v>
      </c>
      <c r="K5281" s="4">
        <v>10612</v>
      </c>
      <c r="L5281" s="4">
        <f>0</f>
        <v>0</v>
      </c>
      <c r="M5281" s="4">
        <f>999</f>
        <v>999</v>
      </c>
      <c r="N5281" t="s">
        <v>19</v>
      </c>
      <c r="O5281" t="str">
        <f t="shared" si="820"/>
        <v>High</v>
      </c>
      <c r="P5281" t="str">
        <f t="shared" si="821"/>
        <v>High</v>
      </c>
      <c r="Q5281" t="str">
        <f t="shared" si="822"/>
        <v>High</v>
      </c>
      <c r="R5281" t="s">
        <v>3317</v>
      </c>
      <c r="S5281" s="4">
        <f t="shared" ca="1" si="823"/>
        <v>40</v>
      </c>
      <c r="T5281">
        <f t="shared" si="824"/>
        <v>3</v>
      </c>
      <c r="U5281">
        <f t="shared" si="825"/>
        <v>3</v>
      </c>
      <c r="V5281">
        <f t="shared" si="826"/>
        <v>3</v>
      </c>
      <c r="W5281">
        <f t="shared" si="827"/>
        <v>1</v>
      </c>
      <c r="X5281">
        <f t="shared" si="828"/>
        <v>2.8000000000000003</v>
      </c>
      <c r="Y5281" t="str">
        <f t="shared" si="829"/>
        <v>Move Immediately</v>
      </c>
    </row>
    <row r="5282" spans="1:25" x14ac:dyDescent="0.35">
      <c r="A5282" t="s">
        <v>99</v>
      </c>
      <c r="B5282" t="s">
        <v>100</v>
      </c>
      <c r="C5282" t="s">
        <v>136</v>
      </c>
      <c r="D5282" t="s">
        <v>3276</v>
      </c>
      <c r="E5282">
        <v>80830398</v>
      </c>
      <c r="F5282" t="s">
        <v>3277</v>
      </c>
      <c r="G5282" s="3">
        <v>47204</v>
      </c>
      <c r="H5282">
        <v>36</v>
      </c>
      <c r="I5282">
        <v>94</v>
      </c>
      <c r="J5282">
        <v>196</v>
      </c>
      <c r="K5282" s="4">
        <v>22175.439999999999</v>
      </c>
      <c r="L5282" s="4">
        <v>3594.2857142857142</v>
      </c>
      <c r="M5282" s="4">
        <v>5.4531001589825122E-2</v>
      </c>
      <c r="N5282" t="s">
        <v>25</v>
      </c>
      <c r="O5282" t="str">
        <f t="shared" si="820"/>
        <v>Low</v>
      </c>
      <c r="P5282" t="str">
        <f t="shared" si="821"/>
        <v>Low</v>
      </c>
      <c r="Q5282" t="str">
        <f t="shared" si="822"/>
        <v>Low</v>
      </c>
      <c r="R5282" t="s">
        <v>3317</v>
      </c>
      <c r="S5282" s="4">
        <f t="shared" ca="1" si="823"/>
        <v>1007</v>
      </c>
      <c r="T5282">
        <f t="shared" si="824"/>
        <v>1</v>
      </c>
      <c r="U5282">
        <f t="shared" si="825"/>
        <v>1</v>
      </c>
      <c r="V5282">
        <f t="shared" si="826"/>
        <v>1</v>
      </c>
      <c r="W5282">
        <f t="shared" si="827"/>
        <v>1</v>
      </c>
      <c r="X5282">
        <f t="shared" si="828"/>
        <v>0.99999999999999989</v>
      </c>
      <c r="Y5282" t="str">
        <f t="shared" si="829"/>
        <v>Healthy</v>
      </c>
    </row>
    <row r="5283" spans="1:25" x14ac:dyDescent="0.35">
      <c r="A5283" t="s">
        <v>99</v>
      </c>
      <c r="B5283" t="s">
        <v>100</v>
      </c>
      <c r="C5283" t="s">
        <v>136</v>
      </c>
      <c r="D5283" t="s">
        <v>3276</v>
      </c>
      <c r="E5283">
        <v>80830398</v>
      </c>
      <c r="F5283" t="s">
        <v>3277</v>
      </c>
      <c r="G5283" s="3">
        <v>47230</v>
      </c>
      <c r="H5283">
        <v>36</v>
      </c>
      <c r="I5283">
        <v>96</v>
      </c>
      <c r="J5283">
        <v>214</v>
      </c>
      <c r="K5283" s="4">
        <v>24211.96</v>
      </c>
      <c r="L5283" s="4">
        <v>3594.2857142857142</v>
      </c>
      <c r="M5283" s="4">
        <v>5.9538950715421306E-2</v>
      </c>
      <c r="N5283" t="s">
        <v>25</v>
      </c>
      <c r="O5283" t="str">
        <f t="shared" si="820"/>
        <v>Low</v>
      </c>
      <c r="P5283" t="str">
        <f t="shared" si="821"/>
        <v>Low</v>
      </c>
      <c r="Q5283" t="str">
        <f t="shared" si="822"/>
        <v>Low</v>
      </c>
      <c r="R5283" t="s">
        <v>3317</v>
      </c>
      <c r="S5283" s="4">
        <f t="shared" ca="1" si="823"/>
        <v>1033</v>
      </c>
      <c r="T5283">
        <f t="shared" si="824"/>
        <v>1</v>
      </c>
      <c r="U5283">
        <f t="shared" si="825"/>
        <v>1</v>
      </c>
      <c r="V5283">
        <f t="shared" si="826"/>
        <v>1</v>
      </c>
      <c r="W5283">
        <f t="shared" si="827"/>
        <v>1</v>
      </c>
      <c r="X5283">
        <f t="shared" si="828"/>
        <v>0.99999999999999989</v>
      </c>
      <c r="Y5283" t="str">
        <f t="shared" si="829"/>
        <v>Healthy</v>
      </c>
    </row>
    <row r="5284" spans="1:25" x14ac:dyDescent="0.35">
      <c r="A5284" t="s">
        <v>99</v>
      </c>
      <c r="B5284" t="s">
        <v>100</v>
      </c>
      <c r="C5284" t="s">
        <v>136</v>
      </c>
      <c r="D5284" t="s">
        <v>3276</v>
      </c>
      <c r="E5284">
        <v>80830398</v>
      </c>
      <c r="F5284" t="s">
        <v>3277</v>
      </c>
      <c r="G5284" s="3">
        <v>47256</v>
      </c>
      <c r="H5284">
        <v>36</v>
      </c>
      <c r="I5284">
        <v>99</v>
      </c>
      <c r="J5284">
        <v>226</v>
      </c>
      <c r="K5284" s="4">
        <v>25569.64</v>
      </c>
      <c r="L5284" s="4">
        <v>3594.2857142857142</v>
      </c>
      <c r="M5284" s="4">
        <v>6.2877583465818759E-2</v>
      </c>
      <c r="N5284" t="s">
        <v>25</v>
      </c>
      <c r="O5284" t="str">
        <f t="shared" si="820"/>
        <v>Low</v>
      </c>
      <c r="P5284" t="str">
        <f t="shared" si="821"/>
        <v>Low</v>
      </c>
      <c r="Q5284" t="str">
        <f t="shared" si="822"/>
        <v>Low</v>
      </c>
      <c r="R5284" t="s">
        <v>3317</v>
      </c>
      <c r="S5284" s="4">
        <f t="shared" ca="1" si="823"/>
        <v>1059</v>
      </c>
      <c r="T5284">
        <f t="shared" si="824"/>
        <v>1</v>
      </c>
      <c r="U5284">
        <f t="shared" si="825"/>
        <v>1</v>
      </c>
      <c r="V5284">
        <f t="shared" si="826"/>
        <v>1</v>
      </c>
      <c r="W5284">
        <f t="shared" si="827"/>
        <v>1</v>
      </c>
      <c r="X5284">
        <f t="shared" si="828"/>
        <v>0.99999999999999989</v>
      </c>
      <c r="Y5284" t="str">
        <f t="shared" si="829"/>
        <v>Healthy</v>
      </c>
    </row>
    <row r="5285" spans="1:25" x14ac:dyDescent="0.35">
      <c r="A5285" t="s">
        <v>99</v>
      </c>
      <c r="B5285" t="s">
        <v>100</v>
      </c>
      <c r="C5285" t="s">
        <v>136</v>
      </c>
      <c r="D5285" t="s">
        <v>3276</v>
      </c>
      <c r="E5285">
        <v>80830398</v>
      </c>
      <c r="F5285" t="s">
        <v>3277</v>
      </c>
      <c r="G5285" s="3">
        <v>46903</v>
      </c>
      <c r="H5285">
        <v>36</v>
      </c>
      <c r="I5285">
        <v>66</v>
      </c>
      <c r="J5285">
        <v>260</v>
      </c>
      <c r="K5285" s="4">
        <v>29416.400000000001</v>
      </c>
      <c r="L5285" s="4">
        <v>3594.2857142857142</v>
      </c>
      <c r="M5285" s="4">
        <v>7.2337042925278219E-2</v>
      </c>
      <c r="N5285" t="s">
        <v>25</v>
      </c>
      <c r="O5285" t="str">
        <f t="shared" si="820"/>
        <v>Low</v>
      </c>
      <c r="P5285" t="str">
        <f t="shared" si="821"/>
        <v>Low</v>
      </c>
      <c r="Q5285" t="str">
        <f t="shared" si="822"/>
        <v>Low</v>
      </c>
      <c r="R5285" t="s">
        <v>3317</v>
      </c>
      <c r="S5285" s="4">
        <f t="shared" ca="1" si="823"/>
        <v>706</v>
      </c>
      <c r="T5285">
        <f t="shared" si="824"/>
        <v>1</v>
      </c>
      <c r="U5285">
        <f t="shared" si="825"/>
        <v>1</v>
      </c>
      <c r="V5285">
        <f t="shared" si="826"/>
        <v>1</v>
      </c>
      <c r="W5285">
        <f t="shared" si="827"/>
        <v>1</v>
      </c>
      <c r="X5285">
        <f t="shared" si="828"/>
        <v>0.99999999999999989</v>
      </c>
      <c r="Y5285" t="str">
        <f t="shared" si="829"/>
        <v>Healthy</v>
      </c>
    </row>
    <row r="5286" spans="1:25" x14ac:dyDescent="0.35">
      <c r="A5286" t="s">
        <v>99</v>
      </c>
      <c r="B5286" t="s">
        <v>100</v>
      </c>
      <c r="C5286" t="s">
        <v>136</v>
      </c>
      <c r="D5286" t="s">
        <v>3276</v>
      </c>
      <c r="E5286">
        <v>80830398</v>
      </c>
      <c r="F5286" t="s">
        <v>3277</v>
      </c>
      <c r="G5286" s="3">
        <v>46864</v>
      </c>
      <c r="H5286">
        <v>36</v>
      </c>
      <c r="I5286">
        <v>62</v>
      </c>
      <c r="J5286">
        <v>177</v>
      </c>
      <c r="K5286" s="4">
        <v>20025.78</v>
      </c>
      <c r="L5286" s="4">
        <v>3594.2857142857142</v>
      </c>
      <c r="M5286" s="4">
        <v>4.9244833068362484E-2</v>
      </c>
      <c r="N5286" t="s">
        <v>25</v>
      </c>
      <c r="O5286" t="str">
        <f t="shared" si="820"/>
        <v>Low</v>
      </c>
      <c r="P5286" t="str">
        <f t="shared" si="821"/>
        <v>Low</v>
      </c>
      <c r="Q5286" t="str">
        <f t="shared" si="822"/>
        <v>Low</v>
      </c>
      <c r="R5286" t="s">
        <v>3317</v>
      </c>
      <c r="S5286" s="4">
        <f t="shared" ca="1" si="823"/>
        <v>667</v>
      </c>
      <c r="T5286">
        <f t="shared" si="824"/>
        <v>1</v>
      </c>
      <c r="U5286">
        <f t="shared" si="825"/>
        <v>1</v>
      </c>
      <c r="V5286">
        <f t="shared" si="826"/>
        <v>1</v>
      </c>
      <c r="W5286">
        <f t="shared" si="827"/>
        <v>1</v>
      </c>
      <c r="X5286">
        <f t="shared" si="828"/>
        <v>0.99999999999999989</v>
      </c>
      <c r="Y5286" t="str">
        <f t="shared" si="829"/>
        <v>Healthy</v>
      </c>
    </row>
    <row r="5287" spans="1:25" x14ac:dyDescent="0.35">
      <c r="A5287" t="s">
        <v>99</v>
      </c>
      <c r="B5287" t="s">
        <v>100</v>
      </c>
      <c r="C5287" t="s">
        <v>136</v>
      </c>
      <c r="D5287" t="s">
        <v>3276</v>
      </c>
      <c r="E5287">
        <v>80830398</v>
      </c>
      <c r="F5287" t="s">
        <v>3277</v>
      </c>
      <c r="G5287" s="3">
        <v>46876</v>
      </c>
      <c r="H5287">
        <v>36</v>
      </c>
      <c r="I5287">
        <v>63</v>
      </c>
      <c r="J5287">
        <v>144</v>
      </c>
      <c r="K5287" s="4">
        <v>16292.16</v>
      </c>
      <c r="L5287" s="4">
        <v>3594.2857142857142</v>
      </c>
      <c r="M5287" s="4">
        <v>4.0063593004769478E-2</v>
      </c>
      <c r="N5287" t="s">
        <v>25</v>
      </c>
      <c r="O5287" t="str">
        <f t="shared" si="820"/>
        <v>Low</v>
      </c>
      <c r="P5287" t="str">
        <f t="shared" si="821"/>
        <v>Low</v>
      </c>
      <c r="Q5287" t="str">
        <f t="shared" si="822"/>
        <v>Low</v>
      </c>
      <c r="R5287" t="s">
        <v>3317</v>
      </c>
      <c r="S5287" s="4">
        <f t="shared" ca="1" si="823"/>
        <v>679</v>
      </c>
      <c r="T5287">
        <f t="shared" si="824"/>
        <v>1</v>
      </c>
      <c r="U5287">
        <f t="shared" si="825"/>
        <v>1</v>
      </c>
      <c r="V5287">
        <f t="shared" si="826"/>
        <v>1</v>
      </c>
      <c r="W5287">
        <f t="shared" si="827"/>
        <v>1</v>
      </c>
      <c r="X5287">
        <f t="shared" si="828"/>
        <v>0.99999999999999989</v>
      </c>
      <c r="Y5287" t="str">
        <f t="shared" si="829"/>
        <v>Healthy</v>
      </c>
    </row>
    <row r="5288" spans="1:25" x14ac:dyDescent="0.35">
      <c r="A5288" t="s">
        <v>99</v>
      </c>
      <c r="B5288" t="s">
        <v>100</v>
      </c>
      <c r="C5288" t="s">
        <v>136</v>
      </c>
      <c r="D5288" t="s">
        <v>3276</v>
      </c>
      <c r="E5288">
        <v>80830398</v>
      </c>
      <c r="F5288" t="s">
        <v>3277</v>
      </c>
      <c r="G5288" s="3">
        <v>47258</v>
      </c>
      <c r="H5288">
        <v>36</v>
      </c>
      <c r="I5288">
        <v>99</v>
      </c>
      <c r="J5288">
        <v>216</v>
      </c>
      <c r="K5288" s="4">
        <v>24438.240000000002</v>
      </c>
      <c r="L5288" s="4">
        <v>3594.2857142857142</v>
      </c>
      <c r="M5288" s="4">
        <v>6.0095389507154214E-2</v>
      </c>
      <c r="N5288" t="s">
        <v>25</v>
      </c>
      <c r="O5288" t="str">
        <f t="shared" si="820"/>
        <v>Low</v>
      </c>
      <c r="P5288" t="str">
        <f t="shared" si="821"/>
        <v>Low</v>
      </c>
      <c r="Q5288" t="str">
        <f t="shared" si="822"/>
        <v>Low</v>
      </c>
      <c r="R5288" t="s">
        <v>3317</v>
      </c>
      <c r="S5288" s="4">
        <f t="shared" ca="1" si="823"/>
        <v>1061</v>
      </c>
      <c r="T5288">
        <f t="shared" si="824"/>
        <v>1</v>
      </c>
      <c r="U5288">
        <f t="shared" si="825"/>
        <v>1</v>
      </c>
      <c r="V5288">
        <f t="shared" si="826"/>
        <v>1</v>
      </c>
      <c r="W5288">
        <f t="shared" si="827"/>
        <v>1</v>
      </c>
      <c r="X5288">
        <f t="shared" si="828"/>
        <v>0.99999999999999989</v>
      </c>
      <c r="Y5288" t="str">
        <f t="shared" si="829"/>
        <v>Healthy</v>
      </c>
    </row>
    <row r="5289" spans="1:25" x14ac:dyDescent="0.35">
      <c r="A5289" t="s">
        <v>41</v>
      </c>
      <c r="B5289" t="s">
        <v>42</v>
      </c>
      <c r="C5289" t="s">
        <v>43</v>
      </c>
      <c r="D5289" t="s">
        <v>1013</v>
      </c>
      <c r="E5289">
        <v>80850125</v>
      </c>
      <c r="F5289" t="s">
        <v>3278</v>
      </c>
      <c r="G5289" s="3">
        <v>46882</v>
      </c>
      <c r="H5289">
        <v>36</v>
      </c>
      <c r="I5289">
        <v>64</v>
      </c>
      <c r="J5289">
        <v>50</v>
      </c>
      <c r="K5289" s="4">
        <v>7549</v>
      </c>
      <c r="L5289" s="4">
        <f>0</f>
        <v>0</v>
      </c>
      <c r="M5289" s="4">
        <f>999</f>
        <v>999</v>
      </c>
      <c r="N5289" t="s">
        <v>19</v>
      </c>
      <c r="O5289" t="str">
        <f t="shared" si="820"/>
        <v>Low</v>
      </c>
      <c r="P5289" t="str">
        <f t="shared" si="821"/>
        <v>High</v>
      </c>
      <c r="Q5289" t="str">
        <f t="shared" si="822"/>
        <v>High</v>
      </c>
      <c r="R5289" t="s">
        <v>3317</v>
      </c>
      <c r="S5289" s="4">
        <f t="shared" ca="1" si="823"/>
        <v>685</v>
      </c>
      <c r="T5289">
        <f t="shared" si="824"/>
        <v>1</v>
      </c>
      <c r="U5289">
        <f t="shared" si="825"/>
        <v>3</v>
      </c>
      <c r="V5289">
        <f t="shared" si="826"/>
        <v>3</v>
      </c>
      <c r="W5289">
        <f t="shared" si="827"/>
        <v>1</v>
      </c>
      <c r="X5289">
        <f t="shared" si="828"/>
        <v>2</v>
      </c>
      <c r="Y5289" t="str">
        <f t="shared" si="829"/>
        <v>Monitor</v>
      </c>
    </row>
    <row r="5290" spans="1:25" x14ac:dyDescent="0.35">
      <c r="A5290" t="s">
        <v>41</v>
      </c>
      <c r="B5290" t="s">
        <v>54</v>
      </c>
      <c r="C5290" t="s">
        <v>87</v>
      </c>
      <c r="D5290" t="s">
        <v>88</v>
      </c>
      <c r="E5290">
        <v>80850685</v>
      </c>
      <c r="F5290" t="s">
        <v>3279</v>
      </c>
      <c r="G5290" s="3">
        <v>46830</v>
      </c>
      <c r="H5290">
        <v>36</v>
      </c>
      <c r="I5290">
        <v>59</v>
      </c>
      <c r="J5290">
        <v>13</v>
      </c>
      <c r="K5290" s="4">
        <v>12479.61</v>
      </c>
      <c r="L5290" s="4">
        <f>0</f>
        <v>0</v>
      </c>
      <c r="M5290" s="4">
        <f>999</f>
        <v>999</v>
      </c>
      <c r="N5290" t="s">
        <v>19</v>
      </c>
      <c r="O5290" t="str">
        <f t="shared" si="820"/>
        <v>Low</v>
      </c>
      <c r="P5290" t="str">
        <f t="shared" si="821"/>
        <v>High</v>
      </c>
      <c r="Q5290" t="str">
        <f t="shared" si="822"/>
        <v>High</v>
      </c>
      <c r="R5290" t="s">
        <v>3317</v>
      </c>
      <c r="S5290" s="4">
        <f t="shared" ca="1" si="823"/>
        <v>633</v>
      </c>
      <c r="T5290">
        <f t="shared" si="824"/>
        <v>1</v>
      </c>
      <c r="U5290">
        <f t="shared" si="825"/>
        <v>3</v>
      </c>
      <c r="V5290">
        <f t="shared" si="826"/>
        <v>3</v>
      </c>
      <c r="W5290">
        <f t="shared" si="827"/>
        <v>1</v>
      </c>
      <c r="X5290">
        <f t="shared" si="828"/>
        <v>2</v>
      </c>
      <c r="Y5290" t="str">
        <f t="shared" si="829"/>
        <v>Monitor</v>
      </c>
    </row>
    <row r="5291" spans="1:25" x14ac:dyDescent="0.35">
      <c r="A5291" t="s">
        <v>210</v>
      </c>
      <c r="B5291" t="s">
        <v>211</v>
      </c>
      <c r="C5291" t="s">
        <v>212</v>
      </c>
      <c r="D5291" t="s">
        <v>212</v>
      </c>
      <c r="E5291">
        <v>80832398</v>
      </c>
      <c r="F5291" t="s">
        <v>3280</v>
      </c>
      <c r="G5291" s="3">
        <v>46836</v>
      </c>
      <c r="H5291">
        <v>24</v>
      </c>
      <c r="I5291">
        <v>89</v>
      </c>
      <c r="J5291">
        <v>1</v>
      </c>
      <c r="K5291" s="4">
        <v>273.68</v>
      </c>
      <c r="L5291" s="4">
        <v>2992.2857142857142</v>
      </c>
      <c r="M5291" s="4">
        <v>3.3419268595435883E-4</v>
      </c>
      <c r="N5291" t="s">
        <v>25</v>
      </c>
      <c r="O5291" t="str">
        <f t="shared" si="820"/>
        <v>Low</v>
      </c>
      <c r="P5291" t="str">
        <f t="shared" si="821"/>
        <v>Low</v>
      </c>
      <c r="Q5291" t="str">
        <f t="shared" si="822"/>
        <v>Low</v>
      </c>
      <c r="R5291" t="s">
        <v>3317</v>
      </c>
      <c r="S5291" s="4">
        <f t="shared" ca="1" si="823"/>
        <v>639</v>
      </c>
      <c r="T5291">
        <f t="shared" si="824"/>
        <v>1</v>
      </c>
      <c r="U5291">
        <f t="shared" si="825"/>
        <v>1</v>
      </c>
      <c r="V5291">
        <f t="shared" si="826"/>
        <v>1</v>
      </c>
      <c r="W5291">
        <f t="shared" si="827"/>
        <v>1</v>
      </c>
      <c r="X5291">
        <f t="shared" si="828"/>
        <v>0.99999999999999989</v>
      </c>
      <c r="Y5291" t="str">
        <f t="shared" si="829"/>
        <v>Healthy</v>
      </c>
    </row>
    <row r="5292" spans="1:25" x14ac:dyDescent="0.35">
      <c r="A5292" t="s">
        <v>210</v>
      </c>
      <c r="B5292" t="s">
        <v>211</v>
      </c>
      <c r="C5292" t="s">
        <v>212</v>
      </c>
      <c r="D5292" t="s">
        <v>212</v>
      </c>
      <c r="E5292">
        <v>80832398</v>
      </c>
      <c r="F5292" t="s">
        <v>3280</v>
      </c>
      <c r="G5292" s="3">
        <v>46895</v>
      </c>
      <c r="H5292">
        <v>24</v>
      </c>
      <c r="I5292">
        <v>98</v>
      </c>
      <c r="J5292">
        <v>62</v>
      </c>
      <c r="K5292" s="4">
        <v>16968.16</v>
      </c>
      <c r="L5292" s="4">
        <v>2992.2857142857142</v>
      </c>
      <c r="M5292" s="4">
        <v>2.0719946529170249E-2</v>
      </c>
      <c r="N5292" t="s">
        <v>25</v>
      </c>
      <c r="O5292" t="str">
        <f t="shared" si="820"/>
        <v>Low</v>
      </c>
      <c r="P5292" t="str">
        <f t="shared" si="821"/>
        <v>Low</v>
      </c>
      <c r="Q5292" t="str">
        <f t="shared" si="822"/>
        <v>Low</v>
      </c>
      <c r="R5292" t="s">
        <v>3317</v>
      </c>
      <c r="S5292" s="4">
        <f t="shared" ca="1" si="823"/>
        <v>698</v>
      </c>
      <c r="T5292">
        <f t="shared" si="824"/>
        <v>1</v>
      </c>
      <c r="U5292">
        <f t="shared" si="825"/>
        <v>1</v>
      </c>
      <c r="V5292">
        <f t="shared" si="826"/>
        <v>1</v>
      </c>
      <c r="W5292">
        <f t="shared" si="827"/>
        <v>1</v>
      </c>
      <c r="X5292">
        <f t="shared" si="828"/>
        <v>0.99999999999999989</v>
      </c>
      <c r="Y5292" t="str">
        <f t="shared" si="829"/>
        <v>Healthy</v>
      </c>
    </row>
    <row r="5293" spans="1:25" x14ac:dyDescent="0.35">
      <c r="A5293" t="s">
        <v>210</v>
      </c>
      <c r="B5293" t="s">
        <v>211</v>
      </c>
      <c r="C5293" t="s">
        <v>212</v>
      </c>
      <c r="D5293" t="s">
        <v>212</v>
      </c>
      <c r="E5293">
        <v>80832398</v>
      </c>
      <c r="F5293" t="s">
        <v>3280</v>
      </c>
      <c r="G5293" s="3">
        <v>46859</v>
      </c>
      <c r="H5293">
        <v>24</v>
      </c>
      <c r="I5293">
        <v>93</v>
      </c>
      <c r="J5293">
        <v>4</v>
      </c>
      <c r="K5293" s="4">
        <v>1094.72</v>
      </c>
      <c r="L5293" s="4">
        <v>2992.2857142857142</v>
      </c>
      <c r="M5293" s="4">
        <v>1.3367707438174353E-3</v>
      </c>
      <c r="N5293" t="s">
        <v>25</v>
      </c>
      <c r="O5293" t="str">
        <f t="shared" si="820"/>
        <v>Low</v>
      </c>
      <c r="P5293" t="str">
        <f t="shared" si="821"/>
        <v>Low</v>
      </c>
      <c r="Q5293" t="str">
        <f t="shared" si="822"/>
        <v>Low</v>
      </c>
      <c r="R5293" t="s">
        <v>3317</v>
      </c>
      <c r="S5293" s="4">
        <f t="shared" ca="1" si="823"/>
        <v>662</v>
      </c>
      <c r="T5293">
        <f t="shared" si="824"/>
        <v>1</v>
      </c>
      <c r="U5293">
        <f t="shared" si="825"/>
        <v>1</v>
      </c>
      <c r="V5293">
        <f t="shared" si="826"/>
        <v>1</v>
      </c>
      <c r="W5293">
        <f t="shared" si="827"/>
        <v>1</v>
      </c>
      <c r="X5293">
        <f t="shared" si="828"/>
        <v>0.99999999999999989</v>
      </c>
      <c r="Y5293" t="str">
        <f t="shared" si="829"/>
        <v>Healthy</v>
      </c>
    </row>
    <row r="5294" spans="1:25" x14ac:dyDescent="0.35">
      <c r="A5294" t="s">
        <v>71</v>
      </c>
      <c r="B5294" t="s">
        <v>72</v>
      </c>
      <c r="C5294" t="s">
        <v>687</v>
      </c>
      <c r="D5294" t="s">
        <v>1966</v>
      </c>
      <c r="E5294">
        <v>80858796</v>
      </c>
      <c r="F5294" t="s">
        <v>3281</v>
      </c>
      <c r="G5294" s="3">
        <v>47052</v>
      </c>
      <c r="H5294">
        <v>36</v>
      </c>
      <c r="I5294">
        <v>80</v>
      </c>
      <c r="J5294">
        <v>24</v>
      </c>
      <c r="K5294" s="4">
        <v>3726.24</v>
      </c>
      <c r="L5294" s="4">
        <v>271.14285714285717</v>
      </c>
      <c r="M5294" s="4">
        <v>8.8514225500526858E-2</v>
      </c>
      <c r="N5294" t="s">
        <v>25</v>
      </c>
      <c r="O5294" t="str">
        <f t="shared" si="820"/>
        <v>Low</v>
      </c>
      <c r="P5294" t="str">
        <f t="shared" si="821"/>
        <v>Low</v>
      </c>
      <c r="Q5294" t="str">
        <f t="shared" si="822"/>
        <v>Low</v>
      </c>
      <c r="R5294" t="s">
        <v>3317</v>
      </c>
      <c r="S5294" s="4">
        <f t="shared" ca="1" si="823"/>
        <v>855</v>
      </c>
      <c r="T5294">
        <f t="shared" si="824"/>
        <v>1</v>
      </c>
      <c r="U5294">
        <f t="shared" si="825"/>
        <v>1</v>
      </c>
      <c r="V5294">
        <f t="shared" si="826"/>
        <v>1</v>
      </c>
      <c r="W5294">
        <f t="shared" si="827"/>
        <v>1</v>
      </c>
      <c r="X5294">
        <f t="shared" si="828"/>
        <v>0.99999999999999989</v>
      </c>
      <c r="Y5294" t="str">
        <f t="shared" si="829"/>
        <v>Healthy</v>
      </c>
    </row>
    <row r="5295" spans="1:25" x14ac:dyDescent="0.35">
      <c r="A5295" t="s">
        <v>71</v>
      </c>
      <c r="B5295" t="s">
        <v>72</v>
      </c>
      <c r="C5295" t="s">
        <v>687</v>
      </c>
      <c r="D5295" t="s">
        <v>1966</v>
      </c>
      <c r="E5295">
        <v>80858796</v>
      </c>
      <c r="F5295" t="s">
        <v>3281</v>
      </c>
      <c r="G5295" s="3">
        <v>46955</v>
      </c>
      <c r="H5295">
        <v>36</v>
      </c>
      <c r="I5295">
        <v>71</v>
      </c>
      <c r="J5295">
        <v>8</v>
      </c>
      <c r="K5295" s="4">
        <v>1242.08</v>
      </c>
      <c r="L5295" s="4">
        <v>271.14285714285717</v>
      </c>
      <c r="M5295" s="4">
        <v>2.9504741833508954E-2</v>
      </c>
      <c r="N5295" t="s">
        <v>25</v>
      </c>
      <c r="O5295" t="str">
        <f t="shared" si="820"/>
        <v>Low</v>
      </c>
      <c r="P5295" t="str">
        <f t="shared" si="821"/>
        <v>Low</v>
      </c>
      <c r="Q5295" t="str">
        <f t="shared" si="822"/>
        <v>Low</v>
      </c>
      <c r="R5295" t="s">
        <v>3317</v>
      </c>
      <c r="S5295" s="4">
        <f t="shared" ca="1" si="823"/>
        <v>758</v>
      </c>
      <c r="T5295">
        <f t="shared" si="824"/>
        <v>1</v>
      </c>
      <c r="U5295">
        <f t="shared" si="825"/>
        <v>1</v>
      </c>
      <c r="V5295">
        <f t="shared" si="826"/>
        <v>1</v>
      </c>
      <c r="W5295">
        <f t="shared" si="827"/>
        <v>1</v>
      </c>
      <c r="X5295">
        <f t="shared" si="828"/>
        <v>0.99999999999999989</v>
      </c>
      <c r="Y5295" t="str">
        <f t="shared" si="829"/>
        <v>Healthy</v>
      </c>
    </row>
    <row r="5296" spans="1:25" x14ac:dyDescent="0.35">
      <c r="A5296" t="s">
        <v>71</v>
      </c>
      <c r="B5296" t="s">
        <v>72</v>
      </c>
      <c r="C5296" t="s">
        <v>687</v>
      </c>
      <c r="D5296" t="s">
        <v>1966</v>
      </c>
      <c r="E5296">
        <v>80858796</v>
      </c>
      <c r="F5296" t="s">
        <v>3281</v>
      </c>
      <c r="G5296" s="3">
        <v>47052</v>
      </c>
      <c r="H5296">
        <v>36</v>
      </c>
      <c r="I5296">
        <v>80</v>
      </c>
      <c r="J5296">
        <v>48</v>
      </c>
      <c r="K5296" s="4">
        <v>7452.48</v>
      </c>
      <c r="L5296" s="4">
        <v>271.14285714285717</v>
      </c>
      <c r="M5296" s="4">
        <v>0.17702845100105372</v>
      </c>
      <c r="N5296" t="s">
        <v>25</v>
      </c>
      <c r="O5296" t="str">
        <f t="shared" si="820"/>
        <v>Low</v>
      </c>
      <c r="P5296" t="str">
        <f t="shared" si="821"/>
        <v>Low</v>
      </c>
      <c r="Q5296" t="str">
        <f t="shared" si="822"/>
        <v>Low</v>
      </c>
      <c r="R5296" t="s">
        <v>3317</v>
      </c>
      <c r="S5296" s="4">
        <f t="shared" ca="1" si="823"/>
        <v>855</v>
      </c>
      <c r="T5296">
        <f t="shared" si="824"/>
        <v>1</v>
      </c>
      <c r="U5296">
        <f t="shared" si="825"/>
        <v>1</v>
      </c>
      <c r="V5296">
        <f t="shared" si="826"/>
        <v>1</v>
      </c>
      <c r="W5296">
        <f t="shared" si="827"/>
        <v>1</v>
      </c>
      <c r="X5296">
        <f t="shared" si="828"/>
        <v>0.99999999999999989</v>
      </c>
      <c r="Y5296" t="str">
        <f t="shared" si="829"/>
        <v>Healthy</v>
      </c>
    </row>
    <row r="5297" spans="1:25" x14ac:dyDescent="0.35">
      <c r="A5297" t="s">
        <v>179</v>
      </c>
      <c r="B5297" t="s">
        <v>223</v>
      </c>
      <c r="C5297" t="s">
        <v>1084</v>
      </c>
      <c r="D5297" t="s">
        <v>3282</v>
      </c>
      <c r="E5297">
        <v>80854067</v>
      </c>
      <c r="F5297" t="s">
        <v>3283</v>
      </c>
      <c r="G5297" s="3">
        <v>46492</v>
      </c>
      <c r="H5297">
        <v>18</v>
      </c>
      <c r="I5297">
        <v>56</v>
      </c>
      <c r="J5297">
        <v>16</v>
      </c>
      <c r="K5297" s="4">
        <v>140.96</v>
      </c>
      <c r="L5297" s="4">
        <v>5507.8571428571431</v>
      </c>
      <c r="M5297" s="4">
        <v>2.9049409933860717E-3</v>
      </c>
      <c r="N5297" t="s">
        <v>25</v>
      </c>
      <c r="O5297" t="str">
        <f t="shared" si="820"/>
        <v>Low</v>
      </c>
      <c r="P5297" t="str">
        <f t="shared" si="821"/>
        <v>Low</v>
      </c>
      <c r="Q5297" t="str">
        <f t="shared" si="822"/>
        <v>Low</v>
      </c>
      <c r="R5297" t="s">
        <v>3317</v>
      </c>
      <c r="S5297" s="4">
        <f t="shared" ca="1" si="823"/>
        <v>295</v>
      </c>
      <c r="T5297">
        <f t="shared" si="824"/>
        <v>1</v>
      </c>
      <c r="U5297">
        <f t="shared" si="825"/>
        <v>1</v>
      </c>
      <c r="V5297">
        <f t="shared" si="826"/>
        <v>1</v>
      </c>
      <c r="W5297">
        <f t="shared" si="827"/>
        <v>1</v>
      </c>
      <c r="X5297">
        <f t="shared" si="828"/>
        <v>0.99999999999999989</v>
      </c>
      <c r="Y5297" t="str">
        <f t="shared" si="829"/>
        <v>Healthy</v>
      </c>
    </row>
    <row r="5298" spans="1:25" x14ac:dyDescent="0.35">
      <c r="A5298" t="s">
        <v>179</v>
      </c>
      <c r="B5298" t="s">
        <v>223</v>
      </c>
      <c r="C5298" t="s">
        <v>1084</v>
      </c>
      <c r="D5298" t="s">
        <v>3282</v>
      </c>
      <c r="E5298">
        <v>80854067</v>
      </c>
      <c r="F5298" t="s">
        <v>3283</v>
      </c>
      <c r="G5298" s="3">
        <v>46519</v>
      </c>
      <c r="H5298">
        <v>18</v>
      </c>
      <c r="I5298">
        <v>61</v>
      </c>
      <c r="J5298">
        <v>36</v>
      </c>
      <c r="K5298" s="4">
        <v>317.16000000000003</v>
      </c>
      <c r="L5298" s="4">
        <v>5507.8571428571431</v>
      </c>
      <c r="M5298" s="4">
        <v>6.5361172351186617E-3</v>
      </c>
      <c r="N5298" t="s">
        <v>25</v>
      </c>
      <c r="O5298" t="str">
        <f t="shared" si="820"/>
        <v>Low</v>
      </c>
      <c r="P5298" t="str">
        <f t="shared" si="821"/>
        <v>Low</v>
      </c>
      <c r="Q5298" t="str">
        <f t="shared" si="822"/>
        <v>Low</v>
      </c>
      <c r="R5298" t="s">
        <v>3317</v>
      </c>
      <c r="S5298" s="4">
        <f t="shared" ca="1" si="823"/>
        <v>322</v>
      </c>
      <c r="T5298">
        <f t="shared" si="824"/>
        <v>1</v>
      </c>
      <c r="U5298">
        <f t="shared" si="825"/>
        <v>1</v>
      </c>
      <c r="V5298">
        <f t="shared" si="826"/>
        <v>1</v>
      </c>
      <c r="W5298">
        <f t="shared" si="827"/>
        <v>1</v>
      </c>
      <c r="X5298">
        <f t="shared" si="828"/>
        <v>0.99999999999999989</v>
      </c>
      <c r="Y5298" t="str">
        <f t="shared" si="829"/>
        <v>Healthy</v>
      </c>
    </row>
    <row r="5299" spans="1:25" x14ac:dyDescent="0.35">
      <c r="A5299" t="s">
        <v>179</v>
      </c>
      <c r="B5299" t="s">
        <v>223</v>
      </c>
      <c r="C5299" t="s">
        <v>1084</v>
      </c>
      <c r="D5299" t="s">
        <v>3282</v>
      </c>
      <c r="E5299">
        <v>80854067</v>
      </c>
      <c r="F5299" t="s">
        <v>3283</v>
      </c>
      <c r="G5299" s="3">
        <v>46460</v>
      </c>
      <c r="H5299">
        <v>18</v>
      </c>
      <c r="I5299">
        <v>50</v>
      </c>
      <c r="J5299">
        <v>14</v>
      </c>
      <c r="K5299" s="4">
        <v>123.34</v>
      </c>
      <c r="L5299" s="4">
        <v>5507.8571428571431</v>
      </c>
      <c r="M5299" s="4">
        <v>2.5418233692128126E-3</v>
      </c>
      <c r="N5299" t="s">
        <v>25</v>
      </c>
      <c r="O5299" t="str">
        <f t="shared" si="820"/>
        <v>Low</v>
      </c>
      <c r="P5299" t="str">
        <f t="shared" si="821"/>
        <v>Low</v>
      </c>
      <c r="Q5299" t="str">
        <f t="shared" si="822"/>
        <v>Low</v>
      </c>
      <c r="R5299" t="s">
        <v>3317</v>
      </c>
      <c r="S5299" s="4">
        <f t="shared" ca="1" si="823"/>
        <v>263</v>
      </c>
      <c r="T5299">
        <f t="shared" si="824"/>
        <v>1</v>
      </c>
      <c r="U5299">
        <f t="shared" si="825"/>
        <v>1</v>
      </c>
      <c r="V5299">
        <f t="shared" si="826"/>
        <v>1</v>
      </c>
      <c r="W5299">
        <f t="shared" si="827"/>
        <v>1</v>
      </c>
      <c r="X5299">
        <f t="shared" si="828"/>
        <v>0.99999999999999989</v>
      </c>
      <c r="Y5299" t="str">
        <f t="shared" si="829"/>
        <v>Healthy</v>
      </c>
    </row>
    <row r="5300" spans="1:25" x14ac:dyDescent="0.35">
      <c r="A5300" t="s">
        <v>179</v>
      </c>
      <c r="B5300" t="s">
        <v>223</v>
      </c>
      <c r="C5300" t="s">
        <v>357</v>
      </c>
      <c r="D5300" t="s">
        <v>1606</v>
      </c>
      <c r="E5300">
        <v>80861896</v>
      </c>
      <c r="F5300" t="s">
        <v>3284</v>
      </c>
      <c r="G5300" s="3">
        <v>46307</v>
      </c>
      <c r="H5300">
        <v>18</v>
      </c>
      <c r="I5300">
        <v>21</v>
      </c>
      <c r="J5300">
        <v>12</v>
      </c>
      <c r="K5300" s="4">
        <v>3039.96</v>
      </c>
      <c r="L5300" s="4">
        <v>13.714285714285714</v>
      </c>
      <c r="M5300" s="4">
        <v>0.875</v>
      </c>
      <c r="N5300" t="s">
        <v>25</v>
      </c>
      <c r="O5300" t="str">
        <f t="shared" si="820"/>
        <v>Medium</v>
      </c>
      <c r="P5300" t="str">
        <f t="shared" si="821"/>
        <v>Low</v>
      </c>
      <c r="Q5300" t="str">
        <f t="shared" si="822"/>
        <v>Medium</v>
      </c>
      <c r="R5300" t="s">
        <v>3317</v>
      </c>
      <c r="S5300" s="4">
        <f t="shared" ca="1" si="823"/>
        <v>110</v>
      </c>
      <c r="T5300">
        <f t="shared" si="824"/>
        <v>2</v>
      </c>
      <c r="U5300">
        <f t="shared" si="825"/>
        <v>1</v>
      </c>
      <c r="V5300">
        <f t="shared" si="826"/>
        <v>2</v>
      </c>
      <c r="W5300">
        <f t="shared" si="827"/>
        <v>1</v>
      </c>
      <c r="X5300">
        <f t="shared" si="828"/>
        <v>1.6</v>
      </c>
      <c r="Y5300" t="str">
        <f t="shared" si="829"/>
        <v>Healthy</v>
      </c>
    </row>
    <row r="5301" spans="1:25" x14ac:dyDescent="0.35">
      <c r="A5301" t="s">
        <v>179</v>
      </c>
      <c r="B5301" t="s">
        <v>223</v>
      </c>
      <c r="C5301" t="s">
        <v>357</v>
      </c>
      <c r="D5301" t="s">
        <v>1606</v>
      </c>
      <c r="E5301">
        <v>80861896</v>
      </c>
      <c r="F5301" t="s">
        <v>3284</v>
      </c>
      <c r="G5301" s="3">
        <v>46318</v>
      </c>
      <c r="H5301">
        <v>18</v>
      </c>
      <c r="I5301">
        <v>23</v>
      </c>
      <c r="J5301">
        <v>48</v>
      </c>
      <c r="K5301" s="4">
        <v>12159.84</v>
      </c>
      <c r="L5301" s="4">
        <v>13.714285714285714</v>
      </c>
      <c r="M5301" s="4">
        <v>3.5</v>
      </c>
      <c r="N5301" t="s">
        <v>25</v>
      </c>
      <c r="O5301" t="str">
        <f t="shared" si="820"/>
        <v>Medium</v>
      </c>
      <c r="P5301" t="str">
        <f t="shared" si="821"/>
        <v>Low</v>
      </c>
      <c r="Q5301" t="str">
        <f t="shared" si="822"/>
        <v>Medium</v>
      </c>
      <c r="R5301" t="s">
        <v>3317</v>
      </c>
      <c r="S5301" s="4">
        <f t="shared" ca="1" si="823"/>
        <v>121</v>
      </c>
      <c r="T5301">
        <f t="shared" si="824"/>
        <v>2</v>
      </c>
      <c r="U5301">
        <f t="shared" si="825"/>
        <v>1</v>
      </c>
      <c r="V5301">
        <f t="shared" si="826"/>
        <v>2</v>
      </c>
      <c r="W5301">
        <f t="shared" si="827"/>
        <v>1</v>
      </c>
      <c r="X5301">
        <f t="shared" si="828"/>
        <v>1.6</v>
      </c>
      <c r="Y5301" t="str">
        <f t="shared" si="829"/>
        <v>Healthy</v>
      </c>
    </row>
    <row r="5302" spans="1:25" x14ac:dyDescent="0.35">
      <c r="A5302" t="s">
        <v>90</v>
      </c>
      <c r="B5302" t="s">
        <v>91</v>
      </c>
      <c r="C5302" t="s">
        <v>92</v>
      </c>
      <c r="D5302" t="s">
        <v>1855</v>
      </c>
      <c r="E5302">
        <v>80851070</v>
      </c>
      <c r="F5302" t="s">
        <v>3285</v>
      </c>
      <c r="G5302" s="3">
        <v>46882</v>
      </c>
      <c r="H5302">
        <v>24</v>
      </c>
      <c r="I5302">
        <v>96</v>
      </c>
      <c r="J5302">
        <v>13</v>
      </c>
      <c r="K5302" s="4">
        <v>6289.27</v>
      </c>
      <c r="L5302" s="4">
        <v>3768.1428571428573</v>
      </c>
      <c r="M5302" s="4">
        <v>3.449975357318876E-3</v>
      </c>
      <c r="N5302" t="s">
        <v>25</v>
      </c>
      <c r="O5302" t="str">
        <f t="shared" si="820"/>
        <v>Low</v>
      </c>
      <c r="P5302" t="str">
        <f t="shared" si="821"/>
        <v>Low</v>
      </c>
      <c r="Q5302" t="str">
        <f t="shared" si="822"/>
        <v>Low</v>
      </c>
      <c r="R5302" t="s">
        <v>3317</v>
      </c>
      <c r="S5302" s="4">
        <f t="shared" ca="1" si="823"/>
        <v>685</v>
      </c>
      <c r="T5302">
        <f t="shared" si="824"/>
        <v>1</v>
      </c>
      <c r="U5302">
        <f t="shared" si="825"/>
        <v>1</v>
      </c>
      <c r="V5302">
        <f t="shared" si="826"/>
        <v>1</v>
      </c>
      <c r="W5302">
        <f t="shared" si="827"/>
        <v>1</v>
      </c>
      <c r="X5302">
        <f t="shared" si="828"/>
        <v>0.99999999999999989</v>
      </c>
      <c r="Y5302" t="str">
        <f t="shared" si="829"/>
        <v>Healthy</v>
      </c>
    </row>
    <row r="5303" spans="1:25" x14ac:dyDescent="0.35">
      <c r="A5303" t="s">
        <v>90</v>
      </c>
      <c r="B5303" t="s">
        <v>91</v>
      </c>
      <c r="C5303" t="s">
        <v>92</v>
      </c>
      <c r="D5303" t="s">
        <v>1855</v>
      </c>
      <c r="E5303">
        <v>80851070</v>
      </c>
      <c r="F5303" t="s">
        <v>3285</v>
      </c>
      <c r="G5303" s="3">
        <v>46887</v>
      </c>
      <c r="H5303">
        <v>24</v>
      </c>
      <c r="I5303">
        <v>97</v>
      </c>
      <c r="J5303">
        <v>201</v>
      </c>
      <c r="K5303" s="4">
        <v>97241.79</v>
      </c>
      <c r="L5303" s="4">
        <v>3768.1428571428573</v>
      </c>
      <c r="M5303" s="4">
        <v>5.3341926678545697E-2</v>
      </c>
      <c r="N5303" t="s">
        <v>25</v>
      </c>
      <c r="O5303" t="str">
        <f t="shared" si="820"/>
        <v>Low</v>
      </c>
      <c r="P5303" t="str">
        <f t="shared" si="821"/>
        <v>Low</v>
      </c>
      <c r="Q5303" t="str">
        <f t="shared" si="822"/>
        <v>Low</v>
      </c>
      <c r="R5303" t="s">
        <v>3310</v>
      </c>
      <c r="S5303" s="4">
        <f t="shared" ca="1" si="823"/>
        <v>690</v>
      </c>
      <c r="T5303">
        <f t="shared" si="824"/>
        <v>1</v>
      </c>
      <c r="U5303">
        <f t="shared" si="825"/>
        <v>1</v>
      </c>
      <c r="V5303">
        <f t="shared" si="826"/>
        <v>1</v>
      </c>
      <c r="W5303">
        <f t="shared" si="827"/>
        <v>2</v>
      </c>
      <c r="X5303">
        <f t="shared" si="828"/>
        <v>1.0999999999999999</v>
      </c>
      <c r="Y5303" t="str">
        <f t="shared" si="829"/>
        <v>Healthy</v>
      </c>
    </row>
    <row r="5304" spans="1:25" x14ac:dyDescent="0.35">
      <c r="A5304" t="s">
        <v>90</v>
      </c>
      <c r="B5304" t="s">
        <v>91</v>
      </c>
      <c r="C5304" t="s">
        <v>92</v>
      </c>
      <c r="D5304" t="s">
        <v>1855</v>
      </c>
      <c r="E5304">
        <v>80851070</v>
      </c>
      <c r="F5304" t="s">
        <v>3285</v>
      </c>
      <c r="G5304" s="3">
        <v>46881</v>
      </c>
      <c r="H5304">
        <v>24</v>
      </c>
      <c r="I5304">
        <v>96</v>
      </c>
      <c r="J5304">
        <v>346</v>
      </c>
      <c r="K5304" s="4">
        <v>167391.34</v>
      </c>
      <c r="L5304" s="4">
        <v>3768.1428571428573</v>
      </c>
      <c r="M5304" s="4">
        <v>9.1822421048640857E-2</v>
      </c>
      <c r="N5304" t="s">
        <v>25</v>
      </c>
      <c r="O5304" t="str">
        <f t="shared" si="820"/>
        <v>Low</v>
      </c>
      <c r="P5304" t="str">
        <f t="shared" si="821"/>
        <v>Low</v>
      </c>
      <c r="Q5304" t="str">
        <f t="shared" si="822"/>
        <v>Low</v>
      </c>
      <c r="R5304" t="s">
        <v>3309</v>
      </c>
      <c r="S5304" s="4">
        <f t="shared" ca="1" si="823"/>
        <v>684</v>
      </c>
      <c r="T5304">
        <f t="shared" si="824"/>
        <v>1</v>
      </c>
      <c r="U5304">
        <f t="shared" si="825"/>
        <v>1</v>
      </c>
      <c r="V5304">
        <f t="shared" si="826"/>
        <v>1</v>
      </c>
      <c r="W5304">
        <f t="shared" si="827"/>
        <v>3</v>
      </c>
      <c r="X5304">
        <f t="shared" si="828"/>
        <v>1.2</v>
      </c>
      <c r="Y5304" t="str">
        <f t="shared" si="829"/>
        <v>Healthy</v>
      </c>
    </row>
    <row r="5305" spans="1:25" x14ac:dyDescent="0.35">
      <c r="A5305" t="s">
        <v>90</v>
      </c>
      <c r="B5305" t="s">
        <v>91</v>
      </c>
      <c r="C5305" t="s">
        <v>92</v>
      </c>
      <c r="D5305" t="s">
        <v>1855</v>
      </c>
      <c r="E5305">
        <v>80851070</v>
      </c>
      <c r="F5305" t="s">
        <v>3285</v>
      </c>
      <c r="G5305" s="3">
        <v>46900</v>
      </c>
      <c r="H5305">
        <v>24</v>
      </c>
      <c r="I5305">
        <v>98</v>
      </c>
      <c r="J5305">
        <v>1260</v>
      </c>
      <c r="K5305" s="4">
        <v>609575.4</v>
      </c>
      <c r="L5305" s="4">
        <v>3768.1428571428573</v>
      </c>
      <c r="M5305" s="4">
        <v>0.33438222694013725</v>
      </c>
      <c r="N5305" t="s">
        <v>25</v>
      </c>
      <c r="O5305" t="str">
        <f t="shared" si="820"/>
        <v>Low</v>
      </c>
      <c r="P5305" t="str">
        <f t="shared" si="821"/>
        <v>Low</v>
      </c>
      <c r="Q5305" t="str">
        <f t="shared" si="822"/>
        <v>Low</v>
      </c>
      <c r="R5305" t="s">
        <v>3309</v>
      </c>
      <c r="S5305" s="4">
        <f t="shared" ca="1" si="823"/>
        <v>703</v>
      </c>
      <c r="T5305">
        <f t="shared" si="824"/>
        <v>1</v>
      </c>
      <c r="U5305">
        <f t="shared" si="825"/>
        <v>1</v>
      </c>
      <c r="V5305">
        <f t="shared" si="826"/>
        <v>1</v>
      </c>
      <c r="W5305">
        <f t="shared" si="827"/>
        <v>3</v>
      </c>
      <c r="X5305">
        <f t="shared" si="828"/>
        <v>1.2</v>
      </c>
      <c r="Y5305" t="str">
        <f t="shared" si="829"/>
        <v>Healthy</v>
      </c>
    </row>
    <row r="5306" spans="1:25" x14ac:dyDescent="0.35">
      <c r="A5306" t="s">
        <v>90</v>
      </c>
      <c r="B5306" t="s">
        <v>91</v>
      </c>
      <c r="C5306" t="s">
        <v>92</v>
      </c>
      <c r="D5306" t="s">
        <v>1855</v>
      </c>
      <c r="E5306">
        <v>80851070</v>
      </c>
      <c r="F5306" t="s">
        <v>3285</v>
      </c>
      <c r="G5306" s="3">
        <v>46887</v>
      </c>
      <c r="H5306">
        <v>24</v>
      </c>
      <c r="I5306">
        <v>97</v>
      </c>
      <c r="J5306">
        <v>40</v>
      </c>
      <c r="K5306" s="4">
        <v>19351.599999999999</v>
      </c>
      <c r="L5306" s="4">
        <v>3768.1428571428573</v>
      </c>
      <c r="M5306" s="4">
        <v>1.0615308791750388E-2</v>
      </c>
      <c r="N5306" t="s">
        <v>25</v>
      </c>
      <c r="O5306" t="str">
        <f t="shared" si="820"/>
        <v>Low</v>
      </c>
      <c r="P5306" t="str">
        <f t="shared" si="821"/>
        <v>Low</v>
      </c>
      <c r="Q5306" t="str">
        <f t="shared" si="822"/>
        <v>Low</v>
      </c>
      <c r="R5306" t="s">
        <v>3317</v>
      </c>
      <c r="S5306" s="4">
        <f t="shared" ca="1" si="823"/>
        <v>690</v>
      </c>
      <c r="T5306">
        <f t="shared" si="824"/>
        <v>1</v>
      </c>
      <c r="U5306">
        <f t="shared" si="825"/>
        <v>1</v>
      </c>
      <c r="V5306">
        <f t="shared" si="826"/>
        <v>1</v>
      </c>
      <c r="W5306">
        <f t="shared" si="827"/>
        <v>1</v>
      </c>
      <c r="X5306">
        <f t="shared" si="828"/>
        <v>0.99999999999999989</v>
      </c>
      <c r="Y5306" t="str">
        <f t="shared" si="829"/>
        <v>Healthy</v>
      </c>
    </row>
    <row r="5307" spans="1:25" x14ac:dyDescent="0.35">
      <c r="A5307" t="s">
        <v>179</v>
      </c>
      <c r="B5307" t="s">
        <v>180</v>
      </c>
      <c r="C5307" t="s">
        <v>181</v>
      </c>
      <c r="D5307" t="s">
        <v>3286</v>
      </c>
      <c r="E5307">
        <v>80857530</v>
      </c>
      <c r="F5307" t="s">
        <v>3287</v>
      </c>
      <c r="G5307" s="3">
        <v>46338</v>
      </c>
      <c r="H5307">
        <v>16</v>
      </c>
      <c r="I5307">
        <v>30</v>
      </c>
      <c r="J5307">
        <v>4</v>
      </c>
      <c r="K5307" s="4">
        <v>3694.12</v>
      </c>
      <c r="L5307" s="4">
        <v>0.5714285714285714</v>
      </c>
      <c r="M5307" s="4">
        <v>7</v>
      </c>
      <c r="N5307" t="s">
        <v>19</v>
      </c>
      <c r="O5307" t="str">
        <f t="shared" si="820"/>
        <v>Medium</v>
      </c>
      <c r="P5307" t="str">
        <f t="shared" si="821"/>
        <v>Medium</v>
      </c>
      <c r="Q5307" t="str">
        <f t="shared" si="822"/>
        <v>High</v>
      </c>
      <c r="R5307" t="s">
        <v>3317</v>
      </c>
      <c r="S5307" s="4">
        <f t="shared" ca="1" si="823"/>
        <v>141</v>
      </c>
      <c r="T5307">
        <f t="shared" si="824"/>
        <v>2</v>
      </c>
      <c r="U5307">
        <f t="shared" si="825"/>
        <v>2</v>
      </c>
      <c r="V5307">
        <f t="shared" si="826"/>
        <v>3</v>
      </c>
      <c r="W5307">
        <f t="shared" si="827"/>
        <v>1</v>
      </c>
      <c r="X5307">
        <f t="shared" si="828"/>
        <v>2.1</v>
      </c>
      <c r="Y5307" t="str">
        <f t="shared" si="829"/>
        <v>Monitor</v>
      </c>
    </row>
    <row r="5308" spans="1:25" x14ac:dyDescent="0.35">
      <c r="A5308" t="s">
        <v>90</v>
      </c>
      <c r="B5308" t="s">
        <v>217</v>
      </c>
      <c r="C5308" t="s">
        <v>542</v>
      </c>
      <c r="D5308" t="s">
        <v>1898</v>
      </c>
      <c r="E5308">
        <v>80853669</v>
      </c>
      <c r="F5308" t="s">
        <v>3288</v>
      </c>
      <c r="G5308" s="3">
        <v>46827</v>
      </c>
      <c r="H5308">
        <v>24</v>
      </c>
      <c r="I5308">
        <v>88</v>
      </c>
      <c r="J5308">
        <v>4</v>
      </c>
      <c r="K5308" s="4">
        <v>1793.36</v>
      </c>
      <c r="L5308" s="4">
        <v>261.85714285714283</v>
      </c>
      <c r="M5308" s="4">
        <v>1.5275504637206767E-2</v>
      </c>
      <c r="N5308" t="s">
        <v>25</v>
      </c>
      <c r="O5308" t="str">
        <f t="shared" si="820"/>
        <v>Low</v>
      </c>
      <c r="P5308" t="str">
        <f t="shared" si="821"/>
        <v>Low</v>
      </c>
      <c r="Q5308" t="str">
        <f t="shared" si="822"/>
        <v>Low</v>
      </c>
      <c r="R5308" t="s">
        <v>3317</v>
      </c>
      <c r="S5308" s="4">
        <f t="shared" ca="1" si="823"/>
        <v>630</v>
      </c>
      <c r="T5308">
        <f t="shared" si="824"/>
        <v>1</v>
      </c>
      <c r="U5308">
        <f t="shared" si="825"/>
        <v>1</v>
      </c>
      <c r="V5308">
        <f t="shared" si="826"/>
        <v>1</v>
      </c>
      <c r="W5308">
        <f t="shared" si="827"/>
        <v>1</v>
      </c>
      <c r="X5308">
        <f t="shared" si="828"/>
        <v>0.99999999999999989</v>
      </c>
      <c r="Y5308" t="str">
        <f t="shared" si="829"/>
        <v>Healthy</v>
      </c>
    </row>
    <row r="5309" spans="1:25" x14ac:dyDescent="0.35">
      <c r="A5309" t="s">
        <v>179</v>
      </c>
      <c r="B5309" t="s">
        <v>180</v>
      </c>
      <c r="C5309" t="s">
        <v>181</v>
      </c>
      <c r="D5309" t="s">
        <v>1613</v>
      </c>
      <c r="E5309">
        <v>80853093</v>
      </c>
      <c r="F5309" t="s">
        <v>3289</v>
      </c>
      <c r="G5309" s="3">
        <v>47396</v>
      </c>
      <c r="H5309">
        <v>16</v>
      </c>
      <c r="I5309">
        <v>100</v>
      </c>
      <c r="J5309">
        <v>24</v>
      </c>
      <c r="K5309" s="4">
        <v>4586.88</v>
      </c>
      <c r="L5309" s="4">
        <f>0</f>
        <v>0</v>
      </c>
      <c r="M5309" s="4">
        <f>999</f>
        <v>999</v>
      </c>
      <c r="N5309" t="s">
        <v>19</v>
      </c>
      <c r="O5309" t="str">
        <f t="shared" si="820"/>
        <v>Low</v>
      </c>
      <c r="P5309" t="str">
        <f t="shared" si="821"/>
        <v>High</v>
      </c>
      <c r="Q5309" t="str">
        <f t="shared" si="822"/>
        <v>High</v>
      </c>
      <c r="R5309" t="s">
        <v>3317</v>
      </c>
      <c r="S5309" s="4">
        <f t="shared" ca="1" si="823"/>
        <v>1199</v>
      </c>
      <c r="T5309">
        <f t="shared" si="824"/>
        <v>1</v>
      </c>
      <c r="U5309">
        <f t="shared" si="825"/>
        <v>3</v>
      </c>
      <c r="V5309">
        <f t="shared" si="826"/>
        <v>3</v>
      </c>
      <c r="W5309">
        <f t="shared" si="827"/>
        <v>1</v>
      </c>
      <c r="X5309">
        <f t="shared" si="828"/>
        <v>2</v>
      </c>
      <c r="Y5309" t="str">
        <f t="shared" si="829"/>
        <v>Monitor</v>
      </c>
    </row>
    <row r="5310" spans="1:25" x14ac:dyDescent="0.35">
      <c r="A5310" t="s">
        <v>179</v>
      </c>
      <c r="B5310" t="s">
        <v>195</v>
      </c>
      <c r="C5310" t="s">
        <v>199</v>
      </c>
      <c r="D5310" t="s">
        <v>3290</v>
      </c>
      <c r="E5310">
        <v>80831137</v>
      </c>
      <c r="F5310" t="s">
        <v>3291</v>
      </c>
      <c r="G5310" s="3">
        <v>46357</v>
      </c>
      <c r="H5310">
        <v>16</v>
      </c>
      <c r="I5310">
        <v>34</v>
      </c>
      <c r="J5310">
        <v>6</v>
      </c>
      <c r="K5310" s="4">
        <v>15959.58</v>
      </c>
      <c r="L5310" s="4">
        <v>36.571428571428569</v>
      </c>
      <c r="M5310" s="4">
        <v>0.1640625</v>
      </c>
      <c r="N5310" t="s">
        <v>25</v>
      </c>
      <c r="O5310" t="str">
        <f t="shared" si="820"/>
        <v>Medium</v>
      </c>
      <c r="P5310" t="str">
        <f t="shared" si="821"/>
        <v>Low</v>
      </c>
      <c r="Q5310" t="str">
        <f t="shared" si="822"/>
        <v>Low</v>
      </c>
      <c r="R5310" t="s">
        <v>3317</v>
      </c>
      <c r="S5310" s="4">
        <f t="shared" ca="1" si="823"/>
        <v>160</v>
      </c>
      <c r="T5310">
        <f t="shared" si="824"/>
        <v>2</v>
      </c>
      <c r="U5310">
        <f t="shared" si="825"/>
        <v>1</v>
      </c>
      <c r="V5310">
        <f t="shared" si="826"/>
        <v>1</v>
      </c>
      <c r="W5310">
        <f t="shared" si="827"/>
        <v>1</v>
      </c>
      <c r="X5310">
        <f t="shared" si="828"/>
        <v>1.4000000000000001</v>
      </c>
      <c r="Y5310" t="str">
        <f t="shared" si="829"/>
        <v>Healthy</v>
      </c>
    </row>
    <row r="5311" spans="1:25" x14ac:dyDescent="0.35">
      <c r="A5311" t="s">
        <v>41</v>
      </c>
      <c r="B5311" t="s">
        <v>54</v>
      </c>
      <c r="C5311" t="s">
        <v>55</v>
      </c>
      <c r="D5311" t="s">
        <v>3189</v>
      </c>
      <c r="E5311">
        <v>80859529</v>
      </c>
      <c r="F5311" t="s">
        <v>3292</v>
      </c>
      <c r="G5311" s="3">
        <v>46980</v>
      </c>
      <c r="H5311">
        <v>36</v>
      </c>
      <c r="I5311">
        <v>73</v>
      </c>
      <c r="J5311">
        <v>1</v>
      </c>
      <c r="K5311" s="4">
        <v>173.67</v>
      </c>
      <c r="L5311" s="4">
        <v>8.2857142857142865</v>
      </c>
      <c r="M5311" s="4">
        <v>0.12068965517241378</v>
      </c>
      <c r="N5311" t="s">
        <v>25</v>
      </c>
      <c r="O5311" t="str">
        <f t="shared" si="820"/>
        <v>Low</v>
      </c>
      <c r="P5311" t="str">
        <f t="shared" si="821"/>
        <v>Low</v>
      </c>
      <c r="Q5311" t="str">
        <f t="shared" si="822"/>
        <v>Medium</v>
      </c>
      <c r="R5311" t="s">
        <v>3317</v>
      </c>
      <c r="S5311" s="4">
        <f t="shared" ca="1" si="823"/>
        <v>783</v>
      </c>
      <c r="T5311">
        <f t="shared" si="824"/>
        <v>1</v>
      </c>
      <c r="U5311">
        <f t="shared" si="825"/>
        <v>1</v>
      </c>
      <c r="V5311">
        <f t="shared" si="826"/>
        <v>2</v>
      </c>
      <c r="W5311">
        <f t="shared" si="827"/>
        <v>1</v>
      </c>
      <c r="X5311">
        <f t="shared" si="828"/>
        <v>1.2000000000000002</v>
      </c>
      <c r="Y5311" t="str">
        <f t="shared" si="829"/>
        <v>Healthy</v>
      </c>
    </row>
    <row r="5312" spans="1:25" x14ac:dyDescent="0.35">
      <c r="A5312" t="s">
        <v>71</v>
      </c>
      <c r="B5312" t="s">
        <v>72</v>
      </c>
      <c r="C5312" t="s">
        <v>73</v>
      </c>
      <c r="D5312" t="s">
        <v>1946</v>
      </c>
      <c r="E5312">
        <v>80867191</v>
      </c>
      <c r="F5312" t="s">
        <v>3293</v>
      </c>
      <c r="G5312" s="3">
        <v>47007</v>
      </c>
      <c r="H5312">
        <v>36</v>
      </c>
      <c r="I5312">
        <v>75</v>
      </c>
      <c r="J5312">
        <v>12</v>
      </c>
      <c r="K5312" s="4">
        <v>13318.92</v>
      </c>
      <c r="L5312" s="4">
        <f>0</f>
        <v>0</v>
      </c>
      <c r="M5312" s="4">
        <f>999</f>
        <v>999</v>
      </c>
      <c r="N5312" t="s">
        <v>19</v>
      </c>
      <c r="O5312" t="str">
        <f t="shared" si="820"/>
        <v>Low</v>
      </c>
      <c r="P5312" t="str">
        <f t="shared" si="821"/>
        <v>High</v>
      </c>
      <c r="Q5312" t="str">
        <f t="shared" si="822"/>
        <v>High</v>
      </c>
      <c r="R5312" t="s">
        <v>3317</v>
      </c>
      <c r="S5312" s="4">
        <f t="shared" ca="1" si="823"/>
        <v>810</v>
      </c>
      <c r="T5312">
        <f t="shared" si="824"/>
        <v>1</v>
      </c>
      <c r="U5312">
        <f t="shared" si="825"/>
        <v>3</v>
      </c>
      <c r="V5312">
        <f t="shared" si="826"/>
        <v>3</v>
      </c>
      <c r="W5312">
        <f t="shared" si="827"/>
        <v>1</v>
      </c>
      <c r="X5312">
        <f t="shared" si="828"/>
        <v>2</v>
      </c>
      <c r="Y5312" t="str">
        <f t="shared" si="829"/>
        <v>Monitor</v>
      </c>
    </row>
    <row r="5313" spans="1:25" x14ac:dyDescent="0.35">
      <c r="A5313" t="s">
        <v>71</v>
      </c>
      <c r="B5313" t="s">
        <v>72</v>
      </c>
      <c r="C5313" t="s">
        <v>150</v>
      </c>
      <c r="D5313" t="s">
        <v>1544</v>
      </c>
      <c r="E5313">
        <v>80866571</v>
      </c>
      <c r="F5313" t="s">
        <v>3294</v>
      </c>
      <c r="G5313" s="3">
        <v>47016</v>
      </c>
      <c r="H5313">
        <v>36</v>
      </c>
      <c r="I5313">
        <v>76</v>
      </c>
      <c r="J5313">
        <v>259</v>
      </c>
      <c r="K5313" s="4">
        <v>4351.2</v>
      </c>
      <c r="L5313" s="4">
        <v>267.14285714285717</v>
      </c>
      <c r="M5313" s="4">
        <v>0.96951871657754007</v>
      </c>
      <c r="N5313" t="s">
        <v>25</v>
      </c>
      <c r="O5313" t="str">
        <f t="shared" si="820"/>
        <v>Low</v>
      </c>
      <c r="P5313" t="str">
        <f t="shared" si="821"/>
        <v>Low</v>
      </c>
      <c r="Q5313" t="str">
        <f t="shared" si="822"/>
        <v>Low</v>
      </c>
      <c r="R5313" t="s">
        <v>3317</v>
      </c>
      <c r="S5313" s="4">
        <f t="shared" ca="1" si="823"/>
        <v>819</v>
      </c>
      <c r="T5313">
        <f t="shared" si="824"/>
        <v>1</v>
      </c>
      <c r="U5313">
        <f t="shared" si="825"/>
        <v>1</v>
      </c>
      <c r="V5313">
        <f t="shared" si="826"/>
        <v>1</v>
      </c>
      <c r="W5313">
        <f t="shared" si="827"/>
        <v>1</v>
      </c>
      <c r="X5313">
        <f t="shared" si="828"/>
        <v>0.99999999999999989</v>
      </c>
      <c r="Y5313" t="str">
        <f t="shared" si="829"/>
        <v>Healthy</v>
      </c>
    </row>
    <row r="5314" spans="1:25" x14ac:dyDescent="0.35">
      <c r="A5314" t="s">
        <v>71</v>
      </c>
      <c r="B5314" t="s">
        <v>72</v>
      </c>
      <c r="C5314" t="s">
        <v>150</v>
      </c>
      <c r="D5314" t="s">
        <v>1544</v>
      </c>
      <c r="E5314">
        <v>80866571</v>
      </c>
      <c r="F5314" t="s">
        <v>3294</v>
      </c>
      <c r="G5314" s="3">
        <v>47014</v>
      </c>
      <c r="H5314">
        <v>36</v>
      </c>
      <c r="I5314">
        <v>76</v>
      </c>
      <c r="J5314">
        <v>284</v>
      </c>
      <c r="K5314" s="4">
        <v>4771.2</v>
      </c>
      <c r="L5314" s="4">
        <v>267.14285714285717</v>
      </c>
      <c r="M5314" s="4">
        <v>1.0631016042780748</v>
      </c>
      <c r="N5314" t="s">
        <v>25</v>
      </c>
      <c r="O5314" t="str">
        <f t="shared" si="820"/>
        <v>Low</v>
      </c>
      <c r="P5314" t="str">
        <f t="shared" si="821"/>
        <v>Low</v>
      </c>
      <c r="Q5314" t="str">
        <f t="shared" si="822"/>
        <v>Low</v>
      </c>
      <c r="R5314" t="s">
        <v>3317</v>
      </c>
      <c r="S5314" s="4">
        <f t="shared" ca="1" si="823"/>
        <v>817</v>
      </c>
      <c r="T5314">
        <f t="shared" si="824"/>
        <v>1</v>
      </c>
      <c r="U5314">
        <f t="shared" si="825"/>
        <v>1</v>
      </c>
      <c r="V5314">
        <f t="shared" si="826"/>
        <v>1</v>
      </c>
      <c r="W5314">
        <f t="shared" si="827"/>
        <v>1</v>
      </c>
      <c r="X5314">
        <f t="shared" si="828"/>
        <v>0.99999999999999989</v>
      </c>
      <c r="Y5314" t="str">
        <f t="shared" si="829"/>
        <v>Healthy</v>
      </c>
    </row>
    <row r="5315" spans="1:25" x14ac:dyDescent="0.35">
      <c r="A5315" t="s">
        <v>71</v>
      </c>
      <c r="B5315" t="s">
        <v>72</v>
      </c>
      <c r="C5315" t="s">
        <v>150</v>
      </c>
      <c r="D5315" t="s">
        <v>1544</v>
      </c>
      <c r="E5315">
        <v>80866571</v>
      </c>
      <c r="F5315" t="s">
        <v>3294</v>
      </c>
      <c r="G5315" s="3">
        <v>46942</v>
      </c>
      <c r="H5315">
        <v>36</v>
      </c>
      <c r="I5315">
        <v>69</v>
      </c>
      <c r="J5315">
        <v>165</v>
      </c>
      <c r="K5315" s="4">
        <v>2772</v>
      </c>
      <c r="L5315" s="4">
        <v>267.14285714285717</v>
      </c>
      <c r="M5315" s="4">
        <v>0.61764705882352933</v>
      </c>
      <c r="N5315" t="s">
        <v>25</v>
      </c>
      <c r="O5315" t="str">
        <f t="shared" ref="O5315:O5336" si="830">IF(I5315&lt;20,"High",IF(I5315&lt;40,"Medium","Low"))</f>
        <v>Low</v>
      </c>
      <c r="P5315" t="str">
        <f t="shared" ref="P5315:P5336" si="831">IF(M5315&gt;8,"High",IF(M5315&gt;4,"Medium","Low"))</f>
        <v>Low</v>
      </c>
      <c r="Q5315" t="str">
        <f t="shared" ref="Q5315:Q5336" si="832">IF(L5315&lt;5,"High",IF(L5315&lt;15,"Medium","Low"))</f>
        <v>Low</v>
      </c>
      <c r="R5315" t="s">
        <v>3317</v>
      </c>
      <c r="S5315" s="4">
        <f t="shared" ref="S5315:S5336" ca="1" si="833">G5315-TODAY()</f>
        <v>745</v>
      </c>
      <c r="T5315">
        <f t="shared" ref="T5315:T5336" si="834">IF(O5315="High",3,IF(O5315="Medium",2,1))</f>
        <v>1</v>
      </c>
      <c r="U5315">
        <f t="shared" ref="U5315:U5336" si="835">IF(P5315="High",3,IF(P5315="Medium",2,1))</f>
        <v>1</v>
      </c>
      <c r="V5315">
        <f t="shared" ref="V5315:V5336" si="836">IF(Q5315="High",3,IF(Q5315="Medium",2,1))</f>
        <v>1</v>
      </c>
      <c r="W5315">
        <f t="shared" ref="W5315:W5336" si="837">IF(R5315="High",3,IF(R5315="Medium",2,1))</f>
        <v>1</v>
      </c>
      <c r="X5315">
        <f t="shared" ref="X5315:X5336" si="838">(0.4*T5315)+(0.3*U5315)+(0.2*V5315)+(0.1*W5315)</f>
        <v>0.99999999999999989</v>
      </c>
      <c r="Y5315" t="str">
        <f t="shared" ref="Y5315:Y5336" si="839">IF(X5315&gt;=2.7,"Move Immediately",IF(X5315&gt;=2.2,"High Priority",IF(X5315&gt;=1.7,"Monitor","Healthy")))</f>
        <v>Healthy</v>
      </c>
    </row>
    <row r="5316" spans="1:25" x14ac:dyDescent="0.35">
      <c r="A5316" t="s">
        <v>71</v>
      </c>
      <c r="B5316" t="s">
        <v>72</v>
      </c>
      <c r="C5316" t="s">
        <v>150</v>
      </c>
      <c r="D5316" t="s">
        <v>1544</v>
      </c>
      <c r="E5316">
        <v>80866571</v>
      </c>
      <c r="F5316" t="s">
        <v>3294</v>
      </c>
      <c r="G5316" s="3">
        <v>46940</v>
      </c>
      <c r="H5316">
        <v>36</v>
      </c>
      <c r="I5316">
        <v>69</v>
      </c>
      <c r="J5316">
        <v>300</v>
      </c>
      <c r="K5316" s="4">
        <v>5040</v>
      </c>
      <c r="L5316" s="4">
        <v>267.14285714285717</v>
      </c>
      <c r="M5316" s="4">
        <v>1.1229946524064169</v>
      </c>
      <c r="N5316" t="s">
        <v>25</v>
      </c>
      <c r="O5316" t="str">
        <f t="shared" si="830"/>
        <v>Low</v>
      </c>
      <c r="P5316" t="str">
        <f t="shared" si="831"/>
        <v>Low</v>
      </c>
      <c r="Q5316" t="str">
        <f t="shared" si="832"/>
        <v>Low</v>
      </c>
      <c r="R5316" t="s">
        <v>3317</v>
      </c>
      <c r="S5316" s="4">
        <f t="shared" ca="1" si="833"/>
        <v>743</v>
      </c>
      <c r="T5316">
        <f t="shared" si="834"/>
        <v>1</v>
      </c>
      <c r="U5316">
        <f t="shared" si="835"/>
        <v>1</v>
      </c>
      <c r="V5316">
        <f t="shared" si="836"/>
        <v>1</v>
      </c>
      <c r="W5316">
        <f t="shared" si="837"/>
        <v>1</v>
      </c>
      <c r="X5316">
        <f t="shared" si="838"/>
        <v>0.99999999999999989</v>
      </c>
      <c r="Y5316" t="str">
        <f t="shared" si="839"/>
        <v>Healthy</v>
      </c>
    </row>
    <row r="5317" spans="1:25" x14ac:dyDescent="0.35">
      <c r="A5317" t="s">
        <v>71</v>
      </c>
      <c r="B5317" t="s">
        <v>72</v>
      </c>
      <c r="C5317" t="s">
        <v>73</v>
      </c>
      <c r="D5317" t="s">
        <v>284</v>
      </c>
      <c r="E5317">
        <v>80867152</v>
      </c>
      <c r="F5317" t="s">
        <v>3295</v>
      </c>
      <c r="G5317" s="3">
        <v>46982</v>
      </c>
      <c r="H5317">
        <v>36</v>
      </c>
      <c r="I5317">
        <v>73</v>
      </c>
      <c r="J5317">
        <v>2</v>
      </c>
      <c r="K5317" s="4">
        <v>1119.96</v>
      </c>
      <c r="L5317" s="4">
        <v>50</v>
      </c>
      <c r="M5317" s="4">
        <v>0.04</v>
      </c>
      <c r="N5317" t="s">
        <v>25</v>
      </c>
      <c r="O5317" t="str">
        <f t="shared" si="830"/>
        <v>Low</v>
      </c>
      <c r="P5317" t="str">
        <f t="shared" si="831"/>
        <v>Low</v>
      </c>
      <c r="Q5317" t="str">
        <f t="shared" si="832"/>
        <v>Low</v>
      </c>
      <c r="R5317" t="s">
        <v>3317</v>
      </c>
      <c r="S5317" s="4">
        <f t="shared" ca="1" si="833"/>
        <v>785</v>
      </c>
      <c r="T5317">
        <f t="shared" si="834"/>
        <v>1</v>
      </c>
      <c r="U5317">
        <f t="shared" si="835"/>
        <v>1</v>
      </c>
      <c r="V5317">
        <f t="shared" si="836"/>
        <v>1</v>
      </c>
      <c r="W5317">
        <f t="shared" si="837"/>
        <v>1</v>
      </c>
      <c r="X5317">
        <f t="shared" si="838"/>
        <v>0.99999999999999989</v>
      </c>
      <c r="Y5317" t="str">
        <f t="shared" si="839"/>
        <v>Healthy</v>
      </c>
    </row>
    <row r="5318" spans="1:25" x14ac:dyDescent="0.35">
      <c r="A5318" t="s">
        <v>71</v>
      </c>
      <c r="B5318" t="s">
        <v>72</v>
      </c>
      <c r="C5318" t="s">
        <v>73</v>
      </c>
      <c r="D5318" t="s">
        <v>284</v>
      </c>
      <c r="E5318">
        <v>80867152</v>
      </c>
      <c r="F5318" t="s">
        <v>3295</v>
      </c>
      <c r="G5318" s="3">
        <v>47060</v>
      </c>
      <c r="H5318">
        <v>36</v>
      </c>
      <c r="I5318">
        <v>80</v>
      </c>
      <c r="J5318">
        <v>4</v>
      </c>
      <c r="K5318" s="4">
        <v>2239.92</v>
      </c>
      <c r="L5318" s="4">
        <v>50</v>
      </c>
      <c r="M5318" s="4">
        <v>0.08</v>
      </c>
      <c r="N5318" t="s">
        <v>25</v>
      </c>
      <c r="O5318" t="str">
        <f t="shared" si="830"/>
        <v>Low</v>
      </c>
      <c r="P5318" t="str">
        <f t="shared" si="831"/>
        <v>Low</v>
      </c>
      <c r="Q5318" t="str">
        <f t="shared" si="832"/>
        <v>Low</v>
      </c>
      <c r="R5318" t="s">
        <v>3317</v>
      </c>
      <c r="S5318" s="4">
        <f t="shared" ca="1" si="833"/>
        <v>863</v>
      </c>
      <c r="T5318">
        <f t="shared" si="834"/>
        <v>1</v>
      </c>
      <c r="U5318">
        <f t="shared" si="835"/>
        <v>1</v>
      </c>
      <c r="V5318">
        <f t="shared" si="836"/>
        <v>1</v>
      </c>
      <c r="W5318">
        <f t="shared" si="837"/>
        <v>1</v>
      </c>
      <c r="X5318">
        <f t="shared" si="838"/>
        <v>0.99999999999999989</v>
      </c>
      <c r="Y5318" t="str">
        <f t="shared" si="839"/>
        <v>Healthy</v>
      </c>
    </row>
    <row r="5319" spans="1:25" x14ac:dyDescent="0.35">
      <c r="A5319" t="s">
        <v>71</v>
      </c>
      <c r="B5319" t="s">
        <v>72</v>
      </c>
      <c r="C5319" t="s">
        <v>73</v>
      </c>
      <c r="D5319" t="s">
        <v>284</v>
      </c>
      <c r="E5319">
        <v>80867152</v>
      </c>
      <c r="F5319" t="s">
        <v>3295</v>
      </c>
      <c r="G5319" s="3">
        <v>46955</v>
      </c>
      <c r="H5319">
        <v>36</v>
      </c>
      <c r="I5319">
        <v>71</v>
      </c>
      <c r="J5319">
        <v>6</v>
      </c>
      <c r="K5319" s="4">
        <v>3359.88</v>
      </c>
      <c r="L5319" s="4">
        <v>50</v>
      </c>
      <c r="M5319" s="4">
        <v>0.12</v>
      </c>
      <c r="N5319" t="s">
        <v>25</v>
      </c>
      <c r="O5319" t="str">
        <f t="shared" si="830"/>
        <v>Low</v>
      </c>
      <c r="P5319" t="str">
        <f t="shared" si="831"/>
        <v>Low</v>
      </c>
      <c r="Q5319" t="str">
        <f t="shared" si="832"/>
        <v>Low</v>
      </c>
      <c r="R5319" t="s">
        <v>3317</v>
      </c>
      <c r="S5319" s="4">
        <f t="shared" ca="1" si="833"/>
        <v>758</v>
      </c>
      <c r="T5319">
        <f t="shared" si="834"/>
        <v>1</v>
      </c>
      <c r="U5319">
        <f t="shared" si="835"/>
        <v>1</v>
      </c>
      <c r="V5319">
        <f t="shared" si="836"/>
        <v>1</v>
      </c>
      <c r="W5319">
        <f t="shared" si="837"/>
        <v>1</v>
      </c>
      <c r="X5319">
        <f t="shared" si="838"/>
        <v>0.99999999999999989</v>
      </c>
      <c r="Y5319" t="str">
        <f t="shared" si="839"/>
        <v>Healthy</v>
      </c>
    </row>
    <row r="5320" spans="1:25" x14ac:dyDescent="0.35">
      <c r="A5320" t="s">
        <v>71</v>
      </c>
      <c r="B5320" t="s">
        <v>72</v>
      </c>
      <c r="C5320" t="s">
        <v>73</v>
      </c>
      <c r="D5320" t="s">
        <v>284</v>
      </c>
      <c r="E5320">
        <v>80867152</v>
      </c>
      <c r="F5320" t="s">
        <v>3295</v>
      </c>
      <c r="G5320" s="3">
        <v>47033</v>
      </c>
      <c r="H5320">
        <v>36</v>
      </c>
      <c r="I5320">
        <v>78</v>
      </c>
      <c r="J5320">
        <v>12</v>
      </c>
      <c r="K5320" s="4">
        <v>6719.76</v>
      </c>
      <c r="L5320" s="4">
        <v>50</v>
      </c>
      <c r="M5320" s="4">
        <v>0.24</v>
      </c>
      <c r="N5320" t="s">
        <v>25</v>
      </c>
      <c r="O5320" t="str">
        <f t="shared" si="830"/>
        <v>Low</v>
      </c>
      <c r="P5320" t="str">
        <f t="shared" si="831"/>
        <v>Low</v>
      </c>
      <c r="Q5320" t="str">
        <f t="shared" si="832"/>
        <v>Low</v>
      </c>
      <c r="R5320" t="s">
        <v>3317</v>
      </c>
      <c r="S5320" s="4">
        <f t="shared" ca="1" si="833"/>
        <v>836</v>
      </c>
      <c r="T5320">
        <f t="shared" si="834"/>
        <v>1</v>
      </c>
      <c r="U5320">
        <f t="shared" si="835"/>
        <v>1</v>
      </c>
      <c r="V5320">
        <f t="shared" si="836"/>
        <v>1</v>
      </c>
      <c r="W5320">
        <f t="shared" si="837"/>
        <v>1</v>
      </c>
      <c r="X5320">
        <f t="shared" si="838"/>
        <v>0.99999999999999989</v>
      </c>
      <c r="Y5320" t="str">
        <f t="shared" si="839"/>
        <v>Healthy</v>
      </c>
    </row>
    <row r="5321" spans="1:25" x14ac:dyDescent="0.35">
      <c r="A5321" t="s">
        <v>90</v>
      </c>
      <c r="B5321" t="s">
        <v>91</v>
      </c>
      <c r="C5321" t="s">
        <v>255</v>
      </c>
      <c r="D5321" t="s">
        <v>3296</v>
      </c>
      <c r="E5321">
        <v>80870356</v>
      </c>
      <c r="F5321" t="s">
        <v>3297</v>
      </c>
      <c r="G5321" s="3">
        <v>46854</v>
      </c>
      <c r="H5321">
        <v>24</v>
      </c>
      <c r="I5321">
        <v>92</v>
      </c>
      <c r="J5321">
        <v>188</v>
      </c>
      <c r="K5321" s="4">
        <v>13881.92</v>
      </c>
      <c r="L5321" s="4">
        <v>2581</v>
      </c>
      <c r="M5321" s="4">
        <v>7.2839984502130958E-2</v>
      </c>
      <c r="N5321" t="s">
        <v>25</v>
      </c>
      <c r="O5321" t="str">
        <f t="shared" si="830"/>
        <v>Low</v>
      </c>
      <c r="P5321" t="str">
        <f t="shared" si="831"/>
        <v>Low</v>
      </c>
      <c r="Q5321" t="str">
        <f t="shared" si="832"/>
        <v>Low</v>
      </c>
      <c r="R5321" t="s">
        <v>3317</v>
      </c>
      <c r="S5321" s="4">
        <f t="shared" ca="1" si="833"/>
        <v>657</v>
      </c>
      <c r="T5321">
        <f t="shared" si="834"/>
        <v>1</v>
      </c>
      <c r="U5321">
        <f t="shared" si="835"/>
        <v>1</v>
      </c>
      <c r="V5321">
        <f t="shared" si="836"/>
        <v>1</v>
      </c>
      <c r="W5321">
        <f t="shared" si="837"/>
        <v>1</v>
      </c>
      <c r="X5321">
        <f t="shared" si="838"/>
        <v>0.99999999999999989</v>
      </c>
      <c r="Y5321" t="str">
        <f t="shared" si="839"/>
        <v>Healthy</v>
      </c>
    </row>
    <row r="5322" spans="1:25" x14ac:dyDescent="0.35">
      <c r="A5322" t="s">
        <v>90</v>
      </c>
      <c r="B5322" t="s">
        <v>91</v>
      </c>
      <c r="C5322" t="s">
        <v>255</v>
      </c>
      <c r="D5322" t="s">
        <v>3296</v>
      </c>
      <c r="E5322">
        <v>80870356</v>
      </c>
      <c r="F5322" t="s">
        <v>3297</v>
      </c>
      <c r="G5322" s="3">
        <v>46853</v>
      </c>
      <c r="H5322">
        <v>24</v>
      </c>
      <c r="I5322">
        <v>92</v>
      </c>
      <c r="J5322">
        <v>246</v>
      </c>
      <c r="K5322" s="4">
        <v>18164.64</v>
      </c>
      <c r="L5322" s="4">
        <v>2581</v>
      </c>
      <c r="M5322" s="4">
        <v>9.5311894614490508E-2</v>
      </c>
      <c r="N5322" t="s">
        <v>25</v>
      </c>
      <c r="O5322" t="str">
        <f t="shared" si="830"/>
        <v>Low</v>
      </c>
      <c r="P5322" t="str">
        <f t="shared" si="831"/>
        <v>Low</v>
      </c>
      <c r="Q5322" t="str">
        <f t="shared" si="832"/>
        <v>Low</v>
      </c>
      <c r="R5322" t="s">
        <v>3317</v>
      </c>
      <c r="S5322" s="4">
        <f t="shared" ca="1" si="833"/>
        <v>656</v>
      </c>
      <c r="T5322">
        <f t="shared" si="834"/>
        <v>1</v>
      </c>
      <c r="U5322">
        <f t="shared" si="835"/>
        <v>1</v>
      </c>
      <c r="V5322">
        <f t="shared" si="836"/>
        <v>1</v>
      </c>
      <c r="W5322">
        <f t="shared" si="837"/>
        <v>1</v>
      </c>
      <c r="X5322">
        <f t="shared" si="838"/>
        <v>0.99999999999999989</v>
      </c>
      <c r="Y5322" t="str">
        <f t="shared" si="839"/>
        <v>Healthy</v>
      </c>
    </row>
    <row r="5323" spans="1:25" x14ac:dyDescent="0.35">
      <c r="A5323" t="s">
        <v>90</v>
      </c>
      <c r="B5323" t="s">
        <v>91</v>
      </c>
      <c r="C5323" t="s">
        <v>92</v>
      </c>
      <c r="D5323" t="s">
        <v>3298</v>
      </c>
      <c r="E5323">
        <v>80876959</v>
      </c>
      <c r="F5323" t="s">
        <v>3299</v>
      </c>
      <c r="G5323" s="3">
        <v>46870</v>
      </c>
      <c r="H5323">
        <v>24</v>
      </c>
      <c r="I5323">
        <v>94</v>
      </c>
      <c r="J5323">
        <v>96</v>
      </c>
      <c r="K5323" s="4">
        <v>34012.800000000003</v>
      </c>
      <c r="L5323" s="4">
        <v>4200.2857142857147</v>
      </c>
      <c r="M5323" s="4">
        <v>2.2855588055234334E-2</v>
      </c>
      <c r="N5323" t="s">
        <v>25</v>
      </c>
      <c r="O5323" t="str">
        <f t="shared" si="830"/>
        <v>Low</v>
      </c>
      <c r="P5323" t="str">
        <f t="shared" si="831"/>
        <v>Low</v>
      </c>
      <c r="Q5323" t="str">
        <f t="shared" si="832"/>
        <v>Low</v>
      </c>
      <c r="R5323" t="s">
        <v>3317</v>
      </c>
      <c r="S5323" s="4">
        <f t="shared" ca="1" si="833"/>
        <v>673</v>
      </c>
      <c r="T5323">
        <f t="shared" si="834"/>
        <v>1</v>
      </c>
      <c r="U5323">
        <f t="shared" si="835"/>
        <v>1</v>
      </c>
      <c r="V5323">
        <f t="shared" si="836"/>
        <v>1</v>
      </c>
      <c r="W5323">
        <f t="shared" si="837"/>
        <v>1</v>
      </c>
      <c r="X5323">
        <f t="shared" si="838"/>
        <v>0.99999999999999989</v>
      </c>
      <c r="Y5323" t="str">
        <f t="shared" si="839"/>
        <v>Healthy</v>
      </c>
    </row>
    <row r="5324" spans="1:25" x14ac:dyDescent="0.35">
      <c r="A5324" t="s">
        <v>90</v>
      </c>
      <c r="B5324" t="s">
        <v>91</v>
      </c>
      <c r="C5324" t="s">
        <v>92</v>
      </c>
      <c r="D5324" t="s">
        <v>3298</v>
      </c>
      <c r="E5324">
        <v>80876959</v>
      </c>
      <c r="F5324" t="s">
        <v>3299</v>
      </c>
      <c r="G5324" s="3">
        <v>46897</v>
      </c>
      <c r="H5324">
        <v>24</v>
      </c>
      <c r="I5324">
        <v>98</v>
      </c>
      <c r="J5324">
        <v>1072</v>
      </c>
      <c r="K5324" s="4">
        <v>379809.6</v>
      </c>
      <c r="L5324" s="4">
        <v>4200.2857142857147</v>
      </c>
      <c r="M5324" s="4">
        <v>0.25522073328345007</v>
      </c>
      <c r="N5324" t="s">
        <v>25</v>
      </c>
      <c r="O5324" t="str">
        <f t="shared" si="830"/>
        <v>Low</v>
      </c>
      <c r="P5324" t="str">
        <f t="shared" si="831"/>
        <v>Low</v>
      </c>
      <c r="Q5324" t="str">
        <f t="shared" si="832"/>
        <v>Low</v>
      </c>
      <c r="R5324" t="s">
        <v>3309</v>
      </c>
      <c r="S5324" s="4">
        <f t="shared" ca="1" si="833"/>
        <v>700</v>
      </c>
      <c r="T5324">
        <f t="shared" si="834"/>
        <v>1</v>
      </c>
      <c r="U5324">
        <f t="shared" si="835"/>
        <v>1</v>
      </c>
      <c r="V5324">
        <f t="shared" si="836"/>
        <v>1</v>
      </c>
      <c r="W5324">
        <f t="shared" si="837"/>
        <v>3</v>
      </c>
      <c r="X5324">
        <f t="shared" si="838"/>
        <v>1.2</v>
      </c>
      <c r="Y5324" t="str">
        <f t="shared" si="839"/>
        <v>Healthy</v>
      </c>
    </row>
    <row r="5325" spans="1:25" x14ac:dyDescent="0.35">
      <c r="A5325" t="s">
        <v>41</v>
      </c>
      <c r="B5325" t="s">
        <v>54</v>
      </c>
      <c r="C5325" t="s">
        <v>87</v>
      </c>
      <c r="D5325" t="s">
        <v>447</v>
      </c>
      <c r="E5325">
        <v>80872419</v>
      </c>
      <c r="F5325" t="s">
        <v>3300</v>
      </c>
      <c r="G5325" s="3">
        <v>46941</v>
      </c>
      <c r="H5325">
        <v>36</v>
      </c>
      <c r="I5325">
        <v>69</v>
      </c>
      <c r="J5325">
        <v>96</v>
      </c>
      <c r="K5325" s="4">
        <v>7121.28</v>
      </c>
      <c r="L5325" s="4">
        <v>145.14285714285714</v>
      </c>
      <c r="M5325" s="4">
        <v>0.66141732283464572</v>
      </c>
      <c r="N5325" t="s">
        <v>25</v>
      </c>
      <c r="O5325" t="str">
        <f t="shared" si="830"/>
        <v>Low</v>
      </c>
      <c r="P5325" t="str">
        <f t="shared" si="831"/>
        <v>Low</v>
      </c>
      <c r="Q5325" t="str">
        <f t="shared" si="832"/>
        <v>Low</v>
      </c>
      <c r="R5325" t="s">
        <v>3317</v>
      </c>
      <c r="S5325" s="4">
        <f t="shared" ca="1" si="833"/>
        <v>744</v>
      </c>
      <c r="T5325">
        <f t="shared" si="834"/>
        <v>1</v>
      </c>
      <c r="U5325">
        <f t="shared" si="835"/>
        <v>1</v>
      </c>
      <c r="V5325">
        <f t="shared" si="836"/>
        <v>1</v>
      </c>
      <c r="W5325">
        <f t="shared" si="837"/>
        <v>1</v>
      </c>
      <c r="X5325">
        <f t="shared" si="838"/>
        <v>0.99999999999999989</v>
      </c>
      <c r="Y5325" t="str">
        <f t="shared" si="839"/>
        <v>Healthy</v>
      </c>
    </row>
    <row r="5326" spans="1:25" x14ac:dyDescent="0.35">
      <c r="A5326" t="s">
        <v>71</v>
      </c>
      <c r="B5326" t="s">
        <v>72</v>
      </c>
      <c r="C5326" t="s">
        <v>174</v>
      </c>
      <c r="D5326" t="s">
        <v>761</v>
      </c>
      <c r="E5326">
        <v>80875297</v>
      </c>
      <c r="F5326" t="s">
        <v>3301</v>
      </c>
      <c r="G5326" s="3">
        <v>46954</v>
      </c>
      <c r="H5326">
        <v>36</v>
      </c>
      <c r="I5326">
        <v>71</v>
      </c>
      <c r="J5326">
        <v>3</v>
      </c>
      <c r="K5326" s="4">
        <v>5780.4</v>
      </c>
      <c r="L5326" s="4">
        <v>0.42857142857142855</v>
      </c>
      <c r="M5326" s="4">
        <v>7</v>
      </c>
      <c r="N5326" t="s">
        <v>19</v>
      </c>
      <c r="O5326" t="str">
        <f t="shared" si="830"/>
        <v>Low</v>
      </c>
      <c r="P5326" t="str">
        <f t="shared" si="831"/>
        <v>Medium</v>
      </c>
      <c r="Q5326" t="str">
        <f t="shared" si="832"/>
        <v>High</v>
      </c>
      <c r="R5326" t="s">
        <v>3317</v>
      </c>
      <c r="S5326" s="4">
        <f t="shared" ca="1" si="833"/>
        <v>757</v>
      </c>
      <c r="T5326">
        <f t="shared" si="834"/>
        <v>1</v>
      </c>
      <c r="U5326">
        <f t="shared" si="835"/>
        <v>2</v>
      </c>
      <c r="V5326">
        <f t="shared" si="836"/>
        <v>3</v>
      </c>
      <c r="W5326">
        <f t="shared" si="837"/>
        <v>1</v>
      </c>
      <c r="X5326">
        <f t="shared" si="838"/>
        <v>1.7000000000000002</v>
      </c>
      <c r="Y5326" t="str">
        <f t="shared" si="839"/>
        <v>Monitor</v>
      </c>
    </row>
    <row r="5327" spans="1:25" x14ac:dyDescent="0.35">
      <c r="A5327" t="s">
        <v>14</v>
      </c>
      <c r="B5327" t="s">
        <v>115</v>
      </c>
      <c r="C5327" t="s">
        <v>116</v>
      </c>
      <c r="D5327" t="s">
        <v>117</v>
      </c>
      <c r="E5327">
        <v>80871575</v>
      </c>
      <c r="F5327" t="s">
        <v>3302</v>
      </c>
      <c r="G5327" s="3">
        <v>47887</v>
      </c>
      <c r="H5327">
        <v>60</v>
      </c>
      <c r="I5327">
        <v>94</v>
      </c>
      <c r="J5327">
        <v>12</v>
      </c>
      <c r="K5327" s="4">
        <v>220355.87</v>
      </c>
      <c r="L5327" s="4">
        <v>8346</v>
      </c>
      <c r="M5327" s="4">
        <v>1.4378145219266715E-3</v>
      </c>
      <c r="N5327" t="s">
        <v>25</v>
      </c>
      <c r="O5327" t="str">
        <f t="shared" si="830"/>
        <v>Low</v>
      </c>
      <c r="P5327" t="str">
        <f t="shared" si="831"/>
        <v>Low</v>
      </c>
      <c r="Q5327" t="str">
        <f t="shared" si="832"/>
        <v>Low</v>
      </c>
      <c r="R5327" t="s">
        <v>3309</v>
      </c>
      <c r="S5327" s="4">
        <f t="shared" ca="1" si="833"/>
        <v>1690</v>
      </c>
      <c r="T5327">
        <f t="shared" si="834"/>
        <v>1</v>
      </c>
      <c r="U5327">
        <f t="shared" si="835"/>
        <v>1</v>
      </c>
      <c r="V5327">
        <f t="shared" si="836"/>
        <v>1</v>
      </c>
      <c r="W5327">
        <f t="shared" si="837"/>
        <v>3</v>
      </c>
      <c r="X5327">
        <f t="shared" si="838"/>
        <v>1.2</v>
      </c>
      <c r="Y5327" t="str">
        <f t="shared" si="839"/>
        <v>Healthy</v>
      </c>
    </row>
    <row r="5328" spans="1:25" x14ac:dyDescent="0.35">
      <c r="A5328" t="s">
        <v>210</v>
      </c>
      <c r="B5328" t="s">
        <v>211</v>
      </c>
      <c r="C5328" t="s">
        <v>338</v>
      </c>
      <c r="D5328" t="s">
        <v>1443</v>
      </c>
      <c r="E5328">
        <v>80832391</v>
      </c>
      <c r="F5328" t="s">
        <v>3303</v>
      </c>
      <c r="G5328" s="3">
        <v>47964</v>
      </c>
      <c r="H5328">
        <v>60</v>
      </c>
      <c r="I5328">
        <v>98</v>
      </c>
      <c r="J5328">
        <v>6</v>
      </c>
      <c r="K5328" s="4">
        <v>1642.08</v>
      </c>
      <c r="L5328" s="4">
        <v>751.42857142857144</v>
      </c>
      <c r="M5328" s="4">
        <v>7.9847908745247151E-3</v>
      </c>
      <c r="N5328" t="s">
        <v>25</v>
      </c>
      <c r="O5328" t="str">
        <f t="shared" si="830"/>
        <v>Low</v>
      </c>
      <c r="P5328" t="str">
        <f t="shared" si="831"/>
        <v>Low</v>
      </c>
      <c r="Q5328" t="str">
        <f t="shared" si="832"/>
        <v>Low</v>
      </c>
      <c r="R5328" t="s">
        <v>3317</v>
      </c>
      <c r="S5328" s="4">
        <f t="shared" ca="1" si="833"/>
        <v>1767</v>
      </c>
      <c r="T5328">
        <f t="shared" si="834"/>
        <v>1</v>
      </c>
      <c r="U5328">
        <f t="shared" si="835"/>
        <v>1</v>
      </c>
      <c r="V5328">
        <f t="shared" si="836"/>
        <v>1</v>
      </c>
      <c r="W5328">
        <f t="shared" si="837"/>
        <v>1</v>
      </c>
      <c r="X5328">
        <f t="shared" si="838"/>
        <v>0.99999999999999989</v>
      </c>
      <c r="Y5328" t="str">
        <f t="shared" si="839"/>
        <v>Healthy</v>
      </c>
    </row>
    <row r="5329" spans="1:25" x14ac:dyDescent="0.35">
      <c r="A5329" t="s">
        <v>210</v>
      </c>
      <c r="B5329" t="s">
        <v>211</v>
      </c>
      <c r="C5329" t="s">
        <v>338</v>
      </c>
      <c r="D5329" t="s">
        <v>1443</v>
      </c>
      <c r="E5329">
        <v>80832391</v>
      </c>
      <c r="F5329" t="s">
        <v>3303</v>
      </c>
      <c r="G5329" s="3">
        <v>47874</v>
      </c>
      <c r="H5329">
        <v>60</v>
      </c>
      <c r="I5329">
        <v>93</v>
      </c>
      <c r="J5329">
        <v>3</v>
      </c>
      <c r="K5329" s="4">
        <v>821.04</v>
      </c>
      <c r="L5329" s="4">
        <v>751.42857142857144</v>
      </c>
      <c r="M5329" s="4">
        <v>3.9923954372623575E-3</v>
      </c>
      <c r="N5329" t="s">
        <v>25</v>
      </c>
      <c r="O5329" t="str">
        <f t="shared" si="830"/>
        <v>Low</v>
      </c>
      <c r="P5329" t="str">
        <f t="shared" si="831"/>
        <v>Low</v>
      </c>
      <c r="Q5329" t="str">
        <f t="shared" si="832"/>
        <v>Low</v>
      </c>
      <c r="R5329" t="s">
        <v>3317</v>
      </c>
      <c r="S5329" s="4">
        <f t="shared" ca="1" si="833"/>
        <v>1677</v>
      </c>
      <c r="T5329">
        <f t="shared" si="834"/>
        <v>1</v>
      </c>
      <c r="U5329">
        <f t="shared" si="835"/>
        <v>1</v>
      </c>
      <c r="V5329">
        <f t="shared" si="836"/>
        <v>1</v>
      </c>
      <c r="W5329">
        <f t="shared" si="837"/>
        <v>1</v>
      </c>
      <c r="X5329">
        <f t="shared" si="838"/>
        <v>0.99999999999999989</v>
      </c>
      <c r="Y5329" t="str">
        <f t="shared" si="839"/>
        <v>Healthy</v>
      </c>
    </row>
    <row r="5330" spans="1:25" x14ac:dyDescent="0.35">
      <c r="A5330" t="s">
        <v>210</v>
      </c>
      <c r="B5330" t="s">
        <v>211</v>
      </c>
      <c r="C5330" t="s">
        <v>338</v>
      </c>
      <c r="D5330" t="s">
        <v>1443</v>
      </c>
      <c r="E5330">
        <v>80832391</v>
      </c>
      <c r="F5330" t="s">
        <v>3303</v>
      </c>
      <c r="G5330" s="3">
        <v>47828</v>
      </c>
      <c r="H5330">
        <v>60</v>
      </c>
      <c r="I5330">
        <v>91</v>
      </c>
      <c r="J5330">
        <v>9</v>
      </c>
      <c r="K5330" s="4">
        <v>2463.12</v>
      </c>
      <c r="L5330" s="4">
        <v>751.42857142857144</v>
      </c>
      <c r="M5330" s="4">
        <v>1.1977186311787073E-2</v>
      </c>
      <c r="N5330" t="s">
        <v>25</v>
      </c>
      <c r="O5330" t="str">
        <f t="shared" si="830"/>
        <v>Low</v>
      </c>
      <c r="P5330" t="str">
        <f t="shared" si="831"/>
        <v>Low</v>
      </c>
      <c r="Q5330" t="str">
        <f t="shared" si="832"/>
        <v>Low</v>
      </c>
      <c r="R5330" t="s">
        <v>3317</v>
      </c>
      <c r="S5330" s="4">
        <f t="shared" ca="1" si="833"/>
        <v>1631</v>
      </c>
      <c r="T5330">
        <f t="shared" si="834"/>
        <v>1</v>
      </c>
      <c r="U5330">
        <f t="shared" si="835"/>
        <v>1</v>
      </c>
      <c r="V5330">
        <f t="shared" si="836"/>
        <v>1</v>
      </c>
      <c r="W5330">
        <f t="shared" si="837"/>
        <v>1</v>
      </c>
      <c r="X5330">
        <f t="shared" si="838"/>
        <v>0.99999999999999989</v>
      </c>
      <c r="Y5330" t="str">
        <f t="shared" si="839"/>
        <v>Healthy</v>
      </c>
    </row>
    <row r="5331" spans="1:25" x14ac:dyDescent="0.35">
      <c r="A5331" t="s">
        <v>71</v>
      </c>
      <c r="B5331" t="s">
        <v>72</v>
      </c>
      <c r="C5331" t="s">
        <v>150</v>
      </c>
      <c r="D5331" t="s">
        <v>2307</v>
      </c>
      <c r="E5331">
        <v>80875309</v>
      </c>
      <c r="F5331" t="s">
        <v>3304</v>
      </c>
      <c r="G5331" s="3">
        <v>46972</v>
      </c>
      <c r="H5331">
        <v>36</v>
      </c>
      <c r="I5331">
        <v>72</v>
      </c>
      <c r="J5331">
        <v>184</v>
      </c>
      <c r="K5331" s="4">
        <v>6035.2</v>
      </c>
      <c r="L5331" s="4">
        <v>273.42857142857144</v>
      </c>
      <c r="M5331" s="4">
        <v>0.67293625914315569</v>
      </c>
      <c r="N5331" t="s">
        <v>25</v>
      </c>
      <c r="O5331" t="str">
        <f t="shared" si="830"/>
        <v>Low</v>
      </c>
      <c r="P5331" t="str">
        <f t="shared" si="831"/>
        <v>Low</v>
      </c>
      <c r="Q5331" t="str">
        <f t="shared" si="832"/>
        <v>Low</v>
      </c>
      <c r="R5331" t="s">
        <v>3317</v>
      </c>
      <c r="S5331" s="4">
        <f t="shared" ca="1" si="833"/>
        <v>775</v>
      </c>
      <c r="T5331">
        <f t="shared" si="834"/>
        <v>1</v>
      </c>
      <c r="U5331">
        <f t="shared" si="835"/>
        <v>1</v>
      </c>
      <c r="V5331">
        <f t="shared" si="836"/>
        <v>1</v>
      </c>
      <c r="W5331">
        <f t="shared" si="837"/>
        <v>1</v>
      </c>
      <c r="X5331">
        <f t="shared" si="838"/>
        <v>0.99999999999999989</v>
      </c>
      <c r="Y5331" t="str">
        <f t="shared" si="839"/>
        <v>Healthy</v>
      </c>
    </row>
    <row r="5332" spans="1:25" x14ac:dyDescent="0.35">
      <c r="A5332" t="s">
        <v>71</v>
      </c>
      <c r="B5332" t="s">
        <v>72</v>
      </c>
      <c r="C5332" t="s">
        <v>174</v>
      </c>
      <c r="D5332" t="s">
        <v>3088</v>
      </c>
      <c r="E5332">
        <v>80875294</v>
      </c>
      <c r="F5332" t="s">
        <v>3305</v>
      </c>
      <c r="G5332" s="3">
        <v>47006</v>
      </c>
      <c r="H5332">
        <v>36</v>
      </c>
      <c r="I5332">
        <v>75</v>
      </c>
      <c r="J5332">
        <v>1</v>
      </c>
      <c r="K5332" s="4">
        <v>1715.6</v>
      </c>
      <c r="L5332" s="4">
        <v>313</v>
      </c>
      <c r="M5332" s="4">
        <v>3.1948881789137379E-3</v>
      </c>
      <c r="N5332" t="s">
        <v>25</v>
      </c>
      <c r="O5332" t="str">
        <f t="shared" si="830"/>
        <v>Low</v>
      </c>
      <c r="P5332" t="str">
        <f t="shared" si="831"/>
        <v>Low</v>
      </c>
      <c r="Q5332" t="str">
        <f t="shared" si="832"/>
        <v>Low</v>
      </c>
      <c r="R5332" t="s">
        <v>3317</v>
      </c>
      <c r="S5332" s="4">
        <f t="shared" ca="1" si="833"/>
        <v>809</v>
      </c>
      <c r="T5332">
        <f t="shared" si="834"/>
        <v>1</v>
      </c>
      <c r="U5332">
        <f t="shared" si="835"/>
        <v>1</v>
      </c>
      <c r="V5332">
        <f t="shared" si="836"/>
        <v>1</v>
      </c>
      <c r="W5332">
        <f t="shared" si="837"/>
        <v>1</v>
      </c>
      <c r="X5332">
        <f t="shared" si="838"/>
        <v>0.99999999999999989</v>
      </c>
      <c r="Y5332" t="str">
        <f t="shared" si="839"/>
        <v>Healthy</v>
      </c>
    </row>
    <row r="5333" spans="1:25" x14ac:dyDescent="0.35">
      <c r="A5333" t="s">
        <v>71</v>
      </c>
      <c r="B5333" t="s">
        <v>72</v>
      </c>
      <c r="C5333" t="s">
        <v>150</v>
      </c>
      <c r="D5333" t="s">
        <v>2317</v>
      </c>
      <c r="E5333">
        <v>80866573</v>
      </c>
      <c r="F5333" t="s">
        <v>3306</v>
      </c>
      <c r="G5333" s="3">
        <v>46969</v>
      </c>
      <c r="H5333">
        <v>36</v>
      </c>
      <c r="I5333">
        <v>72</v>
      </c>
      <c r="J5333">
        <v>22</v>
      </c>
      <c r="K5333" s="4">
        <v>756.8</v>
      </c>
      <c r="L5333" s="4">
        <v>58.857142857142854</v>
      </c>
      <c r="M5333" s="4">
        <v>0.37378640776699029</v>
      </c>
      <c r="N5333" t="s">
        <v>25</v>
      </c>
      <c r="O5333" t="str">
        <f t="shared" si="830"/>
        <v>Low</v>
      </c>
      <c r="P5333" t="str">
        <f t="shared" si="831"/>
        <v>Low</v>
      </c>
      <c r="Q5333" t="str">
        <f t="shared" si="832"/>
        <v>Low</v>
      </c>
      <c r="R5333" t="s">
        <v>3317</v>
      </c>
      <c r="S5333" s="4">
        <f t="shared" ca="1" si="833"/>
        <v>772</v>
      </c>
      <c r="T5333">
        <f t="shared" si="834"/>
        <v>1</v>
      </c>
      <c r="U5333">
        <f t="shared" si="835"/>
        <v>1</v>
      </c>
      <c r="V5333">
        <f t="shared" si="836"/>
        <v>1</v>
      </c>
      <c r="W5333">
        <f t="shared" si="837"/>
        <v>1</v>
      </c>
      <c r="X5333">
        <f t="shared" si="838"/>
        <v>0.99999999999999989</v>
      </c>
      <c r="Y5333" t="str">
        <f t="shared" si="839"/>
        <v>Healthy</v>
      </c>
    </row>
    <row r="5334" spans="1:25" x14ac:dyDescent="0.35">
      <c r="A5334" t="s">
        <v>29</v>
      </c>
      <c r="B5334" t="s">
        <v>30</v>
      </c>
      <c r="C5334" t="s">
        <v>230</v>
      </c>
      <c r="D5334" t="s">
        <v>2387</v>
      </c>
      <c r="E5334">
        <v>80849335</v>
      </c>
      <c r="F5334" t="s">
        <v>3307</v>
      </c>
      <c r="G5334" s="3">
        <v>47075</v>
      </c>
      <c r="H5334">
        <v>36</v>
      </c>
      <c r="I5334">
        <v>82</v>
      </c>
      <c r="J5334">
        <v>5</v>
      </c>
      <c r="K5334" s="4">
        <v>7995.75</v>
      </c>
      <c r="L5334" s="4">
        <v>111.14285714285714</v>
      </c>
      <c r="M5334" s="4">
        <v>4.4987146529562982E-2</v>
      </c>
      <c r="N5334" t="s">
        <v>25</v>
      </c>
      <c r="O5334" t="str">
        <f t="shared" si="830"/>
        <v>Low</v>
      </c>
      <c r="P5334" t="str">
        <f t="shared" si="831"/>
        <v>Low</v>
      </c>
      <c r="Q5334" t="str">
        <f t="shared" si="832"/>
        <v>Low</v>
      </c>
      <c r="R5334" t="s">
        <v>3317</v>
      </c>
      <c r="S5334" s="4">
        <f t="shared" ca="1" si="833"/>
        <v>878</v>
      </c>
      <c r="T5334">
        <f t="shared" si="834"/>
        <v>1</v>
      </c>
      <c r="U5334">
        <f t="shared" si="835"/>
        <v>1</v>
      </c>
      <c r="V5334">
        <f t="shared" si="836"/>
        <v>1</v>
      </c>
      <c r="W5334">
        <f t="shared" si="837"/>
        <v>1</v>
      </c>
      <c r="X5334">
        <f t="shared" si="838"/>
        <v>0.99999999999999989</v>
      </c>
      <c r="Y5334" t="str">
        <f t="shared" si="839"/>
        <v>Healthy</v>
      </c>
    </row>
    <row r="5335" spans="1:25" x14ac:dyDescent="0.35">
      <c r="A5335" t="s">
        <v>29</v>
      </c>
      <c r="B5335" t="s">
        <v>30</v>
      </c>
      <c r="C5335" t="s">
        <v>230</v>
      </c>
      <c r="D5335" t="s">
        <v>2387</v>
      </c>
      <c r="E5335">
        <v>80849335</v>
      </c>
      <c r="F5335" t="s">
        <v>3307</v>
      </c>
      <c r="G5335" s="3">
        <v>47097</v>
      </c>
      <c r="H5335">
        <v>36</v>
      </c>
      <c r="I5335">
        <v>84</v>
      </c>
      <c r="J5335">
        <v>156</v>
      </c>
      <c r="K5335" s="4">
        <v>249467.4</v>
      </c>
      <c r="L5335" s="4">
        <v>111.14285714285714</v>
      </c>
      <c r="M5335" s="4">
        <v>1.4035989717223651</v>
      </c>
      <c r="N5335" t="s">
        <v>25</v>
      </c>
      <c r="O5335" t="str">
        <f t="shared" si="830"/>
        <v>Low</v>
      </c>
      <c r="P5335" t="str">
        <f t="shared" si="831"/>
        <v>Low</v>
      </c>
      <c r="Q5335" t="str">
        <f t="shared" si="832"/>
        <v>Low</v>
      </c>
      <c r="R5335" t="s">
        <v>3309</v>
      </c>
      <c r="S5335" s="4">
        <f t="shared" ca="1" si="833"/>
        <v>900</v>
      </c>
      <c r="T5335">
        <f t="shared" si="834"/>
        <v>1</v>
      </c>
      <c r="U5335">
        <f t="shared" si="835"/>
        <v>1</v>
      </c>
      <c r="V5335">
        <f t="shared" si="836"/>
        <v>1</v>
      </c>
      <c r="W5335">
        <f t="shared" si="837"/>
        <v>3</v>
      </c>
      <c r="X5335">
        <f t="shared" si="838"/>
        <v>1.2</v>
      </c>
      <c r="Y5335" t="str">
        <f t="shared" si="839"/>
        <v>Healthy</v>
      </c>
    </row>
    <row r="5336" spans="1:25" x14ac:dyDescent="0.35">
      <c r="A5336" t="s">
        <v>29</v>
      </c>
      <c r="B5336" t="s">
        <v>30</v>
      </c>
      <c r="C5336" t="s">
        <v>230</v>
      </c>
      <c r="D5336" t="s">
        <v>2387</v>
      </c>
      <c r="E5336">
        <v>80849335</v>
      </c>
      <c r="F5336" t="s">
        <v>3307</v>
      </c>
      <c r="G5336" s="3">
        <v>47139</v>
      </c>
      <c r="H5336">
        <v>36</v>
      </c>
      <c r="I5336">
        <v>88</v>
      </c>
      <c r="J5336">
        <v>114</v>
      </c>
      <c r="K5336" s="4">
        <v>182303.1</v>
      </c>
      <c r="L5336" s="4">
        <v>111.14285714285714</v>
      </c>
      <c r="M5336" s="4">
        <v>1.025706940874036</v>
      </c>
      <c r="N5336" t="s">
        <v>25</v>
      </c>
      <c r="O5336" t="str">
        <f t="shared" si="830"/>
        <v>Low</v>
      </c>
      <c r="P5336" t="str">
        <f t="shared" si="831"/>
        <v>Low</v>
      </c>
      <c r="Q5336" t="str">
        <f t="shared" si="832"/>
        <v>Low</v>
      </c>
      <c r="R5336" t="s">
        <v>3309</v>
      </c>
      <c r="S5336" s="4">
        <f t="shared" ca="1" si="833"/>
        <v>942</v>
      </c>
      <c r="T5336">
        <f t="shared" si="834"/>
        <v>1</v>
      </c>
      <c r="U5336">
        <f t="shared" si="835"/>
        <v>1</v>
      </c>
      <c r="V5336">
        <f t="shared" si="836"/>
        <v>1</v>
      </c>
      <c r="W5336">
        <f t="shared" si="837"/>
        <v>3</v>
      </c>
      <c r="X5336">
        <f t="shared" si="838"/>
        <v>1.2</v>
      </c>
      <c r="Y5336" t="str">
        <f t="shared" si="839"/>
        <v>Healthy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shrika reddy</dc:creator>
  <cp:lastModifiedBy>shrika reddy</cp:lastModifiedBy>
  <dcterms:created xsi:type="dcterms:W3CDTF">2026-06-24T07:04:30Z</dcterms:created>
  <dcterms:modified xsi:type="dcterms:W3CDTF">2026-06-24T07:38:51Z</dcterms:modified>
</cp:coreProperties>
</file>